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_data" sheetId="1" state="visible" r:id="rId3"/>
    <sheet name="weather" sheetId="2" state="visible" r:id="rId4"/>
    <sheet name="коммент" sheetId="3" state="visible" r:id="rId5"/>
    <sheet name="только взрослые" sheetId="4" state="visible" r:id="rId6"/>
  </sheets>
  <definedNames>
    <definedName function="false" hidden="true" localSheetId="3" name="_xlnm._FilterDatabase" vbProcedure="false">'только взрослые'!$A$1:$AD$2563</definedName>
    <definedName function="false" hidden="true" localSheetId="0" name="_xlnm._FilterDatabase" vbProcedure="false">main_data!$A$1:$Y$3368</definedName>
    <definedName function="false" hidden="true" localSheetId="1" name="_xlnm._FilterDatabase" vbProcedure="false">weather!$A$1:$F$247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Автор</author>
  </authors>
  <commentList>
    <comment ref="H1" authorId="0">
      <text>
        <r>
          <rPr>
            <sz val="10"/>
            <rFont val="Arial"/>
            <family val="2"/>
          </rPr>
          <t xml:space="preserve">Family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8</xdr:col>
                <xdr:colOff>11</xdr:colOff>
                <xdr:row>0</xdr:row>
                <xdr:rowOff>0</xdr:rowOff>
              </xdr:from>
              <xdr:to>
                <xdr:col>9</xdr:col>
                <xdr:colOff>-7</xdr:colOff>
                <xdr:row>1</xdr:row>
                <xdr:rowOff>-16</xdr:rowOff>
              </xdr:to>
            </anchor>
          </commentPr>
        </mc:Choice>
        <mc:Fallback/>
      </mc:AlternateContent>
    </comment>
    <comment ref="J995" authorId="0">
      <text>
        <r>
          <rPr>
            <sz val="10"/>
            <rFont val="Arial"/>
            <family val="2"/>
          </rPr>
          <t xml:space="preserve">virescens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</xdr:colOff>
                <xdr:row>1986</xdr:row>
                <xdr:rowOff>2</xdr:rowOff>
              </xdr:from>
              <xdr:to>
                <xdr:col>8</xdr:col>
                <xdr:colOff>-56</xdr:colOff>
                <xdr:row>1994</xdr:row>
                <xdr:rowOff>3</xdr:rowOff>
              </xdr:to>
            </anchor>
          </commentPr>
        </mc:Choice>
        <mc:Fallback/>
      </mc:AlternateContent>
    </comment>
    <comment ref="T301" authorId="0">
      <text>
        <r>
          <rPr>
            <sz val="10"/>
            <rFont val="Arial"/>
            <family val="2"/>
          </rPr>
          <t xml:space="preserve">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11</xdr:colOff>
                <xdr:row>297</xdr:row>
                <xdr:rowOff>0</xdr:rowOff>
              </xdr:from>
              <xdr:to>
                <xdr:col>21</xdr:col>
                <xdr:colOff>27</xdr:colOff>
                <xdr:row>298</xdr:row>
                <xdr:rowOff>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Автор</author>
  </authors>
  <commentList>
    <comment ref="M1" authorId="0">
      <text>
        <r>
          <rPr>
            <sz val="10"/>
            <rFont val="Arial"/>
            <family val="2"/>
          </rPr>
          <t xml:space="preserve">Family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13</xdr:col>
                <xdr:colOff>11</xdr:colOff>
                <xdr:row>0</xdr:row>
                <xdr:rowOff>0</xdr:rowOff>
              </xdr:from>
              <xdr:to>
                <xdr:col>14</xdr:col>
                <xdr:colOff>-7</xdr:colOff>
                <xdr:row>1</xdr:row>
                <xdr:rowOff>-16</xdr:rowOff>
              </xdr:to>
            </anchor>
          </commentPr>
        </mc:Choice>
        <mc:Fallback/>
      </mc:AlternateContent>
    </comment>
    <comment ref="O799" authorId="0">
      <text>
        <r>
          <rPr>
            <sz val="10"/>
            <rFont val="Arial"/>
            <family val="2"/>
          </rPr>
          <t xml:space="preserve">virescens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11</xdr:colOff>
                <xdr:row>795</xdr:row>
                <xdr:rowOff>0</xdr:rowOff>
              </xdr:from>
              <xdr:to>
                <xdr:col>16</xdr:col>
                <xdr:colOff>-44</xdr:colOff>
                <xdr:row>796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<sst xmlns="http://schemas.openxmlformats.org/spreadsheetml/2006/main" count="46938" uniqueCount="339">
  <si>
    <t xml:space="preserve">year</t>
  </si>
  <si>
    <t xml:space="preserve">tur</t>
  </si>
  <si>
    <t xml:space="preserve">zone</t>
  </si>
  <si>
    <t xml:space="preserve">site</t>
  </si>
  <si>
    <t xml:space="preserve">plot</t>
  </si>
  <si>
    <t xml:space="preserve">duration</t>
  </si>
  <si>
    <t xml:space="preserve">traps</t>
  </si>
  <si>
    <t xml:space="preserve">family</t>
  </si>
  <si>
    <t xml:space="preserve">genus</t>
  </si>
  <si>
    <t xml:space="preserve">species</t>
  </si>
  <si>
    <t xml:space="preserve">taxa</t>
  </si>
  <si>
    <t xml:space="preserve">num</t>
  </si>
  <si>
    <t xml:space="preserve">abu</t>
  </si>
  <si>
    <t xml:space="preserve">age</t>
  </si>
  <si>
    <t xml:space="preserve">sex</t>
  </si>
  <si>
    <t xml:space="preserve">самцы</t>
  </si>
  <si>
    <t xml:space="preserve">самки</t>
  </si>
  <si>
    <t xml:space="preserve">juv самцы</t>
  </si>
  <si>
    <t xml:space="preserve">juv самки</t>
  </si>
  <si>
    <t xml:space="preserve">juv</t>
  </si>
  <si>
    <t xml:space="preserve">Mocerat</t>
  </si>
  <si>
    <t xml:space="preserve">ADULTA</t>
  </si>
  <si>
    <t xml:space="preserve">JUVENILE</t>
  </si>
  <si>
    <t xml:space="preserve">start</t>
  </si>
  <si>
    <t xml:space="preserve">end</t>
  </si>
  <si>
    <t xml:space="preserve">background</t>
  </si>
  <si>
    <t xml:space="preserve">K26S</t>
  </si>
  <si>
    <t xml:space="preserve">Theridiidae</t>
  </si>
  <si>
    <t xml:space="preserve">Robertus</t>
  </si>
  <si>
    <t xml:space="preserve">lividus</t>
  </si>
  <si>
    <t xml:space="preserve">ad</t>
  </si>
  <si>
    <t xml:space="preserve">m</t>
  </si>
  <si>
    <t xml:space="preserve">Linyphiidae</t>
  </si>
  <si>
    <t xml:space="preserve">Tenuiphantes</t>
  </si>
  <si>
    <t xml:space="preserve">nigriventris</t>
  </si>
  <si>
    <t xml:space="preserve">f</t>
  </si>
  <si>
    <t xml:space="preserve">Thomisidae</t>
  </si>
  <si>
    <t xml:space="preserve">Ozyptila</t>
  </si>
  <si>
    <t xml:space="preserve">sp</t>
  </si>
  <si>
    <t xml:space="preserve">Helophora</t>
  </si>
  <si>
    <t xml:space="preserve">insignis</t>
  </si>
  <si>
    <t xml:space="preserve">Liocranidae</t>
  </si>
  <si>
    <t xml:space="preserve">Agroeca</t>
  </si>
  <si>
    <t xml:space="preserve">proxima</t>
  </si>
  <si>
    <t xml:space="preserve">impact</t>
  </si>
  <si>
    <t xml:space="preserve">K05N</t>
  </si>
  <si>
    <t xml:space="preserve">Euryopis</t>
  </si>
  <si>
    <t xml:space="preserve">flavomaculata</t>
  </si>
  <si>
    <t xml:space="preserve">Lycosidae</t>
  </si>
  <si>
    <t xml:space="preserve">Alopecosa</t>
  </si>
  <si>
    <t xml:space="preserve">bufer</t>
  </si>
  <si>
    <t xml:space="preserve">K18N</t>
  </si>
  <si>
    <t xml:space="preserve">Araneidae</t>
  </si>
  <si>
    <t xml:space="preserve">Araneus</t>
  </si>
  <si>
    <t xml:space="preserve">in</t>
  </si>
  <si>
    <t xml:space="preserve">Maro</t>
  </si>
  <si>
    <t xml:space="preserve">minutus</t>
  </si>
  <si>
    <t xml:space="preserve">Gen</t>
  </si>
  <si>
    <t xml:space="preserve">Allomengea</t>
  </si>
  <si>
    <t xml:space="preserve">scopigera</t>
  </si>
  <si>
    <t xml:space="preserve">tenebricola</t>
  </si>
  <si>
    <t xml:space="preserve">Trochosa</t>
  </si>
  <si>
    <t xml:space="preserve">Microneta</t>
  </si>
  <si>
    <t xml:space="preserve">viaria</t>
  </si>
  <si>
    <t xml:space="preserve">Zoridae</t>
  </si>
  <si>
    <t xml:space="preserve">Zora</t>
  </si>
  <si>
    <t xml:space="preserve">Spinimana</t>
  </si>
  <si>
    <t xml:space="preserve">Pardosa</t>
  </si>
  <si>
    <t xml:space="preserve">Centromerus</t>
  </si>
  <si>
    <t xml:space="preserve">sylvaticus</t>
  </si>
  <si>
    <t xml:space="preserve">Palliduphantes</t>
  </si>
  <si>
    <t xml:space="preserve">alutacius</t>
  </si>
  <si>
    <t xml:space="preserve">Gnaphosidae</t>
  </si>
  <si>
    <t xml:space="preserve">Zelotes</t>
  </si>
  <si>
    <t xml:space="preserve">subterraneus</t>
  </si>
  <si>
    <t xml:space="preserve">praticola</t>
  </si>
  <si>
    <t xml:space="preserve">Bolyphantes</t>
  </si>
  <si>
    <t xml:space="preserve">alticeps</t>
  </si>
  <si>
    <t xml:space="preserve">Dictynidae</t>
  </si>
  <si>
    <t xml:space="preserve">Lathys</t>
  </si>
  <si>
    <t xml:space="preserve">nielseni</t>
  </si>
  <si>
    <t xml:space="preserve">mengei</t>
  </si>
  <si>
    <t xml:space="preserve">terricola</t>
  </si>
  <si>
    <t xml:space="preserve">K11N</t>
  </si>
  <si>
    <t xml:space="preserve">Walckenaeria</t>
  </si>
  <si>
    <t xml:space="preserve">antica</t>
  </si>
  <si>
    <t xml:space="preserve">Haplodrassus</t>
  </si>
  <si>
    <t xml:space="preserve">soerenseni</t>
  </si>
  <si>
    <t xml:space="preserve">Tapinopa</t>
  </si>
  <si>
    <t xml:space="preserve">longidens</t>
  </si>
  <si>
    <t xml:space="preserve">Tapinocyba</t>
  </si>
  <si>
    <t xml:space="preserve">insecta</t>
  </si>
  <si>
    <t xml:space="preserve">Salticidae</t>
  </si>
  <si>
    <t xml:space="preserve">Anguliphantes</t>
  </si>
  <si>
    <t xml:space="preserve">angulipalpis</t>
  </si>
  <si>
    <t xml:space="preserve">ruricola</t>
  </si>
  <si>
    <t xml:space="preserve">Diplocephalus</t>
  </si>
  <si>
    <t xml:space="preserve">picinus</t>
  </si>
  <si>
    <t xml:space="preserve">K09S</t>
  </si>
  <si>
    <t xml:space="preserve">Linyphia</t>
  </si>
  <si>
    <t xml:space="preserve">triangularis</t>
  </si>
  <si>
    <t xml:space="preserve">K27S</t>
  </si>
  <si>
    <t xml:space="preserve">Agyneta</t>
  </si>
  <si>
    <t xml:space="preserve">olivacea</t>
  </si>
  <si>
    <t xml:space="preserve">taeniata</t>
  </si>
  <si>
    <t xml:space="preserve">Piratula</t>
  </si>
  <si>
    <t xml:space="preserve">hygrophila</t>
  </si>
  <si>
    <t xml:space="preserve">Macrargus</t>
  </si>
  <si>
    <t xml:space="preserve">rufus</t>
  </si>
  <si>
    <t xml:space="preserve">trux</t>
  </si>
  <si>
    <t xml:space="preserve">K32N</t>
  </si>
  <si>
    <t xml:space="preserve">Evarcha</t>
  </si>
  <si>
    <t xml:space="preserve">falcata</t>
  </si>
  <si>
    <t xml:space="preserve">Ceratinella</t>
  </si>
  <si>
    <t xml:space="preserve">brevipes</t>
  </si>
  <si>
    <t xml:space="preserve">industrial_barren</t>
  </si>
  <si>
    <t xml:space="preserve">K01S</t>
  </si>
  <si>
    <t xml:space="preserve">affinis</t>
  </si>
  <si>
    <t xml:space="preserve">K04S</t>
  </si>
  <si>
    <t xml:space="preserve">sulzeri</t>
  </si>
  <si>
    <t xml:space="preserve">Drapetisca</t>
  </si>
  <si>
    <t xml:space="preserve">socialis</t>
  </si>
  <si>
    <t xml:space="preserve">Xerolycosa</t>
  </si>
  <si>
    <t xml:space="preserve">nemoralis</t>
  </si>
  <si>
    <t xml:space="preserve">Hahniidae</t>
  </si>
  <si>
    <t xml:space="preserve">Hahnia</t>
  </si>
  <si>
    <t xml:space="preserve">ononidum</t>
  </si>
  <si>
    <t xml:space="preserve">lugubris</t>
  </si>
  <si>
    <t xml:space="preserve">Megalepthyphantes</t>
  </si>
  <si>
    <t xml:space="preserve">pseudocollinus</t>
  </si>
  <si>
    <t xml:space="preserve">aculeata</t>
  </si>
  <si>
    <t xml:space="preserve">Xysticus</t>
  </si>
  <si>
    <t xml:space="preserve">lanio</t>
  </si>
  <si>
    <t xml:space="preserve">luctuosus</t>
  </si>
  <si>
    <t xml:space="preserve">umbratilis</t>
  </si>
  <si>
    <t xml:space="preserve">Philodromidae</t>
  </si>
  <si>
    <t xml:space="preserve">Thanatus</t>
  </si>
  <si>
    <t xml:space="preserve">sabulosus</t>
  </si>
  <si>
    <t xml:space="preserve">Clubionidae</t>
  </si>
  <si>
    <t xml:space="preserve">Gnaphosa</t>
  </si>
  <si>
    <t xml:space="preserve">muscorum</t>
  </si>
  <si>
    <t xml:space="preserve">Salticus</t>
  </si>
  <si>
    <t xml:space="preserve">cingulatus</t>
  </si>
  <si>
    <t xml:space="preserve">saaristoi</t>
  </si>
  <si>
    <t xml:space="preserve">Phrurolithidae</t>
  </si>
  <si>
    <t xml:space="preserve">Phrurolithus</t>
  </si>
  <si>
    <t xml:space="preserve">festivus</t>
  </si>
  <si>
    <t xml:space="preserve">Micaria</t>
  </si>
  <si>
    <t xml:space="preserve">aenea</t>
  </si>
  <si>
    <t xml:space="preserve">electus</t>
  </si>
  <si>
    <t xml:space="preserve">Drassodes</t>
  </si>
  <si>
    <t xml:space="preserve">villosus</t>
  </si>
  <si>
    <t xml:space="preserve">Callilepis</t>
  </si>
  <si>
    <t xml:space="preserve">nocturna</t>
  </si>
  <si>
    <t xml:space="preserve">Pocadicnemis</t>
  </si>
  <si>
    <t xml:space="preserve">pumila</t>
  </si>
  <si>
    <t xml:space="preserve">Semljicola</t>
  </si>
  <si>
    <t xml:space="preserve">thaleri</t>
  </si>
  <si>
    <t xml:space="preserve">K12S</t>
  </si>
  <si>
    <t xml:space="preserve">Metopobactrus</t>
  </si>
  <si>
    <t xml:space="preserve">prominulus</t>
  </si>
  <si>
    <t xml:space="preserve">Entelecara</t>
  </si>
  <si>
    <t xml:space="preserve">congenera</t>
  </si>
  <si>
    <t xml:space="preserve">Bathyphantes</t>
  </si>
  <si>
    <t xml:space="preserve">gracilis</t>
  </si>
  <si>
    <t xml:space="preserve">Minyriolus</t>
  </si>
  <si>
    <t xml:space="preserve">pusillus</t>
  </si>
  <si>
    <t xml:space="preserve">agrestis</t>
  </si>
  <si>
    <t xml:space="preserve">atrotibialis</t>
  </si>
  <si>
    <t xml:space="preserve">Abacoproeces</t>
  </si>
  <si>
    <t xml:space="preserve">saltuum</t>
  </si>
  <si>
    <t xml:space="preserve">Euophrys</t>
  </si>
  <si>
    <t xml:space="preserve">frontalis</t>
  </si>
  <si>
    <t xml:space="preserve">mitrata</t>
  </si>
  <si>
    <t xml:space="preserve">Neriene</t>
  </si>
  <si>
    <t xml:space="preserve">clathrata</t>
  </si>
  <si>
    <t xml:space="preserve">dysderoides</t>
  </si>
  <si>
    <t xml:space="preserve">sp70</t>
  </si>
  <si>
    <t xml:space="preserve">brevipalpus</t>
  </si>
  <si>
    <t xml:space="preserve">Theridion</t>
  </si>
  <si>
    <t xml:space="preserve">varians</t>
  </si>
  <si>
    <t xml:space="preserve">cucullata</t>
  </si>
  <si>
    <t xml:space="preserve">ramosa</t>
  </si>
  <si>
    <t xml:space="preserve">clarus</t>
  </si>
  <si>
    <t xml:space="preserve">conigera</t>
  </si>
  <si>
    <t xml:space="preserve">sp75</t>
  </si>
  <si>
    <t xml:space="preserve">sp72</t>
  </si>
  <si>
    <t xml:space="preserve">Mimetidae</t>
  </si>
  <si>
    <t xml:space="preserve">Ero</t>
  </si>
  <si>
    <t xml:space="preserve">furcata</t>
  </si>
  <si>
    <t xml:space="preserve">Micrargus</t>
  </si>
  <si>
    <t xml:space="preserve">herbigradus</t>
  </si>
  <si>
    <t xml:space="preserve">allosubtilis</t>
  </si>
  <si>
    <t xml:space="preserve">subtilis</t>
  </si>
  <si>
    <t xml:space="preserve">pansibiricus</t>
  </si>
  <si>
    <t xml:space="preserve">Tetragnathidae</t>
  </si>
  <si>
    <t xml:space="preserve">Pachygnatha</t>
  </si>
  <si>
    <t xml:space="preserve">listeri</t>
  </si>
  <si>
    <t xml:space="preserve">brunnea</t>
  </si>
  <si>
    <t xml:space="preserve">obscurus</t>
  </si>
  <si>
    <t xml:space="preserve">Trematocephalus</t>
  </si>
  <si>
    <t xml:space="preserve">cristatus</t>
  </si>
  <si>
    <t xml:space="preserve">Hypselistes</t>
  </si>
  <si>
    <t xml:space="preserve">jacksoni</t>
  </si>
  <si>
    <t xml:space="preserve">palustris</t>
  </si>
  <si>
    <t xml:space="preserve">Clubiona</t>
  </si>
  <si>
    <t xml:space="preserve">caerulescens</t>
  </si>
  <si>
    <t xml:space="preserve">Oedothorax</t>
  </si>
  <si>
    <t xml:space="preserve">retusus</t>
  </si>
  <si>
    <t xml:space="preserve">cognatus</t>
  </si>
  <si>
    <t xml:space="preserve">Sparassidae</t>
  </si>
  <si>
    <t xml:space="preserve">Micrommata</t>
  </si>
  <si>
    <t xml:space="preserve">virescens</t>
  </si>
  <si>
    <t xml:space="preserve">Cercidia</t>
  </si>
  <si>
    <t xml:space="preserve">prominens</t>
  </si>
  <si>
    <t xml:space="preserve">Cnephalocotes</t>
  </si>
  <si>
    <t xml:space="preserve">Philodromus</t>
  </si>
  <si>
    <t xml:space="preserve">margaritatus</t>
  </si>
  <si>
    <t xml:space="preserve">silesiaca</t>
  </si>
  <si>
    <t xml:space="preserve">kochi</t>
  </si>
  <si>
    <t xml:space="preserve">Steatoda</t>
  </si>
  <si>
    <t xml:space="preserve">albomaculata</t>
  </si>
  <si>
    <t xml:space="preserve">pubescens</t>
  </si>
  <si>
    <t xml:space="preserve">pulverulenta</t>
  </si>
  <si>
    <t xml:space="preserve">Fam</t>
  </si>
  <si>
    <t xml:space="preserve">Hahnidae</t>
  </si>
  <si>
    <t xml:space="preserve">Miturgidae</t>
  </si>
  <si>
    <t xml:space="preserve">Tetragnatha</t>
  </si>
  <si>
    <t xml:space="preserve">inquilina</t>
  </si>
  <si>
    <t xml:space="preserve">emertoni</t>
  </si>
  <si>
    <t xml:space="preserve">sp (praticola?)</t>
  </si>
  <si>
    <t xml:space="preserve">Asianellus</t>
  </si>
  <si>
    <t xml:space="preserve">pusilla</t>
  </si>
  <si>
    <t xml:space="preserve">fulgens</t>
  </si>
  <si>
    <t xml:space="preserve">pallidus</t>
  </si>
  <si>
    <t xml:space="preserve">Neon</t>
  </si>
  <si>
    <t xml:space="preserve">reticulatus</t>
  </si>
  <si>
    <t xml:space="preserve">sp (conigera-gulosa-innotabilis)</t>
  </si>
  <si>
    <t xml:space="preserve">brevis</t>
  </si>
  <si>
    <t xml:space="preserve">apricorum</t>
  </si>
  <si>
    <t xml:space="preserve">pinicola</t>
  </si>
  <si>
    <t xml:space="preserve">sp12-2024K</t>
  </si>
  <si>
    <t xml:space="preserve">Drassyllus</t>
  </si>
  <si>
    <t xml:space="preserve">sp (allosubtilis-subtilis)</t>
  </si>
  <si>
    <t xml:space="preserve">Titanoecidae</t>
  </si>
  <si>
    <t xml:space="preserve">Titanoeca</t>
  </si>
  <si>
    <t xml:space="preserve">Spominima</t>
  </si>
  <si>
    <t xml:space="preserve">silvestris</t>
  </si>
  <si>
    <t xml:space="preserve">furcillata</t>
  </si>
  <si>
    <t xml:space="preserve">Trichoncus</t>
  </si>
  <si>
    <t xml:space="preserve">vasconicus</t>
  </si>
  <si>
    <t xml:space="preserve">Acantholycosa</t>
  </si>
  <si>
    <t xml:space="preserve">lignaria</t>
  </si>
  <si>
    <t xml:space="preserve">clivicola</t>
  </si>
  <si>
    <t xml:space="preserve">praeficus</t>
  </si>
  <si>
    <t xml:space="preserve">audax</t>
  </si>
  <si>
    <t xml:space="preserve">Bassaniodes</t>
  </si>
  <si>
    <t xml:space="preserve">robustus</t>
  </si>
  <si>
    <t xml:space="preserve">Stemonyphantes</t>
  </si>
  <si>
    <t xml:space="preserve">lineatus</t>
  </si>
  <si>
    <t xml:space="preserve">multesimus</t>
  </si>
  <si>
    <t xml:space="preserve">Maso</t>
  </si>
  <si>
    <t xml:space="preserve">sundevalli</t>
  </si>
  <si>
    <t xml:space="preserve">Incestophantes</t>
  </si>
  <si>
    <t xml:space="preserve">crucifer</t>
  </si>
  <si>
    <t xml:space="preserve">pulicaria</t>
  </si>
  <si>
    <t xml:space="preserve">latreillei</t>
  </si>
  <si>
    <t xml:space="preserve">femoralis</t>
  </si>
  <si>
    <t xml:space="preserve">sp (gibbosus?)</t>
  </si>
  <si>
    <t xml:space="preserve">striatus</t>
  </si>
  <si>
    <t xml:space="preserve">Porrhomma</t>
  </si>
  <si>
    <t xml:space="preserve">pygmaeum</t>
  </si>
  <si>
    <t xml:space="preserve">armillata</t>
  </si>
  <si>
    <t xml:space="preserve">sp (silesiaca?)</t>
  </si>
  <si>
    <t xml:space="preserve">_no_data</t>
  </si>
  <si>
    <t xml:space="preserve">month</t>
  </si>
  <si>
    <t xml:space="preserve">day</t>
  </si>
  <si>
    <t xml:space="preserve">average</t>
  </si>
  <si>
    <t xml:space="preserve">precipitation</t>
  </si>
  <si>
    <t xml:space="preserve">ln_precipitation.plus1</t>
  </si>
  <si>
    <t xml:space="preserve">Лист "Все особи"</t>
  </si>
  <si>
    <t xml:space="preserve"> - исключены дефектные ловушки</t>
  </si>
  <si>
    <t xml:space="preserve">Лист "только взрослые"</t>
  </si>
  <si>
    <r>
      <rPr>
        <b val="true"/>
        <sz val="11"/>
        <color theme="1"/>
        <rFont val="Calibri"/>
        <family val="2"/>
        <charset val="204"/>
      </rPr>
      <t xml:space="preserve"> - исключены ювенильные; 9 взрослых особей "моцерат" </t>
    </r>
    <r>
      <rPr>
        <b val="true"/>
        <sz val="11"/>
        <color rgb="FFFF0000"/>
        <rFont val="Calibri"/>
        <family val="2"/>
        <charset val="204"/>
      </rPr>
      <t xml:space="preserve">и 19 особей</t>
    </r>
    <r>
      <rPr>
        <b val="true"/>
        <sz val="11"/>
        <color theme="1"/>
        <rFont val="Calibri"/>
        <family val="2"/>
        <charset val="204"/>
      </rPr>
      <t xml:space="preserve">, которые невозможно идентифицировать</t>
    </r>
  </si>
  <si>
    <t xml:space="preserve">Расчет обилия - по всем особям (ювенилы + адульта + моцерат)</t>
  </si>
  <si>
    <t xml:space="preserve">Расчет разнообразия - только по адульта</t>
  </si>
  <si>
    <t xml:space="preserve">Год</t>
  </si>
  <si>
    <t xml:space="preserve">Градиент</t>
  </si>
  <si>
    <t xml:space="preserve">К - Карабаш</t>
  </si>
  <si>
    <t xml:space="preserve">Тур 1</t>
  </si>
  <si>
    <t xml:space="preserve">период летнего сезона</t>
  </si>
  <si>
    <t xml:space="preserve">Зона 1</t>
  </si>
  <si>
    <t xml:space="preserve">Зоны с учетом пустоши:</t>
  </si>
  <si>
    <t xml:space="preserve">F</t>
  </si>
  <si>
    <t xml:space="preserve">B</t>
  </si>
  <si>
    <t xml:space="preserve">Im</t>
  </si>
  <si>
    <t xml:space="preserve">Pst</t>
  </si>
  <si>
    <t xml:space="preserve">Зона 2</t>
  </si>
  <si>
    <t xml:space="preserve">Пустошь входит в состав импакта</t>
  </si>
  <si>
    <t xml:space="preserve">Код Участка</t>
  </si>
  <si>
    <t xml:space="preserve">Участок</t>
  </si>
  <si>
    <t xml:space="preserve">ПП</t>
  </si>
  <si>
    <t xml:space="preserve">пробная площадь</t>
  </si>
  <si>
    <t xml:space="preserve">№ пробы/ ловушки</t>
  </si>
  <si>
    <t xml:space="preserve">Начало отлова</t>
  </si>
  <si>
    <t xml:space="preserve">Окончание отлова</t>
  </si>
  <si>
    <t xml:space="preserve">Кол-во дней экспозиции</t>
  </si>
  <si>
    <t xml:space="preserve">Кол-во ловушек </t>
  </si>
  <si>
    <t xml:space="preserve">Семейство</t>
  </si>
  <si>
    <t xml:space="preserve">Род</t>
  </si>
  <si>
    <t xml:space="preserve">Вид</t>
  </si>
  <si>
    <t xml:space="preserve">ТАКСОН</t>
  </si>
  <si>
    <t xml:space="preserve">Возраст</t>
  </si>
  <si>
    <t xml:space="preserve">Пол</t>
  </si>
  <si>
    <t xml:space="preserve">Кол-во общ.</t>
  </si>
  <si>
    <t xml:space="preserve">количество реально отловленных особей</t>
  </si>
  <si>
    <t xml:space="preserve">Колич * 100 л/сут</t>
  </si>
  <si>
    <t xml:space="preserve">пересчет на 100 ловушко-суток с учетом 3-х и 4-х ловушек на некоторых ПП</t>
  </si>
  <si>
    <t xml:space="preserve">Дефектная ведомость</t>
  </si>
  <si>
    <t xml:space="preserve">дефектные ловушки удалены</t>
  </si>
  <si>
    <t xml:space="preserve">Примечание 1</t>
  </si>
  <si>
    <t xml:space="preserve">19 особей которые невозможно идентифицировать</t>
  </si>
  <si>
    <t xml:space="preserve">K</t>
  </si>
  <si>
    <t xml:space="preserve">Gen sp</t>
  </si>
  <si>
    <t xml:space="preserve">K4S</t>
  </si>
  <si>
    <t xml:space="preserve">Alopecosa sp</t>
  </si>
  <si>
    <t xml:space="preserve">K9S</t>
  </si>
  <si>
    <t xml:space="preserve">Euophrys sp</t>
  </si>
  <si>
    <t xml:space="preserve">Trochosa sp</t>
  </si>
  <si>
    <t xml:space="preserve">Walckenaeria sp</t>
  </si>
  <si>
    <t xml:space="preserve">K1S</t>
  </si>
  <si>
    <t xml:space="preserve">Agyneta sp (conigera-gulosa-innotabilis)</t>
  </si>
  <si>
    <t xml:space="preserve">Agyneta sp (allosubtilis-subtilis)</t>
  </si>
  <si>
    <t xml:space="preserve">Agyneta sp</t>
  </si>
  <si>
    <t xml:space="preserve">Oedothorax sp (gibbosus?)</t>
  </si>
  <si>
    <t xml:space="preserve">spinimana</t>
  </si>
  <si>
    <t xml:space="preserve">K5N</t>
  </si>
  <si>
    <t xml:space="preserve">sp 75</t>
  </si>
  <si>
    <t xml:space="preserve">spominima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</si>
</sst>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0"/>
    <numFmt numFmtId="168" formatCode="0.0"/>
  </numFmts>
  <fonts count="1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0000FF"/>
      <name val="Calibri"/>
      <family val="2"/>
      <charset val="204"/>
    </font>
    <font>
      <sz val="10"/>
      <name val="Arial"/>
      <family val="2"/>
    </font>
    <font>
      <b val="true"/>
      <sz val="11"/>
      <color theme="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rgb="FF0000CC"/>
      <name val="Calibri"/>
      <family val="2"/>
      <charset val="204"/>
    </font>
    <font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Y3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3377" activeCellId="0" sqref="I3377"/>
    </sheetView>
  </sheetViews>
  <sheetFormatPr defaultColWidth="9.12890625" defaultRowHeight="14.25" customHeight="false" zeroHeight="false" outlineLevelRow="0" outlineLevelCol="0"/>
  <cols>
    <col collapsed="false" customWidth="true" hidden="false" outlineLevel="0" max="2" min="1" style="1" width="8.26"/>
    <col collapsed="false" customWidth="true" hidden="false" outlineLevel="0" max="3" min="3" style="2" width="11.6"/>
    <col collapsed="false" customWidth="true" hidden="false" outlineLevel="0" max="4" min="4" style="3" width="8.86"/>
    <col collapsed="false" customWidth="true" hidden="false" outlineLevel="0" max="5" min="5" style="3" width="4.4"/>
    <col collapsed="false" customWidth="true" hidden="false" outlineLevel="0" max="7" min="6" style="3" width="8.86"/>
    <col collapsed="false" customWidth="true" hidden="false" outlineLevel="0" max="8" min="8" style="3" width="16.13"/>
    <col collapsed="false" customWidth="true" hidden="false" outlineLevel="0" max="9" min="9" style="3" width="17.26"/>
    <col collapsed="false" customWidth="true" hidden="false" outlineLevel="0" max="10" min="10" style="3" width="18.73"/>
    <col collapsed="false" customWidth="true" hidden="false" outlineLevel="0" max="11" min="11" style="3" width="37.6"/>
    <col collapsed="false" customWidth="false" hidden="false" outlineLevel="0" max="12" min="12" style="3" width="9.12"/>
    <col collapsed="false" customWidth="true" hidden="false" outlineLevel="0" max="13" min="13" style="3" width="9.6"/>
    <col collapsed="false" customWidth="true" hidden="false" outlineLevel="0" max="14" min="14" style="1" width="8.4"/>
    <col collapsed="false" customWidth="true" hidden="false" outlineLevel="0" max="15" min="15" style="1" width="6.13"/>
    <col collapsed="false" customWidth="true" hidden="false" outlineLevel="0" max="20" min="16" style="3" width="8"/>
    <col collapsed="false" customWidth="true" hidden="false" outlineLevel="0" max="21" min="21" style="3" width="9.26"/>
    <col collapsed="false" customWidth="true" hidden="false" outlineLevel="0" max="22" min="22" style="3" width="8.4"/>
    <col collapsed="false" customWidth="true" hidden="false" outlineLevel="0" max="23" min="23" style="3" width="6.26"/>
    <col collapsed="false" customWidth="true" hidden="false" outlineLevel="0" max="25" min="24" style="3" width="11"/>
    <col collapsed="false" customWidth="false" hidden="false" outlineLevel="0" max="16384" min="26" style="3" width="9.12"/>
  </cols>
  <sheetData>
    <row r="1" customFormat="false" ht="40.5" hidden="false" customHeight="tru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customFormat="false" ht="14.25" hidden="false" customHeight="false" outlineLevel="0" collapsed="false">
      <c r="A2" s="1" t="n">
        <v>2009</v>
      </c>
      <c r="B2" s="1" t="n">
        <v>2</v>
      </c>
      <c r="C2" s="2" t="s">
        <v>25</v>
      </c>
      <c r="D2" s="7" t="s">
        <v>26</v>
      </c>
      <c r="E2" s="1" t="n">
        <v>2</v>
      </c>
      <c r="F2" s="1" t="n">
        <f aca="false">Y2-X2</f>
        <v>5</v>
      </c>
      <c r="G2" s="1" t="n">
        <v>5</v>
      </c>
      <c r="H2" s="3" t="s">
        <v>27</v>
      </c>
      <c r="I2" s="3" t="s">
        <v>28</v>
      </c>
      <c r="J2" s="8" t="s">
        <v>29</v>
      </c>
      <c r="K2" s="2" t="str">
        <f aca="false">CONCATENATE(I2," ",J2)</f>
        <v>Robertus lividus</v>
      </c>
      <c r="L2" s="3" t="n">
        <f aca="false">SUM(P2:U2)</f>
        <v>1</v>
      </c>
      <c r="M2" s="9" t="n">
        <f aca="false">(L2/(F2*G2)*25)*4</f>
        <v>4</v>
      </c>
      <c r="N2" s="1" t="s">
        <v>30</v>
      </c>
      <c r="O2" s="1" t="s">
        <v>31</v>
      </c>
      <c r="P2" s="1" t="n">
        <v>1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3" t="n">
        <f aca="false">SUM(P2:Q2)</f>
        <v>1</v>
      </c>
      <c r="W2" s="3" t="n">
        <f aca="false">SUM(R2:T2)</f>
        <v>0</v>
      </c>
      <c r="X2" s="10" t="n">
        <v>40052</v>
      </c>
      <c r="Y2" s="10" t="n">
        <v>40057</v>
      </c>
    </row>
    <row r="3" customFormat="false" ht="14.25" hidden="false" customHeight="false" outlineLevel="0" collapsed="false">
      <c r="A3" s="1" t="n">
        <v>2009</v>
      </c>
      <c r="B3" s="1" t="n">
        <v>2</v>
      </c>
      <c r="C3" s="2" t="s">
        <v>25</v>
      </c>
      <c r="D3" s="7" t="s">
        <v>26</v>
      </c>
      <c r="E3" s="1" t="n">
        <v>2</v>
      </c>
      <c r="F3" s="1" t="n">
        <f aca="false">Y3-X3</f>
        <v>5</v>
      </c>
      <c r="G3" s="1" t="n">
        <v>5</v>
      </c>
      <c r="H3" s="3" t="s">
        <v>32</v>
      </c>
      <c r="I3" s="3" t="s">
        <v>33</v>
      </c>
      <c r="J3" s="8" t="s">
        <v>34</v>
      </c>
      <c r="K3" s="2" t="str">
        <f aca="false">CONCATENATE(I3," ",J3)</f>
        <v>Tenuiphantes nigriventris</v>
      </c>
      <c r="L3" s="3" t="n">
        <f aca="false">SUM(P3:U3)</f>
        <v>1</v>
      </c>
      <c r="M3" s="11" t="n">
        <f aca="false">(L3/(F3*G3)*25)*4</f>
        <v>4</v>
      </c>
      <c r="N3" s="1" t="s">
        <v>30</v>
      </c>
      <c r="O3" s="1" t="s">
        <v>35</v>
      </c>
      <c r="P3" s="1" t="n">
        <v>0</v>
      </c>
      <c r="Q3" s="1" t="n">
        <v>1</v>
      </c>
      <c r="R3" s="1" t="n">
        <v>0</v>
      </c>
      <c r="S3" s="1" t="n">
        <v>0</v>
      </c>
      <c r="T3" s="1" t="n">
        <v>0</v>
      </c>
      <c r="U3" s="1" t="n">
        <v>0</v>
      </c>
      <c r="V3" s="3" t="n">
        <f aca="false">SUM(P3:Q3)</f>
        <v>1</v>
      </c>
      <c r="W3" s="3" t="n">
        <f aca="false">SUM(R3:T3)</f>
        <v>0</v>
      </c>
      <c r="X3" s="10" t="n">
        <v>40052</v>
      </c>
      <c r="Y3" s="10" t="n">
        <v>40057</v>
      </c>
    </row>
    <row r="4" customFormat="false" ht="14.25" hidden="false" customHeight="false" outlineLevel="0" collapsed="false">
      <c r="A4" s="1" t="n">
        <v>2009</v>
      </c>
      <c r="B4" s="1" t="n">
        <v>2</v>
      </c>
      <c r="C4" s="2" t="s">
        <v>25</v>
      </c>
      <c r="D4" s="7" t="s">
        <v>26</v>
      </c>
      <c r="E4" s="1" t="n">
        <v>1</v>
      </c>
      <c r="F4" s="1" t="n">
        <f aca="false">Y4-X4</f>
        <v>5</v>
      </c>
      <c r="G4" s="1" t="n">
        <v>5</v>
      </c>
      <c r="H4" s="3" t="s">
        <v>36</v>
      </c>
      <c r="I4" s="3" t="s">
        <v>37</v>
      </c>
      <c r="J4" s="8" t="s">
        <v>38</v>
      </c>
      <c r="K4" s="2" t="str">
        <f aca="false">CONCATENATE(I4," ",J4)</f>
        <v>Ozyptila sp</v>
      </c>
      <c r="L4" s="3" t="n">
        <f aca="false">SUM(P4:U4)</f>
        <v>1</v>
      </c>
      <c r="M4" s="11" t="n">
        <f aca="false">(L4/(F4*G4)*25)*4</f>
        <v>4</v>
      </c>
      <c r="N4" s="1" t="s">
        <v>19</v>
      </c>
      <c r="O4" s="1" t="s">
        <v>31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3" t="n">
        <f aca="false">SUM(P4:Q4)</f>
        <v>0</v>
      </c>
      <c r="W4" s="3" t="n">
        <f aca="false">SUM(R4:T4)</f>
        <v>1</v>
      </c>
      <c r="X4" s="10" t="n">
        <v>40052</v>
      </c>
      <c r="Y4" s="10" t="n">
        <v>40057</v>
      </c>
    </row>
    <row r="5" customFormat="false" ht="14.25" hidden="false" customHeight="false" outlineLevel="0" collapsed="false">
      <c r="A5" s="1" t="n">
        <v>2009</v>
      </c>
      <c r="B5" s="1" t="n">
        <v>2</v>
      </c>
      <c r="C5" s="2" t="s">
        <v>25</v>
      </c>
      <c r="D5" s="7" t="s">
        <v>26</v>
      </c>
      <c r="E5" s="1" t="n">
        <v>1</v>
      </c>
      <c r="F5" s="1" t="n">
        <f aca="false">Y5-X5</f>
        <v>5</v>
      </c>
      <c r="G5" s="1" t="n">
        <v>5</v>
      </c>
      <c r="H5" s="3" t="s">
        <v>27</v>
      </c>
      <c r="I5" s="3" t="s">
        <v>28</v>
      </c>
      <c r="J5" s="8" t="s">
        <v>29</v>
      </c>
      <c r="K5" s="2" t="str">
        <f aca="false">CONCATENATE(I5," ",J5)</f>
        <v>Robertus lividus</v>
      </c>
      <c r="L5" s="3" t="n">
        <f aca="false">SUM(P5:U5)</f>
        <v>1</v>
      </c>
      <c r="M5" s="11" t="n">
        <f aca="false">(L5/(F5*G5)*25)*4</f>
        <v>4</v>
      </c>
      <c r="N5" s="1" t="s">
        <v>30</v>
      </c>
      <c r="O5" s="1" t="s">
        <v>31</v>
      </c>
      <c r="P5" s="1" t="n">
        <v>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3" t="n">
        <f aca="false">SUM(P5:Q5)</f>
        <v>1</v>
      </c>
      <c r="W5" s="3" t="n">
        <f aca="false">SUM(R5:T5)</f>
        <v>0</v>
      </c>
      <c r="X5" s="10" t="n">
        <v>40052</v>
      </c>
      <c r="Y5" s="10" t="n">
        <v>40057</v>
      </c>
    </row>
    <row r="6" customFormat="false" ht="14.25" hidden="false" customHeight="false" outlineLevel="0" collapsed="false">
      <c r="A6" s="1" t="n">
        <v>2009</v>
      </c>
      <c r="B6" s="1" t="n">
        <v>2</v>
      </c>
      <c r="C6" s="2" t="s">
        <v>25</v>
      </c>
      <c r="D6" s="7" t="s">
        <v>26</v>
      </c>
      <c r="E6" s="1" t="n">
        <v>1</v>
      </c>
      <c r="F6" s="1" t="n">
        <f aca="false">Y6-X6</f>
        <v>5</v>
      </c>
      <c r="G6" s="1" t="n">
        <v>5</v>
      </c>
      <c r="H6" s="3" t="s">
        <v>32</v>
      </c>
      <c r="I6" s="3" t="s">
        <v>39</v>
      </c>
      <c r="J6" s="8" t="s">
        <v>40</v>
      </c>
      <c r="K6" s="2" t="str">
        <f aca="false">CONCATENATE(I6," ",J6)</f>
        <v>Helophora insignis</v>
      </c>
      <c r="L6" s="3" t="n">
        <f aca="false">SUM(P6:U6)</f>
        <v>1</v>
      </c>
      <c r="M6" s="11" t="n">
        <f aca="false">(L6/(F6*G6)*25)*4</f>
        <v>4</v>
      </c>
      <c r="N6" s="1" t="s">
        <v>30</v>
      </c>
      <c r="O6" s="1" t="s">
        <v>31</v>
      </c>
      <c r="P6" s="1" t="n">
        <v>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3" t="n">
        <f aca="false">SUM(P6:Q6)</f>
        <v>1</v>
      </c>
      <c r="W6" s="3" t="n">
        <f aca="false">SUM(R6:T6)</f>
        <v>0</v>
      </c>
      <c r="X6" s="10" t="n">
        <v>40052</v>
      </c>
      <c r="Y6" s="10" t="n">
        <v>40057</v>
      </c>
    </row>
    <row r="7" customFormat="false" ht="14.25" hidden="false" customHeight="false" outlineLevel="0" collapsed="false">
      <c r="A7" s="1" t="n">
        <v>2009</v>
      </c>
      <c r="B7" s="1" t="n">
        <v>2</v>
      </c>
      <c r="C7" s="2" t="s">
        <v>25</v>
      </c>
      <c r="D7" s="7" t="s">
        <v>26</v>
      </c>
      <c r="E7" s="1" t="n">
        <v>3</v>
      </c>
      <c r="F7" s="1" t="n">
        <f aca="false">Y7-X7</f>
        <v>5</v>
      </c>
      <c r="G7" s="1" t="n">
        <v>4</v>
      </c>
      <c r="H7" s="3" t="s">
        <v>27</v>
      </c>
      <c r="I7" s="3" t="s">
        <v>28</v>
      </c>
      <c r="J7" s="8" t="s">
        <v>29</v>
      </c>
      <c r="K7" s="2" t="str">
        <f aca="false">CONCATENATE(I7," ",J7)</f>
        <v>Robertus lividus</v>
      </c>
      <c r="L7" s="3" t="n">
        <f aca="false">SUM(P7:U7)</f>
        <v>1</v>
      </c>
      <c r="M7" s="11" t="n">
        <f aca="false">(L7/(F7*G7)*25)*4</f>
        <v>5</v>
      </c>
      <c r="N7" s="1" t="s">
        <v>30</v>
      </c>
      <c r="O7" s="1" t="s">
        <v>31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3" t="n">
        <f aca="false">SUM(P7:Q7)</f>
        <v>1</v>
      </c>
      <c r="W7" s="3" t="n">
        <f aca="false">SUM(R7:T7)</f>
        <v>0</v>
      </c>
      <c r="X7" s="10" t="n">
        <v>40052</v>
      </c>
      <c r="Y7" s="10" t="n">
        <v>40057</v>
      </c>
    </row>
    <row r="8" customFormat="false" ht="14.25" hidden="false" customHeight="false" outlineLevel="0" collapsed="false">
      <c r="A8" s="1" t="n">
        <v>2009</v>
      </c>
      <c r="B8" s="1" t="n">
        <v>2</v>
      </c>
      <c r="C8" s="2" t="s">
        <v>25</v>
      </c>
      <c r="D8" s="7" t="s">
        <v>26</v>
      </c>
      <c r="E8" s="1" t="n">
        <v>3</v>
      </c>
      <c r="F8" s="1" t="n">
        <f aca="false">Y8-X8</f>
        <v>5</v>
      </c>
      <c r="G8" s="1" t="n">
        <v>4</v>
      </c>
      <c r="H8" s="3" t="s">
        <v>32</v>
      </c>
      <c r="I8" s="3" t="s">
        <v>33</v>
      </c>
      <c r="J8" s="8" t="s">
        <v>34</v>
      </c>
      <c r="K8" s="2" t="str">
        <f aca="false">CONCATENATE(I8," ",J8)</f>
        <v>Tenuiphantes nigriventris</v>
      </c>
      <c r="L8" s="3" t="n">
        <f aca="false">SUM(P8:U8)</f>
        <v>1</v>
      </c>
      <c r="M8" s="11" t="n">
        <f aca="false">(L8/(F8*G8)*25)*4</f>
        <v>5</v>
      </c>
      <c r="N8" s="1" t="s">
        <v>30</v>
      </c>
      <c r="O8" s="1" t="s">
        <v>35</v>
      </c>
      <c r="P8" s="1" t="n">
        <v>0</v>
      </c>
      <c r="Q8" s="1" t="n">
        <v>1</v>
      </c>
      <c r="R8" s="1" t="n">
        <v>0</v>
      </c>
      <c r="S8" s="1" t="n">
        <v>0</v>
      </c>
      <c r="T8" s="1" t="n">
        <v>0</v>
      </c>
      <c r="U8" s="1" t="n">
        <v>0</v>
      </c>
      <c r="V8" s="3" t="n">
        <f aca="false">SUM(P8:Q8)</f>
        <v>1</v>
      </c>
      <c r="W8" s="3" t="n">
        <f aca="false">SUM(R8:T8)</f>
        <v>0</v>
      </c>
      <c r="X8" s="10" t="n">
        <v>40052</v>
      </c>
      <c r="Y8" s="10" t="n">
        <v>40057</v>
      </c>
    </row>
    <row r="9" customFormat="false" ht="14.25" hidden="false" customHeight="false" outlineLevel="0" collapsed="false">
      <c r="A9" s="1" t="n">
        <v>2009</v>
      </c>
      <c r="B9" s="1" t="n">
        <v>2</v>
      </c>
      <c r="C9" s="2" t="s">
        <v>25</v>
      </c>
      <c r="D9" s="7" t="s">
        <v>26</v>
      </c>
      <c r="E9" s="1" t="n">
        <v>3</v>
      </c>
      <c r="F9" s="1" t="n">
        <f aca="false">Y9-X9</f>
        <v>5</v>
      </c>
      <c r="G9" s="1" t="n">
        <v>4</v>
      </c>
      <c r="H9" s="3" t="s">
        <v>41</v>
      </c>
      <c r="I9" s="3" t="s">
        <v>42</v>
      </c>
      <c r="J9" s="12" t="s">
        <v>43</v>
      </c>
      <c r="K9" s="2" t="str">
        <f aca="false">CONCATENATE(I9," ",J9)</f>
        <v>Agroeca proxima</v>
      </c>
      <c r="L9" s="3" t="n">
        <f aca="false">SUM(P9:U9)</f>
        <v>1</v>
      </c>
      <c r="M9" s="11" t="n">
        <f aca="false">(L9/(F9*G9)*25)*4</f>
        <v>5</v>
      </c>
      <c r="N9" s="1" t="s">
        <v>30</v>
      </c>
      <c r="O9" s="1" t="s">
        <v>31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3" t="n">
        <f aca="false">SUM(P9:Q9)</f>
        <v>1</v>
      </c>
      <c r="W9" s="3" t="n">
        <f aca="false">SUM(R9:T9)</f>
        <v>0</v>
      </c>
      <c r="X9" s="10" t="n">
        <v>40052</v>
      </c>
      <c r="Y9" s="10" t="n">
        <v>40057</v>
      </c>
    </row>
    <row r="10" customFormat="false" ht="14.25" hidden="false" customHeight="false" outlineLevel="0" collapsed="false">
      <c r="A10" s="1" t="n">
        <v>2009</v>
      </c>
      <c r="B10" s="1" t="n">
        <v>2</v>
      </c>
      <c r="C10" s="2" t="s">
        <v>44</v>
      </c>
      <c r="D10" s="7" t="s">
        <v>45</v>
      </c>
      <c r="E10" s="1" t="n">
        <v>2</v>
      </c>
      <c r="F10" s="1" t="n">
        <f aca="false">Y10-X10</f>
        <v>5</v>
      </c>
      <c r="G10" s="1" t="n">
        <v>5</v>
      </c>
      <c r="H10" s="13" t="s">
        <v>27</v>
      </c>
      <c r="I10" s="13" t="s">
        <v>46</v>
      </c>
      <c r="J10" s="14" t="s">
        <v>47</v>
      </c>
      <c r="K10" s="2" t="str">
        <f aca="false">CONCATENATE(I10," ",J10)</f>
        <v>Euryopis flavomaculata</v>
      </c>
      <c r="L10" s="3" t="n">
        <f aca="false">SUM(P10:U10)</f>
        <v>1</v>
      </c>
      <c r="M10" s="11" t="n">
        <f aca="false">(L10/(F10*G10)*25)*4</f>
        <v>4</v>
      </c>
      <c r="N10" s="1" t="s">
        <v>19</v>
      </c>
      <c r="O10" s="1" t="s">
        <v>31</v>
      </c>
      <c r="P10" s="1" t="n">
        <v>0</v>
      </c>
      <c r="Q10" s="1" t="n">
        <v>0</v>
      </c>
      <c r="R10" s="1" t="n">
        <v>1</v>
      </c>
      <c r="S10" s="1" t="n">
        <v>0</v>
      </c>
      <c r="T10" s="1" t="n">
        <v>0</v>
      </c>
      <c r="U10" s="1" t="n">
        <v>0</v>
      </c>
      <c r="V10" s="3" t="n">
        <f aca="false">SUM(P10:Q10)</f>
        <v>0</v>
      </c>
      <c r="W10" s="3" t="n">
        <f aca="false">SUM(R10:T10)</f>
        <v>1</v>
      </c>
      <c r="X10" s="10" t="n">
        <v>40051</v>
      </c>
      <c r="Y10" s="10" t="n">
        <v>40056</v>
      </c>
    </row>
    <row r="11" customFormat="false" ht="14.25" hidden="false" customHeight="false" outlineLevel="0" collapsed="false">
      <c r="A11" s="1" t="n">
        <v>2009</v>
      </c>
      <c r="B11" s="1" t="n">
        <v>2</v>
      </c>
      <c r="C11" s="2" t="s">
        <v>44</v>
      </c>
      <c r="D11" s="7" t="s">
        <v>45</v>
      </c>
      <c r="E11" s="1" t="n">
        <v>2</v>
      </c>
      <c r="F11" s="1" t="n">
        <f aca="false">Y11-X11</f>
        <v>5</v>
      </c>
      <c r="G11" s="1" t="n">
        <v>5</v>
      </c>
      <c r="H11" s="3" t="s">
        <v>48</v>
      </c>
      <c r="I11" s="3" t="s">
        <v>49</v>
      </c>
      <c r="J11" s="8" t="s">
        <v>38</v>
      </c>
      <c r="K11" s="2" t="str">
        <f aca="false">CONCATENATE(I11," ",J11)</f>
        <v>Alopecosa sp</v>
      </c>
      <c r="L11" s="3" t="n">
        <f aca="false">SUM(P11:U11)</f>
        <v>1</v>
      </c>
      <c r="M11" s="11" t="n">
        <f aca="false">(L11/(F11*G11)*25)*4</f>
        <v>4</v>
      </c>
      <c r="N11" s="1" t="s">
        <v>19</v>
      </c>
      <c r="O11" s="1" t="s">
        <v>31</v>
      </c>
      <c r="P11" s="1" t="n">
        <v>0</v>
      </c>
      <c r="Q11" s="1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3" t="n">
        <f aca="false">SUM(P11:Q11)</f>
        <v>0</v>
      </c>
      <c r="W11" s="3" t="n">
        <f aca="false">SUM(R11:T11)</f>
        <v>1</v>
      </c>
      <c r="X11" s="10" t="n">
        <v>40051</v>
      </c>
      <c r="Y11" s="10" t="n">
        <v>40056</v>
      </c>
    </row>
    <row r="12" customFormat="false" ht="14.25" hidden="false" customHeight="false" outlineLevel="0" collapsed="false">
      <c r="A12" s="1" t="n">
        <v>2009</v>
      </c>
      <c r="B12" s="1" t="n">
        <v>2</v>
      </c>
      <c r="C12" s="2" t="s">
        <v>50</v>
      </c>
      <c r="D12" s="7" t="s">
        <v>51</v>
      </c>
      <c r="E12" s="1" t="n">
        <v>1</v>
      </c>
      <c r="F12" s="1" t="n">
        <f aca="false">Y12-X12</f>
        <v>5</v>
      </c>
      <c r="G12" s="1" t="n">
        <v>5</v>
      </c>
      <c r="H12" s="3" t="s">
        <v>41</v>
      </c>
      <c r="I12" s="3" t="s">
        <v>42</v>
      </c>
      <c r="J12" s="12" t="s">
        <v>43</v>
      </c>
      <c r="K12" s="2" t="str">
        <f aca="false">CONCATENATE(I12," ",J12)</f>
        <v>Agroeca proxima</v>
      </c>
      <c r="L12" s="3" t="n">
        <f aca="false">SUM(P12:U12)</f>
        <v>1</v>
      </c>
      <c r="M12" s="11" t="n">
        <f aca="false">(L12/(F12*G12)*25)*4</f>
        <v>4</v>
      </c>
      <c r="N12" s="1" t="s">
        <v>30</v>
      </c>
      <c r="O12" s="1" t="s">
        <v>31</v>
      </c>
      <c r="P12" s="1" t="n">
        <v>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3" t="n">
        <f aca="false">SUM(P12:Q12)</f>
        <v>1</v>
      </c>
      <c r="W12" s="3" t="n">
        <f aca="false">SUM(R12:T12)</f>
        <v>0</v>
      </c>
      <c r="X12" s="10" t="n">
        <v>40051</v>
      </c>
      <c r="Y12" s="10" t="n">
        <v>40056</v>
      </c>
    </row>
    <row r="13" customFormat="false" ht="14.25" hidden="false" customHeight="false" outlineLevel="0" collapsed="false">
      <c r="A13" s="1" t="n">
        <v>2009</v>
      </c>
      <c r="B13" s="1" t="n">
        <v>2</v>
      </c>
      <c r="C13" s="2" t="s">
        <v>50</v>
      </c>
      <c r="D13" s="7" t="s">
        <v>51</v>
      </c>
      <c r="E13" s="1" t="n">
        <v>1</v>
      </c>
      <c r="F13" s="1" t="n">
        <f aca="false">Y13-X13</f>
        <v>5</v>
      </c>
      <c r="G13" s="1" t="n">
        <v>5</v>
      </c>
      <c r="H13" s="3" t="s">
        <v>41</v>
      </c>
      <c r="I13" s="3" t="s">
        <v>42</v>
      </c>
      <c r="J13" s="12" t="s">
        <v>43</v>
      </c>
      <c r="K13" s="2" t="str">
        <f aca="false">CONCATENATE(I13," ",J13)</f>
        <v>Agroeca proxima</v>
      </c>
      <c r="L13" s="3" t="n">
        <f aca="false">SUM(P13:U13)</f>
        <v>1</v>
      </c>
      <c r="M13" s="11" t="n">
        <f aca="false">(L13/(F13*G13)*25)*4</f>
        <v>4</v>
      </c>
      <c r="N13" s="1" t="s">
        <v>30</v>
      </c>
      <c r="O13" s="1" t="s">
        <v>35</v>
      </c>
      <c r="P13" s="1" t="n">
        <v>0</v>
      </c>
      <c r="Q13" s="1" t="n">
        <v>1</v>
      </c>
      <c r="R13" s="1" t="n">
        <v>0</v>
      </c>
      <c r="S13" s="1" t="n">
        <v>0</v>
      </c>
      <c r="T13" s="1" t="n">
        <v>0</v>
      </c>
      <c r="U13" s="1" t="n">
        <v>0</v>
      </c>
      <c r="V13" s="3" t="n">
        <f aca="false">SUM(P13:Q13)</f>
        <v>1</v>
      </c>
      <c r="W13" s="3" t="n">
        <f aca="false">SUM(R13:T13)</f>
        <v>0</v>
      </c>
      <c r="X13" s="10" t="n">
        <v>40051</v>
      </c>
      <c r="Y13" s="10" t="n">
        <v>40056</v>
      </c>
    </row>
    <row r="14" customFormat="false" ht="14.25" hidden="false" customHeight="false" outlineLevel="0" collapsed="false">
      <c r="A14" s="1" t="n">
        <v>2009</v>
      </c>
      <c r="B14" s="1" t="n">
        <v>2</v>
      </c>
      <c r="C14" s="2" t="s">
        <v>25</v>
      </c>
      <c r="D14" s="7" t="s">
        <v>26</v>
      </c>
      <c r="E14" s="1" t="n">
        <v>1</v>
      </c>
      <c r="F14" s="1" t="n">
        <f aca="false">Y14-X14</f>
        <v>5</v>
      </c>
      <c r="G14" s="1" t="n">
        <v>5</v>
      </c>
      <c r="H14" s="3" t="s">
        <v>52</v>
      </c>
      <c r="I14" s="3" t="s">
        <v>53</v>
      </c>
      <c r="J14" s="8" t="s">
        <v>38</v>
      </c>
      <c r="K14" s="2" t="str">
        <f aca="false">CONCATENATE(I14," ",J14)</f>
        <v>Araneus sp</v>
      </c>
      <c r="L14" s="3" t="n">
        <f aca="false">SUM(P14:U14)</f>
        <v>1</v>
      </c>
      <c r="M14" s="11" t="n">
        <f aca="false">(L14/(F14*G14)*25)*4</f>
        <v>4</v>
      </c>
      <c r="N14" s="1" t="s">
        <v>19</v>
      </c>
      <c r="O14" s="1" t="s">
        <v>54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3" t="n">
        <f aca="false">SUM(P14:Q14)</f>
        <v>0</v>
      </c>
      <c r="W14" s="3" t="n">
        <f aca="false">SUM(R14:T14)</f>
        <v>1</v>
      </c>
      <c r="X14" s="10" t="n">
        <v>40052</v>
      </c>
      <c r="Y14" s="10" t="n">
        <v>40057</v>
      </c>
    </row>
    <row r="15" customFormat="false" ht="14.25" hidden="false" customHeight="false" outlineLevel="0" collapsed="false">
      <c r="A15" s="1" t="n">
        <v>2009</v>
      </c>
      <c r="B15" s="1" t="n">
        <v>2</v>
      </c>
      <c r="C15" s="2" t="s">
        <v>25</v>
      </c>
      <c r="D15" s="7" t="s">
        <v>26</v>
      </c>
      <c r="E15" s="1" t="n">
        <v>1</v>
      </c>
      <c r="F15" s="1" t="n">
        <f aca="false">Y15-X15</f>
        <v>5</v>
      </c>
      <c r="G15" s="1" t="n">
        <v>5</v>
      </c>
      <c r="H15" s="3" t="s">
        <v>27</v>
      </c>
      <c r="I15" s="3" t="s">
        <v>28</v>
      </c>
      <c r="J15" s="8" t="s">
        <v>29</v>
      </c>
      <c r="K15" s="2" t="str">
        <f aca="false">CONCATENATE(I15," ",J15)</f>
        <v>Robertus lividus</v>
      </c>
      <c r="L15" s="3" t="n">
        <f aca="false">SUM(P15:U15)</f>
        <v>1</v>
      </c>
      <c r="M15" s="11" t="n">
        <f aca="false">(L15/(F15*G15)*25)*4</f>
        <v>4</v>
      </c>
      <c r="N15" s="1" t="s">
        <v>30</v>
      </c>
      <c r="O15" s="1" t="s">
        <v>31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3" t="n">
        <f aca="false">SUM(P15:Q15)</f>
        <v>1</v>
      </c>
      <c r="W15" s="3" t="n">
        <f aca="false">SUM(R15:T15)</f>
        <v>0</v>
      </c>
      <c r="X15" s="10" t="n">
        <v>40052</v>
      </c>
      <c r="Y15" s="10" t="n">
        <v>40057</v>
      </c>
    </row>
    <row r="16" customFormat="false" ht="14.25" hidden="false" customHeight="false" outlineLevel="0" collapsed="false">
      <c r="A16" s="1" t="n">
        <v>2009</v>
      </c>
      <c r="B16" s="1" t="n">
        <v>2</v>
      </c>
      <c r="C16" s="2" t="s">
        <v>25</v>
      </c>
      <c r="D16" s="7" t="s">
        <v>26</v>
      </c>
      <c r="E16" s="1" t="n">
        <v>3</v>
      </c>
      <c r="F16" s="1" t="n">
        <f aca="false">Y16-X16</f>
        <v>5</v>
      </c>
      <c r="G16" s="1" t="n">
        <v>4</v>
      </c>
      <c r="H16" s="3" t="s">
        <v>32</v>
      </c>
      <c r="I16" s="3" t="s">
        <v>39</v>
      </c>
      <c r="J16" s="8" t="s">
        <v>40</v>
      </c>
      <c r="K16" s="2" t="str">
        <f aca="false">CONCATENATE(I16," ",J16)</f>
        <v>Helophora insignis</v>
      </c>
      <c r="L16" s="3" t="n">
        <f aca="false">SUM(P16:U16)</f>
        <v>1</v>
      </c>
      <c r="M16" s="11" t="n">
        <f aca="false">(L16/(F16*G16)*25)*4</f>
        <v>5</v>
      </c>
      <c r="N16" s="1" t="s">
        <v>30</v>
      </c>
      <c r="O16" s="1" t="s">
        <v>35</v>
      </c>
      <c r="P16" s="1" t="n">
        <v>0</v>
      </c>
      <c r="Q16" s="1" t="n">
        <v>1</v>
      </c>
      <c r="R16" s="1" t="n">
        <v>0</v>
      </c>
      <c r="S16" s="1" t="n">
        <v>0</v>
      </c>
      <c r="T16" s="1" t="n">
        <v>0</v>
      </c>
      <c r="U16" s="1" t="n">
        <v>0</v>
      </c>
      <c r="V16" s="3" t="n">
        <f aca="false">SUM(P16:Q16)</f>
        <v>1</v>
      </c>
      <c r="W16" s="3" t="n">
        <f aca="false">SUM(R16:T16)</f>
        <v>0</v>
      </c>
      <c r="X16" s="10" t="n">
        <v>40052</v>
      </c>
      <c r="Y16" s="10" t="n">
        <v>40057</v>
      </c>
    </row>
    <row r="17" customFormat="false" ht="14.25" hidden="false" customHeight="false" outlineLevel="0" collapsed="false">
      <c r="A17" s="1" t="n">
        <v>2009</v>
      </c>
      <c r="B17" s="1" t="n">
        <v>2</v>
      </c>
      <c r="C17" s="2" t="s">
        <v>25</v>
      </c>
      <c r="D17" s="7" t="s">
        <v>26</v>
      </c>
      <c r="E17" s="1" t="n">
        <v>1</v>
      </c>
      <c r="F17" s="1" t="n">
        <f aca="false">Y17-X17</f>
        <v>5</v>
      </c>
      <c r="G17" s="1" t="n">
        <v>5</v>
      </c>
      <c r="H17" s="3" t="s">
        <v>32</v>
      </c>
      <c r="I17" s="3" t="s">
        <v>55</v>
      </c>
      <c r="J17" s="3" t="s">
        <v>56</v>
      </c>
      <c r="K17" s="2" t="str">
        <f aca="false">CONCATENATE(I17," ",J17)</f>
        <v>Maro minutus</v>
      </c>
      <c r="L17" s="3" t="n">
        <f aca="false">SUM(P17:U17)</f>
        <v>1</v>
      </c>
      <c r="M17" s="11" t="n">
        <f aca="false">(L17/(F17*G17)*25)*4</f>
        <v>4</v>
      </c>
      <c r="N17" s="1" t="s">
        <v>30</v>
      </c>
      <c r="O17" s="1" t="s">
        <v>31</v>
      </c>
      <c r="P17" s="1" t="n">
        <v>1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3" t="n">
        <f aca="false">SUM(P17:Q17)</f>
        <v>1</v>
      </c>
      <c r="W17" s="3" t="n">
        <f aca="false">SUM(R17:T17)</f>
        <v>0</v>
      </c>
      <c r="X17" s="10" t="n">
        <v>40052</v>
      </c>
      <c r="Y17" s="10" t="n">
        <v>40057</v>
      </c>
    </row>
    <row r="18" customFormat="false" ht="14.25" hidden="false" customHeight="false" outlineLevel="0" collapsed="false">
      <c r="A18" s="1" t="n">
        <v>2009</v>
      </c>
      <c r="B18" s="1" t="n">
        <v>2</v>
      </c>
      <c r="C18" s="2" t="s">
        <v>25</v>
      </c>
      <c r="D18" s="7" t="s">
        <v>26</v>
      </c>
      <c r="E18" s="1" t="n">
        <v>1</v>
      </c>
      <c r="F18" s="1" t="n">
        <f aca="false">Y18-X18</f>
        <v>5</v>
      </c>
      <c r="G18" s="1" t="n">
        <v>5</v>
      </c>
      <c r="H18" s="3" t="s">
        <v>32</v>
      </c>
      <c r="I18" s="3" t="s">
        <v>57</v>
      </c>
      <c r="J18" s="8" t="s">
        <v>38</v>
      </c>
      <c r="K18" s="2" t="str">
        <f aca="false">CONCATENATE(I18," ",J18)</f>
        <v>Gen sp</v>
      </c>
      <c r="L18" s="3" t="n">
        <f aca="false">SUM(P18:U18)</f>
        <v>1</v>
      </c>
      <c r="M18" s="11" t="n">
        <f aca="false">(L18/(F18*G18)*25)*4</f>
        <v>4</v>
      </c>
      <c r="N18" s="1" t="s">
        <v>19</v>
      </c>
      <c r="O18" s="1" t="s">
        <v>54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1</v>
      </c>
      <c r="U18" s="1" t="n">
        <v>0</v>
      </c>
      <c r="V18" s="3" t="n">
        <f aca="false">SUM(P18:Q18)</f>
        <v>0</v>
      </c>
      <c r="W18" s="3" t="n">
        <f aca="false">SUM(R18:T18)</f>
        <v>1</v>
      </c>
      <c r="X18" s="10" t="n">
        <v>40052</v>
      </c>
      <c r="Y18" s="10" t="n">
        <v>40057</v>
      </c>
    </row>
    <row r="19" customFormat="false" ht="14.25" hidden="false" customHeight="false" outlineLevel="0" collapsed="false">
      <c r="A19" s="1" t="n">
        <v>2009</v>
      </c>
      <c r="B19" s="1" t="n">
        <v>2</v>
      </c>
      <c r="C19" s="2" t="s">
        <v>25</v>
      </c>
      <c r="D19" s="7" t="s">
        <v>26</v>
      </c>
      <c r="E19" s="1" t="n">
        <v>1</v>
      </c>
      <c r="F19" s="1" t="n">
        <f aca="false">Y19-X19</f>
        <v>5</v>
      </c>
      <c r="G19" s="1" t="n">
        <v>5</v>
      </c>
      <c r="H19" s="3" t="s">
        <v>32</v>
      </c>
      <c r="I19" s="3" t="s">
        <v>57</v>
      </c>
      <c r="J19" s="8" t="s">
        <v>38</v>
      </c>
      <c r="K19" s="2" t="str">
        <f aca="false">CONCATENATE(I19," ",J19)</f>
        <v>Gen sp</v>
      </c>
      <c r="L19" s="3" t="n">
        <f aca="false">SUM(P19:U19)</f>
        <v>1</v>
      </c>
      <c r="M19" s="11" t="n">
        <f aca="false">(L19/(F19*G19)*25)*4</f>
        <v>4</v>
      </c>
      <c r="N19" s="1" t="s">
        <v>30</v>
      </c>
      <c r="O19" s="1" t="s">
        <v>35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0</v>
      </c>
      <c r="V19" s="3" t="n">
        <f aca="false">SUM(P19:Q19)</f>
        <v>1</v>
      </c>
      <c r="W19" s="3" t="n">
        <f aca="false">SUM(R19:T19)</f>
        <v>0</v>
      </c>
      <c r="X19" s="10" t="n">
        <v>40052</v>
      </c>
      <c r="Y19" s="10" t="n">
        <v>40057</v>
      </c>
    </row>
    <row r="20" customFormat="false" ht="14.25" hidden="false" customHeight="false" outlineLevel="0" collapsed="false">
      <c r="A20" s="1" t="n">
        <v>2009</v>
      </c>
      <c r="B20" s="1" t="n">
        <v>2</v>
      </c>
      <c r="C20" s="2" t="s">
        <v>25</v>
      </c>
      <c r="D20" s="7" t="s">
        <v>26</v>
      </c>
      <c r="E20" s="1" t="n">
        <v>2</v>
      </c>
      <c r="F20" s="1" t="n">
        <f aca="false">Y20-X20</f>
        <v>5</v>
      </c>
      <c r="G20" s="1" t="n">
        <v>5</v>
      </c>
      <c r="H20" s="13" t="s">
        <v>32</v>
      </c>
      <c r="I20" s="13" t="s">
        <v>58</v>
      </c>
      <c r="J20" s="14" t="s">
        <v>59</v>
      </c>
      <c r="K20" s="2" t="str">
        <f aca="false">CONCATENATE(I20," ",J20)</f>
        <v>Allomengea scopigera</v>
      </c>
      <c r="L20" s="3" t="n">
        <f aca="false">SUM(P20:U20)</f>
        <v>1</v>
      </c>
      <c r="M20" s="11" t="n">
        <f aca="false">(L20/(F20*G20)*25)*4</f>
        <v>4</v>
      </c>
      <c r="N20" s="1" t="s">
        <v>30</v>
      </c>
      <c r="O20" s="1" t="s">
        <v>31</v>
      </c>
      <c r="P20" s="1" t="n">
        <v>1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3" t="n">
        <f aca="false">SUM(P20:Q20)</f>
        <v>1</v>
      </c>
      <c r="W20" s="3" t="n">
        <f aca="false">SUM(R20:T20)</f>
        <v>0</v>
      </c>
      <c r="X20" s="10" t="n">
        <v>40052</v>
      </c>
      <c r="Y20" s="10" t="n">
        <v>40057</v>
      </c>
    </row>
    <row r="21" customFormat="false" ht="14.25" hidden="false" customHeight="false" outlineLevel="0" collapsed="false">
      <c r="A21" s="1" t="n">
        <v>2009</v>
      </c>
      <c r="B21" s="1" t="n">
        <v>2</v>
      </c>
      <c r="C21" s="2" t="s">
        <v>25</v>
      </c>
      <c r="D21" s="7" t="s">
        <v>26</v>
      </c>
      <c r="E21" s="1" t="n">
        <v>2</v>
      </c>
      <c r="F21" s="1" t="n">
        <f aca="false">Y21-X21</f>
        <v>5</v>
      </c>
      <c r="G21" s="1" t="n">
        <v>5</v>
      </c>
      <c r="H21" s="3" t="s">
        <v>32</v>
      </c>
      <c r="I21" s="3" t="s">
        <v>33</v>
      </c>
      <c r="J21" s="8" t="s">
        <v>60</v>
      </c>
      <c r="K21" s="2" t="str">
        <f aca="false">CONCATENATE(I21," ",J21)</f>
        <v>Tenuiphantes tenebricola</v>
      </c>
      <c r="L21" s="3" t="n">
        <f aca="false">SUM(P21:U21)</f>
        <v>1</v>
      </c>
      <c r="M21" s="11" t="n">
        <f aca="false">(L21/(F21*G21)*25)*4</f>
        <v>4</v>
      </c>
      <c r="N21" s="1" t="s">
        <v>30</v>
      </c>
      <c r="O21" s="1" t="s">
        <v>31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3" t="n">
        <f aca="false">SUM(P21:Q21)</f>
        <v>1</v>
      </c>
      <c r="W21" s="3" t="n">
        <f aca="false">SUM(R21:T21)</f>
        <v>0</v>
      </c>
      <c r="X21" s="10" t="n">
        <v>40052</v>
      </c>
      <c r="Y21" s="10" t="n">
        <v>40057</v>
      </c>
    </row>
    <row r="22" customFormat="false" ht="14.25" hidden="false" customHeight="false" outlineLevel="0" collapsed="false">
      <c r="A22" s="1" t="n">
        <v>2009</v>
      </c>
      <c r="B22" s="1" t="n">
        <v>2</v>
      </c>
      <c r="C22" s="2" t="s">
        <v>25</v>
      </c>
      <c r="D22" s="7" t="s">
        <v>26</v>
      </c>
      <c r="E22" s="1" t="n">
        <v>2</v>
      </c>
      <c r="F22" s="1" t="n">
        <f aca="false">Y22-X22</f>
        <v>5</v>
      </c>
      <c r="G22" s="1" t="n">
        <v>5</v>
      </c>
      <c r="H22" s="3" t="s">
        <v>27</v>
      </c>
      <c r="I22" s="3" t="s">
        <v>28</v>
      </c>
      <c r="J22" s="8" t="s">
        <v>29</v>
      </c>
      <c r="K22" s="2" t="str">
        <f aca="false">CONCATENATE(I22," ",J22)</f>
        <v>Robertus lividus</v>
      </c>
      <c r="L22" s="3" t="n">
        <f aca="false">SUM(P22:U22)</f>
        <v>1</v>
      </c>
      <c r="M22" s="11" t="n">
        <f aca="false">(L22/(F22*G22)*25)*4</f>
        <v>4</v>
      </c>
      <c r="N22" s="1" t="s">
        <v>30</v>
      </c>
      <c r="O22" s="1" t="s">
        <v>35</v>
      </c>
      <c r="P22" s="1" t="n">
        <v>0</v>
      </c>
      <c r="Q22" s="1" t="n">
        <v>1</v>
      </c>
      <c r="R22" s="1" t="n">
        <v>0</v>
      </c>
      <c r="S22" s="1" t="n">
        <v>0</v>
      </c>
      <c r="T22" s="1" t="n">
        <v>0</v>
      </c>
      <c r="U22" s="1" t="n">
        <v>0</v>
      </c>
      <c r="V22" s="3" t="n">
        <f aca="false">SUM(P22:Q22)</f>
        <v>1</v>
      </c>
      <c r="W22" s="3" t="n">
        <f aca="false">SUM(R22:T22)</f>
        <v>0</v>
      </c>
      <c r="X22" s="10" t="n">
        <v>40052</v>
      </c>
      <c r="Y22" s="10" t="n">
        <v>40057</v>
      </c>
    </row>
    <row r="23" customFormat="false" ht="14.25" hidden="false" customHeight="false" outlineLevel="0" collapsed="false">
      <c r="A23" s="1" t="n">
        <v>2009</v>
      </c>
      <c r="B23" s="1" t="n">
        <v>2</v>
      </c>
      <c r="C23" s="2" t="s">
        <v>25</v>
      </c>
      <c r="D23" s="7" t="s">
        <v>26</v>
      </c>
      <c r="E23" s="1" t="n">
        <v>1</v>
      </c>
      <c r="F23" s="1" t="n">
        <f aca="false">Y23-X23</f>
        <v>5</v>
      </c>
      <c r="G23" s="1" t="n">
        <v>5</v>
      </c>
      <c r="H23" s="3" t="s">
        <v>32</v>
      </c>
      <c r="I23" s="3" t="s">
        <v>33</v>
      </c>
      <c r="J23" s="8" t="s">
        <v>34</v>
      </c>
      <c r="K23" s="2" t="str">
        <f aca="false">CONCATENATE(I23," ",J23)</f>
        <v>Tenuiphantes nigriventris</v>
      </c>
      <c r="L23" s="3" t="n">
        <f aca="false">SUM(P23:U23)</f>
        <v>1</v>
      </c>
      <c r="M23" s="11" t="n">
        <f aca="false">(L23/(F23*G23)*25)*4</f>
        <v>4</v>
      </c>
      <c r="N23" s="1" t="s">
        <v>30</v>
      </c>
      <c r="O23" s="1" t="s">
        <v>31</v>
      </c>
      <c r="P23" s="1" t="n">
        <v>1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3" t="n">
        <f aca="false">SUM(P23:Q23)</f>
        <v>1</v>
      </c>
      <c r="W23" s="3" t="n">
        <f aca="false">SUM(R23:T23)</f>
        <v>0</v>
      </c>
      <c r="X23" s="10" t="n">
        <v>40052</v>
      </c>
      <c r="Y23" s="10" t="n">
        <v>40057</v>
      </c>
    </row>
    <row r="24" customFormat="false" ht="14.25" hidden="false" customHeight="false" outlineLevel="0" collapsed="false">
      <c r="A24" s="1" t="n">
        <v>2009</v>
      </c>
      <c r="B24" s="1" t="n">
        <v>2</v>
      </c>
      <c r="C24" s="2" t="s">
        <v>25</v>
      </c>
      <c r="D24" s="7" t="s">
        <v>26</v>
      </c>
      <c r="E24" s="1" t="n">
        <v>1</v>
      </c>
      <c r="F24" s="1" t="n">
        <f aca="false">Y24-X24</f>
        <v>5</v>
      </c>
      <c r="G24" s="1" t="n">
        <v>5</v>
      </c>
      <c r="H24" s="3" t="s">
        <v>32</v>
      </c>
      <c r="I24" s="3" t="s">
        <v>33</v>
      </c>
      <c r="J24" s="8" t="s">
        <v>34</v>
      </c>
      <c r="K24" s="2" t="str">
        <f aca="false">CONCATENATE(I24," ",J24)</f>
        <v>Tenuiphantes nigriventris</v>
      </c>
      <c r="L24" s="3" t="n">
        <f aca="false">SUM(P24:U24)</f>
        <v>2</v>
      </c>
      <c r="M24" s="11" t="n">
        <f aca="false">(L24/(F24*G24)*25)*4</f>
        <v>8</v>
      </c>
      <c r="N24" s="1" t="s">
        <v>30</v>
      </c>
      <c r="O24" s="1" t="s">
        <v>35</v>
      </c>
      <c r="P24" s="1" t="n">
        <v>0</v>
      </c>
      <c r="Q24" s="1" t="n">
        <v>2</v>
      </c>
      <c r="R24" s="1" t="n">
        <v>0</v>
      </c>
      <c r="S24" s="1" t="n">
        <v>0</v>
      </c>
      <c r="T24" s="1" t="n">
        <v>0</v>
      </c>
      <c r="U24" s="1" t="n">
        <v>0</v>
      </c>
      <c r="V24" s="3" t="n">
        <f aca="false">SUM(P24:Q24)</f>
        <v>2</v>
      </c>
      <c r="W24" s="3" t="n">
        <f aca="false">SUM(R24:T24)</f>
        <v>0</v>
      </c>
      <c r="X24" s="10" t="n">
        <v>40052</v>
      </c>
      <c r="Y24" s="10" t="n">
        <v>40057</v>
      </c>
    </row>
    <row r="25" customFormat="false" ht="14.25" hidden="false" customHeight="false" outlineLevel="0" collapsed="false">
      <c r="A25" s="1" t="n">
        <v>2009</v>
      </c>
      <c r="B25" s="1" t="n">
        <v>2</v>
      </c>
      <c r="C25" s="2" t="s">
        <v>25</v>
      </c>
      <c r="D25" s="7" t="s">
        <v>26</v>
      </c>
      <c r="E25" s="1" t="n">
        <v>1</v>
      </c>
      <c r="F25" s="1" t="n">
        <f aca="false">Y25-X25</f>
        <v>5</v>
      </c>
      <c r="G25" s="1" t="n">
        <v>5</v>
      </c>
      <c r="H25" s="3" t="s">
        <v>32</v>
      </c>
      <c r="I25" s="3" t="s">
        <v>57</v>
      </c>
      <c r="J25" s="8" t="s">
        <v>38</v>
      </c>
      <c r="K25" s="2" t="str">
        <f aca="false">CONCATENATE(I25," ",J25)</f>
        <v>Gen sp</v>
      </c>
      <c r="L25" s="3" t="n">
        <f aca="false">SUM(P25:U25)</f>
        <v>1</v>
      </c>
      <c r="M25" s="11" t="n">
        <f aca="false">(L25/(F25*G25)*25)*4</f>
        <v>4</v>
      </c>
      <c r="N25" s="1" t="s">
        <v>30</v>
      </c>
      <c r="O25" s="1" t="s">
        <v>35</v>
      </c>
      <c r="P25" s="1" t="n">
        <v>0</v>
      </c>
      <c r="Q25" s="1" t="n">
        <v>1</v>
      </c>
      <c r="R25" s="1" t="n">
        <v>0</v>
      </c>
      <c r="S25" s="1" t="n">
        <v>0</v>
      </c>
      <c r="T25" s="1" t="n">
        <v>0</v>
      </c>
      <c r="U25" s="1" t="n">
        <v>0</v>
      </c>
      <c r="V25" s="3" t="n">
        <f aca="false">SUM(P25:Q25)</f>
        <v>1</v>
      </c>
      <c r="W25" s="3" t="n">
        <f aca="false">SUM(R25:T25)</f>
        <v>0</v>
      </c>
      <c r="X25" s="10" t="n">
        <v>40052</v>
      </c>
      <c r="Y25" s="10" t="n">
        <v>40057</v>
      </c>
    </row>
    <row r="26" customFormat="false" ht="14.25" hidden="false" customHeight="false" outlineLevel="0" collapsed="false">
      <c r="A26" s="1" t="n">
        <v>2009</v>
      </c>
      <c r="B26" s="1" t="n">
        <v>2</v>
      </c>
      <c r="C26" s="2" t="s">
        <v>25</v>
      </c>
      <c r="D26" s="7" t="s">
        <v>26</v>
      </c>
      <c r="E26" s="1" t="n">
        <v>1</v>
      </c>
      <c r="F26" s="1" t="n">
        <f aca="false">Y26-X26</f>
        <v>5</v>
      </c>
      <c r="G26" s="1" t="n">
        <v>5</v>
      </c>
      <c r="H26" s="13" t="s">
        <v>32</v>
      </c>
      <c r="I26" s="13" t="s">
        <v>58</v>
      </c>
      <c r="J26" s="14" t="s">
        <v>59</v>
      </c>
      <c r="K26" s="2" t="str">
        <f aca="false">CONCATENATE(I26," ",J26)</f>
        <v>Allomengea scopigera</v>
      </c>
      <c r="L26" s="3" t="n">
        <f aca="false">SUM(P26:U26)</f>
        <v>1</v>
      </c>
      <c r="M26" s="11" t="n">
        <f aca="false">(L26/(F26*G26)*25)*4</f>
        <v>4</v>
      </c>
      <c r="N26" s="1" t="s">
        <v>30</v>
      </c>
      <c r="O26" s="1" t="s">
        <v>31</v>
      </c>
      <c r="P26" s="1" t="n">
        <v>1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3" t="n">
        <f aca="false">SUM(P26:Q26)</f>
        <v>1</v>
      </c>
      <c r="W26" s="3" t="n">
        <f aca="false">SUM(R26:T26)</f>
        <v>0</v>
      </c>
      <c r="X26" s="10" t="n">
        <v>40052</v>
      </c>
      <c r="Y26" s="10" t="n">
        <v>40057</v>
      </c>
    </row>
    <row r="27" customFormat="false" ht="14.25" hidden="false" customHeight="false" outlineLevel="0" collapsed="false">
      <c r="A27" s="1" t="n">
        <v>2009</v>
      </c>
      <c r="B27" s="1" t="n">
        <v>2</v>
      </c>
      <c r="C27" s="2" t="s">
        <v>25</v>
      </c>
      <c r="D27" s="7" t="s">
        <v>26</v>
      </c>
      <c r="E27" s="1" t="n">
        <v>1</v>
      </c>
      <c r="F27" s="1" t="n">
        <f aca="false">Y27-X27</f>
        <v>5</v>
      </c>
      <c r="G27" s="1" t="n">
        <v>5</v>
      </c>
      <c r="H27" s="3" t="s">
        <v>41</v>
      </c>
      <c r="I27" s="3" t="s">
        <v>42</v>
      </c>
      <c r="J27" s="12" t="s">
        <v>43</v>
      </c>
      <c r="K27" s="2" t="str">
        <f aca="false">CONCATENATE(I27," ",J27)</f>
        <v>Agroeca proxima</v>
      </c>
      <c r="L27" s="3" t="n">
        <f aca="false">SUM(P27:U27)</f>
        <v>1</v>
      </c>
      <c r="M27" s="11" t="n">
        <f aca="false">(L27/(F27*G27)*25)*4</f>
        <v>4</v>
      </c>
      <c r="N27" s="1" t="s">
        <v>30</v>
      </c>
      <c r="O27" s="1" t="s">
        <v>35</v>
      </c>
      <c r="P27" s="1" t="n">
        <v>0</v>
      </c>
      <c r="Q27" s="1" t="n">
        <v>1</v>
      </c>
      <c r="R27" s="1" t="n">
        <v>0</v>
      </c>
      <c r="S27" s="1" t="n">
        <v>0</v>
      </c>
      <c r="T27" s="1" t="n">
        <v>0</v>
      </c>
      <c r="U27" s="1" t="n">
        <v>0</v>
      </c>
      <c r="V27" s="3" t="n">
        <f aca="false">SUM(P27:Q27)</f>
        <v>1</v>
      </c>
      <c r="W27" s="3" t="n">
        <f aca="false">SUM(R27:T27)</f>
        <v>0</v>
      </c>
      <c r="X27" s="10" t="n">
        <v>40052</v>
      </c>
      <c r="Y27" s="10" t="n">
        <v>40057</v>
      </c>
    </row>
    <row r="28" customFormat="false" ht="14.25" hidden="false" customHeight="false" outlineLevel="0" collapsed="false">
      <c r="A28" s="1" t="n">
        <v>2009</v>
      </c>
      <c r="B28" s="1" t="n">
        <v>2</v>
      </c>
      <c r="C28" s="2" t="s">
        <v>25</v>
      </c>
      <c r="D28" s="7" t="s">
        <v>26</v>
      </c>
      <c r="E28" s="1" t="n">
        <v>2</v>
      </c>
      <c r="F28" s="1" t="n">
        <f aca="false">Y28-X28</f>
        <v>5</v>
      </c>
      <c r="G28" s="1" t="n">
        <v>5</v>
      </c>
      <c r="H28" s="3" t="s">
        <v>41</v>
      </c>
      <c r="I28" s="3" t="s">
        <v>42</v>
      </c>
      <c r="J28" s="12" t="s">
        <v>43</v>
      </c>
      <c r="K28" s="2" t="str">
        <f aca="false">CONCATENATE(I28," ",J28)</f>
        <v>Agroeca proxima</v>
      </c>
      <c r="L28" s="3" t="n">
        <f aca="false">SUM(P28:U28)</f>
        <v>1</v>
      </c>
      <c r="M28" s="11" t="n">
        <f aca="false">(L28/(F28*G28)*25)*4</f>
        <v>4</v>
      </c>
      <c r="N28" s="1" t="s">
        <v>30</v>
      </c>
      <c r="O28" s="1" t="s">
        <v>35</v>
      </c>
      <c r="P28" s="1" t="n">
        <v>0</v>
      </c>
      <c r="Q28" s="1" t="n">
        <v>1</v>
      </c>
      <c r="R28" s="1" t="n">
        <v>0</v>
      </c>
      <c r="S28" s="1" t="n">
        <v>0</v>
      </c>
      <c r="T28" s="1" t="n">
        <v>0</v>
      </c>
      <c r="U28" s="1" t="n">
        <v>0</v>
      </c>
      <c r="V28" s="3" t="n">
        <f aca="false">SUM(P28:Q28)</f>
        <v>1</v>
      </c>
      <c r="W28" s="3" t="n">
        <f aca="false">SUM(R28:T28)</f>
        <v>0</v>
      </c>
      <c r="X28" s="10" t="n">
        <v>40052</v>
      </c>
      <c r="Y28" s="10" t="n">
        <v>40057</v>
      </c>
    </row>
    <row r="29" customFormat="false" ht="14.25" hidden="false" customHeight="false" outlineLevel="0" collapsed="false">
      <c r="A29" s="1" t="n">
        <v>2009</v>
      </c>
      <c r="B29" s="1" t="n">
        <v>2</v>
      </c>
      <c r="C29" s="2" t="s">
        <v>25</v>
      </c>
      <c r="D29" s="7" t="s">
        <v>26</v>
      </c>
      <c r="E29" s="1" t="n">
        <v>2</v>
      </c>
      <c r="F29" s="1" t="n">
        <f aca="false">Y29-X29</f>
        <v>5</v>
      </c>
      <c r="G29" s="1" t="n">
        <v>5</v>
      </c>
      <c r="H29" s="3" t="s">
        <v>27</v>
      </c>
      <c r="I29" s="3" t="s">
        <v>28</v>
      </c>
      <c r="J29" s="8" t="s">
        <v>29</v>
      </c>
      <c r="K29" s="2" t="str">
        <f aca="false">CONCATENATE(I29," ",J29)</f>
        <v>Robertus lividus</v>
      </c>
      <c r="L29" s="3" t="n">
        <f aca="false">SUM(P29:U29)</f>
        <v>1</v>
      </c>
      <c r="M29" s="11" t="n">
        <f aca="false">(L29/(F29*G29)*25)*4</f>
        <v>4</v>
      </c>
      <c r="N29" s="1" t="s">
        <v>30</v>
      </c>
      <c r="O29" s="1" t="s">
        <v>35</v>
      </c>
      <c r="P29" s="1" t="n">
        <v>0</v>
      </c>
      <c r="Q29" s="1" t="n">
        <v>1</v>
      </c>
      <c r="R29" s="1" t="n">
        <v>0</v>
      </c>
      <c r="S29" s="1" t="n">
        <v>0</v>
      </c>
      <c r="T29" s="1" t="n">
        <v>0</v>
      </c>
      <c r="U29" s="1" t="n">
        <v>0</v>
      </c>
      <c r="V29" s="3" t="n">
        <f aca="false">SUM(P29:Q29)</f>
        <v>1</v>
      </c>
      <c r="W29" s="3" t="n">
        <f aca="false">SUM(R29:T29)</f>
        <v>0</v>
      </c>
      <c r="X29" s="10" t="n">
        <v>40052</v>
      </c>
      <c r="Y29" s="10" t="n">
        <v>40057</v>
      </c>
    </row>
    <row r="30" customFormat="false" ht="14.25" hidden="false" customHeight="false" outlineLevel="0" collapsed="false">
      <c r="A30" s="1" t="n">
        <v>2009</v>
      </c>
      <c r="B30" s="1" t="n">
        <v>2</v>
      </c>
      <c r="C30" s="2" t="s">
        <v>50</v>
      </c>
      <c r="D30" s="7" t="s">
        <v>51</v>
      </c>
      <c r="E30" s="1" t="n">
        <v>1</v>
      </c>
      <c r="F30" s="1" t="n">
        <f aca="false">Y30-X30</f>
        <v>5</v>
      </c>
      <c r="G30" s="1" t="n">
        <v>5</v>
      </c>
      <c r="H30" s="3" t="s">
        <v>48</v>
      </c>
      <c r="I30" s="3" t="s">
        <v>61</v>
      </c>
      <c r="J30" s="8" t="s">
        <v>38</v>
      </c>
      <c r="K30" s="2" t="str">
        <f aca="false">CONCATENATE(I30," ",J30)</f>
        <v>Trochosa sp</v>
      </c>
      <c r="L30" s="3" t="n">
        <f aca="false">SUM(P30:U30)</f>
        <v>1</v>
      </c>
      <c r="M30" s="11" t="n">
        <f aca="false">(L30/(F30*G30)*25)*4</f>
        <v>4</v>
      </c>
      <c r="N30" s="15" t="s">
        <v>19</v>
      </c>
      <c r="O30" s="15" t="s">
        <v>35</v>
      </c>
      <c r="P30" s="1" t="n">
        <v>0</v>
      </c>
      <c r="Q30" s="1" t="n">
        <v>0</v>
      </c>
      <c r="R30" s="1" t="n">
        <v>0</v>
      </c>
      <c r="S30" s="1" t="n">
        <v>1</v>
      </c>
      <c r="T30" s="1" t="n">
        <v>0</v>
      </c>
      <c r="U30" s="1" t="n">
        <v>0</v>
      </c>
      <c r="V30" s="3" t="n">
        <f aca="false">SUM(P30:Q30)</f>
        <v>0</v>
      </c>
      <c r="W30" s="3" t="n">
        <f aca="false">SUM(R30:T30)</f>
        <v>1</v>
      </c>
      <c r="X30" s="10" t="n">
        <v>40052</v>
      </c>
      <c r="Y30" s="10" t="n">
        <v>40057</v>
      </c>
    </row>
    <row r="31" customFormat="false" ht="14.25" hidden="false" customHeight="false" outlineLevel="0" collapsed="false">
      <c r="A31" s="1" t="n">
        <v>2009</v>
      </c>
      <c r="B31" s="1" t="n">
        <v>2</v>
      </c>
      <c r="C31" s="2" t="s">
        <v>50</v>
      </c>
      <c r="D31" s="7" t="s">
        <v>51</v>
      </c>
      <c r="E31" s="1" t="n">
        <v>1</v>
      </c>
      <c r="F31" s="1" t="n">
        <f aca="false">Y31-X31</f>
        <v>5</v>
      </c>
      <c r="G31" s="1" t="n">
        <v>5</v>
      </c>
      <c r="H31" s="3" t="s">
        <v>32</v>
      </c>
      <c r="I31" s="3" t="s">
        <v>57</v>
      </c>
      <c r="J31" s="8" t="s">
        <v>38</v>
      </c>
      <c r="K31" s="2" t="str">
        <f aca="false">CONCATENATE(I31," ",J31)</f>
        <v>Gen sp</v>
      </c>
      <c r="L31" s="3" t="n">
        <f aca="false">SUM(P31:U31)</f>
        <v>1</v>
      </c>
      <c r="M31" s="11" t="n">
        <f aca="false">(L31/(F31*G31)*25)*4</f>
        <v>4</v>
      </c>
      <c r="N31" s="1" t="s">
        <v>19</v>
      </c>
      <c r="O31" s="1" t="s">
        <v>54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1</v>
      </c>
      <c r="U31" s="1" t="n">
        <v>0</v>
      </c>
      <c r="V31" s="3" t="n">
        <f aca="false">SUM(P31:Q31)</f>
        <v>0</v>
      </c>
      <c r="W31" s="3" t="n">
        <f aca="false">SUM(R31:T31)</f>
        <v>1</v>
      </c>
      <c r="X31" s="10" t="n">
        <v>40052</v>
      </c>
      <c r="Y31" s="10" t="n">
        <v>40057</v>
      </c>
    </row>
    <row r="32" customFormat="false" ht="14.25" hidden="false" customHeight="false" outlineLevel="0" collapsed="false">
      <c r="A32" s="1" t="n">
        <v>2009</v>
      </c>
      <c r="B32" s="1" t="n">
        <v>2</v>
      </c>
      <c r="C32" s="2" t="s">
        <v>25</v>
      </c>
      <c r="D32" s="7" t="s">
        <v>26</v>
      </c>
      <c r="E32" s="1" t="n">
        <v>3</v>
      </c>
      <c r="F32" s="1" t="n">
        <f aca="false">Y32-X32</f>
        <v>5</v>
      </c>
      <c r="G32" s="1" t="n">
        <v>4</v>
      </c>
      <c r="H32" s="3" t="s">
        <v>41</v>
      </c>
      <c r="I32" s="3" t="s">
        <v>42</v>
      </c>
      <c r="J32" s="12" t="s">
        <v>43</v>
      </c>
      <c r="K32" s="2" t="str">
        <f aca="false">CONCATENATE(I32," ",J32)</f>
        <v>Agroeca proxima</v>
      </c>
      <c r="L32" s="3" t="n">
        <f aca="false">SUM(P32:U32)</f>
        <v>1</v>
      </c>
      <c r="M32" s="11" t="n">
        <f aca="false">(L32/(F32*G32)*25)*4</f>
        <v>5</v>
      </c>
      <c r="N32" s="1" t="s">
        <v>30</v>
      </c>
      <c r="O32" s="1" t="s">
        <v>31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3" t="n">
        <f aca="false">SUM(P32:Q32)</f>
        <v>1</v>
      </c>
      <c r="W32" s="3" t="n">
        <f aca="false">SUM(R32:T32)</f>
        <v>0</v>
      </c>
      <c r="X32" s="10" t="n">
        <v>40052</v>
      </c>
      <c r="Y32" s="10" t="n">
        <v>40057</v>
      </c>
    </row>
    <row r="33" customFormat="false" ht="14.25" hidden="false" customHeight="false" outlineLevel="0" collapsed="false">
      <c r="A33" s="1" t="n">
        <v>2009</v>
      </c>
      <c r="B33" s="1" t="n">
        <v>2</v>
      </c>
      <c r="C33" s="2" t="s">
        <v>25</v>
      </c>
      <c r="D33" s="7" t="s">
        <v>26</v>
      </c>
      <c r="E33" s="1" t="n">
        <v>3</v>
      </c>
      <c r="F33" s="1" t="n">
        <f aca="false">Y33-X33</f>
        <v>5</v>
      </c>
      <c r="G33" s="1" t="n">
        <v>4</v>
      </c>
      <c r="H33" s="13" t="s">
        <v>32</v>
      </c>
      <c r="I33" s="13" t="s">
        <v>58</v>
      </c>
      <c r="J33" s="14" t="s">
        <v>59</v>
      </c>
      <c r="K33" s="2" t="str">
        <f aca="false">CONCATENATE(I33," ",J33)</f>
        <v>Allomengea scopigera</v>
      </c>
      <c r="L33" s="3" t="n">
        <f aca="false">SUM(P33:U33)</f>
        <v>1</v>
      </c>
      <c r="M33" s="11" t="n">
        <f aca="false">(L33/(F33*G33)*25)*4</f>
        <v>5</v>
      </c>
      <c r="N33" s="1" t="s">
        <v>30</v>
      </c>
      <c r="O33" s="1" t="s">
        <v>31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3" t="n">
        <f aca="false">SUM(P33:Q33)</f>
        <v>1</v>
      </c>
      <c r="W33" s="3" t="n">
        <f aca="false">SUM(R33:T33)</f>
        <v>0</v>
      </c>
      <c r="X33" s="10" t="n">
        <v>40052</v>
      </c>
      <c r="Y33" s="10" t="n">
        <v>40057</v>
      </c>
    </row>
    <row r="34" customFormat="false" ht="14.25" hidden="false" customHeight="false" outlineLevel="0" collapsed="false">
      <c r="A34" s="1" t="n">
        <v>2009</v>
      </c>
      <c r="B34" s="1" t="n">
        <v>2</v>
      </c>
      <c r="C34" s="2" t="s">
        <v>25</v>
      </c>
      <c r="D34" s="7" t="s">
        <v>26</v>
      </c>
      <c r="E34" s="1" t="n">
        <v>3</v>
      </c>
      <c r="F34" s="1" t="n">
        <f aca="false">Y34-X34</f>
        <v>5</v>
      </c>
      <c r="G34" s="1" t="n">
        <v>4</v>
      </c>
      <c r="H34" s="3" t="s">
        <v>32</v>
      </c>
      <c r="I34" s="3" t="s">
        <v>33</v>
      </c>
      <c r="J34" s="8" t="s">
        <v>34</v>
      </c>
      <c r="K34" s="2" t="str">
        <f aca="false">CONCATENATE(I34," ",J34)</f>
        <v>Tenuiphantes nigriventris</v>
      </c>
      <c r="L34" s="3" t="n">
        <f aca="false">SUM(P34:U34)</f>
        <v>1</v>
      </c>
      <c r="M34" s="11" t="n">
        <f aca="false">(L34/(F34*G34)*25)*4</f>
        <v>5</v>
      </c>
      <c r="N34" s="1" t="s">
        <v>30</v>
      </c>
      <c r="O34" s="1" t="s">
        <v>31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3" t="n">
        <f aca="false">SUM(P34:Q34)</f>
        <v>1</v>
      </c>
      <c r="W34" s="3" t="n">
        <f aca="false">SUM(R34:T34)</f>
        <v>0</v>
      </c>
      <c r="X34" s="10" t="n">
        <v>40052</v>
      </c>
      <c r="Y34" s="10" t="n">
        <v>40057</v>
      </c>
    </row>
    <row r="35" customFormat="false" ht="14.25" hidden="false" customHeight="false" outlineLevel="0" collapsed="false">
      <c r="A35" s="1" t="n">
        <v>2009</v>
      </c>
      <c r="B35" s="1" t="n">
        <v>2</v>
      </c>
      <c r="C35" s="2" t="s">
        <v>25</v>
      </c>
      <c r="D35" s="7" t="s">
        <v>26</v>
      </c>
      <c r="E35" s="1" t="n">
        <v>3</v>
      </c>
      <c r="F35" s="1" t="n">
        <f aca="false">Y35-X35</f>
        <v>5</v>
      </c>
      <c r="G35" s="1" t="n">
        <v>4</v>
      </c>
      <c r="H35" s="3" t="s">
        <v>32</v>
      </c>
      <c r="I35" s="3" t="s">
        <v>62</v>
      </c>
      <c r="J35" s="8" t="s">
        <v>63</v>
      </c>
      <c r="K35" s="2" t="str">
        <f aca="false">CONCATENATE(I35," ",J35)</f>
        <v>Microneta viaria</v>
      </c>
      <c r="L35" s="3" t="n">
        <f aca="false">SUM(P35:U35)</f>
        <v>1</v>
      </c>
      <c r="M35" s="11" t="n">
        <f aca="false">(L35/(F35*G35)*25)*4</f>
        <v>5</v>
      </c>
      <c r="N35" s="1" t="s">
        <v>30</v>
      </c>
      <c r="O35" s="1" t="s">
        <v>31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3" t="n">
        <f aca="false">SUM(P35:Q35)</f>
        <v>1</v>
      </c>
      <c r="W35" s="3" t="n">
        <f aca="false">SUM(R35:T35)</f>
        <v>0</v>
      </c>
      <c r="X35" s="10" t="n">
        <v>40052</v>
      </c>
      <c r="Y35" s="10" t="n">
        <v>40057</v>
      </c>
    </row>
    <row r="36" customFormat="false" ht="14.25" hidden="false" customHeight="false" outlineLevel="0" collapsed="false">
      <c r="A36" s="1" t="n">
        <v>2009</v>
      </c>
      <c r="B36" s="1" t="n">
        <v>2</v>
      </c>
      <c r="C36" s="2" t="s">
        <v>50</v>
      </c>
      <c r="D36" s="7" t="s">
        <v>51</v>
      </c>
      <c r="E36" s="1" t="n">
        <v>1</v>
      </c>
      <c r="F36" s="1" t="n">
        <f aca="false">Y36-X36</f>
        <v>5</v>
      </c>
      <c r="G36" s="1" t="n">
        <v>5</v>
      </c>
      <c r="H36" s="3" t="s">
        <v>41</v>
      </c>
      <c r="I36" s="3" t="s">
        <v>42</v>
      </c>
      <c r="J36" s="12" t="s">
        <v>43</v>
      </c>
      <c r="K36" s="2" t="str">
        <f aca="false">CONCATENATE(I36," ",J36)</f>
        <v>Agroeca proxima</v>
      </c>
      <c r="L36" s="3" t="n">
        <f aca="false">SUM(P36:U36)</f>
        <v>2</v>
      </c>
      <c r="M36" s="11" t="n">
        <f aca="false">(L36/(F36*G36)*25)*4</f>
        <v>8</v>
      </c>
      <c r="N36" s="1" t="s">
        <v>30</v>
      </c>
      <c r="O36" s="1" t="s">
        <v>31</v>
      </c>
      <c r="P36" s="1" t="n">
        <v>2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3" t="n">
        <f aca="false">SUM(P36:Q36)</f>
        <v>2</v>
      </c>
      <c r="W36" s="3" t="n">
        <f aca="false">SUM(R36:T36)</f>
        <v>0</v>
      </c>
      <c r="X36" s="10" t="n">
        <v>40051</v>
      </c>
      <c r="Y36" s="10" t="n">
        <v>40056</v>
      </c>
    </row>
    <row r="37" customFormat="false" ht="14.25" hidden="false" customHeight="false" outlineLevel="0" collapsed="false">
      <c r="A37" s="1" t="n">
        <v>2009</v>
      </c>
      <c r="B37" s="1" t="n">
        <v>2</v>
      </c>
      <c r="C37" s="2" t="s">
        <v>50</v>
      </c>
      <c r="D37" s="7" t="s">
        <v>51</v>
      </c>
      <c r="E37" s="1" t="n">
        <v>1</v>
      </c>
      <c r="F37" s="1" t="n">
        <f aca="false">Y37-X37</f>
        <v>5</v>
      </c>
      <c r="G37" s="1" t="n">
        <v>5</v>
      </c>
      <c r="H37" s="3" t="s">
        <v>64</v>
      </c>
      <c r="I37" s="3" t="s">
        <v>65</v>
      </c>
      <c r="J37" s="8" t="s">
        <v>66</v>
      </c>
      <c r="K37" s="2" t="str">
        <f aca="false">CONCATENATE(I37," ",J37)</f>
        <v>Zora Spinimana</v>
      </c>
      <c r="L37" s="3" t="n">
        <f aca="false">SUM(P37:U37)</f>
        <v>1</v>
      </c>
      <c r="M37" s="11" t="n">
        <f aca="false">(L37/(F37*G37)*25)*4</f>
        <v>4</v>
      </c>
      <c r="N37" s="1" t="s">
        <v>30</v>
      </c>
      <c r="O37" s="1" t="s">
        <v>31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3" t="n">
        <f aca="false">SUM(P37:Q37)</f>
        <v>1</v>
      </c>
      <c r="W37" s="3" t="n">
        <f aca="false">SUM(R37:T37)</f>
        <v>0</v>
      </c>
      <c r="X37" s="10" t="n">
        <v>40051</v>
      </c>
      <c r="Y37" s="10" t="n">
        <v>40056</v>
      </c>
    </row>
    <row r="38" customFormat="false" ht="14.25" hidden="false" customHeight="false" outlineLevel="0" collapsed="false">
      <c r="A38" s="1" t="n">
        <v>2009</v>
      </c>
      <c r="B38" s="1" t="n">
        <v>2</v>
      </c>
      <c r="C38" s="2" t="s">
        <v>50</v>
      </c>
      <c r="D38" s="7" t="s">
        <v>51</v>
      </c>
      <c r="E38" s="1" t="n">
        <v>3</v>
      </c>
      <c r="F38" s="1" t="n">
        <f aca="false">Y38-X38</f>
        <v>5</v>
      </c>
      <c r="G38" s="1" t="n">
        <v>5</v>
      </c>
      <c r="H38" s="3" t="s">
        <v>48</v>
      </c>
      <c r="I38" s="3" t="s">
        <v>67</v>
      </c>
      <c r="J38" s="8" t="s">
        <v>38</v>
      </c>
      <c r="K38" s="2" t="str">
        <f aca="false">CONCATENATE(I38," ",J38)</f>
        <v>Pardosa sp</v>
      </c>
      <c r="L38" s="3" t="n">
        <f aca="false">SUM(P38:U38)</f>
        <v>1</v>
      </c>
      <c r="M38" s="11" t="n">
        <f aca="false">(L38/(F38*G38)*25)*4</f>
        <v>4</v>
      </c>
      <c r="N38" s="1" t="s">
        <v>19</v>
      </c>
      <c r="O38" s="1" t="s">
        <v>31</v>
      </c>
      <c r="P38" s="1" t="n">
        <v>0</v>
      </c>
      <c r="Q38" s="1" t="n">
        <v>0</v>
      </c>
      <c r="R38" s="1" t="n">
        <v>1</v>
      </c>
      <c r="S38" s="1" t="n">
        <v>0</v>
      </c>
      <c r="T38" s="1" t="n">
        <v>0</v>
      </c>
      <c r="U38" s="1" t="n">
        <v>0</v>
      </c>
      <c r="V38" s="3" t="n">
        <f aca="false">SUM(P38:Q38)</f>
        <v>0</v>
      </c>
      <c r="W38" s="3" t="n">
        <f aca="false">SUM(R38:T38)</f>
        <v>1</v>
      </c>
      <c r="X38" s="10" t="n">
        <v>40051</v>
      </c>
      <c r="Y38" s="10" t="n">
        <v>40056</v>
      </c>
    </row>
    <row r="39" customFormat="false" ht="14.25" hidden="false" customHeight="false" outlineLevel="0" collapsed="false">
      <c r="A39" s="1" t="n">
        <v>2009</v>
      </c>
      <c r="B39" s="1" t="n">
        <v>2</v>
      </c>
      <c r="C39" s="2" t="s">
        <v>50</v>
      </c>
      <c r="D39" s="7" t="s">
        <v>51</v>
      </c>
      <c r="E39" s="1" t="n">
        <v>3</v>
      </c>
      <c r="F39" s="1" t="n">
        <f aca="false">Y39-X39</f>
        <v>5</v>
      </c>
      <c r="G39" s="1" t="n">
        <v>5</v>
      </c>
      <c r="H39" s="3" t="s">
        <v>36</v>
      </c>
      <c r="I39" s="3" t="s">
        <v>37</v>
      </c>
      <c r="J39" s="8" t="s">
        <v>38</v>
      </c>
      <c r="K39" s="2" t="str">
        <f aca="false">CONCATENATE(I39," ",J39)</f>
        <v>Ozyptila sp</v>
      </c>
      <c r="L39" s="3" t="n">
        <f aca="false">SUM(P39:U39)</f>
        <v>1</v>
      </c>
      <c r="M39" s="11" t="n">
        <f aca="false">(L39/(F39*G39)*25)*4</f>
        <v>4</v>
      </c>
      <c r="N39" s="1" t="s">
        <v>19</v>
      </c>
      <c r="O39" s="1" t="s">
        <v>54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1</v>
      </c>
      <c r="U39" s="1" t="n">
        <v>0</v>
      </c>
      <c r="V39" s="3" t="n">
        <f aca="false">SUM(P39:Q39)</f>
        <v>0</v>
      </c>
      <c r="W39" s="3" t="n">
        <f aca="false">SUM(R39:T39)</f>
        <v>1</v>
      </c>
      <c r="X39" s="10" t="n">
        <v>40051</v>
      </c>
      <c r="Y39" s="10" t="n">
        <v>40056</v>
      </c>
    </row>
    <row r="40" customFormat="false" ht="14.25" hidden="false" customHeight="false" outlineLevel="0" collapsed="false">
      <c r="A40" s="1" t="n">
        <v>2009</v>
      </c>
      <c r="B40" s="1" t="n">
        <v>2</v>
      </c>
      <c r="C40" s="2" t="s">
        <v>50</v>
      </c>
      <c r="D40" s="7" t="s">
        <v>51</v>
      </c>
      <c r="E40" s="1" t="n">
        <v>3</v>
      </c>
      <c r="F40" s="1" t="n">
        <f aca="false">Y40-X40</f>
        <v>5</v>
      </c>
      <c r="G40" s="1" t="n">
        <v>5</v>
      </c>
      <c r="H40" s="3" t="s">
        <v>64</v>
      </c>
      <c r="I40" s="3" t="s">
        <v>65</v>
      </c>
      <c r="J40" s="8" t="s">
        <v>66</v>
      </c>
      <c r="K40" s="2" t="str">
        <f aca="false">CONCATENATE(I40," ",J40)</f>
        <v>Zora Spinimana</v>
      </c>
      <c r="L40" s="3" t="n">
        <f aca="false">SUM(P40:U40)</f>
        <v>1</v>
      </c>
      <c r="M40" s="11" t="n">
        <f aca="false">(L40/(F40*G40)*25)*4</f>
        <v>4</v>
      </c>
      <c r="N40" s="1" t="s">
        <v>30</v>
      </c>
      <c r="O40" s="1" t="s">
        <v>35</v>
      </c>
      <c r="P40" s="1" t="n">
        <v>0</v>
      </c>
      <c r="Q40" s="1" t="n">
        <v>1</v>
      </c>
      <c r="R40" s="1" t="n">
        <v>0</v>
      </c>
      <c r="S40" s="1" t="n">
        <v>0</v>
      </c>
      <c r="T40" s="1" t="n">
        <v>0</v>
      </c>
      <c r="U40" s="1" t="n">
        <v>0</v>
      </c>
      <c r="V40" s="3" t="n">
        <f aca="false">SUM(P40:Q40)</f>
        <v>1</v>
      </c>
      <c r="W40" s="3" t="n">
        <f aca="false">SUM(R40:T40)</f>
        <v>0</v>
      </c>
      <c r="X40" s="10" t="n">
        <v>40051</v>
      </c>
      <c r="Y40" s="10" t="n">
        <v>40056</v>
      </c>
    </row>
    <row r="41" customFormat="false" ht="14.25" hidden="false" customHeight="false" outlineLevel="0" collapsed="false">
      <c r="A41" s="1" t="n">
        <v>2009</v>
      </c>
      <c r="B41" s="1" t="n">
        <v>2</v>
      </c>
      <c r="C41" s="2" t="s">
        <v>50</v>
      </c>
      <c r="D41" s="7" t="s">
        <v>51</v>
      </c>
      <c r="E41" s="1" t="n">
        <v>3</v>
      </c>
      <c r="F41" s="1" t="n">
        <f aca="false">Y41-X41</f>
        <v>5</v>
      </c>
      <c r="G41" s="1" t="n">
        <v>5</v>
      </c>
      <c r="H41" s="3" t="s">
        <v>32</v>
      </c>
      <c r="I41" s="3" t="s">
        <v>68</v>
      </c>
      <c r="J41" s="8" t="s">
        <v>69</v>
      </c>
      <c r="K41" s="2" t="str">
        <f aca="false">CONCATENATE(I41," ",J41)</f>
        <v>Centromerus sylvaticus</v>
      </c>
      <c r="L41" s="3" t="n">
        <f aca="false">SUM(P41:U41)</f>
        <v>1</v>
      </c>
      <c r="M41" s="11" t="n">
        <f aca="false">(L41/(F41*G41)*25)*4</f>
        <v>4</v>
      </c>
      <c r="N41" s="1" t="s">
        <v>30</v>
      </c>
      <c r="O41" s="1" t="s">
        <v>35</v>
      </c>
      <c r="P41" s="1" t="n">
        <v>0</v>
      </c>
      <c r="Q41" s="1" t="n">
        <v>1</v>
      </c>
      <c r="R41" s="1" t="n">
        <v>0</v>
      </c>
      <c r="S41" s="1" t="n">
        <v>0</v>
      </c>
      <c r="T41" s="1" t="n">
        <v>0</v>
      </c>
      <c r="U41" s="1" t="n">
        <v>0</v>
      </c>
      <c r="V41" s="3" t="n">
        <f aca="false">SUM(P41:Q41)</f>
        <v>1</v>
      </c>
      <c r="W41" s="3" t="n">
        <f aca="false">SUM(R41:T41)</f>
        <v>0</v>
      </c>
      <c r="X41" s="10" t="n">
        <v>40051</v>
      </c>
      <c r="Y41" s="10" t="n">
        <v>40056</v>
      </c>
    </row>
    <row r="42" customFormat="false" ht="14.25" hidden="false" customHeight="false" outlineLevel="0" collapsed="false">
      <c r="A42" s="1" t="n">
        <v>2009</v>
      </c>
      <c r="B42" s="1" t="n">
        <v>2</v>
      </c>
      <c r="C42" s="2" t="s">
        <v>50</v>
      </c>
      <c r="D42" s="7" t="s">
        <v>51</v>
      </c>
      <c r="E42" s="1" t="n">
        <v>3</v>
      </c>
      <c r="F42" s="1" t="n">
        <f aca="false">Y42-X42</f>
        <v>5</v>
      </c>
      <c r="G42" s="1" t="n">
        <v>5</v>
      </c>
      <c r="H42" s="3" t="s">
        <v>32</v>
      </c>
      <c r="I42" s="8" t="s">
        <v>70</v>
      </c>
      <c r="J42" s="8" t="s">
        <v>71</v>
      </c>
      <c r="K42" s="2" t="str">
        <f aca="false">CONCATENATE(I42," ",J42)</f>
        <v>Palliduphantes alutacius</v>
      </c>
      <c r="L42" s="3" t="n">
        <f aca="false">SUM(P42:U42)</f>
        <v>1</v>
      </c>
      <c r="M42" s="11" t="n">
        <f aca="false">(L42/(F42*G42)*25)*4</f>
        <v>4</v>
      </c>
      <c r="N42" s="1" t="s">
        <v>30</v>
      </c>
      <c r="O42" s="1" t="s">
        <v>31</v>
      </c>
      <c r="P42" s="1" t="n">
        <v>1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3" t="n">
        <f aca="false">SUM(P42:Q42)</f>
        <v>1</v>
      </c>
      <c r="W42" s="3" t="n">
        <f aca="false">SUM(R42:T42)</f>
        <v>0</v>
      </c>
      <c r="X42" s="10" t="n">
        <v>40051</v>
      </c>
      <c r="Y42" s="10" t="n">
        <v>40056</v>
      </c>
    </row>
    <row r="43" customFormat="false" ht="14.25" hidden="false" customHeight="false" outlineLevel="0" collapsed="false">
      <c r="A43" s="1" t="n">
        <v>2009</v>
      </c>
      <c r="B43" s="1" t="n">
        <v>2</v>
      </c>
      <c r="C43" s="2" t="s">
        <v>50</v>
      </c>
      <c r="D43" s="7" t="s">
        <v>51</v>
      </c>
      <c r="E43" s="1" t="n">
        <v>2</v>
      </c>
      <c r="F43" s="1" t="n">
        <f aca="false">Y43-X43</f>
        <v>5</v>
      </c>
      <c r="G43" s="1" t="n">
        <v>5</v>
      </c>
      <c r="H43" s="3" t="s">
        <v>72</v>
      </c>
      <c r="I43" s="8" t="s">
        <v>73</v>
      </c>
      <c r="J43" s="8" t="s">
        <v>74</v>
      </c>
      <c r="K43" s="2" t="str">
        <f aca="false">CONCATENATE(I43," ",J43)</f>
        <v>Zelotes subterraneus</v>
      </c>
      <c r="L43" s="3" t="n">
        <f aca="false">SUM(P43:U43)</f>
        <v>1</v>
      </c>
      <c r="M43" s="11" t="n">
        <f aca="false">(L43/(F43*G43)*25)*4</f>
        <v>4</v>
      </c>
      <c r="N43" s="1" t="s">
        <v>30</v>
      </c>
      <c r="O43" s="1" t="s">
        <v>35</v>
      </c>
      <c r="P43" s="1" t="n">
        <v>0</v>
      </c>
      <c r="Q43" s="1" t="n">
        <v>1</v>
      </c>
      <c r="R43" s="1" t="n">
        <v>0</v>
      </c>
      <c r="S43" s="1" t="n">
        <v>0</v>
      </c>
      <c r="T43" s="1" t="n">
        <v>0</v>
      </c>
      <c r="U43" s="1" t="n">
        <v>0</v>
      </c>
      <c r="V43" s="3" t="n">
        <f aca="false">SUM(P43:Q43)</f>
        <v>1</v>
      </c>
      <c r="W43" s="3" t="n">
        <f aca="false">SUM(R43:T43)</f>
        <v>0</v>
      </c>
      <c r="X43" s="10" t="n">
        <v>40051</v>
      </c>
      <c r="Y43" s="10" t="n">
        <v>40056</v>
      </c>
    </row>
    <row r="44" customFormat="false" ht="14.25" hidden="false" customHeight="false" outlineLevel="0" collapsed="false">
      <c r="A44" s="1" t="n">
        <v>2009</v>
      </c>
      <c r="B44" s="1" t="n">
        <v>2</v>
      </c>
      <c r="C44" s="2" t="s">
        <v>25</v>
      </c>
      <c r="D44" s="7" t="s">
        <v>26</v>
      </c>
      <c r="E44" s="1" t="n">
        <v>3</v>
      </c>
      <c r="F44" s="1" t="n">
        <f aca="false">Y44-X44</f>
        <v>5</v>
      </c>
      <c r="G44" s="1" t="n">
        <v>4</v>
      </c>
      <c r="H44" s="3" t="s">
        <v>36</v>
      </c>
      <c r="I44" s="3" t="s">
        <v>37</v>
      </c>
      <c r="J44" s="8" t="s">
        <v>75</v>
      </c>
      <c r="K44" s="2" t="str">
        <f aca="false">CONCATENATE(I44," ",J44)</f>
        <v>Ozyptila praticola</v>
      </c>
      <c r="L44" s="3" t="n">
        <f aca="false">SUM(P44:U44)</f>
        <v>1</v>
      </c>
      <c r="M44" s="11" t="n">
        <f aca="false">(L44/(F44*G44)*25)*4</f>
        <v>5</v>
      </c>
      <c r="N44" s="1" t="s">
        <v>30</v>
      </c>
      <c r="O44" s="1" t="s">
        <v>31</v>
      </c>
      <c r="P44" s="1" t="n">
        <v>1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3" t="n">
        <f aca="false">SUM(P44:Q44)</f>
        <v>1</v>
      </c>
      <c r="W44" s="3" t="n">
        <f aca="false">SUM(R44:T44)</f>
        <v>0</v>
      </c>
      <c r="X44" s="10" t="n">
        <v>40052</v>
      </c>
      <c r="Y44" s="10" t="n">
        <v>40057</v>
      </c>
    </row>
    <row r="45" customFormat="false" ht="14.25" hidden="false" customHeight="false" outlineLevel="0" collapsed="false">
      <c r="A45" s="1" t="n">
        <v>2009</v>
      </c>
      <c r="B45" s="1" t="n">
        <v>2</v>
      </c>
      <c r="C45" s="2" t="s">
        <v>25</v>
      </c>
      <c r="D45" s="7" t="s">
        <v>26</v>
      </c>
      <c r="E45" s="1" t="n">
        <v>3</v>
      </c>
      <c r="F45" s="1" t="n">
        <f aca="false">Y45-X45</f>
        <v>5</v>
      </c>
      <c r="G45" s="1" t="n">
        <v>4</v>
      </c>
      <c r="H45" s="3" t="s">
        <v>32</v>
      </c>
      <c r="I45" s="3" t="s">
        <v>76</v>
      </c>
      <c r="J45" s="8" t="s">
        <v>77</v>
      </c>
      <c r="K45" s="2" t="str">
        <f aca="false">CONCATENATE(I45," ",J45)</f>
        <v>Bolyphantes alticeps</v>
      </c>
      <c r="L45" s="3" t="n">
        <f aca="false">SUM(P45:U45)</f>
        <v>1</v>
      </c>
      <c r="M45" s="11" t="n">
        <f aca="false">(L45/(F45*G45)*25)*4</f>
        <v>5</v>
      </c>
      <c r="N45" s="1" t="s">
        <v>30</v>
      </c>
      <c r="O45" s="1" t="s">
        <v>31</v>
      </c>
      <c r="P45" s="1" t="n">
        <v>1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3" t="n">
        <f aca="false">SUM(P45:Q45)</f>
        <v>1</v>
      </c>
      <c r="W45" s="3" t="n">
        <f aca="false">SUM(R45:T45)</f>
        <v>0</v>
      </c>
      <c r="X45" s="10" t="n">
        <v>40052</v>
      </c>
      <c r="Y45" s="10" t="n">
        <v>40057</v>
      </c>
    </row>
    <row r="46" customFormat="false" ht="14.25" hidden="false" customHeight="false" outlineLevel="0" collapsed="false">
      <c r="A46" s="1" t="n">
        <v>2009</v>
      </c>
      <c r="B46" s="1" t="n">
        <v>2</v>
      </c>
      <c r="C46" s="2" t="s">
        <v>25</v>
      </c>
      <c r="D46" s="7" t="s">
        <v>26</v>
      </c>
      <c r="E46" s="1" t="n">
        <v>3</v>
      </c>
      <c r="F46" s="1" t="n">
        <f aca="false">Y46-X46</f>
        <v>5</v>
      </c>
      <c r="G46" s="1" t="n">
        <v>4</v>
      </c>
      <c r="H46" s="3" t="s">
        <v>32</v>
      </c>
      <c r="I46" s="8" t="s">
        <v>70</v>
      </c>
      <c r="J46" s="3" t="s">
        <v>71</v>
      </c>
      <c r="K46" s="2" t="str">
        <f aca="false">CONCATENATE(I46," ",J46)</f>
        <v>Palliduphantes alutacius</v>
      </c>
      <c r="L46" s="3" t="n">
        <f aca="false">SUM(P46:U46)</f>
        <v>1</v>
      </c>
      <c r="M46" s="11" t="n">
        <f aca="false">(L46/(F46*G46)*25)*4</f>
        <v>5</v>
      </c>
      <c r="N46" s="1" t="s">
        <v>30</v>
      </c>
      <c r="O46" s="1" t="s">
        <v>31</v>
      </c>
      <c r="P46" s="1" t="n">
        <v>1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3" t="n">
        <f aca="false">SUM(P46:Q46)</f>
        <v>1</v>
      </c>
      <c r="W46" s="3" t="n">
        <f aca="false">SUM(R46:T46)</f>
        <v>0</v>
      </c>
      <c r="X46" s="10" t="n">
        <v>40052</v>
      </c>
      <c r="Y46" s="10" t="n">
        <v>40057</v>
      </c>
    </row>
    <row r="47" customFormat="false" ht="14.25" hidden="false" customHeight="false" outlineLevel="0" collapsed="false">
      <c r="A47" s="1" t="n">
        <v>2009</v>
      </c>
      <c r="B47" s="1" t="n">
        <v>2</v>
      </c>
      <c r="C47" s="2" t="s">
        <v>25</v>
      </c>
      <c r="D47" s="7" t="s">
        <v>26</v>
      </c>
      <c r="E47" s="1" t="n">
        <v>3</v>
      </c>
      <c r="F47" s="1" t="n">
        <f aca="false">Y47-X47</f>
        <v>5</v>
      </c>
      <c r="G47" s="1" t="n">
        <v>4</v>
      </c>
      <c r="H47" s="3" t="s">
        <v>32</v>
      </c>
      <c r="I47" s="3" t="s">
        <v>33</v>
      </c>
      <c r="J47" s="8" t="s">
        <v>34</v>
      </c>
      <c r="K47" s="2" t="str">
        <f aca="false">CONCATENATE(I47," ",J47)</f>
        <v>Tenuiphantes nigriventris</v>
      </c>
      <c r="L47" s="3" t="n">
        <f aca="false">SUM(P47:U47)</f>
        <v>1</v>
      </c>
      <c r="M47" s="11" t="n">
        <f aca="false">(L47/(F47*G47)*25)*4</f>
        <v>5</v>
      </c>
      <c r="N47" s="1" t="s">
        <v>30</v>
      </c>
      <c r="O47" s="1" t="s">
        <v>35</v>
      </c>
      <c r="P47" s="1" t="n">
        <v>0</v>
      </c>
      <c r="Q47" s="1" t="n">
        <v>1</v>
      </c>
      <c r="R47" s="1" t="n">
        <v>0</v>
      </c>
      <c r="S47" s="1" t="n">
        <v>0</v>
      </c>
      <c r="T47" s="1" t="n">
        <v>0</v>
      </c>
      <c r="U47" s="1" t="n">
        <v>0</v>
      </c>
      <c r="V47" s="3" t="n">
        <f aca="false">SUM(P47:Q47)</f>
        <v>1</v>
      </c>
      <c r="W47" s="3" t="n">
        <f aca="false">SUM(R47:T47)</f>
        <v>0</v>
      </c>
      <c r="X47" s="10" t="n">
        <v>40052</v>
      </c>
      <c r="Y47" s="10" t="n">
        <v>40057</v>
      </c>
    </row>
    <row r="48" customFormat="false" ht="14.25" hidden="false" customHeight="false" outlineLevel="0" collapsed="false">
      <c r="A48" s="1" t="n">
        <v>2009</v>
      </c>
      <c r="B48" s="1" t="n">
        <v>2</v>
      </c>
      <c r="C48" s="2" t="s">
        <v>50</v>
      </c>
      <c r="D48" s="7" t="s">
        <v>51</v>
      </c>
      <c r="E48" s="1" t="n">
        <v>2</v>
      </c>
      <c r="F48" s="1" t="n">
        <f aca="false">Y48-X48</f>
        <v>5</v>
      </c>
      <c r="G48" s="1" t="n">
        <v>5</v>
      </c>
      <c r="H48" s="3" t="s">
        <v>48</v>
      </c>
      <c r="I48" s="3" t="s">
        <v>61</v>
      </c>
      <c r="J48" s="8" t="s">
        <v>38</v>
      </c>
      <c r="K48" s="2" t="str">
        <f aca="false">CONCATENATE(I48," ",J48)</f>
        <v>Trochosa sp</v>
      </c>
      <c r="L48" s="3" t="n">
        <f aca="false">SUM(P48:U48)</f>
        <v>1</v>
      </c>
      <c r="M48" s="11" t="n">
        <f aca="false">(L48/(F48*G48)*25)*4</f>
        <v>4</v>
      </c>
      <c r="N48" s="1" t="s">
        <v>19</v>
      </c>
      <c r="O48" s="1" t="s">
        <v>35</v>
      </c>
      <c r="P48" s="1" t="n">
        <v>0</v>
      </c>
      <c r="Q48" s="1" t="n">
        <v>0</v>
      </c>
      <c r="R48" s="1" t="n">
        <v>0</v>
      </c>
      <c r="S48" s="1" t="n">
        <v>1</v>
      </c>
      <c r="T48" s="1" t="n">
        <v>0</v>
      </c>
      <c r="U48" s="1" t="n">
        <v>0</v>
      </c>
      <c r="V48" s="3" t="n">
        <f aca="false">SUM(P48:Q48)</f>
        <v>0</v>
      </c>
      <c r="W48" s="3" t="n">
        <f aca="false">SUM(R48:T48)</f>
        <v>1</v>
      </c>
      <c r="X48" s="10" t="n">
        <v>40051</v>
      </c>
      <c r="Y48" s="10" t="n">
        <v>40056</v>
      </c>
    </row>
    <row r="49" customFormat="false" ht="14.25" hidden="false" customHeight="false" outlineLevel="0" collapsed="false">
      <c r="A49" s="1" t="n">
        <v>2009</v>
      </c>
      <c r="B49" s="1" t="n">
        <v>2</v>
      </c>
      <c r="C49" s="2" t="s">
        <v>50</v>
      </c>
      <c r="D49" s="7" t="s">
        <v>51</v>
      </c>
      <c r="E49" s="1" t="n">
        <v>2</v>
      </c>
      <c r="F49" s="1" t="n">
        <f aca="false">Y49-X49</f>
        <v>5</v>
      </c>
      <c r="G49" s="1" t="n">
        <v>5</v>
      </c>
      <c r="H49" s="3" t="s">
        <v>41</v>
      </c>
      <c r="I49" s="3" t="s">
        <v>42</v>
      </c>
      <c r="J49" s="12" t="s">
        <v>43</v>
      </c>
      <c r="K49" s="2" t="str">
        <f aca="false">CONCATENATE(I49," ",J49)</f>
        <v>Agroeca proxima</v>
      </c>
      <c r="L49" s="3" t="n">
        <f aca="false">SUM(P49:U49)</f>
        <v>1</v>
      </c>
      <c r="M49" s="11" t="n">
        <f aca="false">(L49/(F49*G49)*25)*4</f>
        <v>4</v>
      </c>
      <c r="N49" s="1" t="s">
        <v>30</v>
      </c>
      <c r="O49" s="1" t="s">
        <v>31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3" t="n">
        <f aca="false">SUM(P49:Q49)</f>
        <v>1</v>
      </c>
      <c r="W49" s="3" t="n">
        <f aca="false">SUM(R49:T49)</f>
        <v>0</v>
      </c>
      <c r="X49" s="10" t="n">
        <v>40051</v>
      </c>
      <c r="Y49" s="10" t="n">
        <v>40056</v>
      </c>
    </row>
    <row r="50" customFormat="false" ht="14.25" hidden="false" customHeight="false" outlineLevel="0" collapsed="false">
      <c r="A50" s="1" t="n">
        <v>2009</v>
      </c>
      <c r="B50" s="1" t="n">
        <v>2</v>
      </c>
      <c r="C50" s="2" t="s">
        <v>50</v>
      </c>
      <c r="D50" s="7" t="s">
        <v>51</v>
      </c>
      <c r="E50" s="1" t="n">
        <v>2</v>
      </c>
      <c r="F50" s="1" t="n">
        <f aca="false">Y50-X50</f>
        <v>5</v>
      </c>
      <c r="G50" s="1" t="n">
        <v>5</v>
      </c>
      <c r="H50" s="3" t="s">
        <v>32</v>
      </c>
      <c r="I50" s="3" t="s">
        <v>57</v>
      </c>
      <c r="J50" s="8" t="s">
        <v>38</v>
      </c>
      <c r="K50" s="2" t="str">
        <f aca="false">CONCATENATE(I50," ",J50)</f>
        <v>Gen sp</v>
      </c>
      <c r="L50" s="3" t="n">
        <f aca="false">SUM(P50:U50)</f>
        <v>1</v>
      </c>
      <c r="M50" s="11" t="n">
        <f aca="false">(L50/(F50*G50)*25)*4</f>
        <v>4</v>
      </c>
      <c r="N50" s="1" t="s">
        <v>19</v>
      </c>
      <c r="O50" s="1" t="s">
        <v>54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1</v>
      </c>
      <c r="U50" s="1" t="n">
        <v>0</v>
      </c>
      <c r="V50" s="3" t="n">
        <f aca="false">SUM(P50:Q50)</f>
        <v>0</v>
      </c>
      <c r="W50" s="3" t="n">
        <f aca="false">SUM(R50:T50)</f>
        <v>1</v>
      </c>
      <c r="X50" s="10" t="n">
        <v>40051</v>
      </c>
      <c r="Y50" s="10" t="n">
        <v>40056</v>
      </c>
    </row>
    <row r="51" customFormat="false" ht="14.25" hidden="false" customHeight="false" outlineLevel="0" collapsed="false">
      <c r="A51" s="1" t="n">
        <v>2009</v>
      </c>
      <c r="B51" s="1" t="n">
        <v>2</v>
      </c>
      <c r="C51" s="2" t="s">
        <v>50</v>
      </c>
      <c r="D51" s="7" t="s">
        <v>51</v>
      </c>
      <c r="E51" s="1" t="n">
        <v>2</v>
      </c>
      <c r="F51" s="1" t="n">
        <f aca="false">Y51-X51</f>
        <v>5</v>
      </c>
      <c r="G51" s="1" t="n">
        <v>5</v>
      </c>
      <c r="H51" s="3" t="s">
        <v>41</v>
      </c>
      <c r="I51" s="3" t="s">
        <v>42</v>
      </c>
      <c r="J51" s="12" t="s">
        <v>43</v>
      </c>
      <c r="K51" s="2" t="str">
        <f aca="false">CONCATENATE(I51," ",J51)</f>
        <v>Agroeca proxima</v>
      </c>
      <c r="L51" s="3" t="n">
        <f aca="false">SUM(P51:U51)</f>
        <v>1</v>
      </c>
      <c r="M51" s="11" t="n">
        <f aca="false">(L51/(F51*G51)*25)*4</f>
        <v>4</v>
      </c>
      <c r="N51" s="1" t="s">
        <v>30</v>
      </c>
      <c r="O51" s="1" t="s">
        <v>31</v>
      </c>
      <c r="P51" s="1" t="n">
        <v>1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3" t="n">
        <f aca="false">SUM(P51:Q51)</f>
        <v>1</v>
      </c>
      <c r="W51" s="3" t="n">
        <f aca="false">SUM(R51:T51)</f>
        <v>0</v>
      </c>
      <c r="X51" s="10" t="n">
        <v>40051</v>
      </c>
      <c r="Y51" s="10" t="n">
        <v>40056</v>
      </c>
    </row>
    <row r="52" customFormat="false" ht="14.25" hidden="false" customHeight="false" outlineLevel="0" collapsed="false">
      <c r="A52" s="1" t="n">
        <v>2009</v>
      </c>
      <c r="B52" s="1" t="n">
        <v>2</v>
      </c>
      <c r="C52" s="2" t="s">
        <v>50</v>
      </c>
      <c r="D52" s="7" t="s">
        <v>51</v>
      </c>
      <c r="E52" s="1" t="n">
        <v>2</v>
      </c>
      <c r="F52" s="1" t="n">
        <f aca="false">Y52-X52</f>
        <v>5</v>
      </c>
      <c r="G52" s="1" t="n">
        <v>5</v>
      </c>
      <c r="H52" s="3" t="s">
        <v>36</v>
      </c>
      <c r="I52" s="3" t="s">
        <v>37</v>
      </c>
      <c r="J52" s="8" t="s">
        <v>75</v>
      </c>
      <c r="K52" s="2" t="str">
        <f aca="false">CONCATENATE(I52," ",J52)</f>
        <v>Ozyptila praticola</v>
      </c>
      <c r="L52" s="3" t="n">
        <f aca="false">SUM(P52:U52)</f>
        <v>1</v>
      </c>
      <c r="M52" s="11" t="n">
        <f aca="false">(L52/(F52*G52)*25)*4</f>
        <v>4</v>
      </c>
      <c r="N52" s="1" t="s">
        <v>30</v>
      </c>
      <c r="O52" s="1" t="s">
        <v>31</v>
      </c>
      <c r="P52" s="1" t="n">
        <v>1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3" t="n">
        <f aca="false">SUM(P52:Q52)</f>
        <v>1</v>
      </c>
      <c r="W52" s="3" t="n">
        <f aca="false">SUM(R52:T52)</f>
        <v>0</v>
      </c>
      <c r="X52" s="10" t="n">
        <v>40051</v>
      </c>
      <c r="Y52" s="10" t="n">
        <v>40056</v>
      </c>
    </row>
    <row r="53" customFormat="false" ht="14.25" hidden="false" customHeight="false" outlineLevel="0" collapsed="false">
      <c r="A53" s="1" t="n">
        <v>2009</v>
      </c>
      <c r="B53" s="1" t="n">
        <v>2</v>
      </c>
      <c r="C53" s="2" t="s">
        <v>50</v>
      </c>
      <c r="D53" s="7" t="s">
        <v>51</v>
      </c>
      <c r="E53" s="1" t="n">
        <v>2</v>
      </c>
      <c r="F53" s="1" t="n">
        <f aca="false">Y53-X53</f>
        <v>5</v>
      </c>
      <c r="G53" s="1" t="n">
        <v>5</v>
      </c>
      <c r="H53" s="3" t="s">
        <v>78</v>
      </c>
      <c r="I53" s="3" t="s">
        <v>79</v>
      </c>
      <c r="J53" s="3" t="s">
        <v>80</v>
      </c>
      <c r="K53" s="2" t="str">
        <f aca="false">CONCATENATE(I53," ",J53)</f>
        <v>Lathys nielseni</v>
      </c>
      <c r="L53" s="3" t="n">
        <f aca="false">SUM(P53:U53)</f>
        <v>1</v>
      </c>
      <c r="M53" s="11" t="n">
        <f aca="false">(L53/(F53*G53)*25)*4</f>
        <v>4</v>
      </c>
      <c r="N53" s="1" t="s">
        <v>30</v>
      </c>
      <c r="O53" s="1" t="s">
        <v>35</v>
      </c>
      <c r="P53" s="1" t="n">
        <v>0</v>
      </c>
      <c r="Q53" s="1" t="n">
        <v>1</v>
      </c>
      <c r="R53" s="1" t="n">
        <v>0</v>
      </c>
      <c r="S53" s="1" t="n">
        <v>0</v>
      </c>
      <c r="T53" s="1" t="n">
        <v>0</v>
      </c>
      <c r="U53" s="1" t="n">
        <v>0</v>
      </c>
      <c r="V53" s="3" t="n">
        <f aca="false">SUM(P53:Q53)</f>
        <v>1</v>
      </c>
      <c r="W53" s="3" t="n">
        <f aca="false">SUM(R53:T53)</f>
        <v>0</v>
      </c>
      <c r="X53" s="10" t="n">
        <v>40051</v>
      </c>
      <c r="Y53" s="10" t="n">
        <v>40056</v>
      </c>
    </row>
    <row r="54" customFormat="false" ht="14.25" hidden="false" customHeight="false" outlineLevel="0" collapsed="false">
      <c r="A54" s="1" t="n">
        <v>2009</v>
      </c>
      <c r="B54" s="1" t="n">
        <v>2</v>
      </c>
      <c r="C54" s="2" t="s">
        <v>50</v>
      </c>
      <c r="D54" s="7" t="s">
        <v>51</v>
      </c>
      <c r="E54" s="1" t="n">
        <v>2</v>
      </c>
      <c r="F54" s="1" t="n">
        <f aca="false">Y54-X54</f>
        <v>5</v>
      </c>
      <c r="G54" s="1" t="n">
        <v>5</v>
      </c>
      <c r="H54" s="3" t="s">
        <v>32</v>
      </c>
      <c r="I54" s="3" t="s">
        <v>57</v>
      </c>
      <c r="J54" s="8" t="s">
        <v>38</v>
      </c>
      <c r="K54" s="2" t="str">
        <f aca="false">CONCATENATE(I54," ",J54)</f>
        <v>Gen sp</v>
      </c>
      <c r="L54" s="3" t="n">
        <f aca="false">SUM(P54:U54)</f>
        <v>1</v>
      </c>
      <c r="M54" s="11" t="n">
        <f aca="false">(L54/(F54*G54)*25)*4</f>
        <v>4</v>
      </c>
      <c r="N54" s="1" t="s">
        <v>19</v>
      </c>
      <c r="O54" s="1" t="s">
        <v>54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1</v>
      </c>
      <c r="U54" s="1" t="n">
        <v>0</v>
      </c>
      <c r="V54" s="3" t="n">
        <f aca="false">SUM(P54:Q54)</f>
        <v>0</v>
      </c>
      <c r="W54" s="3" t="n">
        <f aca="false">SUM(R54:T54)</f>
        <v>1</v>
      </c>
      <c r="X54" s="10" t="n">
        <v>40051</v>
      </c>
      <c r="Y54" s="10" t="n">
        <v>40056</v>
      </c>
    </row>
    <row r="55" customFormat="false" ht="14.25" hidden="false" customHeight="false" outlineLevel="0" collapsed="false">
      <c r="A55" s="1" t="n">
        <v>2009</v>
      </c>
      <c r="B55" s="1" t="n">
        <v>2</v>
      </c>
      <c r="C55" s="2" t="s">
        <v>50</v>
      </c>
      <c r="D55" s="7" t="s">
        <v>51</v>
      </c>
      <c r="E55" s="1" t="n">
        <v>2</v>
      </c>
      <c r="F55" s="1" t="n">
        <f aca="false">Y55-X55</f>
        <v>5</v>
      </c>
      <c r="G55" s="1" t="n">
        <v>5</v>
      </c>
      <c r="H55" s="3" t="s">
        <v>32</v>
      </c>
      <c r="I55" s="3" t="s">
        <v>68</v>
      </c>
      <c r="J55" s="8" t="s">
        <v>69</v>
      </c>
      <c r="K55" s="2" t="str">
        <f aca="false">CONCATENATE(I55," ",J55)</f>
        <v>Centromerus sylvaticus</v>
      </c>
      <c r="L55" s="3" t="n">
        <f aca="false">SUM(P55:U55)</f>
        <v>1</v>
      </c>
      <c r="M55" s="11" t="n">
        <f aca="false">(L55/(F55*G55)*25)*4</f>
        <v>4</v>
      </c>
      <c r="N55" s="1" t="s">
        <v>30</v>
      </c>
      <c r="O55" s="1" t="s">
        <v>35</v>
      </c>
      <c r="P55" s="1" t="n">
        <v>0</v>
      </c>
      <c r="Q55" s="1" t="n">
        <v>1</v>
      </c>
      <c r="R55" s="1" t="n">
        <v>0</v>
      </c>
      <c r="S55" s="1" t="n">
        <v>0</v>
      </c>
      <c r="T55" s="1" t="n">
        <v>0</v>
      </c>
      <c r="U55" s="1" t="n">
        <v>0</v>
      </c>
      <c r="V55" s="3" t="n">
        <f aca="false">SUM(P55:Q55)</f>
        <v>1</v>
      </c>
      <c r="W55" s="3" t="n">
        <f aca="false">SUM(R55:T55)</f>
        <v>0</v>
      </c>
      <c r="X55" s="10" t="n">
        <v>40051</v>
      </c>
      <c r="Y55" s="10" t="n">
        <v>40056</v>
      </c>
    </row>
    <row r="56" customFormat="false" ht="14.25" hidden="false" customHeight="false" outlineLevel="0" collapsed="false">
      <c r="A56" s="1" t="n">
        <v>2009</v>
      </c>
      <c r="B56" s="1" t="n">
        <v>2</v>
      </c>
      <c r="C56" s="2" t="s">
        <v>50</v>
      </c>
      <c r="D56" s="7" t="s">
        <v>51</v>
      </c>
      <c r="E56" s="1" t="n">
        <v>2</v>
      </c>
      <c r="F56" s="1" t="n">
        <f aca="false">Y56-X56</f>
        <v>5</v>
      </c>
      <c r="G56" s="1" t="n">
        <v>5</v>
      </c>
      <c r="H56" s="3" t="s">
        <v>41</v>
      </c>
      <c r="I56" s="3" t="s">
        <v>42</v>
      </c>
      <c r="J56" s="12" t="s">
        <v>43</v>
      </c>
      <c r="K56" s="2" t="str">
        <f aca="false">CONCATENATE(I56," ",J56)</f>
        <v>Agroeca proxima</v>
      </c>
      <c r="L56" s="3" t="n">
        <f aca="false">SUM(P56:U56)</f>
        <v>1</v>
      </c>
      <c r="M56" s="11" t="n">
        <f aca="false">(L56/(F56*G56)*25)*4</f>
        <v>4</v>
      </c>
      <c r="N56" s="1" t="s">
        <v>30</v>
      </c>
      <c r="O56" s="1" t="s">
        <v>31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3" t="n">
        <f aca="false">SUM(P56:Q56)</f>
        <v>1</v>
      </c>
      <c r="W56" s="3" t="n">
        <f aca="false">SUM(R56:T56)</f>
        <v>0</v>
      </c>
      <c r="X56" s="10" t="n">
        <v>40051</v>
      </c>
      <c r="Y56" s="10" t="n">
        <v>40056</v>
      </c>
    </row>
    <row r="57" customFormat="false" ht="14.25" hidden="false" customHeight="false" outlineLevel="0" collapsed="false">
      <c r="A57" s="1" t="n">
        <v>2009</v>
      </c>
      <c r="B57" s="1" t="n">
        <v>2</v>
      </c>
      <c r="C57" s="2" t="s">
        <v>50</v>
      </c>
      <c r="D57" s="7" t="s">
        <v>51</v>
      </c>
      <c r="E57" s="1" t="n">
        <v>3</v>
      </c>
      <c r="F57" s="1" t="n">
        <f aca="false">Y57-X57</f>
        <v>5</v>
      </c>
      <c r="G57" s="1" t="n">
        <v>5</v>
      </c>
      <c r="H57" s="3" t="s">
        <v>41</v>
      </c>
      <c r="I57" s="3" t="s">
        <v>42</v>
      </c>
      <c r="J57" s="12" t="s">
        <v>43</v>
      </c>
      <c r="K57" s="2" t="str">
        <f aca="false">CONCATENATE(I57," ",J57)</f>
        <v>Agroeca proxima</v>
      </c>
      <c r="L57" s="3" t="n">
        <f aca="false">SUM(P57:U57)</f>
        <v>1</v>
      </c>
      <c r="M57" s="11" t="n">
        <f aca="false">(L57/(F57*G57)*25)*4</f>
        <v>4</v>
      </c>
      <c r="N57" s="1" t="s">
        <v>30</v>
      </c>
      <c r="O57" s="1" t="s">
        <v>31</v>
      </c>
      <c r="P57" s="1" t="n">
        <v>1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3" t="n">
        <f aca="false">SUM(P57:Q57)</f>
        <v>1</v>
      </c>
      <c r="W57" s="3" t="n">
        <f aca="false">SUM(R57:T57)</f>
        <v>0</v>
      </c>
      <c r="X57" s="10" t="n">
        <v>40051</v>
      </c>
      <c r="Y57" s="10" t="n">
        <v>40056</v>
      </c>
    </row>
    <row r="58" customFormat="false" ht="14.25" hidden="false" customHeight="false" outlineLevel="0" collapsed="false">
      <c r="A58" s="1" t="n">
        <v>2009</v>
      </c>
      <c r="B58" s="1" t="n">
        <v>2</v>
      </c>
      <c r="C58" s="2" t="s">
        <v>50</v>
      </c>
      <c r="D58" s="7" t="s">
        <v>51</v>
      </c>
      <c r="E58" s="1" t="n">
        <v>3</v>
      </c>
      <c r="F58" s="1" t="n">
        <f aca="false">Y58-X58</f>
        <v>5</v>
      </c>
      <c r="G58" s="1" t="n">
        <v>5</v>
      </c>
      <c r="H58" s="3" t="s">
        <v>32</v>
      </c>
      <c r="I58" s="3" t="s">
        <v>33</v>
      </c>
      <c r="J58" s="8" t="s">
        <v>81</v>
      </c>
      <c r="K58" s="2" t="str">
        <f aca="false">CONCATENATE(I58," ",J58)</f>
        <v>Tenuiphantes mengei</v>
      </c>
      <c r="L58" s="3" t="n">
        <f aca="false">SUM(P58:U58)</f>
        <v>1</v>
      </c>
      <c r="M58" s="11" t="n">
        <f aca="false">(L58/(F58*G58)*25)*4</f>
        <v>4</v>
      </c>
      <c r="N58" s="1" t="s">
        <v>30</v>
      </c>
      <c r="O58" s="1" t="s">
        <v>35</v>
      </c>
      <c r="P58" s="1" t="n">
        <v>0</v>
      </c>
      <c r="Q58" s="1" t="n">
        <v>1</v>
      </c>
      <c r="R58" s="1" t="n">
        <v>0</v>
      </c>
      <c r="S58" s="1" t="n">
        <v>0</v>
      </c>
      <c r="T58" s="1" t="n">
        <v>0</v>
      </c>
      <c r="U58" s="1" t="n">
        <v>0</v>
      </c>
      <c r="V58" s="3" t="n">
        <f aca="false">SUM(P58:Q58)</f>
        <v>1</v>
      </c>
      <c r="W58" s="3" t="n">
        <f aca="false">SUM(R58:T58)</f>
        <v>0</v>
      </c>
      <c r="X58" s="10" t="n">
        <v>40051</v>
      </c>
      <c r="Y58" s="10" t="n">
        <v>40056</v>
      </c>
    </row>
    <row r="59" customFormat="false" ht="14.25" hidden="false" customHeight="false" outlineLevel="0" collapsed="false">
      <c r="A59" s="1" t="n">
        <v>2009</v>
      </c>
      <c r="B59" s="1" t="n">
        <v>2</v>
      </c>
      <c r="C59" s="2" t="s">
        <v>50</v>
      </c>
      <c r="D59" s="7" t="s">
        <v>51</v>
      </c>
      <c r="E59" s="1" t="n">
        <v>3</v>
      </c>
      <c r="F59" s="1" t="n">
        <f aca="false">Y59-X59</f>
        <v>5</v>
      </c>
      <c r="G59" s="1" t="n">
        <v>5</v>
      </c>
      <c r="H59" s="3" t="s">
        <v>32</v>
      </c>
      <c r="I59" s="3" t="s">
        <v>33</v>
      </c>
      <c r="J59" s="8" t="s">
        <v>81</v>
      </c>
      <c r="K59" s="2" t="str">
        <f aca="false">CONCATENATE(I59," ",J59)</f>
        <v>Tenuiphantes mengei</v>
      </c>
      <c r="L59" s="3" t="n">
        <f aca="false">SUM(P59:U59)</f>
        <v>1</v>
      </c>
      <c r="M59" s="11" t="n">
        <f aca="false">(L59/(F59*G59)*25)*4</f>
        <v>4</v>
      </c>
      <c r="N59" s="1" t="s">
        <v>30</v>
      </c>
      <c r="O59" s="1" t="s">
        <v>35</v>
      </c>
      <c r="P59" s="1" t="n">
        <v>0</v>
      </c>
      <c r="Q59" s="1" t="n">
        <v>1</v>
      </c>
      <c r="R59" s="1" t="n">
        <v>0</v>
      </c>
      <c r="S59" s="1" t="n">
        <v>0</v>
      </c>
      <c r="T59" s="1" t="n">
        <v>0</v>
      </c>
      <c r="U59" s="1" t="n">
        <v>0</v>
      </c>
      <c r="V59" s="3" t="n">
        <f aca="false">SUM(P59:Q59)</f>
        <v>1</v>
      </c>
      <c r="W59" s="3" t="n">
        <f aca="false">SUM(R59:T59)</f>
        <v>0</v>
      </c>
      <c r="X59" s="10" t="n">
        <v>40051</v>
      </c>
      <c r="Y59" s="10" t="n">
        <v>40056</v>
      </c>
    </row>
    <row r="60" customFormat="false" ht="14.25" hidden="false" customHeight="false" outlineLevel="0" collapsed="false">
      <c r="A60" s="1" t="n">
        <v>2009</v>
      </c>
      <c r="B60" s="1" t="n">
        <v>2</v>
      </c>
      <c r="C60" s="2" t="s">
        <v>50</v>
      </c>
      <c r="D60" s="7" t="s">
        <v>51</v>
      </c>
      <c r="E60" s="1" t="n">
        <v>3</v>
      </c>
      <c r="F60" s="1" t="n">
        <f aca="false">Y60-X60</f>
        <v>5</v>
      </c>
      <c r="G60" s="1" t="n">
        <v>5</v>
      </c>
      <c r="H60" s="3" t="s">
        <v>41</v>
      </c>
      <c r="I60" s="3" t="s">
        <v>42</v>
      </c>
      <c r="J60" s="12" t="s">
        <v>43</v>
      </c>
      <c r="K60" s="2" t="str">
        <f aca="false">CONCATENATE(I60," ",J60)</f>
        <v>Agroeca proxima</v>
      </c>
      <c r="L60" s="3" t="n">
        <f aca="false">SUM(P60:U60)</f>
        <v>1</v>
      </c>
      <c r="M60" s="11" t="n">
        <f aca="false">(L60/(F60*G60)*25)*4</f>
        <v>4</v>
      </c>
      <c r="N60" s="1" t="s">
        <v>30</v>
      </c>
      <c r="O60" s="1" t="s">
        <v>31</v>
      </c>
      <c r="P60" s="1" t="n">
        <v>1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3" t="n">
        <f aca="false">SUM(P60:Q60)</f>
        <v>1</v>
      </c>
      <c r="W60" s="3" t="n">
        <f aca="false">SUM(R60:T60)</f>
        <v>0</v>
      </c>
      <c r="X60" s="10" t="n">
        <v>40051</v>
      </c>
      <c r="Y60" s="10" t="n">
        <v>40056</v>
      </c>
    </row>
    <row r="61" customFormat="false" ht="14.25" hidden="false" customHeight="false" outlineLevel="0" collapsed="false">
      <c r="A61" s="1" t="n">
        <v>2009</v>
      </c>
      <c r="B61" s="1" t="n">
        <v>2</v>
      </c>
      <c r="C61" s="2" t="s">
        <v>25</v>
      </c>
      <c r="D61" s="7" t="s">
        <v>26</v>
      </c>
      <c r="E61" s="1" t="n">
        <v>1</v>
      </c>
      <c r="F61" s="1" t="n">
        <f aca="false">Y61-X61</f>
        <v>5</v>
      </c>
      <c r="G61" s="1" t="n">
        <v>5</v>
      </c>
      <c r="H61" s="3" t="s">
        <v>32</v>
      </c>
      <c r="I61" s="3" t="s">
        <v>68</v>
      </c>
      <c r="J61" s="8" t="s">
        <v>69</v>
      </c>
      <c r="K61" s="2" t="str">
        <f aca="false">CONCATENATE(I61," ",J61)</f>
        <v>Centromerus sylvaticus</v>
      </c>
      <c r="L61" s="3" t="n">
        <f aca="false">SUM(P61:U61)</f>
        <v>1</v>
      </c>
      <c r="M61" s="11" t="n">
        <f aca="false">(L61/(F61*G61)*25)*4</f>
        <v>4</v>
      </c>
      <c r="N61" s="1" t="s">
        <v>30</v>
      </c>
      <c r="O61" s="1" t="s">
        <v>31</v>
      </c>
      <c r="P61" s="1" t="n">
        <v>1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3" t="n">
        <f aca="false">SUM(P61:Q61)</f>
        <v>1</v>
      </c>
      <c r="W61" s="3" t="n">
        <f aca="false">SUM(R61:T61)</f>
        <v>0</v>
      </c>
      <c r="X61" s="10" t="n">
        <v>40052</v>
      </c>
      <c r="Y61" s="10" t="n">
        <v>40057</v>
      </c>
    </row>
    <row r="62" customFormat="false" ht="14.25" hidden="false" customHeight="false" outlineLevel="0" collapsed="false">
      <c r="A62" s="1" t="n">
        <v>2009</v>
      </c>
      <c r="B62" s="1" t="n">
        <v>2</v>
      </c>
      <c r="C62" s="2" t="s">
        <v>25</v>
      </c>
      <c r="D62" s="7" t="s">
        <v>26</v>
      </c>
      <c r="E62" s="1" t="n">
        <v>1</v>
      </c>
      <c r="F62" s="1" t="n">
        <f aca="false">Y62-X62</f>
        <v>5</v>
      </c>
      <c r="G62" s="1" t="n">
        <v>5</v>
      </c>
      <c r="H62" s="3" t="s">
        <v>48</v>
      </c>
      <c r="I62" s="3" t="s">
        <v>61</v>
      </c>
      <c r="J62" s="8" t="s">
        <v>38</v>
      </c>
      <c r="K62" s="2" t="str">
        <f aca="false">CONCATENATE(I62," ",J62)</f>
        <v>Trochosa sp</v>
      </c>
      <c r="L62" s="3" t="n">
        <f aca="false">SUM(P62:U62)</f>
        <v>1</v>
      </c>
      <c r="M62" s="11" t="n">
        <f aca="false">(L62/(F62*G62)*25)*4</f>
        <v>4</v>
      </c>
      <c r="N62" s="1" t="s">
        <v>19</v>
      </c>
      <c r="O62" s="1" t="s">
        <v>35</v>
      </c>
      <c r="P62" s="1" t="n">
        <v>0</v>
      </c>
      <c r="Q62" s="1" t="n">
        <v>0</v>
      </c>
      <c r="R62" s="1" t="n">
        <v>0</v>
      </c>
      <c r="S62" s="1" t="n">
        <v>1</v>
      </c>
      <c r="T62" s="1" t="n">
        <v>0</v>
      </c>
      <c r="U62" s="1" t="n">
        <v>0</v>
      </c>
      <c r="V62" s="3" t="n">
        <f aca="false">SUM(P62:Q62)</f>
        <v>0</v>
      </c>
      <c r="W62" s="3" t="n">
        <f aca="false">SUM(R62:T62)</f>
        <v>1</v>
      </c>
      <c r="X62" s="10" t="n">
        <v>40052</v>
      </c>
      <c r="Y62" s="10" t="n">
        <v>40057</v>
      </c>
    </row>
    <row r="63" customFormat="false" ht="14.25" hidden="false" customHeight="false" outlineLevel="0" collapsed="false">
      <c r="A63" s="1" t="n">
        <v>2009</v>
      </c>
      <c r="B63" s="1" t="n">
        <v>2</v>
      </c>
      <c r="C63" s="2" t="s">
        <v>25</v>
      </c>
      <c r="D63" s="7" t="s">
        <v>26</v>
      </c>
      <c r="E63" s="1" t="n">
        <v>1</v>
      </c>
      <c r="F63" s="1" t="n">
        <f aca="false">Y63-X63</f>
        <v>5</v>
      </c>
      <c r="G63" s="1" t="n">
        <v>5</v>
      </c>
      <c r="H63" s="3" t="s">
        <v>41</v>
      </c>
      <c r="I63" s="3" t="s">
        <v>42</v>
      </c>
      <c r="J63" s="12" t="s">
        <v>43</v>
      </c>
      <c r="K63" s="2" t="str">
        <f aca="false">CONCATENATE(I63," ",J63)</f>
        <v>Agroeca proxima</v>
      </c>
      <c r="L63" s="3" t="n">
        <f aca="false">SUM(P63:U63)</f>
        <v>1</v>
      </c>
      <c r="M63" s="11" t="n">
        <f aca="false">(L63/(F63*G63)*25)*4</f>
        <v>4</v>
      </c>
      <c r="N63" s="1" t="s">
        <v>30</v>
      </c>
      <c r="O63" s="1" t="s">
        <v>31</v>
      </c>
      <c r="P63" s="1" t="n">
        <v>1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3" t="n">
        <f aca="false">SUM(P63:Q63)</f>
        <v>1</v>
      </c>
      <c r="W63" s="3" t="n">
        <f aca="false">SUM(R63:T63)</f>
        <v>0</v>
      </c>
      <c r="X63" s="10" t="n">
        <v>40052</v>
      </c>
      <c r="Y63" s="10" t="n">
        <v>40057</v>
      </c>
    </row>
    <row r="64" customFormat="false" ht="14.25" hidden="false" customHeight="false" outlineLevel="0" collapsed="false">
      <c r="A64" s="1" t="n">
        <v>2009</v>
      </c>
      <c r="B64" s="1" t="n">
        <v>2</v>
      </c>
      <c r="C64" s="2" t="s">
        <v>25</v>
      </c>
      <c r="D64" s="7" t="s">
        <v>26</v>
      </c>
      <c r="E64" s="1" t="n">
        <v>1</v>
      </c>
      <c r="F64" s="1" t="n">
        <f aca="false">Y64-X64</f>
        <v>5</v>
      </c>
      <c r="G64" s="1" t="n">
        <v>5</v>
      </c>
      <c r="H64" s="3" t="s">
        <v>27</v>
      </c>
      <c r="I64" s="3" t="s">
        <v>28</v>
      </c>
      <c r="J64" s="8" t="s">
        <v>29</v>
      </c>
      <c r="K64" s="2" t="str">
        <f aca="false">CONCATENATE(I64," ",J64)</f>
        <v>Robertus lividus</v>
      </c>
      <c r="L64" s="3" t="n">
        <f aca="false">SUM(P64:U64)</f>
        <v>1</v>
      </c>
      <c r="M64" s="11" t="n">
        <f aca="false">(L64/(F64*G64)*25)*4</f>
        <v>4</v>
      </c>
      <c r="N64" s="1" t="s">
        <v>30</v>
      </c>
      <c r="O64" s="1" t="s">
        <v>35</v>
      </c>
      <c r="P64" s="1" t="n">
        <v>0</v>
      </c>
      <c r="Q64" s="1" t="n">
        <v>1</v>
      </c>
      <c r="R64" s="1" t="n">
        <v>0</v>
      </c>
      <c r="S64" s="1" t="n">
        <v>0</v>
      </c>
      <c r="T64" s="1" t="n">
        <v>0</v>
      </c>
      <c r="U64" s="1" t="n">
        <v>0</v>
      </c>
      <c r="V64" s="3" t="n">
        <f aca="false">SUM(P64:Q64)</f>
        <v>1</v>
      </c>
      <c r="W64" s="3" t="n">
        <f aca="false">SUM(R64:T64)</f>
        <v>0</v>
      </c>
      <c r="X64" s="10" t="n">
        <v>40052</v>
      </c>
      <c r="Y64" s="10" t="n">
        <v>40057</v>
      </c>
    </row>
    <row r="65" customFormat="false" ht="14.25" hidden="false" customHeight="false" outlineLevel="0" collapsed="false">
      <c r="A65" s="1" t="n">
        <v>2009</v>
      </c>
      <c r="B65" s="1" t="n">
        <v>2</v>
      </c>
      <c r="C65" s="2" t="s">
        <v>25</v>
      </c>
      <c r="D65" s="7" t="s">
        <v>26</v>
      </c>
      <c r="E65" s="1" t="n">
        <v>1</v>
      </c>
      <c r="F65" s="1" t="n">
        <f aca="false">Y65-X65</f>
        <v>5</v>
      </c>
      <c r="G65" s="1" t="n">
        <v>5</v>
      </c>
      <c r="H65" s="3" t="s">
        <v>32</v>
      </c>
      <c r="I65" s="3" t="s">
        <v>33</v>
      </c>
      <c r="J65" s="8" t="s">
        <v>60</v>
      </c>
      <c r="K65" s="2" t="str">
        <f aca="false">CONCATENATE(I65," ",J65)</f>
        <v>Tenuiphantes tenebricola</v>
      </c>
      <c r="L65" s="3" t="n">
        <f aca="false">SUM(P65:U65)</f>
        <v>1</v>
      </c>
      <c r="M65" s="11" t="n">
        <f aca="false">(L65/(F65*G65)*25)*4</f>
        <v>4</v>
      </c>
      <c r="N65" s="1" t="s">
        <v>30</v>
      </c>
      <c r="O65" s="1" t="s">
        <v>31</v>
      </c>
      <c r="P65" s="1" t="n">
        <v>1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3" t="n">
        <f aca="false">SUM(P65:Q65)</f>
        <v>1</v>
      </c>
      <c r="W65" s="3" t="n">
        <f aca="false">SUM(R65:T65)</f>
        <v>0</v>
      </c>
      <c r="X65" s="10" t="n">
        <v>40052</v>
      </c>
      <c r="Y65" s="10" t="n">
        <v>40057</v>
      </c>
    </row>
    <row r="66" customFormat="false" ht="14.25" hidden="false" customHeight="false" outlineLevel="0" collapsed="false">
      <c r="A66" s="1" t="n">
        <v>2009</v>
      </c>
      <c r="B66" s="1" t="n">
        <v>2</v>
      </c>
      <c r="C66" s="2" t="s">
        <v>50</v>
      </c>
      <c r="D66" s="7" t="s">
        <v>51</v>
      </c>
      <c r="E66" s="1" t="n">
        <v>3</v>
      </c>
      <c r="F66" s="1" t="n">
        <f aca="false">Y66-X66</f>
        <v>5</v>
      </c>
      <c r="G66" s="1" t="n">
        <v>5</v>
      </c>
      <c r="H66" s="3" t="s">
        <v>48</v>
      </c>
      <c r="I66" s="3" t="s">
        <v>61</v>
      </c>
      <c r="J66" s="8" t="s">
        <v>82</v>
      </c>
      <c r="K66" s="2" t="str">
        <f aca="false">CONCATENATE(I66," ",J66)</f>
        <v>Trochosa terricola</v>
      </c>
      <c r="L66" s="3" t="n">
        <f aca="false">SUM(P66:U66)</f>
        <v>1</v>
      </c>
      <c r="M66" s="11" t="n">
        <f aca="false">(L66/(F66*G66)*25)*4</f>
        <v>4</v>
      </c>
      <c r="N66" s="1" t="s">
        <v>30</v>
      </c>
      <c r="O66" s="1" t="s">
        <v>35</v>
      </c>
      <c r="P66" s="1" t="n">
        <v>0</v>
      </c>
      <c r="Q66" s="1" t="n">
        <v>1</v>
      </c>
      <c r="R66" s="1" t="n">
        <v>0</v>
      </c>
      <c r="S66" s="1" t="n">
        <v>0</v>
      </c>
      <c r="T66" s="1" t="n">
        <v>0</v>
      </c>
      <c r="U66" s="1" t="n">
        <v>0</v>
      </c>
      <c r="V66" s="3" t="n">
        <f aca="false">SUM(P66:Q66)</f>
        <v>1</v>
      </c>
      <c r="W66" s="3" t="n">
        <f aca="false">SUM(R66:T66)</f>
        <v>0</v>
      </c>
      <c r="X66" s="10" t="n">
        <v>40051</v>
      </c>
      <c r="Y66" s="10" t="n">
        <v>40056</v>
      </c>
    </row>
    <row r="67" customFormat="false" ht="14.25" hidden="false" customHeight="false" outlineLevel="0" collapsed="false">
      <c r="A67" s="1" t="n">
        <v>2009</v>
      </c>
      <c r="B67" s="1" t="n">
        <v>2</v>
      </c>
      <c r="C67" s="2" t="s">
        <v>50</v>
      </c>
      <c r="D67" s="7" t="s">
        <v>51</v>
      </c>
      <c r="E67" s="1" t="n">
        <v>3</v>
      </c>
      <c r="F67" s="1" t="n">
        <f aca="false">Y67-X67</f>
        <v>5</v>
      </c>
      <c r="G67" s="1" t="n">
        <v>5</v>
      </c>
      <c r="H67" s="3" t="s">
        <v>48</v>
      </c>
      <c r="I67" s="3" t="s">
        <v>61</v>
      </c>
      <c r="J67" s="8" t="s">
        <v>38</v>
      </c>
      <c r="K67" s="2" t="str">
        <f aca="false">CONCATENATE(I67," ",J67)</f>
        <v>Trochosa sp</v>
      </c>
      <c r="L67" s="3" t="n">
        <f aca="false">SUM(P67:U67)</f>
        <v>1</v>
      </c>
      <c r="M67" s="11" t="n">
        <f aca="false">(L67/(F67*G67)*25)*4</f>
        <v>4</v>
      </c>
      <c r="N67" s="1" t="s">
        <v>19</v>
      </c>
      <c r="O67" s="1" t="s">
        <v>35</v>
      </c>
      <c r="P67" s="1" t="n">
        <v>0</v>
      </c>
      <c r="Q67" s="1" t="n">
        <v>0</v>
      </c>
      <c r="R67" s="1" t="n">
        <v>0</v>
      </c>
      <c r="S67" s="1" t="n">
        <v>1</v>
      </c>
      <c r="T67" s="1" t="n">
        <v>0</v>
      </c>
      <c r="U67" s="1" t="n">
        <v>0</v>
      </c>
      <c r="V67" s="3" t="n">
        <f aca="false">SUM(P67:Q67)</f>
        <v>0</v>
      </c>
      <c r="W67" s="3" t="n">
        <f aca="false">SUM(R67:T67)</f>
        <v>1</v>
      </c>
      <c r="X67" s="10" t="n">
        <v>40051</v>
      </c>
      <c r="Y67" s="10" t="n">
        <v>40056</v>
      </c>
    </row>
    <row r="68" customFormat="false" ht="14.25" hidden="false" customHeight="false" outlineLevel="0" collapsed="false">
      <c r="A68" s="1" t="n">
        <v>2009</v>
      </c>
      <c r="B68" s="1" t="n">
        <v>2</v>
      </c>
      <c r="C68" s="2" t="s">
        <v>50</v>
      </c>
      <c r="D68" s="7" t="s">
        <v>51</v>
      </c>
      <c r="E68" s="1" t="n">
        <v>3</v>
      </c>
      <c r="F68" s="1" t="n">
        <f aca="false">Y68-X68</f>
        <v>5</v>
      </c>
      <c r="G68" s="1" t="n">
        <v>5</v>
      </c>
      <c r="H68" s="3" t="s">
        <v>27</v>
      </c>
      <c r="I68" s="3" t="s">
        <v>28</v>
      </c>
      <c r="J68" s="8" t="s">
        <v>29</v>
      </c>
      <c r="K68" s="2" t="str">
        <f aca="false">CONCATENATE(I68," ",J68)</f>
        <v>Robertus lividus</v>
      </c>
      <c r="L68" s="3" t="n">
        <f aca="false">SUM(P68:U68)</f>
        <v>2</v>
      </c>
      <c r="M68" s="11" t="n">
        <f aca="false">(L68/(F68*G68)*25)*4</f>
        <v>8</v>
      </c>
      <c r="N68" s="1" t="s">
        <v>30</v>
      </c>
      <c r="O68" s="1" t="s">
        <v>31</v>
      </c>
      <c r="P68" s="1" t="n">
        <v>2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3" t="n">
        <f aca="false">SUM(P68:Q68)</f>
        <v>2</v>
      </c>
      <c r="W68" s="3" t="n">
        <f aca="false">SUM(R68:T68)</f>
        <v>0</v>
      </c>
      <c r="X68" s="10" t="n">
        <v>40051</v>
      </c>
      <c r="Y68" s="10" t="n">
        <v>40056</v>
      </c>
    </row>
    <row r="69" customFormat="false" ht="14.25" hidden="false" customHeight="false" outlineLevel="0" collapsed="false">
      <c r="A69" s="1" t="n">
        <v>2009</v>
      </c>
      <c r="B69" s="1" t="n">
        <v>2</v>
      </c>
      <c r="C69" s="2" t="s">
        <v>50</v>
      </c>
      <c r="D69" s="7" t="s">
        <v>51</v>
      </c>
      <c r="E69" s="1" t="n">
        <v>3</v>
      </c>
      <c r="F69" s="1" t="n">
        <f aca="false">Y69-X69</f>
        <v>5</v>
      </c>
      <c r="G69" s="1" t="n">
        <v>5</v>
      </c>
      <c r="H69" s="3" t="s">
        <v>41</v>
      </c>
      <c r="I69" s="3" t="s">
        <v>42</v>
      </c>
      <c r="J69" s="8" t="s">
        <v>38</v>
      </c>
      <c r="K69" s="2" t="str">
        <f aca="false">CONCATENATE(I69," ",J69)</f>
        <v>Agroeca sp</v>
      </c>
      <c r="L69" s="3" t="n">
        <f aca="false">SUM(P69:U69)</f>
        <v>1</v>
      </c>
      <c r="M69" s="11" t="n">
        <f aca="false">(L69/(F69*G69)*25)*4</f>
        <v>4</v>
      </c>
      <c r="N69" s="1" t="s">
        <v>19</v>
      </c>
      <c r="O69" s="1" t="s">
        <v>35</v>
      </c>
      <c r="P69" s="1" t="n">
        <v>0</v>
      </c>
      <c r="Q69" s="1" t="n">
        <v>0</v>
      </c>
      <c r="R69" s="1" t="n">
        <v>0</v>
      </c>
      <c r="S69" s="1" t="n">
        <v>1</v>
      </c>
      <c r="T69" s="1" t="n">
        <v>0</v>
      </c>
      <c r="U69" s="1" t="n">
        <v>0</v>
      </c>
      <c r="V69" s="3" t="n">
        <f aca="false">SUM(P69:Q69)</f>
        <v>0</v>
      </c>
      <c r="W69" s="3" t="n">
        <f aca="false">SUM(R69:T69)</f>
        <v>1</v>
      </c>
      <c r="X69" s="10" t="n">
        <v>40051</v>
      </c>
      <c r="Y69" s="10" t="n">
        <v>40056</v>
      </c>
    </row>
    <row r="70" customFormat="false" ht="14.25" hidden="false" customHeight="false" outlineLevel="0" collapsed="false">
      <c r="A70" s="1" t="n">
        <v>2009</v>
      </c>
      <c r="B70" s="1" t="n">
        <v>2</v>
      </c>
      <c r="C70" s="2" t="s">
        <v>50</v>
      </c>
      <c r="D70" s="7" t="s">
        <v>51</v>
      </c>
      <c r="E70" s="1" t="n">
        <v>2</v>
      </c>
      <c r="F70" s="1" t="n">
        <f aca="false">Y70-X70</f>
        <v>5</v>
      </c>
      <c r="G70" s="1" t="n">
        <v>5</v>
      </c>
      <c r="H70" s="3" t="s">
        <v>48</v>
      </c>
      <c r="I70" s="3" t="s">
        <v>61</v>
      </c>
      <c r="J70" s="8" t="s">
        <v>82</v>
      </c>
      <c r="K70" s="2" t="str">
        <f aca="false">CONCATENATE(I70," ",J70)</f>
        <v>Trochosa terricola</v>
      </c>
      <c r="L70" s="3" t="n">
        <f aca="false">SUM(P70:U70)</f>
        <v>2</v>
      </c>
      <c r="M70" s="11" t="n">
        <f aca="false">(L70/(F70*G70)*25)*4</f>
        <v>8</v>
      </c>
      <c r="N70" s="1" t="s">
        <v>30</v>
      </c>
      <c r="O70" s="1" t="s">
        <v>31</v>
      </c>
      <c r="P70" s="1" t="n">
        <v>2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3" t="n">
        <f aca="false">SUM(P70:Q70)</f>
        <v>2</v>
      </c>
      <c r="W70" s="3" t="n">
        <f aca="false">SUM(R70:T70)</f>
        <v>0</v>
      </c>
      <c r="X70" s="10" t="n">
        <v>40051</v>
      </c>
      <c r="Y70" s="10" t="n">
        <v>40056</v>
      </c>
    </row>
    <row r="71" customFormat="false" ht="14.25" hidden="false" customHeight="false" outlineLevel="0" collapsed="false">
      <c r="A71" s="1" t="n">
        <v>2009</v>
      </c>
      <c r="B71" s="1" t="n">
        <v>2</v>
      </c>
      <c r="C71" s="2" t="s">
        <v>50</v>
      </c>
      <c r="D71" s="7" t="s">
        <v>51</v>
      </c>
      <c r="E71" s="1" t="n">
        <v>2</v>
      </c>
      <c r="F71" s="1" t="n">
        <f aca="false">Y71-X71</f>
        <v>5</v>
      </c>
      <c r="G71" s="1" t="n">
        <v>5</v>
      </c>
      <c r="H71" s="3" t="s">
        <v>41</v>
      </c>
      <c r="I71" s="3" t="s">
        <v>42</v>
      </c>
      <c r="J71" s="12" t="s">
        <v>43</v>
      </c>
      <c r="K71" s="2" t="str">
        <f aca="false">CONCATENATE(I71," ",J71)</f>
        <v>Agroeca proxima</v>
      </c>
      <c r="L71" s="3" t="n">
        <f aca="false">SUM(P71:U71)</f>
        <v>1</v>
      </c>
      <c r="M71" s="11" t="n">
        <f aca="false">(L71/(F71*G71)*25)*4</f>
        <v>4</v>
      </c>
      <c r="N71" s="1" t="s">
        <v>30</v>
      </c>
      <c r="O71" s="1" t="s">
        <v>31</v>
      </c>
      <c r="P71" s="1" t="n">
        <v>1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3" t="n">
        <f aca="false">SUM(P71:Q71)</f>
        <v>1</v>
      </c>
      <c r="W71" s="3" t="n">
        <f aca="false">SUM(R71:T71)</f>
        <v>0</v>
      </c>
      <c r="X71" s="10" t="n">
        <v>40051</v>
      </c>
      <c r="Y71" s="10" t="n">
        <v>40056</v>
      </c>
    </row>
    <row r="72" customFormat="false" ht="14.25" hidden="false" customHeight="false" outlineLevel="0" collapsed="false">
      <c r="A72" s="1" t="n">
        <v>2009</v>
      </c>
      <c r="B72" s="1" t="n">
        <v>2</v>
      </c>
      <c r="C72" s="2" t="s">
        <v>50</v>
      </c>
      <c r="D72" s="7" t="s">
        <v>51</v>
      </c>
      <c r="E72" s="1" t="n">
        <v>2</v>
      </c>
      <c r="F72" s="1" t="n">
        <f aca="false">Y72-X72</f>
        <v>5</v>
      </c>
      <c r="G72" s="1" t="n">
        <v>5</v>
      </c>
      <c r="H72" s="3" t="s">
        <v>36</v>
      </c>
      <c r="I72" s="3" t="s">
        <v>37</v>
      </c>
      <c r="J72" s="8" t="s">
        <v>75</v>
      </c>
      <c r="K72" s="2" t="str">
        <f aca="false">CONCATENATE(I72," ",J72)</f>
        <v>Ozyptila praticola</v>
      </c>
      <c r="L72" s="3" t="n">
        <f aca="false">SUM(P72:U72)</f>
        <v>1</v>
      </c>
      <c r="M72" s="11" t="n">
        <f aca="false">(L72/(F72*G72)*25)*4</f>
        <v>4</v>
      </c>
      <c r="N72" s="1" t="s">
        <v>30</v>
      </c>
      <c r="O72" s="1" t="s">
        <v>31</v>
      </c>
      <c r="P72" s="1" t="n">
        <v>1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3" t="n">
        <f aca="false">SUM(P72:Q72)</f>
        <v>1</v>
      </c>
      <c r="W72" s="3" t="n">
        <f aca="false">SUM(R72:T72)</f>
        <v>0</v>
      </c>
      <c r="X72" s="10" t="n">
        <v>40051</v>
      </c>
      <c r="Y72" s="10" t="n">
        <v>40056</v>
      </c>
    </row>
    <row r="73" customFormat="false" ht="14.25" hidden="false" customHeight="false" outlineLevel="0" collapsed="false">
      <c r="A73" s="1" t="n">
        <v>2009</v>
      </c>
      <c r="B73" s="1" t="n">
        <v>2</v>
      </c>
      <c r="C73" s="2" t="s">
        <v>50</v>
      </c>
      <c r="D73" s="7" t="s">
        <v>51</v>
      </c>
      <c r="E73" s="1" t="n">
        <v>3</v>
      </c>
      <c r="F73" s="1" t="n">
        <f aca="false">Y73-X73</f>
        <v>5</v>
      </c>
      <c r="G73" s="1" t="n">
        <v>5</v>
      </c>
      <c r="H73" s="3" t="s">
        <v>36</v>
      </c>
      <c r="I73" s="3" t="s">
        <v>37</v>
      </c>
      <c r="J73" s="8" t="s">
        <v>75</v>
      </c>
      <c r="K73" s="2" t="str">
        <f aca="false">CONCATENATE(I73," ",J73)</f>
        <v>Ozyptila praticola</v>
      </c>
      <c r="L73" s="3" t="n">
        <f aca="false">SUM(P73:U73)</f>
        <v>1</v>
      </c>
      <c r="M73" s="11" t="n">
        <f aca="false">(L73/(F73*G73)*25)*4</f>
        <v>4</v>
      </c>
      <c r="N73" s="1" t="s">
        <v>30</v>
      </c>
      <c r="O73" s="1" t="s">
        <v>31</v>
      </c>
      <c r="P73" s="1" t="n">
        <v>1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3" t="n">
        <f aca="false">SUM(P73:Q73)</f>
        <v>1</v>
      </c>
      <c r="W73" s="3" t="n">
        <f aca="false">SUM(R73:T73)</f>
        <v>0</v>
      </c>
      <c r="X73" s="10" t="n">
        <v>40051</v>
      </c>
      <c r="Y73" s="10" t="n">
        <v>40056</v>
      </c>
    </row>
    <row r="74" customFormat="false" ht="14.25" hidden="false" customHeight="false" outlineLevel="0" collapsed="false">
      <c r="A74" s="1" t="n">
        <v>2009</v>
      </c>
      <c r="B74" s="1" t="n">
        <v>2</v>
      </c>
      <c r="C74" s="2" t="s">
        <v>50</v>
      </c>
      <c r="D74" s="7" t="s">
        <v>51</v>
      </c>
      <c r="E74" s="1" t="n">
        <v>3</v>
      </c>
      <c r="F74" s="1" t="n">
        <f aca="false">Y74-X74</f>
        <v>5</v>
      </c>
      <c r="G74" s="1" t="n">
        <v>5</v>
      </c>
      <c r="H74" s="3" t="s">
        <v>36</v>
      </c>
      <c r="I74" s="3" t="s">
        <v>37</v>
      </c>
      <c r="J74" s="8" t="s">
        <v>75</v>
      </c>
      <c r="K74" s="2" t="str">
        <f aca="false">CONCATENATE(I74," ",J74)</f>
        <v>Ozyptila praticola</v>
      </c>
      <c r="L74" s="3" t="n">
        <f aca="false">SUM(P74:U74)</f>
        <v>1</v>
      </c>
      <c r="M74" s="11" t="n">
        <f aca="false">(L74/(F74*G74)*25)*4</f>
        <v>4</v>
      </c>
      <c r="N74" s="1" t="s">
        <v>30</v>
      </c>
      <c r="O74" s="1" t="s">
        <v>35</v>
      </c>
      <c r="P74" s="1" t="n">
        <v>0</v>
      </c>
      <c r="Q74" s="1" t="n">
        <v>1</v>
      </c>
      <c r="R74" s="1" t="n">
        <v>0</v>
      </c>
      <c r="S74" s="1" t="n">
        <v>0</v>
      </c>
      <c r="T74" s="1" t="n">
        <v>0</v>
      </c>
      <c r="U74" s="1" t="n">
        <v>0</v>
      </c>
      <c r="V74" s="3" t="n">
        <f aca="false">SUM(P74:Q74)</f>
        <v>1</v>
      </c>
      <c r="W74" s="3" t="n">
        <f aca="false">SUM(R74:T74)</f>
        <v>0</v>
      </c>
      <c r="X74" s="10" t="n">
        <v>40051</v>
      </c>
      <c r="Y74" s="10" t="n">
        <v>40056</v>
      </c>
    </row>
    <row r="75" customFormat="false" ht="14.25" hidden="false" customHeight="false" outlineLevel="0" collapsed="false">
      <c r="A75" s="1" t="n">
        <v>2009</v>
      </c>
      <c r="B75" s="1" t="n">
        <v>2</v>
      </c>
      <c r="C75" s="2" t="s">
        <v>50</v>
      </c>
      <c r="D75" s="7" t="s">
        <v>51</v>
      </c>
      <c r="E75" s="1" t="n">
        <v>3</v>
      </c>
      <c r="F75" s="1" t="n">
        <f aca="false">Y75-X75</f>
        <v>5</v>
      </c>
      <c r="G75" s="1" t="n">
        <v>5</v>
      </c>
      <c r="H75" s="3" t="s">
        <v>48</v>
      </c>
      <c r="I75" s="3" t="s">
        <v>67</v>
      </c>
      <c r="J75" s="8" t="s">
        <v>38</v>
      </c>
      <c r="K75" s="2" t="str">
        <f aca="false">CONCATENATE(I75," ",J75)</f>
        <v>Pardosa sp</v>
      </c>
      <c r="L75" s="3" t="n">
        <f aca="false">SUM(P75:U75)</f>
        <v>1</v>
      </c>
      <c r="M75" s="11" t="n">
        <f aca="false">(L75/(F75*G75)*25)*4</f>
        <v>4</v>
      </c>
      <c r="N75" s="1" t="s">
        <v>19</v>
      </c>
      <c r="O75" s="1" t="s">
        <v>54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1</v>
      </c>
      <c r="U75" s="1" t="n">
        <v>0</v>
      </c>
      <c r="V75" s="3" t="n">
        <f aca="false">SUM(P75:Q75)</f>
        <v>0</v>
      </c>
      <c r="W75" s="3" t="n">
        <f aca="false">SUM(R75:T75)</f>
        <v>1</v>
      </c>
      <c r="X75" s="10" t="n">
        <v>40051</v>
      </c>
      <c r="Y75" s="10" t="n">
        <v>40056</v>
      </c>
    </row>
    <row r="76" customFormat="false" ht="14.25" hidden="false" customHeight="false" outlineLevel="0" collapsed="false">
      <c r="A76" s="1" t="n">
        <v>2009</v>
      </c>
      <c r="B76" s="1" t="n">
        <v>2</v>
      </c>
      <c r="C76" s="2" t="s">
        <v>50</v>
      </c>
      <c r="D76" s="7" t="s">
        <v>51</v>
      </c>
      <c r="E76" s="1" t="n">
        <v>3</v>
      </c>
      <c r="F76" s="1" t="n">
        <f aca="false">Y76-X76</f>
        <v>5</v>
      </c>
      <c r="G76" s="1" t="n">
        <v>5</v>
      </c>
      <c r="H76" s="3" t="s">
        <v>27</v>
      </c>
      <c r="I76" s="3" t="s">
        <v>28</v>
      </c>
      <c r="J76" s="8" t="s">
        <v>29</v>
      </c>
      <c r="K76" s="2" t="str">
        <f aca="false">CONCATENATE(I76," ",J76)</f>
        <v>Robertus lividus</v>
      </c>
      <c r="L76" s="3" t="n">
        <f aca="false">SUM(P76:U76)</f>
        <v>1</v>
      </c>
      <c r="M76" s="11" t="n">
        <f aca="false">(L76/(F76*G76)*25)*4</f>
        <v>4</v>
      </c>
      <c r="N76" s="1" t="s">
        <v>30</v>
      </c>
      <c r="O76" s="1" t="s">
        <v>31</v>
      </c>
      <c r="P76" s="1" t="n">
        <v>1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3" t="n">
        <f aca="false">SUM(P76:Q76)</f>
        <v>1</v>
      </c>
      <c r="W76" s="3" t="n">
        <f aca="false">SUM(R76:T76)</f>
        <v>0</v>
      </c>
      <c r="X76" s="10" t="n">
        <v>40051</v>
      </c>
      <c r="Y76" s="10" t="n">
        <v>40056</v>
      </c>
    </row>
    <row r="77" customFormat="false" ht="14.25" hidden="false" customHeight="false" outlineLevel="0" collapsed="false">
      <c r="A77" s="1" t="n">
        <v>2009</v>
      </c>
      <c r="B77" s="1" t="n">
        <v>2</v>
      </c>
      <c r="C77" s="2" t="s">
        <v>50</v>
      </c>
      <c r="D77" s="7" t="s">
        <v>51</v>
      </c>
      <c r="E77" s="1" t="n">
        <v>1</v>
      </c>
      <c r="F77" s="1" t="n">
        <f aca="false">Y77-X77</f>
        <v>5</v>
      </c>
      <c r="G77" s="1" t="n">
        <v>5</v>
      </c>
      <c r="H77" s="3" t="s">
        <v>41</v>
      </c>
      <c r="I77" s="3" t="s">
        <v>42</v>
      </c>
      <c r="J77" s="12" t="s">
        <v>43</v>
      </c>
      <c r="K77" s="2" t="str">
        <f aca="false">CONCATENATE(I77," ",J77)</f>
        <v>Agroeca proxima</v>
      </c>
      <c r="L77" s="3" t="n">
        <f aca="false">SUM(P77:U77)</f>
        <v>3</v>
      </c>
      <c r="M77" s="11" t="n">
        <f aca="false">(L77/(F77*G77)*25)*4</f>
        <v>12</v>
      </c>
      <c r="N77" s="1" t="s">
        <v>30</v>
      </c>
      <c r="O77" s="1" t="s">
        <v>31</v>
      </c>
      <c r="P77" s="1" t="n">
        <v>3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3" t="n">
        <f aca="false">SUM(P77:Q77)</f>
        <v>3</v>
      </c>
      <c r="W77" s="3" t="n">
        <f aca="false">SUM(R77:T77)</f>
        <v>0</v>
      </c>
      <c r="X77" s="10" t="n">
        <v>40051</v>
      </c>
      <c r="Y77" s="10" t="n">
        <v>40056</v>
      </c>
    </row>
    <row r="78" customFormat="false" ht="14.25" hidden="false" customHeight="false" outlineLevel="0" collapsed="false">
      <c r="A78" s="1" t="n">
        <v>2009</v>
      </c>
      <c r="B78" s="1" t="n">
        <v>2</v>
      </c>
      <c r="C78" s="2" t="s">
        <v>50</v>
      </c>
      <c r="D78" s="7" t="s">
        <v>51</v>
      </c>
      <c r="E78" s="1" t="n">
        <v>1</v>
      </c>
      <c r="F78" s="1" t="n">
        <f aca="false">Y78-X78</f>
        <v>5</v>
      </c>
      <c r="G78" s="1" t="n">
        <v>5</v>
      </c>
      <c r="H78" s="3" t="s">
        <v>41</v>
      </c>
      <c r="I78" s="3" t="s">
        <v>42</v>
      </c>
      <c r="J78" s="12" t="s">
        <v>43</v>
      </c>
      <c r="K78" s="2" t="str">
        <f aca="false">CONCATENATE(I78," ",J78)</f>
        <v>Agroeca proxima</v>
      </c>
      <c r="L78" s="3" t="n">
        <f aca="false">SUM(P78:U78)</f>
        <v>1</v>
      </c>
      <c r="M78" s="11" t="n">
        <f aca="false">(L78/(F78*G78)*25)*4</f>
        <v>4</v>
      </c>
      <c r="N78" s="1" t="s">
        <v>30</v>
      </c>
      <c r="O78" s="1" t="s">
        <v>35</v>
      </c>
      <c r="P78" s="1" t="n">
        <v>0</v>
      </c>
      <c r="Q78" s="1" t="n">
        <v>1</v>
      </c>
      <c r="R78" s="1" t="n">
        <v>0</v>
      </c>
      <c r="S78" s="1" t="n">
        <v>0</v>
      </c>
      <c r="T78" s="1" t="n">
        <v>0</v>
      </c>
      <c r="U78" s="1" t="n">
        <v>0</v>
      </c>
      <c r="V78" s="3" t="n">
        <f aca="false">SUM(P78:Q78)</f>
        <v>1</v>
      </c>
      <c r="W78" s="3" t="n">
        <f aca="false">SUM(R78:T78)</f>
        <v>0</v>
      </c>
      <c r="X78" s="10" t="n">
        <v>40051</v>
      </c>
      <c r="Y78" s="10" t="n">
        <v>40056</v>
      </c>
    </row>
    <row r="79" customFormat="false" ht="14.25" hidden="false" customHeight="false" outlineLevel="0" collapsed="false">
      <c r="A79" s="1" t="n">
        <v>2009</v>
      </c>
      <c r="B79" s="1" t="n">
        <v>2</v>
      </c>
      <c r="C79" s="2" t="s">
        <v>50</v>
      </c>
      <c r="D79" s="7" t="s">
        <v>51</v>
      </c>
      <c r="E79" s="1" t="n">
        <v>1</v>
      </c>
      <c r="F79" s="1" t="n">
        <f aca="false">Y79-X79</f>
        <v>5</v>
      </c>
      <c r="G79" s="1" t="n">
        <v>5</v>
      </c>
      <c r="H79" s="3" t="s">
        <v>72</v>
      </c>
      <c r="I79" s="3" t="s">
        <v>73</v>
      </c>
      <c r="J79" s="8" t="s">
        <v>38</v>
      </c>
      <c r="K79" s="2" t="str">
        <f aca="false">CONCATENATE(I79," ",J79)</f>
        <v>Zelotes sp</v>
      </c>
      <c r="L79" s="3" t="n">
        <f aca="false">SUM(P79:U79)</f>
        <v>1</v>
      </c>
      <c r="M79" s="11" t="n">
        <f aca="false">(L79/(F79*G79)*25)*4</f>
        <v>4</v>
      </c>
      <c r="N79" s="1" t="s">
        <v>19</v>
      </c>
      <c r="O79" s="1" t="s">
        <v>31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0</v>
      </c>
      <c r="V79" s="3" t="n">
        <f aca="false">SUM(P79:Q79)</f>
        <v>0</v>
      </c>
      <c r="W79" s="3" t="n">
        <f aca="false">SUM(R79:T79)</f>
        <v>1</v>
      </c>
      <c r="X79" s="10" t="n">
        <v>40051</v>
      </c>
      <c r="Y79" s="10" t="n">
        <v>40056</v>
      </c>
    </row>
    <row r="80" customFormat="false" ht="14.25" hidden="false" customHeight="false" outlineLevel="0" collapsed="false">
      <c r="A80" s="1" t="n">
        <v>2009</v>
      </c>
      <c r="B80" s="1" t="n">
        <v>2</v>
      </c>
      <c r="C80" s="2" t="s">
        <v>50</v>
      </c>
      <c r="D80" s="7" t="s">
        <v>83</v>
      </c>
      <c r="E80" s="1" t="n">
        <v>1</v>
      </c>
      <c r="F80" s="1" t="n">
        <f aca="false">Y80-X80</f>
        <v>5</v>
      </c>
      <c r="G80" s="1" t="n">
        <v>5</v>
      </c>
      <c r="H80" s="3" t="s">
        <v>48</v>
      </c>
      <c r="I80" s="3" t="s">
        <v>61</v>
      </c>
      <c r="J80" s="8" t="s">
        <v>82</v>
      </c>
      <c r="K80" s="2" t="str">
        <f aca="false">CONCATENATE(I80," ",J80)</f>
        <v>Trochosa terricola</v>
      </c>
      <c r="L80" s="3" t="n">
        <f aca="false">SUM(P80:U80)</f>
        <v>1</v>
      </c>
      <c r="M80" s="11" t="n">
        <f aca="false">(L80/(F80*G80)*25)*4</f>
        <v>4</v>
      </c>
      <c r="N80" s="1" t="s">
        <v>30</v>
      </c>
      <c r="O80" s="1" t="s">
        <v>35</v>
      </c>
      <c r="P80" s="1" t="n">
        <v>0</v>
      </c>
      <c r="Q80" s="1" t="n">
        <v>1</v>
      </c>
      <c r="R80" s="1" t="n">
        <v>0</v>
      </c>
      <c r="S80" s="1" t="n">
        <v>0</v>
      </c>
      <c r="T80" s="1" t="n">
        <v>0</v>
      </c>
      <c r="U80" s="1" t="n">
        <v>0</v>
      </c>
      <c r="V80" s="3" t="n">
        <f aca="false">SUM(P80:Q80)</f>
        <v>1</v>
      </c>
      <c r="W80" s="3" t="n">
        <f aca="false">SUM(R80:T80)</f>
        <v>0</v>
      </c>
      <c r="X80" s="10" t="n">
        <v>40051</v>
      </c>
      <c r="Y80" s="10" t="n">
        <v>40056</v>
      </c>
    </row>
    <row r="81" customFormat="false" ht="14.25" hidden="false" customHeight="false" outlineLevel="0" collapsed="false">
      <c r="A81" s="1" t="n">
        <v>2009</v>
      </c>
      <c r="B81" s="1" t="n">
        <v>2</v>
      </c>
      <c r="C81" s="2" t="s">
        <v>50</v>
      </c>
      <c r="D81" s="7" t="s">
        <v>83</v>
      </c>
      <c r="E81" s="1" t="n">
        <v>1</v>
      </c>
      <c r="F81" s="1" t="n">
        <f aca="false">Y81-X81</f>
        <v>5</v>
      </c>
      <c r="G81" s="1" t="n">
        <v>5</v>
      </c>
      <c r="H81" s="3" t="s">
        <v>27</v>
      </c>
      <c r="I81" s="3" t="s">
        <v>28</v>
      </c>
      <c r="J81" s="8" t="s">
        <v>29</v>
      </c>
      <c r="K81" s="2" t="str">
        <f aca="false">CONCATENATE(I81," ",J81)</f>
        <v>Robertus lividus</v>
      </c>
      <c r="L81" s="3" t="n">
        <f aca="false">SUM(P81:U81)</f>
        <v>1</v>
      </c>
      <c r="M81" s="11" t="n">
        <f aca="false">(L81/(F81*G81)*25)*4</f>
        <v>4</v>
      </c>
      <c r="N81" s="1" t="s">
        <v>30</v>
      </c>
      <c r="O81" s="1" t="s">
        <v>31</v>
      </c>
      <c r="P81" s="1" t="n">
        <v>1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3" t="n">
        <f aca="false">SUM(P81:Q81)</f>
        <v>1</v>
      </c>
      <c r="W81" s="3" t="n">
        <f aca="false">SUM(R81:T81)</f>
        <v>0</v>
      </c>
      <c r="X81" s="10" t="n">
        <v>40051</v>
      </c>
      <c r="Y81" s="10" t="n">
        <v>40056</v>
      </c>
    </row>
    <row r="82" customFormat="false" ht="14.25" hidden="false" customHeight="false" outlineLevel="0" collapsed="false">
      <c r="A82" s="1" t="n">
        <v>2009</v>
      </c>
      <c r="B82" s="1" t="n">
        <v>2</v>
      </c>
      <c r="C82" s="2" t="s">
        <v>50</v>
      </c>
      <c r="D82" s="7" t="s">
        <v>83</v>
      </c>
      <c r="E82" s="1" t="n">
        <v>1</v>
      </c>
      <c r="F82" s="1" t="n">
        <f aca="false">Y82-X82</f>
        <v>5</v>
      </c>
      <c r="G82" s="1" t="n">
        <v>5</v>
      </c>
      <c r="H82" s="3" t="s">
        <v>41</v>
      </c>
      <c r="I82" s="3" t="s">
        <v>42</v>
      </c>
      <c r="J82" s="12" t="s">
        <v>43</v>
      </c>
      <c r="K82" s="2" t="str">
        <f aca="false">CONCATENATE(I82," ",J82)</f>
        <v>Agroeca proxima</v>
      </c>
      <c r="L82" s="3" t="n">
        <f aca="false">SUM(P82:U82)</f>
        <v>1</v>
      </c>
      <c r="M82" s="11" t="n">
        <f aca="false">(L82/(F82*G82)*25)*4</f>
        <v>4</v>
      </c>
      <c r="N82" s="1" t="s">
        <v>30</v>
      </c>
      <c r="O82" s="1" t="s">
        <v>35</v>
      </c>
      <c r="P82" s="1" t="n">
        <v>0</v>
      </c>
      <c r="Q82" s="1" t="n">
        <v>1</v>
      </c>
      <c r="R82" s="1" t="n">
        <v>0</v>
      </c>
      <c r="S82" s="1" t="n">
        <v>0</v>
      </c>
      <c r="T82" s="1" t="n">
        <v>0</v>
      </c>
      <c r="U82" s="1" t="n">
        <v>0</v>
      </c>
      <c r="V82" s="3" t="n">
        <f aca="false">SUM(P82:Q82)</f>
        <v>1</v>
      </c>
      <c r="W82" s="3" t="n">
        <f aca="false">SUM(R82:T82)</f>
        <v>0</v>
      </c>
      <c r="X82" s="10" t="n">
        <v>40051</v>
      </c>
      <c r="Y82" s="10" t="n">
        <v>40056</v>
      </c>
    </row>
    <row r="83" customFormat="false" ht="14.25" hidden="false" customHeight="false" outlineLevel="0" collapsed="false">
      <c r="A83" s="1" t="n">
        <v>2009</v>
      </c>
      <c r="B83" s="1" t="n">
        <v>2</v>
      </c>
      <c r="C83" s="2" t="s">
        <v>50</v>
      </c>
      <c r="D83" s="7" t="s">
        <v>83</v>
      </c>
      <c r="E83" s="1" t="n">
        <v>2</v>
      </c>
      <c r="F83" s="1" t="n">
        <f aca="false">Y83-X83</f>
        <v>5</v>
      </c>
      <c r="G83" s="1" t="n">
        <v>5</v>
      </c>
      <c r="H83" s="3" t="s">
        <v>32</v>
      </c>
      <c r="I83" s="3" t="s">
        <v>84</v>
      </c>
      <c r="J83" s="12" t="s">
        <v>85</v>
      </c>
      <c r="K83" s="2" t="str">
        <f aca="false">CONCATENATE(I83," ",J83)</f>
        <v>Walckenaeria antica</v>
      </c>
      <c r="L83" s="3" t="n">
        <f aca="false">SUM(P83:U83)</f>
        <v>1</v>
      </c>
      <c r="M83" s="11" t="n">
        <f aca="false">(L83/(F83*G83)*25)*4</f>
        <v>4</v>
      </c>
      <c r="N83" s="1" t="s">
        <v>30</v>
      </c>
      <c r="O83" s="1" t="s">
        <v>31</v>
      </c>
      <c r="P83" s="1" t="n">
        <v>1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3" t="n">
        <f aca="false">SUM(P83:Q83)</f>
        <v>1</v>
      </c>
      <c r="W83" s="3" t="n">
        <f aca="false">SUM(R83:T83)</f>
        <v>0</v>
      </c>
      <c r="X83" s="10" t="n">
        <v>40051</v>
      </c>
      <c r="Y83" s="10" t="n">
        <v>40056</v>
      </c>
    </row>
    <row r="84" customFormat="false" ht="14.25" hidden="false" customHeight="false" outlineLevel="0" collapsed="false">
      <c r="A84" s="1" t="n">
        <v>2009</v>
      </c>
      <c r="B84" s="1" t="n">
        <v>2</v>
      </c>
      <c r="C84" s="2" t="s">
        <v>50</v>
      </c>
      <c r="D84" s="7" t="s">
        <v>83</v>
      </c>
      <c r="E84" s="1" t="n">
        <v>2</v>
      </c>
      <c r="F84" s="1" t="n">
        <f aca="false">Y84-X84</f>
        <v>5</v>
      </c>
      <c r="G84" s="1" t="n">
        <v>5</v>
      </c>
      <c r="H84" s="3" t="s">
        <v>32</v>
      </c>
      <c r="I84" s="3" t="s">
        <v>68</v>
      </c>
      <c r="J84" s="8" t="s">
        <v>69</v>
      </c>
      <c r="K84" s="2" t="str">
        <f aca="false">CONCATENATE(I84," ",J84)</f>
        <v>Centromerus sylvaticus</v>
      </c>
      <c r="L84" s="3" t="n">
        <f aca="false">SUM(P84:U84)</f>
        <v>2</v>
      </c>
      <c r="M84" s="11" t="n">
        <f aca="false">(L84/(F84*G84)*25)*4</f>
        <v>8</v>
      </c>
      <c r="N84" s="1" t="s">
        <v>30</v>
      </c>
      <c r="O84" s="1" t="s">
        <v>35</v>
      </c>
      <c r="P84" s="1" t="n">
        <v>0</v>
      </c>
      <c r="Q84" s="1" t="n">
        <v>2</v>
      </c>
      <c r="R84" s="1" t="n">
        <v>0</v>
      </c>
      <c r="S84" s="1" t="n">
        <v>0</v>
      </c>
      <c r="T84" s="1" t="n">
        <v>0</v>
      </c>
      <c r="U84" s="1" t="n">
        <v>0</v>
      </c>
      <c r="V84" s="3" t="n">
        <f aca="false">SUM(P84:Q84)</f>
        <v>2</v>
      </c>
      <c r="W84" s="3" t="n">
        <f aca="false">SUM(R84:T84)</f>
        <v>0</v>
      </c>
      <c r="X84" s="10" t="n">
        <v>40051</v>
      </c>
      <c r="Y84" s="10" t="n">
        <v>40056</v>
      </c>
    </row>
    <row r="85" customFormat="false" ht="14.25" hidden="false" customHeight="false" outlineLevel="0" collapsed="false">
      <c r="A85" s="1" t="n">
        <v>2009</v>
      </c>
      <c r="B85" s="1" t="n">
        <v>2</v>
      </c>
      <c r="C85" s="2" t="s">
        <v>50</v>
      </c>
      <c r="D85" s="7" t="s">
        <v>83</v>
      </c>
      <c r="E85" s="1" t="n">
        <v>2</v>
      </c>
      <c r="F85" s="1" t="n">
        <f aca="false">Y85-X85</f>
        <v>5</v>
      </c>
      <c r="G85" s="1" t="n">
        <v>5</v>
      </c>
      <c r="H85" s="3" t="s">
        <v>48</v>
      </c>
      <c r="I85" s="3" t="s">
        <v>49</v>
      </c>
      <c r="J85" s="8" t="s">
        <v>38</v>
      </c>
      <c r="K85" s="2" t="str">
        <f aca="false">CONCATENATE(I85," ",J85)</f>
        <v>Alopecosa sp</v>
      </c>
      <c r="L85" s="3" t="n">
        <f aca="false">SUM(P85:U85)</f>
        <v>1</v>
      </c>
      <c r="M85" s="11" t="n">
        <f aca="false">(L85/(F85*G85)*25)*4</f>
        <v>4</v>
      </c>
      <c r="N85" s="1" t="s">
        <v>19</v>
      </c>
      <c r="O85" s="1" t="s">
        <v>31</v>
      </c>
      <c r="P85" s="1" t="n">
        <v>0</v>
      </c>
      <c r="Q85" s="1" t="n">
        <v>0</v>
      </c>
      <c r="R85" s="1" t="n">
        <v>1</v>
      </c>
      <c r="S85" s="1" t="n">
        <v>0</v>
      </c>
      <c r="T85" s="1" t="n">
        <v>0</v>
      </c>
      <c r="U85" s="1" t="n">
        <v>0</v>
      </c>
      <c r="V85" s="3" t="n">
        <f aca="false">SUM(P85:Q85)</f>
        <v>0</v>
      </c>
      <c r="W85" s="3" t="n">
        <f aca="false">SUM(R85:T85)</f>
        <v>1</v>
      </c>
      <c r="X85" s="10" t="n">
        <v>40051</v>
      </c>
      <c r="Y85" s="10" t="n">
        <v>40056</v>
      </c>
    </row>
    <row r="86" customFormat="false" ht="14.25" hidden="false" customHeight="false" outlineLevel="0" collapsed="false">
      <c r="A86" s="1" t="n">
        <v>2009</v>
      </c>
      <c r="B86" s="1" t="n">
        <v>2</v>
      </c>
      <c r="C86" s="2" t="s">
        <v>50</v>
      </c>
      <c r="D86" s="7" t="s">
        <v>83</v>
      </c>
      <c r="E86" s="1" t="n">
        <v>2</v>
      </c>
      <c r="F86" s="1" t="n">
        <f aca="false">Y86-X86</f>
        <v>5</v>
      </c>
      <c r="G86" s="1" t="n">
        <v>5</v>
      </c>
      <c r="H86" s="3" t="s">
        <v>72</v>
      </c>
      <c r="I86" s="3" t="s">
        <v>86</v>
      </c>
      <c r="J86" s="8" t="s">
        <v>87</v>
      </c>
      <c r="K86" s="2" t="str">
        <f aca="false">CONCATENATE(I86," ",J86)</f>
        <v>Haplodrassus soerenseni</v>
      </c>
      <c r="L86" s="3" t="n">
        <f aca="false">SUM(P86:U86)</f>
        <v>1</v>
      </c>
      <c r="M86" s="11" t="n">
        <f aca="false">(L86/(F86*G86)*25)*4</f>
        <v>4</v>
      </c>
      <c r="N86" s="1" t="s">
        <v>30</v>
      </c>
      <c r="O86" s="1" t="s">
        <v>35</v>
      </c>
      <c r="P86" s="1" t="n">
        <v>0</v>
      </c>
      <c r="Q86" s="1" t="n">
        <v>1</v>
      </c>
      <c r="R86" s="1" t="n">
        <v>0</v>
      </c>
      <c r="S86" s="1" t="n">
        <v>0</v>
      </c>
      <c r="T86" s="1" t="n">
        <v>0</v>
      </c>
      <c r="U86" s="1" t="n">
        <v>0</v>
      </c>
      <c r="V86" s="3" t="n">
        <f aca="false">SUM(P86:Q86)</f>
        <v>1</v>
      </c>
      <c r="W86" s="3" t="n">
        <f aca="false">SUM(R86:T86)</f>
        <v>0</v>
      </c>
      <c r="X86" s="10" t="n">
        <v>40051</v>
      </c>
      <c r="Y86" s="10" t="n">
        <v>40056</v>
      </c>
    </row>
    <row r="87" customFormat="false" ht="14.25" hidden="false" customHeight="false" outlineLevel="0" collapsed="false">
      <c r="A87" s="1" t="n">
        <v>2009</v>
      </c>
      <c r="B87" s="1" t="n">
        <v>2</v>
      </c>
      <c r="C87" s="2" t="s">
        <v>50</v>
      </c>
      <c r="D87" s="7" t="s">
        <v>83</v>
      </c>
      <c r="E87" s="1" t="n">
        <v>2</v>
      </c>
      <c r="F87" s="1" t="n">
        <f aca="false">Y87-X87</f>
        <v>5</v>
      </c>
      <c r="G87" s="1" t="n">
        <v>5</v>
      </c>
      <c r="H87" s="3" t="s">
        <v>32</v>
      </c>
      <c r="I87" s="3" t="s">
        <v>39</v>
      </c>
      <c r="J87" s="8" t="s">
        <v>40</v>
      </c>
      <c r="K87" s="2" t="str">
        <f aca="false">CONCATENATE(I87," ",J87)</f>
        <v>Helophora insignis</v>
      </c>
      <c r="L87" s="3" t="n">
        <f aca="false">SUM(P87:U87)</f>
        <v>1</v>
      </c>
      <c r="M87" s="11" t="n">
        <f aca="false">(L87/(F87*G87)*25)*4</f>
        <v>4</v>
      </c>
      <c r="N87" s="1" t="s">
        <v>30</v>
      </c>
      <c r="O87" s="1" t="s">
        <v>35</v>
      </c>
      <c r="P87" s="1" t="n">
        <v>0</v>
      </c>
      <c r="Q87" s="1" t="n">
        <v>1</v>
      </c>
      <c r="R87" s="1" t="n">
        <v>0</v>
      </c>
      <c r="S87" s="1" t="n">
        <v>0</v>
      </c>
      <c r="T87" s="1" t="n">
        <v>0</v>
      </c>
      <c r="U87" s="1" t="n">
        <v>0</v>
      </c>
      <c r="V87" s="3" t="n">
        <f aca="false">SUM(P87:Q87)</f>
        <v>1</v>
      </c>
      <c r="W87" s="3" t="n">
        <f aca="false">SUM(R87:T87)</f>
        <v>0</v>
      </c>
      <c r="X87" s="10" t="n">
        <v>40051</v>
      </c>
      <c r="Y87" s="10" t="n">
        <v>40056</v>
      </c>
    </row>
    <row r="88" customFormat="false" ht="14.25" hidden="false" customHeight="false" outlineLevel="0" collapsed="false">
      <c r="A88" s="1" t="n">
        <v>2009</v>
      </c>
      <c r="B88" s="1" t="n">
        <v>2</v>
      </c>
      <c r="C88" s="2" t="s">
        <v>50</v>
      </c>
      <c r="D88" s="7" t="s">
        <v>83</v>
      </c>
      <c r="E88" s="1" t="n">
        <v>1</v>
      </c>
      <c r="F88" s="1" t="n">
        <f aca="false">Y88-X88</f>
        <v>5</v>
      </c>
      <c r="G88" s="1" t="n">
        <v>5</v>
      </c>
      <c r="H88" s="3" t="s">
        <v>32</v>
      </c>
      <c r="I88" s="3" t="s">
        <v>68</v>
      </c>
      <c r="J88" s="8" t="s">
        <v>69</v>
      </c>
      <c r="K88" s="2" t="str">
        <f aca="false">CONCATENATE(I88," ",J88)</f>
        <v>Centromerus sylvaticus</v>
      </c>
      <c r="L88" s="3" t="n">
        <f aca="false">SUM(P88:U88)</f>
        <v>1</v>
      </c>
      <c r="M88" s="11" t="n">
        <f aca="false">(L88/(F88*G88)*25)*4</f>
        <v>4</v>
      </c>
      <c r="N88" s="1" t="s">
        <v>30</v>
      </c>
      <c r="O88" s="1" t="s">
        <v>35</v>
      </c>
      <c r="P88" s="1" t="n">
        <v>0</v>
      </c>
      <c r="Q88" s="1" t="n">
        <v>1</v>
      </c>
      <c r="R88" s="1" t="n">
        <v>0</v>
      </c>
      <c r="S88" s="1" t="n">
        <v>0</v>
      </c>
      <c r="T88" s="1" t="n">
        <v>0</v>
      </c>
      <c r="U88" s="1" t="n">
        <v>0</v>
      </c>
      <c r="V88" s="3" t="n">
        <f aca="false">SUM(P88:Q88)</f>
        <v>1</v>
      </c>
      <c r="W88" s="3" t="n">
        <f aca="false">SUM(R88:T88)</f>
        <v>0</v>
      </c>
      <c r="X88" s="10" t="n">
        <v>40051</v>
      </c>
      <c r="Y88" s="10" t="n">
        <v>40056</v>
      </c>
    </row>
    <row r="89" customFormat="false" ht="14.25" hidden="false" customHeight="false" outlineLevel="0" collapsed="false">
      <c r="A89" s="1" t="n">
        <v>2009</v>
      </c>
      <c r="B89" s="1" t="n">
        <v>2</v>
      </c>
      <c r="C89" s="2" t="s">
        <v>50</v>
      </c>
      <c r="D89" s="7" t="s">
        <v>83</v>
      </c>
      <c r="E89" s="1" t="n">
        <v>1</v>
      </c>
      <c r="F89" s="1" t="n">
        <f aca="false">Y89-X89</f>
        <v>5</v>
      </c>
      <c r="G89" s="1" t="n">
        <v>5</v>
      </c>
      <c r="H89" s="13" t="s">
        <v>32</v>
      </c>
      <c r="I89" s="13" t="s">
        <v>88</v>
      </c>
      <c r="J89" s="14" t="s">
        <v>89</v>
      </c>
      <c r="K89" s="2" t="str">
        <f aca="false">CONCATENATE(I89," ",J89)</f>
        <v>Tapinopa longidens</v>
      </c>
      <c r="L89" s="3" t="n">
        <f aca="false">SUM(P89:U89)</f>
        <v>1</v>
      </c>
      <c r="M89" s="11" t="n">
        <f aca="false">(L89/(F89*G89)*25)*4</f>
        <v>4</v>
      </c>
      <c r="N89" s="1" t="s">
        <v>30</v>
      </c>
      <c r="O89" s="1" t="s">
        <v>31</v>
      </c>
      <c r="P89" s="1" t="n">
        <v>1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3" t="n">
        <f aca="false">SUM(P89:Q89)</f>
        <v>1</v>
      </c>
      <c r="W89" s="3" t="n">
        <f aca="false">SUM(R89:T89)</f>
        <v>0</v>
      </c>
      <c r="X89" s="10" t="n">
        <v>40051</v>
      </c>
      <c r="Y89" s="10" t="n">
        <v>40056</v>
      </c>
    </row>
    <row r="90" customFormat="false" ht="14.25" hidden="false" customHeight="false" outlineLevel="0" collapsed="false">
      <c r="A90" s="1" t="n">
        <v>2009</v>
      </c>
      <c r="B90" s="1" t="n">
        <v>2</v>
      </c>
      <c r="C90" s="2" t="s">
        <v>50</v>
      </c>
      <c r="D90" s="7" t="s">
        <v>83</v>
      </c>
      <c r="E90" s="1" t="n">
        <v>2</v>
      </c>
      <c r="F90" s="1" t="n">
        <f aca="false">Y90-X90</f>
        <v>5</v>
      </c>
      <c r="G90" s="1" t="n">
        <v>5</v>
      </c>
      <c r="H90" s="3" t="s">
        <v>48</v>
      </c>
      <c r="I90" s="3" t="s">
        <v>49</v>
      </c>
      <c r="J90" s="8" t="s">
        <v>38</v>
      </c>
      <c r="K90" s="2" t="str">
        <f aca="false">CONCATENATE(I90," ",J90)</f>
        <v>Alopecosa sp</v>
      </c>
      <c r="L90" s="3" t="n">
        <f aca="false">SUM(P90:U90)</f>
        <v>1</v>
      </c>
      <c r="M90" s="11" t="n">
        <f aca="false">(L90/(F90*G90)*25)*4</f>
        <v>4</v>
      </c>
      <c r="N90" s="1" t="s">
        <v>19</v>
      </c>
      <c r="O90" s="1" t="s">
        <v>54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1</v>
      </c>
      <c r="U90" s="1" t="n">
        <v>0</v>
      </c>
      <c r="V90" s="3" t="n">
        <f aca="false">SUM(P90:Q90)</f>
        <v>0</v>
      </c>
      <c r="W90" s="3" t="n">
        <f aca="false">SUM(R90:T90)</f>
        <v>1</v>
      </c>
      <c r="X90" s="10" t="n">
        <v>40051</v>
      </c>
      <c r="Y90" s="10" t="n">
        <v>40056</v>
      </c>
    </row>
    <row r="91" customFormat="false" ht="14.25" hidden="false" customHeight="false" outlineLevel="0" collapsed="false">
      <c r="A91" s="1" t="n">
        <v>2009</v>
      </c>
      <c r="B91" s="1" t="n">
        <v>2</v>
      </c>
      <c r="C91" s="2" t="s">
        <v>50</v>
      </c>
      <c r="D91" s="7" t="s">
        <v>83</v>
      </c>
      <c r="E91" s="1" t="n">
        <v>2</v>
      </c>
      <c r="F91" s="1" t="n">
        <f aca="false">Y91-X91</f>
        <v>5</v>
      </c>
      <c r="G91" s="1" t="n">
        <v>5</v>
      </c>
      <c r="H91" s="3" t="s">
        <v>32</v>
      </c>
      <c r="I91" s="3" t="s">
        <v>68</v>
      </c>
      <c r="J91" s="8" t="s">
        <v>69</v>
      </c>
      <c r="K91" s="2" t="str">
        <f aca="false">CONCATENATE(I91," ",J91)</f>
        <v>Centromerus sylvaticus</v>
      </c>
      <c r="L91" s="3" t="n">
        <f aca="false">SUM(P91:U91)</f>
        <v>1</v>
      </c>
      <c r="M91" s="11" t="n">
        <f aca="false">(L91/(F91*G91)*25)*4</f>
        <v>4</v>
      </c>
      <c r="N91" s="1" t="s">
        <v>30</v>
      </c>
      <c r="O91" s="1" t="s">
        <v>35</v>
      </c>
      <c r="P91" s="1" t="n">
        <v>0</v>
      </c>
      <c r="Q91" s="1" t="n">
        <v>1</v>
      </c>
      <c r="R91" s="1" t="n">
        <v>0</v>
      </c>
      <c r="S91" s="1" t="n">
        <v>0</v>
      </c>
      <c r="T91" s="1" t="n">
        <v>0</v>
      </c>
      <c r="U91" s="1" t="n">
        <v>0</v>
      </c>
      <c r="V91" s="3" t="n">
        <f aca="false">SUM(P91:Q91)</f>
        <v>1</v>
      </c>
      <c r="W91" s="3" t="n">
        <f aca="false">SUM(R91:T91)</f>
        <v>0</v>
      </c>
      <c r="X91" s="10" t="n">
        <v>40051</v>
      </c>
      <c r="Y91" s="10" t="n">
        <v>40056</v>
      </c>
    </row>
    <row r="92" customFormat="false" ht="14.25" hidden="false" customHeight="false" outlineLevel="0" collapsed="false">
      <c r="A92" s="1" t="n">
        <v>2009</v>
      </c>
      <c r="B92" s="1" t="n">
        <v>2</v>
      </c>
      <c r="C92" s="2" t="s">
        <v>50</v>
      </c>
      <c r="D92" s="7" t="s">
        <v>83</v>
      </c>
      <c r="E92" s="1" t="n">
        <v>3</v>
      </c>
      <c r="F92" s="1" t="n">
        <f aca="false">Y92-X92</f>
        <v>5</v>
      </c>
      <c r="G92" s="1" t="n">
        <v>5</v>
      </c>
      <c r="H92" s="3" t="s">
        <v>32</v>
      </c>
      <c r="I92" s="3" t="s">
        <v>90</v>
      </c>
      <c r="J92" s="8" t="s">
        <v>91</v>
      </c>
      <c r="K92" s="2" t="str">
        <f aca="false">CONCATENATE(I92," ",J92)</f>
        <v>Tapinocyba insecta</v>
      </c>
      <c r="L92" s="3" t="n">
        <f aca="false">SUM(P92:U92)</f>
        <v>1</v>
      </c>
      <c r="M92" s="11" t="n">
        <f aca="false">(L92/(F92*G92)*25)*4</f>
        <v>4</v>
      </c>
      <c r="N92" s="1" t="s">
        <v>30</v>
      </c>
      <c r="O92" s="1" t="s">
        <v>35</v>
      </c>
      <c r="P92" s="1" t="n">
        <v>0</v>
      </c>
      <c r="Q92" s="1" t="n">
        <v>1</v>
      </c>
      <c r="R92" s="1" t="n">
        <v>0</v>
      </c>
      <c r="S92" s="1" t="n">
        <v>0</v>
      </c>
      <c r="T92" s="1" t="n">
        <v>0</v>
      </c>
      <c r="U92" s="1" t="n">
        <v>0</v>
      </c>
      <c r="V92" s="3" t="n">
        <f aca="false">SUM(P92:Q92)</f>
        <v>1</v>
      </c>
      <c r="W92" s="3" t="n">
        <f aca="false">SUM(R92:T92)</f>
        <v>0</v>
      </c>
      <c r="X92" s="10" t="n">
        <v>40051</v>
      </c>
      <c r="Y92" s="10" t="n">
        <v>40056</v>
      </c>
    </row>
    <row r="93" customFormat="false" ht="14.25" hidden="false" customHeight="false" outlineLevel="0" collapsed="false">
      <c r="A93" s="1" t="n">
        <v>2009</v>
      </c>
      <c r="B93" s="1" t="n">
        <v>2</v>
      </c>
      <c r="C93" s="2" t="s">
        <v>50</v>
      </c>
      <c r="D93" s="7" t="s">
        <v>83</v>
      </c>
      <c r="E93" s="1" t="n">
        <v>3</v>
      </c>
      <c r="F93" s="1" t="n">
        <f aca="false">Y93-X93</f>
        <v>5</v>
      </c>
      <c r="G93" s="1" t="n">
        <v>5</v>
      </c>
      <c r="H93" s="3" t="s">
        <v>32</v>
      </c>
      <c r="I93" s="3" t="s">
        <v>68</v>
      </c>
      <c r="J93" s="8" t="s">
        <v>69</v>
      </c>
      <c r="K93" s="2" t="str">
        <f aca="false">CONCATENATE(I93," ",J93)</f>
        <v>Centromerus sylvaticus</v>
      </c>
      <c r="L93" s="3" t="n">
        <f aca="false">SUM(P93:U93)</f>
        <v>1</v>
      </c>
      <c r="M93" s="11" t="n">
        <f aca="false">(L93/(F93*G93)*25)*4</f>
        <v>4</v>
      </c>
      <c r="N93" s="1" t="s">
        <v>30</v>
      </c>
      <c r="O93" s="1" t="s">
        <v>35</v>
      </c>
      <c r="P93" s="1" t="n">
        <v>0</v>
      </c>
      <c r="Q93" s="1" t="n">
        <v>1</v>
      </c>
      <c r="R93" s="1" t="n">
        <v>0</v>
      </c>
      <c r="S93" s="1" t="n">
        <v>0</v>
      </c>
      <c r="T93" s="1" t="n">
        <v>0</v>
      </c>
      <c r="U93" s="1" t="n">
        <v>0</v>
      </c>
      <c r="V93" s="3" t="n">
        <f aca="false">SUM(P93:Q93)</f>
        <v>1</v>
      </c>
      <c r="W93" s="3" t="n">
        <f aca="false">SUM(R93:T93)</f>
        <v>0</v>
      </c>
      <c r="X93" s="10" t="n">
        <v>40051</v>
      </c>
      <c r="Y93" s="10" t="n">
        <v>40056</v>
      </c>
    </row>
    <row r="94" customFormat="false" ht="14.25" hidden="false" customHeight="false" outlineLevel="0" collapsed="false">
      <c r="A94" s="1" t="n">
        <v>2009</v>
      </c>
      <c r="B94" s="1" t="n">
        <v>2</v>
      </c>
      <c r="C94" s="2" t="s">
        <v>50</v>
      </c>
      <c r="D94" s="7" t="s">
        <v>83</v>
      </c>
      <c r="E94" s="1" t="n">
        <v>3</v>
      </c>
      <c r="F94" s="1" t="n">
        <f aca="false">Y94-X94</f>
        <v>5</v>
      </c>
      <c r="G94" s="1" t="n">
        <v>5</v>
      </c>
      <c r="H94" s="3" t="s">
        <v>48</v>
      </c>
      <c r="I94" s="3" t="s">
        <v>61</v>
      </c>
      <c r="J94" s="8" t="s">
        <v>82</v>
      </c>
      <c r="K94" s="2" t="str">
        <f aca="false">CONCATENATE(I94," ",J94)</f>
        <v>Trochosa terricola</v>
      </c>
      <c r="L94" s="3" t="n">
        <f aca="false">SUM(P94:U94)</f>
        <v>1</v>
      </c>
      <c r="M94" s="11" t="n">
        <f aca="false">(L94/(F94*G94)*25)*4</f>
        <v>4</v>
      </c>
      <c r="N94" s="1" t="s">
        <v>30</v>
      </c>
      <c r="O94" s="1" t="s">
        <v>35</v>
      </c>
      <c r="P94" s="1" t="n">
        <v>0</v>
      </c>
      <c r="Q94" s="1" t="n">
        <v>1</v>
      </c>
      <c r="R94" s="1" t="n">
        <v>0</v>
      </c>
      <c r="S94" s="1" t="n">
        <v>0</v>
      </c>
      <c r="T94" s="1" t="n">
        <v>0</v>
      </c>
      <c r="U94" s="1" t="n">
        <v>0</v>
      </c>
      <c r="V94" s="3" t="n">
        <f aca="false">SUM(P94:Q94)</f>
        <v>1</v>
      </c>
      <c r="W94" s="3" t="n">
        <f aca="false">SUM(R94:T94)</f>
        <v>0</v>
      </c>
      <c r="X94" s="10" t="n">
        <v>40051</v>
      </c>
      <c r="Y94" s="10" t="n">
        <v>40056</v>
      </c>
    </row>
    <row r="95" customFormat="false" ht="14.25" hidden="false" customHeight="false" outlineLevel="0" collapsed="false">
      <c r="A95" s="1" t="n">
        <v>2009</v>
      </c>
      <c r="B95" s="1" t="n">
        <v>2</v>
      </c>
      <c r="C95" s="2" t="s">
        <v>50</v>
      </c>
      <c r="D95" s="7" t="s">
        <v>83</v>
      </c>
      <c r="E95" s="1" t="n">
        <v>3</v>
      </c>
      <c r="F95" s="1" t="n">
        <f aca="false">Y95-X95</f>
        <v>5</v>
      </c>
      <c r="G95" s="1" t="n">
        <v>5</v>
      </c>
      <c r="H95" s="3" t="s">
        <v>92</v>
      </c>
      <c r="I95" s="3" t="s">
        <v>57</v>
      </c>
      <c r="J95" s="8" t="s">
        <v>38</v>
      </c>
      <c r="K95" s="2" t="str">
        <f aca="false">CONCATENATE(I95," ",J95)</f>
        <v>Gen sp</v>
      </c>
      <c r="L95" s="3" t="n">
        <f aca="false">SUM(P95:U95)</f>
        <v>1</v>
      </c>
      <c r="M95" s="11" t="n">
        <f aca="false">(L95/(F95*G95)*25)*4</f>
        <v>4</v>
      </c>
      <c r="N95" s="1" t="s">
        <v>19</v>
      </c>
      <c r="O95" s="1" t="s">
        <v>54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1</v>
      </c>
      <c r="U95" s="1" t="n">
        <v>0</v>
      </c>
      <c r="V95" s="3" t="n">
        <f aca="false">SUM(P95:Q95)</f>
        <v>0</v>
      </c>
      <c r="W95" s="3" t="n">
        <f aca="false">SUM(R95:T95)</f>
        <v>1</v>
      </c>
      <c r="X95" s="10" t="n">
        <v>40051</v>
      </c>
      <c r="Y95" s="10" t="n">
        <v>40056</v>
      </c>
    </row>
    <row r="96" customFormat="false" ht="14.25" hidden="false" customHeight="false" outlineLevel="0" collapsed="false">
      <c r="A96" s="1" t="n">
        <v>2009</v>
      </c>
      <c r="B96" s="1" t="n">
        <v>2</v>
      </c>
      <c r="C96" s="2" t="s">
        <v>50</v>
      </c>
      <c r="D96" s="7" t="s">
        <v>83</v>
      </c>
      <c r="E96" s="1" t="n">
        <v>3</v>
      </c>
      <c r="F96" s="1" t="n">
        <f aca="false">Y96-X96</f>
        <v>5</v>
      </c>
      <c r="G96" s="1" t="n">
        <v>5</v>
      </c>
      <c r="H96" s="3" t="s">
        <v>41</v>
      </c>
      <c r="I96" s="3" t="s">
        <v>42</v>
      </c>
      <c r="J96" s="12" t="s">
        <v>43</v>
      </c>
      <c r="K96" s="2" t="str">
        <f aca="false">CONCATENATE(I96," ",J96)</f>
        <v>Agroeca proxima</v>
      </c>
      <c r="L96" s="3" t="n">
        <f aca="false">SUM(P96:U96)</f>
        <v>1</v>
      </c>
      <c r="M96" s="11" t="n">
        <f aca="false">(L96/(F96*G96)*25)*4</f>
        <v>4</v>
      </c>
      <c r="N96" s="1" t="s">
        <v>30</v>
      </c>
      <c r="O96" s="1" t="s">
        <v>31</v>
      </c>
      <c r="P96" s="1" t="n">
        <v>1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3" t="n">
        <f aca="false">SUM(P96:Q96)</f>
        <v>1</v>
      </c>
      <c r="W96" s="3" t="n">
        <f aca="false">SUM(R96:T96)</f>
        <v>0</v>
      </c>
      <c r="X96" s="10" t="n">
        <v>40051</v>
      </c>
      <c r="Y96" s="10" t="n">
        <v>40056</v>
      </c>
    </row>
    <row r="97" customFormat="false" ht="14.25" hidden="false" customHeight="false" outlineLevel="0" collapsed="false">
      <c r="A97" s="1" t="n">
        <v>2009</v>
      </c>
      <c r="B97" s="1" t="n">
        <v>2</v>
      </c>
      <c r="C97" s="2" t="s">
        <v>50</v>
      </c>
      <c r="D97" s="7" t="s">
        <v>83</v>
      </c>
      <c r="E97" s="1" t="n">
        <v>2</v>
      </c>
      <c r="F97" s="1" t="n">
        <f aca="false">Y97-X97</f>
        <v>5</v>
      </c>
      <c r="G97" s="1" t="n">
        <v>5</v>
      </c>
      <c r="H97" s="3" t="s">
        <v>48</v>
      </c>
      <c r="I97" s="3" t="s">
        <v>61</v>
      </c>
      <c r="J97" s="8" t="s">
        <v>38</v>
      </c>
      <c r="K97" s="2" t="str">
        <f aca="false">CONCATENATE(I97," ",J97)</f>
        <v>Trochosa sp</v>
      </c>
      <c r="L97" s="3" t="n">
        <f aca="false">SUM(P97:U97)</f>
        <v>1</v>
      </c>
      <c r="M97" s="11" t="n">
        <f aca="false">(L97/(F97*G97)*25)*4</f>
        <v>4</v>
      </c>
      <c r="N97" s="1" t="s">
        <v>19</v>
      </c>
      <c r="O97" s="1" t="s">
        <v>54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1</v>
      </c>
      <c r="U97" s="1" t="n">
        <v>0</v>
      </c>
      <c r="V97" s="3" t="n">
        <f aca="false">SUM(P97:Q97)</f>
        <v>0</v>
      </c>
      <c r="W97" s="3" t="n">
        <f aca="false">SUM(R97:T97)</f>
        <v>1</v>
      </c>
      <c r="X97" s="10" t="n">
        <v>40051</v>
      </c>
      <c r="Y97" s="10" t="n">
        <v>40056</v>
      </c>
    </row>
    <row r="98" customFormat="false" ht="14.25" hidden="false" customHeight="false" outlineLevel="0" collapsed="false">
      <c r="A98" s="1" t="n">
        <v>2009</v>
      </c>
      <c r="B98" s="1" t="n">
        <v>2</v>
      </c>
      <c r="C98" s="2" t="s">
        <v>50</v>
      </c>
      <c r="D98" s="7" t="s">
        <v>83</v>
      </c>
      <c r="E98" s="1" t="n">
        <v>2</v>
      </c>
      <c r="F98" s="1" t="n">
        <f aca="false">Y98-X98</f>
        <v>5</v>
      </c>
      <c r="G98" s="1" t="n">
        <v>5</v>
      </c>
      <c r="H98" s="3" t="s">
        <v>32</v>
      </c>
      <c r="I98" s="3" t="s">
        <v>68</v>
      </c>
      <c r="J98" s="8" t="s">
        <v>69</v>
      </c>
      <c r="K98" s="2" t="str">
        <f aca="false">CONCATENATE(I98," ",J98)</f>
        <v>Centromerus sylvaticus</v>
      </c>
      <c r="L98" s="3" t="n">
        <f aca="false">SUM(P98:U98)</f>
        <v>1</v>
      </c>
      <c r="M98" s="11" t="n">
        <f aca="false">(L98/(F98*G98)*25)*4</f>
        <v>4</v>
      </c>
      <c r="N98" s="1" t="s">
        <v>30</v>
      </c>
      <c r="O98" s="1" t="s">
        <v>35</v>
      </c>
      <c r="P98" s="1" t="n">
        <v>0</v>
      </c>
      <c r="Q98" s="1" t="n">
        <v>1</v>
      </c>
      <c r="R98" s="1" t="n">
        <v>0</v>
      </c>
      <c r="S98" s="1" t="n">
        <v>0</v>
      </c>
      <c r="T98" s="1" t="n">
        <v>0</v>
      </c>
      <c r="U98" s="1" t="n">
        <v>0</v>
      </c>
      <c r="V98" s="3" t="n">
        <f aca="false">SUM(P98:Q98)</f>
        <v>1</v>
      </c>
      <c r="W98" s="3" t="n">
        <f aca="false">SUM(R98:T98)</f>
        <v>0</v>
      </c>
      <c r="X98" s="10" t="n">
        <v>40051</v>
      </c>
      <c r="Y98" s="10" t="n">
        <v>40056</v>
      </c>
    </row>
    <row r="99" customFormat="false" ht="14.25" hidden="false" customHeight="false" outlineLevel="0" collapsed="false">
      <c r="A99" s="1" t="n">
        <v>2009</v>
      </c>
      <c r="B99" s="1" t="n">
        <v>2</v>
      </c>
      <c r="C99" s="2" t="s">
        <v>50</v>
      </c>
      <c r="D99" s="7" t="s">
        <v>83</v>
      </c>
      <c r="E99" s="1" t="n">
        <v>3</v>
      </c>
      <c r="F99" s="1" t="n">
        <f aca="false">Y99-X99</f>
        <v>5</v>
      </c>
      <c r="G99" s="1" t="n">
        <v>5</v>
      </c>
      <c r="H99" s="3" t="s">
        <v>41</v>
      </c>
      <c r="I99" s="3" t="s">
        <v>42</v>
      </c>
      <c r="J99" s="12" t="s">
        <v>43</v>
      </c>
      <c r="K99" s="2" t="str">
        <f aca="false">CONCATENATE(I99," ",J99)</f>
        <v>Agroeca proxima</v>
      </c>
      <c r="L99" s="3" t="n">
        <f aca="false">SUM(P99:U99)</f>
        <v>1</v>
      </c>
      <c r="M99" s="11" t="n">
        <f aca="false">(L99/(F99*G99)*25)*4</f>
        <v>4</v>
      </c>
      <c r="N99" s="1" t="s">
        <v>30</v>
      </c>
      <c r="O99" s="1" t="s">
        <v>35</v>
      </c>
      <c r="P99" s="1" t="n">
        <v>0</v>
      </c>
      <c r="Q99" s="1" t="n">
        <v>1</v>
      </c>
      <c r="R99" s="1" t="n">
        <v>0</v>
      </c>
      <c r="S99" s="1" t="n">
        <v>0</v>
      </c>
      <c r="T99" s="1" t="n">
        <v>0</v>
      </c>
      <c r="U99" s="1" t="n">
        <v>0</v>
      </c>
      <c r="V99" s="3" t="n">
        <f aca="false">SUM(P99:Q99)</f>
        <v>1</v>
      </c>
      <c r="W99" s="3" t="n">
        <f aca="false">SUM(R99:T99)</f>
        <v>0</v>
      </c>
      <c r="X99" s="10" t="n">
        <v>40051</v>
      </c>
      <c r="Y99" s="10" t="n">
        <v>40056</v>
      </c>
    </row>
    <row r="100" customFormat="false" ht="14.25" hidden="false" customHeight="false" outlineLevel="0" collapsed="false">
      <c r="A100" s="1" t="n">
        <v>2009</v>
      </c>
      <c r="B100" s="1" t="n">
        <v>2</v>
      </c>
      <c r="C100" s="2" t="s">
        <v>50</v>
      </c>
      <c r="D100" s="7" t="s">
        <v>83</v>
      </c>
      <c r="E100" s="1" t="n">
        <v>3</v>
      </c>
      <c r="F100" s="1" t="n">
        <f aca="false">Y100-X100</f>
        <v>5</v>
      </c>
      <c r="G100" s="1" t="n">
        <v>5</v>
      </c>
      <c r="H100" s="3" t="s">
        <v>32</v>
      </c>
      <c r="I100" s="3" t="s">
        <v>68</v>
      </c>
      <c r="J100" s="8" t="s">
        <v>69</v>
      </c>
      <c r="K100" s="2" t="str">
        <f aca="false">CONCATENATE(I100," ",J100)</f>
        <v>Centromerus sylvaticus</v>
      </c>
      <c r="L100" s="3" t="n">
        <f aca="false">SUM(P100:U100)</f>
        <v>1</v>
      </c>
      <c r="M100" s="11" t="n">
        <f aca="false">(L100/(F100*G100)*25)*4</f>
        <v>4</v>
      </c>
      <c r="N100" s="1" t="s">
        <v>30</v>
      </c>
      <c r="O100" s="1" t="s">
        <v>35</v>
      </c>
      <c r="P100" s="1" t="n">
        <v>0</v>
      </c>
      <c r="Q100" s="1" t="n">
        <v>1</v>
      </c>
      <c r="R100" s="1" t="n">
        <v>0</v>
      </c>
      <c r="S100" s="1" t="n">
        <v>0</v>
      </c>
      <c r="T100" s="1" t="n">
        <v>0</v>
      </c>
      <c r="U100" s="1" t="n">
        <v>0</v>
      </c>
      <c r="V100" s="3" t="n">
        <f aca="false">SUM(P100:Q100)</f>
        <v>1</v>
      </c>
      <c r="W100" s="3" t="n">
        <f aca="false">SUM(R100:T100)</f>
        <v>0</v>
      </c>
      <c r="X100" s="10" t="n">
        <v>40051</v>
      </c>
      <c r="Y100" s="10" t="n">
        <v>40056</v>
      </c>
    </row>
    <row r="101" customFormat="false" ht="14.25" hidden="false" customHeight="false" outlineLevel="0" collapsed="false">
      <c r="A101" s="1" t="n">
        <v>2009</v>
      </c>
      <c r="B101" s="1" t="n">
        <v>2</v>
      </c>
      <c r="C101" s="2" t="s">
        <v>50</v>
      </c>
      <c r="D101" s="7" t="s">
        <v>83</v>
      </c>
      <c r="E101" s="1" t="n">
        <v>3</v>
      </c>
      <c r="F101" s="1" t="n">
        <f aca="false">Y101-X101</f>
        <v>5</v>
      </c>
      <c r="G101" s="1" t="n">
        <v>5</v>
      </c>
      <c r="H101" s="3" t="s">
        <v>32</v>
      </c>
      <c r="I101" s="3" t="s">
        <v>57</v>
      </c>
      <c r="J101" s="8" t="s">
        <v>38</v>
      </c>
      <c r="K101" s="2" t="str">
        <f aca="false">CONCATENATE(I101," ",J101)</f>
        <v>Gen sp</v>
      </c>
      <c r="L101" s="3" t="n">
        <f aca="false">SUM(P101:U101)</f>
        <v>1</v>
      </c>
      <c r="M101" s="11" t="n">
        <f aca="false">(L101/(F101*G101)*25)*4</f>
        <v>4</v>
      </c>
      <c r="N101" s="1" t="s">
        <v>19</v>
      </c>
      <c r="O101" s="1" t="s">
        <v>54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1</v>
      </c>
      <c r="U101" s="1" t="n">
        <v>0</v>
      </c>
      <c r="V101" s="3" t="n">
        <f aca="false">SUM(P101:Q101)</f>
        <v>0</v>
      </c>
      <c r="W101" s="3" t="n">
        <f aca="false">SUM(R101:T101)</f>
        <v>1</v>
      </c>
      <c r="X101" s="10" t="n">
        <v>40051</v>
      </c>
      <c r="Y101" s="10" t="n">
        <v>40056</v>
      </c>
    </row>
    <row r="102" customFormat="false" ht="14.25" hidden="false" customHeight="false" outlineLevel="0" collapsed="false">
      <c r="A102" s="1" t="n">
        <v>2009</v>
      </c>
      <c r="B102" s="1" t="n">
        <v>2</v>
      </c>
      <c r="C102" s="2" t="s">
        <v>50</v>
      </c>
      <c r="D102" s="7" t="s">
        <v>83</v>
      </c>
      <c r="E102" s="1" t="n">
        <v>3</v>
      </c>
      <c r="F102" s="1" t="n">
        <f aca="false">Y102-X102</f>
        <v>5</v>
      </c>
      <c r="G102" s="1" t="n">
        <v>5</v>
      </c>
      <c r="H102" s="3" t="s">
        <v>32</v>
      </c>
      <c r="I102" s="3" t="s">
        <v>93</v>
      </c>
      <c r="J102" s="8" t="s">
        <v>94</v>
      </c>
      <c r="K102" s="2" t="str">
        <f aca="false">CONCATENATE(I102," ",J102)</f>
        <v>Anguliphantes angulipalpis</v>
      </c>
      <c r="L102" s="3" t="n">
        <f aca="false">SUM(P102:U102)</f>
        <v>1</v>
      </c>
      <c r="M102" s="11" t="n">
        <f aca="false">(L102/(F102*G102)*25)*4</f>
        <v>4</v>
      </c>
      <c r="N102" s="1" t="s">
        <v>30</v>
      </c>
      <c r="O102" s="1" t="s">
        <v>35</v>
      </c>
      <c r="P102" s="1" t="n">
        <v>0</v>
      </c>
      <c r="Q102" s="1" t="n">
        <v>1</v>
      </c>
      <c r="R102" s="1" t="n">
        <v>0</v>
      </c>
      <c r="S102" s="1" t="n">
        <v>0</v>
      </c>
      <c r="T102" s="1" t="n">
        <v>0</v>
      </c>
      <c r="U102" s="1" t="n">
        <v>0</v>
      </c>
      <c r="V102" s="3" t="n">
        <f aca="false">SUM(P102:Q102)</f>
        <v>1</v>
      </c>
      <c r="W102" s="3" t="n">
        <f aca="false">SUM(R102:T102)</f>
        <v>0</v>
      </c>
      <c r="X102" s="10" t="n">
        <v>40051</v>
      </c>
      <c r="Y102" s="10" t="n">
        <v>40056</v>
      </c>
    </row>
    <row r="103" customFormat="false" ht="14.25" hidden="false" customHeight="false" outlineLevel="0" collapsed="false">
      <c r="A103" s="1" t="n">
        <v>2009</v>
      </c>
      <c r="B103" s="1" t="n">
        <v>2</v>
      </c>
      <c r="C103" s="2" t="s">
        <v>50</v>
      </c>
      <c r="D103" s="7" t="s">
        <v>83</v>
      </c>
      <c r="E103" s="1" t="n">
        <v>3</v>
      </c>
      <c r="F103" s="1" t="n">
        <f aca="false">Y103-X103</f>
        <v>5</v>
      </c>
      <c r="G103" s="1" t="n">
        <v>5</v>
      </c>
      <c r="H103" s="3" t="s">
        <v>48</v>
      </c>
      <c r="I103" s="3" t="s">
        <v>61</v>
      </c>
      <c r="J103" s="8" t="s">
        <v>82</v>
      </c>
      <c r="K103" s="2" t="str">
        <f aca="false">CONCATENATE(I103," ",J103)</f>
        <v>Trochosa terricola</v>
      </c>
      <c r="L103" s="3" t="n">
        <f aca="false">SUM(P103:U103)</f>
        <v>1</v>
      </c>
      <c r="M103" s="11" t="n">
        <f aca="false">(L103/(F103*G103)*25)*4</f>
        <v>4</v>
      </c>
      <c r="N103" s="1" t="s">
        <v>30</v>
      </c>
      <c r="O103" s="1" t="s">
        <v>35</v>
      </c>
      <c r="P103" s="1" t="n">
        <v>0</v>
      </c>
      <c r="Q103" s="1" t="n">
        <v>1</v>
      </c>
      <c r="R103" s="1" t="n">
        <v>0</v>
      </c>
      <c r="S103" s="1" t="n">
        <v>0</v>
      </c>
      <c r="T103" s="1" t="n">
        <v>0</v>
      </c>
      <c r="U103" s="1" t="n">
        <v>0</v>
      </c>
      <c r="V103" s="3" t="n">
        <f aca="false">SUM(P103:Q103)</f>
        <v>1</v>
      </c>
      <c r="W103" s="3" t="n">
        <f aca="false">SUM(R103:T103)</f>
        <v>0</v>
      </c>
      <c r="X103" s="10" t="n">
        <v>40051</v>
      </c>
      <c r="Y103" s="10" t="n">
        <v>40056</v>
      </c>
    </row>
    <row r="104" customFormat="false" ht="14.25" hidden="false" customHeight="false" outlineLevel="0" collapsed="false">
      <c r="A104" s="1" t="n">
        <v>2009</v>
      </c>
      <c r="B104" s="1" t="n">
        <v>2</v>
      </c>
      <c r="C104" s="2" t="s">
        <v>50</v>
      </c>
      <c r="D104" s="7" t="s">
        <v>83</v>
      </c>
      <c r="E104" s="1" t="n">
        <v>3</v>
      </c>
      <c r="F104" s="1" t="n">
        <f aca="false">Y104-X104</f>
        <v>5</v>
      </c>
      <c r="G104" s="1" t="n">
        <v>5</v>
      </c>
      <c r="H104" s="13" t="s">
        <v>48</v>
      </c>
      <c r="I104" s="13" t="s">
        <v>61</v>
      </c>
      <c r="J104" s="14" t="s">
        <v>95</v>
      </c>
      <c r="K104" s="2" t="str">
        <f aca="false">CONCATENATE(I104," ",J104)</f>
        <v>Trochosa ruricola</v>
      </c>
      <c r="L104" s="3" t="n">
        <f aca="false">SUM(P104:U104)</f>
        <v>1</v>
      </c>
      <c r="M104" s="11" t="n">
        <f aca="false">(L104/(F104*G104)*25)*4</f>
        <v>4</v>
      </c>
      <c r="N104" s="1" t="s">
        <v>30</v>
      </c>
      <c r="O104" s="1" t="s">
        <v>35</v>
      </c>
      <c r="P104" s="1" t="n">
        <v>0</v>
      </c>
      <c r="Q104" s="1" t="n">
        <v>1</v>
      </c>
      <c r="R104" s="1" t="n">
        <v>0</v>
      </c>
      <c r="S104" s="1" t="n">
        <v>0</v>
      </c>
      <c r="T104" s="1" t="n">
        <v>0</v>
      </c>
      <c r="U104" s="1" t="n">
        <v>0</v>
      </c>
      <c r="V104" s="3" t="n">
        <f aca="false">SUM(P104:Q104)</f>
        <v>1</v>
      </c>
      <c r="W104" s="3" t="n">
        <f aca="false">SUM(R104:T104)</f>
        <v>0</v>
      </c>
      <c r="X104" s="10" t="n">
        <v>40051</v>
      </c>
      <c r="Y104" s="10" t="n">
        <v>40056</v>
      </c>
    </row>
    <row r="105" customFormat="false" ht="14.25" hidden="false" customHeight="false" outlineLevel="0" collapsed="false">
      <c r="A105" s="1" t="n">
        <v>2009</v>
      </c>
      <c r="B105" s="1" t="n">
        <v>2</v>
      </c>
      <c r="C105" s="2" t="s">
        <v>50</v>
      </c>
      <c r="D105" s="7" t="s">
        <v>83</v>
      </c>
      <c r="E105" s="1" t="n">
        <v>3</v>
      </c>
      <c r="F105" s="1" t="n">
        <f aca="false">Y105-X105</f>
        <v>5</v>
      </c>
      <c r="G105" s="1" t="n">
        <v>5</v>
      </c>
      <c r="H105" s="3" t="s">
        <v>32</v>
      </c>
      <c r="I105" s="3" t="s">
        <v>57</v>
      </c>
      <c r="J105" s="8" t="s">
        <v>38</v>
      </c>
      <c r="K105" s="2" t="str">
        <f aca="false">CONCATENATE(I105," ",J105)</f>
        <v>Gen sp</v>
      </c>
      <c r="L105" s="3" t="n">
        <f aca="false">SUM(P105:U105)</f>
        <v>1</v>
      </c>
      <c r="M105" s="11" t="n">
        <f aca="false">(L105/(F105*G105)*25)*4</f>
        <v>4</v>
      </c>
      <c r="N105" s="1" t="s">
        <v>19</v>
      </c>
      <c r="O105" s="1" t="s">
        <v>54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1</v>
      </c>
      <c r="U105" s="1" t="n">
        <v>0</v>
      </c>
      <c r="V105" s="3" t="n">
        <f aca="false">SUM(P105:Q105)</f>
        <v>0</v>
      </c>
      <c r="W105" s="3" t="n">
        <f aca="false">SUM(R105:T105)</f>
        <v>1</v>
      </c>
      <c r="X105" s="10" t="n">
        <v>40051</v>
      </c>
      <c r="Y105" s="10" t="n">
        <v>40056</v>
      </c>
    </row>
    <row r="106" customFormat="false" ht="14.25" hidden="false" customHeight="false" outlineLevel="0" collapsed="false">
      <c r="A106" s="1" t="n">
        <v>2009</v>
      </c>
      <c r="B106" s="1" t="n">
        <v>2</v>
      </c>
      <c r="C106" s="2" t="s">
        <v>50</v>
      </c>
      <c r="D106" s="7" t="s">
        <v>83</v>
      </c>
      <c r="E106" s="1" t="n">
        <v>1</v>
      </c>
      <c r="F106" s="1" t="n">
        <f aca="false">Y106-X106</f>
        <v>5</v>
      </c>
      <c r="G106" s="1" t="n">
        <v>5</v>
      </c>
      <c r="H106" s="3" t="s">
        <v>41</v>
      </c>
      <c r="I106" s="3" t="s">
        <v>42</v>
      </c>
      <c r="J106" s="8" t="s">
        <v>38</v>
      </c>
      <c r="K106" s="2" t="str">
        <f aca="false">CONCATENATE(I106," ",J106)</f>
        <v>Agroeca sp</v>
      </c>
      <c r="L106" s="3" t="n">
        <f aca="false">SUM(P106:U106)</f>
        <v>1</v>
      </c>
      <c r="M106" s="11" t="n">
        <f aca="false">(L106/(F106*G106)*25)*4</f>
        <v>4</v>
      </c>
      <c r="N106" s="15" t="s">
        <v>19</v>
      </c>
      <c r="O106" s="15" t="s">
        <v>35</v>
      </c>
      <c r="P106" s="1" t="n">
        <v>0</v>
      </c>
      <c r="Q106" s="1" t="n">
        <v>0</v>
      </c>
      <c r="R106" s="1" t="n">
        <v>0</v>
      </c>
      <c r="S106" s="1" t="n">
        <v>1</v>
      </c>
      <c r="T106" s="1" t="n">
        <v>0</v>
      </c>
      <c r="U106" s="1" t="n">
        <v>0</v>
      </c>
      <c r="V106" s="3" t="n">
        <f aca="false">SUM(P106:Q106)</f>
        <v>0</v>
      </c>
      <c r="W106" s="3" t="n">
        <f aca="false">SUM(R106:T106)</f>
        <v>1</v>
      </c>
      <c r="X106" s="10" t="n">
        <v>40051</v>
      </c>
      <c r="Y106" s="10" t="n">
        <v>40056</v>
      </c>
    </row>
    <row r="107" customFormat="false" ht="14.25" hidden="false" customHeight="false" outlineLevel="0" collapsed="false">
      <c r="A107" s="1" t="n">
        <v>2009</v>
      </c>
      <c r="B107" s="1" t="n">
        <v>2</v>
      </c>
      <c r="C107" s="2" t="s">
        <v>50</v>
      </c>
      <c r="D107" s="7" t="s">
        <v>83</v>
      </c>
      <c r="E107" s="1" t="n">
        <v>1</v>
      </c>
      <c r="F107" s="1" t="n">
        <f aca="false">Y107-X107</f>
        <v>5</v>
      </c>
      <c r="G107" s="1" t="n">
        <v>5</v>
      </c>
      <c r="H107" s="13" t="s">
        <v>32</v>
      </c>
      <c r="I107" s="13" t="s">
        <v>88</v>
      </c>
      <c r="J107" s="14" t="s">
        <v>89</v>
      </c>
      <c r="K107" s="2" t="str">
        <f aca="false">CONCATENATE(I107," ",J107)</f>
        <v>Tapinopa longidens</v>
      </c>
      <c r="L107" s="3" t="n">
        <f aca="false">SUM(P107:U107)</f>
        <v>1</v>
      </c>
      <c r="M107" s="11" t="n">
        <f aca="false">(L107/(F107*G107)*25)*4</f>
        <v>4</v>
      </c>
      <c r="N107" s="1" t="s">
        <v>30</v>
      </c>
      <c r="O107" s="1" t="s">
        <v>31</v>
      </c>
      <c r="P107" s="1" t="n">
        <v>1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3" t="n">
        <f aca="false">SUM(P107:Q107)</f>
        <v>1</v>
      </c>
      <c r="W107" s="3" t="n">
        <f aca="false">SUM(R107:T107)</f>
        <v>0</v>
      </c>
      <c r="X107" s="10" t="n">
        <v>40051</v>
      </c>
      <c r="Y107" s="10" t="n">
        <v>40056</v>
      </c>
    </row>
    <row r="108" customFormat="false" ht="14.25" hidden="false" customHeight="false" outlineLevel="0" collapsed="false">
      <c r="A108" s="1" t="n">
        <v>2009</v>
      </c>
      <c r="B108" s="1" t="n">
        <v>2</v>
      </c>
      <c r="C108" s="2" t="s">
        <v>50</v>
      </c>
      <c r="D108" s="7" t="s">
        <v>83</v>
      </c>
      <c r="E108" s="1" t="n">
        <v>1</v>
      </c>
      <c r="F108" s="1" t="n">
        <f aca="false">Y108-X108</f>
        <v>5</v>
      </c>
      <c r="G108" s="1" t="n">
        <v>5</v>
      </c>
      <c r="H108" s="3" t="s">
        <v>32</v>
      </c>
      <c r="I108" s="3" t="s">
        <v>57</v>
      </c>
      <c r="J108" s="8" t="s">
        <v>38</v>
      </c>
      <c r="K108" s="2" t="str">
        <f aca="false">CONCATENATE(I108," ",J108)</f>
        <v>Gen sp</v>
      </c>
      <c r="L108" s="3" t="n">
        <f aca="false">SUM(P108:U108)</f>
        <v>1</v>
      </c>
      <c r="M108" s="11" t="n">
        <f aca="false">(L108/(F108*G108)*25)*4</f>
        <v>4</v>
      </c>
      <c r="N108" s="1" t="s">
        <v>19</v>
      </c>
      <c r="O108" s="1" t="s">
        <v>54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1</v>
      </c>
      <c r="U108" s="1" t="n">
        <v>0</v>
      </c>
      <c r="V108" s="3" t="n">
        <f aca="false">SUM(P108:Q108)</f>
        <v>0</v>
      </c>
      <c r="W108" s="3" t="n">
        <f aca="false">SUM(R108:T108)</f>
        <v>1</v>
      </c>
      <c r="X108" s="10" t="n">
        <v>40051</v>
      </c>
      <c r="Y108" s="10" t="n">
        <v>40056</v>
      </c>
    </row>
    <row r="109" customFormat="false" ht="14.25" hidden="false" customHeight="false" outlineLevel="0" collapsed="false">
      <c r="A109" s="1" t="n">
        <v>2009</v>
      </c>
      <c r="B109" s="1" t="n">
        <v>2</v>
      </c>
      <c r="C109" s="2" t="s">
        <v>50</v>
      </c>
      <c r="D109" s="7" t="s">
        <v>83</v>
      </c>
      <c r="E109" s="1" t="n">
        <v>1</v>
      </c>
      <c r="F109" s="1" t="n">
        <f aca="false">Y109-X109</f>
        <v>5</v>
      </c>
      <c r="G109" s="1" t="n">
        <v>5</v>
      </c>
      <c r="H109" s="3" t="s">
        <v>32</v>
      </c>
      <c r="I109" s="8" t="s">
        <v>70</v>
      </c>
      <c r="J109" s="8" t="s">
        <v>71</v>
      </c>
      <c r="K109" s="2" t="str">
        <f aca="false">CONCATENATE(I109," ",J109)</f>
        <v>Palliduphantes alutacius</v>
      </c>
      <c r="L109" s="3" t="n">
        <f aca="false">SUM(P109:U109)</f>
        <v>1</v>
      </c>
      <c r="M109" s="11" t="n">
        <f aca="false">(L109/(F109*G109)*25)*4</f>
        <v>4</v>
      </c>
      <c r="N109" s="1" t="s">
        <v>30</v>
      </c>
      <c r="O109" s="1" t="s">
        <v>31</v>
      </c>
      <c r="P109" s="1" t="n">
        <v>1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3" t="n">
        <f aca="false">SUM(P109:Q109)</f>
        <v>1</v>
      </c>
      <c r="W109" s="3" t="n">
        <f aca="false">SUM(R109:T109)</f>
        <v>0</v>
      </c>
      <c r="X109" s="10" t="n">
        <v>40051</v>
      </c>
      <c r="Y109" s="10" t="n">
        <v>40056</v>
      </c>
    </row>
    <row r="110" customFormat="false" ht="14.25" hidden="false" customHeight="false" outlineLevel="0" collapsed="false">
      <c r="A110" s="1" t="n">
        <v>2009</v>
      </c>
      <c r="B110" s="1" t="n">
        <v>2</v>
      </c>
      <c r="C110" s="2" t="s">
        <v>50</v>
      </c>
      <c r="D110" s="7" t="s">
        <v>83</v>
      </c>
      <c r="E110" s="1" t="n">
        <v>1</v>
      </c>
      <c r="F110" s="1" t="n">
        <f aca="false">Y110-X110</f>
        <v>5</v>
      </c>
      <c r="G110" s="1" t="n">
        <v>5</v>
      </c>
      <c r="H110" s="13" t="s">
        <v>32</v>
      </c>
      <c r="I110" s="13" t="s">
        <v>96</v>
      </c>
      <c r="J110" s="14" t="s">
        <v>97</v>
      </c>
      <c r="K110" s="2" t="str">
        <f aca="false">CONCATENATE(I110," ",J110)</f>
        <v>Diplocephalus picinus</v>
      </c>
      <c r="L110" s="3" t="n">
        <f aca="false">SUM(P110:U110)</f>
        <v>1</v>
      </c>
      <c r="M110" s="11" t="n">
        <f aca="false">(L110/(F110*G110)*25)*4</f>
        <v>4</v>
      </c>
      <c r="N110" s="1" t="s">
        <v>30</v>
      </c>
      <c r="O110" s="1" t="s">
        <v>35</v>
      </c>
      <c r="P110" s="1" t="n">
        <v>0</v>
      </c>
      <c r="Q110" s="1" t="n">
        <v>1</v>
      </c>
      <c r="R110" s="1" t="n">
        <v>0</v>
      </c>
      <c r="S110" s="1" t="n">
        <v>0</v>
      </c>
      <c r="T110" s="1" t="n">
        <v>0</v>
      </c>
      <c r="U110" s="1" t="n">
        <v>0</v>
      </c>
      <c r="V110" s="3" t="n">
        <f aca="false">SUM(P110:Q110)</f>
        <v>1</v>
      </c>
      <c r="W110" s="3" t="n">
        <f aca="false">SUM(R110:T110)</f>
        <v>0</v>
      </c>
      <c r="X110" s="10" t="n">
        <v>40051</v>
      </c>
      <c r="Y110" s="10" t="n">
        <v>40056</v>
      </c>
    </row>
    <row r="111" customFormat="false" ht="14.25" hidden="false" customHeight="false" outlineLevel="0" collapsed="false">
      <c r="A111" s="1" t="n">
        <v>2009</v>
      </c>
      <c r="B111" s="1" t="n">
        <v>2</v>
      </c>
      <c r="C111" s="2" t="s">
        <v>50</v>
      </c>
      <c r="D111" s="7" t="s">
        <v>83</v>
      </c>
      <c r="E111" s="1" t="n">
        <v>3</v>
      </c>
      <c r="F111" s="1" t="n">
        <f aca="false">Y111-X111</f>
        <v>5</v>
      </c>
      <c r="G111" s="1" t="n">
        <v>5</v>
      </c>
      <c r="H111" s="3" t="s">
        <v>32</v>
      </c>
      <c r="I111" s="3" t="s">
        <v>33</v>
      </c>
      <c r="J111" s="8" t="s">
        <v>81</v>
      </c>
      <c r="K111" s="2" t="str">
        <f aca="false">CONCATENATE(I111," ",J111)</f>
        <v>Tenuiphantes mengei</v>
      </c>
      <c r="L111" s="3" t="n">
        <f aca="false">SUM(P111:U111)</f>
        <v>1</v>
      </c>
      <c r="M111" s="11" t="n">
        <f aca="false">(L111/(F111*G111)*25)*4</f>
        <v>4</v>
      </c>
      <c r="N111" s="1" t="s">
        <v>30</v>
      </c>
      <c r="O111" s="1" t="s">
        <v>31</v>
      </c>
      <c r="P111" s="1" t="n">
        <v>1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3" t="n">
        <f aca="false">SUM(P111:Q111)</f>
        <v>1</v>
      </c>
      <c r="W111" s="3" t="n">
        <f aca="false">SUM(R111:T111)</f>
        <v>0</v>
      </c>
      <c r="X111" s="10" t="n">
        <v>40051</v>
      </c>
      <c r="Y111" s="10" t="n">
        <v>40056</v>
      </c>
    </row>
    <row r="112" customFormat="false" ht="14.25" hidden="false" customHeight="false" outlineLevel="0" collapsed="false">
      <c r="A112" s="1" t="n">
        <v>2009</v>
      </c>
      <c r="B112" s="1" t="n">
        <v>2</v>
      </c>
      <c r="C112" s="2" t="s">
        <v>50</v>
      </c>
      <c r="D112" s="7" t="s">
        <v>83</v>
      </c>
      <c r="E112" s="1" t="n">
        <v>3</v>
      </c>
      <c r="F112" s="1" t="n">
        <f aca="false">Y112-X112</f>
        <v>5</v>
      </c>
      <c r="G112" s="1" t="n">
        <v>5</v>
      </c>
      <c r="H112" s="3" t="s">
        <v>32</v>
      </c>
      <c r="I112" s="3" t="s">
        <v>33</v>
      </c>
      <c r="J112" s="8" t="s">
        <v>81</v>
      </c>
      <c r="K112" s="2" t="str">
        <f aca="false">CONCATENATE(I112," ",J112)</f>
        <v>Tenuiphantes mengei</v>
      </c>
      <c r="L112" s="3" t="n">
        <f aca="false">SUM(P112:U112)</f>
        <v>1</v>
      </c>
      <c r="M112" s="11" t="n">
        <f aca="false">(L112/(F112*G112)*25)*4</f>
        <v>4</v>
      </c>
      <c r="N112" s="1" t="s">
        <v>30</v>
      </c>
      <c r="O112" s="1" t="s">
        <v>35</v>
      </c>
      <c r="P112" s="1" t="n">
        <v>0</v>
      </c>
      <c r="Q112" s="1" t="n">
        <v>1</v>
      </c>
      <c r="R112" s="1" t="n">
        <v>0</v>
      </c>
      <c r="S112" s="1" t="n">
        <v>0</v>
      </c>
      <c r="T112" s="1" t="n">
        <v>0</v>
      </c>
      <c r="U112" s="1" t="n">
        <v>0</v>
      </c>
      <c r="V112" s="3" t="n">
        <f aca="false">SUM(P112:Q112)</f>
        <v>1</v>
      </c>
      <c r="W112" s="3" t="n">
        <f aca="false">SUM(R112:T112)</f>
        <v>0</v>
      </c>
      <c r="X112" s="10" t="n">
        <v>40051</v>
      </c>
      <c r="Y112" s="10" t="n">
        <v>40056</v>
      </c>
    </row>
    <row r="113" customFormat="false" ht="14.25" hidden="false" customHeight="false" outlineLevel="0" collapsed="false">
      <c r="A113" s="1" t="n">
        <v>2009</v>
      </c>
      <c r="B113" s="1" t="n">
        <v>2</v>
      </c>
      <c r="C113" s="2" t="s">
        <v>50</v>
      </c>
      <c r="D113" s="7" t="s">
        <v>83</v>
      </c>
      <c r="E113" s="1" t="n">
        <v>3</v>
      </c>
      <c r="F113" s="1" t="n">
        <f aca="false">Y113-X113</f>
        <v>5</v>
      </c>
      <c r="G113" s="1" t="n">
        <v>5</v>
      </c>
      <c r="H113" s="3" t="s">
        <v>92</v>
      </c>
      <c r="I113" s="3" t="s">
        <v>57</v>
      </c>
      <c r="J113" s="8" t="s">
        <v>38</v>
      </c>
      <c r="K113" s="2" t="str">
        <f aca="false">CONCATENATE(I113," ",J113)</f>
        <v>Gen sp</v>
      </c>
      <c r="L113" s="3" t="n">
        <f aca="false">SUM(P113:U113)</f>
        <v>2</v>
      </c>
      <c r="M113" s="11" t="n">
        <f aca="false">(L113/(F113*G113)*25)*4</f>
        <v>8</v>
      </c>
      <c r="N113" s="1" t="s">
        <v>19</v>
      </c>
      <c r="O113" s="1" t="s">
        <v>54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2</v>
      </c>
      <c r="U113" s="1" t="n">
        <v>0</v>
      </c>
      <c r="V113" s="3" t="n">
        <f aca="false">SUM(P113:Q113)</f>
        <v>0</v>
      </c>
      <c r="W113" s="3" t="n">
        <f aca="false">SUM(R113:T113)</f>
        <v>2</v>
      </c>
      <c r="X113" s="10" t="n">
        <v>40051</v>
      </c>
      <c r="Y113" s="10" t="n">
        <v>40056</v>
      </c>
    </row>
    <row r="114" customFormat="false" ht="14.25" hidden="false" customHeight="false" outlineLevel="0" collapsed="false">
      <c r="A114" s="1" t="n">
        <v>2009</v>
      </c>
      <c r="B114" s="1" t="n">
        <v>2</v>
      </c>
      <c r="C114" s="2" t="s">
        <v>50</v>
      </c>
      <c r="D114" s="7" t="s">
        <v>83</v>
      </c>
      <c r="E114" s="1" t="n">
        <v>1</v>
      </c>
      <c r="F114" s="1" t="n">
        <f aca="false">Y114-X114</f>
        <v>5</v>
      </c>
      <c r="G114" s="1" t="n">
        <v>5</v>
      </c>
      <c r="H114" s="3" t="s">
        <v>32</v>
      </c>
      <c r="I114" s="3" t="s">
        <v>68</v>
      </c>
      <c r="J114" s="8" t="s">
        <v>69</v>
      </c>
      <c r="K114" s="2" t="str">
        <f aca="false">CONCATENATE(I114," ",J114)</f>
        <v>Centromerus sylvaticus</v>
      </c>
      <c r="L114" s="3" t="n">
        <f aca="false">SUM(P114:U114)</f>
        <v>1</v>
      </c>
      <c r="M114" s="11" t="n">
        <f aca="false">(L114/(F114*G114)*25)*4</f>
        <v>4</v>
      </c>
      <c r="N114" s="1" t="s">
        <v>30</v>
      </c>
      <c r="O114" s="1" t="s">
        <v>31</v>
      </c>
      <c r="P114" s="1" t="n">
        <v>1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3" t="n">
        <f aca="false">SUM(P114:Q114)</f>
        <v>1</v>
      </c>
      <c r="W114" s="3" t="n">
        <f aca="false">SUM(R114:T114)</f>
        <v>0</v>
      </c>
      <c r="X114" s="10" t="n">
        <v>40051</v>
      </c>
      <c r="Y114" s="10" t="n">
        <v>40056</v>
      </c>
    </row>
    <row r="115" customFormat="false" ht="14.25" hidden="false" customHeight="false" outlineLevel="0" collapsed="false">
      <c r="A115" s="1" t="n">
        <v>2009</v>
      </c>
      <c r="B115" s="1" t="n">
        <v>2</v>
      </c>
      <c r="C115" s="2" t="s">
        <v>50</v>
      </c>
      <c r="D115" s="7" t="s">
        <v>83</v>
      </c>
      <c r="E115" s="1" t="n">
        <v>1</v>
      </c>
      <c r="F115" s="1" t="n">
        <f aca="false">Y115-X115</f>
        <v>5</v>
      </c>
      <c r="G115" s="1" t="n">
        <v>5</v>
      </c>
      <c r="H115" s="3" t="s">
        <v>32</v>
      </c>
      <c r="I115" s="3" t="s">
        <v>68</v>
      </c>
      <c r="J115" s="8" t="s">
        <v>69</v>
      </c>
      <c r="K115" s="2" t="str">
        <f aca="false">CONCATENATE(I115," ",J115)</f>
        <v>Centromerus sylvaticus</v>
      </c>
      <c r="L115" s="3" t="n">
        <f aca="false">SUM(P115:U115)</f>
        <v>2</v>
      </c>
      <c r="M115" s="11" t="n">
        <f aca="false">(L115/(F115*G115)*25)*4</f>
        <v>8</v>
      </c>
      <c r="N115" s="1" t="s">
        <v>30</v>
      </c>
      <c r="O115" s="1" t="s">
        <v>35</v>
      </c>
      <c r="P115" s="1" t="n">
        <v>0</v>
      </c>
      <c r="Q115" s="1" t="n">
        <v>2</v>
      </c>
      <c r="R115" s="1" t="n">
        <v>0</v>
      </c>
      <c r="S115" s="1" t="n">
        <v>0</v>
      </c>
      <c r="T115" s="1" t="n">
        <v>0</v>
      </c>
      <c r="U115" s="1" t="n">
        <v>0</v>
      </c>
      <c r="V115" s="3" t="n">
        <f aca="false">SUM(P115:Q115)</f>
        <v>2</v>
      </c>
      <c r="W115" s="3" t="n">
        <f aca="false">SUM(R115:T115)</f>
        <v>0</v>
      </c>
      <c r="X115" s="10" t="n">
        <v>40051</v>
      </c>
      <c r="Y115" s="10" t="n">
        <v>40056</v>
      </c>
    </row>
    <row r="116" customFormat="false" ht="14.25" hidden="false" customHeight="false" outlineLevel="0" collapsed="false">
      <c r="A116" s="1" t="n">
        <v>2009</v>
      </c>
      <c r="B116" s="1" t="n">
        <v>2</v>
      </c>
      <c r="C116" s="2" t="s">
        <v>50</v>
      </c>
      <c r="D116" s="7" t="s">
        <v>83</v>
      </c>
      <c r="E116" s="1" t="n">
        <v>1</v>
      </c>
      <c r="F116" s="1" t="n">
        <f aca="false">Y116-X116</f>
        <v>5</v>
      </c>
      <c r="G116" s="1" t="n">
        <v>5</v>
      </c>
      <c r="H116" s="3" t="s">
        <v>32</v>
      </c>
      <c r="I116" s="3" t="s">
        <v>33</v>
      </c>
      <c r="J116" s="8" t="s">
        <v>81</v>
      </c>
      <c r="K116" s="2" t="str">
        <f aca="false">CONCATENATE(I116," ",J116)</f>
        <v>Tenuiphantes mengei</v>
      </c>
      <c r="L116" s="3" t="n">
        <f aca="false">SUM(P116:U116)</f>
        <v>1</v>
      </c>
      <c r="M116" s="11" t="n">
        <f aca="false">(L116/(F116*G116)*25)*4</f>
        <v>4</v>
      </c>
      <c r="N116" s="1" t="s">
        <v>30</v>
      </c>
      <c r="O116" s="1" t="s">
        <v>31</v>
      </c>
      <c r="P116" s="1" t="n">
        <v>1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3" t="n">
        <f aca="false">SUM(P116:Q116)</f>
        <v>1</v>
      </c>
      <c r="W116" s="3" t="n">
        <f aca="false">SUM(R116:T116)</f>
        <v>0</v>
      </c>
      <c r="X116" s="10" t="n">
        <v>40051</v>
      </c>
      <c r="Y116" s="10" t="n">
        <v>40056</v>
      </c>
    </row>
    <row r="117" customFormat="false" ht="14.25" hidden="false" customHeight="false" outlineLevel="0" collapsed="false">
      <c r="A117" s="1" t="n">
        <v>2009</v>
      </c>
      <c r="B117" s="1" t="n">
        <v>2</v>
      </c>
      <c r="C117" s="2" t="s">
        <v>50</v>
      </c>
      <c r="D117" s="7" t="s">
        <v>83</v>
      </c>
      <c r="E117" s="1" t="n">
        <v>1</v>
      </c>
      <c r="F117" s="1" t="n">
        <f aca="false">Y117-X117</f>
        <v>5</v>
      </c>
      <c r="G117" s="1" t="n">
        <v>5</v>
      </c>
      <c r="H117" s="3" t="s">
        <v>32</v>
      </c>
      <c r="I117" s="3" t="s">
        <v>33</v>
      </c>
      <c r="J117" s="8" t="s">
        <v>81</v>
      </c>
      <c r="K117" s="2" t="str">
        <f aca="false">CONCATENATE(I117," ",J117)</f>
        <v>Tenuiphantes mengei</v>
      </c>
      <c r="L117" s="3" t="n">
        <f aca="false">SUM(P117:U117)</f>
        <v>2</v>
      </c>
      <c r="M117" s="11" t="n">
        <f aca="false">(L117/(F117*G117)*25)*4</f>
        <v>8</v>
      </c>
      <c r="N117" s="1" t="s">
        <v>30</v>
      </c>
      <c r="O117" s="1" t="s">
        <v>35</v>
      </c>
      <c r="P117" s="1" t="n">
        <v>0</v>
      </c>
      <c r="Q117" s="1" t="n">
        <v>2</v>
      </c>
      <c r="R117" s="1" t="n">
        <v>0</v>
      </c>
      <c r="S117" s="1" t="n">
        <v>0</v>
      </c>
      <c r="T117" s="1" t="n">
        <v>0</v>
      </c>
      <c r="U117" s="1" t="n">
        <v>0</v>
      </c>
      <c r="V117" s="3" t="n">
        <f aca="false">SUM(P117:Q117)</f>
        <v>2</v>
      </c>
      <c r="W117" s="3" t="n">
        <f aca="false">SUM(R117:T117)</f>
        <v>0</v>
      </c>
      <c r="X117" s="10" t="n">
        <v>40051</v>
      </c>
      <c r="Y117" s="10" t="n">
        <v>40056</v>
      </c>
    </row>
    <row r="118" customFormat="false" ht="14.25" hidden="false" customHeight="false" outlineLevel="0" collapsed="false">
      <c r="A118" s="1" t="n">
        <v>2009</v>
      </c>
      <c r="B118" s="1" t="n">
        <v>2</v>
      </c>
      <c r="C118" s="2" t="s">
        <v>50</v>
      </c>
      <c r="D118" s="7" t="s">
        <v>83</v>
      </c>
      <c r="E118" s="1" t="n">
        <v>1</v>
      </c>
      <c r="F118" s="1" t="n">
        <f aca="false">Y118-X118</f>
        <v>5</v>
      </c>
      <c r="G118" s="1" t="n">
        <v>5</v>
      </c>
      <c r="H118" s="3" t="s">
        <v>32</v>
      </c>
      <c r="I118" s="3" t="s">
        <v>68</v>
      </c>
      <c r="J118" s="8" t="s">
        <v>69</v>
      </c>
      <c r="K118" s="2" t="str">
        <f aca="false">CONCATENATE(I118," ",J118)</f>
        <v>Centromerus sylvaticus</v>
      </c>
      <c r="L118" s="3" t="n">
        <f aca="false">SUM(P118:U118)</f>
        <v>1</v>
      </c>
      <c r="M118" s="11" t="n">
        <f aca="false">(L118/(F118*G118)*25)*4</f>
        <v>4</v>
      </c>
      <c r="N118" s="1" t="s">
        <v>30</v>
      </c>
      <c r="O118" s="1" t="s">
        <v>35</v>
      </c>
      <c r="P118" s="1" t="n">
        <v>0</v>
      </c>
      <c r="Q118" s="1" t="n">
        <v>1</v>
      </c>
      <c r="R118" s="1" t="n">
        <v>0</v>
      </c>
      <c r="S118" s="1" t="n">
        <v>0</v>
      </c>
      <c r="T118" s="1" t="n">
        <v>0</v>
      </c>
      <c r="U118" s="1" t="n">
        <v>0</v>
      </c>
      <c r="V118" s="3" t="n">
        <f aca="false">SUM(P118:Q118)</f>
        <v>1</v>
      </c>
      <c r="W118" s="3" t="n">
        <f aca="false">SUM(R118:T118)</f>
        <v>0</v>
      </c>
      <c r="X118" s="10" t="n">
        <v>40051</v>
      </c>
      <c r="Y118" s="10" t="n">
        <v>40056</v>
      </c>
    </row>
    <row r="119" customFormat="false" ht="14.25" hidden="false" customHeight="false" outlineLevel="0" collapsed="false">
      <c r="A119" s="1" t="n">
        <v>2009</v>
      </c>
      <c r="B119" s="1" t="n">
        <v>2</v>
      </c>
      <c r="C119" s="2" t="s">
        <v>50</v>
      </c>
      <c r="D119" s="7" t="s">
        <v>98</v>
      </c>
      <c r="E119" s="1" t="n">
        <v>2</v>
      </c>
      <c r="F119" s="1" t="n">
        <f aca="false">Y119-X119</f>
        <v>5</v>
      </c>
      <c r="G119" s="1" t="n">
        <v>5</v>
      </c>
      <c r="H119" s="3" t="s">
        <v>32</v>
      </c>
      <c r="I119" s="3" t="s">
        <v>33</v>
      </c>
      <c r="J119" s="8" t="s">
        <v>81</v>
      </c>
      <c r="K119" s="2" t="str">
        <f aca="false">CONCATENATE(I119," ",J119)</f>
        <v>Tenuiphantes mengei</v>
      </c>
      <c r="L119" s="3" t="n">
        <f aca="false">SUM(P119:U119)</f>
        <v>1</v>
      </c>
      <c r="M119" s="11" t="n">
        <f aca="false">(L119/(F119*G119)*25)*4</f>
        <v>4</v>
      </c>
      <c r="N119" s="1" t="s">
        <v>30</v>
      </c>
      <c r="O119" s="1" t="s">
        <v>31</v>
      </c>
      <c r="P119" s="1" t="n">
        <v>1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3" t="n">
        <f aca="false">SUM(P119:Q119)</f>
        <v>1</v>
      </c>
      <c r="W119" s="3" t="n">
        <f aca="false">SUM(R119:T119)</f>
        <v>0</v>
      </c>
      <c r="X119" s="10" t="n">
        <v>40052</v>
      </c>
      <c r="Y119" s="10" t="n">
        <v>40057</v>
      </c>
    </row>
    <row r="120" customFormat="false" ht="14.25" hidden="false" customHeight="false" outlineLevel="0" collapsed="false">
      <c r="A120" s="1" t="n">
        <v>2009</v>
      </c>
      <c r="B120" s="1" t="n">
        <v>2</v>
      </c>
      <c r="C120" s="2" t="s">
        <v>50</v>
      </c>
      <c r="D120" s="7" t="s">
        <v>98</v>
      </c>
      <c r="E120" s="1" t="n">
        <v>2</v>
      </c>
      <c r="F120" s="1" t="n">
        <f aca="false">Y120-X120</f>
        <v>5</v>
      </c>
      <c r="G120" s="1" t="n">
        <v>5</v>
      </c>
      <c r="H120" s="3" t="s">
        <v>48</v>
      </c>
      <c r="I120" s="3" t="s">
        <v>61</v>
      </c>
      <c r="J120" s="8" t="s">
        <v>38</v>
      </c>
      <c r="K120" s="2" t="str">
        <f aca="false">CONCATENATE(I120," ",J120)</f>
        <v>Trochosa sp</v>
      </c>
      <c r="L120" s="3" t="n">
        <f aca="false">SUM(P120:U120)</f>
        <v>1</v>
      </c>
      <c r="M120" s="11" t="n">
        <f aca="false">(L120/(F120*G120)*25)*4</f>
        <v>4</v>
      </c>
      <c r="N120" s="1" t="s">
        <v>19</v>
      </c>
      <c r="O120" s="1" t="s">
        <v>54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1</v>
      </c>
      <c r="U120" s="1" t="n">
        <v>0</v>
      </c>
      <c r="V120" s="3" t="n">
        <f aca="false">SUM(P120:Q120)</f>
        <v>0</v>
      </c>
      <c r="W120" s="3" t="n">
        <f aca="false">SUM(R120:T120)</f>
        <v>1</v>
      </c>
      <c r="X120" s="10" t="n">
        <v>40052</v>
      </c>
      <c r="Y120" s="10" t="n">
        <v>40057</v>
      </c>
    </row>
    <row r="121" customFormat="false" ht="14.25" hidden="false" customHeight="false" outlineLevel="0" collapsed="false">
      <c r="A121" s="1" t="n">
        <v>2009</v>
      </c>
      <c r="B121" s="1" t="n">
        <v>2</v>
      </c>
      <c r="C121" s="2" t="s">
        <v>50</v>
      </c>
      <c r="D121" s="7" t="s">
        <v>98</v>
      </c>
      <c r="E121" s="1" t="n">
        <v>2</v>
      </c>
      <c r="F121" s="1" t="n">
        <f aca="false">Y121-X121</f>
        <v>5</v>
      </c>
      <c r="G121" s="1" t="n">
        <v>5</v>
      </c>
      <c r="H121" s="3" t="s">
        <v>36</v>
      </c>
      <c r="I121" s="3" t="s">
        <v>37</v>
      </c>
      <c r="J121" s="8" t="s">
        <v>38</v>
      </c>
      <c r="K121" s="2" t="str">
        <f aca="false">CONCATENATE(I121," ",J121)</f>
        <v>Ozyptila sp</v>
      </c>
      <c r="L121" s="3" t="n">
        <f aca="false">SUM(P121:U121)</f>
        <v>1</v>
      </c>
      <c r="M121" s="11" t="n">
        <f aca="false">(L121/(F121*G121)*25)*4</f>
        <v>4</v>
      </c>
      <c r="N121" s="1" t="s">
        <v>19</v>
      </c>
      <c r="O121" s="1" t="s">
        <v>54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1</v>
      </c>
      <c r="U121" s="1" t="n">
        <v>0</v>
      </c>
      <c r="V121" s="3" t="n">
        <f aca="false">SUM(P121:Q121)</f>
        <v>0</v>
      </c>
      <c r="W121" s="3" t="n">
        <f aca="false">SUM(R121:T121)</f>
        <v>1</v>
      </c>
      <c r="X121" s="10" t="n">
        <v>40052</v>
      </c>
      <c r="Y121" s="10" t="n">
        <v>40057</v>
      </c>
    </row>
    <row r="122" customFormat="false" ht="14.25" hidden="false" customHeight="false" outlineLevel="0" collapsed="false">
      <c r="A122" s="1" t="n">
        <v>2009</v>
      </c>
      <c r="B122" s="1" t="n">
        <v>2</v>
      </c>
      <c r="C122" s="2" t="s">
        <v>50</v>
      </c>
      <c r="D122" s="7" t="s">
        <v>98</v>
      </c>
      <c r="E122" s="1" t="n">
        <v>1</v>
      </c>
      <c r="F122" s="1" t="n">
        <f aca="false">Y122-X122</f>
        <v>5</v>
      </c>
      <c r="G122" s="1" t="n">
        <v>5</v>
      </c>
      <c r="H122" s="3" t="s">
        <v>32</v>
      </c>
      <c r="I122" s="3" t="s">
        <v>99</v>
      </c>
      <c r="J122" s="3" t="s">
        <v>100</v>
      </c>
      <c r="K122" s="2" t="str">
        <f aca="false">CONCATENATE(I122," ",J122)</f>
        <v>Linyphia triangularis</v>
      </c>
      <c r="L122" s="3" t="n">
        <f aca="false">SUM(P122:U122)</f>
        <v>1</v>
      </c>
      <c r="M122" s="11" t="n">
        <f aca="false">(L122/(F122*G122)*25)*4</f>
        <v>4</v>
      </c>
      <c r="N122" s="1" t="s">
        <v>30</v>
      </c>
      <c r="O122" s="1" t="s">
        <v>35</v>
      </c>
      <c r="P122" s="1" t="n">
        <v>0</v>
      </c>
      <c r="Q122" s="1" t="n">
        <v>1</v>
      </c>
      <c r="R122" s="1" t="n">
        <v>0</v>
      </c>
      <c r="S122" s="1" t="n">
        <v>0</v>
      </c>
      <c r="T122" s="1" t="n">
        <v>0</v>
      </c>
      <c r="U122" s="1" t="n">
        <v>0</v>
      </c>
      <c r="V122" s="3" t="n">
        <f aca="false">SUM(P122:Q122)</f>
        <v>1</v>
      </c>
      <c r="W122" s="3" t="n">
        <f aca="false">SUM(R122:T122)</f>
        <v>0</v>
      </c>
      <c r="X122" s="10" t="n">
        <v>40052</v>
      </c>
      <c r="Y122" s="10" t="n">
        <v>40057</v>
      </c>
    </row>
    <row r="123" customFormat="false" ht="14.25" hidden="false" customHeight="false" outlineLevel="0" collapsed="false">
      <c r="A123" s="1" t="n">
        <v>2009</v>
      </c>
      <c r="B123" s="1" t="n">
        <v>2</v>
      </c>
      <c r="C123" s="2" t="s">
        <v>50</v>
      </c>
      <c r="D123" s="7" t="s">
        <v>98</v>
      </c>
      <c r="E123" s="1" t="n">
        <v>1</v>
      </c>
      <c r="F123" s="1" t="n">
        <f aca="false">Y123-X123</f>
        <v>5</v>
      </c>
      <c r="G123" s="1" t="n">
        <v>5</v>
      </c>
      <c r="H123" s="3" t="s">
        <v>32</v>
      </c>
      <c r="I123" s="3" t="s">
        <v>62</v>
      </c>
      <c r="J123" s="8" t="s">
        <v>63</v>
      </c>
      <c r="K123" s="2" t="str">
        <f aca="false">CONCATENATE(I123," ",J123)</f>
        <v>Microneta viaria</v>
      </c>
      <c r="L123" s="3" t="n">
        <f aca="false">SUM(P123:U123)</f>
        <v>1</v>
      </c>
      <c r="M123" s="11" t="n">
        <f aca="false">(L123/(F123*G123)*25)*4</f>
        <v>4</v>
      </c>
      <c r="N123" s="1" t="s">
        <v>30</v>
      </c>
      <c r="O123" s="1" t="s">
        <v>31</v>
      </c>
      <c r="P123" s="1" t="n">
        <v>1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3" t="n">
        <f aca="false">SUM(P123:Q123)</f>
        <v>1</v>
      </c>
      <c r="W123" s="3" t="n">
        <f aca="false">SUM(R123:T123)</f>
        <v>0</v>
      </c>
      <c r="X123" s="10" t="n">
        <v>40052</v>
      </c>
      <c r="Y123" s="10" t="n">
        <v>40057</v>
      </c>
    </row>
    <row r="124" customFormat="false" ht="14.25" hidden="false" customHeight="false" outlineLevel="0" collapsed="false">
      <c r="A124" s="1" t="n">
        <v>2009</v>
      </c>
      <c r="B124" s="1" t="n">
        <v>2</v>
      </c>
      <c r="C124" s="2" t="s">
        <v>50</v>
      </c>
      <c r="D124" s="7" t="s">
        <v>98</v>
      </c>
      <c r="E124" s="1" t="n">
        <v>1</v>
      </c>
      <c r="F124" s="1" t="n">
        <f aca="false">Y124-X124</f>
        <v>5</v>
      </c>
      <c r="G124" s="1" t="n">
        <v>5</v>
      </c>
      <c r="H124" s="3" t="s">
        <v>32</v>
      </c>
      <c r="I124" s="3" t="s">
        <v>33</v>
      </c>
      <c r="J124" s="8" t="s">
        <v>81</v>
      </c>
      <c r="K124" s="2" t="str">
        <f aca="false">CONCATENATE(I124," ",J124)</f>
        <v>Tenuiphantes mengei</v>
      </c>
      <c r="L124" s="3" t="n">
        <f aca="false">SUM(P124:U124)</f>
        <v>1</v>
      </c>
      <c r="M124" s="11" t="n">
        <f aca="false">(L124/(F124*G124)*25)*4</f>
        <v>4</v>
      </c>
      <c r="N124" s="1" t="s">
        <v>30</v>
      </c>
      <c r="O124" s="1" t="s">
        <v>35</v>
      </c>
      <c r="P124" s="1" t="n">
        <v>0</v>
      </c>
      <c r="Q124" s="1" t="n">
        <v>1</v>
      </c>
      <c r="R124" s="1" t="n">
        <v>0</v>
      </c>
      <c r="S124" s="1" t="n">
        <v>0</v>
      </c>
      <c r="T124" s="1" t="n">
        <v>0</v>
      </c>
      <c r="U124" s="1" t="n">
        <v>0</v>
      </c>
      <c r="V124" s="3" t="n">
        <f aca="false">SUM(P124:Q124)</f>
        <v>1</v>
      </c>
      <c r="W124" s="3" t="n">
        <f aca="false">SUM(R124:T124)</f>
        <v>0</v>
      </c>
      <c r="X124" s="10" t="n">
        <v>40052</v>
      </c>
      <c r="Y124" s="10" t="n">
        <v>40057</v>
      </c>
    </row>
    <row r="125" customFormat="false" ht="14.25" hidden="false" customHeight="false" outlineLevel="0" collapsed="false">
      <c r="A125" s="1" t="n">
        <v>2009</v>
      </c>
      <c r="B125" s="1" t="n">
        <v>2</v>
      </c>
      <c r="C125" s="2" t="s">
        <v>50</v>
      </c>
      <c r="D125" s="7" t="s">
        <v>98</v>
      </c>
      <c r="E125" s="1" t="n">
        <v>1</v>
      </c>
      <c r="F125" s="1" t="n">
        <f aca="false">Y125-X125</f>
        <v>5</v>
      </c>
      <c r="G125" s="1" t="n">
        <v>5</v>
      </c>
      <c r="H125" s="3" t="s">
        <v>32</v>
      </c>
      <c r="I125" s="3" t="s">
        <v>33</v>
      </c>
      <c r="J125" s="8" t="s">
        <v>60</v>
      </c>
      <c r="K125" s="2" t="str">
        <f aca="false">CONCATENATE(I125," ",J125)</f>
        <v>Tenuiphantes tenebricola</v>
      </c>
      <c r="L125" s="3" t="n">
        <f aca="false">SUM(P125:U125)</f>
        <v>1</v>
      </c>
      <c r="M125" s="11" t="n">
        <f aca="false">(L125/(F125*G125)*25)*4</f>
        <v>4</v>
      </c>
      <c r="N125" s="1" t="s">
        <v>30</v>
      </c>
      <c r="O125" s="1" t="s">
        <v>35</v>
      </c>
      <c r="P125" s="1" t="n">
        <v>0</v>
      </c>
      <c r="Q125" s="1" t="n">
        <v>1</v>
      </c>
      <c r="R125" s="1" t="n">
        <v>0</v>
      </c>
      <c r="S125" s="1" t="n">
        <v>0</v>
      </c>
      <c r="T125" s="1" t="n">
        <v>0</v>
      </c>
      <c r="U125" s="1" t="n">
        <v>0</v>
      </c>
      <c r="V125" s="3" t="n">
        <f aca="false">SUM(P125:Q125)</f>
        <v>1</v>
      </c>
      <c r="W125" s="3" t="n">
        <f aca="false">SUM(R125:T125)</f>
        <v>0</v>
      </c>
      <c r="X125" s="10" t="n">
        <v>40052</v>
      </c>
      <c r="Y125" s="10" t="n">
        <v>40057</v>
      </c>
    </row>
    <row r="126" customFormat="false" ht="14.25" hidden="false" customHeight="false" outlineLevel="0" collapsed="false">
      <c r="A126" s="1" t="n">
        <v>2009</v>
      </c>
      <c r="B126" s="1" t="n">
        <v>2</v>
      </c>
      <c r="C126" s="2" t="s">
        <v>50</v>
      </c>
      <c r="D126" s="7" t="s">
        <v>98</v>
      </c>
      <c r="E126" s="1" t="n">
        <v>2</v>
      </c>
      <c r="F126" s="1" t="n">
        <f aca="false">Y126-X126</f>
        <v>5</v>
      </c>
      <c r="G126" s="1" t="n">
        <v>5</v>
      </c>
      <c r="H126" s="3" t="s">
        <v>48</v>
      </c>
      <c r="I126" s="3" t="s">
        <v>49</v>
      </c>
      <c r="J126" s="8" t="s">
        <v>38</v>
      </c>
      <c r="K126" s="2" t="str">
        <f aca="false">CONCATENATE(I126," ",J126)</f>
        <v>Alopecosa sp</v>
      </c>
      <c r="L126" s="3" t="n">
        <f aca="false">SUM(P126:U126)</f>
        <v>1</v>
      </c>
      <c r="M126" s="11" t="n">
        <f aca="false">(L126/(F126*G126)*25)*4</f>
        <v>4</v>
      </c>
      <c r="N126" s="1" t="s">
        <v>19</v>
      </c>
      <c r="O126" s="1" t="s">
        <v>31</v>
      </c>
      <c r="P126" s="1" t="n">
        <v>0</v>
      </c>
      <c r="Q126" s="1" t="n">
        <v>0</v>
      </c>
      <c r="R126" s="1" t="n">
        <v>1</v>
      </c>
      <c r="S126" s="1" t="n">
        <v>0</v>
      </c>
      <c r="T126" s="1" t="n">
        <v>0</v>
      </c>
      <c r="U126" s="1" t="n">
        <v>0</v>
      </c>
      <c r="V126" s="3" t="n">
        <f aca="false">SUM(P126:Q126)</f>
        <v>0</v>
      </c>
      <c r="W126" s="3" t="n">
        <f aca="false">SUM(R126:T126)</f>
        <v>1</v>
      </c>
      <c r="X126" s="10" t="n">
        <v>40052</v>
      </c>
      <c r="Y126" s="10" t="n">
        <v>40057</v>
      </c>
    </row>
    <row r="127" customFormat="false" ht="14.25" hidden="false" customHeight="false" outlineLevel="0" collapsed="false">
      <c r="A127" s="1" t="n">
        <v>2009</v>
      </c>
      <c r="B127" s="1" t="n">
        <v>2</v>
      </c>
      <c r="C127" s="2" t="s">
        <v>50</v>
      </c>
      <c r="D127" s="7" t="s">
        <v>98</v>
      </c>
      <c r="E127" s="1" t="n">
        <v>2</v>
      </c>
      <c r="F127" s="1" t="n">
        <f aca="false">Y127-X127</f>
        <v>5</v>
      </c>
      <c r="G127" s="1" t="n">
        <v>5</v>
      </c>
      <c r="H127" s="3" t="s">
        <v>92</v>
      </c>
      <c r="I127" s="3" t="s">
        <v>57</v>
      </c>
      <c r="J127" s="8" t="s">
        <v>38</v>
      </c>
      <c r="K127" s="2" t="str">
        <f aca="false">CONCATENATE(I127," ",J127)</f>
        <v>Gen sp</v>
      </c>
      <c r="L127" s="3" t="n">
        <f aca="false">SUM(P127:U127)</f>
        <v>1</v>
      </c>
      <c r="M127" s="11" t="n">
        <f aca="false">(L127/(F127*G127)*25)*4</f>
        <v>4</v>
      </c>
      <c r="N127" s="1" t="s">
        <v>19</v>
      </c>
      <c r="O127" s="1" t="s">
        <v>54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1</v>
      </c>
      <c r="U127" s="1" t="n">
        <v>0</v>
      </c>
      <c r="V127" s="3" t="n">
        <f aca="false">SUM(P127:Q127)</f>
        <v>0</v>
      </c>
      <c r="W127" s="3" t="n">
        <f aca="false">SUM(R127:T127)</f>
        <v>1</v>
      </c>
      <c r="X127" s="10" t="n">
        <v>40052</v>
      </c>
      <c r="Y127" s="10" t="n">
        <v>40057</v>
      </c>
    </row>
    <row r="128" customFormat="false" ht="14.25" hidden="false" customHeight="false" outlineLevel="0" collapsed="false">
      <c r="A128" s="1" t="n">
        <v>2009</v>
      </c>
      <c r="B128" s="1" t="n">
        <v>2</v>
      </c>
      <c r="C128" s="2" t="s">
        <v>50</v>
      </c>
      <c r="D128" s="7" t="s">
        <v>98</v>
      </c>
      <c r="E128" s="1" t="n">
        <v>2</v>
      </c>
      <c r="F128" s="1" t="n">
        <f aca="false">Y128-X128</f>
        <v>5</v>
      </c>
      <c r="G128" s="1" t="n">
        <v>5</v>
      </c>
      <c r="H128" s="3" t="s">
        <v>32</v>
      </c>
      <c r="I128" s="3" t="s">
        <v>33</v>
      </c>
      <c r="J128" s="8" t="s">
        <v>81</v>
      </c>
      <c r="K128" s="2" t="str">
        <f aca="false">CONCATENATE(I128," ",J128)</f>
        <v>Tenuiphantes mengei</v>
      </c>
      <c r="L128" s="3" t="n">
        <f aca="false">SUM(P128:U128)</f>
        <v>1</v>
      </c>
      <c r="M128" s="11" t="n">
        <f aca="false">(L128/(F128*G128)*25)*4</f>
        <v>4</v>
      </c>
      <c r="N128" s="1" t="s">
        <v>30</v>
      </c>
      <c r="O128" s="1" t="s">
        <v>31</v>
      </c>
      <c r="P128" s="1" t="n">
        <v>1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3" t="n">
        <f aca="false">SUM(P128:Q128)</f>
        <v>1</v>
      </c>
      <c r="W128" s="3" t="n">
        <f aca="false">SUM(R128:T128)</f>
        <v>0</v>
      </c>
      <c r="X128" s="10" t="n">
        <v>40052</v>
      </c>
      <c r="Y128" s="10" t="n">
        <v>40057</v>
      </c>
    </row>
    <row r="129" customFormat="false" ht="14.25" hidden="false" customHeight="false" outlineLevel="0" collapsed="false">
      <c r="A129" s="1" t="n">
        <v>2009</v>
      </c>
      <c r="B129" s="1" t="n">
        <v>2</v>
      </c>
      <c r="C129" s="2" t="s">
        <v>50</v>
      </c>
      <c r="D129" s="7" t="s">
        <v>98</v>
      </c>
      <c r="E129" s="1" t="n">
        <v>2</v>
      </c>
      <c r="F129" s="1" t="n">
        <f aca="false">Y129-X129</f>
        <v>5</v>
      </c>
      <c r="G129" s="1" t="n">
        <v>5</v>
      </c>
      <c r="H129" s="3" t="s">
        <v>32</v>
      </c>
      <c r="I129" s="3" t="s">
        <v>33</v>
      </c>
      <c r="J129" s="8" t="s">
        <v>81</v>
      </c>
      <c r="K129" s="2" t="str">
        <f aca="false">CONCATENATE(I129," ",J129)</f>
        <v>Tenuiphantes mengei</v>
      </c>
      <c r="L129" s="3" t="n">
        <f aca="false">SUM(P129:U129)</f>
        <v>1</v>
      </c>
      <c r="M129" s="11" t="n">
        <f aca="false">(L129/(F129*G129)*25)*4</f>
        <v>4</v>
      </c>
      <c r="N129" s="1" t="s">
        <v>30</v>
      </c>
      <c r="O129" s="1" t="s">
        <v>35</v>
      </c>
      <c r="P129" s="1" t="n">
        <v>0</v>
      </c>
      <c r="Q129" s="1" t="n">
        <v>1</v>
      </c>
      <c r="R129" s="1" t="n">
        <v>0</v>
      </c>
      <c r="S129" s="1" t="n">
        <v>0</v>
      </c>
      <c r="T129" s="1" t="n">
        <v>0</v>
      </c>
      <c r="U129" s="1" t="n">
        <v>0</v>
      </c>
      <c r="V129" s="3" t="n">
        <f aca="false">SUM(P129:Q129)</f>
        <v>1</v>
      </c>
      <c r="W129" s="3" t="n">
        <f aca="false">SUM(R129:T129)</f>
        <v>0</v>
      </c>
      <c r="X129" s="10" t="n">
        <v>40052</v>
      </c>
      <c r="Y129" s="10" t="n">
        <v>40057</v>
      </c>
    </row>
    <row r="130" customFormat="false" ht="14.25" hidden="false" customHeight="false" outlineLevel="0" collapsed="false">
      <c r="A130" s="1" t="n">
        <v>2009</v>
      </c>
      <c r="B130" s="1" t="n">
        <v>2</v>
      </c>
      <c r="C130" s="2" t="s">
        <v>50</v>
      </c>
      <c r="D130" s="7" t="s">
        <v>98</v>
      </c>
      <c r="E130" s="1" t="n">
        <v>2</v>
      </c>
      <c r="F130" s="1" t="n">
        <f aca="false">Y130-X130</f>
        <v>5</v>
      </c>
      <c r="G130" s="1" t="n">
        <v>5</v>
      </c>
      <c r="H130" s="3" t="s">
        <v>36</v>
      </c>
      <c r="I130" s="3" t="s">
        <v>37</v>
      </c>
      <c r="J130" s="8" t="s">
        <v>75</v>
      </c>
      <c r="K130" s="2" t="str">
        <f aca="false">CONCATENATE(I130," ",J130)</f>
        <v>Ozyptila praticola</v>
      </c>
      <c r="L130" s="3" t="n">
        <f aca="false">SUM(P130:U130)</f>
        <v>1</v>
      </c>
      <c r="M130" s="11" t="n">
        <f aca="false">(L130/(F130*G130)*25)*4</f>
        <v>4</v>
      </c>
      <c r="N130" s="1" t="s">
        <v>30</v>
      </c>
      <c r="O130" s="1" t="s">
        <v>35</v>
      </c>
      <c r="P130" s="1" t="n">
        <v>0</v>
      </c>
      <c r="Q130" s="1" t="n">
        <v>1</v>
      </c>
      <c r="R130" s="1" t="n">
        <v>0</v>
      </c>
      <c r="S130" s="1" t="n">
        <v>0</v>
      </c>
      <c r="T130" s="1" t="n">
        <v>0</v>
      </c>
      <c r="U130" s="1" t="n">
        <v>0</v>
      </c>
      <c r="V130" s="3" t="n">
        <f aca="false">SUM(P130:Q130)</f>
        <v>1</v>
      </c>
      <c r="W130" s="3" t="n">
        <f aca="false">SUM(R130:T130)</f>
        <v>0</v>
      </c>
      <c r="X130" s="10" t="n">
        <v>40052</v>
      </c>
      <c r="Y130" s="10" t="n">
        <v>40057</v>
      </c>
    </row>
    <row r="131" customFormat="false" ht="14.25" hidden="false" customHeight="false" outlineLevel="0" collapsed="false">
      <c r="A131" s="1" t="n">
        <v>2009</v>
      </c>
      <c r="B131" s="1" t="n">
        <v>2</v>
      </c>
      <c r="C131" s="2" t="s">
        <v>50</v>
      </c>
      <c r="D131" s="7" t="s">
        <v>98</v>
      </c>
      <c r="E131" s="1" t="n">
        <v>2</v>
      </c>
      <c r="F131" s="1" t="n">
        <f aca="false">Y131-X131</f>
        <v>5</v>
      </c>
      <c r="G131" s="1" t="n">
        <v>5</v>
      </c>
      <c r="H131" s="3" t="s">
        <v>48</v>
      </c>
      <c r="I131" s="3" t="s">
        <v>61</v>
      </c>
      <c r="J131" s="8" t="s">
        <v>38</v>
      </c>
      <c r="K131" s="2" t="str">
        <f aca="false">CONCATENATE(I131," ",J131)</f>
        <v>Trochosa sp</v>
      </c>
      <c r="L131" s="3" t="n">
        <f aca="false">SUM(P131:U131)</f>
        <v>1</v>
      </c>
      <c r="M131" s="11" t="n">
        <f aca="false">(L131/(F131*G131)*25)*4</f>
        <v>4</v>
      </c>
      <c r="N131" s="1" t="s">
        <v>19</v>
      </c>
      <c r="O131" s="1" t="s">
        <v>54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1</v>
      </c>
      <c r="U131" s="1" t="n">
        <v>0</v>
      </c>
      <c r="V131" s="3" t="n">
        <f aca="false">SUM(P131:Q131)</f>
        <v>0</v>
      </c>
      <c r="W131" s="3" t="n">
        <f aca="false">SUM(R131:T131)</f>
        <v>1</v>
      </c>
      <c r="X131" s="10" t="n">
        <v>40052</v>
      </c>
      <c r="Y131" s="10" t="n">
        <v>40057</v>
      </c>
    </row>
    <row r="132" customFormat="false" ht="14.25" hidden="false" customHeight="false" outlineLevel="0" collapsed="false">
      <c r="A132" s="1" t="n">
        <v>2009</v>
      </c>
      <c r="B132" s="1" t="n">
        <v>2</v>
      </c>
      <c r="C132" s="2" t="s">
        <v>50</v>
      </c>
      <c r="D132" s="7" t="s">
        <v>98</v>
      </c>
      <c r="E132" s="1" t="n">
        <v>3</v>
      </c>
      <c r="F132" s="1" t="n">
        <f aca="false">Y132-X132</f>
        <v>5</v>
      </c>
      <c r="G132" s="1" t="n">
        <v>5</v>
      </c>
      <c r="H132" s="3" t="s">
        <v>48</v>
      </c>
      <c r="I132" s="3" t="s">
        <v>49</v>
      </c>
      <c r="J132" s="8" t="s">
        <v>38</v>
      </c>
      <c r="K132" s="2" t="str">
        <f aca="false">CONCATENATE(I132," ",J132)</f>
        <v>Alopecosa sp</v>
      </c>
      <c r="L132" s="3" t="n">
        <f aca="false">SUM(P132:U132)</f>
        <v>1</v>
      </c>
      <c r="M132" s="11" t="n">
        <f aca="false">(L132/(F132*G132)*25)*4</f>
        <v>4</v>
      </c>
      <c r="N132" s="15" t="s">
        <v>19</v>
      </c>
      <c r="O132" s="15" t="s">
        <v>35</v>
      </c>
      <c r="P132" s="1" t="n">
        <v>0</v>
      </c>
      <c r="Q132" s="1" t="n">
        <v>0</v>
      </c>
      <c r="R132" s="1" t="n">
        <v>0</v>
      </c>
      <c r="S132" s="1" t="n">
        <v>1</v>
      </c>
      <c r="T132" s="1" t="n">
        <v>0</v>
      </c>
      <c r="U132" s="1" t="n">
        <v>0</v>
      </c>
      <c r="V132" s="3" t="n">
        <f aca="false">SUM(P132:Q132)</f>
        <v>0</v>
      </c>
      <c r="W132" s="3" t="n">
        <f aca="false">SUM(R132:T132)</f>
        <v>1</v>
      </c>
      <c r="X132" s="10" t="n">
        <v>40052</v>
      </c>
      <c r="Y132" s="10" t="n">
        <v>40057</v>
      </c>
    </row>
    <row r="133" customFormat="false" ht="14.25" hidden="false" customHeight="false" outlineLevel="0" collapsed="false">
      <c r="A133" s="1" t="n">
        <v>2009</v>
      </c>
      <c r="B133" s="1" t="n">
        <v>2</v>
      </c>
      <c r="C133" s="2" t="s">
        <v>50</v>
      </c>
      <c r="D133" s="7" t="s">
        <v>98</v>
      </c>
      <c r="E133" s="1" t="n">
        <v>3</v>
      </c>
      <c r="F133" s="1" t="n">
        <f aca="false">Y133-X133</f>
        <v>5</v>
      </c>
      <c r="G133" s="1" t="n">
        <v>5</v>
      </c>
      <c r="H133" s="3" t="s">
        <v>36</v>
      </c>
      <c r="I133" s="3" t="s">
        <v>37</v>
      </c>
      <c r="J133" s="8" t="s">
        <v>75</v>
      </c>
      <c r="K133" s="2" t="str">
        <f aca="false">CONCATENATE(I133," ",J133)</f>
        <v>Ozyptila praticola</v>
      </c>
      <c r="L133" s="3" t="n">
        <f aca="false">SUM(P133:U133)</f>
        <v>1</v>
      </c>
      <c r="M133" s="11" t="n">
        <f aca="false">(L133/(F133*G133)*25)*4</f>
        <v>4</v>
      </c>
      <c r="N133" s="1" t="s">
        <v>30</v>
      </c>
      <c r="O133" s="1" t="s">
        <v>31</v>
      </c>
      <c r="P133" s="1" t="n">
        <v>1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3" t="n">
        <f aca="false">SUM(P133:Q133)</f>
        <v>1</v>
      </c>
      <c r="W133" s="3" t="n">
        <f aca="false">SUM(R133:T133)</f>
        <v>0</v>
      </c>
      <c r="X133" s="10" t="n">
        <v>40052</v>
      </c>
      <c r="Y133" s="10" t="n">
        <v>40057</v>
      </c>
    </row>
    <row r="134" customFormat="false" ht="14.25" hidden="false" customHeight="false" outlineLevel="0" collapsed="false">
      <c r="A134" s="1" t="n">
        <v>2009</v>
      </c>
      <c r="B134" s="1" t="n">
        <v>2</v>
      </c>
      <c r="C134" s="2" t="s">
        <v>50</v>
      </c>
      <c r="D134" s="7" t="s">
        <v>98</v>
      </c>
      <c r="E134" s="1" t="n">
        <v>2</v>
      </c>
      <c r="F134" s="1" t="n">
        <f aca="false">Y134-X134</f>
        <v>5</v>
      </c>
      <c r="G134" s="1" t="n">
        <v>5</v>
      </c>
      <c r="H134" s="3" t="s">
        <v>72</v>
      </c>
      <c r="I134" s="3" t="s">
        <v>73</v>
      </c>
      <c r="J134" s="8" t="s">
        <v>74</v>
      </c>
      <c r="K134" s="2" t="str">
        <f aca="false">CONCATENATE(I134," ",J134)</f>
        <v>Zelotes subterraneus</v>
      </c>
      <c r="L134" s="3" t="n">
        <f aca="false">SUM(P134:U134)</f>
        <v>1</v>
      </c>
      <c r="M134" s="11" t="n">
        <f aca="false">(L134/(F134*G134)*25)*4</f>
        <v>4</v>
      </c>
      <c r="N134" s="1" t="s">
        <v>30</v>
      </c>
      <c r="O134" s="1" t="s">
        <v>35</v>
      </c>
      <c r="P134" s="1" t="n">
        <v>0</v>
      </c>
      <c r="Q134" s="1" t="n">
        <v>1</v>
      </c>
      <c r="R134" s="1" t="n">
        <v>0</v>
      </c>
      <c r="S134" s="1" t="n">
        <v>0</v>
      </c>
      <c r="T134" s="1" t="n">
        <v>0</v>
      </c>
      <c r="U134" s="1" t="n">
        <v>0</v>
      </c>
      <c r="V134" s="3" t="n">
        <f aca="false">SUM(P134:Q134)</f>
        <v>1</v>
      </c>
      <c r="W134" s="3" t="n">
        <f aca="false">SUM(R134:T134)</f>
        <v>0</v>
      </c>
      <c r="X134" s="10" t="n">
        <v>40052</v>
      </c>
      <c r="Y134" s="10" t="n">
        <v>40057</v>
      </c>
    </row>
    <row r="135" customFormat="false" ht="14.25" hidden="false" customHeight="false" outlineLevel="0" collapsed="false">
      <c r="A135" s="1" t="n">
        <v>2009</v>
      </c>
      <c r="B135" s="1" t="n">
        <v>2</v>
      </c>
      <c r="C135" s="2" t="s">
        <v>50</v>
      </c>
      <c r="D135" s="7" t="s">
        <v>98</v>
      </c>
      <c r="E135" s="1" t="n">
        <v>1</v>
      </c>
      <c r="F135" s="1" t="n">
        <f aca="false">Y135-X135</f>
        <v>5</v>
      </c>
      <c r="G135" s="1" t="n">
        <v>5</v>
      </c>
      <c r="H135" s="3" t="s">
        <v>48</v>
      </c>
      <c r="I135" s="3" t="s">
        <v>61</v>
      </c>
      <c r="J135" s="8" t="s">
        <v>38</v>
      </c>
      <c r="K135" s="2" t="str">
        <f aca="false">CONCATENATE(I135," ",J135)</f>
        <v>Trochosa sp</v>
      </c>
      <c r="L135" s="3" t="n">
        <f aca="false">SUM(P135:U135)</f>
        <v>2</v>
      </c>
      <c r="M135" s="11" t="n">
        <f aca="false">(L135/(F135*G135)*25)*4</f>
        <v>8</v>
      </c>
      <c r="N135" s="1" t="s">
        <v>19</v>
      </c>
      <c r="O135" s="1" t="s">
        <v>54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2</v>
      </c>
      <c r="U135" s="1" t="n">
        <v>0</v>
      </c>
      <c r="V135" s="3" t="n">
        <f aca="false">SUM(P135:Q135)</f>
        <v>0</v>
      </c>
      <c r="W135" s="3" t="n">
        <f aca="false">SUM(R135:T135)</f>
        <v>2</v>
      </c>
      <c r="X135" s="10" t="n">
        <v>40052</v>
      </c>
      <c r="Y135" s="10" t="n">
        <v>40057</v>
      </c>
    </row>
    <row r="136" customFormat="false" ht="14.25" hidden="false" customHeight="false" outlineLevel="0" collapsed="false">
      <c r="A136" s="1" t="n">
        <v>2009</v>
      </c>
      <c r="B136" s="1" t="n">
        <v>2</v>
      </c>
      <c r="C136" s="2" t="s">
        <v>50</v>
      </c>
      <c r="D136" s="7" t="s">
        <v>98</v>
      </c>
      <c r="E136" s="1" t="n">
        <v>1</v>
      </c>
      <c r="F136" s="1" t="n">
        <f aca="false">Y136-X136</f>
        <v>5</v>
      </c>
      <c r="G136" s="1" t="n">
        <v>5</v>
      </c>
      <c r="H136" s="3" t="s">
        <v>32</v>
      </c>
      <c r="I136" s="3" t="s">
        <v>39</v>
      </c>
      <c r="J136" s="8" t="s">
        <v>40</v>
      </c>
      <c r="K136" s="2" t="str">
        <f aca="false">CONCATENATE(I136," ",J136)</f>
        <v>Helophora insignis</v>
      </c>
      <c r="L136" s="3" t="n">
        <f aca="false">SUM(P136:U136)</f>
        <v>1</v>
      </c>
      <c r="M136" s="11" t="n">
        <f aca="false">(L136/(F136*G136)*25)*4</f>
        <v>4</v>
      </c>
      <c r="N136" s="1" t="s">
        <v>30</v>
      </c>
      <c r="O136" s="1" t="s">
        <v>31</v>
      </c>
      <c r="P136" s="1" t="n">
        <v>1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3" t="n">
        <f aca="false">SUM(P136:Q136)</f>
        <v>1</v>
      </c>
      <c r="W136" s="3" t="n">
        <f aca="false">SUM(R136:T136)</f>
        <v>0</v>
      </c>
      <c r="X136" s="10" t="n">
        <v>40052</v>
      </c>
      <c r="Y136" s="10" t="n">
        <v>40057</v>
      </c>
    </row>
    <row r="137" customFormat="false" ht="14.25" hidden="false" customHeight="false" outlineLevel="0" collapsed="false">
      <c r="A137" s="1" t="n">
        <v>2009</v>
      </c>
      <c r="B137" s="1" t="n">
        <v>2</v>
      </c>
      <c r="C137" s="2" t="s">
        <v>50</v>
      </c>
      <c r="D137" s="7" t="s">
        <v>98</v>
      </c>
      <c r="E137" s="1" t="n">
        <v>3</v>
      </c>
      <c r="F137" s="1" t="n">
        <f aca="false">Y137-X137</f>
        <v>5</v>
      </c>
      <c r="G137" s="1" t="n">
        <v>5</v>
      </c>
      <c r="H137" s="3" t="s">
        <v>36</v>
      </c>
      <c r="I137" s="3" t="s">
        <v>37</v>
      </c>
      <c r="J137" s="8" t="s">
        <v>75</v>
      </c>
      <c r="K137" s="2" t="str">
        <f aca="false">CONCATENATE(I137," ",J137)</f>
        <v>Ozyptila praticola</v>
      </c>
      <c r="L137" s="3" t="n">
        <f aca="false">SUM(P137:U137)</f>
        <v>1</v>
      </c>
      <c r="M137" s="11" t="n">
        <f aca="false">(L137/(F137*G137)*25)*4</f>
        <v>4</v>
      </c>
      <c r="N137" s="1" t="s">
        <v>30</v>
      </c>
      <c r="O137" s="1" t="s">
        <v>31</v>
      </c>
      <c r="P137" s="1" t="n">
        <v>1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3" t="n">
        <f aca="false">SUM(P137:Q137)</f>
        <v>1</v>
      </c>
      <c r="W137" s="3" t="n">
        <f aca="false">SUM(R137:T137)</f>
        <v>0</v>
      </c>
      <c r="X137" s="10" t="n">
        <v>40052</v>
      </c>
      <c r="Y137" s="10" t="n">
        <v>40057</v>
      </c>
    </row>
    <row r="138" customFormat="false" ht="14.25" hidden="false" customHeight="false" outlineLevel="0" collapsed="false">
      <c r="A138" s="1" t="n">
        <v>2009</v>
      </c>
      <c r="B138" s="1" t="n">
        <v>2</v>
      </c>
      <c r="C138" s="2" t="s">
        <v>50</v>
      </c>
      <c r="D138" s="7" t="s">
        <v>98</v>
      </c>
      <c r="E138" s="1" t="n">
        <v>3</v>
      </c>
      <c r="F138" s="1" t="n">
        <f aca="false">Y138-X138</f>
        <v>5</v>
      </c>
      <c r="G138" s="1" t="n">
        <v>5</v>
      </c>
      <c r="H138" s="3" t="s">
        <v>48</v>
      </c>
      <c r="I138" s="3" t="s">
        <v>67</v>
      </c>
      <c r="J138" s="8" t="s">
        <v>38</v>
      </c>
      <c r="K138" s="2" t="str">
        <f aca="false">CONCATENATE(I138," ",J138)</f>
        <v>Pardosa sp</v>
      </c>
      <c r="L138" s="3" t="n">
        <f aca="false">SUM(P138:U138)</f>
        <v>1</v>
      </c>
      <c r="M138" s="11" t="n">
        <f aca="false">(L138/(F138*G138)*25)*4</f>
        <v>4</v>
      </c>
      <c r="N138" s="1" t="s">
        <v>19</v>
      </c>
      <c r="O138" s="1" t="s">
        <v>54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1</v>
      </c>
      <c r="U138" s="1" t="n">
        <v>0</v>
      </c>
      <c r="V138" s="3" t="n">
        <f aca="false">SUM(P138:Q138)</f>
        <v>0</v>
      </c>
      <c r="W138" s="3" t="n">
        <f aca="false">SUM(R138:T138)</f>
        <v>1</v>
      </c>
      <c r="X138" s="10" t="n">
        <v>40052</v>
      </c>
      <c r="Y138" s="10" t="n">
        <v>40057</v>
      </c>
    </row>
    <row r="139" customFormat="false" ht="14.25" hidden="false" customHeight="false" outlineLevel="0" collapsed="false">
      <c r="A139" s="1" t="n">
        <v>2009</v>
      </c>
      <c r="B139" s="1" t="n">
        <v>2</v>
      </c>
      <c r="C139" s="2" t="s">
        <v>50</v>
      </c>
      <c r="D139" s="7" t="s">
        <v>98</v>
      </c>
      <c r="E139" s="1" t="n">
        <v>3</v>
      </c>
      <c r="F139" s="1" t="n">
        <f aca="false">Y139-X139</f>
        <v>5</v>
      </c>
      <c r="G139" s="1" t="n">
        <v>5</v>
      </c>
      <c r="H139" s="3" t="s">
        <v>32</v>
      </c>
      <c r="I139" s="3" t="s">
        <v>57</v>
      </c>
      <c r="J139" s="8" t="s">
        <v>38</v>
      </c>
      <c r="K139" s="2" t="str">
        <f aca="false">CONCATENATE(I139," ",J139)</f>
        <v>Gen sp</v>
      </c>
      <c r="L139" s="3" t="n">
        <f aca="false">SUM(P139:U139)</f>
        <v>1</v>
      </c>
      <c r="M139" s="11" t="n">
        <f aca="false">(L139/(F139*G139)*25)*4</f>
        <v>4</v>
      </c>
      <c r="N139" s="1" t="s">
        <v>19</v>
      </c>
      <c r="O139" s="1" t="s">
        <v>54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1</v>
      </c>
      <c r="U139" s="1" t="n">
        <v>0</v>
      </c>
      <c r="V139" s="3" t="n">
        <f aca="false">SUM(P139:Q139)</f>
        <v>0</v>
      </c>
      <c r="W139" s="3" t="n">
        <f aca="false">SUM(R139:T139)</f>
        <v>1</v>
      </c>
      <c r="X139" s="10" t="n">
        <v>40052</v>
      </c>
      <c r="Y139" s="10" t="n">
        <v>40057</v>
      </c>
    </row>
    <row r="140" customFormat="false" ht="14.25" hidden="false" customHeight="false" outlineLevel="0" collapsed="false">
      <c r="A140" s="1" t="n">
        <v>2009</v>
      </c>
      <c r="B140" s="1" t="n">
        <v>2</v>
      </c>
      <c r="C140" s="2" t="s">
        <v>50</v>
      </c>
      <c r="D140" s="7" t="s">
        <v>98</v>
      </c>
      <c r="E140" s="1" t="n">
        <v>2</v>
      </c>
      <c r="F140" s="1" t="n">
        <f aca="false">Y140-X140</f>
        <v>5</v>
      </c>
      <c r="G140" s="1" t="n">
        <v>5</v>
      </c>
      <c r="H140" s="3" t="s">
        <v>32</v>
      </c>
      <c r="I140" s="3" t="s">
        <v>33</v>
      </c>
      <c r="J140" s="3" t="s">
        <v>81</v>
      </c>
      <c r="K140" s="2" t="str">
        <f aca="false">CONCATENATE(I140," ",J140)</f>
        <v>Tenuiphantes mengei</v>
      </c>
      <c r="L140" s="3" t="n">
        <f aca="false">SUM(P140:U140)</f>
        <v>1</v>
      </c>
      <c r="M140" s="11" t="n">
        <f aca="false">(L140/(F140*G140)*25)*4</f>
        <v>4</v>
      </c>
      <c r="N140" s="1" t="s">
        <v>30</v>
      </c>
      <c r="O140" s="1" t="s">
        <v>31</v>
      </c>
      <c r="P140" s="1" t="n">
        <v>1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3" t="n">
        <f aca="false">SUM(P140:Q140)</f>
        <v>1</v>
      </c>
      <c r="W140" s="3" t="n">
        <f aca="false">SUM(R140:T140)</f>
        <v>0</v>
      </c>
      <c r="X140" s="10" t="n">
        <v>40052</v>
      </c>
      <c r="Y140" s="10" t="n">
        <v>40057</v>
      </c>
    </row>
    <row r="141" customFormat="false" ht="14.25" hidden="false" customHeight="false" outlineLevel="0" collapsed="false">
      <c r="A141" s="1" t="n">
        <v>2009</v>
      </c>
      <c r="B141" s="1" t="n">
        <v>2</v>
      </c>
      <c r="C141" s="2" t="s">
        <v>50</v>
      </c>
      <c r="D141" s="7" t="s">
        <v>98</v>
      </c>
      <c r="E141" s="1" t="n">
        <v>1</v>
      </c>
      <c r="F141" s="1" t="n">
        <f aca="false">Y141-X141</f>
        <v>5</v>
      </c>
      <c r="G141" s="1" t="n">
        <v>5</v>
      </c>
      <c r="H141" s="3" t="s">
        <v>41</v>
      </c>
      <c r="I141" s="3" t="s">
        <v>42</v>
      </c>
      <c r="J141" s="12" t="s">
        <v>43</v>
      </c>
      <c r="K141" s="2" t="str">
        <f aca="false">CONCATENATE(I141," ",J141)</f>
        <v>Agroeca proxima</v>
      </c>
      <c r="L141" s="3" t="n">
        <f aca="false">SUM(P141:U141)</f>
        <v>1</v>
      </c>
      <c r="M141" s="11" t="n">
        <f aca="false">(L141/(F141*G141)*25)*4</f>
        <v>4</v>
      </c>
      <c r="N141" s="1" t="s">
        <v>30</v>
      </c>
      <c r="O141" s="1" t="s">
        <v>31</v>
      </c>
      <c r="P141" s="1" t="n">
        <v>1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3" t="n">
        <f aca="false">SUM(P141:Q141)</f>
        <v>1</v>
      </c>
      <c r="W141" s="3" t="n">
        <f aca="false">SUM(R141:T141)</f>
        <v>0</v>
      </c>
      <c r="X141" s="10" t="n">
        <v>40052</v>
      </c>
      <c r="Y141" s="10" t="n">
        <v>40057</v>
      </c>
    </row>
    <row r="142" customFormat="false" ht="14.25" hidden="false" customHeight="false" outlineLevel="0" collapsed="false">
      <c r="A142" s="1" t="n">
        <v>2009</v>
      </c>
      <c r="B142" s="1" t="n">
        <v>2</v>
      </c>
      <c r="C142" s="2" t="s">
        <v>25</v>
      </c>
      <c r="D142" s="7" t="s">
        <v>101</v>
      </c>
      <c r="E142" s="1" t="n">
        <v>3</v>
      </c>
      <c r="F142" s="1" t="n">
        <f aca="false">Y142-X142</f>
        <v>5</v>
      </c>
      <c r="G142" s="1" t="n">
        <v>5</v>
      </c>
      <c r="H142" s="3" t="s">
        <v>41</v>
      </c>
      <c r="I142" s="3" t="s">
        <v>42</v>
      </c>
      <c r="J142" s="12" t="s">
        <v>43</v>
      </c>
      <c r="K142" s="2" t="str">
        <f aca="false">CONCATENATE(I142," ",J142)</f>
        <v>Agroeca proxima</v>
      </c>
      <c r="L142" s="3" t="n">
        <f aca="false">SUM(P142:U142)</f>
        <v>1</v>
      </c>
      <c r="M142" s="11" t="n">
        <f aca="false">(L142/(F142*G142)*25)*4</f>
        <v>4</v>
      </c>
      <c r="N142" s="1" t="s">
        <v>30</v>
      </c>
      <c r="O142" s="1" t="s">
        <v>31</v>
      </c>
      <c r="P142" s="1" t="n">
        <v>1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3" t="n">
        <f aca="false">SUM(P142:Q142)</f>
        <v>1</v>
      </c>
      <c r="W142" s="3" t="n">
        <f aca="false">SUM(R142:T142)</f>
        <v>0</v>
      </c>
      <c r="X142" s="10" t="n">
        <v>40052</v>
      </c>
      <c r="Y142" s="10" t="n">
        <v>40057</v>
      </c>
    </row>
    <row r="143" customFormat="false" ht="14.25" hidden="false" customHeight="false" outlineLevel="0" collapsed="false">
      <c r="A143" s="1" t="n">
        <v>2009</v>
      </c>
      <c r="B143" s="1" t="n">
        <v>2</v>
      </c>
      <c r="C143" s="2" t="s">
        <v>25</v>
      </c>
      <c r="D143" s="7" t="s">
        <v>101</v>
      </c>
      <c r="E143" s="1" t="n">
        <v>3</v>
      </c>
      <c r="F143" s="1" t="n">
        <f aca="false">Y143-X143</f>
        <v>5</v>
      </c>
      <c r="G143" s="1" t="n">
        <v>5</v>
      </c>
      <c r="H143" s="3" t="s">
        <v>27</v>
      </c>
      <c r="I143" s="3" t="s">
        <v>28</v>
      </c>
      <c r="J143" s="8" t="s">
        <v>29</v>
      </c>
      <c r="K143" s="2" t="str">
        <f aca="false">CONCATENATE(I143," ",J143)</f>
        <v>Robertus lividus</v>
      </c>
      <c r="L143" s="3" t="n">
        <f aca="false">SUM(P143:U143)</f>
        <v>1</v>
      </c>
      <c r="M143" s="11" t="n">
        <f aca="false">(L143/(F143*G143)*25)*4</f>
        <v>4</v>
      </c>
      <c r="N143" s="1" t="s">
        <v>30</v>
      </c>
      <c r="O143" s="1" t="s">
        <v>31</v>
      </c>
      <c r="P143" s="1" t="n">
        <v>1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3" t="n">
        <f aca="false">SUM(P143:Q143)</f>
        <v>1</v>
      </c>
      <c r="W143" s="3" t="n">
        <f aca="false">SUM(R143:T143)</f>
        <v>0</v>
      </c>
      <c r="X143" s="10" t="n">
        <v>40052</v>
      </c>
      <c r="Y143" s="10" t="n">
        <v>40057</v>
      </c>
    </row>
    <row r="144" customFormat="false" ht="14.25" hidden="false" customHeight="false" outlineLevel="0" collapsed="false">
      <c r="A144" s="1" t="n">
        <v>2009</v>
      </c>
      <c r="B144" s="1" t="n">
        <v>2</v>
      </c>
      <c r="C144" s="2" t="s">
        <v>25</v>
      </c>
      <c r="D144" s="7" t="s">
        <v>101</v>
      </c>
      <c r="E144" s="1" t="n">
        <v>3</v>
      </c>
      <c r="F144" s="1" t="n">
        <f aca="false">Y144-X144</f>
        <v>5</v>
      </c>
      <c r="G144" s="1" t="n">
        <v>5</v>
      </c>
      <c r="H144" s="3" t="s">
        <v>32</v>
      </c>
      <c r="I144" s="3" t="s">
        <v>102</v>
      </c>
      <c r="J144" s="8" t="s">
        <v>103</v>
      </c>
      <c r="K144" s="2" t="str">
        <f aca="false">CONCATENATE(I144," ",J144)</f>
        <v>Agyneta olivacea</v>
      </c>
      <c r="L144" s="3" t="n">
        <f aca="false">SUM(P144:U144)</f>
        <v>1</v>
      </c>
      <c r="M144" s="11" t="n">
        <f aca="false">(L144/(F144*G144)*25)*4</f>
        <v>4</v>
      </c>
      <c r="N144" s="1" t="s">
        <v>30</v>
      </c>
      <c r="O144" s="1" t="s">
        <v>35</v>
      </c>
      <c r="P144" s="1" t="n">
        <v>0</v>
      </c>
      <c r="Q144" s="1" t="n">
        <v>1</v>
      </c>
      <c r="R144" s="1" t="n">
        <v>0</v>
      </c>
      <c r="S144" s="1" t="n">
        <v>0</v>
      </c>
      <c r="T144" s="1" t="n">
        <v>0</v>
      </c>
      <c r="U144" s="1" t="n">
        <v>0</v>
      </c>
      <c r="V144" s="3" t="n">
        <f aca="false">SUM(P144:Q144)</f>
        <v>1</v>
      </c>
      <c r="W144" s="3" t="n">
        <f aca="false">SUM(R144:T144)</f>
        <v>0</v>
      </c>
      <c r="X144" s="10" t="n">
        <v>40052</v>
      </c>
      <c r="Y144" s="10" t="n">
        <v>40057</v>
      </c>
    </row>
    <row r="145" customFormat="false" ht="14.25" hidden="false" customHeight="false" outlineLevel="0" collapsed="false">
      <c r="A145" s="1" t="n">
        <v>2009</v>
      </c>
      <c r="B145" s="1" t="n">
        <v>2</v>
      </c>
      <c r="C145" s="2" t="s">
        <v>25</v>
      </c>
      <c r="D145" s="7" t="s">
        <v>101</v>
      </c>
      <c r="E145" s="1" t="n">
        <v>3</v>
      </c>
      <c r="F145" s="1" t="n">
        <f aca="false">Y145-X145</f>
        <v>5</v>
      </c>
      <c r="G145" s="1" t="n">
        <v>5</v>
      </c>
      <c r="H145" s="3" t="s">
        <v>48</v>
      </c>
      <c r="I145" s="3" t="s">
        <v>49</v>
      </c>
      <c r="J145" s="8" t="s">
        <v>104</v>
      </c>
      <c r="K145" s="2" t="str">
        <f aca="false">CONCATENATE(I145," ",J145)</f>
        <v>Alopecosa taeniata</v>
      </c>
      <c r="L145" s="3" t="n">
        <f aca="false">SUM(P145:U145)</f>
        <v>1</v>
      </c>
      <c r="M145" s="11" t="n">
        <f aca="false">(L145/(F145*G145)*25)*4</f>
        <v>4</v>
      </c>
      <c r="N145" s="1" t="s">
        <v>30</v>
      </c>
      <c r="O145" s="1" t="s">
        <v>35</v>
      </c>
      <c r="P145" s="1" t="n">
        <v>0</v>
      </c>
      <c r="Q145" s="1" t="n">
        <v>1</v>
      </c>
      <c r="R145" s="1" t="n">
        <v>0</v>
      </c>
      <c r="S145" s="1" t="n">
        <v>0</v>
      </c>
      <c r="T145" s="1" t="n">
        <v>0</v>
      </c>
      <c r="U145" s="1" t="n">
        <v>0</v>
      </c>
      <c r="V145" s="3" t="n">
        <f aca="false">SUM(P145:Q145)</f>
        <v>1</v>
      </c>
      <c r="W145" s="3" t="n">
        <f aca="false">SUM(R145:T145)</f>
        <v>0</v>
      </c>
      <c r="X145" s="10" t="n">
        <v>40052</v>
      </c>
      <c r="Y145" s="10" t="n">
        <v>40057</v>
      </c>
    </row>
    <row r="146" customFormat="false" ht="14.25" hidden="false" customHeight="false" outlineLevel="0" collapsed="false">
      <c r="A146" s="1" t="n">
        <v>2009</v>
      </c>
      <c r="B146" s="1" t="n">
        <v>2</v>
      </c>
      <c r="C146" s="2" t="s">
        <v>25</v>
      </c>
      <c r="D146" s="7" t="s">
        <v>101</v>
      </c>
      <c r="E146" s="1" t="n">
        <v>3</v>
      </c>
      <c r="F146" s="1" t="n">
        <f aca="false">Y146-X146</f>
        <v>5</v>
      </c>
      <c r="G146" s="1" t="n">
        <v>5</v>
      </c>
      <c r="H146" s="3" t="s">
        <v>48</v>
      </c>
      <c r="I146" s="3" t="s">
        <v>49</v>
      </c>
      <c r="J146" s="8" t="s">
        <v>38</v>
      </c>
      <c r="K146" s="2" t="str">
        <f aca="false">CONCATENATE(I146," ",J146)</f>
        <v>Alopecosa sp</v>
      </c>
      <c r="L146" s="3" t="n">
        <f aca="false">SUM(P146:U146)</f>
        <v>1</v>
      </c>
      <c r="M146" s="11" t="n">
        <f aca="false">(L146/(F146*G146)*25)*4</f>
        <v>4</v>
      </c>
      <c r="N146" s="1" t="s">
        <v>19</v>
      </c>
      <c r="O146" s="1" t="s">
        <v>31</v>
      </c>
      <c r="P146" s="1" t="n">
        <v>0</v>
      </c>
      <c r="Q146" s="1" t="n">
        <v>0</v>
      </c>
      <c r="R146" s="1" t="n">
        <v>1</v>
      </c>
      <c r="S146" s="1" t="n">
        <v>0</v>
      </c>
      <c r="T146" s="1" t="n">
        <v>0</v>
      </c>
      <c r="U146" s="1" t="n">
        <v>0</v>
      </c>
      <c r="V146" s="3" t="n">
        <f aca="false">SUM(P146:Q146)</f>
        <v>0</v>
      </c>
      <c r="W146" s="3" t="n">
        <f aca="false">SUM(R146:T146)</f>
        <v>1</v>
      </c>
      <c r="X146" s="10" t="n">
        <v>40052</v>
      </c>
      <c r="Y146" s="10" t="n">
        <v>40057</v>
      </c>
    </row>
    <row r="147" customFormat="false" ht="14.25" hidden="false" customHeight="false" outlineLevel="0" collapsed="false">
      <c r="A147" s="1" t="n">
        <v>2009</v>
      </c>
      <c r="B147" s="1" t="n">
        <v>2</v>
      </c>
      <c r="C147" s="2" t="s">
        <v>25</v>
      </c>
      <c r="D147" s="7" t="s">
        <v>101</v>
      </c>
      <c r="E147" s="1" t="n">
        <v>3</v>
      </c>
      <c r="F147" s="1" t="n">
        <f aca="false">Y147-X147</f>
        <v>5</v>
      </c>
      <c r="G147" s="1" t="n">
        <v>5</v>
      </c>
      <c r="H147" s="3" t="s">
        <v>48</v>
      </c>
      <c r="I147" s="3" t="s">
        <v>105</v>
      </c>
      <c r="J147" s="8" t="s">
        <v>106</v>
      </c>
      <c r="K147" s="2" t="str">
        <f aca="false">CONCATENATE(I147," ",J147)</f>
        <v>Piratula hygrophila</v>
      </c>
      <c r="L147" s="3" t="n">
        <f aca="false">SUM(P147:U147)</f>
        <v>1</v>
      </c>
      <c r="M147" s="11" t="n">
        <f aca="false">(L147/(F147*G147)*25)*4</f>
        <v>4</v>
      </c>
      <c r="N147" s="1" t="s">
        <v>30</v>
      </c>
      <c r="O147" s="1" t="s">
        <v>35</v>
      </c>
      <c r="P147" s="1" t="n">
        <v>0</v>
      </c>
      <c r="Q147" s="1" t="n">
        <v>1</v>
      </c>
      <c r="R147" s="1" t="n">
        <v>0</v>
      </c>
      <c r="S147" s="1" t="n">
        <v>0</v>
      </c>
      <c r="T147" s="1" t="n">
        <v>0</v>
      </c>
      <c r="U147" s="1" t="n">
        <v>0</v>
      </c>
      <c r="V147" s="3" t="n">
        <f aca="false">SUM(P147:Q147)</f>
        <v>1</v>
      </c>
      <c r="W147" s="3" t="n">
        <f aca="false">SUM(R147:T147)</f>
        <v>0</v>
      </c>
      <c r="X147" s="10" t="n">
        <v>40052</v>
      </c>
      <c r="Y147" s="10" t="n">
        <v>40057</v>
      </c>
    </row>
    <row r="148" customFormat="false" ht="14.25" hidden="false" customHeight="false" outlineLevel="0" collapsed="false">
      <c r="A148" s="1" t="n">
        <v>2009</v>
      </c>
      <c r="B148" s="1" t="n">
        <v>2</v>
      </c>
      <c r="C148" s="2" t="s">
        <v>25</v>
      </c>
      <c r="D148" s="7" t="s">
        <v>101</v>
      </c>
      <c r="E148" s="1" t="n">
        <v>3</v>
      </c>
      <c r="F148" s="1" t="n">
        <f aca="false">Y148-X148</f>
        <v>5</v>
      </c>
      <c r="G148" s="1" t="n">
        <v>5</v>
      </c>
      <c r="H148" s="3" t="s">
        <v>41</v>
      </c>
      <c r="I148" s="3" t="s">
        <v>42</v>
      </c>
      <c r="J148" s="12" t="s">
        <v>43</v>
      </c>
      <c r="K148" s="2" t="str">
        <f aca="false">CONCATENATE(I148," ",J148)</f>
        <v>Agroeca proxima</v>
      </c>
      <c r="L148" s="3" t="n">
        <f aca="false">SUM(P148:U148)</f>
        <v>2</v>
      </c>
      <c r="M148" s="11" t="n">
        <f aca="false">(L148/(F148*G148)*25)*4</f>
        <v>8</v>
      </c>
      <c r="N148" s="1" t="s">
        <v>30</v>
      </c>
      <c r="O148" s="1" t="s">
        <v>31</v>
      </c>
      <c r="P148" s="1" t="n">
        <v>2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3" t="n">
        <f aca="false">SUM(P148:Q148)</f>
        <v>2</v>
      </c>
      <c r="W148" s="3" t="n">
        <f aca="false">SUM(R148:T148)</f>
        <v>0</v>
      </c>
      <c r="X148" s="10" t="n">
        <v>40052</v>
      </c>
      <c r="Y148" s="10" t="n">
        <v>40057</v>
      </c>
    </row>
    <row r="149" customFormat="false" ht="14.25" hidden="false" customHeight="false" outlineLevel="0" collapsed="false">
      <c r="A149" s="1" t="n">
        <v>2009</v>
      </c>
      <c r="B149" s="1" t="n">
        <v>2</v>
      </c>
      <c r="C149" s="2" t="s">
        <v>25</v>
      </c>
      <c r="D149" s="7" t="s">
        <v>101</v>
      </c>
      <c r="E149" s="1" t="n">
        <v>3</v>
      </c>
      <c r="F149" s="1" t="n">
        <f aca="false">Y149-X149</f>
        <v>5</v>
      </c>
      <c r="G149" s="1" t="n">
        <v>5</v>
      </c>
      <c r="H149" s="3" t="s">
        <v>41</v>
      </c>
      <c r="I149" s="3" t="s">
        <v>42</v>
      </c>
      <c r="J149" s="12" t="s">
        <v>43</v>
      </c>
      <c r="K149" s="2" t="str">
        <f aca="false">CONCATENATE(I149," ",J149)</f>
        <v>Agroeca proxima</v>
      </c>
      <c r="L149" s="3" t="n">
        <f aca="false">SUM(P149:U149)</f>
        <v>1</v>
      </c>
      <c r="M149" s="11" t="n">
        <f aca="false">(L149/(F149*G149)*25)*4</f>
        <v>4</v>
      </c>
      <c r="N149" s="1" t="s">
        <v>30</v>
      </c>
      <c r="O149" s="1" t="s">
        <v>35</v>
      </c>
      <c r="P149" s="1" t="n">
        <v>0</v>
      </c>
      <c r="Q149" s="1" t="n">
        <v>1</v>
      </c>
      <c r="R149" s="1" t="n">
        <v>0</v>
      </c>
      <c r="S149" s="1" t="n">
        <v>0</v>
      </c>
      <c r="T149" s="1" t="n">
        <v>0</v>
      </c>
      <c r="U149" s="1" t="n">
        <v>0</v>
      </c>
      <c r="V149" s="3" t="n">
        <f aca="false">SUM(P149:Q149)</f>
        <v>1</v>
      </c>
      <c r="W149" s="3" t="n">
        <f aca="false">SUM(R149:T149)</f>
        <v>0</v>
      </c>
      <c r="X149" s="10" t="n">
        <v>40052</v>
      </c>
      <c r="Y149" s="10" t="n">
        <v>40057</v>
      </c>
    </row>
    <row r="150" customFormat="false" ht="14.25" hidden="false" customHeight="false" outlineLevel="0" collapsed="false">
      <c r="A150" s="1" t="n">
        <v>2009</v>
      </c>
      <c r="B150" s="1" t="n">
        <v>2</v>
      </c>
      <c r="C150" s="2" t="s">
        <v>25</v>
      </c>
      <c r="D150" s="7" t="s">
        <v>101</v>
      </c>
      <c r="E150" s="1" t="n">
        <v>3</v>
      </c>
      <c r="F150" s="1" t="n">
        <f aca="false">Y150-X150</f>
        <v>5</v>
      </c>
      <c r="G150" s="1" t="n">
        <v>5</v>
      </c>
      <c r="H150" s="3" t="s">
        <v>27</v>
      </c>
      <c r="I150" s="3" t="s">
        <v>28</v>
      </c>
      <c r="J150" s="8" t="s">
        <v>29</v>
      </c>
      <c r="K150" s="2" t="str">
        <f aca="false">CONCATENATE(I150," ",J150)</f>
        <v>Robertus lividus</v>
      </c>
      <c r="L150" s="3" t="n">
        <f aca="false">SUM(P150:U150)</f>
        <v>1</v>
      </c>
      <c r="M150" s="11" t="n">
        <f aca="false">(L150/(F150*G150)*25)*4</f>
        <v>4</v>
      </c>
      <c r="N150" s="1" t="s">
        <v>30</v>
      </c>
      <c r="O150" s="1" t="s">
        <v>31</v>
      </c>
      <c r="P150" s="1" t="n">
        <v>1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3" t="n">
        <f aca="false">SUM(P150:Q150)</f>
        <v>1</v>
      </c>
      <c r="W150" s="3" t="n">
        <f aca="false">SUM(R150:T150)</f>
        <v>0</v>
      </c>
      <c r="X150" s="10" t="n">
        <v>40052</v>
      </c>
      <c r="Y150" s="10" t="n">
        <v>40057</v>
      </c>
    </row>
    <row r="151" customFormat="false" ht="14.25" hidden="false" customHeight="false" outlineLevel="0" collapsed="false">
      <c r="A151" s="1" t="n">
        <v>2009</v>
      </c>
      <c r="B151" s="1" t="n">
        <v>2</v>
      </c>
      <c r="C151" s="2" t="s">
        <v>25</v>
      </c>
      <c r="D151" s="7" t="s">
        <v>101</v>
      </c>
      <c r="E151" s="1" t="n">
        <v>3</v>
      </c>
      <c r="F151" s="1" t="n">
        <f aca="false">Y151-X151</f>
        <v>5</v>
      </c>
      <c r="G151" s="1" t="n">
        <v>5</v>
      </c>
      <c r="H151" s="3" t="s">
        <v>41</v>
      </c>
      <c r="I151" s="3" t="s">
        <v>42</v>
      </c>
      <c r="J151" s="12" t="s">
        <v>43</v>
      </c>
      <c r="K151" s="2" t="str">
        <f aca="false">CONCATENATE(I151," ",J151)</f>
        <v>Agroeca proxima</v>
      </c>
      <c r="L151" s="3" t="n">
        <f aca="false">SUM(P151:U151)</f>
        <v>2</v>
      </c>
      <c r="M151" s="11" t="n">
        <f aca="false">(L151/(F151*G151)*25)*4</f>
        <v>8</v>
      </c>
      <c r="N151" s="1" t="s">
        <v>30</v>
      </c>
      <c r="O151" s="1" t="s">
        <v>31</v>
      </c>
      <c r="P151" s="1" t="n">
        <v>2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3" t="n">
        <f aca="false">SUM(P151:Q151)</f>
        <v>2</v>
      </c>
      <c r="W151" s="3" t="n">
        <f aca="false">SUM(R151:T151)</f>
        <v>0</v>
      </c>
      <c r="X151" s="10" t="n">
        <v>40052</v>
      </c>
      <c r="Y151" s="10" t="n">
        <v>40057</v>
      </c>
    </row>
    <row r="152" customFormat="false" ht="14.25" hidden="false" customHeight="false" outlineLevel="0" collapsed="false">
      <c r="A152" s="1" t="n">
        <v>2009</v>
      </c>
      <c r="B152" s="1" t="n">
        <v>2</v>
      </c>
      <c r="C152" s="2" t="s">
        <v>25</v>
      </c>
      <c r="D152" s="7" t="s">
        <v>101</v>
      </c>
      <c r="E152" s="1" t="n">
        <v>3</v>
      </c>
      <c r="F152" s="1" t="n">
        <f aca="false">Y152-X152</f>
        <v>5</v>
      </c>
      <c r="G152" s="1" t="n">
        <v>5</v>
      </c>
      <c r="H152" s="3" t="s">
        <v>36</v>
      </c>
      <c r="I152" s="3" t="s">
        <v>37</v>
      </c>
      <c r="J152" s="8" t="s">
        <v>75</v>
      </c>
      <c r="K152" s="2" t="str">
        <f aca="false">CONCATENATE(I152," ",J152)</f>
        <v>Ozyptila praticola</v>
      </c>
      <c r="L152" s="3" t="n">
        <f aca="false">SUM(P152:U152)</f>
        <v>1</v>
      </c>
      <c r="M152" s="11" t="n">
        <f aca="false">(L152/(F152*G152)*25)*4</f>
        <v>4</v>
      </c>
      <c r="N152" s="1" t="s">
        <v>30</v>
      </c>
      <c r="O152" s="1" t="s">
        <v>35</v>
      </c>
      <c r="P152" s="1" t="n">
        <v>0</v>
      </c>
      <c r="Q152" s="1" t="n">
        <v>1</v>
      </c>
      <c r="R152" s="1" t="n">
        <v>0</v>
      </c>
      <c r="S152" s="1" t="n">
        <v>0</v>
      </c>
      <c r="T152" s="1" t="n">
        <v>0</v>
      </c>
      <c r="U152" s="1" t="n">
        <v>0</v>
      </c>
      <c r="V152" s="3" t="n">
        <f aca="false">SUM(P152:Q152)</f>
        <v>1</v>
      </c>
      <c r="W152" s="3" t="n">
        <f aca="false">SUM(R152:T152)</f>
        <v>0</v>
      </c>
      <c r="X152" s="10" t="n">
        <v>40052</v>
      </c>
      <c r="Y152" s="10" t="n">
        <v>40057</v>
      </c>
    </row>
    <row r="153" customFormat="false" ht="14.25" hidden="false" customHeight="false" outlineLevel="0" collapsed="false">
      <c r="A153" s="1" t="n">
        <v>2009</v>
      </c>
      <c r="B153" s="1" t="n">
        <v>2</v>
      </c>
      <c r="C153" s="2" t="s">
        <v>25</v>
      </c>
      <c r="D153" s="7" t="s">
        <v>101</v>
      </c>
      <c r="E153" s="1" t="n">
        <v>3</v>
      </c>
      <c r="F153" s="1" t="n">
        <f aca="false">Y153-X153</f>
        <v>5</v>
      </c>
      <c r="G153" s="1" t="n">
        <v>5</v>
      </c>
      <c r="H153" s="3" t="s">
        <v>36</v>
      </c>
      <c r="I153" s="3" t="s">
        <v>37</v>
      </c>
      <c r="J153" s="8" t="s">
        <v>38</v>
      </c>
      <c r="K153" s="2" t="str">
        <f aca="false">CONCATENATE(I153," ",J153)</f>
        <v>Ozyptila sp</v>
      </c>
      <c r="L153" s="3" t="n">
        <f aca="false">SUM(P153:U153)</f>
        <v>1</v>
      </c>
      <c r="M153" s="11" t="n">
        <f aca="false">(L153/(F153*G153)*25)*4</f>
        <v>4</v>
      </c>
      <c r="N153" s="1" t="s">
        <v>19</v>
      </c>
      <c r="O153" s="1" t="s">
        <v>54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1</v>
      </c>
      <c r="U153" s="1" t="n">
        <v>0</v>
      </c>
      <c r="V153" s="3" t="n">
        <f aca="false">SUM(P153:Q153)</f>
        <v>0</v>
      </c>
      <c r="W153" s="3" t="n">
        <f aca="false">SUM(R153:T153)</f>
        <v>1</v>
      </c>
      <c r="X153" s="10" t="n">
        <v>40052</v>
      </c>
      <c r="Y153" s="10" t="n">
        <v>40057</v>
      </c>
    </row>
    <row r="154" customFormat="false" ht="14.25" hidden="false" customHeight="false" outlineLevel="0" collapsed="false">
      <c r="A154" s="1" t="n">
        <v>2009</v>
      </c>
      <c r="B154" s="1" t="n">
        <v>2</v>
      </c>
      <c r="C154" s="2" t="s">
        <v>25</v>
      </c>
      <c r="D154" s="7" t="s">
        <v>101</v>
      </c>
      <c r="E154" s="1" t="n">
        <v>3</v>
      </c>
      <c r="F154" s="1" t="n">
        <f aca="false">Y154-X154</f>
        <v>5</v>
      </c>
      <c r="G154" s="1" t="n">
        <v>5</v>
      </c>
      <c r="H154" s="3" t="s">
        <v>32</v>
      </c>
      <c r="I154" s="3" t="s">
        <v>57</v>
      </c>
      <c r="J154" s="8" t="s">
        <v>38</v>
      </c>
      <c r="K154" s="2" t="str">
        <f aca="false">CONCATENATE(I154," ",J154)</f>
        <v>Gen sp</v>
      </c>
      <c r="L154" s="3" t="n">
        <f aca="false">SUM(P154:U154)</f>
        <v>1</v>
      </c>
      <c r="M154" s="11" t="n">
        <f aca="false">(L154/(F154*G154)*25)*4</f>
        <v>4</v>
      </c>
      <c r="N154" s="1" t="s">
        <v>19</v>
      </c>
      <c r="O154" s="1" t="s">
        <v>54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1</v>
      </c>
      <c r="U154" s="1" t="n">
        <v>0</v>
      </c>
      <c r="V154" s="3" t="n">
        <f aca="false">SUM(P154:Q154)</f>
        <v>0</v>
      </c>
      <c r="W154" s="3" t="n">
        <f aca="false">SUM(R154:T154)</f>
        <v>1</v>
      </c>
      <c r="X154" s="10" t="n">
        <v>40052</v>
      </c>
      <c r="Y154" s="10" t="n">
        <v>40057</v>
      </c>
    </row>
    <row r="155" customFormat="false" ht="14.25" hidden="false" customHeight="false" outlineLevel="0" collapsed="false">
      <c r="A155" s="1" t="n">
        <v>2009</v>
      </c>
      <c r="B155" s="1" t="n">
        <v>2</v>
      </c>
      <c r="C155" s="2" t="s">
        <v>25</v>
      </c>
      <c r="D155" s="7" t="s">
        <v>101</v>
      </c>
      <c r="E155" s="1" t="n">
        <v>3</v>
      </c>
      <c r="F155" s="1" t="n">
        <f aca="false">Y155-X155</f>
        <v>5</v>
      </c>
      <c r="G155" s="1" t="n">
        <v>5</v>
      </c>
      <c r="H155" s="3" t="s">
        <v>32</v>
      </c>
      <c r="I155" s="3" t="s">
        <v>33</v>
      </c>
      <c r="J155" s="8" t="s">
        <v>34</v>
      </c>
      <c r="K155" s="2" t="str">
        <f aca="false">CONCATENATE(I155," ",J155)</f>
        <v>Tenuiphantes nigriventris</v>
      </c>
      <c r="L155" s="3" t="n">
        <f aca="false">SUM(P155:U155)</f>
        <v>1</v>
      </c>
      <c r="M155" s="11" t="n">
        <f aca="false">(L155/(F155*G155)*25)*4</f>
        <v>4</v>
      </c>
      <c r="N155" s="1" t="s">
        <v>30</v>
      </c>
      <c r="O155" s="1" t="s">
        <v>35</v>
      </c>
      <c r="P155" s="1" t="n">
        <v>0</v>
      </c>
      <c r="Q155" s="1" t="n">
        <v>1</v>
      </c>
      <c r="R155" s="1" t="n">
        <v>0</v>
      </c>
      <c r="S155" s="1" t="n">
        <v>0</v>
      </c>
      <c r="T155" s="1" t="n">
        <v>0</v>
      </c>
      <c r="U155" s="1" t="n">
        <v>0</v>
      </c>
      <c r="V155" s="3" t="n">
        <f aca="false">SUM(P155:Q155)</f>
        <v>1</v>
      </c>
      <c r="W155" s="3" t="n">
        <f aca="false">SUM(R155:T155)</f>
        <v>0</v>
      </c>
      <c r="X155" s="10" t="n">
        <v>40052</v>
      </c>
      <c r="Y155" s="10" t="n">
        <v>40057</v>
      </c>
    </row>
    <row r="156" customFormat="false" ht="14.25" hidden="false" customHeight="false" outlineLevel="0" collapsed="false">
      <c r="A156" s="1" t="n">
        <v>2009</v>
      </c>
      <c r="B156" s="1" t="n">
        <v>2</v>
      </c>
      <c r="C156" s="2" t="s">
        <v>25</v>
      </c>
      <c r="D156" s="7" t="s">
        <v>101</v>
      </c>
      <c r="E156" s="1" t="n">
        <v>3</v>
      </c>
      <c r="F156" s="1" t="n">
        <f aca="false">Y156-X156</f>
        <v>5</v>
      </c>
      <c r="G156" s="1" t="n">
        <v>5</v>
      </c>
      <c r="H156" s="3" t="s">
        <v>41</v>
      </c>
      <c r="I156" s="3" t="s">
        <v>42</v>
      </c>
      <c r="J156" s="12" t="s">
        <v>43</v>
      </c>
      <c r="K156" s="2" t="str">
        <f aca="false">CONCATENATE(I156," ",J156)</f>
        <v>Agroeca proxima</v>
      </c>
      <c r="L156" s="3" t="n">
        <f aca="false">SUM(P156:U156)</f>
        <v>1</v>
      </c>
      <c r="M156" s="11" t="n">
        <f aca="false">(L156/(F156*G156)*25)*4</f>
        <v>4</v>
      </c>
      <c r="N156" s="1" t="s">
        <v>30</v>
      </c>
      <c r="O156" s="1" t="s">
        <v>31</v>
      </c>
      <c r="P156" s="1" t="n">
        <v>1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3" t="n">
        <f aca="false">SUM(P156:Q156)</f>
        <v>1</v>
      </c>
      <c r="W156" s="3" t="n">
        <f aca="false">SUM(R156:T156)</f>
        <v>0</v>
      </c>
      <c r="X156" s="10" t="n">
        <v>40052</v>
      </c>
      <c r="Y156" s="10" t="n">
        <v>40057</v>
      </c>
    </row>
    <row r="157" customFormat="false" ht="14.25" hidden="false" customHeight="false" outlineLevel="0" collapsed="false">
      <c r="A157" s="1" t="n">
        <v>2009</v>
      </c>
      <c r="B157" s="1" t="n">
        <v>2</v>
      </c>
      <c r="C157" s="2" t="s">
        <v>25</v>
      </c>
      <c r="D157" s="7" t="s">
        <v>101</v>
      </c>
      <c r="E157" s="1" t="n">
        <v>2</v>
      </c>
      <c r="F157" s="1" t="n">
        <f aca="false">Y157-X157</f>
        <v>5</v>
      </c>
      <c r="G157" s="1" t="n">
        <v>5</v>
      </c>
      <c r="H157" s="3" t="s">
        <v>36</v>
      </c>
      <c r="I157" s="3" t="s">
        <v>37</v>
      </c>
      <c r="J157" s="8" t="s">
        <v>75</v>
      </c>
      <c r="K157" s="2" t="str">
        <f aca="false">CONCATENATE(I157," ",J157)</f>
        <v>Ozyptila praticola</v>
      </c>
      <c r="L157" s="3" t="n">
        <f aca="false">SUM(P157:U157)</f>
        <v>1</v>
      </c>
      <c r="M157" s="11" t="n">
        <f aca="false">(L157/(F157*G157)*25)*4</f>
        <v>4</v>
      </c>
      <c r="N157" s="1" t="s">
        <v>30</v>
      </c>
      <c r="O157" s="1" t="s">
        <v>31</v>
      </c>
      <c r="P157" s="1" t="n">
        <v>1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3" t="n">
        <f aca="false">SUM(P157:Q157)</f>
        <v>1</v>
      </c>
      <c r="W157" s="3" t="n">
        <f aca="false">SUM(R157:T157)</f>
        <v>0</v>
      </c>
      <c r="X157" s="10" t="n">
        <v>40052</v>
      </c>
      <c r="Y157" s="10" t="n">
        <v>40057</v>
      </c>
    </row>
    <row r="158" customFormat="false" ht="14.25" hidden="false" customHeight="false" outlineLevel="0" collapsed="false">
      <c r="A158" s="1" t="n">
        <v>2009</v>
      </c>
      <c r="B158" s="1" t="n">
        <v>2</v>
      </c>
      <c r="C158" s="2" t="s">
        <v>25</v>
      </c>
      <c r="D158" s="7" t="s">
        <v>101</v>
      </c>
      <c r="E158" s="1" t="n">
        <v>2</v>
      </c>
      <c r="F158" s="1" t="n">
        <f aca="false">Y158-X158</f>
        <v>5</v>
      </c>
      <c r="G158" s="1" t="n">
        <v>5</v>
      </c>
      <c r="H158" s="3" t="s">
        <v>32</v>
      </c>
      <c r="I158" s="3" t="s">
        <v>33</v>
      </c>
      <c r="J158" s="3" t="s">
        <v>34</v>
      </c>
      <c r="K158" s="2" t="str">
        <f aca="false">CONCATENATE(I158," ",J158)</f>
        <v>Tenuiphantes nigriventris</v>
      </c>
      <c r="L158" s="3" t="n">
        <f aca="false">SUM(P158:U158)</f>
        <v>1</v>
      </c>
      <c r="M158" s="11" t="n">
        <f aca="false">(L158/(F158*G158)*25)*4</f>
        <v>4</v>
      </c>
      <c r="N158" s="1" t="s">
        <v>30</v>
      </c>
      <c r="O158" s="1" t="s">
        <v>31</v>
      </c>
      <c r="P158" s="1" t="n">
        <v>1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3" t="n">
        <f aca="false">SUM(P158:Q158)</f>
        <v>1</v>
      </c>
      <c r="W158" s="3" t="n">
        <f aca="false">SUM(R158:T158)</f>
        <v>0</v>
      </c>
      <c r="X158" s="10" t="n">
        <v>40052</v>
      </c>
      <c r="Y158" s="10" t="n">
        <v>40057</v>
      </c>
    </row>
    <row r="159" customFormat="false" ht="14.25" hidden="false" customHeight="false" outlineLevel="0" collapsed="false">
      <c r="A159" s="1" t="n">
        <v>2009</v>
      </c>
      <c r="B159" s="1" t="n">
        <v>2</v>
      </c>
      <c r="C159" s="2" t="s">
        <v>25</v>
      </c>
      <c r="D159" s="7" t="s">
        <v>101</v>
      </c>
      <c r="E159" s="1" t="n">
        <v>2</v>
      </c>
      <c r="F159" s="1" t="n">
        <f aca="false">Y159-X159</f>
        <v>5</v>
      </c>
      <c r="G159" s="1" t="n">
        <v>5</v>
      </c>
      <c r="H159" s="3" t="s">
        <v>48</v>
      </c>
      <c r="I159" s="3" t="s">
        <v>49</v>
      </c>
      <c r="J159" s="8" t="s">
        <v>38</v>
      </c>
      <c r="K159" s="2" t="str">
        <f aca="false">CONCATENATE(I159," ",J159)</f>
        <v>Alopecosa sp</v>
      </c>
      <c r="L159" s="3" t="n">
        <f aca="false">SUM(P159:U159)</f>
        <v>1</v>
      </c>
      <c r="M159" s="11" t="n">
        <f aca="false">(L159/(F159*G159)*25)*4</f>
        <v>4</v>
      </c>
      <c r="N159" s="1" t="s">
        <v>19</v>
      </c>
      <c r="O159" s="1" t="s">
        <v>31</v>
      </c>
      <c r="P159" s="1" t="n">
        <v>0</v>
      </c>
      <c r="Q159" s="1" t="n">
        <v>0</v>
      </c>
      <c r="R159" s="1" t="n">
        <v>1</v>
      </c>
      <c r="S159" s="1" t="n">
        <v>0</v>
      </c>
      <c r="T159" s="1" t="n">
        <v>0</v>
      </c>
      <c r="U159" s="1" t="n">
        <v>0</v>
      </c>
      <c r="V159" s="3" t="n">
        <f aca="false">SUM(P159:Q159)</f>
        <v>0</v>
      </c>
      <c r="W159" s="3" t="n">
        <f aca="false">SUM(R159:T159)</f>
        <v>1</v>
      </c>
      <c r="X159" s="10" t="n">
        <v>40052</v>
      </c>
      <c r="Y159" s="10" t="n">
        <v>40057</v>
      </c>
    </row>
    <row r="160" customFormat="false" ht="14.25" hidden="false" customHeight="false" outlineLevel="0" collapsed="false">
      <c r="A160" s="1" t="n">
        <v>2009</v>
      </c>
      <c r="B160" s="1" t="n">
        <v>2</v>
      </c>
      <c r="C160" s="2" t="s">
        <v>25</v>
      </c>
      <c r="D160" s="7" t="s">
        <v>101</v>
      </c>
      <c r="E160" s="1" t="n">
        <v>2</v>
      </c>
      <c r="F160" s="1" t="n">
        <f aca="false">Y160-X160</f>
        <v>5</v>
      </c>
      <c r="G160" s="1" t="n">
        <v>5</v>
      </c>
      <c r="H160" s="3" t="s">
        <v>41</v>
      </c>
      <c r="I160" s="3" t="s">
        <v>42</v>
      </c>
      <c r="J160" s="12" t="s">
        <v>43</v>
      </c>
      <c r="K160" s="2" t="str">
        <f aca="false">CONCATENATE(I160," ",J160)</f>
        <v>Agroeca proxima</v>
      </c>
      <c r="L160" s="3" t="n">
        <f aca="false">SUM(P160:U160)</f>
        <v>1</v>
      </c>
      <c r="M160" s="11" t="n">
        <f aca="false">(L160/(F160*G160)*25)*4</f>
        <v>4</v>
      </c>
      <c r="N160" s="1" t="s">
        <v>30</v>
      </c>
      <c r="O160" s="1" t="s">
        <v>31</v>
      </c>
      <c r="P160" s="1" t="n">
        <v>1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3" t="n">
        <f aca="false">SUM(P160:Q160)</f>
        <v>1</v>
      </c>
      <c r="W160" s="3" t="n">
        <f aca="false">SUM(R160:T160)</f>
        <v>0</v>
      </c>
      <c r="X160" s="10" t="n">
        <v>40052</v>
      </c>
      <c r="Y160" s="10" t="n">
        <v>40057</v>
      </c>
    </row>
    <row r="161" customFormat="false" ht="14.25" hidden="false" customHeight="false" outlineLevel="0" collapsed="false">
      <c r="A161" s="1" t="n">
        <v>2009</v>
      </c>
      <c r="B161" s="1" t="n">
        <v>2</v>
      </c>
      <c r="C161" s="2" t="s">
        <v>25</v>
      </c>
      <c r="D161" s="7" t="s">
        <v>101</v>
      </c>
      <c r="E161" s="1" t="n">
        <v>2</v>
      </c>
      <c r="F161" s="1" t="n">
        <f aca="false">Y161-X161</f>
        <v>5</v>
      </c>
      <c r="G161" s="1" t="n">
        <v>5</v>
      </c>
      <c r="H161" s="3" t="s">
        <v>48</v>
      </c>
      <c r="I161" s="3" t="s">
        <v>105</v>
      </c>
      <c r="J161" s="8" t="s">
        <v>38</v>
      </c>
      <c r="K161" s="2" t="str">
        <f aca="false">CONCATENATE(I161," ",J161)</f>
        <v>Piratula sp</v>
      </c>
      <c r="L161" s="3" t="n">
        <f aca="false">SUM(P161:U161)</f>
        <v>1</v>
      </c>
      <c r="M161" s="11" t="n">
        <f aca="false">(L161/(F161*G161)*25)*4</f>
        <v>4</v>
      </c>
      <c r="N161" s="1" t="s">
        <v>19</v>
      </c>
      <c r="O161" s="1" t="s">
        <v>54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1</v>
      </c>
      <c r="U161" s="1" t="n">
        <v>0</v>
      </c>
      <c r="V161" s="3" t="n">
        <f aca="false">SUM(P161:Q161)</f>
        <v>0</v>
      </c>
      <c r="W161" s="3" t="n">
        <f aca="false">SUM(R161:T161)</f>
        <v>1</v>
      </c>
      <c r="X161" s="10" t="n">
        <v>40052</v>
      </c>
      <c r="Y161" s="10" t="n">
        <v>40057</v>
      </c>
    </row>
    <row r="162" customFormat="false" ht="14.25" hidden="false" customHeight="false" outlineLevel="0" collapsed="false">
      <c r="A162" s="1" t="n">
        <v>2009</v>
      </c>
      <c r="B162" s="1" t="n">
        <v>2</v>
      </c>
      <c r="C162" s="2" t="s">
        <v>25</v>
      </c>
      <c r="D162" s="7" t="s">
        <v>101</v>
      </c>
      <c r="E162" s="1" t="n">
        <v>2</v>
      </c>
      <c r="F162" s="1" t="n">
        <f aca="false">Y162-X162</f>
        <v>5</v>
      </c>
      <c r="G162" s="1" t="n">
        <v>5</v>
      </c>
      <c r="H162" s="3" t="s">
        <v>32</v>
      </c>
      <c r="I162" s="3" t="s">
        <v>57</v>
      </c>
      <c r="J162" s="8" t="s">
        <v>38</v>
      </c>
      <c r="K162" s="2" t="str">
        <f aca="false">CONCATENATE(I162," ",J162)</f>
        <v>Gen sp</v>
      </c>
      <c r="L162" s="3" t="n">
        <f aca="false">SUM(P162:U162)</f>
        <v>2</v>
      </c>
      <c r="M162" s="11" t="n">
        <f aca="false">(L162/(F162*G162)*25)*4</f>
        <v>8</v>
      </c>
      <c r="N162" s="1" t="s">
        <v>19</v>
      </c>
      <c r="O162" s="1" t="s">
        <v>54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2</v>
      </c>
      <c r="U162" s="1" t="n">
        <v>0</v>
      </c>
      <c r="V162" s="3" t="n">
        <f aca="false">SUM(P162:Q162)</f>
        <v>0</v>
      </c>
      <c r="W162" s="3" t="n">
        <f aca="false">SUM(R162:T162)</f>
        <v>2</v>
      </c>
      <c r="X162" s="10" t="n">
        <v>40052</v>
      </c>
      <c r="Y162" s="10" t="n">
        <v>40057</v>
      </c>
    </row>
    <row r="163" customFormat="false" ht="14.25" hidden="false" customHeight="false" outlineLevel="0" collapsed="false">
      <c r="A163" s="1" t="n">
        <v>2009</v>
      </c>
      <c r="B163" s="1" t="n">
        <v>2</v>
      </c>
      <c r="C163" s="2" t="s">
        <v>25</v>
      </c>
      <c r="D163" s="7" t="s">
        <v>101</v>
      </c>
      <c r="E163" s="1" t="n">
        <v>2</v>
      </c>
      <c r="F163" s="1" t="n">
        <f aca="false">Y163-X163</f>
        <v>5</v>
      </c>
      <c r="G163" s="1" t="n">
        <v>5</v>
      </c>
      <c r="H163" s="3" t="s">
        <v>32</v>
      </c>
      <c r="I163" s="3" t="s">
        <v>33</v>
      </c>
      <c r="J163" s="8" t="s">
        <v>81</v>
      </c>
      <c r="K163" s="2" t="str">
        <f aca="false">CONCATENATE(I163," ",J163)</f>
        <v>Tenuiphantes mengei</v>
      </c>
      <c r="L163" s="3" t="n">
        <f aca="false">SUM(P163:U163)</f>
        <v>1</v>
      </c>
      <c r="M163" s="11" t="n">
        <f aca="false">(L163/(F163*G163)*25)*4</f>
        <v>4</v>
      </c>
      <c r="N163" s="1" t="s">
        <v>30</v>
      </c>
      <c r="O163" s="1" t="s">
        <v>31</v>
      </c>
      <c r="P163" s="1" t="n">
        <v>1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3" t="n">
        <f aca="false">SUM(P163:Q163)</f>
        <v>1</v>
      </c>
      <c r="W163" s="3" t="n">
        <f aca="false">SUM(R163:T163)</f>
        <v>0</v>
      </c>
      <c r="X163" s="10" t="n">
        <v>40052</v>
      </c>
      <c r="Y163" s="10" t="n">
        <v>40057</v>
      </c>
    </row>
    <row r="164" customFormat="false" ht="14.25" hidden="false" customHeight="false" outlineLevel="0" collapsed="false">
      <c r="A164" s="1" t="n">
        <v>2009</v>
      </c>
      <c r="B164" s="1" t="n">
        <v>2</v>
      </c>
      <c r="C164" s="2" t="s">
        <v>25</v>
      </c>
      <c r="D164" s="7" t="s">
        <v>101</v>
      </c>
      <c r="E164" s="1" t="n">
        <v>2</v>
      </c>
      <c r="F164" s="1" t="n">
        <f aca="false">Y164-X164</f>
        <v>5</v>
      </c>
      <c r="G164" s="1" t="n">
        <v>5</v>
      </c>
      <c r="H164" s="3" t="s">
        <v>32</v>
      </c>
      <c r="I164" s="3" t="s">
        <v>33</v>
      </c>
      <c r="J164" s="8" t="s">
        <v>81</v>
      </c>
      <c r="K164" s="2" t="str">
        <f aca="false">CONCATENATE(I164," ",J164)</f>
        <v>Tenuiphantes mengei</v>
      </c>
      <c r="L164" s="3" t="n">
        <f aca="false">SUM(P164:U164)</f>
        <v>1</v>
      </c>
      <c r="M164" s="11" t="n">
        <f aca="false">(L164/(F164*G164)*25)*4</f>
        <v>4</v>
      </c>
      <c r="N164" s="1" t="s">
        <v>30</v>
      </c>
      <c r="O164" s="1" t="s">
        <v>35</v>
      </c>
      <c r="P164" s="1" t="n">
        <v>0</v>
      </c>
      <c r="Q164" s="1" t="n">
        <v>1</v>
      </c>
      <c r="R164" s="1" t="n">
        <v>0</v>
      </c>
      <c r="S164" s="1" t="n">
        <v>0</v>
      </c>
      <c r="T164" s="1" t="n">
        <v>0</v>
      </c>
      <c r="U164" s="1" t="n">
        <v>0</v>
      </c>
      <c r="V164" s="3" t="n">
        <f aca="false">SUM(P164:Q164)</f>
        <v>1</v>
      </c>
      <c r="W164" s="3" t="n">
        <f aca="false">SUM(R164:T164)</f>
        <v>0</v>
      </c>
      <c r="X164" s="10" t="n">
        <v>40052</v>
      </c>
      <c r="Y164" s="10" t="n">
        <v>40057</v>
      </c>
    </row>
    <row r="165" customFormat="false" ht="14.25" hidden="false" customHeight="false" outlineLevel="0" collapsed="false">
      <c r="A165" s="1" t="n">
        <v>2009</v>
      </c>
      <c r="B165" s="1" t="n">
        <v>2</v>
      </c>
      <c r="C165" s="2" t="s">
        <v>25</v>
      </c>
      <c r="D165" s="7" t="s">
        <v>101</v>
      </c>
      <c r="E165" s="1" t="n">
        <v>2</v>
      </c>
      <c r="F165" s="1" t="n">
        <f aca="false">Y165-X165</f>
        <v>5</v>
      </c>
      <c r="G165" s="1" t="n">
        <v>5</v>
      </c>
      <c r="H165" s="3" t="s">
        <v>32</v>
      </c>
      <c r="I165" s="3" t="s">
        <v>33</v>
      </c>
      <c r="J165" s="8" t="s">
        <v>60</v>
      </c>
      <c r="K165" s="2" t="str">
        <f aca="false">CONCATENATE(I165," ",J165)</f>
        <v>Tenuiphantes tenebricola</v>
      </c>
      <c r="L165" s="3" t="n">
        <f aca="false">SUM(P165:U165)</f>
        <v>1</v>
      </c>
      <c r="M165" s="11" t="n">
        <f aca="false">(L165/(F165*G165)*25)*4</f>
        <v>4</v>
      </c>
      <c r="N165" s="1" t="s">
        <v>30</v>
      </c>
      <c r="O165" s="1" t="s">
        <v>31</v>
      </c>
      <c r="P165" s="1" t="n">
        <v>1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3" t="n">
        <f aca="false">SUM(P165:Q165)</f>
        <v>1</v>
      </c>
      <c r="W165" s="3" t="n">
        <f aca="false">SUM(R165:T165)</f>
        <v>0</v>
      </c>
      <c r="X165" s="10" t="n">
        <v>40052</v>
      </c>
      <c r="Y165" s="10" t="n">
        <v>40057</v>
      </c>
    </row>
    <row r="166" customFormat="false" ht="14.25" hidden="false" customHeight="false" outlineLevel="0" collapsed="false">
      <c r="A166" s="1" t="n">
        <v>2009</v>
      </c>
      <c r="B166" s="1" t="n">
        <v>2</v>
      </c>
      <c r="C166" s="2" t="s">
        <v>25</v>
      </c>
      <c r="D166" s="7" t="s">
        <v>101</v>
      </c>
      <c r="E166" s="1" t="n">
        <v>2</v>
      </c>
      <c r="F166" s="1" t="n">
        <f aca="false">Y166-X166</f>
        <v>5</v>
      </c>
      <c r="G166" s="1" t="n">
        <v>5</v>
      </c>
      <c r="H166" s="3" t="s">
        <v>32</v>
      </c>
      <c r="I166" s="3" t="s">
        <v>68</v>
      </c>
      <c r="J166" s="8" t="s">
        <v>69</v>
      </c>
      <c r="K166" s="2" t="str">
        <f aca="false">CONCATENATE(I166," ",J166)</f>
        <v>Centromerus sylvaticus</v>
      </c>
      <c r="L166" s="3" t="n">
        <f aca="false">SUM(P166:U166)</f>
        <v>1</v>
      </c>
      <c r="M166" s="11" t="n">
        <f aca="false">(L166/(F166*G166)*25)*4</f>
        <v>4</v>
      </c>
      <c r="N166" s="1" t="s">
        <v>30</v>
      </c>
      <c r="O166" s="1" t="s">
        <v>35</v>
      </c>
      <c r="P166" s="1" t="n">
        <v>0</v>
      </c>
      <c r="Q166" s="1" t="n">
        <v>1</v>
      </c>
      <c r="R166" s="1" t="n">
        <v>0</v>
      </c>
      <c r="S166" s="1" t="n">
        <v>0</v>
      </c>
      <c r="T166" s="1" t="n">
        <v>0</v>
      </c>
      <c r="U166" s="1" t="n">
        <v>0</v>
      </c>
      <c r="V166" s="3" t="n">
        <f aca="false">SUM(P166:Q166)</f>
        <v>1</v>
      </c>
      <c r="W166" s="3" t="n">
        <f aca="false">SUM(R166:T166)</f>
        <v>0</v>
      </c>
      <c r="X166" s="10" t="n">
        <v>40052</v>
      </c>
      <c r="Y166" s="10" t="n">
        <v>40057</v>
      </c>
    </row>
    <row r="167" customFormat="false" ht="14.25" hidden="false" customHeight="false" outlineLevel="0" collapsed="false">
      <c r="A167" s="1" t="n">
        <v>2009</v>
      </c>
      <c r="B167" s="1" t="n">
        <v>2</v>
      </c>
      <c r="C167" s="2" t="s">
        <v>25</v>
      </c>
      <c r="D167" s="7" t="s">
        <v>101</v>
      </c>
      <c r="E167" s="1" t="n">
        <v>2</v>
      </c>
      <c r="F167" s="1" t="n">
        <f aca="false">Y167-X167</f>
        <v>5</v>
      </c>
      <c r="G167" s="1" t="n">
        <v>5</v>
      </c>
      <c r="H167" s="13" t="s">
        <v>32</v>
      </c>
      <c r="I167" s="13" t="s">
        <v>88</v>
      </c>
      <c r="J167" s="14" t="s">
        <v>89</v>
      </c>
      <c r="K167" s="2" t="str">
        <f aca="false">CONCATENATE(I167," ",J167)</f>
        <v>Tapinopa longidens</v>
      </c>
      <c r="L167" s="3" t="n">
        <f aca="false">SUM(P167:U167)</f>
        <v>1</v>
      </c>
      <c r="M167" s="11" t="n">
        <f aca="false">(L167/(F167*G167)*25)*4</f>
        <v>4</v>
      </c>
      <c r="N167" s="1" t="s">
        <v>30</v>
      </c>
      <c r="O167" s="1" t="s">
        <v>35</v>
      </c>
      <c r="P167" s="1" t="n">
        <v>0</v>
      </c>
      <c r="Q167" s="1" t="n">
        <v>1</v>
      </c>
      <c r="R167" s="1" t="n">
        <v>0</v>
      </c>
      <c r="S167" s="1" t="n">
        <v>0</v>
      </c>
      <c r="T167" s="1" t="n">
        <v>0</v>
      </c>
      <c r="U167" s="1" t="n">
        <v>0</v>
      </c>
      <c r="V167" s="3" t="n">
        <f aca="false">SUM(P167:Q167)</f>
        <v>1</v>
      </c>
      <c r="W167" s="3" t="n">
        <f aca="false">SUM(R167:T167)</f>
        <v>0</v>
      </c>
      <c r="X167" s="10" t="n">
        <v>40052</v>
      </c>
      <c r="Y167" s="10" t="n">
        <v>40057</v>
      </c>
    </row>
    <row r="168" customFormat="false" ht="14.25" hidden="false" customHeight="false" outlineLevel="0" collapsed="false">
      <c r="A168" s="1" t="n">
        <v>2009</v>
      </c>
      <c r="B168" s="1" t="n">
        <v>2</v>
      </c>
      <c r="C168" s="2" t="s">
        <v>25</v>
      </c>
      <c r="D168" s="7" t="s">
        <v>101</v>
      </c>
      <c r="E168" s="1" t="n">
        <v>2</v>
      </c>
      <c r="F168" s="1" t="n">
        <f aca="false">Y168-X168</f>
        <v>5</v>
      </c>
      <c r="G168" s="1" t="n">
        <v>5</v>
      </c>
      <c r="H168" s="3" t="s">
        <v>41</v>
      </c>
      <c r="I168" s="3" t="s">
        <v>42</v>
      </c>
      <c r="J168" s="12" t="s">
        <v>43</v>
      </c>
      <c r="K168" s="2" t="str">
        <f aca="false">CONCATENATE(I168," ",J168)</f>
        <v>Agroeca proxima</v>
      </c>
      <c r="L168" s="3" t="n">
        <f aca="false">SUM(P168:U168)</f>
        <v>2</v>
      </c>
      <c r="M168" s="11" t="n">
        <f aca="false">(L168/(F168*G168)*25)*4</f>
        <v>8</v>
      </c>
      <c r="N168" s="1" t="s">
        <v>30</v>
      </c>
      <c r="O168" s="1" t="s">
        <v>31</v>
      </c>
      <c r="P168" s="1" t="n">
        <v>2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3" t="n">
        <f aca="false">SUM(P168:Q168)</f>
        <v>2</v>
      </c>
      <c r="W168" s="3" t="n">
        <f aca="false">SUM(R168:T168)</f>
        <v>0</v>
      </c>
      <c r="X168" s="10" t="n">
        <v>40052</v>
      </c>
      <c r="Y168" s="10" t="n">
        <v>40057</v>
      </c>
    </row>
    <row r="169" customFormat="false" ht="14.25" hidden="false" customHeight="false" outlineLevel="0" collapsed="false">
      <c r="A169" s="1" t="n">
        <v>2009</v>
      </c>
      <c r="B169" s="1" t="n">
        <v>2</v>
      </c>
      <c r="C169" s="2" t="s">
        <v>25</v>
      </c>
      <c r="D169" s="7" t="s">
        <v>101</v>
      </c>
      <c r="E169" s="1" t="n">
        <v>2</v>
      </c>
      <c r="F169" s="1" t="n">
        <f aca="false">Y169-X169</f>
        <v>5</v>
      </c>
      <c r="G169" s="1" t="n">
        <v>5</v>
      </c>
      <c r="H169" s="3" t="s">
        <v>32</v>
      </c>
      <c r="I169" s="3" t="s">
        <v>33</v>
      </c>
      <c r="J169" s="8" t="s">
        <v>81</v>
      </c>
      <c r="K169" s="2" t="str">
        <f aca="false">CONCATENATE(I169," ",J169)</f>
        <v>Tenuiphantes mengei</v>
      </c>
      <c r="L169" s="3" t="n">
        <f aca="false">SUM(P169:U169)</f>
        <v>2</v>
      </c>
      <c r="M169" s="11" t="n">
        <f aca="false">(L169/(F169*G169)*25)*4</f>
        <v>8</v>
      </c>
      <c r="N169" s="1" t="s">
        <v>30</v>
      </c>
      <c r="O169" s="1" t="s">
        <v>35</v>
      </c>
      <c r="P169" s="1" t="n">
        <v>0</v>
      </c>
      <c r="Q169" s="1" t="n">
        <v>2</v>
      </c>
      <c r="R169" s="1" t="n">
        <v>0</v>
      </c>
      <c r="S169" s="1" t="n">
        <v>0</v>
      </c>
      <c r="T169" s="1" t="n">
        <v>0</v>
      </c>
      <c r="U169" s="1" t="n">
        <v>0</v>
      </c>
      <c r="V169" s="3" t="n">
        <f aca="false">SUM(P169:Q169)</f>
        <v>2</v>
      </c>
      <c r="W169" s="3" t="n">
        <f aca="false">SUM(R169:T169)</f>
        <v>0</v>
      </c>
      <c r="X169" s="10" t="n">
        <v>40052</v>
      </c>
      <c r="Y169" s="10" t="n">
        <v>40057</v>
      </c>
    </row>
    <row r="170" customFormat="false" ht="14.25" hidden="false" customHeight="false" outlineLevel="0" collapsed="false">
      <c r="A170" s="1" t="n">
        <v>2009</v>
      </c>
      <c r="B170" s="1" t="n">
        <v>2</v>
      </c>
      <c r="C170" s="2" t="s">
        <v>25</v>
      </c>
      <c r="D170" s="7" t="s">
        <v>101</v>
      </c>
      <c r="E170" s="1" t="n">
        <v>2</v>
      </c>
      <c r="F170" s="1" t="n">
        <f aca="false">Y170-X170</f>
        <v>5</v>
      </c>
      <c r="G170" s="1" t="n">
        <v>5</v>
      </c>
      <c r="H170" s="3" t="s">
        <v>32</v>
      </c>
      <c r="I170" s="3" t="s">
        <v>33</v>
      </c>
      <c r="J170" s="8" t="s">
        <v>60</v>
      </c>
      <c r="K170" s="2" t="str">
        <f aca="false">CONCATENATE(I170," ",J170)</f>
        <v>Tenuiphantes tenebricola</v>
      </c>
      <c r="L170" s="3" t="n">
        <f aca="false">SUM(P170:U170)</f>
        <v>1</v>
      </c>
      <c r="M170" s="11" t="n">
        <f aca="false">(L170/(F170*G170)*25)*4</f>
        <v>4</v>
      </c>
      <c r="N170" s="1" t="s">
        <v>30</v>
      </c>
      <c r="O170" s="1" t="s">
        <v>35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3" t="n">
        <f aca="false">SUM(P170:Q170)</f>
        <v>1</v>
      </c>
      <c r="W170" s="3" t="n">
        <f aca="false">SUM(R170:T170)</f>
        <v>0</v>
      </c>
      <c r="X170" s="10" t="n">
        <v>40052</v>
      </c>
      <c r="Y170" s="10" t="n">
        <v>40057</v>
      </c>
    </row>
    <row r="171" customFormat="false" ht="14.25" hidden="false" customHeight="false" outlineLevel="0" collapsed="false">
      <c r="A171" s="1" t="n">
        <v>2009</v>
      </c>
      <c r="B171" s="1" t="n">
        <v>2</v>
      </c>
      <c r="C171" s="2" t="s">
        <v>25</v>
      </c>
      <c r="D171" s="7" t="s">
        <v>101</v>
      </c>
      <c r="E171" s="1" t="n">
        <v>2</v>
      </c>
      <c r="F171" s="1" t="n">
        <f aca="false">Y171-X171</f>
        <v>5</v>
      </c>
      <c r="G171" s="1" t="n">
        <v>5</v>
      </c>
      <c r="H171" s="3" t="s">
        <v>32</v>
      </c>
      <c r="I171" s="3" t="s">
        <v>107</v>
      </c>
      <c r="J171" s="8" t="s">
        <v>108</v>
      </c>
      <c r="K171" s="2" t="str">
        <f aca="false">CONCATENATE(I171," ",J171)</f>
        <v>Macrargus rufus</v>
      </c>
      <c r="L171" s="3" t="n">
        <f aca="false">SUM(P171:U171)</f>
        <v>1</v>
      </c>
      <c r="M171" s="11" t="n">
        <f aca="false">(L171/(F171*G171)*25)*4</f>
        <v>4</v>
      </c>
      <c r="N171" s="1" t="s">
        <v>30</v>
      </c>
      <c r="O171" s="1" t="s">
        <v>35</v>
      </c>
      <c r="P171" s="1" t="n">
        <v>0</v>
      </c>
      <c r="Q171" s="1" t="n">
        <v>1</v>
      </c>
      <c r="R171" s="1" t="n">
        <v>0</v>
      </c>
      <c r="S171" s="1" t="n">
        <v>0</v>
      </c>
      <c r="T171" s="1" t="n">
        <v>0</v>
      </c>
      <c r="U171" s="1" t="n">
        <v>0</v>
      </c>
      <c r="V171" s="3" t="n">
        <f aca="false">SUM(P171:Q171)</f>
        <v>1</v>
      </c>
      <c r="W171" s="3" t="n">
        <f aca="false">SUM(R171:T171)</f>
        <v>0</v>
      </c>
      <c r="X171" s="10" t="n">
        <v>40052</v>
      </c>
      <c r="Y171" s="10" t="n">
        <v>40057</v>
      </c>
    </row>
    <row r="172" customFormat="false" ht="14.25" hidden="false" customHeight="false" outlineLevel="0" collapsed="false">
      <c r="A172" s="1" t="n">
        <v>2009</v>
      </c>
      <c r="B172" s="1" t="n">
        <v>2</v>
      </c>
      <c r="C172" s="2" t="s">
        <v>25</v>
      </c>
      <c r="D172" s="7" t="s">
        <v>101</v>
      </c>
      <c r="E172" s="1" t="n">
        <v>1</v>
      </c>
      <c r="F172" s="1" t="n">
        <f aca="false">Y172-X172</f>
        <v>5</v>
      </c>
      <c r="G172" s="1" t="n">
        <v>5</v>
      </c>
      <c r="H172" s="3" t="s">
        <v>32</v>
      </c>
      <c r="I172" s="3" t="s">
        <v>33</v>
      </c>
      <c r="J172" s="8" t="s">
        <v>81</v>
      </c>
      <c r="K172" s="2" t="str">
        <f aca="false">CONCATENATE(I172," ",J172)</f>
        <v>Tenuiphantes mengei</v>
      </c>
      <c r="L172" s="3" t="n">
        <f aca="false">SUM(P172:U172)</f>
        <v>1</v>
      </c>
      <c r="M172" s="11" t="n">
        <f aca="false">(L172/(F172*G172)*25)*4</f>
        <v>4</v>
      </c>
      <c r="N172" s="1" t="s">
        <v>30</v>
      </c>
      <c r="O172" s="1" t="s">
        <v>35</v>
      </c>
      <c r="P172" s="1" t="n">
        <v>0</v>
      </c>
      <c r="Q172" s="1" t="n">
        <v>1</v>
      </c>
      <c r="R172" s="1" t="n">
        <v>0</v>
      </c>
      <c r="S172" s="1" t="n">
        <v>0</v>
      </c>
      <c r="T172" s="1" t="n">
        <v>0</v>
      </c>
      <c r="U172" s="1" t="n">
        <v>0</v>
      </c>
      <c r="V172" s="3" t="n">
        <f aca="false">SUM(P172:Q172)</f>
        <v>1</v>
      </c>
      <c r="W172" s="3" t="n">
        <f aca="false">SUM(R172:T172)</f>
        <v>0</v>
      </c>
      <c r="X172" s="10" t="n">
        <v>40052</v>
      </c>
      <c r="Y172" s="10" t="n">
        <v>40057</v>
      </c>
    </row>
    <row r="173" customFormat="false" ht="14.25" hidden="false" customHeight="false" outlineLevel="0" collapsed="false">
      <c r="A173" s="1" t="n">
        <v>2009</v>
      </c>
      <c r="B173" s="1" t="n">
        <v>2</v>
      </c>
      <c r="C173" s="2" t="s">
        <v>25</v>
      </c>
      <c r="D173" s="7" t="s">
        <v>101</v>
      </c>
      <c r="E173" s="1" t="n">
        <v>1</v>
      </c>
      <c r="F173" s="1" t="n">
        <f aca="false">Y173-X173</f>
        <v>5</v>
      </c>
      <c r="G173" s="1" t="n">
        <v>5</v>
      </c>
      <c r="H173" s="3" t="s">
        <v>32</v>
      </c>
      <c r="I173" s="3" t="s">
        <v>33</v>
      </c>
      <c r="J173" s="8" t="s">
        <v>34</v>
      </c>
      <c r="K173" s="2" t="str">
        <f aca="false">CONCATENATE(I173," ",J173)</f>
        <v>Tenuiphantes nigriventris</v>
      </c>
      <c r="L173" s="3" t="n">
        <f aca="false">SUM(P173:U173)</f>
        <v>1</v>
      </c>
      <c r="M173" s="11" t="n">
        <f aca="false">(L173/(F173*G173)*25)*4</f>
        <v>4</v>
      </c>
      <c r="N173" s="1" t="s">
        <v>30</v>
      </c>
      <c r="O173" s="1" t="s">
        <v>35</v>
      </c>
      <c r="P173" s="1" t="n">
        <v>0</v>
      </c>
      <c r="Q173" s="1" t="n">
        <v>1</v>
      </c>
      <c r="R173" s="1" t="n">
        <v>0</v>
      </c>
      <c r="S173" s="1" t="n">
        <v>0</v>
      </c>
      <c r="T173" s="1" t="n">
        <v>0</v>
      </c>
      <c r="U173" s="1" t="n">
        <v>0</v>
      </c>
      <c r="V173" s="3" t="n">
        <f aca="false">SUM(P173:Q173)</f>
        <v>1</v>
      </c>
      <c r="W173" s="3" t="n">
        <f aca="false">SUM(R173:T173)</f>
        <v>0</v>
      </c>
      <c r="X173" s="10" t="n">
        <v>40052</v>
      </c>
      <c r="Y173" s="10" t="n">
        <v>40057</v>
      </c>
    </row>
    <row r="174" customFormat="false" ht="14.25" hidden="false" customHeight="false" outlineLevel="0" collapsed="false">
      <c r="A174" s="1" t="n">
        <v>2009</v>
      </c>
      <c r="B174" s="1" t="n">
        <v>2</v>
      </c>
      <c r="C174" s="2" t="s">
        <v>25</v>
      </c>
      <c r="D174" s="7" t="s">
        <v>101</v>
      </c>
      <c r="E174" s="1" t="n">
        <v>1</v>
      </c>
      <c r="F174" s="1" t="n">
        <f aca="false">Y174-X174</f>
        <v>5</v>
      </c>
      <c r="G174" s="1" t="n">
        <v>5</v>
      </c>
      <c r="H174" s="3" t="s">
        <v>32</v>
      </c>
      <c r="I174" s="3" t="s">
        <v>68</v>
      </c>
      <c r="J174" s="8" t="s">
        <v>69</v>
      </c>
      <c r="K174" s="2" t="str">
        <f aca="false">CONCATENATE(I174," ",J174)</f>
        <v>Centromerus sylvaticus</v>
      </c>
      <c r="L174" s="3" t="n">
        <f aca="false">SUM(P174:U174)</f>
        <v>1</v>
      </c>
      <c r="M174" s="11" t="n">
        <f aca="false">(L174/(F174*G174)*25)*4</f>
        <v>4</v>
      </c>
      <c r="N174" s="1" t="s">
        <v>30</v>
      </c>
      <c r="O174" s="1" t="s">
        <v>35</v>
      </c>
      <c r="P174" s="1" t="n">
        <v>0</v>
      </c>
      <c r="Q174" s="1" t="n">
        <v>1</v>
      </c>
      <c r="R174" s="1" t="n">
        <v>0</v>
      </c>
      <c r="S174" s="1" t="n">
        <v>0</v>
      </c>
      <c r="T174" s="1" t="n">
        <v>0</v>
      </c>
      <c r="U174" s="1" t="n">
        <v>0</v>
      </c>
      <c r="V174" s="3" t="n">
        <f aca="false">SUM(P174:Q174)</f>
        <v>1</v>
      </c>
      <c r="W174" s="3" t="n">
        <f aca="false">SUM(R174:T174)</f>
        <v>0</v>
      </c>
      <c r="X174" s="10" t="n">
        <v>40052</v>
      </c>
      <c r="Y174" s="10" t="n">
        <v>40057</v>
      </c>
    </row>
    <row r="175" customFormat="false" ht="14.25" hidden="false" customHeight="false" outlineLevel="0" collapsed="false">
      <c r="A175" s="1" t="n">
        <v>2009</v>
      </c>
      <c r="B175" s="1" t="n">
        <v>2</v>
      </c>
      <c r="C175" s="2" t="s">
        <v>25</v>
      </c>
      <c r="D175" s="7" t="s">
        <v>101</v>
      </c>
      <c r="E175" s="1" t="n">
        <v>1</v>
      </c>
      <c r="F175" s="1" t="n">
        <f aca="false">Y175-X175</f>
        <v>5</v>
      </c>
      <c r="G175" s="1" t="n">
        <v>5</v>
      </c>
      <c r="H175" s="3" t="s">
        <v>32</v>
      </c>
      <c r="I175" s="3" t="s">
        <v>33</v>
      </c>
      <c r="J175" s="8" t="s">
        <v>34</v>
      </c>
      <c r="K175" s="2" t="str">
        <f aca="false">CONCATENATE(I175," ",J175)</f>
        <v>Tenuiphantes nigriventris</v>
      </c>
      <c r="L175" s="3" t="n">
        <f aca="false">SUM(P175:U175)</f>
        <v>1</v>
      </c>
      <c r="M175" s="11" t="n">
        <f aca="false">(L175/(F175*G175)*25)*4</f>
        <v>4</v>
      </c>
      <c r="N175" s="1" t="s">
        <v>30</v>
      </c>
      <c r="O175" s="1" t="s">
        <v>31</v>
      </c>
      <c r="P175" s="1" t="n">
        <v>1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3" t="n">
        <f aca="false">SUM(P175:Q175)</f>
        <v>1</v>
      </c>
      <c r="W175" s="3" t="n">
        <f aca="false">SUM(R175:T175)</f>
        <v>0</v>
      </c>
      <c r="X175" s="10" t="n">
        <v>40052</v>
      </c>
      <c r="Y175" s="10" t="n">
        <v>40057</v>
      </c>
    </row>
    <row r="176" customFormat="false" ht="14.25" hidden="false" customHeight="false" outlineLevel="0" collapsed="false">
      <c r="A176" s="1" t="n">
        <v>2009</v>
      </c>
      <c r="B176" s="1" t="n">
        <v>2</v>
      </c>
      <c r="C176" s="2" t="s">
        <v>25</v>
      </c>
      <c r="D176" s="7" t="s">
        <v>101</v>
      </c>
      <c r="E176" s="1" t="n">
        <v>1</v>
      </c>
      <c r="F176" s="1" t="n">
        <f aca="false">Y176-X176</f>
        <v>5</v>
      </c>
      <c r="G176" s="1" t="n">
        <v>5</v>
      </c>
      <c r="H176" s="3" t="s">
        <v>32</v>
      </c>
      <c r="I176" s="3" t="s">
        <v>107</v>
      </c>
      <c r="J176" s="8" t="s">
        <v>108</v>
      </c>
      <c r="K176" s="2" t="str">
        <f aca="false">CONCATENATE(I176," ",J176)</f>
        <v>Macrargus rufus</v>
      </c>
      <c r="L176" s="3" t="n">
        <f aca="false">SUM(P176:U176)</f>
        <v>1</v>
      </c>
      <c r="M176" s="11" t="n">
        <f aca="false">(L176/(F176*G176)*25)*4</f>
        <v>4</v>
      </c>
      <c r="N176" s="1" t="s">
        <v>30</v>
      </c>
      <c r="O176" s="1" t="s">
        <v>35</v>
      </c>
      <c r="P176" s="1" t="n">
        <v>0</v>
      </c>
      <c r="Q176" s="1" t="n">
        <v>1</v>
      </c>
      <c r="R176" s="1" t="n">
        <v>0</v>
      </c>
      <c r="S176" s="1" t="n">
        <v>0</v>
      </c>
      <c r="T176" s="1" t="n">
        <v>0</v>
      </c>
      <c r="U176" s="1" t="n">
        <v>0</v>
      </c>
      <c r="V176" s="3" t="n">
        <f aca="false">SUM(P176:Q176)</f>
        <v>1</v>
      </c>
      <c r="W176" s="3" t="n">
        <f aca="false">SUM(R176:T176)</f>
        <v>0</v>
      </c>
      <c r="X176" s="10" t="n">
        <v>40052</v>
      </c>
      <c r="Y176" s="10" t="n">
        <v>40057</v>
      </c>
    </row>
    <row r="177" customFormat="false" ht="14.25" hidden="false" customHeight="false" outlineLevel="0" collapsed="false">
      <c r="A177" s="1" t="n">
        <v>2009</v>
      </c>
      <c r="B177" s="1" t="n">
        <v>2</v>
      </c>
      <c r="C177" s="2" t="s">
        <v>25</v>
      </c>
      <c r="D177" s="7" t="s">
        <v>101</v>
      </c>
      <c r="E177" s="1" t="n">
        <v>1</v>
      </c>
      <c r="F177" s="1" t="n">
        <f aca="false">Y177-X177</f>
        <v>5</v>
      </c>
      <c r="G177" s="1" t="n">
        <v>5</v>
      </c>
      <c r="H177" s="3" t="s">
        <v>48</v>
      </c>
      <c r="I177" s="3" t="s">
        <v>61</v>
      </c>
      <c r="J177" s="8" t="s">
        <v>38</v>
      </c>
      <c r="K177" s="2" t="str">
        <f aca="false">CONCATENATE(I177," ",J177)</f>
        <v>Trochosa sp</v>
      </c>
      <c r="L177" s="3" t="n">
        <f aca="false">SUM(P177:U177)</f>
        <v>1</v>
      </c>
      <c r="M177" s="11" t="n">
        <f aca="false">(L177/(F177*G177)*25)*4</f>
        <v>4</v>
      </c>
      <c r="N177" s="1" t="s">
        <v>19</v>
      </c>
      <c r="O177" s="1" t="s">
        <v>54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1</v>
      </c>
      <c r="U177" s="1" t="n">
        <v>0</v>
      </c>
      <c r="V177" s="3" t="n">
        <f aca="false">SUM(P177:Q177)</f>
        <v>0</v>
      </c>
      <c r="W177" s="3" t="n">
        <f aca="false">SUM(R177:T177)</f>
        <v>1</v>
      </c>
      <c r="X177" s="10" t="n">
        <v>40052</v>
      </c>
      <c r="Y177" s="10" t="n">
        <v>40057</v>
      </c>
    </row>
    <row r="178" customFormat="false" ht="14.25" hidden="false" customHeight="false" outlineLevel="0" collapsed="false">
      <c r="A178" s="1" t="n">
        <v>2009</v>
      </c>
      <c r="B178" s="1" t="n">
        <v>2</v>
      </c>
      <c r="C178" s="2" t="s">
        <v>25</v>
      </c>
      <c r="D178" s="7" t="s">
        <v>101</v>
      </c>
      <c r="E178" s="1" t="n">
        <v>1</v>
      </c>
      <c r="F178" s="1" t="n">
        <f aca="false">Y178-X178</f>
        <v>5</v>
      </c>
      <c r="G178" s="1" t="n">
        <v>5</v>
      </c>
      <c r="H178" s="3" t="s">
        <v>32</v>
      </c>
      <c r="I178" s="3" t="s">
        <v>33</v>
      </c>
      <c r="J178" s="8" t="s">
        <v>81</v>
      </c>
      <c r="K178" s="2" t="str">
        <f aca="false">CONCATENATE(I178," ",J178)</f>
        <v>Tenuiphantes mengei</v>
      </c>
      <c r="L178" s="3" t="n">
        <f aca="false">SUM(P178:U178)</f>
        <v>1</v>
      </c>
      <c r="M178" s="11" t="n">
        <f aca="false">(L178/(F178*G178)*25)*4</f>
        <v>4</v>
      </c>
      <c r="N178" s="1" t="s">
        <v>30</v>
      </c>
      <c r="O178" s="1" t="s">
        <v>31</v>
      </c>
      <c r="P178" s="1" t="n">
        <v>1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3" t="n">
        <f aca="false">SUM(P178:Q178)</f>
        <v>1</v>
      </c>
      <c r="W178" s="3" t="n">
        <f aca="false">SUM(R178:T178)</f>
        <v>0</v>
      </c>
      <c r="X178" s="10" t="n">
        <v>40052</v>
      </c>
      <c r="Y178" s="10" t="n">
        <v>40057</v>
      </c>
    </row>
    <row r="179" customFormat="false" ht="14.25" hidden="false" customHeight="false" outlineLevel="0" collapsed="false">
      <c r="A179" s="1" t="n">
        <v>2009</v>
      </c>
      <c r="B179" s="1" t="n">
        <v>2</v>
      </c>
      <c r="C179" s="2" t="s">
        <v>25</v>
      </c>
      <c r="D179" s="7" t="s">
        <v>101</v>
      </c>
      <c r="E179" s="1" t="n">
        <v>1</v>
      </c>
      <c r="F179" s="1" t="n">
        <f aca="false">Y179-X179</f>
        <v>5</v>
      </c>
      <c r="G179" s="1" t="n">
        <v>5</v>
      </c>
      <c r="H179" s="3" t="s">
        <v>32</v>
      </c>
      <c r="I179" s="3" t="s">
        <v>33</v>
      </c>
      <c r="J179" s="8" t="s">
        <v>81</v>
      </c>
      <c r="K179" s="2" t="str">
        <f aca="false">CONCATENATE(I179," ",J179)</f>
        <v>Tenuiphantes mengei</v>
      </c>
      <c r="L179" s="3" t="n">
        <f aca="false">SUM(P179:U179)</f>
        <v>2</v>
      </c>
      <c r="M179" s="11" t="n">
        <f aca="false">(L179/(F179*G179)*25)*4</f>
        <v>8</v>
      </c>
      <c r="N179" s="1" t="s">
        <v>30</v>
      </c>
      <c r="O179" s="1" t="s">
        <v>35</v>
      </c>
      <c r="P179" s="1" t="n">
        <v>0</v>
      </c>
      <c r="Q179" s="1" t="n">
        <v>2</v>
      </c>
      <c r="R179" s="1" t="n">
        <v>0</v>
      </c>
      <c r="S179" s="1" t="n">
        <v>0</v>
      </c>
      <c r="T179" s="1" t="n">
        <v>0</v>
      </c>
      <c r="U179" s="1" t="n">
        <v>0</v>
      </c>
      <c r="V179" s="3" t="n">
        <f aca="false">SUM(P179:Q179)</f>
        <v>2</v>
      </c>
      <c r="W179" s="3" t="n">
        <f aca="false">SUM(R179:T179)</f>
        <v>0</v>
      </c>
      <c r="X179" s="10" t="n">
        <v>40052</v>
      </c>
      <c r="Y179" s="10" t="n">
        <v>40057</v>
      </c>
    </row>
    <row r="180" customFormat="false" ht="14.25" hidden="false" customHeight="false" outlineLevel="0" collapsed="false">
      <c r="A180" s="1" t="n">
        <v>2009</v>
      </c>
      <c r="B180" s="1" t="n">
        <v>2</v>
      </c>
      <c r="C180" s="2" t="s">
        <v>25</v>
      </c>
      <c r="D180" s="7" t="s">
        <v>101</v>
      </c>
      <c r="E180" s="1" t="n">
        <v>1</v>
      </c>
      <c r="F180" s="1" t="n">
        <f aca="false">Y180-X180</f>
        <v>5</v>
      </c>
      <c r="G180" s="1" t="n">
        <v>5</v>
      </c>
      <c r="H180" s="3" t="s">
        <v>41</v>
      </c>
      <c r="I180" s="3" t="s">
        <v>42</v>
      </c>
      <c r="J180" s="12" t="s">
        <v>43</v>
      </c>
      <c r="K180" s="2" t="str">
        <f aca="false">CONCATENATE(I180," ",J180)</f>
        <v>Agroeca proxima</v>
      </c>
      <c r="L180" s="3" t="n">
        <f aca="false">SUM(P180:U180)</f>
        <v>2</v>
      </c>
      <c r="M180" s="11" t="n">
        <f aca="false">(L180/(F180*G180)*25)*4</f>
        <v>8</v>
      </c>
      <c r="N180" s="1" t="s">
        <v>30</v>
      </c>
      <c r="O180" s="1" t="s">
        <v>31</v>
      </c>
      <c r="P180" s="1" t="n">
        <v>2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3" t="n">
        <f aca="false">SUM(P180:Q180)</f>
        <v>2</v>
      </c>
      <c r="W180" s="3" t="n">
        <f aca="false">SUM(R180:T180)</f>
        <v>0</v>
      </c>
      <c r="X180" s="10" t="n">
        <v>40052</v>
      </c>
      <c r="Y180" s="10" t="n">
        <v>40057</v>
      </c>
    </row>
    <row r="181" customFormat="false" ht="14.25" hidden="false" customHeight="false" outlineLevel="0" collapsed="false">
      <c r="A181" s="1" t="n">
        <v>2009</v>
      </c>
      <c r="B181" s="1" t="n">
        <v>2</v>
      </c>
      <c r="C181" s="2" t="s">
        <v>25</v>
      </c>
      <c r="D181" s="7" t="s">
        <v>101</v>
      </c>
      <c r="E181" s="1" t="n">
        <v>1</v>
      </c>
      <c r="F181" s="1" t="n">
        <f aca="false">Y181-X181</f>
        <v>5</v>
      </c>
      <c r="G181" s="1" t="n">
        <v>5</v>
      </c>
      <c r="H181" s="3" t="s">
        <v>64</v>
      </c>
      <c r="I181" s="3" t="s">
        <v>65</v>
      </c>
      <c r="J181" s="8" t="s">
        <v>38</v>
      </c>
      <c r="K181" s="2" t="str">
        <f aca="false">CONCATENATE(I181," ",J181)</f>
        <v>Zora sp</v>
      </c>
      <c r="L181" s="3" t="n">
        <f aca="false">SUM(P181:U181)</f>
        <v>1</v>
      </c>
      <c r="M181" s="11" t="n">
        <f aca="false">(L181/(F181*G181)*25)*4</f>
        <v>4</v>
      </c>
      <c r="N181" s="1" t="s">
        <v>19</v>
      </c>
      <c r="O181" s="1" t="s">
        <v>54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1</v>
      </c>
      <c r="U181" s="1" t="n">
        <v>0</v>
      </c>
      <c r="V181" s="3" t="n">
        <f aca="false">SUM(P181:Q181)</f>
        <v>0</v>
      </c>
      <c r="W181" s="3" t="n">
        <f aca="false">SUM(R181:T181)</f>
        <v>1</v>
      </c>
      <c r="X181" s="10" t="n">
        <v>40052</v>
      </c>
      <c r="Y181" s="10" t="n">
        <v>40057</v>
      </c>
    </row>
    <row r="182" customFormat="false" ht="14.25" hidden="false" customHeight="false" outlineLevel="0" collapsed="false">
      <c r="A182" s="1" t="n">
        <v>2009</v>
      </c>
      <c r="B182" s="1" t="n">
        <v>2</v>
      </c>
      <c r="C182" s="2" t="s">
        <v>25</v>
      </c>
      <c r="D182" s="7" t="s">
        <v>101</v>
      </c>
      <c r="E182" s="1" t="n">
        <v>1</v>
      </c>
      <c r="F182" s="1" t="n">
        <f aca="false">Y182-X182</f>
        <v>5</v>
      </c>
      <c r="G182" s="1" t="n">
        <v>5</v>
      </c>
      <c r="H182" s="3" t="s">
        <v>32</v>
      </c>
      <c r="I182" s="3" t="s">
        <v>57</v>
      </c>
      <c r="J182" s="8" t="s">
        <v>38</v>
      </c>
      <c r="K182" s="2" t="str">
        <f aca="false">CONCATENATE(I182," ",J182)</f>
        <v>Gen sp</v>
      </c>
      <c r="L182" s="3" t="n">
        <f aca="false">SUM(P182:U182)</f>
        <v>1</v>
      </c>
      <c r="M182" s="11" t="n">
        <f aca="false">(L182/(F182*G182)*25)*4</f>
        <v>4</v>
      </c>
      <c r="N182" s="1" t="s">
        <v>19</v>
      </c>
      <c r="O182" s="1" t="s">
        <v>54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1</v>
      </c>
      <c r="U182" s="1" t="n">
        <v>0</v>
      </c>
      <c r="V182" s="3" t="n">
        <f aca="false">SUM(P182:Q182)</f>
        <v>0</v>
      </c>
      <c r="W182" s="3" t="n">
        <f aca="false">SUM(R182:T182)</f>
        <v>1</v>
      </c>
      <c r="X182" s="10" t="n">
        <v>40052</v>
      </c>
      <c r="Y182" s="10" t="n">
        <v>40057</v>
      </c>
    </row>
    <row r="183" customFormat="false" ht="14.25" hidden="false" customHeight="false" outlineLevel="0" collapsed="false">
      <c r="A183" s="1" t="n">
        <v>2009</v>
      </c>
      <c r="B183" s="1" t="n">
        <v>2</v>
      </c>
      <c r="C183" s="2" t="s">
        <v>25</v>
      </c>
      <c r="D183" s="7" t="s">
        <v>101</v>
      </c>
      <c r="E183" s="1" t="n">
        <v>1</v>
      </c>
      <c r="F183" s="1" t="n">
        <f aca="false">Y183-X183</f>
        <v>5</v>
      </c>
      <c r="G183" s="1" t="n">
        <v>5</v>
      </c>
      <c r="H183" s="13" t="s">
        <v>36</v>
      </c>
      <c r="I183" s="13" t="s">
        <v>37</v>
      </c>
      <c r="J183" s="14" t="s">
        <v>109</v>
      </c>
      <c r="K183" s="2" t="str">
        <f aca="false">CONCATENATE(I183," ",J183)</f>
        <v>Ozyptila trux</v>
      </c>
      <c r="L183" s="3" t="n">
        <f aca="false">SUM(P183:U183)</f>
        <v>1</v>
      </c>
      <c r="M183" s="11" t="n">
        <f aca="false">(L183/(F183*G183)*25)*4</f>
        <v>4</v>
      </c>
      <c r="N183" s="1" t="s">
        <v>30</v>
      </c>
      <c r="O183" s="1" t="s">
        <v>35</v>
      </c>
      <c r="P183" s="1" t="n">
        <v>0</v>
      </c>
      <c r="Q183" s="1" t="n">
        <v>1</v>
      </c>
      <c r="R183" s="1" t="n">
        <v>0</v>
      </c>
      <c r="S183" s="1" t="n">
        <v>0</v>
      </c>
      <c r="T183" s="1" t="n">
        <v>0</v>
      </c>
      <c r="U183" s="1" t="n">
        <v>0</v>
      </c>
      <c r="V183" s="3" t="n">
        <f aca="false">SUM(P183:Q183)</f>
        <v>1</v>
      </c>
      <c r="W183" s="3" t="n">
        <f aca="false">SUM(R183:T183)</f>
        <v>0</v>
      </c>
      <c r="X183" s="10" t="n">
        <v>40052</v>
      </c>
      <c r="Y183" s="10" t="n">
        <v>40057</v>
      </c>
    </row>
    <row r="184" customFormat="false" ht="14.25" hidden="false" customHeight="false" outlineLevel="0" collapsed="false">
      <c r="A184" s="1" t="n">
        <v>2009</v>
      </c>
      <c r="B184" s="1" t="n">
        <v>2</v>
      </c>
      <c r="C184" s="2" t="s">
        <v>25</v>
      </c>
      <c r="D184" s="7" t="s">
        <v>110</v>
      </c>
      <c r="E184" s="1" t="n">
        <v>3</v>
      </c>
      <c r="F184" s="1" t="n">
        <f aca="false">Y184-X184</f>
        <v>5</v>
      </c>
      <c r="G184" s="1" t="n">
        <v>5</v>
      </c>
      <c r="H184" s="3" t="s">
        <v>48</v>
      </c>
      <c r="I184" s="3" t="s">
        <v>61</v>
      </c>
      <c r="J184" s="8" t="s">
        <v>82</v>
      </c>
      <c r="K184" s="2" t="str">
        <f aca="false">CONCATENATE(I184," ",J184)</f>
        <v>Trochosa terricola</v>
      </c>
      <c r="L184" s="3" t="n">
        <f aca="false">SUM(P184:U184)</f>
        <v>1</v>
      </c>
      <c r="M184" s="11" t="n">
        <f aca="false">(L184/(F184*G184)*25)*4</f>
        <v>4</v>
      </c>
      <c r="N184" s="1" t="s">
        <v>30</v>
      </c>
      <c r="O184" s="1" t="s">
        <v>35</v>
      </c>
      <c r="P184" s="1" t="n">
        <v>0</v>
      </c>
      <c r="Q184" s="1" t="n">
        <v>1</v>
      </c>
      <c r="R184" s="1" t="n">
        <v>0</v>
      </c>
      <c r="S184" s="1" t="n">
        <v>0</v>
      </c>
      <c r="T184" s="1" t="n">
        <v>0</v>
      </c>
      <c r="U184" s="1" t="n">
        <v>0</v>
      </c>
      <c r="V184" s="3" t="n">
        <f aca="false">SUM(P184:Q184)</f>
        <v>1</v>
      </c>
      <c r="W184" s="3" t="n">
        <f aca="false">SUM(R184:T184)</f>
        <v>0</v>
      </c>
      <c r="X184" s="10" t="n">
        <v>40051</v>
      </c>
      <c r="Y184" s="10" t="n">
        <v>40056</v>
      </c>
    </row>
    <row r="185" customFormat="false" ht="14.25" hidden="false" customHeight="false" outlineLevel="0" collapsed="false">
      <c r="A185" s="1" t="n">
        <v>2009</v>
      </c>
      <c r="B185" s="1" t="n">
        <v>2</v>
      </c>
      <c r="C185" s="2" t="s">
        <v>25</v>
      </c>
      <c r="D185" s="7" t="s">
        <v>110</v>
      </c>
      <c r="E185" s="1" t="n">
        <v>3</v>
      </c>
      <c r="F185" s="1" t="n">
        <f aca="false">Y185-X185</f>
        <v>5</v>
      </c>
      <c r="G185" s="1" t="n">
        <v>5</v>
      </c>
      <c r="H185" s="3" t="s">
        <v>72</v>
      </c>
      <c r="I185" s="3" t="s">
        <v>73</v>
      </c>
      <c r="J185" s="8" t="s">
        <v>74</v>
      </c>
      <c r="K185" s="2" t="str">
        <f aca="false">CONCATENATE(I185," ",J185)</f>
        <v>Zelotes subterraneus</v>
      </c>
      <c r="L185" s="3" t="n">
        <f aca="false">SUM(P185:U185)</f>
        <v>1</v>
      </c>
      <c r="M185" s="11" t="n">
        <f aca="false">(L185/(F185*G185)*25)*4</f>
        <v>4</v>
      </c>
      <c r="N185" s="1" t="s">
        <v>30</v>
      </c>
      <c r="O185" s="1" t="s">
        <v>31</v>
      </c>
      <c r="P185" s="1" t="n">
        <v>1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3" t="n">
        <f aca="false">SUM(P185:Q185)</f>
        <v>1</v>
      </c>
      <c r="W185" s="3" t="n">
        <f aca="false">SUM(R185:T185)</f>
        <v>0</v>
      </c>
      <c r="X185" s="10" t="n">
        <v>40051</v>
      </c>
      <c r="Y185" s="10" t="n">
        <v>40056</v>
      </c>
    </row>
    <row r="186" customFormat="false" ht="14.25" hidden="false" customHeight="false" outlineLevel="0" collapsed="false">
      <c r="A186" s="1" t="n">
        <v>2009</v>
      </c>
      <c r="B186" s="1" t="n">
        <v>2</v>
      </c>
      <c r="C186" s="2" t="s">
        <v>25</v>
      </c>
      <c r="D186" s="7" t="s">
        <v>110</v>
      </c>
      <c r="E186" s="1" t="n">
        <v>3</v>
      </c>
      <c r="F186" s="1" t="n">
        <f aca="false">Y186-X186</f>
        <v>5</v>
      </c>
      <c r="G186" s="1" t="n">
        <v>5</v>
      </c>
      <c r="H186" s="3" t="s">
        <v>72</v>
      </c>
      <c r="I186" s="3" t="s">
        <v>73</v>
      </c>
      <c r="J186" s="8" t="s">
        <v>74</v>
      </c>
      <c r="K186" s="2" t="str">
        <f aca="false">CONCATENATE(I186," ",J186)</f>
        <v>Zelotes subterraneus</v>
      </c>
      <c r="L186" s="3" t="n">
        <f aca="false">SUM(P186:U186)</f>
        <v>1</v>
      </c>
      <c r="M186" s="11" t="n">
        <f aca="false">(L186/(F186*G186)*25)*4</f>
        <v>4</v>
      </c>
      <c r="N186" s="1" t="s">
        <v>30</v>
      </c>
      <c r="O186" s="1" t="s">
        <v>35</v>
      </c>
      <c r="P186" s="1" t="n">
        <v>0</v>
      </c>
      <c r="Q186" s="1" t="n">
        <v>1</v>
      </c>
      <c r="R186" s="1" t="n">
        <v>0</v>
      </c>
      <c r="S186" s="1" t="n">
        <v>0</v>
      </c>
      <c r="T186" s="1" t="n">
        <v>0</v>
      </c>
      <c r="U186" s="1" t="n">
        <v>0</v>
      </c>
      <c r="V186" s="3" t="n">
        <f aca="false">SUM(P186:Q186)</f>
        <v>1</v>
      </c>
      <c r="W186" s="3" t="n">
        <f aca="false">SUM(R186:T186)</f>
        <v>0</v>
      </c>
      <c r="X186" s="10" t="n">
        <v>40051</v>
      </c>
      <c r="Y186" s="10" t="n">
        <v>40056</v>
      </c>
    </row>
    <row r="187" customFormat="false" ht="14.25" hidden="false" customHeight="false" outlineLevel="0" collapsed="false">
      <c r="A187" s="1" t="n">
        <v>2009</v>
      </c>
      <c r="B187" s="1" t="n">
        <v>2</v>
      </c>
      <c r="C187" s="2" t="s">
        <v>25</v>
      </c>
      <c r="D187" s="7" t="s">
        <v>110</v>
      </c>
      <c r="E187" s="1" t="n">
        <v>3</v>
      </c>
      <c r="F187" s="1" t="n">
        <f aca="false">Y187-X187</f>
        <v>5</v>
      </c>
      <c r="G187" s="1" t="n">
        <v>5</v>
      </c>
      <c r="H187" s="3" t="s">
        <v>64</v>
      </c>
      <c r="I187" s="3" t="s">
        <v>65</v>
      </c>
      <c r="J187" s="8" t="s">
        <v>66</v>
      </c>
      <c r="K187" s="2" t="str">
        <f aca="false">CONCATENATE(I187," ",J187)</f>
        <v>Zora Spinimana</v>
      </c>
      <c r="L187" s="3" t="n">
        <f aca="false">SUM(P187:U187)</f>
        <v>1</v>
      </c>
      <c r="M187" s="11" t="n">
        <f aca="false">(L187/(F187*G187)*25)*4</f>
        <v>4</v>
      </c>
      <c r="N187" s="1" t="s">
        <v>19</v>
      </c>
      <c r="O187" s="1" t="s">
        <v>31</v>
      </c>
      <c r="P187" s="1" t="n">
        <v>0</v>
      </c>
      <c r="Q187" s="1" t="n">
        <v>0</v>
      </c>
      <c r="R187" s="1" t="n">
        <v>1</v>
      </c>
      <c r="S187" s="1" t="n">
        <v>0</v>
      </c>
      <c r="T187" s="1" t="n">
        <v>0</v>
      </c>
      <c r="U187" s="1" t="n">
        <v>0</v>
      </c>
      <c r="V187" s="3" t="n">
        <f aca="false">SUM(P187:Q187)</f>
        <v>0</v>
      </c>
      <c r="W187" s="3" t="n">
        <f aca="false">SUM(R187:T187)</f>
        <v>1</v>
      </c>
      <c r="X187" s="10" t="n">
        <v>40051</v>
      </c>
      <c r="Y187" s="10" t="n">
        <v>40056</v>
      </c>
    </row>
    <row r="188" customFormat="false" ht="14.25" hidden="false" customHeight="false" outlineLevel="0" collapsed="false">
      <c r="A188" s="1" t="n">
        <v>2009</v>
      </c>
      <c r="B188" s="1" t="n">
        <v>2</v>
      </c>
      <c r="C188" s="2" t="s">
        <v>25</v>
      </c>
      <c r="D188" s="7" t="s">
        <v>110</v>
      </c>
      <c r="E188" s="1" t="n">
        <v>3</v>
      </c>
      <c r="F188" s="1" t="n">
        <f aca="false">Y188-X188</f>
        <v>5</v>
      </c>
      <c r="G188" s="1" t="n">
        <v>5</v>
      </c>
      <c r="H188" s="3" t="s">
        <v>27</v>
      </c>
      <c r="I188" s="3" t="s">
        <v>28</v>
      </c>
      <c r="J188" s="8" t="s">
        <v>29</v>
      </c>
      <c r="K188" s="2" t="str">
        <f aca="false">CONCATENATE(I188," ",J188)</f>
        <v>Robertus lividus</v>
      </c>
      <c r="L188" s="3" t="n">
        <f aca="false">SUM(P188:U188)</f>
        <v>1</v>
      </c>
      <c r="M188" s="11" t="n">
        <f aca="false">(L188/(F188*G188)*25)*4</f>
        <v>4</v>
      </c>
      <c r="N188" s="1" t="s">
        <v>30</v>
      </c>
      <c r="O188" s="1" t="s">
        <v>31</v>
      </c>
      <c r="P188" s="1" t="n">
        <v>1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3" t="n">
        <f aca="false">SUM(P188:Q188)</f>
        <v>1</v>
      </c>
      <c r="W188" s="3" t="n">
        <f aca="false">SUM(R188:T188)</f>
        <v>0</v>
      </c>
      <c r="X188" s="10" t="n">
        <v>40051</v>
      </c>
      <c r="Y188" s="10" t="n">
        <v>40056</v>
      </c>
    </row>
    <row r="189" customFormat="false" ht="14.25" hidden="false" customHeight="false" outlineLevel="0" collapsed="false">
      <c r="A189" s="1" t="n">
        <v>2009</v>
      </c>
      <c r="B189" s="1" t="n">
        <v>2</v>
      </c>
      <c r="C189" s="2" t="s">
        <v>25</v>
      </c>
      <c r="D189" s="7" t="s">
        <v>110</v>
      </c>
      <c r="E189" s="1" t="n">
        <v>3</v>
      </c>
      <c r="F189" s="1" t="n">
        <f aca="false">Y189-X189</f>
        <v>5</v>
      </c>
      <c r="G189" s="1" t="n">
        <v>5</v>
      </c>
      <c r="H189" s="3" t="s">
        <v>41</v>
      </c>
      <c r="I189" s="3" t="s">
        <v>42</v>
      </c>
      <c r="J189" s="12" t="s">
        <v>43</v>
      </c>
      <c r="K189" s="2" t="str">
        <f aca="false">CONCATENATE(I189," ",J189)</f>
        <v>Agroeca proxima</v>
      </c>
      <c r="L189" s="3" t="n">
        <f aca="false">SUM(P189:U189)</f>
        <v>1</v>
      </c>
      <c r="M189" s="11" t="n">
        <f aca="false">(L189/(F189*G189)*25)*4</f>
        <v>4</v>
      </c>
      <c r="N189" s="1" t="s">
        <v>30</v>
      </c>
      <c r="O189" s="1" t="s">
        <v>31</v>
      </c>
      <c r="P189" s="1" t="n">
        <v>1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3" t="n">
        <f aca="false">SUM(P189:Q189)</f>
        <v>1</v>
      </c>
      <c r="W189" s="3" t="n">
        <f aca="false">SUM(R189:T189)</f>
        <v>0</v>
      </c>
      <c r="X189" s="10" t="n">
        <v>40051</v>
      </c>
      <c r="Y189" s="10" t="n">
        <v>40056</v>
      </c>
    </row>
    <row r="190" customFormat="false" ht="14.25" hidden="false" customHeight="false" outlineLevel="0" collapsed="false">
      <c r="A190" s="1" t="n">
        <v>2009</v>
      </c>
      <c r="B190" s="1" t="n">
        <v>2</v>
      </c>
      <c r="C190" s="2" t="s">
        <v>25</v>
      </c>
      <c r="D190" s="7" t="s">
        <v>110</v>
      </c>
      <c r="E190" s="1" t="n">
        <v>3</v>
      </c>
      <c r="F190" s="1" t="n">
        <f aca="false">Y190-X190</f>
        <v>5</v>
      </c>
      <c r="G190" s="1" t="n">
        <v>5</v>
      </c>
      <c r="H190" s="3" t="s">
        <v>36</v>
      </c>
      <c r="I190" s="3" t="s">
        <v>37</v>
      </c>
      <c r="J190" s="8" t="s">
        <v>75</v>
      </c>
      <c r="K190" s="2" t="str">
        <f aca="false">CONCATENATE(I190," ",J190)</f>
        <v>Ozyptila praticola</v>
      </c>
      <c r="L190" s="3" t="n">
        <f aca="false">SUM(P190:U190)</f>
        <v>1</v>
      </c>
      <c r="M190" s="11" t="n">
        <f aca="false">(L190/(F190*G190)*25)*4</f>
        <v>4</v>
      </c>
      <c r="N190" s="1" t="s">
        <v>30</v>
      </c>
      <c r="O190" s="1" t="s">
        <v>31</v>
      </c>
      <c r="P190" s="1" t="n">
        <v>1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3" t="n">
        <f aca="false">SUM(P190:Q190)</f>
        <v>1</v>
      </c>
      <c r="W190" s="3" t="n">
        <f aca="false">SUM(R190:T190)</f>
        <v>0</v>
      </c>
      <c r="X190" s="10" t="n">
        <v>40051</v>
      </c>
      <c r="Y190" s="10" t="n">
        <v>40056</v>
      </c>
    </row>
    <row r="191" customFormat="false" ht="14.25" hidden="false" customHeight="false" outlineLevel="0" collapsed="false">
      <c r="A191" s="1" t="n">
        <v>2009</v>
      </c>
      <c r="B191" s="1" t="n">
        <v>2</v>
      </c>
      <c r="C191" s="2" t="s">
        <v>25</v>
      </c>
      <c r="D191" s="7" t="s">
        <v>110</v>
      </c>
      <c r="E191" s="1" t="n">
        <v>3</v>
      </c>
      <c r="F191" s="1" t="n">
        <f aca="false">Y191-X191</f>
        <v>5</v>
      </c>
      <c r="G191" s="1" t="n">
        <v>5</v>
      </c>
      <c r="H191" s="3" t="s">
        <v>48</v>
      </c>
      <c r="I191" s="3" t="s">
        <v>61</v>
      </c>
      <c r="J191" s="8" t="s">
        <v>38</v>
      </c>
      <c r="K191" s="2" t="str">
        <f aca="false">CONCATENATE(I191," ",J191)</f>
        <v>Trochosa sp</v>
      </c>
      <c r="L191" s="3" t="n">
        <f aca="false">SUM(P191:U191)</f>
        <v>1</v>
      </c>
      <c r="M191" s="11" t="n">
        <f aca="false">(L191/(F191*G191)*25)*4</f>
        <v>4</v>
      </c>
      <c r="N191" s="1" t="s">
        <v>19</v>
      </c>
      <c r="O191" s="1" t="s">
        <v>54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1</v>
      </c>
      <c r="U191" s="1" t="n">
        <v>0</v>
      </c>
      <c r="V191" s="3" t="n">
        <f aca="false">SUM(P191:Q191)</f>
        <v>0</v>
      </c>
      <c r="W191" s="3" t="n">
        <f aca="false">SUM(R191:T191)</f>
        <v>1</v>
      </c>
      <c r="X191" s="10" t="n">
        <v>40051</v>
      </c>
      <c r="Y191" s="10" t="n">
        <v>40056</v>
      </c>
    </row>
    <row r="192" customFormat="false" ht="14.25" hidden="false" customHeight="false" outlineLevel="0" collapsed="false">
      <c r="A192" s="1" t="n">
        <v>2009</v>
      </c>
      <c r="B192" s="1" t="n">
        <v>2</v>
      </c>
      <c r="C192" s="2" t="s">
        <v>25</v>
      </c>
      <c r="D192" s="7" t="s">
        <v>110</v>
      </c>
      <c r="E192" s="1" t="n">
        <v>3</v>
      </c>
      <c r="F192" s="1" t="n">
        <f aca="false">Y192-X192</f>
        <v>5</v>
      </c>
      <c r="G192" s="1" t="n">
        <v>5</v>
      </c>
      <c r="H192" s="3" t="s">
        <v>48</v>
      </c>
      <c r="I192" s="3" t="s">
        <v>49</v>
      </c>
      <c r="J192" s="8" t="s">
        <v>38</v>
      </c>
      <c r="K192" s="2" t="str">
        <f aca="false">CONCATENATE(I192," ",J192)</f>
        <v>Alopecosa sp</v>
      </c>
      <c r="L192" s="3" t="n">
        <f aca="false">SUM(P192:U192)</f>
        <v>1</v>
      </c>
      <c r="M192" s="11" t="n">
        <f aca="false">(L192/(F192*G192)*25)*4</f>
        <v>4</v>
      </c>
      <c r="N192" s="1" t="s">
        <v>19</v>
      </c>
      <c r="O192" s="1" t="s">
        <v>31</v>
      </c>
      <c r="P192" s="1" t="n">
        <v>0</v>
      </c>
      <c r="Q192" s="1" t="n">
        <v>0</v>
      </c>
      <c r="R192" s="1" t="n">
        <v>1</v>
      </c>
      <c r="S192" s="1" t="n">
        <v>0</v>
      </c>
      <c r="T192" s="1" t="n">
        <v>0</v>
      </c>
      <c r="U192" s="1" t="n">
        <v>0</v>
      </c>
      <c r="V192" s="3" t="n">
        <f aca="false">SUM(P192:Q192)</f>
        <v>0</v>
      </c>
      <c r="W192" s="3" t="n">
        <f aca="false">SUM(R192:T192)</f>
        <v>1</v>
      </c>
      <c r="X192" s="10" t="n">
        <v>40051</v>
      </c>
      <c r="Y192" s="10" t="n">
        <v>40056</v>
      </c>
    </row>
    <row r="193" customFormat="false" ht="14.25" hidden="false" customHeight="false" outlineLevel="0" collapsed="false">
      <c r="A193" s="1" t="n">
        <v>2009</v>
      </c>
      <c r="B193" s="1" t="n">
        <v>2</v>
      </c>
      <c r="C193" s="2" t="s">
        <v>25</v>
      </c>
      <c r="D193" s="7" t="s">
        <v>110</v>
      </c>
      <c r="E193" s="1" t="n">
        <v>3</v>
      </c>
      <c r="F193" s="1" t="n">
        <f aca="false">Y193-X193</f>
        <v>5</v>
      </c>
      <c r="G193" s="1" t="n">
        <v>5</v>
      </c>
      <c r="H193" s="3" t="s">
        <v>48</v>
      </c>
      <c r="I193" s="3" t="s">
        <v>49</v>
      </c>
      <c r="J193" s="8" t="s">
        <v>38</v>
      </c>
      <c r="K193" s="2" t="str">
        <f aca="false">CONCATENATE(I193," ",J193)</f>
        <v>Alopecosa sp</v>
      </c>
      <c r="L193" s="3" t="n">
        <f aca="false">SUM(P193:U193)</f>
        <v>1</v>
      </c>
      <c r="M193" s="11" t="n">
        <f aca="false">(L193/(F193*G193)*25)*4</f>
        <v>4</v>
      </c>
      <c r="N193" s="15" t="s">
        <v>19</v>
      </c>
      <c r="O193" s="15" t="s">
        <v>35</v>
      </c>
      <c r="P193" s="1" t="n">
        <v>0</v>
      </c>
      <c r="Q193" s="1" t="n">
        <v>0</v>
      </c>
      <c r="R193" s="1" t="n">
        <v>0</v>
      </c>
      <c r="S193" s="1" t="n">
        <v>1</v>
      </c>
      <c r="T193" s="1" t="n">
        <v>0</v>
      </c>
      <c r="U193" s="1" t="n">
        <v>0</v>
      </c>
      <c r="V193" s="3" t="n">
        <f aca="false">SUM(P193:Q193)</f>
        <v>0</v>
      </c>
      <c r="W193" s="3" t="n">
        <f aca="false">SUM(R193:T193)</f>
        <v>1</v>
      </c>
      <c r="X193" s="10" t="n">
        <v>40051</v>
      </c>
      <c r="Y193" s="10" t="n">
        <v>40056</v>
      </c>
    </row>
    <row r="194" customFormat="false" ht="14.25" hidden="false" customHeight="false" outlineLevel="0" collapsed="false">
      <c r="A194" s="1" t="n">
        <v>2009</v>
      </c>
      <c r="B194" s="1" t="n">
        <v>2</v>
      </c>
      <c r="C194" s="2" t="s">
        <v>25</v>
      </c>
      <c r="D194" s="7" t="s">
        <v>110</v>
      </c>
      <c r="E194" s="1" t="n">
        <v>3</v>
      </c>
      <c r="F194" s="1" t="n">
        <f aca="false">Y194-X194</f>
        <v>5</v>
      </c>
      <c r="G194" s="1" t="n">
        <v>5</v>
      </c>
      <c r="H194" s="3" t="s">
        <v>32</v>
      </c>
      <c r="I194" s="3" t="s">
        <v>90</v>
      </c>
      <c r="J194" s="8" t="s">
        <v>91</v>
      </c>
      <c r="K194" s="2" t="str">
        <f aca="false">CONCATENATE(I194," ",J194)</f>
        <v>Tapinocyba insecta</v>
      </c>
      <c r="L194" s="3" t="n">
        <f aca="false">SUM(P194:U194)</f>
        <v>1</v>
      </c>
      <c r="M194" s="11" t="n">
        <f aca="false">(L194/(F194*G194)*25)*4</f>
        <v>4</v>
      </c>
      <c r="N194" s="1" t="s">
        <v>30</v>
      </c>
      <c r="O194" s="1" t="s">
        <v>35</v>
      </c>
      <c r="P194" s="1" t="n">
        <v>0</v>
      </c>
      <c r="Q194" s="1" t="n">
        <v>1</v>
      </c>
      <c r="R194" s="1" t="n">
        <v>0</v>
      </c>
      <c r="S194" s="1" t="n">
        <v>0</v>
      </c>
      <c r="T194" s="1" t="n">
        <v>0</v>
      </c>
      <c r="U194" s="1" t="n">
        <v>0</v>
      </c>
      <c r="V194" s="3" t="n">
        <f aca="false">SUM(P194:Q194)</f>
        <v>1</v>
      </c>
      <c r="W194" s="3" t="n">
        <f aca="false">SUM(R194:T194)</f>
        <v>0</v>
      </c>
      <c r="X194" s="10" t="n">
        <v>40051</v>
      </c>
      <c r="Y194" s="10" t="n">
        <v>40056</v>
      </c>
    </row>
    <row r="195" customFormat="false" ht="14.25" hidden="false" customHeight="false" outlineLevel="0" collapsed="false">
      <c r="A195" s="1" t="n">
        <v>2009</v>
      </c>
      <c r="B195" s="1" t="n">
        <v>2</v>
      </c>
      <c r="C195" s="2" t="s">
        <v>25</v>
      </c>
      <c r="D195" s="7" t="s">
        <v>110</v>
      </c>
      <c r="E195" s="1" t="n">
        <v>2</v>
      </c>
      <c r="F195" s="1" t="n">
        <f aca="false">Y195-X195</f>
        <v>5</v>
      </c>
      <c r="G195" s="1" t="n">
        <v>5</v>
      </c>
      <c r="H195" s="3" t="s">
        <v>36</v>
      </c>
      <c r="I195" s="3" t="s">
        <v>37</v>
      </c>
      <c r="J195" s="8" t="s">
        <v>75</v>
      </c>
      <c r="K195" s="2" t="str">
        <f aca="false">CONCATENATE(I195," ",J195)</f>
        <v>Ozyptila praticola</v>
      </c>
      <c r="L195" s="3" t="n">
        <f aca="false">SUM(P195:U195)</f>
        <v>1</v>
      </c>
      <c r="M195" s="11" t="n">
        <f aca="false">(L195/(F195*G195)*25)*4</f>
        <v>4</v>
      </c>
      <c r="N195" s="1" t="s">
        <v>30</v>
      </c>
      <c r="O195" s="1" t="s">
        <v>31</v>
      </c>
      <c r="P195" s="1" t="n">
        <v>1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3" t="n">
        <f aca="false">SUM(P195:Q195)</f>
        <v>1</v>
      </c>
      <c r="W195" s="3" t="n">
        <f aca="false">SUM(R195:T195)</f>
        <v>0</v>
      </c>
      <c r="X195" s="10" t="n">
        <v>40051</v>
      </c>
      <c r="Y195" s="10" t="n">
        <v>40056</v>
      </c>
    </row>
    <row r="196" customFormat="false" ht="14.25" hidden="false" customHeight="false" outlineLevel="0" collapsed="false">
      <c r="A196" s="1" t="n">
        <v>2009</v>
      </c>
      <c r="B196" s="1" t="n">
        <v>2</v>
      </c>
      <c r="C196" s="2" t="s">
        <v>25</v>
      </c>
      <c r="D196" s="7" t="s">
        <v>110</v>
      </c>
      <c r="E196" s="1" t="n">
        <v>2</v>
      </c>
      <c r="F196" s="1" t="n">
        <f aca="false">Y196-X196</f>
        <v>5</v>
      </c>
      <c r="G196" s="1" t="n">
        <v>5</v>
      </c>
      <c r="H196" s="13" t="s">
        <v>92</v>
      </c>
      <c r="I196" s="13" t="s">
        <v>111</v>
      </c>
      <c r="J196" s="14" t="s">
        <v>112</v>
      </c>
      <c r="K196" s="2" t="str">
        <f aca="false">CONCATENATE(I196," ",J196)</f>
        <v>Evarcha falcata</v>
      </c>
      <c r="L196" s="3" t="n">
        <f aca="false">SUM(P196:U196)</f>
        <v>1</v>
      </c>
      <c r="M196" s="11" t="n">
        <f aca="false">(L196/(F196*G196)*25)*4</f>
        <v>4</v>
      </c>
      <c r="N196" s="1" t="s">
        <v>30</v>
      </c>
      <c r="O196" s="1" t="s">
        <v>35</v>
      </c>
      <c r="P196" s="1" t="n">
        <v>0</v>
      </c>
      <c r="Q196" s="1" t="n">
        <v>1</v>
      </c>
      <c r="R196" s="1" t="n">
        <v>0</v>
      </c>
      <c r="S196" s="1" t="n">
        <v>0</v>
      </c>
      <c r="T196" s="1" t="n">
        <v>0</v>
      </c>
      <c r="U196" s="1" t="n">
        <v>0</v>
      </c>
      <c r="V196" s="3" t="n">
        <f aca="false">SUM(P196:Q196)</f>
        <v>1</v>
      </c>
      <c r="W196" s="3" t="n">
        <f aca="false">SUM(R196:T196)</f>
        <v>0</v>
      </c>
      <c r="X196" s="10" t="n">
        <v>40051</v>
      </c>
      <c r="Y196" s="10" t="n">
        <v>40056</v>
      </c>
    </row>
    <row r="197" customFormat="false" ht="14.25" hidden="false" customHeight="false" outlineLevel="0" collapsed="false">
      <c r="A197" s="1" t="n">
        <v>2009</v>
      </c>
      <c r="B197" s="1" t="n">
        <v>2</v>
      </c>
      <c r="C197" s="2" t="s">
        <v>25</v>
      </c>
      <c r="D197" s="7" t="s">
        <v>110</v>
      </c>
      <c r="E197" s="1" t="n">
        <v>2</v>
      </c>
      <c r="F197" s="1" t="n">
        <f aca="false">Y197-X197</f>
        <v>5</v>
      </c>
      <c r="G197" s="1" t="n">
        <v>5</v>
      </c>
      <c r="H197" s="3" t="s">
        <v>41</v>
      </c>
      <c r="I197" s="3" t="s">
        <v>42</v>
      </c>
      <c r="J197" s="12" t="s">
        <v>43</v>
      </c>
      <c r="K197" s="2" t="str">
        <f aca="false">CONCATENATE(I197," ",J197)</f>
        <v>Agroeca proxima</v>
      </c>
      <c r="L197" s="3" t="n">
        <f aca="false">SUM(P197:U197)</f>
        <v>1</v>
      </c>
      <c r="M197" s="11" t="n">
        <f aca="false">(L197/(F197*G197)*25)*4</f>
        <v>4</v>
      </c>
      <c r="N197" s="1" t="s">
        <v>30</v>
      </c>
      <c r="O197" s="1" t="s">
        <v>31</v>
      </c>
      <c r="P197" s="1" t="n">
        <v>1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3" t="n">
        <f aca="false">SUM(P197:Q197)</f>
        <v>1</v>
      </c>
      <c r="W197" s="3" t="n">
        <f aca="false">SUM(R197:T197)</f>
        <v>0</v>
      </c>
      <c r="X197" s="10" t="n">
        <v>40051</v>
      </c>
      <c r="Y197" s="10" t="n">
        <v>40056</v>
      </c>
    </row>
    <row r="198" customFormat="false" ht="14.25" hidden="false" customHeight="false" outlineLevel="0" collapsed="false">
      <c r="A198" s="1" t="n">
        <v>2009</v>
      </c>
      <c r="B198" s="1" t="n">
        <v>2</v>
      </c>
      <c r="C198" s="2" t="s">
        <v>25</v>
      </c>
      <c r="D198" s="7" t="s">
        <v>110</v>
      </c>
      <c r="E198" s="1" t="n">
        <v>3</v>
      </c>
      <c r="F198" s="1" t="n">
        <f aca="false">Y198-X198</f>
        <v>5</v>
      </c>
      <c r="G198" s="1" t="n">
        <v>5</v>
      </c>
      <c r="H198" s="3" t="s">
        <v>41</v>
      </c>
      <c r="I198" s="3" t="s">
        <v>42</v>
      </c>
      <c r="J198" s="12" t="s">
        <v>43</v>
      </c>
      <c r="K198" s="2" t="str">
        <f aca="false">CONCATENATE(I198," ",J198)</f>
        <v>Agroeca proxima</v>
      </c>
      <c r="L198" s="3" t="n">
        <f aca="false">SUM(P198:U198)</f>
        <v>1</v>
      </c>
      <c r="M198" s="11" t="n">
        <f aca="false">(L198/(F198*G198)*25)*4</f>
        <v>4</v>
      </c>
      <c r="N198" s="1" t="s">
        <v>30</v>
      </c>
      <c r="O198" s="1" t="s">
        <v>35</v>
      </c>
      <c r="P198" s="1" t="n">
        <v>0</v>
      </c>
      <c r="Q198" s="1" t="n">
        <v>1</v>
      </c>
      <c r="R198" s="1" t="n">
        <v>0</v>
      </c>
      <c r="S198" s="1" t="n">
        <v>0</v>
      </c>
      <c r="T198" s="1" t="n">
        <v>0</v>
      </c>
      <c r="U198" s="1" t="n">
        <v>0</v>
      </c>
      <c r="V198" s="3" t="n">
        <f aca="false">SUM(P198:Q198)</f>
        <v>1</v>
      </c>
      <c r="W198" s="3" t="n">
        <f aca="false">SUM(R198:T198)</f>
        <v>0</v>
      </c>
      <c r="X198" s="10" t="n">
        <v>40051</v>
      </c>
      <c r="Y198" s="10" t="n">
        <v>40056</v>
      </c>
    </row>
    <row r="199" customFormat="false" ht="14.25" hidden="false" customHeight="false" outlineLevel="0" collapsed="false">
      <c r="A199" s="1" t="n">
        <v>2009</v>
      </c>
      <c r="B199" s="1" t="n">
        <v>2</v>
      </c>
      <c r="C199" s="2" t="s">
        <v>25</v>
      </c>
      <c r="D199" s="7" t="s">
        <v>110</v>
      </c>
      <c r="E199" s="1" t="n">
        <v>3</v>
      </c>
      <c r="F199" s="1" t="n">
        <f aca="false">Y199-X199</f>
        <v>5</v>
      </c>
      <c r="G199" s="1" t="n">
        <v>5</v>
      </c>
      <c r="H199" s="3" t="s">
        <v>48</v>
      </c>
      <c r="I199" s="3" t="s">
        <v>61</v>
      </c>
      <c r="J199" s="8" t="s">
        <v>38</v>
      </c>
      <c r="K199" s="2" t="str">
        <f aca="false">CONCATENATE(I199," ",J199)</f>
        <v>Trochosa sp</v>
      </c>
      <c r="L199" s="3" t="n">
        <f aca="false">SUM(P199:U199)</f>
        <v>1</v>
      </c>
      <c r="M199" s="11" t="n">
        <f aca="false">(L199/(F199*G199)*25)*4</f>
        <v>4</v>
      </c>
      <c r="N199" s="1" t="s">
        <v>19</v>
      </c>
      <c r="O199" s="1" t="s">
        <v>54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1</v>
      </c>
      <c r="U199" s="1" t="n">
        <v>0</v>
      </c>
      <c r="V199" s="3" t="n">
        <f aca="false">SUM(P199:Q199)</f>
        <v>0</v>
      </c>
      <c r="W199" s="3" t="n">
        <f aca="false">SUM(R199:T199)</f>
        <v>1</v>
      </c>
      <c r="X199" s="10" t="n">
        <v>40051</v>
      </c>
      <c r="Y199" s="10" t="n">
        <v>40056</v>
      </c>
    </row>
    <row r="200" customFormat="false" ht="14.25" hidden="false" customHeight="false" outlineLevel="0" collapsed="false">
      <c r="A200" s="1" t="n">
        <v>2009</v>
      </c>
      <c r="B200" s="1" t="n">
        <v>2</v>
      </c>
      <c r="C200" s="2" t="s">
        <v>25</v>
      </c>
      <c r="D200" s="7" t="s">
        <v>110</v>
      </c>
      <c r="E200" s="1" t="n">
        <v>3</v>
      </c>
      <c r="F200" s="1" t="n">
        <f aca="false">Y200-X200</f>
        <v>5</v>
      </c>
      <c r="G200" s="1" t="n">
        <v>5</v>
      </c>
      <c r="H200" s="3" t="s">
        <v>48</v>
      </c>
      <c r="I200" s="3" t="s">
        <v>61</v>
      </c>
      <c r="J200" s="8" t="s">
        <v>38</v>
      </c>
      <c r="K200" s="2" t="str">
        <f aca="false">CONCATENATE(I200," ",J200)</f>
        <v>Trochosa sp</v>
      </c>
      <c r="L200" s="3" t="n">
        <f aca="false">SUM(P200:U200)</f>
        <v>1</v>
      </c>
      <c r="M200" s="11" t="n">
        <f aca="false">(L200/(F200*G200)*25)*4</f>
        <v>4</v>
      </c>
      <c r="N200" s="1" t="s">
        <v>19</v>
      </c>
      <c r="O200" s="1" t="s">
        <v>54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1</v>
      </c>
      <c r="U200" s="1" t="n">
        <v>0</v>
      </c>
      <c r="V200" s="3" t="n">
        <f aca="false">SUM(P200:Q200)</f>
        <v>0</v>
      </c>
      <c r="W200" s="3" t="n">
        <f aca="false">SUM(R200:T200)</f>
        <v>1</v>
      </c>
      <c r="X200" s="10" t="n">
        <v>40051</v>
      </c>
      <c r="Y200" s="10" t="n">
        <v>40056</v>
      </c>
    </row>
    <row r="201" customFormat="false" ht="14.25" hidden="false" customHeight="false" outlineLevel="0" collapsed="false">
      <c r="A201" s="1" t="n">
        <v>2009</v>
      </c>
      <c r="B201" s="1" t="n">
        <v>2</v>
      </c>
      <c r="C201" s="2" t="s">
        <v>25</v>
      </c>
      <c r="D201" s="7" t="s">
        <v>110</v>
      </c>
      <c r="E201" s="1" t="n">
        <v>3</v>
      </c>
      <c r="F201" s="1" t="n">
        <f aca="false">Y201-X201</f>
        <v>5</v>
      </c>
      <c r="G201" s="1" t="n">
        <v>5</v>
      </c>
      <c r="H201" s="3" t="s">
        <v>36</v>
      </c>
      <c r="I201" s="3" t="s">
        <v>37</v>
      </c>
      <c r="J201" s="8" t="s">
        <v>75</v>
      </c>
      <c r="K201" s="2" t="str">
        <f aca="false">CONCATENATE(I201," ",J201)</f>
        <v>Ozyptila praticola</v>
      </c>
      <c r="L201" s="3" t="n">
        <f aca="false">SUM(P201:U201)</f>
        <v>1</v>
      </c>
      <c r="M201" s="11" t="n">
        <f aca="false">(L201/(F201*G201)*25)*4</f>
        <v>4</v>
      </c>
      <c r="N201" s="1" t="s">
        <v>30</v>
      </c>
      <c r="O201" s="1" t="s">
        <v>31</v>
      </c>
      <c r="P201" s="1" t="n">
        <v>1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3" t="n">
        <f aca="false">SUM(P201:Q201)</f>
        <v>1</v>
      </c>
      <c r="W201" s="3" t="n">
        <f aca="false">SUM(R201:T201)</f>
        <v>0</v>
      </c>
      <c r="X201" s="10" t="n">
        <v>40051</v>
      </c>
      <c r="Y201" s="10" t="n">
        <v>40056</v>
      </c>
    </row>
    <row r="202" customFormat="false" ht="14.25" hidden="false" customHeight="false" outlineLevel="0" collapsed="false">
      <c r="A202" s="1" t="n">
        <v>2009</v>
      </c>
      <c r="B202" s="1" t="n">
        <v>2</v>
      </c>
      <c r="C202" s="2" t="s">
        <v>25</v>
      </c>
      <c r="D202" s="7" t="s">
        <v>110</v>
      </c>
      <c r="E202" s="1" t="n">
        <v>3</v>
      </c>
      <c r="F202" s="1" t="n">
        <f aca="false">Y202-X202</f>
        <v>5</v>
      </c>
      <c r="G202" s="1" t="n">
        <v>5</v>
      </c>
      <c r="H202" s="3" t="s">
        <v>32</v>
      </c>
      <c r="I202" s="3" t="s">
        <v>57</v>
      </c>
      <c r="J202" s="8" t="s">
        <v>38</v>
      </c>
      <c r="K202" s="2" t="str">
        <f aca="false">CONCATENATE(I202," ",J202)</f>
        <v>Gen sp</v>
      </c>
      <c r="L202" s="3" t="n">
        <f aca="false">SUM(P202:U202)</f>
        <v>1</v>
      </c>
      <c r="M202" s="11" t="n">
        <f aca="false">(L202/(F202*G202)*25)*4</f>
        <v>4</v>
      </c>
      <c r="N202" s="1" t="s">
        <v>19</v>
      </c>
      <c r="O202" s="1" t="s">
        <v>54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1</v>
      </c>
      <c r="U202" s="1" t="n">
        <v>0</v>
      </c>
      <c r="V202" s="3" t="n">
        <f aca="false">SUM(P202:Q202)</f>
        <v>0</v>
      </c>
      <c r="W202" s="3" t="n">
        <f aca="false">SUM(R202:T202)</f>
        <v>1</v>
      </c>
      <c r="X202" s="10" t="n">
        <v>40051</v>
      </c>
      <c r="Y202" s="10" t="n">
        <v>40056</v>
      </c>
    </row>
    <row r="203" customFormat="false" ht="14.25" hidden="false" customHeight="false" outlineLevel="0" collapsed="false">
      <c r="A203" s="1" t="n">
        <v>2009</v>
      </c>
      <c r="B203" s="1" t="n">
        <v>2</v>
      </c>
      <c r="C203" s="2" t="s">
        <v>25</v>
      </c>
      <c r="D203" s="7" t="s">
        <v>110</v>
      </c>
      <c r="E203" s="1" t="n">
        <v>2</v>
      </c>
      <c r="F203" s="1" t="n">
        <f aca="false">Y203-X203</f>
        <v>5</v>
      </c>
      <c r="G203" s="1" t="n">
        <v>5</v>
      </c>
      <c r="H203" s="3" t="s">
        <v>36</v>
      </c>
      <c r="I203" s="3" t="s">
        <v>37</v>
      </c>
      <c r="J203" s="8" t="s">
        <v>75</v>
      </c>
      <c r="K203" s="2" t="str">
        <f aca="false">CONCATENATE(I203," ",J203)</f>
        <v>Ozyptila praticola</v>
      </c>
      <c r="L203" s="3" t="n">
        <f aca="false">SUM(P203:U203)</f>
        <v>1</v>
      </c>
      <c r="M203" s="11" t="n">
        <f aca="false">(L203/(F203*G203)*25)*4</f>
        <v>4</v>
      </c>
      <c r="N203" s="1" t="s">
        <v>30</v>
      </c>
      <c r="O203" s="1" t="s">
        <v>31</v>
      </c>
      <c r="P203" s="1" t="n">
        <v>1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3" t="n">
        <f aca="false">SUM(P203:Q203)</f>
        <v>1</v>
      </c>
      <c r="W203" s="3" t="n">
        <f aca="false">SUM(R203:T203)</f>
        <v>0</v>
      </c>
      <c r="X203" s="10" t="n">
        <v>40051</v>
      </c>
      <c r="Y203" s="10" t="n">
        <v>40056</v>
      </c>
    </row>
    <row r="204" customFormat="false" ht="14.25" hidden="false" customHeight="false" outlineLevel="0" collapsed="false">
      <c r="A204" s="1" t="n">
        <v>2009</v>
      </c>
      <c r="B204" s="1" t="n">
        <v>2</v>
      </c>
      <c r="C204" s="2" t="s">
        <v>25</v>
      </c>
      <c r="D204" s="7" t="s">
        <v>110</v>
      </c>
      <c r="E204" s="1" t="n">
        <v>2</v>
      </c>
      <c r="F204" s="1" t="n">
        <f aca="false">Y204-X204</f>
        <v>5</v>
      </c>
      <c r="G204" s="1" t="n">
        <v>5</v>
      </c>
      <c r="H204" s="3" t="s">
        <v>36</v>
      </c>
      <c r="I204" s="3" t="s">
        <v>37</v>
      </c>
      <c r="J204" s="8" t="s">
        <v>38</v>
      </c>
      <c r="K204" s="2" t="str">
        <f aca="false">CONCATENATE(I204," ",J204)</f>
        <v>Ozyptila sp</v>
      </c>
      <c r="L204" s="3" t="n">
        <f aca="false">SUM(P204:U204)</f>
        <v>1</v>
      </c>
      <c r="M204" s="11" t="n">
        <f aca="false">(L204/(F204*G204)*25)*4</f>
        <v>4</v>
      </c>
      <c r="N204" s="1" t="s">
        <v>19</v>
      </c>
      <c r="O204" s="1" t="s">
        <v>54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1</v>
      </c>
      <c r="U204" s="1" t="n">
        <v>0</v>
      </c>
      <c r="V204" s="3" t="n">
        <f aca="false">SUM(P204:Q204)</f>
        <v>0</v>
      </c>
      <c r="W204" s="3" t="n">
        <f aca="false">SUM(R204:T204)</f>
        <v>1</v>
      </c>
      <c r="X204" s="10" t="n">
        <v>40051</v>
      </c>
      <c r="Y204" s="10" t="n">
        <v>40056</v>
      </c>
    </row>
    <row r="205" customFormat="false" ht="14.25" hidden="false" customHeight="false" outlineLevel="0" collapsed="false">
      <c r="A205" s="1" t="n">
        <v>2009</v>
      </c>
      <c r="B205" s="1" t="n">
        <v>2</v>
      </c>
      <c r="C205" s="2" t="s">
        <v>25</v>
      </c>
      <c r="D205" s="7" t="s">
        <v>110</v>
      </c>
      <c r="E205" s="1" t="n">
        <v>2</v>
      </c>
      <c r="F205" s="1" t="n">
        <f aca="false">Y205-X205</f>
        <v>5</v>
      </c>
      <c r="G205" s="1" t="n">
        <v>5</v>
      </c>
      <c r="H205" s="3" t="s">
        <v>48</v>
      </c>
      <c r="I205" s="3" t="s">
        <v>61</v>
      </c>
      <c r="J205" s="8" t="s">
        <v>38</v>
      </c>
      <c r="K205" s="2" t="str">
        <f aca="false">CONCATENATE(I205," ",J205)</f>
        <v>Trochosa sp</v>
      </c>
      <c r="L205" s="3" t="n">
        <f aca="false">SUM(P205:U205)</f>
        <v>1</v>
      </c>
      <c r="M205" s="11" t="n">
        <f aca="false">(L205/(F205*G205)*25)*4</f>
        <v>4</v>
      </c>
      <c r="N205" s="15" t="s">
        <v>19</v>
      </c>
      <c r="O205" s="15" t="s">
        <v>35</v>
      </c>
      <c r="P205" s="1" t="n">
        <v>0</v>
      </c>
      <c r="Q205" s="1" t="n">
        <v>0</v>
      </c>
      <c r="R205" s="1" t="n">
        <v>0</v>
      </c>
      <c r="S205" s="1" t="n">
        <v>1</v>
      </c>
      <c r="T205" s="1" t="n">
        <v>0</v>
      </c>
      <c r="U205" s="1" t="n">
        <v>0</v>
      </c>
      <c r="V205" s="3" t="n">
        <f aca="false">SUM(P205:Q205)</f>
        <v>0</v>
      </c>
      <c r="W205" s="3" t="n">
        <f aca="false">SUM(R205:T205)</f>
        <v>1</v>
      </c>
      <c r="X205" s="10" t="n">
        <v>40051</v>
      </c>
      <c r="Y205" s="10" t="n">
        <v>40056</v>
      </c>
    </row>
    <row r="206" customFormat="false" ht="14.25" hidden="false" customHeight="false" outlineLevel="0" collapsed="false">
      <c r="A206" s="1" t="n">
        <v>2009</v>
      </c>
      <c r="B206" s="1" t="n">
        <v>2</v>
      </c>
      <c r="C206" s="2" t="s">
        <v>25</v>
      </c>
      <c r="D206" s="7" t="s">
        <v>110</v>
      </c>
      <c r="E206" s="1" t="n">
        <v>2</v>
      </c>
      <c r="F206" s="1" t="n">
        <f aca="false">Y206-X206</f>
        <v>5</v>
      </c>
      <c r="G206" s="1" t="n">
        <v>5</v>
      </c>
      <c r="H206" s="3" t="s">
        <v>41</v>
      </c>
      <c r="I206" s="3" t="s">
        <v>42</v>
      </c>
      <c r="J206" s="12" t="s">
        <v>43</v>
      </c>
      <c r="K206" s="2" t="str">
        <f aca="false">CONCATENATE(I206," ",J206)</f>
        <v>Agroeca proxima</v>
      </c>
      <c r="L206" s="3" t="n">
        <f aca="false">SUM(P206:U206)</f>
        <v>1</v>
      </c>
      <c r="M206" s="11" t="n">
        <f aca="false">(L206/(F206*G206)*25)*4</f>
        <v>4</v>
      </c>
      <c r="N206" s="1" t="s">
        <v>30</v>
      </c>
      <c r="O206" s="1" t="s">
        <v>31</v>
      </c>
      <c r="P206" s="1" t="n">
        <v>1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3" t="n">
        <f aca="false">SUM(P206:Q206)</f>
        <v>1</v>
      </c>
      <c r="W206" s="3" t="n">
        <f aca="false">SUM(R206:T206)</f>
        <v>0</v>
      </c>
      <c r="X206" s="10" t="n">
        <v>40051</v>
      </c>
      <c r="Y206" s="10" t="n">
        <v>40056</v>
      </c>
    </row>
    <row r="207" customFormat="false" ht="14.25" hidden="false" customHeight="false" outlineLevel="0" collapsed="false">
      <c r="A207" s="1" t="n">
        <v>2009</v>
      </c>
      <c r="B207" s="1" t="n">
        <v>2</v>
      </c>
      <c r="C207" s="2" t="s">
        <v>25</v>
      </c>
      <c r="D207" s="7" t="s">
        <v>110</v>
      </c>
      <c r="E207" s="1" t="n">
        <v>2</v>
      </c>
      <c r="F207" s="1" t="n">
        <f aca="false">Y207-X207</f>
        <v>5</v>
      </c>
      <c r="G207" s="1" t="n">
        <v>5</v>
      </c>
      <c r="H207" s="3" t="s">
        <v>36</v>
      </c>
      <c r="I207" s="3" t="s">
        <v>37</v>
      </c>
      <c r="J207" s="8" t="s">
        <v>38</v>
      </c>
      <c r="K207" s="2" t="str">
        <f aca="false">CONCATENATE(I207," ",J207)</f>
        <v>Ozyptila sp</v>
      </c>
      <c r="L207" s="3" t="n">
        <f aca="false">SUM(P207:U207)</f>
        <v>1</v>
      </c>
      <c r="M207" s="11" t="n">
        <f aca="false">(L207/(F207*G207)*25)*4</f>
        <v>4</v>
      </c>
      <c r="N207" s="15" t="s">
        <v>19</v>
      </c>
      <c r="O207" s="15" t="s">
        <v>35</v>
      </c>
      <c r="P207" s="1" t="n">
        <v>0</v>
      </c>
      <c r="Q207" s="1" t="n">
        <v>0</v>
      </c>
      <c r="R207" s="1" t="n">
        <v>0</v>
      </c>
      <c r="S207" s="1" t="n">
        <v>1</v>
      </c>
      <c r="T207" s="1" t="n">
        <v>0</v>
      </c>
      <c r="U207" s="1" t="n">
        <v>0</v>
      </c>
      <c r="V207" s="3" t="n">
        <f aca="false">SUM(P207:Q207)</f>
        <v>0</v>
      </c>
      <c r="W207" s="3" t="n">
        <f aca="false">SUM(R207:T207)</f>
        <v>1</v>
      </c>
      <c r="X207" s="10" t="n">
        <v>40051</v>
      </c>
      <c r="Y207" s="10" t="n">
        <v>40056</v>
      </c>
    </row>
    <row r="208" customFormat="false" ht="14.25" hidden="false" customHeight="false" outlineLevel="0" collapsed="false">
      <c r="A208" s="1" t="n">
        <v>2009</v>
      </c>
      <c r="B208" s="1" t="n">
        <v>2</v>
      </c>
      <c r="C208" s="2" t="s">
        <v>25</v>
      </c>
      <c r="D208" s="7" t="s">
        <v>110</v>
      </c>
      <c r="E208" s="1" t="n">
        <v>2</v>
      </c>
      <c r="F208" s="1" t="n">
        <f aca="false">Y208-X208</f>
        <v>5</v>
      </c>
      <c r="G208" s="1" t="n">
        <v>5</v>
      </c>
      <c r="H208" s="3" t="s">
        <v>41</v>
      </c>
      <c r="I208" s="3" t="s">
        <v>42</v>
      </c>
      <c r="J208" s="8" t="s">
        <v>38</v>
      </c>
      <c r="K208" s="2" t="str">
        <f aca="false">CONCATENATE(I208," ",J208)</f>
        <v>Agroeca sp</v>
      </c>
      <c r="L208" s="3" t="n">
        <f aca="false">SUM(P208:U208)</f>
        <v>1</v>
      </c>
      <c r="M208" s="11" t="n">
        <f aca="false">(L208/(F208*G208)*25)*4</f>
        <v>4</v>
      </c>
      <c r="N208" s="1" t="s">
        <v>19</v>
      </c>
      <c r="O208" s="1" t="s">
        <v>54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1</v>
      </c>
      <c r="U208" s="1" t="n">
        <v>0</v>
      </c>
      <c r="V208" s="3" t="n">
        <f aca="false">SUM(P208:Q208)</f>
        <v>0</v>
      </c>
      <c r="W208" s="3" t="n">
        <f aca="false">SUM(R208:T208)</f>
        <v>1</v>
      </c>
      <c r="X208" s="10" t="n">
        <v>40051</v>
      </c>
      <c r="Y208" s="10" t="n">
        <v>40056</v>
      </c>
    </row>
    <row r="209" customFormat="false" ht="14.25" hidden="false" customHeight="false" outlineLevel="0" collapsed="false">
      <c r="A209" s="1" t="n">
        <v>2009</v>
      </c>
      <c r="B209" s="1" t="n">
        <v>2</v>
      </c>
      <c r="C209" s="2" t="s">
        <v>25</v>
      </c>
      <c r="D209" s="7" t="s">
        <v>110</v>
      </c>
      <c r="E209" s="1" t="n">
        <v>2</v>
      </c>
      <c r="F209" s="1" t="n">
        <f aca="false">Y209-X209</f>
        <v>5</v>
      </c>
      <c r="G209" s="1" t="n">
        <v>5</v>
      </c>
      <c r="H209" s="3" t="s">
        <v>32</v>
      </c>
      <c r="I209" s="3" t="s">
        <v>76</v>
      </c>
      <c r="J209" s="8" t="s">
        <v>77</v>
      </c>
      <c r="K209" s="2" t="str">
        <f aca="false">CONCATENATE(I209," ",J209)</f>
        <v>Bolyphantes alticeps</v>
      </c>
      <c r="L209" s="3" t="n">
        <f aca="false">SUM(P209:U209)</f>
        <v>1</v>
      </c>
      <c r="M209" s="11" t="n">
        <f aca="false">(L209/(F209*G209)*25)*4</f>
        <v>4</v>
      </c>
      <c r="N209" s="1" t="s">
        <v>30</v>
      </c>
      <c r="O209" s="1" t="s">
        <v>31</v>
      </c>
      <c r="P209" s="1" t="n">
        <v>1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3" t="n">
        <f aca="false">SUM(P209:Q209)</f>
        <v>1</v>
      </c>
      <c r="W209" s="3" t="n">
        <f aca="false">SUM(R209:T209)</f>
        <v>0</v>
      </c>
      <c r="X209" s="10" t="n">
        <v>40051</v>
      </c>
      <c r="Y209" s="10" t="n">
        <v>40056</v>
      </c>
    </row>
    <row r="210" customFormat="false" ht="14.25" hidden="false" customHeight="false" outlineLevel="0" collapsed="false">
      <c r="A210" s="1" t="n">
        <v>2009</v>
      </c>
      <c r="B210" s="1" t="n">
        <v>2</v>
      </c>
      <c r="C210" s="2" t="s">
        <v>25</v>
      </c>
      <c r="D210" s="7" t="s">
        <v>110</v>
      </c>
      <c r="E210" s="1" t="n">
        <v>2</v>
      </c>
      <c r="F210" s="1" t="n">
        <f aca="false">Y210-X210</f>
        <v>5</v>
      </c>
      <c r="G210" s="1" t="n">
        <v>5</v>
      </c>
      <c r="H210" s="3" t="s">
        <v>32</v>
      </c>
      <c r="I210" s="3" t="s">
        <v>57</v>
      </c>
      <c r="J210" s="8" t="s">
        <v>38</v>
      </c>
      <c r="K210" s="2" t="str">
        <f aca="false">CONCATENATE(I210," ",J210)</f>
        <v>Gen sp</v>
      </c>
      <c r="L210" s="3" t="n">
        <f aca="false">SUM(P210:U210)</f>
        <v>1</v>
      </c>
      <c r="M210" s="11" t="n">
        <f aca="false">(L210/(F210*G210)*25)*4</f>
        <v>4</v>
      </c>
      <c r="N210" s="1" t="s">
        <v>19</v>
      </c>
      <c r="O210" s="1" t="s">
        <v>54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1</v>
      </c>
      <c r="U210" s="1" t="n">
        <v>0</v>
      </c>
      <c r="V210" s="3" t="n">
        <f aca="false">SUM(P210:Q210)</f>
        <v>0</v>
      </c>
      <c r="W210" s="3" t="n">
        <f aca="false">SUM(R210:T210)</f>
        <v>1</v>
      </c>
      <c r="X210" s="10" t="n">
        <v>40051</v>
      </c>
      <c r="Y210" s="10" t="n">
        <v>40056</v>
      </c>
    </row>
    <row r="211" customFormat="false" ht="14.25" hidden="false" customHeight="false" outlineLevel="0" collapsed="false">
      <c r="A211" s="1" t="n">
        <v>2009</v>
      </c>
      <c r="B211" s="1" t="n">
        <v>2</v>
      </c>
      <c r="C211" s="2" t="s">
        <v>25</v>
      </c>
      <c r="D211" s="7" t="s">
        <v>110</v>
      </c>
      <c r="E211" s="1" t="n">
        <v>2</v>
      </c>
      <c r="F211" s="1" t="n">
        <f aca="false">Y211-X211</f>
        <v>5</v>
      </c>
      <c r="G211" s="1" t="n">
        <v>5</v>
      </c>
      <c r="H211" s="3" t="s">
        <v>32</v>
      </c>
      <c r="I211" s="3" t="s">
        <v>113</v>
      </c>
      <c r="J211" s="8" t="s">
        <v>114</v>
      </c>
      <c r="K211" s="2" t="str">
        <f aca="false">CONCATENATE(I211," ",J211)</f>
        <v>Ceratinella brevipes</v>
      </c>
      <c r="L211" s="3" t="n">
        <f aca="false">SUM(P211:U211)</f>
        <v>1</v>
      </c>
      <c r="M211" s="11" t="n">
        <f aca="false">(L211/(F211*G211)*25)*4</f>
        <v>4</v>
      </c>
      <c r="N211" s="1" t="s">
        <v>30</v>
      </c>
      <c r="O211" s="1" t="s">
        <v>35</v>
      </c>
      <c r="P211" s="1" t="n">
        <v>0</v>
      </c>
      <c r="Q211" s="1" t="n">
        <v>1</v>
      </c>
      <c r="R211" s="1" t="n">
        <v>0</v>
      </c>
      <c r="S211" s="1" t="n">
        <v>0</v>
      </c>
      <c r="T211" s="1" t="n">
        <v>0</v>
      </c>
      <c r="U211" s="1" t="n">
        <v>0</v>
      </c>
      <c r="V211" s="3" t="n">
        <f aca="false">SUM(P211:Q211)</f>
        <v>1</v>
      </c>
      <c r="W211" s="3" t="n">
        <f aca="false">SUM(R211:T211)</f>
        <v>0</v>
      </c>
      <c r="X211" s="10" t="n">
        <v>40051</v>
      </c>
      <c r="Y211" s="10" t="n">
        <v>40056</v>
      </c>
    </row>
    <row r="212" customFormat="false" ht="14.25" hidden="false" customHeight="false" outlineLevel="0" collapsed="false">
      <c r="A212" s="1" t="n">
        <v>2009</v>
      </c>
      <c r="B212" s="1" t="n">
        <v>2</v>
      </c>
      <c r="C212" s="2" t="s">
        <v>25</v>
      </c>
      <c r="D212" s="7" t="s">
        <v>110</v>
      </c>
      <c r="E212" s="1" t="n">
        <v>1</v>
      </c>
      <c r="F212" s="1" t="n">
        <f aca="false">Y212-X212</f>
        <v>5</v>
      </c>
      <c r="G212" s="1" t="n">
        <v>5</v>
      </c>
      <c r="H212" s="3" t="s">
        <v>48</v>
      </c>
      <c r="I212" s="3" t="s">
        <v>61</v>
      </c>
      <c r="J212" s="8" t="s">
        <v>38</v>
      </c>
      <c r="K212" s="2" t="str">
        <f aca="false">CONCATENATE(I212," ",J212)</f>
        <v>Trochosa sp</v>
      </c>
      <c r="L212" s="3" t="n">
        <f aca="false">SUM(P212:U212)</f>
        <v>1</v>
      </c>
      <c r="M212" s="11" t="n">
        <f aca="false">(L212/(F212*G212)*25)*4</f>
        <v>4</v>
      </c>
      <c r="N212" s="15" t="s">
        <v>19</v>
      </c>
      <c r="O212" s="15" t="s">
        <v>35</v>
      </c>
      <c r="P212" s="1" t="n">
        <v>0</v>
      </c>
      <c r="Q212" s="1" t="n">
        <v>0</v>
      </c>
      <c r="R212" s="1" t="n">
        <v>0</v>
      </c>
      <c r="S212" s="1" t="n">
        <v>1</v>
      </c>
      <c r="T212" s="1" t="n">
        <v>0</v>
      </c>
      <c r="U212" s="1" t="n">
        <v>0</v>
      </c>
      <c r="V212" s="3" t="n">
        <f aca="false">SUM(P212:Q212)</f>
        <v>0</v>
      </c>
      <c r="W212" s="3" t="n">
        <f aca="false">SUM(R212:T212)</f>
        <v>1</v>
      </c>
      <c r="X212" s="10" t="n">
        <v>40051</v>
      </c>
      <c r="Y212" s="10" t="n">
        <v>40056</v>
      </c>
    </row>
    <row r="213" customFormat="false" ht="14.25" hidden="false" customHeight="false" outlineLevel="0" collapsed="false">
      <c r="A213" s="1" t="n">
        <v>2009</v>
      </c>
      <c r="B213" s="1" t="n">
        <v>2</v>
      </c>
      <c r="C213" s="2" t="s">
        <v>25</v>
      </c>
      <c r="D213" s="7" t="s">
        <v>110</v>
      </c>
      <c r="E213" s="1" t="n">
        <v>1</v>
      </c>
      <c r="F213" s="1" t="n">
        <f aca="false">Y213-X213</f>
        <v>5</v>
      </c>
      <c r="G213" s="1" t="n">
        <v>5</v>
      </c>
      <c r="H213" s="3" t="s">
        <v>41</v>
      </c>
      <c r="I213" s="3" t="s">
        <v>42</v>
      </c>
      <c r="J213" s="12" t="s">
        <v>43</v>
      </c>
      <c r="K213" s="2" t="str">
        <f aca="false">CONCATENATE(I213," ",J213)</f>
        <v>Agroeca proxima</v>
      </c>
      <c r="L213" s="3" t="n">
        <f aca="false">SUM(P213:U213)</f>
        <v>1</v>
      </c>
      <c r="M213" s="11" t="n">
        <f aca="false">(L213/(F213*G213)*25)*4</f>
        <v>4</v>
      </c>
      <c r="N213" s="1" t="s">
        <v>30</v>
      </c>
      <c r="O213" s="1" t="s">
        <v>31</v>
      </c>
      <c r="P213" s="1" t="n">
        <v>1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3" t="n">
        <f aca="false">SUM(P213:Q213)</f>
        <v>1</v>
      </c>
      <c r="W213" s="3" t="n">
        <f aca="false">SUM(R213:T213)</f>
        <v>0</v>
      </c>
      <c r="X213" s="10" t="n">
        <v>40051</v>
      </c>
      <c r="Y213" s="10" t="n">
        <v>40056</v>
      </c>
    </row>
    <row r="214" customFormat="false" ht="14.25" hidden="false" customHeight="false" outlineLevel="0" collapsed="false">
      <c r="A214" s="1" t="n">
        <v>2009</v>
      </c>
      <c r="B214" s="1" t="n">
        <v>2</v>
      </c>
      <c r="C214" s="2" t="s">
        <v>25</v>
      </c>
      <c r="D214" s="7" t="s">
        <v>110</v>
      </c>
      <c r="E214" s="1" t="n">
        <v>1</v>
      </c>
      <c r="F214" s="1" t="n">
        <f aca="false">Y214-X214</f>
        <v>5</v>
      </c>
      <c r="G214" s="1" t="n">
        <v>5</v>
      </c>
      <c r="H214" s="3" t="s">
        <v>72</v>
      </c>
      <c r="I214" s="3" t="s">
        <v>73</v>
      </c>
      <c r="J214" s="8" t="s">
        <v>74</v>
      </c>
      <c r="K214" s="2" t="str">
        <f aca="false">CONCATENATE(I214," ",J214)</f>
        <v>Zelotes subterraneus</v>
      </c>
      <c r="L214" s="3" t="n">
        <f aca="false">SUM(P214:U214)</f>
        <v>1</v>
      </c>
      <c r="M214" s="11" t="n">
        <f aca="false">(L214/(F214*G214)*25)*4</f>
        <v>4</v>
      </c>
      <c r="N214" s="1" t="s">
        <v>30</v>
      </c>
      <c r="O214" s="1" t="s">
        <v>35</v>
      </c>
      <c r="P214" s="1" t="n">
        <v>0</v>
      </c>
      <c r="Q214" s="1" t="n">
        <v>1</v>
      </c>
      <c r="R214" s="1" t="n">
        <v>0</v>
      </c>
      <c r="S214" s="1" t="n">
        <v>0</v>
      </c>
      <c r="T214" s="1" t="n">
        <v>0</v>
      </c>
      <c r="U214" s="1" t="n">
        <v>0</v>
      </c>
      <c r="V214" s="3" t="n">
        <f aca="false">SUM(P214:Q214)</f>
        <v>1</v>
      </c>
      <c r="W214" s="3" t="n">
        <f aca="false">SUM(R214:T214)</f>
        <v>0</v>
      </c>
      <c r="X214" s="10" t="n">
        <v>40051</v>
      </c>
      <c r="Y214" s="10" t="n">
        <v>40056</v>
      </c>
    </row>
    <row r="215" customFormat="false" ht="14.25" hidden="false" customHeight="false" outlineLevel="0" collapsed="false">
      <c r="A215" s="1" t="n">
        <v>2009</v>
      </c>
      <c r="B215" s="1" t="n">
        <v>2</v>
      </c>
      <c r="C215" s="2" t="s">
        <v>25</v>
      </c>
      <c r="D215" s="7" t="s">
        <v>110</v>
      </c>
      <c r="E215" s="1" t="n">
        <v>1</v>
      </c>
      <c r="F215" s="1" t="n">
        <f aca="false">Y215-X215</f>
        <v>5</v>
      </c>
      <c r="G215" s="1" t="n">
        <v>5</v>
      </c>
      <c r="H215" s="3" t="s">
        <v>41</v>
      </c>
      <c r="I215" s="3" t="s">
        <v>42</v>
      </c>
      <c r="J215" s="12" t="s">
        <v>43</v>
      </c>
      <c r="K215" s="2" t="str">
        <f aca="false">CONCATENATE(I215," ",J215)</f>
        <v>Agroeca proxima</v>
      </c>
      <c r="L215" s="3" t="n">
        <f aca="false">SUM(P215:U215)</f>
        <v>1</v>
      </c>
      <c r="M215" s="11" t="n">
        <f aca="false">(L215/(F215*G215)*25)*4</f>
        <v>4</v>
      </c>
      <c r="N215" s="1" t="s">
        <v>30</v>
      </c>
      <c r="O215" s="1" t="s">
        <v>31</v>
      </c>
      <c r="P215" s="1" t="n">
        <v>1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3" t="n">
        <f aca="false">SUM(P215:Q215)</f>
        <v>1</v>
      </c>
      <c r="W215" s="3" t="n">
        <f aca="false">SUM(R215:T215)</f>
        <v>0</v>
      </c>
      <c r="X215" s="10" t="n">
        <v>40051</v>
      </c>
      <c r="Y215" s="10" t="n">
        <v>40056</v>
      </c>
    </row>
    <row r="216" customFormat="false" ht="14.25" hidden="false" customHeight="false" outlineLevel="0" collapsed="false">
      <c r="A216" s="1" t="n">
        <v>2009</v>
      </c>
      <c r="B216" s="1" t="n">
        <v>2</v>
      </c>
      <c r="C216" s="2" t="s">
        <v>25</v>
      </c>
      <c r="D216" s="7" t="s">
        <v>110</v>
      </c>
      <c r="E216" s="1" t="n">
        <v>1</v>
      </c>
      <c r="F216" s="1" t="n">
        <f aca="false">Y216-X216</f>
        <v>5</v>
      </c>
      <c r="G216" s="1" t="n">
        <v>5</v>
      </c>
      <c r="H216" s="3" t="s">
        <v>36</v>
      </c>
      <c r="I216" s="3" t="s">
        <v>37</v>
      </c>
      <c r="J216" s="8" t="s">
        <v>38</v>
      </c>
      <c r="K216" s="2" t="str">
        <f aca="false">CONCATENATE(I216," ",J216)</f>
        <v>Ozyptila sp</v>
      </c>
      <c r="L216" s="3" t="n">
        <f aca="false">SUM(P216:U216)</f>
        <v>1</v>
      </c>
      <c r="M216" s="11" t="n">
        <f aca="false">(L216/(F216*G216)*25)*4</f>
        <v>4</v>
      </c>
      <c r="N216" s="1" t="s">
        <v>19</v>
      </c>
      <c r="O216" s="1" t="s">
        <v>54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1</v>
      </c>
      <c r="U216" s="1" t="n">
        <v>0</v>
      </c>
      <c r="V216" s="3" t="n">
        <f aca="false">SUM(P216:Q216)</f>
        <v>0</v>
      </c>
      <c r="W216" s="3" t="n">
        <f aca="false">SUM(R216:T216)</f>
        <v>1</v>
      </c>
      <c r="X216" s="10" t="n">
        <v>40051</v>
      </c>
      <c r="Y216" s="10" t="n">
        <v>40056</v>
      </c>
    </row>
    <row r="217" customFormat="false" ht="14.25" hidden="false" customHeight="false" outlineLevel="0" collapsed="false">
      <c r="A217" s="1" t="n">
        <v>2009</v>
      </c>
      <c r="B217" s="1" t="n">
        <v>2</v>
      </c>
      <c r="C217" s="2" t="s">
        <v>25</v>
      </c>
      <c r="D217" s="7" t="s">
        <v>110</v>
      </c>
      <c r="E217" s="1" t="n">
        <v>1</v>
      </c>
      <c r="F217" s="1" t="n">
        <f aca="false">Y217-X217</f>
        <v>5</v>
      </c>
      <c r="G217" s="1" t="n">
        <v>5</v>
      </c>
      <c r="H217" s="3" t="s">
        <v>36</v>
      </c>
      <c r="I217" s="3" t="s">
        <v>37</v>
      </c>
      <c r="J217" s="8" t="s">
        <v>75</v>
      </c>
      <c r="K217" s="2" t="str">
        <f aca="false">CONCATENATE(I217," ",J217)</f>
        <v>Ozyptila praticola</v>
      </c>
      <c r="L217" s="3" t="n">
        <f aca="false">SUM(P217:U217)</f>
        <v>1</v>
      </c>
      <c r="M217" s="11" t="n">
        <f aca="false">(L217/(F217*G217)*25)*4</f>
        <v>4</v>
      </c>
      <c r="N217" s="1" t="s">
        <v>30</v>
      </c>
      <c r="O217" s="1" t="s">
        <v>35</v>
      </c>
      <c r="P217" s="1" t="n">
        <v>0</v>
      </c>
      <c r="Q217" s="1" t="n">
        <v>1</v>
      </c>
      <c r="R217" s="1" t="n">
        <v>0</v>
      </c>
      <c r="S217" s="1" t="n">
        <v>0</v>
      </c>
      <c r="T217" s="1" t="n">
        <v>0</v>
      </c>
      <c r="U217" s="1" t="n">
        <v>0</v>
      </c>
      <c r="V217" s="3" t="n">
        <f aca="false">SUM(P217:Q217)</f>
        <v>1</v>
      </c>
      <c r="W217" s="3" t="n">
        <f aca="false">SUM(R217:T217)</f>
        <v>0</v>
      </c>
      <c r="X217" s="10" t="n">
        <v>40051</v>
      </c>
      <c r="Y217" s="10" t="n">
        <v>40056</v>
      </c>
    </row>
    <row r="218" customFormat="false" ht="14.25" hidden="false" customHeight="false" outlineLevel="0" collapsed="false">
      <c r="A218" s="1" t="n">
        <v>2009</v>
      </c>
      <c r="B218" s="1" t="n">
        <v>2</v>
      </c>
      <c r="C218" s="2" t="s">
        <v>25</v>
      </c>
      <c r="D218" s="7" t="s">
        <v>110</v>
      </c>
      <c r="E218" s="1" t="n">
        <v>1</v>
      </c>
      <c r="F218" s="1" t="n">
        <f aca="false">Y218-X218</f>
        <v>5</v>
      </c>
      <c r="G218" s="1" t="n">
        <v>5</v>
      </c>
      <c r="H218" s="3" t="s">
        <v>48</v>
      </c>
      <c r="I218" s="3" t="s">
        <v>61</v>
      </c>
      <c r="J218" s="8" t="s">
        <v>82</v>
      </c>
      <c r="K218" s="2" t="str">
        <f aca="false">CONCATENATE(I218," ",J218)</f>
        <v>Trochosa terricola</v>
      </c>
      <c r="L218" s="3" t="n">
        <f aca="false">SUM(P218:U218)</f>
        <v>1</v>
      </c>
      <c r="M218" s="11" t="n">
        <f aca="false">(L218/(F218*G218)*25)*4</f>
        <v>4</v>
      </c>
      <c r="N218" s="1" t="s">
        <v>30</v>
      </c>
      <c r="O218" s="1" t="s">
        <v>31</v>
      </c>
      <c r="P218" s="1" t="n">
        <v>1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3" t="n">
        <f aca="false">SUM(P218:Q218)</f>
        <v>1</v>
      </c>
      <c r="W218" s="3" t="n">
        <f aca="false">SUM(R218:T218)</f>
        <v>0</v>
      </c>
      <c r="X218" s="10" t="n">
        <v>40051</v>
      </c>
      <c r="Y218" s="10" t="n">
        <v>40056</v>
      </c>
    </row>
    <row r="219" customFormat="false" ht="14.25" hidden="false" customHeight="false" outlineLevel="0" collapsed="false">
      <c r="A219" s="1" t="n">
        <v>2009</v>
      </c>
      <c r="B219" s="1" t="n">
        <v>2</v>
      </c>
      <c r="C219" s="2" t="s">
        <v>25</v>
      </c>
      <c r="D219" s="7" t="s">
        <v>110</v>
      </c>
      <c r="E219" s="1" t="n">
        <v>1</v>
      </c>
      <c r="F219" s="1" t="n">
        <f aca="false">Y219-X219</f>
        <v>5</v>
      </c>
      <c r="G219" s="1" t="n">
        <v>5</v>
      </c>
      <c r="H219" s="3" t="s">
        <v>36</v>
      </c>
      <c r="I219" s="3" t="s">
        <v>37</v>
      </c>
      <c r="J219" s="8" t="s">
        <v>75</v>
      </c>
      <c r="K219" s="2" t="str">
        <f aca="false">CONCATENATE(I219," ",J219)</f>
        <v>Ozyptila praticola</v>
      </c>
      <c r="L219" s="3" t="n">
        <f aca="false">SUM(P219:U219)</f>
        <v>1</v>
      </c>
      <c r="M219" s="11" t="n">
        <f aca="false">(L219/(F219*G219)*25)*4</f>
        <v>4</v>
      </c>
      <c r="N219" s="1" t="s">
        <v>30</v>
      </c>
      <c r="O219" s="1" t="s">
        <v>35</v>
      </c>
      <c r="P219" s="1" t="n">
        <v>0</v>
      </c>
      <c r="Q219" s="1" t="n">
        <v>1</v>
      </c>
      <c r="R219" s="1" t="n">
        <v>0</v>
      </c>
      <c r="S219" s="1" t="n">
        <v>0</v>
      </c>
      <c r="T219" s="1" t="n">
        <v>0</v>
      </c>
      <c r="U219" s="1" t="n">
        <v>0</v>
      </c>
      <c r="V219" s="3" t="n">
        <f aca="false">SUM(P219:Q219)</f>
        <v>1</v>
      </c>
      <c r="W219" s="3" t="n">
        <f aca="false">SUM(R219:T219)</f>
        <v>0</v>
      </c>
      <c r="X219" s="10" t="n">
        <v>40051</v>
      </c>
      <c r="Y219" s="10" t="n">
        <v>40056</v>
      </c>
    </row>
    <row r="220" customFormat="false" ht="14.25" hidden="false" customHeight="false" outlineLevel="0" collapsed="false">
      <c r="A220" s="1" t="n">
        <v>2009</v>
      </c>
      <c r="B220" s="1" t="n">
        <v>2</v>
      </c>
      <c r="C220" s="2" t="s">
        <v>25</v>
      </c>
      <c r="D220" s="7" t="s">
        <v>110</v>
      </c>
      <c r="E220" s="1" t="n">
        <v>1</v>
      </c>
      <c r="F220" s="1" t="n">
        <f aca="false">Y220-X220</f>
        <v>5</v>
      </c>
      <c r="G220" s="1" t="n">
        <v>5</v>
      </c>
      <c r="H220" s="3" t="s">
        <v>72</v>
      </c>
      <c r="I220" s="3" t="s">
        <v>73</v>
      </c>
      <c r="J220" s="8" t="s">
        <v>74</v>
      </c>
      <c r="K220" s="2" t="str">
        <f aca="false">CONCATENATE(I220," ",J220)</f>
        <v>Zelotes subterraneus</v>
      </c>
      <c r="L220" s="3" t="n">
        <f aca="false">SUM(P220:U220)</f>
        <v>1</v>
      </c>
      <c r="M220" s="11" t="n">
        <f aca="false">(L220/(F220*G220)*25)*4</f>
        <v>4</v>
      </c>
      <c r="N220" s="1" t="s">
        <v>30</v>
      </c>
      <c r="O220" s="1" t="s">
        <v>35</v>
      </c>
      <c r="P220" s="1" t="n">
        <v>0</v>
      </c>
      <c r="Q220" s="1" t="n">
        <v>1</v>
      </c>
      <c r="R220" s="1" t="n">
        <v>0</v>
      </c>
      <c r="S220" s="1" t="n">
        <v>0</v>
      </c>
      <c r="T220" s="1" t="n">
        <v>0</v>
      </c>
      <c r="U220" s="1" t="n">
        <v>0</v>
      </c>
      <c r="V220" s="3" t="n">
        <f aca="false">SUM(P220:Q220)</f>
        <v>1</v>
      </c>
      <c r="W220" s="3" t="n">
        <f aca="false">SUM(R220:T220)</f>
        <v>0</v>
      </c>
      <c r="X220" s="10" t="n">
        <v>40051</v>
      </c>
      <c r="Y220" s="10" t="n">
        <v>40056</v>
      </c>
    </row>
    <row r="221" customFormat="false" ht="14.25" hidden="false" customHeight="false" outlineLevel="0" collapsed="false">
      <c r="A221" s="1" t="n">
        <v>2009</v>
      </c>
      <c r="B221" s="1" t="n">
        <v>2</v>
      </c>
      <c r="C221" s="3" t="s">
        <v>115</v>
      </c>
      <c r="D221" s="7" t="s">
        <v>116</v>
      </c>
      <c r="E221" s="1" t="n">
        <v>2</v>
      </c>
      <c r="F221" s="1" t="n">
        <f aca="false">Y221-X221</f>
        <v>5</v>
      </c>
      <c r="G221" s="1" t="n">
        <v>5</v>
      </c>
      <c r="H221" s="3" t="s">
        <v>32</v>
      </c>
      <c r="I221" s="3" t="s">
        <v>102</v>
      </c>
      <c r="J221" s="3" t="s">
        <v>117</v>
      </c>
      <c r="K221" s="2" t="str">
        <f aca="false">CONCATENATE(I221," ",J221)</f>
        <v>Agyneta affinis</v>
      </c>
      <c r="L221" s="3" t="n">
        <f aca="false">SUM(P221:U221)</f>
        <v>1</v>
      </c>
      <c r="M221" s="11" t="n">
        <f aca="false">(L221/(F221*G221)*25)*4</f>
        <v>4</v>
      </c>
      <c r="N221" s="1" t="s">
        <v>30</v>
      </c>
      <c r="O221" s="1" t="s">
        <v>35</v>
      </c>
      <c r="P221" s="1" t="n">
        <v>0</v>
      </c>
      <c r="Q221" s="1" t="n">
        <v>1</v>
      </c>
      <c r="R221" s="1" t="n">
        <v>0</v>
      </c>
      <c r="S221" s="1" t="n">
        <v>0</v>
      </c>
      <c r="T221" s="1" t="n">
        <v>0</v>
      </c>
      <c r="U221" s="1" t="n">
        <v>0</v>
      </c>
      <c r="V221" s="3" t="n">
        <f aca="false">SUM(P221:Q221)</f>
        <v>1</v>
      </c>
      <c r="W221" s="3" t="n">
        <f aca="false">SUM(R221:T221)</f>
        <v>0</v>
      </c>
      <c r="X221" s="10" t="n">
        <v>40051</v>
      </c>
      <c r="Y221" s="10" t="n">
        <v>40056</v>
      </c>
    </row>
    <row r="222" customFormat="false" ht="14.25" hidden="false" customHeight="false" outlineLevel="0" collapsed="false">
      <c r="A222" s="1" t="n">
        <v>2009</v>
      </c>
      <c r="B222" s="1" t="n">
        <v>2</v>
      </c>
      <c r="C222" s="2" t="s">
        <v>44</v>
      </c>
      <c r="D222" s="7" t="s">
        <v>118</v>
      </c>
      <c r="E222" s="1" t="n">
        <v>1</v>
      </c>
      <c r="F222" s="1" t="n">
        <f aca="false">Y222-X222</f>
        <v>5</v>
      </c>
      <c r="G222" s="1" t="n">
        <v>5</v>
      </c>
      <c r="H222" s="3" t="s">
        <v>48</v>
      </c>
      <c r="I222" s="3" t="s">
        <v>49</v>
      </c>
      <c r="J222" s="12" t="s">
        <v>119</v>
      </c>
      <c r="K222" s="2" t="str">
        <f aca="false">CONCATENATE(I222," ",J222)</f>
        <v>Alopecosa sulzeri</v>
      </c>
      <c r="L222" s="3" t="n">
        <f aca="false">SUM(P222:U222)</f>
        <v>1</v>
      </c>
      <c r="M222" s="11" t="n">
        <f aca="false">(L222/(F222*G222)*25)*4</f>
        <v>4</v>
      </c>
      <c r="N222" s="1" t="s">
        <v>30</v>
      </c>
      <c r="O222" s="1" t="s">
        <v>35</v>
      </c>
      <c r="P222" s="1" t="n">
        <v>0</v>
      </c>
      <c r="Q222" s="1" t="n">
        <v>1</v>
      </c>
      <c r="R222" s="1" t="n">
        <v>0</v>
      </c>
      <c r="S222" s="1" t="n">
        <v>0</v>
      </c>
      <c r="T222" s="1" t="n">
        <v>0</v>
      </c>
      <c r="U222" s="1" t="n">
        <v>0</v>
      </c>
      <c r="V222" s="3" t="n">
        <f aca="false">SUM(P222:Q222)</f>
        <v>1</v>
      </c>
      <c r="W222" s="3" t="n">
        <f aca="false">SUM(R222:T222)</f>
        <v>0</v>
      </c>
      <c r="X222" s="10" t="n">
        <v>40052</v>
      </c>
      <c r="Y222" s="10" t="n">
        <v>40057</v>
      </c>
    </row>
    <row r="223" customFormat="false" ht="14.25" hidden="false" customHeight="false" outlineLevel="0" collapsed="false">
      <c r="A223" s="1" t="n">
        <v>2009</v>
      </c>
      <c r="B223" s="1" t="n">
        <v>2</v>
      </c>
      <c r="C223" s="2" t="s">
        <v>44</v>
      </c>
      <c r="D223" s="7" t="s">
        <v>118</v>
      </c>
      <c r="E223" s="1" t="n">
        <v>2</v>
      </c>
      <c r="F223" s="1" t="n">
        <f aca="false">Y223-X223</f>
        <v>5</v>
      </c>
      <c r="G223" s="1" t="n">
        <v>5</v>
      </c>
      <c r="H223" s="3" t="s">
        <v>48</v>
      </c>
      <c r="I223" s="3" t="s">
        <v>49</v>
      </c>
      <c r="J223" s="8" t="s">
        <v>38</v>
      </c>
      <c r="K223" s="2" t="str">
        <f aca="false">CONCATENATE(I223," ",J223)</f>
        <v>Alopecosa sp</v>
      </c>
      <c r="L223" s="3" t="n">
        <f aca="false">SUM(P223:U223)</f>
        <v>1</v>
      </c>
      <c r="M223" s="11" t="n">
        <f aca="false">(L223/(F223*G223)*25)*4</f>
        <v>4</v>
      </c>
      <c r="N223" s="1" t="s">
        <v>19</v>
      </c>
      <c r="O223" s="1" t="s">
        <v>54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1</v>
      </c>
      <c r="U223" s="1" t="n">
        <v>0</v>
      </c>
      <c r="V223" s="3" t="n">
        <f aca="false">SUM(P223:Q223)</f>
        <v>0</v>
      </c>
      <c r="W223" s="3" t="n">
        <f aca="false">SUM(R223:T223)</f>
        <v>1</v>
      </c>
      <c r="X223" s="10" t="n">
        <v>40052</v>
      </c>
      <c r="Y223" s="10" t="n">
        <v>40057</v>
      </c>
    </row>
    <row r="224" customFormat="false" ht="14.25" hidden="false" customHeight="false" outlineLevel="0" collapsed="false">
      <c r="A224" s="1" t="n">
        <v>2009</v>
      </c>
      <c r="B224" s="1" t="n">
        <v>2</v>
      </c>
      <c r="C224" s="2" t="s">
        <v>44</v>
      </c>
      <c r="D224" s="7" t="s">
        <v>118</v>
      </c>
      <c r="E224" s="1" t="n">
        <v>2</v>
      </c>
      <c r="F224" s="1" t="n">
        <f aca="false">Y224-X224</f>
        <v>5</v>
      </c>
      <c r="G224" s="1" t="n">
        <v>5</v>
      </c>
      <c r="H224" s="3" t="s">
        <v>32</v>
      </c>
      <c r="I224" s="3" t="s">
        <v>68</v>
      </c>
      <c r="J224" s="8" t="s">
        <v>69</v>
      </c>
      <c r="K224" s="2" t="str">
        <f aca="false">CONCATENATE(I224," ",J224)</f>
        <v>Centromerus sylvaticus</v>
      </c>
      <c r="L224" s="3" t="n">
        <f aca="false">SUM(P224:U224)</f>
        <v>1</v>
      </c>
      <c r="M224" s="11" t="n">
        <f aca="false">(L224/(F224*G224)*25)*4</f>
        <v>4</v>
      </c>
      <c r="N224" s="1" t="s">
        <v>30</v>
      </c>
      <c r="O224" s="1" t="s">
        <v>35</v>
      </c>
      <c r="P224" s="1" t="n">
        <v>0</v>
      </c>
      <c r="Q224" s="1" t="n">
        <v>1</v>
      </c>
      <c r="R224" s="1" t="n">
        <v>0</v>
      </c>
      <c r="S224" s="1" t="n">
        <v>0</v>
      </c>
      <c r="T224" s="1" t="n">
        <v>0</v>
      </c>
      <c r="U224" s="1" t="n">
        <v>0</v>
      </c>
      <c r="V224" s="3" t="n">
        <f aca="false">SUM(P224:Q224)</f>
        <v>1</v>
      </c>
      <c r="W224" s="3" t="n">
        <f aca="false">SUM(R224:T224)</f>
        <v>0</v>
      </c>
      <c r="X224" s="10" t="n">
        <v>40052</v>
      </c>
      <c r="Y224" s="10" t="n">
        <v>40057</v>
      </c>
    </row>
    <row r="225" customFormat="false" ht="14.25" hidden="false" customHeight="false" outlineLevel="0" collapsed="false">
      <c r="A225" s="1" t="n">
        <v>2009</v>
      </c>
      <c r="B225" s="1" t="n">
        <v>2</v>
      </c>
      <c r="C225" s="2" t="s">
        <v>44</v>
      </c>
      <c r="D225" s="7" t="s">
        <v>118</v>
      </c>
      <c r="E225" s="1" t="n">
        <v>2</v>
      </c>
      <c r="F225" s="1" t="n">
        <f aca="false">Y225-X225</f>
        <v>5</v>
      </c>
      <c r="G225" s="1" t="n">
        <v>5</v>
      </c>
      <c r="H225" s="3" t="s">
        <v>48</v>
      </c>
      <c r="I225" s="3" t="s">
        <v>61</v>
      </c>
      <c r="J225" s="8" t="s">
        <v>82</v>
      </c>
      <c r="K225" s="2" t="str">
        <f aca="false">CONCATENATE(I225," ",J225)</f>
        <v>Trochosa terricola</v>
      </c>
      <c r="L225" s="3" t="n">
        <f aca="false">SUM(P225:U225)</f>
        <v>1</v>
      </c>
      <c r="M225" s="11" t="n">
        <f aca="false">(L225/(F225*G225)*25)*4</f>
        <v>4</v>
      </c>
      <c r="N225" s="1" t="s">
        <v>30</v>
      </c>
      <c r="O225" s="1" t="s">
        <v>35</v>
      </c>
      <c r="P225" s="1" t="n">
        <v>0</v>
      </c>
      <c r="Q225" s="1" t="n">
        <v>1</v>
      </c>
      <c r="R225" s="1" t="n">
        <v>0</v>
      </c>
      <c r="S225" s="1" t="n">
        <v>0</v>
      </c>
      <c r="T225" s="1" t="n">
        <v>0</v>
      </c>
      <c r="U225" s="1" t="n">
        <v>0</v>
      </c>
      <c r="V225" s="3" t="n">
        <f aca="false">SUM(P225:Q225)</f>
        <v>1</v>
      </c>
      <c r="W225" s="3" t="n">
        <f aca="false">SUM(R225:T225)</f>
        <v>0</v>
      </c>
      <c r="X225" s="10" t="n">
        <v>40052</v>
      </c>
      <c r="Y225" s="10" t="n">
        <v>40057</v>
      </c>
    </row>
    <row r="226" customFormat="false" ht="14.25" hidden="false" customHeight="false" outlineLevel="0" collapsed="false">
      <c r="A226" s="1" t="n">
        <v>2009</v>
      </c>
      <c r="B226" s="1" t="n">
        <v>2</v>
      </c>
      <c r="C226" s="2" t="s">
        <v>44</v>
      </c>
      <c r="D226" s="7" t="s">
        <v>118</v>
      </c>
      <c r="E226" s="1" t="n">
        <v>3</v>
      </c>
      <c r="F226" s="1" t="n">
        <f aca="false">Y226-X226</f>
        <v>5</v>
      </c>
      <c r="G226" s="1" t="n">
        <v>4</v>
      </c>
      <c r="H226" s="13" t="s">
        <v>32</v>
      </c>
      <c r="I226" s="13" t="s">
        <v>120</v>
      </c>
      <c r="J226" s="14" t="s">
        <v>121</v>
      </c>
      <c r="K226" s="2" t="str">
        <f aca="false">CONCATENATE(I226," ",J226)</f>
        <v>Drapetisca socialis</v>
      </c>
      <c r="L226" s="3" t="n">
        <f aca="false">SUM(P226:U226)</f>
        <v>1</v>
      </c>
      <c r="M226" s="11" t="n">
        <f aca="false">(L226/(F226*G226)*25)*4</f>
        <v>5</v>
      </c>
      <c r="N226" s="1" t="s">
        <v>30</v>
      </c>
      <c r="O226" s="1" t="s">
        <v>35</v>
      </c>
      <c r="P226" s="1" t="n">
        <v>0</v>
      </c>
      <c r="Q226" s="1" t="n">
        <v>1</v>
      </c>
      <c r="R226" s="1" t="n">
        <v>0</v>
      </c>
      <c r="S226" s="1" t="n">
        <v>0</v>
      </c>
      <c r="T226" s="1" t="n">
        <v>0</v>
      </c>
      <c r="U226" s="1" t="n">
        <v>0</v>
      </c>
      <c r="V226" s="3" t="n">
        <f aca="false">SUM(P226:Q226)</f>
        <v>1</v>
      </c>
      <c r="W226" s="3" t="n">
        <f aca="false">SUM(R226:T226)</f>
        <v>0</v>
      </c>
      <c r="X226" s="10" t="n">
        <v>40052</v>
      </c>
      <c r="Y226" s="10" t="n">
        <v>40057</v>
      </c>
    </row>
    <row r="227" customFormat="false" ht="14.25" hidden="false" customHeight="false" outlineLevel="0" collapsed="false">
      <c r="A227" s="1" t="n">
        <v>2009</v>
      </c>
      <c r="B227" s="1" t="n">
        <v>2</v>
      </c>
      <c r="C227" s="2" t="s">
        <v>44</v>
      </c>
      <c r="D227" s="7" t="s">
        <v>118</v>
      </c>
      <c r="E227" s="1" t="n">
        <v>1</v>
      </c>
      <c r="F227" s="1" t="n">
        <f aca="false">Y227-X227</f>
        <v>5</v>
      </c>
      <c r="G227" s="1" t="n">
        <v>5</v>
      </c>
      <c r="H227" s="3" t="s">
        <v>48</v>
      </c>
      <c r="I227" s="3" t="s">
        <v>122</v>
      </c>
      <c r="J227" s="12" t="s">
        <v>123</v>
      </c>
      <c r="K227" s="2" t="str">
        <f aca="false">CONCATENATE(I227," ",J227)</f>
        <v>Xerolycosa nemoralis</v>
      </c>
      <c r="L227" s="3" t="n">
        <f aca="false">SUM(P227:U227)</f>
        <v>1</v>
      </c>
      <c r="M227" s="11" t="n">
        <f aca="false">(L227/(F227*G227)*25)*4</f>
        <v>4</v>
      </c>
      <c r="N227" s="1" t="s">
        <v>19</v>
      </c>
      <c r="O227" s="1" t="s">
        <v>54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1</v>
      </c>
      <c r="U227" s="1" t="n">
        <v>0</v>
      </c>
      <c r="V227" s="3" t="n">
        <f aca="false">SUM(P227:Q227)</f>
        <v>0</v>
      </c>
      <c r="W227" s="3" t="n">
        <f aca="false">SUM(R227:T227)</f>
        <v>1</v>
      </c>
      <c r="X227" s="10" t="n">
        <v>40052</v>
      </c>
      <c r="Y227" s="10" t="n">
        <v>40057</v>
      </c>
    </row>
    <row r="228" customFormat="false" ht="14.25" hidden="false" customHeight="false" outlineLevel="0" collapsed="false">
      <c r="A228" s="1" t="n">
        <v>2009</v>
      </c>
      <c r="B228" s="1" t="n">
        <v>2</v>
      </c>
      <c r="C228" s="2" t="s">
        <v>44</v>
      </c>
      <c r="D228" s="7" t="s">
        <v>118</v>
      </c>
      <c r="E228" s="1" t="n">
        <v>3</v>
      </c>
      <c r="F228" s="1" t="n">
        <f aca="false">Y228-X228</f>
        <v>5</v>
      </c>
      <c r="G228" s="1" t="n">
        <v>4</v>
      </c>
      <c r="H228" s="3" t="s">
        <v>32</v>
      </c>
      <c r="I228" s="3" t="s">
        <v>33</v>
      </c>
      <c r="J228" s="8" t="s">
        <v>81</v>
      </c>
      <c r="K228" s="2" t="str">
        <f aca="false">CONCATENATE(I228," ",J228)</f>
        <v>Tenuiphantes mengei</v>
      </c>
      <c r="L228" s="3" t="n">
        <f aca="false">SUM(P228:U228)</f>
        <v>1</v>
      </c>
      <c r="M228" s="11" t="n">
        <f aca="false">(L228/(F228*G228)*25)*4</f>
        <v>5</v>
      </c>
      <c r="N228" s="1" t="s">
        <v>30</v>
      </c>
      <c r="O228" s="1" t="s">
        <v>31</v>
      </c>
      <c r="P228" s="1" t="n">
        <v>1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3" t="n">
        <f aca="false">SUM(P228:Q228)</f>
        <v>1</v>
      </c>
      <c r="W228" s="3" t="n">
        <f aca="false">SUM(R228:T228)</f>
        <v>0</v>
      </c>
      <c r="X228" s="10" t="n">
        <v>40052</v>
      </c>
      <c r="Y228" s="10" t="n">
        <v>40057</v>
      </c>
    </row>
    <row r="229" customFormat="false" ht="14.25" hidden="false" customHeight="false" outlineLevel="0" collapsed="false">
      <c r="A229" s="1" t="n">
        <v>2009</v>
      </c>
      <c r="B229" s="1" t="n">
        <v>2</v>
      </c>
      <c r="C229" s="2" t="s">
        <v>44</v>
      </c>
      <c r="D229" s="7" t="s">
        <v>118</v>
      </c>
      <c r="E229" s="1" t="n">
        <v>1</v>
      </c>
      <c r="F229" s="1" t="n">
        <f aca="false">Y229-X229</f>
        <v>5</v>
      </c>
      <c r="G229" s="1" t="n">
        <v>5</v>
      </c>
      <c r="H229" s="3" t="s">
        <v>124</v>
      </c>
      <c r="I229" s="3" t="s">
        <v>125</v>
      </c>
      <c r="J229" s="8" t="s">
        <v>126</v>
      </c>
      <c r="K229" s="2" t="str">
        <f aca="false">CONCATENATE(I229," ",J229)</f>
        <v>Hahnia ononidum</v>
      </c>
      <c r="L229" s="3" t="n">
        <f aca="false">SUM(P229:U229)</f>
        <v>1</v>
      </c>
      <c r="M229" s="11" t="n">
        <f aca="false">(L229/(F229*G229)*25)*4</f>
        <v>4</v>
      </c>
      <c r="N229" s="1" t="s">
        <v>30</v>
      </c>
      <c r="O229" s="1" t="s">
        <v>31</v>
      </c>
      <c r="P229" s="1" t="n">
        <v>1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3" t="n">
        <f aca="false">SUM(P229:Q229)</f>
        <v>1</v>
      </c>
      <c r="W229" s="3" t="n">
        <f aca="false">SUM(R229:T229)</f>
        <v>0</v>
      </c>
      <c r="X229" s="10" t="n">
        <v>40052</v>
      </c>
      <c r="Y229" s="10" t="n">
        <v>40057</v>
      </c>
    </row>
    <row r="230" customFormat="false" ht="14.25" hidden="false" customHeight="false" outlineLevel="0" collapsed="false">
      <c r="A230" s="1" t="n">
        <v>2009</v>
      </c>
      <c r="B230" s="1" t="n">
        <v>2</v>
      </c>
      <c r="C230" s="2" t="s">
        <v>44</v>
      </c>
      <c r="D230" s="7" t="s">
        <v>118</v>
      </c>
      <c r="E230" s="1" t="n">
        <v>1</v>
      </c>
      <c r="F230" s="1" t="n">
        <f aca="false">Y230-X230</f>
        <v>5</v>
      </c>
      <c r="G230" s="1" t="n">
        <v>5</v>
      </c>
      <c r="H230" s="3" t="s">
        <v>48</v>
      </c>
      <c r="I230" s="3" t="s">
        <v>49</v>
      </c>
      <c r="J230" s="8" t="s">
        <v>38</v>
      </c>
      <c r="K230" s="2" t="str">
        <f aca="false">CONCATENATE(I230," ",J230)</f>
        <v>Alopecosa sp</v>
      </c>
      <c r="L230" s="3" t="n">
        <f aca="false">SUM(P230:U230)</f>
        <v>2</v>
      </c>
      <c r="M230" s="11" t="n">
        <f aca="false">(L230/(F230*G230)*25)*4</f>
        <v>8</v>
      </c>
      <c r="N230" s="1" t="s">
        <v>19</v>
      </c>
      <c r="O230" s="1" t="s">
        <v>54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2</v>
      </c>
      <c r="U230" s="1" t="n">
        <v>0</v>
      </c>
      <c r="V230" s="3" t="n">
        <f aca="false">SUM(P230:Q230)</f>
        <v>0</v>
      </c>
      <c r="W230" s="3" t="n">
        <f aca="false">SUM(R230:T230)</f>
        <v>2</v>
      </c>
      <c r="X230" s="10" t="n">
        <v>40052</v>
      </c>
      <c r="Y230" s="10" t="n">
        <v>40057</v>
      </c>
    </row>
    <row r="231" customFormat="false" ht="14.25" hidden="false" customHeight="false" outlineLevel="0" collapsed="false">
      <c r="A231" s="1" t="n">
        <v>2009</v>
      </c>
      <c r="B231" s="1" t="n">
        <v>2</v>
      </c>
      <c r="C231" s="2" t="s">
        <v>44</v>
      </c>
      <c r="D231" s="7" t="s">
        <v>45</v>
      </c>
      <c r="E231" s="1" t="n">
        <v>3</v>
      </c>
      <c r="F231" s="1" t="n">
        <f aca="false">Y231-X231</f>
        <v>5</v>
      </c>
      <c r="G231" s="1" t="n">
        <v>5</v>
      </c>
      <c r="H231" s="3" t="s">
        <v>48</v>
      </c>
      <c r="I231" s="3" t="s">
        <v>67</v>
      </c>
      <c r="J231" s="8" t="s">
        <v>127</v>
      </c>
      <c r="K231" s="2" t="str">
        <f aca="false">CONCATENATE(I231," ",J231)</f>
        <v>Pardosa lugubris</v>
      </c>
      <c r="L231" s="3" t="n">
        <f aca="false">SUM(P231:U231)</f>
        <v>1</v>
      </c>
      <c r="M231" s="11" t="n">
        <f aca="false">(L231/(F231*G231)*25)*4</f>
        <v>4</v>
      </c>
      <c r="N231" s="1" t="s">
        <v>30</v>
      </c>
      <c r="O231" s="1" t="s">
        <v>35</v>
      </c>
      <c r="P231" s="1" t="n">
        <v>0</v>
      </c>
      <c r="Q231" s="1" t="n">
        <v>1</v>
      </c>
      <c r="R231" s="1" t="n">
        <v>0</v>
      </c>
      <c r="S231" s="1" t="n">
        <v>0</v>
      </c>
      <c r="T231" s="1" t="n">
        <v>0</v>
      </c>
      <c r="U231" s="1" t="n">
        <v>0</v>
      </c>
      <c r="V231" s="3" t="n">
        <f aca="false">SUM(P231:Q231)</f>
        <v>1</v>
      </c>
      <c r="W231" s="3" t="n">
        <f aca="false">SUM(R231:T231)</f>
        <v>0</v>
      </c>
      <c r="X231" s="10" t="n">
        <v>40051</v>
      </c>
      <c r="Y231" s="10" t="n">
        <v>40056</v>
      </c>
    </row>
    <row r="232" customFormat="false" ht="14.25" hidden="false" customHeight="false" outlineLevel="0" collapsed="false">
      <c r="A232" s="1" t="n">
        <v>2009</v>
      </c>
      <c r="B232" s="1" t="n">
        <v>2</v>
      </c>
      <c r="C232" s="2" t="s">
        <v>44</v>
      </c>
      <c r="D232" s="7" t="s">
        <v>45</v>
      </c>
      <c r="E232" s="1" t="n">
        <v>3</v>
      </c>
      <c r="F232" s="1" t="n">
        <f aca="false">Y232-X232</f>
        <v>5</v>
      </c>
      <c r="G232" s="1" t="n">
        <v>5</v>
      </c>
      <c r="H232" s="3" t="s">
        <v>48</v>
      </c>
      <c r="I232" s="3" t="s">
        <v>122</v>
      </c>
      <c r="J232" s="8" t="s">
        <v>38</v>
      </c>
      <c r="K232" s="2" t="str">
        <f aca="false">CONCATENATE(I232," ",J232)</f>
        <v>Xerolycosa sp</v>
      </c>
      <c r="L232" s="3" t="n">
        <f aca="false">SUM(P232:U232)</f>
        <v>1</v>
      </c>
      <c r="M232" s="11" t="n">
        <f aca="false">(L232/(F232*G232)*25)*4</f>
        <v>4</v>
      </c>
      <c r="N232" s="1" t="s">
        <v>19</v>
      </c>
      <c r="O232" s="1" t="s">
        <v>54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1</v>
      </c>
      <c r="U232" s="1" t="n">
        <v>0</v>
      </c>
      <c r="V232" s="3" t="n">
        <f aca="false">SUM(P232:Q232)</f>
        <v>0</v>
      </c>
      <c r="W232" s="3" t="n">
        <f aca="false">SUM(R232:T232)</f>
        <v>1</v>
      </c>
      <c r="X232" s="10" t="n">
        <v>40051</v>
      </c>
      <c r="Y232" s="10" t="n">
        <v>40056</v>
      </c>
    </row>
    <row r="233" customFormat="false" ht="14.25" hidden="false" customHeight="false" outlineLevel="0" collapsed="false">
      <c r="A233" s="1" t="n">
        <v>2009</v>
      </c>
      <c r="B233" s="1" t="n">
        <v>2</v>
      </c>
      <c r="C233" s="2" t="s">
        <v>44</v>
      </c>
      <c r="D233" s="7" t="s">
        <v>45</v>
      </c>
      <c r="E233" s="1" t="n">
        <v>3</v>
      </c>
      <c r="F233" s="1" t="n">
        <f aca="false">Y233-X233</f>
        <v>5</v>
      </c>
      <c r="G233" s="1" t="n">
        <v>5</v>
      </c>
      <c r="H233" s="3" t="s">
        <v>48</v>
      </c>
      <c r="I233" s="3" t="s">
        <v>122</v>
      </c>
      <c r="J233" s="8" t="s">
        <v>38</v>
      </c>
      <c r="K233" s="2" t="str">
        <f aca="false">CONCATENATE(I233," ",J233)</f>
        <v>Xerolycosa sp</v>
      </c>
      <c r="L233" s="3" t="n">
        <f aca="false">SUM(P233:U233)</f>
        <v>1</v>
      </c>
      <c r="M233" s="11" t="n">
        <f aca="false">(L233/(F233*G233)*25)*4</f>
        <v>4</v>
      </c>
      <c r="N233" s="1" t="s">
        <v>19</v>
      </c>
      <c r="O233" s="1" t="s">
        <v>54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1</v>
      </c>
      <c r="U233" s="1" t="n">
        <v>0</v>
      </c>
      <c r="V233" s="3" t="n">
        <f aca="false">SUM(P233:Q233)</f>
        <v>0</v>
      </c>
      <c r="W233" s="3" t="n">
        <f aca="false">SUM(R233:T233)</f>
        <v>1</v>
      </c>
      <c r="X233" s="10" t="n">
        <v>40051</v>
      </c>
      <c r="Y233" s="10" t="n">
        <v>40056</v>
      </c>
    </row>
    <row r="234" customFormat="false" ht="14.25" hidden="false" customHeight="false" outlineLevel="0" collapsed="false">
      <c r="A234" s="1" t="n">
        <v>2009</v>
      </c>
      <c r="B234" s="1" t="n">
        <v>2</v>
      </c>
      <c r="C234" s="2" t="s">
        <v>44</v>
      </c>
      <c r="D234" s="7" t="s">
        <v>45</v>
      </c>
      <c r="E234" s="1" t="n">
        <v>3</v>
      </c>
      <c r="F234" s="1" t="n">
        <f aca="false">Y234-X234</f>
        <v>5</v>
      </c>
      <c r="G234" s="1" t="n">
        <v>5</v>
      </c>
      <c r="H234" s="3" t="s">
        <v>48</v>
      </c>
      <c r="I234" s="3" t="s">
        <v>49</v>
      </c>
      <c r="J234" s="8" t="s">
        <v>38</v>
      </c>
      <c r="K234" s="2" t="str">
        <f aca="false">CONCATENATE(I234," ",J234)</f>
        <v>Alopecosa sp</v>
      </c>
      <c r="L234" s="3" t="n">
        <f aca="false">SUM(P234:U234)</f>
        <v>2</v>
      </c>
      <c r="M234" s="11" t="n">
        <f aca="false">(L234/(F234*G234)*25)*4</f>
        <v>8</v>
      </c>
      <c r="N234" s="1" t="s">
        <v>19</v>
      </c>
      <c r="O234" s="1" t="s">
        <v>54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2</v>
      </c>
      <c r="U234" s="1" t="n">
        <v>0</v>
      </c>
      <c r="V234" s="3" t="n">
        <f aca="false">SUM(P234:Q234)</f>
        <v>0</v>
      </c>
      <c r="W234" s="3" t="n">
        <f aca="false">SUM(R234:T234)</f>
        <v>2</v>
      </c>
      <c r="X234" s="10" t="n">
        <v>40051</v>
      </c>
      <c r="Y234" s="10" t="n">
        <v>40056</v>
      </c>
    </row>
    <row r="235" customFormat="false" ht="14.25" hidden="false" customHeight="false" outlineLevel="0" collapsed="false">
      <c r="A235" s="1" t="n">
        <v>2009</v>
      </c>
      <c r="B235" s="1" t="n">
        <v>2</v>
      </c>
      <c r="C235" s="2" t="s">
        <v>44</v>
      </c>
      <c r="D235" s="7" t="s">
        <v>45</v>
      </c>
      <c r="E235" s="1" t="n">
        <v>3</v>
      </c>
      <c r="F235" s="1" t="n">
        <f aca="false">Y235-X235</f>
        <v>5</v>
      </c>
      <c r="G235" s="1" t="n">
        <v>5</v>
      </c>
      <c r="H235" s="3" t="s">
        <v>72</v>
      </c>
      <c r="I235" s="3" t="s">
        <v>73</v>
      </c>
      <c r="J235" s="8" t="s">
        <v>38</v>
      </c>
      <c r="K235" s="2" t="str">
        <f aca="false">CONCATENATE(I235," ",J235)</f>
        <v>Zelotes sp</v>
      </c>
      <c r="L235" s="3" t="n">
        <f aca="false">SUM(P235:U235)</f>
        <v>1</v>
      </c>
      <c r="M235" s="11" t="n">
        <f aca="false">(L235/(F235*G235)*25)*4</f>
        <v>4</v>
      </c>
      <c r="N235" s="1" t="s">
        <v>19</v>
      </c>
      <c r="O235" s="1" t="s">
        <v>54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1</v>
      </c>
      <c r="U235" s="1" t="n">
        <v>0</v>
      </c>
      <c r="V235" s="3" t="n">
        <f aca="false">SUM(P235:Q235)</f>
        <v>0</v>
      </c>
      <c r="W235" s="3" t="n">
        <f aca="false">SUM(R235:T235)</f>
        <v>1</v>
      </c>
      <c r="X235" s="10" t="n">
        <v>40051</v>
      </c>
      <c r="Y235" s="10" t="n">
        <v>40056</v>
      </c>
    </row>
    <row r="236" customFormat="false" ht="14.25" hidden="false" customHeight="false" outlineLevel="0" collapsed="false">
      <c r="A236" s="1" t="n">
        <v>2009</v>
      </c>
      <c r="B236" s="1" t="n">
        <v>2</v>
      </c>
      <c r="C236" s="2" t="s">
        <v>44</v>
      </c>
      <c r="D236" s="7" t="s">
        <v>45</v>
      </c>
      <c r="E236" s="1" t="n">
        <v>3</v>
      </c>
      <c r="F236" s="1" t="n">
        <f aca="false">Y236-X236</f>
        <v>5</v>
      </c>
      <c r="G236" s="1" t="n">
        <v>5</v>
      </c>
      <c r="H236" s="3" t="s">
        <v>72</v>
      </c>
      <c r="I236" s="3" t="s">
        <v>73</v>
      </c>
      <c r="J236" s="8" t="s">
        <v>74</v>
      </c>
      <c r="K236" s="2" t="str">
        <f aca="false">CONCATENATE(I236," ",J236)</f>
        <v>Zelotes subterraneus</v>
      </c>
      <c r="L236" s="3" t="n">
        <f aca="false">SUM(P236:U236)</f>
        <v>1</v>
      </c>
      <c r="M236" s="11" t="n">
        <f aca="false">(L236/(F236*G236)*25)*4</f>
        <v>4</v>
      </c>
      <c r="N236" s="1" t="s">
        <v>30</v>
      </c>
      <c r="O236" s="1" t="s">
        <v>35</v>
      </c>
      <c r="P236" s="1" t="n">
        <v>0</v>
      </c>
      <c r="Q236" s="1" t="n">
        <v>1</v>
      </c>
      <c r="R236" s="1" t="n">
        <v>0</v>
      </c>
      <c r="S236" s="1" t="n">
        <v>0</v>
      </c>
      <c r="T236" s="1" t="n">
        <v>0</v>
      </c>
      <c r="U236" s="1" t="n">
        <v>0</v>
      </c>
      <c r="V236" s="3" t="n">
        <f aca="false">SUM(P236:Q236)</f>
        <v>1</v>
      </c>
      <c r="W236" s="3" t="n">
        <f aca="false">SUM(R236:T236)</f>
        <v>0</v>
      </c>
      <c r="X236" s="10" t="n">
        <v>40051</v>
      </c>
      <c r="Y236" s="10" t="n">
        <v>40056</v>
      </c>
    </row>
    <row r="237" customFormat="false" ht="14.25" hidden="false" customHeight="false" outlineLevel="0" collapsed="false">
      <c r="A237" s="1" t="n">
        <v>2009</v>
      </c>
      <c r="B237" s="1" t="n">
        <v>2</v>
      </c>
      <c r="C237" s="2" t="s">
        <v>44</v>
      </c>
      <c r="D237" s="7" t="s">
        <v>45</v>
      </c>
      <c r="E237" s="1" t="n">
        <v>2</v>
      </c>
      <c r="F237" s="1" t="n">
        <f aca="false">Y237-X237</f>
        <v>5</v>
      </c>
      <c r="G237" s="1" t="n">
        <v>5</v>
      </c>
      <c r="H237" s="3" t="s">
        <v>72</v>
      </c>
      <c r="I237" s="3" t="s">
        <v>73</v>
      </c>
      <c r="J237" s="8" t="s">
        <v>74</v>
      </c>
      <c r="K237" s="2" t="str">
        <f aca="false">CONCATENATE(I237," ",J237)</f>
        <v>Zelotes subterraneus</v>
      </c>
      <c r="L237" s="3" t="n">
        <f aca="false">SUM(P237:U237)</f>
        <v>1</v>
      </c>
      <c r="M237" s="11" t="n">
        <f aca="false">(L237/(F237*G237)*25)*4</f>
        <v>4</v>
      </c>
      <c r="N237" s="1" t="s">
        <v>30</v>
      </c>
      <c r="O237" s="1" t="s">
        <v>35</v>
      </c>
      <c r="P237" s="1" t="n">
        <v>0</v>
      </c>
      <c r="Q237" s="1" t="n">
        <v>1</v>
      </c>
      <c r="R237" s="1" t="n">
        <v>0</v>
      </c>
      <c r="S237" s="1" t="n">
        <v>0</v>
      </c>
      <c r="T237" s="1" t="n">
        <v>0</v>
      </c>
      <c r="U237" s="1" t="n">
        <v>0</v>
      </c>
      <c r="V237" s="3" t="n">
        <f aca="false">SUM(P237:Q237)</f>
        <v>1</v>
      </c>
      <c r="W237" s="3" t="n">
        <f aca="false">SUM(R237:T237)</f>
        <v>0</v>
      </c>
      <c r="X237" s="10" t="n">
        <v>40051</v>
      </c>
      <c r="Y237" s="10" t="n">
        <v>40056</v>
      </c>
    </row>
    <row r="238" customFormat="false" ht="14.25" hidden="false" customHeight="false" outlineLevel="0" collapsed="false">
      <c r="A238" s="1" t="n">
        <v>2009</v>
      </c>
      <c r="B238" s="1" t="n">
        <v>2</v>
      </c>
      <c r="C238" s="2" t="s">
        <v>44</v>
      </c>
      <c r="D238" s="7" t="s">
        <v>45</v>
      </c>
      <c r="E238" s="1" t="n">
        <v>2</v>
      </c>
      <c r="F238" s="1" t="n">
        <f aca="false">Y238-X238</f>
        <v>5</v>
      </c>
      <c r="G238" s="1" t="n">
        <v>5</v>
      </c>
      <c r="H238" s="3" t="s">
        <v>48</v>
      </c>
      <c r="I238" s="3" t="s">
        <v>49</v>
      </c>
      <c r="J238" s="8" t="s">
        <v>38</v>
      </c>
      <c r="K238" s="2" t="str">
        <f aca="false">CONCATENATE(I238," ",J238)</f>
        <v>Alopecosa sp</v>
      </c>
      <c r="L238" s="3" t="n">
        <f aca="false">SUM(P238:U238)</f>
        <v>1</v>
      </c>
      <c r="M238" s="11" t="n">
        <f aca="false">(L238/(F238*G238)*25)*4</f>
        <v>4</v>
      </c>
      <c r="N238" s="1" t="s">
        <v>19</v>
      </c>
      <c r="O238" s="1" t="s">
        <v>54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1</v>
      </c>
      <c r="U238" s="1" t="n">
        <v>0</v>
      </c>
      <c r="V238" s="3" t="n">
        <f aca="false">SUM(P238:Q238)</f>
        <v>0</v>
      </c>
      <c r="W238" s="3" t="n">
        <f aca="false">SUM(R238:T238)</f>
        <v>1</v>
      </c>
      <c r="X238" s="10" t="n">
        <v>40051</v>
      </c>
      <c r="Y238" s="10" t="n">
        <v>40056</v>
      </c>
    </row>
    <row r="239" customFormat="false" ht="14.25" hidden="false" customHeight="false" outlineLevel="0" collapsed="false">
      <c r="A239" s="1" t="n">
        <v>2009</v>
      </c>
      <c r="B239" s="1" t="n">
        <v>2</v>
      </c>
      <c r="C239" s="2" t="s">
        <v>44</v>
      </c>
      <c r="D239" s="7" t="s">
        <v>45</v>
      </c>
      <c r="E239" s="1" t="n">
        <v>2</v>
      </c>
      <c r="F239" s="1" t="n">
        <f aca="false">Y239-X239</f>
        <v>5</v>
      </c>
      <c r="G239" s="1" t="n">
        <v>5</v>
      </c>
      <c r="H239" s="3" t="s">
        <v>48</v>
      </c>
      <c r="I239" s="3" t="s">
        <v>49</v>
      </c>
      <c r="J239" s="8" t="s">
        <v>104</v>
      </c>
      <c r="K239" s="2" t="str">
        <f aca="false">CONCATENATE(I239," ",J239)</f>
        <v>Alopecosa taeniata</v>
      </c>
      <c r="L239" s="3" t="n">
        <f aca="false">SUM(P239:U239)</f>
        <v>1</v>
      </c>
      <c r="M239" s="11" t="n">
        <f aca="false">(L239/(F239*G239)*25)*4</f>
        <v>4</v>
      </c>
      <c r="N239" s="1" t="s">
        <v>30</v>
      </c>
      <c r="O239" s="1" t="s">
        <v>35</v>
      </c>
      <c r="P239" s="1" t="n">
        <v>0</v>
      </c>
      <c r="Q239" s="1" t="n">
        <v>1</v>
      </c>
      <c r="R239" s="1" t="n">
        <v>0</v>
      </c>
      <c r="S239" s="1" t="n">
        <v>0</v>
      </c>
      <c r="T239" s="1" t="n">
        <v>0</v>
      </c>
      <c r="U239" s="1" t="n">
        <v>0</v>
      </c>
      <c r="V239" s="3" t="n">
        <f aca="false">SUM(P239:Q239)</f>
        <v>1</v>
      </c>
      <c r="W239" s="3" t="n">
        <f aca="false">SUM(R239:T239)</f>
        <v>0</v>
      </c>
      <c r="X239" s="10" t="n">
        <v>40051</v>
      </c>
      <c r="Y239" s="10" t="n">
        <v>40056</v>
      </c>
    </row>
    <row r="240" customFormat="false" ht="14.25" hidden="false" customHeight="false" outlineLevel="0" collapsed="false">
      <c r="A240" s="1" t="n">
        <v>2009</v>
      </c>
      <c r="B240" s="1" t="n">
        <v>2</v>
      </c>
      <c r="C240" s="2" t="s">
        <v>44</v>
      </c>
      <c r="D240" s="7" t="s">
        <v>45</v>
      </c>
      <c r="E240" s="1" t="n">
        <v>2</v>
      </c>
      <c r="F240" s="1" t="n">
        <f aca="false">Y240-X240</f>
        <v>5</v>
      </c>
      <c r="G240" s="1" t="n">
        <v>5</v>
      </c>
      <c r="H240" s="3" t="s">
        <v>48</v>
      </c>
      <c r="I240" s="3" t="s">
        <v>122</v>
      </c>
      <c r="J240" s="12" t="s">
        <v>123</v>
      </c>
      <c r="K240" s="2" t="str">
        <f aca="false">CONCATENATE(I240," ",J240)</f>
        <v>Xerolycosa nemoralis</v>
      </c>
      <c r="L240" s="3" t="n">
        <f aca="false">SUM(P240:U240)</f>
        <v>1</v>
      </c>
      <c r="M240" s="11" t="n">
        <f aca="false">(L240/(F240*G240)*25)*4</f>
        <v>4</v>
      </c>
      <c r="N240" s="1" t="s">
        <v>30</v>
      </c>
      <c r="O240" s="1" t="s">
        <v>35</v>
      </c>
      <c r="P240" s="1" t="n">
        <v>0</v>
      </c>
      <c r="Q240" s="1" t="n">
        <v>1</v>
      </c>
      <c r="R240" s="1" t="n">
        <v>0</v>
      </c>
      <c r="S240" s="1" t="n">
        <v>0</v>
      </c>
      <c r="T240" s="1" t="n">
        <v>0</v>
      </c>
      <c r="U240" s="1" t="n">
        <v>0</v>
      </c>
      <c r="V240" s="3" t="n">
        <f aca="false">SUM(P240:Q240)</f>
        <v>1</v>
      </c>
      <c r="W240" s="3" t="n">
        <f aca="false">SUM(R240:T240)</f>
        <v>0</v>
      </c>
      <c r="X240" s="10" t="n">
        <v>40051</v>
      </c>
      <c r="Y240" s="10" t="n">
        <v>40056</v>
      </c>
    </row>
    <row r="241" customFormat="false" ht="14.25" hidden="false" customHeight="false" outlineLevel="0" collapsed="false">
      <c r="A241" s="1" t="n">
        <v>2009</v>
      </c>
      <c r="B241" s="1" t="n">
        <v>2</v>
      </c>
      <c r="C241" s="2" t="s">
        <v>44</v>
      </c>
      <c r="D241" s="7" t="s">
        <v>45</v>
      </c>
      <c r="E241" s="1" t="n">
        <v>2</v>
      </c>
      <c r="F241" s="1" t="n">
        <f aca="false">Y241-X241</f>
        <v>5</v>
      </c>
      <c r="G241" s="1" t="n">
        <v>5</v>
      </c>
      <c r="H241" s="3" t="s">
        <v>48</v>
      </c>
      <c r="I241" s="3" t="s">
        <v>49</v>
      </c>
      <c r="J241" s="8" t="s">
        <v>38</v>
      </c>
      <c r="K241" s="2" t="str">
        <f aca="false">CONCATENATE(I241," ",J241)</f>
        <v>Alopecosa sp</v>
      </c>
      <c r="L241" s="3" t="n">
        <f aca="false">SUM(P241:U241)</f>
        <v>1</v>
      </c>
      <c r="M241" s="11" t="n">
        <f aca="false">(L241/(F241*G241)*25)*4</f>
        <v>4</v>
      </c>
      <c r="N241" s="1" t="s">
        <v>19</v>
      </c>
      <c r="O241" s="1" t="s">
        <v>54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1</v>
      </c>
      <c r="U241" s="1" t="n">
        <v>0</v>
      </c>
      <c r="V241" s="3" t="n">
        <f aca="false">SUM(P241:Q241)</f>
        <v>0</v>
      </c>
      <c r="W241" s="3" t="n">
        <f aca="false">SUM(R241:T241)</f>
        <v>1</v>
      </c>
      <c r="X241" s="10" t="n">
        <v>40051</v>
      </c>
      <c r="Y241" s="10" t="n">
        <v>40056</v>
      </c>
    </row>
    <row r="242" customFormat="false" ht="14.25" hidden="false" customHeight="false" outlineLevel="0" collapsed="false">
      <c r="A242" s="1" t="n">
        <v>2009</v>
      </c>
      <c r="B242" s="1" t="n">
        <v>2</v>
      </c>
      <c r="C242" s="2" t="s">
        <v>44</v>
      </c>
      <c r="D242" s="7" t="s">
        <v>45</v>
      </c>
      <c r="E242" s="1" t="n">
        <v>2</v>
      </c>
      <c r="F242" s="1" t="n">
        <f aca="false">Y242-X242</f>
        <v>5</v>
      </c>
      <c r="G242" s="1" t="n">
        <v>5</v>
      </c>
      <c r="H242" s="3" t="s">
        <v>48</v>
      </c>
      <c r="I242" s="3" t="s">
        <v>122</v>
      </c>
      <c r="J242" s="12" t="s">
        <v>123</v>
      </c>
      <c r="K242" s="2" t="str">
        <f aca="false">CONCATENATE(I242," ",J242)</f>
        <v>Xerolycosa nemoralis</v>
      </c>
      <c r="L242" s="3" t="n">
        <f aca="false">SUM(P242:U242)</f>
        <v>1</v>
      </c>
      <c r="M242" s="11" t="n">
        <f aca="false">(L242/(F242*G242)*25)*4</f>
        <v>4</v>
      </c>
      <c r="N242" s="1" t="s">
        <v>30</v>
      </c>
      <c r="O242" s="1" t="s">
        <v>35</v>
      </c>
      <c r="P242" s="1" t="n">
        <v>0</v>
      </c>
      <c r="Q242" s="1" t="n">
        <v>1</v>
      </c>
      <c r="R242" s="1" t="n">
        <v>0</v>
      </c>
      <c r="S242" s="1" t="n">
        <v>0</v>
      </c>
      <c r="T242" s="1" t="n">
        <v>0</v>
      </c>
      <c r="U242" s="1" t="n">
        <v>0</v>
      </c>
      <c r="V242" s="3" t="n">
        <f aca="false">SUM(P242:Q242)</f>
        <v>1</v>
      </c>
      <c r="W242" s="3" t="n">
        <f aca="false">SUM(R242:T242)</f>
        <v>0</v>
      </c>
      <c r="X242" s="10" t="n">
        <v>40051</v>
      </c>
      <c r="Y242" s="10" t="n">
        <v>40056</v>
      </c>
    </row>
    <row r="243" customFormat="false" ht="14.25" hidden="false" customHeight="false" outlineLevel="0" collapsed="false">
      <c r="A243" s="1" t="n">
        <v>2009</v>
      </c>
      <c r="B243" s="1" t="n">
        <v>2</v>
      </c>
      <c r="C243" s="2" t="s">
        <v>44</v>
      </c>
      <c r="D243" s="7" t="s">
        <v>45</v>
      </c>
      <c r="E243" s="1" t="n">
        <v>2</v>
      </c>
      <c r="F243" s="1" t="n">
        <f aca="false">Y243-X243</f>
        <v>5</v>
      </c>
      <c r="G243" s="1" t="n">
        <v>5</v>
      </c>
      <c r="H243" s="3" t="s">
        <v>48</v>
      </c>
      <c r="I243" s="3" t="s">
        <v>122</v>
      </c>
      <c r="J243" s="12" t="s">
        <v>123</v>
      </c>
      <c r="K243" s="2" t="str">
        <f aca="false">CONCATENATE(I243," ",J243)</f>
        <v>Xerolycosa nemoralis</v>
      </c>
      <c r="L243" s="3" t="n">
        <f aca="false">SUM(P243:U243)</f>
        <v>1</v>
      </c>
      <c r="M243" s="11" t="n">
        <f aca="false">(L243/(F243*G243)*25)*4</f>
        <v>4</v>
      </c>
      <c r="N243" s="1" t="s">
        <v>19</v>
      </c>
      <c r="O243" s="1" t="s">
        <v>54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1</v>
      </c>
      <c r="U243" s="1" t="n">
        <v>0</v>
      </c>
      <c r="V243" s="3" t="n">
        <f aca="false">SUM(P243:Q243)</f>
        <v>0</v>
      </c>
      <c r="W243" s="3" t="n">
        <f aca="false">SUM(R243:T243)</f>
        <v>1</v>
      </c>
      <c r="X243" s="10" t="n">
        <v>40051</v>
      </c>
      <c r="Y243" s="10" t="n">
        <v>40056</v>
      </c>
    </row>
    <row r="244" customFormat="false" ht="14.25" hidden="false" customHeight="false" outlineLevel="0" collapsed="false">
      <c r="A244" s="1" t="n">
        <v>2009</v>
      </c>
      <c r="B244" s="1" t="n">
        <v>2</v>
      </c>
      <c r="C244" s="2" t="s">
        <v>44</v>
      </c>
      <c r="D244" s="7" t="s">
        <v>45</v>
      </c>
      <c r="E244" s="1" t="n">
        <v>1</v>
      </c>
      <c r="F244" s="1" t="n">
        <f aca="false">Y244-X244</f>
        <v>5</v>
      </c>
      <c r="G244" s="1" t="n">
        <v>5</v>
      </c>
      <c r="H244" s="3" t="s">
        <v>32</v>
      </c>
      <c r="I244" s="3" t="s">
        <v>33</v>
      </c>
      <c r="J244" s="8" t="s">
        <v>81</v>
      </c>
      <c r="K244" s="2" t="str">
        <f aca="false">CONCATENATE(I244," ",J244)</f>
        <v>Tenuiphantes mengei</v>
      </c>
      <c r="L244" s="3" t="n">
        <f aca="false">SUM(P244:U244)</f>
        <v>1</v>
      </c>
      <c r="M244" s="11" t="n">
        <f aca="false">(L244/(F244*G244)*25)*4</f>
        <v>4</v>
      </c>
      <c r="N244" s="1" t="s">
        <v>30</v>
      </c>
      <c r="O244" s="1" t="s">
        <v>31</v>
      </c>
      <c r="P244" s="1" t="n">
        <v>1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3" t="n">
        <f aca="false">SUM(P244:Q244)</f>
        <v>1</v>
      </c>
      <c r="W244" s="3" t="n">
        <f aca="false">SUM(R244:T244)</f>
        <v>0</v>
      </c>
      <c r="X244" s="10" t="n">
        <v>40051</v>
      </c>
      <c r="Y244" s="10" t="n">
        <v>40056</v>
      </c>
    </row>
    <row r="245" customFormat="false" ht="14.25" hidden="false" customHeight="false" outlineLevel="0" collapsed="false">
      <c r="A245" s="1" t="n">
        <v>2009</v>
      </c>
      <c r="B245" s="1" t="n">
        <v>2</v>
      </c>
      <c r="C245" s="2" t="s">
        <v>44</v>
      </c>
      <c r="D245" s="7" t="s">
        <v>45</v>
      </c>
      <c r="E245" s="1" t="n">
        <v>1</v>
      </c>
      <c r="F245" s="1" t="n">
        <f aca="false">Y245-X245</f>
        <v>5</v>
      </c>
      <c r="G245" s="1" t="n">
        <v>5</v>
      </c>
      <c r="H245" s="3" t="s">
        <v>32</v>
      </c>
      <c r="I245" s="3" t="s">
        <v>33</v>
      </c>
      <c r="J245" s="8" t="s">
        <v>81</v>
      </c>
      <c r="K245" s="2" t="str">
        <f aca="false">CONCATENATE(I245," ",J245)</f>
        <v>Tenuiphantes mengei</v>
      </c>
      <c r="L245" s="3" t="n">
        <f aca="false">SUM(P245:U245)</f>
        <v>1</v>
      </c>
      <c r="M245" s="11" t="n">
        <f aca="false">(L245/(F245*G245)*25)*4</f>
        <v>4</v>
      </c>
      <c r="N245" s="1" t="s">
        <v>30</v>
      </c>
      <c r="O245" s="1" t="s">
        <v>35</v>
      </c>
      <c r="P245" s="1" t="n">
        <v>0</v>
      </c>
      <c r="Q245" s="1" t="n">
        <v>1</v>
      </c>
      <c r="R245" s="1" t="n">
        <v>0</v>
      </c>
      <c r="S245" s="1" t="n">
        <v>0</v>
      </c>
      <c r="T245" s="1" t="n">
        <v>0</v>
      </c>
      <c r="U245" s="1" t="n">
        <v>0</v>
      </c>
      <c r="V245" s="3" t="n">
        <f aca="false">SUM(P245:Q245)</f>
        <v>1</v>
      </c>
      <c r="W245" s="3" t="n">
        <f aca="false">SUM(R245:T245)</f>
        <v>0</v>
      </c>
      <c r="X245" s="10" t="n">
        <v>40051</v>
      </c>
      <c r="Y245" s="10" t="n">
        <v>40056</v>
      </c>
    </row>
    <row r="246" customFormat="false" ht="14.25" hidden="false" customHeight="false" outlineLevel="0" collapsed="false">
      <c r="A246" s="1" t="n">
        <v>2009</v>
      </c>
      <c r="B246" s="1" t="n">
        <v>2</v>
      </c>
      <c r="C246" s="2" t="s">
        <v>44</v>
      </c>
      <c r="D246" s="7" t="s">
        <v>45</v>
      </c>
      <c r="E246" s="1" t="n">
        <v>1</v>
      </c>
      <c r="F246" s="1" t="n">
        <f aca="false">Y246-X246</f>
        <v>5</v>
      </c>
      <c r="G246" s="1" t="n">
        <v>5</v>
      </c>
      <c r="H246" s="3" t="s">
        <v>72</v>
      </c>
      <c r="I246" s="3" t="s">
        <v>73</v>
      </c>
      <c r="J246" s="8" t="s">
        <v>38</v>
      </c>
      <c r="K246" s="2" t="str">
        <f aca="false">CONCATENATE(I246," ",J246)</f>
        <v>Zelotes sp</v>
      </c>
      <c r="L246" s="3" t="n">
        <f aca="false">SUM(P246:U246)</f>
        <v>1</v>
      </c>
      <c r="M246" s="11" t="n">
        <f aca="false">(L246/(F246*G246)*25)*4</f>
        <v>4</v>
      </c>
      <c r="N246" s="15" t="s">
        <v>19</v>
      </c>
      <c r="O246" s="15" t="s">
        <v>35</v>
      </c>
      <c r="P246" s="1" t="n">
        <v>0</v>
      </c>
      <c r="Q246" s="1" t="n">
        <v>0</v>
      </c>
      <c r="R246" s="1" t="n">
        <v>0</v>
      </c>
      <c r="S246" s="1" t="n">
        <v>1</v>
      </c>
      <c r="T246" s="1" t="n">
        <v>0</v>
      </c>
      <c r="U246" s="1" t="n">
        <v>0</v>
      </c>
      <c r="V246" s="3" t="n">
        <f aca="false">SUM(P246:Q246)</f>
        <v>0</v>
      </c>
      <c r="W246" s="3" t="n">
        <f aca="false">SUM(R246:T246)</f>
        <v>1</v>
      </c>
      <c r="X246" s="10" t="n">
        <v>40051</v>
      </c>
      <c r="Y246" s="10" t="n">
        <v>40056</v>
      </c>
    </row>
    <row r="247" customFormat="false" ht="14.25" hidden="false" customHeight="false" outlineLevel="0" collapsed="false">
      <c r="A247" s="1" t="n">
        <v>2009</v>
      </c>
      <c r="B247" s="1" t="n">
        <v>2</v>
      </c>
      <c r="C247" s="2" t="s">
        <v>44</v>
      </c>
      <c r="D247" s="7" t="s">
        <v>45</v>
      </c>
      <c r="E247" s="1" t="n">
        <v>1</v>
      </c>
      <c r="F247" s="1" t="n">
        <f aca="false">Y247-X247</f>
        <v>5</v>
      </c>
      <c r="G247" s="1" t="n">
        <v>5</v>
      </c>
      <c r="H247" s="3" t="s">
        <v>32</v>
      </c>
      <c r="I247" s="3" t="s">
        <v>128</v>
      </c>
      <c r="J247" s="3" t="s">
        <v>129</v>
      </c>
      <c r="K247" s="2" t="str">
        <f aca="false">CONCATENATE(I247," ",J247)</f>
        <v>Megalepthyphantes pseudocollinus</v>
      </c>
      <c r="L247" s="3" t="n">
        <f aca="false">SUM(P247:U247)</f>
        <v>1</v>
      </c>
      <c r="M247" s="11" t="n">
        <f aca="false">(L247/(F247*G247)*25)*4</f>
        <v>4</v>
      </c>
      <c r="N247" s="1" t="s">
        <v>30</v>
      </c>
      <c r="O247" s="1" t="s">
        <v>31</v>
      </c>
      <c r="P247" s="1" t="n">
        <v>1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3" t="n">
        <f aca="false">SUM(P247:Q247)</f>
        <v>1</v>
      </c>
      <c r="W247" s="3" t="n">
        <f aca="false">SUM(R247:T247)</f>
        <v>0</v>
      </c>
      <c r="X247" s="10" t="n">
        <v>40051</v>
      </c>
      <c r="Y247" s="10" t="n">
        <v>40056</v>
      </c>
    </row>
    <row r="248" customFormat="false" ht="14.25" hidden="false" customHeight="false" outlineLevel="0" collapsed="false">
      <c r="A248" s="1" t="n">
        <v>2009</v>
      </c>
      <c r="B248" s="1" t="n">
        <v>2</v>
      </c>
      <c r="C248" s="2" t="s">
        <v>44</v>
      </c>
      <c r="D248" s="7" t="s">
        <v>45</v>
      </c>
      <c r="E248" s="1" t="n">
        <v>1</v>
      </c>
      <c r="F248" s="1" t="n">
        <f aca="false">Y248-X248</f>
        <v>5</v>
      </c>
      <c r="G248" s="1" t="n">
        <v>5</v>
      </c>
      <c r="H248" s="3" t="s">
        <v>48</v>
      </c>
      <c r="I248" s="3" t="s">
        <v>49</v>
      </c>
      <c r="J248" s="8" t="s">
        <v>38</v>
      </c>
      <c r="K248" s="2" t="str">
        <f aca="false">CONCATENATE(I248," ",J248)</f>
        <v>Alopecosa sp</v>
      </c>
      <c r="L248" s="3" t="n">
        <f aca="false">SUM(P248:U248)</f>
        <v>1</v>
      </c>
      <c r="M248" s="11" t="n">
        <f aca="false">(L248/(F248*G248)*25)*4</f>
        <v>4</v>
      </c>
      <c r="N248" s="1" t="s">
        <v>19</v>
      </c>
      <c r="O248" s="1" t="s">
        <v>31</v>
      </c>
      <c r="P248" s="1" t="n">
        <v>0</v>
      </c>
      <c r="Q248" s="1" t="n">
        <v>0</v>
      </c>
      <c r="R248" s="1" t="n">
        <v>1</v>
      </c>
      <c r="S248" s="1" t="n">
        <v>0</v>
      </c>
      <c r="T248" s="1" t="n">
        <v>0</v>
      </c>
      <c r="U248" s="1" t="n">
        <v>0</v>
      </c>
      <c r="V248" s="3" t="n">
        <f aca="false">SUM(P248:Q248)</f>
        <v>0</v>
      </c>
      <c r="W248" s="3" t="n">
        <f aca="false">SUM(R248:T248)</f>
        <v>1</v>
      </c>
      <c r="X248" s="10" t="n">
        <v>40051</v>
      </c>
      <c r="Y248" s="10" t="n">
        <v>40056</v>
      </c>
    </row>
    <row r="249" customFormat="false" ht="14.25" hidden="false" customHeight="false" outlineLevel="0" collapsed="false">
      <c r="A249" s="1" t="n">
        <v>2009</v>
      </c>
      <c r="B249" s="1" t="n">
        <v>2</v>
      </c>
      <c r="C249" s="2" t="s">
        <v>44</v>
      </c>
      <c r="D249" s="7" t="s">
        <v>45</v>
      </c>
      <c r="E249" s="1" t="n">
        <v>1</v>
      </c>
      <c r="F249" s="1" t="n">
        <f aca="false">Y249-X249</f>
        <v>5</v>
      </c>
      <c r="G249" s="1" t="n">
        <v>5</v>
      </c>
      <c r="H249" s="3" t="s">
        <v>48</v>
      </c>
      <c r="I249" s="3" t="s">
        <v>49</v>
      </c>
      <c r="J249" s="8" t="s">
        <v>38</v>
      </c>
      <c r="K249" s="2" t="str">
        <f aca="false">CONCATENATE(I249," ",J249)</f>
        <v>Alopecosa sp</v>
      </c>
      <c r="L249" s="3" t="n">
        <f aca="false">SUM(P249:U249)</f>
        <v>1</v>
      </c>
      <c r="M249" s="11" t="n">
        <f aca="false">(L249/(F249*G249)*25)*4</f>
        <v>4</v>
      </c>
      <c r="N249" s="1" t="s">
        <v>19</v>
      </c>
      <c r="O249" s="1" t="s">
        <v>54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1</v>
      </c>
      <c r="U249" s="1" t="n">
        <v>0</v>
      </c>
      <c r="V249" s="3" t="n">
        <f aca="false">SUM(P249:Q249)</f>
        <v>0</v>
      </c>
      <c r="W249" s="3" t="n">
        <f aca="false">SUM(R249:T249)</f>
        <v>1</v>
      </c>
      <c r="X249" s="10" t="n">
        <v>40051</v>
      </c>
      <c r="Y249" s="10" t="n">
        <v>40056</v>
      </c>
    </row>
    <row r="250" customFormat="false" ht="14.25" hidden="false" customHeight="false" outlineLevel="0" collapsed="false">
      <c r="A250" s="1" t="n">
        <v>2009</v>
      </c>
      <c r="B250" s="1" t="n">
        <v>2</v>
      </c>
      <c r="C250" s="2" t="s">
        <v>44</v>
      </c>
      <c r="D250" s="7" t="s">
        <v>45</v>
      </c>
      <c r="E250" s="1" t="n">
        <v>1</v>
      </c>
      <c r="F250" s="1" t="n">
        <f aca="false">Y250-X250</f>
        <v>5</v>
      </c>
      <c r="G250" s="1" t="n">
        <v>5</v>
      </c>
      <c r="H250" s="3" t="s">
        <v>72</v>
      </c>
      <c r="I250" s="3" t="s">
        <v>73</v>
      </c>
      <c r="J250" s="8" t="s">
        <v>74</v>
      </c>
      <c r="K250" s="2" t="str">
        <f aca="false">CONCATENATE(I250," ",J250)</f>
        <v>Zelotes subterraneus</v>
      </c>
      <c r="L250" s="3" t="n">
        <f aca="false">SUM(P250:U250)</f>
        <v>1</v>
      </c>
      <c r="M250" s="11" t="n">
        <f aca="false">(L250/(F250*G250)*25)*4</f>
        <v>4</v>
      </c>
      <c r="N250" s="1" t="s">
        <v>30</v>
      </c>
      <c r="O250" s="1" t="s">
        <v>31</v>
      </c>
      <c r="P250" s="1" t="n">
        <v>1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3" t="n">
        <f aca="false">SUM(P250:Q250)</f>
        <v>1</v>
      </c>
      <c r="W250" s="3" t="n">
        <f aca="false">SUM(R250:T250)</f>
        <v>0</v>
      </c>
      <c r="X250" s="10" t="n">
        <v>40051</v>
      </c>
      <c r="Y250" s="10" t="n">
        <v>40056</v>
      </c>
    </row>
    <row r="251" customFormat="false" ht="14.25" hidden="false" customHeight="false" outlineLevel="0" collapsed="false">
      <c r="A251" s="1" t="n">
        <v>2009</v>
      </c>
      <c r="B251" s="1" t="n">
        <v>2</v>
      </c>
      <c r="C251" s="2" t="s">
        <v>44</v>
      </c>
      <c r="D251" s="7" t="s">
        <v>45</v>
      </c>
      <c r="E251" s="1" t="n">
        <v>1</v>
      </c>
      <c r="F251" s="1" t="n">
        <f aca="false">Y251-X251</f>
        <v>5</v>
      </c>
      <c r="G251" s="1" t="n">
        <v>5</v>
      </c>
      <c r="H251" s="3" t="s">
        <v>48</v>
      </c>
      <c r="I251" s="3" t="s">
        <v>49</v>
      </c>
      <c r="J251" s="8" t="s">
        <v>38</v>
      </c>
      <c r="K251" s="2" t="str">
        <f aca="false">CONCATENATE(I251," ",J251)</f>
        <v>Alopecosa sp</v>
      </c>
      <c r="L251" s="3" t="n">
        <f aca="false">SUM(P251:U251)</f>
        <v>1</v>
      </c>
      <c r="M251" s="11" t="n">
        <f aca="false">(L251/(F251*G251)*25)*4</f>
        <v>4</v>
      </c>
      <c r="N251" s="1" t="s">
        <v>19</v>
      </c>
      <c r="O251" s="1" t="s">
        <v>31</v>
      </c>
      <c r="P251" s="1" t="n">
        <v>0</v>
      </c>
      <c r="Q251" s="1" t="n">
        <v>0</v>
      </c>
      <c r="R251" s="1" t="n">
        <v>1</v>
      </c>
      <c r="S251" s="1" t="n">
        <v>0</v>
      </c>
      <c r="T251" s="1" t="n">
        <v>0</v>
      </c>
      <c r="U251" s="1" t="n">
        <v>0</v>
      </c>
      <c r="V251" s="3" t="n">
        <f aca="false">SUM(P251:Q251)</f>
        <v>0</v>
      </c>
      <c r="W251" s="3" t="n">
        <f aca="false">SUM(R251:T251)</f>
        <v>1</v>
      </c>
      <c r="X251" s="10" t="n">
        <v>40051</v>
      </c>
      <c r="Y251" s="10" t="n">
        <v>40056</v>
      </c>
    </row>
    <row r="252" customFormat="false" ht="14.25" hidden="false" customHeight="false" outlineLevel="0" collapsed="false">
      <c r="A252" s="1" t="n">
        <v>2009</v>
      </c>
      <c r="B252" s="1" t="n">
        <v>1</v>
      </c>
      <c r="C252" s="2" t="s">
        <v>44</v>
      </c>
      <c r="D252" s="7" t="s">
        <v>118</v>
      </c>
      <c r="E252" s="1" t="n">
        <v>2</v>
      </c>
      <c r="F252" s="1" t="n">
        <f aca="false">Y252-X252</f>
        <v>5</v>
      </c>
      <c r="G252" s="1" t="n">
        <v>5</v>
      </c>
      <c r="H252" s="3" t="s">
        <v>48</v>
      </c>
      <c r="I252" s="3" t="s">
        <v>49</v>
      </c>
      <c r="J252" s="8" t="s">
        <v>130</v>
      </c>
      <c r="K252" s="2" t="str">
        <f aca="false">CONCATENATE(I252," ",J252)</f>
        <v>Alopecosa aculeata</v>
      </c>
      <c r="L252" s="3" t="n">
        <f aca="false">SUM(P252:U252)</f>
        <v>3</v>
      </c>
      <c r="M252" s="11" t="n">
        <f aca="false">(L252/(F252*G252)*25)*4</f>
        <v>12</v>
      </c>
      <c r="N252" s="1" t="s">
        <v>30</v>
      </c>
      <c r="O252" s="1" t="s">
        <v>31</v>
      </c>
      <c r="P252" s="1" t="n">
        <v>3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3" t="n">
        <f aca="false">SUM(P252:Q252)</f>
        <v>3</v>
      </c>
      <c r="W252" s="3" t="n">
        <f aca="false">SUM(R252:T252)</f>
        <v>0</v>
      </c>
      <c r="X252" s="10" t="n">
        <v>39970</v>
      </c>
      <c r="Y252" s="10" t="n">
        <v>39975</v>
      </c>
    </row>
    <row r="253" customFormat="false" ht="14.25" hidden="false" customHeight="false" outlineLevel="0" collapsed="false">
      <c r="A253" s="1" t="n">
        <v>2009</v>
      </c>
      <c r="B253" s="1" t="n">
        <v>1</v>
      </c>
      <c r="C253" s="2" t="s">
        <v>44</v>
      </c>
      <c r="D253" s="7" t="s">
        <v>118</v>
      </c>
      <c r="E253" s="1" t="n">
        <v>2</v>
      </c>
      <c r="F253" s="1" t="n">
        <f aca="false">Y253-X253</f>
        <v>5</v>
      </c>
      <c r="G253" s="1" t="n">
        <v>5</v>
      </c>
      <c r="H253" s="3" t="s">
        <v>48</v>
      </c>
      <c r="I253" s="3" t="s">
        <v>49</v>
      </c>
      <c r="J253" s="12" t="s">
        <v>119</v>
      </c>
      <c r="K253" s="2" t="str">
        <f aca="false">CONCATENATE(I253," ",J253)</f>
        <v>Alopecosa sulzeri</v>
      </c>
      <c r="L253" s="3" t="n">
        <f aca="false">SUM(P253:U253)</f>
        <v>2</v>
      </c>
      <c r="M253" s="11" t="n">
        <f aca="false">(L253/(F253*G253)*25)*4</f>
        <v>8</v>
      </c>
      <c r="N253" s="1" t="s">
        <v>30</v>
      </c>
      <c r="O253" s="1" t="s">
        <v>31</v>
      </c>
      <c r="P253" s="1" t="n">
        <v>2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3" t="n">
        <f aca="false">SUM(P253:Q253)</f>
        <v>2</v>
      </c>
      <c r="W253" s="3" t="n">
        <f aca="false">SUM(R253:T253)</f>
        <v>0</v>
      </c>
      <c r="X253" s="10" t="n">
        <v>39970</v>
      </c>
      <c r="Y253" s="10" t="n">
        <v>39975</v>
      </c>
    </row>
    <row r="254" customFormat="false" ht="14.25" hidden="false" customHeight="false" outlineLevel="0" collapsed="false">
      <c r="A254" s="1" t="n">
        <v>2009</v>
      </c>
      <c r="B254" s="1" t="n">
        <v>1</v>
      </c>
      <c r="C254" s="2" t="s">
        <v>44</v>
      </c>
      <c r="D254" s="7" t="s">
        <v>118</v>
      </c>
      <c r="E254" s="1" t="n">
        <v>2</v>
      </c>
      <c r="F254" s="1" t="n">
        <f aca="false">Y254-X254</f>
        <v>5</v>
      </c>
      <c r="G254" s="1" t="n">
        <v>5</v>
      </c>
      <c r="H254" s="3" t="s">
        <v>48</v>
      </c>
      <c r="I254" s="3" t="s">
        <v>49</v>
      </c>
      <c r="J254" s="12" t="s">
        <v>119</v>
      </c>
      <c r="K254" s="2" t="str">
        <f aca="false">CONCATENATE(I254," ",J254)</f>
        <v>Alopecosa sulzeri</v>
      </c>
      <c r="L254" s="3" t="n">
        <f aca="false">SUM(P254:U254)</f>
        <v>1</v>
      </c>
      <c r="M254" s="11" t="n">
        <f aca="false">(L254/(F254*G254)*25)*4</f>
        <v>4</v>
      </c>
      <c r="N254" s="1" t="s">
        <v>30</v>
      </c>
      <c r="O254" s="1" t="s">
        <v>35</v>
      </c>
      <c r="P254" s="1" t="n">
        <v>0</v>
      </c>
      <c r="Q254" s="1" t="n">
        <v>1</v>
      </c>
      <c r="R254" s="1" t="n">
        <v>0</v>
      </c>
      <c r="S254" s="1" t="n">
        <v>0</v>
      </c>
      <c r="T254" s="1" t="n">
        <v>0</v>
      </c>
      <c r="U254" s="1" t="n">
        <v>0</v>
      </c>
      <c r="V254" s="3" t="n">
        <f aca="false">SUM(P254:Q254)</f>
        <v>1</v>
      </c>
      <c r="W254" s="3" t="n">
        <f aca="false">SUM(R254:T254)</f>
        <v>0</v>
      </c>
      <c r="X254" s="10" t="n">
        <v>39970</v>
      </c>
      <c r="Y254" s="10" t="n">
        <v>39975</v>
      </c>
    </row>
    <row r="255" customFormat="false" ht="14.25" hidden="false" customHeight="false" outlineLevel="0" collapsed="false">
      <c r="A255" s="1" t="n">
        <v>2009</v>
      </c>
      <c r="B255" s="1" t="n">
        <v>1</v>
      </c>
      <c r="C255" s="2" t="s">
        <v>44</v>
      </c>
      <c r="D255" s="7" t="s">
        <v>118</v>
      </c>
      <c r="E255" s="1" t="n">
        <v>2</v>
      </c>
      <c r="F255" s="1" t="n">
        <f aca="false">Y255-X255</f>
        <v>5</v>
      </c>
      <c r="G255" s="1" t="n">
        <v>5</v>
      </c>
      <c r="H255" s="3" t="s">
        <v>36</v>
      </c>
      <c r="I255" s="3" t="s">
        <v>131</v>
      </c>
      <c r="J255" s="12" t="s">
        <v>132</v>
      </c>
      <c r="K255" s="2" t="str">
        <f aca="false">CONCATENATE(I255," ",J255)</f>
        <v>Xysticus lanio</v>
      </c>
      <c r="L255" s="3" t="n">
        <f aca="false">SUM(P255:U255)</f>
        <v>1</v>
      </c>
      <c r="M255" s="11" t="n">
        <f aca="false">(L255/(F255*G255)*25)*4</f>
        <v>4</v>
      </c>
      <c r="N255" s="1" t="s">
        <v>30</v>
      </c>
      <c r="O255" s="1" t="s">
        <v>31</v>
      </c>
      <c r="P255" s="1" t="n">
        <v>1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3" t="n">
        <f aca="false">SUM(P255:Q255)</f>
        <v>1</v>
      </c>
      <c r="W255" s="3" t="n">
        <f aca="false">SUM(R255:T255)</f>
        <v>0</v>
      </c>
      <c r="X255" s="10" t="n">
        <v>39970</v>
      </c>
      <c r="Y255" s="10" t="n">
        <v>39975</v>
      </c>
    </row>
    <row r="256" customFormat="false" ht="14.25" hidden="false" customHeight="false" outlineLevel="0" collapsed="false">
      <c r="A256" s="1" t="n">
        <v>2009</v>
      </c>
      <c r="B256" s="1" t="n">
        <v>1</v>
      </c>
      <c r="C256" s="2" t="s">
        <v>44</v>
      </c>
      <c r="D256" s="7" t="s">
        <v>118</v>
      </c>
      <c r="E256" s="1" t="n">
        <v>2</v>
      </c>
      <c r="F256" s="1" t="n">
        <f aca="false">Y256-X256</f>
        <v>5</v>
      </c>
      <c r="G256" s="1" t="n">
        <v>5</v>
      </c>
      <c r="H256" s="3" t="s">
        <v>36</v>
      </c>
      <c r="I256" s="3" t="s">
        <v>131</v>
      </c>
      <c r="J256" s="12" t="s">
        <v>133</v>
      </c>
      <c r="K256" s="2" t="str">
        <f aca="false">CONCATENATE(I256," ",J256)</f>
        <v>Xysticus luctuosus</v>
      </c>
      <c r="L256" s="3" t="n">
        <f aca="false">SUM(P256:U256)</f>
        <v>2</v>
      </c>
      <c r="M256" s="11" t="n">
        <f aca="false">(L256/(F256*G256)*25)*4</f>
        <v>8</v>
      </c>
      <c r="N256" s="1" t="s">
        <v>30</v>
      </c>
      <c r="O256" s="1" t="s">
        <v>31</v>
      </c>
      <c r="P256" s="1" t="n">
        <v>2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3" t="n">
        <f aca="false">SUM(P256:Q256)</f>
        <v>2</v>
      </c>
      <c r="W256" s="3" t="n">
        <f aca="false">SUM(R256:T256)</f>
        <v>0</v>
      </c>
      <c r="X256" s="10" t="n">
        <v>39970</v>
      </c>
      <c r="Y256" s="10" t="n">
        <v>39975</v>
      </c>
    </row>
    <row r="257" customFormat="false" ht="14.25" hidden="false" customHeight="false" outlineLevel="0" collapsed="false">
      <c r="A257" s="1" t="n">
        <v>2009</v>
      </c>
      <c r="B257" s="1" t="n">
        <v>1</v>
      </c>
      <c r="C257" s="2" t="s">
        <v>44</v>
      </c>
      <c r="D257" s="7" t="s">
        <v>118</v>
      </c>
      <c r="E257" s="1" t="n">
        <v>2</v>
      </c>
      <c r="F257" s="1" t="n">
        <f aca="false">Y257-X257</f>
        <v>5</v>
      </c>
      <c r="G257" s="1" t="n">
        <v>5</v>
      </c>
      <c r="H257" s="3" t="s">
        <v>72</v>
      </c>
      <c r="I257" s="3" t="s">
        <v>86</v>
      </c>
      <c r="J257" s="12" t="s">
        <v>134</v>
      </c>
      <c r="K257" s="2" t="str">
        <f aca="false">CONCATENATE(I257," ",J257)</f>
        <v>Haplodrassus umbratilis</v>
      </c>
      <c r="L257" s="3" t="n">
        <f aca="false">SUM(P257:U257)</f>
        <v>1</v>
      </c>
      <c r="M257" s="11" t="n">
        <f aca="false">(L257/(F257*G257)*25)*4</f>
        <v>4</v>
      </c>
      <c r="N257" s="1" t="s">
        <v>30</v>
      </c>
      <c r="O257" s="1" t="s">
        <v>31</v>
      </c>
      <c r="P257" s="1" t="n">
        <v>1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0</v>
      </c>
      <c r="V257" s="3" t="n">
        <f aca="false">SUM(P257:Q257)</f>
        <v>1</v>
      </c>
      <c r="W257" s="3" t="n">
        <f aca="false">SUM(R257:T257)</f>
        <v>0</v>
      </c>
      <c r="X257" s="10" t="n">
        <v>39970</v>
      </c>
      <c r="Y257" s="10" t="n">
        <v>39975</v>
      </c>
    </row>
    <row r="258" customFormat="false" ht="14.25" hidden="false" customHeight="false" outlineLevel="0" collapsed="false">
      <c r="A258" s="1" t="n">
        <v>2009</v>
      </c>
      <c r="B258" s="1" t="n">
        <v>1</v>
      </c>
      <c r="C258" s="2" t="s">
        <v>44</v>
      </c>
      <c r="D258" s="7" t="s">
        <v>118</v>
      </c>
      <c r="E258" s="1" t="n">
        <v>2</v>
      </c>
      <c r="F258" s="1" t="n">
        <f aca="false">Y258-X258</f>
        <v>5</v>
      </c>
      <c r="G258" s="1" t="n">
        <v>5</v>
      </c>
      <c r="H258" s="3" t="s">
        <v>72</v>
      </c>
      <c r="I258" s="3" t="s">
        <v>73</v>
      </c>
      <c r="J258" s="12" t="s">
        <v>38</v>
      </c>
      <c r="K258" s="2" t="str">
        <f aca="false">CONCATENATE(I258," ",J258)</f>
        <v>Zelotes sp</v>
      </c>
      <c r="L258" s="3" t="n">
        <f aca="false">SUM(P258:U258)</f>
        <v>1</v>
      </c>
      <c r="M258" s="11" t="n">
        <f aca="false">(L258/(F258*G258)*25)*4</f>
        <v>4</v>
      </c>
      <c r="N258" s="15" t="s">
        <v>19</v>
      </c>
      <c r="O258" s="15" t="s">
        <v>35</v>
      </c>
      <c r="P258" s="1" t="n">
        <v>0</v>
      </c>
      <c r="Q258" s="1" t="n">
        <v>0</v>
      </c>
      <c r="R258" s="1" t="n">
        <v>0</v>
      </c>
      <c r="S258" s="1" t="n">
        <v>1</v>
      </c>
      <c r="T258" s="1" t="n">
        <v>0</v>
      </c>
      <c r="U258" s="1" t="n">
        <v>0</v>
      </c>
      <c r="V258" s="3" t="n">
        <f aca="false">SUM(P258:Q258)</f>
        <v>0</v>
      </c>
      <c r="W258" s="3" t="n">
        <f aca="false">SUM(R258:T258)</f>
        <v>1</v>
      </c>
      <c r="X258" s="10" t="n">
        <v>39970</v>
      </c>
      <c r="Y258" s="10" t="n">
        <v>39975</v>
      </c>
    </row>
    <row r="259" customFormat="false" ht="14.25" hidden="false" customHeight="false" outlineLevel="0" collapsed="false">
      <c r="A259" s="1" t="n">
        <v>2009</v>
      </c>
      <c r="B259" s="1" t="n">
        <v>1</v>
      </c>
      <c r="C259" s="2" t="s">
        <v>44</v>
      </c>
      <c r="D259" s="7" t="s">
        <v>118</v>
      </c>
      <c r="E259" s="1" t="n">
        <v>2</v>
      </c>
      <c r="F259" s="1" t="n">
        <f aca="false">Y259-X259</f>
        <v>5</v>
      </c>
      <c r="G259" s="1" t="n">
        <v>5</v>
      </c>
      <c r="H259" s="3" t="s">
        <v>48</v>
      </c>
      <c r="I259" s="3" t="s">
        <v>122</v>
      </c>
      <c r="J259" s="12" t="s">
        <v>123</v>
      </c>
      <c r="K259" s="2" t="str">
        <f aca="false">CONCATENATE(I259," ",J259)</f>
        <v>Xerolycosa nemoralis</v>
      </c>
      <c r="L259" s="3" t="n">
        <f aca="false">SUM(P259:U259)</f>
        <v>4</v>
      </c>
      <c r="M259" s="11" t="n">
        <f aca="false">(L259/(F259*G259)*25)*4</f>
        <v>16</v>
      </c>
      <c r="N259" s="1" t="s">
        <v>30</v>
      </c>
      <c r="O259" s="1" t="s">
        <v>31</v>
      </c>
      <c r="P259" s="1" t="n">
        <v>4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3" t="n">
        <f aca="false">SUM(P259:Q259)</f>
        <v>4</v>
      </c>
      <c r="W259" s="3" t="n">
        <f aca="false">SUM(R259:T259)</f>
        <v>0</v>
      </c>
      <c r="X259" s="10" t="n">
        <v>39970</v>
      </c>
      <c r="Y259" s="10" t="n">
        <v>39975</v>
      </c>
    </row>
    <row r="260" customFormat="false" ht="14.25" hidden="false" customHeight="false" outlineLevel="0" collapsed="false">
      <c r="A260" s="1" t="n">
        <v>2009</v>
      </c>
      <c r="B260" s="1" t="n">
        <v>1</v>
      </c>
      <c r="C260" s="2" t="s">
        <v>44</v>
      </c>
      <c r="D260" s="7" t="s">
        <v>118</v>
      </c>
      <c r="E260" s="1" t="n">
        <v>2</v>
      </c>
      <c r="F260" s="1" t="n">
        <f aca="false">Y260-X260</f>
        <v>5</v>
      </c>
      <c r="G260" s="1" t="n">
        <v>5</v>
      </c>
      <c r="H260" s="3" t="s">
        <v>48</v>
      </c>
      <c r="I260" s="3" t="s">
        <v>122</v>
      </c>
      <c r="J260" s="12" t="s">
        <v>123</v>
      </c>
      <c r="K260" s="2" t="str">
        <f aca="false">CONCATENATE(I260," ",J260)</f>
        <v>Xerolycosa nemoralis</v>
      </c>
      <c r="L260" s="3" t="n">
        <f aca="false">SUM(P260:U260)</f>
        <v>1</v>
      </c>
      <c r="M260" s="11" t="n">
        <f aca="false">(L260/(F260*G260)*25)*4</f>
        <v>4</v>
      </c>
      <c r="N260" s="1" t="s">
        <v>30</v>
      </c>
      <c r="O260" s="1" t="s">
        <v>35</v>
      </c>
      <c r="P260" s="1" t="n">
        <v>0</v>
      </c>
      <c r="Q260" s="1" t="n">
        <v>1</v>
      </c>
      <c r="R260" s="1" t="n">
        <v>0</v>
      </c>
      <c r="S260" s="1" t="n">
        <v>0</v>
      </c>
      <c r="T260" s="1" t="n">
        <v>0</v>
      </c>
      <c r="U260" s="1" t="n">
        <v>0</v>
      </c>
      <c r="V260" s="3" t="n">
        <f aca="false">SUM(P260:Q260)</f>
        <v>1</v>
      </c>
      <c r="W260" s="3" t="n">
        <f aca="false">SUM(R260:T260)</f>
        <v>0</v>
      </c>
      <c r="X260" s="10" t="n">
        <v>39970</v>
      </c>
      <c r="Y260" s="10" t="n">
        <v>39975</v>
      </c>
    </row>
    <row r="261" customFormat="false" ht="14.25" hidden="false" customHeight="false" outlineLevel="0" collapsed="false">
      <c r="A261" s="1" t="n">
        <v>2009</v>
      </c>
      <c r="B261" s="1" t="n">
        <v>1</v>
      </c>
      <c r="C261" s="2" t="s">
        <v>44</v>
      </c>
      <c r="D261" s="7" t="s">
        <v>118</v>
      </c>
      <c r="E261" s="1" t="n">
        <v>2</v>
      </c>
      <c r="F261" s="1" t="n">
        <f aca="false">Y261-X261</f>
        <v>5</v>
      </c>
      <c r="G261" s="1" t="n">
        <v>5</v>
      </c>
      <c r="H261" s="3" t="s">
        <v>48</v>
      </c>
      <c r="I261" s="3" t="s">
        <v>67</v>
      </c>
      <c r="J261" s="12" t="s">
        <v>127</v>
      </c>
      <c r="K261" s="2" t="str">
        <f aca="false">CONCATENATE(I261," ",J261)</f>
        <v>Pardosa lugubris</v>
      </c>
      <c r="L261" s="3" t="n">
        <f aca="false">SUM(P261:U261)</f>
        <v>2</v>
      </c>
      <c r="M261" s="11" t="n">
        <f aca="false">(L261/(F261*G261)*25)*4</f>
        <v>8</v>
      </c>
      <c r="N261" s="1" t="s">
        <v>30</v>
      </c>
      <c r="O261" s="1" t="s">
        <v>31</v>
      </c>
      <c r="P261" s="1" t="n">
        <v>2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3" t="n">
        <f aca="false">SUM(P261:Q261)</f>
        <v>2</v>
      </c>
      <c r="W261" s="3" t="n">
        <f aca="false">SUM(R261:T261)</f>
        <v>0</v>
      </c>
      <c r="X261" s="10" t="n">
        <v>39970</v>
      </c>
      <c r="Y261" s="10" t="n">
        <v>39975</v>
      </c>
    </row>
    <row r="262" customFormat="false" ht="14.25" hidden="false" customHeight="false" outlineLevel="0" collapsed="false">
      <c r="A262" s="1" t="n">
        <v>2009</v>
      </c>
      <c r="B262" s="1" t="n">
        <v>1</v>
      </c>
      <c r="C262" s="2" t="s">
        <v>44</v>
      </c>
      <c r="D262" s="7" t="s">
        <v>118</v>
      </c>
      <c r="E262" s="1" t="n">
        <v>2</v>
      </c>
      <c r="F262" s="1" t="n">
        <f aca="false">Y262-X262</f>
        <v>5</v>
      </c>
      <c r="G262" s="1" t="n">
        <v>5</v>
      </c>
      <c r="H262" s="3" t="s">
        <v>48</v>
      </c>
      <c r="I262" s="3" t="s">
        <v>49</v>
      </c>
      <c r="J262" s="8" t="s">
        <v>130</v>
      </c>
      <c r="K262" s="2" t="str">
        <f aca="false">CONCATENATE(I262," ",J262)</f>
        <v>Alopecosa aculeata</v>
      </c>
      <c r="L262" s="3" t="n">
        <f aca="false">SUM(P262:U262)</f>
        <v>9</v>
      </c>
      <c r="M262" s="11" t="n">
        <f aca="false">(L262/(F262*G262)*25)*4</f>
        <v>36</v>
      </c>
      <c r="N262" s="1" t="s">
        <v>30</v>
      </c>
      <c r="O262" s="1" t="s">
        <v>31</v>
      </c>
      <c r="P262" s="1" t="n">
        <v>9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3" t="n">
        <f aca="false">SUM(P262:Q262)</f>
        <v>9</v>
      </c>
      <c r="W262" s="3" t="n">
        <f aca="false">SUM(R262:T262)</f>
        <v>0</v>
      </c>
      <c r="X262" s="10" t="n">
        <v>39970</v>
      </c>
      <c r="Y262" s="10" t="n">
        <v>39975</v>
      </c>
    </row>
    <row r="263" customFormat="false" ht="14.25" hidden="false" customHeight="false" outlineLevel="0" collapsed="false">
      <c r="A263" s="1" t="n">
        <v>2009</v>
      </c>
      <c r="B263" s="1" t="n">
        <v>1</v>
      </c>
      <c r="C263" s="2" t="s">
        <v>44</v>
      </c>
      <c r="D263" s="7" t="s">
        <v>118</v>
      </c>
      <c r="E263" s="1" t="n">
        <v>2</v>
      </c>
      <c r="F263" s="1" t="n">
        <f aca="false">Y263-X263</f>
        <v>5</v>
      </c>
      <c r="G263" s="1" t="n">
        <v>5</v>
      </c>
      <c r="H263" s="3" t="s">
        <v>48</v>
      </c>
      <c r="I263" s="3" t="s">
        <v>49</v>
      </c>
      <c r="J263" s="8" t="s">
        <v>130</v>
      </c>
      <c r="K263" s="2" t="str">
        <f aca="false">CONCATENATE(I263," ",J263)</f>
        <v>Alopecosa aculeata</v>
      </c>
      <c r="L263" s="3" t="n">
        <f aca="false">SUM(P263:U263)</f>
        <v>4</v>
      </c>
      <c r="M263" s="11" t="n">
        <f aca="false">(L263/(F263*G263)*25)*4</f>
        <v>16</v>
      </c>
      <c r="N263" s="1" t="s">
        <v>30</v>
      </c>
      <c r="O263" s="1" t="s">
        <v>35</v>
      </c>
      <c r="P263" s="1" t="n">
        <v>0</v>
      </c>
      <c r="Q263" s="1" t="n">
        <v>4</v>
      </c>
      <c r="R263" s="1" t="n">
        <v>0</v>
      </c>
      <c r="S263" s="1" t="n">
        <v>0</v>
      </c>
      <c r="T263" s="1" t="n">
        <v>0</v>
      </c>
      <c r="U263" s="1" t="n">
        <v>0</v>
      </c>
      <c r="V263" s="3" t="n">
        <f aca="false">SUM(P263:Q263)</f>
        <v>4</v>
      </c>
      <c r="W263" s="3" t="n">
        <f aca="false">SUM(R263:T263)</f>
        <v>0</v>
      </c>
      <c r="X263" s="10" t="n">
        <v>39970</v>
      </c>
      <c r="Y263" s="10" t="n">
        <v>39975</v>
      </c>
    </row>
    <row r="264" customFormat="false" ht="14.25" hidden="false" customHeight="false" outlineLevel="0" collapsed="false">
      <c r="A264" s="1" t="n">
        <v>2009</v>
      </c>
      <c r="B264" s="1" t="n">
        <v>1</v>
      </c>
      <c r="C264" s="2" t="s">
        <v>44</v>
      </c>
      <c r="D264" s="7" t="s">
        <v>118</v>
      </c>
      <c r="E264" s="1" t="n">
        <v>2</v>
      </c>
      <c r="F264" s="1" t="n">
        <f aca="false">Y264-X264</f>
        <v>5</v>
      </c>
      <c r="G264" s="1" t="n">
        <v>5</v>
      </c>
      <c r="H264" s="3" t="s">
        <v>48</v>
      </c>
      <c r="I264" s="3" t="s">
        <v>67</v>
      </c>
      <c r="J264" s="12" t="s">
        <v>127</v>
      </c>
      <c r="K264" s="2" t="str">
        <f aca="false">CONCATENATE(I264," ",J264)</f>
        <v>Pardosa lugubris</v>
      </c>
      <c r="L264" s="3" t="n">
        <f aca="false">SUM(P264:U264)</f>
        <v>4</v>
      </c>
      <c r="M264" s="11" t="n">
        <f aca="false">(L264/(F264*G264)*25)*4</f>
        <v>16</v>
      </c>
      <c r="N264" s="1" t="s">
        <v>30</v>
      </c>
      <c r="O264" s="1" t="s">
        <v>31</v>
      </c>
      <c r="P264" s="1" t="n">
        <v>4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3" t="n">
        <f aca="false">SUM(P264:Q264)</f>
        <v>4</v>
      </c>
      <c r="W264" s="3" t="n">
        <f aca="false">SUM(R264:T264)</f>
        <v>0</v>
      </c>
      <c r="X264" s="10" t="n">
        <v>39970</v>
      </c>
      <c r="Y264" s="10" t="n">
        <v>39975</v>
      </c>
    </row>
    <row r="265" customFormat="false" ht="14.25" hidden="false" customHeight="false" outlineLevel="0" collapsed="false">
      <c r="A265" s="1" t="n">
        <v>2009</v>
      </c>
      <c r="B265" s="1" t="n">
        <v>1</v>
      </c>
      <c r="C265" s="2" t="s">
        <v>44</v>
      </c>
      <c r="D265" s="7" t="s">
        <v>118</v>
      </c>
      <c r="E265" s="1" t="n">
        <v>2</v>
      </c>
      <c r="F265" s="1" t="n">
        <f aca="false">Y265-X265</f>
        <v>5</v>
      </c>
      <c r="G265" s="1" t="n">
        <v>5</v>
      </c>
      <c r="H265" s="3" t="s">
        <v>48</v>
      </c>
      <c r="I265" s="3" t="s">
        <v>67</v>
      </c>
      <c r="J265" s="12" t="s">
        <v>127</v>
      </c>
      <c r="K265" s="2" t="str">
        <f aca="false">CONCATENATE(I265," ",J265)</f>
        <v>Pardosa lugubris</v>
      </c>
      <c r="L265" s="3" t="n">
        <f aca="false">SUM(P265:U265)</f>
        <v>1</v>
      </c>
      <c r="M265" s="11" t="n">
        <f aca="false">(L265/(F265*G265)*25)*4</f>
        <v>4</v>
      </c>
      <c r="N265" s="1" t="s">
        <v>30</v>
      </c>
      <c r="O265" s="1" t="s">
        <v>35</v>
      </c>
      <c r="P265" s="1" t="n">
        <v>0</v>
      </c>
      <c r="Q265" s="1" t="n">
        <v>1</v>
      </c>
      <c r="R265" s="1" t="n">
        <v>0</v>
      </c>
      <c r="S265" s="1" t="n">
        <v>0</v>
      </c>
      <c r="T265" s="1" t="n">
        <v>0</v>
      </c>
      <c r="U265" s="1" t="n">
        <v>0</v>
      </c>
      <c r="V265" s="3" t="n">
        <f aca="false">SUM(P265:Q265)</f>
        <v>1</v>
      </c>
      <c r="W265" s="3" t="n">
        <f aca="false">SUM(R265:T265)</f>
        <v>0</v>
      </c>
      <c r="X265" s="10" t="n">
        <v>39970</v>
      </c>
      <c r="Y265" s="10" t="n">
        <v>39975</v>
      </c>
    </row>
    <row r="266" customFormat="false" ht="14.25" hidden="false" customHeight="false" outlineLevel="0" collapsed="false">
      <c r="A266" s="1" t="n">
        <v>2009</v>
      </c>
      <c r="B266" s="1" t="n">
        <v>1</v>
      </c>
      <c r="C266" s="2" t="s">
        <v>44</v>
      </c>
      <c r="D266" s="7" t="s">
        <v>118</v>
      </c>
      <c r="E266" s="1" t="n">
        <v>2</v>
      </c>
      <c r="F266" s="1" t="n">
        <f aca="false">Y266-X266</f>
        <v>5</v>
      </c>
      <c r="G266" s="1" t="n">
        <v>5</v>
      </c>
      <c r="H266" s="3" t="s">
        <v>48</v>
      </c>
      <c r="I266" s="3" t="s">
        <v>122</v>
      </c>
      <c r="J266" s="12" t="s">
        <v>123</v>
      </c>
      <c r="K266" s="2" t="str">
        <f aca="false">CONCATENATE(I266," ",J266)</f>
        <v>Xerolycosa nemoralis</v>
      </c>
      <c r="L266" s="3" t="n">
        <f aca="false">SUM(P266:U266)</f>
        <v>2</v>
      </c>
      <c r="M266" s="11" t="n">
        <f aca="false">(L266/(F266*G266)*25)*4</f>
        <v>8</v>
      </c>
      <c r="N266" s="1" t="s">
        <v>30</v>
      </c>
      <c r="O266" s="1" t="s">
        <v>31</v>
      </c>
      <c r="P266" s="1" t="n">
        <v>2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3" t="n">
        <f aca="false">SUM(P266:Q266)</f>
        <v>2</v>
      </c>
      <c r="W266" s="3" t="n">
        <f aca="false">SUM(R266:T266)</f>
        <v>0</v>
      </c>
      <c r="X266" s="10" t="n">
        <v>39970</v>
      </c>
      <c r="Y266" s="10" t="n">
        <v>39975</v>
      </c>
    </row>
    <row r="267" customFormat="false" ht="14.25" hidden="false" customHeight="false" outlineLevel="0" collapsed="false">
      <c r="A267" s="1" t="n">
        <v>2009</v>
      </c>
      <c r="B267" s="1" t="n">
        <v>1</v>
      </c>
      <c r="C267" s="2" t="s">
        <v>44</v>
      </c>
      <c r="D267" s="7" t="s">
        <v>118</v>
      </c>
      <c r="E267" s="1" t="n">
        <v>2</v>
      </c>
      <c r="F267" s="1" t="n">
        <f aca="false">Y267-X267</f>
        <v>5</v>
      </c>
      <c r="G267" s="1" t="n">
        <v>5</v>
      </c>
      <c r="H267" s="3" t="s">
        <v>72</v>
      </c>
      <c r="I267" s="3" t="s">
        <v>73</v>
      </c>
      <c r="J267" s="12" t="s">
        <v>74</v>
      </c>
      <c r="K267" s="2" t="str">
        <f aca="false">CONCATENATE(I267," ",J267)</f>
        <v>Zelotes subterraneus</v>
      </c>
      <c r="L267" s="3" t="n">
        <f aca="false">SUM(P267:U267)</f>
        <v>1</v>
      </c>
      <c r="M267" s="11" t="n">
        <f aca="false">(L267/(F267*G267)*25)*4</f>
        <v>4</v>
      </c>
      <c r="N267" s="1" t="s">
        <v>30</v>
      </c>
      <c r="O267" s="1" t="s">
        <v>35</v>
      </c>
      <c r="P267" s="1" t="n">
        <v>0</v>
      </c>
      <c r="Q267" s="1" t="n">
        <v>1</v>
      </c>
      <c r="R267" s="1" t="n">
        <v>0</v>
      </c>
      <c r="S267" s="1" t="n">
        <v>0</v>
      </c>
      <c r="T267" s="1" t="n">
        <v>0</v>
      </c>
      <c r="U267" s="1" t="n">
        <v>0</v>
      </c>
      <c r="V267" s="3" t="n">
        <f aca="false">SUM(P267:Q267)</f>
        <v>1</v>
      </c>
      <c r="W267" s="3" t="n">
        <f aca="false">SUM(R267:T267)</f>
        <v>0</v>
      </c>
      <c r="X267" s="10" t="n">
        <v>39970</v>
      </c>
      <c r="Y267" s="10" t="n">
        <v>39975</v>
      </c>
    </row>
    <row r="268" customFormat="false" ht="14.25" hidden="false" customHeight="false" outlineLevel="0" collapsed="false">
      <c r="A268" s="1" t="n">
        <v>2009</v>
      </c>
      <c r="B268" s="1" t="n">
        <v>1</v>
      </c>
      <c r="C268" s="2" t="s">
        <v>44</v>
      </c>
      <c r="D268" s="7" t="s">
        <v>118</v>
      </c>
      <c r="E268" s="1" t="n">
        <v>2</v>
      </c>
      <c r="F268" s="1" t="n">
        <f aca="false">Y268-X268</f>
        <v>5</v>
      </c>
      <c r="G268" s="1" t="n">
        <v>5</v>
      </c>
      <c r="H268" s="3" t="s">
        <v>72</v>
      </c>
      <c r="I268" s="3" t="s">
        <v>73</v>
      </c>
      <c r="J268" s="12" t="s">
        <v>38</v>
      </c>
      <c r="K268" s="2" t="str">
        <f aca="false">CONCATENATE(I268," ",J268)</f>
        <v>Zelotes sp</v>
      </c>
      <c r="L268" s="3" t="n">
        <f aca="false">SUM(P268:U268)</f>
        <v>2</v>
      </c>
      <c r="M268" s="11" t="n">
        <f aca="false">(L268/(F268*G268)*25)*4</f>
        <v>8</v>
      </c>
      <c r="N268" s="1" t="s">
        <v>19</v>
      </c>
      <c r="O268" s="1" t="s">
        <v>31</v>
      </c>
      <c r="P268" s="1" t="n">
        <v>0</v>
      </c>
      <c r="Q268" s="1" t="n">
        <v>0</v>
      </c>
      <c r="R268" s="1" t="n">
        <v>2</v>
      </c>
      <c r="S268" s="1" t="n">
        <v>0</v>
      </c>
      <c r="T268" s="1" t="n">
        <v>0</v>
      </c>
      <c r="U268" s="1" t="n">
        <v>0</v>
      </c>
      <c r="V268" s="3" t="n">
        <f aca="false">SUM(P268:Q268)</f>
        <v>0</v>
      </c>
      <c r="W268" s="3" t="n">
        <f aca="false">SUM(R268:T268)</f>
        <v>2</v>
      </c>
      <c r="X268" s="10" t="n">
        <v>39970</v>
      </c>
      <c r="Y268" s="10" t="n">
        <v>39975</v>
      </c>
    </row>
    <row r="269" customFormat="false" ht="14.25" hidden="false" customHeight="false" outlineLevel="0" collapsed="false">
      <c r="A269" s="1" t="n">
        <v>2009</v>
      </c>
      <c r="B269" s="1" t="n">
        <v>1</v>
      </c>
      <c r="C269" s="2" t="s">
        <v>44</v>
      </c>
      <c r="D269" s="7" t="s">
        <v>118</v>
      </c>
      <c r="E269" s="1" t="n">
        <v>2</v>
      </c>
      <c r="F269" s="1" t="n">
        <f aca="false">Y269-X269</f>
        <v>5</v>
      </c>
      <c r="G269" s="1" t="n">
        <v>5</v>
      </c>
      <c r="H269" s="3" t="s">
        <v>36</v>
      </c>
      <c r="I269" s="3" t="s">
        <v>37</v>
      </c>
      <c r="J269" s="8" t="s">
        <v>75</v>
      </c>
      <c r="K269" s="2" t="str">
        <f aca="false">CONCATENATE(I269," ",J269)</f>
        <v>Ozyptila praticola</v>
      </c>
      <c r="L269" s="3" t="n">
        <f aca="false">SUM(P269:U269)</f>
        <v>1</v>
      </c>
      <c r="M269" s="11" t="n">
        <f aca="false">(L269/(F269*G269)*25)*4</f>
        <v>4</v>
      </c>
      <c r="N269" s="1" t="s">
        <v>30</v>
      </c>
      <c r="O269" s="1" t="s">
        <v>31</v>
      </c>
      <c r="P269" s="1" t="n">
        <v>1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3" t="n">
        <f aca="false">SUM(P269:Q269)</f>
        <v>1</v>
      </c>
      <c r="W269" s="3" t="n">
        <f aca="false">SUM(R269:T269)</f>
        <v>0</v>
      </c>
      <c r="X269" s="10" t="n">
        <v>39970</v>
      </c>
      <c r="Y269" s="10" t="n">
        <v>39975</v>
      </c>
    </row>
    <row r="270" customFormat="false" ht="14.25" hidden="false" customHeight="false" outlineLevel="0" collapsed="false">
      <c r="A270" s="1" t="n">
        <v>2009</v>
      </c>
      <c r="B270" s="1" t="n">
        <v>1</v>
      </c>
      <c r="C270" s="2" t="s">
        <v>44</v>
      </c>
      <c r="D270" s="7" t="s">
        <v>118</v>
      </c>
      <c r="E270" s="1" t="n">
        <v>2</v>
      </c>
      <c r="F270" s="1" t="n">
        <f aca="false">Y270-X270</f>
        <v>5</v>
      </c>
      <c r="G270" s="1" t="n">
        <v>5</v>
      </c>
      <c r="H270" s="3" t="s">
        <v>135</v>
      </c>
      <c r="I270" s="3" t="s">
        <v>136</v>
      </c>
      <c r="J270" s="16" t="s">
        <v>137</v>
      </c>
      <c r="K270" s="2" t="str">
        <f aca="false">CONCATENATE(I270," ",J270)</f>
        <v>Thanatus sabulosus</v>
      </c>
      <c r="L270" s="3" t="n">
        <f aca="false">SUM(P270:U270)</f>
        <v>1</v>
      </c>
      <c r="M270" s="11" t="n">
        <f aca="false">(L270/(F270*G270)*25)*4</f>
        <v>4</v>
      </c>
      <c r="N270" s="1" t="s">
        <v>30</v>
      </c>
      <c r="O270" s="1" t="s">
        <v>31</v>
      </c>
      <c r="P270" s="1" t="n">
        <v>1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3" t="n">
        <f aca="false">SUM(P270:Q270)</f>
        <v>1</v>
      </c>
      <c r="W270" s="3" t="n">
        <f aca="false">SUM(R270:T270)</f>
        <v>0</v>
      </c>
      <c r="X270" s="10" t="n">
        <v>39970</v>
      </c>
      <c r="Y270" s="10" t="n">
        <v>39975</v>
      </c>
    </row>
    <row r="271" customFormat="false" ht="14.25" hidden="false" customHeight="false" outlineLevel="0" collapsed="false">
      <c r="A271" s="1" t="n">
        <v>2009</v>
      </c>
      <c r="B271" s="1" t="n">
        <v>1</v>
      </c>
      <c r="C271" s="2" t="s">
        <v>44</v>
      </c>
      <c r="D271" s="7" t="s">
        <v>118</v>
      </c>
      <c r="E271" s="1" t="n">
        <v>2</v>
      </c>
      <c r="F271" s="1" t="n">
        <f aca="false">Y271-X271</f>
        <v>5</v>
      </c>
      <c r="G271" s="1" t="n">
        <v>5</v>
      </c>
      <c r="H271" s="3" t="s">
        <v>138</v>
      </c>
      <c r="I271" s="3" t="s">
        <v>57</v>
      </c>
      <c r="J271" s="12" t="s">
        <v>38</v>
      </c>
      <c r="K271" s="2" t="str">
        <f aca="false">CONCATENATE(I271," ",J271)</f>
        <v>Gen sp</v>
      </c>
      <c r="L271" s="3" t="n">
        <f aca="false">SUM(P271:U271)</f>
        <v>1</v>
      </c>
      <c r="M271" s="11" t="n">
        <f aca="false">(L271/(F271*G271)*25)*4</f>
        <v>4</v>
      </c>
      <c r="N271" s="15" t="s">
        <v>19</v>
      </c>
      <c r="O271" s="15" t="s">
        <v>35</v>
      </c>
      <c r="P271" s="1" t="n">
        <v>0</v>
      </c>
      <c r="Q271" s="1" t="n">
        <v>0</v>
      </c>
      <c r="R271" s="1" t="n">
        <v>0</v>
      </c>
      <c r="S271" s="1" t="n">
        <v>1</v>
      </c>
      <c r="T271" s="1" t="n">
        <v>0</v>
      </c>
      <c r="U271" s="1" t="n">
        <v>0</v>
      </c>
      <c r="V271" s="3" t="n">
        <f aca="false">SUM(P271:Q271)</f>
        <v>0</v>
      </c>
      <c r="W271" s="3" t="n">
        <f aca="false">SUM(R271:T271)</f>
        <v>1</v>
      </c>
      <c r="X271" s="10" t="n">
        <v>39970</v>
      </c>
      <c r="Y271" s="10" t="n">
        <v>39975</v>
      </c>
    </row>
    <row r="272" customFormat="false" ht="14.25" hidden="false" customHeight="false" outlineLevel="0" collapsed="false">
      <c r="A272" s="1" t="n">
        <v>2009</v>
      </c>
      <c r="B272" s="1" t="n">
        <v>1</v>
      </c>
      <c r="C272" s="2" t="s">
        <v>44</v>
      </c>
      <c r="D272" s="7" t="s">
        <v>118</v>
      </c>
      <c r="E272" s="1" t="n">
        <v>3</v>
      </c>
      <c r="F272" s="1" t="n">
        <f aca="false">Y272-X272</f>
        <v>5</v>
      </c>
      <c r="G272" s="1" t="n">
        <v>5</v>
      </c>
      <c r="H272" s="3" t="s">
        <v>48</v>
      </c>
      <c r="I272" s="3" t="s">
        <v>49</v>
      </c>
      <c r="J272" s="8" t="s">
        <v>130</v>
      </c>
      <c r="K272" s="2" t="str">
        <f aca="false">CONCATENATE(I272," ",J272)</f>
        <v>Alopecosa aculeata</v>
      </c>
      <c r="L272" s="3" t="n">
        <f aca="false">SUM(P272:U272)</f>
        <v>2</v>
      </c>
      <c r="M272" s="11" t="n">
        <f aca="false">(L272/(F272*G272)*25)*4</f>
        <v>8</v>
      </c>
      <c r="N272" s="1" t="s">
        <v>30</v>
      </c>
      <c r="O272" s="1" t="s">
        <v>31</v>
      </c>
      <c r="P272" s="1" t="n">
        <v>2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3" t="n">
        <f aca="false">SUM(P272:Q272)</f>
        <v>2</v>
      </c>
      <c r="W272" s="3" t="n">
        <f aca="false">SUM(R272:T272)</f>
        <v>0</v>
      </c>
      <c r="X272" s="10" t="n">
        <v>39970</v>
      </c>
      <c r="Y272" s="10" t="n">
        <v>39975</v>
      </c>
    </row>
    <row r="273" customFormat="false" ht="14.25" hidden="false" customHeight="false" outlineLevel="0" collapsed="false">
      <c r="A273" s="1" t="n">
        <v>2009</v>
      </c>
      <c r="B273" s="1" t="n">
        <v>1</v>
      </c>
      <c r="C273" s="2" t="s">
        <v>44</v>
      </c>
      <c r="D273" s="7" t="s">
        <v>118</v>
      </c>
      <c r="E273" s="1" t="n">
        <v>3</v>
      </c>
      <c r="F273" s="1" t="n">
        <f aca="false">Y273-X273</f>
        <v>5</v>
      </c>
      <c r="G273" s="1" t="n">
        <v>5</v>
      </c>
      <c r="H273" s="3" t="s">
        <v>48</v>
      </c>
      <c r="I273" s="3" t="s">
        <v>49</v>
      </c>
      <c r="J273" s="12" t="s">
        <v>119</v>
      </c>
      <c r="K273" s="2" t="str">
        <f aca="false">CONCATENATE(I273," ",J273)</f>
        <v>Alopecosa sulzeri</v>
      </c>
      <c r="L273" s="3" t="n">
        <f aca="false">SUM(P273:U273)</f>
        <v>1</v>
      </c>
      <c r="M273" s="11" t="n">
        <f aca="false">(L273/(F273*G273)*25)*4</f>
        <v>4</v>
      </c>
      <c r="N273" s="1" t="s">
        <v>30</v>
      </c>
      <c r="O273" s="1" t="s">
        <v>31</v>
      </c>
      <c r="P273" s="1" t="n">
        <v>1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3" t="n">
        <f aca="false">SUM(P273:Q273)</f>
        <v>1</v>
      </c>
      <c r="W273" s="3" t="n">
        <f aca="false">SUM(R273:T273)</f>
        <v>0</v>
      </c>
      <c r="X273" s="10" t="n">
        <v>39970</v>
      </c>
      <c r="Y273" s="10" t="n">
        <v>39975</v>
      </c>
    </row>
    <row r="274" customFormat="false" ht="14.25" hidden="false" customHeight="false" outlineLevel="0" collapsed="false">
      <c r="A274" s="1" t="n">
        <v>2009</v>
      </c>
      <c r="B274" s="1" t="n">
        <v>1</v>
      </c>
      <c r="C274" s="2" t="s">
        <v>44</v>
      </c>
      <c r="D274" s="7" t="s">
        <v>118</v>
      </c>
      <c r="E274" s="1" t="n">
        <v>3</v>
      </c>
      <c r="F274" s="1" t="n">
        <f aca="false">Y274-X274</f>
        <v>5</v>
      </c>
      <c r="G274" s="1" t="n">
        <v>5</v>
      </c>
      <c r="H274" s="3" t="s">
        <v>36</v>
      </c>
      <c r="I274" s="3" t="s">
        <v>131</v>
      </c>
      <c r="J274" s="12" t="s">
        <v>133</v>
      </c>
      <c r="K274" s="2" t="str">
        <f aca="false">CONCATENATE(I274," ",J274)</f>
        <v>Xysticus luctuosus</v>
      </c>
      <c r="L274" s="3" t="n">
        <f aca="false">SUM(P274:U274)</f>
        <v>1</v>
      </c>
      <c r="M274" s="11" t="n">
        <f aca="false">(L274/(F274*G274)*25)*4</f>
        <v>4</v>
      </c>
      <c r="N274" s="1" t="s">
        <v>30</v>
      </c>
      <c r="O274" s="1" t="s">
        <v>35</v>
      </c>
      <c r="P274" s="1" t="n">
        <v>0</v>
      </c>
      <c r="Q274" s="1" t="n">
        <v>1</v>
      </c>
      <c r="R274" s="1" t="n">
        <v>0</v>
      </c>
      <c r="S274" s="1" t="n">
        <v>0</v>
      </c>
      <c r="T274" s="1" t="n">
        <v>0</v>
      </c>
      <c r="U274" s="1" t="n">
        <v>0</v>
      </c>
      <c r="V274" s="3" t="n">
        <f aca="false">SUM(P274:Q274)</f>
        <v>1</v>
      </c>
      <c r="W274" s="3" t="n">
        <f aca="false">SUM(R274:T274)</f>
        <v>0</v>
      </c>
      <c r="X274" s="10" t="n">
        <v>39970</v>
      </c>
      <c r="Y274" s="10" t="n">
        <v>39975</v>
      </c>
    </row>
    <row r="275" customFormat="false" ht="14.25" hidden="false" customHeight="false" outlineLevel="0" collapsed="false">
      <c r="A275" s="1" t="n">
        <v>2009</v>
      </c>
      <c r="B275" s="1" t="n">
        <v>1</v>
      </c>
      <c r="C275" s="2" t="s">
        <v>44</v>
      </c>
      <c r="D275" s="7" t="s">
        <v>118</v>
      </c>
      <c r="E275" s="1" t="n">
        <v>3</v>
      </c>
      <c r="F275" s="1" t="n">
        <f aca="false">Y275-X275</f>
        <v>5</v>
      </c>
      <c r="G275" s="1" t="n">
        <v>5</v>
      </c>
      <c r="H275" s="3" t="s">
        <v>48</v>
      </c>
      <c r="I275" s="3" t="s">
        <v>122</v>
      </c>
      <c r="J275" s="12" t="s">
        <v>123</v>
      </c>
      <c r="K275" s="2" t="str">
        <f aca="false">CONCATENATE(I275," ",J275)</f>
        <v>Xerolycosa nemoralis</v>
      </c>
      <c r="L275" s="3" t="n">
        <f aca="false">SUM(P275:U275)</f>
        <v>13</v>
      </c>
      <c r="M275" s="11" t="n">
        <f aca="false">(L275/(F275*G275)*25)*4</f>
        <v>52</v>
      </c>
      <c r="N275" s="1" t="s">
        <v>30</v>
      </c>
      <c r="O275" s="1" t="s">
        <v>31</v>
      </c>
      <c r="P275" s="1" t="n">
        <v>13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3" t="n">
        <f aca="false">SUM(P275:Q275)</f>
        <v>13</v>
      </c>
      <c r="W275" s="3" t="n">
        <f aca="false">SUM(R275:T275)</f>
        <v>0</v>
      </c>
      <c r="X275" s="10" t="n">
        <v>39970</v>
      </c>
      <c r="Y275" s="10" t="n">
        <v>39975</v>
      </c>
    </row>
    <row r="276" customFormat="false" ht="14.25" hidden="false" customHeight="false" outlineLevel="0" collapsed="false">
      <c r="A276" s="1" t="n">
        <v>2009</v>
      </c>
      <c r="B276" s="1" t="n">
        <v>1</v>
      </c>
      <c r="C276" s="2" t="s">
        <v>44</v>
      </c>
      <c r="D276" s="7" t="s">
        <v>118</v>
      </c>
      <c r="E276" s="1" t="n">
        <v>3</v>
      </c>
      <c r="F276" s="1" t="n">
        <f aca="false">Y276-X276</f>
        <v>5</v>
      </c>
      <c r="G276" s="1" t="n">
        <v>5</v>
      </c>
      <c r="H276" s="3" t="s">
        <v>48</v>
      </c>
      <c r="I276" s="3" t="s">
        <v>122</v>
      </c>
      <c r="J276" s="12" t="s">
        <v>123</v>
      </c>
      <c r="K276" s="2" t="str">
        <f aca="false">CONCATENATE(I276," ",J276)</f>
        <v>Xerolycosa nemoralis</v>
      </c>
      <c r="L276" s="3" t="n">
        <f aca="false">SUM(P276:U276)</f>
        <v>3</v>
      </c>
      <c r="M276" s="11" t="n">
        <f aca="false">(L276/(F276*G276)*25)*4</f>
        <v>12</v>
      </c>
      <c r="N276" s="1" t="s">
        <v>30</v>
      </c>
      <c r="O276" s="1" t="s">
        <v>35</v>
      </c>
      <c r="P276" s="1" t="n">
        <v>0</v>
      </c>
      <c r="Q276" s="1" t="n">
        <v>3</v>
      </c>
      <c r="R276" s="1" t="n">
        <v>0</v>
      </c>
      <c r="S276" s="1" t="n">
        <v>0</v>
      </c>
      <c r="T276" s="1" t="n">
        <v>0</v>
      </c>
      <c r="U276" s="1" t="n">
        <v>0</v>
      </c>
      <c r="V276" s="3" t="n">
        <f aca="false">SUM(P276:Q276)</f>
        <v>3</v>
      </c>
      <c r="W276" s="3" t="n">
        <f aca="false">SUM(R276:T276)</f>
        <v>0</v>
      </c>
      <c r="X276" s="10" t="n">
        <v>39970</v>
      </c>
      <c r="Y276" s="10" t="n">
        <v>39975</v>
      </c>
    </row>
    <row r="277" customFormat="false" ht="14.25" hidden="false" customHeight="false" outlineLevel="0" collapsed="false">
      <c r="A277" s="1" t="n">
        <v>2009</v>
      </c>
      <c r="B277" s="1" t="n">
        <v>1</v>
      </c>
      <c r="C277" s="2" t="s">
        <v>44</v>
      </c>
      <c r="D277" s="7" t="s">
        <v>118</v>
      </c>
      <c r="E277" s="1" t="n">
        <v>3</v>
      </c>
      <c r="F277" s="1" t="n">
        <f aca="false">Y277-X277</f>
        <v>5</v>
      </c>
      <c r="G277" s="1" t="n">
        <v>5</v>
      </c>
      <c r="H277" s="3" t="s">
        <v>48</v>
      </c>
      <c r="I277" s="3" t="s">
        <v>67</v>
      </c>
      <c r="J277" s="12" t="s">
        <v>127</v>
      </c>
      <c r="K277" s="2" t="str">
        <f aca="false">CONCATENATE(I277," ",J277)</f>
        <v>Pardosa lugubris</v>
      </c>
      <c r="L277" s="3" t="n">
        <f aca="false">SUM(P277:U277)</f>
        <v>2</v>
      </c>
      <c r="M277" s="11" t="n">
        <f aca="false">(L277/(F277*G277)*25)*4</f>
        <v>8</v>
      </c>
      <c r="N277" s="1" t="s">
        <v>30</v>
      </c>
      <c r="O277" s="1" t="s">
        <v>31</v>
      </c>
      <c r="P277" s="1" t="n">
        <v>2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0</v>
      </c>
      <c r="V277" s="3" t="n">
        <f aca="false">SUM(P277:Q277)</f>
        <v>2</v>
      </c>
      <c r="W277" s="3" t="n">
        <f aca="false">SUM(R277:T277)</f>
        <v>0</v>
      </c>
      <c r="X277" s="10" t="n">
        <v>39970</v>
      </c>
      <c r="Y277" s="10" t="n">
        <v>39975</v>
      </c>
    </row>
    <row r="278" customFormat="false" ht="14.25" hidden="false" customHeight="false" outlineLevel="0" collapsed="false">
      <c r="A278" s="1" t="n">
        <v>2009</v>
      </c>
      <c r="B278" s="1" t="n">
        <v>1</v>
      </c>
      <c r="C278" s="2" t="s">
        <v>44</v>
      </c>
      <c r="D278" s="7" t="s">
        <v>118</v>
      </c>
      <c r="E278" s="1" t="n">
        <v>3</v>
      </c>
      <c r="F278" s="1" t="n">
        <f aca="false">Y278-X278</f>
        <v>5</v>
      </c>
      <c r="G278" s="1" t="n">
        <v>5</v>
      </c>
      <c r="H278" s="3" t="s">
        <v>72</v>
      </c>
      <c r="I278" s="3" t="s">
        <v>86</v>
      </c>
      <c r="J278" s="12" t="s">
        <v>134</v>
      </c>
      <c r="K278" s="2" t="str">
        <f aca="false">CONCATENATE(I278," ",J278)</f>
        <v>Haplodrassus umbratilis</v>
      </c>
      <c r="L278" s="3" t="n">
        <f aca="false">SUM(P278:U278)</f>
        <v>1</v>
      </c>
      <c r="M278" s="11" t="n">
        <f aca="false">(L278/(F278*G278)*25)*4</f>
        <v>4</v>
      </c>
      <c r="N278" s="1" t="s">
        <v>30</v>
      </c>
      <c r="O278" s="1" t="s">
        <v>31</v>
      </c>
      <c r="P278" s="1" t="n">
        <v>1</v>
      </c>
      <c r="Q278" s="1" t="n">
        <v>0</v>
      </c>
      <c r="R278" s="1" t="n">
        <v>0</v>
      </c>
      <c r="S278" s="1" t="n">
        <v>0</v>
      </c>
      <c r="T278" s="1" t="n">
        <v>0</v>
      </c>
      <c r="U278" s="1" t="n">
        <v>0</v>
      </c>
      <c r="V278" s="3" t="n">
        <f aca="false">SUM(P278:Q278)</f>
        <v>1</v>
      </c>
      <c r="W278" s="3" t="n">
        <f aca="false">SUM(R278:T278)</f>
        <v>0</v>
      </c>
      <c r="X278" s="10" t="n">
        <v>39970</v>
      </c>
      <c r="Y278" s="10" t="n">
        <v>39975</v>
      </c>
    </row>
    <row r="279" customFormat="false" ht="14.25" hidden="false" customHeight="false" outlineLevel="0" collapsed="false">
      <c r="A279" s="1" t="n">
        <v>2009</v>
      </c>
      <c r="B279" s="1" t="n">
        <v>1</v>
      </c>
      <c r="C279" s="2" t="s">
        <v>44</v>
      </c>
      <c r="D279" s="7" t="s">
        <v>118</v>
      </c>
      <c r="E279" s="1" t="n">
        <v>3</v>
      </c>
      <c r="F279" s="1" t="n">
        <f aca="false">Y279-X279</f>
        <v>5</v>
      </c>
      <c r="G279" s="1" t="n">
        <v>5</v>
      </c>
      <c r="H279" s="3" t="s">
        <v>72</v>
      </c>
      <c r="I279" s="3" t="s">
        <v>73</v>
      </c>
      <c r="J279" s="12" t="s">
        <v>38</v>
      </c>
      <c r="K279" s="2" t="str">
        <f aca="false">CONCATENATE(I279," ",J279)</f>
        <v>Zelotes sp</v>
      </c>
      <c r="L279" s="3" t="n">
        <f aca="false">SUM(P279:U279)</f>
        <v>2</v>
      </c>
      <c r="M279" s="11" t="n">
        <f aca="false">(L279/(F279*G279)*25)*4</f>
        <v>8</v>
      </c>
      <c r="N279" s="1" t="s">
        <v>19</v>
      </c>
      <c r="O279" s="1" t="s">
        <v>54</v>
      </c>
      <c r="P279" s="1" t="n">
        <v>0</v>
      </c>
      <c r="Q279" s="1" t="n">
        <v>0</v>
      </c>
      <c r="R279" s="1" t="n">
        <v>0</v>
      </c>
      <c r="S279" s="1" t="n">
        <v>0</v>
      </c>
      <c r="T279" s="1" t="n">
        <v>2</v>
      </c>
      <c r="U279" s="1" t="n">
        <v>0</v>
      </c>
      <c r="V279" s="3" t="n">
        <f aca="false">SUM(P279:Q279)</f>
        <v>0</v>
      </c>
      <c r="W279" s="3" t="n">
        <f aca="false">SUM(R279:T279)</f>
        <v>2</v>
      </c>
      <c r="X279" s="10" t="n">
        <v>39970</v>
      </c>
      <c r="Y279" s="10" t="n">
        <v>39975</v>
      </c>
    </row>
    <row r="280" customFormat="false" ht="14.25" hidden="false" customHeight="false" outlineLevel="0" collapsed="false">
      <c r="A280" s="1" t="n">
        <v>2009</v>
      </c>
      <c r="B280" s="1" t="n">
        <v>1</v>
      </c>
      <c r="C280" s="2" t="s">
        <v>44</v>
      </c>
      <c r="D280" s="7" t="s">
        <v>118</v>
      </c>
      <c r="E280" s="1" t="n">
        <v>1</v>
      </c>
      <c r="F280" s="1" t="n">
        <f aca="false">Y280-X280</f>
        <v>5</v>
      </c>
      <c r="G280" s="1" t="n">
        <v>5</v>
      </c>
      <c r="H280" s="3" t="s">
        <v>124</v>
      </c>
      <c r="I280" s="3" t="s">
        <v>125</v>
      </c>
      <c r="J280" s="12" t="s">
        <v>126</v>
      </c>
      <c r="K280" s="2" t="str">
        <f aca="false">CONCATENATE(I280," ",J280)</f>
        <v>Hahnia ononidum</v>
      </c>
      <c r="L280" s="3" t="n">
        <f aca="false">SUM(P280:U280)</f>
        <v>1</v>
      </c>
      <c r="M280" s="11" t="n">
        <f aca="false">(L280/(F280*G280)*25)*4</f>
        <v>4</v>
      </c>
      <c r="N280" s="1" t="s">
        <v>30</v>
      </c>
      <c r="O280" s="1" t="s">
        <v>31</v>
      </c>
      <c r="P280" s="1" t="n">
        <v>1</v>
      </c>
      <c r="Q280" s="1" t="n">
        <v>0</v>
      </c>
      <c r="R280" s="1" t="n">
        <v>0</v>
      </c>
      <c r="S280" s="1" t="n">
        <v>0</v>
      </c>
      <c r="T280" s="1" t="n">
        <v>0</v>
      </c>
      <c r="U280" s="1" t="n">
        <v>0</v>
      </c>
      <c r="V280" s="3" t="n">
        <f aca="false">SUM(P280:Q280)</f>
        <v>1</v>
      </c>
      <c r="W280" s="3" t="n">
        <f aca="false">SUM(R280:T280)</f>
        <v>0</v>
      </c>
      <c r="X280" s="10" t="n">
        <v>39970</v>
      </c>
      <c r="Y280" s="10" t="n">
        <v>39975</v>
      </c>
    </row>
    <row r="281" customFormat="false" ht="14.25" hidden="false" customHeight="false" outlineLevel="0" collapsed="false">
      <c r="A281" s="1" t="n">
        <v>2009</v>
      </c>
      <c r="B281" s="1" t="n">
        <v>1</v>
      </c>
      <c r="C281" s="2" t="s">
        <v>44</v>
      </c>
      <c r="D281" s="7" t="s">
        <v>118</v>
      </c>
      <c r="E281" s="1" t="n">
        <v>1</v>
      </c>
      <c r="F281" s="1" t="n">
        <f aca="false">Y281-X281</f>
        <v>5</v>
      </c>
      <c r="G281" s="1" t="n">
        <v>5</v>
      </c>
      <c r="H281" s="3" t="s">
        <v>124</v>
      </c>
      <c r="I281" s="3" t="s">
        <v>125</v>
      </c>
      <c r="J281" s="12" t="s">
        <v>126</v>
      </c>
      <c r="K281" s="2" t="str">
        <f aca="false">CONCATENATE(I281," ",J281)</f>
        <v>Hahnia ononidum</v>
      </c>
      <c r="L281" s="3" t="n">
        <f aca="false">SUM(P281:U281)</f>
        <v>1</v>
      </c>
      <c r="M281" s="11" t="n">
        <f aca="false">(L281/(F281*G281)*25)*4</f>
        <v>4</v>
      </c>
      <c r="N281" s="1" t="s">
        <v>30</v>
      </c>
      <c r="O281" s="1" t="s">
        <v>35</v>
      </c>
      <c r="P281" s="1" t="n">
        <v>0</v>
      </c>
      <c r="Q281" s="1" t="n">
        <v>1</v>
      </c>
      <c r="R281" s="1" t="n">
        <v>0</v>
      </c>
      <c r="S281" s="1" t="n">
        <v>0</v>
      </c>
      <c r="T281" s="1" t="n">
        <v>0</v>
      </c>
      <c r="U281" s="1" t="n">
        <v>0</v>
      </c>
      <c r="V281" s="3" t="n">
        <f aca="false">SUM(P281:Q281)</f>
        <v>1</v>
      </c>
      <c r="W281" s="3" t="n">
        <f aca="false">SUM(R281:T281)</f>
        <v>0</v>
      </c>
      <c r="X281" s="10" t="n">
        <v>39970</v>
      </c>
      <c r="Y281" s="10" t="n">
        <v>39975</v>
      </c>
    </row>
    <row r="282" customFormat="false" ht="14.25" hidden="false" customHeight="false" outlineLevel="0" collapsed="false">
      <c r="A282" s="1" t="n">
        <v>2009</v>
      </c>
      <c r="B282" s="1" t="n">
        <v>1</v>
      </c>
      <c r="C282" s="2" t="s">
        <v>44</v>
      </c>
      <c r="D282" s="7" t="s">
        <v>118</v>
      </c>
      <c r="E282" s="1" t="n">
        <v>1</v>
      </c>
      <c r="F282" s="1" t="n">
        <f aca="false">Y282-X282</f>
        <v>5</v>
      </c>
      <c r="G282" s="1" t="n">
        <v>5</v>
      </c>
      <c r="H282" s="3" t="s">
        <v>48</v>
      </c>
      <c r="I282" s="3" t="s">
        <v>49</v>
      </c>
      <c r="J282" s="12" t="s">
        <v>119</v>
      </c>
      <c r="K282" s="2" t="str">
        <f aca="false">CONCATENATE(I282," ",J282)</f>
        <v>Alopecosa sulzeri</v>
      </c>
      <c r="L282" s="3" t="n">
        <f aca="false">SUM(P282:U282)</f>
        <v>5</v>
      </c>
      <c r="M282" s="11" t="n">
        <f aca="false">(L282/(F282*G282)*25)*4</f>
        <v>20</v>
      </c>
      <c r="N282" s="1" t="s">
        <v>30</v>
      </c>
      <c r="O282" s="1" t="s">
        <v>31</v>
      </c>
      <c r="P282" s="1" t="n">
        <v>5</v>
      </c>
      <c r="Q282" s="1" t="n">
        <v>0</v>
      </c>
      <c r="R282" s="1" t="n">
        <v>0</v>
      </c>
      <c r="S282" s="1" t="n">
        <v>0</v>
      </c>
      <c r="T282" s="1" t="n">
        <v>0</v>
      </c>
      <c r="U282" s="1" t="n">
        <v>0</v>
      </c>
      <c r="V282" s="3" t="n">
        <f aca="false">SUM(P282:Q282)</f>
        <v>5</v>
      </c>
      <c r="W282" s="3" t="n">
        <f aca="false">SUM(R282:T282)</f>
        <v>0</v>
      </c>
      <c r="X282" s="10" t="n">
        <v>39970</v>
      </c>
      <c r="Y282" s="10" t="n">
        <v>39975</v>
      </c>
    </row>
    <row r="283" customFormat="false" ht="14.25" hidden="false" customHeight="false" outlineLevel="0" collapsed="false">
      <c r="A283" s="1" t="n">
        <v>2009</v>
      </c>
      <c r="B283" s="1" t="n">
        <v>1</v>
      </c>
      <c r="C283" s="2" t="s">
        <v>44</v>
      </c>
      <c r="D283" s="7" t="s">
        <v>118</v>
      </c>
      <c r="E283" s="1" t="n">
        <v>1</v>
      </c>
      <c r="F283" s="1" t="n">
        <f aca="false">Y283-X283</f>
        <v>5</v>
      </c>
      <c r="G283" s="1" t="n">
        <v>5</v>
      </c>
      <c r="H283" s="3" t="s">
        <v>48</v>
      </c>
      <c r="I283" s="3" t="s">
        <v>49</v>
      </c>
      <c r="J283" s="12" t="s">
        <v>119</v>
      </c>
      <c r="K283" s="2" t="str">
        <f aca="false">CONCATENATE(I283," ",J283)</f>
        <v>Alopecosa sulzeri</v>
      </c>
      <c r="L283" s="3" t="n">
        <f aca="false">SUM(P283:U283)</f>
        <v>1</v>
      </c>
      <c r="M283" s="11" t="n">
        <f aca="false">(L283/(F283*G283)*25)*4</f>
        <v>4</v>
      </c>
      <c r="N283" s="1" t="s">
        <v>30</v>
      </c>
      <c r="O283" s="1" t="s">
        <v>35</v>
      </c>
      <c r="P283" s="1" t="n">
        <v>0</v>
      </c>
      <c r="Q283" s="1" t="n">
        <v>1</v>
      </c>
      <c r="R283" s="1" t="n">
        <v>0</v>
      </c>
      <c r="S283" s="1" t="n">
        <v>0</v>
      </c>
      <c r="T283" s="1" t="n">
        <v>0</v>
      </c>
      <c r="U283" s="1" t="n">
        <v>0</v>
      </c>
      <c r="V283" s="3" t="n">
        <f aca="false">SUM(P283:Q283)</f>
        <v>1</v>
      </c>
      <c r="W283" s="3" t="n">
        <f aca="false">SUM(R283:T283)</f>
        <v>0</v>
      </c>
      <c r="X283" s="10" t="n">
        <v>39970</v>
      </c>
      <c r="Y283" s="10" t="n">
        <v>39975</v>
      </c>
    </row>
    <row r="284" customFormat="false" ht="14.25" hidden="false" customHeight="false" outlineLevel="0" collapsed="false">
      <c r="A284" s="1" t="n">
        <v>2009</v>
      </c>
      <c r="B284" s="1" t="n">
        <v>1</v>
      </c>
      <c r="C284" s="2" t="s">
        <v>44</v>
      </c>
      <c r="D284" s="7" t="s">
        <v>118</v>
      </c>
      <c r="E284" s="1" t="n">
        <v>1</v>
      </c>
      <c r="F284" s="1" t="n">
        <f aca="false">Y284-X284</f>
        <v>5</v>
      </c>
      <c r="G284" s="1" t="n">
        <v>5</v>
      </c>
      <c r="H284" s="3" t="s">
        <v>48</v>
      </c>
      <c r="I284" s="3" t="s">
        <v>49</v>
      </c>
      <c r="J284" s="12" t="s">
        <v>38</v>
      </c>
      <c r="K284" s="2" t="str">
        <f aca="false">CONCATENATE(I284," ",J284)</f>
        <v>Alopecosa sp</v>
      </c>
      <c r="L284" s="3" t="n">
        <f aca="false">SUM(P284:U284)</f>
        <v>1</v>
      </c>
      <c r="M284" s="11" t="n">
        <f aca="false">(L284/(F284*G284)*25)*4</f>
        <v>4</v>
      </c>
      <c r="N284" s="1" t="s">
        <v>30</v>
      </c>
      <c r="O284" s="1" t="s">
        <v>35</v>
      </c>
      <c r="P284" s="1" t="n">
        <v>0</v>
      </c>
      <c r="Q284" s="1" t="n">
        <v>1</v>
      </c>
      <c r="R284" s="1" t="n">
        <v>0</v>
      </c>
      <c r="S284" s="1" t="n">
        <v>0</v>
      </c>
      <c r="T284" s="1" t="n">
        <v>0</v>
      </c>
      <c r="U284" s="1" t="n">
        <v>0</v>
      </c>
      <c r="V284" s="3" t="n">
        <f aca="false">SUM(P284:Q284)</f>
        <v>1</v>
      </c>
      <c r="W284" s="3" t="n">
        <f aca="false">SUM(R284:T284)</f>
        <v>0</v>
      </c>
      <c r="X284" s="10" t="n">
        <v>39970</v>
      </c>
      <c r="Y284" s="10" t="n">
        <v>39975</v>
      </c>
    </row>
    <row r="285" customFormat="false" ht="14.25" hidden="false" customHeight="false" outlineLevel="0" collapsed="false">
      <c r="A285" s="1" t="n">
        <v>2009</v>
      </c>
      <c r="B285" s="1" t="n">
        <v>1</v>
      </c>
      <c r="C285" s="2" t="s">
        <v>44</v>
      </c>
      <c r="D285" s="7" t="s">
        <v>118</v>
      </c>
      <c r="E285" s="1" t="n">
        <v>1</v>
      </c>
      <c r="F285" s="1" t="n">
        <f aca="false">Y285-X285</f>
        <v>5</v>
      </c>
      <c r="G285" s="1" t="n">
        <v>5</v>
      </c>
      <c r="H285" s="3" t="s">
        <v>48</v>
      </c>
      <c r="I285" s="3" t="s">
        <v>49</v>
      </c>
      <c r="J285" s="8" t="s">
        <v>130</v>
      </c>
      <c r="K285" s="2" t="str">
        <f aca="false">CONCATENATE(I285," ",J285)</f>
        <v>Alopecosa aculeata</v>
      </c>
      <c r="L285" s="3" t="n">
        <f aca="false">SUM(P285:U285)</f>
        <v>2</v>
      </c>
      <c r="M285" s="11" t="n">
        <f aca="false">(L285/(F285*G285)*25)*4</f>
        <v>8</v>
      </c>
      <c r="N285" s="1" t="s">
        <v>30</v>
      </c>
      <c r="O285" s="1" t="s">
        <v>31</v>
      </c>
      <c r="P285" s="1" t="n">
        <v>2</v>
      </c>
      <c r="Q285" s="1" t="n">
        <v>0</v>
      </c>
      <c r="R285" s="1" t="n">
        <v>0</v>
      </c>
      <c r="S285" s="1" t="n">
        <v>0</v>
      </c>
      <c r="T285" s="1" t="n">
        <v>0</v>
      </c>
      <c r="U285" s="1" t="n">
        <v>0</v>
      </c>
      <c r="V285" s="3" t="n">
        <f aca="false">SUM(P285:Q285)</f>
        <v>2</v>
      </c>
      <c r="W285" s="3" t="n">
        <f aca="false">SUM(R285:T285)</f>
        <v>0</v>
      </c>
      <c r="X285" s="10" t="n">
        <v>39970</v>
      </c>
      <c r="Y285" s="10" t="n">
        <v>39975</v>
      </c>
    </row>
    <row r="286" customFormat="false" ht="14.25" hidden="false" customHeight="false" outlineLevel="0" collapsed="false">
      <c r="A286" s="1" t="n">
        <v>2009</v>
      </c>
      <c r="B286" s="1" t="n">
        <v>1</v>
      </c>
      <c r="C286" s="2" t="s">
        <v>44</v>
      </c>
      <c r="D286" s="7" t="s">
        <v>118</v>
      </c>
      <c r="E286" s="1" t="n">
        <v>1</v>
      </c>
      <c r="F286" s="1" t="n">
        <f aca="false">Y286-X286</f>
        <v>5</v>
      </c>
      <c r="G286" s="1" t="n">
        <v>5</v>
      </c>
      <c r="H286" s="3" t="s">
        <v>48</v>
      </c>
      <c r="I286" s="3" t="s">
        <v>122</v>
      </c>
      <c r="J286" s="12" t="s">
        <v>123</v>
      </c>
      <c r="K286" s="2" t="str">
        <f aca="false">CONCATENATE(I286," ",J286)</f>
        <v>Xerolycosa nemoralis</v>
      </c>
      <c r="L286" s="3" t="n">
        <f aca="false">SUM(P286:U286)</f>
        <v>1</v>
      </c>
      <c r="M286" s="11" t="n">
        <f aca="false">(L286/(F286*G286)*25)*4</f>
        <v>4</v>
      </c>
      <c r="N286" s="1" t="s">
        <v>30</v>
      </c>
      <c r="O286" s="1" t="s">
        <v>31</v>
      </c>
      <c r="P286" s="1" t="n">
        <v>1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3" t="n">
        <f aca="false">SUM(P286:Q286)</f>
        <v>1</v>
      </c>
      <c r="W286" s="3" t="n">
        <f aca="false">SUM(R286:T286)</f>
        <v>0</v>
      </c>
      <c r="X286" s="10" t="n">
        <v>39970</v>
      </c>
      <c r="Y286" s="10" t="n">
        <v>39975</v>
      </c>
    </row>
    <row r="287" customFormat="false" ht="14.25" hidden="false" customHeight="false" outlineLevel="0" collapsed="false">
      <c r="A287" s="1" t="n">
        <v>2009</v>
      </c>
      <c r="B287" s="1" t="n">
        <v>1</v>
      </c>
      <c r="C287" s="2" t="s">
        <v>44</v>
      </c>
      <c r="D287" s="7" t="s">
        <v>118</v>
      </c>
      <c r="E287" s="1" t="n">
        <v>1</v>
      </c>
      <c r="F287" s="1" t="n">
        <f aca="false">Y287-X287</f>
        <v>5</v>
      </c>
      <c r="G287" s="1" t="n">
        <v>5</v>
      </c>
      <c r="H287" s="3" t="s">
        <v>36</v>
      </c>
      <c r="I287" s="3" t="s">
        <v>131</v>
      </c>
      <c r="J287" s="12" t="s">
        <v>133</v>
      </c>
      <c r="K287" s="2" t="str">
        <f aca="false">CONCATENATE(I287," ",J287)</f>
        <v>Xysticus luctuosus</v>
      </c>
      <c r="L287" s="3" t="n">
        <f aca="false">SUM(P287:U287)</f>
        <v>1</v>
      </c>
      <c r="M287" s="11" t="n">
        <f aca="false">(L287/(F287*G287)*25)*4</f>
        <v>4</v>
      </c>
      <c r="N287" s="1" t="s">
        <v>30</v>
      </c>
      <c r="O287" s="1" t="s">
        <v>31</v>
      </c>
      <c r="P287" s="1" t="n">
        <v>1</v>
      </c>
      <c r="Q287" s="1" t="n">
        <v>0</v>
      </c>
      <c r="R287" s="1" t="n">
        <v>0</v>
      </c>
      <c r="S287" s="1" t="n">
        <v>0</v>
      </c>
      <c r="T287" s="1" t="n">
        <v>0</v>
      </c>
      <c r="U287" s="1" t="n">
        <v>0</v>
      </c>
      <c r="V287" s="3" t="n">
        <f aca="false">SUM(P287:Q287)</f>
        <v>1</v>
      </c>
      <c r="W287" s="3" t="n">
        <f aca="false">SUM(R287:T287)</f>
        <v>0</v>
      </c>
      <c r="X287" s="10" t="n">
        <v>39970</v>
      </c>
      <c r="Y287" s="10" t="n">
        <v>39975</v>
      </c>
    </row>
    <row r="288" customFormat="false" ht="14.25" hidden="false" customHeight="false" outlineLevel="0" collapsed="false">
      <c r="A288" s="1" t="n">
        <v>2009</v>
      </c>
      <c r="B288" s="1" t="n">
        <v>1</v>
      </c>
      <c r="C288" s="2" t="s">
        <v>44</v>
      </c>
      <c r="D288" s="7" t="s">
        <v>118</v>
      </c>
      <c r="E288" s="1" t="n">
        <v>1</v>
      </c>
      <c r="F288" s="1" t="n">
        <f aca="false">Y288-X288</f>
        <v>5</v>
      </c>
      <c r="G288" s="1" t="n">
        <v>5</v>
      </c>
      <c r="H288" s="3" t="s">
        <v>48</v>
      </c>
      <c r="I288" s="3" t="s">
        <v>49</v>
      </c>
      <c r="J288" s="12" t="s">
        <v>38</v>
      </c>
      <c r="K288" s="2" t="str">
        <f aca="false">CONCATENATE(I288," ",J288)</f>
        <v>Alopecosa sp</v>
      </c>
      <c r="L288" s="3" t="n">
        <f aca="false">SUM(P288:U288)</f>
        <v>1</v>
      </c>
      <c r="M288" s="11" t="n">
        <f aca="false">(L288/(F288*G288)*25)*4</f>
        <v>4</v>
      </c>
      <c r="N288" s="1" t="s">
        <v>19</v>
      </c>
      <c r="O288" s="1" t="s">
        <v>54</v>
      </c>
      <c r="P288" s="1" t="n">
        <v>0</v>
      </c>
      <c r="Q288" s="1" t="n">
        <v>0</v>
      </c>
      <c r="R288" s="1" t="n">
        <v>0</v>
      </c>
      <c r="S288" s="1" t="n">
        <v>0</v>
      </c>
      <c r="T288" s="1" t="n">
        <v>1</v>
      </c>
      <c r="U288" s="1" t="n">
        <v>0</v>
      </c>
      <c r="V288" s="3" t="n">
        <f aca="false">SUM(P288:Q288)</f>
        <v>0</v>
      </c>
      <c r="W288" s="3" t="n">
        <f aca="false">SUM(R288:T288)</f>
        <v>1</v>
      </c>
      <c r="X288" s="10" t="n">
        <v>39970</v>
      </c>
      <c r="Y288" s="10" t="n">
        <v>39975</v>
      </c>
    </row>
    <row r="289" customFormat="false" ht="14.25" hidden="false" customHeight="false" outlineLevel="0" collapsed="false">
      <c r="A289" s="1" t="n">
        <v>2009</v>
      </c>
      <c r="B289" s="1" t="n">
        <v>1</v>
      </c>
      <c r="C289" s="2" t="s">
        <v>44</v>
      </c>
      <c r="D289" s="7" t="s">
        <v>118</v>
      </c>
      <c r="E289" s="1" t="n">
        <v>1</v>
      </c>
      <c r="F289" s="1" t="n">
        <f aca="false">Y289-X289</f>
        <v>5</v>
      </c>
      <c r="G289" s="1" t="n">
        <v>5</v>
      </c>
      <c r="H289" s="3" t="s">
        <v>72</v>
      </c>
      <c r="I289" s="3" t="s">
        <v>73</v>
      </c>
      <c r="J289" s="12" t="s">
        <v>38</v>
      </c>
      <c r="K289" s="2" t="str">
        <f aca="false">CONCATENATE(I289," ",J289)</f>
        <v>Zelotes sp</v>
      </c>
      <c r="L289" s="3" t="n">
        <f aca="false">SUM(P289:U289)</f>
        <v>1</v>
      </c>
      <c r="M289" s="11" t="n">
        <f aca="false">(L289/(F289*G289)*25)*4</f>
        <v>4</v>
      </c>
      <c r="N289" s="1" t="s">
        <v>19</v>
      </c>
      <c r="O289" s="1" t="s">
        <v>54</v>
      </c>
      <c r="P289" s="1" t="n">
        <v>0</v>
      </c>
      <c r="Q289" s="1" t="n">
        <v>0</v>
      </c>
      <c r="R289" s="1" t="n">
        <v>0</v>
      </c>
      <c r="S289" s="1" t="n">
        <v>0</v>
      </c>
      <c r="T289" s="1" t="n">
        <v>1</v>
      </c>
      <c r="U289" s="1" t="n">
        <v>0</v>
      </c>
      <c r="V289" s="3" t="n">
        <f aca="false">SUM(P289:Q289)</f>
        <v>0</v>
      </c>
      <c r="W289" s="3" t="n">
        <f aca="false">SUM(R289:T289)</f>
        <v>1</v>
      </c>
      <c r="X289" s="10" t="n">
        <v>39970</v>
      </c>
      <c r="Y289" s="10" t="n">
        <v>39975</v>
      </c>
    </row>
    <row r="290" customFormat="false" ht="14.25" hidden="false" customHeight="false" outlineLevel="0" collapsed="false">
      <c r="A290" s="1" t="n">
        <v>2009</v>
      </c>
      <c r="B290" s="1" t="n">
        <v>1</v>
      </c>
      <c r="C290" s="2" t="s">
        <v>44</v>
      </c>
      <c r="D290" s="7" t="s">
        <v>118</v>
      </c>
      <c r="E290" s="1" t="n">
        <v>1</v>
      </c>
      <c r="F290" s="1" t="n">
        <f aca="false">Y290-X290</f>
        <v>5</v>
      </c>
      <c r="G290" s="1" t="n">
        <v>5</v>
      </c>
      <c r="H290" s="3" t="s">
        <v>48</v>
      </c>
      <c r="I290" s="3" t="s">
        <v>67</v>
      </c>
      <c r="J290" s="12" t="s">
        <v>127</v>
      </c>
      <c r="K290" s="2" t="str">
        <f aca="false">CONCATENATE(I290," ",J290)</f>
        <v>Pardosa lugubris</v>
      </c>
      <c r="L290" s="3" t="n">
        <f aca="false">SUM(P290:U290)</f>
        <v>1</v>
      </c>
      <c r="M290" s="11" t="n">
        <f aca="false">(L290/(F290*G290)*25)*4</f>
        <v>4</v>
      </c>
      <c r="N290" s="1" t="s">
        <v>30</v>
      </c>
      <c r="O290" s="1" t="s">
        <v>35</v>
      </c>
      <c r="P290" s="1" t="n">
        <v>0</v>
      </c>
      <c r="Q290" s="1" t="n">
        <v>1</v>
      </c>
      <c r="R290" s="1" t="n">
        <v>0</v>
      </c>
      <c r="S290" s="1" t="n">
        <v>0</v>
      </c>
      <c r="T290" s="1" t="n">
        <v>0</v>
      </c>
      <c r="U290" s="1" t="n">
        <v>0</v>
      </c>
      <c r="V290" s="3" t="n">
        <f aca="false">SUM(P290:Q290)</f>
        <v>1</v>
      </c>
      <c r="W290" s="3" t="n">
        <f aca="false">SUM(R290:T290)</f>
        <v>0</v>
      </c>
      <c r="X290" s="10" t="n">
        <v>39970</v>
      </c>
      <c r="Y290" s="10" t="n">
        <v>39975</v>
      </c>
    </row>
    <row r="291" customFormat="false" ht="14.25" hidden="false" customHeight="false" outlineLevel="0" collapsed="false">
      <c r="A291" s="1" t="n">
        <v>2009</v>
      </c>
      <c r="B291" s="1" t="n">
        <v>1</v>
      </c>
      <c r="C291" s="2" t="s">
        <v>44</v>
      </c>
      <c r="D291" s="7" t="s">
        <v>118</v>
      </c>
      <c r="E291" s="1" t="n">
        <v>1</v>
      </c>
      <c r="F291" s="1" t="n">
        <f aca="false">Y291-X291</f>
        <v>5</v>
      </c>
      <c r="G291" s="1" t="n">
        <v>5</v>
      </c>
      <c r="H291" s="3" t="s">
        <v>72</v>
      </c>
      <c r="I291" s="3" t="s">
        <v>139</v>
      </c>
      <c r="J291" s="12" t="s">
        <v>140</v>
      </c>
      <c r="K291" s="2" t="str">
        <f aca="false">CONCATENATE(I291," ",J291)</f>
        <v>Gnaphosa muscorum</v>
      </c>
      <c r="L291" s="3" t="n">
        <f aca="false">SUM(P291:U291)</f>
        <v>2</v>
      </c>
      <c r="M291" s="11" t="n">
        <f aca="false">(L291/(F291*G291)*25)*4</f>
        <v>8</v>
      </c>
      <c r="N291" s="1" t="s">
        <v>30</v>
      </c>
      <c r="O291" s="1" t="s">
        <v>31</v>
      </c>
      <c r="P291" s="1" t="n">
        <v>2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0</v>
      </c>
      <c r="V291" s="3" t="n">
        <f aca="false">SUM(P291:Q291)</f>
        <v>2</v>
      </c>
      <c r="W291" s="3" t="n">
        <f aca="false">SUM(R291:T291)</f>
        <v>0</v>
      </c>
      <c r="X291" s="10" t="n">
        <v>39970</v>
      </c>
      <c r="Y291" s="10" t="n">
        <v>39975</v>
      </c>
    </row>
    <row r="292" customFormat="false" ht="14.25" hidden="false" customHeight="false" outlineLevel="0" collapsed="false">
      <c r="A292" s="1" t="n">
        <v>2009</v>
      </c>
      <c r="B292" s="1" t="n">
        <v>1</v>
      </c>
      <c r="C292" s="2" t="s">
        <v>44</v>
      </c>
      <c r="D292" s="7" t="s">
        <v>118</v>
      </c>
      <c r="E292" s="1" t="n">
        <v>1</v>
      </c>
      <c r="F292" s="1" t="n">
        <f aca="false">Y292-X292</f>
        <v>5</v>
      </c>
      <c r="G292" s="1" t="n">
        <v>5</v>
      </c>
      <c r="H292" s="3" t="s">
        <v>72</v>
      </c>
      <c r="I292" s="3" t="s">
        <v>139</v>
      </c>
      <c r="J292" s="12" t="s">
        <v>140</v>
      </c>
      <c r="K292" s="2" t="str">
        <f aca="false">CONCATENATE(I292," ",J292)</f>
        <v>Gnaphosa muscorum</v>
      </c>
      <c r="L292" s="3" t="n">
        <f aca="false">SUM(P292:U292)</f>
        <v>1</v>
      </c>
      <c r="M292" s="11" t="n">
        <f aca="false">(L292/(F292*G292)*25)*4</f>
        <v>4</v>
      </c>
      <c r="N292" s="1" t="s">
        <v>30</v>
      </c>
      <c r="O292" s="1" t="s">
        <v>35</v>
      </c>
      <c r="P292" s="1" t="n">
        <v>0</v>
      </c>
      <c r="Q292" s="1" t="n">
        <v>1</v>
      </c>
      <c r="R292" s="1" t="n">
        <v>0</v>
      </c>
      <c r="S292" s="1" t="n">
        <v>0</v>
      </c>
      <c r="T292" s="1" t="n">
        <v>0</v>
      </c>
      <c r="U292" s="1" t="n">
        <v>0</v>
      </c>
      <c r="V292" s="3" t="n">
        <f aca="false">SUM(P292:Q292)</f>
        <v>1</v>
      </c>
      <c r="W292" s="3" t="n">
        <f aca="false">SUM(R292:T292)</f>
        <v>0</v>
      </c>
      <c r="X292" s="10" t="n">
        <v>39970</v>
      </c>
      <c r="Y292" s="10" t="n">
        <v>39975</v>
      </c>
    </row>
    <row r="293" customFormat="false" ht="14.25" hidden="false" customHeight="false" outlineLevel="0" collapsed="false">
      <c r="A293" s="1" t="n">
        <v>2009</v>
      </c>
      <c r="B293" s="1" t="n">
        <v>1</v>
      </c>
      <c r="C293" s="2" t="s">
        <v>44</v>
      </c>
      <c r="D293" s="7" t="s">
        <v>118</v>
      </c>
      <c r="E293" s="1" t="n">
        <v>1</v>
      </c>
      <c r="F293" s="1" t="n">
        <f aca="false">Y293-X293</f>
        <v>5</v>
      </c>
      <c r="G293" s="1" t="n">
        <v>5</v>
      </c>
      <c r="H293" s="3" t="s">
        <v>92</v>
      </c>
      <c r="I293" s="3" t="s">
        <v>141</v>
      </c>
      <c r="J293" s="12" t="s">
        <v>142</v>
      </c>
      <c r="K293" s="2" t="str">
        <f aca="false">CONCATENATE(I293," ",J293)</f>
        <v>Salticus cingulatus</v>
      </c>
      <c r="L293" s="3" t="n">
        <f aca="false">SUM(P293:U293)</f>
        <v>1</v>
      </c>
      <c r="M293" s="11" t="n">
        <f aca="false">(L293/(F293*G293)*25)*4</f>
        <v>4</v>
      </c>
      <c r="N293" s="1" t="s">
        <v>30</v>
      </c>
      <c r="O293" s="1" t="s">
        <v>31</v>
      </c>
      <c r="P293" s="1" t="n">
        <v>1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3" t="n">
        <f aca="false">SUM(P293:Q293)</f>
        <v>1</v>
      </c>
      <c r="W293" s="3" t="n">
        <f aca="false">SUM(R293:T293)</f>
        <v>0</v>
      </c>
      <c r="X293" s="10" t="n">
        <v>39970</v>
      </c>
      <c r="Y293" s="10" t="n">
        <v>39975</v>
      </c>
    </row>
    <row r="294" customFormat="false" ht="14.25" hidden="false" customHeight="false" outlineLevel="0" collapsed="false">
      <c r="A294" s="1" t="n">
        <v>2009</v>
      </c>
      <c r="B294" s="1" t="n">
        <v>1</v>
      </c>
      <c r="C294" s="2" t="s">
        <v>44</v>
      </c>
      <c r="D294" s="7" t="s">
        <v>118</v>
      </c>
      <c r="E294" s="1" t="n">
        <v>1</v>
      </c>
      <c r="F294" s="1" t="n">
        <f aca="false">Y294-X294</f>
        <v>5</v>
      </c>
      <c r="G294" s="1" t="n">
        <v>5</v>
      </c>
      <c r="H294" s="3" t="s">
        <v>32</v>
      </c>
      <c r="I294" s="3" t="s">
        <v>102</v>
      </c>
      <c r="J294" s="12" t="s">
        <v>143</v>
      </c>
      <c r="K294" s="2" t="str">
        <f aca="false">CONCATENATE(I294," ",J294)</f>
        <v>Agyneta saaristoi</v>
      </c>
      <c r="L294" s="3" t="n">
        <f aca="false">SUM(P294:U294)</f>
        <v>1</v>
      </c>
      <c r="M294" s="11" t="n">
        <f aca="false">(L294/(F294*G294)*25)*4</f>
        <v>4</v>
      </c>
      <c r="N294" s="1" t="s">
        <v>30</v>
      </c>
      <c r="O294" s="1" t="s">
        <v>31</v>
      </c>
      <c r="P294" s="1" t="n">
        <v>1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0</v>
      </c>
      <c r="V294" s="3" t="n">
        <f aca="false">SUM(P294:Q294)</f>
        <v>1</v>
      </c>
      <c r="W294" s="3" t="n">
        <f aca="false">SUM(R294:T294)</f>
        <v>0</v>
      </c>
      <c r="X294" s="10" t="n">
        <v>39970</v>
      </c>
      <c r="Y294" s="10" t="n">
        <v>39975</v>
      </c>
    </row>
    <row r="295" customFormat="false" ht="14.25" hidden="false" customHeight="false" outlineLevel="0" collapsed="false">
      <c r="A295" s="1" t="n">
        <v>2009</v>
      </c>
      <c r="B295" s="1" t="n">
        <v>1</v>
      </c>
      <c r="C295" s="2" t="s">
        <v>44</v>
      </c>
      <c r="D295" s="7" t="s">
        <v>118</v>
      </c>
      <c r="E295" s="1" t="n">
        <v>2</v>
      </c>
      <c r="F295" s="1" t="n">
        <f aca="false">Y295-X295</f>
        <v>5</v>
      </c>
      <c r="G295" s="1" t="n">
        <v>5</v>
      </c>
      <c r="H295" s="3" t="s">
        <v>48</v>
      </c>
      <c r="I295" s="3" t="s">
        <v>49</v>
      </c>
      <c r="J295" s="12" t="s">
        <v>119</v>
      </c>
      <c r="K295" s="2" t="str">
        <f aca="false">CONCATENATE(I295," ",J295)</f>
        <v>Alopecosa sulzeri</v>
      </c>
      <c r="L295" s="3" t="n">
        <f aca="false">SUM(P295:U295)</f>
        <v>1</v>
      </c>
      <c r="M295" s="11" t="n">
        <f aca="false">(L295/(F295*G295)*25)*4</f>
        <v>4</v>
      </c>
      <c r="N295" s="1" t="s">
        <v>30</v>
      </c>
      <c r="O295" s="1" t="s">
        <v>35</v>
      </c>
      <c r="P295" s="1" t="n">
        <v>0</v>
      </c>
      <c r="Q295" s="1" t="n">
        <v>1</v>
      </c>
      <c r="R295" s="1" t="n">
        <v>0</v>
      </c>
      <c r="S295" s="1" t="n">
        <v>0</v>
      </c>
      <c r="T295" s="1" t="n">
        <v>0</v>
      </c>
      <c r="U295" s="1" t="n">
        <v>0</v>
      </c>
      <c r="V295" s="3" t="n">
        <f aca="false">SUM(P295:Q295)</f>
        <v>1</v>
      </c>
      <c r="W295" s="3" t="n">
        <f aca="false">SUM(R295:T295)</f>
        <v>0</v>
      </c>
      <c r="X295" s="10" t="n">
        <v>39970</v>
      </c>
      <c r="Y295" s="10" t="n">
        <v>39975</v>
      </c>
    </row>
    <row r="296" customFormat="false" ht="14.25" hidden="false" customHeight="false" outlineLevel="0" collapsed="false">
      <c r="A296" s="1" t="n">
        <v>2009</v>
      </c>
      <c r="B296" s="1" t="n">
        <v>1</v>
      </c>
      <c r="C296" s="2" t="s">
        <v>44</v>
      </c>
      <c r="D296" s="7" t="s">
        <v>118</v>
      </c>
      <c r="E296" s="1" t="n">
        <v>2</v>
      </c>
      <c r="F296" s="1" t="n">
        <f aca="false">Y296-X296</f>
        <v>5</v>
      </c>
      <c r="G296" s="1" t="n">
        <v>5</v>
      </c>
      <c r="H296" s="3" t="s">
        <v>48</v>
      </c>
      <c r="I296" s="3" t="s">
        <v>49</v>
      </c>
      <c r="J296" s="8" t="s">
        <v>130</v>
      </c>
      <c r="K296" s="2" t="str">
        <f aca="false">CONCATENATE(I296," ",J296)</f>
        <v>Alopecosa aculeata</v>
      </c>
      <c r="L296" s="3" t="n">
        <f aca="false">SUM(P296:U296)</f>
        <v>1</v>
      </c>
      <c r="M296" s="11" t="n">
        <f aca="false">(L296/(F296*G296)*25)*4</f>
        <v>4</v>
      </c>
      <c r="N296" s="1" t="s">
        <v>30</v>
      </c>
      <c r="O296" s="1" t="s">
        <v>31</v>
      </c>
      <c r="P296" s="1" t="n">
        <v>1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3" t="n">
        <f aca="false">SUM(P296:Q296)</f>
        <v>1</v>
      </c>
      <c r="W296" s="3" t="n">
        <f aca="false">SUM(R296:T296)</f>
        <v>0</v>
      </c>
      <c r="X296" s="10" t="n">
        <v>39970</v>
      </c>
      <c r="Y296" s="10" t="n">
        <v>39975</v>
      </c>
    </row>
    <row r="297" customFormat="false" ht="14.25" hidden="false" customHeight="false" outlineLevel="0" collapsed="false">
      <c r="A297" s="1" t="n">
        <v>2009</v>
      </c>
      <c r="B297" s="1" t="n">
        <v>1</v>
      </c>
      <c r="C297" s="2" t="s">
        <v>44</v>
      </c>
      <c r="D297" s="7" t="s">
        <v>118</v>
      </c>
      <c r="E297" s="1" t="n">
        <v>2</v>
      </c>
      <c r="F297" s="1" t="n">
        <f aca="false">Y297-X297</f>
        <v>5</v>
      </c>
      <c r="G297" s="1" t="n">
        <v>5</v>
      </c>
      <c r="H297" s="3" t="s">
        <v>48</v>
      </c>
      <c r="I297" s="3" t="s">
        <v>122</v>
      </c>
      <c r="J297" s="12" t="s">
        <v>123</v>
      </c>
      <c r="K297" s="2" t="str">
        <f aca="false">CONCATENATE(I297," ",J297)</f>
        <v>Xerolycosa nemoralis</v>
      </c>
      <c r="L297" s="3" t="n">
        <f aca="false">SUM(P297:U297)</f>
        <v>6</v>
      </c>
      <c r="M297" s="11" t="n">
        <f aca="false">(L297/(F297*G297)*25)*4</f>
        <v>24</v>
      </c>
      <c r="N297" s="1" t="s">
        <v>30</v>
      </c>
      <c r="O297" s="1" t="s">
        <v>31</v>
      </c>
      <c r="P297" s="1" t="n">
        <v>6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3" t="n">
        <f aca="false">SUM(P297:Q297)</f>
        <v>6</v>
      </c>
      <c r="W297" s="3" t="n">
        <f aca="false">SUM(R297:T297)</f>
        <v>0</v>
      </c>
      <c r="X297" s="10" t="n">
        <v>39970</v>
      </c>
      <c r="Y297" s="10" t="n">
        <v>39975</v>
      </c>
    </row>
    <row r="298" customFormat="false" ht="14.25" hidden="false" customHeight="false" outlineLevel="0" collapsed="false">
      <c r="A298" s="1" t="n">
        <v>2009</v>
      </c>
      <c r="B298" s="1" t="n">
        <v>1</v>
      </c>
      <c r="C298" s="2" t="s">
        <v>44</v>
      </c>
      <c r="D298" s="7" t="s">
        <v>118</v>
      </c>
      <c r="E298" s="1" t="n">
        <v>2</v>
      </c>
      <c r="F298" s="1" t="n">
        <f aca="false">Y298-X298</f>
        <v>5</v>
      </c>
      <c r="G298" s="1" t="n">
        <v>5</v>
      </c>
      <c r="H298" s="3" t="s">
        <v>48</v>
      </c>
      <c r="I298" s="3" t="s">
        <v>122</v>
      </c>
      <c r="J298" s="12" t="s">
        <v>123</v>
      </c>
      <c r="K298" s="2" t="str">
        <f aca="false">CONCATENATE(I298," ",J298)</f>
        <v>Xerolycosa nemoralis</v>
      </c>
      <c r="L298" s="3" t="n">
        <f aca="false">SUM(P298:U298)</f>
        <v>1</v>
      </c>
      <c r="M298" s="11" t="n">
        <f aca="false">(L298/(F298*G298)*25)*4</f>
        <v>4</v>
      </c>
      <c r="N298" s="1" t="s">
        <v>30</v>
      </c>
      <c r="O298" s="1" t="s">
        <v>35</v>
      </c>
      <c r="P298" s="1" t="n">
        <v>0</v>
      </c>
      <c r="Q298" s="1" t="n">
        <v>1</v>
      </c>
      <c r="R298" s="1" t="n">
        <v>0</v>
      </c>
      <c r="S298" s="1" t="n">
        <v>0</v>
      </c>
      <c r="T298" s="1" t="n">
        <v>0</v>
      </c>
      <c r="U298" s="1" t="n">
        <v>0</v>
      </c>
      <c r="V298" s="3" t="n">
        <f aca="false">SUM(P298:Q298)</f>
        <v>1</v>
      </c>
      <c r="W298" s="3" t="n">
        <f aca="false">SUM(R298:T298)</f>
        <v>0</v>
      </c>
      <c r="X298" s="10" t="n">
        <v>39970</v>
      </c>
      <c r="Y298" s="10" t="n">
        <v>39975</v>
      </c>
    </row>
    <row r="299" customFormat="false" ht="14.25" hidden="false" customHeight="false" outlineLevel="0" collapsed="false">
      <c r="A299" s="1" t="n">
        <v>2009</v>
      </c>
      <c r="B299" s="1" t="n">
        <v>1</v>
      </c>
      <c r="C299" s="2" t="s">
        <v>44</v>
      </c>
      <c r="D299" s="7" t="s">
        <v>118</v>
      </c>
      <c r="E299" s="1" t="n">
        <v>2</v>
      </c>
      <c r="F299" s="1" t="n">
        <f aca="false">Y299-X299</f>
        <v>5</v>
      </c>
      <c r="G299" s="1" t="n">
        <v>5</v>
      </c>
      <c r="H299" s="3" t="s">
        <v>72</v>
      </c>
      <c r="I299" s="3" t="s">
        <v>86</v>
      </c>
      <c r="J299" s="12" t="s">
        <v>134</v>
      </c>
      <c r="K299" s="2" t="str">
        <f aca="false">CONCATENATE(I299," ",J299)</f>
        <v>Haplodrassus umbratilis</v>
      </c>
      <c r="L299" s="3" t="n">
        <f aca="false">SUM(P299:U299)</f>
        <v>1</v>
      </c>
      <c r="M299" s="11" t="n">
        <f aca="false">(L299/(F299*G299)*25)*4</f>
        <v>4</v>
      </c>
      <c r="N299" s="1" t="s">
        <v>30</v>
      </c>
      <c r="O299" s="1" t="s">
        <v>31</v>
      </c>
      <c r="P299" s="1" t="n">
        <v>1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3" t="n">
        <f aca="false">SUM(P299:Q299)</f>
        <v>1</v>
      </c>
      <c r="W299" s="3" t="n">
        <f aca="false">SUM(R299:T299)</f>
        <v>0</v>
      </c>
      <c r="X299" s="10" t="n">
        <v>39970</v>
      </c>
      <c r="Y299" s="10" t="n">
        <v>39975</v>
      </c>
    </row>
    <row r="300" customFormat="false" ht="14.25" hidden="false" customHeight="false" outlineLevel="0" collapsed="false">
      <c r="A300" s="1" t="n">
        <v>2009</v>
      </c>
      <c r="B300" s="1" t="n">
        <v>1</v>
      </c>
      <c r="C300" s="2" t="s">
        <v>44</v>
      </c>
      <c r="D300" s="7" t="s">
        <v>118</v>
      </c>
      <c r="E300" s="1" t="n">
        <v>2</v>
      </c>
      <c r="F300" s="1" t="n">
        <f aca="false">Y300-X300</f>
        <v>5</v>
      </c>
      <c r="G300" s="1" t="n">
        <v>5</v>
      </c>
      <c r="H300" s="3" t="s">
        <v>48</v>
      </c>
      <c r="I300" s="3" t="s">
        <v>67</v>
      </c>
      <c r="J300" s="12" t="s">
        <v>127</v>
      </c>
      <c r="K300" s="2" t="str">
        <f aca="false">CONCATENATE(I300," ",J300)</f>
        <v>Pardosa lugubris</v>
      </c>
      <c r="L300" s="3" t="n">
        <f aca="false">SUM(P300:U300)</f>
        <v>4</v>
      </c>
      <c r="M300" s="11" t="n">
        <f aca="false">(L300/(F300*G300)*25)*4</f>
        <v>16</v>
      </c>
      <c r="N300" s="1" t="s">
        <v>30</v>
      </c>
      <c r="O300" s="1" t="s">
        <v>31</v>
      </c>
      <c r="P300" s="1" t="n">
        <v>4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3" t="n">
        <f aca="false">SUM(P300:Q300)</f>
        <v>4</v>
      </c>
      <c r="W300" s="3" t="n">
        <f aca="false">SUM(R300:T300)</f>
        <v>0</v>
      </c>
      <c r="X300" s="10" t="n">
        <v>39970</v>
      </c>
      <c r="Y300" s="10" t="n">
        <v>39975</v>
      </c>
    </row>
    <row r="301" customFormat="false" ht="14.25" hidden="false" customHeight="false" outlineLevel="0" collapsed="false">
      <c r="A301" s="1" t="n">
        <v>2009</v>
      </c>
      <c r="B301" s="1" t="n">
        <v>1</v>
      </c>
      <c r="C301" s="2" t="s">
        <v>44</v>
      </c>
      <c r="D301" s="7" t="s">
        <v>118</v>
      </c>
      <c r="E301" s="1" t="n">
        <v>2</v>
      </c>
      <c r="F301" s="1" t="n">
        <f aca="false">Y301-X301</f>
        <v>5</v>
      </c>
      <c r="G301" s="1" t="n">
        <v>5</v>
      </c>
      <c r="H301" s="3" t="s">
        <v>48</v>
      </c>
      <c r="I301" s="3" t="s">
        <v>67</v>
      </c>
      <c r="J301" s="12" t="s">
        <v>38</v>
      </c>
      <c r="K301" s="2" t="str">
        <f aca="false">CONCATENATE(I301," ",J301)</f>
        <v>Pardosa sp</v>
      </c>
      <c r="L301" s="3" t="n">
        <f aca="false">SUM(P301:U301)</f>
        <v>1</v>
      </c>
      <c r="M301" s="11" t="n">
        <f aca="false">(L301/(F301*G301)*25)*4</f>
        <v>4</v>
      </c>
      <c r="N301" s="1" t="s">
        <v>19</v>
      </c>
      <c r="O301" s="1" t="s">
        <v>54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1</v>
      </c>
      <c r="U301" s="1" t="n">
        <v>0</v>
      </c>
      <c r="V301" s="3" t="n">
        <f aca="false">SUM(P301:Q301)</f>
        <v>0</v>
      </c>
      <c r="W301" s="3" t="n">
        <f aca="false">SUM(R301:T301)</f>
        <v>1</v>
      </c>
      <c r="X301" s="10" t="n">
        <v>39970</v>
      </c>
      <c r="Y301" s="10" t="n">
        <v>39975</v>
      </c>
    </row>
    <row r="302" customFormat="false" ht="14.25" hidden="false" customHeight="false" outlineLevel="0" collapsed="false">
      <c r="A302" s="1" t="n">
        <v>2009</v>
      </c>
      <c r="B302" s="1" t="n">
        <v>1</v>
      </c>
      <c r="C302" s="2" t="s">
        <v>44</v>
      </c>
      <c r="D302" s="7" t="s">
        <v>118</v>
      </c>
      <c r="E302" s="1" t="n">
        <v>2</v>
      </c>
      <c r="F302" s="1" t="n">
        <f aca="false">Y302-X302</f>
        <v>5</v>
      </c>
      <c r="G302" s="1" t="n">
        <v>5</v>
      </c>
      <c r="H302" s="3" t="s">
        <v>144</v>
      </c>
      <c r="I302" s="3" t="s">
        <v>145</v>
      </c>
      <c r="J302" s="12" t="s">
        <v>146</v>
      </c>
      <c r="K302" s="2" t="str">
        <f aca="false">CONCATENATE(I302," ",J302)</f>
        <v>Phrurolithus festivus</v>
      </c>
      <c r="L302" s="3" t="n">
        <f aca="false">SUM(P302:U302)</f>
        <v>1</v>
      </c>
      <c r="M302" s="11" t="n">
        <f aca="false">(L302/(F302*G302)*25)*4</f>
        <v>4</v>
      </c>
      <c r="N302" s="1" t="s">
        <v>30</v>
      </c>
      <c r="O302" s="1" t="s">
        <v>31</v>
      </c>
      <c r="P302" s="1" t="n">
        <v>1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3" t="n">
        <f aca="false">SUM(P302:Q302)</f>
        <v>1</v>
      </c>
      <c r="W302" s="3" t="n">
        <f aca="false">SUM(R302:T302)</f>
        <v>0</v>
      </c>
      <c r="X302" s="10" t="n">
        <v>39970</v>
      </c>
      <c r="Y302" s="10" t="n">
        <v>39975</v>
      </c>
    </row>
    <row r="303" customFormat="false" ht="14.25" hidden="false" customHeight="false" outlineLevel="0" collapsed="false">
      <c r="A303" s="1" t="n">
        <v>2009</v>
      </c>
      <c r="B303" s="1" t="n">
        <v>1</v>
      </c>
      <c r="C303" s="2" t="s">
        <v>44</v>
      </c>
      <c r="D303" s="7" t="s">
        <v>118</v>
      </c>
      <c r="E303" s="1" t="n">
        <v>3</v>
      </c>
      <c r="F303" s="1" t="n">
        <f aca="false">Y303-X303</f>
        <v>5</v>
      </c>
      <c r="G303" s="1" t="n">
        <v>5</v>
      </c>
      <c r="H303" s="3" t="s">
        <v>48</v>
      </c>
      <c r="I303" s="3" t="s">
        <v>49</v>
      </c>
      <c r="J303" s="8" t="s">
        <v>130</v>
      </c>
      <c r="K303" s="2" t="str">
        <f aca="false">CONCATENATE(I303," ",J303)</f>
        <v>Alopecosa aculeata</v>
      </c>
      <c r="L303" s="3" t="n">
        <f aca="false">SUM(P303:U303)</f>
        <v>5</v>
      </c>
      <c r="M303" s="11" t="n">
        <f aca="false">(L303/(F303*G303)*25)*4</f>
        <v>20</v>
      </c>
      <c r="N303" s="1" t="s">
        <v>30</v>
      </c>
      <c r="O303" s="1" t="s">
        <v>31</v>
      </c>
      <c r="P303" s="1" t="n">
        <v>5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3" t="n">
        <f aca="false">SUM(P303:Q303)</f>
        <v>5</v>
      </c>
      <c r="W303" s="3" t="n">
        <f aca="false">SUM(R303:T303)</f>
        <v>0</v>
      </c>
      <c r="X303" s="10" t="n">
        <v>39970</v>
      </c>
      <c r="Y303" s="10" t="n">
        <v>39975</v>
      </c>
    </row>
    <row r="304" customFormat="false" ht="14.25" hidden="false" customHeight="false" outlineLevel="0" collapsed="false">
      <c r="A304" s="1" t="n">
        <v>2009</v>
      </c>
      <c r="B304" s="1" t="n">
        <v>1</v>
      </c>
      <c r="C304" s="2" t="s">
        <v>44</v>
      </c>
      <c r="D304" s="7" t="s">
        <v>118</v>
      </c>
      <c r="E304" s="1" t="n">
        <v>3</v>
      </c>
      <c r="F304" s="1" t="n">
        <f aca="false">Y304-X304</f>
        <v>5</v>
      </c>
      <c r="G304" s="1" t="n">
        <v>5</v>
      </c>
      <c r="H304" s="3" t="s">
        <v>48</v>
      </c>
      <c r="I304" s="3" t="s">
        <v>49</v>
      </c>
      <c r="J304" s="8" t="s">
        <v>130</v>
      </c>
      <c r="K304" s="2" t="str">
        <f aca="false">CONCATENATE(I304," ",J304)</f>
        <v>Alopecosa aculeata</v>
      </c>
      <c r="L304" s="3" t="n">
        <f aca="false">SUM(P304:U304)</f>
        <v>1</v>
      </c>
      <c r="M304" s="11" t="n">
        <f aca="false">(L304/(F304*G304)*25)*4</f>
        <v>4</v>
      </c>
      <c r="N304" s="1" t="s">
        <v>30</v>
      </c>
      <c r="O304" s="1" t="s">
        <v>35</v>
      </c>
      <c r="P304" s="1" t="n">
        <v>0</v>
      </c>
      <c r="Q304" s="1" t="n">
        <v>1</v>
      </c>
      <c r="R304" s="1" t="n">
        <v>0</v>
      </c>
      <c r="S304" s="1" t="n">
        <v>0</v>
      </c>
      <c r="T304" s="1" t="n">
        <v>0</v>
      </c>
      <c r="U304" s="1" t="n">
        <v>0</v>
      </c>
      <c r="V304" s="3" t="n">
        <f aca="false">SUM(P304:Q304)</f>
        <v>1</v>
      </c>
      <c r="W304" s="3" t="n">
        <f aca="false">SUM(R304:T304)</f>
        <v>0</v>
      </c>
      <c r="X304" s="10" t="n">
        <v>39970</v>
      </c>
      <c r="Y304" s="10" t="n">
        <v>39975</v>
      </c>
    </row>
    <row r="305" customFormat="false" ht="14.25" hidden="false" customHeight="false" outlineLevel="0" collapsed="false">
      <c r="A305" s="1" t="n">
        <v>2009</v>
      </c>
      <c r="B305" s="1" t="n">
        <v>1</v>
      </c>
      <c r="C305" s="2" t="s">
        <v>44</v>
      </c>
      <c r="D305" s="7" t="s">
        <v>118</v>
      </c>
      <c r="E305" s="1" t="n">
        <v>3</v>
      </c>
      <c r="F305" s="1" t="n">
        <f aca="false">Y305-X305</f>
        <v>5</v>
      </c>
      <c r="G305" s="1" t="n">
        <v>5</v>
      </c>
      <c r="H305" s="3" t="s">
        <v>48</v>
      </c>
      <c r="I305" s="3" t="s">
        <v>122</v>
      </c>
      <c r="J305" s="12" t="s">
        <v>123</v>
      </c>
      <c r="K305" s="2" t="str">
        <f aca="false">CONCATENATE(I305," ",J305)</f>
        <v>Xerolycosa nemoralis</v>
      </c>
      <c r="L305" s="3" t="n">
        <f aca="false">SUM(P305:U305)</f>
        <v>4</v>
      </c>
      <c r="M305" s="11" t="n">
        <f aca="false">(L305/(F305*G305)*25)*4</f>
        <v>16</v>
      </c>
      <c r="N305" s="1" t="s">
        <v>30</v>
      </c>
      <c r="O305" s="1" t="s">
        <v>31</v>
      </c>
      <c r="P305" s="1" t="n">
        <v>4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3" t="n">
        <f aca="false">SUM(P305:Q305)</f>
        <v>4</v>
      </c>
      <c r="W305" s="3" t="n">
        <f aca="false">SUM(R305:T305)</f>
        <v>0</v>
      </c>
      <c r="X305" s="10" t="n">
        <v>39970</v>
      </c>
      <c r="Y305" s="10" t="n">
        <v>39975</v>
      </c>
    </row>
    <row r="306" customFormat="false" ht="14.25" hidden="false" customHeight="false" outlineLevel="0" collapsed="false">
      <c r="A306" s="1" t="n">
        <v>2009</v>
      </c>
      <c r="B306" s="1" t="n">
        <v>1</v>
      </c>
      <c r="C306" s="2" t="s">
        <v>44</v>
      </c>
      <c r="D306" s="7" t="s">
        <v>118</v>
      </c>
      <c r="E306" s="1" t="n">
        <v>3</v>
      </c>
      <c r="F306" s="1" t="n">
        <f aca="false">Y306-X306</f>
        <v>5</v>
      </c>
      <c r="G306" s="1" t="n">
        <v>5</v>
      </c>
      <c r="H306" s="3" t="s">
        <v>48</v>
      </c>
      <c r="I306" s="3" t="s">
        <v>122</v>
      </c>
      <c r="J306" s="12" t="s">
        <v>123</v>
      </c>
      <c r="K306" s="2" t="str">
        <f aca="false">CONCATENATE(I306," ",J306)</f>
        <v>Xerolycosa nemoralis</v>
      </c>
      <c r="L306" s="3" t="n">
        <f aca="false">SUM(P306:U306)</f>
        <v>3</v>
      </c>
      <c r="M306" s="11" t="n">
        <f aca="false">(L306/(F306*G306)*25)*4</f>
        <v>12</v>
      </c>
      <c r="N306" s="1" t="s">
        <v>30</v>
      </c>
      <c r="O306" s="1" t="s">
        <v>35</v>
      </c>
      <c r="P306" s="1" t="n">
        <v>0</v>
      </c>
      <c r="Q306" s="1" t="n">
        <v>3</v>
      </c>
      <c r="R306" s="1" t="n">
        <v>0</v>
      </c>
      <c r="S306" s="1" t="n">
        <v>0</v>
      </c>
      <c r="T306" s="1" t="n">
        <v>0</v>
      </c>
      <c r="U306" s="1" t="n">
        <v>0</v>
      </c>
      <c r="V306" s="3" t="n">
        <f aca="false">SUM(P306:Q306)</f>
        <v>3</v>
      </c>
      <c r="W306" s="3" t="n">
        <f aca="false">SUM(R306:T306)</f>
        <v>0</v>
      </c>
      <c r="X306" s="10" t="n">
        <v>39970</v>
      </c>
      <c r="Y306" s="10" t="n">
        <v>39975</v>
      </c>
    </row>
    <row r="307" customFormat="false" ht="14.25" hidden="false" customHeight="false" outlineLevel="0" collapsed="false">
      <c r="A307" s="1" t="n">
        <v>2009</v>
      </c>
      <c r="B307" s="1" t="n">
        <v>1</v>
      </c>
      <c r="C307" s="2" t="s">
        <v>44</v>
      </c>
      <c r="D307" s="7" t="s">
        <v>118</v>
      </c>
      <c r="E307" s="1" t="n">
        <v>3</v>
      </c>
      <c r="F307" s="1" t="n">
        <f aca="false">Y307-X307</f>
        <v>5</v>
      </c>
      <c r="G307" s="1" t="n">
        <v>5</v>
      </c>
      <c r="H307" s="3" t="s">
        <v>48</v>
      </c>
      <c r="I307" s="3" t="s">
        <v>67</v>
      </c>
      <c r="J307" s="12" t="s">
        <v>127</v>
      </c>
      <c r="K307" s="2" t="str">
        <f aca="false">CONCATENATE(I307," ",J307)</f>
        <v>Pardosa lugubris</v>
      </c>
      <c r="L307" s="3" t="n">
        <f aca="false">SUM(P307:U307)</f>
        <v>3</v>
      </c>
      <c r="M307" s="11" t="n">
        <f aca="false">(L307/(F307*G307)*25)*4</f>
        <v>12</v>
      </c>
      <c r="N307" s="1" t="s">
        <v>30</v>
      </c>
      <c r="O307" s="1" t="s">
        <v>31</v>
      </c>
      <c r="P307" s="1" t="n">
        <v>3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3" t="n">
        <f aca="false">SUM(P307:Q307)</f>
        <v>3</v>
      </c>
      <c r="W307" s="3" t="n">
        <f aca="false">SUM(R307:T307)</f>
        <v>0</v>
      </c>
      <c r="X307" s="10" t="n">
        <v>39970</v>
      </c>
      <c r="Y307" s="10" t="n">
        <v>39975</v>
      </c>
    </row>
    <row r="308" customFormat="false" ht="14.25" hidden="false" customHeight="false" outlineLevel="0" collapsed="false">
      <c r="A308" s="1" t="n">
        <v>2009</v>
      </c>
      <c r="B308" s="1" t="n">
        <v>1</v>
      </c>
      <c r="C308" s="2" t="s">
        <v>44</v>
      </c>
      <c r="D308" s="7" t="s">
        <v>118</v>
      </c>
      <c r="E308" s="1" t="n">
        <v>3</v>
      </c>
      <c r="F308" s="1" t="n">
        <f aca="false">Y308-X308</f>
        <v>5</v>
      </c>
      <c r="G308" s="1" t="n">
        <v>5</v>
      </c>
      <c r="H308" s="3" t="s">
        <v>72</v>
      </c>
      <c r="I308" s="3" t="s">
        <v>147</v>
      </c>
      <c r="J308" s="12" t="s">
        <v>148</v>
      </c>
      <c r="K308" s="2" t="str">
        <f aca="false">CONCATENATE(I308," ",J308)</f>
        <v>Micaria aenea</v>
      </c>
      <c r="L308" s="3" t="n">
        <f aca="false">SUM(P308:U308)</f>
        <v>1</v>
      </c>
      <c r="M308" s="11" t="n">
        <f aca="false">(L308/(F308*G308)*25)*4</f>
        <v>4</v>
      </c>
      <c r="N308" s="1" t="s">
        <v>30</v>
      </c>
      <c r="O308" s="1" t="s">
        <v>31</v>
      </c>
      <c r="P308" s="1" t="n">
        <v>1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3" t="n">
        <f aca="false">SUM(P308:Q308)</f>
        <v>1</v>
      </c>
      <c r="W308" s="3" t="n">
        <f aca="false">SUM(R308:T308)</f>
        <v>0</v>
      </c>
      <c r="X308" s="10" t="n">
        <v>39970</v>
      </c>
      <c r="Y308" s="10" t="n">
        <v>39975</v>
      </c>
    </row>
    <row r="309" customFormat="false" ht="14.25" hidden="false" customHeight="false" outlineLevel="0" collapsed="false">
      <c r="A309" s="1" t="n">
        <v>2009</v>
      </c>
      <c r="B309" s="1" t="n">
        <v>1</v>
      </c>
      <c r="C309" s="2" t="s">
        <v>44</v>
      </c>
      <c r="D309" s="7" t="s">
        <v>118</v>
      </c>
      <c r="E309" s="1" t="n">
        <v>3</v>
      </c>
      <c r="F309" s="1" t="n">
        <f aca="false">Y309-X309</f>
        <v>5</v>
      </c>
      <c r="G309" s="1" t="n">
        <v>5</v>
      </c>
      <c r="H309" s="3" t="s">
        <v>72</v>
      </c>
      <c r="I309" s="3" t="s">
        <v>86</v>
      </c>
      <c r="J309" s="12" t="s">
        <v>134</v>
      </c>
      <c r="K309" s="2" t="str">
        <f aca="false">CONCATENATE(I309," ",J309)</f>
        <v>Haplodrassus umbratilis</v>
      </c>
      <c r="L309" s="3" t="n">
        <f aca="false">SUM(P309:U309)</f>
        <v>1</v>
      </c>
      <c r="M309" s="11" t="n">
        <f aca="false">(L309/(F309*G309)*25)*4</f>
        <v>4</v>
      </c>
      <c r="N309" s="1" t="s">
        <v>30</v>
      </c>
      <c r="O309" s="1" t="s">
        <v>31</v>
      </c>
      <c r="P309" s="1" t="n">
        <v>1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3" t="n">
        <f aca="false">SUM(P309:Q309)</f>
        <v>1</v>
      </c>
      <c r="W309" s="3" t="n">
        <f aca="false">SUM(R309:T309)</f>
        <v>0</v>
      </c>
      <c r="X309" s="10" t="n">
        <v>39970</v>
      </c>
      <c r="Y309" s="10" t="n">
        <v>39975</v>
      </c>
    </row>
    <row r="310" customFormat="false" ht="14.25" hidden="false" customHeight="false" outlineLevel="0" collapsed="false">
      <c r="A310" s="1" t="n">
        <v>2009</v>
      </c>
      <c r="B310" s="1" t="n">
        <v>1</v>
      </c>
      <c r="C310" s="2" t="s">
        <v>44</v>
      </c>
      <c r="D310" s="7" t="s">
        <v>118</v>
      </c>
      <c r="E310" s="1" t="n">
        <v>3</v>
      </c>
      <c r="F310" s="1" t="n">
        <f aca="false">Y310-X310</f>
        <v>5</v>
      </c>
      <c r="G310" s="1" t="n">
        <v>5</v>
      </c>
      <c r="H310" s="3" t="s">
        <v>48</v>
      </c>
      <c r="I310" s="3" t="s">
        <v>49</v>
      </c>
      <c r="J310" s="12" t="s">
        <v>38</v>
      </c>
      <c r="K310" s="2" t="str">
        <f aca="false">CONCATENATE(I310," ",J310)</f>
        <v>Alopecosa sp</v>
      </c>
      <c r="L310" s="3" t="n">
        <f aca="false">SUM(P310:U310)</f>
        <v>2</v>
      </c>
      <c r="M310" s="11" t="n">
        <f aca="false">(L310/(F310*G310)*25)*4</f>
        <v>8</v>
      </c>
      <c r="N310" s="1" t="s">
        <v>19</v>
      </c>
      <c r="O310" s="1" t="s">
        <v>54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2</v>
      </c>
      <c r="U310" s="1" t="n">
        <v>0</v>
      </c>
      <c r="V310" s="3" t="n">
        <f aca="false">SUM(P310:Q310)</f>
        <v>0</v>
      </c>
      <c r="W310" s="3" t="n">
        <f aca="false">SUM(R310:T310)</f>
        <v>2</v>
      </c>
      <c r="X310" s="10" t="n">
        <v>39970</v>
      </c>
      <c r="Y310" s="10" t="n">
        <v>39975</v>
      </c>
    </row>
    <row r="311" customFormat="false" ht="14.25" hidden="false" customHeight="false" outlineLevel="0" collapsed="false">
      <c r="A311" s="1" t="n">
        <v>2009</v>
      </c>
      <c r="B311" s="1" t="n">
        <v>1</v>
      </c>
      <c r="C311" s="2" t="s">
        <v>44</v>
      </c>
      <c r="D311" s="7" t="s">
        <v>118</v>
      </c>
      <c r="E311" s="1" t="n">
        <v>3</v>
      </c>
      <c r="F311" s="1" t="n">
        <f aca="false">Y311-X311</f>
        <v>5</v>
      </c>
      <c r="G311" s="1" t="n">
        <v>5</v>
      </c>
      <c r="H311" s="3" t="s">
        <v>48</v>
      </c>
      <c r="I311" s="3" t="s">
        <v>67</v>
      </c>
      <c r="J311" s="12" t="s">
        <v>38</v>
      </c>
      <c r="K311" s="2" t="str">
        <f aca="false">CONCATENATE(I311," ",J311)</f>
        <v>Pardosa sp</v>
      </c>
      <c r="L311" s="3" t="n">
        <f aca="false">SUM(P311:U311)</f>
        <v>1</v>
      </c>
      <c r="M311" s="11" t="n">
        <f aca="false">(L311/(F311*G311)*25)*4</f>
        <v>4</v>
      </c>
      <c r="N311" s="1" t="s">
        <v>19</v>
      </c>
      <c r="O311" s="1" t="s">
        <v>54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1</v>
      </c>
      <c r="U311" s="1" t="n">
        <v>0</v>
      </c>
      <c r="V311" s="3" t="n">
        <f aca="false">SUM(P311:Q311)</f>
        <v>0</v>
      </c>
      <c r="W311" s="3" t="n">
        <f aca="false">SUM(R311:T311)</f>
        <v>1</v>
      </c>
      <c r="X311" s="10" t="n">
        <v>39970</v>
      </c>
      <c r="Y311" s="10" t="n">
        <v>39975</v>
      </c>
    </row>
    <row r="312" customFormat="false" ht="14.25" hidden="false" customHeight="false" outlineLevel="0" collapsed="false">
      <c r="A312" s="1" t="n">
        <v>2009</v>
      </c>
      <c r="B312" s="1" t="n">
        <v>1</v>
      </c>
      <c r="C312" s="2" t="s">
        <v>44</v>
      </c>
      <c r="D312" s="7" t="s">
        <v>118</v>
      </c>
      <c r="E312" s="1" t="n">
        <v>3</v>
      </c>
      <c r="F312" s="1" t="n">
        <f aca="false">Y312-X312</f>
        <v>5</v>
      </c>
      <c r="G312" s="1" t="n">
        <v>5</v>
      </c>
      <c r="H312" s="13" t="s">
        <v>27</v>
      </c>
      <c r="I312" s="13" t="s">
        <v>46</v>
      </c>
      <c r="J312" s="14" t="s">
        <v>47</v>
      </c>
      <c r="K312" s="2" t="str">
        <f aca="false">CONCATENATE(I312," ",J312)</f>
        <v>Euryopis flavomaculata</v>
      </c>
      <c r="L312" s="3" t="n">
        <f aca="false">SUM(P312:U312)</f>
        <v>2</v>
      </c>
      <c r="M312" s="11" t="n">
        <f aca="false">(L312/(F312*G312)*25)*4</f>
        <v>8</v>
      </c>
      <c r="N312" s="1" t="s">
        <v>30</v>
      </c>
      <c r="O312" s="1" t="s">
        <v>31</v>
      </c>
      <c r="P312" s="1" t="n">
        <v>2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3" t="n">
        <f aca="false">SUM(P312:Q312)</f>
        <v>2</v>
      </c>
      <c r="W312" s="3" t="n">
        <f aca="false">SUM(R312:T312)</f>
        <v>0</v>
      </c>
      <c r="X312" s="10" t="n">
        <v>39970</v>
      </c>
      <c r="Y312" s="10" t="n">
        <v>39975</v>
      </c>
    </row>
    <row r="313" customFormat="false" ht="14.25" hidden="false" customHeight="false" outlineLevel="0" collapsed="false">
      <c r="A313" s="1" t="n">
        <v>2009</v>
      </c>
      <c r="B313" s="1" t="n">
        <v>1</v>
      </c>
      <c r="C313" s="2" t="s">
        <v>44</v>
      </c>
      <c r="D313" s="7" t="s">
        <v>118</v>
      </c>
      <c r="E313" s="1" t="n">
        <v>1</v>
      </c>
      <c r="F313" s="1" t="n">
        <f aca="false">Y313-X313</f>
        <v>5</v>
      </c>
      <c r="G313" s="1" t="n">
        <v>5</v>
      </c>
      <c r="H313" s="3" t="s">
        <v>72</v>
      </c>
      <c r="I313" s="3" t="s">
        <v>139</v>
      </c>
      <c r="J313" s="12" t="s">
        <v>140</v>
      </c>
      <c r="K313" s="2" t="str">
        <f aca="false">CONCATENATE(I313," ",J313)</f>
        <v>Gnaphosa muscorum</v>
      </c>
      <c r="L313" s="3" t="n">
        <f aca="false">SUM(P313:U313)</f>
        <v>1</v>
      </c>
      <c r="M313" s="11" t="n">
        <f aca="false">(L313/(F313*G313)*25)*4</f>
        <v>4</v>
      </c>
      <c r="N313" s="1" t="s">
        <v>30</v>
      </c>
      <c r="O313" s="1" t="s">
        <v>31</v>
      </c>
      <c r="P313" s="1" t="n">
        <v>1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3" t="n">
        <f aca="false">SUM(P313:Q313)</f>
        <v>1</v>
      </c>
      <c r="W313" s="3" t="n">
        <f aca="false">SUM(R313:T313)</f>
        <v>0</v>
      </c>
      <c r="X313" s="10" t="n">
        <v>39970</v>
      </c>
      <c r="Y313" s="10" t="n">
        <v>39975</v>
      </c>
    </row>
    <row r="314" customFormat="false" ht="14.25" hidden="false" customHeight="false" outlineLevel="0" collapsed="false">
      <c r="A314" s="1" t="n">
        <v>2009</v>
      </c>
      <c r="B314" s="1" t="n">
        <v>1</v>
      </c>
      <c r="C314" s="2" t="s">
        <v>44</v>
      </c>
      <c r="D314" s="7" t="s">
        <v>118</v>
      </c>
      <c r="E314" s="1" t="n">
        <v>1</v>
      </c>
      <c r="F314" s="1" t="n">
        <f aca="false">Y314-X314</f>
        <v>5</v>
      </c>
      <c r="G314" s="1" t="n">
        <v>5</v>
      </c>
      <c r="H314" s="3" t="s">
        <v>72</v>
      </c>
      <c r="I314" s="3" t="s">
        <v>139</v>
      </c>
      <c r="J314" s="12" t="s">
        <v>140</v>
      </c>
      <c r="K314" s="2" t="str">
        <f aca="false">CONCATENATE(I314," ",J314)</f>
        <v>Gnaphosa muscorum</v>
      </c>
      <c r="L314" s="3" t="n">
        <f aca="false">SUM(P314:U314)</f>
        <v>1</v>
      </c>
      <c r="M314" s="11" t="n">
        <f aca="false">(L314/(F314*G314)*25)*4</f>
        <v>4</v>
      </c>
      <c r="N314" s="1" t="s">
        <v>30</v>
      </c>
      <c r="O314" s="1" t="s">
        <v>35</v>
      </c>
      <c r="P314" s="1" t="n">
        <v>0</v>
      </c>
      <c r="Q314" s="1" t="n">
        <v>1</v>
      </c>
      <c r="R314" s="1" t="n">
        <v>0</v>
      </c>
      <c r="S314" s="1" t="n">
        <v>0</v>
      </c>
      <c r="T314" s="1" t="n">
        <v>0</v>
      </c>
      <c r="U314" s="1" t="n">
        <v>0</v>
      </c>
      <c r="V314" s="3" t="n">
        <f aca="false">SUM(P314:Q314)</f>
        <v>1</v>
      </c>
      <c r="W314" s="3" t="n">
        <f aca="false">SUM(R314:T314)</f>
        <v>0</v>
      </c>
      <c r="X314" s="10" t="n">
        <v>39970</v>
      </c>
      <c r="Y314" s="10" t="n">
        <v>39975</v>
      </c>
    </row>
    <row r="315" customFormat="false" ht="14.25" hidden="false" customHeight="false" outlineLevel="0" collapsed="false">
      <c r="A315" s="1" t="n">
        <v>2009</v>
      </c>
      <c r="B315" s="1" t="n">
        <v>1</v>
      </c>
      <c r="C315" s="2" t="s">
        <v>44</v>
      </c>
      <c r="D315" s="7" t="s">
        <v>118</v>
      </c>
      <c r="E315" s="1" t="n">
        <v>1</v>
      </c>
      <c r="F315" s="1" t="n">
        <f aca="false">Y315-X315</f>
        <v>5</v>
      </c>
      <c r="G315" s="1" t="n">
        <v>5</v>
      </c>
      <c r="H315" s="3" t="s">
        <v>48</v>
      </c>
      <c r="I315" s="3" t="s">
        <v>49</v>
      </c>
      <c r="J315" s="12" t="s">
        <v>119</v>
      </c>
      <c r="K315" s="2" t="str">
        <f aca="false">CONCATENATE(I315," ",J315)</f>
        <v>Alopecosa sulzeri</v>
      </c>
      <c r="L315" s="3" t="n">
        <f aca="false">SUM(P315:U315)</f>
        <v>3</v>
      </c>
      <c r="M315" s="11" t="n">
        <f aca="false">(L315/(F315*G315)*25)*4</f>
        <v>12</v>
      </c>
      <c r="N315" s="1" t="s">
        <v>30</v>
      </c>
      <c r="O315" s="1" t="s">
        <v>31</v>
      </c>
      <c r="P315" s="1" t="n">
        <v>3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3" t="n">
        <f aca="false">SUM(P315:Q315)</f>
        <v>3</v>
      </c>
      <c r="W315" s="3" t="n">
        <f aca="false">SUM(R315:T315)</f>
        <v>0</v>
      </c>
      <c r="X315" s="10" t="n">
        <v>39970</v>
      </c>
      <c r="Y315" s="10" t="n">
        <v>39975</v>
      </c>
    </row>
    <row r="316" customFormat="false" ht="14.25" hidden="false" customHeight="false" outlineLevel="0" collapsed="false">
      <c r="A316" s="1" t="n">
        <v>2009</v>
      </c>
      <c r="B316" s="1" t="n">
        <v>1</v>
      </c>
      <c r="C316" s="2" t="s">
        <v>44</v>
      </c>
      <c r="D316" s="7" t="s">
        <v>118</v>
      </c>
      <c r="E316" s="1" t="n">
        <v>1</v>
      </c>
      <c r="F316" s="1" t="n">
        <f aca="false">Y316-X316</f>
        <v>5</v>
      </c>
      <c r="G316" s="1" t="n">
        <v>5</v>
      </c>
      <c r="H316" s="3" t="s">
        <v>48</v>
      </c>
      <c r="I316" s="3" t="s">
        <v>49</v>
      </c>
      <c r="J316" s="8" t="s">
        <v>130</v>
      </c>
      <c r="K316" s="2" t="str">
        <f aca="false">CONCATENATE(I316," ",J316)</f>
        <v>Alopecosa aculeata</v>
      </c>
      <c r="L316" s="3" t="n">
        <f aca="false">SUM(P316:U316)</f>
        <v>4</v>
      </c>
      <c r="M316" s="11" t="n">
        <f aca="false">(L316/(F316*G316)*25)*4</f>
        <v>16</v>
      </c>
      <c r="N316" s="1" t="s">
        <v>30</v>
      </c>
      <c r="O316" s="1" t="s">
        <v>31</v>
      </c>
      <c r="P316" s="1" t="n">
        <v>4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0</v>
      </c>
      <c r="V316" s="3" t="n">
        <f aca="false">SUM(P316:Q316)</f>
        <v>4</v>
      </c>
      <c r="W316" s="3" t="n">
        <f aca="false">SUM(R316:T316)</f>
        <v>0</v>
      </c>
      <c r="X316" s="10" t="n">
        <v>39970</v>
      </c>
      <c r="Y316" s="10" t="n">
        <v>39975</v>
      </c>
    </row>
    <row r="317" customFormat="false" ht="14.25" hidden="false" customHeight="false" outlineLevel="0" collapsed="false">
      <c r="A317" s="1" t="n">
        <v>2009</v>
      </c>
      <c r="B317" s="1" t="n">
        <v>1</v>
      </c>
      <c r="C317" s="2" t="s">
        <v>44</v>
      </c>
      <c r="D317" s="7" t="s">
        <v>118</v>
      </c>
      <c r="E317" s="1" t="n">
        <v>1</v>
      </c>
      <c r="F317" s="1" t="n">
        <f aca="false">Y317-X317</f>
        <v>5</v>
      </c>
      <c r="G317" s="1" t="n">
        <v>5</v>
      </c>
      <c r="H317" s="3" t="s">
        <v>48</v>
      </c>
      <c r="I317" s="3" t="s">
        <v>122</v>
      </c>
      <c r="J317" s="12" t="s">
        <v>123</v>
      </c>
      <c r="K317" s="2" t="str">
        <f aca="false">CONCATENATE(I317," ",J317)</f>
        <v>Xerolycosa nemoralis</v>
      </c>
      <c r="L317" s="3" t="n">
        <f aca="false">SUM(P317:U317)</f>
        <v>3</v>
      </c>
      <c r="M317" s="11" t="n">
        <f aca="false">(L317/(F317*G317)*25)*4</f>
        <v>12</v>
      </c>
      <c r="N317" s="1" t="s">
        <v>30</v>
      </c>
      <c r="O317" s="1" t="s">
        <v>31</v>
      </c>
      <c r="P317" s="1" t="n">
        <v>3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3" t="n">
        <f aca="false">SUM(P317:Q317)</f>
        <v>3</v>
      </c>
      <c r="W317" s="3" t="n">
        <f aca="false">SUM(R317:T317)</f>
        <v>0</v>
      </c>
      <c r="X317" s="10" t="n">
        <v>39970</v>
      </c>
      <c r="Y317" s="10" t="n">
        <v>39975</v>
      </c>
    </row>
    <row r="318" customFormat="false" ht="14.25" hidden="false" customHeight="false" outlineLevel="0" collapsed="false">
      <c r="A318" s="1" t="n">
        <v>2009</v>
      </c>
      <c r="B318" s="1" t="n">
        <v>1</v>
      </c>
      <c r="C318" s="2" t="s">
        <v>44</v>
      </c>
      <c r="D318" s="7" t="s">
        <v>118</v>
      </c>
      <c r="E318" s="1" t="n">
        <v>1</v>
      </c>
      <c r="F318" s="1" t="n">
        <f aca="false">Y318-X318</f>
        <v>5</v>
      </c>
      <c r="G318" s="1" t="n">
        <v>5</v>
      </c>
      <c r="H318" s="3" t="s">
        <v>48</v>
      </c>
      <c r="I318" s="3" t="s">
        <v>67</v>
      </c>
      <c r="J318" s="12" t="s">
        <v>127</v>
      </c>
      <c r="K318" s="2" t="str">
        <f aca="false">CONCATENATE(I318," ",J318)</f>
        <v>Pardosa lugubris</v>
      </c>
      <c r="L318" s="3" t="n">
        <f aca="false">SUM(P318:U318)</f>
        <v>1</v>
      </c>
      <c r="M318" s="11" t="n">
        <f aca="false">(L318/(F318*G318)*25)*4</f>
        <v>4</v>
      </c>
      <c r="N318" s="1" t="s">
        <v>30</v>
      </c>
      <c r="O318" s="1" t="s">
        <v>35</v>
      </c>
      <c r="P318" s="1" t="n">
        <v>0</v>
      </c>
      <c r="Q318" s="1" t="n">
        <v>1</v>
      </c>
      <c r="R318" s="1" t="n">
        <v>0</v>
      </c>
      <c r="S318" s="1" t="n">
        <v>0</v>
      </c>
      <c r="T318" s="1" t="n">
        <v>0</v>
      </c>
      <c r="U318" s="1" t="n">
        <v>0</v>
      </c>
      <c r="V318" s="3" t="n">
        <f aca="false">SUM(P318:Q318)</f>
        <v>1</v>
      </c>
      <c r="W318" s="3" t="n">
        <f aca="false">SUM(R318:T318)</f>
        <v>0</v>
      </c>
      <c r="X318" s="10" t="n">
        <v>39970</v>
      </c>
      <c r="Y318" s="10" t="n">
        <v>39975</v>
      </c>
    </row>
    <row r="319" customFormat="false" ht="14.25" hidden="false" customHeight="false" outlineLevel="0" collapsed="false">
      <c r="A319" s="1" t="n">
        <v>2009</v>
      </c>
      <c r="B319" s="1" t="n">
        <v>1</v>
      </c>
      <c r="C319" s="2" t="s">
        <v>44</v>
      </c>
      <c r="D319" s="7" t="s">
        <v>118</v>
      </c>
      <c r="E319" s="1" t="n">
        <v>1</v>
      </c>
      <c r="F319" s="1" t="n">
        <f aca="false">Y319-X319</f>
        <v>5</v>
      </c>
      <c r="G319" s="1" t="n">
        <v>5</v>
      </c>
      <c r="H319" s="3" t="s">
        <v>48</v>
      </c>
      <c r="I319" s="3" t="s">
        <v>49</v>
      </c>
      <c r="J319" s="12" t="s">
        <v>38</v>
      </c>
      <c r="K319" s="2" t="str">
        <f aca="false">CONCATENATE(I319," ",J319)</f>
        <v>Alopecosa sp</v>
      </c>
      <c r="L319" s="3" t="n">
        <f aca="false">SUM(P319:U319)</f>
        <v>2</v>
      </c>
      <c r="M319" s="11" t="n">
        <f aca="false">(L319/(F319*G319)*25)*4</f>
        <v>8</v>
      </c>
      <c r="N319" s="1" t="s">
        <v>19</v>
      </c>
      <c r="O319" s="1" t="s">
        <v>54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2</v>
      </c>
      <c r="U319" s="1" t="n">
        <v>0</v>
      </c>
      <c r="V319" s="3" t="n">
        <f aca="false">SUM(P319:Q319)</f>
        <v>0</v>
      </c>
      <c r="W319" s="3" t="n">
        <f aca="false">SUM(R319:T319)</f>
        <v>2</v>
      </c>
      <c r="X319" s="10" t="n">
        <v>39970</v>
      </c>
      <c r="Y319" s="10" t="n">
        <v>39975</v>
      </c>
    </row>
    <row r="320" customFormat="false" ht="14.25" hidden="false" customHeight="false" outlineLevel="0" collapsed="false">
      <c r="A320" s="1" t="n">
        <v>2009</v>
      </c>
      <c r="B320" s="1" t="n">
        <v>1</v>
      </c>
      <c r="C320" s="2" t="s">
        <v>44</v>
      </c>
      <c r="D320" s="7" t="s">
        <v>118</v>
      </c>
      <c r="E320" s="1" t="n">
        <v>1</v>
      </c>
      <c r="F320" s="1" t="n">
        <f aca="false">Y320-X320</f>
        <v>5</v>
      </c>
      <c r="G320" s="1" t="n">
        <v>5</v>
      </c>
      <c r="H320" s="3" t="s">
        <v>72</v>
      </c>
      <c r="I320" s="3" t="s">
        <v>73</v>
      </c>
      <c r="J320" s="16" t="s">
        <v>38</v>
      </c>
      <c r="K320" s="2" t="str">
        <f aca="false">CONCATENATE(I320," ",J320)</f>
        <v>Zelotes sp</v>
      </c>
      <c r="L320" s="3" t="n">
        <f aca="false">SUM(P320:U320)</f>
        <v>1</v>
      </c>
      <c r="M320" s="11" t="n">
        <f aca="false">(L320/(F320*G320)*25)*4</f>
        <v>4</v>
      </c>
      <c r="N320" s="15" t="s">
        <v>19</v>
      </c>
      <c r="O320" s="15" t="s">
        <v>35</v>
      </c>
      <c r="P320" s="1" t="n">
        <v>0</v>
      </c>
      <c r="Q320" s="1" t="n">
        <v>0</v>
      </c>
      <c r="R320" s="1" t="n">
        <v>0</v>
      </c>
      <c r="S320" s="1" t="n">
        <v>1</v>
      </c>
      <c r="T320" s="1" t="n">
        <v>0</v>
      </c>
      <c r="U320" s="1" t="n">
        <v>0</v>
      </c>
      <c r="V320" s="3" t="n">
        <f aca="false">SUM(P320:Q320)</f>
        <v>0</v>
      </c>
      <c r="W320" s="3" t="n">
        <f aca="false">SUM(R320:T320)</f>
        <v>1</v>
      </c>
      <c r="X320" s="10" t="n">
        <v>39970</v>
      </c>
      <c r="Y320" s="10" t="n">
        <v>39975</v>
      </c>
    </row>
    <row r="321" customFormat="false" ht="14.25" hidden="false" customHeight="false" outlineLevel="0" collapsed="false">
      <c r="A321" s="1" t="n">
        <v>2009</v>
      </c>
      <c r="B321" s="1" t="n">
        <v>1</v>
      </c>
      <c r="C321" s="2" t="s">
        <v>44</v>
      </c>
      <c r="D321" s="7" t="s">
        <v>118</v>
      </c>
      <c r="E321" s="1" t="n">
        <v>2</v>
      </c>
      <c r="F321" s="1" t="n">
        <f aca="false">Y321-X321</f>
        <v>5</v>
      </c>
      <c r="G321" s="1" t="n">
        <v>5</v>
      </c>
      <c r="H321" s="3" t="s">
        <v>48</v>
      </c>
      <c r="I321" s="3" t="s">
        <v>49</v>
      </c>
      <c r="J321" s="8" t="s">
        <v>130</v>
      </c>
      <c r="K321" s="2" t="str">
        <f aca="false">CONCATENATE(I321," ",J321)</f>
        <v>Alopecosa aculeata</v>
      </c>
      <c r="L321" s="3" t="n">
        <f aca="false">SUM(P321:U321)</f>
        <v>4</v>
      </c>
      <c r="M321" s="11" t="n">
        <f aca="false">(L321/(F321*G321)*25)*4</f>
        <v>16</v>
      </c>
      <c r="N321" s="1" t="s">
        <v>30</v>
      </c>
      <c r="O321" s="1" t="s">
        <v>31</v>
      </c>
      <c r="P321" s="1" t="n">
        <v>4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0</v>
      </c>
      <c r="V321" s="3" t="n">
        <f aca="false">SUM(P321:Q321)</f>
        <v>4</v>
      </c>
      <c r="W321" s="3" t="n">
        <f aca="false">SUM(R321:T321)</f>
        <v>0</v>
      </c>
      <c r="X321" s="10" t="n">
        <v>39970</v>
      </c>
      <c r="Y321" s="10" t="n">
        <v>39975</v>
      </c>
    </row>
    <row r="322" customFormat="false" ht="14.25" hidden="false" customHeight="false" outlineLevel="0" collapsed="false">
      <c r="A322" s="1" t="n">
        <v>2009</v>
      </c>
      <c r="B322" s="1" t="n">
        <v>1</v>
      </c>
      <c r="C322" s="2" t="s">
        <v>44</v>
      </c>
      <c r="D322" s="7" t="s">
        <v>118</v>
      </c>
      <c r="E322" s="1" t="n">
        <v>2</v>
      </c>
      <c r="F322" s="1" t="n">
        <f aca="false">Y322-X322</f>
        <v>5</v>
      </c>
      <c r="G322" s="1" t="n">
        <v>5</v>
      </c>
      <c r="H322" s="3" t="s">
        <v>48</v>
      </c>
      <c r="I322" s="3" t="s">
        <v>49</v>
      </c>
      <c r="J322" s="8" t="s">
        <v>130</v>
      </c>
      <c r="K322" s="2" t="str">
        <f aca="false">CONCATENATE(I322," ",J322)</f>
        <v>Alopecosa aculeata</v>
      </c>
      <c r="L322" s="3" t="n">
        <f aca="false">SUM(P322:U322)</f>
        <v>4</v>
      </c>
      <c r="M322" s="11" t="n">
        <f aca="false">(L322/(F322*G322)*25)*4</f>
        <v>16</v>
      </c>
      <c r="N322" s="1" t="s">
        <v>30</v>
      </c>
      <c r="O322" s="1" t="s">
        <v>35</v>
      </c>
      <c r="P322" s="1" t="n">
        <v>0</v>
      </c>
      <c r="Q322" s="1" t="n">
        <v>4</v>
      </c>
      <c r="R322" s="1" t="n">
        <v>0</v>
      </c>
      <c r="S322" s="1" t="n">
        <v>0</v>
      </c>
      <c r="T322" s="1" t="n">
        <v>0</v>
      </c>
      <c r="U322" s="1" t="n">
        <v>0</v>
      </c>
      <c r="V322" s="3" t="n">
        <f aca="false">SUM(P322:Q322)</f>
        <v>4</v>
      </c>
      <c r="W322" s="3" t="n">
        <f aca="false">SUM(R322:T322)</f>
        <v>0</v>
      </c>
      <c r="X322" s="10" t="n">
        <v>39970</v>
      </c>
      <c r="Y322" s="10" t="n">
        <v>39975</v>
      </c>
    </row>
    <row r="323" customFormat="false" ht="14.25" hidden="false" customHeight="false" outlineLevel="0" collapsed="false">
      <c r="A323" s="1" t="n">
        <v>2009</v>
      </c>
      <c r="B323" s="1" t="n">
        <v>1</v>
      </c>
      <c r="C323" s="2" t="s">
        <v>44</v>
      </c>
      <c r="D323" s="7" t="s">
        <v>118</v>
      </c>
      <c r="E323" s="1" t="n">
        <v>2</v>
      </c>
      <c r="F323" s="1" t="n">
        <f aca="false">Y323-X323</f>
        <v>5</v>
      </c>
      <c r="G323" s="1" t="n">
        <v>5</v>
      </c>
      <c r="H323" s="3" t="s">
        <v>72</v>
      </c>
      <c r="I323" s="3" t="s">
        <v>139</v>
      </c>
      <c r="J323" s="12" t="s">
        <v>140</v>
      </c>
      <c r="K323" s="2" t="str">
        <f aca="false">CONCATENATE(I323," ",J323)</f>
        <v>Gnaphosa muscorum</v>
      </c>
      <c r="L323" s="3" t="n">
        <f aca="false">SUM(P323:U323)</f>
        <v>2</v>
      </c>
      <c r="M323" s="11" t="n">
        <f aca="false">(L323/(F323*G323)*25)*4</f>
        <v>8</v>
      </c>
      <c r="N323" s="1" t="s">
        <v>30</v>
      </c>
      <c r="O323" s="1" t="s">
        <v>31</v>
      </c>
      <c r="P323" s="1" t="n">
        <v>2</v>
      </c>
      <c r="Q323" s="1" t="n">
        <v>0</v>
      </c>
      <c r="R323" s="1" t="n">
        <v>0</v>
      </c>
      <c r="S323" s="1" t="n">
        <v>0</v>
      </c>
      <c r="T323" s="1" t="n">
        <v>0</v>
      </c>
      <c r="U323" s="1" t="n">
        <v>0</v>
      </c>
      <c r="V323" s="3" t="n">
        <f aca="false">SUM(P323:Q323)</f>
        <v>2</v>
      </c>
      <c r="W323" s="3" t="n">
        <f aca="false">SUM(R323:T323)</f>
        <v>0</v>
      </c>
      <c r="X323" s="10" t="n">
        <v>39970</v>
      </c>
      <c r="Y323" s="10" t="n">
        <v>39975</v>
      </c>
    </row>
    <row r="324" customFormat="false" ht="14.25" hidden="false" customHeight="false" outlineLevel="0" collapsed="false">
      <c r="A324" s="1" t="n">
        <v>2009</v>
      </c>
      <c r="B324" s="1" t="n">
        <v>1</v>
      </c>
      <c r="C324" s="2" t="s">
        <v>44</v>
      </c>
      <c r="D324" s="7" t="s">
        <v>118</v>
      </c>
      <c r="E324" s="1" t="n">
        <v>2</v>
      </c>
      <c r="F324" s="1" t="n">
        <f aca="false">Y324-X324</f>
        <v>5</v>
      </c>
      <c r="G324" s="1" t="n">
        <v>5</v>
      </c>
      <c r="H324" s="3" t="s">
        <v>72</v>
      </c>
      <c r="I324" s="3" t="s">
        <v>73</v>
      </c>
      <c r="J324" s="12" t="s">
        <v>149</v>
      </c>
      <c r="K324" s="2" t="str">
        <f aca="false">CONCATENATE(I324," ",J324)</f>
        <v>Zelotes electus</v>
      </c>
      <c r="L324" s="3" t="n">
        <f aca="false">SUM(P324:U324)</f>
        <v>1</v>
      </c>
      <c r="M324" s="11" t="n">
        <f aca="false">(L324/(F324*G324)*25)*4</f>
        <v>4</v>
      </c>
      <c r="N324" s="1" t="s">
        <v>30</v>
      </c>
      <c r="O324" s="1" t="s">
        <v>35</v>
      </c>
      <c r="P324" s="1" t="n">
        <v>0</v>
      </c>
      <c r="Q324" s="1" t="n">
        <v>1</v>
      </c>
      <c r="R324" s="1" t="n">
        <v>0</v>
      </c>
      <c r="S324" s="1" t="n">
        <v>0</v>
      </c>
      <c r="T324" s="1" t="n">
        <v>0</v>
      </c>
      <c r="U324" s="1" t="n">
        <v>0</v>
      </c>
      <c r="V324" s="3" t="n">
        <f aca="false">SUM(P324:Q324)</f>
        <v>1</v>
      </c>
      <c r="W324" s="3" t="n">
        <f aca="false">SUM(R324:T324)</f>
        <v>0</v>
      </c>
      <c r="X324" s="10" t="n">
        <v>39970</v>
      </c>
      <c r="Y324" s="10" t="n">
        <v>39975</v>
      </c>
    </row>
    <row r="325" customFormat="false" ht="14.25" hidden="false" customHeight="false" outlineLevel="0" collapsed="false">
      <c r="A325" s="1" t="n">
        <v>2009</v>
      </c>
      <c r="B325" s="1" t="n">
        <v>1</v>
      </c>
      <c r="C325" s="2" t="s">
        <v>44</v>
      </c>
      <c r="D325" s="7" t="s">
        <v>118</v>
      </c>
      <c r="E325" s="1" t="n">
        <v>2</v>
      </c>
      <c r="F325" s="1" t="n">
        <f aca="false">Y325-X325</f>
        <v>5</v>
      </c>
      <c r="G325" s="1" t="n">
        <v>5</v>
      </c>
      <c r="H325" s="3" t="s">
        <v>72</v>
      </c>
      <c r="I325" s="3" t="s">
        <v>73</v>
      </c>
      <c r="J325" s="12" t="s">
        <v>38</v>
      </c>
      <c r="K325" s="2" t="str">
        <f aca="false">CONCATENATE(I325," ",J325)</f>
        <v>Zelotes sp</v>
      </c>
      <c r="L325" s="3" t="n">
        <f aca="false">SUM(P325:U325)</f>
        <v>1</v>
      </c>
      <c r="M325" s="11" t="n">
        <f aca="false">(L325/(F325*G325)*25)*4</f>
        <v>4</v>
      </c>
      <c r="N325" s="1" t="s">
        <v>19</v>
      </c>
      <c r="O325" s="1" t="s">
        <v>54</v>
      </c>
      <c r="P325" s="1" t="n">
        <v>0</v>
      </c>
      <c r="Q325" s="1" t="n">
        <v>0</v>
      </c>
      <c r="R325" s="1" t="n">
        <v>0</v>
      </c>
      <c r="S325" s="1" t="n">
        <v>0</v>
      </c>
      <c r="T325" s="1" t="n">
        <v>1</v>
      </c>
      <c r="U325" s="1" t="n">
        <v>0</v>
      </c>
      <c r="V325" s="3" t="n">
        <f aca="false">SUM(P325:Q325)</f>
        <v>0</v>
      </c>
      <c r="W325" s="3" t="n">
        <f aca="false">SUM(R325:T325)</f>
        <v>1</v>
      </c>
      <c r="X325" s="10" t="n">
        <v>39970</v>
      </c>
      <c r="Y325" s="10" t="n">
        <v>39975</v>
      </c>
    </row>
    <row r="326" customFormat="false" ht="14.25" hidden="false" customHeight="false" outlineLevel="0" collapsed="false">
      <c r="A326" s="1" t="n">
        <v>2009</v>
      </c>
      <c r="B326" s="1" t="n">
        <v>1</v>
      </c>
      <c r="C326" s="2" t="s">
        <v>44</v>
      </c>
      <c r="D326" s="7" t="s">
        <v>118</v>
      </c>
      <c r="E326" s="1" t="n">
        <v>2</v>
      </c>
      <c r="F326" s="1" t="n">
        <f aca="false">Y326-X326</f>
        <v>5</v>
      </c>
      <c r="G326" s="1" t="n">
        <v>5</v>
      </c>
      <c r="H326" s="3" t="s">
        <v>48</v>
      </c>
      <c r="I326" s="3" t="s">
        <v>122</v>
      </c>
      <c r="J326" s="12" t="s">
        <v>123</v>
      </c>
      <c r="K326" s="2" t="str">
        <f aca="false">CONCATENATE(I326," ",J326)</f>
        <v>Xerolycosa nemoralis</v>
      </c>
      <c r="L326" s="3" t="n">
        <f aca="false">SUM(P326:U326)</f>
        <v>2</v>
      </c>
      <c r="M326" s="11" t="n">
        <f aca="false">(L326/(F326*G326)*25)*4</f>
        <v>8</v>
      </c>
      <c r="N326" s="1" t="s">
        <v>30</v>
      </c>
      <c r="O326" s="1" t="s">
        <v>31</v>
      </c>
      <c r="P326" s="1" t="n">
        <v>2</v>
      </c>
      <c r="Q326" s="1" t="n">
        <v>0</v>
      </c>
      <c r="R326" s="1" t="n">
        <v>0</v>
      </c>
      <c r="S326" s="1" t="n">
        <v>0</v>
      </c>
      <c r="T326" s="1" t="n">
        <v>0</v>
      </c>
      <c r="U326" s="1" t="n">
        <v>0</v>
      </c>
      <c r="V326" s="3" t="n">
        <f aca="false">SUM(P326:Q326)</f>
        <v>2</v>
      </c>
      <c r="W326" s="3" t="n">
        <f aca="false">SUM(R326:T326)</f>
        <v>0</v>
      </c>
      <c r="X326" s="10" t="n">
        <v>39970</v>
      </c>
      <c r="Y326" s="10" t="n">
        <v>39975</v>
      </c>
    </row>
    <row r="327" customFormat="false" ht="14.25" hidden="false" customHeight="false" outlineLevel="0" collapsed="false">
      <c r="A327" s="1" t="n">
        <v>2009</v>
      </c>
      <c r="B327" s="1" t="n">
        <v>1</v>
      </c>
      <c r="C327" s="2" t="s">
        <v>44</v>
      </c>
      <c r="D327" s="7" t="s">
        <v>118</v>
      </c>
      <c r="E327" s="1" t="n">
        <v>2</v>
      </c>
      <c r="F327" s="1" t="n">
        <f aca="false">Y327-X327</f>
        <v>5</v>
      </c>
      <c r="G327" s="1" t="n">
        <v>5</v>
      </c>
      <c r="H327" s="3" t="s">
        <v>48</v>
      </c>
      <c r="I327" s="3" t="s">
        <v>67</v>
      </c>
      <c r="J327" s="12" t="s">
        <v>127</v>
      </c>
      <c r="K327" s="2" t="str">
        <f aca="false">CONCATENATE(I327," ",J327)</f>
        <v>Pardosa lugubris</v>
      </c>
      <c r="L327" s="3" t="n">
        <f aca="false">SUM(P327:U327)</f>
        <v>2</v>
      </c>
      <c r="M327" s="11" t="n">
        <f aca="false">(L327/(F327*G327)*25)*4</f>
        <v>8</v>
      </c>
      <c r="N327" s="1" t="s">
        <v>30</v>
      </c>
      <c r="O327" s="1" t="s">
        <v>31</v>
      </c>
      <c r="P327" s="1" t="n">
        <v>2</v>
      </c>
      <c r="Q327" s="1" t="n">
        <v>0</v>
      </c>
      <c r="R327" s="1" t="n">
        <v>0</v>
      </c>
      <c r="S327" s="1" t="n">
        <v>0</v>
      </c>
      <c r="T327" s="1" t="n">
        <v>0</v>
      </c>
      <c r="U327" s="1" t="n">
        <v>0</v>
      </c>
      <c r="V327" s="3" t="n">
        <f aca="false">SUM(P327:Q327)</f>
        <v>2</v>
      </c>
      <c r="W327" s="3" t="n">
        <f aca="false">SUM(R327:T327)</f>
        <v>0</v>
      </c>
      <c r="X327" s="10" t="n">
        <v>39970</v>
      </c>
      <c r="Y327" s="10" t="n">
        <v>39975</v>
      </c>
    </row>
    <row r="328" customFormat="false" ht="14.25" hidden="false" customHeight="false" outlineLevel="0" collapsed="false">
      <c r="A328" s="1" t="n">
        <v>2009</v>
      </c>
      <c r="B328" s="1" t="n">
        <v>1</v>
      </c>
      <c r="C328" s="2" t="s">
        <v>44</v>
      </c>
      <c r="D328" s="7" t="s">
        <v>118</v>
      </c>
      <c r="E328" s="1" t="n">
        <v>2</v>
      </c>
      <c r="F328" s="1" t="n">
        <f aca="false">Y328-X328</f>
        <v>5</v>
      </c>
      <c r="G328" s="1" t="n">
        <v>5</v>
      </c>
      <c r="H328" s="3" t="s">
        <v>48</v>
      </c>
      <c r="I328" s="3" t="s">
        <v>61</v>
      </c>
      <c r="J328" s="12" t="s">
        <v>38</v>
      </c>
      <c r="K328" s="2" t="str">
        <f aca="false">CONCATENATE(I328," ",J328)</f>
        <v>Trochosa sp</v>
      </c>
      <c r="L328" s="3" t="n">
        <f aca="false">SUM(P328:U328)</f>
        <v>1</v>
      </c>
      <c r="M328" s="11" t="n">
        <f aca="false">(L328/(F328*G328)*25)*4</f>
        <v>4</v>
      </c>
      <c r="N328" s="1" t="s">
        <v>19</v>
      </c>
      <c r="O328" s="1" t="s">
        <v>54</v>
      </c>
      <c r="P328" s="1" t="n">
        <v>0</v>
      </c>
      <c r="Q328" s="1" t="n">
        <v>0</v>
      </c>
      <c r="R328" s="1" t="n">
        <v>0</v>
      </c>
      <c r="S328" s="1" t="n">
        <v>0</v>
      </c>
      <c r="T328" s="1" t="n">
        <v>1</v>
      </c>
      <c r="U328" s="1" t="n">
        <v>0</v>
      </c>
      <c r="V328" s="3" t="n">
        <f aca="false">SUM(P328:Q328)</f>
        <v>0</v>
      </c>
      <c r="W328" s="3" t="n">
        <f aca="false">SUM(R328:T328)</f>
        <v>1</v>
      </c>
      <c r="X328" s="10" t="n">
        <v>39970</v>
      </c>
      <c r="Y328" s="10" t="n">
        <v>39975</v>
      </c>
    </row>
    <row r="329" customFormat="false" ht="14.25" hidden="false" customHeight="false" outlineLevel="0" collapsed="false">
      <c r="A329" s="1" t="n">
        <v>2009</v>
      </c>
      <c r="B329" s="1" t="n">
        <v>1</v>
      </c>
      <c r="C329" s="2" t="s">
        <v>44</v>
      </c>
      <c r="D329" s="7" t="s">
        <v>118</v>
      </c>
      <c r="E329" s="1" t="n">
        <v>2</v>
      </c>
      <c r="F329" s="1" t="n">
        <f aca="false">Y329-X329</f>
        <v>5</v>
      </c>
      <c r="G329" s="1" t="n">
        <v>5</v>
      </c>
      <c r="H329" s="3" t="s">
        <v>36</v>
      </c>
      <c r="I329" s="3" t="s">
        <v>131</v>
      </c>
      <c r="J329" s="12" t="s">
        <v>133</v>
      </c>
      <c r="K329" s="2" t="str">
        <f aca="false">CONCATENATE(I329," ",J329)</f>
        <v>Xysticus luctuosus</v>
      </c>
      <c r="L329" s="3" t="n">
        <f aca="false">SUM(P329:U329)</f>
        <v>1</v>
      </c>
      <c r="M329" s="11" t="n">
        <f aca="false">(L329/(F329*G329)*25)*4</f>
        <v>4</v>
      </c>
      <c r="N329" s="1" t="s">
        <v>30</v>
      </c>
      <c r="O329" s="1" t="s">
        <v>31</v>
      </c>
      <c r="P329" s="1" t="n">
        <v>1</v>
      </c>
      <c r="Q329" s="1" t="n">
        <v>0</v>
      </c>
      <c r="R329" s="1" t="n">
        <v>0</v>
      </c>
      <c r="S329" s="1" t="n">
        <v>0</v>
      </c>
      <c r="T329" s="1" t="n">
        <v>0</v>
      </c>
      <c r="U329" s="1" t="n">
        <v>0</v>
      </c>
      <c r="V329" s="3" t="n">
        <f aca="false">SUM(P329:Q329)</f>
        <v>1</v>
      </c>
      <c r="W329" s="3" t="n">
        <f aca="false">SUM(R329:T329)</f>
        <v>0</v>
      </c>
      <c r="X329" s="10" t="n">
        <v>39970</v>
      </c>
      <c r="Y329" s="10" t="n">
        <v>39975</v>
      </c>
    </row>
    <row r="330" customFormat="false" ht="14.25" hidden="false" customHeight="false" outlineLevel="0" collapsed="false">
      <c r="A330" s="1" t="n">
        <v>2009</v>
      </c>
      <c r="B330" s="1" t="n">
        <v>1</v>
      </c>
      <c r="C330" s="2" t="s">
        <v>44</v>
      </c>
      <c r="D330" s="7" t="s">
        <v>118</v>
      </c>
      <c r="E330" s="1" t="n">
        <v>2</v>
      </c>
      <c r="F330" s="1" t="n">
        <f aca="false">Y330-X330</f>
        <v>5</v>
      </c>
      <c r="G330" s="1" t="n">
        <v>5</v>
      </c>
      <c r="H330" s="3" t="s">
        <v>64</v>
      </c>
      <c r="I330" s="3" t="s">
        <v>65</v>
      </c>
      <c r="J330" s="12" t="s">
        <v>123</v>
      </c>
      <c r="K330" s="2" t="str">
        <f aca="false">CONCATENATE(I330," ",J330)</f>
        <v>Zora nemoralis</v>
      </c>
      <c r="L330" s="3" t="n">
        <f aca="false">SUM(P330:U330)</f>
        <v>1</v>
      </c>
      <c r="M330" s="11" t="n">
        <f aca="false">(L330/(F330*G330)*25)*4</f>
        <v>4</v>
      </c>
      <c r="N330" s="1" t="s">
        <v>30</v>
      </c>
      <c r="O330" s="1" t="s">
        <v>31</v>
      </c>
      <c r="P330" s="1" t="n">
        <v>1</v>
      </c>
      <c r="Q330" s="1" t="n">
        <v>0</v>
      </c>
      <c r="R330" s="1" t="n">
        <v>0</v>
      </c>
      <c r="S330" s="1" t="n">
        <v>0</v>
      </c>
      <c r="T330" s="1" t="n">
        <v>0</v>
      </c>
      <c r="U330" s="1" t="n">
        <v>0</v>
      </c>
      <c r="V330" s="3" t="n">
        <f aca="false">SUM(P330:Q330)</f>
        <v>1</v>
      </c>
      <c r="W330" s="3" t="n">
        <f aca="false">SUM(R330:T330)</f>
        <v>0</v>
      </c>
      <c r="X330" s="10" t="n">
        <v>39970</v>
      </c>
      <c r="Y330" s="10" t="n">
        <v>39975</v>
      </c>
    </row>
    <row r="331" customFormat="false" ht="14.25" hidden="false" customHeight="false" outlineLevel="0" collapsed="false">
      <c r="A331" s="1" t="n">
        <v>2009</v>
      </c>
      <c r="B331" s="1" t="n">
        <v>1</v>
      </c>
      <c r="C331" s="2" t="s">
        <v>44</v>
      </c>
      <c r="D331" s="7" t="s">
        <v>118</v>
      </c>
      <c r="E331" s="1" t="n">
        <v>1</v>
      </c>
      <c r="F331" s="1" t="n">
        <f aca="false">Y331-X331</f>
        <v>5</v>
      </c>
      <c r="G331" s="1" t="n">
        <v>5</v>
      </c>
      <c r="H331" s="3" t="s">
        <v>72</v>
      </c>
      <c r="I331" s="3" t="s">
        <v>139</v>
      </c>
      <c r="J331" s="12" t="s">
        <v>140</v>
      </c>
      <c r="K331" s="2" t="str">
        <f aca="false">CONCATENATE(I331," ",J331)</f>
        <v>Gnaphosa muscorum</v>
      </c>
      <c r="L331" s="3" t="n">
        <f aca="false">SUM(P331:U331)</f>
        <v>1</v>
      </c>
      <c r="M331" s="11" t="n">
        <f aca="false">(L331/(F331*G331)*25)*4</f>
        <v>4</v>
      </c>
      <c r="N331" s="1" t="s">
        <v>30</v>
      </c>
      <c r="O331" s="1" t="s">
        <v>31</v>
      </c>
      <c r="P331" s="1" t="n">
        <v>1</v>
      </c>
      <c r="Q331" s="1" t="n">
        <v>0</v>
      </c>
      <c r="R331" s="1" t="n">
        <v>0</v>
      </c>
      <c r="S331" s="1" t="n">
        <v>0</v>
      </c>
      <c r="T331" s="1" t="n">
        <v>0</v>
      </c>
      <c r="U331" s="1" t="n">
        <v>0</v>
      </c>
      <c r="V331" s="3" t="n">
        <f aca="false">SUM(P331:Q331)</f>
        <v>1</v>
      </c>
      <c r="W331" s="3" t="n">
        <f aca="false">SUM(R331:T331)</f>
        <v>0</v>
      </c>
      <c r="X331" s="10" t="n">
        <v>39970</v>
      </c>
      <c r="Y331" s="10" t="n">
        <v>39975</v>
      </c>
    </row>
    <row r="332" customFormat="false" ht="14.25" hidden="false" customHeight="false" outlineLevel="0" collapsed="false">
      <c r="A332" s="1" t="n">
        <v>2009</v>
      </c>
      <c r="B332" s="1" t="n">
        <v>1</v>
      </c>
      <c r="C332" s="2" t="s">
        <v>44</v>
      </c>
      <c r="D332" s="7" t="s">
        <v>118</v>
      </c>
      <c r="E332" s="1" t="n">
        <v>1</v>
      </c>
      <c r="F332" s="1" t="n">
        <f aca="false">Y332-X332</f>
        <v>5</v>
      </c>
      <c r="G332" s="1" t="n">
        <v>5</v>
      </c>
      <c r="H332" s="3" t="s">
        <v>72</v>
      </c>
      <c r="I332" s="3" t="s">
        <v>139</v>
      </c>
      <c r="J332" s="12" t="s">
        <v>140</v>
      </c>
      <c r="K332" s="2" t="str">
        <f aca="false">CONCATENATE(I332," ",J332)</f>
        <v>Gnaphosa muscorum</v>
      </c>
      <c r="L332" s="3" t="n">
        <f aca="false">SUM(P332:U332)</f>
        <v>1</v>
      </c>
      <c r="M332" s="11" t="n">
        <f aca="false">(L332/(F332*G332)*25)*4</f>
        <v>4</v>
      </c>
      <c r="N332" s="1" t="s">
        <v>30</v>
      </c>
      <c r="O332" s="1" t="s">
        <v>35</v>
      </c>
      <c r="P332" s="1" t="n">
        <v>0</v>
      </c>
      <c r="Q332" s="1" t="n">
        <v>1</v>
      </c>
      <c r="R332" s="1" t="n">
        <v>0</v>
      </c>
      <c r="S332" s="1" t="n">
        <v>0</v>
      </c>
      <c r="T332" s="1" t="n">
        <v>0</v>
      </c>
      <c r="U332" s="1" t="n">
        <v>0</v>
      </c>
      <c r="V332" s="3" t="n">
        <f aca="false">SUM(P332:Q332)</f>
        <v>1</v>
      </c>
      <c r="W332" s="3" t="n">
        <f aca="false">SUM(R332:T332)</f>
        <v>0</v>
      </c>
      <c r="X332" s="10" t="n">
        <v>39970</v>
      </c>
      <c r="Y332" s="10" t="n">
        <v>39975</v>
      </c>
    </row>
    <row r="333" customFormat="false" ht="14.25" hidden="false" customHeight="false" outlineLevel="0" collapsed="false">
      <c r="A333" s="1" t="n">
        <v>2009</v>
      </c>
      <c r="B333" s="1" t="n">
        <v>1</v>
      </c>
      <c r="C333" s="2" t="s">
        <v>44</v>
      </c>
      <c r="D333" s="7" t="s">
        <v>118</v>
      </c>
      <c r="E333" s="1" t="n">
        <v>1</v>
      </c>
      <c r="F333" s="1" t="n">
        <f aca="false">Y333-X333</f>
        <v>5</v>
      </c>
      <c r="G333" s="1" t="n">
        <v>5</v>
      </c>
      <c r="H333" s="3" t="s">
        <v>72</v>
      </c>
      <c r="I333" s="3" t="s">
        <v>150</v>
      </c>
      <c r="J333" s="12" t="s">
        <v>151</v>
      </c>
      <c r="K333" s="2" t="str">
        <f aca="false">CONCATENATE(I333," ",J333)</f>
        <v>Drassodes villosus</v>
      </c>
      <c r="L333" s="3" t="n">
        <f aca="false">SUM(P333:U333)</f>
        <v>1</v>
      </c>
      <c r="M333" s="11" t="n">
        <f aca="false">(L333/(F333*G333)*25)*4</f>
        <v>4</v>
      </c>
      <c r="N333" s="1" t="s">
        <v>30</v>
      </c>
      <c r="O333" s="1" t="s">
        <v>31</v>
      </c>
      <c r="P333" s="1" t="n">
        <v>1</v>
      </c>
      <c r="Q333" s="1" t="n">
        <v>0</v>
      </c>
      <c r="R333" s="1" t="n">
        <v>0</v>
      </c>
      <c r="S333" s="1" t="n">
        <v>0</v>
      </c>
      <c r="T333" s="1" t="n">
        <v>0</v>
      </c>
      <c r="U333" s="1" t="n">
        <v>0</v>
      </c>
      <c r="V333" s="3" t="n">
        <f aca="false">SUM(P333:Q333)</f>
        <v>1</v>
      </c>
      <c r="W333" s="3" t="n">
        <f aca="false">SUM(R333:T333)</f>
        <v>0</v>
      </c>
      <c r="X333" s="10" t="n">
        <v>39970</v>
      </c>
      <c r="Y333" s="10" t="n">
        <v>39975</v>
      </c>
    </row>
    <row r="334" customFormat="false" ht="14.25" hidden="false" customHeight="false" outlineLevel="0" collapsed="false">
      <c r="A334" s="1" t="n">
        <v>2009</v>
      </c>
      <c r="B334" s="1" t="n">
        <v>1</v>
      </c>
      <c r="C334" s="2" t="s">
        <v>44</v>
      </c>
      <c r="D334" s="7" t="s">
        <v>118</v>
      </c>
      <c r="E334" s="1" t="n">
        <v>1</v>
      </c>
      <c r="F334" s="1" t="n">
        <f aca="false">Y334-X334</f>
        <v>5</v>
      </c>
      <c r="G334" s="1" t="n">
        <v>5</v>
      </c>
      <c r="H334" s="3" t="s">
        <v>48</v>
      </c>
      <c r="I334" s="3" t="s">
        <v>49</v>
      </c>
      <c r="J334" s="8" t="s">
        <v>130</v>
      </c>
      <c r="K334" s="2" t="str">
        <f aca="false">CONCATENATE(I334," ",J334)</f>
        <v>Alopecosa aculeata</v>
      </c>
      <c r="L334" s="3" t="n">
        <f aca="false">SUM(P334:U334)</f>
        <v>3</v>
      </c>
      <c r="M334" s="11" t="n">
        <f aca="false">(L334/(F334*G334)*25)*4</f>
        <v>12</v>
      </c>
      <c r="N334" s="1" t="s">
        <v>30</v>
      </c>
      <c r="O334" s="1" t="s">
        <v>31</v>
      </c>
      <c r="P334" s="1" t="n">
        <v>3</v>
      </c>
      <c r="Q334" s="1" t="n">
        <v>0</v>
      </c>
      <c r="R334" s="1" t="n">
        <v>0</v>
      </c>
      <c r="S334" s="1" t="n">
        <v>0</v>
      </c>
      <c r="T334" s="1" t="n">
        <v>0</v>
      </c>
      <c r="U334" s="1" t="n">
        <v>0</v>
      </c>
      <c r="V334" s="3" t="n">
        <f aca="false">SUM(P334:Q334)</f>
        <v>3</v>
      </c>
      <c r="W334" s="3" t="n">
        <f aca="false">SUM(R334:T334)</f>
        <v>0</v>
      </c>
      <c r="X334" s="10" t="n">
        <v>39970</v>
      </c>
      <c r="Y334" s="10" t="n">
        <v>39975</v>
      </c>
    </row>
    <row r="335" customFormat="false" ht="14.25" hidden="false" customHeight="false" outlineLevel="0" collapsed="false">
      <c r="A335" s="1" t="n">
        <v>2009</v>
      </c>
      <c r="B335" s="1" t="n">
        <v>1</v>
      </c>
      <c r="C335" s="2" t="s">
        <v>44</v>
      </c>
      <c r="D335" s="7" t="s">
        <v>118</v>
      </c>
      <c r="E335" s="1" t="n">
        <v>1</v>
      </c>
      <c r="F335" s="1" t="n">
        <f aca="false">Y335-X335</f>
        <v>5</v>
      </c>
      <c r="G335" s="1" t="n">
        <v>5</v>
      </c>
      <c r="H335" s="3" t="s">
        <v>48</v>
      </c>
      <c r="I335" s="3" t="s">
        <v>122</v>
      </c>
      <c r="J335" s="12" t="s">
        <v>123</v>
      </c>
      <c r="K335" s="2" t="str">
        <f aca="false">CONCATENATE(I335," ",J335)</f>
        <v>Xerolycosa nemoralis</v>
      </c>
      <c r="L335" s="3" t="n">
        <f aca="false">SUM(P335:U335)</f>
        <v>2</v>
      </c>
      <c r="M335" s="11" t="n">
        <f aca="false">(L335/(F335*G335)*25)*4</f>
        <v>8</v>
      </c>
      <c r="N335" s="1" t="s">
        <v>30</v>
      </c>
      <c r="O335" s="1" t="s">
        <v>31</v>
      </c>
      <c r="P335" s="1" t="n">
        <v>2</v>
      </c>
      <c r="Q335" s="1" t="n">
        <v>0</v>
      </c>
      <c r="R335" s="1" t="n">
        <v>0</v>
      </c>
      <c r="S335" s="1" t="n">
        <v>0</v>
      </c>
      <c r="T335" s="1" t="n">
        <v>0</v>
      </c>
      <c r="U335" s="1" t="n">
        <v>0</v>
      </c>
      <c r="V335" s="3" t="n">
        <f aca="false">SUM(P335:Q335)</f>
        <v>2</v>
      </c>
      <c r="W335" s="3" t="n">
        <f aca="false">SUM(R335:T335)</f>
        <v>0</v>
      </c>
      <c r="X335" s="10" t="n">
        <v>39970</v>
      </c>
      <c r="Y335" s="10" t="n">
        <v>39975</v>
      </c>
    </row>
    <row r="336" customFormat="false" ht="14.25" hidden="false" customHeight="false" outlineLevel="0" collapsed="false">
      <c r="A336" s="1" t="n">
        <v>2009</v>
      </c>
      <c r="B336" s="1" t="n">
        <v>1</v>
      </c>
      <c r="C336" s="2" t="s">
        <v>44</v>
      </c>
      <c r="D336" s="7" t="s">
        <v>118</v>
      </c>
      <c r="E336" s="1" t="n">
        <v>1</v>
      </c>
      <c r="F336" s="1" t="n">
        <f aca="false">Y336-X336</f>
        <v>5</v>
      </c>
      <c r="G336" s="1" t="n">
        <v>5</v>
      </c>
      <c r="H336" s="3" t="s">
        <v>48</v>
      </c>
      <c r="I336" s="3" t="s">
        <v>122</v>
      </c>
      <c r="J336" s="12" t="s">
        <v>123</v>
      </c>
      <c r="K336" s="2" t="str">
        <f aca="false">CONCATENATE(I336," ",J336)</f>
        <v>Xerolycosa nemoralis</v>
      </c>
      <c r="L336" s="3" t="n">
        <f aca="false">SUM(P336:U336)</f>
        <v>1</v>
      </c>
      <c r="M336" s="11" t="n">
        <f aca="false">(L336/(F336*G336)*25)*4</f>
        <v>4</v>
      </c>
      <c r="N336" s="1" t="s">
        <v>30</v>
      </c>
      <c r="O336" s="1" t="s">
        <v>35</v>
      </c>
      <c r="P336" s="1" t="n">
        <v>0</v>
      </c>
      <c r="Q336" s="1" t="n">
        <v>1</v>
      </c>
      <c r="R336" s="1" t="n">
        <v>0</v>
      </c>
      <c r="S336" s="1" t="n">
        <v>0</v>
      </c>
      <c r="T336" s="1" t="n">
        <v>0</v>
      </c>
      <c r="U336" s="1" t="n">
        <v>0</v>
      </c>
      <c r="V336" s="3" t="n">
        <f aca="false">SUM(P336:Q336)</f>
        <v>1</v>
      </c>
      <c r="W336" s="3" t="n">
        <f aca="false">SUM(R336:T336)</f>
        <v>0</v>
      </c>
      <c r="X336" s="10" t="n">
        <v>39970</v>
      </c>
      <c r="Y336" s="10" t="n">
        <v>39975</v>
      </c>
    </row>
    <row r="337" customFormat="false" ht="14.25" hidden="false" customHeight="false" outlineLevel="0" collapsed="false">
      <c r="A337" s="1" t="n">
        <v>2009</v>
      </c>
      <c r="B337" s="1" t="n">
        <v>1</v>
      </c>
      <c r="C337" s="2" t="s">
        <v>44</v>
      </c>
      <c r="D337" s="7" t="s">
        <v>118</v>
      </c>
      <c r="E337" s="1" t="n">
        <v>1</v>
      </c>
      <c r="F337" s="1" t="n">
        <f aca="false">Y337-X337</f>
        <v>5</v>
      </c>
      <c r="G337" s="1" t="n">
        <v>5</v>
      </c>
      <c r="H337" s="3" t="s">
        <v>48</v>
      </c>
      <c r="I337" s="3" t="s">
        <v>67</v>
      </c>
      <c r="J337" s="12" t="s">
        <v>127</v>
      </c>
      <c r="K337" s="2" t="str">
        <f aca="false">CONCATENATE(I337," ",J337)</f>
        <v>Pardosa lugubris</v>
      </c>
      <c r="L337" s="3" t="n">
        <f aca="false">SUM(P337:U337)</f>
        <v>1</v>
      </c>
      <c r="M337" s="11" t="n">
        <f aca="false">(L337/(F337*G337)*25)*4</f>
        <v>4</v>
      </c>
      <c r="N337" s="1" t="s">
        <v>30</v>
      </c>
      <c r="O337" s="1" t="s">
        <v>35</v>
      </c>
      <c r="P337" s="1" t="n">
        <v>0</v>
      </c>
      <c r="Q337" s="1" t="n">
        <v>1</v>
      </c>
      <c r="R337" s="1" t="n">
        <v>0</v>
      </c>
      <c r="S337" s="1" t="n">
        <v>0</v>
      </c>
      <c r="T337" s="1" t="n">
        <v>0</v>
      </c>
      <c r="U337" s="1" t="n">
        <v>0</v>
      </c>
      <c r="V337" s="3" t="n">
        <f aca="false">SUM(P337:Q337)</f>
        <v>1</v>
      </c>
      <c r="W337" s="3" t="n">
        <f aca="false">SUM(R337:T337)</f>
        <v>0</v>
      </c>
      <c r="X337" s="10" t="n">
        <v>39970</v>
      </c>
      <c r="Y337" s="10" t="n">
        <v>39975</v>
      </c>
    </row>
    <row r="338" customFormat="false" ht="14.25" hidden="false" customHeight="false" outlineLevel="0" collapsed="false">
      <c r="A338" s="1" t="n">
        <v>2009</v>
      </c>
      <c r="B338" s="1" t="n">
        <v>1</v>
      </c>
      <c r="C338" s="2" t="s">
        <v>44</v>
      </c>
      <c r="D338" s="7" t="s">
        <v>118</v>
      </c>
      <c r="E338" s="1" t="n">
        <v>1</v>
      </c>
      <c r="F338" s="1" t="n">
        <f aca="false">Y338-X338</f>
        <v>5</v>
      </c>
      <c r="G338" s="1" t="n">
        <v>5</v>
      </c>
      <c r="H338" s="3" t="s">
        <v>72</v>
      </c>
      <c r="I338" s="3" t="s">
        <v>73</v>
      </c>
      <c r="J338" s="12" t="s">
        <v>38</v>
      </c>
      <c r="K338" s="2" t="str">
        <f aca="false">CONCATENATE(I338," ",J338)</f>
        <v>Zelotes sp</v>
      </c>
      <c r="L338" s="3" t="n">
        <f aca="false">SUM(P338:U338)</f>
        <v>1</v>
      </c>
      <c r="M338" s="11" t="n">
        <f aca="false">(L338/(F338*G338)*25)*4</f>
        <v>4</v>
      </c>
      <c r="N338" s="15" t="s">
        <v>19</v>
      </c>
      <c r="O338" s="15" t="s">
        <v>35</v>
      </c>
      <c r="P338" s="1" t="n">
        <v>0</v>
      </c>
      <c r="Q338" s="1" t="n">
        <v>0</v>
      </c>
      <c r="R338" s="1" t="n">
        <v>0</v>
      </c>
      <c r="S338" s="1" t="n">
        <v>1</v>
      </c>
      <c r="T338" s="1" t="n">
        <v>0</v>
      </c>
      <c r="U338" s="1" t="n">
        <v>0</v>
      </c>
      <c r="V338" s="3" t="n">
        <f aca="false">SUM(P338:Q338)</f>
        <v>0</v>
      </c>
      <c r="W338" s="3" t="n">
        <f aca="false">SUM(R338:T338)</f>
        <v>1</v>
      </c>
      <c r="X338" s="10" t="n">
        <v>39970</v>
      </c>
      <c r="Y338" s="10" t="n">
        <v>39975</v>
      </c>
    </row>
    <row r="339" customFormat="false" ht="14.25" hidden="false" customHeight="false" outlineLevel="0" collapsed="false">
      <c r="A339" s="1" t="n">
        <v>2009</v>
      </c>
      <c r="B339" s="1" t="n">
        <v>1</v>
      </c>
      <c r="C339" s="2" t="s">
        <v>44</v>
      </c>
      <c r="D339" s="7" t="s">
        <v>118</v>
      </c>
      <c r="E339" s="1" t="n">
        <v>1</v>
      </c>
      <c r="F339" s="1" t="n">
        <f aca="false">Y339-X339</f>
        <v>5</v>
      </c>
      <c r="G339" s="1" t="n">
        <v>5</v>
      </c>
      <c r="H339" s="3" t="s">
        <v>72</v>
      </c>
      <c r="I339" s="3" t="s">
        <v>139</v>
      </c>
      <c r="J339" s="12" t="s">
        <v>38</v>
      </c>
      <c r="K339" s="2" t="str">
        <f aca="false">CONCATENATE(I339," ",J339)</f>
        <v>Gnaphosa sp</v>
      </c>
      <c r="L339" s="3" t="n">
        <f aca="false">SUM(P339:U339)</f>
        <v>1</v>
      </c>
      <c r="M339" s="11" t="n">
        <f aca="false">(L339/(F339*G339)*25)*4</f>
        <v>4</v>
      </c>
      <c r="N339" s="1" t="s">
        <v>19</v>
      </c>
      <c r="O339" s="1" t="s">
        <v>54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1</v>
      </c>
      <c r="U339" s="1" t="n">
        <v>0</v>
      </c>
      <c r="V339" s="3" t="n">
        <f aca="false">SUM(P339:Q339)</f>
        <v>0</v>
      </c>
      <c r="W339" s="3" t="n">
        <f aca="false">SUM(R339:T339)</f>
        <v>1</v>
      </c>
      <c r="X339" s="10" t="n">
        <v>39970</v>
      </c>
      <c r="Y339" s="10" t="n">
        <v>39975</v>
      </c>
    </row>
    <row r="340" customFormat="false" ht="14.25" hidden="false" customHeight="false" outlineLevel="0" collapsed="false">
      <c r="A340" s="1" t="n">
        <v>2009</v>
      </c>
      <c r="B340" s="1" t="n">
        <v>1</v>
      </c>
      <c r="C340" s="2" t="s">
        <v>44</v>
      </c>
      <c r="D340" s="7" t="s">
        <v>118</v>
      </c>
      <c r="E340" s="1" t="n">
        <v>1</v>
      </c>
      <c r="F340" s="1" t="n">
        <f aca="false">Y340-X340</f>
        <v>5</v>
      </c>
      <c r="G340" s="1" t="n">
        <v>5</v>
      </c>
      <c r="H340" s="3" t="s">
        <v>48</v>
      </c>
      <c r="I340" s="3" t="s">
        <v>61</v>
      </c>
      <c r="J340" s="12" t="s">
        <v>38</v>
      </c>
      <c r="K340" s="2" t="str">
        <f aca="false">CONCATENATE(I340," ",J340)</f>
        <v>Trochosa sp</v>
      </c>
      <c r="L340" s="3" t="n">
        <f aca="false">SUM(P340:U340)</f>
        <v>1</v>
      </c>
      <c r="M340" s="11" t="n">
        <f aca="false">(L340/(F340*G340)*25)*4</f>
        <v>4</v>
      </c>
      <c r="N340" s="1" t="s">
        <v>19</v>
      </c>
      <c r="O340" s="1" t="s">
        <v>54</v>
      </c>
      <c r="P340" s="1" t="n">
        <v>0</v>
      </c>
      <c r="Q340" s="1" t="n">
        <v>0</v>
      </c>
      <c r="R340" s="1" t="n">
        <v>0</v>
      </c>
      <c r="S340" s="1" t="n">
        <v>0</v>
      </c>
      <c r="T340" s="1" t="n">
        <v>1</v>
      </c>
      <c r="U340" s="1" t="n">
        <v>0</v>
      </c>
      <c r="V340" s="3" t="n">
        <f aca="false">SUM(P340:Q340)</f>
        <v>0</v>
      </c>
      <c r="W340" s="3" t="n">
        <f aca="false">SUM(R340:T340)</f>
        <v>1</v>
      </c>
      <c r="X340" s="10" t="n">
        <v>39970</v>
      </c>
      <c r="Y340" s="10" t="n">
        <v>39975</v>
      </c>
    </row>
    <row r="341" customFormat="false" ht="14.25" hidden="false" customHeight="false" outlineLevel="0" collapsed="false">
      <c r="A341" s="1" t="n">
        <v>2009</v>
      </c>
      <c r="B341" s="1" t="n">
        <v>1</v>
      </c>
      <c r="C341" s="2" t="s">
        <v>44</v>
      </c>
      <c r="D341" s="7" t="s">
        <v>118</v>
      </c>
      <c r="E341" s="1" t="n">
        <v>1</v>
      </c>
      <c r="F341" s="1" t="n">
        <f aca="false">Y341-X341</f>
        <v>5</v>
      </c>
      <c r="G341" s="1" t="n">
        <v>5</v>
      </c>
      <c r="H341" s="3" t="s">
        <v>48</v>
      </c>
      <c r="I341" s="3" t="s">
        <v>67</v>
      </c>
      <c r="J341" s="12" t="s">
        <v>38</v>
      </c>
      <c r="K341" s="2" t="str">
        <f aca="false">CONCATENATE(I341," ",J341)</f>
        <v>Pardosa sp</v>
      </c>
      <c r="L341" s="3" t="n">
        <f aca="false">SUM(P341:U341)</f>
        <v>1</v>
      </c>
      <c r="M341" s="11" t="n">
        <f aca="false">(L341/(F341*G341)*25)*4</f>
        <v>4</v>
      </c>
      <c r="N341" s="1" t="s">
        <v>19</v>
      </c>
      <c r="O341" s="1" t="s">
        <v>54</v>
      </c>
      <c r="P341" s="1" t="n">
        <v>0</v>
      </c>
      <c r="Q341" s="1" t="n">
        <v>0</v>
      </c>
      <c r="R341" s="1" t="n">
        <v>0</v>
      </c>
      <c r="S341" s="1" t="n">
        <v>0</v>
      </c>
      <c r="T341" s="1" t="n">
        <v>1</v>
      </c>
      <c r="U341" s="1" t="n">
        <v>0</v>
      </c>
      <c r="V341" s="3" t="n">
        <f aca="false">SUM(P341:Q341)</f>
        <v>0</v>
      </c>
      <c r="W341" s="3" t="n">
        <f aca="false">SUM(R341:T341)</f>
        <v>1</v>
      </c>
      <c r="X341" s="10" t="n">
        <v>39970</v>
      </c>
      <c r="Y341" s="10" t="n">
        <v>39975</v>
      </c>
    </row>
    <row r="342" customFormat="false" ht="14.25" hidden="false" customHeight="false" outlineLevel="0" collapsed="false">
      <c r="A342" s="1" t="n">
        <v>2009</v>
      </c>
      <c r="B342" s="1" t="n">
        <v>1</v>
      </c>
      <c r="C342" s="2" t="s">
        <v>44</v>
      </c>
      <c r="D342" s="7" t="s">
        <v>118</v>
      </c>
      <c r="E342" s="1" t="n">
        <v>3</v>
      </c>
      <c r="F342" s="1" t="n">
        <f aca="false">Y342-X342</f>
        <v>5</v>
      </c>
      <c r="G342" s="1" t="n">
        <v>5</v>
      </c>
      <c r="H342" s="3" t="s">
        <v>48</v>
      </c>
      <c r="I342" s="3" t="s">
        <v>49</v>
      </c>
      <c r="J342" s="8" t="s">
        <v>130</v>
      </c>
      <c r="K342" s="2" t="str">
        <f aca="false">CONCATENATE(I342," ",J342)</f>
        <v>Alopecosa aculeata</v>
      </c>
      <c r="L342" s="3" t="n">
        <f aca="false">SUM(P342:U342)</f>
        <v>10</v>
      </c>
      <c r="M342" s="11" t="n">
        <f aca="false">(L342/(F342*G342)*25)*4</f>
        <v>40</v>
      </c>
      <c r="N342" s="1" t="s">
        <v>30</v>
      </c>
      <c r="O342" s="1" t="s">
        <v>31</v>
      </c>
      <c r="P342" s="1" t="n">
        <v>10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3" t="n">
        <f aca="false">SUM(P342:Q342)</f>
        <v>10</v>
      </c>
      <c r="W342" s="3" t="n">
        <f aca="false">SUM(R342:T342)</f>
        <v>0</v>
      </c>
      <c r="X342" s="10" t="n">
        <v>39970</v>
      </c>
      <c r="Y342" s="10" t="n">
        <v>39975</v>
      </c>
    </row>
    <row r="343" customFormat="false" ht="14.25" hidden="false" customHeight="false" outlineLevel="0" collapsed="false">
      <c r="A343" s="1" t="n">
        <v>2009</v>
      </c>
      <c r="B343" s="1" t="n">
        <v>1</v>
      </c>
      <c r="C343" s="2" t="s">
        <v>44</v>
      </c>
      <c r="D343" s="7" t="s">
        <v>118</v>
      </c>
      <c r="E343" s="1" t="n">
        <v>3</v>
      </c>
      <c r="F343" s="1" t="n">
        <f aca="false">Y343-X343</f>
        <v>5</v>
      </c>
      <c r="G343" s="1" t="n">
        <v>5</v>
      </c>
      <c r="H343" s="3" t="s">
        <v>48</v>
      </c>
      <c r="I343" s="3" t="s">
        <v>49</v>
      </c>
      <c r="J343" s="8" t="s">
        <v>130</v>
      </c>
      <c r="K343" s="2" t="str">
        <f aca="false">CONCATENATE(I343," ",J343)</f>
        <v>Alopecosa aculeata</v>
      </c>
      <c r="L343" s="3" t="n">
        <f aca="false">SUM(P343:U343)</f>
        <v>1</v>
      </c>
      <c r="M343" s="11" t="n">
        <f aca="false">(L343/(F343*G343)*25)*4</f>
        <v>4</v>
      </c>
      <c r="N343" s="1" t="s">
        <v>30</v>
      </c>
      <c r="O343" s="1" t="s">
        <v>35</v>
      </c>
      <c r="P343" s="1" t="n">
        <v>0</v>
      </c>
      <c r="Q343" s="1" t="n">
        <v>1</v>
      </c>
      <c r="R343" s="1" t="n">
        <v>0</v>
      </c>
      <c r="S343" s="1" t="n">
        <v>0</v>
      </c>
      <c r="T343" s="1" t="n">
        <v>0</v>
      </c>
      <c r="U343" s="1" t="n">
        <v>0</v>
      </c>
      <c r="V343" s="3" t="n">
        <f aca="false">SUM(P343:Q343)</f>
        <v>1</v>
      </c>
      <c r="W343" s="3" t="n">
        <f aca="false">SUM(R343:T343)</f>
        <v>0</v>
      </c>
      <c r="X343" s="10" t="n">
        <v>39970</v>
      </c>
      <c r="Y343" s="10" t="n">
        <v>39975</v>
      </c>
    </row>
    <row r="344" customFormat="false" ht="14.25" hidden="false" customHeight="false" outlineLevel="0" collapsed="false">
      <c r="A344" s="1" t="n">
        <v>2009</v>
      </c>
      <c r="B344" s="1" t="n">
        <v>1</v>
      </c>
      <c r="C344" s="2" t="s">
        <v>44</v>
      </c>
      <c r="D344" s="7" t="s">
        <v>118</v>
      </c>
      <c r="E344" s="1" t="n">
        <v>3</v>
      </c>
      <c r="F344" s="1" t="n">
        <f aca="false">Y344-X344</f>
        <v>5</v>
      </c>
      <c r="G344" s="1" t="n">
        <v>5</v>
      </c>
      <c r="H344" s="3" t="s">
        <v>48</v>
      </c>
      <c r="I344" s="3" t="s">
        <v>67</v>
      </c>
      <c r="J344" s="12" t="s">
        <v>127</v>
      </c>
      <c r="K344" s="2" t="str">
        <f aca="false">CONCATENATE(I344," ",J344)</f>
        <v>Pardosa lugubris</v>
      </c>
      <c r="L344" s="3" t="n">
        <f aca="false">SUM(P344:U344)</f>
        <v>3</v>
      </c>
      <c r="M344" s="11" t="n">
        <f aca="false">(L344/(F344*G344)*25)*4</f>
        <v>12</v>
      </c>
      <c r="N344" s="1" t="s">
        <v>30</v>
      </c>
      <c r="O344" s="1" t="s">
        <v>31</v>
      </c>
      <c r="P344" s="1" t="n">
        <v>3</v>
      </c>
      <c r="Q344" s="1" t="n">
        <v>0</v>
      </c>
      <c r="R344" s="1" t="n">
        <v>0</v>
      </c>
      <c r="S344" s="1" t="n">
        <v>0</v>
      </c>
      <c r="T344" s="1" t="n">
        <v>0</v>
      </c>
      <c r="U344" s="1" t="n">
        <v>0</v>
      </c>
      <c r="V344" s="3" t="n">
        <f aca="false">SUM(P344:Q344)</f>
        <v>3</v>
      </c>
      <c r="W344" s="3" t="n">
        <f aca="false">SUM(R344:T344)</f>
        <v>0</v>
      </c>
      <c r="X344" s="10" t="n">
        <v>39970</v>
      </c>
      <c r="Y344" s="10" t="n">
        <v>39975</v>
      </c>
    </row>
    <row r="345" customFormat="false" ht="14.25" hidden="false" customHeight="false" outlineLevel="0" collapsed="false">
      <c r="A345" s="1" t="n">
        <v>2009</v>
      </c>
      <c r="B345" s="1" t="n">
        <v>1</v>
      </c>
      <c r="C345" s="2" t="s">
        <v>44</v>
      </c>
      <c r="D345" s="7" t="s">
        <v>118</v>
      </c>
      <c r="E345" s="1" t="n">
        <v>3</v>
      </c>
      <c r="F345" s="1" t="n">
        <f aca="false">Y345-X345</f>
        <v>5</v>
      </c>
      <c r="G345" s="1" t="n">
        <v>5</v>
      </c>
      <c r="H345" s="3" t="s">
        <v>48</v>
      </c>
      <c r="I345" s="3" t="s">
        <v>67</v>
      </c>
      <c r="J345" s="12" t="s">
        <v>127</v>
      </c>
      <c r="K345" s="2" t="str">
        <f aca="false">CONCATENATE(I345," ",J345)</f>
        <v>Pardosa lugubris</v>
      </c>
      <c r="L345" s="3" t="n">
        <f aca="false">SUM(P345:U345)</f>
        <v>1</v>
      </c>
      <c r="M345" s="11" t="n">
        <f aca="false">(L345/(F345*G345)*25)*4</f>
        <v>4</v>
      </c>
      <c r="N345" s="1" t="s">
        <v>30</v>
      </c>
      <c r="O345" s="1" t="s">
        <v>35</v>
      </c>
      <c r="P345" s="1" t="n">
        <v>0</v>
      </c>
      <c r="Q345" s="1" t="n">
        <v>1</v>
      </c>
      <c r="R345" s="1" t="n">
        <v>0</v>
      </c>
      <c r="S345" s="1" t="n">
        <v>0</v>
      </c>
      <c r="T345" s="1" t="n">
        <v>0</v>
      </c>
      <c r="U345" s="1" t="n">
        <v>0</v>
      </c>
      <c r="V345" s="3" t="n">
        <f aca="false">SUM(P345:Q345)</f>
        <v>1</v>
      </c>
      <c r="W345" s="3" t="n">
        <f aca="false">SUM(R345:T345)</f>
        <v>0</v>
      </c>
      <c r="X345" s="10" t="n">
        <v>39970</v>
      </c>
      <c r="Y345" s="10" t="n">
        <v>39975</v>
      </c>
    </row>
    <row r="346" customFormat="false" ht="14.25" hidden="false" customHeight="false" outlineLevel="0" collapsed="false">
      <c r="A346" s="1" t="n">
        <v>2009</v>
      </c>
      <c r="B346" s="1" t="n">
        <v>1</v>
      </c>
      <c r="C346" s="2" t="s">
        <v>44</v>
      </c>
      <c r="D346" s="7" t="s">
        <v>118</v>
      </c>
      <c r="E346" s="1" t="n">
        <v>3</v>
      </c>
      <c r="F346" s="1" t="n">
        <f aca="false">Y346-X346</f>
        <v>5</v>
      </c>
      <c r="G346" s="1" t="n">
        <v>5</v>
      </c>
      <c r="H346" s="3" t="s">
        <v>48</v>
      </c>
      <c r="I346" s="3" t="s">
        <v>122</v>
      </c>
      <c r="J346" s="12" t="s">
        <v>123</v>
      </c>
      <c r="K346" s="2" t="str">
        <f aca="false">CONCATENATE(I346," ",J346)</f>
        <v>Xerolycosa nemoralis</v>
      </c>
      <c r="L346" s="3" t="n">
        <f aca="false">SUM(P346:U346)</f>
        <v>5</v>
      </c>
      <c r="M346" s="11" t="n">
        <f aca="false">(L346/(F346*G346)*25)*4</f>
        <v>20</v>
      </c>
      <c r="N346" s="1" t="s">
        <v>30</v>
      </c>
      <c r="O346" s="1" t="s">
        <v>31</v>
      </c>
      <c r="P346" s="1" t="n">
        <v>5</v>
      </c>
      <c r="Q346" s="1" t="n">
        <v>0</v>
      </c>
      <c r="R346" s="1" t="n">
        <v>0</v>
      </c>
      <c r="S346" s="1" t="n">
        <v>0</v>
      </c>
      <c r="T346" s="1" t="n">
        <v>0</v>
      </c>
      <c r="U346" s="1" t="n">
        <v>0</v>
      </c>
      <c r="V346" s="3" t="n">
        <f aca="false">SUM(P346:Q346)</f>
        <v>5</v>
      </c>
      <c r="W346" s="3" t="n">
        <f aca="false">SUM(R346:T346)</f>
        <v>0</v>
      </c>
      <c r="X346" s="10" t="n">
        <v>39970</v>
      </c>
      <c r="Y346" s="10" t="n">
        <v>39975</v>
      </c>
    </row>
    <row r="347" customFormat="false" ht="14.25" hidden="false" customHeight="false" outlineLevel="0" collapsed="false">
      <c r="A347" s="1" t="n">
        <v>2009</v>
      </c>
      <c r="B347" s="1" t="n">
        <v>1</v>
      </c>
      <c r="C347" s="2" t="s">
        <v>44</v>
      </c>
      <c r="D347" s="7" t="s">
        <v>118</v>
      </c>
      <c r="E347" s="1" t="n">
        <v>3</v>
      </c>
      <c r="F347" s="1" t="n">
        <f aca="false">Y347-X347</f>
        <v>5</v>
      </c>
      <c r="G347" s="1" t="n">
        <v>5</v>
      </c>
      <c r="H347" s="3" t="s">
        <v>48</v>
      </c>
      <c r="I347" s="3" t="s">
        <v>122</v>
      </c>
      <c r="J347" s="12" t="s">
        <v>123</v>
      </c>
      <c r="K347" s="2" t="str">
        <f aca="false">CONCATENATE(I347," ",J347)</f>
        <v>Xerolycosa nemoralis</v>
      </c>
      <c r="L347" s="3" t="n">
        <f aca="false">SUM(P347:U347)</f>
        <v>1</v>
      </c>
      <c r="M347" s="11" t="n">
        <f aca="false">(L347/(F347*G347)*25)*4</f>
        <v>4</v>
      </c>
      <c r="N347" s="1" t="s">
        <v>30</v>
      </c>
      <c r="O347" s="1" t="s">
        <v>35</v>
      </c>
      <c r="P347" s="1" t="n">
        <v>0</v>
      </c>
      <c r="Q347" s="1" t="n">
        <v>1</v>
      </c>
      <c r="R347" s="1" t="n">
        <v>0</v>
      </c>
      <c r="S347" s="1" t="n">
        <v>0</v>
      </c>
      <c r="T347" s="1" t="n">
        <v>0</v>
      </c>
      <c r="U347" s="1" t="n">
        <v>0</v>
      </c>
      <c r="V347" s="3" t="n">
        <f aca="false">SUM(P347:Q347)</f>
        <v>1</v>
      </c>
      <c r="W347" s="3" t="n">
        <f aca="false">SUM(R347:T347)</f>
        <v>0</v>
      </c>
      <c r="X347" s="10" t="n">
        <v>39970</v>
      </c>
      <c r="Y347" s="10" t="n">
        <v>39975</v>
      </c>
    </row>
    <row r="348" customFormat="false" ht="14.25" hidden="false" customHeight="false" outlineLevel="0" collapsed="false">
      <c r="A348" s="1" t="n">
        <v>2009</v>
      </c>
      <c r="B348" s="1" t="n">
        <v>1</v>
      </c>
      <c r="C348" s="2" t="s">
        <v>44</v>
      </c>
      <c r="D348" s="7" t="s">
        <v>118</v>
      </c>
      <c r="E348" s="1" t="n">
        <v>3</v>
      </c>
      <c r="F348" s="1" t="n">
        <f aca="false">Y348-X348</f>
        <v>5</v>
      </c>
      <c r="G348" s="1" t="n">
        <v>5</v>
      </c>
      <c r="H348" s="3" t="s">
        <v>72</v>
      </c>
      <c r="I348" s="3" t="s">
        <v>86</v>
      </c>
      <c r="J348" s="12" t="s">
        <v>134</v>
      </c>
      <c r="K348" s="2" t="str">
        <f aca="false">CONCATENATE(I348," ",J348)</f>
        <v>Haplodrassus umbratilis</v>
      </c>
      <c r="L348" s="3" t="n">
        <f aca="false">SUM(P348:U348)</f>
        <v>1</v>
      </c>
      <c r="M348" s="11" t="n">
        <f aca="false">(L348/(F348*G348)*25)*4</f>
        <v>4</v>
      </c>
      <c r="N348" s="1" t="s">
        <v>30</v>
      </c>
      <c r="O348" s="1" t="s">
        <v>31</v>
      </c>
      <c r="P348" s="1" t="n">
        <v>1</v>
      </c>
      <c r="Q348" s="1" t="n">
        <v>0</v>
      </c>
      <c r="R348" s="1" t="n">
        <v>0</v>
      </c>
      <c r="S348" s="1" t="n">
        <v>0</v>
      </c>
      <c r="T348" s="1" t="n">
        <v>0</v>
      </c>
      <c r="U348" s="1" t="n">
        <v>0</v>
      </c>
      <c r="V348" s="3" t="n">
        <f aca="false">SUM(P348:Q348)</f>
        <v>1</v>
      </c>
      <c r="W348" s="3" t="n">
        <f aca="false">SUM(R348:T348)</f>
        <v>0</v>
      </c>
      <c r="X348" s="10" t="n">
        <v>39970</v>
      </c>
      <c r="Y348" s="10" t="n">
        <v>39975</v>
      </c>
    </row>
    <row r="349" customFormat="false" ht="14.25" hidden="false" customHeight="false" outlineLevel="0" collapsed="false">
      <c r="A349" s="1" t="n">
        <v>2009</v>
      </c>
      <c r="B349" s="1" t="n">
        <v>1</v>
      </c>
      <c r="C349" s="2" t="s">
        <v>44</v>
      </c>
      <c r="D349" s="7" t="s">
        <v>118</v>
      </c>
      <c r="E349" s="1" t="n">
        <v>3</v>
      </c>
      <c r="F349" s="1" t="n">
        <f aca="false">Y349-X349</f>
        <v>5</v>
      </c>
      <c r="G349" s="1" t="n">
        <v>5</v>
      </c>
      <c r="H349" s="3" t="s">
        <v>72</v>
      </c>
      <c r="I349" s="3" t="s">
        <v>73</v>
      </c>
      <c r="J349" s="12" t="s">
        <v>38</v>
      </c>
      <c r="K349" s="2" t="str">
        <f aca="false">CONCATENATE(I349," ",J349)</f>
        <v>Zelotes sp</v>
      </c>
      <c r="L349" s="3" t="n">
        <f aca="false">SUM(P349:U349)</f>
        <v>1</v>
      </c>
      <c r="M349" s="11" t="n">
        <f aca="false">(L349/(F349*G349)*25)*4</f>
        <v>4</v>
      </c>
      <c r="N349" s="1" t="s">
        <v>19</v>
      </c>
      <c r="O349" s="1" t="s">
        <v>54</v>
      </c>
      <c r="P349" s="1" t="n">
        <v>0</v>
      </c>
      <c r="Q349" s="1" t="n">
        <v>0</v>
      </c>
      <c r="R349" s="1" t="n">
        <v>0</v>
      </c>
      <c r="S349" s="1" t="n">
        <v>0</v>
      </c>
      <c r="T349" s="1" t="n">
        <v>1</v>
      </c>
      <c r="U349" s="1" t="n">
        <v>0</v>
      </c>
      <c r="V349" s="3" t="n">
        <f aca="false">SUM(P349:Q349)</f>
        <v>0</v>
      </c>
      <c r="W349" s="3" t="n">
        <f aca="false">SUM(R349:T349)</f>
        <v>1</v>
      </c>
      <c r="X349" s="10" t="n">
        <v>39970</v>
      </c>
      <c r="Y349" s="10" t="n">
        <v>39975</v>
      </c>
    </row>
    <row r="350" customFormat="false" ht="14.25" hidden="false" customHeight="false" outlineLevel="0" collapsed="false">
      <c r="A350" s="1" t="n">
        <v>2009</v>
      </c>
      <c r="B350" s="1" t="n">
        <v>1</v>
      </c>
      <c r="C350" s="2" t="s">
        <v>44</v>
      </c>
      <c r="D350" s="7" t="s">
        <v>118</v>
      </c>
      <c r="E350" s="1" t="n">
        <v>1</v>
      </c>
      <c r="F350" s="1" t="n">
        <f aca="false">Y350-X350</f>
        <v>5</v>
      </c>
      <c r="G350" s="1" t="n">
        <v>5</v>
      </c>
      <c r="H350" s="3" t="s">
        <v>124</v>
      </c>
      <c r="I350" s="3" t="s">
        <v>125</v>
      </c>
      <c r="J350" s="12" t="s">
        <v>126</v>
      </c>
      <c r="K350" s="2" t="str">
        <f aca="false">CONCATENATE(I350," ",J350)</f>
        <v>Hahnia ononidum</v>
      </c>
      <c r="L350" s="3" t="n">
        <f aca="false">SUM(P350:U350)</f>
        <v>1</v>
      </c>
      <c r="M350" s="11" t="n">
        <f aca="false">(L350/(F350*G350)*25)*4</f>
        <v>4</v>
      </c>
      <c r="N350" s="1" t="s">
        <v>30</v>
      </c>
      <c r="O350" s="1" t="s">
        <v>31</v>
      </c>
      <c r="P350" s="1" t="n">
        <v>1</v>
      </c>
      <c r="Q350" s="1" t="n">
        <v>0</v>
      </c>
      <c r="R350" s="1" t="n">
        <v>0</v>
      </c>
      <c r="S350" s="1" t="n">
        <v>0</v>
      </c>
      <c r="T350" s="1" t="n">
        <v>0</v>
      </c>
      <c r="U350" s="1" t="n">
        <v>0</v>
      </c>
      <c r="V350" s="3" t="n">
        <f aca="false">SUM(P350:Q350)</f>
        <v>1</v>
      </c>
      <c r="W350" s="3" t="n">
        <f aca="false">SUM(R350:T350)</f>
        <v>0</v>
      </c>
      <c r="X350" s="10" t="n">
        <v>39970</v>
      </c>
      <c r="Y350" s="10" t="n">
        <v>39975</v>
      </c>
    </row>
    <row r="351" customFormat="false" ht="14.25" hidden="false" customHeight="false" outlineLevel="0" collapsed="false">
      <c r="A351" s="1" t="n">
        <v>2009</v>
      </c>
      <c r="B351" s="1" t="n">
        <v>1</v>
      </c>
      <c r="C351" s="2" t="s">
        <v>44</v>
      </c>
      <c r="D351" s="7" t="s">
        <v>118</v>
      </c>
      <c r="E351" s="1" t="n">
        <v>1</v>
      </c>
      <c r="F351" s="1" t="n">
        <f aca="false">Y351-X351</f>
        <v>5</v>
      </c>
      <c r="G351" s="1" t="n">
        <v>5</v>
      </c>
      <c r="H351" s="3" t="s">
        <v>124</v>
      </c>
      <c r="I351" s="3" t="s">
        <v>125</v>
      </c>
      <c r="J351" s="12" t="s">
        <v>126</v>
      </c>
      <c r="K351" s="2" t="str">
        <f aca="false">CONCATENATE(I351," ",J351)</f>
        <v>Hahnia ononidum</v>
      </c>
      <c r="L351" s="3" t="n">
        <f aca="false">SUM(P351:U351)</f>
        <v>1</v>
      </c>
      <c r="M351" s="11" t="n">
        <f aca="false">(L351/(F351*G351)*25)*4</f>
        <v>4</v>
      </c>
      <c r="N351" s="1" t="s">
        <v>30</v>
      </c>
      <c r="O351" s="1" t="s">
        <v>35</v>
      </c>
      <c r="P351" s="1" t="n">
        <v>0</v>
      </c>
      <c r="Q351" s="1" t="n">
        <v>1</v>
      </c>
      <c r="R351" s="1" t="n">
        <v>0</v>
      </c>
      <c r="S351" s="1" t="n">
        <v>0</v>
      </c>
      <c r="T351" s="1" t="n">
        <v>0</v>
      </c>
      <c r="U351" s="1" t="n">
        <v>0</v>
      </c>
      <c r="V351" s="3" t="n">
        <f aca="false">SUM(P351:Q351)</f>
        <v>1</v>
      </c>
      <c r="W351" s="3" t="n">
        <f aca="false">SUM(R351:T351)</f>
        <v>0</v>
      </c>
      <c r="X351" s="10" t="n">
        <v>39970</v>
      </c>
      <c r="Y351" s="10" t="n">
        <v>39975</v>
      </c>
    </row>
    <row r="352" customFormat="false" ht="14.25" hidden="false" customHeight="false" outlineLevel="0" collapsed="false">
      <c r="A352" s="1" t="n">
        <v>2009</v>
      </c>
      <c r="B352" s="1" t="n">
        <v>1</v>
      </c>
      <c r="C352" s="2" t="s">
        <v>44</v>
      </c>
      <c r="D352" s="7" t="s">
        <v>118</v>
      </c>
      <c r="E352" s="1" t="n">
        <v>1</v>
      </c>
      <c r="F352" s="1" t="n">
        <f aca="false">Y352-X352</f>
        <v>5</v>
      </c>
      <c r="G352" s="1" t="n">
        <v>5</v>
      </c>
      <c r="H352" s="3" t="s">
        <v>48</v>
      </c>
      <c r="I352" s="3" t="s">
        <v>49</v>
      </c>
      <c r="J352" s="12" t="s">
        <v>119</v>
      </c>
      <c r="K352" s="2" t="str">
        <f aca="false">CONCATENATE(I352," ",J352)</f>
        <v>Alopecosa sulzeri</v>
      </c>
      <c r="L352" s="3" t="n">
        <f aca="false">SUM(P352:U352)</f>
        <v>1</v>
      </c>
      <c r="M352" s="11" t="n">
        <f aca="false">(L352/(F352*G352)*25)*4</f>
        <v>4</v>
      </c>
      <c r="N352" s="1" t="s">
        <v>30</v>
      </c>
      <c r="O352" s="1" t="s">
        <v>31</v>
      </c>
      <c r="P352" s="1" t="n">
        <v>1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</v>
      </c>
      <c r="V352" s="3" t="n">
        <f aca="false">SUM(P352:Q352)</f>
        <v>1</v>
      </c>
      <c r="W352" s="3" t="n">
        <f aca="false">SUM(R352:T352)</f>
        <v>0</v>
      </c>
      <c r="X352" s="10" t="n">
        <v>39970</v>
      </c>
      <c r="Y352" s="10" t="n">
        <v>39975</v>
      </c>
    </row>
    <row r="353" customFormat="false" ht="14.25" hidden="false" customHeight="false" outlineLevel="0" collapsed="false">
      <c r="A353" s="1" t="n">
        <v>2009</v>
      </c>
      <c r="B353" s="1" t="n">
        <v>1</v>
      </c>
      <c r="C353" s="2" t="s">
        <v>44</v>
      </c>
      <c r="D353" s="7" t="s">
        <v>118</v>
      </c>
      <c r="E353" s="1" t="n">
        <v>1</v>
      </c>
      <c r="F353" s="1" t="n">
        <f aca="false">Y353-X353</f>
        <v>5</v>
      </c>
      <c r="G353" s="1" t="n">
        <v>5</v>
      </c>
      <c r="H353" s="3" t="s">
        <v>48</v>
      </c>
      <c r="I353" s="3" t="s">
        <v>49</v>
      </c>
      <c r="J353" s="12" t="s">
        <v>119</v>
      </c>
      <c r="K353" s="2" t="str">
        <f aca="false">CONCATENATE(I353," ",J353)</f>
        <v>Alopecosa sulzeri</v>
      </c>
      <c r="L353" s="3" t="n">
        <f aca="false">SUM(P353:U353)</f>
        <v>2</v>
      </c>
      <c r="M353" s="11" t="n">
        <f aca="false">(L353/(F353*G353)*25)*4</f>
        <v>8</v>
      </c>
      <c r="N353" s="1" t="s">
        <v>30</v>
      </c>
      <c r="O353" s="1" t="s">
        <v>35</v>
      </c>
      <c r="P353" s="1" t="n">
        <v>0</v>
      </c>
      <c r="Q353" s="1" t="n">
        <v>2</v>
      </c>
      <c r="R353" s="1" t="n">
        <v>0</v>
      </c>
      <c r="S353" s="1" t="n">
        <v>0</v>
      </c>
      <c r="T353" s="1" t="n">
        <v>0</v>
      </c>
      <c r="U353" s="1" t="n">
        <v>0</v>
      </c>
      <c r="V353" s="3" t="n">
        <f aca="false">SUM(P353:Q353)</f>
        <v>2</v>
      </c>
      <c r="W353" s="3" t="n">
        <f aca="false">SUM(R353:T353)</f>
        <v>0</v>
      </c>
      <c r="X353" s="10" t="n">
        <v>39970</v>
      </c>
      <c r="Y353" s="10" t="n">
        <v>39975</v>
      </c>
    </row>
    <row r="354" customFormat="false" ht="14.25" hidden="false" customHeight="false" outlineLevel="0" collapsed="false">
      <c r="A354" s="1" t="n">
        <v>2009</v>
      </c>
      <c r="B354" s="1" t="n">
        <v>1</v>
      </c>
      <c r="C354" s="2" t="s">
        <v>44</v>
      </c>
      <c r="D354" s="7" t="s">
        <v>118</v>
      </c>
      <c r="E354" s="1" t="n">
        <v>1</v>
      </c>
      <c r="F354" s="1" t="n">
        <f aca="false">Y354-X354</f>
        <v>5</v>
      </c>
      <c r="G354" s="1" t="n">
        <v>5</v>
      </c>
      <c r="H354" s="3" t="s">
        <v>72</v>
      </c>
      <c r="I354" s="3" t="s">
        <v>139</v>
      </c>
      <c r="J354" s="12" t="s">
        <v>140</v>
      </c>
      <c r="K354" s="2" t="str">
        <f aca="false">CONCATENATE(I354," ",J354)</f>
        <v>Gnaphosa muscorum</v>
      </c>
      <c r="L354" s="3" t="n">
        <f aca="false">SUM(P354:U354)</f>
        <v>2</v>
      </c>
      <c r="M354" s="11" t="n">
        <f aca="false">(L354/(F354*G354)*25)*4</f>
        <v>8</v>
      </c>
      <c r="N354" s="1" t="s">
        <v>30</v>
      </c>
      <c r="O354" s="1" t="s">
        <v>31</v>
      </c>
      <c r="P354" s="1" t="n">
        <v>2</v>
      </c>
      <c r="Q354" s="1" t="n">
        <v>0</v>
      </c>
      <c r="R354" s="1" t="n">
        <v>0</v>
      </c>
      <c r="S354" s="1" t="n">
        <v>0</v>
      </c>
      <c r="T354" s="1" t="n">
        <v>0</v>
      </c>
      <c r="U354" s="1" t="n">
        <v>0</v>
      </c>
      <c r="V354" s="3" t="n">
        <f aca="false">SUM(P354:Q354)</f>
        <v>2</v>
      </c>
      <c r="W354" s="3" t="n">
        <f aca="false">SUM(R354:T354)</f>
        <v>0</v>
      </c>
      <c r="X354" s="10" t="n">
        <v>39970</v>
      </c>
      <c r="Y354" s="10" t="n">
        <v>39975</v>
      </c>
    </row>
    <row r="355" customFormat="false" ht="14.25" hidden="false" customHeight="false" outlineLevel="0" collapsed="false">
      <c r="A355" s="1" t="n">
        <v>2009</v>
      </c>
      <c r="B355" s="1" t="n">
        <v>1</v>
      </c>
      <c r="C355" s="2" t="s">
        <v>44</v>
      </c>
      <c r="D355" s="7" t="s">
        <v>118</v>
      </c>
      <c r="E355" s="1" t="n">
        <v>1</v>
      </c>
      <c r="F355" s="1" t="n">
        <f aca="false">Y355-X355</f>
        <v>5</v>
      </c>
      <c r="G355" s="1" t="n">
        <v>5</v>
      </c>
      <c r="H355" s="3" t="s">
        <v>72</v>
      </c>
      <c r="I355" s="3" t="s">
        <v>139</v>
      </c>
      <c r="J355" s="12" t="s">
        <v>140</v>
      </c>
      <c r="K355" s="2" t="str">
        <f aca="false">CONCATENATE(I355," ",J355)</f>
        <v>Gnaphosa muscorum</v>
      </c>
      <c r="L355" s="3" t="n">
        <f aca="false">SUM(P355:U355)</f>
        <v>1</v>
      </c>
      <c r="M355" s="11" t="n">
        <f aca="false">(L355/(F355*G355)*25)*4</f>
        <v>4</v>
      </c>
      <c r="N355" s="1" t="s">
        <v>30</v>
      </c>
      <c r="O355" s="1" t="s">
        <v>35</v>
      </c>
      <c r="P355" s="1" t="n">
        <v>0</v>
      </c>
      <c r="Q355" s="1" t="n">
        <v>1</v>
      </c>
      <c r="R355" s="1" t="n">
        <v>0</v>
      </c>
      <c r="S355" s="1" t="n">
        <v>0</v>
      </c>
      <c r="T355" s="1" t="n">
        <v>0</v>
      </c>
      <c r="U355" s="1" t="n">
        <v>0</v>
      </c>
      <c r="V355" s="3" t="n">
        <f aca="false">SUM(P355:Q355)</f>
        <v>1</v>
      </c>
      <c r="W355" s="3" t="n">
        <f aca="false">SUM(R355:T355)</f>
        <v>0</v>
      </c>
      <c r="X355" s="10" t="n">
        <v>39970</v>
      </c>
      <c r="Y355" s="10" t="n">
        <v>39975</v>
      </c>
    </row>
    <row r="356" customFormat="false" ht="14.25" hidden="false" customHeight="false" outlineLevel="0" collapsed="false">
      <c r="A356" s="1" t="n">
        <v>2009</v>
      </c>
      <c r="B356" s="1" t="n">
        <v>1</v>
      </c>
      <c r="C356" s="2" t="s">
        <v>44</v>
      </c>
      <c r="D356" s="7" t="s">
        <v>118</v>
      </c>
      <c r="E356" s="1" t="n">
        <v>1</v>
      </c>
      <c r="F356" s="1" t="n">
        <f aca="false">Y356-X356</f>
        <v>5</v>
      </c>
      <c r="G356" s="1" t="n">
        <v>5</v>
      </c>
      <c r="H356" s="3" t="s">
        <v>48</v>
      </c>
      <c r="I356" s="3" t="s">
        <v>49</v>
      </c>
      <c r="J356" s="8" t="s">
        <v>130</v>
      </c>
      <c r="K356" s="2" t="str">
        <f aca="false">CONCATENATE(I356," ",J356)</f>
        <v>Alopecosa aculeata</v>
      </c>
      <c r="L356" s="3" t="n">
        <f aca="false">SUM(P356:U356)</f>
        <v>4</v>
      </c>
      <c r="M356" s="11" t="n">
        <f aca="false">(L356/(F356*G356)*25)*4</f>
        <v>16</v>
      </c>
      <c r="N356" s="1" t="s">
        <v>30</v>
      </c>
      <c r="O356" s="1" t="s">
        <v>31</v>
      </c>
      <c r="P356" s="1" t="n">
        <v>4</v>
      </c>
      <c r="Q356" s="1" t="n">
        <v>0</v>
      </c>
      <c r="R356" s="1" t="n">
        <v>0</v>
      </c>
      <c r="S356" s="1" t="n">
        <v>0</v>
      </c>
      <c r="T356" s="1" t="n">
        <v>0</v>
      </c>
      <c r="U356" s="1" t="n">
        <v>0</v>
      </c>
      <c r="V356" s="3" t="n">
        <f aca="false">SUM(P356:Q356)</f>
        <v>4</v>
      </c>
      <c r="W356" s="3" t="n">
        <f aca="false">SUM(R356:T356)</f>
        <v>0</v>
      </c>
      <c r="X356" s="10" t="n">
        <v>39970</v>
      </c>
      <c r="Y356" s="10" t="n">
        <v>39975</v>
      </c>
    </row>
    <row r="357" customFormat="false" ht="14.25" hidden="false" customHeight="false" outlineLevel="0" collapsed="false">
      <c r="A357" s="1" t="n">
        <v>2009</v>
      </c>
      <c r="B357" s="1" t="n">
        <v>1</v>
      </c>
      <c r="C357" s="2" t="s">
        <v>44</v>
      </c>
      <c r="D357" s="7" t="s">
        <v>118</v>
      </c>
      <c r="E357" s="1" t="n">
        <v>1</v>
      </c>
      <c r="F357" s="1" t="n">
        <f aca="false">Y357-X357</f>
        <v>5</v>
      </c>
      <c r="G357" s="1" t="n">
        <v>5</v>
      </c>
      <c r="H357" s="3" t="s">
        <v>48</v>
      </c>
      <c r="I357" s="3" t="s">
        <v>49</v>
      </c>
      <c r="J357" s="8" t="s">
        <v>130</v>
      </c>
      <c r="K357" s="2" t="str">
        <f aca="false">CONCATENATE(I357," ",J357)</f>
        <v>Alopecosa aculeata</v>
      </c>
      <c r="L357" s="3" t="n">
        <f aca="false">SUM(P357:U357)</f>
        <v>1</v>
      </c>
      <c r="M357" s="11" t="n">
        <f aca="false">(L357/(F357*G357)*25)*4</f>
        <v>4</v>
      </c>
      <c r="N357" s="1" t="s">
        <v>30</v>
      </c>
      <c r="O357" s="1" t="s">
        <v>35</v>
      </c>
      <c r="P357" s="1" t="n">
        <v>0</v>
      </c>
      <c r="Q357" s="1" t="n">
        <v>1</v>
      </c>
      <c r="R357" s="1" t="n">
        <v>0</v>
      </c>
      <c r="S357" s="1" t="n">
        <v>0</v>
      </c>
      <c r="T357" s="1" t="n">
        <v>0</v>
      </c>
      <c r="U357" s="1" t="n">
        <v>0</v>
      </c>
      <c r="V357" s="3" t="n">
        <f aca="false">SUM(P357:Q357)</f>
        <v>1</v>
      </c>
      <c r="W357" s="3" t="n">
        <f aca="false">SUM(R357:T357)</f>
        <v>0</v>
      </c>
      <c r="X357" s="10" t="n">
        <v>39970</v>
      </c>
      <c r="Y357" s="10" t="n">
        <v>39975</v>
      </c>
    </row>
    <row r="358" customFormat="false" ht="14.25" hidden="false" customHeight="false" outlineLevel="0" collapsed="false">
      <c r="A358" s="1" t="n">
        <v>2009</v>
      </c>
      <c r="B358" s="1" t="n">
        <v>1</v>
      </c>
      <c r="C358" s="2" t="s">
        <v>44</v>
      </c>
      <c r="D358" s="7" t="s">
        <v>118</v>
      </c>
      <c r="E358" s="1" t="n">
        <v>1</v>
      </c>
      <c r="F358" s="1" t="n">
        <f aca="false">Y358-X358</f>
        <v>5</v>
      </c>
      <c r="G358" s="1" t="n">
        <v>5</v>
      </c>
      <c r="H358" s="3" t="s">
        <v>48</v>
      </c>
      <c r="I358" s="3" t="s">
        <v>49</v>
      </c>
      <c r="J358" s="12" t="s">
        <v>38</v>
      </c>
      <c r="K358" s="2" t="str">
        <f aca="false">CONCATENATE(I358," ",J358)</f>
        <v>Alopecosa sp</v>
      </c>
      <c r="L358" s="3" t="n">
        <f aca="false">SUM(P358:U358)</f>
        <v>1</v>
      </c>
      <c r="M358" s="11" t="n">
        <f aca="false">(L358/(F358*G358)*25)*4</f>
        <v>4</v>
      </c>
      <c r="N358" s="1" t="s">
        <v>19</v>
      </c>
      <c r="O358" s="1" t="s">
        <v>54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1</v>
      </c>
      <c r="U358" s="1" t="n">
        <v>0</v>
      </c>
      <c r="V358" s="3" t="n">
        <f aca="false">SUM(P358:Q358)</f>
        <v>0</v>
      </c>
      <c r="W358" s="3" t="n">
        <f aca="false">SUM(R358:T358)</f>
        <v>1</v>
      </c>
      <c r="X358" s="10" t="n">
        <v>39970</v>
      </c>
      <c r="Y358" s="10" t="n">
        <v>39975</v>
      </c>
    </row>
    <row r="359" customFormat="false" ht="14.25" hidden="false" customHeight="false" outlineLevel="0" collapsed="false">
      <c r="A359" s="1" t="n">
        <v>2009</v>
      </c>
      <c r="B359" s="1" t="n">
        <v>1</v>
      </c>
      <c r="C359" s="2" t="s">
        <v>44</v>
      </c>
      <c r="D359" s="7" t="s">
        <v>118</v>
      </c>
      <c r="E359" s="1" t="n">
        <v>1</v>
      </c>
      <c r="F359" s="1" t="n">
        <f aca="false">Y359-X359</f>
        <v>5</v>
      </c>
      <c r="G359" s="1" t="n">
        <v>5</v>
      </c>
      <c r="H359" s="3" t="s">
        <v>48</v>
      </c>
      <c r="I359" s="3" t="s">
        <v>67</v>
      </c>
      <c r="J359" s="12" t="s">
        <v>127</v>
      </c>
      <c r="K359" s="2" t="str">
        <f aca="false">CONCATENATE(I359," ",J359)</f>
        <v>Pardosa lugubris</v>
      </c>
      <c r="L359" s="3" t="n">
        <f aca="false">SUM(P359:U359)</f>
        <v>3</v>
      </c>
      <c r="M359" s="11" t="n">
        <f aca="false">(L359/(F359*G359)*25)*4</f>
        <v>12</v>
      </c>
      <c r="N359" s="1" t="s">
        <v>30</v>
      </c>
      <c r="O359" s="1" t="s">
        <v>31</v>
      </c>
      <c r="P359" s="1" t="n">
        <v>3</v>
      </c>
      <c r="Q359" s="1" t="n">
        <v>0</v>
      </c>
      <c r="R359" s="1" t="n">
        <v>0</v>
      </c>
      <c r="S359" s="1" t="n">
        <v>0</v>
      </c>
      <c r="T359" s="1" t="n">
        <v>0</v>
      </c>
      <c r="U359" s="1" t="n">
        <v>0</v>
      </c>
      <c r="V359" s="3" t="n">
        <f aca="false">SUM(P359:Q359)</f>
        <v>3</v>
      </c>
      <c r="W359" s="3" t="n">
        <f aca="false">SUM(R359:T359)</f>
        <v>0</v>
      </c>
      <c r="X359" s="10" t="n">
        <v>39970</v>
      </c>
      <c r="Y359" s="10" t="n">
        <v>39975</v>
      </c>
    </row>
    <row r="360" customFormat="false" ht="14.25" hidden="false" customHeight="false" outlineLevel="0" collapsed="false">
      <c r="A360" s="1" t="n">
        <v>2009</v>
      </c>
      <c r="B360" s="1" t="n">
        <v>1</v>
      </c>
      <c r="C360" s="2" t="s">
        <v>44</v>
      </c>
      <c r="D360" s="7" t="s">
        <v>118</v>
      </c>
      <c r="E360" s="1" t="n">
        <v>1</v>
      </c>
      <c r="F360" s="1" t="n">
        <f aca="false">Y360-X360</f>
        <v>5</v>
      </c>
      <c r="G360" s="1" t="n">
        <v>5</v>
      </c>
      <c r="H360" s="3" t="s">
        <v>48</v>
      </c>
      <c r="I360" s="3" t="s">
        <v>67</v>
      </c>
      <c r="J360" s="12" t="s">
        <v>127</v>
      </c>
      <c r="K360" s="2" t="str">
        <f aca="false">CONCATENATE(I360," ",J360)</f>
        <v>Pardosa lugubris</v>
      </c>
      <c r="L360" s="3" t="n">
        <f aca="false">SUM(P360:U360)</f>
        <v>2</v>
      </c>
      <c r="M360" s="11" t="n">
        <f aca="false">(L360/(F360*G360)*25)*4</f>
        <v>8</v>
      </c>
      <c r="N360" s="1" t="s">
        <v>30</v>
      </c>
      <c r="O360" s="1" t="s">
        <v>35</v>
      </c>
      <c r="P360" s="1" t="n">
        <v>0</v>
      </c>
      <c r="Q360" s="1" t="n">
        <v>2</v>
      </c>
      <c r="R360" s="1" t="n">
        <v>0</v>
      </c>
      <c r="S360" s="1" t="n">
        <v>0</v>
      </c>
      <c r="T360" s="1" t="n">
        <v>0</v>
      </c>
      <c r="U360" s="1" t="n">
        <v>0</v>
      </c>
      <c r="V360" s="3" t="n">
        <f aca="false">SUM(P360:Q360)</f>
        <v>2</v>
      </c>
      <c r="W360" s="3" t="n">
        <f aca="false">SUM(R360:T360)</f>
        <v>0</v>
      </c>
      <c r="X360" s="10" t="n">
        <v>39970</v>
      </c>
      <c r="Y360" s="10" t="n">
        <v>39975</v>
      </c>
    </row>
    <row r="361" customFormat="false" ht="14.25" hidden="false" customHeight="false" outlineLevel="0" collapsed="false">
      <c r="A361" s="1" t="n">
        <v>2009</v>
      </c>
      <c r="B361" s="1" t="n">
        <v>1</v>
      </c>
      <c r="C361" s="2" t="s">
        <v>44</v>
      </c>
      <c r="D361" s="7" t="s">
        <v>118</v>
      </c>
      <c r="E361" s="1" t="n">
        <v>1</v>
      </c>
      <c r="F361" s="1" t="n">
        <f aca="false">Y361-X361</f>
        <v>5</v>
      </c>
      <c r="G361" s="1" t="n">
        <v>5</v>
      </c>
      <c r="H361" s="3" t="s">
        <v>48</v>
      </c>
      <c r="I361" s="3" t="s">
        <v>67</v>
      </c>
      <c r="J361" s="12" t="s">
        <v>38</v>
      </c>
      <c r="K361" s="2" t="str">
        <f aca="false">CONCATENATE(I361," ",J361)</f>
        <v>Pardosa sp</v>
      </c>
      <c r="L361" s="3" t="n">
        <f aca="false">SUM(P361:U361)</f>
        <v>1</v>
      </c>
      <c r="M361" s="11" t="n">
        <f aca="false">(L361/(F361*G361)*25)*4</f>
        <v>4</v>
      </c>
      <c r="N361" s="1" t="s">
        <v>19</v>
      </c>
      <c r="O361" s="1" t="s">
        <v>54</v>
      </c>
      <c r="P361" s="1" t="n">
        <v>0</v>
      </c>
      <c r="Q361" s="1" t="n">
        <v>0</v>
      </c>
      <c r="R361" s="1" t="n">
        <v>0</v>
      </c>
      <c r="S361" s="1" t="n">
        <v>0</v>
      </c>
      <c r="T361" s="1" t="n">
        <v>1</v>
      </c>
      <c r="U361" s="1" t="n">
        <v>0</v>
      </c>
      <c r="V361" s="3" t="n">
        <f aca="false">SUM(P361:Q361)</f>
        <v>0</v>
      </c>
      <c r="W361" s="3" t="n">
        <f aca="false">SUM(R361:T361)</f>
        <v>1</v>
      </c>
      <c r="X361" s="10" t="n">
        <v>39970</v>
      </c>
      <c r="Y361" s="10" t="n">
        <v>39975</v>
      </c>
    </row>
    <row r="362" customFormat="false" ht="14.25" hidden="false" customHeight="false" outlineLevel="0" collapsed="false">
      <c r="A362" s="1" t="n">
        <v>2009</v>
      </c>
      <c r="B362" s="1" t="n">
        <v>1</v>
      </c>
      <c r="C362" s="2" t="s">
        <v>44</v>
      </c>
      <c r="D362" s="7" t="s">
        <v>118</v>
      </c>
      <c r="E362" s="1" t="n">
        <v>1</v>
      </c>
      <c r="F362" s="1" t="n">
        <f aca="false">Y362-X362</f>
        <v>5</v>
      </c>
      <c r="G362" s="1" t="n">
        <v>5</v>
      </c>
      <c r="H362" s="3" t="s">
        <v>48</v>
      </c>
      <c r="I362" s="3" t="s">
        <v>122</v>
      </c>
      <c r="J362" s="12" t="s">
        <v>123</v>
      </c>
      <c r="K362" s="2" t="str">
        <f aca="false">CONCATENATE(I362," ",J362)</f>
        <v>Xerolycosa nemoralis</v>
      </c>
      <c r="L362" s="3" t="n">
        <f aca="false">SUM(P362:U362)</f>
        <v>2</v>
      </c>
      <c r="M362" s="11" t="n">
        <f aca="false">(L362/(F362*G362)*25)*4</f>
        <v>8</v>
      </c>
      <c r="N362" s="1" t="s">
        <v>30</v>
      </c>
      <c r="O362" s="1" t="s">
        <v>31</v>
      </c>
      <c r="P362" s="1" t="n">
        <v>2</v>
      </c>
      <c r="Q362" s="1" t="n">
        <v>0</v>
      </c>
      <c r="R362" s="1" t="n">
        <v>0</v>
      </c>
      <c r="S362" s="1" t="n">
        <v>0</v>
      </c>
      <c r="T362" s="1" t="n">
        <v>0</v>
      </c>
      <c r="U362" s="1" t="n">
        <v>0</v>
      </c>
      <c r="V362" s="3" t="n">
        <f aca="false">SUM(P362:Q362)</f>
        <v>2</v>
      </c>
      <c r="W362" s="3" t="n">
        <f aca="false">SUM(R362:T362)</f>
        <v>0</v>
      </c>
      <c r="X362" s="10" t="n">
        <v>39970</v>
      </c>
      <c r="Y362" s="10" t="n">
        <v>39975</v>
      </c>
    </row>
    <row r="363" customFormat="false" ht="14.25" hidden="false" customHeight="false" outlineLevel="0" collapsed="false">
      <c r="A363" s="1" t="n">
        <v>2009</v>
      </c>
      <c r="B363" s="1" t="n">
        <v>1</v>
      </c>
      <c r="C363" s="2" t="s">
        <v>44</v>
      </c>
      <c r="D363" s="7" t="s">
        <v>118</v>
      </c>
      <c r="E363" s="1" t="n">
        <v>1</v>
      </c>
      <c r="F363" s="1" t="n">
        <f aca="false">Y363-X363</f>
        <v>5</v>
      </c>
      <c r="G363" s="1" t="n">
        <v>5</v>
      </c>
      <c r="H363" s="3" t="s">
        <v>48</v>
      </c>
      <c r="I363" s="3" t="s">
        <v>122</v>
      </c>
      <c r="J363" s="12" t="s">
        <v>123</v>
      </c>
      <c r="K363" s="2" t="str">
        <f aca="false">CONCATENATE(I363," ",J363)</f>
        <v>Xerolycosa nemoralis</v>
      </c>
      <c r="L363" s="3" t="n">
        <f aca="false">SUM(P363:U363)</f>
        <v>1</v>
      </c>
      <c r="M363" s="11" t="n">
        <f aca="false">(L363/(F363*G363)*25)*4</f>
        <v>4</v>
      </c>
      <c r="N363" s="1" t="s">
        <v>30</v>
      </c>
      <c r="O363" s="1" t="s">
        <v>35</v>
      </c>
      <c r="P363" s="1" t="n">
        <v>0</v>
      </c>
      <c r="Q363" s="1" t="n">
        <v>1</v>
      </c>
      <c r="R363" s="1" t="n">
        <v>0</v>
      </c>
      <c r="S363" s="1" t="n">
        <v>0</v>
      </c>
      <c r="T363" s="1" t="n">
        <v>0</v>
      </c>
      <c r="U363" s="1" t="n">
        <v>0</v>
      </c>
      <c r="V363" s="3" t="n">
        <f aca="false">SUM(P363:Q363)</f>
        <v>1</v>
      </c>
      <c r="W363" s="3" t="n">
        <f aca="false">SUM(R363:T363)</f>
        <v>0</v>
      </c>
      <c r="X363" s="10" t="n">
        <v>39970</v>
      </c>
      <c r="Y363" s="10" t="n">
        <v>39975</v>
      </c>
    </row>
    <row r="364" customFormat="false" ht="14.25" hidden="false" customHeight="false" outlineLevel="0" collapsed="false">
      <c r="A364" s="1" t="n">
        <v>2009</v>
      </c>
      <c r="B364" s="1" t="n">
        <v>1</v>
      </c>
      <c r="C364" s="2" t="s">
        <v>44</v>
      </c>
      <c r="D364" s="7" t="s">
        <v>118</v>
      </c>
      <c r="E364" s="1" t="n">
        <v>1</v>
      </c>
      <c r="F364" s="1" t="n">
        <f aca="false">Y364-X364</f>
        <v>5</v>
      </c>
      <c r="G364" s="1" t="n">
        <v>5</v>
      </c>
      <c r="H364" s="3" t="s">
        <v>72</v>
      </c>
      <c r="I364" s="3" t="s">
        <v>73</v>
      </c>
      <c r="J364" s="12" t="s">
        <v>38</v>
      </c>
      <c r="K364" s="2" t="str">
        <f aca="false">CONCATENATE(I364," ",J364)</f>
        <v>Zelotes sp</v>
      </c>
      <c r="L364" s="3" t="n">
        <f aca="false">SUM(P364:U364)</f>
        <v>1</v>
      </c>
      <c r="M364" s="11" t="n">
        <f aca="false">(L364/(F364*G364)*25)*4</f>
        <v>4</v>
      </c>
      <c r="N364" s="1" t="s">
        <v>19</v>
      </c>
      <c r="O364" s="1" t="s">
        <v>31</v>
      </c>
      <c r="P364" s="1" t="n">
        <v>0</v>
      </c>
      <c r="Q364" s="1" t="n">
        <v>0</v>
      </c>
      <c r="R364" s="1" t="n">
        <v>1</v>
      </c>
      <c r="S364" s="1" t="n">
        <v>0</v>
      </c>
      <c r="T364" s="1" t="n">
        <v>0</v>
      </c>
      <c r="U364" s="1" t="n">
        <v>0</v>
      </c>
      <c r="V364" s="3" t="n">
        <f aca="false">SUM(P364:Q364)</f>
        <v>0</v>
      </c>
      <c r="W364" s="3" t="n">
        <f aca="false">SUM(R364:T364)</f>
        <v>1</v>
      </c>
      <c r="X364" s="10" t="n">
        <v>39970</v>
      </c>
      <c r="Y364" s="10" t="n">
        <v>39975</v>
      </c>
    </row>
    <row r="365" customFormat="false" ht="14.25" hidden="false" customHeight="false" outlineLevel="0" collapsed="false">
      <c r="A365" s="1" t="n">
        <v>2009</v>
      </c>
      <c r="B365" s="1" t="n">
        <v>1</v>
      </c>
      <c r="C365" s="2" t="s">
        <v>44</v>
      </c>
      <c r="D365" s="7" t="s">
        <v>118</v>
      </c>
      <c r="E365" s="1" t="n">
        <v>1</v>
      </c>
      <c r="F365" s="1" t="n">
        <f aca="false">Y365-X365</f>
        <v>5</v>
      </c>
      <c r="G365" s="1" t="n">
        <v>5</v>
      </c>
      <c r="H365" s="3" t="s">
        <v>36</v>
      </c>
      <c r="I365" s="3" t="s">
        <v>131</v>
      </c>
      <c r="J365" s="12" t="s">
        <v>38</v>
      </c>
      <c r="K365" s="2" t="str">
        <f aca="false">CONCATENATE(I365," ",J365)</f>
        <v>Xysticus sp</v>
      </c>
      <c r="L365" s="3" t="n">
        <f aca="false">SUM(P365:U365)</f>
        <v>1</v>
      </c>
      <c r="M365" s="11" t="n">
        <f aca="false">(L365/(F365*G365)*25)*4</f>
        <v>4</v>
      </c>
      <c r="N365" s="15" t="s">
        <v>19</v>
      </c>
      <c r="O365" s="15" t="s">
        <v>35</v>
      </c>
      <c r="P365" s="1" t="n">
        <v>0</v>
      </c>
      <c r="Q365" s="1" t="n">
        <v>0</v>
      </c>
      <c r="R365" s="1" t="n">
        <v>0</v>
      </c>
      <c r="S365" s="1" t="n">
        <v>1</v>
      </c>
      <c r="T365" s="1" t="n">
        <v>0</v>
      </c>
      <c r="U365" s="1" t="n">
        <v>0</v>
      </c>
      <c r="V365" s="3" t="n">
        <f aca="false">SUM(P365:Q365)</f>
        <v>0</v>
      </c>
      <c r="W365" s="3" t="n">
        <f aca="false">SUM(R365:T365)</f>
        <v>1</v>
      </c>
      <c r="X365" s="10" t="n">
        <v>39970</v>
      </c>
      <c r="Y365" s="10" t="n">
        <v>39975</v>
      </c>
    </row>
    <row r="366" customFormat="false" ht="14.25" hidden="false" customHeight="false" outlineLevel="0" collapsed="false">
      <c r="A366" s="1" t="n">
        <v>2009</v>
      </c>
      <c r="B366" s="1" t="n">
        <v>1</v>
      </c>
      <c r="C366" s="2" t="s">
        <v>44</v>
      </c>
      <c r="D366" s="7" t="s">
        <v>118</v>
      </c>
      <c r="E366" s="1" t="n">
        <v>1</v>
      </c>
      <c r="F366" s="1" t="n">
        <f aca="false">Y366-X366</f>
        <v>5</v>
      </c>
      <c r="G366" s="1" t="n">
        <v>5</v>
      </c>
      <c r="H366" s="3" t="s">
        <v>36</v>
      </c>
      <c r="I366" s="3" t="s">
        <v>131</v>
      </c>
      <c r="J366" s="12" t="s">
        <v>133</v>
      </c>
      <c r="K366" s="2" t="str">
        <f aca="false">CONCATENATE(I366," ",J366)</f>
        <v>Xysticus luctuosus</v>
      </c>
      <c r="L366" s="3" t="n">
        <f aca="false">SUM(P366:U366)</f>
        <v>1</v>
      </c>
      <c r="M366" s="11" t="n">
        <f aca="false">(L366/(F366*G366)*25)*4</f>
        <v>4</v>
      </c>
      <c r="N366" s="1" t="s">
        <v>30</v>
      </c>
      <c r="O366" s="1" t="s">
        <v>31</v>
      </c>
      <c r="P366" s="1" t="n">
        <v>1</v>
      </c>
      <c r="Q366" s="1" t="n">
        <v>0</v>
      </c>
      <c r="R366" s="1" t="n">
        <v>0</v>
      </c>
      <c r="S366" s="1" t="n">
        <v>0</v>
      </c>
      <c r="T366" s="1" t="n">
        <v>0</v>
      </c>
      <c r="U366" s="1" t="n">
        <v>0</v>
      </c>
      <c r="V366" s="3" t="n">
        <f aca="false">SUM(P366:Q366)</f>
        <v>1</v>
      </c>
      <c r="W366" s="3" t="n">
        <f aca="false">SUM(R366:T366)</f>
        <v>0</v>
      </c>
      <c r="X366" s="10" t="n">
        <v>39970</v>
      </c>
      <c r="Y366" s="10" t="n">
        <v>39975</v>
      </c>
    </row>
    <row r="367" customFormat="false" ht="14.25" hidden="false" customHeight="false" outlineLevel="0" collapsed="false">
      <c r="A367" s="1" t="n">
        <v>2009</v>
      </c>
      <c r="B367" s="1" t="n">
        <v>1</v>
      </c>
      <c r="C367" s="2" t="s">
        <v>44</v>
      </c>
      <c r="D367" s="7" t="s">
        <v>118</v>
      </c>
      <c r="E367" s="1" t="n">
        <v>1</v>
      </c>
      <c r="F367" s="1" t="n">
        <f aca="false">Y367-X367</f>
        <v>5</v>
      </c>
      <c r="G367" s="1" t="n">
        <v>5</v>
      </c>
      <c r="H367" s="3" t="s">
        <v>72</v>
      </c>
      <c r="I367" s="3" t="s">
        <v>152</v>
      </c>
      <c r="J367" s="8" t="s">
        <v>153</v>
      </c>
      <c r="K367" s="2" t="str">
        <f aca="false">CONCATENATE(I367," ",J367)</f>
        <v>Callilepis nocturna</v>
      </c>
      <c r="L367" s="3" t="n">
        <f aca="false">SUM(P367:U367)</f>
        <v>1</v>
      </c>
      <c r="M367" s="11" t="n">
        <f aca="false">(L367/(F367*G367)*25)*4</f>
        <v>4</v>
      </c>
      <c r="N367" s="1" t="s">
        <v>30</v>
      </c>
      <c r="O367" s="1" t="s">
        <v>31</v>
      </c>
      <c r="P367" s="1" t="n">
        <v>1</v>
      </c>
      <c r="Q367" s="1" t="n">
        <v>0</v>
      </c>
      <c r="R367" s="1" t="n">
        <v>0</v>
      </c>
      <c r="S367" s="1" t="n">
        <v>0</v>
      </c>
      <c r="T367" s="1" t="n">
        <v>0</v>
      </c>
      <c r="U367" s="1" t="n">
        <v>0</v>
      </c>
      <c r="V367" s="3" t="n">
        <f aca="false">SUM(P367:Q367)</f>
        <v>1</v>
      </c>
      <c r="W367" s="3" t="n">
        <f aca="false">SUM(R367:T367)</f>
        <v>0</v>
      </c>
      <c r="X367" s="10" t="n">
        <v>39970</v>
      </c>
      <c r="Y367" s="10" t="n">
        <v>39975</v>
      </c>
    </row>
    <row r="368" customFormat="false" ht="14.25" hidden="false" customHeight="false" outlineLevel="0" collapsed="false">
      <c r="A368" s="1" t="n">
        <v>2009</v>
      </c>
      <c r="B368" s="1" t="n">
        <v>1</v>
      </c>
      <c r="C368" s="2" t="s">
        <v>44</v>
      </c>
      <c r="D368" s="7" t="s">
        <v>118</v>
      </c>
      <c r="E368" s="1" t="n">
        <v>1</v>
      </c>
      <c r="F368" s="1" t="n">
        <f aca="false">Y368-X368</f>
        <v>5</v>
      </c>
      <c r="G368" s="1" t="n">
        <v>5</v>
      </c>
      <c r="H368" s="3" t="s">
        <v>32</v>
      </c>
      <c r="I368" s="3" t="s">
        <v>57</v>
      </c>
      <c r="J368" s="12" t="s">
        <v>38</v>
      </c>
      <c r="K368" s="2" t="str">
        <f aca="false">CONCATENATE(I368," ",J368)</f>
        <v>Gen sp</v>
      </c>
      <c r="L368" s="3" t="n">
        <f aca="false">SUM(P368:U368)</f>
        <v>1</v>
      </c>
      <c r="M368" s="11" t="n">
        <f aca="false">(L368/(F368*G368)*25)*4</f>
        <v>4</v>
      </c>
      <c r="N368" s="1" t="s">
        <v>19</v>
      </c>
      <c r="O368" s="1" t="s">
        <v>54</v>
      </c>
      <c r="P368" s="1" t="n">
        <v>0</v>
      </c>
      <c r="Q368" s="1" t="n">
        <v>0</v>
      </c>
      <c r="R368" s="1" t="n">
        <v>0</v>
      </c>
      <c r="S368" s="1" t="n">
        <v>0</v>
      </c>
      <c r="T368" s="1" t="n">
        <v>1</v>
      </c>
      <c r="U368" s="1" t="n">
        <v>0</v>
      </c>
      <c r="V368" s="3" t="n">
        <f aca="false">SUM(P368:Q368)</f>
        <v>0</v>
      </c>
      <c r="W368" s="3" t="n">
        <f aca="false">SUM(R368:T368)</f>
        <v>1</v>
      </c>
      <c r="X368" s="10" t="n">
        <v>39970</v>
      </c>
      <c r="Y368" s="10" t="n">
        <v>39975</v>
      </c>
    </row>
    <row r="369" customFormat="false" ht="14.25" hidden="false" customHeight="false" outlineLevel="0" collapsed="false">
      <c r="A369" s="1" t="n">
        <v>2009</v>
      </c>
      <c r="B369" s="1" t="n">
        <v>1</v>
      </c>
      <c r="C369" s="2" t="s">
        <v>44</v>
      </c>
      <c r="D369" s="7" t="s">
        <v>118</v>
      </c>
      <c r="E369" s="1" t="n">
        <v>1</v>
      </c>
      <c r="F369" s="1" t="n">
        <f aca="false">Y369-X369</f>
        <v>5</v>
      </c>
      <c r="G369" s="1" t="n">
        <v>5</v>
      </c>
      <c r="H369" s="3" t="s">
        <v>32</v>
      </c>
      <c r="I369" s="3" t="s">
        <v>102</v>
      </c>
      <c r="J369" s="3" t="s">
        <v>117</v>
      </c>
      <c r="K369" s="2" t="str">
        <f aca="false">CONCATENATE(I369," ",J369)</f>
        <v>Agyneta affinis</v>
      </c>
      <c r="L369" s="3" t="n">
        <f aca="false">SUM(P369:U369)</f>
        <v>1</v>
      </c>
      <c r="M369" s="11" t="n">
        <f aca="false">(L369/(F369*G369)*25)*4</f>
        <v>4</v>
      </c>
      <c r="N369" s="1" t="s">
        <v>30</v>
      </c>
      <c r="O369" s="1" t="s">
        <v>35</v>
      </c>
      <c r="P369" s="1" t="n">
        <v>0</v>
      </c>
      <c r="Q369" s="1" t="n">
        <v>1</v>
      </c>
      <c r="R369" s="1" t="n">
        <v>0</v>
      </c>
      <c r="S369" s="1" t="n">
        <v>0</v>
      </c>
      <c r="T369" s="1" t="n">
        <v>0</v>
      </c>
      <c r="U369" s="1" t="n">
        <v>0</v>
      </c>
      <c r="V369" s="3" t="n">
        <f aca="false">SUM(P369:Q369)</f>
        <v>1</v>
      </c>
      <c r="W369" s="3" t="n">
        <f aca="false">SUM(R369:T369)</f>
        <v>0</v>
      </c>
      <c r="X369" s="10" t="n">
        <v>39970</v>
      </c>
      <c r="Y369" s="10" t="n">
        <v>39975</v>
      </c>
    </row>
    <row r="370" customFormat="false" ht="14.25" hidden="false" customHeight="false" outlineLevel="0" collapsed="false">
      <c r="A370" s="1" t="n">
        <v>2009</v>
      </c>
      <c r="B370" s="1" t="n">
        <v>1</v>
      </c>
      <c r="C370" s="2" t="s">
        <v>44</v>
      </c>
      <c r="D370" s="7" t="s">
        <v>118</v>
      </c>
      <c r="E370" s="1" t="n">
        <v>2</v>
      </c>
      <c r="F370" s="1" t="n">
        <f aca="false">Y370-X370</f>
        <v>5</v>
      </c>
      <c r="G370" s="1" t="n">
        <v>5</v>
      </c>
      <c r="H370" s="3" t="s">
        <v>48</v>
      </c>
      <c r="I370" s="3" t="s">
        <v>49</v>
      </c>
      <c r="J370" s="12" t="s">
        <v>119</v>
      </c>
      <c r="K370" s="2" t="str">
        <f aca="false">CONCATENATE(I370," ",J370)</f>
        <v>Alopecosa sulzeri</v>
      </c>
      <c r="L370" s="3" t="n">
        <f aca="false">SUM(P370:U370)</f>
        <v>1</v>
      </c>
      <c r="M370" s="11" t="n">
        <f aca="false">(L370/(F370*G370)*25)*4</f>
        <v>4</v>
      </c>
      <c r="N370" s="1" t="s">
        <v>30</v>
      </c>
      <c r="O370" s="1" t="s">
        <v>31</v>
      </c>
      <c r="P370" s="1" t="n">
        <v>1</v>
      </c>
      <c r="Q370" s="1" t="n">
        <v>0</v>
      </c>
      <c r="R370" s="1" t="n">
        <v>0</v>
      </c>
      <c r="S370" s="1" t="n">
        <v>0</v>
      </c>
      <c r="T370" s="1" t="n">
        <v>0</v>
      </c>
      <c r="U370" s="1" t="n">
        <v>0</v>
      </c>
      <c r="V370" s="3" t="n">
        <f aca="false">SUM(P370:Q370)</f>
        <v>1</v>
      </c>
      <c r="W370" s="3" t="n">
        <f aca="false">SUM(R370:T370)</f>
        <v>0</v>
      </c>
      <c r="X370" s="10" t="n">
        <v>39970</v>
      </c>
      <c r="Y370" s="10" t="n">
        <v>39975</v>
      </c>
    </row>
    <row r="371" customFormat="false" ht="14.25" hidden="false" customHeight="false" outlineLevel="0" collapsed="false">
      <c r="A371" s="1" t="n">
        <v>2009</v>
      </c>
      <c r="B371" s="1" t="n">
        <v>1</v>
      </c>
      <c r="C371" s="2" t="s">
        <v>44</v>
      </c>
      <c r="D371" s="7" t="s">
        <v>118</v>
      </c>
      <c r="E371" s="1" t="n">
        <v>2</v>
      </c>
      <c r="F371" s="1" t="n">
        <f aca="false">Y371-X371</f>
        <v>5</v>
      </c>
      <c r="G371" s="1" t="n">
        <v>5</v>
      </c>
      <c r="H371" s="3" t="s">
        <v>48</v>
      </c>
      <c r="I371" s="3" t="s">
        <v>49</v>
      </c>
      <c r="J371" s="12" t="s">
        <v>119</v>
      </c>
      <c r="K371" s="2" t="str">
        <f aca="false">CONCATENATE(I371," ",J371)</f>
        <v>Alopecosa sulzeri</v>
      </c>
      <c r="L371" s="3" t="n">
        <f aca="false">SUM(P371:U371)</f>
        <v>1</v>
      </c>
      <c r="M371" s="11" t="n">
        <f aca="false">(L371/(F371*G371)*25)*4</f>
        <v>4</v>
      </c>
      <c r="N371" s="1" t="s">
        <v>30</v>
      </c>
      <c r="O371" s="1" t="s">
        <v>35</v>
      </c>
      <c r="P371" s="1" t="n">
        <v>0</v>
      </c>
      <c r="Q371" s="1" t="n">
        <v>1</v>
      </c>
      <c r="R371" s="1" t="n">
        <v>0</v>
      </c>
      <c r="S371" s="1" t="n">
        <v>0</v>
      </c>
      <c r="T371" s="1" t="n">
        <v>0</v>
      </c>
      <c r="U371" s="1" t="n">
        <v>0</v>
      </c>
      <c r="V371" s="3" t="n">
        <f aca="false">SUM(P371:Q371)</f>
        <v>1</v>
      </c>
      <c r="W371" s="3" t="n">
        <f aca="false">SUM(R371:T371)</f>
        <v>0</v>
      </c>
      <c r="X371" s="10" t="n">
        <v>39970</v>
      </c>
      <c r="Y371" s="10" t="n">
        <v>39975</v>
      </c>
    </row>
    <row r="372" customFormat="false" ht="14.25" hidden="false" customHeight="false" outlineLevel="0" collapsed="false">
      <c r="A372" s="1" t="n">
        <v>2009</v>
      </c>
      <c r="B372" s="1" t="n">
        <v>1</v>
      </c>
      <c r="C372" s="2" t="s">
        <v>44</v>
      </c>
      <c r="D372" s="7" t="s">
        <v>118</v>
      </c>
      <c r="E372" s="1" t="n">
        <v>2</v>
      </c>
      <c r="F372" s="1" t="n">
        <f aca="false">Y372-X372</f>
        <v>5</v>
      </c>
      <c r="G372" s="1" t="n">
        <v>5</v>
      </c>
      <c r="H372" s="3" t="s">
        <v>48</v>
      </c>
      <c r="I372" s="3" t="s">
        <v>49</v>
      </c>
      <c r="J372" s="8" t="s">
        <v>130</v>
      </c>
      <c r="K372" s="2" t="str">
        <f aca="false">CONCATENATE(I372," ",J372)</f>
        <v>Alopecosa aculeata</v>
      </c>
      <c r="L372" s="3" t="n">
        <f aca="false">SUM(P372:U372)</f>
        <v>9</v>
      </c>
      <c r="M372" s="11" t="n">
        <f aca="false">(L372/(F372*G372)*25)*4</f>
        <v>36</v>
      </c>
      <c r="N372" s="1" t="s">
        <v>30</v>
      </c>
      <c r="O372" s="1" t="s">
        <v>31</v>
      </c>
      <c r="P372" s="1" t="n">
        <v>9</v>
      </c>
      <c r="Q372" s="1" t="n">
        <v>0</v>
      </c>
      <c r="R372" s="1" t="n">
        <v>0</v>
      </c>
      <c r="S372" s="1" t="n">
        <v>0</v>
      </c>
      <c r="T372" s="1" t="n">
        <v>0</v>
      </c>
      <c r="U372" s="1" t="n">
        <v>0</v>
      </c>
      <c r="V372" s="3" t="n">
        <f aca="false">SUM(P372:Q372)</f>
        <v>9</v>
      </c>
      <c r="W372" s="3" t="n">
        <f aca="false">SUM(R372:T372)</f>
        <v>0</v>
      </c>
      <c r="X372" s="10" t="n">
        <v>39970</v>
      </c>
      <c r="Y372" s="10" t="n">
        <v>39975</v>
      </c>
    </row>
    <row r="373" customFormat="false" ht="14.25" hidden="false" customHeight="false" outlineLevel="0" collapsed="false">
      <c r="A373" s="1" t="n">
        <v>2009</v>
      </c>
      <c r="B373" s="1" t="n">
        <v>1</v>
      </c>
      <c r="C373" s="2" t="s">
        <v>44</v>
      </c>
      <c r="D373" s="7" t="s">
        <v>118</v>
      </c>
      <c r="E373" s="1" t="n">
        <v>2</v>
      </c>
      <c r="F373" s="1" t="n">
        <f aca="false">Y373-X373</f>
        <v>5</v>
      </c>
      <c r="G373" s="1" t="n">
        <v>5</v>
      </c>
      <c r="H373" s="3" t="s">
        <v>48</v>
      </c>
      <c r="I373" s="3" t="s">
        <v>49</v>
      </c>
      <c r="J373" s="8" t="s">
        <v>130</v>
      </c>
      <c r="K373" s="2" t="str">
        <f aca="false">CONCATENATE(I373," ",J373)</f>
        <v>Alopecosa aculeata</v>
      </c>
      <c r="L373" s="3" t="n">
        <f aca="false">SUM(P373:U373)</f>
        <v>1</v>
      </c>
      <c r="M373" s="11" t="n">
        <f aca="false">(L373/(F373*G373)*25)*4</f>
        <v>4</v>
      </c>
      <c r="N373" s="1" t="s">
        <v>30</v>
      </c>
      <c r="O373" s="1" t="s">
        <v>35</v>
      </c>
      <c r="P373" s="1" t="n">
        <v>0</v>
      </c>
      <c r="Q373" s="1" t="n">
        <v>1</v>
      </c>
      <c r="R373" s="1" t="n">
        <v>0</v>
      </c>
      <c r="S373" s="1" t="n">
        <v>0</v>
      </c>
      <c r="T373" s="1" t="n">
        <v>0</v>
      </c>
      <c r="U373" s="1" t="n">
        <v>0</v>
      </c>
      <c r="V373" s="3" t="n">
        <f aca="false">SUM(P373:Q373)</f>
        <v>1</v>
      </c>
      <c r="W373" s="3" t="n">
        <f aca="false">SUM(R373:T373)</f>
        <v>0</v>
      </c>
      <c r="X373" s="10" t="n">
        <v>39970</v>
      </c>
      <c r="Y373" s="10" t="n">
        <v>39975</v>
      </c>
    </row>
    <row r="374" customFormat="false" ht="14.25" hidden="false" customHeight="false" outlineLevel="0" collapsed="false">
      <c r="A374" s="1" t="n">
        <v>2009</v>
      </c>
      <c r="B374" s="1" t="n">
        <v>1</v>
      </c>
      <c r="C374" s="2" t="s">
        <v>44</v>
      </c>
      <c r="D374" s="7" t="s">
        <v>118</v>
      </c>
      <c r="E374" s="1" t="n">
        <v>2</v>
      </c>
      <c r="F374" s="1" t="n">
        <f aca="false">Y374-X374</f>
        <v>5</v>
      </c>
      <c r="G374" s="1" t="n">
        <v>5</v>
      </c>
      <c r="H374" s="3" t="s">
        <v>72</v>
      </c>
      <c r="I374" s="3" t="s">
        <v>73</v>
      </c>
      <c r="J374" s="12" t="s">
        <v>149</v>
      </c>
      <c r="K374" s="2" t="str">
        <f aca="false">CONCATENATE(I374," ",J374)</f>
        <v>Zelotes electus</v>
      </c>
      <c r="L374" s="3" t="n">
        <f aca="false">SUM(P374:U374)</f>
        <v>1</v>
      </c>
      <c r="M374" s="11" t="n">
        <f aca="false">(L374/(F374*G374)*25)*4</f>
        <v>4</v>
      </c>
      <c r="N374" s="1" t="s">
        <v>30</v>
      </c>
      <c r="O374" s="1" t="s">
        <v>35</v>
      </c>
      <c r="P374" s="1" t="n">
        <v>0</v>
      </c>
      <c r="Q374" s="1" t="n">
        <v>1</v>
      </c>
      <c r="R374" s="1" t="n">
        <v>0</v>
      </c>
      <c r="S374" s="1" t="n">
        <v>0</v>
      </c>
      <c r="T374" s="1" t="n">
        <v>0</v>
      </c>
      <c r="U374" s="1" t="n">
        <v>0</v>
      </c>
      <c r="V374" s="3" t="n">
        <f aca="false">SUM(P374:Q374)</f>
        <v>1</v>
      </c>
      <c r="W374" s="3" t="n">
        <f aca="false">SUM(R374:T374)</f>
        <v>0</v>
      </c>
      <c r="X374" s="10" t="n">
        <v>39970</v>
      </c>
      <c r="Y374" s="10" t="n">
        <v>39975</v>
      </c>
    </row>
    <row r="375" customFormat="false" ht="14.25" hidden="false" customHeight="false" outlineLevel="0" collapsed="false">
      <c r="A375" s="1" t="n">
        <v>2009</v>
      </c>
      <c r="B375" s="1" t="n">
        <v>1</v>
      </c>
      <c r="C375" s="2" t="s">
        <v>44</v>
      </c>
      <c r="D375" s="7" t="s">
        <v>118</v>
      </c>
      <c r="E375" s="1" t="n">
        <v>2</v>
      </c>
      <c r="F375" s="1" t="n">
        <f aca="false">Y375-X375</f>
        <v>5</v>
      </c>
      <c r="G375" s="1" t="n">
        <v>5</v>
      </c>
      <c r="H375" s="3" t="s">
        <v>72</v>
      </c>
      <c r="I375" s="3" t="s">
        <v>73</v>
      </c>
      <c r="J375" s="12" t="s">
        <v>38</v>
      </c>
      <c r="K375" s="2" t="str">
        <f aca="false">CONCATENATE(I375," ",J375)</f>
        <v>Zelotes sp</v>
      </c>
      <c r="L375" s="3" t="n">
        <f aca="false">SUM(P375:U375)</f>
        <v>4</v>
      </c>
      <c r="M375" s="11" t="n">
        <f aca="false">(L375/(F375*G375)*25)*4</f>
        <v>16</v>
      </c>
      <c r="N375" s="15" t="s">
        <v>19</v>
      </c>
      <c r="O375" s="15" t="s">
        <v>35</v>
      </c>
      <c r="P375" s="1" t="n">
        <v>0</v>
      </c>
      <c r="Q375" s="1" t="n">
        <v>0</v>
      </c>
      <c r="R375" s="1" t="n">
        <v>0</v>
      </c>
      <c r="S375" s="1" t="n">
        <v>4</v>
      </c>
      <c r="T375" s="1" t="n">
        <v>0</v>
      </c>
      <c r="U375" s="1" t="n">
        <v>0</v>
      </c>
      <c r="V375" s="3" t="n">
        <f aca="false">SUM(P375:Q375)</f>
        <v>0</v>
      </c>
      <c r="W375" s="3" t="n">
        <f aca="false">SUM(R375:T375)</f>
        <v>4</v>
      </c>
      <c r="X375" s="10" t="n">
        <v>39970</v>
      </c>
      <c r="Y375" s="10" t="n">
        <v>39975</v>
      </c>
    </row>
    <row r="376" customFormat="false" ht="14.25" hidden="false" customHeight="false" outlineLevel="0" collapsed="false">
      <c r="A376" s="1" t="n">
        <v>2009</v>
      </c>
      <c r="B376" s="1" t="n">
        <v>1</v>
      </c>
      <c r="C376" s="2" t="s">
        <v>44</v>
      </c>
      <c r="D376" s="7" t="s">
        <v>118</v>
      </c>
      <c r="E376" s="1" t="n">
        <v>2</v>
      </c>
      <c r="F376" s="1" t="n">
        <f aca="false">Y376-X376</f>
        <v>5</v>
      </c>
      <c r="G376" s="1" t="n">
        <v>5</v>
      </c>
      <c r="H376" s="3" t="s">
        <v>72</v>
      </c>
      <c r="I376" s="3" t="s">
        <v>86</v>
      </c>
      <c r="J376" s="12" t="s">
        <v>134</v>
      </c>
      <c r="K376" s="2" t="str">
        <f aca="false">CONCATENATE(I376," ",J376)</f>
        <v>Haplodrassus umbratilis</v>
      </c>
      <c r="L376" s="3" t="n">
        <f aca="false">SUM(P376:U376)</f>
        <v>1</v>
      </c>
      <c r="M376" s="11" t="n">
        <f aca="false">(L376/(F376*G376)*25)*4</f>
        <v>4</v>
      </c>
      <c r="N376" s="1" t="s">
        <v>30</v>
      </c>
      <c r="O376" s="1" t="s">
        <v>31</v>
      </c>
      <c r="P376" s="1" t="n">
        <v>1</v>
      </c>
      <c r="Q376" s="1" t="n">
        <v>0</v>
      </c>
      <c r="R376" s="1" t="n">
        <v>0</v>
      </c>
      <c r="S376" s="1" t="n">
        <v>0</v>
      </c>
      <c r="T376" s="1" t="n">
        <v>0</v>
      </c>
      <c r="U376" s="1" t="n">
        <v>0</v>
      </c>
      <c r="V376" s="3" t="n">
        <f aca="false">SUM(P376:Q376)</f>
        <v>1</v>
      </c>
      <c r="W376" s="3" t="n">
        <f aca="false">SUM(R376:T376)</f>
        <v>0</v>
      </c>
      <c r="X376" s="10" t="n">
        <v>39970</v>
      </c>
      <c r="Y376" s="10" t="n">
        <v>39975</v>
      </c>
    </row>
    <row r="377" customFormat="false" ht="14.25" hidden="false" customHeight="false" outlineLevel="0" collapsed="false">
      <c r="A377" s="1" t="n">
        <v>2009</v>
      </c>
      <c r="B377" s="1" t="n">
        <v>1</v>
      </c>
      <c r="C377" s="2" t="s">
        <v>44</v>
      </c>
      <c r="D377" s="7" t="s">
        <v>118</v>
      </c>
      <c r="E377" s="1" t="n">
        <v>2</v>
      </c>
      <c r="F377" s="1" t="n">
        <f aca="false">Y377-X377</f>
        <v>5</v>
      </c>
      <c r="G377" s="1" t="n">
        <v>5</v>
      </c>
      <c r="H377" s="3" t="s">
        <v>48</v>
      </c>
      <c r="I377" s="3" t="s">
        <v>122</v>
      </c>
      <c r="J377" s="12" t="s">
        <v>123</v>
      </c>
      <c r="K377" s="2" t="str">
        <f aca="false">CONCATENATE(I377," ",J377)</f>
        <v>Xerolycosa nemoralis</v>
      </c>
      <c r="L377" s="3" t="n">
        <f aca="false">SUM(P377:U377)</f>
        <v>1</v>
      </c>
      <c r="M377" s="11" t="n">
        <f aca="false">(L377/(F377*G377)*25)*4</f>
        <v>4</v>
      </c>
      <c r="N377" s="1" t="s">
        <v>30</v>
      </c>
      <c r="O377" s="1" t="s">
        <v>31</v>
      </c>
      <c r="P377" s="1" t="n">
        <v>1</v>
      </c>
      <c r="Q377" s="1" t="n">
        <v>0</v>
      </c>
      <c r="R377" s="1" t="n">
        <v>0</v>
      </c>
      <c r="S377" s="1" t="n">
        <v>0</v>
      </c>
      <c r="T377" s="1" t="n">
        <v>0</v>
      </c>
      <c r="U377" s="1" t="n">
        <v>0</v>
      </c>
      <c r="V377" s="3" t="n">
        <f aca="false">SUM(P377:Q377)</f>
        <v>1</v>
      </c>
      <c r="W377" s="3" t="n">
        <f aca="false">SUM(R377:T377)</f>
        <v>0</v>
      </c>
      <c r="X377" s="10" t="n">
        <v>39970</v>
      </c>
      <c r="Y377" s="10" t="n">
        <v>39975</v>
      </c>
    </row>
    <row r="378" customFormat="false" ht="14.25" hidden="false" customHeight="false" outlineLevel="0" collapsed="false">
      <c r="A378" s="1" t="n">
        <v>2009</v>
      </c>
      <c r="B378" s="1" t="n">
        <v>1</v>
      </c>
      <c r="C378" s="2" t="s">
        <v>44</v>
      </c>
      <c r="D378" s="7" t="s">
        <v>118</v>
      </c>
      <c r="E378" s="1" t="n">
        <v>2</v>
      </c>
      <c r="F378" s="1" t="n">
        <f aca="false">Y378-X378</f>
        <v>5</v>
      </c>
      <c r="G378" s="1" t="n">
        <v>5</v>
      </c>
      <c r="H378" s="3" t="s">
        <v>48</v>
      </c>
      <c r="I378" s="3" t="s">
        <v>122</v>
      </c>
      <c r="J378" s="12" t="s">
        <v>123</v>
      </c>
      <c r="K378" s="2" t="str">
        <f aca="false">CONCATENATE(I378," ",J378)</f>
        <v>Xerolycosa nemoralis</v>
      </c>
      <c r="L378" s="3" t="n">
        <f aca="false">SUM(P378:U378)</f>
        <v>3</v>
      </c>
      <c r="M378" s="11" t="n">
        <f aca="false">(L378/(F378*G378)*25)*4</f>
        <v>12</v>
      </c>
      <c r="N378" s="1" t="s">
        <v>30</v>
      </c>
      <c r="O378" s="1" t="s">
        <v>35</v>
      </c>
      <c r="P378" s="1" t="n">
        <v>0</v>
      </c>
      <c r="Q378" s="1" t="n">
        <v>3</v>
      </c>
      <c r="R378" s="1" t="n">
        <v>0</v>
      </c>
      <c r="S378" s="1" t="n">
        <v>0</v>
      </c>
      <c r="T378" s="1" t="n">
        <v>0</v>
      </c>
      <c r="U378" s="1" t="n">
        <v>0</v>
      </c>
      <c r="V378" s="3" t="n">
        <f aca="false">SUM(P378:Q378)</f>
        <v>3</v>
      </c>
      <c r="W378" s="3" t="n">
        <f aca="false">SUM(R378:T378)</f>
        <v>0</v>
      </c>
      <c r="X378" s="10" t="n">
        <v>39970</v>
      </c>
      <c r="Y378" s="10" t="n">
        <v>39975</v>
      </c>
    </row>
    <row r="379" customFormat="false" ht="14.25" hidden="false" customHeight="false" outlineLevel="0" collapsed="false">
      <c r="A379" s="1" t="n">
        <v>2009</v>
      </c>
      <c r="B379" s="1" t="n">
        <v>1</v>
      </c>
      <c r="C379" s="2" t="s">
        <v>44</v>
      </c>
      <c r="D379" s="7" t="s">
        <v>118</v>
      </c>
      <c r="E379" s="1" t="n">
        <v>2</v>
      </c>
      <c r="F379" s="1" t="n">
        <f aca="false">Y379-X379</f>
        <v>5</v>
      </c>
      <c r="G379" s="1" t="n">
        <v>5</v>
      </c>
      <c r="H379" s="3" t="s">
        <v>48</v>
      </c>
      <c r="I379" s="3" t="s">
        <v>67</v>
      </c>
      <c r="J379" s="12" t="s">
        <v>38</v>
      </c>
      <c r="K379" s="2" t="str">
        <f aca="false">CONCATENATE(I379," ",J379)</f>
        <v>Pardosa sp</v>
      </c>
      <c r="L379" s="3" t="n">
        <f aca="false">SUM(P379:U379)</f>
        <v>1</v>
      </c>
      <c r="M379" s="11" t="n">
        <f aca="false">(L379/(F379*G379)*25)*4</f>
        <v>4</v>
      </c>
      <c r="N379" s="15" t="s">
        <v>19</v>
      </c>
      <c r="O379" s="15" t="s">
        <v>35</v>
      </c>
      <c r="P379" s="1" t="n">
        <v>0</v>
      </c>
      <c r="Q379" s="1" t="n">
        <v>0</v>
      </c>
      <c r="R379" s="1" t="n">
        <v>0</v>
      </c>
      <c r="S379" s="1" t="n">
        <v>1</v>
      </c>
      <c r="T379" s="1" t="n">
        <v>0</v>
      </c>
      <c r="U379" s="1" t="n">
        <v>0</v>
      </c>
      <c r="V379" s="3" t="n">
        <f aca="false">SUM(P379:Q379)</f>
        <v>0</v>
      </c>
      <c r="W379" s="3" t="n">
        <f aca="false">SUM(R379:T379)</f>
        <v>1</v>
      </c>
      <c r="X379" s="10" t="n">
        <v>39970</v>
      </c>
      <c r="Y379" s="10" t="n">
        <v>39975</v>
      </c>
    </row>
    <row r="380" customFormat="false" ht="14.25" hidden="false" customHeight="false" outlineLevel="0" collapsed="false">
      <c r="A380" s="1" t="n">
        <v>2009</v>
      </c>
      <c r="B380" s="1" t="n">
        <v>1</v>
      </c>
      <c r="C380" s="2" t="s">
        <v>44</v>
      </c>
      <c r="D380" s="7" t="s">
        <v>118</v>
      </c>
      <c r="E380" s="1" t="n">
        <v>2</v>
      </c>
      <c r="F380" s="1" t="n">
        <f aca="false">Y380-X380</f>
        <v>5</v>
      </c>
      <c r="G380" s="1" t="n">
        <v>5</v>
      </c>
      <c r="H380" s="3" t="s">
        <v>48</v>
      </c>
      <c r="I380" s="3" t="s">
        <v>67</v>
      </c>
      <c r="J380" s="12" t="s">
        <v>127</v>
      </c>
      <c r="K380" s="2" t="str">
        <f aca="false">CONCATENATE(I380," ",J380)</f>
        <v>Pardosa lugubris</v>
      </c>
      <c r="L380" s="3" t="n">
        <f aca="false">SUM(P380:U380)</f>
        <v>2</v>
      </c>
      <c r="M380" s="11" t="n">
        <f aca="false">(L380/(F380*G380)*25)*4</f>
        <v>8</v>
      </c>
      <c r="N380" s="1" t="s">
        <v>30</v>
      </c>
      <c r="O380" s="1" t="s">
        <v>31</v>
      </c>
      <c r="P380" s="1" t="n">
        <v>2</v>
      </c>
      <c r="Q380" s="1" t="n">
        <v>0</v>
      </c>
      <c r="R380" s="1" t="n">
        <v>0</v>
      </c>
      <c r="S380" s="1" t="n">
        <v>0</v>
      </c>
      <c r="T380" s="1" t="n">
        <v>0</v>
      </c>
      <c r="U380" s="1" t="n">
        <v>0</v>
      </c>
      <c r="V380" s="3" t="n">
        <f aca="false">SUM(P380:Q380)</f>
        <v>2</v>
      </c>
      <c r="W380" s="3" t="n">
        <f aca="false">SUM(R380:T380)</f>
        <v>0</v>
      </c>
      <c r="X380" s="10" t="n">
        <v>39970</v>
      </c>
      <c r="Y380" s="10" t="n">
        <v>39975</v>
      </c>
    </row>
    <row r="381" customFormat="false" ht="14.25" hidden="false" customHeight="false" outlineLevel="0" collapsed="false">
      <c r="A381" s="1" t="n">
        <v>2009</v>
      </c>
      <c r="B381" s="1" t="n">
        <v>1</v>
      </c>
      <c r="C381" s="2" t="s">
        <v>44</v>
      </c>
      <c r="D381" s="7" t="s">
        <v>118</v>
      </c>
      <c r="E381" s="1" t="n">
        <v>2</v>
      </c>
      <c r="F381" s="1" t="n">
        <f aca="false">Y381-X381</f>
        <v>5</v>
      </c>
      <c r="G381" s="1" t="n">
        <v>5</v>
      </c>
      <c r="H381" s="3" t="s">
        <v>48</v>
      </c>
      <c r="I381" s="3" t="s">
        <v>61</v>
      </c>
      <c r="J381" s="12" t="s">
        <v>38</v>
      </c>
      <c r="K381" s="2" t="str">
        <f aca="false">CONCATENATE(I381," ",J381)</f>
        <v>Trochosa sp</v>
      </c>
      <c r="L381" s="3" t="n">
        <f aca="false">SUM(P381:U381)</f>
        <v>1</v>
      </c>
      <c r="M381" s="11" t="n">
        <f aca="false">(L381/(F381*G381)*25)*4</f>
        <v>4</v>
      </c>
      <c r="N381" s="1" t="s">
        <v>19</v>
      </c>
      <c r="O381" s="1" t="s">
        <v>54</v>
      </c>
      <c r="P381" s="1" t="n">
        <v>0</v>
      </c>
      <c r="Q381" s="1" t="n">
        <v>0</v>
      </c>
      <c r="R381" s="1" t="n">
        <v>0</v>
      </c>
      <c r="S381" s="1" t="n">
        <v>0</v>
      </c>
      <c r="T381" s="1" t="n">
        <v>1</v>
      </c>
      <c r="U381" s="1" t="n">
        <v>0</v>
      </c>
      <c r="V381" s="3" t="n">
        <f aca="false">SUM(P381:Q381)</f>
        <v>0</v>
      </c>
      <c r="W381" s="3" t="n">
        <f aca="false">SUM(R381:T381)</f>
        <v>1</v>
      </c>
      <c r="X381" s="10" t="n">
        <v>39970</v>
      </c>
      <c r="Y381" s="10" t="n">
        <v>39975</v>
      </c>
    </row>
    <row r="382" customFormat="false" ht="14.25" hidden="false" customHeight="false" outlineLevel="0" collapsed="false">
      <c r="A382" s="1" t="n">
        <v>2009</v>
      </c>
      <c r="B382" s="1" t="n">
        <v>1</v>
      </c>
      <c r="C382" s="2" t="s">
        <v>44</v>
      </c>
      <c r="D382" s="7" t="s">
        <v>118</v>
      </c>
      <c r="E382" s="1" t="n">
        <v>2</v>
      </c>
      <c r="F382" s="1" t="n">
        <f aca="false">Y382-X382</f>
        <v>5</v>
      </c>
      <c r="G382" s="1" t="n">
        <v>5</v>
      </c>
      <c r="H382" s="3" t="s">
        <v>32</v>
      </c>
      <c r="I382" s="3" t="s">
        <v>154</v>
      </c>
      <c r="J382" s="3" t="s">
        <v>155</v>
      </c>
      <c r="K382" s="2" t="str">
        <f aca="false">CONCATENATE(I382," ",J382)</f>
        <v>Pocadicnemis pumila</v>
      </c>
      <c r="L382" s="3" t="n">
        <f aca="false">SUM(P382:U382)</f>
        <v>1</v>
      </c>
      <c r="M382" s="11" t="n">
        <f aca="false">(L382/(F382*G382)*25)*4</f>
        <v>4</v>
      </c>
      <c r="N382" s="1" t="s">
        <v>30</v>
      </c>
      <c r="O382" s="1" t="s">
        <v>35</v>
      </c>
      <c r="P382" s="1" t="n">
        <v>0</v>
      </c>
      <c r="Q382" s="1" t="n">
        <v>1</v>
      </c>
      <c r="R382" s="1" t="n">
        <v>0</v>
      </c>
      <c r="S382" s="1" t="n">
        <v>0</v>
      </c>
      <c r="T382" s="1" t="n">
        <v>0</v>
      </c>
      <c r="U382" s="1" t="n">
        <v>0</v>
      </c>
      <c r="V382" s="3" t="n">
        <f aca="false">SUM(P382:Q382)</f>
        <v>1</v>
      </c>
      <c r="W382" s="3" t="n">
        <f aca="false">SUM(R382:T382)</f>
        <v>0</v>
      </c>
      <c r="X382" s="10" t="n">
        <v>39970</v>
      </c>
      <c r="Y382" s="10" t="n">
        <v>39975</v>
      </c>
    </row>
    <row r="383" customFormat="false" ht="14.25" hidden="false" customHeight="false" outlineLevel="0" collapsed="false">
      <c r="A383" s="1" t="n">
        <v>2009</v>
      </c>
      <c r="B383" s="1" t="n">
        <v>1</v>
      </c>
      <c r="C383" s="2" t="s">
        <v>44</v>
      </c>
      <c r="D383" s="7" t="s">
        <v>118</v>
      </c>
      <c r="E383" s="1" t="n">
        <v>3</v>
      </c>
      <c r="F383" s="1" t="n">
        <f aca="false">Y383-X383</f>
        <v>5</v>
      </c>
      <c r="G383" s="1" t="n">
        <v>5</v>
      </c>
      <c r="H383" s="3" t="s">
        <v>48</v>
      </c>
      <c r="I383" s="3" t="s">
        <v>49</v>
      </c>
      <c r="J383" s="12" t="s">
        <v>119</v>
      </c>
      <c r="K383" s="2" t="str">
        <f aca="false">CONCATENATE(I383," ",J383)</f>
        <v>Alopecosa sulzeri</v>
      </c>
      <c r="L383" s="3" t="n">
        <f aca="false">SUM(P383:U383)</f>
        <v>3</v>
      </c>
      <c r="M383" s="11" t="n">
        <f aca="false">(L383/(F383*G383)*25)*4</f>
        <v>12</v>
      </c>
      <c r="N383" s="1" t="s">
        <v>30</v>
      </c>
      <c r="O383" s="1" t="s">
        <v>31</v>
      </c>
      <c r="P383" s="1" t="n">
        <v>3</v>
      </c>
      <c r="Q383" s="1" t="n">
        <v>0</v>
      </c>
      <c r="R383" s="1" t="n">
        <v>0</v>
      </c>
      <c r="S383" s="1" t="n">
        <v>0</v>
      </c>
      <c r="T383" s="1" t="n">
        <v>0</v>
      </c>
      <c r="U383" s="1" t="n">
        <v>0</v>
      </c>
      <c r="V383" s="3" t="n">
        <f aca="false">SUM(P383:Q383)</f>
        <v>3</v>
      </c>
      <c r="W383" s="3" t="n">
        <f aca="false">SUM(R383:T383)</f>
        <v>0</v>
      </c>
      <c r="X383" s="10" t="n">
        <v>39970</v>
      </c>
      <c r="Y383" s="10" t="n">
        <v>39975</v>
      </c>
    </row>
    <row r="384" customFormat="false" ht="14.25" hidden="false" customHeight="false" outlineLevel="0" collapsed="false">
      <c r="A384" s="1" t="n">
        <v>2009</v>
      </c>
      <c r="B384" s="1" t="n">
        <v>1</v>
      </c>
      <c r="C384" s="2" t="s">
        <v>44</v>
      </c>
      <c r="D384" s="7" t="s">
        <v>118</v>
      </c>
      <c r="E384" s="1" t="n">
        <v>3</v>
      </c>
      <c r="F384" s="1" t="n">
        <f aca="false">Y384-X384</f>
        <v>5</v>
      </c>
      <c r="G384" s="1" t="n">
        <v>5</v>
      </c>
      <c r="H384" s="3" t="s">
        <v>48</v>
      </c>
      <c r="I384" s="3" t="s">
        <v>49</v>
      </c>
      <c r="J384" s="12" t="s">
        <v>119</v>
      </c>
      <c r="K384" s="2" t="str">
        <f aca="false">CONCATENATE(I384," ",J384)</f>
        <v>Alopecosa sulzeri</v>
      </c>
      <c r="L384" s="3" t="n">
        <f aca="false">SUM(P384:U384)</f>
        <v>1</v>
      </c>
      <c r="M384" s="11" t="n">
        <f aca="false">(L384/(F384*G384)*25)*4</f>
        <v>4</v>
      </c>
      <c r="N384" s="1" t="s">
        <v>30</v>
      </c>
      <c r="O384" s="1" t="s">
        <v>35</v>
      </c>
      <c r="P384" s="1" t="n">
        <v>0</v>
      </c>
      <c r="Q384" s="1" t="n">
        <v>1</v>
      </c>
      <c r="R384" s="1" t="n">
        <v>0</v>
      </c>
      <c r="S384" s="1" t="n">
        <v>0</v>
      </c>
      <c r="T384" s="1" t="n">
        <v>0</v>
      </c>
      <c r="U384" s="1" t="n">
        <v>0</v>
      </c>
      <c r="V384" s="3" t="n">
        <f aca="false">SUM(P384:Q384)</f>
        <v>1</v>
      </c>
      <c r="W384" s="3" t="n">
        <f aca="false">SUM(R384:T384)</f>
        <v>0</v>
      </c>
      <c r="X384" s="10" t="n">
        <v>39970</v>
      </c>
      <c r="Y384" s="10" t="n">
        <v>39975</v>
      </c>
    </row>
    <row r="385" customFormat="false" ht="14.25" hidden="false" customHeight="false" outlineLevel="0" collapsed="false">
      <c r="A385" s="1" t="n">
        <v>2009</v>
      </c>
      <c r="B385" s="1" t="n">
        <v>1</v>
      </c>
      <c r="C385" s="2" t="s">
        <v>44</v>
      </c>
      <c r="D385" s="7" t="s">
        <v>118</v>
      </c>
      <c r="E385" s="1" t="n">
        <v>3</v>
      </c>
      <c r="F385" s="1" t="n">
        <f aca="false">Y385-X385</f>
        <v>5</v>
      </c>
      <c r="G385" s="1" t="n">
        <v>5</v>
      </c>
      <c r="H385" s="3" t="s">
        <v>48</v>
      </c>
      <c r="I385" s="3" t="s">
        <v>49</v>
      </c>
      <c r="J385" s="8" t="s">
        <v>130</v>
      </c>
      <c r="K385" s="2" t="str">
        <f aca="false">CONCATENATE(I385," ",J385)</f>
        <v>Alopecosa aculeata</v>
      </c>
      <c r="L385" s="3" t="n">
        <f aca="false">SUM(P385:U385)</f>
        <v>2</v>
      </c>
      <c r="M385" s="11" t="n">
        <f aca="false">(L385/(F385*G385)*25)*4</f>
        <v>8</v>
      </c>
      <c r="N385" s="1" t="s">
        <v>30</v>
      </c>
      <c r="O385" s="1" t="s">
        <v>31</v>
      </c>
      <c r="P385" s="1" t="n">
        <v>2</v>
      </c>
      <c r="Q385" s="1" t="n">
        <v>0</v>
      </c>
      <c r="R385" s="1" t="n">
        <v>0</v>
      </c>
      <c r="S385" s="1" t="n">
        <v>0</v>
      </c>
      <c r="T385" s="1" t="n">
        <v>0</v>
      </c>
      <c r="U385" s="1" t="n">
        <v>0</v>
      </c>
      <c r="V385" s="3" t="n">
        <f aca="false">SUM(P385:Q385)</f>
        <v>2</v>
      </c>
      <c r="W385" s="3" t="n">
        <f aca="false">SUM(R385:T385)</f>
        <v>0</v>
      </c>
      <c r="X385" s="10" t="n">
        <v>39970</v>
      </c>
      <c r="Y385" s="10" t="n">
        <v>39975</v>
      </c>
    </row>
    <row r="386" customFormat="false" ht="14.25" hidden="false" customHeight="false" outlineLevel="0" collapsed="false">
      <c r="A386" s="1" t="n">
        <v>2009</v>
      </c>
      <c r="B386" s="1" t="n">
        <v>1</v>
      </c>
      <c r="C386" s="2" t="s">
        <v>44</v>
      </c>
      <c r="D386" s="7" t="s">
        <v>118</v>
      </c>
      <c r="E386" s="1" t="n">
        <v>3</v>
      </c>
      <c r="F386" s="1" t="n">
        <f aca="false">Y386-X386</f>
        <v>5</v>
      </c>
      <c r="G386" s="1" t="n">
        <v>5</v>
      </c>
      <c r="H386" s="3" t="s">
        <v>72</v>
      </c>
      <c r="I386" s="3" t="s">
        <v>139</v>
      </c>
      <c r="J386" s="12" t="s">
        <v>140</v>
      </c>
      <c r="K386" s="2" t="str">
        <f aca="false">CONCATENATE(I386," ",J386)</f>
        <v>Gnaphosa muscorum</v>
      </c>
      <c r="L386" s="3" t="n">
        <f aca="false">SUM(P386:U386)</f>
        <v>1</v>
      </c>
      <c r="M386" s="11" t="n">
        <f aca="false">(L386/(F386*G386)*25)*4</f>
        <v>4</v>
      </c>
      <c r="N386" s="1" t="s">
        <v>30</v>
      </c>
      <c r="O386" s="1" t="s">
        <v>31</v>
      </c>
      <c r="P386" s="1" t="n">
        <v>1</v>
      </c>
      <c r="Q386" s="1" t="n">
        <v>0</v>
      </c>
      <c r="R386" s="1" t="n">
        <v>0</v>
      </c>
      <c r="S386" s="1" t="n">
        <v>0</v>
      </c>
      <c r="T386" s="1" t="n">
        <v>0</v>
      </c>
      <c r="U386" s="1" t="n">
        <v>0</v>
      </c>
      <c r="V386" s="3" t="n">
        <f aca="false">SUM(P386:Q386)</f>
        <v>1</v>
      </c>
      <c r="W386" s="3" t="n">
        <f aca="false">SUM(R386:T386)</f>
        <v>0</v>
      </c>
      <c r="X386" s="10" t="n">
        <v>39970</v>
      </c>
      <c r="Y386" s="10" t="n">
        <v>39975</v>
      </c>
    </row>
    <row r="387" customFormat="false" ht="14.25" hidden="false" customHeight="false" outlineLevel="0" collapsed="false">
      <c r="A387" s="1" t="n">
        <v>2009</v>
      </c>
      <c r="B387" s="1" t="n">
        <v>1</v>
      </c>
      <c r="C387" s="2" t="s">
        <v>44</v>
      </c>
      <c r="D387" s="7" t="s">
        <v>118</v>
      </c>
      <c r="E387" s="1" t="n">
        <v>3</v>
      </c>
      <c r="F387" s="1" t="n">
        <f aca="false">Y387-X387</f>
        <v>5</v>
      </c>
      <c r="G387" s="1" t="n">
        <v>5</v>
      </c>
      <c r="H387" s="3" t="s">
        <v>48</v>
      </c>
      <c r="I387" s="3" t="s">
        <v>122</v>
      </c>
      <c r="J387" s="12" t="s">
        <v>123</v>
      </c>
      <c r="K387" s="2" t="str">
        <f aca="false">CONCATENATE(I387," ",J387)</f>
        <v>Xerolycosa nemoralis</v>
      </c>
      <c r="L387" s="3" t="n">
        <f aca="false">SUM(P387:U387)</f>
        <v>16</v>
      </c>
      <c r="M387" s="11" t="n">
        <f aca="false">(L387/(F387*G387)*25)*4</f>
        <v>64</v>
      </c>
      <c r="N387" s="1" t="s">
        <v>30</v>
      </c>
      <c r="O387" s="1" t="s">
        <v>31</v>
      </c>
      <c r="P387" s="1" t="n">
        <v>16</v>
      </c>
      <c r="Q387" s="1" t="n">
        <v>0</v>
      </c>
      <c r="R387" s="1" t="n">
        <v>0</v>
      </c>
      <c r="S387" s="1" t="n">
        <v>0</v>
      </c>
      <c r="T387" s="1" t="n">
        <v>0</v>
      </c>
      <c r="U387" s="1" t="n">
        <v>0</v>
      </c>
      <c r="V387" s="3" t="n">
        <f aca="false">SUM(P387:Q387)</f>
        <v>16</v>
      </c>
      <c r="W387" s="3" t="n">
        <f aca="false">SUM(R387:T387)</f>
        <v>0</v>
      </c>
      <c r="X387" s="10" t="n">
        <v>39970</v>
      </c>
      <c r="Y387" s="10" t="n">
        <v>39975</v>
      </c>
    </row>
    <row r="388" customFormat="false" ht="14.25" hidden="false" customHeight="false" outlineLevel="0" collapsed="false">
      <c r="A388" s="1" t="n">
        <v>2009</v>
      </c>
      <c r="B388" s="1" t="n">
        <v>1</v>
      </c>
      <c r="C388" s="2" t="s">
        <v>44</v>
      </c>
      <c r="D388" s="7" t="s">
        <v>118</v>
      </c>
      <c r="E388" s="1" t="n">
        <v>3</v>
      </c>
      <c r="F388" s="1" t="n">
        <f aca="false">Y388-X388</f>
        <v>5</v>
      </c>
      <c r="G388" s="1" t="n">
        <v>5</v>
      </c>
      <c r="H388" s="3" t="s">
        <v>48</v>
      </c>
      <c r="I388" s="3" t="s">
        <v>122</v>
      </c>
      <c r="J388" s="12" t="s">
        <v>123</v>
      </c>
      <c r="K388" s="2" t="str">
        <f aca="false">CONCATENATE(I388," ",J388)</f>
        <v>Xerolycosa nemoralis</v>
      </c>
      <c r="L388" s="3" t="n">
        <f aca="false">SUM(P388:U388)</f>
        <v>1</v>
      </c>
      <c r="M388" s="11" t="n">
        <f aca="false">(L388/(F388*G388)*25)*4</f>
        <v>4</v>
      </c>
      <c r="N388" s="1" t="s">
        <v>30</v>
      </c>
      <c r="O388" s="1" t="s">
        <v>35</v>
      </c>
      <c r="P388" s="1" t="n">
        <v>0</v>
      </c>
      <c r="Q388" s="1" t="n">
        <v>1</v>
      </c>
      <c r="R388" s="1" t="n">
        <v>0</v>
      </c>
      <c r="S388" s="1" t="n">
        <v>0</v>
      </c>
      <c r="T388" s="1" t="n">
        <v>0</v>
      </c>
      <c r="U388" s="1" t="n">
        <v>0</v>
      </c>
      <c r="V388" s="3" t="n">
        <f aca="false">SUM(P388:Q388)</f>
        <v>1</v>
      </c>
      <c r="W388" s="3" t="n">
        <f aca="false">SUM(R388:T388)</f>
        <v>0</v>
      </c>
      <c r="X388" s="10" t="n">
        <v>39970</v>
      </c>
      <c r="Y388" s="10" t="n">
        <v>39975</v>
      </c>
    </row>
    <row r="389" customFormat="false" ht="14.25" hidden="false" customHeight="false" outlineLevel="0" collapsed="false">
      <c r="A389" s="1" t="n">
        <v>2009</v>
      </c>
      <c r="B389" s="1" t="n">
        <v>1</v>
      </c>
      <c r="C389" s="2" t="s">
        <v>44</v>
      </c>
      <c r="D389" s="7" t="s">
        <v>118</v>
      </c>
      <c r="E389" s="1" t="n">
        <v>3</v>
      </c>
      <c r="F389" s="1" t="n">
        <f aca="false">Y389-X389</f>
        <v>5</v>
      </c>
      <c r="G389" s="1" t="n">
        <v>5</v>
      </c>
      <c r="H389" s="3" t="s">
        <v>48</v>
      </c>
      <c r="I389" s="3" t="s">
        <v>67</v>
      </c>
      <c r="J389" s="12" t="s">
        <v>127</v>
      </c>
      <c r="K389" s="2" t="str">
        <f aca="false">CONCATENATE(I389," ",J389)</f>
        <v>Pardosa lugubris</v>
      </c>
      <c r="L389" s="3" t="n">
        <f aca="false">SUM(P389:U389)</f>
        <v>1</v>
      </c>
      <c r="M389" s="11" t="n">
        <f aca="false">(L389/(F389*G389)*25)*4</f>
        <v>4</v>
      </c>
      <c r="N389" s="1" t="s">
        <v>30</v>
      </c>
      <c r="O389" s="1" t="s">
        <v>31</v>
      </c>
      <c r="P389" s="1" t="n">
        <v>1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3" t="n">
        <f aca="false">SUM(P389:Q389)</f>
        <v>1</v>
      </c>
      <c r="W389" s="3" t="n">
        <f aca="false">SUM(R389:T389)</f>
        <v>0</v>
      </c>
      <c r="X389" s="10" t="n">
        <v>39970</v>
      </c>
      <c r="Y389" s="10" t="n">
        <v>39975</v>
      </c>
    </row>
    <row r="390" customFormat="false" ht="14.25" hidden="false" customHeight="false" outlineLevel="0" collapsed="false">
      <c r="A390" s="1" t="n">
        <v>2009</v>
      </c>
      <c r="B390" s="1" t="n">
        <v>1</v>
      </c>
      <c r="C390" s="2" t="s">
        <v>44</v>
      </c>
      <c r="D390" s="7" t="s">
        <v>118</v>
      </c>
      <c r="E390" s="1" t="n">
        <v>3</v>
      </c>
      <c r="F390" s="1" t="n">
        <f aca="false">Y390-X390</f>
        <v>5</v>
      </c>
      <c r="G390" s="1" t="n">
        <v>5</v>
      </c>
      <c r="H390" s="3" t="s">
        <v>72</v>
      </c>
      <c r="I390" s="3" t="s">
        <v>86</v>
      </c>
      <c r="J390" s="12" t="s">
        <v>134</v>
      </c>
      <c r="K390" s="2" t="str">
        <f aca="false">CONCATENATE(I390," ",J390)</f>
        <v>Haplodrassus umbratilis</v>
      </c>
      <c r="L390" s="3" t="n">
        <f aca="false">SUM(P390:U390)</f>
        <v>1</v>
      </c>
      <c r="M390" s="11" t="n">
        <f aca="false">(L390/(F390*G390)*25)*4</f>
        <v>4</v>
      </c>
      <c r="N390" s="1" t="s">
        <v>30</v>
      </c>
      <c r="O390" s="1" t="s">
        <v>31</v>
      </c>
      <c r="P390" s="1" t="n">
        <v>1</v>
      </c>
      <c r="Q390" s="1" t="n">
        <v>0</v>
      </c>
      <c r="R390" s="1" t="n">
        <v>0</v>
      </c>
      <c r="S390" s="1" t="n">
        <v>0</v>
      </c>
      <c r="T390" s="1" t="n">
        <v>0</v>
      </c>
      <c r="U390" s="1" t="n">
        <v>0</v>
      </c>
      <c r="V390" s="3" t="n">
        <f aca="false">SUM(P390:Q390)</f>
        <v>1</v>
      </c>
      <c r="W390" s="3" t="n">
        <f aca="false">SUM(R390:T390)</f>
        <v>0</v>
      </c>
      <c r="X390" s="10" t="n">
        <v>39970</v>
      </c>
      <c r="Y390" s="10" t="n">
        <v>39975</v>
      </c>
    </row>
    <row r="391" customFormat="false" ht="14.25" hidden="false" customHeight="false" outlineLevel="0" collapsed="false">
      <c r="A391" s="1" t="n">
        <v>2009</v>
      </c>
      <c r="B391" s="1" t="n">
        <v>1</v>
      </c>
      <c r="C391" s="2" t="s">
        <v>44</v>
      </c>
      <c r="D391" s="7" t="s">
        <v>118</v>
      </c>
      <c r="E391" s="1" t="n">
        <v>3</v>
      </c>
      <c r="F391" s="1" t="n">
        <f aca="false">Y391-X391</f>
        <v>5</v>
      </c>
      <c r="G391" s="1" t="n">
        <v>5</v>
      </c>
      <c r="H391" s="3" t="s">
        <v>48</v>
      </c>
      <c r="I391" s="3" t="s">
        <v>67</v>
      </c>
      <c r="J391" s="12" t="s">
        <v>38</v>
      </c>
      <c r="K391" s="2" t="str">
        <f aca="false">CONCATENATE(I391," ",J391)</f>
        <v>Pardosa sp</v>
      </c>
      <c r="L391" s="3" t="n">
        <f aca="false">SUM(P391:U391)</f>
        <v>1</v>
      </c>
      <c r="M391" s="11" t="n">
        <f aca="false">(L391/(F391*G391)*25)*4</f>
        <v>4</v>
      </c>
      <c r="N391" s="1" t="s">
        <v>19</v>
      </c>
      <c r="O391" s="1" t="s">
        <v>54</v>
      </c>
      <c r="P391" s="1" t="n">
        <v>0</v>
      </c>
      <c r="Q391" s="1" t="n">
        <v>0</v>
      </c>
      <c r="R391" s="1" t="n">
        <v>0</v>
      </c>
      <c r="S391" s="1" t="n">
        <v>0</v>
      </c>
      <c r="T391" s="1" t="n">
        <v>1</v>
      </c>
      <c r="U391" s="1" t="n">
        <v>0</v>
      </c>
      <c r="V391" s="3" t="n">
        <f aca="false">SUM(P391:Q391)</f>
        <v>0</v>
      </c>
      <c r="W391" s="3" t="n">
        <f aca="false">SUM(R391:T391)</f>
        <v>1</v>
      </c>
      <c r="X391" s="10" t="n">
        <v>39970</v>
      </c>
      <c r="Y391" s="10" t="n">
        <v>39975</v>
      </c>
    </row>
    <row r="392" customFormat="false" ht="14.25" hidden="false" customHeight="false" outlineLevel="0" collapsed="false">
      <c r="A392" s="1" t="n">
        <v>2009</v>
      </c>
      <c r="B392" s="1" t="n">
        <v>1</v>
      </c>
      <c r="C392" s="2" t="s">
        <v>44</v>
      </c>
      <c r="D392" s="7" t="s">
        <v>118</v>
      </c>
      <c r="E392" s="1" t="n">
        <v>1</v>
      </c>
      <c r="F392" s="1" t="n">
        <f aca="false">Y392-X392</f>
        <v>5</v>
      </c>
      <c r="G392" s="1" t="n">
        <v>5</v>
      </c>
      <c r="H392" s="3" t="s">
        <v>72</v>
      </c>
      <c r="I392" s="3" t="s">
        <v>139</v>
      </c>
      <c r="J392" s="12" t="s">
        <v>140</v>
      </c>
      <c r="K392" s="2" t="str">
        <f aca="false">CONCATENATE(I392," ",J392)</f>
        <v>Gnaphosa muscorum</v>
      </c>
      <c r="L392" s="3" t="n">
        <f aca="false">SUM(P392:U392)</f>
        <v>4</v>
      </c>
      <c r="M392" s="11" t="n">
        <f aca="false">(L392/(F392*G392)*25)*4</f>
        <v>16</v>
      </c>
      <c r="N392" s="1" t="s">
        <v>30</v>
      </c>
      <c r="O392" s="1" t="s">
        <v>31</v>
      </c>
      <c r="P392" s="1" t="n">
        <v>4</v>
      </c>
      <c r="Q392" s="1" t="n">
        <v>0</v>
      </c>
      <c r="R392" s="1" t="n">
        <v>0</v>
      </c>
      <c r="S392" s="1" t="n">
        <v>0</v>
      </c>
      <c r="T392" s="1" t="n">
        <v>0</v>
      </c>
      <c r="U392" s="1" t="n">
        <v>0</v>
      </c>
      <c r="V392" s="3" t="n">
        <f aca="false">SUM(P392:Q392)</f>
        <v>4</v>
      </c>
      <c r="W392" s="3" t="n">
        <f aca="false">SUM(R392:T392)</f>
        <v>0</v>
      </c>
      <c r="X392" s="10" t="n">
        <v>39970</v>
      </c>
      <c r="Y392" s="10" t="n">
        <v>39975</v>
      </c>
    </row>
    <row r="393" customFormat="false" ht="14.25" hidden="false" customHeight="false" outlineLevel="0" collapsed="false">
      <c r="A393" s="1" t="n">
        <v>2009</v>
      </c>
      <c r="B393" s="1" t="n">
        <v>1</v>
      </c>
      <c r="C393" s="2" t="s">
        <v>44</v>
      </c>
      <c r="D393" s="7" t="s">
        <v>118</v>
      </c>
      <c r="E393" s="1" t="n">
        <v>1</v>
      </c>
      <c r="F393" s="1" t="n">
        <f aca="false">Y393-X393</f>
        <v>5</v>
      </c>
      <c r="G393" s="1" t="n">
        <v>5</v>
      </c>
      <c r="H393" s="3" t="s">
        <v>48</v>
      </c>
      <c r="I393" s="3" t="s">
        <v>49</v>
      </c>
      <c r="J393" s="12" t="s">
        <v>119</v>
      </c>
      <c r="K393" s="2" t="str">
        <f aca="false">CONCATENATE(I393," ",J393)</f>
        <v>Alopecosa sulzeri</v>
      </c>
      <c r="L393" s="3" t="n">
        <f aca="false">SUM(P393:U393)</f>
        <v>1</v>
      </c>
      <c r="M393" s="11" t="n">
        <f aca="false">(L393/(F393*G393)*25)*4</f>
        <v>4</v>
      </c>
      <c r="N393" s="1" t="s">
        <v>30</v>
      </c>
      <c r="O393" s="1" t="s">
        <v>31</v>
      </c>
      <c r="P393" s="1" t="n">
        <v>1</v>
      </c>
      <c r="Q393" s="1" t="n">
        <v>0</v>
      </c>
      <c r="R393" s="1" t="n">
        <v>0</v>
      </c>
      <c r="S393" s="1" t="n">
        <v>0</v>
      </c>
      <c r="T393" s="1" t="n">
        <v>0</v>
      </c>
      <c r="U393" s="1" t="n">
        <v>0</v>
      </c>
      <c r="V393" s="3" t="n">
        <f aca="false">SUM(P393:Q393)</f>
        <v>1</v>
      </c>
      <c r="W393" s="3" t="n">
        <f aca="false">SUM(R393:T393)</f>
        <v>0</v>
      </c>
      <c r="X393" s="10" t="n">
        <v>39970</v>
      </c>
      <c r="Y393" s="10" t="n">
        <v>39975</v>
      </c>
    </row>
    <row r="394" customFormat="false" ht="14.25" hidden="false" customHeight="false" outlineLevel="0" collapsed="false">
      <c r="A394" s="1" t="n">
        <v>2009</v>
      </c>
      <c r="B394" s="1" t="n">
        <v>1</v>
      </c>
      <c r="C394" s="2" t="s">
        <v>44</v>
      </c>
      <c r="D394" s="7" t="s">
        <v>118</v>
      </c>
      <c r="E394" s="1" t="n">
        <v>1</v>
      </c>
      <c r="F394" s="1" t="n">
        <f aca="false">Y394-X394</f>
        <v>5</v>
      </c>
      <c r="G394" s="1" t="n">
        <v>5</v>
      </c>
      <c r="H394" s="3" t="s">
        <v>48</v>
      </c>
      <c r="I394" s="3" t="s">
        <v>49</v>
      </c>
      <c r="J394" s="12" t="s">
        <v>119</v>
      </c>
      <c r="K394" s="2" t="str">
        <f aca="false">CONCATENATE(I394," ",J394)</f>
        <v>Alopecosa sulzeri</v>
      </c>
      <c r="L394" s="3" t="n">
        <f aca="false">SUM(P394:U394)</f>
        <v>1</v>
      </c>
      <c r="M394" s="11" t="n">
        <f aca="false">(L394/(F394*G394)*25)*4</f>
        <v>4</v>
      </c>
      <c r="N394" s="1" t="s">
        <v>30</v>
      </c>
      <c r="O394" s="1" t="s">
        <v>35</v>
      </c>
      <c r="P394" s="1" t="n">
        <v>0</v>
      </c>
      <c r="Q394" s="1" t="n">
        <v>1</v>
      </c>
      <c r="R394" s="1" t="n">
        <v>0</v>
      </c>
      <c r="S394" s="1" t="n">
        <v>0</v>
      </c>
      <c r="T394" s="1" t="n">
        <v>0</v>
      </c>
      <c r="U394" s="1" t="n">
        <v>0</v>
      </c>
      <c r="V394" s="3" t="n">
        <f aca="false">SUM(P394:Q394)</f>
        <v>1</v>
      </c>
      <c r="W394" s="3" t="n">
        <f aca="false">SUM(R394:T394)</f>
        <v>0</v>
      </c>
      <c r="X394" s="10" t="n">
        <v>39970</v>
      </c>
      <c r="Y394" s="10" t="n">
        <v>39975</v>
      </c>
    </row>
    <row r="395" customFormat="false" ht="14.25" hidden="false" customHeight="false" outlineLevel="0" collapsed="false">
      <c r="A395" s="1" t="n">
        <v>2009</v>
      </c>
      <c r="B395" s="1" t="n">
        <v>1</v>
      </c>
      <c r="C395" s="2" t="s">
        <v>44</v>
      </c>
      <c r="D395" s="7" t="s">
        <v>118</v>
      </c>
      <c r="E395" s="1" t="n">
        <v>1</v>
      </c>
      <c r="F395" s="1" t="n">
        <f aca="false">Y395-X395</f>
        <v>5</v>
      </c>
      <c r="G395" s="1" t="n">
        <v>5</v>
      </c>
      <c r="H395" s="3" t="s">
        <v>48</v>
      </c>
      <c r="I395" s="3" t="s">
        <v>49</v>
      </c>
      <c r="J395" s="8" t="s">
        <v>130</v>
      </c>
      <c r="K395" s="2" t="str">
        <f aca="false">CONCATENATE(I395," ",J395)</f>
        <v>Alopecosa aculeata</v>
      </c>
      <c r="L395" s="3" t="n">
        <f aca="false">SUM(P395:U395)</f>
        <v>1</v>
      </c>
      <c r="M395" s="11" t="n">
        <f aca="false">(L395/(F395*G395)*25)*4</f>
        <v>4</v>
      </c>
      <c r="N395" s="1" t="s">
        <v>30</v>
      </c>
      <c r="O395" s="1" t="s">
        <v>31</v>
      </c>
      <c r="P395" s="1" t="n">
        <v>1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3" t="n">
        <f aca="false">SUM(P395:Q395)</f>
        <v>1</v>
      </c>
      <c r="W395" s="3" t="n">
        <f aca="false">SUM(R395:T395)</f>
        <v>0</v>
      </c>
      <c r="X395" s="10" t="n">
        <v>39970</v>
      </c>
      <c r="Y395" s="10" t="n">
        <v>39975</v>
      </c>
    </row>
    <row r="396" customFormat="false" ht="14.25" hidden="false" customHeight="false" outlineLevel="0" collapsed="false">
      <c r="A396" s="1" t="n">
        <v>2009</v>
      </c>
      <c r="B396" s="1" t="n">
        <v>1</v>
      </c>
      <c r="C396" s="2" t="s">
        <v>44</v>
      </c>
      <c r="D396" s="7" t="s">
        <v>118</v>
      </c>
      <c r="E396" s="1" t="n">
        <v>1</v>
      </c>
      <c r="F396" s="1" t="n">
        <f aca="false">Y396-X396</f>
        <v>5</v>
      </c>
      <c r="G396" s="1" t="n">
        <v>5</v>
      </c>
      <c r="H396" s="3" t="s">
        <v>48</v>
      </c>
      <c r="I396" s="3" t="s">
        <v>49</v>
      </c>
      <c r="J396" s="8" t="s">
        <v>130</v>
      </c>
      <c r="K396" s="2" t="str">
        <f aca="false">CONCATENATE(I396," ",J396)</f>
        <v>Alopecosa aculeata</v>
      </c>
      <c r="L396" s="3" t="n">
        <f aca="false">SUM(P396:U396)</f>
        <v>1</v>
      </c>
      <c r="M396" s="11" t="n">
        <f aca="false">(L396/(F396*G396)*25)*4</f>
        <v>4</v>
      </c>
      <c r="N396" s="1" t="s">
        <v>30</v>
      </c>
      <c r="O396" s="1" t="s">
        <v>35</v>
      </c>
      <c r="P396" s="1" t="n">
        <v>0</v>
      </c>
      <c r="Q396" s="1" t="n">
        <v>1</v>
      </c>
      <c r="R396" s="1" t="n">
        <v>0</v>
      </c>
      <c r="S396" s="1" t="n">
        <v>0</v>
      </c>
      <c r="T396" s="1" t="n">
        <v>0</v>
      </c>
      <c r="U396" s="1" t="n">
        <v>0</v>
      </c>
      <c r="V396" s="3" t="n">
        <f aca="false">SUM(P396:Q396)</f>
        <v>1</v>
      </c>
      <c r="W396" s="3" t="n">
        <f aca="false">SUM(R396:T396)</f>
        <v>0</v>
      </c>
      <c r="X396" s="10" t="n">
        <v>39970</v>
      </c>
      <c r="Y396" s="10" t="n">
        <v>39975</v>
      </c>
    </row>
    <row r="397" customFormat="false" ht="14.25" hidden="false" customHeight="false" outlineLevel="0" collapsed="false">
      <c r="A397" s="1" t="n">
        <v>2009</v>
      </c>
      <c r="B397" s="1" t="n">
        <v>1</v>
      </c>
      <c r="C397" s="2" t="s">
        <v>44</v>
      </c>
      <c r="D397" s="7" t="s">
        <v>118</v>
      </c>
      <c r="E397" s="1" t="n">
        <v>1</v>
      </c>
      <c r="F397" s="1" t="n">
        <f aca="false">Y397-X397</f>
        <v>5</v>
      </c>
      <c r="G397" s="1" t="n">
        <v>5</v>
      </c>
      <c r="H397" s="3" t="s">
        <v>48</v>
      </c>
      <c r="I397" s="3" t="s">
        <v>49</v>
      </c>
      <c r="J397" s="12" t="s">
        <v>130</v>
      </c>
      <c r="K397" s="2" t="str">
        <f aca="false">CONCATENATE(I397," ",J397)</f>
        <v>Alopecosa aculeata</v>
      </c>
      <c r="L397" s="3" t="n">
        <f aca="false">SUM(P397:U397)</f>
        <v>1</v>
      </c>
      <c r="M397" s="11" t="n">
        <f aca="false">(L397/(F397*G397)*25)*4</f>
        <v>4</v>
      </c>
      <c r="N397" s="1" t="s">
        <v>30</v>
      </c>
      <c r="O397" s="1" t="s">
        <v>35</v>
      </c>
      <c r="P397" s="1" t="n">
        <v>0</v>
      </c>
      <c r="Q397" s="1" t="n">
        <v>1</v>
      </c>
      <c r="R397" s="1" t="n">
        <v>0</v>
      </c>
      <c r="S397" s="1" t="n">
        <v>0</v>
      </c>
      <c r="T397" s="1" t="n">
        <v>0</v>
      </c>
      <c r="U397" s="1" t="n">
        <v>0</v>
      </c>
      <c r="V397" s="3" t="n">
        <f aca="false">SUM(P397:Q397)</f>
        <v>1</v>
      </c>
      <c r="W397" s="3" t="n">
        <f aca="false">SUM(R397:T397)</f>
        <v>0</v>
      </c>
      <c r="X397" s="10" t="n">
        <v>39970</v>
      </c>
      <c r="Y397" s="10" t="n">
        <v>39975</v>
      </c>
    </row>
    <row r="398" customFormat="false" ht="14.25" hidden="false" customHeight="false" outlineLevel="0" collapsed="false">
      <c r="A398" s="1" t="n">
        <v>2009</v>
      </c>
      <c r="B398" s="1" t="n">
        <v>1</v>
      </c>
      <c r="C398" s="2" t="s">
        <v>44</v>
      </c>
      <c r="D398" s="7" t="s">
        <v>118</v>
      </c>
      <c r="E398" s="1" t="n">
        <v>1</v>
      </c>
      <c r="F398" s="1" t="n">
        <f aca="false">Y398-X398</f>
        <v>5</v>
      </c>
      <c r="G398" s="1" t="n">
        <v>5</v>
      </c>
      <c r="H398" s="3" t="s">
        <v>72</v>
      </c>
      <c r="I398" s="3" t="s">
        <v>152</v>
      </c>
      <c r="J398" s="8" t="s">
        <v>153</v>
      </c>
      <c r="K398" s="2" t="str">
        <f aca="false">CONCATENATE(I398," ",J398)</f>
        <v>Callilepis nocturna</v>
      </c>
      <c r="L398" s="3" t="n">
        <f aca="false">SUM(P398:U398)</f>
        <v>1</v>
      </c>
      <c r="M398" s="11" t="n">
        <f aca="false">(L398/(F398*G398)*25)*4</f>
        <v>4</v>
      </c>
      <c r="N398" s="1" t="s">
        <v>30</v>
      </c>
      <c r="O398" s="1" t="s">
        <v>31</v>
      </c>
      <c r="P398" s="1" t="n">
        <v>1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3" t="n">
        <f aca="false">SUM(P398:Q398)</f>
        <v>1</v>
      </c>
      <c r="W398" s="3" t="n">
        <f aca="false">SUM(R398:T398)</f>
        <v>0</v>
      </c>
      <c r="X398" s="10" t="n">
        <v>39970</v>
      </c>
      <c r="Y398" s="10" t="n">
        <v>39975</v>
      </c>
    </row>
    <row r="399" customFormat="false" ht="14.25" hidden="false" customHeight="false" outlineLevel="0" collapsed="false">
      <c r="A399" s="1" t="n">
        <v>2009</v>
      </c>
      <c r="B399" s="1" t="n">
        <v>1</v>
      </c>
      <c r="C399" s="2" t="s">
        <v>44</v>
      </c>
      <c r="D399" s="7" t="s">
        <v>118</v>
      </c>
      <c r="E399" s="1" t="n">
        <v>1</v>
      </c>
      <c r="F399" s="1" t="n">
        <f aca="false">Y399-X399</f>
        <v>5</v>
      </c>
      <c r="G399" s="1" t="n">
        <v>5</v>
      </c>
      <c r="H399" s="3" t="s">
        <v>48</v>
      </c>
      <c r="I399" s="3" t="s">
        <v>67</v>
      </c>
      <c r="J399" s="12" t="s">
        <v>127</v>
      </c>
      <c r="K399" s="2" t="str">
        <f aca="false">CONCATENATE(I399," ",J399)</f>
        <v>Pardosa lugubris</v>
      </c>
      <c r="L399" s="3" t="n">
        <f aca="false">SUM(P399:U399)</f>
        <v>1</v>
      </c>
      <c r="M399" s="11" t="n">
        <f aca="false">(L399/(F399*G399)*25)*4</f>
        <v>4</v>
      </c>
      <c r="N399" s="1" t="s">
        <v>30</v>
      </c>
      <c r="O399" s="1" t="s">
        <v>31</v>
      </c>
      <c r="P399" s="1" t="n">
        <v>1</v>
      </c>
      <c r="Q399" s="1" t="n">
        <v>0</v>
      </c>
      <c r="R399" s="1" t="n">
        <v>0</v>
      </c>
      <c r="S399" s="1" t="n">
        <v>0</v>
      </c>
      <c r="T399" s="1" t="n">
        <v>0</v>
      </c>
      <c r="U399" s="1" t="n">
        <v>0</v>
      </c>
      <c r="V399" s="3" t="n">
        <f aca="false">SUM(P399:Q399)</f>
        <v>1</v>
      </c>
      <c r="W399" s="3" t="n">
        <f aca="false">SUM(R399:T399)</f>
        <v>0</v>
      </c>
      <c r="X399" s="10" t="n">
        <v>39970</v>
      </c>
      <c r="Y399" s="10" t="n">
        <v>39975</v>
      </c>
    </row>
    <row r="400" customFormat="false" ht="14.25" hidden="false" customHeight="false" outlineLevel="0" collapsed="false">
      <c r="A400" s="1" t="n">
        <v>2009</v>
      </c>
      <c r="B400" s="1" t="n">
        <v>1</v>
      </c>
      <c r="C400" s="2" t="s">
        <v>44</v>
      </c>
      <c r="D400" s="7" t="s">
        <v>118</v>
      </c>
      <c r="E400" s="1" t="n">
        <v>1</v>
      </c>
      <c r="F400" s="1" t="n">
        <f aca="false">Y400-X400</f>
        <v>5</v>
      </c>
      <c r="G400" s="1" t="n">
        <v>5</v>
      </c>
      <c r="H400" s="3" t="s">
        <v>48</v>
      </c>
      <c r="I400" s="3" t="s">
        <v>122</v>
      </c>
      <c r="J400" s="12" t="s">
        <v>123</v>
      </c>
      <c r="K400" s="2" t="str">
        <f aca="false">CONCATENATE(I400," ",J400)</f>
        <v>Xerolycosa nemoralis</v>
      </c>
      <c r="L400" s="3" t="n">
        <f aca="false">SUM(P400:U400)</f>
        <v>1</v>
      </c>
      <c r="M400" s="11" t="n">
        <f aca="false">(L400/(F400*G400)*25)*4</f>
        <v>4</v>
      </c>
      <c r="N400" s="1" t="s">
        <v>30</v>
      </c>
      <c r="O400" s="1" t="s">
        <v>31</v>
      </c>
      <c r="P400" s="1" t="n">
        <v>1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0</v>
      </c>
      <c r="V400" s="3" t="n">
        <f aca="false">SUM(P400:Q400)</f>
        <v>1</v>
      </c>
      <c r="W400" s="3" t="n">
        <f aca="false">SUM(R400:T400)</f>
        <v>0</v>
      </c>
      <c r="X400" s="10" t="n">
        <v>39970</v>
      </c>
      <c r="Y400" s="10" t="n">
        <v>39975</v>
      </c>
    </row>
    <row r="401" customFormat="false" ht="14.25" hidden="false" customHeight="false" outlineLevel="0" collapsed="false">
      <c r="A401" s="1" t="n">
        <v>2009</v>
      </c>
      <c r="B401" s="1" t="n">
        <v>1</v>
      </c>
      <c r="C401" s="2" t="s">
        <v>44</v>
      </c>
      <c r="D401" s="7" t="s">
        <v>118</v>
      </c>
      <c r="E401" s="1" t="n">
        <v>1</v>
      </c>
      <c r="F401" s="1" t="n">
        <f aca="false">Y401-X401</f>
        <v>5</v>
      </c>
      <c r="G401" s="1" t="n">
        <v>5</v>
      </c>
      <c r="H401" s="13" t="s">
        <v>32</v>
      </c>
      <c r="I401" s="13" t="s">
        <v>156</v>
      </c>
      <c r="J401" s="14" t="s">
        <v>157</v>
      </c>
      <c r="K401" s="2" t="str">
        <f aca="false">CONCATENATE(I401," ",J401)</f>
        <v>Semljicola thaleri</v>
      </c>
      <c r="L401" s="3" t="n">
        <f aca="false">SUM(P401:U401)</f>
        <v>1</v>
      </c>
      <c r="M401" s="11" t="n">
        <f aca="false">(L401/(F401*G401)*25)*4</f>
        <v>4</v>
      </c>
      <c r="N401" s="1" t="s">
        <v>30</v>
      </c>
      <c r="O401" s="1" t="s">
        <v>35</v>
      </c>
      <c r="P401" s="1" t="n">
        <v>0</v>
      </c>
      <c r="Q401" s="1" t="n">
        <v>1</v>
      </c>
      <c r="R401" s="1" t="n">
        <v>0</v>
      </c>
      <c r="S401" s="1" t="n">
        <v>0</v>
      </c>
      <c r="T401" s="1" t="n">
        <v>0</v>
      </c>
      <c r="U401" s="1" t="n">
        <v>0</v>
      </c>
      <c r="V401" s="3" t="n">
        <f aca="false">SUM(P401:Q401)</f>
        <v>1</v>
      </c>
      <c r="W401" s="3" t="n">
        <f aca="false">SUM(R401:T401)</f>
        <v>0</v>
      </c>
      <c r="X401" s="10" t="n">
        <v>39970</v>
      </c>
      <c r="Y401" s="10" t="n">
        <v>39975</v>
      </c>
    </row>
    <row r="402" customFormat="false" ht="14.25" hidden="false" customHeight="false" outlineLevel="0" collapsed="false">
      <c r="A402" s="1" t="n">
        <v>2009</v>
      </c>
      <c r="B402" s="1" t="n">
        <v>1</v>
      </c>
      <c r="C402" s="2" t="s">
        <v>44</v>
      </c>
      <c r="D402" s="7" t="s">
        <v>118</v>
      </c>
      <c r="E402" s="1" t="n">
        <v>1</v>
      </c>
      <c r="F402" s="1" t="n">
        <f aca="false">Y402-X402</f>
        <v>5</v>
      </c>
      <c r="G402" s="1" t="n">
        <v>5</v>
      </c>
      <c r="H402" s="3" t="s">
        <v>48</v>
      </c>
      <c r="I402" s="3" t="s">
        <v>49</v>
      </c>
      <c r="J402" s="12" t="s">
        <v>38</v>
      </c>
      <c r="K402" s="2" t="str">
        <f aca="false">CONCATENATE(I402," ",J402)</f>
        <v>Alopecosa sp</v>
      </c>
      <c r="L402" s="3" t="n">
        <f aca="false">SUM(P402:U402)</f>
        <v>1</v>
      </c>
      <c r="M402" s="11" t="n">
        <f aca="false">(L402/(F402*G402)*25)*4</f>
        <v>4</v>
      </c>
      <c r="N402" s="1" t="s">
        <v>19</v>
      </c>
      <c r="O402" s="1" t="s">
        <v>54</v>
      </c>
      <c r="P402" s="1" t="n">
        <v>0</v>
      </c>
      <c r="Q402" s="1" t="n">
        <v>0</v>
      </c>
      <c r="R402" s="1" t="n">
        <v>0</v>
      </c>
      <c r="S402" s="1" t="n">
        <v>0</v>
      </c>
      <c r="T402" s="1" t="n">
        <v>1</v>
      </c>
      <c r="U402" s="1" t="n">
        <v>0</v>
      </c>
      <c r="V402" s="3" t="n">
        <f aca="false">SUM(P402:Q402)</f>
        <v>0</v>
      </c>
      <c r="W402" s="3" t="n">
        <f aca="false">SUM(R402:T402)</f>
        <v>1</v>
      </c>
      <c r="X402" s="10" t="n">
        <v>39970</v>
      </c>
      <c r="Y402" s="10" t="n">
        <v>39975</v>
      </c>
    </row>
    <row r="403" customFormat="false" ht="14.25" hidden="false" customHeight="false" outlineLevel="0" collapsed="false">
      <c r="A403" s="1" t="n">
        <v>2009</v>
      </c>
      <c r="B403" s="1" t="n">
        <v>1</v>
      </c>
      <c r="C403" s="2" t="s">
        <v>44</v>
      </c>
      <c r="D403" s="7" t="s">
        <v>118</v>
      </c>
      <c r="E403" s="1" t="n">
        <v>3</v>
      </c>
      <c r="F403" s="1" t="n">
        <f aca="false">Y403-X403</f>
        <v>5</v>
      </c>
      <c r="G403" s="1" t="n">
        <v>5</v>
      </c>
      <c r="H403" s="3" t="s">
        <v>48</v>
      </c>
      <c r="I403" s="3" t="s">
        <v>49</v>
      </c>
      <c r="J403" s="12" t="s">
        <v>119</v>
      </c>
      <c r="K403" s="2" t="str">
        <f aca="false">CONCATENATE(I403," ",J403)</f>
        <v>Alopecosa sulzeri</v>
      </c>
      <c r="L403" s="3" t="n">
        <f aca="false">SUM(P403:U403)</f>
        <v>3</v>
      </c>
      <c r="M403" s="11" t="n">
        <f aca="false">(L403/(F403*G403)*25)*4</f>
        <v>12</v>
      </c>
      <c r="N403" s="1" t="s">
        <v>30</v>
      </c>
      <c r="O403" s="1" t="s">
        <v>31</v>
      </c>
      <c r="P403" s="1" t="n">
        <v>3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3" t="n">
        <f aca="false">SUM(P403:Q403)</f>
        <v>3</v>
      </c>
      <c r="W403" s="3" t="n">
        <f aca="false">SUM(R403:T403)</f>
        <v>0</v>
      </c>
      <c r="X403" s="10" t="n">
        <v>39970</v>
      </c>
      <c r="Y403" s="10" t="n">
        <v>39975</v>
      </c>
    </row>
    <row r="404" customFormat="false" ht="14.25" hidden="false" customHeight="false" outlineLevel="0" collapsed="false">
      <c r="A404" s="1" t="n">
        <v>2009</v>
      </c>
      <c r="B404" s="1" t="n">
        <v>1</v>
      </c>
      <c r="C404" s="2" t="s">
        <v>44</v>
      </c>
      <c r="D404" s="7" t="s">
        <v>118</v>
      </c>
      <c r="E404" s="1" t="n">
        <v>3</v>
      </c>
      <c r="F404" s="1" t="n">
        <f aca="false">Y404-X404</f>
        <v>5</v>
      </c>
      <c r="G404" s="1" t="n">
        <v>5</v>
      </c>
      <c r="H404" s="3" t="s">
        <v>48</v>
      </c>
      <c r="I404" s="3" t="s">
        <v>49</v>
      </c>
      <c r="J404" s="12" t="s">
        <v>119</v>
      </c>
      <c r="K404" s="2" t="str">
        <f aca="false">CONCATENATE(I404," ",J404)</f>
        <v>Alopecosa sulzeri</v>
      </c>
      <c r="L404" s="3" t="n">
        <f aca="false">SUM(P404:U404)</f>
        <v>2</v>
      </c>
      <c r="M404" s="11" t="n">
        <f aca="false">(L404/(F404*G404)*25)*4</f>
        <v>8</v>
      </c>
      <c r="N404" s="1" t="s">
        <v>30</v>
      </c>
      <c r="O404" s="1" t="s">
        <v>35</v>
      </c>
      <c r="P404" s="1" t="n">
        <v>0</v>
      </c>
      <c r="Q404" s="1" t="n">
        <v>2</v>
      </c>
      <c r="R404" s="1" t="n">
        <v>0</v>
      </c>
      <c r="S404" s="1" t="n">
        <v>0</v>
      </c>
      <c r="T404" s="1" t="n">
        <v>0</v>
      </c>
      <c r="U404" s="1" t="n">
        <v>0</v>
      </c>
      <c r="V404" s="3" t="n">
        <f aca="false">SUM(P404:Q404)</f>
        <v>2</v>
      </c>
      <c r="W404" s="3" t="n">
        <f aca="false">SUM(R404:T404)</f>
        <v>0</v>
      </c>
      <c r="X404" s="10" t="n">
        <v>39970</v>
      </c>
      <c r="Y404" s="10" t="n">
        <v>39975</v>
      </c>
    </row>
    <row r="405" customFormat="false" ht="14.25" hidden="false" customHeight="false" outlineLevel="0" collapsed="false">
      <c r="A405" s="1" t="n">
        <v>2009</v>
      </c>
      <c r="B405" s="1" t="n">
        <v>1</v>
      </c>
      <c r="C405" s="2" t="s">
        <v>44</v>
      </c>
      <c r="D405" s="7" t="s">
        <v>118</v>
      </c>
      <c r="E405" s="1" t="n">
        <v>3</v>
      </c>
      <c r="F405" s="1" t="n">
        <f aca="false">Y405-X405</f>
        <v>5</v>
      </c>
      <c r="G405" s="1" t="n">
        <v>5</v>
      </c>
      <c r="H405" s="3" t="s">
        <v>48</v>
      </c>
      <c r="I405" s="3" t="s">
        <v>49</v>
      </c>
      <c r="J405" s="8" t="s">
        <v>130</v>
      </c>
      <c r="K405" s="2" t="str">
        <f aca="false">CONCATENATE(I405," ",J405)</f>
        <v>Alopecosa aculeata</v>
      </c>
      <c r="L405" s="3" t="n">
        <f aca="false">SUM(P405:U405)</f>
        <v>2</v>
      </c>
      <c r="M405" s="11" t="n">
        <f aca="false">(L405/(F405*G405)*25)*4</f>
        <v>8</v>
      </c>
      <c r="N405" s="1" t="s">
        <v>30</v>
      </c>
      <c r="O405" s="1" t="s">
        <v>31</v>
      </c>
      <c r="P405" s="1" t="n">
        <v>2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0</v>
      </c>
      <c r="V405" s="3" t="n">
        <f aca="false">SUM(P405:Q405)</f>
        <v>2</v>
      </c>
      <c r="W405" s="3" t="n">
        <f aca="false">SUM(R405:T405)</f>
        <v>0</v>
      </c>
      <c r="X405" s="10" t="n">
        <v>39970</v>
      </c>
      <c r="Y405" s="10" t="n">
        <v>39975</v>
      </c>
    </row>
    <row r="406" customFormat="false" ht="14.25" hidden="false" customHeight="false" outlineLevel="0" collapsed="false">
      <c r="A406" s="1" t="n">
        <v>2009</v>
      </c>
      <c r="B406" s="1" t="n">
        <v>1</v>
      </c>
      <c r="C406" s="2" t="s">
        <v>44</v>
      </c>
      <c r="D406" s="7" t="s">
        <v>118</v>
      </c>
      <c r="E406" s="1" t="n">
        <v>3</v>
      </c>
      <c r="F406" s="1" t="n">
        <f aca="false">Y406-X406</f>
        <v>5</v>
      </c>
      <c r="G406" s="1" t="n">
        <v>5</v>
      </c>
      <c r="H406" s="3" t="s">
        <v>48</v>
      </c>
      <c r="I406" s="3" t="s">
        <v>49</v>
      </c>
      <c r="J406" s="8" t="s">
        <v>130</v>
      </c>
      <c r="K406" s="2" t="str">
        <f aca="false">CONCATENATE(I406," ",J406)</f>
        <v>Alopecosa aculeata</v>
      </c>
      <c r="L406" s="3" t="n">
        <f aca="false">SUM(P406:U406)</f>
        <v>2</v>
      </c>
      <c r="M406" s="11" t="n">
        <f aca="false">(L406/(F406*G406)*25)*4</f>
        <v>8</v>
      </c>
      <c r="N406" s="1" t="s">
        <v>30</v>
      </c>
      <c r="O406" s="1" t="s">
        <v>35</v>
      </c>
      <c r="P406" s="1" t="n">
        <v>0</v>
      </c>
      <c r="Q406" s="1" t="n">
        <v>2</v>
      </c>
      <c r="R406" s="1" t="n">
        <v>0</v>
      </c>
      <c r="S406" s="1" t="n">
        <v>0</v>
      </c>
      <c r="T406" s="1" t="n">
        <v>0</v>
      </c>
      <c r="U406" s="1" t="n">
        <v>0</v>
      </c>
      <c r="V406" s="3" t="n">
        <f aca="false">SUM(P406:Q406)</f>
        <v>2</v>
      </c>
      <c r="W406" s="3" t="n">
        <f aca="false">SUM(R406:T406)</f>
        <v>0</v>
      </c>
      <c r="X406" s="10" t="n">
        <v>39970</v>
      </c>
      <c r="Y406" s="10" t="n">
        <v>39975</v>
      </c>
    </row>
    <row r="407" customFormat="false" ht="14.25" hidden="false" customHeight="false" outlineLevel="0" collapsed="false">
      <c r="A407" s="1" t="n">
        <v>2009</v>
      </c>
      <c r="B407" s="1" t="n">
        <v>1</v>
      </c>
      <c r="C407" s="2" t="s">
        <v>44</v>
      </c>
      <c r="D407" s="7" t="s">
        <v>118</v>
      </c>
      <c r="E407" s="1" t="n">
        <v>3</v>
      </c>
      <c r="F407" s="1" t="n">
        <f aca="false">Y407-X407</f>
        <v>5</v>
      </c>
      <c r="G407" s="1" t="n">
        <v>5</v>
      </c>
      <c r="H407" s="3" t="s">
        <v>48</v>
      </c>
      <c r="I407" s="3" t="s">
        <v>122</v>
      </c>
      <c r="J407" s="12" t="s">
        <v>123</v>
      </c>
      <c r="K407" s="2" t="str">
        <f aca="false">CONCATENATE(I407," ",J407)</f>
        <v>Xerolycosa nemoralis</v>
      </c>
      <c r="L407" s="3" t="n">
        <f aca="false">SUM(P407:U407)</f>
        <v>3</v>
      </c>
      <c r="M407" s="11" t="n">
        <f aca="false">(L407/(F407*G407)*25)*4</f>
        <v>12</v>
      </c>
      <c r="N407" s="1" t="s">
        <v>30</v>
      </c>
      <c r="O407" s="1" t="s">
        <v>31</v>
      </c>
      <c r="P407" s="1" t="n">
        <v>3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3" t="n">
        <f aca="false">SUM(P407:Q407)</f>
        <v>3</v>
      </c>
      <c r="W407" s="3" t="n">
        <f aca="false">SUM(R407:T407)</f>
        <v>0</v>
      </c>
      <c r="X407" s="10" t="n">
        <v>39970</v>
      </c>
      <c r="Y407" s="10" t="n">
        <v>39975</v>
      </c>
    </row>
    <row r="408" customFormat="false" ht="14.25" hidden="false" customHeight="false" outlineLevel="0" collapsed="false">
      <c r="A408" s="1" t="n">
        <v>2009</v>
      </c>
      <c r="B408" s="1" t="n">
        <v>1</v>
      </c>
      <c r="C408" s="2" t="s">
        <v>44</v>
      </c>
      <c r="D408" s="7" t="s">
        <v>118</v>
      </c>
      <c r="E408" s="1" t="n">
        <v>3</v>
      </c>
      <c r="F408" s="1" t="n">
        <f aca="false">Y408-X408</f>
        <v>5</v>
      </c>
      <c r="G408" s="1" t="n">
        <v>5</v>
      </c>
      <c r="H408" s="3" t="s">
        <v>48</v>
      </c>
      <c r="I408" s="3" t="s">
        <v>122</v>
      </c>
      <c r="J408" s="12" t="s">
        <v>123</v>
      </c>
      <c r="K408" s="2" t="str">
        <f aca="false">CONCATENATE(I408," ",J408)</f>
        <v>Xerolycosa nemoralis</v>
      </c>
      <c r="L408" s="3" t="n">
        <f aca="false">SUM(P408:U408)</f>
        <v>1</v>
      </c>
      <c r="M408" s="11" t="n">
        <f aca="false">(L408/(F408*G408)*25)*4</f>
        <v>4</v>
      </c>
      <c r="N408" s="1" t="s">
        <v>30</v>
      </c>
      <c r="O408" s="1" t="s">
        <v>35</v>
      </c>
      <c r="P408" s="1" t="n">
        <v>0</v>
      </c>
      <c r="Q408" s="1" t="n">
        <v>1</v>
      </c>
      <c r="R408" s="1" t="n">
        <v>0</v>
      </c>
      <c r="S408" s="1" t="n">
        <v>0</v>
      </c>
      <c r="T408" s="1" t="n">
        <v>0</v>
      </c>
      <c r="U408" s="1" t="n">
        <v>0</v>
      </c>
      <c r="V408" s="3" t="n">
        <f aca="false">SUM(P408:Q408)</f>
        <v>1</v>
      </c>
      <c r="W408" s="3" t="n">
        <f aca="false">SUM(R408:T408)</f>
        <v>0</v>
      </c>
      <c r="X408" s="10" t="n">
        <v>39970</v>
      </c>
      <c r="Y408" s="10" t="n">
        <v>39975</v>
      </c>
    </row>
    <row r="409" customFormat="false" ht="14.25" hidden="false" customHeight="false" outlineLevel="0" collapsed="false">
      <c r="A409" s="1" t="n">
        <v>2009</v>
      </c>
      <c r="B409" s="1" t="n">
        <v>1</v>
      </c>
      <c r="C409" s="2" t="s">
        <v>44</v>
      </c>
      <c r="D409" s="7" t="s">
        <v>118</v>
      </c>
      <c r="E409" s="1" t="n">
        <v>3</v>
      </c>
      <c r="F409" s="1" t="n">
        <f aca="false">Y409-X409</f>
        <v>5</v>
      </c>
      <c r="G409" s="1" t="n">
        <v>5</v>
      </c>
      <c r="H409" s="3" t="s">
        <v>48</v>
      </c>
      <c r="I409" s="3" t="s">
        <v>67</v>
      </c>
      <c r="J409" s="12" t="s">
        <v>127</v>
      </c>
      <c r="K409" s="2" t="str">
        <f aca="false">CONCATENATE(I409," ",J409)</f>
        <v>Pardosa lugubris</v>
      </c>
      <c r="L409" s="3" t="n">
        <f aca="false">SUM(P409:U409)</f>
        <v>2</v>
      </c>
      <c r="M409" s="11" t="n">
        <f aca="false">(L409/(F409*G409)*25)*4</f>
        <v>8</v>
      </c>
      <c r="N409" s="1" t="s">
        <v>30</v>
      </c>
      <c r="O409" s="1" t="s">
        <v>31</v>
      </c>
      <c r="P409" s="1" t="n">
        <v>2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3" t="n">
        <f aca="false">SUM(P409:Q409)</f>
        <v>2</v>
      </c>
      <c r="W409" s="3" t="n">
        <f aca="false">SUM(R409:T409)</f>
        <v>0</v>
      </c>
      <c r="X409" s="10" t="n">
        <v>39970</v>
      </c>
      <c r="Y409" s="10" t="n">
        <v>39975</v>
      </c>
    </row>
    <row r="410" customFormat="false" ht="14.25" hidden="false" customHeight="false" outlineLevel="0" collapsed="false">
      <c r="A410" s="1" t="n">
        <v>2009</v>
      </c>
      <c r="B410" s="1" t="n">
        <v>1</v>
      </c>
      <c r="C410" s="2" t="s">
        <v>44</v>
      </c>
      <c r="D410" s="7" t="s">
        <v>118</v>
      </c>
      <c r="E410" s="1" t="n">
        <v>3</v>
      </c>
      <c r="F410" s="1" t="n">
        <f aca="false">Y410-X410</f>
        <v>5</v>
      </c>
      <c r="G410" s="1" t="n">
        <v>5</v>
      </c>
      <c r="H410" s="3" t="s">
        <v>48</v>
      </c>
      <c r="I410" s="3" t="s">
        <v>67</v>
      </c>
      <c r="J410" s="12" t="s">
        <v>127</v>
      </c>
      <c r="K410" s="2" t="str">
        <f aca="false">CONCATENATE(I410," ",J410)</f>
        <v>Pardosa lugubris</v>
      </c>
      <c r="L410" s="3" t="n">
        <f aca="false">SUM(P410:U410)</f>
        <v>1</v>
      </c>
      <c r="M410" s="11" t="n">
        <f aca="false">(L410/(F410*G410)*25)*4</f>
        <v>4</v>
      </c>
      <c r="N410" s="1" t="s">
        <v>30</v>
      </c>
      <c r="O410" s="1" t="s">
        <v>35</v>
      </c>
      <c r="P410" s="1" t="n">
        <v>0</v>
      </c>
      <c r="Q410" s="1" t="n">
        <v>1</v>
      </c>
      <c r="R410" s="1" t="n">
        <v>0</v>
      </c>
      <c r="S410" s="1" t="n">
        <v>0</v>
      </c>
      <c r="T410" s="1" t="n">
        <v>0</v>
      </c>
      <c r="U410" s="1" t="n">
        <v>0</v>
      </c>
      <c r="V410" s="3" t="n">
        <f aca="false">SUM(P410:Q410)</f>
        <v>1</v>
      </c>
      <c r="W410" s="3" t="n">
        <f aca="false">SUM(R410:T410)</f>
        <v>0</v>
      </c>
      <c r="X410" s="10" t="n">
        <v>39970</v>
      </c>
      <c r="Y410" s="10" t="n">
        <v>39975</v>
      </c>
    </row>
    <row r="411" customFormat="false" ht="14.25" hidden="false" customHeight="false" outlineLevel="0" collapsed="false">
      <c r="A411" s="1" t="n">
        <v>2009</v>
      </c>
      <c r="B411" s="1" t="n">
        <v>1</v>
      </c>
      <c r="C411" s="2" t="s">
        <v>44</v>
      </c>
      <c r="D411" s="7" t="s">
        <v>118</v>
      </c>
      <c r="E411" s="1" t="n">
        <v>3</v>
      </c>
      <c r="F411" s="1" t="n">
        <f aca="false">Y411-X411</f>
        <v>5</v>
      </c>
      <c r="G411" s="1" t="n">
        <v>5</v>
      </c>
      <c r="H411" s="3" t="s">
        <v>48</v>
      </c>
      <c r="I411" s="3" t="s">
        <v>67</v>
      </c>
      <c r="J411" s="12" t="s">
        <v>38</v>
      </c>
      <c r="K411" s="2" t="str">
        <f aca="false">CONCATENATE(I411," ",J411)</f>
        <v>Pardosa sp</v>
      </c>
      <c r="L411" s="3" t="n">
        <f aca="false">SUM(P411:U411)</f>
        <v>1</v>
      </c>
      <c r="M411" s="11" t="n">
        <f aca="false">(L411/(F411*G411)*25)*4</f>
        <v>4</v>
      </c>
      <c r="N411" s="1" t="s">
        <v>19</v>
      </c>
      <c r="O411" s="1" t="s">
        <v>54</v>
      </c>
      <c r="P411" s="1" t="n">
        <v>0</v>
      </c>
      <c r="Q411" s="1" t="n">
        <v>0</v>
      </c>
      <c r="R411" s="1" t="n">
        <v>0</v>
      </c>
      <c r="S411" s="1" t="n">
        <v>0</v>
      </c>
      <c r="T411" s="1" t="n">
        <v>1</v>
      </c>
      <c r="U411" s="1" t="n">
        <v>0</v>
      </c>
      <c r="V411" s="3" t="n">
        <f aca="false">SUM(P411:Q411)</f>
        <v>0</v>
      </c>
      <c r="W411" s="3" t="n">
        <f aca="false">SUM(R411:T411)</f>
        <v>1</v>
      </c>
      <c r="X411" s="10" t="n">
        <v>39970</v>
      </c>
      <c r="Y411" s="10" t="n">
        <v>39975</v>
      </c>
    </row>
    <row r="412" customFormat="false" ht="14.25" hidden="false" customHeight="false" outlineLevel="0" collapsed="false">
      <c r="A412" s="1" t="n">
        <v>2009</v>
      </c>
      <c r="B412" s="1" t="n">
        <v>1</v>
      </c>
      <c r="C412" s="2" t="s">
        <v>44</v>
      </c>
      <c r="D412" s="7" t="s">
        <v>118</v>
      </c>
      <c r="E412" s="1" t="n">
        <v>3</v>
      </c>
      <c r="F412" s="1" t="n">
        <f aca="false">Y412-X412</f>
        <v>5</v>
      </c>
      <c r="G412" s="1" t="n">
        <v>5</v>
      </c>
      <c r="H412" s="3" t="s">
        <v>135</v>
      </c>
      <c r="I412" s="3" t="s">
        <v>136</v>
      </c>
      <c r="J412" s="12" t="s">
        <v>137</v>
      </c>
      <c r="K412" s="2" t="str">
        <f aca="false">CONCATENATE(I412," ",J412)</f>
        <v>Thanatus sabulosus</v>
      </c>
      <c r="L412" s="3" t="n">
        <f aca="false">SUM(P412:U412)</f>
        <v>1</v>
      </c>
      <c r="M412" s="11" t="n">
        <f aca="false">(L412/(F412*G412)*25)*4</f>
        <v>4</v>
      </c>
      <c r="N412" s="1" t="s">
        <v>30</v>
      </c>
      <c r="O412" s="1" t="s">
        <v>31</v>
      </c>
      <c r="P412" s="1" t="n">
        <v>1</v>
      </c>
      <c r="Q412" s="1" t="n">
        <v>0</v>
      </c>
      <c r="R412" s="1" t="n">
        <v>0</v>
      </c>
      <c r="S412" s="1" t="n">
        <v>0</v>
      </c>
      <c r="T412" s="1" t="n">
        <v>0</v>
      </c>
      <c r="U412" s="1" t="n">
        <v>0</v>
      </c>
      <c r="V412" s="3" t="n">
        <f aca="false">SUM(P412:Q412)</f>
        <v>1</v>
      </c>
      <c r="W412" s="3" t="n">
        <f aca="false">SUM(R412:T412)</f>
        <v>0</v>
      </c>
      <c r="X412" s="10" t="n">
        <v>39970</v>
      </c>
      <c r="Y412" s="10" t="n">
        <v>39975</v>
      </c>
    </row>
    <row r="413" customFormat="false" ht="14.25" hidden="false" customHeight="false" outlineLevel="0" collapsed="false">
      <c r="A413" s="1" t="n">
        <v>2009</v>
      </c>
      <c r="B413" s="1" t="n">
        <v>2</v>
      </c>
      <c r="C413" s="2" t="s">
        <v>50</v>
      </c>
      <c r="D413" s="7" t="s">
        <v>158</v>
      </c>
      <c r="E413" s="1" t="n">
        <v>1</v>
      </c>
      <c r="F413" s="1" t="n">
        <f aca="false">Y413-X413</f>
        <v>5</v>
      </c>
      <c r="G413" s="1" t="n">
        <v>5</v>
      </c>
      <c r="H413" s="3" t="s">
        <v>41</v>
      </c>
      <c r="I413" s="3" t="s">
        <v>42</v>
      </c>
      <c r="J413" s="12" t="s">
        <v>43</v>
      </c>
      <c r="K413" s="2" t="str">
        <f aca="false">CONCATENATE(I413," ",J413)</f>
        <v>Agroeca proxima</v>
      </c>
      <c r="L413" s="3" t="n">
        <f aca="false">SUM(P413:U413)</f>
        <v>1</v>
      </c>
      <c r="M413" s="11" t="n">
        <f aca="false">(L413/(F413*G413)*25)*4</f>
        <v>4</v>
      </c>
      <c r="N413" s="1" t="s">
        <v>30</v>
      </c>
      <c r="O413" s="1" t="s">
        <v>35</v>
      </c>
      <c r="P413" s="1" t="n">
        <v>0</v>
      </c>
      <c r="Q413" s="1" t="n">
        <v>1</v>
      </c>
      <c r="R413" s="1" t="n">
        <v>0</v>
      </c>
      <c r="S413" s="1" t="n">
        <v>0</v>
      </c>
      <c r="T413" s="1" t="n">
        <v>0</v>
      </c>
      <c r="U413" s="1" t="n">
        <v>0</v>
      </c>
      <c r="V413" s="3" t="n">
        <f aca="false">SUM(P413:Q413)</f>
        <v>1</v>
      </c>
      <c r="W413" s="3" t="n">
        <f aca="false">SUM(R413:T413)</f>
        <v>0</v>
      </c>
      <c r="X413" s="10" t="n">
        <v>40052</v>
      </c>
      <c r="Y413" s="10" t="n">
        <v>40057</v>
      </c>
    </row>
    <row r="414" customFormat="false" ht="14.25" hidden="false" customHeight="false" outlineLevel="0" collapsed="false">
      <c r="A414" s="1" t="n">
        <v>2009</v>
      </c>
      <c r="B414" s="1" t="n">
        <v>2</v>
      </c>
      <c r="C414" s="2" t="s">
        <v>50</v>
      </c>
      <c r="D414" s="7" t="s">
        <v>158</v>
      </c>
      <c r="E414" s="1" t="n">
        <v>1</v>
      </c>
      <c r="F414" s="1" t="n">
        <f aca="false">Y414-X414</f>
        <v>5</v>
      </c>
      <c r="G414" s="1" t="n">
        <v>5</v>
      </c>
      <c r="H414" s="3" t="s">
        <v>32</v>
      </c>
      <c r="I414" s="3" t="s">
        <v>68</v>
      </c>
      <c r="J414" s="8" t="s">
        <v>69</v>
      </c>
      <c r="K414" s="2" t="str">
        <f aca="false">CONCATENATE(I414," ",J414)</f>
        <v>Centromerus sylvaticus</v>
      </c>
      <c r="L414" s="3" t="n">
        <f aca="false">SUM(P414:U414)</f>
        <v>1</v>
      </c>
      <c r="M414" s="11" t="n">
        <f aca="false">(L414/(F414*G414)*25)*4</f>
        <v>4</v>
      </c>
      <c r="N414" s="1" t="s">
        <v>30</v>
      </c>
      <c r="O414" s="1" t="s">
        <v>35</v>
      </c>
      <c r="P414" s="1" t="n">
        <v>0</v>
      </c>
      <c r="Q414" s="1" t="n">
        <v>1</v>
      </c>
      <c r="R414" s="1" t="n">
        <v>0</v>
      </c>
      <c r="S414" s="1" t="n">
        <v>0</v>
      </c>
      <c r="T414" s="1" t="n">
        <v>0</v>
      </c>
      <c r="U414" s="1" t="n">
        <v>0</v>
      </c>
      <c r="V414" s="3" t="n">
        <f aca="false">SUM(P414:Q414)</f>
        <v>1</v>
      </c>
      <c r="W414" s="3" t="n">
        <f aca="false">SUM(R414:T414)</f>
        <v>0</v>
      </c>
      <c r="X414" s="10" t="n">
        <v>40052</v>
      </c>
      <c r="Y414" s="10" t="n">
        <v>40057</v>
      </c>
    </row>
    <row r="415" customFormat="false" ht="14.25" hidden="false" customHeight="false" outlineLevel="0" collapsed="false">
      <c r="A415" s="1" t="n">
        <v>2009</v>
      </c>
      <c r="B415" s="1" t="n">
        <v>1</v>
      </c>
      <c r="C415" s="3" t="s">
        <v>115</v>
      </c>
      <c r="D415" s="7" t="s">
        <v>116</v>
      </c>
      <c r="E415" s="1" t="n">
        <v>1</v>
      </c>
      <c r="F415" s="1" t="n">
        <f aca="false">Y415-X415</f>
        <v>5</v>
      </c>
      <c r="G415" s="1" t="n">
        <v>5</v>
      </c>
      <c r="H415" s="3" t="s">
        <v>32</v>
      </c>
      <c r="I415" s="3" t="s">
        <v>159</v>
      </c>
      <c r="J415" s="3" t="s">
        <v>160</v>
      </c>
      <c r="K415" s="2" t="str">
        <f aca="false">CONCATENATE(I415," ",J415)</f>
        <v>Metopobactrus prominulus</v>
      </c>
      <c r="L415" s="3" t="n">
        <f aca="false">SUM(P415:U415)</f>
        <v>1</v>
      </c>
      <c r="M415" s="11" t="n">
        <f aca="false">(L415/(F415*G415)*25)*4</f>
        <v>4</v>
      </c>
      <c r="N415" s="1" t="s">
        <v>30</v>
      </c>
      <c r="O415" s="1" t="s">
        <v>35</v>
      </c>
      <c r="P415" s="1" t="n">
        <v>0</v>
      </c>
      <c r="Q415" s="1" t="n">
        <v>1</v>
      </c>
      <c r="R415" s="1" t="n">
        <v>0</v>
      </c>
      <c r="S415" s="1" t="n">
        <v>0</v>
      </c>
      <c r="T415" s="1" t="n">
        <v>0</v>
      </c>
      <c r="U415" s="1" t="n">
        <v>0</v>
      </c>
      <c r="V415" s="3" t="n">
        <f aca="false">SUM(P415:Q415)</f>
        <v>1</v>
      </c>
      <c r="W415" s="3" t="n">
        <f aca="false">SUM(R415:T415)</f>
        <v>0</v>
      </c>
      <c r="X415" s="10" t="n">
        <v>39969</v>
      </c>
      <c r="Y415" s="10" t="n">
        <v>39974</v>
      </c>
    </row>
    <row r="416" customFormat="false" ht="14.25" hidden="false" customHeight="false" outlineLevel="0" collapsed="false">
      <c r="A416" s="1" t="n">
        <v>2009</v>
      </c>
      <c r="B416" s="1" t="n">
        <v>1</v>
      </c>
      <c r="C416" s="3" t="s">
        <v>115</v>
      </c>
      <c r="D416" s="7" t="s">
        <v>116</v>
      </c>
      <c r="E416" s="1" t="n">
        <v>1</v>
      </c>
      <c r="F416" s="1" t="n">
        <f aca="false">Y416-X416</f>
        <v>5</v>
      </c>
      <c r="G416" s="1" t="n">
        <v>5</v>
      </c>
      <c r="H416" s="3" t="s">
        <v>32</v>
      </c>
      <c r="I416" s="3" t="s">
        <v>161</v>
      </c>
      <c r="J416" s="12" t="s">
        <v>162</v>
      </c>
      <c r="K416" s="2" t="str">
        <f aca="false">CONCATENATE(I416," ",J416)</f>
        <v>Entelecara congenera</v>
      </c>
      <c r="L416" s="3" t="n">
        <f aca="false">SUM(P416:U416)</f>
        <v>1</v>
      </c>
      <c r="M416" s="11" t="n">
        <f aca="false">(L416/(F416*G416)*25)*4</f>
        <v>4</v>
      </c>
      <c r="N416" s="1" t="s">
        <v>30</v>
      </c>
      <c r="O416" s="1" t="s">
        <v>31</v>
      </c>
      <c r="P416" s="1" t="n">
        <v>1</v>
      </c>
      <c r="Q416" s="1" t="n">
        <v>0</v>
      </c>
      <c r="R416" s="1" t="n">
        <v>0</v>
      </c>
      <c r="S416" s="1" t="n">
        <v>0</v>
      </c>
      <c r="T416" s="1" t="n">
        <v>0</v>
      </c>
      <c r="U416" s="1" t="n">
        <v>0</v>
      </c>
      <c r="V416" s="3" t="n">
        <f aca="false">SUM(P416:Q416)</f>
        <v>1</v>
      </c>
      <c r="W416" s="3" t="n">
        <f aca="false">SUM(R416:T416)</f>
        <v>0</v>
      </c>
      <c r="X416" s="10" t="n">
        <v>39969</v>
      </c>
      <c r="Y416" s="10" t="n">
        <v>39974</v>
      </c>
    </row>
    <row r="417" customFormat="false" ht="14.25" hidden="false" customHeight="false" outlineLevel="0" collapsed="false">
      <c r="A417" s="1" t="n">
        <v>2009</v>
      </c>
      <c r="B417" s="1" t="n">
        <v>1</v>
      </c>
      <c r="C417" s="3" t="s">
        <v>115</v>
      </c>
      <c r="D417" s="7" t="s">
        <v>116</v>
      </c>
      <c r="E417" s="1" t="n">
        <v>1</v>
      </c>
      <c r="F417" s="1" t="n">
        <f aca="false">Y417-X417</f>
        <v>5</v>
      </c>
      <c r="G417" s="1" t="n">
        <v>5</v>
      </c>
      <c r="H417" s="13" t="s">
        <v>32</v>
      </c>
      <c r="I417" s="13" t="s">
        <v>163</v>
      </c>
      <c r="J417" s="14" t="s">
        <v>164</v>
      </c>
      <c r="K417" s="2" t="str">
        <f aca="false">CONCATENATE(I417," ",J417)</f>
        <v>Bathyphantes gracilis</v>
      </c>
      <c r="L417" s="3" t="n">
        <f aca="false">SUM(P417:U417)</f>
        <v>1</v>
      </c>
      <c r="M417" s="11" t="n">
        <f aca="false">(L417/(F417*G417)*25)*4</f>
        <v>4</v>
      </c>
      <c r="N417" s="1" t="s">
        <v>30</v>
      </c>
      <c r="O417" s="1" t="s">
        <v>31</v>
      </c>
      <c r="P417" s="1" t="n">
        <v>1</v>
      </c>
      <c r="Q417" s="1" t="n">
        <v>0</v>
      </c>
      <c r="R417" s="1" t="n">
        <v>0</v>
      </c>
      <c r="S417" s="1" t="n">
        <v>0</v>
      </c>
      <c r="T417" s="1" t="n">
        <v>0</v>
      </c>
      <c r="U417" s="1" t="n">
        <v>0</v>
      </c>
      <c r="V417" s="3" t="n">
        <f aca="false">SUM(P417:Q417)</f>
        <v>1</v>
      </c>
      <c r="W417" s="3" t="n">
        <f aca="false">SUM(R417:T417)</f>
        <v>0</v>
      </c>
      <c r="X417" s="10" t="n">
        <v>39969</v>
      </c>
      <c r="Y417" s="10" t="n">
        <v>39974</v>
      </c>
    </row>
    <row r="418" customFormat="false" ht="14.25" hidden="false" customHeight="false" outlineLevel="0" collapsed="false">
      <c r="A418" s="1" t="n">
        <v>2009</v>
      </c>
      <c r="B418" s="1" t="n">
        <v>1</v>
      </c>
      <c r="C418" s="3" t="s">
        <v>115</v>
      </c>
      <c r="D418" s="7" t="s">
        <v>116</v>
      </c>
      <c r="E418" s="1" t="n">
        <v>1</v>
      </c>
      <c r="F418" s="1" t="n">
        <f aca="false">Y418-X418</f>
        <v>5</v>
      </c>
      <c r="G418" s="1" t="n">
        <v>5</v>
      </c>
      <c r="H418" s="13" t="s">
        <v>32</v>
      </c>
      <c r="I418" s="13" t="s">
        <v>165</v>
      </c>
      <c r="J418" s="14" t="s">
        <v>166</v>
      </c>
      <c r="K418" s="2" t="str">
        <f aca="false">CONCATENATE(I418," ",J418)</f>
        <v>Minyriolus pusillus</v>
      </c>
      <c r="L418" s="3" t="n">
        <f aca="false">SUM(P418:U418)</f>
        <v>1</v>
      </c>
      <c r="M418" s="11" t="n">
        <f aca="false">(L418/(F418*G418)*25)*4</f>
        <v>4</v>
      </c>
      <c r="N418" s="1" t="s">
        <v>30</v>
      </c>
      <c r="O418" s="1" t="s">
        <v>35</v>
      </c>
      <c r="P418" s="1" t="n">
        <v>0</v>
      </c>
      <c r="Q418" s="1" t="n">
        <v>1</v>
      </c>
      <c r="R418" s="1" t="n">
        <v>0</v>
      </c>
      <c r="S418" s="1" t="n">
        <v>0</v>
      </c>
      <c r="T418" s="1" t="n">
        <v>0</v>
      </c>
      <c r="U418" s="1" t="n">
        <v>0</v>
      </c>
      <c r="V418" s="3" t="n">
        <f aca="false">SUM(P418:Q418)</f>
        <v>1</v>
      </c>
      <c r="W418" s="3" t="n">
        <f aca="false">SUM(R418:T418)</f>
        <v>0</v>
      </c>
      <c r="X418" s="10" t="n">
        <v>39969</v>
      </c>
      <c r="Y418" s="10" t="n">
        <v>39974</v>
      </c>
    </row>
    <row r="419" customFormat="false" ht="14.25" hidden="false" customHeight="false" outlineLevel="0" collapsed="false">
      <c r="A419" s="1" t="n">
        <v>2009</v>
      </c>
      <c r="B419" s="1" t="n">
        <v>1</v>
      </c>
      <c r="C419" s="3" t="s">
        <v>115</v>
      </c>
      <c r="D419" s="7" t="s">
        <v>116</v>
      </c>
      <c r="E419" s="1" t="n">
        <v>2</v>
      </c>
      <c r="F419" s="1" t="n">
        <f aca="false">Y419-X419</f>
        <v>5</v>
      </c>
      <c r="G419" s="1" t="n">
        <v>5</v>
      </c>
      <c r="H419" s="3" t="s">
        <v>48</v>
      </c>
      <c r="I419" s="3" t="s">
        <v>67</v>
      </c>
      <c r="J419" s="12" t="s">
        <v>167</v>
      </c>
      <c r="K419" s="2" t="str">
        <f aca="false">CONCATENATE(I419," ",J419)</f>
        <v>Pardosa agrestis</v>
      </c>
      <c r="L419" s="3" t="n">
        <f aca="false">SUM(P419:U419)</f>
        <v>1</v>
      </c>
      <c r="M419" s="11" t="n">
        <f aca="false">(L419/(F419*G419)*25)*4</f>
        <v>4</v>
      </c>
      <c r="N419" s="1" t="s">
        <v>30</v>
      </c>
      <c r="O419" s="1" t="s">
        <v>31</v>
      </c>
      <c r="P419" s="1" t="n">
        <v>1</v>
      </c>
      <c r="Q419" s="1" t="n">
        <v>0</v>
      </c>
      <c r="R419" s="1" t="n">
        <v>0</v>
      </c>
      <c r="S419" s="1" t="n">
        <v>0</v>
      </c>
      <c r="T419" s="1" t="n">
        <v>0</v>
      </c>
      <c r="U419" s="1" t="n">
        <v>0</v>
      </c>
      <c r="V419" s="3" t="n">
        <f aca="false">SUM(P419:Q419)</f>
        <v>1</v>
      </c>
      <c r="W419" s="3" t="n">
        <f aca="false">SUM(R419:T419)</f>
        <v>0</v>
      </c>
      <c r="X419" s="10" t="n">
        <v>39969</v>
      </c>
      <c r="Y419" s="10" t="n">
        <v>39974</v>
      </c>
    </row>
    <row r="420" customFormat="false" ht="14.25" hidden="false" customHeight="false" outlineLevel="0" collapsed="false">
      <c r="A420" s="1" t="n">
        <v>2009</v>
      </c>
      <c r="B420" s="1" t="n">
        <v>1</v>
      </c>
      <c r="C420" s="3" t="s">
        <v>115</v>
      </c>
      <c r="D420" s="7" t="s">
        <v>116</v>
      </c>
      <c r="E420" s="1" t="n">
        <v>2</v>
      </c>
      <c r="F420" s="1" t="n">
        <f aca="false">Y420-X420</f>
        <v>5</v>
      </c>
      <c r="G420" s="1" t="n">
        <v>5</v>
      </c>
      <c r="H420" s="3" t="s">
        <v>32</v>
      </c>
      <c r="I420" s="3" t="s">
        <v>102</v>
      </c>
      <c r="J420" s="3" t="s">
        <v>117</v>
      </c>
      <c r="K420" s="2" t="str">
        <f aca="false">CONCATENATE(I420," ",J420)</f>
        <v>Agyneta affinis</v>
      </c>
      <c r="L420" s="3" t="n">
        <f aca="false">SUM(P420:U420)</f>
        <v>1</v>
      </c>
      <c r="M420" s="11" t="n">
        <f aca="false">(L420/(F420*G420)*25)*4</f>
        <v>4</v>
      </c>
      <c r="N420" s="1" t="s">
        <v>30</v>
      </c>
      <c r="O420" s="1" t="s">
        <v>35</v>
      </c>
      <c r="P420" s="1" t="n">
        <v>0</v>
      </c>
      <c r="Q420" s="1" t="n">
        <v>1</v>
      </c>
      <c r="R420" s="1" t="n">
        <v>0</v>
      </c>
      <c r="S420" s="1" t="n">
        <v>0</v>
      </c>
      <c r="T420" s="1" t="n">
        <v>0</v>
      </c>
      <c r="U420" s="1" t="n">
        <v>0</v>
      </c>
      <c r="V420" s="3" t="n">
        <f aca="false">SUM(P420:Q420)</f>
        <v>1</v>
      </c>
      <c r="W420" s="3" t="n">
        <f aca="false">SUM(R420:T420)</f>
        <v>0</v>
      </c>
      <c r="X420" s="10" t="n">
        <v>39969</v>
      </c>
      <c r="Y420" s="10" t="n">
        <v>39974</v>
      </c>
    </row>
    <row r="421" customFormat="false" ht="14.25" hidden="false" customHeight="false" outlineLevel="0" collapsed="false">
      <c r="A421" s="1" t="n">
        <v>2009</v>
      </c>
      <c r="B421" s="1" t="n">
        <v>1</v>
      </c>
      <c r="C421" s="2" t="s">
        <v>25</v>
      </c>
      <c r="D421" s="7" t="s">
        <v>101</v>
      </c>
      <c r="E421" s="1" t="n">
        <v>2</v>
      </c>
      <c r="F421" s="1" t="n">
        <f aca="false">Y421-X421</f>
        <v>5</v>
      </c>
      <c r="G421" s="1" t="n">
        <v>5</v>
      </c>
      <c r="H421" s="3" t="s">
        <v>32</v>
      </c>
      <c r="I421" s="3" t="s">
        <v>102</v>
      </c>
      <c r="J421" s="12" t="s">
        <v>103</v>
      </c>
      <c r="K421" s="2" t="str">
        <f aca="false">CONCATENATE(I421," ",J421)</f>
        <v>Agyneta olivacea</v>
      </c>
      <c r="L421" s="3" t="n">
        <f aca="false">SUM(P421:U421)</f>
        <v>1</v>
      </c>
      <c r="M421" s="11" t="n">
        <f aca="false">(L421/(F421*G421)*25)*4</f>
        <v>4</v>
      </c>
      <c r="N421" s="1" t="s">
        <v>30</v>
      </c>
      <c r="O421" s="1" t="s">
        <v>31</v>
      </c>
      <c r="P421" s="1" t="n">
        <v>1</v>
      </c>
      <c r="Q421" s="1" t="n">
        <v>0</v>
      </c>
      <c r="R421" s="1" t="n">
        <v>0</v>
      </c>
      <c r="S421" s="1" t="n">
        <v>0</v>
      </c>
      <c r="T421" s="1" t="n">
        <v>0</v>
      </c>
      <c r="U421" s="1" t="n">
        <v>0</v>
      </c>
      <c r="V421" s="3" t="n">
        <f aca="false">SUM(P421:Q421)</f>
        <v>1</v>
      </c>
      <c r="W421" s="3" t="n">
        <f aca="false">SUM(R421:T421)</f>
        <v>0</v>
      </c>
      <c r="X421" s="10" t="n">
        <v>39970</v>
      </c>
      <c r="Y421" s="10" t="n">
        <v>39975</v>
      </c>
    </row>
    <row r="422" customFormat="false" ht="14.25" hidden="false" customHeight="false" outlineLevel="0" collapsed="false">
      <c r="A422" s="1" t="n">
        <v>2009</v>
      </c>
      <c r="B422" s="1" t="n">
        <v>1</v>
      </c>
      <c r="C422" s="2" t="s">
        <v>25</v>
      </c>
      <c r="D422" s="7" t="s">
        <v>101</v>
      </c>
      <c r="E422" s="1" t="n">
        <v>3</v>
      </c>
      <c r="F422" s="1" t="n">
        <f aca="false">Y422-X422</f>
        <v>5</v>
      </c>
      <c r="G422" s="1" t="n">
        <v>5</v>
      </c>
      <c r="H422" s="3" t="s">
        <v>32</v>
      </c>
      <c r="I422" s="3" t="s">
        <v>33</v>
      </c>
      <c r="J422" s="12" t="s">
        <v>60</v>
      </c>
      <c r="K422" s="2" t="str">
        <f aca="false">CONCATENATE(I422," ",J422)</f>
        <v>Tenuiphantes tenebricola</v>
      </c>
      <c r="L422" s="3" t="n">
        <f aca="false">SUM(P422:U422)</f>
        <v>1</v>
      </c>
      <c r="M422" s="11" t="n">
        <f aca="false">(L422/(F422*G422)*25)*4</f>
        <v>4</v>
      </c>
      <c r="N422" s="1" t="s">
        <v>30</v>
      </c>
      <c r="O422" s="1" t="s">
        <v>31</v>
      </c>
      <c r="P422" s="1" t="n">
        <v>1</v>
      </c>
      <c r="Q422" s="1" t="n">
        <v>0</v>
      </c>
      <c r="R422" s="1" t="n">
        <v>0</v>
      </c>
      <c r="S422" s="1" t="n">
        <v>0</v>
      </c>
      <c r="T422" s="1" t="n">
        <v>0</v>
      </c>
      <c r="U422" s="1" t="n">
        <v>0</v>
      </c>
      <c r="V422" s="3" t="n">
        <f aca="false">SUM(P422:Q422)</f>
        <v>1</v>
      </c>
      <c r="W422" s="3" t="n">
        <f aca="false">SUM(R422:T422)</f>
        <v>0</v>
      </c>
      <c r="X422" s="10" t="n">
        <v>39970</v>
      </c>
      <c r="Y422" s="10" t="n">
        <v>39975</v>
      </c>
    </row>
    <row r="423" customFormat="false" ht="14.25" hidden="false" customHeight="false" outlineLevel="0" collapsed="false">
      <c r="A423" s="1" t="n">
        <v>2009</v>
      </c>
      <c r="B423" s="1" t="n">
        <v>1</v>
      </c>
      <c r="C423" s="2" t="s">
        <v>25</v>
      </c>
      <c r="D423" s="7" t="s">
        <v>101</v>
      </c>
      <c r="E423" s="1" t="n">
        <v>3</v>
      </c>
      <c r="F423" s="1" t="n">
        <f aca="false">Y423-X423</f>
        <v>5</v>
      </c>
      <c r="G423" s="1" t="n">
        <v>5</v>
      </c>
      <c r="H423" s="3" t="s">
        <v>32</v>
      </c>
      <c r="I423" s="3" t="s">
        <v>84</v>
      </c>
      <c r="J423" s="3" t="s">
        <v>168</v>
      </c>
      <c r="K423" s="2" t="str">
        <f aca="false">CONCATENATE(I423," ",J423)</f>
        <v>Walckenaeria atrotibialis</v>
      </c>
      <c r="L423" s="3" t="n">
        <f aca="false">SUM(P423:U423)</f>
        <v>1</v>
      </c>
      <c r="M423" s="11" t="n">
        <f aca="false">(L423/(F423*G423)*25)*4</f>
        <v>4</v>
      </c>
      <c r="N423" s="1" t="s">
        <v>30</v>
      </c>
      <c r="O423" s="1" t="s">
        <v>35</v>
      </c>
      <c r="P423" s="1" t="n">
        <v>0</v>
      </c>
      <c r="Q423" s="1" t="n">
        <v>1</v>
      </c>
      <c r="R423" s="1" t="n">
        <v>0</v>
      </c>
      <c r="S423" s="1" t="n">
        <v>0</v>
      </c>
      <c r="T423" s="1" t="n">
        <v>0</v>
      </c>
      <c r="U423" s="1" t="n">
        <v>0</v>
      </c>
      <c r="V423" s="3" t="n">
        <f aca="false">SUM(P423:Q423)</f>
        <v>1</v>
      </c>
      <c r="W423" s="3" t="n">
        <f aca="false">SUM(R423:T423)</f>
        <v>0</v>
      </c>
      <c r="X423" s="10" t="n">
        <v>39970</v>
      </c>
      <c r="Y423" s="10" t="n">
        <v>39975</v>
      </c>
    </row>
    <row r="424" customFormat="false" ht="14.25" hidden="false" customHeight="false" outlineLevel="0" collapsed="false">
      <c r="A424" s="1" t="n">
        <v>2009</v>
      </c>
      <c r="B424" s="1" t="n">
        <v>1</v>
      </c>
      <c r="C424" s="2" t="s">
        <v>25</v>
      </c>
      <c r="D424" s="7" t="s">
        <v>101</v>
      </c>
      <c r="E424" s="1" t="n">
        <v>2</v>
      </c>
      <c r="F424" s="1" t="n">
        <f aca="false">Y424-X424</f>
        <v>5</v>
      </c>
      <c r="G424" s="1" t="n">
        <v>5</v>
      </c>
      <c r="H424" s="3" t="s">
        <v>32</v>
      </c>
      <c r="I424" s="3" t="s">
        <v>102</v>
      </c>
      <c r="J424" s="3" t="s">
        <v>103</v>
      </c>
      <c r="K424" s="2" t="str">
        <f aca="false">CONCATENATE(I424," ",J424)</f>
        <v>Agyneta olivacea</v>
      </c>
      <c r="L424" s="3" t="n">
        <f aca="false">SUM(P424:U424)</f>
        <v>1</v>
      </c>
      <c r="M424" s="11" t="n">
        <f aca="false">(L424/(F424*G424)*25)*4</f>
        <v>4</v>
      </c>
      <c r="N424" s="1" t="s">
        <v>30</v>
      </c>
      <c r="O424" s="1" t="s">
        <v>31</v>
      </c>
      <c r="P424" s="1" t="n">
        <v>1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3" t="n">
        <f aca="false">SUM(P424:Q424)</f>
        <v>1</v>
      </c>
      <c r="W424" s="3" t="n">
        <f aca="false">SUM(R424:T424)</f>
        <v>0</v>
      </c>
      <c r="X424" s="10" t="n">
        <v>39970</v>
      </c>
      <c r="Y424" s="10" t="n">
        <v>39975</v>
      </c>
    </row>
    <row r="425" customFormat="false" ht="14.25" hidden="false" customHeight="false" outlineLevel="0" collapsed="false">
      <c r="A425" s="1" t="n">
        <v>2009</v>
      </c>
      <c r="B425" s="1" t="n">
        <v>1</v>
      </c>
      <c r="C425" s="2" t="s">
        <v>25</v>
      </c>
      <c r="D425" s="7" t="s">
        <v>101</v>
      </c>
      <c r="E425" s="1" t="n">
        <v>2</v>
      </c>
      <c r="F425" s="1" t="n">
        <f aca="false">Y425-X425</f>
        <v>5</v>
      </c>
      <c r="G425" s="1" t="n">
        <v>5</v>
      </c>
      <c r="H425" s="3" t="s">
        <v>32</v>
      </c>
      <c r="I425" s="3" t="s">
        <v>107</v>
      </c>
      <c r="J425" s="12" t="s">
        <v>108</v>
      </c>
      <c r="K425" s="2" t="str">
        <f aca="false">CONCATENATE(I425," ",J425)</f>
        <v>Macrargus rufus</v>
      </c>
      <c r="L425" s="3" t="n">
        <f aca="false">SUM(P425:U425)</f>
        <v>1</v>
      </c>
      <c r="M425" s="11" t="n">
        <f aca="false">(L425/(F425*G425)*25)*4</f>
        <v>4</v>
      </c>
      <c r="N425" s="1" t="s">
        <v>30</v>
      </c>
      <c r="O425" s="1" t="s">
        <v>35</v>
      </c>
      <c r="P425" s="1" t="n">
        <v>0</v>
      </c>
      <c r="Q425" s="1" t="n">
        <v>1</v>
      </c>
      <c r="R425" s="1" t="n">
        <v>0</v>
      </c>
      <c r="S425" s="1" t="n">
        <v>0</v>
      </c>
      <c r="T425" s="1" t="n">
        <v>0</v>
      </c>
      <c r="U425" s="1" t="n">
        <v>0</v>
      </c>
      <c r="V425" s="3" t="n">
        <f aca="false">SUM(P425:Q425)</f>
        <v>1</v>
      </c>
      <c r="W425" s="3" t="n">
        <f aca="false">SUM(R425:T425)</f>
        <v>0</v>
      </c>
      <c r="X425" s="10" t="n">
        <v>39970</v>
      </c>
      <c r="Y425" s="10" t="n">
        <v>39975</v>
      </c>
    </row>
    <row r="426" customFormat="false" ht="14.25" hidden="false" customHeight="false" outlineLevel="0" collapsed="false">
      <c r="A426" s="1" t="n">
        <v>2009</v>
      </c>
      <c r="B426" s="1" t="n">
        <v>1</v>
      </c>
      <c r="C426" s="2" t="s">
        <v>25</v>
      </c>
      <c r="D426" s="7" t="s">
        <v>101</v>
      </c>
      <c r="E426" s="1" t="n">
        <v>2</v>
      </c>
      <c r="F426" s="1" t="n">
        <f aca="false">Y426-X426</f>
        <v>5</v>
      </c>
      <c r="G426" s="1" t="n">
        <v>5</v>
      </c>
      <c r="H426" s="3" t="s">
        <v>32</v>
      </c>
      <c r="I426" s="3" t="s">
        <v>169</v>
      </c>
      <c r="J426" s="3" t="s">
        <v>170</v>
      </c>
      <c r="K426" s="2" t="str">
        <f aca="false">CONCATENATE(I426," ",J426)</f>
        <v>Abacoproeces saltuum</v>
      </c>
      <c r="L426" s="3" t="n">
        <f aca="false">SUM(P426:U426)</f>
        <v>1</v>
      </c>
      <c r="M426" s="11" t="n">
        <f aca="false">(L426/(F426*G426)*25)*4</f>
        <v>4</v>
      </c>
      <c r="N426" s="1" t="s">
        <v>30</v>
      </c>
      <c r="O426" s="1" t="s">
        <v>31</v>
      </c>
      <c r="P426" s="1" t="n">
        <v>1</v>
      </c>
      <c r="Q426" s="1" t="n">
        <v>0</v>
      </c>
      <c r="R426" s="1" t="n">
        <v>0</v>
      </c>
      <c r="S426" s="1" t="n">
        <v>0</v>
      </c>
      <c r="T426" s="1" t="n">
        <v>0</v>
      </c>
      <c r="U426" s="1" t="n">
        <v>0</v>
      </c>
      <c r="V426" s="3" t="n">
        <f aca="false">SUM(P426:Q426)</f>
        <v>1</v>
      </c>
      <c r="W426" s="3" t="n">
        <f aca="false">SUM(R426:T426)</f>
        <v>0</v>
      </c>
      <c r="X426" s="10" t="n">
        <v>39970</v>
      </c>
      <c r="Y426" s="10" t="n">
        <v>39975</v>
      </c>
    </row>
    <row r="427" customFormat="false" ht="14.25" hidden="false" customHeight="false" outlineLevel="0" collapsed="false">
      <c r="A427" s="1" t="n">
        <v>2009</v>
      </c>
      <c r="B427" s="1" t="n">
        <v>1</v>
      </c>
      <c r="C427" s="2" t="s">
        <v>25</v>
      </c>
      <c r="D427" s="7" t="s">
        <v>101</v>
      </c>
      <c r="E427" s="1" t="n">
        <v>1</v>
      </c>
      <c r="F427" s="1" t="n">
        <f aca="false">Y427-X427</f>
        <v>5</v>
      </c>
      <c r="G427" s="1" t="n">
        <v>5</v>
      </c>
      <c r="H427" s="3" t="s">
        <v>32</v>
      </c>
      <c r="I427" s="3" t="s">
        <v>33</v>
      </c>
      <c r="J427" s="12" t="s">
        <v>60</v>
      </c>
      <c r="K427" s="2" t="str">
        <f aca="false">CONCATENATE(I427," ",J427)</f>
        <v>Tenuiphantes tenebricola</v>
      </c>
      <c r="L427" s="3" t="n">
        <f aca="false">SUM(P427:U427)</f>
        <v>1</v>
      </c>
      <c r="M427" s="11" t="n">
        <f aca="false">(L427/(F427*G427)*25)*4</f>
        <v>4</v>
      </c>
      <c r="N427" s="1" t="s">
        <v>30</v>
      </c>
      <c r="O427" s="1" t="s">
        <v>31</v>
      </c>
      <c r="P427" s="1" t="n">
        <v>1</v>
      </c>
      <c r="Q427" s="1" t="n">
        <v>0</v>
      </c>
      <c r="R427" s="1" t="n">
        <v>0</v>
      </c>
      <c r="S427" s="1" t="n">
        <v>0</v>
      </c>
      <c r="T427" s="1" t="n">
        <v>0</v>
      </c>
      <c r="U427" s="1" t="n">
        <v>0</v>
      </c>
      <c r="V427" s="3" t="n">
        <f aca="false">SUM(P427:Q427)</f>
        <v>1</v>
      </c>
      <c r="W427" s="3" t="n">
        <f aca="false">SUM(R427:T427)</f>
        <v>0</v>
      </c>
      <c r="X427" s="10" t="n">
        <v>39970</v>
      </c>
      <c r="Y427" s="10" t="n">
        <v>39975</v>
      </c>
    </row>
    <row r="428" customFormat="false" ht="14.25" hidden="false" customHeight="false" outlineLevel="0" collapsed="false">
      <c r="A428" s="1" t="n">
        <v>2009</v>
      </c>
      <c r="B428" s="1" t="n">
        <v>1</v>
      </c>
      <c r="C428" s="2" t="s">
        <v>50</v>
      </c>
      <c r="D428" s="7" t="s">
        <v>98</v>
      </c>
      <c r="E428" s="1" t="n">
        <v>2</v>
      </c>
      <c r="F428" s="1" t="n">
        <f aca="false">Y428-X428</f>
        <v>5</v>
      </c>
      <c r="G428" s="1" t="n">
        <v>5</v>
      </c>
      <c r="H428" s="3" t="s">
        <v>32</v>
      </c>
      <c r="I428" s="3" t="s">
        <v>102</v>
      </c>
      <c r="J428" s="12" t="s">
        <v>103</v>
      </c>
      <c r="K428" s="2" t="str">
        <f aca="false">CONCATENATE(I428," ",J428)</f>
        <v>Agyneta olivacea</v>
      </c>
      <c r="L428" s="3" t="n">
        <f aca="false">SUM(P428:U428)</f>
        <v>1</v>
      </c>
      <c r="M428" s="11" t="n">
        <f aca="false">(L428/(F428*G428)*25)*4</f>
        <v>4</v>
      </c>
      <c r="N428" s="1" t="s">
        <v>30</v>
      </c>
      <c r="O428" s="1" t="s">
        <v>31</v>
      </c>
      <c r="P428" s="1" t="n">
        <v>1</v>
      </c>
      <c r="Q428" s="1" t="n">
        <v>0</v>
      </c>
      <c r="R428" s="1" t="n">
        <v>0</v>
      </c>
      <c r="S428" s="1" t="n">
        <v>0</v>
      </c>
      <c r="T428" s="1" t="n">
        <v>0</v>
      </c>
      <c r="U428" s="1" t="n">
        <v>0</v>
      </c>
      <c r="V428" s="3" t="n">
        <f aca="false">SUM(P428:Q428)</f>
        <v>1</v>
      </c>
      <c r="W428" s="3" t="n">
        <f aca="false">SUM(R428:T428)</f>
        <v>0</v>
      </c>
      <c r="X428" s="10" t="n">
        <v>39970</v>
      </c>
      <c r="Y428" s="10" t="n">
        <v>39975</v>
      </c>
    </row>
    <row r="429" customFormat="false" ht="14.25" hidden="false" customHeight="false" outlineLevel="0" collapsed="false">
      <c r="A429" s="1" t="n">
        <v>2009</v>
      </c>
      <c r="B429" s="1" t="n">
        <v>1</v>
      </c>
      <c r="C429" s="2" t="s">
        <v>50</v>
      </c>
      <c r="D429" s="7" t="s">
        <v>98</v>
      </c>
      <c r="E429" s="1" t="n">
        <v>2</v>
      </c>
      <c r="F429" s="1" t="n">
        <f aca="false">Y429-X429</f>
        <v>5</v>
      </c>
      <c r="G429" s="1" t="n">
        <v>5</v>
      </c>
      <c r="H429" s="3" t="s">
        <v>92</v>
      </c>
      <c r="I429" s="3" t="s">
        <v>171</v>
      </c>
      <c r="J429" s="12" t="s">
        <v>38</v>
      </c>
      <c r="K429" s="2" t="str">
        <f aca="false">CONCATENATE(I429," ",J429)</f>
        <v>Euophrys sp</v>
      </c>
      <c r="L429" s="3" t="n">
        <f aca="false">SUM(P429:U429)</f>
        <v>1</v>
      </c>
      <c r="M429" s="11" t="n">
        <f aca="false">(L429/(F429*G429)*25)*4</f>
        <v>4</v>
      </c>
      <c r="N429" s="1" t="s">
        <v>30</v>
      </c>
      <c r="O429" s="1" t="s">
        <v>35</v>
      </c>
      <c r="P429" s="1" t="n">
        <v>0</v>
      </c>
      <c r="Q429" s="1" t="n">
        <v>1</v>
      </c>
      <c r="R429" s="1" t="n">
        <v>0</v>
      </c>
      <c r="S429" s="1" t="n">
        <v>0</v>
      </c>
      <c r="T429" s="1" t="n">
        <v>0</v>
      </c>
      <c r="U429" s="1" t="n">
        <v>0</v>
      </c>
      <c r="V429" s="3" t="n">
        <f aca="false">SUM(P429:Q429)</f>
        <v>1</v>
      </c>
      <c r="W429" s="3" t="n">
        <f aca="false">SUM(R429:T429)</f>
        <v>0</v>
      </c>
      <c r="X429" s="10" t="n">
        <v>39970</v>
      </c>
      <c r="Y429" s="10" t="n">
        <v>39975</v>
      </c>
    </row>
    <row r="430" customFormat="false" ht="14.25" hidden="false" customHeight="false" outlineLevel="0" collapsed="false">
      <c r="A430" s="1" t="n">
        <v>2009</v>
      </c>
      <c r="B430" s="1" t="n">
        <v>1</v>
      </c>
      <c r="C430" s="2" t="s">
        <v>50</v>
      </c>
      <c r="D430" s="7" t="s">
        <v>98</v>
      </c>
      <c r="E430" s="1" t="n">
        <v>1</v>
      </c>
      <c r="F430" s="1" t="n">
        <f aca="false">Y430-X430</f>
        <v>5</v>
      </c>
      <c r="G430" s="1" t="n">
        <v>4</v>
      </c>
      <c r="H430" s="3" t="s">
        <v>32</v>
      </c>
      <c r="I430" s="3" t="s">
        <v>107</v>
      </c>
      <c r="J430" s="12" t="s">
        <v>108</v>
      </c>
      <c r="K430" s="2" t="str">
        <f aca="false">CONCATENATE(I430," ",J430)</f>
        <v>Macrargus rufus</v>
      </c>
      <c r="L430" s="3" t="n">
        <f aca="false">SUM(P430:U430)</f>
        <v>1</v>
      </c>
      <c r="M430" s="11" t="n">
        <f aca="false">(L430/(F430*G430)*25)*4</f>
        <v>5</v>
      </c>
      <c r="N430" s="1" t="s">
        <v>30</v>
      </c>
      <c r="O430" s="1" t="s">
        <v>35</v>
      </c>
      <c r="P430" s="1" t="n">
        <v>0</v>
      </c>
      <c r="Q430" s="1" t="n">
        <v>1</v>
      </c>
      <c r="R430" s="1" t="n">
        <v>0</v>
      </c>
      <c r="S430" s="1" t="n">
        <v>0</v>
      </c>
      <c r="T430" s="1" t="n">
        <v>0</v>
      </c>
      <c r="U430" s="1" t="n">
        <v>0</v>
      </c>
      <c r="V430" s="3" t="n">
        <f aca="false">SUM(P430:Q430)</f>
        <v>1</v>
      </c>
      <c r="W430" s="3" t="n">
        <f aca="false">SUM(R430:T430)</f>
        <v>0</v>
      </c>
      <c r="X430" s="10" t="n">
        <v>39970</v>
      </c>
      <c r="Y430" s="10" t="n">
        <v>39975</v>
      </c>
    </row>
    <row r="431" customFormat="false" ht="14.25" hidden="false" customHeight="false" outlineLevel="0" collapsed="false">
      <c r="A431" s="1" t="n">
        <v>2009</v>
      </c>
      <c r="B431" s="1" t="n">
        <v>1</v>
      </c>
      <c r="C431" s="2" t="s">
        <v>50</v>
      </c>
      <c r="D431" s="7" t="s">
        <v>98</v>
      </c>
      <c r="E431" s="1" t="n">
        <v>1</v>
      </c>
      <c r="F431" s="1" t="n">
        <f aca="false">Y431-X431</f>
        <v>5</v>
      </c>
      <c r="G431" s="1" t="n">
        <v>4</v>
      </c>
      <c r="H431" s="3" t="s">
        <v>92</v>
      </c>
      <c r="I431" s="3" t="s">
        <v>171</v>
      </c>
      <c r="J431" s="12" t="s">
        <v>172</v>
      </c>
      <c r="K431" s="2" t="str">
        <f aca="false">CONCATENATE(I431," ",J431)</f>
        <v>Euophrys frontalis</v>
      </c>
      <c r="L431" s="3" t="n">
        <f aca="false">SUM(P431:U431)</f>
        <v>1</v>
      </c>
      <c r="M431" s="11" t="n">
        <f aca="false">(L431/(F431*G431)*25)*4</f>
        <v>5</v>
      </c>
      <c r="N431" s="1" t="s">
        <v>30</v>
      </c>
      <c r="O431" s="1" t="s">
        <v>31</v>
      </c>
      <c r="P431" s="1" t="n">
        <v>1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3" t="n">
        <f aca="false">SUM(P431:Q431)</f>
        <v>1</v>
      </c>
      <c r="W431" s="3" t="n">
        <f aca="false">SUM(R431:T431)</f>
        <v>0</v>
      </c>
      <c r="X431" s="10" t="n">
        <v>39970</v>
      </c>
      <c r="Y431" s="10" t="n">
        <v>39975</v>
      </c>
    </row>
    <row r="432" customFormat="false" ht="14.25" hidden="false" customHeight="false" outlineLevel="0" collapsed="false">
      <c r="A432" s="1" t="n">
        <v>2009</v>
      </c>
      <c r="B432" s="1" t="n">
        <v>1</v>
      </c>
      <c r="C432" s="2" t="s">
        <v>50</v>
      </c>
      <c r="D432" s="7" t="s">
        <v>51</v>
      </c>
      <c r="E432" s="1" t="n">
        <v>1</v>
      </c>
      <c r="F432" s="1" t="n">
        <f aca="false">Y432-X432</f>
        <v>5</v>
      </c>
      <c r="G432" s="1" t="n">
        <v>5</v>
      </c>
      <c r="H432" s="13" t="s">
        <v>32</v>
      </c>
      <c r="I432" s="13" t="s">
        <v>84</v>
      </c>
      <c r="J432" s="14" t="s">
        <v>173</v>
      </c>
      <c r="K432" s="2" t="str">
        <f aca="false">CONCATENATE(I432," ",J432)</f>
        <v>Walckenaeria mitrata</v>
      </c>
      <c r="L432" s="3" t="n">
        <f aca="false">SUM(P432:U432)</f>
        <v>1</v>
      </c>
      <c r="M432" s="11" t="n">
        <f aca="false">(L432/(F432*G432)*25)*4</f>
        <v>4</v>
      </c>
      <c r="N432" s="1" t="s">
        <v>30</v>
      </c>
      <c r="O432" s="1" t="s">
        <v>35</v>
      </c>
      <c r="P432" s="1" t="n">
        <v>0</v>
      </c>
      <c r="Q432" s="1" t="n">
        <v>1</v>
      </c>
      <c r="R432" s="1" t="n">
        <v>0</v>
      </c>
      <c r="S432" s="1" t="n">
        <v>0</v>
      </c>
      <c r="T432" s="1" t="n">
        <v>0</v>
      </c>
      <c r="U432" s="1" t="n">
        <v>0</v>
      </c>
      <c r="V432" s="3" t="n">
        <f aca="false">SUM(P432:Q432)</f>
        <v>1</v>
      </c>
      <c r="W432" s="3" t="n">
        <f aca="false">SUM(R432:T432)</f>
        <v>0</v>
      </c>
      <c r="X432" s="10" t="n">
        <v>39969</v>
      </c>
      <c r="Y432" s="10" t="n">
        <v>39974</v>
      </c>
    </row>
    <row r="433" customFormat="false" ht="14.25" hidden="false" customHeight="false" outlineLevel="0" collapsed="false">
      <c r="A433" s="1" t="n">
        <v>2009</v>
      </c>
      <c r="B433" s="1" t="n">
        <v>1</v>
      </c>
      <c r="C433" s="2" t="s">
        <v>50</v>
      </c>
      <c r="D433" s="7" t="s">
        <v>51</v>
      </c>
      <c r="E433" s="1" t="n">
        <v>1</v>
      </c>
      <c r="F433" s="1" t="n">
        <f aca="false">Y433-X433</f>
        <v>5</v>
      </c>
      <c r="G433" s="1" t="n">
        <v>5</v>
      </c>
      <c r="H433" s="13" t="s">
        <v>32</v>
      </c>
      <c r="I433" s="13" t="s">
        <v>174</v>
      </c>
      <c r="J433" s="14" t="s">
        <v>175</v>
      </c>
      <c r="K433" s="2" t="str">
        <f aca="false">CONCATENATE(I433," ",J433)</f>
        <v>Neriene clathrata</v>
      </c>
      <c r="L433" s="3" t="n">
        <f aca="false">SUM(P433:U433)</f>
        <v>1</v>
      </c>
      <c r="M433" s="11" t="n">
        <f aca="false">(L433/(F433*G433)*25)*4</f>
        <v>4</v>
      </c>
      <c r="N433" s="1" t="s">
        <v>30</v>
      </c>
      <c r="O433" s="1" t="s">
        <v>31</v>
      </c>
      <c r="P433" s="1" t="n">
        <v>1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0</v>
      </c>
      <c r="V433" s="3" t="n">
        <f aca="false">SUM(P433:Q433)</f>
        <v>1</v>
      </c>
      <c r="W433" s="3" t="n">
        <f aca="false">SUM(R433:T433)</f>
        <v>0</v>
      </c>
      <c r="X433" s="10" t="n">
        <v>39969</v>
      </c>
      <c r="Y433" s="10" t="n">
        <v>39974</v>
      </c>
    </row>
    <row r="434" customFormat="false" ht="14.25" hidden="false" customHeight="false" outlineLevel="0" collapsed="false">
      <c r="A434" s="1" t="n">
        <v>2009</v>
      </c>
      <c r="B434" s="1" t="n">
        <v>1</v>
      </c>
      <c r="C434" s="2" t="s">
        <v>50</v>
      </c>
      <c r="D434" s="7" t="s">
        <v>51</v>
      </c>
      <c r="E434" s="1" t="n">
        <v>1</v>
      </c>
      <c r="F434" s="1" t="n">
        <f aca="false">Y434-X434</f>
        <v>5</v>
      </c>
      <c r="G434" s="1" t="n">
        <v>5</v>
      </c>
      <c r="H434" s="3" t="s">
        <v>32</v>
      </c>
      <c r="I434" s="3" t="s">
        <v>84</v>
      </c>
      <c r="J434" s="12" t="s">
        <v>85</v>
      </c>
      <c r="K434" s="2" t="str">
        <f aca="false">CONCATENATE(I434," ",J434)</f>
        <v>Walckenaeria antica</v>
      </c>
      <c r="L434" s="3" t="n">
        <f aca="false">SUM(P434:U434)</f>
        <v>1</v>
      </c>
      <c r="M434" s="11" t="n">
        <f aca="false">(L434/(F434*G434)*25)*4</f>
        <v>4</v>
      </c>
      <c r="N434" s="1" t="s">
        <v>30</v>
      </c>
      <c r="O434" s="1" t="s">
        <v>35</v>
      </c>
      <c r="P434" s="1" t="n">
        <v>0</v>
      </c>
      <c r="Q434" s="1" t="n">
        <v>1</v>
      </c>
      <c r="R434" s="1" t="n">
        <v>0</v>
      </c>
      <c r="S434" s="1" t="n">
        <v>0</v>
      </c>
      <c r="T434" s="1" t="n">
        <v>0</v>
      </c>
      <c r="U434" s="1" t="n">
        <v>0</v>
      </c>
      <c r="V434" s="3" t="n">
        <f aca="false">SUM(P434:Q434)</f>
        <v>1</v>
      </c>
      <c r="W434" s="3" t="n">
        <f aca="false">SUM(R434:T434)</f>
        <v>0</v>
      </c>
      <c r="X434" s="10" t="n">
        <v>39969</v>
      </c>
      <c r="Y434" s="10" t="n">
        <v>39974</v>
      </c>
    </row>
    <row r="435" customFormat="false" ht="14.25" hidden="false" customHeight="false" outlineLevel="0" collapsed="false">
      <c r="A435" s="1" t="n">
        <v>2009</v>
      </c>
      <c r="B435" s="1" t="n">
        <v>1</v>
      </c>
      <c r="C435" s="2" t="s">
        <v>50</v>
      </c>
      <c r="D435" s="7" t="s">
        <v>51</v>
      </c>
      <c r="E435" s="1" t="n">
        <v>1</v>
      </c>
      <c r="F435" s="1" t="n">
        <f aca="false">Y435-X435</f>
        <v>5</v>
      </c>
      <c r="G435" s="1" t="n">
        <v>5</v>
      </c>
      <c r="H435" s="3" t="s">
        <v>32</v>
      </c>
      <c r="I435" s="3" t="s">
        <v>84</v>
      </c>
      <c r="J435" s="3" t="s">
        <v>176</v>
      </c>
      <c r="K435" s="2" t="str">
        <f aca="false">CONCATENATE(I435," ",J435)</f>
        <v>Walckenaeria dysderoides</v>
      </c>
      <c r="L435" s="3" t="n">
        <f aca="false">SUM(P435:U435)</f>
        <v>1</v>
      </c>
      <c r="M435" s="11" t="n">
        <f aca="false">(L435/(F435*G435)*25)*4</f>
        <v>4</v>
      </c>
      <c r="N435" s="1" t="s">
        <v>30</v>
      </c>
      <c r="O435" s="1" t="s">
        <v>31</v>
      </c>
      <c r="P435" s="1" t="n">
        <v>1</v>
      </c>
      <c r="Q435" s="1" t="n">
        <v>0</v>
      </c>
      <c r="R435" s="1" t="n">
        <v>0</v>
      </c>
      <c r="S435" s="1" t="n">
        <v>0</v>
      </c>
      <c r="T435" s="1" t="n">
        <v>0</v>
      </c>
      <c r="U435" s="1" t="n">
        <v>0</v>
      </c>
      <c r="V435" s="3" t="n">
        <f aca="false">SUM(P435:Q435)</f>
        <v>1</v>
      </c>
      <c r="W435" s="3" t="n">
        <f aca="false">SUM(R435:T435)</f>
        <v>0</v>
      </c>
      <c r="X435" s="10" t="n">
        <v>39969</v>
      </c>
      <c r="Y435" s="10" t="n">
        <v>39974</v>
      </c>
    </row>
    <row r="436" customFormat="false" ht="14.25" hidden="false" customHeight="false" outlineLevel="0" collapsed="false">
      <c r="A436" s="1" t="n">
        <v>2009</v>
      </c>
      <c r="B436" s="1" t="n">
        <v>1</v>
      </c>
      <c r="C436" s="2" t="s">
        <v>50</v>
      </c>
      <c r="D436" s="7" t="s">
        <v>51</v>
      </c>
      <c r="E436" s="1" t="n">
        <v>2</v>
      </c>
      <c r="F436" s="1" t="n">
        <f aca="false">Y436-X436</f>
        <v>5</v>
      </c>
      <c r="G436" s="1" t="n">
        <v>5</v>
      </c>
      <c r="H436" s="3" t="s">
        <v>32</v>
      </c>
      <c r="I436" s="3" t="s">
        <v>154</v>
      </c>
      <c r="J436" s="3" t="s">
        <v>155</v>
      </c>
      <c r="K436" s="2" t="str">
        <f aca="false">CONCATENATE(I436," ",J436)</f>
        <v>Pocadicnemis pumila</v>
      </c>
      <c r="L436" s="3" t="n">
        <f aca="false">SUM(P436:U436)</f>
        <v>2</v>
      </c>
      <c r="M436" s="11" t="n">
        <f aca="false">(L436/(F436*G436)*25)*4</f>
        <v>8</v>
      </c>
      <c r="N436" s="1" t="s">
        <v>30</v>
      </c>
      <c r="O436" s="1" t="s">
        <v>35</v>
      </c>
      <c r="P436" s="1" t="n">
        <v>0</v>
      </c>
      <c r="Q436" s="1" t="n">
        <v>2</v>
      </c>
      <c r="R436" s="1" t="n">
        <v>0</v>
      </c>
      <c r="S436" s="1" t="n">
        <v>0</v>
      </c>
      <c r="T436" s="1" t="n">
        <v>0</v>
      </c>
      <c r="U436" s="1" t="n">
        <v>0</v>
      </c>
      <c r="V436" s="3" t="n">
        <f aca="false">SUM(P436:Q436)</f>
        <v>2</v>
      </c>
      <c r="W436" s="3" t="n">
        <f aca="false">SUM(R436:T436)</f>
        <v>0</v>
      </c>
      <c r="X436" s="10" t="n">
        <v>39969</v>
      </c>
      <c r="Y436" s="10" t="n">
        <v>39974</v>
      </c>
    </row>
    <row r="437" customFormat="false" ht="14.25" hidden="false" customHeight="false" outlineLevel="0" collapsed="false">
      <c r="A437" s="17" t="n">
        <v>2009</v>
      </c>
      <c r="B437" s="17" t="n">
        <v>1</v>
      </c>
      <c r="C437" s="2" t="s">
        <v>25</v>
      </c>
      <c r="D437" s="7" t="s">
        <v>110</v>
      </c>
      <c r="E437" s="1" t="n">
        <v>3</v>
      </c>
      <c r="F437" s="1" t="n">
        <f aca="false">Y437-X437</f>
        <v>5</v>
      </c>
      <c r="G437" s="1" t="n">
        <v>5</v>
      </c>
      <c r="H437" s="18" t="s">
        <v>32</v>
      </c>
      <c r="I437" s="18" t="s">
        <v>57</v>
      </c>
      <c r="J437" s="19" t="s">
        <v>177</v>
      </c>
      <c r="K437" s="2" t="str">
        <f aca="false">CONCATENATE(I437," ",J437)</f>
        <v>Gen sp70</v>
      </c>
      <c r="L437" s="3" t="n">
        <f aca="false">SUM(P437:U437)</f>
        <v>1</v>
      </c>
      <c r="M437" s="11" t="n">
        <f aca="false">(L437/(F437*G437)*25)*4</f>
        <v>4</v>
      </c>
      <c r="N437" s="1" t="s">
        <v>30</v>
      </c>
      <c r="O437" s="1" t="s">
        <v>35</v>
      </c>
      <c r="P437" s="17" t="n">
        <v>0</v>
      </c>
      <c r="Q437" s="17" t="n">
        <v>1</v>
      </c>
      <c r="R437" s="1" t="n">
        <v>0</v>
      </c>
      <c r="S437" s="1" t="n">
        <v>0</v>
      </c>
      <c r="T437" s="17" t="n">
        <v>0</v>
      </c>
      <c r="U437" s="1" t="n">
        <v>0</v>
      </c>
      <c r="V437" s="3" t="n">
        <f aca="false">SUM(P437:Q437)</f>
        <v>1</v>
      </c>
      <c r="W437" s="3" t="n">
        <f aca="false">SUM(R437:T437)</f>
        <v>0</v>
      </c>
      <c r="X437" s="20" t="n">
        <v>39969</v>
      </c>
      <c r="Y437" s="20" t="n">
        <v>39974</v>
      </c>
    </row>
    <row r="438" customFormat="false" ht="14.25" hidden="false" customHeight="false" outlineLevel="0" collapsed="false">
      <c r="A438" s="1" t="n">
        <v>2009</v>
      </c>
      <c r="B438" s="1" t="n">
        <v>1</v>
      </c>
      <c r="C438" s="2" t="s">
        <v>25</v>
      </c>
      <c r="D438" s="7" t="s">
        <v>110</v>
      </c>
      <c r="E438" s="1" t="n">
        <v>1</v>
      </c>
      <c r="F438" s="1" t="n">
        <f aca="false">Y438-X438</f>
        <v>5</v>
      </c>
      <c r="G438" s="1" t="n">
        <v>5</v>
      </c>
      <c r="H438" s="3" t="s">
        <v>32</v>
      </c>
      <c r="I438" s="3" t="s">
        <v>68</v>
      </c>
      <c r="J438" s="3" t="s">
        <v>178</v>
      </c>
      <c r="K438" s="2" t="str">
        <f aca="false">CONCATENATE(I438," ",J438)</f>
        <v>Centromerus brevipalpus</v>
      </c>
      <c r="L438" s="3" t="n">
        <f aca="false">SUM(P438:U438)</f>
        <v>1</v>
      </c>
      <c r="M438" s="11" t="n">
        <f aca="false">(L438/(F438*G438)*25)*4</f>
        <v>4</v>
      </c>
      <c r="N438" s="1" t="s">
        <v>30</v>
      </c>
      <c r="O438" s="1" t="s">
        <v>35</v>
      </c>
      <c r="P438" s="1" t="n">
        <v>0</v>
      </c>
      <c r="Q438" s="1" t="n">
        <v>1</v>
      </c>
      <c r="R438" s="1" t="n">
        <v>0</v>
      </c>
      <c r="S438" s="1" t="n">
        <v>0</v>
      </c>
      <c r="T438" s="1" t="n">
        <v>0</v>
      </c>
      <c r="U438" s="1" t="n">
        <v>0</v>
      </c>
      <c r="V438" s="3" t="n">
        <f aca="false">SUM(P438:Q438)</f>
        <v>1</v>
      </c>
      <c r="W438" s="3" t="n">
        <f aca="false">SUM(R438:T438)</f>
        <v>0</v>
      </c>
      <c r="X438" s="10" t="n">
        <v>39969</v>
      </c>
      <c r="Y438" s="10" t="n">
        <v>39974</v>
      </c>
    </row>
    <row r="439" customFormat="false" ht="14.25" hidden="false" customHeight="false" outlineLevel="0" collapsed="false">
      <c r="A439" s="1" t="n">
        <v>2009</v>
      </c>
      <c r="B439" s="1" t="n">
        <v>1</v>
      </c>
      <c r="C439" s="2" t="s">
        <v>25</v>
      </c>
      <c r="D439" s="7" t="s">
        <v>110</v>
      </c>
      <c r="E439" s="1" t="n">
        <v>2</v>
      </c>
      <c r="F439" s="1" t="n">
        <f aca="false">Y439-X439</f>
        <v>5</v>
      </c>
      <c r="G439" s="1" t="n">
        <v>5</v>
      </c>
      <c r="H439" s="3" t="s">
        <v>32</v>
      </c>
      <c r="I439" s="3" t="s">
        <v>169</v>
      </c>
      <c r="J439" s="3" t="s">
        <v>170</v>
      </c>
      <c r="K439" s="2" t="str">
        <f aca="false">CONCATENATE(I439," ",J439)</f>
        <v>Abacoproeces saltuum</v>
      </c>
      <c r="L439" s="3" t="n">
        <f aca="false">SUM(P439:U439)</f>
        <v>1</v>
      </c>
      <c r="M439" s="11" t="n">
        <f aca="false">(L439/(F439*G439)*25)*4</f>
        <v>4</v>
      </c>
      <c r="N439" s="1" t="s">
        <v>30</v>
      </c>
      <c r="O439" s="1" t="s">
        <v>31</v>
      </c>
      <c r="P439" s="1" t="n">
        <v>1</v>
      </c>
      <c r="Q439" s="1" t="n">
        <v>0</v>
      </c>
      <c r="R439" s="1" t="n">
        <v>0</v>
      </c>
      <c r="S439" s="1" t="n">
        <v>0</v>
      </c>
      <c r="T439" s="1" t="n">
        <v>0</v>
      </c>
      <c r="U439" s="1" t="n">
        <v>0</v>
      </c>
      <c r="V439" s="3" t="n">
        <f aca="false">SUM(P439:Q439)</f>
        <v>1</v>
      </c>
      <c r="W439" s="3" t="n">
        <f aca="false">SUM(R439:T439)</f>
        <v>0</v>
      </c>
      <c r="X439" s="10" t="n">
        <v>39969</v>
      </c>
      <c r="Y439" s="10" t="n">
        <v>39974</v>
      </c>
    </row>
    <row r="440" customFormat="false" ht="14.25" hidden="false" customHeight="false" outlineLevel="0" collapsed="false">
      <c r="A440" s="1" t="n">
        <v>2009</v>
      </c>
      <c r="B440" s="1" t="n">
        <v>1</v>
      </c>
      <c r="C440" s="2" t="s">
        <v>25</v>
      </c>
      <c r="D440" s="7" t="s">
        <v>110</v>
      </c>
      <c r="E440" s="1" t="n">
        <v>2</v>
      </c>
      <c r="F440" s="1" t="n">
        <f aca="false">Y440-X440</f>
        <v>5</v>
      </c>
      <c r="G440" s="1" t="n">
        <v>5</v>
      </c>
      <c r="H440" s="3" t="s">
        <v>32</v>
      </c>
      <c r="I440" s="3" t="s">
        <v>169</v>
      </c>
      <c r="J440" s="3" t="s">
        <v>170</v>
      </c>
      <c r="K440" s="2" t="str">
        <f aca="false">CONCATENATE(I440," ",J440)</f>
        <v>Abacoproeces saltuum</v>
      </c>
      <c r="L440" s="3" t="n">
        <f aca="false">SUM(P440:U440)</f>
        <v>1</v>
      </c>
      <c r="M440" s="11" t="n">
        <f aca="false">(L440/(F440*G440)*25)*4</f>
        <v>4</v>
      </c>
      <c r="N440" s="1" t="s">
        <v>30</v>
      </c>
      <c r="O440" s="1" t="s">
        <v>31</v>
      </c>
      <c r="P440" s="1" t="n">
        <v>1</v>
      </c>
      <c r="Q440" s="1" t="n">
        <v>0</v>
      </c>
      <c r="R440" s="1" t="n">
        <v>0</v>
      </c>
      <c r="S440" s="1" t="n">
        <v>0</v>
      </c>
      <c r="T440" s="1" t="n">
        <v>0</v>
      </c>
      <c r="U440" s="1" t="n">
        <v>0</v>
      </c>
      <c r="V440" s="3" t="n">
        <f aca="false">SUM(P440:Q440)</f>
        <v>1</v>
      </c>
      <c r="W440" s="3" t="n">
        <f aca="false">SUM(R440:T440)</f>
        <v>0</v>
      </c>
      <c r="X440" s="10" t="n">
        <v>39969</v>
      </c>
      <c r="Y440" s="10" t="n">
        <v>39974</v>
      </c>
    </row>
    <row r="441" customFormat="false" ht="14.25" hidden="false" customHeight="false" outlineLevel="0" collapsed="false">
      <c r="A441" s="1" t="n">
        <v>2009</v>
      </c>
      <c r="B441" s="1" t="n">
        <v>1</v>
      </c>
      <c r="C441" s="2" t="s">
        <v>25</v>
      </c>
      <c r="D441" s="7" t="s">
        <v>110</v>
      </c>
      <c r="E441" s="1" t="n">
        <v>2</v>
      </c>
      <c r="F441" s="1" t="n">
        <f aca="false">Y441-X441</f>
        <v>5</v>
      </c>
      <c r="G441" s="1" t="n">
        <v>5</v>
      </c>
      <c r="H441" s="3" t="s">
        <v>32</v>
      </c>
      <c r="I441" s="3" t="s">
        <v>84</v>
      </c>
      <c r="J441" s="3" t="s">
        <v>85</v>
      </c>
      <c r="K441" s="2" t="str">
        <f aca="false">CONCATENATE(I441," ",J441)</f>
        <v>Walckenaeria antica</v>
      </c>
      <c r="L441" s="3" t="n">
        <f aca="false">SUM(P441:U441)</f>
        <v>1</v>
      </c>
      <c r="M441" s="11" t="n">
        <f aca="false">(L441/(F441*G441)*25)*4</f>
        <v>4</v>
      </c>
      <c r="N441" s="1" t="s">
        <v>30</v>
      </c>
      <c r="O441" s="1" t="s">
        <v>35</v>
      </c>
      <c r="P441" s="1" t="n">
        <v>0</v>
      </c>
      <c r="Q441" s="1" t="n">
        <v>1</v>
      </c>
      <c r="R441" s="1" t="n">
        <v>0</v>
      </c>
      <c r="S441" s="1" t="n">
        <v>0</v>
      </c>
      <c r="T441" s="1" t="n">
        <v>0</v>
      </c>
      <c r="U441" s="1" t="n">
        <v>0</v>
      </c>
      <c r="V441" s="3" t="n">
        <f aca="false">SUM(P441:Q441)</f>
        <v>1</v>
      </c>
      <c r="W441" s="3" t="n">
        <f aca="false">SUM(R441:T441)</f>
        <v>0</v>
      </c>
      <c r="X441" s="10" t="n">
        <v>39969</v>
      </c>
      <c r="Y441" s="10" t="n">
        <v>39974</v>
      </c>
    </row>
    <row r="442" customFormat="false" ht="14.25" hidden="false" customHeight="false" outlineLevel="0" collapsed="false">
      <c r="A442" s="1" t="n">
        <v>2009</v>
      </c>
      <c r="B442" s="1" t="n">
        <v>1</v>
      </c>
      <c r="C442" s="2" t="s">
        <v>25</v>
      </c>
      <c r="D442" s="7" t="s">
        <v>110</v>
      </c>
      <c r="E442" s="1" t="n">
        <v>2</v>
      </c>
      <c r="F442" s="1" t="n">
        <f aca="false">Y442-X442</f>
        <v>5</v>
      </c>
      <c r="G442" s="1" t="n">
        <v>5</v>
      </c>
      <c r="H442" s="3" t="s">
        <v>32</v>
      </c>
      <c r="I442" s="3" t="s">
        <v>169</v>
      </c>
      <c r="J442" s="3" t="s">
        <v>170</v>
      </c>
      <c r="K442" s="2" t="str">
        <f aca="false">CONCATENATE(I442," ",J442)</f>
        <v>Abacoproeces saltuum</v>
      </c>
      <c r="L442" s="3" t="n">
        <f aca="false">SUM(P442:U442)</f>
        <v>1</v>
      </c>
      <c r="M442" s="11" t="n">
        <f aca="false">(L442/(F442*G442)*25)*4</f>
        <v>4</v>
      </c>
      <c r="N442" s="1" t="s">
        <v>30</v>
      </c>
      <c r="O442" s="1" t="s">
        <v>31</v>
      </c>
      <c r="P442" s="1" t="n">
        <v>1</v>
      </c>
      <c r="Q442" s="1" t="n">
        <v>0</v>
      </c>
      <c r="R442" s="1" t="n">
        <v>0</v>
      </c>
      <c r="S442" s="1" t="n">
        <v>0</v>
      </c>
      <c r="T442" s="1" t="n">
        <v>0</v>
      </c>
      <c r="U442" s="1" t="n">
        <v>0</v>
      </c>
      <c r="V442" s="3" t="n">
        <f aca="false">SUM(P442:Q442)</f>
        <v>1</v>
      </c>
      <c r="W442" s="3" t="n">
        <f aca="false">SUM(R442:T442)</f>
        <v>0</v>
      </c>
      <c r="X442" s="10" t="n">
        <v>39969</v>
      </c>
      <c r="Y442" s="10" t="n">
        <v>39974</v>
      </c>
    </row>
    <row r="443" customFormat="false" ht="14.25" hidden="false" customHeight="false" outlineLevel="0" collapsed="false">
      <c r="A443" s="1" t="n">
        <v>2009</v>
      </c>
      <c r="B443" s="1" t="n">
        <v>1</v>
      </c>
      <c r="C443" s="2" t="s">
        <v>25</v>
      </c>
      <c r="D443" s="7" t="s">
        <v>110</v>
      </c>
      <c r="E443" s="1" t="n">
        <v>2</v>
      </c>
      <c r="F443" s="1" t="n">
        <f aca="false">Y443-X443</f>
        <v>5</v>
      </c>
      <c r="G443" s="1" t="n">
        <v>5</v>
      </c>
      <c r="H443" s="3" t="s">
        <v>27</v>
      </c>
      <c r="I443" s="3" t="s">
        <v>179</v>
      </c>
      <c r="J443" s="12" t="s">
        <v>180</v>
      </c>
      <c r="K443" s="2" t="str">
        <f aca="false">CONCATENATE(I443," ",J443)</f>
        <v>Theridion varians</v>
      </c>
      <c r="L443" s="3" t="n">
        <f aca="false">SUM(P443:U443)</f>
        <v>1</v>
      </c>
      <c r="M443" s="11" t="n">
        <f aca="false">(L443/(F443*G443)*25)*4</f>
        <v>4</v>
      </c>
      <c r="N443" s="1" t="s">
        <v>30</v>
      </c>
      <c r="O443" s="1" t="s">
        <v>35</v>
      </c>
      <c r="P443" s="1" t="n">
        <v>0</v>
      </c>
      <c r="Q443" s="1" t="n">
        <v>1</v>
      </c>
      <c r="R443" s="1" t="n">
        <v>0</v>
      </c>
      <c r="S443" s="1" t="n">
        <v>0</v>
      </c>
      <c r="T443" s="1" t="n">
        <v>0</v>
      </c>
      <c r="U443" s="1" t="n">
        <v>0</v>
      </c>
      <c r="V443" s="3" t="n">
        <f aca="false">SUM(P443:Q443)</f>
        <v>1</v>
      </c>
      <c r="W443" s="3" t="n">
        <f aca="false">SUM(R443:T443)</f>
        <v>0</v>
      </c>
      <c r="X443" s="10" t="n">
        <v>39969</v>
      </c>
      <c r="Y443" s="10" t="n">
        <v>39974</v>
      </c>
    </row>
    <row r="444" customFormat="false" ht="14.25" hidden="false" customHeight="false" outlineLevel="0" collapsed="false">
      <c r="A444" s="1" t="n">
        <v>2009</v>
      </c>
      <c r="B444" s="1" t="n">
        <v>1</v>
      </c>
      <c r="C444" s="2" t="s">
        <v>25</v>
      </c>
      <c r="D444" s="7" t="s">
        <v>110</v>
      </c>
      <c r="E444" s="1" t="n">
        <v>1</v>
      </c>
      <c r="F444" s="1" t="n">
        <f aca="false">Y444-X444</f>
        <v>5</v>
      </c>
      <c r="G444" s="1" t="n">
        <v>5</v>
      </c>
      <c r="H444" s="3" t="s">
        <v>32</v>
      </c>
      <c r="I444" s="3" t="s">
        <v>84</v>
      </c>
      <c r="J444" s="3" t="s">
        <v>176</v>
      </c>
      <c r="K444" s="2" t="str">
        <f aca="false">CONCATENATE(I444," ",J444)</f>
        <v>Walckenaeria dysderoides</v>
      </c>
      <c r="L444" s="3" t="n">
        <f aca="false">SUM(P444:U444)</f>
        <v>1</v>
      </c>
      <c r="M444" s="11" t="n">
        <f aca="false">(L444/(F444*G444)*25)*4</f>
        <v>4</v>
      </c>
      <c r="N444" s="1" t="s">
        <v>30</v>
      </c>
      <c r="O444" s="1" t="s">
        <v>31</v>
      </c>
      <c r="P444" s="1" t="n">
        <v>1</v>
      </c>
      <c r="Q444" s="1" t="n">
        <v>0</v>
      </c>
      <c r="R444" s="1" t="n">
        <v>0</v>
      </c>
      <c r="S444" s="1" t="n">
        <v>0</v>
      </c>
      <c r="T444" s="1" t="n">
        <v>0</v>
      </c>
      <c r="U444" s="1" t="n">
        <v>0</v>
      </c>
      <c r="V444" s="3" t="n">
        <f aca="false">SUM(P444:Q444)</f>
        <v>1</v>
      </c>
      <c r="W444" s="3" t="n">
        <f aca="false">SUM(R444:T444)</f>
        <v>0</v>
      </c>
      <c r="X444" s="10" t="n">
        <v>39969</v>
      </c>
      <c r="Y444" s="10" t="n">
        <v>39974</v>
      </c>
    </row>
    <row r="445" customFormat="false" ht="14.25" hidden="false" customHeight="false" outlineLevel="0" collapsed="false">
      <c r="A445" s="1" t="n">
        <v>2009</v>
      </c>
      <c r="B445" s="1" t="n">
        <v>2</v>
      </c>
      <c r="C445" s="2" t="s">
        <v>50</v>
      </c>
      <c r="D445" s="7" t="s">
        <v>158</v>
      </c>
      <c r="E445" s="1" t="n">
        <v>1</v>
      </c>
      <c r="F445" s="1" t="n">
        <f aca="false">Y445-X445</f>
        <v>5</v>
      </c>
      <c r="G445" s="1" t="n">
        <v>5</v>
      </c>
      <c r="H445" s="3" t="s">
        <v>32</v>
      </c>
      <c r="I445" s="3" t="s">
        <v>33</v>
      </c>
      <c r="J445" s="8" t="s">
        <v>81</v>
      </c>
      <c r="K445" s="2" t="str">
        <f aca="false">CONCATENATE(I445," ",J445)</f>
        <v>Tenuiphantes mengei</v>
      </c>
      <c r="L445" s="3" t="n">
        <f aca="false">SUM(P445:U445)</f>
        <v>1</v>
      </c>
      <c r="M445" s="11" t="n">
        <f aca="false">(L445/(F445*G445)*25)*4</f>
        <v>4</v>
      </c>
      <c r="N445" s="1" t="s">
        <v>30</v>
      </c>
      <c r="O445" s="1" t="s">
        <v>31</v>
      </c>
      <c r="P445" s="1" t="n">
        <v>1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0</v>
      </c>
      <c r="V445" s="3" t="n">
        <f aca="false">SUM(P445:Q445)</f>
        <v>1</v>
      </c>
      <c r="W445" s="3" t="n">
        <f aca="false">SUM(R445:T445)</f>
        <v>0</v>
      </c>
      <c r="X445" s="10" t="n">
        <v>40052</v>
      </c>
      <c r="Y445" s="10" t="n">
        <v>40057</v>
      </c>
    </row>
    <row r="446" customFormat="false" ht="14.25" hidden="false" customHeight="false" outlineLevel="0" collapsed="false">
      <c r="A446" s="1" t="n">
        <v>2009</v>
      </c>
      <c r="B446" s="1" t="n">
        <v>2</v>
      </c>
      <c r="C446" s="2" t="s">
        <v>50</v>
      </c>
      <c r="D446" s="7" t="s">
        <v>158</v>
      </c>
      <c r="E446" s="1" t="n">
        <v>1</v>
      </c>
      <c r="F446" s="1" t="n">
        <f aca="false">Y446-X446</f>
        <v>5</v>
      </c>
      <c r="G446" s="1" t="n">
        <v>5</v>
      </c>
      <c r="H446" s="3" t="s">
        <v>32</v>
      </c>
      <c r="I446" s="3" t="s">
        <v>33</v>
      </c>
      <c r="J446" s="8" t="s">
        <v>81</v>
      </c>
      <c r="K446" s="2" t="str">
        <f aca="false">CONCATENATE(I446," ",J446)</f>
        <v>Tenuiphantes mengei</v>
      </c>
      <c r="L446" s="3" t="n">
        <f aca="false">SUM(P446:U446)</f>
        <v>1</v>
      </c>
      <c r="M446" s="11" t="n">
        <f aca="false">(L446/(F446*G446)*25)*4</f>
        <v>4</v>
      </c>
      <c r="N446" s="1" t="s">
        <v>30</v>
      </c>
      <c r="O446" s="1" t="s">
        <v>35</v>
      </c>
      <c r="P446" s="1" t="n">
        <v>0</v>
      </c>
      <c r="Q446" s="1" t="n">
        <v>1</v>
      </c>
      <c r="R446" s="1" t="n">
        <v>0</v>
      </c>
      <c r="S446" s="1" t="n">
        <v>0</v>
      </c>
      <c r="T446" s="1" t="n">
        <v>0</v>
      </c>
      <c r="U446" s="1" t="n">
        <v>0</v>
      </c>
      <c r="V446" s="3" t="n">
        <f aca="false">SUM(P446:Q446)</f>
        <v>1</v>
      </c>
      <c r="W446" s="3" t="n">
        <f aca="false">SUM(R446:T446)</f>
        <v>0</v>
      </c>
      <c r="X446" s="10" t="n">
        <v>40052</v>
      </c>
      <c r="Y446" s="10" t="n">
        <v>40057</v>
      </c>
    </row>
    <row r="447" customFormat="false" ht="14.25" hidden="false" customHeight="false" outlineLevel="0" collapsed="false">
      <c r="A447" s="1" t="n">
        <v>2009</v>
      </c>
      <c r="B447" s="1" t="n">
        <v>2</v>
      </c>
      <c r="C447" s="2" t="s">
        <v>50</v>
      </c>
      <c r="D447" s="7" t="s">
        <v>158</v>
      </c>
      <c r="E447" s="1" t="n">
        <v>2</v>
      </c>
      <c r="F447" s="1" t="n">
        <f aca="false">Y447-X447</f>
        <v>5</v>
      </c>
      <c r="G447" s="1" t="n">
        <v>5</v>
      </c>
      <c r="H447" s="3" t="s">
        <v>32</v>
      </c>
      <c r="I447" s="3" t="s">
        <v>33</v>
      </c>
      <c r="J447" s="8" t="s">
        <v>81</v>
      </c>
      <c r="K447" s="2" t="str">
        <f aca="false">CONCATENATE(I447," ",J447)</f>
        <v>Tenuiphantes mengei</v>
      </c>
      <c r="L447" s="3" t="n">
        <f aca="false">SUM(P447:U447)</f>
        <v>1</v>
      </c>
      <c r="M447" s="11" t="n">
        <f aca="false">(L447/(F447*G447)*25)*4</f>
        <v>4</v>
      </c>
      <c r="N447" s="1" t="s">
        <v>30</v>
      </c>
      <c r="O447" s="1" t="s">
        <v>35</v>
      </c>
      <c r="P447" s="1" t="n">
        <v>0</v>
      </c>
      <c r="Q447" s="1" t="n">
        <v>1</v>
      </c>
      <c r="R447" s="1" t="n">
        <v>0</v>
      </c>
      <c r="S447" s="1" t="n">
        <v>0</v>
      </c>
      <c r="T447" s="1" t="n">
        <v>0</v>
      </c>
      <c r="U447" s="1" t="n">
        <v>0</v>
      </c>
      <c r="V447" s="3" t="n">
        <f aca="false">SUM(P447:Q447)</f>
        <v>1</v>
      </c>
      <c r="W447" s="3" t="n">
        <f aca="false">SUM(R447:T447)</f>
        <v>0</v>
      </c>
      <c r="X447" s="10" t="n">
        <v>40052</v>
      </c>
      <c r="Y447" s="10" t="n">
        <v>40057</v>
      </c>
    </row>
    <row r="448" customFormat="false" ht="14.25" hidden="false" customHeight="false" outlineLevel="0" collapsed="false">
      <c r="A448" s="1" t="n">
        <v>2009</v>
      </c>
      <c r="B448" s="1" t="n">
        <v>2</v>
      </c>
      <c r="C448" s="2" t="s">
        <v>50</v>
      </c>
      <c r="D448" s="7" t="s">
        <v>158</v>
      </c>
      <c r="E448" s="1" t="n">
        <v>2</v>
      </c>
      <c r="F448" s="1" t="n">
        <f aca="false">Y448-X448</f>
        <v>5</v>
      </c>
      <c r="G448" s="1" t="n">
        <v>5</v>
      </c>
      <c r="H448" s="3" t="s">
        <v>32</v>
      </c>
      <c r="I448" s="3" t="s">
        <v>39</v>
      </c>
      <c r="J448" s="8" t="s">
        <v>40</v>
      </c>
      <c r="K448" s="2" t="str">
        <f aca="false">CONCATENATE(I448," ",J448)</f>
        <v>Helophora insignis</v>
      </c>
      <c r="L448" s="3" t="n">
        <f aca="false">SUM(P448:U448)</f>
        <v>1</v>
      </c>
      <c r="M448" s="11" t="n">
        <f aca="false">(L448/(F448*G448)*25)*4</f>
        <v>4</v>
      </c>
      <c r="N448" s="1" t="s">
        <v>30</v>
      </c>
      <c r="O448" s="1" t="s">
        <v>31</v>
      </c>
      <c r="P448" s="1" t="n">
        <v>1</v>
      </c>
      <c r="Q448" s="1" t="n">
        <v>0</v>
      </c>
      <c r="R448" s="1" t="n">
        <v>0</v>
      </c>
      <c r="S448" s="1" t="n">
        <v>0</v>
      </c>
      <c r="T448" s="1" t="n">
        <v>0</v>
      </c>
      <c r="U448" s="1" t="n">
        <v>0</v>
      </c>
      <c r="V448" s="3" t="n">
        <f aca="false">SUM(P448:Q448)</f>
        <v>1</v>
      </c>
      <c r="W448" s="3" t="n">
        <f aca="false">SUM(R448:T448)</f>
        <v>0</v>
      </c>
      <c r="X448" s="10" t="n">
        <v>40052</v>
      </c>
      <c r="Y448" s="10" t="n">
        <v>40057</v>
      </c>
    </row>
    <row r="449" customFormat="false" ht="14.25" hidden="false" customHeight="false" outlineLevel="0" collapsed="false">
      <c r="A449" s="1" t="n">
        <v>2009</v>
      </c>
      <c r="B449" s="1" t="n">
        <v>2</v>
      </c>
      <c r="C449" s="2" t="s">
        <v>50</v>
      </c>
      <c r="D449" s="7" t="s">
        <v>158</v>
      </c>
      <c r="E449" s="1" t="n">
        <v>3</v>
      </c>
      <c r="F449" s="1" t="n">
        <f aca="false">Y449-X449</f>
        <v>5</v>
      </c>
      <c r="G449" s="1" t="n">
        <v>5</v>
      </c>
      <c r="H449" s="13" t="s">
        <v>32</v>
      </c>
      <c r="I449" s="13" t="s">
        <v>84</v>
      </c>
      <c r="J449" s="14" t="s">
        <v>181</v>
      </c>
      <c r="K449" s="2" t="str">
        <f aca="false">CONCATENATE(I449," ",J449)</f>
        <v>Walckenaeria cucullata</v>
      </c>
      <c r="L449" s="3" t="n">
        <f aca="false">SUM(P449:U449)</f>
        <v>1</v>
      </c>
      <c r="M449" s="11" t="n">
        <f aca="false">(L449/(F449*G449)*25)*4</f>
        <v>4</v>
      </c>
      <c r="N449" s="1" t="s">
        <v>30</v>
      </c>
      <c r="O449" s="1" t="s">
        <v>35</v>
      </c>
      <c r="P449" s="1" t="n">
        <v>0</v>
      </c>
      <c r="Q449" s="1" t="n">
        <v>1</v>
      </c>
      <c r="R449" s="1" t="n">
        <v>0</v>
      </c>
      <c r="S449" s="1" t="n">
        <v>0</v>
      </c>
      <c r="T449" s="1" t="n">
        <v>0</v>
      </c>
      <c r="U449" s="1" t="n">
        <v>0</v>
      </c>
      <c r="V449" s="3" t="n">
        <f aca="false">SUM(P449:Q449)</f>
        <v>1</v>
      </c>
      <c r="W449" s="3" t="n">
        <f aca="false">SUM(R449:T449)</f>
        <v>0</v>
      </c>
      <c r="X449" s="10" t="n">
        <v>40052</v>
      </c>
      <c r="Y449" s="10" t="n">
        <v>40057</v>
      </c>
    </row>
    <row r="450" customFormat="false" ht="14.25" hidden="false" customHeight="false" outlineLevel="0" collapsed="false">
      <c r="A450" s="1" t="n">
        <v>2009</v>
      </c>
      <c r="B450" s="1" t="n">
        <v>1</v>
      </c>
      <c r="C450" s="2" t="s">
        <v>25</v>
      </c>
      <c r="D450" s="7" t="s">
        <v>26</v>
      </c>
      <c r="E450" s="1" t="n">
        <v>2</v>
      </c>
      <c r="F450" s="1" t="n">
        <f aca="false">Y450-X450</f>
        <v>5</v>
      </c>
      <c r="G450" s="1" t="n">
        <v>5</v>
      </c>
      <c r="H450" s="3" t="s">
        <v>32</v>
      </c>
      <c r="I450" s="3" t="s">
        <v>33</v>
      </c>
      <c r="J450" s="12" t="s">
        <v>60</v>
      </c>
      <c r="K450" s="2" t="str">
        <f aca="false">CONCATENATE(I450," ",J450)</f>
        <v>Tenuiphantes tenebricola</v>
      </c>
      <c r="L450" s="3" t="n">
        <f aca="false">SUM(P450:U450)</f>
        <v>2</v>
      </c>
      <c r="M450" s="11" t="n">
        <f aca="false">(L450/(F450*G450)*25)*4</f>
        <v>8</v>
      </c>
      <c r="N450" s="1" t="s">
        <v>30</v>
      </c>
      <c r="O450" s="1" t="s">
        <v>31</v>
      </c>
      <c r="P450" s="1" t="n">
        <v>2</v>
      </c>
      <c r="Q450" s="1" t="n">
        <v>0</v>
      </c>
      <c r="R450" s="1" t="n">
        <v>0</v>
      </c>
      <c r="S450" s="1" t="n">
        <v>0</v>
      </c>
      <c r="T450" s="1" t="n">
        <v>0</v>
      </c>
      <c r="U450" s="1" t="n">
        <v>0</v>
      </c>
      <c r="V450" s="3" t="n">
        <f aca="false">SUM(P450:Q450)</f>
        <v>2</v>
      </c>
      <c r="W450" s="3" t="n">
        <f aca="false">SUM(R450:T450)</f>
        <v>0</v>
      </c>
      <c r="X450" s="10" t="n">
        <v>39970</v>
      </c>
      <c r="Y450" s="10" t="n">
        <v>39975</v>
      </c>
    </row>
    <row r="451" customFormat="false" ht="14.25" hidden="false" customHeight="false" outlineLevel="0" collapsed="false">
      <c r="A451" s="1" t="n">
        <v>2009</v>
      </c>
      <c r="B451" s="1" t="n">
        <v>1</v>
      </c>
      <c r="C451" s="2" t="s">
        <v>25</v>
      </c>
      <c r="D451" s="7" t="s">
        <v>26</v>
      </c>
      <c r="E451" s="1" t="n">
        <v>2</v>
      </c>
      <c r="F451" s="1" t="n">
        <f aca="false">Y451-X451</f>
        <v>5</v>
      </c>
      <c r="G451" s="1" t="n">
        <v>5</v>
      </c>
      <c r="H451" s="3" t="s">
        <v>32</v>
      </c>
      <c r="I451" s="3" t="s">
        <v>154</v>
      </c>
      <c r="J451" s="3" t="s">
        <v>155</v>
      </c>
      <c r="K451" s="2" t="str">
        <f aca="false">CONCATENATE(I451," ",J451)</f>
        <v>Pocadicnemis pumila</v>
      </c>
      <c r="L451" s="3" t="n">
        <f aca="false">SUM(P451:U451)</f>
        <v>1</v>
      </c>
      <c r="M451" s="11" t="n">
        <f aca="false">(L451/(F451*G451)*25)*4</f>
        <v>4</v>
      </c>
      <c r="N451" s="1" t="s">
        <v>30</v>
      </c>
      <c r="O451" s="1" t="s">
        <v>35</v>
      </c>
      <c r="P451" s="1" t="n">
        <v>0</v>
      </c>
      <c r="Q451" s="1" t="n">
        <v>1</v>
      </c>
      <c r="R451" s="1" t="n">
        <v>0</v>
      </c>
      <c r="S451" s="1" t="n">
        <v>0</v>
      </c>
      <c r="T451" s="1" t="n">
        <v>0</v>
      </c>
      <c r="U451" s="1" t="n">
        <v>0</v>
      </c>
      <c r="V451" s="3" t="n">
        <f aca="false">SUM(P451:Q451)</f>
        <v>1</v>
      </c>
      <c r="W451" s="3" t="n">
        <f aca="false">SUM(R451:T451)</f>
        <v>0</v>
      </c>
      <c r="X451" s="10" t="n">
        <v>39970</v>
      </c>
      <c r="Y451" s="10" t="n">
        <v>39975</v>
      </c>
    </row>
    <row r="452" customFormat="false" ht="14.25" hidden="false" customHeight="false" outlineLevel="0" collapsed="false">
      <c r="A452" s="1" t="n">
        <v>2009</v>
      </c>
      <c r="B452" s="1" t="n">
        <v>1</v>
      </c>
      <c r="C452" s="2" t="s">
        <v>25</v>
      </c>
      <c r="D452" s="7" t="s">
        <v>26</v>
      </c>
      <c r="E452" s="1" t="n">
        <v>2</v>
      </c>
      <c r="F452" s="1" t="n">
        <f aca="false">Y452-X452</f>
        <v>5</v>
      </c>
      <c r="G452" s="1" t="n">
        <v>5</v>
      </c>
      <c r="H452" s="3" t="s">
        <v>32</v>
      </c>
      <c r="I452" s="3" t="s">
        <v>102</v>
      </c>
      <c r="J452" s="12" t="s">
        <v>182</v>
      </c>
      <c r="K452" s="2" t="str">
        <f aca="false">CONCATENATE(I452," ",J452)</f>
        <v>Agyneta ramosa</v>
      </c>
      <c r="L452" s="3" t="n">
        <f aca="false">SUM(P452:U452)</f>
        <v>2</v>
      </c>
      <c r="M452" s="11" t="n">
        <f aca="false">(L452/(F452*G452)*25)*4</f>
        <v>8</v>
      </c>
      <c r="N452" s="1" t="s">
        <v>30</v>
      </c>
      <c r="O452" s="1" t="s">
        <v>31</v>
      </c>
      <c r="P452" s="1" t="n">
        <v>2</v>
      </c>
      <c r="Q452" s="1" t="n">
        <v>0</v>
      </c>
      <c r="R452" s="1" t="n">
        <v>0</v>
      </c>
      <c r="S452" s="1" t="n">
        <v>0</v>
      </c>
      <c r="T452" s="1" t="n">
        <v>0</v>
      </c>
      <c r="U452" s="1" t="n">
        <v>0</v>
      </c>
      <c r="V452" s="3" t="n">
        <f aca="false">SUM(P452:Q452)</f>
        <v>2</v>
      </c>
      <c r="W452" s="3" t="n">
        <f aca="false">SUM(R452:T452)</f>
        <v>0</v>
      </c>
      <c r="X452" s="10" t="n">
        <v>39970</v>
      </c>
      <c r="Y452" s="10" t="n">
        <v>39975</v>
      </c>
    </row>
    <row r="453" customFormat="false" ht="14.25" hidden="false" customHeight="false" outlineLevel="0" collapsed="false">
      <c r="A453" s="1" t="n">
        <v>2009</v>
      </c>
      <c r="B453" s="1" t="n">
        <v>1</v>
      </c>
      <c r="C453" s="2" t="s">
        <v>25</v>
      </c>
      <c r="D453" s="7" t="s">
        <v>26</v>
      </c>
      <c r="E453" s="1" t="n">
        <v>2</v>
      </c>
      <c r="F453" s="1" t="n">
        <f aca="false">Y453-X453</f>
        <v>5</v>
      </c>
      <c r="G453" s="1" t="n">
        <v>5</v>
      </c>
      <c r="H453" s="3" t="s">
        <v>32</v>
      </c>
      <c r="I453" s="3" t="s">
        <v>55</v>
      </c>
      <c r="J453" s="3" t="s">
        <v>56</v>
      </c>
      <c r="K453" s="2" t="str">
        <f aca="false">CONCATENATE(I453," ",J453)</f>
        <v>Maro minutus</v>
      </c>
      <c r="L453" s="3" t="n">
        <f aca="false">SUM(P453:U453)</f>
        <v>2</v>
      </c>
      <c r="M453" s="11" t="n">
        <f aca="false">(L453/(F453*G453)*25)*4</f>
        <v>8</v>
      </c>
      <c r="N453" s="1" t="s">
        <v>30</v>
      </c>
      <c r="O453" s="1" t="s">
        <v>31</v>
      </c>
      <c r="P453" s="1" t="n">
        <v>2</v>
      </c>
      <c r="Q453" s="1" t="n">
        <v>0</v>
      </c>
      <c r="R453" s="1" t="n">
        <v>0</v>
      </c>
      <c r="S453" s="1" t="n">
        <v>0</v>
      </c>
      <c r="T453" s="1" t="n">
        <v>0</v>
      </c>
      <c r="U453" s="1" t="n">
        <v>0</v>
      </c>
      <c r="V453" s="3" t="n">
        <f aca="false">SUM(P453:Q453)</f>
        <v>2</v>
      </c>
      <c r="W453" s="3" t="n">
        <f aca="false">SUM(R453:T453)</f>
        <v>0</v>
      </c>
      <c r="X453" s="10" t="n">
        <v>39970</v>
      </c>
      <c r="Y453" s="10" t="n">
        <v>39975</v>
      </c>
    </row>
    <row r="454" customFormat="false" ht="14.25" hidden="false" customHeight="false" outlineLevel="0" collapsed="false">
      <c r="A454" s="1" t="n">
        <v>2009</v>
      </c>
      <c r="B454" s="1" t="n">
        <v>1</v>
      </c>
      <c r="C454" s="2" t="s">
        <v>25</v>
      </c>
      <c r="D454" s="7" t="s">
        <v>26</v>
      </c>
      <c r="E454" s="1" t="n">
        <v>3</v>
      </c>
      <c r="F454" s="1" t="n">
        <f aca="false">Y454-X454</f>
        <v>5</v>
      </c>
      <c r="G454" s="1" t="n">
        <v>5</v>
      </c>
      <c r="H454" s="3" t="s">
        <v>32</v>
      </c>
      <c r="I454" s="3" t="s">
        <v>102</v>
      </c>
      <c r="J454" s="12" t="s">
        <v>182</v>
      </c>
      <c r="K454" s="2" t="str">
        <f aca="false">CONCATENATE(I454," ",J454)</f>
        <v>Agyneta ramosa</v>
      </c>
      <c r="L454" s="3" t="n">
        <f aca="false">SUM(P454:U454)</f>
        <v>2</v>
      </c>
      <c r="M454" s="11" t="n">
        <f aca="false">(L454/(F454*G454)*25)*4</f>
        <v>8</v>
      </c>
      <c r="N454" s="1" t="s">
        <v>30</v>
      </c>
      <c r="O454" s="1" t="s">
        <v>31</v>
      </c>
      <c r="P454" s="1" t="n">
        <v>2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0</v>
      </c>
      <c r="V454" s="3" t="n">
        <f aca="false">SUM(P454:Q454)</f>
        <v>2</v>
      </c>
      <c r="W454" s="3" t="n">
        <f aca="false">SUM(R454:T454)</f>
        <v>0</v>
      </c>
      <c r="X454" s="10" t="n">
        <v>39970</v>
      </c>
      <c r="Y454" s="10" t="n">
        <v>39975</v>
      </c>
    </row>
    <row r="455" customFormat="false" ht="14.25" hidden="false" customHeight="false" outlineLevel="0" collapsed="false">
      <c r="A455" s="1" t="n">
        <v>2009</v>
      </c>
      <c r="B455" s="1" t="n">
        <v>1</v>
      </c>
      <c r="C455" s="2" t="s">
        <v>25</v>
      </c>
      <c r="D455" s="7" t="s">
        <v>26</v>
      </c>
      <c r="E455" s="1" t="n">
        <v>3</v>
      </c>
      <c r="F455" s="1" t="n">
        <f aca="false">Y455-X455</f>
        <v>5</v>
      </c>
      <c r="G455" s="1" t="n">
        <v>5</v>
      </c>
      <c r="H455" s="3" t="s">
        <v>32</v>
      </c>
      <c r="I455" s="3" t="s">
        <v>33</v>
      </c>
      <c r="J455" s="12" t="s">
        <v>60</v>
      </c>
      <c r="K455" s="2" t="str">
        <f aca="false">CONCATENATE(I455," ",J455)</f>
        <v>Tenuiphantes tenebricola</v>
      </c>
      <c r="L455" s="3" t="n">
        <f aca="false">SUM(P455:U455)</f>
        <v>1</v>
      </c>
      <c r="M455" s="11" t="n">
        <f aca="false">(L455/(F455*G455)*25)*4</f>
        <v>4</v>
      </c>
      <c r="N455" s="1" t="s">
        <v>30</v>
      </c>
      <c r="O455" s="1" t="s">
        <v>31</v>
      </c>
      <c r="P455" s="1" t="n">
        <v>1</v>
      </c>
      <c r="Q455" s="1" t="n">
        <v>0</v>
      </c>
      <c r="R455" s="1" t="n">
        <v>0</v>
      </c>
      <c r="S455" s="1" t="n">
        <v>0</v>
      </c>
      <c r="T455" s="1" t="n">
        <v>0</v>
      </c>
      <c r="U455" s="1" t="n">
        <v>0</v>
      </c>
      <c r="V455" s="3" t="n">
        <f aca="false">SUM(P455:Q455)</f>
        <v>1</v>
      </c>
      <c r="W455" s="3" t="n">
        <f aca="false">SUM(R455:T455)</f>
        <v>0</v>
      </c>
      <c r="X455" s="10" t="n">
        <v>39970</v>
      </c>
      <c r="Y455" s="10" t="n">
        <v>39975</v>
      </c>
    </row>
    <row r="456" customFormat="false" ht="14.25" hidden="false" customHeight="false" outlineLevel="0" collapsed="false">
      <c r="A456" s="1" t="n">
        <v>2009</v>
      </c>
      <c r="B456" s="1" t="n">
        <v>1</v>
      </c>
      <c r="C456" s="2" t="s">
        <v>25</v>
      </c>
      <c r="D456" s="7" t="s">
        <v>26</v>
      </c>
      <c r="E456" s="1" t="n">
        <v>1</v>
      </c>
      <c r="F456" s="1" t="n">
        <f aca="false">Y456-X456</f>
        <v>5</v>
      </c>
      <c r="G456" s="1" t="n">
        <v>4</v>
      </c>
      <c r="H456" s="3" t="s">
        <v>32</v>
      </c>
      <c r="I456" s="3" t="s">
        <v>102</v>
      </c>
      <c r="J456" s="12" t="s">
        <v>182</v>
      </c>
      <c r="K456" s="2" t="str">
        <f aca="false">CONCATENATE(I456," ",J456)</f>
        <v>Agyneta ramosa</v>
      </c>
      <c r="L456" s="3" t="n">
        <f aca="false">SUM(P456:U456)</f>
        <v>2</v>
      </c>
      <c r="M456" s="11" t="n">
        <f aca="false">(L456/(F456*G456)*25)*4</f>
        <v>10</v>
      </c>
      <c r="N456" s="1" t="s">
        <v>30</v>
      </c>
      <c r="O456" s="1" t="s">
        <v>31</v>
      </c>
      <c r="P456" s="1" t="n">
        <v>2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3" t="n">
        <f aca="false">SUM(P456:Q456)</f>
        <v>2</v>
      </c>
      <c r="W456" s="3" t="n">
        <f aca="false">SUM(R456:T456)</f>
        <v>0</v>
      </c>
      <c r="X456" s="10" t="n">
        <v>39970</v>
      </c>
      <c r="Y456" s="10" t="n">
        <v>39975</v>
      </c>
    </row>
    <row r="457" customFormat="false" ht="14.25" hidden="false" customHeight="false" outlineLevel="0" collapsed="false">
      <c r="A457" s="1" t="n">
        <v>2009</v>
      </c>
      <c r="B457" s="1" t="n">
        <v>1</v>
      </c>
      <c r="C457" s="2" t="s">
        <v>25</v>
      </c>
      <c r="D457" s="7" t="s">
        <v>26</v>
      </c>
      <c r="E457" s="1" t="n">
        <v>3</v>
      </c>
      <c r="F457" s="1" t="n">
        <f aca="false">Y457-X457</f>
        <v>5</v>
      </c>
      <c r="G457" s="1" t="n">
        <v>5</v>
      </c>
      <c r="H457" s="3" t="s">
        <v>32</v>
      </c>
      <c r="I457" s="3" t="s">
        <v>68</v>
      </c>
      <c r="J457" s="12" t="s">
        <v>183</v>
      </c>
      <c r="K457" s="2" t="str">
        <f aca="false">CONCATENATE(I457," ",J457)</f>
        <v>Centromerus clarus</v>
      </c>
      <c r="L457" s="3" t="n">
        <f aca="false">SUM(P457:U457)</f>
        <v>1</v>
      </c>
      <c r="M457" s="11" t="n">
        <f aca="false">(L457/(F457*G457)*25)*4</f>
        <v>4</v>
      </c>
      <c r="N457" s="1" t="s">
        <v>30</v>
      </c>
      <c r="O457" s="1" t="s">
        <v>35</v>
      </c>
      <c r="P457" s="1" t="n">
        <v>0</v>
      </c>
      <c r="Q457" s="1" t="n">
        <v>1</v>
      </c>
      <c r="R457" s="1" t="n">
        <v>0</v>
      </c>
      <c r="S457" s="1" t="n">
        <v>0</v>
      </c>
      <c r="T457" s="1" t="n">
        <v>0</v>
      </c>
      <c r="U457" s="1" t="n">
        <v>0</v>
      </c>
      <c r="V457" s="3" t="n">
        <f aca="false">SUM(P457:Q457)</f>
        <v>1</v>
      </c>
      <c r="W457" s="3" t="n">
        <f aca="false">SUM(R457:T457)</f>
        <v>0</v>
      </c>
      <c r="X457" s="10" t="n">
        <v>39970</v>
      </c>
      <c r="Y457" s="10" t="n">
        <v>39975</v>
      </c>
    </row>
    <row r="458" customFormat="false" ht="14.25" hidden="false" customHeight="false" outlineLevel="0" collapsed="false">
      <c r="A458" s="1" t="n">
        <v>2009</v>
      </c>
      <c r="B458" s="1" t="n">
        <v>1</v>
      </c>
      <c r="C458" s="2" t="s">
        <v>25</v>
      </c>
      <c r="D458" s="7" t="s">
        <v>26</v>
      </c>
      <c r="E458" s="1" t="n">
        <v>1</v>
      </c>
      <c r="F458" s="1" t="n">
        <f aca="false">Y458-X458</f>
        <v>5</v>
      </c>
      <c r="G458" s="1" t="n">
        <v>4</v>
      </c>
      <c r="H458" s="3" t="s">
        <v>32</v>
      </c>
      <c r="I458" s="3" t="s">
        <v>102</v>
      </c>
      <c r="J458" s="12" t="s">
        <v>184</v>
      </c>
      <c r="K458" s="2" t="str">
        <f aca="false">CONCATENATE(I458," ",J458)</f>
        <v>Agyneta conigera</v>
      </c>
      <c r="L458" s="3" t="n">
        <f aca="false">SUM(P458:U458)</f>
        <v>1</v>
      </c>
      <c r="M458" s="11" t="n">
        <f aca="false">(L458/(F458*G458)*25)*4</f>
        <v>5</v>
      </c>
      <c r="N458" s="1" t="s">
        <v>30</v>
      </c>
      <c r="O458" s="1" t="s">
        <v>31</v>
      </c>
      <c r="P458" s="1" t="n">
        <v>1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0</v>
      </c>
      <c r="V458" s="3" t="n">
        <f aca="false">SUM(P458:Q458)</f>
        <v>1</v>
      </c>
      <c r="W458" s="3" t="n">
        <f aca="false">SUM(R458:T458)</f>
        <v>0</v>
      </c>
      <c r="X458" s="10" t="n">
        <v>39970</v>
      </c>
      <c r="Y458" s="10" t="n">
        <v>39975</v>
      </c>
    </row>
    <row r="459" customFormat="false" ht="14.25" hidden="false" customHeight="false" outlineLevel="0" collapsed="false">
      <c r="A459" s="17" t="n">
        <v>2009</v>
      </c>
      <c r="B459" s="17" t="n">
        <v>1</v>
      </c>
      <c r="C459" s="2" t="s">
        <v>25</v>
      </c>
      <c r="D459" s="7" t="s">
        <v>26</v>
      </c>
      <c r="E459" s="1" t="n">
        <v>2</v>
      </c>
      <c r="F459" s="1" t="n">
        <f aca="false">Y459-X459</f>
        <v>5</v>
      </c>
      <c r="G459" s="1" t="n">
        <v>5</v>
      </c>
      <c r="H459" s="18" t="s">
        <v>32</v>
      </c>
      <c r="I459" s="18" t="s">
        <v>33</v>
      </c>
      <c r="J459" s="19" t="s">
        <v>185</v>
      </c>
      <c r="K459" s="2" t="str">
        <f aca="false">CONCATENATE(I459," ",J459)</f>
        <v>Tenuiphantes sp75</v>
      </c>
      <c r="L459" s="3" t="n">
        <f aca="false">SUM(P459:U459)</f>
        <v>1</v>
      </c>
      <c r="M459" s="11" t="n">
        <f aca="false">(L459/(F459*G459)*25)*4</f>
        <v>4</v>
      </c>
      <c r="N459" s="1" t="s">
        <v>30</v>
      </c>
      <c r="O459" s="1" t="s">
        <v>31</v>
      </c>
      <c r="P459" s="17" t="n">
        <v>1</v>
      </c>
      <c r="Q459" s="17" t="n">
        <v>0</v>
      </c>
      <c r="R459" s="1" t="n">
        <v>0</v>
      </c>
      <c r="S459" s="1" t="n">
        <v>0</v>
      </c>
      <c r="T459" s="17" t="n">
        <v>0</v>
      </c>
      <c r="U459" s="1" t="n">
        <v>0</v>
      </c>
      <c r="V459" s="3" t="n">
        <f aca="false">SUM(P459:Q459)</f>
        <v>1</v>
      </c>
      <c r="W459" s="3" t="n">
        <f aca="false">SUM(R459:T459)</f>
        <v>0</v>
      </c>
      <c r="X459" s="20" t="n">
        <v>39970</v>
      </c>
      <c r="Y459" s="20" t="n">
        <v>39975</v>
      </c>
    </row>
    <row r="460" customFormat="false" ht="14.25" hidden="false" customHeight="false" outlineLevel="0" collapsed="false">
      <c r="A460" s="1" t="n">
        <v>2009</v>
      </c>
      <c r="B460" s="1" t="n">
        <v>1</v>
      </c>
      <c r="C460" s="2" t="s">
        <v>25</v>
      </c>
      <c r="D460" s="7" t="s">
        <v>26</v>
      </c>
      <c r="E460" s="1" t="n">
        <v>2</v>
      </c>
      <c r="F460" s="1" t="n">
        <f aca="false">Y460-X460</f>
        <v>5</v>
      </c>
      <c r="G460" s="1" t="n">
        <v>5</v>
      </c>
      <c r="H460" s="3" t="s">
        <v>32</v>
      </c>
      <c r="I460" s="3" t="s">
        <v>68</v>
      </c>
      <c r="J460" s="12" t="s">
        <v>183</v>
      </c>
      <c r="K460" s="2" t="str">
        <f aca="false">CONCATENATE(I460," ",J460)</f>
        <v>Centromerus clarus</v>
      </c>
      <c r="L460" s="3" t="n">
        <f aca="false">SUM(P460:U460)</f>
        <v>1</v>
      </c>
      <c r="M460" s="11" t="n">
        <f aca="false">(L460/(F460*G460)*25)*4</f>
        <v>4</v>
      </c>
      <c r="N460" s="1" t="s">
        <v>30</v>
      </c>
      <c r="O460" s="1" t="s">
        <v>35</v>
      </c>
      <c r="P460" s="1" t="n">
        <v>0</v>
      </c>
      <c r="Q460" s="1" t="n">
        <v>1</v>
      </c>
      <c r="R460" s="1" t="n">
        <v>0</v>
      </c>
      <c r="S460" s="1" t="n">
        <v>0</v>
      </c>
      <c r="T460" s="1" t="n">
        <v>0</v>
      </c>
      <c r="U460" s="1" t="n">
        <v>0</v>
      </c>
      <c r="V460" s="3" t="n">
        <f aca="false">SUM(P460:Q460)</f>
        <v>1</v>
      </c>
      <c r="W460" s="3" t="n">
        <f aca="false">SUM(R460:T460)</f>
        <v>0</v>
      </c>
      <c r="X460" s="10" t="n">
        <v>39970</v>
      </c>
      <c r="Y460" s="10" t="n">
        <v>39975</v>
      </c>
    </row>
    <row r="461" customFormat="false" ht="14.25" hidden="false" customHeight="false" outlineLevel="0" collapsed="false">
      <c r="A461" s="17" t="n">
        <v>2009</v>
      </c>
      <c r="B461" s="17" t="n">
        <v>1</v>
      </c>
      <c r="C461" s="2" t="s">
        <v>25</v>
      </c>
      <c r="D461" s="7" t="s">
        <v>26</v>
      </c>
      <c r="E461" s="1" t="n">
        <v>2</v>
      </c>
      <c r="F461" s="1" t="n">
        <f aca="false">Y461-X461</f>
        <v>5</v>
      </c>
      <c r="G461" s="1" t="n">
        <v>5</v>
      </c>
      <c r="H461" s="18" t="s">
        <v>32</v>
      </c>
      <c r="I461" s="18" t="s">
        <v>102</v>
      </c>
      <c r="J461" s="19" t="s">
        <v>186</v>
      </c>
      <c r="K461" s="2" t="str">
        <f aca="false">CONCATENATE(I461," ",J461)</f>
        <v>Agyneta sp72</v>
      </c>
      <c r="L461" s="3" t="n">
        <f aca="false">SUM(P461:U461)</f>
        <v>1</v>
      </c>
      <c r="M461" s="11" t="n">
        <f aca="false">(L461/(F461*G461)*25)*4</f>
        <v>4</v>
      </c>
      <c r="N461" s="1" t="s">
        <v>30</v>
      </c>
      <c r="O461" s="1" t="s">
        <v>31</v>
      </c>
      <c r="P461" s="17" t="n">
        <v>1</v>
      </c>
      <c r="Q461" s="17" t="n">
        <v>0</v>
      </c>
      <c r="R461" s="1" t="n">
        <v>0</v>
      </c>
      <c r="S461" s="1" t="n">
        <v>0</v>
      </c>
      <c r="T461" s="17" t="n">
        <v>0</v>
      </c>
      <c r="U461" s="1" t="n">
        <v>0</v>
      </c>
      <c r="V461" s="3" t="n">
        <f aca="false">SUM(P461:Q461)</f>
        <v>1</v>
      </c>
      <c r="W461" s="3" t="n">
        <f aca="false">SUM(R461:T461)</f>
        <v>0</v>
      </c>
      <c r="X461" s="20" t="n">
        <v>39970</v>
      </c>
      <c r="Y461" s="20" t="n">
        <v>39975</v>
      </c>
    </row>
    <row r="462" customFormat="false" ht="14.25" hidden="false" customHeight="false" outlineLevel="0" collapsed="false">
      <c r="A462" s="1" t="n">
        <v>2009</v>
      </c>
      <c r="B462" s="1" t="n">
        <v>1</v>
      </c>
      <c r="C462" s="2" t="s">
        <v>25</v>
      </c>
      <c r="D462" s="7" t="s">
        <v>26</v>
      </c>
      <c r="E462" s="1" t="n">
        <v>2</v>
      </c>
      <c r="F462" s="1" t="n">
        <f aca="false">Y462-X462</f>
        <v>5</v>
      </c>
      <c r="G462" s="1" t="n">
        <v>5</v>
      </c>
      <c r="H462" s="3" t="s">
        <v>32</v>
      </c>
      <c r="I462" s="3" t="s">
        <v>107</v>
      </c>
      <c r="J462" s="12" t="s">
        <v>108</v>
      </c>
      <c r="K462" s="2" t="str">
        <f aca="false">CONCATENATE(I462," ",J462)</f>
        <v>Macrargus rufus</v>
      </c>
      <c r="L462" s="3" t="n">
        <f aca="false">SUM(P462:U462)</f>
        <v>1</v>
      </c>
      <c r="M462" s="11" t="n">
        <f aca="false">(L462/(F462*G462)*25)*4</f>
        <v>4</v>
      </c>
      <c r="N462" s="1" t="s">
        <v>30</v>
      </c>
      <c r="O462" s="1" t="s">
        <v>35</v>
      </c>
      <c r="P462" s="1" t="n">
        <v>0</v>
      </c>
      <c r="Q462" s="1" t="n">
        <v>1</v>
      </c>
      <c r="R462" s="1" t="n">
        <v>0</v>
      </c>
      <c r="S462" s="1" t="n">
        <v>0</v>
      </c>
      <c r="T462" s="1" t="n">
        <v>0</v>
      </c>
      <c r="U462" s="1" t="n">
        <v>0</v>
      </c>
      <c r="V462" s="3" t="n">
        <f aca="false">SUM(P462:Q462)</f>
        <v>1</v>
      </c>
      <c r="W462" s="3" t="n">
        <f aca="false">SUM(R462:T462)</f>
        <v>0</v>
      </c>
      <c r="X462" s="10" t="n">
        <v>39970</v>
      </c>
      <c r="Y462" s="10" t="n">
        <v>39975</v>
      </c>
    </row>
    <row r="463" customFormat="false" ht="14.25" hidden="false" customHeight="false" outlineLevel="0" collapsed="false">
      <c r="A463" s="1" t="n">
        <v>2009</v>
      </c>
      <c r="B463" s="1" t="n">
        <v>1</v>
      </c>
      <c r="C463" s="2" t="s">
        <v>25</v>
      </c>
      <c r="D463" s="7" t="s">
        <v>26</v>
      </c>
      <c r="E463" s="1" t="n">
        <v>2</v>
      </c>
      <c r="F463" s="1" t="n">
        <f aca="false">Y463-X463</f>
        <v>5</v>
      </c>
      <c r="G463" s="1" t="n">
        <v>5</v>
      </c>
      <c r="H463" s="3" t="s">
        <v>32</v>
      </c>
      <c r="I463" s="3" t="s">
        <v>102</v>
      </c>
      <c r="J463" s="8" t="s">
        <v>103</v>
      </c>
      <c r="K463" s="2" t="str">
        <f aca="false">CONCATENATE(I463," ",J463)</f>
        <v>Agyneta olivacea</v>
      </c>
      <c r="L463" s="3" t="n">
        <f aca="false">SUM(P463:U463)</f>
        <v>1</v>
      </c>
      <c r="M463" s="11" t="n">
        <f aca="false">(L463/(F463*G463)*25)*4</f>
        <v>4</v>
      </c>
      <c r="N463" s="1" t="s">
        <v>30</v>
      </c>
      <c r="O463" s="1" t="s">
        <v>31</v>
      </c>
      <c r="P463" s="1" t="n">
        <v>1</v>
      </c>
      <c r="Q463" s="1" t="n">
        <v>0</v>
      </c>
      <c r="R463" s="1" t="n">
        <v>0</v>
      </c>
      <c r="S463" s="1" t="n">
        <v>0</v>
      </c>
      <c r="T463" s="1" t="n">
        <v>0</v>
      </c>
      <c r="U463" s="1" t="n">
        <v>0</v>
      </c>
      <c r="V463" s="3" t="n">
        <f aca="false">SUM(P463:Q463)</f>
        <v>1</v>
      </c>
      <c r="W463" s="3" t="n">
        <f aca="false">SUM(R463:T463)</f>
        <v>0</v>
      </c>
      <c r="X463" s="10" t="n">
        <v>39970</v>
      </c>
      <c r="Y463" s="10" t="n">
        <v>39975</v>
      </c>
    </row>
    <row r="464" customFormat="false" ht="14.25" hidden="false" customHeight="false" outlineLevel="0" collapsed="false">
      <c r="A464" s="1" t="n">
        <v>2009</v>
      </c>
      <c r="B464" s="1" t="n">
        <v>1</v>
      </c>
      <c r="C464" s="2" t="s">
        <v>25</v>
      </c>
      <c r="D464" s="7" t="s">
        <v>26</v>
      </c>
      <c r="E464" s="1" t="n">
        <v>2</v>
      </c>
      <c r="F464" s="1" t="n">
        <f aca="false">Y464-X464</f>
        <v>5</v>
      </c>
      <c r="G464" s="1" t="n">
        <v>5</v>
      </c>
      <c r="H464" s="3" t="s">
        <v>32</v>
      </c>
      <c r="I464" s="3" t="s">
        <v>102</v>
      </c>
      <c r="J464" s="12" t="s">
        <v>182</v>
      </c>
      <c r="K464" s="2" t="str">
        <f aca="false">CONCATENATE(I464," ",J464)</f>
        <v>Agyneta ramosa</v>
      </c>
      <c r="L464" s="3" t="n">
        <f aca="false">SUM(P464:U464)</f>
        <v>1</v>
      </c>
      <c r="M464" s="11" t="n">
        <f aca="false">(L464/(F464*G464)*25)*4</f>
        <v>4</v>
      </c>
      <c r="N464" s="1" t="s">
        <v>30</v>
      </c>
      <c r="O464" s="1" t="s">
        <v>31</v>
      </c>
      <c r="P464" s="1" t="n">
        <v>1</v>
      </c>
      <c r="Q464" s="1" t="n">
        <v>0</v>
      </c>
      <c r="R464" s="1" t="n">
        <v>0</v>
      </c>
      <c r="S464" s="1" t="n">
        <v>0</v>
      </c>
      <c r="T464" s="1" t="n">
        <v>0</v>
      </c>
      <c r="U464" s="1" t="n">
        <v>0</v>
      </c>
      <c r="V464" s="3" t="n">
        <f aca="false">SUM(P464:Q464)</f>
        <v>1</v>
      </c>
      <c r="W464" s="3" t="n">
        <f aca="false">SUM(R464:T464)</f>
        <v>0</v>
      </c>
      <c r="X464" s="10" t="n">
        <v>39970</v>
      </c>
      <c r="Y464" s="10" t="n">
        <v>39975</v>
      </c>
    </row>
    <row r="465" customFormat="false" ht="14.25" hidden="false" customHeight="false" outlineLevel="0" collapsed="false">
      <c r="A465" s="1" t="n">
        <v>2009</v>
      </c>
      <c r="B465" s="1" t="n">
        <v>1</v>
      </c>
      <c r="C465" s="2" t="s">
        <v>25</v>
      </c>
      <c r="D465" s="7" t="s">
        <v>26</v>
      </c>
      <c r="E465" s="1" t="n">
        <v>3</v>
      </c>
      <c r="F465" s="1" t="n">
        <f aca="false">Y465-X465</f>
        <v>5</v>
      </c>
      <c r="G465" s="1" t="n">
        <v>5</v>
      </c>
      <c r="H465" s="3" t="s">
        <v>32</v>
      </c>
      <c r="I465" s="3" t="s">
        <v>39</v>
      </c>
      <c r="J465" s="12" t="s">
        <v>40</v>
      </c>
      <c r="K465" s="2" t="str">
        <f aca="false">CONCATENATE(I465," ",J465)</f>
        <v>Helophora insignis</v>
      </c>
      <c r="L465" s="3" t="n">
        <f aca="false">SUM(P465:U465)</f>
        <v>1</v>
      </c>
      <c r="M465" s="11" t="n">
        <f aca="false">(L465/(F465*G465)*25)*4</f>
        <v>4</v>
      </c>
      <c r="N465" s="1" t="s">
        <v>30</v>
      </c>
      <c r="O465" s="1" t="s">
        <v>31</v>
      </c>
      <c r="P465" s="1" t="n">
        <v>1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3" t="n">
        <f aca="false">SUM(P465:Q465)</f>
        <v>1</v>
      </c>
      <c r="W465" s="3" t="n">
        <f aca="false">SUM(R465:T465)</f>
        <v>0</v>
      </c>
      <c r="X465" s="10" t="n">
        <v>39970</v>
      </c>
      <c r="Y465" s="10" t="n">
        <v>39975</v>
      </c>
    </row>
    <row r="466" customFormat="false" ht="14.25" hidden="false" customHeight="false" outlineLevel="0" collapsed="false">
      <c r="A466" s="1" t="n">
        <v>2009</v>
      </c>
      <c r="B466" s="1" t="n">
        <v>1</v>
      </c>
      <c r="C466" s="2" t="s">
        <v>25</v>
      </c>
      <c r="D466" s="7" t="s">
        <v>26</v>
      </c>
      <c r="E466" s="1" t="n">
        <v>3</v>
      </c>
      <c r="F466" s="1" t="n">
        <f aca="false">Y466-X466</f>
        <v>5</v>
      </c>
      <c r="G466" s="1" t="n">
        <v>5</v>
      </c>
      <c r="H466" s="3" t="s">
        <v>32</v>
      </c>
      <c r="I466" s="3" t="s">
        <v>102</v>
      </c>
      <c r="J466" s="12" t="s">
        <v>182</v>
      </c>
      <c r="K466" s="2" t="str">
        <f aca="false">CONCATENATE(I466," ",J466)</f>
        <v>Agyneta ramosa</v>
      </c>
      <c r="L466" s="3" t="n">
        <f aca="false">SUM(P466:U466)</f>
        <v>1</v>
      </c>
      <c r="M466" s="11" t="n">
        <f aca="false">(L466/(F466*G466)*25)*4</f>
        <v>4</v>
      </c>
      <c r="N466" s="1" t="s">
        <v>30</v>
      </c>
      <c r="O466" s="1" t="s">
        <v>31</v>
      </c>
      <c r="P466" s="1" t="n">
        <v>1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0</v>
      </c>
      <c r="V466" s="3" t="n">
        <f aca="false">SUM(P466:Q466)</f>
        <v>1</v>
      </c>
      <c r="W466" s="3" t="n">
        <f aca="false">SUM(R466:T466)</f>
        <v>0</v>
      </c>
      <c r="X466" s="10" t="n">
        <v>39970</v>
      </c>
      <c r="Y466" s="10" t="n">
        <v>39975</v>
      </c>
    </row>
    <row r="467" customFormat="false" ht="14.25" hidden="false" customHeight="false" outlineLevel="0" collapsed="false">
      <c r="A467" s="1" t="n">
        <v>2009</v>
      </c>
      <c r="B467" s="1" t="n">
        <v>1</v>
      </c>
      <c r="C467" s="2" t="s">
        <v>25</v>
      </c>
      <c r="D467" s="7" t="s">
        <v>26</v>
      </c>
      <c r="E467" s="1" t="n">
        <v>3</v>
      </c>
      <c r="F467" s="1" t="n">
        <f aca="false">Y467-X467</f>
        <v>5</v>
      </c>
      <c r="G467" s="1" t="n">
        <v>5</v>
      </c>
      <c r="H467" s="3" t="s">
        <v>32</v>
      </c>
      <c r="I467" s="3" t="s">
        <v>68</v>
      </c>
      <c r="J467" s="12" t="s">
        <v>183</v>
      </c>
      <c r="K467" s="2" t="str">
        <f aca="false">CONCATENATE(I467," ",J467)</f>
        <v>Centromerus clarus</v>
      </c>
      <c r="L467" s="3" t="n">
        <f aca="false">SUM(P467:U467)</f>
        <v>1</v>
      </c>
      <c r="M467" s="11" t="n">
        <f aca="false">(L467/(F467*G467)*25)*4</f>
        <v>4</v>
      </c>
      <c r="N467" s="1" t="s">
        <v>30</v>
      </c>
      <c r="O467" s="1" t="s">
        <v>35</v>
      </c>
      <c r="P467" s="1" t="n">
        <v>0</v>
      </c>
      <c r="Q467" s="1" t="n">
        <v>1</v>
      </c>
      <c r="R467" s="1" t="n">
        <v>0</v>
      </c>
      <c r="S467" s="1" t="n">
        <v>0</v>
      </c>
      <c r="T467" s="1" t="n">
        <v>0</v>
      </c>
      <c r="U467" s="1" t="n">
        <v>0</v>
      </c>
      <c r="V467" s="3" t="n">
        <f aca="false">SUM(P467:Q467)</f>
        <v>1</v>
      </c>
      <c r="W467" s="3" t="n">
        <f aca="false">SUM(R467:T467)</f>
        <v>0</v>
      </c>
      <c r="X467" s="10" t="n">
        <v>39970</v>
      </c>
      <c r="Y467" s="10" t="n">
        <v>39975</v>
      </c>
    </row>
    <row r="468" customFormat="false" ht="14.25" hidden="false" customHeight="false" outlineLevel="0" collapsed="false">
      <c r="A468" s="1" t="n">
        <v>2009</v>
      </c>
      <c r="B468" s="1" t="n">
        <v>1</v>
      </c>
      <c r="C468" s="2" t="s">
        <v>25</v>
      </c>
      <c r="D468" s="7" t="s">
        <v>26</v>
      </c>
      <c r="E468" s="1" t="n">
        <v>1</v>
      </c>
      <c r="F468" s="1" t="n">
        <f aca="false">Y468-X468</f>
        <v>5</v>
      </c>
      <c r="G468" s="1" t="n">
        <v>4</v>
      </c>
      <c r="H468" s="3" t="s">
        <v>32</v>
      </c>
      <c r="I468" s="3" t="s">
        <v>68</v>
      </c>
      <c r="J468" s="12" t="s">
        <v>183</v>
      </c>
      <c r="K468" s="2" t="str">
        <f aca="false">CONCATENATE(I468," ",J468)</f>
        <v>Centromerus clarus</v>
      </c>
      <c r="L468" s="3" t="n">
        <f aca="false">SUM(P468:U468)</f>
        <v>1</v>
      </c>
      <c r="M468" s="11" t="n">
        <f aca="false">(L468/(F468*G468)*25)*4</f>
        <v>5</v>
      </c>
      <c r="N468" s="1" t="s">
        <v>30</v>
      </c>
      <c r="O468" s="1" t="s">
        <v>35</v>
      </c>
      <c r="P468" s="1" t="n">
        <v>0</v>
      </c>
      <c r="Q468" s="1" t="n">
        <v>1</v>
      </c>
      <c r="R468" s="1" t="n">
        <v>0</v>
      </c>
      <c r="S468" s="1" t="n">
        <v>0</v>
      </c>
      <c r="T468" s="1" t="n">
        <v>0</v>
      </c>
      <c r="U468" s="1" t="n">
        <v>0</v>
      </c>
      <c r="V468" s="3" t="n">
        <f aca="false">SUM(P468:Q468)</f>
        <v>1</v>
      </c>
      <c r="W468" s="3" t="n">
        <f aca="false">SUM(R468:T468)</f>
        <v>0</v>
      </c>
      <c r="X468" s="10" t="n">
        <v>39970</v>
      </c>
      <c r="Y468" s="10" t="n">
        <v>39975</v>
      </c>
    </row>
    <row r="469" customFormat="false" ht="14.25" hidden="false" customHeight="false" outlineLevel="0" collapsed="false">
      <c r="A469" s="1" t="n">
        <v>2009</v>
      </c>
      <c r="B469" s="1" t="n">
        <v>1</v>
      </c>
      <c r="C469" s="2" t="s">
        <v>25</v>
      </c>
      <c r="D469" s="7" t="s">
        <v>26</v>
      </c>
      <c r="E469" s="1" t="n">
        <v>1</v>
      </c>
      <c r="F469" s="1" t="n">
        <f aca="false">Y469-X469</f>
        <v>5</v>
      </c>
      <c r="G469" s="1" t="n">
        <v>4</v>
      </c>
      <c r="H469" s="3" t="s">
        <v>32</v>
      </c>
      <c r="I469" s="3" t="s">
        <v>102</v>
      </c>
      <c r="J469" s="12" t="s">
        <v>182</v>
      </c>
      <c r="K469" s="2" t="str">
        <f aca="false">CONCATENATE(I469," ",J469)</f>
        <v>Agyneta ramosa</v>
      </c>
      <c r="L469" s="3" t="n">
        <f aca="false">SUM(P469:U469)</f>
        <v>2</v>
      </c>
      <c r="M469" s="11" t="n">
        <f aca="false">(L469/(F469*G469)*25)*4</f>
        <v>10</v>
      </c>
      <c r="N469" s="1" t="s">
        <v>30</v>
      </c>
      <c r="O469" s="1" t="s">
        <v>31</v>
      </c>
      <c r="P469" s="1" t="n">
        <v>2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3" t="n">
        <f aca="false">SUM(P469:Q469)</f>
        <v>2</v>
      </c>
      <c r="W469" s="3" t="n">
        <f aca="false">SUM(R469:T469)</f>
        <v>0</v>
      </c>
      <c r="X469" s="10" t="n">
        <v>39970</v>
      </c>
      <c r="Y469" s="10" t="n">
        <v>39975</v>
      </c>
    </row>
    <row r="470" customFormat="false" ht="14.25" hidden="false" customHeight="false" outlineLevel="0" collapsed="false">
      <c r="A470" s="1" t="n">
        <v>2009</v>
      </c>
      <c r="B470" s="1" t="n">
        <v>1</v>
      </c>
      <c r="C470" s="2" t="s">
        <v>25</v>
      </c>
      <c r="D470" s="7" t="s">
        <v>26</v>
      </c>
      <c r="E470" s="1" t="n">
        <v>2</v>
      </c>
      <c r="F470" s="1" t="n">
        <f aca="false">Y470-X470</f>
        <v>5</v>
      </c>
      <c r="G470" s="1" t="n">
        <v>5</v>
      </c>
      <c r="H470" s="3" t="s">
        <v>32</v>
      </c>
      <c r="I470" s="3" t="s">
        <v>33</v>
      </c>
      <c r="J470" s="12" t="s">
        <v>60</v>
      </c>
      <c r="K470" s="2" t="str">
        <f aca="false">CONCATENATE(I470," ",J470)</f>
        <v>Tenuiphantes tenebricola</v>
      </c>
      <c r="L470" s="3" t="n">
        <f aca="false">SUM(P470:U470)</f>
        <v>1</v>
      </c>
      <c r="M470" s="11" t="n">
        <f aca="false">(L470/(F470*G470)*25)*4</f>
        <v>4</v>
      </c>
      <c r="N470" s="1" t="s">
        <v>30</v>
      </c>
      <c r="O470" s="1" t="s">
        <v>31</v>
      </c>
      <c r="P470" s="1" t="n">
        <v>1</v>
      </c>
      <c r="Q470" s="1" t="n">
        <v>0</v>
      </c>
      <c r="R470" s="1" t="n">
        <v>0</v>
      </c>
      <c r="S470" s="1" t="n">
        <v>0</v>
      </c>
      <c r="T470" s="1" t="n">
        <v>0</v>
      </c>
      <c r="U470" s="1" t="n">
        <v>0</v>
      </c>
      <c r="V470" s="3" t="n">
        <f aca="false">SUM(P470:Q470)</f>
        <v>1</v>
      </c>
      <c r="W470" s="3" t="n">
        <f aca="false">SUM(R470:T470)</f>
        <v>0</v>
      </c>
      <c r="X470" s="10" t="n">
        <v>39970</v>
      </c>
      <c r="Y470" s="10" t="n">
        <v>39975</v>
      </c>
    </row>
    <row r="471" customFormat="false" ht="14.25" hidden="false" customHeight="false" outlineLevel="0" collapsed="false">
      <c r="A471" s="1" t="n">
        <v>2009</v>
      </c>
      <c r="B471" s="1" t="n">
        <v>1</v>
      </c>
      <c r="C471" s="2" t="s">
        <v>25</v>
      </c>
      <c r="D471" s="7" t="s">
        <v>26</v>
      </c>
      <c r="E471" s="1" t="n">
        <v>2</v>
      </c>
      <c r="F471" s="1" t="n">
        <f aca="false">Y471-X471</f>
        <v>5</v>
      </c>
      <c r="G471" s="1" t="n">
        <v>5</v>
      </c>
      <c r="H471" s="3" t="s">
        <v>32</v>
      </c>
      <c r="I471" s="3" t="s">
        <v>102</v>
      </c>
      <c r="J471" s="12" t="s">
        <v>182</v>
      </c>
      <c r="K471" s="2" t="str">
        <f aca="false">CONCATENATE(I471," ",J471)</f>
        <v>Agyneta ramosa</v>
      </c>
      <c r="L471" s="3" t="n">
        <f aca="false">SUM(P471:U471)</f>
        <v>1</v>
      </c>
      <c r="M471" s="11" t="n">
        <f aca="false">(L471/(F471*G471)*25)*4</f>
        <v>4</v>
      </c>
      <c r="N471" s="1" t="s">
        <v>30</v>
      </c>
      <c r="O471" s="1" t="s">
        <v>31</v>
      </c>
      <c r="P471" s="1" t="n">
        <v>1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3" t="n">
        <f aca="false">SUM(P471:Q471)</f>
        <v>1</v>
      </c>
      <c r="W471" s="3" t="n">
        <f aca="false">SUM(R471:T471)</f>
        <v>0</v>
      </c>
      <c r="X471" s="10" t="n">
        <v>39970</v>
      </c>
      <c r="Y471" s="10" t="n">
        <v>39975</v>
      </c>
    </row>
    <row r="472" customFormat="false" ht="14.25" hidden="false" customHeight="false" outlineLevel="0" collapsed="false">
      <c r="A472" s="1" t="n">
        <v>2009</v>
      </c>
      <c r="B472" s="1" t="n">
        <v>1</v>
      </c>
      <c r="C472" s="2" t="s">
        <v>25</v>
      </c>
      <c r="D472" s="7" t="s">
        <v>26</v>
      </c>
      <c r="E472" s="1" t="n">
        <v>2</v>
      </c>
      <c r="F472" s="1" t="n">
        <f aca="false">Y472-X472</f>
        <v>5</v>
      </c>
      <c r="G472" s="1" t="n">
        <v>5</v>
      </c>
      <c r="H472" s="13" t="s">
        <v>187</v>
      </c>
      <c r="I472" s="13" t="s">
        <v>188</v>
      </c>
      <c r="J472" s="14" t="s">
        <v>189</v>
      </c>
      <c r="K472" s="2" t="str">
        <f aca="false">CONCATENATE(I472," ",J472)</f>
        <v>Ero furcata</v>
      </c>
      <c r="L472" s="3" t="n">
        <f aca="false">SUM(P472:U472)</f>
        <v>1</v>
      </c>
      <c r="M472" s="11" t="n">
        <f aca="false">(L472/(F472*G472)*25)*4</f>
        <v>4</v>
      </c>
      <c r="N472" s="1" t="s">
        <v>30</v>
      </c>
      <c r="O472" s="1" t="s">
        <v>31</v>
      </c>
      <c r="P472" s="1" t="n">
        <v>1</v>
      </c>
      <c r="Q472" s="1" t="n">
        <v>0</v>
      </c>
      <c r="R472" s="1" t="n">
        <v>0</v>
      </c>
      <c r="S472" s="1" t="n">
        <v>0</v>
      </c>
      <c r="T472" s="1" t="n">
        <v>0</v>
      </c>
      <c r="U472" s="1" t="n">
        <v>0</v>
      </c>
      <c r="V472" s="3" t="n">
        <f aca="false">SUM(P472:Q472)</f>
        <v>1</v>
      </c>
      <c r="W472" s="3" t="n">
        <f aca="false">SUM(R472:T472)</f>
        <v>0</v>
      </c>
      <c r="X472" s="10" t="n">
        <v>39970</v>
      </c>
      <c r="Y472" s="10" t="n">
        <v>39975</v>
      </c>
    </row>
    <row r="473" customFormat="false" ht="14.25" hidden="false" customHeight="false" outlineLevel="0" collapsed="false">
      <c r="A473" s="1" t="n">
        <v>2009</v>
      </c>
      <c r="B473" s="1" t="n">
        <v>1</v>
      </c>
      <c r="C473" s="2" t="s">
        <v>25</v>
      </c>
      <c r="D473" s="7" t="s">
        <v>26</v>
      </c>
      <c r="E473" s="1" t="n">
        <v>2</v>
      </c>
      <c r="F473" s="1" t="n">
        <f aca="false">Y473-X473</f>
        <v>5</v>
      </c>
      <c r="G473" s="1" t="n">
        <v>5</v>
      </c>
      <c r="H473" s="3" t="s">
        <v>32</v>
      </c>
      <c r="I473" s="3" t="s">
        <v>107</v>
      </c>
      <c r="J473" s="12" t="s">
        <v>108</v>
      </c>
      <c r="K473" s="2" t="str">
        <f aca="false">CONCATENATE(I473," ",J473)</f>
        <v>Macrargus rufus</v>
      </c>
      <c r="L473" s="3" t="n">
        <f aca="false">SUM(P473:U473)</f>
        <v>1</v>
      </c>
      <c r="M473" s="11" t="n">
        <f aca="false">(L473/(F473*G473)*25)*4</f>
        <v>4</v>
      </c>
      <c r="N473" s="1" t="s">
        <v>30</v>
      </c>
      <c r="O473" s="1" t="s">
        <v>35</v>
      </c>
      <c r="P473" s="1" t="n">
        <v>0</v>
      </c>
      <c r="Q473" s="1" t="n">
        <v>1</v>
      </c>
      <c r="R473" s="1" t="n">
        <v>0</v>
      </c>
      <c r="S473" s="1" t="n">
        <v>0</v>
      </c>
      <c r="T473" s="1" t="n">
        <v>0</v>
      </c>
      <c r="U473" s="1" t="n">
        <v>0</v>
      </c>
      <c r="V473" s="3" t="n">
        <f aca="false">SUM(P473:Q473)</f>
        <v>1</v>
      </c>
      <c r="W473" s="3" t="n">
        <f aca="false">SUM(R473:T473)</f>
        <v>0</v>
      </c>
      <c r="X473" s="10" t="n">
        <v>39970</v>
      </c>
      <c r="Y473" s="10" t="n">
        <v>39975</v>
      </c>
    </row>
    <row r="474" customFormat="false" ht="14.25" hidden="false" customHeight="false" outlineLevel="0" collapsed="false">
      <c r="A474" s="1" t="n">
        <v>2009</v>
      </c>
      <c r="B474" s="1" t="n">
        <v>1</v>
      </c>
      <c r="C474" s="2" t="s">
        <v>25</v>
      </c>
      <c r="D474" s="7" t="s">
        <v>26</v>
      </c>
      <c r="E474" s="1" t="n">
        <v>3</v>
      </c>
      <c r="F474" s="1" t="n">
        <f aca="false">Y474-X474</f>
        <v>5</v>
      </c>
      <c r="G474" s="1" t="n">
        <v>5</v>
      </c>
      <c r="H474" s="3" t="s">
        <v>32</v>
      </c>
      <c r="I474" s="3" t="s">
        <v>102</v>
      </c>
      <c r="J474" s="12" t="s">
        <v>103</v>
      </c>
      <c r="K474" s="2" t="str">
        <f aca="false">CONCATENATE(I474," ",J474)</f>
        <v>Agyneta olivacea</v>
      </c>
      <c r="L474" s="3" t="n">
        <f aca="false">SUM(P474:U474)</f>
        <v>1</v>
      </c>
      <c r="M474" s="11" t="n">
        <f aca="false">(L474/(F474*G474)*25)*4</f>
        <v>4</v>
      </c>
      <c r="N474" s="1" t="s">
        <v>30</v>
      </c>
      <c r="O474" s="1" t="s">
        <v>31</v>
      </c>
      <c r="P474" s="1" t="n">
        <v>1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3" t="n">
        <f aca="false">SUM(P474:Q474)</f>
        <v>1</v>
      </c>
      <c r="W474" s="3" t="n">
        <f aca="false">SUM(R474:T474)</f>
        <v>0</v>
      </c>
      <c r="X474" s="10" t="n">
        <v>39970</v>
      </c>
      <c r="Y474" s="10" t="n">
        <v>39975</v>
      </c>
    </row>
    <row r="475" customFormat="false" ht="14.25" hidden="false" customHeight="false" outlineLevel="0" collapsed="false">
      <c r="A475" s="1" t="n">
        <v>2009</v>
      </c>
      <c r="B475" s="1" t="n">
        <v>1</v>
      </c>
      <c r="C475" s="2" t="s">
        <v>25</v>
      </c>
      <c r="D475" s="7" t="s">
        <v>26</v>
      </c>
      <c r="E475" s="1" t="n">
        <v>3</v>
      </c>
      <c r="F475" s="1" t="n">
        <f aca="false">Y475-X475</f>
        <v>5</v>
      </c>
      <c r="G475" s="1" t="n">
        <v>5</v>
      </c>
      <c r="H475" s="3" t="s">
        <v>48</v>
      </c>
      <c r="I475" s="3" t="s">
        <v>67</v>
      </c>
      <c r="J475" s="12" t="s">
        <v>127</v>
      </c>
      <c r="K475" s="2" t="str">
        <f aca="false">CONCATENATE(I475," ",J475)</f>
        <v>Pardosa lugubris</v>
      </c>
      <c r="L475" s="3" t="n">
        <f aca="false">SUM(P475:U475)</f>
        <v>1</v>
      </c>
      <c r="M475" s="11" t="n">
        <f aca="false">(L475/(F475*G475)*25)*4</f>
        <v>4</v>
      </c>
      <c r="N475" s="1" t="s">
        <v>30</v>
      </c>
      <c r="O475" s="1" t="s">
        <v>31</v>
      </c>
      <c r="P475" s="1" t="n">
        <v>1</v>
      </c>
      <c r="Q475" s="1" t="n">
        <v>0</v>
      </c>
      <c r="R475" s="1" t="n">
        <v>0</v>
      </c>
      <c r="S475" s="1" t="n">
        <v>0</v>
      </c>
      <c r="T475" s="1" t="n">
        <v>0</v>
      </c>
      <c r="U475" s="1" t="n">
        <v>0</v>
      </c>
      <c r="V475" s="3" t="n">
        <f aca="false">SUM(P475:Q475)</f>
        <v>1</v>
      </c>
      <c r="W475" s="3" t="n">
        <f aca="false">SUM(R475:T475)</f>
        <v>0</v>
      </c>
      <c r="X475" s="10" t="n">
        <v>39970</v>
      </c>
      <c r="Y475" s="10" t="n">
        <v>39975</v>
      </c>
    </row>
    <row r="476" customFormat="false" ht="14.25" hidden="false" customHeight="false" outlineLevel="0" collapsed="false">
      <c r="A476" s="1" t="n">
        <v>2009</v>
      </c>
      <c r="B476" s="1" t="n">
        <v>1</v>
      </c>
      <c r="C476" s="2" t="s">
        <v>25</v>
      </c>
      <c r="D476" s="7" t="s">
        <v>110</v>
      </c>
      <c r="E476" s="1" t="n">
        <v>3</v>
      </c>
      <c r="F476" s="1" t="n">
        <f aca="false">Y476-X476</f>
        <v>5</v>
      </c>
      <c r="G476" s="1" t="n">
        <v>5</v>
      </c>
      <c r="H476" s="3" t="s">
        <v>36</v>
      </c>
      <c r="I476" s="3" t="s">
        <v>37</v>
      </c>
      <c r="J476" s="8" t="s">
        <v>75</v>
      </c>
      <c r="K476" s="2" t="str">
        <f aca="false">CONCATENATE(I476," ",J476)</f>
        <v>Ozyptila praticola</v>
      </c>
      <c r="L476" s="3" t="n">
        <f aca="false">SUM(P476:U476)</f>
        <v>1</v>
      </c>
      <c r="M476" s="11" t="n">
        <f aca="false">(L476/(F476*G476)*25)*4</f>
        <v>4</v>
      </c>
      <c r="N476" s="1" t="s">
        <v>30</v>
      </c>
      <c r="O476" s="1" t="s">
        <v>31</v>
      </c>
      <c r="P476" s="1" t="n">
        <v>1</v>
      </c>
      <c r="Q476" s="1" t="n">
        <v>0</v>
      </c>
      <c r="R476" s="1" t="n">
        <v>0</v>
      </c>
      <c r="S476" s="1" t="n">
        <v>0</v>
      </c>
      <c r="T476" s="1" t="n">
        <v>0</v>
      </c>
      <c r="U476" s="1" t="n">
        <v>0</v>
      </c>
      <c r="V476" s="3" t="n">
        <f aca="false">SUM(P476:Q476)</f>
        <v>1</v>
      </c>
      <c r="W476" s="3" t="n">
        <f aca="false">SUM(R476:T476)</f>
        <v>0</v>
      </c>
      <c r="X476" s="10" t="n">
        <v>39969</v>
      </c>
      <c r="Y476" s="10" t="n">
        <v>39974</v>
      </c>
    </row>
    <row r="477" customFormat="false" ht="14.25" hidden="false" customHeight="false" outlineLevel="0" collapsed="false">
      <c r="A477" s="1" t="n">
        <v>2009</v>
      </c>
      <c r="B477" s="1" t="n">
        <v>1</v>
      </c>
      <c r="C477" s="2" t="s">
        <v>50</v>
      </c>
      <c r="D477" s="7" t="s">
        <v>83</v>
      </c>
      <c r="E477" s="1" t="n">
        <v>2</v>
      </c>
      <c r="F477" s="1" t="n">
        <f aca="false">Y477-X477</f>
        <v>5</v>
      </c>
      <c r="G477" s="1" t="n">
        <v>5</v>
      </c>
      <c r="H477" s="3" t="s">
        <v>48</v>
      </c>
      <c r="I477" s="3" t="s">
        <v>49</v>
      </c>
      <c r="J477" s="8" t="s">
        <v>130</v>
      </c>
      <c r="K477" s="2" t="str">
        <f aca="false">CONCATENATE(I477," ",J477)</f>
        <v>Alopecosa aculeata</v>
      </c>
      <c r="L477" s="3" t="n">
        <f aca="false">SUM(P477:U477)</f>
        <v>1</v>
      </c>
      <c r="M477" s="11" t="n">
        <f aca="false">(L477/(F477*G477)*25)*4</f>
        <v>4</v>
      </c>
      <c r="N477" s="1" t="s">
        <v>30</v>
      </c>
      <c r="O477" s="1" t="s">
        <v>31</v>
      </c>
      <c r="P477" s="1" t="n">
        <v>1</v>
      </c>
      <c r="Q477" s="1" t="n">
        <v>0</v>
      </c>
      <c r="R477" s="1" t="n">
        <v>0</v>
      </c>
      <c r="S477" s="1" t="n">
        <v>0</v>
      </c>
      <c r="T477" s="1" t="n">
        <v>0</v>
      </c>
      <c r="U477" s="1" t="n">
        <v>0</v>
      </c>
      <c r="V477" s="3" t="n">
        <f aca="false">SUM(P477:Q477)</f>
        <v>1</v>
      </c>
      <c r="W477" s="3" t="n">
        <f aca="false">SUM(R477:T477)</f>
        <v>0</v>
      </c>
      <c r="X477" s="10" t="n">
        <v>39969</v>
      </c>
      <c r="Y477" s="10" t="n">
        <v>39974</v>
      </c>
    </row>
    <row r="478" customFormat="false" ht="14.25" hidden="false" customHeight="false" outlineLevel="0" collapsed="false">
      <c r="A478" s="1" t="n">
        <v>2009</v>
      </c>
      <c r="B478" s="1" t="n">
        <v>1</v>
      </c>
      <c r="C478" s="2" t="s">
        <v>50</v>
      </c>
      <c r="D478" s="7" t="s">
        <v>98</v>
      </c>
      <c r="E478" s="1" t="n">
        <v>2</v>
      </c>
      <c r="F478" s="1" t="n">
        <f aca="false">Y478-X478</f>
        <v>5</v>
      </c>
      <c r="G478" s="1" t="n">
        <v>5</v>
      </c>
      <c r="H478" s="3" t="s">
        <v>48</v>
      </c>
      <c r="I478" s="3" t="s">
        <v>67</v>
      </c>
      <c r="J478" s="12" t="s">
        <v>127</v>
      </c>
      <c r="K478" s="2" t="str">
        <f aca="false">CONCATENATE(I478," ",J478)</f>
        <v>Pardosa lugubris</v>
      </c>
      <c r="L478" s="3" t="n">
        <f aca="false">SUM(P478:U478)</f>
        <v>1</v>
      </c>
      <c r="M478" s="11" t="n">
        <f aca="false">(L478/(F478*G478)*25)*4</f>
        <v>4</v>
      </c>
      <c r="N478" s="1" t="s">
        <v>30</v>
      </c>
      <c r="O478" s="1" t="s">
        <v>31</v>
      </c>
      <c r="P478" s="1" t="n">
        <v>1</v>
      </c>
      <c r="Q478" s="1" t="n">
        <v>0</v>
      </c>
      <c r="R478" s="1" t="n">
        <v>0</v>
      </c>
      <c r="S478" s="1" t="n">
        <v>0</v>
      </c>
      <c r="T478" s="1" t="n">
        <v>0</v>
      </c>
      <c r="U478" s="1" t="n">
        <v>0</v>
      </c>
      <c r="V478" s="3" t="n">
        <f aca="false">SUM(P478:Q478)</f>
        <v>1</v>
      </c>
      <c r="W478" s="3" t="n">
        <f aca="false">SUM(R478:T478)</f>
        <v>0</v>
      </c>
      <c r="X478" s="10" t="n">
        <v>39970</v>
      </c>
      <c r="Y478" s="10" t="n">
        <v>39975</v>
      </c>
    </row>
    <row r="479" customFormat="false" ht="14.25" hidden="false" customHeight="false" outlineLevel="0" collapsed="false">
      <c r="A479" s="1" t="n">
        <v>2009</v>
      </c>
      <c r="B479" s="1" t="n">
        <v>1</v>
      </c>
      <c r="C479" s="2" t="s">
        <v>50</v>
      </c>
      <c r="D479" s="7" t="s">
        <v>83</v>
      </c>
      <c r="E479" s="1" t="n">
        <v>1</v>
      </c>
      <c r="F479" s="1" t="n">
        <f aca="false">Y479-X479</f>
        <v>5</v>
      </c>
      <c r="G479" s="1" t="n">
        <v>5</v>
      </c>
      <c r="H479" s="3" t="s">
        <v>48</v>
      </c>
      <c r="I479" s="3" t="s">
        <v>49</v>
      </c>
      <c r="J479" s="8" t="s">
        <v>130</v>
      </c>
      <c r="K479" s="2" t="str">
        <f aca="false">CONCATENATE(I479," ",J479)</f>
        <v>Alopecosa aculeata</v>
      </c>
      <c r="L479" s="3" t="n">
        <f aca="false">SUM(P479:U479)</f>
        <v>1</v>
      </c>
      <c r="M479" s="11" t="n">
        <f aca="false">(L479/(F479*G479)*25)*4</f>
        <v>4</v>
      </c>
      <c r="N479" s="1" t="s">
        <v>30</v>
      </c>
      <c r="O479" s="1" t="s">
        <v>31</v>
      </c>
      <c r="P479" s="1" t="n">
        <v>1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3" t="n">
        <f aca="false">SUM(P479:Q479)</f>
        <v>1</v>
      </c>
      <c r="W479" s="3" t="n">
        <f aca="false">SUM(R479:T479)</f>
        <v>0</v>
      </c>
      <c r="X479" s="10" t="n">
        <v>39969</v>
      </c>
      <c r="Y479" s="10" t="n">
        <v>39974</v>
      </c>
    </row>
    <row r="480" customFormat="false" ht="14.25" hidden="false" customHeight="false" outlineLevel="0" collapsed="false">
      <c r="A480" s="1" t="n">
        <v>2009</v>
      </c>
      <c r="B480" s="1" t="n">
        <v>1</v>
      </c>
      <c r="C480" s="2" t="s">
        <v>25</v>
      </c>
      <c r="D480" s="7" t="s">
        <v>101</v>
      </c>
      <c r="E480" s="1" t="n">
        <v>2</v>
      </c>
      <c r="F480" s="1" t="n">
        <f aca="false">Y480-X480</f>
        <v>5</v>
      </c>
      <c r="G480" s="1" t="n">
        <v>5</v>
      </c>
      <c r="H480" s="3" t="s">
        <v>36</v>
      </c>
      <c r="I480" s="3" t="s">
        <v>131</v>
      </c>
      <c r="J480" s="12" t="s">
        <v>133</v>
      </c>
      <c r="K480" s="2" t="str">
        <f aca="false">CONCATENATE(I480," ",J480)</f>
        <v>Xysticus luctuosus</v>
      </c>
      <c r="L480" s="3" t="n">
        <f aca="false">SUM(P480:U480)</f>
        <v>1</v>
      </c>
      <c r="M480" s="11" t="n">
        <f aca="false">(L480/(F480*G480)*25)*4</f>
        <v>4</v>
      </c>
      <c r="N480" s="1" t="s">
        <v>30</v>
      </c>
      <c r="O480" s="1" t="s">
        <v>31</v>
      </c>
      <c r="P480" s="1" t="n">
        <v>1</v>
      </c>
      <c r="Q480" s="1" t="n">
        <v>0</v>
      </c>
      <c r="R480" s="1" t="n">
        <v>0</v>
      </c>
      <c r="S480" s="1" t="n">
        <v>0</v>
      </c>
      <c r="T480" s="1" t="n">
        <v>0</v>
      </c>
      <c r="U480" s="1" t="n">
        <v>0</v>
      </c>
      <c r="V480" s="3" t="n">
        <f aca="false">SUM(P480:Q480)</f>
        <v>1</v>
      </c>
      <c r="W480" s="3" t="n">
        <f aca="false">SUM(R480:T480)</f>
        <v>0</v>
      </c>
      <c r="X480" s="10" t="n">
        <v>39970</v>
      </c>
      <c r="Y480" s="10" t="n">
        <v>39975</v>
      </c>
    </row>
    <row r="481" customFormat="false" ht="14.25" hidden="false" customHeight="false" outlineLevel="0" collapsed="false">
      <c r="A481" s="1" t="n">
        <v>2009</v>
      </c>
      <c r="B481" s="1" t="n">
        <v>1</v>
      </c>
      <c r="C481" s="2" t="s">
        <v>50</v>
      </c>
      <c r="D481" s="7" t="s">
        <v>158</v>
      </c>
      <c r="E481" s="1" t="n">
        <v>3</v>
      </c>
      <c r="F481" s="1" t="n">
        <f aca="false">Y481-X481</f>
        <v>5</v>
      </c>
      <c r="G481" s="1" t="n">
        <v>5</v>
      </c>
      <c r="H481" s="3" t="s">
        <v>48</v>
      </c>
      <c r="I481" s="3" t="s">
        <v>67</v>
      </c>
      <c r="J481" s="12" t="s">
        <v>127</v>
      </c>
      <c r="K481" s="2" t="str">
        <f aca="false">CONCATENATE(I481," ",J481)</f>
        <v>Pardosa lugubris</v>
      </c>
      <c r="L481" s="3" t="n">
        <f aca="false">SUM(P481:U481)</f>
        <v>1</v>
      </c>
      <c r="M481" s="11" t="n">
        <f aca="false">(L481/(F481*G481)*25)*4</f>
        <v>4</v>
      </c>
      <c r="N481" s="1" t="s">
        <v>30</v>
      </c>
      <c r="O481" s="1" t="s">
        <v>31</v>
      </c>
      <c r="P481" s="1" t="n">
        <v>1</v>
      </c>
      <c r="Q481" s="1" t="n">
        <v>0</v>
      </c>
      <c r="R481" s="1" t="n">
        <v>0</v>
      </c>
      <c r="S481" s="1" t="n">
        <v>0</v>
      </c>
      <c r="T481" s="1" t="n">
        <v>0</v>
      </c>
      <c r="U481" s="1" t="n">
        <v>0</v>
      </c>
      <c r="V481" s="3" t="n">
        <f aca="false">SUM(P481:Q481)</f>
        <v>1</v>
      </c>
      <c r="W481" s="3" t="n">
        <f aca="false">SUM(R481:T481)</f>
        <v>0</v>
      </c>
      <c r="X481" s="10" t="n">
        <v>39970</v>
      </c>
      <c r="Y481" s="10" t="n">
        <v>39975</v>
      </c>
    </row>
    <row r="482" customFormat="false" ht="14.25" hidden="false" customHeight="false" outlineLevel="0" collapsed="false">
      <c r="A482" s="1" t="n">
        <v>2009</v>
      </c>
      <c r="B482" s="1" t="n">
        <v>1</v>
      </c>
      <c r="C482" s="2" t="s">
        <v>50</v>
      </c>
      <c r="D482" s="7" t="s">
        <v>158</v>
      </c>
      <c r="E482" s="1" t="n">
        <v>1</v>
      </c>
      <c r="F482" s="1" t="n">
        <f aca="false">Y482-X482</f>
        <v>5</v>
      </c>
      <c r="G482" s="1" t="n">
        <v>5</v>
      </c>
      <c r="H482" s="3" t="s">
        <v>48</v>
      </c>
      <c r="I482" s="3" t="s">
        <v>61</v>
      </c>
      <c r="J482" s="12" t="s">
        <v>38</v>
      </c>
      <c r="K482" s="2" t="str">
        <f aca="false">CONCATENATE(I482," ",J482)</f>
        <v>Trochosa sp</v>
      </c>
      <c r="L482" s="3" t="n">
        <f aca="false">SUM(P482:U482)</f>
        <v>1</v>
      </c>
      <c r="M482" s="11" t="n">
        <f aca="false">(L482/(F482*G482)*25)*4</f>
        <v>4</v>
      </c>
      <c r="N482" s="15" t="s">
        <v>19</v>
      </c>
      <c r="O482" s="15" t="s">
        <v>35</v>
      </c>
      <c r="P482" s="1" t="n">
        <v>0</v>
      </c>
      <c r="Q482" s="1" t="n">
        <v>0</v>
      </c>
      <c r="R482" s="1" t="n">
        <v>0</v>
      </c>
      <c r="S482" s="1" t="n">
        <v>1</v>
      </c>
      <c r="T482" s="1" t="n">
        <v>0</v>
      </c>
      <c r="U482" s="1" t="n">
        <v>0</v>
      </c>
      <c r="V482" s="3" t="n">
        <f aca="false">SUM(P482:Q482)</f>
        <v>0</v>
      </c>
      <c r="W482" s="3" t="n">
        <f aca="false">SUM(R482:T482)</f>
        <v>1</v>
      </c>
      <c r="X482" s="10" t="n">
        <v>39970</v>
      </c>
      <c r="Y482" s="10" t="n">
        <v>39975</v>
      </c>
    </row>
    <row r="483" customFormat="false" ht="14.25" hidden="false" customHeight="false" outlineLevel="0" collapsed="false">
      <c r="A483" s="1" t="n">
        <v>2009</v>
      </c>
      <c r="B483" s="1" t="n">
        <v>1</v>
      </c>
      <c r="C483" s="2" t="s">
        <v>25</v>
      </c>
      <c r="D483" s="7" t="s">
        <v>26</v>
      </c>
      <c r="E483" s="1" t="n">
        <v>2</v>
      </c>
      <c r="F483" s="1" t="n">
        <f aca="false">Y483-X483</f>
        <v>5</v>
      </c>
      <c r="G483" s="1" t="n">
        <v>5</v>
      </c>
      <c r="H483" s="3" t="s">
        <v>64</v>
      </c>
      <c r="I483" s="3" t="s">
        <v>65</v>
      </c>
      <c r="J483" s="8" t="s">
        <v>66</v>
      </c>
      <c r="K483" s="2" t="str">
        <f aca="false">CONCATENATE(I483," ",J483)</f>
        <v>Zora Spinimana</v>
      </c>
      <c r="L483" s="3" t="n">
        <f aca="false">SUM(P483:U483)</f>
        <v>1</v>
      </c>
      <c r="M483" s="11" t="n">
        <f aca="false">(L483/(F483*G483)*25)*4</f>
        <v>4</v>
      </c>
      <c r="N483" s="1" t="s">
        <v>30</v>
      </c>
      <c r="O483" s="1" t="s">
        <v>31</v>
      </c>
      <c r="P483" s="1" t="n">
        <v>1</v>
      </c>
      <c r="Q483" s="1" t="n">
        <v>0</v>
      </c>
      <c r="R483" s="1" t="n">
        <v>0</v>
      </c>
      <c r="S483" s="1" t="n">
        <v>0</v>
      </c>
      <c r="T483" s="1" t="n">
        <v>0</v>
      </c>
      <c r="U483" s="1" t="n">
        <v>0</v>
      </c>
      <c r="V483" s="3" t="n">
        <f aca="false">SUM(P483:Q483)</f>
        <v>1</v>
      </c>
      <c r="W483" s="3" t="n">
        <f aca="false">SUM(R483:T483)</f>
        <v>0</v>
      </c>
      <c r="X483" s="10" t="n">
        <v>39970</v>
      </c>
      <c r="Y483" s="10" t="n">
        <v>39975</v>
      </c>
    </row>
    <row r="484" customFormat="false" ht="14.25" hidden="false" customHeight="false" outlineLevel="0" collapsed="false">
      <c r="A484" s="1" t="n">
        <v>2009</v>
      </c>
      <c r="B484" s="1" t="n">
        <v>1</v>
      </c>
      <c r="C484" s="2" t="s">
        <v>50</v>
      </c>
      <c r="D484" s="7" t="s">
        <v>158</v>
      </c>
      <c r="E484" s="1" t="n">
        <v>3</v>
      </c>
      <c r="F484" s="1" t="n">
        <f aca="false">Y484-X484</f>
        <v>5</v>
      </c>
      <c r="G484" s="1" t="n">
        <v>5</v>
      </c>
      <c r="H484" s="3" t="s">
        <v>48</v>
      </c>
      <c r="I484" s="3" t="s">
        <v>49</v>
      </c>
      <c r="J484" s="8" t="s">
        <v>130</v>
      </c>
      <c r="K484" s="2" t="str">
        <f aca="false">CONCATENATE(I484," ",J484)</f>
        <v>Alopecosa aculeata</v>
      </c>
      <c r="L484" s="3" t="n">
        <f aca="false">SUM(P484:U484)</f>
        <v>1</v>
      </c>
      <c r="M484" s="11" t="n">
        <f aca="false">(L484/(F484*G484)*25)*4</f>
        <v>4</v>
      </c>
      <c r="N484" s="1" t="s">
        <v>30</v>
      </c>
      <c r="O484" s="1" t="s">
        <v>31</v>
      </c>
      <c r="P484" s="1" t="n">
        <v>1</v>
      </c>
      <c r="Q484" s="1" t="n">
        <v>0</v>
      </c>
      <c r="R484" s="1" t="n">
        <v>0</v>
      </c>
      <c r="S484" s="1" t="n">
        <v>0</v>
      </c>
      <c r="T484" s="1" t="n">
        <v>0</v>
      </c>
      <c r="U484" s="1" t="n">
        <v>0</v>
      </c>
      <c r="V484" s="3" t="n">
        <f aca="false">SUM(P484:Q484)</f>
        <v>1</v>
      </c>
      <c r="W484" s="3" t="n">
        <f aca="false">SUM(R484:T484)</f>
        <v>0</v>
      </c>
      <c r="X484" s="10" t="n">
        <v>39970</v>
      </c>
      <c r="Y484" s="10" t="n">
        <v>39975</v>
      </c>
    </row>
    <row r="485" customFormat="false" ht="14.25" hidden="false" customHeight="false" outlineLevel="0" collapsed="false">
      <c r="A485" s="1" t="n">
        <v>2009</v>
      </c>
      <c r="B485" s="1" t="n">
        <v>1</v>
      </c>
      <c r="C485" s="2" t="s">
        <v>50</v>
      </c>
      <c r="D485" s="7" t="s">
        <v>158</v>
      </c>
      <c r="E485" s="1" t="n">
        <v>3</v>
      </c>
      <c r="F485" s="1" t="n">
        <f aca="false">Y485-X485</f>
        <v>5</v>
      </c>
      <c r="G485" s="1" t="n">
        <v>5</v>
      </c>
      <c r="H485" s="3" t="s">
        <v>32</v>
      </c>
      <c r="I485" s="3" t="s">
        <v>190</v>
      </c>
      <c r="J485" s="3" t="s">
        <v>191</v>
      </c>
      <c r="K485" s="2" t="str">
        <f aca="false">CONCATENATE(I485," ",J485)</f>
        <v>Micrargus herbigradus</v>
      </c>
      <c r="L485" s="3" t="n">
        <f aca="false">SUM(P485:U485)</f>
        <v>1</v>
      </c>
      <c r="M485" s="11" t="n">
        <f aca="false">(L485/(F485*G485)*25)*4</f>
        <v>4</v>
      </c>
      <c r="N485" s="1" t="s">
        <v>30</v>
      </c>
      <c r="O485" s="1" t="s">
        <v>35</v>
      </c>
      <c r="P485" s="1" t="n">
        <v>0</v>
      </c>
      <c r="Q485" s="1" t="n">
        <v>1</v>
      </c>
      <c r="R485" s="1" t="n">
        <v>0</v>
      </c>
      <c r="S485" s="1" t="n">
        <v>0</v>
      </c>
      <c r="T485" s="1" t="n">
        <v>0</v>
      </c>
      <c r="U485" s="1" t="n">
        <v>0</v>
      </c>
      <c r="V485" s="3" t="n">
        <f aca="false">SUM(P485:Q485)</f>
        <v>1</v>
      </c>
      <c r="W485" s="3" t="n">
        <f aca="false">SUM(R485:T485)</f>
        <v>0</v>
      </c>
      <c r="X485" s="10" t="n">
        <v>39970</v>
      </c>
      <c r="Y485" s="10" t="n">
        <v>39975</v>
      </c>
    </row>
    <row r="486" customFormat="false" ht="14.25" hidden="false" customHeight="false" outlineLevel="0" collapsed="false">
      <c r="A486" s="1" t="n">
        <v>2009</v>
      </c>
      <c r="B486" s="1" t="n">
        <v>1</v>
      </c>
      <c r="C486" s="2" t="s">
        <v>25</v>
      </c>
      <c r="D486" s="7" t="s">
        <v>101</v>
      </c>
      <c r="E486" s="1" t="n">
        <v>3</v>
      </c>
      <c r="F486" s="1" t="n">
        <f aca="false">Y486-X486</f>
        <v>5</v>
      </c>
      <c r="G486" s="1" t="n">
        <v>5</v>
      </c>
      <c r="H486" s="3" t="s">
        <v>27</v>
      </c>
      <c r="I486" s="3" t="s">
        <v>28</v>
      </c>
      <c r="J486" s="12" t="s">
        <v>29</v>
      </c>
      <c r="K486" s="2" t="str">
        <f aca="false">CONCATENATE(I486," ",J486)</f>
        <v>Robertus lividus</v>
      </c>
      <c r="L486" s="3" t="n">
        <f aca="false">SUM(P486:U486)</f>
        <v>1</v>
      </c>
      <c r="M486" s="11" t="n">
        <f aca="false">(L486/(F486*G486)*25)*4</f>
        <v>4</v>
      </c>
      <c r="N486" s="1" t="s">
        <v>30</v>
      </c>
      <c r="O486" s="1" t="s">
        <v>31</v>
      </c>
      <c r="P486" s="1" t="n">
        <v>1</v>
      </c>
      <c r="Q486" s="1" t="n">
        <v>0</v>
      </c>
      <c r="R486" s="1" t="n">
        <v>0</v>
      </c>
      <c r="S486" s="1" t="n">
        <v>0</v>
      </c>
      <c r="T486" s="1" t="n">
        <v>0</v>
      </c>
      <c r="U486" s="1" t="n">
        <v>0</v>
      </c>
      <c r="V486" s="3" t="n">
        <f aca="false">SUM(P486:Q486)</f>
        <v>1</v>
      </c>
      <c r="W486" s="3" t="n">
        <f aca="false">SUM(R486:T486)</f>
        <v>0</v>
      </c>
      <c r="X486" s="10" t="n">
        <v>39970</v>
      </c>
      <c r="Y486" s="10" t="n">
        <v>39975</v>
      </c>
    </row>
    <row r="487" customFormat="false" ht="14.25" hidden="false" customHeight="false" outlineLevel="0" collapsed="false">
      <c r="A487" s="1" t="n">
        <v>2009</v>
      </c>
      <c r="B487" s="1" t="n">
        <v>1</v>
      </c>
      <c r="C487" s="2" t="s">
        <v>50</v>
      </c>
      <c r="D487" s="7" t="s">
        <v>98</v>
      </c>
      <c r="E487" s="1" t="n">
        <v>2</v>
      </c>
      <c r="F487" s="1" t="n">
        <f aca="false">Y487-X487</f>
        <v>5</v>
      </c>
      <c r="G487" s="1" t="n">
        <v>4</v>
      </c>
      <c r="H487" s="3" t="s">
        <v>32</v>
      </c>
      <c r="I487" s="3" t="s">
        <v>62</v>
      </c>
      <c r="J487" s="8" t="s">
        <v>63</v>
      </c>
      <c r="K487" s="2" t="str">
        <f aca="false">CONCATENATE(I487," ",J487)</f>
        <v>Microneta viaria</v>
      </c>
      <c r="L487" s="3" t="n">
        <f aca="false">SUM(P487:U487)</f>
        <v>1</v>
      </c>
      <c r="M487" s="11" t="n">
        <f aca="false">(L487/(F487*G487)*25)*4</f>
        <v>5</v>
      </c>
      <c r="N487" s="1" t="s">
        <v>30</v>
      </c>
      <c r="O487" s="1" t="s">
        <v>35</v>
      </c>
      <c r="P487" s="1" t="n">
        <v>0</v>
      </c>
      <c r="Q487" s="1" t="n">
        <v>1</v>
      </c>
      <c r="R487" s="1" t="n">
        <v>0</v>
      </c>
      <c r="S487" s="1" t="n">
        <v>0</v>
      </c>
      <c r="T487" s="1" t="n">
        <v>0</v>
      </c>
      <c r="U487" s="1" t="n">
        <v>0</v>
      </c>
      <c r="V487" s="3" t="n">
        <f aca="false">SUM(P487:Q487)</f>
        <v>1</v>
      </c>
      <c r="W487" s="3" t="n">
        <f aca="false">SUM(R487:T487)</f>
        <v>0</v>
      </c>
      <c r="X487" s="10" t="n">
        <v>39970</v>
      </c>
      <c r="Y487" s="10" t="n">
        <v>39975</v>
      </c>
    </row>
    <row r="488" customFormat="false" ht="14.25" hidden="false" customHeight="false" outlineLevel="0" collapsed="false">
      <c r="A488" s="1" t="n">
        <v>2009</v>
      </c>
      <c r="B488" s="1" t="n">
        <v>1</v>
      </c>
      <c r="C488" s="2" t="s">
        <v>25</v>
      </c>
      <c r="D488" s="7" t="s">
        <v>101</v>
      </c>
      <c r="E488" s="1" t="n">
        <v>3</v>
      </c>
      <c r="F488" s="1" t="n">
        <f aca="false">Y488-X488</f>
        <v>5</v>
      </c>
      <c r="G488" s="1" t="n">
        <v>5</v>
      </c>
      <c r="H488" s="3" t="s">
        <v>32</v>
      </c>
      <c r="I488" s="3" t="s">
        <v>62</v>
      </c>
      <c r="J488" s="8" t="s">
        <v>63</v>
      </c>
      <c r="K488" s="2" t="str">
        <f aca="false">CONCATENATE(I488," ",J488)</f>
        <v>Microneta viaria</v>
      </c>
      <c r="L488" s="3" t="n">
        <f aca="false">SUM(P488:U488)</f>
        <v>1</v>
      </c>
      <c r="M488" s="11" t="n">
        <f aca="false">(L488/(F488*G488)*25)*4</f>
        <v>4</v>
      </c>
      <c r="N488" s="1" t="s">
        <v>30</v>
      </c>
      <c r="O488" s="1" t="s">
        <v>31</v>
      </c>
      <c r="P488" s="1" t="n">
        <v>1</v>
      </c>
      <c r="Q488" s="1" t="n">
        <v>0</v>
      </c>
      <c r="R488" s="1" t="n">
        <v>0</v>
      </c>
      <c r="S488" s="1" t="n">
        <v>0</v>
      </c>
      <c r="T488" s="1" t="n">
        <v>0</v>
      </c>
      <c r="U488" s="1" t="n">
        <v>0</v>
      </c>
      <c r="V488" s="3" t="n">
        <f aca="false">SUM(P488:Q488)</f>
        <v>1</v>
      </c>
      <c r="W488" s="3" t="n">
        <f aca="false">SUM(R488:T488)</f>
        <v>0</v>
      </c>
      <c r="X488" s="10" t="n">
        <v>39970</v>
      </c>
      <c r="Y488" s="10" t="n">
        <v>39975</v>
      </c>
    </row>
    <row r="489" customFormat="false" ht="14.25" hidden="false" customHeight="false" outlineLevel="0" collapsed="false">
      <c r="A489" s="1" t="n">
        <v>2009</v>
      </c>
      <c r="B489" s="1" t="n">
        <v>1</v>
      </c>
      <c r="C489" s="2" t="s">
        <v>50</v>
      </c>
      <c r="D489" s="7" t="s">
        <v>158</v>
      </c>
      <c r="E489" s="1" t="n">
        <v>1</v>
      </c>
      <c r="F489" s="1" t="n">
        <f aca="false">Y489-X489</f>
        <v>5</v>
      </c>
      <c r="G489" s="1" t="n">
        <v>5</v>
      </c>
      <c r="H489" s="3" t="s">
        <v>32</v>
      </c>
      <c r="I489" s="3" t="s">
        <v>107</v>
      </c>
      <c r="J489" s="12" t="s">
        <v>108</v>
      </c>
      <c r="K489" s="2" t="str">
        <f aca="false">CONCATENATE(I489," ",J489)</f>
        <v>Macrargus rufus</v>
      </c>
      <c r="L489" s="3" t="n">
        <f aca="false">SUM(P489:U489)</f>
        <v>1</v>
      </c>
      <c r="M489" s="11" t="n">
        <f aca="false">(L489/(F489*G489)*25)*4</f>
        <v>4</v>
      </c>
      <c r="N489" s="1" t="s">
        <v>30</v>
      </c>
      <c r="O489" s="1" t="s">
        <v>35</v>
      </c>
      <c r="P489" s="1" t="n">
        <v>0</v>
      </c>
      <c r="Q489" s="1" t="n">
        <v>1</v>
      </c>
      <c r="R489" s="1" t="n">
        <v>0</v>
      </c>
      <c r="S489" s="1" t="n">
        <v>0</v>
      </c>
      <c r="T489" s="1" t="n">
        <v>0</v>
      </c>
      <c r="U489" s="1" t="n">
        <v>0</v>
      </c>
      <c r="V489" s="3" t="n">
        <f aca="false">SUM(P489:Q489)</f>
        <v>1</v>
      </c>
      <c r="W489" s="3" t="n">
        <f aca="false">SUM(R489:T489)</f>
        <v>0</v>
      </c>
      <c r="X489" s="10" t="n">
        <v>39970</v>
      </c>
      <c r="Y489" s="10" t="n">
        <v>39975</v>
      </c>
    </row>
    <row r="490" customFormat="false" ht="14.25" hidden="false" customHeight="false" outlineLevel="0" collapsed="false">
      <c r="A490" s="1" t="n">
        <v>2009</v>
      </c>
      <c r="B490" s="1" t="n">
        <v>1</v>
      </c>
      <c r="C490" s="2" t="s">
        <v>50</v>
      </c>
      <c r="D490" s="7" t="s">
        <v>158</v>
      </c>
      <c r="E490" s="1" t="n">
        <v>1</v>
      </c>
      <c r="F490" s="1" t="n">
        <f aca="false">Y490-X490</f>
        <v>5</v>
      </c>
      <c r="G490" s="1" t="n">
        <v>5</v>
      </c>
      <c r="H490" s="3" t="s">
        <v>32</v>
      </c>
      <c r="I490" s="3" t="s">
        <v>102</v>
      </c>
      <c r="J490" s="12" t="s">
        <v>182</v>
      </c>
      <c r="K490" s="2" t="str">
        <f aca="false">CONCATENATE(I490," ",J490)</f>
        <v>Agyneta ramosa</v>
      </c>
      <c r="L490" s="3" t="n">
        <f aca="false">SUM(P490:U490)</f>
        <v>1</v>
      </c>
      <c r="M490" s="11" t="n">
        <f aca="false">(L490/(F490*G490)*25)*4</f>
        <v>4</v>
      </c>
      <c r="N490" s="1" t="s">
        <v>30</v>
      </c>
      <c r="O490" s="1" t="s">
        <v>31</v>
      </c>
      <c r="P490" s="1" t="n">
        <v>1</v>
      </c>
      <c r="Q490" s="1" t="n">
        <v>0</v>
      </c>
      <c r="R490" s="1" t="n">
        <v>0</v>
      </c>
      <c r="S490" s="1" t="n">
        <v>0</v>
      </c>
      <c r="T490" s="1" t="n">
        <v>0</v>
      </c>
      <c r="U490" s="1" t="n">
        <v>0</v>
      </c>
      <c r="V490" s="3" t="n">
        <f aca="false">SUM(P490:Q490)</f>
        <v>1</v>
      </c>
      <c r="W490" s="3" t="n">
        <f aca="false">SUM(R490:T490)</f>
        <v>0</v>
      </c>
      <c r="X490" s="10" t="n">
        <v>39970</v>
      </c>
      <c r="Y490" s="10" t="n">
        <v>39975</v>
      </c>
    </row>
    <row r="491" customFormat="false" ht="14.25" hidden="false" customHeight="false" outlineLevel="0" collapsed="false">
      <c r="A491" s="1" t="n">
        <v>2009</v>
      </c>
      <c r="B491" s="1" t="n">
        <v>1</v>
      </c>
      <c r="C491" s="2" t="s">
        <v>50</v>
      </c>
      <c r="D491" s="7" t="s">
        <v>98</v>
      </c>
      <c r="E491" s="1" t="n">
        <v>2</v>
      </c>
      <c r="F491" s="1" t="n">
        <f aca="false">Y491-X491</f>
        <v>5</v>
      </c>
      <c r="G491" s="1" t="n">
        <v>5</v>
      </c>
      <c r="H491" s="3" t="s">
        <v>32</v>
      </c>
      <c r="I491" s="3" t="s">
        <v>57</v>
      </c>
      <c r="J491" s="12" t="s">
        <v>38</v>
      </c>
      <c r="K491" s="2" t="str">
        <f aca="false">CONCATENATE(I491," ",J491)</f>
        <v>Gen sp</v>
      </c>
      <c r="L491" s="3" t="n">
        <f aca="false">SUM(P491:U491)</f>
        <v>1</v>
      </c>
      <c r="M491" s="11" t="n">
        <f aca="false">(L491/(F491*G491)*25)*4</f>
        <v>4</v>
      </c>
      <c r="N491" s="1" t="s">
        <v>19</v>
      </c>
      <c r="O491" s="1" t="s">
        <v>54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1</v>
      </c>
      <c r="U491" s="1" t="n">
        <v>0</v>
      </c>
      <c r="V491" s="3" t="n">
        <f aca="false">SUM(P491:Q491)</f>
        <v>0</v>
      </c>
      <c r="W491" s="3" t="n">
        <f aca="false">SUM(R491:T491)</f>
        <v>1</v>
      </c>
      <c r="X491" s="10" t="n">
        <v>39970</v>
      </c>
      <c r="Y491" s="10" t="n">
        <v>39975</v>
      </c>
    </row>
    <row r="492" customFormat="false" ht="14.25" hidden="false" customHeight="false" outlineLevel="0" collapsed="false">
      <c r="A492" s="1" t="n">
        <v>2009</v>
      </c>
      <c r="B492" s="1" t="n">
        <v>1</v>
      </c>
      <c r="C492" s="2" t="s">
        <v>50</v>
      </c>
      <c r="D492" s="7" t="s">
        <v>158</v>
      </c>
      <c r="E492" s="1" t="n">
        <v>1</v>
      </c>
      <c r="F492" s="1" t="n">
        <f aca="false">Y492-X492</f>
        <v>5</v>
      </c>
      <c r="G492" s="1" t="n">
        <v>5</v>
      </c>
      <c r="H492" s="3" t="s">
        <v>187</v>
      </c>
      <c r="I492" s="3" t="s">
        <v>188</v>
      </c>
      <c r="J492" s="12" t="s">
        <v>38</v>
      </c>
      <c r="K492" s="2" t="str">
        <f aca="false">CONCATENATE(I492," ",J492)</f>
        <v>Ero sp</v>
      </c>
      <c r="L492" s="3" t="n">
        <f aca="false">SUM(P492:U492)</f>
        <v>1</v>
      </c>
      <c r="M492" s="11" t="n">
        <f aca="false">(L492/(F492*G492)*25)*4</f>
        <v>4</v>
      </c>
      <c r="N492" s="1" t="s">
        <v>19</v>
      </c>
      <c r="O492" s="1" t="s">
        <v>31</v>
      </c>
      <c r="P492" s="1" t="n">
        <v>0</v>
      </c>
      <c r="Q492" s="1" t="n">
        <v>0</v>
      </c>
      <c r="R492" s="1" t="n">
        <v>1</v>
      </c>
      <c r="S492" s="1" t="n">
        <v>0</v>
      </c>
      <c r="T492" s="1" t="n">
        <v>0</v>
      </c>
      <c r="U492" s="1" t="n">
        <v>0</v>
      </c>
      <c r="V492" s="3" t="n">
        <f aca="false">SUM(P492:Q492)</f>
        <v>0</v>
      </c>
      <c r="W492" s="3" t="n">
        <f aca="false">SUM(R492:T492)</f>
        <v>1</v>
      </c>
      <c r="X492" s="10" t="n">
        <v>39970</v>
      </c>
      <c r="Y492" s="10" t="n">
        <v>39975</v>
      </c>
    </row>
    <row r="493" customFormat="false" ht="14.25" hidden="false" customHeight="false" outlineLevel="0" collapsed="false">
      <c r="A493" s="1" t="n">
        <v>2009</v>
      </c>
      <c r="B493" s="1" t="n">
        <v>1</v>
      </c>
      <c r="C493" s="2" t="s">
        <v>50</v>
      </c>
      <c r="D493" s="7" t="s">
        <v>83</v>
      </c>
      <c r="E493" s="1" t="n">
        <v>1</v>
      </c>
      <c r="F493" s="1" t="n">
        <f aca="false">Y493-X493</f>
        <v>5</v>
      </c>
      <c r="G493" s="1" t="n">
        <v>5</v>
      </c>
      <c r="H493" s="3" t="s">
        <v>48</v>
      </c>
      <c r="I493" s="3" t="s">
        <v>49</v>
      </c>
      <c r="J493" s="3" t="s">
        <v>104</v>
      </c>
      <c r="K493" s="2" t="str">
        <f aca="false">CONCATENATE(I493," ",J493)</f>
        <v>Alopecosa taeniata</v>
      </c>
      <c r="L493" s="3" t="n">
        <f aca="false">SUM(P493:U493)</f>
        <v>5</v>
      </c>
      <c r="M493" s="11" t="n">
        <f aca="false">(L493/(F493*G493)*25)*4</f>
        <v>20</v>
      </c>
      <c r="N493" s="1" t="s">
        <v>30</v>
      </c>
      <c r="O493" s="1" t="s">
        <v>31</v>
      </c>
      <c r="P493" s="1" t="n">
        <v>5</v>
      </c>
      <c r="Q493" s="1" t="n">
        <v>0</v>
      </c>
      <c r="R493" s="1" t="n">
        <v>0</v>
      </c>
      <c r="S493" s="1" t="n">
        <v>0</v>
      </c>
      <c r="T493" s="1" t="n">
        <v>0</v>
      </c>
      <c r="U493" s="1" t="n">
        <v>0</v>
      </c>
      <c r="V493" s="3" t="n">
        <f aca="false">SUM(P493:Q493)</f>
        <v>5</v>
      </c>
      <c r="W493" s="3" t="n">
        <f aca="false">SUM(R493:T493)</f>
        <v>0</v>
      </c>
      <c r="X493" s="10" t="n">
        <v>39969</v>
      </c>
      <c r="Y493" s="10" t="n">
        <v>39974</v>
      </c>
    </row>
    <row r="494" customFormat="false" ht="14.25" hidden="false" customHeight="false" outlineLevel="0" collapsed="false">
      <c r="A494" s="1" t="n">
        <v>2009</v>
      </c>
      <c r="B494" s="1" t="n">
        <v>1</v>
      </c>
      <c r="C494" s="2" t="s">
        <v>50</v>
      </c>
      <c r="D494" s="7" t="s">
        <v>83</v>
      </c>
      <c r="E494" s="1" t="n">
        <v>1</v>
      </c>
      <c r="F494" s="1" t="n">
        <f aca="false">Y494-X494</f>
        <v>5</v>
      </c>
      <c r="G494" s="1" t="n">
        <v>5</v>
      </c>
      <c r="H494" s="3" t="s">
        <v>48</v>
      </c>
      <c r="I494" s="3" t="s">
        <v>67</v>
      </c>
      <c r="J494" s="3" t="s">
        <v>127</v>
      </c>
      <c r="K494" s="2" t="str">
        <f aca="false">CONCATENATE(I494," ",J494)</f>
        <v>Pardosa lugubris</v>
      </c>
      <c r="L494" s="3" t="n">
        <f aca="false">SUM(P494:U494)</f>
        <v>1</v>
      </c>
      <c r="M494" s="11" t="n">
        <f aca="false">(L494/(F494*G494)*25)*4</f>
        <v>4</v>
      </c>
      <c r="N494" s="1" t="s">
        <v>30</v>
      </c>
      <c r="O494" s="1" t="s">
        <v>31</v>
      </c>
      <c r="P494" s="1" t="n">
        <v>1</v>
      </c>
      <c r="Q494" s="1" t="n">
        <v>0</v>
      </c>
      <c r="R494" s="1" t="n">
        <v>0</v>
      </c>
      <c r="S494" s="1" t="n">
        <v>0</v>
      </c>
      <c r="T494" s="1" t="n">
        <v>0</v>
      </c>
      <c r="U494" s="1" t="n">
        <v>0</v>
      </c>
      <c r="V494" s="3" t="n">
        <f aca="false">SUM(P494:Q494)</f>
        <v>1</v>
      </c>
      <c r="W494" s="3" t="n">
        <f aca="false">SUM(R494:T494)</f>
        <v>0</v>
      </c>
      <c r="X494" s="10" t="n">
        <v>39969</v>
      </c>
      <c r="Y494" s="10" t="n">
        <v>39974</v>
      </c>
    </row>
    <row r="495" customFormat="false" ht="14.25" hidden="false" customHeight="false" outlineLevel="0" collapsed="false">
      <c r="A495" s="1" t="n">
        <v>2009</v>
      </c>
      <c r="B495" s="1" t="n">
        <v>1</v>
      </c>
      <c r="C495" s="2" t="s">
        <v>50</v>
      </c>
      <c r="D495" s="7" t="s">
        <v>83</v>
      </c>
      <c r="E495" s="1" t="n">
        <v>1</v>
      </c>
      <c r="F495" s="1" t="n">
        <f aca="false">Y495-X495</f>
        <v>5</v>
      </c>
      <c r="G495" s="1" t="n">
        <v>5</v>
      </c>
      <c r="H495" s="3" t="s">
        <v>48</v>
      </c>
      <c r="I495" s="3" t="s">
        <v>67</v>
      </c>
      <c r="J495" s="3" t="s">
        <v>127</v>
      </c>
      <c r="K495" s="2" t="str">
        <f aca="false">CONCATENATE(I495," ",J495)</f>
        <v>Pardosa lugubris</v>
      </c>
      <c r="L495" s="3" t="n">
        <f aca="false">SUM(P495:U495)</f>
        <v>1</v>
      </c>
      <c r="M495" s="11" t="n">
        <f aca="false">(L495/(F495*G495)*25)*4</f>
        <v>4</v>
      </c>
      <c r="N495" s="1" t="s">
        <v>30</v>
      </c>
      <c r="O495" s="1" t="s">
        <v>35</v>
      </c>
      <c r="P495" s="1" t="n">
        <v>0</v>
      </c>
      <c r="Q495" s="1" t="n">
        <v>1</v>
      </c>
      <c r="R495" s="1" t="n">
        <v>0</v>
      </c>
      <c r="S495" s="1" t="n">
        <v>0</v>
      </c>
      <c r="T495" s="1" t="n">
        <v>0</v>
      </c>
      <c r="U495" s="1" t="n">
        <v>0</v>
      </c>
      <c r="V495" s="3" t="n">
        <f aca="false">SUM(P495:Q495)</f>
        <v>1</v>
      </c>
      <c r="W495" s="3" t="n">
        <f aca="false">SUM(R495:T495)</f>
        <v>0</v>
      </c>
      <c r="X495" s="10" t="n">
        <v>39969</v>
      </c>
      <c r="Y495" s="10" t="n">
        <v>39974</v>
      </c>
    </row>
    <row r="496" customFormat="false" ht="14.25" hidden="false" customHeight="false" outlineLevel="0" collapsed="false">
      <c r="A496" s="1" t="n">
        <v>2009</v>
      </c>
      <c r="B496" s="1" t="n">
        <v>1</v>
      </c>
      <c r="C496" s="2" t="s">
        <v>50</v>
      </c>
      <c r="D496" s="7" t="s">
        <v>83</v>
      </c>
      <c r="E496" s="1" t="n">
        <v>1</v>
      </c>
      <c r="F496" s="1" t="n">
        <f aca="false">Y496-X496</f>
        <v>5</v>
      </c>
      <c r="G496" s="1" t="n">
        <v>5</v>
      </c>
      <c r="H496" s="3" t="s">
        <v>48</v>
      </c>
      <c r="I496" s="3" t="s">
        <v>61</v>
      </c>
      <c r="J496" s="3" t="s">
        <v>82</v>
      </c>
      <c r="K496" s="2" t="str">
        <f aca="false">CONCATENATE(I496," ",J496)</f>
        <v>Trochosa terricola</v>
      </c>
      <c r="L496" s="3" t="n">
        <f aca="false">SUM(P496:U496)</f>
        <v>1</v>
      </c>
      <c r="M496" s="11" t="n">
        <f aca="false">(L496/(F496*G496)*25)*4</f>
        <v>4</v>
      </c>
      <c r="N496" s="1" t="s">
        <v>30</v>
      </c>
      <c r="O496" s="1" t="s">
        <v>31</v>
      </c>
      <c r="P496" s="1" t="n">
        <v>1</v>
      </c>
      <c r="Q496" s="1" t="n">
        <v>0</v>
      </c>
      <c r="R496" s="1" t="n">
        <v>0</v>
      </c>
      <c r="S496" s="1" t="n">
        <v>0</v>
      </c>
      <c r="T496" s="1" t="n">
        <v>0</v>
      </c>
      <c r="U496" s="1" t="n">
        <v>0</v>
      </c>
      <c r="V496" s="3" t="n">
        <f aca="false">SUM(P496:Q496)</f>
        <v>1</v>
      </c>
      <c r="W496" s="3" t="n">
        <f aca="false">SUM(R496:T496)</f>
        <v>0</v>
      </c>
      <c r="X496" s="10" t="n">
        <v>39969</v>
      </c>
      <c r="Y496" s="10" t="n">
        <v>39974</v>
      </c>
    </row>
    <row r="497" customFormat="false" ht="14.25" hidden="false" customHeight="false" outlineLevel="0" collapsed="false">
      <c r="A497" s="1" t="n">
        <v>2009</v>
      </c>
      <c r="B497" s="1" t="n">
        <v>1</v>
      </c>
      <c r="C497" s="2" t="s">
        <v>50</v>
      </c>
      <c r="D497" s="7" t="s">
        <v>83</v>
      </c>
      <c r="E497" s="1" t="n">
        <v>1</v>
      </c>
      <c r="F497" s="1" t="n">
        <f aca="false">Y497-X497</f>
        <v>5</v>
      </c>
      <c r="G497" s="1" t="n">
        <v>5</v>
      </c>
      <c r="H497" s="3" t="s">
        <v>48</v>
      </c>
      <c r="I497" s="3" t="s">
        <v>61</v>
      </c>
      <c r="J497" s="3" t="s">
        <v>38</v>
      </c>
      <c r="K497" s="2" t="str">
        <f aca="false">CONCATENATE(I497," ",J497)</f>
        <v>Trochosa sp</v>
      </c>
      <c r="L497" s="3" t="n">
        <f aca="false">SUM(P497:U497)</f>
        <v>1</v>
      </c>
      <c r="M497" s="11" t="n">
        <f aca="false">(L497/(F497*G497)*25)*4</f>
        <v>4</v>
      </c>
      <c r="N497" s="1" t="s">
        <v>19</v>
      </c>
      <c r="O497" s="1" t="s">
        <v>54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1</v>
      </c>
      <c r="U497" s="1" t="n">
        <v>0</v>
      </c>
      <c r="V497" s="3" t="n">
        <f aca="false">SUM(P497:Q497)</f>
        <v>0</v>
      </c>
      <c r="W497" s="3" t="n">
        <f aca="false">SUM(R497:T497)</f>
        <v>1</v>
      </c>
      <c r="X497" s="10" t="n">
        <v>39969</v>
      </c>
      <c r="Y497" s="10" t="n">
        <v>39974</v>
      </c>
    </row>
    <row r="498" customFormat="false" ht="14.25" hidden="false" customHeight="false" outlineLevel="0" collapsed="false">
      <c r="A498" s="1" t="n">
        <v>2009</v>
      </c>
      <c r="B498" s="1" t="n">
        <v>1</v>
      </c>
      <c r="C498" s="2" t="s">
        <v>50</v>
      </c>
      <c r="D498" s="7" t="s">
        <v>83</v>
      </c>
      <c r="E498" s="1" t="n">
        <v>1</v>
      </c>
      <c r="F498" s="1" t="n">
        <f aca="false">Y498-X498</f>
        <v>5</v>
      </c>
      <c r="G498" s="1" t="n">
        <v>5</v>
      </c>
      <c r="H498" s="3" t="s">
        <v>72</v>
      </c>
      <c r="I498" s="3" t="s">
        <v>86</v>
      </c>
      <c r="J498" s="8" t="s">
        <v>87</v>
      </c>
      <c r="K498" s="2" t="str">
        <f aca="false">CONCATENATE(I498," ",J498)</f>
        <v>Haplodrassus soerenseni</v>
      </c>
      <c r="L498" s="3" t="n">
        <f aca="false">SUM(P498:U498)</f>
        <v>1</v>
      </c>
      <c r="M498" s="11" t="n">
        <f aca="false">(L498/(F498*G498)*25)*4</f>
        <v>4</v>
      </c>
      <c r="N498" s="1" t="s">
        <v>30</v>
      </c>
      <c r="O498" s="1" t="s">
        <v>31</v>
      </c>
      <c r="P498" s="1" t="n">
        <v>1</v>
      </c>
      <c r="Q498" s="1" t="n">
        <v>0</v>
      </c>
      <c r="R498" s="1" t="n">
        <v>0</v>
      </c>
      <c r="S498" s="1" t="n">
        <v>0</v>
      </c>
      <c r="T498" s="1" t="n">
        <v>0</v>
      </c>
      <c r="U498" s="1" t="n">
        <v>0</v>
      </c>
      <c r="V498" s="3" t="n">
        <f aca="false">SUM(P498:Q498)</f>
        <v>1</v>
      </c>
      <c r="W498" s="3" t="n">
        <f aca="false">SUM(R498:T498)</f>
        <v>0</v>
      </c>
      <c r="X498" s="10" t="n">
        <v>39969</v>
      </c>
      <c r="Y498" s="10" t="n">
        <v>39974</v>
      </c>
    </row>
    <row r="499" customFormat="false" ht="14.25" hidden="false" customHeight="false" outlineLevel="0" collapsed="false">
      <c r="A499" s="1" t="n">
        <v>2009</v>
      </c>
      <c r="B499" s="1" t="n">
        <v>1</v>
      </c>
      <c r="C499" s="2" t="s">
        <v>50</v>
      </c>
      <c r="D499" s="7" t="s">
        <v>83</v>
      </c>
      <c r="E499" s="1" t="n">
        <v>1</v>
      </c>
      <c r="F499" s="1" t="n">
        <f aca="false">Y499-X499</f>
        <v>5</v>
      </c>
      <c r="G499" s="1" t="n">
        <v>5</v>
      </c>
      <c r="H499" s="3" t="s">
        <v>72</v>
      </c>
      <c r="I499" s="3" t="s">
        <v>73</v>
      </c>
      <c r="J499" s="3" t="s">
        <v>74</v>
      </c>
      <c r="K499" s="2" t="str">
        <f aca="false">CONCATENATE(I499," ",J499)</f>
        <v>Zelotes subterraneus</v>
      </c>
      <c r="L499" s="3" t="n">
        <f aca="false">SUM(P499:U499)</f>
        <v>1</v>
      </c>
      <c r="M499" s="11" t="n">
        <f aca="false">(L499/(F499*G499)*25)*4</f>
        <v>4</v>
      </c>
      <c r="N499" s="1" t="s">
        <v>30</v>
      </c>
      <c r="O499" s="1" t="s">
        <v>31</v>
      </c>
      <c r="P499" s="1" t="n">
        <v>1</v>
      </c>
      <c r="Q499" s="1" t="n">
        <v>0</v>
      </c>
      <c r="R499" s="1" t="n">
        <v>0</v>
      </c>
      <c r="S499" s="1" t="n">
        <v>0</v>
      </c>
      <c r="T499" s="1" t="n">
        <v>0</v>
      </c>
      <c r="U499" s="1" t="n">
        <v>0</v>
      </c>
      <c r="V499" s="3" t="n">
        <f aca="false">SUM(P499:Q499)</f>
        <v>1</v>
      </c>
      <c r="W499" s="3" t="n">
        <f aca="false">SUM(R499:T499)</f>
        <v>0</v>
      </c>
      <c r="X499" s="10" t="n">
        <v>39969</v>
      </c>
      <c r="Y499" s="10" t="n">
        <v>39974</v>
      </c>
    </row>
    <row r="500" customFormat="false" ht="14.25" hidden="false" customHeight="false" outlineLevel="0" collapsed="false">
      <c r="A500" s="1" t="n">
        <v>2009</v>
      </c>
      <c r="B500" s="1" t="n">
        <v>1</v>
      </c>
      <c r="C500" s="2" t="s">
        <v>50</v>
      </c>
      <c r="D500" s="7" t="s">
        <v>83</v>
      </c>
      <c r="E500" s="1" t="n">
        <v>1</v>
      </c>
      <c r="F500" s="1" t="n">
        <f aca="false">Y500-X500</f>
        <v>5</v>
      </c>
      <c r="G500" s="1" t="n">
        <v>5</v>
      </c>
      <c r="H500" s="3" t="s">
        <v>36</v>
      </c>
      <c r="I500" s="3" t="s">
        <v>131</v>
      </c>
      <c r="J500" s="3" t="s">
        <v>133</v>
      </c>
      <c r="K500" s="2" t="str">
        <f aca="false">CONCATENATE(I500," ",J500)</f>
        <v>Xysticus luctuosus</v>
      </c>
      <c r="L500" s="3" t="n">
        <f aca="false">SUM(P500:U500)</f>
        <v>1</v>
      </c>
      <c r="M500" s="11" t="n">
        <f aca="false">(L500/(F500*G500)*25)*4</f>
        <v>4</v>
      </c>
      <c r="N500" s="1" t="s">
        <v>30</v>
      </c>
      <c r="O500" s="1" t="s">
        <v>31</v>
      </c>
      <c r="P500" s="1" t="n">
        <v>1</v>
      </c>
      <c r="Q500" s="1" t="n">
        <v>0</v>
      </c>
      <c r="R500" s="1" t="n">
        <v>0</v>
      </c>
      <c r="S500" s="1" t="n">
        <v>0</v>
      </c>
      <c r="T500" s="1" t="n">
        <v>0</v>
      </c>
      <c r="U500" s="1" t="n">
        <v>0</v>
      </c>
      <c r="V500" s="3" t="n">
        <f aca="false">SUM(P500:Q500)</f>
        <v>1</v>
      </c>
      <c r="W500" s="3" t="n">
        <f aca="false">SUM(R500:T500)</f>
        <v>0</v>
      </c>
      <c r="X500" s="10" t="n">
        <v>39969</v>
      </c>
      <c r="Y500" s="10" t="n">
        <v>39974</v>
      </c>
    </row>
    <row r="501" customFormat="false" ht="14.25" hidden="false" customHeight="false" outlineLevel="0" collapsed="false">
      <c r="A501" s="1" t="n">
        <v>2009</v>
      </c>
      <c r="B501" s="1" t="n">
        <v>1</v>
      </c>
      <c r="C501" s="2" t="s">
        <v>50</v>
      </c>
      <c r="D501" s="7" t="s">
        <v>83</v>
      </c>
      <c r="E501" s="1" t="n">
        <v>1</v>
      </c>
      <c r="F501" s="1" t="n">
        <f aca="false">Y501-X501</f>
        <v>5</v>
      </c>
      <c r="G501" s="1" t="n">
        <v>5</v>
      </c>
      <c r="H501" s="3" t="s">
        <v>144</v>
      </c>
      <c r="I501" s="3" t="s">
        <v>145</v>
      </c>
      <c r="J501" s="3" t="s">
        <v>146</v>
      </c>
      <c r="K501" s="2" t="str">
        <f aca="false">CONCATENATE(I501," ",J501)</f>
        <v>Phrurolithus festivus</v>
      </c>
      <c r="L501" s="3" t="n">
        <f aca="false">SUM(P501:U501)</f>
        <v>1</v>
      </c>
      <c r="M501" s="11" t="n">
        <f aca="false">(L501/(F501*G501)*25)*4</f>
        <v>4</v>
      </c>
      <c r="N501" s="1" t="s">
        <v>30</v>
      </c>
      <c r="O501" s="1" t="s">
        <v>31</v>
      </c>
      <c r="P501" s="1" t="n">
        <v>1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3" t="n">
        <f aca="false">SUM(P501:Q501)</f>
        <v>1</v>
      </c>
      <c r="W501" s="3" t="n">
        <f aca="false">SUM(R501:T501)</f>
        <v>0</v>
      </c>
      <c r="X501" s="10" t="n">
        <v>39969</v>
      </c>
      <c r="Y501" s="10" t="n">
        <v>39974</v>
      </c>
    </row>
    <row r="502" customFormat="false" ht="14.25" hidden="false" customHeight="false" outlineLevel="0" collapsed="false">
      <c r="A502" s="1" t="n">
        <v>2009</v>
      </c>
      <c r="B502" s="1" t="n">
        <v>1</v>
      </c>
      <c r="C502" s="2" t="s">
        <v>50</v>
      </c>
      <c r="D502" s="7" t="s">
        <v>83</v>
      </c>
      <c r="E502" s="1" t="n">
        <v>1</v>
      </c>
      <c r="F502" s="1" t="n">
        <f aca="false">Y502-X502</f>
        <v>5</v>
      </c>
      <c r="G502" s="1" t="n">
        <v>5</v>
      </c>
      <c r="H502" s="3" t="s">
        <v>32</v>
      </c>
      <c r="I502" s="3" t="s">
        <v>102</v>
      </c>
      <c r="J502" s="3" t="s">
        <v>192</v>
      </c>
      <c r="K502" s="2" t="str">
        <f aca="false">CONCATENATE(I502," ",J502)</f>
        <v>Agyneta allosubtilis</v>
      </c>
      <c r="L502" s="3" t="n">
        <f aca="false">SUM(P502:U502)</f>
        <v>1</v>
      </c>
      <c r="M502" s="11" t="n">
        <f aca="false">(L502/(F502*G502)*25)*4</f>
        <v>4</v>
      </c>
      <c r="N502" s="1" t="s">
        <v>30</v>
      </c>
      <c r="O502" s="1" t="s">
        <v>31</v>
      </c>
      <c r="P502" s="1" t="n">
        <v>1</v>
      </c>
      <c r="Q502" s="1" t="n">
        <v>0</v>
      </c>
      <c r="R502" s="1" t="n">
        <v>0</v>
      </c>
      <c r="S502" s="1" t="n">
        <v>0</v>
      </c>
      <c r="T502" s="1" t="n">
        <v>0</v>
      </c>
      <c r="U502" s="1" t="n">
        <v>0</v>
      </c>
      <c r="V502" s="3" t="n">
        <f aca="false">SUM(P502:Q502)</f>
        <v>1</v>
      </c>
      <c r="W502" s="3" t="n">
        <f aca="false">SUM(R502:T502)</f>
        <v>0</v>
      </c>
      <c r="X502" s="10" t="n">
        <v>39969</v>
      </c>
      <c r="Y502" s="10" t="n">
        <v>39974</v>
      </c>
    </row>
    <row r="503" customFormat="false" ht="14.25" hidden="false" customHeight="false" outlineLevel="0" collapsed="false">
      <c r="A503" s="1" t="n">
        <v>2009</v>
      </c>
      <c r="B503" s="1" t="n">
        <v>1</v>
      </c>
      <c r="C503" s="2" t="s">
        <v>50</v>
      </c>
      <c r="D503" s="7" t="s">
        <v>83</v>
      </c>
      <c r="E503" s="1" t="n">
        <v>1</v>
      </c>
      <c r="F503" s="1" t="n">
        <f aca="false">Y503-X503</f>
        <v>5</v>
      </c>
      <c r="G503" s="1" t="n">
        <v>5</v>
      </c>
      <c r="H503" s="3" t="s">
        <v>32</v>
      </c>
      <c r="I503" s="3" t="s">
        <v>55</v>
      </c>
      <c r="J503" s="3" t="s">
        <v>56</v>
      </c>
      <c r="K503" s="2" t="str">
        <f aca="false">CONCATENATE(I503," ",J503)</f>
        <v>Maro minutus</v>
      </c>
      <c r="L503" s="3" t="n">
        <f aca="false">SUM(P503:U503)</f>
        <v>1</v>
      </c>
      <c r="M503" s="11" t="n">
        <f aca="false">(L503/(F503*G503)*25)*4</f>
        <v>4</v>
      </c>
      <c r="N503" s="1" t="s">
        <v>30</v>
      </c>
      <c r="O503" s="1" t="s">
        <v>31</v>
      </c>
      <c r="P503" s="1" t="n">
        <v>1</v>
      </c>
      <c r="Q503" s="1" t="n">
        <v>0</v>
      </c>
      <c r="R503" s="1" t="n">
        <v>0</v>
      </c>
      <c r="S503" s="1" t="n">
        <v>0</v>
      </c>
      <c r="T503" s="1" t="n">
        <v>0</v>
      </c>
      <c r="U503" s="1" t="n">
        <v>0</v>
      </c>
      <c r="V503" s="3" t="n">
        <f aca="false">SUM(P503:Q503)</f>
        <v>1</v>
      </c>
      <c r="W503" s="3" t="n">
        <f aca="false">SUM(R503:T503)</f>
        <v>0</v>
      </c>
      <c r="X503" s="10" t="n">
        <v>39969</v>
      </c>
      <c r="Y503" s="10" t="n">
        <v>39974</v>
      </c>
    </row>
    <row r="504" customFormat="false" ht="14.25" hidden="false" customHeight="false" outlineLevel="0" collapsed="false">
      <c r="A504" s="1" t="n">
        <v>2009</v>
      </c>
      <c r="B504" s="1" t="n">
        <v>1</v>
      </c>
      <c r="C504" s="2" t="s">
        <v>50</v>
      </c>
      <c r="D504" s="7" t="s">
        <v>83</v>
      </c>
      <c r="E504" s="1" t="n">
        <v>1</v>
      </c>
      <c r="F504" s="1" t="n">
        <f aca="false">Y504-X504</f>
        <v>5</v>
      </c>
      <c r="G504" s="1" t="n">
        <v>5</v>
      </c>
      <c r="H504" s="3" t="s">
        <v>48</v>
      </c>
      <c r="I504" s="3" t="s">
        <v>49</v>
      </c>
      <c r="J504" s="3" t="s">
        <v>104</v>
      </c>
      <c r="K504" s="2" t="str">
        <f aca="false">CONCATENATE(I504," ",J504)</f>
        <v>Alopecosa taeniata</v>
      </c>
      <c r="L504" s="3" t="n">
        <f aca="false">SUM(P504:U504)</f>
        <v>4</v>
      </c>
      <c r="M504" s="11" t="n">
        <f aca="false">(L504/(F504*G504)*25)*4</f>
        <v>16</v>
      </c>
      <c r="N504" s="1" t="s">
        <v>30</v>
      </c>
      <c r="O504" s="1" t="s">
        <v>31</v>
      </c>
      <c r="P504" s="1" t="n">
        <v>4</v>
      </c>
      <c r="Q504" s="1" t="n">
        <v>0</v>
      </c>
      <c r="R504" s="1" t="n">
        <v>0</v>
      </c>
      <c r="S504" s="1" t="n">
        <v>0</v>
      </c>
      <c r="T504" s="1" t="n">
        <v>0</v>
      </c>
      <c r="U504" s="1" t="n">
        <v>0</v>
      </c>
      <c r="V504" s="3" t="n">
        <f aca="false">SUM(P504:Q504)</f>
        <v>4</v>
      </c>
      <c r="W504" s="3" t="n">
        <f aca="false">SUM(R504:T504)</f>
        <v>0</v>
      </c>
      <c r="X504" s="10" t="n">
        <v>39969</v>
      </c>
      <c r="Y504" s="10" t="n">
        <v>39974</v>
      </c>
    </row>
    <row r="505" customFormat="false" ht="14.25" hidden="false" customHeight="false" outlineLevel="0" collapsed="false">
      <c r="A505" s="1" t="n">
        <v>2009</v>
      </c>
      <c r="B505" s="1" t="n">
        <v>1</v>
      </c>
      <c r="C505" s="2" t="s">
        <v>50</v>
      </c>
      <c r="D505" s="7" t="s">
        <v>83</v>
      </c>
      <c r="E505" s="1" t="n">
        <v>1</v>
      </c>
      <c r="F505" s="1" t="n">
        <f aca="false">Y505-X505</f>
        <v>5</v>
      </c>
      <c r="G505" s="1" t="n">
        <v>5</v>
      </c>
      <c r="H505" s="3" t="s">
        <v>48</v>
      </c>
      <c r="I505" s="3" t="s">
        <v>67</v>
      </c>
      <c r="J505" s="3" t="s">
        <v>127</v>
      </c>
      <c r="K505" s="2" t="str">
        <f aca="false">CONCATENATE(I505," ",J505)</f>
        <v>Pardosa lugubris</v>
      </c>
      <c r="L505" s="3" t="n">
        <f aca="false">SUM(P505:U505)</f>
        <v>8</v>
      </c>
      <c r="M505" s="11" t="n">
        <f aca="false">(L505/(F505*G505)*25)*4</f>
        <v>32</v>
      </c>
      <c r="N505" s="1" t="s">
        <v>30</v>
      </c>
      <c r="O505" s="1" t="s">
        <v>31</v>
      </c>
      <c r="P505" s="1" t="n">
        <v>8</v>
      </c>
      <c r="Q505" s="1" t="n">
        <v>0</v>
      </c>
      <c r="R505" s="1" t="n">
        <v>0</v>
      </c>
      <c r="S505" s="1" t="n">
        <v>0</v>
      </c>
      <c r="T505" s="1" t="n">
        <v>0</v>
      </c>
      <c r="U505" s="1" t="n">
        <v>0</v>
      </c>
      <c r="V505" s="3" t="n">
        <f aca="false">SUM(P505:Q505)</f>
        <v>8</v>
      </c>
      <c r="W505" s="3" t="n">
        <f aca="false">SUM(R505:T505)</f>
        <v>0</v>
      </c>
      <c r="X505" s="10" t="n">
        <v>39969</v>
      </c>
      <c r="Y505" s="10" t="n">
        <v>39974</v>
      </c>
    </row>
    <row r="506" customFormat="false" ht="14.25" hidden="false" customHeight="false" outlineLevel="0" collapsed="false">
      <c r="A506" s="1" t="n">
        <v>2009</v>
      </c>
      <c r="B506" s="1" t="n">
        <v>1</v>
      </c>
      <c r="C506" s="2" t="s">
        <v>50</v>
      </c>
      <c r="D506" s="7" t="s">
        <v>83</v>
      </c>
      <c r="E506" s="1" t="n">
        <v>1</v>
      </c>
      <c r="F506" s="1" t="n">
        <f aca="false">Y506-X506</f>
        <v>5</v>
      </c>
      <c r="G506" s="1" t="n">
        <v>5</v>
      </c>
      <c r="H506" s="3" t="s">
        <v>48</v>
      </c>
      <c r="I506" s="3" t="s">
        <v>67</v>
      </c>
      <c r="J506" s="3" t="s">
        <v>127</v>
      </c>
      <c r="K506" s="2" t="str">
        <f aca="false">CONCATENATE(I506," ",J506)</f>
        <v>Pardosa lugubris</v>
      </c>
      <c r="L506" s="3" t="n">
        <f aca="false">SUM(P506:U506)</f>
        <v>1</v>
      </c>
      <c r="M506" s="11" t="n">
        <f aca="false">(L506/(F506*G506)*25)*4</f>
        <v>4</v>
      </c>
      <c r="N506" s="1" t="s">
        <v>30</v>
      </c>
      <c r="O506" s="1" t="s">
        <v>35</v>
      </c>
      <c r="P506" s="1" t="n">
        <v>0</v>
      </c>
      <c r="Q506" s="1" t="n">
        <v>1</v>
      </c>
      <c r="R506" s="1" t="n">
        <v>0</v>
      </c>
      <c r="S506" s="1" t="n">
        <v>0</v>
      </c>
      <c r="T506" s="1" t="n">
        <v>0</v>
      </c>
      <c r="U506" s="1" t="n">
        <v>0</v>
      </c>
      <c r="V506" s="3" t="n">
        <f aca="false">SUM(P506:Q506)</f>
        <v>1</v>
      </c>
      <c r="W506" s="3" t="n">
        <f aca="false">SUM(R506:T506)</f>
        <v>0</v>
      </c>
      <c r="X506" s="10" t="n">
        <v>39969</v>
      </c>
      <c r="Y506" s="10" t="n">
        <v>39974</v>
      </c>
    </row>
    <row r="507" customFormat="false" ht="14.25" hidden="false" customHeight="false" outlineLevel="0" collapsed="false">
      <c r="A507" s="1" t="n">
        <v>2009</v>
      </c>
      <c r="B507" s="1" t="n">
        <v>1</v>
      </c>
      <c r="C507" s="2" t="s">
        <v>50</v>
      </c>
      <c r="D507" s="7" t="s">
        <v>83</v>
      </c>
      <c r="E507" s="1" t="n">
        <v>1</v>
      </c>
      <c r="F507" s="1" t="n">
        <f aca="false">Y507-X507</f>
        <v>5</v>
      </c>
      <c r="G507" s="1" t="n">
        <v>5</v>
      </c>
      <c r="H507" s="3" t="s">
        <v>72</v>
      </c>
      <c r="I507" s="3" t="s">
        <v>73</v>
      </c>
      <c r="J507" s="3" t="s">
        <v>38</v>
      </c>
      <c r="K507" s="2" t="str">
        <f aca="false">CONCATENATE(I507," ",J507)</f>
        <v>Zelotes sp</v>
      </c>
      <c r="L507" s="3" t="n">
        <f aca="false">SUM(P507:U507)</f>
        <v>2</v>
      </c>
      <c r="M507" s="11" t="n">
        <f aca="false">(L507/(F507*G507)*25)*4</f>
        <v>8</v>
      </c>
      <c r="N507" s="1" t="s">
        <v>19</v>
      </c>
      <c r="O507" s="1" t="s">
        <v>54</v>
      </c>
      <c r="P507" s="1" t="n">
        <v>0</v>
      </c>
      <c r="Q507" s="1" t="n">
        <v>0</v>
      </c>
      <c r="R507" s="1" t="n">
        <v>0</v>
      </c>
      <c r="S507" s="1" t="n">
        <v>0</v>
      </c>
      <c r="T507" s="1" t="n">
        <v>2</v>
      </c>
      <c r="U507" s="1" t="n">
        <v>0</v>
      </c>
      <c r="V507" s="3" t="n">
        <f aca="false">SUM(P507:Q507)</f>
        <v>0</v>
      </c>
      <c r="W507" s="3" t="n">
        <f aca="false">SUM(R507:T507)</f>
        <v>2</v>
      </c>
      <c r="X507" s="10" t="n">
        <v>39969</v>
      </c>
      <c r="Y507" s="10" t="n">
        <v>39974</v>
      </c>
    </row>
    <row r="508" customFormat="false" ht="14.25" hidden="false" customHeight="false" outlineLevel="0" collapsed="false">
      <c r="A508" s="1" t="n">
        <v>2009</v>
      </c>
      <c r="B508" s="1" t="n">
        <v>1</v>
      </c>
      <c r="C508" s="2" t="s">
        <v>50</v>
      </c>
      <c r="D508" s="7" t="s">
        <v>83</v>
      </c>
      <c r="E508" s="1" t="n">
        <v>1</v>
      </c>
      <c r="F508" s="1" t="n">
        <f aca="false">Y508-X508</f>
        <v>5</v>
      </c>
      <c r="G508" s="1" t="n">
        <v>5</v>
      </c>
      <c r="H508" s="3" t="s">
        <v>72</v>
      </c>
      <c r="I508" s="3" t="s">
        <v>73</v>
      </c>
      <c r="J508" s="3" t="s">
        <v>74</v>
      </c>
      <c r="K508" s="2" t="str">
        <f aca="false">CONCATENATE(I508," ",J508)</f>
        <v>Zelotes subterraneus</v>
      </c>
      <c r="L508" s="3" t="n">
        <f aca="false">SUM(P508:U508)</f>
        <v>1</v>
      </c>
      <c r="M508" s="11" t="n">
        <f aca="false">(L508/(F508*G508)*25)*4</f>
        <v>4</v>
      </c>
      <c r="N508" s="1" t="s">
        <v>30</v>
      </c>
      <c r="O508" s="1" t="s">
        <v>31</v>
      </c>
      <c r="P508" s="1" t="n">
        <v>1</v>
      </c>
      <c r="Q508" s="1" t="n">
        <v>0</v>
      </c>
      <c r="R508" s="1" t="n">
        <v>0</v>
      </c>
      <c r="S508" s="1" t="n">
        <v>0</v>
      </c>
      <c r="T508" s="1" t="n">
        <v>0</v>
      </c>
      <c r="U508" s="1" t="n">
        <v>0</v>
      </c>
      <c r="V508" s="3" t="n">
        <f aca="false">SUM(P508:Q508)</f>
        <v>1</v>
      </c>
      <c r="W508" s="3" t="n">
        <f aca="false">SUM(R508:T508)</f>
        <v>0</v>
      </c>
      <c r="X508" s="10" t="n">
        <v>39969</v>
      </c>
      <c r="Y508" s="10" t="n">
        <v>39974</v>
      </c>
    </row>
    <row r="509" customFormat="false" ht="14.25" hidden="false" customHeight="false" outlineLevel="0" collapsed="false">
      <c r="A509" s="1" t="n">
        <v>2009</v>
      </c>
      <c r="B509" s="1" t="n">
        <v>1</v>
      </c>
      <c r="C509" s="2" t="s">
        <v>50</v>
      </c>
      <c r="D509" s="7" t="s">
        <v>83</v>
      </c>
      <c r="E509" s="1" t="n">
        <v>1</v>
      </c>
      <c r="F509" s="1" t="n">
        <f aca="false">Y509-X509</f>
        <v>5</v>
      </c>
      <c r="G509" s="1" t="n">
        <v>5</v>
      </c>
      <c r="H509" s="3" t="s">
        <v>72</v>
      </c>
      <c r="I509" s="3" t="s">
        <v>86</v>
      </c>
      <c r="J509" s="8" t="s">
        <v>87</v>
      </c>
      <c r="K509" s="2" t="str">
        <f aca="false">CONCATENATE(I509," ",J509)</f>
        <v>Haplodrassus soerenseni</v>
      </c>
      <c r="L509" s="3" t="n">
        <f aca="false">SUM(P509:U509)</f>
        <v>1</v>
      </c>
      <c r="M509" s="11" t="n">
        <f aca="false">(L509/(F509*G509)*25)*4</f>
        <v>4</v>
      </c>
      <c r="N509" s="1" t="s">
        <v>30</v>
      </c>
      <c r="O509" s="1" t="s">
        <v>35</v>
      </c>
      <c r="P509" s="1" t="n">
        <v>0</v>
      </c>
      <c r="Q509" s="1" t="n">
        <v>1</v>
      </c>
      <c r="R509" s="1" t="n">
        <v>0</v>
      </c>
      <c r="S509" s="1" t="n">
        <v>0</v>
      </c>
      <c r="T509" s="1" t="n">
        <v>0</v>
      </c>
      <c r="U509" s="1" t="n">
        <v>0</v>
      </c>
      <c r="V509" s="3" t="n">
        <f aca="false">SUM(P509:Q509)</f>
        <v>1</v>
      </c>
      <c r="W509" s="3" t="n">
        <f aca="false">SUM(R509:T509)</f>
        <v>0</v>
      </c>
      <c r="X509" s="10" t="n">
        <v>39969</v>
      </c>
      <c r="Y509" s="10" t="n">
        <v>39974</v>
      </c>
    </row>
    <row r="510" customFormat="false" ht="14.25" hidden="false" customHeight="false" outlineLevel="0" collapsed="false">
      <c r="A510" s="1" t="n">
        <v>2009</v>
      </c>
      <c r="B510" s="1" t="n">
        <v>1</v>
      </c>
      <c r="C510" s="2" t="s">
        <v>50</v>
      </c>
      <c r="D510" s="7" t="s">
        <v>83</v>
      </c>
      <c r="E510" s="1" t="n">
        <v>1</v>
      </c>
      <c r="F510" s="1" t="n">
        <f aca="false">Y510-X510</f>
        <v>5</v>
      </c>
      <c r="G510" s="1" t="n">
        <v>5</v>
      </c>
      <c r="H510" s="3" t="s">
        <v>64</v>
      </c>
      <c r="I510" s="3" t="s">
        <v>65</v>
      </c>
      <c r="J510" s="3" t="s">
        <v>123</v>
      </c>
      <c r="K510" s="2" t="str">
        <f aca="false">CONCATENATE(I510," ",J510)</f>
        <v>Zora nemoralis</v>
      </c>
      <c r="L510" s="3" t="n">
        <f aca="false">SUM(P510:U510)</f>
        <v>1</v>
      </c>
      <c r="M510" s="11" t="n">
        <f aca="false">(L510/(F510*G510)*25)*4</f>
        <v>4</v>
      </c>
      <c r="N510" s="1" t="s">
        <v>30</v>
      </c>
      <c r="O510" s="1" t="s">
        <v>31</v>
      </c>
      <c r="P510" s="1" t="n">
        <v>1</v>
      </c>
      <c r="Q510" s="1" t="n">
        <v>0</v>
      </c>
      <c r="R510" s="1" t="n">
        <v>0</v>
      </c>
      <c r="S510" s="1" t="n">
        <v>0</v>
      </c>
      <c r="T510" s="1" t="n">
        <v>0</v>
      </c>
      <c r="U510" s="1" t="n">
        <v>0</v>
      </c>
      <c r="V510" s="3" t="n">
        <f aca="false">SUM(P510:Q510)</f>
        <v>1</v>
      </c>
      <c r="W510" s="3" t="n">
        <f aca="false">SUM(R510:T510)</f>
        <v>0</v>
      </c>
      <c r="X510" s="10" t="n">
        <v>39969</v>
      </c>
      <c r="Y510" s="10" t="n">
        <v>39974</v>
      </c>
    </row>
    <row r="511" customFormat="false" ht="14.25" hidden="false" customHeight="false" outlineLevel="0" collapsed="false">
      <c r="A511" s="1" t="n">
        <v>2009</v>
      </c>
      <c r="B511" s="1" t="n">
        <v>1</v>
      </c>
      <c r="C511" s="2" t="s">
        <v>50</v>
      </c>
      <c r="D511" s="7" t="s">
        <v>83</v>
      </c>
      <c r="E511" s="1" t="n">
        <v>1</v>
      </c>
      <c r="F511" s="1" t="n">
        <f aca="false">Y511-X511</f>
        <v>5</v>
      </c>
      <c r="G511" s="1" t="n">
        <v>5</v>
      </c>
      <c r="H511" s="3" t="s">
        <v>36</v>
      </c>
      <c r="I511" s="3" t="s">
        <v>131</v>
      </c>
      <c r="J511" s="3" t="s">
        <v>133</v>
      </c>
      <c r="K511" s="2" t="str">
        <f aca="false">CONCATENATE(I511," ",J511)</f>
        <v>Xysticus luctuosus</v>
      </c>
      <c r="L511" s="3" t="n">
        <f aca="false">SUM(P511:U511)</f>
        <v>1</v>
      </c>
      <c r="M511" s="11" t="n">
        <f aca="false">(L511/(F511*G511)*25)*4</f>
        <v>4</v>
      </c>
      <c r="N511" s="1" t="s">
        <v>30</v>
      </c>
      <c r="O511" s="1" t="s">
        <v>31</v>
      </c>
      <c r="P511" s="1" t="n">
        <v>1</v>
      </c>
      <c r="Q511" s="1" t="n">
        <v>0</v>
      </c>
      <c r="R511" s="1" t="n">
        <v>0</v>
      </c>
      <c r="S511" s="1" t="n">
        <v>0</v>
      </c>
      <c r="T511" s="1" t="n">
        <v>0</v>
      </c>
      <c r="U511" s="1" t="n">
        <v>0</v>
      </c>
      <c r="V511" s="3" t="n">
        <f aca="false">SUM(P511:Q511)</f>
        <v>1</v>
      </c>
      <c r="W511" s="3" t="n">
        <f aca="false">SUM(R511:T511)</f>
        <v>0</v>
      </c>
      <c r="X511" s="10" t="n">
        <v>39969</v>
      </c>
      <c r="Y511" s="10" t="n">
        <v>39974</v>
      </c>
    </row>
    <row r="512" customFormat="false" ht="14.25" hidden="false" customHeight="false" outlineLevel="0" collapsed="false">
      <c r="A512" s="1" t="n">
        <v>2009</v>
      </c>
      <c r="B512" s="1" t="n">
        <v>1</v>
      </c>
      <c r="C512" s="2" t="s">
        <v>50</v>
      </c>
      <c r="D512" s="7" t="s">
        <v>83</v>
      </c>
      <c r="E512" s="1" t="n">
        <v>1</v>
      </c>
      <c r="F512" s="1" t="n">
        <f aca="false">Y512-X512</f>
        <v>5</v>
      </c>
      <c r="G512" s="1" t="n">
        <v>5</v>
      </c>
      <c r="H512" s="3" t="s">
        <v>124</v>
      </c>
      <c r="I512" s="3" t="s">
        <v>125</v>
      </c>
      <c r="J512" s="3" t="s">
        <v>126</v>
      </c>
      <c r="K512" s="2" t="str">
        <f aca="false">CONCATENATE(I512," ",J512)</f>
        <v>Hahnia ononidum</v>
      </c>
      <c r="L512" s="3" t="n">
        <f aca="false">SUM(P512:U512)</f>
        <v>1</v>
      </c>
      <c r="M512" s="11" t="n">
        <f aca="false">(L512/(F512*G512)*25)*4</f>
        <v>4</v>
      </c>
      <c r="N512" s="1" t="s">
        <v>30</v>
      </c>
      <c r="O512" s="1" t="s">
        <v>35</v>
      </c>
      <c r="P512" s="1" t="n">
        <v>0</v>
      </c>
      <c r="Q512" s="1" t="n">
        <v>1</v>
      </c>
      <c r="R512" s="1" t="n">
        <v>0</v>
      </c>
      <c r="S512" s="1" t="n">
        <v>0</v>
      </c>
      <c r="T512" s="1" t="n">
        <v>0</v>
      </c>
      <c r="U512" s="1" t="n">
        <v>0</v>
      </c>
      <c r="V512" s="3" t="n">
        <f aca="false">SUM(P512:Q512)</f>
        <v>1</v>
      </c>
      <c r="W512" s="3" t="n">
        <f aca="false">SUM(R512:T512)</f>
        <v>0</v>
      </c>
      <c r="X512" s="10" t="n">
        <v>39969</v>
      </c>
      <c r="Y512" s="10" t="n">
        <v>39974</v>
      </c>
    </row>
    <row r="513" customFormat="false" ht="14.25" hidden="false" customHeight="false" outlineLevel="0" collapsed="false">
      <c r="A513" s="1" t="n">
        <v>2009</v>
      </c>
      <c r="B513" s="1" t="n">
        <v>1</v>
      </c>
      <c r="C513" s="2" t="s">
        <v>50</v>
      </c>
      <c r="D513" s="7" t="s">
        <v>83</v>
      </c>
      <c r="E513" s="1" t="n">
        <v>1</v>
      </c>
      <c r="F513" s="1" t="n">
        <f aca="false">Y513-X513</f>
        <v>5</v>
      </c>
      <c r="G513" s="1" t="n">
        <v>5</v>
      </c>
      <c r="H513" s="3" t="s">
        <v>32</v>
      </c>
      <c r="I513" s="3" t="s">
        <v>113</v>
      </c>
      <c r="J513" s="8" t="s">
        <v>114</v>
      </c>
      <c r="K513" s="2" t="str">
        <f aca="false">CONCATENATE(I513," ",J513)</f>
        <v>Ceratinella brevipes</v>
      </c>
      <c r="L513" s="3" t="n">
        <f aca="false">SUM(P513:U513)</f>
        <v>1</v>
      </c>
      <c r="M513" s="11" t="n">
        <f aca="false">(L513/(F513*G513)*25)*4</f>
        <v>4</v>
      </c>
      <c r="N513" s="1" t="s">
        <v>30</v>
      </c>
      <c r="O513" s="1" t="s">
        <v>35</v>
      </c>
      <c r="P513" s="1" t="n">
        <v>0</v>
      </c>
      <c r="Q513" s="1" t="n">
        <v>1</v>
      </c>
      <c r="R513" s="1" t="n">
        <v>0</v>
      </c>
      <c r="S513" s="1" t="n">
        <v>0</v>
      </c>
      <c r="T513" s="1" t="n">
        <v>0</v>
      </c>
      <c r="U513" s="1" t="n">
        <v>0</v>
      </c>
      <c r="V513" s="3" t="n">
        <f aca="false">SUM(P513:Q513)</f>
        <v>1</v>
      </c>
      <c r="W513" s="3" t="n">
        <f aca="false">SUM(R513:T513)</f>
        <v>0</v>
      </c>
      <c r="X513" s="10" t="n">
        <v>39969</v>
      </c>
      <c r="Y513" s="10" t="n">
        <v>39974</v>
      </c>
    </row>
    <row r="514" customFormat="false" ht="14.25" hidden="false" customHeight="false" outlineLevel="0" collapsed="false">
      <c r="A514" s="1" t="n">
        <v>2009</v>
      </c>
      <c r="B514" s="1" t="n">
        <v>1</v>
      </c>
      <c r="C514" s="2" t="s">
        <v>50</v>
      </c>
      <c r="D514" s="7" t="s">
        <v>83</v>
      </c>
      <c r="E514" s="1" t="n">
        <v>1</v>
      </c>
      <c r="F514" s="1" t="n">
        <f aca="false">Y514-X514</f>
        <v>5</v>
      </c>
      <c r="G514" s="1" t="n">
        <v>5</v>
      </c>
      <c r="H514" s="3" t="s">
        <v>48</v>
      </c>
      <c r="I514" s="3" t="s">
        <v>49</v>
      </c>
      <c r="J514" s="3" t="s">
        <v>104</v>
      </c>
      <c r="K514" s="2" t="str">
        <f aca="false">CONCATENATE(I514," ",J514)</f>
        <v>Alopecosa taeniata</v>
      </c>
      <c r="L514" s="3" t="n">
        <f aca="false">SUM(P514:U514)</f>
        <v>6</v>
      </c>
      <c r="M514" s="11" t="n">
        <f aca="false">(L514/(F514*G514)*25)*4</f>
        <v>24</v>
      </c>
      <c r="N514" s="1" t="s">
        <v>30</v>
      </c>
      <c r="O514" s="1" t="s">
        <v>31</v>
      </c>
      <c r="P514" s="1" t="n">
        <v>6</v>
      </c>
      <c r="Q514" s="1" t="n">
        <v>0</v>
      </c>
      <c r="R514" s="1" t="n">
        <v>0</v>
      </c>
      <c r="S514" s="1" t="n">
        <v>0</v>
      </c>
      <c r="T514" s="1" t="n">
        <v>0</v>
      </c>
      <c r="U514" s="1" t="n">
        <v>0</v>
      </c>
      <c r="V514" s="3" t="n">
        <f aca="false">SUM(P514:Q514)</f>
        <v>6</v>
      </c>
      <c r="W514" s="3" t="n">
        <f aca="false">SUM(R514:T514)</f>
        <v>0</v>
      </c>
      <c r="X514" s="10" t="n">
        <v>39969</v>
      </c>
      <c r="Y514" s="10" t="n">
        <v>39974</v>
      </c>
    </row>
    <row r="515" customFormat="false" ht="14.25" hidden="false" customHeight="false" outlineLevel="0" collapsed="false">
      <c r="A515" s="1" t="n">
        <v>2009</v>
      </c>
      <c r="B515" s="1" t="n">
        <v>1</v>
      </c>
      <c r="C515" s="2" t="s">
        <v>50</v>
      </c>
      <c r="D515" s="7" t="s">
        <v>83</v>
      </c>
      <c r="E515" s="1" t="n">
        <v>1</v>
      </c>
      <c r="F515" s="1" t="n">
        <f aca="false">Y515-X515</f>
        <v>5</v>
      </c>
      <c r="G515" s="1" t="n">
        <v>5</v>
      </c>
      <c r="H515" s="3" t="s">
        <v>48</v>
      </c>
      <c r="I515" s="3" t="s">
        <v>67</v>
      </c>
      <c r="J515" s="3" t="s">
        <v>127</v>
      </c>
      <c r="K515" s="2" t="str">
        <f aca="false">CONCATENATE(I515," ",J515)</f>
        <v>Pardosa lugubris</v>
      </c>
      <c r="L515" s="3" t="n">
        <f aca="false">SUM(P515:U515)</f>
        <v>13</v>
      </c>
      <c r="M515" s="11" t="n">
        <f aca="false">(L515/(F515*G515)*25)*4</f>
        <v>52</v>
      </c>
      <c r="N515" s="1" t="s">
        <v>30</v>
      </c>
      <c r="O515" s="1" t="s">
        <v>31</v>
      </c>
      <c r="P515" s="1" t="n">
        <v>13</v>
      </c>
      <c r="Q515" s="1" t="n">
        <v>0</v>
      </c>
      <c r="R515" s="1" t="n">
        <v>0</v>
      </c>
      <c r="S515" s="1" t="n">
        <v>0</v>
      </c>
      <c r="T515" s="1" t="n">
        <v>0</v>
      </c>
      <c r="U515" s="1" t="n">
        <v>0</v>
      </c>
      <c r="V515" s="3" t="n">
        <f aca="false">SUM(P515:Q515)</f>
        <v>13</v>
      </c>
      <c r="W515" s="3" t="n">
        <f aca="false">SUM(R515:T515)</f>
        <v>0</v>
      </c>
      <c r="X515" s="10" t="n">
        <v>39969</v>
      </c>
      <c r="Y515" s="10" t="n">
        <v>39974</v>
      </c>
    </row>
    <row r="516" customFormat="false" ht="14.25" hidden="false" customHeight="false" outlineLevel="0" collapsed="false">
      <c r="A516" s="1" t="n">
        <v>2009</v>
      </c>
      <c r="B516" s="1" t="n">
        <v>1</v>
      </c>
      <c r="C516" s="2" t="s">
        <v>50</v>
      </c>
      <c r="D516" s="7" t="s">
        <v>83</v>
      </c>
      <c r="E516" s="1" t="n">
        <v>1</v>
      </c>
      <c r="F516" s="1" t="n">
        <f aca="false">Y516-X516</f>
        <v>5</v>
      </c>
      <c r="G516" s="1" t="n">
        <v>5</v>
      </c>
      <c r="H516" s="3" t="s">
        <v>48</v>
      </c>
      <c r="I516" s="3" t="s">
        <v>61</v>
      </c>
      <c r="J516" s="3" t="s">
        <v>82</v>
      </c>
      <c r="K516" s="2" t="str">
        <f aca="false">CONCATENATE(I516," ",J516)</f>
        <v>Trochosa terricola</v>
      </c>
      <c r="L516" s="3" t="n">
        <f aca="false">SUM(P516:U516)</f>
        <v>1</v>
      </c>
      <c r="M516" s="11" t="n">
        <f aca="false">(L516/(F516*G516)*25)*4</f>
        <v>4</v>
      </c>
      <c r="N516" s="1" t="s">
        <v>30</v>
      </c>
      <c r="O516" s="1" t="s">
        <v>31</v>
      </c>
      <c r="P516" s="1" t="n">
        <v>1</v>
      </c>
      <c r="Q516" s="1" t="n">
        <v>0</v>
      </c>
      <c r="R516" s="1" t="n">
        <v>0</v>
      </c>
      <c r="S516" s="1" t="n">
        <v>0</v>
      </c>
      <c r="T516" s="1" t="n">
        <v>0</v>
      </c>
      <c r="U516" s="1" t="n">
        <v>0</v>
      </c>
      <c r="V516" s="3" t="n">
        <f aca="false">SUM(P516:Q516)</f>
        <v>1</v>
      </c>
      <c r="W516" s="3" t="n">
        <f aca="false">SUM(R516:T516)</f>
        <v>0</v>
      </c>
      <c r="X516" s="10" t="n">
        <v>39969</v>
      </c>
      <c r="Y516" s="10" t="n">
        <v>39974</v>
      </c>
    </row>
    <row r="517" customFormat="false" ht="14.25" hidden="false" customHeight="false" outlineLevel="0" collapsed="false">
      <c r="A517" s="1" t="n">
        <v>2009</v>
      </c>
      <c r="B517" s="1" t="n">
        <v>1</v>
      </c>
      <c r="C517" s="2" t="s">
        <v>50</v>
      </c>
      <c r="D517" s="7" t="s">
        <v>83</v>
      </c>
      <c r="E517" s="1" t="n">
        <v>1</v>
      </c>
      <c r="F517" s="1" t="n">
        <f aca="false">Y517-X517</f>
        <v>5</v>
      </c>
      <c r="G517" s="1" t="n">
        <v>5</v>
      </c>
      <c r="H517" s="3" t="s">
        <v>48</v>
      </c>
      <c r="I517" s="3" t="s">
        <v>67</v>
      </c>
      <c r="J517" s="3" t="s">
        <v>38</v>
      </c>
      <c r="K517" s="2" t="str">
        <f aca="false">CONCATENATE(I517," ",J517)</f>
        <v>Pardosa sp</v>
      </c>
      <c r="L517" s="3" t="n">
        <f aca="false">SUM(P517:U517)</f>
        <v>1</v>
      </c>
      <c r="M517" s="11" t="n">
        <f aca="false">(L517/(F517*G517)*25)*4</f>
        <v>4</v>
      </c>
      <c r="N517" s="1" t="s">
        <v>19</v>
      </c>
      <c r="O517" s="1" t="s">
        <v>54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1</v>
      </c>
      <c r="U517" s="1" t="n">
        <v>0</v>
      </c>
      <c r="V517" s="3" t="n">
        <f aca="false">SUM(P517:Q517)</f>
        <v>0</v>
      </c>
      <c r="W517" s="3" t="n">
        <f aca="false">SUM(R517:T517)</f>
        <v>1</v>
      </c>
      <c r="X517" s="10" t="n">
        <v>39969</v>
      </c>
      <c r="Y517" s="10" t="n">
        <v>39974</v>
      </c>
    </row>
    <row r="518" customFormat="false" ht="14.25" hidden="false" customHeight="false" outlineLevel="0" collapsed="false">
      <c r="A518" s="1" t="n">
        <v>2009</v>
      </c>
      <c r="B518" s="1" t="n">
        <v>1</v>
      </c>
      <c r="C518" s="2" t="s">
        <v>50</v>
      </c>
      <c r="D518" s="7" t="s">
        <v>83</v>
      </c>
      <c r="E518" s="1" t="n">
        <v>1</v>
      </c>
      <c r="F518" s="1" t="n">
        <f aca="false">Y518-X518</f>
        <v>5</v>
      </c>
      <c r="G518" s="1" t="n">
        <v>5</v>
      </c>
      <c r="H518" s="3" t="s">
        <v>72</v>
      </c>
      <c r="I518" s="3" t="s">
        <v>86</v>
      </c>
      <c r="J518" s="8" t="s">
        <v>87</v>
      </c>
      <c r="K518" s="2" t="str">
        <f aca="false">CONCATENATE(I518," ",J518)</f>
        <v>Haplodrassus soerenseni</v>
      </c>
      <c r="L518" s="3" t="n">
        <f aca="false">SUM(P518:U518)</f>
        <v>1</v>
      </c>
      <c r="M518" s="11" t="n">
        <f aca="false">(L518/(F518*G518)*25)*4</f>
        <v>4</v>
      </c>
      <c r="N518" s="1" t="s">
        <v>30</v>
      </c>
      <c r="O518" s="1" t="s">
        <v>35</v>
      </c>
      <c r="P518" s="1" t="n">
        <v>0</v>
      </c>
      <c r="Q518" s="1" t="n">
        <v>1</v>
      </c>
      <c r="R518" s="1" t="n">
        <v>0</v>
      </c>
      <c r="S518" s="1" t="n">
        <v>0</v>
      </c>
      <c r="T518" s="1" t="n">
        <v>0</v>
      </c>
      <c r="U518" s="1" t="n">
        <v>0</v>
      </c>
      <c r="V518" s="3" t="n">
        <f aca="false">SUM(P518:Q518)</f>
        <v>1</v>
      </c>
      <c r="W518" s="3" t="n">
        <f aca="false">SUM(R518:T518)</f>
        <v>0</v>
      </c>
      <c r="X518" s="10" t="n">
        <v>39969</v>
      </c>
      <c r="Y518" s="10" t="n">
        <v>39974</v>
      </c>
    </row>
    <row r="519" customFormat="false" ht="14.25" hidden="false" customHeight="false" outlineLevel="0" collapsed="false">
      <c r="A519" s="1" t="n">
        <v>2009</v>
      </c>
      <c r="B519" s="1" t="n">
        <v>1</v>
      </c>
      <c r="C519" s="2" t="s">
        <v>50</v>
      </c>
      <c r="D519" s="7" t="s">
        <v>83</v>
      </c>
      <c r="E519" s="1" t="n">
        <v>1</v>
      </c>
      <c r="F519" s="1" t="n">
        <f aca="false">Y519-X519</f>
        <v>5</v>
      </c>
      <c r="G519" s="1" t="n">
        <v>5</v>
      </c>
      <c r="H519" s="3" t="s">
        <v>32</v>
      </c>
      <c r="I519" s="3" t="s">
        <v>62</v>
      </c>
      <c r="J519" s="3" t="s">
        <v>63</v>
      </c>
      <c r="K519" s="2" t="str">
        <f aca="false">CONCATENATE(I519," ",J519)</f>
        <v>Microneta viaria</v>
      </c>
      <c r="L519" s="3" t="n">
        <f aca="false">SUM(P519:U519)</f>
        <v>2</v>
      </c>
      <c r="M519" s="11" t="n">
        <f aca="false">(L519/(F519*G519)*25)*4</f>
        <v>8</v>
      </c>
      <c r="N519" s="1" t="s">
        <v>30</v>
      </c>
      <c r="O519" s="1" t="s">
        <v>31</v>
      </c>
      <c r="P519" s="1" t="n">
        <v>2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3" t="n">
        <f aca="false">SUM(P519:Q519)</f>
        <v>2</v>
      </c>
      <c r="W519" s="3" t="n">
        <f aca="false">SUM(R519:T519)</f>
        <v>0</v>
      </c>
      <c r="X519" s="10" t="n">
        <v>39969</v>
      </c>
      <c r="Y519" s="10" t="n">
        <v>39974</v>
      </c>
    </row>
    <row r="520" customFormat="false" ht="14.25" hidden="false" customHeight="false" outlineLevel="0" collapsed="false">
      <c r="A520" s="1" t="n">
        <v>2009</v>
      </c>
      <c r="B520" s="1" t="n">
        <v>1</v>
      </c>
      <c r="C520" s="2" t="s">
        <v>50</v>
      </c>
      <c r="D520" s="7" t="s">
        <v>83</v>
      </c>
      <c r="E520" s="1" t="n">
        <v>1</v>
      </c>
      <c r="F520" s="1" t="n">
        <f aca="false">Y520-X520</f>
        <v>5</v>
      </c>
      <c r="G520" s="1" t="n">
        <v>5</v>
      </c>
      <c r="H520" s="3" t="s">
        <v>32</v>
      </c>
      <c r="I520" s="3" t="s">
        <v>62</v>
      </c>
      <c r="J520" s="3" t="s">
        <v>63</v>
      </c>
      <c r="K520" s="2" t="str">
        <f aca="false">CONCATENATE(I520," ",J520)</f>
        <v>Microneta viaria</v>
      </c>
      <c r="L520" s="3" t="n">
        <f aca="false">SUM(P520:U520)</f>
        <v>1</v>
      </c>
      <c r="M520" s="11" t="n">
        <f aca="false">(L520/(F520*G520)*25)*4</f>
        <v>4</v>
      </c>
      <c r="N520" s="1" t="s">
        <v>30</v>
      </c>
      <c r="O520" s="1" t="s">
        <v>35</v>
      </c>
      <c r="P520" s="1" t="n">
        <v>0</v>
      </c>
      <c r="Q520" s="1" t="n">
        <v>1</v>
      </c>
      <c r="R520" s="1" t="n">
        <v>0</v>
      </c>
      <c r="S520" s="1" t="n">
        <v>0</v>
      </c>
      <c r="T520" s="1" t="n">
        <v>0</v>
      </c>
      <c r="U520" s="1" t="n">
        <v>0</v>
      </c>
      <c r="V520" s="3" t="n">
        <f aca="false">SUM(P520:Q520)</f>
        <v>1</v>
      </c>
      <c r="W520" s="3" t="n">
        <f aca="false">SUM(R520:T520)</f>
        <v>0</v>
      </c>
      <c r="X520" s="10" t="n">
        <v>39969</v>
      </c>
      <c r="Y520" s="10" t="n">
        <v>39974</v>
      </c>
    </row>
    <row r="521" customFormat="false" ht="14.25" hidden="false" customHeight="false" outlineLevel="0" collapsed="false">
      <c r="A521" s="1" t="n">
        <v>2009</v>
      </c>
      <c r="B521" s="1" t="n">
        <v>1</v>
      </c>
      <c r="C521" s="2" t="s">
        <v>50</v>
      </c>
      <c r="D521" s="7" t="s">
        <v>83</v>
      </c>
      <c r="E521" s="1" t="n">
        <v>1</v>
      </c>
      <c r="F521" s="1" t="n">
        <f aca="false">Y521-X521</f>
        <v>5</v>
      </c>
      <c r="G521" s="1" t="n">
        <v>5</v>
      </c>
      <c r="H521" s="3" t="s">
        <v>32</v>
      </c>
      <c r="I521" s="3" t="s">
        <v>90</v>
      </c>
      <c r="J521" s="3" t="s">
        <v>91</v>
      </c>
      <c r="K521" s="2" t="str">
        <f aca="false">CONCATENATE(I521," ",J521)</f>
        <v>Tapinocyba insecta</v>
      </c>
      <c r="L521" s="3" t="n">
        <f aca="false">SUM(P521:U521)</f>
        <v>2</v>
      </c>
      <c r="M521" s="11" t="n">
        <f aca="false">(L521/(F521*G521)*25)*4</f>
        <v>8</v>
      </c>
      <c r="N521" s="1" t="s">
        <v>30</v>
      </c>
      <c r="O521" s="1" t="s">
        <v>31</v>
      </c>
      <c r="P521" s="1" t="n">
        <v>2</v>
      </c>
      <c r="Q521" s="1" t="n">
        <v>0</v>
      </c>
      <c r="R521" s="1" t="n">
        <v>0</v>
      </c>
      <c r="S521" s="1" t="n">
        <v>0</v>
      </c>
      <c r="T521" s="1" t="n">
        <v>0</v>
      </c>
      <c r="U521" s="1" t="n">
        <v>0</v>
      </c>
      <c r="V521" s="3" t="n">
        <f aca="false">SUM(P521:Q521)</f>
        <v>2</v>
      </c>
      <c r="W521" s="3" t="n">
        <f aca="false">SUM(R521:T521)</f>
        <v>0</v>
      </c>
      <c r="X521" s="10" t="n">
        <v>39969</v>
      </c>
      <c r="Y521" s="10" t="n">
        <v>39974</v>
      </c>
    </row>
    <row r="522" customFormat="false" ht="14.25" hidden="false" customHeight="false" outlineLevel="0" collapsed="false">
      <c r="A522" s="1" t="n">
        <v>2009</v>
      </c>
      <c r="B522" s="1" t="n">
        <v>1</v>
      </c>
      <c r="C522" s="2" t="s">
        <v>50</v>
      </c>
      <c r="D522" s="7" t="s">
        <v>83</v>
      </c>
      <c r="E522" s="1" t="n">
        <v>1</v>
      </c>
      <c r="F522" s="1" t="n">
        <f aca="false">Y522-X522</f>
        <v>5</v>
      </c>
      <c r="G522" s="1" t="n">
        <v>5</v>
      </c>
      <c r="H522" s="3" t="s">
        <v>48</v>
      </c>
      <c r="I522" s="3" t="s">
        <v>49</v>
      </c>
      <c r="J522" s="3" t="s">
        <v>104</v>
      </c>
      <c r="K522" s="2" t="str">
        <f aca="false">CONCATENATE(I522," ",J522)</f>
        <v>Alopecosa taeniata</v>
      </c>
      <c r="L522" s="3" t="n">
        <f aca="false">SUM(P522:U522)</f>
        <v>4</v>
      </c>
      <c r="M522" s="11" t="n">
        <f aca="false">(L522/(F522*G522)*25)*4</f>
        <v>16</v>
      </c>
      <c r="N522" s="1" t="s">
        <v>30</v>
      </c>
      <c r="O522" s="1" t="s">
        <v>31</v>
      </c>
      <c r="P522" s="1" t="n">
        <v>4</v>
      </c>
      <c r="Q522" s="1" t="n">
        <v>0</v>
      </c>
      <c r="R522" s="1" t="n">
        <v>0</v>
      </c>
      <c r="S522" s="1" t="n">
        <v>0</v>
      </c>
      <c r="T522" s="1" t="n">
        <v>0</v>
      </c>
      <c r="U522" s="1" t="n">
        <v>0</v>
      </c>
      <c r="V522" s="3" t="n">
        <f aca="false">SUM(P522:Q522)</f>
        <v>4</v>
      </c>
      <c r="W522" s="3" t="n">
        <f aca="false">SUM(R522:T522)</f>
        <v>0</v>
      </c>
      <c r="X522" s="10" t="n">
        <v>39969</v>
      </c>
      <c r="Y522" s="10" t="n">
        <v>39974</v>
      </c>
    </row>
    <row r="523" customFormat="false" ht="14.25" hidden="false" customHeight="false" outlineLevel="0" collapsed="false">
      <c r="A523" s="1" t="n">
        <v>2009</v>
      </c>
      <c r="B523" s="1" t="n">
        <v>1</v>
      </c>
      <c r="C523" s="2" t="s">
        <v>50</v>
      </c>
      <c r="D523" s="7" t="s">
        <v>83</v>
      </c>
      <c r="E523" s="1" t="n">
        <v>1</v>
      </c>
      <c r="F523" s="1" t="n">
        <f aca="false">Y523-X523</f>
        <v>5</v>
      </c>
      <c r="G523" s="1" t="n">
        <v>5</v>
      </c>
      <c r="H523" s="3" t="s">
        <v>48</v>
      </c>
      <c r="I523" s="3" t="s">
        <v>67</v>
      </c>
      <c r="J523" s="3" t="s">
        <v>127</v>
      </c>
      <c r="K523" s="2" t="str">
        <f aca="false">CONCATENATE(I523," ",J523)</f>
        <v>Pardosa lugubris</v>
      </c>
      <c r="L523" s="3" t="n">
        <f aca="false">SUM(P523:U523)</f>
        <v>1</v>
      </c>
      <c r="M523" s="11" t="n">
        <f aca="false">(L523/(F523*G523)*25)*4</f>
        <v>4</v>
      </c>
      <c r="N523" s="1" t="s">
        <v>30</v>
      </c>
      <c r="O523" s="1" t="s">
        <v>31</v>
      </c>
      <c r="P523" s="1" t="n">
        <v>1</v>
      </c>
      <c r="Q523" s="1" t="n">
        <v>0</v>
      </c>
      <c r="R523" s="1" t="n">
        <v>0</v>
      </c>
      <c r="S523" s="1" t="n">
        <v>0</v>
      </c>
      <c r="T523" s="1" t="n">
        <v>0</v>
      </c>
      <c r="U523" s="1" t="n">
        <v>0</v>
      </c>
      <c r="V523" s="3" t="n">
        <f aca="false">SUM(P523:Q523)</f>
        <v>1</v>
      </c>
      <c r="W523" s="3" t="n">
        <f aca="false">SUM(R523:T523)</f>
        <v>0</v>
      </c>
      <c r="X523" s="10" t="n">
        <v>39969</v>
      </c>
      <c r="Y523" s="10" t="n">
        <v>39974</v>
      </c>
    </row>
    <row r="524" customFormat="false" ht="14.25" hidden="false" customHeight="false" outlineLevel="0" collapsed="false">
      <c r="A524" s="1" t="n">
        <v>2009</v>
      </c>
      <c r="B524" s="1" t="n">
        <v>1</v>
      </c>
      <c r="C524" s="2" t="s">
        <v>50</v>
      </c>
      <c r="D524" s="7" t="s">
        <v>83</v>
      </c>
      <c r="E524" s="1" t="n">
        <v>1</v>
      </c>
      <c r="F524" s="1" t="n">
        <f aca="false">Y524-X524</f>
        <v>5</v>
      </c>
      <c r="G524" s="1" t="n">
        <v>5</v>
      </c>
      <c r="H524" s="3" t="s">
        <v>48</v>
      </c>
      <c r="I524" s="3" t="s">
        <v>49</v>
      </c>
      <c r="J524" s="3" t="s">
        <v>38</v>
      </c>
      <c r="K524" s="2" t="str">
        <f aca="false">CONCATENATE(I524," ",J524)</f>
        <v>Alopecosa sp</v>
      </c>
      <c r="L524" s="3" t="n">
        <f aca="false">SUM(P524:U524)</f>
        <v>1</v>
      </c>
      <c r="M524" s="11" t="n">
        <f aca="false">(L524/(F524*G524)*25)*4</f>
        <v>4</v>
      </c>
      <c r="N524" s="1" t="s">
        <v>19</v>
      </c>
      <c r="O524" s="1" t="s">
        <v>54</v>
      </c>
      <c r="P524" s="1" t="n">
        <v>0</v>
      </c>
      <c r="Q524" s="1" t="n">
        <v>0</v>
      </c>
      <c r="R524" s="1" t="n">
        <v>0</v>
      </c>
      <c r="S524" s="1" t="n">
        <v>0</v>
      </c>
      <c r="T524" s="1" t="n">
        <v>1</v>
      </c>
      <c r="U524" s="1" t="n">
        <v>0</v>
      </c>
      <c r="V524" s="3" t="n">
        <f aca="false">SUM(P524:Q524)</f>
        <v>0</v>
      </c>
      <c r="W524" s="3" t="n">
        <f aca="false">SUM(R524:T524)</f>
        <v>1</v>
      </c>
      <c r="X524" s="10" t="n">
        <v>39969</v>
      </c>
      <c r="Y524" s="10" t="n">
        <v>39974</v>
      </c>
    </row>
    <row r="525" customFormat="false" ht="14.25" hidden="false" customHeight="false" outlineLevel="0" collapsed="false">
      <c r="A525" s="1" t="n">
        <v>2009</v>
      </c>
      <c r="B525" s="1" t="n">
        <v>1</v>
      </c>
      <c r="C525" s="2" t="s">
        <v>50</v>
      </c>
      <c r="D525" s="7" t="s">
        <v>83</v>
      </c>
      <c r="E525" s="1" t="n">
        <v>1</v>
      </c>
      <c r="F525" s="1" t="n">
        <f aca="false">Y525-X525</f>
        <v>5</v>
      </c>
      <c r="G525" s="1" t="n">
        <v>5</v>
      </c>
      <c r="H525" s="3" t="s">
        <v>72</v>
      </c>
      <c r="I525" s="3" t="s">
        <v>86</v>
      </c>
      <c r="J525" s="8" t="s">
        <v>87</v>
      </c>
      <c r="K525" s="2" t="str">
        <f aca="false">CONCATENATE(I525," ",J525)</f>
        <v>Haplodrassus soerenseni</v>
      </c>
      <c r="L525" s="3" t="n">
        <f aca="false">SUM(P525:U525)</f>
        <v>2</v>
      </c>
      <c r="M525" s="11" t="n">
        <f aca="false">(L525/(F525*G525)*25)*4</f>
        <v>8</v>
      </c>
      <c r="N525" s="1" t="s">
        <v>30</v>
      </c>
      <c r="O525" s="1" t="s">
        <v>31</v>
      </c>
      <c r="P525" s="1" t="n">
        <v>2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3" t="n">
        <f aca="false">SUM(P525:Q525)</f>
        <v>2</v>
      </c>
      <c r="W525" s="3" t="n">
        <f aca="false">SUM(R525:T525)</f>
        <v>0</v>
      </c>
      <c r="X525" s="10" t="n">
        <v>39969</v>
      </c>
      <c r="Y525" s="10" t="n">
        <v>39974</v>
      </c>
    </row>
    <row r="526" customFormat="false" ht="14.25" hidden="false" customHeight="false" outlineLevel="0" collapsed="false">
      <c r="A526" s="1" t="n">
        <v>2009</v>
      </c>
      <c r="B526" s="1" t="n">
        <v>1</v>
      </c>
      <c r="C526" s="2" t="s">
        <v>50</v>
      </c>
      <c r="D526" s="7" t="s">
        <v>83</v>
      </c>
      <c r="E526" s="1" t="n">
        <v>1</v>
      </c>
      <c r="F526" s="1" t="n">
        <f aca="false">Y526-X526</f>
        <v>5</v>
      </c>
      <c r="G526" s="1" t="n">
        <v>5</v>
      </c>
      <c r="H526" s="3" t="s">
        <v>32</v>
      </c>
      <c r="I526" s="3" t="s">
        <v>102</v>
      </c>
      <c r="J526" s="3" t="s">
        <v>193</v>
      </c>
      <c r="K526" s="2" t="str">
        <f aca="false">CONCATENATE(I526," ",J526)</f>
        <v>Agyneta subtilis</v>
      </c>
      <c r="L526" s="3" t="n">
        <f aca="false">SUM(P526:U526)</f>
        <v>1</v>
      </c>
      <c r="M526" s="11" t="n">
        <f aca="false">(L526/(F526*G526)*25)*4</f>
        <v>4</v>
      </c>
      <c r="N526" s="1" t="s">
        <v>30</v>
      </c>
      <c r="O526" s="1" t="s">
        <v>31</v>
      </c>
      <c r="P526" s="1" t="n">
        <v>1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3" t="n">
        <f aca="false">SUM(P526:Q526)</f>
        <v>1</v>
      </c>
      <c r="W526" s="3" t="n">
        <f aca="false">SUM(R526:T526)</f>
        <v>0</v>
      </c>
      <c r="X526" s="10" t="n">
        <v>39969</v>
      </c>
      <c r="Y526" s="10" t="n">
        <v>39974</v>
      </c>
    </row>
    <row r="527" customFormat="false" ht="14.25" hidden="false" customHeight="false" outlineLevel="0" collapsed="false">
      <c r="A527" s="1" t="n">
        <v>2009</v>
      </c>
      <c r="B527" s="1" t="n">
        <v>1</v>
      </c>
      <c r="C527" s="2" t="s">
        <v>50</v>
      </c>
      <c r="D527" s="7" t="s">
        <v>83</v>
      </c>
      <c r="E527" s="1" t="n">
        <v>1</v>
      </c>
      <c r="F527" s="1" t="n">
        <f aca="false">Y527-X527</f>
        <v>5</v>
      </c>
      <c r="G527" s="1" t="n">
        <v>5</v>
      </c>
      <c r="H527" s="3" t="s">
        <v>32</v>
      </c>
      <c r="I527" s="3" t="s">
        <v>55</v>
      </c>
      <c r="J527" s="3" t="s">
        <v>194</v>
      </c>
      <c r="K527" s="2" t="str">
        <f aca="false">CONCATENATE(I527," ",J527)</f>
        <v>Maro pansibiricus</v>
      </c>
      <c r="L527" s="3" t="n">
        <f aca="false">SUM(P527:U527)</f>
        <v>3</v>
      </c>
      <c r="M527" s="11" t="n">
        <f aca="false">(L527/(F527*G527)*25)*4</f>
        <v>12</v>
      </c>
      <c r="N527" s="1" t="s">
        <v>30</v>
      </c>
      <c r="O527" s="1" t="s">
        <v>31</v>
      </c>
      <c r="P527" s="1" t="n">
        <v>3</v>
      </c>
      <c r="Q527" s="1" t="n">
        <v>0</v>
      </c>
      <c r="R527" s="1" t="n">
        <v>0</v>
      </c>
      <c r="S527" s="1" t="n">
        <v>0</v>
      </c>
      <c r="T527" s="1" t="n">
        <v>0</v>
      </c>
      <c r="U527" s="1" t="n">
        <v>0</v>
      </c>
      <c r="V527" s="3" t="n">
        <f aca="false">SUM(P527:Q527)</f>
        <v>3</v>
      </c>
      <c r="W527" s="3" t="n">
        <f aca="false">SUM(R527:T527)</f>
        <v>0</v>
      </c>
      <c r="X527" s="10" t="n">
        <v>39969</v>
      </c>
      <c r="Y527" s="10" t="n">
        <v>39974</v>
      </c>
    </row>
    <row r="528" customFormat="false" ht="14.25" hidden="false" customHeight="false" outlineLevel="0" collapsed="false">
      <c r="A528" s="1" t="n">
        <v>2009</v>
      </c>
      <c r="B528" s="1" t="n">
        <v>1</v>
      </c>
      <c r="C528" s="2" t="s">
        <v>50</v>
      </c>
      <c r="D528" s="7" t="s">
        <v>83</v>
      </c>
      <c r="E528" s="1" t="n">
        <v>1</v>
      </c>
      <c r="F528" s="1" t="n">
        <f aca="false">Y528-X528</f>
        <v>5</v>
      </c>
      <c r="G528" s="1" t="n">
        <v>5</v>
      </c>
      <c r="H528" s="3" t="s">
        <v>32</v>
      </c>
      <c r="I528" s="3" t="s">
        <v>62</v>
      </c>
      <c r="J528" s="3" t="s">
        <v>63</v>
      </c>
      <c r="K528" s="2" t="str">
        <f aca="false">CONCATENATE(I528," ",J528)</f>
        <v>Microneta viaria</v>
      </c>
      <c r="L528" s="3" t="n">
        <f aca="false">SUM(P528:U528)</f>
        <v>3</v>
      </c>
      <c r="M528" s="11" t="n">
        <f aca="false">(L528/(F528*G528)*25)*4</f>
        <v>12</v>
      </c>
      <c r="N528" s="1" t="s">
        <v>30</v>
      </c>
      <c r="O528" s="1" t="s">
        <v>35</v>
      </c>
      <c r="P528" s="1" t="n">
        <v>0</v>
      </c>
      <c r="Q528" s="1" t="n">
        <v>3</v>
      </c>
      <c r="R528" s="1" t="n">
        <v>0</v>
      </c>
      <c r="S528" s="1" t="n">
        <v>0</v>
      </c>
      <c r="T528" s="1" t="n">
        <v>0</v>
      </c>
      <c r="U528" s="1" t="n">
        <v>0</v>
      </c>
      <c r="V528" s="3" t="n">
        <f aca="false">SUM(P528:Q528)</f>
        <v>3</v>
      </c>
      <c r="W528" s="3" t="n">
        <f aca="false">SUM(R528:T528)</f>
        <v>0</v>
      </c>
      <c r="X528" s="10" t="n">
        <v>39969</v>
      </c>
      <c r="Y528" s="10" t="n">
        <v>39974</v>
      </c>
    </row>
    <row r="529" customFormat="false" ht="14.25" hidden="false" customHeight="false" outlineLevel="0" collapsed="false">
      <c r="A529" s="1" t="n">
        <v>2009</v>
      </c>
      <c r="B529" s="1" t="n">
        <v>1</v>
      </c>
      <c r="C529" s="2" t="s">
        <v>50</v>
      </c>
      <c r="D529" s="7" t="s">
        <v>83</v>
      </c>
      <c r="E529" s="1" t="n">
        <v>1</v>
      </c>
      <c r="F529" s="1" t="n">
        <f aca="false">Y529-X529</f>
        <v>5</v>
      </c>
      <c r="G529" s="1" t="n">
        <v>5</v>
      </c>
      <c r="H529" s="3" t="s">
        <v>32</v>
      </c>
      <c r="I529" s="3" t="s">
        <v>90</v>
      </c>
      <c r="J529" s="3" t="s">
        <v>91</v>
      </c>
      <c r="K529" s="2" t="str">
        <f aca="false">CONCATENATE(I529," ",J529)</f>
        <v>Tapinocyba insecta</v>
      </c>
      <c r="L529" s="3" t="n">
        <f aca="false">SUM(P529:U529)</f>
        <v>1</v>
      </c>
      <c r="M529" s="11" t="n">
        <f aca="false">(L529/(F529*G529)*25)*4</f>
        <v>4</v>
      </c>
      <c r="N529" s="1" t="s">
        <v>30</v>
      </c>
      <c r="O529" s="1" t="s">
        <v>35</v>
      </c>
      <c r="P529" s="1" t="n">
        <v>0</v>
      </c>
      <c r="Q529" s="1" t="n">
        <v>1</v>
      </c>
      <c r="R529" s="1" t="n">
        <v>0</v>
      </c>
      <c r="S529" s="1" t="n">
        <v>0</v>
      </c>
      <c r="T529" s="1" t="n">
        <v>0</v>
      </c>
      <c r="U529" s="1" t="n">
        <v>0</v>
      </c>
      <c r="V529" s="3" t="n">
        <f aca="false">SUM(P529:Q529)</f>
        <v>1</v>
      </c>
      <c r="W529" s="3" t="n">
        <f aca="false">SUM(R529:T529)</f>
        <v>0</v>
      </c>
      <c r="X529" s="10" t="n">
        <v>39969</v>
      </c>
      <c r="Y529" s="10" t="n">
        <v>39974</v>
      </c>
    </row>
    <row r="530" customFormat="false" ht="14.25" hidden="false" customHeight="false" outlineLevel="0" collapsed="false">
      <c r="A530" s="1" t="n">
        <v>2009</v>
      </c>
      <c r="B530" s="1" t="n">
        <v>1</v>
      </c>
      <c r="C530" s="2" t="s">
        <v>50</v>
      </c>
      <c r="D530" s="7" t="s">
        <v>83</v>
      </c>
      <c r="E530" s="1" t="n">
        <v>1</v>
      </c>
      <c r="F530" s="1" t="n">
        <f aca="false">Y530-X530</f>
        <v>5</v>
      </c>
      <c r="G530" s="1" t="n">
        <v>5</v>
      </c>
      <c r="H530" s="3" t="s">
        <v>48</v>
      </c>
      <c r="I530" s="3" t="s">
        <v>49</v>
      </c>
      <c r="J530" s="3" t="s">
        <v>104</v>
      </c>
      <c r="K530" s="2" t="str">
        <f aca="false">CONCATENATE(I530," ",J530)</f>
        <v>Alopecosa taeniata</v>
      </c>
      <c r="L530" s="3" t="n">
        <f aca="false">SUM(P530:U530)</f>
        <v>2</v>
      </c>
      <c r="M530" s="11" t="n">
        <f aca="false">(L530/(F530*G530)*25)*4</f>
        <v>8</v>
      </c>
      <c r="N530" s="1" t="s">
        <v>30</v>
      </c>
      <c r="O530" s="1" t="s">
        <v>31</v>
      </c>
      <c r="P530" s="1" t="n">
        <v>2</v>
      </c>
      <c r="Q530" s="1" t="n">
        <v>0</v>
      </c>
      <c r="R530" s="1" t="n">
        <v>0</v>
      </c>
      <c r="S530" s="1" t="n">
        <v>0</v>
      </c>
      <c r="T530" s="1" t="n">
        <v>0</v>
      </c>
      <c r="U530" s="1" t="n">
        <v>0</v>
      </c>
      <c r="V530" s="3" t="n">
        <f aca="false">SUM(P530:Q530)</f>
        <v>2</v>
      </c>
      <c r="W530" s="3" t="n">
        <f aca="false">SUM(R530:T530)</f>
        <v>0</v>
      </c>
      <c r="X530" s="10" t="n">
        <v>39969</v>
      </c>
      <c r="Y530" s="10" t="n">
        <v>39974</v>
      </c>
    </row>
    <row r="531" customFormat="false" ht="14.25" hidden="false" customHeight="false" outlineLevel="0" collapsed="false">
      <c r="A531" s="1" t="n">
        <v>2009</v>
      </c>
      <c r="B531" s="1" t="n">
        <v>1</v>
      </c>
      <c r="C531" s="2" t="s">
        <v>50</v>
      </c>
      <c r="D531" s="7" t="s">
        <v>83</v>
      </c>
      <c r="E531" s="1" t="n">
        <v>1</v>
      </c>
      <c r="F531" s="1" t="n">
        <f aca="false">Y531-X531</f>
        <v>5</v>
      </c>
      <c r="G531" s="1" t="n">
        <v>5</v>
      </c>
      <c r="H531" s="3" t="s">
        <v>48</v>
      </c>
      <c r="I531" s="3" t="s">
        <v>67</v>
      </c>
      <c r="J531" s="3" t="s">
        <v>127</v>
      </c>
      <c r="K531" s="2" t="str">
        <f aca="false">CONCATENATE(I531," ",J531)</f>
        <v>Pardosa lugubris</v>
      </c>
      <c r="L531" s="3" t="n">
        <f aca="false">SUM(P531:U531)</f>
        <v>6</v>
      </c>
      <c r="M531" s="11" t="n">
        <f aca="false">(L531/(F531*G531)*25)*4</f>
        <v>24</v>
      </c>
      <c r="N531" s="1" t="s">
        <v>30</v>
      </c>
      <c r="O531" s="1" t="s">
        <v>31</v>
      </c>
      <c r="P531" s="1" t="n">
        <v>6</v>
      </c>
      <c r="Q531" s="1" t="n">
        <v>0</v>
      </c>
      <c r="R531" s="1" t="n">
        <v>0</v>
      </c>
      <c r="S531" s="1" t="n">
        <v>0</v>
      </c>
      <c r="T531" s="1" t="n">
        <v>0</v>
      </c>
      <c r="U531" s="1" t="n">
        <v>0</v>
      </c>
      <c r="V531" s="3" t="n">
        <f aca="false">SUM(P531:Q531)</f>
        <v>6</v>
      </c>
      <c r="W531" s="3" t="n">
        <f aca="false">SUM(R531:T531)</f>
        <v>0</v>
      </c>
      <c r="X531" s="10" t="n">
        <v>39969</v>
      </c>
      <c r="Y531" s="10" t="n">
        <v>39974</v>
      </c>
    </row>
    <row r="532" customFormat="false" ht="14.25" hidden="false" customHeight="false" outlineLevel="0" collapsed="false">
      <c r="A532" s="1" t="n">
        <v>2009</v>
      </c>
      <c r="B532" s="1" t="n">
        <v>1</v>
      </c>
      <c r="C532" s="2" t="s">
        <v>50</v>
      </c>
      <c r="D532" s="7" t="s">
        <v>83</v>
      </c>
      <c r="E532" s="1" t="n">
        <v>1</v>
      </c>
      <c r="F532" s="1" t="n">
        <f aca="false">Y532-X532</f>
        <v>5</v>
      </c>
      <c r="G532" s="1" t="n">
        <v>5</v>
      </c>
      <c r="H532" s="3" t="s">
        <v>48</v>
      </c>
      <c r="I532" s="3" t="s">
        <v>67</v>
      </c>
      <c r="J532" s="3" t="s">
        <v>127</v>
      </c>
      <c r="K532" s="2" t="str">
        <f aca="false">CONCATENATE(I532," ",J532)</f>
        <v>Pardosa lugubris</v>
      </c>
      <c r="L532" s="3" t="n">
        <f aca="false">SUM(P532:U532)</f>
        <v>1</v>
      </c>
      <c r="M532" s="11" t="n">
        <f aca="false">(L532/(F532*G532)*25)*4</f>
        <v>4</v>
      </c>
      <c r="N532" s="1" t="s">
        <v>30</v>
      </c>
      <c r="O532" s="1" t="s">
        <v>35</v>
      </c>
      <c r="P532" s="1" t="n">
        <v>0</v>
      </c>
      <c r="Q532" s="1" t="n">
        <v>1</v>
      </c>
      <c r="R532" s="1" t="n">
        <v>0</v>
      </c>
      <c r="S532" s="1" t="n">
        <v>0</v>
      </c>
      <c r="T532" s="1" t="n">
        <v>0</v>
      </c>
      <c r="U532" s="1" t="n">
        <v>0</v>
      </c>
      <c r="V532" s="3" t="n">
        <f aca="false">SUM(P532:Q532)</f>
        <v>1</v>
      </c>
      <c r="W532" s="3" t="n">
        <f aca="false">SUM(R532:T532)</f>
        <v>0</v>
      </c>
      <c r="X532" s="10" t="n">
        <v>39969</v>
      </c>
      <c r="Y532" s="10" t="n">
        <v>39974</v>
      </c>
    </row>
    <row r="533" customFormat="false" ht="14.25" hidden="false" customHeight="false" outlineLevel="0" collapsed="false">
      <c r="A533" s="1" t="n">
        <v>2009</v>
      </c>
      <c r="B533" s="1" t="n">
        <v>1</v>
      </c>
      <c r="C533" s="2" t="s">
        <v>50</v>
      </c>
      <c r="D533" s="7" t="s">
        <v>83</v>
      </c>
      <c r="E533" s="1" t="n">
        <v>1</v>
      </c>
      <c r="F533" s="1" t="n">
        <f aca="false">Y533-X533</f>
        <v>5</v>
      </c>
      <c r="G533" s="1" t="n">
        <v>5</v>
      </c>
      <c r="H533" s="3" t="s">
        <v>48</v>
      </c>
      <c r="I533" s="3" t="s">
        <v>57</v>
      </c>
      <c r="J533" s="3" t="s">
        <v>38</v>
      </c>
      <c r="K533" s="2" t="str">
        <f aca="false">CONCATENATE(I533," ",J533)</f>
        <v>Gen sp</v>
      </c>
      <c r="L533" s="3" t="n">
        <f aca="false">SUM(P533:U533)</f>
        <v>1</v>
      </c>
      <c r="M533" s="11" t="n">
        <f aca="false">(L533/(F533*G533)*25)*4</f>
        <v>4</v>
      </c>
      <c r="N533" s="1" t="s">
        <v>19</v>
      </c>
      <c r="O533" s="1" t="s">
        <v>54</v>
      </c>
      <c r="P533" s="1" t="n">
        <v>0</v>
      </c>
      <c r="Q533" s="1" t="n">
        <v>0</v>
      </c>
      <c r="R533" s="1" t="n">
        <v>0</v>
      </c>
      <c r="S533" s="1" t="n">
        <v>0</v>
      </c>
      <c r="T533" s="1" t="n">
        <v>1</v>
      </c>
      <c r="U533" s="1" t="n">
        <v>0</v>
      </c>
      <c r="V533" s="3" t="n">
        <f aca="false">SUM(P533:Q533)</f>
        <v>0</v>
      </c>
      <c r="W533" s="3" t="n">
        <f aca="false">SUM(R533:T533)</f>
        <v>1</v>
      </c>
      <c r="X533" s="10" t="n">
        <v>39969</v>
      </c>
      <c r="Y533" s="10" t="n">
        <v>39974</v>
      </c>
    </row>
    <row r="534" customFormat="false" ht="14.25" hidden="false" customHeight="false" outlineLevel="0" collapsed="false">
      <c r="A534" s="1" t="n">
        <v>2009</v>
      </c>
      <c r="B534" s="1" t="n">
        <v>1</v>
      </c>
      <c r="C534" s="2" t="s">
        <v>50</v>
      </c>
      <c r="D534" s="7" t="s">
        <v>83</v>
      </c>
      <c r="E534" s="1" t="n">
        <v>1</v>
      </c>
      <c r="F534" s="1" t="n">
        <f aca="false">Y534-X534</f>
        <v>5</v>
      </c>
      <c r="G534" s="1" t="n">
        <v>5</v>
      </c>
      <c r="H534" s="3" t="s">
        <v>72</v>
      </c>
      <c r="I534" s="3" t="s">
        <v>86</v>
      </c>
      <c r="J534" s="8" t="s">
        <v>87</v>
      </c>
      <c r="K534" s="2" t="str">
        <f aca="false">CONCATENATE(I534," ",J534)</f>
        <v>Haplodrassus soerenseni</v>
      </c>
      <c r="L534" s="3" t="n">
        <f aca="false">SUM(P534:U534)</f>
        <v>1</v>
      </c>
      <c r="M534" s="11" t="n">
        <f aca="false">(L534/(F534*G534)*25)*4</f>
        <v>4</v>
      </c>
      <c r="N534" s="1" t="s">
        <v>30</v>
      </c>
      <c r="O534" s="1" t="s">
        <v>31</v>
      </c>
      <c r="P534" s="1" t="n">
        <v>1</v>
      </c>
      <c r="Q534" s="1" t="n">
        <v>0</v>
      </c>
      <c r="R534" s="1" t="n">
        <v>0</v>
      </c>
      <c r="S534" s="1" t="n">
        <v>0</v>
      </c>
      <c r="T534" s="1" t="n">
        <v>0</v>
      </c>
      <c r="U534" s="1" t="n">
        <v>0</v>
      </c>
      <c r="V534" s="3" t="n">
        <f aca="false">SUM(P534:Q534)</f>
        <v>1</v>
      </c>
      <c r="W534" s="3" t="n">
        <f aca="false">SUM(R534:T534)</f>
        <v>0</v>
      </c>
      <c r="X534" s="10" t="n">
        <v>39969</v>
      </c>
      <c r="Y534" s="10" t="n">
        <v>39974</v>
      </c>
    </row>
    <row r="535" customFormat="false" ht="14.25" hidden="false" customHeight="false" outlineLevel="0" collapsed="false">
      <c r="A535" s="1" t="n">
        <v>2009</v>
      </c>
      <c r="B535" s="1" t="n">
        <v>1</v>
      </c>
      <c r="C535" s="2" t="s">
        <v>50</v>
      </c>
      <c r="D535" s="7" t="s">
        <v>83</v>
      </c>
      <c r="E535" s="1" t="n">
        <v>1</v>
      </c>
      <c r="F535" s="1" t="n">
        <f aca="false">Y535-X535</f>
        <v>5</v>
      </c>
      <c r="G535" s="1" t="n">
        <v>5</v>
      </c>
      <c r="H535" s="3" t="s">
        <v>72</v>
      </c>
      <c r="I535" s="3" t="s">
        <v>73</v>
      </c>
      <c r="J535" s="3" t="s">
        <v>38</v>
      </c>
      <c r="K535" s="2" t="str">
        <f aca="false">CONCATENATE(I535," ",J535)</f>
        <v>Zelotes sp</v>
      </c>
      <c r="L535" s="3" t="n">
        <f aca="false">SUM(P535:U535)</f>
        <v>1</v>
      </c>
      <c r="M535" s="11" t="n">
        <f aca="false">(L535/(F535*G535)*25)*4</f>
        <v>4</v>
      </c>
      <c r="N535" s="1" t="s">
        <v>19</v>
      </c>
      <c r="O535" s="1" t="s">
        <v>54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1</v>
      </c>
      <c r="U535" s="1" t="n">
        <v>0</v>
      </c>
      <c r="V535" s="3" t="n">
        <f aca="false">SUM(P535:Q535)</f>
        <v>0</v>
      </c>
      <c r="W535" s="3" t="n">
        <f aca="false">SUM(R535:T535)</f>
        <v>1</v>
      </c>
      <c r="X535" s="10" t="n">
        <v>39969</v>
      </c>
      <c r="Y535" s="10" t="n">
        <v>39974</v>
      </c>
    </row>
    <row r="536" customFormat="false" ht="14.25" hidden="false" customHeight="false" outlineLevel="0" collapsed="false">
      <c r="A536" s="1" t="n">
        <v>2009</v>
      </c>
      <c r="B536" s="1" t="n">
        <v>1</v>
      </c>
      <c r="C536" s="2" t="s">
        <v>50</v>
      </c>
      <c r="D536" s="7" t="s">
        <v>83</v>
      </c>
      <c r="E536" s="1" t="n">
        <v>1</v>
      </c>
      <c r="F536" s="1" t="n">
        <f aca="false">Y536-X536</f>
        <v>5</v>
      </c>
      <c r="G536" s="1" t="n">
        <v>5</v>
      </c>
      <c r="H536" s="3" t="s">
        <v>64</v>
      </c>
      <c r="I536" s="3" t="s">
        <v>65</v>
      </c>
      <c r="J536" s="3" t="s">
        <v>123</v>
      </c>
      <c r="K536" s="2" t="str">
        <f aca="false">CONCATENATE(I536," ",J536)</f>
        <v>Zora nemoralis</v>
      </c>
      <c r="L536" s="3" t="n">
        <f aca="false">SUM(P536:U536)</f>
        <v>1</v>
      </c>
      <c r="M536" s="11" t="n">
        <f aca="false">(L536/(F536*G536)*25)*4</f>
        <v>4</v>
      </c>
      <c r="N536" s="1" t="s">
        <v>30</v>
      </c>
      <c r="O536" s="1" t="s">
        <v>31</v>
      </c>
      <c r="P536" s="1" t="n">
        <v>1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3" t="n">
        <f aca="false">SUM(P536:Q536)</f>
        <v>1</v>
      </c>
      <c r="W536" s="3" t="n">
        <f aca="false">SUM(R536:T536)</f>
        <v>0</v>
      </c>
      <c r="X536" s="10" t="n">
        <v>39969</v>
      </c>
      <c r="Y536" s="10" t="n">
        <v>39974</v>
      </c>
    </row>
    <row r="537" customFormat="false" ht="14.25" hidden="false" customHeight="false" outlineLevel="0" collapsed="false">
      <c r="A537" s="1" t="n">
        <v>2009</v>
      </c>
      <c r="B537" s="1" t="n">
        <v>1</v>
      </c>
      <c r="C537" s="2" t="s">
        <v>50</v>
      </c>
      <c r="D537" s="7" t="s">
        <v>83</v>
      </c>
      <c r="E537" s="1" t="n">
        <v>1</v>
      </c>
      <c r="F537" s="1" t="n">
        <f aca="false">Y537-X537</f>
        <v>5</v>
      </c>
      <c r="G537" s="1" t="n">
        <v>5</v>
      </c>
      <c r="H537" s="3" t="s">
        <v>36</v>
      </c>
      <c r="I537" s="3" t="s">
        <v>37</v>
      </c>
      <c r="J537" s="8" t="s">
        <v>75</v>
      </c>
      <c r="K537" s="2" t="str">
        <f aca="false">CONCATENATE(I537," ",J537)</f>
        <v>Ozyptila praticola</v>
      </c>
      <c r="L537" s="3" t="n">
        <f aca="false">SUM(P537:U537)</f>
        <v>1</v>
      </c>
      <c r="M537" s="11" t="n">
        <f aca="false">(L537/(F537*G537)*25)*4</f>
        <v>4</v>
      </c>
      <c r="N537" s="1" t="s">
        <v>30</v>
      </c>
      <c r="O537" s="1" t="s">
        <v>31</v>
      </c>
      <c r="P537" s="1" t="n">
        <v>1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3" t="n">
        <f aca="false">SUM(P537:Q537)</f>
        <v>1</v>
      </c>
      <c r="W537" s="3" t="n">
        <f aca="false">SUM(R537:T537)</f>
        <v>0</v>
      </c>
      <c r="X537" s="10" t="n">
        <v>39969</v>
      </c>
      <c r="Y537" s="10" t="n">
        <v>39974</v>
      </c>
    </row>
    <row r="538" customFormat="false" ht="14.25" hidden="false" customHeight="false" outlineLevel="0" collapsed="false">
      <c r="A538" s="1" t="n">
        <v>2009</v>
      </c>
      <c r="B538" s="1" t="n">
        <v>1</v>
      </c>
      <c r="C538" s="2" t="s">
        <v>50</v>
      </c>
      <c r="D538" s="7" t="s">
        <v>83</v>
      </c>
      <c r="E538" s="1" t="n">
        <v>1</v>
      </c>
      <c r="F538" s="1" t="n">
        <f aca="false">Y538-X538</f>
        <v>5</v>
      </c>
      <c r="G538" s="1" t="n">
        <v>5</v>
      </c>
      <c r="H538" s="3" t="s">
        <v>124</v>
      </c>
      <c r="I538" s="3" t="s">
        <v>125</v>
      </c>
      <c r="J538" s="3" t="s">
        <v>126</v>
      </c>
      <c r="K538" s="2" t="str">
        <f aca="false">CONCATENATE(I538," ",J538)</f>
        <v>Hahnia ononidum</v>
      </c>
      <c r="L538" s="3" t="n">
        <f aca="false">SUM(P538:U538)</f>
        <v>1</v>
      </c>
      <c r="M538" s="11" t="n">
        <f aca="false">(L538/(F538*G538)*25)*4</f>
        <v>4</v>
      </c>
      <c r="N538" s="1" t="s">
        <v>30</v>
      </c>
      <c r="O538" s="1" t="s">
        <v>35</v>
      </c>
      <c r="P538" s="1" t="n">
        <v>0</v>
      </c>
      <c r="Q538" s="1" t="n">
        <v>1</v>
      </c>
      <c r="R538" s="1" t="n">
        <v>0</v>
      </c>
      <c r="S538" s="1" t="n">
        <v>0</v>
      </c>
      <c r="T538" s="1" t="n">
        <v>0</v>
      </c>
      <c r="U538" s="1" t="n">
        <v>0</v>
      </c>
      <c r="V538" s="3" t="n">
        <f aca="false">SUM(P538:Q538)</f>
        <v>1</v>
      </c>
      <c r="W538" s="3" t="n">
        <f aca="false">SUM(R538:T538)</f>
        <v>0</v>
      </c>
      <c r="X538" s="10" t="n">
        <v>39969</v>
      </c>
      <c r="Y538" s="10" t="n">
        <v>39974</v>
      </c>
    </row>
    <row r="539" customFormat="false" ht="14.25" hidden="false" customHeight="false" outlineLevel="0" collapsed="false">
      <c r="A539" s="1" t="n">
        <v>2009</v>
      </c>
      <c r="B539" s="1" t="n">
        <v>1</v>
      </c>
      <c r="C539" s="2" t="s">
        <v>50</v>
      </c>
      <c r="D539" s="7" t="s">
        <v>83</v>
      </c>
      <c r="E539" s="1" t="n">
        <v>1</v>
      </c>
      <c r="F539" s="1" t="n">
        <f aca="false">Y539-X539</f>
        <v>5</v>
      </c>
      <c r="G539" s="1" t="n">
        <v>5</v>
      </c>
      <c r="H539" s="3" t="s">
        <v>32</v>
      </c>
      <c r="I539" s="3" t="s">
        <v>62</v>
      </c>
      <c r="J539" s="3" t="s">
        <v>63</v>
      </c>
      <c r="K539" s="2" t="str">
        <f aca="false">CONCATENATE(I539," ",J539)</f>
        <v>Microneta viaria</v>
      </c>
      <c r="L539" s="3" t="n">
        <f aca="false">SUM(P539:U539)</f>
        <v>1</v>
      </c>
      <c r="M539" s="11" t="n">
        <f aca="false">(L539/(F539*G539)*25)*4</f>
        <v>4</v>
      </c>
      <c r="N539" s="1" t="s">
        <v>30</v>
      </c>
      <c r="O539" s="1" t="s">
        <v>31</v>
      </c>
      <c r="P539" s="1" t="n">
        <v>1</v>
      </c>
      <c r="Q539" s="1" t="n">
        <v>0</v>
      </c>
      <c r="R539" s="1" t="n">
        <v>0</v>
      </c>
      <c r="S539" s="1" t="n">
        <v>0</v>
      </c>
      <c r="T539" s="1" t="n">
        <v>0</v>
      </c>
      <c r="U539" s="1" t="n">
        <v>0</v>
      </c>
      <c r="V539" s="3" t="n">
        <f aca="false">SUM(P539:Q539)</f>
        <v>1</v>
      </c>
      <c r="W539" s="3" t="n">
        <f aca="false">SUM(R539:T539)</f>
        <v>0</v>
      </c>
      <c r="X539" s="10" t="n">
        <v>39969</v>
      </c>
      <c r="Y539" s="10" t="n">
        <v>39974</v>
      </c>
    </row>
    <row r="540" customFormat="false" ht="14.25" hidden="false" customHeight="false" outlineLevel="0" collapsed="false">
      <c r="A540" s="1" t="n">
        <v>2009</v>
      </c>
      <c r="B540" s="1" t="n">
        <v>1</v>
      </c>
      <c r="C540" s="2" t="s">
        <v>50</v>
      </c>
      <c r="D540" s="7" t="s">
        <v>83</v>
      </c>
      <c r="E540" s="1" t="n">
        <v>1</v>
      </c>
      <c r="F540" s="1" t="n">
        <f aca="false">Y540-X540</f>
        <v>5</v>
      </c>
      <c r="G540" s="1" t="n">
        <v>5</v>
      </c>
      <c r="H540" s="3" t="s">
        <v>32</v>
      </c>
      <c r="I540" s="3" t="s">
        <v>55</v>
      </c>
      <c r="J540" s="3" t="s">
        <v>194</v>
      </c>
      <c r="K540" s="2" t="str">
        <f aca="false">CONCATENATE(I540," ",J540)</f>
        <v>Maro pansibiricus</v>
      </c>
      <c r="L540" s="3" t="n">
        <f aca="false">SUM(P540:U540)</f>
        <v>4</v>
      </c>
      <c r="M540" s="11" t="n">
        <f aca="false">(L540/(F540*G540)*25)*4</f>
        <v>16</v>
      </c>
      <c r="N540" s="1" t="s">
        <v>30</v>
      </c>
      <c r="O540" s="1" t="s">
        <v>31</v>
      </c>
      <c r="P540" s="1" t="n">
        <v>4</v>
      </c>
      <c r="Q540" s="1" t="n">
        <v>0</v>
      </c>
      <c r="R540" s="1" t="n">
        <v>0</v>
      </c>
      <c r="S540" s="1" t="n">
        <v>0</v>
      </c>
      <c r="T540" s="1" t="n">
        <v>0</v>
      </c>
      <c r="U540" s="1" t="n">
        <v>0</v>
      </c>
      <c r="V540" s="3" t="n">
        <f aca="false">SUM(P540:Q540)</f>
        <v>4</v>
      </c>
      <c r="W540" s="3" t="n">
        <f aca="false">SUM(R540:T540)</f>
        <v>0</v>
      </c>
      <c r="X540" s="10" t="n">
        <v>39969</v>
      </c>
      <c r="Y540" s="10" t="n">
        <v>39974</v>
      </c>
    </row>
    <row r="541" customFormat="false" ht="14.25" hidden="false" customHeight="false" outlineLevel="0" collapsed="false">
      <c r="A541" s="1" t="n">
        <v>2009</v>
      </c>
      <c r="B541" s="1" t="n">
        <v>1</v>
      </c>
      <c r="C541" s="2" t="s">
        <v>50</v>
      </c>
      <c r="D541" s="7" t="s">
        <v>83</v>
      </c>
      <c r="E541" s="1" t="n">
        <v>2</v>
      </c>
      <c r="F541" s="1" t="n">
        <f aca="false">Y541-X541</f>
        <v>5</v>
      </c>
      <c r="G541" s="1" t="n">
        <v>5</v>
      </c>
      <c r="H541" s="3" t="s">
        <v>48</v>
      </c>
      <c r="I541" s="3" t="s">
        <v>49</v>
      </c>
      <c r="J541" s="3" t="s">
        <v>104</v>
      </c>
      <c r="K541" s="2" t="str">
        <f aca="false">CONCATENATE(I541," ",J541)</f>
        <v>Alopecosa taeniata</v>
      </c>
      <c r="L541" s="3" t="n">
        <f aca="false">SUM(P541:U541)</f>
        <v>5</v>
      </c>
      <c r="M541" s="11" t="n">
        <f aca="false">(L541/(F541*G541)*25)*4</f>
        <v>20</v>
      </c>
      <c r="N541" s="1" t="s">
        <v>30</v>
      </c>
      <c r="O541" s="1" t="s">
        <v>31</v>
      </c>
      <c r="P541" s="1" t="n">
        <v>5</v>
      </c>
      <c r="Q541" s="1" t="n">
        <v>0</v>
      </c>
      <c r="R541" s="1" t="n">
        <v>0</v>
      </c>
      <c r="S541" s="1" t="n">
        <v>0</v>
      </c>
      <c r="T541" s="1" t="n">
        <v>0</v>
      </c>
      <c r="U541" s="1" t="n">
        <v>0</v>
      </c>
      <c r="V541" s="3" t="n">
        <f aca="false">SUM(P541:Q541)</f>
        <v>5</v>
      </c>
      <c r="W541" s="3" t="n">
        <f aca="false">SUM(R541:T541)</f>
        <v>0</v>
      </c>
      <c r="X541" s="10" t="n">
        <v>39969</v>
      </c>
      <c r="Y541" s="10" t="n">
        <v>39974</v>
      </c>
    </row>
    <row r="542" customFormat="false" ht="14.25" hidden="false" customHeight="false" outlineLevel="0" collapsed="false">
      <c r="A542" s="1" t="n">
        <v>2009</v>
      </c>
      <c r="B542" s="1" t="n">
        <v>1</v>
      </c>
      <c r="C542" s="2" t="s">
        <v>50</v>
      </c>
      <c r="D542" s="7" t="s">
        <v>83</v>
      </c>
      <c r="E542" s="1" t="n">
        <v>2</v>
      </c>
      <c r="F542" s="1" t="n">
        <f aca="false">Y542-X542</f>
        <v>5</v>
      </c>
      <c r="G542" s="1" t="n">
        <v>5</v>
      </c>
      <c r="H542" s="3" t="s">
        <v>48</v>
      </c>
      <c r="I542" s="3" t="s">
        <v>67</v>
      </c>
      <c r="J542" s="3" t="s">
        <v>127</v>
      </c>
      <c r="K542" s="2" t="str">
        <f aca="false">CONCATENATE(I542," ",J542)</f>
        <v>Pardosa lugubris</v>
      </c>
      <c r="L542" s="3" t="n">
        <f aca="false">SUM(P542:U542)</f>
        <v>1</v>
      </c>
      <c r="M542" s="11" t="n">
        <f aca="false">(L542/(F542*G542)*25)*4</f>
        <v>4</v>
      </c>
      <c r="N542" s="1" t="s">
        <v>30</v>
      </c>
      <c r="O542" s="1" t="s">
        <v>31</v>
      </c>
      <c r="P542" s="1" t="n">
        <v>1</v>
      </c>
      <c r="Q542" s="1" t="n">
        <v>0</v>
      </c>
      <c r="R542" s="1" t="n">
        <v>0</v>
      </c>
      <c r="S542" s="1" t="n">
        <v>0</v>
      </c>
      <c r="T542" s="1" t="n">
        <v>0</v>
      </c>
      <c r="U542" s="1" t="n">
        <v>0</v>
      </c>
      <c r="V542" s="3" t="n">
        <f aca="false">SUM(P542:Q542)</f>
        <v>1</v>
      </c>
      <c r="W542" s="3" t="n">
        <f aca="false">SUM(R542:T542)</f>
        <v>0</v>
      </c>
      <c r="X542" s="10" t="n">
        <v>39969</v>
      </c>
      <c r="Y542" s="10" t="n">
        <v>39974</v>
      </c>
    </row>
    <row r="543" customFormat="false" ht="14.25" hidden="false" customHeight="false" outlineLevel="0" collapsed="false">
      <c r="A543" s="1" t="n">
        <v>2009</v>
      </c>
      <c r="B543" s="1" t="n">
        <v>1</v>
      </c>
      <c r="C543" s="2" t="s">
        <v>50</v>
      </c>
      <c r="D543" s="7" t="s">
        <v>83</v>
      </c>
      <c r="E543" s="1" t="n">
        <v>2</v>
      </c>
      <c r="F543" s="1" t="n">
        <f aca="false">Y543-X543</f>
        <v>5</v>
      </c>
      <c r="G543" s="1" t="n">
        <v>5</v>
      </c>
      <c r="H543" s="3" t="s">
        <v>48</v>
      </c>
      <c r="I543" s="3" t="s">
        <v>67</v>
      </c>
      <c r="J543" s="3" t="s">
        <v>127</v>
      </c>
      <c r="K543" s="2" t="str">
        <f aca="false">CONCATENATE(I543," ",J543)</f>
        <v>Pardosa lugubris</v>
      </c>
      <c r="L543" s="3" t="n">
        <f aca="false">SUM(P543:U543)</f>
        <v>1</v>
      </c>
      <c r="M543" s="11" t="n">
        <f aca="false">(L543/(F543*G543)*25)*4</f>
        <v>4</v>
      </c>
      <c r="N543" s="1" t="s">
        <v>30</v>
      </c>
      <c r="O543" s="1" t="s">
        <v>35</v>
      </c>
      <c r="P543" s="1" t="n">
        <v>0</v>
      </c>
      <c r="Q543" s="1" t="n">
        <v>1</v>
      </c>
      <c r="R543" s="1" t="n">
        <v>0</v>
      </c>
      <c r="S543" s="1" t="n">
        <v>0</v>
      </c>
      <c r="T543" s="1" t="n">
        <v>0</v>
      </c>
      <c r="U543" s="1" t="n">
        <v>0</v>
      </c>
      <c r="V543" s="3" t="n">
        <f aca="false">SUM(P543:Q543)</f>
        <v>1</v>
      </c>
      <c r="W543" s="3" t="n">
        <f aca="false">SUM(R543:T543)</f>
        <v>0</v>
      </c>
      <c r="X543" s="10" t="n">
        <v>39969</v>
      </c>
      <c r="Y543" s="10" t="n">
        <v>39974</v>
      </c>
    </row>
    <row r="544" customFormat="false" ht="14.25" hidden="false" customHeight="false" outlineLevel="0" collapsed="false">
      <c r="A544" s="1" t="n">
        <v>2009</v>
      </c>
      <c r="B544" s="1" t="n">
        <v>1</v>
      </c>
      <c r="C544" s="2" t="s">
        <v>50</v>
      </c>
      <c r="D544" s="7" t="s">
        <v>83</v>
      </c>
      <c r="E544" s="1" t="n">
        <v>2</v>
      </c>
      <c r="F544" s="1" t="n">
        <f aca="false">Y544-X544</f>
        <v>5</v>
      </c>
      <c r="G544" s="1" t="n">
        <v>5</v>
      </c>
      <c r="H544" s="13" t="s">
        <v>195</v>
      </c>
      <c r="I544" s="13" t="s">
        <v>196</v>
      </c>
      <c r="J544" s="14" t="s">
        <v>197</v>
      </c>
      <c r="K544" s="2" t="str">
        <f aca="false">CONCATENATE(I544," ",J544)</f>
        <v>Pachygnatha listeri</v>
      </c>
      <c r="L544" s="3" t="n">
        <f aca="false">SUM(P544:U544)</f>
        <v>1</v>
      </c>
      <c r="M544" s="11" t="n">
        <f aca="false">(L544/(F544*G544)*25)*4</f>
        <v>4</v>
      </c>
      <c r="N544" s="1" t="s">
        <v>30</v>
      </c>
      <c r="O544" s="1" t="s">
        <v>35</v>
      </c>
      <c r="P544" s="1" t="n">
        <v>0</v>
      </c>
      <c r="Q544" s="1" t="n">
        <v>1</v>
      </c>
      <c r="R544" s="1" t="n">
        <v>0</v>
      </c>
      <c r="S544" s="1" t="n">
        <v>0</v>
      </c>
      <c r="T544" s="1" t="n">
        <v>0</v>
      </c>
      <c r="U544" s="1" t="n">
        <v>0</v>
      </c>
      <c r="V544" s="3" t="n">
        <f aca="false">SUM(P544:Q544)</f>
        <v>1</v>
      </c>
      <c r="W544" s="3" t="n">
        <f aca="false">SUM(R544:T544)</f>
        <v>0</v>
      </c>
      <c r="X544" s="10" t="n">
        <v>39969</v>
      </c>
      <c r="Y544" s="10" t="n">
        <v>39974</v>
      </c>
    </row>
    <row r="545" customFormat="false" ht="14.25" hidden="false" customHeight="false" outlineLevel="0" collapsed="false">
      <c r="A545" s="1" t="n">
        <v>2009</v>
      </c>
      <c r="B545" s="1" t="n">
        <v>1</v>
      </c>
      <c r="C545" s="2" t="s">
        <v>50</v>
      </c>
      <c r="D545" s="7" t="s">
        <v>83</v>
      </c>
      <c r="E545" s="1" t="n">
        <v>2</v>
      </c>
      <c r="F545" s="1" t="n">
        <f aca="false">Y545-X545</f>
        <v>5</v>
      </c>
      <c r="G545" s="1" t="n">
        <v>5</v>
      </c>
      <c r="H545" s="3" t="s">
        <v>32</v>
      </c>
      <c r="I545" s="3" t="s">
        <v>57</v>
      </c>
      <c r="J545" s="3" t="s">
        <v>38</v>
      </c>
      <c r="K545" s="2" t="str">
        <f aca="false">CONCATENATE(I545," ",J545)</f>
        <v>Gen sp</v>
      </c>
      <c r="L545" s="3" t="n">
        <f aca="false">SUM(P545:U545)</f>
        <v>1</v>
      </c>
      <c r="M545" s="11" t="n">
        <f aca="false">(L545/(F545*G545)*25)*4</f>
        <v>4</v>
      </c>
      <c r="N545" s="1" t="s">
        <v>19</v>
      </c>
      <c r="O545" s="1" t="s">
        <v>54</v>
      </c>
      <c r="P545" s="1" t="n">
        <v>0</v>
      </c>
      <c r="Q545" s="1" t="n">
        <v>0</v>
      </c>
      <c r="R545" s="1" t="n">
        <v>0</v>
      </c>
      <c r="S545" s="1" t="n">
        <v>0</v>
      </c>
      <c r="T545" s="1" t="n">
        <v>1</v>
      </c>
      <c r="U545" s="1" t="n">
        <v>0</v>
      </c>
      <c r="V545" s="3" t="n">
        <f aca="false">SUM(P545:Q545)</f>
        <v>0</v>
      </c>
      <c r="W545" s="3" t="n">
        <f aca="false">SUM(R545:T545)</f>
        <v>1</v>
      </c>
      <c r="X545" s="10" t="n">
        <v>39969</v>
      </c>
      <c r="Y545" s="10" t="n">
        <v>39974</v>
      </c>
    </row>
    <row r="546" customFormat="false" ht="14.25" hidden="false" customHeight="false" outlineLevel="0" collapsed="false">
      <c r="A546" s="1" t="n">
        <v>2009</v>
      </c>
      <c r="B546" s="1" t="n">
        <v>1</v>
      </c>
      <c r="C546" s="2" t="s">
        <v>50</v>
      </c>
      <c r="D546" s="7" t="s">
        <v>83</v>
      </c>
      <c r="E546" s="1" t="n">
        <v>2</v>
      </c>
      <c r="F546" s="1" t="n">
        <f aca="false">Y546-X546</f>
        <v>5</v>
      </c>
      <c r="G546" s="1" t="n">
        <v>5</v>
      </c>
      <c r="H546" s="3" t="s">
        <v>32</v>
      </c>
      <c r="I546" s="3" t="s">
        <v>62</v>
      </c>
      <c r="J546" s="3" t="s">
        <v>63</v>
      </c>
      <c r="K546" s="2" t="str">
        <f aca="false">CONCATENATE(I546," ",J546)</f>
        <v>Microneta viaria</v>
      </c>
      <c r="L546" s="3" t="n">
        <f aca="false">SUM(P546:U546)</f>
        <v>1</v>
      </c>
      <c r="M546" s="11" t="n">
        <f aca="false">(L546/(F546*G546)*25)*4</f>
        <v>4</v>
      </c>
      <c r="N546" s="1" t="s">
        <v>30</v>
      </c>
      <c r="O546" s="1" t="s">
        <v>31</v>
      </c>
      <c r="P546" s="1" t="n">
        <v>1</v>
      </c>
      <c r="Q546" s="1" t="n">
        <v>0</v>
      </c>
      <c r="R546" s="1" t="n">
        <v>0</v>
      </c>
      <c r="S546" s="1" t="n">
        <v>0</v>
      </c>
      <c r="T546" s="1" t="n">
        <v>0</v>
      </c>
      <c r="U546" s="1" t="n">
        <v>0</v>
      </c>
      <c r="V546" s="3" t="n">
        <f aca="false">SUM(P546:Q546)</f>
        <v>1</v>
      </c>
      <c r="W546" s="3" t="n">
        <f aca="false">SUM(R546:T546)</f>
        <v>0</v>
      </c>
      <c r="X546" s="10" t="n">
        <v>39969</v>
      </c>
      <c r="Y546" s="10" t="n">
        <v>39974</v>
      </c>
    </row>
    <row r="547" customFormat="false" ht="14.25" hidden="false" customHeight="false" outlineLevel="0" collapsed="false">
      <c r="A547" s="1" t="n">
        <v>2009</v>
      </c>
      <c r="B547" s="1" t="n">
        <v>1</v>
      </c>
      <c r="C547" s="2" t="s">
        <v>50</v>
      </c>
      <c r="D547" s="7" t="s">
        <v>83</v>
      </c>
      <c r="E547" s="1" t="n">
        <v>2</v>
      </c>
      <c r="F547" s="1" t="n">
        <f aca="false">Y547-X547</f>
        <v>5</v>
      </c>
      <c r="G547" s="1" t="n">
        <v>5</v>
      </c>
      <c r="H547" s="3" t="s">
        <v>32</v>
      </c>
      <c r="I547" s="3" t="s">
        <v>62</v>
      </c>
      <c r="J547" s="3" t="s">
        <v>63</v>
      </c>
      <c r="K547" s="2" t="str">
        <f aca="false">CONCATENATE(I547," ",J547)</f>
        <v>Microneta viaria</v>
      </c>
      <c r="L547" s="3" t="n">
        <f aca="false">SUM(P547:U547)</f>
        <v>1</v>
      </c>
      <c r="M547" s="11" t="n">
        <f aca="false">(L547/(F547*G547)*25)*4</f>
        <v>4</v>
      </c>
      <c r="N547" s="1" t="s">
        <v>30</v>
      </c>
      <c r="O547" s="1" t="s">
        <v>35</v>
      </c>
      <c r="P547" s="1" t="n">
        <v>0</v>
      </c>
      <c r="Q547" s="1" t="n">
        <v>1</v>
      </c>
      <c r="R547" s="1" t="n">
        <v>0</v>
      </c>
      <c r="S547" s="1" t="n">
        <v>0</v>
      </c>
      <c r="T547" s="1" t="n">
        <v>0</v>
      </c>
      <c r="U547" s="1" t="n">
        <v>0</v>
      </c>
      <c r="V547" s="3" t="n">
        <f aca="false">SUM(P547:Q547)</f>
        <v>1</v>
      </c>
      <c r="W547" s="3" t="n">
        <f aca="false">SUM(R547:T547)</f>
        <v>0</v>
      </c>
      <c r="X547" s="10" t="n">
        <v>39969</v>
      </c>
      <c r="Y547" s="10" t="n">
        <v>39974</v>
      </c>
    </row>
    <row r="548" customFormat="false" ht="14.25" hidden="false" customHeight="false" outlineLevel="0" collapsed="false">
      <c r="A548" s="1" t="n">
        <v>2009</v>
      </c>
      <c r="B548" s="1" t="n">
        <v>1</v>
      </c>
      <c r="C548" s="2" t="s">
        <v>50</v>
      </c>
      <c r="D548" s="7" t="s">
        <v>83</v>
      </c>
      <c r="E548" s="1" t="n">
        <v>2</v>
      </c>
      <c r="F548" s="1" t="n">
        <f aca="false">Y548-X548</f>
        <v>5</v>
      </c>
      <c r="G548" s="1" t="n">
        <v>5</v>
      </c>
      <c r="H548" s="13" t="s">
        <v>32</v>
      </c>
      <c r="I548" s="13" t="s">
        <v>96</v>
      </c>
      <c r="J548" s="14" t="s">
        <v>97</v>
      </c>
      <c r="K548" s="2" t="str">
        <f aca="false">CONCATENATE(I548," ",J548)</f>
        <v>Diplocephalus picinus</v>
      </c>
      <c r="L548" s="3" t="n">
        <f aca="false">SUM(P548:U548)</f>
        <v>1</v>
      </c>
      <c r="M548" s="11" t="n">
        <f aca="false">(L548/(F548*G548)*25)*4</f>
        <v>4</v>
      </c>
      <c r="N548" s="1" t="s">
        <v>30</v>
      </c>
      <c r="O548" s="1" t="s">
        <v>31</v>
      </c>
      <c r="P548" s="1" t="n">
        <v>1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3" t="n">
        <f aca="false">SUM(P548:Q548)</f>
        <v>1</v>
      </c>
      <c r="W548" s="3" t="n">
        <f aca="false">SUM(R548:T548)</f>
        <v>0</v>
      </c>
      <c r="X548" s="10" t="n">
        <v>39969</v>
      </c>
      <c r="Y548" s="10" t="n">
        <v>39974</v>
      </c>
    </row>
    <row r="549" customFormat="false" ht="14.25" hidden="false" customHeight="false" outlineLevel="0" collapsed="false">
      <c r="A549" s="1" t="n">
        <v>2009</v>
      </c>
      <c r="B549" s="1" t="n">
        <v>1</v>
      </c>
      <c r="C549" s="2" t="s">
        <v>50</v>
      </c>
      <c r="D549" s="7" t="s">
        <v>83</v>
      </c>
      <c r="E549" s="1" t="n">
        <v>2</v>
      </c>
      <c r="F549" s="1" t="n">
        <f aca="false">Y549-X549</f>
        <v>5</v>
      </c>
      <c r="G549" s="1" t="n">
        <v>5</v>
      </c>
      <c r="H549" s="3" t="s">
        <v>48</v>
      </c>
      <c r="I549" s="3" t="s">
        <v>49</v>
      </c>
      <c r="J549" s="3" t="s">
        <v>104</v>
      </c>
      <c r="K549" s="2" t="str">
        <f aca="false">CONCATENATE(I549," ",J549)</f>
        <v>Alopecosa taeniata</v>
      </c>
      <c r="L549" s="3" t="n">
        <f aca="false">SUM(P549:U549)</f>
        <v>4</v>
      </c>
      <c r="M549" s="11" t="n">
        <f aca="false">(L549/(F549*G549)*25)*4</f>
        <v>16</v>
      </c>
      <c r="N549" s="1" t="s">
        <v>30</v>
      </c>
      <c r="O549" s="1" t="s">
        <v>31</v>
      </c>
      <c r="P549" s="1" t="n">
        <v>4</v>
      </c>
      <c r="Q549" s="1" t="n">
        <v>0</v>
      </c>
      <c r="R549" s="1" t="n">
        <v>0</v>
      </c>
      <c r="S549" s="1" t="n">
        <v>0</v>
      </c>
      <c r="T549" s="1" t="n">
        <v>0</v>
      </c>
      <c r="U549" s="1" t="n">
        <v>0</v>
      </c>
      <c r="V549" s="3" t="n">
        <f aca="false">SUM(P549:Q549)</f>
        <v>4</v>
      </c>
      <c r="W549" s="3" t="n">
        <f aca="false">SUM(R549:T549)</f>
        <v>0</v>
      </c>
      <c r="X549" s="10" t="n">
        <v>39969</v>
      </c>
      <c r="Y549" s="10" t="n">
        <v>39974</v>
      </c>
    </row>
    <row r="550" customFormat="false" ht="14.25" hidden="false" customHeight="false" outlineLevel="0" collapsed="false">
      <c r="A550" s="1" t="n">
        <v>2009</v>
      </c>
      <c r="B550" s="1" t="n">
        <v>1</v>
      </c>
      <c r="C550" s="2" t="s">
        <v>50</v>
      </c>
      <c r="D550" s="7" t="s">
        <v>83</v>
      </c>
      <c r="E550" s="1" t="n">
        <v>2</v>
      </c>
      <c r="F550" s="1" t="n">
        <f aca="false">Y550-X550</f>
        <v>5</v>
      </c>
      <c r="G550" s="1" t="n">
        <v>5</v>
      </c>
      <c r="H550" s="3" t="s">
        <v>48</v>
      </c>
      <c r="I550" s="3" t="s">
        <v>49</v>
      </c>
      <c r="J550" s="3" t="s">
        <v>104</v>
      </c>
      <c r="K550" s="2" t="str">
        <f aca="false">CONCATENATE(I550," ",J550)</f>
        <v>Alopecosa taeniata</v>
      </c>
      <c r="L550" s="3" t="n">
        <f aca="false">SUM(P550:U550)</f>
        <v>2</v>
      </c>
      <c r="M550" s="11" t="n">
        <f aca="false">(L550/(F550*G550)*25)*4</f>
        <v>8</v>
      </c>
      <c r="N550" s="1" t="s">
        <v>30</v>
      </c>
      <c r="O550" s="1" t="s">
        <v>35</v>
      </c>
      <c r="P550" s="1" t="n">
        <v>0</v>
      </c>
      <c r="Q550" s="1" t="n">
        <v>2</v>
      </c>
      <c r="R550" s="1" t="n">
        <v>0</v>
      </c>
      <c r="S550" s="1" t="n">
        <v>0</v>
      </c>
      <c r="T550" s="1" t="n">
        <v>0</v>
      </c>
      <c r="U550" s="1" t="n">
        <v>0</v>
      </c>
      <c r="V550" s="3" t="n">
        <f aca="false">SUM(P550:Q550)</f>
        <v>2</v>
      </c>
      <c r="W550" s="3" t="n">
        <f aca="false">SUM(R550:T550)</f>
        <v>0</v>
      </c>
      <c r="X550" s="10" t="n">
        <v>39969</v>
      </c>
      <c r="Y550" s="10" t="n">
        <v>39974</v>
      </c>
    </row>
    <row r="551" customFormat="false" ht="14.25" hidden="false" customHeight="false" outlineLevel="0" collapsed="false">
      <c r="A551" s="1" t="n">
        <v>2009</v>
      </c>
      <c r="B551" s="1" t="n">
        <v>1</v>
      </c>
      <c r="C551" s="2" t="s">
        <v>50</v>
      </c>
      <c r="D551" s="7" t="s">
        <v>83</v>
      </c>
      <c r="E551" s="1" t="n">
        <v>2</v>
      </c>
      <c r="F551" s="1" t="n">
        <f aca="false">Y551-X551</f>
        <v>5</v>
      </c>
      <c r="G551" s="1" t="n">
        <v>5</v>
      </c>
      <c r="H551" s="3" t="s">
        <v>48</v>
      </c>
      <c r="I551" s="3" t="s">
        <v>67</v>
      </c>
      <c r="J551" s="3" t="s">
        <v>127</v>
      </c>
      <c r="K551" s="2" t="str">
        <f aca="false">CONCATENATE(I551," ",J551)</f>
        <v>Pardosa lugubris</v>
      </c>
      <c r="L551" s="3" t="n">
        <f aca="false">SUM(P551:U551)</f>
        <v>4</v>
      </c>
      <c r="M551" s="11" t="n">
        <f aca="false">(L551/(F551*G551)*25)*4</f>
        <v>16</v>
      </c>
      <c r="N551" s="1" t="s">
        <v>30</v>
      </c>
      <c r="O551" s="1" t="s">
        <v>31</v>
      </c>
      <c r="P551" s="1" t="n">
        <v>4</v>
      </c>
      <c r="Q551" s="1" t="n">
        <v>0</v>
      </c>
      <c r="R551" s="1" t="n">
        <v>0</v>
      </c>
      <c r="S551" s="1" t="n">
        <v>0</v>
      </c>
      <c r="T551" s="1" t="n">
        <v>0</v>
      </c>
      <c r="U551" s="1" t="n">
        <v>0</v>
      </c>
      <c r="V551" s="3" t="n">
        <f aca="false">SUM(P551:Q551)</f>
        <v>4</v>
      </c>
      <c r="W551" s="3" t="n">
        <f aca="false">SUM(R551:T551)</f>
        <v>0</v>
      </c>
      <c r="X551" s="10" t="n">
        <v>39969</v>
      </c>
      <c r="Y551" s="10" t="n">
        <v>39974</v>
      </c>
    </row>
    <row r="552" customFormat="false" ht="14.25" hidden="false" customHeight="false" outlineLevel="0" collapsed="false">
      <c r="A552" s="1" t="n">
        <v>2009</v>
      </c>
      <c r="B552" s="1" t="n">
        <v>1</v>
      </c>
      <c r="C552" s="2" t="s">
        <v>50</v>
      </c>
      <c r="D552" s="7" t="s">
        <v>83</v>
      </c>
      <c r="E552" s="1" t="n">
        <v>2</v>
      </c>
      <c r="F552" s="1" t="n">
        <f aca="false">Y552-X552</f>
        <v>5</v>
      </c>
      <c r="G552" s="1" t="n">
        <v>5</v>
      </c>
      <c r="H552" s="3" t="s">
        <v>72</v>
      </c>
      <c r="I552" s="3" t="s">
        <v>86</v>
      </c>
      <c r="J552" s="8" t="s">
        <v>87</v>
      </c>
      <c r="K552" s="2" t="str">
        <f aca="false">CONCATENATE(I552," ",J552)</f>
        <v>Haplodrassus soerenseni</v>
      </c>
      <c r="L552" s="3" t="n">
        <f aca="false">SUM(P552:U552)</f>
        <v>2</v>
      </c>
      <c r="M552" s="11" t="n">
        <f aca="false">(L552/(F552*G552)*25)*4</f>
        <v>8</v>
      </c>
      <c r="N552" s="1" t="s">
        <v>30</v>
      </c>
      <c r="O552" s="1" t="s">
        <v>31</v>
      </c>
      <c r="P552" s="1" t="n">
        <v>2</v>
      </c>
      <c r="Q552" s="1" t="n">
        <v>0</v>
      </c>
      <c r="R552" s="1" t="n">
        <v>0</v>
      </c>
      <c r="S552" s="1" t="n">
        <v>0</v>
      </c>
      <c r="T552" s="1" t="n">
        <v>0</v>
      </c>
      <c r="U552" s="1" t="n">
        <v>0</v>
      </c>
      <c r="V552" s="3" t="n">
        <f aca="false">SUM(P552:Q552)</f>
        <v>2</v>
      </c>
      <c r="W552" s="3" t="n">
        <f aca="false">SUM(R552:T552)</f>
        <v>0</v>
      </c>
      <c r="X552" s="10" t="n">
        <v>39969</v>
      </c>
      <c r="Y552" s="10" t="n">
        <v>39974</v>
      </c>
    </row>
    <row r="553" customFormat="false" ht="14.25" hidden="false" customHeight="false" outlineLevel="0" collapsed="false">
      <c r="A553" s="1" t="n">
        <v>2009</v>
      </c>
      <c r="B553" s="1" t="n">
        <v>1</v>
      </c>
      <c r="C553" s="2" t="s">
        <v>50</v>
      </c>
      <c r="D553" s="7" t="s">
        <v>83</v>
      </c>
      <c r="E553" s="1" t="n">
        <v>2</v>
      </c>
      <c r="F553" s="1" t="n">
        <f aca="false">Y553-X553</f>
        <v>5</v>
      </c>
      <c r="G553" s="1" t="n">
        <v>5</v>
      </c>
      <c r="H553" s="13" t="s">
        <v>195</v>
      </c>
      <c r="I553" s="13" t="s">
        <v>196</v>
      </c>
      <c r="J553" s="14" t="s">
        <v>197</v>
      </c>
      <c r="K553" s="2" t="str">
        <f aca="false">CONCATENATE(I553," ",J553)</f>
        <v>Pachygnatha listeri</v>
      </c>
      <c r="L553" s="3" t="n">
        <f aca="false">SUM(P553:U553)</f>
        <v>1</v>
      </c>
      <c r="M553" s="11" t="n">
        <f aca="false">(L553/(F553*G553)*25)*4</f>
        <v>4</v>
      </c>
      <c r="N553" s="1" t="s">
        <v>30</v>
      </c>
      <c r="O553" s="1" t="s">
        <v>35</v>
      </c>
      <c r="P553" s="1" t="n">
        <v>0</v>
      </c>
      <c r="Q553" s="1" t="n">
        <v>1</v>
      </c>
      <c r="R553" s="1" t="n">
        <v>0</v>
      </c>
      <c r="S553" s="1" t="n">
        <v>0</v>
      </c>
      <c r="T553" s="1" t="n">
        <v>0</v>
      </c>
      <c r="U553" s="1" t="n">
        <v>0</v>
      </c>
      <c r="V553" s="3" t="n">
        <f aca="false">SUM(P553:Q553)</f>
        <v>1</v>
      </c>
      <c r="W553" s="3" t="n">
        <f aca="false">SUM(R553:T553)</f>
        <v>0</v>
      </c>
      <c r="X553" s="10" t="n">
        <v>39969</v>
      </c>
      <c r="Y553" s="10" t="n">
        <v>39974</v>
      </c>
    </row>
    <row r="554" customFormat="false" ht="14.25" hidden="false" customHeight="false" outlineLevel="0" collapsed="false">
      <c r="A554" s="1" t="n">
        <v>2009</v>
      </c>
      <c r="B554" s="1" t="n">
        <v>1</v>
      </c>
      <c r="C554" s="2" t="s">
        <v>50</v>
      </c>
      <c r="D554" s="7" t="s">
        <v>83</v>
      </c>
      <c r="E554" s="1" t="n">
        <v>2</v>
      </c>
      <c r="F554" s="1" t="n">
        <f aca="false">Y554-X554</f>
        <v>5</v>
      </c>
      <c r="G554" s="1" t="n">
        <v>5</v>
      </c>
      <c r="H554" s="3" t="s">
        <v>41</v>
      </c>
      <c r="I554" s="3" t="s">
        <v>42</v>
      </c>
      <c r="J554" s="3" t="s">
        <v>198</v>
      </c>
      <c r="K554" s="2" t="str">
        <f aca="false">CONCATENATE(I554," ",J554)</f>
        <v>Agroeca brunnea</v>
      </c>
      <c r="L554" s="3" t="n">
        <f aca="false">SUM(P554:U554)</f>
        <v>1</v>
      </c>
      <c r="M554" s="11" t="n">
        <f aca="false">(L554/(F554*G554)*25)*4</f>
        <v>4</v>
      </c>
      <c r="N554" s="1" t="s">
        <v>30</v>
      </c>
      <c r="O554" s="1" t="s">
        <v>35</v>
      </c>
      <c r="P554" s="1" t="n">
        <v>0</v>
      </c>
      <c r="Q554" s="1" t="n">
        <v>1</v>
      </c>
      <c r="R554" s="1" t="n">
        <v>0</v>
      </c>
      <c r="S554" s="1" t="n">
        <v>0</v>
      </c>
      <c r="T554" s="1" t="n">
        <v>0</v>
      </c>
      <c r="U554" s="1" t="n">
        <v>0</v>
      </c>
      <c r="V554" s="3" t="n">
        <f aca="false">SUM(P554:Q554)</f>
        <v>1</v>
      </c>
      <c r="W554" s="3" t="n">
        <f aca="false">SUM(R554:T554)</f>
        <v>0</v>
      </c>
      <c r="X554" s="10" t="n">
        <v>39969</v>
      </c>
      <c r="Y554" s="10" t="n">
        <v>39974</v>
      </c>
    </row>
    <row r="555" customFormat="false" ht="14.25" hidden="false" customHeight="false" outlineLevel="0" collapsed="false">
      <c r="A555" s="1" t="n">
        <v>2009</v>
      </c>
      <c r="B555" s="1" t="n">
        <v>1</v>
      </c>
      <c r="C555" s="2" t="s">
        <v>50</v>
      </c>
      <c r="D555" s="7" t="s">
        <v>83</v>
      </c>
      <c r="E555" s="1" t="n">
        <v>2</v>
      </c>
      <c r="F555" s="1" t="n">
        <f aca="false">Y555-X555</f>
        <v>5</v>
      </c>
      <c r="G555" s="1" t="n">
        <v>5</v>
      </c>
      <c r="H555" s="3" t="s">
        <v>144</v>
      </c>
      <c r="I555" s="3" t="s">
        <v>145</v>
      </c>
      <c r="J555" s="3" t="s">
        <v>146</v>
      </c>
      <c r="K555" s="2" t="str">
        <f aca="false">CONCATENATE(I555," ",J555)</f>
        <v>Phrurolithus festivus</v>
      </c>
      <c r="L555" s="3" t="n">
        <f aca="false">SUM(P555:U555)</f>
        <v>1</v>
      </c>
      <c r="M555" s="11" t="n">
        <f aca="false">(L555/(F555*G555)*25)*4</f>
        <v>4</v>
      </c>
      <c r="N555" s="1" t="s">
        <v>30</v>
      </c>
      <c r="O555" s="1" t="s">
        <v>35</v>
      </c>
      <c r="P555" s="1" t="n">
        <v>0</v>
      </c>
      <c r="Q555" s="1" t="n">
        <v>1</v>
      </c>
      <c r="R555" s="1" t="n">
        <v>0</v>
      </c>
      <c r="S555" s="1" t="n">
        <v>0</v>
      </c>
      <c r="T555" s="1" t="n">
        <v>0</v>
      </c>
      <c r="U555" s="1" t="n">
        <v>0</v>
      </c>
      <c r="V555" s="3" t="n">
        <f aca="false">SUM(P555:Q555)</f>
        <v>1</v>
      </c>
      <c r="W555" s="3" t="n">
        <f aca="false">SUM(R555:T555)</f>
        <v>0</v>
      </c>
      <c r="X555" s="10" t="n">
        <v>39969</v>
      </c>
      <c r="Y555" s="10" t="n">
        <v>39974</v>
      </c>
    </row>
    <row r="556" customFormat="false" ht="14.25" hidden="false" customHeight="false" outlineLevel="0" collapsed="false">
      <c r="A556" s="1" t="n">
        <v>2009</v>
      </c>
      <c r="B556" s="1" t="n">
        <v>1</v>
      </c>
      <c r="C556" s="2" t="s">
        <v>50</v>
      </c>
      <c r="D556" s="7" t="s">
        <v>83</v>
      </c>
      <c r="E556" s="1" t="n">
        <v>2</v>
      </c>
      <c r="F556" s="1" t="n">
        <f aca="false">Y556-X556</f>
        <v>5</v>
      </c>
      <c r="G556" s="1" t="n">
        <v>5</v>
      </c>
      <c r="H556" s="3" t="s">
        <v>64</v>
      </c>
      <c r="I556" s="3" t="s">
        <v>65</v>
      </c>
      <c r="J556" s="3" t="s">
        <v>123</v>
      </c>
      <c r="K556" s="2" t="str">
        <f aca="false">CONCATENATE(I556," ",J556)</f>
        <v>Zora nemoralis</v>
      </c>
      <c r="L556" s="3" t="n">
        <f aca="false">SUM(P556:U556)</f>
        <v>1</v>
      </c>
      <c r="M556" s="11" t="n">
        <f aca="false">(L556/(F556*G556)*25)*4</f>
        <v>4</v>
      </c>
      <c r="N556" s="1" t="s">
        <v>30</v>
      </c>
      <c r="O556" s="1" t="s">
        <v>31</v>
      </c>
      <c r="P556" s="1" t="n">
        <v>1</v>
      </c>
      <c r="Q556" s="1" t="n">
        <v>0</v>
      </c>
      <c r="R556" s="1" t="n">
        <v>0</v>
      </c>
      <c r="S556" s="1" t="n">
        <v>0</v>
      </c>
      <c r="T556" s="1" t="n">
        <v>0</v>
      </c>
      <c r="U556" s="1" t="n">
        <v>0</v>
      </c>
      <c r="V556" s="3" t="n">
        <f aca="false">SUM(P556:Q556)</f>
        <v>1</v>
      </c>
      <c r="W556" s="3" t="n">
        <f aca="false">SUM(R556:T556)</f>
        <v>0</v>
      </c>
      <c r="X556" s="10" t="n">
        <v>39969</v>
      </c>
      <c r="Y556" s="10" t="n">
        <v>39974</v>
      </c>
    </row>
    <row r="557" customFormat="false" ht="14.25" hidden="false" customHeight="false" outlineLevel="0" collapsed="false">
      <c r="A557" s="1" t="n">
        <v>2009</v>
      </c>
      <c r="B557" s="1" t="n">
        <v>1</v>
      </c>
      <c r="C557" s="2" t="s">
        <v>50</v>
      </c>
      <c r="D557" s="7" t="s">
        <v>83</v>
      </c>
      <c r="E557" s="1" t="n">
        <v>2</v>
      </c>
      <c r="F557" s="1" t="n">
        <f aca="false">Y557-X557</f>
        <v>5</v>
      </c>
      <c r="G557" s="1" t="n">
        <v>5</v>
      </c>
      <c r="H557" s="3" t="s">
        <v>32</v>
      </c>
      <c r="I557" s="3" t="s">
        <v>62</v>
      </c>
      <c r="J557" s="3" t="s">
        <v>63</v>
      </c>
      <c r="K557" s="2" t="str">
        <f aca="false">CONCATENATE(I557," ",J557)</f>
        <v>Microneta viaria</v>
      </c>
      <c r="L557" s="3" t="n">
        <f aca="false">SUM(P557:U557)</f>
        <v>1</v>
      </c>
      <c r="M557" s="11" t="n">
        <f aca="false">(L557/(F557*G557)*25)*4</f>
        <v>4</v>
      </c>
      <c r="N557" s="1" t="s">
        <v>30</v>
      </c>
      <c r="O557" s="1" t="s">
        <v>31</v>
      </c>
      <c r="P557" s="1" t="n">
        <v>1</v>
      </c>
      <c r="Q557" s="1" t="n">
        <v>0</v>
      </c>
      <c r="R557" s="1" t="n">
        <v>0</v>
      </c>
      <c r="S557" s="1" t="n">
        <v>0</v>
      </c>
      <c r="T557" s="1" t="n">
        <v>0</v>
      </c>
      <c r="U557" s="1" t="n">
        <v>0</v>
      </c>
      <c r="V557" s="3" t="n">
        <f aca="false">SUM(P557:Q557)</f>
        <v>1</v>
      </c>
      <c r="W557" s="3" t="n">
        <f aca="false">SUM(R557:T557)</f>
        <v>0</v>
      </c>
      <c r="X557" s="10" t="n">
        <v>39969</v>
      </c>
      <c r="Y557" s="10" t="n">
        <v>39974</v>
      </c>
    </row>
    <row r="558" customFormat="false" ht="14.25" hidden="false" customHeight="false" outlineLevel="0" collapsed="false">
      <c r="A558" s="1" t="n">
        <v>2009</v>
      </c>
      <c r="B558" s="1" t="n">
        <v>1</v>
      </c>
      <c r="C558" s="2" t="s">
        <v>50</v>
      </c>
      <c r="D558" s="7" t="s">
        <v>83</v>
      </c>
      <c r="E558" s="1" t="n">
        <v>2</v>
      </c>
      <c r="F558" s="1" t="n">
        <f aca="false">Y558-X558</f>
        <v>5</v>
      </c>
      <c r="G558" s="1" t="n">
        <v>5</v>
      </c>
      <c r="H558" s="3" t="s">
        <v>32</v>
      </c>
      <c r="I558" s="3" t="s">
        <v>62</v>
      </c>
      <c r="J558" s="3" t="s">
        <v>63</v>
      </c>
      <c r="K558" s="2" t="str">
        <f aca="false">CONCATENATE(I558," ",J558)</f>
        <v>Microneta viaria</v>
      </c>
      <c r="L558" s="3" t="n">
        <f aca="false">SUM(P558:U558)</f>
        <v>1</v>
      </c>
      <c r="M558" s="11" t="n">
        <f aca="false">(L558/(F558*G558)*25)*4</f>
        <v>4</v>
      </c>
      <c r="N558" s="1" t="s">
        <v>30</v>
      </c>
      <c r="O558" s="1" t="s">
        <v>35</v>
      </c>
      <c r="P558" s="1" t="n">
        <v>0</v>
      </c>
      <c r="Q558" s="1" t="n">
        <v>1</v>
      </c>
      <c r="R558" s="1" t="n">
        <v>0</v>
      </c>
      <c r="S558" s="1" t="n">
        <v>0</v>
      </c>
      <c r="T558" s="1" t="n">
        <v>0</v>
      </c>
      <c r="U558" s="1" t="n">
        <v>0</v>
      </c>
      <c r="V558" s="3" t="n">
        <f aca="false">SUM(P558:Q558)</f>
        <v>1</v>
      </c>
      <c r="W558" s="3" t="n">
        <f aca="false">SUM(R558:T558)</f>
        <v>0</v>
      </c>
      <c r="X558" s="10" t="n">
        <v>39969</v>
      </c>
      <c r="Y558" s="10" t="n">
        <v>39974</v>
      </c>
    </row>
    <row r="559" customFormat="false" ht="14.25" hidden="false" customHeight="false" outlineLevel="0" collapsed="false">
      <c r="A559" s="1" t="n">
        <v>2009</v>
      </c>
      <c r="B559" s="1" t="n">
        <v>1</v>
      </c>
      <c r="C559" s="2" t="s">
        <v>50</v>
      </c>
      <c r="D559" s="7" t="s">
        <v>83</v>
      </c>
      <c r="E559" s="1" t="n">
        <v>2</v>
      </c>
      <c r="F559" s="1" t="n">
        <f aca="false">Y559-X559</f>
        <v>5</v>
      </c>
      <c r="G559" s="1" t="n">
        <v>5</v>
      </c>
      <c r="H559" s="3" t="s">
        <v>32</v>
      </c>
      <c r="I559" s="3" t="s">
        <v>113</v>
      </c>
      <c r="J559" s="8" t="s">
        <v>114</v>
      </c>
      <c r="K559" s="2" t="str">
        <f aca="false">CONCATENATE(I559," ",J559)</f>
        <v>Ceratinella brevipes</v>
      </c>
      <c r="L559" s="3" t="n">
        <f aca="false">SUM(P559:U559)</f>
        <v>1</v>
      </c>
      <c r="M559" s="11" t="n">
        <f aca="false">(L559/(F559*G559)*25)*4</f>
        <v>4</v>
      </c>
      <c r="N559" s="1" t="s">
        <v>30</v>
      </c>
      <c r="O559" s="1" t="s">
        <v>35</v>
      </c>
      <c r="P559" s="1" t="n">
        <v>0</v>
      </c>
      <c r="Q559" s="1" t="n">
        <v>1</v>
      </c>
      <c r="R559" s="1" t="n">
        <v>0</v>
      </c>
      <c r="S559" s="1" t="n">
        <v>0</v>
      </c>
      <c r="T559" s="1" t="n">
        <v>0</v>
      </c>
      <c r="U559" s="1" t="n">
        <v>0</v>
      </c>
      <c r="V559" s="3" t="n">
        <f aca="false">SUM(P559:Q559)</f>
        <v>1</v>
      </c>
      <c r="W559" s="3" t="n">
        <f aca="false">SUM(R559:T559)</f>
        <v>0</v>
      </c>
      <c r="X559" s="10" t="n">
        <v>39969</v>
      </c>
      <c r="Y559" s="10" t="n">
        <v>39974</v>
      </c>
    </row>
    <row r="560" customFormat="false" ht="14.25" hidden="false" customHeight="false" outlineLevel="0" collapsed="false">
      <c r="A560" s="1" t="n">
        <v>2009</v>
      </c>
      <c r="B560" s="1" t="n">
        <v>1</v>
      </c>
      <c r="C560" s="2" t="s">
        <v>50</v>
      </c>
      <c r="D560" s="7" t="s">
        <v>83</v>
      </c>
      <c r="E560" s="1" t="n">
        <v>2</v>
      </c>
      <c r="F560" s="1" t="n">
        <f aca="false">Y560-X560</f>
        <v>5</v>
      </c>
      <c r="G560" s="1" t="n">
        <v>5</v>
      </c>
      <c r="H560" s="3" t="s">
        <v>32</v>
      </c>
      <c r="I560" s="3" t="s">
        <v>90</v>
      </c>
      <c r="J560" s="3" t="s">
        <v>91</v>
      </c>
      <c r="K560" s="2" t="str">
        <f aca="false">CONCATENATE(I560," ",J560)</f>
        <v>Tapinocyba insecta</v>
      </c>
      <c r="L560" s="3" t="n">
        <f aca="false">SUM(P560:U560)</f>
        <v>2</v>
      </c>
      <c r="M560" s="11" t="n">
        <f aca="false">(L560/(F560*G560)*25)*4</f>
        <v>8</v>
      </c>
      <c r="N560" s="1" t="s">
        <v>30</v>
      </c>
      <c r="O560" s="1" t="s">
        <v>31</v>
      </c>
      <c r="P560" s="1" t="n">
        <v>2</v>
      </c>
      <c r="Q560" s="1" t="n">
        <v>0</v>
      </c>
      <c r="R560" s="1" t="n">
        <v>0</v>
      </c>
      <c r="S560" s="1" t="n">
        <v>0</v>
      </c>
      <c r="T560" s="1" t="n">
        <v>0</v>
      </c>
      <c r="U560" s="1" t="n">
        <v>0</v>
      </c>
      <c r="V560" s="3" t="n">
        <f aca="false">SUM(P560:Q560)</f>
        <v>2</v>
      </c>
      <c r="W560" s="3" t="n">
        <f aca="false">SUM(R560:T560)</f>
        <v>0</v>
      </c>
      <c r="X560" s="10" t="n">
        <v>39969</v>
      </c>
      <c r="Y560" s="10" t="n">
        <v>39974</v>
      </c>
    </row>
    <row r="561" customFormat="false" ht="14.25" hidden="false" customHeight="false" outlineLevel="0" collapsed="false">
      <c r="A561" s="1" t="n">
        <v>2009</v>
      </c>
      <c r="B561" s="1" t="n">
        <v>1</v>
      </c>
      <c r="C561" s="2" t="s">
        <v>50</v>
      </c>
      <c r="D561" s="7" t="s">
        <v>83</v>
      </c>
      <c r="E561" s="1" t="n">
        <v>2</v>
      </c>
      <c r="F561" s="1" t="n">
        <f aca="false">Y561-X561</f>
        <v>5</v>
      </c>
      <c r="G561" s="1" t="n">
        <v>5</v>
      </c>
      <c r="H561" s="3" t="s">
        <v>32</v>
      </c>
      <c r="I561" s="3" t="s">
        <v>55</v>
      </c>
      <c r="J561" s="3" t="s">
        <v>194</v>
      </c>
      <c r="K561" s="2" t="str">
        <f aca="false">CONCATENATE(I561," ",J561)</f>
        <v>Maro pansibiricus</v>
      </c>
      <c r="L561" s="3" t="n">
        <f aca="false">SUM(P561:U561)</f>
        <v>1</v>
      </c>
      <c r="M561" s="11" t="n">
        <f aca="false">(L561/(F561*G561)*25)*4</f>
        <v>4</v>
      </c>
      <c r="N561" s="1" t="s">
        <v>30</v>
      </c>
      <c r="O561" s="1" t="s">
        <v>35</v>
      </c>
      <c r="P561" s="1" t="n">
        <v>0</v>
      </c>
      <c r="Q561" s="1" t="n">
        <v>1</v>
      </c>
      <c r="R561" s="1" t="n">
        <v>0</v>
      </c>
      <c r="S561" s="1" t="n">
        <v>0</v>
      </c>
      <c r="T561" s="1" t="n">
        <v>0</v>
      </c>
      <c r="U561" s="1" t="n">
        <v>0</v>
      </c>
      <c r="V561" s="3" t="n">
        <f aca="false">SUM(P561:Q561)</f>
        <v>1</v>
      </c>
      <c r="W561" s="3" t="n">
        <f aca="false">SUM(R561:T561)</f>
        <v>0</v>
      </c>
      <c r="X561" s="10" t="n">
        <v>39969</v>
      </c>
      <c r="Y561" s="10" t="n">
        <v>39974</v>
      </c>
    </row>
    <row r="562" customFormat="false" ht="14.25" hidden="false" customHeight="false" outlineLevel="0" collapsed="false">
      <c r="A562" s="1" t="n">
        <v>2009</v>
      </c>
      <c r="B562" s="1" t="n">
        <v>1</v>
      </c>
      <c r="C562" s="2" t="s">
        <v>50</v>
      </c>
      <c r="D562" s="7" t="s">
        <v>83</v>
      </c>
      <c r="E562" s="1" t="n">
        <v>2</v>
      </c>
      <c r="F562" s="1" t="n">
        <f aca="false">Y562-X562</f>
        <v>5</v>
      </c>
      <c r="G562" s="1" t="n">
        <v>5</v>
      </c>
      <c r="H562" s="3" t="s">
        <v>32</v>
      </c>
      <c r="I562" s="3" t="s">
        <v>84</v>
      </c>
      <c r="J562" s="3" t="s">
        <v>168</v>
      </c>
      <c r="K562" s="2" t="str">
        <f aca="false">CONCATENATE(I562," ",J562)</f>
        <v>Walckenaeria atrotibialis</v>
      </c>
      <c r="L562" s="3" t="n">
        <f aca="false">SUM(P562:U562)</f>
        <v>1</v>
      </c>
      <c r="M562" s="11" t="n">
        <f aca="false">(L562/(F562*G562)*25)*4</f>
        <v>4</v>
      </c>
      <c r="N562" s="1" t="s">
        <v>30</v>
      </c>
      <c r="O562" s="1" t="s">
        <v>35</v>
      </c>
      <c r="P562" s="1" t="n">
        <v>0</v>
      </c>
      <c r="Q562" s="1" t="n">
        <v>1</v>
      </c>
      <c r="R562" s="1" t="n">
        <v>0</v>
      </c>
      <c r="S562" s="1" t="n">
        <v>0</v>
      </c>
      <c r="T562" s="1" t="n">
        <v>0</v>
      </c>
      <c r="U562" s="1" t="n">
        <v>0</v>
      </c>
      <c r="V562" s="3" t="n">
        <f aca="false">SUM(P562:Q562)</f>
        <v>1</v>
      </c>
      <c r="W562" s="3" t="n">
        <f aca="false">SUM(R562:T562)</f>
        <v>0</v>
      </c>
      <c r="X562" s="10" t="n">
        <v>39969</v>
      </c>
      <c r="Y562" s="10" t="n">
        <v>39974</v>
      </c>
    </row>
    <row r="563" customFormat="false" ht="14.25" hidden="false" customHeight="false" outlineLevel="0" collapsed="false">
      <c r="A563" s="1" t="n">
        <v>2009</v>
      </c>
      <c r="B563" s="1" t="n">
        <v>1</v>
      </c>
      <c r="C563" s="2" t="s">
        <v>50</v>
      </c>
      <c r="D563" s="7" t="s">
        <v>83</v>
      </c>
      <c r="E563" s="1" t="n">
        <v>2</v>
      </c>
      <c r="F563" s="1" t="n">
        <f aca="false">Y563-X563</f>
        <v>5</v>
      </c>
      <c r="G563" s="1" t="n">
        <v>5</v>
      </c>
      <c r="H563" s="3" t="s">
        <v>48</v>
      </c>
      <c r="I563" s="3" t="s">
        <v>49</v>
      </c>
      <c r="J563" s="3" t="s">
        <v>104</v>
      </c>
      <c r="K563" s="2" t="str">
        <f aca="false">CONCATENATE(I563," ",J563)</f>
        <v>Alopecosa taeniata</v>
      </c>
      <c r="L563" s="3" t="n">
        <f aca="false">SUM(P563:U563)</f>
        <v>3</v>
      </c>
      <c r="M563" s="11" t="n">
        <f aca="false">(L563/(F563*G563)*25)*4</f>
        <v>12</v>
      </c>
      <c r="N563" s="1" t="s">
        <v>30</v>
      </c>
      <c r="O563" s="1" t="s">
        <v>31</v>
      </c>
      <c r="P563" s="1" t="n">
        <v>3</v>
      </c>
      <c r="Q563" s="1" t="n">
        <v>0</v>
      </c>
      <c r="R563" s="1" t="n">
        <v>0</v>
      </c>
      <c r="S563" s="1" t="n">
        <v>0</v>
      </c>
      <c r="T563" s="1" t="n">
        <v>0</v>
      </c>
      <c r="U563" s="1" t="n">
        <v>0</v>
      </c>
      <c r="V563" s="3" t="n">
        <f aca="false">SUM(P563:Q563)</f>
        <v>3</v>
      </c>
      <c r="W563" s="3" t="n">
        <f aca="false">SUM(R563:T563)</f>
        <v>0</v>
      </c>
      <c r="X563" s="10" t="n">
        <v>39969</v>
      </c>
      <c r="Y563" s="10" t="n">
        <v>39974</v>
      </c>
    </row>
    <row r="564" customFormat="false" ht="14.25" hidden="false" customHeight="false" outlineLevel="0" collapsed="false">
      <c r="A564" s="1" t="n">
        <v>2009</v>
      </c>
      <c r="B564" s="1" t="n">
        <v>1</v>
      </c>
      <c r="C564" s="2" t="s">
        <v>50</v>
      </c>
      <c r="D564" s="7" t="s">
        <v>83</v>
      </c>
      <c r="E564" s="1" t="n">
        <v>2</v>
      </c>
      <c r="F564" s="1" t="n">
        <f aca="false">Y564-X564</f>
        <v>5</v>
      </c>
      <c r="G564" s="1" t="n">
        <v>5</v>
      </c>
      <c r="H564" s="3" t="s">
        <v>48</v>
      </c>
      <c r="I564" s="3" t="s">
        <v>49</v>
      </c>
      <c r="J564" s="3" t="s">
        <v>104</v>
      </c>
      <c r="K564" s="2" t="str">
        <f aca="false">CONCATENATE(I564," ",J564)</f>
        <v>Alopecosa taeniata</v>
      </c>
      <c r="L564" s="3" t="n">
        <f aca="false">SUM(P564:U564)</f>
        <v>2</v>
      </c>
      <c r="M564" s="11" t="n">
        <f aca="false">(L564/(F564*G564)*25)*4</f>
        <v>8</v>
      </c>
      <c r="N564" s="1" t="s">
        <v>30</v>
      </c>
      <c r="O564" s="1" t="s">
        <v>35</v>
      </c>
      <c r="P564" s="1" t="n">
        <v>0</v>
      </c>
      <c r="Q564" s="1" t="n">
        <v>2</v>
      </c>
      <c r="R564" s="1" t="n">
        <v>0</v>
      </c>
      <c r="S564" s="1" t="n">
        <v>0</v>
      </c>
      <c r="T564" s="1" t="n">
        <v>0</v>
      </c>
      <c r="U564" s="1" t="n">
        <v>0</v>
      </c>
      <c r="V564" s="3" t="n">
        <f aca="false">SUM(P564:Q564)</f>
        <v>2</v>
      </c>
      <c r="W564" s="3" t="n">
        <f aca="false">SUM(R564:T564)</f>
        <v>0</v>
      </c>
      <c r="X564" s="10" t="n">
        <v>39969</v>
      </c>
      <c r="Y564" s="10" t="n">
        <v>39974</v>
      </c>
    </row>
    <row r="565" customFormat="false" ht="14.25" hidden="false" customHeight="false" outlineLevel="0" collapsed="false">
      <c r="A565" s="1" t="n">
        <v>2009</v>
      </c>
      <c r="B565" s="1" t="n">
        <v>1</v>
      </c>
      <c r="C565" s="2" t="s">
        <v>50</v>
      </c>
      <c r="D565" s="7" t="s">
        <v>83</v>
      </c>
      <c r="E565" s="1" t="n">
        <v>2</v>
      </c>
      <c r="F565" s="1" t="n">
        <f aca="false">Y565-X565</f>
        <v>5</v>
      </c>
      <c r="G565" s="1" t="n">
        <v>5</v>
      </c>
      <c r="H565" s="3" t="s">
        <v>48</v>
      </c>
      <c r="I565" s="3" t="s">
        <v>67</v>
      </c>
      <c r="J565" s="3" t="s">
        <v>127</v>
      </c>
      <c r="K565" s="2" t="str">
        <f aca="false">CONCATENATE(I565," ",J565)</f>
        <v>Pardosa lugubris</v>
      </c>
      <c r="L565" s="3" t="n">
        <f aca="false">SUM(P565:U565)</f>
        <v>2</v>
      </c>
      <c r="M565" s="11" t="n">
        <f aca="false">(L565/(F565*G565)*25)*4</f>
        <v>8</v>
      </c>
      <c r="N565" s="1" t="s">
        <v>30</v>
      </c>
      <c r="O565" s="1" t="s">
        <v>31</v>
      </c>
      <c r="P565" s="1" t="n">
        <v>2</v>
      </c>
      <c r="Q565" s="1" t="n">
        <v>0</v>
      </c>
      <c r="R565" s="1" t="n">
        <v>0</v>
      </c>
      <c r="S565" s="1" t="n">
        <v>0</v>
      </c>
      <c r="T565" s="1" t="n">
        <v>0</v>
      </c>
      <c r="U565" s="1" t="n">
        <v>0</v>
      </c>
      <c r="V565" s="3" t="n">
        <f aca="false">SUM(P565:Q565)</f>
        <v>2</v>
      </c>
      <c r="W565" s="3" t="n">
        <f aca="false">SUM(R565:T565)</f>
        <v>0</v>
      </c>
      <c r="X565" s="10" t="n">
        <v>39969</v>
      </c>
      <c r="Y565" s="10" t="n">
        <v>39974</v>
      </c>
    </row>
    <row r="566" customFormat="false" ht="14.25" hidden="false" customHeight="false" outlineLevel="0" collapsed="false">
      <c r="A566" s="1" t="n">
        <v>2009</v>
      </c>
      <c r="B566" s="1" t="n">
        <v>1</v>
      </c>
      <c r="C566" s="2" t="s">
        <v>50</v>
      </c>
      <c r="D566" s="7" t="s">
        <v>83</v>
      </c>
      <c r="E566" s="1" t="n">
        <v>2</v>
      </c>
      <c r="F566" s="1" t="n">
        <f aca="false">Y566-X566</f>
        <v>5</v>
      </c>
      <c r="G566" s="1" t="n">
        <v>5</v>
      </c>
      <c r="H566" s="3" t="s">
        <v>72</v>
      </c>
      <c r="I566" s="3" t="s">
        <v>86</v>
      </c>
      <c r="J566" s="8" t="s">
        <v>87</v>
      </c>
      <c r="K566" s="2" t="str">
        <f aca="false">CONCATENATE(I566," ",J566)</f>
        <v>Haplodrassus soerenseni</v>
      </c>
      <c r="L566" s="3" t="n">
        <f aca="false">SUM(P566:U566)</f>
        <v>2</v>
      </c>
      <c r="M566" s="11" t="n">
        <f aca="false">(L566/(F566*G566)*25)*4</f>
        <v>8</v>
      </c>
      <c r="N566" s="1" t="s">
        <v>30</v>
      </c>
      <c r="O566" s="1" t="s">
        <v>31</v>
      </c>
      <c r="P566" s="1" t="n">
        <v>2</v>
      </c>
      <c r="Q566" s="1" t="n">
        <v>0</v>
      </c>
      <c r="R566" s="1" t="n">
        <v>0</v>
      </c>
      <c r="S566" s="1" t="n">
        <v>0</v>
      </c>
      <c r="T566" s="1" t="n">
        <v>0</v>
      </c>
      <c r="U566" s="1" t="n">
        <v>0</v>
      </c>
      <c r="V566" s="3" t="n">
        <f aca="false">SUM(P566:Q566)</f>
        <v>2</v>
      </c>
      <c r="W566" s="3" t="n">
        <f aca="false">SUM(R566:T566)</f>
        <v>0</v>
      </c>
      <c r="X566" s="10" t="n">
        <v>39969</v>
      </c>
      <c r="Y566" s="10" t="n">
        <v>39974</v>
      </c>
    </row>
    <row r="567" customFormat="false" ht="14.25" hidden="false" customHeight="false" outlineLevel="0" collapsed="false">
      <c r="A567" s="1" t="n">
        <v>2009</v>
      </c>
      <c r="B567" s="1" t="n">
        <v>1</v>
      </c>
      <c r="C567" s="2" t="s">
        <v>50</v>
      </c>
      <c r="D567" s="7" t="s">
        <v>83</v>
      </c>
      <c r="E567" s="1" t="n">
        <v>2</v>
      </c>
      <c r="F567" s="1" t="n">
        <f aca="false">Y567-X567</f>
        <v>5</v>
      </c>
      <c r="G567" s="1" t="n">
        <v>5</v>
      </c>
      <c r="H567" s="13" t="s">
        <v>195</v>
      </c>
      <c r="I567" s="13" t="s">
        <v>196</v>
      </c>
      <c r="J567" s="14" t="s">
        <v>197</v>
      </c>
      <c r="K567" s="2" t="str">
        <f aca="false">CONCATENATE(I567," ",J567)</f>
        <v>Pachygnatha listeri</v>
      </c>
      <c r="L567" s="3" t="n">
        <f aca="false">SUM(P567:U567)</f>
        <v>2</v>
      </c>
      <c r="M567" s="11" t="n">
        <f aca="false">(L567/(F567*G567)*25)*4</f>
        <v>8</v>
      </c>
      <c r="N567" s="1" t="s">
        <v>30</v>
      </c>
      <c r="O567" s="1" t="s">
        <v>31</v>
      </c>
      <c r="P567" s="1" t="n">
        <v>2</v>
      </c>
      <c r="Q567" s="1" t="n">
        <v>0</v>
      </c>
      <c r="R567" s="1" t="n">
        <v>0</v>
      </c>
      <c r="S567" s="1" t="n">
        <v>0</v>
      </c>
      <c r="T567" s="1" t="n">
        <v>0</v>
      </c>
      <c r="U567" s="1" t="n">
        <v>0</v>
      </c>
      <c r="V567" s="3" t="n">
        <f aca="false">SUM(P567:Q567)</f>
        <v>2</v>
      </c>
      <c r="W567" s="3" t="n">
        <f aca="false">SUM(R567:T567)</f>
        <v>0</v>
      </c>
      <c r="X567" s="10" t="n">
        <v>39969</v>
      </c>
      <c r="Y567" s="10" t="n">
        <v>39974</v>
      </c>
    </row>
    <row r="568" customFormat="false" ht="14.25" hidden="false" customHeight="false" outlineLevel="0" collapsed="false">
      <c r="A568" s="1" t="n">
        <v>2009</v>
      </c>
      <c r="B568" s="1" t="n">
        <v>1</v>
      </c>
      <c r="C568" s="2" t="s">
        <v>50</v>
      </c>
      <c r="D568" s="7" t="s">
        <v>83</v>
      </c>
      <c r="E568" s="1" t="n">
        <v>2</v>
      </c>
      <c r="F568" s="1" t="n">
        <f aca="false">Y568-X568</f>
        <v>5</v>
      </c>
      <c r="G568" s="1" t="n">
        <v>5</v>
      </c>
      <c r="H568" s="3" t="s">
        <v>36</v>
      </c>
      <c r="I568" s="3" t="s">
        <v>37</v>
      </c>
      <c r="J568" s="8" t="s">
        <v>75</v>
      </c>
      <c r="K568" s="2" t="str">
        <f aca="false">CONCATENATE(I568," ",J568)</f>
        <v>Ozyptila praticola</v>
      </c>
      <c r="L568" s="3" t="n">
        <f aca="false">SUM(P568:U568)</f>
        <v>1</v>
      </c>
      <c r="M568" s="11" t="n">
        <f aca="false">(L568/(F568*G568)*25)*4</f>
        <v>4</v>
      </c>
      <c r="N568" s="1" t="s">
        <v>30</v>
      </c>
      <c r="O568" s="1" t="s">
        <v>31</v>
      </c>
      <c r="P568" s="1" t="n">
        <v>1</v>
      </c>
      <c r="Q568" s="1" t="n">
        <v>0</v>
      </c>
      <c r="R568" s="1" t="n">
        <v>0</v>
      </c>
      <c r="S568" s="1" t="n">
        <v>0</v>
      </c>
      <c r="T568" s="1" t="n">
        <v>0</v>
      </c>
      <c r="U568" s="1" t="n">
        <v>0</v>
      </c>
      <c r="V568" s="3" t="n">
        <f aca="false">SUM(P568:Q568)</f>
        <v>1</v>
      </c>
      <c r="W568" s="3" t="n">
        <f aca="false">SUM(R568:T568)</f>
        <v>0</v>
      </c>
      <c r="X568" s="10" t="n">
        <v>39969</v>
      </c>
      <c r="Y568" s="10" t="n">
        <v>39974</v>
      </c>
    </row>
    <row r="569" customFormat="false" ht="14.25" hidden="false" customHeight="false" outlineLevel="0" collapsed="false">
      <c r="A569" s="1" t="n">
        <v>2009</v>
      </c>
      <c r="B569" s="1" t="n">
        <v>1</v>
      </c>
      <c r="C569" s="2" t="s">
        <v>50</v>
      </c>
      <c r="D569" s="7" t="s">
        <v>83</v>
      </c>
      <c r="E569" s="1" t="n">
        <v>2</v>
      </c>
      <c r="F569" s="1" t="n">
        <f aca="false">Y569-X569</f>
        <v>5</v>
      </c>
      <c r="G569" s="1" t="n">
        <v>5</v>
      </c>
      <c r="H569" s="3" t="s">
        <v>36</v>
      </c>
      <c r="I569" s="3" t="s">
        <v>131</v>
      </c>
      <c r="J569" s="3" t="s">
        <v>133</v>
      </c>
      <c r="K569" s="2" t="str">
        <f aca="false">CONCATENATE(I569," ",J569)</f>
        <v>Xysticus luctuosus</v>
      </c>
      <c r="L569" s="3" t="n">
        <f aca="false">SUM(P569:U569)</f>
        <v>2</v>
      </c>
      <c r="M569" s="11" t="n">
        <f aca="false">(L569/(F569*G569)*25)*4</f>
        <v>8</v>
      </c>
      <c r="N569" s="1" t="s">
        <v>30</v>
      </c>
      <c r="O569" s="1" t="s">
        <v>31</v>
      </c>
      <c r="P569" s="1" t="n">
        <v>2</v>
      </c>
      <c r="Q569" s="1" t="n">
        <v>0</v>
      </c>
      <c r="R569" s="1" t="n">
        <v>0</v>
      </c>
      <c r="S569" s="1" t="n">
        <v>0</v>
      </c>
      <c r="T569" s="1" t="n">
        <v>0</v>
      </c>
      <c r="U569" s="1" t="n">
        <v>0</v>
      </c>
      <c r="V569" s="3" t="n">
        <f aca="false">SUM(P569:Q569)</f>
        <v>2</v>
      </c>
      <c r="W569" s="3" t="n">
        <f aca="false">SUM(R569:T569)</f>
        <v>0</v>
      </c>
      <c r="X569" s="10" t="n">
        <v>39969</v>
      </c>
      <c r="Y569" s="10" t="n">
        <v>39974</v>
      </c>
    </row>
    <row r="570" customFormat="false" ht="14.25" hidden="false" customHeight="false" outlineLevel="0" collapsed="false">
      <c r="A570" s="1" t="n">
        <v>2009</v>
      </c>
      <c r="B570" s="1" t="n">
        <v>1</v>
      </c>
      <c r="C570" s="2" t="s">
        <v>50</v>
      </c>
      <c r="D570" s="7" t="s">
        <v>83</v>
      </c>
      <c r="E570" s="1" t="n">
        <v>2</v>
      </c>
      <c r="F570" s="1" t="n">
        <f aca="false">Y570-X570</f>
        <v>5</v>
      </c>
      <c r="G570" s="1" t="n">
        <v>5</v>
      </c>
      <c r="H570" s="13" t="s">
        <v>32</v>
      </c>
      <c r="I570" s="13" t="s">
        <v>96</v>
      </c>
      <c r="J570" s="14" t="s">
        <v>97</v>
      </c>
      <c r="K570" s="2" t="str">
        <f aca="false">CONCATENATE(I570," ",J570)</f>
        <v>Diplocephalus picinus</v>
      </c>
      <c r="L570" s="3" t="n">
        <f aca="false">SUM(P570:U570)</f>
        <v>1</v>
      </c>
      <c r="M570" s="11" t="n">
        <f aca="false">(L570/(F570*G570)*25)*4</f>
        <v>4</v>
      </c>
      <c r="N570" s="1" t="s">
        <v>30</v>
      </c>
      <c r="O570" s="1" t="s">
        <v>31</v>
      </c>
      <c r="P570" s="1" t="n">
        <v>1</v>
      </c>
      <c r="Q570" s="1" t="n">
        <v>0</v>
      </c>
      <c r="R570" s="1" t="n">
        <v>0</v>
      </c>
      <c r="S570" s="1" t="n">
        <v>0</v>
      </c>
      <c r="T570" s="1" t="n">
        <v>0</v>
      </c>
      <c r="U570" s="1" t="n">
        <v>0</v>
      </c>
      <c r="V570" s="3" t="n">
        <f aca="false">SUM(P570:Q570)</f>
        <v>1</v>
      </c>
      <c r="W570" s="3" t="n">
        <f aca="false">SUM(R570:T570)</f>
        <v>0</v>
      </c>
      <c r="X570" s="10" t="n">
        <v>39969</v>
      </c>
      <c r="Y570" s="10" t="n">
        <v>39974</v>
      </c>
    </row>
    <row r="571" customFormat="false" ht="14.25" hidden="false" customHeight="false" outlineLevel="0" collapsed="false">
      <c r="A571" s="1" t="n">
        <v>2009</v>
      </c>
      <c r="B571" s="1" t="n">
        <v>1</v>
      </c>
      <c r="C571" s="2" t="s">
        <v>50</v>
      </c>
      <c r="D571" s="7" t="s">
        <v>83</v>
      </c>
      <c r="E571" s="1" t="n">
        <v>2</v>
      </c>
      <c r="F571" s="1" t="n">
        <f aca="false">Y571-X571</f>
        <v>5</v>
      </c>
      <c r="G571" s="1" t="n">
        <v>5</v>
      </c>
      <c r="H571" s="3" t="s">
        <v>32</v>
      </c>
      <c r="I571" s="3" t="s">
        <v>102</v>
      </c>
      <c r="J571" s="3" t="s">
        <v>193</v>
      </c>
      <c r="K571" s="2" t="str">
        <f aca="false">CONCATENATE(I571," ",J571)</f>
        <v>Agyneta subtilis</v>
      </c>
      <c r="L571" s="3" t="n">
        <f aca="false">SUM(P571:U571)</f>
        <v>1</v>
      </c>
      <c r="M571" s="11" t="n">
        <f aca="false">(L571/(F571*G571)*25)*4</f>
        <v>4</v>
      </c>
      <c r="N571" s="1" t="s">
        <v>30</v>
      </c>
      <c r="O571" s="1" t="s">
        <v>31</v>
      </c>
      <c r="P571" s="1" t="n">
        <v>1</v>
      </c>
      <c r="Q571" s="1" t="n">
        <v>0</v>
      </c>
      <c r="R571" s="1" t="n">
        <v>0</v>
      </c>
      <c r="S571" s="1" t="n">
        <v>0</v>
      </c>
      <c r="T571" s="1" t="n">
        <v>0</v>
      </c>
      <c r="U571" s="1" t="n">
        <v>0</v>
      </c>
      <c r="V571" s="3" t="n">
        <f aca="false">SUM(P571:Q571)</f>
        <v>1</v>
      </c>
      <c r="W571" s="3" t="n">
        <f aca="false">SUM(R571:T571)</f>
        <v>0</v>
      </c>
      <c r="X571" s="10" t="n">
        <v>39969</v>
      </c>
      <c r="Y571" s="10" t="n">
        <v>39974</v>
      </c>
    </row>
    <row r="572" customFormat="false" ht="14.25" hidden="false" customHeight="false" outlineLevel="0" collapsed="false">
      <c r="A572" s="1" t="n">
        <v>2009</v>
      </c>
      <c r="B572" s="1" t="n">
        <v>1</v>
      </c>
      <c r="C572" s="2" t="s">
        <v>50</v>
      </c>
      <c r="D572" s="7" t="s">
        <v>83</v>
      </c>
      <c r="E572" s="1" t="n">
        <v>2</v>
      </c>
      <c r="F572" s="1" t="n">
        <f aca="false">Y572-X572</f>
        <v>5</v>
      </c>
      <c r="G572" s="1" t="n">
        <v>5</v>
      </c>
      <c r="H572" s="3" t="s">
        <v>32</v>
      </c>
      <c r="I572" s="3" t="s">
        <v>55</v>
      </c>
      <c r="J572" s="3" t="s">
        <v>194</v>
      </c>
      <c r="K572" s="2" t="str">
        <f aca="false">CONCATENATE(I572," ",J572)</f>
        <v>Maro pansibiricus</v>
      </c>
      <c r="L572" s="3" t="n">
        <f aca="false">SUM(P572:U572)</f>
        <v>1</v>
      </c>
      <c r="M572" s="11" t="n">
        <f aca="false">(L572/(F572*G572)*25)*4</f>
        <v>4</v>
      </c>
      <c r="N572" s="1" t="s">
        <v>30</v>
      </c>
      <c r="O572" s="1" t="s">
        <v>31</v>
      </c>
      <c r="P572" s="1" t="n">
        <v>1</v>
      </c>
      <c r="Q572" s="1" t="n">
        <v>0</v>
      </c>
      <c r="R572" s="1" t="n">
        <v>0</v>
      </c>
      <c r="S572" s="1" t="n">
        <v>0</v>
      </c>
      <c r="T572" s="1" t="n">
        <v>0</v>
      </c>
      <c r="U572" s="1" t="n">
        <v>0</v>
      </c>
      <c r="V572" s="3" t="n">
        <f aca="false">SUM(P572:Q572)</f>
        <v>1</v>
      </c>
      <c r="W572" s="3" t="n">
        <f aca="false">SUM(R572:T572)</f>
        <v>0</v>
      </c>
      <c r="X572" s="10" t="n">
        <v>39969</v>
      </c>
      <c r="Y572" s="10" t="n">
        <v>39974</v>
      </c>
    </row>
    <row r="573" customFormat="false" ht="14.25" hidden="false" customHeight="false" outlineLevel="0" collapsed="false">
      <c r="A573" s="1" t="n">
        <v>2009</v>
      </c>
      <c r="B573" s="1" t="n">
        <v>1</v>
      </c>
      <c r="C573" s="2" t="s">
        <v>50</v>
      </c>
      <c r="D573" s="7" t="s">
        <v>83</v>
      </c>
      <c r="E573" s="1" t="n">
        <v>2</v>
      </c>
      <c r="F573" s="1" t="n">
        <f aca="false">Y573-X573</f>
        <v>5</v>
      </c>
      <c r="G573" s="1" t="n">
        <v>5</v>
      </c>
      <c r="H573" s="3" t="s">
        <v>48</v>
      </c>
      <c r="I573" s="3" t="s">
        <v>49</v>
      </c>
      <c r="J573" s="3" t="s">
        <v>38</v>
      </c>
      <c r="K573" s="2" t="str">
        <f aca="false">CONCATENATE(I573," ",J573)</f>
        <v>Alopecosa sp</v>
      </c>
      <c r="L573" s="3" t="n">
        <f aca="false">SUM(P573:U573)</f>
        <v>2</v>
      </c>
      <c r="M573" s="11" t="n">
        <f aca="false">(L573/(F573*G573)*25)*4</f>
        <v>8</v>
      </c>
      <c r="N573" s="1" t="s">
        <v>19</v>
      </c>
      <c r="O573" s="1" t="s">
        <v>54</v>
      </c>
      <c r="P573" s="1" t="n">
        <v>0</v>
      </c>
      <c r="Q573" s="1" t="n">
        <v>0</v>
      </c>
      <c r="R573" s="1" t="n">
        <v>0</v>
      </c>
      <c r="S573" s="1" t="n">
        <v>0</v>
      </c>
      <c r="T573" s="1" t="n">
        <v>2</v>
      </c>
      <c r="U573" s="1" t="n">
        <v>0</v>
      </c>
      <c r="V573" s="3" t="n">
        <f aca="false">SUM(P573:Q573)</f>
        <v>0</v>
      </c>
      <c r="W573" s="3" t="n">
        <f aca="false">SUM(R573:T573)</f>
        <v>2</v>
      </c>
      <c r="X573" s="10" t="n">
        <v>39969</v>
      </c>
      <c r="Y573" s="10" t="n">
        <v>39974</v>
      </c>
    </row>
    <row r="574" customFormat="false" ht="14.25" hidden="false" customHeight="false" outlineLevel="0" collapsed="false">
      <c r="A574" s="1" t="n">
        <v>2009</v>
      </c>
      <c r="B574" s="1" t="n">
        <v>1</v>
      </c>
      <c r="C574" s="2" t="s">
        <v>50</v>
      </c>
      <c r="D574" s="7" t="s">
        <v>83</v>
      </c>
      <c r="E574" s="1" t="n">
        <v>2</v>
      </c>
      <c r="F574" s="1" t="n">
        <f aca="false">Y574-X574</f>
        <v>5</v>
      </c>
      <c r="G574" s="1" t="n">
        <v>5</v>
      </c>
      <c r="H574" s="3" t="s">
        <v>48</v>
      </c>
      <c r="I574" s="3" t="s">
        <v>49</v>
      </c>
      <c r="J574" s="3" t="s">
        <v>104</v>
      </c>
      <c r="K574" s="2" t="str">
        <f aca="false">CONCATENATE(I574," ",J574)</f>
        <v>Alopecosa taeniata</v>
      </c>
      <c r="L574" s="3" t="n">
        <f aca="false">SUM(P574:U574)</f>
        <v>1</v>
      </c>
      <c r="M574" s="11" t="n">
        <f aca="false">(L574/(F574*G574)*25)*4</f>
        <v>4</v>
      </c>
      <c r="N574" s="1" t="s">
        <v>30</v>
      </c>
      <c r="O574" s="1" t="s">
        <v>31</v>
      </c>
      <c r="P574" s="1" t="n">
        <v>1</v>
      </c>
      <c r="Q574" s="1" t="n">
        <v>0</v>
      </c>
      <c r="R574" s="1" t="n">
        <v>0</v>
      </c>
      <c r="S574" s="1" t="n">
        <v>0</v>
      </c>
      <c r="T574" s="1" t="n">
        <v>0</v>
      </c>
      <c r="U574" s="1" t="n">
        <v>0</v>
      </c>
      <c r="V574" s="3" t="n">
        <f aca="false">SUM(P574:Q574)</f>
        <v>1</v>
      </c>
      <c r="W574" s="3" t="n">
        <f aca="false">SUM(R574:T574)</f>
        <v>0</v>
      </c>
      <c r="X574" s="10" t="n">
        <v>39969</v>
      </c>
      <c r="Y574" s="10" t="n">
        <v>39974</v>
      </c>
    </row>
    <row r="575" customFormat="false" ht="14.25" hidden="false" customHeight="false" outlineLevel="0" collapsed="false">
      <c r="A575" s="1" t="n">
        <v>2009</v>
      </c>
      <c r="B575" s="1" t="n">
        <v>1</v>
      </c>
      <c r="C575" s="2" t="s">
        <v>50</v>
      </c>
      <c r="D575" s="7" t="s">
        <v>83</v>
      </c>
      <c r="E575" s="1" t="n">
        <v>2</v>
      </c>
      <c r="F575" s="1" t="n">
        <f aca="false">Y575-X575</f>
        <v>5</v>
      </c>
      <c r="G575" s="1" t="n">
        <v>5</v>
      </c>
      <c r="H575" s="3" t="s">
        <v>48</v>
      </c>
      <c r="I575" s="3" t="s">
        <v>49</v>
      </c>
      <c r="J575" s="3" t="s">
        <v>104</v>
      </c>
      <c r="K575" s="2" t="str">
        <f aca="false">CONCATENATE(I575," ",J575)</f>
        <v>Alopecosa taeniata</v>
      </c>
      <c r="L575" s="3" t="n">
        <f aca="false">SUM(P575:U575)</f>
        <v>2</v>
      </c>
      <c r="M575" s="11" t="n">
        <f aca="false">(L575/(F575*G575)*25)*4</f>
        <v>8</v>
      </c>
      <c r="N575" s="1" t="s">
        <v>30</v>
      </c>
      <c r="O575" s="1" t="s">
        <v>35</v>
      </c>
      <c r="P575" s="1" t="n">
        <v>0</v>
      </c>
      <c r="Q575" s="1" t="n">
        <v>2</v>
      </c>
      <c r="R575" s="1" t="n">
        <v>0</v>
      </c>
      <c r="S575" s="1" t="n">
        <v>0</v>
      </c>
      <c r="T575" s="1" t="n">
        <v>0</v>
      </c>
      <c r="U575" s="1" t="n">
        <v>0</v>
      </c>
      <c r="V575" s="3" t="n">
        <f aca="false">SUM(P575:Q575)</f>
        <v>2</v>
      </c>
      <c r="W575" s="3" t="n">
        <f aca="false">SUM(R575:T575)</f>
        <v>0</v>
      </c>
      <c r="X575" s="10" t="n">
        <v>39969</v>
      </c>
      <c r="Y575" s="10" t="n">
        <v>39974</v>
      </c>
    </row>
    <row r="576" customFormat="false" ht="14.25" hidden="false" customHeight="false" outlineLevel="0" collapsed="false">
      <c r="A576" s="1" t="n">
        <v>2009</v>
      </c>
      <c r="B576" s="1" t="n">
        <v>1</v>
      </c>
      <c r="C576" s="2" t="s">
        <v>50</v>
      </c>
      <c r="D576" s="7" t="s">
        <v>83</v>
      </c>
      <c r="E576" s="1" t="n">
        <v>2</v>
      </c>
      <c r="F576" s="1" t="n">
        <f aca="false">Y576-X576</f>
        <v>5</v>
      </c>
      <c r="G576" s="1" t="n">
        <v>5</v>
      </c>
      <c r="H576" s="3" t="s">
        <v>48</v>
      </c>
      <c r="I576" s="3" t="s">
        <v>67</v>
      </c>
      <c r="J576" s="3" t="s">
        <v>127</v>
      </c>
      <c r="K576" s="2" t="str">
        <f aca="false">CONCATENATE(I576," ",J576)</f>
        <v>Pardosa lugubris</v>
      </c>
      <c r="L576" s="3" t="n">
        <f aca="false">SUM(P576:U576)</f>
        <v>6</v>
      </c>
      <c r="M576" s="11" t="n">
        <f aca="false">(L576/(F576*G576)*25)*4</f>
        <v>24</v>
      </c>
      <c r="N576" s="1" t="s">
        <v>30</v>
      </c>
      <c r="O576" s="1" t="s">
        <v>31</v>
      </c>
      <c r="P576" s="1" t="n">
        <v>6</v>
      </c>
      <c r="Q576" s="1" t="n">
        <v>0</v>
      </c>
      <c r="R576" s="1" t="n">
        <v>0</v>
      </c>
      <c r="S576" s="1" t="n">
        <v>0</v>
      </c>
      <c r="T576" s="1" t="n">
        <v>0</v>
      </c>
      <c r="U576" s="1" t="n">
        <v>0</v>
      </c>
      <c r="V576" s="3" t="n">
        <f aca="false">SUM(P576:Q576)</f>
        <v>6</v>
      </c>
      <c r="W576" s="3" t="n">
        <f aca="false">SUM(R576:T576)</f>
        <v>0</v>
      </c>
      <c r="X576" s="10" t="n">
        <v>39969</v>
      </c>
      <c r="Y576" s="10" t="n">
        <v>39974</v>
      </c>
    </row>
    <row r="577" customFormat="false" ht="14.25" hidden="false" customHeight="false" outlineLevel="0" collapsed="false">
      <c r="A577" s="1" t="n">
        <v>2009</v>
      </c>
      <c r="B577" s="1" t="n">
        <v>1</v>
      </c>
      <c r="C577" s="2" t="s">
        <v>50</v>
      </c>
      <c r="D577" s="7" t="s">
        <v>83</v>
      </c>
      <c r="E577" s="1" t="n">
        <v>2</v>
      </c>
      <c r="F577" s="1" t="n">
        <f aca="false">Y577-X577</f>
        <v>5</v>
      </c>
      <c r="G577" s="1" t="n">
        <v>5</v>
      </c>
      <c r="H577" s="3" t="s">
        <v>48</v>
      </c>
      <c r="I577" s="3" t="s">
        <v>67</v>
      </c>
      <c r="J577" s="3" t="s">
        <v>127</v>
      </c>
      <c r="K577" s="2" t="str">
        <f aca="false">CONCATENATE(I577," ",J577)</f>
        <v>Pardosa lugubris</v>
      </c>
      <c r="L577" s="3" t="n">
        <f aca="false">SUM(P577:U577)</f>
        <v>1</v>
      </c>
      <c r="M577" s="11" t="n">
        <f aca="false">(L577/(F577*G577)*25)*4</f>
        <v>4</v>
      </c>
      <c r="N577" s="1" t="s">
        <v>30</v>
      </c>
      <c r="O577" s="1" t="s">
        <v>35</v>
      </c>
      <c r="P577" s="1" t="n">
        <v>0</v>
      </c>
      <c r="Q577" s="1" t="n">
        <v>1</v>
      </c>
      <c r="R577" s="1" t="n">
        <v>0</v>
      </c>
      <c r="S577" s="1" t="n">
        <v>0</v>
      </c>
      <c r="T577" s="1" t="n">
        <v>0</v>
      </c>
      <c r="U577" s="1" t="n">
        <v>0</v>
      </c>
      <c r="V577" s="3" t="n">
        <f aca="false">SUM(P577:Q577)</f>
        <v>1</v>
      </c>
      <c r="W577" s="3" t="n">
        <f aca="false">SUM(R577:T577)</f>
        <v>0</v>
      </c>
      <c r="X577" s="10" t="n">
        <v>39969</v>
      </c>
      <c r="Y577" s="10" t="n">
        <v>39974</v>
      </c>
    </row>
    <row r="578" customFormat="false" ht="14.25" hidden="false" customHeight="false" outlineLevel="0" collapsed="false">
      <c r="A578" s="1" t="n">
        <v>2009</v>
      </c>
      <c r="B578" s="1" t="n">
        <v>1</v>
      </c>
      <c r="C578" s="2" t="s">
        <v>50</v>
      </c>
      <c r="D578" s="7" t="s">
        <v>83</v>
      </c>
      <c r="E578" s="1" t="n">
        <v>2</v>
      </c>
      <c r="F578" s="1" t="n">
        <f aca="false">Y578-X578</f>
        <v>5</v>
      </c>
      <c r="G578" s="1" t="n">
        <v>5</v>
      </c>
      <c r="H578" s="13" t="s">
        <v>195</v>
      </c>
      <c r="I578" s="13" t="s">
        <v>196</v>
      </c>
      <c r="J578" s="14" t="s">
        <v>197</v>
      </c>
      <c r="K578" s="2" t="str">
        <f aca="false">CONCATENATE(I578," ",J578)</f>
        <v>Pachygnatha listeri</v>
      </c>
      <c r="L578" s="3" t="n">
        <f aca="false">SUM(P578:U578)</f>
        <v>1</v>
      </c>
      <c r="M578" s="11" t="n">
        <f aca="false">(L578/(F578*G578)*25)*4</f>
        <v>4</v>
      </c>
      <c r="N578" s="1" t="s">
        <v>30</v>
      </c>
      <c r="O578" s="1" t="s">
        <v>31</v>
      </c>
      <c r="P578" s="1" t="n">
        <v>1</v>
      </c>
      <c r="Q578" s="1" t="n">
        <v>0</v>
      </c>
      <c r="R578" s="1" t="n">
        <v>0</v>
      </c>
      <c r="S578" s="1" t="n">
        <v>0</v>
      </c>
      <c r="T578" s="1" t="n">
        <v>0</v>
      </c>
      <c r="U578" s="1" t="n">
        <v>0</v>
      </c>
      <c r="V578" s="3" t="n">
        <f aca="false">SUM(P578:Q578)</f>
        <v>1</v>
      </c>
      <c r="W578" s="3" t="n">
        <f aca="false">SUM(R578:T578)</f>
        <v>0</v>
      </c>
      <c r="X578" s="10" t="n">
        <v>39969</v>
      </c>
      <c r="Y578" s="10" t="n">
        <v>39974</v>
      </c>
    </row>
    <row r="579" customFormat="false" ht="14.25" hidden="false" customHeight="false" outlineLevel="0" collapsed="false">
      <c r="A579" s="1" t="n">
        <v>2009</v>
      </c>
      <c r="B579" s="1" t="n">
        <v>1</v>
      </c>
      <c r="C579" s="2" t="s">
        <v>50</v>
      </c>
      <c r="D579" s="7" t="s">
        <v>83</v>
      </c>
      <c r="E579" s="1" t="n">
        <v>2</v>
      </c>
      <c r="F579" s="1" t="n">
        <f aca="false">Y579-X579</f>
        <v>5</v>
      </c>
      <c r="G579" s="1" t="n">
        <v>5</v>
      </c>
      <c r="H579" s="3" t="s">
        <v>32</v>
      </c>
      <c r="I579" s="3" t="s">
        <v>57</v>
      </c>
      <c r="J579" s="3" t="s">
        <v>38</v>
      </c>
      <c r="K579" s="2" t="str">
        <f aca="false">CONCATENATE(I579," ",J579)</f>
        <v>Gen sp</v>
      </c>
      <c r="L579" s="3" t="n">
        <f aca="false">SUM(P579:U579)</f>
        <v>1</v>
      </c>
      <c r="M579" s="11" t="n">
        <f aca="false">(L579/(F579*G579)*25)*4</f>
        <v>4</v>
      </c>
      <c r="N579" s="1" t="s">
        <v>19</v>
      </c>
      <c r="O579" s="1" t="s">
        <v>54</v>
      </c>
      <c r="P579" s="1" t="n">
        <v>0</v>
      </c>
      <c r="Q579" s="1" t="n">
        <v>0</v>
      </c>
      <c r="R579" s="1" t="n">
        <v>0</v>
      </c>
      <c r="S579" s="1" t="n">
        <v>0</v>
      </c>
      <c r="T579" s="1" t="n">
        <v>1</v>
      </c>
      <c r="U579" s="1" t="n">
        <v>0</v>
      </c>
      <c r="V579" s="3" t="n">
        <f aca="false">SUM(P579:Q579)</f>
        <v>0</v>
      </c>
      <c r="W579" s="3" t="n">
        <f aca="false">SUM(R579:T579)</f>
        <v>1</v>
      </c>
      <c r="X579" s="10" t="n">
        <v>39969</v>
      </c>
      <c r="Y579" s="10" t="n">
        <v>39974</v>
      </c>
    </row>
    <row r="580" customFormat="false" ht="14.25" hidden="false" customHeight="false" outlineLevel="0" collapsed="false">
      <c r="A580" s="1" t="n">
        <v>2009</v>
      </c>
      <c r="B580" s="1" t="n">
        <v>1</v>
      </c>
      <c r="C580" s="2" t="s">
        <v>50</v>
      </c>
      <c r="D580" s="7" t="s">
        <v>83</v>
      </c>
      <c r="E580" s="1" t="n">
        <v>2</v>
      </c>
      <c r="F580" s="1" t="n">
        <f aca="false">Y580-X580</f>
        <v>5</v>
      </c>
      <c r="G580" s="1" t="n">
        <v>5</v>
      </c>
      <c r="H580" s="13" t="s">
        <v>32</v>
      </c>
      <c r="I580" s="13" t="s">
        <v>96</v>
      </c>
      <c r="J580" s="14" t="s">
        <v>97</v>
      </c>
      <c r="K580" s="2" t="str">
        <f aca="false">CONCATENATE(I580," ",J580)</f>
        <v>Diplocephalus picinus</v>
      </c>
      <c r="L580" s="3" t="n">
        <f aca="false">SUM(P580:U580)</f>
        <v>1</v>
      </c>
      <c r="M580" s="11" t="n">
        <f aca="false">(L580/(F580*G580)*25)*4</f>
        <v>4</v>
      </c>
      <c r="N580" s="1" t="s">
        <v>30</v>
      </c>
      <c r="O580" s="1" t="s">
        <v>35</v>
      </c>
      <c r="P580" s="1" t="n">
        <v>0</v>
      </c>
      <c r="Q580" s="1" t="n">
        <v>1</v>
      </c>
      <c r="R580" s="1" t="n">
        <v>0</v>
      </c>
      <c r="S580" s="1" t="n">
        <v>0</v>
      </c>
      <c r="T580" s="1" t="n">
        <v>0</v>
      </c>
      <c r="U580" s="1" t="n">
        <v>0</v>
      </c>
      <c r="V580" s="3" t="n">
        <f aca="false">SUM(P580:Q580)</f>
        <v>1</v>
      </c>
      <c r="W580" s="3" t="n">
        <f aca="false">SUM(R580:T580)</f>
        <v>0</v>
      </c>
      <c r="X580" s="10" t="n">
        <v>39969</v>
      </c>
      <c r="Y580" s="10" t="n">
        <v>39974</v>
      </c>
    </row>
    <row r="581" customFormat="false" ht="14.25" hidden="false" customHeight="false" outlineLevel="0" collapsed="false">
      <c r="A581" s="1" t="n">
        <v>2009</v>
      </c>
      <c r="B581" s="1" t="n">
        <v>1</v>
      </c>
      <c r="C581" s="2" t="s">
        <v>50</v>
      </c>
      <c r="D581" s="7" t="s">
        <v>83</v>
      </c>
      <c r="E581" s="1" t="n">
        <v>2</v>
      </c>
      <c r="F581" s="1" t="n">
        <f aca="false">Y581-X581</f>
        <v>5</v>
      </c>
      <c r="G581" s="1" t="n">
        <v>5</v>
      </c>
      <c r="H581" s="3" t="s">
        <v>32</v>
      </c>
      <c r="I581" s="3" t="s">
        <v>55</v>
      </c>
      <c r="J581" s="3" t="s">
        <v>194</v>
      </c>
      <c r="K581" s="2" t="str">
        <f aca="false">CONCATENATE(I581," ",J581)</f>
        <v>Maro pansibiricus</v>
      </c>
      <c r="L581" s="3" t="n">
        <f aca="false">SUM(P581:U581)</f>
        <v>3</v>
      </c>
      <c r="M581" s="11" t="n">
        <f aca="false">(L581/(F581*G581)*25)*4</f>
        <v>12</v>
      </c>
      <c r="N581" s="1" t="s">
        <v>30</v>
      </c>
      <c r="O581" s="1" t="s">
        <v>31</v>
      </c>
      <c r="P581" s="1" t="n">
        <v>3</v>
      </c>
      <c r="Q581" s="1" t="n">
        <v>0</v>
      </c>
      <c r="R581" s="1" t="n">
        <v>0</v>
      </c>
      <c r="S581" s="1" t="n">
        <v>0</v>
      </c>
      <c r="T581" s="1" t="n">
        <v>0</v>
      </c>
      <c r="U581" s="1" t="n">
        <v>0</v>
      </c>
      <c r="V581" s="3" t="n">
        <f aca="false">SUM(P581:Q581)</f>
        <v>3</v>
      </c>
      <c r="W581" s="3" t="n">
        <f aca="false">SUM(R581:T581)</f>
        <v>0</v>
      </c>
      <c r="X581" s="10" t="n">
        <v>39969</v>
      </c>
      <c r="Y581" s="10" t="n">
        <v>39974</v>
      </c>
    </row>
    <row r="582" customFormat="false" ht="14.25" hidden="false" customHeight="false" outlineLevel="0" collapsed="false">
      <c r="A582" s="1" t="n">
        <v>2009</v>
      </c>
      <c r="B582" s="1" t="n">
        <v>1</v>
      </c>
      <c r="C582" s="2" t="s">
        <v>50</v>
      </c>
      <c r="D582" s="7" t="s">
        <v>83</v>
      </c>
      <c r="E582" s="1" t="n">
        <v>2</v>
      </c>
      <c r="F582" s="1" t="n">
        <f aca="false">Y582-X582</f>
        <v>5</v>
      </c>
      <c r="G582" s="1" t="n">
        <v>5</v>
      </c>
      <c r="H582" s="3" t="s">
        <v>48</v>
      </c>
      <c r="I582" s="3" t="s">
        <v>49</v>
      </c>
      <c r="J582" s="3" t="s">
        <v>104</v>
      </c>
      <c r="K582" s="2" t="str">
        <f aca="false">CONCATENATE(I582," ",J582)</f>
        <v>Alopecosa taeniata</v>
      </c>
      <c r="L582" s="3" t="n">
        <f aca="false">SUM(P582:U582)</f>
        <v>1</v>
      </c>
      <c r="M582" s="11" t="n">
        <f aca="false">(L582/(F582*G582)*25)*4</f>
        <v>4</v>
      </c>
      <c r="N582" s="1" t="s">
        <v>30</v>
      </c>
      <c r="O582" s="1" t="s">
        <v>31</v>
      </c>
      <c r="P582" s="1" t="n">
        <v>1</v>
      </c>
      <c r="Q582" s="1" t="n">
        <v>0</v>
      </c>
      <c r="R582" s="1" t="n">
        <v>0</v>
      </c>
      <c r="S582" s="1" t="n">
        <v>0</v>
      </c>
      <c r="T582" s="1" t="n">
        <v>0</v>
      </c>
      <c r="U582" s="1" t="n">
        <v>0</v>
      </c>
      <c r="V582" s="3" t="n">
        <f aca="false">SUM(P582:Q582)</f>
        <v>1</v>
      </c>
      <c r="W582" s="3" t="n">
        <f aca="false">SUM(R582:T582)</f>
        <v>0</v>
      </c>
      <c r="X582" s="10" t="n">
        <v>39969</v>
      </c>
      <c r="Y582" s="10" t="n">
        <v>39974</v>
      </c>
    </row>
    <row r="583" customFormat="false" ht="14.25" hidden="false" customHeight="false" outlineLevel="0" collapsed="false">
      <c r="A583" s="1" t="n">
        <v>2009</v>
      </c>
      <c r="B583" s="1" t="n">
        <v>1</v>
      </c>
      <c r="C583" s="2" t="s">
        <v>50</v>
      </c>
      <c r="D583" s="7" t="s">
        <v>83</v>
      </c>
      <c r="E583" s="1" t="n">
        <v>2</v>
      </c>
      <c r="F583" s="1" t="n">
        <f aca="false">Y583-X583</f>
        <v>5</v>
      </c>
      <c r="G583" s="1" t="n">
        <v>5</v>
      </c>
      <c r="H583" s="3" t="s">
        <v>48</v>
      </c>
      <c r="I583" s="3" t="s">
        <v>49</v>
      </c>
      <c r="J583" s="3" t="s">
        <v>104</v>
      </c>
      <c r="K583" s="2" t="str">
        <f aca="false">CONCATENATE(I583," ",J583)</f>
        <v>Alopecosa taeniata</v>
      </c>
      <c r="L583" s="3" t="n">
        <f aca="false">SUM(P583:U583)</f>
        <v>1</v>
      </c>
      <c r="M583" s="11" t="n">
        <f aca="false">(L583/(F583*G583)*25)*4</f>
        <v>4</v>
      </c>
      <c r="N583" s="1" t="s">
        <v>30</v>
      </c>
      <c r="O583" s="1" t="s">
        <v>35</v>
      </c>
      <c r="P583" s="1" t="n">
        <v>0</v>
      </c>
      <c r="Q583" s="1" t="n">
        <v>1</v>
      </c>
      <c r="R583" s="1" t="n">
        <v>0</v>
      </c>
      <c r="S583" s="1" t="n">
        <v>0</v>
      </c>
      <c r="T583" s="1" t="n">
        <v>0</v>
      </c>
      <c r="U583" s="1" t="n">
        <v>0</v>
      </c>
      <c r="V583" s="3" t="n">
        <f aca="false">SUM(P583:Q583)</f>
        <v>1</v>
      </c>
      <c r="W583" s="3" t="n">
        <f aca="false">SUM(R583:T583)</f>
        <v>0</v>
      </c>
      <c r="X583" s="10" t="n">
        <v>39969</v>
      </c>
      <c r="Y583" s="10" t="n">
        <v>39974</v>
      </c>
    </row>
    <row r="584" customFormat="false" ht="14.25" hidden="false" customHeight="false" outlineLevel="0" collapsed="false">
      <c r="A584" s="1" t="n">
        <v>2009</v>
      </c>
      <c r="B584" s="1" t="n">
        <v>1</v>
      </c>
      <c r="C584" s="2" t="s">
        <v>50</v>
      </c>
      <c r="D584" s="7" t="s">
        <v>83</v>
      </c>
      <c r="E584" s="1" t="n">
        <v>2</v>
      </c>
      <c r="F584" s="1" t="n">
        <f aca="false">Y584-X584</f>
        <v>5</v>
      </c>
      <c r="G584" s="1" t="n">
        <v>5</v>
      </c>
      <c r="H584" s="3" t="s">
        <v>48</v>
      </c>
      <c r="I584" s="3" t="s">
        <v>67</v>
      </c>
      <c r="J584" s="3" t="s">
        <v>127</v>
      </c>
      <c r="K584" s="2" t="str">
        <f aca="false">CONCATENATE(I584," ",J584)</f>
        <v>Pardosa lugubris</v>
      </c>
      <c r="L584" s="3" t="n">
        <f aca="false">SUM(P584:U584)</f>
        <v>5</v>
      </c>
      <c r="M584" s="11" t="n">
        <f aca="false">(L584/(F584*G584)*25)*4</f>
        <v>20</v>
      </c>
      <c r="N584" s="1" t="s">
        <v>30</v>
      </c>
      <c r="O584" s="1" t="s">
        <v>31</v>
      </c>
      <c r="P584" s="1" t="n">
        <v>5</v>
      </c>
      <c r="Q584" s="1" t="n">
        <v>0</v>
      </c>
      <c r="R584" s="1" t="n">
        <v>0</v>
      </c>
      <c r="S584" s="1" t="n">
        <v>0</v>
      </c>
      <c r="T584" s="1" t="n">
        <v>0</v>
      </c>
      <c r="U584" s="1" t="n">
        <v>0</v>
      </c>
      <c r="V584" s="3" t="n">
        <f aca="false">SUM(P584:Q584)</f>
        <v>5</v>
      </c>
      <c r="W584" s="3" t="n">
        <f aca="false">SUM(R584:T584)</f>
        <v>0</v>
      </c>
      <c r="X584" s="10" t="n">
        <v>39969</v>
      </c>
      <c r="Y584" s="10" t="n">
        <v>39974</v>
      </c>
    </row>
    <row r="585" customFormat="false" ht="14.25" hidden="false" customHeight="false" outlineLevel="0" collapsed="false">
      <c r="A585" s="1" t="n">
        <v>2009</v>
      </c>
      <c r="B585" s="1" t="n">
        <v>1</v>
      </c>
      <c r="C585" s="2" t="s">
        <v>50</v>
      </c>
      <c r="D585" s="7" t="s">
        <v>83</v>
      </c>
      <c r="E585" s="1" t="n">
        <v>2</v>
      </c>
      <c r="F585" s="1" t="n">
        <f aca="false">Y585-X585</f>
        <v>5</v>
      </c>
      <c r="G585" s="1" t="n">
        <v>5</v>
      </c>
      <c r="H585" s="3" t="s">
        <v>48</v>
      </c>
      <c r="I585" s="3" t="s">
        <v>57</v>
      </c>
      <c r="J585" s="3" t="s">
        <v>38</v>
      </c>
      <c r="K585" s="2" t="str">
        <f aca="false">CONCATENATE(I585," ",J585)</f>
        <v>Gen sp</v>
      </c>
      <c r="L585" s="3" t="n">
        <f aca="false">SUM(P585:U585)</f>
        <v>1</v>
      </c>
      <c r="M585" s="11" t="n">
        <f aca="false">(L585/(F585*G585)*25)*4</f>
        <v>4</v>
      </c>
      <c r="N585" s="1" t="s">
        <v>19</v>
      </c>
      <c r="O585" s="1" t="s">
        <v>54</v>
      </c>
      <c r="P585" s="1" t="n">
        <v>0</v>
      </c>
      <c r="Q585" s="1" t="n">
        <v>0</v>
      </c>
      <c r="R585" s="1" t="n">
        <v>0</v>
      </c>
      <c r="S585" s="1" t="n">
        <v>0</v>
      </c>
      <c r="T585" s="1" t="n">
        <v>1</v>
      </c>
      <c r="U585" s="1" t="n">
        <v>0</v>
      </c>
      <c r="V585" s="3" t="n">
        <f aca="false">SUM(P585:Q585)</f>
        <v>0</v>
      </c>
      <c r="W585" s="3" t="n">
        <f aca="false">SUM(R585:T585)</f>
        <v>1</v>
      </c>
      <c r="X585" s="10" t="n">
        <v>39969</v>
      </c>
      <c r="Y585" s="10" t="n">
        <v>39974</v>
      </c>
    </row>
    <row r="586" customFormat="false" ht="14.25" hidden="false" customHeight="false" outlineLevel="0" collapsed="false">
      <c r="A586" s="1" t="n">
        <v>2009</v>
      </c>
      <c r="B586" s="1" t="n">
        <v>1</v>
      </c>
      <c r="C586" s="2" t="s">
        <v>50</v>
      </c>
      <c r="D586" s="7" t="s">
        <v>83</v>
      </c>
      <c r="E586" s="1" t="n">
        <v>2</v>
      </c>
      <c r="F586" s="1" t="n">
        <f aca="false">Y586-X586</f>
        <v>5</v>
      </c>
      <c r="G586" s="1" t="n">
        <v>5</v>
      </c>
      <c r="H586" s="3" t="s">
        <v>72</v>
      </c>
      <c r="I586" s="3" t="s">
        <v>86</v>
      </c>
      <c r="J586" s="8" t="s">
        <v>87</v>
      </c>
      <c r="K586" s="2" t="str">
        <f aca="false">CONCATENATE(I586," ",J586)</f>
        <v>Haplodrassus soerenseni</v>
      </c>
      <c r="L586" s="3" t="n">
        <f aca="false">SUM(P586:U586)</f>
        <v>6</v>
      </c>
      <c r="M586" s="11" t="n">
        <f aca="false">(L586/(F586*G586)*25)*4</f>
        <v>24</v>
      </c>
      <c r="N586" s="1" t="s">
        <v>30</v>
      </c>
      <c r="O586" s="1" t="s">
        <v>31</v>
      </c>
      <c r="P586" s="1" t="n">
        <v>6</v>
      </c>
      <c r="Q586" s="1" t="n">
        <v>0</v>
      </c>
      <c r="R586" s="1" t="n">
        <v>0</v>
      </c>
      <c r="S586" s="1" t="n">
        <v>0</v>
      </c>
      <c r="T586" s="1" t="n">
        <v>0</v>
      </c>
      <c r="U586" s="1" t="n">
        <v>0</v>
      </c>
      <c r="V586" s="3" t="n">
        <f aca="false">SUM(P586:Q586)</f>
        <v>6</v>
      </c>
      <c r="W586" s="3" t="n">
        <f aca="false">SUM(R586:T586)</f>
        <v>0</v>
      </c>
      <c r="X586" s="10" t="n">
        <v>39969</v>
      </c>
      <c r="Y586" s="10" t="n">
        <v>39974</v>
      </c>
    </row>
    <row r="587" customFormat="false" ht="14.25" hidden="false" customHeight="false" outlineLevel="0" collapsed="false">
      <c r="A587" s="1" t="n">
        <v>2009</v>
      </c>
      <c r="B587" s="1" t="n">
        <v>1</v>
      </c>
      <c r="C587" s="2" t="s">
        <v>50</v>
      </c>
      <c r="D587" s="7" t="s">
        <v>83</v>
      </c>
      <c r="E587" s="1" t="n">
        <v>2</v>
      </c>
      <c r="F587" s="1" t="n">
        <f aca="false">Y587-X587</f>
        <v>5</v>
      </c>
      <c r="G587" s="1" t="n">
        <v>5</v>
      </c>
      <c r="H587" s="13" t="s">
        <v>195</v>
      </c>
      <c r="I587" s="13" t="s">
        <v>196</v>
      </c>
      <c r="J587" s="14" t="s">
        <v>197</v>
      </c>
      <c r="K587" s="2" t="str">
        <f aca="false">CONCATENATE(I587," ",J587)</f>
        <v>Pachygnatha listeri</v>
      </c>
      <c r="L587" s="3" t="n">
        <f aca="false">SUM(P587:U587)</f>
        <v>1</v>
      </c>
      <c r="M587" s="11" t="n">
        <f aca="false">(L587/(F587*G587)*25)*4</f>
        <v>4</v>
      </c>
      <c r="N587" s="1" t="s">
        <v>30</v>
      </c>
      <c r="O587" s="1" t="s">
        <v>31</v>
      </c>
      <c r="P587" s="1" t="n">
        <v>1</v>
      </c>
      <c r="Q587" s="1" t="n">
        <v>0</v>
      </c>
      <c r="R587" s="1" t="n">
        <v>0</v>
      </c>
      <c r="S587" s="1" t="n">
        <v>0</v>
      </c>
      <c r="T587" s="1" t="n">
        <v>0</v>
      </c>
      <c r="U587" s="1" t="n">
        <v>0</v>
      </c>
      <c r="V587" s="3" t="n">
        <f aca="false">SUM(P587:Q587)</f>
        <v>1</v>
      </c>
      <c r="W587" s="3" t="n">
        <f aca="false">SUM(R587:T587)</f>
        <v>0</v>
      </c>
      <c r="X587" s="10" t="n">
        <v>39969</v>
      </c>
      <c r="Y587" s="10" t="n">
        <v>39974</v>
      </c>
    </row>
    <row r="588" customFormat="false" ht="14.25" hidden="false" customHeight="false" outlineLevel="0" collapsed="false">
      <c r="A588" s="1" t="n">
        <v>2009</v>
      </c>
      <c r="B588" s="1" t="n">
        <v>1</v>
      </c>
      <c r="C588" s="2" t="s">
        <v>50</v>
      </c>
      <c r="D588" s="7" t="s">
        <v>83</v>
      </c>
      <c r="E588" s="1" t="n">
        <v>2</v>
      </c>
      <c r="F588" s="1" t="n">
        <f aca="false">Y588-X588</f>
        <v>5</v>
      </c>
      <c r="G588" s="1" t="n">
        <v>5</v>
      </c>
      <c r="H588" s="3" t="s">
        <v>36</v>
      </c>
      <c r="I588" s="3" t="s">
        <v>131</v>
      </c>
      <c r="J588" s="3" t="s">
        <v>199</v>
      </c>
      <c r="K588" s="2" t="str">
        <f aca="false">CONCATENATE(I588," ",J588)</f>
        <v>Xysticus obscurus</v>
      </c>
      <c r="L588" s="3" t="n">
        <f aca="false">SUM(P588:U588)</f>
        <v>1</v>
      </c>
      <c r="M588" s="11" t="n">
        <f aca="false">(L588/(F588*G588)*25)*4</f>
        <v>4</v>
      </c>
      <c r="N588" s="1" t="s">
        <v>30</v>
      </c>
      <c r="O588" s="1" t="s">
        <v>31</v>
      </c>
      <c r="P588" s="1" t="n">
        <v>1</v>
      </c>
      <c r="Q588" s="1" t="n">
        <v>0</v>
      </c>
      <c r="R588" s="1" t="n">
        <v>0</v>
      </c>
      <c r="S588" s="1" t="n">
        <v>0</v>
      </c>
      <c r="T588" s="1" t="n">
        <v>0</v>
      </c>
      <c r="U588" s="1" t="n">
        <v>0</v>
      </c>
      <c r="V588" s="3" t="n">
        <f aca="false">SUM(P588:Q588)</f>
        <v>1</v>
      </c>
      <c r="W588" s="3" t="n">
        <f aca="false">SUM(R588:T588)</f>
        <v>0</v>
      </c>
      <c r="X588" s="10" t="n">
        <v>39969</v>
      </c>
      <c r="Y588" s="10" t="n">
        <v>39974</v>
      </c>
    </row>
    <row r="589" customFormat="false" ht="14.25" hidden="false" customHeight="false" outlineLevel="0" collapsed="false">
      <c r="A589" s="1" t="n">
        <v>2009</v>
      </c>
      <c r="B589" s="1" t="n">
        <v>1</v>
      </c>
      <c r="C589" s="2" t="s">
        <v>50</v>
      </c>
      <c r="D589" s="7" t="s">
        <v>83</v>
      </c>
      <c r="E589" s="1" t="n">
        <v>2</v>
      </c>
      <c r="F589" s="1" t="n">
        <f aca="false">Y589-X589</f>
        <v>5</v>
      </c>
      <c r="G589" s="1" t="n">
        <v>5</v>
      </c>
      <c r="H589" s="3" t="s">
        <v>32</v>
      </c>
      <c r="I589" s="3" t="s">
        <v>90</v>
      </c>
      <c r="J589" s="3" t="s">
        <v>91</v>
      </c>
      <c r="K589" s="2" t="str">
        <f aca="false">CONCATENATE(I589," ",J589)</f>
        <v>Tapinocyba insecta</v>
      </c>
      <c r="L589" s="3" t="n">
        <f aca="false">SUM(P589:U589)</f>
        <v>2</v>
      </c>
      <c r="M589" s="11" t="n">
        <f aca="false">(L589/(F589*G589)*25)*4</f>
        <v>8</v>
      </c>
      <c r="N589" s="1" t="s">
        <v>30</v>
      </c>
      <c r="O589" s="1" t="s">
        <v>31</v>
      </c>
      <c r="P589" s="1" t="n">
        <v>2</v>
      </c>
      <c r="Q589" s="1" t="n">
        <v>0</v>
      </c>
      <c r="R589" s="1" t="n">
        <v>0</v>
      </c>
      <c r="S589" s="1" t="n">
        <v>0</v>
      </c>
      <c r="T589" s="1" t="n">
        <v>0</v>
      </c>
      <c r="U589" s="1" t="n">
        <v>0</v>
      </c>
      <c r="V589" s="3" t="n">
        <f aca="false">SUM(P589:Q589)</f>
        <v>2</v>
      </c>
      <c r="W589" s="3" t="n">
        <f aca="false">SUM(R589:T589)</f>
        <v>0</v>
      </c>
      <c r="X589" s="10" t="n">
        <v>39969</v>
      </c>
      <c r="Y589" s="10" t="n">
        <v>39974</v>
      </c>
    </row>
    <row r="590" customFormat="false" ht="14.25" hidden="false" customHeight="false" outlineLevel="0" collapsed="false">
      <c r="A590" s="1" t="n">
        <v>2009</v>
      </c>
      <c r="B590" s="1" t="n">
        <v>1</v>
      </c>
      <c r="C590" s="2" t="s">
        <v>50</v>
      </c>
      <c r="D590" s="7" t="s">
        <v>83</v>
      </c>
      <c r="E590" s="1" t="n">
        <v>2</v>
      </c>
      <c r="F590" s="1" t="n">
        <f aca="false">Y590-X590</f>
        <v>5</v>
      </c>
      <c r="G590" s="1" t="n">
        <v>5</v>
      </c>
      <c r="H590" s="3" t="s">
        <v>32</v>
      </c>
      <c r="I590" s="3" t="s">
        <v>62</v>
      </c>
      <c r="J590" s="3" t="s">
        <v>63</v>
      </c>
      <c r="K590" s="2" t="str">
        <f aca="false">CONCATENATE(I590," ",J590)</f>
        <v>Microneta viaria</v>
      </c>
      <c r="L590" s="3" t="n">
        <f aca="false">SUM(P590:U590)</f>
        <v>1</v>
      </c>
      <c r="M590" s="11" t="n">
        <f aca="false">(L590/(F590*G590)*25)*4</f>
        <v>4</v>
      </c>
      <c r="N590" s="1" t="s">
        <v>30</v>
      </c>
      <c r="O590" s="1" t="s">
        <v>31</v>
      </c>
      <c r="P590" s="1" t="n">
        <v>1</v>
      </c>
      <c r="Q590" s="1" t="n">
        <v>0</v>
      </c>
      <c r="R590" s="1" t="n">
        <v>0</v>
      </c>
      <c r="S590" s="1" t="n">
        <v>0</v>
      </c>
      <c r="T590" s="1" t="n">
        <v>0</v>
      </c>
      <c r="U590" s="1" t="n">
        <v>0</v>
      </c>
      <c r="V590" s="3" t="n">
        <f aca="false">SUM(P590:Q590)</f>
        <v>1</v>
      </c>
      <c r="W590" s="3" t="n">
        <f aca="false">SUM(R590:T590)</f>
        <v>0</v>
      </c>
      <c r="X590" s="10" t="n">
        <v>39969</v>
      </c>
      <c r="Y590" s="10" t="n">
        <v>39974</v>
      </c>
    </row>
    <row r="591" customFormat="false" ht="14.25" hidden="false" customHeight="false" outlineLevel="0" collapsed="false">
      <c r="A591" s="1" t="n">
        <v>2009</v>
      </c>
      <c r="B591" s="1" t="n">
        <v>1</v>
      </c>
      <c r="C591" s="2" t="s">
        <v>50</v>
      </c>
      <c r="D591" s="7" t="s">
        <v>83</v>
      </c>
      <c r="E591" s="1" t="n">
        <v>2</v>
      </c>
      <c r="F591" s="1" t="n">
        <f aca="false">Y591-X591</f>
        <v>5</v>
      </c>
      <c r="G591" s="1" t="n">
        <v>5</v>
      </c>
      <c r="H591" s="3" t="s">
        <v>32</v>
      </c>
      <c r="I591" s="3" t="s">
        <v>62</v>
      </c>
      <c r="J591" s="3" t="s">
        <v>63</v>
      </c>
      <c r="K591" s="2" t="str">
        <f aca="false">CONCATENATE(I591," ",J591)</f>
        <v>Microneta viaria</v>
      </c>
      <c r="L591" s="3" t="n">
        <f aca="false">SUM(P591:U591)</f>
        <v>1</v>
      </c>
      <c r="M591" s="11" t="n">
        <f aca="false">(L591/(F591*G591)*25)*4</f>
        <v>4</v>
      </c>
      <c r="N591" s="1" t="s">
        <v>30</v>
      </c>
      <c r="O591" s="1" t="s">
        <v>35</v>
      </c>
      <c r="P591" s="1" t="n">
        <v>0</v>
      </c>
      <c r="Q591" s="1" t="n">
        <v>1</v>
      </c>
      <c r="R591" s="1" t="n">
        <v>0</v>
      </c>
      <c r="S591" s="1" t="n">
        <v>0</v>
      </c>
      <c r="T591" s="1" t="n">
        <v>0</v>
      </c>
      <c r="U591" s="1" t="n">
        <v>0</v>
      </c>
      <c r="V591" s="3" t="n">
        <f aca="false">SUM(P591:Q591)</f>
        <v>1</v>
      </c>
      <c r="W591" s="3" t="n">
        <f aca="false">SUM(R591:T591)</f>
        <v>0</v>
      </c>
      <c r="X591" s="10" t="n">
        <v>39969</v>
      </c>
      <c r="Y591" s="10" t="n">
        <v>39974</v>
      </c>
    </row>
    <row r="592" customFormat="false" ht="14.25" hidden="false" customHeight="false" outlineLevel="0" collapsed="false">
      <c r="A592" s="1" t="n">
        <v>2009</v>
      </c>
      <c r="B592" s="1" t="n">
        <v>1</v>
      </c>
      <c r="C592" s="2" t="s">
        <v>50</v>
      </c>
      <c r="D592" s="7" t="s">
        <v>83</v>
      </c>
      <c r="E592" s="1" t="n">
        <v>3</v>
      </c>
      <c r="F592" s="1" t="n">
        <f aca="false">Y592-X592</f>
        <v>5</v>
      </c>
      <c r="G592" s="1" t="n">
        <v>5</v>
      </c>
      <c r="H592" s="3" t="s">
        <v>48</v>
      </c>
      <c r="I592" s="3" t="s">
        <v>49</v>
      </c>
      <c r="J592" s="3" t="s">
        <v>104</v>
      </c>
      <c r="K592" s="2" t="str">
        <f aca="false">CONCATENATE(I592," ",J592)</f>
        <v>Alopecosa taeniata</v>
      </c>
      <c r="L592" s="3" t="n">
        <f aca="false">SUM(P592:U592)</f>
        <v>4</v>
      </c>
      <c r="M592" s="11" t="n">
        <f aca="false">(L592/(F592*G592)*25)*4</f>
        <v>16</v>
      </c>
      <c r="N592" s="1" t="s">
        <v>30</v>
      </c>
      <c r="O592" s="1" t="s">
        <v>31</v>
      </c>
      <c r="P592" s="1" t="n">
        <v>4</v>
      </c>
      <c r="Q592" s="1" t="n">
        <v>0</v>
      </c>
      <c r="R592" s="1" t="n">
        <v>0</v>
      </c>
      <c r="S592" s="1" t="n">
        <v>0</v>
      </c>
      <c r="T592" s="1" t="n">
        <v>0</v>
      </c>
      <c r="U592" s="1" t="n">
        <v>0</v>
      </c>
      <c r="V592" s="3" t="n">
        <f aca="false">SUM(P592:Q592)</f>
        <v>4</v>
      </c>
      <c r="W592" s="3" t="n">
        <f aca="false">SUM(R592:T592)</f>
        <v>0</v>
      </c>
      <c r="X592" s="10" t="n">
        <v>39969</v>
      </c>
      <c r="Y592" s="10" t="n">
        <v>39974</v>
      </c>
    </row>
    <row r="593" customFormat="false" ht="14.25" hidden="false" customHeight="false" outlineLevel="0" collapsed="false">
      <c r="A593" s="1" t="n">
        <v>2009</v>
      </c>
      <c r="B593" s="1" t="n">
        <v>1</v>
      </c>
      <c r="C593" s="2" t="s">
        <v>50</v>
      </c>
      <c r="D593" s="7" t="s">
        <v>83</v>
      </c>
      <c r="E593" s="1" t="n">
        <v>3</v>
      </c>
      <c r="F593" s="1" t="n">
        <f aca="false">Y593-X593</f>
        <v>5</v>
      </c>
      <c r="G593" s="1" t="n">
        <v>5</v>
      </c>
      <c r="H593" s="3" t="s">
        <v>48</v>
      </c>
      <c r="I593" s="3" t="s">
        <v>49</v>
      </c>
      <c r="J593" s="3" t="s">
        <v>104</v>
      </c>
      <c r="K593" s="2" t="str">
        <f aca="false">CONCATENATE(I593," ",J593)</f>
        <v>Alopecosa taeniata</v>
      </c>
      <c r="L593" s="3" t="n">
        <f aca="false">SUM(P593:U593)</f>
        <v>2</v>
      </c>
      <c r="M593" s="11" t="n">
        <f aca="false">(L593/(F593*G593)*25)*4</f>
        <v>8</v>
      </c>
      <c r="N593" s="1" t="s">
        <v>30</v>
      </c>
      <c r="O593" s="1" t="s">
        <v>35</v>
      </c>
      <c r="P593" s="1" t="n">
        <v>0</v>
      </c>
      <c r="Q593" s="1" t="n">
        <v>2</v>
      </c>
      <c r="R593" s="1" t="n">
        <v>0</v>
      </c>
      <c r="S593" s="1" t="n">
        <v>0</v>
      </c>
      <c r="T593" s="1" t="n">
        <v>0</v>
      </c>
      <c r="U593" s="1" t="n">
        <v>0</v>
      </c>
      <c r="V593" s="3" t="n">
        <f aca="false">SUM(P593:Q593)</f>
        <v>2</v>
      </c>
      <c r="W593" s="3" t="n">
        <f aca="false">SUM(R593:T593)</f>
        <v>0</v>
      </c>
      <c r="X593" s="10" t="n">
        <v>39969</v>
      </c>
      <c r="Y593" s="10" t="n">
        <v>39974</v>
      </c>
    </row>
    <row r="594" customFormat="false" ht="14.25" hidden="false" customHeight="false" outlineLevel="0" collapsed="false">
      <c r="A594" s="1" t="n">
        <v>2009</v>
      </c>
      <c r="B594" s="1" t="n">
        <v>1</v>
      </c>
      <c r="C594" s="2" t="s">
        <v>50</v>
      </c>
      <c r="D594" s="7" t="s">
        <v>83</v>
      </c>
      <c r="E594" s="1" t="n">
        <v>3</v>
      </c>
      <c r="F594" s="1" t="n">
        <f aca="false">Y594-X594</f>
        <v>5</v>
      </c>
      <c r="G594" s="1" t="n">
        <v>5</v>
      </c>
      <c r="H594" s="3" t="s">
        <v>72</v>
      </c>
      <c r="I594" s="3" t="s">
        <v>73</v>
      </c>
      <c r="J594" s="3" t="s">
        <v>74</v>
      </c>
      <c r="K594" s="2" t="str">
        <f aca="false">CONCATENATE(I594," ",J594)</f>
        <v>Zelotes subterraneus</v>
      </c>
      <c r="L594" s="3" t="n">
        <f aca="false">SUM(P594:U594)</f>
        <v>1</v>
      </c>
      <c r="M594" s="11" t="n">
        <f aca="false">(L594/(F594*G594)*25)*4</f>
        <v>4</v>
      </c>
      <c r="N594" s="1" t="s">
        <v>30</v>
      </c>
      <c r="O594" s="1" t="s">
        <v>31</v>
      </c>
      <c r="P594" s="1" t="n">
        <v>1</v>
      </c>
      <c r="Q594" s="1" t="n">
        <v>0</v>
      </c>
      <c r="R594" s="1" t="n">
        <v>0</v>
      </c>
      <c r="S594" s="1" t="n">
        <v>0</v>
      </c>
      <c r="T594" s="1" t="n">
        <v>0</v>
      </c>
      <c r="U594" s="1" t="n">
        <v>0</v>
      </c>
      <c r="V594" s="3" t="n">
        <f aca="false">SUM(P594:Q594)</f>
        <v>1</v>
      </c>
      <c r="W594" s="3" t="n">
        <f aca="false">SUM(R594:T594)</f>
        <v>0</v>
      </c>
      <c r="X594" s="10" t="n">
        <v>39969</v>
      </c>
      <c r="Y594" s="10" t="n">
        <v>39974</v>
      </c>
    </row>
    <row r="595" customFormat="false" ht="14.25" hidden="false" customHeight="false" outlineLevel="0" collapsed="false">
      <c r="A595" s="1" t="n">
        <v>2009</v>
      </c>
      <c r="B595" s="1" t="n">
        <v>1</v>
      </c>
      <c r="C595" s="2" t="s">
        <v>50</v>
      </c>
      <c r="D595" s="7" t="s">
        <v>83</v>
      </c>
      <c r="E595" s="1" t="n">
        <v>3</v>
      </c>
      <c r="F595" s="1" t="n">
        <f aca="false">Y595-X595</f>
        <v>5</v>
      </c>
      <c r="G595" s="1" t="n">
        <v>5</v>
      </c>
      <c r="H595" s="3" t="s">
        <v>32</v>
      </c>
      <c r="I595" s="3" t="s">
        <v>57</v>
      </c>
      <c r="J595" s="3" t="s">
        <v>38</v>
      </c>
      <c r="K595" s="2" t="str">
        <f aca="false">CONCATENATE(I595," ",J595)</f>
        <v>Gen sp</v>
      </c>
      <c r="L595" s="3" t="n">
        <f aca="false">SUM(P595:U595)</f>
        <v>2</v>
      </c>
      <c r="M595" s="11" t="n">
        <f aca="false">(L595/(F595*G595)*25)*4</f>
        <v>8</v>
      </c>
      <c r="N595" s="1" t="s">
        <v>19</v>
      </c>
      <c r="O595" s="1" t="s">
        <v>54</v>
      </c>
      <c r="P595" s="1" t="n">
        <v>0</v>
      </c>
      <c r="Q595" s="1" t="n">
        <v>0</v>
      </c>
      <c r="R595" s="1" t="n">
        <v>0</v>
      </c>
      <c r="S595" s="1" t="n">
        <v>0</v>
      </c>
      <c r="T595" s="1" t="n">
        <v>2</v>
      </c>
      <c r="U595" s="1" t="n">
        <v>0</v>
      </c>
      <c r="V595" s="3" t="n">
        <f aca="false">SUM(P595:Q595)</f>
        <v>0</v>
      </c>
      <c r="W595" s="3" t="n">
        <f aca="false">SUM(R595:T595)</f>
        <v>2</v>
      </c>
      <c r="X595" s="10" t="n">
        <v>39969</v>
      </c>
      <c r="Y595" s="10" t="n">
        <v>39974</v>
      </c>
    </row>
    <row r="596" customFormat="false" ht="14.25" hidden="false" customHeight="false" outlineLevel="0" collapsed="false">
      <c r="A596" s="1" t="n">
        <v>2009</v>
      </c>
      <c r="B596" s="1" t="n">
        <v>1</v>
      </c>
      <c r="C596" s="2" t="s">
        <v>50</v>
      </c>
      <c r="D596" s="7" t="s">
        <v>83</v>
      </c>
      <c r="E596" s="1" t="n">
        <v>3</v>
      </c>
      <c r="F596" s="1" t="n">
        <f aca="false">Y596-X596</f>
        <v>5</v>
      </c>
      <c r="G596" s="1" t="n">
        <v>5</v>
      </c>
      <c r="H596" s="13" t="s">
        <v>32</v>
      </c>
      <c r="I596" s="13" t="s">
        <v>96</v>
      </c>
      <c r="J596" s="14" t="s">
        <v>97</v>
      </c>
      <c r="K596" s="2" t="str">
        <f aca="false">CONCATENATE(I596," ",J596)</f>
        <v>Diplocephalus picinus</v>
      </c>
      <c r="L596" s="3" t="n">
        <f aca="false">SUM(P596:U596)</f>
        <v>1</v>
      </c>
      <c r="M596" s="11" t="n">
        <f aca="false">(L596/(F596*G596)*25)*4</f>
        <v>4</v>
      </c>
      <c r="N596" s="1" t="s">
        <v>30</v>
      </c>
      <c r="O596" s="1" t="s">
        <v>31</v>
      </c>
      <c r="P596" s="1" t="n">
        <v>1</v>
      </c>
      <c r="Q596" s="1" t="n">
        <v>0</v>
      </c>
      <c r="R596" s="1" t="n">
        <v>0</v>
      </c>
      <c r="S596" s="1" t="n">
        <v>0</v>
      </c>
      <c r="T596" s="1" t="n">
        <v>0</v>
      </c>
      <c r="U596" s="1" t="n">
        <v>0</v>
      </c>
      <c r="V596" s="3" t="n">
        <f aca="false">SUM(P596:Q596)</f>
        <v>1</v>
      </c>
      <c r="W596" s="3" t="n">
        <f aca="false">SUM(R596:T596)</f>
        <v>0</v>
      </c>
      <c r="X596" s="10" t="n">
        <v>39969</v>
      </c>
      <c r="Y596" s="10" t="n">
        <v>39974</v>
      </c>
    </row>
    <row r="597" customFormat="false" ht="14.25" hidden="false" customHeight="false" outlineLevel="0" collapsed="false">
      <c r="A597" s="1" t="n">
        <v>2009</v>
      </c>
      <c r="B597" s="1" t="n">
        <v>1</v>
      </c>
      <c r="C597" s="2" t="s">
        <v>50</v>
      </c>
      <c r="D597" s="7" t="s">
        <v>83</v>
      </c>
      <c r="E597" s="1" t="n">
        <v>3</v>
      </c>
      <c r="F597" s="1" t="n">
        <f aca="false">Y597-X597</f>
        <v>5</v>
      </c>
      <c r="G597" s="1" t="n">
        <v>5</v>
      </c>
      <c r="H597" s="3" t="s">
        <v>32</v>
      </c>
      <c r="I597" s="3" t="s">
        <v>33</v>
      </c>
      <c r="J597" s="3" t="s">
        <v>34</v>
      </c>
      <c r="K597" s="2" t="str">
        <f aca="false">CONCATENATE(I597," ",J597)</f>
        <v>Tenuiphantes nigriventris</v>
      </c>
      <c r="L597" s="3" t="n">
        <f aca="false">SUM(P597:U597)</f>
        <v>1</v>
      </c>
      <c r="M597" s="11" t="n">
        <f aca="false">(L597/(F597*G597)*25)*4</f>
        <v>4</v>
      </c>
      <c r="N597" s="1" t="s">
        <v>30</v>
      </c>
      <c r="O597" s="1" t="s">
        <v>35</v>
      </c>
      <c r="P597" s="1" t="n">
        <v>0</v>
      </c>
      <c r="Q597" s="1" t="n">
        <v>1</v>
      </c>
      <c r="R597" s="1" t="n">
        <v>0</v>
      </c>
      <c r="S597" s="1" t="n">
        <v>0</v>
      </c>
      <c r="T597" s="1" t="n">
        <v>0</v>
      </c>
      <c r="U597" s="1" t="n">
        <v>0</v>
      </c>
      <c r="V597" s="3" t="n">
        <f aca="false">SUM(P597:Q597)</f>
        <v>1</v>
      </c>
      <c r="W597" s="3" t="n">
        <f aca="false">SUM(R597:T597)</f>
        <v>0</v>
      </c>
      <c r="X597" s="10" t="n">
        <v>39969</v>
      </c>
      <c r="Y597" s="10" t="n">
        <v>39974</v>
      </c>
    </row>
    <row r="598" customFormat="false" ht="14.25" hidden="false" customHeight="false" outlineLevel="0" collapsed="false">
      <c r="A598" s="1" t="n">
        <v>2009</v>
      </c>
      <c r="B598" s="1" t="n">
        <v>1</v>
      </c>
      <c r="C598" s="2" t="s">
        <v>50</v>
      </c>
      <c r="D598" s="7" t="s">
        <v>83</v>
      </c>
      <c r="E598" s="1" t="n">
        <v>3</v>
      </c>
      <c r="F598" s="1" t="n">
        <f aca="false">Y598-X598</f>
        <v>5</v>
      </c>
      <c r="G598" s="1" t="n">
        <v>5</v>
      </c>
      <c r="H598" s="3" t="s">
        <v>48</v>
      </c>
      <c r="I598" s="3" t="s">
        <v>49</v>
      </c>
      <c r="J598" s="3" t="s">
        <v>104</v>
      </c>
      <c r="K598" s="2" t="str">
        <f aca="false">CONCATENATE(I598," ",J598)</f>
        <v>Alopecosa taeniata</v>
      </c>
      <c r="L598" s="3" t="n">
        <f aca="false">SUM(P598:U598)</f>
        <v>4</v>
      </c>
      <c r="M598" s="11" t="n">
        <f aca="false">(L598/(F598*G598)*25)*4</f>
        <v>16</v>
      </c>
      <c r="N598" s="1" t="s">
        <v>30</v>
      </c>
      <c r="O598" s="1" t="s">
        <v>31</v>
      </c>
      <c r="P598" s="1" t="n">
        <v>4</v>
      </c>
      <c r="Q598" s="1" t="n">
        <v>0</v>
      </c>
      <c r="R598" s="1" t="n">
        <v>0</v>
      </c>
      <c r="S598" s="1" t="n">
        <v>0</v>
      </c>
      <c r="T598" s="1" t="n">
        <v>0</v>
      </c>
      <c r="U598" s="1" t="n">
        <v>0</v>
      </c>
      <c r="V598" s="3" t="n">
        <f aca="false">SUM(P598:Q598)</f>
        <v>4</v>
      </c>
      <c r="W598" s="3" t="n">
        <f aca="false">SUM(R598:T598)</f>
        <v>0</v>
      </c>
      <c r="X598" s="10" t="n">
        <v>39969</v>
      </c>
      <c r="Y598" s="10" t="n">
        <v>39974</v>
      </c>
    </row>
    <row r="599" customFormat="false" ht="14.25" hidden="false" customHeight="false" outlineLevel="0" collapsed="false">
      <c r="A599" s="1" t="n">
        <v>2009</v>
      </c>
      <c r="B599" s="1" t="n">
        <v>1</v>
      </c>
      <c r="C599" s="2" t="s">
        <v>50</v>
      </c>
      <c r="D599" s="7" t="s">
        <v>83</v>
      </c>
      <c r="E599" s="1" t="n">
        <v>3</v>
      </c>
      <c r="F599" s="1" t="n">
        <f aca="false">Y599-X599</f>
        <v>5</v>
      </c>
      <c r="G599" s="1" t="n">
        <v>5</v>
      </c>
      <c r="H599" s="3" t="s">
        <v>48</v>
      </c>
      <c r="I599" s="3" t="s">
        <v>49</v>
      </c>
      <c r="J599" s="3" t="s">
        <v>104</v>
      </c>
      <c r="K599" s="2" t="str">
        <f aca="false">CONCATENATE(I599," ",J599)</f>
        <v>Alopecosa taeniata</v>
      </c>
      <c r="L599" s="3" t="n">
        <f aca="false">SUM(P599:U599)</f>
        <v>1</v>
      </c>
      <c r="M599" s="11" t="n">
        <f aca="false">(L599/(F599*G599)*25)*4</f>
        <v>4</v>
      </c>
      <c r="N599" s="1" t="s">
        <v>30</v>
      </c>
      <c r="O599" s="1" t="s">
        <v>35</v>
      </c>
      <c r="P599" s="1" t="n">
        <v>0</v>
      </c>
      <c r="Q599" s="1" t="n">
        <v>1</v>
      </c>
      <c r="R599" s="1" t="n">
        <v>0</v>
      </c>
      <c r="S599" s="1" t="n">
        <v>0</v>
      </c>
      <c r="T599" s="1" t="n">
        <v>0</v>
      </c>
      <c r="U599" s="1" t="n">
        <v>0</v>
      </c>
      <c r="V599" s="3" t="n">
        <f aca="false">SUM(P599:Q599)</f>
        <v>1</v>
      </c>
      <c r="W599" s="3" t="n">
        <f aca="false">SUM(R599:T599)</f>
        <v>0</v>
      </c>
      <c r="X599" s="10" t="n">
        <v>39969</v>
      </c>
      <c r="Y599" s="10" t="n">
        <v>39974</v>
      </c>
    </row>
    <row r="600" customFormat="false" ht="14.25" hidden="false" customHeight="false" outlineLevel="0" collapsed="false">
      <c r="A600" s="1" t="n">
        <v>2009</v>
      </c>
      <c r="B600" s="1" t="n">
        <v>1</v>
      </c>
      <c r="C600" s="2" t="s">
        <v>50</v>
      </c>
      <c r="D600" s="7" t="s">
        <v>83</v>
      </c>
      <c r="E600" s="1" t="n">
        <v>3</v>
      </c>
      <c r="F600" s="1" t="n">
        <f aca="false">Y600-X600</f>
        <v>5</v>
      </c>
      <c r="G600" s="1" t="n">
        <v>5</v>
      </c>
      <c r="H600" s="3" t="s">
        <v>48</v>
      </c>
      <c r="I600" s="3" t="s">
        <v>49</v>
      </c>
      <c r="J600" s="3" t="s">
        <v>104</v>
      </c>
      <c r="K600" s="2" t="str">
        <f aca="false">CONCATENATE(I600," ",J600)</f>
        <v>Alopecosa taeniata</v>
      </c>
      <c r="L600" s="3" t="n">
        <f aca="false">SUM(P600:U600)</f>
        <v>1</v>
      </c>
      <c r="M600" s="11" t="n">
        <f aca="false">(L600/(F600*G600)*25)*4</f>
        <v>4</v>
      </c>
      <c r="N600" s="1" t="s">
        <v>30</v>
      </c>
      <c r="O600" s="1" t="s">
        <v>31</v>
      </c>
      <c r="P600" s="1" t="n">
        <v>1</v>
      </c>
      <c r="Q600" s="1" t="n">
        <v>0</v>
      </c>
      <c r="R600" s="1" t="n">
        <v>0</v>
      </c>
      <c r="S600" s="1" t="n">
        <v>0</v>
      </c>
      <c r="T600" s="1" t="n">
        <v>0</v>
      </c>
      <c r="U600" s="1" t="n">
        <v>0</v>
      </c>
      <c r="V600" s="3" t="n">
        <f aca="false">SUM(P600:Q600)</f>
        <v>1</v>
      </c>
      <c r="W600" s="3" t="n">
        <f aca="false">SUM(R600:T600)</f>
        <v>0</v>
      </c>
      <c r="X600" s="10" t="n">
        <v>39969</v>
      </c>
      <c r="Y600" s="10" t="n">
        <v>39974</v>
      </c>
    </row>
    <row r="601" customFormat="false" ht="14.25" hidden="false" customHeight="false" outlineLevel="0" collapsed="false">
      <c r="A601" s="1" t="n">
        <v>2009</v>
      </c>
      <c r="B601" s="1" t="n">
        <v>1</v>
      </c>
      <c r="C601" s="2" t="s">
        <v>50</v>
      </c>
      <c r="D601" s="7" t="s">
        <v>83</v>
      </c>
      <c r="E601" s="1" t="n">
        <v>3</v>
      </c>
      <c r="F601" s="1" t="n">
        <f aca="false">Y601-X601</f>
        <v>5</v>
      </c>
      <c r="G601" s="1" t="n">
        <v>5</v>
      </c>
      <c r="H601" s="3" t="s">
        <v>48</v>
      </c>
      <c r="I601" s="3" t="s">
        <v>67</v>
      </c>
      <c r="J601" s="3" t="s">
        <v>127</v>
      </c>
      <c r="K601" s="2" t="str">
        <f aca="false">CONCATENATE(I601," ",J601)</f>
        <v>Pardosa lugubris</v>
      </c>
      <c r="L601" s="3" t="n">
        <f aca="false">SUM(P601:U601)</f>
        <v>1</v>
      </c>
      <c r="M601" s="11" t="n">
        <f aca="false">(L601/(F601*G601)*25)*4</f>
        <v>4</v>
      </c>
      <c r="N601" s="1" t="s">
        <v>30</v>
      </c>
      <c r="O601" s="1" t="s">
        <v>31</v>
      </c>
      <c r="P601" s="1" t="n">
        <v>1</v>
      </c>
      <c r="Q601" s="1" t="n">
        <v>0</v>
      </c>
      <c r="R601" s="1" t="n">
        <v>0</v>
      </c>
      <c r="S601" s="1" t="n">
        <v>0</v>
      </c>
      <c r="T601" s="1" t="n">
        <v>0</v>
      </c>
      <c r="U601" s="1" t="n">
        <v>0</v>
      </c>
      <c r="V601" s="3" t="n">
        <f aca="false">SUM(P601:Q601)</f>
        <v>1</v>
      </c>
      <c r="W601" s="3" t="n">
        <f aca="false">SUM(R601:T601)</f>
        <v>0</v>
      </c>
      <c r="X601" s="10" t="n">
        <v>39969</v>
      </c>
      <c r="Y601" s="10" t="n">
        <v>39974</v>
      </c>
    </row>
    <row r="602" customFormat="false" ht="14.25" hidden="false" customHeight="false" outlineLevel="0" collapsed="false">
      <c r="A602" s="1" t="n">
        <v>2009</v>
      </c>
      <c r="B602" s="1" t="n">
        <v>1</v>
      </c>
      <c r="C602" s="2" t="s">
        <v>50</v>
      </c>
      <c r="D602" s="7" t="s">
        <v>83</v>
      </c>
      <c r="E602" s="1" t="n">
        <v>3</v>
      </c>
      <c r="F602" s="1" t="n">
        <f aca="false">Y602-X602</f>
        <v>5</v>
      </c>
      <c r="G602" s="1" t="n">
        <v>5</v>
      </c>
      <c r="H602" s="3" t="s">
        <v>48</v>
      </c>
      <c r="I602" s="3" t="s">
        <v>67</v>
      </c>
      <c r="J602" s="3" t="s">
        <v>127</v>
      </c>
      <c r="K602" s="2" t="str">
        <f aca="false">CONCATENATE(I602," ",J602)</f>
        <v>Pardosa lugubris</v>
      </c>
      <c r="L602" s="3" t="n">
        <f aca="false">SUM(P602:U602)</f>
        <v>1</v>
      </c>
      <c r="M602" s="11" t="n">
        <f aca="false">(L602/(F602*G602)*25)*4</f>
        <v>4</v>
      </c>
      <c r="N602" s="1" t="s">
        <v>30</v>
      </c>
      <c r="O602" s="1" t="s">
        <v>35</v>
      </c>
      <c r="P602" s="1" t="n">
        <v>0</v>
      </c>
      <c r="Q602" s="1" t="n">
        <v>1</v>
      </c>
      <c r="R602" s="1" t="n">
        <v>0</v>
      </c>
      <c r="S602" s="1" t="n">
        <v>0</v>
      </c>
      <c r="T602" s="1" t="n">
        <v>0</v>
      </c>
      <c r="U602" s="1" t="n">
        <v>0</v>
      </c>
      <c r="V602" s="3" t="n">
        <f aca="false">SUM(P602:Q602)</f>
        <v>1</v>
      </c>
      <c r="W602" s="3" t="n">
        <f aca="false">SUM(R602:T602)</f>
        <v>0</v>
      </c>
      <c r="X602" s="10" t="n">
        <v>39969</v>
      </c>
      <c r="Y602" s="10" t="n">
        <v>39974</v>
      </c>
    </row>
    <row r="603" customFormat="false" ht="14.25" hidden="false" customHeight="false" outlineLevel="0" collapsed="false">
      <c r="A603" s="1" t="n">
        <v>2009</v>
      </c>
      <c r="B603" s="1" t="n">
        <v>1</v>
      </c>
      <c r="C603" s="2" t="s">
        <v>50</v>
      </c>
      <c r="D603" s="7" t="s">
        <v>83</v>
      </c>
      <c r="E603" s="1" t="n">
        <v>3</v>
      </c>
      <c r="F603" s="1" t="n">
        <f aca="false">Y603-X603</f>
        <v>5</v>
      </c>
      <c r="G603" s="1" t="n">
        <v>5</v>
      </c>
      <c r="H603" s="3" t="s">
        <v>48</v>
      </c>
      <c r="I603" s="3" t="s">
        <v>61</v>
      </c>
      <c r="J603" s="3" t="s">
        <v>38</v>
      </c>
      <c r="K603" s="2" t="str">
        <f aca="false">CONCATENATE(I603," ",J603)</f>
        <v>Trochosa sp</v>
      </c>
      <c r="L603" s="3" t="n">
        <f aca="false">SUM(P603:U603)</f>
        <v>1</v>
      </c>
      <c r="M603" s="11" t="n">
        <f aca="false">(L603/(F603*G603)*25)*4</f>
        <v>4</v>
      </c>
      <c r="N603" s="1" t="s">
        <v>19</v>
      </c>
      <c r="O603" s="1" t="s">
        <v>54</v>
      </c>
      <c r="P603" s="1" t="n">
        <v>0</v>
      </c>
      <c r="Q603" s="1" t="n">
        <v>0</v>
      </c>
      <c r="R603" s="1" t="n">
        <v>0</v>
      </c>
      <c r="S603" s="1" t="n">
        <v>0</v>
      </c>
      <c r="T603" s="1" t="n">
        <v>1</v>
      </c>
      <c r="U603" s="1" t="n">
        <v>0</v>
      </c>
      <c r="V603" s="3" t="n">
        <f aca="false">SUM(P603:Q603)</f>
        <v>0</v>
      </c>
      <c r="W603" s="3" t="n">
        <f aca="false">SUM(R603:T603)</f>
        <v>1</v>
      </c>
      <c r="X603" s="10" t="n">
        <v>39969</v>
      </c>
      <c r="Y603" s="10" t="n">
        <v>39974</v>
      </c>
    </row>
    <row r="604" customFormat="false" ht="14.25" hidden="false" customHeight="false" outlineLevel="0" collapsed="false">
      <c r="A604" s="1" t="n">
        <v>2009</v>
      </c>
      <c r="B604" s="1" t="n">
        <v>1</v>
      </c>
      <c r="C604" s="2" t="s">
        <v>50</v>
      </c>
      <c r="D604" s="7" t="s">
        <v>83</v>
      </c>
      <c r="E604" s="1" t="n">
        <v>3</v>
      </c>
      <c r="F604" s="1" t="n">
        <f aca="false">Y604-X604</f>
        <v>5</v>
      </c>
      <c r="G604" s="1" t="n">
        <v>5</v>
      </c>
      <c r="H604" s="3" t="s">
        <v>72</v>
      </c>
      <c r="I604" s="3" t="s">
        <v>86</v>
      </c>
      <c r="J604" s="8" t="s">
        <v>87</v>
      </c>
      <c r="K604" s="2" t="str">
        <f aca="false">CONCATENATE(I604," ",J604)</f>
        <v>Haplodrassus soerenseni</v>
      </c>
      <c r="L604" s="3" t="n">
        <f aca="false">SUM(P604:U604)</f>
        <v>1</v>
      </c>
      <c r="M604" s="11" t="n">
        <f aca="false">(L604/(F604*G604)*25)*4</f>
        <v>4</v>
      </c>
      <c r="N604" s="1" t="s">
        <v>30</v>
      </c>
      <c r="O604" s="1" t="s">
        <v>31</v>
      </c>
      <c r="P604" s="1" t="n">
        <v>1</v>
      </c>
      <c r="Q604" s="1" t="n">
        <v>0</v>
      </c>
      <c r="R604" s="1" t="n">
        <v>0</v>
      </c>
      <c r="S604" s="1" t="n">
        <v>0</v>
      </c>
      <c r="T604" s="1" t="n">
        <v>0</v>
      </c>
      <c r="U604" s="1" t="n">
        <v>0</v>
      </c>
      <c r="V604" s="3" t="n">
        <f aca="false">SUM(P604:Q604)</f>
        <v>1</v>
      </c>
      <c r="W604" s="3" t="n">
        <f aca="false">SUM(R604:T604)</f>
        <v>0</v>
      </c>
      <c r="X604" s="10" t="n">
        <v>39969</v>
      </c>
      <c r="Y604" s="10" t="n">
        <v>39974</v>
      </c>
    </row>
    <row r="605" customFormat="false" ht="14.25" hidden="false" customHeight="false" outlineLevel="0" collapsed="false">
      <c r="A605" s="1" t="n">
        <v>2009</v>
      </c>
      <c r="B605" s="1" t="n">
        <v>1</v>
      </c>
      <c r="C605" s="2" t="s">
        <v>50</v>
      </c>
      <c r="D605" s="7" t="s">
        <v>83</v>
      </c>
      <c r="E605" s="1" t="n">
        <v>3</v>
      </c>
      <c r="F605" s="1" t="n">
        <f aca="false">Y605-X605</f>
        <v>5</v>
      </c>
      <c r="G605" s="1" t="n">
        <v>5</v>
      </c>
      <c r="H605" s="3" t="s">
        <v>72</v>
      </c>
      <c r="I605" s="3" t="s">
        <v>73</v>
      </c>
      <c r="J605" s="3" t="s">
        <v>74</v>
      </c>
      <c r="K605" s="2" t="str">
        <f aca="false">CONCATENATE(I605," ",J605)</f>
        <v>Zelotes subterraneus</v>
      </c>
      <c r="L605" s="3" t="n">
        <f aca="false">SUM(P605:U605)</f>
        <v>1</v>
      </c>
      <c r="M605" s="11" t="n">
        <f aca="false">(L605/(F605*G605)*25)*4</f>
        <v>4</v>
      </c>
      <c r="N605" s="1" t="s">
        <v>30</v>
      </c>
      <c r="O605" s="1" t="s">
        <v>31</v>
      </c>
      <c r="P605" s="1" t="n">
        <v>1</v>
      </c>
      <c r="Q605" s="1" t="n">
        <v>0</v>
      </c>
      <c r="R605" s="1" t="n">
        <v>0</v>
      </c>
      <c r="S605" s="1" t="n">
        <v>0</v>
      </c>
      <c r="T605" s="1" t="n">
        <v>0</v>
      </c>
      <c r="U605" s="1" t="n">
        <v>0</v>
      </c>
      <c r="V605" s="3" t="n">
        <f aca="false">SUM(P605:Q605)</f>
        <v>1</v>
      </c>
      <c r="W605" s="3" t="n">
        <f aca="false">SUM(R605:T605)</f>
        <v>0</v>
      </c>
      <c r="X605" s="10" t="n">
        <v>39969</v>
      </c>
      <c r="Y605" s="10" t="n">
        <v>39974</v>
      </c>
    </row>
    <row r="606" customFormat="false" ht="14.25" hidden="false" customHeight="false" outlineLevel="0" collapsed="false">
      <c r="A606" s="1" t="n">
        <v>2009</v>
      </c>
      <c r="B606" s="1" t="n">
        <v>1</v>
      </c>
      <c r="C606" s="2" t="s">
        <v>50</v>
      </c>
      <c r="D606" s="7" t="s">
        <v>83</v>
      </c>
      <c r="E606" s="1" t="n">
        <v>3</v>
      </c>
      <c r="F606" s="1" t="n">
        <f aca="false">Y606-X606</f>
        <v>5</v>
      </c>
      <c r="G606" s="1" t="n">
        <v>5</v>
      </c>
      <c r="H606" s="3" t="s">
        <v>32</v>
      </c>
      <c r="I606" s="3" t="s">
        <v>113</v>
      </c>
      <c r="J606" s="8" t="s">
        <v>114</v>
      </c>
      <c r="K606" s="2" t="str">
        <f aca="false">CONCATENATE(I606," ",J606)</f>
        <v>Ceratinella brevipes</v>
      </c>
      <c r="L606" s="3" t="n">
        <f aca="false">SUM(P606:U606)</f>
        <v>1</v>
      </c>
      <c r="M606" s="11" t="n">
        <f aca="false">(L606/(F606*G606)*25)*4</f>
        <v>4</v>
      </c>
      <c r="N606" s="1" t="s">
        <v>30</v>
      </c>
      <c r="O606" s="1" t="s">
        <v>35</v>
      </c>
      <c r="P606" s="1" t="n">
        <v>0</v>
      </c>
      <c r="Q606" s="1" t="n">
        <v>1</v>
      </c>
      <c r="R606" s="1" t="n">
        <v>0</v>
      </c>
      <c r="S606" s="1" t="n">
        <v>0</v>
      </c>
      <c r="T606" s="1" t="n">
        <v>0</v>
      </c>
      <c r="U606" s="1" t="n">
        <v>0</v>
      </c>
      <c r="V606" s="3" t="n">
        <f aca="false">SUM(P606:Q606)</f>
        <v>1</v>
      </c>
      <c r="W606" s="3" t="n">
        <f aca="false">SUM(R606:T606)</f>
        <v>0</v>
      </c>
      <c r="X606" s="10" t="n">
        <v>39969</v>
      </c>
      <c r="Y606" s="10" t="n">
        <v>39974</v>
      </c>
    </row>
    <row r="607" customFormat="false" ht="14.25" hidden="false" customHeight="false" outlineLevel="0" collapsed="false">
      <c r="A607" s="1" t="n">
        <v>2009</v>
      </c>
      <c r="B607" s="1" t="n">
        <v>1</v>
      </c>
      <c r="C607" s="2" t="s">
        <v>50</v>
      </c>
      <c r="D607" s="7" t="s">
        <v>83</v>
      </c>
      <c r="E607" s="1" t="n">
        <v>3</v>
      </c>
      <c r="F607" s="1" t="n">
        <f aca="false">Y607-X607</f>
        <v>5</v>
      </c>
      <c r="G607" s="1" t="n">
        <v>5</v>
      </c>
      <c r="H607" s="3" t="s">
        <v>32</v>
      </c>
      <c r="I607" s="3" t="s">
        <v>62</v>
      </c>
      <c r="J607" s="3" t="s">
        <v>63</v>
      </c>
      <c r="K607" s="2" t="str">
        <f aca="false">CONCATENATE(I607," ",J607)</f>
        <v>Microneta viaria</v>
      </c>
      <c r="L607" s="3" t="n">
        <f aca="false">SUM(P607:U607)</f>
        <v>1</v>
      </c>
      <c r="M607" s="11" t="n">
        <f aca="false">(L607/(F607*G607)*25)*4</f>
        <v>4</v>
      </c>
      <c r="N607" s="1" t="s">
        <v>30</v>
      </c>
      <c r="O607" s="1" t="s">
        <v>35</v>
      </c>
      <c r="P607" s="1" t="n">
        <v>0</v>
      </c>
      <c r="Q607" s="1" t="n">
        <v>1</v>
      </c>
      <c r="R607" s="1" t="n">
        <v>0</v>
      </c>
      <c r="S607" s="1" t="n">
        <v>0</v>
      </c>
      <c r="T607" s="1" t="n">
        <v>0</v>
      </c>
      <c r="U607" s="1" t="n">
        <v>0</v>
      </c>
      <c r="V607" s="3" t="n">
        <f aca="false">SUM(P607:Q607)</f>
        <v>1</v>
      </c>
      <c r="W607" s="3" t="n">
        <f aca="false">SUM(R607:T607)</f>
        <v>0</v>
      </c>
      <c r="X607" s="10" t="n">
        <v>39969</v>
      </c>
      <c r="Y607" s="10" t="n">
        <v>39974</v>
      </c>
    </row>
    <row r="608" customFormat="false" ht="14.25" hidden="false" customHeight="false" outlineLevel="0" collapsed="false">
      <c r="A608" s="1" t="n">
        <v>2009</v>
      </c>
      <c r="B608" s="1" t="n">
        <v>1</v>
      </c>
      <c r="C608" s="2" t="s">
        <v>50</v>
      </c>
      <c r="D608" s="7" t="s">
        <v>83</v>
      </c>
      <c r="E608" s="1" t="n">
        <v>3</v>
      </c>
      <c r="F608" s="1" t="n">
        <f aca="false">Y608-X608</f>
        <v>5</v>
      </c>
      <c r="G608" s="1" t="n">
        <v>5</v>
      </c>
      <c r="H608" s="13" t="s">
        <v>32</v>
      </c>
      <c r="I608" s="13" t="s">
        <v>96</v>
      </c>
      <c r="J608" s="14" t="s">
        <v>97</v>
      </c>
      <c r="K608" s="2" t="str">
        <f aca="false">CONCATENATE(I608," ",J608)</f>
        <v>Diplocephalus picinus</v>
      </c>
      <c r="L608" s="3" t="n">
        <f aca="false">SUM(P608:U608)</f>
        <v>1</v>
      </c>
      <c r="M608" s="11" t="n">
        <f aca="false">(L608/(F608*G608)*25)*4</f>
        <v>4</v>
      </c>
      <c r="N608" s="1" t="s">
        <v>30</v>
      </c>
      <c r="O608" s="1" t="s">
        <v>31</v>
      </c>
      <c r="P608" s="1" t="n">
        <v>1</v>
      </c>
      <c r="Q608" s="1" t="n">
        <v>0</v>
      </c>
      <c r="R608" s="1" t="n">
        <v>0</v>
      </c>
      <c r="S608" s="1" t="n">
        <v>0</v>
      </c>
      <c r="T608" s="1" t="n">
        <v>0</v>
      </c>
      <c r="U608" s="1" t="n">
        <v>0</v>
      </c>
      <c r="V608" s="3" t="n">
        <f aca="false">SUM(P608:Q608)</f>
        <v>1</v>
      </c>
      <c r="W608" s="3" t="n">
        <f aca="false">SUM(R608:T608)</f>
        <v>0</v>
      </c>
      <c r="X608" s="10" t="n">
        <v>39969</v>
      </c>
      <c r="Y608" s="10" t="n">
        <v>39974</v>
      </c>
    </row>
    <row r="609" customFormat="false" ht="14.25" hidden="false" customHeight="false" outlineLevel="0" collapsed="false">
      <c r="A609" s="1" t="n">
        <v>2009</v>
      </c>
      <c r="B609" s="1" t="n">
        <v>1</v>
      </c>
      <c r="C609" s="2" t="s">
        <v>50</v>
      </c>
      <c r="D609" s="7" t="s">
        <v>83</v>
      </c>
      <c r="E609" s="1" t="n">
        <v>3</v>
      </c>
      <c r="F609" s="1" t="n">
        <f aca="false">Y609-X609</f>
        <v>5</v>
      </c>
      <c r="G609" s="1" t="n">
        <v>5</v>
      </c>
      <c r="H609" s="3" t="s">
        <v>72</v>
      </c>
      <c r="I609" s="3" t="s">
        <v>73</v>
      </c>
      <c r="J609" s="3" t="s">
        <v>38</v>
      </c>
      <c r="K609" s="2" t="str">
        <f aca="false">CONCATENATE(I609," ",J609)</f>
        <v>Zelotes sp</v>
      </c>
      <c r="L609" s="3" t="n">
        <f aca="false">SUM(P609:U609)</f>
        <v>1</v>
      </c>
      <c r="M609" s="11" t="n">
        <f aca="false">(L609/(F609*G609)*25)*4</f>
        <v>4</v>
      </c>
      <c r="N609" s="1" t="s">
        <v>19</v>
      </c>
      <c r="O609" s="1" t="s">
        <v>54</v>
      </c>
      <c r="P609" s="1" t="n">
        <v>0</v>
      </c>
      <c r="Q609" s="1" t="n">
        <v>0</v>
      </c>
      <c r="R609" s="1" t="n">
        <v>0</v>
      </c>
      <c r="S609" s="1" t="n">
        <v>0</v>
      </c>
      <c r="T609" s="1" t="n">
        <v>1</v>
      </c>
      <c r="U609" s="1" t="n">
        <v>0</v>
      </c>
      <c r="V609" s="3" t="n">
        <f aca="false">SUM(P609:Q609)</f>
        <v>0</v>
      </c>
      <c r="W609" s="3" t="n">
        <f aca="false">SUM(R609:T609)</f>
        <v>1</v>
      </c>
      <c r="X609" s="10" t="n">
        <v>39969</v>
      </c>
      <c r="Y609" s="10" t="n">
        <v>39974</v>
      </c>
    </row>
    <row r="610" customFormat="false" ht="14.25" hidden="false" customHeight="false" outlineLevel="0" collapsed="false">
      <c r="A610" s="1" t="n">
        <v>2009</v>
      </c>
      <c r="B610" s="1" t="n">
        <v>1</v>
      </c>
      <c r="C610" s="2" t="s">
        <v>50</v>
      </c>
      <c r="D610" s="7" t="s">
        <v>83</v>
      </c>
      <c r="E610" s="1" t="n">
        <v>3</v>
      </c>
      <c r="F610" s="1" t="n">
        <f aca="false">Y610-X610</f>
        <v>5</v>
      </c>
      <c r="G610" s="1" t="n">
        <v>5</v>
      </c>
      <c r="H610" s="3" t="s">
        <v>48</v>
      </c>
      <c r="I610" s="3" t="s">
        <v>61</v>
      </c>
      <c r="J610" s="3" t="s">
        <v>38</v>
      </c>
      <c r="K610" s="2" t="str">
        <f aca="false">CONCATENATE(I610," ",J610)</f>
        <v>Trochosa sp</v>
      </c>
      <c r="L610" s="3" t="n">
        <f aca="false">SUM(P610:U610)</f>
        <v>1</v>
      </c>
      <c r="M610" s="11" t="n">
        <f aca="false">(L610/(F610*G610)*25)*4</f>
        <v>4</v>
      </c>
      <c r="N610" s="1" t="s">
        <v>19</v>
      </c>
      <c r="O610" s="1" t="s">
        <v>54</v>
      </c>
      <c r="P610" s="1" t="n">
        <v>0</v>
      </c>
      <c r="Q610" s="1" t="n">
        <v>0</v>
      </c>
      <c r="R610" s="1" t="n">
        <v>0</v>
      </c>
      <c r="S610" s="1" t="n">
        <v>0</v>
      </c>
      <c r="T610" s="1" t="n">
        <v>1</v>
      </c>
      <c r="U610" s="1" t="n">
        <v>0</v>
      </c>
      <c r="V610" s="3" t="n">
        <f aca="false">SUM(P610:Q610)</f>
        <v>0</v>
      </c>
      <c r="W610" s="3" t="n">
        <f aca="false">SUM(R610:T610)</f>
        <v>1</v>
      </c>
      <c r="X610" s="10" t="n">
        <v>39969</v>
      </c>
      <c r="Y610" s="10" t="n">
        <v>39974</v>
      </c>
    </row>
    <row r="611" customFormat="false" ht="14.25" hidden="false" customHeight="false" outlineLevel="0" collapsed="false">
      <c r="A611" s="1" t="n">
        <v>2009</v>
      </c>
      <c r="B611" s="1" t="n">
        <v>1</v>
      </c>
      <c r="C611" s="2" t="s">
        <v>50</v>
      </c>
      <c r="D611" s="7" t="s">
        <v>83</v>
      </c>
      <c r="E611" s="1" t="n">
        <v>3</v>
      </c>
      <c r="F611" s="1" t="n">
        <f aca="false">Y611-X611</f>
        <v>5</v>
      </c>
      <c r="G611" s="1" t="n">
        <v>5</v>
      </c>
      <c r="H611" s="3" t="s">
        <v>48</v>
      </c>
      <c r="I611" s="3" t="s">
        <v>49</v>
      </c>
      <c r="J611" s="3" t="s">
        <v>38</v>
      </c>
      <c r="K611" s="2" t="str">
        <f aca="false">CONCATENATE(I611," ",J611)</f>
        <v>Alopecosa sp</v>
      </c>
      <c r="L611" s="3" t="n">
        <f aca="false">SUM(P611:U611)</f>
        <v>2</v>
      </c>
      <c r="M611" s="11" t="n">
        <f aca="false">(L611/(F611*G611)*25)*4</f>
        <v>8</v>
      </c>
      <c r="N611" s="1" t="s">
        <v>19</v>
      </c>
      <c r="O611" s="1" t="s">
        <v>54</v>
      </c>
      <c r="P611" s="1" t="n">
        <v>0</v>
      </c>
      <c r="Q611" s="1" t="n">
        <v>0</v>
      </c>
      <c r="R611" s="1" t="n">
        <v>0</v>
      </c>
      <c r="S611" s="1" t="n">
        <v>0</v>
      </c>
      <c r="T611" s="1" t="n">
        <v>2</v>
      </c>
      <c r="U611" s="1" t="n">
        <v>0</v>
      </c>
      <c r="V611" s="3" t="n">
        <f aca="false">SUM(P611:Q611)</f>
        <v>0</v>
      </c>
      <c r="W611" s="3" t="n">
        <f aca="false">SUM(R611:T611)</f>
        <v>2</v>
      </c>
      <c r="X611" s="10" t="n">
        <v>39969</v>
      </c>
      <c r="Y611" s="10" t="n">
        <v>39974</v>
      </c>
    </row>
    <row r="612" customFormat="false" ht="14.25" hidden="false" customHeight="false" outlineLevel="0" collapsed="false">
      <c r="A612" s="1" t="n">
        <v>2009</v>
      </c>
      <c r="B612" s="1" t="n">
        <v>1</v>
      </c>
      <c r="C612" s="2" t="s">
        <v>50</v>
      </c>
      <c r="D612" s="7" t="s">
        <v>83</v>
      </c>
      <c r="E612" s="1" t="n">
        <v>3</v>
      </c>
      <c r="F612" s="1" t="n">
        <f aca="false">Y612-X612</f>
        <v>5</v>
      </c>
      <c r="G612" s="1" t="n">
        <v>5</v>
      </c>
      <c r="H612" s="3" t="s">
        <v>48</v>
      </c>
      <c r="I612" s="3" t="s">
        <v>67</v>
      </c>
      <c r="J612" s="3" t="s">
        <v>127</v>
      </c>
      <c r="K612" s="2" t="str">
        <f aca="false">CONCATENATE(I612," ",J612)</f>
        <v>Pardosa lugubris</v>
      </c>
      <c r="L612" s="3" t="n">
        <f aca="false">SUM(P612:U612)</f>
        <v>4</v>
      </c>
      <c r="M612" s="11" t="n">
        <f aca="false">(L612/(F612*G612)*25)*4</f>
        <v>16</v>
      </c>
      <c r="N612" s="1" t="s">
        <v>30</v>
      </c>
      <c r="O612" s="1" t="s">
        <v>31</v>
      </c>
      <c r="P612" s="1" t="n">
        <v>4</v>
      </c>
      <c r="Q612" s="1" t="n">
        <v>0</v>
      </c>
      <c r="R612" s="1" t="n">
        <v>0</v>
      </c>
      <c r="S612" s="1" t="n">
        <v>0</v>
      </c>
      <c r="T612" s="1" t="n">
        <v>0</v>
      </c>
      <c r="U612" s="1" t="n">
        <v>0</v>
      </c>
      <c r="V612" s="3" t="n">
        <f aca="false">SUM(P612:Q612)</f>
        <v>4</v>
      </c>
      <c r="W612" s="3" t="n">
        <f aca="false">SUM(R612:T612)</f>
        <v>0</v>
      </c>
      <c r="X612" s="10" t="n">
        <v>39969</v>
      </c>
      <c r="Y612" s="10" t="n">
        <v>39974</v>
      </c>
    </row>
    <row r="613" customFormat="false" ht="14.25" hidden="false" customHeight="false" outlineLevel="0" collapsed="false">
      <c r="A613" s="1" t="n">
        <v>2009</v>
      </c>
      <c r="B613" s="1" t="n">
        <v>1</v>
      </c>
      <c r="C613" s="2" t="s">
        <v>50</v>
      </c>
      <c r="D613" s="7" t="s">
        <v>83</v>
      </c>
      <c r="E613" s="1" t="n">
        <v>3</v>
      </c>
      <c r="F613" s="1" t="n">
        <f aca="false">Y613-X613</f>
        <v>5</v>
      </c>
      <c r="G613" s="1" t="n">
        <v>5</v>
      </c>
      <c r="H613" s="3" t="s">
        <v>48</v>
      </c>
      <c r="I613" s="3" t="s">
        <v>49</v>
      </c>
      <c r="J613" s="3" t="s">
        <v>104</v>
      </c>
      <c r="K613" s="2" t="str">
        <f aca="false">CONCATENATE(I613," ",J613)</f>
        <v>Alopecosa taeniata</v>
      </c>
      <c r="L613" s="3" t="n">
        <f aca="false">SUM(P613:U613)</f>
        <v>6</v>
      </c>
      <c r="M613" s="11" t="n">
        <f aca="false">(L613/(F613*G613)*25)*4</f>
        <v>24</v>
      </c>
      <c r="N613" s="1" t="s">
        <v>30</v>
      </c>
      <c r="O613" s="1" t="s">
        <v>31</v>
      </c>
      <c r="P613" s="1" t="n">
        <v>6</v>
      </c>
      <c r="Q613" s="1" t="n">
        <v>0</v>
      </c>
      <c r="R613" s="1" t="n">
        <v>0</v>
      </c>
      <c r="S613" s="1" t="n">
        <v>0</v>
      </c>
      <c r="T613" s="1" t="n">
        <v>0</v>
      </c>
      <c r="U613" s="1" t="n">
        <v>0</v>
      </c>
      <c r="V613" s="3" t="n">
        <f aca="false">SUM(P613:Q613)</f>
        <v>6</v>
      </c>
      <c r="W613" s="3" t="n">
        <f aca="false">SUM(R613:T613)</f>
        <v>0</v>
      </c>
      <c r="X613" s="10" t="n">
        <v>39969</v>
      </c>
      <c r="Y613" s="10" t="n">
        <v>39974</v>
      </c>
    </row>
    <row r="614" customFormat="false" ht="14.25" hidden="false" customHeight="false" outlineLevel="0" collapsed="false">
      <c r="A614" s="1" t="n">
        <v>2009</v>
      </c>
      <c r="B614" s="1" t="n">
        <v>1</v>
      </c>
      <c r="C614" s="2" t="s">
        <v>50</v>
      </c>
      <c r="D614" s="7" t="s">
        <v>83</v>
      </c>
      <c r="E614" s="1" t="n">
        <v>3</v>
      </c>
      <c r="F614" s="1" t="n">
        <f aca="false">Y614-X614</f>
        <v>5</v>
      </c>
      <c r="G614" s="1" t="n">
        <v>5</v>
      </c>
      <c r="H614" s="3" t="s">
        <v>48</v>
      </c>
      <c r="I614" s="3" t="s">
        <v>49</v>
      </c>
      <c r="J614" s="3" t="s">
        <v>104</v>
      </c>
      <c r="K614" s="2" t="str">
        <f aca="false">CONCATENATE(I614," ",J614)</f>
        <v>Alopecosa taeniata</v>
      </c>
      <c r="L614" s="3" t="n">
        <f aca="false">SUM(P614:U614)</f>
        <v>2</v>
      </c>
      <c r="M614" s="11" t="n">
        <f aca="false">(L614/(F614*G614)*25)*4</f>
        <v>8</v>
      </c>
      <c r="N614" s="1" t="s">
        <v>30</v>
      </c>
      <c r="O614" s="1" t="s">
        <v>35</v>
      </c>
      <c r="P614" s="1" t="n">
        <v>0</v>
      </c>
      <c r="Q614" s="1" t="n">
        <v>2</v>
      </c>
      <c r="R614" s="1" t="n">
        <v>0</v>
      </c>
      <c r="S614" s="1" t="n">
        <v>0</v>
      </c>
      <c r="T614" s="1" t="n">
        <v>0</v>
      </c>
      <c r="U614" s="1" t="n">
        <v>0</v>
      </c>
      <c r="V614" s="3" t="n">
        <f aca="false">SUM(P614:Q614)</f>
        <v>2</v>
      </c>
      <c r="W614" s="3" t="n">
        <f aca="false">SUM(R614:T614)</f>
        <v>0</v>
      </c>
      <c r="X614" s="10" t="n">
        <v>39969</v>
      </c>
      <c r="Y614" s="10" t="n">
        <v>39974</v>
      </c>
    </row>
    <row r="615" customFormat="false" ht="14.25" hidden="false" customHeight="false" outlineLevel="0" collapsed="false">
      <c r="A615" s="1" t="n">
        <v>2009</v>
      </c>
      <c r="B615" s="1" t="n">
        <v>1</v>
      </c>
      <c r="C615" s="2" t="s">
        <v>50</v>
      </c>
      <c r="D615" s="7" t="s">
        <v>83</v>
      </c>
      <c r="E615" s="1" t="n">
        <v>3</v>
      </c>
      <c r="F615" s="1" t="n">
        <f aca="false">Y615-X615</f>
        <v>5</v>
      </c>
      <c r="G615" s="1" t="n">
        <v>5</v>
      </c>
      <c r="H615" s="3" t="s">
        <v>32</v>
      </c>
      <c r="I615" s="3" t="s">
        <v>90</v>
      </c>
      <c r="J615" s="3" t="s">
        <v>91</v>
      </c>
      <c r="K615" s="2" t="str">
        <f aca="false">CONCATENATE(I615," ",J615)</f>
        <v>Tapinocyba insecta</v>
      </c>
      <c r="L615" s="3" t="n">
        <f aca="false">SUM(P615:U615)</f>
        <v>1</v>
      </c>
      <c r="M615" s="11" t="n">
        <f aca="false">(L615/(F615*G615)*25)*4</f>
        <v>4</v>
      </c>
      <c r="N615" s="1" t="s">
        <v>30</v>
      </c>
      <c r="O615" s="1" t="s">
        <v>31</v>
      </c>
      <c r="P615" s="1" t="n">
        <v>1</v>
      </c>
      <c r="Q615" s="1" t="n">
        <v>0</v>
      </c>
      <c r="R615" s="1" t="n">
        <v>0</v>
      </c>
      <c r="S615" s="1" t="n">
        <v>0</v>
      </c>
      <c r="T615" s="1" t="n">
        <v>0</v>
      </c>
      <c r="U615" s="1" t="n">
        <v>0</v>
      </c>
      <c r="V615" s="3" t="n">
        <f aca="false">SUM(P615:Q615)</f>
        <v>1</v>
      </c>
      <c r="W615" s="3" t="n">
        <f aca="false">SUM(R615:T615)</f>
        <v>0</v>
      </c>
      <c r="X615" s="10" t="n">
        <v>39969</v>
      </c>
      <c r="Y615" s="10" t="n">
        <v>39974</v>
      </c>
    </row>
    <row r="616" customFormat="false" ht="14.25" hidden="false" customHeight="false" outlineLevel="0" collapsed="false">
      <c r="A616" s="1" t="n">
        <v>2009</v>
      </c>
      <c r="B616" s="1" t="n">
        <v>1</v>
      </c>
      <c r="C616" s="2" t="s">
        <v>50</v>
      </c>
      <c r="D616" s="7" t="s">
        <v>83</v>
      </c>
      <c r="E616" s="1" t="n">
        <v>3</v>
      </c>
      <c r="F616" s="1" t="n">
        <f aca="false">Y616-X616</f>
        <v>5</v>
      </c>
      <c r="G616" s="1" t="n">
        <v>5</v>
      </c>
      <c r="H616" s="13" t="s">
        <v>32</v>
      </c>
      <c r="I616" s="13" t="s">
        <v>93</v>
      </c>
      <c r="J616" s="14" t="s">
        <v>94</v>
      </c>
      <c r="K616" s="2" t="str">
        <f aca="false">CONCATENATE(I616," ",J616)</f>
        <v>Anguliphantes angulipalpis</v>
      </c>
      <c r="L616" s="3" t="n">
        <f aca="false">SUM(P616:U616)</f>
        <v>1</v>
      </c>
      <c r="M616" s="11" t="n">
        <f aca="false">(L616/(F616*G616)*25)*4</f>
        <v>4</v>
      </c>
      <c r="N616" s="1" t="s">
        <v>30</v>
      </c>
      <c r="O616" s="1" t="s">
        <v>35</v>
      </c>
      <c r="P616" s="1" t="n">
        <v>0</v>
      </c>
      <c r="Q616" s="1" t="n">
        <v>1</v>
      </c>
      <c r="R616" s="1" t="n">
        <v>0</v>
      </c>
      <c r="S616" s="1" t="n">
        <v>0</v>
      </c>
      <c r="T616" s="1" t="n">
        <v>0</v>
      </c>
      <c r="U616" s="1" t="n">
        <v>0</v>
      </c>
      <c r="V616" s="3" t="n">
        <f aca="false">SUM(P616:Q616)</f>
        <v>1</v>
      </c>
      <c r="W616" s="3" t="n">
        <f aca="false">SUM(R616:T616)</f>
        <v>0</v>
      </c>
      <c r="X616" s="10" t="n">
        <v>39969</v>
      </c>
      <c r="Y616" s="10" t="n">
        <v>39974</v>
      </c>
    </row>
    <row r="617" customFormat="false" ht="14.25" hidden="false" customHeight="false" outlineLevel="0" collapsed="false">
      <c r="A617" s="1" t="n">
        <v>2009</v>
      </c>
      <c r="B617" s="1" t="n">
        <v>1</v>
      </c>
      <c r="C617" s="2" t="s">
        <v>50</v>
      </c>
      <c r="D617" s="7" t="s">
        <v>83</v>
      </c>
      <c r="E617" s="1" t="n">
        <v>3</v>
      </c>
      <c r="F617" s="1" t="n">
        <f aca="false">Y617-X617</f>
        <v>5</v>
      </c>
      <c r="G617" s="1" t="n">
        <v>5</v>
      </c>
      <c r="H617" s="3" t="s">
        <v>32</v>
      </c>
      <c r="I617" s="3" t="s">
        <v>102</v>
      </c>
      <c r="J617" s="3" t="s">
        <v>192</v>
      </c>
      <c r="K617" s="2" t="str">
        <f aca="false">CONCATENATE(I617," ",J617)</f>
        <v>Agyneta allosubtilis</v>
      </c>
      <c r="L617" s="3" t="n">
        <f aca="false">SUM(P617:U617)</f>
        <v>2</v>
      </c>
      <c r="M617" s="11" t="n">
        <f aca="false">(L617/(F617*G617)*25)*4</f>
        <v>8</v>
      </c>
      <c r="N617" s="1" t="s">
        <v>30</v>
      </c>
      <c r="O617" s="1" t="s">
        <v>31</v>
      </c>
      <c r="P617" s="1" t="n">
        <v>2</v>
      </c>
      <c r="Q617" s="1" t="n">
        <v>0</v>
      </c>
      <c r="R617" s="1" t="n">
        <v>0</v>
      </c>
      <c r="S617" s="1" t="n">
        <v>0</v>
      </c>
      <c r="T617" s="1" t="n">
        <v>0</v>
      </c>
      <c r="U617" s="1" t="n">
        <v>0</v>
      </c>
      <c r="V617" s="3" t="n">
        <f aca="false">SUM(P617:Q617)</f>
        <v>2</v>
      </c>
      <c r="W617" s="3" t="n">
        <f aca="false">SUM(R617:T617)</f>
        <v>0</v>
      </c>
      <c r="X617" s="10" t="n">
        <v>39969</v>
      </c>
      <c r="Y617" s="10" t="n">
        <v>39974</v>
      </c>
    </row>
    <row r="618" customFormat="false" ht="14.25" hidden="false" customHeight="false" outlineLevel="0" collapsed="false">
      <c r="A618" s="1" t="n">
        <v>2009</v>
      </c>
      <c r="B618" s="1" t="n">
        <v>1</v>
      </c>
      <c r="C618" s="2" t="s">
        <v>50</v>
      </c>
      <c r="D618" s="7" t="s">
        <v>83</v>
      </c>
      <c r="E618" s="1" t="n">
        <v>3</v>
      </c>
      <c r="F618" s="1" t="n">
        <f aca="false">Y618-X618</f>
        <v>5</v>
      </c>
      <c r="G618" s="1" t="n">
        <v>5</v>
      </c>
      <c r="H618" s="3" t="s">
        <v>32</v>
      </c>
      <c r="I618" s="3" t="s">
        <v>102</v>
      </c>
      <c r="J618" s="3" t="s">
        <v>192</v>
      </c>
      <c r="K618" s="2" t="str">
        <f aca="false">CONCATENATE(I618," ",J618)</f>
        <v>Agyneta allosubtilis</v>
      </c>
      <c r="L618" s="3" t="n">
        <f aca="false">SUM(P618:U618)</f>
        <v>1</v>
      </c>
      <c r="M618" s="11" t="n">
        <f aca="false">(L618/(F618*G618)*25)*4</f>
        <v>4</v>
      </c>
      <c r="N618" s="1" t="s">
        <v>30</v>
      </c>
      <c r="O618" s="1" t="s">
        <v>35</v>
      </c>
      <c r="P618" s="1" t="n">
        <v>0</v>
      </c>
      <c r="Q618" s="1" t="n">
        <v>1</v>
      </c>
      <c r="R618" s="1" t="n">
        <v>0</v>
      </c>
      <c r="S618" s="1" t="n">
        <v>0</v>
      </c>
      <c r="T618" s="1" t="n">
        <v>0</v>
      </c>
      <c r="U618" s="1" t="n">
        <v>0</v>
      </c>
      <c r="V618" s="3" t="n">
        <f aca="false">SUM(P618:Q618)</f>
        <v>1</v>
      </c>
      <c r="W618" s="3" t="n">
        <f aca="false">SUM(R618:T618)</f>
        <v>0</v>
      </c>
      <c r="X618" s="10" t="n">
        <v>39969</v>
      </c>
      <c r="Y618" s="10" t="n">
        <v>39974</v>
      </c>
    </row>
    <row r="619" customFormat="false" ht="14.25" hidden="false" customHeight="false" outlineLevel="0" collapsed="false">
      <c r="A619" s="1" t="n">
        <v>2009</v>
      </c>
      <c r="B619" s="1" t="n">
        <v>1</v>
      </c>
      <c r="C619" s="2" t="s">
        <v>50</v>
      </c>
      <c r="D619" s="7" t="s">
        <v>83</v>
      </c>
      <c r="E619" s="1" t="n">
        <v>3</v>
      </c>
      <c r="F619" s="1" t="n">
        <f aca="false">Y619-X619</f>
        <v>5</v>
      </c>
      <c r="G619" s="1" t="n">
        <v>5</v>
      </c>
      <c r="H619" s="3" t="s">
        <v>32</v>
      </c>
      <c r="I619" s="3" t="s">
        <v>55</v>
      </c>
      <c r="J619" s="3" t="s">
        <v>194</v>
      </c>
      <c r="K619" s="2" t="str">
        <f aca="false">CONCATENATE(I619," ",J619)</f>
        <v>Maro pansibiricus</v>
      </c>
      <c r="L619" s="3" t="n">
        <f aca="false">SUM(P619:U619)</f>
        <v>1</v>
      </c>
      <c r="M619" s="11" t="n">
        <f aca="false">(L619/(F619*G619)*25)*4</f>
        <v>4</v>
      </c>
      <c r="N619" s="1" t="s">
        <v>30</v>
      </c>
      <c r="O619" s="1" t="s">
        <v>31</v>
      </c>
      <c r="P619" s="1" t="n">
        <v>1</v>
      </c>
      <c r="Q619" s="1" t="n">
        <v>0</v>
      </c>
      <c r="R619" s="1" t="n">
        <v>0</v>
      </c>
      <c r="S619" s="1" t="n">
        <v>0</v>
      </c>
      <c r="T619" s="1" t="n">
        <v>0</v>
      </c>
      <c r="U619" s="1" t="n">
        <v>0</v>
      </c>
      <c r="V619" s="3" t="n">
        <f aca="false">SUM(P619:Q619)</f>
        <v>1</v>
      </c>
      <c r="W619" s="3" t="n">
        <f aca="false">SUM(R619:T619)</f>
        <v>0</v>
      </c>
      <c r="X619" s="10" t="n">
        <v>39969</v>
      </c>
      <c r="Y619" s="10" t="n">
        <v>39974</v>
      </c>
    </row>
    <row r="620" customFormat="false" ht="14.25" hidden="false" customHeight="false" outlineLevel="0" collapsed="false">
      <c r="A620" s="1" t="n">
        <v>2009</v>
      </c>
      <c r="B620" s="1" t="n">
        <v>1</v>
      </c>
      <c r="C620" s="2" t="s">
        <v>50</v>
      </c>
      <c r="D620" s="7" t="s">
        <v>83</v>
      </c>
      <c r="E620" s="1" t="n">
        <v>3</v>
      </c>
      <c r="F620" s="1" t="n">
        <f aca="false">Y620-X620</f>
        <v>5</v>
      </c>
      <c r="G620" s="1" t="n">
        <v>5</v>
      </c>
      <c r="H620" s="3" t="s">
        <v>64</v>
      </c>
      <c r="I620" s="3" t="s">
        <v>65</v>
      </c>
      <c r="J620" s="3" t="s">
        <v>123</v>
      </c>
      <c r="K620" s="2" t="str">
        <f aca="false">CONCATENATE(I620," ",J620)</f>
        <v>Zora nemoralis</v>
      </c>
      <c r="L620" s="3" t="n">
        <f aca="false">SUM(P620:U620)</f>
        <v>1</v>
      </c>
      <c r="M620" s="11" t="n">
        <f aca="false">(L620/(F620*G620)*25)*4</f>
        <v>4</v>
      </c>
      <c r="N620" s="1" t="s">
        <v>30</v>
      </c>
      <c r="O620" s="1" t="s">
        <v>31</v>
      </c>
      <c r="P620" s="1" t="n">
        <v>1</v>
      </c>
      <c r="Q620" s="1" t="n">
        <v>0</v>
      </c>
      <c r="R620" s="1" t="n">
        <v>0</v>
      </c>
      <c r="S620" s="1" t="n">
        <v>0</v>
      </c>
      <c r="T620" s="1" t="n">
        <v>0</v>
      </c>
      <c r="U620" s="1" t="n">
        <v>0</v>
      </c>
      <c r="V620" s="3" t="n">
        <f aca="false">SUM(P620:Q620)</f>
        <v>1</v>
      </c>
      <c r="W620" s="3" t="n">
        <f aca="false">SUM(R620:T620)</f>
        <v>0</v>
      </c>
      <c r="X620" s="10" t="n">
        <v>39969</v>
      </c>
      <c r="Y620" s="10" t="n">
        <v>39974</v>
      </c>
    </row>
    <row r="621" customFormat="false" ht="14.25" hidden="false" customHeight="false" outlineLevel="0" collapsed="false">
      <c r="A621" s="1" t="n">
        <v>2009</v>
      </c>
      <c r="B621" s="1" t="n">
        <v>1</v>
      </c>
      <c r="C621" s="2" t="s">
        <v>50</v>
      </c>
      <c r="D621" s="7" t="s">
        <v>83</v>
      </c>
      <c r="E621" s="1" t="n">
        <v>3</v>
      </c>
      <c r="F621" s="1" t="n">
        <f aca="false">Y621-X621</f>
        <v>5</v>
      </c>
      <c r="G621" s="1" t="n">
        <v>5</v>
      </c>
      <c r="H621" s="3" t="s">
        <v>48</v>
      </c>
      <c r="I621" s="3" t="s">
        <v>49</v>
      </c>
      <c r="J621" s="3" t="s">
        <v>104</v>
      </c>
      <c r="K621" s="2" t="str">
        <f aca="false">CONCATENATE(I621," ",J621)</f>
        <v>Alopecosa taeniata</v>
      </c>
      <c r="L621" s="3" t="n">
        <f aca="false">SUM(P621:U621)</f>
        <v>2</v>
      </c>
      <c r="M621" s="11" t="n">
        <f aca="false">(L621/(F621*G621)*25)*4</f>
        <v>8</v>
      </c>
      <c r="N621" s="1" t="s">
        <v>30</v>
      </c>
      <c r="O621" s="1" t="s">
        <v>31</v>
      </c>
      <c r="P621" s="1" t="n">
        <v>2</v>
      </c>
      <c r="Q621" s="1" t="n">
        <v>0</v>
      </c>
      <c r="R621" s="1" t="n">
        <v>0</v>
      </c>
      <c r="S621" s="1" t="n">
        <v>0</v>
      </c>
      <c r="T621" s="1" t="n">
        <v>0</v>
      </c>
      <c r="U621" s="1" t="n">
        <v>0</v>
      </c>
      <c r="V621" s="3" t="n">
        <f aca="false">SUM(P621:Q621)</f>
        <v>2</v>
      </c>
      <c r="W621" s="3" t="n">
        <f aca="false">SUM(R621:T621)</f>
        <v>0</v>
      </c>
      <c r="X621" s="10" t="n">
        <v>39969</v>
      </c>
      <c r="Y621" s="10" t="n">
        <v>39974</v>
      </c>
    </row>
    <row r="622" customFormat="false" ht="14.25" hidden="false" customHeight="false" outlineLevel="0" collapsed="false">
      <c r="A622" s="1" t="n">
        <v>2009</v>
      </c>
      <c r="B622" s="1" t="n">
        <v>1</v>
      </c>
      <c r="C622" s="2" t="s">
        <v>50</v>
      </c>
      <c r="D622" s="7" t="s">
        <v>83</v>
      </c>
      <c r="E622" s="1" t="n">
        <v>3</v>
      </c>
      <c r="F622" s="1" t="n">
        <f aca="false">Y622-X622</f>
        <v>5</v>
      </c>
      <c r="G622" s="1" t="n">
        <v>5</v>
      </c>
      <c r="H622" s="3" t="s">
        <v>48</v>
      </c>
      <c r="I622" s="3" t="s">
        <v>49</v>
      </c>
      <c r="J622" s="3" t="s">
        <v>104</v>
      </c>
      <c r="K622" s="2" t="str">
        <f aca="false">CONCATENATE(I622," ",J622)</f>
        <v>Alopecosa taeniata</v>
      </c>
      <c r="L622" s="3" t="n">
        <f aca="false">SUM(P622:U622)</f>
        <v>1</v>
      </c>
      <c r="M622" s="11" t="n">
        <f aca="false">(L622/(F622*G622)*25)*4</f>
        <v>4</v>
      </c>
      <c r="N622" s="1" t="s">
        <v>30</v>
      </c>
      <c r="O622" s="1" t="s">
        <v>35</v>
      </c>
      <c r="P622" s="1" t="n">
        <v>0</v>
      </c>
      <c r="Q622" s="1" t="n">
        <v>1</v>
      </c>
      <c r="R622" s="1" t="n">
        <v>0</v>
      </c>
      <c r="S622" s="1" t="n">
        <v>0</v>
      </c>
      <c r="T622" s="1" t="n">
        <v>0</v>
      </c>
      <c r="U622" s="1" t="n">
        <v>0</v>
      </c>
      <c r="V622" s="3" t="n">
        <f aca="false">SUM(P622:Q622)</f>
        <v>1</v>
      </c>
      <c r="W622" s="3" t="n">
        <f aca="false">SUM(R622:T622)</f>
        <v>0</v>
      </c>
      <c r="X622" s="10" t="n">
        <v>39969</v>
      </c>
      <c r="Y622" s="10" t="n">
        <v>39974</v>
      </c>
    </row>
    <row r="623" customFormat="false" ht="14.25" hidden="false" customHeight="false" outlineLevel="0" collapsed="false">
      <c r="A623" s="17" t="n">
        <v>2009</v>
      </c>
      <c r="B623" s="17" t="n">
        <v>1</v>
      </c>
      <c r="C623" s="2" t="s">
        <v>50</v>
      </c>
      <c r="D623" s="7" t="s">
        <v>83</v>
      </c>
      <c r="E623" s="1" t="n">
        <v>3</v>
      </c>
      <c r="F623" s="1" t="n">
        <f aca="false">Y623-X623</f>
        <v>5</v>
      </c>
      <c r="G623" s="1" t="n">
        <v>5</v>
      </c>
      <c r="H623" s="18" t="s">
        <v>48</v>
      </c>
      <c r="I623" s="18" t="s">
        <v>61</v>
      </c>
      <c r="J623" s="18" t="s">
        <v>82</v>
      </c>
      <c r="K623" s="2" t="str">
        <f aca="false">CONCATENATE(I623," ",J623)</f>
        <v>Trochosa terricola</v>
      </c>
      <c r="L623" s="3" t="n">
        <f aca="false">SUM(P623:U623)</f>
        <v>1</v>
      </c>
      <c r="M623" s="11" t="n">
        <f aca="false">(L623/(F623*G623)*25)*4</f>
        <v>4</v>
      </c>
      <c r="N623" s="1" t="s">
        <v>30</v>
      </c>
      <c r="O623" s="1" t="s">
        <v>35</v>
      </c>
      <c r="P623" s="17" t="n">
        <v>0</v>
      </c>
      <c r="Q623" s="17" t="n">
        <v>1</v>
      </c>
      <c r="R623" s="1" t="n">
        <v>0</v>
      </c>
      <c r="S623" s="1" t="n">
        <v>0</v>
      </c>
      <c r="T623" s="17" t="n">
        <v>0</v>
      </c>
      <c r="U623" s="1" t="n">
        <v>0</v>
      </c>
      <c r="V623" s="3" t="n">
        <f aca="false">SUM(P623:Q623)</f>
        <v>1</v>
      </c>
      <c r="W623" s="3" t="n">
        <f aca="false">SUM(R623:T623)</f>
        <v>0</v>
      </c>
      <c r="X623" s="20" t="n">
        <v>39969</v>
      </c>
      <c r="Y623" s="20" t="n">
        <v>39974</v>
      </c>
    </row>
    <row r="624" customFormat="false" ht="14.25" hidden="false" customHeight="false" outlineLevel="0" collapsed="false">
      <c r="A624" s="1" t="n">
        <v>2009</v>
      </c>
      <c r="B624" s="1" t="n">
        <v>1</v>
      </c>
      <c r="C624" s="2" t="s">
        <v>50</v>
      </c>
      <c r="D624" s="7" t="s">
        <v>83</v>
      </c>
      <c r="E624" s="1" t="n">
        <v>3</v>
      </c>
      <c r="F624" s="1" t="n">
        <f aca="false">Y624-X624</f>
        <v>5</v>
      </c>
      <c r="G624" s="1" t="n">
        <v>5</v>
      </c>
      <c r="H624" s="3" t="s">
        <v>48</v>
      </c>
      <c r="I624" s="3" t="s">
        <v>67</v>
      </c>
      <c r="J624" s="3" t="s">
        <v>127</v>
      </c>
      <c r="K624" s="2" t="str">
        <f aca="false">CONCATENATE(I624," ",J624)</f>
        <v>Pardosa lugubris</v>
      </c>
      <c r="L624" s="3" t="n">
        <f aca="false">SUM(P624:U624)</f>
        <v>1</v>
      </c>
      <c r="M624" s="11" t="n">
        <f aca="false">(L624/(F624*G624)*25)*4</f>
        <v>4</v>
      </c>
      <c r="N624" s="1" t="s">
        <v>30</v>
      </c>
      <c r="O624" s="1" t="s">
        <v>31</v>
      </c>
      <c r="P624" s="1" t="n">
        <v>1</v>
      </c>
      <c r="Q624" s="1" t="n">
        <v>0</v>
      </c>
      <c r="R624" s="1" t="n">
        <v>0</v>
      </c>
      <c r="S624" s="1" t="n">
        <v>0</v>
      </c>
      <c r="T624" s="1" t="n">
        <v>0</v>
      </c>
      <c r="U624" s="1" t="n">
        <v>0</v>
      </c>
      <c r="V624" s="3" t="n">
        <f aca="false">SUM(P624:Q624)</f>
        <v>1</v>
      </c>
      <c r="W624" s="3" t="n">
        <f aca="false">SUM(R624:T624)</f>
        <v>0</v>
      </c>
      <c r="X624" s="10" t="n">
        <v>39969</v>
      </c>
      <c r="Y624" s="10" t="n">
        <v>39974</v>
      </c>
    </row>
    <row r="625" customFormat="false" ht="14.25" hidden="false" customHeight="false" outlineLevel="0" collapsed="false">
      <c r="A625" s="1" t="n">
        <v>2009</v>
      </c>
      <c r="B625" s="1" t="n">
        <v>1</v>
      </c>
      <c r="C625" s="2" t="s">
        <v>50</v>
      </c>
      <c r="D625" s="7" t="s">
        <v>83</v>
      </c>
      <c r="E625" s="1" t="n">
        <v>3</v>
      </c>
      <c r="F625" s="1" t="n">
        <f aca="false">Y625-X625</f>
        <v>5</v>
      </c>
      <c r="G625" s="1" t="n">
        <v>5</v>
      </c>
      <c r="H625" s="3" t="s">
        <v>41</v>
      </c>
      <c r="I625" s="3" t="s">
        <v>42</v>
      </c>
      <c r="J625" s="3" t="s">
        <v>198</v>
      </c>
      <c r="K625" s="2" t="str">
        <f aca="false">CONCATENATE(I625," ",J625)</f>
        <v>Agroeca brunnea</v>
      </c>
      <c r="L625" s="3" t="n">
        <f aca="false">SUM(P625:U625)</f>
        <v>1</v>
      </c>
      <c r="M625" s="11" t="n">
        <f aca="false">(L625/(F625*G625)*25)*4</f>
        <v>4</v>
      </c>
      <c r="N625" s="1" t="s">
        <v>30</v>
      </c>
      <c r="O625" s="1" t="s">
        <v>35</v>
      </c>
      <c r="P625" s="1" t="n">
        <v>0</v>
      </c>
      <c r="Q625" s="1" t="n">
        <v>1</v>
      </c>
      <c r="R625" s="1" t="n">
        <v>0</v>
      </c>
      <c r="S625" s="1" t="n">
        <v>0</v>
      </c>
      <c r="T625" s="1" t="n">
        <v>0</v>
      </c>
      <c r="U625" s="1" t="n">
        <v>0</v>
      </c>
      <c r="V625" s="3" t="n">
        <f aca="false">SUM(P625:Q625)</f>
        <v>1</v>
      </c>
      <c r="W625" s="3" t="n">
        <f aca="false">SUM(R625:T625)</f>
        <v>0</v>
      </c>
      <c r="X625" s="10" t="n">
        <v>39969</v>
      </c>
      <c r="Y625" s="10" t="n">
        <v>39974</v>
      </c>
    </row>
    <row r="626" customFormat="false" ht="14.25" hidden="false" customHeight="false" outlineLevel="0" collapsed="false">
      <c r="A626" s="1" t="n">
        <v>2009</v>
      </c>
      <c r="B626" s="1" t="n">
        <v>1</v>
      </c>
      <c r="C626" s="2" t="s">
        <v>50</v>
      </c>
      <c r="D626" s="7" t="s">
        <v>83</v>
      </c>
      <c r="E626" s="1" t="n">
        <v>3</v>
      </c>
      <c r="F626" s="1" t="n">
        <f aca="false">Y626-X626</f>
        <v>5</v>
      </c>
      <c r="G626" s="1" t="n">
        <v>5</v>
      </c>
      <c r="H626" s="3" t="s">
        <v>36</v>
      </c>
      <c r="I626" s="3" t="s">
        <v>131</v>
      </c>
      <c r="J626" s="3" t="s">
        <v>133</v>
      </c>
      <c r="K626" s="2" t="str">
        <f aca="false">CONCATENATE(I626," ",J626)</f>
        <v>Xysticus luctuosus</v>
      </c>
      <c r="L626" s="3" t="n">
        <f aca="false">SUM(P626:U626)</f>
        <v>1</v>
      </c>
      <c r="M626" s="11" t="n">
        <f aca="false">(L626/(F626*G626)*25)*4</f>
        <v>4</v>
      </c>
      <c r="N626" s="1" t="s">
        <v>30</v>
      </c>
      <c r="O626" s="1" t="s">
        <v>31</v>
      </c>
      <c r="P626" s="1" t="n">
        <v>1</v>
      </c>
      <c r="Q626" s="1" t="n">
        <v>0</v>
      </c>
      <c r="R626" s="1" t="n">
        <v>0</v>
      </c>
      <c r="S626" s="1" t="n">
        <v>0</v>
      </c>
      <c r="T626" s="1" t="n">
        <v>0</v>
      </c>
      <c r="U626" s="1" t="n">
        <v>0</v>
      </c>
      <c r="V626" s="3" t="n">
        <f aca="false">SUM(P626:Q626)</f>
        <v>1</v>
      </c>
      <c r="W626" s="3" t="n">
        <f aca="false">SUM(R626:T626)</f>
        <v>0</v>
      </c>
      <c r="X626" s="10" t="n">
        <v>39969</v>
      </c>
      <c r="Y626" s="10" t="n">
        <v>39974</v>
      </c>
    </row>
    <row r="627" customFormat="false" ht="14.25" hidden="false" customHeight="false" outlineLevel="0" collapsed="false">
      <c r="A627" s="1" t="n">
        <v>2009</v>
      </c>
      <c r="B627" s="1" t="n">
        <v>1</v>
      </c>
      <c r="C627" s="2" t="s">
        <v>50</v>
      </c>
      <c r="D627" s="7" t="s">
        <v>83</v>
      </c>
      <c r="E627" s="1" t="n">
        <v>3</v>
      </c>
      <c r="F627" s="1" t="n">
        <f aca="false">Y627-X627</f>
        <v>5</v>
      </c>
      <c r="G627" s="1" t="n">
        <v>5</v>
      </c>
      <c r="H627" s="13" t="s">
        <v>92</v>
      </c>
      <c r="I627" s="13" t="s">
        <v>111</v>
      </c>
      <c r="J627" s="14" t="s">
        <v>112</v>
      </c>
      <c r="K627" s="2" t="str">
        <f aca="false">CONCATENATE(I627," ",J627)</f>
        <v>Evarcha falcata</v>
      </c>
      <c r="L627" s="3" t="n">
        <f aca="false">SUM(P627:U627)</f>
        <v>1</v>
      </c>
      <c r="M627" s="11" t="n">
        <f aca="false">(L627/(F627*G627)*25)*4</f>
        <v>4</v>
      </c>
      <c r="N627" s="1" t="s">
        <v>30</v>
      </c>
      <c r="O627" s="1" t="s">
        <v>31</v>
      </c>
      <c r="P627" s="1" t="n">
        <v>1</v>
      </c>
      <c r="Q627" s="1" t="n">
        <v>0</v>
      </c>
      <c r="R627" s="1" t="n">
        <v>0</v>
      </c>
      <c r="S627" s="1" t="n">
        <v>0</v>
      </c>
      <c r="T627" s="1" t="n">
        <v>0</v>
      </c>
      <c r="U627" s="1" t="n">
        <v>0</v>
      </c>
      <c r="V627" s="3" t="n">
        <f aca="false">SUM(P627:Q627)</f>
        <v>1</v>
      </c>
      <c r="W627" s="3" t="n">
        <f aca="false">SUM(R627:T627)</f>
        <v>0</v>
      </c>
      <c r="X627" s="10" t="n">
        <v>39969</v>
      </c>
      <c r="Y627" s="10" t="n">
        <v>39974</v>
      </c>
    </row>
    <row r="628" customFormat="false" ht="14.25" hidden="false" customHeight="false" outlineLevel="0" collapsed="false">
      <c r="A628" s="1" t="n">
        <v>2009</v>
      </c>
      <c r="B628" s="1" t="n">
        <v>1</v>
      </c>
      <c r="C628" s="2" t="s">
        <v>50</v>
      </c>
      <c r="D628" s="7" t="s">
        <v>83</v>
      </c>
      <c r="E628" s="1" t="n">
        <v>3</v>
      </c>
      <c r="F628" s="1" t="n">
        <f aca="false">Y628-X628</f>
        <v>5</v>
      </c>
      <c r="G628" s="1" t="n">
        <v>5</v>
      </c>
      <c r="H628" s="3" t="s">
        <v>32</v>
      </c>
      <c r="I628" s="3" t="s">
        <v>62</v>
      </c>
      <c r="J628" s="3" t="s">
        <v>63</v>
      </c>
      <c r="K628" s="2" t="str">
        <f aca="false">CONCATENATE(I628," ",J628)</f>
        <v>Microneta viaria</v>
      </c>
      <c r="L628" s="3" t="n">
        <f aca="false">SUM(P628:U628)</f>
        <v>1</v>
      </c>
      <c r="M628" s="11" t="n">
        <f aca="false">(L628/(F628*G628)*25)*4</f>
        <v>4</v>
      </c>
      <c r="N628" s="1" t="s">
        <v>30</v>
      </c>
      <c r="O628" s="1" t="s">
        <v>35</v>
      </c>
      <c r="P628" s="1" t="n">
        <v>0</v>
      </c>
      <c r="Q628" s="1" t="n">
        <v>1</v>
      </c>
      <c r="R628" s="1" t="n">
        <v>0</v>
      </c>
      <c r="S628" s="1" t="n">
        <v>0</v>
      </c>
      <c r="T628" s="1" t="n">
        <v>0</v>
      </c>
      <c r="U628" s="1" t="n">
        <v>0</v>
      </c>
      <c r="V628" s="3" t="n">
        <f aca="false">SUM(P628:Q628)</f>
        <v>1</v>
      </c>
      <c r="W628" s="3" t="n">
        <f aca="false">SUM(R628:T628)</f>
        <v>0</v>
      </c>
      <c r="X628" s="10" t="n">
        <v>39969</v>
      </c>
      <c r="Y628" s="10" t="n">
        <v>39974</v>
      </c>
    </row>
    <row r="629" customFormat="false" ht="14.25" hidden="false" customHeight="false" outlineLevel="0" collapsed="false">
      <c r="A629" s="1" t="n">
        <v>2009</v>
      </c>
      <c r="B629" s="1" t="n">
        <v>1</v>
      </c>
      <c r="C629" s="2" t="s">
        <v>50</v>
      </c>
      <c r="D629" s="7" t="s">
        <v>83</v>
      </c>
      <c r="E629" s="1" t="n">
        <v>3</v>
      </c>
      <c r="F629" s="1" t="n">
        <f aca="false">Y629-X629</f>
        <v>5</v>
      </c>
      <c r="G629" s="1" t="n">
        <v>5</v>
      </c>
      <c r="H629" s="3" t="s">
        <v>32</v>
      </c>
      <c r="I629" s="3" t="s">
        <v>55</v>
      </c>
      <c r="J629" s="3" t="s">
        <v>194</v>
      </c>
      <c r="K629" s="2" t="str">
        <f aca="false">CONCATENATE(I629," ",J629)</f>
        <v>Maro pansibiricus</v>
      </c>
      <c r="L629" s="3" t="n">
        <f aca="false">SUM(P629:U629)</f>
        <v>1</v>
      </c>
      <c r="M629" s="11" t="n">
        <f aca="false">(L629/(F629*G629)*25)*4</f>
        <v>4</v>
      </c>
      <c r="N629" s="1" t="s">
        <v>30</v>
      </c>
      <c r="O629" s="1" t="s">
        <v>31</v>
      </c>
      <c r="P629" s="1" t="n">
        <v>1</v>
      </c>
      <c r="Q629" s="1" t="n">
        <v>0</v>
      </c>
      <c r="R629" s="1" t="n">
        <v>0</v>
      </c>
      <c r="S629" s="1" t="n">
        <v>0</v>
      </c>
      <c r="T629" s="1" t="n">
        <v>0</v>
      </c>
      <c r="U629" s="1" t="n">
        <v>0</v>
      </c>
      <c r="V629" s="3" t="n">
        <f aca="false">SUM(P629:Q629)</f>
        <v>1</v>
      </c>
      <c r="W629" s="3" t="n">
        <f aca="false">SUM(R629:T629)</f>
        <v>0</v>
      </c>
      <c r="X629" s="10" t="n">
        <v>39969</v>
      </c>
      <c r="Y629" s="10" t="n">
        <v>39974</v>
      </c>
    </row>
    <row r="630" customFormat="false" ht="14.25" hidden="false" customHeight="false" outlineLevel="0" collapsed="false">
      <c r="A630" s="1" t="n">
        <v>2009</v>
      </c>
      <c r="B630" s="1" t="n">
        <v>1</v>
      </c>
      <c r="C630" s="2" t="s">
        <v>50</v>
      </c>
      <c r="D630" s="7" t="s">
        <v>83</v>
      </c>
      <c r="E630" s="1" t="n">
        <v>3</v>
      </c>
      <c r="F630" s="1" t="n">
        <f aca="false">Y630-X630</f>
        <v>5</v>
      </c>
      <c r="G630" s="1" t="n">
        <v>5</v>
      </c>
      <c r="H630" s="13" t="s">
        <v>32</v>
      </c>
      <c r="I630" s="13" t="s">
        <v>96</v>
      </c>
      <c r="J630" s="14" t="s">
        <v>97</v>
      </c>
      <c r="K630" s="2" t="str">
        <f aca="false">CONCATENATE(I630," ",J630)</f>
        <v>Diplocephalus picinus</v>
      </c>
      <c r="L630" s="3" t="n">
        <f aca="false">SUM(P630:U630)</f>
        <v>1</v>
      </c>
      <c r="M630" s="11" t="n">
        <f aca="false">(L630/(F630*G630)*25)*4</f>
        <v>4</v>
      </c>
      <c r="N630" s="1" t="s">
        <v>30</v>
      </c>
      <c r="O630" s="1" t="s">
        <v>31</v>
      </c>
      <c r="P630" s="1" t="n">
        <v>1</v>
      </c>
      <c r="Q630" s="1" t="n">
        <v>0</v>
      </c>
      <c r="R630" s="1" t="n">
        <v>0</v>
      </c>
      <c r="S630" s="1" t="n">
        <v>0</v>
      </c>
      <c r="T630" s="1" t="n">
        <v>0</v>
      </c>
      <c r="U630" s="1" t="n">
        <v>0</v>
      </c>
      <c r="V630" s="3" t="n">
        <f aca="false">SUM(P630:Q630)</f>
        <v>1</v>
      </c>
      <c r="W630" s="3" t="n">
        <f aca="false">SUM(R630:T630)</f>
        <v>0</v>
      </c>
      <c r="X630" s="10" t="n">
        <v>39969</v>
      </c>
      <c r="Y630" s="10" t="n">
        <v>39974</v>
      </c>
    </row>
    <row r="631" customFormat="false" ht="14.25" hidden="false" customHeight="false" outlineLevel="0" collapsed="false">
      <c r="A631" s="1" t="n">
        <v>2009</v>
      </c>
      <c r="B631" s="1" t="n">
        <v>1</v>
      </c>
      <c r="C631" s="2" t="s">
        <v>50</v>
      </c>
      <c r="D631" s="7" t="s">
        <v>83</v>
      </c>
      <c r="E631" s="1" t="n">
        <v>3</v>
      </c>
      <c r="F631" s="1" t="n">
        <f aca="false">Y631-X631</f>
        <v>5</v>
      </c>
      <c r="G631" s="1" t="n">
        <v>5</v>
      </c>
      <c r="H631" s="3" t="s">
        <v>32</v>
      </c>
      <c r="I631" s="3" t="s">
        <v>200</v>
      </c>
      <c r="J631" s="3" t="s">
        <v>201</v>
      </c>
      <c r="K631" s="2" t="str">
        <f aca="false">CONCATENATE(I631," ",J631)</f>
        <v>Trematocephalus cristatus</v>
      </c>
      <c r="L631" s="3" t="n">
        <f aca="false">SUM(P631:U631)</f>
        <v>1</v>
      </c>
      <c r="M631" s="11" t="n">
        <f aca="false">(L631/(F631*G631)*25)*4</f>
        <v>4</v>
      </c>
      <c r="N631" s="1" t="s">
        <v>30</v>
      </c>
      <c r="O631" s="1" t="s">
        <v>31</v>
      </c>
      <c r="P631" s="1" t="n">
        <v>1</v>
      </c>
      <c r="Q631" s="1" t="n">
        <v>0</v>
      </c>
      <c r="R631" s="1" t="n">
        <v>0</v>
      </c>
      <c r="S631" s="1" t="n">
        <v>0</v>
      </c>
      <c r="T631" s="1" t="n">
        <v>0</v>
      </c>
      <c r="U631" s="1" t="n">
        <v>0</v>
      </c>
      <c r="V631" s="3" t="n">
        <f aca="false">SUM(P631:Q631)</f>
        <v>1</v>
      </c>
      <c r="W631" s="3" t="n">
        <f aca="false">SUM(R631:T631)</f>
        <v>0</v>
      </c>
      <c r="X631" s="10" t="n">
        <v>39969</v>
      </c>
      <c r="Y631" s="10" t="n">
        <v>39974</v>
      </c>
    </row>
    <row r="632" customFormat="false" ht="14.25" hidden="false" customHeight="false" outlineLevel="0" collapsed="false">
      <c r="A632" s="1" t="n">
        <v>2009</v>
      </c>
      <c r="B632" s="1" t="n">
        <v>1</v>
      </c>
      <c r="C632" s="2" t="s">
        <v>50</v>
      </c>
      <c r="D632" s="7" t="s">
        <v>83</v>
      </c>
      <c r="E632" s="1" t="n">
        <v>3</v>
      </c>
      <c r="F632" s="1" t="n">
        <f aca="false">Y632-X632</f>
        <v>5</v>
      </c>
      <c r="G632" s="1" t="n">
        <v>5</v>
      </c>
      <c r="H632" s="3" t="s">
        <v>48</v>
      </c>
      <c r="I632" s="3" t="s">
        <v>49</v>
      </c>
      <c r="J632" s="3" t="s">
        <v>104</v>
      </c>
      <c r="K632" s="2" t="str">
        <f aca="false">CONCATENATE(I632," ",J632)</f>
        <v>Alopecosa taeniata</v>
      </c>
      <c r="L632" s="3" t="n">
        <f aca="false">SUM(P632:U632)</f>
        <v>3</v>
      </c>
      <c r="M632" s="11" t="n">
        <f aca="false">(L632/(F632*G632)*25)*4</f>
        <v>12</v>
      </c>
      <c r="N632" s="1" t="s">
        <v>30</v>
      </c>
      <c r="O632" s="1" t="s">
        <v>31</v>
      </c>
      <c r="P632" s="1" t="n">
        <v>3</v>
      </c>
      <c r="Q632" s="1" t="n">
        <v>0</v>
      </c>
      <c r="R632" s="1" t="n">
        <v>0</v>
      </c>
      <c r="S632" s="1" t="n">
        <v>0</v>
      </c>
      <c r="T632" s="1" t="n">
        <v>0</v>
      </c>
      <c r="U632" s="1" t="n">
        <v>0</v>
      </c>
      <c r="V632" s="3" t="n">
        <f aca="false">SUM(P632:Q632)</f>
        <v>3</v>
      </c>
      <c r="W632" s="3" t="n">
        <f aca="false">SUM(R632:T632)</f>
        <v>0</v>
      </c>
      <c r="X632" s="10" t="n">
        <v>39969</v>
      </c>
      <c r="Y632" s="10" t="n">
        <v>39974</v>
      </c>
    </row>
    <row r="633" customFormat="false" ht="14.25" hidden="false" customHeight="false" outlineLevel="0" collapsed="false">
      <c r="A633" s="1" t="n">
        <v>2009</v>
      </c>
      <c r="B633" s="1" t="n">
        <v>1</v>
      </c>
      <c r="C633" s="2" t="s">
        <v>50</v>
      </c>
      <c r="D633" s="7" t="s">
        <v>83</v>
      </c>
      <c r="E633" s="1" t="n">
        <v>3</v>
      </c>
      <c r="F633" s="1" t="n">
        <f aca="false">Y633-X633</f>
        <v>5</v>
      </c>
      <c r="G633" s="1" t="n">
        <v>5</v>
      </c>
      <c r="H633" s="3" t="s">
        <v>48</v>
      </c>
      <c r="I633" s="3" t="s">
        <v>49</v>
      </c>
      <c r="J633" s="3" t="s">
        <v>104</v>
      </c>
      <c r="K633" s="2" t="str">
        <f aca="false">CONCATENATE(I633," ",J633)</f>
        <v>Alopecosa taeniata</v>
      </c>
      <c r="L633" s="3" t="n">
        <f aca="false">SUM(P633:U633)</f>
        <v>4</v>
      </c>
      <c r="M633" s="11" t="n">
        <f aca="false">(L633/(F633*G633)*25)*4</f>
        <v>16</v>
      </c>
      <c r="N633" s="1" t="s">
        <v>30</v>
      </c>
      <c r="O633" s="1" t="s">
        <v>35</v>
      </c>
      <c r="P633" s="1" t="n">
        <v>0</v>
      </c>
      <c r="Q633" s="1" t="n">
        <v>4</v>
      </c>
      <c r="R633" s="1" t="n">
        <v>0</v>
      </c>
      <c r="S633" s="1" t="n">
        <v>0</v>
      </c>
      <c r="T633" s="1" t="n">
        <v>0</v>
      </c>
      <c r="U633" s="1" t="n">
        <v>0</v>
      </c>
      <c r="V633" s="3" t="n">
        <f aca="false">SUM(P633:Q633)</f>
        <v>4</v>
      </c>
      <c r="W633" s="3" t="n">
        <f aca="false">SUM(R633:T633)</f>
        <v>0</v>
      </c>
      <c r="X633" s="10" t="n">
        <v>39969</v>
      </c>
      <c r="Y633" s="10" t="n">
        <v>39974</v>
      </c>
    </row>
    <row r="634" customFormat="false" ht="14.25" hidden="false" customHeight="false" outlineLevel="0" collapsed="false">
      <c r="A634" s="1" t="n">
        <v>2009</v>
      </c>
      <c r="B634" s="1" t="n">
        <v>1</v>
      </c>
      <c r="C634" s="2" t="s">
        <v>50</v>
      </c>
      <c r="D634" s="7" t="s">
        <v>83</v>
      </c>
      <c r="E634" s="1" t="n">
        <v>3</v>
      </c>
      <c r="F634" s="1" t="n">
        <f aca="false">Y634-X634</f>
        <v>5</v>
      </c>
      <c r="G634" s="1" t="n">
        <v>5</v>
      </c>
      <c r="H634" s="3" t="s">
        <v>48</v>
      </c>
      <c r="I634" s="3" t="s">
        <v>67</v>
      </c>
      <c r="J634" s="3" t="s">
        <v>127</v>
      </c>
      <c r="K634" s="2" t="str">
        <f aca="false">CONCATENATE(I634," ",J634)</f>
        <v>Pardosa lugubris</v>
      </c>
      <c r="L634" s="3" t="n">
        <f aca="false">SUM(P634:U634)</f>
        <v>1</v>
      </c>
      <c r="M634" s="11" t="n">
        <f aca="false">(L634/(F634*G634)*25)*4</f>
        <v>4</v>
      </c>
      <c r="N634" s="1" t="s">
        <v>30</v>
      </c>
      <c r="O634" s="1" t="s">
        <v>35</v>
      </c>
      <c r="P634" s="1" t="n">
        <v>0</v>
      </c>
      <c r="Q634" s="1" t="n">
        <v>1</v>
      </c>
      <c r="R634" s="1" t="n">
        <v>0</v>
      </c>
      <c r="S634" s="1" t="n">
        <v>0</v>
      </c>
      <c r="T634" s="1" t="n">
        <v>0</v>
      </c>
      <c r="U634" s="1" t="n">
        <v>0</v>
      </c>
      <c r="V634" s="3" t="n">
        <f aca="false">SUM(P634:Q634)</f>
        <v>1</v>
      </c>
      <c r="W634" s="3" t="n">
        <f aca="false">SUM(R634:T634)</f>
        <v>0</v>
      </c>
      <c r="X634" s="10" t="n">
        <v>39969</v>
      </c>
      <c r="Y634" s="10" t="n">
        <v>39974</v>
      </c>
    </row>
    <row r="635" customFormat="false" ht="14.25" hidden="false" customHeight="false" outlineLevel="0" collapsed="false">
      <c r="A635" s="1" t="n">
        <v>2009</v>
      </c>
      <c r="B635" s="1" t="n">
        <v>1</v>
      </c>
      <c r="C635" s="2" t="s">
        <v>50</v>
      </c>
      <c r="D635" s="7" t="s">
        <v>83</v>
      </c>
      <c r="E635" s="1" t="n">
        <v>3</v>
      </c>
      <c r="F635" s="1" t="n">
        <f aca="false">Y635-X635</f>
        <v>5</v>
      </c>
      <c r="G635" s="1" t="n">
        <v>5</v>
      </c>
      <c r="H635" s="3" t="s">
        <v>48</v>
      </c>
      <c r="I635" s="3" t="s">
        <v>57</v>
      </c>
      <c r="J635" s="3" t="s">
        <v>38</v>
      </c>
      <c r="K635" s="2" t="str">
        <f aca="false">CONCATENATE(I635," ",J635)</f>
        <v>Gen sp</v>
      </c>
      <c r="L635" s="3" t="n">
        <f aca="false">SUM(P635:U635)</f>
        <v>2</v>
      </c>
      <c r="M635" s="11" t="n">
        <f aca="false">(L635/(F635*G635)*25)*4</f>
        <v>8</v>
      </c>
      <c r="N635" s="1" t="s">
        <v>19</v>
      </c>
      <c r="O635" s="1" t="s">
        <v>54</v>
      </c>
      <c r="P635" s="1" t="n">
        <v>0</v>
      </c>
      <c r="Q635" s="1" t="n">
        <v>0</v>
      </c>
      <c r="R635" s="1" t="n">
        <v>0</v>
      </c>
      <c r="S635" s="1" t="n">
        <v>0</v>
      </c>
      <c r="T635" s="1" t="n">
        <v>2</v>
      </c>
      <c r="U635" s="1" t="n">
        <v>0</v>
      </c>
      <c r="V635" s="3" t="n">
        <f aca="false">SUM(P635:Q635)</f>
        <v>0</v>
      </c>
      <c r="W635" s="3" t="n">
        <f aca="false">SUM(R635:T635)</f>
        <v>2</v>
      </c>
      <c r="X635" s="10" t="n">
        <v>39969</v>
      </c>
      <c r="Y635" s="10" t="n">
        <v>39974</v>
      </c>
    </row>
    <row r="636" customFormat="false" ht="14.25" hidden="false" customHeight="false" outlineLevel="0" collapsed="false">
      <c r="A636" s="1" t="n">
        <v>2009</v>
      </c>
      <c r="B636" s="1" t="n">
        <v>1</v>
      </c>
      <c r="C636" s="2" t="s">
        <v>50</v>
      </c>
      <c r="D636" s="7" t="s">
        <v>83</v>
      </c>
      <c r="E636" s="1" t="n">
        <v>3</v>
      </c>
      <c r="F636" s="1" t="n">
        <f aca="false">Y636-X636</f>
        <v>5</v>
      </c>
      <c r="G636" s="1" t="n">
        <v>5</v>
      </c>
      <c r="H636" s="3" t="s">
        <v>72</v>
      </c>
      <c r="I636" s="3" t="s">
        <v>86</v>
      </c>
      <c r="J636" s="8" t="s">
        <v>87</v>
      </c>
      <c r="K636" s="2" t="str">
        <f aca="false">CONCATENATE(I636," ",J636)</f>
        <v>Haplodrassus soerenseni</v>
      </c>
      <c r="L636" s="3" t="n">
        <f aca="false">SUM(P636:U636)</f>
        <v>1</v>
      </c>
      <c r="M636" s="11" t="n">
        <f aca="false">(L636/(F636*G636)*25)*4</f>
        <v>4</v>
      </c>
      <c r="N636" s="1" t="s">
        <v>30</v>
      </c>
      <c r="O636" s="1" t="s">
        <v>31</v>
      </c>
      <c r="P636" s="1" t="n">
        <v>1</v>
      </c>
      <c r="Q636" s="1" t="n">
        <v>0</v>
      </c>
      <c r="R636" s="1" t="n">
        <v>0</v>
      </c>
      <c r="S636" s="1" t="n">
        <v>0</v>
      </c>
      <c r="T636" s="1" t="n">
        <v>0</v>
      </c>
      <c r="U636" s="1" t="n">
        <v>0</v>
      </c>
      <c r="V636" s="3" t="n">
        <f aca="false">SUM(P636:Q636)</f>
        <v>1</v>
      </c>
      <c r="W636" s="3" t="n">
        <f aca="false">SUM(R636:T636)</f>
        <v>0</v>
      </c>
      <c r="X636" s="10" t="n">
        <v>39969</v>
      </c>
      <c r="Y636" s="10" t="n">
        <v>39974</v>
      </c>
    </row>
    <row r="637" customFormat="false" ht="14.25" hidden="false" customHeight="false" outlineLevel="0" collapsed="false">
      <c r="A637" s="1" t="n">
        <v>2009</v>
      </c>
      <c r="B637" s="1" t="n">
        <v>1</v>
      </c>
      <c r="C637" s="2" t="s">
        <v>50</v>
      </c>
      <c r="D637" s="7" t="s">
        <v>83</v>
      </c>
      <c r="E637" s="1" t="n">
        <v>3</v>
      </c>
      <c r="F637" s="1" t="n">
        <f aca="false">Y637-X637</f>
        <v>5</v>
      </c>
      <c r="G637" s="1" t="n">
        <v>5</v>
      </c>
      <c r="H637" s="3" t="s">
        <v>72</v>
      </c>
      <c r="I637" s="3" t="s">
        <v>86</v>
      </c>
      <c r="J637" s="8" t="s">
        <v>87</v>
      </c>
      <c r="K637" s="2" t="str">
        <f aca="false">CONCATENATE(I637," ",J637)</f>
        <v>Haplodrassus soerenseni</v>
      </c>
      <c r="L637" s="3" t="n">
        <f aca="false">SUM(P637:U637)</f>
        <v>1</v>
      </c>
      <c r="M637" s="11" t="n">
        <f aca="false">(L637/(F637*G637)*25)*4</f>
        <v>4</v>
      </c>
      <c r="N637" s="1" t="s">
        <v>30</v>
      </c>
      <c r="O637" s="1" t="s">
        <v>35</v>
      </c>
      <c r="P637" s="1" t="n">
        <v>0</v>
      </c>
      <c r="Q637" s="1" t="n">
        <v>1</v>
      </c>
      <c r="R637" s="1" t="n">
        <v>0</v>
      </c>
      <c r="S637" s="1" t="n">
        <v>0</v>
      </c>
      <c r="T637" s="1" t="n">
        <v>0</v>
      </c>
      <c r="U637" s="1" t="n">
        <v>0</v>
      </c>
      <c r="V637" s="3" t="n">
        <f aca="false">SUM(P637:Q637)</f>
        <v>1</v>
      </c>
      <c r="W637" s="3" t="n">
        <f aca="false">SUM(R637:T637)</f>
        <v>0</v>
      </c>
      <c r="X637" s="10" t="n">
        <v>39969</v>
      </c>
      <c r="Y637" s="10" t="n">
        <v>39974</v>
      </c>
    </row>
    <row r="638" customFormat="false" ht="14.25" hidden="false" customHeight="false" outlineLevel="0" collapsed="false">
      <c r="A638" s="1" t="n">
        <v>2009</v>
      </c>
      <c r="B638" s="1" t="n">
        <v>1</v>
      </c>
      <c r="C638" s="2" t="s">
        <v>50</v>
      </c>
      <c r="D638" s="7" t="s">
        <v>83</v>
      </c>
      <c r="E638" s="1" t="n">
        <v>3</v>
      </c>
      <c r="F638" s="1" t="n">
        <f aca="false">Y638-X638</f>
        <v>5</v>
      </c>
      <c r="G638" s="1" t="n">
        <v>5</v>
      </c>
      <c r="H638" s="3" t="s">
        <v>32</v>
      </c>
      <c r="I638" s="3" t="s">
        <v>57</v>
      </c>
      <c r="J638" s="3" t="s">
        <v>38</v>
      </c>
      <c r="K638" s="2" t="str">
        <f aca="false">CONCATENATE(I638," ",J638)</f>
        <v>Gen sp</v>
      </c>
      <c r="L638" s="3" t="n">
        <f aca="false">SUM(P638:U638)</f>
        <v>1</v>
      </c>
      <c r="M638" s="11" t="n">
        <f aca="false">(L638/(F638*G638)*25)*4</f>
        <v>4</v>
      </c>
      <c r="N638" s="1" t="s">
        <v>19</v>
      </c>
      <c r="O638" s="1" t="s">
        <v>54</v>
      </c>
      <c r="P638" s="1" t="n">
        <v>0</v>
      </c>
      <c r="Q638" s="1" t="n">
        <v>0</v>
      </c>
      <c r="R638" s="1" t="n">
        <v>0</v>
      </c>
      <c r="S638" s="1" t="n">
        <v>0</v>
      </c>
      <c r="T638" s="1" t="n">
        <v>1</v>
      </c>
      <c r="U638" s="1" t="n">
        <v>0</v>
      </c>
      <c r="V638" s="3" t="n">
        <f aca="false">SUM(P638:Q638)</f>
        <v>0</v>
      </c>
      <c r="W638" s="3" t="n">
        <f aca="false">SUM(R638:T638)</f>
        <v>1</v>
      </c>
      <c r="X638" s="10" t="n">
        <v>39969</v>
      </c>
      <c r="Y638" s="10" t="n">
        <v>39974</v>
      </c>
    </row>
    <row r="639" customFormat="false" ht="14.25" hidden="false" customHeight="false" outlineLevel="0" collapsed="false">
      <c r="A639" s="1" t="n">
        <v>2009</v>
      </c>
      <c r="B639" s="1" t="n">
        <v>1</v>
      </c>
      <c r="C639" s="2" t="s">
        <v>50</v>
      </c>
      <c r="D639" s="7" t="s">
        <v>83</v>
      </c>
      <c r="E639" s="1" t="n">
        <v>3</v>
      </c>
      <c r="F639" s="1" t="n">
        <f aca="false">Y639-X639</f>
        <v>5</v>
      </c>
      <c r="G639" s="1" t="n">
        <v>5</v>
      </c>
      <c r="H639" s="3" t="s">
        <v>32</v>
      </c>
      <c r="I639" s="3" t="s">
        <v>62</v>
      </c>
      <c r="J639" s="3" t="s">
        <v>63</v>
      </c>
      <c r="K639" s="2" t="str">
        <f aca="false">CONCATENATE(I639," ",J639)</f>
        <v>Microneta viaria</v>
      </c>
      <c r="L639" s="3" t="n">
        <f aca="false">SUM(P639:U639)</f>
        <v>1</v>
      </c>
      <c r="M639" s="11" t="n">
        <f aca="false">(L639/(F639*G639)*25)*4</f>
        <v>4</v>
      </c>
      <c r="N639" s="1" t="s">
        <v>30</v>
      </c>
      <c r="O639" s="1" t="s">
        <v>35</v>
      </c>
      <c r="P639" s="1" t="n">
        <v>0</v>
      </c>
      <c r="Q639" s="1" t="n">
        <v>1</v>
      </c>
      <c r="R639" s="1" t="n">
        <v>0</v>
      </c>
      <c r="S639" s="1" t="n">
        <v>0</v>
      </c>
      <c r="T639" s="1" t="n">
        <v>0</v>
      </c>
      <c r="U639" s="1" t="n">
        <v>0</v>
      </c>
      <c r="V639" s="3" t="n">
        <f aca="false">SUM(P639:Q639)</f>
        <v>1</v>
      </c>
      <c r="W639" s="3" t="n">
        <f aca="false">SUM(R639:T639)</f>
        <v>0</v>
      </c>
      <c r="X639" s="10" t="n">
        <v>39969</v>
      </c>
      <c r="Y639" s="10" t="n">
        <v>39974</v>
      </c>
    </row>
    <row r="640" customFormat="false" ht="14.25" hidden="false" customHeight="false" outlineLevel="0" collapsed="false">
      <c r="A640" s="1" t="n">
        <v>2009</v>
      </c>
      <c r="B640" s="1" t="n">
        <v>1</v>
      </c>
      <c r="C640" s="2" t="s">
        <v>50</v>
      </c>
      <c r="D640" s="7" t="s">
        <v>83</v>
      </c>
      <c r="E640" s="1" t="n">
        <v>3</v>
      </c>
      <c r="F640" s="1" t="n">
        <f aca="false">Y640-X640</f>
        <v>5</v>
      </c>
      <c r="G640" s="1" t="n">
        <v>5</v>
      </c>
      <c r="H640" s="13" t="s">
        <v>32</v>
      </c>
      <c r="I640" s="13" t="s">
        <v>93</v>
      </c>
      <c r="J640" s="14" t="s">
        <v>94</v>
      </c>
      <c r="K640" s="2" t="str">
        <f aca="false">CONCATENATE(I640," ",J640)</f>
        <v>Anguliphantes angulipalpis</v>
      </c>
      <c r="L640" s="3" t="n">
        <f aca="false">SUM(P640:U640)</f>
        <v>1</v>
      </c>
      <c r="M640" s="11" t="n">
        <f aca="false">(L640/(F640*G640)*25)*4</f>
        <v>4</v>
      </c>
      <c r="N640" s="1" t="s">
        <v>30</v>
      </c>
      <c r="O640" s="1" t="s">
        <v>31</v>
      </c>
      <c r="P640" s="1" t="n">
        <v>1</v>
      </c>
      <c r="Q640" s="1" t="n">
        <v>0</v>
      </c>
      <c r="R640" s="1" t="n">
        <v>0</v>
      </c>
      <c r="S640" s="1" t="n">
        <v>0</v>
      </c>
      <c r="T640" s="1" t="n">
        <v>0</v>
      </c>
      <c r="U640" s="1" t="n">
        <v>0</v>
      </c>
      <c r="V640" s="3" t="n">
        <f aca="false">SUM(P640:Q640)</f>
        <v>1</v>
      </c>
      <c r="W640" s="3" t="n">
        <f aca="false">SUM(R640:T640)</f>
        <v>0</v>
      </c>
      <c r="X640" s="10" t="n">
        <v>39969</v>
      </c>
      <c r="Y640" s="10" t="n">
        <v>39974</v>
      </c>
    </row>
    <row r="641" customFormat="false" ht="14.25" hidden="false" customHeight="false" outlineLevel="0" collapsed="false">
      <c r="A641" s="1" t="n">
        <v>2009</v>
      </c>
      <c r="B641" s="1" t="n">
        <v>1</v>
      </c>
      <c r="C641" s="2" t="s">
        <v>50</v>
      </c>
      <c r="D641" s="7" t="s">
        <v>158</v>
      </c>
      <c r="E641" s="1" t="n">
        <v>1</v>
      </c>
      <c r="F641" s="1" t="n">
        <f aca="false">Y641-X641</f>
        <v>5</v>
      </c>
      <c r="G641" s="1" t="n">
        <v>5</v>
      </c>
      <c r="H641" s="3" t="s">
        <v>48</v>
      </c>
      <c r="I641" s="3" t="s">
        <v>49</v>
      </c>
      <c r="J641" s="3" t="s">
        <v>104</v>
      </c>
      <c r="K641" s="2" t="str">
        <f aca="false">CONCATENATE(I641," ",J641)</f>
        <v>Alopecosa taeniata</v>
      </c>
      <c r="L641" s="3" t="n">
        <f aca="false">SUM(P641:U641)</f>
        <v>1</v>
      </c>
      <c r="M641" s="11" t="n">
        <f aca="false">(L641/(F641*G641)*25)*4</f>
        <v>4</v>
      </c>
      <c r="N641" s="1" t="s">
        <v>30</v>
      </c>
      <c r="O641" s="1" t="s">
        <v>31</v>
      </c>
      <c r="P641" s="1" t="n">
        <v>1</v>
      </c>
      <c r="Q641" s="1" t="n">
        <v>0</v>
      </c>
      <c r="R641" s="1" t="n">
        <v>0</v>
      </c>
      <c r="S641" s="1" t="n">
        <v>0</v>
      </c>
      <c r="T641" s="1" t="n">
        <v>0</v>
      </c>
      <c r="U641" s="1" t="n">
        <v>0</v>
      </c>
      <c r="V641" s="3" t="n">
        <f aca="false">SUM(P641:Q641)</f>
        <v>1</v>
      </c>
      <c r="W641" s="3" t="n">
        <f aca="false">SUM(R641:T641)</f>
        <v>0</v>
      </c>
      <c r="X641" s="10" t="n">
        <v>39970</v>
      </c>
      <c r="Y641" s="10" t="n">
        <v>39975</v>
      </c>
    </row>
    <row r="642" customFormat="false" ht="14.25" hidden="false" customHeight="false" outlineLevel="0" collapsed="false">
      <c r="A642" s="1" t="n">
        <v>2009</v>
      </c>
      <c r="B642" s="1" t="n">
        <v>1</v>
      </c>
      <c r="C642" s="2" t="s">
        <v>50</v>
      </c>
      <c r="D642" s="7" t="s">
        <v>158</v>
      </c>
      <c r="E642" s="1" t="n">
        <v>1</v>
      </c>
      <c r="F642" s="1" t="n">
        <f aca="false">Y642-X642</f>
        <v>5</v>
      </c>
      <c r="G642" s="1" t="n">
        <v>5</v>
      </c>
      <c r="H642" s="3" t="s">
        <v>48</v>
      </c>
      <c r="I642" s="3" t="s">
        <v>67</v>
      </c>
      <c r="J642" s="3" t="s">
        <v>127</v>
      </c>
      <c r="K642" s="2" t="str">
        <f aca="false">CONCATENATE(I642," ",J642)</f>
        <v>Pardosa lugubris</v>
      </c>
      <c r="L642" s="3" t="n">
        <f aca="false">SUM(P642:U642)</f>
        <v>6</v>
      </c>
      <c r="M642" s="11" t="n">
        <f aca="false">(L642/(F642*G642)*25)*4</f>
        <v>24</v>
      </c>
      <c r="N642" s="1" t="s">
        <v>30</v>
      </c>
      <c r="O642" s="1" t="s">
        <v>31</v>
      </c>
      <c r="P642" s="1" t="n">
        <v>6</v>
      </c>
      <c r="Q642" s="1" t="n">
        <v>0</v>
      </c>
      <c r="R642" s="1" t="n">
        <v>0</v>
      </c>
      <c r="S642" s="1" t="n">
        <v>0</v>
      </c>
      <c r="T642" s="1" t="n">
        <v>0</v>
      </c>
      <c r="U642" s="1" t="n">
        <v>0</v>
      </c>
      <c r="V642" s="3" t="n">
        <f aca="false">SUM(P642:Q642)</f>
        <v>6</v>
      </c>
      <c r="W642" s="3" t="n">
        <f aca="false">SUM(R642:T642)</f>
        <v>0</v>
      </c>
      <c r="X642" s="10" t="n">
        <v>39970</v>
      </c>
      <c r="Y642" s="10" t="n">
        <v>39975</v>
      </c>
    </row>
    <row r="643" customFormat="false" ht="14.25" hidden="false" customHeight="false" outlineLevel="0" collapsed="false">
      <c r="A643" s="1" t="n">
        <v>2009</v>
      </c>
      <c r="B643" s="1" t="n">
        <v>1</v>
      </c>
      <c r="C643" s="2" t="s">
        <v>50</v>
      </c>
      <c r="D643" s="7" t="s">
        <v>158</v>
      </c>
      <c r="E643" s="1" t="n">
        <v>1</v>
      </c>
      <c r="F643" s="1" t="n">
        <f aca="false">Y643-X643</f>
        <v>5</v>
      </c>
      <c r="G643" s="1" t="n">
        <v>5</v>
      </c>
      <c r="H643" s="3" t="s">
        <v>48</v>
      </c>
      <c r="I643" s="3" t="s">
        <v>67</v>
      </c>
      <c r="J643" s="3" t="s">
        <v>127</v>
      </c>
      <c r="K643" s="2" t="str">
        <f aca="false">CONCATENATE(I643," ",J643)</f>
        <v>Pardosa lugubris</v>
      </c>
      <c r="L643" s="3" t="n">
        <f aca="false">SUM(P643:U643)</f>
        <v>1</v>
      </c>
      <c r="M643" s="11" t="n">
        <f aca="false">(L643/(F643*G643)*25)*4</f>
        <v>4</v>
      </c>
      <c r="N643" s="1" t="s">
        <v>30</v>
      </c>
      <c r="O643" s="1" t="s">
        <v>35</v>
      </c>
      <c r="P643" s="1" t="n">
        <v>0</v>
      </c>
      <c r="Q643" s="1" t="n">
        <v>1</v>
      </c>
      <c r="R643" s="1" t="n">
        <v>0</v>
      </c>
      <c r="S643" s="1" t="n">
        <v>0</v>
      </c>
      <c r="T643" s="1" t="n">
        <v>0</v>
      </c>
      <c r="U643" s="1" t="n">
        <v>0</v>
      </c>
      <c r="V643" s="3" t="n">
        <f aca="false">SUM(P643:Q643)</f>
        <v>1</v>
      </c>
      <c r="W643" s="3" t="n">
        <f aca="false">SUM(R643:T643)</f>
        <v>0</v>
      </c>
      <c r="X643" s="10" t="n">
        <v>39970</v>
      </c>
      <c r="Y643" s="10" t="n">
        <v>39975</v>
      </c>
    </row>
    <row r="644" customFormat="false" ht="14.25" hidden="false" customHeight="false" outlineLevel="0" collapsed="false">
      <c r="A644" s="1" t="n">
        <v>2009</v>
      </c>
      <c r="B644" s="1" t="n">
        <v>1</v>
      </c>
      <c r="C644" s="2" t="s">
        <v>50</v>
      </c>
      <c r="D644" s="7" t="s">
        <v>158</v>
      </c>
      <c r="E644" s="1" t="n">
        <v>1</v>
      </c>
      <c r="F644" s="1" t="n">
        <f aca="false">Y644-X644</f>
        <v>5</v>
      </c>
      <c r="G644" s="1" t="n">
        <v>5</v>
      </c>
      <c r="H644" s="3" t="s">
        <v>48</v>
      </c>
      <c r="I644" s="3" t="s">
        <v>49</v>
      </c>
      <c r="J644" s="3" t="s">
        <v>119</v>
      </c>
      <c r="K644" s="2" t="str">
        <f aca="false">CONCATENATE(I644," ",J644)</f>
        <v>Alopecosa sulzeri</v>
      </c>
      <c r="L644" s="3" t="n">
        <f aca="false">SUM(P644:U644)</f>
        <v>1</v>
      </c>
      <c r="M644" s="11" t="n">
        <f aca="false">(L644/(F644*G644)*25)*4</f>
        <v>4</v>
      </c>
      <c r="N644" s="1" t="s">
        <v>30</v>
      </c>
      <c r="O644" s="1" t="s">
        <v>31</v>
      </c>
      <c r="P644" s="1" t="n">
        <v>1</v>
      </c>
      <c r="Q644" s="1" t="n">
        <v>0</v>
      </c>
      <c r="R644" s="1" t="n">
        <v>0</v>
      </c>
      <c r="S644" s="1" t="n">
        <v>0</v>
      </c>
      <c r="T644" s="1" t="n">
        <v>0</v>
      </c>
      <c r="U644" s="1" t="n">
        <v>0</v>
      </c>
      <c r="V644" s="3" t="n">
        <f aca="false">SUM(P644:Q644)</f>
        <v>1</v>
      </c>
      <c r="W644" s="3" t="n">
        <f aca="false">SUM(R644:T644)</f>
        <v>0</v>
      </c>
      <c r="X644" s="10" t="n">
        <v>39970</v>
      </c>
      <c r="Y644" s="10" t="n">
        <v>39975</v>
      </c>
    </row>
    <row r="645" customFormat="false" ht="14.25" hidden="false" customHeight="false" outlineLevel="0" collapsed="false">
      <c r="A645" s="1" t="n">
        <v>2009</v>
      </c>
      <c r="B645" s="1" t="n">
        <v>1</v>
      </c>
      <c r="C645" s="2" t="s">
        <v>50</v>
      </c>
      <c r="D645" s="7" t="s">
        <v>158</v>
      </c>
      <c r="E645" s="1" t="n">
        <v>1</v>
      </c>
      <c r="F645" s="1" t="n">
        <f aca="false">Y645-X645</f>
        <v>5</v>
      </c>
      <c r="G645" s="1" t="n">
        <v>5</v>
      </c>
      <c r="H645" s="3" t="s">
        <v>36</v>
      </c>
      <c r="I645" s="3" t="s">
        <v>131</v>
      </c>
      <c r="J645" s="3" t="s">
        <v>133</v>
      </c>
      <c r="K645" s="2" t="str">
        <f aca="false">CONCATENATE(I645," ",J645)</f>
        <v>Xysticus luctuosus</v>
      </c>
      <c r="L645" s="3" t="n">
        <f aca="false">SUM(P645:U645)</f>
        <v>1</v>
      </c>
      <c r="M645" s="11" t="n">
        <f aca="false">(L645/(F645*G645)*25)*4</f>
        <v>4</v>
      </c>
      <c r="N645" s="1" t="s">
        <v>30</v>
      </c>
      <c r="O645" s="1" t="s">
        <v>31</v>
      </c>
      <c r="P645" s="1" t="n">
        <v>1</v>
      </c>
      <c r="Q645" s="1" t="n">
        <v>0</v>
      </c>
      <c r="R645" s="1" t="n">
        <v>0</v>
      </c>
      <c r="S645" s="1" t="n">
        <v>0</v>
      </c>
      <c r="T645" s="1" t="n">
        <v>0</v>
      </c>
      <c r="U645" s="1" t="n">
        <v>0</v>
      </c>
      <c r="V645" s="3" t="n">
        <f aca="false">SUM(P645:Q645)</f>
        <v>1</v>
      </c>
      <c r="W645" s="3" t="n">
        <f aca="false">SUM(R645:T645)</f>
        <v>0</v>
      </c>
      <c r="X645" s="10" t="n">
        <v>39970</v>
      </c>
      <c r="Y645" s="10" t="n">
        <v>39975</v>
      </c>
    </row>
    <row r="646" customFormat="false" ht="14.25" hidden="false" customHeight="false" outlineLevel="0" collapsed="false">
      <c r="A646" s="1" t="n">
        <v>2009</v>
      </c>
      <c r="B646" s="1" t="n">
        <v>1</v>
      </c>
      <c r="C646" s="2" t="s">
        <v>50</v>
      </c>
      <c r="D646" s="7" t="s">
        <v>158</v>
      </c>
      <c r="E646" s="1" t="n">
        <v>1</v>
      </c>
      <c r="F646" s="1" t="n">
        <f aca="false">Y646-X646</f>
        <v>5</v>
      </c>
      <c r="G646" s="1" t="n">
        <v>5</v>
      </c>
      <c r="H646" s="3" t="s">
        <v>32</v>
      </c>
      <c r="I646" s="3" t="s">
        <v>55</v>
      </c>
      <c r="J646" s="3" t="s">
        <v>194</v>
      </c>
      <c r="K646" s="2" t="str">
        <f aca="false">CONCATENATE(I646," ",J646)</f>
        <v>Maro pansibiricus</v>
      </c>
      <c r="L646" s="3" t="n">
        <f aca="false">SUM(P646:U646)</f>
        <v>3</v>
      </c>
      <c r="M646" s="11" t="n">
        <f aca="false">(L646/(F646*G646)*25)*4</f>
        <v>12</v>
      </c>
      <c r="N646" s="1" t="s">
        <v>30</v>
      </c>
      <c r="O646" s="1" t="s">
        <v>31</v>
      </c>
      <c r="P646" s="1" t="n">
        <v>3</v>
      </c>
      <c r="Q646" s="1" t="n">
        <v>0</v>
      </c>
      <c r="R646" s="1" t="n">
        <v>0</v>
      </c>
      <c r="S646" s="1" t="n">
        <v>0</v>
      </c>
      <c r="T646" s="1" t="n">
        <v>0</v>
      </c>
      <c r="U646" s="1" t="n">
        <v>0</v>
      </c>
      <c r="V646" s="3" t="n">
        <f aca="false">SUM(P646:Q646)</f>
        <v>3</v>
      </c>
      <c r="W646" s="3" t="n">
        <f aca="false">SUM(R646:T646)</f>
        <v>0</v>
      </c>
      <c r="X646" s="10" t="n">
        <v>39970</v>
      </c>
      <c r="Y646" s="10" t="n">
        <v>39975</v>
      </c>
    </row>
    <row r="647" customFormat="false" ht="14.25" hidden="false" customHeight="false" outlineLevel="0" collapsed="false">
      <c r="A647" s="1" t="n">
        <v>2009</v>
      </c>
      <c r="B647" s="1" t="n">
        <v>1</v>
      </c>
      <c r="C647" s="2" t="s">
        <v>50</v>
      </c>
      <c r="D647" s="7" t="s">
        <v>158</v>
      </c>
      <c r="E647" s="1" t="n">
        <v>1</v>
      </c>
      <c r="F647" s="1" t="n">
        <f aca="false">Y647-X647</f>
        <v>5</v>
      </c>
      <c r="G647" s="1" t="n">
        <v>5</v>
      </c>
      <c r="H647" s="13" t="s">
        <v>32</v>
      </c>
      <c r="I647" s="13" t="s">
        <v>96</v>
      </c>
      <c r="J647" s="14" t="s">
        <v>97</v>
      </c>
      <c r="K647" s="2" t="str">
        <f aca="false">CONCATENATE(I647," ",J647)</f>
        <v>Diplocephalus picinus</v>
      </c>
      <c r="L647" s="3" t="n">
        <f aca="false">SUM(P647:U647)</f>
        <v>1</v>
      </c>
      <c r="M647" s="11" t="n">
        <f aca="false">(L647/(F647*G647)*25)*4</f>
        <v>4</v>
      </c>
      <c r="N647" s="1" t="s">
        <v>30</v>
      </c>
      <c r="O647" s="1" t="s">
        <v>31</v>
      </c>
      <c r="P647" s="1" t="n">
        <v>1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0</v>
      </c>
      <c r="V647" s="3" t="n">
        <f aca="false">SUM(P647:Q647)</f>
        <v>1</v>
      </c>
      <c r="W647" s="3" t="n">
        <f aca="false">SUM(R647:T647)</f>
        <v>0</v>
      </c>
      <c r="X647" s="10" t="n">
        <v>39970</v>
      </c>
      <c r="Y647" s="10" t="n">
        <v>39975</v>
      </c>
    </row>
    <row r="648" customFormat="false" ht="14.25" hidden="false" customHeight="false" outlineLevel="0" collapsed="false">
      <c r="A648" s="1" t="n">
        <v>2009</v>
      </c>
      <c r="B648" s="1" t="n">
        <v>1</v>
      </c>
      <c r="C648" s="2" t="s">
        <v>50</v>
      </c>
      <c r="D648" s="7" t="s">
        <v>158</v>
      </c>
      <c r="E648" s="1" t="n">
        <v>1</v>
      </c>
      <c r="F648" s="1" t="n">
        <f aca="false">Y648-X648</f>
        <v>5</v>
      </c>
      <c r="G648" s="1" t="n">
        <v>5</v>
      </c>
      <c r="H648" s="13" t="s">
        <v>32</v>
      </c>
      <c r="I648" s="13" t="s">
        <v>202</v>
      </c>
      <c r="J648" s="14" t="s">
        <v>203</v>
      </c>
      <c r="K648" s="2" t="str">
        <f aca="false">CONCATENATE(I648," ",J648)</f>
        <v>Hypselistes jacksoni</v>
      </c>
      <c r="L648" s="3" t="n">
        <f aca="false">SUM(P648:U648)</f>
        <v>1</v>
      </c>
      <c r="M648" s="11" t="n">
        <f aca="false">(L648/(F648*G648)*25)*4</f>
        <v>4</v>
      </c>
      <c r="N648" s="1" t="s">
        <v>30</v>
      </c>
      <c r="O648" s="1" t="s">
        <v>35</v>
      </c>
      <c r="P648" s="1" t="n">
        <v>0</v>
      </c>
      <c r="Q648" s="1" t="n">
        <v>1</v>
      </c>
      <c r="R648" s="1" t="n">
        <v>0</v>
      </c>
      <c r="S648" s="1" t="n">
        <v>0</v>
      </c>
      <c r="T648" s="1" t="n">
        <v>0</v>
      </c>
      <c r="U648" s="1" t="n">
        <v>0</v>
      </c>
      <c r="V648" s="3" t="n">
        <f aca="false">SUM(P648:Q648)</f>
        <v>1</v>
      </c>
      <c r="W648" s="3" t="n">
        <f aca="false">SUM(R648:T648)</f>
        <v>0</v>
      </c>
      <c r="X648" s="10" t="n">
        <v>39970</v>
      </c>
      <c r="Y648" s="10" t="n">
        <v>39975</v>
      </c>
    </row>
    <row r="649" customFormat="false" ht="14.25" hidden="false" customHeight="false" outlineLevel="0" collapsed="false">
      <c r="A649" s="1" t="n">
        <v>2009</v>
      </c>
      <c r="B649" s="1" t="n">
        <v>1</v>
      </c>
      <c r="C649" s="2" t="s">
        <v>50</v>
      </c>
      <c r="D649" s="7" t="s">
        <v>158</v>
      </c>
      <c r="E649" s="1" t="n">
        <v>1</v>
      </c>
      <c r="F649" s="1" t="n">
        <f aca="false">Y649-X649</f>
        <v>5</v>
      </c>
      <c r="G649" s="1" t="n">
        <v>5</v>
      </c>
      <c r="H649" s="3" t="s">
        <v>48</v>
      </c>
      <c r="I649" s="3" t="s">
        <v>49</v>
      </c>
      <c r="J649" s="3" t="s">
        <v>104</v>
      </c>
      <c r="K649" s="2" t="str">
        <f aca="false">CONCATENATE(I649," ",J649)</f>
        <v>Alopecosa taeniata</v>
      </c>
      <c r="L649" s="3" t="n">
        <f aca="false">SUM(P649:U649)</f>
        <v>1</v>
      </c>
      <c r="M649" s="11" t="n">
        <f aca="false">(L649/(F649*G649)*25)*4</f>
        <v>4</v>
      </c>
      <c r="N649" s="1" t="s">
        <v>30</v>
      </c>
      <c r="O649" s="1" t="s">
        <v>31</v>
      </c>
      <c r="P649" s="1" t="n">
        <v>1</v>
      </c>
      <c r="Q649" s="1" t="n">
        <v>0</v>
      </c>
      <c r="R649" s="1" t="n">
        <v>0</v>
      </c>
      <c r="S649" s="1" t="n">
        <v>0</v>
      </c>
      <c r="T649" s="1" t="n">
        <v>0</v>
      </c>
      <c r="U649" s="1" t="n">
        <v>0</v>
      </c>
      <c r="V649" s="3" t="n">
        <f aca="false">SUM(P649:Q649)</f>
        <v>1</v>
      </c>
      <c r="W649" s="3" t="n">
        <f aca="false">SUM(R649:T649)</f>
        <v>0</v>
      </c>
      <c r="X649" s="10" t="n">
        <v>39970</v>
      </c>
      <c r="Y649" s="10" t="n">
        <v>39975</v>
      </c>
    </row>
    <row r="650" customFormat="false" ht="14.25" hidden="false" customHeight="false" outlineLevel="0" collapsed="false">
      <c r="A650" s="1" t="n">
        <v>2009</v>
      </c>
      <c r="B650" s="1" t="n">
        <v>1</v>
      </c>
      <c r="C650" s="2" t="s">
        <v>50</v>
      </c>
      <c r="D650" s="7" t="s">
        <v>158</v>
      </c>
      <c r="E650" s="1" t="n">
        <v>1</v>
      </c>
      <c r="F650" s="1" t="n">
        <f aca="false">Y650-X650</f>
        <v>5</v>
      </c>
      <c r="G650" s="1" t="n">
        <v>5</v>
      </c>
      <c r="H650" s="3" t="s">
        <v>48</v>
      </c>
      <c r="I650" s="3" t="s">
        <v>67</v>
      </c>
      <c r="J650" s="3" t="s">
        <v>127</v>
      </c>
      <c r="K650" s="2" t="str">
        <f aca="false">CONCATENATE(I650," ",J650)</f>
        <v>Pardosa lugubris</v>
      </c>
      <c r="L650" s="3" t="n">
        <f aca="false">SUM(P650:U650)</f>
        <v>4</v>
      </c>
      <c r="M650" s="11" t="n">
        <f aca="false">(L650/(F650*G650)*25)*4</f>
        <v>16</v>
      </c>
      <c r="N650" s="1" t="s">
        <v>30</v>
      </c>
      <c r="O650" s="1" t="s">
        <v>31</v>
      </c>
      <c r="P650" s="1" t="n">
        <v>4</v>
      </c>
      <c r="Q650" s="1" t="n">
        <v>0</v>
      </c>
      <c r="R650" s="1" t="n">
        <v>0</v>
      </c>
      <c r="S650" s="1" t="n">
        <v>0</v>
      </c>
      <c r="T650" s="1" t="n">
        <v>0</v>
      </c>
      <c r="U650" s="1" t="n">
        <v>0</v>
      </c>
      <c r="V650" s="3" t="n">
        <f aca="false">SUM(P650:Q650)</f>
        <v>4</v>
      </c>
      <c r="W650" s="3" t="n">
        <f aca="false">SUM(R650:T650)</f>
        <v>0</v>
      </c>
      <c r="X650" s="10" t="n">
        <v>39970</v>
      </c>
      <c r="Y650" s="10" t="n">
        <v>39975</v>
      </c>
    </row>
    <row r="651" customFormat="false" ht="14.25" hidden="false" customHeight="false" outlineLevel="0" collapsed="false">
      <c r="A651" s="1" t="n">
        <v>2009</v>
      </c>
      <c r="B651" s="1" t="n">
        <v>1</v>
      </c>
      <c r="C651" s="2" t="s">
        <v>50</v>
      </c>
      <c r="D651" s="7" t="s">
        <v>158</v>
      </c>
      <c r="E651" s="1" t="n">
        <v>1</v>
      </c>
      <c r="F651" s="1" t="n">
        <f aca="false">Y651-X651</f>
        <v>5</v>
      </c>
      <c r="G651" s="1" t="n">
        <v>5</v>
      </c>
      <c r="H651" s="3" t="s">
        <v>48</v>
      </c>
      <c r="I651" s="3" t="s">
        <v>67</v>
      </c>
      <c r="J651" s="3" t="s">
        <v>127</v>
      </c>
      <c r="K651" s="2" t="str">
        <f aca="false">CONCATENATE(I651," ",J651)</f>
        <v>Pardosa lugubris</v>
      </c>
      <c r="L651" s="3" t="n">
        <f aca="false">SUM(P651:U651)</f>
        <v>2</v>
      </c>
      <c r="M651" s="11" t="n">
        <f aca="false">(L651/(F651*G651)*25)*4</f>
        <v>8</v>
      </c>
      <c r="N651" s="1" t="s">
        <v>30</v>
      </c>
      <c r="O651" s="1" t="s">
        <v>35</v>
      </c>
      <c r="P651" s="1" t="n">
        <v>0</v>
      </c>
      <c r="Q651" s="1" t="n">
        <v>2</v>
      </c>
      <c r="R651" s="1" t="n">
        <v>0</v>
      </c>
      <c r="S651" s="1" t="n">
        <v>0</v>
      </c>
      <c r="T651" s="1" t="n">
        <v>0</v>
      </c>
      <c r="U651" s="1" t="n">
        <v>0</v>
      </c>
      <c r="V651" s="3" t="n">
        <f aca="false">SUM(P651:Q651)</f>
        <v>2</v>
      </c>
      <c r="W651" s="3" t="n">
        <f aca="false">SUM(R651:T651)</f>
        <v>0</v>
      </c>
      <c r="X651" s="10" t="n">
        <v>39970</v>
      </c>
      <c r="Y651" s="10" t="n">
        <v>39975</v>
      </c>
    </row>
    <row r="652" customFormat="false" ht="14.25" hidden="false" customHeight="false" outlineLevel="0" collapsed="false">
      <c r="A652" s="1" t="n">
        <v>2009</v>
      </c>
      <c r="B652" s="1" t="n">
        <v>1</v>
      </c>
      <c r="C652" s="2" t="s">
        <v>50</v>
      </c>
      <c r="D652" s="7" t="s">
        <v>158</v>
      </c>
      <c r="E652" s="1" t="n">
        <v>1</v>
      </c>
      <c r="F652" s="1" t="n">
        <f aca="false">Y652-X652</f>
        <v>5</v>
      </c>
      <c r="G652" s="1" t="n">
        <v>5</v>
      </c>
      <c r="H652" s="3" t="s">
        <v>48</v>
      </c>
      <c r="I652" s="3" t="s">
        <v>49</v>
      </c>
      <c r="J652" s="3" t="s">
        <v>38</v>
      </c>
      <c r="K652" s="2" t="str">
        <f aca="false">CONCATENATE(I652," ",J652)</f>
        <v>Alopecosa sp</v>
      </c>
      <c r="L652" s="3" t="n">
        <f aca="false">SUM(P652:U652)</f>
        <v>1</v>
      </c>
      <c r="M652" s="11" t="n">
        <f aca="false">(L652/(F652*G652)*25)*4</f>
        <v>4</v>
      </c>
      <c r="N652" s="1" t="s">
        <v>19</v>
      </c>
      <c r="O652" s="1" t="s">
        <v>54</v>
      </c>
      <c r="P652" s="1" t="n">
        <v>0</v>
      </c>
      <c r="Q652" s="1" t="n">
        <v>0</v>
      </c>
      <c r="R652" s="1" t="n">
        <v>0</v>
      </c>
      <c r="S652" s="1" t="n">
        <v>0</v>
      </c>
      <c r="T652" s="1" t="n">
        <v>1</v>
      </c>
      <c r="U652" s="1" t="n">
        <v>0</v>
      </c>
      <c r="V652" s="3" t="n">
        <f aca="false">SUM(P652:Q652)</f>
        <v>0</v>
      </c>
      <c r="W652" s="3" t="n">
        <f aca="false">SUM(R652:T652)</f>
        <v>1</v>
      </c>
      <c r="X652" s="10" t="n">
        <v>39970</v>
      </c>
      <c r="Y652" s="10" t="n">
        <v>39975</v>
      </c>
    </row>
    <row r="653" customFormat="false" ht="14.25" hidden="false" customHeight="false" outlineLevel="0" collapsed="false">
      <c r="A653" s="1" t="n">
        <v>2009</v>
      </c>
      <c r="B653" s="1" t="n">
        <v>1</v>
      </c>
      <c r="C653" s="2" t="s">
        <v>50</v>
      </c>
      <c r="D653" s="7" t="s">
        <v>158</v>
      </c>
      <c r="E653" s="1" t="n">
        <v>1</v>
      </c>
      <c r="F653" s="1" t="n">
        <f aca="false">Y653-X653</f>
        <v>5</v>
      </c>
      <c r="G653" s="1" t="n">
        <v>5</v>
      </c>
      <c r="H653" s="3" t="s">
        <v>32</v>
      </c>
      <c r="I653" s="3" t="s">
        <v>57</v>
      </c>
      <c r="J653" s="3" t="s">
        <v>38</v>
      </c>
      <c r="K653" s="2" t="str">
        <f aca="false">CONCATENATE(I653," ",J653)</f>
        <v>Gen sp</v>
      </c>
      <c r="L653" s="3" t="n">
        <f aca="false">SUM(P653:U653)</f>
        <v>1</v>
      </c>
      <c r="M653" s="11" t="n">
        <f aca="false">(L653/(F653*G653)*25)*4</f>
        <v>4</v>
      </c>
      <c r="N653" s="1" t="s">
        <v>19</v>
      </c>
      <c r="O653" s="1" t="s">
        <v>54</v>
      </c>
      <c r="P653" s="1" t="n">
        <v>0</v>
      </c>
      <c r="Q653" s="1" t="n">
        <v>0</v>
      </c>
      <c r="R653" s="1" t="n">
        <v>0</v>
      </c>
      <c r="S653" s="1" t="n">
        <v>0</v>
      </c>
      <c r="T653" s="1" t="n">
        <v>1</v>
      </c>
      <c r="U653" s="1" t="n">
        <v>0</v>
      </c>
      <c r="V653" s="3" t="n">
        <f aca="false">SUM(P653:Q653)</f>
        <v>0</v>
      </c>
      <c r="W653" s="3" t="n">
        <f aca="false">SUM(R653:T653)</f>
        <v>1</v>
      </c>
      <c r="X653" s="10" t="n">
        <v>39970</v>
      </c>
      <c r="Y653" s="10" t="n">
        <v>39975</v>
      </c>
    </row>
    <row r="654" customFormat="false" ht="14.25" hidden="false" customHeight="false" outlineLevel="0" collapsed="false">
      <c r="A654" s="1" t="n">
        <v>2009</v>
      </c>
      <c r="B654" s="1" t="n">
        <v>1</v>
      </c>
      <c r="C654" s="2" t="s">
        <v>50</v>
      </c>
      <c r="D654" s="7" t="s">
        <v>158</v>
      </c>
      <c r="E654" s="1" t="n">
        <v>1</v>
      </c>
      <c r="F654" s="1" t="n">
        <f aca="false">Y654-X654</f>
        <v>5</v>
      </c>
      <c r="G654" s="1" t="n">
        <v>5</v>
      </c>
      <c r="H654" s="3" t="s">
        <v>48</v>
      </c>
      <c r="I654" s="3" t="s">
        <v>49</v>
      </c>
      <c r="J654" s="3" t="s">
        <v>104</v>
      </c>
      <c r="K654" s="2" t="str">
        <f aca="false">CONCATENATE(I654," ",J654)</f>
        <v>Alopecosa taeniata</v>
      </c>
      <c r="L654" s="3" t="n">
        <f aca="false">SUM(P654:U654)</f>
        <v>4</v>
      </c>
      <c r="M654" s="11" t="n">
        <f aca="false">(L654/(F654*G654)*25)*4</f>
        <v>16</v>
      </c>
      <c r="N654" s="1" t="s">
        <v>30</v>
      </c>
      <c r="O654" s="1" t="s">
        <v>31</v>
      </c>
      <c r="P654" s="1" t="n">
        <v>4</v>
      </c>
      <c r="Q654" s="1" t="n">
        <v>0</v>
      </c>
      <c r="R654" s="1" t="n">
        <v>0</v>
      </c>
      <c r="S654" s="1" t="n">
        <v>0</v>
      </c>
      <c r="T654" s="1" t="n">
        <v>0</v>
      </c>
      <c r="U654" s="1" t="n">
        <v>0</v>
      </c>
      <c r="V654" s="3" t="n">
        <f aca="false">SUM(P654:Q654)</f>
        <v>4</v>
      </c>
      <c r="W654" s="3" t="n">
        <f aca="false">SUM(R654:T654)</f>
        <v>0</v>
      </c>
      <c r="X654" s="10" t="n">
        <v>39970</v>
      </c>
      <c r="Y654" s="10" t="n">
        <v>39975</v>
      </c>
    </row>
    <row r="655" customFormat="false" ht="14.25" hidden="false" customHeight="false" outlineLevel="0" collapsed="false">
      <c r="A655" s="1" t="n">
        <v>2009</v>
      </c>
      <c r="B655" s="1" t="n">
        <v>1</v>
      </c>
      <c r="C655" s="2" t="s">
        <v>50</v>
      </c>
      <c r="D655" s="7" t="s">
        <v>158</v>
      </c>
      <c r="E655" s="1" t="n">
        <v>1</v>
      </c>
      <c r="F655" s="1" t="n">
        <f aca="false">Y655-X655</f>
        <v>5</v>
      </c>
      <c r="G655" s="1" t="n">
        <v>5</v>
      </c>
      <c r="H655" s="3" t="s">
        <v>48</v>
      </c>
      <c r="I655" s="3" t="s">
        <v>49</v>
      </c>
      <c r="J655" s="3" t="s">
        <v>104</v>
      </c>
      <c r="K655" s="2" t="str">
        <f aca="false">CONCATENATE(I655," ",J655)</f>
        <v>Alopecosa taeniata</v>
      </c>
      <c r="L655" s="3" t="n">
        <f aca="false">SUM(P655:U655)</f>
        <v>2</v>
      </c>
      <c r="M655" s="11" t="n">
        <f aca="false">(L655/(F655*G655)*25)*4</f>
        <v>8</v>
      </c>
      <c r="N655" s="1" t="s">
        <v>30</v>
      </c>
      <c r="O655" s="1" t="s">
        <v>35</v>
      </c>
      <c r="P655" s="1" t="n">
        <v>0</v>
      </c>
      <c r="Q655" s="1" t="n">
        <v>2</v>
      </c>
      <c r="R655" s="1" t="n">
        <v>0</v>
      </c>
      <c r="S655" s="1" t="n">
        <v>0</v>
      </c>
      <c r="T655" s="1" t="n">
        <v>0</v>
      </c>
      <c r="U655" s="1" t="n">
        <v>0</v>
      </c>
      <c r="V655" s="3" t="n">
        <f aca="false">SUM(P655:Q655)</f>
        <v>2</v>
      </c>
      <c r="W655" s="3" t="n">
        <f aca="false">SUM(R655:T655)</f>
        <v>0</v>
      </c>
      <c r="X655" s="10" t="n">
        <v>39970</v>
      </c>
      <c r="Y655" s="10" t="n">
        <v>39975</v>
      </c>
    </row>
    <row r="656" customFormat="false" ht="14.25" hidden="false" customHeight="false" outlineLevel="0" collapsed="false">
      <c r="A656" s="1" t="n">
        <v>2009</v>
      </c>
      <c r="B656" s="1" t="n">
        <v>1</v>
      </c>
      <c r="C656" s="2" t="s">
        <v>50</v>
      </c>
      <c r="D656" s="7" t="s">
        <v>158</v>
      </c>
      <c r="E656" s="1" t="n">
        <v>1</v>
      </c>
      <c r="F656" s="1" t="n">
        <f aca="false">Y656-X656</f>
        <v>5</v>
      </c>
      <c r="G656" s="1" t="n">
        <v>5</v>
      </c>
      <c r="H656" s="3" t="s">
        <v>48</v>
      </c>
      <c r="I656" s="3" t="s">
        <v>67</v>
      </c>
      <c r="J656" s="3" t="s">
        <v>127</v>
      </c>
      <c r="K656" s="2" t="str">
        <f aca="false">CONCATENATE(I656," ",J656)</f>
        <v>Pardosa lugubris</v>
      </c>
      <c r="L656" s="3" t="n">
        <f aca="false">SUM(P656:U656)</f>
        <v>3</v>
      </c>
      <c r="M656" s="11" t="n">
        <f aca="false">(L656/(F656*G656)*25)*4</f>
        <v>12</v>
      </c>
      <c r="N656" s="1" t="s">
        <v>30</v>
      </c>
      <c r="O656" s="1" t="s">
        <v>31</v>
      </c>
      <c r="P656" s="1" t="n">
        <v>3</v>
      </c>
      <c r="Q656" s="1" t="n">
        <v>0</v>
      </c>
      <c r="R656" s="1" t="n">
        <v>0</v>
      </c>
      <c r="S656" s="1" t="n">
        <v>0</v>
      </c>
      <c r="T656" s="1" t="n">
        <v>0</v>
      </c>
      <c r="U656" s="1" t="n">
        <v>0</v>
      </c>
      <c r="V656" s="3" t="n">
        <f aca="false">SUM(P656:Q656)</f>
        <v>3</v>
      </c>
      <c r="W656" s="3" t="n">
        <f aca="false">SUM(R656:T656)</f>
        <v>0</v>
      </c>
      <c r="X656" s="10" t="n">
        <v>39970</v>
      </c>
      <c r="Y656" s="10" t="n">
        <v>39975</v>
      </c>
    </row>
    <row r="657" customFormat="false" ht="14.25" hidden="false" customHeight="false" outlineLevel="0" collapsed="false">
      <c r="A657" s="1" t="n">
        <v>2009</v>
      </c>
      <c r="B657" s="1" t="n">
        <v>1</v>
      </c>
      <c r="C657" s="2" t="s">
        <v>50</v>
      </c>
      <c r="D657" s="7" t="s">
        <v>158</v>
      </c>
      <c r="E657" s="1" t="n">
        <v>1</v>
      </c>
      <c r="F657" s="1" t="n">
        <f aca="false">Y657-X657</f>
        <v>5</v>
      </c>
      <c r="G657" s="1" t="n">
        <v>5</v>
      </c>
      <c r="H657" s="3" t="s">
        <v>48</v>
      </c>
      <c r="I657" s="3" t="s">
        <v>67</v>
      </c>
      <c r="J657" s="3" t="s">
        <v>127</v>
      </c>
      <c r="K657" s="2" t="str">
        <f aca="false">CONCATENATE(I657," ",J657)</f>
        <v>Pardosa lugubris</v>
      </c>
      <c r="L657" s="3" t="n">
        <f aca="false">SUM(P657:U657)</f>
        <v>1</v>
      </c>
      <c r="M657" s="11" t="n">
        <f aca="false">(L657/(F657*G657)*25)*4</f>
        <v>4</v>
      </c>
      <c r="N657" s="1" t="s">
        <v>30</v>
      </c>
      <c r="O657" s="1" t="s">
        <v>35</v>
      </c>
      <c r="P657" s="1" t="n">
        <v>0</v>
      </c>
      <c r="Q657" s="1" t="n">
        <v>1</v>
      </c>
      <c r="R657" s="1" t="n">
        <v>0</v>
      </c>
      <c r="S657" s="1" t="n">
        <v>0</v>
      </c>
      <c r="T657" s="1" t="n">
        <v>0</v>
      </c>
      <c r="U657" s="1" t="n">
        <v>0</v>
      </c>
      <c r="V657" s="3" t="n">
        <f aca="false">SUM(P657:Q657)</f>
        <v>1</v>
      </c>
      <c r="W657" s="3" t="n">
        <f aca="false">SUM(R657:T657)</f>
        <v>0</v>
      </c>
      <c r="X657" s="10" t="n">
        <v>39970</v>
      </c>
      <c r="Y657" s="10" t="n">
        <v>39975</v>
      </c>
    </row>
    <row r="658" customFormat="false" ht="14.25" hidden="false" customHeight="false" outlineLevel="0" collapsed="false">
      <c r="A658" s="1" t="n">
        <v>2009</v>
      </c>
      <c r="B658" s="1" t="n">
        <v>1</v>
      </c>
      <c r="C658" s="2" t="s">
        <v>50</v>
      </c>
      <c r="D658" s="7" t="s">
        <v>158</v>
      </c>
      <c r="E658" s="1" t="n">
        <v>1</v>
      </c>
      <c r="F658" s="1" t="n">
        <f aca="false">Y658-X658</f>
        <v>5</v>
      </c>
      <c r="G658" s="1" t="n">
        <v>5</v>
      </c>
      <c r="H658" s="3" t="s">
        <v>48</v>
      </c>
      <c r="I658" s="3" t="s">
        <v>49</v>
      </c>
      <c r="J658" s="3" t="s">
        <v>38</v>
      </c>
      <c r="K658" s="2" t="str">
        <f aca="false">CONCATENATE(I658," ",J658)</f>
        <v>Alopecosa sp</v>
      </c>
      <c r="L658" s="3" t="n">
        <f aca="false">SUM(P658:U658)</f>
        <v>1</v>
      </c>
      <c r="M658" s="11" t="n">
        <f aca="false">(L658/(F658*G658)*25)*4</f>
        <v>4</v>
      </c>
      <c r="N658" s="1" t="s">
        <v>19</v>
      </c>
      <c r="O658" s="1" t="s">
        <v>54</v>
      </c>
      <c r="P658" s="1" t="n">
        <v>0</v>
      </c>
      <c r="Q658" s="1" t="n">
        <v>0</v>
      </c>
      <c r="R658" s="1" t="n">
        <v>0</v>
      </c>
      <c r="S658" s="1" t="n">
        <v>0</v>
      </c>
      <c r="T658" s="1" t="n">
        <v>1</v>
      </c>
      <c r="U658" s="1" t="n">
        <v>0</v>
      </c>
      <c r="V658" s="3" t="n">
        <f aca="false">SUM(P658:Q658)</f>
        <v>0</v>
      </c>
      <c r="W658" s="3" t="n">
        <f aca="false">SUM(R658:T658)</f>
        <v>1</v>
      </c>
      <c r="X658" s="10" t="n">
        <v>39970</v>
      </c>
      <c r="Y658" s="10" t="n">
        <v>39975</v>
      </c>
    </row>
    <row r="659" customFormat="false" ht="14.25" hidden="false" customHeight="false" outlineLevel="0" collapsed="false">
      <c r="A659" s="1" t="n">
        <v>2009</v>
      </c>
      <c r="B659" s="1" t="n">
        <v>1</v>
      </c>
      <c r="C659" s="2" t="s">
        <v>50</v>
      </c>
      <c r="D659" s="7" t="s">
        <v>158</v>
      </c>
      <c r="E659" s="1" t="n">
        <v>1</v>
      </c>
      <c r="F659" s="1" t="n">
        <f aca="false">Y659-X659</f>
        <v>5</v>
      </c>
      <c r="G659" s="1" t="n">
        <v>5</v>
      </c>
      <c r="H659" s="3" t="s">
        <v>48</v>
      </c>
      <c r="I659" s="3" t="s">
        <v>67</v>
      </c>
      <c r="J659" s="3" t="s">
        <v>38</v>
      </c>
      <c r="K659" s="2" t="str">
        <f aca="false">CONCATENATE(I659," ",J659)</f>
        <v>Pardosa sp</v>
      </c>
      <c r="L659" s="3" t="n">
        <f aca="false">SUM(P659:U659)</f>
        <v>1</v>
      </c>
      <c r="M659" s="11" t="n">
        <f aca="false">(L659/(F659*G659)*25)*4</f>
        <v>4</v>
      </c>
      <c r="N659" s="1" t="s">
        <v>19</v>
      </c>
      <c r="O659" s="1" t="s">
        <v>54</v>
      </c>
      <c r="P659" s="1" t="n">
        <v>0</v>
      </c>
      <c r="Q659" s="1" t="n">
        <v>0</v>
      </c>
      <c r="R659" s="1" t="n">
        <v>0</v>
      </c>
      <c r="S659" s="1" t="n">
        <v>0</v>
      </c>
      <c r="T659" s="1" t="n">
        <v>1</v>
      </c>
      <c r="U659" s="1" t="n">
        <v>0</v>
      </c>
      <c r="V659" s="3" t="n">
        <f aca="false">SUM(P659:Q659)</f>
        <v>0</v>
      </c>
      <c r="W659" s="3" t="n">
        <f aca="false">SUM(R659:T659)</f>
        <v>1</v>
      </c>
      <c r="X659" s="10" t="n">
        <v>39970</v>
      </c>
      <c r="Y659" s="10" t="n">
        <v>39975</v>
      </c>
    </row>
    <row r="660" customFormat="false" ht="14.25" hidden="false" customHeight="false" outlineLevel="0" collapsed="false">
      <c r="A660" s="1" t="n">
        <v>2009</v>
      </c>
      <c r="B660" s="1" t="n">
        <v>1</v>
      </c>
      <c r="C660" s="2" t="s">
        <v>50</v>
      </c>
      <c r="D660" s="7" t="s">
        <v>158</v>
      </c>
      <c r="E660" s="1" t="n">
        <v>1</v>
      </c>
      <c r="F660" s="1" t="n">
        <f aca="false">Y660-X660</f>
        <v>5</v>
      </c>
      <c r="G660" s="1" t="n">
        <v>5</v>
      </c>
      <c r="H660" s="3" t="s">
        <v>48</v>
      </c>
      <c r="I660" s="3" t="s">
        <v>61</v>
      </c>
      <c r="J660" s="3" t="s">
        <v>82</v>
      </c>
      <c r="K660" s="2" t="str">
        <f aca="false">CONCATENATE(I660," ",J660)</f>
        <v>Trochosa terricola</v>
      </c>
      <c r="L660" s="3" t="n">
        <f aca="false">SUM(P660:U660)</f>
        <v>1</v>
      </c>
      <c r="M660" s="11" t="n">
        <f aca="false">(L660/(F660*G660)*25)*4</f>
        <v>4</v>
      </c>
      <c r="N660" s="1" t="s">
        <v>30</v>
      </c>
      <c r="O660" s="1" t="s">
        <v>31</v>
      </c>
      <c r="P660" s="1" t="n">
        <v>1</v>
      </c>
      <c r="Q660" s="1" t="n">
        <v>0</v>
      </c>
      <c r="R660" s="1" t="n">
        <v>0</v>
      </c>
      <c r="S660" s="1" t="n">
        <v>0</v>
      </c>
      <c r="T660" s="1" t="n">
        <v>0</v>
      </c>
      <c r="U660" s="1" t="n">
        <v>0</v>
      </c>
      <c r="V660" s="3" t="n">
        <f aca="false">SUM(P660:Q660)</f>
        <v>1</v>
      </c>
      <c r="W660" s="3" t="n">
        <f aca="false">SUM(R660:T660)</f>
        <v>0</v>
      </c>
      <c r="X660" s="10" t="n">
        <v>39970</v>
      </c>
      <c r="Y660" s="10" t="n">
        <v>39975</v>
      </c>
    </row>
    <row r="661" customFormat="false" ht="14.25" hidden="false" customHeight="false" outlineLevel="0" collapsed="false">
      <c r="A661" s="1" t="n">
        <v>2009</v>
      </c>
      <c r="B661" s="1" t="n">
        <v>1</v>
      </c>
      <c r="C661" s="2" t="s">
        <v>50</v>
      </c>
      <c r="D661" s="7" t="s">
        <v>158</v>
      </c>
      <c r="E661" s="1" t="n">
        <v>1</v>
      </c>
      <c r="F661" s="1" t="n">
        <f aca="false">Y661-X661</f>
        <v>5</v>
      </c>
      <c r="G661" s="1" t="n">
        <v>5</v>
      </c>
      <c r="H661" s="3" t="s">
        <v>48</v>
      </c>
      <c r="I661" s="3" t="s">
        <v>67</v>
      </c>
      <c r="J661" s="3" t="s">
        <v>204</v>
      </c>
      <c r="K661" s="2" t="str">
        <f aca="false">CONCATENATE(I661," ",J661)</f>
        <v>Pardosa palustris</v>
      </c>
      <c r="L661" s="3" t="n">
        <f aca="false">SUM(P661:U661)</f>
        <v>1</v>
      </c>
      <c r="M661" s="11" t="n">
        <f aca="false">(L661/(F661*G661)*25)*4</f>
        <v>4</v>
      </c>
      <c r="N661" s="1" t="s">
        <v>30</v>
      </c>
      <c r="O661" s="1" t="s">
        <v>31</v>
      </c>
      <c r="P661" s="1" t="n">
        <v>1</v>
      </c>
      <c r="Q661" s="1" t="n">
        <v>0</v>
      </c>
      <c r="R661" s="1" t="n">
        <v>0</v>
      </c>
      <c r="S661" s="1" t="n">
        <v>0</v>
      </c>
      <c r="T661" s="1" t="n">
        <v>0</v>
      </c>
      <c r="U661" s="1" t="n">
        <v>0</v>
      </c>
      <c r="V661" s="3" t="n">
        <f aca="false">SUM(P661:Q661)</f>
        <v>1</v>
      </c>
      <c r="W661" s="3" t="n">
        <f aca="false">SUM(R661:T661)</f>
        <v>0</v>
      </c>
      <c r="X661" s="10" t="n">
        <v>39970</v>
      </c>
      <c r="Y661" s="10" t="n">
        <v>39975</v>
      </c>
    </row>
    <row r="662" customFormat="false" ht="14.25" hidden="false" customHeight="false" outlineLevel="0" collapsed="false">
      <c r="A662" s="1" t="n">
        <v>2009</v>
      </c>
      <c r="B662" s="1" t="n">
        <v>1</v>
      </c>
      <c r="C662" s="2" t="s">
        <v>50</v>
      </c>
      <c r="D662" s="7" t="s">
        <v>158</v>
      </c>
      <c r="E662" s="1" t="n">
        <v>1</v>
      </c>
      <c r="F662" s="1" t="n">
        <f aca="false">Y662-X662</f>
        <v>5</v>
      </c>
      <c r="G662" s="1" t="n">
        <v>5</v>
      </c>
      <c r="H662" s="3" t="s">
        <v>48</v>
      </c>
      <c r="I662" s="3" t="s">
        <v>49</v>
      </c>
      <c r="J662" s="3" t="s">
        <v>119</v>
      </c>
      <c r="K662" s="2" t="str">
        <f aca="false">CONCATENATE(I662," ",J662)</f>
        <v>Alopecosa sulzeri</v>
      </c>
      <c r="L662" s="3" t="n">
        <f aca="false">SUM(P662:U662)</f>
        <v>1</v>
      </c>
      <c r="M662" s="11" t="n">
        <f aca="false">(L662/(F662*G662)*25)*4</f>
        <v>4</v>
      </c>
      <c r="N662" s="1" t="s">
        <v>30</v>
      </c>
      <c r="O662" s="1" t="s">
        <v>31</v>
      </c>
      <c r="P662" s="1" t="n">
        <v>1</v>
      </c>
      <c r="Q662" s="1" t="n">
        <v>0</v>
      </c>
      <c r="R662" s="1" t="n">
        <v>0</v>
      </c>
      <c r="S662" s="1" t="n">
        <v>0</v>
      </c>
      <c r="T662" s="1" t="n">
        <v>0</v>
      </c>
      <c r="U662" s="1" t="n">
        <v>0</v>
      </c>
      <c r="V662" s="3" t="n">
        <f aca="false">SUM(P662:Q662)</f>
        <v>1</v>
      </c>
      <c r="W662" s="3" t="n">
        <f aca="false">SUM(R662:T662)</f>
        <v>0</v>
      </c>
      <c r="X662" s="10" t="n">
        <v>39970</v>
      </c>
      <c r="Y662" s="10" t="n">
        <v>39975</v>
      </c>
    </row>
    <row r="663" customFormat="false" ht="14.25" hidden="false" customHeight="false" outlineLevel="0" collapsed="false">
      <c r="A663" s="1" t="n">
        <v>2009</v>
      </c>
      <c r="B663" s="1" t="n">
        <v>1</v>
      </c>
      <c r="C663" s="2" t="s">
        <v>50</v>
      </c>
      <c r="D663" s="7" t="s">
        <v>158</v>
      </c>
      <c r="E663" s="1" t="n">
        <v>1</v>
      </c>
      <c r="F663" s="1" t="n">
        <f aca="false">Y663-X663</f>
        <v>5</v>
      </c>
      <c r="G663" s="1" t="n">
        <v>5</v>
      </c>
      <c r="H663" s="3" t="s">
        <v>48</v>
      </c>
      <c r="I663" s="3" t="s">
        <v>49</v>
      </c>
      <c r="J663" s="3" t="s">
        <v>119</v>
      </c>
      <c r="K663" s="2" t="str">
        <f aca="false">CONCATENATE(I663," ",J663)</f>
        <v>Alopecosa sulzeri</v>
      </c>
      <c r="L663" s="3" t="n">
        <f aca="false">SUM(P663:U663)</f>
        <v>1</v>
      </c>
      <c r="M663" s="11" t="n">
        <f aca="false">(L663/(F663*G663)*25)*4</f>
        <v>4</v>
      </c>
      <c r="N663" s="1" t="s">
        <v>30</v>
      </c>
      <c r="O663" s="1" t="s">
        <v>35</v>
      </c>
      <c r="P663" s="1" t="n">
        <v>0</v>
      </c>
      <c r="Q663" s="1" t="n">
        <v>1</v>
      </c>
      <c r="R663" s="1" t="n">
        <v>0</v>
      </c>
      <c r="S663" s="1" t="n">
        <v>0</v>
      </c>
      <c r="T663" s="1" t="n">
        <v>0</v>
      </c>
      <c r="U663" s="1" t="n">
        <v>0</v>
      </c>
      <c r="V663" s="3" t="n">
        <f aca="false">SUM(P663:Q663)</f>
        <v>1</v>
      </c>
      <c r="W663" s="3" t="n">
        <f aca="false">SUM(R663:T663)</f>
        <v>0</v>
      </c>
      <c r="X663" s="10" t="n">
        <v>39970</v>
      </c>
      <c r="Y663" s="10" t="n">
        <v>39975</v>
      </c>
    </row>
    <row r="664" customFormat="false" ht="14.25" hidden="false" customHeight="false" outlineLevel="0" collapsed="false">
      <c r="A664" s="1" t="n">
        <v>2009</v>
      </c>
      <c r="B664" s="1" t="n">
        <v>1</v>
      </c>
      <c r="C664" s="2" t="s">
        <v>50</v>
      </c>
      <c r="D664" s="7" t="s">
        <v>158</v>
      </c>
      <c r="E664" s="1" t="n">
        <v>1</v>
      </c>
      <c r="F664" s="1" t="n">
        <f aca="false">Y664-X664</f>
        <v>5</v>
      </c>
      <c r="G664" s="1" t="n">
        <v>5</v>
      </c>
      <c r="H664" s="3" t="s">
        <v>72</v>
      </c>
      <c r="I664" s="3" t="s">
        <v>86</v>
      </c>
      <c r="J664" s="3" t="s">
        <v>38</v>
      </c>
      <c r="K664" s="2" t="str">
        <f aca="false">CONCATENATE(I664," ",J664)</f>
        <v>Haplodrassus sp</v>
      </c>
      <c r="L664" s="3" t="n">
        <f aca="false">SUM(P664:U664)</f>
        <v>2</v>
      </c>
      <c r="M664" s="11" t="n">
        <f aca="false">(L664/(F664*G664)*25)*4</f>
        <v>8</v>
      </c>
      <c r="N664" s="1" t="s">
        <v>19</v>
      </c>
      <c r="O664" s="1" t="s">
        <v>54</v>
      </c>
      <c r="P664" s="1" t="n">
        <v>0</v>
      </c>
      <c r="Q664" s="1" t="n">
        <v>0</v>
      </c>
      <c r="R664" s="1" t="n">
        <v>0</v>
      </c>
      <c r="S664" s="1" t="n">
        <v>0</v>
      </c>
      <c r="T664" s="1" t="n">
        <v>2</v>
      </c>
      <c r="U664" s="1" t="n">
        <v>0</v>
      </c>
      <c r="V664" s="3" t="n">
        <f aca="false">SUM(P664:Q664)</f>
        <v>0</v>
      </c>
      <c r="W664" s="3" t="n">
        <f aca="false">SUM(R664:T664)</f>
        <v>2</v>
      </c>
      <c r="X664" s="10" t="n">
        <v>39970</v>
      </c>
      <c r="Y664" s="10" t="n">
        <v>39975</v>
      </c>
    </row>
    <row r="665" customFormat="false" ht="14.25" hidden="false" customHeight="false" outlineLevel="0" collapsed="false">
      <c r="A665" s="1" t="n">
        <v>2009</v>
      </c>
      <c r="B665" s="1" t="n">
        <v>1</v>
      </c>
      <c r="C665" s="2" t="s">
        <v>50</v>
      </c>
      <c r="D665" s="7" t="s">
        <v>158</v>
      </c>
      <c r="E665" s="1" t="n">
        <v>1</v>
      </c>
      <c r="F665" s="1" t="n">
        <f aca="false">Y665-X665</f>
        <v>5</v>
      </c>
      <c r="G665" s="1" t="n">
        <v>5</v>
      </c>
      <c r="H665" s="13" t="s">
        <v>195</v>
      </c>
      <c r="I665" s="13" t="s">
        <v>196</v>
      </c>
      <c r="J665" s="14" t="s">
        <v>197</v>
      </c>
      <c r="K665" s="2" t="str">
        <f aca="false">CONCATENATE(I665," ",J665)</f>
        <v>Pachygnatha listeri</v>
      </c>
      <c r="L665" s="3" t="n">
        <f aca="false">SUM(P665:U665)</f>
        <v>1</v>
      </c>
      <c r="M665" s="11" t="n">
        <f aca="false">(L665/(F665*G665)*25)*4</f>
        <v>4</v>
      </c>
      <c r="N665" s="1" t="s">
        <v>30</v>
      </c>
      <c r="O665" s="1" t="s">
        <v>35</v>
      </c>
      <c r="P665" s="1" t="n">
        <v>0</v>
      </c>
      <c r="Q665" s="1" t="n">
        <v>1</v>
      </c>
      <c r="R665" s="1" t="n">
        <v>0</v>
      </c>
      <c r="S665" s="1" t="n">
        <v>0</v>
      </c>
      <c r="T665" s="1" t="n">
        <v>0</v>
      </c>
      <c r="U665" s="1" t="n">
        <v>0</v>
      </c>
      <c r="V665" s="3" t="n">
        <f aca="false">SUM(P665:Q665)</f>
        <v>1</v>
      </c>
      <c r="W665" s="3" t="n">
        <f aca="false">SUM(R665:T665)</f>
        <v>0</v>
      </c>
      <c r="X665" s="10" t="n">
        <v>39970</v>
      </c>
      <c r="Y665" s="10" t="n">
        <v>39975</v>
      </c>
    </row>
    <row r="666" customFormat="false" ht="14.25" hidden="false" customHeight="false" outlineLevel="0" collapsed="false">
      <c r="A666" s="1" t="n">
        <v>2009</v>
      </c>
      <c r="B666" s="1" t="n">
        <v>1</v>
      </c>
      <c r="C666" s="2" t="s">
        <v>50</v>
      </c>
      <c r="D666" s="7" t="s">
        <v>158</v>
      </c>
      <c r="E666" s="1" t="n">
        <v>1</v>
      </c>
      <c r="F666" s="1" t="n">
        <f aca="false">Y666-X666</f>
        <v>5</v>
      </c>
      <c r="G666" s="1" t="n">
        <v>5</v>
      </c>
      <c r="H666" s="3" t="s">
        <v>32</v>
      </c>
      <c r="I666" s="3" t="s">
        <v>102</v>
      </c>
      <c r="J666" s="3" t="s">
        <v>192</v>
      </c>
      <c r="K666" s="2" t="str">
        <f aca="false">CONCATENATE(I666," ",J666)</f>
        <v>Agyneta allosubtilis</v>
      </c>
      <c r="L666" s="3" t="n">
        <f aca="false">SUM(P666:U666)</f>
        <v>1</v>
      </c>
      <c r="M666" s="11" t="n">
        <f aca="false">(L666/(F666*G666)*25)*4</f>
        <v>4</v>
      </c>
      <c r="N666" s="1" t="s">
        <v>30</v>
      </c>
      <c r="O666" s="1" t="s">
        <v>31</v>
      </c>
      <c r="P666" s="1" t="n">
        <v>1</v>
      </c>
      <c r="Q666" s="1" t="n">
        <v>0</v>
      </c>
      <c r="R666" s="1" t="n">
        <v>0</v>
      </c>
      <c r="S666" s="1" t="n">
        <v>0</v>
      </c>
      <c r="T666" s="1" t="n">
        <v>0</v>
      </c>
      <c r="U666" s="1" t="n">
        <v>0</v>
      </c>
      <c r="V666" s="3" t="n">
        <f aca="false">SUM(P666:Q666)</f>
        <v>1</v>
      </c>
      <c r="W666" s="3" t="n">
        <f aca="false">SUM(R666:T666)</f>
        <v>0</v>
      </c>
      <c r="X666" s="10" t="n">
        <v>39970</v>
      </c>
      <c r="Y666" s="10" t="n">
        <v>39975</v>
      </c>
    </row>
    <row r="667" customFormat="false" ht="14.25" hidden="false" customHeight="false" outlineLevel="0" collapsed="false">
      <c r="A667" s="1" t="n">
        <v>2009</v>
      </c>
      <c r="B667" s="1" t="n">
        <v>1</v>
      </c>
      <c r="C667" s="2" t="s">
        <v>50</v>
      </c>
      <c r="D667" s="7" t="s">
        <v>158</v>
      </c>
      <c r="E667" s="1" t="n">
        <v>1</v>
      </c>
      <c r="F667" s="1" t="n">
        <f aca="false">Y667-X667</f>
        <v>5</v>
      </c>
      <c r="G667" s="1" t="n">
        <v>5</v>
      </c>
      <c r="H667" s="3" t="s">
        <v>32</v>
      </c>
      <c r="I667" s="3" t="s">
        <v>55</v>
      </c>
      <c r="J667" s="3" t="s">
        <v>56</v>
      </c>
      <c r="K667" s="2" t="str">
        <f aca="false">CONCATENATE(I667," ",J667)</f>
        <v>Maro minutus</v>
      </c>
      <c r="L667" s="3" t="n">
        <f aca="false">SUM(P667:U667)</f>
        <v>1</v>
      </c>
      <c r="M667" s="11" t="n">
        <f aca="false">(L667/(F667*G667)*25)*4</f>
        <v>4</v>
      </c>
      <c r="N667" s="1" t="s">
        <v>30</v>
      </c>
      <c r="O667" s="1" t="s">
        <v>31</v>
      </c>
      <c r="P667" s="1" t="n">
        <v>1</v>
      </c>
      <c r="Q667" s="1" t="n">
        <v>0</v>
      </c>
      <c r="R667" s="1" t="n">
        <v>0</v>
      </c>
      <c r="S667" s="1" t="n">
        <v>0</v>
      </c>
      <c r="T667" s="1" t="n">
        <v>0</v>
      </c>
      <c r="U667" s="1" t="n">
        <v>0</v>
      </c>
      <c r="V667" s="3" t="n">
        <f aca="false">SUM(P667:Q667)</f>
        <v>1</v>
      </c>
      <c r="W667" s="3" t="n">
        <f aca="false">SUM(R667:T667)</f>
        <v>0</v>
      </c>
      <c r="X667" s="10" t="n">
        <v>39970</v>
      </c>
      <c r="Y667" s="10" t="n">
        <v>39975</v>
      </c>
    </row>
    <row r="668" customFormat="false" ht="14.25" hidden="false" customHeight="false" outlineLevel="0" collapsed="false">
      <c r="A668" s="1" t="n">
        <v>2009</v>
      </c>
      <c r="B668" s="1" t="n">
        <v>1</v>
      </c>
      <c r="C668" s="2" t="s">
        <v>50</v>
      </c>
      <c r="D668" s="7" t="s">
        <v>158</v>
      </c>
      <c r="E668" s="1" t="n">
        <v>1</v>
      </c>
      <c r="F668" s="1" t="n">
        <f aca="false">Y668-X668</f>
        <v>5</v>
      </c>
      <c r="G668" s="1" t="n">
        <v>5</v>
      </c>
      <c r="H668" s="13" t="s">
        <v>32</v>
      </c>
      <c r="I668" s="13" t="s">
        <v>202</v>
      </c>
      <c r="J668" s="14" t="s">
        <v>203</v>
      </c>
      <c r="K668" s="2" t="str">
        <f aca="false">CONCATENATE(I668," ",J668)</f>
        <v>Hypselistes jacksoni</v>
      </c>
      <c r="L668" s="3" t="n">
        <f aca="false">SUM(P668:U668)</f>
        <v>1</v>
      </c>
      <c r="M668" s="11" t="n">
        <f aca="false">(L668/(F668*G668)*25)*4</f>
        <v>4</v>
      </c>
      <c r="N668" s="1" t="s">
        <v>30</v>
      </c>
      <c r="O668" s="1" t="s">
        <v>31</v>
      </c>
      <c r="P668" s="1" t="n">
        <v>1</v>
      </c>
      <c r="Q668" s="1" t="n">
        <v>0</v>
      </c>
      <c r="R668" s="1" t="n">
        <v>0</v>
      </c>
      <c r="S668" s="1" t="n">
        <v>0</v>
      </c>
      <c r="T668" s="1" t="n">
        <v>0</v>
      </c>
      <c r="U668" s="1" t="n">
        <v>0</v>
      </c>
      <c r="V668" s="3" t="n">
        <f aca="false">SUM(P668:Q668)</f>
        <v>1</v>
      </c>
      <c r="W668" s="3" t="n">
        <f aca="false">SUM(R668:T668)</f>
        <v>0</v>
      </c>
      <c r="X668" s="10" t="n">
        <v>39970</v>
      </c>
      <c r="Y668" s="10" t="n">
        <v>39975</v>
      </c>
    </row>
    <row r="669" customFormat="false" ht="14.25" hidden="false" customHeight="false" outlineLevel="0" collapsed="false">
      <c r="A669" s="1" t="n">
        <v>2009</v>
      </c>
      <c r="B669" s="1" t="n">
        <v>1</v>
      </c>
      <c r="C669" s="2" t="s">
        <v>50</v>
      </c>
      <c r="D669" s="7" t="s">
        <v>158</v>
      </c>
      <c r="E669" s="1" t="n">
        <v>1</v>
      </c>
      <c r="F669" s="1" t="n">
        <f aca="false">Y669-X669</f>
        <v>5</v>
      </c>
      <c r="G669" s="1" t="n">
        <v>5</v>
      </c>
      <c r="H669" s="3" t="s">
        <v>48</v>
      </c>
      <c r="I669" s="3" t="s">
        <v>49</v>
      </c>
      <c r="J669" s="3" t="s">
        <v>130</v>
      </c>
      <c r="K669" s="2" t="str">
        <f aca="false">CONCATENATE(I669," ",J669)</f>
        <v>Alopecosa aculeata</v>
      </c>
      <c r="L669" s="3" t="n">
        <f aca="false">SUM(P669:U669)</f>
        <v>1</v>
      </c>
      <c r="M669" s="11" t="n">
        <f aca="false">(L669/(F669*G669)*25)*4</f>
        <v>4</v>
      </c>
      <c r="N669" s="1" t="s">
        <v>30</v>
      </c>
      <c r="O669" s="1" t="s">
        <v>31</v>
      </c>
      <c r="P669" s="1" t="n">
        <v>1</v>
      </c>
      <c r="Q669" s="1" t="n">
        <v>0</v>
      </c>
      <c r="R669" s="1" t="n">
        <v>0</v>
      </c>
      <c r="S669" s="1" t="n">
        <v>0</v>
      </c>
      <c r="T669" s="1" t="n">
        <v>0</v>
      </c>
      <c r="U669" s="1" t="n">
        <v>0</v>
      </c>
      <c r="V669" s="3" t="n">
        <f aca="false">SUM(P669:Q669)</f>
        <v>1</v>
      </c>
      <c r="W669" s="3" t="n">
        <f aca="false">SUM(R669:T669)</f>
        <v>0</v>
      </c>
      <c r="X669" s="10" t="n">
        <v>39970</v>
      </c>
      <c r="Y669" s="10" t="n">
        <v>39975</v>
      </c>
    </row>
    <row r="670" customFormat="false" ht="14.25" hidden="false" customHeight="false" outlineLevel="0" collapsed="false">
      <c r="A670" s="1" t="n">
        <v>2009</v>
      </c>
      <c r="B670" s="1" t="n">
        <v>1</v>
      </c>
      <c r="C670" s="2" t="s">
        <v>50</v>
      </c>
      <c r="D670" s="7" t="s">
        <v>158</v>
      </c>
      <c r="E670" s="1" t="n">
        <v>1</v>
      </c>
      <c r="F670" s="1" t="n">
        <f aca="false">Y670-X670</f>
        <v>5</v>
      </c>
      <c r="G670" s="1" t="n">
        <v>5</v>
      </c>
      <c r="H670" s="3" t="s">
        <v>48</v>
      </c>
      <c r="I670" s="3" t="s">
        <v>49</v>
      </c>
      <c r="J670" s="3" t="s">
        <v>104</v>
      </c>
      <c r="K670" s="2" t="str">
        <f aca="false">CONCATENATE(I670," ",J670)</f>
        <v>Alopecosa taeniata</v>
      </c>
      <c r="L670" s="3" t="n">
        <f aca="false">SUM(P670:U670)</f>
        <v>1</v>
      </c>
      <c r="M670" s="11" t="n">
        <f aca="false">(L670/(F670*G670)*25)*4</f>
        <v>4</v>
      </c>
      <c r="N670" s="1" t="s">
        <v>30</v>
      </c>
      <c r="O670" s="1" t="s">
        <v>31</v>
      </c>
      <c r="P670" s="1" t="n">
        <v>1</v>
      </c>
      <c r="Q670" s="1" t="n">
        <v>0</v>
      </c>
      <c r="R670" s="1" t="n">
        <v>0</v>
      </c>
      <c r="S670" s="1" t="n">
        <v>0</v>
      </c>
      <c r="T670" s="1" t="n">
        <v>0</v>
      </c>
      <c r="U670" s="1" t="n">
        <v>0</v>
      </c>
      <c r="V670" s="3" t="n">
        <f aca="false">SUM(P670:Q670)</f>
        <v>1</v>
      </c>
      <c r="W670" s="3" t="n">
        <f aca="false">SUM(R670:T670)</f>
        <v>0</v>
      </c>
      <c r="X670" s="10" t="n">
        <v>39970</v>
      </c>
      <c r="Y670" s="10" t="n">
        <v>39975</v>
      </c>
    </row>
    <row r="671" customFormat="false" ht="14.25" hidden="false" customHeight="false" outlineLevel="0" collapsed="false">
      <c r="A671" s="1" t="n">
        <v>2009</v>
      </c>
      <c r="B671" s="1" t="n">
        <v>1</v>
      </c>
      <c r="C671" s="2" t="s">
        <v>50</v>
      </c>
      <c r="D671" s="7" t="s">
        <v>158</v>
      </c>
      <c r="E671" s="1" t="n">
        <v>1</v>
      </c>
      <c r="F671" s="1" t="n">
        <f aca="false">Y671-X671</f>
        <v>5</v>
      </c>
      <c r="G671" s="1" t="n">
        <v>5</v>
      </c>
      <c r="H671" s="3" t="s">
        <v>48</v>
      </c>
      <c r="I671" s="3" t="s">
        <v>67</v>
      </c>
      <c r="J671" s="3" t="s">
        <v>127</v>
      </c>
      <c r="K671" s="2" t="str">
        <f aca="false">CONCATENATE(I671," ",J671)</f>
        <v>Pardosa lugubris</v>
      </c>
      <c r="L671" s="3" t="n">
        <f aca="false">SUM(P671:U671)</f>
        <v>4</v>
      </c>
      <c r="M671" s="11" t="n">
        <f aca="false">(L671/(F671*G671)*25)*4</f>
        <v>16</v>
      </c>
      <c r="N671" s="1" t="s">
        <v>30</v>
      </c>
      <c r="O671" s="1" t="s">
        <v>31</v>
      </c>
      <c r="P671" s="1" t="n">
        <v>4</v>
      </c>
      <c r="Q671" s="1" t="n">
        <v>0</v>
      </c>
      <c r="R671" s="1" t="n">
        <v>0</v>
      </c>
      <c r="S671" s="1" t="n">
        <v>0</v>
      </c>
      <c r="T671" s="1" t="n">
        <v>0</v>
      </c>
      <c r="U671" s="1" t="n">
        <v>0</v>
      </c>
      <c r="V671" s="3" t="n">
        <f aca="false">SUM(P671:Q671)</f>
        <v>4</v>
      </c>
      <c r="W671" s="3" t="n">
        <f aca="false">SUM(R671:T671)</f>
        <v>0</v>
      </c>
      <c r="X671" s="10" t="n">
        <v>39970</v>
      </c>
      <c r="Y671" s="10" t="n">
        <v>39975</v>
      </c>
    </row>
    <row r="672" customFormat="false" ht="14.25" hidden="false" customHeight="false" outlineLevel="0" collapsed="false">
      <c r="A672" s="1" t="n">
        <v>2009</v>
      </c>
      <c r="B672" s="1" t="n">
        <v>1</v>
      </c>
      <c r="C672" s="2" t="s">
        <v>50</v>
      </c>
      <c r="D672" s="7" t="s">
        <v>158</v>
      </c>
      <c r="E672" s="1" t="n">
        <v>1</v>
      </c>
      <c r="F672" s="1" t="n">
        <f aca="false">Y672-X672</f>
        <v>5</v>
      </c>
      <c r="G672" s="1" t="n">
        <v>5</v>
      </c>
      <c r="H672" s="3" t="s">
        <v>48</v>
      </c>
      <c r="I672" s="3" t="s">
        <v>67</v>
      </c>
      <c r="J672" s="3" t="s">
        <v>127</v>
      </c>
      <c r="K672" s="2" t="str">
        <f aca="false">CONCATENATE(I672," ",J672)</f>
        <v>Pardosa lugubris</v>
      </c>
      <c r="L672" s="3" t="n">
        <f aca="false">SUM(P672:U672)</f>
        <v>1</v>
      </c>
      <c r="M672" s="11" t="n">
        <f aca="false">(L672/(F672*G672)*25)*4</f>
        <v>4</v>
      </c>
      <c r="N672" s="1" t="s">
        <v>30</v>
      </c>
      <c r="O672" s="1" t="s">
        <v>35</v>
      </c>
      <c r="P672" s="1" t="n">
        <v>0</v>
      </c>
      <c r="Q672" s="1" t="n">
        <v>1</v>
      </c>
      <c r="R672" s="1" t="n">
        <v>0</v>
      </c>
      <c r="S672" s="1" t="n">
        <v>0</v>
      </c>
      <c r="T672" s="1" t="n">
        <v>0</v>
      </c>
      <c r="U672" s="1" t="n">
        <v>0</v>
      </c>
      <c r="V672" s="3" t="n">
        <f aca="false">SUM(P672:Q672)</f>
        <v>1</v>
      </c>
      <c r="W672" s="3" t="n">
        <f aca="false">SUM(R672:T672)</f>
        <v>0</v>
      </c>
      <c r="X672" s="10" t="n">
        <v>39970</v>
      </c>
      <c r="Y672" s="10" t="n">
        <v>39975</v>
      </c>
    </row>
    <row r="673" customFormat="false" ht="14.25" hidden="false" customHeight="false" outlineLevel="0" collapsed="false">
      <c r="A673" s="1" t="n">
        <v>2009</v>
      </c>
      <c r="B673" s="1" t="n">
        <v>1</v>
      </c>
      <c r="C673" s="2" t="s">
        <v>50</v>
      </c>
      <c r="D673" s="7" t="s">
        <v>158</v>
      </c>
      <c r="E673" s="1" t="n">
        <v>1</v>
      </c>
      <c r="F673" s="1" t="n">
        <f aca="false">Y673-X673</f>
        <v>5</v>
      </c>
      <c r="G673" s="1" t="n">
        <v>5</v>
      </c>
      <c r="H673" s="3" t="s">
        <v>48</v>
      </c>
      <c r="I673" s="3" t="s">
        <v>57</v>
      </c>
      <c r="J673" s="3" t="s">
        <v>38</v>
      </c>
      <c r="K673" s="2" t="str">
        <f aca="false">CONCATENATE(I673," ",J673)</f>
        <v>Gen sp</v>
      </c>
      <c r="L673" s="3" t="n">
        <f aca="false">SUM(P673:U673)</f>
        <v>2</v>
      </c>
      <c r="M673" s="11" t="n">
        <f aca="false">(L673/(F673*G673)*25)*4</f>
        <v>8</v>
      </c>
      <c r="N673" s="1" t="s">
        <v>19</v>
      </c>
      <c r="O673" s="1" t="s">
        <v>54</v>
      </c>
      <c r="P673" s="1" t="n">
        <v>0</v>
      </c>
      <c r="Q673" s="1" t="n">
        <v>0</v>
      </c>
      <c r="R673" s="1" t="n">
        <v>0</v>
      </c>
      <c r="S673" s="1" t="n">
        <v>0</v>
      </c>
      <c r="T673" s="1" t="n">
        <v>2</v>
      </c>
      <c r="U673" s="1" t="n">
        <v>0</v>
      </c>
      <c r="V673" s="3" t="n">
        <f aca="false">SUM(P673:Q673)</f>
        <v>0</v>
      </c>
      <c r="W673" s="3" t="n">
        <f aca="false">SUM(R673:T673)</f>
        <v>2</v>
      </c>
      <c r="X673" s="10" t="n">
        <v>39970</v>
      </c>
      <c r="Y673" s="10" t="n">
        <v>39975</v>
      </c>
    </row>
    <row r="674" customFormat="false" ht="14.25" hidden="false" customHeight="false" outlineLevel="0" collapsed="false">
      <c r="A674" s="1" t="n">
        <v>2009</v>
      </c>
      <c r="B674" s="1" t="n">
        <v>1</v>
      </c>
      <c r="C674" s="2" t="s">
        <v>50</v>
      </c>
      <c r="D674" s="7" t="s">
        <v>158</v>
      </c>
      <c r="E674" s="1" t="n">
        <v>1</v>
      </c>
      <c r="F674" s="1" t="n">
        <f aca="false">Y674-X674</f>
        <v>5</v>
      </c>
      <c r="G674" s="1" t="n">
        <v>5</v>
      </c>
      <c r="H674" s="3" t="s">
        <v>72</v>
      </c>
      <c r="I674" s="3" t="s">
        <v>73</v>
      </c>
      <c r="J674" s="3" t="s">
        <v>74</v>
      </c>
      <c r="K674" s="2" t="str">
        <f aca="false">CONCATENATE(I674," ",J674)</f>
        <v>Zelotes subterraneus</v>
      </c>
      <c r="L674" s="3" t="n">
        <f aca="false">SUM(P674:U674)</f>
        <v>1</v>
      </c>
      <c r="M674" s="11" t="n">
        <f aca="false">(L674/(F674*G674)*25)*4</f>
        <v>4</v>
      </c>
      <c r="N674" s="1" t="s">
        <v>30</v>
      </c>
      <c r="O674" s="1" t="s">
        <v>31</v>
      </c>
      <c r="P674" s="1" t="n">
        <v>1</v>
      </c>
      <c r="Q674" s="1" t="n">
        <v>0</v>
      </c>
      <c r="R674" s="1" t="n">
        <v>0</v>
      </c>
      <c r="S674" s="1" t="n">
        <v>0</v>
      </c>
      <c r="T674" s="1" t="n">
        <v>0</v>
      </c>
      <c r="U674" s="1" t="n">
        <v>0</v>
      </c>
      <c r="V674" s="3" t="n">
        <f aca="false">SUM(P674:Q674)</f>
        <v>1</v>
      </c>
      <c r="W674" s="3" t="n">
        <f aca="false">SUM(R674:T674)</f>
        <v>0</v>
      </c>
      <c r="X674" s="10" t="n">
        <v>39970</v>
      </c>
      <c r="Y674" s="10" t="n">
        <v>39975</v>
      </c>
    </row>
    <row r="675" customFormat="false" ht="14.25" hidden="false" customHeight="false" outlineLevel="0" collapsed="false">
      <c r="A675" s="1" t="n">
        <v>2009</v>
      </c>
      <c r="B675" s="1" t="n">
        <v>1</v>
      </c>
      <c r="C675" s="2" t="s">
        <v>50</v>
      </c>
      <c r="D675" s="7" t="s">
        <v>158</v>
      </c>
      <c r="E675" s="1" t="n">
        <v>1</v>
      </c>
      <c r="F675" s="1" t="n">
        <f aca="false">Y675-X675</f>
        <v>5</v>
      </c>
      <c r="G675" s="1" t="n">
        <v>5</v>
      </c>
      <c r="H675" s="3" t="s">
        <v>72</v>
      </c>
      <c r="I675" s="3" t="s">
        <v>73</v>
      </c>
      <c r="J675" s="3" t="s">
        <v>38</v>
      </c>
      <c r="K675" s="2" t="str">
        <f aca="false">CONCATENATE(I675," ",J675)</f>
        <v>Zelotes sp</v>
      </c>
      <c r="L675" s="3" t="n">
        <f aca="false">SUM(P675:U675)</f>
        <v>1</v>
      </c>
      <c r="M675" s="11" t="n">
        <f aca="false">(L675/(F675*G675)*25)*4</f>
        <v>4</v>
      </c>
      <c r="N675" s="1" t="s">
        <v>19</v>
      </c>
      <c r="O675" s="1" t="s">
        <v>54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1</v>
      </c>
      <c r="U675" s="1" t="n">
        <v>0</v>
      </c>
      <c r="V675" s="3" t="n">
        <f aca="false">SUM(P675:Q675)</f>
        <v>0</v>
      </c>
      <c r="W675" s="3" t="n">
        <f aca="false">SUM(R675:T675)</f>
        <v>1</v>
      </c>
      <c r="X675" s="10" t="n">
        <v>39970</v>
      </c>
      <c r="Y675" s="10" t="n">
        <v>39975</v>
      </c>
    </row>
    <row r="676" customFormat="false" ht="14.25" hidden="false" customHeight="false" outlineLevel="0" collapsed="false">
      <c r="A676" s="1" t="n">
        <v>2009</v>
      </c>
      <c r="B676" s="1" t="n">
        <v>1</v>
      </c>
      <c r="C676" s="2" t="s">
        <v>50</v>
      </c>
      <c r="D676" s="7" t="s">
        <v>158</v>
      </c>
      <c r="E676" s="1" t="n">
        <v>1</v>
      </c>
      <c r="F676" s="1" t="n">
        <f aca="false">Y676-X676</f>
        <v>5</v>
      </c>
      <c r="G676" s="1" t="n">
        <v>5</v>
      </c>
      <c r="H676" s="3" t="s">
        <v>64</v>
      </c>
      <c r="I676" s="3" t="s">
        <v>65</v>
      </c>
      <c r="J676" s="3" t="s">
        <v>123</v>
      </c>
      <c r="K676" s="2" t="str">
        <f aca="false">CONCATENATE(I676," ",J676)</f>
        <v>Zora nemoralis</v>
      </c>
      <c r="L676" s="3" t="n">
        <f aca="false">SUM(P676:U676)</f>
        <v>1</v>
      </c>
      <c r="M676" s="11" t="n">
        <f aca="false">(L676/(F676*G676)*25)*4</f>
        <v>4</v>
      </c>
      <c r="N676" s="1" t="s">
        <v>30</v>
      </c>
      <c r="O676" s="1" t="s">
        <v>31</v>
      </c>
      <c r="P676" s="1" t="n">
        <v>1</v>
      </c>
      <c r="Q676" s="1" t="n">
        <v>0</v>
      </c>
      <c r="R676" s="1" t="n">
        <v>0</v>
      </c>
      <c r="S676" s="1" t="n">
        <v>0</v>
      </c>
      <c r="T676" s="1" t="n">
        <v>0</v>
      </c>
      <c r="U676" s="1" t="n">
        <v>0</v>
      </c>
      <c r="V676" s="3" t="n">
        <f aca="false">SUM(P676:Q676)</f>
        <v>1</v>
      </c>
      <c r="W676" s="3" t="n">
        <f aca="false">SUM(R676:T676)</f>
        <v>0</v>
      </c>
      <c r="X676" s="10" t="n">
        <v>39970</v>
      </c>
      <c r="Y676" s="10" t="n">
        <v>39975</v>
      </c>
    </row>
    <row r="677" customFormat="false" ht="14.25" hidden="false" customHeight="false" outlineLevel="0" collapsed="false">
      <c r="A677" s="1" t="n">
        <v>2009</v>
      </c>
      <c r="B677" s="1" t="n">
        <v>1</v>
      </c>
      <c r="C677" s="2" t="s">
        <v>50</v>
      </c>
      <c r="D677" s="7" t="s">
        <v>158</v>
      </c>
      <c r="E677" s="1" t="n">
        <v>1</v>
      </c>
      <c r="F677" s="1" t="n">
        <f aca="false">Y677-X677</f>
        <v>5</v>
      </c>
      <c r="G677" s="1" t="n">
        <v>5</v>
      </c>
      <c r="H677" s="3" t="s">
        <v>36</v>
      </c>
      <c r="I677" s="3" t="s">
        <v>37</v>
      </c>
      <c r="J677" s="3" t="s">
        <v>38</v>
      </c>
      <c r="K677" s="2" t="str">
        <f aca="false">CONCATENATE(I677," ",J677)</f>
        <v>Ozyptila sp</v>
      </c>
      <c r="L677" s="3" t="n">
        <f aca="false">SUM(P677:U677)</f>
        <v>1</v>
      </c>
      <c r="M677" s="11" t="n">
        <f aca="false">(L677/(F677*G677)*25)*4</f>
        <v>4</v>
      </c>
      <c r="N677" s="1" t="s">
        <v>19</v>
      </c>
      <c r="O677" s="1" t="s">
        <v>54</v>
      </c>
      <c r="P677" s="1" t="n">
        <v>0</v>
      </c>
      <c r="Q677" s="1" t="n">
        <v>0</v>
      </c>
      <c r="R677" s="1" t="n">
        <v>0</v>
      </c>
      <c r="S677" s="1" t="n">
        <v>0</v>
      </c>
      <c r="T677" s="1" t="n">
        <v>1</v>
      </c>
      <c r="U677" s="1" t="n">
        <v>0</v>
      </c>
      <c r="V677" s="3" t="n">
        <f aca="false">SUM(P677:Q677)</f>
        <v>0</v>
      </c>
      <c r="W677" s="3" t="n">
        <f aca="false">SUM(R677:T677)</f>
        <v>1</v>
      </c>
      <c r="X677" s="10" t="n">
        <v>39970</v>
      </c>
      <c r="Y677" s="10" t="n">
        <v>39975</v>
      </c>
    </row>
    <row r="678" customFormat="false" ht="14.25" hidden="false" customHeight="false" outlineLevel="0" collapsed="false">
      <c r="A678" s="1" t="n">
        <v>2009</v>
      </c>
      <c r="B678" s="1" t="n">
        <v>1</v>
      </c>
      <c r="C678" s="2" t="s">
        <v>50</v>
      </c>
      <c r="D678" s="7" t="s">
        <v>158</v>
      </c>
      <c r="E678" s="1" t="n">
        <v>1</v>
      </c>
      <c r="F678" s="1" t="n">
        <f aca="false">Y678-X678</f>
        <v>5</v>
      </c>
      <c r="G678" s="1" t="n">
        <v>5</v>
      </c>
      <c r="H678" s="3" t="s">
        <v>32</v>
      </c>
      <c r="I678" s="3" t="s">
        <v>62</v>
      </c>
      <c r="J678" s="3" t="s">
        <v>63</v>
      </c>
      <c r="K678" s="2" t="str">
        <f aca="false">CONCATENATE(I678," ",J678)</f>
        <v>Microneta viaria</v>
      </c>
      <c r="L678" s="3" t="n">
        <f aca="false">SUM(P678:U678)</f>
        <v>1</v>
      </c>
      <c r="M678" s="11" t="n">
        <f aca="false">(L678/(F678*G678)*25)*4</f>
        <v>4</v>
      </c>
      <c r="N678" s="1" t="s">
        <v>30</v>
      </c>
      <c r="O678" s="1" t="s">
        <v>31</v>
      </c>
      <c r="P678" s="1" t="n">
        <v>1</v>
      </c>
      <c r="Q678" s="1" t="n">
        <v>0</v>
      </c>
      <c r="R678" s="1" t="n">
        <v>0</v>
      </c>
      <c r="S678" s="1" t="n">
        <v>0</v>
      </c>
      <c r="T678" s="1" t="n">
        <v>0</v>
      </c>
      <c r="U678" s="1" t="n">
        <v>0</v>
      </c>
      <c r="V678" s="3" t="n">
        <f aca="false">SUM(P678:Q678)</f>
        <v>1</v>
      </c>
      <c r="W678" s="3" t="n">
        <f aca="false">SUM(R678:T678)</f>
        <v>0</v>
      </c>
      <c r="X678" s="10" t="n">
        <v>39970</v>
      </c>
      <c r="Y678" s="10" t="n">
        <v>39975</v>
      </c>
    </row>
    <row r="679" customFormat="false" ht="14.25" hidden="false" customHeight="false" outlineLevel="0" collapsed="false">
      <c r="A679" s="1" t="n">
        <v>2009</v>
      </c>
      <c r="B679" s="1" t="n">
        <v>1</v>
      </c>
      <c r="C679" s="2" t="s">
        <v>50</v>
      </c>
      <c r="D679" s="7" t="s">
        <v>158</v>
      </c>
      <c r="E679" s="1" t="n">
        <v>1</v>
      </c>
      <c r="F679" s="1" t="n">
        <f aca="false">Y679-X679</f>
        <v>5</v>
      </c>
      <c r="G679" s="1" t="n">
        <v>5</v>
      </c>
      <c r="H679" s="13" t="s">
        <v>32</v>
      </c>
      <c r="I679" s="13" t="s">
        <v>202</v>
      </c>
      <c r="J679" s="14" t="s">
        <v>203</v>
      </c>
      <c r="K679" s="2" t="str">
        <f aca="false">CONCATENATE(I679," ",J679)</f>
        <v>Hypselistes jacksoni</v>
      </c>
      <c r="L679" s="3" t="n">
        <f aca="false">SUM(P679:U679)</f>
        <v>1</v>
      </c>
      <c r="M679" s="11" t="n">
        <f aca="false">(L679/(F679*G679)*25)*4</f>
        <v>4</v>
      </c>
      <c r="N679" s="1" t="s">
        <v>30</v>
      </c>
      <c r="O679" s="1" t="s">
        <v>35</v>
      </c>
      <c r="P679" s="1" t="n">
        <v>0</v>
      </c>
      <c r="Q679" s="1" t="n">
        <v>1</v>
      </c>
      <c r="R679" s="1" t="n">
        <v>0</v>
      </c>
      <c r="S679" s="1" t="n">
        <v>0</v>
      </c>
      <c r="T679" s="1" t="n">
        <v>0</v>
      </c>
      <c r="U679" s="1" t="n">
        <v>0</v>
      </c>
      <c r="V679" s="3" t="n">
        <f aca="false">SUM(P679:Q679)</f>
        <v>1</v>
      </c>
      <c r="W679" s="3" t="n">
        <f aca="false">SUM(R679:T679)</f>
        <v>0</v>
      </c>
      <c r="X679" s="10" t="n">
        <v>39970</v>
      </c>
      <c r="Y679" s="10" t="n">
        <v>39975</v>
      </c>
    </row>
    <row r="680" customFormat="false" ht="14.25" hidden="false" customHeight="false" outlineLevel="0" collapsed="false">
      <c r="A680" s="1" t="n">
        <v>2009</v>
      </c>
      <c r="B680" s="1" t="n">
        <v>1</v>
      </c>
      <c r="C680" s="2" t="s">
        <v>50</v>
      </c>
      <c r="D680" s="7" t="s">
        <v>158</v>
      </c>
      <c r="E680" s="1" t="n">
        <v>1</v>
      </c>
      <c r="F680" s="1" t="n">
        <f aca="false">Y680-X680</f>
        <v>5</v>
      </c>
      <c r="G680" s="1" t="n">
        <v>5</v>
      </c>
      <c r="H680" s="3" t="s">
        <v>48</v>
      </c>
      <c r="I680" s="3" t="s">
        <v>49</v>
      </c>
      <c r="J680" s="3" t="s">
        <v>104</v>
      </c>
      <c r="K680" s="2" t="str">
        <f aca="false">CONCATENATE(I680," ",J680)</f>
        <v>Alopecosa taeniata</v>
      </c>
      <c r="L680" s="3" t="n">
        <f aca="false">SUM(P680:U680)</f>
        <v>4</v>
      </c>
      <c r="M680" s="11" t="n">
        <f aca="false">(L680/(F680*G680)*25)*4</f>
        <v>16</v>
      </c>
      <c r="N680" s="1" t="s">
        <v>30</v>
      </c>
      <c r="O680" s="1" t="s">
        <v>31</v>
      </c>
      <c r="P680" s="1" t="n">
        <v>4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0</v>
      </c>
      <c r="V680" s="3" t="n">
        <f aca="false">SUM(P680:Q680)</f>
        <v>4</v>
      </c>
      <c r="W680" s="3" t="n">
        <f aca="false">SUM(R680:T680)</f>
        <v>0</v>
      </c>
      <c r="X680" s="10" t="n">
        <v>39970</v>
      </c>
      <c r="Y680" s="10" t="n">
        <v>39975</v>
      </c>
    </row>
    <row r="681" customFormat="false" ht="14.25" hidden="false" customHeight="false" outlineLevel="0" collapsed="false">
      <c r="A681" s="1" t="n">
        <v>2009</v>
      </c>
      <c r="B681" s="1" t="n">
        <v>1</v>
      </c>
      <c r="C681" s="2" t="s">
        <v>50</v>
      </c>
      <c r="D681" s="7" t="s">
        <v>158</v>
      </c>
      <c r="E681" s="1" t="n">
        <v>1</v>
      </c>
      <c r="F681" s="1" t="n">
        <f aca="false">Y681-X681</f>
        <v>5</v>
      </c>
      <c r="G681" s="1" t="n">
        <v>5</v>
      </c>
      <c r="H681" s="3" t="s">
        <v>48</v>
      </c>
      <c r="I681" s="3" t="s">
        <v>49</v>
      </c>
      <c r="J681" s="3" t="s">
        <v>130</v>
      </c>
      <c r="K681" s="2" t="str">
        <f aca="false">CONCATENATE(I681," ",J681)</f>
        <v>Alopecosa aculeata</v>
      </c>
      <c r="L681" s="3" t="n">
        <f aca="false">SUM(P681:U681)</f>
        <v>1</v>
      </c>
      <c r="M681" s="11" t="n">
        <f aca="false">(L681/(F681*G681)*25)*4</f>
        <v>4</v>
      </c>
      <c r="N681" s="1" t="s">
        <v>30</v>
      </c>
      <c r="O681" s="1" t="s">
        <v>31</v>
      </c>
      <c r="P681" s="1" t="n">
        <v>1</v>
      </c>
      <c r="Q681" s="1" t="n">
        <v>0</v>
      </c>
      <c r="R681" s="1" t="n">
        <v>0</v>
      </c>
      <c r="S681" s="1" t="n">
        <v>0</v>
      </c>
      <c r="T681" s="1" t="n">
        <v>0</v>
      </c>
      <c r="U681" s="1" t="n">
        <v>0</v>
      </c>
      <c r="V681" s="3" t="n">
        <f aca="false">SUM(P681:Q681)</f>
        <v>1</v>
      </c>
      <c r="W681" s="3" t="n">
        <f aca="false">SUM(R681:T681)</f>
        <v>0</v>
      </c>
      <c r="X681" s="10" t="n">
        <v>39970</v>
      </c>
      <c r="Y681" s="10" t="n">
        <v>39975</v>
      </c>
    </row>
    <row r="682" customFormat="false" ht="14.25" hidden="false" customHeight="false" outlineLevel="0" collapsed="false">
      <c r="A682" s="1" t="n">
        <v>2009</v>
      </c>
      <c r="B682" s="1" t="n">
        <v>1</v>
      </c>
      <c r="C682" s="2" t="s">
        <v>50</v>
      </c>
      <c r="D682" s="7" t="s">
        <v>158</v>
      </c>
      <c r="E682" s="1" t="n">
        <v>1</v>
      </c>
      <c r="F682" s="1" t="n">
        <f aca="false">Y682-X682</f>
        <v>5</v>
      </c>
      <c r="G682" s="1" t="n">
        <v>5</v>
      </c>
      <c r="H682" s="3" t="s">
        <v>48</v>
      </c>
      <c r="I682" s="3" t="s">
        <v>67</v>
      </c>
      <c r="J682" s="3" t="s">
        <v>127</v>
      </c>
      <c r="K682" s="2" t="str">
        <f aca="false">CONCATENATE(I682," ",J682)</f>
        <v>Pardosa lugubris</v>
      </c>
      <c r="L682" s="3" t="n">
        <f aca="false">SUM(P682:U682)</f>
        <v>4</v>
      </c>
      <c r="M682" s="11" t="n">
        <f aca="false">(L682/(F682*G682)*25)*4</f>
        <v>16</v>
      </c>
      <c r="N682" s="1" t="s">
        <v>30</v>
      </c>
      <c r="O682" s="1" t="s">
        <v>31</v>
      </c>
      <c r="P682" s="1" t="n">
        <v>4</v>
      </c>
      <c r="Q682" s="1" t="n">
        <v>0</v>
      </c>
      <c r="R682" s="1" t="n">
        <v>0</v>
      </c>
      <c r="S682" s="1" t="n">
        <v>0</v>
      </c>
      <c r="T682" s="1" t="n">
        <v>0</v>
      </c>
      <c r="U682" s="1" t="n">
        <v>0</v>
      </c>
      <c r="V682" s="3" t="n">
        <f aca="false">SUM(P682:Q682)</f>
        <v>4</v>
      </c>
      <c r="W682" s="3" t="n">
        <f aca="false">SUM(R682:T682)</f>
        <v>0</v>
      </c>
      <c r="X682" s="10" t="n">
        <v>39970</v>
      </c>
      <c r="Y682" s="10" t="n">
        <v>39975</v>
      </c>
    </row>
    <row r="683" customFormat="false" ht="14.25" hidden="false" customHeight="false" outlineLevel="0" collapsed="false">
      <c r="A683" s="1" t="n">
        <v>2009</v>
      </c>
      <c r="B683" s="1" t="n">
        <v>1</v>
      </c>
      <c r="C683" s="2" t="s">
        <v>50</v>
      </c>
      <c r="D683" s="7" t="s">
        <v>158</v>
      </c>
      <c r="E683" s="1" t="n">
        <v>1</v>
      </c>
      <c r="F683" s="1" t="n">
        <f aca="false">Y683-X683</f>
        <v>5</v>
      </c>
      <c r="G683" s="1" t="n">
        <v>5</v>
      </c>
      <c r="H683" s="3" t="s">
        <v>48</v>
      </c>
      <c r="I683" s="3" t="s">
        <v>49</v>
      </c>
      <c r="J683" s="3" t="s">
        <v>38</v>
      </c>
      <c r="K683" s="2" t="str">
        <f aca="false">CONCATENATE(I683," ",J683)</f>
        <v>Alopecosa sp</v>
      </c>
      <c r="L683" s="3" t="n">
        <f aca="false">SUM(P683:U683)</f>
        <v>1</v>
      </c>
      <c r="M683" s="11" t="n">
        <f aca="false">(L683/(F683*G683)*25)*4</f>
        <v>4</v>
      </c>
      <c r="N683" s="1" t="s">
        <v>19</v>
      </c>
      <c r="O683" s="1" t="s">
        <v>54</v>
      </c>
      <c r="P683" s="1" t="n">
        <v>0</v>
      </c>
      <c r="Q683" s="1" t="n">
        <v>0</v>
      </c>
      <c r="R683" s="1" t="n">
        <v>0</v>
      </c>
      <c r="S683" s="1" t="n">
        <v>0</v>
      </c>
      <c r="T683" s="1" t="n">
        <v>1</v>
      </c>
      <c r="U683" s="1" t="n">
        <v>0</v>
      </c>
      <c r="V683" s="3" t="n">
        <f aca="false">SUM(P683:Q683)</f>
        <v>0</v>
      </c>
      <c r="W683" s="3" t="n">
        <f aca="false">SUM(R683:T683)</f>
        <v>1</v>
      </c>
      <c r="X683" s="10" t="n">
        <v>39970</v>
      </c>
      <c r="Y683" s="10" t="n">
        <v>39975</v>
      </c>
    </row>
    <row r="684" customFormat="false" ht="14.25" hidden="false" customHeight="false" outlineLevel="0" collapsed="false">
      <c r="A684" s="1" t="n">
        <v>2009</v>
      </c>
      <c r="B684" s="1" t="n">
        <v>1</v>
      </c>
      <c r="C684" s="2" t="s">
        <v>50</v>
      </c>
      <c r="D684" s="7" t="s">
        <v>158</v>
      </c>
      <c r="E684" s="1" t="n">
        <v>1</v>
      </c>
      <c r="F684" s="1" t="n">
        <f aca="false">Y684-X684</f>
        <v>5</v>
      </c>
      <c r="G684" s="1" t="n">
        <v>5</v>
      </c>
      <c r="H684" s="3" t="s">
        <v>48</v>
      </c>
      <c r="I684" s="3" t="s">
        <v>67</v>
      </c>
      <c r="J684" s="3" t="s">
        <v>38</v>
      </c>
      <c r="K684" s="2" t="str">
        <f aca="false">CONCATENATE(I684," ",J684)</f>
        <v>Pardosa sp</v>
      </c>
      <c r="L684" s="3" t="n">
        <f aca="false">SUM(P684:U684)</f>
        <v>1</v>
      </c>
      <c r="M684" s="11" t="n">
        <f aca="false">(L684/(F684*G684)*25)*4</f>
        <v>4</v>
      </c>
      <c r="N684" s="1" t="s">
        <v>19</v>
      </c>
      <c r="O684" s="1" t="s">
        <v>54</v>
      </c>
      <c r="P684" s="1" t="n">
        <v>0</v>
      </c>
      <c r="Q684" s="1" t="n">
        <v>0</v>
      </c>
      <c r="R684" s="1" t="n">
        <v>0</v>
      </c>
      <c r="S684" s="1" t="n">
        <v>0</v>
      </c>
      <c r="T684" s="1" t="n">
        <v>1</v>
      </c>
      <c r="U684" s="1" t="n">
        <v>0</v>
      </c>
      <c r="V684" s="3" t="n">
        <f aca="false">SUM(P684:Q684)</f>
        <v>0</v>
      </c>
      <c r="W684" s="3" t="n">
        <f aca="false">SUM(R684:T684)</f>
        <v>1</v>
      </c>
      <c r="X684" s="10" t="n">
        <v>39970</v>
      </c>
      <c r="Y684" s="10" t="n">
        <v>39975</v>
      </c>
    </row>
    <row r="685" customFormat="false" ht="14.25" hidden="false" customHeight="false" outlineLevel="0" collapsed="false">
      <c r="A685" s="1" t="n">
        <v>2009</v>
      </c>
      <c r="B685" s="1" t="n">
        <v>1</v>
      </c>
      <c r="C685" s="2" t="s">
        <v>50</v>
      </c>
      <c r="D685" s="7" t="s">
        <v>158</v>
      </c>
      <c r="E685" s="1" t="n">
        <v>1</v>
      </c>
      <c r="F685" s="1" t="n">
        <f aca="false">Y685-X685</f>
        <v>5</v>
      </c>
      <c r="G685" s="1" t="n">
        <v>5</v>
      </c>
      <c r="H685" s="3" t="s">
        <v>36</v>
      </c>
      <c r="I685" s="3" t="s">
        <v>131</v>
      </c>
      <c r="J685" s="3" t="s">
        <v>133</v>
      </c>
      <c r="K685" s="2" t="str">
        <f aca="false">CONCATENATE(I685," ",J685)</f>
        <v>Xysticus luctuosus</v>
      </c>
      <c r="L685" s="3" t="n">
        <f aca="false">SUM(P685:U685)</f>
        <v>1</v>
      </c>
      <c r="M685" s="11" t="n">
        <f aca="false">(L685/(F685*G685)*25)*4</f>
        <v>4</v>
      </c>
      <c r="N685" s="1" t="s">
        <v>30</v>
      </c>
      <c r="O685" s="1" t="s">
        <v>31</v>
      </c>
      <c r="P685" s="1" t="n">
        <v>1</v>
      </c>
      <c r="Q685" s="1" t="n">
        <v>0</v>
      </c>
      <c r="R685" s="1" t="n">
        <v>0</v>
      </c>
      <c r="S685" s="1" t="n">
        <v>0</v>
      </c>
      <c r="T685" s="1" t="n">
        <v>0</v>
      </c>
      <c r="U685" s="1" t="n">
        <v>0</v>
      </c>
      <c r="V685" s="3" t="n">
        <f aca="false">SUM(P685:Q685)</f>
        <v>1</v>
      </c>
      <c r="W685" s="3" t="n">
        <f aca="false">SUM(R685:T685)</f>
        <v>0</v>
      </c>
      <c r="X685" s="10" t="n">
        <v>39970</v>
      </c>
      <c r="Y685" s="10" t="n">
        <v>39975</v>
      </c>
    </row>
    <row r="686" customFormat="false" ht="14.25" hidden="false" customHeight="false" outlineLevel="0" collapsed="false">
      <c r="A686" s="1" t="n">
        <v>2009</v>
      </c>
      <c r="B686" s="1" t="n">
        <v>1</v>
      </c>
      <c r="C686" s="2" t="s">
        <v>50</v>
      </c>
      <c r="D686" s="7" t="s">
        <v>158</v>
      </c>
      <c r="E686" s="1" t="n">
        <v>1</v>
      </c>
      <c r="F686" s="1" t="n">
        <f aca="false">Y686-X686</f>
        <v>5</v>
      </c>
      <c r="G686" s="1" t="n">
        <v>5</v>
      </c>
      <c r="H686" s="3" t="s">
        <v>32</v>
      </c>
      <c r="I686" s="3" t="s">
        <v>84</v>
      </c>
      <c r="J686" s="3" t="s">
        <v>168</v>
      </c>
      <c r="K686" s="2" t="str">
        <f aca="false">CONCATENATE(I686," ",J686)</f>
        <v>Walckenaeria atrotibialis</v>
      </c>
      <c r="L686" s="3" t="n">
        <f aca="false">SUM(P686:U686)</f>
        <v>1</v>
      </c>
      <c r="M686" s="11" t="n">
        <f aca="false">(L686/(F686*G686)*25)*4</f>
        <v>4</v>
      </c>
      <c r="N686" s="1" t="s">
        <v>30</v>
      </c>
      <c r="O686" s="1" t="s">
        <v>31</v>
      </c>
      <c r="P686" s="1" t="n">
        <v>1</v>
      </c>
      <c r="Q686" s="1" t="n">
        <v>0</v>
      </c>
      <c r="R686" s="1" t="n">
        <v>0</v>
      </c>
      <c r="S686" s="1" t="n">
        <v>0</v>
      </c>
      <c r="T686" s="1" t="n">
        <v>0</v>
      </c>
      <c r="U686" s="1" t="n">
        <v>0</v>
      </c>
      <c r="V686" s="3" t="n">
        <f aca="false">SUM(P686:Q686)</f>
        <v>1</v>
      </c>
      <c r="W686" s="3" t="n">
        <f aca="false">SUM(R686:T686)</f>
        <v>0</v>
      </c>
      <c r="X686" s="10" t="n">
        <v>39970</v>
      </c>
      <c r="Y686" s="10" t="n">
        <v>39975</v>
      </c>
    </row>
    <row r="687" customFormat="false" ht="14.25" hidden="false" customHeight="false" outlineLevel="0" collapsed="false">
      <c r="A687" s="1" t="n">
        <v>2009</v>
      </c>
      <c r="B687" s="1" t="n">
        <v>1</v>
      </c>
      <c r="C687" s="2" t="s">
        <v>50</v>
      </c>
      <c r="D687" s="7" t="s">
        <v>158</v>
      </c>
      <c r="E687" s="1" t="n">
        <v>2</v>
      </c>
      <c r="F687" s="1" t="n">
        <f aca="false">Y687-X687</f>
        <v>5</v>
      </c>
      <c r="G687" s="1" t="n">
        <v>5</v>
      </c>
      <c r="H687" s="3" t="s">
        <v>48</v>
      </c>
      <c r="I687" s="3" t="s">
        <v>49</v>
      </c>
      <c r="J687" s="3" t="s">
        <v>104</v>
      </c>
      <c r="K687" s="2" t="str">
        <f aca="false">CONCATENATE(I687," ",J687)</f>
        <v>Alopecosa taeniata</v>
      </c>
      <c r="L687" s="3" t="n">
        <f aca="false">SUM(P687:U687)</f>
        <v>6</v>
      </c>
      <c r="M687" s="11" t="n">
        <f aca="false">(L687/(F687*G687)*25)*4</f>
        <v>24</v>
      </c>
      <c r="N687" s="1" t="s">
        <v>30</v>
      </c>
      <c r="O687" s="1" t="s">
        <v>31</v>
      </c>
      <c r="P687" s="1" t="n">
        <v>6</v>
      </c>
      <c r="Q687" s="1" t="n">
        <v>0</v>
      </c>
      <c r="R687" s="1" t="n">
        <v>0</v>
      </c>
      <c r="S687" s="1" t="n">
        <v>0</v>
      </c>
      <c r="T687" s="1" t="n">
        <v>0</v>
      </c>
      <c r="U687" s="1" t="n">
        <v>0</v>
      </c>
      <c r="V687" s="3" t="n">
        <f aca="false">SUM(P687:Q687)</f>
        <v>6</v>
      </c>
      <c r="W687" s="3" t="n">
        <f aca="false">SUM(R687:T687)</f>
        <v>0</v>
      </c>
      <c r="X687" s="10" t="n">
        <v>39970</v>
      </c>
      <c r="Y687" s="10" t="n">
        <v>39975</v>
      </c>
    </row>
    <row r="688" customFormat="false" ht="14.25" hidden="false" customHeight="false" outlineLevel="0" collapsed="false">
      <c r="A688" s="1" t="n">
        <v>2009</v>
      </c>
      <c r="B688" s="1" t="n">
        <v>1</v>
      </c>
      <c r="C688" s="2" t="s">
        <v>50</v>
      </c>
      <c r="D688" s="7" t="s">
        <v>158</v>
      </c>
      <c r="E688" s="1" t="n">
        <v>2</v>
      </c>
      <c r="F688" s="1" t="n">
        <f aca="false">Y688-X688</f>
        <v>5</v>
      </c>
      <c r="G688" s="1" t="n">
        <v>5</v>
      </c>
      <c r="H688" s="3" t="s">
        <v>48</v>
      </c>
      <c r="I688" s="3" t="s">
        <v>49</v>
      </c>
      <c r="J688" s="3" t="s">
        <v>104</v>
      </c>
      <c r="K688" s="2" t="str">
        <f aca="false">CONCATENATE(I688," ",J688)</f>
        <v>Alopecosa taeniata</v>
      </c>
      <c r="L688" s="3" t="n">
        <f aca="false">SUM(P688:U688)</f>
        <v>2</v>
      </c>
      <c r="M688" s="11" t="n">
        <f aca="false">(L688/(F688*G688)*25)*4</f>
        <v>8</v>
      </c>
      <c r="N688" s="1" t="s">
        <v>30</v>
      </c>
      <c r="O688" s="1" t="s">
        <v>35</v>
      </c>
      <c r="P688" s="1" t="n">
        <v>0</v>
      </c>
      <c r="Q688" s="1" t="n">
        <v>2</v>
      </c>
      <c r="R688" s="1" t="n">
        <v>0</v>
      </c>
      <c r="S688" s="1" t="n">
        <v>0</v>
      </c>
      <c r="T688" s="1" t="n">
        <v>0</v>
      </c>
      <c r="U688" s="1" t="n">
        <v>0</v>
      </c>
      <c r="V688" s="3" t="n">
        <f aca="false">SUM(P688:Q688)</f>
        <v>2</v>
      </c>
      <c r="W688" s="3" t="n">
        <f aca="false">SUM(R688:T688)</f>
        <v>0</v>
      </c>
      <c r="X688" s="10" t="n">
        <v>39970</v>
      </c>
      <c r="Y688" s="10" t="n">
        <v>39975</v>
      </c>
    </row>
    <row r="689" customFormat="false" ht="14.25" hidden="false" customHeight="false" outlineLevel="0" collapsed="false">
      <c r="A689" s="1" t="n">
        <v>2009</v>
      </c>
      <c r="B689" s="1" t="n">
        <v>1</v>
      </c>
      <c r="C689" s="2" t="s">
        <v>50</v>
      </c>
      <c r="D689" s="7" t="s">
        <v>158</v>
      </c>
      <c r="E689" s="1" t="n">
        <v>2</v>
      </c>
      <c r="F689" s="1" t="n">
        <f aca="false">Y689-X689</f>
        <v>5</v>
      </c>
      <c r="G689" s="1" t="n">
        <v>5</v>
      </c>
      <c r="H689" s="3" t="s">
        <v>48</v>
      </c>
      <c r="I689" s="3" t="s">
        <v>49</v>
      </c>
      <c r="J689" s="3" t="s">
        <v>130</v>
      </c>
      <c r="K689" s="2" t="str">
        <f aca="false">CONCATENATE(I689," ",J689)</f>
        <v>Alopecosa aculeata</v>
      </c>
      <c r="L689" s="3" t="n">
        <f aca="false">SUM(P689:U689)</f>
        <v>1</v>
      </c>
      <c r="M689" s="11" t="n">
        <f aca="false">(L689/(F689*G689)*25)*4</f>
        <v>4</v>
      </c>
      <c r="N689" s="1" t="s">
        <v>30</v>
      </c>
      <c r="O689" s="1" t="s">
        <v>31</v>
      </c>
      <c r="P689" s="1" t="n">
        <v>1</v>
      </c>
      <c r="Q689" s="1" t="n">
        <v>0</v>
      </c>
      <c r="R689" s="1" t="n">
        <v>0</v>
      </c>
      <c r="S689" s="1" t="n">
        <v>0</v>
      </c>
      <c r="T689" s="1" t="n">
        <v>0</v>
      </c>
      <c r="U689" s="1" t="n">
        <v>0</v>
      </c>
      <c r="V689" s="3" t="n">
        <f aca="false">SUM(P689:Q689)</f>
        <v>1</v>
      </c>
      <c r="W689" s="3" t="n">
        <f aca="false">SUM(R689:T689)</f>
        <v>0</v>
      </c>
      <c r="X689" s="10" t="n">
        <v>39970</v>
      </c>
      <c r="Y689" s="10" t="n">
        <v>39975</v>
      </c>
    </row>
    <row r="690" customFormat="false" ht="14.25" hidden="false" customHeight="false" outlineLevel="0" collapsed="false">
      <c r="A690" s="1" t="n">
        <v>2009</v>
      </c>
      <c r="B690" s="1" t="n">
        <v>1</v>
      </c>
      <c r="C690" s="2" t="s">
        <v>50</v>
      </c>
      <c r="D690" s="7" t="s">
        <v>158</v>
      </c>
      <c r="E690" s="1" t="n">
        <v>2</v>
      </c>
      <c r="F690" s="1" t="n">
        <f aca="false">Y690-X690</f>
        <v>5</v>
      </c>
      <c r="G690" s="1" t="n">
        <v>5</v>
      </c>
      <c r="H690" s="3" t="s">
        <v>48</v>
      </c>
      <c r="I690" s="3" t="s">
        <v>67</v>
      </c>
      <c r="J690" s="3" t="s">
        <v>127</v>
      </c>
      <c r="K690" s="2" t="str">
        <f aca="false">CONCATENATE(I690," ",J690)</f>
        <v>Pardosa lugubris</v>
      </c>
      <c r="L690" s="3" t="n">
        <f aca="false">SUM(P690:U690)</f>
        <v>1</v>
      </c>
      <c r="M690" s="11" t="n">
        <f aca="false">(L690/(F690*G690)*25)*4</f>
        <v>4</v>
      </c>
      <c r="N690" s="1" t="s">
        <v>30</v>
      </c>
      <c r="O690" s="1" t="s">
        <v>31</v>
      </c>
      <c r="P690" s="1" t="n">
        <v>1</v>
      </c>
      <c r="Q690" s="1" t="n">
        <v>0</v>
      </c>
      <c r="R690" s="1" t="n">
        <v>0</v>
      </c>
      <c r="S690" s="1" t="n">
        <v>0</v>
      </c>
      <c r="T690" s="1" t="n">
        <v>0</v>
      </c>
      <c r="U690" s="1" t="n">
        <v>0</v>
      </c>
      <c r="V690" s="3" t="n">
        <f aca="false">SUM(P690:Q690)</f>
        <v>1</v>
      </c>
      <c r="W690" s="3" t="n">
        <f aca="false">SUM(R690:T690)</f>
        <v>0</v>
      </c>
      <c r="X690" s="10" t="n">
        <v>39970</v>
      </c>
      <c r="Y690" s="10" t="n">
        <v>39975</v>
      </c>
    </row>
    <row r="691" customFormat="false" ht="14.25" hidden="false" customHeight="false" outlineLevel="0" collapsed="false">
      <c r="A691" s="1" t="n">
        <v>2009</v>
      </c>
      <c r="B691" s="1" t="n">
        <v>1</v>
      </c>
      <c r="C691" s="2" t="s">
        <v>50</v>
      </c>
      <c r="D691" s="7" t="s">
        <v>158</v>
      </c>
      <c r="E691" s="1" t="n">
        <v>2</v>
      </c>
      <c r="F691" s="1" t="n">
        <f aca="false">Y691-X691</f>
        <v>5</v>
      </c>
      <c r="G691" s="1" t="n">
        <v>5</v>
      </c>
      <c r="H691" s="3" t="s">
        <v>48</v>
      </c>
      <c r="I691" s="3" t="s">
        <v>61</v>
      </c>
      <c r="J691" s="3" t="s">
        <v>38</v>
      </c>
      <c r="K691" s="2" t="str">
        <f aca="false">CONCATENATE(I691," ",J691)</f>
        <v>Trochosa sp</v>
      </c>
      <c r="L691" s="3" t="n">
        <f aca="false">SUM(P691:U691)</f>
        <v>1</v>
      </c>
      <c r="M691" s="11" t="n">
        <f aca="false">(L691/(F691*G691)*25)*4</f>
        <v>4</v>
      </c>
      <c r="N691" s="1" t="s">
        <v>19</v>
      </c>
      <c r="O691" s="1" t="s">
        <v>54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1</v>
      </c>
      <c r="U691" s="1" t="n">
        <v>0</v>
      </c>
      <c r="V691" s="3" t="n">
        <f aca="false">SUM(P691:Q691)</f>
        <v>0</v>
      </c>
      <c r="W691" s="3" t="n">
        <f aca="false">SUM(R691:T691)</f>
        <v>1</v>
      </c>
      <c r="X691" s="10" t="n">
        <v>39970</v>
      </c>
      <c r="Y691" s="10" t="n">
        <v>39975</v>
      </c>
    </row>
    <row r="692" customFormat="false" ht="14.25" hidden="false" customHeight="false" outlineLevel="0" collapsed="false">
      <c r="A692" s="1" t="n">
        <v>2009</v>
      </c>
      <c r="B692" s="1" t="n">
        <v>1</v>
      </c>
      <c r="C692" s="2" t="s">
        <v>50</v>
      </c>
      <c r="D692" s="7" t="s">
        <v>158</v>
      </c>
      <c r="E692" s="1" t="n">
        <v>2</v>
      </c>
      <c r="F692" s="1" t="n">
        <f aca="false">Y692-X692</f>
        <v>5</v>
      </c>
      <c r="G692" s="1" t="n">
        <v>5</v>
      </c>
      <c r="H692" s="3" t="s">
        <v>36</v>
      </c>
      <c r="I692" s="3" t="s">
        <v>37</v>
      </c>
      <c r="J692" s="8" t="s">
        <v>75</v>
      </c>
      <c r="K692" s="2" t="str">
        <f aca="false">CONCATENATE(I692," ",J692)</f>
        <v>Ozyptila praticola</v>
      </c>
      <c r="L692" s="3" t="n">
        <f aca="false">SUM(P692:U692)</f>
        <v>1</v>
      </c>
      <c r="M692" s="11" t="n">
        <f aca="false">(L692/(F692*G692)*25)*4</f>
        <v>4</v>
      </c>
      <c r="N692" s="1" t="s">
        <v>30</v>
      </c>
      <c r="O692" s="1" t="s">
        <v>31</v>
      </c>
      <c r="P692" s="1" t="n">
        <v>1</v>
      </c>
      <c r="Q692" s="1" t="n">
        <v>0</v>
      </c>
      <c r="R692" s="1" t="n">
        <v>0</v>
      </c>
      <c r="S692" s="1" t="n">
        <v>0</v>
      </c>
      <c r="T692" s="1" t="n">
        <v>0</v>
      </c>
      <c r="U692" s="1" t="n">
        <v>0</v>
      </c>
      <c r="V692" s="3" t="n">
        <f aca="false">SUM(P692:Q692)</f>
        <v>1</v>
      </c>
      <c r="W692" s="3" t="n">
        <f aca="false">SUM(R692:T692)</f>
        <v>0</v>
      </c>
      <c r="X692" s="10" t="n">
        <v>39970</v>
      </c>
      <c r="Y692" s="10" t="n">
        <v>39975</v>
      </c>
    </row>
    <row r="693" customFormat="false" ht="14.25" hidden="false" customHeight="false" outlineLevel="0" collapsed="false">
      <c r="A693" s="1" t="n">
        <v>2009</v>
      </c>
      <c r="B693" s="1" t="n">
        <v>1</v>
      </c>
      <c r="C693" s="2" t="s">
        <v>50</v>
      </c>
      <c r="D693" s="7" t="s">
        <v>158</v>
      </c>
      <c r="E693" s="1" t="n">
        <v>2</v>
      </c>
      <c r="F693" s="1" t="n">
        <f aca="false">Y693-X693</f>
        <v>5</v>
      </c>
      <c r="G693" s="1" t="n">
        <v>5</v>
      </c>
      <c r="H693" s="3" t="s">
        <v>36</v>
      </c>
      <c r="I693" s="3" t="s">
        <v>131</v>
      </c>
      <c r="J693" s="3" t="s">
        <v>133</v>
      </c>
      <c r="K693" s="2" t="str">
        <f aca="false">CONCATENATE(I693," ",J693)</f>
        <v>Xysticus luctuosus</v>
      </c>
      <c r="L693" s="3" t="n">
        <f aca="false">SUM(P693:U693)</f>
        <v>1</v>
      </c>
      <c r="M693" s="11" t="n">
        <f aca="false">(L693/(F693*G693)*25)*4</f>
        <v>4</v>
      </c>
      <c r="N693" s="1" t="s">
        <v>30</v>
      </c>
      <c r="O693" s="1" t="s">
        <v>31</v>
      </c>
      <c r="P693" s="1" t="n">
        <v>1</v>
      </c>
      <c r="Q693" s="1" t="n">
        <v>0</v>
      </c>
      <c r="R693" s="1" t="n">
        <v>0</v>
      </c>
      <c r="S693" s="1" t="n">
        <v>0</v>
      </c>
      <c r="T693" s="1" t="n">
        <v>0</v>
      </c>
      <c r="U693" s="1" t="n">
        <v>0</v>
      </c>
      <c r="V693" s="3" t="n">
        <f aca="false">SUM(P693:Q693)</f>
        <v>1</v>
      </c>
      <c r="W693" s="3" t="n">
        <f aca="false">SUM(R693:T693)</f>
        <v>0</v>
      </c>
      <c r="X693" s="10" t="n">
        <v>39970</v>
      </c>
      <c r="Y693" s="10" t="n">
        <v>39975</v>
      </c>
    </row>
    <row r="694" customFormat="false" ht="14.25" hidden="false" customHeight="false" outlineLevel="0" collapsed="false">
      <c r="A694" s="1" t="n">
        <v>2009</v>
      </c>
      <c r="B694" s="1" t="n">
        <v>1</v>
      </c>
      <c r="C694" s="2" t="s">
        <v>50</v>
      </c>
      <c r="D694" s="7" t="s">
        <v>158</v>
      </c>
      <c r="E694" s="1" t="n">
        <v>2</v>
      </c>
      <c r="F694" s="1" t="n">
        <f aca="false">Y694-X694</f>
        <v>5</v>
      </c>
      <c r="G694" s="1" t="n">
        <v>5</v>
      </c>
      <c r="H694" s="3" t="s">
        <v>32</v>
      </c>
      <c r="I694" s="3" t="s">
        <v>102</v>
      </c>
      <c r="J694" s="3" t="s">
        <v>192</v>
      </c>
      <c r="K694" s="2" t="str">
        <f aca="false">CONCATENATE(I694," ",J694)</f>
        <v>Agyneta allosubtilis</v>
      </c>
      <c r="L694" s="3" t="n">
        <f aca="false">SUM(P694:U694)</f>
        <v>1</v>
      </c>
      <c r="M694" s="11" t="n">
        <f aca="false">(L694/(F694*G694)*25)*4</f>
        <v>4</v>
      </c>
      <c r="N694" s="1" t="s">
        <v>30</v>
      </c>
      <c r="O694" s="1" t="s">
        <v>35</v>
      </c>
      <c r="P694" s="1" t="n">
        <v>0</v>
      </c>
      <c r="Q694" s="1" t="n">
        <v>1</v>
      </c>
      <c r="R694" s="1" t="n">
        <v>0</v>
      </c>
      <c r="S694" s="1" t="n">
        <v>0</v>
      </c>
      <c r="T694" s="1" t="n">
        <v>0</v>
      </c>
      <c r="U694" s="1" t="n">
        <v>0</v>
      </c>
      <c r="V694" s="3" t="n">
        <f aca="false">SUM(P694:Q694)</f>
        <v>1</v>
      </c>
      <c r="W694" s="3" t="n">
        <f aca="false">SUM(R694:T694)</f>
        <v>0</v>
      </c>
      <c r="X694" s="10" t="n">
        <v>39970</v>
      </c>
      <c r="Y694" s="10" t="n">
        <v>39975</v>
      </c>
    </row>
    <row r="695" customFormat="false" ht="14.25" hidden="false" customHeight="false" outlineLevel="0" collapsed="false">
      <c r="A695" s="1" t="n">
        <v>2009</v>
      </c>
      <c r="B695" s="1" t="n">
        <v>1</v>
      </c>
      <c r="C695" s="2" t="s">
        <v>50</v>
      </c>
      <c r="D695" s="7" t="s">
        <v>158</v>
      </c>
      <c r="E695" s="1" t="n">
        <v>2</v>
      </c>
      <c r="F695" s="1" t="n">
        <f aca="false">Y695-X695</f>
        <v>5</v>
      </c>
      <c r="G695" s="1" t="n">
        <v>5</v>
      </c>
      <c r="H695" s="3" t="s">
        <v>48</v>
      </c>
      <c r="I695" s="3" t="s">
        <v>49</v>
      </c>
      <c r="J695" s="3" t="s">
        <v>104</v>
      </c>
      <c r="K695" s="2" t="str">
        <f aca="false">CONCATENATE(I695," ",J695)</f>
        <v>Alopecosa taeniata</v>
      </c>
      <c r="L695" s="3" t="n">
        <f aca="false">SUM(P695:U695)</f>
        <v>5</v>
      </c>
      <c r="M695" s="11" t="n">
        <f aca="false">(L695/(F695*G695)*25)*4</f>
        <v>20</v>
      </c>
      <c r="N695" s="1" t="s">
        <v>30</v>
      </c>
      <c r="O695" s="1" t="s">
        <v>31</v>
      </c>
      <c r="P695" s="1" t="n">
        <v>5</v>
      </c>
      <c r="Q695" s="1" t="n">
        <v>0</v>
      </c>
      <c r="R695" s="1" t="n">
        <v>0</v>
      </c>
      <c r="S695" s="1" t="n">
        <v>0</v>
      </c>
      <c r="T695" s="1" t="n">
        <v>0</v>
      </c>
      <c r="U695" s="1" t="n">
        <v>0</v>
      </c>
      <c r="V695" s="3" t="n">
        <f aca="false">SUM(P695:Q695)</f>
        <v>5</v>
      </c>
      <c r="W695" s="3" t="n">
        <f aca="false">SUM(R695:T695)</f>
        <v>0</v>
      </c>
      <c r="X695" s="10" t="n">
        <v>39970</v>
      </c>
      <c r="Y695" s="10" t="n">
        <v>39975</v>
      </c>
    </row>
    <row r="696" customFormat="false" ht="14.25" hidden="false" customHeight="false" outlineLevel="0" collapsed="false">
      <c r="A696" s="1" t="n">
        <v>2009</v>
      </c>
      <c r="B696" s="1" t="n">
        <v>1</v>
      </c>
      <c r="C696" s="2" t="s">
        <v>50</v>
      </c>
      <c r="D696" s="7" t="s">
        <v>158</v>
      </c>
      <c r="E696" s="1" t="n">
        <v>2</v>
      </c>
      <c r="F696" s="1" t="n">
        <f aca="false">Y696-X696</f>
        <v>5</v>
      </c>
      <c r="G696" s="1" t="n">
        <v>5</v>
      </c>
      <c r="H696" s="3" t="s">
        <v>48</v>
      </c>
      <c r="I696" s="3" t="s">
        <v>67</v>
      </c>
      <c r="J696" s="3" t="s">
        <v>127</v>
      </c>
      <c r="K696" s="2" t="str">
        <f aca="false">CONCATENATE(I696," ",J696)</f>
        <v>Pardosa lugubris</v>
      </c>
      <c r="L696" s="3" t="n">
        <f aca="false">SUM(P696:U696)</f>
        <v>1</v>
      </c>
      <c r="M696" s="11" t="n">
        <f aca="false">(L696/(F696*G696)*25)*4</f>
        <v>4</v>
      </c>
      <c r="N696" s="1" t="s">
        <v>30</v>
      </c>
      <c r="O696" s="1" t="s">
        <v>31</v>
      </c>
      <c r="P696" s="1" t="n">
        <v>1</v>
      </c>
      <c r="Q696" s="1" t="n">
        <v>0</v>
      </c>
      <c r="R696" s="1" t="n">
        <v>0</v>
      </c>
      <c r="S696" s="1" t="n">
        <v>0</v>
      </c>
      <c r="T696" s="1" t="n">
        <v>0</v>
      </c>
      <c r="U696" s="1" t="n">
        <v>0</v>
      </c>
      <c r="V696" s="3" t="n">
        <f aca="false">SUM(P696:Q696)</f>
        <v>1</v>
      </c>
      <c r="W696" s="3" t="n">
        <f aca="false">SUM(R696:T696)</f>
        <v>0</v>
      </c>
      <c r="X696" s="10" t="n">
        <v>39970</v>
      </c>
      <c r="Y696" s="10" t="n">
        <v>39975</v>
      </c>
    </row>
    <row r="697" customFormat="false" ht="14.25" hidden="false" customHeight="false" outlineLevel="0" collapsed="false">
      <c r="A697" s="1" t="n">
        <v>2009</v>
      </c>
      <c r="B697" s="1" t="n">
        <v>1</v>
      </c>
      <c r="C697" s="2" t="s">
        <v>50</v>
      </c>
      <c r="D697" s="7" t="s">
        <v>158</v>
      </c>
      <c r="E697" s="1" t="n">
        <v>2</v>
      </c>
      <c r="F697" s="1" t="n">
        <f aca="false">Y697-X697</f>
        <v>5</v>
      </c>
      <c r="G697" s="1" t="n">
        <v>5</v>
      </c>
      <c r="H697" s="3" t="s">
        <v>48</v>
      </c>
      <c r="I697" s="3" t="s">
        <v>61</v>
      </c>
      <c r="J697" s="3" t="s">
        <v>82</v>
      </c>
      <c r="K697" s="2" t="str">
        <f aca="false">CONCATENATE(I697," ",J697)</f>
        <v>Trochosa terricola</v>
      </c>
      <c r="L697" s="3" t="n">
        <f aca="false">SUM(P697:U697)</f>
        <v>1</v>
      </c>
      <c r="M697" s="11" t="n">
        <f aca="false">(L697/(F697*G697)*25)*4</f>
        <v>4</v>
      </c>
      <c r="N697" s="1" t="s">
        <v>30</v>
      </c>
      <c r="O697" s="1" t="s">
        <v>35</v>
      </c>
      <c r="P697" s="1" t="n">
        <v>0</v>
      </c>
      <c r="Q697" s="1" t="n">
        <v>1</v>
      </c>
      <c r="R697" s="1" t="n">
        <v>0</v>
      </c>
      <c r="S697" s="1" t="n">
        <v>0</v>
      </c>
      <c r="T697" s="1" t="n">
        <v>0</v>
      </c>
      <c r="U697" s="1" t="n">
        <v>0</v>
      </c>
      <c r="V697" s="3" t="n">
        <f aca="false">SUM(P697:Q697)</f>
        <v>1</v>
      </c>
      <c r="W697" s="3" t="n">
        <f aca="false">SUM(R697:T697)</f>
        <v>0</v>
      </c>
      <c r="X697" s="10" t="n">
        <v>39970</v>
      </c>
      <c r="Y697" s="10" t="n">
        <v>39975</v>
      </c>
    </row>
    <row r="698" customFormat="false" ht="14.25" hidden="false" customHeight="false" outlineLevel="0" collapsed="false">
      <c r="A698" s="1" t="n">
        <v>2009</v>
      </c>
      <c r="B698" s="1" t="n">
        <v>1</v>
      </c>
      <c r="C698" s="2" t="s">
        <v>50</v>
      </c>
      <c r="D698" s="7" t="s">
        <v>158</v>
      </c>
      <c r="E698" s="1" t="n">
        <v>2</v>
      </c>
      <c r="F698" s="1" t="n">
        <f aca="false">Y698-X698</f>
        <v>5</v>
      </c>
      <c r="G698" s="1" t="n">
        <v>5</v>
      </c>
      <c r="H698" s="3" t="s">
        <v>48</v>
      </c>
      <c r="I698" s="3" t="s">
        <v>49</v>
      </c>
      <c r="J698" s="3" t="s">
        <v>38</v>
      </c>
      <c r="K698" s="2" t="str">
        <f aca="false">CONCATENATE(I698," ",J698)</f>
        <v>Alopecosa sp</v>
      </c>
      <c r="L698" s="3" t="n">
        <f aca="false">SUM(P698:U698)</f>
        <v>1</v>
      </c>
      <c r="M698" s="11" t="n">
        <f aca="false">(L698/(F698*G698)*25)*4</f>
        <v>4</v>
      </c>
      <c r="N698" s="1" t="s">
        <v>19</v>
      </c>
      <c r="O698" s="1" t="s">
        <v>54</v>
      </c>
      <c r="P698" s="1" t="n">
        <v>0</v>
      </c>
      <c r="Q698" s="1" t="n">
        <v>0</v>
      </c>
      <c r="R698" s="1" t="n">
        <v>0</v>
      </c>
      <c r="S698" s="1" t="n">
        <v>0</v>
      </c>
      <c r="T698" s="1" t="n">
        <v>1</v>
      </c>
      <c r="U698" s="1" t="n">
        <v>0</v>
      </c>
      <c r="V698" s="3" t="n">
        <f aca="false">SUM(P698:Q698)</f>
        <v>0</v>
      </c>
      <c r="W698" s="3" t="n">
        <f aca="false">SUM(R698:T698)</f>
        <v>1</v>
      </c>
      <c r="X698" s="10" t="n">
        <v>39970</v>
      </c>
      <c r="Y698" s="10" t="n">
        <v>39975</v>
      </c>
    </row>
    <row r="699" customFormat="false" ht="14.25" hidden="false" customHeight="false" outlineLevel="0" collapsed="false">
      <c r="A699" s="1" t="n">
        <v>2009</v>
      </c>
      <c r="B699" s="1" t="n">
        <v>1</v>
      </c>
      <c r="C699" s="2" t="s">
        <v>50</v>
      </c>
      <c r="D699" s="7" t="s">
        <v>158</v>
      </c>
      <c r="E699" s="1" t="n">
        <v>2</v>
      </c>
      <c r="F699" s="1" t="n">
        <f aca="false">Y699-X699</f>
        <v>5</v>
      </c>
      <c r="G699" s="1" t="n">
        <v>5</v>
      </c>
      <c r="H699" s="3" t="s">
        <v>72</v>
      </c>
      <c r="I699" s="3" t="s">
        <v>86</v>
      </c>
      <c r="J699" s="8" t="s">
        <v>87</v>
      </c>
      <c r="K699" s="2" t="str">
        <f aca="false">CONCATENATE(I699," ",J699)</f>
        <v>Haplodrassus soerenseni</v>
      </c>
      <c r="L699" s="3" t="n">
        <f aca="false">SUM(P699:U699)</f>
        <v>1</v>
      </c>
      <c r="M699" s="11" t="n">
        <f aca="false">(L699/(F699*G699)*25)*4</f>
        <v>4</v>
      </c>
      <c r="N699" s="1" t="s">
        <v>30</v>
      </c>
      <c r="O699" s="1" t="s">
        <v>31</v>
      </c>
      <c r="P699" s="1" t="n">
        <v>1</v>
      </c>
      <c r="Q699" s="1" t="n">
        <v>0</v>
      </c>
      <c r="R699" s="1" t="n">
        <v>0</v>
      </c>
      <c r="S699" s="1" t="n">
        <v>0</v>
      </c>
      <c r="T699" s="1" t="n">
        <v>0</v>
      </c>
      <c r="U699" s="1" t="n">
        <v>0</v>
      </c>
      <c r="V699" s="3" t="n">
        <f aca="false">SUM(P699:Q699)</f>
        <v>1</v>
      </c>
      <c r="W699" s="3" t="n">
        <f aca="false">SUM(R699:T699)</f>
        <v>0</v>
      </c>
      <c r="X699" s="10" t="n">
        <v>39970</v>
      </c>
      <c r="Y699" s="10" t="n">
        <v>39975</v>
      </c>
    </row>
    <row r="700" customFormat="false" ht="14.25" hidden="false" customHeight="false" outlineLevel="0" collapsed="false">
      <c r="A700" s="1" t="n">
        <v>2009</v>
      </c>
      <c r="B700" s="1" t="n">
        <v>1</v>
      </c>
      <c r="C700" s="2" t="s">
        <v>50</v>
      </c>
      <c r="D700" s="7" t="s">
        <v>158</v>
      </c>
      <c r="E700" s="1" t="n">
        <v>2</v>
      </c>
      <c r="F700" s="1" t="n">
        <f aca="false">Y700-X700</f>
        <v>5</v>
      </c>
      <c r="G700" s="1" t="n">
        <v>5</v>
      </c>
      <c r="H700" s="3" t="s">
        <v>36</v>
      </c>
      <c r="I700" s="3" t="s">
        <v>37</v>
      </c>
      <c r="J700" s="3" t="s">
        <v>38</v>
      </c>
      <c r="K700" s="2" t="str">
        <f aca="false">CONCATENATE(I700," ",J700)</f>
        <v>Ozyptila sp</v>
      </c>
      <c r="L700" s="3" t="n">
        <f aca="false">SUM(P700:U700)</f>
        <v>1</v>
      </c>
      <c r="M700" s="11" t="n">
        <f aca="false">(L700/(F700*G700)*25)*4</f>
        <v>4</v>
      </c>
      <c r="N700" s="1" t="s">
        <v>19</v>
      </c>
      <c r="O700" s="1" t="s">
        <v>54</v>
      </c>
      <c r="P700" s="1" t="n">
        <v>0</v>
      </c>
      <c r="Q700" s="1" t="n">
        <v>0</v>
      </c>
      <c r="R700" s="1" t="n">
        <v>0</v>
      </c>
      <c r="S700" s="1" t="n">
        <v>0</v>
      </c>
      <c r="T700" s="1" t="n">
        <v>1</v>
      </c>
      <c r="U700" s="1" t="n">
        <v>0</v>
      </c>
      <c r="V700" s="3" t="n">
        <f aca="false">SUM(P700:Q700)</f>
        <v>0</v>
      </c>
      <c r="W700" s="3" t="n">
        <f aca="false">SUM(R700:T700)</f>
        <v>1</v>
      </c>
      <c r="X700" s="10" t="n">
        <v>39970</v>
      </c>
      <c r="Y700" s="10" t="n">
        <v>39975</v>
      </c>
    </row>
    <row r="701" customFormat="false" ht="14.25" hidden="false" customHeight="false" outlineLevel="0" collapsed="false">
      <c r="A701" s="1" t="n">
        <v>2009</v>
      </c>
      <c r="B701" s="1" t="n">
        <v>1</v>
      </c>
      <c r="C701" s="2" t="s">
        <v>50</v>
      </c>
      <c r="D701" s="7" t="s">
        <v>158</v>
      </c>
      <c r="E701" s="1" t="n">
        <v>2</v>
      </c>
      <c r="F701" s="1" t="n">
        <f aca="false">Y701-X701</f>
        <v>5</v>
      </c>
      <c r="G701" s="1" t="n">
        <v>5</v>
      </c>
      <c r="H701" s="3" t="s">
        <v>36</v>
      </c>
      <c r="I701" s="3" t="s">
        <v>131</v>
      </c>
      <c r="J701" s="3" t="s">
        <v>133</v>
      </c>
      <c r="K701" s="2" t="str">
        <f aca="false">CONCATENATE(I701," ",J701)</f>
        <v>Xysticus luctuosus</v>
      </c>
      <c r="L701" s="3" t="n">
        <f aca="false">SUM(P701:U701)</f>
        <v>1</v>
      </c>
      <c r="M701" s="11" t="n">
        <f aca="false">(L701/(F701*G701)*25)*4</f>
        <v>4</v>
      </c>
      <c r="N701" s="1" t="s">
        <v>30</v>
      </c>
      <c r="O701" s="1" t="s">
        <v>31</v>
      </c>
      <c r="P701" s="1" t="n">
        <v>1</v>
      </c>
      <c r="Q701" s="1" t="n">
        <v>0</v>
      </c>
      <c r="R701" s="1" t="n">
        <v>0</v>
      </c>
      <c r="S701" s="1" t="n">
        <v>0</v>
      </c>
      <c r="T701" s="1" t="n">
        <v>0</v>
      </c>
      <c r="U701" s="1" t="n">
        <v>0</v>
      </c>
      <c r="V701" s="3" t="n">
        <f aca="false">SUM(P701:Q701)</f>
        <v>1</v>
      </c>
      <c r="W701" s="3" t="n">
        <f aca="false">SUM(R701:T701)</f>
        <v>0</v>
      </c>
      <c r="X701" s="10" t="n">
        <v>39970</v>
      </c>
      <c r="Y701" s="10" t="n">
        <v>39975</v>
      </c>
    </row>
    <row r="702" customFormat="false" ht="14.25" hidden="false" customHeight="false" outlineLevel="0" collapsed="false">
      <c r="A702" s="1" t="n">
        <v>2009</v>
      </c>
      <c r="B702" s="1" t="n">
        <v>1</v>
      </c>
      <c r="C702" s="2" t="s">
        <v>50</v>
      </c>
      <c r="D702" s="7" t="s">
        <v>158</v>
      </c>
      <c r="E702" s="1" t="n">
        <v>2</v>
      </c>
      <c r="F702" s="1" t="n">
        <f aca="false">Y702-X702</f>
        <v>5</v>
      </c>
      <c r="G702" s="1" t="n">
        <v>5</v>
      </c>
      <c r="H702" s="3" t="s">
        <v>48</v>
      </c>
      <c r="I702" s="3" t="s">
        <v>49</v>
      </c>
      <c r="J702" s="3" t="s">
        <v>130</v>
      </c>
      <c r="K702" s="2" t="str">
        <f aca="false">CONCATENATE(I702," ",J702)</f>
        <v>Alopecosa aculeata</v>
      </c>
      <c r="L702" s="3" t="n">
        <f aca="false">SUM(P702:U702)</f>
        <v>1</v>
      </c>
      <c r="M702" s="11" t="n">
        <f aca="false">(L702/(F702*G702)*25)*4</f>
        <v>4</v>
      </c>
      <c r="N702" s="1" t="s">
        <v>30</v>
      </c>
      <c r="O702" s="1" t="s">
        <v>31</v>
      </c>
      <c r="P702" s="1" t="n">
        <v>1</v>
      </c>
      <c r="Q702" s="1" t="n">
        <v>0</v>
      </c>
      <c r="R702" s="1" t="n">
        <v>0</v>
      </c>
      <c r="S702" s="1" t="n">
        <v>0</v>
      </c>
      <c r="T702" s="1" t="n">
        <v>0</v>
      </c>
      <c r="U702" s="1" t="n">
        <v>0</v>
      </c>
      <c r="V702" s="3" t="n">
        <f aca="false">SUM(P702:Q702)</f>
        <v>1</v>
      </c>
      <c r="W702" s="3" t="n">
        <f aca="false">SUM(R702:T702)</f>
        <v>0</v>
      </c>
      <c r="X702" s="10" t="n">
        <v>39970</v>
      </c>
      <c r="Y702" s="10" t="n">
        <v>39975</v>
      </c>
    </row>
    <row r="703" customFormat="false" ht="14.25" hidden="false" customHeight="false" outlineLevel="0" collapsed="false">
      <c r="A703" s="1" t="n">
        <v>2009</v>
      </c>
      <c r="B703" s="1" t="n">
        <v>1</v>
      </c>
      <c r="C703" s="2" t="s">
        <v>50</v>
      </c>
      <c r="D703" s="7" t="s">
        <v>158</v>
      </c>
      <c r="E703" s="1" t="n">
        <v>2</v>
      </c>
      <c r="F703" s="1" t="n">
        <f aca="false">Y703-X703</f>
        <v>5</v>
      </c>
      <c r="G703" s="1" t="n">
        <v>5</v>
      </c>
      <c r="H703" s="3" t="s">
        <v>48</v>
      </c>
      <c r="I703" s="3" t="s">
        <v>49</v>
      </c>
      <c r="J703" s="3" t="s">
        <v>130</v>
      </c>
      <c r="K703" s="2" t="str">
        <f aca="false">CONCATENATE(I703," ",J703)</f>
        <v>Alopecosa aculeata</v>
      </c>
      <c r="L703" s="3" t="n">
        <f aca="false">SUM(P703:U703)</f>
        <v>1</v>
      </c>
      <c r="M703" s="11" t="n">
        <f aca="false">(L703/(F703*G703)*25)*4</f>
        <v>4</v>
      </c>
      <c r="N703" s="1" t="s">
        <v>30</v>
      </c>
      <c r="O703" s="1" t="s">
        <v>31</v>
      </c>
      <c r="P703" s="1" t="n">
        <v>1</v>
      </c>
      <c r="Q703" s="1" t="n">
        <v>0</v>
      </c>
      <c r="R703" s="1" t="n">
        <v>0</v>
      </c>
      <c r="S703" s="1" t="n">
        <v>0</v>
      </c>
      <c r="T703" s="1" t="n">
        <v>0</v>
      </c>
      <c r="U703" s="1" t="n">
        <v>0</v>
      </c>
      <c r="V703" s="3" t="n">
        <f aca="false">SUM(P703:Q703)</f>
        <v>1</v>
      </c>
      <c r="W703" s="3" t="n">
        <f aca="false">SUM(R703:T703)</f>
        <v>0</v>
      </c>
      <c r="X703" s="10" t="n">
        <v>39970</v>
      </c>
      <c r="Y703" s="10" t="n">
        <v>39975</v>
      </c>
    </row>
    <row r="704" customFormat="false" ht="14.25" hidden="false" customHeight="false" outlineLevel="0" collapsed="false">
      <c r="A704" s="1" t="n">
        <v>2009</v>
      </c>
      <c r="B704" s="1" t="n">
        <v>1</v>
      </c>
      <c r="C704" s="2" t="s">
        <v>50</v>
      </c>
      <c r="D704" s="7" t="s">
        <v>158</v>
      </c>
      <c r="E704" s="1" t="n">
        <v>2</v>
      </c>
      <c r="F704" s="1" t="n">
        <f aca="false">Y704-X704</f>
        <v>5</v>
      </c>
      <c r="G704" s="1" t="n">
        <v>5</v>
      </c>
      <c r="H704" s="3" t="s">
        <v>48</v>
      </c>
      <c r="I704" s="3" t="s">
        <v>67</v>
      </c>
      <c r="J704" s="3" t="s">
        <v>127</v>
      </c>
      <c r="K704" s="2" t="str">
        <f aca="false">CONCATENATE(I704," ",J704)</f>
        <v>Pardosa lugubris</v>
      </c>
      <c r="L704" s="3" t="n">
        <f aca="false">SUM(P704:U704)</f>
        <v>4</v>
      </c>
      <c r="M704" s="11" t="n">
        <f aca="false">(L704/(F704*G704)*25)*4</f>
        <v>16</v>
      </c>
      <c r="N704" s="1" t="s">
        <v>30</v>
      </c>
      <c r="O704" s="1" t="s">
        <v>31</v>
      </c>
      <c r="P704" s="1" t="n">
        <v>4</v>
      </c>
      <c r="Q704" s="1" t="n">
        <v>0</v>
      </c>
      <c r="R704" s="1" t="n">
        <v>0</v>
      </c>
      <c r="S704" s="1" t="n">
        <v>0</v>
      </c>
      <c r="T704" s="1" t="n">
        <v>0</v>
      </c>
      <c r="U704" s="1" t="n">
        <v>0</v>
      </c>
      <c r="V704" s="3" t="n">
        <f aca="false">SUM(P704:Q704)</f>
        <v>4</v>
      </c>
      <c r="W704" s="3" t="n">
        <f aca="false">SUM(R704:T704)</f>
        <v>0</v>
      </c>
      <c r="X704" s="10" t="n">
        <v>39970</v>
      </c>
      <c r="Y704" s="10" t="n">
        <v>39975</v>
      </c>
    </row>
    <row r="705" customFormat="false" ht="14.25" hidden="false" customHeight="false" outlineLevel="0" collapsed="false">
      <c r="A705" s="1" t="n">
        <v>2009</v>
      </c>
      <c r="B705" s="1" t="n">
        <v>1</v>
      </c>
      <c r="C705" s="2" t="s">
        <v>50</v>
      </c>
      <c r="D705" s="7" t="s">
        <v>158</v>
      </c>
      <c r="E705" s="1" t="n">
        <v>2</v>
      </c>
      <c r="F705" s="1" t="n">
        <f aca="false">Y705-X705</f>
        <v>5</v>
      </c>
      <c r="G705" s="1" t="n">
        <v>5</v>
      </c>
      <c r="H705" s="3" t="s">
        <v>48</v>
      </c>
      <c r="I705" s="3" t="s">
        <v>67</v>
      </c>
      <c r="J705" s="3" t="s">
        <v>127</v>
      </c>
      <c r="K705" s="2" t="str">
        <f aca="false">CONCATENATE(I705," ",J705)</f>
        <v>Pardosa lugubris</v>
      </c>
      <c r="L705" s="3" t="n">
        <f aca="false">SUM(P705:U705)</f>
        <v>1</v>
      </c>
      <c r="M705" s="11" t="n">
        <f aca="false">(L705/(F705*G705)*25)*4</f>
        <v>4</v>
      </c>
      <c r="N705" s="1" t="s">
        <v>30</v>
      </c>
      <c r="O705" s="1" t="s">
        <v>35</v>
      </c>
      <c r="P705" s="1" t="n">
        <v>0</v>
      </c>
      <c r="Q705" s="1" t="n">
        <v>1</v>
      </c>
      <c r="R705" s="1" t="n">
        <v>0</v>
      </c>
      <c r="S705" s="1" t="n">
        <v>0</v>
      </c>
      <c r="T705" s="1" t="n">
        <v>0</v>
      </c>
      <c r="U705" s="1" t="n">
        <v>0</v>
      </c>
      <c r="V705" s="3" t="n">
        <f aca="false">SUM(P705:Q705)</f>
        <v>1</v>
      </c>
      <c r="W705" s="3" t="n">
        <f aca="false">SUM(R705:T705)</f>
        <v>0</v>
      </c>
      <c r="X705" s="10" t="n">
        <v>39970</v>
      </c>
      <c r="Y705" s="10" t="n">
        <v>39975</v>
      </c>
    </row>
    <row r="706" customFormat="false" ht="14.25" hidden="false" customHeight="false" outlineLevel="0" collapsed="false">
      <c r="A706" s="1" t="n">
        <v>2009</v>
      </c>
      <c r="B706" s="1" t="n">
        <v>1</v>
      </c>
      <c r="C706" s="2" t="s">
        <v>50</v>
      </c>
      <c r="D706" s="7" t="s">
        <v>158</v>
      </c>
      <c r="E706" s="1" t="n">
        <v>2</v>
      </c>
      <c r="F706" s="1" t="n">
        <f aca="false">Y706-X706</f>
        <v>5</v>
      </c>
      <c r="G706" s="1" t="n">
        <v>5</v>
      </c>
      <c r="H706" s="3" t="s">
        <v>36</v>
      </c>
      <c r="I706" s="3" t="s">
        <v>37</v>
      </c>
      <c r="J706" s="8" t="s">
        <v>75</v>
      </c>
      <c r="K706" s="2" t="str">
        <f aca="false">CONCATENATE(I706," ",J706)</f>
        <v>Ozyptila praticola</v>
      </c>
      <c r="L706" s="3" t="n">
        <f aca="false">SUM(P706:U706)</f>
        <v>1</v>
      </c>
      <c r="M706" s="11" t="n">
        <f aca="false">(L706/(F706*G706)*25)*4</f>
        <v>4</v>
      </c>
      <c r="N706" s="1" t="s">
        <v>30</v>
      </c>
      <c r="O706" s="1" t="s">
        <v>35</v>
      </c>
      <c r="P706" s="1" t="n">
        <v>0</v>
      </c>
      <c r="Q706" s="1" t="n">
        <v>1</v>
      </c>
      <c r="R706" s="1" t="n">
        <v>0</v>
      </c>
      <c r="S706" s="1" t="n">
        <v>0</v>
      </c>
      <c r="T706" s="1" t="n">
        <v>0</v>
      </c>
      <c r="U706" s="1" t="n">
        <v>0</v>
      </c>
      <c r="V706" s="3" t="n">
        <f aca="false">SUM(P706:Q706)</f>
        <v>1</v>
      </c>
      <c r="W706" s="3" t="n">
        <f aca="false">SUM(R706:T706)</f>
        <v>0</v>
      </c>
      <c r="X706" s="10" t="n">
        <v>39970</v>
      </c>
      <c r="Y706" s="10" t="n">
        <v>39975</v>
      </c>
    </row>
    <row r="707" customFormat="false" ht="14.25" hidden="false" customHeight="false" outlineLevel="0" collapsed="false">
      <c r="A707" s="1" t="n">
        <v>2009</v>
      </c>
      <c r="B707" s="1" t="n">
        <v>1</v>
      </c>
      <c r="C707" s="2" t="s">
        <v>50</v>
      </c>
      <c r="D707" s="7" t="s">
        <v>158</v>
      </c>
      <c r="E707" s="1" t="n">
        <v>2</v>
      </c>
      <c r="F707" s="1" t="n">
        <f aca="false">Y707-X707</f>
        <v>5</v>
      </c>
      <c r="G707" s="1" t="n">
        <v>5</v>
      </c>
      <c r="H707" s="3" t="s">
        <v>36</v>
      </c>
      <c r="I707" s="3" t="s">
        <v>131</v>
      </c>
      <c r="J707" s="3" t="s">
        <v>199</v>
      </c>
      <c r="K707" s="2" t="str">
        <f aca="false">CONCATENATE(I707," ",J707)</f>
        <v>Xysticus obscurus</v>
      </c>
      <c r="L707" s="3" t="n">
        <f aca="false">SUM(P707:U707)</f>
        <v>1</v>
      </c>
      <c r="M707" s="11" t="n">
        <f aca="false">(L707/(F707*G707)*25)*4</f>
        <v>4</v>
      </c>
      <c r="N707" s="1" t="s">
        <v>30</v>
      </c>
      <c r="O707" s="1" t="s">
        <v>31</v>
      </c>
      <c r="P707" s="1" t="n">
        <v>1</v>
      </c>
      <c r="Q707" s="1" t="n">
        <v>0</v>
      </c>
      <c r="R707" s="1" t="n">
        <v>0</v>
      </c>
      <c r="S707" s="1" t="n">
        <v>0</v>
      </c>
      <c r="T707" s="1" t="n">
        <v>0</v>
      </c>
      <c r="U707" s="1" t="n">
        <v>0</v>
      </c>
      <c r="V707" s="3" t="n">
        <f aca="false">SUM(P707:Q707)</f>
        <v>1</v>
      </c>
      <c r="W707" s="3" t="n">
        <f aca="false">SUM(R707:T707)</f>
        <v>0</v>
      </c>
      <c r="X707" s="10" t="n">
        <v>39970</v>
      </c>
      <c r="Y707" s="10" t="n">
        <v>39975</v>
      </c>
    </row>
    <row r="708" customFormat="false" ht="14.25" hidden="false" customHeight="false" outlineLevel="0" collapsed="false">
      <c r="A708" s="1" t="n">
        <v>2009</v>
      </c>
      <c r="B708" s="1" t="n">
        <v>1</v>
      </c>
      <c r="C708" s="2" t="s">
        <v>50</v>
      </c>
      <c r="D708" s="7" t="s">
        <v>158</v>
      </c>
      <c r="E708" s="1" t="n">
        <v>2</v>
      </c>
      <c r="F708" s="1" t="n">
        <f aca="false">Y708-X708</f>
        <v>5</v>
      </c>
      <c r="G708" s="1" t="n">
        <v>5</v>
      </c>
      <c r="H708" s="3" t="s">
        <v>64</v>
      </c>
      <c r="I708" s="3" t="s">
        <v>65</v>
      </c>
      <c r="J708" s="3" t="s">
        <v>123</v>
      </c>
      <c r="K708" s="2" t="str">
        <f aca="false">CONCATENATE(I708," ",J708)</f>
        <v>Zora nemoralis</v>
      </c>
      <c r="L708" s="3" t="n">
        <f aca="false">SUM(P708:U708)</f>
        <v>1</v>
      </c>
      <c r="M708" s="11" t="n">
        <f aca="false">(L708/(F708*G708)*25)*4</f>
        <v>4</v>
      </c>
      <c r="N708" s="1" t="s">
        <v>30</v>
      </c>
      <c r="O708" s="1" t="s">
        <v>31</v>
      </c>
      <c r="P708" s="1" t="n">
        <v>1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3" t="n">
        <f aca="false">SUM(P708:Q708)</f>
        <v>1</v>
      </c>
      <c r="W708" s="3" t="n">
        <f aca="false">SUM(R708:T708)</f>
        <v>0</v>
      </c>
      <c r="X708" s="10" t="n">
        <v>39970</v>
      </c>
      <c r="Y708" s="10" t="n">
        <v>39975</v>
      </c>
    </row>
    <row r="709" customFormat="false" ht="14.25" hidden="false" customHeight="false" outlineLevel="0" collapsed="false">
      <c r="A709" s="1" t="n">
        <v>2009</v>
      </c>
      <c r="B709" s="1" t="n">
        <v>1</v>
      </c>
      <c r="C709" s="2" t="s">
        <v>50</v>
      </c>
      <c r="D709" s="7" t="s">
        <v>158</v>
      </c>
      <c r="E709" s="1" t="n">
        <v>2</v>
      </c>
      <c r="F709" s="1" t="n">
        <f aca="false">Y709-X709</f>
        <v>5</v>
      </c>
      <c r="G709" s="1" t="n">
        <v>5</v>
      </c>
      <c r="H709" s="13" t="s">
        <v>138</v>
      </c>
      <c r="I709" s="13" t="s">
        <v>205</v>
      </c>
      <c r="J709" s="14" t="s">
        <v>206</v>
      </c>
      <c r="K709" s="2" t="str">
        <f aca="false">CONCATENATE(I709," ",J709)</f>
        <v>Clubiona caerulescens</v>
      </c>
      <c r="L709" s="3" t="n">
        <f aca="false">SUM(P709:U709)</f>
        <v>1</v>
      </c>
      <c r="M709" s="11" t="n">
        <f aca="false">(L709/(F709*G709)*25)*4</f>
        <v>4</v>
      </c>
      <c r="N709" s="1" t="s">
        <v>30</v>
      </c>
      <c r="O709" s="1" t="s">
        <v>35</v>
      </c>
      <c r="P709" s="1" t="n">
        <v>0</v>
      </c>
      <c r="Q709" s="1" t="n">
        <v>1</v>
      </c>
      <c r="R709" s="1" t="n">
        <v>0</v>
      </c>
      <c r="S709" s="1" t="n">
        <v>0</v>
      </c>
      <c r="T709" s="1" t="n">
        <v>0</v>
      </c>
      <c r="U709" s="1" t="n">
        <v>0</v>
      </c>
      <c r="V709" s="3" t="n">
        <f aca="false">SUM(P709:Q709)</f>
        <v>1</v>
      </c>
      <c r="W709" s="3" t="n">
        <f aca="false">SUM(R709:T709)</f>
        <v>0</v>
      </c>
      <c r="X709" s="10" t="n">
        <v>39970</v>
      </c>
      <c r="Y709" s="10" t="n">
        <v>39975</v>
      </c>
    </row>
    <row r="710" customFormat="false" ht="14.25" hidden="false" customHeight="false" outlineLevel="0" collapsed="false">
      <c r="A710" s="1" t="n">
        <v>2009</v>
      </c>
      <c r="B710" s="1" t="n">
        <v>1</v>
      </c>
      <c r="C710" s="2" t="s">
        <v>50</v>
      </c>
      <c r="D710" s="7" t="s">
        <v>158</v>
      </c>
      <c r="E710" s="1" t="n">
        <v>2</v>
      </c>
      <c r="F710" s="1" t="n">
        <f aca="false">Y710-X710</f>
        <v>5</v>
      </c>
      <c r="G710" s="1" t="n">
        <v>5</v>
      </c>
      <c r="H710" s="3" t="s">
        <v>48</v>
      </c>
      <c r="I710" s="3" t="s">
        <v>67</v>
      </c>
      <c r="J710" s="3" t="s">
        <v>127</v>
      </c>
      <c r="K710" s="2" t="str">
        <f aca="false">CONCATENATE(I710," ",J710)</f>
        <v>Pardosa lugubris</v>
      </c>
      <c r="L710" s="3" t="n">
        <f aca="false">SUM(P710:U710)</f>
        <v>3</v>
      </c>
      <c r="M710" s="11" t="n">
        <f aca="false">(L710/(F710*G710)*25)*4</f>
        <v>12</v>
      </c>
      <c r="N710" s="1" t="s">
        <v>30</v>
      </c>
      <c r="O710" s="1" t="s">
        <v>31</v>
      </c>
      <c r="P710" s="1" t="n">
        <v>3</v>
      </c>
      <c r="Q710" s="1" t="n">
        <v>0</v>
      </c>
      <c r="R710" s="1" t="n">
        <v>0</v>
      </c>
      <c r="S710" s="1" t="n">
        <v>0</v>
      </c>
      <c r="T710" s="1" t="n">
        <v>0</v>
      </c>
      <c r="U710" s="1" t="n">
        <v>0</v>
      </c>
      <c r="V710" s="3" t="n">
        <f aca="false">SUM(P710:Q710)</f>
        <v>3</v>
      </c>
      <c r="W710" s="3" t="n">
        <f aca="false">SUM(R710:T710)</f>
        <v>0</v>
      </c>
      <c r="X710" s="10" t="n">
        <v>39970</v>
      </c>
      <c r="Y710" s="10" t="n">
        <v>39975</v>
      </c>
    </row>
    <row r="711" customFormat="false" ht="14.25" hidden="false" customHeight="false" outlineLevel="0" collapsed="false">
      <c r="A711" s="1" t="n">
        <v>2009</v>
      </c>
      <c r="B711" s="1" t="n">
        <v>1</v>
      </c>
      <c r="C711" s="2" t="s">
        <v>50</v>
      </c>
      <c r="D711" s="7" t="s">
        <v>158</v>
      </c>
      <c r="E711" s="1" t="n">
        <v>2</v>
      </c>
      <c r="F711" s="1" t="n">
        <f aca="false">Y711-X711</f>
        <v>5</v>
      </c>
      <c r="G711" s="1" t="n">
        <v>5</v>
      </c>
      <c r="H711" s="3" t="s">
        <v>48</v>
      </c>
      <c r="I711" s="3" t="s">
        <v>67</v>
      </c>
      <c r="J711" s="3" t="s">
        <v>127</v>
      </c>
      <c r="K711" s="2" t="str">
        <f aca="false">CONCATENATE(I711," ",J711)</f>
        <v>Pardosa lugubris</v>
      </c>
      <c r="L711" s="3" t="n">
        <f aca="false">SUM(P711:U711)</f>
        <v>1</v>
      </c>
      <c r="M711" s="11" t="n">
        <f aca="false">(L711/(F711*G711)*25)*4</f>
        <v>4</v>
      </c>
      <c r="N711" s="1" t="s">
        <v>30</v>
      </c>
      <c r="O711" s="1" t="s">
        <v>35</v>
      </c>
      <c r="P711" s="1" t="n">
        <v>0</v>
      </c>
      <c r="Q711" s="1" t="n">
        <v>1</v>
      </c>
      <c r="R711" s="1" t="n">
        <v>0</v>
      </c>
      <c r="S711" s="1" t="n">
        <v>0</v>
      </c>
      <c r="T711" s="1" t="n">
        <v>0</v>
      </c>
      <c r="U711" s="1" t="n">
        <v>0</v>
      </c>
      <c r="V711" s="3" t="n">
        <f aca="false">SUM(P711:Q711)</f>
        <v>1</v>
      </c>
      <c r="W711" s="3" t="n">
        <f aca="false">SUM(R711:T711)</f>
        <v>0</v>
      </c>
      <c r="X711" s="10" t="n">
        <v>39970</v>
      </c>
      <c r="Y711" s="10" t="n">
        <v>39975</v>
      </c>
    </row>
    <row r="712" customFormat="false" ht="14.25" hidden="false" customHeight="false" outlineLevel="0" collapsed="false">
      <c r="A712" s="1" t="n">
        <v>2009</v>
      </c>
      <c r="B712" s="1" t="n">
        <v>1</v>
      </c>
      <c r="C712" s="2" t="s">
        <v>50</v>
      </c>
      <c r="D712" s="7" t="s">
        <v>158</v>
      </c>
      <c r="E712" s="1" t="n">
        <v>2</v>
      </c>
      <c r="F712" s="1" t="n">
        <f aca="false">Y712-X712</f>
        <v>5</v>
      </c>
      <c r="G712" s="1" t="n">
        <v>5</v>
      </c>
      <c r="H712" s="3" t="s">
        <v>48</v>
      </c>
      <c r="I712" s="3" t="s">
        <v>61</v>
      </c>
      <c r="J712" s="3" t="s">
        <v>38</v>
      </c>
      <c r="K712" s="2" t="str">
        <f aca="false">CONCATENATE(I712," ",J712)</f>
        <v>Trochosa sp</v>
      </c>
      <c r="L712" s="3" t="n">
        <f aca="false">SUM(P712:U712)</f>
        <v>2</v>
      </c>
      <c r="M712" s="11" t="n">
        <f aca="false">(L712/(F712*G712)*25)*4</f>
        <v>8</v>
      </c>
      <c r="N712" s="1" t="s">
        <v>19</v>
      </c>
      <c r="O712" s="1" t="s">
        <v>54</v>
      </c>
      <c r="P712" s="1" t="n">
        <v>0</v>
      </c>
      <c r="Q712" s="1" t="n">
        <v>0</v>
      </c>
      <c r="R712" s="1" t="n">
        <v>0</v>
      </c>
      <c r="S712" s="1" t="n">
        <v>0</v>
      </c>
      <c r="T712" s="1" t="n">
        <v>2</v>
      </c>
      <c r="U712" s="1" t="n">
        <v>0</v>
      </c>
      <c r="V712" s="3" t="n">
        <f aca="false">SUM(P712:Q712)</f>
        <v>0</v>
      </c>
      <c r="W712" s="3" t="n">
        <f aca="false">SUM(R712:T712)</f>
        <v>2</v>
      </c>
      <c r="X712" s="10" t="n">
        <v>39970</v>
      </c>
      <c r="Y712" s="10" t="n">
        <v>39975</v>
      </c>
    </row>
    <row r="713" customFormat="false" ht="14.25" hidden="false" customHeight="false" outlineLevel="0" collapsed="false">
      <c r="A713" s="1" t="n">
        <v>2009</v>
      </c>
      <c r="B713" s="1" t="n">
        <v>1</v>
      </c>
      <c r="C713" s="2" t="s">
        <v>50</v>
      </c>
      <c r="D713" s="7" t="s">
        <v>158</v>
      </c>
      <c r="E713" s="1" t="n">
        <v>2</v>
      </c>
      <c r="F713" s="1" t="n">
        <f aca="false">Y713-X713</f>
        <v>5</v>
      </c>
      <c r="G713" s="1" t="n">
        <v>5</v>
      </c>
      <c r="H713" s="3" t="s">
        <v>64</v>
      </c>
      <c r="I713" s="3" t="s">
        <v>65</v>
      </c>
      <c r="J713" s="3" t="s">
        <v>123</v>
      </c>
      <c r="K713" s="2" t="str">
        <f aca="false">CONCATENATE(I713," ",J713)</f>
        <v>Zora nemoralis</v>
      </c>
      <c r="L713" s="3" t="n">
        <f aca="false">SUM(P713:U713)</f>
        <v>1</v>
      </c>
      <c r="M713" s="11" t="n">
        <f aca="false">(L713/(F713*G713)*25)*4</f>
        <v>4</v>
      </c>
      <c r="N713" s="1" t="s">
        <v>30</v>
      </c>
      <c r="O713" s="1" t="s">
        <v>31</v>
      </c>
      <c r="P713" s="1" t="n">
        <v>1</v>
      </c>
      <c r="Q713" s="1" t="n">
        <v>0</v>
      </c>
      <c r="R713" s="1" t="n">
        <v>0</v>
      </c>
      <c r="S713" s="1" t="n">
        <v>0</v>
      </c>
      <c r="T713" s="1" t="n">
        <v>0</v>
      </c>
      <c r="U713" s="1" t="n">
        <v>0</v>
      </c>
      <c r="V713" s="3" t="n">
        <f aca="false">SUM(P713:Q713)</f>
        <v>1</v>
      </c>
      <c r="W713" s="3" t="n">
        <f aca="false">SUM(R713:T713)</f>
        <v>0</v>
      </c>
      <c r="X713" s="10" t="n">
        <v>39970</v>
      </c>
      <c r="Y713" s="10" t="n">
        <v>39975</v>
      </c>
    </row>
    <row r="714" customFormat="false" ht="14.25" hidden="false" customHeight="false" outlineLevel="0" collapsed="false">
      <c r="A714" s="1" t="n">
        <v>2009</v>
      </c>
      <c r="B714" s="1" t="n">
        <v>1</v>
      </c>
      <c r="C714" s="2" t="s">
        <v>50</v>
      </c>
      <c r="D714" s="7" t="s">
        <v>158</v>
      </c>
      <c r="E714" s="1" t="n">
        <v>2</v>
      </c>
      <c r="F714" s="1" t="n">
        <f aca="false">Y714-X714</f>
        <v>5</v>
      </c>
      <c r="G714" s="1" t="n">
        <v>5</v>
      </c>
      <c r="H714" s="3" t="s">
        <v>36</v>
      </c>
      <c r="I714" s="3" t="s">
        <v>37</v>
      </c>
      <c r="J714" s="8" t="s">
        <v>75</v>
      </c>
      <c r="K714" s="2" t="str">
        <f aca="false">CONCATENATE(I714," ",J714)</f>
        <v>Ozyptila praticola</v>
      </c>
      <c r="L714" s="3" t="n">
        <f aca="false">SUM(P714:U714)</f>
        <v>1</v>
      </c>
      <c r="M714" s="11" t="n">
        <f aca="false">(L714/(F714*G714)*25)*4</f>
        <v>4</v>
      </c>
      <c r="N714" s="1" t="s">
        <v>30</v>
      </c>
      <c r="O714" s="1" t="s">
        <v>35</v>
      </c>
      <c r="P714" s="1" t="n">
        <v>0</v>
      </c>
      <c r="Q714" s="1" t="n">
        <v>1</v>
      </c>
      <c r="R714" s="1" t="n">
        <v>0</v>
      </c>
      <c r="S714" s="1" t="n">
        <v>0</v>
      </c>
      <c r="T714" s="1" t="n">
        <v>0</v>
      </c>
      <c r="U714" s="1" t="n">
        <v>0</v>
      </c>
      <c r="V714" s="3" t="n">
        <f aca="false">SUM(P714:Q714)</f>
        <v>1</v>
      </c>
      <c r="W714" s="3" t="n">
        <f aca="false">SUM(R714:T714)</f>
        <v>0</v>
      </c>
      <c r="X714" s="10" t="n">
        <v>39970</v>
      </c>
      <c r="Y714" s="10" t="n">
        <v>39975</v>
      </c>
    </row>
    <row r="715" customFormat="false" ht="14.25" hidden="false" customHeight="false" outlineLevel="0" collapsed="false">
      <c r="A715" s="1" t="n">
        <v>2009</v>
      </c>
      <c r="B715" s="1" t="n">
        <v>1</v>
      </c>
      <c r="C715" s="2" t="s">
        <v>50</v>
      </c>
      <c r="D715" s="7" t="s">
        <v>158</v>
      </c>
      <c r="E715" s="1" t="n">
        <v>2</v>
      </c>
      <c r="F715" s="1" t="n">
        <f aca="false">Y715-X715</f>
        <v>5</v>
      </c>
      <c r="G715" s="1" t="n">
        <v>5</v>
      </c>
      <c r="H715" s="3" t="s">
        <v>48</v>
      </c>
      <c r="I715" s="3" t="s">
        <v>49</v>
      </c>
      <c r="J715" s="3" t="s">
        <v>104</v>
      </c>
      <c r="K715" s="2" t="str">
        <f aca="false">CONCATENATE(I715," ",J715)</f>
        <v>Alopecosa taeniata</v>
      </c>
      <c r="L715" s="3" t="n">
        <f aca="false">SUM(P715:U715)</f>
        <v>5</v>
      </c>
      <c r="M715" s="11" t="n">
        <f aca="false">(L715/(F715*G715)*25)*4</f>
        <v>20</v>
      </c>
      <c r="N715" s="1" t="s">
        <v>30</v>
      </c>
      <c r="O715" s="1" t="s">
        <v>31</v>
      </c>
      <c r="P715" s="1" t="n">
        <v>5</v>
      </c>
      <c r="Q715" s="1" t="n">
        <v>0</v>
      </c>
      <c r="R715" s="1" t="n">
        <v>0</v>
      </c>
      <c r="S715" s="1" t="n">
        <v>0</v>
      </c>
      <c r="T715" s="1" t="n">
        <v>0</v>
      </c>
      <c r="U715" s="1" t="n">
        <v>0</v>
      </c>
      <c r="V715" s="3" t="n">
        <f aca="false">SUM(P715:Q715)</f>
        <v>5</v>
      </c>
      <c r="W715" s="3" t="n">
        <f aca="false">SUM(R715:T715)</f>
        <v>0</v>
      </c>
      <c r="X715" s="10" t="n">
        <v>39970</v>
      </c>
      <c r="Y715" s="10" t="n">
        <v>39975</v>
      </c>
    </row>
    <row r="716" customFormat="false" ht="14.25" hidden="false" customHeight="false" outlineLevel="0" collapsed="false">
      <c r="A716" s="1" t="n">
        <v>2009</v>
      </c>
      <c r="B716" s="1" t="n">
        <v>1</v>
      </c>
      <c r="C716" s="2" t="s">
        <v>50</v>
      </c>
      <c r="D716" s="7" t="s">
        <v>158</v>
      </c>
      <c r="E716" s="1" t="n">
        <v>2</v>
      </c>
      <c r="F716" s="1" t="n">
        <f aca="false">Y716-X716</f>
        <v>5</v>
      </c>
      <c r="G716" s="1" t="n">
        <v>5</v>
      </c>
      <c r="H716" s="3" t="s">
        <v>48</v>
      </c>
      <c r="I716" s="3" t="s">
        <v>67</v>
      </c>
      <c r="J716" s="3" t="s">
        <v>127</v>
      </c>
      <c r="K716" s="2" t="str">
        <f aca="false">CONCATENATE(I716," ",J716)</f>
        <v>Pardosa lugubris</v>
      </c>
      <c r="L716" s="3" t="n">
        <f aca="false">SUM(P716:U716)</f>
        <v>2</v>
      </c>
      <c r="M716" s="11" t="n">
        <f aca="false">(L716/(F716*G716)*25)*4</f>
        <v>8</v>
      </c>
      <c r="N716" s="1" t="s">
        <v>30</v>
      </c>
      <c r="O716" s="1" t="s">
        <v>31</v>
      </c>
      <c r="P716" s="1" t="n">
        <v>2</v>
      </c>
      <c r="Q716" s="1" t="n">
        <v>0</v>
      </c>
      <c r="R716" s="1" t="n">
        <v>0</v>
      </c>
      <c r="S716" s="1" t="n">
        <v>0</v>
      </c>
      <c r="T716" s="1" t="n">
        <v>0</v>
      </c>
      <c r="U716" s="1" t="n">
        <v>0</v>
      </c>
      <c r="V716" s="3" t="n">
        <f aca="false">SUM(P716:Q716)</f>
        <v>2</v>
      </c>
      <c r="W716" s="3" t="n">
        <f aca="false">SUM(R716:T716)</f>
        <v>0</v>
      </c>
      <c r="X716" s="10" t="n">
        <v>39970</v>
      </c>
      <c r="Y716" s="10" t="n">
        <v>39975</v>
      </c>
    </row>
    <row r="717" customFormat="false" ht="14.25" hidden="false" customHeight="false" outlineLevel="0" collapsed="false">
      <c r="A717" s="1" t="n">
        <v>2009</v>
      </c>
      <c r="B717" s="1" t="n">
        <v>1</v>
      </c>
      <c r="C717" s="2" t="s">
        <v>50</v>
      </c>
      <c r="D717" s="7" t="s">
        <v>158</v>
      </c>
      <c r="E717" s="1" t="n">
        <v>3</v>
      </c>
      <c r="F717" s="1" t="n">
        <f aca="false">Y717-X717</f>
        <v>5</v>
      </c>
      <c r="G717" s="1" t="n">
        <v>5</v>
      </c>
      <c r="H717" s="3" t="s">
        <v>48</v>
      </c>
      <c r="I717" s="3" t="s">
        <v>49</v>
      </c>
      <c r="J717" s="3" t="s">
        <v>104</v>
      </c>
      <c r="K717" s="2" t="str">
        <f aca="false">CONCATENATE(I717," ",J717)</f>
        <v>Alopecosa taeniata</v>
      </c>
      <c r="L717" s="3" t="n">
        <f aca="false">SUM(P717:U717)</f>
        <v>2</v>
      </c>
      <c r="M717" s="11" t="n">
        <f aca="false">(L717/(F717*G717)*25)*4</f>
        <v>8</v>
      </c>
      <c r="N717" s="1" t="s">
        <v>30</v>
      </c>
      <c r="O717" s="1" t="s">
        <v>31</v>
      </c>
      <c r="P717" s="1" t="n">
        <v>2</v>
      </c>
      <c r="Q717" s="1" t="n">
        <v>0</v>
      </c>
      <c r="R717" s="1" t="n">
        <v>0</v>
      </c>
      <c r="S717" s="1" t="n">
        <v>0</v>
      </c>
      <c r="T717" s="1" t="n">
        <v>0</v>
      </c>
      <c r="U717" s="1" t="n">
        <v>0</v>
      </c>
      <c r="V717" s="3" t="n">
        <f aca="false">SUM(P717:Q717)</f>
        <v>2</v>
      </c>
      <c r="W717" s="3" t="n">
        <f aca="false">SUM(R717:T717)</f>
        <v>0</v>
      </c>
      <c r="X717" s="10" t="n">
        <v>39970</v>
      </c>
      <c r="Y717" s="10" t="n">
        <v>39975</v>
      </c>
    </row>
    <row r="718" customFormat="false" ht="14.25" hidden="false" customHeight="false" outlineLevel="0" collapsed="false">
      <c r="A718" s="1" t="n">
        <v>2009</v>
      </c>
      <c r="B718" s="1" t="n">
        <v>1</v>
      </c>
      <c r="C718" s="2" t="s">
        <v>50</v>
      </c>
      <c r="D718" s="7" t="s">
        <v>158</v>
      </c>
      <c r="E718" s="1" t="n">
        <v>3</v>
      </c>
      <c r="F718" s="1" t="n">
        <f aca="false">Y718-X718</f>
        <v>5</v>
      </c>
      <c r="G718" s="1" t="n">
        <v>5</v>
      </c>
      <c r="H718" s="3" t="s">
        <v>48</v>
      </c>
      <c r="I718" s="3" t="s">
        <v>49</v>
      </c>
      <c r="J718" s="3" t="s">
        <v>104</v>
      </c>
      <c r="K718" s="2" t="str">
        <f aca="false">CONCATENATE(I718," ",J718)</f>
        <v>Alopecosa taeniata</v>
      </c>
      <c r="L718" s="3" t="n">
        <f aca="false">SUM(P718:U718)</f>
        <v>1</v>
      </c>
      <c r="M718" s="11" t="n">
        <f aca="false">(L718/(F718*G718)*25)*4</f>
        <v>4</v>
      </c>
      <c r="N718" s="1" t="s">
        <v>30</v>
      </c>
      <c r="O718" s="1" t="s">
        <v>35</v>
      </c>
      <c r="P718" s="1" t="n">
        <v>0</v>
      </c>
      <c r="Q718" s="1" t="n">
        <v>1</v>
      </c>
      <c r="R718" s="1" t="n">
        <v>0</v>
      </c>
      <c r="S718" s="1" t="n">
        <v>0</v>
      </c>
      <c r="T718" s="1" t="n">
        <v>0</v>
      </c>
      <c r="U718" s="1" t="n">
        <v>0</v>
      </c>
      <c r="V718" s="3" t="n">
        <f aca="false">SUM(P718:Q718)</f>
        <v>1</v>
      </c>
      <c r="W718" s="3" t="n">
        <f aca="false">SUM(R718:T718)</f>
        <v>0</v>
      </c>
      <c r="X718" s="10" t="n">
        <v>39970</v>
      </c>
      <c r="Y718" s="10" t="n">
        <v>39975</v>
      </c>
    </row>
    <row r="719" customFormat="false" ht="14.25" hidden="false" customHeight="false" outlineLevel="0" collapsed="false">
      <c r="A719" s="1" t="n">
        <v>2009</v>
      </c>
      <c r="B719" s="1" t="n">
        <v>1</v>
      </c>
      <c r="C719" s="2" t="s">
        <v>50</v>
      </c>
      <c r="D719" s="7" t="s">
        <v>158</v>
      </c>
      <c r="E719" s="1" t="n">
        <v>3</v>
      </c>
      <c r="F719" s="1" t="n">
        <f aca="false">Y719-X719</f>
        <v>5</v>
      </c>
      <c r="G719" s="1" t="n">
        <v>5</v>
      </c>
      <c r="H719" s="3" t="s">
        <v>48</v>
      </c>
      <c r="I719" s="3" t="s">
        <v>67</v>
      </c>
      <c r="J719" s="3" t="s">
        <v>127</v>
      </c>
      <c r="K719" s="2" t="str">
        <f aca="false">CONCATENATE(I719," ",J719)</f>
        <v>Pardosa lugubris</v>
      </c>
      <c r="L719" s="3" t="n">
        <f aca="false">SUM(P719:U719)</f>
        <v>4</v>
      </c>
      <c r="M719" s="11" t="n">
        <f aca="false">(L719/(F719*G719)*25)*4</f>
        <v>16</v>
      </c>
      <c r="N719" s="1" t="s">
        <v>30</v>
      </c>
      <c r="O719" s="1" t="s">
        <v>31</v>
      </c>
      <c r="P719" s="1" t="n">
        <v>4</v>
      </c>
      <c r="Q719" s="1" t="n">
        <v>0</v>
      </c>
      <c r="R719" s="1" t="n">
        <v>0</v>
      </c>
      <c r="S719" s="1" t="n">
        <v>0</v>
      </c>
      <c r="T719" s="1" t="n">
        <v>0</v>
      </c>
      <c r="U719" s="1" t="n">
        <v>0</v>
      </c>
      <c r="V719" s="3" t="n">
        <f aca="false">SUM(P719:Q719)</f>
        <v>4</v>
      </c>
      <c r="W719" s="3" t="n">
        <f aca="false">SUM(R719:T719)</f>
        <v>0</v>
      </c>
      <c r="X719" s="10" t="n">
        <v>39970</v>
      </c>
      <c r="Y719" s="10" t="n">
        <v>39975</v>
      </c>
    </row>
    <row r="720" customFormat="false" ht="14.25" hidden="false" customHeight="false" outlineLevel="0" collapsed="false">
      <c r="A720" s="1" t="n">
        <v>2009</v>
      </c>
      <c r="B720" s="1" t="n">
        <v>1</v>
      </c>
      <c r="C720" s="2" t="s">
        <v>50</v>
      </c>
      <c r="D720" s="7" t="s">
        <v>158</v>
      </c>
      <c r="E720" s="1" t="n">
        <v>3</v>
      </c>
      <c r="F720" s="1" t="n">
        <f aca="false">Y720-X720</f>
        <v>5</v>
      </c>
      <c r="G720" s="1" t="n">
        <v>5</v>
      </c>
      <c r="H720" s="3" t="s">
        <v>48</v>
      </c>
      <c r="I720" s="3" t="s">
        <v>49</v>
      </c>
      <c r="J720" s="3" t="s">
        <v>38</v>
      </c>
      <c r="K720" s="2" t="str">
        <f aca="false">CONCATENATE(I720," ",J720)</f>
        <v>Alopecosa sp</v>
      </c>
      <c r="L720" s="3" t="n">
        <f aca="false">SUM(P720:U720)</f>
        <v>1</v>
      </c>
      <c r="M720" s="11" t="n">
        <f aca="false">(L720/(F720*G720)*25)*4</f>
        <v>4</v>
      </c>
      <c r="N720" s="1" t="s">
        <v>19</v>
      </c>
      <c r="O720" s="1" t="s">
        <v>54</v>
      </c>
      <c r="P720" s="1" t="n">
        <v>0</v>
      </c>
      <c r="Q720" s="1" t="n">
        <v>0</v>
      </c>
      <c r="R720" s="1" t="n">
        <v>0</v>
      </c>
      <c r="S720" s="1" t="n">
        <v>0</v>
      </c>
      <c r="T720" s="1" t="n">
        <v>1</v>
      </c>
      <c r="U720" s="1" t="n">
        <v>0</v>
      </c>
      <c r="V720" s="3" t="n">
        <f aca="false">SUM(P720:Q720)</f>
        <v>0</v>
      </c>
      <c r="W720" s="3" t="n">
        <f aca="false">SUM(R720:T720)</f>
        <v>1</v>
      </c>
      <c r="X720" s="10" t="n">
        <v>39970</v>
      </c>
      <c r="Y720" s="10" t="n">
        <v>39975</v>
      </c>
    </row>
    <row r="721" customFormat="false" ht="14.25" hidden="false" customHeight="false" outlineLevel="0" collapsed="false">
      <c r="A721" s="1" t="n">
        <v>2009</v>
      </c>
      <c r="B721" s="1" t="n">
        <v>1</v>
      </c>
      <c r="C721" s="2" t="s">
        <v>50</v>
      </c>
      <c r="D721" s="7" t="s">
        <v>158</v>
      </c>
      <c r="E721" s="1" t="n">
        <v>3</v>
      </c>
      <c r="F721" s="1" t="n">
        <f aca="false">Y721-X721</f>
        <v>5</v>
      </c>
      <c r="G721" s="1" t="n">
        <v>5</v>
      </c>
      <c r="H721" s="3" t="s">
        <v>36</v>
      </c>
      <c r="I721" s="3" t="s">
        <v>131</v>
      </c>
      <c r="J721" s="3" t="s">
        <v>133</v>
      </c>
      <c r="K721" s="2" t="str">
        <f aca="false">CONCATENATE(I721," ",J721)</f>
        <v>Xysticus luctuosus</v>
      </c>
      <c r="L721" s="3" t="n">
        <f aca="false">SUM(P721:U721)</f>
        <v>2</v>
      </c>
      <c r="M721" s="11" t="n">
        <f aca="false">(L721/(F721*G721)*25)*4</f>
        <v>8</v>
      </c>
      <c r="N721" s="1" t="s">
        <v>30</v>
      </c>
      <c r="O721" s="1" t="s">
        <v>31</v>
      </c>
      <c r="P721" s="1" t="n">
        <v>2</v>
      </c>
      <c r="Q721" s="1" t="n">
        <v>0</v>
      </c>
      <c r="R721" s="1" t="n">
        <v>0</v>
      </c>
      <c r="S721" s="1" t="n">
        <v>0</v>
      </c>
      <c r="T721" s="1" t="n">
        <v>0</v>
      </c>
      <c r="U721" s="1" t="n">
        <v>0</v>
      </c>
      <c r="V721" s="3" t="n">
        <f aca="false">SUM(P721:Q721)</f>
        <v>2</v>
      </c>
      <c r="W721" s="3" t="n">
        <f aca="false">SUM(R721:T721)</f>
        <v>0</v>
      </c>
      <c r="X721" s="10" t="n">
        <v>39970</v>
      </c>
      <c r="Y721" s="10" t="n">
        <v>39975</v>
      </c>
    </row>
    <row r="722" customFormat="false" ht="14.25" hidden="false" customHeight="false" outlineLevel="0" collapsed="false">
      <c r="A722" s="1" t="n">
        <v>2009</v>
      </c>
      <c r="B722" s="1" t="n">
        <v>1</v>
      </c>
      <c r="C722" s="2" t="s">
        <v>50</v>
      </c>
      <c r="D722" s="7" t="s">
        <v>158</v>
      </c>
      <c r="E722" s="1" t="n">
        <v>3</v>
      </c>
      <c r="F722" s="1" t="n">
        <f aca="false">Y722-X722</f>
        <v>5</v>
      </c>
      <c r="G722" s="1" t="n">
        <v>5</v>
      </c>
      <c r="H722" s="3" t="s">
        <v>36</v>
      </c>
      <c r="I722" s="3" t="s">
        <v>37</v>
      </c>
      <c r="J722" s="3" t="s">
        <v>38</v>
      </c>
      <c r="K722" s="2" t="str">
        <f aca="false">CONCATENATE(I722," ",J722)</f>
        <v>Ozyptila sp</v>
      </c>
      <c r="L722" s="3" t="n">
        <f aca="false">SUM(P722:U722)</f>
        <v>1</v>
      </c>
      <c r="M722" s="11" t="n">
        <f aca="false">(L722/(F722*G722)*25)*4</f>
        <v>4</v>
      </c>
      <c r="N722" s="1" t="s">
        <v>19</v>
      </c>
      <c r="O722" s="1" t="s">
        <v>54</v>
      </c>
      <c r="P722" s="1" t="n">
        <v>0</v>
      </c>
      <c r="Q722" s="1" t="n">
        <v>0</v>
      </c>
      <c r="R722" s="1" t="n">
        <v>0</v>
      </c>
      <c r="S722" s="1" t="n">
        <v>0</v>
      </c>
      <c r="T722" s="1" t="n">
        <v>1</v>
      </c>
      <c r="U722" s="1" t="n">
        <v>0</v>
      </c>
      <c r="V722" s="3" t="n">
        <f aca="false">SUM(P722:Q722)</f>
        <v>0</v>
      </c>
      <c r="W722" s="3" t="n">
        <f aca="false">SUM(R722:T722)</f>
        <v>1</v>
      </c>
      <c r="X722" s="10" t="n">
        <v>39970</v>
      </c>
      <c r="Y722" s="10" t="n">
        <v>39975</v>
      </c>
    </row>
    <row r="723" customFormat="false" ht="14.25" hidden="false" customHeight="false" outlineLevel="0" collapsed="false">
      <c r="A723" s="1" t="n">
        <v>2009</v>
      </c>
      <c r="B723" s="1" t="n">
        <v>1</v>
      </c>
      <c r="C723" s="2" t="s">
        <v>50</v>
      </c>
      <c r="D723" s="7" t="s">
        <v>158</v>
      </c>
      <c r="E723" s="1" t="n">
        <v>3</v>
      </c>
      <c r="F723" s="1" t="n">
        <f aca="false">Y723-X723</f>
        <v>5</v>
      </c>
      <c r="G723" s="1" t="n">
        <v>5</v>
      </c>
      <c r="H723" s="3" t="s">
        <v>135</v>
      </c>
      <c r="I723" s="3" t="s">
        <v>136</v>
      </c>
      <c r="J723" s="3" t="s">
        <v>137</v>
      </c>
      <c r="K723" s="2" t="str">
        <f aca="false">CONCATENATE(I723," ",J723)</f>
        <v>Thanatus sabulosus</v>
      </c>
      <c r="L723" s="3" t="n">
        <f aca="false">SUM(P723:U723)</f>
        <v>1</v>
      </c>
      <c r="M723" s="11" t="n">
        <f aca="false">(L723/(F723*G723)*25)*4</f>
        <v>4</v>
      </c>
      <c r="N723" s="1" t="s">
        <v>30</v>
      </c>
      <c r="O723" s="1" t="s">
        <v>31</v>
      </c>
      <c r="P723" s="1" t="n">
        <v>1</v>
      </c>
      <c r="Q723" s="1" t="n">
        <v>0</v>
      </c>
      <c r="R723" s="1" t="n">
        <v>0</v>
      </c>
      <c r="S723" s="1" t="n">
        <v>0</v>
      </c>
      <c r="T723" s="1" t="n">
        <v>0</v>
      </c>
      <c r="U723" s="1" t="n">
        <v>0</v>
      </c>
      <c r="V723" s="3" t="n">
        <f aca="false">SUM(P723:Q723)</f>
        <v>1</v>
      </c>
      <c r="W723" s="3" t="n">
        <f aca="false">SUM(R723:T723)</f>
        <v>0</v>
      </c>
      <c r="X723" s="10" t="n">
        <v>39970</v>
      </c>
      <c r="Y723" s="10" t="n">
        <v>39975</v>
      </c>
    </row>
    <row r="724" customFormat="false" ht="14.25" hidden="false" customHeight="false" outlineLevel="0" collapsed="false">
      <c r="A724" s="1" t="n">
        <v>2009</v>
      </c>
      <c r="B724" s="1" t="n">
        <v>1</v>
      </c>
      <c r="C724" s="2" t="s">
        <v>50</v>
      </c>
      <c r="D724" s="7" t="s">
        <v>158</v>
      </c>
      <c r="E724" s="1" t="n">
        <v>3</v>
      </c>
      <c r="F724" s="1" t="n">
        <f aca="false">Y724-X724</f>
        <v>5</v>
      </c>
      <c r="G724" s="1" t="n">
        <v>5</v>
      </c>
      <c r="H724" s="3" t="s">
        <v>32</v>
      </c>
      <c r="I724" s="3" t="s">
        <v>102</v>
      </c>
      <c r="J724" s="3" t="s">
        <v>182</v>
      </c>
      <c r="K724" s="2" t="str">
        <f aca="false">CONCATENATE(I724," ",J724)</f>
        <v>Agyneta ramosa</v>
      </c>
      <c r="L724" s="3" t="n">
        <f aca="false">SUM(P724:U724)</f>
        <v>1</v>
      </c>
      <c r="M724" s="11" t="n">
        <f aca="false">(L724/(F724*G724)*25)*4</f>
        <v>4</v>
      </c>
      <c r="N724" s="1" t="s">
        <v>30</v>
      </c>
      <c r="O724" s="1" t="s">
        <v>31</v>
      </c>
      <c r="P724" s="1" t="n">
        <v>1</v>
      </c>
      <c r="Q724" s="1" t="n">
        <v>0</v>
      </c>
      <c r="R724" s="1" t="n">
        <v>0</v>
      </c>
      <c r="S724" s="1" t="n">
        <v>0</v>
      </c>
      <c r="T724" s="1" t="n">
        <v>0</v>
      </c>
      <c r="U724" s="1" t="n">
        <v>0</v>
      </c>
      <c r="V724" s="3" t="n">
        <f aca="false">SUM(P724:Q724)</f>
        <v>1</v>
      </c>
      <c r="W724" s="3" t="n">
        <f aca="false">SUM(R724:T724)</f>
        <v>0</v>
      </c>
      <c r="X724" s="10" t="n">
        <v>39970</v>
      </c>
      <c r="Y724" s="10" t="n">
        <v>39975</v>
      </c>
    </row>
    <row r="725" customFormat="false" ht="14.25" hidden="false" customHeight="false" outlineLevel="0" collapsed="false">
      <c r="A725" s="1" t="n">
        <v>2009</v>
      </c>
      <c r="B725" s="1" t="n">
        <v>1</v>
      </c>
      <c r="C725" s="2" t="s">
        <v>50</v>
      </c>
      <c r="D725" s="7" t="s">
        <v>158</v>
      </c>
      <c r="E725" s="1" t="n">
        <v>3</v>
      </c>
      <c r="F725" s="1" t="n">
        <f aca="false">Y725-X725</f>
        <v>5</v>
      </c>
      <c r="G725" s="1" t="n">
        <v>5</v>
      </c>
      <c r="H725" s="3" t="s">
        <v>48</v>
      </c>
      <c r="I725" s="3" t="s">
        <v>49</v>
      </c>
      <c r="J725" s="3" t="s">
        <v>104</v>
      </c>
      <c r="K725" s="2" t="str">
        <f aca="false">CONCATENATE(I725," ",J725)</f>
        <v>Alopecosa taeniata</v>
      </c>
      <c r="L725" s="3" t="n">
        <f aca="false">SUM(P725:U725)</f>
        <v>1</v>
      </c>
      <c r="M725" s="11" t="n">
        <f aca="false">(L725/(F725*G725)*25)*4</f>
        <v>4</v>
      </c>
      <c r="N725" s="1" t="s">
        <v>30</v>
      </c>
      <c r="O725" s="1" t="s">
        <v>31</v>
      </c>
      <c r="P725" s="1" t="n">
        <v>1</v>
      </c>
      <c r="Q725" s="1" t="n">
        <v>0</v>
      </c>
      <c r="R725" s="1" t="n">
        <v>0</v>
      </c>
      <c r="S725" s="1" t="n">
        <v>0</v>
      </c>
      <c r="T725" s="1" t="n">
        <v>0</v>
      </c>
      <c r="U725" s="1" t="n">
        <v>0</v>
      </c>
      <c r="V725" s="3" t="n">
        <f aca="false">SUM(P725:Q725)</f>
        <v>1</v>
      </c>
      <c r="W725" s="3" t="n">
        <f aca="false">SUM(R725:T725)</f>
        <v>0</v>
      </c>
      <c r="X725" s="10" t="n">
        <v>39970</v>
      </c>
      <c r="Y725" s="10" t="n">
        <v>39975</v>
      </c>
    </row>
    <row r="726" customFormat="false" ht="14.25" hidden="false" customHeight="false" outlineLevel="0" collapsed="false">
      <c r="A726" s="1" t="n">
        <v>2009</v>
      </c>
      <c r="B726" s="1" t="n">
        <v>1</v>
      </c>
      <c r="C726" s="2" t="s">
        <v>50</v>
      </c>
      <c r="D726" s="7" t="s">
        <v>158</v>
      </c>
      <c r="E726" s="1" t="n">
        <v>3</v>
      </c>
      <c r="F726" s="1" t="n">
        <f aca="false">Y726-X726</f>
        <v>5</v>
      </c>
      <c r="G726" s="1" t="n">
        <v>5</v>
      </c>
      <c r="H726" s="3" t="s">
        <v>48</v>
      </c>
      <c r="I726" s="3" t="s">
        <v>49</v>
      </c>
      <c r="J726" s="3" t="s">
        <v>104</v>
      </c>
      <c r="K726" s="2" t="str">
        <f aca="false">CONCATENATE(I726," ",J726)</f>
        <v>Alopecosa taeniata</v>
      </c>
      <c r="L726" s="3" t="n">
        <f aca="false">SUM(P726:U726)</f>
        <v>1</v>
      </c>
      <c r="M726" s="11" t="n">
        <f aca="false">(L726/(F726*G726)*25)*4</f>
        <v>4</v>
      </c>
      <c r="N726" s="1" t="s">
        <v>30</v>
      </c>
      <c r="O726" s="1" t="s">
        <v>35</v>
      </c>
      <c r="P726" s="1" t="n">
        <v>0</v>
      </c>
      <c r="Q726" s="1" t="n">
        <v>1</v>
      </c>
      <c r="R726" s="1" t="n">
        <v>0</v>
      </c>
      <c r="S726" s="1" t="n">
        <v>0</v>
      </c>
      <c r="T726" s="1" t="n">
        <v>0</v>
      </c>
      <c r="U726" s="1" t="n">
        <v>0</v>
      </c>
      <c r="V726" s="3" t="n">
        <f aca="false">SUM(P726:Q726)</f>
        <v>1</v>
      </c>
      <c r="W726" s="3" t="n">
        <f aca="false">SUM(R726:T726)</f>
        <v>0</v>
      </c>
      <c r="X726" s="10" t="n">
        <v>39970</v>
      </c>
      <c r="Y726" s="10" t="n">
        <v>39975</v>
      </c>
    </row>
    <row r="727" customFormat="false" ht="14.25" hidden="false" customHeight="false" outlineLevel="0" collapsed="false">
      <c r="A727" s="1" t="n">
        <v>2009</v>
      </c>
      <c r="B727" s="1" t="n">
        <v>1</v>
      </c>
      <c r="C727" s="2" t="s">
        <v>50</v>
      </c>
      <c r="D727" s="7" t="s">
        <v>158</v>
      </c>
      <c r="E727" s="1" t="n">
        <v>3</v>
      </c>
      <c r="F727" s="1" t="n">
        <f aca="false">Y727-X727</f>
        <v>5</v>
      </c>
      <c r="G727" s="1" t="n">
        <v>5</v>
      </c>
      <c r="H727" s="3" t="s">
        <v>48</v>
      </c>
      <c r="I727" s="3" t="s">
        <v>67</v>
      </c>
      <c r="J727" s="3" t="s">
        <v>127</v>
      </c>
      <c r="K727" s="2" t="str">
        <f aca="false">CONCATENATE(I727," ",J727)</f>
        <v>Pardosa lugubris</v>
      </c>
      <c r="L727" s="3" t="n">
        <f aca="false">SUM(P727:U727)</f>
        <v>3</v>
      </c>
      <c r="M727" s="11" t="n">
        <f aca="false">(L727/(F727*G727)*25)*4</f>
        <v>12</v>
      </c>
      <c r="N727" s="1" t="s">
        <v>30</v>
      </c>
      <c r="O727" s="1" t="s">
        <v>31</v>
      </c>
      <c r="P727" s="1" t="n">
        <v>3</v>
      </c>
      <c r="Q727" s="1" t="n">
        <v>0</v>
      </c>
      <c r="R727" s="1" t="n">
        <v>0</v>
      </c>
      <c r="S727" s="1" t="n">
        <v>0</v>
      </c>
      <c r="T727" s="1" t="n">
        <v>0</v>
      </c>
      <c r="U727" s="1" t="n">
        <v>0</v>
      </c>
      <c r="V727" s="3" t="n">
        <f aca="false">SUM(P727:Q727)</f>
        <v>3</v>
      </c>
      <c r="W727" s="3" t="n">
        <f aca="false">SUM(R727:T727)</f>
        <v>0</v>
      </c>
      <c r="X727" s="10" t="n">
        <v>39970</v>
      </c>
      <c r="Y727" s="10" t="n">
        <v>39975</v>
      </c>
    </row>
    <row r="728" customFormat="false" ht="14.25" hidden="false" customHeight="false" outlineLevel="0" collapsed="false">
      <c r="A728" s="1" t="n">
        <v>2009</v>
      </c>
      <c r="B728" s="1" t="n">
        <v>1</v>
      </c>
      <c r="C728" s="2" t="s">
        <v>50</v>
      </c>
      <c r="D728" s="7" t="s">
        <v>158</v>
      </c>
      <c r="E728" s="1" t="n">
        <v>3</v>
      </c>
      <c r="F728" s="1" t="n">
        <f aca="false">Y728-X728</f>
        <v>5</v>
      </c>
      <c r="G728" s="1" t="n">
        <v>5</v>
      </c>
      <c r="H728" s="3" t="s">
        <v>48</v>
      </c>
      <c r="I728" s="3" t="s">
        <v>67</v>
      </c>
      <c r="J728" s="3" t="s">
        <v>127</v>
      </c>
      <c r="K728" s="2" t="str">
        <f aca="false">CONCATENATE(I728," ",J728)</f>
        <v>Pardosa lugubris</v>
      </c>
      <c r="L728" s="3" t="n">
        <f aca="false">SUM(P728:U728)</f>
        <v>1</v>
      </c>
      <c r="M728" s="11" t="n">
        <f aca="false">(L728/(F728*G728)*25)*4</f>
        <v>4</v>
      </c>
      <c r="N728" s="1" t="s">
        <v>30</v>
      </c>
      <c r="O728" s="1" t="s">
        <v>35</v>
      </c>
      <c r="P728" s="1" t="n">
        <v>0</v>
      </c>
      <c r="Q728" s="1" t="n">
        <v>1</v>
      </c>
      <c r="R728" s="1" t="n">
        <v>0</v>
      </c>
      <c r="S728" s="1" t="n">
        <v>0</v>
      </c>
      <c r="T728" s="1" t="n">
        <v>0</v>
      </c>
      <c r="U728" s="1" t="n">
        <v>0</v>
      </c>
      <c r="V728" s="3" t="n">
        <f aca="false">SUM(P728:Q728)</f>
        <v>1</v>
      </c>
      <c r="W728" s="3" t="n">
        <f aca="false">SUM(R728:T728)</f>
        <v>0</v>
      </c>
      <c r="X728" s="10" t="n">
        <v>39970</v>
      </c>
      <c r="Y728" s="10" t="n">
        <v>39975</v>
      </c>
    </row>
    <row r="729" customFormat="false" ht="14.25" hidden="false" customHeight="false" outlineLevel="0" collapsed="false">
      <c r="A729" s="1" t="n">
        <v>2009</v>
      </c>
      <c r="B729" s="1" t="n">
        <v>1</v>
      </c>
      <c r="C729" s="2" t="s">
        <v>50</v>
      </c>
      <c r="D729" s="7" t="s">
        <v>158</v>
      </c>
      <c r="E729" s="1" t="n">
        <v>3</v>
      </c>
      <c r="F729" s="1" t="n">
        <f aca="false">Y729-X729</f>
        <v>5</v>
      </c>
      <c r="G729" s="1" t="n">
        <v>5</v>
      </c>
      <c r="H729" s="3" t="s">
        <v>48</v>
      </c>
      <c r="I729" s="3" t="s">
        <v>57</v>
      </c>
      <c r="J729" s="3" t="s">
        <v>38</v>
      </c>
      <c r="K729" s="2" t="str">
        <f aca="false">CONCATENATE(I729," ",J729)</f>
        <v>Gen sp</v>
      </c>
      <c r="L729" s="3" t="n">
        <f aca="false">SUM(P729:U729)</f>
        <v>3</v>
      </c>
      <c r="M729" s="11" t="n">
        <f aca="false">(L729/(F729*G729)*25)*4</f>
        <v>12</v>
      </c>
      <c r="N729" s="1" t="s">
        <v>19</v>
      </c>
      <c r="O729" s="1" t="s">
        <v>54</v>
      </c>
      <c r="P729" s="1" t="n">
        <v>0</v>
      </c>
      <c r="Q729" s="1" t="n">
        <v>0</v>
      </c>
      <c r="R729" s="1" t="n">
        <v>0</v>
      </c>
      <c r="S729" s="1" t="n">
        <v>0</v>
      </c>
      <c r="T729" s="1" t="n">
        <v>3</v>
      </c>
      <c r="U729" s="1" t="n">
        <v>0</v>
      </c>
      <c r="V729" s="3" t="n">
        <f aca="false">SUM(P729:Q729)</f>
        <v>0</v>
      </c>
      <c r="W729" s="3" t="n">
        <f aca="false">SUM(R729:T729)</f>
        <v>3</v>
      </c>
      <c r="X729" s="10" t="n">
        <v>39970</v>
      </c>
      <c r="Y729" s="10" t="n">
        <v>39975</v>
      </c>
    </row>
    <row r="730" customFormat="false" ht="14.25" hidden="false" customHeight="false" outlineLevel="0" collapsed="false">
      <c r="A730" s="1" t="n">
        <v>2009</v>
      </c>
      <c r="B730" s="1" t="n">
        <v>1</v>
      </c>
      <c r="C730" s="2" t="s">
        <v>50</v>
      </c>
      <c r="D730" s="7" t="s">
        <v>158</v>
      </c>
      <c r="E730" s="1" t="n">
        <v>3</v>
      </c>
      <c r="F730" s="1" t="n">
        <f aca="false">Y730-X730</f>
        <v>5</v>
      </c>
      <c r="G730" s="1" t="n">
        <v>5</v>
      </c>
      <c r="H730" s="3" t="s">
        <v>48</v>
      </c>
      <c r="I730" s="3" t="s">
        <v>61</v>
      </c>
      <c r="J730" s="3" t="s">
        <v>38</v>
      </c>
      <c r="K730" s="2" t="str">
        <f aca="false">CONCATENATE(I730," ",J730)</f>
        <v>Trochosa sp</v>
      </c>
      <c r="L730" s="3" t="n">
        <f aca="false">SUM(P730:U730)</f>
        <v>1</v>
      </c>
      <c r="M730" s="11" t="n">
        <f aca="false">(L730/(F730*G730)*25)*4</f>
        <v>4</v>
      </c>
      <c r="N730" s="1" t="s">
        <v>19</v>
      </c>
      <c r="O730" s="1" t="s">
        <v>54</v>
      </c>
      <c r="P730" s="1" t="n">
        <v>0</v>
      </c>
      <c r="Q730" s="1" t="n">
        <v>0</v>
      </c>
      <c r="R730" s="1" t="n">
        <v>0</v>
      </c>
      <c r="S730" s="1" t="n">
        <v>0</v>
      </c>
      <c r="T730" s="1" t="n">
        <v>1</v>
      </c>
      <c r="U730" s="1" t="n">
        <v>0</v>
      </c>
      <c r="V730" s="3" t="n">
        <f aca="false">SUM(P730:Q730)</f>
        <v>0</v>
      </c>
      <c r="W730" s="3" t="n">
        <f aca="false">SUM(R730:T730)</f>
        <v>1</v>
      </c>
      <c r="X730" s="10" t="n">
        <v>39970</v>
      </c>
      <c r="Y730" s="10" t="n">
        <v>39975</v>
      </c>
    </row>
    <row r="731" customFormat="false" ht="14.25" hidden="false" customHeight="false" outlineLevel="0" collapsed="false">
      <c r="A731" s="1" t="n">
        <v>2009</v>
      </c>
      <c r="B731" s="1" t="n">
        <v>1</v>
      </c>
      <c r="C731" s="2" t="s">
        <v>50</v>
      </c>
      <c r="D731" s="7" t="s">
        <v>158</v>
      </c>
      <c r="E731" s="1" t="n">
        <v>3</v>
      </c>
      <c r="F731" s="1" t="n">
        <f aca="false">Y731-X731</f>
        <v>5</v>
      </c>
      <c r="G731" s="1" t="n">
        <v>5</v>
      </c>
      <c r="H731" s="3" t="s">
        <v>72</v>
      </c>
      <c r="I731" s="3" t="s">
        <v>86</v>
      </c>
      <c r="J731" s="8" t="s">
        <v>87</v>
      </c>
      <c r="K731" s="2" t="str">
        <f aca="false">CONCATENATE(I731," ",J731)</f>
        <v>Haplodrassus soerenseni</v>
      </c>
      <c r="L731" s="3" t="n">
        <f aca="false">SUM(P731:U731)</f>
        <v>1</v>
      </c>
      <c r="M731" s="11" t="n">
        <f aca="false">(L731/(F731*G731)*25)*4</f>
        <v>4</v>
      </c>
      <c r="N731" s="1" t="s">
        <v>30</v>
      </c>
      <c r="O731" s="1" t="s">
        <v>31</v>
      </c>
      <c r="P731" s="1" t="n">
        <v>1</v>
      </c>
      <c r="Q731" s="1" t="n">
        <v>0</v>
      </c>
      <c r="R731" s="1" t="n">
        <v>0</v>
      </c>
      <c r="S731" s="1" t="n">
        <v>0</v>
      </c>
      <c r="T731" s="1" t="n">
        <v>0</v>
      </c>
      <c r="U731" s="1" t="n">
        <v>0</v>
      </c>
      <c r="V731" s="3" t="n">
        <f aca="false">SUM(P731:Q731)</f>
        <v>1</v>
      </c>
      <c r="W731" s="3" t="n">
        <f aca="false">SUM(R731:T731)</f>
        <v>0</v>
      </c>
      <c r="X731" s="10" t="n">
        <v>39970</v>
      </c>
      <c r="Y731" s="10" t="n">
        <v>39975</v>
      </c>
    </row>
    <row r="732" customFormat="false" ht="14.25" hidden="false" customHeight="false" outlineLevel="0" collapsed="false">
      <c r="A732" s="1" t="n">
        <v>2009</v>
      </c>
      <c r="B732" s="1" t="n">
        <v>1</v>
      </c>
      <c r="C732" s="2" t="s">
        <v>50</v>
      </c>
      <c r="D732" s="7" t="s">
        <v>158</v>
      </c>
      <c r="E732" s="1" t="n">
        <v>3</v>
      </c>
      <c r="F732" s="1" t="n">
        <f aca="false">Y732-X732</f>
        <v>5</v>
      </c>
      <c r="G732" s="1" t="n">
        <v>5</v>
      </c>
      <c r="H732" s="3" t="s">
        <v>64</v>
      </c>
      <c r="I732" s="3" t="s">
        <v>65</v>
      </c>
      <c r="J732" s="3" t="s">
        <v>123</v>
      </c>
      <c r="K732" s="2" t="str">
        <f aca="false">CONCATENATE(I732," ",J732)</f>
        <v>Zora nemoralis</v>
      </c>
      <c r="L732" s="3" t="n">
        <f aca="false">SUM(P732:U732)</f>
        <v>1</v>
      </c>
      <c r="M732" s="11" t="n">
        <f aca="false">(L732/(F732*G732)*25)*4</f>
        <v>4</v>
      </c>
      <c r="N732" s="1" t="s">
        <v>30</v>
      </c>
      <c r="O732" s="1" t="s">
        <v>31</v>
      </c>
      <c r="P732" s="1" t="n">
        <v>1</v>
      </c>
      <c r="Q732" s="1" t="n">
        <v>0</v>
      </c>
      <c r="R732" s="1" t="n">
        <v>0</v>
      </c>
      <c r="S732" s="1" t="n">
        <v>0</v>
      </c>
      <c r="T732" s="1" t="n">
        <v>0</v>
      </c>
      <c r="U732" s="1" t="n">
        <v>0</v>
      </c>
      <c r="V732" s="3" t="n">
        <f aca="false">SUM(P732:Q732)</f>
        <v>1</v>
      </c>
      <c r="W732" s="3" t="n">
        <f aca="false">SUM(R732:T732)</f>
        <v>0</v>
      </c>
      <c r="X732" s="10" t="n">
        <v>39970</v>
      </c>
      <c r="Y732" s="10" t="n">
        <v>39975</v>
      </c>
    </row>
    <row r="733" customFormat="false" ht="14.25" hidden="false" customHeight="false" outlineLevel="0" collapsed="false">
      <c r="A733" s="1" t="n">
        <v>2009</v>
      </c>
      <c r="B733" s="1" t="n">
        <v>1</v>
      </c>
      <c r="C733" s="2" t="s">
        <v>50</v>
      </c>
      <c r="D733" s="7" t="s">
        <v>158</v>
      </c>
      <c r="E733" s="1" t="n">
        <v>3</v>
      </c>
      <c r="F733" s="1" t="n">
        <f aca="false">Y733-X733</f>
        <v>5</v>
      </c>
      <c r="G733" s="1" t="n">
        <v>5</v>
      </c>
      <c r="H733" s="3" t="s">
        <v>135</v>
      </c>
      <c r="I733" s="3" t="s">
        <v>136</v>
      </c>
      <c r="J733" s="3" t="s">
        <v>137</v>
      </c>
      <c r="K733" s="2" t="str">
        <f aca="false">CONCATENATE(I733," ",J733)</f>
        <v>Thanatus sabulosus</v>
      </c>
      <c r="L733" s="3" t="n">
        <f aca="false">SUM(P733:U733)</f>
        <v>1</v>
      </c>
      <c r="M733" s="11" t="n">
        <f aca="false">(L733/(F733*G733)*25)*4</f>
        <v>4</v>
      </c>
      <c r="N733" s="1" t="s">
        <v>30</v>
      </c>
      <c r="O733" s="1" t="s">
        <v>31</v>
      </c>
      <c r="P733" s="1" t="n">
        <v>1</v>
      </c>
      <c r="Q733" s="1" t="n">
        <v>0</v>
      </c>
      <c r="R733" s="1" t="n">
        <v>0</v>
      </c>
      <c r="S733" s="1" t="n">
        <v>0</v>
      </c>
      <c r="T733" s="1" t="n">
        <v>0</v>
      </c>
      <c r="U733" s="1" t="n">
        <v>0</v>
      </c>
      <c r="V733" s="3" t="n">
        <f aca="false">SUM(P733:Q733)</f>
        <v>1</v>
      </c>
      <c r="W733" s="3" t="n">
        <f aca="false">SUM(R733:T733)</f>
        <v>0</v>
      </c>
      <c r="X733" s="10" t="n">
        <v>39970</v>
      </c>
      <c r="Y733" s="10" t="n">
        <v>39975</v>
      </c>
    </row>
    <row r="734" customFormat="false" ht="14.25" hidden="false" customHeight="false" outlineLevel="0" collapsed="false">
      <c r="A734" s="1" t="n">
        <v>2009</v>
      </c>
      <c r="B734" s="1" t="n">
        <v>1</v>
      </c>
      <c r="C734" s="2" t="s">
        <v>50</v>
      </c>
      <c r="D734" s="7" t="s">
        <v>158</v>
      </c>
      <c r="E734" s="1" t="n">
        <v>3</v>
      </c>
      <c r="F734" s="1" t="n">
        <f aca="false">Y734-X734</f>
        <v>5</v>
      </c>
      <c r="G734" s="1" t="n">
        <v>5</v>
      </c>
      <c r="H734" s="3" t="s">
        <v>27</v>
      </c>
      <c r="I734" s="3" t="s">
        <v>28</v>
      </c>
      <c r="J734" s="3" t="s">
        <v>29</v>
      </c>
      <c r="K734" s="2" t="str">
        <f aca="false">CONCATENATE(I734," ",J734)</f>
        <v>Robertus lividus</v>
      </c>
      <c r="L734" s="3" t="n">
        <f aca="false">SUM(P734:U734)</f>
        <v>1</v>
      </c>
      <c r="M734" s="11" t="n">
        <f aca="false">(L734/(F734*G734)*25)*4</f>
        <v>4</v>
      </c>
      <c r="N734" s="1" t="s">
        <v>30</v>
      </c>
      <c r="O734" s="1" t="s">
        <v>31</v>
      </c>
      <c r="P734" s="1" t="n">
        <v>1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0</v>
      </c>
      <c r="V734" s="3" t="n">
        <f aca="false">SUM(P734:Q734)</f>
        <v>1</v>
      </c>
      <c r="W734" s="3" t="n">
        <f aca="false">SUM(R734:T734)</f>
        <v>0</v>
      </c>
      <c r="X734" s="10" t="n">
        <v>39970</v>
      </c>
      <c r="Y734" s="10" t="n">
        <v>39975</v>
      </c>
    </row>
    <row r="735" customFormat="false" ht="14.25" hidden="false" customHeight="false" outlineLevel="0" collapsed="false">
      <c r="A735" s="1" t="n">
        <v>2009</v>
      </c>
      <c r="B735" s="1" t="n">
        <v>1</v>
      </c>
      <c r="C735" s="2" t="s">
        <v>50</v>
      </c>
      <c r="D735" s="7" t="s">
        <v>158</v>
      </c>
      <c r="E735" s="1" t="n">
        <v>3</v>
      </c>
      <c r="F735" s="1" t="n">
        <f aca="false">Y735-X735</f>
        <v>5</v>
      </c>
      <c r="G735" s="1" t="n">
        <v>5</v>
      </c>
      <c r="H735" s="3" t="s">
        <v>48</v>
      </c>
      <c r="I735" s="3" t="s">
        <v>49</v>
      </c>
      <c r="J735" s="3" t="s">
        <v>104</v>
      </c>
      <c r="K735" s="2" t="str">
        <f aca="false">CONCATENATE(I735," ",J735)</f>
        <v>Alopecosa taeniata</v>
      </c>
      <c r="L735" s="3" t="n">
        <f aca="false">SUM(P735:U735)</f>
        <v>3</v>
      </c>
      <c r="M735" s="11" t="n">
        <f aca="false">(L735/(F735*G735)*25)*4</f>
        <v>12</v>
      </c>
      <c r="N735" s="1" t="s">
        <v>30</v>
      </c>
      <c r="O735" s="1" t="s">
        <v>31</v>
      </c>
      <c r="P735" s="1" t="n">
        <v>3</v>
      </c>
      <c r="Q735" s="1" t="n">
        <v>0</v>
      </c>
      <c r="R735" s="1" t="n">
        <v>0</v>
      </c>
      <c r="S735" s="1" t="n">
        <v>0</v>
      </c>
      <c r="T735" s="1" t="n">
        <v>0</v>
      </c>
      <c r="U735" s="1" t="n">
        <v>0</v>
      </c>
      <c r="V735" s="3" t="n">
        <f aca="false">SUM(P735:Q735)</f>
        <v>3</v>
      </c>
      <c r="W735" s="3" t="n">
        <f aca="false">SUM(R735:T735)</f>
        <v>0</v>
      </c>
      <c r="X735" s="10" t="n">
        <v>39970</v>
      </c>
      <c r="Y735" s="10" t="n">
        <v>39975</v>
      </c>
    </row>
    <row r="736" customFormat="false" ht="14.25" hidden="false" customHeight="false" outlineLevel="0" collapsed="false">
      <c r="A736" s="1" t="n">
        <v>2009</v>
      </c>
      <c r="B736" s="1" t="n">
        <v>1</v>
      </c>
      <c r="C736" s="2" t="s">
        <v>50</v>
      </c>
      <c r="D736" s="7" t="s">
        <v>158</v>
      </c>
      <c r="E736" s="1" t="n">
        <v>3</v>
      </c>
      <c r="F736" s="1" t="n">
        <f aca="false">Y736-X736</f>
        <v>5</v>
      </c>
      <c r="G736" s="1" t="n">
        <v>5</v>
      </c>
      <c r="H736" s="3" t="s">
        <v>48</v>
      </c>
      <c r="I736" s="3" t="s">
        <v>67</v>
      </c>
      <c r="J736" s="3" t="s">
        <v>127</v>
      </c>
      <c r="K736" s="2" t="str">
        <f aca="false">CONCATENATE(I736," ",J736)</f>
        <v>Pardosa lugubris</v>
      </c>
      <c r="L736" s="3" t="n">
        <f aca="false">SUM(P736:U736)</f>
        <v>1</v>
      </c>
      <c r="M736" s="11" t="n">
        <f aca="false">(L736/(F736*G736)*25)*4</f>
        <v>4</v>
      </c>
      <c r="N736" s="1" t="s">
        <v>30</v>
      </c>
      <c r="O736" s="1" t="s">
        <v>31</v>
      </c>
      <c r="P736" s="1" t="n">
        <v>1</v>
      </c>
      <c r="Q736" s="1" t="n">
        <v>0</v>
      </c>
      <c r="R736" s="1" t="n">
        <v>0</v>
      </c>
      <c r="S736" s="1" t="n">
        <v>0</v>
      </c>
      <c r="T736" s="1" t="n">
        <v>0</v>
      </c>
      <c r="U736" s="1" t="n">
        <v>0</v>
      </c>
      <c r="V736" s="3" t="n">
        <f aca="false">SUM(P736:Q736)</f>
        <v>1</v>
      </c>
      <c r="W736" s="3" t="n">
        <f aca="false">SUM(R736:T736)</f>
        <v>0</v>
      </c>
      <c r="X736" s="10" t="n">
        <v>39970</v>
      </c>
      <c r="Y736" s="10" t="n">
        <v>39975</v>
      </c>
    </row>
    <row r="737" customFormat="false" ht="14.25" hidden="false" customHeight="false" outlineLevel="0" collapsed="false">
      <c r="A737" s="1" t="n">
        <v>2009</v>
      </c>
      <c r="B737" s="1" t="n">
        <v>1</v>
      </c>
      <c r="C737" s="2" t="s">
        <v>50</v>
      </c>
      <c r="D737" s="7" t="s">
        <v>158</v>
      </c>
      <c r="E737" s="1" t="n">
        <v>3</v>
      </c>
      <c r="F737" s="1" t="n">
        <f aca="false">Y737-X737</f>
        <v>5</v>
      </c>
      <c r="G737" s="1" t="n">
        <v>5</v>
      </c>
      <c r="H737" s="3" t="s">
        <v>48</v>
      </c>
      <c r="I737" s="3" t="s">
        <v>49</v>
      </c>
      <c r="J737" s="3" t="s">
        <v>38</v>
      </c>
      <c r="K737" s="2" t="str">
        <f aca="false">CONCATENATE(I737," ",J737)</f>
        <v>Alopecosa sp</v>
      </c>
      <c r="L737" s="3" t="n">
        <f aca="false">SUM(P737:U737)</f>
        <v>3</v>
      </c>
      <c r="M737" s="11" t="n">
        <f aca="false">(L737/(F737*G737)*25)*4</f>
        <v>12</v>
      </c>
      <c r="N737" s="1" t="s">
        <v>19</v>
      </c>
      <c r="O737" s="1" t="s">
        <v>54</v>
      </c>
      <c r="P737" s="1" t="n">
        <v>0</v>
      </c>
      <c r="Q737" s="1" t="n">
        <v>0</v>
      </c>
      <c r="R737" s="1" t="n">
        <v>0</v>
      </c>
      <c r="S737" s="1" t="n">
        <v>0</v>
      </c>
      <c r="T737" s="1" t="n">
        <v>3</v>
      </c>
      <c r="U737" s="1" t="n">
        <v>0</v>
      </c>
      <c r="V737" s="3" t="n">
        <f aca="false">SUM(P737:Q737)</f>
        <v>0</v>
      </c>
      <c r="W737" s="3" t="n">
        <f aca="false">SUM(R737:T737)</f>
        <v>3</v>
      </c>
      <c r="X737" s="10" t="n">
        <v>39970</v>
      </c>
      <c r="Y737" s="10" t="n">
        <v>39975</v>
      </c>
    </row>
    <row r="738" customFormat="false" ht="14.25" hidden="false" customHeight="false" outlineLevel="0" collapsed="false">
      <c r="A738" s="1" t="n">
        <v>2009</v>
      </c>
      <c r="B738" s="1" t="n">
        <v>1</v>
      </c>
      <c r="C738" s="2" t="s">
        <v>50</v>
      </c>
      <c r="D738" s="7" t="s">
        <v>158</v>
      </c>
      <c r="E738" s="1" t="n">
        <v>3</v>
      </c>
      <c r="F738" s="1" t="n">
        <f aca="false">Y738-X738</f>
        <v>5</v>
      </c>
      <c r="G738" s="1" t="n">
        <v>5</v>
      </c>
      <c r="H738" s="3" t="s">
        <v>48</v>
      </c>
      <c r="I738" s="3" t="s">
        <v>67</v>
      </c>
      <c r="J738" s="3" t="s">
        <v>38</v>
      </c>
      <c r="K738" s="2" t="str">
        <f aca="false">CONCATENATE(I738," ",J738)</f>
        <v>Pardosa sp</v>
      </c>
      <c r="L738" s="3" t="n">
        <f aca="false">SUM(P738:U738)</f>
        <v>2</v>
      </c>
      <c r="M738" s="11" t="n">
        <f aca="false">(L738/(F738*G738)*25)*4</f>
        <v>8</v>
      </c>
      <c r="N738" s="1" t="s">
        <v>19</v>
      </c>
      <c r="O738" s="1" t="s">
        <v>54</v>
      </c>
      <c r="P738" s="1" t="n">
        <v>0</v>
      </c>
      <c r="Q738" s="1" t="n">
        <v>0</v>
      </c>
      <c r="R738" s="1" t="n">
        <v>0</v>
      </c>
      <c r="S738" s="1" t="n">
        <v>0</v>
      </c>
      <c r="T738" s="1" t="n">
        <v>2</v>
      </c>
      <c r="U738" s="1" t="n">
        <v>0</v>
      </c>
      <c r="V738" s="3" t="n">
        <f aca="false">SUM(P738:Q738)</f>
        <v>0</v>
      </c>
      <c r="W738" s="3" t="n">
        <f aca="false">SUM(R738:T738)</f>
        <v>2</v>
      </c>
      <c r="X738" s="10" t="n">
        <v>39970</v>
      </c>
      <c r="Y738" s="10" t="n">
        <v>39975</v>
      </c>
    </row>
    <row r="739" customFormat="false" ht="14.25" hidden="false" customHeight="false" outlineLevel="0" collapsed="false">
      <c r="A739" s="1" t="n">
        <v>2009</v>
      </c>
      <c r="B739" s="1" t="n">
        <v>1</v>
      </c>
      <c r="C739" s="2" t="s">
        <v>50</v>
      </c>
      <c r="D739" s="7" t="s">
        <v>158</v>
      </c>
      <c r="E739" s="1" t="n">
        <v>3</v>
      </c>
      <c r="F739" s="1" t="n">
        <f aca="false">Y739-X739</f>
        <v>5</v>
      </c>
      <c r="G739" s="1" t="n">
        <v>5</v>
      </c>
      <c r="H739" s="3" t="s">
        <v>72</v>
      </c>
      <c r="I739" s="3" t="s">
        <v>73</v>
      </c>
      <c r="J739" s="3" t="s">
        <v>38</v>
      </c>
      <c r="K739" s="2" t="str">
        <f aca="false">CONCATENATE(I739," ",J739)</f>
        <v>Zelotes sp</v>
      </c>
      <c r="L739" s="3" t="n">
        <f aca="false">SUM(P739:U739)</f>
        <v>1</v>
      </c>
      <c r="M739" s="11" t="n">
        <f aca="false">(L739/(F739*G739)*25)*4</f>
        <v>4</v>
      </c>
      <c r="N739" s="1" t="s">
        <v>19</v>
      </c>
      <c r="O739" s="1" t="s">
        <v>54</v>
      </c>
      <c r="P739" s="1" t="n">
        <v>0</v>
      </c>
      <c r="Q739" s="1" t="n">
        <v>0</v>
      </c>
      <c r="R739" s="1" t="n">
        <v>0</v>
      </c>
      <c r="S739" s="1" t="n">
        <v>0</v>
      </c>
      <c r="T739" s="1" t="n">
        <v>1</v>
      </c>
      <c r="U739" s="1" t="n">
        <v>0</v>
      </c>
      <c r="V739" s="3" t="n">
        <f aca="false">SUM(P739:Q739)</f>
        <v>0</v>
      </c>
      <c r="W739" s="3" t="n">
        <f aca="false">SUM(R739:T739)</f>
        <v>1</v>
      </c>
      <c r="X739" s="10" t="n">
        <v>39970</v>
      </c>
      <c r="Y739" s="10" t="n">
        <v>39975</v>
      </c>
    </row>
    <row r="740" customFormat="false" ht="14.25" hidden="false" customHeight="false" outlineLevel="0" collapsed="false">
      <c r="A740" s="1" t="n">
        <v>2009</v>
      </c>
      <c r="B740" s="1" t="n">
        <v>1</v>
      </c>
      <c r="C740" s="2" t="s">
        <v>50</v>
      </c>
      <c r="D740" s="7" t="s">
        <v>158</v>
      </c>
      <c r="E740" s="1" t="n">
        <v>3</v>
      </c>
      <c r="F740" s="1" t="n">
        <f aca="false">Y740-X740</f>
        <v>5</v>
      </c>
      <c r="G740" s="1" t="n">
        <v>5</v>
      </c>
      <c r="H740" s="3" t="s">
        <v>36</v>
      </c>
      <c r="I740" s="3" t="s">
        <v>37</v>
      </c>
      <c r="J740" s="3" t="s">
        <v>38</v>
      </c>
      <c r="K740" s="2" t="str">
        <f aca="false">CONCATENATE(I740," ",J740)</f>
        <v>Ozyptila sp</v>
      </c>
      <c r="L740" s="3" t="n">
        <f aca="false">SUM(P740:U740)</f>
        <v>1</v>
      </c>
      <c r="M740" s="11" t="n">
        <f aca="false">(L740/(F740*G740)*25)*4</f>
        <v>4</v>
      </c>
      <c r="N740" s="1" t="s">
        <v>19</v>
      </c>
      <c r="O740" s="1" t="s">
        <v>54</v>
      </c>
      <c r="P740" s="1" t="n">
        <v>0</v>
      </c>
      <c r="Q740" s="1" t="n">
        <v>0</v>
      </c>
      <c r="R740" s="1" t="n">
        <v>0</v>
      </c>
      <c r="S740" s="1" t="n">
        <v>0</v>
      </c>
      <c r="T740" s="1" t="n">
        <v>1</v>
      </c>
      <c r="U740" s="1" t="n">
        <v>0</v>
      </c>
      <c r="V740" s="3" t="n">
        <f aca="false">SUM(P740:Q740)</f>
        <v>0</v>
      </c>
      <c r="W740" s="3" t="n">
        <f aca="false">SUM(R740:T740)</f>
        <v>1</v>
      </c>
      <c r="X740" s="10" t="n">
        <v>39970</v>
      </c>
      <c r="Y740" s="10" t="n">
        <v>39975</v>
      </c>
    </row>
    <row r="741" customFormat="false" ht="14.25" hidden="false" customHeight="false" outlineLevel="0" collapsed="false">
      <c r="A741" s="1" t="n">
        <v>2009</v>
      </c>
      <c r="B741" s="1" t="n">
        <v>1</v>
      </c>
      <c r="C741" s="2" t="s">
        <v>50</v>
      </c>
      <c r="D741" s="7" t="s">
        <v>158</v>
      </c>
      <c r="E741" s="1" t="n">
        <v>3</v>
      </c>
      <c r="F741" s="1" t="n">
        <f aca="false">Y741-X741</f>
        <v>5</v>
      </c>
      <c r="G741" s="1" t="n">
        <v>5</v>
      </c>
      <c r="H741" s="3" t="s">
        <v>36</v>
      </c>
      <c r="I741" s="3" t="s">
        <v>131</v>
      </c>
      <c r="J741" s="3" t="s">
        <v>133</v>
      </c>
      <c r="K741" s="2" t="str">
        <f aca="false">CONCATENATE(I741," ",J741)</f>
        <v>Xysticus luctuosus</v>
      </c>
      <c r="L741" s="3" t="n">
        <f aca="false">SUM(P741:U741)</f>
        <v>1</v>
      </c>
      <c r="M741" s="11" t="n">
        <f aca="false">(L741/(F741*G741)*25)*4</f>
        <v>4</v>
      </c>
      <c r="N741" s="1" t="s">
        <v>30</v>
      </c>
      <c r="O741" s="1" t="s">
        <v>31</v>
      </c>
      <c r="P741" s="1" t="n">
        <v>1</v>
      </c>
      <c r="Q741" s="1" t="n">
        <v>0</v>
      </c>
      <c r="R741" s="1" t="n">
        <v>0</v>
      </c>
      <c r="S741" s="1" t="n">
        <v>0</v>
      </c>
      <c r="T741" s="1" t="n">
        <v>0</v>
      </c>
      <c r="U741" s="1" t="n">
        <v>0</v>
      </c>
      <c r="V741" s="3" t="n">
        <f aca="false">SUM(P741:Q741)</f>
        <v>1</v>
      </c>
      <c r="W741" s="3" t="n">
        <f aca="false">SUM(R741:T741)</f>
        <v>0</v>
      </c>
      <c r="X741" s="10" t="n">
        <v>39970</v>
      </c>
      <c r="Y741" s="10" t="n">
        <v>39975</v>
      </c>
    </row>
    <row r="742" customFormat="false" ht="14.25" hidden="false" customHeight="false" outlineLevel="0" collapsed="false">
      <c r="A742" s="1" t="n">
        <v>2009</v>
      </c>
      <c r="B742" s="1" t="n">
        <v>1</v>
      </c>
      <c r="C742" s="2" t="s">
        <v>50</v>
      </c>
      <c r="D742" s="7" t="s">
        <v>158</v>
      </c>
      <c r="E742" s="1" t="n">
        <v>3</v>
      </c>
      <c r="F742" s="1" t="n">
        <f aca="false">Y742-X742</f>
        <v>5</v>
      </c>
      <c r="G742" s="1" t="n">
        <v>5</v>
      </c>
      <c r="H742" s="13" t="s">
        <v>195</v>
      </c>
      <c r="I742" s="13" t="s">
        <v>196</v>
      </c>
      <c r="J742" s="14" t="s">
        <v>197</v>
      </c>
      <c r="K742" s="2" t="str">
        <f aca="false">CONCATENATE(I742," ",J742)</f>
        <v>Pachygnatha listeri</v>
      </c>
      <c r="L742" s="3" t="n">
        <f aca="false">SUM(P742:U742)</f>
        <v>1</v>
      </c>
      <c r="M742" s="11" t="n">
        <f aca="false">(L742/(F742*G742)*25)*4</f>
        <v>4</v>
      </c>
      <c r="N742" s="1" t="s">
        <v>30</v>
      </c>
      <c r="O742" s="1" t="s">
        <v>35</v>
      </c>
      <c r="P742" s="1" t="n">
        <v>0</v>
      </c>
      <c r="Q742" s="1" t="n">
        <v>1</v>
      </c>
      <c r="R742" s="1" t="n">
        <v>0</v>
      </c>
      <c r="S742" s="1" t="n">
        <v>0</v>
      </c>
      <c r="T742" s="1" t="n">
        <v>0</v>
      </c>
      <c r="U742" s="1" t="n">
        <v>0</v>
      </c>
      <c r="V742" s="3" t="n">
        <f aca="false">SUM(P742:Q742)</f>
        <v>1</v>
      </c>
      <c r="W742" s="3" t="n">
        <f aca="false">SUM(R742:T742)</f>
        <v>0</v>
      </c>
      <c r="X742" s="10" t="n">
        <v>39970</v>
      </c>
      <c r="Y742" s="10" t="n">
        <v>39975</v>
      </c>
    </row>
    <row r="743" customFormat="false" ht="14.25" hidden="false" customHeight="false" outlineLevel="0" collapsed="false">
      <c r="A743" s="1" t="n">
        <v>2009</v>
      </c>
      <c r="B743" s="1" t="n">
        <v>1</v>
      </c>
      <c r="C743" s="2" t="s">
        <v>50</v>
      </c>
      <c r="D743" s="7" t="s">
        <v>158</v>
      </c>
      <c r="E743" s="1" t="n">
        <v>3</v>
      </c>
      <c r="F743" s="1" t="n">
        <f aca="false">Y743-X743</f>
        <v>5</v>
      </c>
      <c r="G743" s="1" t="n">
        <v>5</v>
      </c>
      <c r="H743" s="3" t="s">
        <v>48</v>
      </c>
      <c r="I743" s="3" t="s">
        <v>49</v>
      </c>
      <c r="J743" s="3" t="s">
        <v>104</v>
      </c>
      <c r="K743" s="2" t="str">
        <f aca="false">CONCATENATE(I743," ",J743)</f>
        <v>Alopecosa taeniata</v>
      </c>
      <c r="L743" s="3" t="n">
        <f aca="false">SUM(P743:U743)</f>
        <v>1</v>
      </c>
      <c r="M743" s="11" t="n">
        <f aca="false">(L743/(F743*G743)*25)*4</f>
        <v>4</v>
      </c>
      <c r="N743" s="1" t="s">
        <v>30</v>
      </c>
      <c r="O743" s="1" t="s">
        <v>31</v>
      </c>
      <c r="P743" s="1" t="n">
        <v>1</v>
      </c>
      <c r="Q743" s="1" t="n">
        <v>0</v>
      </c>
      <c r="R743" s="1" t="n">
        <v>0</v>
      </c>
      <c r="S743" s="1" t="n">
        <v>0</v>
      </c>
      <c r="T743" s="1" t="n">
        <v>0</v>
      </c>
      <c r="U743" s="1" t="n">
        <v>0</v>
      </c>
      <c r="V743" s="3" t="n">
        <f aca="false">SUM(P743:Q743)</f>
        <v>1</v>
      </c>
      <c r="W743" s="3" t="n">
        <f aca="false">SUM(R743:T743)</f>
        <v>0</v>
      </c>
      <c r="X743" s="10" t="n">
        <v>39970</v>
      </c>
      <c r="Y743" s="10" t="n">
        <v>39975</v>
      </c>
    </row>
    <row r="744" customFormat="false" ht="14.25" hidden="false" customHeight="false" outlineLevel="0" collapsed="false">
      <c r="A744" s="1" t="n">
        <v>2009</v>
      </c>
      <c r="B744" s="1" t="n">
        <v>1</v>
      </c>
      <c r="C744" s="2" t="s">
        <v>50</v>
      </c>
      <c r="D744" s="7" t="s">
        <v>158</v>
      </c>
      <c r="E744" s="1" t="n">
        <v>3</v>
      </c>
      <c r="F744" s="1" t="n">
        <f aca="false">Y744-X744</f>
        <v>5</v>
      </c>
      <c r="G744" s="1" t="n">
        <v>5</v>
      </c>
      <c r="H744" s="3" t="s">
        <v>48</v>
      </c>
      <c r="I744" s="3" t="s">
        <v>67</v>
      </c>
      <c r="J744" s="3" t="s">
        <v>127</v>
      </c>
      <c r="K744" s="2" t="str">
        <f aca="false">CONCATENATE(I744," ",J744)</f>
        <v>Pardosa lugubris</v>
      </c>
      <c r="L744" s="3" t="n">
        <f aca="false">SUM(P744:U744)</f>
        <v>1</v>
      </c>
      <c r="M744" s="11" t="n">
        <f aca="false">(L744/(F744*G744)*25)*4</f>
        <v>4</v>
      </c>
      <c r="N744" s="1" t="s">
        <v>30</v>
      </c>
      <c r="O744" s="1" t="s">
        <v>31</v>
      </c>
      <c r="P744" s="1" t="n">
        <v>1</v>
      </c>
      <c r="Q744" s="1" t="n">
        <v>0</v>
      </c>
      <c r="R744" s="1" t="n">
        <v>0</v>
      </c>
      <c r="S744" s="1" t="n">
        <v>0</v>
      </c>
      <c r="T744" s="1" t="n">
        <v>0</v>
      </c>
      <c r="U744" s="1" t="n">
        <v>0</v>
      </c>
      <c r="V744" s="3" t="n">
        <f aca="false">SUM(P744:Q744)</f>
        <v>1</v>
      </c>
      <c r="W744" s="3" t="n">
        <f aca="false">SUM(R744:T744)</f>
        <v>0</v>
      </c>
      <c r="X744" s="10" t="n">
        <v>39970</v>
      </c>
      <c r="Y744" s="10" t="n">
        <v>39975</v>
      </c>
    </row>
    <row r="745" customFormat="false" ht="14.25" hidden="false" customHeight="false" outlineLevel="0" collapsed="false">
      <c r="A745" s="1" t="n">
        <v>2009</v>
      </c>
      <c r="B745" s="1" t="n">
        <v>1</v>
      </c>
      <c r="C745" s="2" t="s">
        <v>50</v>
      </c>
      <c r="D745" s="7" t="s">
        <v>158</v>
      </c>
      <c r="E745" s="1" t="n">
        <v>3</v>
      </c>
      <c r="F745" s="1" t="n">
        <f aca="false">Y745-X745</f>
        <v>5</v>
      </c>
      <c r="G745" s="1" t="n">
        <v>5</v>
      </c>
      <c r="H745" s="3" t="s">
        <v>48</v>
      </c>
      <c r="I745" s="3" t="s">
        <v>49</v>
      </c>
      <c r="J745" s="3" t="s">
        <v>38</v>
      </c>
      <c r="K745" s="2" t="str">
        <f aca="false">CONCATENATE(I745," ",J745)</f>
        <v>Alopecosa sp</v>
      </c>
      <c r="L745" s="3" t="n">
        <f aca="false">SUM(P745:U745)</f>
        <v>1</v>
      </c>
      <c r="M745" s="11" t="n">
        <f aca="false">(L745/(F745*G745)*25)*4</f>
        <v>4</v>
      </c>
      <c r="N745" s="1" t="s">
        <v>19</v>
      </c>
      <c r="O745" s="1" t="s">
        <v>54</v>
      </c>
      <c r="P745" s="1" t="n">
        <v>0</v>
      </c>
      <c r="Q745" s="1" t="n">
        <v>0</v>
      </c>
      <c r="R745" s="1" t="n">
        <v>0</v>
      </c>
      <c r="S745" s="1" t="n">
        <v>0</v>
      </c>
      <c r="T745" s="1" t="n">
        <v>1</v>
      </c>
      <c r="U745" s="1" t="n">
        <v>0</v>
      </c>
      <c r="V745" s="3" t="n">
        <f aca="false">SUM(P745:Q745)</f>
        <v>0</v>
      </c>
      <c r="W745" s="3" t="n">
        <f aca="false">SUM(R745:T745)</f>
        <v>1</v>
      </c>
      <c r="X745" s="10" t="n">
        <v>39970</v>
      </c>
      <c r="Y745" s="10" t="n">
        <v>39975</v>
      </c>
    </row>
    <row r="746" customFormat="false" ht="14.25" hidden="false" customHeight="false" outlineLevel="0" collapsed="false">
      <c r="A746" s="1" t="n">
        <v>2009</v>
      </c>
      <c r="B746" s="1" t="n">
        <v>1</v>
      </c>
      <c r="C746" s="2" t="s">
        <v>50</v>
      </c>
      <c r="D746" s="7" t="s">
        <v>158</v>
      </c>
      <c r="E746" s="1" t="n">
        <v>3</v>
      </c>
      <c r="F746" s="1" t="n">
        <f aca="false">Y746-X746</f>
        <v>5</v>
      </c>
      <c r="G746" s="1" t="n">
        <v>5</v>
      </c>
      <c r="H746" s="3" t="s">
        <v>48</v>
      </c>
      <c r="I746" s="3" t="s">
        <v>67</v>
      </c>
      <c r="J746" s="3" t="s">
        <v>38</v>
      </c>
      <c r="K746" s="2" t="str">
        <f aca="false">CONCATENATE(I746," ",J746)</f>
        <v>Pardosa sp</v>
      </c>
      <c r="L746" s="3" t="n">
        <f aca="false">SUM(P746:U746)</f>
        <v>1</v>
      </c>
      <c r="M746" s="11" t="n">
        <f aca="false">(L746/(F746*G746)*25)*4</f>
        <v>4</v>
      </c>
      <c r="N746" s="1" t="s">
        <v>19</v>
      </c>
      <c r="O746" s="1" t="s">
        <v>54</v>
      </c>
      <c r="P746" s="1" t="n">
        <v>0</v>
      </c>
      <c r="Q746" s="1" t="n">
        <v>0</v>
      </c>
      <c r="R746" s="1" t="n">
        <v>0</v>
      </c>
      <c r="S746" s="1" t="n">
        <v>0</v>
      </c>
      <c r="T746" s="1" t="n">
        <v>1</v>
      </c>
      <c r="U746" s="1" t="n">
        <v>0</v>
      </c>
      <c r="V746" s="3" t="n">
        <f aca="false">SUM(P746:Q746)</f>
        <v>0</v>
      </c>
      <c r="W746" s="3" t="n">
        <f aca="false">SUM(R746:T746)</f>
        <v>1</v>
      </c>
      <c r="X746" s="10" t="n">
        <v>39970</v>
      </c>
      <c r="Y746" s="10" t="n">
        <v>39975</v>
      </c>
    </row>
    <row r="747" customFormat="false" ht="14.25" hidden="false" customHeight="false" outlineLevel="0" collapsed="false">
      <c r="A747" s="1" t="n">
        <v>2009</v>
      </c>
      <c r="B747" s="1" t="n">
        <v>1</v>
      </c>
      <c r="C747" s="2" t="s">
        <v>50</v>
      </c>
      <c r="D747" s="7" t="s">
        <v>158</v>
      </c>
      <c r="E747" s="1" t="n">
        <v>3</v>
      </c>
      <c r="F747" s="1" t="n">
        <f aca="false">Y747-X747</f>
        <v>5</v>
      </c>
      <c r="G747" s="1" t="n">
        <v>5</v>
      </c>
      <c r="H747" s="3" t="s">
        <v>48</v>
      </c>
      <c r="I747" s="3" t="s">
        <v>49</v>
      </c>
      <c r="J747" s="3" t="s">
        <v>119</v>
      </c>
      <c r="K747" s="2" t="str">
        <f aca="false">CONCATENATE(I747," ",J747)</f>
        <v>Alopecosa sulzeri</v>
      </c>
      <c r="L747" s="3" t="n">
        <f aca="false">SUM(P747:U747)</f>
        <v>1</v>
      </c>
      <c r="M747" s="11" t="n">
        <f aca="false">(L747/(F747*G747)*25)*4</f>
        <v>4</v>
      </c>
      <c r="N747" s="1" t="s">
        <v>30</v>
      </c>
      <c r="O747" s="1" t="s">
        <v>31</v>
      </c>
      <c r="P747" s="1" t="n">
        <v>1</v>
      </c>
      <c r="Q747" s="1" t="n">
        <v>0</v>
      </c>
      <c r="R747" s="1" t="n">
        <v>0</v>
      </c>
      <c r="S747" s="1" t="n">
        <v>0</v>
      </c>
      <c r="T747" s="1" t="n">
        <v>0</v>
      </c>
      <c r="U747" s="1" t="n">
        <v>0</v>
      </c>
      <c r="V747" s="3" t="n">
        <f aca="false">SUM(P747:Q747)</f>
        <v>1</v>
      </c>
      <c r="W747" s="3" t="n">
        <f aca="false">SUM(R747:T747)</f>
        <v>0</v>
      </c>
      <c r="X747" s="10" t="n">
        <v>39970</v>
      </c>
      <c r="Y747" s="10" t="n">
        <v>39975</v>
      </c>
    </row>
    <row r="748" customFormat="false" ht="14.25" hidden="false" customHeight="false" outlineLevel="0" collapsed="false">
      <c r="A748" s="1" t="n">
        <v>2009</v>
      </c>
      <c r="B748" s="1" t="n">
        <v>1</v>
      </c>
      <c r="C748" s="2" t="s">
        <v>50</v>
      </c>
      <c r="D748" s="7" t="s">
        <v>158</v>
      </c>
      <c r="E748" s="1" t="n">
        <v>3</v>
      </c>
      <c r="F748" s="1" t="n">
        <f aca="false">Y748-X748</f>
        <v>5</v>
      </c>
      <c r="G748" s="1" t="n">
        <v>5</v>
      </c>
      <c r="H748" s="3" t="s">
        <v>32</v>
      </c>
      <c r="I748" s="3" t="s">
        <v>55</v>
      </c>
      <c r="J748" s="3" t="s">
        <v>194</v>
      </c>
      <c r="K748" s="2" t="str">
        <f aca="false">CONCATENATE(I748," ",J748)</f>
        <v>Maro pansibiricus</v>
      </c>
      <c r="L748" s="3" t="n">
        <f aca="false">SUM(P748:U748)</f>
        <v>1</v>
      </c>
      <c r="M748" s="11" t="n">
        <f aca="false">(L748/(F748*G748)*25)*4</f>
        <v>4</v>
      </c>
      <c r="N748" s="1" t="s">
        <v>30</v>
      </c>
      <c r="O748" s="1" t="s">
        <v>31</v>
      </c>
      <c r="P748" s="1" t="n">
        <v>1</v>
      </c>
      <c r="Q748" s="1" t="n">
        <v>0</v>
      </c>
      <c r="R748" s="1" t="n">
        <v>0</v>
      </c>
      <c r="S748" s="1" t="n">
        <v>0</v>
      </c>
      <c r="T748" s="1" t="n">
        <v>0</v>
      </c>
      <c r="U748" s="1" t="n">
        <v>0</v>
      </c>
      <c r="V748" s="3" t="n">
        <f aca="false">SUM(P748:Q748)</f>
        <v>1</v>
      </c>
      <c r="W748" s="3" t="n">
        <f aca="false">SUM(R748:T748)</f>
        <v>0</v>
      </c>
      <c r="X748" s="10" t="n">
        <v>39970</v>
      </c>
      <c r="Y748" s="10" t="n">
        <v>39975</v>
      </c>
    </row>
    <row r="749" customFormat="false" ht="14.25" hidden="false" customHeight="false" outlineLevel="0" collapsed="false">
      <c r="A749" s="1" t="n">
        <v>2009</v>
      </c>
      <c r="B749" s="1" t="n">
        <v>1</v>
      </c>
      <c r="C749" s="2" t="s">
        <v>50</v>
      </c>
      <c r="D749" s="7" t="s">
        <v>158</v>
      </c>
      <c r="E749" s="1" t="n">
        <v>3</v>
      </c>
      <c r="F749" s="1" t="n">
        <f aca="false">Y749-X749</f>
        <v>5</v>
      </c>
      <c r="G749" s="1" t="n">
        <v>5</v>
      </c>
      <c r="H749" s="3" t="s">
        <v>48</v>
      </c>
      <c r="I749" s="3" t="s">
        <v>49</v>
      </c>
      <c r="J749" s="3" t="s">
        <v>130</v>
      </c>
      <c r="K749" s="2" t="str">
        <f aca="false">CONCATENATE(I749," ",J749)</f>
        <v>Alopecosa aculeata</v>
      </c>
      <c r="L749" s="3" t="n">
        <f aca="false">SUM(P749:U749)</f>
        <v>1</v>
      </c>
      <c r="M749" s="11" t="n">
        <f aca="false">(L749/(F749*G749)*25)*4</f>
        <v>4</v>
      </c>
      <c r="N749" s="1" t="s">
        <v>30</v>
      </c>
      <c r="O749" s="1" t="s">
        <v>31</v>
      </c>
      <c r="P749" s="1" t="n">
        <v>1</v>
      </c>
      <c r="Q749" s="1" t="n">
        <v>0</v>
      </c>
      <c r="R749" s="1" t="n">
        <v>0</v>
      </c>
      <c r="S749" s="1" t="n">
        <v>0</v>
      </c>
      <c r="T749" s="1" t="n">
        <v>0</v>
      </c>
      <c r="U749" s="1" t="n">
        <v>0</v>
      </c>
      <c r="V749" s="3" t="n">
        <f aca="false">SUM(P749:Q749)</f>
        <v>1</v>
      </c>
      <c r="W749" s="3" t="n">
        <f aca="false">SUM(R749:T749)</f>
        <v>0</v>
      </c>
      <c r="X749" s="10" t="n">
        <v>39970</v>
      </c>
      <c r="Y749" s="10" t="n">
        <v>39975</v>
      </c>
    </row>
    <row r="750" customFormat="false" ht="14.25" hidden="false" customHeight="false" outlineLevel="0" collapsed="false">
      <c r="A750" s="1" t="n">
        <v>2009</v>
      </c>
      <c r="B750" s="1" t="n">
        <v>1</v>
      </c>
      <c r="C750" s="2" t="s">
        <v>50</v>
      </c>
      <c r="D750" s="7" t="s">
        <v>158</v>
      </c>
      <c r="E750" s="1" t="n">
        <v>3</v>
      </c>
      <c r="F750" s="1" t="n">
        <f aca="false">Y750-X750</f>
        <v>5</v>
      </c>
      <c r="G750" s="1" t="n">
        <v>5</v>
      </c>
      <c r="H750" s="3" t="s">
        <v>48</v>
      </c>
      <c r="I750" s="3" t="s">
        <v>49</v>
      </c>
      <c r="J750" s="3" t="s">
        <v>104</v>
      </c>
      <c r="K750" s="2" t="str">
        <f aca="false">CONCATENATE(I750," ",J750)</f>
        <v>Alopecosa taeniata</v>
      </c>
      <c r="L750" s="3" t="n">
        <f aca="false">SUM(P750:U750)</f>
        <v>5</v>
      </c>
      <c r="M750" s="11" t="n">
        <f aca="false">(L750/(F750*G750)*25)*4</f>
        <v>20</v>
      </c>
      <c r="N750" s="1" t="s">
        <v>30</v>
      </c>
      <c r="O750" s="1" t="s">
        <v>31</v>
      </c>
      <c r="P750" s="1" t="n">
        <v>5</v>
      </c>
      <c r="Q750" s="1" t="n">
        <v>0</v>
      </c>
      <c r="R750" s="1" t="n">
        <v>0</v>
      </c>
      <c r="S750" s="1" t="n">
        <v>0</v>
      </c>
      <c r="T750" s="1" t="n">
        <v>0</v>
      </c>
      <c r="U750" s="1" t="n">
        <v>0</v>
      </c>
      <c r="V750" s="3" t="n">
        <f aca="false">SUM(P750:Q750)</f>
        <v>5</v>
      </c>
      <c r="W750" s="3" t="n">
        <f aca="false">SUM(R750:T750)</f>
        <v>0</v>
      </c>
      <c r="X750" s="10" t="n">
        <v>39970</v>
      </c>
      <c r="Y750" s="10" t="n">
        <v>39975</v>
      </c>
    </row>
    <row r="751" customFormat="false" ht="14.25" hidden="false" customHeight="false" outlineLevel="0" collapsed="false">
      <c r="A751" s="1" t="n">
        <v>2009</v>
      </c>
      <c r="B751" s="1" t="n">
        <v>1</v>
      </c>
      <c r="C751" s="2" t="s">
        <v>50</v>
      </c>
      <c r="D751" s="7" t="s">
        <v>158</v>
      </c>
      <c r="E751" s="1" t="n">
        <v>3</v>
      </c>
      <c r="F751" s="1" t="n">
        <f aca="false">Y751-X751</f>
        <v>5</v>
      </c>
      <c r="G751" s="1" t="n">
        <v>5</v>
      </c>
      <c r="H751" s="3" t="s">
        <v>48</v>
      </c>
      <c r="I751" s="3" t="s">
        <v>49</v>
      </c>
      <c r="J751" s="3" t="s">
        <v>104</v>
      </c>
      <c r="K751" s="2" t="str">
        <f aca="false">CONCATENATE(I751," ",J751)</f>
        <v>Alopecosa taeniata</v>
      </c>
      <c r="L751" s="3" t="n">
        <f aca="false">SUM(P751:U751)</f>
        <v>1</v>
      </c>
      <c r="M751" s="11" t="n">
        <f aca="false">(L751/(F751*G751)*25)*4</f>
        <v>4</v>
      </c>
      <c r="N751" s="1" t="s">
        <v>30</v>
      </c>
      <c r="O751" s="1" t="s">
        <v>35</v>
      </c>
      <c r="P751" s="1" t="n">
        <v>0</v>
      </c>
      <c r="Q751" s="1" t="n">
        <v>1</v>
      </c>
      <c r="R751" s="1" t="n">
        <v>0</v>
      </c>
      <c r="S751" s="1" t="n">
        <v>0</v>
      </c>
      <c r="T751" s="1" t="n">
        <v>0</v>
      </c>
      <c r="U751" s="1" t="n">
        <v>0</v>
      </c>
      <c r="V751" s="3" t="n">
        <f aca="false">SUM(P751:Q751)</f>
        <v>1</v>
      </c>
      <c r="W751" s="3" t="n">
        <f aca="false">SUM(R751:T751)</f>
        <v>0</v>
      </c>
      <c r="X751" s="10" t="n">
        <v>39970</v>
      </c>
      <c r="Y751" s="10" t="n">
        <v>39975</v>
      </c>
    </row>
    <row r="752" customFormat="false" ht="14.25" hidden="false" customHeight="false" outlineLevel="0" collapsed="false">
      <c r="A752" s="1" t="n">
        <v>2009</v>
      </c>
      <c r="B752" s="1" t="n">
        <v>1</v>
      </c>
      <c r="C752" s="2" t="s">
        <v>50</v>
      </c>
      <c r="D752" s="7" t="s">
        <v>158</v>
      </c>
      <c r="E752" s="1" t="n">
        <v>3</v>
      </c>
      <c r="F752" s="1" t="n">
        <f aca="false">Y752-X752</f>
        <v>5</v>
      </c>
      <c r="G752" s="1" t="n">
        <v>5</v>
      </c>
      <c r="H752" s="3" t="s">
        <v>48</v>
      </c>
      <c r="I752" s="3" t="s">
        <v>67</v>
      </c>
      <c r="J752" s="3" t="s">
        <v>127</v>
      </c>
      <c r="K752" s="2" t="str">
        <f aca="false">CONCATENATE(I752," ",J752)</f>
        <v>Pardosa lugubris</v>
      </c>
      <c r="L752" s="3" t="n">
        <f aca="false">SUM(P752:U752)</f>
        <v>4</v>
      </c>
      <c r="M752" s="11" t="n">
        <f aca="false">(L752/(F752*G752)*25)*4</f>
        <v>16</v>
      </c>
      <c r="N752" s="1" t="s">
        <v>30</v>
      </c>
      <c r="O752" s="1" t="s">
        <v>31</v>
      </c>
      <c r="P752" s="1" t="n">
        <v>4</v>
      </c>
      <c r="Q752" s="1" t="n">
        <v>0</v>
      </c>
      <c r="R752" s="1" t="n">
        <v>0</v>
      </c>
      <c r="S752" s="1" t="n">
        <v>0</v>
      </c>
      <c r="T752" s="1" t="n">
        <v>0</v>
      </c>
      <c r="U752" s="1" t="n">
        <v>0</v>
      </c>
      <c r="V752" s="3" t="n">
        <f aca="false">SUM(P752:Q752)</f>
        <v>4</v>
      </c>
      <c r="W752" s="3" t="n">
        <f aca="false">SUM(R752:T752)</f>
        <v>0</v>
      </c>
      <c r="X752" s="10" t="n">
        <v>39970</v>
      </c>
      <c r="Y752" s="10" t="n">
        <v>39975</v>
      </c>
    </row>
    <row r="753" customFormat="false" ht="14.25" hidden="false" customHeight="false" outlineLevel="0" collapsed="false">
      <c r="A753" s="1" t="n">
        <v>2009</v>
      </c>
      <c r="B753" s="1" t="n">
        <v>1</v>
      </c>
      <c r="C753" s="2" t="s">
        <v>50</v>
      </c>
      <c r="D753" s="7" t="s">
        <v>158</v>
      </c>
      <c r="E753" s="1" t="n">
        <v>3</v>
      </c>
      <c r="F753" s="1" t="n">
        <f aca="false">Y753-X753</f>
        <v>5</v>
      </c>
      <c r="G753" s="1" t="n">
        <v>5</v>
      </c>
      <c r="H753" s="3" t="s">
        <v>48</v>
      </c>
      <c r="I753" s="3" t="s">
        <v>67</v>
      </c>
      <c r="J753" s="3" t="s">
        <v>127</v>
      </c>
      <c r="K753" s="2" t="str">
        <f aca="false">CONCATENATE(I753," ",J753)</f>
        <v>Pardosa lugubris</v>
      </c>
      <c r="L753" s="3" t="n">
        <f aca="false">SUM(P753:U753)</f>
        <v>1</v>
      </c>
      <c r="M753" s="11" t="n">
        <f aca="false">(L753/(F753*G753)*25)*4</f>
        <v>4</v>
      </c>
      <c r="N753" s="1" t="s">
        <v>30</v>
      </c>
      <c r="O753" s="1" t="s">
        <v>35</v>
      </c>
      <c r="P753" s="1" t="n">
        <v>0</v>
      </c>
      <c r="Q753" s="1" t="n">
        <v>1</v>
      </c>
      <c r="R753" s="1" t="n">
        <v>0</v>
      </c>
      <c r="S753" s="1" t="n">
        <v>0</v>
      </c>
      <c r="T753" s="1" t="n">
        <v>0</v>
      </c>
      <c r="U753" s="1" t="n">
        <v>0</v>
      </c>
      <c r="V753" s="3" t="n">
        <f aca="false">SUM(P753:Q753)</f>
        <v>1</v>
      </c>
      <c r="W753" s="3" t="n">
        <f aca="false">SUM(R753:T753)</f>
        <v>0</v>
      </c>
      <c r="X753" s="10" t="n">
        <v>39970</v>
      </c>
      <c r="Y753" s="10" t="n">
        <v>39975</v>
      </c>
    </row>
    <row r="754" customFormat="false" ht="14.25" hidden="false" customHeight="false" outlineLevel="0" collapsed="false">
      <c r="A754" s="1" t="n">
        <v>2009</v>
      </c>
      <c r="B754" s="1" t="n">
        <v>1</v>
      </c>
      <c r="C754" s="2" t="s">
        <v>50</v>
      </c>
      <c r="D754" s="7" t="s">
        <v>158</v>
      </c>
      <c r="E754" s="1" t="n">
        <v>3</v>
      </c>
      <c r="F754" s="1" t="n">
        <f aca="false">Y754-X754</f>
        <v>5</v>
      </c>
      <c r="G754" s="1" t="n">
        <v>5</v>
      </c>
      <c r="H754" s="3" t="s">
        <v>48</v>
      </c>
      <c r="I754" s="3" t="s">
        <v>49</v>
      </c>
      <c r="J754" s="3" t="s">
        <v>119</v>
      </c>
      <c r="K754" s="2" t="str">
        <f aca="false">CONCATENATE(I754," ",J754)</f>
        <v>Alopecosa sulzeri</v>
      </c>
      <c r="L754" s="3" t="n">
        <f aca="false">SUM(P754:U754)</f>
        <v>1</v>
      </c>
      <c r="M754" s="11" t="n">
        <f aca="false">(L754/(F754*G754)*25)*4</f>
        <v>4</v>
      </c>
      <c r="N754" s="1" t="s">
        <v>30</v>
      </c>
      <c r="O754" s="1" t="s">
        <v>31</v>
      </c>
      <c r="P754" s="1" t="n">
        <v>1</v>
      </c>
      <c r="Q754" s="1" t="n">
        <v>0</v>
      </c>
      <c r="R754" s="1" t="n">
        <v>0</v>
      </c>
      <c r="S754" s="1" t="n">
        <v>0</v>
      </c>
      <c r="T754" s="1" t="n">
        <v>0</v>
      </c>
      <c r="U754" s="1" t="n">
        <v>0</v>
      </c>
      <c r="V754" s="3" t="n">
        <f aca="false">SUM(P754:Q754)</f>
        <v>1</v>
      </c>
      <c r="W754" s="3" t="n">
        <f aca="false">SUM(R754:T754)</f>
        <v>0</v>
      </c>
      <c r="X754" s="10" t="n">
        <v>39970</v>
      </c>
      <c r="Y754" s="10" t="n">
        <v>39975</v>
      </c>
    </row>
    <row r="755" customFormat="false" ht="14.25" hidden="false" customHeight="false" outlineLevel="0" collapsed="false">
      <c r="A755" s="1" t="n">
        <v>2009</v>
      </c>
      <c r="B755" s="1" t="n">
        <v>1</v>
      </c>
      <c r="C755" s="2" t="s">
        <v>50</v>
      </c>
      <c r="D755" s="7" t="s">
        <v>158</v>
      </c>
      <c r="E755" s="1" t="n">
        <v>3</v>
      </c>
      <c r="F755" s="1" t="n">
        <f aca="false">Y755-X755</f>
        <v>5</v>
      </c>
      <c r="G755" s="1" t="n">
        <v>5</v>
      </c>
      <c r="H755" s="3" t="s">
        <v>48</v>
      </c>
      <c r="I755" s="3" t="s">
        <v>67</v>
      </c>
      <c r="J755" s="3" t="s">
        <v>38</v>
      </c>
      <c r="K755" s="2" t="str">
        <f aca="false">CONCATENATE(I755," ",J755)</f>
        <v>Pardosa sp</v>
      </c>
      <c r="L755" s="3" t="n">
        <f aca="false">SUM(P755:U755)</f>
        <v>1</v>
      </c>
      <c r="M755" s="11" t="n">
        <f aca="false">(L755/(F755*G755)*25)*4</f>
        <v>4</v>
      </c>
      <c r="N755" s="1" t="s">
        <v>19</v>
      </c>
      <c r="O755" s="1" t="s">
        <v>54</v>
      </c>
      <c r="P755" s="1" t="n">
        <v>0</v>
      </c>
      <c r="Q755" s="1" t="n">
        <v>0</v>
      </c>
      <c r="R755" s="1" t="n">
        <v>0</v>
      </c>
      <c r="S755" s="1" t="n">
        <v>0</v>
      </c>
      <c r="T755" s="1" t="n">
        <v>1</v>
      </c>
      <c r="U755" s="1" t="n">
        <v>0</v>
      </c>
      <c r="V755" s="3" t="n">
        <f aca="false">SUM(P755:Q755)</f>
        <v>0</v>
      </c>
      <c r="W755" s="3" t="n">
        <f aca="false">SUM(R755:T755)</f>
        <v>1</v>
      </c>
      <c r="X755" s="10" t="n">
        <v>39970</v>
      </c>
      <c r="Y755" s="10" t="n">
        <v>39975</v>
      </c>
    </row>
    <row r="756" customFormat="false" ht="14.25" hidden="false" customHeight="false" outlineLevel="0" collapsed="false">
      <c r="A756" s="1" t="n">
        <v>2009</v>
      </c>
      <c r="B756" s="1" t="n">
        <v>1</v>
      </c>
      <c r="C756" s="2" t="s">
        <v>50</v>
      </c>
      <c r="D756" s="7" t="s">
        <v>158</v>
      </c>
      <c r="E756" s="1" t="n">
        <v>3</v>
      </c>
      <c r="F756" s="1" t="n">
        <f aca="false">Y756-X756</f>
        <v>5</v>
      </c>
      <c r="G756" s="1" t="n">
        <v>5</v>
      </c>
      <c r="H756" s="3" t="s">
        <v>48</v>
      </c>
      <c r="I756" s="3" t="s">
        <v>61</v>
      </c>
      <c r="J756" s="3" t="s">
        <v>82</v>
      </c>
      <c r="K756" s="2" t="str">
        <f aca="false">CONCATENATE(I756," ",J756)</f>
        <v>Trochosa terricola</v>
      </c>
      <c r="L756" s="3" t="n">
        <f aca="false">SUM(P756:U756)</f>
        <v>1</v>
      </c>
      <c r="M756" s="11" t="n">
        <f aca="false">(L756/(F756*G756)*25)*4</f>
        <v>4</v>
      </c>
      <c r="N756" s="1" t="s">
        <v>30</v>
      </c>
      <c r="O756" s="1" t="s">
        <v>31</v>
      </c>
      <c r="P756" s="1" t="n">
        <v>1</v>
      </c>
      <c r="Q756" s="1" t="n">
        <v>0</v>
      </c>
      <c r="R756" s="1" t="n">
        <v>0</v>
      </c>
      <c r="S756" s="1" t="n">
        <v>0</v>
      </c>
      <c r="T756" s="1" t="n">
        <v>0</v>
      </c>
      <c r="U756" s="1" t="n">
        <v>0</v>
      </c>
      <c r="V756" s="3" t="n">
        <f aca="false">SUM(P756:Q756)</f>
        <v>1</v>
      </c>
      <c r="W756" s="3" t="n">
        <f aca="false">SUM(R756:T756)</f>
        <v>0</v>
      </c>
      <c r="X756" s="10" t="n">
        <v>39970</v>
      </c>
      <c r="Y756" s="10" t="n">
        <v>39975</v>
      </c>
    </row>
    <row r="757" customFormat="false" ht="14.25" hidden="false" customHeight="false" outlineLevel="0" collapsed="false">
      <c r="A757" s="1" t="n">
        <v>2009</v>
      </c>
      <c r="B757" s="1" t="n">
        <v>1</v>
      </c>
      <c r="C757" s="2" t="s">
        <v>50</v>
      </c>
      <c r="D757" s="7" t="s">
        <v>158</v>
      </c>
      <c r="E757" s="1" t="n">
        <v>3</v>
      </c>
      <c r="F757" s="1" t="n">
        <f aca="false">Y757-X757</f>
        <v>5</v>
      </c>
      <c r="G757" s="1" t="n">
        <v>5</v>
      </c>
      <c r="H757" s="3" t="s">
        <v>36</v>
      </c>
      <c r="I757" s="3" t="s">
        <v>37</v>
      </c>
      <c r="J757" s="8" t="s">
        <v>75</v>
      </c>
      <c r="K757" s="2" t="str">
        <f aca="false">CONCATENATE(I757," ",J757)</f>
        <v>Ozyptila praticola</v>
      </c>
      <c r="L757" s="3" t="n">
        <f aca="false">SUM(P757:U757)</f>
        <v>2</v>
      </c>
      <c r="M757" s="11" t="n">
        <f aca="false">(L757/(F757*G757)*25)*4</f>
        <v>8</v>
      </c>
      <c r="N757" s="1" t="s">
        <v>30</v>
      </c>
      <c r="O757" s="1" t="s">
        <v>31</v>
      </c>
      <c r="P757" s="1" t="n">
        <v>2</v>
      </c>
      <c r="Q757" s="1" t="n">
        <v>0</v>
      </c>
      <c r="R757" s="1" t="n">
        <v>0</v>
      </c>
      <c r="S757" s="1" t="n">
        <v>0</v>
      </c>
      <c r="T757" s="1" t="n">
        <v>0</v>
      </c>
      <c r="U757" s="1" t="n">
        <v>0</v>
      </c>
      <c r="V757" s="3" t="n">
        <f aca="false">SUM(P757:Q757)</f>
        <v>2</v>
      </c>
      <c r="W757" s="3" t="n">
        <f aca="false">SUM(R757:T757)</f>
        <v>0</v>
      </c>
      <c r="X757" s="10" t="n">
        <v>39970</v>
      </c>
      <c r="Y757" s="10" t="n">
        <v>39975</v>
      </c>
    </row>
    <row r="758" customFormat="false" ht="14.25" hidden="false" customHeight="false" outlineLevel="0" collapsed="false">
      <c r="A758" s="1" t="n">
        <v>2009</v>
      </c>
      <c r="B758" s="1" t="n">
        <v>1</v>
      </c>
      <c r="C758" s="2" t="s">
        <v>50</v>
      </c>
      <c r="D758" s="7" t="s">
        <v>158</v>
      </c>
      <c r="E758" s="1" t="n">
        <v>3</v>
      </c>
      <c r="F758" s="1" t="n">
        <f aca="false">Y758-X758</f>
        <v>5</v>
      </c>
      <c r="G758" s="1" t="n">
        <v>5</v>
      </c>
      <c r="H758" s="3" t="s">
        <v>36</v>
      </c>
      <c r="I758" s="3" t="s">
        <v>131</v>
      </c>
      <c r="J758" s="3" t="s">
        <v>133</v>
      </c>
      <c r="K758" s="2" t="str">
        <f aca="false">CONCATENATE(I758," ",J758)</f>
        <v>Xysticus luctuosus</v>
      </c>
      <c r="L758" s="3" t="n">
        <f aca="false">SUM(P758:U758)</f>
        <v>1</v>
      </c>
      <c r="M758" s="11" t="n">
        <f aca="false">(L758/(F758*G758)*25)*4</f>
        <v>4</v>
      </c>
      <c r="N758" s="1" t="s">
        <v>30</v>
      </c>
      <c r="O758" s="1" t="s">
        <v>31</v>
      </c>
      <c r="P758" s="1" t="n">
        <v>1</v>
      </c>
      <c r="Q758" s="1" t="n">
        <v>0</v>
      </c>
      <c r="R758" s="1" t="n">
        <v>0</v>
      </c>
      <c r="S758" s="1" t="n">
        <v>0</v>
      </c>
      <c r="T758" s="1" t="n">
        <v>0</v>
      </c>
      <c r="U758" s="1" t="n">
        <v>0</v>
      </c>
      <c r="V758" s="3" t="n">
        <f aca="false">SUM(P758:Q758)</f>
        <v>1</v>
      </c>
      <c r="W758" s="3" t="n">
        <f aca="false">SUM(R758:T758)</f>
        <v>0</v>
      </c>
      <c r="X758" s="10" t="n">
        <v>39970</v>
      </c>
      <c r="Y758" s="10" t="n">
        <v>39975</v>
      </c>
    </row>
    <row r="759" customFormat="false" ht="14.25" hidden="false" customHeight="false" outlineLevel="0" collapsed="false">
      <c r="A759" s="1" t="n">
        <v>2009</v>
      </c>
      <c r="B759" s="1" t="n">
        <v>1</v>
      </c>
      <c r="C759" s="2" t="s">
        <v>50</v>
      </c>
      <c r="D759" s="7" t="s">
        <v>158</v>
      </c>
      <c r="E759" s="1" t="n">
        <v>3</v>
      </c>
      <c r="F759" s="1" t="n">
        <f aca="false">Y759-X759</f>
        <v>5</v>
      </c>
      <c r="G759" s="1" t="n">
        <v>5</v>
      </c>
      <c r="H759" s="3" t="s">
        <v>64</v>
      </c>
      <c r="I759" s="3" t="s">
        <v>65</v>
      </c>
      <c r="J759" s="3" t="s">
        <v>123</v>
      </c>
      <c r="K759" s="2" t="str">
        <f aca="false">CONCATENATE(I759," ",J759)</f>
        <v>Zora nemoralis</v>
      </c>
      <c r="L759" s="3" t="n">
        <f aca="false">SUM(P759:U759)</f>
        <v>1</v>
      </c>
      <c r="M759" s="11" t="n">
        <f aca="false">(L759/(F759*G759)*25)*4</f>
        <v>4</v>
      </c>
      <c r="N759" s="1" t="s">
        <v>30</v>
      </c>
      <c r="O759" s="1" t="s">
        <v>31</v>
      </c>
      <c r="P759" s="1" t="n">
        <v>1</v>
      </c>
      <c r="Q759" s="1" t="n">
        <v>0</v>
      </c>
      <c r="R759" s="1" t="n">
        <v>0</v>
      </c>
      <c r="S759" s="1" t="n">
        <v>0</v>
      </c>
      <c r="T759" s="1" t="n">
        <v>0</v>
      </c>
      <c r="U759" s="1" t="n">
        <v>0</v>
      </c>
      <c r="V759" s="3" t="n">
        <f aca="false">SUM(P759:Q759)</f>
        <v>1</v>
      </c>
      <c r="W759" s="3" t="n">
        <f aca="false">SUM(R759:T759)</f>
        <v>0</v>
      </c>
      <c r="X759" s="10" t="n">
        <v>39970</v>
      </c>
      <c r="Y759" s="10" t="n">
        <v>39975</v>
      </c>
    </row>
    <row r="760" customFormat="false" ht="14.25" hidden="false" customHeight="false" outlineLevel="0" collapsed="false">
      <c r="A760" s="1" t="n">
        <v>2009</v>
      </c>
      <c r="B760" s="1" t="n">
        <v>1</v>
      </c>
      <c r="C760" s="2" t="s">
        <v>50</v>
      </c>
      <c r="D760" s="7" t="s">
        <v>158</v>
      </c>
      <c r="E760" s="1" t="n">
        <v>3</v>
      </c>
      <c r="F760" s="1" t="n">
        <f aca="false">Y760-X760</f>
        <v>5</v>
      </c>
      <c r="G760" s="1" t="n">
        <v>5</v>
      </c>
      <c r="H760" s="3" t="s">
        <v>32</v>
      </c>
      <c r="I760" s="3" t="s">
        <v>57</v>
      </c>
      <c r="J760" s="3" t="s">
        <v>38</v>
      </c>
      <c r="K760" s="2" t="str">
        <f aca="false">CONCATENATE(I760," ",J760)</f>
        <v>Gen sp</v>
      </c>
      <c r="L760" s="3" t="n">
        <f aca="false">SUM(P760:U760)</f>
        <v>1</v>
      </c>
      <c r="M760" s="11" t="n">
        <f aca="false">(L760/(F760*G760)*25)*4</f>
        <v>4</v>
      </c>
      <c r="N760" s="1" t="s">
        <v>19</v>
      </c>
      <c r="O760" s="1" t="s">
        <v>54</v>
      </c>
      <c r="P760" s="1" t="n">
        <v>0</v>
      </c>
      <c r="Q760" s="1" t="n">
        <v>0</v>
      </c>
      <c r="R760" s="1" t="n">
        <v>0</v>
      </c>
      <c r="S760" s="1" t="n">
        <v>0</v>
      </c>
      <c r="T760" s="1" t="n">
        <v>1</v>
      </c>
      <c r="U760" s="1" t="n">
        <v>0</v>
      </c>
      <c r="V760" s="3" t="n">
        <f aca="false">SUM(P760:Q760)</f>
        <v>0</v>
      </c>
      <c r="W760" s="3" t="n">
        <f aca="false">SUM(R760:T760)</f>
        <v>1</v>
      </c>
      <c r="X760" s="10" t="n">
        <v>39970</v>
      </c>
      <c r="Y760" s="10" t="n">
        <v>39975</v>
      </c>
    </row>
    <row r="761" customFormat="false" ht="14.25" hidden="false" customHeight="false" outlineLevel="0" collapsed="false">
      <c r="A761" s="1" t="n">
        <v>2009</v>
      </c>
      <c r="B761" s="1" t="n">
        <v>1</v>
      </c>
      <c r="C761" s="2" t="s">
        <v>50</v>
      </c>
      <c r="D761" s="7" t="s">
        <v>158</v>
      </c>
      <c r="E761" s="1" t="n">
        <v>3</v>
      </c>
      <c r="F761" s="1" t="n">
        <f aca="false">Y761-X761</f>
        <v>5</v>
      </c>
      <c r="G761" s="1" t="n">
        <v>5</v>
      </c>
      <c r="H761" s="3" t="s">
        <v>32</v>
      </c>
      <c r="I761" s="3" t="s">
        <v>62</v>
      </c>
      <c r="J761" s="3" t="s">
        <v>63</v>
      </c>
      <c r="K761" s="2" t="str">
        <f aca="false">CONCATENATE(I761," ",J761)</f>
        <v>Microneta viaria</v>
      </c>
      <c r="L761" s="3" t="n">
        <f aca="false">SUM(P761:U761)</f>
        <v>1</v>
      </c>
      <c r="M761" s="11" t="n">
        <f aca="false">(L761/(F761*G761)*25)*4</f>
        <v>4</v>
      </c>
      <c r="N761" s="1" t="s">
        <v>30</v>
      </c>
      <c r="O761" s="1" t="s">
        <v>31</v>
      </c>
      <c r="P761" s="1" t="n">
        <v>1</v>
      </c>
      <c r="Q761" s="1" t="n">
        <v>0</v>
      </c>
      <c r="R761" s="1" t="n">
        <v>0</v>
      </c>
      <c r="S761" s="1" t="n">
        <v>0</v>
      </c>
      <c r="T761" s="1" t="n">
        <v>0</v>
      </c>
      <c r="U761" s="1" t="n">
        <v>0</v>
      </c>
      <c r="V761" s="3" t="n">
        <f aca="false">SUM(P761:Q761)</f>
        <v>1</v>
      </c>
      <c r="W761" s="3" t="n">
        <f aca="false">SUM(R761:T761)</f>
        <v>0</v>
      </c>
      <c r="X761" s="10" t="n">
        <v>39970</v>
      </c>
      <c r="Y761" s="10" t="n">
        <v>39975</v>
      </c>
    </row>
    <row r="762" customFormat="false" ht="14.25" hidden="false" customHeight="false" outlineLevel="0" collapsed="false">
      <c r="A762" s="1" t="n">
        <v>2009</v>
      </c>
      <c r="B762" s="1" t="n">
        <v>1</v>
      </c>
      <c r="C762" s="2" t="s">
        <v>50</v>
      </c>
      <c r="D762" s="7" t="s">
        <v>158</v>
      </c>
      <c r="E762" s="1" t="n">
        <v>3</v>
      </c>
      <c r="F762" s="1" t="n">
        <f aca="false">Y762-X762</f>
        <v>5</v>
      </c>
      <c r="G762" s="1" t="n">
        <v>5</v>
      </c>
      <c r="H762" s="3" t="s">
        <v>32</v>
      </c>
      <c r="I762" s="13" t="s">
        <v>207</v>
      </c>
      <c r="J762" s="3" t="s">
        <v>208</v>
      </c>
      <c r="K762" s="2" t="str">
        <f aca="false">CONCATENATE(I762," ",J762)</f>
        <v>Oedothorax retusus</v>
      </c>
      <c r="L762" s="3" t="n">
        <f aca="false">SUM(P762:U762)</f>
        <v>1</v>
      </c>
      <c r="M762" s="11" t="n">
        <f aca="false">(L762/(F762*G762)*25)*4</f>
        <v>4</v>
      </c>
      <c r="N762" s="1" t="s">
        <v>30</v>
      </c>
      <c r="O762" s="1" t="s">
        <v>35</v>
      </c>
      <c r="P762" s="1" t="n">
        <v>0</v>
      </c>
      <c r="Q762" s="1" t="n">
        <v>1</v>
      </c>
      <c r="R762" s="1" t="n">
        <v>0</v>
      </c>
      <c r="S762" s="1" t="n">
        <v>0</v>
      </c>
      <c r="T762" s="1" t="n">
        <v>0</v>
      </c>
      <c r="U762" s="1" t="n">
        <v>0</v>
      </c>
      <c r="V762" s="3" t="n">
        <f aca="false">SUM(P762:Q762)</f>
        <v>1</v>
      </c>
      <c r="W762" s="3" t="n">
        <f aca="false">SUM(R762:T762)</f>
        <v>0</v>
      </c>
      <c r="X762" s="10" t="n">
        <v>39970</v>
      </c>
      <c r="Y762" s="10" t="n">
        <v>39975</v>
      </c>
    </row>
    <row r="763" customFormat="false" ht="14.25" hidden="false" customHeight="false" outlineLevel="0" collapsed="false">
      <c r="A763" s="1" t="n">
        <v>2009</v>
      </c>
      <c r="B763" s="1" t="n">
        <v>1</v>
      </c>
      <c r="C763" s="2" t="s">
        <v>50</v>
      </c>
      <c r="D763" s="7" t="s">
        <v>158</v>
      </c>
      <c r="E763" s="1" t="n">
        <v>3</v>
      </c>
      <c r="F763" s="1" t="n">
        <f aca="false">Y763-X763</f>
        <v>5</v>
      </c>
      <c r="G763" s="1" t="n">
        <v>5</v>
      </c>
      <c r="H763" s="3" t="s">
        <v>32</v>
      </c>
      <c r="I763" s="3" t="s">
        <v>102</v>
      </c>
      <c r="J763" s="3" t="s">
        <v>103</v>
      </c>
      <c r="K763" s="2" t="str">
        <f aca="false">CONCATENATE(I763," ",J763)</f>
        <v>Agyneta olivacea</v>
      </c>
      <c r="L763" s="3" t="n">
        <f aca="false">SUM(P763:U763)</f>
        <v>1</v>
      </c>
      <c r="M763" s="11" t="n">
        <f aca="false">(L763/(F763*G763)*25)*4</f>
        <v>4</v>
      </c>
      <c r="N763" s="1" t="s">
        <v>30</v>
      </c>
      <c r="O763" s="1" t="s">
        <v>31</v>
      </c>
      <c r="P763" s="1" t="n">
        <v>1</v>
      </c>
      <c r="Q763" s="1" t="n">
        <v>0</v>
      </c>
      <c r="R763" s="1" t="n">
        <v>0</v>
      </c>
      <c r="S763" s="1" t="n">
        <v>0</v>
      </c>
      <c r="T763" s="1" t="n">
        <v>0</v>
      </c>
      <c r="U763" s="1" t="n">
        <v>0</v>
      </c>
      <c r="V763" s="3" t="n">
        <f aca="false">SUM(P763:Q763)</f>
        <v>1</v>
      </c>
      <c r="W763" s="3" t="n">
        <f aca="false">SUM(R763:T763)</f>
        <v>0</v>
      </c>
      <c r="X763" s="10" t="n">
        <v>39970</v>
      </c>
      <c r="Y763" s="10" t="n">
        <v>39975</v>
      </c>
    </row>
    <row r="764" customFormat="false" ht="14.25" hidden="false" customHeight="false" outlineLevel="0" collapsed="false">
      <c r="A764" s="1" t="n">
        <v>2009</v>
      </c>
      <c r="B764" s="1" t="n">
        <v>1</v>
      </c>
      <c r="C764" s="2" t="s">
        <v>50</v>
      </c>
      <c r="D764" s="7" t="s">
        <v>51</v>
      </c>
      <c r="E764" s="1" t="n">
        <v>1</v>
      </c>
      <c r="F764" s="1" t="n">
        <f aca="false">Y764-X764</f>
        <v>5</v>
      </c>
      <c r="G764" s="1" t="n">
        <v>5</v>
      </c>
      <c r="H764" s="3" t="s">
        <v>48</v>
      </c>
      <c r="I764" s="3" t="s">
        <v>49</v>
      </c>
      <c r="J764" s="3" t="s">
        <v>104</v>
      </c>
      <c r="K764" s="2" t="str">
        <f aca="false">CONCATENATE(I764," ",J764)</f>
        <v>Alopecosa taeniata</v>
      </c>
      <c r="L764" s="3" t="n">
        <f aca="false">SUM(P764:U764)</f>
        <v>5</v>
      </c>
      <c r="M764" s="11" t="n">
        <f aca="false">(L764/(F764*G764)*25)*4</f>
        <v>20</v>
      </c>
      <c r="N764" s="1" t="s">
        <v>30</v>
      </c>
      <c r="O764" s="1" t="s">
        <v>31</v>
      </c>
      <c r="P764" s="1" t="n">
        <v>5</v>
      </c>
      <c r="Q764" s="1" t="n">
        <v>0</v>
      </c>
      <c r="R764" s="1" t="n">
        <v>0</v>
      </c>
      <c r="S764" s="1" t="n">
        <v>0</v>
      </c>
      <c r="T764" s="1" t="n">
        <v>0</v>
      </c>
      <c r="U764" s="1" t="n">
        <v>0</v>
      </c>
      <c r="V764" s="3" t="n">
        <f aca="false">SUM(P764:Q764)</f>
        <v>5</v>
      </c>
      <c r="W764" s="3" t="n">
        <f aca="false">SUM(R764:T764)</f>
        <v>0</v>
      </c>
      <c r="X764" s="10" t="n">
        <v>39969</v>
      </c>
      <c r="Y764" s="10" t="n">
        <v>39974</v>
      </c>
    </row>
    <row r="765" customFormat="false" ht="14.25" hidden="false" customHeight="false" outlineLevel="0" collapsed="false">
      <c r="A765" s="1" t="n">
        <v>2009</v>
      </c>
      <c r="B765" s="1" t="n">
        <v>1</v>
      </c>
      <c r="C765" s="2" t="s">
        <v>50</v>
      </c>
      <c r="D765" s="7" t="s">
        <v>51</v>
      </c>
      <c r="E765" s="1" t="n">
        <v>1</v>
      </c>
      <c r="F765" s="1" t="n">
        <f aca="false">Y765-X765</f>
        <v>5</v>
      </c>
      <c r="G765" s="1" t="n">
        <v>5</v>
      </c>
      <c r="H765" s="3" t="s">
        <v>48</v>
      </c>
      <c r="I765" s="3" t="s">
        <v>67</v>
      </c>
      <c r="J765" s="3" t="s">
        <v>127</v>
      </c>
      <c r="K765" s="2" t="str">
        <f aca="false">CONCATENATE(I765," ",J765)</f>
        <v>Pardosa lugubris</v>
      </c>
      <c r="L765" s="3" t="n">
        <f aca="false">SUM(P765:U765)</f>
        <v>3</v>
      </c>
      <c r="M765" s="11" t="n">
        <f aca="false">(L765/(F765*G765)*25)*4</f>
        <v>12</v>
      </c>
      <c r="N765" s="1" t="s">
        <v>30</v>
      </c>
      <c r="O765" s="1" t="s">
        <v>31</v>
      </c>
      <c r="P765" s="1" t="n">
        <v>3</v>
      </c>
      <c r="Q765" s="1" t="n">
        <v>0</v>
      </c>
      <c r="R765" s="1" t="n">
        <v>0</v>
      </c>
      <c r="S765" s="1" t="n">
        <v>0</v>
      </c>
      <c r="T765" s="1" t="n">
        <v>0</v>
      </c>
      <c r="U765" s="1" t="n">
        <v>0</v>
      </c>
      <c r="V765" s="3" t="n">
        <f aca="false">SUM(P765:Q765)</f>
        <v>3</v>
      </c>
      <c r="W765" s="3" t="n">
        <f aca="false">SUM(R765:T765)</f>
        <v>0</v>
      </c>
      <c r="X765" s="10" t="n">
        <v>39969</v>
      </c>
      <c r="Y765" s="10" t="n">
        <v>39974</v>
      </c>
    </row>
    <row r="766" customFormat="false" ht="14.25" hidden="false" customHeight="false" outlineLevel="0" collapsed="false">
      <c r="A766" s="1" t="n">
        <v>2009</v>
      </c>
      <c r="B766" s="1" t="n">
        <v>1</v>
      </c>
      <c r="C766" s="2" t="s">
        <v>50</v>
      </c>
      <c r="D766" s="7" t="s">
        <v>51</v>
      </c>
      <c r="E766" s="1" t="n">
        <v>1</v>
      </c>
      <c r="F766" s="1" t="n">
        <f aca="false">Y766-X766</f>
        <v>5</v>
      </c>
      <c r="G766" s="1" t="n">
        <v>5</v>
      </c>
      <c r="H766" s="3" t="s">
        <v>48</v>
      </c>
      <c r="I766" s="3" t="s">
        <v>67</v>
      </c>
      <c r="J766" s="3" t="s">
        <v>127</v>
      </c>
      <c r="K766" s="2" t="str">
        <f aca="false">CONCATENATE(I766," ",J766)</f>
        <v>Pardosa lugubris</v>
      </c>
      <c r="L766" s="3" t="n">
        <f aca="false">SUM(P766:U766)</f>
        <v>2</v>
      </c>
      <c r="M766" s="11" t="n">
        <f aca="false">(L766/(F766*G766)*25)*4</f>
        <v>8</v>
      </c>
      <c r="N766" s="1" t="s">
        <v>30</v>
      </c>
      <c r="O766" s="1" t="s">
        <v>35</v>
      </c>
      <c r="P766" s="1" t="n">
        <v>0</v>
      </c>
      <c r="Q766" s="1" t="n">
        <v>2</v>
      </c>
      <c r="R766" s="1" t="n">
        <v>0</v>
      </c>
      <c r="S766" s="1" t="n">
        <v>0</v>
      </c>
      <c r="T766" s="1" t="n">
        <v>0</v>
      </c>
      <c r="U766" s="1" t="n">
        <v>0</v>
      </c>
      <c r="V766" s="3" t="n">
        <f aca="false">SUM(P766:Q766)</f>
        <v>2</v>
      </c>
      <c r="W766" s="3" t="n">
        <f aca="false">SUM(R766:T766)</f>
        <v>0</v>
      </c>
      <c r="X766" s="10" t="n">
        <v>39969</v>
      </c>
      <c r="Y766" s="10" t="n">
        <v>39974</v>
      </c>
    </row>
    <row r="767" customFormat="false" ht="14.25" hidden="false" customHeight="false" outlineLevel="0" collapsed="false">
      <c r="A767" s="1" t="n">
        <v>2009</v>
      </c>
      <c r="B767" s="1" t="n">
        <v>1</v>
      </c>
      <c r="C767" s="2" t="s">
        <v>50</v>
      </c>
      <c r="D767" s="7" t="s">
        <v>51</v>
      </c>
      <c r="E767" s="1" t="n">
        <v>1</v>
      </c>
      <c r="F767" s="1" t="n">
        <f aca="false">Y767-X767</f>
        <v>5</v>
      </c>
      <c r="G767" s="1" t="n">
        <v>5</v>
      </c>
      <c r="H767" s="3" t="s">
        <v>48</v>
      </c>
      <c r="I767" s="3" t="s">
        <v>57</v>
      </c>
      <c r="J767" s="3" t="s">
        <v>38</v>
      </c>
      <c r="K767" s="2" t="str">
        <f aca="false">CONCATENATE(I767," ",J767)</f>
        <v>Gen sp</v>
      </c>
      <c r="L767" s="3" t="n">
        <f aca="false">SUM(P767:U767)</f>
        <v>3</v>
      </c>
      <c r="M767" s="11" t="n">
        <f aca="false">(L767/(F767*G767)*25)*4</f>
        <v>12</v>
      </c>
      <c r="N767" s="1" t="s">
        <v>19</v>
      </c>
      <c r="O767" s="1" t="s">
        <v>54</v>
      </c>
      <c r="P767" s="1" t="n">
        <v>0</v>
      </c>
      <c r="Q767" s="1" t="n">
        <v>0</v>
      </c>
      <c r="R767" s="1" t="n">
        <v>0</v>
      </c>
      <c r="S767" s="1" t="n">
        <v>0</v>
      </c>
      <c r="T767" s="1" t="n">
        <v>3</v>
      </c>
      <c r="U767" s="1" t="n">
        <v>0</v>
      </c>
      <c r="V767" s="3" t="n">
        <f aca="false">SUM(P767:Q767)</f>
        <v>0</v>
      </c>
      <c r="W767" s="3" t="n">
        <f aca="false">SUM(R767:T767)</f>
        <v>3</v>
      </c>
      <c r="X767" s="10" t="n">
        <v>39969</v>
      </c>
      <c r="Y767" s="10" t="n">
        <v>39974</v>
      </c>
    </row>
    <row r="768" customFormat="false" ht="14.25" hidden="false" customHeight="false" outlineLevel="0" collapsed="false">
      <c r="A768" s="1" t="n">
        <v>2009</v>
      </c>
      <c r="B768" s="1" t="n">
        <v>1</v>
      </c>
      <c r="C768" s="2" t="s">
        <v>50</v>
      </c>
      <c r="D768" s="7" t="s">
        <v>51</v>
      </c>
      <c r="E768" s="1" t="n">
        <v>1</v>
      </c>
      <c r="F768" s="1" t="n">
        <f aca="false">Y768-X768</f>
        <v>5</v>
      </c>
      <c r="G768" s="1" t="n">
        <v>5</v>
      </c>
      <c r="H768" s="3" t="s">
        <v>72</v>
      </c>
      <c r="I768" s="3" t="s">
        <v>73</v>
      </c>
      <c r="J768" s="3" t="s">
        <v>74</v>
      </c>
      <c r="K768" s="2" t="str">
        <f aca="false">CONCATENATE(I768," ",J768)</f>
        <v>Zelotes subterraneus</v>
      </c>
      <c r="L768" s="3" t="n">
        <f aca="false">SUM(P768:U768)</f>
        <v>2</v>
      </c>
      <c r="M768" s="11" t="n">
        <f aca="false">(L768/(F768*G768)*25)*4</f>
        <v>8</v>
      </c>
      <c r="N768" s="1" t="s">
        <v>30</v>
      </c>
      <c r="O768" s="1" t="s">
        <v>35</v>
      </c>
      <c r="P768" s="1" t="n">
        <v>0</v>
      </c>
      <c r="Q768" s="1" t="n">
        <v>2</v>
      </c>
      <c r="R768" s="1" t="n">
        <v>0</v>
      </c>
      <c r="S768" s="1" t="n">
        <v>0</v>
      </c>
      <c r="T768" s="1" t="n">
        <v>0</v>
      </c>
      <c r="U768" s="1" t="n">
        <v>0</v>
      </c>
      <c r="V768" s="3" t="n">
        <f aca="false">SUM(P768:Q768)</f>
        <v>2</v>
      </c>
      <c r="W768" s="3" t="n">
        <f aca="false">SUM(R768:T768)</f>
        <v>0</v>
      </c>
      <c r="X768" s="10" t="n">
        <v>39969</v>
      </c>
      <c r="Y768" s="10" t="n">
        <v>39974</v>
      </c>
    </row>
    <row r="769" customFormat="false" ht="14.25" hidden="false" customHeight="false" outlineLevel="0" collapsed="false">
      <c r="A769" s="1" t="n">
        <v>2009</v>
      </c>
      <c r="B769" s="1" t="n">
        <v>1</v>
      </c>
      <c r="C769" s="2" t="s">
        <v>50</v>
      </c>
      <c r="D769" s="7" t="s">
        <v>51</v>
      </c>
      <c r="E769" s="1" t="n">
        <v>1</v>
      </c>
      <c r="F769" s="1" t="n">
        <f aca="false">Y769-X769</f>
        <v>5</v>
      </c>
      <c r="G769" s="1" t="n">
        <v>5</v>
      </c>
      <c r="H769" s="3" t="s">
        <v>72</v>
      </c>
      <c r="I769" s="3" t="s">
        <v>86</v>
      </c>
      <c r="J769" s="8" t="s">
        <v>87</v>
      </c>
      <c r="K769" s="2" t="str">
        <f aca="false">CONCATENATE(I769," ",J769)</f>
        <v>Haplodrassus soerenseni</v>
      </c>
      <c r="L769" s="3" t="n">
        <f aca="false">SUM(P769:U769)</f>
        <v>1</v>
      </c>
      <c r="M769" s="11" t="n">
        <f aca="false">(L769/(F769*G769)*25)*4</f>
        <v>4</v>
      </c>
      <c r="N769" s="1" t="s">
        <v>30</v>
      </c>
      <c r="O769" s="1" t="s">
        <v>31</v>
      </c>
      <c r="P769" s="1" t="n">
        <v>1</v>
      </c>
      <c r="Q769" s="1" t="n">
        <v>0</v>
      </c>
      <c r="R769" s="1" t="n">
        <v>0</v>
      </c>
      <c r="S769" s="1" t="n">
        <v>0</v>
      </c>
      <c r="T769" s="1" t="n">
        <v>0</v>
      </c>
      <c r="U769" s="1" t="n">
        <v>0</v>
      </c>
      <c r="V769" s="3" t="n">
        <f aca="false">SUM(P769:Q769)</f>
        <v>1</v>
      </c>
      <c r="W769" s="3" t="n">
        <f aca="false">SUM(R769:T769)</f>
        <v>0</v>
      </c>
      <c r="X769" s="10" t="n">
        <v>39969</v>
      </c>
      <c r="Y769" s="10" t="n">
        <v>39974</v>
      </c>
    </row>
    <row r="770" customFormat="false" ht="14.25" hidden="false" customHeight="false" outlineLevel="0" collapsed="false">
      <c r="A770" s="1" t="n">
        <v>2009</v>
      </c>
      <c r="B770" s="1" t="n">
        <v>1</v>
      </c>
      <c r="C770" s="2" t="s">
        <v>50</v>
      </c>
      <c r="D770" s="7" t="s">
        <v>51</v>
      </c>
      <c r="E770" s="1" t="n">
        <v>1</v>
      </c>
      <c r="F770" s="1" t="n">
        <f aca="false">Y770-X770</f>
        <v>5</v>
      </c>
      <c r="G770" s="1" t="n">
        <v>5</v>
      </c>
      <c r="H770" s="3" t="s">
        <v>64</v>
      </c>
      <c r="I770" s="3" t="s">
        <v>65</v>
      </c>
      <c r="J770" s="3" t="s">
        <v>123</v>
      </c>
      <c r="K770" s="2" t="str">
        <f aca="false">CONCATENATE(I770," ",J770)</f>
        <v>Zora nemoralis</v>
      </c>
      <c r="L770" s="3" t="n">
        <f aca="false">SUM(P770:U770)</f>
        <v>1</v>
      </c>
      <c r="M770" s="11" t="n">
        <f aca="false">(L770/(F770*G770)*25)*4</f>
        <v>4</v>
      </c>
      <c r="N770" s="1" t="s">
        <v>30</v>
      </c>
      <c r="O770" s="1" t="s">
        <v>31</v>
      </c>
      <c r="P770" s="1" t="n">
        <v>1</v>
      </c>
      <c r="Q770" s="1" t="n">
        <v>0</v>
      </c>
      <c r="R770" s="1" t="n">
        <v>0</v>
      </c>
      <c r="S770" s="1" t="n">
        <v>0</v>
      </c>
      <c r="T770" s="1" t="n">
        <v>0</v>
      </c>
      <c r="U770" s="1" t="n">
        <v>0</v>
      </c>
      <c r="V770" s="3" t="n">
        <f aca="false">SUM(P770:Q770)</f>
        <v>1</v>
      </c>
      <c r="W770" s="3" t="n">
        <f aca="false">SUM(R770:T770)</f>
        <v>0</v>
      </c>
      <c r="X770" s="10" t="n">
        <v>39969</v>
      </c>
      <c r="Y770" s="10" t="n">
        <v>39974</v>
      </c>
    </row>
    <row r="771" customFormat="false" ht="14.25" hidden="false" customHeight="false" outlineLevel="0" collapsed="false">
      <c r="A771" s="1" t="n">
        <v>2009</v>
      </c>
      <c r="B771" s="1" t="n">
        <v>1</v>
      </c>
      <c r="C771" s="2" t="s">
        <v>50</v>
      </c>
      <c r="D771" s="7" t="s">
        <v>51</v>
      </c>
      <c r="E771" s="1" t="n">
        <v>1</v>
      </c>
      <c r="F771" s="1" t="n">
        <f aca="false">Y771-X771</f>
        <v>5</v>
      </c>
      <c r="G771" s="1" t="n">
        <v>5</v>
      </c>
      <c r="H771" s="3" t="s">
        <v>135</v>
      </c>
      <c r="I771" s="3" t="s">
        <v>136</v>
      </c>
      <c r="J771" s="3" t="s">
        <v>137</v>
      </c>
      <c r="K771" s="2" t="str">
        <f aca="false">CONCATENATE(I771," ",J771)</f>
        <v>Thanatus sabulosus</v>
      </c>
      <c r="L771" s="3" t="n">
        <f aca="false">SUM(P771:U771)</f>
        <v>1</v>
      </c>
      <c r="M771" s="11" t="n">
        <f aca="false">(L771/(F771*G771)*25)*4</f>
        <v>4</v>
      </c>
      <c r="N771" s="1" t="s">
        <v>30</v>
      </c>
      <c r="O771" s="1" t="s">
        <v>31</v>
      </c>
      <c r="P771" s="1" t="n">
        <v>1</v>
      </c>
      <c r="Q771" s="1" t="n">
        <v>0</v>
      </c>
      <c r="R771" s="1" t="n">
        <v>0</v>
      </c>
      <c r="S771" s="1" t="n">
        <v>0</v>
      </c>
      <c r="T771" s="1" t="n">
        <v>0</v>
      </c>
      <c r="U771" s="1" t="n">
        <v>0</v>
      </c>
      <c r="V771" s="3" t="n">
        <f aca="false">SUM(P771:Q771)</f>
        <v>1</v>
      </c>
      <c r="W771" s="3" t="n">
        <f aca="false">SUM(R771:T771)</f>
        <v>0</v>
      </c>
      <c r="X771" s="10" t="n">
        <v>39969</v>
      </c>
      <c r="Y771" s="10" t="n">
        <v>39974</v>
      </c>
    </row>
    <row r="772" customFormat="false" ht="14.25" hidden="false" customHeight="false" outlineLevel="0" collapsed="false">
      <c r="A772" s="1" t="n">
        <v>2009</v>
      </c>
      <c r="B772" s="1" t="n">
        <v>1</v>
      </c>
      <c r="C772" s="2" t="s">
        <v>50</v>
      </c>
      <c r="D772" s="7" t="s">
        <v>51</v>
      </c>
      <c r="E772" s="1" t="n">
        <v>1</v>
      </c>
      <c r="F772" s="1" t="n">
        <f aca="false">Y772-X772</f>
        <v>5</v>
      </c>
      <c r="G772" s="1" t="n">
        <v>5</v>
      </c>
      <c r="H772" s="3" t="s">
        <v>36</v>
      </c>
      <c r="I772" s="3" t="s">
        <v>131</v>
      </c>
      <c r="J772" s="3" t="s">
        <v>133</v>
      </c>
      <c r="K772" s="2" t="str">
        <f aca="false">CONCATENATE(I772," ",J772)</f>
        <v>Xysticus luctuosus</v>
      </c>
      <c r="L772" s="3" t="n">
        <f aca="false">SUM(P772:U772)</f>
        <v>2</v>
      </c>
      <c r="M772" s="11" t="n">
        <f aca="false">(L772/(F772*G772)*25)*4</f>
        <v>8</v>
      </c>
      <c r="N772" s="1" t="s">
        <v>30</v>
      </c>
      <c r="O772" s="1" t="s">
        <v>31</v>
      </c>
      <c r="P772" s="1" t="n">
        <v>2</v>
      </c>
      <c r="Q772" s="1" t="n">
        <v>0</v>
      </c>
      <c r="R772" s="1" t="n">
        <v>0</v>
      </c>
      <c r="S772" s="1" t="n">
        <v>0</v>
      </c>
      <c r="T772" s="1" t="n">
        <v>0</v>
      </c>
      <c r="U772" s="1" t="n">
        <v>0</v>
      </c>
      <c r="V772" s="3" t="n">
        <f aca="false">SUM(P772:Q772)</f>
        <v>2</v>
      </c>
      <c r="W772" s="3" t="n">
        <f aca="false">SUM(R772:T772)</f>
        <v>0</v>
      </c>
      <c r="X772" s="10" t="n">
        <v>39969</v>
      </c>
      <c r="Y772" s="10" t="n">
        <v>39974</v>
      </c>
    </row>
    <row r="773" customFormat="false" ht="14.25" hidden="false" customHeight="false" outlineLevel="0" collapsed="false">
      <c r="A773" s="1" t="n">
        <v>2009</v>
      </c>
      <c r="B773" s="1" t="n">
        <v>1</v>
      </c>
      <c r="C773" s="2" t="s">
        <v>50</v>
      </c>
      <c r="D773" s="7" t="s">
        <v>51</v>
      </c>
      <c r="E773" s="1" t="n">
        <v>1</v>
      </c>
      <c r="F773" s="1" t="n">
        <f aca="false">Y773-X773</f>
        <v>5</v>
      </c>
      <c r="G773" s="1" t="n">
        <v>5</v>
      </c>
      <c r="H773" s="3" t="s">
        <v>32</v>
      </c>
      <c r="I773" s="3" t="s">
        <v>57</v>
      </c>
      <c r="J773" s="3" t="s">
        <v>38</v>
      </c>
      <c r="K773" s="2" t="str">
        <f aca="false">CONCATENATE(I773," ",J773)</f>
        <v>Gen sp</v>
      </c>
      <c r="L773" s="3" t="n">
        <f aca="false">SUM(P773:U773)</f>
        <v>1</v>
      </c>
      <c r="M773" s="11" t="n">
        <f aca="false">(L773/(F773*G773)*25)*4</f>
        <v>4</v>
      </c>
      <c r="N773" s="1" t="s">
        <v>19</v>
      </c>
      <c r="O773" s="1" t="s">
        <v>54</v>
      </c>
      <c r="P773" s="1" t="n">
        <v>0</v>
      </c>
      <c r="Q773" s="1" t="n">
        <v>0</v>
      </c>
      <c r="R773" s="1" t="n">
        <v>0</v>
      </c>
      <c r="S773" s="1" t="n">
        <v>0</v>
      </c>
      <c r="T773" s="1" t="n">
        <v>1</v>
      </c>
      <c r="U773" s="1" t="n">
        <v>0</v>
      </c>
      <c r="V773" s="3" t="n">
        <f aca="false">SUM(P773:Q773)</f>
        <v>0</v>
      </c>
      <c r="W773" s="3" t="n">
        <f aca="false">SUM(R773:T773)</f>
        <v>1</v>
      </c>
      <c r="X773" s="10" t="n">
        <v>39969</v>
      </c>
      <c r="Y773" s="10" t="n">
        <v>39974</v>
      </c>
    </row>
    <row r="774" customFormat="false" ht="14.25" hidden="false" customHeight="false" outlineLevel="0" collapsed="false">
      <c r="A774" s="1" t="n">
        <v>2009</v>
      </c>
      <c r="B774" s="1" t="n">
        <v>1</v>
      </c>
      <c r="C774" s="2" t="s">
        <v>50</v>
      </c>
      <c r="D774" s="7" t="s">
        <v>51</v>
      </c>
      <c r="E774" s="1" t="n">
        <v>1</v>
      </c>
      <c r="F774" s="1" t="n">
        <f aca="false">Y774-X774</f>
        <v>5</v>
      </c>
      <c r="G774" s="1" t="n">
        <v>5</v>
      </c>
      <c r="H774" s="3" t="s">
        <v>32</v>
      </c>
      <c r="I774" s="3" t="s">
        <v>62</v>
      </c>
      <c r="J774" s="3" t="s">
        <v>63</v>
      </c>
      <c r="K774" s="2" t="str">
        <f aca="false">CONCATENATE(I774," ",J774)</f>
        <v>Microneta viaria</v>
      </c>
      <c r="L774" s="3" t="n">
        <f aca="false">SUM(P774:U774)</f>
        <v>1</v>
      </c>
      <c r="M774" s="11" t="n">
        <f aca="false">(L774/(F774*G774)*25)*4</f>
        <v>4</v>
      </c>
      <c r="N774" s="1" t="s">
        <v>30</v>
      </c>
      <c r="O774" s="1" t="s">
        <v>35</v>
      </c>
      <c r="P774" s="1" t="n">
        <v>0</v>
      </c>
      <c r="Q774" s="1" t="n">
        <v>1</v>
      </c>
      <c r="R774" s="1" t="n">
        <v>0</v>
      </c>
      <c r="S774" s="1" t="n">
        <v>0</v>
      </c>
      <c r="T774" s="1" t="n">
        <v>0</v>
      </c>
      <c r="U774" s="1" t="n">
        <v>0</v>
      </c>
      <c r="V774" s="3" t="n">
        <f aca="false">SUM(P774:Q774)</f>
        <v>1</v>
      </c>
      <c r="W774" s="3" t="n">
        <f aca="false">SUM(R774:T774)</f>
        <v>0</v>
      </c>
      <c r="X774" s="10" t="n">
        <v>39969</v>
      </c>
      <c r="Y774" s="10" t="n">
        <v>39974</v>
      </c>
    </row>
    <row r="775" customFormat="false" ht="14.25" hidden="false" customHeight="false" outlineLevel="0" collapsed="false">
      <c r="A775" s="1" t="n">
        <v>2009</v>
      </c>
      <c r="B775" s="1" t="n">
        <v>1</v>
      </c>
      <c r="C775" s="2" t="s">
        <v>50</v>
      </c>
      <c r="D775" s="7" t="s">
        <v>51</v>
      </c>
      <c r="E775" s="1" t="n">
        <v>1</v>
      </c>
      <c r="F775" s="1" t="n">
        <f aca="false">Y775-X775</f>
        <v>5</v>
      </c>
      <c r="G775" s="1" t="n">
        <v>5</v>
      </c>
      <c r="H775" s="13" t="s">
        <v>32</v>
      </c>
      <c r="I775" s="13" t="s">
        <v>96</v>
      </c>
      <c r="J775" s="14" t="s">
        <v>97</v>
      </c>
      <c r="K775" s="2" t="str">
        <f aca="false">CONCATENATE(I775," ",J775)</f>
        <v>Diplocephalus picinus</v>
      </c>
      <c r="L775" s="3" t="n">
        <f aca="false">SUM(P775:U775)</f>
        <v>1</v>
      </c>
      <c r="M775" s="11" t="n">
        <f aca="false">(L775/(F775*G775)*25)*4</f>
        <v>4</v>
      </c>
      <c r="N775" s="1" t="s">
        <v>30</v>
      </c>
      <c r="O775" s="1" t="s">
        <v>31</v>
      </c>
      <c r="P775" s="1" t="n">
        <v>1</v>
      </c>
      <c r="Q775" s="1" t="n">
        <v>0</v>
      </c>
      <c r="R775" s="1" t="n">
        <v>0</v>
      </c>
      <c r="S775" s="1" t="n">
        <v>0</v>
      </c>
      <c r="T775" s="1" t="n">
        <v>0</v>
      </c>
      <c r="U775" s="1" t="n">
        <v>0</v>
      </c>
      <c r="V775" s="3" t="n">
        <f aca="false">SUM(P775:Q775)</f>
        <v>1</v>
      </c>
      <c r="W775" s="3" t="n">
        <f aca="false">SUM(R775:T775)</f>
        <v>0</v>
      </c>
      <c r="X775" s="10" t="n">
        <v>39969</v>
      </c>
      <c r="Y775" s="10" t="n">
        <v>39974</v>
      </c>
    </row>
    <row r="776" customFormat="false" ht="14.25" hidden="false" customHeight="false" outlineLevel="0" collapsed="false">
      <c r="A776" s="1" t="n">
        <v>2009</v>
      </c>
      <c r="B776" s="1" t="n">
        <v>1</v>
      </c>
      <c r="C776" s="2" t="s">
        <v>50</v>
      </c>
      <c r="D776" s="7" t="s">
        <v>51</v>
      </c>
      <c r="E776" s="1" t="n">
        <v>1</v>
      </c>
      <c r="F776" s="1" t="n">
        <f aca="false">Y776-X776</f>
        <v>5</v>
      </c>
      <c r="G776" s="1" t="n">
        <v>5</v>
      </c>
      <c r="H776" s="13" t="s">
        <v>32</v>
      </c>
      <c r="I776" s="13" t="s">
        <v>96</v>
      </c>
      <c r="J776" s="14" t="s">
        <v>97</v>
      </c>
      <c r="K776" s="2" t="str">
        <f aca="false">CONCATENATE(I776," ",J776)</f>
        <v>Diplocephalus picinus</v>
      </c>
      <c r="L776" s="3" t="n">
        <f aca="false">SUM(P776:U776)</f>
        <v>1</v>
      </c>
      <c r="M776" s="11" t="n">
        <f aca="false">(L776/(F776*G776)*25)*4</f>
        <v>4</v>
      </c>
      <c r="N776" s="1" t="s">
        <v>30</v>
      </c>
      <c r="O776" s="1" t="s">
        <v>35</v>
      </c>
      <c r="P776" s="1" t="n">
        <v>0</v>
      </c>
      <c r="Q776" s="1" t="n">
        <v>1</v>
      </c>
      <c r="R776" s="1" t="n">
        <v>0</v>
      </c>
      <c r="S776" s="1" t="n">
        <v>0</v>
      </c>
      <c r="T776" s="1" t="n">
        <v>0</v>
      </c>
      <c r="U776" s="1" t="n">
        <v>0</v>
      </c>
      <c r="V776" s="3" t="n">
        <f aca="false">SUM(P776:Q776)</f>
        <v>1</v>
      </c>
      <c r="W776" s="3" t="n">
        <f aca="false">SUM(R776:T776)</f>
        <v>0</v>
      </c>
      <c r="X776" s="10" t="n">
        <v>39969</v>
      </c>
      <c r="Y776" s="10" t="n">
        <v>39974</v>
      </c>
    </row>
    <row r="777" customFormat="false" ht="14.25" hidden="false" customHeight="false" outlineLevel="0" collapsed="false">
      <c r="A777" s="1" t="n">
        <v>2009</v>
      </c>
      <c r="B777" s="1" t="n">
        <v>1</v>
      </c>
      <c r="C777" s="2" t="s">
        <v>50</v>
      </c>
      <c r="D777" s="7" t="s">
        <v>51</v>
      </c>
      <c r="E777" s="1" t="n">
        <v>1</v>
      </c>
      <c r="F777" s="1" t="n">
        <f aca="false">Y777-X777</f>
        <v>5</v>
      </c>
      <c r="G777" s="1" t="n">
        <v>5</v>
      </c>
      <c r="H777" s="13" t="s">
        <v>32</v>
      </c>
      <c r="I777" s="13" t="s">
        <v>165</v>
      </c>
      <c r="J777" s="14" t="s">
        <v>166</v>
      </c>
      <c r="K777" s="2" t="str">
        <f aca="false">CONCATENATE(I777," ",J777)</f>
        <v>Minyriolus pusillus</v>
      </c>
      <c r="L777" s="3" t="n">
        <f aca="false">SUM(P777:U777)</f>
        <v>1</v>
      </c>
      <c r="M777" s="11" t="n">
        <f aca="false">(L777/(F777*G777)*25)*4</f>
        <v>4</v>
      </c>
      <c r="N777" s="1" t="s">
        <v>30</v>
      </c>
      <c r="O777" s="1" t="s">
        <v>31</v>
      </c>
      <c r="P777" s="1" t="n">
        <v>1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0</v>
      </c>
      <c r="V777" s="3" t="n">
        <f aca="false">SUM(P777:Q777)</f>
        <v>1</v>
      </c>
      <c r="W777" s="3" t="n">
        <f aca="false">SUM(R777:T777)</f>
        <v>0</v>
      </c>
      <c r="X777" s="10" t="n">
        <v>39969</v>
      </c>
      <c r="Y777" s="10" t="n">
        <v>39974</v>
      </c>
    </row>
    <row r="778" customFormat="false" ht="14.25" hidden="false" customHeight="false" outlineLevel="0" collapsed="false">
      <c r="A778" s="1" t="n">
        <v>2009</v>
      </c>
      <c r="B778" s="1" t="n">
        <v>1</v>
      </c>
      <c r="C778" s="2" t="s">
        <v>50</v>
      </c>
      <c r="D778" s="7" t="s">
        <v>51</v>
      </c>
      <c r="E778" s="1" t="n">
        <v>1</v>
      </c>
      <c r="F778" s="1" t="n">
        <f aca="false">Y778-X778</f>
        <v>5</v>
      </c>
      <c r="G778" s="1" t="n">
        <v>5</v>
      </c>
      <c r="H778" s="3" t="s">
        <v>32</v>
      </c>
      <c r="I778" s="3" t="s">
        <v>84</v>
      </c>
      <c r="J778" s="3" t="s">
        <v>85</v>
      </c>
      <c r="K778" s="2" t="str">
        <f aca="false">CONCATENATE(I778," ",J778)</f>
        <v>Walckenaeria antica</v>
      </c>
      <c r="L778" s="3" t="n">
        <f aca="false">SUM(P778:U778)</f>
        <v>1</v>
      </c>
      <c r="M778" s="11" t="n">
        <f aca="false">(L778/(F778*G778)*25)*4</f>
        <v>4</v>
      </c>
      <c r="N778" s="1" t="s">
        <v>30</v>
      </c>
      <c r="O778" s="1" t="s">
        <v>35</v>
      </c>
      <c r="P778" s="1" t="n">
        <v>0</v>
      </c>
      <c r="Q778" s="1" t="n">
        <v>1</v>
      </c>
      <c r="R778" s="1" t="n">
        <v>0</v>
      </c>
      <c r="S778" s="1" t="n">
        <v>0</v>
      </c>
      <c r="T778" s="1" t="n">
        <v>0</v>
      </c>
      <c r="U778" s="1" t="n">
        <v>0</v>
      </c>
      <c r="V778" s="3" t="n">
        <f aca="false">SUM(P778:Q778)</f>
        <v>1</v>
      </c>
      <c r="W778" s="3" t="n">
        <f aca="false">SUM(R778:T778)</f>
        <v>0</v>
      </c>
      <c r="X778" s="10" t="n">
        <v>39969</v>
      </c>
      <c r="Y778" s="10" t="n">
        <v>39974</v>
      </c>
    </row>
    <row r="779" customFormat="false" ht="14.25" hidden="false" customHeight="false" outlineLevel="0" collapsed="false">
      <c r="A779" s="1" t="n">
        <v>2009</v>
      </c>
      <c r="B779" s="1" t="n">
        <v>1</v>
      </c>
      <c r="C779" s="2" t="s">
        <v>50</v>
      </c>
      <c r="D779" s="7" t="s">
        <v>51</v>
      </c>
      <c r="E779" s="1" t="n">
        <v>1</v>
      </c>
      <c r="F779" s="1" t="n">
        <f aca="false">Y779-X779</f>
        <v>5</v>
      </c>
      <c r="G779" s="1" t="n">
        <v>5</v>
      </c>
      <c r="H779" s="3" t="s">
        <v>48</v>
      </c>
      <c r="I779" s="3" t="s">
        <v>49</v>
      </c>
      <c r="J779" s="3" t="s">
        <v>104</v>
      </c>
      <c r="K779" s="2" t="str">
        <f aca="false">CONCATENATE(I779," ",J779)</f>
        <v>Alopecosa taeniata</v>
      </c>
      <c r="L779" s="3" t="n">
        <f aca="false">SUM(P779:U779)</f>
        <v>4</v>
      </c>
      <c r="M779" s="11" t="n">
        <f aca="false">(L779/(F779*G779)*25)*4</f>
        <v>16</v>
      </c>
      <c r="N779" s="1" t="s">
        <v>30</v>
      </c>
      <c r="O779" s="1" t="s">
        <v>31</v>
      </c>
      <c r="P779" s="1" t="n">
        <v>4</v>
      </c>
      <c r="Q779" s="1" t="n">
        <v>0</v>
      </c>
      <c r="R779" s="1" t="n">
        <v>0</v>
      </c>
      <c r="S779" s="1" t="n">
        <v>0</v>
      </c>
      <c r="T779" s="1" t="n">
        <v>0</v>
      </c>
      <c r="U779" s="1" t="n">
        <v>0</v>
      </c>
      <c r="V779" s="3" t="n">
        <f aca="false">SUM(P779:Q779)</f>
        <v>4</v>
      </c>
      <c r="W779" s="3" t="n">
        <f aca="false">SUM(R779:T779)</f>
        <v>0</v>
      </c>
      <c r="X779" s="10" t="n">
        <v>39969</v>
      </c>
      <c r="Y779" s="10" t="n">
        <v>39974</v>
      </c>
    </row>
    <row r="780" customFormat="false" ht="14.25" hidden="false" customHeight="false" outlineLevel="0" collapsed="false">
      <c r="A780" s="1" t="n">
        <v>2009</v>
      </c>
      <c r="B780" s="1" t="n">
        <v>1</v>
      </c>
      <c r="C780" s="2" t="s">
        <v>50</v>
      </c>
      <c r="D780" s="7" t="s">
        <v>51</v>
      </c>
      <c r="E780" s="1" t="n">
        <v>1</v>
      </c>
      <c r="F780" s="1" t="n">
        <f aca="false">Y780-X780</f>
        <v>5</v>
      </c>
      <c r="G780" s="1" t="n">
        <v>5</v>
      </c>
      <c r="H780" s="3" t="s">
        <v>48</v>
      </c>
      <c r="I780" s="3" t="s">
        <v>67</v>
      </c>
      <c r="J780" s="3" t="s">
        <v>127</v>
      </c>
      <c r="K780" s="2" t="str">
        <f aca="false">CONCATENATE(I780," ",J780)</f>
        <v>Pardosa lugubris</v>
      </c>
      <c r="L780" s="3" t="n">
        <f aca="false">SUM(P780:U780)</f>
        <v>1</v>
      </c>
      <c r="M780" s="11" t="n">
        <f aca="false">(L780/(F780*G780)*25)*4</f>
        <v>4</v>
      </c>
      <c r="N780" s="1" t="s">
        <v>30</v>
      </c>
      <c r="O780" s="1" t="s">
        <v>31</v>
      </c>
      <c r="P780" s="1" t="n">
        <v>1</v>
      </c>
      <c r="Q780" s="1" t="n">
        <v>0</v>
      </c>
      <c r="R780" s="1" t="n">
        <v>0</v>
      </c>
      <c r="S780" s="1" t="n">
        <v>0</v>
      </c>
      <c r="T780" s="1" t="n">
        <v>0</v>
      </c>
      <c r="U780" s="1" t="n">
        <v>0</v>
      </c>
      <c r="V780" s="3" t="n">
        <f aca="false">SUM(P780:Q780)</f>
        <v>1</v>
      </c>
      <c r="W780" s="3" t="n">
        <f aca="false">SUM(R780:T780)</f>
        <v>0</v>
      </c>
      <c r="X780" s="10" t="n">
        <v>39969</v>
      </c>
      <c r="Y780" s="10" t="n">
        <v>39974</v>
      </c>
    </row>
    <row r="781" customFormat="false" ht="14.25" hidden="false" customHeight="false" outlineLevel="0" collapsed="false">
      <c r="A781" s="1" t="n">
        <v>2009</v>
      </c>
      <c r="B781" s="1" t="n">
        <v>1</v>
      </c>
      <c r="C781" s="2" t="s">
        <v>50</v>
      </c>
      <c r="D781" s="7" t="s">
        <v>51</v>
      </c>
      <c r="E781" s="1" t="n">
        <v>1</v>
      </c>
      <c r="F781" s="1" t="n">
        <f aca="false">Y781-X781</f>
        <v>5</v>
      </c>
      <c r="G781" s="1" t="n">
        <v>5</v>
      </c>
      <c r="H781" s="13" t="s">
        <v>195</v>
      </c>
      <c r="I781" s="13" t="s">
        <v>196</v>
      </c>
      <c r="J781" s="14" t="s">
        <v>197</v>
      </c>
      <c r="K781" s="2" t="str">
        <f aca="false">CONCATENATE(I781," ",J781)</f>
        <v>Pachygnatha listeri</v>
      </c>
      <c r="L781" s="3" t="n">
        <f aca="false">SUM(P781:U781)</f>
        <v>2</v>
      </c>
      <c r="M781" s="11" t="n">
        <f aca="false">(L781/(F781*G781)*25)*4</f>
        <v>8</v>
      </c>
      <c r="N781" s="1" t="s">
        <v>30</v>
      </c>
      <c r="O781" s="1" t="s">
        <v>35</v>
      </c>
      <c r="P781" s="1" t="n">
        <v>0</v>
      </c>
      <c r="Q781" s="1" t="n">
        <v>2</v>
      </c>
      <c r="R781" s="1" t="n">
        <v>0</v>
      </c>
      <c r="S781" s="1" t="n">
        <v>0</v>
      </c>
      <c r="T781" s="1" t="n">
        <v>0</v>
      </c>
      <c r="U781" s="1" t="n">
        <v>0</v>
      </c>
      <c r="V781" s="3" t="n">
        <f aca="false">SUM(P781:Q781)</f>
        <v>2</v>
      </c>
      <c r="W781" s="3" t="n">
        <f aca="false">SUM(R781:T781)</f>
        <v>0</v>
      </c>
      <c r="X781" s="10" t="n">
        <v>39969</v>
      </c>
      <c r="Y781" s="10" t="n">
        <v>39974</v>
      </c>
    </row>
    <row r="782" customFormat="false" ht="14.25" hidden="false" customHeight="false" outlineLevel="0" collapsed="false">
      <c r="A782" s="1" t="n">
        <v>2009</v>
      </c>
      <c r="B782" s="1" t="n">
        <v>1</v>
      </c>
      <c r="C782" s="2" t="s">
        <v>50</v>
      </c>
      <c r="D782" s="7" t="s">
        <v>51</v>
      </c>
      <c r="E782" s="1" t="n">
        <v>1</v>
      </c>
      <c r="F782" s="1" t="n">
        <f aca="false">Y782-X782</f>
        <v>5</v>
      </c>
      <c r="G782" s="1" t="n">
        <v>5</v>
      </c>
      <c r="H782" s="3" t="s">
        <v>72</v>
      </c>
      <c r="I782" s="3" t="s">
        <v>86</v>
      </c>
      <c r="J782" s="8" t="s">
        <v>87</v>
      </c>
      <c r="K782" s="2" t="str">
        <f aca="false">CONCATENATE(I782," ",J782)</f>
        <v>Haplodrassus soerenseni</v>
      </c>
      <c r="L782" s="3" t="n">
        <f aca="false">SUM(P782:U782)</f>
        <v>1</v>
      </c>
      <c r="M782" s="11" t="n">
        <f aca="false">(L782/(F782*G782)*25)*4</f>
        <v>4</v>
      </c>
      <c r="N782" s="1" t="s">
        <v>30</v>
      </c>
      <c r="O782" s="1" t="s">
        <v>35</v>
      </c>
      <c r="P782" s="1" t="n">
        <v>0</v>
      </c>
      <c r="Q782" s="1" t="n">
        <v>1</v>
      </c>
      <c r="R782" s="1" t="n">
        <v>0</v>
      </c>
      <c r="S782" s="1" t="n">
        <v>0</v>
      </c>
      <c r="T782" s="1" t="n">
        <v>0</v>
      </c>
      <c r="U782" s="1" t="n">
        <v>0</v>
      </c>
      <c r="V782" s="3" t="n">
        <f aca="false">SUM(P782:Q782)</f>
        <v>1</v>
      </c>
      <c r="W782" s="3" t="n">
        <f aca="false">SUM(R782:T782)</f>
        <v>0</v>
      </c>
      <c r="X782" s="10" t="n">
        <v>39969</v>
      </c>
      <c r="Y782" s="10" t="n">
        <v>39974</v>
      </c>
    </row>
    <row r="783" customFormat="false" ht="14.25" hidden="false" customHeight="false" outlineLevel="0" collapsed="false">
      <c r="A783" s="1" t="n">
        <v>2009</v>
      </c>
      <c r="B783" s="1" t="n">
        <v>1</v>
      </c>
      <c r="C783" s="2" t="s">
        <v>50</v>
      </c>
      <c r="D783" s="7" t="s">
        <v>51</v>
      </c>
      <c r="E783" s="1" t="n">
        <v>1</v>
      </c>
      <c r="F783" s="1" t="n">
        <f aca="false">Y783-X783</f>
        <v>5</v>
      </c>
      <c r="G783" s="1" t="n">
        <v>5</v>
      </c>
      <c r="H783" s="3" t="s">
        <v>72</v>
      </c>
      <c r="I783" s="3" t="s">
        <v>73</v>
      </c>
      <c r="J783" s="3" t="s">
        <v>38</v>
      </c>
      <c r="K783" s="2" t="str">
        <f aca="false">CONCATENATE(I783," ",J783)</f>
        <v>Zelotes sp</v>
      </c>
      <c r="L783" s="3" t="n">
        <f aca="false">SUM(P783:U783)</f>
        <v>1</v>
      </c>
      <c r="M783" s="11" t="n">
        <f aca="false">(L783/(F783*G783)*25)*4</f>
        <v>4</v>
      </c>
      <c r="N783" s="1" t="s">
        <v>19</v>
      </c>
      <c r="O783" s="1" t="s">
        <v>54</v>
      </c>
      <c r="P783" s="1" t="n">
        <v>0</v>
      </c>
      <c r="Q783" s="1" t="n">
        <v>0</v>
      </c>
      <c r="R783" s="1" t="n">
        <v>0</v>
      </c>
      <c r="S783" s="1" t="n">
        <v>0</v>
      </c>
      <c r="T783" s="1" t="n">
        <v>1</v>
      </c>
      <c r="U783" s="1" t="n">
        <v>0</v>
      </c>
      <c r="V783" s="3" t="n">
        <f aca="false">SUM(P783:Q783)</f>
        <v>0</v>
      </c>
      <c r="W783" s="3" t="n">
        <f aca="false">SUM(R783:T783)</f>
        <v>1</v>
      </c>
      <c r="X783" s="10" t="n">
        <v>39969</v>
      </c>
      <c r="Y783" s="10" t="n">
        <v>39974</v>
      </c>
    </row>
    <row r="784" customFormat="false" ht="14.25" hidden="false" customHeight="false" outlineLevel="0" collapsed="false">
      <c r="A784" s="1" t="n">
        <v>2009</v>
      </c>
      <c r="B784" s="1" t="n">
        <v>1</v>
      </c>
      <c r="C784" s="2" t="s">
        <v>50</v>
      </c>
      <c r="D784" s="7" t="s">
        <v>51</v>
      </c>
      <c r="E784" s="1" t="n">
        <v>1</v>
      </c>
      <c r="F784" s="1" t="n">
        <f aca="false">Y784-X784</f>
        <v>5</v>
      </c>
      <c r="G784" s="1" t="n">
        <v>5</v>
      </c>
      <c r="H784" s="13" t="s">
        <v>32</v>
      </c>
      <c r="I784" s="13" t="s">
        <v>96</v>
      </c>
      <c r="J784" s="14" t="s">
        <v>97</v>
      </c>
      <c r="K784" s="2" t="str">
        <f aca="false">CONCATENATE(I784," ",J784)</f>
        <v>Diplocephalus picinus</v>
      </c>
      <c r="L784" s="3" t="n">
        <f aca="false">SUM(P784:U784)</f>
        <v>1</v>
      </c>
      <c r="M784" s="11" t="n">
        <f aca="false">(L784/(F784*G784)*25)*4</f>
        <v>4</v>
      </c>
      <c r="N784" s="1" t="s">
        <v>30</v>
      </c>
      <c r="O784" s="1" t="s">
        <v>31</v>
      </c>
      <c r="P784" s="1" t="n">
        <v>1</v>
      </c>
      <c r="Q784" s="1" t="n">
        <v>0</v>
      </c>
      <c r="R784" s="1" t="n">
        <v>0</v>
      </c>
      <c r="S784" s="1" t="n">
        <v>0</v>
      </c>
      <c r="T784" s="1" t="n">
        <v>0</v>
      </c>
      <c r="U784" s="1" t="n">
        <v>0</v>
      </c>
      <c r="V784" s="3" t="n">
        <f aca="false">SUM(P784:Q784)</f>
        <v>1</v>
      </c>
      <c r="W784" s="3" t="n">
        <f aca="false">SUM(R784:T784)</f>
        <v>0</v>
      </c>
      <c r="X784" s="10" t="n">
        <v>39969</v>
      </c>
      <c r="Y784" s="10" t="n">
        <v>39974</v>
      </c>
    </row>
    <row r="785" customFormat="false" ht="14.25" hidden="false" customHeight="false" outlineLevel="0" collapsed="false">
      <c r="A785" s="1" t="n">
        <v>2009</v>
      </c>
      <c r="B785" s="1" t="n">
        <v>1</v>
      </c>
      <c r="C785" s="2" t="s">
        <v>50</v>
      </c>
      <c r="D785" s="7" t="s">
        <v>51</v>
      </c>
      <c r="E785" s="1" t="n">
        <v>1</v>
      </c>
      <c r="F785" s="1" t="n">
        <f aca="false">Y785-X785</f>
        <v>5</v>
      </c>
      <c r="G785" s="1" t="n">
        <v>5</v>
      </c>
      <c r="H785" s="3" t="s">
        <v>48</v>
      </c>
      <c r="I785" s="3" t="s">
        <v>49</v>
      </c>
      <c r="J785" s="3" t="s">
        <v>104</v>
      </c>
      <c r="K785" s="2" t="str">
        <f aca="false">CONCATENATE(I785," ",J785)</f>
        <v>Alopecosa taeniata</v>
      </c>
      <c r="L785" s="3" t="n">
        <f aca="false">SUM(P785:U785)</f>
        <v>3</v>
      </c>
      <c r="M785" s="11" t="n">
        <f aca="false">(L785/(F785*G785)*25)*4</f>
        <v>12</v>
      </c>
      <c r="N785" s="1" t="s">
        <v>30</v>
      </c>
      <c r="O785" s="1" t="s">
        <v>31</v>
      </c>
      <c r="P785" s="1" t="n">
        <v>3</v>
      </c>
      <c r="Q785" s="1" t="n">
        <v>0</v>
      </c>
      <c r="R785" s="1" t="n">
        <v>0</v>
      </c>
      <c r="S785" s="1" t="n">
        <v>0</v>
      </c>
      <c r="T785" s="1" t="n">
        <v>0</v>
      </c>
      <c r="U785" s="1" t="n">
        <v>0</v>
      </c>
      <c r="V785" s="3" t="n">
        <f aca="false">SUM(P785:Q785)</f>
        <v>3</v>
      </c>
      <c r="W785" s="3" t="n">
        <f aca="false">SUM(R785:T785)</f>
        <v>0</v>
      </c>
      <c r="X785" s="10" t="n">
        <v>39969</v>
      </c>
      <c r="Y785" s="10" t="n">
        <v>39974</v>
      </c>
    </row>
    <row r="786" customFormat="false" ht="14.25" hidden="false" customHeight="false" outlineLevel="0" collapsed="false">
      <c r="A786" s="1" t="n">
        <v>2009</v>
      </c>
      <c r="B786" s="1" t="n">
        <v>1</v>
      </c>
      <c r="C786" s="2" t="s">
        <v>50</v>
      </c>
      <c r="D786" s="7" t="s">
        <v>51</v>
      </c>
      <c r="E786" s="1" t="n">
        <v>1</v>
      </c>
      <c r="F786" s="1" t="n">
        <f aca="false">Y786-X786</f>
        <v>5</v>
      </c>
      <c r="G786" s="1" t="n">
        <v>5</v>
      </c>
      <c r="H786" s="3" t="s">
        <v>48</v>
      </c>
      <c r="I786" s="3" t="s">
        <v>67</v>
      </c>
      <c r="J786" s="3" t="s">
        <v>127</v>
      </c>
      <c r="K786" s="2" t="str">
        <f aca="false">CONCATENATE(I786," ",J786)</f>
        <v>Pardosa lugubris</v>
      </c>
      <c r="L786" s="3" t="n">
        <f aca="false">SUM(P786:U786)</f>
        <v>4</v>
      </c>
      <c r="M786" s="11" t="n">
        <f aca="false">(L786/(F786*G786)*25)*4</f>
        <v>16</v>
      </c>
      <c r="N786" s="1" t="s">
        <v>30</v>
      </c>
      <c r="O786" s="1" t="s">
        <v>31</v>
      </c>
      <c r="P786" s="1" t="n">
        <v>4</v>
      </c>
      <c r="Q786" s="1" t="n">
        <v>0</v>
      </c>
      <c r="R786" s="1" t="n">
        <v>0</v>
      </c>
      <c r="S786" s="1" t="n">
        <v>0</v>
      </c>
      <c r="T786" s="1" t="n">
        <v>0</v>
      </c>
      <c r="U786" s="1" t="n">
        <v>0</v>
      </c>
      <c r="V786" s="3" t="n">
        <f aca="false">SUM(P786:Q786)</f>
        <v>4</v>
      </c>
      <c r="W786" s="3" t="n">
        <f aca="false">SUM(R786:T786)</f>
        <v>0</v>
      </c>
      <c r="X786" s="10" t="n">
        <v>39969</v>
      </c>
      <c r="Y786" s="10" t="n">
        <v>39974</v>
      </c>
    </row>
    <row r="787" customFormat="false" ht="14.25" hidden="false" customHeight="false" outlineLevel="0" collapsed="false">
      <c r="A787" s="1" t="n">
        <v>2009</v>
      </c>
      <c r="B787" s="1" t="n">
        <v>1</v>
      </c>
      <c r="C787" s="2" t="s">
        <v>50</v>
      </c>
      <c r="D787" s="7" t="s">
        <v>51</v>
      </c>
      <c r="E787" s="1" t="n">
        <v>1</v>
      </c>
      <c r="F787" s="1" t="n">
        <f aca="false">Y787-X787</f>
        <v>5</v>
      </c>
      <c r="G787" s="1" t="n">
        <v>5</v>
      </c>
      <c r="H787" s="3" t="s">
        <v>72</v>
      </c>
      <c r="I787" s="3" t="s">
        <v>73</v>
      </c>
      <c r="J787" s="3" t="s">
        <v>74</v>
      </c>
      <c r="K787" s="2" t="str">
        <f aca="false">CONCATENATE(I787," ",J787)</f>
        <v>Zelotes subterraneus</v>
      </c>
      <c r="L787" s="3" t="n">
        <f aca="false">SUM(P787:U787)</f>
        <v>1</v>
      </c>
      <c r="M787" s="11" t="n">
        <f aca="false">(L787/(F787*G787)*25)*4</f>
        <v>4</v>
      </c>
      <c r="N787" s="1" t="s">
        <v>30</v>
      </c>
      <c r="O787" s="1" t="s">
        <v>31</v>
      </c>
      <c r="P787" s="1" t="n">
        <v>1</v>
      </c>
      <c r="Q787" s="1" t="n">
        <v>0</v>
      </c>
      <c r="R787" s="1" t="n">
        <v>0</v>
      </c>
      <c r="S787" s="1" t="n">
        <v>0</v>
      </c>
      <c r="T787" s="1" t="n">
        <v>0</v>
      </c>
      <c r="U787" s="1" t="n">
        <v>0</v>
      </c>
      <c r="V787" s="3" t="n">
        <f aca="false">SUM(P787:Q787)</f>
        <v>1</v>
      </c>
      <c r="W787" s="3" t="n">
        <f aca="false">SUM(R787:T787)</f>
        <v>0</v>
      </c>
      <c r="X787" s="10" t="n">
        <v>39969</v>
      </c>
      <c r="Y787" s="10" t="n">
        <v>39974</v>
      </c>
    </row>
    <row r="788" customFormat="false" ht="14.25" hidden="false" customHeight="false" outlineLevel="0" collapsed="false">
      <c r="A788" s="1" t="n">
        <v>2009</v>
      </c>
      <c r="B788" s="1" t="n">
        <v>1</v>
      </c>
      <c r="C788" s="2" t="s">
        <v>50</v>
      </c>
      <c r="D788" s="7" t="s">
        <v>51</v>
      </c>
      <c r="E788" s="1" t="n">
        <v>1</v>
      </c>
      <c r="F788" s="1" t="n">
        <f aca="false">Y788-X788</f>
        <v>5</v>
      </c>
      <c r="G788" s="1" t="n">
        <v>5</v>
      </c>
      <c r="H788" s="3" t="s">
        <v>72</v>
      </c>
      <c r="I788" s="3" t="s">
        <v>73</v>
      </c>
      <c r="J788" s="3" t="s">
        <v>74</v>
      </c>
      <c r="K788" s="2" t="str">
        <f aca="false">CONCATENATE(I788," ",J788)</f>
        <v>Zelotes subterraneus</v>
      </c>
      <c r="L788" s="3" t="n">
        <f aca="false">SUM(P788:U788)</f>
        <v>1</v>
      </c>
      <c r="M788" s="11" t="n">
        <f aca="false">(L788/(F788*G788)*25)*4</f>
        <v>4</v>
      </c>
      <c r="N788" s="1" t="s">
        <v>30</v>
      </c>
      <c r="O788" s="1" t="s">
        <v>35</v>
      </c>
      <c r="P788" s="1" t="n">
        <v>0</v>
      </c>
      <c r="Q788" s="1" t="n">
        <v>1</v>
      </c>
      <c r="R788" s="1" t="n">
        <v>0</v>
      </c>
      <c r="S788" s="1" t="n">
        <v>0</v>
      </c>
      <c r="T788" s="1" t="n">
        <v>0</v>
      </c>
      <c r="U788" s="1" t="n">
        <v>0</v>
      </c>
      <c r="V788" s="3" t="n">
        <f aca="false">SUM(P788:Q788)</f>
        <v>1</v>
      </c>
      <c r="W788" s="3" t="n">
        <f aca="false">SUM(R788:T788)</f>
        <v>0</v>
      </c>
      <c r="X788" s="10" t="n">
        <v>39969</v>
      </c>
      <c r="Y788" s="10" t="n">
        <v>39974</v>
      </c>
    </row>
    <row r="789" customFormat="false" ht="14.25" hidden="false" customHeight="false" outlineLevel="0" collapsed="false">
      <c r="A789" s="1" t="n">
        <v>2009</v>
      </c>
      <c r="B789" s="1" t="n">
        <v>1</v>
      </c>
      <c r="C789" s="2" t="s">
        <v>50</v>
      </c>
      <c r="D789" s="7" t="s">
        <v>51</v>
      </c>
      <c r="E789" s="1" t="n">
        <v>1</v>
      </c>
      <c r="F789" s="1" t="n">
        <f aca="false">Y789-X789</f>
        <v>5</v>
      </c>
      <c r="G789" s="1" t="n">
        <v>5</v>
      </c>
      <c r="H789" s="3" t="s">
        <v>72</v>
      </c>
      <c r="I789" s="3" t="s">
        <v>86</v>
      </c>
      <c r="J789" s="8" t="s">
        <v>87</v>
      </c>
      <c r="K789" s="2" t="str">
        <f aca="false">CONCATENATE(I789," ",J789)</f>
        <v>Haplodrassus soerenseni</v>
      </c>
      <c r="L789" s="3" t="n">
        <f aca="false">SUM(P789:U789)</f>
        <v>2</v>
      </c>
      <c r="M789" s="11" t="n">
        <f aca="false">(L789/(F789*G789)*25)*4</f>
        <v>8</v>
      </c>
      <c r="N789" s="1" t="s">
        <v>30</v>
      </c>
      <c r="O789" s="1" t="s">
        <v>31</v>
      </c>
      <c r="P789" s="1" t="n">
        <v>2</v>
      </c>
      <c r="Q789" s="1" t="n">
        <v>0</v>
      </c>
      <c r="R789" s="1" t="n">
        <v>0</v>
      </c>
      <c r="S789" s="1" t="n">
        <v>0</v>
      </c>
      <c r="T789" s="1" t="n">
        <v>0</v>
      </c>
      <c r="U789" s="1" t="n">
        <v>0</v>
      </c>
      <c r="V789" s="3" t="n">
        <f aca="false">SUM(P789:Q789)</f>
        <v>2</v>
      </c>
      <c r="W789" s="3" t="n">
        <f aca="false">SUM(R789:T789)</f>
        <v>0</v>
      </c>
      <c r="X789" s="10" t="n">
        <v>39969</v>
      </c>
      <c r="Y789" s="10" t="n">
        <v>39974</v>
      </c>
    </row>
    <row r="790" customFormat="false" ht="14.25" hidden="false" customHeight="false" outlineLevel="0" collapsed="false">
      <c r="A790" s="1" t="n">
        <v>2009</v>
      </c>
      <c r="B790" s="1" t="n">
        <v>1</v>
      </c>
      <c r="C790" s="2" t="s">
        <v>50</v>
      </c>
      <c r="D790" s="7" t="s">
        <v>51</v>
      </c>
      <c r="E790" s="1" t="n">
        <v>1</v>
      </c>
      <c r="F790" s="1" t="n">
        <f aca="false">Y790-X790</f>
        <v>5</v>
      </c>
      <c r="G790" s="1" t="n">
        <v>5</v>
      </c>
      <c r="H790" s="3" t="s">
        <v>64</v>
      </c>
      <c r="I790" s="3" t="s">
        <v>65</v>
      </c>
      <c r="J790" s="3" t="s">
        <v>123</v>
      </c>
      <c r="K790" s="2" t="str">
        <f aca="false">CONCATENATE(I790," ",J790)</f>
        <v>Zora nemoralis</v>
      </c>
      <c r="L790" s="3" t="n">
        <f aca="false">SUM(P790:U790)</f>
        <v>2</v>
      </c>
      <c r="M790" s="11" t="n">
        <f aca="false">(L790/(F790*G790)*25)*4</f>
        <v>8</v>
      </c>
      <c r="N790" s="1" t="s">
        <v>30</v>
      </c>
      <c r="O790" s="1" t="s">
        <v>31</v>
      </c>
      <c r="P790" s="1" t="n">
        <v>2</v>
      </c>
      <c r="Q790" s="1" t="n">
        <v>0</v>
      </c>
      <c r="R790" s="1" t="n">
        <v>0</v>
      </c>
      <c r="S790" s="1" t="n">
        <v>0</v>
      </c>
      <c r="T790" s="1" t="n">
        <v>0</v>
      </c>
      <c r="U790" s="1" t="n">
        <v>0</v>
      </c>
      <c r="V790" s="3" t="n">
        <f aca="false">SUM(P790:Q790)</f>
        <v>2</v>
      </c>
      <c r="W790" s="3" t="n">
        <f aca="false">SUM(R790:T790)</f>
        <v>0</v>
      </c>
      <c r="X790" s="10" t="n">
        <v>39969</v>
      </c>
      <c r="Y790" s="10" t="n">
        <v>39974</v>
      </c>
    </row>
    <row r="791" customFormat="false" ht="14.25" hidden="false" customHeight="false" outlineLevel="0" collapsed="false">
      <c r="A791" s="1" t="n">
        <v>2009</v>
      </c>
      <c r="B791" s="1" t="n">
        <v>1</v>
      </c>
      <c r="C791" s="2" t="s">
        <v>50</v>
      </c>
      <c r="D791" s="7" t="s">
        <v>51</v>
      </c>
      <c r="E791" s="1" t="n">
        <v>1</v>
      </c>
      <c r="F791" s="1" t="n">
        <f aca="false">Y791-X791</f>
        <v>5</v>
      </c>
      <c r="G791" s="1" t="n">
        <v>5</v>
      </c>
      <c r="H791" s="3" t="s">
        <v>64</v>
      </c>
      <c r="I791" s="3" t="s">
        <v>65</v>
      </c>
      <c r="J791" s="3" t="s">
        <v>38</v>
      </c>
      <c r="K791" s="2" t="str">
        <f aca="false">CONCATENATE(I791," ",J791)</f>
        <v>Zora sp</v>
      </c>
      <c r="L791" s="3" t="n">
        <f aca="false">SUM(P791:U791)</f>
        <v>1</v>
      </c>
      <c r="M791" s="11" t="n">
        <f aca="false">(L791/(F791*G791)*25)*4</f>
        <v>4</v>
      </c>
      <c r="N791" s="1" t="s">
        <v>19</v>
      </c>
      <c r="O791" s="1" t="s">
        <v>54</v>
      </c>
      <c r="P791" s="1" t="n">
        <v>0</v>
      </c>
      <c r="Q791" s="1" t="n">
        <v>0</v>
      </c>
      <c r="R791" s="1" t="n">
        <v>0</v>
      </c>
      <c r="S791" s="1" t="n">
        <v>0</v>
      </c>
      <c r="T791" s="1" t="n">
        <v>1</v>
      </c>
      <c r="U791" s="1" t="n">
        <v>0</v>
      </c>
      <c r="V791" s="3" t="n">
        <f aca="false">SUM(P791:Q791)</f>
        <v>0</v>
      </c>
      <c r="W791" s="3" t="n">
        <f aca="false">SUM(R791:T791)</f>
        <v>1</v>
      </c>
      <c r="X791" s="10" t="n">
        <v>39969</v>
      </c>
      <c r="Y791" s="10" t="n">
        <v>39974</v>
      </c>
    </row>
    <row r="792" customFormat="false" ht="14.25" hidden="false" customHeight="false" outlineLevel="0" collapsed="false">
      <c r="A792" s="1" t="n">
        <v>2009</v>
      </c>
      <c r="B792" s="1" t="n">
        <v>1</v>
      </c>
      <c r="C792" s="2" t="s">
        <v>50</v>
      </c>
      <c r="D792" s="7" t="s">
        <v>51</v>
      </c>
      <c r="E792" s="1" t="n">
        <v>1</v>
      </c>
      <c r="F792" s="1" t="n">
        <f aca="false">Y792-X792</f>
        <v>5</v>
      </c>
      <c r="G792" s="1" t="n">
        <v>5</v>
      </c>
      <c r="H792" s="3" t="s">
        <v>32</v>
      </c>
      <c r="I792" s="3" t="s">
        <v>57</v>
      </c>
      <c r="J792" s="3" t="s">
        <v>38</v>
      </c>
      <c r="K792" s="2" t="str">
        <f aca="false">CONCATENATE(I792," ",J792)</f>
        <v>Gen sp</v>
      </c>
      <c r="L792" s="3" t="n">
        <f aca="false">SUM(P792:U792)</f>
        <v>1</v>
      </c>
      <c r="M792" s="11" t="n">
        <f aca="false">(L792/(F792*G792)*25)*4</f>
        <v>4</v>
      </c>
      <c r="N792" s="1" t="s">
        <v>19</v>
      </c>
      <c r="O792" s="1" t="s">
        <v>54</v>
      </c>
      <c r="P792" s="1" t="n">
        <v>0</v>
      </c>
      <c r="Q792" s="1" t="n">
        <v>0</v>
      </c>
      <c r="R792" s="1" t="n">
        <v>0</v>
      </c>
      <c r="S792" s="1" t="n">
        <v>0</v>
      </c>
      <c r="T792" s="1" t="n">
        <v>1</v>
      </c>
      <c r="U792" s="1" t="n">
        <v>0</v>
      </c>
      <c r="V792" s="3" t="n">
        <f aca="false">SUM(P792:Q792)</f>
        <v>0</v>
      </c>
      <c r="W792" s="3" t="n">
        <f aca="false">SUM(R792:T792)</f>
        <v>1</v>
      </c>
      <c r="X792" s="10" t="n">
        <v>39969</v>
      </c>
      <c r="Y792" s="10" t="n">
        <v>39974</v>
      </c>
    </row>
    <row r="793" customFormat="false" ht="14.25" hidden="false" customHeight="false" outlineLevel="0" collapsed="false">
      <c r="A793" s="1" t="n">
        <v>2009</v>
      </c>
      <c r="B793" s="1" t="n">
        <v>1</v>
      </c>
      <c r="C793" s="2" t="s">
        <v>50</v>
      </c>
      <c r="D793" s="7" t="s">
        <v>51</v>
      </c>
      <c r="E793" s="1" t="n">
        <v>1</v>
      </c>
      <c r="F793" s="1" t="n">
        <f aca="false">Y793-X793</f>
        <v>5</v>
      </c>
      <c r="G793" s="1" t="n">
        <v>5</v>
      </c>
      <c r="H793" s="3" t="s">
        <v>32</v>
      </c>
      <c r="I793" s="3" t="s">
        <v>55</v>
      </c>
      <c r="J793" s="3" t="s">
        <v>194</v>
      </c>
      <c r="K793" s="2" t="str">
        <f aca="false">CONCATENATE(I793," ",J793)</f>
        <v>Maro pansibiricus</v>
      </c>
      <c r="L793" s="3" t="n">
        <f aca="false">SUM(P793:U793)</f>
        <v>2</v>
      </c>
      <c r="M793" s="11" t="n">
        <f aca="false">(L793/(F793*G793)*25)*4</f>
        <v>8</v>
      </c>
      <c r="N793" s="1" t="s">
        <v>30</v>
      </c>
      <c r="O793" s="1" t="s">
        <v>31</v>
      </c>
      <c r="P793" s="1" t="n">
        <v>2</v>
      </c>
      <c r="Q793" s="1" t="n">
        <v>0</v>
      </c>
      <c r="R793" s="1" t="n">
        <v>0</v>
      </c>
      <c r="S793" s="1" t="n">
        <v>0</v>
      </c>
      <c r="T793" s="1" t="n">
        <v>0</v>
      </c>
      <c r="U793" s="1" t="n">
        <v>0</v>
      </c>
      <c r="V793" s="3" t="n">
        <f aca="false">SUM(P793:Q793)</f>
        <v>2</v>
      </c>
      <c r="W793" s="3" t="n">
        <f aca="false">SUM(R793:T793)</f>
        <v>0</v>
      </c>
      <c r="X793" s="10" t="n">
        <v>39969</v>
      </c>
      <c r="Y793" s="10" t="n">
        <v>39974</v>
      </c>
    </row>
    <row r="794" customFormat="false" ht="14.25" hidden="false" customHeight="false" outlineLevel="0" collapsed="false">
      <c r="A794" s="1" t="n">
        <v>2009</v>
      </c>
      <c r="B794" s="1" t="n">
        <v>1</v>
      </c>
      <c r="C794" s="2" t="s">
        <v>50</v>
      </c>
      <c r="D794" s="7" t="s">
        <v>51</v>
      </c>
      <c r="E794" s="1" t="n">
        <v>1</v>
      </c>
      <c r="F794" s="1" t="n">
        <f aca="false">Y794-X794</f>
        <v>5</v>
      </c>
      <c r="G794" s="1" t="n">
        <v>5</v>
      </c>
      <c r="H794" s="3" t="s">
        <v>48</v>
      </c>
      <c r="I794" s="3" t="s">
        <v>49</v>
      </c>
      <c r="J794" s="3" t="s">
        <v>104</v>
      </c>
      <c r="K794" s="2" t="str">
        <f aca="false">CONCATENATE(I794," ",J794)</f>
        <v>Alopecosa taeniata</v>
      </c>
      <c r="L794" s="3" t="n">
        <f aca="false">SUM(P794:U794)</f>
        <v>2</v>
      </c>
      <c r="M794" s="11" t="n">
        <f aca="false">(L794/(F794*G794)*25)*4</f>
        <v>8</v>
      </c>
      <c r="N794" s="1" t="s">
        <v>30</v>
      </c>
      <c r="O794" s="1" t="s">
        <v>31</v>
      </c>
      <c r="P794" s="1" t="n">
        <v>2</v>
      </c>
      <c r="Q794" s="1" t="n">
        <v>0</v>
      </c>
      <c r="R794" s="1" t="n">
        <v>0</v>
      </c>
      <c r="S794" s="1" t="n">
        <v>0</v>
      </c>
      <c r="T794" s="1" t="n">
        <v>0</v>
      </c>
      <c r="U794" s="1" t="n">
        <v>0</v>
      </c>
      <c r="V794" s="3" t="n">
        <f aca="false">SUM(P794:Q794)</f>
        <v>2</v>
      </c>
      <c r="W794" s="3" t="n">
        <f aca="false">SUM(R794:T794)</f>
        <v>0</v>
      </c>
      <c r="X794" s="10" t="n">
        <v>39969</v>
      </c>
      <c r="Y794" s="10" t="n">
        <v>39974</v>
      </c>
    </row>
    <row r="795" customFormat="false" ht="14.25" hidden="false" customHeight="false" outlineLevel="0" collapsed="false">
      <c r="A795" s="1" t="n">
        <v>2009</v>
      </c>
      <c r="B795" s="1" t="n">
        <v>1</v>
      </c>
      <c r="C795" s="2" t="s">
        <v>50</v>
      </c>
      <c r="D795" s="7" t="s">
        <v>51</v>
      </c>
      <c r="E795" s="1" t="n">
        <v>1</v>
      </c>
      <c r="F795" s="1" t="n">
        <f aca="false">Y795-X795</f>
        <v>5</v>
      </c>
      <c r="G795" s="1" t="n">
        <v>5</v>
      </c>
      <c r="H795" s="3" t="s">
        <v>48</v>
      </c>
      <c r="I795" s="3" t="s">
        <v>57</v>
      </c>
      <c r="J795" s="3" t="s">
        <v>38</v>
      </c>
      <c r="K795" s="2" t="str">
        <f aca="false">CONCATENATE(I795," ",J795)</f>
        <v>Gen sp</v>
      </c>
      <c r="L795" s="3" t="n">
        <f aca="false">SUM(P795:U795)</f>
        <v>2</v>
      </c>
      <c r="M795" s="11" t="n">
        <f aca="false">(L795/(F795*G795)*25)*4</f>
        <v>8</v>
      </c>
      <c r="N795" s="1" t="s">
        <v>19</v>
      </c>
      <c r="O795" s="1" t="s">
        <v>54</v>
      </c>
      <c r="P795" s="1" t="n">
        <v>0</v>
      </c>
      <c r="Q795" s="1" t="n">
        <v>0</v>
      </c>
      <c r="R795" s="1" t="n">
        <v>0</v>
      </c>
      <c r="S795" s="1" t="n">
        <v>0</v>
      </c>
      <c r="T795" s="1" t="n">
        <v>2</v>
      </c>
      <c r="U795" s="1" t="n">
        <v>0</v>
      </c>
      <c r="V795" s="3" t="n">
        <f aca="false">SUM(P795:Q795)</f>
        <v>0</v>
      </c>
      <c r="W795" s="3" t="n">
        <f aca="false">SUM(R795:T795)</f>
        <v>2</v>
      </c>
      <c r="X795" s="10" t="n">
        <v>39969</v>
      </c>
      <c r="Y795" s="10" t="n">
        <v>39974</v>
      </c>
    </row>
    <row r="796" customFormat="false" ht="14.25" hidden="false" customHeight="false" outlineLevel="0" collapsed="false">
      <c r="A796" s="1" t="n">
        <v>2009</v>
      </c>
      <c r="B796" s="1" t="n">
        <v>1</v>
      </c>
      <c r="C796" s="2" t="s">
        <v>50</v>
      </c>
      <c r="D796" s="7" t="s">
        <v>51</v>
      </c>
      <c r="E796" s="1" t="n">
        <v>1</v>
      </c>
      <c r="F796" s="1" t="n">
        <f aca="false">Y796-X796</f>
        <v>5</v>
      </c>
      <c r="G796" s="1" t="n">
        <v>5</v>
      </c>
      <c r="H796" s="3" t="s">
        <v>48</v>
      </c>
      <c r="I796" s="3" t="s">
        <v>67</v>
      </c>
      <c r="J796" s="3" t="s">
        <v>127</v>
      </c>
      <c r="K796" s="2" t="str">
        <f aca="false">CONCATENATE(I796," ",J796)</f>
        <v>Pardosa lugubris</v>
      </c>
      <c r="L796" s="3" t="n">
        <f aca="false">SUM(P796:U796)</f>
        <v>5</v>
      </c>
      <c r="M796" s="11" t="n">
        <f aca="false">(L796/(F796*G796)*25)*4</f>
        <v>20</v>
      </c>
      <c r="N796" s="1" t="s">
        <v>30</v>
      </c>
      <c r="O796" s="1" t="s">
        <v>31</v>
      </c>
      <c r="P796" s="1" t="n">
        <v>5</v>
      </c>
      <c r="Q796" s="1" t="n">
        <v>0</v>
      </c>
      <c r="R796" s="1" t="n">
        <v>0</v>
      </c>
      <c r="S796" s="1" t="n">
        <v>0</v>
      </c>
      <c r="T796" s="1" t="n">
        <v>0</v>
      </c>
      <c r="U796" s="1" t="n">
        <v>0</v>
      </c>
      <c r="V796" s="3" t="n">
        <f aca="false">SUM(P796:Q796)</f>
        <v>5</v>
      </c>
      <c r="W796" s="3" t="n">
        <f aca="false">SUM(R796:T796)</f>
        <v>0</v>
      </c>
      <c r="X796" s="10" t="n">
        <v>39969</v>
      </c>
      <c r="Y796" s="10" t="n">
        <v>39974</v>
      </c>
    </row>
    <row r="797" customFormat="false" ht="14.25" hidden="false" customHeight="false" outlineLevel="0" collapsed="false">
      <c r="A797" s="1" t="n">
        <v>2009</v>
      </c>
      <c r="B797" s="1" t="n">
        <v>1</v>
      </c>
      <c r="C797" s="2" t="s">
        <v>50</v>
      </c>
      <c r="D797" s="7" t="s">
        <v>51</v>
      </c>
      <c r="E797" s="1" t="n">
        <v>1</v>
      </c>
      <c r="F797" s="1" t="n">
        <f aca="false">Y797-X797</f>
        <v>5</v>
      </c>
      <c r="G797" s="1" t="n">
        <v>5</v>
      </c>
      <c r="H797" s="3" t="s">
        <v>72</v>
      </c>
      <c r="I797" s="3" t="s">
        <v>86</v>
      </c>
      <c r="J797" s="8" t="s">
        <v>87</v>
      </c>
      <c r="K797" s="2" t="str">
        <f aca="false">CONCATENATE(I797," ",J797)</f>
        <v>Haplodrassus soerenseni</v>
      </c>
      <c r="L797" s="3" t="n">
        <f aca="false">SUM(P797:U797)</f>
        <v>1</v>
      </c>
      <c r="M797" s="11" t="n">
        <f aca="false">(L797/(F797*G797)*25)*4</f>
        <v>4</v>
      </c>
      <c r="N797" s="1" t="s">
        <v>30</v>
      </c>
      <c r="O797" s="1" t="s">
        <v>31</v>
      </c>
      <c r="P797" s="1" t="n">
        <v>1</v>
      </c>
      <c r="Q797" s="1" t="n">
        <v>0</v>
      </c>
      <c r="R797" s="1" t="n">
        <v>0</v>
      </c>
      <c r="S797" s="1" t="n">
        <v>0</v>
      </c>
      <c r="T797" s="1" t="n">
        <v>0</v>
      </c>
      <c r="U797" s="1" t="n">
        <v>0</v>
      </c>
      <c r="V797" s="3" t="n">
        <f aca="false">SUM(P797:Q797)</f>
        <v>1</v>
      </c>
      <c r="W797" s="3" t="n">
        <f aca="false">SUM(R797:T797)</f>
        <v>0</v>
      </c>
      <c r="X797" s="10" t="n">
        <v>39969</v>
      </c>
      <c r="Y797" s="10" t="n">
        <v>39974</v>
      </c>
    </row>
    <row r="798" customFormat="false" ht="14.25" hidden="false" customHeight="false" outlineLevel="0" collapsed="false">
      <c r="A798" s="1" t="n">
        <v>2009</v>
      </c>
      <c r="B798" s="1" t="n">
        <v>1</v>
      </c>
      <c r="C798" s="2" t="s">
        <v>50</v>
      </c>
      <c r="D798" s="7" t="s">
        <v>51</v>
      </c>
      <c r="E798" s="1" t="n">
        <v>1</v>
      </c>
      <c r="F798" s="1" t="n">
        <f aca="false">Y798-X798</f>
        <v>5</v>
      </c>
      <c r="G798" s="1" t="n">
        <v>5</v>
      </c>
      <c r="H798" s="3" t="s">
        <v>72</v>
      </c>
      <c r="I798" s="3" t="s">
        <v>73</v>
      </c>
      <c r="J798" s="3" t="s">
        <v>74</v>
      </c>
      <c r="K798" s="2" t="str">
        <f aca="false">CONCATENATE(I798," ",J798)</f>
        <v>Zelotes subterraneus</v>
      </c>
      <c r="L798" s="3" t="n">
        <f aca="false">SUM(P798:U798)</f>
        <v>1</v>
      </c>
      <c r="M798" s="11" t="n">
        <f aca="false">(L798/(F798*G798)*25)*4</f>
        <v>4</v>
      </c>
      <c r="N798" s="1" t="s">
        <v>30</v>
      </c>
      <c r="O798" s="1" t="s">
        <v>35</v>
      </c>
      <c r="P798" s="1" t="n">
        <v>0</v>
      </c>
      <c r="Q798" s="1" t="n">
        <v>1</v>
      </c>
      <c r="R798" s="1" t="n">
        <v>0</v>
      </c>
      <c r="S798" s="1" t="n">
        <v>0</v>
      </c>
      <c r="T798" s="1" t="n">
        <v>0</v>
      </c>
      <c r="U798" s="1" t="n">
        <v>0</v>
      </c>
      <c r="V798" s="3" t="n">
        <f aca="false">SUM(P798:Q798)</f>
        <v>1</v>
      </c>
      <c r="W798" s="3" t="n">
        <f aca="false">SUM(R798:T798)</f>
        <v>0</v>
      </c>
      <c r="X798" s="10" t="n">
        <v>39969</v>
      </c>
      <c r="Y798" s="10" t="n">
        <v>39974</v>
      </c>
    </row>
    <row r="799" customFormat="false" ht="14.25" hidden="false" customHeight="false" outlineLevel="0" collapsed="false">
      <c r="A799" s="1" t="n">
        <v>2009</v>
      </c>
      <c r="B799" s="1" t="n">
        <v>1</v>
      </c>
      <c r="C799" s="2" t="s">
        <v>50</v>
      </c>
      <c r="D799" s="7" t="s">
        <v>51</v>
      </c>
      <c r="E799" s="1" t="n">
        <v>1</v>
      </c>
      <c r="F799" s="1" t="n">
        <f aca="false">Y799-X799</f>
        <v>5</v>
      </c>
      <c r="G799" s="1" t="n">
        <v>5</v>
      </c>
      <c r="H799" s="3" t="s">
        <v>72</v>
      </c>
      <c r="I799" s="3" t="s">
        <v>73</v>
      </c>
      <c r="J799" s="3" t="s">
        <v>38</v>
      </c>
      <c r="K799" s="2" t="str">
        <f aca="false">CONCATENATE(I799," ",J799)</f>
        <v>Zelotes sp</v>
      </c>
      <c r="L799" s="3" t="n">
        <f aca="false">SUM(P799:U799)</f>
        <v>1</v>
      </c>
      <c r="M799" s="11" t="n">
        <f aca="false">(L799/(F799*G799)*25)*4</f>
        <v>4</v>
      </c>
      <c r="N799" s="1" t="s">
        <v>19</v>
      </c>
      <c r="O799" s="1" t="s">
        <v>54</v>
      </c>
      <c r="P799" s="1" t="n">
        <v>0</v>
      </c>
      <c r="Q799" s="1" t="n">
        <v>0</v>
      </c>
      <c r="R799" s="1" t="n">
        <v>0</v>
      </c>
      <c r="S799" s="1" t="n">
        <v>0</v>
      </c>
      <c r="T799" s="1" t="n">
        <v>1</v>
      </c>
      <c r="U799" s="1" t="n">
        <v>0</v>
      </c>
      <c r="V799" s="3" t="n">
        <f aca="false">SUM(P799:Q799)</f>
        <v>0</v>
      </c>
      <c r="W799" s="3" t="n">
        <f aca="false">SUM(R799:T799)</f>
        <v>1</v>
      </c>
      <c r="X799" s="10" t="n">
        <v>39969</v>
      </c>
      <c r="Y799" s="10" t="n">
        <v>39974</v>
      </c>
    </row>
    <row r="800" customFormat="false" ht="14.25" hidden="false" customHeight="false" outlineLevel="0" collapsed="false">
      <c r="A800" s="1" t="n">
        <v>2009</v>
      </c>
      <c r="B800" s="1" t="n">
        <v>1</v>
      </c>
      <c r="C800" s="2" t="s">
        <v>50</v>
      </c>
      <c r="D800" s="7" t="s">
        <v>51</v>
      </c>
      <c r="E800" s="1" t="n">
        <v>1</v>
      </c>
      <c r="F800" s="1" t="n">
        <f aca="false">Y800-X800</f>
        <v>5</v>
      </c>
      <c r="G800" s="1" t="n">
        <v>5</v>
      </c>
      <c r="H800" s="3" t="s">
        <v>36</v>
      </c>
      <c r="I800" s="3" t="s">
        <v>37</v>
      </c>
      <c r="J800" s="3" t="s">
        <v>38</v>
      </c>
      <c r="K800" s="2" t="str">
        <f aca="false">CONCATENATE(I800," ",J800)</f>
        <v>Ozyptila sp</v>
      </c>
      <c r="L800" s="3" t="n">
        <f aca="false">SUM(P800:U800)</f>
        <v>1</v>
      </c>
      <c r="M800" s="11" t="n">
        <f aca="false">(L800/(F800*G800)*25)*4</f>
        <v>4</v>
      </c>
      <c r="N800" s="1" t="s">
        <v>19</v>
      </c>
      <c r="O800" s="1" t="s">
        <v>54</v>
      </c>
      <c r="P800" s="1" t="n">
        <v>0</v>
      </c>
      <c r="Q800" s="1" t="n">
        <v>0</v>
      </c>
      <c r="R800" s="1" t="n">
        <v>0</v>
      </c>
      <c r="S800" s="1" t="n">
        <v>0</v>
      </c>
      <c r="T800" s="1" t="n">
        <v>1</v>
      </c>
      <c r="U800" s="1" t="n">
        <v>0</v>
      </c>
      <c r="V800" s="3" t="n">
        <f aca="false">SUM(P800:Q800)</f>
        <v>0</v>
      </c>
      <c r="W800" s="3" t="n">
        <f aca="false">SUM(R800:T800)</f>
        <v>1</v>
      </c>
      <c r="X800" s="10" t="n">
        <v>39969</v>
      </c>
      <c r="Y800" s="10" t="n">
        <v>39974</v>
      </c>
    </row>
    <row r="801" customFormat="false" ht="14.25" hidden="false" customHeight="false" outlineLevel="0" collapsed="false">
      <c r="A801" s="1" t="n">
        <v>2009</v>
      </c>
      <c r="B801" s="1" t="n">
        <v>1</v>
      </c>
      <c r="C801" s="2" t="s">
        <v>50</v>
      </c>
      <c r="D801" s="7" t="s">
        <v>51</v>
      </c>
      <c r="E801" s="1" t="n">
        <v>1</v>
      </c>
      <c r="F801" s="1" t="n">
        <f aca="false">Y801-X801</f>
        <v>5</v>
      </c>
      <c r="G801" s="1" t="n">
        <v>5</v>
      </c>
      <c r="H801" s="3" t="s">
        <v>144</v>
      </c>
      <c r="I801" s="3" t="s">
        <v>145</v>
      </c>
      <c r="J801" s="3" t="s">
        <v>146</v>
      </c>
      <c r="K801" s="2" t="str">
        <f aca="false">CONCATENATE(I801," ",J801)</f>
        <v>Phrurolithus festivus</v>
      </c>
      <c r="L801" s="3" t="n">
        <f aca="false">SUM(P801:U801)</f>
        <v>1</v>
      </c>
      <c r="M801" s="11" t="n">
        <f aca="false">(L801/(F801*G801)*25)*4</f>
        <v>4</v>
      </c>
      <c r="N801" s="1" t="s">
        <v>30</v>
      </c>
      <c r="O801" s="1" t="s">
        <v>31</v>
      </c>
      <c r="P801" s="1" t="n">
        <v>1</v>
      </c>
      <c r="Q801" s="1" t="n">
        <v>0</v>
      </c>
      <c r="R801" s="1" t="n">
        <v>0</v>
      </c>
      <c r="S801" s="1" t="n">
        <v>0</v>
      </c>
      <c r="T801" s="1" t="n">
        <v>0</v>
      </c>
      <c r="U801" s="1" t="n">
        <v>0</v>
      </c>
      <c r="V801" s="3" t="n">
        <f aca="false">SUM(P801:Q801)</f>
        <v>1</v>
      </c>
      <c r="W801" s="3" t="n">
        <f aca="false">SUM(R801:T801)</f>
        <v>0</v>
      </c>
      <c r="X801" s="10" t="n">
        <v>39969</v>
      </c>
      <c r="Y801" s="10" t="n">
        <v>39974</v>
      </c>
    </row>
    <row r="802" customFormat="false" ht="14.25" hidden="false" customHeight="false" outlineLevel="0" collapsed="false">
      <c r="A802" s="1" t="n">
        <v>2009</v>
      </c>
      <c r="B802" s="1" t="n">
        <v>1</v>
      </c>
      <c r="C802" s="2" t="s">
        <v>50</v>
      </c>
      <c r="D802" s="7" t="s">
        <v>51</v>
      </c>
      <c r="E802" s="1" t="n">
        <v>1</v>
      </c>
      <c r="F802" s="1" t="n">
        <f aca="false">Y802-X802</f>
        <v>5</v>
      </c>
      <c r="G802" s="1" t="n">
        <v>5</v>
      </c>
      <c r="H802" s="3" t="s">
        <v>144</v>
      </c>
      <c r="I802" s="3" t="s">
        <v>145</v>
      </c>
      <c r="J802" s="3" t="s">
        <v>146</v>
      </c>
      <c r="K802" s="2" t="str">
        <f aca="false">CONCATENATE(I802," ",J802)</f>
        <v>Phrurolithus festivus</v>
      </c>
      <c r="L802" s="3" t="n">
        <f aca="false">SUM(P802:U802)</f>
        <v>1</v>
      </c>
      <c r="M802" s="11" t="n">
        <f aca="false">(L802/(F802*G802)*25)*4</f>
        <v>4</v>
      </c>
      <c r="N802" s="1" t="s">
        <v>30</v>
      </c>
      <c r="O802" s="1" t="s">
        <v>35</v>
      </c>
      <c r="P802" s="1" t="n">
        <v>0</v>
      </c>
      <c r="Q802" s="1" t="n">
        <v>1</v>
      </c>
      <c r="R802" s="1" t="n">
        <v>0</v>
      </c>
      <c r="S802" s="1" t="n">
        <v>0</v>
      </c>
      <c r="T802" s="1" t="n">
        <v>0</v>
      </c>
      <c r="U802" s="1" t="n">
        <v>0</v>
      </c>
      <c r="V802" s="3" t="n">
        <f aca="false">SUM(P802:Q802)</f>
        <v>1</v>
      </c>
      <c r="W802" s="3" t="n">
        <f aca="false">SUM(R802:T802)</f>
        <v>0</v>
      </c>
      <c r="X802" s="10" t="n">
        <v>39969</v>
      </c>
      <c r="Y802" s="10" t="n">
        <v>39974</v>
      </c>
    </row>
    <row r="803" customFormat="false" ht="14.25" hidden="false" customHeight="false" outlineLevel="0" collapsed="false">
      <c r="A803" s="1" t="n">
        <v>2009</v>
      </c>
      <c r="B803" s="1" t="n">
        <v>1</v>
      </c>
      <c r="C803" s="2" t="s">
        <v>50</v>
      </c>
      <c r="D803" s="7" t="s">
        <v>51</v>
      </c>
      <c r="E803" s="1" t="n">
        <v>1</v>
      </c>
      <c r="F803" s="1" t="n">
        <f aca="false">Y803-X803</f>
        <v>5</v>
      </c>
      <c r="G803" s="1" t="n">
        <v>5</v>
      </c>
      <c r="H803" s="3" t="s">
        <v>135</v>
      </c>
      <c r="I803" s="3" t="s">
        <v>136</v>
      </c>
      <c r="J803" s="3" t="s">
        <v>137</v>
      </c>
      <c r="K803" s="2" t="str">
        <f aca="false">CONCATENATE(I803," ",J803)</f>
        <v>Thanatus sabulosus</v>
      </c>
      <c r="L803" s="3" t="n">
        <f aca="false">SUM(P803:U803)</f>
        <v>1</v>
      </c>
      <c r="M803" s="11" t="n">
        <f aca="false">(L803/(F803*G803)*25)*4</f>
        <v>4</v>
      </c>
      <c r="N803" s="1" t="s">
        <v>30</v>
      </c>
      <c r="O803" s="1" t="s">
        <v>31</v>
      </c>
      <c r="P803" s="1" t="n">
        <v>1</v>
      </c>
      <c r="Q803" s="1" t="n">
        <v>0</v>
      </c>
      <c r="R803" s="1" t="n">
        <v>0</v>
      </c>
      <c r="S803" s="1" t="n">
        <v>0</v>
      </c>
      <c r="T803" s="1" t="n">
        <v>0</v>
      </c>
      <c r="U803" s="1" t="n">
        <v>0</v>
      </c>
      <c r="V803" s="3" t="n">
        <f aca="false">SUM(P803:Q803)</f>
        <v>1</v>
      </c>
      <c r="W803" s="3" t="n">
        <f aca="false">SUM(R803:T803)</f>
        <v>0</v>
      </c>
      <c r="X803" s="10" t="n">
        <v>39969</v>
      </c>
      <c r="Y803" s="10" t="n">
        <v>39974</v>
      </c>
    </row>
    <row r="804" customFormat="false" ht="14.25" hidden="false" customHeight="false" outlineLevel="0" collapsed="false">
      <c r="A804" s="1" t="n">
        <v>2009</v>
      </c>
      <c r="B804" s="1" t="n">
        <v>1</v>
      </c>
      <c r="C804" s="2" t="s">
        <v>50</v>
      </c>
      <c r="D804" s="7" t="s">
        <v>51</v>
      </c>
      <c r="E804" s="1" t="n">
        <v>1</v>
      </c>
      <c r="F804" s="1" t="n">
        <f aca="false">Y804-X804</f>
        <v>5</v>
      </c>
      <c r="G804" s="1" t="n">
        <v>5</v>
      </c>
      <c r="H804" s="13" t="s">
        <v>195</v>
      </c>
      <c r="I804" s="13" t="s">
        <v>196</v>
      </c>
      <c r="J804" s="14" t="s">
        <v>197</v>
      </c>
      <c r="K804" s="2" t="str">
        <f aca="false">CONCATENATE(I804," ",J804)</f>
        <v>Pachygnatha listeri</v>
      </c>
      <c r="L804" s="3" t="n">
        <f aca="false">SUM(P804:U804)</f>
        <v>1</v>
      </c>
      <c r="M804" s="11" t="n">
        <f aca="false">(L804/(F804*G804)*25)*4</f>
        <v>4</v>
      </c>
      <c r="N804" s="1" t="s">
        <v>30</v>
      </c>
      <c r="O804" s="1" t="s">
        <v>35</v>
      </c>
      <c r="P804" s="1" t="n">
        <v>0</v>
      </c>
      <c r="Q804" s="1" t="n">
        <v>1</v>
      </c>
      <c r="R804" s="1" t="n">
        <v>0</v>
      </c>
      <c r="S804" s="1" t="n">
        <v>0</v>
      </c>
      <c r="T804" s="1" t="n">
        <v>0</v>
      </c>
      <c r="U804" s="1" t="n">
        <v>0</v>
      </c>
      <c r="V804" s="3" t="n">
        <f aca="false">SUM(P804:Q804)</f>
        <v>1</v>
      </c>
      <c r="W804" s="3" t="n">
        <f aca="false">SUM(R804:T804)</f>
        <v>0</v>
      </c>
      <c r="X804" s="10" t="n">
        <v>39969</v>
      </c>
      <c r="Y804" s="10" t="n">
        <v>39974</v>
      </c>
    </row>
    <row r="805" customFormat="false" ht="14.25" hidden="false" customHeight="false" outlineLevel="0" collapsed="false">
      <c r="A805" s="1" t="n">
        <v>2009</v>
      </c>
      <c r="B805" s="1" t="n">
        <v>1</v>
      </c>
      <c r="C805" s="2" t="s">
        <v>50</v>
      </c>
      <c r="D805" s="7" t="s">
        <v>51</v>
      </c>
      <c r="E805" s="1" t="n">
        <v>1</v>
      </c>
      <c r="F805" s="1" t="n">
        <f aca="false">Y805-X805</f>
        <v>5</v>
      </c>
      <c r="G805" s="1" t="n">
        <v>5</v>
      </c>
      <c r="H805" s="3" t="s">
        <v>32</v>
      </c>
      <c r="I805" s="3" t="s">
        <v>62</v>
      </c>
      <c r="J805" s="3" t="s">
        <v>63</v>
      </c>
      <c r="K805" s="2" t="str">
        <f aca="false">CONCATENATE(I805," ",J805)</f>
        <v>Microneta viaria</v>
      </c>
      <c r="L805" s="3" t="n">
        <f aca="false">SUM(P805:U805)</f>
        <v>1</v>
      </c>
      <c r="M805" s="11" t="n">
        <f aca="false">(L805/(F805*G805)*25)*4</f>
        <v>4</v>
      </c>
      <c r="N805" s="1" t="s">
        <v>30</v>
      </c>
      <c r="O805" s="1" t="s">
        <v>35</v>
      </c>
      <c r="P805" s="1" t="n">
        <v>0</v>
      </c>
      <c r="Q805" s="1" t="n">
        <v>1</v>
      </c>
      <c r="R805" s="1" t="n">
        <v>0</v>
      </c>
      <c r="S805" s="1" t="n">
        <v>0</v>
      </c>
      <c r="T805" s="1" t="n">
        <v>0</v>
      </c>
      <c r="U805" s="1" t="n">
        <v>0</v>
      </c>
      <c r="V805" s="3" t="n">
        <f aca="false">SUM(P805:Q805)</f>
        <v>1</v>
      </c>
      <c r="W805" s="3" t="n">
        <f aca="false">SUM(R805:T805)</f>
        <v>0</v>
      </c>
      <c r="X805" s="10" t="n">
        <v>39969</v>
      </c>
      <c r="Y805" s="10" t="n">
        <v>39974</v>
      </c>
    </row>
    <row r="806" customFormat="false" ht="14.25" hidden="false" customHeight="false" outlineLevel="0" collapsed="false">
      <c r="A806" s="1" t="n">
        <v>2009</v>
      </c>
      <c r="B806" s="1" t="n">
        <v>1</v>
      </c>
      <c r="C806" s="2" t="s">
        <v>50</v>
      </c>
      <c r="D806" s="7" t="s">
        <v>51</v>
      </c>
      <c r="E806" s="1" t="n">
        <v>1</v>
      </c>
      <c r="F806" s="1" t="n">
        <f aca="false">Y806-X806</f>
        <v>5</v>
      </c>
      <c r="G806" s="1" t="n">
        <v>5</v>
      </c>
      <c r="H806" s="3" t="s">
        <v>32</v>
      </c>
      <c r="I806" s="3" t="s">
        <v>55</v>
      </c>
      <c r="J806" s="3" t="s">
        <v>194</v>
      </c>
      <c r="K806" s="2" t="str">
        <f aca="false">CONCATENATE(I806," ",J806)</f>
        <v>Maro pansibiricus</v>
      </c>
      <c r="L806" s="3" t="n">
        <f aca="false">SUM(P806:U806)</f>
        <v>1</v>
      </c>
      <c r="M806" s="11" t="n">
        <f aca="false">(L806/(F806*G806)*25)*4</f>
        <v>4</v>
      </c>
      <c r="N806" s="1" t="s">
        <v>30</v>
      </c>
      <c r="O806" s="1" t="s">
        <v>31</v>
      </c>
      <c r="P806" s="1" t="n">
        <v>1</v>
      </c>
      <c r="Q806" s="1" t="n">
        <v>0</v>
      </c>
      <c r="R806" s="1" t="n">
        <v>0</v>
      </c>
      <c r="S806" s="1" t="n">
        <v>0</v>
      </c>
      <c r="T806" s="1" t="n">
        <v>0</v>
      </c>
      <c r="U806" s="1" t="n">
        <v>0</v>
      </c>
      <c r="V806" s="3" t="n">
        <f aca="false">SUM(P806:Q806)</f>
        <v>1</v>
      </c>
      <c r="W806" s="3" t="n">
        <f aca="false">SUM(R806:T806)</f>
        <v>0</v>
      </c>
      <c r="X806" s="10" t="n">
        <v>39969</v>
      </c>
      <c r="Y806" s="10" t="n">
        <v>39974</v>
      </c>
    </row>
    <row r="807" customFormat="false" ht="14.25" hidden="false" customHeight="false" outlineLevel="0" collapsed="false">
      <c r="A807" s="1" t="n">
        <v>2009</v>
      </c>
      <c r="B807" s="1" t="n">
        <v>1</v>
      </c>
      <c r="C807" s="2" t="s">
        <v>50</v>
      </c>
      <c r="D807" s="7" t="s">
        <v>51</v>
      </c>
      <c r="E807" s="1" t="n">
        <v>1</v>
      </c>
      <c r="F807" s="1" t="n">
        <f aca="false">Y807-X807</f>
        <v>5</v>
      </c>
      <c r="G807" s="1" t="n">
        <v>5</v>
      </c>
      <c r="H807" s="13" t="s">
        <v>32</v>
      </c>
      <c r="I807" s="13" t="s">
        <v>174</v>
      </c>
      <c r="J807" s="14" t="s">
        <v>175</v>
      </c>
      <c r="K807" s="2" t="str">
        <f aca="false">CONCATENATE(I807," ",J807)</f>
        <v>Neriene clathrata</v>
      </c>
      <c r="L807" s="3" t="n">
        <f aca="false">SUM(P807:U807)</f>
        <v>1</v>
      </c>
      <c r="M807" s="11" t="n">
        <f aca="false">(L807/(F807*G807)*25)*4</f>
        <v>4</v>
      </c>
      <c r="N807" s="1" t="s">
        <v>30</v>
      </c>
      <c r="O807" s="1" t="s">
        <v>31</v>
      </c>
      <c r="P807" s="1" t="n">
        <v>1</v>
      </c>
      <c r="Q807" s="1" t="n">
        <v>0</v>
      </c>
      <c r="R807" s="1" t="n">
        <v>0</v>
      </c>
      <c r="S807" s="1" t="n">
        <v>0</v>
      </c>
      <c r="T807" s="1" t="n">
        <v>0</v>
      </c>
      <c r="U807" s="1" t="n">
        <v>0</v>
      </c>
      <c r="V807" s="3" t="n">
        <f aca="false">SUM(P807:Q807)</f>
        <v>1</v>
      </c>
      <c r="W807" s="3" t="n">
        <f aca="false">SUM(R807:T807)</f>
        <v>0</v>
      </c>
      <c r="X807" s="10" t="n">
        <v>39969</v>
      </c>
      <c r="Y807" s="10" t="n">
        <v>39974</v>
      </c>
    </row>
    <row r="808" customFormat="false" ht="14.25" hidden="false" customHeight="false" outlineLevel="0" collapsed="false">
      <c r="A808" s="1" t="n">
        <v>2009</v>
      </c>
      <c r="B808" s="1" t="n">
        <v>1</v>
      </c>
      <c r="C808" s="2" t="s">
        <v>50</v>
      </c>
      <c r="D808" s="7" t="s">
        <v>51</v>
      </c>
      <c r="E808" s="1" t="n">
        <v>1</v>
      </c>
      <c r="F808" s="1" t="n">
        <f aca="false">Y808-X808</f>
        <v>5</v>
      </c>
      <c r="G808" s="1" t="n">
        <v>5</v>
      </c>
      <c r="H808" s="3" t="s">
        <v>48</v>
      </c>
      <c r="I808" s="3" t="s">
        <v>49</v>
      </c>
      <c r="J808" s="3" t="s">
        <v>104</v>
      </c>
      <c r="K808" s="2" t="str">
        <f aca="false">CONCATENATE(I808," ",J808)</f>
        <v>Alopecosa taeniata</v>
      </c>
      <c r="L808" s="3" t="n">
        <f aca="false">SUM(P808:U808)</f>
        <v>3</v>
      </c>
      <c r="M808" s="11" t="n">
        <f aca="false">(L808/(F808*G808)*25)*4</f>
        <v>12</v>
      </c>
      <c r="N808" s="1" t="s">
        <v>30</v>
      </c>
      <c r="O808" s="1" t="s">
        <v>31</v>
      </c>
      <c r="P808" s="1" t="n">
        <v>3</v>
      </c>
      <c r="Q808" s="1" t="n">
        <v>0</v>
      </c>
      <c r="R808" s="1" t="n">
        <v>0</v>
      </c>
      <c r="S808" s="1" t="n">
        <v>0</v>
      </c>
      <c r="T808" s="1" t="n">
        <v>0</v>
      </c>
      <c r="U808" s="1" t="n">
        <v>0</v>
      </c>
      <c r="V808" s="3" t="n">
        <f aca="false">SUM(P808:Q808)</f>
        <v>3</v>
      </c>
      <c r="W808" s="3" t="n">
        <f aca="false">SUM(R808:T808)</f>
        <v>0</v>
      </c>
      <c r="X808" s="10" t="n">
        <v>39969</v>
      </c>
      <c r="Y808" s="10" t="n">
        <v>39974</v>
      </c>
    </row>
    <row r="809" customFormat="false" ht="14.25" hidden="false" customHeight="false" outlineLevel="0" collapsed="false">
      <c r="A809" s="1" t="n">
        <v>2009</v>
      </c>
      <c r="B809" s="1" t="n">
        <v>1</v>
      </c>
      <c r="C809" s="2" t="s">
        <v>50</v>
      </c>
      <c r="D809" s="7" t="s">
        <v>51</v>
      </c>
      <c r="E809" s="1" t="n">
        <v>1</v>
      </c>
      <c r="F809" s="1" t="n">
        <f aca="false">Y809-X809</f>
        <v>5</v>
      </c>
      <c r="G809" s="1" t="n">
        <v>5</v>
      </c>
      <c r="H809" s="3" t="s">
        <v>48</v>
      </c>
      <c r="I809" s="3" t="s">
        <v>49</v>
      </c>
      <c r="J809" s="3" t="s">
        <v>104</v>
      </c>
      <c r="K809" s="2" t="str">
        <f aca="false">CONCATENATE(I809," ",J809)</f>
        <v>Alopecosa taeniata</v>
      </c>
      <c r="L809" s="3" t="n">
        <f aca="false">SUM(P809:U809)</f>
        <v>1</v>
      </c>
      <c r="M809" s="11" t="n">
        <f aca="false">(L809/(F809*G809)*25)*4</f>
        <v>4</v>
      </c>
      <c r="N809" s="1" t="s">
        <v>30</v>
      </c>
      <c r="O809" s="1" t="s">
        <v>35</v>
      </c>
      <c r="P809" s="1" t="n">
        <v>0</v>
      </c>
      <c r="Q809" s="1" t="n">
        <v>1</v>
      </c>
      <c r="R809" s="1" t="n">
        <v>0</v>
      </c>
      <c r="S809" s="1" t="n">
        <v>0</v>
      </c>
      <c r="T809" s="1" t="n">
        <v>0</v>
      </c>
      <c r="U809" s="1" t="n">
        <v>0</v>
      </c>
      <c r="V809" s="3" t="n">
        <f aca="false">SUM(P809:Q809)</f>
        <v>1</v>
      </c>
      <c r="W809" s="3" t="n">
        <f aca="false">SUM(R809:T809)</f>
        <v>0</v>
      </c>
      <c r="X809" s="10" t="n">
        <v>39969</v>
      </c>
      <c r="Y809" s="10" t="n">
        <v>39974</v>
      </c>
    </row>
    <row r="810" customFormat="false" ht="14.25" hidden="false" customHeight="false" outlineLevel="0" collapsed="false">
      <c r="A810" s="1" t="n">
        <v>2009</v>
      </c>
      <c r="B810" s="1" t="n">
        <v>1</v>
      </c>
      <c r="C810" s="2" t="s">
        <v>50</v>
      </c>
      <c r="D810" s="7" t="s">
        <v>51</v>
      </c>
      <c r="E810" s="1" t="n">
        <v>1</v>
      </c>
      <c r="F810" s="1" t="n">
        <f aca="false">Y810-X810</f>
        <v>5</v>
      </c>
      <c r="G810" s="1" t="n">
        <v>5</v>
      </c>
      <c r="H810" s="3" t="s">
        <v>48</v>
      </c>
      <c r="I810" s="3" t="s">
        <v>67</v>
      </c>
      <c r="J810" s="3" t="s">
        <v>127</v>
      </c>
      <c r="K810" s="2" t="str">
        <f aca="false">CONCATENATE(I810," ",J810)</f>
        <v>Pardosa lugubris</v>
      </c>
      <c r="L810" s="3" t="n">
        <f aca="false">SUM(P810:U810)</f>
        <v>6</v>
      </c>
      <c r="M810" s="11" t="n">
        <f aca="false">(L810/(F810*G810)*25)*4</f>
        <v>24</v>
      </c>
      <c r="N810" s="1" t="s">
        <v>30</v>
      </c>
      <c r="O810" s="1" t="s">
        <v>31</v>
      </c>
      <c r="P810" s="1" t="n">
        <v>6</v>
      </c>
      <c r="Q810" s="1" t="n">
        <v>0</v>
      </c>
      <c r="R810" s="1" t="n">
        <v>0</v>
      </c>
      <c r="S810" s="1" t="n">
        <v>0</v>
      </c>
      <c r="T810" s="1" t="n">
        <v>0</v>
      </c>
      <c r="U810" s="1" t="n">
        <v>0</v>
      </c>
      <c r="V810" s="3" t="n">
        <f aca="false">SUM(P810:Q810)</f>
        <v>6</v>
      </c>
      <c r="W810" s="3" t="n">
        <f aca="false">SUM(R810:T810)</f>
        <v>0</v>
      </c>
      <c r="X810" s="10" t="n">
        <v>39969</v>
      </c>
      <c r="Y810" s="10" t="n">
        <v>39974</v>
      </c>
    </row>
    <row r="811" customFormat="false" ht="14.25" hidden="false" customHeight="false" outlineLevel="0" collapsed="false">
      <c r="A811" s="1" t="n">
        <v>2009</v>
      </c>
      <c r="B811" s="1" t="n">
        <v>1</v>
      </c>
      <c r="C811" s="2" t="s">
        <v>50</v>
      </c>
      <c r="D811" s="7" t="s">
        <v>51</v>
      </c>
      <c r="E811" s="1" t="n">
        <v>1</v>
      </c>
      <c r="F811" s="1" t="n">
        <f aca="false">Y811-X811</f>
        <v>5</v>
      </c>
      <c r="G811" s="1" t="n">
        <v>5</v>
      </c>
      <c r="H811" s="3" t="s">
        <v>48</v>
      </c>
      <c r="I811" s="3" t="s">
        <v>67</v>
      </c>
      <c r="J811" s="3" t="s">
        <v>127</v>
      </c>
      <c r="K811" s="2" t="str">
        <f aca="false">CONCATENATE(I811," ",J811)</f>
        <v>Pardosa lugubris</v>
      </c>
      <c r="L811" s="3" t="n">
        <f aca="false">SUM(P811:U811)</f>
        <v>2</v>
      </c>
      <c r="M811" s="11" t="n">
        <f aca="false">(L811/(F811*G811)*25)*4</f>
        <v>8</v>
      </c>
      <c r="N811" s="1" t="s">
        <v>30</v>
      </c>
      <c r="O811" s="1" t="s">
        <v>35</v>
      </c>
      <c r="P811" s="1" t="n">
        <v>0</v>
      </c>
      <c r="Q811" s="1" t="n">
        <v>2</v>
      </c>
      <c r="R811" s="1" t="n">
        <v>0</v>
      </c>
      <c r="S811" s="1" t="n">
        <v>0</v>
      </c>
      <c r="T811" s="1" t="n">
        <v>0</v>
      </c>
      <c r="U811" s="1" t="n">
        <v>0</v>
      </c>
      <c r="V811" s="3" t="n">
        <f aca="false">SUM(P811:Q811)</f>
        <v>2</v>
      </c>
      <c r="W811" s="3" t="n">
        <f aca="false">SUM(R811:T811)</f>
        <v>0</v>
      </c>
      <c r="X811" s="10" t="n">
        <v>39969</v>
      </c>
      <c r="Y811" s="10" t="n">
        <v>39974</v>
      </c>
    </row>
    <row r="812" customFormat="false" ht="14.25" hidden="false" customHeight="false" outlineLevel="0" collapsed="false">
      <c r="A812" s="1" t="n">
        <v>2009</v>
      </c>
      <c r="B812" s="1" t="n">
        <v>1</v>
      </c>
      <c r="C812" s="2" t="s">
        <v>50</v>
      </c>
      <c r="D812" s="7" t="s">
        <v>51</v>
      </c>
      <c r="E812" s="1" t="n">
        <v>1</v>
      </c>
      <c r="F812" s="1" t="n">
        <f aca="false">Y812-X812</f>
        <v>5</v>
      </c>
      <c r="G812" s="1" t="n">
        <v>5</v>
      </c>
      <c r="H812" s="3" t="s">
        <v>48</v>
      </c>
      <c r="I812" s="3" t="s">
        <v>61</v>
      </c>
      <c r="J812" s="3" t="s">
        <v>82</v>
      </c>
      <c r="K812" s="2" t="str">
        <f aca="false">CONCATENATE(I812," ",J812)</f>
        <v>Trochosa terricola</v>
      </c>
      <c r="L812" s="3" t="n">
        <f aca="false">SUM(P812:U812)</f>
        <v>1</v>
      </c>
      <c r="M812" s="11" t="n">
        <f aca="false">(L812/(F812*G812)*25)*4</f>
        <v>4</v>
      </c>
      <c r="N812" s="1" t="s">
        <v>30</v>
      </c>
      <c r="O812" s="1" t="s">
        <v>35</v>
      </c>
      <c r="P812" s="1" t="n">
        <v>0</v>
      </c>
      <c r="Q812" s="1" t="n">
        <v>1</v>
      </c>
      <c r="R812" s="1" t="n">
        <v>0</v>
      </c>
      <c r="S812" s="1" t="n">
        <v>0</v>
      </c>
      <c r="T812" s="1" t="n">
        <v>0</v>
      </c>
      <c r="U812" s="1" t="n">
        <v>0</v>
      </c>
      <c r="V812" s="3" t="n">
        <f aca="false">SUM(P812:Q812)</f>
        <v>1</v>
      </c>
      <c r="W812" s="3" t="n">
        <f aca="false">SUM(R812:T812)</f>
        <v>0</v>
      </c>
      <c r="X812" s="10" t="n">
        <v>39969</v>
      </c>
      <c r="Y812" s="10" t="n">
        <v>39974</v>
      </c>
    </row>
    <row r="813" customFormat="false" ht="14.25" hidden="false" customHeight="false" outlineLevel="0" collapsed="false">
      <c r="A813" s="1" t="n">
        <v>2009</v>
      </c>
      <c r="B813" s="1" t="n">
        <v>1</v>
      </c>
      <c r="C813" s="2" t="s">
        <v>50</v>
      </c>
      <c r="D813" s="7" t="s">
        <v>51</v>
      </c>
      <c r="E813" s="1" t="n">
        <v>1</v>
      </c>
      <c r="F813" s="1" t="n">
        <f aca="false">Y813-X813</f>
        <v>5</v>
      </c>
      <c r="G813" s="1" t="n">
        <v>5</v>
      </c>
      <c r="H813" s="13" t="s">
        <v>195</v>
      </c>
      <c r="I813" s="13" t="s">
        <v>196</v>
      </c>
      <c r="J813" s="14" t="s">
        <v>197</v>
      </c>
      <c r="K813" s="2" t="str">
        <f aca="false">CONCATENATE(I813," ",J813)</f>
        <v>Pachygnatha listeri</v>
      </c>
      <c r="L813" s="3" t="n">
        <f aca="false">SUM(P813:U813)</f>
        <v>1</v>
      </c>
      <c r="M813" s="11" t="n">
        <f aca="false">(L813/(F813*G813)*25)*4</f>
        <v>4</v>
      </c>
      <c r="N813" s="1" t="s">
        <v>30</v>
      </c>
      <c r="O813" s="1" t="s">
        <v>35</v>
      </c>
      <c r="P813" s="1" t="n">
        <v>0</v>
      </c>
      <c r="Q813" s="1" t="n">
        <v>1</v>
      </c>
      <c r="R813" s="1" t="n">
        <v>0</v>
      </c>
      <c r="S813" s="1" t="n">
        <v>0</v>
      </c>
      <c r="T813" s="1" t="n">
        <v>0</v>
      </c>
      <c r="U813" s="1" t="n">
        <v>0</v>
      </c>
      <c r="V813" s="3" t="n">
        <f aca="false">SUM(P813:Q813)</f>
        <v>1</v>
      </c>
      <c r="W813" s="3" t="n">
        <f aca="false">SUM(R813:T813)</f>
        <v>0</v>
      </c>
      <c r="X813" s="10" t="n">
        <v>39969</v>
      </c>
      <c r="Y813" s="10" t="n">
        <v>39974</v>
      </c>
    </row>
    <row r="814" customFormat="false" ht="14.25" hidden="false" customHeight="false" outlineLevel="0" collapsed="false">
      <c r="A814" s="1" t="n">
        <v>2009</v>
      </c>
      <c r="B814" s="1" t="n">
        <v>1</v>
      </c>
      <c r="C814" s="2" t="s">
        <v>50</v>
      </c>
      <c r="D814" s="7" t="s">
        <v>51</v>
      </c>
      <c r="E814" s="1" t="n">
        <v>1</v>
      </c>
      <c r="F814" s="1" t="n">
        <f aca="false">Y814-X814</f>
        <v>5</v>
      </c>
      <c r="G814" s="1" t="n">
        <v>5</v>
      </c>
      <c r="H814" s="3" t="s">
        <v>72</v>
      </c>
      <c r="I814" s="3" t="s">
        <v>73</v>
      </c>
      <c r="J814" s="3" t="s">
        <v>38</v>
      </c>
      <c r="K814" s="2" t="str">
        <f aca="false">CONCATENATE(I814," ",J814)</f>
        <v>Zelotes sp</v>
      </c>
      <c r="L814" s="3" t="n">
        <f aca="false">SUM(P814:U814)</f>
        <v>1</v>
      </c>
      <c r="M814" s="11" t="n">
        <f aca="false">(L814/(F814*G814)*25)*4</f>
        <v>4</v>
      </c>
      <c r="N814" s="1" t="s">
        <v>19</v>
      </c>
      <c r="O814" s="1" t="s">
        <v>54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1</v>
      </c>
      <c r="U814" s="1" t="n">
        <v>0</v>
      </c>
      <c r="V814" s="3" t="n">
        <f aca="false">SUM(P814:Q814)</f>
        <v>0</v>
      </c>
      <c r="W814" s="3" t="n">
        <f aca="false">SUM(R814:T814)</f>
        <v>1</v>
      </c>
      <c r="X814" s="10" t="n">
        <v>39969</v>
      </c>
      <c r="Y814" s="10" t="n">
        <v>39974</v>
      </c>
    </row>
    <row r="815" customFormat="false" ht="14.25" hidden="false" customHeight="false" outlineLevel="0" collapsed="false">
      <c r="A815" s="1" t="n">
        <v>2009</v>
      </c>
      <c r="B815" s="1" t="n">
        <v>1</v>
      </c>
      <c r="C815" s="2" t="s">
        <v>50</v>
      </c>
      <c r="D815" s="7" t="s">
        <v>51</v>
      </c>
      <c r="E815" s="1" t="n">
        <v>1</v>
      </c>
      <c r="F815" s="1" t="n">
        <f aca="false">Y815-X815</f>
        <v>5</v>
      </c>
      <c r="G815" s="1" t="n">
        <v>5</v>
      </c>
      <c r="H815" s="3" t="s">
        <v>32</v>
      </c>
      <c r="I815" s="3" t="s">
        <v>113</v>
      </c>
      <c r="J815" s="8" t="s">
        <v>114</v>
      </c>
      <c r="K815" s="2" t="str">
        <f aca="false">CONCATENATE(I815," ",J815)</f>
        <v>Ceratinella brevipes</v>
      </c>
      <c r="L815" s="3" t="n">
        <f aca="false">SUM(P815:U815)</f>
        <v>1</v>
      </c>
      <c r="M815" s="11" t="n">
        <f aca="false">(L815/(F815*G815)*25)*4</f>
        <v>4</v>
      </c>
      <c r="N815" s="1" t="s">
        <v>30</v>
      </c>
      <c r="O815" s="1" t="s">
        <v>35</v>
      </c>
      <c r="P815" s="1" t="n">
        <v>0</v>
      </c>
      <c r="Q815" s="1" t="n">
        <v>1</v>
      </c>
      <c r="R815" s="1" t="n">
        <v>0</v>
      </c>
      <c r="S815" s="1" t="n">
        <v>0</v>
      </c>
      <c r="T815" s="1" t="n">
        <v>0</v>
      </c>
      <c r="U815" s="1" t="n">
        <v>0</v>
      </c>
      <c r="V815" s="3" t="n">
        <f aca="false">SUM(P815:Q815)</f>
        <v>1</v>
      </c>
      <c r="W815" s="3" t="n">
        <f aca="false">SUM(R815:T815)</f>
        <v>0</v>
      </c>
      <c r="X815" s="10" t="n">
        <v>39969</v>
      </c>
      <c r="Y815" s="10" t="n">
        <v>39974</v>
      </c>
    </row>
    <row r="816" customFormat="false" ht="14.25" hidden="false" customHeight="false" outlineLevel="0" collapsed="false">
      <c r="A816" s="1" t="n">
        <v>2009</v>
      </c>
      <c r="B816" s="1" t="n">
        <v>1</v>
      </c>
      <c r="C816" s="2" t="s">
        <v>50</v>
      </c>
      <c r="D816" s="7" t="s">
        <v>51</v>
      </c>
      <c r="E816" s="1" t="n">
        <v>1</v>
      </c>
      <c r="F816" s="1" t="n">
        <f aca="false">Y816-X816</f>
        <v>5</v>
      </c>
      <c r="G816" s="1" t="n">
        <v>5</v>
      </c>
      <c r="H816" s="13" t="s">
        <v>32</v>
      </c>
      <c r="I816" s="13" t="s">
        <v>96</v>
      </c>
      <c r="J816" s="14" t="s">
        <v>97</v>
      </c>
      <c r="K816" s="2" t="str">
        <f aca="false">CONCATENATE(I816," ",J816)</f>
        <v>Diplocephalus picinus</v>
      </c>
      <c r="L816" s="3" t="n">
        <f aca="false">SUM(P816:U816)</f>
        <v>1</v>
      </c>
      <c r="M816" s="11" t="n">
        <f aca="false">(L816/(F816*G816)*25)*4</f>
        <v>4</v>
      </c>
      <c r="N816" s="1" t="s">
        <v>30</v>
      </c>
      <c r="O816" s="1" t="s">
        <v>31</v>
      </c>
      <c r="P816" s="1" t="n">
        <v>1</v>
      </c>
      <c r="Q816" s="1" t="n">
        <v>0</v>
      </c>
      <c r="R816" s="1" t="n">
        <v>0</v>
      </c>
      <c r="S816" s="1" t="n">
        <v>0</v>
      </c>
      <c r="T816" s="1" t="n">
        <v>0</v>
      </c>
      <c r="U816" s="1" t="n">
        <v>0</v>
      </c>
      <c r="V816" s="3" t="n">
        <f aca="false">SUM(P816:Q816)</f>
        <v>1</v>
      </c>
      <c r="W816" s="3" t="n">
        <f aca="false">SUM(R816:T816)</f>
        <v>0</v>
      </c>
      <c r="X816" s="10" t="n">
        <v>39969</v>
      </c>
      <c r="Y816" s="10" t="n">
        <v>39974</v>
      </c>
    </row>
    <row r="817" customFormat="false" ht="14.25" hidden="false" customHeight="false" outlineLevel="0" collapsed="false">
      <c r="A817" s="1" t="n">
        <v>2009</v>
      </c>
      <c r="B817" s="1" t="n">
        <v>1</v>
      </c>
      <c r="C817" s="2" t="s">
        <v>50</v>
      </c>
      <c r="D817" s="7" t="s">
        <v>51</v>
      </c>
      <c r="E817" s="1" t="n">
        <v>1</v>
      </c>
      <c r="F817" s="1" t="n">
        <f aca="false">Y817-X817</f>
        <v>5</v>
      </c>
      <c r="G817" s="1" t="n">
        <v>5</v>
      </c>
      <c r="H817" s="13" t="s">
        <v>32</v>
      </c>
      <c r="I817" s="13" t="s">
        <v>84</v>
      </c>
      <c r="J817" s="14" t="s">
        <v>173</v>
      </c>
      <c r="K817" s="2" t="str">
        <f aca="false">CONCATENATE(I817," ",J817)</f>
        <v>Walckenaeria mitrata</v>
      </c>
      <c r="L817" s="3" t="n">
        <f aca="false">SUM(P817:U817)</f>
        <v>1</v>
      </c>
      <c r="M817" s="11" t="n">
        <f aca="false">(L817/(F817*G817)*25)*4</f>
        <v>4</v>
      </c>
      <c r="N817" s="1" t="s">
        <v>30</v>
      </c>
      <c r="O817" s="1" t="s">
        <v>35</v>
      </c>
      <c r="P817" s="1" t="n">
        <v>0</v>
      </c>
      <c r="Q817" s="1" t="n">
        <v>1</v>
      </c>
      <c r="R817" s="1" t="n">
        <v>0</v>
      </c>
      <c r="S817" s="1" t="n">
        <v>0</v>
      </c>
      <c r="T817" s="1" t="n">
        <v>0</v>
      </c>
      <c r="U817" s="1" t="n">
        <v>0</v>
      </c>
      <c r="V817" s="3" t="n">
        <f aca="false">SUM(P817:Q817)</f>
        <v>1</v>
      </c>
      <c r="W817" s="3" t="n">
        <f aca="false">SUM(R817:T817)</f>
        <v>0</v>
      </c>
      <c r="X817" s="10" t="n">
        <v>39969</v>
      </c>
      <c r="Y817" s="10" t="n">
        <v>39974</v>
      </c>
    </row>
    <row r="818" customFormat="false" ht="14.25" hidden="false" customHeight="false" outlineLevel="0" collapsed="false">
      <c r="A818" s="1" t="n">
        <v>2009</v>
      </c>
      <c r="B818" s="1" t="n">
        <v>1</v>
      </c>
      <c r="C818" s="2" t="s">
        <v>50</v>
      </c>
      <c r="D818" s="7" t="s">
        <v>51</v>
      </c>
      <c r="E818" s="1" t="n">
        <v>1</v>
      </c>
      <c r="F818" s="1" t="n">
        <f aca="false">Y818-X818</f>
        <v>5</v>
      </c>
      <c r="G818" s="1" t="n">
        <v>5</v>
      </c>
      <c r="H818" s="3" t="s">
        <v>32</v>
      </c>
      <c r="I818" s="3" t="s">
        <v>57</v>
      </c>
      <c r="J818" s="3" t="s">
        <v>38</v>
      </c>
      <c r="K818" s="2" t="str">
        <f aca="false">CONCATENATE(I818," ",J818)</f>
        <v>Gen sp</v>
      </c>
      <c r="L818" s="3" t="n">
        <f aca="false">SUM(P818:U818)</f>
        <v>2</v>
      </c>
      <c r="M818" s="11" t="n">
        <f aca="false">(L818/(F818*G818)*25)*4</f>
        <v>8</v>
      </c>
      <c r="N818" s="1" t="s">
        <v>19</v>
      </c>
      <c r="O818" s="1" t="s">
        <v>54</v>
      </c>
      <c r="P818" s="1" t="n">
        <v>0</v>
      </c>
      <c r="Q818" s="1" t="n">
        <v>0</v>
      </c>
      <c r="R818" s="1" t="n">
        <v>0</v>
      </c>
      <c r="S818" s="1" t="n">
        <v>0</v>
      </c>
      <c r="T818" s="1" t="n">
        <v>2</v>
      </c>
      <c r="U818" s="1" t="n">
        <v>0</v>
      </c>
      <c r="V818" s="3" t="n">
        <f aca="false">SUM(P818:Q818)</f>
        <v>0</v>
      </c>
      <c r="W818" s="3" t="n">
        <f aca="false">SUM(R818:T818)</f>
        <v>2</v>
      </c>
      <c r="X818" s="10" t="n">
        <v>39969</v>
      </c>
      <c r="Y818" s="10" t="n">
        <v>39974</v>
      </c>
    </row>
    <row r="819" customFormat="false" ht="14.25" hidden="false" customHeight="false" outlineLevel="0" collapsed="false">
      <c r="A819" s="1" t="n">
        <v>2009</v>
      </c>
      <c r="B819" s="1" t="n">
        <v>1</v>
      </c>
      <c r="C819" s="2" t="s">
        <v>50</v>
      </c>
      <c r="D819" s="7" t="s">
        <v>51</v>
      </c>
      <c r="E819" s="1" t="n">
        <v>2</v>
      </c>
      <c r="F819" s="1" t="n">
        <f aca="false">Y819-X819</f>
        <v>5</v>
      </c>
      <c r="G819" s="1" t="n">
        <v>5</v>
      </c>
      <c r="H819" s="3" t="s">
        <v>48</v>
      </c>
      <c r="I819" s="3" t="s">
        <v>49</v>
      </c>
      <c r="J819" s="3" t="s">
        <v>104</v>
      </c>
      <c r="K819" s="2" t="str">
        <f aca="false">CONCATENATE(I819," ",J819)</f>
        <v>Alopecosa taeniata</v>
      </c>
      <c r="L819" s="3" t="n">
        <f aca="false">SUM(P819:U819)</f>
        <v>1</v>
      </c>
      <c r="M819" s="11" t="n">
        <f aca="false">(L819/(F819*G819)*25)*4</f>
        <v>4</v>
      </c>
      <c r="N819" s="1" t="s">
        <v>30</v>
      </c>
      <c r="O819" s="1" t="s">
        <v>31</v>
      </c>
      <c r="P819" s="1" t="n">
        <v>1</v>
      </c>
      <c r="Q819" s="1" t="n">
        <v>0</v>
      </c>
      <c r="R819" s="1" t="n">
        <v>0</v>
      </c>
      <c r="S819" s="1" t="n">
        <v>0</v>
      </c>
      <c r="T819" s="1" t="n">
        <v>0</v>
      </c>
      <c r="U819" s="1" t="n">
        <v>0</v>
      </c>
      <c r="V819" s="3" t="n">
        <f aca="false">SUM(P819:Q819)</f>
        <v>1</v>
      </c>
      <c r="W819" s="3" t="n">
        <f aca="false">SUM(R819:T819)</f>
        <v>0</v>
      </c>
      <c r="X819" s="10" t="n">
        <v>39969</v>
      </c>
      <c r="Y819" s="10" t="n">
        <v>39974</v>
      </c>
    </row>
    <row r="820" customFormat="false" ht="14.25" hidden="false" customHeight="false" outlineLevel="0" collapsed="false">
      <c r="A820" s="1" t="n">
        <v>2009</v>
      </c>
      <c r="B820" s="1" t="n">
        <v>1</v>
      </c>
      <c r="C820" s="2" t="s">
        <v>50</v>
      </c>
      <c r="D820" s="7" t="s">
        <v>51</v>
      </c>
      <c r="E820" s="1" t="n">
        <v>2</v>
      </c>
      <c r="F820" s="1" t="n">
        <f aca="false">Y820-X820</f>
        <v>5</v>
      </c>
      <c r="G820" s="1" t="n">
        <v>5</v>
      </c>
      <c r="H820" s="3" t="s">
        <v>48</v>
      </c>
      <c r="I820" s="3" t="s">
        <v>67</v>
      </c>
      <c r="J820" s="3" t="s">
        <v>127</v>
      </c>
      <c r="K820" s="2" t="str">
        <f aca="false">CONCATENATE(I820," ",J820)</f>
        <v>Pardosa lugubris</v>
      </c>
      <c r="L820" s="3" t="n">
        <f aca="false">SUM(P820:U820)</f>
        <v>9</v>
      </c>
      <c r="M820" s="11" t="n">
        <f aca="false">(L820/(F820*G820)*25)*4</f>
        <v>36</v>
      </c>
      <c r="N820" s="1" t="s">
        <v>30</v>
      </c>
      <c r="O820" s="1" t="s">
        <v>31</v>
      </c>
      <c r="P820" s="1" t="n">
        <v>9</v>
      </c>
      <c r="Q820" s="1" t="n">
        <v>0</v>
      </c>
      <c r="R820" s="1" t="n">
        <v>0</v>
      </c>
      <c r="S820" s="1" t="n">
        <v>0</v>
      </c>
      <c r="T820" s="1" t="n">
        <v>0</v>
      </c>
      <c r="U820" s="1" t="n">
        <v>0</v>
      </c>
      <c r="V820" s="3" t="n">
        <f aca="false">SUM(P820:Q820)</f>
        <v>9</v>
      </c>
      <c r="W820" s="3" t="n">
        <f aca="false">SUM(R820:T820)</f>
        <v>0</v>
      </c>
      <c r="X820" s="10" t="n">
        <v>39969</v>
      </c>
      <c r="Y820" s="10" t="n">
        <v>39974</v>
      </c>
    </row>
    <row r="821" customFormat="false" ht="14.25" hidden="false" customHeight="false" outlineLevel="0" collapsed="false">
      <c r="A821" s="1" t="n">
        <v>2009</v>
      </c>
      <c r="B821" s="1" t="n">
        <v>1</v>
      </c>
      <c r="C821" s="2" t="s">
        <v>50</v>
      </c>
      <c r="D821" s="7" t="s">
        <v>51</v>
      </c>
      <c r="E821" s="1" t="n">
        <v>2</v>
      </c>
      <c r="F821" s="1" t="n">
        <f aca="false">Y821-X821</f>
        <v>5</v>
      </c>
      <c r="G821" s="1" t="n">
        <v>5</v>
      </c>
      <c r="H821" s="3" t="s">
        <v>48</v>
      </c>
      <c r="I821" s="3" t="s">
        <v>61</v>
      </c>
      <c r="J821" s="3" t="s">
        <v>82</v>
      </c>
      <c r="K821" s="2" t="str">
        <f aca="false">CONCATENATE(I821," ",J821)</f>
        <v>Trochosa terricola</v>
      </c>
      <c r="L821" s="3" t="n">
        <f aca="false">SUM(P821:U821)</f>
        <v>1</v>
      </c>
      <c r="M821" s="11" t="n">
        <f aca="false">(L821/(F821*G821)*25)*4</f>
        <v>4</v>
      </c>
      <c r="N821" s="1" t="s">
        <v>30</v>
      </c>
      <c r="O821" s="1" t="s">
        <v>35</v>
      </c>
      <c r="P821" s="1" t="n">
        <v>0</v>
      </c>
      <c r="Q821" s="1" t="n">
        <v>1</v>
      </c>
      <c r="R821" s="1" t="n">
        <v>0</v>
      </c>
      <c r="S821" s="1" t="n">
        <v>0</v>
      </c>
      <c r="T821" s="1" t="n">
        <v>0</v>
      </c>
      <c r="U821" s="1" t="n">
        <v>0</v>
      </c>
      <c r="V821" s="3" t="n">
        <f aca="false">SUM(P821:Q821)</f>
        <v>1</v>
      </c>
      <c r="W821" s="3" t="n">
        <f aca="false">SUM(R821:T821)</f>
        <v>0</v>
      </c>
      <c r="X821" s="10" t="n">
        <v>39969</v>
      </c>
      <c r="Y821" s="10" t="n">
        <v>39974</v>
      </c>
    </row>
    <row r="822" customFormat="false" ht="14.25" hidden="false" customHeight="false" outlineLevel="0" collapsed="false">
      <c r="A822" s="1" t="n">
        <v>2009</v>
      </c>
      <c r="B822" s="1" t="n">
        <v>1</v>
      </c>
      <c r="C822" s="2" t="s">
        <v>50</v>
      </c>
      <c r="D822" s="7" t="s">
        <v>51</v>
      </c>
      <c r="E822" s="1" t="n">
        <v>2</v>
      </c>
      <c r="F822" s="1" t="n">
        <f aca="false">Y822-X822</f>
        <v>5</v>
      </c>
      <c r="G822" s="1" t="n">
        <v>5</v>
      </c>
      <c r="H822" s="3" t="s">
        <v>48</v>
      </c>
      <c r="I822" s="3" t="s">
        <v>61</v>
      </c>
      <c r="J822" s="3" t="s">
        <v>38</v>
      </c>
      <c r="K822" s="2" t="str">
        <f aca="false">CONCATENATE(I822," ",J822)</f>
        <v>Trochosa sp</v>
      </c>
      <c r="L822" s="3" t="n">
        <f aca="false">SUM(P822:U822)</f>
        <v>1</v>
      </c>
      <c r="M822" s="11" t="n">
        <f aca="false">(L822/(F822*G822)*25)*4</f>
        <v>4</v>
      </c>
      <c r="N822" s="1" t="s">
        <v>19</v>
      </c>
      <c r="O822" s="1" t="s">
        <v>54</v>
      </c>
      <c r="P822" s="1" t="n">
        <v>0</v>
      </c>
      <c r="Q822" s="1" t="n">
        <v>0</v>
      </c>
      <c r="R822" s="1" t="n">
        <v>0</v>
      </c>
      <c r="S822" s="1" t="n">
        <v>0</v>
      </c>
      <c r="T822" s="1" t="n">
        <v>1</v>
      </c>
      <c r="U822" s="1" t="n">
        <v>0</v>
      </c>
      <c r="V822" s="3" t="n">
        <f aca="false">SUM(P822:Q822)</f>
        <v>0</v>
      </c>
      <c r="W822" s="3" t="n">
        <f aca="false">SUM(R822:T822)</f>
        <v>1</v>
      </c>
      <c r="X822" s="10" t="n">
        <v>39969</v>
      </c>
      <c r="Y822" s="10" t="n">
        <v>39974</v>
      </c>
    </row>
    <row r="823" customFormat="false" ht="14.25" hidden="false" customHeight="false" outlineLevel="0" collapsed="false">
      <c r="A823" s="1" t="n">
        <v>2009</v>
      </c>
      <c r="B823" s="1" t="n">
        <v>1</v>
      </c>
      <c r="C823" s="2" t="s">
        <v>50</v>
      </c>
      <c r="D823" s="7" t="s">
        <v>51</v>
      </c>
      <c r="E823" s="1" t="n">
        <v>2</v>
      </c>
      <c r="F823" s="1" t="n">
        <f aca="false">Y823-X823</f>
        <v>5</v>
      </c>
      <c r="G823" s="1" t="n">
        <v>5</v>
      </c>
      <c r="H823" s="3" t="s">
        <v>48</v>
      </c>
      <c r="I823" s="3" t="s">
        <v>57</v>
      </c>
      <c r="J823" s="3" t="s">
        <v>38</v>
      </c>
      <c r="K823" s="2" t="str">
        <f aca="false">CONCATENATE(I823," ",J823)</f>
        <v>Gen sp</v>
      </c>
      <c r="L823" s="3" t="n">
        <f aca="false">SUM(P823:U823)</f>
        <v>2</v>
      </c>
      <c r="M823" s="11" t="n">
        <f aca="false">(L823/(F823*G823)*25)*4</f>
        <v>8</v>
      </c>
      <c r="N823" s="1" t="s">
        <v>19</v>
      </c>
      <c r="O823" s="1" t="s">
        <v>54</v>
      </c>
      <c r="P823" s="1" t="n">
        <v>0</v>
      </c>
      <c r="Q823" s="1" t="n">
        <v>0</v>
      </c>
      <c r="R823" s="1" t="n">
        <v>0</v>
      </c>
      <c r="S823" s="1" t="n">
        <v>0</v>
      </c>
      <c r="T823" s="1" t="n">
        <v>2</v>
      </c>
      <c r="U823" s="1" t="n">
        <v>0</v>
      </c>
      <c r="V823" s="3" t="n">
        <f aca="false">SUM(P823:Q823)</f>
        <v>0</v>
      </c>
      <c r="W823" s="3" t="n">
        <f aca="false">SUM(R823:T823)</f>
        <v>2</v>
      </c>
      <c r="X823" s="10" t="n">
        <v>39969</v>
      </c>
      <c r="Y823" s="10" t="n">
        <v>39974</v>
      </c>
    </row>
    <row r="824" customFormat="false" ht="14.25" hidden="false" customHeight="false" outlineLevel="0" collapsed="false">
      <c r="A824" s="1" t="n">
        <v>2009</v>
      </c>
      <c r="B824" s="1" t="n">
        <v>1</v>
      </c>
      <c r="C824" s="2" t="s">
        <v>50</v>
      </c>
      <c r="D824" s="7" t="s">
        <v>51</v>
      </c>
      <c r="E824" s="1" t="n">
        <v>2</v>
      </c>
      <c r="F824" s="1" t="n">
        <f aca="false">Y824-X824</f>
        <v>5</v>
      </c>
      <c r="G824" s="1" t="n">
        <v>5</v>
      </c>
      <c r="H824" s="3" t="s">
        <v>72</v>
      </c>
      <c r="I824" s="3" t="s">
        <v>86</v>
      </c>
      <c r="J824" s="8" t="s">
        <v>87</v>
      </c>
      <c r="K824" s="2" t="str">
        <f aca="false">CONCATENATE(I824," ",J824)</f>
        <v>Haplodrassus soerenseni</v>
      </c>
      <c r="L824" s="3" t="n">
        <f aca="false">SUM(P824:U824)</f>
        <v>1</v>
      </c>
      <c r="M824" s="11" t="n">
        <f aca="false">(L824/(F824*G824)*25)*4</f>
        <v>4</v>
      </c>
      <c r="N824" s="1" t="s">
        <v>30</v>
      </c>
      <c r="O824" s="1" t="s">
        <v>31</v>
      </c>
      <c r="P824" s="1" t="n">
        <v>1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0</v>
      </c>
      <c r="V824" s="3" t="n">
        <f aca="false">SUM(P824:Q824)</f>
        <v>1</v>
      </c>
      <c r="W824" s="3" t="n">
        <f aca="false">SUM(R824:T824)</f>
        <v>0</v>
      </c>
      <c r="X824" s="10" t="n">
        <v>39969</v>
      </c>
      <c r="Y824" s="10" t="n">
        <v>39974</v>
      </c>
    </row>
    <row r="825" customFormat="false" ht="14.25" hidden="false" customHeight="false" outlineLevel="0" collapsed="false">
      <c r="A825" s="1" t="n">
        <v>2009</v>
      </c>
      <c r="B825" s="1" t="n">
        <v>1</v>
      </c>
      <c r="C825" s="2" t="s">
        <v>50</v>
      </c>
      <c r="D825" s="7" t="s">
        <v>51</v>
      </c>
      <c r="E825" s="1" t="n">
        <v>2</v>
      </c>
      <c r="F825" s="1" t="n">
        <f aca="false">Y825-X825</f>
        <v>5</v>
      </c>
      <c r="G825" s="1" t="n">
        <v>5</v>
      </c>
      <c r="H825" s="3" t="s">
        <v>72</v>
      </c>
      <c r="I825" s="3" t="s">
        <v>86</v>
      </c>
      <c r="J825" s="3" t="s">
        <v>209</v>
      </c>
      <c r="K825" s="2" t="str">
        <f aca="false">CONCATENATE(I825," ",J825)</f>
        <v>Haplodrassus cognatus</v>
      </c>
      <c r="L825" s="3" t="n">
        <f aca="false">SUM(P825:U825)</f>
        <v>1</v>
      </c>
      <c r="M825" s="11" t="n">
        <f aca="false">(L825/(F825*G825)*25)*4</f>
        <v>4</v>
      </c>
      <c r="N825" s="1" t="s">
        <v>30</v>
      </c>
      <c r="O825" s="1" t="s">
        <v>31</v>
      </c>
      <c r="P825" s="1" t="n">
        <v>1</v>
      </c>
      <c r="Q825" s="1" t="n">
        <v>0</v>
      </c>
      <c r="R825" s="1" t="n">
        <v>0</v>
      </c>
      <c r="S825" s="1" t="n">
        <v>0</v>
      </c>
      <c r="T825" s="1" t="n">
        <v>0</v>
      </c>
      <c r="U825" s="1" t="n">
        <v>0</v>
      </c>
      <c r="V825" s="3" t="n">
        <f aca="false">SUM(P825:Q825)</f>
        <v>1</v>
      </c>
      <c r="W825" s="3" t="n">
        <f aca="false">SUM(R825:T825)</f>
        <v>0</v>
      </c>
      <c r="X825" s="10" t="n">
        <v>39969</v>
      </c>
      <c r="Y825" s="10" t="n">
        <v>39974</v>
      </c>
    </row>
    <row r="826" customFormat="false" ht="14.25" hidden="false" customHeight="false" outlineLevel="0" collapsed="false">
      <c r="A826" s="1" t="n">
        <v>2009</v>
      </c>
      <c r="B826" s="1" t="n">
        <v>1</v>
      </c>
      <c r="C826" s="2" t="s">
        <v>50</v>
      </c>
      <c r="D826" s="7" t="s">
        <v>51</v>
      </c>
      <c r="E826" s="1" t="n">
        <v>2</v>
      </c>
      <c r="F826" s="1" t="n">
        <f aca="false">Y826-X826</f>
        <v>5</v>
      </c>
      <c r="G826" s="1" t="n">
        <v>5</v>
      </c>
      <c r="H826" s="3" t="s">
        <v>36</v>
      </c>
      <c r="I826" s="3" t="s">
        <v>37</v>
      </c>
      <c r="J826" s="8" t="s">
        <v>75</v>
      </c>
      <c r="K826" s="2" t="str">
        <f aca="false">CONCATENATE(I826," ",J826)</f>
        <v>Ozyptila praticola</v>
      </c>
      <c r="L826" s="3" t="n">
        <f aca="false">SUM(P826:U826)</f>
        <v>2</v>
      </c>
      <c r="M826" s="11" t="n">
        <f aca="false">(L826/(F826*G826)*25)*4</f>
        <v>8</v>
      </c>
      <c r="N826" s="1" t="s">
        <v>30</v>
      </c>
      <c r="O826" s="1" t="s">
        <v>35</v>
      </c>
      <c r="P826" s="1" t="n">
        <v>0</v>
      </c>
      <c r="Q826" s="1" t="n">
        <v>2</v>
      </c>
      <c r="R826" s="1" t="n">
        <v>0</v>
      </c>
      <c r="S826" s="1" t="n">
        <v>0</v>
      </c>
      <c r="T826" s="1" t="n">
        <v>0</v>
      </c>
      <c r="U826" s="1" t="n">
        <v>0</v>
      </c>
      <c r="V826" s="3" t="n">
        <f aca="false">SUM(P826:Q826)</f>
        <v>2</v>
      </c>
      <c r="W826" s="3" t="n">
        <f aca="false">SUM(R826:T826)</f>
        <v>0</v>
      </c>
      <c r="X826" s="10" t="n">
        <v>39969</v>
      </c>
      <c r="Y826" s="10" t="n">
        <v>39974</v>
      </c>
    </row>
    <row r="827" customFormat="false" ht="14.25" hidden="false" customHeight="false" outlineLevel="0" collapsed="false">
      <c r="A827" s="1" t="n">
        <v>2009</v>
      </c>
      <c r="B827" s="1" t="n">
        <v>1</v>
      </c>
      <c r="C827" s="2" t="s">
        <v>50</v>
      </c>
      <c r="D827" s="7" t="s">
        <v>51</v>
      </c>
      <c r="E827" s="1" t="n">
        <v>2</v>
      </c>
      <c r="F827" s="1" t="n">
        <f aca="false">Y827-X827</f>
        <v>5</v>
      </c>
      <c r="G827" s="1" t="n">
        <v>5</v>
      </c>
      <c r="H827" s="3" t="s">
        <v>36</v>
      </c>
      <c r="I827" s="3" t="s">
        <v>131</v>
      </c>
      <c r="J827" s="3" t="s">
        <v>133</v>
      </c>
      <c r="K827" s="2" t="str">
        <f aca="false">CONCATENATE(I827," ",J827)</f>
        <v>Xysticus luctuosus</v>
      </c>
      <c r="L827" s="3" t="n">
        <f aca="false">SUM(P827:U827)</f>
        <v>2</v>
      </c>
      <c r="M827" s="11" t="n">
        <f aca="false">(L827/(F827*G827)*25)*4</f>
        <v>8</v>
      </c>
      <c r="N827" s="1" t="s">
        <v>30</v>
      </c>
      <c r="O827" s="1" t="s">
        <v>31</v>
      </c>
      <c r="P827" s="1" t="n">
        <v>2</v>
      </c>
      <c r="Q827" s="1" t="n">
        <v>0</v>
      </c>
      <c r="R827" s="1" t="n">
        <v>0</v>
      </c>
      <c r="S827" s="1" t="n">
        <v>0</v>
      </c>
      <c r="T827" s="1" t="n">
        <v>0</v>
      </c>
      <c r="U827" s="1" t="n">
        <v>0</v>
      </c>
      <c r="V827" s="3" t="n">
        <f aca="false">SUM(P827:Q827)</f>
        <v>2</v>
      </c>
      <c r="W827" s="3" t="n">
        <f aca="false">SUM(R827:T827)</f>
        <v>0</v>
      </c>
      <c r="X827" s="10" t="n">
        <v>39969</v>
      </c>
      <c r="Y827" s="10" t="n">
        <v>39974</v>
      </c>
    </row>
    <row r="828" customFormat="false" ht="14.25" hidden="false" customHeight="false" outlineLevel="0" collapsed="false">
      <c r="A828" s="1" t="n">
        <v>2009</v>
      </c>
      <c r="B828" s="1" t="n">
        <v>1</v>
      </c>
      <c r="C828" s="2" t="s">
        <v>50</v>
      </c>
      <c r="D828" s="7" t="s">
        <v>51</v>
      </c>
      <c r="E828" s="1" t="n">
        <v>2</v>
      </c>
      <c r="F828" s="1" t="n">
        <f aca="false">Y828-X828</f>
        <v>5</v>
      </c>
      <c r="G828" s="1" t="n">
        <v>5</v>
      </c>
      <c r="H828" s="3" t="s">
        <v>36</v>
      </c>
      <c r="I828" s="3" t="s">
        <v>131</v>
      </c>
      <c r="J828" s="3" t="s">
        <v>133</v>
      </c>
      <c r="K828" s="2" t="str">
        <f aca="false">CONCATENATE(I828," ",J828)</f>
        <v>Xysticus luctuosus</v>
      </c>
      <c r="L828" s="3" t="n">
        <f aca="false">SUM(P828:U828)</f>
        <v>1</v>
      </c>
      <c r="M828" s="11" t="n">
        <f aca="false">(L828/(F828*G828)*25)*4</f>
        <v>4</v>
      </c>
      <c r="N828" s="1" t="s">
        <v>30</v>
      </c>
      <c r="O828" s="1" t="s">
        <v>35</v>
      </c>
      <c r="P828" s="1" t="n">
        <v>0</v>
      </c>
      <c r="Q828" s="1" t="n">
        <v>1</v>
      </c>
      <c r="R828" s="1" t="n">
        <v>0</v>
      </c>
      <c r="S828" s="1" t="n">
        <v>0</v>
      </c>
      <c r="T828" s="1" t="n">
        <v>0</v>
      </c>
      <c r="U828" s="1" t="n">
        <v>0</v>
      </c>
      <c r="V828" s="3" t="n">
        <f aca="false">SUM(P828:Q828)</f>
        <v>1</v>
      </c>
      <c r="W828" s="3" t="n">
        <f aca="false">SUM(R828:T828)</f>
        <v>0</v>
      </c>
      <c r="X828" s="10" t="n">
        <v>39969</v>
      </c>
      <c r="Y828" s="10" t="n">
        <v>39974</v>
      </c>
    </row>
    <row r="829" customFormat="false" ht="14.25" hidden="false" customHeight="false" outlineLevel="0" collapsed="false">
      <c r="A829" s="1" t="n">
        <v>2009</v>
      </c>
      <c r="B829" s="1" t="n">
        <v>1</v>
      </c>
      <c r="C829" s="2" t="s">
        <v>50</v>
      </c>
      <c r="D829" s="7" t="s">
        <v>51</v>
      </c>
      <c r="E829" s="1" t="n">
        <v>2</v>
      </c>
      <c r="F829" s="1" t="n">
        <f aca="false">Y829-X829</f>
        <v>5</v>
      </c>
      <c r="G829" s="1" t="n">
        <v>5</v>
      </c>
      <c r="H829" s="3" t="s">
        <v>32</v>
      </c>
      <c r="I829" s="3" t="s">
        <v>55</v>
      </c>
      <c r="J829" s="3" t="s">
        <v>194</v>
      </c>
      <c r="K829" s="2" t="str">
        <f aca="false">CONCATENATE(I829," ",J829)</f>
        <v>Maro pansibiricus</v>
      </c>
      <c r="L829" s="3" t="n">
        <f aca="false">SUM(P829:U829)</f>
        <v>2</v>
      </c>
      <c r="M829" s="11" t="n">
        <f aca="false">(L829/(F829*G829)*25)*4</f>
        <v>8</v>
      </c>
      <c r="N829" s="1" t="s">
        <v>30</v>
      </c>
      <c r="O829" s="1" t="s">
        <v>31</v>
      </c>
      <c r="P829" s="1" t="n">
        <v>2</v>
      </c>
      <c r="Q829" s="1" t="n">
        <v>0</v>
      </c>
      <c r="R829" s="1" t="n">
        <v>0</v>
      </c>
      <c r="S829" s="1" t="n">
        <v>0</v>
      </c>
      <c r="T829" s="1" t="n">
        <v>0</v>
      </c>
      <c r="U829" s="1" t="n">
        <v>0</v>
      </c>
      <c r="V829" s="3" t="n">
        <f aca="false">SUM(P829:Q829)</f>
        <v>2</v>
      </c>
      <c r="W829" s="3" t="n">
        <f aca="false">SUM(R829:T829)</f>
        <v>0</v>
      </c>
      <c r="X829" s="10" t="n">
        <v>39969</v>
      </c>
      <c r="Y829" s="10" t="n">
        <v>39974</v>
      </c>
    </row>
    <row r="830" customFormat="false" ht="14.25" hidden="false" customHeight="false" outlineLevel="0" collapsed="false">
      <c r="A830" s="1" t="n">
        <v>2009</v>
      </c>
      <c r="B830" s="1" t="n">
        <v>1</v>
      </c>
      <c r="C830" s="2" t="s">
        <v>50</v>
      </c>
      <c r="D830" s="7" t="s">
        <v>51</v>
      </c>
      <c r="E830" s="1" t="n">
        <v>2</v>
      </c>
      <c r="F830" s="1" t="n">
        <f aca="false">Y830-X830</f>
        <v>5</v>
      </c>
      <c r="G830" s="1" t="n">
        <v>5</v>
      </c>
      <c r="H830" s="3" t="s">
        <v>32</v>
      </c>
      <c r="I830" s="3" t="s">
        <v>57</v>
      </c>
      <c r="J830" s="3" t="s">
        <v>38</v>
      </c>
      <c r="K830" s="2" t="str">
        <f aca="false">CONCATENATE(I830," ",J830)</f>
        <v>Gen sp</v>
      </c>
      <c r="L830" s="3" t="n">
        <f aca="false">SUM(P830:U830)</f>
        <v>2</v>
      </c>
      <c r="M830" s="11" t="n">
        <f aca="false">(L830/(F830*G830)*25)*4</f>
        <v>8</v>
      </c>
      <c r="N830" s="1" t="s">
        <v>19</v>
      </c>
      <c r="O830" s="1" t="s">
        <v>54</v>
      </c>
      <c r="P830" s="1" t="n">
        <v>0</v>
      </c>
      <c r="Q830" s="1" t="n">
        <v>0</v>
      </c>
      <c r="R830" s="1" t="n">
        <v>0</v>
      </c>
      <c r="S830" s="1" t="n">
        <v>0</v>
      </c>
      <c r="T830" s="1" t="n">
        <v>2</v>
      </c>
      <c r="U830" s="1" t="n">
        <v>0</v>
      </c>
      <c r="V830" s="3" t="n">
        <f aca="false">SUM(P830:Q830)</f>
        <v>0</v>
      </c>
      <c r="W830" s="3" t="n">
        <f aca="false">SUM(R830:T830)</f>
        <v>2</v>
      </c>
      <c r="X830" s="10" t="n">
        <v>39969</v>
      </c>
      <c r="Y830" s="10" t="n">
        <v>39974</v>
      </c>
    </row>
    <row r="831" customFormat="false" ht="14.25" hidden="false" customHeight="false" outlineLevel="0" collapsed="false">
      <c r="A831" s="1" t="n">
        <v>2009</v>
      </c>
      <c r="B831" s="1" t="n">
        <v>1</v>
      </c>
      <c r="C831" s="2" t="s">
        <v>50</v>
      </c>
      <c r="D831" s="7" t="s">
        <v>51</v>
      </c>
      <c r="E831" s="1" t="n">
        <v>2</v>
      </c>
      <c r="F831" s="1" t="n">
        <f aca="false">Y831-X831</f>
        <v>5</v>
      </c>
      <c r="G831" s="1" t="n">
        <v>5</v>
      </c>
      <c r="H831" s="3" t="s">
        <v>48</v>
      </c>
      <c r="I831" s="3" t="s">
        <v>49</v>
      </c>
      <c r="J831" s="3" t="s">
        <v>104</v>
      </c>
      <c r="K831" s="2" t="str">
        <f aca="false">CONCATENATE(I831," ",J831)</f>
        <v>Alopecosa taeniata</v>
      </c>
      <c r="L831" s="3" t="n">
        <f aca="false">SUM(P831:U831)</f>
        <v>1</v>
      </c>
      <c r="M831" s="11" t="n">
        <f aca="false">(L831/(F831*G831)*25)*4</f>
        <v>4</v>
      </c>
      <c r="N831" s="1" t="s">
        <v>30</v>
      </c>
      <c r="O831" s="1" t="s">
        <v>31</v>
      </c>
      <c r="P831" s="1" t="n">
        <v>1</v>
      </c>
      <c r="Q831" s="1" t="n">
        <v>0</v>
      </c>
      <c r="R831" s="1" t="n">
        <v>0</v>
      </c>
      <c r="S831" s="1" t="n">
        <v>0</v>
      </c>
      <c r="T831" s="1" t="n">
        <v>0</v>
      </c>
      <c r="U831" s="1" t="n">
        <v>0</v>
      </c>
      <c r="V831" s="3" t="n">
        <f aca="false">SUM(P831:Q831)</f>
        <v>1</v>
      </c>
      <c r="W831" s="3" t="n">
        <f aca="false">SUM(R831:T831)</f>
        <v>0</v>
      </c>
      <c r="X831" s="10" t="n">
        <v>39969</v>
      </c>
      <c r="Y831" s="10" t="n">
        <v>39974</v>
      </c>
    </row>
    <row r="832" customFormat="false" ht="14.25" hidden="false" customHeight="false" outlineLevel="0" collapsed="false">
      <c r="A832" s="1" t="n">
        <v>2009</v>
      </c>
      <c r="B832" s="1" t="n">
        <v>1</v>
      </c>
      <c r="C832" s="2" t="s">
        <v>50</v>
      </c>
      <c r="D832" s="7" t="s">
        <v>51</v>
      </c>
      <c r="E832" s="1" t="n">
        <v>2</v>
      </c>
      <c r="F832" s="1" t="n">
        <f aca="false">Y832-X832</f>
        <v>5</v>
      </c>
      <c r="G832" s="1" t="n">
        <v>5</v>
      </c>
      <c r="H832" s="3" t="s">
        <v>48</v>
      </c>
      <c r="I832" s="3" t="s">
        <v>67</v>
      </c>
      <c r="J832" s="3" t="s">
        <v>127</v>
      </c>
      <c r="K832" s="2" t="str">
        <f aca="false">CONCATENATE(I832," ",J832)</f>
        <v>Pardosa lugubris</v>
      </c>
      <c r="L832" s="3" t="n">
        <f aca="false">SUM(P832:U832)</f>
        <v>7</v>
      </c>
      <c r="M832" s="11" t="n">
        <f aca="false">(L832/(F832*G832)*25)*4</f>
        <v>28</v>
      </c>
      <c r="N832" s="1" t="s">
        <v>30</v>
      </c>
      <c r="O832" s="1" t="s">
        <v>31</v>
      </c>
      <c r="P832" s="1" t="n">
        <v>7</v>
      </c>
      <c r="Q832" s="1" t="n">
        <v>0</v>
      </c>
      <c r="R832" s="1" t="n">
        <v>0</v>
      </c>
      <c r="S832" s="1" t="n">
        <v>0</v>
      </c>
      <c r="T832" s="1" t="n">
        <v>0</v>
      </c>
      <c r="U832" s="1" t="n">
        <v>0</v>
      </c>
      <c r="V832" s="3" t="n">
        <f aca="false">SUM(P832:Q832)</f>
        <v>7</v>
      </c>
      <c r="W832" s="3" t="n">
        <f aca="false">SUM(R832:T832)</f>
        <v>0</v>
      </c>
      <c r="X832" s="10" t="n">
        <v>39969</v>
      </c>
      <c r="Y832" s="10" t="n">
        <v>39974</v>
      </c>
    </row>
    <row r="833" customFormat="false" ht="14.25" hidden="false" customHeight="false" outlineLevel="0" collapsed="false">
      <c r="A833" s="1" t="n">
        <v>2009</v>
      </c>
      <c r="B833" s="1" t="n">
        <v>1</v>
      </c>
      <c r="C833" s="2" t="s">
        <v>50</v>
      </c>
      <c r="D833" s="7" t="s">
        <v>51</v>
      </c>
      <c r="E833" s="1" t="n">
        <v>2</v>
      </c>
      <c r="F833" s="1" t="n">
        <f aca="false">Y833-X833</f>
        <v>5</v>
      </c>
      <c r="G833" s="1" t="n">
        <v>5</v>
      </c>
      <c r="H833" s="3" t="s">
        <v>48</v>
      </c>
      <c r="I833" s="3" t="s">
        <v>61</v>
      </c>
      <c r="J833" s="3" t="s">
        <v>38</v>
      </c>
      <c r="K833" s="2" t="str">
        <f aca="false">CONCATENATE(I833," ",J833)</f>
        <v>Trochosa sp</v>
      </c>
      <c r="L833" s="3" t="n">
        <f aca="false">SUM(P833:U833)</f>
        <v>1</v>
      </c>
      <c r="M833" s="11" t="n">
        <f aca="false">(L833/(F833*G833)*25)*4</f>
        <v>4</v>
      </c>
      <c r="N833" s="1" t="s">
        <v>19</v>
      </c>
      <c r="O833" s="1" t="s">
        <v>54</v>
      </c>
      <c r="P833" s="1" t="n">
        <v>0</v>
      </c>
      <c r="Q833" s="1" t="n">
        <v>0</v>
      </c>
      <c r="R833" s="1" t="n">
        <v>0</v>
      </c>
      <c r="S833" s="1" t="n">
        <v>0</v>
      </c>
      <c r="T833" s="1" t="n">
        <v>1</v>
      </c>
      <c r="U833" s="1" t="n">
        <v>0</v>
      </c>
      <c r="V833" s="3" t="n">
        <f aca="false">SUM(P833:Q833)</f>
        <v>0</v>
      </c>
      <c r="W833" s="3" t="n">
        <f aca="false">SUM(R833:T833)</f>
        <v>1</v>
      </c>
      <c r="X833" s="10" t="n">
        <v>39969</v>
      </c>
      <c r="Y833" s="10" t="n">
        <v>39974</v>
      </c>
    </row>
    <row r="834" customFormat="false" ht="14.25" hidden="false" customHeight="false" outlineLevel="0" collapsed="false">
      <c r="A834" s="1" t="n">
        <v>2009</v>
      </c>
      <c r="B834" s="1" t="n">
        <v>1</v>
      </c>
      <c r="C834" s="2" t="s">
        <v>50</v>
      </c>
      <c r="D834" s="7" t="s">
        <v>51</v>
      </c>
      <c r="E834" s="1" t="n">
        <v>2</v>
      </c>
      <c r="F834" s="1" t="n">
        <f aca="false">Y834-X834</f>
        <v>5</v>
      </c>
      <c r="G834" s="1" t="n">
        <v>5</v>
      </c>
      <c r="H834" s="3" t="s">
        <v>72</v>
      </c>
      <c r="I834" s="3" t="s">
        <v>86</v>
      </c>
      <c r="J834" s="8" t="s">
        <v>87</v>
      </c>
      <c r="K834" s="2" t="str">
        <f aca="false">CONCATENATE(I834," ",J834)</f>
        <v>Haplodrassus soerenseni</v>
      </c>
      <c r="L834" s="3" t="n">
        <f aca="false">SUM(P834:U834)</f>
        <v>1</v>
      </c>
      <c r="M834" s="11" t="n">
        <f aca="false">(L834/(F834*G834)*25)*4</f>
        <v>4</v>
      </c>
      <c r="N834" s="1" t="s">
        <v>30</v>
      </c>
      <c r="O834" s="1" t="s">
        <v>35</v>
      </c>
      <c r="P834" s="1" t="n">
        <v>0</v>
      </c>
      <c r="Q834" s="1" t="n">
        <v>1</v>
      </c>
      <c r="R834" s="1" t="n">
        <v>0</v>
      </c>
      <c r="S834" s="1" t="n">
        <v>0</v>
      </c>
      <c r="T834" s="1" t="n">
        <v>0</v>
      </c>
      <c r="U834" s="1" t="n">
        <v>0</v>
      </c>
      <c r="V834" s="3" t="n">
        <f aca="false">SUM(P834:Q834)</f>
        <v>1</v>
      </c>
      <c r="W834" s="3" t="n">
        <f aca="false">SUM(R834:T834)</f>
        <v>0</v>
      </c>
      <c r="X834" s="10" t="n">
        <v>39969</v>
      </c>
      <c r="Y834" s="10" t="n">
        <v>39974</v>
      </c>
    </row>
    <row r="835" customFormat="false" ht="14.25" hidden="false" customHeight="false" outlineLevel="0" collapsed="false">
      <c r="A835" s="1" t="n">
        <v>2009</v>
      </c>
      <c r="B835" s="1" t="n">
        <v>1</v>
      </c>
      <c r="C835" s="2" t="s">
        <v>50</v>
      </c>
      <c r="D835" s="7" t="s">
        <v>51</v>
      </c>
      <c r="E835" s="1" t="n">
        <v>2</v>
      </c>
      <c r="F835" s="1" t="n">
        <f aca="false">Y835-X835</f>
        <v>5</v>
      </c>
      <c r="G835" s="1" t="n">
        <v>5</v>
      </c>
      <c r="H835" s="3" t="s">
        <v>72</v>
      </c>
      <c r="I835" s="3" t="s">
        <v>73</v>
      </c>
      <c r="J835" s="3" t="s">
        <v>74</v>
      </c>
      <c r="K835" s="2" t="str">
        <f aca="false">CONCATENATE(I835," ",J835)</f>
        <v>Zelotes subterraneus</v>
      </c>
      <c r="L835" s="3" t="n">
        <f aca="false">SUM(P835:U835)</f>
        <v>1</v>
      </c>
      <c r="M835" s="11" t="n">
        <f aca="false">(L835/(F835*G835)*25)*4</f>
        <v>4</v>
      </c>
      <c r="N835" s="1" t="s">
        <v>30</v>
      </c>
      <c r="O835" s="1" t="s">
        <v>35</v>
      </c>
      <c r="P835" s="1" t="n">
        <v>0</v>
      </c>
      <c r="Q835" s="1" t="n">
        <v>1</v>
      </c>
      <c r="R835" s="1" t="n">
        <v>0</v>
      </c>
      <c r="S835" s="1" t="n">
        <v>0</v>
      </c>
      <c r="T835" s="1" t="n">
        <v>0</v>
      </c>
      <c r="U835" s="1" t="n">
        <v>0</v>
      </c>
      <c r="V835" s="3" t="n">
        <f aca="false">SUM(P835:Q835)</f>
        <v>1</v>
      </c>
      <c r="W835" s="3" t="n">
        <f aca="false">SUM(R835:T835)</f>
        <v>0</v>
      </c>
      <c r="X835" s="10" t="n">
        <v>39969</v>
      </c>
      <c r="Y835" s="10" t="n">
        <v>39974</v>
      </c>
    </row>
    <row r="836" customFormat="false" ht="14.25" hidden="false" customHeight="false" outlineLevel="0" collapsed="false">
      <c r="A836" s="1" t="n">
        <v>2009</v>
      </c>
      <c r="B836" s="1" t="n">
        <v>1</v>
      </c>
      <c r="C836" s="2" t="s">
        <v>50</v>
      </c>
      <c r="D836" s="7" t="s">
        <v>51</v>
      </c>
      <c r="E836" s="1" t="n">
        <v>2</v>
      </c>
      <c r="F836" s="1" t="n">
        <f aca="false">Y836-X836</f>
        <v>5</v>
      </c>
      <c r="G836" s="1" t="n">
        <v>5</v>
      </c>
      <c r="H836" s="3" t="s">
        <v>72</v>
      </c>
      <c r="I836" s="3" t="s">
        <v>73</v>
      </c>
      <c r="J836" s="3" t="s">
        <v>38</v>
      </c>
      <c r="K836" s="2" t="str">
        <f aca="false">CONCATENATE(I836," ",J836)</f>
        <v>Zelotes sp</v>
      </c>
      <c r="L836" s="3" t="n">
        <f aca="false">SUM(P836:U836)</f>
        <v>1</v>
      </c>
      <c r="M836" s="11" t="n">
        <f aca="false">(L836/(F836*G836)*25)*4</f>
        <v>4</v>
      </c>
      <c r="N836" s="1" t="s">
        <v>19</v>
      </c>
      <c r="O836" s="1" t="s">
        <v>54</v>
      </c>
      <c r="P836" s="1" t="n">
        <v>0</v>
      </c>
      <c r="Q836" s="1" t="n">
        <v>0</v>
      </c>
      <c r="R836" s="1" t="n">
        <v>0</v>
      </c>
      <c r="S836" s="1" t="n">
        <v>0</v>
      </c>
      <c r="T836" s="1" t="n">
        <v>1</v>
      </c>
      <c r="U836" s="1" t="n">
        <v>0</v>
      </c>
      <c r="V836" s="3" t="n">
        <f aca="false">SUM(P836:Q836)</f>
        <v>0</v>
      </c>
      <c r="W836" s="3" t="n">
        <f aca="false">SUM(R836:T836)</f>
        <v>1</v>
      </c>
      <c r="X836" s="10" t="n">
        <v>39969</v>
      </c>
      <c r="Y836" s="10" t="n">
        <v>39974</v>
      </c>
    </row>
    <row r="837" customFormat="false" ht="14.25" hidden="false" customHeight="false" outlineLevel="0" collapsed="false">
      <c r="A837" s="1" t="n">
        <v>2009</v>
      </c>
      <c r="B837" s="1" t="n">
        <v>1</v>
      </c>
      <c r="C837" s="2" t="s">
        <v>50</v>
      </c>
      <c r="D837" s="7" t="s">
        <v>51</v>
      </c>
      <c r="E837" s="1" t="n">
        <v>2</v>
      </c>
      <c r="F837" s="1" t="n">
        <f aca="false">Y837-X837</f>
        <v>5</v>
      </c>
      <c r="G837" s="1" t="n">
        <v>5</v>
      </c>
      <c r="H837" s="3" t="s">
        <v>64</v>
      </c>
      <c r="I837" s="3" t="s">
        <v>65</v>
      </c>
      <c r="J837" s="3" t="s">
        <v>38</v>
      </c>
      <c r="K837" s="2" t="str">
        <f aca="false">CONCATENATE(I837," ",J837)</f>
        <v>Zora sp</v>
      </c>
      <c r="L837" s="3" t="n">
        <f aca="false">SUM(P837:U837)</f>
        <v>1</v>
      </c>
      <c r="M837" s="11" t="n">
        <f aca="false">(L837/(F837*G837)*25)*4</f>
        <v>4</v>
      </c>
      <c r="N837" s="1" t="s">
        <v>19</v>
      </c>
      <c r="O837" s="1" t="s">
        <v>54</v>
      </c>
      <c r="P837" s="1" t="n">
        <v>0</v>
      </c>
      <c r="Q837" s="1" t="n">
        <v>0</v>
      </c>
      <c r="R837" s="1" t="n">
        <v>0</v>
      </c>
      <c r="S837" s="1" t="n">
        <v>0</v>
      </c>
      <c r="T837" s="1" t="n">
        <v>1</v>
      </c>
      <c r="U837" s="1" t="n">
        <v>0</v>
      </c>
      <c r="V837" s="3" t="n">
        <f aca="false">SUM(P837:Q837)</f>
        <v>0</v>
      </c>
      <c r="W837" s="3" t="n">
        <f aca="false">SUM(R837:T837)</f>
        <v>1</v>
      </c>
      <c r="X837" s="10" t="n">
        <v>39969</v>
      </c>
      <c r="Y837" s="10" t="n">
        <v>39974</v>
      </c>
    </row>
    <row r="838" customFormat="false" ht="14.25" hidden="false" customHeight="false" outlineLevel="0" collapsed="false">
      <c r="A838" s="1" t="n">
        <v>2009</v>
      </c>
      <c r="B838" s="1" t="n">
        <v>1</v>
      </c>
      <c r="C838" s="2" t="s">
        <v>50</v>
      </c>
      <c r="D838" s="7" t="s">
        <v>51</v>
      </c>
      <c r="E838" s="1" t="n">
        <v>2</v>
      </c>
      <c r="F838" s="1" t="n">
        <f aca="false">Y838-X838</f>
        <v>5</v>
      </c>
      <c r="G838" s="1" t="n">
        <v>5</v>
      </c>
      <c r="H838" s="3" t="s">
        <v>144</v>
      </c>
      <c r="I838" s="3" t="s">
        <v>145</v>
      </c>
      <c r="J838" s="3" t="s">
        <v>146</v>
      </c>
      <c r="K838" s="2" t="str">
        <f aca="false">CONCATENATE(I838," ",J838)</f>
        <v>Phrurolithus festivus</v>
      </c>
      <c r="L838" s="3" t="n">
        <f aca="false">SUM(P838:U838)</f>
        <v>1</v>
      </c>
      <c r="M838" s="11" t="n">
        <f aca="false">(L838/(F838*G838)*25)*4</f>
        <v>4</v>
      </c>
      <c r="N838" s="1" t="s">
        <v>30</v>
      </c>
      <c r="O838" s="1" t="s">
        <v>31</v>
      </c>
      <c r="P838" s="1" t="n">
        <v>1</v>
      </c>
      <c r="Q838" s="1" t="n">
        <v>0</v>
      </c>
      <c r="R838" s="1" t="n">
        <v>0</v>
      </c>
      <c r="S838" s="1" t="n">
        <v>0</v>
      </c>
      <c r="T838" s="1" t="n">
        <v>0</v>
      </c>
      <c r="U838" s="1" t="n">
        <v>0</v>
      </c>
      <c r="V838" s="3" t="n">
        <f aca="false">SUM(P838:Q838)</f>
        <v>1</v>
      </c>
      <c r="W838" s="3" t="n">
        <f aca="false">SUM(R838:T838)</f>
        <v>0</v>
      </c>
      <c r="X838" s="10" t="n">
        <v>39969</v>
      </c>
      <c r="Y838" s="10" t="n">
        <v>39974</v>
      </c>
    </row>
    <row r="839" customFormat="false" ht="14.25" hidden="false" customHeight="false" outlineLevel="0" collapsed="false">
      <c r="A839" s="1" t="n">
        <v>2009</v>
      </c>
      <c r="B839" s="1" t="n">
        <v>1</v>
      </c>
      <c r="C839" s="2" t="s">
        <v>50</v>
      </c>
      <c r="D839" s="7" t="s">
        <v>51</v>
      </c>
      <c r="E839" s="1" t="n">
        <v>2</v>
      </c>
      <c r="F839" s="1" t="n">
        <f aca="false">Y839-X839</f>
        <v>5</v>
      </c>
      <c r="G839" s="1" t="n">
        <v>5</v>
      </c>
      <c r="H839" s="3" t="s">
        <v>32</v>
      </c>
      <c r="I839" s="3" t="s">
        <v>55</v>
      </c>
      <c r="J839" s="3" t="s">
        <v>194</v>
      </c>
      <c r="K839" s="2" t="str">
        <f aca="false">CONCATENATE(I839," ",J839)</f>
        <v>Maro pansibiricus</v>
      </c>
      <c r="L839" s="3" t="n">
        <f aca="false">SUM(P839:U839)</f>
        <v>1</v>
      </c>
      <c r="M839" s="11" t="n">
        <f aca="false">(L839/(F839*G839)*25)*4</f>
        <v>4</v>
      </c>
      <c r="N839" s="1" t="s">
        <v>30</v>
      </c>
      <c r="O839" s="1" t="s">
        <v>31</v>
      </c>
      <c r="P839" s="1" t="n">
        <v>1</v>
      </c>
      <c r="Q839" s="1" t="n">
        <v>0</v>
      </c>
      <c r="R839" s="1" t="n">
        <v>0</v>
      </c>
      <c r="S839" s="1" t="n">
        <v>0</v>
      </c>
      <c r="T839" s="1" t="n">
        <v>0</v>
      </c>
      <c r="U839" s="1" t="n">
        <v>0</v>
      </c>
      <c r="V839" s="3" t="n">
        <f aca="false">SUM(P839:Q839)</f>
        <v>1</v>
      </c>
      <c r="W839" s="3" t="n">
        <f aca="false">SUM(R839:T839)</f>
        <v>0</v>
      </c>
      <c r="X839" s="10" t="n">
        <v>39969</v>
      </c>
      <c r="Y839" s="10" t="n">
        <v>39974</v>
      </c>
    </row>
    <row r="840" customFormat="false" ht="14.25" hidden="false" customHeight="false" outlineLevel="0" collapsed="false">
      <c r="A840" s="1" t="n">
        <v>2009</v>
      </c>
      <c r="B840" s="1" t="n">
        <v>1</v>
      </c>
      <c r="C840" s="2" t="s">
        <v>50</v>
      </c>
      <c r="D840" s="7" t="s">
        <v>51</v>
      </c>
      <c r="E840" s="1" t="n">
        <v>2</v>
      </c>
      <c r="F840" s="1" t="n">
        <f aca="false">Y840-X840</f>
        <v>5</v>
      </c>
      <c r="G840" s="1" t="n">
        <v>5</v>
      </c>
      <c r="H840" s="3" t="s">
        <v>27</v>
      </c>
      <c r="I840" s="3" t="s">
        <v>28</v>
      </c>
      <c r="J840" s="3" t="s">
        <v>29</v>
      </c>
      <c r="K840" s="2" t="str">
        <f aca="false">CONCATENATE(I840," ",J840)</f>
        <v>Robertus lividus</v>
      </c>
      <c r="L840" s="3" t="n">
        <f aca="false">SUM(P840:U840)</f>
        <v>1</v>
      </c>
      <c r="M840" s="11" t="n">
        <f aca="false">(L840/(F840*G840)*25)*4</f>
        <v>4</v>
      </c>
      <c r="N840" s="1" t="s">
        <v>30</v>
      </c>
      <c r="O840" s="1" t="s">
        <v>31</v>
      </c>
      <c r="P840" s="1" t="n">
        <v>1</v>
      </c>
      <c r="Q840" s="1" t="n">
        <v>0</v>
      </c>
      <c r="R840" s="1" t="n">
        <v>0</v>
      </c>
      <c r="S840" s="1" t="n">
        <v>0</v>
      </c>
      <c r="T840" s="1" t="n">
        <v>0</v>
      </c>
      <c r="U840" s="1" t="n">
        <v>0</v>
      </c>
      <c r="V840" s="3" t="n">
        <f aca="false">SUM(P840:Q840)</f>
        <v>1</v>
      </c>
      <c r="W840" s="3" t="n">
        <f aca="false">SUM(R840:T840)</f>
        <v>0</v>
      </c>
      <c r="X840" s="10" t="n">
        <v>39969</v>
      </c>
      <c r="Y840" s="10" t="n">
        <v>39974</v>
      </c>
    </row>
    <row r="841" customFormat="false" ht="14.25" hidden="false" customHeight="false" outlineLevel="0" collapsed="false">
      <c r="A841" s="1" t="n">
        <v>2009</v>
      </c>
      <c r="B841" s="1" t="n">
        <v>1</v>
      </c>
      <c r="C841" s="2" t="s">
        <v>50</v>
      </c>
      <c r="D841" s="7" t="s">
        <v>51</v>
      </c>
      <c r="E841" s="1" t="n">
        <v>2</v>
      </c>
      <c r="F841" s="1" t="n">
        <f aca="false">Y841-X841</f>
        <v>5</v>
      </c>
      <c r="G841" s="1" t="n">
        <v>5</v>
      </c>
      <c r="H841" s="3" t="s">
        <v>48</v>
      </c>
      <c r="I841" s="3" t="s">
        <v>49</v>
      </c>
      <c r="J841" s="3" t="s">
        <v>104</v>
      </c>
      <c r="K841" s="2" t="str">
        <f aca="false">CONCATENATE(I841," ",J841)</f>
        <v>Alopecosa taeniata</v>
      </c>
      <c r="L841" s="3" t="n">
        <f aca="false">SUM(P841:U841)</f>
        <v>3</v>
      </c>
      <c r="M841" s="11" t="n">
        <f aca="false">(L841/(F841*G841)*25)*4</f>
        <v>12</v>
      </c>
      <c r="N841" s="1" t="s">
        <v>30</v>
      </c>
      <c r="O841" s="1" t="s">
        <v>31</v>
      </c>
      <c r="P841" s="1" t="n">
        <v>3</v>
      </c>
      <c r="Q841" s="1" t="n">
        <v>0</v>
      </c>
      <c r="R841" s="1" t="n">
        <v>0</v>
      </c>
      <c r="S841" s="1" t="n">
        <v>0</v>
      </c>
      <c r="T841" s="1" t="n">
        <v>0</v>
      </c>
      <c r="U841" s="1" t="n">
        <v>0</v>
      </c>
      <c r="V841" s="3" t="n">
        <f aca="false">SUM(P841:Q841)</f>
        <v>3</v>
      </c>
      <c r="W841" s="3" t="n">
        <f aca="false">SUM(R841:T841)</f>
        <v>0</v>
      </c>
      <c r="X841" s="10" t="n">
        <v>39969</v>
      </c>
      <c r="Y841" s="10" t="n">
        <v>39974</v>
      </c>
    </row>
    <row r="842" customFormat="false" ht="14.25" hidden="false" customHeight="false" outlineLevel="0" collapsed="false">
      <c r="A842" s="1" t="n">
        <v>2009</v>
      </c>
      <c r="B842" s="1" t="n">
        <v>1</v>
      </c>
      <c r="C842" s="2" t="s">
        <v>50</v>
      </c>
      <c r="D842" s="7" t="s">
        <v>51</v>
      </c>
      <c r="E842" s="1" t="n">
        <v>2</v>
      </c>
      <c r="F842" s="1" t="n">
        <f aca="false">Y842-X842</f>
        <v>5</v>
      </c>
      <c r="G842" s="1" t="n">
        <v>5</v>
      </c>
      <c r="H842" s="3" t="s">
        <v>48</v>
      </c>
      <c r="I842" s="3" t="s">
        <v>49</v>
      </c>
      <c r="J842" s="3" t="s">
        <v>104</v>
      </c>
      <c r="K842" s="2" t="str">
        <f aca="false">CONCATENATE(I842," ",J842)</f>
        <v>Alopecosa taeniata</v>
      </c>
      <c r="L842" s="3" t="n">
        <f aca="false">SUM(P842:U842)</f>
        <v>1</v>
      </c>
      <c r="M842" s="11" t="n">
        <f aca="false">(L842/(F842*G842)*25)*4</f>
        <v>4</v>
      </c>
      <c r="N842" s="1" t="s">
        <v>30</v>
      </c>
      <c r="O842" s="1" t="s">
        <v>35</v>
      </c>
      <c r="P842" s="1" t="n">
        <v>0</v>
      </c>
      <c r="Q842" s="1" t="n">
        <v>1</v>
      </c>
      <c r="R842" s="1" t="n">
        <v>0</v>
      </c>
      <c r="S842" s="1" t="n">
        <v>0</v>
      </c>
      <c r="T842" s="1" t="n">
        <v>0</v>
      </c>
      <c r="U842" s="1" t="n">
        <v>0</v>
      </c>
      <c r="V842" s="3" t="n">
        <f aca="false">SUM(P842:Q842)</f>
        <v>1</v>
      </c>
      <c r="W842" s="3" t="n">
        <f aca="false">SUM(R842:T842)</f>
        <v>0</v>
      </c>
      <c r="X842" s="10" t="n">
        <v>39969</v>
      </c>
      <c r="Y842" s="10" t="n">
        <v>39974</v>
      </c>
    </row>
    <row r="843" customFormat="false" ht="14.25" hidden="false" customHeight="false" outlineLevel="0" collapsed="false">
      <c r="A843" s="1" t="n">
        <v>2009</v>
      </c>
      <c r="B843" s="1" t="n">
        <v>1</v>
      </c>
      <c r="C843" s="2" t="s">
        <v>50</v>
      </c>
      <c r="D843" s="7" t="s">
        <v>51</v>
      </c>
      <c r="E843" s="1" t="n">
        <v>2</v>
      </c>
      <c r="F843" s="1" t="n">
        <f aca="false">Y843-X843</f>
        <v>5</v>
      </c>
      <c r="G843" s="1" t="n">
        <v>5</v>
      </c>
      <c r="H843" s="3" t="s">
        <v>48</v>
      </c>
      <c r="I843" s="3" t="s">
        <v>67</v>
      </c>
      <c r="J843" s="3" t="s">
        <v>127</v>
      </c>
      <c r="K843" s="2" t="str">
        <f aca="false">CONCATENATE(I843," ",J843)</f>
        <v>Pardosa lugubris</v>
      </c>
      <c r="L843" s="3" t="n">
        <f aca="false">SUM(P843:U843)</f>
        <v>7</v>
      </c>
      <c r="M843" s="11" t="n">
        <f aca="false">(L843/(F843*G843)*25)*4</f>
        <v>28</v>
      </c>
      <c r="N843" s="1" t="s">
        <v>30</v>
      </c>
      <c r="O843" s="1" t="s">
        <v>31</v>
      </c>
      <c r="P843" s="1" t="n">
        <v>7</v>
      </c>
      <c r="Q843" s="1" t="n">
        <v>0</v>
      </c>
      <c r="R843" s="1" t="n">
        <v>0</v>
      </c>
      <c r="S843" s="1" t="n">
        <v>0</v>
      </c>
      <c r="T843" s="1" t="n">
        <v>0</v>
      </c>
      <c r="U843" s="1" t="n">
        <v>0</v>
      </c>
      <c r="V843" s="3" t="n">
        <f aca="false">SUM(P843:Q843)</f>
        <v>7</v>
      </c>
      <c r="W843" s="3" t="n">
        <f aca="false">SUM(R843:T843)</f>
        <v>0</v>
      </c>
      <c r="X843" s="10" t="n">
        <v>39969</v>
      </c>
      <c r="Y843" s="10" t="n">
        <v>39974</v>
      </c>
    </row>
    <row r="844" customFormat="false" ht="14.25" hidden="false" customHeight="false" outlineLevel="0" collapsed="false">
      <c r="A844" s="1" t="n">
        <v>2009</v>
      </c>
      <c r="B844" s="1" t="n">
        <v>1</v>
      </c>
      <c r="C844" s="2" t="s">
        <v>50</v>
      </c>
      <c r="D844" s="7" t="s">
        <v>51</v>
      </c>
      <c r="E844" s="1" t="n">
        <v>2</v>
      </c>
      <c r="F844" s="1" t="n">
        <f aca="false">Y844-X844</f>
        <v>5</v>
      </c>
      <c r="G844" s="1" t="n">
        <v>5</v>
      </c>
      <c r="H844" s="3" t="s">
        <v>48</v>
      </c>
      <c r="I844" s="3" t="s">
        <v>57</v>
      </c>
      <c r="J844" s="3" t="s">
        <v>38</v>
      </c>
      <c r="K844" s="2" t="str">
        <f aca="false">CONCATENATE(I844," ",J844)</f>
        <v>Gen sp</v>
      </c>
      <c r="L844" s="3" t="n">
        <f aca="false">SUM(P844:U844)</f>
        <v>2</v>
      </c>
      <c r="M844" s="11" t="n">
        <f aca="false">(L844/(F844*G844)*25)*4</f>
        <v>8</v>
      </c>
      <c r="N844" s="1" t="s">
        <v>19</v>
      </c>
      <c r="O844" s="1" t="s">
        <v>54</v>
      </c>
      <c r="P844" s="1" t="n">
        <v>0</v>
      </c>
      <c r="Q844" s="1" t="n">
        <v>0</v>
      </c>
      <c r="R844" s="1" t="n">
        <v>0</v>
      </c>
      <c r="S844" s="1" t="n">
        <v>0</v>
      </c>
      <c r="T844" s="1" t="n">
        <v>2</v>
      </c>
      <c r="U844" s="1" t="n">
        <v>0</v>
      </c>
      <c r="V844" s="3" t="n">
        <f aca="false">SUM(P844:Q844)</f>
        <v>0</v>
      </c>
      <c r="W844" s="3" t="n">
        <f aca="false">SUM(R844:T844)</f>
        <v>2</v>
      </c>
      <c r="X844" s="10" t="n">
        <v>39969</v>
      </c>
      <c r="Y844" s="10" t="n">
        <v>39974</v>
      </c>
    </row>
    <row r="845" customFormat="false" ht="14.25" hidden="false" customHeight="false" outlineLevel="0" collapsed="false">
      <c r="A845" s="1" t="n">
        <v>2009</v>
      </c>
      <c r="B845" s="1" t="n">
        <v>1</v>
      </c>
      <c r="C845" s="2" t="s">
        <v>50</v>
      </c>
      <c r="D845" s="7" t="s">
        <v>51</v>
      </c>
      <c r="E845" s="1" t="n">
        <v>2</v>
      </c>
      <c r="F845" s="1" t="n">
        <f aca="false">Y845-X845</f>
        <v>5</v>
      </c>
      <c r="G845" s="1" t="n">
        <v>5</v>
      </c>
      <c r="H845" s="3" t="s">
        <v>72</v>
      </c>
      <c r="I845" s="3" t="s">
        <v>86</v>
      </c>
      <c r="J845" s="8" t="s">
        <v>87</v>
      </c>
      <c r="K845" s="2" t="str">
        <f aca="false">CONCATENATE(I845," ",J845)</f>
        <v>Haplodrassus soerenseni</v>
      </c>
      <c r="L845" s="3" t="n">
        <f aca="false">SUM(P845:U845)</f>
        <v>1</v>
      </c>
      <c r="M845" s="11" t="n">
        <f aca="false">(L845/(F845*G845)*25)*4</f>
        <v>4</v>
      </c>
      <c r="N845" s="1" t="s">
        <v>30</v>
      </c>
      <c r="O845" s="1" t="s">
        <v>31</v>
      </c>
      <c r="P845" s="1" t="n">
        <v>1</v>
      </c>
      <c r="Q845" s="1" t="n">
        <v>0</v>
      </c>
      <c r="R845" s="1" t="n">
        <v>0</v>
      </c>
      <c r="S845" s="1" t="n">
        <v>0</v>
      </c>
      <c r="T845" s="1" t="n">
        <v>0</v>
      </c>
      <c r="U845" s="1" t="n">
        <v>0</v>
      </c>
      <c r="V845" s="3" t="n">
        <f aca="false">SUM(P845:Q845)</f>
        <v>1</v>
      </c>
      <c r="W845" s="3" t="n">
        <f aca="false">SUM(R845:T845)</f>
        <v>0</v>
      </c>
      <c r="X845" s="10" t="n">
        <v>39969</v>
      </c>
      <c r="Y845" s="10" t="n">
        <v>39974</v>
      </c>
    </row>
    <row r="846" customFormat="false" ht="14.25" hidden="false" customHeight="false" outlineLevel="0" collapsed="false">
      <c r="A846" s="1" t="n">
        <v>2009</v>
      </c>
      <c r="B846" s="1" t="n">
        <v>1</v>
      </c>
      <c r="C846" s="2" t="s">
        <v>50</v>
      </c>
      <c r="D846" s="7" t="s">
        <v>51</v>
      </c>
      <c r="E846" s="1" t="n">
        <v>2</v>
      </c>
      <c r="F846" s="1" t="n">
        <f aca="false">Y846-X846</f>
        <v>5</v>
      </c>
      <c r="G846" s="1" t="n">
        <v>5</v>
      </c>
      <c r="H846" s="3" t="s">
        <v>144</v>
      </c>
      <c r="I846" s="3" t="s">
        <v>145</v>
      </c>
      <c r="J846" s="3" t="s">
        <v>146</v>
      </c>
      <c r="K846" s="2" t="str">
        <f aca="false">CONCATENATE(I846," ",J846)</f>
        <v>Phrurolithus festivus</v>
      </c>
      <c r="L846" s="3" t="n">
        <f aca="false">SUM(P846:U846)</f>
        <v>2</v>
      </c>
      <c r="M846" s="11" t="n">
        <f aca="false">(L846/(F846*G846)*25)*4</f>
        <v>8</v>
      </c>
      <c r="N846" s="1" t="s">
        <v>30</v>
      </c>
      <c r="O846" s="1" t="s">
        <v>31</v>
      </c>
      <c r="P846" s="1" t="n">
        <v>2</v>
      </c>
      <c r="Q846" s="1" t="n">
        <v>0</v>
      </c>
      <c r="R846" s="1" t="n">
        <v>0</v>
      </c>
      <c r="S846" s="1" t="n">
        <v>0</v>
      </c>
      <c r="T846" s="1" t="n">
        <v>0</v>
      </c>
      <c r="U846" s="1" t="n">
        <v>0</v>
      </c>
      <c r="V846" s="3" t="n">
        <f aca="false">SUM(P846:Q846)</f>
        <v>2</v>
      </c>
      <c r="W846" s="3" t="n">
        <f aca="false">SUM(R846:T846)</f>
        <v>0</v>
      </c>
      <c r="X846" s="10" t="n">
        <v>39969</v>
      </c>
      <c r="Y846" s="10" t="n">
        <v>39974</v>
      </c>
    </row>
    <row r="847" customFormat="false" ht="14.25" hidden="false" customHeight="false" outlineLevel="0" collapsed="false">
      <c r="A847" s="1" t="n">
        <v>2009</v>
      </c>
      <c r="B847" s="1" t="n">
        <v>1</v>
      </c>
      <c r="C847" s="2" t="s">
        <v>50</v>
      </c>
      <c r="D847" s="7" t="s">
        <v>51</v>
      </c>
      <c r="E847" s="1" t="n">
        <v>2</v>
      </c>
      <c r="F847" s="1" t="n">
        <f aca="false">Y847-X847</f>
        <v>5</v>
      </c>
      <c r="G847" s="1" t="n">
        <v>5</v>
      </c>
      <c r="H847" s="3" t="s">
        <v>36</v>
      </c>
      <c r="I847" s="3" t="s">
        <v>37</v>
      </c>
      <c r="J847" s="8" t="s">
        <v>75</v>
      </c>
      <c r="K847" s="2" t="str">
        <f aca="false">CONCATENATE(I847," ",J847)</f>
        <v>Ozyptila praticola</v>
      </c>
      <c r="L847" s="3" t="n">
        <f aca="false">SUM(P847:U847)</f>
        <v>1</v>
      </c>
      <c r="M847" s="11" t="n">
        <f aca="false">(L847/(F847*G847)*25)*4</f>
        <v>4</v>
      </c>
      <c r="N847" s="1" t="s">
        <v>30</v>
      </c>
      <c r="O847" s="1" t="s">
        <v>31</v>
      </c>
      <c r="P847" s="1" t="n">
        <v>1</v>
      </c>
      <c r="Q847" s="1" t="n">
        <v>0</v>
      </c>
      <c r="R847" s="1" t="n">
        <v>0</v>
      </c>
      <c r="S847" s="1" t="n">
        <v>0</v>
      </c>
      <c r="T847" s="1" t="n">
        <v>0</v>
      </c>
      <c r="U847" s="1" t="n">
        <v>0</v>
      </c>
      <c r="V847" s="3" t="n">
        <f aca="false">SUM(P847:Q847)</f>
        <v>1</v>
      </c>
      <c r="W847" s="3" t="n">
        <f aca="false">SUM(R847:T847)</f>
        <v>0</v>
      </c>
      <c r="X847" s="10" t="n">
        <v>39969</v>
      </c>
      <c r="Y847" s="10" t="n">
        <v>39974</v>
      </c>
    </row>
    <row r="848" customFormat="false" ht="14.25" hidden="false" customHeight="false" outlineLevel="0" collapsed="false">
      <c r="A848" s="1" t="n">
        <v>2009</v>
      </c>
      <c r="B848" s="1" t="n">
        <v>1</v>
      </c>
      <c r="C848" s="2" t="s">
        <v>50</v>
      </c>
      <c r="D848" s="7" t="s">
        <v>51</v>
      </c>
      <c r="E848" s="1" t="n">
        <v>2</v>
      </c>
      <c r="F848" s="1" t="n">
        <f aca="false">Y848-X848</f>
        <v>5</v>
      </c>
      <c r="G848" s="1" t="n">
        <v>5</v>
      </c>
      <c r="H848" s="3" t="s">
        <v>36</v>
      </c>
      <c r="I848" s="3" t="s">
        <v>37</v>
      </c>
      <c r="J848" s="3" t="s">
        <v>38</v>
      </c>
      <c r="K848" s="2" t="str">
        <f aca="false">CONCATENATE(I848," ",J848)</f>
        <v>Ozyptila sp</v>
      </c>
      <c r="L848" s="3" t="n">
        <f aca="false">SUM(P848:U848)</f>
        <v>1</v>
      </c>
      <c r="M848" s="11" t="n">
        <f aca="false">(L848/(F848*G848)*25)*4</f>
        <v>4</v>
      </c>
      <c r="N848" s="1" t="s">
        <v>19</v>
      </c>
      <c r="O848" s="1" t="s">
        <v>54</v>
      </c>
      <c r="P848" s="1" t="n">
        <v>0</v>
      </c>
      <c r="Q848" s="1" t="n">
        <v>0</v>
      </c>
      <c r="R848" s="1" t="n">
        <v>0</v>
      </c>
      <c r="S848" s="1" t="n">
        <v>0</v>
      </c>
      <c r="T848" s="1" t="n">
        <v>1</v>
      </c>
      <c r="U848" s="1" t="n">
        <v>0</v>
      </c>
      <c r="V848" s="3" t="n">
        <f aca="false">SUM(P848:Q848)</f>
        <v>0</v>
      </c>
      <c r="W848" s="3" t="n">
        <f aca="false">SUM(R848:T848)</f>
        <v>1</v>
      </c>
      <c r="X848" s="10" t="n">
        <v>39969</v>
      </c>
      <c r="Y848" s="10" t="n">
        <v>39974</v>
      </c>
    </row>
    <row r="849" customFormat="false" ht="14.25" hidden="false" customHeight="false" outlineLevel="0" collapsed="false">
      <c r="A849" s="1" t="n">
        <v>2009</v>
      </c>
      <c r="B849" s="1" t="n">
        <v>1</v>
      </c>
      <c r="C849" s="2" t="s">
        <v>50</v>
      </c>
      <c r="D849" s="7" t="s">
        <v>51</v>
      </c>
      <c r="E849" s="1" t="n">
        <v>2</v>
      </c>
      <c r="F849" s="1" t="n">
        <f aca="false">Y849-X849</f>
        <v>5</v>
      </c>
      <c r="G849" s="1" t="n">
        <v>5</v>
      </c>
      <c r="H849" s="3" t="s">
        <v>36</v>
      </c>
      <c r="I849" s="3" t="s">
        <v>131</v>
      </c>
      <c r="J849" s="3" t="s">
        <v>133</v>
      </c>
      <c r="K849" s="2" t="str">
        <f aca="false">CONCATENATE(I849," ",J849)</f>
        <v>Xysticus luctuosus</v>
      </c>
      <c r="L849" s="3" t="n">
        <f aca="false">SUM(P849:U849)</f>
        <v>2</v>
      </c>
      <c r="M849" s="11" t="n">
        <f aca="false">(L849/(F849*G849)*25)*4</f>
        <v>8</v>
      </c>
      <c r="N849" s="1" t="s">
        <v>30</v>
      </c>
      <c r="O849" s="1" t="s">
        <v>31</v>
      </c>
      <c r="P849" s="1" t="n">
        <v>2</v>
      </c>
      <c r="Q849" s="1" t="n">
        <v>0</v>
      </c>
      <c r="R849" s="1" t="n">
        <v>0</v>
      </c>
      <c r="S849" s="1" t="n">
        <v>0</v>
      </c>
      <c r="T849" s="1" t="n">
        <v>0</v>
      </c>
      <c r="U849" s="1" t="n">
        <v>0</v>
      </c>
      <c r="V849" s="3" t="n">
        <f aca="false">SUM(P849:Q849)</f>
        <v>2</v>
      </c>
      <c r="W849" s="3" t="n">
        <f aca="false">SUM(R849:T849)</f>
        <v>0</v>
      </c>
      <c r="X849" s="10" t="n">
        <v>39969</v>
      </c>
      <c r="Y849" s="10" t="n">
        <v>39974</v>
      </c>
    </row>
    <row r="850" customFormat="false" ht="14.25" hidden="false" customHeight="false" outlineLevel="0" collapsed="false">
      <c r="A850" s="1" t="n">
        <v>2009</v>
      </c>
      <c r="B850" s="1" t="n">
        <v>1</v>
      </c>
      <c r="C850" s="2" t="s">
        <v>50</v>
      </c>
      <c r="D850" s="7" t="s">
        <v>51</v>
      </c>
      <c r="E850" s="1" t="n">
        <v>2</v>
      </c>
      <c r="F850" s="1" t="n">
        <f aca="false">Y850-X850</f>
        <v>5</v>
      </c>
      <c r="G850" s="1" t="n">
        <v>5</v>
      </c>
      <c r="H850" s="13" t="s">
        <v>195</v>
      </c>
      <c r="I850" s="13" t="s">
        <v>196</v>
      </c>
      <c r="J850" s="14" t="s">
        <v>197</v>
      </c>
      <c r="K850" s="2" t="str">
        <f aca="false">CONCATENATE(I850," ",J850)</f>
        <v>Pachygnatha listeri</v>
      </c>
      <c r="L850" s="3" t="n">
        <f aca="false">SUM(P850:U850)</f>
        <v>1</v>
      </c>
      <c r="M850" s="11" t="n">
        <f aca="false">(L850/(F850*G850)*25)*4</f>
        <v>4</v>
      </c>
      <c r="N850" s="1" t="s">
        <v>30</v>
      </c>
      <c r="O850" s="1" t="s">
        <v>35</v>
      </c>
      <c r="P850" s="1" t="n">
        <v>0</v>
      </c>
      <c r="Q850" s="1" t="n">
        <v>1</v>
      </c>
      <c r="R850" s="1" t="n">
        <v>0</v>
      </c>
      <c r="S850" s="1" t="n">
        <v>0</v>
      </c>
      <c r="T850" s="1" t="n">
        <v>0</v>
      </c>
      <c r="U850" s="1" t="n">
        <v>0</v>
      </c>
      <c r="V850" s="3" t="n">
        <f aca="false">SUM(P850:Q850)</f>
        <v>1</v>
      </c>
      <c r="W850" s="3" t="n">
        <f aca="false">SUM(R850:T850)</f>
        <v>0</v>
      </c>
      <c r="X850" s="10" t="n">
        <v>39969</v>
      </c>
      <c r="Y850" s="10" t="n">
        <v>39974</v>
      </c>
    </row>
    <row r="851" customFormat="false" ht="14.25" hidden="false" customHeight="false" outlineLevel="0" collapsed="false">
      <c r="A851" s="1" t="n">
        <v>2009</v>
      </c>
      <c r="B851" s="1" t="n">
        <v>1</v>
      </c>
      <c r="C851" s="2" t="s">
        <v>50</v>
      </c>
      <c r="D851" s="7" t="s">
        <v>51</v>
      </c>
      <c r="E851" s="1" t="n">
        <v>2</v>
      </c>
      <c r="F851" s="1" t="n">
        <f aca="false">Y851-X851</f>
        <v>5</v>
      </c>
      <c r="G851" s="1" t="n">
        <v>5</v>
      </c>
      <c r="H851" s="3" t="s">
        <v>135</v>
      </c>
      <c r="I851" s="3" t="s">
        <v>136</v>
      </c>
      <c r="J851" s="3" t="s">
        <v>137</v>
      </c>
      <c r="K851" s="2" t="str">
        <f aca="false">CONCATENATE(I851," ",J851)</f>
        <v>Thanatus sabulosus</v>
      </c>
      <c r="L851" s="3" t="n">
        <f aca="false">SUM(P851:U851)</f>
        <v>1</v>
      </c>
      <c r="M851" s="11" t="n">
        <f aca="false">(L851/(F851*G851)*25)*4</f>
        <v>4</v>
      </c>
      <c r="N851" s="1" t="s">
        <v>30</v>
      </c>
      <c r="O851" s="1" t="s">
        <v>31</v>
      </c>
      <c r="P851" s="1" t="n">
        <v>1</v>
      </c>
      <c r="Q851" s="1" t="n">
        <v>0</v>
      </c>
      <c r="R851" s="1" t="n">
        <v>0</v>
      </c>
      <c r="S851" s="1" t="n">
        <v>0</v>
      </c>
      <c r="T851" s="1" t="n">
        <v>0</v>
      </c>
      <c r="U851" s="1" t="n">
        <v>0</v>
      </c>
      <c r="V851" s="3" t="n">
        <f aca="false">SUM(P851:Q851)</f>
        <v>1</v>
      </c>
      <c r="W851" s="3" t="n">
        <f aca="false">SUM(R851:T851)</f>
        <v>0</v>
      </c>
      <c r="X851" s="10" t="n">
        <v>39969</v>
      </c>
      <c r="Y851" s="10" t="n">
        <v>39974</v>
      </c>
    </row>
    <row r="852" customFormat="false" ht="14.25" hidden="false" customHeight="false" outlineLevel="0" collapsed="false">
      <c r="A852" s="1" t="n">
        <v>2009</v>
      </c>
      <c r="B852" s="1" t="n">
        <v>1</v>
      </c>
      <c r="C852" s="2" t="s">
        <v>50</v>
      </c>
      <c r="D852" s="7" t="s">
        <v>51</v>
      </c>
      <c r="E852" s="1" t="n">
        <v>2</v>
      </c>
      <c r="F852" s="1" t="n">
        <f aca="false">Y852-X852</f>
        <v>5</v>
      </c>
      <c r="G852" s="1" t="n">
        <v>5</v>
      </c>
      <c r="H852" s="3" t="s">
        <v>32</v>
      </c>
      <c r="I852" s="3" t="s">
        <v>90</v>
      </c>
      <c r="J852" s="3" t="s">
        <v>91</v>
      </c>
      <c r="K852" s="2" t="str">
        <f aca="false">CONCATENATE(I852," ",J852)</f>
        <v>Tapinocyba insecta</v>
      </c>
      <c r="L852" s="3" t="n">
        <f aca="false">SUM(P852:U852)</f>
        <v>1</v>
      </c>
      <c r="M852" s="11" t="n">
        <f aca="false">(L852/(F852*G852)*25)*4</f>
        <v>4</v>
      </c>
      <c r="N852" s="1" t="s">
        <v>30</v>
      </c>
      <c r="O852" s="1" t="s">
        <v>31</v>
      </c>
      <c r="P852" s="1" t="n">
        <v>1</v>
      </c>
      <c r="Q852" s="1" t="n">
        <v>0</v>
      </c>
      <c r="R852" s="1" t="n">
        <v>0</v>
      </c>
      <c r="S852" s="1" t="n">
        <v>0</v>
      </c>
      <c r="T852" s="1" t="n">
        <v>0</v>
      </c>
      <c r="U852" s="1" t="n">
        <v>0</v>
      </c>
      <c r="V852" s="3" t="n">
        <f aca="false">SUM(P852:Q852)</f>
        <v>1</v>
      </c>
      <c r="W852" s="3" t="n">
        <f aca="false">SUM(R852:T852)</f>
        <v>0</v>
      </c>
      <c r="X852" s="10" t="n">
        <v>39969</v>
      </c>
      <c r="Y852" s="10" t="n">
        <v>39974</v>
      </c>
    </row>
    <row r="853" customFormat="false" ht="14.25" hidden="false" customHeight="false" outlineLevel="0" collapsed="false">
      <c r="A853" s="1" t="n">
        <v>2009</v>
      </c>
      <c r="B853" s="1" t="n">
        <v>1</v>
      </c>
      <c r="C853" s="2" t="s">
        <v>50</v>
      </c>
      <c r="D853" s="7" t="s">
        <v>51</v>
      </c>
      <c r="E853" s="1" t="n">
        <v>2</v>
      </c>
      <c r="F853" s="1" t="n">
        <f aca="false">Y853-X853</f>
        <v>5</v>
      </c>
      <c r="G853" s="1" t="n">
        <v>5</v>
      </c>
      <c r="H853" s="3" t="s">
        <v>32</v>
      </c>
      <c r="I853" s="3" t="s">
        <v>55</v>
      </c>
      <c r="J853" s="3" t="s">
        <v>194</v>
      </c>
      <c r="K853" s="2" t="str">
        <f aca="false">CONCATENATE(I853," ",J853)</f>
        <v>Maro pansibiricus</v>
      </c>
      <c r="L853" s="3" t="n">
        <f aca="false">SUM(P853:U853)</f>
        <v>1</v>
      </c>
      <c r="M853" s="11" t="n">
        <f aca="false">(L853/(F853*G853)*25)*4</f>
        <v>4</v>
      </c>
      <c r="N853" s="1" t="s">
        <v>30</v>
      </c>
      <c r="O853" s="1" t="s">
        <v>31</v>
      </c>
      <c r="P853" s="1" t="n">
        <v>1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0</v>
      </c>
      <c r="V853" s="3" t="n">
        <f aca="false">SUM(P853:Q853)</f>
        <v>1</v>
      </c>
      <c r="W853" s="3" t="n">
        <f aca="false">SUM(R853:T853)</f>
        <v>0</v>
      </c>
      <c r="X853" s="10" t="n">
        <v>39969</v>
      </c>
      <c r="Y853" s="10" t="n">
        <v>39974</v>
      </c>
    </row>
    <row r="854" customFormat="false" ht="14.25" hidden="false" customHeight="false" outlineLevel="0" collapsed="false">
      <c r="A854" s="1" t="n">
        <v>2009</v>
      </c>
      <c r="B854" s="1" t="n">
        <v>1</v>
      </c>
      <c r="C854" s="2" t="s">
        <v>50</v>
      </c>
      <c r="D854" s="7" t="s">
        <v>51</v>
      </c>
      <c r="E854" s="1" t="n">
        <v>2</v>
      </c>
      <c r="F854" s="1" t="n">
        <f aca="false">Y854-X854</f>
        <v>5</v>
      </c>
      <c r="G854" s="1" t="n">
        <v>5</v>
      </c>
      <c r="H854" s="3" t="s">
        <v>48</v>
      </c>
      <c r="I854" s="3" t="s">
        <v>49</v>
      </c>
      <c r="J854" s="3" t="s">
        <v>104</v>
      </c>
      <c r="K854" s="2" t="str">
        <f aca="false">CONCATENATE(I854," ",J854)</f>
        <v>Alopecosa taeniata</v>
      </c>
      <c r="L854" s="3" t="n">
        <f aca="false">SUM(P854:U854)</f>
        <v>2</v>
      </c>
      <c r="M854" s="11" t="n">
        <f aca="false">(L854/(F854*G854)*25)*4</f>
        <v>8</v>
      </c>
      <c r="N854" s="1" t="s">
        <v>30</v>
      </c>
      <c r="O854" s="1" t="s">
        <v>31</v>
      </c>
      <c r="P854" s="1" t="n">
        <v>2</v>
      </c>
      <c r="Q854" s="1" t="n">
        <v>0</v>
      </c>
      <c r="R854" s="1" t="n">
        <v>0</v>
      </c>
      <c r="S854" s="1" t="n">
        <v>0</v>
      </c>
      <c r="T854" s="1" t="n">
        <v>0</v>
      </c>
      <c r="U854" s="1" t="n">
        <v>0</v>
      </c>
      <c r="V854" s="3" t="n">
        <f aca="false">SUM(P854:Q854)</f>
        <v>2</v>
      </c>
      <c r="W854" s="3" t="n">
        <f aca="false">SUM(R854:T854)</f>
        <v>0</v>
      </c>
      <c r="X854" s="10" t="n">
        <v>39969</v>
      </c>
      <c r="Y854" s="10" t="n">
        <v>39974</v>
      </c>
    </row>
    <row r="855" customFormat="false" ht="14.25" hidden="false" customHeight="false" outlineLevel="0" collapsed="false">
      <c r="A855" s="1" t="n">
        <v>2009</v>
      </c>
      <c r="B855" s="1" t="n">
        <v>1</v>
      </c>
      <c r="C855" s="2" t="s">
        <v>50</v>
      </c>
      <c r="D855" s="7" t="s">
        <v>51</v>
      </c>
      <c r="E855" s="1" t="n">
        <v>2</v>
      </c>
      <c r="F855" s="1" t="n">
        <f aca="false">Y855-X855</f>
        <v>5</v>
      </c>
      <c r="G855" s="1" t="n">
        <v>5</v>
      </c>
      <c r="H855" s="3" t="s">
        <v>48</v>
      </c>
      <c r="I855" s="3" t="s">
        <v>67</v>
      </c>
      <c r="J855" s="3" t="s">
        <v>127</v>
      </c>
      <c r="K855" s="2" t="str">
        <f aca="false">CONCATENATE(I855," ",J855)</f>
        <v>Pardosa lugubris</v>
      </c>
      <c r="L855" s="3" t="n">
        <f aca="false">SUM(P855:U855)</f>
        <v>5</v>
      </c>
      <c r="M855" s="11" t="n">
        <f aca="false">(L855/(F855*G855)*25)*4</f>
        <v>20</v>
      </c>
      <c r="N855" s="1" t="s">
        <v>30</v>
      </c>
      <c r="O855" s="1" t="s">
        <v>31</v>
      </c>
      <c r="P855" s="1" t="n">
        <v>5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0</v>
      </c>
      <c r="V855" s="3" t="n">
        <f aca="false">SUM(P855:Q855)</f>
        <v>5</v>
      </c>
      <c r="W855" s="3" t="n">
        <f aca="false">SUM(R855:T855)</f>
        <v>0</v>
      </c>
      <c r="X855" s="10" t="n">
        <v>39969</v>
      </c>
      <c r="Y855" s="10" t="n">
        <v>39974</v>
      </c>
    </row>
    <row r="856" customFormat="false" ht="14.25" hidden="false" customHeight="false" outlineLevel="0" collapsed="false">
      <c r="A856" s="1" t="n">
        <v>2009</v>
      </c>
      <c r="B856" s="1" t="n">
        <v>1</v>
      </c>
      <c r="C856" s="2" t="s">
        <v>50</v>
      </c>
      <c r="D856" s="7" t="s">
        <v>51</v>
      </c>
      <c r="E856" s="1" t="n">
        <v>2</v>
      </c>
      <c r="F856" s="1" t="n">
        <f aca="false">Y856-X856</f>
        <v>5</v>
      </c>
      <c r="G856" s="1" t="n">
        <v>5</v>
      </c>
      <c r="H856" s="3" t="s">
        <v>48</v>
      </c>
      <c r="I856" s="3" t="s">
        <v>67</v>
      </c>
      <c r="J856" s="3" t="s">
        <v>127</v>
      </c>
      <c r="K856" s="2" t="str">
        <f aca="false">CONCATENATE(I856," ",J856)</f>
        <v>Pardosa lugubris</v>
      </c>
      <c r="L856" s="3" t="n">
        <f aca="false">SUM(P856:U856)</f>
        <v>1</v>
      </c>
      <c r="M856" s="11" t="n">
        <f aca="false">(L856/(F856*G856)*25)*4</f>
        <v>4</v>
      </c>
      <c r="N856" s="1" t="s">
        <v>30</v>
      </c>
      <c r="O856" s="1" t="s">
        <v>35</v>
      </c>
      <c r="P856" s="1" t="n">
        <v>0</v>
      </c>
      <c r="Q856" s="1" t="n">
        <v>1</v>
      </c>
      <c r="R856" s="1" t="n">
        <v>0</v>
      </c>
      <c r="S856" s="1" t="n">
        <v>0</v>
      </c>
      <c r="T856" s="1" t="n">
        <v>0</v>
      </c>
      <c r="U856" s="1" t="n">
        <v>0</v>
      </c>
      <c r="V856" s="3" t="n">
        <f aca="false">SUM(P856:Q856)</f>
        <v>1</v>
      </c>
      <c r="W856" s="3" t="n">
        <f aca="false">SUM(R856:T856)</f>
        <v>0</v>
      </c>
      <c r="X856" s="10" t="n">
        <v>39969</v>
      </c>
      <c r="Y856" s="10" t="n">
        <v>39974</v>
      </c>
    </row>
    <row r="857" customFormat="false" ht="14.25" hidden="false" customHeight="false" outlineLevel="0" collapsed="false">
      <c r="A857" s="1" t="n">
        <v>2009</v>
      </c>
      <c r="B857" s="1" t="n">
        <v>1</v>
      </c>
      <c r="C857" s="2" t="s">
        <v>50</v>
      </c>
      <c r="D857" s="7" t="s">
        <v>51</v>
      </c>
      <c r="E857" s="1" t="n">
        <v>2</v>
      </c>
      <c r="F857" s="1" t="n">
        <f aca="false">Y857-X857</f>
        <v>5</v>
      </c>
      <c r="G857" s="1" t="n">
        <v>5</v>
      </c>
      <c r="H857" s="3" t="s">
        <v>135</v>
      </c>
      <c r="I857" s="3" t="s">
        <v>136</v>
      </c>
      <c r="J857" s="3" t="s">
        <v>137</v>
      </c>
      <c r="K857" s="2" t="str">
        <f aca="false">CONCATENATE(I857," ",J857)</f>
        <v>Thanatus sabulosus</v>
      </c>
      <c r="L857" s="3" t="n">
        <f aca="false">SUM(P857:U857)</f>
        <v>3</v>
      </c>
      <c r="M857" s="11" t="n">
        <f aca="false">(L857/(F857*G857)*25)*4</f>
        <v>12</v>
      </c>
      <c r="N857" s="1" t="s">
        <v>30</v>
      </c>
      <c r="O857" s="1" t="s">
        <v>31</v>
      </c>
      <c r="P857" s="1" t="n">
        <v>3</v>
      </c>
      <c r="Q857" s="1" t="n">
        <v>0</v>
      </c>
      <c r="R857" s="1" t="n">
        <v>0</v>
      </c>
      <c r="S857" s="1" t="n">
        <v>0</v>
      </c>
      <c r="T857" s="1" t="n">
        <v>0</v>
      </c>
      <c r="U857" s="1" t="n">
        <v>0</v>
      </c>
      <c r="V857" s="3" t="n">
        <f aca="false">SUM(P857:Q857)</f>
        <v>3</v>
      </c>
      <c r="W857" s="3" t="n">
        <f aca="false">SUM(R857:T857)</f>
        <v>0</v>
      </c>
      <c r="X857" s="10" t="n">
        <v>39969</v>
      </c>
      <c r="Y857" s="10" t="n">
        <v>39974</v>
      </c>
    </row>
    <row r="858" customFormat="false" ht="14.25" hidden="false" customHeight="false" outlineLevel="0" collapsed="false">
      <c r="A858" s="1" t="n">
        <v>2009</v>
      </c>
      <c r="B858" s="1" t="n">
        <v>1</v>
      </c>
      <c r="C858" s="2" t="s">
        <v>50</v>
      </c>
      <c r="D858" s="7" t="s">
        <v>51</v>
      </c>
      <c r="E858" s="1" t="n">
        <v>2</v>
      </c>
      <c r="F858" s="1" t="n">
        <f aca="false">Y858-X858</f>
        <v>5</v>
      </c>
      <c r="G858" s="1" t="n">
        <v>5</v>
      </c>
      <c r="H858" s="3" t="s">
        <v>36</v>
      </c>
      <c r="I858" s="3" t="s">
        <v>37</v>
      </c>
      <c r="J858" s="8" t="s">
        <v>75</v>
      </c>
      <c r="K858" s="2" t="str">
        <f aca="false">CONCATENATE(I858," ",J858)</f>
        <v>Ozyptila praticola</v>
      </c>
      <c r="L858" s="3" t="n">
        <f aca="false">SUM(P858:U858)</f>
        <v>1</v>
      </c>
      <c r="M858" s="11" t="n">
        <f aca="false">(L858/(F858*G858)*25)*4</f>
        <v>4</v>
      </c>
      <c r="N858" s="1" t="s">
        <v>30</v>
      </c>
      <c r="O858" s="1" t="s">
        <v>31</v>
      </c>
      <c r="P858" s="1" t="n">
        <v>1</v>
      </c>
      <c r="Q858" s="1" t="n">
        <v>0</v>
      </c>
      <c r="R858" s="1" t="n">
        <v>0</v>
      </c>
      <c r="S858" s="1" t="n">
        <v>0</v>
      </c>
      <c r="T858" s="1" t="n">
        <v>0</v>
      </c>
      <c r="U858" s="1" t="n">
        <v>0</v>
      </c>
      <c r="V858" s="3" t="n">
        <f aca="false">SUM(P858:Q858)</f>
        <v>1</v>
      </c>
      <c r="W858" s="3" t="n">
        <f aca="false">SUM(R858:T858)</f>
        <v>0</v>
      </c>
      <c r="X858" s="10" t="n">
        <v>39969</v>
      </c>
      <c r="Y858" s="10" t="n">
        <v>39974</v>
      </c>
    </row>
    <row r="859" customFormat="false" ht="14.25" hidden="false" customHeight="false" outlineLevel="0" collapsed="false">
      <c r="A859" s="1" t="n">
        <v>2009</v>
      </c>
      <c r="B859" s="1" t="n">
        <v>1</v>
      </c>
      <c r="C859" s="2" t="s">
        <v>50</v>
      </c>
      <c r="D859" s="7" t="s">
        <v>51</v>
      </c>
      <c r="E859" s="1" t="n">
        <v>2</v>
      </c>
      <c r="F859" s="1" t="n">
        <f aca="false">Y859-X859</f>
        <v>5</v>
      </c>
      <c r="G859" s="1" t="n">
        <v>5</v>
      </c>
      <c r="H859" s="3" t="s">
        <v>36</v>
      </c>
      <c r="I859" s="3" t="s">
        <v>131</v>
      </c>
      <c r="J859" s="3" t="s">
        <v>133</v>
      </c>
      <c r="K859" s="2" t="str">
        <f aca="false">CONCATENATE(I859," ",J859)</f>
        <v>Xysticus luctuosus</v>
      </c>
      <c r="L859" s="3" t="n">
        <f aca="false">SUM(P859:U859)</f>
        <v>1</v>
      </c>
      <c r="M859" s="11" t="n">
        <f aca="false">(L859/(F859*G859)*25)*4</f>
        <v>4</v>
      </c>
      <c r="N859" s="1" t="s">
        <v>30</v>
      </c>
      <c r="O859" s="1" t="s">
        <v>31</v>
      </c>
      <c r="P859" s="1" t="n">
        <v>1</v>
      </c>
      <c r="Q859" s="1" t="n">
        <v>0</v>
      </c>
      <c r="R859" s="1" t="n">
        <v>0</v>
      </c>
      <c r="S859" s="1" t="n">
        <v>0</v>
      </c>
      <c r="T859" s="1" t="n">
        <v>0</v>
      </c>
      <c r="U859" s="1" t="n">
        <v>0</v>
      </c>
      <c r="V859" s="3" t="n">
        <f aca="false">SUM(P859:Q859)</f>
        <v>1</v>
      </c>
      <c r="W859" s="3" t="n">
        <f aca="false">SUM(R859:T859)</f>
        <v>0</v>
      </c>
      <c r="X859" s="10" t="n">
        <v>39969</v>
      </c>
      <c r="Y859" s="10" t="n">
        <v>39974</v>
      </c>
    </row>
    <row r="860" customFormat="false" ht="14.25" hidden="false" customHeight="false" outlineLevel="0" collapsed="false">
      <c r="A860" s="1" t="n">
        <v>2009</v>
      </c>
      <c r="B860" s="1" t="n">
        <v>1</v>
      </c>
      <c r="C860" s="2" t="s">
        <v>50</v>
      </c>
      <c r="D860" s="7" t="s">
        <v>51</v>
      </c>
      <c r="E860" s="1" t="n">
        <v>2</v>
      </c>
      <c r="F860" s="1" t="n">
        <f aca="false">Y860-X860</f>
        <v>5</v>
      </c>
      <c r="G860" s="1" t="n">
        <v>5</v>
      </c>
      <c r="H860" s="3" t="s">
        <v>72</v>
      </c>
      <c r="I860" s="3" t="s">
        <v>86</v>
      </c>
      <c r="J860" s="8" t="s">
        <v>87</v>
      </c>
      <c r="K860" s="2" t="str">
        <f aca="false">CONCATENATE(I860," ",J860)</f>
        <v>Haplodrassus soerenseni</v>
      </c>
      <c r="L860" s="3" t="n">
        <f aca="false">SUM(P860:U860)</f>
        <v>1</v>
      </c>
      <c r="M860" s="11" t="n">
        <f aca="false">(L860/(F860*G860)*25)*4</f>
        <v>4</v>
      </c>
      <c r="N860" s="1" t="s">
        <v>30</v>
      </c>
      <c r="O860" s="1" t="s">
        <v>31</v>
      </c>
      <c r="P860" s="1" t="n">
        <v>1</v>
      </c>
      <c r="Q860" s="1" t="n">
        <v>0</v>
      </c>
      <c r="R860" s="1" t="n">
        <v>0</v>
      </c>
      <c r="S860" s="1" t="n">
        <v>0</v>
      </c>
      <c r="T860" s="1" t="n">
        <v>0</v>
      </c>
      <c r="U860" s="1" t="n">
        <v>0</v>
      </c>
      <c r="V860" s="3" t="n">
        <f aca="false">SUM(P860:Q860)</f>
        <v>1</v>
      </c>
      <c r="W860" s="3" t="n">
        <f aca="false">SUM(R860:T860)</f>
        <v>0</v>
      </c>
      <c r="X860" s="10" t="n">
        <v>39969</v>
      </c>
      <c r="Y860" s="10" t="n">
        <v>39974</v>
      </c>
    </row>
    <row r="861" customFormat="false" ht="14.25" hidden="false" customHeight="false" outlineLevel="0" collapsed="false">
      <c r="A861" s="1" t="n">
        <v>2009</v>
      </c>
      <c r="B861" s="1" t="n">
        <v>1</v>
      </c>
      <c r="C861" s="2" t="s">
        <v>50</v>
      </c>
      <c r="D861" s="7" t="s">
        <v>51</v>
      </c>
      <c r="E861" s="1" t="n">
        <v>2</v>
      </c>
      <c r="F861" s="1" t="n">
        <f aca="false">Y861-X861</f>
        <v>5</v>
      </c>
      <c r="G861" s="1" t="n">
        <v>5</v>
      </c>
      <c r="H861" s="3" t="s">
        <v>72</v>
      </c>
      <c r="I861" s="3" t="s">
        <v>73</v>
      </c>
      <c r="J861" s="3" t="s">
        <v>74</v>
      </c>
      <c r="K861" s="2" t="str">
        <f aca="false">CONCATENATE(I861," ",J861)</f>
        <v>Zelotes subterraneus</v>
      </c>
      <c r="L861" s="3" t="n">
        <f aca="false">SUM(P861:U861)</f>
        <v>1</v>
      </c>
      <c r="M861" s="11" t="n">
        <f aca="false">(L861/(F861*G861)*25)*4</f>
        <v>4</v>
      </c>
      <c r="N861" s="1" t="s">
        <v>30</v>
      </c>
      <c r="O861" s="1" t="s">
        <v>31</v>
      </c>
      <c r="P861" s="1" t="n">
        <v>1</v>
      </c>
      <c r="Q861" s="1" t="n">
        <v>0</v>
      </c>
      <c r="R861" s="1" t="n">
        <v>0</v>
      </c>
      <c r="S861" s="1" t="n">
        <v>0</v>
      </c>
      <c r="T861" s="1" t="n">
        <v>0</v>
      </c>
      <c r="U861" s="1" t="n">
        <v>0</v>
      </c>
      <c r="V861" s="3" t="n">
        <f aca="false">SUM(P861:Q861)</f>
        <v>1</v>
      </c>
      <c r="W861" s="3" t="n">
        <f aca="false">SUM(R861:T861)</f>
        <v>0</v>
      </c>
      <c r="X861" s="10" t="n">
        <v>39969</v>
      </c>
      <c r="Y861" s="10" t="n">
        <v>39974</v>
      </c>
    </row>
    <row r="862" customFormat="false" ht="14.25" hidden="false" customHeight="false" outlineLevel="0" collapsed="false">
      <c r="A862" s="1" t="n">
        <v>2009</v>
      </c>
      <c r="B862" s="1" t="n">
        <v>1</v>
      </c>
      <c r="C862" s="2" t="s">
        <v>50</v>
      </c>
      <c r="D862" s="7" t="s">
        <v>51</v>
      </c>
      <c r="E862" s="1" t="n">
        <v>2</v>
      </c>
      <c r="F862" s="1" t="n">
        <f aca="false">Y862-X862</f>
        <v>5</v>
      </c>
      <c r="G862" s="1" t="n">
        <v>5</v>
      </c>
      <c r="H862" s="3" t="s">
        <v>72</v>
      </c>
      <c r="I862" s="3" t="s">
        <v>73</v>
      </c>
      <c r="J862" s="3" t="s">
        <v>38</v>
      </c>
      <c r="K862" s="2" t="str">
        <f aca="false">CONCATENATE(I862," ",J862)</f>
        <v>Zelotes sp</v>
      </c>
      <c r="L862" s="3" t="n">
        <f aca="false">SUM(P862:U862)</f>
        <v>1</v>
      </c>
      <c r="M862" s="11" t="n">
        <f aca="false">(L862/(F862*G862)*25)*4</f>
        <v>4</v>
      </c>
      <c r="N862" s="1" t="s">
        <v>19</v>
      </c>
      <c r="O862" s="1" t="s">
        <v>54</v>
      </c>
      <c r="P862" s="1" t="n">
        <v>0</v>
      </c>
      <c r="Q862" s="1" t="n">
        <v>0</v>
      </c>
      <c r="R862" s="1" t="n">
        <v>0</v>
      </c>
      <c r="S862" s="1" t="n">
        <v>0</v>
      </c>
      <c r="T862" s="1" t="n">
        <v>1</v>
      </c>
      <c r="U862" s="1" t="n">
        <v>0</v>
      </c>
      <c r="V862" s="3" t="n">
        <f aca="false">SUM(P862:Q862)</f>
        <v>0</v>
      </c>
      <c r="W862" s="3" t="n">
        <f aca="false">SUM(R862:T862)</f>
        <v>1</v>
      </c>
      <c r="X862" s="10" t="n">
        <v>39969</v>
      </c>
      <c r="Y862" s="10" t="n">
        <v>39974</v>
      </c>
    </row>
    <row r="863" customFormat="false" ht="14.25" hidden="false" customHeight="false" outlineLevel="0" collapsed="false">
      <c r="A863" s="1" t="n">
        <v>2009</v>
      </c>
      <c r="B863" s="1" t="n">
        <v>1</v>
      </c>
      <c r="C863" s="2" t="s">
        <v>50</v>
      </c>
      <c r="D863" s="7" t="s">
        <v>51</v>
      </c>
      <c r="E863" s="1" t="n">
        <v>2</v>
      </c>
      <c r="F863" s="1" t="n">
        <f aca="false">Y863-X863</f>
        <v>5</v>
      </c>
      <c r="G863" s="1" t="n">
        <v>5</v>
      </c>
      <c r="H863" s="3" t="s">
        <v>32</v>
      </c>
      <c r="I863" s="3" t="s">
        <v>55</v>
      </c>
      <c r="J863" s="3" t="s">
        <v>194</v>
      </c>
      <c r="K863" s="2" t="str">
        <f aca="false">CONCATENATE(I863," ",J863)</f>
        <v>Maro pansibiricus</v>
      </c>
      <c r="L863" s="3" t="n">
        <f aca="false">SUM(P863:U863)</f>
        <v>1</v>
      </c>
      <c r="M863" s="11" t="n">
        <f aca="false">(L863/(F863*G863)*25)*4</f>
        <v>4</v>
      </c>
      <c r="N863" s="1" t="s">
        <v>30</v>
      </c>
      <c r="O863" s="1" t="s">
        <v>31</v>
      </c>
      <c r="P863" s="1" t="n">
        <v>1</v>
      </c>
      <c r="Q863" s="1" t="n">
        <v>0</v>
      </c>
      <c r="R863" s="1" t="n">
        <v>0</v>
      </c>
      <c r="S863" s="1" t="n">
        <v>0</v>
      </c>
      <c r="T863" s="1" t="n">
        <v>0</v>
      </c>
      <c r="U863" s="1" t="n">
        <v>0</v>
      </c>
      <c r="V863" s="3" t="n">
        <f aca="false">SUM(P863:Q863)</f>
        <v>1</v>
      </c>
      <c r="W863" s="3" t="n">
        <f aca="false">SUM(R863:T863)</f>
        <v>0</v>
      </c>
      <c r="X863" s="10" t="n">
        <v>39969</v>
      </c>
      <c r="Y863" s="10" t="n">
        <v>39974</v>
      </c>
    </row>
    <row r="864" customFormat="false" ht="14.25" hidden="false" customHeight="false" outlineLevel="0" collapsed="false">
      <c r="A864" s="1" t="n">
        <v>2009</v>
      </c>
      <c r="B864" s="1" t="n">
        <v>1</v>
      </c>
      <c r="C864" s="2" t="s">
        <v>50</v>
      </c>
      <c r="D864" s="7" t="s">
        <v>51</v>
      </c>
      <c r="E864" s="1" t="n">
        <v>2</v>
      </c>
      <c r="F864" s="1" t="n">
        <f aca="false">Y864-X864</f>
        <v>5</v>
      </c>
      <c r="G864" s="1" t="n">
        <v>5</v>
      </c>
      <c r="H864" s="13" t="s">
        <v>32</v>
      </c>
      <c r="I864" s="13" t="s">
        <v>202</v>
      </c>
      <c r="J864" s="14" t="s">
        <v>203</v>
      </c>
      <c r="K864" s="2" t="str">
        <f aca="false">CONCATENATE(I864," ",J864)</f>
        <v>Hypselistes jacksoni</v>
      </c>
      <c r="L864" s="3" t="n">
        <f aca="false">SUM(P864:U864)</f>
        <v>1</v>
      </c>
      <c r="M864" s="11" t="n">
        <f aca="false">(L864/(F864*G864)*25)*4</f>
        <v>4</v>
      </c>
      <c r="N864" s="1" t="s">
        <v>30</v>
      </c>
      <c r="O864" s="1" t="s">
        <v>35</v>
      </c>
      <c r="P864" s="1" t="n">
        <v>0</v>
      </c>
      <c r="Q864" s="1" t="n">
        <v>1</v>
      </c>
      <c r="R864" s="1" t="n">
        <v>0</v>
      </c>
      <c r="S864" s="1" t="n">
        <v>0</v>
      </c>
      <c r="T864" s="1" t="n">
        <v>0</v>
      </c>
      <c r="U864" s="1" t="n">
        <v>0</v>
      </c>
      <c r="V864" s="3" t="n">
        <f aca="false">SUM(P864:Q864)</f>
        <v>1</v>
      </c>
      <c r="W864" s="3" t="n">
        <f aca="false">SUM(R864:T864)</f>
        <v>0</v>
      </c>
      <c r="X864" s="10" t="n">
        <v>39969</v>
      </c>
      <c r="Y864" s="10" t="n">
        <v>39974</v>
      </c>
    </row>
    <row r="865" customFormat="false" ht="14.25" hidden="false" customHeight="false" outlineLevel="0" collapsed="false">
      <c r="A865" s="1" t="n">
        <v>2009</v>
      </c>
      <c r="B865" s="1" t="n">
        <v>1</v>
      </c>
      <c r="C865" s="2" t="s">
        <v>50</v>
      </c>
      <c r="D865" s="7" t="s">
        <v>51</v>
      </c>
      <c r="E865" s="1" t="n">
        <v>2</v>
      </c>
      <c r="F865" s="1" t="n">
        <f aca="false">Y865-X865</f>
        <v>5</v>
      </c>
      <c r="G865" s="1" t="n">
        <v>5</v>
      </c>
      <c r="H865" s="3" t="s">
        <v>48</v>
      </c>
      <c r="I865" s="3" t="s">
        <v>49</v>
      </c>
      <c r="J865" s="3" t="s">
        <v>104</v>
      </c>
      <c r="K865" s="2" t="str">
        <f aca="false">CONCATENATE(I865," ",J865)</f>
        <v>Alopecosa taeniata</v>
      </c>
      <c r="L865" s="3" t="n">
        <f aca="false">SUM(P865:U865)</f>
        <v>1</v>
      </c>
      <c r="M865" s="11" t="n">
        <f aca="false">(L865/(F865*G865)*25)*4</f>
        <v>4</v>
      </c>
      <c r="N865" s="1" t="s">
        <v>30</v>
      </c>
      <c r="O865" s="1" t="s">
        <v>31</v>
      </c>
      <c r="P865" s="1" t="n">
        <v>1</v>
      </c>
      <c r="Q865" s="1" t="n">
        <v>0</v>
      </c>
      <c r="R865" s="1" t="n">
        <v>0</v>
      </c>
      <c r="S865" s="1" t="n">
        <v>0</v>
      </c>
      <c r="T865" s="1" t="n">
        <v>0</v>
      </c>
      <c r="U865" s="1" t="n">
        <v>0</v>
      </c>
      <c r="V865" s="3" t="n">
        <f aca="false">SUM(P865:Q865)</f>
        <v>1</v>
      </c>
      <c r="W865" s="3" t="n">
        <f aca="false">SUM(R865:T865)</f>
        <v>0</v>
      </c>
      <c r="X865" s="10" t="n">
        <v>39969</v>
      </c>
      <c r="Y865" s="10" t="n">
        <v>39974</v>
      </c>
    </row>
    <row r="866" customFormat="false" ht="14.25" hidden="false" customHeight="false" outlineLevel="0" collapsed="false">
      <c r="A866" s="1" t="n">
        <v>2009</v>
      </c>
      <c r="B866" s="1" t="n">
        <v>1</v>
      </c>
      <c r="C866" s="2" t="s">
        <v>50</v>
      </c>
      <c r="D866" s="7" t="s">
        <v>51</v>
      </c>
      <c r="E866" s="1" t="n">
        <v>2</v>
      </c>
      <c r="F866" s="1" t="n">
        <f aca="false">Y866-X866</f>
        <v>5</v>
      </c>
      <c r="G866" s="1" t="n">
        <v>5</v>
      </c>
      <c r="H866" s="3" t="s">
        <v>48</v>
      </c>
      <c r="I866" s="3" t="s">
        <v>49</v>
      </c>
      <c r="J866" s="3" t="s">
        <v>130</v>
      </c>
      <c r="K866" s="2" t="str">
        <f aca="false">CONCATENATE(I866," ",J866)</f>
        <v>Alopecosa aculeata</v>
      </c>
      <c r="L866" s="3" t="n">
        <f aca="false">SUM(P866:U866)</f>
        <v>1</v>
      </c>
      <c r="M866" s="11" t="n">
        <f aca="false">(L866/(F866*G866)*25)*4</f>
        <v>4</v>
      </c>
      <c r="N866" s="1" t="s">
        <v>30</v>
      </c>
      <c r="O866" s="1" t="s">
        <v>31</v>
      </c>
      <c r="P866" s="1" t="n">
        <v>1</v>
      </c>
      <c r="Q866" s="1" t="n">
        <v>0</v>
      </c>
      <c r="R866" s="1" t="n">
        <v>0</v>
      </c>
      <c r="S866" s="1" t="n">
        <v>0</v>
      </c>
      <c r="T866" s="1" t="n">
        <v>0</v>
      </c>
      <c r="U866" s="1" t="n">
        <v>0</v>
      </c>
      <c r="V866" s="3" t="n">
        <f aca="false">SUM(P866:Q866)</f>
        <v>1</v>
      </c>
      <c r="W866" s="3" t="n">
        <f aca="false">SUM(R866:T866)</f>
        <v>0</v>
      </c>
      <c r="X866" s="10" t="n">
        <v>39969</v>
      </c>
      <c r="Y866" s="10" t="n">
        <v>39974</v>
      </c>
    </row>
    <row r="867" customFormat="false" ht="14.25" hidden="false" customHeight="false" outlineLevel="0" collapsed="false">
      <c r="A867" s="1" t="n">
        <v>2009</v>
      </c>
      <c r="B867" s="1" t="n">
        <v>1</v>
      </c>
      <c r="C867" s="2" t="s">
        <v>50</v>
      </c>
      <c r="D867" s="7" t="s">
        <v>51</v>
      </c>
      <c r="E867" s="1" t="n">
        <v>2</v>
      </c>
      <c r="F867" s="1" t="n">
        <f aca="false">Y867-X867</f>
        <v>5</v>
      </c>
      <c r="G867" s="1" t="n">
        <v>5</v>
      </c>
      <c r="H867" s="3" t="s">
        <v>48</v>
      </c>
      <c r="I867" s="3" t="s">
        <v>67</v>
      </c>
      <c r="J867" s="3" t="s">
        <v>127</v>
      </c>
      <c r="K867" s="2" t="str">
        <f aca="false">CONCATENATE(I867," ",J867)</f>
        <v>Pardosa lugubris</v>
      </c>
      <c r="L867" s="3" t="n">
        <f aca="false">SUM(P867:U867)</f>
        <v>4</v>
      </c>
      <c r="M867" s="11" t="n">
        <f aca="false">(L867/(F867*G867)*25)*4</f>
        <v>16</v>
      </c>
      <c r="N867" s="1" t="s">
        <v>30</v>
      </c>
      <c r="O867" s="1" t="s">
        <v>31</v>
      </c>
      <c r="P867" s="1" t="n">
        <v>4</v>
      </c>
      <c r="Q867" s="1" t="n">
        <v>0</v>
      </c>
      <c r="R867" s="1" t="n">
        <v>0</v>
      </c>
      <c r="S867" s="1" t="n">
        <v>0</v>
      </c>
      <c r="T867" s="1" t="n">
        <v>0</v>
      </c>
      <c r="U867" s="1" t="n">
        <v>0</v>
      </c>
      <c r="V867" s="3" t="n">
        <f aca="false">SUM(P867:Q867)</f>
        <v>4</v>
      </c>
      <c r="W867" s="3" t="n">
        <f aca="false">SUM(R867:T867)</f>
        <v>0</v>
      </c>
      <c r="X867" s="10" t="n">
        <v>39969</v>
      </c>
      <c r="Y867" s="10" t="n">
        <v>39974</v>
      </c>
    </row>
    <row r="868" customFormat="false" ht="14.25" hidden="false" customHeight="false" outlineLevel="0" collapsed="false">
      <c r="A868" s="1" t="n">
        <v>2009</v>
      </c>
      <c r="B868" s="1" t="n">
        <v>1</v>
      </c>
      <c r="C868" s="2" t="s">
        <v>50</v>
      </c>
      <c r="D868" s="7" t="s">
        <v>51</v>
      </c>
      <c r="E868" s="1" t="n">
        <v>2</v>
      </c>
      <c r="F868" s="1" t="n">
        <f aca="false">Y868-X868</f>
        <v>5</v>
      </c>
      <c r="G868" s="1" t="n">
        <v>5</v>
      </c>
      <c r="H868" s="3" t="s">
        <v>48</v>
      </c>
      <c r="I868" s="3" t="s">
        <v>61</v>
      </c>
      <c r="J868" s="3" t="s">
        <v>82</v>
      </c>
      <c r="K868" s="2" t="str">
        <f aca="false">CONCATENATE(I868," ",J868)</f>
        <v>Trochosa terricola</v>
      </c>
      <c r="L868" s="3" t="n">
        <f aca="false">SUM(P868:U868)</f>
        <v>1</v>
      </c>
      <c r="M868" s="11" t="n">
        <f aca="false">(L868/(F868*G868)*25)*4</f>
        <v>4</v>
      </c>
      <c r="N868" s="1" t="s">
        <v>30</v>
      </c>
      <c r="O868" s="1" t="s">
        <v>35</v>
      </c>
      <c r="P868" s="1" t="n">
        <v>0</v>
      </c>
      <c r="Q868" s="1" t="n">
        <v>1</v>
      </c>
      <c r="R868" s="1" t="n">
        <v>0</v>
      </c>
      <c r="S868" s="1" t="n">
        <v>0</v>
      </c>
      <c r="T868" s="1" t="n">
        <v>0</v>
      </c>
      <c r="U868" s="1" t="n">
        <v>0</v>
      </c>
      <c r="V868" s="3" t="n">
        <f aca="false">SUM(P868:Q868)</f>
        <v>1</v>
      </c>
      <c r="W868" s="3" t="n">
        <f aca="false">SUM(R868:T868)</f>
        <v>0</v>
      </c>
      <c r="X868" s="10" t="n">
        <v>39969</v>
      </c>
      <c r="Y868" s="10" t="n">
        <v>39974</v>
      </c>
    </row>
    <row r="869" customFormat="false" ht="14.25" hidden="false" customHeight="false" outlineLevel="0" collapsed="false">
      <c r="A869" s="1" t="n">
        <v>2009</v>
      </c>
      <c r="B869" s="1" t="n">
        <v>1</v>
      </c>
      <c r="C869" s="2" t="s">
        <v>50</v>
      </c>
      <c r="D869" s="7" t="s">
        <v>51</v>
      </c>
      <c r="E869" s="1" t="n">
        <v>2</v>
      </c>
      <c r="F869" s="1" t="n">
        <f aca="false">Y869-X869</f>
        <v>5</v>
      </c>
      <c r="G869" s="1" t="n">
        <v>5</v>
      </c>
      <c r="H869" s="3" t="s">
        <v>48</v>
      </c>
      <c r="I869" s="3" t="s">
        <v>57</v>
      </c>
      <c r="J869" s="3" t="s">
        <v>38</v>
      </c>
      <c r="K869" s="2" t="str">
        <f aca="false">CONCATENATE(I869," ",J869)</f>
        <v>Gen sp</v>
      </c>
      <c r="L869" s="3" t="n">
        <f aca="false">SUM(P869:U869)</f>
        <v>1</v>
      </c>
      <c r="M869" s="11" t="n">
        <f aca="false">(L869/(F869*G869)*25)*4</f>
        <v>4</v>
      </c>
      <c r="N869" s="1" t="s">
        <v>19</v>
      </c>
      <c r="O869" s="1" t="s">
        <v>54</v>
      </c>
      <c r="P869" s="1" t="n">
        <v>0</v>
      </c>
      <c r="Q869" s="1" t="n">
        <v>0</v>
      </c>
      <c r="R869" s="1" t="n">
        <v>0</v>
      </c>
      <c r="S869" s="1" t="n">
        <v>0</v>
      </c>
      <c r="T869" s="1" t="n">
        <v>1</v>
      </c>
      <c r="U869" s="1" t="n">
        <v>0</v>
      </c>
      <c r="V869" s="3" t="n">
        <f aca="false">SUM(P869:Q869)</f>
        <v>0</v>
      </c>
      <c r="W869" s="3" t="n">
        <f aca="false">SUM(R869:T869)</f>
        <v>1</v>
      </c>
      <c r="X869" s="10" t="n">
        <v>39969</v>
      </c>
      <c r="Y869" s="10" t="n">
        <v>39974</v>
      </c>
    </row>
    <row r="870" customFormat="false" ht="14.25" hidden="false" customHeight="false" outlineLevel="0" collapsed="false">
      <c r="A870" s="1" t="n">
        <v>2009</v>
      </c>
      <c r="B870" s="1" t="n">
        <v>1</v>
      </c>
      <c r="C870" s="2" t="s">
        <v>50</v>
      </c>
      <c r="D870" s="7" t="s">
        <v>51</v>
      </c>
      <c r="E870" s="1" t="n">
        <v>2</v>
      </c>
      <c r="F870" s="1" t="n">
        <f aca="false">Y870-X870</f>
        <v>5</v>
      </c>
      <c r="G870" s="1" t="n">
        <v>5</v>
      </c>
      <c r="H870" s="3" t="s">
        <v>48</v>
      </c>
      <c r="I870" s="3" t="s">
        <v>61</v>
      </c>
      <c r="J870" s="3" t="s">
        <v>38</v>
      </c>
      <c r="K870" s="2" t="str">
        <f aca="false">CONCATENATE(I870," ",J870)</f>
        <v>Trochosa sp</v>
      </c>
      <c r="L870" s="3" t="n">
        <f aca="false">SUM(P870:U870)</f>
        <v>1</v>
      </c>
      <c r="M870" s="11" t="n">
        <f aca="false">(L870/(F870*G870)*25)*4</f>
        <v>4</v>
      </c>
      <c r="N870" s="1" t="s">
        <v>19</v>
      </c>
      <c r="O870" s="1" t="s">
        <v>54</v>
      </c>
      <c r="P870" s="1" t="n">
        <v>0</v>
      </c>
      <c r="Q870" s="1" t="n">
        <v>0</v>
      </c>
      <c r="R870" s="1" t="n">
        <v>0</v>
      </c>
      <c r="S870" s="1" t="n">
        <v>0</v>
      </c>
      <c r="T870" s="1" t="n">
        <v>1</v>
      </c>
      <c r="U870" s="1" t="n">
        <v>0</v>
      </c>
      <c r="V870" s="3" t="n">
        <f aca="false">SUM(P870:Q870)</f>
        <v>0</v>
      </c>
      <c r="W870" s="3" t="n">
        <f aca="false">SUM(R870:T870)</f>
        <v>1</v>
      </c>
      <c r="X870" s="10" t="n">
        <v>39969</v>
      </c>
      <c r="Y870" s="10" t="n">
        <v>39974</v>
      </c>
    </row>
    <row r="871" customFormat="false" ht="14.25" hidden="false" customHeight="false" outlineLevel="0" collapsed="false">
      <c r="A871" s="1" t="n">
        <v>2009</v>
      </c>
      <c r="B871" s="1" t="n">
        <v>1</v>
      </c>
      <c r="C871" s="2" t="s">
        <v>50</v>
      </c>
      <c r="D871" s="7" t="s">
        <v>51</v>
      </c>
      <c r="E871" s="1" t="n">
        <v>2</v>
      </c>
      <c r="F871" s="1" t="n">
        <f aca="false">Y871-X871</f>
        <v>5</v>
      </c>
      <c r="G871" s="1" t="n">
        <v>5</v>
      </c>
      <c r="H871" s="3" t="s">
        <v>72</v>
      </c>
      <c r="I871" s="3" t="s">
        <v>86</v>
      </c>
      <c r="J871" s="8" t="s">
        <v>87</v>
      </c>
      <c r="K871" s="2" t="str">
        <f aca="false">CONCATENATE(I871," ",J871)</f>
        <v>Haplodrassus soerenseni</v>
      </c>
      <c r="L871" s="3" t="n">
        <f aca="false">SUM(P871:U871)</f>
        <v>1</v>
      </c>
      <c r="M871" s="11" t="n">
        <f aca="false">(L871/(F871*G871)*25)*4</f>
        <v>4</v>
      </c>
      <c r="N871" s="1" t="s">
        <v>30</v>
      </c>
      <c r="O871" s="1" t="s">
        <v>31</v>
      </c>
      <c r="P871" s="1" t="n">
        <v>1</v>
      </c>
      <c r="Q871" s="1" t="n">
        <v>0</v>
      </c>
      <c r="R871" s="1" t="n">
        <v>0</v>
      </c>
      <c r="S871" s="1" t="n">
        <v>0</v>
      </c>
      <c r="T871" s="1" t="n">
        <v>0</v>
      </c>
      <c r="U871" s="1" t="n">
        <v>0</v>
      </c>
      <c r="V871" s="3" t="n">
        <f aca="false">SUM(P871:Q871)</f>
        <v>1</v>
      </c>
      <c r="W871" s="3" t="n">
        <f aca="false">SUM(R871:T871)</f>
        <v>0</v>
      </c>
      <c r="X871" s="10" t="n">
        <v>39969</v>
      </c>
      <c r="Y871" s="10" t="n">
        <v>39974</v>
      </c>
    </row>
    <row r="872" customFormat="false" ht="14.25" hidden="false" customHeight="false" outlineLevel="0" collapsed="false">
      <c r="A872" s="1" t="n">
        <v>2009</v>
      </c>
      <c r="B872" s="1" t="n">
        <v>1</v>
      </c>
      <c r="C872" s="2" t="s">
        <v>50</v>
      </c>
      <c r="D872" s="7" t="s">
        <v>51</v>
      </c>
      <c r="E872" s="1" t="n">
        <v>2</v>
      </c>
      <c r="F872" s="1" t="n">
        <f aca="false">Y872-X872</f>
        <v>5</v>
      </c>
      <c r="G872" s="1" t="n">
        <v>5</v>
      </c>
      <c r="H872" s="3" t="s">
        <v>72</v>
      </c>
      <c r="I872" s="3" t="s">
        <v>86</v>
      </c>
      <c r="J872" s="8" t="s">
        <v>87</v>
      </c>
      <c r="K872" s="2" t="str">
        <f aca="false">CONCATENATE(I872," ",J872)</f>
        <v>Haplodrassus soerenseni</v>
      </c>
      <c r="L872" s="3" t="n">
        <f aca="false">SUM(P872:U872)</f>
        <v>1</v>
      </c>
      <c r="M872" s="11" t="n">
        <f aca="false">(L872/(F872*G872)*25)*4</f>
        <v>4</v>
      </c>
      <c r="N872" s="1" t="s">
        <v>30</v>
      </c>
      <c r="O872" s="1" t="s">
        <v>35</v>
      </c>
      <c r="P872" s="1" t="n">
        <v>0</v>
      </c>
      <c r="Q872" s="1" t="n">
        <v>1</v>
      </c>
      <c r="R872" s="1" t="n">
        <v>0</v>
      </c>
      <c r="S872" s="1" t="n">
        <v>0</v>
      </c>
      <c r="T872" s="1" t="n">
        <v>0</v>
      </c>
      <c r="U872" s="1" t="n">
        <v>0</v>
      </c>
      <c r="V872" s="3" t="n">
        <f aca="false">SUM(P872:Q872)</f>
        <v>1</v>
      </c>
      <c r="W872" s="3" t="n">
        <f aca="false">SUM(R872:T872)</f>
        <v>0</v>
      </c>
      <c r="X872" s="10" t="n">
        <v>39969</v>
      </c>
      <c r="Y872" s="10" t="n">
        <v>39974</v>
      </c>
    </row>
    <row r="873" customFormat="false" ht="14.25" hidden="false" customHeight="false" outlineLevel="0" collapsed="false">
      <c r="A873" s="1" t="n">
        <v>2009</v>
      </c>
      <c r="B873" s="1" t="n">
        <v>1</v>
      </c>
      <c r="C873" s="2" t="s">
        <v>50</v>
      </c>
      <c r="D873" s="7" t="s">
        <v>51</v>
      </c>
      <c r="E873" s="1" t="n">
        <v>2</v>
      </c>
      <c r="F873" s="1" t="n">
        <f aca="false">Y873-X873</f>
        <v>5</v>
      </c>
      <c r="G873" s="1" t="n">
        <v>5</v>
      </c>
      <c r="H873" s="3" t="s">
        <v>36</v>
      </c>
      <c r="I873" s="3" t="s">
        <v>37</v>
      </c>
      <c r="J873" s="3" t="s">
        <v>38</v>
      </c>
      <c r="K873" s="2" t="str">
        <f aca="false">CONCATENATE(I873," ",J873)</f>
        <v>Ozyptila sp</v>
      </c>
      <c r="L873" s="3" t="n">
        <f aca="false">SUM(P873:U873)</f>
        <v>1</v>
      </c>
      <c r="M873" s="11" t="n">
        <f aca="false">(L873/(F873*G873)*25)*4</f>
        <v>4</v>
      </c>
      <c r="N873" s="1" t="s">
        <v>19</v>
      </c>
      <c r="O873" s="1" t="s">
        <v>54</v>
      </c>
      <c r="P873" s="1" t="n">
        <v>0</v>
      </c>
      <c r="Q873" s="1" t="n">
        <v>0</v>
      </c>
      <c r="R873" s="1" t="n">
        <v>0</v>
      </c>
      <c r="S873" s="1" t="n">
        <v>0</v>
      </c>
      <c r="T873" s="1" t="n">
        <v>1</v>
      </c>
      <c r="U873" s="1" t="n">
        <v>0</v>
      </c>
      <c r="V873" s="3" t="n">
        <f aca="false">SUM(P873:Q873)</f>
        <v>0</v>
      </c>
      <c r="W873" s="3" t="n">
        <f aca="false">SUM(R873:T873)</f>
        <v>1</v>
      </c>
      <c r="X873" s="10" t="n">
        <v>39969</v>
      </c>
      <c r="Y873" s="10" t="n">
        <v>39974</v>
      </c>
    </row>
    <row r="874" customFormat="false" ht="14.25" hidden="false" customHeight="false" outlineLevel="0" collapsed="false">
      <c r="A874" s="1" t="n">
        <v>2009</v>
      </c>
      <c r="B874" s="1" t="n">
        <v>1</v>
      </c>
      <c r="C874" s="2" t="s">
        <v>50</v>
      </c>
      <c r="D874" s="7" t="s">
        <v>51</v>
      </c>
      <c r="E874" s="1" t="n">
        <v>2</v>
      </c>
      <c r="F874" s="1" t="n">
        <f aca="false">Y874-X874</f>
        <v>5</v>
      </c>
      <c r="G874" s="1" t="n">
        <v>5</v>
      </c>
      <c r="H874" s="3" t="s">
        <v>64</v>
      </c>
      <c r="I874" s="3" t="s">
        <v>65</v>
      </c>
      <c r="J874" s="3" t="s">
        <v>123</v>
      </c>
      <c r="K874" s="2" t="str">
        <f aca="false">CONCATENATE(I874," ",J874)</f>
        <v>Zora nemoralis</v>
      </c>
      <c r="L874" s="3" t="n">
        <f aca="false">SUM(P874:U874)</f>
        <v>1</v>
      </c>
      <c r="M874" s="11" t="n">
        <f aca="false">(L874/(F874*G874)*25)*4</f>
        <v>4</v>
      </c>
      <c r="N874" s="1" t="s">
        <v>30</v>
      </c>
      <c r="O874" s="1" t="s">
        <v>31</v>
      </c>
      <c r="P874" s="1" t="n">
        <v>1</v>
      </c>
      <c r="Q874" s="1" t="n">
        <v>0</v>
      </c>
      <c r="R874" s="1" t="n">
        <v>0</v>
      </c>
      <c r="S874" s="1" t="n">
        <v>0</v>
      </c>
      <c r="T874" s="1" t="n">
        <v>0</v>
      </c>
      <c r="U874" s="1" t="n">
        <v>0</v>
      </c>
      <c r="V874" s="3" t="n">
        <f aca="false">SUM(P874:Q874)</f>
        <v>1</v>
      </c>
      <c r="W874" s="3" t="n">
        <f aca="false">SUM(R874:T874)</f>
        <v>0</v>
      </c>
      <c r="X874" s="10" t="n">
        <v>39969</v>
      </c>
      <c r="Y874" s="10" t="n">
        <v>39974</v>
      </c>
    </row>
    <row r="875" customFormat="false" ht="14.25" hidden="false" customHeight="false" outlineLevel="0" collapsed="false">
      <c r="A875" s="1" t="n">
        <v>2009</v>
      </c>
      <c r="B875" s="1" t="n">
        <v>1</v>
      </c>
      <c r="C875" s="2" t="s">
        <v>50</v>
      </c>
      <c r="D875" s="7" t="s">
        <v>51</v>
      </c>
      <c r="E875" s="1" t="n">
        <v>2</v>
      </c>
      <c r="F875" s="1" t="n">
        <f aca="false">Y875-X875</f>
        <v>5</v>
      </c>
      <c r="G875" s="1" t="n">
        <v>5</v>
      </c>
      <c r="H875" s="3" t="s">
        <v>32</v>
      </c>
      <c r="I875" s="3" t="s">
        <v>57</v>
      </c>
      <c r="J875" s="3" t="s">
        <v>38</v>
      </c>
      <c r="K875" s="2" t="str">
        <f aca="false">CONCATENATE(I875," ",J875)</f>
        <v>Gen sp</v>
      </c>
      <c r="L875" s="3" t="n">
        <f aca="false">SUM(P875:U875)</f>
        <v>1</v>
      </c>
      <c r="M875" s="11" t="n">
        <f aca="false">(L875/(F875*G875)*25)*4</f>
        <v>4</v>
      </c>
      <c r="N875" s="1" t="s">
        <v>19</v>
      </c>
      <c r="O875" s="1" t="s">
        <v>54</v>
      </c>
      <c r="P875" s="1" t="n">
        <v>0</v>
      </c>
      <c r="Q875" s="1" t="n">
        <v>0</v>
      </c>
      <c r="R875" s="1" t="n">
        <v>0</v>
      </c>
      <c r="S875" s="1" t="n">
        <v>0</v>
      </c>
      <c r="T875" s="1" t="n">
        <v>1</v>
      </c>
      <c r="U875" s="1" t="n">
        <v>0</v>
      </c>
      <c r="V875" s="3" t="n">
        <f aca="false">SUM(P875:Q875)</f>
        <v>0</v>
      </c>
      <c r="W875" s="3" t="n">
        <f aca="false">SUM(R875:T875)</f>
        <v>1</v>
      </c>
      <c r="X875" s="10" t="n">
        <v>39969</v>
      </c>
      <c r="Y875" s="10" t="n">
        <v>39974</v>
      </c>
    </row>
    <row r="876" customFormat="false" ht="14.25" hidden="false" customHeight="false" outlineLevel="0" collapsed="false">
      <c r="A876" s="1" t="n">
        <v>2009</v>
      </c>
      <c r="B876" s="1" t="n">
        <v>1</v>
      </c>
      <c r="C876" s="2" t="s">
        <v>50</v>
      </c>
      <c r="D876" s="7" t="s">
        <v>51</v>
      </c>
      <c r="E876" s="1" t="n">
        <v>2</v>
      </c>
      <c r="F876" s="1" t="n">
        <f aca="false">Y876-X876</f>
        <v>5</v>
      </c>
      <c r="G876" s="1" t="n">
        <v>5</v>
      </c>
      <c r="H876" s="3" t="s">
        <v>32</v>
      </c>
      <c r="I876" s="3" t="s">
        <v>90</v>
      </c>
      <c r="J876" s="3" t="s">
        <v>91</v>
      </c>
      <c r="K876" s="2" t="str">
        <f aca="false">CONCATENATE(I876," ",J876)</f>
        <v>Tapinocyba insecta</v>
      </c>
      <c r="L876" s="3" t="n">
        <f aca="false">SUM(P876:U876)</f>
        <v>1</v>
      </c>
      <c r="M876" s="11" t="n">
        <f aca="false">(L876/(F876*G876)*25)*4</f>
        <v>4</v>
      </c>
      <c r="N876" s="1" t="s">
        <v>30</v>
      </c>
      <c r="O876" s="1" t="s">
        <v>31</v>
      </c>
      <c r="P876" s="1" t="n">
        <v>1</v>
      </c>
      <c r="Q876" s="1" t="n">
        <v>0</v>
      </c>
      <c r="R876" s="1" t="n">
        <v>0</v>
      </c>
      <c r="S876" s="1" t="n">
        <v>0</v>
      </c>
      <c r="T876" s="1" t="n">
        <v>0</v>
      </c>
      <c r="U876" s="1" t="n">
        <v>0</v>
      </c>
      <c r="V876" s="3" t="n">
        <f aca="false">SUM(P876:Q876)</f>
        <v>1</v>
      </c>
      <c r="W876" s="3" t="n">
        <f aca="false">SUM(R876:T876)</f>
        <v>0</v>
      </c>
      <c r="X876" s="10" t="n">
        <v>39969</v>
      </c>
      <c r="Y876" s="10" t="n">
        <v>39974</v>
      </c>
    </row>
    <row r="877" customFormat="false" ht="14.25" hidden="false" customHeight="false" outlineLevel="0" collapsed="false">
      <c r="A877" s="1" t="n">
        <v>2009</v>
      </c>
      <c r="B877" s="1" t="n">
        <v>1</v>
      </c>
      <c r="C877" s="2" t="s">
        <v>50</v>
      </c>
      <c r="D877" s="7" t="s">
        <v>51</v>
      </c>
      <c r="E877" s="1" t="n">
        <v>2</v>
      </c>
      <c r="F877" s="1" t="n">
        <f aca="false">Y877-X877</f>
        <v>5</v>
      </c>
      <c r="G877" s="1" t="n">
        <v>5</v>
      </c>
      <c r="H877" s="13" t="s">
        <v>32</v>
      </c>
      <c r="I877" s="13" t="s">
        <v>202</v>
      </c>
      <c r="J877" s="14" t="s">
        <v>203</v>
      </c>
      <c r="K877" s="2" t="str">
        <f aca="false">CONCATENATE(I877," ",J877)</f>
        <v>Hypselistes jacksoni</v>
      </c>
      <c r="L877" s="3" t="n">
        <f aca="false">SUM(P877:U877)</f>
        <v>1</v>
      </c>
      <c r="M877" s="11" t="n">
        <f aca="false">(L877/(F877*G877)*25)*4</f>
        <v>4</v>
      </c>
      <c r="N877" s="1" t="s">
        <v>30</v>
      </c>
      <c r="O877" s="1" t="s">
        <v>35</v>
      </c>
      <c r="P877" s="1" t="n">
        <v>0</v>
      </c>
      <c r="Q877" s="1" t="n">
        <v>1</v>
      </c>
      <c r="R877" s="1" t="n">
        <v>0</v>
      </c>
      <c r="S877" s="1" t="n">
        <v>0</v>
      </c>
      <c r="T877" s="1" t="n">
        <v>0</v>
      </c>
      <c r="U877" s="1" t="n">
        <v>0</v>
      </c>
      <c r="V877" s="3" t="n">
        <f aca="false">SUM(P877:Q877)</f>
        <v>1</v>
      </c>
      <c r="W877" s="3" t="n">
        <f aca="false">SUM(R877:T877)</f>
        <v>0</v>
      </c>
      <c r="X877" s="10" t="n">
        <v>39969</v>
      </c>
      <c r="Y877" s="10" t="n">
        <v>39974</v>
      </c>
    </row>
    <row r="878" customFormat="false" ht="14.25" hidden="false" customHeight="false" outlineLevel="0" collapsed="false">
      <c r="A878" s="1" t="n">
        <v>2009</v>
      </c>
      <c r="B878" s="1" t="n">
        <v>1</v>
      </c>
      <c r="C878" s="2" t="s">
        <v>50</v>
      </c>
      <c r="D878" s="7" t="s">
        <v>51</v>
      </c>
      <c r="E878" s="1" t="n">
        <v>3</v>
      </c>
      <c r="F878" s="1" t="n">
        <f aca="false">Y878-X878</f>
        <v>5</v>
      </c>
      <c r="G878" s="1" t="n">
        <v>5</v>
      </c>
      <c r="H878" s="3" t="s">
        <v>48</v>
      </c>
      <c r="I878" s="3" t="s">
        <v>49</v>
      </c>
      <c r="J878" s="3" t="s">
        <v>104</v>
      </c>
      <c r="K878" s="2" t="str">
        <f aca="false">CONCATENATE(I878," ",J878)</f>
        <v>Alopecosa taeniata</v>
      </c>
      <c r="L878" s="3" t="n">
        <f aca="false">SUM(P878:U878)</f>
        <v>1</v>
      </c>
      <c r="M878" s="11" t="n">
        <f aca="false">(L878/(F878*G878)*25)*4</f>
        <v>4</v>
      </c>
      <c r="N878" s="1" t="s">
        <v>30</v>
      </c>
      <c r="O878" s="1" t="s">
        <v>31</v>
      </c>
      <c r="P878" s="1" t="n">
        <v>1</v>
      </c>
      <c r="Q878" s="1" t="n">
        <v>0</v>
      </c>
      <c r="R878" s="1" t="n">
        <v>0</v>
      </c>
      <c r="S878" s="1" t="n">
        <v>0</v>
      </c>
      <c r="T878" s="1" t="n">
        <v>0</v>
      </c>
      <c r="U878" s="1" t="n">
        <v>0</v>
      </c>
      <c r="V878" s="3" t="n">
        <f aca="false">SUM(P878:Q878)</f>
        <v>1</v>
      </c>
      <c r="W878" s="3" t="n">
        <f aca="false">SUM(R878:T878)</f>
        <v>0</v>
      </c>
      <c r="X878" s="10" t="n">
        <v>39969</v>
      </c>
      <c r="Y878" s="10" t="n">
        <v>39974</v>
      </c>
    </row>
    <row r="879" customFormat="false" ht="14.25" hidden="false" customHeight="false" outlineLevel="0" collapsed="false">
      <c r="A879" s="1" t="n">
        <v>2009</v>
      </c>
      <c r="B879" s="1" t="n">
        <v>1</v>
      </c>
      <c r="C879" s="2" t="s">
        <v>50</v>
      </c>
      <c r="D879" s="7" t="s">
        <v>51</v>
      </c>
      <c r="E879" s="1" t="n">
        <v>3</v>
      </c>
      <c r="F879" s="1" t="n">
        <f aca="false">Y879-X879</f>
        <v>5</v>
      </c>
      <c r="G879" s="1" t="n">
        <v>5</v>
      </c>
      <c r="H879" s="3" t="s">
        <v>48</v>
      </c>
      <c r="I879" s="3" t="s">
        <v>49</v>
      </c>
      <c r="J879" s="3" t="s">
        <v>104</v>
      </c>
      <c r="K879" s="2" t="str">
        <f aca="false">CONCATENATE(I879," ",J879)</f>
        <v>Alopecosa taeniata</v>
      </c>
      <c r="L879" s="3" t="n">
        <f aca="false">SUM(P879:U879)</f>
        <v>1</v>
      </c>
      <c r="M879" s="11" t="n">
        <f aca="false">(L879/(F879*G879)*25)*4</f>
        <v>4</v>
      </c>
      <c r="N879" s="1" t="s">
        <v>30</v>
      </c>
      <c r="O879" s="1" t="s">
        <v>35</v>
      </c>
      <c r="P879" s="1" t="n">
        <v>0</v>
      </c>
      <c r="Q879" s="1" t="n">
        <v>1</v>
      </c>
      <c r="R879" s="1" t="n">
        <v>0</v>
      </c>
      <c r="S879" s="1" t="n">
        <v>0</v>
      </c>
      <c r="T879" s="1" t="n">
        <v>0</v>
      </c>
      <c r="U879" s="1" t="n">
        <v>0</v>
      </c>
      <c r="V879" s="3" t="n">
        <f aca="false">SUM(P879:Q879)</f>
        <v>1</v>
      </c>
      <c r="W879" s="3" t="n">
        <f aca="false">SUM(R879:T879)</f>
        <v>0</v>
      </c>
      <c r="X879" s="10" t="n">
        <v>39969</v>
      </c>
      <c r="Y879" s="10" t="n">
        <v>39974</v>
      </c>
    </row>
    <row r="880" customFormat="false" ht="14.25" hidden="false" customHeight="false" outlineLevel="0" collapsed="false">
      <c r="A880" s="1" t="n">
        <v>2009</v>
      </c>
      <c r="B880" s="1" t="n">
        <v>1</v>
      </c>
      <c r="C880" s="2" t="s">
        <v>50</v>
      </c>
      <c r="D880" s="7" t="s">
        <v>51</v>
      </c>
      <c r="E880" s="1" t="n">
        <v>3</v>
      </c>
      <c r="F880" s="1" t="n">
        <f aca="false">Y880-X880</f>
        <v>5</v>
      </c>
      <c r="G880" s="1" t="n">
        <v>5</v>
      </c>
      <c r="H880" s="3" t="s">
        <v>48</v>
      </c>
      <c r="I880" s="3" t="s">
        <v>67</v>
      </c>
      <c r="J880" s="3" t="s">
        <v>127</v>
      </c>
      <c r="K880" s="2" t="str">
        <f aca="false">CONCATENATE(I880," ",J880)</f>
        <v>Pardosa lugubris</v>
      </c>
      <c r="L880" s="3" t="n">
        <f aca="false">SUM(P880:U880)</f>
        <v>16</v>
      </c>
      <c r="M880" s="11" t="n">
        <f aca="false">(L880/(F880*G880)*25)*4</f>
        <v>64</v>
      </c>
      <c r="N880" s="1" t="s">
        <v>30</v>
      </c>
      <c r="O880" s="1" t="s">
        <v>31</v>
      </c>
      <c r="P880" s="1" t="n">
        <v>16</v>
      </c>
      <c r="Q880" s="1" t="n">
        <v>0</v>
      </c>
      <c r="R880" s="1" t="n">
        <v>0</v>
      </c>
      <c r="S880" s="1" t="n">
        <v>0</v>
      </c>
      <c r="T880" s="1" t="n">
        <v>0</v>
      </c>
      <c r="U880" s="1" t="n">
        <v>0</v>
      </c>
      <c r="V880" s="3" t="n">
        <f aca="false">SUM(P880:Q880)</f>
        <v>16</v>
      </c>
      <c r="W880" s="3" t="n">
        <f aca="false">SUM(R880:T880)</f>
        <v>0</v>
      </c>
      <c r="X880" s="10" t="n">
        <v>39969</v>
      </c>
      <c r="Y880" s="10" t="n">
        <v>39974</v>
      </c>
    </row>
    <row r="881" customFormat="false" ht="14.25" hidden="false" customHeight="false" outlineLevel="0" collapsed="false">
      <c r="A881" s="1" t="n">
        <v>2009</v>
      </c>
      <c r="B881" s="1" t="n">
        <v>1</v>
      </c>
      <c r="C881" s="2" t="s">
        <v>50</v>
      </c>
      <c r="D881" s="7" t="s">
        <v>51</v>
      </c>
      <c r="E881" s="1" t="n">
        <v>3</v>
      </c>
      <c r="F881" s="1" t="n">
        <f aca="false">Y881-X881</f>
        <v>5</v>
      </c>
      <c r="G881" s="1" t="n">
        <v>5</v>
      </c>
      <c r="H881" s="3" t="s">
        <v>48</v>
      </c>
      <c r="I881" s="3" t="s">
        <v>61</v>
      </c>
      <c r="J881" s="3" t="s">
        <v>38</v>
      </c>
      <c r="K881" s="2" t="str">
        <f aca="false">CONCATENATE(I881," ",J881)</f>
        <v>Trochosa sp</v>
      </c>
      <c r="L881" s="3" t="n">
        <f aca="false">SUM(P881:U881)</f>
        <v>1</v>
      </c>
      <c r="M881" s="11" t="n">
        <f aca="false">(L881/(F881*G881)*25)*4</f>
        <v>4</v>
      </c>
      <c r="N881" s="1" t="s">
        <v>19</v>
      </c>
      <c r="O881" s="1" t="s">
        <v>54</v>
      </c>
      <c r="P881" s="1" t="n">
        <v>0</v>
      </c>
      <c r="Q881" s="1" t="n">
        <v>0</v>
      </c>
      <c r="R881" s="1" t="n">
        <v>0</v>
      </c>
      <c r="S881" s="1" t="n">
        <v>0</v>
      </c>
      <c r="T881" s="1" t="n">
        <v>1</v>
      </c>
      <c r="U881" s="1" t="n">
        <v>0</v>
      </c>
      <c r="V881" s="3" t="n">
        <f aca="false">SUM(P881:Q881)</f>
        <v>0</v>
      </c>
      <c r="W881" s="3" t="n">
        <f aca="false">SUM(R881:T881)</f>
        <v>1</v>
      </c>
      <c r="X881" s="10" t="n">
        <v>39969</v>
      </c>
      <c r="Y881" s="10" t="n">
        <v>39974</v>
      </c>
    </row>
    <row r="882" customFormat="false" ht="14.25" hidden="false" customHeight="false" outlineLevel="0" collapsed="false">
      <c r="A882" s="1" t="n">
        <v>2009</v>
      </c>
      <c r="B882" s="1" t="n">
        <v>1</v>
      </c>
      <c r="C882" s="2" t="s">
        <v>50</v>
      </c>
      <c r="D882" s="7" t="s">
        <v>51</v>
      </c>
      <c r="E882" s="1" t="n">
        <v>3</v>
      </c>
      <c r="F882" s="1" t="n">
        <f aca="false">Y882-X882</f>
        <v>5</v>
      </c>
      <c r="G882" s="1" t="n">
        <v>5</v>
      </c>
      <c r="H882" s="3" t="s">
        <v>48</v>
      </c>
      <c r="I882" s="3" t="s">
        <v>57</v>
      </c>
      <c r="J882" s="3" t="s">
        <v>38</v>
      </c>
      <c r="K882" s="2" t="str">
        <f aca="false">CONCATENATE(I882," ",J882)</f>
        <v>Gen sp</v>
      </c>
      <c r="L882" s="3" t="n">
        <f aca="false">SUM(P882:U882)</f>
        <v>4</v>
      </c>
      <c r="M882" s="11" t="n">
        <f aca="false">(L882/(F882*G882)*25)*4</f>
        <v>16</v>
      </c>
      <c r="N882" s="1" t="s">
        <v>19</v>
      </c>
      <c r="O882" s="1" t="s">
        <v>54</v>
      </c>
      <c r="P882" s="1" t="n">
        <v>0</v>
      </c>
      <c r="Q882" s="1" t="n">
        <v>0</v>
      </c>
      <c r="R882" s="1" t="n">
        <v>0</v>
      </c>
      <c r="S882" s="1" t="n">
        <v>0</v>
      </c>
      <c r="T882" s="1" t="n">
        <v>4</v>
      </c>
      <c r="U882" s="1" t="n">
        <v>0</v>
      </c>
      <c r="V882" s="3" t="n">
        <f aca="false">SUM(P882:Q882)</f>
        <v>0</v>
      </c>
      <c r="W882" s="3" t="n">
        <f aca="false">SUM(R882:T882)</f>
        <v>4</v>
      </c>
      <c r="X882" s="10" t="n">
        <v>39969</v>
      </c>
      <c r="Y882" s="10" t="n">
        <v>39974</v>
      </c>
    </row>
    <row r="883" customFormat="false" ht="14.25" hidden="false" customHeight="false" outlineLevel="0" collapsed="false">
      <c r="A883" s="1" t="n">
        <v>2009</v>
      </c>
      <c r="B883" s="1" t="n">
        <v>1</v>
      </c>
      <c r="C883" s="2" t="s">
        <v>50</v>
      </c>
      <c r="D883" s="7" t="s">
        <v>51</v>
      </c>
      <c r="E883" s="1" t="n">
        <v>3</v>
      </c>
      <c r="F883" s="1" t="n">
        <f aca="false">Y883-X883</f>
        <v>5</v>
      </c>
      <c r="G883" s="1" t="n">
        <v>5</v>
      </c>
      <c r="H883" s="3" t="s">
        <v>72</v>
      </c>
      <c r="I883" s="3" t="s">
        <v>86</v>
      </c>
      <c r="J883" s="8" t="s">
        <v>87</v>
      </c>
      <c r="K883" s="2" t="str">
        <f aca="false">CONCATENATE(I883," ",J883)</f>
        <v>Haplodrassus soerenseni</v>
      </c>
      <c r="L883" s="3" t="n">
        <f aca="false">SUM(P883:U883)</f>
        <v>4</v>
      </c>
      <c r="M883" s="11" t="n">
        <f aca="false">(L883/(F883*G883)*25)*4</f>
        <v>16</v>
      </c>
      <c r="N883" s="1" t="s">
        <v>30</v>
      </c>
      <c r="O883" s="1" t="s">
        <v>31</v>
      </c>
      <c r="P883" s="1" t="n">
        <v>4</v>
      </c>
      <c r="Q883" s="1" t="n">
        <v>0</v>
      </c>
      <c r="R883" s="1" t="n">
        <v>0</v>
      </c>
      <c r="S883" s="1" t="n">
        <v>0</v>
      </c>
      <c r="T883" s="1" t="n">
        <v>0</v>
      </c>
      <c r="U883" s="1" t="n">
        <v>0</v>
      </c>
      <c r="V883" s="3" t="n">
        <f aca="false">SUM(P883:Q883)</f>
        <v>4</v>
      </c>
      <c r="W883" s="3" t="n">
        <f aca="false">SUM(R883:T883)</f>
        <v>0</v>
      </c>
      <c r="X883" s="10" t="n">
        <v>39969</v>
      </c>
      <c r="Y883" s="10" t="n">
        <v>39974</v>
      </c>
    </row>
    <row r="884" customFormat="false" ht="14.25" hidden="false" customHeight="false" outlineLevel="0" collapsed="false">
      <c r="A884" s="1" t="n">
        <v>2009</v>
      </c>
      <c r="B884" s="1" t="n">
        <v>1</v>
      </c>
      <c r="C884" s="2" t="s">
        <v>50</v>
      </c>
      <c r="D884" s="7" t="s">
        <v>51</v>
      </c>
      <c r="E884" s="1" t="n">
        <v>3</v>
      </c>
      <c r="F884" s="1" t="n">
        <f aca="false">Y884-X884</f>
        <v>5</v>
      </c>
      <c r="G884" s="1" t="n">
        <v>5</v>
      </c>
      <c r="H884" s="3" t="s">
        <v>72</v>
      </c>
      <c r="I884" s="3" t="s">
        <v>86</v>
      </c>
      <c r="J884" s="8" t="s">
        <v>87</v>
      </c>
      <c r="K884" s="2" t="str">
        <f aca="false">CONCATENATE(I884," ",J884)</f>
        <v>Haplodrassus soerenseni</v>
      </c>
      <c r="L884" s="3" t="n">
        <f aca="false">SUM(P884:U884)</f>
        <v>1</v>
      </c>
      <c r="M884" s="11" t="n">
        <f aca="false">(L884/(F884*G884)*25)*4</f>
        <v>4</v>
      </c>
      <c r="N884" s="1" t="s">
        <v>30</v>
      </c>
      <c r="O884" s="1" t="s">
        <v>35</v>
      </c>
      <c r="P884" s="1" t="n">
        <v>0</v>
      </c>
      <c r="Q884" s="1" t="n">
        <v>1</v>
      </c>
      <c r="R884" s="1" t="n">
        <v>0</v>
      </c>
      <c r="S884" s="1" t="n">
        <v>0</v>
      </c>
      <c r="T884" s="1" t="n">
        <v>0</v>
      </c>
      <c r="U884" s="1" t="n">
        <v>0</v>
      </c>
      <c r="V884" s="3" t="n">
        <f aca="false">SUM(P884:Q884)</f>
        <v>1</v>
      </c>
      <c r="W884" s="3" t="n">
        <f aca="false">SUM(R884:T884)</f>
        <v>0</v>
      </c>
      <c r="X884" s="10" t="n">
        <v>39969</v>
      </c>
      <c r="Y884" s="10" t="n">
        <v>39974</v>
      </c>
    </row>
    <row r="885" customFormat="false" ht="14.25" hidden="false" customHeight="false" outlineLevel="0" collapsed="false">
      <c r="A885" s="1" t="n">
        <v>2009</v>
      </c>
      <c r="B885" s="1" t="n">
        <v>1</v>
      </c>
      <c r="C885" s="2" t="s">
        <v>50</v>
      </c>
      <c r="D885" s="7" t="s">
        <v>51</v>
      </c>
      <c r="E885" s="1" t="n">
        <v>3</v>
      </c>
      <c r="F885" s="1" t="n">
        <f aca="false">Y885-X885</f>
        <v>5</v>
      </c>
      <c r="G885" s="1" t="n">
        <v>5</v>
      </c>
      <c r="H885" s="3" t="s">
        <v>36</v>
      </c>
      <c r="I885" s="3" t="s">
        <v>37</v>
      </c>
      <c r="J885" s="8" t="s">
        <v>75</v>
      </c>
      <c r="K885" s="2" t="str">
        <f aca="false">CONCATENATE(I885," ",J885)</f>
        <v>Ozyptila praticola</v>
      </c>
      <c r="L885" s="3" t="n">
        <f aca="false">SUM(P885:U885)</f>
        <v>1</v>
      </c>
      <c r="M885" s="11" t="n">
        <f aca="false">(L885/(F885*G885)*25)*4</f>
        <v>4</v>
      </c>
      <c r="N885" s="1" t="s">
        <v>30</v>
      </c>
      <c r="O885" s="1" t="s">
        <v>31</v>
      </c>
      <c r="P885" s="1" t="n">
        <v>1</v>
      </c>
      <c r="Q885" s="1" t="n">
        <v>0</v>
      </c>
      <c r="R885" s="1" t="n">
        <v>0</v>
      </c>
      <c r="S885" s="1" t="n">
        <v>0</v>
      </c>
      <c r="T885" s="1" t="n">
        <v>0</v>
      </c>
      <c r="U885" s="1" t="n">
        <v>0</v>
      </c>
      <c r="V885" s="3" t="n">
        <f aca="false">SUM(P885:Q885)</f>
        <v>1</v>
      </c>
      <c r="W885" s="3" t="n">
        <f aca="false">SUM(R885:T885)</f>
        <v>0</v>
      </c>
      <c r="X885" s="10" t="n">
        <v>39969</v>
      </c>
      <c r="Y885" s="10" t="n">
        <v>39974</v>
      </c>
    </row>
    <row r="886" customFormat="false" ht="14.25" hidden="false" customHeight="false" outlineLevel="0" collapsed="false">
      <c r="A886" s="1" t="n">
        <v>2009</v>
      </c>
      <c r="B886" s="1" t="n">
        <v>1</v>
      </c>
      <c r="C886" s="2" t="s">
        <v>50</v>
      </c>
      <c r="D886" s="7" t="s">
        <v>51</v>
      </c>
      <c r="E886" s="1" t="n">
        <v>3</v>
      </c>
      <c r="F886" s="1" t="n">
        <f aca="false">Y886-X886</f>
        <v>5</v>
      </c>
      <c r="G886" s="1" t="n">
        <v>5</v>
      </c>
      <c r="H886" s="13" t="s">
        <v>195</v>
      </c>
      <c r="I886" s="13" t="s">
        <v>196</v>
      </c>
      <c r="J886" s="14" t="s">
        <v>197</v>
      </c>
      <c r="K886" s="2" t="str">
        <f aca="false">CONCATENATE(I886," ",J886)</f>
        <v>Pachygnatha listeri</v>
      </c>
      <c r="L886" s="3" t="n">
        <f aca="false">SUM(P886:U886)</f>
        <v>3</v>
      </c>
      <c r="M886" s="11" t="n">
        <f aca="false">(L886/(F886*G886)*25)*4</f>
        <v>12</v>
      </c>
      <c r="N886" s="1" t="s">
        <v>30</v>
      </c>
      <c r="O886" s="1" t="s">
        <v>35</v>
      </c>
      <c r="P886" s="1" t="n">
        <v>0</v>
      </c>
      <c r="Q886" s="1" t="n">
        <v>3</v>
      </c>
      <c r="R886" s="1" t="n">
        <v>0</v>
      </c>
      <c r="S886" s="1" t="n">
        <v>0</v>
      </c>
      <c r="T886" s="1" t="n">
        <v>0</v>
      </c>
      <c r="U886" s="1" t="n">
        <v>0</v>
      </c>
      <c r="V886" s="3" t="n">
        <f aca="false">SUM(P886:Q886)</f>
        <v>3</v>
      </c>
      <c r="W886" s="3" t="n">
        <f aca="false">SUM(R886:T886)</f>
        <v>0</v>
      </c>
      <c r="X886" s="10" t="n">
        <v>39969</v>
      </c>
      <c r="Y886" s="10" t="n">
        <v>39974</v>
      </c>
    </row>
    <row r="887" customFormat="false" ht="14.25" hidden="false" customHeight="false" outlineLevel="0" collapsed="false">
      <c r="A887" s="1" t="n">
        <v>2009</v>
      </c>
      <c r="B887" s="1" t="n">
        <v>1</v>
      </c>
      <c r="C887" s="2" t="s">
        <v>50</v>
      </c>
      <c r="D887" s="7" t="s">
        <v>51</v>
      </c>
      <c r="E887" s="1" t="n">
        <v>3</v>
      </c>
      <c r="F887" s="1" t="n">
        <f aca="false">Y887-X887</f>
        <v>5</v>
      </c>
      <c r="G887" s="1" t="n">
        <v>5</v>
      </c>
      <c r="H887" s="3" t="s">
        <v>48</v>
      </c>
      <c r="I887" s="3" t="s">
        <v>49</v>
      </c>
      <c r="J887" s="3" t="s">
        <v>104</v>
      </c>
      <c r="K887" s="2" t="str">
        <f aca="false">CONCATENATE(I887," ",J887)</f>
        <v>Alopecosa taeniata</v>
      </c>
      <c r="L887" s="3" t="n">
        <f aca="false">SUM(P887:U887)</f>
        <v>3</v>
      </c>
      <c r="M887" s="11" t="n">
        <f aca="false">(L887/(F887*G887)*25)*4</f>
        <v>12</v>
      </c>
      <c r="N887" s="1" t="s">
        <v>30</v>
      </c>
      <c r="O887" s="1" t="s">
        <v>31</v>
      </c>
      <c r="P887" s="1" t="n">
        <v>3</v>
      </c>
      <c r="Q887" s="1" t="n">
        <v>0</v>
      </c>
      <c r="R887" s="1" t="n">
        <v>0</v>
      </c>
      <c r="S887" s="1" t="n">
        <v>0</v>
      </c>
      <c r="T887" s="1" t="n">
        <v>0</v>
      </c>
      <c r="U887" s="1" t="n">
        <v>0</v>
      </c>
      <c r="V887" s="3" t="n">
        <f aca="false">SUM(P887:Q887)</f>
        <v>3</v>
      </c>
      <c r="W887" s="3" t="n">
        <f aca="false">SUM(R887:T887)</f>
        <v>0</v>
      </c>
      <c r="X887" s="10" t="n">
        <v>39969</v>
      </c>
      <c r="Y887" s="10" t="n">
        <v>39974</v>
      </c>
    </row>
    <row r="888" customFormat="false" ht="14.25" hidden="false" customHeight="false" outlineLevel="0" collapsed="false">
      <c r="A888" s="1" t="n">
        <v>2009</v>
      </c>
      <c r="B888" s="1" t="n">
        <v>1</v>
      </c>
      <c r="C888" s="2" t="s">
        <v>50</v>
      </c>
      <c r="D888" s="7" t="s">
        <v>51</v>
      </c>
      <c r="E888" s="1" t="n">
        <v>3</v>
      </c>
      <c r="F888" s="1" t="n">
        <f aca="false">Y888-X888</f>
        <v>5</v>
      </c>
      <c r="G888" s="1" t="n">
        <v>5</v>
      </c>
      <c r="H888" s="3" t="s">
        <v>48</v>
      </c>
      <c r="I888" s="3" t="s">
        <v>67</v>
      </c>
      <c r="J888" s="3" t="s">
        <v>127</v>
      </c>
      <c r="K888" s="2" t="str">
        <f aca="false">CONCATENATE(I888," ",J888)</f>
        <v>Pardosa lugubris</v>
      </c>
      <c r="L888" s="3" t="n">
        <f aca="false">SUM(P888:U888)</f>
        <v>19</v>
      </c>
      <c r="M888" s="11" t="n">
        <f aca="false">(L888/(F888*G888)*25)*4</f>
        <v>76</v>
      </c>
      <c r="N888" s="1" t="s">
        <v>30</v>
      </c>
      <c r="O888" s="1" t="s">
        <v>31</v>
      </c>
      <c r="P888" s="1" t="n">
        <v>19</v>
      </c>
      <c r="Q888" s="1" t="n">
        <v>0</v>
      </c>
      <c r="R888" s="1" t="n">
        <v>0</v>
      </c>
      <c r="S888" s="1" t="n">
        <v>0</v>
      </c>
      <c r="T888" s="1" t="n">
        <v>0</v>
      </c>
      <c r="U888" s="1" t="n">
        <v>0</v>
      </c>
      <c r="V888" s="3" t="n">
        <f aca="false">SUM(P888:Q888)</f>
        <v>19</v>
      </c>
      <c r="W888" s="3" t="n">
        <f aca="false">SUM(R888:T888)</f>
        <v>0</v>
      </c>
      <c r="X888" s="10" t="n">
        <v>39969</v>
      </c>
      <c r="Y888" s="10" t="n">
        <v>39974</v>
      </c>
    </row>
    <row r="889" customFormat="false" ht="14.25" hidden="false" customHeight="false" outlineLevel="0" collapsed="false">
      <c r="A889" s="1" t="n">
        <v>2009</v>
      </c>
      <c r="B889" s="1" t="n">
        <v>1</v>
      </c>
      <c r="C889" s="2" t="s">
        <v>50</v>
      </c>
      <c r="D889" s="7" t="s">
        <v>51</v>
      </c>
      <c r="E889" s="1" t="n">
        <v>3</v>
      </c>
      <c r="F889" s="1" t="n">
        <f aca="false">Y889-X889</f>
        <v>5</v>
      </c>
      <c r="G889" s="1" t="n">
        <v>5</v>
      </c>
      <c r="H889" s="3" t="s">
        <v>48</v>
      </c>
      <c r="I889" s="3" t="s">
        <v>67</v>
      </c>
      <c r="J889" s="3" t="s">
        <v>127</v>
      </c>
      <c r="K889" s="2" t="str">
        <f aca="false">CONCATENATE(I889," ",J889)</f>
        <v>Pardosa lugubris</v>
      </c>
      <c r="L889" s="3" t="n">
        <f aca="false">SUM(P889:U889)</f>
        <v>4</v>
      </c>
      <c r="M889" s="11" t="n">
        <f aca="false">(L889/(F889*G889)*25)*4</f>
        <v>16</v>
      </c>
      <c r="N889" s="1" t="s">
        <v>30</v>
      </c>
      <c r="O889" s="1" t="s">
        <v>35</v>
      </c>
      <c r="P889" s="1" t="n">
        <v>0</v>
      </c>
      <c r="Q889" s="1" t="n">
        <v>4</v>
      </c>
      <c r="R889" s="1" t="n">
        <v>0</v>
      </c>
      <c r="S889" s="1" t="n">
        <v>0</v>
      </c>
      <c r="T889" s="1" t="n">
        <v>0</v>
      </c>
      <c r="U889" s="1" t="n">
        <v>0</v>
      </c>
      <c r="V889" s="3" t="n">
        <f aca="false">SUM(P889:Q889)</f>
        <v>4</v>
      </c>
      <c r="W889" s="3" t="n">
        <f aca="false">SUM(R889:T889)</f>
        <v>0</v>
      </c>
      <c r="X889" s="10" t="n">
        <v>39969</v>
      </c>
      <c r="Y889" s="10" t="n">
        <v>39974</v>
      </c>
    </row>
    <row r="890" customFormat="false" ht="14.25" hidden="false" customHeight="false" outlineLevel="0" collapsed="false">
      <c r="A890" s="1" t="n">
        <v>2009</v>
      </c>
      <c r="B890" s="1" t="n">
        <v>1</v>
      </c>
      <c r="C890" s="2" t="s">
        <v>50</v>
      </c>
      <c r="D890" s="7" t="s">
        <v>51</v>
      </c>
      <c r="E890" s="1" t="n">
        <v>3</v>
      </c>
      <c r="F890" s="1" t="n">
        <f aca="false">Y890-X890</f>
        <v>5</v>
      </c>
      <c r="G890" s="1" t="n">
        <v>5</v>
      </c>
      <c r="H890" s="3" t="s">
        <v>48</v>
      </c>
      <c r="I890" s="3" t="s">
        <v>57</v>
      </c>
      <c r="J890" s="3" t="s">
        <v>38</v>
      </c>
      <c r="K890" s="2" t="str">
        <f aca="false">CONCATENATE(I890," ",J890)</f>
        <v>Gen sp</v>
      </c>
      <c r="L890" s="3" t="n">
        <f aca="false">SUM(P890:U890)</f>
        <v>3</v>
      </c>
      <c r="M890" s="11" t="n">
        <f aca="false">(L890/(F890*G890)*25)*4</f>
        <v>12</v>
      </c>
      <c r="N890" s="1" t="s">
        <v>19</v>
      </c>
      <c r="O890" s="1" t="s">
        <v>54</v>
      </c>
      <c r="P890" s="1" t="n">
        <v>0</v>
      </c>
      <c r="Q890" s="1" t="n">
        <v>0</v>
      </c>
      <c r="R890" s="1" t="n">
        <v>0</v>
      </c>
      <c r="S890" s="1" t="n">
        <v>0</v>
      </c>
      <c r="T890" s="1" t="n">
        <v>3</v>
      </c>
      <c r="U890" s="1" t="n">
        <v>0</v>
      </c>
      <c r="V890" s="3" t="n">
        <f aca="false">SUM(P890:Q890)</f>
        <v>0</v>
      </c>
      <c r="W890" s="3" t="n">
        <f aca="false">SUM(R890:T890)</f>
        <v>3</v>
      </c>
      <c r="X890" s="10" t="n">
        <v>39969</v>
      </c>
      <c r="Y890" s="10" t="n">
        <v>39974</v>
      </c>
    </row>
    <row r="891" customFormat="false" ht="14.25" hidden="false" customHeight="false" outlineLevel="0" collapsed="false">
      <c r="A891" s="1" t="n">
        <v>2009</v>
      </c>
      <c r="B891" s="1" t="n">
        <v>1</v>
      </c>
      <c r="C891" s="2" t="s">
        <v>50</v>
      </c>
      <c r="D891" s="7" t="s">
        <v>51</v>
      </c>
      <c r="E891" s="1" t="n">
        <v>3</v>
      </c>
      <c r="F891" s="1" t="n">
        <f aca="false">Y891-X891</f>
        <v>5</v>
      </c>
      <c r="G891" s="1" t="n">
        <v>5</v>
      </c>
      <c r="H891" s="3" t="s">
        <v>72</v>
      </c>
      <c r="I891" s="3" t="s">
        <v>86</v>
      </c>
      <c r="J891" s="8" t="s">
        <v>87</v>
      </c>
      <c r="K891" s="2" t="str">
        <f aca="false">CONCATENATE(I891," ",J891)</f>
        <v>Haplodrassus soerenseni</v>
      </c>
      <c r="L891" s="3" t="n">
        <f aca="false">SUM(P891:U891)</f>
        <v>1</v>
      </c>
      <c r="M891" s="11" t="n">
        <f aca="false">(L891/(F891*G891)*25)*4</f>
        <v>4</v>
      </c>
      <c r="N891" s="1" t="s">
        <v>30</v>
      </c>
      <c r="O891" s="1" t="s">
        <v>31</v>
      </c>
      <c r="P891" s="1" t="n">
        <v>1</v>
      </c>
      <c r="Q891" s="1" t="n">
        <v>0</v>
      </c>
      <c r="R891" s="1" t="n">
        <v>0</v>
      </c>
      <c r="S891" s="1" t="n">
        <v>0</v>
      </c>
      <c r="T891" s="1" t="n">
        <v>0</v>
      </c>
      <c r="U891" s="1" t="n">
        <v>0</v>
      </c>
      <c r="V891" s="3" t="n">
        <f aca="false">SUM(P891:Q891)</f>
        <v>1</v>
      </c>
      <c r="W891" s="3" t="n">
        <f aca="false">SUM(R891:T891)</f>
        <v>0</v>
      </c>
      <c r="X891" s="10" t="n">
        <v>39969</v>
      </c>
      <c r="Y891" s="10" t="n">
        <v>39974</v>
      </c>
    </row>
    <row r="892" customFormat="false" ht="14.25" hidden="false" customHeight="false" outlineLevel="0" collapsed="false">
      <c r="A892" s="1" t="n">
        <v>2009</v>
      </c>
      <c r="B892" s="1" t="n">
        <v>1</v>
      </c>
      <c r="C892" s="2" t="s">
        <v>50</v>
      </c>
      <c r="D892" s="7" t="s">
        <v>51</v>
      </c>
      <c r="E892" s="1" t="n">
        <v>3</v>
      </c>
      <c r="F892" s="1" t="n">
        <f aca="false">Y892-X892</f>
        <v>5</v>
      </c>
      <c r="G892" s="1" t="n">
        <v>5</v>
      </c>
      <c r="H892" s="3" t="s">
        <v>72</v>
      </c>
      <c r="I892" s="3" t="s">
        <v>73</v>
      </c>
      <c r="J892" s="3" t="s">
        <v>38</v>
      </c>
      <c r="K892" s="2" t="str">
        <f aca="false">CONCATENATE(I892," ",J892)</f>
        <v>Zelotes sp</v>
      </c>
      <c r="L892" s="3" t="n">
        <f aca="false">SUM(P892:U892)</f>
        <v>1</v>
      </c>
      <c r="M892" s="11" t="n">
        <f aca="false">(L892/(F892*G892)*25)*4</f>
        <v>4</v>
      </c>
      <c r="N892" s="1" t="s">
        <v>19</v>
      </c>
      <c r="O892" s="1" t="s">
        <v>54</v>
      </c>
      <c r="P892" s="1" t="n">
        <v>0</v>
      </c>
      <c r="Q892" s="1" t="n">
        <v>0</v>
      </c>
      <c r="R892" s="1" t="n">
        <v>0</v>
      </c>
      <c r="S892" s="1" t="n">
        <v>0</v>
      </c>
      <c r="T892" s="1" t="n">
        <v>1</v>
      </c>
      <c r="U892" s="1" t="n">
        <v>0</v>
      </c>
      <c r="V892" s="3" t="n">
        <f aca="false">SUM(P892:Q892)</f>
        <v>0</v>
      </c>
      <c r="W892" s="3" t="n">
        <f aca="false">SUM(R892:T892)</f>
        <v>1</v>
      </c>
      <c r="X892" s="10" t="n">
        <v>39969</v>
      </c>
      <c r="Y892" s="10" t="n">
        <v>39974</v>
      </c>
    </row>
    <row r="893" customFormat="false" ht="14.25" hidden="false" customHeight="false" outlineLevel="0" collapsed="false">
      <c r="A893" s="1" t="n">
        <v>2009</v>
      </c>
      <c r="B893" s="1" t="n">
        <v>1</v>
      </c>
      <c r="C893" s="2" t="s">
        <v>50</v>
      </c>
      <c r="D893" s="7" t="s">
        <v>51</v>
      </c>
      <c r="E893" s="1" t="n">
        <v>3</v>
      </c>
      <c r="F893" s="1" t="n">
        <f aca="false">Y893-X893</f>
        <v>5</v>
      </c>
      <c r="G893" s="1" t="n">
        <v>5</v>
      </c>
      <c r="H893" s="3" t="s">
        <v>36</v>
      </c>
      <c r="I893" s="3" t="s">
        <v>37</v>
      </c>
      <c r="J893" s="3" t="s">
        <v>38</v>
      </c>
      <c r="K893" s="2" t="str">
        <f aca="false">CONCATENATE(I893," ",J893)</f>
        <v>Ozyptila sp</v>
      </c>
      <c r="L893" s="3" t="n">
        <f aca="false">SUM(P893:U893)</f>
        <v>1</v>
      </c>
      <c r="M893" s="11" t="n">
        <f aca="false">(L893/(F893*G893)*25)*4</f>
        <v>4</v>
      </c>
      <c r="N893" s="1" t="s">
        <v>19</v>
      </c>
      <c r="O893" s="1" t="s">
        <v>54</v>
      </c>
      <c r="P893" s="1" t="n">
        <v>0</v>
      </c>
      <c r="Q893" s="1" t="n">
        <v>0</v>
      </c>
      <c r="R893" s="1" t="n">
        <v>0</v>
      </c>
      <c r="S893" s="1" t="n">
        <v>0</v>
      </c>
      <c r="T893" s="1" t="n">
        <v>1</v>
      </c>
      <c r="U893" s="1" t="n">
        <v>0</v>
      </c>
      <c r="V893" s="3" t="n">
        <f aca="false">SUM(P893:Q893)</f>
        <v>0</v>
      </c>
      <c r="W893" s="3" t="n">
        <f aca="false">SUM(R893:T893)</f>
        <v>1</v>
      </c>
      <c r="X893" s="10" t="n">
        <v>39969</v>
      </c>
      <c r="Y893" s="10" t="n">
        <v>39974</v>
      </c>
    </row>
    <row r="894" customFormat="false" ht="14.25" hidden="false" customHeight="false" outlineLevel="0" collapsed="false">
      <c r="A894" s="1" t="n">
        <v>2009</v>
      </c>
      <c r="B894" s="1" t="n">
        <v>1</v>
      </c>
      <c r="C894" s="2" t="s">
        <v>50</v>
      </c>
      <c r="D894" s="7" t="s">
        <v>51</v>
      </c>
      <c r="E894" s="1" t="n">
        <v>3</v>
      </c>
      <c r="F894" s="1" t="n">
        <f aca="false">Y894-X894</f>
        <v>5</v>
      </c>
      <c r="G894" s="1" t="n">
        <v>5</v>
      </c>
      <c r="H894" s="3" t="s">
        <v>36</v>
      </c>
      <c r="I894" s="3" t="s">
        <v>131</v>
      </c>
      <c r="J894" s="3" t="s">
        <v>133</v>
      </c>
      <c r="K894" s="2" t="str">
        <f aca="false">CONCATENATE(I894," ",J894)</f>
        <v>Xysticus luctuosus</v>
      </c>
      <c r="L894" s="3" t="n">
        <f aca="false">SUM(P894:U894)</f>
        <v>3</v>
      </c>
      <c r="M894" s="11" t="n">
        <f aca="false">(L894/(F894*G894)*25)*4</f>
        <v>12</v>
      </c>
      <c r="N894" s="1" t="s">
        <v>30</v>
      </c>
      <c r="O894" s="1" t="s">
        <v>31</v>
      </c>
      <c r="P894" s="1" t="n">
        <v>3</v>
      </c>
      <c r="Q894" s="1" t="n">
        <v>0</v>
      </c>
      <c r="R894" s="1" t="n">
        <v>0</v>
      </c>
      <c r="S894" s="1" t="n">
        <v>0</v>
      </c>
      <c r="T894" s="1" t="n">
        <v>0</v>
      </c>
      <c r="U894" s="1" t="n">
        <v>0</v>
      </c>
      <c r="V894" s="3" t="n">
        <f aca="false">SUM(P894:Q894)</f>
        <v>3</v>
      </c>
      <c r="W894" s="3" t="n">
        <f aca="false">SUM(R894:T894)</f>
        <v>0</v>
      </c>
      <c r="X894" s="10" t="n">
        <v>39969</v>
      </c>
      <c r="Y894" s="10" t="n">
        <v>39974</v>
      </c>
    </row>
    <row r="895" customFormat="false" ht="14.25" hidden="false" customHeight="false" outlineLevel="0" collapsed="false">
      <c r="A895" s="1" t="n">
        <v>2009</v>
      </c>
      <c r="B895" s="1" t="n">
        <v>1</v>
      </c>
      <c r="C895" s="2" t="s">
        <v>50</v>
      </c>
      <c r="D895" s="7" t="s">
        <v>51</v>
      </c>
      <c r="E895" s="1" t="n">
        <v>3</v>
      </c>
      <c r="F895" s="1" t="n">
        <f aca="false">Y895-X895</f>
        <v>5</v>
      </c>
      <c r="G895" s="1" t="n">
        <v>5</v>
      </c>
      <c r="H895" s="3" t="s">
        <v>64</v>
      </c>
      <c r="I895" s="3" t="s">
        <v>65</v>
      </c>
      <c r="J895" s="3" t="s">
        <v>123</v>
      </c>
      <c r="K895" s="2" t="str">
        <f aca="false">CONCATENATE(I895," ",J895)</f>
        <v>Zora nemoralis</v>
      </c>
      <c r="L895" s="3" t="n">
        <f aca="false">SUM(P895:U895)</f>
        <v>1</v>
      </c>
      <c r="M895" s="11" t="n">
        <f aca="false">(L895/(F895*G895)*25)*4</f>
        <v>4</v>
      </c>
      <c r="N895" s="1" t="s">
        <v>30</v>
      </c>
      <c r="O895" s="1" t="s">
        <v>31</v>
      </c>
      <c r="P895" s="1" t="n">
        <v>1</v>
      </c>
      <c r="Q895" s="1" t="n">
        <v>0</v>
      </c>
      <c r="R895" s="1" t="n">
        <v>0</v>
      </c>
      <c r="S895" s="1" t="n">
        <v>0</v>
      </c>
      <c r="T895" s="1" t="n">
        <v>0</v>
      </c>
      <c r="U895" s="1" t="n">
        <v>0</v>
      </c>
      <c r="V895" s="3" t="n">
        <f aca="false">SUM(P895:Q895)</f>
        <v>1</v>
      </c>
      <c r="W895" s="3" t="n">
        <f aca="false">SUM(R895:T895)</f>
        <v>0</v>
      </c>
      <c r="X895" s="10" t="n">
        <v>39969</v>
      </c>
      <c r="Y895" s="10" t="n">
        <v>39974</v>
      </c>
    </row>
    <row r="896" customFormat="false" ht="14.25" hidden="false" customHeight="false" outlineLevel="0" collapsed="false">
      <c r="A896" s="1" t="n">
        <v>2009</v>
      </c>
      <c r="B896" s="1" t="n">
        <v>1</v>
      </c>
      <c r="C896" s="2" t="s">
        <v>50</v>
      </c>
      <c r="D896" s="7" t="s">
        <v>51</v>
      </c>
      <c r="E896" s="1" t="n">
        <v>3</v>
      </c>
      <c r="F896" s="1" t="n">
        <f aca="false">Y896-X896</f>
        <v>5</v>
      </c>
      <c r="G896" s="1" t="n">
        <v>5</v>
      </c>
      <c r="H896" s="3" t="s">
        <v>32</v>
      </c>
      <c r="I896" s="3" t="s">
        <v>62</v>
      </c>
      <c r="J896" s="3" t="s">
        <v>63</v>
      </c>
      <c r="K896" s="2" t="str">
        <f aca="false">CONCATENATE(I896," ",J896)</f>
        <v>Microneta viaria</v>
      </c>
      <c r="L896" s="3" t="n">
        <f aca="false">SUM(P896:U896)</f>
        <v>1</v>
      </c>
      <c r="M896" s="11" t="n">
        <f aca="false">(L896/(F896*G896)*25)*4</f>
        <v>4</v>
      </c>
      <c r="N896" s="1" t="s">
        <v>30</v>
      </c>
      <c r="O896" s="1" t="s">
        <v>31</v>
      </c>
      <c r="P896" s="1" t="n">
        <v>1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0</v>
      </c>
      <c r="V896" s="3" t="n">
        <f aca="false">SUM(P896:Q896)</f>
        <v>1</v>
      </c>
      <c r="W896" s="3" t="n">
        <f aca="false">SUM(R896:T896)</f>
        <v>0</v>
      </c>
      <c r="X896" s="10" t="n">
        <v>39969</v>
      </c>
      <c r="Y896" s="10" t="n">
        <v>39974</v>
      </c>
    </row>
    <row r="897" customFormat="false" ht="14.25" hidden="false" customHeight="false" outlineLevel="0" collapsed="false">
      <c r="A897" s="1" t="n">
        <v>2009</v>
      </c>
      <c r="B897" s="1" t="n">
        <v>1</v>
      </c>
      <c r="C897" s="2" t="s">
        <v>50</v>
      </c>
      <c r="D897" s="7" t="s">
        <v>51</v>
      </c>
      <c r="E897" s="1" t="n">
        <v>3</v>
      </c>
      <c r="F897" s="1" t="n">
        <f aca="false">Y897-X897</f>
        <v>5</v>
      </c>
      <c r="G897" s="1" t="n">
        <v>5</v>
      </c>
      <c r="H897" s="3" t="s">
        <v>32</v>
      </c>
      <c r="I897" s="3" t="s">
        <v>90</v>
      </c>
      <c r="J897" s="3" t="s">
        <v>91</v>
      </c>
      <c r="K897" s="2" t="str">
        <f aca="false">CONCATENATE(I897," ",J897)</f>
        <v>Tapinocyba insecta</v>
      </c>
      <c r="L897" s="3" t="n">
        <f aca="false">SUM(P897:U897)</f>
        <v>1</v>
      </c>
      <c r="M897" s="11" t="n">
        <f aca="false">(L897/(F897*G897)*25)*4</f>
        <v>4</v>
      </c>
      <c r="N897" s="1" t="s">
        <v>30</v>
      </c>
      <c r="O897" s="1" t="s">
        <v>31</v>
      </c>
      <c r="P897" s="1" t="n">
        <v>1</v>
      </c>
      <c r="Q897" s="1" t="n">
        <v>0</v>
      </c>
      <c r="R897" s="1" t="n">
        <v>0</v>
      </c>
      <c r="S897" s="1" t="n">
        <v>0</v>
      </c>
      <c r="T897" s="1" t="n">
        <v>0</v>
      </c>
      <c r="U897" s="1" t="n">
        <v>0</v>
      </c>
      <c r="V897" s="3" t="n">
        <f aca="false">SUM(P897:Q897)</f>
        <v>1</v>
      </c>
      <c r="W897" s="3" t="n">
        <f aca="false">SUM(R897:T897)</f>
        <v>0</v>
      </c>
      <c r="X897" s="10" t="n">
        <v>39969</v>
      </c>
      <c r="Y897" s="10" t="n">
        <v>39974</v>
      </c>
    </row>
    <row r="898" customFormat="false" ht="14.25" hidden="false" customHeight="false" outlineLevel="0" collapsed="false">
      <c r="A898" s="1" t="n">
        <v>2009</v>
      </c>
      <c r="B898" s="1" t="n">
        <v>1</v>
      </c>
      <c r="C898" s="2" t="s">
        <v>50</v>
      </c>
      <c r="D898" s="7" t="s">
        <v>51</v>
      </c>
      <c r="E898" s="1" t="n">
        <v>3</v>
      </c>
      <c r="F898" s="1" t="n">
        <f aca="false">Y898-X898</f>
        <v>5</v>
      </c>
      <c r="G898" s="1" t="n">
        <v>5</v>
      </c>
      <c r="H898" s="3" t="s">
        <v>32</v>
      </c>
      <c r="I898" s="3" t="s">
        <v>90</v>
      </c>
      <c r="J898" s="3" t="s">
        <v>91</v>
      </c>
      <c r="K898" s="2" t="str">
        <f aca="false">CONCATENATE(I898," ",J898)</f>
        <v>Tapinocyba insecta</v>
      </c>
      <c r="L898" s="3" t="n">
        <f aca="false">SUM(P898:U898)</f>
        <v>1</v>
      </c>
      <c r="M898" s="11" t="n">
        <f aca="false">(L898/(F898*G898)*25)*4</f>
        <v>4</v>
      </c>
      <c r="N898" s="1" t="s">
        <v>30</v>
      </c>
      <c r="O898" s="1" t="s">
        <v>35</v>
      </c>
      <c r="P898" s="1" t="n">
        <v>0</v>
      </c>
      <c r="Q898" s="1" t="n">
        <v>1</v>
      </c>
      <c r="R898" s="1" t="n">
        <v>0</v>
      </c>
      <c r="S898" s="1" t="n">
        <v>0</v>
      </c>
      <c r="T898" s="1" t="n">
        <v>0</v>
      </c>
      <c r="U898" s="1" t="n">
        <v>0</v>
      </c>
      <c r="V898" s="3" t="n">
        <f aca="false">SUM(P898:Q898)</f>
        <v>1</v>
      </c>
      <c r="W898" s="3" t="n">
        <f aca="false">SUM(R898:T898)</f>
        <v>0</v>
      </c>
      <c r="X898" s="10" t="n">
        <v>39969</v>
      </c>
      <c r="Y898" s="10" t="n">
        <v>39974</v>
      </c>
    </row>
    <row r="899" customFormat="false" ht="14.25" hidden="false" customHeight="false" outlineLevel="0" collapsed="false">
      <c r="A899" s="1" t="n">
        <v>2009</v>
      </c>
      <c r="B899" s="1" t="n">
        <v>1</v>
      </c>
      <c r="C899" s="2" t="s">
        <v>50</v>
      </c>
      <c r="D899" s="7" t="s">
        <v>51</v>
      </c>
      <c r="E899" s="1" t="n">
        <v>3</v>
      </c>
      <c r="F899" s="1" t="n">
        <f aca="false">Y899-X899</f>
        <v>5</v>
      </c>
      <c r="G899" s="1" t="n">
        <v>5</v>
      </c>
      <c r="H899" s="3" t="s">
        <v>32</v>
      </c>
      <c r="I899" s="3" t="s">
        <v>55</v>
      </c>
      <c r="J899" s="3" t="s">
        <v>194</v>
      </c>
      <c r="K899" s="2" t="str">
        <f aca="false">CONCATENATE(I899," ",J899)</f>
        <v>Maro pansibiricus</v>
      </c>
      <c r="L899" s="3" t="n">
        <f aca="false">SUM(P899:U899)</f>
        <v>1</v>
      </c>
      <c r="M899" s="11" t="n">
        <f aca="false">(L899/(F899*G899)*25)*4</f>
        <v>4</v>
      </c>
      <c r="N899" s="1" t="s">
        <v>30</v>
      </c>
      <c r="O899" s="1" t="s">
        <v>31</v>
      </c>
      <c r="P899" s="1" t="n">
        <v>1</v>
      </c>
      <c r="Q899" s="1" t="n">
        <v>0</v>
      </c>
      <c r="R899" s="1" t="n">
        <v>0</v>
      </c>
      <c r="S899" s="1" t="n">
        <v>0</v>
      </c>
      <c r="T899" s="1" t="n">
        <v>0</v>
      </c>
      <c r="U899" s="1" t="n">
        <v>0</v>
      </c>
      <c r="V899" s="3" t="n">
        <f aca="false">SUM(P899:Q899)</f>
        <v>1</v>
      </c>
      <c r="W899" s="3" t="n">
        <f aca="false">SUM(R899:T899)</f>
        <v>0</v>
      </c>
      <c r="X899" s="10" t="n">
        <v>39969</v>
      </c>
      <c r="Y899" s="10" t="n">
        <v>39974</v>
      </c>
    </row>
    <row r="900" customFormat="false" ht="14.25" hidden="false" customHeight="false" outlineLevel="0" collapsed="false">
      <c r="A900" s="1" t="n">
        <v>2009</v>
      </c>
      <c r="B900" s="1" t="n">
        <v>1</v>
      </c>
      <c r="C900" s="2" t="s">
        <v>50</v>
      </c>
      <c r="D900" s="7" t="s">
        <v>51</v>
      </c>
      <c r="E900" s="1" t="n">
        <v>3</v>
      </c>
      <c r="F900" s="1" t="n">
        <f aca="false">Y900-X900</f>
        <v>5</v>
      </c>
      <c r="G900" s="1" t="n">
        <v>5</v>
      </c>
      <c r="H900" s="3" t="s">
        <v>48</v>
      </c>
      <c r="I900" s="3" t="s">
        <v>49</v>
      </c>
      <c r="J900" s="3" t="s">
        <v>104</v>
      </c>
      <c r="K900" s="2" t="str">
        <f aca="false">CONCATENATE(I900," ",J900)</f>
        <v>Alopecosa taeniata</v>
      </c>
      <c r="L900" s="3" t="n">
        <f aca="false">SUM(P900:U900)</f>
        <v>3</v>
      </c>
      <c r="M900" s="11" t="n">
        <f aca="false">(L900/(F900*G900)*25)*4</f>
        <v>12</v>
      </c>
      <c r="N900" s="1" t="s">
        <v>30</v>
      </c>
      <c r="O900" s="1" t="s">
        <v>31</v>
      </c>
      <c r="P900" s="1" t="n">
        <v>3</v>
      </c>
      <c r="Q900" s="1" t="n">
        <v>0</v>
      </c>
      <c r="R900" s="1" t="n">
        <v>0</v>
      </c>
      <c r="S900" s="1" t="n">
        <v>0</v>
      </c>
      <c r="T900" s="1" t="n">
        <v>0</v>
      </c>
      <c r="U900" s="1" t="n">
        <v>0</v>
      </c>
      <c r="V900" s="3" t="n">
        <f aca="false">SUM(P900:Q900)</f>
        <v>3</v>
      </c>
      <c r="W900" s="3" t="n">
        <f aca="false">SUM(R900:T900)</f>
        <v>0</v>
      </c>
      <c r="X900" s="10" t="n">
        <v>39969</v>
      </c>
      <c r="Y900" s="10" t="n">
        <v>39974</v>
      </c>
    </row>
    <row r="901" customFormat="false" ht="14.25" hidden="false" customHeight="false" outlineLevel="0" collapsed="false">
      <c r="A901" s="1" t="n">
        <v>2009</v>
      </c>
      <c r="B901" s="1" t="n">
        <v>1</v>
      </c>
      <c r="C901" s="2" t="s">
        <v>50</v>
      </c>
      <c r="D901" s="7" t="s">
        <v>51</v>
      </c>
      <c r="E901" s="1" t="n">
        <v>3</v>
      </c>
      <c r="F901" s="1" t="n">
        <f aca="false">Y901-X901</f>
        <v>5</v>
      </c>
      <c r="G901" s="1" t="n">
        <v>5</v>
      </c>
      <c r="H901" s="3" t="s">
        <v>48</v>
      </c>
      <c r="I901" s="3" t="s">
        <v>67</v>
      </c>
      <c r="J901" s="3" t="s">
        <v>127</v>
      </c>
      <c r="K901" s="2" t="str">
        <f aca="false">CONCATENATE(I901," ",J901)</f>
        <v>Pardosa lugubris</v>
      </c>
      <c r="L901" s="3" t="n">
        <f aca="false">SUM(P901:U901)</f>
        <v>16</v>
      </c>
      <c r="M901" s="11" t="n">
        <f aca="false">(L901/(F901*G901)*25)*4</f>
        <v>64</v>
      </c>
      <c r="N901" s="1" t="s">
        <v>30</v>
      </c>
      <c r="O901" s="1" t="s">
        <v>31</v>
      </c>
      <c r="P901" s="1" t="n">
        <v>16</v>
      </c>
      <c r="Q901" s="1" t="n">
        <v>0</v>
      </c>
      <c r="R901" s="1" t="n">
        <v>0</v>
      </c>
      <c r="S901" s="1" t="n">
        <v>0</v>
      </c>
      <c r="T901" s="1" t="n">
        <v>0</v>
      </c>
      <c r="U901" s="1" t="n">
        <v>0</v>
      </c>
      <c r="V901" s="3" t="n">
        <f aca="false">SUM(P901:Q901)</f>
        <v>16</v>
      </c>
      <c r="W901" s="3" t="n">
        <f aca="false">SUM(R901:T901)</f>
        <v>0</v>
      </c>
      <c r="X901" s="10" t="n">
        <v>39969</v>
      </c>
      <c r="Y901" s="10" t="n">
        <v>39974</v>
      </c>
    </row>
    <row r="902" customFormat="false" ht="14.25" hidden="false" customHeight="false" outlineLevel="0" collapsed="false">
      <c r="A902" s="1" t="n">
        <v>2009</v>
      </c>
      <c r="B902" s="1" t="n">
        <v>1</v>
      </c>
      <c r="C902" s="2" t="s">
        <v>50</v>
      </c>
      <c r="D902" s="7" t="s">
        <v>51</v>
      </c>
      <c r="E902" s="1" t="n">
        <v>3</v>
      </c>
      <c r="F902" s="1" t="n">
        <f aca="false">Y902-X902</f>
        <v>5</v>
      </c>
      <c r="G902" s="1" t="n">
        <v>5</v>
      </c>
      <c r="H902" s="3" t="s">
        <v>48</v>
      </c>
      <c r="I902" s="3" t="s">
        <v>67</v>
      </c>
      <c r="J902" s="3" t="s">
        <v>127</v>
      </c>
      <c r="K902" s="2" t="str">
        <f aca="false">CONCATENATE(I902," ",J902)</f>
        <v>Pardosa lugubris</v>
      </c>
      <c r="L902" s="3" t="n">
        <f aca="false">SUM(P902:U902)</f>
        <v>2</v>
      </c>
      <c r="M902" s="11" t="n">
        <f aca="false">(L902/(F902*G902)*25)*4</f>
        <v>8</v>
      </c>
      <c r="N902" s="1" t="s">
        <v>30</v>
      </c>
      <c r="O902" s="1" t="s">
        <v>35</v>
      </c>
      <c r="P902" s="1" t="n">
        <v>0</v>
      </c>
      <c r="Q902" s="1" t="n">
        <v>2</v>
      </c>
      <c r="R902" s="1" t="n">
        <v>0</v>
      </c>
      <c r="S902" s="1" t="n">
        <v>0</v>
      </c>
      <c r="T902" s="1" t="n">
        <v>0</v>
      </c>
      <c r="U902" s="1" t="n">
        <v>0</v>
      </c>
      <c r="V902" s="3" t="n">
        <f aca="false">SUM(P902:Q902)</f>
        <v>2</v>
      </c>
      <c r="W902" s="3" t="n">
        <f aca="false">SUM(R902:T902)</f>
        <v>0</v>
      </c>
      <c r="X902" s="10" t="n">
        <v>39969</v>
      </c>
      <c r="Y902" s="10" t="n">
        <v>39974</v>
      </c>
    </row>
    <row r="903" customFormat="false" ht="14.25" hidden="false" customHeight="false" outlineLevel="0" collapsed="false">
      <c r="A903" s="1" t="n">
        <v>2009</v>
      </c>
      <c r="B903" s="1" t="n">
        <v>1</v>
      </c>
      <c r="C903" s="2" t="s">
        <v>50</v>
      </c>
      <c r="D903" s="7" t="s">
        <v>51</v>
      </c>
      <c r="E903" s="1" t="n">
        <v>3</v>
      </c>
      <c r="F903" s="1" t="n">
        <f aca="false">Y903-X903</f>
        <v>5</v>
      </c>
      <c r="G903" s="1" t="n">
        <v>5</v>
      </c>
      <c r="H903" s="3" t="s">
        <v>48</v>
      </c>
      <c r="I903" s="3" t="s">
        <v>61</v>
      </c>
      <c r="J903" s="3" t="s">
        <v>82</v>
      </c>
      <c r="K903" s="2" t="str">
        <f aca="false">CONCATENATE(I903," ",J903)</f>
        <v>Trochosa terricola</v>
      </c>
      <c r="L903" s="3" t="n">
        <f aca="false">SUM(P903:U903)</f>
        <v>1</v>
      </c>
      <c r="M903" s="11" t="n">
        <f aca="false">(L903/(F903*G903)*25)*4</f>
        <v>4</v>
      </c>
      <c r="N903" s="1" t="s">
        <v>30</v>
      </c>
      <c r="O903" s="1" t="s">
        <v>35</v>
      </c>
      <c r="P903" s="1" t="n">
        <v>0</v>
      </c>
      <c r="Q903" s="1" t="n">
        <v>1</v>
      </c>
      <c r="R903" s="1" t="n">
        <v>0</v>
      </c>
      <c r="S903" s="1" t="n">
        <v>0</v>
      </c>
      <c r="T903" s="1" t="n">
        <v>0</v>
      </c>
      <c r="U903" s="1" t="n">
        <v>0</v>
      </c>
      <c r="V903" s="3" t="n">
        <f aca="false">SUM(P903:Q903)</f>
        <v>1</v>
      </c>
      <c r="W903" s="3" t="n">
        <f aca="false">SUM(R903:T903)</f>
        <v>0</v>
      </c>
      <c r="X903" s="10" t="n">
        <v>39969</v>
      </c>
      <c r="Y903" s="10" t="n">
        <v>39974</v>
      </c>
    </row>
    <row r="904" customFormat="false" ht="14.25" hidden="false" customHeight="false" outlineLevel="0" collapsed="false">
      <c r="A904" s="1" t="n">
        <v>2009</v>
      </c>
      <c r="B904" s="1" t="n">
        <v>1</v>
      </c>
      <c r="C904" s="2" t="s">
        <v>50</v>
      </c>
      <c r="D904" s="7" t="s">
        <v>51</v>
      </c>
      <c r="E904" s="1" t="n">
        <v>3</v>
      </c>
      <c r="F904" s="1" t="n">
        <f aca="false">Y904-X904</f>
        <v>5</v>
      </c>
      <c r="G904" s="1" t="n">
        <v>5</v>
      </c>
      <c r="H904" s="3" t="s">
        <v>36</v>
      </c>
      <c r="I904" s="3" t="s">
        <v>37</v>
      </c>
      <c r="J904" s="8" t="s">
        <v>75</v>
      </c>
      <c r="K904" s="2" t="str">
        <f aca="false">CONCATENATE(I904," ",J904)</f>
        <v>Ozyptila praticola</v>
      </c>
      <c r="L904" s="3" t="n">
        <f aca="false">SUM(P904:U904)</f>
        <v>1</v>
      </c>
      <c r="M904" s="11" t="n">
        <f aca="false">(L904/(F904*G904)*25)*4</f>
        <v>4</v>
      </c>
      <c r="N904" s="1" t="s">
        <v>30</v>
      </c>
      <c r="O904" s="1" t="s">
        <v>35</v>
      </c>
      <c r="P904" s="1" t="n">
        <v>0</v>
      </c>
      <c r="Q904" s="1" t="n">
        <v>1</v>
      </c>
      <c r="R904" s="1" t="n">
        <v>0</v>
      </c>
      <c r="S904" s="1" t="n">
        <v>0</v>
      </c>
      <c r="T904" s="1" t="n">
        <v>0</v>
      </c>
      <c r="U904" s="1" t="n">
        <v>0</v>
      </c>
      <c r="V904" s="3" t="n">
        <f aca="false">SUM(P904:Q904)</f>
        <v>1</v>
      </c>
      <c r="W904" s="3" t="n">
        <f aca="false">SUM(R904:T904)</f>
        <v>0</v>
      </c>
      <c r="X904" s="10" t="n">
        <v>39969</v>
      </c>
      <c r="Y904" s="10" t="n">
        <v>39974</v>
      </c>
    </row>
    <row r="905" customFormat="false" ht="14.25" hidden="false" customHeight="false" outlineLevel="0" collapsed="false">
      <c r="A905" s="1" t="n">
        <v>2009</v>
      </c>
      <c r="B905" s="1" t="n">
        <v>1</v>
      </c>
      <c r="C905" s="2" t="s">
        <v>50</v>
      </c>
      <c r="D905" s="7" t="s">
        <v>51</v>
      </c>
      <c r="E905" s="1" t="n">
        <v>3</v>
      </c>
      <c r="F905" s="1" t="n">
        <f aca="false">Y905-X905</f>
        <v>5</v>
      </c>
      <c r="G905" s="1" t="n">
        <v>5</v>
      </c>
      <c r="H905" s="3" t="s">
        <v>36</v>
      </c>
      <c r="I905" s="3" t="s">
        <v>131</v>
      </c>
      <c r="J905" s="3" t="s">
        <v>133</v>
      </c>
      <c r="K905" s="2" t="str">
        <f aca="false">CONCATENATE(I905," ",J905)</f>
        <v>Xysticus luctuosus</v>
      </c>
      <c r="L905" s="3" t="n">
        <f aca="false">SUM(P905:U905)</f>
        <v>1</v>
      </c>
      <c r="M905" s="11" t="n">
        <f aca="false">(L905/(F905*G905)*25)*4</f>
        <v>4</v>
      </c>
      <c r="N905" s="1" t="s">
        <v>30</v>
      </c>
      <c r="O905" s="1" t="s">
        <v>31</v>
      </c>
      <c r="P905" s="1" t="n">
        <v>1</v>
      </c>
      <c r="Q905" s="1" t="n">
        <v>0</v>
      </c>
      <c r="R905" s="1" t="n">
        <v>0</v>
      </c>
      <c r="S905" s="1" t="n">
        <v>0</v>
      </c>
      <c r="T905" s="1" t="n">
        <v>0</v>
      </c>
      <c r="U905" s="1" t="n">
        <v>0</v>
      </c>
      <c r="V905" s="3" t="n">
        <f aca="false">SUM(P905:Q905)</f>
        <v>1</v>
      </c>
      <c r="W905" s="3" t="n">
        <f aca="false">SUM(R905:T905)</f>
        <v>0</v>
      </c>
      <c r="X905" s="10" t="n">
        <v>39969</v>
      </c>
      <c r="Y905" s="10" t="n">
        <v>39974</v>
      </c>
    </row>
    <row r="906" customFormat="false" ht="14.25" hidden="false" customHeight="false" outlineLevel="0" collapsed="false">
      <c r="A906" s="1" t="n">
        <v>2009</v>
      </c>
      <c r="B906" s="1" t="n">
        <v>1</v>
      </c>
      <c r="C906" s="2" t="s">
        <v>50</v>
      </c>
      <c r="D906" s="7" t="s">
        <v>51</v>
      </c>
      <c r="E906" s="1" t="n">
        <v>3</v>
      </c>
      <c r="F906" s="1" t="n">
        <f aca="false">Y906-X906</f>
        <v>5</v>
      </c>
      <c r="G906" s="1" t="n">
        <v>5</v>
      </c>
      <c r="H906" s="3" t="s">
        <v>36</v>
      </c>
      <c r="I906" s="3" t="s">
        <v>131</v>
      </c>
      <c r="J906" s="3" t="s">
        <v>38</v>
      </c>
      <c r="K906" s="2" t="str">
        <f aca="false">CONCATENATE(I906," ",J906)</f>
        <v>Xysticus sp</v>
      </c>
      <c r="L906" s="3" t="n">
        <f aca="false">SUM(P906:U906)</f>
        <v>1</v>
      </c>
      <c r="M906" s="11" t="n">
        <f aca="false">(L906/(F906*G906)*25)*4</f>
        <v>4</v>
      </c>
      <c r="N906" s="1" t="s">
        <v>19</v>
      </c>
      <c r="O906" s="1" t="s">
        <v>54</v>
      </c>
      <c r="P906" s="1" t="n">
        <v>0</v>
      </c>
      <c r="Q906" s="1" t="n">
        <v>0</v>
      </c>
      <c r="R906" s="1" t="n">
        <v>0</v>
      </c>
      <c r="S906" s="1" t="n">
        <v>0</v>
      </c>
      <c r="T906" s="1" t="n">
        <v>1</v>
      </c>
      <c r="U906" s="1" t="n">
        <v>0</v>
      </c>
      <c r="V906" s="3" t="n">
        <f aca="false">SUM(P906:Q906)</f>
        <v>0</v>
      </c>
      <c r="W906" s="3" t="n">
        <f aca="false">SUM(R906:T906)</f>
        <v>1</v>
      </c>
      <c r="X906" s="10" t="n">
        <v>39969</v>
      </c>
      <c r="Y906" s="10" t="n">
        <v>39974</v>
      </c>
    </row>
    <row r="907" customFormat="false" ht="14.25" hidden="false" customHeight="false" outlineLevel="0" collapsed="false">
      <c r="A907" s="1" t="n">
        <v>2009</v>
      </c>
      <c r="B907" s="1" t="n">
        <v>1</v>
      </c>
      <c r="C907" s="2" t="s">
        <v>50</v>
      </c>
      <c r="D907" s="7" t="s">
        <v>51</v>
      </c>
      <c r="E907" s="1" t="n">
        <v>3</v>
      </c>
      <c r="F907" s="1" t="n">
        <f aca="false">Y907-X907</f>
        <v>5</v>
      </c>
      <c r="G907" s="1" t="n">
        <v>5</v>
      </c>
      <c r="H907" s="3" t="s">
        <v>72</v>
      </c>
      <c r="I907" s="3" t="s">
        <v>86</v>
      </c>
      <c r="J907" s="8" t="s">
        <v>87</v>
      </c>
      <c r="K907" s="2" t="str">
        <f aca="false">CONCATENATE(I907," ",J907)</f>
        <v>Haplodrassus soerenseni</v>
      </c>
      <c r="L907" s="3" t="n">
        <f aca="false">SUM(P907:U907)</f>
        <v>4</v>
      </c>
      <c r="M907" s="11" t="n">
        <f aca="false">(L907/(F907*G907)*25)*4</f>
        <v>16</v>
      </c>
      <c r="N907" s="1" t="s">
        <v>30</v>
      </c>
      <c r="O907" s="1" t="s">
        <v>31</v>
      </c>
      <c r="P907" s="1" t="n">
        <v>4</v>
      </c>
      <c r="Q907" s="1" t="n">
        <v>0</v>
      </c>
      <c r="R907" s="1" t="n">
        <v>0</v>
      </c>
      <c r="S907" s="1" t="n">
        <v>0</v>
      </c>
      <c r="T907" s="1" t="n">
        <v>0</v>
      </c>
      <c r="U907" s="1" t="n">
        <v>0</v>
      </c>
      <c r="V907" s="3" t="n">
        <f aca="false">SUM(P907:Q907)</f>
        <v>4</v>
      </c>
      <c r="W907" s="3" t="n">
        <f aca="false">SUM(R907:T907)</f>
        <v>0</v>
      </c>
      <c r="X907" s="10" t="n">
        <v>39969</v>
      </c>
      <c r="Y907" s="10" t="n">
        <v>39974</v>
      </c>
    </row>
    <row r="908" customFormat="false" ht="14.25" hidden="false" customHeight="false" outlineLevel="0" collapsed="false">
      <c r="A908" s="1" t="n">
        <v>2009</v>
      </c>
      <c r="B908" s="1" t="n">
        <v>1</v>
      </c>
      <c r="C908" s="2" t="s">
        <v>50</v>
      </c>
      <c r="D908" s="7" t="s">
        <v>51</v>
      </c>
      <c r="E908" s="1" t="n">
        <v>3</v>
      </c>
      <c r="F908" s="1" t="n">
        <f aca="false">Y908-X908</f>
        <v>5</v>
      </c>
      <c r="G908" s="1" t="n">
        <v>5</v>
      </c>
      <c r="H908" s="3" t="s">
        <v>72</v>
      </c>
      <c r="I908" s="3" t="s">
        <v>73</v>
      </c>
      <c r="J908" s="3" t="s">
        <v>74</v>
      </c>
      <c r="K908" s="2" t="str">
        <f aca="false">CONCATENATE(I908," ",J908)</f>
        <v>Zelotes subterraneus</v>
      </c>
      <c r="L908" s="3" t="n">
        <f aca="false">SUM(P908:U908)</f>
        <v>1</v>
      </c>
      <c r="M908" s="11" t="n">
        <f aca="false">(L908/(F908*G908)*25)*4</f>
        <v>4</v>
      </c>
      <c r="N908" s="1" t="s">
        <v>30</v>
      </c>
      <c r="O908" s="1" t="s">
        <v>31</v>
      </c>
      <c r="P908" s="1" t="n">
        <v>1</v>
      </c>
      <c r="Q908" s="1" t="n">
        <v>0</v>
      </c>
      <c r="R908" s="1" t="n">
        <v>0</v>
      </c>
      <c r="S908" s="1" t="n">
        <v>0</v>
      </c>
      <c r="T908" s="1" t="n">
        <v>0</v>
      </c>
      <c r="U908" s="1" t="n">
        <v>0</v>
      </c>
      <c r="V908" s="3" t="n">
        <f aca="false">SUM(P908:Q908)</f>
        <v>1</v>
      </c>
      <c r="W908" s="3" t="n">
        <f aca="false">SUM(R908:T908)</f>
        <v>0</v>
      </c>
      <c r="X908" s="10" t="n">
        <v>39969</v>
      </c>
      <c r="Y908" s="10" t="n">
        <v>39974</v>
      </c>
    </row>
    <row r="909" customFormat="false" ht="14.25" hidden="false" customHeight="false" outlineLevel="0" collapsed="false">
      <c r="A909" s="1" t="n">
        <v>2009</v>
      </c>
      <c r="B909" s="1" t="n">
        <v>1</v>
      </c>
      <c r="C909" s="2" t="s">
        <v>50</v>
      </c>
      <c r="D909" s="7" t="s">
        <v>51</v>
      </c>
      <c r="E909" s="1" t="n">
        <v>3</v>
      </c>
      <c r="F909" s="1" t="n">
        <f aca="false">Y909-X909</f>
        <v>5</v>
      </c>
      <c r="G909" s="1" t="n">
        <v>5</v>
      </c>
      <c r="H909" s="3" t="s">
        <v>32</v>
      </c>
      <c r="I909" s="3" t="s">
        <v>90</v>
      </c>
      <c r="J909" s="3" t="s">
        <v>91</v>
      </c>
      <c r="K909" s="2" t="str">
        <f aca="false">CONCATENATE(I909," ",J909)</f>
        <v>Tapinocyba insecta</v>
      </c>
      <c r="L909" s="3" t="n">
        <f aca="false">SUM(P909:U909)</f>
        <v>1</v>
      </c>
      <c r="M909" s="11" t="n">
        <f aca="false">(L909/(F909*G909)*25)*4</f>
        <v>4</v>
      </c>
      <c r="N909" s="1" t="s">
        <v>30</v>
      </c>
      <c r="O909" s="1" t="s">
        <v>31</v>
      </c>
      <c r="P909" s="1" t="n">
        <v>1</v>
      </c>
      <c r="Q909" s="1" t="n">
        <v>0</v>
      </c>
      <c r="R909" s="1" t="n">
        <v>0</v>
      </c>
      <c r="S909" s="1" t="n">
        <v>0</v>
      </c>
      <c r="T909" s="1" t="n">
        <v>0</v>
      </c>
      <c r="U909" s="1" t="n">
        <v>0</v>
      </c>
      <c r="V909" s="3" t="n">
        <f aca="false">SUM(P909:Q909)</f>
        <v>1</v>
      </c>
      <c r="W909" s="3" t="n">
        <f aca="false">SUM(R909:T909)</f>
        <v>0</v>
      </c>
      <c r="X909" s="10" t="n">
        <v>39969</v>
      </c>
      <c r="Y909" s="10" t="n">
        <v>39974</v>
      </c>
    </row>
    <row r="910" customFormat="false" ht="14.25" hidden="false" customHeight="false" outlineLevel="0" collapsed="false">
      <c r="A910" s="1" t="n">
        <v>2009</v>
      </c>
      <c r="B910" s="1" t="n">
        <v>1</v>
      </c>
      <c r="C910" s="2" t="s">
        <v>50</v>
      </c>
      <c r="D910" s="7" t="s">
        <v>51</v>
      </c>
      <c r="E910" s="1" t="n">
        <v>3</v>
      </c>
      <c r="F910" s="1" t="n">
        <f aca="false">Y910-X910</f>
        <v>5</v>
      </c>
      <c r="G910" s="1" t="n">
        <v>5</v>
      </c>
      <c r="H910" s="3" t="s">
        <v>32</v>
      </c>
      <c r="I910" s="3" t="s">
        <v>55</v>
      </c>
      <c r="J910" s="3" t="s">
        <v>194</v>
      </c>
      <c r="K910" s="2" t="str">
        <f aca="false">CONCATENATE(I910," ",J910)</f>
        <v>Maro pansibiricus</v>
      </c>
      <c r="L910" s="3" t="n">
        <f aca="false">SUM(P910:U910)</f>
        <v>2</v>
      </c>
      <c r="M910" s="11" t="n">
        <f aca="false">(L910/(F910*G910)*25)*4</f>
        <v>8</v>
      </c>
      <c r="N910" s="1" t="s">
        <v>30</v>
      </c>
      <c r="O910" s="1" t="s">
        <v>31</v>
      </c>
      <c r="P910" s="1" t="n">
        <v>2</v>
      </c>
      <c r="Q910" s="1" t="n">
        <v>0</v>
      </c>
      <c r="R910" s="1" t="n">
        <v>0</v>
      </c>
      <c r="S910" s="1" t="n">
        <v>0</v>
      </c>
      <c r="T910" s="1" t="n">
        <v>0</v>
      </c>
      <c r="U910" s="1" t="n">
        <v>0</v>
      </c>
      <c r="V910" s="3" t="n">
        <f aca="false">SUM(P910:Q910)</f>
        <v>2</v>
      </c>
      <c r="W910" s="3" t="n">
        <f aca="false">SUM(R910:T910)</f>
        <v>0</v>
      </c>
      <c r="X910" s="10" t="n">
        <v>39969</v>
      </c>
      <c r="Y910" s="10" t="n">
        <v>39974</v>
      </c>
    </row>
    <row r="911" customFormat="false" ht="14.25" hidden="false" customHeight="false" outlineLevel="0" collapsed="false">
      <c r="A911" s="1" t="n">
        <v>2009</v>
      </c>
      <c r="B911" s="1" t="n">
        <v>1</v>
      </c>
      <c r="C911" s="2" t="s">
        <v>50</v>
      </c>
      <c r="D911" s="7" t="s">
        <v>51</v>
      </c>
      <c r="E911" s="1" t="n">
        <v>3</v>
      </c>
      <c r="F911" s="1" t="n">
        <f aca="false">Y911-X911</f>
        <v>5</v>
      </c>
      <c r="G911" s="1" t="n">
        <v>5</v>
      </c>
      <c r="H911" s="3" t="s">
        <v>48</v>
      </c>
      <c r="I911" s="3" t="s">
        <v>49</v>
      </c>
      <c r="J911" s="3" t="s">
        <v>104</v>
      </c>
      <c r="K911" s="2" t="str">
        <f aca="false">CONCATENATE(I911," ",J911)</f>
        <v>Alopecosa taeniata</v>
      </c>
      <c r="L911" s="3" t="n">
        <f aca="false">SUM(P911:U911)</f>
        <v>6</v>
      </c>
      <c r="M911" s="11" t="n">
        <f aca="false">(L911/(F911*G911)*25)*4</f>
        <v>24</v>
      </c>
      <c r="N911" s="1" t="s">
        <v>30</v>
      </c>
      <c r="O911" s="1" t="s">
        <v>31</v>
      </c>
      <c r="P911" s="1" t="n">
        <v>6</v>
      </c>
      <c r="Q911" s="1" t="n">
        <v>0</v>
      </c>
      <c r="R911" s="1" t="n">
        <v>0</v>
      </c>
      <c r="S911" s="1" t="n">
        <v>0</v>
      </c>
      <c r="T911" s="1" t="n">
        <v>0</v>
      </c>
      <c r="U911" s="1" t="n">
        <v>0</v>
      </c>
      <c r="V911" s="3" t="n">
        <f aca="false">SUM(P911:Q911)</f>
        <v>6</v>
      </c>
      <c r="W911" s="3" t="n">
        <f aca="false">SUM(R911:T911)</f>
        <v>0</v>
      </c>
      <c r="X911" s="10" t="n">
        <v>39969</v>
      </c>
      <c r="Y911" s="10" t="n">
        <v>39974</v>
      </c>
    </row>
    <row r="912" customFormat="false" ht="14.25" hidden="false" customHeight="false" outlineLevel="0" collapsed="false">
      <c r="A912" s="1" t="n">
        <v>2009</v>
      </c>
      <c r="B912" s="1" t="n">
        <v>1</v>
      </c>
      <c r="C912" s="2" t="s">
        <v>50</v>
      </c>
      <c r="D912" s="7" t="s">
        <v>51</v>
      </c>
      <c r="E912" s="1" t="n">
        <v>3</v>
      </c>
      <c r="F912" s="1" t="n">
        <f aca="false">Y912-X912</f>
        <v>5</v>
      </c>
      <c r="G912" s="1" t="n">
        <v>5</v>
      </c>
      <c r="H912" s="3" t="s">
        <v>48</v>
      </c>
      <c r="I912" s="3" t="s">
        <v>67</v>
      </c>
      <c r="J912" s="3" t="s">
        <v>127</v>
      </c>
      <c r="K912" s="2" t="str">
        <f aca="false">CONCATENATE(I912," ",J912)</f>
        <v>Pardosa lugubris</v>
      </c>
      <c r="L912" s="3" t="n">
        <f aca="false">SUM(P912:U912)</f>
        <v>18</v>
      </c>
      <c r="M912" s="11" t="n">
        <f aca="false">(L912/(F912*G912)*25)*4</f>
        <v>72</v>
      </c>
      <c r="N912" s="1" t="s">
        <v>30</v>
      </c>
      <c r="O912" s="1" t="s">
        <v>31</v>
      </c>
      <c r="P912" s="1" t="n">
        <v>18</v>
      </c>
      <c r="Q912" s="1" t="n">
        <v>0</v>
      </c>
      <c r="R912" s="1" t="n">
        <v>0</v>
      </c>
      <c r="S912" s="1" t="n">
        <v>0</v>
      </c>
      <c r="T912" s="1" t="n">
        <v>0</v>
      </c>
      <c r="U912" s="1" t="n">
        <v>0</v>
      </c>
      <c r="V912" s="3" t="n">
        <f aca="false">SUM(P912:Q912)</f>
        <v>18</v>
      </c>
      <c r="W912" s="3" t="n">
        <f aca="false">SUM(R912:T912)</f>
        <v>0</v>
      </c>
      <c r="X912" s="10" t="n">
        <v>39969</v>
      </c>
      <c r="Y912" s="10" t="n">
        <v>39974</v>
      </c>
    </row>
    <row r="913" customFormat="false" ht="14.25" hidden="false" customHeight="false" outlineLevel="0" collapsed="false">
      <c r="A913" s="1" t="n">
        <v>2009</v>
      </c>
      <c r="B913" s="1" t="n">
        <v>1</v>
      </c>
      <c r="C913" s="2" t="s">
        <v>50</v>
      </c>
      <c r="D913" s="7" t="s">
        <v>51</v>
      </c>
      <c r="E913" s="1" t="n">
        <v>3</v>
      </c>
      <c r="F913" s="1" t="n">
        <f aca="false">Y913-X913</f>
        <v>5</v>
      </c>
      <c r="G913" s="1" t="n">
        <v>5</v>
      </c>
      <c r="H913" s="3" t="s">
        <v>48</v>
      </c>
      <c r="I913" s="3" t="s">
        <v>67</v>
      </c>
      <c r="J913" s="3" t="s">
        <v>127</v>
      </c>
      <c r="K913" s="2" t="str">
        <f aca="false">CONCATENATE(I913," ",J913)</f>
        <v>Pardosa lugubris</v>
      </c>
      <c r="L913" s="3" t="n">
        <f aca="false">SUM(P913:U913)</f>
        <v>3</v>
      </c>
      <c r="M913" s="11" t="n">
        <f aca="false">(L913/(F913*G913)*25)*4</f>
        <v>12</v>
      </c>
      <c r="N913" s="1" t="s">
        <v>30</v>
      </c>
      <c r="O913" s="1" t="s">
        <v>35</v>
      </c>
      <c r="P913" s="1" t="n">
        <v>0</v>
      </c>
      <c r="Q913" s="1" t="n">
        <v>3</v>
      </c>
      <c r="R913" s="1" t="n">
        <v>0</v>
      </c>
      <c r="S913" s="1" t="n">
        <v>0</v>
      </c>
      <c r="T913" s="1" t="n">
        <v>0</v>
      </c>
      <c r="U913" s="1" t="n">
        <v>0</v>
      </c>
      <c r="V913" s="3" t="n">
        <f aca="false">SUM(P913:Q913)</f>
        <v>3</v>
      </c>
      <c r="W913" s="3" t="n">
        <f aca="false">SUM(R913:T913)</f>
        <v>0</v>
      </c>
      <c r="X913" s="10" t="n">
        <v>39969</v>
      </c>
      <c r="Y913" s="10" t="n">
        <v>39974</v>
      </c>
    </row>
    <row r="914" customFormat="false" ht="14.25" hidden="false" customHeight="false" outlineLevel="0" collapsed="false">
      <c r="A914" s="1" t="n">
        <v>2009</v>
      </c>
      <c r="B914" s="1" t="n">
        <v>1</v>
      </c>
      <c r="C914" s="2" t="s">
        <v>50</v>
      </c>
      <c r="D914" s="7" t="s">
        <v>51</v>
      </c>
      <c r="E914" s="1" t="n">
        <v>3</v>
      </c>
      <c r="F914" s="1" t="n">
        <f aca="false">Y914-X914</f>
        <v>5</v>
      </c>
      <c r="G914" s="1" t="n">
        <v>5</v>
      </c>
      <c r="H914" s="3" t="s">
        <v>64</v>
      </c>
      <c r="I914" s="3" t="s">
        <v>65</v>
      </c>
      <c r="J914" s="3" t="s">
        <v>123</v>
      </c>
      <c r="K914" s="2" t="str">
        <f aca="false">CONCATENATE(I914," ",J914)</f>
        <v>Zora nemoralis</v>
      </c>
      <c r="L914" s="3" t="n">
        <f aca="false">SUM(P914:U914)</f>
        <v>1</v>
      </c>
      <c r="M914" s="11" t="n">
        <f aca="false">(L914/(F914*G914)*25)*4</f>
        <v>4</v>
      </c>
      <c r="N914" s="1" t="s">
        <v>30</v>
      </c>
      <c r="O914" s="1" t="s">
        <v>31</v>
      </c>
      <c r="P914" s="1" t="n">
        <v>1</v>
      </c>
      <c r="Q914" s="1" t="n">
        <v>0</v>
      </c>
      <c r="R914" s="1" t="n">
        <v>0</v>
      </c>
      <c r="S914" s="1" t="n">
        <v>0</v>
      </c>
      <c r="T914" s="1" t="n">
        <v>0</v>
      </c>
      <c r="U914" s="1" t="n">
        <v>0</v>
      </c>
      <c r="V914" s="3" t="n">
        <f aca="false">SUM(P914:Q914)</f>
        <v>1</v>
      </c>
      <c r="W914" s="3" t="n">
        <f aca="false">SUM(R914:T914)</f>
        <v>0</v>
      </c>
      <c r="X914" s="10" t="n">
        <v>39969</v>
      </c>
      <c r="Y914" s="10" t="n">
        <v>39974</v>
      </c>
    </row>
    <row r="915" customFormat="false" ht="14.25" hidden="false" customHeight="false" outlineLevel="0" collapsed="false">
      <c r="A915" s="1" t="n">
        <v>2009</v>
      </c>
      <c r="B915" s="1" t="n">
        <v>1</v>
      </c>
      <c r="C915" s="2" t="s">
        <v>50</v>
      </c>
      <c r="D915" s="7" t="s">
        <v>51</v>
      </c>
      <c r="E915" s="1" t="n">
        <v>3</v>
      </c>
      <c r="F915" s="1" t="n">
        <f aca="false">Y915-X915</f>
        <v>5</v>
      </c>
      <c r="G915" s="1" t="n">
        <v>5</v>
      </c>
      <c r="H915" s="3" t="s">
        <v>64</v>
      </c>
      <c r="I915" s="3" t="s">
        <v>65</v>
      </c>
      <c r="J915" s="3" t="s">
        <v>38</v>
      </c>
      <c r="K915" s="2" t="str">
        <f aca="false">CONCATENATE(I915," ",J915)</f>
        <v>Zora sp</v>
      </c>
      <c r="L915" s="3" t="n">
        <f aca="false">SUM(P915:U915)</f>
        <v>1</v>
      </c>
      <c r="M915" s="11" t="n">
        <f aca="false">(L915/(F915*G915)*25)*4</f>
        <v>4</v>
      </c>
      <c r="N915" s="1" t="s">
        <v>19</v>
      </c>
      <c r="O915" s="1" t="s">
        <v>54</v>
      </c>
      <c r="P915" s="1" t="n">
        <v>0</v>
      </c>
      <c r="Q915" s="1" t="n">
        <v>0</v>
      </c>
      <c r="R915" s="1" t="n">
        <v>0</v>
      </c>
      <c r="S915" s="1" t="n">
        <v>0</v>
      </c>
      <c r="T915" s="1" t="n">
        <v>1</v>
      </c>
      <c r="U915" s="1" t="n">
        <v>0</v>
      </c>
      <c r="V915" s="3" t="n">
        <f aca="false">SUM(P915:Q915)</f>
        <v>0</v>
      </c>
      <c r="W915" s="3" t="n">
        <f aca="false">SUM(R915:T915)</f>
        <v>1</v>
      </c>
      <c r="X915" s="10" t="n">
        <v>39969</v>
      </c>
      <c r="Y915" s="10" t="n">
        <v>39974</v>
      </c>
    </row>
    <row r="916" customFormat="false" ht="14.25" hidden="false" customHeight="false" outlineLevel="0" collapsed="false">
      <c r="A916" s="1" t="n">
        <v>2009</v>
      </c>
      <c r="B916" s="1" t="n">
        <v>1</v>
      </c>
      <c r="C916" s="2" t="s">
        <v>50</v>
      </c>
      <c r="D916" s="7" t="s">
        <v>51</v>
      </c>
      <c r="E916" s="1" t="n">
        <v>3</v>
      </c>
      <c r="F916" s="1" t="n">
        <f aca="false">Y916-X916</f>
        <v>5</v>
      </c>
      <c r="G916" s="1" t="n">
        <v>5</v>
      </c>
      <c r="H916" s="3" t="s">
        <v>36</v>
      </c>
      <c r="I916" s="3" t="s">
        <v>37</v>
      </c>
      <c r="J916" s="8" t="s">
        <v>75</v>
      </c>
      <c r="K916" s="2" t="str">
        <f aca="false">CONCATENATE(I916," ",J916)</f>
        <v>Ozyptila praticola</v>
      </c>
      <c r="L916" s="3" t="n">
        <f aca="false">SUM(P916:U916)</f>
        <v>1</v>
      </c>
      <c r="M916" s="11" t="n">
        <f aca="false">(L916/(F916*G916)*25)*4</f>
        <v>4</v>
      </c>
      <c r="N916" s="1" t="s">
        <v>30</v>
      </c>
      <c r="O916" s="1" t="s">
        <v>31</v>
      </c>
      <c r="P916" s="1" t="n">
        <v>1</v>
      </c>
      <c r="Q916" s="1" t="n">
        <v>0</v>
      </c>
      <c r="R916" s="1" t="n">
        <v>0</v>
      </c>
      <c r="S916" s="1" t="n">
        <v>0</v>
      </c>
      <c r="T916" s="1" t="n">
        <v>0</v>
      </c>
      <c r="U916" s="1" t="n">
        <v>0</v>
      </c>
      <c r="V916" s="3" t="n">
        <f aca="false">SUM(P916:Q916)</f>
        <v>1</v>
      </c>
      <c r="W916" s="3" t="n">
        <f aca="false">SUM(R916:T916)</f>
        <v>0</v>
      </c>
      <c r="X916" s="10" t="n">
        <v>39969</v>
      </c>
      <c r="Y916" s="10" t="n">
        <v>39974</v>
      </c>
    </row>
    <row r="917" customFormat="false" ht="14.25" hidden="false" customHeight="false" outlineLevel="0" collapsed="false">
      <c r="A917" s="1" t="n">
        <v>2009</v>
      </c>
      <c r="B917" s="1" t="n">
        <v>1</v>
      </c>
      <c r="C917" s="2" t="s">
        <v>50</v>
      </c>
      <c r="D917" s="7" t="s">
        <v>51</v>
      </c>
      <c r="E917" s="1" t="n">
        <v>3</v>
      </c>
      <c r="F917" s="1" t="n">
        <f aca="false">Y917-X917</f>
        <v>5</v>
      </c>
      <c r="G917" s="1" t="n">
        <v>5</v>
      </c>
      <c r="H917" s="13" t="s">
        <v>195</v>
      </c>
      <c r="I917" s="13" t="s">
        <v>196</v>
      </c>
      <c r="J917" s="14" t="s">
        <v>197</v>
      </c>
      <c r="K917" s="2" t="str">
        <f aca="false">CONCATENATE(I917," ",J917)</f>
        <v>Pachygnatha listeri</v>
      </c>
      <c r="L917" s="3" t="n">
        <f aca="false">SUM(P917:U917)</f>
        <v>1</v>
      </c>
      <c r="M917" s="11" t="n">
        <f aca="false">(L917/(F917*G917)*25)*4</f>
        <v>4</v>
      </c>
      <c r="N917" s="1" t="s">
        <v>30</v>
      </c>
      <c r="O917" s="1" t="s">
        <v>31</v>
      </c>
      <c r="P917" s="1" t="n">
        <v>1</v>
      </c>
      <c r="Q917" s="1" t="n">
        <v>0</v>
      </c>
      <c r="R917" s="1" t="n">
        <v>0</v>
      </c>
      <c r="S917" s="1" t="n">
        <v>0</v>
      </c>
      <c r="T917" s="1" t="n">
        <v>0</v>
      </c>
      <c r="U917" s="1" t="n">
        <v>0</v>
      </c>
      <c r="V917" s="3" t="n">
        <f aca="false">SUM(P917:Q917)</f>
        <v>1</v>
      </c>
      <c r="W917" s="3" t="n">
        <f aca="false">SUM(R917:T917)</f>
        <v>0</v>
      </c>
      <c r="X917" s="10" t="n">
        <v>39969</v>
      </c>
      <c r="Y917" s="10" t="n">
        <v>39974</v>
      </c>
    </row>
    <row r="918" customFormat="false" ht="14.25" hidden="false" customHeight="false" outlineLevel="0" collapsed="false">
      <c r="A918" s="1" t="n">
        <v>2009</v>
      </c>
      <c r="B918" s="1" t="n">
        <v>1</v>
      </c>
      <c r="C918" s="2" t="s">
        <v>50</v>
      </c>
      <c r="D918" s="7" t="s">
        <v>51</v>
      </c>
      <c r="E918" s="1" t="n">
        <v>3</v>
      </c>
      <c r="F918" s="1" t="n">
        <f aca="false">Y918-X918</f>
        <v>5</v>
      </c>
      <c r="G918" s="1" t="n">
        <v>5</v>
      </c>
      <c r="H918" s="13" t="s">
        <v>195</v>
      </c>
      <c r="I918" s="13" t="s">
        <v>196</v>
      </c>
      <c r="J918" s="14" t="s">
        <v>197</v>
      </c>
      <c r="K918" s="2" t="str">
        <f aca="false">CONCATENATE(I918," ",J918)</f>
        <v>Pachygnatha listeri</v>
      </c>
      <c r="L918" s="3" t="n">
        <f aca="false">SUM(P918:U918)</f>
        <v>1</v>
      </c>
      <c r="M918" s="11" t="n">
        <f aca="false">(L918/(F918*G918)*25)*4</f>
        <v>4</v>
      </c>
      <c r="N918" s="1" t="s">
        <v>30</v>
      </c>
      <c r="O918" s="1" t="s">
        <v>35</v>
      </c>
      <c r="P918" s="1" t="n">
        <v>0</v>
      </c>
      <c r="Q918" s="1" t="n">
        <v>1</v>
      </c>
      <c r="R918" s="1" t="n">
        <v>0</v>
      </c>
      <c r="S918" s="1" t="n">
        <v>0</v>
      </c>
      <c r="T918" s="1" t="n">
        <v>0</v>
      </c>
      <c r="U918" s="1" t="n">
        <v>0</v>
      </c>
      <c r="V918" s="3" t="n">
        <f aca="false">SUM(P918:Q918)</f>
        <v>1</v>
      </c>
      <c r="W918" s="3" t="n">
        <f aca="false">SUM(R918:T918)</f>
        <v>0</v>
      </c>
      <c r="X918" s="10" t="n">
        <v>39969</v>
      </c>
      <c r="Y918" s="10" t="n">
        <v>39974</v>
      </c>
    </row>
    <row r="919" customFormat="false" ht="14.25" hidden="false" customHeight="false" outlineLevel="0" collapsed="false">
      <c r="A919" s="1" t="n">
        <v>2009</v>
      </c>
      <c r="B919" s="1" t="n">
        <v>1</v>
      </c>
      <c r="C919" s="2" t="s">
        <v>50</v>
      </c>
      <c r="D919" s="7" t="s">
        <v>51</v>
      </c>
      <c r="E919" s="1" t="n">
        <v>3</v>
      </c>
      <c r="F919" s="1" t="n">
        <f aca="false">Y919-X919</f>
        <v>5</v>
      </c>
      <c r="G919" s="1" t="n">
        <v>5</v>
      </c>
      <c r="H919" s="3" t="s">
        <v>48</v>
      </c>
      <c r="I919" s="3" t="s">
        <v>49</v>
      </c>
      <c r="J919" s="3" t="s">
        <v>104</v>
      </c>
      <c r="K919" s="2" t="str">
        <f aca="false">CONCATENATE(I919," ",J919)</f>
        <v>Alopecosa taeniata</v>
      </c>
      <c r="L919" s="3" t="n">
        <f aca="false">SUM(P919:U919)</f>
        <v>6</v>
      </c>
      <c r="M919" s="11" t="n">
        <f aca="false">(L919/(F919*G919)*25)*4</f>
        <v>24</v>
      </c>
      <c r="N919" s="1" t="s">
        <v>30</v>
      </c>
      <c r="O919" s="1" t="s">
        <v>31</v>
      </c>
      <c r="P919" s="1" t="n">
        <v>6</v>
      </c>
      <c r="Q919" s="1" t="n">
        <v>0</v>
      </c>
      <c r="R919" s="1" t="n">
        <v>0</v>
      </c>
      <c r="S919" s="1" t="n">
        <v>0</v>
      </c>
      <c r="T919" s="1" t="n">
        <v>0</v>
      </c>
      <c r="U919" s="1" t="n">
        <v>0</v>
      </c>
      <c r="V919" s="3" t="n">
        <f aca="false">SUM(P919:Q919)</f>
        <v>6</v>
      </c>
      <c r="W919" s="3" t="n">
        <f aca="false">SUM(R919:T919)</f>
        <v>0</v>
      </c>
      <c r="X919" s="10" t="n">
        <v>39969</v>
      </c>
      <c r="Y919" s="10" t="n">
        <v>39974</v>
      </c>
    </row>
    <row r="920" customFormat="false" ht="14.25" hidden="false" customHeight="false" outlineLevel="0" collapsed="false">
      <c r="A920" s="1" t="n">
        <v>2009</v>
      </c>
      <c r="B920" s="1" t="n">
        <v>1</v>
      </c>
      <c r="C920" s="2" t="s">
        <v>50</v>
      </c>
      <c r="D920" s="7" t="s">
        <v>51</v>
      </c>
      <c r="E920" s="1" t="n">
        <v>3</v>
      </c>
      <c r="F920" s="1" t="n">
        <f aca="false">Y920-X920</f>
        <v>5</v>
      </c>
      <c r="G920" s="1" t="n">
        <v>5</v>
      </c>
      <c r="H920" s="3" t="s">
        <v>48</v>
      </c>
      <c r="I920" s="3" t="s">
        <v>67</v>
      </c>
      <c r="J920" s="3" t="s">
        <v>127</v>
      </c>
      <c r="K920" s="2" t="str">
        <f aca="false">CONCATENATE(I920," ",J920)</f>
        <v>Pardosa lugubris</v>
      </c>
      <c r="L920" s="3" t="n">
        <f aca="false">SUM(P920:U920)</f>
        <v>13</v>
      </c>
      <c r="M920" s="11" t="n">
        <f aca="false">(L920/(F920*G920)*25)*4</f>
        <v>52</v>
      </c>
      <c r="N920" s="1" t="s">
        <v>30</v>
      </c>
      <c r="O920" s="1" t="s">
        <v>31</v>
      </c>
      <c r="P920" s="1" t="n">
        <v>13</v>
      </c>
      <c r="Q920" s="1" t="n">
        <v>0</v>
      </c>
      <c r="R920" s="1" t="n">
        <v>0</v>
      </c>
      <c r="S920" s="1" t="n">
        <v>0</v>
      </c>
      <c r="T920" s="1" t="n">
        <v>0</v>
      </c>
      <c r="U920" s="1" t="n">
        <v>0</v>
      </c>
      <c r="V920" s="3" t="n">
        <f aca="false">SUM(P920:Q920)</f>
        <v>13</v>
      </c>
      <c r="W920" s="3" t="n">
        <f aca="false">SUM(R920:T920)</f>
        <v>0</v>
      </c>
      <c r="X920" s="10" t="n">
        <v>39969</v>
      </c>
      <c r="Y920" s="10" t="n">
        <v>39974</v>
      </c>
    </row>
    <row r="921" customFormat="false" ht="14.25" hidden="false" customHeight="false" outlineLevel="0" collapsed="false">
      <c r="A921" s="1" t="n">
        <v>2009</v>
      </c>
      <c r="B921" s="1" t="n">
        <v>1</v>
      </c>
      <c r="C921" s="2" t="s">
        <v>50</v>
      </c>
      <c r="D921" s="7" t="s">
        <v>51</v>
      </c>
      <c r="E921" s="1" t="n">
        <v>3</v>
      </c>
      <c r="F921" s="1" t="n">
        <f aca="false">Y921-X921</f>
        <v>5</v>
      </c>
      <c r="G921" s="1" t="n">
        <v>5</v>
      </c>
      <c r="H921" s="3" t="s">
        <v>48</v>
      </c>
      <c r="I921" s="3" t="s">
        <v>67</v>
      </c>
      <c r="J921" s="3" t="s">
        <v>127</v>
      </c>
      <c r="K921" s="2" t="str">
        <f aca="false">CONCATENATE(I921," ",J921)</f>
        <v>Pardosa lugubris</v>
      </c>
      <c r="L921" s="3" t="n">
        <f aca="false">SUM(P921:U921)</f>
        <v>1</v>
      </c>
      <c r="M921" s="11" t="n">
        <f aca="false">(L921/(F921*G921)*25)*4</f>
        <v>4</v>
      </c>
      <c r="N921" s="1" t="s">
        <v>30</v>
      </c>
      <c r="O921" s="1" t="s">
        <v>35</v>
      </c>
      <c r="P921" s="1" t="n">
        <v>0</v>
      </c>
      <c r="Q921" s="1" t="n">
        <v>1</v>
      </c>
      <c r="R921" s="1" t="n">
        <v>0</v>
      </c>
      <c r="S921" s="1" t="n">
        <v>0</v>
      </c>
      <c r="T921" s="1" t="n">
        <v>0</v>
      </c>
      <c r="U921" s="1" t="n">
        <v>0</v>
      </c>
      <c r="V921" s="3" t="n">
        <f aca="false">SUM(P921:Q921)</f>
        <v>1</v>
      </c>
      <c r="W921" s="3" t="n">
        <f aca="false">SUM(R921:T921)</f>
        <v>0</v>
      </c>
      <c r="X921" s="10" t="n">
        <v>39969</v>
      </c>
      <c r="Y921" s="10" t="n">
        <v>39974</v>
      </c>
    </row>
    <row r="922" customFormat="false" ht="14.25" hidden="false" customHeight="false" outlineLevel="0" collapsed="false">
      <c r="A922" s="1" t="n">
        <v>2009</v>
      </c>
      <c r="B922" s="1" t="n">
        <v>1</v>
      </c>
      <c r="C922" s="2" t="s">
        <v>50</v>
      </c>
      <c r="D922" s="7" t="s">
        <v>51</v>
      </c>
      <c r="E922" s="1" t="n">
        <v>3</v>
      </c>
      <c r="F922" s="1" t="n">
        <f aca="false">Y922-X922</f>
        <v>5</v>
      </c>
      <c r="G922" s="1" t="n">
        <v>5</v>
      </c>
      <c r="H922" s="3" t="s">
        <v>48</v>
      </c>
      <c r="I922" s="3" t="s">
        <v>61</v>
      </c>
      <c r="J922" s="3" t="s">
        <v>38</v>
      </c>
      <c r="K922" s="2" t="str">
        <f aca="false">CONCATENATE(I922," ",J922)</f>
        <v>Trochosa sp</v>
      </c>
      <c r="L922" s="3" t="n">
        <f aca="false">SUM(P922:U922)</f>
        <v>1</v>
      </c>
      <c r="M922" s="11" t="n">
        <f aca="false">(L922/(F922*G922)*25)*4</f>
        <v>4</v>
      </c>
      <c r="N922" s="1" t="s">
        <v>19</v>
      </c>
      <c r="O922" s="1" t="s">
        <v>54</v>
      </c>
      <c r="P922" s="1" t="n">
        <v>0</v>
      </c>
      <c r="Q922" s="1" t="n">
        <v>0</v>
      </c>
      <c r="R922" s="1" t="n">
        <v>0</v>
      </c>
      <c r="S922" s="1" t="n">
        <v>0</v>
      </c>
      <c r="T922" s="1" t="n">
        <v>1</v>
      </c>
      <c r="U922" s="1" t="n">
        <v>0</v>
      </c>
      <c r="V922" s="3" t="n">
        <f aca="false">SUM(P922:Q922)</f>
        <v>0</v>
      </c>
      <c r="W922" s="3" t="n">
        <f aca="false">SUM(R922:T922)</f>
        <v>1</v>
      </c>
      <c r="X922" s="10" t="n">
        <v>39969</v>
      </c>
      <c r="Y922" s="10" t="n">
        <v>39974</v>
      </c>
    </row>
    <row r="923" customFormat="false" ht="14.25" hidden="false" customHeight="false" outlineLevel="0" collapsed="false">
      <c r="A923" s="1" t="n">
        <v>2009</v>
      </c>
      <c r="B923" s="1" t="n">
        <v>1</v>
      </c>
      <c r="C923" s="2" t="s">
        <v>50</v>
      </c>
      <c r="D923" s="7" t="s">
        <v>51</v>
      </c>
      <c r="E923" s="1" t="n">
        <v>3</v>
      </c>
      <c r="F923" s="1" t="n">
        <f aca="false">Y923-X923</f>
        <v>5</v>
      </c>
      <c r="G923" s="1" t="n">
        <v>5</v>
      </c>
      <c r="H923" s="3" t="s">
        <v>48</v>
      </c>
      <c r="I923" s="3" t="s">
        <v>57</v>
      </c>
      <c r="J923" s="3" t="s">
        <v>38</v>
      </c>
      <c r="K923" s="2" t="str">
        <f aca="false">CONCATENATE(I923," ",J923)</f>
        <v>Gen sp</v>
      </c>
      <c r="L923" s="3" t="n">
        <f aca="false">SUM(P923:U923)</f>
        <v>5</v>
      </c>
      <c r="M923" s="11" t="n">
        <f aca="false">(L923/(F923*G923)*25)*4</f>
        <v>20</v>
      </c>
      <c r="N923" s="1" t="s">
        <v>19</v>
      </c>
      <c r="O923" s="1" t="s">
        <v>54</v>
      </c>
      <c r="P923" s="1" t="n">
        <v>0</v>
      </c>
      <c r="Q923" s="1" t="n">
        <v>0</v>
      </c>
      <c r="R923" s="1" t="n">
        <v>0</v>
      </c>
      <c r="S923" s="1" t="n">
        <v>0</v>
      </c>
      <c r="T923" s="1" t="n">
        <v>5</v>
      </c>
      <c r="U923" s="1" t="n">
        <v>0</v>
      </c>
      <c r="V923" s="3" t="n">
        <f aca="false">SUM(P923:Q923)</f>
        <v>0</v>
      </c>
      <c r="W923" s="3" t="n">
        <f aca="false">SUM(R923:T923)</f>
        <v>5</v>
      </c>
      <c r="X923" s="10" t="n">
        <v>39969</v>
      </c>
      <c r="Y923" s="10" t="n">
        <v>39974</v>
      </c>
    </row>
    <row r="924" customFormat="false" ht="14.25" hidden="false" customHeight="false" outlineLevel="0" collapsed="false">
      <c r="A924" s="1" t="n">
        <v>2009</v>
      </c>
      <c r="B924" s="1" t="n">
        <v>1</v>
      </c>
      <c r="C924" s="2" t="s">
        <v>50</v>
      </c>
      <c r="D924" s="7" t="s">
        <v>51</v>
      </c>
      <c r="E924" s="1" t="n">
        <v>3</v>
      </c>
      <c r="F924" s="1" t="n">
        <f aca="false">Y924-X924</f>
        <v>5</v>
      </c>
      <c r="G924" s="1" t="n">
        <v>5</v>
      </c>
      <c r="H924" s="3" t="s">
        <v>72</v>
      </c>
      <c r="I924" s="3" t="s">
        <v>86</v>
      </c>
      <c r="J924" s="8" t="s">
        <v>87</v>
      </c>
      <c r="K924" s="2" t="str">
        <f aca="false">CONCATENATE(I924," ",J924)</f>
        <v>Haplodrassus soerenseni</v>
      </c>
      <c r="L924" s="3" t="n">
        <f aca="false">SUM(P924:U924)</f>
        <v>3</v>
      </c>
      <c r="M924" s="11" t="n">
        <f aca="false">(L924/(F924*G924)*25)*4</f>
        <v>12</v>
      </c>
      <c r="N924" s="1" t="s">
        <v>30</v>
      </c>
      <c r="O924" s="1" t="s">
        <v>31</v>
      </c>
      <c r="P924" s="1" t="n">
        <v>3</v>
      </c>
      <c r="Q924" s="1" t="n">
        <v>0</v>
      </c>
      <c r="R924" s="1" t="n">
        <v>0</v>
      </c>
      <c r="S924" s="1" t="n">
        <v>0</v>
      </c>
      <c r="T924" s="1" t="n">
        <v>0</v>
      </c>
      <c r="U924" s="1" t="n">
        <v>0</v>
      </c>
      <c r="V924" s="3" t="n">
        <f aca="false">SUM(P924:Q924)</f>
        <v>3</v>
      </c>
      <c r="W924" s="3" t="n">
        <f aca="false">SUM(R924:T924)</f>
        <v>0</v>
      </c>
      <c r="X924" s="10" t="n">
        <v>39969</v>
      </c>
      <c r="Y924" s="10" t="n">
        <v>39974</v>
      </c>
    </row>
    <row r="925" customFormat="false" ht="14.25" hidden="false" customHeight="false" outlineLevel="0" collapsed="false">
      <c r="A925" s="1" t="n">
        <v>2009</v>
      </c>
      <c r="B925" s="1" t="n">
        <v>1</v>
      </c>
      <c r="C925" s="2" t="s">
        <v>50</v>
      </c>
      <c r="D925" s="7" t="s">
        <v>51</v>
      </c>
      <c r="E925" s="1" t="n">
        <v>3</v>
      </c>
      <c r="F925" s="1" t="n">
        <f aca="false">Y925-X925</f>
        <v>5</v>
      </c>
      <c r="G925" s="1" t="n">
        <v>5</v>
      </c>
      <c r="H925" s="3" t="s">
        <v>72</v>
      </c>
      <c r="I925" s="3" t="s">
        <v>86</v>
      </c>
      <c r="J925" s="8" t="s">
        <v>87</v>
      </c>
      <c r="K925" s="2" t="str">
        <f aca="false">CONCATENATE(I925," ",J925)</f>
        <v>Haplodrassus soerenseni</v>
      </c>
      <c r="L925" s="3" t="n">
        <f aca="false">SUM(P925:U925)</f>
        <v>1</v>
      </c>
      <c r="M925" s="11" t="n">
        <f aca="false">(L925/(F925*G925)*25)*4</f>
        <v>4</v>
      </c>
      <c r="N925" s="1" t="s">
        <v>30</v>
      </c>
      <c r="O925" s="1" t="s">
        <v>35</v>
      </c>
      <c r="P925" s="1" t="n">
        <v>0</v>
      </c>
      <c r="Q925" s="1" t="n">
        <v>1</v>
      </c>
      <c r="R925" s="1" t="n">
        <v>0</v>
      </c>
      <c r="S925" s="1" t="n">
        <v>0</v>
      </c>
      <c r="T925" s="1" t="n">
        <v>0</v>
      </c>
      <c r="U925" s="1" t="n">
        <v>0</v>
      </c>
      <c r="V925" s="3" t="n">
        <f aca="false">SUM(P925:Q925)</f>
        <v>1</v>
      </c>
      <c r="W925" s="3" t="n">
        <f aca="false">SUM(R925:T925)</f>
        <v>0</v>
      </c>
      <c r="X925" s="10" t="n">
        <v>39969</v>
      </c>
      <c r="Y925" s="10" t="n">
        <v>39974</v>
      </c>
    </row>
    <row r="926" customFormat="false" ht="14.25" hidden="false" customHeight="false" outlineLevel="0" collapsed="false">
      <c r="A926" s="1" t="n">
        <v>2009</v>
      </c>
      <c r="B926" s="1" t="n">
        <v>1</v>
      </c>
      <c r="C926" s="2" t="s">
        <v>50</v>
      </c>
      <c r="D926" s="7" t="s">
        <v>51</v>
      </c>
      <c r="E926" s="1" t="n">
        <v>3</v>
      </c>
      <c r="F926" s="1" t="n">
        <f aca="false">Y926-X926</f>
        <v>5</v>
      </c>
      <c r="G926" s="1" t="n">
        <v>5</v>
      </c>
      <c r="H926" s="13" t="s">
        <v>195</v>
      </c>
      <c r="I926" s="13" t="s">
        <v>196</v>
      </c>
      <c r="J926" s="14" t="s">
        <v>197</v>
      </c>
      <c r="K926" s="2" t="str">
        <f aca="false">CONCATENATE(I926," ",J926)</f>
        <v>Pachygnatha listeri</v>
      </c>
      <c r="L926" s="3" t="n">
        <f aca="false">SUM(P926:U926)</f>
        <v>3</v>
      </c>
      <c r="M926" s="11" t="n">
        <f aca="false">(L926/(F926*G926)*25)*4</f>
        <v>12</v>
      </c>
      <c r="N926" s="1" t="s">
        <v>30</v>
      </c>
      <c r="O926" s="1" t="s">
        <v>35</v>
      </c>
      <c r="P926" s="1" t="n">
        <v>0</v>
      </c>
      <c r="Q926" s="1" t="n">
        <v>3</v>
      </c>
      <c r="R926" s="1" t="n">
        <v>0</v>
      </c>
      <c r="S926" s="1" t="n">
        <v>0</v>
      </c>
      <c r="T926" s="1" t="n">
        <v>0</v>
      </c>
      <c r="U926" s="1" t="n">
        <v>0</v>
      </c>
      <c r="V926" s="3" t="n">
        <f aca="false">SUM(P926:Q926)</f>
        <v>3</v>
      </c>
      <c r="W926" s="3" t="n">
        <f aca="false">SUM(R926:T926)</f>
        <v>0</v>
      </c>
      <c r="X926" s="10" t="n">
        <v>39969</v>
      </c>
      <c r="Y926" s="10" t="n">
        <v>39974</v>
      </c>
    </row>
    <row r="927" customFormat="false" ht="14.25" hidden="false" customHeight="false" outlineLevel="0" collapsed="false">
      <c r="A927" s="1" t="n">
        <v>2009</v>
      </c>
      <c r="B927" s="1" t="n">
        <v>1</v>
      </c>
      <c r="C927" s="2" t="s">
        <v>50</v>
      </c>
      <c r="D927" s="7" t="s">
        <v>51</v>
      </c>
      <c r="E927" s="1" t="n">
        <v>3</v>
      </c>
      <c r="F927" s="1" t="n">
        <f aca="false">Y927-X927</f>
        <v>5</v>
      </c>
      <c r="G927" s="1" t="n">
        <v>5</v>
      </c>
      <c r="H927" s="3" t="s">
        <v>36</v>
      </c>
      <c r="I927" s="3" t="s">
        <v>131</v>
      </c>
      <c r="J927" s="3" t="s">
        <v>133</v>
      </c>
      <c r="K927" s="2" t="str">
        <f aca="false">CONCATENATE(I927," ",J927)</f>
        <v>Xysticus luctuosus</v>
      </c>
      <c r="L927" s="3" t="n">
        <f aca="false">SUM(P927:U927)</f>
        <v>2</v>
      </c>
      <c r="M927" s="11" t="n">
        <f aca="false">(L927/(F927*G927)*25)*4</f>
        <v>8</v>
      </c>
      <c r="N927" s="1" t="s">
        <v>30</v>
      </c>
      <c r="O927" s="1" t="s">
        <v>31</v>
      </c>
      <c r="P927" s="1" t="n">
        <v>2</v>
      </c>
      <c r="Q927" s="1" t="n">
        <v>0</v>
      </c>
      <c r="R927" s="1" t="n">
        <v>0</v>
      </c>
      <c r="S927" s="1" t="n">
        <v>0</v>
      </c>
      <c r="T927" s="1" t="n">
        <v>0</v>
      </c>
      <c r="U927" s="1" t="n">
        <v>0</v>
      </c>
      <c r="V927" s="3" t="n">
        <f aca="false">SUM(P927:Q927)</f>
        <v>2</v>
      </c>
      <c r="W927" s="3" t="n">
        <f aca="false">SUM(R927:T927)</f>
        <v>0</v>
      </c>
      <c r="X927" s="10" t="n">
        <v>39969</v>
      </c>
      <c r="Y927" s="10" t="n">
        <v>39974</v>
      </c>
    </row>
    <row r="928" customFormat="false" ht="14.25" hidden="false" customHeight="false" outlineLevel="0" collapsed="false">
      <c r="A928" s="1" t="n">
        <v>2009</v>
      </c>
      <c r="B928" s="1" t="n">
        <v>1</v>
      </c>
      <c r="C928" s="2" t="s">
        <v>50</v>
      </c>
      <c r="D928" s="7" t="s">
        <v>51</v>
      </c>
      <c r="E928" s="1" t="n">
        <v>3</v>
      </c>
      <c r="F928" s="1" t="n">
        <f aca="false">Y928-X928</f>
        <v>5</v>
      </c>
      <c r="G928" s="1" t="n">
        <v>5</v>
      </c>
      <c r="H928" s="3" t="s">
        <v>32</v>
      </c>
      <c r="I928" s="3" t="s">
        <v>57</v>
      </c>
      <c r="J928" s="3" t="s">
        <v>38</v>
      </c>
      <c r="K928" s="2" t="str">
        <f aca="false">CONCATENATE(I928," ",J928)</f>
        <v>Gen sp</v>
      </c>
      <c r="L928" s="3" t="n">
        <f aca="false">SUM(P928:U928)</f>
        <v>2</v>
      </c>
      <c r="M928" s="11" t="n">
        <f aca="false">(L928/(F928*G928)*25)*4</f>
        <v>8</v>
      </c>
      <c r="N928" s="1" t="s">
        <v>19</v>
      </c>
      <c r="O928" s="1" t="s">
        <v>54</v>
      </c>
      <c r="P928" s="1" t="n">
        <v>0</v>
      </c>
      <c r="Q928" s="1" t="n">
        <v>0</v>
      </c>
      <c r="R928" s="1" t="n">
        <v>0</v>
      </c>
      <c r="S928" s="1" t="n">
        <v>0</v>
      </c>
      <c r="T928" s="1" t="n">
        <v>2</v>
      </c>
      <c r="U928" s="1" t="n">
        <v>0</v>
      </c>
      <c r="V928" s="3" t="n">
        <f aca="false">SUM(P928:Q928)</f>
        <v>0</v>
      </c>
      <c r="W928" s="3" t="n">
        <f aca="false">SUM(R928:T928)</f>
        <v>2</v>
      </c>
      <c r="X928" s="10" t="n">
        <v>39969</v>
      </c>
      <c r="Y928" s="10" t="n">
        <v>39974</v>
      </c>
    </row>
    <row r="929" customFormat="false" ht="14.25" hidden="false" customHeight="false" outlineLevel="0" collapsed="false">
      <c r="A929" s="1" t="n">
        <v>2009</v>
      </c>
      <c r="B929" s="1" t="n">
        <v>1</v>
      </c>
      <c r="C929" s="2" t="s">
        <v>50</v>
      </c>
      <c r="D929" s="7" t="s">
        <v>98</v>
      </c>
      <c r="E929" s="1" t="n">
        <v>1</v>
      </c>
      <c r="F929" s="1" t="n">
        <f aca="false">Y929-X929</f>
        <v>5</v>
      </c>
      <c r="G929" s="1" t="n">
        <v>4</v>
      </c>
      <c r="H929" s="3" t="s">
        <v>48</v>
      </c>
      <c r="I929" s="3" t="s">
        <v>49</v>
      </c>
      <c r="J929" s="3" t="s">
        <v>104</v>
      </c>
      <c r="K929" s="2" t="str">
        <f aca="false">CONCATENATE(I929," ",J929)</f>
        <v>Alopecosa taeniata</v>
      </c>
      <c r="L929" s="3" t="n">
        <f aca="false">SUM(P929:U929)</f>
        <v>4</v>
      </c>
      <c r="M929" s="11" t="n">
        <f aca="false">(L929/(F929*G929)*25)*4</f>
        <v>20</v>
      </c>
      <c r="N929" s="1" t="s">
        <v>30</v>
      </c>
      <c r="O929" s="1" t="s">
        <v>31</v>
      </c>
      <c r="P929" s="1" t="n">
        <v>4</v>
      </c>
      <c r="Q929" s="1" t="n">
        <v>0</v>
      </c>
      <c r="R929" s="1" t="n">
        <v>0</v>
      </c>
      <c r="S929" s="1" t="n">
        <v>0</v>
      </c>
      <c r="T929" s="1" t="n">
        <v>0</v>
      </c>
      <c r="U929" s="1" t="n">
        <v>0</v>
      </c>
      <c r="V929" s="3" t="n">
        <f aca="false">SUM(P929:Q929)</f>
        <v>4</v>
      </c>
      <c r="W929" s="3" t="n">
        <f aca="false">SUM(R929:T929)</f>
        <v>0</v>
      </c>
      <c r="X929" s="10" t="n">
        <v>39970</v>
      </c>
      <c r="Y929" s="10" t="n">
        <v>39975</v>
      </c>
    </row>
    <row r="930" customFormat="false" ht="14.25" hidden="false" customHeight="false" outlineLevel="0" collapsed="false">
      <c r="A930" s="1" t="n">
        <v>2009</v>
      </c>
      <c r="B930" s="1" t="n">
        <v>1</v>
      </c>
      <c r="C930" s="2" t="s">
        <v>50</v>
      </c>
      <c r="D930" s="7" t="s">
        <v>98</v>
      </c>
      <c r="E930" s="1" t="n">
        <v>1</v>
      </c>
      <c r="F930" s="1" t="n">
        <f aca="false">Y930-X930</f>
        <v>5</v>
      </c>
      <c r="G930" s="1" t="n">
        <v>4</v>
      </c>
      <c r="H930" s="3" t="s">
        <v>48</v>
      </c>
      <c r="I930" s="3" t="s">
        <v>49</v>
      </c>
      <c r="J930" s="3" t="s">
        <v>104</v>
      </c>
      <c r="K930" s="2" t="str">
        <f aca="false">CONCATENATE(I930," ",J930)</f>
        <v>Alopecosa taeniata</v>
      </c>
      <c r="L930" s="3" t="n">
        <f aca="false">SUM(P930:U930)</f>
        <v>1</v>
      </c>
      <c r="M930" s="11" t="n">
        <f aca="false">(L930/(F930*G930)*25)*4</f>
        <v>5</v>
      </c>
      <c r="N930" s="1" t="s">
        <v>30</v>
      </c>
      <c r="O930" s="1" t="s">
        <v>35</v>
      </c>
      <c r="P930" s="1" t="n">
        <v>0</v>
      </c>
      <c r="Q930" s="1" t="n">
        <v>1</v>
      </c>
      <c r="R930" s="1" t="n">
        <v>0</v>
      </c>
      <c r="S930" s="1" t="n">
        <v>0</v>
      </c>
      <c r="T930" s="1" t="n">
        <v>0</v>
      </c>
      <c r="U930" s="1" t="n">
        <v>0</v>
      </c>
      <c r="V930" s="3" t="n">
        <f aca="false">SUM(P930:Q930)</f>
        <v>1</v>
      </c>
      <c r="W930" s="3" t="n">
        <f aca="false">SUM(R930:T930)</f>
        <v>0</v>
      </c>
      <c r="X930" s="10" t="n">
        <v>39970</v>
      </c>
      <c r="Y930" s="10" t="n">
        <v>39975</v>
      </c>
    </row>
    <row r="931" customFormat="false" ht="14.25" hidden="false" customHeight="false" outlineLevel="0" collapsed="false">
      <c r="A931" s="1" t="n">
        <v>2009</v>
      </c>
      <c r="B931" s="1" t="n">
        <v>1</v>
      </c>
      <c r="C931" s="2" t="s">
        <v>50</v>
      </c>
      <c r="D931" s="7" t="s">
        <v>98</v>
      </c>
      <c r="E931" s="1" t="n">
        <v>1</v>
      </c>
      <c r="F931" s="1" t="n">
        <f aca="false">Y931-X931</f>
        <v>5</v>
      </c>
      <c r="G931" s="1" t="n">
        <v>4</v>
      </c>
      <c r="H931" s="3" t="s">
        <v>48</v>
      </c>
      <c r="I931" s="3" t="s">
        <v>67</v>
      </c>
      <c r="J931" s="3" t="s">
        <v>127</v>
      </c>
      <c r="K931" s="2" t="str">
        <f aca="false">CONCATENATE(I931," ",J931)</f>
        <v>Pardosa lugubris</v>
      </c>
      <c r="L931" s="3" t="n">
        <f aca="false">SUM(P931:U931)</f>
        <v>7</v>
      </c>
      <c r="M931" s="11" t="n">
        <f aca="false">(L931/(F931*G931)*25)*4</f>
        <v>35</v>
      </c>
      <c r="N931" s="1" t="s">
        <v>30</v>
      </c>
      <c r="O931" s="1" t="s">
        <v>31</v>
      </c>
      <c r="P931" s="1" t="n">
        <v>7</v>
      </c>
      <c r="Q931" s="1" t="n">
        <v>0</v>
      </c>
      <c r="R931" s="1" t="n">
        <v>0</v>
      </c>
      <c r="S931" s="1" t="n">
        <v>0</v>
      </c>
      <c r="T931" s="1" t="n">
        <v>0</v>
      </c>
      <c r="U931" s="1" t="n">
        <v>0</v>
      </c>
      <c r="V931" s="3" t="n">
        <f aca="false">SUM(P931:Q931)</f>
        <v>7</v>
      </c>
      <c r="W931" s="3" t="n">
        <f aca="false">SUM(R931:T931)</f>
        <v>0</v>
      </c>
      <c r="X931" s="10" t="n">
        <v>39970</v>
      </c>
      <c r="Y931" s="10" t="n">
        <v>39975</v>
      </c>
    </row>
    <row r="932" customFormat="false" ht="14.25" hidden="false" customHeight="false" outlineLevel="0" collapsed="false">
      <c r="A932" s="1" t="n">
        <v>2009</v>
      </c>
      <c r="B932" s="1" t="n">
        <v>1</v>
      </c>
      <c r="C932" s="2" t="s">
        <v>50</v>
      </c>
      <c r="D932" s="7" t="s">
        <v>98</v>
      </c>
      <c r="E932" s="1" t="n">
        <v>1</v>
      </c>
      <c r="F932" s="1" t="n">
        <f aca="false">Y932-X932</f>
        <v>5</v>
      </c>
      <c r="G932" s="1" t="n">
        <v>4</v>
      </c>
      <c r="H932" s="3" t="s">
        <v>48</v>
      </c>
      <c r="I932" s="3" t="s">
        <v>61</v>
      </c>
      <c r="J932" s="3" t="s">
        <v>38</v>
      </c>
      <c r="K932" s="2" t="str">
        <f aca="false">CONCATENATE(I932," ",J932)</f>
        <v>Trochosa sp</v>
      </c>
      <c r="L932" s="3" t="n">
        <f aca="false">SUM(P932:U932)</f>
        <v>2</v>
      </c>
      <c r="M932" s="11" t="n">
        <f aca="false">(L932/(F932*G932)*25)*4</f>
        <v>10</v>
      </c>
      <c r="N932" s="1" t="s">
        <v>19</v>
      </c>
      <c r="O932" s="1" t="s">
        <v>54</v>
      </c>
      <c r="P932" s="1" t="n">
        <v>0</v>
      </c>
      <c r="Q932" s="1" t="n">
        <v>0</v>
      </c>
      <c r="R932" s="1" t="n">
        <v>0</v>
      </c>
      <c r="S932" s="1" t="n">
        <v>0</v>
      </c>
      <c r="T932" s="1" t="n">
        <v>2</v>
      </c>
      <c r="U932" s="1" t="n">
        <v>0</v>
      </c>
      <c r="V932" s="3" t="n">
        <f aca="false">SUM(P932:Q932)</f>
        <v>0</v>
      </c>
      <c r="W932" s="3" t="n">
        <f aca="false">SUM(R932:T932)</f>
        <v>2</v>
      </c>
      <c r="X932" s="10" t="n">
        <v>39970</v>
      </c>
      <c r="Y932" s="10" t="n">
        <v>39975</v>
      </c>
    </row>
    <row r="933" customFormat="false" ht="14.25" hidden="false" customHeight="false" outlineLevel="0" collapsed="false">
      <c r="A933" s="1" t="n">
        <v>2009</v>
      </c>
      <c r="B933" s="1" t="n">
        <v>1</v>
      </c>
      <c r="C933" s="2" t="s">
        <v>50</v>
      </c>
      <c r="D933" s="7" t="s">
        <v>98</v>
      </c>
      <c r="E933" s="1" t="n">
        <v>1</v>
      </c>
      <c r="F933" s="1" t="n">
        <f aca="false">Y933-X933</f>
        <v>5</v>
      </c>
      <c r="G933" s="1" t="n">
        <v>4</v>
      </c>
      <c r="H933" s="3" t="s">
        <v>72</v>
      </c>
      <c r="I933" s="3" t="s">
        <v>86</v>
      </c>
      <c r="J933" s="8" t="s">
        <v>87</v>
      </c>
      <c r="K933" s="2" t="str">
        <f aca="false">CONCATENATE(I933," ",J933)</f>
        <v>Haplodrassus soerenseni</v>
      </c>
      <c r="L933" s="3" t="n">
        <f aca="false">SUM(P933:U933)</f>
        <v>2</v>
      </c>
      <c r="M933" s="11" t="n">
        <f aca="false">(L933/(F933*G933)*25)*4</f>
        <v>10</v>
      </c>
      <c r="N933" s="1" t="s">
        <v>30</v>
      </c>
      <c r="O933" s="1" t="s">
        <v>31</v>
      </c>
      <c r="P933" s="1" t="n">
        <v>2</v>
      </c>
      <c r="Q933" s="1" t="n">
        <v>0</v>
      </c>
      <c r="R933" s="1" t="n">
        <v>0</v>
      </c>
      <c r="S933" s="1" t="n">
        <v>0</v>
      </c>
      <c r="T933" s="1" t="n">
        <v>0</v>
      </c>
      <c r="U933" s="1" t="n">
        <v>0</v>
      </c>
      <c r="V933" s="3" t="n">
        <f aca="false">SUM(P933:Q933)</f>
        <v>2</v>
      </c>
      <c r="W933" s="3" t="n">
        <f aca="false">SUM(R933:T933)</f>
        <v>0</v>
      </c>
      <c r="X933" s="10" t="n">
        <v>39970</v>
      </c>
      <c r="Y933" s="10" t="n">
        <v>39975</v>
      </c>
    </row>
    <row r="934" customFormat="false" ht="14.25" hidden="false" customHeight="false" outlineLevel="0" collapsed="false">
      <c r="A934" s="1" t="n">
        <v>2009</v>
      </c>
      <c r="B934" s="1" t="n">
        <v>1</v>
      </c>
      <c r="C934" s="2" t="s">
        <v>50</v>
      </c>
      <c r="D934" s="7" t="s">
        <v>98</v>
      </c>
      <c r="E934" s="1" t="n">
        <v>1</v>
      </c>
      <c r="F934" s="1" t="n">
        <f aca="false">Y934-X934</f>
        <v>5</v>
      </c>
      <c r="G934" s="1" t="n">
        <v>4</v>
      </c>
      <c r="H934" s="3" t="s">
        <v>64</v>
      </c>
      <c r="I934" s="3" t="s">
        <v>65</v>
      </c>
      <c r="J934" s="3" t="s">
        <v>123</v>
      </c>
      <c r="K934" s="2" t="str">
        <f aca="false">CONCATENATE(I934," ",J934)</f>
        <v>Zora nemoralis</v>
      </c>
      <c r="L934" s="3" t="n">
        <f aca="false">SUM(P934:U934)</f>
        <v>1</v>
      </c>
      <c r="M934" s="11" t="n">
        <f aca="false">(L934/(F934*G934)*25)*4</f>
        <v>5</v>
      </c>
      <c r="N934" s="1" t="s">
        <v>30</v>
      </c>
      <c r="O934" s="1" t="s">
        <v>31</v>
      </c>
      <c r="P934" s="1" t="n">
        <v>1</v>
      </c>
      <c r="Q934" s="1" t="n">
        <v>0</v>
      </c>
      <c r="R934" s="1" t="n">
        <v>0</v>
      </c>
      <c r="S934" s="1" t="n">
        <v>0</v>
      </c>
      <c r="T934" s="1" t="n">
        <v>0</v>
      </c>
      <c r="U934" s="1" t="n">
        <v>0</v>
      </c>
      <c r="V934" s="3" t="n">
        <f aca="false">SUM(P934:Q934)</f>
        <v>1</v>
      </c>
      <c r="W934" s="3" t="n">
        <f aca="false">SUM(R934:T934)</f>
        <v>0</v>
      </c>
      <c r="X934" s="10" t="n">
        <v>39970</v>
      </c>
      <c r="Y934" s="10" t="n">
        <v>39975</v>
      </c>
    </row>
    <row r="935" customFormat="false" ht="14.25" hidden="false" customHeight="false" outlineLevel="0" collapsed="false">
      <c r="A935" s="1" t="n">
        <v>2009</v>
      </c>
      <c r="B935" s="1" t="n">
        <v>1</v>
      </c>
      <c r="C935" s="2" t="s">
        <v>50</v>
      </c>
      <c r="D935" s="7" t="s">
        <v>98</v>
      </c>
      <c r="E935" s="1" t="n">
        <v>1</v>
      </c>
      <c r="F935" s="1" t="n">
        <f aca="false">Y935-X935</f>
        <v>5</v>
      </c>
      <c r="G935" s="1" t="n">
        <v>4</v>
      </c>
      <c r="H935" s="13" t="s">
        <v>195</v>
      </c>
      <c r="I935" s="13" t="s">
        <v>196</v>
      </c>
      <c r="J935" s="14" t="s">
        <v>197</v>
      </c>
      <c r="K935" s="2" t="str">
        <f aca="false">CONCATENATE(I935," ",J935)</f>
        <v>Pachygnatha listeri</v>
      </c>
      <c r="L935" s="3" t="n">
        <f aca="false">SUM(P935:U935)</f>
        <v>1</v>
      </c>
      <c r="M935" s="11" t="n">
        <f aca="false">(L935/(F935*G935)*25)*4</f>
        <v>5</v>
      </c>
      <c r="N935" s="1" t="s">
        <v>30</v>
      </c>
      <c r="O935" s="1" t="s">
        <v>35</v>
      </c>
      <c r="P935" s="1" t="n">
        <v>0</v>
      </c>
      <c r="Q935" s="1" t="n">
        <v>1</v>
      </c>
      <c r="R935" s="1" t="n">
        <v>0</v>
      </c>
      <c r="S935" s="1" t="n">
        <v>0</v>
      </c>
      <c r="T935" s="1" t="n">
        <v>0</v>
      </c>
      <c r="U935" s="1" t="n">
        <v>0</v>
      </c>
      <c r="V935" s="3" t="n">
        <f aca="false">SUM(P935:Q935)</f>
        <v>1</v>
      </c>
      <c r="W935" s="3" t="n">
        <f aca="false">SUM(R935:T935)</f>
        <v>0</v>
      </c>
      <c r="X935" s="10" t="n">
        <v>39970</v>
      </c>
      <c r="Y935" s="10" t="n">
        <v>39975</v>
      </c>
    </row>
    <row r="936" customFormat="false" ht="14.25" hidden="false" customHeight="false" outlineLevel="0" collapsed="false">
      <c r="A936" s="1" t="n">
        <v>2009</v>
      </c>
      <c r="B936" s="1" t="n">
        <v>1</v>
      </c>
      <c r="C936" s="2" t="s">
        <v>50</v>
      </c>
      <c r="D936" s="7" t="s">
        <v>98</v>
      </c>
      <c r="E936" s="1" t="n">
        <v>1</v>
      </c>
      <c r="F936" s="1" t="n">
        <f aca="false">Y936-X936</f>
        <v>5</v>
      </c>
      <c r="G936" s="1" t="n">
        <v>4</v>
      </c>
      <c r="H936" s="3" t="s">
        <v>36</v>
      </c>
      <c r="I936" s="3" t="s">
        <v>131</v>
      </c>
      <c r="J936" s="3" t="s">
        <v>133</v>
      </c>
      <c r="K936" s="2" t="str">
        <f aca="false">CONCATENATE(I936," ",J936)</f>
        <v>Xysticus luctuosus</v>
      </c>
      <c r="L936" s="3" t="n">
        <f aca="false">SUM(P936:U936)</f>
        <v>1</v>
      </c>
      <c r="M936" s="11" t="n">
        <f aca="false">(L936/(F936*G936)*25)*4</f>
        <v>5</v>
      </c>
      <c r="N936" s="1" t="s">
        <v>30</v>
      </c>
      <c r="O936" s="1" t="s">
        <v>31</v>
      </c>
      <c r="P936" s="1" t="n">
        <v>1</v>
      </c>
      <c r="Q936" s="1" t="n">
        <v>0</v>
      </c>
      <c r="R936" s="1" t="n">
        <v>0</v>
      </c>
      <c r="S936" s="1" t="n">
        <v>0</v>
      </c>
      <c r="T936" s="1" t="n">
        <v>0</v>
      </c>
      <c r="U936" s="1" t="n">
        <v>0</v>
      </c>
      <c r="V936" s="3" t="n">
        <f aca="false">SUM(P936:Q936)</f>
        <v>1</v>
      </c>
      <c r="W936" s="3" t="n">
        <f aca="false">SUM(R936:T936)</f>
        <v>0</v>
      </c>
      <c r="X936" s="10" t="n">
        <v>39970</v>
      </c>
      <c r="Y936" s="10" t="n">
        <v>39975</v>
      </c>
    </row>
    <row r="937" customFormat="false" ht="14.25" hidden="false" customHeight="false" outlineLevel="0" collapsed="false">
      <c r="A937" s="1" t="n">
        <v>2009</v>
      </c>
      <c r="B937" s="1" t="n">
        <v>1</v>
      </c>
      <c r="C937" s="2" t="s">
        <v>50</v>
      </c>
      <c r="D937" s="7" t="s">
        <v>98</v>
      </c>
      <c r="E937" s="1" t="n">
        <v>1</v>
      </c>
      <c r="F937" s="1" t="n">
        <f aca="false">Y937-X937</f>
        <v>5</v>
      </c>
      <c r="G937" s="1" t="n">
        <v>4</v>
      </c>
      <c r="H937" s="3" t="s">
        <v>36</v>
      </c>
      <c r="I937" s="3" t="s">
        <v>131</v>
      </c>
      <c r="J937" s="3" t="s">
        <v>199</v>
      </c>
      <c r="K937" s="2" t="str">
        <f aca="false">CONCATENATE(I937," ",J937)</f>
        <v>Xysticus obscurus</v>
      </c>
      <c r="L937" s="3" t="n">
        <f aca="false">SUM(P937:U937)</f>
        <v>1</v>
      </c>
      <c r="M937" s="11" t="n">
        <f aca="false">(L937/(F937*G937)*25)*4</f>
        <v>5</v>
      </c>
      <c r="N937" s="1" t="s">
        <v>30</v>
      </c>
      <c r="O937" s="1" t="s">
        <v>31</v>
      </c>
      <c r="P937" s="1" t="n">
        <v>1</v>
      </c>
      <c r="Q937" s="1" t="n">
        <v>0</v>
      </c>
      <c r="R937" s="1" t="n">
        <v>0</v>
      </c>
      <c r="S937" s="1" t="n">
        <v>0</v>
      </c>
      <c r="T937" s="1" t="n">
        <v>0</v>
      </c>
      <c r="U937" s="1" t="n">
        <v>0</v>
      </c>
      <c r="V937" s="3" t="n">
        <f aca="false">SUM(P937:Q937)</f>
        <v>1</v>
      </c>
      <c r="W937" s="3" t="n">
        <f aca="false">SUM(R937:T937)</f>
        <v>0</v>
      </c>
      <c r="X937" s="10" t="n">
        <v>39970</v>
      </c>
      <c r="Y937" s="10" t="n">
        <v>39975</v>
      </c>
    </row>
    <row r="938" customFormat="false" ht="14.25" hidden="false" customHeight="false" outlineLevel="0" collapsed="false">
      <c r="A938" s="1" t="n">
        <v>2009</v>
      </c>
      <c r="B938" s="1" t="n">
        <v>1</v>
      </c>
      <c r="C938" s="2" t="s">
        <v>50</v>
      </c>
      <c r="D938" s="7" t="s">
        <v>98</v>
      </c>
      <c r="E938" s="1" t="n">
        <v>1</v>
      </c>
      <c r="F938" s="1" t="n">
        <f aca="false">Y938-X938</f>
        <v>5</v>
      </c>
      <c r="G938" s="1" t="n">
        <v>4</v>
      </c>
      <c r="H938" s="3" t="s">
        <v>32</v>
      </c>
      <c r="I938" s="3" t="s">
        <v>107</v>
      </c>
      <c r="J938" s="3" t="s">
        <v>108</v>
      </c>
      <c r="K938" s="2" t="str">
        <f aca="false">CONCATENATE(I938," ",J938)</f>
        <v>Macrargus rufus</v>
      </c>
      <c r="L938" s="3" t="n">
        <f aca="false">SUM(P938:U938)</f>
        <v>1</v>
      </c>
      <c r="M938" s="11" t="n">
        <f aca="false">(L938/(F938*G938)*25)*4</f>
        <v>5</v>
      </c>
      <c r="N938" s="1" t="s">
        <v>30</v>
      </c>
      <c r="O938" s="1" t="s">
        <v>35</v>
      </c>
      <c r="P938" s="1" t="n">
        <v>0</v>
      </c>
      <c r="Q938" s="1" t="n">
        <v>1</v>
      </c>
      <c r="R938" s="1" t="n">
        <v>0</v>
      </c>
      <c r="S938" s="1" t="n">
        <v>0</v>
      </c>
      <c r="T938" s="1" t="n">
        <v>0</v>
      </c>
      <c r="U938" s="1" t="n">
        <v>0</v>
      </c>
      <c r="V938" s="3" t="n">
        <f aca="false">SUM(P938:Q938)</f>
        <v>1</v>
      </c>
      <c r="W938" s="3" t="n">
        <f aca="false">SUM(R938:T938)</f>
        <v>0</v>
      </c>
      <c r="X938" s="10" t="n">
        <v>39970</v>
      </c>
      <c r="Y938" s="10" t="n">
        <v>39975</v>
      </c>
    </row>
    <row r="939" customFormat="false" ht="14.25" hidden="false" customHeight="false" outlineLevel="0" collapsed="false">
      <c r="A939" s="1" t="n">
        <v>2009</v>
      </c>
      <c r="B939" s="1" t="n">
        <v>1</v>
      </c>
      <c r="C939" s="2" t="s">
        <v>50</v>
      </c>
      <c r="D939" s="7" t="s">
        <v>98</v>
      </c>
      <c r="E939" s="1" t="n">
        <v>1</v>
      </c>
      <c r="F939" s="1" t="n">
        <f aca="false">Y939-X939</f>
        <v>5</v>
      </c>
      <c r="G939" s="1" t="n">
        <v>4</v>
      </c>
      <c r="H939" s="3" t="s">
        <v>48</v>
      </c>
      <c r="I939" s="3" t="s">
        <v>49</v>
      </c>
      <c r="J939" s="3" t="s">
        <v>104</v>
      </c>
      <c r="K939" s="2" t="str">
        <f aca="false">CONCATENATE(I939," ",J939)</f>
        <v>Alopecosa taeniata</v>
      </c>
      <c r="L939" s="3" t="n">
        <f aca="false">SUM(P939:U939)</f>
        <v>3</v>
      </c>
      <c r="M939" s="11" t="n">
        <f aca="false">(L939/(F939*G939)*25)*4</f>
        <v>15</v>
      </c>
      <c r="N939" s="1" t="s">
        <v>30</v>
      </c>
      <c r="O939" s="1" t="s">
        <v>31</v>
      </c>
      <c r="P939" s="1" t="n">
        <v>3</v>
      </c>
      <c r="Q939" s="1" t="n">
        <v>0</v>
      </c>
      <c r="R939" s="1" t="n">
        <v>0</v>
      </c>
      <c r="S939" s="1" t="n">
        <v>0</v>
      </c>
      <c r="T939" s="1" t="n">
        <v>0</v>
      </c>
      <c r="U939" s="1" t="n">
        <v>0</v>
      </c>
      <c r="V939" s="3" t="n">
        <f aca="false">SUM(P939:Q939)</f>
        <v>3</v>
      </c>
      <c r="W939" s="3" t="n">
        <f aca="false">SUM(R939:T939)</f>
        <v>0</v>
      </c>
      <c r="X939" s="10" t="n">
        <v>39970</v>
      </c>
      <c r="Y939" s="10" t="n">
        <v>39975</v>
      </c>
    </row>
    <row r="940" customFormat="false" ht="14.25" hidden="false" customHeight="false" outlineLevel="0" collapsed="false">
      <c r="A940" s="1" t="n">
        <v>2009</v>
      </c>
      <c r="B940" s="1" t="n">
        <v>1</v>
      </c>
      <c r="C940" s="2" t="s">
        <v>50</v>
      </c>
      <c r="D940" s="7" t="s">
        <v>98</v>
      </c>
      <c r="E940" s="1" t="n">
        <v>1</v>
      </c>
      <c r="F940" s="1" t="n">
        <f aca="false">Y940-X940</f>
        <v>5</v>
      </c>
      <c r="G940" s="1" t="n">
        <v>4</v>
      </c>
      <c r="H940" s="3" t="s">
        <v>48</v>
      </c>
      <c r="I940" s="3" t="s">
        <v>49</v>
      </c>
      <c r="J940" s="3" t="s">
        <v>104</v>
      </c>
      <c r="K940" s="2" t="str">
        <f aca="false">CONCATENATE(I940," ",J940)</f>
        <v>Alopecosa taeniata</v>
      </c>
      <c r="L940" s="3" t="n">
        <f aca="false">SUM(P940:U940)</f>
        <v>2</v>
      </c>
      <c r="M940" s="11" t="n">
        <f aca="false">(L940/(F940*G940)*25)*4</f>
        <v>10</v>
      </c>
      <c r="N940" s="1" t="s">
        <v>30</v>
      </c>
      <c r="O940" s="1" t="s">
        <v>35</v>
      </c>
      <c r="P940" s="1" t="n">
        <v>0</v>
      </c>
      <c r="Q940" s="1" t="n">
        <v>2</v>
      </c>
      <c r="R940" s="1" t="n">
        <v>0</v>
      </c>
      <c r="S940" s="1" t="n">
        <v>0</v>
      </c>
      <c r="T940" s="1" t="n">
        <v>0</v>
      </c>
      <c r="U940" s="1" t="n">
        <v>0</v>
      </c>
      <c r="V940" s="3" t="n">
        <f aca="false">SUM(P940:Q940)</f>
        <v>2</v>
      </c>
      <c r="W940" s="3" t="n">
        <f aca="false">SUM(R940:T940)</f>
        <v>0</v>
      </c>
      <c r="X940" s="10" t="n">
        <v>39970</v>
      </c>
      <c r="Y940" s="10" t="n">
        <v>39975</v>
      </c>
    </row>
    <row r="941" customFormat="false" ht="14.25" hidden="false" customHeight="false" outlineLevel="0" collapsed="false">
      <c r="A941" s="1" t="n">
        <v>2009</v>
      </c>
      <c r="B941" s="1" t="n">
        <v>1</v>
      </c>
      <c r="C941" s="2" t="s">
        <v>50</v>
      </c>
      <c r="D941" s="7" t="s">
        <v>98</v>
      </c>
      <c r="E941" s="1" t="n">
        <v>1</v>
      </c>
      <c r="F941" s="1" t="n">
        <f aca="false">Y941-X941</f>
        <v>5</v>
      </c>
      <c r="G941" s="1" t="n">
        <v>4</v>
      </c>
      <c r="H941" s="3" t="s">
        <v>48</v>
      </c>
      <c r="I941" s="3" t="s">
        <v>67</v>
      </c>
      <c r="J941" s="3" t="s">
        <v>127</v>
      </c>
      <c r="K941" s="2" t="str">
        <f aca="false">CONCATENATE(I941," ",J941)</f>
        <v>Pardosa lugubris</v>
      </c>
      <c r="L941" s="3" t="n">
        <f aca="false">SUM(P941:U941)</f>
        <v>3</v>
      </c>
      <c r="M941" s="11" t="n">
        <f aca="false">(L941/(F941*G941)*25)*4</f>
        <v>15</v>
      </c>
      <c r="N941" s="1" t="s">
        <v>30</v>
      </c>
      <c r="O941" s="1" t="s">
        <v>31</v>
      </c>
      <c r="P941" s="1" t="n">
        <v>3</v>
      </c>
      <c r="Q941" s="1" t="n">
        <v>0</v>
      </c>
      <c r="R941" s="1" t="n">
        <v>0</v>
      </c>
      <c r="S941" s="1" t="n">
        <v>0</v>
      </c>
      <c r="T941" s="1" t="n">
        <v>0</v>
      </c>
      <c r="U941" s="1" t="n">
        <v>0</v>
      </c>
      <c r="V941" s="3" t="n">
        <f aca="false">SUM(P941:Q941)</f>
        <v>3</v>
      </c>
      <c r="W941" s="3" t="n">
        <f aca="false">SUM(R941:T941)</f>
        <v>0</v>
      </c>
      <c r="X941" s="10" t="n">
        <v>39970</v>
      </c>
      <c r="Y941" s="10" t="n">
        <v>39975</v>
      </c>
    </row>
    <row r="942" customFormat="false" ht="14.25" hidden="false" customHeight="false" outlineLevel="0" collapsed="false">
      <c r="A942" s="1" t="n">
        <v>2009</v>
      </c>
      <c r="B942" s="1" t="n">
        <v>1</v>
      </c>
      <c r="C942" s="2" t="s">
        <v>50</v>
      </c>
      <c r="D942" s="7" t="s">
        <v>98</v>
      </c>
      <c r="E942" s="1" t="n">
        <v>1</v>
      </c>
      <c r="F942" s="1" t="n">
        <f aca="false">Y942-X942</f>
        <v>5</v>
      </c>
      <c r="G942" s="1" t="n">
        <v>4</v>
      </c>
      <c r="H942" s="3" t="s">
        <v>48</v>
      </c>
      <c r="I942" s="3" t="s">
        <v>67</v>
      </c>
      <c r="J942" s="3" t="s">
        <v>127</v>
      </c>
      <c r="K942" s="2" t="str">
        <f aca="false">CONCATENATE(I942," ",J942)</f>
        <v>Pardosa lugubris</v>
      </c>
      <c r="L942" s="3" t="n">
        <f aca="false">SUM(P942:U942)</f>
        <v>1</v>
      </c>
      <c r="M942" s="11" t="n">
        <f aca="false">(L942/(F942*G942)*25)*4</f>
        <v>5</v>
      </c>
      <c r="N942" s="1" t="s">
        <v>30</v>
      </c>
      <c r="O942" s="1" t="s">
        <v>35</v>
      </c>
      <c r="P942" s="1" t="n">
        <v>0</v>
      </c>
      <c r="Q942" s="1" t="n">
        <v>1</v>
      </c>
      <c r="R942" s="1" t="n">
        <v>0</v>
      </c>
      <c r="S942" s="1" t="n">
        <v>0</v>
      </c>
      <c r="T942" s="1" t="n">
        <v>0</v>
      </c>
      <c r="U942" s="1" t="n">
        <v>0</v>
      </c>
      <c r="V942" s="3" t="n">
        <f aca="false">SUM(P942:Q942)</f>
        <v>1</v>
      </c>
      <c r="W942" s="3" t="n">
        <f aca="false">SUM(R942:T942)</f>
        <v>0</v>
      </c>
      <c r="X942" s="10" t="n">
        <v>39970</v>
      </c>
      <c r="Y942" s="10" t="n">
        <v>39975</v>
      </c>
    </row>
    <row r="943" customFormat="false" ht="14.25" hidden="false" customHeight="false" outlineLevel="0" collapsed="false">
      <c r="A943" s="1" t="n">
        <v>2009</v>
      </c>
      <c r="B943" s="1" t="n">
        <v>1</v>
      </c>
      <c r="C943" s="2" t="s">
        <v>50</v>
      </c>
      <c r="D943" s="7" t="s">
        <v>98</v>
      </c>
      <c r="E943" s="1" t="n">
        <v>1</v>
      </c>
      <c r="F943" s="1" t="n">
        <f aca="false">Y943-X943</f>
        <v>5</v>
      </c>
      <c r="G943" s="1" t="n">
        <v>4</v>
      </c>
      <c r="H943" s="3" t="s">
        <v>48</v>
      </c>
      <c r="I943" s="3" t="s">
        <v>61</v>
      </c>
      <c r="J943" s="3" t="s">
        <v>38</v>
      </c>
      <c r="K943" s="2" t="str">
        <f aca="false">CONCATENATE(I943," ",J943)</f>
        <v>Trochosa sp</v>
      </c>
      <c r="L943" s="3" t="n">
        <f aca="false">SUM(P943:U943)</f>
        <v>2</v>
      </c>
      <c r="M943" s="11" t="n">
        <f aca="false">(L943/(F943*G943)*25)*4</f>
        <v>10</v>
      </c>
      <c r="N943" s="1" t="s">
        <v>19</v>
      </c>
      <c r="O943" s="1" t="s">
        <v>54</v>
      </c>
      <c r="P943" s="1" t="n">
        <v>0</v>
      </c>
      <c r="Q943" s="1" t="n">
        <v>0</v>
      </c>
      <c r="R943" s="1" t="n">
        <v>0</v>
      </c>
      <c r="S943" s="1" t="n">
        <v>0</v>
      </c>
      <c r="T943" s="1" t="n">
        <v>2</v>
      </c>
      <c r="U943" s="1" t="n">
        <v>0</v>
      </c>
      <c r="V943" s="3" t="n">
        <f aca="false">SUM(P943:Q943)</f>
        <v>0</v>
      </c>
      <c r="W943" s="3" t="n">
        <f aca="false">SUM(R943:T943)</f>
        <v>2</v>
      </c>
      <c r="X943" s="10" t="n">
        <v>39970</v>
      </c>
      <c r="Y943" s="10" t="n">
        <v>39975</v>
      </c>
    </row>
    <row r="944" customFormat="false" ht="14.25" hidden="false" customHeight="false" outlineLevel="0" collapsed="false">
      <c r="A944" s="1" t="n">
        <v>2009</v>
      </c>
      <c r="B944" s="1" t="n">
        <v>1</v>
      </c>
      <c r="C944" s="2" t="s">
        <v>50</v>
      </c>
      <c r="D944" s="7" t="s">
        <v>98</v>
      </c>
      <c r="E944" s="1" t="n">
        <v>1</v>
      </c>
      <c r="F944" s="1" t="n">
        <f aca="false">Y944-X944</f>
        <v>5</v>
      </c>
      <c r="G944" s="1" t="n">
        <v>4</v>
      </c>
      <c r="H944" s="3" t="s">
        <v>48</v>
      </c>
      <c r="I944" s="3" t="s">
        <v>57</v>
      </c>
      <c r="J944" s="3" t="s">
        <v>38</v>
      </c>
      <c r="K944" s="2" t="str">
        <f aca="false">CONCATENATE(I944," ",J944)</f>
        <v>Gen sp</v>
      </c>
      <c r="L944" s="3" t="n">
        <f aca="false">SUM(P944:U944)</f>
        <v>1</v>
      </c>
      <c r="M944" s="11" t="n">
        <f aca="false">(L944/(F944*G944)*25)*4</f>
        <v>5</v>
      </c>
      <c r="N944" s="1" t="s">
        <v>19</v>
      </c>
      <c r="O944" s="1" t="s">
        <v>54</v>
      </c>
      <c r="P944" s="1" t="n">
        <v>0</v>
      </c>
      <c r="Q944" s="1" t="n">
        <v>0</v>
      </c>
      <c r="R944" s="1" t="n">
        <v>0</v>
      </c>
      <c r="S944" s="1" t="n">
        <v>0</v>
      </c>
      <c r="T944" s="1" t="n">
        <v>1</v>
      </c>
      <c r="U944" s="1" t="n">
        <v>0</v>
      </c>
      <c r="V944" s="3" t="n">
        <f aca="false">SUM(P944:Q944)</f>
        <v>0</v>
      </c>
      <c r="W944" s="3" t="n">
        <f aca="false">SUM(R944:T944)</f>
        <v>1</v>
      </c>
      <c r="X944" s="10" t="n">
        <v>39970</v>
      </c>
      <c r="Y944" s="10" t="n">
        <v>39975</v>
      </c>
    </row>
    <row r="945" customFormat="false" ht="14.25" hidden="false" customHeight="false" outlineLevel="0" collapsed="false">
      <c r="A945" s="1" t="n">
        <v>2009</v>
      </c>
      <c r="B945" s="1" t="n">
        <v>1</v>
      </c>
      <c r="C945" s="2" t="s">
        <v>50</v>
      </c>
      <c r="D945" s="7" t="s">
        <v>98</v>
      </c>
      <c r="E945" s="1" t="n">
        <v>1</v>
      </c>
      <c r="F945" s="1" t="n">
        <f aca="false">Y945-X945</f>
        <v>5</v>
      </c>
      <c r="G945" s="1" t="n">
        <v>4</v>
      </c>
      <c r="H945" s="3" t="s">
        <v>36</v>
      </c>
      <c r="I945" s="3" t="s">
        <v>37</v>
      </c>
      <c r="J945" s="8" t="s">
        <v>75</v>
      </c>
      <c r="K945" s="2" t="str">
        <f aca="false">CONCATENATE(I945," ",J945)</f>
        <v>Ozyptila praticola</v>
      </c>
      <c r="L945" s="3" t="n">
        <f aca="false">SUM(P945:U945)</f>
        <v>1</v>
      </c>
      <c r="M945" s="11" t="n">
        <f aca="false">(L945/(F945*G945)*25)*4</f>
        <v>5</v>
      </c>
      <c r="N945" s="1" t="s">
        <v>30</v>
      </c>
      <c r="O945" s="1" t="s">
        <v>31</v>
      </c>
      <c r="P945" s="1" t="n">
        <v>1</v>
      </c>
      <c r="Q945" s="1" t="n">
        <v>0</v>
      </c>
      <c r="R945" s="1" t="n">
        <v>0</v>
      </c>
      <c r="S945" s="1" t="n">
        <v>0</v>
      </c>
      <c r="T945" s="1" t="n">
        <v>0</v>
      </c>
      <c r="U945" s="1" t="n">
        <v>0</v>
      </c>
      <c r="V945" s="3" t="n">
        <f aca="false">SUM(P945:Q945)</f>
        <v>1</v>
      </c>
      <c r="W945" s="3" t="n">
        <f aca="false">SUM(R945:T945)</f>
        <v>0</v>
      </c>
      <c r="X945" s="10" t="n">
        <v>39970</v>
      </c>
      <c r="Y945" s="10" t="n">
        <v>39975</v>
      </c>
    </row>
    <row r="946" customFormat="false" ht="14.25" hidden="false" customHeight="false" outlineLevel="0" collapsed="false">
      <c r="A946" s="1" t="n">
        <v>2009</v>
      </c>
      <c r="B946" s="1" t="n">
        <v>1</v>
      </c>
      <c r="C946" s="2" t="s">
        <v>50</v>
      </c>
      <c r="D946" s="7" t="s">
        <v>98</v>
      </c>
      <c r="E946" s="1" t="n">
        <v>1</v>
      </c>
      <c r="F946" s="1" t="n">
        <f aca="false">Y946-X946</f>
        <v>5</v>
      </c>
      <c r="G946" s="1" t="n">
        <v>4</v>
      </c>
      <c r="H946" s="3" t="s">
        <v>36</v>
      </c>
      <c r="I946" s="3" t="s">
        <v>131</v>
      </c>
      <c r="J946" s="3" t="s">
        <v>133</v>
      </c>
      <c r="K946" s="2" t="str">
        <f aca="false">CONCATENATE(I946," ",J946)</f>
        <v>Xysticus luctuosus</v>
      </c>
      <c r="L946" s="3" t="n">
        <f aca="false">SUM(P946:U946)</f>
        <v>1</v>
      </c>
      <c r="M946" s="11" t="n">
        <f aca="false">(L946/(F946*G946)*25)*4</f>
        <v>5</v>
      </c>
      <c r="N946" s="1" t="s">
        <v>30</v>
      </c>
      <c r="O946" s="1" t="s">
        <v>31</v>
      </c>
      <c r="P946" s="1" t="n">
        <v>1</v>
      </c>
      <c r="Q946" s="1" t="n">
        <v>0</v>
      </c>
      <c r="R946" s="1" t="n">
        <v>0</v>
      </c>
      <c r="S946" s="1" t="n">
        <v>0</v>
      </c>
      <c r="T946" s="1" t="n">
        <v>0</v>
      </c>
      <c r="U946" s="1" t="n">
        <v>0</v>
      </c>
      <c r="V946" s="3" t="n">
        <f aca="false">SUM(P946:Q946)</f>
        <v>1</v>
      </c>
      <c r="W946" s="3" t="n">
        <f aca="false">SUM(R946:T946)</f>
        <v>0</v>
      </c>
      <c r="X946" s="10" t="n">
        <v>39970</v>
      </c>
      <c r="Y946" s="10" t="n">
        <v>39975</v>
      </c>
    </row>
    <row r="947" customFormat="false" ht="14.25" hidden="false" customHeight="false" outlineLevel="0" collapsed="false">
      <c r="A947" s="1" t="n">
        <v>2009</v>
      </c>
      <c r="B947" s="1" t="n">
        <v>1</v>
      </c>
      <c r="C947" s="2" t="s">
        <v>50</v>
      </c>
      <c r="D947" s="7" t="s">
        <v>98</v>
      </c>
      <c r="E947" s="1" t="n">
        <v>1</v>
      </c>
      <c r="F947" s="1" t="n">
        <f aca="false">Y947-X947</f>
        <v>5</v>
      </c>
      <c r="G947" s="1" t="n">
        <v>4</v>
      </c>
      <c r="H947" s="13" t="s">
        <v>195</v>
      </c>
      <c r="I947" s="13" t="s">
        <v>196</v>
      </c>
      <c r="J947" s="14" t="s">
        <v>197</v>
      </c>
      <c r="K947" s="2" t="str">
        <f aca="false">CONCATENATE(I947," ",J947)</f>
        <v>Pachygnatha listeri</v>
      </c>
      <c r="L947" s="3" t="n">
        <f aca="false">SUM(P947:U947)</f>
        <v>1</v>
      </c>
      <c r="M947" s="11" t="n">
        <f aca="false">(L947/(F947*G947)*25)*4</f>
        <v>5</v>
      </c>
      <c r="N947" s="1" t="s">
        <v>30</v>
      </c>
      <c r="O947" s="1" t="s">
        <v>31</v>
      </c>
      <c r="P947" s="1" t="n">
        <v>1</v>
      </c>
      <c r="Q947" s="1" t="n">
        <v>0</v>
      </c>
      <c r="R947" s="1" t="n">
        <v>0</v>
      </c>
      <c r="S947" s="1" t="n">
        <v>0</v>
      </c>
      <c r="T947" s="1" t="n">
        <v>0</v>
      </c>
      <c r="U947" s="1" t="n">
        <v>0</v>
      </c>
      <c r="V947" s="3" t="n">
        <f aca="false">SUM(P947:Q947)</f>
        <v>1</v>
      </c>
      <c r="W947" s="3" t="n">
        <f aca="false">SUM(R947:T947)</f>
        <v>0</v>
      </c>
      <c r="X947" s="10" t="n">
        <v>39970</v>
      </c>
      <c r="Y947" s="10" t="n">
        <v>39975</v>
      </c>
    </row>
    <row r="948" customFormat="false" ht="14.25" hidden="false" customHeight="false" outlineLevel="0" collapsed="false">
      <c r="A948" s="1" t="n">
        <v>2009</v>
      </c>
      <c r="B948" s="1" t="n">
        <v>1</v>
      </c>
      <c r="C948" s="2" t="s">
        <v>50</v>
      </c>
      <c r="D948" s="7" t="s">
        <v>98</v>
      </c>
      <c r="E948" s="1" t="n">
        <v>1</v>
      </c>
      <c r="F948" s="1" t="n">
        <f aca="false">Y948-X948</f>
        <v>5</v>
      </c>
      <c r="G948" s="1" t="n">
        <v>4</v>
      </c>
      <c r="H948" s="3" t="s">
        <v>32</v>
      </c>
      <c r="I948" s="3" t="s">
        <v>55</v>
      </c>
      <c r="J948" s="3" t="s">
        <v>194</v>
      </c>
      <c r="K948" s="2" t="str">
        <f aca="false">CONCATENATE(I948," ",J948)</f>
        <v>Maro pansibiricus</v>
      </c>
      <c r="L948" s="3" t="n">
        <f aca="false">SUM(P948:U948)</f>
        <v>3</v>
      </c>
      <c r="M948" s="11" t="n">
        <f aca="false">(L948/(F948*G948)*25)*4</f>
        <v>15</v>
      </c>
      <c r="N948" s="1" t="s">
        <v>30</v>
      </c>
      <c r="O948" s="1" t="s">
        <v>31</v>
      </c>
      <c r="P948" s="1" t="n">
        <v>3</v>
      </c>
      <c r="Q948" s="1" t="n">
        <v>0</v>
      </c>
      <c r="R948" s="1" t="n">
        <v>0</v>
      </c>
      <c r="S948" s="1" t="n">
        <v>0</v>
      </c>
      <c r="T948" s="1" t="n">
        <v>0</v>
      </c>
      <c r="U948" s="1" t="n">
        <v>0</v>
      </c>
      <c r="V948" s="3" t="n">
        <f aca="false">SUM(P948:Q948)</f>
        <v>3</v>
      </c>
      <c r="W948" s="3" t="n">
        <f aca="false">SUM(R948:T948)</f>
        <v>0</v>
      </c>
      <c r="X948" s="10" t="n">
        <v>39970</v>
      </c>
      <c r="Y948" s="10" t="n">
        <v>39975</v>
      </c>
    </row>
    <row r="949" customFormat="false" ht="14.25" hidden="false" customHeight="false" outlineLevel="0" collapsed="false">
      <c r="A949" s="1" t="n">
        <v>2009</v>
      </c>
      <c r="B949" s="1" t="n">
        <v>1</v>
      </c>
      <c r="C949" s="2" t="s">
        <v>50</v>
      </c>
      <c r="D949" s="7" t="s">
        <v>98</v>
      </c>
      <c r="E949" s="1" t="n">
        <v>1</v>
      </c>
      <c r="F949" s="1" t="n">
        <f aca="false">Y949-X949</f>
        <v>5</v>
      </c>
      <c r="G949" s="1" t="n">
        <v>4</v>
      </c>
      <c r="H949" s="3" t="s">
        <v>32</v>
      </c>
      <c r="I949" s="3" t="s">
        <v>57</v>
      </c>
      <c r="J949" s="3" t="s">
        <v>38</v>
      </c>
      <c r="K949" s="2" t="str">
        <f aca="false">CONCATENATE(I949," ",J949)</f>
        <v>Gen sp</v>
      </c>
      <c r="L949" s="3" t="n">
        <f aca="false">SUM(P949:U949)</f>
        <v>1</v>
      </c>
      <c r="M949" s="11" t="n">
        <f aca="false">(L949/(F949*G949)*25)*4</f>
        <v>5</v>
      </c>
      <c r="N949" s="1" t="s">
        <v>19</v>
      </c>
      <c r="O949" s="1" t="s">
        <v>54</v>
      </c>
      <c r="P949" s="1" t="n">
        <v>0</v>
      </c>
      <c r="Q949" s="1" t="n">
        <v>0</v>
      </c>
      <c r="R949" s="1" t="n">
        <v>0</v>
      </c>
      <c r="S949" s="1" t="n">
        <v>0</v>
      </c>
      <c r="T949" s="1" t="n">
        <v>1</v>
      </c>
      <c r="U949" s="1" t="n">
        <v>0</v>
      </c>
      <c r="V949" s="3" t="n">
        <f aca="false">SUM(P949:Q949)</f>
        <v>0</v>
      </c>
      <c r="W949" s="3" t="n">
        <f aca="false">SUM(R949:T949)</f>
        <v>1</v>
      </c>
      <c r="X949" s="10" t="n">
        <v>39970</v>
      </c>
      <c r="Y949" s="10" t="n">
        <v>39975</v>
      </c>
    </row>
    <row r="950" customFormat="false" ht="14.25" hidden="false" customHeight="false" outlineLevel="0" collapsed="false">
      <c r="A950" s="1" t="n">
        <v>2009</v>
      </c>
      <c r="B950" s="1" t="n">
        <v>1</v>
      </c>
      <c r="C950" s="2" t="s">
        <v>50</v>
      </c>
      <c r="D950" s="7" t="s">
        <v>98</v>
      </c>
      <c r="E950" s="1" t="n">
        <v>1</v>
      </c>
      <c r="F950" s="1" t="n">
        <f aca="false">Y950-X950</f>
        <v>5</v>
      </c>
      <c r="G950" s="1" t="n">
        <v>4</v>
      </c>
      <c r="H950" s="3" t="s">
        <v>48</v>
      </c>
      <c r="I950" s="3" t="s">
        <v>49</v>
      </c>
      <c r="J950" s="3" t="s">
        <v>104</v>
      </c>
      <c r="K950" s="2" t="str">
        <f aca="false">CONCATENATE(I950," ",J950)</f>
        <v>Alopecosa taeniata</v>
      </c>
      <c r="L950" s="3" t="n">
        <f aca="false">SUM(P950:U950)</f>
        <v>4</v>
      </c>
      <c r="M950" s="11" t="n">
        <f aca="false">(L950/(F950*G950)*25)*4</f>
        <v>20</v>
      </c>
      <c r="N950" s="1" t="s">
        <v>30</v>
      </c>
      <c r="O950" s="1" t="s">
        <v>31</v>
      </c>
      <c r="P950" s="1" t="n">
        <v>4</v>
      </c>
      <c r="Q950" s="1" t="n">
        <v>0</v>
      </c>
      <c r="R950" s="1" t="n">
        <v>0</v>
      </c>
      <c r="S950" s="1" t="n">
        <v>0</v>
      </c>
      <c r="T950" s="1" t="n">
        <v>0</v>
      </c>
      <c r="U950" s="1" t="n">
        <v>0</v>
      </c>
      <c r="V950" s="3" t="n">
        <f aca="false">SUM(P950:Q950)</f>
        <v>4</v>
      </c>
      <c r="W950" s="3" t="n">
        <f aca="false">SUM(R950:T950)</f>
        <v>0</v>
      </c>
      <c r="X950" s="10" t="n">
        <v>39970</v>
      </c>
      <c r="Y950" s="10" t="n">
        <v>39975</v>
      </c>
    </row>
    <row r="951" customFormat="false" ht="14.25" hidden="false" customHeight="false" outlineLevel="0" collapsed="false">
      <c r="A951" s="1" t="n">
        <v>2009</v>
      </c>
      <c r="B951" s="1" t="n">
        <v>1</v>
      </c>
      <c r="C951" s="2" t="s">
        <v>50</v>
      </c>
      <c r="D951" s="7" t="s">
        <v>98</v>
      </c>
      <c r="E951" s="1" t="n">
        <v>1</v>
      </c>
      <c r="F951" s="1" t="n">
        <f aca="false">Y951-X951</f>
        <v>5</v>
      </c>
      <c r="G951" s="1" t="n">
        <v>4</v>
      </c>
      <c r="H951" s="3" t="s">
        <v>48</v>
      </c>
      <c r="I951" s="3" t="s">
        <v>67</v>
      </c>
      <c r="J951" s="3" t="s">
        <v>127</v>
      </c>
      <c r="K951" s="2" t="str">
        <f aca="false">CONCATENATE(I951," ",J951)</f>
        <v>Pardosa lugubris</v>
      </c>
      <c r="L951" s="3" t="n">
        <f aca="false">SUM(P951:U951)</f>
        <v>1</v>
      </c>
      <c r="M951" s="11" t="n">
        <f aca="false">(L951/(F951*G951)*25)*4</f>
        <v>5</v>
      </c>
      <c r="N951" s="1" t="s">
        <v>30</v>
      </c>
      <c r="O951" s="1" t="s">
        <v>31</v>
      </c>
      <c r="P951" s="1" t="n">
        <v>1</v>
      </c>
      <c r="Q951" s="1" t="n">
        <v>0</v>
      </c>
      <c r="R951" s="1" t="n">
        <v>0</v>
      </c>
      <c r="S951" s="1" t="n">
        <v>0</v>
      </c>
      <c r="T951" s="1" t="n">
        <v>0</v>
      </c>
      <c r="U951" s="1" t="n">
        <v>0</v>
      </c>
      <c r="V951" s="3" t="n">
        <f aca="false">SUM(P951:Q951)</f>
        <v>1</v>
      </c>
      <c r="W951" s="3" t="n">
        <f aca="false">SUM(R951:T951)</f>
        <v>0</v>
      </c>
      <c r="X951" s="10" t="n">
        <v>39970</v>
      </c>
      <c r="Y951" s="10" t="n">
        <v>39975</v>
      </c>
    </row>
    <row r="952" customFormat="false" ht="14.25" hidden="false" customHeight="false" outlineLevel="0" collapsed="false">
      <c r="A952" s="1" t="n">
        <v>2009</v>
      </c>
      <c r="B952" s="1" t="n">
        <v>1</v>
      </c>
      <c r="C952" s="2" t="s">
        <v>50</v>
      </c>
      <c r="D952" s="7" t="s">
        <v>98</v>
      </c>
      <c r="E952" s="1" t="n">
        <v>1</v>
      </c>
      <c r="F952" s="1" t="n">
        <f aca="false">Y952-X952</f>
        <v>5</v>
      </c>
      <c r="G952" s="1" t="n">
        <v>4</v>
      </c>
      <c r="H952" s="3" t="s">
        <v>48</v>
      </c>
      <c r="I952" s="3" t="s">
        <v>57</v>
      </c>
      <c r="J952" s="3" t="s">
        <v>38</v>
      </c>
      <c r="K952" s="2" t="str">
        <f aca="false">CONCATENATE(I952," ",J952)</f>
        <v>Gen sp</v>
      </c>
      <c r="L952" s="3" t="n">
        <f aca="false">SUM(P952:U952)</f>
        <v>2</v>
      </c>
      <c r="M952" s="11" t="n">
        <f aca="false">(L952/(F952*G952)*25)*4</f>
        <v>10</v>
      </c>
      <c r="N952" s="1" t="s">
        <v>19</v>
      </c>
      <c r="O952" s="1" t="s">
        <v>54</v>
      </c>
      <c r="P952" s="1" t="n">
        <v>0</v>
      </c>
      <c r="Q952" s="1" t="n">
        <v>0</v>
      </c>
      <c r="R952" s="1" t="n">
        <v>0</v>
      </c>
      <c r="S952" s="1" t="n">
        <v>0</v>
      </c>
      <c r="T952" s="1" t="n">
        <v>2</v>
      </c>
      <c r="U952" s="1" t="n">
        <v>0</v>
      </c>
      <c r="V952" s="3" t="n">
        <f aca="false">SUM(P952:Q952)</f>
        <v>0</v>
      </c>
      <c r="W952" s="3" t="n">
        <f aca="false">SUM(R952:T952)</f>
        <v>2</v>
      </c>
      <c r="X952" s="10" t="n">
        <v>39970</v>
      </c>
      <c r="Y952" s="10" t="n">
        <v>39975</v>
      </c>
    </row>
    <row r="953" customFormat="false" ht="14.25" hidden="false" customHeight="false" outlineLevel="0" collapsed="false">
      <c r="A953" s="1" t="n">
        <v>2009</v>
      </c>
      <c r="B953" s="1" t="n">
        <v>1</v>
      </c>
      <c r="C953" s="2" t="s">
        <v>50</v>
      </c>
      <c r="D953" s="7" t="s">
        <v>98</v>
      </c>
      <c r="E953" s="1" t="n">
        <v>1</v>
      </c>
      <c r="F953" s="1" t="n">
        <f aca="false">Y953-X953</f>
        <v>5</v>
      </c>
      <c r="G953" s="1" t="n">
        <v>4</v>
      </c>
      <c r="H953" s="3" t="s">
        <v>36</v>
      </c>
      <c r="I953" s="3" t="s">
        <v>131</v>
      </c>
      <c r="J953" s="3" t="s">
        <v>199</v>
      </c>
      <c r="K953" s="2" t="str">
        <f aca="false">CONCATENATE(I953," ",J953)</f>
        <v>Xysticus obscurus</v>
      </c>
      <c r="L953" s="3" t="n">
        <f aca="false">SUM(P953:U953)</f>
        <v>2</v>
      </c>
      <c r="M953" s="11" t="n">
        <f aca="false">(L953/(F953*G953)*25)*4</f>
        <v>10</v>
      </c>
      <c r="N953" s="1" t="s">
        <v>30</v>
      </c>
      <c r="O953" s="1" t="s">
        <v>31</v>
      </c>
      <c r="P953" s="1" t="n">
        <v>2</v>
      </c>
      <c r="Q953" s="1" t="n">
        <v>0</v>
      </c>
      <c r="R953" s="1" t="n">
        <v>0</v>
      </c>
      <c r="S953" s="1" t="n">
        <v>0</v>
      </c>
      <c r="T953" s="1" t="n">
        <v>0</v>
      </c>
      <c r="U953" s="1" t="n">
        <v>0</v>
      </c>
      <c r="V953" s="3" t="n">
        <f aca="false">SUM(P953:Q953)</f>
        <v>2</v>
      </c>
      <c r="W953" s="3" t="n">
        <f aca="false">SUM(R953:T953)</f>
        <v>0</v>
      </c>
      <c r="X953" s="10" t="n">
        <v>39970</v>
      </c>
      <c r="Y953" s="10" t="n">
        <v>39975</v>
      </c>
    </row>
    <row r="954" customFormat="false" ht="14.25" hidden="false" customHeight="false" outlineLevel="0" collapsed="false">
      <c r="A954" s="1" t="n">
        <v>2009</v>
      </c>
      <c r="B954" s="1" t="n">
        <v>1</v>
      </c>
      <c r="C954" s="2" t="s">
        <v>50</v>
      </c>
      <c r="D954" s="7" t="s">
        <v>98</v>
      </c>
      <c r="E954" s="1" t="n">
        <v>1</v>
      </c>
      <c r="F954" s="1" t="n">
        <f aca="false">Y954-X954</f>
        <v>5</v>
      </c>
      <c r="G954" s="1" t="n">
        <v>4</v>
      </c>
      <c r="H954" s="3" t="s">
        <v>36</v>
      </c>
      <c r="I954" s="3" t="s">
        <v>37</v>
      </c>
      <c r="J954" s="8" t="s">
        <v>75</v>
      </c>
      <c r="K954" s="2" t="str">
        <f aca="false">CONCATENATE(I954," ",J954)</f>
        <v>Ozyptila praticola</v>
      </c>
      <c r="L954" s="3" t="n">
        <f aca="false">SUM(P954:U954)</f>
        <v>1</v>
      </c>
      <c r="M954" s="11" t="n">
        <f aca="false">(L954/(F954*G954)*25)*4</f>
        <v>5</v>
      </c>
      <c r="N954" s="1" t="s">
        <v>30</v>
      </c>
      <c r="O954" s="1" t="s">
        <v>31</v>
      </c>
      <c r="P954" s="1" t="n">
        <v>1</v>
      </c>
      <c r="Q954" s="1" t="n">
        <v>0</v>
      </c>
      <c r="R954" s="1" t="n">
        <v>0</v>
      </c>
      <c r="S954" s="1" t="n">
        <v>0</v>
      </c>
      <c r="T954" s="1" t="n">
        <v>0</v>
      </c>
      <c r="U954" s="1" t="n">
        <v>0</v>
      </c>
      <c r="V954" s="3" t="n">
        <f aca="false">SUM(P954:Q954)</f>
        <v>1</v>
      </c>
      <c r="W954" s="3" t="n">
        <f aca="false">SUM(R954:T954)</f>
        <v>0</v>
      </c>
      <c r="X954" s="10" t="n">
        <v>39970</v>
      </c>
      <c r="Y954" s="10" t="n">
        <v>39975</v>
      </c>
    </row>
    <row r="955" customFormat="false" ht="14.25" hidden="false" customHeight="false" outlineLevel="0" collapsed="false">
      <c r="A955" s="1" t="n">
        <v>2009</v>
      </c>
      <c r="B955" s="1" t="n">
        <v>1</v>
      </c>
      <c r="C955" s="2" t="s">
        <v>50</v>
      </c>
      <c r="D955" s="7" t="s">
        <v>98</v>
      </c>
      <c r="E955" s="1" t="n">
        <v>1</v>
      </c>
      <c r="F955" s="1" t="n">
        <f aca="false">Y955-X955</f>
        <v>5</v>
      </c>
      <c r="G955" s="1" t="n">
        <v>4</v>
      </c>
      <c r="H955" s="3" t="s">
        <v>72</v>
      </c>
      <c r="I955" s="3" t="s">
        <v>86</v>
      </c>
      <c r="J955" s="8" t="s">
        <v>87</v>
      </c>
      <c r="K955" s="2" t="str">
        <f aca="false">CONCATENATE(I955," ",J955)</f>
        <v>Haplodrassus soerenseni</v>
      </c>
      <c r="L955" s="3" t="n">
        <f aca="false">SUM(P955:U955)</f>
        <v>1</v>
      </c>
      <c r="M955" s="11" t="n">
        <f aca="false">(L955/(F955*G955)*25)*4</f>
        <v>5</v>
      </c>
      <c r="N955" s="1" t="s">
        <v>30</v>
      </c>
      <c r="O955" s="1" t="s">
        <v>31</v>
      </c>
      <c r="P955" s="1" t="n">
        <v>1</v>
      </c>
      <c r="Q955" s="1" t="n">
        <v>0</v>
      </c>
      <c r="R955" s="1" t="n">
        <v>0</v>
      </c>
      <c r="S955" s="1" t="n">
        <v>0</v>
      </c>
      <c r="T955" s="1" t="n">
        <v>0</v>
      </c>
      <c r="U955" s="1" t="n">
        <v>0</v>
      </c>
      <c r="V955" s="3" t="n">
        <f aca="false">SUM(P955:Q955)</f>
        <v>1</v>
      </c>
      <c r="W955" s="3" t="n">
        <f aca="false">SUM(R955:T955)</f>
        <v>0</v>
      </c>
      <c r="X955" s="10" t="n">
        <v>39970</v>
      </c>
      <c r="Y955" s="10" t="n">
        <v>39975</v>
      </c>
    </row>
    <row r="956" customFormat="false" ht="14.25" hidden="false" customHeight="false" outlineLevel="0" collapsed="false">
      <c r="A956" s="1" t="n">
        <v>2009</v>
      </c>
      <c r="B956" s="1" t="n">
        <v>1</v>
      </c>
      <c r="C956" s="2" t="s">
        <v>50</v>
      </c>
      <c r="D956" s="7" t="s">
        <v>98</v>
      </c>
      <c r="E956" s="1" t="n">
        <v>1</v>
      </c>
      <c r="F956" s="1" t="n">
        <f aca="false">Y956-X956</f>
        <v>5</v>
      </c>
      <c r="G956" s="1" t="n">
        <v>4</v>
      </c>
      <c r="H956" s="3" t="s">
        <v>72</v>
      </c>
      <c r="I956" s="3" t="s">
        <v>86</v>
      </c>
      <c r="J956" s="8" t="s">
        <v>87</v>
      </c>
      <c r="K956" s="2" t="str">
        <f aca="false">CONCATENATE(I956," ",J956)</f>
        <v>Haplodrassus soerenseni</v>
      </c>
      <c r="L956" s="3" t="n">
        <f aca="false">SUM(P956:U956)</f>
        <v>1</v>
      </c>
      <c r="M956" s="11" t="n">
        <f aca="false">(L956/(F956*G956)*25)*4</f>
        <v>5</v>
      </c>
      <c r="N956" s="1" t="s">
        <v>30</v>
      </c>
      <c r="O956" s="1" t="s">
        <v>35</v>
      </c>
      <c r="P956" s="1" t="n">
        <v>0</v>
      </c>
      <c r="Q956" s="1" t="n">
        <v>1</v>
      </c>
      <c r="R956" s="1" t="n">
        <v>0</v>
      </c>
      <c r="S956" s="1" t="n">
        <v>0</v>
      </c>
      <c r="T956" s="1" t="n">
        <v>0</v>
      </c>
      <c r="U956" s="1" t="n">
        <v>0</v>
      </c>
      <c r="V956" s="3" t="n">
        <f aca="false">SUM(P956:Q956)</f>
        <v>1</v>
      </c>
      <c r="W956" s="3" t="n">
        <f aca="false">SUM(R956:T956)</f>
        <v>0</v>
      </c>
      <c r="X956" s="10" t="n">
        <v>39970</v>
      </c>
      <c r="Y956" s="10" t="n">
        <v>39975</v>
      </c>
    </row>
    <row r="957" customFormat="false" ht="14.25" hidden="false" customHeight="false" outlineLevel="0" collapsed="false">
      <c r="A957" s="1" t="n">
        <v>2009</v>
      </c>
      <c r="B957" s="1" t="n">
        <v>1</v>
      </c>
      <c r="C957" s="2" t="s">
        <v>50</v>
      </c>
      <c r="D957" s="7" t="s">
        <v>98</v>
      </c>
      <c r="E957" s="1" t="n">
        <v>1</v>
      </c>
      <c r="F957" s="1" t="n">
        <f aca="false">Y957-X957</f>
        <v>5</v>
      </c>
      <c r="G957" s="1" t="n">
        <v>4</v>
      </c>
      <c r="H957" s="3" t="s">
        <v>72</v>
      </c>
      <c r="I957" s="3" t="s">
        <v>73</v>
      </c>
      <c r="J957" s="3" t="s">
        <v>74</v>
      </c>
      <c r="K957" s="2" t="str">
        <f aca="false">CONCATENATE(I957," ",J957)</f>
        <v>Zelotes subterraneus</v>
      </c>
      <c r="L957" s="3" t="n">
        <f aca="false">SUM(P957:U957)</f>
        <v>1</v>
      </c>
      <c r="M957" s="11" t="n">
        <f aca="false">(L957/(F957*G957)*25)*4</f>
        <v>5</v>
      </c>
      <c r="N957" s="1" t="s">
        <v>30</v>
      </c>
      <c r="O957" s="1" t="s">
        <v>35</v>
      </c>
      <c r="P957" s="1" t="n">
        <v>0</v>
      </c>
      <c r="Q957" s="1" t="n">
        <v>1</v>
      </c>
      <c r="R957" s="1" t="n">
        <v>0</v>
      </c>
      <c r="S957" s="1" t="n">
        <v>0</v>
      </c>
      <c r="T957" s="1" t="n">
        <v>0</v>
      </c>
      <c r="U957" s="1" t="n">
        <v>0</v>
      </c>
      <c r="V957" s="3" t="n">
        <f aca="false">SUM(P957:Q957)</f>
        <v>1</v>
      </c>
      <c r="W957" s="3" t="n">
        <f aca="false">SUM(R957:T957)</f>
        <v>0</v>
      </c>
      <c r="X957" s="10" t="n">
        <v>39970</v>
      </c>
      <c r="Y957" s="10" t="n">
        <v>39975</v>
      </c>
    </row>
    <row r="958" customFormat="false" ht="14.25" hidden="false" customHeight="false" outlineLevel="0" collapsed="false">
      <c r="A958" s="1" t="n">
        <v>2009</v>
      </c>
      <c r="B958" s="1" t="n">
        <v>1</v>
      </c>
      <c r="C958" s="2" t="s">
        <v>50</v>
      </c>
      <c r="D958" s="7" t="s">
        <v>98</v>
      </c>
      <c r="E958" s="1" t="n">
        <v>1</v>
      </c>
      <c r="F958" s="1" t="n">
        <f aca="false">Y958-X958</f>
        <v>5</v>
      </c>
      <c r="G958" s="1" t="n">
        <v>4</v>
      </c>
      <c r="H958" s="3" t="s">
        <v>92</v>
      </c>
      <c r="I958" s="3" t="s">
        <v>171</v>
      </c>
      <c r="J958" s="3" t="s">
        <v>172</v>
      </c>
      <c r="K958" s="2" t="str">
        <f aca="false">CONCATENATE(I958," ",J958)</f>
        <v>Euophrys frontalis</v>
      </c>
      <c r="L958" s="3" t="n">
        <f aca="false">SUM(P958:U958)</f>
        <v>1</v>
      </c>
      <c r="M958" s="11" t="n">
        <f aca="false">(L958/(F958*G958)*25)*4</f>
        <v>5</v>
      </c>
      <c r="N958" s="1" t="s">
        <v>30</v>
      </c>
      <c r="O958" s="1" t="s">
        <v>31</v>
      </c>
      <c r="P958" s="1" t="n">
        <v>1</v>
      </c>
      <c r="Q958" s="1" t="n">
        <v>0</v>
      </c>
      <c r="R958" s="1" t="n">
        <v>0</v>
      </c>
      <c r="S958" s="1" t="n">
        <v>0</v>
      </c>
      <c r="T958" s="1" t="n">
        <v>0</v>
      </c>
      <c r="U958" s="1" t="n">
        <v>0</v>
      </c>
      <c r="V958" s="3" t="n">
        <f aca="false">SUM(P958:Q958)</f>
        <v>1</v>
      </c>
      <c r="W958" s="3" t="n">
        <f aca="false">SUM(R958:T958)</f>
        <v>0</v>
      </c>
      <c r="X958" s="10" t="n">
        <v>39970</v>
      </c>
      <c r="Y958" s="10" t="n">
        <v>39975</v>
      </c>
    </row>
    <row r="959" customFormat="false" ht="14.25" hidden="false" customHeight="false" outlineLevel="0" collapsed="false">
      <c r="A959" s="1" t="n">
        <v>2009</v>
      </c>
      <c r="B959" s="1" t="n">
        <v>1</v>
      </c>
      <c r="C959" s="2" t="s">
        <v>50</v>
      </c>
      <c r="D959" s="7" t="s">
        <v>98</v>
      </c>
      <c r="E959" s="1" t="n">
        <v>1</v>
      </c>
      <c r="F959" s="1" t="n">
        <f aca="false">Y959-X959</f>
        <v>5</v>
      </c>
      <c r="G959" s="1" t="n">
        <v>4</v>
      </c>
      <c r="H959" s="3" t="s">
        <v>48</v>
      </c>
      <c r="I959" s="3" t="s">
        <v>49</v>
      </c>
      <c r="J959" s="3" t="s">
        <v>104</v>
      </c>
      <c r="K959" s="2" t="str">
        <f aca="false">CONCATENATE(I959," ",J959)</f>
        <v>Alopecosa taeniata</v>
      </c>
      <c r="L959" s="3" t="n">
        <f aca="false">SUM(P959:U959)</f>
        <v>4</v>
      </c>
      <c r="M959" s="11" t="n">
        <f aca="false">(L959/(F959*G959)*25)*4</f>
        <v>20</v>
      </c>
      <c r="N959" s="1" t="s">
        <v>30</v>
      </c>
      <c r="O959" s="1" t="s">
        <v>31</v>
      </c>
      <c r="P959" s="1" t="n">
        <v>4</v>
      </c>
      <c r="Q959" s="1" t="n">
        <v>0</v>
      </c>
      <c r="R959" s="1" t="n">
        <v>0</v>
      </c>
      <c r="S959" s="1" t="n">
        <v>0</v>
      </c>
      <c r="T959" s="1" t="n">
        <v>0</v>
      </c>
      <c r="U959" s="1" t="n">
        <v>0</v>
      </c>
      <c r="V959" s="3" t="n">
        <f aca="false">SUM(P959:Q959)</f>
        <v>4</v>
      </c>
      <c r="W959" s="3" t="n">
        <f aca="false">SUM(R959:T959)</f>
        <v>0</v>
      </c>
      <c r="X959" s="10" t="n">
        <v>39970</v>
      </c>
      <c r="Y959" s="10" t="n">
        <v>39975</v>
      </c>
    </row>
    <row r="960" customFormat="false" ht="14.25" hidden="false" customHeight="false" outlineLevel="0" collapsed="false">
      <c r="A960" s="1" t="n">
        <v>2009</v>
      </c>
      <c r="B960" s="1" t="n">
        <v>1</v>
      </c>
      <c r="C960" s="2" t="s">
        <v>50</v>
      </c>
      <c r="D960" s="7" t="s">
        <v>98</v>
      </c>
      <c r="E960" s="1" t="n">
        <v>1</v>
      </c>
      <c r="F960" s="1" t="n">
        <f aca="false">Y960-X960</f>
        <v>5</v>
      </c>
      <c r="G960" s="1" t="n">
        <v>4</v>
      </c>
      <c r="H960" s="3" t="s">
        <v>48</v>
      </c>
      <c r="I960" s="3" t="s">
        <v>49</v>
      </c>
      <c r="J960" s="3" t="s">
        <v>104</v>
      </c>
      <c r="K960" s="2" t="str">
        <f aca="false">CONCATENATE(I960," ",J960)</f>
        <v>Alopecosa taeniata</v>
      </c>
      <c r="L960" s="3" t="n">
        <f aca="false">SUM(P960:U960)</f>
        <v>1</v>
      </c>
      <c r="M960" s="11" t="n">
        <f aca="false">(L960/(F960*G960)*25)*4</f>
        <v>5</v>
      </c>
      <c r="N960" s="1" t="s">
        <v>30</v>
      </c>
      <c r="O960" s="1" t="s">
        <v>35</v>
      </c>
      <c r="P960" s="1" t="n">
        <v>0</v>
      </c>
      <c r="Q960" s="1" t="n">
        <v>1</v>
      </c>
      <c r="R960" s="1" t="n">
        <v>0</v>
      </c>
      <c r="S960" s="1" t="n">
        <v>0</v>
      </c>
      <c r="T960" s="1" t="n">
        <v>0</v>
      </c>
      <c r="U960" s="1" t="n">
        <v>0</v>
      </c>
      <c r="V960" s="3" t="n">
        <f aca="false">SUM(P960:Q960)</f>
        <v>1</v>
      </c>
      <c r="W960" s="3" t="n">
        <f aca="false">SUM(R960:T960)</f>
        <v>0</v>
      </c>
      <c r="X960" s="10" t="n">
        <v>39970</v>
      </c>
      <c r="Y960" s="10" t="n">
        <v>39975</v>
      </c>
    </row>
    <row r="961" customFormat="false" ht="14.25" hidden="false" customHeight="false" outlineLevel="0" collapsed="false">
      <c r="A961" s="1" t="n">
        <v>2009</v>
      </c>
      <c r="B961" s="1" t="n">
        <v>1</v>
      </c>
      <c r="C961" s="2" t="s">
        <v>50</v>
      </c>
      <c r="D961" s="7" t="s">
        <v>98</v>
      </c>
      <c r="E961" s="1" t="n">
        <v>1</v>
      </c>
      <c r="F961" s="1" t="n">
        <f aca="false">Y961-X961</f>
        <v>5</v>
      </c>
      <c r="G961" s="1" t="n">
        <v>4</v>
      </c>
      <c r="H961" s="3" t="s">
        <v>48</v>
      </c>
      <c r="I961" s="3" t="s">
        <v>67</v>
      </c>
      <c r="J961" s="3" t="s">
        <v>127</v>
      </c>
      <c r="K961" s="2" t="str">
        <f aca="false">CONCATENATE(I961," ",J961)</f>
        <v>Pardosa lugubris</v>
      </c>
      <c r="L961" s="3" t="n">
        <f aca="false">SUM(P961:U961)</f>
        <v>1</v>
      </c>
      <c r="M961" s="11" t="n">
        <f aca="false">(L961/(F961*G961)*25)*4</f>
        <v>5</v>
      </c>
      <c r="N961" s="1" t="s">
        <v>30</v>
      </c>
      <c r="O961" s="1" t="s">
        <v>31</v>
      </c>
      <c r="P961" s="1" t="n">
        <v>1</v>
      </c>
      <c r="Q961" s="1" t="n">
        <v>0</v>
      </c>
      <c r="R961" s="1" t="n">
        <v>0</v>
      </c>
      <c r="S961" s="1" t="n">
        <v>0</v>
      </c>
      <c r="T961" s="1" t="n">
        <v>0</v>
      </c>
      <c r="U961" s="1" t="n">
        <v>0</v>
      </c>
      <c r="V961" s="3" t="n">
        <f aca="false">SUM(P961:Q961)</f>
        <v>1</v>
      </c>
      <c r="W961" s="3" t="n">
        <f aca="false">SUM(R961:T961)</f>
        <v>0</v>
      </c>
      <c r="X961" s="10" t="n">
        <v>39970</v>
      </c>
      <c r="Y961" s="10" t="n">
        <v>39975</v>
      </c>
    </row>
    <row r="962" customFormat="false" ht="14.25" hidden="false" customHeight="false" outlineLevel="0" collapsed="false">
      <c r="A962" s="1" t="n">
        <v>2009</v>
      </c>
      <c r="B962" s="1" t="n">
        <v>1</v>
      </c>
      <c r="C962" s="2" t="s">
        <v>50</v>
      </c>
      <c r="D962" s="7" t="s">
        <v>98</v>
      </c>
      <c r="E962" s="1" t="n">
        <v>1</v>
      </c>
      <c r="F962" s="1" t="n">
        <f aca="false">Y962-X962</f>
        <v>5</v>
      </c>
      <c r="G962" s="1" t="n">
        <v>4</v>
      </c>
      <c r="H962" s="3" t="s">
        <v>48</v>
      </c>
      <c r="I962" s="3" t="s">
        <v>61</v>
      </c>
      <c r="J962" s="3" t="s">
        <v>82</v>
      </c>
      <c r="K962" s="2" t="str">
        <f aca="false">CONCATENATE(I962," ",J962)</f>
        <v>Trochosa terricola</v>
      </c>
      <c r="L962" s="3" t="n">
        <f aca="false">SUM(P962:U962)</f>
        <v>1</v>
      </c>
      <c r="M962" s="11" t="n">
        <f aca="false">(L962/(F962*G962)*25)*4</f>
        <v>5</v>
      </c>
      <c r="N962" s="1" t="s">
        <v>30</v>
      </c>
      <c r="O962" s="1" t="s">
        <v>35</v>
      </c>
      <c r="P962" s="1" t="n">
        <v>0</v>
      </c>
      <c r="Q962" s="1" t="n">
        <v>1</v>
      </c>
      <c r="R962" s="1" t="n">
        <v>0</v>
      </c>
      <c r="S962" s="1" t="n">
        <v>0</v>
      </c>
      <c r="T962" s="1" t="n">
        <v>0</v>
      </c>
      <c r="U962" s="1" t="n">
        <v>0</v>
      </c>
      <c r="V962" s="3" t="n">
        <f aca="false">SUM(P962:Q962)</f>
        <v>1</v>
      </c>
      <c r="W962" s="3" t="n">
        <f aca="false">SUM(R962:T962)</f>
        <v>0</v>
      </c>
      <c r="X962" s="10" t="n">
        <v>39970</v>
      </c>
      <c r="Y962" s="10" t="n">
        <v>39975</v>
      </c>
    </row>
    <row r="963" customFormat="false" ht="14.25" hidden="false" customHeight="false" outlineLevel="0" collapsed="false">
      <c r="A963" s="1" t="n">
        <v>2009</v>
      </c>
      <c r="B963" s="1" t="n">
        <v>1</v>
      </c>
      <c r="C963" s="2" t="s">
        <v>50</v>
      </c>
      <c r="D963" s="7" t="s">
        <v>98</v>
      </c>
      <c r="E963" s="1" t="n">
        <v>1</v>
      </c>
      <c r="F963" s="1" t="n">
        <f aca="false">Y963-X963</f>
        <v>5</v>
      </c>
      <c r="G963" s="1" t="n">
        <v>4</v>
      </c>
      <c r="H963" s="3" t="s">
        <v>48</v>
      </c>
      <c r="I963" s="3" t="s">
        <v>57</v>
      </c>
      <c r="J963" s="3" t="s">
        <v>38</v>
      </c>
      <c r="K963" s="2" t="str">
        <f aca="false">CONCATENATE(I963," ",J963)</f>
        <v>Gen sp</v>
      </c>
      <c r="L963" s="3" t="n">
        <f aca="false">SUM(P963:U963)</f>
        <v>2</v>
      </c>
      <c r="M963" s="11" t="n">
        <f aca="false">(L963/(F963*G963)*25)*4</f>
        <v>10</v>
      </c>
      <c r="N963" s="1" t="s">
        <v>19</v>
      </c>
      <c r="O963" s="1" t="s">
        <v>54</v>
      </c>
      <c r="P963" s="1" t="n">
        <v>0</v>
      </c>
      <c r="Q963" s="1" t="n">
        <v>0</v>
      </c>
      <c r="R963" s="1" t="n">
        <v>0</v>
      </c>
      <c r="S963" s="1" t="n">
        <v>0</v>
      </c>
      <c r="T963" s="1" t="n">
        <v>2</v>
      </c>
      <c r="U963" s="1" t="n">
        <v>0</v>
      </c>
      <c r="V963" s="3" t="n">
        <f aca="false">SUM(P963:Q963)</f>
        <v>0</v>
      </c>
      <c r="W963" s="3" t="n">
        <f aca="false">SUM(R963:T963)</f>
        <v>2</v>
      </c>
      <c r="X963" s="10" t="n">
        <v>39970</v>
      </c>
      <c r="Y963" s="10" t="n">
        <v>39975</v>
      </c>
    </row>
    <row r="964" customFormat="false" ht="14.25" hidden="false" customHeight="false" outlineLevel="0" collapsed="false">
      <c r="A964" s="1" t="n">
        <v>2009</v>
      </c>
      <c r="B964" s="1" t="n">
        <v>1</v>
      </c>
      <c r="C964" s="2" t="s">
        <v>50</v>
      </c>
      <c r="D964" s="7" t="s">
        <v>98</v>
      </c>
      <c r="E964" s="1" t="n">
        <v>1</v>
      </c>
      <c r="F964" s="1" t="n">
        <f aca="false">Y964-X964</f>
        <v>5</v>
      </c>
      <c r="G964" s="1" t="n">
        <v>4</v>
      </c>
      <c r="H964" s="3" t="s">
        <v>72</v>
      </c>
      <c r="I964" s="3" t="s">
        <v>73</v>
      </c>
      <c r="J964" s="3" t="s">
        <v>74</v>
      </c>
      <c r="K964" s="2" t="str">
        <f aca="false">CONCATENATE(I964," ",J964)</f>
        <v>Zelotes subterraneus</v>
      </c>
      <c r="L964" s="3" t="n">
        <f aca="false">SUM(P964:U964)</f>
        <v>1</v>
      </c>
      <c r="M964" s="11" t="n">
        <f aca="false">(L964/(F964*G964)*25)*4</f>
        <v>5</v>
      </c>
      <c r="N964" s="1" t="s">
        <v>30</v>
      </c>
      <c r="O964" s="1" t="s">
        <v>35</v>
      </c>
      <c r="P964" s="1" t="n">
        <v>0</v>
      </c>
      <c r="Q964" s="1" t="n">
        <v>1</v>
      </c>
      <c r="R964" s="1" t="n">
        <v>0</v>
      </c>
      <c r="S964" s="1" t="n">
        <v>0</v>
      </c>
      <c r="T964" s="1" t="n">
        <v>0</v>
      </c>
      <c r="U964" s="1" t="n">
        <v>0</v>
      </c>
      <c r="V964" s="3" t="n">
        <f aca="false">SUM(P964:Q964)</f>
        <v>1</v>
      </c>
      <c r="W964" s="3" t="n">
        <f aca="false">SUM(R964:T964)</f>
        <v>0</v>
      </c>
      <c r="X964" s="10" t="n">
        <v>39970</v>
      </c>
      <c r="Y964" s="10" t="n">
        <v>39975</v>
      </c>
    </row>
    <row r="965" customFormat="false" ht="14.25" hidden="false" customHeight="false" outlineLevel="0" collapsed="false">
      <c r="A965" s="1" t="n">
        <v>2009</v>
      </c>
      <c r="B965" s="1" t="n">
        <v>1</v>
      </c>
      <c r="C965" s="2" t="s">
        <v>50</v>
      </c>
      <c r="D965" s="7" t="s">
        <v>98</v>
      </c>
      <c r="E965" s="1" t="n">
        <v>1</v>
      </c>
      <c r="F965" s="1" t="n">
        <f aca="false">Y965-X965</f>
        <v>5</v>
      </c>
      <c r="G965" s="1" t="n">
        <v>4</v>
      </c>
      <c r="H965" s="3" t="s">
        <v>36</v>
      </c>
      <c r="I965" s="3" t="s">
        <v>131</v>
      </c>
      <c r="J965" s="3" t="s">
        <v>133</v>
      </c>
      <c r="K965" s="2" t="str">
        <f aca="false">CONCATENATE(I965," ",J965)</f>
        <v>Xysticus luctuosus</v>
      </c>
      <c r="L965" s="3" t="n">
        <f aca="false">SUM(P965:U965)</f>
        <v>2</v>
      </c>
      <c r="M965" s="11" t="n">
        <f aca="false">(L965/(F965*G965)*25)*4</f>
        <v>10</v>
      </c>
      <c r="N965" s="1" t="s">
        <v>30</v>
      </c>
      <c r="O965" s="1" t="s">
        <v>31</v>
      </c>
      <c r="P965" s="1" t="n">
        <v>2</v>
      </c>
      <c r="Q965" s="1" t="n">
        <v>0</v>
      </c>
      <c r="R965" s="1" t="n">
        <v>0</v>
      </c>
      <c r="S965" s="1" t="n">
        <v>0</v>
      </c>
      <c r="T965" s="1" t="n">
        <v>0</v>
      </c>
      <c r="U965" s="1" t="n">
        <v>0</v>
      </c>
      <c r="V965" s="3" t="n">
        <f aca="false">SUM(P965:Q965)</f>
        <v>2</v>
      </c>
      <c r="W965" s="3" t="n">
        <f aca="false">SUM(R965:T965)</f>
        <v>0</v>
      </c>
      <c r="X965" s="10" t="n">
        <v>39970</v>
      </c>
      <c r="Y965" s="10" t="n">
        <v>39975</v>
      </c>
    </row>
    <row r="966" customFormat="false" ht="14.25" hidden="false" customHeight="false" outlineLevel="0" collapsed="false">
      <c r="A966" s="1" t="n">
        <v>2009</v>
      </c>
      <c r="B966" s="1" t="n">
        <v>1</v>
      </c>
      <c r="C966" s="2" t="s">
        <v>50</v>
      </c>
      <c r="D966" s="7" t="s">
        <v>98</v>
      </c>
      <c r="E966" s="1" t="n">
        <v>1</v>
      </c>
      <c r="F966" s="1" t="n">
        <f aca="false">Y966-X966</f>
        <v>5</v>
      </c>
      <c r="G966" s="1" t="n">
        <v>4</v>
      </c>
      <c r="H966" s="3" t="s">
        <v>36</v>
      </c>
      <c r="I966" s="3" t="s">
        <v>131</v>
      </c>
      <c r="J966" s="3" t="s">
        <v>133</v>
      </c>
      <c r="K966" s="2" t="str">
        <f aca="false">CONCATENATE(I966," ",J966)</f>
        <v>Xysticus luctuosus</v>
      </c>
      <c r="L966" s="3" t="n">
        <f aca="false">SUM(P966:U966)</f>
        <v>1</v>
      </c>
      <c r="M966" s="11" t="n">
        <f aca="false">(L966/(F966*G966)*25)*4</f>
        <v>5</v>
      </c>
      <c r="N966" s="1" t="s">
        <v>30</v>
      </c>
      <c r="O966" s="1" t="s">
        <v>35</v>
      </c>
      <c r="P966" s="1" t="n">
        <v>0</v>
      </c>
      <c r="Q966" s="1" t="n">
        <v>1</v>
      </c>
      <c r="R966" s="1" t="n">
        <v>0</v>
      </c>
      <c r="S966" s="1" t="n">
        <v>0</v>
      </c>
      <c r="T966" s="1" t="n">
        <v>0</v>
      </c>
      <c r="U966" s="1" t="n">
        <v>0</v>
      </c>
      <c r="V966" s="3" t="n">
        <f aca="false">SUM(P966:Q966)</f>
        <v>1</v>
      </c>
      <c r="W966" s="3" t="n">
        <f aca="false">SUM(R966:T966)</f>
        <v>0</v>
      </c>
      <c r="X966" s="10" t="n">
        <v>39970</v>
      </c>
      <c r="Y966" s="10" t="n">
        <v>39975</v>
      </c>
    </row>
    <row r="967" customFormat="false" ht="14.25" hidden="false" customHeight="false" outlineLevel="0" collapsed="false">
      <c r="A967" s="1" t="n">
        <v>2009</v>
      </c>
      <c r="B967" s="1" t="n">
        <v>1</v>
      </c>
      <c r="C967" s="2" t="s">
        <v>50</v>
      </c>
      <c r="D967" s="7" t="s">
        <v>98</v>
      </c>
      <c r="E967" s="1" t="n">
        <v>1</v>
      </c>
      <c r="F967" s="1" t="n">
        <f aca="false">Y967-X967</f>
        <v>5</v>
      </c>
      <c r="G967" s="1" t="n">
        <v>4</v>
      </c>
      <c r="H967" s="13" t="s">
        <v>32</v>
      </c>
      <c r="I967" s="13" t="s">
        <v>96</v>
      </c>
      <c r="J967" s="14" t="s">
        <v>97</v>
      </c>
      <c r="K967" s="2" t="str">
        <f aca="false">CONCATENATE(I967," ",J967)</f>
        <v>Diplocephalus picinus</v>
      </c>
      <c r="L967" s="3" t="n">
        <f aca="false">SUM(P967:U967)</f>
        <v>1</v>
      </c>
      <c r="M967" s="11" t="n">
        <f aca="false">(L967/(F967*G967)*25)*4</f>
        <v>5</v>
      </c>
      <c r="N967" s="1" t="s">
        <v>30</v>
      </c>
      <c r="O967" s="1" t="s">
        <v>31</v>
      </c>
      <c r="P967" s="1" t="n">
        <v>1</v>
      </c>
      <c r="Q967" s="1" t="n">
        <v>0</v>
      </c>
      <c r="R967" s="1" t="n">
        <v>0</v>
      </c>
      <c r="S967" s="1" t="n">
        <v>0</v>
      </c>
      <c r="T967" s="1" t="n">
        <v>0</v>
      </c>
      <c r="U967" s="1" t="n">
        <v>0</v>
      </c>
      <c r="V967" s="3" t="n">
        <f aca="false">SUM(P967:Q967)</f>
        <v>1</v>
      </c>
      <c r="W967" s="3" t="n">
        <f aca="false">SUM(R967:T967)</f>
        <v>0</v>
      </c>
      <c r="X967" s="10" t="n">
        <v>39970</v>
      </c>
      <c r="Y967" s="10" t="n">
        <v>39975</v>
      </c>
    </row>
    <row r="968" customFormat="false" ht="14.25" hidden="false" customHeight="false" outlineLevel="0" collapsed="false">
      <c r="A968" s="1" t="n">
        <v>2009</v>
      </c>
      <c r="B968" s="1" t="n">
        <v>1</v>
      </c>
      <c r="C968" s="2" t="s">
        <v>50</v>
      </c>
      <c r="D968" s="7" t="s">
        <v>98</v>
      </c>
      <c r="E968" s="1" t="n">
        <v>1</v>
      </c>
      <c r="F968" s="1" t="n">
        <f aca="false">Y968-X968</f>
        <v>5</v>
      </c>
      <c r="G968" s="1" t="n">
        <v>4</v>
      </c>
      <c r="H968" s="3" t="s">
        <v>32</v>
      </c>
      <c r="I968" s="3" t="s">
        <v>57</v>
      </c>
      <c r="J968" s="3" t="s">
        <v>38</v>
      </c>
      <c r="K968" s="2" t="str">
        <f aca="false">CONCATENATE(I968," ",J968)</f>
        <v>Gen sp</v>
      </c>
      <c r="L968" s="3" t="n">
        <f aca="false">SUM(P968:U968)</f>
        <v>1</v>
      </c>
      <c r="M968" s="11" t="n">
        <f aca="false">(L968/(F968*G968)*25)*4</f>
        <v>5</v>
      </c>
      <c r="N968" s="1" t="s">
        <v>19</v>
      </c>
      <c r="O968" s="1" t="s">
        <v>54</v>
      </c>
      <c r="P968" s="1" t="n">
        <v>0</v>
      </c>
      <c r="Q968" s="1" t="n">
        <v>0</v>
      </c>
      <c r="R968" s="1" t="n">
        <v>0</v>
      </c>
      <c r="S968" s="1" t="n">
        <v>0</v>
      </c>
      <c r="T968" s="1" t="n">
        <v>1</v>
      </c>
      <c r="U968" s="1" t="n">
        <v>0</v>
      </c>
      <c r="V968" s="3" t="n">
        <f aca="false">SUM(P968:Q968)</f>
        <v>0</v>
      </c>
      <c r="W968" s="3" t="n">
        <f aca="false">SUM(R968:T968)</f>
        <v>1</v>
      </c>
      <c r="X968" s="10" t="n">
        <v>39970</v>
      </c>
      <c r="Y968" s="10" t="n">
        <v>39975</v>
      </c>
    </row>
    <row r="969" customFormat="false" ht="14.25" hidden="false" customHeight="false" outlineLevel="0" collapsed="false">
      <c r="A969" s="1" t="n">
        <v>2009</v>
      </c>
      <c r="B969" s="1" t="n">
        <v>1</v>
      </c>
      <c r="C969" s="2" t="s">
        <v>50</v>
      </c>
      <c r="D969" s="7" t="s">
        <v>98</v>
      </c>
      <c r="E969" s="1" t="n">
        <v>2</v>
      </c>
      <c r="F969" s="1" t="n">
        <f aca="false">Y969-X969</f>
        <v>5</v>
      </c>
      <c r="G969" s="1" t="n">
        <v>5</v>
      </c>
      <c r="H969" s="3" t="s">
        <v>48</v>
      </c>
      <c r="I969" s="3" t="s">
        <v>49</v>
      </c>
      <c r="J969" s="3" t="s">
        <v>104</v>
      </c>
      <c r="K969" s="2" t="str">
        <f aca="false">CONCATENATE(I969," ",J969)</f>
        <v>Alopecosa taeniata</v>
      </c>
      <c r="L969" s="3" t="n">
        <f aca="false">SUM(P969:U969)</f>
        <v>4</v>
      </c>
      <c r="M969" s="11" t="n">
        <f aca="false">(L969/(F969*G969)*25)*4</f>
        <v>16</v>
      </c>
      <c r="N969" s="1" t="s">
        <v>30</v>
      </c>
      <c r="O969" s="1" t="s">
        <v>31</v>
      </c>
      <c r="P969" s="1" t="n">
        <v>4</v>
      </c>
      <c r="Q969" s="1" t="n">
        <v>0</v>
      </c>
      <c r="R969" s="1" t="n">
        <v>0</v>
      </c>
      <c r="S969" s="1" t="n">
        <v>0</v>
      </c>
      <c r="T969" s="1" t="n">
        <v>0</v>
      </c>
      <c r="U969" s="1" t="n">
        <v>0</v>
      </c>
      <c r="V969" s="3" t="n">
        <f aca="false">SUM(P969:Q969)</f>
        <v>4</v>
      </c>
      <c r="W969" s="3" t="n">
        <f aca="false">SUM(R969:T969)</f>
        <v>0</v>
      </c>
      <c r="X969" s="10" t="n">
        <v>39970</v>
      </c>
      <c r="Y969" s="10" t="n">
        <v>39975</v>
      </c>
    </row>
    <row r="970" customFormat="false" ht="14.25" hidden="false" customHeight="false" outlineLevel="0" collapsed="false">
      <c r="A970" s="1" t="n">
        <v>2009</v>
      </c>
      <c r="B970" s="1" t="n">
        <v>1</v>
      </c>
      <c r="C970" s="2" t="s">
        <v>50</v>
      </c>
      <c r="D970" s="7" t="s">
        <v>98</v>
      </c>
      <c r="E970" s="1" t="n">
        <v>2</v>
      </c>
      <c r="F970" s="1" t="n">
        <f aca="false">Y970-X970</f>
        <v>5</v>
      </c>
      <c r="G970" s="1" t="n">
        <v>5</v>
      </c>
      <c r="H970" s="3" t="s">
        <v>48</v>
      </c>
      <c r="I970" s="3" t="s">
        <v>49</v>
      </c>
      <c r="J970" s="3" t="s">
        <v>104</v>
      </c>
      <c r="K970" s="2" t="str">
        <f aca="false">CONCATENATE(I970," ",J970)</f>
        <v>Alopecosa taeniata</v>
      </c>
      <c r="L970" s="3" t="n">
        <f aca="false">SUM(P970:U970)</f>
        <v>1</v>
      </c>
      <c r="M970" s="11" t="n">
        <f aca="false">(L970/(F970*G970)*25)*4</f>
        <v>4</v>
      </c>
      <c r="N970" s="1" t="s">
        <v>30</v>
      </c>
      <c r="O970" s="1" t="s">
        <v>35</v>
      </c>
      <c r="P970" s="1" t="n">
        <v>0</v>
      </c>
      <c r="Q970" s="1" t="n">
        <v>1</v>
      </c>
      <c r="R970" s="1" t="n">
        <v>0</v>
      </c>
      <c r="S970" s="1" t="n">
        <v>0</v>
      </c>
      <c r="T970" s="1" t="n">
        <v>0</v>
      </c>
      <c r="U970" s="1" t="n">
        <v>0</v>
      </c>
      <c r="V970" s="3" t="n">
        <f aca="false">SUM(P970:Q970)</f>
        <v>1</v>
      </c>
      <c r="W970" s="3" t="n">
        <f aca="false">SUM(R970:T970)</f>
        <v>0</v>
      </c>
      <c r="X970" s="10" t="n">
        <v>39970</v>
      </c>
      <c r="Y970" s="10" t="n">
        <v>39975</v>
      </c>
    </row>
    <row r="971" customFormat="false" ht="14.25" hidden="false" customHeight="false" outlineLevel="0" collapsed="false">
      <c r="A971" s="1" t="n">
        <v>2009</v>
      </c>
      <c r="B971" s="1" t="n">
        <v>1</v>
      </c>
      <c r="C971" s="2" t="s">
        <v>50</v>
      </c>
      <c r="D971" s="7" t="s">
        <v>98</v>
      </c>
      <c r="E971" s="1" t="n">
        <v>2</v>
      </c>
      <c r="F971" s="1" t="n">
        <f aca="false">Y971-X971</f>
        <v>5</v>
      </c>
      <c r="G971" s="1" t="n">
        <v>5</v>
      </c>
      <c r="H971" s="3" t="s">
        <v>48</v>
      </c>
      <c r="I971" s="3" t="s">
        <v>67</v>
      </c>
      <c r="J971" s="3" t="s">
        <v>127</v>
      </c>
      <c r="K971" s="2" t="str">
        <f aca="false">CONCATENATE(I971," ",J971)</f>
        <v>Pardosa lugubris</v>
      </c>
      <c r="L971" s="3" t="n">
        <f aca="false">SUM(P971:U971)</f>
        <v>4</v>
      </c>
      <c r="M971" s="11" t="n">
        <f aca="false">(L971/(F971*G971)*25)*4</f>
        <v>16</v>
      </c>
      <c r="N971" s="1" t="s">
        <v>30</v>
      </c>
      <c r="O971" s="1" t="s">
        <v>31</v>
      </c>
      <c r="P971" s="1" t="n">
        <v>4</v>
      </c>
      <c r="Q971" s="1" t="n">
        <v>0</v>
      </c>
      <c r="R971" s="1" t="n">
        <v>0</v>
      </c>
      <c r="S971" s="1" t="n">
        <v>0</v>
      </c>
      <c r="T971" s="1" t="n">
        <v>0</v>
      </c>
      <c r="U971" s="1" t="n">
        <v>0</v>
      </c>
      <c r="V971" s="3" t="n">
        <f aca="false">SUM(P971:Q971)</f>
        <v>4</v>
      </c>
      <c r="W971" s="3" t="n">
        <f aca="false">SUM(R971:T971)</f>
        <v>0</v>
      </c>
      <c r="X971" s="10" t="n">
        <v>39970</v>
      </c>
      <c r="Y971" s="10" t="n">
        <v>39975</v>
      </c>
    </row>
    <row r="972" customFormat="false" ht="14.25" hidden="false" customHeight="false" outlineLevel="0" collapsed="false">
      <c r="A972" s="1" t="n">
        <v>2009</v>
      </c>
      <c r="B972" s="1" t="n">
        <v>1</v>
      </c>
      <c r="C972" s="2" t="s">
        <v>50</v>
      </c>
      <c r="D972" s="7" t="s">
        <v>98</v>
      </c>
      <c r="E972" s="1" t="n">
        <v>2</v>
      </c>
      <c r="F972" s="1" t="n">
        <f aca="false">Y972-X972</f>
        <v>5</v>
      </c>
      <c r="G972" s="1" t="n">
        <v>5</v>
      </c>
      <c r="H972" s="3" t="s">
        <v>48</v>
      </c>
      <c r="I972" s="3" t="s">
        <v>61</v>
      </c>
      <c r="J972" s="3" t="s">
        <v>82</v>
      </c>
      <c r="K972" s="2" t="str">
        <f aca="false">CONCATENATE(I972," ",J972)</f>
        <v>Trochosa terricola</v>
      </c>
      <c r="L972" s="3" t="n">
        <f aca="false">SUM(P972:U972)</f>
        <v>1</v>
      </c>
      <c r="M972" s="11" t="n">
        <f aca="false">(L972/(F972*G972)*25)*4</f>
        <v>4</v>
      </c>
      <c r="N972" s="1" t="s">
        <v>30</v>
      </c>
      <c r="O972" s="1" t="s">
        <v>35</v>
      </c>
      <c r="P972" s="1" t="n">
        <v>0</v>
      </c>
      <c r="Q972" s="1" t="n">
        <v>1</v>
      </c>
      <c r="R972" s="1" t="n">
        <v>0</v>
      </c>
      <c r="S972" s="1" t="n">
        <v>0</v>
      </c>
      <c r="T972" s="1" t="n">
        <v>0</v>
      </c>
      <c r="U972" s="1" t="n">
        <v>0</v>
      </c>
      <c r="V972" s="3" t="n">
        <f aca="false">SUM(P972:Q972)</f>
        <v>1</v>
      </c>
      <c r="W972" s="3" t="n">
        <f aca="false">SUM(R972:T972)</f>
        <v>0</v>
      </c>
      <c r="X972" s="10" t="n">
        <v>39970</v>
      </c>
      <c r="Y972" s="10" t="n">
        <v>39975</v>
      </c>
    </row>
    <row r="973" customFormat="false" ht="14.25" hidden="false" customHeight="false" outlineLevel="0" collapsed="false">
      <c r="A973" s="1" t="n">
        <v>2009</v>
      </c>
      <c r="B973" s="1" t="n">
        <v>1</v>
      </c>
      <c r="C973" s="2" t="s">
        <v>50</v>
      </c>
      <c r="D973" s="7" t="s">
        <v>98</v>
      </c>
      <c r="E973" s="1" t="n">
        <v>2</v>
      </c>
      <c r="F973" s="1" t="n">
        <f aca="false">Y973-X973</f>
        <v>5</v>
      </c>
      <c r="G973" s="1" t="n">
        <v>5</v>
      </c>
      <c r="H973" s="3" t="s">
        <v>36</v>
      </c>
      <c r="I973" s="3" t="s">
        <v>131</v>
      </c>
      <c r="J973" s="3" t="s">
        <v>133</v>
      </c>
      <c r="K973" s="2" t="str">
        <f aca="false">CONCATENATE(I973," ",J973)</f>
        <v>Xysticus luctuosus</v>
      </c>
      <c r="L973" s="3" t="n">
        <f aca="false">SUM(P973:U973)</f>
        <v>4</v>
      </c>
      <c r="M973" s="11" t="n">
        <f aca="false">(L973/(F973*G973)*25)*4</f>
        <v>16</v>
      </c>
      <c r="N973" s="1" t="s">
        <v>30</v>
      </c>
      <c r="O973" s="1" t="s">
        <v>31</v>
      </c>
      <c r="P973" s="1" t="n">
        <v>4</v>
      </c>
      <c r="Q973" s="1" t="n">
        <v>0</v>
      </c>
      <c r="R973" s="1" t="n">
        <v>0</v>
      </c>
      <c r="S973" s="1" t="n">
        <v>0</v>
      </c>
      <c r="T973" s="1" t="n">
        <v>0</v>
      </c>
      <c r="U973" s="1" t="n">
        <v>0</v>
      </c>
      <c r="V973" s="3" t="n">
        <f aca="false">SUM(P973:Q973)</f>
        <v>4</v>
      </c>
      <c r="W973" s="3" t="n">
        <f aca="false">SUM(R973:T973)</f>
        <v>0</v>
      </c>
      <c r="X973" s="10" t="n">
        <v>39970</v>
      </c>
      <c r="Y973" s="10" t="n">
        <v>39975</v>
      </c>
    </row>
    <row r="974" customFormat="false" ht="14.25" hidden="false" customHeight="false" outlineLevel="0" collapsed="false">
      <c r="A974" s="1" t="n">
        <v>2009</v>
      </c>
      <c r="B974" s="1" t="n">
        <v>1</v>
      </c>
      <c r="C974" s="2" t="s">
        <v>50</v>
      </c>
      <c r="D974" s="7" t="s">
        <v>98</v>
      </c>
      <c r="E974" s="1" t="n">
        <v>2</v>
      </c>
      <c r="F974" s="1" t="n">
        <f aca="false">Y974-X974</f>
        <v>5</v>
      </c>
      <c r="G974" s="1" t="n">
        <v>4</v>
      </c>
      <c r="H974" s="3" t="s">
        <v>48</v>
      </c>
      <c r="I974" s="3" t="s">
        <v>49</v>
      </c>
      <c r="J974" s="3" t="s">
        <v>104</v>
      </c>
      <c r="K974" s="2" t="str">
        <f aca="false">CONCATENATE(I974," ",J974)</f>
        <v>Alopecosa taeniata</v>
      </c>
      <c r="L974" s="3" t="n">
        <f aca="false">SUM(P974:U974)</f>
        <v>4</v>
      </c>
      <c r="M974" s="11" t="n">
        <f aca="false">(L974/(F974*G974)*25)*4</f>
        <v>20</v>
      </c>
      <c r="N974" s="1" t="s">
        <v>30</v>
      </c>
      <c r="O974" s="1" t="s">
        <v>31</v>
      </c>
      <c r="P974" s="1" t="n">
        <v>4</v>
      </c>
      <c r="Q974" s="1" t="n">
        <v>0</v>
      </c>
      <c r="R974" s="1" t="n">
        <v>0</v>
      </c>
      <c r="S974" s="1" t="n">
        <v>0</v>
      </c>
      <c r="T974" s="1" t="n">
        <v>0</v>
      </c>
      <c r="U974" s="1" t="n">
        <v>0</v>
      </c>
      <c r="V974" s="3" t="n">
        <f aca="false">SUM(P974:Q974)</f>
        <v>4</v>
      </c>
      <c r="W974" s="3" t="n">
        <f aca="false">SUM(R974:T974)</f>
        <v>0</v>
      </c>
      <c r="X974" s="10" t="n">
        <v>39970</v>
      </c>
      <c r="Y974" s="10" t="n">
        <v>39975</v>
      </c>
    </row>
    <row r="975" customFormat="false" ht="14.25" hidden="false" customHeight="false" outlineLevel="0" collapsed="false">
      <c r="A975" s="1" t="n">
        <v>2009</v>
      </c>
      <c r="B975" s="1" t="n">
        <v>1</v>
      </c>
      <c r="C975" s="2" t="s">
        <v>50</v>
      </c>
      <c r="D975" s="7" t="s">
        <v>98</v>
      </c>
      <c r="E975" s="1" t="n">
        <v>2</v>
      </c>
      <c r="F975" s="1" t="n">
        <f aca="false">Y975-X975</f>
        <v>5</v>
      </c>
      <c r="G975" s="1" t="n">
        <v>4</v>
      </c>
      <c r="H975" s="3" t="s">
        <v>48</v>
      </c>
      <c r="I975" s="3" t="s">
        <v>49</v>
      </c>
      <c r="J975" s="3" t="s">
        <v>104</v>
      </c>
      <c r="K975" s="2" t="str">
        <f aca="false">CONCATENATE(I975," ",J975)</f>
        <v>Alopecosa taeniata</v>
      </c>
      <c r="L975" s="3" t="n">
        <f aca="false">SUM(P975:U975)</f>
        <v>1</v>
      </c>
      <c r="M975" s="11" t="n">
        <f aca="false">(L975/(F975*G975)*25)*4</f>
        <v>5</v>
      </c>
      <c r="N975" s="1" t="s">
        <v>30</v>
      </c>
      <c r="O975" s="1" t="s">
        <v>35</v>
      </c>
      <c r="P975" s="1" t="n">
        <v>0</v>
      </c>
      <c r="Q975" s="1" t="n">
        <v>1</v>
      </c>
      <c r="R975" s="1" t="n">
        <v>0</v>
      </c>
      <c r="S975" s="1" t="n">
        <v>0</v>
      </c>
      <c r="T975" s="1" t="n">
        <v>0</v>
      </c>
      <c r="U975" s="1" t="n">
        <v>0</v>
      </c>
      <c r="V975" s="3" t="n">
        <f aca="false">SUM(P975:Q975)</f>
        <v>1</v>
      </c>
      <c r="W975" s="3" t="n">
        <f aca="false">SUM(R975:T975)</f>
        <v>0</v>
      </c>
      <c r="X975" s="10" t="n">
        <v>39970</v>
      </c>
      <c r="Y975" s="10" t="n">
        <v>39975</v>
      </c>
    </row>
    <row r="976" customFormat="false" ht="14.25" hidden="false" customHeight="false" outlineLevel="0" collapsed="false">
      <c r="A976" s="1" t="n">
        <v>2009</v>
      </c>
      <c r="B976" s="1" t="n">
        <v>1</v>
      </c>
      <c r="C976" s="2" t="s">
        <v>50</v>
      </c>
      <c r="D976" s="7" t="s">
        <v>98</v>
      </c>
      <c r="E976" s="1" t="n">
        <v>2</v>
      </c>
      <c r="F976" s="1" t="n">
        <f aca="false">Y976-X976</f>
        <v>5</v>
      </c>
      <c r="G976" s="1" t="n">
        <v>4</v>
      </c>
      <c r="H976" s="3" t="s">
        <v>48</v>
      </c>
      <c r="I976" s="3" t="s">
        <v>67</v>
      </c>
      <c r="J976" s="3" t="s">
        <v>127</v>
      </c>
      <c r="K976" s="2" t="str">
        <f aca="false">CONCATENATE(I976," ",J976)</f>
        <v>Pardosa lugubris</v>
      </c>
      <c r="L976" s="3" t="n">
        <f aca="false">SUM(P976:U976)</f>
        <v>4</v>
      </c>
      <c r="M976" s="11" t="n">
        <f aca="false">(L976/(F976*G976)*25)*4</f>
        <v>20</v>
      </c>
      <c r="N976" s="1" t="s">
        <v>30</v>
      </c>
      <c r="O976" s="1" t="s">
        <v>31</v>
      </c>
      <c r="P976" s="1" t="n">
        <v>4</v>
      </c>
      <c r="Q976" s="1" t="n">
        <v>0</v>
      </c>
      <c r="R976" s="1" t="n">
        <v>0</v>
      </c>
      <c r="S976" s="1" t="n">
        <v>0</v>
      </c>
      <c r="T976" s="1" t="n">
        <v>0</v>
      </c>
      <c r="U976" s="1" t="n">
        <v>0</v>
      </c>
      <c r="V976" s="3" t="n">
        <f aca="false">SUM(P976:Q976)</f>
        <v>4</v>
      </c>
      <c r="W976" s="3" t="n">
        <f aca="false">SUM(R976:T976)</f>
        <v>0</v>
      </c>
      <c r="X976" s="10" t="n">
        <v>39970</v>
      </c>
      <c r="Y976" s="10" t="n">
        <v>39975</v>
      </c>
    </row>
    <row r="977" customFormat="false" ht="14.25" hidden="false" customHeight="false" outlineLevel="0" collapsed="false">
      <c r="A977" s="1" t="n">
        <v>2009</v>
      </c>
      <c r="B977" s="1" t="n">
        <v>1</v>
      </c>
      <c r="C977" s="2" t="s">
        <v>50</v>
      </c>
      <c r="D977" s="7" t="s">
        <v>98</v>
      </c>
      <c r="E977" s="1" t="n">
        <v>2</v>
      </c>
      <c r="F977" s="1" t="n">
        <f aca="false">Y977-X977</f>
        <v>5</v>
      </c>
      <c r="G977" s="1" t="n">
        <v>4</v>
      </c>
      <c r="H977" s="3" t="s">
        <v>48</v>
      </c>
      <c r="I977" s="3" t="s">
        <v>57</v>
      </c>
      <c r="J977" s="3" t="s">
        <v>38</v>
      </c>
      <c r="K977" s="2" t="str">
        <f aca="false">CONCATENATE(I977," ",J977)</f>
        <v>Gen sp</v>
      </c>
      <c r="L977" s="3" t="n">
        <f aca="false">SUM(P977:U977)</f>
        <v>1</v>
      </c>
      <c r="M977" s="11" t="n">
        <f aca="false">(L977/(F977*G977)*25)*4</f>
        <v>5</v>
      </c>
      <c r="N977" s="1" t="s">
        <v>19</v>
      </c>
      <c r="O977" s="1" t="s">
        <v>54</v>
      </c>
      <c r="P977" s="1" t="n">
        <v>0</v>
      </c>
      <c r="Q977" s="1" t="n">
        <v>0</v>
      </c>
      <c r="R977" s="1" t="n">
        <v>0</v>
      </c>
      <c r="S977" s="1" t="n">
        <v>0</v>
      </c>
      <c r="T977" s="1" t="n">
        <v>1</v>
      </c>
      <c r="U977" s="1" t="n">
        <v>0</v>
      </c>
      <c r="V977" s="3" t="n">
        <f aca="false">SUM(P977:Q977)</f>
        <v>0</v>
      </c>
      <c r="W977" s="3" t="n">
        <f aca="false">SUM(R977:T977)</f>
        <v>1</v>
      </c>
      <c r="X977" s="10" t="n">
        <v>39970</v>
      </c>
      <c r="Y977" s="10" t="n">
        <v>39975</v>
      </c>
    </row>
    <row r="978" customFormat="false" ht="14.25" hidden="false" customHeight="false" outlineLevel="0" collapsed="false">
      <c r="A978" s="1" t="n">
        <v>2009</v>
      </c>
      <c r="B978" s="1" t="n">
        <v>1</v>
      </c>
      <c r="C978" s="2" t="s">
        <v>50</v>
      </c>
      <c r="D978" s="7" t="s">
        <v>98</v>
      </c>
      <c r="E978" s="1" t="n">
        <v>2</v>
      </c>
      <c r="F978" s="1" t="n">
        <f aca="false">Y978-X978</f>
        <v>5</v>
      </c>
      <c r="G978" s="1" t="n">
        <v>4</v>
      </c>
      <c r="H978" s="3" t="s">
        <v>36</v>
      </c>
      <c r="I978" s="3" t="s">
        <v>37</v>
      </c>
      <c r="J978" s="3" t="s">
        <v>38</v>
      </c>
      <c r="K978" s="2" t="str">
        <f aca="false">CONCATENATE(I978," ",J978)</f>
        <v>Ozyptila sp</v>
      </c>
      <c r="L978" s="3" t="n">
        <f aca="false">SUM(P978:U978)</f>
        <v>1</v>
      </c>
      <c r="M978" s="11" t="n">
        <f aca="false">(L978/(F978*G978)*25)*4</f>
        <v>5</v>
      </c>
      <c r="N978" s="1" t="s">
        <v>19</v>
      </c>
      <c r="O978" s="1" t="s">
        <v>54</v>
      </c>
      <c r="P978" s="1" t="n">
        <v>0</v>
      </c>
      <c r="Q978" s="1" t="n">
        <v>0</v>
      </c>
      <c r="R978" s="1" t="n">
        <v>0</v>
      </c>
      <c r="S978" s="1" t="n">
        <v>0</v>
      </c>
      <c r="T978" s="1" t="n">
        <v>1</v>
      </c>
      <c r="U978" s="1" t="n">
        <v>0</v>
      </c>
      <c r="V978" s="3" t="n">
        <f aca="false">SUM(P978:Q978)</f>
        <v>0</v>
      </c>
      <c r="W978" s="3" t="n">
        <f aca="false">SUM(R978:T978)</f>
        <v>1</v>
      </c>
      <c r="X978" s="10" t="n">
        <v>39970</v>
      </c>
      <c r="Y978" s="10" t="n">
        <v>39975</v>
      </c>
    </row>
    <row r="979" customFormat="false" ht="14.25" hidden="false" customHeight="false" outlineLevel="0" collapsed="false">
      <c r="A979" s="1" t="n">
        <v>2009</v>
      </c>
      <c r="B979" s="1" t="n">
        <v>1</v>
      </c>
      <c r="C979" s="2" t="s">
        <v>50</v>
      </c>
      <c r="D979" s="7" t="s">
        <v>98</v>
      </c>
      <c r="E979" s="1" t="n">
        <v>2</v>
      </c>
      <c r="F979" s="1" t="n">
        <f aca="false">Y979-X979</f>
        <v>5</v>
      </c>
      <c r="G979" s="1" t="n">
        <v>4</v>
      </c>
      <c r="H979" s="3" t="s">
        <v>64</v>
      </c>
      <c r="I979" s="3" t="s">
        <v>65</v>
      </c>
      <c r="J979" s="3" t="s">
        <v>123</v>
      </c>
      <c r="K979" s="2" t="str">
        <f aca="false">CONCATENATE(I979," ",J979)</f>
        <v>Zora nemoralis</v>
      </c>
      <c r="L979" s="3" t="n">
        <f aca="false">SUM(P979:U979)</f>
        <v>2</v>
      </c>
      <c r="M979" s="11" t="n">
        <f aca="false">(L979/(F979*G979)*25)*4</f>
        <v>10</v>
      </c>
      <c r="N979" s="1" t="s">
        <v>30</v>
      </c>
      <c r="O979" s="1" t="s">
        <v>31</v>
      </c>
      <c r="P979" s="1" t="n">
        <v>2</v>
      </c>
      <c r="Q979" s="1" t="n">
        <v>0</v>
      </c>
      <c r="R979" s="1" t="n">
        <v>0</v>
      </c>
      <c r="S979" s="1" t="n">
        <v>0</v>
      </c>
      <c r="T979" s="1" t="n">
        <v>0</v>
      </c>
      <c r="U979" s="1" t="n">
        <v>0</v>
      </c>
      <c r="V979" s="3" t="n">
        <f aca="false">SUM(P979:Q979)</f>
        <v>2</v>
      </c>
      <c r="W979" s="3" t="n">
        <f aca="false">SUM(R979:T979)</f>
        <v>0</v>
      </c>
      <c r="X979" s="10" t="n">
        <v>39970</v>
      </c>
      <c r="Y979" s="10" t="n">
        <v>39975</v>
      </c>
    </row>
    <row r="980" customFormat="false" ht="14.25" hidden="false" customHeight="false" outlineLevel="0" collapsed="false">
      <c r="A980" s="1" t="n">
        <v>2009</v>
      </c>
      <c r="B980" s="1" t="n">
        <v>1</v>
      </c>
      <c r="C980" s="2" t="s">
        <v>50</v>
      </c>
      <c r="D980" s="7" t="s">
        <v>98</v>
      </c>
      <c r="E980" s="1" t="n">
        <v>2</v>
      </c>
      <c r="F980" s="1" t="n">
        <f aca="false">Y980-X980</f>
        <v>5</v>
      </c>
      <c r="G980" s="1" t="n">
        <v>4</v>
      </c>
      <c r="H980" s="3" t="s">
        <v>64</v>
      </c>
      <c r="I980" s="3" t="s">
        <v>65</v>
      </c>
      <c r="J980" s="3" t="s">
        <v>123</v>
      </c>
      <c r="K980" s="2" t="str">
        <f aca="false">CONCATENATE(I980," ",J980)</f>
        <v>Zora nemoralis</v>
      </c>
      <c r="L980" s="3" t="n">
        <f aca="false">SUM(P980:U980)</f>
        <v>1</v>
      </c>
      <c r="M980" s="11" t="n">
        <f aca="false">(L980/(F980*G980)*25)*4</f>
        <v>5</v>
      </c>
      <c r="N980" s="1" t="s">
        <v>19</v>
      </c>
      <c r="O980" s="1" t="s">
        <v>54</v>
      </c>
      <c r="P980" s="1" t="n">
        <v>0</v>
      </c>
      <c r="Q980" s="1" t="n">
        <v>0</v>
      </c>
      <c r="R980" s="1" t="n">
        <v>0</v>
      </c>
      <c r="S980" s="1" t="n">
        <v>0</v>
      </c>
      <c r="T980" s="1" t="n">
        <v>1</v>
      </c>
      <c r="U980" s="1" t="n">
        <v>0</v>
      </c>
      <c r="V980" s="3" t="n">
        <f aca="false">SUM(P980:Q980)</f>
        <v>0</v>
      </c>
      <c r="W980" s="3" t="n">
        <f aca="false">SUM(R980:T980)</f>
        <v>1</v>
      </c>
      <c r="X980" s="10" t="n">
        <v>39970</v>
      </c>
      <c r="Y980" s="10" t="n">
        <v>39975</v>
      </c>
    </row>
    <row r="981" customFormat="false" ht="14.25" hidden="false" customHeight="false" outlineLevel="0" collapsed="false">
      <c r="A981" s="1" t="n">
        <v>2009</v>
      </c>
      <c r="B981" s="1" t="n">
        <v>1</v>
      </c>
      <c r="C981" s="2" t="s">
        <v>50</v>
      </c>
      <c r="D981" s="7" t="s">
        <v>98</v>
      </c>
      <c r="E981" s="1" t="n">
        <v>2</v>
      </c>
      <c r="F981" s="1" t="n">
        <f aca="false">Y981-X981</f>
        <v>5</v>
      </c>
      <c r="G981" s="1" t="n">
        <v>4</v>
      </c>
      <c r="H981" s="3" t="s">
        <v>92</v>
      </c>
      <c r="I981" s="3" t="s">
        <v>171</v>
      </c>
      <c r="J981" s="3" t="s">
        <v>38</v>
      </c>
      <c r="K981" s="2" t="str">
        <f aca="false">CONCATENATE(I981," ",J981)</f>
        <v>Euophrys sp</v>
      </c>
      <c r="L981" s="3" t="n">
        <f aca="false">SUM(P981:U981)</f>
        <v>1</v>
      </c>
      <c r="M981" s="11" t="n">
        <f aca="false">(L981/(F981*G981)*25)*4</f>
        <v>5</v>
      </c>
      <c r="N981" s="1" t="s">
        <v>30</v>
      </c>
      <c r="O981" s="1" t="s">
        <v>35</v>
      </c>
      <c r="P981" s="1" t="n">
        <v>0</v>
      </c>
      <c r="Q981" s="1" t="n">
        <v>1</v>
      </c>
      <c r="R981" s="1" t="n">
        <v>0</v>
      </c>
      <c r="S981" s="1" t="n">
        <v>0</v>
      </c>
      <c r="T981" s="1" t="n">
        <v>0</v>
      </c>
      <c r="U981" s="1" t="n">
        <v>0</v>
      </c>
      <c r="V981" s="3" t="n">
        <f aca="false">SUM(P981:Q981)</f>
        <v>1</v>
      </c>
      <c r="W981" s="3" t="n">
        <f aca="false">SUM(R981:T981)</f>
        <v>0</v>
      </c>
      <c r="X981" s="10" t="n">
        <v>39970</v>
      </c>
      <c r="Y981" s="10" t="n">
        <v>39975</v>
      </c>
    </row>
    <row r="982" customFormat="false" ht="14.25" hidden="false" customHeight="false" outlineLevel="0" collapsed="false">
      <c r="A982" s="1" t="n">
        <v>2009</v>
      </c>
      <c r="B982" s="1" t="n">
        <v>1</v>
      </c>
      <c r="C982" s="2" t="s">
        <v>50</v>
      </c>
      <c r="D982" s="7" t="s">
        <v>98</v>
      </c>
      <c r="E982" s="1" t="n">
        <v>2</v>
      </c>
      <c r="F982" s="1" t="n">
        <f aca="false">Y982-X982</f>
        <v>5</v>
      </c>
      <c r="G982" s="1" t="n">
        <v>4</v>
      </c>
      <c r="H982" s="3" t="s">
        <v>32</v>
      </c>
      <c r="I982" s="3" t="s">
        <v>102</v>
      </c>
      <c r="J982" s="3" t="s">
        <v>103</v>
      </c>
      <c r="K982" s="2" t="str">
        <f aca="false">CONCATENATE(I982," ",J982)</f>
        <v>Agyneta olivacea</v>
      </c>
      <c r="L982" s="3" t="n">
        <f aca="false">SUM(P982:U982)</f>
        <v>1</v>
      </c>
      <c r="M982" s="11" t="n">
        <f aca="false">(L982/(F982*G982)*25)*4</f>
        <v>5</v>
      </c>
      <c r="N982" s="1" t="s">
        <v>30</v>
      </c>
      <c r="O982" s="1" t="s">
        <v>31</v>
      </c>
      <c r="P982" s="1" t="n">
        <v>1</v>
      </c>
      <c r="Q982" s="1" t="n">
        <v>0</v>
      </c>
      <c r="R982" s="1" t="n">
        <v>0</v>
      </c>
      <c r="S982" s="1" t="n">
        <v>0</v>
      </c>
      <c r="T982" s="1" t="n">
        <v>0</v>
      </c>
      <c r="U982" s="1" t="n">
        <v>0</v>
      </c>
      <c r="V982" s="3" t="n">
        <f aca="false">SUM(P982:Q982)</f>
        <v>1</v>
      </c>
      <c r="W982" s="3" t="n">
        <f aca="false">SUM(R982:T982)</f>
        <v>0</v>
      </c>
      <c r="X982" s="10" t="n">
        <v>39970</v>
      </c>
      <c r="Y982" s="10" t="n">
        <v>39975</v>
      </c>
    </row>
    <row r="983" customFormat="false" ht="14.25" hidden="false" customHeight="false" outlineLevel="0" collapsed="false">
      <c r="A983" s="1" t="n">
        <v>2009</v>
      </c>
      <c r="B983" s="1" t="n">
        <v>1</v>
      </c>
      <c r="C983" s="2" t="s">
        <v>50</v>
      </c>
      <c r="D983" s="7" t="s">
        <v>98</v>
      </c>
      <c r="E983" s="1" t="n">
        <v>2</v>
      </c>
      <c r="F983" s="1" t="n">
        <f aca="false">Y983-X983</f>
        <v>5</v>
      </c>
      <c r="G983" s="1" t="n">
        <v>5</v>
      </c>
      <c r="H983" s="3" t="s">
        <v>48</v>
      </c>
      <c r="I983" s="3" t="s">
        <v>49</v>
      </c>
      <c r="J983" s="3" t="s">
        <v>104</v>
      </c>
      <c r="K983" s="2" t="str">
        <f aca="false">CONCATENATE(I983," ",J983)</f>
        <v>Alopecosa taeniata</v>
      </c>
      <c r="L983" s="3" t="n">
        <f aca="false">SUM(P983:U983)</f>
        <v>2</v>
      </c>
      <c r="M983" s="11" t="n">
        <f aca="false">(L983/(F983*G983)*25)*4</f>
        <v>8</v>
      </c>
      <c r="N983" s="1" t="s">
        <v>30</v>
      </c>
      <c r="O983" s="1" t="s">
        <v>31</v>
      </c>
      <c r="P983" s="1" t="n">
        <v>2</v>
      </c>
      <c r="Q983" s="1" t="n">
        <v>0</v>
      </c>
      <c r="R983" s="1" t="n">
        <v>0</v>
      </c>
      <c r="S983" s="1" t="n">
        <v>0</v>
      </c>
      <c r="T983" s="1" t="n">
        <v>0</v>
      </c>
      <c r="U983" s="1" t="n">
        <v>0</v>
      </c>
      <c r="V983" s="3" t="n">
        <f aca="false">SUM(P983:Q983)</f>
        <v>2</v>
      </c>
      <c r="W983" s="3" t="n">
        <f aca="false">SUM(R983:T983)</f>
        <v>0</v>
      </c>
      <c r="X983" s="10" t="n">
        <v>39970</v>
      </c>
      <c r="Y983" s="10" t="n">
        <v>39975</v>
      </c>
    </row>
    <row r="984" customFormat="false" ht="14.25" hidden="false" customHeight="false" outlineLevel="0" collapsed="false">
      <c r="A984" s="1" t="n">
        <v>2009</v>
      </c>
      <c r="B984" s="1" t="n">
        <v>1</v>
      </c>
      <c r="C984" s="2" t="s">
        <v>50</v>
      </c>
      <c r="D984" s="7" t="s">
        <v>98</v>
      </c>
      <c r="E984" s="1" t="n">
        <v>2</v>
      </c>
      <c r="F984" s="1" t="n">
        <f aca="false">Y984-X984</f>
        <v>5</v>
      </c>
      <c r="G984" s="1" t="n">
        <v>5</v>
      </c>
      <c r="H984" s="3" t="s">
        <v>48</v>
      </c>
      <c r="I984" s="3" t="s">
        <v>67</v>
      </c>
      <c r="J984" s="3" t="s">
        <v>127</v>
      </c>
      <c r="K984" s="2" t="str">
        <f aca="false">CONCATENATE(I984," ",J984)</f>
        <v>Pardosa lugubris</v>
      </c>
      <c r="L984" s="3" t="n">
        <f aca="false">SUM(P984:U984)</f>
        <v>4</v>
      </c>
      <c r="M984" s="11" t="n">
        <f aca="false">(L984/(F984*G984)*25)*4</f>
        <v>16</v>
      </c>
      <c r="N984" s="1" t="s">
        <v>30</v>
      </c>
      <c r="O984" s="1" t="s">
        <v>31</v>
      </c>
      <c r="P984" s="1" t="n">
        <v>4</v>
      </c>
      <c r="Q984" s="1" t="n">
        <v>0</v>
      </c>
      <c r="R984" s="1" t="n">
        <v>0</v>
      </c>
      <c r="S984" s="1" t="n">
        <v>0</v>
      </c>
      <c r="T984" s="1" t="n">
        <v>0</v>
      </c>
      <c r="U984" s="1" t="n">
        <v>0</v>
      </c>
      <c r="V984" s="3" t="n">
        <f aca="false">SUM(P984:Q984)</f>
        <v>4</v>
      </c>
      <c r="W984" s="3" t="n">
        <f aca="false">SUM(R984:T984)</f>
        <v>0</v>
      </c>
      <c r="X984" s="10" t="n">
        <v>39970</v>
      </c>
      <c r="Y984" s="10" t="n">
        <v>39975</v>
      </c>
    </row>
    <row r="985" customFormat="false" ht="14.25" hidden="false" customHeight="false" outlineLevel="0" collapsed="false">
      <c r="A985" s="1" t="n">
        <v>2009</v>
      </c>
      <c r="B985" s="1" t="n">
        <v>1</v>
      </c>
      <c r="C985" s="2" t="s">
        <v>50</v>
      </c>
      <c r="D985" s="7" t="s">
        <v>98</v>
      </c>
      <c r="E985" s="1" t="n">
        <v>2</v>
      </c>
      <c r="F985" s="1" t="n">
        <f aca="false">Y985-X985</f>
        <v>5</v>
      </c>
      <c r="G985" s="1" t="n">
        <v>5</v>
      </c>
      <c r="H985" s="3" t="s">
        <v>48</v>
      </c>
      <c r="I985" s="3" t="s">
        <v>61</v>
      </c>
      <c r="J985" s="3" t="s">
        <v>38</v>
      </c>
      <c r="K985" s="2" t="str">
        <f aca="false">CONCATENATE(I985," ",J985)</f>
        <v>Trochosa sp</v>
      </c>
      <c r="L985" s="3" t="n">
        <f aca="false">SUM(P985:U985)</f>
        <v>1</v>
      </c>
      <c r="M985" s="11" t="n">
        <f aca="false">(L985/(F985*G985)*25)*4</f>
        <v>4</v>
      </c>
      <c r="N985" s="1" t="s">
        <v>30</v>
      </c>
      <c r="O985" s="1" t="s">
        <v>31</v>
      </c>
      <c r="P985" s="1" t="n">
        <v>1</v>
      </c>
      <c r="Q985" s="1" t="n">
        <v>0</v>
      </c>
      <c r="R985" s="1" t="n">
        <v>0</v>
      </c>
      <c r="S985" s="1" t="n">
        <v>0</v>
      </c>
      <c r="T985" s="1" t="n">
        <v>0</v>
      </c>
      <c r="U985" s="1" t="n">
        <v>0</v>
      </c>
      <c r="V985" s="3" t="n">
        <f aca="false">SUM(P985:Q985)</f>
        <v>1</v>
      </c>
      <c r="W985" s="3" t="n">
        <f aca="false">SUM(R985:T985)</f>
        <v>0</v>
      </c>
      <c r="X985" s="10" t="n">
        <v>39970</v>
      </c>
      <c r="Y985" s="10" t="n">
        <v>39975</v>
      </c>
    </row>
    <row r="986" customFormat="false" ht="14.25" hidden="false" customHeight="false" outlineLevel="0" collapsed="false">
      <c r="A986" s="1" t="n">
        <v>2009</v>
      </c>
      <c r="B986" s="1" t="n">
        <v>1</v>
      </c>
      <c r="C986" s="2" t="s">
        <v>50</v>
      </c>
      <c r="D986" s="7" t="s">
        <v>98</v>
      </c>
      <c r="E986" s="1" t="n">
        <v>2</v>
      </c>
      <c r="F986" s="1" t="n">
        <f aca="false">Y986-X986</f>
        <v>5</v>
      </c>
      <c r="G986" s="1" t="n">
        <v>5</v>
      </c>
      <c r="H986" s="3" t="s">
        <v>36</v>
      </c>
      <c r="I986" s="3" t="s">
        <v>131</v>
      </c>
      <c r="J986" s="3" t="s">
        <v>133</v>
      </c>
      <c r="K986" s="2" t="str">
        <f aca="false">CONCATENATE(I986," ",J986)</f>
        <v>Xysticus luctuosus</v>
      </c>
      <c r="L986" s="3" t="n">
        <f aca="false">SUM(P986:U986)</f>
        <v>3</v>
      </c>
      <c r="M986" s="11" t="n">
        <f aca="false">(L986/(F986*G986)*25)*4</f>
        <v>12</v>
      </c>
      <c r="N986" s="1" t="s">
        <v>30</v>
      </c>
      <c r="O986" s="1" t="s">
        <v>31</v>
      </c>
      <c r="P986" s="1" t="n">
        <v>3</v>
      </c>
      <c r="Q986" s="1" t="n">
        <v>0</v>
      </c>
      <c r="R986" s="1" t="n">
        <v>0</v>
      </c>
      <c r="S986" s="1" t="n">
        <v>0</v>
      </c>
      <c r="T986" s="1" t="n">
        <v>0</v>
      </c>
      <c r="U986" s="1" t="n">
        <v>0</v>
      </c>
      <c r="V986" s="3" t="n">
        <f aca="false">SUM(P986:Q986)</f>
        <v>3</v>
      </c>
      <c r="W986" s="3" t="n">
        <f aca="false">SUM(R986:T986)</f>
        <v>0</v>
      </c>
      <c r="X986" s="10" t="n">
        <v>39970</v>
      </c>
      <c r="Y986" s="10" t="n">
        <v>39975</v>
      </c>
    </row>
    <row r="987" customFormat="false" ht="14.25" hidden="false" customHeight="false" outlineLevel="0" collapsed="false">
      <c r="A987" s="1" t="n">
        <v>2009</v>
      </c>
      <c r="B987" s="1" t="n">
        <v>1</v>
      </c>
      <c r="C987" s="2" t="s">
        <v>50</v>
      </c>
      <c r="D987" s="7" t="s">
        <v>98</v>
      </c>
      <c r="E987" s="1" t="n">
        <v>2</v>
      </c>
      <c r="F987" s="1" t="n">
        <f aca="false">Y987-X987</f>
        <v>5</v>
      </c>
      <c r="G987" s="1" t="n">
        <v>5</v>
      </c>
      <c r="H987" s="3" t="s">
        <v>72</v>
      </c>
      <c r="I987" s="3" t="s">
        <v>86</v>
      </c>
      <c r="J987" s="8" t="s">
        <v>87</v>
      </c>
      <c r="K987" s="2" t="str">
        <f aca="false">CONCATENATE(I987," ",J987)</f>
        <v>Haplodrassus soerenseni</v>
      </c>
      <c r="L987" s="3" t="n">
        <f aca="false">SUM(P987:U987)</f>
        <v>1</v>
      </c>
      <c r="M987" s="11" t="n">
        <f aca="false">(L987/(F987*G987)*25)*4</f>
        <v>4</v>
      </c>
      <c r="N987" s="1" t="s">
        <v>30</v>
      </c>
      <c r="O987" s="1" t="s">
        <v>31</v>
      </c>
      <c r="P987" s="1" t="n">
        <v>1</v>
      </c>
      <c r="Q987" s="1" t="n">
        <v>0</v>
      </c>
      <c r="R987" s="1" t="n">
        <v>0</v>
      </c>
      <c r="S987" s="1" t="n">
        <v>0</v>
      </c>
      <c r="T987" s="1" t="n">
        <v>0</v>
      </c>
      <c r="U987" s="1" t="n">
        <v>0</v>
      </c>
      <c r="V987" s="3" t="n">
        <f aca="false">SUM(P987:Q987)</f>
        <v>1</v>
      </c>
      <c r="W987" s="3" t="n">
        <f aca="false">SUM(R987:T987)</f>
        <v>0</v>
      </c>
      <c r="X987" s="10" t="n">
        <v>39970</v>
      </c>
      <c r="Y987" s="10" t="n">
        <v>39975</v>
      </c>
    </row>
    <row r="988" customFormat="false" ht="14.25" hidden="false" customHeight="false" outlineLevel="0" collapsed="false">
      <c r="A988" s="1" t="n">
        <v>2009</v>
      </c>
      <c r="B988" s="1" t="n">
        <v>1</v>
      </c>
      <c r="C988" s="2" t="s">
        <v>50</v>
      </c>
      <c r="D988" s="7" t="s">
        <v>98</v>
      </c>
      <c r="E988" s="1" t="n">
        <v>2</v>
      </c>
      <c r="F988" s="1" t="n">
        <f aca="false">Y988-X988</f>
        <v>5</v>
      </c>
      <c r="G988" s="1" t="n">
        <v>5</v>
      </c>
      <c r="H988" s="3" t="s">
        <v>72</v>
      </c>
      <c r="I988" s="3" t="s">
        <v>73</v>
      </c>
      <c r="J988" s="3" t="s">
        <v>74</v>
      </c>
      <c r="K988" s="2" t="str">
        <f aca="false">CONCATENATE(I988," ",J988)</f>
        <v>Zelotes subterraneus</v>
      </c>
      <c r="L988" s="3" t="n">
        <f aca="false">SUM(P988:U988)</f>
        <v>1</v>
      </c>
      <c r="M988" s="11" t="n">
        <f aca="false">(L988/(F988*G988)*25)*4</f>
        <v>4</v>
      </c>
      <c r="N988" s="1" t="s">
        <v>30</v>
      </c>
      <c r="O988" s="1" t="s">
        <v>31</v>
      </c>
      <c r="P988" s="1" t="n">
        <v>1</v>
      </c>
      <c r="Q988" s="1" t="n">
        <v>0</v>
      </c>
      <c r="R988" s="1" t="n">
        <v>0</v>
      </c>
      <c r="S988" s="1" t="n">
        <v>0</v>
      </c>
      <c r="T988" s="1" t="n">
        <v>0</v>
      </c>
      <c r="U988" s="1" t="n">
        <v>0</v>
      </c>
      <c r="V988" s="3" t="n">
        <f aca="false">SUM(P988:Q988)</f>
        <v>1</v>
      </c>
      <c r="W988" s="3" t="n">
        <f aca="false">SUM(R988:T988)</f>
        <v>0</v>
      </c>
      <c r="X988" s="10" t="n">
        <v>39970</v>
      </c>
      <c r="Y988" s="10" t="n">
        <v>39975</v>
      </c>
    </row>
    <row r="989" customFormat="false" ht="14.25" hidden="false" customHeight="false" outlineLevel="0" collapsed="false">
      <c r="A989" s="1" t="n">
        <v>2009</v>
      </c>
      <c r="B989" s="1" t="n">
        <v>1</v>
      </c>
      <c r="C989" s="2" t="s">
        <v>50</v>
      </c>
      <c r="D989" s="7" t="s">
        <v>98</v>
      </c>
      <c r="E989" s="1" t="n">
        <v>2</v>
      </c>
      <c r="F989" s="1" t="n">
        <f aca="false">Y989-X989</f>
        <v>5</v>
      </c>
      <c r="G989" s="1" t="n">
        <v>5</v>
      </c>
      <c r="H989" s="3" t="s">
        <v>72</v>
      </c>
      <c r="I989" s="3" t="s">
        <v>73</v>
      </c>
      <c r="J989" s="3" t="s">
        <v>74</v>
      </c>
      <c r="K989" s="2" t="str">
        <f aca="false">CONCATENATE(I989," ",J989)</f>
        <v>Zelotes subterraneus</v>
      </c>
      <c r="L989" s="3" t="n">
        <f aca="false">SUM(P989:U989)</f>
        <v>1</v>
      </c>
      <c r="M989" s="11" t="n">
        <f aca="false">(L989/(F989*G989)*25)*4</f>
        <v>4</v>
      </c>
      <c r="N989" s="1" t="s">
        <v>30</v>
      </c>
      <c r="O989" s="1" t="s">
        <v>35</v>
      </c>
      <c r="P989" s="1" t="n">
        <v>0</v>
      </c>
      <c r="Q989" s="1" t="n">
        <v>1</v>
      </c>
      <c r="R989" s="1" t="n">
        <v>0</v>
      </c>
      <c r="S989" s="1" t="n">
        <v>0</v>
      </c>
      <c r="T989" s="1" t="n">
        <v>0</v>
      </c>
      <c r="U989" s="1" t="n">
        <v>0</v>
      </c>
      <c r="V989" s="3" t="n">
        <f aca="false">SUM(P989:Q989)</f>
        <v>1</v>
      </c>
      <c r="W989" s="3" t="n">
        <f aca="false">SUM(R989:T989)</f>
        <v>0</v>
      </c>
      <c r="X989" s="10" t="n">
        <v>39970</v>
      </c>
      <c r="Y989" s="10" t="n">
        <v>39975</v>
      </c>
    </row>
    <row r="990" customFormat="false" ht="14.25" hidden="false" customHeight="false" outlineLevel="0" collapsed="false">
      <c r="A990" s="1" t="n">
        <v>2009</v>
      </c>
      <c r="B990" s="1" t="n">
        <v>1</v>
      </c>
      <c r="C990" s="2" t="s">
        <v>50</v>
      </c>
      <c r="D990" s="7" t="s">
        <v>98</v>
      </c>
      <c r="E990" s="1" t="n">
        <v>2</v>
      </c>
      <c r="F990" s="1" t="n">
        <f aca="false">Y990-X990</f>
        <v>5</v>
      </c>
      <c r="G990" s="1" t="n">
        <v>5</v>
      </c>
      <c r="H990" s="3" t="s">
        <v>64</v>
      </c>
      <c r="I990" s="3" t="s">
        <v>65</v>
      </c>
      <c r="J990" s="3" t="s">
        <v>123</v>
      </c>
      <c r="K990" s="2" t="str">
        <f aca="false">CONCATENATE(I990," ",J990)</f>
        <v>Zora nemoralis</v>
      </c>
      <c r="L990" s="3" t="n">
        <f aca="false">SUM(P990:U990)</f>
        <v>1</v>
      </c>
      <c r="M990" s="11" t="n">
        <f aca="false">(L990/(F990*G990)*25)*4</f>
        <v>4</v>
      </c>
      <c r="N990" s="1" t="s">
        <v>30</v>
      </c>
      <c r="O990" s="1" t="s">
        <v>31</v>
      </c>
      <c r="P990" s="1" t="n">
        <v>1</v>
      </c>
      <c r="Q990" s="1" t="n">
        <v>0</v>
      </c>
      <c r="R990" s="1" t="n">
        <v>0</v>
      </c>
      <c r="S990" s="1" t="n">
        <v>0</v>
      </c>
      <c r="T990" s="1" t="n">
        <v>0</v>
      </c>
      <c r="U990" s="1" t="n">
        <v>0</v>
      </c>
      <c r="V990" s="3" t="n">
        <f aca="false">SUM(P990:Q990)</f>
        <v>1</v>
      </c>
      <c r="W990" s="3" t="n">
        <f aca="false">SUM(R990:T990)</f>
        <v>0</v>
      </c>
      <c r="X990" s="10" t="n">
        <v>39970</v>
      </c>
      <c r="Y990" s="10" t="n">
        <v>39975</v>
      </c>
    </row>
    <row r="991" customFormat="false" ht="14.25" hidden="false" customHeight="false" outlineLevel="0" collapsed="false">
      <c r="A991" s="1" t="n">
        <v>2009</v>
      </c>
      <c r="B991" s="1" t="n">
        <v>1</v>
      </c>
      <c r="C991" s="2" t="s">
        <v>50</v>
      </c>
      <c r="D991" s="7" t="s">
        <v>98</v>
      </c>
      <c r="E991" s="1" t="n">
        <v>2</v>
      </c>
      <c r="F991" s="1" t="n">
        <f aca="false">Y991-X991</f>
        <v>5</v>
      </c>
      <c r="G991" s="1" t="n">
        <v>5</v>
      </c>
      <c r="H991" s="13" t="s">
        <v>27</v>
      </c>
      <c r="I991" s="13" t="s">
        <v>46</v>
      </c>
      <c r="J991" s="14" t="s">
        <v>47</v>
      </c>
      <c r="K991" s="2" t="str">
        <f aca="false">CONCATENATE(I991," ",J991)</f>
        <v>Euryopis flavomaculata</v>
      </c>
      <c r="L991" s="3" t="n">
        <f aca="false">SUM(P991:U991)</f>
        <v>1</v>
      </c>
      <c r="M991" s="11" t="n">
        <f aca="false">(L991/(F991*G991)*25)*4</f>
        <v>4</v>
      </c>
      <c r="N991" s="1" t="s">
        <v>30</v>
      </c>
      <c r="O991" s="1" t="s">
        <v>31</v>
      </c>
      <c r="P991" s="1" t="n">
        <v>1</v>
      </c>
      <c r="Q991" s="1" t="n">
        <v>0</v>
      </c>
      <c r="R991" s="1" t="n">
        <v>0</v>
      </c>
      <c r="S991" s="1" t="n">
        <v>0</v>
      </c>
      <c r="T991" s="1" t="n">
        <v>0</v>
      </c>
      <c r="U991" s="1" t="n">
        <v>0</v>
      </c>
      <c r="V991" s="3" t="n">
        <f aca="false">SUM(P991:Q991)</f>
        <v>1</v>
      </c>
      <c r="W991" s="3" t="n">
        <f aca="false">SUM(R991:T991)</f>
        <v>0</v>
      </c>
      <c r="X991" s="10" t="n">
        <v>39970</v>
      </c>
      <c r="Y991" s="10" t="n">
        <v>39975</v>
      </c>
    </row>
    <row r="992" customFormat="false" ht="14.25" hidden="false" customHeight="false" outlineLevel="0" collapsed="false">
      <c r="A992" s="1" t="n">
        <v>2009</v>
      </c>
      <c r="B992" s="1" t="n">
        <v>1</v>
      </c>
      <c r="C992" s="2" t="s">
        <v>50</v>
      </c>
      <c r="D992" s="7" t="s">
        <v>98</v>
      </c>
      <c r="E992" s="1" t="n">
        <v>2</v>
      </c>
      <c r="F992" s="1" t="n">
        <f aca="false">Y992-X992</f>
        <v>5</v>
      </c>
      <c r="G992" s="1" t="n">
        <v>5</v>
      </c>
      <c r="H992" s="3" t="s">
        <v>48</v>
      </c>
      <c r="I992" s="3" t="s">
        <v>49</v>
      </c>
      <c r="J992" s="3" t="s">
        <v>104</v>
      </c>
      <c r="K992" s="2" t="str">
        <f aca="false">CONCATENATE(I992," ",J992)</f>
        <v>Alopecosa taeniata</v>
      </c>
      <c r="L992" s="3" t="n">
        <f aca="false">SUM(P992:U992)</f>
        <v>6</v>
      </c>
      <c r="M992" s="11" t="n">
        <f aca="false">(L992/(F992*G992)*25)*4</f>
        <v>24</v>
      </c>
      <c r="N992" s="1" t="s">
        <v>30</v>
      </c>
      <c r="O992" s="1" t="s">
        <v>31</v>
      </c>
      <c r="P992" s="1" t="n">
        <v>6</v>
      </c>
      <c r="Q992" s="1" t="n">
        <v>0</v>
      </c>
      <c r="R992" s="1" t="n">
        <v>0</v>
      </c>
      <c r="S992" s="1" t="n">
        <v>0</v>
      </c>
      <c r="T992" s="1" t="n">
        <v>0</v>
      </c>
      <c r="U992" s="1" t="n">
        <v>0</v>
      </c>
      <c r="V992" s="3" t="n">
        <f aca="false">SUM(P992:Q992)</f>
        <v>6</v>
      </c>
      <c r="W992" s="3" t="n">
        <f aca="false">SUM(R992:T992)</f>
        <v>0</v>
      </c>
      <c r="X992" s="10" t="n">
        <v>39970</v>
      </c>
      <c r="Y992" s="10" t="n">
        <v>39975</v>
      </c>
    </row>
    <row r="993" customFormat="false" ht="14.25" hidden="false" customHeight="false" outlineLevel="0" collapsed="false">
      <c r="A993" s="1" t="n">
        <v>2009</v>
      </c>
      <c r="B993" s="1" t="n">
        <v>1</v>
      </c>
      <c r="C993" s="2" t="s">
        <v>50</v>
      </c>
      <c r="D993" s="7" t="s">
        <v>98</v>
      </c>
      <c r="E993" s="1" t="n">
        <v>2</v>
      </c>
      <c r="F993" s="1" t="n">
        <f aca="false">Y993-X993</f>
        <v>5</v>
      </c>
      <c r="G993" s="1" t="n">
        <v>5</v>
      </c>
      <c r="H993" s="3" t="s">
        <v>48</v>
      </c>
      <c r="I993" s="3" t="s">
        <v>67</v>
      </c>
      <c r="J993" s="3" t="s">
        <v>127</v>
      </c>
      <c r="K993" s="2" t="str">
        <f aca="false">CONCATENATE(I993," ",J993)</f>
        <v>Pardosa lugubris</v>
      </c>
      <c r="L993" s="3" t="n">
        <f aca="false">SUM(P993:U993)</f>
        <v>4</v>
      </c>
      <c r="M993" s="11" t="n">
        <f aca="false">(L993/(F993*G993)*25)*4</f>
        <v>16</v>
      </c>
      <c r="N993" s="1" t="s">
        <v>30</v>
      </c>
      <c r="O993" s="1" t="s">
        <v>31</v>
      </c>
      <c r="P993" s="1" t="n">
        <v>4</v>
      </c>
      <c r="Q993" s="1" t="n">
        <v>0</v>
      </c>
      <c r="R993" s="1" t="n">
        <v>0</v>
      </c>
      <c r="S993" s="1" t="n">
        <v>0</v>
      </c>
      <c r="T993" s="1" t="n">
        <v>0</v>
      </c>
      <c r="U993" s="1" t="n">
        <v>0</v>
      </c>
      <c r="V993" s="3" t="n">
        <f aca="false">SUM(P993:Q993)</f>
        <v>4</v>
      </c>
      <c r="W993" s="3" t="n">
        <f aca="false">SUM(R993:T993)</f>
        <v>0</v>
      </c>
      <c r="X993" s="10" t="n">
        <v>39970</v>
      </c>
      <c r="Y993" s="10" t="n">
        <v>39975</v>
      </c>
    </row>
    <row r="994" customFormat="false" ht="14.25" hidden="false" customHeight="false" outlineLevel="0" collapsed="false">
      <c r="A994" s="1" t="n">
        <v>2009</v>
      </c>
      <c r="B994" s="1" t="n">
        <v>1</v>
      </c>
      <c r="C994" s="2" t="s">
        <v>50</v>
      </c>
      <c r="D994" s="7" t="s">
        <v>98</v>
      </c>
      <c r="E994" s="1" t="n">
        <v>2</v>
      </c>
      <c r="F994" s="1" t="n">
        <f aca="false">Y994-X994</f>
        <v>5</v>
      </c>
      <c r="G994" s="1" t="n">
        <v>5</v>
      </c>
      <c r="H994" s="3" t="s">
        <v>72</v>
      </c>
      <c r="I994" s="3" t="s">
        <v>86</v>
      </c>
      <c r="J994" s="8" t="s">
        <v>87</v>
      </c>
      <c r="K994" s="2" t="str">
        <f aca="false">CONCATENATE(I994," ",J994)</f>
        <v>Haplodrassus soerenseni</v>
      </c>
      <c r="L994" s="3" t="n">
        <f aca="false">SUM(P994:U994)</f>
        <v>1</v>
      </c>
      <c r="M994" s="11" t="n">
        <f aca="false">(L994/(F994*G994)*25)*4</f>
        <v>4</v>
      </c>
      <c r="N994" s="1" t="s">
        <v>30</v>
      </c>
      <c r="O994" s="1" t="s">
        <v>31</v>
      </c>
      <c r="P994" s="1" t="n">
        <v>1</v>
      </c>
      <c r="Q994" s="1" t="n">
        <v>0</v>
      </c>
      <c r="R994" s="1" t="n">
        <v>0</v>
      </c>
      <c r="S994" s="1" t="n">
        <v>0</v>
      </c>
      <c r="T994" s="1" t="n">
        <v>0</v>
      </c>
      <c r="U994" s="1" t="n">
        <v>0</v>
      </c>
      <c r="V994" s="3" t="n">
        <f aca="false">SUM(P994:Q994)</f>
        <v>1</v>
      </c>
      <c r="W994" s="3" t="n">
        <f aca="false">SUM(R994:T994)</f>
        <v>0</v>
      </c>
      <c r="X994" s="10" t="n">
        <v>39970</v>
      </c>
      <c r="Y994" s="10" t="n">
        <v>39975</v>
      </c>
    </row>
    <row r="995" customFormat="false" ht="14.25" hidden="false" customHeight="false" outlineLevel="0" collapsed="false">
      <c r="A995" s="1" t="n">
        <v>2009</v>
      </c>
      <c r="B995" s="1" t="n">
        <v>1</v>
      </c>
      <c r="C995" s="2" t="s">
        <v>50</v>
      </c>
      <c r="D995" s="7" t="s">
        <v>98</v>
      </c>
      <c r="E995" s="1" t="n">
        <v>2</v>
      </c>
      <c r="F995" s="1" t="n">
        <f aca="false">Y995-X995</f>
        <v>5</v>
      </c>
      <c r="G995" s="1" t="n">
        <v>5</v>
      </c>
      <c r="H995" s="3" t="s">
        <v>210</v>
      </c>
      <c r="I995" s="3" t="s">
        <v>211</v>
      </c>
      <c r="J995" s="3" t="s">
        <v>212</v>
      </c>
      <c r="K995" s="2" t="str">
        <f aca="false">CONCATENATE(I995," ",J995)</f>
        <v>Micrommata virescens</v>
      </c>
      <c r="L995" s="3" t="n">
        <f aca="false">SUM(P995:U995)</f>
        <v>1</v>
      </c>
      <c r="M995" s="11" t="n">
        <f aca="false">(L995/(F995*G995)*25)*4</f>
        <v>4</v>
      </c>
      <c r="N995" s="1" t="s">
        <v>30</v>
      </c>
      <c r="O995" s="1" t="s">
        <v>35</v>
      </c>
      <c r="P995" s="1" t="n">
        <v>0</v>
      </c>
      <c r="Q995" s="1" t="n">
        <v>1</v>
      </c>
      <c r="R995" s="1" t="n">
        <v>0</v>
      </c>
      <c r="S995" s="1" t="n">
        <v>0</v>
      </c>
      <c r="T995" s="1" t="n">
        <v>0</v>
      </c>
      <c r="U995" s="1" t="n">
        <v>0</v>
      </c>
      <c r="V995" s="3" t="n">
        <f aca="false">SUM(P995:Q995)</f>
        <v>1</v>
      </c>
      <c r="W995" s="3" t="n">
        <f aca="false">SUM(R995:T995)</f>
        <v>0</v>
      </c>
      <c r="X995" s="10" t="n">
        <v>39970</v>
      </c>
      <c r="Y995" s="10" t="n">
        <v>39975</v>
      </c>
    </row>
    <row r="996" customFormat="false" ht="14.25" hidden="false" customHeight="false" outlineLevel="0" collapsed="false">
      <c r="A996" s="1" t="n">
        <v>2009</v>
      </c>
      <c r="B996" s="1" t="n">
        <v>1</v>
      </c>
      <c r="C996" s="2" t="s">
        <v>50</v>
      </c>
      <c r="D996" s="7" t="s">
        <v>98</v>
      </c>
      <c r="E996" s="1" t="n">
        <v>2</v>
      </c>
      <c r="F996" s="1" t="n">
        <f aca="false">Y996-X996</f>
        <v>5</v>
      </c>
      <c r="G996" s="1" t="n">
        <v>5</v>
      </c>
      <c r="H996" s="3" t="s">
        <v>48</v>
      </c>
      <c r="I996" s="3" t="s">
        <v>67</v>
      </c>
      <c r="J996" s="3" t="s">
        <v>127</v>
      </c>
      <c r="K996" s="2" t="str">
        <f aca="false">CONCATENATE(I996," ",J996)</f>
        <v>Pardosa lugubris</v>
      </c>
      <c r="L996" s="3" t="n">
        <f aca="false">SUM(P996:U996)</f>
        <v>5</v>
      </c>
      <c r="M996" s="11" t="n">
        <f aca="false">(L996/(F996*G996)*25)*4</f>
        <v>20</v>
      </c>
      <c r="N996" s="1" t="s">
        <v>30</v>
      </c>
      <c r="O996" s="1" t="s">
        <v>31</v>
      </c>
      <c r="P996" s="1" t="n">
        <v>5</v>
      </c>
      <c r="Q996" s="1" t="n">
        <v>0</v>
      </c>
      <c r="R996" s="1" t="n">
        <v>0</v>
      </c>
      <c r="S996" s="1" t="n">
        <v>0</v>
      </c>
      <c r="T996" s="1" t="n">
        <v>0</v>
      </c>
      <c r="U996" s="1" t="n">
        <v>0</v>
      </c>
      <c r="V996" s="3" t="n">
        <f aca="false">SUM(P996:Q996)</f>
        <v>5</v>
      </c>
      <c r="W996" s="3" t="n">
        <f aca="false">SUM(R996:T996)</f>
        <v>0</v>
      </c>
      <c r="X996" s="10" t="n">
        <v>39970</v>
      </c>
      <c r="Y996" s="10" t="n">
        <v>39975</v>
      </c>
    </row>
    <row r="997" customFormat="false" ht="14.25" hidden="false" customHeight="false" outlineLevel="0" collapsed="false">
      <c r="A997" s="1" t="n">
        <v>2009</v>
      </c>
      <c r="B997" s="1" t="n">
        <v>1</v>
      </c>
      <c r="C997" s="2" t="s">
        <v>50</v>
      </c>
      <c r="D997" s="7" t="s">
        <v>98</v>
      </c>
      <c r="E997" s="1" t="n">
        <v>2</v>
      </c>
      <c r="F997" s="1" t="n">
        <f aca="false">Y997-X997</f>
        <v>5</v>
      </c>
      <c r="G997" s="1" t="n">
        <v>5</v>
      </c>
      <c r="H997" s="3" t="s">
        <v>72</v>
      </c>
      <c r="I997" s="3" t="s">
        <v>86</v>
      </c>
      <c r="J997" s="8" t="s">
        <v>87</v>
      </c>
      <c r="K997" s="2" t="str">
        <f aca="false">CONCATENATE(I997," ",J997)</f>
        <v>Haplodrassus soerenseni</v>
      </c>
      <c r="L997" s="3" t="n">
        <f aca="false">SUM(P997:U997)</f>
        <v>1</v>
      </c>
      <c r="M997" s="11" t="n">
        <f aca="false">(L997/(F997*G997)*25)*4</f>
        <v>4</v>
      </c>
      <c r="N997" s="1" t="s">
        <v>30</v>
      </c>
      <c r="O997" s="1" t="s">
        <v>31</v>
      </c>
      <c r="P997" s="1" t="n">
        <v>1</v>
      </c>
      <c r="Q997" s="1" t="n">
        <v>0</v>
      </c>
      <c r="R997" s="1" t="n">
        <v>0</v>
      </c>
      <c r="S997" s="1" t="n">
        <v>0</v>
      </c>
      <c r="T997" s="1" t="n">
        <v>0</v>
      </c>
      <c r="U997" s="1" t="n">
        <v>0</v>
      </c>
      <c r="V997" s="3" t="n">
        <f aca="false">SUM(P997:Q997)</f>
        <v>1</v>
      </c>
      <c r="W997" s="3" t="n">
        <f aca="false">SUM(R997:T997)</f>
        <v>0</v>
      </c>
      <c r="X997" s="10" t="n">
        <v>39970</v>
      </c>
      <c r="Y997" s="10" t="n">
        <v>39975</v>
      </c>
    </row>
    <row r="998" customFormat="false" ht="14.25" hidden="false" customHeight="false" outlineLevel="0" collapsed="false">
      <c r="A998" s="1" t="n">
        <v>2009</v>
      </c>
      <c r="B998" s="1" t="n">
        <v>1</v>
      </c>
      <c r="C998" s="2" t="s">
        <v>50</v>
      </c>
      <c r="D998" s="7" t="s">
        <v>98</v>
      </c>
      <c r="E998" s="1" t="n">
        <v>2</v>
      </c>
      <c r="F998" s="1" t="n">
        <f aca="false">Y998-X998</f>
        <v>5</v>
      </c>
      <c r="G998" s="1" t="n">
        <v>5</v>
      </c>
      <c r="H998" s="3" t="s">
        <v>72</v>
      </c>
      <c r="I998" s="3" t="s">
        <v>86</v>
      </c>
      <c r="J998" s="8" t="s">
        <v>87</v>
      </c>
      <c r="K998" s="2" t="str">
        <f aca="false">CONCATENATE(I998," ",J998)</f>
        <v>Haplodrassus soerenseni</v>
      </c>
      <c r="L998" s="3" t="n">
        <f aca="false">SUM(P998:U998)</f>
        <v>2</v>
      </c>
      <c r="M998" s="11" t="n">
        <f aca="false">(L998/(F998*G998)*25)*4</f>
        <v>8</v>
      </c>
      <c r="N998" s="1" t="s">
        <v>30</v>
      </c>
      <c r="O998" s="1" t="s">
        <v>35</v>
      </c>
      <c r="P998" s="1" t="n">
        <v>0</v>
      </c>
      <c r="Q998" s="1" t="n">
        <v>2</v>
      </c>
      <c r="R998" s="1" t="n">
        <v>0</v>
      </c>
      <c r="S998" s="1" t="n">
        <v>0</v>
      </c>
      <c r="T998" s="1" t="n">
        <v>0</v>
      </c>
      <c r="U998" s="1" t="n">
        <v>0</v>
      </c>
      <c r="V998" s="3" t="n">
        <f aca="false">SUM(P998:Q998)</f>
        <v>2</v>
      </c>
      <c r="W998" s="3" t="n">
        <f aca="false">SUM(R998:T998)</f>
        <v>0</v>
      </c>
      <c r="X998" s="10" t="n">
        <v>39970</v>
      </c>
      <c r="Y998" s="10" t="n">
        <v>39975</v>
      </c>
    </row>
    <row r="999" customFormat="false" ht="14.25" hidden="false" customHeight="false" outlineLevel="0" collapsed="false">
      <c r="A999" s="1" t="n">
        <v>2009</v>
      </c>
      <c r="B999" s="1" t="n">
        <v>1</v>
      </c>
      <c r="C999" s="2" t="s">
        <v>50</v>
      </c>
      <c r="D999" s="7" t="s">
        <v>98</v>
      </c>
      <c r="E999" s="1" t="n">
        <v>2</v>
      </c>
      <c r="F999" s="1" t="n">
        <f aca="false">Y999-X999</f>
        <v>5</v>
      </c>
      <c r="G999" s="1" t="n">
        <v>5</v>
      </c>
      <c r="H999" s="3" t="s">
        <v>72</v>
      </c>
      <c r="I999" s="3" t="s">
        <v>73</v>
      </c>
      <c r="J999" s="3" t="s">
        <v>74</v>
      </c>
      <c r="K999" s="2" t="str">
        <f aca="false">CONCATENATE(I999," ",J999)</f>
        <v>Zelotes subterraneus</v>
      </c>
      <c r="L999" s="3" t="n">
        <f aca="false">SUM(P999:U999)</f>
        <v>1</v>
      </c>
      <c r="M999" s="11" t="n">
        <f aca="false">(L999/(F999*G999)*25)*4</f>
        <v>4</v>
      </c>
      <c r="N999" s="1" t="s">
        <v>30</v>
      </c>
      <c r="O999" s="1" t="s">
        <v>31</v>
      </c>
      <c r="P999" s="1" t="n">
        <v>1</v>
      </c>
      <c r="Q999" s="1" t="n">
        <v>0</v>
      </c>
      <c r="R999" s="1" t="n">
        <v>0</v>
      </c>
      <c r="S999" s="1" t="n">
        <v>0</v>
      </c>
      <c r="T999" s="1" t="n">
        <v>0</v>
      </c>
      <c r="U999" s="1" t="n">
        <v>0</v>
      </c>
      <c r="V999" s="3" t="n">
        <f aca="false">SUM(P999:Q999)</f>
        <v>1</v>
      </c>
      <c r="W999" s="3" t="n">
        <f aca="false">SUM(R999:T999)</f>
        <v>0</v>
      </c>
      <c r="X999" s="10" t="n">
        <v>39970</v>
      </c>
      <c r="Y999" s="10" t="n">
        <v>39975</v>
      </c>
    </row>
    <row r="1000" customFormat="false" ht="14.25" hidden="false" customHeight="false" outlineLevel="0" collapsed="false">
      <c r="A1000" s="1" t="n">
        <v>2009</v>
      </c>
      <c r="B1000" s="1" t="n">
        <v>1</v>
      </c>
      <c r="C1000" s="2" t="s">
        <v>50</v>
      </c>
      <c r="D1000" s="7" t="s">
        <v>98</v>
      </c>
      <c r="E1000" s="1" t="n">
        <v>2</v>
      </c>
      <c r="F1000" s="1" t="n">
        <f aca="false">Y1000-X1000</f>
        <v>5</v>
      </c>
      <c r="G1000" s="1" t="n">
        <v>5</v>
      </c>
      <c r="H1000" s="3" t="s">
        <v>72</v>
      </c>
      <c r="I1000" s="3" t="s">
        <v>73</v>
      </c>
      <c r="J1000" s="3" t="s">
        <v>38</v>
      </c>
      <c r="K1000" s="2" t="str">
        <f aca="false">CONCATENATE(I1000," ",J1000)</f>
        <v>Zelotes sp</v>
      </c>
      <c r="L1000" s="3" t="n">
        <f aca="false">SUM(P1000:U1000)</f>
        <v>1</v>
      </c>
      <c r="M1000" s="11" t="n">
        <f aca="false">(L1000/(F1000*G1000)*25)*4</f>
        <v>4</v>
      </c>
      <c r="N1000" s="1" t="s">
        <v>19</v>
      </c>
      <c r="O1000" s="1" t="s">
        <v>54</v>
      </c>
      <c r="P1000" s="1" t="n">
        <v>0</v>
      </c>
      <c r="Q1000" s="1" t="n">
        <v>0</v>
      </c>
      <c r="R1000" s="1" t="n">
        <v>0</v>
      </c>
      <c r="S1000" s="1" t="n">
        <v>0</v>
      </c>
      <c r="T1000" s="1" t="n">
        <v>1</v>
      </c>
      <c r="U1000" s="1" t="n">
        <v>0</v>
      </c>
      <c r="V1000" s="3" t="n">
        <f aca="false">SUM(P1000:Q1000)</f>
        <v>0</v>
      </c>
      <c r="W1000" s="3" t="n">
        <f aca="false">SUM(R1000:T1000)</f>
        <v>1</v>
      </c>
      <c r="X1000" s="10" t="n">
        <v>39970</v>
      </c>
      <c r="Y1000" s="10" t="n">
        <v>39975</v>
      </c>
    </row>
    <row r="1001" customFormat="false" ht="14.25" hidden="false" customHeight="false" outlineLevel="0" collapsed="false">
      <c r="A1001" s="1" t="n">
        <v>2009</v>
      </c>
      <c r="B1001" s="1" t="n">
        <v>1</v>
      </c>
      <c r="C1001" s="2" t="s">
        <v>50</v>
      </c>
      <c r="D1001" s="7" t="s">
        <v>98</v>
      </c>
      <c r="E1001" s="1" t="n">
        <v>2</v>
      </c>
      <c r="F1001" s="1" t="n">
        <f aca="false">Y1001-X1001</f>
        <v>5</v>
      </c>
      <c r="G1001" s="1" t="n">
        <v>5</v>
      </c>
      <c r="H1001" s="3" t="s">
        <v>36</v>
      </c>
      <c r="I1001" s="3" t="s">
        <v>37</v>
      </c>
      <c r="J1001" s="8" t="s">
        <v>75</v>
      </c>
      <c r="K1001" s="2" t="str">
        <f aca="false">CONCATENATE(I1001," ",J1001)</f>
        <v>Ozyptila praticola</v>
      </c>
      <c r="L1001" s="3" t="n">
        <f aca="false">SUM(P1001:U1001)</f>
        <v>1</v>
      </c>
      <c r="M1001" s="11" t="n">
        <f aca="false">(L1001/(F1001*G1001)*25)*4</f>
        <v>4</v>
      </c>
      <c r="N1001" s="1" t="s">
        <v>30</v>
      </c>
      <c r="O1001" s="1" t="s">
        <v>31</v>
      </c>
      <c r="P1001" s="1" t="n">
        <v>1</v>
      </c>
      <c r="Q1001" s="1" t="n">
        <v>0</v>
      </c>
      <c r="R1001" s="1" t="n">
        <v>0</v>
      </c>
      <c r="S1001" s="1" t="n">
        <v>0</v>
      </c>
      <c r="T1001" s="1" t="n">
        <v>0</v>
      </c>
      <c r="U1001" s="1" t="n">
        <v>0</v>
      </c>
      <c r="V1001" s="3" t="n">
        <f aca="false">SUM(P1001:Q1001)</f>
        <v>1</v>
      </c>
      <c r="W1001" s="3" t="n">
        <f aca="false">SUM(R1001:T1001)</f>
        <v>0</v>
      </c>
      <c r="X1001" s="10" t="n">
        <v>39970</v>
      </c>
      <c r="Y1001" s="10" t="n">
        <v>39975</v>
      </c>
    </row>
    <row r="1002" customFormat="false" ht="14.25" hidden="false" customHeight="false" outlineLevel="0" collapsed="false">
      <c r="A1002" s="1" t="n">
        <v>2009</v>
      </c>
      <c r="B1002" s="1" t="n">
        <v>1</v>
      </c>
      <c r="C1002" s="2" t="s">
        <v>50</v>
      </c>
      <c r="D1002" s="7" t="s">
        <v>98</v>
      </c>
      <c r="E1002" s="1" t="n">
        <v>2</v>
      </c>
      <c r="F1002" s="1" t="n">
        <f aca="false">Y1002-X1002</f>
        <v>5</v>
      </c>
      <c r="G1002" s="1" t="n">
        <v>5</v>
      </c>
      <c r="H1002" s="3" t="s">
        <v>36</v>
      </c>
      <c r="I1002" s="3" t="s">
        <v>131</v>
      </c>
      <c r="J1002" s="3" t="s">
        <v>133</v>
      </c>
      <c r="K1002" s="2" t="str">
        <f aca="false">CONCATENATE(I1002," ",J1002)</f>
        <v>Xysticus luctuosus</v>
      </c>
      <c r="L1002" s="3" t="n">
        <f aca="false">SUM(P1002:U1002)</f>
        <v>1</v>
      </c>
      <c r="M1002" s="11" t="n">
        <f aca="false">(L1002/(F1002*G1002)*25)*4</f>
        <v>4</v>
      </c>
      <c r="N1002" s="1" t="s">
        <v>30</v>
      </c>
      <c r="O1002" s="1" t="s">
        <v>35</v>
      </c>
      <c r="P1002" s="1" t="n">
        <v>0</v>
      </c>
      <c r="Q1002" s="1" t="n">
        <v>1</v>
      </c>
      <c r="R1002" s="1" t="n">
        <v>0</v>
      </c>
      <c r="S1002" s="1" t="n">
        <v>0</v>
      </c>
      <c r="T1002" s="1" t="n">
        <v>0</v>
      </c>
      <c r="U1002" s="1" t="n">
        <v>0</v>
      </c>
      <c r="V1002" s="3" t="n">
        <f aca="false">SUM(P1002:Q1002)</f>
        <v>1</v>
      </c>
      <c r="W1002" s="3" t="n">
        <f aca="false">SUM(R1002:T1002)</f>
        <v>0</v>
      </c>
      <c r="X1002" s="10" t="n">
        <v>39970</v>
      </c>
      <c r="Y1002" s="10" t="n">
        <v>39975</v>
      </c>
    </row>
    <row r="1003" customFormat="false" ht="14.25" hidden="false" customHeight="false" outlineLevel="0" collapsed="false">
      <c r="A1003" s="1" t="n">
        <v>2009</v>
      </c>
      <c r="B1003" s="1" t="n">
        <v>1</v>
      </c>
      <c r="C1003" s="2" t="s">
        <v>50</v>
      </c>
      <c r="D1003" s="7" t="s">
        <v>98</v>
      </c>
      <c r="E1003" s="1" t="n">
        <v>2</v>
      </c>
      <c r="F1003" s="1" t="n">
        <f aca="false">Y1003-X1003</f>
        <v>5</v>
      </c>
      <c r="G1003" s="1" t="n">
        <v>5</v>
      </c>
      <c r="H1003" s="3" t="s">
        <v>64</v>
      </c>
      <c r="I1003" s="3" t="s">
        <v>65</v>
      </c>
      <c r="J1003" s="3" t="s">
        <v>123</v>
      </c>
      <c r="K1003" s="2" t="str">
        <f aca="false">CONCATENATE(I1003," ",J1003)</f>
        <v>Zora nemoralis</v>
      </c>
      <c r="L1003" s="3" t="n">
        <f aca="false">SUM(P1003:U1003)</f>
        <v>2</v>
      </c>
      <c r="M1003" s="11" t="n">
        <f aca="false">(L1003/(F1003*G1003)*25)*4</f>
        <v>8</v>
      </c>
      <c r="N1003" s="1" t="s">
        <v>30</v>
      </c>
      <c r="O1003" s="1" t="s">
        <v>31</v>
      </c>
      <c r="P1003" s="1" t="n">
        <v>2</v>
      </c>
      <c r="Q1003" s="1" t="n">
        <v>0</v>
      </c>
      <c r="R1003" s="1" t="n">
        <v>0</v>
      </c>
      <c r="S1003" s="1" t="n">
        <v>0</v>
      </c>
      <c r="T1003" s="1" t="n">
        <v>0</v>
      </c>
      <c r="U1003" s="1" t="n">
        <v>0</v>
      </c>
      <c r="V1003" s="3" t="n">
        <f aca="false">SUM(P1003:Q1003)</f>
        <v>2</v>
      </c>
      <c r="W1003" s="3" t="n">
        <f aca="false">SUM(R1003:T1003)</f>
        <v>0</v>
      </c>
      <c r="X1003" s="10" t="n">
        <v>39970</v>
      </c>
      <c r="Y1003" s="10" t="n">
        <v>39975</v>
      </c>
    </row>
    <row r="1004" customFormat="false" ht="14.25" hidden="false" customHeight="false" outlineLevel="0" collapsed="false">
      <c r="A1004" s="1" t="n">
        <v>2009</v>
      </c>
      <c r="B1004" s="1" t="n">
        <v>1</v>
      </c>
      <c r="C1004" s="2" t="s">
        <v>50</v>
      </c>
      <c r="D1004" s="7" t="s">
        <v>98</v>
      </c>
      <c r="E1004" s="1" t="n">
        <v>2</v>
      </c>
      <c r="F1004" s="1" t="n">
        <f aca="false">Y1004-X1004</f>
        <v>5</v>
      </c>
      <c r="G1004" s="1" t="n">
        <v>5</v>
      </c>
      <c r="H1004" s="3" t="s">
        <v>64</v>
      </c>
      <c r="I1004" s="3" t="s">
        <v>65</v>
      </c>
      <c r="J1004" s="3" t="s">
        <v>66</v>
      </c>
      <c r="K1004" s="2" t="str">
        <f aca="false">CONCATENATE(I1004," ",J1004)</f>
        <v>Zora Spinimana</v>
      </c>
      <c r="L1004" s="3" t="n">
        <f aca="false">SUM(P1004:U1004)</f>
        <v>1</v>
      </c>
      <c r="M1004" s="11" t="n">
        <f aca="false">(L1004/(F1004*G1004)*25)*4</f>
        <v>4</v>
      </c>
      <c r="N1004" s="1" t="s">
        <v>30</v>
      </c>
      <c r="O1004" s="1" t="s">
        <v>31</v>
      </c>
      <c r="P1004" s="1" t="n">
        <v>1</v>
      </c>
      <c r="Q1004" s="1" t="n">
        <v>0</v>
      </c>
      <c r="R1004" s="1" t="n">
        <v>0</v>
      </c>
      <c r="S1004" s="1" t="n">
        <v>0</v>
      </c>
      <c r="T1004" s="1" t="n">
        <v>0</v>
      </c>
      <c r="U1004" s="1" t="n">
        <v>0</v>
      </c>
      <c r="V1004" s="3" t="n">
        <f aca="false">SUM(P1004:Q1004)</f>
        <v>1</v>
      </c>
      <c r="W1004" s="3" t="n">
        <f aca="false">SUM(R1004:T1004)</f>
        <v>0</v>
      </c>
      <c r="X1004" s="10" t="n">
        <v>39970</v>
      </c>
      <c r="Y1004" s="10" t="n">
        <v>39975</v>
      </c>
    </row>
    <row r="1005" customFormat="false" ht="14.25" hidden="false" customHeight="false" outlineLevel="0" collapsed="false">
      <c r="A1005" s="1" t="n">
        <v>2009</v>
      </c>
      <c r="B1005" s="1" t="n">
        <v>1</v>
      </c>
      <c r="C1005" s="2" t="s">
        <v>50</v>
      </c>
      <c r="D1005" s="7" t="s">
        <v>98</v>
      </c>
      <c r="E1005" s="1" t="n">
        <v>2</v>
      </c>
      <c r="F1005" s="1" t="n">
        <f aca="false">Y1005-X1005</f>
        <v>5</v>
      </c>
      <c r="G1005" s="1" t="n">
        <v>5</v>
      </c>
      <c r="H1005" s="13" t="s">
        <v>27</v>
      </c>
      <c r="I1005" s="13" t="s">
        <v>46</v>
      </c>
      <c r="J1005" s="14" t="s">
        <v>47</v>
      </c>
      <c r="K1005" s="2" t="str">
        <f aca="false">CONCATENATE(I1005," ",J1005)</f>
        <v>Euryopis flavomaculata</v>
      </c>
      <c r="L1005" s="3" t="n">
        <f aca="false">SUM(P1005:U1005)</f>
        <v>1</v>
      </c>
      <c r="M1005" s="11" t="n">
        <f aca="false">(L1005/(F1005*G1005)*25)*4</f>
        <v>4</v>
      </c>
      <c r="N1005" s="1" t="s">
        <v>30</v>
      </c>
      <c r="O1005" s="1" t="s">
        <v>31</v>
      </c>
      <c r="P1005" s="1" t="n">
        <v>1</v>
      </c>
      <c r="Q1005" s="1" t="n">
        <v>0</v>
      </c>
      <c r="R1005" s="1" t="n">
        <v>0</v>
      </c>
      <c r="S1005" s="1" t="n">
        <v>0</v>
      </c>
      <c r="T1005" s="1" t="n">
        <v>0</v>
      </c>
      <c r="U1005" s="1" t="n">
        <v>0</v>
      </c>
      <c r="V1005" s="3" t="n">
        <f aca="false">SUM(P1005:Q1005)</f>
        <v>1</v>
      </c>
      <c r="W1005" s="3" t="n">
        <f aca="false">SUM(R1005:T1005)</f>
        <v>0</v>
      </c>
      <c r="X1005" s="10" t="n">
        <v>39970</v>
      </c>
      <c r="Y1005" s="10" t="n">
        <v>39975</v>
      </c>
    </row>
    <row r="1006" customFormat="false" ht="14.25" hidden="false" customHeight="false" outlineLevel="0" collapsed="false">
      <c r="A1006" s="1" t="n">
        <v>2009</v>
      </c>
      <c r="B1006" s="1" t="n">
        <v>1</v>
      </c>
      <c r="C1006" s="2" t="s">
        <v>50</v>
      </c>
      <c r="D1006" s="7" t="s">
        <v>98</v>
      </c>
      <c r="E1006" s="1" t="n">
        <v>3</v>
      </c>
      <c r="F1006" s="1" t="n">
        <f aca="false">Y1006-X1006</f>
        <v>5</v>
      </c>
      <c r="G1006" s="1" t="n">
        <v>3</v>
      </c>
      <c r="H1006" s="3" t="s">
        <v>48</v>
      </c>
      <c r="I1006" s="3" t="s">
        <v>49</v>
      </c>
      <c r="J1006" s="3" t="s">
        <v>104</v>
      </c>
      <c r="K1006" s="2" t="str">
        <f aca="false">CONCATENATE(I1006," ",J1006)</f>
        <v>Alopecosa taeniata</v>
      </c>
      <c r="L1006" s="3" t="n">
        <f aca="false">SUM(P1006:U1006)</f>
        <v>1</v>
      </c>
      <c r="M1006" s="21" t="n">
        <f aca="false">(L1006/(F1006*G1006)*25)*4</f>
        <v>6.66666666666667</v>
      </c>
      <c r="N1006" s="1" t="s">
        <v>30</v>
      </c>
      <c r="O1006" s="1" t="s">
        <v>31</v>
      </c>
      <c r="P1006" s="1" t="n">
        <v>1</v>
      </c>
      <c r="Q1006" s="1" t="n">
        <v>0</v>
      </c>
      <c r="R1006" s="1" t="n">
        <v>0</v>
      </c>
      <c r="S1006" s="1" t="n">
        <v>0</v>
      </c>
      <c r="T1006" s="1" t="n">
        <v>0</v>
      </c>
      <c r="U1006" s="1" t="n">
        <v>0</v>
      </c>
      <c r="V1006" s="3" t="n">
        <f aca="false">SUM(P1006:Q1006)</f>
        <v>1</v>
      </c>
      <c r="W1006" s="3" t="n">
        <f aca="false">SUM(R1006:T1006)</f>
        <v>0</v>
      </c>
      <c r="X1006" s="10" t="n">
        <v>39970</v>
      </c>
      <c r="Y1006" s="10" t="n">
        <v>39975</v>
      </c>
    </row>
    <row r="1007" customFormat="false" ht="14.25" hidden="false" customHeight="false" outlineLevel="0" collapsed="false">
      <c r="A1007" s="1" t="n">
        <v>2009</v>
      </c>
      <c r="B1007" s="1" t="n">
        <v>1</v>
      </c>
      <c r="C1007" s="2" t="s">
        <v>50</v>
      </c>
      <c r="D1007" s="7" t="s">
        <v>98</v>
      </c>
      <c r="E1007" s="1" t="n">
        <v>3</v>
      </c>
      <c r="F1007" s="1" t="n">
        <f aca="false">Y1007-X1007</f>
        <v>5</v>
      </c>
      <c r="G1007" s="1" t="n">
        <v>3</v>
      </c>
      <c r="H1007" s="3" t="s">
        <v>48</v>
      </c>
      <c r="I1007" s="3" t="s">
        <v>49</v>
      </c>
      <c r="J1007" s="3" t="s">
        <v>104</v>
      </c>
      <c r="K1007" s="2" t="str">
        <f aca="false">CONCATENATE(I1007," ",J1007)</f>
        <v>Alopecosa taeniata</v>
      </c>
      <c r="L1007" s="3" t="n">
        <f aca="false">SUM(P1007:U1007)</f>
        <v>1</v>
      </c>
      <c r="M1007" s="21" t="n">
        <f aca="false">(L1007/15*25)*4</f>
        <v>6.66666666666667</v>
      </c>
      <c r="N1007" s="1" t="s">
        <v>30</v>
      </c>
      <c r="O1007" s="1" t="s">
        <v>35</v>
      </c>
      <c r="P1007" s="1" t="n">
        <v>0</v>
      </c>
      <c r="Q1007" s="1" t="n">
        <v>1</v>
      </c>
      <c r="R1007" s="1" t="n">
        <v>0</v>
      </c>
      <c r="S1007" s="1" t="n">
        <v>0</v>
      </c>
      <c r="T1007" s="1" t="n">
        <v>0</v>
      </c>
      <c r="U1007" s="1" t="n">
        <v>0</v>
      </c>
      <c r="V1007" s="3" t="n">
        <f aca="false">SUM(P1007:Q1007)</f>
        <v>1</v>
      </c>
      <c r="W1007" s="3" t="n">
        <f aca="false">SUM(R1007:T1007)</f>
        <v>0</v>
      </c>
      <c r="X1007" s="10" t="n">
        <v>39970</v>
      </c>
      <c r="Y1007" s="10" t="n">
        <v>39975</v>
      </c>
    </row>
    <row r="1008" customFormat="false" ht="14.25" hidden="false" customHeight="false" outlineLevel="0" collapsed="false">
      <c r="A1008" s="1" t="n">
        <v>2009</v>
      </c>
      <c r="B1008" s="1" t="n">
        <v>1</v>
      </c>
      <c r="C1008" s="2" t="s">
        <v>50</v>
      </c>
      <c r="D1008" s="7" t="s">
        <v>98</v>
      </c>
      <c r="E1008" s="1" t="n">
        <v>3</v>
      </c>
      <c r="F1008" s="1" t="n">
        <f aca="false">Y1008-X1008</f>
        <v>5</v>
      </c>
      <c r="G1008" s="1" t="n">
        <v>3</v>
      </c>
      <c r="H1008" s="3" t="s">
        <v>48</v>
      </c>
      <c r="I1008" s="3" t="s">
        <v>61</v>
      </c>
      <c r="J1008" s="3" t="s">
        <v>38</v>
      </c>
      <c r="K1008" s="2" t="str">
        <f aca="false">CONCATENATE(I1008," ",J1008)</f>
        <v>Trochosa sp</v>
      </c>
      <c r="L1008" s="3" t="n">
        <f aca="false">SUM(P1008:U1008)</f>
        <v>1</v>
      </c>
      <c r="M1008" s="21" t="n">
        <f aca="false">(L1008/15*25)*4</f>
        <v>6.66666666666667</v>
      </c>
      <c r="N1008" s="1" t="s">
        <v>19</v>
      </c>
      <c r="O1008" s="1" t="s">
        <v>54</v>
      </c>
      <c r="P1008" s="1" t="n">
        <v>0</v>
      </c>
      <c r="Q1008" s="1" t="n">
        <v>0</v>
      </c>
      <c r="R1008" s="1" t="n">
        <v>0</v>
      </c>
      <c r="S1008" s="1" t="n">
        <v>0</v>
      </c>
      <c r="T1008" s="1" t="n">
        <v>1</v>
      </c>
      <c r="U1008" s="1" t="n">
        <v>0</v>
      </c>
      <c r="V1008" s="3" t="n">
        <f aca="false">SUM(P1008:Q1008)</f>
        <v>0</v>
      </c>
      <c r="W1008" s="3" t="n">
        <f aca="false">SUM(R1008:T1008)</f>
        <v>1</v>
      </c>
      <c r="X1008" s="10" t="n">
        <v>39970</v>
      </c>
      <c r="Y1008" s="10" t="n">
        <v>39975</v>
      </c>
    </row>
    <row r="1009" customFormat="false" ht="14.25" hidden="false" customHeight="false" outlineLevel="0" collapsed="false">
      <c r="A1009" s="1" t="n">
        <v>2009</v>
      </c>
      <c r="B1009" s="1" t="n">
        <v>1</v>
      </c>
      <c r="C1009" s="2" t="s">
        <v>50</v>
      </c>
      <c r="D1009" s="7" t="s">
        <v>98</v>
      </c>
      <c r="E1009" s="1" t="n">
        <v>3</v>
      </c>
      <c r="F1009" s="1" t="n">
        <f aca="false">Y1009-X1009</f>
        <v>5</v>
      </c>
      <c r="G1009" s="1" t="n">
        <v>3</v>
      </c>
      <c r="H1009" s="3" t="s">
        <v>72</v>
      </c>
      <c r="I1009" s="3" t="s">
        <v>86</v>
      </c>
      <c r="J1009" s="8" t="s">
        <v>87</v>
      </c>
      <c r="K1009" s="2" t="str">
        <f aca="false">CONCATENATE(I1009," ",J1009)</f>
        <v>Haplodrassus soerenseni</v>
      </c>
      <c r="L1009" s="3" t="n">
        <f aca="false">SUM(P1009:U1009)</f>
        <v>1</v>
      </c>
      <c r="M1009" s="21" t="n">
        <f aca="false">(L1009/15*25)*4</f>
        <v>6.66666666666667</v>
      </c>
      <c r="N1009" s="1" t="s">
        <v>30</v>
      </c>
      <c r="O1009" s="1" t="s">
        <v>31</v>
      </c>
      <c r="P1009" s="1" t="n">
        <v>1</v>
      </c>
      <c r="Q1009" s="1" t="n">
        <v>0</v>
      </c>
      <c r="R1009" s="1" t="n">
        <v>0</v>
      </c>
      <c r="S1009" s="1" t="n">
        <v>0</v>
      </c>
      <c r="T1009" s="1" t="n">
        <v>0</v>
      </c>
      <c r="U1009" s="1" t="n">
        <v>0</v>
      </c>
      <c r="V1009" s="3" t="n">
        <f aca="false">SUM(P1009:Q1009)</f>
        <v>1</v>
      </c>
      <c r="W1009" s="3" t="n">
        <f aca="false">SUM(R1009:T1009)</f>
        <v>0</v>
      </c>
      <c r="X1009" s="10" t="n">
        <v>39970</v>
      </c>
      <c r="Y1009" s="10" t="n">
        <v>39975</v>
      </c>
    </row>
    <row r="1010" customFormat="false" ht="14.25" hidden="false" customHeight="false" outlineLevel="0" collapsed="false">
      <c r="A1010" s="1" t="n">
        <v>2009</v>
      </c>
      <c r="B1010" s="1" t="n">
        <v>1</v>
      </c>
      <c r="C1010" s="2" t="s">
        <v>50</v>
      </c>
      <c r="D1010" s="7" t="s">
        <v>98</v>
      </c>
      <c r="E1010" s="1" t="n">
        <v>3</v>
      </c>
      <c r="F1010" s="1" t="n">
        <f aca="false">Y1010-X1010</f>
        <v>5</v>
      </c>
      <c r="G1010" s="1" t="n">
        <v>3</v>
      </c>
      <c r="H1010" s="3" t="s">
        <v>64</v>
      </c>
      <c r="I1010" s="3" t="s">
        <v>65</v>
      </c>
      <c r="J1010" s="3" t="s">
        <v>66</v>
      </c>
      <c r="K1010" s="2" t="str">
        <f aca="false">CONCATENATE(I1010," ",J1010)</f>
        <v>Zora Spinimana</v>
      </c>
      <c r="L1010" s="3" t="n">
        <f aca="false">SUM(P1010:U1010)</f>
        <v>1</v>
      </c>
      <c r="M1010" s="21" t="n">
        <f aca="false">(L1010/15*25)*4</f>
        <v>6.66666666666667</v>
      </c>
      <c r="N1010" s="1" t="s">
        <v>30</v>
      </c>
      <c r="O1010" s="1" t="s">
        <v>31</v>
      </c>
      <c r="P1010" s="1" t="n">
        <v>1</v>
      </c>
      <c r="Q1010" s="1" t="n">
        <v>0</v>
      </c>
      <c r="R1010" s="1" t="n">
        <v>0</v>
      </c>
      <c r="S1010" s="1" t="n">
        <v>0</v>
      </c>
      <c r="T1010" s="1" t="n">
        <v>0</v>
      </c>
      <c r="U1010" s="1" t="n">
        <v>0</v>
      </c>
      <c r="V1010" s="3" t="n">
        <f aca="false">SUM(P1010:Q1010)</f>
        <v>1</v>
      </c>
      <c r="W1010" s="3" t="n">
        <f aca="false">SUM(R1010:T1010)</f>
        <v>0</v>
      </c>
      <c r="X1010" s="10" t="n">
        <v>39970</v>
      </c>
      <c r="Y1010" s="10" t="n">
        <v>39975</v>
      </c>
    </row>
    <row r="1011" customFormat="false" ht="14.25" hidden="false" customHeight="false" outlineLevel="0" collapsed="false">
      <c r="A1011" s="1" t="n">
        <v>2009</v>
      </c>
      <c r="B1011" s="1" t="n">
        <v>1</v>
      </c>
      <c r="C1011" s="2" t="s">
        <v>50</v>
      </c>
      <c r="D1011" s="7" t="s">
        <v>98</v>
      </c>
      <c r="E1011" s="1" t="n">
        <v>3</v>
      </c>
      <c r="F1011" s="1" t="n">
        <f aca="false">Y1011-X1011</f>
        <v>5</v>
      </c>
      <c r="G1011" s="1" t="n">
        <v>3</v>
      </c>
      <c r="H1011" s="13" t="s">
        <v>27</v>
      </c>
      <c r="I1011" s="13" t="s">
        <v>46</v>
      </c>
      <c r="J1011" s="14" t="s">
        <v>47</v>
      </c>
      <c r="K1011" s="2" t="str">
        <f aca="false">CONCATENATE(I1011," ",J1011)</f>
        <v>Euryopis flavomaculata</v>
      </c>
      <c r="L1011" s="3" t="n">
        <f aca="false">SUM(P1011:U1011)</f>
        <v>1</v>
      </c>
      <c r="M1011" s="21" t="n">
        <f aca="false">(L1011/15*25)*4</f>
        <v>6.66666666666667</v>
      </c>
      <c r="N1011" s="1" t="s">
        <v>30</v>
      </c>
      <c r="O1011" s="1" t="s">
        <v>31</v>
      </c>
      <c r="P1011" s="1" t="n">
        <v>1</v>
      </c>
      <c r="Q1011" s="1" t="n">
        <v>0</v>
      </c>
      <c r="R1011" s="1" t="n">
        <v>0</v>
      </c>
      <c r="S1011" s="1" t="n">
        <v>0</v>
      </c>
      <c r="T1011" s="1" t="n">
        <v>0</v>
      </c>
      <c r="U1011" s="1" t="n">
        <v>0</v>
      </c>
      <c r="V1011" s="3" t="n">
        <f aca="false">SUM(P1011:Q1011)</f>
        <v>1</v>
      </c>
      <c r="W1011" s="3" t="n">
        <f aca="false">SUM(R1011:T1011)</f>
        <v>0</v>
      </c>
      <c r="X1011" s="10" t="n">
        <v>39970</v>
      </c>
      <c r="Y1011" s="10" t="n">
        <v>39975</v>
      </c>
    </row>
    <row r="1012" customFormat="false" ht="14.25" hidden="false" customHeight="false" outlineLevel="0" collapsed="false">
      <c r="A1012" s="1" t="n">
        <v>2009</v>
      </c>
      <c r="B1012" s="1" t="n">
        <v>1</v>
      </c>
      <c r="C1012" s="2" t="s">
        <v>50</v>
      </c>
      <c r="D1012" s="7" t="s">
        <v>98</v>
      </c>
      <c r="E1012" s="1" t="n">
        <v>3</v>
      </c>
      <c r="F1012" s="1" t="n">
        <f aca="false">Y1012-X1012</f>
        <v>5</v>
      </c>
      <c r="G1012" s="1" t="n">
        <v>3</v>
      </c>
      <c r="H1012" s="3" t="s">
        <v>48</v>
      </c>
      <c r="I1012" s="3" t="s">
        <v>49</v>
      </c>
      <c r="J1012" s="3" t="s">
        <v>104</v>
      </c>
      <c r="K1012" s="2" t="str">
        <f aca="false">CONCATENATE(I1012," ",J1012)</f>
        <v>Alopecosa taeniata</v>
      </c>
      <c r="L1012" s="3" t="n">
        <f aca="false">SUM(P1012:U1012)</f>
        <v>2</v>
      </c>
      <c r="M1012" s="21" t="n">
        <f aca="false">(L1012/(F1012*G1012)*25)*4</f>
        <v>13.3333333333333</v>
      </c>
      <c r="N1012" s="1" t="s">
        <v>30</v>
      </c>
      <c r="O1012" s="1" t="s">
        <v>31</v>
      </c>
      <c r="P1012" s="1" t="n">
        <v>2</v>
      </c>
      <c r="Q1012" s="1" t="n">
        <v>0</v>
      </c>
      <c r="R1012" s="1" t="n">
        <v>0</v>
      </c>
      <c r="S1012" s="1" t="n">
        <v>0</v>
      </c>
      <c r="T1012" s="1" t="n">
        <v>0</v>
      </c>
      <c r="U1012" s="1" t="n">
        <v>0</v>
      </c>
      <c r="V1012" s="3" t="n">
        <f aca="false">SUM(P1012:Q1012)</f>
        <v>2</v>
      </c>
      <c r="W1012" s="3" t="n">
        <f aca="false">SUM(R1012:T1012)</f>
        <v>0</v>
      </c>
      <c r="X1012" s="10" t="n">
        <v>39970</v>
      </c>
      <c r="Y1012" s="10" t="n">
        <v>39975</v>
      </c>
    </row>
    <row r="1013" customFormat="false" ht="14.25" hidden="false" customHeight="false" outlineLevel="0" collapsed="false">
      <c r="A1013" s="1" t="n">
        <v>2009</v>
      </c>
      <c r="B1013" s="1" t="n">
        <v>1</v>
      </c>
      <c r="C1013" s="2" t="s">
        <v>50</v>
      </c>
      <c r="D1013" s="7" t="s">
        <v>98</v>
      </c>
      <c r="E1013" s="1" t="n">
        <v>3</v>
      </c>
      <c r="F1013" s="1" t="n">
        <f aca="false">Y1013-X1013</f>
        <v>5</v>
      </c>
      <c r="G1013" s="1" t="n">
        <v>3</v>
      </c>
      <c r="H1013" s="3" t="s">
        <v>48</v>
      </c>
      <c r="I1013" s="3" t="s">
        <v>49</v>
      </c>
      <c r="J1013" s="3" t="s">
        <v>104</v>
      </c>
      <c r="K1013" s="2" t="str">
        <f aca="false">CONCATENATE(I1013," ",J1013)</f>
        <v>Alopecosa taeniata</v>
      </c>
      <c r="L1013" s="3" t="n">
        <f aca="false">SUM(P1013:U1013)</f>
        <v>3</v>
      </c>
      <c r="M1013" s="21" t="n">
        <f aca="false">(L1013/(F1013*G1013)*25)*4</f>
        <v>20</v>
      </c>
      <c r="N1013" s="1" t="s">
        <v>30</v>
      </c>
      <c r="O1013" s="1" t="s">
        <v>35</v>
      </c>
      <c r="P1013" s="1" t="n">
        <v>0</v>
      </c>
      <c r="Q1013" s="1" t="n">
        <v>3</v>
      </c>
      <c r="R1013" s="1" t="n">
        <v>0</v>
      </c>
      <c r="S1013" s="1" t="n">
        <v>0</v>
      </c>
      <c r="T1013" s="1" t="n">
        <v>0</v>
      </c>
      <c r="U1013" s="1" t="n">
        <v>0</v>
      </c>
      <c r="V1013" s="3" t="n">
        <f aca="false">SUM(P1013:Q1013)</f>
        <v>3</v>
      </c>
      <c r="W1013" s="3" t="n">
        <f aca="false">SUM(R1013:T1013)</f>
        <v>0</v>
      </c>
      <c r="X1013" s="10" t="n">
        <v>39970</v>
      </c>
      <c r="Y1013" s="10" t="n">
        <v>39975</v>
      </c>
    </row>
    <row r="1014" customFormat="false" ht="14.25" hidden="false" customHeight="false" outlineLevel="0" collapsed="false">
      <c r="A1014" s="1" t="n">
        <v>2009</v>
      </c>
      <c r="B1014" s="1" t="n">
        <v>1</v>
      </c>
      <c r="C1014" s="2" t="s">
        <v>50</v>
      </c>
      <c r="D1014" s="7" t="s">
        <v>98</v>
      </c>
      <c r="E1014" s="1" t="n">
        <v>3</v>
      </c>
      <c r="F1014" s="1" t="n">
        <f aca="false">Y1014-X1014</f>
        <v>5</v>
      </c>
      <c r="G1014" s="1" t="n">
        <v>3</v>
      </c>
      <c r="H1014" s="3" t="s">
        <v>48</v>
      </c>
      <c r="I1014" s="3" t="s">
        <v>67</v>
      </c>
      <c r="J1014" s="3" t="s">
        <v>127</v>
      </c>
      <c r="K1014" s="2" t="str">
        <f aca="false">CONCATENATE(I1014," ",J1014)</f>
        <v>Pardosa lugubris</v>
      </c>
      <c r="L1014" s="3" t="n">
        <f aca="false">SUM(P1014:U1014)</f>
        <v>3</v>
      </c>
      <c r="M1014" s="21" t="n">
        <f aca="false">(L1014/(F1014*G1014)*25)*4</f>
        <v>20</v>
      </c>
      <c r="N1014" s="1" t="s">
        <v>30</v>
      </c>
      <c r="O1014" s="1" t="s">
        <v>31</v>
      </c>
      <c r="P1014" s="1" t="n">
        <v>3</v>
      </c>
      <c r="Q1014" s="1" t="n">
        <v>0</v>
      </c>
      <c r="R1014" s="1" t="n">
        <v>0</v>
      </c>
      <c r="S1014" s="1" t="n">
        <v>0</v>
      </c>
      <c r="T1014" s="1" t="n">
        <v>0</v>
      </c>
      <c r="U1014" s="1" t="n">
        <v>0</v>
      </c>
      <c r="V1014" s="3" t="n">
        <f aca="false">SUM(P1014:Q1014)</f>
        <v>3</v>
      </c>
      <c r="W1014" s="3" t="n">
        <f aca="false">SUM(R1014:T1014)</f>
        <v>0</v>
      </c>
      <c r="X1014" s="10" t="n">
        <v>39970</v>
      </c>
      <c r="Y1014" s="10" t="n">
        <v>39975</v>
      </c>
    </row>
    <row r="1015" customFormat="false" ht="14.25" hidden="false" customHeight="false" outlineLevel="0" collapsed="false">
      <c r="A1015" s="1" t="n">
        <v>2009</v>
      </c>
      <c r="B1015" s="1" t="n">
        <v>1</v>
      </c>
      <c r="C1015" s="2" t="s">
        <v>50</v>
      </c>
      <c r="D1015" s="7" t="s">
        <v>98</v>
      </c>
      <c r="E1015" s="1" t="n">
        <v>3</v>
      </c>
      <c r="F1015" s="1" t="n">
        <f aca="false">Y1015-X1015</f>
        <v>5</v>
      </c>
      <c r="G1015" s="1" t="n">
        <v>3</v>
      </c>
      <c r="H1015" s="3" t="s">
        <v>48</v>
      </c>
      <c r="I1015" s="3" t="s">
        <v>67</v>
      </c>
      <c r="J1015" s="3" t="s">
        <v>127</v>
      </c>
      <c r="K1015" s="2" t="str">
        <f aca="false">CONCATENATE(I1015," ",J1015)</f>
        <v>Pardosa lugubris</v>
      </c>
      <c r="L1015" s="3" t="n">
        <f aca="false">SUM(P1015:U1015)</f>
        <v>1</v>
      </c>
      <c r="M1015" s="21" t="n">
        <f aca="false">(L1015/(F1015*G1015)*25)*4</f>
        <v>6.66666666666667</v>
      </c>
      <c r="N1015" s="1" t="s">
        <v>30</v>
      </c>
      <c r="O1015" s="1" t="s">
        <v>35</v>
      </c>
      <c r="P1015" s="1" t="n">
        <v>0</v>
      </c>
      <c r="Q1015" s="1" t="n">
        <v>1</v>
      </c>
      <c r="R1015" s="1" t="n">
        <v>0</v>
      </c>
      <c r="S1015" s="1" t="n">
        <v>0</v>
      </c>
      <c r="T1015" s="1" t="n">
        <v>0</v>
      </c>
      <c r="U1015" s="1" t="n">
        <v>0</v>
      </c>
      <c r="V1015" s="3" t="n">
        <f aca="false">SUM(P1015:Q1015)</f>
        <v>1</v>
      </c>
      <c r="W1015" s="3" t="n">
        <f aca="false">SUM(R1015:T1015)</f>
        <v>0</v>
      </c>
      <c r="X1015" s="10" t="n">
        <v>39970</v>
      </c>
      <c r="Y1015" s="10" t="n">
        <v>39975</v>
      </c>
    </row>
    <row r="1016" customFormat="false" ht="14.25" hidden="false" customHeight="false" outlineLevel="0" collapsed="false">
      <c r="A1016" s="1" t="n">
        <v>2009</v>
      </c>
      <c r="B1016" s="1" t="n">
        <v>1</v>
      </c>
      <c r="C1016" s="2" t="s">
        <v>50</v>
      </c>
      <c r="D1016" s="7" t="s">
        <v>98</v>
      </c>
      <c r="E1016" s="1" t="n">
        <v>3</v>
      </c>
      <c r="F1016" s="1" t="n">
        <f aca="false">Y1016-X1016</f>
        <v>5</v>
      </c>
      <c r="G1016" s="1" t="n">
        <v>3</v>
      </c>
      <c r="H1016" s="3" t="s">
        <v>48</v>
      </c>
      <c r="I1016" s="3" t="s">
        <v>61</v>
      </c>
      <c r="J1016" s="3" t="s">
        <v>82</v>
      </c>
      <c r="K1016" s="2" t="str">
        <f aca="false">CONCATENATE(I1016," ",J1016)</f>
        <v>Trochosa terricola</v>
      </c>
      <c r="L1016" s="3" t="n">
        <f aca="false">SUM(P1016:U1016)</f>
        <v>1</v>
      </c>
      <c r="M1016" s="21" t="n">
        <f aca="false">(L1016/(F1016*G1016)*25)*4</f>
        <v>6.66666666666667</v>
      </c>
      <c r="N1016" s="1" t="s">
        <v>30</v>
      </c>
      <c r="O1016" s="1" t="s">
        <v>31</v>
      </c>
      <c r="P1016" s="1" t="n">
        <v>1</v>
      </c>
      <c r="Q1016" s="1" t="n">
        <v>0</v>
      </c>
      <c r="R1016" s="1" t="n">
        <v>0</v>
      </c>
      <c r="S1016" s="1" t="n">
        <v>0</v>
      </c>
      <c r="T1016" s="1" t="n">
        <v>0</v>
      </c>
      <c r="U1016" s="1" t="n">
        <v>0</v>
      </c>
      <c r="V1016" s="3" t="n">
        <f aca="false">SUM(P1016:Q1016)</f>
        <v>1</v>
      </c>
      <c r="W1016" s="3" t="n">
        <f aca="false">SUM(R1016:T1016)</f>
        <v>0</v>
      </c>
      <c r="X1016" s="10" t="n">
        <v>39970</v>
      </c>
      <c r="Y1016" s="10" t="n">
        <v>39975</v>
      </c>
    </row>
    <row r="1017" customFormat="false" ht="14.25" hidden="false" customHeight="false" outlineLevel="0" collapsed="false">
      <c r="A1017" s="1" t="n">
        <v>2009</v>
      </c>
      <c r="B1017" s="1" t="n">
        <v>1</v>
      </c>
      <c r="C1017" s="2" t="s">
        <v>50</v>
      </c>
      <c r="D1017" s="7" t="s">
        <v>98</v>
      </c>
      <c r="E1017" s="1" t="n">
        <v>3</v>
      </c>
      <c r="F1017" s="1" t="n">
        <f aca="false">Y1017-X1017</f>
        <v>5</v>
      </c>
      <c r="G1017" s="1" t="n">
        <v>3</v>
      </c>
      <c r="H1017" s="3" t="s">
        <v>48</v>
      </c>
      <c r="I1017" s="3" t="s">
        <v>57</v>
      </c>
      <c r="J1017" s="3" t="s">
        <v>38</v>
      </c>
      <c r="K1017" s="2" t="str">
        <f aca="false">CONCATENATE(I1017," ",J1017)</f>
        <v>Gen sp</v>
      </c>
      <c r="L1017" s="3" t="n">
        <f aca="false">SUM(P1017:U1017)</f>
        <v>1</v>
      </c>
      <c r="M1017" s="21" t="n">
        <f aca="false">(L1017/(F1017*G1017)*25)*4</f>
        <v>6.66666666666667</v>
      </c>
      <c r="N1017" s="1" t="s">
        <v>19</v>
      </c>
      <c r="O1017" s="1" t="s">
        <v>54</v>
      </c>
      <c r="P1017" s="1" t="n">
        <v>0</v>
      </c>
      <c r="Q1017" s="1" t="n">
        <v>0</v>
      </c>
      <c r="R1017" s="1" t="n">
        <v>0</v>
      </c>
      <c r="S1017" s="1" t="n">
        <v>0</v>
      </c>
      <c r="T1017" s="1" t="n">
        <v>1</v>
      </c>
      <c r="U1017" s="1" t="n">
        <v>0</v>
      </c>
      <c r="V1017" s="3" t="n">
        <f aca="false">SUM(P1017:Q1017)</f>
        <v>0</v>
      </c>
      <c r="W1017" s="3" t="n">
        <f aca="false">SUM(R1017:T1017)</f>
        <v>1</v>
      </c>
      <c r="X1017" s="10" t="n">
        <v>39970</v>
      </c>
      <c r="Y1017" s="10" t="n">
        <v>39975</v>
      </c>
    </row>
    <row r="1018" customFormat="false" ht="14.25" hidden="false" customHeight="false" outlineLevel="0" collapsed="false">
      <c r="A1018" s="1" t="n">
        <v>2009</v>
      </c>
      <c r="B1018" s="1" t="n">
        <v>1</v>
      </c>
      <c r="C1018" s="2" t="s">
        <v>50</v>
      </c>
      <c r="D1018" s="7" t="s">
        <v>98</v>
      </c>
      <c r="E1018" s="1" t="n">
        <v>3</v>
      </c>
      <c r="F1018" s="1" t="n">
        <f aca="false">Y1018-X1018</f>
        <v>5</v>
      </c>
      <c r="G1018" s="1" t="n">
        <v>3</v>
      </c>
      <c r="H1018" s="3" t="s">
        <v>72</v>
      </c>
      <c r="I1018" s="3" t="s">
        <v>86</v>
      </c>
      <c r="J1018" s="8" t="s">
        <v>87</v>
      </c>
      <c r="K1018" s="2" t="str">
        <f aca="false">CONCATENATE(I1018," ",J1018)</f>
        <v>Haplodrassus soerenseni</v>
      </c>
      <c r="L1018" s="3" t="n">
        <f aca="false">SUM(P1018:U1018)</f>
        <v>1</v>
      </c>
      <c r="M1018" s="21" t="n">
        <f aca="false">(L1018/(F1018*G1018)*25)*4</f>
        <v>6.66666666666667</v>
      </c>
      <c r="N1018" s="1" t="s">
        <v>30</v>
      </c>
      <c r="O1018" s="1" t="s">
        <v>31</v>
      </c>
      <c r="P1018" s="1" t="n">
        <v>1</v>
      </c>
      <c r="Q1018" s="1" t="n">
        <v>0</v>
      </c>
      <c r="R1018" s="1" t="n">
        <v>0</v>
      </c>
      <c r="S1018" s="1" t="n">
        <v>0</v>
      </c>
      <c r="T1018" s="1" t="n">
        <v>0</v>
      </c>
      <c r="U1018" s="1" t="n">
        <v>0</v>
      </c>
      <c r="V1018" s="3" t="n">
        <f aca="false">SUM(P1018:Q1018)</f>
        <v>1</v>
      </c>
      <c r="W1018" s="3" t="n">
        <f aca="false">SUM(R1018:T1018)</f>
        <v>0</v>
      </c>
      <c r="X1018" s="10" t="n">
        <v>39970</v>
      </c>
      <c r="Y1018" s="10" t="n">
        <v>39975</v>
      </c>
    </row>
    <row r="1019" customFormat="false" ht="14.25" hidden="false" customHeight="false" outlineLevel="0" collapsed="false">
      <c r="A1019" s="1" t="n">
        <v>2009</v>
      </c>
      <c r="B1019" s="1" t="n">
        <v>1</v>
      </c>
      <c r="C1019" s="2" t="s">
        <v>50</v>
      </c>
      <c r="D1019" s="7" t="s">
        <v>98</v>
      </c>
      <c r="E1019" s="1" t="n">
        <v>3</v>
      </c>
      <c r="F1019" s="1" t="n">
        <f aca="false">Y1019-X1019</f>
        <v>5</v>
      </c>
      <c r="G1019" s="1" t="n">
        <v>3</v>
      </c>
      <c r="H1019" s="3" t="s">
        <v>72</v>
      </c>
      <c r="I1019" s="3" t="s">
        <v>86</v>
      </c>
      <c r="J1019" s="8" t="s">
        <v>87</v>
      </c>
      <c r="K1019" s="2" t="str">
        <f aca="false">CONCATENATE(I1019," ",J1019)</f>
        <v>Haplodrassus soerenseni</v>
      </c>
      <c r="L1019" s="3" t="n">
        <f aca="false">SUM(P1019:U1019)</f>
        <v>1</v>
      </c>
      <c r="M1019" s="21" t="n">
        <f aca="false">(L1019/(F1019*G1019)*25)*4</f>
        <v>6.66666666666667</v>
      </c>
      <c r="N1019" s="1" t="s">
        <v>30</v>
      </c>
      <c r="O1019" s="1" t="s">
        <v>35</v>
      </c>
      <c r="P1019" s="1" t="n">
        <v>0</v>
      </c>
      <c r="Q1019" s="1" t="n">
        <v>1</v>
      </c>
      <c r="R1019" s="1" t="n">
        <v>0</v>
      </c>
      <c r="S1019" s="1" t="n">
        <v>0</v>
      </c>
      <c r="T1019" s="1" t="n">
        <v>0</v>
      </c>
      <c r="U1019" s="1" t="n">
        <v>0</v>
      </c>
      <c r="V1019" s="3" t="n">
        <f aca="false">SUM(P1019:Q1019)</f>
        <v>1</v>
      </c>
      <c r="W1019" s="3" t="n">
        <f aca="false">SUM(R1019:T1019)</f>
        <v>0</v>
      </c>
      <c r="X1019" s="10" t="n">
        <v>39970</v>
      </c>
      <c r="Y1019" s="10" t="n">
        <v>39975</v>
      </c>
    </row>
    <row r="1020" customFormat="false" ht="14.25" hidden="false" customHeight="false" outlineLevel="0" collapsed="false">
      <c r="A1020" s="1" t="n">
        <v>2009</v>
      </c>
      <c r="B1020" s="1" t="n">
        <v>1</v>
      </c>
      <c r="C1020" s="2" t="s">
        <v>50</v>
      </c>
      <c r="D1020" s="7" t="s">
        <v>98</v>
      </c>
      <c r="E1020" s="1" t="n">
        <v>3</v>
      </c>
      <c r="F1020" s="1" t="n">
        <f aca="false">Y1020-X1020</f>
        <v>5</v>
      </c>
      <c r="G1020" s="1" t="n">
        <v>3</v>
      </c>
      <c r="H1020" s="3" t="s">
        <v>36</v>
      </c>
      <c r="I1020" s="3" t="s">
        <v>131</v>
      </c>
      <c r="J1020" s="3" t="s">
        <v>133</v>
      </c>
      <c r="K1020" s="2" t="str">
        <f aca="false">CONCATENATE(I1020," ",J1020)</f>
        <v>Xysticus luctuosus</v>
      </c>
      <c r="L1020" s="3" t="n">
        <f aca="false">SUM(P1020:U1020)</f>
        <v>2</v>
      </c>
      <c r="M1020" s="21" t="n">
        <f aca="false">(L1020/(F1020*G1020)*25)*4</f>
        <v>13.3333333333333</v>
      </c>
      <c r="N1020" s="1" t="s">
        <v>30</v>
      </c>
      <c r="O1020" s="1" t="s">
        <v>31</v>
      </c>
      <c r="P1020" s="1" t="n">
        <v>2</v>
      </c>
      <c r="Q1020" s="1" t="n">
        <v>0</v>
      </c>
      <c r="R1020" s="1" t="n">
        <v>0</v>
      </c>
      <c r="S1020" s="1" t="n">
        <v>0</v>
      </c>
      <c r="T1020" s="1" t="n">
        <v>0</v>
      </c>
      <c r="U1020" s="1" t="n">
        <v>0</v>
      </c>
      <c r="V1020" s="3" t="n">
        <f aca="false">SUM(P1020:Q1020)</f>
        <v>2</v>
      </c>
      <c r="W1020" s="3" t="n">
        <f aca="false">SUM(R1020:T1020)</f>
        <v>0</v>
      </c>
      <c r="X1020" s="10" t="n">
        <v>39970</v>
      </c>
      <c r="Y1020" s="10" t="n">
        <v>39975</v>
      </c>
    </row>
    <row r="1021" customFormat="false" ht="14.25" hidden="false" customHeight="false" outlineLevel="0" collapsed="false">
      <c r="A1021" s="1" t="n">
        <v>2009</v>
      </c>
      <c r="B1021" s="1" t="n">
        <v>1</v>
      </c>
      <c r="C1021" s="2" t="s">
        <v>50</v>
      </c>
      <c r="D1021" s="7" t="s">
        <v>98</v>
      </c>
      <c r="E1021" s="1" t="n">
        <v>3</v>
      </c>
      <c r="F1021" s="1" t="n">
        <f aca="false">Y1021-X1021</f>
        <v>5</v>
      </c>
      <c r="G1021" s="1" t="n">
        <v>3</v>
      </c>
      <c r="H1021" s="3" t="s">
        <v>36</v>
      </c>
      <c r="I1021" s="3" t="s">
        <v>131</v>
      </c>
      <c r="J1021" s="3" t="s">
        <v>38</v>
      </c>
      <c r="K1021" s="2" t="str">
        <f aca="false">CONCATENATE(I1021," ",J1021)</f>
        <v>Xysticus sp</v>
      </c>
      <c r="L1021" s="3" t="n">
        <f aca="false">SUM(P1021:U1021)</f>
        <v>2</v>
      </c>
      <c r="M1021" s="21" t="n">
        <f aca="false">(L1021/(F1021*G1021)*25)*4</f>
        <v>13.3333333333333</v>
      </c>
      <c r="N1021" s="1" t="s">
        <v>19</v>
      </c>
      <c r="O1021" s="1" t="s">
        <v>54</v>
      </c>
      <c r="P1021" s="1" t="n">
        <v>0</v>
      </c>
      <c r="Q1021" s="1" t="n">
        <v>0</v>
      </c>
      <c r="R1021" s="1" t="n">
        <v>0</v>
      </c>
      <c r="S1021" s="1" t="n">
        <v>0</v>
      </c>
      <c r="T1021" s="1" t="n">
        <v>2</v>
      </c>
      <c r="U1021" s="1" t="n">
        <v>0</v>
      </c>
      <c r="V1021" s="3" t="n">
        <f aca="false">SUM(P1021:Q1021)</f>
        <v>0</v>
      </c>
      <c r="W1021" s="3" t="n">
        <f aca="false">SUM(R1021:T1021)</f>
        <v>2</v>
      </c>
      <c r="X1021" s="10" t="n">
        <v>39970</v>
      </c>
      <c r="Y1021" s="10" t="n">
        <v>39975</v>
      </c>
    </row>
    <row r="1022" customFormat="false" ht="14.25" hidden="false" customHeight="false" outlineLevel="0" collapsed="false">
      <c r="A1022" s="1" t="n">
        <v>2009</v>
      </c>
      <c r="B1022" s="1" t="n">
        <v>1</v>
      </c>
      <c r="C1022" s="2" t="s">
        <v>50</v>
      </c>
      <c r="D1022" s="7" t="s">
        <v>98</v>
      </c>
      <c r="E1022" s="1" t="n">
        <v>3</v>
      </c>
      <c r="F1022" s="1" t="n">
        <f aca="false">Y1022-X1022</f>
        <v>5</v>
      </c>
      <c r="G1022" s="1" t="n">
        <v>3</v>
      </c>
      <c r="H1022" s="3" t="s">
        <v>32</v>
      </c>
      <c r="I1022" s="3" t="s">
        <v>200</v>
      </c>
      <c r="J1022" s="3" t="s">
        <v>201</v>
      </c>
      <c r="K1022" s="2" t="str">
        <f aca="false">CONCATENATE(I1022," ",J1022)</f>
        <v>Trematocephalus cristatus</v>
      </c>
      <c r="L1022" s="3" t="n">
        <f aca="false">SUM(P1022:U1022)</f>
        <v>1</v>
      </c>
      <c r="M1022" s="21" t="n">
        <f aca="false">(L1022/(F1022*G1022)*25)*4</f>
        <v>6.66666666666667</v>
      </c>
      <c r="N1022" s="1" t="s">
        <v>30</v>
      </c>
      <c r="O1022" s="1" t="s">
        <v>31</v>
      </c>
      <c r="P1022" s="1" t="n">
        <v>1</v>
      </c>
      <c r="Q1022" s="1" t="n">
        <v>0</v>
      </c>
      <c r="R1022" s="1" t="n">
        <v>0</v>
      </c>
      <c r="S1022" s="1" t="n">
        <v>0</v>
      </c>
      <c r="T1022" s="1" t="n">
        <v>0</v>
      </c>
      <c r="U1022" s="1" t="n">
        <v>0</v>
      </c>
      <c r="V1022" s="3" t="n">
        <f aca="false">SUM(P1022:Q1022)</f>
        <v>1</v>
      </c>
      <c r="W1022" s="3" t="n">
        <f aca="false">SUM(R1022:T1022)</f>
        <v>0</v>
      </c>
      <c r="X1022" s="10" t="n">
        <v>39970</v>
      </c>
      <c r="Y1022" s="10" t="n">
        <v>39975</v>
      </c>
    </row>
    <row r="1023" customFormat="false" ht="14.25" hidden="false" customHeight="false" outlineLevel="0" collapsed="false">
      <c r="A1023" s="1" t="n">
        <v>2009</v>
      </c>
      <c r="B1023" s="1" t="n">
        <v>1</v>
      </c>
      <c r="C1023" s="2" t="s">
        <v>50</v>
      </c>
      <c r="D1023" s="7" t="s">
        <v>98</v>
      </c>
      <c r="E1023" s="1" t="n">
        <v>3</v>
      </c>
      <c r="F1023" s="1" t="n">
        <f aca="false">Y1023-X1023</f>
        <v>5</v>
      </c>
      <c r="G1023" s="1" t="n">
        <v>3</v>
      </c>
      <c r="H1023" s="3" t="s">
        <v>48</v>
      </c>
      <c r="I1023" s="3" t="s">
        <v>49</v>
      </c>
      <c r="J1023" s="3" t="s">
        <v>104</v>
      </c>
      <c r="K1023" s="2" t="str">
        <f aca="false">CONCATENATE(I1023," ",J1023)</f>
        <v>Alopecosa taeniata</v>
      </c>
      <c r="L1023" s="3" t="n">
        <f aca="false">SUM(P1023:U1023)</f>
        <v>4</v>
      </c>
      <c r="M1023" s="21" t="n">
        <f aca="false">(L1023/(F1023*G1023)*25)*4</f>
        <v>26.6666666666667</v>
      </c>
      <c r="N1023" s="1" t="s">
        <v>30</v>
      </c>
      <c r="O1023" s="1" t="s">
        <v>31</v>
      </c>
      <c r="P1023" s="1" t="n">
        <v>4</v>
      </c>
      <c r="Q1023" s="1" t="n">
        <v>0</v>
      </c>
      <c r="R1023" s="1" t="n">
        <v>0</v>
      </c>
      <c r="S1023" s="1" t="n">
        <v>0</v>
      </c>
      <c r="T1023" s="1" t="n">
        <v>0</v>
      </c>
      <c r="U1023" s="1" t="n">
        <v>0</v>
      </c>
      <c r="V1023" s="3" t="n">
        <f aca="false">SUM(P1023:Q1023)</f>
        <v>4</v>
      </c>
      <c r="W1023" s="3" t="n">
        <f aca="false">SUM(R1023:T1023)</f>
        <v>0</v>
      </c>
      <c r="X1023" s="10" t="n">
        <v>39970</v>
      </c>
      <c r="Y1023" s="10" t="n">
        <v>39975</v>
      </c>
    </row>
    <row r="1024" customFormat="false" ht="14.25" hidden="false" customHeight="false" outlineLevel="0" collapsed="false">
      <c r="A1024" s="1" t="n">
        <v>2009</v>
      </c>
      <c r="B1024" s="1" t="n">
        <v>1</v>
      </c>
      <c r="C1024" s="2" t="s">
        <v>50</v>
      </c>
      <c r="D1024" s="7" t="s">
        <v>98</v>
      </c>
      <c r="E1024" s="1" t="n">
        <v>3</v>
      </c>
      <c r="F1024" s="1" t="n">
        <f aca="false">Y1024-X1024</f>
        <v>5</v>
      </c>
      <c r="G1024" s="1" t="n">
        <v>3</v>
      </c>
      <c r="H1024" s="3" t="s">
        <v>48</v>
      </c>
      <c r="I1024" s="3" t="s">
        <v>67</v>
      </c>
      <c r="J1024" s="3" t="s">
        <v>127</v>
      </c>
      <c r="K1024" s="2" t="str">
        <f aca="false">CONCATENATE(I1024," ",J1024)</f>
        <v>Pardosa lugubris</v>
      </c>
      <c r="L1024" s="3" t="n">
        <f aca="false">SUM(P1024:U1024)</f>
        <v>1</v>
      </c>
      <c r="M1024" s="21" t="n">
        <f aca="false">(L1024/(F1024*G1024)*25)*4</f>
        <v>6.66666666666667</v>
      </c>
      <c r="N1024" s="1" t="s">
        <v>30</v>
      </c>
      <c r="O1024" s="1" t="s">
        <v>31</v>
      </c>
      <c r="P1024" s="1" t="n">
        <v>1</v>
      </c>
      <c r="Q1024" s="1" t="n">
        <v>0</v>
      </c>
      <c r="R1024" s="1" t="n">
        <v>0</v>
      </c>
      <c r="S1024" s="1" t="n">
        <v>0</v>
      </c>
      <c r="T1024" s="1" t="n">
        <v>0</v>
      </c>
      <c r="U1024" s="1" t="n">
        <v>0</v>
      </c>
      <c r="V1024" s="3" t="n">
        <f aca="false">SUM(P1024:Q1024)</f>
        <v>1</v>
      </c>
      <c r="W1024" s="3" t="n">
        <f aca="false">SUM(R1024:T1024)</f>
        <v>0</v>
      </c>
      <c r="X1024" s="10" t="n">
        <v>39970</v>
      </c>
      <c r="Y1024" s="10" t="n">
        <v>39975</v>
      </c>
    </row>
    <row r="1025" customFormat="false" ht="14.25" hidden="false" customHeight="false" outlineLevel="0" collapsed="false">
      <c r="A1025" s="1" t="n">
        <v>2009</v>
      </c>
      <c r="B1025" s="1" t="n">
        <v>1</v>
      </c>
      <c r="C1025" s="2" t="s">
        <v>50</v>
      </c>
      <c r="D1025" s="7" t="s">
        <v>98</v>
      </c>
      <c r="E1025" s="1" t="n">
        <v>3</v>
      </c>
      <c r="F1025" s="1" t="n">
        <f aca="false">Y1025-X1025</f>
        <v>5</v>
      </c>
      <c r="G1025" s="1" t="n">
        <v>3</v>
      </c>
      <c r="H1025" s="3" t="s">
        <v>48</v>
      </c>
      <c r="I1025" s="3" t="s">
        <v>67</v>
      </c>
      <c r="J1025" s="3" t="s">
        <v>127</v>
      </c>
      <c r="K1025" s="2" t="str">
        <f aca="false">CONCATENATE(I1025," ",J1025)</f>
        <v>Pardosa lugubris</v>
      </c>
      <c r="L1025" s="3" t="n">
        <f aca="false">SUM(P1025:U1025)</f>
        <v>1</v>
      </c>
      <c r="M1025" s="21" t="n">
        <f aca="false">(L1025/(F1025*G1025)*25)*4</f>
        <v>6.66666666666667</v>
      </c>
      <c r="N1025" s="1" t="s">
        <v>30</v>
      </c>
      <c r="O1025" s="1" t="s">
        <v>35</v>
      </c>
      <c r="P1025" s="1" t="n">
        <v>0</v>
      </c>
      <c r="Q1025" s="1" t="n">
        <v>1</v>
      </c>
      <c r="R1025" s="1" t="n">
        <v>0</v>
      </c>
      <c r="S1025" s="1" t="n">
        <v>0</v>
      </c>
      <c r="T1025" s="1" t="n">
        <v>0</v>
      </c>
      <c r="U1025" s="1" t="n">
        <v>0</v>
      </c>
      <c r="V1025" s="3" t="n">
        <f aca="false">SUM(P1025:Q1025)</f>
        <v>1</v>
      </c>
      <c r="W1025" s="3" t="n">
        <f aca="false">SUM(R1025:T1025)</f>
        <v>0</v>
      </c>
      <c r="X1025" s="10" t="n">
        <v>39970</v>
      </c>
      <c r="Y1025" s="10" t="n">
        <v>39975</v>
      </c>
    </row>
    <row r="1026" customFormat="false" ht="14.25" hidden="false" customHeight="false" outlineLevel="0" collapsed="false">
      <c r="A1026" s="1" t="n">
        <v>2009</v>
      </c>
      <c r="B1026" s="1" t="n">
        <v>1</v>
      </c>
      <c r="C1026" s="2" t="s">
        <v>50</v>
      </c>
      <c r="D1026" s="7" t="s">
        <v>98</v>
      </c>
      <c r="E1026" s="1" t="n">
        <v>3</v>
      </c>
      <c r="F1026" s="1" t="n">
        <f aca="false">Y1026-X1026</f>
        <v>5</v>
      </c>
      <c r="G1026" s="1" t="n">
        <v>3</v>
      </c>
      <c r="H1026" s="3" t="s">
        <v>36</v>
      </c>
      <c r="I1026" s="3" t="s">
        <v>131</v>
      </c>
      <c r="J1026" s="3" t="s">
        <v>133</v>
      </c>
      <c r="K1026" s="2" t="str">
        <f aca="false">CONCATENATE(I1026," ",J1026)</f>
        <v>Xysticus luctuosus</v>
      </c>
      <c r="L1026" s="3" t="n">
        <f aca="false">SUM(P1026:U1026)</f>
        <v>1</v>
      </c>
      <c r="M1026" s="21" t="n">
        <f aca="false">(L1026/(F1026*G1026)*25)*4</f>
        <v>6.66666666666667</v>
      </c>
      <c r="N1026" s="1" t="s">
        <v>30</v>
      </c>
      <c r="O1026" s="1" t="s">
        <v>31</v>
      </c>
      <c r="P1026" s="1" t="n">
        <v>1</v>
      </c>
      <c r="Q1026" s="1" t="n">
        <v>0</v>
      </c>
      <c r="R1026" s="1" t="n">
        <v>0</v>
      </c>
      <c r="S1026" s="1" t="n">
        <v>0</v>
      </c>
      <c r="T1026" s="1" t="n">
        <v>0</v>
      </c>
      <c r="U1026" s="1" t="n">
        <v>0</v>
      </c>
      <c r="V1026" s="3" t="n">
        <f aca="false">SUM(P1026:Q1026)</f>
        <v>1</v>
      </c>
      <c r="W1026" s="3" t="n">
        <f aca="false">SUM(R1026:T1026)</f>
        <v>0</v>
      </c>
      <c r="X1026" s="10" t="n">
        <v>39970</v>
      </c>
      <c r="Y1026" s="10" t="n">
        <v>39975</v>
      </c>
    </row>
    <row r="1027" customFormat="false" ht="14.25" hidden="false" customHeight="false" outlineLevel="0" collapsed="false">
      <c r="A1027" s="1" t="n">
        <v>2009</v>
      </c>
      <c r="B1027" s="1" t="n">
        <v>1</v>
      </c>
      <c r="C1027" s="2" t="s">
        <v>50</v>
      </c>
      <c r="D1027" s="7" t="s">
        <v>98</v>
      </c>
      <c r="E1027" s="1" t="n">
        <v>3</v>
      </c>
      <c r="F1027" s="1" t="n">
        <f aca="false">Y1027-X1027</f>
        <v>5</v>
      </c>
      <c r="G1027" s="1" t="n">
        <v>3</v>
      </c>
      <c r="H1027" s="3" t="s">
        <v>36</v>
      </c>
      <c r="I1027" s="3" t="s">
        <v>131</v>
      </c>
      <c r="J1027" s="3" t="s">
        <v>133</v>
      </c>
      <c r="K1027" s="2" t="str">
        <f aca="false">CONCATENATE(I1027," ",J1027)</f>
        <v>Xysticus luctuosus</v>
      </c>
      <c r="L1027" s="3" t="n">
        <f aca="false">SUM(P1027:U1027)</f>
        <v>2</v>
      </c>
      <c r="M1027" s="21" t="n">
        <f aca="false">(L1027/(F1027*G1027)*25)*4</f>
        <v>13.3333333333333</v>
      </c>
      <c r="N1027" s="1" t="s">
        <v>30</v>
      </c>
      <c r="O1027" s="1" t="s">
        <v>35</v>
      </c>
      <c r="P1027" s="1" t="n">
        <v>0</v>
      </c>
      <c r="Q1027" s="1" t="n">
        <v>2</v>
      </c>
      <c r="R1027" s="1" t="n">
        <v>0</v>
      </c>
      <c r="S1027" s="1" t="n">
        <v>0</v>
      </c>
      <c r="T1027" s="1" t="n">
        <v>0</v>
      </c>
      <c r="U1027" s="1" t="n">
        <v>0</v>
      </c>
      <c r="V1027" s="3" t="n">
        <f aca="false">SUM(P1027:Q1027)</f>
        <v>2</v>
      </c>
      <c r="W1027" s="3" t="n">
        <f aca="false">SUM(R1027:T1027)</f>
        <v>0</v>
      </c>
      <c r="X1027" s="10" t="n">
        <v>39970</v>
      </c>
      <c r="Y1027" s="10" t="n">
        <v>39975</v>
      </c>
    </row>
    <row r="1028" customFormat="false" ht="14.25" hidden="false" customHeight="false" outlineLevel="0" collapsed="false">
      <c r="A1028" s="1" t="n">
        <v>2009</v>
      </c>
      <c r="B1028" s="1" t="n">
        <v>1</v>
      </c>
      <c r="C1028" s="2" t="s">
        <v>50</v>
      </c>
      <c r="D1028" s="7" t="s">
        <v>98</v>
      </c>
      <c r="E1028" s="1" t="n">
        <v>3</v>
      </c>
      <c r="F1028" s="1" t="n">
        <f aca="false">Y1028-X1028</f>
        <v>5</v>
      </c>
      <c r="G1028" s="1" t="n">
        <v>3</v>
      </c>
      <c r="H1028" s="3" t="s">
        <v>36</v>
      </c>
      <c r="I1028" s="3" t="s">
        <v>37</v>
      </c>
      <c r="J1028" s="8" t="s">
        <v>75</v>
      </c>
      <c r="K1028" s="2" t="str">
        <f aca="false">CONCATENATE(I1028," ",J1028)</f>
        <v>Ozyptila praticola</v>
      </c>
      <c r="L1028" s="3" t="n">
        <f aca="false">SUM(P1028:U1028)</f>
        <v>2</v>
      </c>
      <c r="M1028" s="21" t="n">
        <f aca="false">(L1028/(F1028*G1028)*25)*4</f>
        <v>13.3333333333333</v>
      </c>
      <c r="N1028" s="1" t="s">
        <v>30</v>
      </c>
      <c r="O1028" s="1" t="s">
        <v>35</v>
      </c>
      <c r="P1028" s="1" t="n">
        <v>0</v>
      </c>
      <c r="Q1028" s="1" t="n">
        <v>2</v>
      </c>
      <c r="R1028" s="1" t="n">
        <v>0</v>
      </c>
      <c r="S1028" s="1" t="n">
        <v>0</v>
      </c>
      <c r="T1028" s="1" t="n">
        <v>0</v>
      </c>
      <c r="U1028" s="1" t="n">
        <v>0</v>
      </c>
      <c r="V1028" s="3" t="n">
        <f aca="false">SUM(P1028:Q1028)</f>
        <v>2</v>
      </c>
      <c r="W1028" s="3" t="n">
        <f aca="false">SUM(R1028:T1028)</f>
        <v>0</v>
      </c>
      <c r="X1028" s="10" t="n">
        <v>39970</v>
      </c>
      <c r="Y1028" s="10" t="n">
        <v>39975</v>
      </c>
    </row>
    <row r="1029" customFormat="false" ht="14.25" hidden="false" customHeight="false" outlineLevel="0" collapsed="false">
      <c r="A1029" s="1" t="n">
        <v>2009</v>
      </c>
      <c r="B1029" s="1" t="n">
        <v>1</v>
      </c>
      <c r="C1029" s="2" t="s">
        <v>50</v>
      </c>
      <c r="D1029" s="7" t="s">
        <v>98</v>
      </c>
      <c r="E1029" s="1" t="n">
        <v>3</v>
      </c>
      <c r="F1029" s="1" t="n">
        <f aca="false">Y1029-X1029</f>
        <v>5</v>
      </c>
      <c r="G1029" s="1" t="n">
        <v>3</v>
      </c>
      <c r="H1029" s="3" t="s">
        <v>36</v>
      </c>
      <c r="I1029" s="3" t="s">
        <v>37</v>
      </c>
      <c r="J1029" s="3" t="s">
        <v>38</v>
      </c>
      <c r="K1029" s="2" t="str">
        <f aca="false">CONCATENATE(I1029," ",J1029)</f>
        <v>Ozyptila sp</v>
      </c>
      <c r="L1029" s="3" t="n">
        <f aca="false">SUM(P1029:U1029)</f>
        <v>1</v>
      </c>
      <c r="M1029" s="21" t="n">
        <f aca="false">(L1029/(F1029*G1029)*25)*4</f>
        <v>6.66666666666667</v>
      </c>
      <c r="N1029" s="1" t="s">
        <v>19</v>
      </c>
      <c r="O1029" s="1" t="s">
        <v>54</v>
      </c>
      <c r="P1029" s="1" t="n">
        <v>0</v>
      </c>
      <c r="Q1029" s="1" t="n">
        <v>0</v>
      </c>
      <c r="R1029" s="1" t="n">
        <v>0</v>
      </c>
      <c r="S1029" s="1" t="n">
        <v>0</v>
      </c>
      <c r="T1029" s="1" t="n">
        <v>1</v>
      </c>
      <c r="U1029" s="1" t="n">
        <v>0</v>
      </c>
      <c r="V1029" s="3" t="n">
        <f aca="false">SUM(P1029:Q1029)</f>
        <v>0</v>
      </c>
      <c r="W1029" s="3" t="n">
        <f aca="false">SUM(R1029:T1029)</f>
        <v>1</v>
      </c>
      <c r="X1029" s="10" t="n">
        <v>39970</v>
      </c>
      <c r="Y1029" s="10" t="n">
        <v>39975</v>
      </c>
    </row>
    <row r="1030" customFormat="false" ht="14.25" hidden="false" customHeight="false" outlineLevel="0" collapsed="false">
      <c r="A1030" s="1" t="n">
        <v>2009</v>
      </c>
      <c r="B1030" s="1" t="n">
        <v>1</v>
      </c>
      <c r="C1030" s="2" t="s">
        <v>25</v>
      </c>
      <c r="D1030" s="7" t="s">
        <v>101</v>
      </c>
      <c r="E1030" s="1" t="n">
        <v>1</v>
      </c>
      <c r="F1030" s="1" t="n">
        <f aca="false">Y1030-X1030</f>
        <v>5</v>
      </c>
      <c r="G1030" s="1" t="n">
        <v>5</v>
      </c>
      <c r="H1030" s="3" t="s">
        <v>48</v>
      </c>
      <c r="I1030" s="3" t="s">
        <v>49</v>
      </c>
      <c r="J1030" s="3" t="s">
        <v>104</v>
      </c>
      <c r="K1030" s="2" t="str">
        <f aca="false">CONCATENATE(I1030," ",J1030)</f>
        <v>Alopecosa taeniata</v>
      </c>
      <c r="L1030" s="3" t="n">
        <f aca="false">SUM(P1030:U1030)</f>
        <v>12</v>
      </c>
      <c r="M1030" s="11" t="n">
        <f aca="false">(L1030/(F1030*G1030)*25)*4</f>
        <v>48</v>
      </c>
      <c r="N1030" s="1" t="s">
        <v>30</v>
      </c>
      <c r="O1030" s="1" t="s">
        <v>31</v>
      </c>
      <c r="P1030" s="1" t="n">
        <v>12</v>
      </c>
      <c r="Q1030" s="1" t="n">
        <v>0</v>
      </c>
      <c r="R1030" s="1" t="n">
        <v>0</v>
      </c>
      <c r="S1030" s="1" t="n">
        <v>0</v>
      </c>
      <c r="T1030" s="1" t="n">
        <v>0</v>
      </c>
      <c r="U1030" s="1" t="n">
        <v>0</v>
      </c>
      <c r="V1030" s="3" t="n">
        <f aca="false">SUM(P1030:Q1030)</f>
        <v>12</v>
      </c>
      <c r="W1030" s="3" t="n">
        <f aca="false">SUM(R1030:T1030)</f>
        <v>0</v>
      </c>
      <c r="X1030" s="10" t="n">
        <v>39970</v>
      </c>
      <c r="Y1030" s="10" t="n">
        <v>39975</v>
      </c>
    </row>
    <row r="1031" customFormat="false" ht="14.25" hidden="false" customHeight="false" outlineLevel="0" collapsed="false">
      <c r="A1031" s="1" t="n">
        <v>2009</v>
      </c>
      <c r="B1031" s="1" t="n">
        <v>1</v>
      </c>
      <c r="C1031" s="2" t="s">
        <v>25</v>
      </c>
      <c r="D1031" s="7" t="s">
        <v>101</v>
      </c>
      <c r="E1031" s="1" t="n">
        <v>1</v>
      </c>
      <c r="F1031" s="1" t="n">
        <f aca="false">Y1031-X1031</f>
        <v>5</v>
      </c>
      <c r="G1031" s="1" t="n">
        <v>5</v>
      </c>
      <c r="H1031" s="3" t="s">
        <v>48</v>
      </c>
      <c r="I1031" s="3" t="s">
        <v>49</v>
      </c>
      <c r="J1031" s="3" t="s">
        <v>104</v>
      </c>
      <c r="K1031" s="2" t="str">
        <f aca="false">CONCATENATE(I1031," ",J1031)</f>
        <v>Alopecosa taeniata</v>
      </c>
      <c r="L1031" s="3" t="n">
        <f aca="false">SUM(P1031:U1031)</f>
        <v>1</v>
      </c>
      <c r="M1031" s="11" t="n">
        <f aca="false">(L1031/(F1031*G1031)*25)*4</f>
        <v>4</v>
      </c>
      <c r="N1031" s="1" t="s">
        <v>30</v>
      </c>
      <c r="O1031" s="1" t="s">
        <v>35</v>
      </c>
      <c r="P1031" s="1" t="n">
        <v>0</v>
      </c>
      <c r="Q1031" s="1" t="n">
        <v>1</v>
      </c>
      <c r="R1031" s="1" t="n">
        <v>0</v>
      </c>
      <c r="S1031" s="1" t="n">
        <v>0</v>
      </c>
      <c r="T1031" s="1" t="n">
        <v>0</v>
      </c>
      <c r="U1031" s="1" t="n">
        <v>0</v>
      </c>
      <c r="V1031" s="3" t="n">
        <f aca="false">SUM(P1031:Q1031)</f>
        <v>1</v>
      </c>
      <c r="W1031" s="3" t="n">
        <f aca="false">SUM(R1031:T1031)</f>
        <v>0</v>
      </c>
      <c r="X1031" s="10" t="n">
        <v>39970</v>
      </c>
      <c r="Y1031" s="10" t="n">
        <v>39975</v>
      </c>
    </row>
    <row r="1032" customFormat="false" ht="14.25" hidden="false" customHeight="false" outlineLevel="0" collapsed="false">
      <c r="A1032" s="1" t="n">
        <v>2009</v>
      </c>
      <c r="B1032" s="1" t="n">
        <v>1</v>
      </c>
      <c r="C1032" s="2" t="s">
        <v>25</v>
      </c>
      <c r="D1032" s="7" t="s">
        <v>101</v>
      </c>
      <c r="E1032" s="1" t="n">
        <v>1</v>
      </c>
      <c r="F1032" s="1" t="n">
        <f aca="false">Y1032-X1032</f>
        <v>5</v>
      </c>
      <c r="G1032" s="1" t="n">
        <v>5</v>
      </c>
      <c r="H1032" s="3" t="s">
        <v>48</v>
      </c>
      <c r="I1032" s="3" t="s">
        <v>49</v>
      </c>
      <c r="J1032" s="3" t="s">
        <v>130</v>
      </c>
      <c r="K1032" s="2" t="str">
        <f aca="false">CONCATENATE(I1032," ",J1032)</f>
        <v>Alopecosa aculeata</v>
      </c>
      <c r="L1032" s="3" t="n">
        <f aca="false">SUM(P1032:U1032)</f>
        <v>1</v>
      </c>
      <c r="M1032" s="11" t="n">
        <f aca="false">(L1032/(F1032*G1032)*25)*4</f>
        <v>4</v>
      </c>
      <c r="N1032" s="1" t="s">
        <v>30</v>
      </c>
      <c r="O1032" s="1" t="s">
        <v>31</v>
      </c>
      <c r="P1032" s="1" t="n">
        <v>1</v>
      </c>
      <c r="Q1032" s="1" t="n">
        <v>0</v>
      </c>
      <c r="R1032" s="1" t="n">
        <v>0</v>
      </c>
      <c r="S1032" s="1" t="n">
        <v>0</v>
      </c>
      <c r="T1032" s="1" t="n">
        <v>0</v>
      </c>
      <c r="U1032" s="1" t="n">
        <v>0</v>
      </c>
      <c r="V1032" s="3" t="n">
        <f aca="false">SUM(P1032:Q1032)</f>
        <v>1</v>
      </c>
      <c r="W1032" s="3" t="n">
        <f aca="false">SUM(R1032:T1032)</f>
        <v>0</v>
      </c>
      <c r="X1032" s="10" t="n">
        <v>39970</v>
      </c>
      <c r="Y1032" s="10" t="n">
        <v>39975</v>
      </c>
    </row>
    <row r="1033" customFormat="false" ht="14.25" hidden="false" customHeight="false" outlineLevel="0" collapsed="false">
      <c r="A1033" s="1" t="n">
        <v>2009</v>
      </c>
      <c r="B1033" s="1" t="n">
        <v>1</v>
      </c>
      <c r="C1033" s="2" t="s">
        <v>25</v>
      </c>
      <c r="D1033" s="7" t="s">
        <v>101</v>
      </c>
      <c r="E1033" s="1" t="n">
        <v>1</v>
      </c>
      <c r="F1033" s="1" t="n">
        <f aca="false">Y1033-X1033</f>
        <v>5</v>
      </c>
      <c r="G1033" s="1" t="n">
        <v>5</v>
      </c>
      <c r="H1033" s="3" t="s">
        <v>48</v>
      </c>
      <c r="I1033" s="3" t="s">
        <v>49</v>
      </c>
      <c r="J1033" s="3" t="s">
        <v>130</v>
      </c>
      <c r="K1033" s="2" t="str">
        <f aca="false">CONCATENATE(I1033," ",J1033)</f>
        <v>Alopecosa aculeata</v>
      </c>
      <c r="L1033" s="3" t="n">
        <f aca="false">SUM(P1033:U1033)</f>
        <v>1</v>
      </c>
      <c r="M1033" s="11" t="n">
        <f aca="false">(L1033/(F1033*G1033)*25)*4</f>
        <v>4</v>
      </c>
      <c r="N1033" s="1" t="s">
        <v>30</v>
      </c>
      <c r="O1033" s="1" t="s">
        <v>35</v>
      </c>
      <c r="P1033" s="1" t="n">
        <v>0</v>
      </c>
      <c r="Q1033" s="1" t="n">
        <v>1</v>
      </c>
      <c r="R1033" s="1" t="n">
        <v>0</v>
      </c>
      <c r="S1033" s="1" t="n">
        <v>0</v>
      </c>
      <c r="T1033" s="1" t="n">
        <v>0</v>
      </c>
      <c r="U1033" s="1" t="n">
        <v>0</v>
      </c>
      <c r="V1033" s="3" t="n">
        <f aca="false">SUM(P1033:Q1033)</f>
        <v>1</v>
      </c>
      <c r="W1033" s="3" t="n">
        <f aca="false">SUM(R1033:T1033)</f>
        <v>0</v>
      </c>
      <c r="X1033" s="10" t="n">
        <v>39970</v>
      </c>
      <c r="Y1033" s="10" t="n">
        <v>39975</v>
      </c>
    </row>
    <row r="1034" customFormat="false" ht="14.25" hidden="false" customHeight="false" outlineLevel="0" collapsed="false">
      <c r="A1034" s="1" t="n">
        <v>2009</v>
      </c>
      <c r="B1034" s="1" t="n">
        <v>1</v>
      </c>
      <c r="C1034" s="2" t="s">
        <v>25</v>
      </c>
      <c r="D1034" s="7" t="s">
        <v>101</v>
      </c>
      <c r="E1034" s="1" t="n">
        <v>1</v>
      </c>
      <c r="F1034" s="1" t="n">
        <f aca="false">Y1034-X1034</f>
        <v>5</v>
      </c>
      <c r="G1034" s="1" t="n">
        <v>5</v>
      </c>
      <c r="H1034" s="3" t="s">
        <v>48</v>
      </c>
      <c r="I1034" s="3" t="s">
        <v>67</v>
      </c>
      <c r="J1034" s="3" t="s">
        <v>127</v>
      </c>
      <c r="K1034" s="2" t="str">
        <f aca="false">CONCATENATE(I1034," ",J1034)</f>
        <v>Pardosa lugubris</v>
      </c>
      <c r="L1034" s="3" t="n">
        <f aca="false">SUM(P1034:U1034)</f>
        <v>1</v>
      </c>
      <c r="M1034" s="11" t="n">
        <f aca="false">(L1034/(F1034*G1034)*25)*4</f>
        <v>4</v>
      </c>
      <c r="N1034" s="1" t="s">
        <v>30</v>
      </c>
      <c r="O1034" s="1" t="s">
        <v>31</v>
      </c>
      <c r="P1034" s="1" t="n">
        <v>1</v>
      </c>
      <c r="Q1034" s="1" t="n">
        <v>0</v>
      </c>
      <c r="R1034" s="1" t="n">
        <v>0</v>
      </c>
      <c r="S1034" s="1" t="n">
        <v>0</v>
      </c>
      <c r="T1034" s="1" t="n">
        <v>0</v>
      </c>
      <c r="U1034" s="1" t="n">
        <v>0</v>
      </c>
      <c r="V1034" s="3" t="n">
        <f aca="false">SUM(P1034:Q1034)</f>
        <v>1</v>
      </c>
      <c r="W1034" s="3" t="n">
        <f aca="false">SUM(R1034:T1034)</f>
        <v>0</v>
      </c>
      <c r="X1034" s="10" t="n">
        <v>39970</v>
      </c>
      <c r="Y1034" s="10" t="n">
        <v>39975</v>
      </c>
    </row>
    <row r="1035" customFormat="false" ht="14.25" hidden="false" customHeight="false" outlineLevel="0" collapsed="false">
      <c r="A1035" s="1" t="n">
        <v>2009</v>
      </c>
      <c r="B1035" s="1" t="n">
        <v>1</v>
      </c>
      <c r="C1035" s="2" t="s">
        <v>25</v>
      </c>
      <c r="D1035" s="7" t="s">
        <v>101</v>
      </c>
      <c r="E1035" s="1" t="n">
        <v>1</v>
      </c>
      <c r="F1035" s="1" t="n">
        <f aca="false">Y1035-X1035</f>
        <v>5</v>
      </c>
      <c r="G1035" s="1" t="n">
        <v>5</v>
      </c>
      <c r="H1035" s="3" t="s">
        <v>36</v>
      </c>
      <c r="I1035" s="3" t="s">
        <v>131</v>
      </c>
      <c r="J1035" s="3" t="s">
        <v>133</v>
      </c>
      <c r="K1035" s="2" t="str">
        <f aca="false">CONCATENATE(I1035," ",J1035)</f>
        <v>Xysticus luctuosus</v>
      </c>
      <c r="L1035" s="3" t="n">
        <f aca="false">SUM(P1035:U1035)</f>
        <v>2</v>
      </c>
      <c r="M1035" s="11" t="n">
        <f aca="false">(L1035/(F1035*G1035)*25)*4</f>
        <v>8</v>
      </c>
      <c r="N1035" s="1" t="s">
        <v>30</v>
      </c>
      <c r="O1035" s="1" t="s">
        <v>31</v>
      </c>
      <c r="P1035" s="1" t="n">
        <v>2</v>
      </c>
      <c r="Q1035" s="1" t="n">
        <v>0</v>
      </c>
      <c r="R1035" s="1" t="n">
        <v>0</v>
      </c>
      <c r="S1035" s="1" t="n">
        <v>0</v>
      </c>
      <c r="T1035" s="1" t="n">
        <v>0</v>
      </c>
      <c r="U1035" s="1" t="n">
        <v>0</v>
      </c>
      <c r="V1035" s="3" t="n">
        <f aca="false">SUM(P1035:Q1035)</f>
        <v>2</v>
      </c>
      <c r="W1035" s="3" t="n">
        <f aca="false">SUM(R1035:T1035)</f>
        <v>0</v>
      </c>
      <c r="X1035" s="10" t="n">
        <v>39970</v>
      </c>
      <c r="Y1035" s="10" t="n">
        <v>39975</v>
      </c>
    </row>
    <row r="1036" customFormat="false" ht="14.25" hidden="false" customHeight="false" outlineLevel="0" collapsed="false">
      <c r="A1036" s="1" t="n">
        <v>2009</v>
      </c>
      <c r="B1036" s="1" t="n">
        <v>1</v>
      </c>
      <c r="C1036" s="2" t="s">
        <v>25</v>
      </c>
      <c r="D1036" s="7" t="s">
        <v>101</v>
      </c>
      <c r="E1036" s="1" t="n">
        <v>1</v>
      </c>
      <c r="F1036" s="1" t="n">
        <f aca="false">Y1036-X1036</f>
        <v>5</v>
      </c>
      <c r="G1036" s="1" t="n">
        <v>5</v>
      </c>
      <c r="H1036" s="3" t="s">
        <v>72</v>
      </c>
      <c r="I1036" s="3" t="s">
        <v>73</v>
      </c>
      <c r="J1036" s="3" t="s">
        <v>38</v>
      </c>
      <c r="K1036" s="2" t="str">
        <f aca="false">CONCATENATE(I1036," ",J1036)</f>
        <v>Zelotes sp</v>
      </c>
      <c r="L1036" s="3" t="n">
        <f aca="false">SUM(P1036:U1036)</f>
        <v>1</v>
      </c>
      <c r="M1036" s="11" t="n">
        <f aca="false">(L1036/(F1036*G1036)*25)*4</f>
        <v>4</v>
      </c>
      <c r="N1036" s="1" t="s">
        <v>19</v>
      </c>
      <c r="O1036" s="1" t="s">
        <v>54</v>
      </c>
      <c r="P1036" s="1" t="n">
        <v>0</v>
      </c>
      <c r="Q1036" s="1" t="n">
        <v>0</v>
      </c>
      <c r="R1036" s="1" t="n">
        <v>0</v>
      </c>
      <c r="S1036" s="1" t="n">
        <v>0</v>
      </c>
      <c r="T1036" s="1" t="n">
        <v>1</v>
      </c>
      <c r="U1036" s="1" t="n">
        <v>0</v>
      </c>
      <c r="V1036" s="3" t="n">
        <f aca="false">SUM(P1036:Q1036)</f>
        <v>0</v>
      </c>
      <c r="W1036" s="3" t="n">
        <f aca="false">SUM(R1036:T1036)</f>
        <v>1</v>
      </c>
      <c r="X1036" s="10" t="n">
        <v>39970</v>
      </c>
      <c r="Y1036" s="10" t="n">
        <v>39975</v>
      </c>
    </row>
    <row r="1037" customFormat="false" ht="14.25" hidden="false" customHeight="false" outlineLevel="0" collapsed="false">
      <c r="A1037" s="1" t="n">
        <v>2009</v>
      </c>
      <c r="B1037" s="1" t="n">
        <v>1</v>
      </c>
      <c r="C1037" s="2" t="s">
        <v>25</v>
      </c>
      <c r="D1037" s="7" t="s">
        <v>101</v>
      </c>
      <c r="E1037" s="1" t="n">
        <v>1</v>
      </c>
      <c r="F1037" s="1" t="n">
        <f aca="false">Y1037-X1037</f>
        <v>5</v>
      </c>
      <c r="G1037" s="1" t="n">
        <v>5</v>
      </c>
      <c r="H1037" s="13" t="s">
        <v>32</v>
      </c>
      <c r="I1037" s="13" t="s">
        <v>96</v>
      </c>
      <c r="J1037" s="14" t="s">
        <v>97</v>
      </c>
      <c r="K1037" s="2" t="str">
        <f aca="false">CONCATENATE(I1037," ",J1037)</f>
        <v>Diplocephalus picinus</v>
      </c>
      <c r="L1037" s="3" t="n">
        <f aca="false">SUM(P1037:U1037)</f>
        <v>1</v>
      </c>
      <c r="M1037" s="11" t="n">
        <f aca="false">(L1037/(F1037*G1037)*25)*4</f>
        <v>4</v>
      </c>
      <c r="N1037" s="1" t="s">
        <v>30</v>
      </c>
      <c r="O1037" s="1" t="s">
        <v>31</v>
      </c>
      <c r="P1037" s="1" t="n">
        <v>1</v>
      </c>
      <c r="Q1037" s="1" t="n">
        <v>0</v>
      </c>
      <c r="R1037" s="1" t="n">
        <v>0</v>
      </c>
      <c r="S1037" s="1" t="n">
        <v>0</v>
      </c>
      <c r="T1037" s="1" t="n">
        <v>0</v>
      </c>
      <c r="U1037" s="1" t="n">
        <v>0</v>
      </c>
      <c r="V1037" s="3" t="n">
        <f aca="false">SUM(P1037:Q1037)</f>
        <v>1</v>
      </c>
      <c r="W1037" s="3" t="n">
        <f aca="false">SUM(R1037:T1037)</f>
        <v>0</v>
      </c>
      <c r="X1037" s="10" t="n">
        <v>39970</v>
      </c>
      <c r="Y1037" s="10" t="n">
        <v>39975</v>
      </c>
    </row>
    <row r="1038" customFormat="false" ht="14.25" hidden="false" customHeight="false" outlineLevel="0" collapsed="false">
      <c r="A1038" s="1" t="n">
        <v>2009</v>
      </c>
      <c r="B1038" s="1" t="n">
        <v>1</v>
      </c>
      <c r="C1038" s="2" t="s">
        <v>25</v>
      </c>
      <c r="D1038" s="7" t="s">
        <v>101</v>
      </c>
      <c r="E1038" s="1" t="n">
        <v>1</v>
      </c>
      <c r="F1038" s="1" t="n">
        <f aca="false">Y1038-X1038</f>
        <v>5</v>
      </c>
      <c r="G1038" s="1" t="n">
        <v>5</v>
      </c>
      <c r="H1038" s="3" t="s">
        <v>32</v>
      </c>
      <c r="I1038" s="3" t="s">
        <v>33</v>
      </c>
      <c r="J1038" s="3" t="s">
        <v>60</v>
      </c>
      <c r="K1038" s="2" t="str">
        <f aca="false">CONCATENATE(I1038," ",J1038)</f>
        <v>Tenuiphantes tenebricola</v>
      </c>
      <c r="L1038" s="3" t="n">
        <f aca="false">SUM(P1038:U1038)</f>
        <v>1</v>
      </c>
      <c r="M1038" s="11" t="n">
        <f aca="false">(L1038/(F1038*G1038)*25)*4</f>
        <v>4</v>
      </c>
      <c r="N1038" s="1" t="s">
        <v>30</v>
      </c>
      <c r="O1038" s="1" t="s">
        <v>31</v>
      </c>
      <c r="P1038" s="1" t="n">
        <v>1</v>
      </c>
      <c r="Q1038" s="1" t="n">
        <v>0</v>
      </c>
      <c r="R1038" s="1" t="n">
        <v>0</v>
      </c>
      <c r="S1038" s="1" t="n">
        <v>0</v>
      </c>
      <c r="T1038" s="1" t="n">
        <v>0</v>
      </c>
      <c r="U1038" s="1" t="n">
        <v>0</v>
      </c>
      <c r="V1038" s="3" t="n">
        <f aca="false">SUM(P1038:Q1038)</f>
        <v>1</v>
      </c>
      <c r="W1038" s="3" t="n">
        <f aca="false">SUM(R1038:T1038)</f>
        <v>0</v>
      </c>
      <c r="X1038" s="10" t="n">
        <v>39970</v>
      </c>
      <c r="Y1038" s="10" t="n">
        <v>39975</v>
      </c>
    </row>
    <row r="1039" customFormat="false" ht="14.25" hidden="false" customHeight="false" outlineLevel="0" collapsed="false">
      <c r="A1039" s="1" t="n">
        <v>2009</v>
      </c>
      <c r="B1039" s="1" t="n">
        <v>1</v>
      </c>
      <c r="C1039" s="2" t="s">
        <v>25</v>
      </c>
      <c r="D1039" s="7" t="s">
        <v>101</v>
      </c>
      <c r="E1039" s="1" t="n">
        <v>1</v>
      </c>
      <c r="F1039" s="1" t="n">
        <f aca="false">Y1039-X1039</f>
        <v>5</v>
      </c>
      <c r="G1039" s="1" t="n">
        <v>5</v>
      </c>
      <c r="H1039" s="3" t="s">
        <v>32</v>
      </c>
      <c r="I1039" s="3" t="s">
        <v>57</v>
      </c>
      <c r="J1039" s="3" t="s">
        <v>38</v>
      </c>
      <c r="K1039" s="2" t="str">
        <f aca="false">CONCATENATE(I1039," ",J1039)</f>
        <v>Gen sp</v>
      </c>
      <c r="L1039" s="3" t="n">
        <f aca="false">SUM(P1039:U1039)</f>
        <v>1</v>
      </c>
      <c r="M1039" s="11" t="n">
        <f aca="false">(L1039/(F1039*G1039)*25)*4</f>
        <v>4</v>
      </c>
      <c r="N1039" s="1" t="s">
        <v>19</v>
      </c>
      <c r="O1039" s="1" t="s">
        <v>54</v>
      </c>
      <c r="P1039" s="1" t="n">
        <v>0</v>
      </c>
      <c r="Q1039" s="1" t="n">
        <v>0</v>
      </c>
      <c r="R1039" s="1" t="n">
        <v>0</v>
      </c>
      <c r="S1039" s="1" t="n">
        <v>0</v>
      </c>
      <c r="T1039" s="1" t="n">
        <v>1</v>
      </c>
      <c r="U1039" s="1" t="n">
        <v>0</v>
      </c>
      <c r="V1039" s="3" t="n">
        <f aca="false">SUM(P1039:Q1039)</f>
        <v>0</v>
      </c>
      <c r="W1039" s="3" t="n">
        <f aca="false">SUM(R1039:T1039)</f>
        <v>1</v>
      </c>
      <c r="X1039" s="10" t="n">
        <v>39970</v>
      </c>
      <c r="Y1039" s="10" t="n">
        <v>39975</v>
      </c>
    </row>
    <row r="1040" customFormat="false" ht="14.25" hidden="false" customHeight="false" outlineLevel="0" collapsed="false">
      <c r="A1040" s="1" t="n">
        <v>2009</v>
      </c>
      <c r="B1040" s="1" t="n">
        <v>1</v>
      </c>
      <c r="C1040" s="2" t="s">
        <v>25</v>
      </c>
      <c r="D1040" s="7" t="s">
        <v>101</v>
      </c>
      <c r="E1040" s="1" t="n">
        <v>1</v>
      </c>
      <c r="F1040" s="1" t="n">
        <f aca="false">Y1040-X1040</f>
        <v>5</v>
      </c>
      <c r="G1040" s="1" t="n">
        <v>5</v>
      </c>
      <c r="H1040" s="3" t="s">
        <v>48</v>
      </c>
      <c r="I1040" s="3" t="s">
        <v>49</v>
      </c>
      <c r="J1040" s="3" t="s">
        <v>104</v>
      </c>
      <c r="K1040" s="2" t="str">
        <f aca="false">CONCATENATE(I1040," ",J1040)</f>
        <v>Alopecosa taeniata</v>
      </c>
      <c r="L1040" s="3" t="n">
        <f aca="false">SUM(P1040:U1040)</f>
        <v>9</v>
      </c>
      <c r="M1040" s="11" t="n">
        <f aca="false">(L1040/(F1040*G1040)*25)*4</f>
        <v>36</v>
      </c>
      <c r="N1040" s="1" t="s">
        <v>30</v>
      </c>
      <c r="O1040" s="1" t="s">
        <v>31</v>
      </c>
      <c r="P1040" s="1" t="n">
        <v>9</v>
      </c>
      <c r="Q1040" s="1" t="n">
        <v>0</v>
      </c>
      <c r="R1040" s="1" t="n">
        <v>0</v>
      </c>
      <c r="S1040" s="1" t="n">
        <v>0</v>
      </c>
      <c r="T1040" s="1" t="n">
        <v>0</v>
      </c>
      <c r="U1040" s="1" t="n">
        <v>0</v>
      </c>
      <c r="V1040" s="3" t="n">
        <f aca="false">SUM(P1040:Q1040)</f>
        <v>9</v>
      </c>
      <c r="W1040" s="3" t="n">
        <f aca="false">SUM(R1040:T1040)</f>
        <v>0</v>
      </c>
      <c r="X1040" s="10" t="n">
        <v>39970</v>
      </c>
      <c r="Y1040" s="10" t="n">
        <v>39975</v>
      </c>
    </row>
    <row r="1041" customFormat="false" ht="14.25" hidden="false" customHeight="false" outlineLevel="0" collapsed="false">
      <c r="A1041" s="1" t="n">
        <v>2009</v>
      </c>
      <c r="B1041" s="1" t="n">
        <v>1</v>
      </c>
      <c r="C1041" s="2" t="s">
        <v>25</v>
      </c>
      <c r="D1041" s="7" t="s">
        <v>101</v>
      </c>
      <c r="E1041" s="1" t="n">
        <v>1</v>
      </c>
      <c r="F1041" s="1" t="n">
        <f aca="false">Y1041-X1041</f>
        <v>5</v>
      </c>
      <c r="G1041" s="1" t="n">
        <v>5</v>
      </c>
      <c r="H1041" s="3" t="s">
        <v>48</v>
      </c>
      <c r="I1041" s="3" t="s">
        <v>49</v>
      </c>
      <c r="J1041" s="3" t="s">
        <v>104</v>
      </c>
      <c r="K1041" s="2" t="str">
        <f aca="false">CONCATENATE(I1041," ",J1041)</f>
        <v>Alopecosa taeniata</v>
      </c>
      <c r="L1041" s="3" t="n">
        <f aca="false">SUM(P1041:U1041)</f>
        <v>3</v>
      </c>
      <c r="M1041" s="11" t="n">
        <f aca="false">(L1041/(F1041*G1041)*25)*4</f>
        <v>12</v>
      </c>
      <c r="N1041" s="1" t="s">
        <v>30</v>
      </c>
      <c r="O1041" s="1" t="s">
        <v>35</v>
      </c>
      <c r="P1041" s="1" t="n">
        <v>0</v>
      </c>
      <c r="Q1041" s="1" t="n">
        <v>3</v>
      </c>
      <c r="R1041" s="1" t="n">
        <v>0</v>
      </c>
      <c r="S1041" s="1" t="n">
        <v>0</v>
      </c>
      <c r="T1041" s="1" t="n">
        <v>0</v>
      </c>
      <c r="U1041" s="1" t="n">
        <v>0</v>
      </c>
      <c r="V1041" s="3" t="n">
        <f aca="false">SUM(P1041:Q1041)</f>
        <v>3</v>
      </c>
      <c r="W1041" s="3" t="n">
        <f aca="false">SUM(R1041:T1041)</f>
        <v>0</v>
      </c>
      <c r="X1041" s="10" t="n">
        <v>39970</v>
      </c>
      <c r="Y1041" s="10" t="n">
        <v>39975</v>
      </c>
    </row>
    <row r="1042" customFormat="false" ht="14.25" hidden="false" customHeight="false" outlineLevel="0" collapsed="false">
      <c r="A1042" s="1" t="n">
        <v>2009</v>
      </c>
      <c r="B1042" s="1" t="n">
        <v>1</v>
      </c>
      <c r="C1042" s="2" t="s">
        <v>25</v>
      </c>
      <c r="D1042" s="7" t="s">
        <v>101</v>
      </c>
      <c r="E1042" s="1" t="n">
        <v>1</v>
      </c>
      <c r="F1042" s="1" t="n">
        <f aca="false">Y1042-X1042</f>
        <v>5</v>
      </c>
      <c r="G1042" s="1" t="n">
        <v>5</v>
      </c>
      <c r="H1042" s="3" t="s">
        <v>48</v>
      </c>
      <c r="I1042" s="3" t="s">
        <v>49</v>
      </c>
      <c r="J1042" s="3" t="s">
        <v>130</v>
      </c>
      <c r="K1042" s="2" t="str">
        <f aca="false">CONCATENATE(I1042," ",J1042)</f>
        <v>Alopecosa aculeata</v>
      </c>
      <c r="L1042" s="3" t="n">
        <f aca="false">SUM(P1042:U1042)</f>
        <v>1</v>
      </c>
      <c r="M1042" s="11" t="n">
        <f aca="false">(L1042/(F1042*G1042)*25)*4</f>
        <v>4</v>
      </c>
      <c r="N1042" s="1" t="s">
        <v>30</v>
      </c>
      <c r="O1042" s="1" t="s">
        <v>31</v>
      </c>
      <c r="P1042" s="1" t="n">
        <v>1</v>
      </c>
      <c r="Q1042" s="1" t="n">
        <v>0</v>
      </c>
      <c r="R1042" s="1" t="n">
        <v>0</v>
      </c>
      <c r="S1042" s="1" t="n">
        <v>0</v>
      </c>
      <c r="T1042" s="1" t="n">
        <v>0</v>
      </c>
      <c r="U1042" s="1" t="n">
        <v>0</v>
      </c>
      <c r="V1042" s="3" t="n">
        <f aca="false">SUM(P1042:Q1042)</f>
        <v>1</v>
      </c>
      <c r="W1042" s="3" t="n">
        <f aca="false">SUM(R1042:T1042)</f>
        <v>0</v>
      </c>
      <c r="X1042" s="10" t="n">
        <v>39970</v>
      </c>
      <c r="Y1042" s="10" t="n">
        <v>39975</v>
      </c>
    </row>
    <row r="1043" customFormat="false" ht="14.25" hidden="false" customHeight="false" outlineLevel="0" collapsed="false">
      <c r="A1043" s="1" t="n">
        <v>2009</v>
      </c>
      <c r="B1043" s="1" t="n">
        <v>1</v>
      </c>
      <c r="C1043" s="2" t="s">
        <v>25</v>
      </c>
      <c r="D1043" s="7" t="s">
        <v>101</v>
      </c>
      <c r="E1043" s="1" t="n">
        <v>1</v>
      </c>
      <c r="F1043" s="1" t="n">
        <f aca="false">Y1043-X1043</f>
        <v>5</v>
      </c>
      <c r="G1043" s="1" t="n">
        <v>5</v>
      </c>
      <c r="H1043" s="3" t="s">
        <v>48</v>
      </c>
      <c r="I1043" s="3" t="s">
        <v>49</v>
      </c>
      <c r="J1043" s="3" t="s">
        <v>130</v>
      </c>
      <c r="K1043" s="2" t="str">
        <f aca="false">CONCATENATE(I1043," ",J1043)</f>
        <v>Alopecosa aculeata</v>
      </c>
      <c r="L1043" s="3" t="n">
        <f aca="false">SUM(P1043:U1043)</f>
        <v>1</v>
      </c>
      <c r="M1043" s="11" t="n">
        <f aca="false">(L1043/(F1043*G1043)*25)*4</f>
        <v>4</v>
      </c>
      <c r="N1043" s="1" t="s">
        <v>30</v>
      </c>
      <c r="O1043" s="1" t="s">
        <v>35</v>
      </c>
      <c r="P1043" s="1" t="n">
        <v>0</v>
      </c>
      <c r="Q1043" s="1" t="n">
        <v>1</v>
      </c>
      <c r="R1043" s="1" t="n">
        <v>0</v>
      </c>
      <c r="S1043" s="1" t="n">
        <v>0</v>
      </c>
      <c r="T1043" s="1" t="n">
        <v>0</v>
      </c>
      <c r="U1043" s="1" t="n">
        <v>0</v>
      </c>
      <c r="V1043" s="3" t="n">
        <f aca="false">SUM(P1043:Q1043)</f>
        <v>1</v>
      </c>
      <c r="W1043" s="3" t="n">
        <f aca="false">SUM(R1043:T1043)</f>
        <v>0</v>
      </c>
      <c r="X1043" s="10" t="n">
        <v>39970</v>
      </c>
      <c r="Y1043" s="10" t="n">
        <v>39975</v>
      </c>
    </row>
    <row r="1044" customFormat="false" ht="14.25" hidden="false" customHeight="false" outlineLevel="0" collapsed="false">
      <c r="A1044" s="1" t="n">
        <v>2009</v>
      </c>
      <c r="B1044" s="1" t="n">
        <v>1</v>
      </c>
      <c r="C1044" s="2" t="s">
        <v>25</v>
      </c>
      <c r="D1044" s="7" t="s">
        <v>101</v>
      </c>
      <c r="E1044" s="1" t="n">
        <v>1</v>
      </c>
      <c r="F1044" s="1" t="n">
        <f aca="false">Y1044-X1044</f>
        <v>5</v>
      </c>
      <c r="G1044" s="1" t="n">
        <v>5</v>
      </c>
      <c r="H1044" s="3" t="s">
        <v>48</v>
      </c>
      <c r="I1044" s="3" t="s">
        <v>67</v>
      </c>
      <c r="J1044" s="3" t="s">
        <v>127</v>
      </c>
      <c r="K1044" s="2" t="str">
        <f aca="false">CONCATENATE(I1044," ",J1044)</f>
        <v>Pardosa lugubris</v>
      </c>
      <c r="L1044" s="3" t="n">
        <f aca="false">SUM(P1044:U1044)</f>
        <v>1</v>
      </c>
      <c r="M1044" s="11" t="n">
        <f aca="false">(L1044/(F1044*G1044)*25)*4</f>
        <v>4</v>
      </c>
      <c r="N1044" s="1" t="s">
        <v>30</v>
      </c>
      <c r="O1044" s="1" t="s">
        <v>31</v>
      </c>
      <c r="P1044" s="1" t="n">
        <v>1</v>
      </c>
      <c r="Q1044" s="1" t="n">
        <v>0</v>
      </c>
      <c r="R1044" s="1" t="n">
        <v>0</v>
      </c>
      <c r="S1044" s="1" t="n">
        <v>0</v>
      </c>
      <c r="T1044" s="1" t="n">
        <v>0</v>
      </c>
      <c r="U1044" s="1" t="n">
        <v>0</v>
      </c>
      <c r="V1044" s="3" t="n">
        <f aca="false">SUM(P1044:Q1044)</f>
        <v>1</v>
      </c>
      <c r="W1044" s="3" t="n">
        <f aca="false">SUM(R1044:T1044)</f>
        <v>0</v>
      </c>
      <c r="X1044" s="10" t="n">
        <v>39970</v>
      </c>
      <c r="Y1044" s="10" t="n">
        <v>39975</v>
      </c>
    </row>
    <row r="1045" customFormat="false" ht="14.25" hidden="false" customHeight="false" outlineLevel="0" collapsed="false">
      <c r="A1045" s="1" t="n">
        <v>2009</v>
      </c>
      <c r="B1045" s="1" t="n">
        <v>1</v>
      </c>
      <c r="C1045" s="2" t="s">
        <v>25</v>
      </c>
      <c r="D1045" s="7" t="s">
        <v>101</v>
      </c>
      <c r="E1045" s="1" t="n">
        <v>1</v>
      </c>
      <c r="F1045" s="1" t="n">
        <f aca="false">Y1045-X1045</f>
        <v>5</v>
      </c>
      <c r="G1045" s="1" t="n">
        <v>5</v>
      </c>
      <c r="H1045" s="3" t="s">
        <v>36</v>
      </c>
      <c r="I1045" s="3" t="s">
        <v>131</v>
      </c>
      <c r="J1045" s="3" t="s">
        <v>133</v>
      </c>
      <c r="K1045" s="2" t="str">
        <f aca="false">CONCATENATE(I1045," ",J1045)</f>
        <v>Xysticus luctuosus</v>
      </c>
      <c r="L1045" s="3" t="n">
        <f aca="false">SUM(P1045:U1045)</f>
        <v>1</v>
      </c>
      <c r="M1045" s="11" t="n">
        <f aca="false">(L1045/(F1045*G1045)*25)*4</f>
        <v>4</v>
      </c>
      <c r="N1045" s="1" t="s">
        <v>30</v>
      </c>
      <c r="O1045" s="1" t="s">
        <v>31</v>
      </c>
      <c r="P1045" s="1" t="n">
        <v>1</v>
      </c>
      <c r="Q1045" s="1" t="n">
        <v>0</v>
      </c>
      <c r="R1045" s="1" t="n">
        <v>0</v>
      </c>
      <c r="S1045" s="1" t="n">
        <v>0</v>
      </c>
      <c r="T1045" s="1" t="n">
        <v>0</v>
      </c>
      <c r="U1045" s="1" t="n">
        <v>0</v>
      </c>
      <c r="V1045" s="3" t="n">
        <f aca="false">SUM(P1045:Q1045)</f>
        <v>1</v>
      </c>
      <c r="W1045" s="3" t="n">
        <f aca="false">SUM(R1045:T1045)</f>
        <v>0</v>
      </c>
      <c r="X1045" s="10" t="n">
        <v>39970</v>
      </c>
      <c r="Y1045" s="10" t="n">
        <v>39975</v>
      </c>
    </row>
    <row r="1046" customFormat="false" ht="14.25" hidden="false" customHeight="false" outlineLevel="0" collapsed="false">
      <c r="A1046" s="1" t="n">
        <v>2009</v>
      </c>
      <c r="B1046" s="1" t="n">
        <v>1</v>
      </c>
      <c r="C1046" s="2" t="s">
        <v>25</v>
      </c>
      <c r="D1046" s="7" t="s">
        <v>101</v>
      </c>
      <c r="E1046" s="1" t="n">
        <v>1</v>
      </c>
      <c r="F1046" s="1" t="n">
        <f aca="false">Y1046-X1046</f>
        <v>5</v>
      </c>
      <c r="G1046" s="1" t="n">
        <v>5</v>
      </c>
      <c r="H1046" s="3" t="s">
        <v>36</v>
      </c>
      <c r="I1046" s="3" t="s">
        <v>131</v>
      </c>
      <c r="J1046" s="3" t="s">
        <v>133</v>
      </c>
      <c r="K1046" s="2" t="str">
        <f aca="false">CONCATENATE(I1046," ",J1046)</f>
        <v>Xysticus luctuosus</v>
      </c>
      <c r="L1046" s="3" t="n">
        <f aca="false">SUM(P1046:U1046)</f>
        <v>1</v>
      </c>
      <c r="M1046" s="11" t="n">
        <f aca="false">(L1046/(F1046*G1046)*25)*4</f>
        <v>4</v>
      </c>
      <c r="N1046" s="1" t="s">
        <v>30</v>
      </c>
      <c r="O1046" s="1" t="s">
        <v>35</v>
      </c>
      <c r="P1046" s="1" t="n">
        <v>0</v>
      </c>
      <c r="Q1046" s="1" t="n">
        <v>1</v>
      </c>
      <c r="R1046" s="1" t="n">
        <v>0</v>
      </c>
      <c r="S1046" s="1" t="n">
        <v>0</v>
      </c>
      <c r="T1046" s="1" t="n">
        <v>0</v>
      </c>
      <c r="U1046" s="1" t="n">
        <v>0</v>
      </c>
      <c r="V1046" s="3" t="n">
        <f aca="false">SUM(P1046:Q1046)</f>
        <v>1</v>
      </c>
      <c r="W1046" s="3" t="n">
        <f aca="false">SUM(R1046:T1046)</f>
        <v>0</v>
      </c>
      <c r="X1046" s="10" t="n">
        <v>39970</v>
      </c>
      <c r="Y1046" s="10" t="n">
        <v>39975</v>
      </c>
    </row>
    <row r="1047" customFormat="false" ht="14.25" hidden="false" customHeight="false" outlineLevel="0" collapsed="false">
      <c r="A1047" s="1" t="n">
        <v>2009</v>
      </c>
      <c r="B1047" s="1" t="n">
        <v>1</v>
      </c>
      <c r="C1047" s="2" t="s">
        <v>25</v>
      </c>
      <c r="D1047" s="7" t="s">
        <v>101</v>
      </c>
      <c r="E1047" s="1" t="n">
        <v>1</v>
      </c>
      <c r="F1047" s="1" t="n">
        <f aca="false">Y1047-X1047</f>
        <v>5</v>
      </c>
      <c r="G1047" s="1" t="n">
        <v>5</v>
      </c>
      <c r="H1047" s="3" t="s">
        <v>72</v>
      </c>
      <c r="I1047" s="3" t="s">
        <v>73</v>
      </c>
      <c r="J1047" s="3" t="s">
        <v>38</v>
      </c>
      <c r="K1047" s="2" t="str">
        <f aca="false">CONCATENATE(I1047," ",J1047)</f>
        <v>Zelotes sp</v>
      </c>
      <c r="L1047" s="3" t="n">
        <f aca="false">SUM(P1047:U1047)</f>
        <v>1</v>
      </c>
      <c r="M1047" s="11" t="n">
        <f aca="false">(L1047/(F1047*G1047)*25)*4</f>
        <v>4</v>
      </c>
      <c r="N1047" s="1" t="s">
        <v>19</v>
      </c>
      <c r="O1047" s="1" t="s">
        <v>54</v>
      </c>
      <c r="P1047" s="1" t="n">
        <v>0</v>
      </c>
      <c r="Q1047" s="1" t="n">
        <v>0</v>
      </c>
      <c r="R1047" s="1" t="n">
        <v>0</v>
      </c>
      <c r="S1047" s="1" t="n">
        <v>0</v>
      </c>
      <c r="T1047" s="1" t="n">
        <v>1</v>
      </c>
      <c r="U1047" s="1" t="n">
        <v>0</v>
      </c>
      <c r="V1047" s="3" t="n">
        <f aca="false">SUM(P1047:Q1047)</f>
        <v>0</v>
      </c>
      <c r="W1047" s="3" t="n">
        <f aca="false">SUM(R1047:T1047)</f>
        <v>1</v>
      </c>
      <c r="X1047" s="10" t="n">
        <v>39970</v>
      </c>
      <c r="Y1047" s="10" t="n">
        <v>39975</v>
      </c>
    </row>
    <row r="1048" customFormat="false" ht="14.25" hidden="false" customHeight="false" outlineLevel="0" collapsed="false">
      <c r="A1048" s="1" t="n">
        <v>2009</v>
      </c>
      <c r="B1048" s="1" t="n">
        <v>1</v>
      </c>
      <c r="C1048" s="2" t="s">
        <v>25</v>
      </c>
      <c r="D1048" s="7" t="s">
        <v>101</v>
      </c>
      <c r="E1048" s="1" t="n">
        <v>1</v>
      </c>
      <c r="F1048" s="1" t="n">
        <f aca="false">Y1048-X1048</f>
        <v>5</v>
      </c>
      <c r="G1048" s="1" t="n">
        <v>5</v>
      </c>
      <c r="H1048" s="3" t="s">
        <v>48</v>
      </c>
      <c r="I1048" s="3" t="s">
        <v>49</v>
      </c>
      <c r="J1048" s="3" t="s">
        <v>104</v>
      </c>
      <c r="K1048" s="2" t="str">
        <f aca="false">CONCATENATE(I1048," ",J1048)</f>
        <v>Alopecosa taeniata</v>
      </c>
      <c r="L1048" s="3" t="n">
        <f aca="false">SUM(P1048:U1048)</f>
        <v>6</v>
      </c>
      <c r="M1048" s="11" t="n">
        <f aca="false">(L1048/(F1048*G1048)*25)*4</f>
        <v>24</v>
      </c>
      <c r="N1048" s="1" t="s">
        <v>30</v>
      </c>
      <c r="O1048" s="1" t="s">
        <v>31</v>
      </c>
      <c r="P1048" s="1" t="n">
        <v>6</v>
      </c>
      <c r="Q1048" s="1" t="n">
        <v>0</v>
      </c>
      <c r="R1048" s="1" t="n">
        <v>0</v>
      </c>
      <c r="S1048" s="1" t="n">
        <v>0</v>
      </c>
      <c r="T1048" s="1" t="n">
        <v>0</v>
      </c>
      <c r="U1048" s="1" t="n">
        <v>0</v>
      </c>
      <c r="V1048" s="3" t="n">
        <f aca="false">SUM(P1048:Q1048)</f>
        <v>6</v>
      </c>
      <c r="W1048" s="3" t="n">
        <f aca="false">SUM(R1048:T1048)</f>
        <v>0</v>
      </c>
      <c r="X1048" s="10" t="n">
        <v>39970</v>
      </c>
      <c r="Y1048" s="10" t="n">
        <v>39975</v>
      </c>
    </row>
    <row r="1049" customFormat="false" ht="14.25" hidden="false" customHeight="false" outlineLevel="0" collapsed="false">
      <c r="A1049" s="1" t="n">
        <v>2009</v>
      </c>
      <c r="B1049" s="1" t="n">
        <v>1</v>
      </c>
      <c r="C1049" s="2" t="s">
        <v>25</v>
      </c>
      <c r="D1049" s="7" t="s">
        <v>101</v>
      </c>
      <c r="E1049" s="1" t="n">
        <v>1</v>
      </c>
      <c r="F1049" s="1" t="n">
        <f aca="false">Y1049-X1049</f>
        <v>5</v>
      </c>
      <c r="G1049" s="1" t="n">
        <v>5</v>
      </c>
      <c r="H1049" s="3" t="s">
        <v>48</v>
      </c>
      <c r="I1049" s="3" t="s">
        <v>49</v>
      </c>
      <c r="J1049" s="3" t="s">
        <v>104</v>
      </c>
      <c r="K1049" s="2" t="str">
        <f aca="false">CONCATENATE(I1049," ",J1049)</f>
        <v>Alopecosa taeniata</v>
      </c>
      <c r="L1049" s="3" t="n">
        <f aca="false">SUM(P1049:U1049)</f>
        <v>2</v>
      </c>
      <c r="M1049" s="11" t="n">
        <f aca="false">(L1049/(F1049*G1049)*25)*4</f>
        <v>8</v>
      </c>
      <c r="N1049" s="1" t="s">
        <v>30</v>
      </c>
      <c r="O1049" s="1" t="s">
        <v>35</v>
      </c>
      <c r="P1049" s="1" t="n">
        <v>0</v>
      </c>
      <c r="Q1049" s="1" t="n">
        <v>2</v>
      </c>
      <c r="R1049" s="1" t="n">
        <v>0</v>
      </c>
      <c r="S1049" s="1" t="n">
        <v>0</v>
      </c>
      <c r="T1049" s="1" t="n">
        <v>0</v>
      </c>
      <c r="U1049" s="1" t="n">
        <v>0</v>
      </c>
      <c r="V1049" s="3" t="n">
        <f aca="false">SUM(P1049:Q1049)</f>
        <v>2</v>
      </c>
      <c r="W1049" s="3" t="n">
        <f aca="false">SUM(R1049:T1049)</f>
        <v>0</v>
      </c>
      <c r="X1049" s="10" t="n">
        <v>39970</v>
      </c>
      <c r="Y1049" s="10" t="n">
        <v>39975</v>
      </c>
    </row>
    <row r="1050" customFormat="false" ht="14.25" hidden="false" customHeight="false" outlineLevel="0" collapsed="false">
      <c r="A1050" s="1" t="n">
        <v>2009</v>
      </c>
      <c r="B1050" s="1" t="n">
        <v>1</v>
      </c>
      <c r="C1050" s="2" t="s">
        <v>25</v>
      </c>
      <c r="D1050" s="7" t="s">
        <v>101</v>
      </c>
      <c r="E1050" s="1" t="n">
        <v>1</v>
      </c>
      <c r="F1050" s="1" t="n">
        <f aca="false">Y1050-X1050</f>
        <v>5</v>
      </c>
      <c r="G1050" s="1" t="n">
        <v>5</v>
      </c>
      <c r="H1050" s="3" t="s">
        <v>48</v>
      </c>
      <c r="I1050" s="3" t="s">
        <v>49</v>
      </c>
      <c r="J1050" s="3" t="s">
        <v>130</v>
      </c>
      <c r="K1050" s="2" t="str">
        <f aca="false">CONCATENATE(I1050," ",J1050)</f>
        <v>Alopecosa aculeata</v>
      </c>
      <c r="L1050" s="3" t="n">
        <f aca="false">SUM(P1050:U1050)</f>
        <v>1</v>
      </c>
      <c r="M1050" s="11" t="n">
        <f aca="false">(L1050/(F1050*G1050)*25)*4</f>
        <v>4</v>
      </c>
      <c r="N1050" s="1" t="s">
        <v>30</v>
      </c>
      <c r="O1050" s="1" t="s">
        <v>31</v>
      </c>
      <c r="P1050" s="1" t="n">
        <v>1</v>
      </c>
      <c r="Q1050" s="1" t="n">
        <v>0</v>
      </c>
      <c r="R1050" s="1" t="n">
        <v>0</v>
      </c>
      <c r="S1050" s="1" t="n">
        <v>0</v>
      </c>
      <c r="T1050" s="1" t="n">
        <v>0</v>
      </c>
      <c r="U1050" s="1" t="n">
        <v>0</v>
      </c>
      <c r="V1050" s="3" t="n">
        <f aca="false">SUM(P1050:Q1050)</f>
        <v>1</v>
      </c>
      <c r="W1050" s="3" t="n">
        <f aca="false">SUM(R1050:T1050)</f>
        <v>0</v>
      </c>
      <c r="X1050" s="10" t="n">
        <v>39970</v>
      </c>
      <c r="Y1050" s="10" t="n">
        <v>39975</v>
      </c>
    </row>
    <row r="1051" customFormat="false" ht="14.25" hidden="false" customHeight="false" outlineLevel="0" collapsed="false">
      <c r="A1051" s="1" t="n">
        <v>2009</v>
      </c>
      <c r="B1051" s="1" t="n">
        <v>1</v>
      </c>
      <c r="C1051" s="2" t="s">
        <v>25</v>
      </c>
      <c r="D1051" s="7" t="s">
        <v>101</v>
      </c>
      <c r="E1051" s="1" t="n">
        <v>1</v>
      </c>
      <c r="F1051" s="1" t="n">
        <f aca="false">Y1051-X1051</f>
        <v>5</v>
      </c>
      <c r="G1051" s="1" t="n">
        <v>5</v>
      </c>
      <c r="H1051" s="3" t="s">
        <v>48</v>
      </c>
      <c r="I1051" s="3" t="s">
        <v>67</v>
      </c>
      <c r="J1051" s="3" t="s">
        <v>127</v>
      </c>
      <c r="K1051" s="2" t="str">
        <f aca="false">CONCATENATE(I1051," ",J1051)</f>
        <v>Pardosa lugubris</v>
      </c>
      <c r="L1051" s="3" t="n">
        <f aca="false">SUM(P1051:U1051)</f>
        <v>2</v>
      </c>
      <c r="M1051" s="11" t="n">
        <f aca="false">(L1051/(F1051*G1051)*25)*4</f>
        <v>8</v>
      </c>
      <c r="N1051" s="1" t="s">
        <v>30</v>
      </c>
      <c r="O1051" s="1" t="s">
        <v>31</v>
      </c>
      <c r="P1051" s="1" t="n">
        <v>2</v>
      </c>
      <c r="Q1051" s="1" t="n">
        <v>0</v>
      </c>
      <c r="R1051" s="1" t="n">
        <v>0</v>
      </c>
      <c r="S1051" s="1" t="n">
        <v>0</v>
      </c>
      <c r="T1051" s="1" t="n">
        <v>0</v>
      </c>
      <c r="U1051" s="1" t="n">
        <v>0</v>
      </c>
      <c r="V1051" s="3" t="n">
        <f aca="false">SUM(P1051:Q1051)</f>
        <v>2</v>
      </c>
      <c r="W1051" s="3" t="n">
        <f aca="false">SUM(R1051:T1051)</f>
        <v>0</v>
      </c>
      <c r="X1051" s="10" t="n">
        <v>39970</v>
      </c>
      <c r="Y1051" s="10" t="n">
        <v>39975</v>
      </c>
    </row>
    <row r="1052" customFormat="false" ht="14.25" hidden="false" customHeight="false" outlineLevel="0" collapsed="false">
      <c r="A1052" s="1" t="n">
        <v>2009</v>
      </c>
      <c r="B1052" s="1" t="n">
        <v>1</v>
      </c>
      <c r="C1052" s="2" t="s">
        <v>25</v>
      </c>
      <c r="D1052" s="7" t="s">
        <v>101</v>
      </c>
      <c r="E1052" s="1" t="n">
        <v>1</v>
      </c>
      <c r="F1052" s="1" t="n">
        <f aca="false">Y1052-X1052</f>
        <v>5</v>
      </c>
      <c r="G1052" s="1" t="n">
        <v>5</v>
      </c>
      <c r="H1052" s="3" t="s">
        <v>48</v>
      </c>
      <c r="I1052" s="3" t="s">
        <v>49</v>
      </c>
      <c r="J1052" s="3" t="s">
        <v>38</v>
      </c>
      <c r="K1052" s="2" t="str">
        <f aca="false">CONCATENATE(I1052," ",J1052)</f>
        <v>Alopecosa sp</v>
      </c>
      <c r="L1052" s="3" t="n">
        <f aca="false">SUM(P1052:U1052)</f>
        <v>1</v>
      </c>
      <c r="M1052" s="11" t="n">
        <f aca="false">(L1052/(F1052*G1052)*25)*4</f>
        <v>4</v>
      </c>
      <c r="N1052" s="1" t="s">
        <v>19</v>
      </c>
      <c r="O1052" s="1" t="s">
        <v>54</v>
      </c>
      <c r="P1052" s="1" t="n">
        <v>0</v>
      </c>
      <c r="Q1052" s="1" t="n">
        <v>0</v>
      </c>
      <c r="R1052" s="1" t="n">
        <v>0</v>
      </c>
      <c r="S1052" s="1" t="n">
        <v>0</v>
      </c>
      <c r="T1052" s="1" t="n">
        <v>1</v>
      </c>
      <c r="U1052" s="1" t="n">
        <v>0</v>
      </c>
      <c r="V1052" s="3" t="n">
        <f aca="false">SUM(P1052:Q1052)</f>
        <v>0</v>
      </c>
      <c r="W1052" s="3" t="n">
        <f aca="false">SUM(R1052:T1052)</f>
        <v>1</v>
      </c>
      <c r="X1052" s="10" t="n">
        <v>39970</v>
      </c>
      <c r="Y1052" s="10" t="n">
        <v>39975</v>
      </c>
    </row>
    <row r="1053" customFormat="false" ht="14.25" hidden="false" customHeight="false" outlineLevel="0" collapsed="false">
      <c r="A1053" s="1" t="n">
        <v>2009</v>
      </c>
      <c r="B1053" s="1" t="n">
        <v>1</v>
      </c>
      <c r="C1053" s="2" t="s">
        <v>25</v>
      </c>
      <c r="D1053" s="7" t="s">
        <v>101</v>
      </c>
      <c r="E1053" s="1" t="n">
        <v>1</v>
      </c>
      <c r="F1053" s="1" t="n">
        <f aca="false">Y1053-X1053</f>
        <v>5</v>
      </c>
      <c r="G1053" s="1" t="n">
        <v>5</v>
      </c>
      <c r="H1053" s="3" t="s">
        <v>32</v>
      </c>
      <c r="I1053" s="3" t="s">
        <v>113</v>
      </c>
      <c r="J1053" s="8" t="s">
        <v>114</v>
      </c>
      <c r="K1053" s="2" t="str">
        <f aca="false">CONCATENATE(I1053," ",J1053)</f>
        <v>Ceratinella brevipes</v>
      </c>
      <c r="L1053" s="3" t="n">
        <f aca="false">SUM(P1053:U1053)</f>
        <v>1</v>
      </c>
      <c r="M1053" s="11" t="n">
        <f aca="false">(L1053/(F1053*G1053)*25)*4</f>
        <v>4</v>
      </c>
      <c r="N1053" s="1" t="s">
        <v>30</v>
      </c>
      <c r="O1053" s="1" t="s">
        <v>35</v>
      </c>
      <c r="P1053" s="1" t="n">
        <v>0</v>
      </c>
      <c r="Q1053" s="1" t="n">
        <v>1</v>
      </c>
      <c r="R1053" s="1" t="n">
        <v>0</v>
      </c>
      <c r="S1053" s="1" t="n">
        <v>0</v>
      </c>
      <c r="T1053" s="1" t="n">
        <v>0</v>
      </c>
      <c r="U1053" s="1" t="n">
        <v>0</v>
      </c>
      <c r="V1053" s="3" t="n">
        <f aca="false">SUM(P1053:Q1053)</f>
        <v>1</v>
      </c>
      <c r="W1053" s="3" t="n">
        <f aca="false">SUM(R1053:T1053)</f>
        <v>0</v>
      </c>
      <c r="X1053" s="10" t="n">
        <v>39970</v>
      </c>
      <c r="Y1053" s="10" t="n">
        <v>39975</v>
      </c>
    </row>
    <row r="1054" customFormat="false" ht="14.25" hidden="false" customHeight="false" outlineLevel="0" collapsed="false">
      <c r="A1054" s="1" t="n">
        <v>2009</v>
      </c>
      <c r="B1054" s="1" t="n">
        <v>1</v>
      </c>
      <c r="C1054" s="2" t="s">
        <v>25</v>
      </c>
      <c r="D1054" s="7" t="s">
        <v>101</v>
      </c>
      <c r="E1054" s="1" t="n">
        <v>1</v>
      </c>
      <c r="F1054" s="1" t="n">
        <f aca="false">Y1054-X1054</f>
        <v>5</v>
      </c>
      <c r="G1054" s="1" t="n">
        <v>5</v>
      </c>
      <c r="H1054" s="3" t="s">
        <v>48</v>
      </c>
      <c r="I1054" s="3" t="s">
        <v>49</v>
      </c>
      <c r="J1054" s="3" t="s">
        <v>104</v>
      </c>
      <c r="K1054" s="2" t="str">
        <f aca="false">CONCATENATE(I1054," ",J1054)</f>
        <v>Alopecosa taeniata</v>
      </c>
      <c r="L1054" s="3" t="n">
        <f aca="false">SUM(P1054:U1054)</f>
        <v>13</v>
      </c>
      <c r="M1054" s="11" t="n">
        <f aca="false">(L1054/(F1054*G1054)*25)*4</f>
        <v>52</v>
      </c>
      <c r="N1054" s="1" t="s">
        <v>30</v>
      </c>
      <c r="O1054" s="1" t="s">
        <v>31</v>
      </c>
      <c r="P1054" s="1" t="n">
        <v>13</v>
      </c>
      <c r="Q1054" s="1" t="n">
        <v>0</v>
      </c>
      <c r="R1054" s="1" t="n">
        <v>0</v>
      </c>
      <c r="S1054" s="1" t="n">
        <v>0</v>
      </c>
      <c r="T1054" s="1" t="n">
        <v>0</v>
      </c>
      <c r="U1054" s="1" t="n">
        <v>0</v>
      </c>
      <c r="V1054" s="3" t="n">
        <f aca="false">SUM(P1054:Q1054)</f>
        <v>13</v>
      </c>
      <c r="W1054" s="3" t="n">
        <f aca="false">SUM(R1054:T1054)</f>
        <v>0</v>
      </c>
      <c r="X1054" s="10" t="n">
        <v>39970</v>
      </c>
      <c r="Y1054" s="10" t="n">
        <v>39975</v>
      </c>
    </row>
    <row r="1055" customFormat="false" ht="14.25" hidden="false" customHeight="false" outlineLevel="0" collapsed="false">
      <c r="A1055" s="1" t="n">
        <v>2009</v>
      </c>
      <c r="B1055" s="1" t="n">
        <v>1</v>
      </c>
      <c r="C1055" s="2" t="s">
        <v>25</v>
      </c>
      <c r="D1055" s="7" t="s">
        <v>101</v>
      </c>
      <c r="E1055" s="1" t="n">
        <v>1</v>
      </c>
      <c r="F1055" s="1" t="n">
        <f aca="false">Y1055-X1055</f>
        <v>5</v>
      </c>
      <c r="G1055" s="1" t="n">
        <v>5</v>
      </c>
      <c r="H1055" s="3" t="s">
        <v>48</v>
      </c>
      <c r="I1055" s="3" t="s">
        <v>49</v>
      </c>
      <c r="J1055" s="3" t="s">
        <v>104</v>
      </c>
      <c r="K1055" s="2" t="str">
        <f aca="false">CONCATENATE(I1055," ",J1055)</f>
        <v>Alopecosa taeniata</v>
      </c>
      <c r="L1055" s="3" t="n">
        <f aca="false">SUM(P1055:U1055)</f>
        <v>3</v>
      </c>
      <c r="M1055" s="11" t="n">
        <f aca="false">(L1055/(F1055*G1055)*25)*4</f>
        <v>12</v>
      </c>
      <c r="N1055" s="1" t="s">
        <v>30</v>
      </c>
      <c r="O1055" s="1" t="s">
        <v>35</v>
      </c>
      <c r="P1055" s="1" t="n">
        <v>0</v>
      </c>
      <c r="Q1055" s="1" t="n">
        <v>3</v>
      </c>
      <c r="R1055" s="1" t="n">
        <v>0</v>
      </c>
      <c r="S1055" s="1" t="n">
        <v>0</v>
      </c>
      <c r="T1055" s="1" t="n">
        <v>0</v>
      </c>
      <c r="U1055" s="1" t="n">
        <v>0</v>
      </c>
      <c r="V1055" s="3" t="n">
        <f aca="false">SUM(P1055:Q1055)</f>
        <v>3</v>
      </c>
      <c r="W1055" s="3" t="n">
        <f aca="false">SUM(R1055:T1055)</f>
        <v>0</v>
      </c>
      <c r="X1055" s="10" t="n">
        <v>39970</v>
      </c>
      <c r="Y1055" s="10" t="n">
        <v>39975</v>
      </c>
    </row>
    <row r="1056" customFormat="false" ht="14.25" hidden="false" customHeight="false" outlineLevel="0" collapsed="false">
      <c r="A1056" s="1" t="n">
        <v>2009</v>
      </c>
      <c r="B1056" s="1" t="n">
        <v>1</v>
      </c>
      <c r="C1056" s="2" t="s">
        <v>25</v>
      </c>
      <c r="D1056" s="7" t="s">
        <v>101</v>
      </c>
      <c r="E1056" s="1" t="n">
        <v>1</v>
      </c>
      <c r="F1056" s="1" t="n">
        <f aca="false">Y1056-X1056</f>
        <v>5</v>
      </c>
      <c r="G1056" s="1" t="n">
        <v>5</v>
      </c>
      <c r="H1056" s="3" t="s">
        <v>48</v>
      </c>
      <c r="I1056" s="3" t="s">
        <v>49</v>
      </c>
      <c r="J1056" s="3" t="s">
        <v>130</v>
      </c>
      <c r="K1056" s="2" t="str">
        <f aca="false">CONCATENATE(I1056," ",J1056)</f>
        <v>Alopecosa aculeata</v>
      </c>
      <c r="L1056" s="3" t="n">
        <f aca="false">SUM(P1056:U1056)</f>
        <v>1</v>
      </c>
      <c r="M1056" s="11" t="n">
        <f aca="false">(L1056/(F1056*G1056)*25)*4</f>
        <v>4</v>
      </c>
      <c r="N1056" s="1" t="s">
        <v>30</v>
      </c>
      <c r="O1056" s="1" t="s">
        <v>31</v>
      </c>
      <c r="P1056" s="1" t="n">
        <v>1</v>
      </c>
      <c r="Q1056" s="1" t="n">
        <v>0</v>
      </c>
      <c r="R1056" s="1" t="n">
        <v>0</v>
      </c>
      <c r="S1056" s="1" t="n">
        <v>0</v>
      </c>
      <c r="T1056" s="1" t="n">
        <v>0</v>
      </c>
      <c r="U1056" s="1" t="n">
        <v>0</v>
      </c>
      <c r="V1056" s="3" t="n">
        <f aca="false">SUM(P1056:Q1056)</f>
        <v>1</v>
      </c>
      <c r="W1056" s="3" t="n">
        <f aca="false">SUM(R1056:T1056)</f>
        <v>0</v>
      </c>
      <c r="X1056" s="10" t="n">
        <v>39970</v>
      </c>
      <c r="Y1056" s="10" t="n">
        <v>39975</v>
      </c>
    </row>
    <row r="1057" customFormat="false" ht="14.25" hidden="false" customHeight="false" outlineLevel="0" collapsed="false">
      <c r="A1057" s="1" t="n">
        <v>2009</v>
      </c>
      <c r="B1057" s="1" t="n">
        <v>1</v>
      </c>
      <c r="C1057" s="2" t="s">
        <v>25</v>
      </c>
      <c r="D1057" s="7" t="s">
        <v>101</v>
      </c>
      <c r="E1057" s="1" t="n">
        <v>1</v>
      </c>
      <c r="F1057" s="1" t="n">
        <f aca="false">Y1057-X1057</f>
        <v>5</v>
      </c>
      <c r="G1057" s="1" t="n">
        <v>5</v>
      </c>
      <c r="H1057" s="3" t="s">
        <v>48</v>
      </c>
      <c r="I1057" s="3" t="s">
        <v>67</v>
      </c>
      <c r="J1057" s="3" t="s">
        <v>127</v>
      </c>
      <c r="K1057" s="2" t="str">
        <f aca="false">CONCATENATE(I1057," ",J1057)</f>
        <v>Pardosa lugubris</v>
      </c>
      <c r="L1057" s="3" t="n">
        <f aca="false">SUM(P1057:U1057)</f>
        <v>1</v>
      </c>
      <c r="M1057" s="11" t="n">
        <f aca="false">(L1057/(F1057*G1057)*25)*4</f>
        <v>4</v>
      </c>
      <c r="N1057" s="1" t="s">
        <v>30</v>
      </c>
      <c r="O1057" s="1" t="s">
        <v>31</v>
      </c>
      <c r="P1057" s="1" t="n">
        <v>1</v>
      </c>
      <c r="Q1057" s="1" t="n">
        <v>0</v>
      </c>
      <c r="R1057" s="1" t="n">
        <v>0</v>
      </c>
      <c r="S1057" s="1" t="n">
        <v>0</v>
      </c>
      <c r="T1057" s="1" t="n">
        <v>0</v>
      </c>
      <c r="U1057" s="1" t="n">
        <v>0</v>
      </c>
      <c r="V1057" s="3" t="n">
        <f aca="false">SUM(P1057:Q1057)</f>
        <v>1</v>
      </c>
      <c r="W1057" s="3" t="n">
        <f aca="false">SUM(R1057:T1057)</f>
        <v>0</v>
      </c>
      <c r="X1057" s="10" t="n">
        <v>39970</v>
      </c>
      <c r="Y1057" s="10" t="n">
        <v>39975</v>
      </c>
    </row>
    <row r="1058" customFormat="false" ht="14.25" hidden="false" customHeight="false" outlineLevel="0" collapsed="false">
      <c r="A1058" s="1" t="n">
        <v>2009</v>
      </c>
      <c r="B1058" s="1" t="n">
        <v>1</v>
      </c>
      <c r="C1058" s="2" t="s">
        <v>25</v>
      </c>
      <c r="D1058" s="7" t="s">
        <v>101</v>
      </c>
      <c r="E1058" s="1" t="n">
        <v>1</v>
      </c>
      <c r="F1058" s="1" t="n">
        <f aca="false">Y1058-X1058</f>
        <v>5</v>
      </c>
      <c r="G1058" s="1" t="n">
        <v>5</v>
      </c>
      <c r="H1058" s="3" t="s">
        <v>48</v>
      </c>
      <c r="I1058" s="3" t="s">
        <v>49</v>
      </c>
      <c r="J1058" s="3" t="s">
        <v>38</v>
      </c>
      <c r="K1058" s="2" t="str">
        <f aca="false">CONCATENATE(I1058," ",J1058)</f>
        <v>Alopecosa sp</v>
      </c>
      <c r="L1058" s="3" t="n">
        <f aca="false">SUM(P1058:U1058)</f>
        <v>1</v>
      </c>
      <c r="M1058" s="11" t="n">
        <f aca="false">(L1058/(F1058*G1058)*25)*4</f>
        <v>4</v>
      </c>
      <c r="N1058" s="1" t="s">
        <v>19</v>
      </c>
      <c r="O1058" s="1" t="s">
        <v>54</v>
      </c>
      <c r="P1058" s="1" t="n">
        <v>0</v>
      </c>
      <c r="Q1058" s="1" t="n">
        <v>0</v>
      </c>
      <c r="R1058" s="1" t="n">
        <v>0</v>
      </c>
      <c r="S1058" s="1" t="n">
        <v>0</v>
      </c>
      <c r="T1058" s="1" t="n">
        <v>1</v>
      </c>
      <c r="U1058" s="1" t="n">
        <v>0</v>
      </c>
      <c r="V1058" s="3" t="n">
        <f aca="false">SUM(P1058:Q1058)</f>
        <v>0</v>
      </c>
      <c r="W1058" s="3" t="n">
        <f aca="false">SUM(R1058:T1058)</f>
        <v>1</v>
      </c>
      <c r="X1058" s="10" t="n">
        <v>39970</v>
      </c>
      <c r="Y1058" s="10" t="n">
        <v>39975</v>
      </c>
    </row>
    <row r="1059" customFormat="false" ht="14.25" hidden="false" customHeight="false" outlineLevel="0" collapsed="false">
      <c r="A1059" s="1" t="n">
        <v>2009</v>
      </c>
      <c r="B1059" s="1" t="n">
        <v>1</v>
      </c>
      <c r="C1059" s="2" t="s">
        <v>25</v>
      </c>
      <c r="D1059" s="7" t="s">
        <v>101</v>
      </c>
      <c r="E1059" s="1" t="n">
        <v>1</v>
      </c>
      <c r="F1059" s="1" t="n">
        <f aca="false">Y1059-X1059</f>
        <v>5</v>
      </c>
      <c r="G1059" s="1" t="n">
        <v>5</v>
      </c>
      <c r="H1059" s="3" t="s">
        <v>36</v>
      </c>
      <c r="I1059" s="3" t="s">
        <v>131</v>
      </c>
      <c r="J1059" s="3" t="s">
        <v>133</v>
      </c>
      <c r="K1059" s="2" t="str">
        <f aca="false">CONCATENATE(I1059," ",J1059)</f>
        <v>Xysticus luctuosus</v>
      </c>
      <c r="L1059" s="3" t="n">
        <f aca="false">SUM(P1059:U1059)</f>
        <v>2</v>
      </c>
      <c r="M1059" s="11" t="n">
        <f aca="false">(L1059/(F1059*G1059)*25)*4</f>
        <v>8</v>
      </c>
      <c r="N1059" s="1" t="s">
        <v>30</v>
      </c>
      <c r="O1059" s="1" t="s">
        <v>31</v>
      </c>
      <c r="P1059" s="1" t="n">
        <v>2</v>
      </c>
      <c r="Q1059" s="1" t="n">
        <v>0</v>
      </c>
      <c r="R1059" s="1" t="n">
        <v>0</v>
      </c>
      <c r="S1059" s="1" t="n">
        <v>0</v>
      </c>
      <c r="T1059" s="1" t="n">
        <v>0</v>
      </c>
      <c r="U1059" s="1" t="n">
        <v>0</v>
      </c>
      <c r="V1059" s="3" t="n">
        <f aca="false">SUM(P1059:Q1059)</f>
        <v>2</v>
      </c>
      <c r="W1059" s="3" t="n">
        <f aca="false">SUM(R1059:T1059)</f>
        <v>0</v>
      </c>
      <c r="X1059" s="10" t="n">
        <v>39970</v>
      </c>
      <c r="Y1059" s="10" t="n">
        <v>39975</v>
      </c>
    </row>
    <row r="1060" customFormat="false" ht="14.25" hidden="false" customHeight="false" outlineLevel="0" collapsed="false">
      <c r="A1060" s="1" t="n">
        <v>2009</v>
      </c>
      <c r="B1060" s="1" t="n">
        <v>1</v>
      </c>
      <c r="C1060" s="2" t="s">
        <v>25</v>
      </c>
      <c r="D1060" s="7" t="s">
        <v>101</v>
      </c>
      <c r="E1060" s="1" t="n">
        <v>1</v>
      </c>
      <c r="F1060" s="1" t="n">
        <f aca="false">Y1060-X1060</f>
        <v>5</v>
      </c>
      <c r="G1060" s="1" t="n">
        <v>5</v>
      </c>
      <c r="H1060" s="3" t="s">
        <v>48</v>
      </c>
      <c r="I1060" s="3" t="s">
        <v>49</v>
      </c>
      <c r="J1060" s="3" t="s">
        <v>104</v>
      </c>
      <c r="K1060" s="2" t="str">
        <f aca="false">CONCATENATE(I1060," ",J1060)</f>
        <v>Alopecosa taeniata</v>
      </c>
      <c r="L1060" s="3" t="n">
        <f aca="false">SUM(P1060:U1060)</f>
        <v>8</v>
      </c>
      <c r="M1060" s="11" t="n">
        <f aca="false">(L1060/(F1060*G1060)*25)*4</f>
        <v>32</v>
      </c>
      <c r="N1060" s="1" t="s">
        <v>30</v>
      </c>
      <c r="O1060" s="1" t="s">
        <v>31</v>
      </c>
      <c r="P1060" s="1" t="n">
        <v>8</v>
      </c>
      <c r="Q1060" s="1" t="n">
        <v>0</v>
      </c>
      <c r="R1060" s="1" t="n">
        <v>0</v>
      </c>
      <c r="S1060" s="1" t="n">
        <v>0</v>
      </c>
      <c r="T1060" s="1" t="n">
        <v>0</v>
      </c>
      <c r="U1060" s="1" t="n">
        <v>0</v>
      </c>
      <c r="V1060" s="3" t="n">
        <f aca="false">SUM(P1060:Q1060)</f>
        <v>8</v>
      </c>
      <c r="W1060" s="3" t="n">
        <f aca="false">SUM(R1060:T1060)</f>
        <v>0</v>
      </c>
      <c r="X1060" s="10" t="n">
        <v>39970</v>
      </c>
      <c r="Y1060" s="10" t="n">
        <v>39975</v>
      </c>
    </row>
    <row r="1061" customFormat="false" ht="14.25" hidden="false" customHeight="false" outlineLevel="0" collapsed="false">
      <c r="A1061" s="1" t="n">
        <v>2009</v>
      </c>
      <c r="B1061" s="1" t="n">
        <v>1</v>
      </c>
      <c r="C1061" s="2" t="s">
        <v>25</v>
      </c>
      <c r="D1061" s="7" t="s">
        <v>101</v>
      </c>
      <c r="E1061" s="1" t="n">
        <v>1</v>
      </c>
      <c r="F1061" s="1" t="n">
        <f aca="false">Y1061-X1061</f>
        <v>5</v>
      </c>
      <c r="G1061" s="1" t="n">
        <v>5</v>
      </c>
      <c r="H1061" s="3" t="s">
        <v>48</v>
      </c>
      <c r="I1061" s="3" t="s">
        <v>49</v>
      </c>
      <c r="J1061" s="3" t="s">
        <v>104</v>
      </c>
      <c r="K1061" s="2" t="str">
        <f aca="false">CONCATENATE(I1061," ",J1061)</f>
        <v>Alopecosa taeniata</v>
      </c>
      <c r="L1061" s="3" t="n">
        <f aca="false">SUM(P1061:U1061)</f>
        <v>2</v>
      </c>
      <c r="M1061" s="11" t="n">
        <f aca="false">(L1061/(F1061*G1061)*25)*4</f>
        <v>8</v>
      </c>
      <c r="N1061" s="1" t="s">
        <v>30</v>
      </c>
      <c r="O1061" s="1" t="s">
        <v>35</v>
      </c>
      <c r="P1061" s="1" t="n">
        <v>0</v>
      </c>
      <c r="Q1061" s="1" t="n">
        <v>2</v>
      </c>
      <c r="R1061" s="1" t="n">
        <v>0</v>
      </c>
      <c r="S1061" s="1" t="n">
        <v>0</v>
      </c>
      <c r="T1061" s="1" t="n">
        <v>0</v>
      </c>
      <c r="U1061" s="1" t="n">
        <v>0</v>
      </c>
      <c r="V1061" s="3" t="n">
        <f aca="false">SUM(P1061:Q1061)</f>
        <v>2</v>
      </c>
      <c r="W1061" s="3" t="n">
        <f aca="false">SUM(R1061:T1061)</f>
        <v>0</v>
      </c>
      <c r="X1061" s="10" t="n">
        <v>39970</v>
      </c>
      <c r="Y1061" s="10" t="n">
        <v>39975</v>
      </c>
    </row>
    <row r="1062" customFormat="false" ht="14.25" hidden="false" customHeight="false" outlineLevel="0" collapsed="false">
      <c r="A1062" s="1" t="n">
        <v>2009</v>
      </c>
      <c r="B1062" s="1" t="n">
        <v>1</v>
      </c>
      <c r="C1062" s="2" t="s">
        <v>25</v>
      </c>
      <c r="D1062" s="7" t="s">
        <v>101</v>
      </c>
      <c r="E1062" s="1" t="n">
        <v>1</v>
      </c>
      <c r="F1062" s="1" t="n">
        <f aca="false">Y1062-X1062</f>
        <v>5</v>
      </c>
      <c r="G1062" s="1" t="n">
        <v>5</v>
      </c>
      <c r="H1062" s="3" t="s">
        <v>48</v>
      </c>
      <c r="I1062" s="3" t="s">
        <v>49</v>
      </c>
      <c r="J1062" s="3" t="s">
        <v>130</v>
      </c>
      <c r="K1062" s="2" t="str">
        <f aca="false">CONCATENATE(I1062," ",J1062)</f>
        <v>Alopecosa aculeata</v>
      </c>
      <c r="L1062" s="3" t="n">
        <f aca="false">SUM(P1062:U1062)</f>
        <v>1</v>
      </c>
      <c r="M1062" s="11" t="n">
        <f aca="false">(L1062/(F1062*G1062)*25)*4</f>
        <v>4</v>
      </c>
      <c r="N1062" s="1" t="s">
        <v>30</v>
      </c>
      <c r="O1062" s="1" t="s">
        <v>31</v>
      </c>
      <c r="P1062" s="1" t="n">
        <v>1</v>
      </c>
      <c r="Q1062" s="1" t="n">
        <v>0</v>
      </c>
      <c r="R1062" s="1" t="n">
        <v>0</v>
      </c>
      <c r="S1062" s="1" t="n">
        <v>0</v>
      </c>
      <c r="T1062" s="1" t="n">
        <v>0</v>
      </c>
      <c r="U1062" s="1" t="n">
        <v>0</v>
      </c>
      <c r="V1062" s="3" t="n">
        <f aca="false">SUM(P1062:Q1062)</f>
        <v>1</v>
      </c>
      <c r="W1062" s="3" t="n">
        <f aca="false">SUM(R1062:T1062)</f>
        <v>0</v>
      </c>
      <c r="X1062" s="10" t="n">
        <v>39970</v>
      </c>
      <c r="Y1062" s="10" t="n">
        <v>39975</v>
      </c>
    </row>
    <row r="1063" customFormat="false" ht="14.25" hidden="false" customHeight="false" outlineLevel="0" collapsed="false">
      <c r="A1063" s="1" t="n">
        <v>2009</v>
      </c>
      <c r="B1063" s="1" t="n">
        <v>1</v>
      </c>
      <c r="C1063" s="2" t="s">
        <v>25</v>
      </c>
      <c r="D1063" s="7" t="s">
        <v>101</v>
      </c>
      <c r="E1063" s="1" t="n">
        <v>1</v>
      </c>
      <c r="F1063" s="1" t="n">
        <f aca="false">Y1063-X1063</f>
        <v>5</v>
      </c>
      <c r="G1063" s="1" t="n">
        <v>5</v>
      </c>
      <c r="H1063" s="3" t="s">
        <v>48</v>
      </c>
      <c r="I1063" s="3" t="s">
        <v>57</v>
      </c>
      <c r="J1063" s="3" t="s">
        <v>38</v>
      </c>
      <c r="K1063" s="2" t="str">
        <f aca="false">CONCATENATE(I1063," ",J1063)</f>
        <v>Gen sp</v>
      </c>
      <c r="L1063" s="3" t="n">
        <f aca="false">SUM(P1063:U1063)</f>
        <v>1</v>
      </c>
      <c r="M1063" s="11" t="n">
        <f aca="false">(L1063/(F1063*G1063)*25)*4</f>
        <v>4</v>
      </c>
      <c r="N1063" s="1" t="s">
        <v>19</v>
      </c>
      <c r="O1063" s="1" t="s">
        <v>54</v>
      </c>
      <c r="P1063" s="1" t="n">
        <v>0</v>
      </c>
      <c r="Q1063" s="1" t="n">
        <v>0</v>
      </c>
      <c r="R1063" s="1" t="n">
        <v>0</v>
      </c>
      <c r="S1063" s="1" t="n">
        <v>0</v>
      </c>
      <c r="T1063" s="1" t="n">
        <v>1</v>
      </c>
      <c r="U1063" s="1" t="n">
        <v>0</v>
      </c>
      <c r="V1063" s="3" t="n">
        <f aca="false">SUM(P1063:Q1063)</f>
        <v>0</v>
      </c>
      <c r="W1063" s="3" t="n">
        <f aca="false">SUM(R1063:T1063)</f>
        <v>1</v>
      </c>
      <c r="X1063" s="10" t="n">
        <v>39970</v>
      </c>
      <c r="Y1063" s="10" t="n">
        <v>39975</v>
      </c>
    </row>
    <row r="1064" customFormat="false" ht="14.25" hidden="false" customHeight="false" outlineLevel="0" collapsed="false">
      <c r="A1064" s="1" t="n">
        <v>2009</v>
      </c>
      <c r="B1064" s="1" t="n">
        <v>1</v>
      </c>
      <c r="C1064" s="2" t="s">
        <v>25</v>
      </c>
      <c r="D1064" s="7" t="s">
        <v>101</v>
      </c>
      <c r="E1064" s="1" t="n">
        <v>1</v>
      </c>
      <c r="F1064" s="1" t="n">
        <f aca="false">Y1064-X1064</f>
        <v>5</v>
      </c>
      <c r="G1064" s="1" t="n">
        <v>5</v>
      </c>
      <c r="H1064" s="3" t="s">
        <v>72</v>
      </c>
      <c r="I1064" s="3" t="s">
        <v>86</v>
      </c>
      <c r="J1064" s="8" t="s">
        <v>87</v>
      </c>
      <c r="K1064" s="2" t="str">
        <f aca="false">CONCATENATE(I1064," ",J1064)</f>
        <v>Haplodrassus soerenseni</v>
      </c>
      <c r="L1064" s="3" t="n">
        <f aca="false">SUM(P1064:U1064)</f>
        <v>1</v>
      </c>
      <c r="M1064" s="11" t="n">
        <f aca="false">(L1064/(F1064*G1064)*25)*4</f>
        <v>4</v>
      </c>
      <c r="N1064" s="1" t="s">
        <v>30</v>
      </c>
      <c r="O1064" s="1" t="s">
        <v>31</v>
      </c>
      <c r="P1064" s="1" t="n">
        <v>1</v>
      </c>
      <c r="Q1064" s="1" t="n">
        <v>0</v>
      </c>
      <c r="R1064" s="1" t="n">
        <v>0</v>
      </c>
      <c r="S1064" s="1" t="n">
        <v>0</v>
      </c>
      <c r="T1064" s="1" t="n">
        <v>0</v>
      </c>
      <c r="U1064" s="1" t="n">
        <v>0</v>
      </c>
      <c r="V1064" s="3" t="n">
        <f aca="false">SUM(P1064:Q1064)</f>
        <v>1</v>
      </c>
      <c r="W1064" s="3" t="n">
        <f aca="false">SUM(R1064:T1064)</f>
        <v>0</v>
      </c>
      <c r="X1064" s="10" t="n">
        <v>39970</v>
      </c>
      <c r="Y1064" s="10" t="n">
        <v>39975</v>
      </c>
    </row>
    <row r="1065" customFormat="false" ht="14.25" hidden="false" customHeight="false" outlineLevel="0" collapsed="false">
      <c r="A1065" s="1" t="n">
        <v>2009</v>
      </c>
      <c r="B1065" s="1" t="n">
        <v>1</v>
      </c>
      <c r="C1065" s="2" t="s">
        <v>25</v>
      </c>
      <c r="D1065" s="7" t="s">
        <v>101</v>
      </c>
      <c r="E1065" s="1" t="n">
        <v>1</v>
      </c>
      <c r="F1065" s="1" t="n">
        <f aca="false">Y1065-X1065</f>
        <v>5</v>
      </c>
      <c r="G1065" s="1" t="n">
        <v>5</v>
      </c>
      <c r="H1065" s="3" t="s">
        <v>72</v>
      </c>
      <c r="I1065" s="3" t="s">
        <v>73</v>
      </c>
      <c r="J1065" s="3" t="s">
        <v>74</v>
      </c>
      <c r="K1065" s="2" t="str">
        <f aca="false">CONCATENATE(I1065," ",J1065)</f>
        <v>Zelotes subterraneus</v>
      </c>
      <c r="L1065" s="3" t="n">
        <f aca="false">SUM(P1065:U1065)</f>
        <v>1</v>
      </c>
      <c r="M1065" s="11" t="n">
        <f aca="false">(L1065/(F1065*G1065)*25)*4</f>
        <v>4</v>
      </c>
      <c r="N1065" s="1" t="s">
        <v>30</v>
      </c>
      <c r="O1065" s="1" t="s">
        <v>31</v>
      </c>
      <c r="P1065" s="1" t="n">
        <v>1</v>
      </c>
      <c r="Q1065" s="1" t="n">
        <v>0</v>
      </c>
      <c r="R1065" s="1" t="n">
        <v>0</v>
      </c>
      <c r="S1065" s="1" t="n">
        <v>0</v>
      </c>
      <c r="T1065" s="1" t="n">
        <v>0</v>
      </c>
      <c r="U1065" s="1" t="n">
        <v>0</v>
      </c>
      <c r="V1065" s="3" t="n">
        <f aca="false">SUM(P1065:Q1065)</f>
        <v>1</v>
      </c>
      <c r="W1065" s="3" t="n">
        <f aca="false">SUM(R1065:T1065)</f>
        <v>0</v>
      </c>
      <c r="X1065" s="10" t="n">
        <v>39970</v>
      </c>
      <c r="Y1065" s="10" t="n">
        <v>39975</v>
      </c>
    </row>
    <row r="1066" customFormat="false" ht="14.25" hidden="false" customHeight="false" outlineLevel="0" collapsed="false">
      <c r="A1066" s="1" t="n">
        <v>2009</v>
      </c>
      <c r="B1066" s="1" t="n">
        <v>1</v>
      </c>
      <c r="C1066" s="2" t="s">
        <v>25</v>
      </c>
      <c r="D1066" s="7" t="s">
        <v>101</v>
      </c>
      <c r="E1066" s="1" t="n">
        <v>1</v>
      </c>
      <c r="F1066" s="1" t="n">
        <f aca="false">Y1066-X1066</f>
        <v>5</v>
      </c>
      <c r="G1066" s="1" t="n">
        <v>5</v>
      </c>
      <c r="H1066" s="13" t="s">
        <v>36</v>
      </c>
      <c r="I1066" s="13" t="s">
        <v>37</v>
      </c>
      <c r="J1066" s="14" t="s">
        <v>109</v>
      </c>
      <c r="K1066" s="2" t="str">
        <f aca="false">CONCATENATE(I1066," ",J1066)</f>
        <v>Ozyptila trux</v>
      </c>
      <c r="L1066" s="3" t="n">
        <f aca="false">SUM(P1066:U1066)</f>
        <v>1</v>
      </c>
      <c r="M1066" s="11" t="n">
        <f aca="false">(L1066/(F1066*G1066)*25)*4</f>
        <v>4</v>
      </c>
      <c r="N1066" s="1" t="s">
        <v>30</v>
      </c>
      <c r="O1066" s="1" t="s">
        <v>35</v>
      </c>
      <c r="P1066" s="1" t="n">
        <v>0</v>
      </c>
      <c r="Q1066" s="1" t="n">
        <v>1</v>
      </c>
      <c r="R1066" s="1" t="n">
        <v>0</v>
      </c>
      <c r="S1066" s="1" t="n">
        <v>0</v>
      </c>
      <c r="T1066" s="1" t="n">
        <v>0</v>
      </c>
      <c r="U1066" s="1" t="n">
        <v>0</v>
      </c>
      <c r="V1066" s="3" t="n">
        <f aca="false">SUM(P1066:Q1066)</f>
        <v>1</v>
      </c>
      <c r="W1066" s="3" t="n">
        <f aca="false">SUM(R1066:T1066)</f>
        <v>0</v>
      </c>
      <c r="X1066" s="10" t="n">
        <v>39970</v>
      </c>
      <c r="Y1066" s="10" t="n">
        <v>39975</v>
      </c>
    </row>
    <row r="1067" customFormat="false" ht="14.25" hidden="false" customHeight="false" outlineLevel="0" collapsed="false">
      <c r="A1067" s="1" t="n">
        <v>2009</v>
      </c>
      <c r="B1067" s="1" t="n">
        <v>1</v>
      </c>
      <c r="C1067" s="2" t="s">
        <v>25</v>
      </c>
      <c r="D1067" s="7" t="s">
        <v>101</v>
      </c>
      <c r="E1067" s="1" t="n">
        <v>1</v>
      </c>
      <c r="F1067" s="1" t="n">
        <f aca="false">Y1067-X1067</f>
        <v>5</v>
      </c>
      <c r="G1067" s="1" t="n">
        <v>5</v>
      </c>
      <c r="H1067" s="3" t="s">
        <v>36</v>
      </c>
      <c r="I1067" s="3" t="s">
        <v>37</v>
      </c>
      <c r="J1067" s="3" t="s">
        <v>38</v>
      </c>
      <c r="K1067" s="2" t="str">
        <f aca="false">CONCATENATE(I1067," ",J1067)</f>
        <v>Ozyptila sp</v>
      </c>
      <c r="L1067" s="3" t="n">
        <f aca="false">SUM(P1067:U1067)</f>
        <v>1</v>
      </c>
      <c r="M1067" s="11" t="n">
        <f aca="false">(L1067/(F1067*G1067)*25)*4</f>
        <v>4</v>
      </c>
      <c r="N1067" s="1" t="s">
        <v>19</v>
      </c>
      <c r="O1067" s="1" t="s">
        <v>54</v>
      </c>
      <c r="P1067" s="1" t="n">
        <v>0</v>
      </c>
      <c r="Q1067" s="1" t="n">
        <v>0</v>
      </c>
      <c r="R1067" s="1" t="n">
        <v>0</v>
      </c>
      <c r="S1067" s="1" t="n">
        <v>0</v>
      </c>
      <c r="T1067" s="1" t="n">
        <v>1</v>
      </c>
      <c r="U1067" s="1" t="n">
        <v>0</v>
      </c>
      <c r="V1067" s="3" t="n">
        <f aca="false">SUM(P1067:Q1067)</f>
        <v>0</v>
      </c>
      <c r="W1067" s="3" t="n">
        <f aca="false">SUM(R1067:T1067)</f>
        <v>1</v>
      </c>
      <c r="X1067" s="10" t="n">
        <v>39970</v>
      </c>
      <c r="Y1067" s="10" t="n">
        <v>39975</v>
      </c>
    </row>
    <row r="1068" customFormat="false" ht="14.25" hidden="false" customHeight="false" outlineLevel="0" collapsed="false">
      <c r="A1068" s="1" t="n">
        <v>2009</v>
      </c>
      <c r="B1068" s="1" t="n">
        <v>1</v>
      </c>
      <c r="C1068" s="2" t="s">
        <v>25</v>
      </c>
      <c r="D1068" s="7" t="s">
        <v>101</v>
      </c>
      <c r="E1068" s="1" t="n">
        <v>2</v>
      </c>
      <c r="F1068" s="1" t="n">
        <f aca="false">Y1068-X1068</f>
        <v>5</v>
      </c>
      <c r="G1068" s="1" t="n">
        <v>5</v>
      </c>
      <c r="H1068" s="3" t="s">
        <v>48</v>
      </c>
      <c r="I1068" s="3" t="s">
        <v>49</v>
      </c>
      <c r="J1068" s="3" t="s">
        <v>104</v>
      </c>
      <c r="K1068" s="2" t="str">
        <f aca="false">CONCATENATE(I1068," ",J1068)</f>
        <v>Alopecosa taeniata</v>
      </c>
      <c r="L1068" s="3" t="n">
        <f aca="false">SUM(P1068:U1068)</f>
        <v>4</v>
      </c>
      <c r="M1068" s="11" t="n">
        <f aca="false">(L1068/(F1068*G1068)*25)*4</f>
        <v>16</v>
      </c>
      <c r="N1068" s="1" t="s">
        <v>30</v>
      </c>
      <c r="O1068" s="1" t="s">
        <v>31</v>
      </c>
      <c r="P1068" s="1" t="n">
        <v>4</v>
      </c>
      <c r="Q1068" s="1" t="n">
        <v>0</v>
      </c>
      <c r="R1068" s="1" t="n">
        <v>0</v>
      </c>
      <c r="S1068" s="1" t="n">
        <v>0</v>
      </c>
      <c r="T1068" s="1" t="n">
        <v>0</v>
      </c>
      <c r="U1068" s="1" t="n">
        <v>0</v>
      </c>
      <c r="V1068" s="3" t="n">
        <f aca="false">SUM(P1068:Q1068)</f>
        <v>4</v>
      </c>
      <c r="W1068" s="3" t="n">
        <f aca="false">SUM(R1068:T1068)</f>
        <v>0</v>
      </c>
      <c r="X1068" s="10" t="n">
        <v>39970</v>
      </c>
      <c r="Y1068" s="10" t="n">
        <v>39975</v>
      </c>
    </row>
    <row r="1069" customFormat="false" ht="14.25" hidden="false" customHeight="false" outlineLevel="0" collapsed="false">
      <c r="A1069" s="1" t="n">
        <v>2009</v>
      </c>
      <c r="B1069" s="1" t="n">
        <v>1</v>
      </c>
      <c r="C1069" s="2" t="s">
        <v>25</v>
      </c>
      <c r="D1069" s="7" t="s">
        <v>101</v>
      </c>
      <c r="E1069" s="1" t="n">
        <v>2</v>
      </c>
      <c r="F1069" s="1" t="n">
        <f aca="false">Y1069-X1069</f>
        <v>5</v>
      </c>
      <c r="G1069" s="1" t="n">
        <v>5</v>
      </c>
      <c r="H1069" s="3" t="s">
        <v>48</v>
      </c>
      <c r="I1069" s="3" t="s">
        <v>49</v>
      </c>
      <c r="J1069" s="3" t="s">
        <v>104</v>
      </c>
      <c r="K1069" s="2" t="str">
        <f aca="false">CONCATENATE(I1069," ",J1069)</f>
        <v>Alopecosa taeniata</v>
      </c>
      <c r="L1069" s="3" t="n">
        <f aca="false">SUM(P1069:U1069)</f>
        <v>3</v>
      </c>
      <c r="M1069" s="11" t="n">
        <f aca="false">(L1069/(F1069*G1069)*25)*4</f>
        <v>12</v>
      </c>
      <c r="N1069" s="1" t="s">
        <v>30</v>
      </c>
      <c r="O1069" s="1" t="s">
        <v>35</v>
      </c>
      <c r="P1069" s="1" t="n">
        <v>0</v>
      </c>
      <c r="Q1069" s="1" t="n">
        <v>3</v>
      </c>
      <c r="R1069" s="1" t="n">
        <v>0</v>
      </c>
      <c r="S1069" s="1" t="n">
        <v>0</v>
      </c>
      <c r="T1069" s="1" t="n">
        <v>0</v>
      </c>
      <c r="U1069" s="1" t="n">
        <v>0</v>
      </c>
      <c r="V1069" s="3" t="n">
        <f aca="false">SUM(P1069:Q1069)</f>
        <v>3</v>
      </c>
      <c r="W1069" s="3" t="n">
        <f aca="false">SUM(R1069:T1069)</f>
        <v>0</v>
      </c>
      <c r="X1069" s="10" t="n">
        <v>39970</v>
      </c>
      <c r="Y1069" s="10" t="n">
        <v>39975</v>
      </c>
    </row>
    <row r="1070" customFormat="false" ht="14.25" hidden="false" customHeight="false" outlineLevel="0" collapsed="false">
      <c r="A1070" s="1" t="n">
        <v>2009</v>
      </c>
      <c r="B1070" s="1" t="n">
        <v>1</v>
      </c>
      <c r="C1070" s="2" t="s">
        <v>25</v>
      </c>
      <c r="D1070" s="7" t="s">
        <v>101</v>
      </c>
      <c r="E1070" s="1" t="n">
        <v>2</v>
      </c>
      <c r="F1070" s="1" t="n">
        <f aca="false">Y1070-X1070</f>
        <v>5</v>
      </c>
      <c r="G1070" s="1" t="n">
        <v>5</v>
      </c>
      <c r="H1070" s="3" t="s">
        <v>48</v>
      </c>
      <c r="I1070" s="3" t="s">
        <v>49</v>
      </c>
      <c r="J1070" s="3" t="s">
        <v>130</v>
      </c>
      <c r="K1070" s="2" t="str">
        <f aca="false">CONCATENATE(I1070," ",J1070)</f>
        <v>Alopecosa aculeata</v>
      </c>
      <c r="L1070" s="3" t="n">
        <f aca="false">SUM(P1070:U1070)</f>
        <v>1</v>
      </c>
      <c r="M1070" s="11" t="n">
        <f aca="false">(L1070/(F1070*G1070)*25)*4</f>
        <v>4</v>
      </c>
      <c r="N1070" s="1" t="s">
        <v>30</v>
      </c>
      <c r="O1070" s="1" t="s">
        <v>31</v>
      </c>
      <c r="P1070" s="1" t="n">
        <v>1</v>
      </c>
      <c r="Q1070" s="1" t="n">
        <v>0</v>
      </c>
      <c r="R1070" s="1" t="n">
        <v>0</v>
      </c>
      <c r="S1070" s="1" t="n">
        <v>0</v>
      </c>
      <c r="T1070" s="1" t="n">
        <v>0</v>
      </c>
      <c r="U1070" s="1" t="n">
        <v>0</v>
      </c>
      <c r="V1070" s="3" t="n">
        <f aca="false">SUM(P1070:Q1070)</f>
        <v>1</v>
      </c>
      <c r="W1070" s="3" t="n">
        <f aca="false">SUM(R1070:T1070)</f>
        <v>0</v>
      </c>
      <c r="X1070" s="10" t="n">
        <v>39970</v>
      </c>
      <c r="Y1070" s="10" t="n">
        <v>39975</v>
      </c>
    </row>
    <row r="1071" customFormat="false" ht="14.25" hidden="false" customHeight="false" outlineLevel="0" collapsed="false">
      <c r="A1071" s="1" t="n">
        <v>2009</v>
      </c>
      <c r="B1071" s="1" t="n">
        <v>1</v>
      </c>
      <c r="C1071" s="2" t="s">
        <v>25</v>
      </c>
      <c r="D1071" s="7" t="s">
        <v>101</v>
      </c>
      <c r="E1071" s="1" t="n">
        <v>2</v>
      </c>
      <c r="F1071" s="1" t="n">
        <f aca="false">Y1071-X1071</f>
        <v>5</v>
      </c>
      <c r="G1071" s="1" t="n">
        <v>5</v>
      </c>
      <c r="H1071" s="3" t="s">
        <v>48</v>
      </c>
      <c r="I1071" s="3" t="s">
        <v>67</v>
      </c>
      <c r="J1071" s="3" t="s">
        <v>127</v>
      </c>
      <c r="K1071" s="2" t="str">
        <f aca="false">CONCATENATE(I1071," ",J1071)</f>
        <v>Pardosa lugubris</v>
      </c>
      <c r="L1071" s="3" t="n">
        <f aca="false">SUM(P1071:U1071)</f>
        <v>5</v>
      </c>
      <c r="M1071" s="11" t="n">
        <f aca="false">(L1071/(F1071*G1071)*25)*4</f>
        <v>20</v>
      </c>
      <c r="N1071" s="1" t="s">
        <v>30</v>
      </c>
      <c r="O1071" s="1" t="s">
        <v>31</v>
      </c>
      <c r="P1071" s="1" t="n">
        <v>5</v>
      </c>
      <c r="Q1071" s="1" t="n">
        <v>0</v>
      </c>
      <c r="R1071" s="1" t="n">
        <v>0</v>
      </c>
      <c r="S1071" s="1" t="n">
        <v>0</v>
      </c>
      <c r="T1071" s="1" t="n">
        <v>0</v>
      </c>
      <c r="U1071" s="1" t="n">
        <v>0</v>
      </c>
      <c r="V1071" s="3" t="n">
        <f aca="false">SUM(P1071:Q1071)</f>
        <v>5</v>
      </c>
      <c r="W1071" s="3" t="n">
        <f aca="false">SUM(R1071:T1071)</f>
        <v>0</v>
      </c>
      <c r="X1071" s="10" t="n">
        <v>39970</v>
      </c>
      <c r="Y1071" s="10" t="n">
        <v>39975</v>
      </c>
    </row>
    <row r="1072" customFormat="false" ht="14.25" hidden="false" customHeight="false" outlineLevel="0" collapsed="false">
      <c r="A1072" s="1" t="n">
        <v>2009</v>
      </c>
      <c r="B1072" s="1" t="n">
        <v>1</v>
      </c>
      <c r="C1072" s="2" t="s">
        <v>25</v>
      </c>
      <c r="D1072" s="7" t="s">
        <v>101</v>
      </c>
      <c r="E1072" s="1" t="n">
        <v>2</v>
      </c>
      <c r="F1072" s="1" t="n">
        <f aca="false">Y1072-X1072</f>
        <v>5</v>
      </c>
      <c r="G1072" s="1" t="n">
        <v>5</v>
      </c>
      <c r="H1072" s="3" t="s">
        <v>48</v>
      </c>
      <c r="I1072" s="3" t="s">
        <v>57</v>
      </c>
      <c r="J1072" s="3" t="s">
        <v>38</v>
      </c>
      <c r="K1072" s="2" t="str">
        <f aca="false">CONCATENATE(I1072," ",J1072)</f>
        <v>Gen sp</v>
      </c>
      <c r="L1072" s="3" t="n">
        <f aca="false">SUM(P1072:U1072)</f>
        <v>2</v>
      </c>
      <c r="M1072" s="11" t="n">
        <f aca="false">(L1072/(F1072*G1072)*25)*4</f>
        <v>8</v>
      </c>
      <c r="N1072" s="1" t="s">
        <v>19</v>
      </c>
      <c r="O1072" s="1" t="s">
        <v>54</v>
      </c>
      <c r="P1072" s="1" t="n">
        <v>0</v>
      </c>
      <c r="Q1072" s="1" t="n">
        <v>0</v>
      </c>
      <c r="R1072" s="1" t="n">
        <v>0</v>
      </c>
      <c r="S1072" s="1" t="n">
        <v>0</v>
      </c>
      <c r="T1072" s="1" t="n">
        <v>2</v>
      </c>
      <c r="U1072" s="1" t="n">
        <v>0</v>
      </c>
      <c r="V1072" s="3" t="n">
        <f aca="false">SUM(P1072:Q1072)</f>
        <v>0</v>
      </c>
      <c r="W1072" s="3" t="n">
        <f aca="false">SUM(R1072:T1072)</f>
        <v>2</v>
      </c>
      <c r="X1072" s="10" t="n">
        <v>39970</v>
      </c>
      <c r="Y1072" s="10" t="n">
        <v>39975</v>
      </c>
    </row>
    <row r="1073" customFormat="false" ht="14.25" hidden="false" customHeight="false" outlineLevel="0" collapsed="false">
      <c r="A1073" s="1" t="n">
        <v>2009</v>
      </c>
      <c r="B1073" s="1" t="n">
        <v>1</v>
      </c>
      <c r="C1073" s="2" t="s">
        <v>25</v>
      </c>
      <c r="D1073" s="7" t="s">
        <v>101</v>
      </c>
      <c r="E1073" s="1" t="n">
        <v>2</v>
      </c>
      <c r="F1073" s="1" t="n">
        <f aca="false">Y1073-X1073</f>
        <v>5</v>
      </c>
      <c r="G1073" s="1" t="n">
        <v>5</v>
      </c>
      <c r="H1073" s="13" t="s">
        <v>195</v>
      </c>
      <c r="I1073" s="13" t="s">
        <v>196</v>
      </c>
      <c r="J1073" s="14" t="s">
        <v>197</v>
      </c>
      <c r="K1073" s="2" t="str">
        <f aca="false">CONCATENATE(I1073," ",J1073)</f>
        <v>Pachygnatha listeri</v>
      </c>
      <c r="L1073" s="3" t="n">
        <f aca="false">SUM(P1073:U1073)</f>
        <v>1</v>
      </c>
      <c r="M1073" s="11" t="n">
        <f aca="false">(L1073/(F1073*G1073)*25)*4</f>
        <v>4</v>
      </c>
      <c r="N1073" s="1" t="s">
        <v>30</v>
      </c>
      <c r="O1073" s="1" t="s">
        <v>35</v>
      </c>
      <c r="P1073" s="1" t="n">
        <v>0</v>
      </c>
      <c r="Q1073" s="1" t="n">
        <v>1</v>
      </c>
      <c r="R1073" s="1" t="n">
        <v>0</v>
      </c>
      <c r="S1073" s="1" t="n">
        <v>0</v>
      </c>
      <c r="T1073" s="1" t="n">
        <v>0</v>
      </c>
      <c r="U1073" s="1" t="n">
        <v>0</v>
      </c>
      <c r="V1073" s="3" t="n">
        <f aca="false">SUM(P1073:Q1073)</f>
        <v>1</v>
      </c>
      <c r="W1073" s="3" t="n">
        <f aca="false">SUM(R1073:T1073)</f>
        <v>0</v>
      </c>
      <c r="X1073" s="10" t="n">
        <v>39970</v>
      </c>
      <c r="Y1073" s="10" t="n">
        <v>39975</v>
      </c>
    </row>
    <row r="1074" customFormat="false" ht="14.25" hidden="false" customHeight="false" outlineLevel="0" collapsed="false">
      <c r="A1074" s="1" t="n">
        <v>2009</v>
      </c>
      <c r="B1074" s="1" t="n">
        <v>1</v>
      </c>
      <c r="C1074" s="2" t="s">
        <v>25</v>
      </c>
      <c r="D1074" s="7" t="s">
        <v>101</v>
      </c>
      <c r="E1074" s="1" t="n">
        <v>2</v>
      </c>
      <c r="F1074" s="1" t="n">
        <f aca="false">Y1074-X1074</f>
        <v>5</v>
      </c>
      <c r="G1074" s="1" t="n">
        <v>5</v>
      </c>
      <c r="H1074" s="3" t="s">
        <v>36</v>
      </c>
      <c r="I1074" s="3" t="s">
        <v>131</v>
      </c>
      <c r="J1074" s="3" t="s">
        <v>133</v>
      </c>
      <c r="K1074" s="2" t="str">
        <f aca="false">CONCATENATE(I1074," ",J1074)</f>
        <v>Xysticus luctuosus</v>
      </c>
      <c r="L1074" s="3" t="n">
        <f aca="false">SUM(P1074:U1074)</f>
        <v>1</v>
      </c>
      <c r="M1074" s="11" t="n">
        <f aca="false">(L1074/(F1074*G1074)*25)*4</f>
        <v>4</v>
      </c>
      <c r="N1074" s="1" t="s">
        <v>30</v>
      </c>
      <c r="O1074" s="1" t="s">
        <v>31</v>
      </c>
      <c r="P1074" s="1" t="n">
        <v>1</v>
      </c>
      <c r="Q1074" s="1" t="n">
        <v>0</v>
      </c>
      <c r="R1074" s="1" t="n">
        <v>0</v>
      </c>
      <c r="S1074" s="1" t="n">
        <v>0</v>
      </c>
      <c r="T1074" s="1" t="n">
        <v>0</v>
      </c>
      <c r="U1074" s="1" t="n">
        <v>0</v>
      </c>
      <c r="V1074" s="3" t="n">
        <f aca="false">SUM(P1074:Q1074)</f>
        <v>1</v>
      </c>
      <c r="W1074" s="3" t="n">
        <f aca="false">SUM(R1074:T1074)</f>
        <v>0</v>
      </c>
      <c r="X1074" s="10" t="n">
        <v>39970</v>
      </c>
      <c r="Y1074" s="10" t="n">
        <v>39975</v>
      </c>
    </row>
    <row r="1075" customFormat="false" ht="14.25" hidden="false" customHeight="false" outlineLevel="0" collapsed="false">
      <c r="A1075" s="1" t="n">
        <v>2009</v>
      </c>
      <c r="B1075" s="1" t="n">
        <v>1</v>
      </c>
      <c r="C1075" s="2" t="s">
        <v>25</v>
      </c>
      <c r="D1075" s="7" t="s">
        <v>101</v>
      </c>
      <c r="E1075" s="1" t="n">
        <v>2</v>
      </c>
      <c r="F1075" s="1" t="n">
        <f aca="false">Y1075-X1075</f>
        <v>5</v>
      </c>
      <c r="G1075" s="1" t="n">
        <v>5</v>
      </c>
      <c r="H1075" s="3" t="s">
        <v>32</v>
      </c>
      <c r="I1075" s="3" t="s">
        <v>107</v>
      </c>
      <c r="J1075" s="3" t="s">
        <v>108</v>
      </c>
      <c r="K1075" s="2" t="str">
        <f aca="false">CONCATENATE(I1075," ",J1075)</f>
        <v>Macrargus rufus</v>
      </c>
      <c r="L1075" s="3" t="n">
        <f aca="false">SUM(P1075:U1075)</f>
        <v>1</v>
      </c>
      <c r="M1075" s="11" t="n">
        <f aca="false">(L1075/(F1075*G1075)*25)*4</f>
        <v>4</v>
      </c>
      <c r="N1075" s="1" t="s">
        <v>30</v>
      </c>
      <c r="O1075" s="1" t="s">
        <v>35</v>
      </c>
      <c r="P1075" s="1" t="n">
        <v>0</v>
      </c>
      <c r="Q1075" s="1" t="n">
        <v>1</v>
      </c>
      <c r="R1075" s="1" t="n">
        <v>0</v>
      </c>
      <c r="S1075" s="1" t="n">
        <v>0</v>
      </c>
      <c r="T1075" s="1" t="n">
        <v>0</v>
      </c>
      <c r="U1075" s="1" t="n">
        <v>0</v>
      </c>
      <c r="V1075" s="3" t="n">
        <f aca="false">SUM(P1075:Q1075)</f>
        <v>1</v>
      </c>
      <c r="W1075" s="3" t="n">
        <f aca="false">SUM(R1075:T1075)</f>
        <v>0</v>
      </c>
      <c r="X1075" s="10" t="n">
        <v>39970</v>
      </c>
      <c r="Y1075" s="10" t="n">
        <v>39975</v>
      </c>
    </row>
    <row r="1076" customFormat="false" ht="14.25" hidden="false" customHeight="false" outlineLevel="0" collapsed="false">
      <c r="A1076" s="1" t="n">
        <v>2009</v>
      </c>
      <c r="B1076" s="1" t="n">
        <v>1</v>
      </c>
      <c r="C1076" s="2" t="s">
        <v>25</v>
      </c>
      <c r="D1076" s="7" t="s">
        <v>101</v>
      </c>
      <c r="E1076" s="1" t="n">
        <v>2</v>
      </c>
      <c r="F1076" s="1" t="n">
        <f aca="false">Y1076-X1076</f>
        <v>5</v>
      </c>
      <c r="G1076" s="1" t="n">
        <v>5</v>
      </c>
      <c r="H1076" s="3" t="s">
        <v>48</v>
      </c>
      <c r="I1076" s="3" t="s">
        <v>49</v>
      </c>
      <c r="J1076" s="3" t="s">
        <v>104</v>
      </c>
      <c r="K1076" s="2" t="str">
        <f aca="false">CONCATENATE(I1076," ",J1076)</f>
        <v>Alopecosa taeniata</v>
      </c>
      <c r="L1076" s="3" t="n">
        <f aca="false">SUM(P1076:U1076)</f>
        <v>8</v>
      </c>
      <c r="M1076" s="11" t="n">
        <f aca="false">(L1076/(F1076*G1076)*25)*4</f>
        <v>32</v>
      </c>
      <c r="N1076" s="1" t="s">
        <v>30</v>
      </c>
      <c r="O1076" s="1" t="s">
        <v>31</v>
      </c>
      <c r="P1076" s="1" t="n">
        <v>8</v>
      </c>
      <c r="Q1076" s="1" t="n">
        <v>0</v>
      </c>
      <c r="R1076" s="1" t="n">
        <v>0</v>
      </c>
      <c r="S1076" s="1" t="n">
        <v>0</v>
      </c>
      <c r="T1076" s="1" t="n">
        <v>0</v>
      </c>
      <c r="U1076" s="1" t="n">
        <v>0</v>
      </c>
      <c r="V1076" s="3" t="n">
        <f aca="false">SUM(P1076:Q1076)</f>
        <v>8</v>
      </c>
      <c r="W1076" s="3" t="n">
        <f aca="false">SUM(R1076:T1076)</f>
        <v>0</v>
      </c>
      <c r="X1076" s="10" t="n">
        <v>39970</v>
      </c>
      <c r="Y1076" s="10" t="n">
        <v>39975</v>
      </c>
    </row>
    <row r="1077" customFormat="false" ht="14.25" hidden="false" customHeight="false" outlineLevel="0" collapsed="false">
      <c r="A1077" s="1" t="n">
        <v>2009</v>
      </c>
      <c r="B1077" s="1" t="n">
        <v>1</v>
      </c>
      <c r="C1077" s="2" t="s">
        <v>25</v>
      </c>
      <c r="D1077" s="7" t="s">
        <v>101</v>
      </c>
      <c r="E1077" s="1" t="n">
        <v>2</v>
      </c>
      <c r="F1077" s="1" t="n">
        <f aca="false">Y1077-X1077</f>
        <v>5</v>
      </c>
      <c r="G1077" s="1" t="n">
        <v>5</v>
      </c>
      <c r="H1077" s="3" t="s">
        <v>48</v>
      </c>
      <c r="I1077" s="3" t="s">
        <v>49</v>
      </c>
      <c r="J1077" s="3" t="s">
        <v>130</v>
      </c>
      <c r="K1077" s="2" t="str">
        <f aca="false">CONCATENATE(I1077," ",J1077)</f>
        <v>Alopecosa aculeata</v>
      </c>
      <c r="L1077" s="3" t="n">
        <f aca="false">SUM(P1077:U1077)</f>
        <v>1</v>
      </c>
      <c r="M1077" s="11" t="n">
        <f aca="false">(L1077/(F1077*G1077)*25)*4</f>
        <v>4</v>
      </c>
      <c r="N1077" s="1" t="s">
        <v>30</v>
      </c>
      <c r="O1077" s="1" t="s">
        <v>31</v>
      </c>
      <c r="P1077" s="1" t="n">
        <v>1</v>
      </c>
      <c r="Q1077" s="1" t="n">
        <v>0</v>
      </c>
      <c r="R1077" s="1" t="n">
        <v>0</v>
      </c>
      <c r="S1077" s="1" t="n">
        <v>0</v>
      </c>
      <c r="T1077" s="1" t="n">
        <v>0</v>
      </c>
      <c r="U1077" s="1" t="n">
        <v>0</v>
      </c>
      <c r="V1077" s="3" t="n">
        <f aca="false">SUM(P1077:Q1077)</f>
        <v>1</v>
      </c>
      <c r="W1077" s="3" t="n">
        <f aca="false">SUM(R1077:T1077)</f>
        <v>0</v>
      </c>
      <c r="X1077" s="10" t="n">
        <v>39970</v>
      </c>
      <c r="Y1077" s="10" t="n">
        <v>39975</v>
      </c>
    </row>
    <row r="1078" customFormat="false" ht="14.25" hidden="false" customHeight="false" outlineLevel="0" collapsed="false">
      <c r="A1078" s="1" t="n">
        <v>2009</v>
      </c>
      <c r="B1078" s="1" t="n">
        <v>1</v>
      </c>
      <c r="C1078" s="2" t="s">
        <v>25</v>
      </c>
      <c r="D1078" s="7" t="s">
        <v>101</v>
      </c>
      <c r="E1078" s="1" t="n">
        <v>2</v>
      </c>
      <c r="F1078" s="1" t="n">
        <f aca="false">Y1078-X1078</f>
        <v>5</v>
      </c>
      <c r="G1078" s="1" t="n">
        <v>5</v>
      </c>
      <c r="H1078" s="3" t="s">
        <v>48</v>
      </c>
      <c r="I1078" s="3" t="s">
        <v>67</v>
      </c>
      <c r="J1078" s="3" t="s">
        <v>127</v>
      </c>
      <c r="K1078" s="2" t="str">
        <f aca="false">CONCATENATE(I1078," ",J1078)</f>
        <v>Pardosa lugubris</v>
      </c>
      <c r="L1078" s="3" t="n">
        <f aca="false">SUM(P1078:U1078)</f>
        <v>1</v>
      </c>
      <c r="M1078" s="11" t="n">
        <f aca="false">(L1078/(F1078*G1078)*25)*4</f>
        <v>4</v>
      </c>
      <c r="N1078" s="1" t="s">
        <v>30</v>
      </c>
      <c r="O1078" s="1" t="s">
        <v>31</v>
      </c>
      <c r="P1078" s="1" t="n">
        <v>1</v>
      </c>
      <c r="Q1078" s="1" t="n">
        <v>0</v>
      </c>
      <c r="R1078" s="1" t="n">
        <v>0</v>
      </c>
      <c r="S1078" s="1" t="n">
        <v>0</v>
      </c>
      <c r="T1078" s="1" t="n">
        <v>0</v>
      </c>
      <c r="U1078" s="1" t="n">
        <v>0</v>
      </c>
      <c r="V1078" s="3" t="n">
        <f aca="false">SUM(P1078:Q1078)</f>
        <v>1</v>
      </c>
      <c r="W1078" s="3" t="n">
        <f aca="false">SUM(R1078:T1078)</f>
        <v>0</v>
      </c>
      <c r="X1078" s="10" t="n">
        <v>39970</v>
      </c>
      <c r="Y1078" s="10" t="n">
        <v>39975</v>
      </c>
    </row>
    <row r="1079" customFormat="false" ht="14.25" hidden="false" customHeight="false" outlineLevel="0" collapsed="false">
      <c r="A1079" s="1" t="n">
        <v>2009</v>
      </c>
      <c r="B1079" s="1" t="n">
        <v>1</v>
      </c>
      <c r="C1079" s="2" t="s">
        <v>25</v>
      </c>
      <c r="D1079" s="7" t="s">
        <v>101</v>
      </c>
      <c r="E1079" s="1" t="n">
        <v>2</v>
      </c>
      <c r="F1079" s="1" t="n">
        <f aca="false">Y1079-X1079</f>
        <v>5</v>
      </c>
      <c r="G1079" s="1" t="n">
        <v>5</v>
      </c>
      <c r="H1079" s="3" t="s">
        <v>72</v>
      </c>
      <c r="I1079" s="3" t="s">
        <v>86</v>
      </c>
      <c r="J1079" s="8" t="s">
        <v>87</v>
      </c>
      <c r="K1079" s="2" t="str">
        <f aca="false">CONCATENATE(I1079," ",J1079)</f>
        <v>Haplodrassus soerenseni</v>
      </c>
      <c r="L1079" s="3" t="n">
        <f aca="false">SUM(P1079:U1079)</f>
        <v>5</v>
      </c>
      <c r="M1079" s="11" t="n">
        <f aca="false">(L1079/(F1079*G1079)*25)*4</f>
        <v>20</v>
      </c>
      <c r="N1079" s="1" t="s">
        <v>30</v>
      </c>
      <c r="O1079" s="1" t="s">
        <v>31</v>
      </c>
      <c r="P1079" s="1" t="n">
        <v>5</v>
      </c>
      <c r="Q1079" s="1" t="n">
        <v>0</v>
      </c>
      <c r="R1079" s="1" t="n">
        <v>0</v>
      </c>
      <c r="S1079" s="1" t="n">
        <v>0</v>
      </c>
      <c r="T1079" s="1" t="n">
        <v>0</v>
      </c>
      <c r="U1079" s="1" t="n">
        <v>0</v>
      </c>
      <c r="V1079" s="3" t="n">
        <f aca="false">SUM(P1079:Q1079)</f>
        <v>5</v>
      </c>
      <c r="W1079" s="3" t="n">
        <f aca="false">SUM(R1079:T1079)</f>
        <v>0</v>
      </c>
      <c r="X1079" s="10" t="n">
        <v>39970</v>
      </c>
      <c r="Y1079" s="10" t="n">
        <v>39975</v>
      </c>
    </row>
    <row r="1080" customFormat="false" ht="14.25" hidden="false" customHeight="false" outlineLevel="0" collapsed="false">
      <c r="A1080" s="1" t="n">
        <v>2009</v>
      </c>
      <c r="B1080" s="1" t="n">
        <v>1</v>
      </c>
      <c r="C1080" s="2" t="s">
        <v>25</v>
      </c>
      <c r="D1080" s="7" t="s">
        <v>101</v>
      </c>
      <c r="E1080" s="1" t="n">
        <v>2</v>
      </c>
      <c r="F1080" s="1" t="n">
        <f aca="false">Y1080-X1080</f>
        <v>5</v>
      </c>
      <c r="G1080" s="1" t="n">
        <v>5</v>
      </c>
      <c r="H1080" s="3" t="s">
        <v>36</v>
      </c>
      <c r="I1080" s="3" t="s">
        <v>37</v>
      </c>
      <c r="J1080" s="8" t="s">
        <v>75</v>
      </c>
      <c r="K1080" s="2" t="str">
        <f aca="false">CONCATENATE(I1080," ",J1080)</f>
        <v>Ozyptila praticola</v>
      </c>
      <c r="L1080" s="3" t="n">
        <f aca="false">SUM(P1080:U1080)</f>
        <v>1</v>
      </c>
      <c r="M1080" s="11" t="n">
        <f aca="false">(L1080/(F1080*G1080)*25)*4</f>
        <v>4</v>
      </c>
      <c r="N1080" s="1" t="s">
        <v>30</v>
      </c>
      <c r="O1080" s="1" t="s">
        <v>31</v>
      </c>
      <c r="P1080" s="1" t="n">
        <v>1</v>
      </c>
      <c r="Q1080" s="1" t="n">
        <v>0</v>
      </c>
      <c r="R1080" s="1" t="n">
        <v>0</v>
      </c>
      <c r="S1080" s="1" t="n">
        <v>0</v>
      </c>
      <c r="T1080" s="1" t="n">
        <v>0</v>
      </c>
      <c r="U1080" s="1" t="n">
        <v>0</v>
      </c>
      <c r="V1080" s="3" t="n">
        <f aca="false">SUM(P1080:Q1080)</f>
        <v>1</v>
      </c>
      <c r="W1080" s="3" t="n">
        <f aca="false">SUM(R1080:T1080)</f>
        <v>0</v>
      </c>
      <c r="X1080" s="10" t="n">
        <v>39970</v>
      </c>
      <c r="Y1080" s="10" t="n">
        <v>39975</v>
      </c>
    </row>
    <row r="1081" customFormat="false" ht="14.25" hidden="false" customHeight="false" outlineLevel="0" collapsed="false">
      <c r="A1081" s="1" t="n">
        <v>2009</v>
      </c>
      <c r="B1081" s="1" t="n">
        <v>1</v>
      </c>
      <c r="C1081" s="2" t="s">
        <v>25</v>
      </c>
      <c r="D1081" s="7" t="s">
        <v>101</v>
      </c>
      <c r="E1081" s="1" t="n">
        <v>2</v>
      </c>
      <c r="F1081" s="1" t="n">
        <f aca="false">Y1081-X1081</f>
        <v>5</v>
      </c>
      <c r="G1081" s="1" t="n">
        <v>5</v>
      </c>
      <c r="H1081" s="3" t="s">
        <v>36</v>
      </c>
      <c r="I1081" s="3" t="s">
        <v>37</v>
      </c>
      <c r="J1081" s="8" t="s">
        <v>75</v>
      </c>
      <c r="K1081" s="2" t="str">
        <f aca="false">CONCATENATE(I1081," ",J1081)</f>
        <v>Ozyptila praticola</v>
      </c>
      <c r="L1081" s="3" t="n">
        <f aca="false">SUM(P1081:U1081)</f>
        <v>1</v>
      </c>
      <c r="M1081" s="11" t="n">
        <f aca="false">(L1081/(F1081*G1081)*25)*4</f>
        <v>4</v>
      </c>
      <c r="N1081" s="1" t="s">
        <v>30</v>
      </c>
      <c r="O1081" s="1" t="s">
        <v>35</v>
      </c>
      <c r="P1081" s="1" t="n">
        <v>0</v>
      </c>
      <c r="Q1081" s="1" t="n">
        <v>1</v>
      </c>
      <c r="R1081" s="1" t="n">
        <v>0</v>
      </c>
      <c r="S1081" s="1" t="n">
        <v>0</v>
      </c>
      <c r="T1081" s="1" t="n">
        <v>0</v>
      </c>
      <c r="U1081" s="1" t="n">
        <v>0</v>
      </c>
      <c r="V1081" s="3" t="n">
        <f aca="false">SUM(P1081:Q1081)</f>
        <v>1</v>
      </c>
      <c r="W1081" s="3" t="n">
        <f aca="false">SUM(R1081:T1081)</f>
        <v>0</v>
      </c>
      <c r="X1081" s="10" t="n">
        <v>39970</v>
      </c>
      <c r="Y1081" s="10" t="n">
        <v>39975</v>
      </c>
    </row>
    <row r="1082" customFormat="false" ht="14.25" hidden="false" customHeight="false" outlineLevel="0" collapsed="false">
      <c r="A1082" s="1" t="n">
        <v>2009</v>
      </c>
      <c r="B1082" s="1" t="n">
        <v>1</v>
      </c>
      <c r="C1082" s="2" t="s">
        <v>25</v>
      </c>
      <c r="D1082" s="7" t="s">
        <v>101</v>
      </c>
      <c r="E1082" s="1" t="n">
        <v>2</v>
      </c>
      <c r="F1082" s="1" t="n">
        <f aca="false">Y1082-X1082</f>
        <v>5</v>
      </c>
      <c r="G1082" s="1" t="n">
        <v>5</v>
      </c>
      <c r="H1082" s="13" t="s">
        <v>32</v>
      </c>
      <c r="I1082" s="13" t="s">
        <v>96</v>
      </c>
      <c r="J1082" s="14" t="s">
        <v>97</v>
      </c>
      <c r="K1082" s="2" t="str">
        <f aca="false">CONCATENATE(I1082," ",J1082)</f>
        <v>Diplocephalus picinus</v>
      </c>
      <c r="L1082" s="3" t="n">
        <f aca="false">SUM(P1082:U1082)</f>
        <v>1</v>
      </c>
      <c r="M1082" s="11" t="n">
        <f aca="false">(L1082/(F1082*G1082)*25)*4</f>
        <v>4</v>
      </c>
      <c r="N1082" s="1" t="s">
        <v>30</v>
      </c>
      <c r="O1082" s="1" t="s">
        <v>31</v>
      </c>
      <c r="P1082" s="1" t="n">
        <v>1</v>
      </c>
      <c r="Q1082" s="1" t="n">
        <v>0</v>
      </c>
      <c r="R1082" s="1" t="n">
        <v>0</v>
      </c>
      <c r="S1082" s="1" t="n">
        <v>0</v>
      </c>
      <c r="T1082" s="1" t="n">
        <v>0</v>
      </c>
      <c r="U1082" s="1" t="n">
        <v>0</v>
      </c>
      <c r="V1082" s="3" t="n">
        <f aca="false">SUM(P1082:Q1082)</f>
        <v>1</v>
      </c>
      <c r="W1082" s="3" t="n">
        <f aca="false">SUM(R1082:T1082)</f>
        <v>0</v>
      </c>
      <c r="X1082" s="10" t="n">
        <v>39970</v>
      </c>
      <c r="Y1082" s="10" t="n">
        <v>39975</v>
      </c>
    </row>
    <row r="1083" customFormat="false" ht="14.25" hidden="false" customHeight="false" outlineLevel="0" collapsed="false">
      <c r="A1083" s="1" t="n">
        <v>2009</v>
      </c>
      <c r="B1083" s="1" t="n">
        <v>1</v>
      </c>
      <c r="C1083" s="2" t="s">
        <v>25</v>
      </c>
      <c r="D1083" s="7" t="s">
        <v>101</v>
      </c>
      <c r="E1083" s="1" t="n">
        <v>2</v>
      </c>
      <c r="F1083" s="1" t="n">
        <f aca="false">Y1083-X1083</f>
        <v>5</v>
      </c>
      <c r="G1083" s="1" t="n">
        <v>5</v>
      </c>
      <c r="H1083" s="13" t="s">
        <v>32</v>
      </c>
      <c r="I1083" s="13" t="s">
        <v>96</v>
      </c>
      <c r="J1083" s="14" t="s">
        <v>97</v>
      </c>
      <c r="K1083" s="2" t="str">
        <f aca="false">CONCATENATE(I1083," ",J1083)</f>
        <v>Diplocephalus picinus</v>
      </c>
      <c r="L1083" s="3" t="n">
        <f aca="false">SUM(P1083:U1083)</f>
        <v>1</v>
      </c>
      <c r="M1083" s="11" t="n">
        <f aca="false">(L1083/(F1083*G1083)*25)*4</f>
        <v>4</v>
      </c>
      <c r="N1083" s="1" t="s">
        <v>30</v>
      </c>
      <c r="O1083" s="1" t="s">
        <v>35</v>
      </c>
      <c r="P1083" s="1" t="n">
        <v>0</v>
      </c>
      <c r="Q1083" s="1" t="n">
        <v>1</v>
      </c>
      <c r="R1083" s="1" t="n">
        <v>0</v>
      </c>
      <c r="S1083" s="1" t="n">
        <v>0</v>
      </c>
      <c r="T1083" s="1" t="n">
        <v>0</v>
      </c>
      <c r="U1083" s="1" t="n">
        <v>0</v>
      </c>
      <c r="V1083" s="3" t="n">
        <f aca="false">SUM(P1083:Q1083)</f>
        <v>1</v>
      </c>
      <c r="W1083" s="3" t="n">
        <f aca="false">SUM(R1083:T1083)</f>
        <v>0</v>
      </c>
      <c r="X1083" s="10" t="n">
        <v>39970</v>
      </c>
      <c r="Y1083" s="10" t="n">
        <v>39975</v>
      </c>
    </row>
    <row r="1084" customFormat="false" ht="14.25" hidden="false" customHeight="false" outlineLevel="0" collapsed="false">
      <c r="A1084" s="1" t="n">
        <v>2009</v>
      </c>
      <c r="B1084" s="1" t="n">
        <v>1</v>
      </c>
      <c r="C1084" s="2" t="s">
        <v>25</v>
      </c>
      <c r="D1084" s="7" t="s">
        <v>101</v>
      </c>
      <c r="E1084" s="1" t="n">
        <v>2</v>
      </c>
      <c r="F1084" s="1" t="n">
        <f aca="false">Y1084-X1084</f>
        <v>5</v>
      </c>
      <c r="G1084" s="1" t="n">
        <v>5</v>
      </c>
      <c r="H1084" s="3" t="s">
        <v>32</v>
      </c>
      <c r="I1084" s="3" t="s">
        <v>102</v>
      </c>
      <c r="J1084" s="3" t="s">
        <v>103</v>
      </c>
      <c r="K1084" s="2" t="str">
        <f aca="false">CONCATENATE(I1084," ",J1084)</f>
        <v>Agyneta olivacea</v>
      </c>
      <c r="L1084" s="3" t="n">
        <f aca="false">SUM(P1084:U1084)</f>
        <v>1</v>
      </c>
      <c r="M1084" s="11" t="n">
        <f aca="false">(L1084/(F1084*G1084)*25)*4</f>
        <v>4</v>
      </c>
      <c r="N1084" s="1" t="s">
        <v>30</v>
      </c>
      <c r="O1084" s="1" t="s">
        <v>31</v>
      </c>
      <c r="P1084" s="1" t="n">
        <v>1</v>
      </c>
      <c r="Q1084" s="1" t="n">
        <v>0</v>
      </c>
      <c r="R1084" s="1" t="n">
        <v>0</v>
      </c>
      <c r="S1084" s="1" t="n">
        <v>0</v>
      </c>
      <c r="T1084" s="1" t="n">
        <v>0</v>
      </c>
      <c r="U1084" s="1" t="n">
        <v>0</v>
      </c>
      <c r="V1084" s="3" t="n">
        <f aca="false">SUM(P1084:Q1084)</f>
        <v>1</v>
      </c>
      <c r="W1084" s="3" t="n">
        <f aca="false">SUM(R1084:T1084)</f>
        <v>0</v>
      </c>
      <c r="X1084" s="10" t="n">
        <v>39970</v>
      </c>
      <c r="Y1084" s="10" t="n">
        <v>39975</v>
      </c>
    </row>
    <row r="1085" customFormat="false" ht="14.25" hidden="false" customHeight="false" outlineLevel="0" collapsed="false">
      <c r="A1085" s="1" t="n">
        <v>2009</v>
      </c>
      <c r="B1085" s="1" t="n">
        <v>1</v>
      </c>
      <c r="C1085" s="2" t="s">
        <v>25</v>
      </c>
      <c r="D1085" s="7" t="s">
        <v>101</v>
      </c>
      <c r="E1085" s="1" t="n">
        <v>2</v>
      </c>
      <c r="F1085" s="1" t="n">
        <f aca="false">Y1085-X1085</f>
        <v>5</v>
      </c>
      <c r="G1085" s="1" t="n">
        <v>5</v>
      </c>
      <c r="H1085" s="3" t="s">
        <v>32</v>
      </c>
      <c r="I1085" s="3" t="s">
        <v>57</v>
      </c>
      <c r="J1085" s="3" t="s">
        <v>38</v>
      </c>
      <c r="K1085" s="2" t="str">
        <f aca="false">CONCATENATE(I1085," ",J1085)</f>
        <v>Gen sp</v>
      </c>
      <c r="L1085" s="3" t="n">
        <f aca="false">SUM(P1085:U1085)</f>
        <v>1</v>
      </c>
      <c r="M1085" s="11" t="n">
        <f aca="false">(L1085/(F1085*G1085)*25)*4</f>
        <v>4</v>
      </c>
      <c r="N1085" s="1" t="s">
        <v>19</v>
      </c>
      <c r="O1085" s="1" t="s">
        <v>54</v>
      </c>
      <c r="P1085" s="1" t="n">
        <v>0</v>
      </c>
      <c r="Q1085" s="1" t="n">
        <v>0</v>
      </c>
      <c r="R1085" s="1" t="n">
        <v>0</v>
      </c>
      <c r="S1085" s="1" t="n">
        <v>0</v>
      </c>
      <c r="T1085" s="1" t="n">
        <v>1</v>
      </c>
      <c r="U1085" s="1" t="n">
        <v>0</v>
      </c>
      <c r="V1085" s="3" t="n">
        <f aca="false">SUM(P1085:Q1085)</f>
        <v>0</v>
      </c>
      <c r="W1085" s="3" t="n">
        <f aca="false">SUM(R1085:T1085)</f>
        <v>1</v>
      </c>
      <c r="X1085" s="10" t="n">
        <v>39970</v>
      </c>
      <c r="Y1085" s="10" t="n">
        <v>39975</v>
      </c>
    </row>
    <row r="1086" customFormat="false" ht="14.25" hidden="false" customHeight="false" outlineLevel="0" collapsed="false">
      <c r="A1086" s="1" t="n">
        <v>2009</v>
      </c>
      <c r="B1086" s="1" t="n">
        <v>1</v>
      </c>
      <c r="C1086" s="2" t="s">
        <v>25</v>
      </c>
      <c r="D1086" s="7" t="s">
        <v>101</v>
      </c>
      <c r="E1086" s="1" t="n">
        <v>2</v>
      </c>
      <c r="F1086" s="1" t="n">
        <f aca="false">Y1086-X1086</f>
        <v>5</v>
      </c>
      <c r="G1086" s="1" t="n">
        <v>5</v>
      </c>
      <c r="H1086" s="3" t="s">
        <v>48</v>
      </c>
      <c r="I1086" s="3" t="s">
        <v>49</v>
      </c>
      <c r="J1086" s="3" t="s">
        <v>104</v>
      </c>
      <c r="K1086" s="2" t="str">
        <f aca="false">CONCATENATE(I1086," ",J1086)</f>
        <v>Alopecosa taeniata</v>
      </c>
      <c r="L1086" s="3" t="n">
        <f aca="false">SUM(P1086:U1086)</f>
        <v>10</v>
      </c>
      <c r="M1086" s="11" t="n">
        <f aca="false">(L1086/(F1086*G1086)*25)*4</f>
        <v>40</v>
      </c>
      <c r="N1086" s="1" t="s">
        <v>30</v>
      </c>
      <c r="O1086" s="1" t="s">
        <v>31</v>
      </c>
      <c r="P1086" s="1" t="n">
        <v>10</v>
      </c>
      <c r="Q1086" s="1" t="n">
        <v>0</v>
      </c>
      <c r="R1086" s="1" t="n">
        <v>0</v>
      </c>
      <c r="S1086" s="1" t="n">
        <v>0</v>
      </c>
      <c r="T1086" s="1" t="n">
        <v>0</v>
      </c>
      <c r="U1086" s="1" t="n">
        <v>0</v>
      </c>
      <c r="V1086" s="3" t="n">
        <f aca="false">SUM(P1086:Q1086)</f>
        <v>10</v>
      </c>
      <c r="W1086" s="3" t="n">
        <f aca="false">SUM(R1086:T1086)</f>
        <v>0</v>
      </c>
      <c r="X1086" s="10" t="n">
        <v>39970</v>
      </c>
      <c r="Y1086" s="10" t="n">
        <v>39975</v>
      </c>
    </row>
    <row r="1087" customFormat="false" ht="14.25" hidden="false" customHeight="false" outlineLevel="0" collapsed="false">
      <c r="A1087" s="1" t="n">
        <v>2009</v>
      </c>
      <c r="B1087" s="1" t="n">
        <v>1</v>
      </c>
      <c r="C1087" s="2" t="s">
        <v>25</v>
      </c>
      <c r="D1087" s="7" t="s">
        <v>101</v>
      </c>
      <c r="E1087" s="1" t="n">
        <v>2</v>
      </c>
      <c r="F1087" s="1" t="n">
        <f aca="false">Y1087-X1087</f>
        <v>5</v>
      </c>
      <c r="G1087" s="1" t="n">
        <v>5</v>
      </c>
      <c r="H1087" s="3" t="s">
        <v>48</v>
      </c>
      <c r="I1087" s="3" t="s">
        <v>49</v>
      </c>
      <c r="J1087" s="3" t="s">
        <v>104</v>
      </c>
      <c r="K1087" s="2" t="str">
        <f aca="false">CONCATENATE(I1087," ",J1087)</f>
        <v>Alopecosa taeniata</v>
      </c>
      <c r="L1087" s="3" t="n">
        <f aca="false">SUM(P1087:U1087)</f>
        <v>1</v>
      </c>
      <c r="M1087" s="11" t="n">
        <f aca="false">(L1087/(F1087*G1087)*25)*4</f>
        <v>4</v>
      </c>
      <c r="N1087" s="1" t="s">
        <v>30</v>
      </c>
      <c r="O1087" s="1" t="s">
        <v>35</v>
      </c>
      <c r="P1087" s="1" t="n">
        <v>0</v>
      </c>
      <c r="Q1087" s="1" t="n">
        <v>1</v>
      </c>
      <c r="R1087" s="1" t="n">
        <v>0</v>
      </c>
      <c r="S1087" s="1" t="n">
        <v>0</v>
      </c>
      <c r="T1087" s="1" t="n">
        <v>0</v>
      </c>
      <c r="U1087" s="1" t="n">
        <v>0</v>
      </c>
      <c r="V1087" s="3" t="n">
        <f aca="false">SUM(P1087:Q1087)</f>
        <v>1</v>
      </c>
      <c r="W1087" s="3" t="n">
        <f aca="false">SUM(R1087:T1087)</f>
        <v>0</v>
      </c>
      <c r="X1087" s="10" t="n">
        <v>39970</v>
      </c>
      <c r="Y1087" s="10" t="n">
        <v>39975</v>
      </c>
    </row>
    <row r="1088" customFormat="false" ht="14.25" hidden="false" customHeight="false" outlineLevel="0" collapsed="false">
      <c r="A1088" s="1" t="n">
        <v>2009</v>
      </c>
      <c r="B1088" s="1" t="n">
        <v>1</v>
      </c>
      <c r="C1088" s="2" t="s">
        <v>25</v>
      </c>
      <c r="D1088" s="7" t="s">
        <v>101</v>
      </c>
      <c r="E1088" s="1" t="n">
        <v>2</v>
      </c>
      <c r="F1088" s="1" t="n">
        <f aca="false">Y1088-X1088</f>
        <v>5</v>
      </c>
      <c r="G1088" s="1" t="n">
        <v>5</v>
      </c>
      <c r="H1088" s="3" t="s">
        <v>48</v>
      </c>
      <c r="I1088" s="3" t="s">
        <v>49</v>
      </c>
      <c r="J1088" s="3" t="s">
        <v>130</v>
      </c>
      <c r="K1088" s="2" t="str">
        <f aca="false">CONCATENATE(I1088," ",J1088)</f>
        <v>Alopecosa aculeata</v>
      </c>
      <c r="L1088" s="3" t="n">
        <f aca="false">SUM(P1088:U1088)</f>
        <v>1</v>
      </c>
      <c r="M1088" s="11" t="n">
        <f aca="false">(L1088/(F1088*G1088)*25)*4</f>
        <v>4</v>
      </c>
      <c r="N1088" s="1" t="s">
        <v>30</v>
      </c>
      <c r="O1088" s="1" t="s">
        <v>31</v>
      </c>
      <c r="P1088" s="1" t="n">
        <v>1</v>
      </c>
      <c r="Q1088" s="1" t="n">
        <v>0</v>
      </c>
      <c r="R1088" s="1" t="n">
        <v>0</v>
      </c>
      <c r="S1088" s="1" t="n">
        <v>0</v>
      </c>
      <c r="T1088" s="1" t="n">
        <v>0</v>
      </c>
      <c r="U1088" s="1" t="n">
        <v>0</v>
      </c>
      <c r="V1088" s="3" t="n">
        <f aca="false">SUM(P1088:Q1088)</f>
        <v>1</v>
      </c>
      <c r="W1088" s="3" t="n">
        <f aca="false">SUM(R1088:T1088)</f>
        <v>0</v>
      </c>
      <c r="X1088" s="10" t="n">
        <v>39970</v>
      </c>
      <c r="Y1088" s="10" t="n">
        <v>39975</v>
      </c>
    </row>
    <row r="1089" customFormat="false" ht="14.25" hidden="false" customHeight="false" outlineLevel="0" collapsed="false">
      <c r="A1089" s="1" t="n">
        <v>2009</v>
      </c>
      <c r="B1089" s="1" t="n">
        <v>1</v>
      </c>
      <c r="C1089" s="2" t="s">
        <v>25</v>
      </c>
      <c r="D1089" s="7" t="s">
        <v>101</v>
      </c>
      <c r="E1089" s="1" t="n">
        <v>2</v>
      </c>
      <c r="F1089" s="1" t="n">
        <f aca="false">Y1089-X1089</f>
        <v>5</v>
      </c>
      <c r="G1089" s="1" t="n">
        <v>5</v>
      </c>
      <c r="H1089" s="3" t="s">
        <v>48</v>
      </c>
      <c r="I1089" s="3" t="s">
        <v>67</v>
      </c>
      <c r="J1089" s="3" t="s">
        <v>127</v>
      </c>
      <c r="K1089" s="2" t="str">
        <f aca="false">CONCATENATE(I1089," ",J1089)</f>
        <v>Pardosa lugubris</v>
      </c>
      <c r="L1089" s="3" t="n">
        <f aca="false">SUM(P1089:U1089)</f>
        <v>2</v>
      </c>
      <c r="M1089" s="11" t="n">
        <f aca="false">(L1089/(F1089*G1089)*25)*4</f>
        <v>8</v>
      </c>
      <c r="N1089" s="1" t="s">
        <v>30</v>
      </c>
      <c r="O1089" s="1" t="s">
        <v>31</v>
      </c>
      <c r="P1089" s="1" t="n">
        <v>2</v>
      </c>
      <c r="Q1089" s="1" t="n">
        <v>0</v>
      </c>
      <c r="R1089" s="1" t="n">
        <v>0</v>
      </c>
      <c r="S1089" s="1" t="n">
        <v>0</v>
      </c>
      <c r="T1089" s="1" t="n">
        <v>0</v>
      </c>
      <c r="U1089" s="1" t="n">
        <v>0</v>
      </c>
      <c r="V1089" s="3" t="n">
        <f aca="false">SUM(P1089:Q1089)</f>
        <v>2</v>
      </c>
      <c r="W1089" s="3" t="n">
        <f aca="false">SUM(R1089:T1089)</f>
        <v>0</v>
      </c>
      <c r="X1089" s="10" t="n">
        <v>39970</v>
      </c>
      <c r="Y1089" s="10" t="n">
        <v>39975</v>
      </c>
    </row>
    <row r="1090" customFormat="false" ht="14.25" hidden="false" customHeight="false" outlineLevel="0" collapsed="false">
      <c r="A1090" s="1" t="n">
        <v>2009</v>
      </c>
      <c r="B1090" s="1" t="n">
        <v>1</v>
      </c>
      <c r="C1090" s="2" t="s">
        <v>25</v>
      </c>
      <c r="D1090" s="7" t="s">
        <v>101</v>
      </c>
      <c r="E1090" s="1" t="n">
        <v>2</v>
      </c>
      <c r="F1090" s="1" t="n">
        <f aca="false">Y1090-X1090</f>
        <v>5</v>
      </c>
      <c r="G1090" s="1" t="n">
        <v>5</v>
      </c>
      <c r="H1090" s="3" t="s">
        <v>48</v>
      </c>
      <c r="I1090" s="3" t="s">
        <v>61</v>
      </c>
      <c r="J1090" s="3" t="s">
        <v>82</v>
      </c>
      <c r="K1090" s="2" t="str">
        <f aca="false">CONCATENATE(I1090," ",J1090)</f>
        <v>Trochosa terricola</v>
      </c>
      <c r="L1090" s="3" t="n">
        <f aca="false">SUM(P1090:U1090)</f>
        <v>1</v>
      </c>
      <c r="M1090" s="11" t="n">
        <f aca="false">(L1090/(F1090*G1090)*25)*4</f>
        <v>4</v>
      </c>
      <c r="N1090" s="1" t="s">
        <v>30</v>
      </c>
      <c r="O1090" s="1" t="s">
        <v>35</v>
      </c>
      <c r="P1090" s="1" t="n">
        <v>0</v>
      </c>
      <c r="Q1090" s="1" t="n">
        <v>1</v>
      </c>
      <c r="R1090" s="1" t="n">
        <v>0</v>
      </c>
      <c r="S1090" s="1" t="n">
        <v>0</v>
      </c>
      <c r="T1090" s="1" t="n">
        <v>0</v>
      </c>
      <c r="U1090" s="1" t="n">
        <v>0</v>
      </c>
      <c r="V1090" s="3" t="n">
        <f aca="false">SUM(P1090:Q1090)</f>
        <v>1</v>
      </c>
      <c r="W1090" s="3" t="n">
        <f aca="false">SUM(R1090:T1090)</f>
        <v>0</v>
      </c>
      <c r="X1090" s="10" t="n">
        <v>39970</v>
      </c>
      <c r="Y1090" s="10" t="n">
        <v>39975</v>
      </c>
    </row>
    <row r="1091" customFormat="false" ht="14.25" hidden="false" customHeight="false" outlineLevel="0" collapsed="false">
      <c r="A1091" s="1" t="n">
        <v>2009</v>
      </c>
      <c r="B1091" s="1" t="n">
        <v>1</v>
      </c>
      <c r="C1091" s="2" t="s">
        <v>25</v>
      </c>
      <c r="D1091" s="7" t="s">
        <v>101</v>
      </c>
      <c r="E1091" s="1" t="n">
        <v>2</v>
      </c>
      <c r="F1091" s="1" t="n">
        <f aca="false">Y1091-X1091</f>
        <v>5</v>
      </c>
      <c r="G1091" s="1" t="n">
        <v>5</v>
      </c>
      <c r="H1091" s="3" t="s">
        <v>72</v>
      </c>
      <c r="I1091" s="3" t="s">
        <v>86</v>
      </c>
      <c r="J1091" s="8" t="s">
        <v>87</v>
      </c>
      <c r="K1091" s="2" t="str">
        <f aca="false">CONCATENATE(I1091," ",J1091)</f>
        <v>Haplodrassus soerenseni</v>
      </c>
      <c r="L1091" s="3" t="n">
        <f aca="false">SUM(P1091:U1091)</f>
        <v>2</v>
      </c>
      <c r="M1091" s="11" t="n">
        <f aca="false">(L1091/(F1091*G1091)*25)*4</f>
        <v>8</v>
      </c>
      <c r="N1091" s="1" t="s">
        <v>30</v>
      </c>
      <c r="O1091" s="1" t="s">
        <v>31</v>
      </c>
      <c r="P1091" s="1" t="n">
        <v>2</v>
      </c>
      <c r="Q1091" s="1" t="n">
        <v>0</v>
      </c>
      <c r="R1091" s="1" t="n">
        <v>0</v>
      </c>
      <c r="S1091" s="1" t="n">
        <v>0</v>
      </c>
      <c r="T1091" s="1" t="n">
        <v>0</v>
      </c>
      <c r="U1091" s="1" t="n">
        <v>0</v>
      </c>
      <c r="V1091" s="3" t="n">
        <f aca="false">SUM(P1091:Q1091)</f>
        <v>2</v>
      </c>
      <c r="W1091" s="3" t="n">
        <f aca="false">SUM(R1091:T1091)</f>
        <v>0</v>
      </c>
      <c r="X1091" s="10" t="n">
        <v>39970</v>
      </c>
      <c r="Y1091" s="10" t="n">
        <v>39975</v>
      </c>
    </row>
    <row r="1092" customFormat="false" ht="14.25" hidden="false" customHeight="false" outlineLevel="0" collapsed="false">
      <c r="A1092" s="1" t="n">
        <v>2009</v>
      </c>
      <c r="B1092" s="1" t="n">
        <v>1</v>
      </c>
      <c r="C1092" s="2" t="s">
        <v>25</v>
      </c>
      <c r="D1092" s="7" t="s">
        <v>101</v>
      </c>
      <c r="E1092" s="1" t="n">
        <v>2</v>
      </c>
      <c r="F1092" s="1" t="n">
        <f aca="false">Y1092-X1092</f>
        <v>5</v>
      </c>
      <c r="G1092" s="1" t="n">
        <v>5</v>
      </c>
      <c r="H1092" s="3" t="s">
        <v>36</v>
      </c>
      <c r="I1092" s="3" t="s">
        <v>131</v>
      </c>
      <c r="J1092" s="3" t="s">
        <v>133</v>
      </c>
      <c r="K1092" s="2" t="str">
        <f aca="false">CONCATENATE(I1092," ",J1092)</f>
        <v>Xysticus luctuosus</v>
      </c>
      <c r="L1092" s="3" t="n">
        <f aca="false">SUM(P1092:U1092)</f>
        <v>1</v>
      </c>
      <c r="M1092" s="11" t="n">
        <f aca="false">(L1092/(F1092*G1092)*25)*4</f>
        <v>4</v>
      </c>
      <c r="N1092" s="1" t="s">
        <v>30</v>
      </c>
      <c r="O1092" s="1" t="s">
        <v>31</v>
      </c>
      <c r="P1092" s="1" t="n">
        <v>1</v>
      </c>
      <c r="Q1092" s="1" t="n">
        <v>0</v>
      </c>
      <c r="R1092" s="1" t="n">
        <v>0</v>
      </c>
      <c r="S1092" s="1" t="n">
        <v>0</v>
      </c>
      <c r="T1092" s="1" t="n">
        <v>0</v>
      </c>
      <c r="U1092" s="1" t="n">
        <v>0</v>
      </c>
      <c r="V1092" s="3" t="n">
        <f aca="false">SUM(P1092:Q1092)</f>
        <v>1</v>
      </c>
      <c r="W1092" s="3" t="n">
        <f aca="false">SUM(R1092:T1092)</f>
        <v>0</v>
      </c>
      <c r="X1092" s="10" t="n">
        <v>39970</v>
      </c>
      <c r="Y1092" s="10" t="n">
        <v>39975</v>
      </c>
    </row>
    <row r="1093" customFormat="false" ht="14.25" hidden="false" customHeight="false" outlineLevel="0" collapsed="false">
      <c r="A1093" s="1" t="n">
        <v>2009</v>
      </c>
      <c r="B1093" s="1" t="n">
        <v>1</v>
      </c>
      <c r="C1093" s="2" t="s">
        <v>25</v>
      </c>
      <c r="D1093" s="7" t="s">
        <v>101</v>
      </c>
      <c r="E1093" s="1" t="n">
        <v>2</v>
      </c>
      <c r="F1093" s="1" t="n">
        <f aca="false">Y1093-X1093</f>
        <v>5</v>
      </c>
      <c r="G1093" s="1" t="n">
        <v>5</v>
      </c>
      <c r="H1093" s="3" t="s">
        <v>32</v>
      </c>
      <c r="I1093" s="3" t="s">
        <v>84</v>
      </c>
      <c r="J1093" s="3" t="s">
        <v>168</v>
      </c>
      <c r="K1093" s="2" t="str">
        <f aca="false">CONCATENATE(I1093," ",J1093)</f>
        <v>Walckenaeria atrotibialis</v>
      </c>
      <c r="L1093" s="3" t="n">
        <f aca="false">SUM(P1093:U1093)</f>
        <v>1</v>
      </c>
      <c r="M1093" s="11" t="n">
        <f aca="false">(L1093/(F1093*G1093)*25)*4</f>
        <v>4</v>
      </c>
      <c r="N1093" s="1" t="s">
        <v>30</v>
      </c>
      <c r="O1093" s="1" t="s">
        <v>31</v>
      </c>
      <c r="P1093" s="1" t="n">
        <v>1</v>
      </c>
      <c r="Q1093" s="1" t="n">
        <v>0</v>
      </c>
      <c r="R1093" s="1" t="n">
        <v>0</v>
      </c>
      <c r="S1093" s="1" t="n">
        <v>0</v>
      </c>
      <c r="T1093" s="1" t="n">
        <v>0</v>
      </c>
      <c r="U1093" s="1" t="n">
        <v>0</v>
      </c>
      <c r="V1093" s="3" t="n">
        <f aca="false">SUM(P1093:Q1093)</f>
        <v>1</v>
      </c>
      <c r="W1093" s="3" t="n">
        <f aca="false">SUM(R1093:T1093)</f>
        <v>0</v>
      </c>
      <c r="X1093" s="10" t="n">
        <v>39970</v>
      </c>
      <c r="Y1093" s="10" t="n">
        <v>39975</v>
      </c>
    </row>
    <row r="1094" customFormat="false" ht="14.25" hidden="false" customHeight="false" outlineLevel="0" collapsed="false">
      <c r="A1094" s="1" t="n">
        <v>2009</v>
      </c>
      <c r="B1094" s="1" t="n">
        <v>1</v>
      </c>
      <c r="C1094" s="2" t="s">
        <v>25</v>
      </c>
      <c r="D1094" s="7" t="s">
        <v>101</v>
      </c>
      <c r="E1094" s="1" t="n">
        <v>2</v>
      </c>
      <c r="F1094" s="1" t="n">
        <f aca="false">Y1094-X1094</f>
        <v>5</v>
      </c>
      <c r="G1094" s="1" t="n">
        <v>5</v>
      </c>
      <c r="H1094" s="3" t="s">
        <v>32</v>
      </c>
      <c r="I1094" s="3" t="s">
        <v>57</v>
      </c>
      <c r="J1094" s="3" t="s">
        <v>38</v>
      </c>
      <c r="K1094" s="2" t="str">
        <f aca="false">CONCATENATE(I1094," ",J1094)</f>
        <v>Gen sp</v>
      </c>
      <c r="L1094" s="3" t="n">
        <f aca="false">SUM(P1094:U1094)</f>
        <v>4</v>
      </c>
      <c r="M1094" s="11" t="n">
        <f aca="false">(L1094/(F1094*G1094)*25)*4</f>
        <v>16</v>
      </c>
      <c r="N1094" s="1" t="s">
        <v>19</v>
      </c>
      <c r="O1094" s="1" t="s">
        <v>54</v>
      </c>
      <c r="P1094" s="1" t="n">
        <v>0</v>
      </c>
      <c r="Q1094" s="1" t="n">
        <v>0</v>
      </c>
      <c r="R1094" s="1" t="n">
        <v>0</v>
      </c>
      <c r="S1094" s="1" t="n">
        <v>0</v>
      </c>
      <c r="T1094" s="1" t="n">
        <v>4</v>
      </c>
      <c r="U1094" s="1" t="n">
        <v>0</v>
      </c>
      <c r="V1094" s="3" t="n">
        <f aca="false">SUM(P1094:Q1094)</f>
        <v>0</v>
      </c>
      <c r="W1094" s="3" t="n">
        <f aca="false">SUM(R1094:T1094)</f>
        <v>4</v>
      </c>
      <c r="X1094" s="10" t="n">
        <v>39970</v>
      </c>
      <c r="Y1094" s="10" t="n">
        <v>39975</v>
      </c>
    </row>
    <row r="1095" customFormat="false" ht="14.25" hidden="false" customHeight="false" outlineLevel="0" collapsed="false">
      <c r="A1095" s="1" t="n">
        <v>2009</v>
      </c>
      <c r="B1095" s="1" t="n">
        <v>1</v>
      </c>
      <c r="C1095" s="2" t="s">
        <v>25</v>
      </c>
      <c r="D1095" s="7" t="s">
        <v>101</v>
      </c>
      <c r="E1095" s="1" t="n">
        <v>2</v>
      </c>
      <c r="F1095" s="1" t="n">
        <f aca="false">Y1095-X1095</f>
        <v>5</v>
      </c>
      <c r="G1095" s="1" t="n">
        <v>5</v>
      </c>
      <c r="H1095" s="3" t="s">
        <v>48</v>
      </c>
      <c r="I1095" s="3" t="s">
        <v>49</v>
      </c>
      <c r="J1095" s="3" t="s">
        <v>104</v>
      </c>
      <c r="K1095" s="2" t="str">
        <f aca="false">CONCATENATE(I1095," ",J1095)</f>
        <v>Alopecosa taeniata</v>
      </c>
      <c r="L1095" s="3" t="n">
        <f aca="false">SUM(P1095:U1095)</f>
        <v>5</v>
      </c>
      <c r="M1095" s="11" t="n">
        <f aca="false">(L1095/(F1095*G1095)*25)*4</f>
        <v>20</v>
      </c>
      <c r="N1095" s="1" t="s">
        <v>30</v>
      </c>
      <c r="O1095" s="1" t="s">
        <v>31</v>
      </c>
      <c r="P1095" s="1" t="n">
        <v>5</v>
      </c>
      <c r="Q1095" s="1" t="n">
        <v>0</v>
      </c>
      <c r="R1095" s="1" t="n">
        <v>0</v>
      </c>
      <c r="S1095" s="1" t="n">
        <v>0</v>
      </c>
      <c r="T1095" s="1" t="n">
        <v>0</v>
      </c>
      <c r="U1095" s="1" t="n">
        <v>0</v>
      </c>
      <c r="V1095" s="3" t="n">
        <f aca="false">SUM(P1095:Q1095)</f>
        <v>5</v>
      </c>
      <c r="W1095" s="3" t="n">
        <f aca="false">SUM(R1095:T1095)</f>
        <v>0</v>
      </c>
      <c r="X1095" s="10" t="n">
        <v>39970</v>
      </c>
      <c r="Y1095" s="10" t="n">
        <v>39975</v>
      </c>
    </row>
    <row r="1096" customFormat="false" ht="14.25" hidden="false" customHeight="false" outlineLevel="0" collapsed="false">
      <c r="A1096" s="1" t="n">
        <v>2009</v>
      </c>
      <c r="B1096" s="1" t="n">
        <v>1</v>
      </c>
      <c r="C1096" s="2" t="s">
        <v>25</v>
      </c>
      <c r="D1096" s="7" t="s">
        <v>101</v>
      </c>
      <c r="E1096" s="1" t="n">
        <v>2</v>
      </c>
      <c r="F1096" s="1" t="n">
        <f aca="false">Y1096-X1096</f>
        <v>5</v>
      </c>
      <c r="G1096" s="1" t="n">
        <v>5</v>
      </c>
      <c r="H1096" s="3" t="s">
        <v>48</v>
      </c>
      <c r="I1096" s="3" t="s">
        <v>49</v>
      </c>
      <c r="J1096" s="3" t="s">
        <v>104</v>
      </c>
      <c r="K1096" s="2" t="str">
        <f aca="false">CONCATENATE(I1096," ",J1096)</f>
        <v>Alopecosa taeniata</v>
      </c>
      <c r="L1096" s="3" t="n">
        <f aca="false">SUM(P1096:U1096)</f>
        <v>3</v>
      </c>
      <c r="M1096" s="11" t="n">
        <f aca="false">(L1096/(F1096*G1096)*25)*4</f>
        <v>12</v>
      </c>
      <c r="N1096" s="1" t="s">
        <v>30</v>
      </c>
      <c r="O1096" s="1" t="s">
        <v>35</v>
      </c>
      <c r="P1096" s="1" t="n">
        <v>0</v>
      </c>
      <c r="Q1096" s="1" t="n">
        <v>3</v>
      </c>
      <c r="R1096" s="1" t="n">
        <v>0</v>
      </c>
      <c r="S1096" s="1" t="n">
        <v>0</v>
      </c>
      <c r="T1096" s="1" t="n">
        <v>0</v>
      </c>
      <c r="U1096" s="1" t="n">
        <v>0</v>
      </c>
      <c r="V1096" s="3" t="n">
        <f aca="false">SUM(P1096:Q1096)</f>
        <v>3</v>
      </c>
      <c r="W1096" s="3" t="n">
        <f aca="false">SUM(R1096:T1096)</f>
        <v>0</v>
      </c>
      <c r="X1096" s="10" t="n">
        <v>39970</v>
      </c>
      <c r="Y1096" s="10" t="n">
        <v>39975</v>
      </c>
    </row>
    <row r="1097" customFormat="false" ht="14.25" hidden="false" customHeight="false" outlineLevel="0" collapsed="false">
      <c r="A1097" s="1" t="n">
        <v>2009</v>
      </c>
      <c r="B1097" s="1" t="n">
        <v>1</v>
      </c>
      <c r="C1097" s="2" t="s">
        <v>25</v>
      </c>
      <c r="D1097" s="7" t="s">
        <v>101</v>
      </c>
      <c r="E1097" s="1" t="n">
        <v>2</v>
      </c>
      <c r="F1097" s="1" t="n">
        <f aca="false">Y1097-X1097</f>
        <v>5</v>
      </c>
      <c r="G1097" s="1" t="n">
        <v>5</v>
      </c>
      <c r="H1097" s="3" t="s">
        <v>48</v>
      </c>
      <c r="I1097" s="3" t="s">
        <v>67</v>
      </c>
      <c r="J1097" s="3" t="s">
        <v>127</v>
      </c>
      <c r="K1097" s="2" t="str">
        <f aca="false">CONCATENATE(I1097," ",J1097)</f>
        <v>Pardosa lugubris</v>
      </c>
      <c r="L1097" s="3" t="n">
        <f aca="false">SUM(P1097:U1097)</f>
        <v>2</v>
      </c>
      <c r="M1097" s="11" t="n">
        <f aca="false">(L1097/(F1097*G1097)*25)*4</f>
        <v>8</v>
      </c>
      <c r="N1097" s="1" t="s">
        <v>30</v>
      </c>
      <c r="O1097" s="1" t="s">
        <v>31</v>
      </c>
      <c r="P1097" s="1" t="n">
        <v>2</v>
      </c>
      <c r="Q1097" s="1" t="n">
        <v>0</v>
      </c>
      <c r="R1097" s="1" t="n">
        <v>0</v>
      </c>
      <c r="S1097" s="1" t="n">
        <v>0</v>
      </c>
      <c r="T1097" s="1" t="n">
        <v>0</v>
      </c>
      <c r="U1097" s="1" t="n">
        <v>0</v>
      </c>
      <c r="V1097" s="3" t="n">
        <f aca="false">SUM(P1097:Q1097)</f>
        <v>2</v>
      </c>
      <c r="W1097" s="3" t="n">
        <f aca="false">SUM(R1097:T1097)</f>
        <v>0</v>
      </c>
      <c r="X1097" s="10" t="n">
        <v>39970</v>
      </c>
      <c r="Y1097" s="10" t="n">
        <v>39975</v>
      </c>
    </row>
    <row r="1098" customFormat="false" ht="14.25" hidden="false" customHeight="false" outlineLevel="0" collapsed="false">
      <c r="A1098" s="1" t="n">
        <v>2009</v>
      </c>
      <c r="B1098" s="1" t="n">
        <v>1</v>
      </c>
      <c r="C1098" s="2" t="s">
        <v>25</v>
      </c>
      <c r="D1098" s="7" t="s">
        <v>101</v>
      </c>
      <c r="E1098" s="1" t="n">
        <v>2</v>
      </c>
      <c r="F1098" s="1" t="n">
        <f aca="false">Y1098-X1098</f>
        <v>5</v>
      </c>
      <c r="G1098" s="1" t="n">
        <v>5</v>
      </c>
      <c r="H1098" s="3" t="s">
        <v>48</v>
      </c>
      <c r="I1098" s="3" t="s">
        <v>57</v>
      </c>
      <c r="J1098" s="3" t="s">
        <v>38</v>
      </c>
      <c r="K1098" s="2" t="str">
        <f aca="false">CONCATENATE(I1098," ",J1098)</f>
        <v>Gen sp</v>
      </c>
      <c r="L1098" s="3" t="n">
        <f aca="false">SUM(P1098:U1098)</f>
        <v>1</v>
      </c>
      <c r="M1098" s="11" t="n">
        <f aca="false">(L1098/(F1098*G1098)*25)*4</f>
        <v>4</v>
      </c>
      <c r="N1098" s="1" t="s">
        <v>19</v>
      </c>
      <c r="O1098" s="1" t="s">
        <v>54</v>
      </c>
      <c r="P1098" s="1" t="n">
        <v>0</v>
      </c>
      <c r="Q1098" s="1" t="n">
        <v>0</v>
      </c>
      <c r="R1098" s="1" t="n">
        <v>0</v>
      </c>
      <c r="S1098" s="1" t="n">
        <v>0</v>
      </c>
      <c r="T1098" s="1" t="n">
        <v>1</v>
      </c>
      <c r="U1098" s="1" t="n">
        <v>0</v>
      </c>
      <c r="V1098" s="3" t="n">
        <f aca="false">SUM(P1098:Q1098)</f>
        <v>0</v>
      </c>
      <c r="W1098" s="3" t="n">
        <f aca="false">SUM(R1098:T1098)</f>
        <v>1</v>
      </c>
      <c r="X1098" s="10" t="n">
        <v>39970</v>
      </c>
      <c r="Y1098" s="10" t="n">
        <v>39975</v>
      </c>
    </row>
    <row r="1099" customFormat="false" ht="14.25" hidden="false" customHeight="false" outlineLevel="0" collapsed="false">
      <c r="A1099" s="1" t="n">
        <v>2009</v>
      </c>
      <c r="B1099" s="1" t="n">
        <v>1</v>
      </c>
      <c r="C1099" s="2" t="s">
        <v>25</v>
      </c>
      <c r="D1099" s="7" t="s">
        <v>101</v>
      </c>
      <c r="E1099" s="1" t="n">
        <v>2</v>
      </c>
      <c r="F1099" s="1" t="n">
        <f aca="false">Y1099-X1099</f>
        <v>5</v>
      </c>
      <c r="G1099" s="1" t="n">
        <v>5</v>
      </c>
      <c r="H1099" s="3" t="s">
        <v>72</v>
      </c>
      <c r="I1099" s="3" t="s">
        <v>86</v>
      </c>
      <c r="J1099" s="8" t="s">
        <v>87</v>
      </c>
      <c r="K1099" s="2" t="str">
        <f aca="false">CONCATENATE(I1099," ",J1099)</f>
        <v>Haplodrassus soerenseni</v>
      </c>
      <c r="L1099" s="3" t="n">
        <f aca="false">SUM(P1099:U1099)</f>
        <v>2</v>
      </c>
      <c r="M1099" s="11" t="n">
        <f aca="false">(L1099/(F1099*G1099)*25)*4</f>
        <v>8</v>
      </c>
      <c r="N1099" s="1" t="s">
        <v>30</v>
      </c>
      <c r="O1099" s="1" t="s">
        <v>31</v>
      </c>
      <c r="P1099" s="1" t="n">
        <v>2</v>
      </c>
      <c r="Q1099" s="1" t="n">
        <v>0</v>
      </c>
      <c r="R1099" s="1" t="n">
        <v>0</v>
      </c>
      <c r="S1099" s="1" t="n">
        <v>0</v>
      </c>
      <c r="T1099" s="1" t="n">
        <v>0</v>
      </c>
      <c r="U1099" s="1" t="n">
        <v>0</v>
      </c>
      <c r="V1099" s="3" t="n">
        <f aca="false">SUM(P1099:Q1099)</f>
        <v>2</v>
      </c>
      <c r="W1099" s="3" t="n">
        <f aca="false">SUM(R1099:T1099)</f>
        <v>0</v>
      </c>
      <c r="X1099" s="10" t="n">
        <v>39970</v>
      </c>
      <c r="Y1099" s="10" t="n">
        <v>39975</v>
      </c>
    </row>
    <row r="1100" customFormat="false" ht="14.25" hidden="false" customHeight="false" outlineLevel="0" collapsed="false">
      <c r="A1100" s="1" t="n">
        <v>2009</v>
      </c>
      <c r="B1100" s="1" t="n">
        <v>1</v>
      </c>
      <c r="C1100" s="2" t="s">
        <v>25</v>
      </c>
      <c r="D1100" s="7" t="s">
        <v>101</v>
      </c>
      <c r="E1100" s="1" t="n">
        <v>2</v>
      </c>
      <c r="F1100" s="1" t="n">
        <f aca="false">Y1100-X1100</f>
        <v>5</v>
      </c>
      <c r="G1100" s="1" t="n">
        <v>5</v>
      </c>
      <c r="H1100" s="3" t="s">
        <v>36</v>
      </c>
      <c r="I1100" s="3" t="s">
        <v>131</v>
      </c>
      <c r="J1100" s="3" t="s">
        <v>133</v>
      </c>
      <c r="K1100" s="2" t="str">
        <f aca="false">CONCATENATE(I1100," ",J1100)</f>
        <v>Xysticus luctuosus</v>
      </c>
      <c r="L1100" s="3" t="n">
        <f aca="false">SUM(P1100:U1100)</f>
        <v>2</v>
      </c>
      <c r="M1100" s="11" t="n">
        <f aca="false">(L1100/(F1100*G1100)*25)*4</f>
        <v>8</v>
      </c>
      <c r="N1100" s="1" t="s">
        <v>30</v>
      </c>
      <c r="O1100" s="1" t="s">
        <v>35</v>
      </c>
      <c r="P1100" s="1" t="n">
        <v>0</v>
      </c>
      <c r="Q1100" s="1" t="n">
        <v>2</v>
      </c>
      <c r="R1100" s="1" t="n">
        <v>0</v>
      </c>
      <c r="S1100" s="1" t="n">
        <v>0</v>
      </c>
      <c r="T1100" s="1" t="n">
        <v>0</v>
      </c>
      <c r="U1100" s="1" t="n">
        <v>0</v>
      </c>
      <c r="V1100" s="3" t="n">
        <f aca="false">SUM(P1100:Q1100)</f>
        <v>2</v>
      </c>
      <c r="W1100" s="3" t="n">
        <f aca="false">SUM(R1100:T1100)</f>
        <v>0</v>
      </c>
      <c r="X1100" s="10" t="n">
        <v>39970</v>
      </c>
      <c r="Y1100" s="10" t="n">
        <v>39975</v>
      </c>
    </row>
    <row r="1101" customFormat="false" ht="14.25" hidden="false" customHeight="false" outlineLevel="0" collapsed="false">
      <c r="A1101" s="1" t="n">
        <v>2009</v>
      </c>
      <c r="B1101" s="1" t="n">
        <v>1</v>
      </c>
      <c r="C1101" s="2" t="s">
        <v>25</v>
      </c>
      <c r="D1101" s="7" t="s">
        <v>101</v>
      </c>
      <c r="E1101" s="1" t="n">
        <v>2</v>
      </c>
      <c r="F1101" s="1" t="n">
        <f aca="false">Y1101-X1101</f>
        <v>5</v>
      </c>
      <c r="G1101" s="1" t="n">
        <v>5</v>
      </c>
      <c r="H1101" s="3" t="s">
        <v>32</v>
      </c>
      <c r="I1101" s="3" t="s">
        <v>62</v>
      </c>
      <c r="J1101" s="3" t="s">
        <v>63</v>
      </c>
      <c r="K1101" s="2" t="str">
        <f aca="false">CONCATENATE(I1101," ",J1101)</f>
        <v>Microneta viaria</v>
      </c>
      <c r="L1101" s="3" t="n">
        <f aca="false">SUM(P1101:U1101)</f>
        <v>1</v>
      </c>
      <c r="M1101" s="11" t="n">
        <f aca="false">(L1101/(F1101*G1101)*25)*4</f>
        <v>4</v>
      </c>
      <c r="N1101" s="1" t="s">
        <v>30</v>
      </c>
      <c r="O1101" s="1" t="s">
        <v>31</v>
      </c>
      <c r="P1101" s="1" t="n">
        <v>1</v>
      </c>
      <c r="Q1101" s="1" t="n">
        <v>0</v>
      </c>
      <c r="R1101" s="1" t="n">
        <v>0</v>
      </c>
      <c r="S1101" s="1" t="n">
        <v>0</v>
      </c>
      <c r="T1101" s="1" t="n">
        <v>0</v>
      </c>
      <c r="U1101" s="1" t="n">
        <v>0</v>
      </c>
      <c r="V1101" s="3" t="n">
        <f aca="false">SUM(P1101:Q1101)</f>
        <v>1</v>
      </c>
      <c r="W1101" s="3" t="n">
        <f aca="false">SUM(R1101:T1101)</f>
        <v>0</v>
      </c>
      <c r="X1101" s="10" t="n">
        <v>39970</v>
      </c>
      <c r="Y1101" s="10" t="n">
        <v>39975</v>
      </c>
    </row>
    <row r="1102" customFormat="false" ht="14.25" hidden="false" customHeight="false" outlineLevel="0" collapsed="false">
      <c r="A1102" s="1" t="n">
        <v>2009</v>
      </c>
      <c r="B1102" s="1" t="n">
        <v>1</v>
      </c>
      <c r="C1102" s="2" t="s">
        <v>25</v>
      </c>
      <c r="D1102" s="7" t="s">
        <v>101</v>
      </c>
      <c r="E1102" s="1" t="n">
        <v>2</v>
      </c>
      <c r="F1102" s="1" t="n">
        <f aca="false">Y1102-X1102</f>
        <v>5</v>
      </c>
      <c r="G1102" s="1" t="n">
        <v>5</v>
      </c>
      <c r="H1102" s="3" t="s">
        <v>32</v>
      </c>
      <c r="I1102" s="3" t="s">
        <v>102</v>
      </c>
      <c r="J1102" s="3" t="s">
        <v>103</v>
      </c>
      <c r="K1102" s="2" t="str">
        <f aca="false">CONCATENATE(I1102," ",J1102)</f>
        <v>Agyneta olivacea</v>
      </c>
      <c r="L1102" s="3" t="n">
        <f aca="false">SUM(P1102:U1102)</f>
        <v>1</v>
      </c>
      <c r="M1102" s="11" t="n">
        <f aca="false">(L1102/(F1102*G1102)*25)*4</f>
        <v>4</v>
      </c>
      <c r="N1102" s="1" t="s">
        <v>30</v>
      </c>
      <c r="O1102" s="1" t="s">
        <v>31</v>
      </c>
      <c r="P1102" s="1" t="n">
        <v>1</v>
      </c>
      <c r="Q1102" s="1" t="n">
        <v>0</v>
      </c>
      <c r="R1102" s="1" t="n">
        <v>0</v>
      </c>
      <c r="S1102" s="1" t="n">
        <v>0</v>
      </c>
      <c r="T1102" s="1" t="n">
        <v>0</v>
      </c>
      <c r="U1102" s="1" t="n">
        <v>0</v>
      </c>
      <c r="V1102" s="3" t="n">
        <f aca="false">SUM(P1102:Q1102)</f>
        <v>1</v>
      </c>
      <c r="W1102" s="3" t="n">
        <f aca="false">SUM(R1102:T1102)</f>
        <v>0</v>
      </c>
      <c r="X1102" s="10" t="n">
        <v>39970</v>
      </c>
      <c r="Y1102" s="10" t="n">
        <v>39975</v>
      </c>
    </row>
    <row r="1103" customFormat="false" ht="14.25" hidden="false" customHeight="false" outlineLevel="0" collapsed="false">
      <c r="A1103" s="1" t="n">
        <v>2009</v>
      </c>
      <c r="B1103" s="1" t="n">
        <v>1</v>
      </c>
      <c r="C1103" s="2" t="s">
        <v>25</v>
      </c>
      <c r="D1103" s="7" t="s">
        <v>101</v>
      </c>
      <c r="E1103" s="1" t="n">
        <v>2</v>
      </c>
      <c r="F1103" s="1" t="n">
        <f aca="false">Y1103-X1103</f>
        <v>5</v>
      </c>
      <c r="G1103" s="1" t="n">
        <v>5</v>
      </c>
      <c r="H1103" s="3" t="s">
        <v>48</v>
      </c>
      <c r="I1103" s="3" t="s">
        <v>49</v>
      </c>
      <c r="J1103" s="3" t="s">
        <v>104</v>
      </c>
      <c r="K1103" s="2" t="str">
        <f aca="false">CONCATENATE(I1103," ",J1103)</f>
        <v>Alopecosa taeniata</v>
      </c>
      <c r="L1103" s="3" t="n">
        <f aca="false">SUM(P1103:U1103)</f>
        <v>2</v>
      </c>
      <c r="M1103" s="11" t="n">
        <f aca="false">(L1103/(F1103*G1103)*25)*4</f>
        <v>8</v>
      </c>
      <c r="N1103" s="1" t="s">
        <v>30</v>
      </c>
      <c r="O1103" s="1" t="s">
        <v>31</v>
      </c>
      <c r="P1103" s="1" t="n">
        <v>2</v>
      </c>
      <c r="Q1103" s="1" t="n">
        <v>0</v>
      </c>
      <c r="R1103" s="1" t="n">
        <v>0</v>
      </c>
      <c r="S1103" s="1" t="n">
        <v>0</v>
      </c>
      <c r="T1103" s="1" t="n">
        <v>0</v>
      </c>
      <c r="U1103" s="1" t="n">
        <v>0</v>
      </c>
      <c r="V1103" s="3" t="n">
        <f aca="false">SUM(P1103:Q1103)</f>
        <v>2</v>
      </c>
      <c r="W1103" s="3" t="n">
        <f aca="false">SUM(R1103:T1103)</f>
        <v>0</v>
      </c>
      <c r="X1103" s="10" t="n">
        <v>39970</v>
      </c>
      <c r="Y1103" s="10" t="n">
        <v>39975</v>
      </c>
    </row>
    <row r="1104" customFormat="false" ht="14.25" hidden="false" customHeight="false" outlineLevel="0" collapsed="false">
      <c r="A1104" s="1" t="n">
        <v>2009</v>
      </c>
      <c r="B1104" s="1" t="n">
        <v>1</v>
      </c>
      <c r="C1104" s="2" t="s">
        <v>25</v>
      </c>
      <c r="D1104" s="7" t="s">
        <v>101</v>
      </c>
      <c r="E1104" s="1" t="n">
        <v>2</v>
      </c>
      <c r="F1104" s="1" t="n">
        <f aca="false">Y1104-X1104</f>
        <v>5</v>
      </c>
      <c r="G1104" s="1" t="n">
        <v>5</v>
      </c>
      <c r="H1104" s="3" t="s">
        <v>48</v>
      </c>
      <c r="I1104" s="3" t="s">
        <v>67</v>
      </c>
      <c r="J1104" s="3" t="s">
        <v>127</v>
      </c>
      <c r="K1104" s="2" t="str">
        <f aca="false">CONCATENATE(I1104," ",J1104)</f>
        <v>Pardosa lugubris</v>
      </c>
      <c r="L1104" s="3" t="n">
        <f aca="false">SUM(P1104:U1104)</f>
        <v>3</v>
      </c>
      <c r="M1104" s="11" t="n">
        <f aca="false">(L1104/(F1104*G1104)*25)*4</f>
        <v>12</v>
      </c>
      <c r="N1104" s="1" t="s">
        <v>30</v>
      </c>
      <c r="O1104" s="1" t="s">
        <v>31</v>
      </c>
      <c r="P1104" s="1" t="n">
        <v>3</v>
      </c>
      <c r="Q1104" s="1" t="n">
        <v>0</v>
      </c>
      <c r="R1104" s="1" t="n">
        <v>0</v>
      </c>
      <c r="S1104" s="1" t="n">
        <v>0</v>
      </c>
      <c r="T1104" s="1" t="n">
        <v>0</v>
      </c>
      <c r="U1104" s="1" t="n">
        <v>0</v>
      </c>
      <c r="V1104" s="3" t="n">
        <f aca="false">SUM(P1104:Q1104)</f>
        <v>3</v>
      </c>
      <c r="W1104" s="3" t="n">
        <f aca="false">SUM(R1104:T1104)</f>
        <v>0</v>
      </c>
      <c r="X1104" s="10" t="n">
        <v>39970</v>
      </c>
      <c r="Y1104" s="10" t="n">
        <v>39975</v>
      </c>
    </row>
    <row r="1105" customFormat="false" ht="14.25" hidden="false" customHeight="false" outlineLevel="0" collapsed="false">
      <c r="A1105" s="1" t="n">
        <v>2009</v>
      </c>
      <c r="B1105" s="1" t="n">
        <v>1</v>
      </c>
      <c r="C1105" s="2" t="s">
        <v>25</v>
      </c>
      <c r="D1105" s="7" t="s">
        <v>101</v>
      </c>
      <c r="E1105" s="1" t="n">
        <v>2</v>
      </c>
      <c r="F1105" s="1" t="n">
        <f aca="false">Y1105-X1105</f>
        <v>5</v>
      </c>
      <c r="G1105" s="1" t="n">
        <v>5</v>
      </c>
      <c r="H1105" s="3" t="s">
        <v>32</v>
      </c>
      <c r="I1105" s="3" t="s">
        <v>57</v>
      </c>
      <c r="J1105" s="3" t="s">
        <v>38</v>
      </c>
      <c r="K1105" s="2" t="str">
        <f aca="false">CONCATENATE(I1105," ",J1105)</f>
        <v>Gen sp</v>
      </c>
      <c r="L1105" s="3" t="n">
        <f aca="false">SUM(P1105:U1105)</f>
        <v>1</v>
      </c>
      <c r="M1105" s="11" t="n">
        <f aca="false">(L1105/(F1105*G1105)*25)*4</f>
        <v>4</v>
      </c>
      <c r="N1105" s="1" t="s">
        <v>19</v>
      </c>
      <c r="O1105" s="1" t="s">
        <v>54</v>
      </c>
      <c r="P1105" s="1" t="n">
        <v>0</v>
      </c>
      <c r="Q1105" s="1" t="n">
        <v>0</v>
      </c>
      <c r="R1105" s="1" t="n">
        <v>0</v>
      </c>
      <c r="S1105" s="1" t="n">
        <v>0</v>
      </c>
      <c r="T1105" s="1" t="n">
        <v>1</v>
      </c>
      <c r="U1105" s="1" t="n">
        <v>0</v>
      </c>
      <c r="V1105" s="3" t="n">
        <f aca="false">SUM(P1105:Q1105)</f>
        <v>0</v>
      </c>
      <c r="W1105" s="3" t="n">
        <f aca="false">SUM(R1105:T1105)</f>
        <v>1</v>
      </c>
      <c r="X1105" s="10" t="n">
        <v>39970</v>
      </c>
      <c r="Y1105" s="10" t="n">
        <v>39975</v>
      </c>
    </row>
    <row r="1106" customFormat="false" ht="14.25" hidden="false" customHeight="false" outlineLevel="0" collapsed="false">
      <c r="A1106" s="1" t="n">
        <v>2009</v>
      </c>
      <c r="B1106" s="1" t="n">
        <v>1</v>
      </c>
      <c r="C1106" s="2" t="s">
        <v>25</v>
      </c>
      <c r="D1106" s="7" t="s">
        <v>101</v>
      </c>
      <c r="E1106" s="1" t="n">
        <v>3</v>
      </c>
      <c r="F1106" s="1" t="n">
        <f aca="false">Y1106-X1106</f>
        <v>5</v>
      </c>
      <c r="G1106" s="1" t="n">
        <v>5</v>
      </c>
      <c r="H1106" s="3" t="s">
        <v>48</v>
      </c>
      <c r="I1106" s="3" t="s">
        <v>49</v>
      </c>
      <c r="J1106" s="3" t="s">
        <v>104</v>
      </c>
      <c r="K1106" s="2" t="str">
        <f aca="false">CONCATENATE(I1106," ",J1106)</f>
        <v>Alopecosa taeniata</v>
      </c>
      <c r="L1106" s="3" t="n">
        <f aca="false">SUM(P1106:U1106)</f>
        <v>1</v>
      </c>
      <c r="M1106" s="11" t="n">
        <f aca="false">(L1106/(F1106*G1106)*25)*4</f>
        <v>4</v>
      </c>
      <c r="N1106" s="1" t="s">
        <v>30</v>
      </c>
      <c r="O1106" s="1" t="s">
        <v>35</v>
      </c>
      <c r="P1106" s="1" t="n">
        <v>0</v>
      </c>
      <c r="Q1106" s="1" t="n">
        <v>1</v>
      </c>
      <c r="R1106" s="1" t="n">
        <v>0</v>
      </c>
      <c r="S1106" s="1" t="n">
        <v>0</v>
      </c>
      <c r="T1106" s="1" t="n">
        <v>0</v>
      </c>
      <c r="U1106" s="1" t="n">
        <v>0</v>
      </c>
      <c r="V1106" s="3" t="n">
        <f aca="false">SUM(P1106:Q1106)</f>
        <v>1</v>
      </c>
      <c r="W1106" s="3" t="n">
        <f aca="false">SUM(R1106:T1106)</f>
        <v>0</v>
      </c>
      <c r="X1106" s="10" t="n">
        <v>39970</v>
      </c>
      <c r="Y1106" s="10" t="n">
        <v>39975</v>
      </c>
    </row>
    <row r="1107" customFormat="false" ht="14.25" hidden="false" customHeight="false" outlineLevel="0" collapsed="false">
      <c r="A1107" s="1" t="n">
        <v>2009</v>
      </c>
      <c r="B1107" s="1" t="n">
        <v>1</v>
      </c>
      <c r="C1107" s="2" t="s">
        <v>25</v>
      </c>
      <c r="D1107" s="7" t="s">
        <v>101</v>
      </c>
      <c r="E1107" s="1" t="n">
        <v>3</v>
      </c>
      <c r="F1107" s="1" t="n">
        <f aca="false">Y1107-X1107</f>
        <v>5</v>
      </c>
      <c r="G1107" s="1" t="n">
        <v>5</v>
      </c>
      <c r="H1107" s="3" t="s">
        <v>48</v>
      </c>
      <c r="I1107" s="3" t="s">
        <v>67</v>
      </c>
      <c r="J1107" s="3" t="s">
        <v>127</v>
      </c>
      <c r="K1107" s="2" t="str">
        <f aca="false">CONCATENATE(I1107," ",J1107)</f>
        <v>Pardosa lugubris</v>
      </c>
      <c r="L1107" s="3" t="n">
        <f aca="false">SUM(P1107:U1107)</f>
        <v>2</v>
      </c>
      <c r="M1107" s="11" t="n">
        <f aca="false">(L1107/(F1107*G1107)*25)*4</f>
        <v>8</v>
      </c>
      <c r="N1107" s="1" t="s">
        <v>30</v>
      </c>
      <c r="O1107" s="1" t="s">
        <v>31</v>
      </c>
      <c r="P1107" s="1" t="n">
        <v>2</v>
      </c>
      <c r="Q1107" s="1" t="n">
        <v>0</v>
      </c>
      <c r="R1107" s="1" t="n">
        <v>0</v>
      </c>
      <c r="S1107" s="1" t="n">
        <v>0</v>
      </c>
      <c r="T1107" s="1" t="n">
        <v>0</v>
      </c>
      <c r="U1107" s="1" t="n">
        <v>0</v>
      </c>
      <c r="V1107" s="3" t="n">
        <f aca="false">SUM(P1107:Q1107)</f>
        <v>2</v>
      </c>
      <c r="W1107" s="3" t="n">
        <f aca="false">SUM(R1107:T1107)</f>
        <v>0</v>
      </c>
      <c r="X1107" s="10" t="n">
        <v>39970</v>
      </c>
      <c r="Y1107" s="10" t="n">
        <v>39975</v>
      </c>
    </row>
    <row r="1108" customFormat="false" ht="14.25" hidden="false" customHeight="false" outlineLevel="0" collapsed="false">
      <c r="A1108" s="1" t="n">
        <v>2009</v>
      </c>
      <c r="B1108" s="1" t="n">
        <v>1</v>
      </c>
      <c r="C1108" s="2" t="s">
        <v>25</v>
      </c>
      <c r="D1108" s="7" t="s">
        <v>101</v>
      </c>
      <c r="E1108" s="1" t="n">
        <v>3</v>
      </c>
      <c r="F1108" s="1" t="n">
        <f aca="false">Y1108-X1108</f>
        <v>5</v>
      </c>
      <c r="G1108" s="1" t="n">
        <v>5</v>
      </c>
      <c r="H1108" s="3" t="s">
        <v>36</v>
      </c>
      <c r="I1108" s="3" t="s">
        <v>37</v>
      </c>
      <c r="J1108" s="8" t="s">
        <v>75</v>
      </c>
      <c r="K1108" s="2" t="str">
        <f aca="false">CONCATENATE(I1108," ",J1108)</f>
        <v>Ozyptila praticola</v>
      </c>
      <c r="L1108" s="3" t="n">
        <f aca="false">SUM(P1108:U1108)</f>
        <v>1</v>
      </c>
      <c r="M1108" s="11" t="n">
        <f aca="false">(L1108/(F1108*G1108)*25)*4</f>
        <v>4</v>
      </c>
      <c r="N1108" s="1" t="s">
        <v>30</v>
      </c>
      <c r="O1108" s="1" t="s">
        <v>31</v>
      </c>
      <c r="P1108" s="1" t="n">
        <v>1</v>
      </c>
      <c r="Q1108" s="1" t="n">
        <v>0</v>
      </c>
      <c r="R1108" s="1" t="n">
        <v>0</v>
      </c>
      <c r="S1108" s="1" t="n">
        <v>0</v>
      </c>
      <c r="T1108" s="1" t="n">
        <v>0</v>
      </c>
      <c r="U1108" s="1" t="n">
        <v>0</v>
      </c>
      <c r="V1108" s="3" t="n">
        <f aca="false">SUM(P1108:Q1108)</f>
        <v>1</v>
      </c>
      <c r="W1108" s="3" t="n">
        <f aca="false">SUM(R1108:T1108)</f>
        <v>0</v>
      </c>
      <c r="X1108" s="10" t="n">
        <v>39970</v>
      </c>
      <c r="Y1108" s="10" t="n">
        <v>39975</v>
      </c>
    </row>
    <row r="1109" customFormat="false" ht="14.25" hidden="false" customHeight="false" outlineLevel="0" collapsed="false">
      <c r="A1109" s="1" t="n">
        <v>2009</v>
      </c>
      <c r="B1109" s="1" t="n">
        <v>1</v>
      </c>
      <c r="C1109" s="2" t="s">
        <v>25</v>
      </c>
      <c r="D1109" s="7" t="s">
        <v>101</v>
      </c>
      <c r="E1109" s="1" t="n">
        <v>3</v>
      </c>
      <c r="F1109" s="1" t="n">
        <f aca="false">Y1109-X1109</f>
        <v>5</v>
      </c>
      <c r="G1109" s="1" t="n">
        <v>5</v>
      </c>
      <c r="H1109" s="3" t="s">
        <v>72</v>
      </c>
      <c r="I1109" s="3" t="s">
        <v>86</v>
      </c>
      <c r="J1109" s="8" t="s">
        <v>87</v>
      </c>
      <c r="K1109" s="2" t="str">
        <f aca="false">CONCATENATE(I1109," ",J1109)</f>
        <v>Haplodrassus soerenseni</v>
      </c>
      <c r="L1109" s="3" t="n">
        <f aca="false">SUM(P1109:U1109)</f>
        <v>1</v>
      </c>
      <c r="M1109" s="11" t="n">
        <f aca="false">(L1109/(F1109*G1109)*25)*4</f>
        <v>4</v>
      </c>
      <c r="N1109" s="1" t="s">
        <v>30</v>
      </c>
      <c r="O1109" s="1" t="s">
        <v>31</v>
      </c>
      <c r="P1109" s="1" t="n">
        <v>1</v>
      </c>
      <c r="Q1109" s="1" t="n">
        <v>0</v>
      </c>
      <c r="R1109" s="1" t="n">
        <v>0</v>
      </c>
      <c r="S1109" s="1" t="n">
        <v>0</v>
      </c>
      <c r="T1109" s="1" t="n">
        <v>0</v>
      </c>
      <c r="U1109" s="1" t="n">
        <v>0</v>
      </c>
      <c r="V1109" s="3" t="n">
        <f aca="false">SUM(P1109:Q1109)</f>
        <v>1</v>
      </c>
      <c r="W1109" s="3" t="n">
        <f aca="false">SUM(R1109:T1109)</f>
        <v>0</v>
      </c>
      <c r="X1109" s="10" t="n">
        <v>39970</v>
      </c>
      <c r="Y1109" s="10" t="n">
        <v>39975</v>
      </c>
    </row>
    <row r="1110" customFormat="false" ht="14.25" hidden="false" customHeight="false" outlineLevel="0" collapsed="false">
      <c r="A1110" s="1" t="n">
        <v>2009</v>
      </c>
      <c r="B1110" s="1" t="n">
        <v>1</v>
      </c>
      <c r="C1110" s="2" t="s">
        <v>25</v>
      </c>
      <c r="D1110" s="7" t="s">
        <v>101</v>
      </c>
      <c r="E1110" s="1" t="n">
        <v>3</v>
      </c>
      <c r="F1110" s="1" t="n">
        <f aca="false">Y1110-X1110</f>
        <v>5</v>
      </c>
      <c r="G1110" s="1" t="n">
        <v>5</v>
      </c>
      <c r="H1110" s="3" t="s">
        <v>27</v>
      </c>
      <c r="I1110" s="3" t="s">
        <v>28</v>
      </c>
      <c r="J1110" s="3" t="s">
        <v>29</v>
      </c>
      <c r="K1110" s="2" t="str">
        <f aca="false">CONCATENATE(I1110," ",J1110)</f>
        <v>Robertus lividus</v>
      </c>
      <c r="L1110" s="3" t="n">
        <f aca="false">SUM(P1110:U1110)</f>
        <v>1</v>
      </c>
      <c r="M1110" s="11" t="n">
        <f aca="false">(L1110/(F1110*G1110)*25)*4</f>
        <v>4</v>
      </c>
      <c r="N1110" s="1" t="s">
        <v>30</v>
      </c>
      <c r="O1110" s="1" t="s">
        <v>31</v>
      </c>
      <c r="P1110" s="1" t="n">
        <v>1</v>
      </c>
      <c r="Q1110" s="1" t="n">
        <v>0</v>
      </c>
      <c r="R1110" s="1" t="n">
        <v>0</v>
      </c>
      <c r="S1110" s="1" t="n">
        <v>0</v>
      </c>
      <c r="T1110" s="1" t="n">
        <v>0</v>
      </c>
      <c r="U1110" s="1" t="n">
        <v>0</v>
      </c>
      <c r="V1110" s="3" t="n">
        <f aca="false">SUM(P1110:Q1110)</f>
        <v>1</v>
      </c>
      <c r="W1110" s="3" t="n">
        <f aca="false">SUM(R1110:T1110)</f>
        <v>0</v>
      </c>
      <c r="X1110" s="10" t="n">
        <v>39970</v>
      </c>
      <c r="Y1110" s="10" t="n">
        <v>39975</v>
      </c>
    </row>
    <row r="1111" customFormat="false" ht="14.25" hidden="false" customHeight="false" outlineLevel="0" collapsed="false">
      <c r="A1111" s="1" t="n">
        <v>2009</v>
      </c>
      <c r="B1111" s="1" t="n">
        <v>1</v>
      </c>
      <c r="C1111" s="2" t="s">
        <v>25</v>
      </c>
      <c r="D1111" s="7" t="s">
        <v>101</v>
      </c>
      <c r="E1111" s="1" t="n">
        <v>3</v>
      </c>
      <c r="F1111" s="1" t="n">
        <f aca="false">Y1111-X1111</f>
        <v>5</v>
      </c>
      <c r="G1111" s="1" t="n">
        <v>5</v>
      </c>
      <c r="H1111" s="13" t="s">
        <v>32</v>
      </c>
      <c r="I1111" s="13" t="s">
        <v>96</v>
      </c>
      <c r="J1111" s="14" t="s">
        <v>97</v>
      </c>
      <c r="K1111" s="2" t="str">
        <f aca="false">CONCATENATE(I1111," ",J1111)</f>
        <v>Diplocephalus picinus</v>
      </c>
      <c r="L1111" s="3" t="n">
        <f aca="false">SUM(P1111:U1111)</f>
        <v>1</v>
      </c>
      <c r="M1111" s="11" t="n">
        <f aca="false">(L1111/(F1111*G1111)*25)*4</f>
        <v>4</v>
      </c>
      <c r="N1111" s="1" t="s">
        <v>30</v>
      </c>
      <c r="O1111" s="1" t="s">
        <v>31</v>
      </c>
      <c r="P1111" s="1" t="n">
        <v>1</v>
      </c>
      <c r="Q1111" s="1" t="n">
        <v>0</v>
      </c>
      <c r="R1111" s="1" t="n">
        <v>0</v>
      </c>
      <c r="S1111" s="1" t="n">
        <v>0</v>
      </c>
      <c r="T1111" s="1" t="n">
        <v>0</v>
      </c>
      <c r="U1111" s="1" t="n">
        <v>0</v>
      </c>
      <c r="V1111" s="3" t="n">
        <f aca="false">SUM(P1111:Q1111)</f>
        <v>1</v>
      </c>
      <c r="W1111" s="3" t="n">
        <f aca="false">SUM(R1111:T1111)</f>
        <v>0</v>
      </c>
      <c r="X1111" s="10" t="n">
        <v>39970</v>
      </c>
      <c r="Y1111" s="10" t="n">
        <v>39975</v>
      </c>
    </row>
    <row r="1112" customFormat="false" ht="14.25" hidden="false" customHeight="false" outlineLevel="0" collapsed="false">
      <c r="A1112" s="1" t="n">
        <v>2009</v>
      </c>
      <c r="B1112" s="1" t="n">
        <v>1</v>
      </c>
      <c r="C1112" s="2" t="s">
        <v>25</v>
      </c>
      <c r="D1112" s="7" t="s">
        <v>101</v>
      </c>
      <c r="E1112" s="1" t="n">
        <v>3</v>
      </c>
      <c r="F1112" s="1" t="n">
        <f aca="false">Y1112-X1112</f>
        <v>5</v>
      </c>
      <c r="G1112" s="1" t="n">
        <v>5</v>
      </c>
      <c r="H1112" s="3" t="s">
        <v>32</v>
      </c>
      <c r="I1112" s="3" t="s">
        <v>57</v>
      </c>
      <c r="J1112" s="3" t="s">
        <v>38</v>
      </c>
      <c r="K1112" s="2" t="str">
        <f aca="false">CONCATENATE(I1112," ",J1112)</f>
        <v>Gen sp</v>
      </c>
      <c r="L1112" s="3" t="n">
        <f aca="false">SUM(P1112:U1112)</f>
        <v>1</v>
      </c>
      <c r="M1112" s="11" t="n">
        <f aca="false">(L1112/(F1112*G1112)*25)*4</f>
        <v>4</v>
      </c>
      <c r="N1112" s="1" t="s">
        <v>19</v>
      </c>
      <c r="O1112" s="1" t="s">
        <v>54</v>
      </c>
      <c r="P1112" s="1" t="n">
        <v>0</v>
      </c>
      <c r="Q1112" s="1" t="n">
        <v>0</v>
      </c>
      <c r="R1112" s="1" t="n">
        <v>0</v>
      </c>
      <c r="S1112" s="1" t="n">
        <v>0</v>
      </c>
      <c r="T1112" s="1" t="n">
        <v>1</v>
      </c>
      <c r="U1112" s="1" t="n">
        <v>0</v>
      </c>
      <c r="V1112" s="3" t="n">
        <f aca="false">SUM(P1112:Q1112)</f>
        <v>0</v>
      </c>
      <c r="W1112" s="3" t="n">
        <f aca="false">SUM(R1112:T1112)</f>
        <v>1</v>
      </c>
      <c r="X1112" s="10" t="n">
        <v>39970</v>
      </c>
      <c r="Y1112" s="10" t="n">
        <v>39975</v>
      </c>
    </row>
    <row r="1113" customFormat="false" ht="14.25" hidden="false" customHeight="false" outlineLevel="0" collapsed="false">
      <c r="A1113" s="1" t="n">
        <v>2009</v>
      </c>
      <c r="B1113" s="1" t="n">
        <v>1</v>
      </c>
      <c r="C1113" s="2" t="s">
        <v>25</v>
      </c>
      <c r="D1113" s="7" t="s">
        <v>101</v>
      </c>
      <c r="E1113" s="1" t="n">
        <v>3</v>
      </c>
      <c r="F1113" s="1" t="n">
        <f aca="false">Y1113-X1113</f>
        <v>5</v>
      </c>
      <c r="G1113" s="1" t="n">
        <v>5</v>
      </c>
      <c r="H1113" s="3" t="s">
        <v>48</v>
      </c>
      <c r="I1113" s="3" t="s">
        <v>49</v>
      </c>
      <c r="J1113" s="3" t="s">
        <v>104</v>
      </c>
      <c r="K1113" s="2" t="str">
        <f aca="false">CONCATENATE(I1113," ",J1113)</f>
        <v>Alopecosa taeniata</v>
      </c>
      <c r="L1113" s="3" t="n">
        <f aca="false">SUM(P1113:U1113)</f>
        <v>6</v>
      </c>
      <c r="M1113" s="11" t="n">
        <f aca="false">(L1113/(F1113*G1113)*25)*4</f>
        <v>24</v>
      </c>
      <c r="N1113" s="1" t="s">
        <v>30</v>
      </c>
      <c r="O1113" s="1" t="s">
        <v>31</v>
      </c>
      <c r="P1113" s="1" t="n">
        <v>6</v>
      </c>
      <c r="Q1113" s="1" t="n">
        <v>0</v>
      </c>
      <c r="R1113" s="1" t="n">
        <v>0</v>
      </c>
      <c r="S1113" s="1" t="n">
        <v>0</v>
      </c>
      <c r="T1113" s="1" t="n">
        <v>0</v>
      </c>
      <c r="U1113" s="1" t="n">
        <v>0</v>
      </c>
      <c r="V1113" s="3" t="n">
        <f aca="false">SUM(P1113:Q1113)</f>
        <v>6</v>
      </c>
      <c r="W1113" s="3" t="n">
        <f aca="false">SUM(R1113:T1113)</f>
        <v>0</v>
      </c>
      <c r="X1113" s="10" t="n">
        <v>39970</v>
      </c>
      <c r="Y1113" s="10" t="n">
        <v>39975</v>
      </c>
    </row>
    <row r="1114" customFormat="false" ht="14.25" hidden="false" customHeight="false" outlineLevel="0" collapsed="false">
      <c r="A1114" s="1" t="n">
        <v>2009</v>
      </c>
      <c r="B1114" s="1" t="n">
        <v>1</v>
      </c>
      <c r="C1114" s="2" t="s">
        <v>25</v>
      </c>
      <c r="D1114" s="7" t="s">
        <v>101</v>
      </c>
      <c r="E1114" s="1" t="n">
        <v>3</v>
      </c>
      <c r="F1114" s="1" t="n">
        <f aca="false">Y1114-X1114</f>
        <v>5</v>
      </c>
      <c r="G1114" s="1" t="n">
        <v>5</v>
      </c>
      <c r="H1114" s="3" t="s">
        <v>48</v>
      </c>
      <c r="I1114" s="3" t="s">
        <v>67</v>
      </c>
      <c r="J1114" s="3" t="s">
        <v>127</v>
      </c>
      <c r="K1114" s="2" t="str">
        <f aca="false">CONCATENATE(I1114," ",J1114)</f>
        <v>Pardosa lugubris</v>
      </c>
      <c r="L1114" s="3" t="n">
        <f aca="false">SUM(P1114:U1114)</f>
        <v>5</v>
      </c>
      <c r="M1114" s="11" t="n">
        <f aca="false">(L1114/(F1114*G1114)*25)*4</f>
        <v>20</v>
      </c>
      <c r="N1114" s="1" t="s">
        <v>30</v>
      </c>
      <c r="O1114" s="1" t="s">
        <v>31</v>
      </c>
      <c r="P1114" s="1" t="n">
        <v>5</v>
      </c>
      <c r="Q1114" s="1" t="n">
        <v>0</v>
      </c>
      <c r="R1114" s="1" t="n">
        <v>0</v>
      </c>
      <c r="S1114" s="1" t="n">
        <v>0</v>
      </c>
      <c r="T1114" s="1" t="n">
        <v>0</v>
      </c>
      <c r="U1114" s="1" t="n">
        <v>0</v>
      </c>
      <c r="V1114" s="3" t="n">
        <f aca="false">SUM(P1114:Q1114)</f>
        <v>5</v>
      </c>
      <c r="W1114" s="3" t="n">
        <f aca="false">SUM(R1114:T1114)</f>
        <v>0</v>
      </c>
      <c r="X1114" s="10" t="n">
        <v>39970</v>
      </c>
      <c r="Y1114" s="10" t="n">
        <v>39975</v>
      </c>
    </row>
    <row r="1115" customFormat="false" ht="14.25" hidden="false" customHeight="false" outlineLevel="0" collapsed="false">
      <c r="A1115" s="1" t="n">
        <v>2009</v>
      </c>
      <c r="B1115" s="1" t="n">
        <v>1</v>
      </c>
      <c r="C1115" s="2" t="s">
        <v>25</v>
      </c>
      <c r="D1115" s="7" t="s">
        <v>101</v>
      </c>
      <c r="E1115" s="1" t="n">
        <v>3</v>
      </c>
      <c r="F1115" s="1" t="n">
        <f aca="false">Y1115-X1115</f>
        <v>5</v>
      </c>
      <c r="G1115" s="1" t="n">
        <v>5</v>
      </c>
      <c r="H1115" s="3" t="s">
        <v>48</v>
      </c>
      <c r="I1115" s="3" t="s">
        <v>61</v>
      </c>
      <c r="J1115" s="3" t="s">
        <v>82</v>
      </c>
      <c r="K1115" s="2" t="str">
        <f aca="false">CONCATENATE(I1115," ",J1115)</f>
        <v>Trochosa terricola</v>
      </c>
      <c r="L1115" s="3" t="n">
        <f aca="false">SUM(P1115:U1115)</f>
        <v>2</v>
      </c>
      <c r="M1115" s="11" t="n">
        <f aca="false">(L1115/(F1115*G1115)*25)*4</f>
        <v>8</v>
      </c>
      <c r="N1115" s="1" t="s">
        <v>30</v>
      </c>
      <c r="O1115" s="1" t="s">
        <v>31</v>
      </c>
      <c r="P1115" s="1" t="n">
        <v>2</v>
      </c>
      <c r="Q1115" s="1" t="n">
        <v>0</v>
      </c>
      <c r="R1115" s="1" t="n">
        <v>0</v>
      </c>
      <c r="S1115" s="1" t="n">
        <v>0</v>
      </c>
      <c r="T1115" s="1" t="n">
        <v>0</v>
      </c>
      <c r="U1115" s="1" t="n">
        <v>0</v>
      </c>
      <c r="V1115" s="3" t="n">
        <f aca="false">SUM(P1115:Q1115)</f>
        <v>2</v>
      </c>
      <c r="W1115" s="3" t="n">
        <f aca="false">SUM(R1115:T1115)</f>
        <v>0</v>
      </c>
      <c r="X1115" s="10" t="n">
        <v>39970</v>
      </c>
      <c r="Y1115" s="10" t="n">
        <v>39975</v>
      </c>
    </row>
    <row r="1116" customFormat="false" ht="14.25" hidden="false" customHeight="false" outlineLevel="0" collapsed="false">
      <c r="A1116" s="1" t="n">
        <v>2009</v>
      </c>
      <c r="B1116" s="1" t="n">
        <v>1</v>
      </c>
      <c r="C1116" s="2" t="s">
        <v>25</v>
      </c>
      <c r="D1116" s="7" t="s">
        <v>101</v>
      </c>
      <c r="E1116" s="1" t="n">
        <v>3</v>
      </c>
      <c r="F1116" s="1" t="n">
        <f aca="false">Y1116-X1116</f>
        <v>5</v>
      </c>
      <c r="G1116" s="1" t="n">
        <v>5</v>
      </c>
      <c r="H1116" s="3" t="s">
        <v>32</v>
      </c>
      <c r="I1116" s="3" t="s">
        <v>90</v>
      </c>
      <c r="J1116" s="3" t="s">
        <v>91</v>
      </c>
      <c r="K1116" s="2" t="str">
        <f aca="false">CONCATENATE(I1116," ",J1116)</f>
        <v>Tapinocyba insecta</v>
      </c>
      <c r="L1116" s="3" t="n">
        <f aca="false">SUM(P1116:U1116)</f>
        <v>1</v>
      </c>
      <c r="M1116" s="11" t="n">
        <f aca="false">(L1116/(F1116*G1116)*25)*4</f>
        <v>4</v>
      </c>
      <c r="N1116" s="1" t="s">
        <v>30</v>
      </c>
      <c r="O1116" s="1" t="s">
        <v>31</v>
      </c>
      <c r="P1116" s="1" t="n">
        <v>1</v>
      </c>
      <c r="Q1116" s="1" t="n">
        <v>0</v>
      </c>
      <c r="R1116" s="1" t="n">
        <v>0</v>
      </c>
      <c r="S1116" s="1" t="n">
        <v>0</v>
      </c>
      <c r="T1116" s="1" t="n">
        <v>0</v>
      </c>
      <c r="U1116" s="1" t="n">
        <v>0</v>
      </c>
      <c r="V1116" s="3" t="n">
        <f aca="false">SUM(P1116:Q1116)</f>
        <v>1</v>
      </c>
      <c r="W1116" s="3" t="n">
        <f aca="false">SUM(R1116:T1116)</f>
        <v>0</v>
      </c>
      <c r="X1116" s="10" t="n">
        <v>39970</v>
      </c>
      <c r="Y1116" s="10" t="n">
        <v>39975</v>
      </c>
    </row>
    <row r="1117" customFormat="false" ht="14.25" hidden="false" customHeight="false" outlineLevel="0" collapsed="false">
      <c r="A1117" s="1" t="n">
        <v>2009</v>
      </c>
      <c r="B1117" s="1" t="n">
        <v>1</v>
      </c>
      <c r="C1117" s="2" t="s">
        <v>25</v>
      </c>
      <c r="D1117" s="7" t="s">
        <v>101</v>
      </c>
      <c r="E1117" s="1" t="n">
        <v>3</v>
      </c>
      <c r="F1117" s="1" t="n">
        <f aca="false">Y1117-X1117</f>
        <v>5</v>
      </c>
      <c r="G1117" s="1" t="n">
        <v>5</v>
      </c>
      <c r="H1117" s="3" t="s">
        <v>32</v>
      </c>
      <c r="I1117" s="3" t="s">
        <v>90</v>
      </c>
      <c r="J1117" s="3" t="s">
        <v>91</v>
      </c>
      <c r="K1117" s="2" t="str">
        <f aca="false">CONCATENATE(I1117," ",J1117)</f>
        <v>Tapinocyba insecta</v>
      </c>
      <c r="L1117" s="3" t="n">
        <f aca="false">SUM(P1117:U1117)</f>
        <v>1</v>
      </c>
      <c r="M1117" s="11" t="n">
        <f aca="false">(L1117/(F1117*G1117)*25)*4</f>
        <v>4</v>
      </c>
      <c r="N1117" s="1" t="s">
        <v>30</v>
      </c>
      <c r="O1117" s="1" t="s">
        <v>35</v>
      </c>
      <c r="P1117" s="1" t="n">
        <v>0</v>
      </c>
      <c r="Q1117" s="1" t="n">
        <v>1</v>
      </c>
      <c r="R1117" s="1" t="n">
        <v>0</v>
      </c>
      <c r="S1117" s="1" t="n">
        <v>0</v>
      </c>
      <c r="T1117" s="1" t="n">
        <v>0</v>
      </c>
      <c r="U1117" s="1" t="n">
        <v>0</v>
      </c>
      <c r="V1117" s="3" t="n">
        <f aca="false">SUM(P1117:Q1117)</f>
        <v>1</v>
      </c>
      <c r="W1117" s="3" t="n">
        <f aca="false">SUM(R1117:T1117)</f>
        <v>0</v>
      </c>
      <c r="X1117" s="10" t="n">
        <v>39970</v>
      </c>
      <c r="Y1117" s="10" t="n">
        <v>39975</v>
      </c>
    </row>
    <row r="1118" customFormat="false" ht="14.25" hidden="false" customHeight="false" outlineLevel="0" collapsed="false">
      <c r="A1118" s="1" t="n">
        <v>2009</v>
      </c>
      <c r="B1118" s="1" t="n">
        <v>1</v>
      </c>
      <c r="C1118" s="2" t="s">
        <v>25</v>
      </c>
      <c r="D1118" s="7" t="s">
        <v>101</v>
      </c>
      <c r="E1118" s="1" t="n">
        <v>3</v>
      </c>
      <c r="F1118" s="1" t="n">
        <f aca="false">Y1118-X1118</f>
        <v>5</v>
      </c>
      <c r="G1118" s="1" t="n">
        <v>5</v>
      </c>
      <c r="H1118" s="13" t="s">
        <v>32</v>
      </c>
      <c r="I1118" s="13" t="s">
        <v>96</v>
      </c>
      <c r="J1118" s="14" t="s">
        <v>97</v>
      </c>
      <c r="K1118" s="2" t="str">
        <f aca="false">CONCATENATE(I1118," ",J1118)</f>
        <v>Diplocephalus picinus</v>
      </c>
      <c r="L1118" s="3" t="n">
        <f aca="false">SUM(P1118:U1118)</f>
        <v>2</v>
      </c>
      <c r="M1118" s="11" t="n">
        <f aca="false">(L1118/(F1118*G1118)*25)*4</f>
        <v>8</v>
      </c>
      <c r="N1118" s="1" t="s">
        <v>30</v>
      </c>
      <c r="O1118" s="1" t="s">
        <v>31</v>
      </c>
      <c r="P1118" s="1" t="n">
        <v>2</v>
      </c>
      <c r="Q1118" s="1" t="n">
        <v>0</v>
      </c>
      <c r="R1118" s="1" t="n">
        <v>0</v>
      </c>
      <c r="S1118" s="1" t="n">
        <v>0</v>
      </c>
      <c r="T1118" s="1" t="n">
        <v>0</v>
      </c>
      <c r="U1118" s="1" t="n">
        <v>0</v>
      </c>
      <c r="V1118" s="3" t="n">
        <f aca="false">SUM(P1118:Q1118)</f>
        <v>2</v>
      </c>
      <c r="W1118" s="3" t="n">
        <f aca="false">SUM(R1118:T1118)</f>
        <v>0</v>
      </c>
      <c r="X1118" s="10" t="n">
        <v>39970</v>
      </c>
      <c r="Y1118" s="10" t="n">
        <v>39975</v>
      </c>
    </row>
    <row r="1119" customFormat="false" ht="14.25" hidden="false" customHeight="false" outlineLevel="0" collapsed="false">
      <c r="A1119" s="1" t="n">
        <v>2009</v>
      </c>
      <c r="B1119" s="1" t="n">
        <v>1</v>
      </c>
      <c r="C1119" s="2" t="s">
        <v>25</v>
      </c>
      <c r="D1119" s="7" t="s">
        <v>101</v>
      </c>
      <c r="E1119" s="1" t="n">
        <v>3</v>
      </c>
      <c r="F1119" s="1" t="n">
        <f aca="false">Y1119-X1119</f>
        <v>5</v>
      </c>
      <c r="G1119" s="1" t="n">
        <v>5</v>
      </c>
      <c r="H1119" s="3" t="s">
        <v>32</v>
      </c>
      <c r="I1119" s="3" t="s">
        <v>55</v>
      </c>
      <c r="J1119" s="3" t="s">
        <v>194</v>
      </c>
      <c r="K1119" s="2" t="str">
        <f aca="false">CONCATENATE(I1119," ",J1119)</f>
        <v>Maro pansibiricus</v>
      </c>
      <c r="L1119" s="3" t="n">
        <f aca="false">SUM(P1119:U1119)</f>
        <v>1</v>
      </c>
      <c r="M1119" s="11" t="n">
        <f aca="false">(L1119/(F1119*G1119)*25)*4</f>
        <v>4</v>
      </c>
      <c r="N1119" s="1" t="s">
        <v>30</v>
      </c>
      <c r="O1119" s="1" t="s">
        <v>31</v>
      </c>
      <c r="P1119" s="1" t="n">
        <v>1</v>
      </c>
      <c r="Q1119" s="1" t="n">
        <v>0</v>
      </c>
      <c r="R1119" s="1" t="n">
        <v>0</v>
      </c>
      <c r="S1119" s="1" t="n">
        <v>0</v>
      </c>
      <c r="T1119" s="1" t="n">
        <v>0</v>
      </c>
      <c r="U1119" s="1" t="n">
        <v>0</v>
      </c>
      <c r="V1119" s="3" t="n">
        <f aca="false">SUM(P1119:Q1119)</f>
        <v>1</v>
      </c>
      <c r="W1119" s="3" t="n">
        <f aca="false">SUM(R1119:T1119)</f>
        <v>0</v>
      </c>
      <c r="X1119" s="10" t="n">
        <v>39970</v>
      </c>
      <c r="Y1119" s="10" t="n">
        <v>39975</v>
      </c>
    </row>
    <row r="1120" customFormat="false" ht="14.25" hidden="false" customHeight="false" outlineLevel="0" collapsed="false">
      <c r="A1120" s="1" t="n">
        <v>2009</v>
      </c>
      <c r="B1120" s="1" t="n">
        <v>1</v>
      </c>
      <c r="C1120" s="2" t="s">
        <v>25</v>
      </c>
      <c r="D1120" s="7" t="s">
        <v>101</v>
      </c>
      <c r="E1120" s="1" t="n">
        <v>3</v>
      </c>
      <c r="F1120" s="1" t="n">
        <f aca="false">Y1120-X1120</f>
        <v>5</v>
      </c>
      <c r="G1120" s="1" t="n">
        <v>5</v>
      </c>
      <c r="H1120" s="3" t="s">
        <v>32</v>
      </c>
      <c r="I1120" s="3" t="s">
        <v>33</v>
      </c>
      <c r="J1120" s="3" t="s">
        <v>60</v>
      </c>
      <c r="K1120" s="2" t="str">
        <f aca="false">CONCATENATE(I1120," ",J1120)</f>
        <v>Tenuiphantes tenebricola</v>
      </c>
      <c r="L1120" s="3" t="n">
        <f aca="false">SUM(P1120:U1120)</f>
        <v>1</v>
      </c>
      <c r="M1120" s="11" t="n">
        <f aca="false">(L1120/(F1120*G1120)*25)*4</f>
        <v>4</v>
      </c>
      <c r="N1120" s="1" t="s">
        <v>30</v>
      </c>
      <c r="O1120" s="1" t="s">
        <v>31</v>
      </c>
      <c r="P1120" s="1" t="n">
        <v>1</v>
      </c>
      <c r="Q1120" s="1" t="n">
        <v>0</v>
      </c>
      <c r="R1120" s="1" t="n">
        <v>0</v>
      </c>
      <c r="S1120" s="1" t="n">
        <v>0</v>
      </c>
      <c r="T1120" s="1" t="n">
        <v>0</v>
      </c>
      <c r="U1120" s="1" t="n">
        <v>0</v>
      </c>
      <c r="V1120" s="3" t="n">
        <f aca="false">SUM(P1120:Q1120)</f>
        <v>1</v>
      </c>
      <c r="W1120" s="3" t="n">
        <f aca="false">SUM(R1120:T1120)</f>
        <v>0</v>
      </c>
      <c r="X1120" s="10" t="n">
        <v>39970</v>
      </c>
      <c r="Y1120" s="10" t="n">
        <v>39975</v>
      </c>
    </row>
    <row r="1121" customFormat="false" ht="14.25" hidden="false" customHeight="false" outlineLevel="0" collapsed="false">
      <c r="A1121" s="1" t="n">
        <v>2009</v>
      </c>
      <c r="B1121" s="1" t="n">
        <v>1</v>
      </c>
      <c r="C1121" s="2" t="s">
        <v>25</v>
      </c>
      <c r="D1121" s="7" t="s">
        <v>101</v>
      </c>
      <c r="E1121" s="1" t="n">
        <v>3</v>
      </c>
      <c r="F1121" s="1" t="n">
        <f aca="false">Y1121-X1121</f>
        <v>5</v>
      </c>
      <c r="G1121" s="1" t="n">
        <v>5</v>
      </c>
      <c r="H1121" s="3" t="s">
        <v>48</v>
      </c>
      <c r="I1121" s="3" t="s">
        <v>49</v>
      </c>
      <c r="J1121" s="3" t="s">
        <v>104</v>
      </c>
      <c r="K1121" s="2" t="str">
        <f aca="false">CONCATENATE(I1121," ",J1121)</f>
        <v>Alopecosa taeniata</v>
      </c>
      <c r="L1121" s="3" t="n">
        <f aca="false">SUM(P1121:U1121)</f>
        <v>1</v>
      </c>
      <c r="M1121" s="11" t="n">
        <f aca="false">(L1121/(F1121*G1121)*25)*4</f>
        <v>4</v>
      </c>
      <c r="N1121" s="1" t="s">
        <v>30</v>
      </c>
      <c r="O1121" s="1" t="s">
        <v>31</v>
      </c>
      <c r="P1121" s="1" t="n">
        <v>1</v>
      </c>
      <c r="Q1121" s="1" t="n">
        <v>0</v>
      </c>
      <c r="R1121" s="1" t="n">
        <v>0</v>
      </c>
      <c r="S1121" s="1" t="n">
        <v>0</v>
      </c>
      <c r="T1121" s="1" t="n">
        <v>0</v>
      </c>
      <c r="U1121" s="1" t="n">
        <v>0</v>
      </c>
      <c r="V1121" s="3" t="n">
        <f aca="false">SUM(P1121:Q1121)</f>
        <v>1</v>
      </c>
      <c r="W1121" s="3" t="n">
        <f aca="false">SUM(R1121:T1121)</f>
        <v>0</v>
      </c>
      <c r="X1121" s="10" t="n">
        <v>39970</v>
      </c>
      <c r="Y1121" s="10" t="n">
        <v>39975</v>
      </c>
    </row>
    <row r="1122" customFormat="false" ht="14.25" hidden="false" customHeight="false" outlineLevel="0" collapsed="false">
      <c r="A1122" s="1" t="n">
        <v>2009</v>
      </c>
      <c r="B1122" s="1" t="n">
        <v>1</v>
      </c>
      <c r="C1122" s="2" t="s">
        <v>25</v>
      </c>
      <c r="D1122" s="7" t="s">
        <v>101</v>
      </c>
      <c r="E1122" s="1" t="n">
        <v>3</v>
      </c>
      <c r="F1122" s="1" t="n">
        <f aca="false">Y1122-X1122</f>
        <v>5</v>
      </c>
      <c r="G1122" s="1" t="n">
        <v>5</v>
      </c>
      <c r="H1122" s="3" t="s">
        <v>48</v>
      </c>
      <c r="I1122" s="3" t="s">
        <v>49</v>
      </c>
      <c r="J1122" s="3" t="s">
        <v>104</v>
      </c>
      <c r="K1122" s="2" t="str">
        <f aca="false">CONCATENATE(I1122," ",J1122)</f>
        <v>Alopecosa taeniata</v>
      </c>
      <c r="L1122" s="3" t="n">
        <f aca="false">SUM(P1122:U1122)</f>
        <v>1</v>
      </c>
      <c r="M1122" s="11" t="n">
        <f aca="false">(L1122/(F1122*G1122)*25)*4</f>
        <v>4</v>
      </c>
      <c r="N1122" s="1" t="s">
        <v>30</v>
      </c>
      <c r="O1122" s="1" t="s">
        <v>35</v>
      </c>
      <c r="P1122" s="1" t="n">
        <v>0</v>
      </c>
      <c r="Q1122" s="1" t="n">
        <v>1</v>
      </c>
      <c r="R1122" s="1" t="n">
        <v>0</v>
      </c>
      <c r="S1122" s="1" t="n">
        <v>0</v>
      </c>
      <c r="T1122" s="1" t="n">
        <v>0</v>
      </c>
      <c r="U1122" s="1" t="n">
        <v>0</v>
      </c>
      <c r="V1122" s="3" t="n">
        <f aca="false">SUM(P1122:Q1122)</f>
        <v>1</v>
      </c>
      <c r="W1122" s="3" t="n">
        <f aca="false">SUM(R1122:T1122)</f>
        <v>0</v>
      </c>
      <c r="X1122" s="10" t="n">
        <v>39970</v>
      </c>
      <c r="Y1122" s="10" t="n">
        <v>39975</v>
      </c>
    </row>
    <row r="1123" customFormat="false" ht="14.25" hidden="false" customHeight="false" outlineLevel="0" collapsed="false">
      <c r="A1123" s="1" t="n">
        <v>2009</v>
      </c>
      <c r="B1123" s="1" t="n">
        <v>1</v>
      </c>
      <c r="C1123" s="2" t="s">
        <v>25</v>
      </c>
      <c r="D1123" s="7" t="s">
        <v>101</v>
      </c>
      <c r="E1123" s="1" t="n">
        <v>3</v>
      </c>
      <c r="F1123" s="1" t="n">
        <f aca="false">Y1123-X1123</f>
        <v>5</v>
      </c>
      <c r="G1123" s="1" t="n">
        <v>5</v>
      </c>
      <c r="H1123" s="3" t="s">
        <v>48</v>
      </c>
      <c r="I1123" s="3" t="s">
        <v>49</v>
      </c>
      <c r="J1123" s="3" t="s">
        <v>130</v>
      </c>
      <c r="K1123" s="2" t="str">
        <f aca="false">CONCATENATE(I1123," ",J1123)</f>
        <v>Alopecosa aculeata</v>
      </c>
      <c r="L1123" s="3" t="n">
        <f aca="false">SUM(P1123:U1123)</f>
        <v>1</v>
      </c>
      <c r="M1123" s="11" t="n">
        <f aca="false">(L1123/(F1123*G1123)*25)*4</f>
        <v>4</v>
      </c>
      <c r="N1123" s="1" t="s">
        <v>30</v>
      </c>
      <c r="O1123" s="1" t="s">
        <v>35</v>
      </c>
      <c r="P1123" s="1" t="n">
        <v>0</v>
      </c>
      <c r="Q1123" s="1" t="n">
        <v>1</v>
      </c>
      <c r="R1123" s="1" t="n">
        <v>0</v>
      </c>
      <c r="S1123" s="1" t="n">
        <v>0</v>
      </c>
      <c r="T1123" s="1" t="n">
        <v>0</v>
      </c>
      <c r="U1123" s="1" t="n">
        <v>0</v>
      </c>
      <c r="V1123" s="3" t="n">
        <f aca="false">SUM(P1123:Q1123)</f>
        <v>1</v>
      </c>
      <c r="W1123" s="3" t="n">
        <f aca="false">SUM(R1123:T1123)</f>
        <v>0</v>
      </c>
      <c r="X1123" s="10" t="n">
        <v>39970</v>
      </c>
      <c r="Y1123" s="10" t="n">
        <v>39975</v>
      </c>
    </row>
    <row r="1124" customFormat="false" ht="14.25" hidden="false" customHeight="false" outlineLevel="0" collapsed="false">
      <c r="A1124" s="1" t="n">
        <v>2009</v>
      </c>
      <c r="B1124" s="1" t="n">
        <v>1</v>
      </c>
      <c r="C1124" s="2" t="s">
        <v>25</v>
      </c>
      <c r="D1124" s="7" t="s">
        <v>101</v>
      </c>
      <c r="E1124" s="1" t="n">
        <v>3</v>
      </c>
      <c r="F1124" s="1" t="n">
        <f aca="false">Y1124-X1124</f>
        <v>5</v>
      </c>
      <c r="G1124" s="1" t="n">
        <v>5</v>
      </c>
      <c r="H1124" s="3" t="s">
        <v>48</v>
      </c>
      <c r="I1124" s="3" t="s">
        <v>67</v>
      </c>
      <c r="J1124" s="3" t="s">
        <v>127</v>
      </c>
      <c r="K1124" s="2" t="str">
        <f aca="false">CONCATENATE(I1124," ",J1124)</f>
        <v>Pardosa lugubris</v>
      </c>
      <c r="L1124" s="3" t="n">
        <f aca="false">SUM(P1124:U1124)</f>
        <v>2</v>
      </c>
      <c r="M1124" s="11" t="n">
        <f aca="false">(L1124/(F1124*G1124)*25)*4</f>
        <v>8</v>
      </c>
      <c r="N1124" s="1" t="s">
        <v>30</v>
      </c>
      <c r="O1124" s="1" t="s">
        <v>31</v>
      </c>
      <c r="P1124" s="1" t="n">
        <v>2</v>
      </c>
      <c r="Q1124" s="1" t="n">
        <v>0</v>
      </c>
      <c r="R1124" s="1" t="n">
        <v>0</v>
      </c>
      <c r="S1124" s="1" t="n">
        <v>0</v>
      </c>
      <c r="T1124" s="1" t="n">
        <v>0</v>
      </c>
      <c r="U1124" s="1" t="n">
        <v>0</v>
      </c>
      <c r="V1124" s="3" t="n">
        <f aca="false">SUM(P1124:Q1124)</f>
        <v>2</v>
      </c>
      <c r="W1124" s="3" t="n">
        <f aca="false">SUM(R1124:T1124)</f>
        <v>0</v>
      </c>
      <c r="X1124" s="10" t="n">
        <v>39970</v>
      </c>
      <c r="Y1124" s="10" t="n">
        <v>39975</v>
      </c>
    </row>
    <row r="1125" customFormat="false" ht="14.25" hidden="false" customHeight="false" outlineLevel="0" collapsed="false">
      <c r="A1125" s="1" t="n">
        <v>2009</v>
      </c>
      <c r="B1125" s="1" t="n">
        <v>1</v>
      </c>
      <c r="C1125" s="2" t="s">
        <v>25</v>
      </c>
      <c r="D1125" s="7" t="s">
        <v>101</v>
      </c>
      <c r="E1125" s="1" t="n">
        <v>3</v>
      </c>
      <c r="F1125" s="1" t="n">
        <f aca="false">Y1125-X1125</f>
        <v>5</v>
      </c>
      <c r="G1125" s="1" t="n">
        <v>5</v>
      </c>
      <c r="H1125" s="3" t="s">
        <v>36</v>
      </c>
      <c r="I1125" s="3" t="s">
        <v>37</v>
      </c>
      <c r="J1125" s="8" t="s">
        <v>75</v>
      </c>
      <c r="K1125" s="2" t="str">
        <f aca="false">CONCATENATE(I1125," ",J1125)</f>
        <v>Ozyptila praticola</v>
      </c>
      <c r="L1125" s="3" t="n">
        <f aca="false">SUM(P1125:U1125)</f>
        <v>1</v>
      </c>
      <c r="M1125" s="11" t="n">
        <f aca="false">(L1125/(F1125*G1125)*25)*4</f>
        <v>4</v>
      </c>
      <c r="N1125" s="1" t="s">
        <v>30</v>
      </c>
      <c r="O1125" s="1" t="s">
        <v>31</v>
      </c>
      <c r="P1125" s="1" t="n">
        <v>1</v>
      </c>
      <c r="Q1125" s="1" t="n">
        <v>0</v>
      </c>
      <c r="R1125" s="1" t="n">
        <v>0</v>
      </c>
      <c r="S1125" s="1" t="n">
        <v>0</v>
      </c>
      <c r="T1125" s="1" t="n">
        <v>0</v>
      </c>
      <c r="U1125" s="1" t="n">
        <v>0</v>
      </c>
      <c r="V1125" s="3" t="n">
        <f aca="false">SUM(P1125:Q1125)</f>
        <v>1</v>
      </c>
      <c r="W1125" s="3" t="n">
        <f aca="false">SUM(R1125:T1125)</f>
        <v>0</v>
      </c>
      <c r="X1125" s="10" t="n">
        <v>39970</v>
      </c>
      <c r="Y1125" s="10" t="n">
        <v>39975</v>
      </c>
    </row>
    <row r="1126" customFormat="false" ht="14.25" hidden="false" customHeight="false" outlineLevel="0" collapsed="false">
      <c r="A1126" s="1" t="n">
        <v>2009</v>
      </c>
      <c r="B1126" s="1" t="n">
        <v>1</v>
      </c>
      <c r="C1126" s="2" t="s">
        <v>25</v>
      </c>
      <c r="D1126" s="7" t="s">
        <v>101</v>
      </c>
      <c r="E1126" s="1" t="n">
        <v>3</v>
      </c>
      <c r="F1126" s="1" t="n">
        <f aca="false">Y1126-X1126</f>
        <v>5</v>
      </c>
      <c r="G1126" s="1" t="n">
        <v>5</v>
      </c>
      <c r="H1126" s="3" t="s">
        <v>36</v>
      </c>
      <c r="I1126" s="3" t="s">
        <v>131</v>
      </c>
      <c r="J1126" s="3" t="s">
        <v>133</v>
      </c>
      <c r="K1126" s="2" t="str">
        <f aca="false">CONCATENATE(I1126," ",J1126)</f>
        <v>Xysticus luctuosus</v>
      </c>
      <c r="L1126" s="3" t="n">
        <f aca="false">SUM(P1126:U1126)</f>
        <v>1</v>
      </c>
      <c r="M1126" s="11" t="n">
        <f aca="false">(L1126/(F1126*G1126)*25)*4</f>
        <v>4</v>
      </c>
      <c r="N1126" s="1" t="s">
        <v>30</v>
      </c>
      <c r="O1126" s="1" t="s">
        <v>31</v>
      </c>
      <c r="P1126" s="1" t="n">
        <v>1</v>
      </c>
      <c r="Q1126" s="1" t="n">
        <v>0</v>
      </c>
      <c r="R1126" s="1" t="n">
        <v>0</v>
      </c>
      <c r="S1126" s="1" t="n">
        <v>0</v>
      </c>
      <c r="T1126" s="1" t="n">
        <v>0</v>
      </c>
      <c r="U1126" s="1" t="n">
        <v>0</v>
      </c>
      <c r="V1126" s="3" t="n">
        <f aca="false">SUM(P1126:Q1126)</f>
        <v>1</v>
      </c>
      <c r="W1126" s="3" t="n">
        <f aca="false">SUM(R1126:T1126)</f>
        <v>0</v>
      </c>
      <c r="X1126" s="10" t="n">
        <v>39970</v>
      </c>
      <c r="Y1126" s="10" t="n">
        <v>39975</v>
      </c>
    </row>
    <row r="1127" customFormat="false" ht="14.25" hidden="false" customHeight="false" outlineLevel="0" collapsed="false">
      <c r="A1127" s="1" t="n">
        <v>2009</v>
      </c>
      <c r="B1127" s="1" t="n">
        <v>1</v>
      </c>
      <c r="C1127" s="2" t="s">
        <v>25</v>
      </c>
      <c r="D1127" s="7" t="s">
        <v>101</v>
      </c>
      <c r="E1127" s="1" t="n">
        <v>3</v>
      </c>
      <c r="F1127" s="1" t="n">
        <f aca="false">Y1127-X1127</f>
        <v>5</v>
      </c>
      <c r="G1127" s="1" t="n">
        <v>5</v>
      </c>
      <c r="H1127" s="3" t="s">
        <v>41</v>
      </c>
      <c r="I1127" s="3" t="s">
        <v>42</v>
      </c>
      <c r="J1127" s="3" t="s">
        <v>198</v>
      </c>
      <c r="K1127" s="2" t="str">
        <f aca="false">CONCATENATE(I1127," ",J1127)</f>
        <v>Agroeca brunnea</v>
      </c>
      <c r="L1127" s="3" t="n">
        <f aca="false">SUM(P1127:U1127)</f>
        <v>1</v>
      </c>
      <c r="M1127" s="11" t="n">
        <f aca="false">(L1127/(F1127*G1127)*25)*4</f>
        <v>4</v>
      </c>
      <c r="N1127" s="1" t="s">
        <v>30</v>
      </c>
      <c r="O1127" s="1" t="s">
        <v>35</v>
      </c>
      <c r="P1127" s="1" t="n">
        <v>0</v>
      </c>
      <c r="Q1127" s="1" t="n">
        <v>1</v>
      </c>
      <c r="R1127" s="1" t="n">
        <v>0</v>
      </c>
      <c r="S1127" s="1" t="n">
        <v>0</v>
      </c>
      <c r="T1127" s="1" t="n">
        <v>0</v>
      </c>
      <c r="U1127" s="1" t="n">
        <v>0</v>
      </c>
      <c r="V1127" s="3" t="n">
        <f aca="false">SUM(P1127:Q1127)</f>
        <v>1</v>
      </c>
      <c r="W1127" s="3" t="n">
        <f aca="false">SUM(R1127:T1127)</f>
        <v>0</v>
      </c>
      <c r="X1127" s="10" t="n">
        <v>39970</v>
      </c>
      <c r="Y1127" s="10" t="n">
        <v>39975</v>
      </c>
    </row>
    <row r="1128" customFormat="false" ht="14.25" hidden="false" customHeight="false" outlineLevel="0" collapsed="false">
      <c r="A1128" s="1" t="n">
        <v>2009</v>
      </c>
      <c r="B1128" s="1" t="n">
        <v>1</v>
      </c>
      <c r="C1128" s="2" t="s">
        <v>25</v>
      </c>
      <c r="D1128" s="7" t="s">
        <v>101</v>
      </c>
      <c r="E1128" s="1" t="n">
        <v>3</v>
      </c>
      <c r="F1128" s="1" t="n">
        <f aca="false">Y1128-X1128</f>
        <v>5</v>
      </c>
      <c r="G1128" s="1" t="n">
        <v>5</v>
      </c>
      <c r="H1128" s="3" t="s">
        <v>32</v>
      </c>
      <c r="I1128" s="3" t="s">
        <v>90</v>
      </c>
      <c r="J1128" s="3" t="s">
        <v>91</v>
      </c>
      <c r="K1128" s="2" t="str">
        <f aca="false">CONCATENATE(I1128," ",J1128)</f>
        <v>Tapinocyba insecta</v>
      </c>
      <c r="L1128" s="3" t="n">
        <f aca="false">SUM(P1128:U1128)</f>
        <v>2</v>
      </c>
      <c r="M1128" s="11" t="n">
        <f aca="false">(L1128/(F1128*G1128)*25)*4</f>
        <v>8</v>
      </c>
      <c r="N1128" s="1" t="s">
        <v>30</v>
      </c>
      <c r="O1128" s="1" t="s">
        <v>31</v>
      </c>
      <c r="P1128" s="1" t="n">
        <v>2</v>
      </c>
      <c r="Q1128" s="1" t="n">
        <v>0</v>
      </c>
      <c r="R1128" s="1" t="n">
        <v>0</v>
      </c>
      <c r="S1128" s="1" t="n">
        <v>0</v>
      </c>
      <c r="T1128" s="1" t="n">
        <v>0</v>
      </c>
      <c r="U1128" s="1" t="n">
        <v>0</v>
      </c>
      <c r="V1128" s="3" t="n">
        <f aca="false">SUM(P1128:Q1128)</f>
        <v>2</v>
      </c>
      <c r="W1128" s="3" t="n">
        <f aca="false">SUM(R1128:T1128)</f>
        <v>0</v>
      </c>
      <c r="X1128" s="10" t="n">
        <v>39970</v>
      </c>
      <c r="Y1128" s="10" t="n">
        <v>39975</v>
      </c>
    </row>
    <row r="1129" customFormat="false" ht="14.25" hidden="false" customHeight="false" outlineLevel="0" collapsed="false">
      <c r="A1129" s="1" t="n">
        <v>2009</v>
      </c>
      <c r="B1129" s="1" t="n">
        <v>1</v>
      </c>
      <c r="C1129" s="2" t="s">
        <v>25</v>
      </c>
      <c r="D1129" s="7" t="s">
        <v>101</v>
      </c>
      <c r="E1129" s="1" t="n">
        <v>3</v>
      </c>
      <c r="F1129" s="1" t="n">
        <f aca="false">Y1129-X1129</f>
        <v>5</v>
      </c>
      <c r="G1129" s="1" t="n">
        <v>5</v>
      </c>
      <c r="H1129" s="3" t="s">
        <v>32</v>
      </c>
      <c r="I1129" s="3" t="s">
        <v>57</v>
      </c>
      <c r="J1129" s="3" t="s">
        <v>38</v>
      </c>
      <c r="K1129" s="2" t="str">
        <f aca="false">CONCATENATE(I1129," ",J1129)</f>
        <v>Gen sp</v>
      </c>
      <c r="L1129" s="3" t="n">
        <f aca="false">SUM(P1129:U1129)</f>
        <v>1</v>
      </c>
      <c r="M1129" s="11" t="n">
        <f aca="false">(L1129/(F1129*G1129)*25)*4</f>
        <v>4</v>
      </c>
      <c r="N1129" s="1" t="s">
        <v>19</v>
      </c>
      <c r="O1129" s="1" t="s">
        <v>54</v>
      </c>
      <c r="P1129" s="1" t="n">
        <v>0</v>
      </c>
      <c r="Q1129" s="1" t="n">
        <v>0</v>
      </c>
      <c r="R1129" s="1" t="n">
        <v>0</v>
      </c>
      <c r="S1129" s="1" t="n">
        <v>0</v>
      </c>
      <c r="T1129" s="1" t="n">
        <v>1</v>
      </c>
      <c r="U1129" s="1" t="n">
        <v>0</v>
      </c>
      <c r="V1129" s="3" t="n">
        <f aca="false">SUM(P1129:Q1129)</f>
        <v>0</v>
      </c>
      <c r="W1129" s="3" t="n">
        <f aca="false">SUM(R1129:T1129)</f>
        <v>1</v>
      </c>
      <c r="X1129" s="10" t="n">
        <v>39970</v>
      </c>
      <c r="Y1129" s="10" t="n">
        <v>39975</v>
      </c>
    </row>
    <row r="1130" customFormat="false" ht="14.25" hidden="false" customHeight="false" outlineLevel="0" collapsed="false">
      <c r="A1130" s="1" t="n">
        <v>2009</v>
      </c>
      <c r="B1130" s="1" t="n">
        <v>1</v>
      </c>
      <c r="C1130" s="2" t="s">
        <v>25</v>
      </c>
      <c r="D1130" s="7" t="s">
        <v>101</v>
      </c>
      <c r="E1130" s="1" t="n">
        <v>3</v>
      </c>
      <c r="F1130" s="1" t="n">
        <f aca="false">Y1130-X1130</f>
        <v>5</v>
      </c>
      <c r="G1130" s="1" t="n">
        <v>5</v>
      </c>
      <c r="H1130" s="3" t="s">
        <v>48</v>
      </c>
      <c r="I1130" s="3" t="s">
        <v>49</v>
      </c>
      <c r="J1130" s="3" t="s">
        <v>104</v>
      </c>
      <c r="K1130" s="2" t="str">
        <f aca="false">CONCATENATE(I1130," ",J1130)</f>
        <v>Alopecosa taeniata</v>
      </c>
      <c r="L1130" s="3" t="n">
        <f aca="false">SUM(P1130:U1130)</f>
        <v>8</v>
      </c>
      <c r="M1130" s="11" t="n">
        <f aca="false">(L1130/(F1130*G1130)*25)*4</f>
        <v>32</v>
      </c>
      <c r="N1130" s="1" t="s">
        <v>30</v>
      </c>
      <c r="O1130" s="1" t="s">
        <v>31</v>
      </c>
      <c r="P1130" s="1" t="n">
        <v>8</v>
      </c>
      <c r="Q1130" s="1" t="n">
        <v>0</v>
      </c>
      <c r="R1130" s="1" t="n">
        <v>0</v>
      </c>
      <c r="S1130" s="1" t="n">
        <v>0</v>
      </c>
      <c r="T1130" s="1" t="n">
        <v>0</v>
      </c>
      <c r="U1130" s="1" t="n">
        <v>0</v>
      </c>
      <c r="V1130" s="3" t="n">
        <f aca="false">SUM(P1130:Q1130)</f>
        <v>8</v>
      </c>
      <c r="W1130" s="3" t="n">
        <f aca="false">SUM(R1130:T1130)</f>
        <v>0</v>
      </c>
      <c r="X1130" s="10" t="n">
        <v>39970</v>
      </c>
      <c r="Y1130" s="10" t="n">
        <v>39975</v>
      </c>
    </row>
    <row r="1131" customFormat="false" ht="14.25" hidden="false" customHeight="false" outlineLevel="0" collapsed="false">
      <c r="A1131" s="1" t="n">
        <v>2009</v>
      </c>
      <c r="B1131" s="1" t="n">
        <v>1</v>
      </c>
      <c r="C1131" s="2" t="s">
        <v>25</v>
      </c>
      <c r="D1131" s="7" t="s">
        <v>101</v>
      </c>
      <c r="E1131" s="1" t="n">
        <v>3</v>
      </c>
      <c r="F1131" s="1" t="n">
        <f aca="false">Y1131-X1131</f>
        <v>5</v>
      </c>
      <c r="G1131" s="1" t="n">
        <v>5</v>
      </c>
      <c r="H1131" s="13" t="s">
        <v>32</v>
      </c>
      <c r="I1131" s="13" t="s">
        <v>96</v>
      </c>
      <c r="J1131" s="14" t="s">
        <v>97</v>
      </c>
      <c r="K1131" s="2" t="str">
        <f aca="false">CONCATENATE(I1131," ",J1131)</f>
        <v>Diplocephalus picinus</v>
      </c>
      <c r="L1131" s="3" t="n">
        <f aca="false">SUM(P1131:U1131)</f>
        <v>5</v>
      </c>
      <c r="M1131" s="11" t="n">
        <f aca="false">(L1131/(F1131*G1131)*25)*4</f>
        <v>20</v>
      </c>
      <c r="N1131" s="1" t="s">
        <v>30</v>
      </c>
      <c r="O1131" s="1" t="s">
        <v>31</v>
      </c>
      <c r="P1131" s="1" t="n">
        <v>5</v>
      </c>
      <c r="Q1131" s="1" t="n">
        <v>0</v>
      </c>
      <c r="R1131" s="1" t="n">
        <v>0</v>
      </c>
      <c r="S1131" s="1" t="n">
        <v>0</v>
      </c>
      <c r="T1131" s="1" t="n">
        <v>0</v>
      </c>
      <c r="U1131" s="1" t="n">
        <v>0</v>
      </c>
      <c r="V1131" s="3" t="n">
        <f aca="false">SUM(P1131:Q1131)</f>
        <v>5</v>
      </c>
      <c r="W1131" s="3" t="n">
        <f aca="false">SUM(R1131:T1131)</f>
        <v>0</v>
      </c>
      <c r="X1131" s="10" t="n">
        <v>39970</v>
      </c>
      <c r="Y1131" s="10" t="n">
        <v>39975</v>
      </c>
    </row>
    <row r="1132" customFormat="false" ht="14.25" hidden="false" customHeight="false" outlineLevel="0" collapsed="false">
      <c r="A1132" s="1" t="n">
        <v>2009</v>
      </c>
      <c r="B1132" s="1" t="n">
        <v>1</v>
      </c>
      <c r="C1132" s="2" t="s">
        <v>25</v>
      </c>
      <c r="D1132" s="7" t="s">
        <v>101</v>
      </c>
      <c r="E1132" s="1" t="n">
        <v>3</v>
      </c>
      <c r="F1132" s="1" t="n">
        <f aca="false">Y1132-X1132</f>
        <v>5</v>
      </c>
      <c r="G1132" s="1" t="n">
        <v>5</v>
      </c>
      <c r="H1132" s="3" t="s">
        <v>48</v>
      </c>
      <c r="I1132" s="3" t="s">
        <v>49</v>
      </c>
      <c r="J1132" s="3" t="s">
        <v>104</v>
      </c>
      <c r="K1132" s="2" t="str">
        <f aca="false">CONCATENATE(I1132," ",J1132)</f>
        <v>Alopecosa taeniata</v>
      </c>
      <c r="L1132" s="3" t="n">
        <f aca="false">SUM(P1132:U1132)</f>
        <v>3</v>
      </c>
      <c r="M1132" s="11" t="n">
        <f aca="false">(L1132/(F1132*G1132)*25)*4</f>
        <v>12</v>
      </c>
      <c r="N1132" s="1" t="s">
        <v>30</v>
      </c>
      <c r="O1132" s="1" t="s">
        <v>31</v>
      </c>
      <c r="P1132" s="1" t="n">
        <v>3</v>
      </c>
      <c r="Q1132" s="1" t="n">
        <v>0</v>
      </c>
      <c r="R1132" s="1" t="n">
        <v>0</v>
      </c>
      <c r="S1132" s="1" t="n">
        <v>0</v>
      </c>
      <c r="T1132" s="1" t="n">
        <v>0</v>
      </c>
      <c r="U1132" s="1" t="n">
        <v>0</v>
      </c>
      <c r="V1132" s="3" t="n">
        <f aca="false">SUM(P1132:Q1132)</f>
        <v>3</v>
      </c>
      <c r="W1132" s="3" t="n">
        <f aca="false">SUM(R1132:T1132)</f>
        <v>0</v>
      </c>
      <c r="X1132" s="10" t="n">
        <v>39970</v>
      </c>
      <c r="Y1132" s="10" t="n">
        <v>39975</v>
      </c>
    </row>
    <row r="1133" customFormat="false" ht="14.25" hidden="false" customHeight="false" outlineLevel="0" collapsed="false">
      <c r="A1133" s="1" t="n">
        <v>2009</v>
      </c>
      <c r="B1133" s="1" t="n">
        <v>1</v>
      </c>
      <c r="C1133" s="2" t="s">
        <v>25</v>
      </c>
      <c r="D1133" s="7" t="s">
        <v>101</v>
      </c>
      <c r="E1133" s="1" t="n">
        <v>3</v>
      </c>
      <c r="F1133" s="1" t="n">
        <f aca="false">Y1133-X1133</f>
        <v>5</v>
      </c>
      <c r="G1133" s="1" t="n">
        <v>5</v>
      </c>
      <c r="H1133" s="3" t="s">
        <v>48</v>
      </c>
      <c r="I1133" s="3" t="s">
        <v>49</v>
      </c>
      <c r="J1133" s="3" t="s">
        <v>104</v>
      </c>
      <c r="K1133" s="2" t="str">
        <f aca="false">CONCATENATE(I1133," ",J1133)</f>
        <v>Alopecosa taeniata</v>
      </c>
      <c r="L1133" s="3" t="n">
        <f aca="false">SUM(P1133:U1133)</f>
        <v>1</v>
      </c>
      <c r="M1133" s="11" t="n">
        <f aca="false">(L1133/(F1133*G1133)*25)*4</f>
        <v>4</v>
      </c>
      <c r="N1133" s="1" t="s">
        <v>30</v>
      </c>
      <c r="O1133" s="1" t="s">
        <v>35</v>
      </c>
      <c r="P1133" s="1" t="n">
        <v>0</v>
      </c>
      <c r="Q1133" s="1" t="n">
        <v>1</v>
      </c>
      <c r="R1133" s="1" t="n">
        <v>0</v>
      </c>
      <c r="S1133" s="1" t="n">
        <v>0</v>
      </c>
      <c r="T1133" s="1" t="n">
        <v>0</v>
      </c>
      <c r="U1133" s="1" t="n">
        <v>0</v>
      </c>
      <c r="V1133" s="3" t="n">
        <f aca="false">SUM(P1133:Q1133)</f>
        <v>1</v>
      </c>
      <c r="W1133" s="3" t="n">
        <f aca="false">SUM(R1133:T1133)</f>
        <v>0</v>
      </c>
      <c r="X1133" s="10" t="n">
        <v>39970</v>
      </c>
      <c r="Y1133" s="10" t="n">
        <v>39975</v>
      </c>
    </row>
    <row r="1134" customFormat="false" ht="14.25" hidden="false" customHeight="false" outlineLevel="0" collapsed="false">
      <c r="A1134" s="1" t="n">
        <v>2009</v>
      </c>
      <c r="B1134" s="1" t="n">
        <v>1</v>
      </c>
      <c r="C1134" s="2" t="s">
        <v>25</v>
      </c>
      <c r="D1134" s="7" t="s">
        <v>101</v>
      </c>
      <c r="E1134" s="1" t="n">
        <v>3</v>
      </c>
      <c r="F1134" s="1" t="n">
        <f aca="false">Y1134-X1134</f>
        <v>5</v>
      </c>
      <c r="G1134" s="1" t="n">
        <v>5</v>
      </c>
      <c r="H1134" s="3" t="s">
        <v>48</v>
      </c>
      <c r="I1134" s="3" t="s">
        <v>67</v>
      </c>
      <c r="J1134" s="3" t="s">
        <v>127</v>
      </c>
      <c r="K1134" s="2" t="str">
        <f aca="false">CONCATENATE(I1134," ",J1134)</f>
        <v>Pardosa lugubris</v>
      </c>
      <c r="L1134" s="3" t="n">
        <f aca="false">SUM(P1134:U1134)</f>
        <v>2</v>
      </c>
      <c r="M1134" s="11" t="n">
        <f aca="false">(L1134/(F1134*G1134)*25)*4</f>
        <v>8</v>
      </c>
      <c r="N1134" s="1" t="s">
        <v>30</v>
      </c>
      <c r="O1134" s="1" t="s">
        <v>31</v>
      </c>
      <c r="P1134" s="1" t="n">
        <v>2</v>
      </c>
      <c r="Q1134" s="1" t="n">
        <v>0</v>
      </c>
      <c r="R1134" s="1" t="n">
        <v>0</v>
      </c>
      <c r="S1134" s="1" t="n">
        <v>0</v>
      </c>
      <c r="T1134" s="1" t="n">
        <v>0</v>
      </c>
      <c r="U1134" s="1" t="n">
        <v>0</v>
      </c>
      <c r="V1134" s="3" t="n">
        <f aca="false">SUM(P1134:Q1134)</f>
        <v>2</v>
      </c>
      <c r="W1134" s="3" t="n">
        <f aca="false">SUM(R1134:T1134)</f>
        <v>0</v>
      </c>
      <c r="X1134" s="10" t="n">
        <v>39970</v>
      </c>
      <c r="Y1134" s="10" t="n">
        <v>39975</v>
      </c>
    </row>
    <row r="1135" customFormat="false" ht="14.25" hidden="false" customHeight="false" outlineLevel="0" collapsed="false">
      <c r="A1135" s="1" t="n">
        <v>2009</v>
      </c>
      <c r="B1135" s="1" t="n">
        <v>1</v>
      </c>
      <c r="C1135" s="2" t="s">
        <v>25</v>
      </c>
      <c r="D1135" s="7" t="s">
        <v>101</v>
      </c>
      <c r="E1135" s="1" t="n">
        <v>3</v>
      </c>
      <c r="F1135" s="1" t="n">
        <f aca="false">Y1135-X1135</f>
        <v>5</v>
      </c>
      <c r="G1135" s="1" t="n">
        <v>5</v>
      </c>
      <c r="H1135" s="3" t="s">
        <v>48</v>
      </c>
      <c r="I1135" s="3" t="s">
        <v>61</v>
      </c>
      <c r="J1135" s="3" t="s">
        <v>38</v>
      </c>
      <c r="K1135" s="2" t="str">
        <f aca="false">CONCATENATE(I1135," ",J1135)</f>
        <v>Trochosa sp</v>
      </c>
      <c r="L1135" s="3" t="n">
        <f aca="false">SUM(P1135:U1135)</f>
        <v>1</v>
      </c>
      <c r="M1135" s="11" t="n">
        <f aca="false">(L1135/(F1135*G1135)*25)*4</f>
        <v>4</v>
      </c>
      <c r="N1135" s="1" t="s">
        <v>19</v>
      </c>
      <c r="O1135" s="1" t="s">
        <v>54</v>
      </c>
      <c r="P1135" s="1" t="n">
        <v>0</v>
      </c>
      <c r="Q1135" s="1" t="n">
        <v>0</v>
      </c>
      <c r="R1135" s="1" t="n">
        <v>0</v>
      </c>
      <c r="S1135" s="1" t="n">
        <v>0</v>
      </c>
      <c r="T1135" s="1" t="n">
        <v>1</v>
      </c>
      <c r="U1135" s="1" t="n">
        <v>0</v>
      </c>
      <c r="V1135" s="3" t="n">
        <f aca="false">SUM(P1135:Q1135)</f>
        <v>0</v>
      </c>
      <c r="W1135" s="3" t="n">
        <f aca="false">SUM(R1135:T1135)</f>
        <v>1</v>
      </c>
      <c r="X1135" s="10" t="n">
        <v>39970</v>
      </c>
      <c r="Y1135" s="10" t="n">
        <v>39975</v>
      </c>
    </row>
    <row r="1136" customFormat="false" ht="14.25" hidden="false" customHeight="false" outlineLevel="0" collapsed="false">
      <c r="A1136" s="1" t="n">
        <v>2009</v>
      </c>
      <c r="B1136" s="1" t="n">
        <v>1</v>
      </c>
      <c r="C1136" s="2" t="s">
        <v>25</v>
      </c>
      <c r="D1136" s="7" t="s">
        <v>101</v>
      </c>
      <c r="E1136" s="1" t="n">
        <v>3</v>
      </c>
      <c r="F1136" s="1" t="n">
        <f aca="false">Y1136-X1136</f>
        <v>5</v>
      </c>
      <c r="G1136" s="1" t="n">
        <v>5</v>
      </c>
      <c r="H1136" s="3" t="s">
        <v>36</v>
      </c>
      <c r="I1136" s="3" t="s">
        <v>131</v>
      </c>
      <c r="J1136" s="3" t="s">
        <v>133</v>
      </c>
      <c r="K1136" s="2" t="str">
        <f aca="false">CONCATENATE(I1136," ",J1136)</f>
        <v>Xysticus luctuosus</v>
      </c>
      <c r="L1136" s="3" t="n">
        <f aca="false">SUM(P1136:U1136)</f>
        <v>2</v>
      </c>
      <c r="M1136" s="11" t="n">
        <f aca="false">(L1136/(F1136*G1136)*25)*4</f>
        <v>8</v>
      </c>
      <c r="N1136" s="1" t="s">
        <v>30</v>
      </c>
      <c r="O1136" s="1" t="s">
        <v>31</v>
      </c>
      <c r="P1136" s="1" t="n">
        <v>2</v>
      </c>
      <c r="Q1136" s="1" t="n">
        <v>0</v>
      </c>
      <c r="R1136" s="1" t="n">
        <v>0</v>
      </c>
      <c r="S1136" s="1" t="n">
        <v>0</v>
      </c>
      <c r="T1136" s="1" t="n">
        <v>0</v>
      </c>
      <c r="U1136" s="1" t="n">
        <v>0</v>
      </c>
      <c r="V1136" s="3" t="n">
        <f aca="false">SUM(P1136:Q1136)</f>
        <v>2</v>
      </c>
      <c r="W1136" s="3" t="n">
        <f aca="false">SUM(R1136:T1136)</f>
        <v>0</v>
      </c>
      <c r="X1136" s="10" t="n">
        <v>39970</v>
      </c>
      <c r="Y1136" s="10" t="n">
        <v>39975</v>
      </c>
    </row>
    <row r="1137" customFormat="false" ht="14.25" hidden="false" customHeight="false" outlineLevel="0" collapsed="false">
      <c r="A1137" s="1" t="n">
        <v>2009</v>
      </c>
      <c r="B1137" s="1" t="n">
        <v>1</v>
      </c>
      <c r="C1137" s="2" t="s">
        <v>25</v>
      </c>
      <c r="D1137" s="7" t="s">
        <v>101</v>
      </c>
      <c r="E1137" s="1" t="n">
        <v>3</v>
      </c>
      <c r="F1137" s="1" t="n">
        <f aca="false">Y1137-X1137</f>
        <v>5</v>
      </c>
      <c r="G1137" s="1" t="n">
        <v>5</v>
      </c>
      <c r="H1137" s="3" t="s">
        <v>41</v>
      </c>
      <c r="I1137" s="3" t="s">
        <v>42</v>
      </c>
      <c r="J1137" s="3" t="s">
        <v>198</v>
      </c>
      <c r="K1137" s="2" t="str">
        <f aca="false">CONCATENATE(I1137," ",J1137)</f>
        <v>Agroeca brunnea</v>
      </c>
      <c r="L1137" s="3" t="n">
        <f aca="false">SUM(P1137:U1137)</f>
        <v>1</v>
      </c>
      <c r="M1137" s="11" t="n">
        <f aca="false">(L1137/(F1137*G1137)*25)*4</f>
        <v>4</v>
      </c>
      <c r="N1137" s="1" t="s">
        <v>30</v>
      </c>
      <c r="O1137" s="1" t="s">
        <v>35</v>
      </c>
      <c r="P1137" s="1" t="n">
        <v>0</v>
      </c>
      <c r="Q1137" s="1" t="n">
        <v>1</v>
      </c>
      <c r="R1137" s="1" t="n">
        <v>0</v>
      </c>
      <c r="S1137" s="1" t="n">
        <v>0</v>
      </c>
      <c r="T1137" s="1" t="n">
        <v>0</v>
      </c>
      <c r="U1137" s="1" t="n">
        <v>0</v>
      </c>
      <c r="V1137" s="3" t="n">
        <f aca="false">SUM(P1137:Q1137)</f>
        <v>1</v>
      </c>
      <c r="W1137" s="3" t="n">
        <f aca="false">SUM(R1137:T1137)</f>
        <v>0</v>
      </c>
      <c r="X1137" s="10" t="n">
        <v>39970</v>
      </c>
      <c r="Y1137" s="10" t="n">
        <v>39975</v>
      </c>
    </row>
    <row r="1138" customFormat="false" ht="14.25" hidden="false" customHeight="false" outlineLevel="0" collapsed="false">
      <c r="A1138" s="1" t="n">
        <v>2009</v>
      </c>
      <c r="B1138" s="1" t="n">
        <v>1</v>
      </c>
      <c r="C1138" s="2" t="s">
        <v>25</v>
      </c>
      <c r="D1138" s="7" t="s">
        <v>101</v>
      </c>
      <c r="E1138" s="1" t="n">
        <v>3</v>
      </c>
      <c r="F1138" s="1" t="n">
        <f aca="false">Y1138-X1138</f>
        <v>5</v>
      </c>
      <c r="G1138" s="1" t="n">
        <v>5</v>
      </c>
      <c r="H1138" s="3" t="s">
        <v>32</v>
      </c>
      <c r="I1138" s="3" t="s">
        <v>62</v>
      </c>
      <c r="J1138" s="3" t="s">
        <v>63</v>
      </c>
      <c r="K1138" s="2" t="str">
        <f aca="false">CONCATENATE(I1138," ",J1138)</f>
        <v>Microneta viaria</v>
      </c>
      <c r="L1138" s="3" t="n">
        <f aca="false">SUM(P1138:U1138)</f>
        <v>1</v>
      </c>
      <c r="M1138" s="11" t="n">
        <f aca="false">(L1138/(F1138*G1138)*25)*4</f>
        <v>4</v>
      </c>
      <c r="N1138" s="1" t="s">
        <v>30</v>
      </c>
      <c r="O1138" s="1" t="s">
        <v>31</v>
      </c>
      <c r="P1138" s="1" t="n">
        <v>1</v>
      </c>
      <c r="Q1138" s="1" t="n">
        <v>0</v>
      </c>
      <c r="R1138" s="1" t="n">
        <v>0</v>
      </c>
      <c r="S1138" s="1" t="n">
        <v>0</v>
      </c>
      <c r="T1138" s="1" t="n">
        <v>0</v>
      </c>
      <c r="U1138" s="1" t="n">
        <v>0</v>
      </c>
      <c r="V1138" s="3" t="n">
        <f aca="false">SUM(P1138:Q1138)</f>
        <v>1</v>
      </c>
      <c r="W1138" s="3" t="n">
        <f aca="false">SUM(R1138:T1138)</f>
        <v>0</v>
      </c>
      <c r="X1138" s="10" t="n">
        <v>39970</v>
      </c>
      <c r="Y1138" s="10" t="n">
        <v>39975</v>
      </c>
    </row>
    <row r="1139" customFormat="false" ht="14.25" hidden="false" customHeight="false" outlineLevel="0" collapsed="false">
      <c r="A1139" s="1" t="n">
        <v>2009</v>
      </c>
      <c r="B1139" s="1" t="n">
        <v>1</v>
      </c>
      <c r="C1139" s="2" t="s">
        <v>25</v>
      </c>
      <c r="D1139" s="7" t="s">
        <v>101</v>
      </c>
      <c r="E1139" s="1" t="n">
        <v>3</v>
      </c>
      <c r="F1139" s="1" t="n">
        <f aca="false">Y1139-X1139</f>
        <v>5</v>
      </c>
      <c r="G1139" s="1" t="n">
        <v>5</v>
      </c>
      <c r="H1139" s="3" t="s">
        <v>32</v>
      </c>
      <c r="I1139" s="3" t="s">
        <v>62</v>
      </c>
      <c r="J1139" s="3" t="s">
        <v>63</v>
      </c>
      <c r="K1139" s="2" t="str">
        <f aca="false">CONCATENATE(I1139," ",J1139)</f>
        <v>Microneta viaria</v>
      </c>
      <c r="L1139" s="3" t="n">
        <f aca="false">SUM(P1139:U1139)</f>
        <v>1</v>
      </c>
      <c r="M1139" s="11" t="n">
        <f aca="false">(L1139/(F1139*G1139)*25)*4</f>
        <v>4</v>
      </c>
      <c r="N1139" s="1" t="s">
        <v>30</v>
      </c>
      <c r="O1139" s="1" t="s">
        <v>35</v>
      </c>
      <c r="P1139" s="1" t="n">
        <v>0</v>
      </c>
      <c r="Q1139" s="1" t="n">
        <v>1</v>
      </c>
      <c r="R1139" s="1" t="n">
        <v>0</v>
      </c>
      <c r="S1139" s="1" t="n">
        <v>0</v>
      </c>
      <c r="T1139" s="1" t="n">
        <v>0</v>
      </c>
      <c r="U1139" s="1" t="n">
        <v>0</v>
      </c>
      <c r="V1139" s="3" t="n">
        <f aca="false">SUM(P1139:Q1139)</f>
        <v>1</v>
      </c>
      <c r="W1139" s="3" t="n">
        <f aca="false">SUM(R1139:T1139)</f>
        <v>0</v>
      </c>
      <c r="X1139" s="10" t="n">
        <v>39970</v>
      </c>
      <c r="Y1139" s="10" t="n">
        <v>39975</v>
      </c>
    </row>
    <row r="1140" customFormat="false" ht="14.25" hidden="false" customHeight="false" outlineLevel="0" collapsed="false">
      <c r="A1140" s="1" t="n">
        <v>2009</v>
      </c>
      <c r="B1140" s="1" t="n">
        <v>1</v>
      </c>
      <c r="C1140" s="2" t="s">
        <v>25</v>
      </c>
      <c r="D1140" s="7" t="s">
        <v>101</v>
      </c>
      <c r="E1140" s="1" t="n">
        <v>3</v>
      </c>
      <c r="F1140" s="1" t="n">
        <f aca="false">Y1140-X1140</f>
        <v>5</v>
      </c>
      <c r="G1140" s="1" t="n">
        <v>5</v>
      </c>
      <c r="H1140" s="3" t="s">
        <v>32</v>
      </c>
      <c r="I1140" s="3" t="s">
        <v>90</v>
      </c>
      <c r="J1140" s="3" t="s">
        <v>91</v>
      </c>
      <c r="K1140" s="2" t="str">
        <f aca="false">CONCATENATE(I1140," ",J1140)</f>
        <v>Tapinocyba insecta</v>
      </c>
      <c r="L1140" s="3" t="n">
        <f aca="false">SUM(P1140:U1140)</f>
        <v>2</v>
      </c>
      <c r="M1140" s="11" t="n">
        <f aca="false">(L1140/(F1140*G1140)*25)*4</f>
        <v>8</v>
      </c>
      <c r="N1140" s="1" t="s">
        <v>30</v>
      </c>
      <c r="O1140" s="1" t="s">
        <v>31</v>
      </c>
      <c r="P1140" s="1" t="n">
        <v>2</v>
      </c>
      <c r="Q1140" s="1" t="n">
        <v>0</v>
      </c>
      <c r="R1140" s="1" t="n">
        <v>0</v>
      </c>
      <c r="S1140" s="1" t="n">
        <v>0</v>
      </c>
      <c r="T1140" s="1" t="n">
        <v>0</v>
      </c>
      <c r="U1140" s="1" t="n">
        <v>0</v>
      </c>
      <c r="V1140" s="3" t="n">
        <f aca="false">SUM(P1140:Q1140)</f>
        <v>2</v>
      </c>
      <c r="W1140" s="3" t="n">
        <f aca="false">SUM(R1140:T1140)</f>
        <v>0</v>
      </c>
      <c r="X1140" s="10" t="n">
        <v>39970</v>
      </c>
      <c r="Y1140" s="10" t="n">
        <v>39975</v>
      </c>
    </row>
    <row r="1141" customFormat="false" ht="14.25" hidden="false" customHeight="false" outlineLevel="0" collapsed="false">
      <c r="A1141" s="1" t="n">
        <v>2009</v>
      </c>
      <c r="B1141" s="1" t="n">
        <v>1</v>
      </c>
      <c r="C1141" s="2" t="s">
        <v>25</v>
      </c>
      <c r="D1141" s="7" t="s">
        <v>101</v>
      </c>
      <c r="E1141" s="1" t="n">
        <v>3</v>
      </c>
      <c r="F1141" s="1" t="n">
        <f aca="false">Y1141-X1141</f>
        <v>5</v>
      </c>
      <c r="G1141" s="1" t="n">
        <v>5</v>
      </c>
      <c r="H1141" s="13" t="s">
        <v>32</v>
      </c>
      <c r="I1141" s="13" t="s">
        <v>96</v>
      </c>
      <c r="J1141" s="14" t="s">
        <v>97</v>
      </c>
      <c r="K1141" s="2" t="str">
        <f aca="false">CONCATENATE(I1141," ",J1141)</f>
        <v>Diplocephalus picinus</v>
      </c>
      <c r="L1141" s="3" t="n">
        <f aca="false">SUM(P1141:U1141)</f>
        <v>1</v>
      </c>
      <c r="M1141" s="11" t="n">
        <f aca="false">(L1141/(F1141*G1141)*25)*4</f>
        <v>4</v>
      </c>
      <c r="N1141" s="1" t="s">
        <v>30</v>
      </c>
      <c r="O1141" s="1" t="s">
        <v>31</v>
      </c>
      <c r="P1141" s="1" t="n">
        <v>1</v>
      </c>
      <c r="Q1141" s="1" t="n">
        <v>0</v>
      </c>
      <c r="R1141" s="1" t="n">
        <v>0</v>
      </c>
      <c r="S1141" s="1" t="n">
        <v>0</v>
      </c>
      <c r="T1141" s="1" t="n">
        <v>0</v>
      </c>
      <c r="U1141" s="1" t="n">
        <v>0</v>
      </c>
      <c r="V1141" s="3" t="n">
        <f aca="false">SUM(P1141:Q1141)</f>
        <v>1</v>
      </c>
      <c r="W1141" s="3" t="n">
        <f aca="false">SUM(R1141:T1141)</f>
        <v>0</v>
      </c>
      <c r="X1141" s="10" t="n">
        <v>39970</v>
      </c>
      <c r="Y1141" s="10" t="n">
        <v>39975</v>
      </c>
    </row>
    <row r="1142" customFormat="false" ht="14.25" hidden="false" customHeight="false" outlineLevel="0" collapsed="false">
      <c r="A1142" s="1" t="n">
        <v>2009</v>
      </c>
      <c r="B1142" s="1" t="n">
        <v>1</v>
      </c>
      <c r="C1142" s="2" t="s">
        <v>25</v>
      </c>
      <c r="D1142" s="7" t="s">
        <v>101</v>
      </c>
      <c r="E1142" s="1" t="n">
        <v>3</v>
      </c>
      <c r="F1142" s="1" t="n">
        <f aca="false">Y1142-X1142</f>
        <v>5</v>
      </c>
      <c r="G1142" s="1" t="n">
        <v>5</v>
      </c>
      <c r="H1142" s="3" t="s">
        <v>32</v>
      </c>
      <c r="I1142" s="3" t="s">
        <v>84</v>
      </c>
      <c r="J1142" s="3" t="s">
        <v>38</v>
      </c>
      <c r="K1142" s="2" t="str">
        <f aca="false">CONCATENATE(I1142," ",J1142)</f>
        <v>Walckenaeria sp</v>
      </c>
      <c r="L1142" s="3" t="n">
        <f aca="false">SUM(P1142:U1142)</f>
        <v>1</v>
      </c>
      <c r="M1142" s="11" t="n">
        <f aca="false">(L1142/(F1142*G1142)*25)*4</f>
        <v>4</v>
      </c>
      <c r="N1142" s="1" t="s">
        <v>30</v>
      </c>
      <c r="O1142" s="1" t="s">
        <v>35</v>
      </c>
      <c r="P1142" s="1" t="n">
        <v>0</v>
      </c>
      <c r="Q1142" s="1" t="n">
        <v>1</v>
      </c>
      <c r="R1142" s="1" t="n">
        <v>0</v>
      </c>
      <c r="S1142" s="1" t="n">
        <v>0</v>
      </c>
      <c r="T1142" s="1" t="n">
        <v>0</v>
      </c>
      <c r="U1142" s="1" t="n">
        <v>0</v>
      </c>
      <c r="V1142" s="3" t="n">
        <f aca="false">SUM(P1142:Q1142)</f>
        <v>1</v>
      </c>
      <c r="W1142" s="3" t="n">
        <f aca="false">SUM(R1142:T1142)</f>
        <v>0</v>
      </c>
      <c r="X1142" s="10" t="n">
        <v>39970</v>
      </c>
      <c r="Y1142" s="10" t="n">
        <v>39975</v>
      </c>
    </row>
    <row r="1143" customFormat="false" ht="14.25" hidden="false" customHeight="false" outlineLevel="0" collapsed="false">
      <c r="A1143" s="1" t="n">
        <v>2009</v>
      </c>
      <c r="B1143" s="1" t="n">
        <v>1</v>
      </c>
      <c r="C1143" s="2" t="s">
        <v>25</v>
      </c>
      <c r="D1143" s="7" t="s">
        <v>101</v>
      </c>
      <c r="E1143" s="1" t="n">
        <v>3</v>
      </c>
      <c r="F1143" s="1" t="n">
        <f aca="false">Y1143-X1143</f>
        <v>5</v>
      </c>
      <c r="G1143" s="1" t="n">
        <v>5</v>
      </c>
      <c r="H1143" s="3" t="s">
        <v>32</v>
      </c>
      <c r="I1143" s="3" t="s">
        <v>57</v>
      </c>
      <c r="J1143" s="3" t="s">
        <v>38</v>
      </c>
      <c r="K1143" s="2" t="str">
        <f aca="false">CONCATENATE(I1143," ",J1143)</f>
        <v>Gen sp</v>
      </c>
      <c r="L1143" s="3" t="n">
        <f aca="false">SUM(P1143:U1143)</f>
        <v>1</v>
      </c>
      <c r="M1143" s="11" t="n">
        <f aca="false">(L1143/(F1143*G1143)*25)*4</f>
        <v>4</v>
      </c>
      <c r="N1143" s="1" t="s">
        <v>19</v>
      </c>
      <c r="O1143" s="1" t="s">
        <v>54</v>
      </c>
      <c r="P1143" s="1" t="n">
        <v>0</v>
      </c>
      <c r="Q1143" s="1" t="n">
        <v>0</v>
      </c>
      <c r="R1143" s="1" t="n">
        <v>0</v>
      </c>
      <c r="S1143" s="1" t="n">
        <v>0</v>
      </c>
      <c r="T1143" s="1" t="n">
        <v>1</v>
      </c>
      <c r="U1143" s="1" t="n">
        <v>0</v>
      </c>
      <c r="V1143" s="3" t="n">
        <f aca="false">SUM(P1143:Q1143)</f>
        <v>0</v>
      </c>
      <c r="W1143" s="3" t="n">
        <f aca="false">SUM(R1143:T1143)</f>
        <v>1</v>
      </c>
      <c r="X1143" s="10" t="n">
        <v>39970</v>
      </c>
      <c r="Y1143" s="10" t="n">
        <v>39975</v>
      </c>
    </row>
    <row r="1144" customFormat="false" ht="14.25" hidden="false" customHeight="false" outlineLevel="0" collapsed="false">
      <c r="A1144" s="1" t="n">
        <v>2009</v>
      </c>
      <c r="B1144" s="1" t="n">
        <v>1</v>
      </c>
      <c r="C1144" s="2" t="s">
        <v>25</v>
      </c>
      <c r="D1144" s="7" t="s">
        <v>26</v>
      </c>
      <c r="E1144" s="1" t="n">
        <v>1</v>
      </c>
      <c r="F1144" s="1" t="n">
        <f aca="false">Y1144-X1144</f>
        <v>5</v>
      </c>
      <c r="G1144" s="1" t="n">
        <v>4</v>
      </c>
      <c r="H1144" s="3" t="s">
        <v>48</v>
      </c>
      <c r="I1144" s="3" t="s">
        <v>67</v>
      </c>
      <c r="J1144" s="3" t="s">
        <v>127</v>
      </c>
      <c r="K1144" s="2" t="str">
        <f aca="false">CONCATENATE(I1144," ",J1144)</f>
        <v>Pardosa lugubris</v>
      </c>
      <c r="L1144" s="3" t="n">
        <f aca="false">SUM(P1144:U1144)</f>
        <v>4</v>
      </c>
      <c r="M1144" s="11" t="n">
        <f aca="false">(L1144/(F1144*G1144)*25)*4</f>
        <v>20</v>
      </c>
      <c r="N1144" s="1" t="s">
        <v>30</v>
      </c>
      <c r="O1144" s="1" t="s">
        <v>31</v>
      </c>
      <c r="P1144" s="1" t="n">
        <v>4</v>
      </c>
      <c r="Q1144" s="1" t="n">
        <v>0</v>
      </c>
      <c r="R1144" s="1" t="n">
        <v>0</v>
      </c>
      <c r="S1144" s="1" t="n">
        <v>0</v>
      </c>
      <c r="T1144" s="1" t="n">
        <v>0</v>
      </c>
      <c r="U1144" s="1" t="n">
        <v>0</v>
      </c>
      <c r="V1144" s="3" t="n">
        <f aca="false">SUM(P1144:Q1144)</f>
        <v>4</v>
      </c>
      <c r="W1144" s="3" t="n">
        <f aca="false">SUM(R1144:T1144)</f>
        <v>0</v>
      </c>
      <c r="X1144" s="10" t="n">
        <v>39970</v>
      </c>
      <c r="Y1144" s="10" t="n">
        <v>39975</v>
      </c>
    </row>
    <row r="1145" customFormat="false" ht="14.25" hidden="false" customHeight="false" outlineLevel="0" collapsed="false">
      <c r="A1145" s="1" t="n">
        <v>2009</v>
      </c>
      <c r="B1145" s="1" t="n">
        <v>1</v>
      </c>
      <c r="C1145" s="2" t="s">
        <v>25</v>
      </c>
      <c r="D1145" s="7" t="s">
        <v>26</v>
      </c>
      <c r="E1145" s="1" t="n">
        <v>1</v>
      </c>
      <c r="F1145" s="1" t="n">
        <f aca="false">Y1145-X1145</f>
        <v>5</v>
      </c>
      <c r="G1145" s="1" t="n">
        <v>4</v>
      </c>
      <c r="H1145" s="3" t="s">
        <v>36</v>
      </c>
      <c r="I1145" s="3" t="s">
        <v>37</v>
      </c>
      <c r="J1145" s="8" t="s">
        <v>75</v>
      </c>
      <c r="K1145" s="2" t="str">
        <f aca="false">CONCATENATE(I1145," ",J1145)</f>
        <v>Ozyptila praticola</v>
      </c>
      <c r="L1145" s="3" t="n">
        <f aca="false">SUM(P1145:U1145)</f>
        <v>2</v>
      </c>
      <c r="M1145" s="11" t="n">
        <f aca="false">(L1145/(F1145*G1145)*25)*4</f>
        <v>10</v>
      </c>
      <c r="N1145" s="1" t="s">
        <v>30</v>
      </c>
      <c r="O1145" s="1" t="s">
        <v>31</v>
      </c>
      <c r="P1145" s="1" t="n">
        <v>2</v>
      </c>
      <c r="Q1145" s="1" t="n">
        <v>0</v>
      </c>
      <c r="R1145" s="1" t="n">
        <v>0</v>
      </c>
      <c r="S1145" s="1" t="n">
        <v>0</v>
      </c>
      <c r="T1145" s="1" t="n">
        <v>0</v>
      </c>
      <c r="U1145" s="1" t="n">
        <v>0</v>
      </c>
      <c r="V1145" s="3" t="n">
        <f aca="false">SUM(P1145:Q1145)</f>
        <v>2</v>
      </c>
      <c r="W1145" s="3" t="n">
        <f aca="false">SUM(R1145:T1145)</f>
        <v>0</v>
      </c>
      <c r="X1145" s="10" t="n">
        <v>39970</v>
      </c>
      <c r="Y1145" s="10" t="n">
        <v>39975</v>
      </c>
    </row>
    <row r="1146" customFormat="false" ht="14.25" hidden="false" customHeight="false" outlineLevel="0" collapsed="false">
      <c r="A1146" s="1" t="n">
        <v>2009</v>
      </c>
      <c r="B1146" s="1" t="n">
        <v>1</v>
      </c>
      <c r="C1146" s="2" t="s">
        <v>25</v>
      </c>
      <c r="D1146" s="7" t="s">
        <v>26</v>
      </c>
      <c r="E1146" s="1" t="n">
        <v>1</v>
      </c>
      <c r="F1146" s="1" t="n">
        <f aca="false">Y1146-X1146</f>
        <v>5</v>
      </c>
      <c r="G1146" s="1" t="n">
        <v>4</v>
      </c>
      <c r="H1146" s="3" t="s">
        <v>64</v>
      </c>
      <c r="I1146" s="3" t="s">
        <v>65</v>
      </c>
      <c r="J1146" s="3" t="s">
        <v>123</v>
      </c>
      <c r="K1146" s="2" t="str">
        <f aca="false">CONCATENATE(I1146," ",J1146)</f>
        <v>Zora nemoralis</v>
      </c>
      <c r="L1146" s="3" t="n">
        <f aca="false">SUM(P1146:U1146)</f>
        <v>1</v>
      </c>
      <c r="M1146" s="11" t="n">
        <f aca="false">(L1146/(F1146*G1146)*25)*4</f>
        <v>5</v>
      </c>
      <c r="N1146" s="1" t="s">
        <v>30</v>
      </c>
      <c r="O1146" s="1" t="s">
        <v>31</v>
      </c>
      <c r="P1146" s="1" t="n">
        <v>1</v>
      </c>
      <c r="Q1146" s="1" t="n">
        <v>0</v>
      </c>
      <c r="R1146" s="1" t="n">
        <v>0</v>
      </c>
      <c r="S1146" s="1" t="n">
        <v>0</v>
      </c>
      <c r="T1146" s="1" t="n">
        <v>0</v>
      </c>
      <c r="U1146" s="1" t="n">
        <v>0</v>
      </c>
      <c r="V1146" s="3" t="n">
        <f aca="false">SUM(P1146:Q1146)</f>
        <v>1</v>
      </c>
      <c r="W1146" s="3" t="n">
        <f aca="false">SUM(R1146:T1146)</f>
        <v>0</v>
      </c>
      <c r="X1146" s="10" t="n">
        <v>39970</v>
      </c>
      <c r="Y1146" s="10" t="n">
        <v>39975</v>
      </c>
    </row>
    <row r="1147" customFormat="false" ht="14.25" hidden="false" customHeight="false" outlineLevel="0" collapsed="false">
      <c r="A1147" s="1" t="n">
        <v>2009</v>
      </c>
      <c r="B1147" s="1" t="n">
        <v>1</v>
      </c>
      <c r="C1147" s="2" t="s">
        <v>25</v>
      </c>
      <c r="D1147" s="7" t="s">
        <v>26</v>
      </c>
      <c r="E1147" s="1" t="n">
        <v>1</v>
      </c>
      <c r="F1147" s="1" t="n">
        <f aca="false">Y1147-X1147</f>
        <v>5</v>
      </c>
      <c r="G1147" s="1" t="n">
        <v>4</v>
      </c>
      <c r="H1147" s="3" t="s">
        <v>32</v>
      </c>
      <c r="I1147" s="3" t="s">
        <v>62</v>
      </c>
      <c r="J1147" s="3" t="s">
        <v>63</v>
      </c>
      <c r="K1147" s="2" t="str">
        <f aca="false">CONCATENATE(I1147," ",J1147)</f>
        <v>Microneta viaria</v>
      </c>
      <c r="L1147" s="3" t="n">
        <f aca="false">SUM(P1147:U1147)</f>
        <v>3</v>
      </c>
      <c r="M1147" s="11" t="n">
        <f aca="false">(L1147/(F1147*G1147)*25)*4</f>
        <v>15</v>
      </c>
      <c r="N1147" s="1" t="s">
        <v>30</v>
      </c>
      <c r="O1147" s="1" t="s">
        <v>31</v>
      </c>
      <c r="P1147" s="1" t="n">
        <v>3</v>
      </c>
      <c r="Q1147" s="1" t="n">
        <v>0</v>
      </c>
      <c r="R1147" s="1" t="n">
        <v>0</v>
      </c>
      <c r="S1147" s="1" t="n">
        <v>0</v>
      </c>
      <c r="T1147" s="1" t="n">
        <v>0</v>
      </c>
      <c r="U1147" s="1" t="n">
        <v>0</v>
      </c>
      <c r="V1147" s="3" t="n">
        <f aca="false">SUM(P1147:Q1147)</f>
        <v>3</v>
      </c>
      <c r="W1147" s="3" t="n">
        <f aca="false">SUM(R1147:T1147)</f>
        <v>0</v>
      </c>
      <c r="X1147" s="10" t="n">
        <v>39970</v>
      </c>
      <c r="Y1147" s="10" t="n">
        <v>39975</v>
      </c>
    </row>
    <row r="1148" customFormat="false" ht="14.25" hidden="false" customHeight="false" outlineLevel="0" collapsed="false">
      <c r="A1148" s="1" t="n">
        <v>2009</v>
      </c>
      <c r="B1148" s="1" t="n">
        <v>1</v>
      </c>
      <c r="C1148" s="2" t="s">
        <v>25</v>
      </c>
      <c r="D1148" s="7" t="s">
        <v>26</v>
      </c>
      <c r="E1148" s="1" t="n">
        <v>1</v>
      </c>
      <c r="F1148" s="1" t="n">
        <f aca="false">Y1148-X1148</f>
        <v>5</v>
      </c>
      <c r="G1148" s="1" t="n">
        <v>4</v>
      </c>
      <c r="H1148" s="3" t="s">
        <v>32</v>
      </c>
      <c r="I1148" s="3" t="s">
        <v>57</v>
      </c>
      <c r="J1148" s="3" t="s">
        <v>38</v>
      </c>
      <c r="K1148" s="2" t="str">
        <f aca="false">CONCATENATE(I1148," ",J1148)</f>
        <v>Gen sp</v>
      </c>
      <c r="L1148" s="3" t="n">
        <f aca="false">SUM(P1148:U1148)</f>
        <v>2</v>
      </c>
      <c r="M1148" s="11" t="n">
        <f aca="false">(L1148/(F1148*G1148)*25)*4</f>
        <v>10</v>
      </c>
      <c r="N1148" s="1" t="s">
        <v>19</v>
      </c>
      <c r="O1148" s="1" t="s">
        <v>54</v>
      </c>
      <c r="P1148" s="1" t="n">
        <v>0</v>
      </c>
      <c r="Q1148" s="1" t="n">
        <v>0</v>
      </c>
      <c r="R1148" s="1" t="n">
        <v>0</v>
      </c>
      <c r="S1148" s="1" t="n">
        <v>0</v>
      </c>
      <c r="T1148" s="1" t="n">
        <v>2</v>
      </c>
      <c r="U1148" s="1" t="n">
        <v>0</v>
      </c>
      <c r="V1148" s="3" t="n">
        <f aca="false">SUM(P1148:Q1148)</f>
        <v>0</v>
      </c>
      <c r="W1148" s="3" t="n">
        <f aca="false">SUM(R1148:T1148)</f>
        <v>2</v>
      </c>
      <c r="X1148" s="10" t="n">
        <v>39970</v>
      </c>
      <c r="Y1148" s="10" t="n">
        <v>39975</v>
      </c>
    </row>
    <row r="1149" customFormat="false" ht="14.25" hidden="false" customHeight="false" outlineLevel="0" collapsed="false">
      <c r="A1149" s="1" t="n">
        <v>2009</v>
      </c>
      <c r="B1149" s="1" t="n">
        <v>1</v>
      </c>
      <c r="C1149" s="2" t="s">
        <v>25</v>
      </c>
      <c r="D1149" s="7" t="s">
        <v>26</v>
      </c>
      <c r="E1149" s="1" t="n">
        <v>1</v>
      </c>
      <c r="F1149" s="1" t="n">
        <f aca="false">Y1149-X1149</f>
        <v>5</v>
      </c>
      <c r="G1149" s="1" t="n">
        <v>4</v>
      </c>
      <c r="H1149" s="3" t="s">
        <v>48</v>
      </c>
      <c r="I1149" s="3" t="s">
        <v>49</v>
      </c>
      <c r="J1149" s="3" t="s">
        <v>104</v>
      </c>
      <c r="K1149" s="2" t="str">
        <f aca="false">CONCATENATE(I1149," ",J1149)</f>
        <v>Alopecosa taeniata</v>
      </c>
      <c r="L1149" s="3" t="n">
        <f aca="false">SUM(P1149:U1149)</f>
        <v>1</v>
      </c>
      <c r="M1149" s="11" t="n">
        <f aca="false">(L1149/(F1149*G1149)*25)*4</f>
        <v>5</v>
      </c>
      <c r="N1149" s="1" t="s">
        <v>30</v>
      </c>
      <c r="O1149" s="1" t="s">
        <v>31</v>
      </c>
      <c r="P1149" s="1" t="n">
        <v>1</v>
      </c>
      <c r="Q1149" s="1" t="n">
        <v>0</v>
      </c>
      <c r="R1149" s="1" t="n">
        <v>0</v>
      </c>
      <c r="S1149" s="1" t="n">
        <v>0</v>
      </c>
      <c r="T1149" s="1" t="n">
        <v>0</v>
      </c>
      <c r="U1149" s="1" t="n">
        <v>0</v>
      </c>
      <c r="V1149" s="3" t="n">
        <f aca="false">SUM(P1149:Q1149)</f>
        <v>1</v>
      </c>
      <c r="W1149" s="3" t="n">
        <f aca="false">SUM(R1149:T1149)</f>
        <v>0</v>
      </c>
      <c r="X1149" s="10" t="n">
        <v>39970</v>
      </c>
      <c r="Y1149" s="10" t="n">
        <v>39975</v>
      </c>
    </row>
    <row r="1150" customFormat="false" ht="14.25" hidden="false" customHeight="false" outlineLevel="0" collapsed="false">
      <c r="A1150" s="1" t="n">
        <v>2009</v>
      </c>
      <c r="B1150" s="1" t="n">
        <v>1</v>
      </c>
      <c r="C1150" s="2" t="s">
        <v>25</v>
      </c>
      <c r="D1150" s="7" t="s">
        <v>26</v>
      </c>
      <c r="E1150" s="1" t="n">
        <v>1</v>
      </c>
      <c r="F1150" s="1" t="n">
        <f aca="false">Y1150-X1150</f>
        <v>5</v>
      </c>
      <c r="G1150" s="1" t="n">
        <v>4</v>
      </c>
      <c r="H1150" s="3" t="s">
        <v>48</v>
      </c>
      <c r="I1150" s="3" t="s">
        <v>67</v>
      </c>
      <c r="J1150" s="3" t="s">
        <v>127</v>
      </c>
      <c r="K1150" s="2" t="str">
        <f aca="false">CONCATENATE(I1150," ",J1150)</f>
        <v>Pardosa lugubris</v>
      </c>
      <c r="L1150" s="3" t="n">
        <f aca="false">SUM(P1150:U1150)</f>
        <v>5</v>
      </c>
      <c r="M1150" s="11" t="n">
        <f aca="false">(L1150/(F1150*G1150)*25)*4</f>
        <v>25</v>
      </c>
      <c r="N1150" s="1" t="s">
        <v>30</v>
      </c>
      <c r="O1150" s="1" t="s">
        <v>31</v>
      </c>
      <c r="P1150" s="1" t="n">
        <v>5</v>
      </c>
      <c r="Q1150" s="1" t="n">
        <v>0</v>
      </c>
      <c r="R1150" s="1" t="n">
        <v>0</v>
      </c>
      <c r="S1150" s="1" t="n">
        <v>0</v>
      </c>
      <c r="T1150" s="1" t="n">
        <v>0</v>
      </c>
      <c r="U1150" s="1" t="n">
        <v>0</v>
      </c>
      <c r="V1150" s="3" t="n">
        <f aca="false">SUM(P1150:Q1150)</f>
        <v>5</v>
      </c>
      <c r="W1150" s="3" t="n">
        <f aca="false">SUM(R1150:T1150)</f>
        <v>0</v>
      </c>
      <c r="X1150" s="10" t="n">
        <v>39970</v>
      </c>
      <c r="Y1150" s="10" t="n">
        <v>39975</v>
      </c>
    </row>
    <row r="1151" customFormat="false" ht="14.25" hidden="false" customHeight="false" outlineLevel="0" collapsed="false">
      <c r="A1151" s="1" t="n">
        <v>2009</v>
      </c>
      <c r="B1151" s="1" t="n">
        <v>1</v>
      </c>
      <c r="C1151" s="2" t="s">
        <v>25</v>
      </c>
      <c r="D1151" s="7" t="s">
        <v>26</v>
      </c>
      <c r="E1151" s="1" t="n">
        <v>1</v>
      </c>
      <c r="F1151" s="1" t="n">
        <f aca="false">Y1151-X1151</f>
        <v>5</v>
      </c>
      <c r="G1151" s="1" t="n">
        <v>4</v>
      </c>
      <c r="H1151" s="3" t="s">
        <v>48</v>
      </c>
      <c r="I1151" s="3" t="s">
        <v>67</v>
      </c>
      <c r="J1151" s="3" t="s">
        <v>127</v>
      </c>
      <c r="K1151" s="2" t="str">
        <f aca="false">CONCATENATE(I1151," ",J1151)</f>
        <v>Pardosa lugubris</v>
      </c>
      <c r="L1151" s="3" t="n">
        <f aca="false">SUM(P1151:U1151)</f>
        <v>1</v>
      </c>
      <c r="M1151" s="11" t="n">
        <f aca="false">(L1151/(F1151*G1151)*25)*4</f>
        <v>5</v>
      </c>
      <c r="N1151" s="1" t="s">
        <v>30</v>
      </c>
      <c r="O1151" s="1" t="s">
        <v>35</v>
      </c>
      <c r="P1151" s="1" t="n">
        <v>0</v>
      </c>
      <c r="Q1151" s="1" t="n">
        <v>1</v>
      </c>
      <c r="R1151" s="1" t="n">
        <v>0</v>
      </c>
      <c r="S1151" s="1" t="n">
        <v>0</v>
      </c>
      <c r="T1151" s="1" t="n">
        <v>0</v>
      </c>
      <c r="U1151" s="1" t="n">
        <v>0</v>
      </c>
      <c r="V1151" s="3" t="n">
        <f aca="false">SUM(P1151:Q1151)</f>
        <v>1</v>
      </c>
      <c r="W1151" s="3" t="n">
        <f aca="false">SUM(R1151:T1151)</f>
        <v>0</v>
      </c>
      <c r="X1151" s="10" t="n">
        <v>39970</v>
      </c>
      <c r="Y1151" s="10" t="n">
        <v>39975</v>
      </c>
    </row>
    <row r="1152" customFormat="false" ht="14.25" hidden="false" customHeight="false" outlineLevel="0" collapsed="false">
      <c r="A1152" s="1" t="n">
        <v>2009</v>
      </c>
      <c r="B1152" s="1" t="n">
        <v>1</v>
      </c>
      <c r="C1152" s="2" t="s">
        <v>25</v>
      </c>
      <c r="D1152" s="7" t="s">
        <v>26</v>
      </c>
      <c r="E1152" s="1" t="n">
        <v>1</v>
      </c>
      <c r="F1152" s="1" t="n">
        <f aca="false">Y1152-X1152</f>
        <v>5</v>
      </c>
      <c r="G1152" s="1" t="n">
        <v>4</v>
      </c>
      <c r="H1152" s="3" t="s">
        <v>48</v>
      </c>
      <c r="I1152" s="3" t="s">
        <v>61</v>
      </c>
      <c r="J1152" s="3" t="s">
        <v>82</v>
      </c>
      <c r="K1152" s="2" t="str">
        <f aca="false">CONCATENATE(I1152," ",J1152)</f>
        <v>Trochosa terricola</v>
      </c>
      <c r="L1152" s="3" t="n">
        <f aca="false">SUM(P1152:U1152)</f>
        <v>1</v>
      </c>
      <c r="M1152" s="11" t="n">
        <f aca="false">(L1152/(F1152*G1152)*25)*4</f>
        <v>5</v>
      </c>
      <c r="N1152" s="1" t="s">
        <v>30</v>
      </c>
      <c r="O1152" s="1" t="s">
        <v>35</v>
      </c>
      <c r="P1152" s="1" t="n">
        <v>0</v>
      </c>
      <c r="Q1152" s="1" t="n">
        <v>1</v>
      </c>
      <c r="R1152" s="1" t="n">
        <v>0</v>
      </c>
      <c r="S1152" s="1" t="n">
        <v>0</v>
      </c>
      <c r="T1152" s="1" t="n">
        <v>0</v>
      </c>
      <c r="U1152" s="1" t="n">
        <v>0</v>
      </c>
      <c r="V1152" s="3" t="n">
        <f aca="false">SUM(P1152:Q1152)</f>
        <v>1</v>
      </c>
      <c r="W1152" s="3" t="n">
        <f aca="false">SUM(R1152:T1152)</f>
        <v>0</v>
      </c>
      <c r="X1152" s="10" t="n">
        <v>39970</v>
      </c>
      <c r="Y1152" s="10" t="n">
        <v>39975</v>
      </c>
    </row>
    <row r="1153" customFormat="false" ht="14.25" hidden="false" customHeight="false" outlineLevel="0" collapsed="false">
      <c r="A1153" s="1" t="n">
        <v>2009</v>
      </c>
      <c r="B1153" s="1" t="n">
        <v>1</v>
      </c>
      <c r="C1153" s="2" t="s">
        <v>25</v>
      </c>
      <c r="D1153" s="7" t="s">
        <v>26</v>
      </c>
      <c r="E1153" s="1" t="n">
        <v>1</v>
      </c>
      <c r="F1153" s="1" t="n">
        <f aca="false">Y1153-X1153</f>
        <v>5</v>
      </c>
      <c r="G1153" s="1" t="n">
        <v>4</v>
      </c>
      <c r="H1153" s="3" t="s">
        <v>64</v>
      </c>
      <c r="I1153" s="3" t="s">
        <v>65</v>
      </c>
      <c r="J1153" s="3" t="s">
        <v>123</v>
      </c>
      <c r="K1153" s="2" t="str">
        <f aca="false">CONCATENATE(I1153," ",J1153)</f>
        <v>Zora nemoralis</v>
      </c>
      <c r="L1153" s="3" t="n">
        <f aca="false">SUM(P1153:U1153)</f>
        <v>3</v>
      </c>
      <c r="M1153" s="11" t="n">
        <f aca="false">(L1153/(F1153*G1153)*25)*4</f>
        <v>15</v>
      </c>
      <c r="N1153" s="1" t="s">
        <v>30</v>
      </c>
      <c r="O1153" s="1" t="s">
        <v>31</v>
      </c>
      <c r="P1153" s="1" t="n">
        <v>3</v>
      </c>
      <c r="Q1153" s="1" t="n">
        <v>0</v>
      </c>
      <c r="R1153" s="1" t="n">
        <v>0</v>
      </c>
      <c r="S1153" s="1" t="n">
        <v>0</v>
      </c>
      <c r="T1153" s="1" t="n">
        <v>0</v>
      </c>
      <c r="U1153" s="1" t="n">
        <v>0</v>
      </c>
      <c r="V1153" s="3" t="n">
        <f aca="false">SUM(P1153:Q1153)</f>
        <v>3</v>
      </c>
      <c r="W1153" s="3" t="n">
        <f aca="false">SUM(R1153:T1153)</f>
        <v>0</v>
      </c>
      <c r="X1153" s="10" t="n">
        <v>39970</v>
      </c>
      <c r="Y1153" s="10" t="n">
        <v>39975</v>
      </c>
    </row>
    <row r="1154" customFormat="false" ht="14.25" hidden="false" customHeight="false" outlineLevel="0" collapsed="false">
      <c r="A1154" s="1" t="n">
        <v>2009</v>
      </c>
      <c r="B1154" s="1" t="n">
        <v>1</v>
      </c>
      <c r="C1154" s="2" t="s">
        <v>25</v>
      </c>
      <c r="D1154" s="7" t="s">
        <v>26</v>
      </c>
      <c r="E1154" s="1" t="n">
        <v>1</v>
      </c>
      <c r="F1154" s="1" t="n">
        <f aca="false">Y1154-X1154</f>
        <v>5</v>
      </c>
      <c r="G1154" s="1" t="n">
        <v>4</v>
      </c>
      <c r="H1154" s="3" t="s">
        <v>64</v>
      </c>
      <c r="I1154" s="3" t="s">
        <v>65</v>
      </c>
      <c r="J1154" s="3" t="s">
        <v>66</v>
      </c>
      <c r="K1154" s="2" t="str">
        <f aca="false">CONCATENATE(I1154," ",J1154)</f>
        <v>Zora Spinimana</v>
      </c>
      <c r="L1154" s="3" t="n">
        <f aca="false">SUM(P1154:U1154)</f>
        <v>1</v>
      </c>
      <c r="M1154" s="11" t="n">
        <f aca="false">(L1154/(F1154*G1154)*25)*4</f>
        <v>5</v>
      </c>
      <c r="N1154" s="1" t="s">
        <v>30</v>
      </c>
      <c r="O1154" s="1" t="s">
        <v>35</v>
      </c>
      <c r="P1154" s="1" t="n">
        <v>0</v>
      </c>
      <c r="Q1154" s="1" t="n">
        <v>1</v>
      </c>
      <c r="R1154" s="1" t="n">
        <v>0</v>
      </c>
      <c r="S1154" s="1" t="n">
        <v>0</v>
      </c>
      <c r="T1154" s="1" t="n">
        <v>0</v>
      </c>
      <c r="U1154" s="1" t="n">
        <v>0</v>
      </c>
      <c r="V1154" s="3" t="n">
        <f aca="false">SUM(P1154:Q1154)</f>
        <v>1</v>
      </c>
      <c r="W1154" s="3" t="n">
        <f aca="false">SUM(R1154:T1154)</f>
        <v>0</v>
      </c>
      <c r="X1154" s="10" t="n">
        <v>39970</v>
      </c>
      <c r="Y1154" s="10" t="n">
        <v>39975</v>
      </c>
    </row>
    <row r="1155" customFormat="false" ht="14.25" hidden="false" customHeight="false" outlineLevel="0" collapsed="false">
      <c r="A1155" s="1" t="n">
        <v>2009</v>
      </c>
      <c r="B1155" s="1" t="n">
        <v>1</v>
      </c>
      <c r="C1155" s="2" t="s">
        <v>25</v>
      </c>
      <c r="D1155" s="7" t="s">
        <v>26</v>
      </c>
      <c r="E1155" s="1" t="n">
        <v>1</v>
      </c>
      <c r="F1155" s="1" t="n">
        <f aca="false">Y1155-X1155</f>
        <v>5</v>
      </c>
      <c r="G1155" s="1" t="n">
        <v>4</v>
      </c>
      <c r="H1155" s="3" t="s">
        <v>36</v>
      </c>
      <c r="I1155" s="3" t="s">
        <v>37</v>
      </c>
      <c r="J1155" s="8" t="s">
        <v>75</v>
      </c>
      <c r="K1155" s="2" t="str">
        <f aca="false">CONCATENATE(I1155," ",J1155)</f>
        <v>Ozyptila praticola</v>
      </c>
      <c r="L1155" s="3" t="n">
        <f aca="false">SUM(P1155:U1155)</f>
        <v>2</v>
      </c>
      <c r="M1155" s="11" t="n">
        <f aca="false">(L1155/(F1155*G1155)*25)*4</f>
        <v>10</v>
      </c>
      <c r="N1155" s="1" t="s">
        <v>30</v>
      </c>
      <c r="O1155" s="1" t="s">
        <v>31</v>
      </c>
      <c r="P1155" s="1" t="n">
        <v>2</v>
      </c>
      <c r="Q1155" s="1" t="n">
        <v>0</v>
      </c>
      <c r="R1155" s="1" t="n">
        <v>0</v>
      </c>
      <c r="S1155" s="1" t="n">
        <v>0</v>
      </c>
      <c r="T1155" s="1" t="n">
        <v>0</v>
      </c>
      <c r="U1155" s="1" t="n">
        <v>0</v>
      </c>
      <c r="V1155" s="3" t="n">
        <f aca="false">SUM(P1155:Q1155)</f>
        <v>2</v>
      </c>
      <c r="W1155" s="3" t="n">
        <f aca="false">SUM(R1155:T1155)</f>
        <v>0</v>
      </c>
      <c r="X1155" s="10" t="n">
        <v>39970</v>
      </c>
      <c r="Y1155" s="10" t="n">
        <v>39975</v>
      </c>
    </row>
    <row r="1156" customFormat="false" ht="14.25" hidden="false" customHeight="false" outlineLevel="0" collapsed="false">
      <c r="A1156" s="1" t="n">
        <v>2009</v>
      </c>
      <c r="B1156" s="1" t="n">
        <v>1</v>
      </c>
      <c r="C1156" s="2" t="s">
        <v>25</v>
      </c>
      <c r="D1156" s="7" t="s">
        <v>26</v>
      </c>
      <c r="E1156" s="1" t="n">
        <v>1</v>
      </c>
      <c r="F1156" s="1" t="n">
        <f aca="false">Y1156-X1156</f>
        <v>5</v>
      </c>
      <c r="G1156" s="1" t="n">
        <v>4</v>
      </c>
      <c r="H1156" s="3" t="s">
        <v>36</v>
      </c>
      <c r="I1156" s="3" t="s">
        <v>131</v>
      </c>
      <c r="J1156" s="3" t="s">
        <v>133</v>
      </c>
      <c r="K1156" s="2" t="str">
        <f aca="false">CONCATENATE(I1156," ",J1156)</f>
        <v>Xysticus luctuosus</v>
      </c>
      <c r="L1156" s="3" t="n">
        <f aca="false">SUM(P1156:U1156)</f>
        <v>1</v>
      </c>
      <c r="M1156" s="11" t="n">
        <f aca="false">(L1156/(F1156*G1156)*25)*4</f>
        <v>5</v>
      </c>
      <c r="N1156" s="1" t="s">
        <v>30</v>
      </c>
      <c r="O1156" s="1" t="s">
        <v>31</v>
      </c>
      <c r="P1156" s="1" t="n">
        <v>1</v>
      </c>
      <c r="Q1156" s="1" t="n">
        <v>0</v>
      </c>
      <c r="R1156" s="1" t="n">
        <v>0</v>
      </c>
      <c r="S1156" s="1" t="n">
        <v>0</v>
      </c>
      <c r="T1156" s="1" t="n">
        <v>0</v>
      </c>
      <c r="U1156" s="1" t="n">
        <v>0</v>
      </c>
      <c r="V1156" s="3" t="n">
        <f aca="false">SUM(P1156:Q1156)</f>
        <v>1</v>
      </c>
      <c r="W1156" s="3" t="n">
        <f aca="false">SUM(R1156:T1156)</f>
        <v>0</v>
      </c>
      <c r="X1156" s="10" t="n">
        <v>39970</v>
      </c>
      <c r="Y1156" s="10" t="n">
        <v>39975</v>
      </c>
    </row>
    <row r="1157" customFormat="false" ht="14.25" hidden="false" customHeight="false" outlineLevel="0" collapsed="false">
      <c r="A1157" s="1" t="n">
        <v>2009</v>
      </c>
      <c r="B1157" s="1" t="n">
        <v>1</v>
      </c>
      <c r="C1157" s="2" t="s">
        <v>25</v>
      </c>
      <c r="D1157" s="7" t="s">
        <v>26</v>
      </c>
      <c r="E1157" s="1" t="n">
        <v>1</v>
      </c>
      <c r="F1157" s="1" t="n">
        <f aca="false">Y1157-X1157</f>
        <v>5</v>
      </c>
      <c r="G1157" s="1" t="n">
        <v>4</v>
      </c>
      <c r="H1157" s="3" t="s">
        <v>32</v>
      </c>
      <c r="I1157" s="3" t="s">
        <v>62</v>
      </c>
      <c r="J1157" s="3" t="s">
        <v>63</v>
      </c>
      <c r="K1157" s="2" t="str">
        <f aca="false">CONCATENATE(I1157," ",J1157)</f>
        <v>Microneta viaria</v>
      </c>
      <c r="L1157" s="3" t="n">
        <f aca="false">SUM(P1157:U1157)</f>
        <v>1</v>
      </c>
      <c r="M1157" s="11" t="n">
        <f aca="false">(L1157/(F1157*G1157)*25)*4</f>
        <v>5</v>
      </c>
      <c r="N1157" s="1" t="s">
        <v>30</v>
      </c>
      <c r="O1157" s="1" t="s">
        <v>35</v>
      </c>
      <c r="P1157" s="1" t="n">
        <v>0</v>
      </c>
      <c r="Q1157" s="1" t="n">
        <v>1</v>
      </c>
      <c r="R1157" s="1" t="n">
        <v>0</v>
      </c>
      <c r="S1157" s="1" t="n">
        <v>0</v>
      </c>
      <c r="T1157" s="1" t="n">
        <v>0</v>
      </c>
      <c r="U1157" s="1" t="n">
        <v>0</v>
      </c>
      <c r="V1157" s="3" t="n">
        <f aca="false">SUM(P1157:Q1157)</f>
        <v>1</v>
      </c>
      <c r="W1157" s="3" t="n">
        <f aca="false">SUM(R1157:T1157)</f>
        <v>0</v>
      </c>
      <c r="X1157" s="10" t="n">
        <v>39970</v>
      </c>
      <c r="Y1157" s="10" t="n">
        <v>39975</v>
      </c>
    </row>
    <row r="1158" customFormat="false" ht="14.25" hidden="false" customHeight="false" outlineLevel="0" collapsed="false">
      <c r="A1158" s="1" t="n">
        <v>2009</v>
      </c>
      <c r="B1158" s="1" t="n">
        <v>1</v>
      </c>
      <c r="C1158" s="2" t="s">
        <v>25</v>
      </c>
      <c r="D1158" s="7" t="s">
        <v>26</v>
      </c>
      <c r="E1158" s="1" t="n">
        <v>1</v>
      </c>
      <c r="F1158" s="1" t="n">
        <f aca="false">Y1158-X1158</f>
        <v>5</v>
      </c>
      <c r="G1158" s="1" t="n">
        <v>4</v>
      </c>
      <c r="H1158" s="3" t="s">
        <v>32</v>
      </c>
      <c r="I1158" s="3" t="s">
        <v>102</v>
      </c>
      <c r="J1158" s="3" t="s">
        <v>103</v>
      </c>
      <c r="K1158" s="2" t="str">
        <f aca="false">CONCATENATE(I1158," ",J1158)</f>
        <v>Agyneta olivacea</v>
      </c>
      <c r="L1158" s="3" t="n">
        <f aca="false">SUM(P1158:U1158)</f>
        <v>2</v>
      </c>
      <c r="M1158" s="11" t="n">
        <f aca="false">(L1158/(F1158*G1158)*25)*4</f>
        <v>10</v>
      </c>
      <c r="N1158" s="1" t="s">
        <v>30</v>
      </c>
      <c r="O1158" s="1" t="s">
        <v>31</v>
      </c>
      <c r="P1158" s="1" t="n">
        <v>2</v>
      </c>
      <c r="Q1158" s="1" t="n">
        <v>0</v>
      </c>
      <c r="R1158" s="1" t="n">
        <v>0</v>
      </c>
      <c r="S1158" s="1" t="n">
        <v>0</v>
      </c>
      <c r="T1158" s="1" t="n">
        <v>0</v>
      </c>
      <c r="U1158" s="1" t="n">
        <v>0</v>
      </c>
      <c r="V1158" s="3" t="n">
        <f aca="false">SUM(P1158:Q1158)</f>
        <v>2</v>
      </c>
      <c r="W1158" s="3" t="n">
        <f aca="false">SUM(R1158:T1158)</f>
        <v>0</v>
      </c>
      <c r="X1158" s="10" t="n">
        <v>39970</v>
      </c>
      <c r="Y1158" s="10" t="n">
        <v>39975</v>
      </c>
    </row>
    <row r="1159" customFormat="false" ht="14.25" hidden="false" customHeight="false" outlineLevel="0" collapsed="false">
      <c r="A1159" s="1" t="n">
        <v>2009</v>
      </c>
      <c r="B1159" s="1" t="n">
        <v>1</v>
      </c>
      <c r="C1159" s="2" t="s">
        <v>25</v>
      </c>
      <c r="D1159" s="7" t="s">
        <v>26</v>
      </c>
      <c r="E1159" s="1" t="n">
        <v>1</v>
      </c>
      <c r="F1159" s="1" t="n">
        <f aca="false">Y1159-X1159</f>
        <v>5</v>
      </c>
      <c r="G1159" s="1" t="n">
        <v>4</v>
      </c>
      <c r="H1159" s="3" t="s">
        <v>32</v>
      </c>
      <c r="I1159" s="3" t="s">
        <v>102</v>
      </c>
      <c r="J1159" s="3" t="s">
        <v>103</v>
      </c>
      <c r="K1159" s="2" t="str">
        <f aca="false">CONCATENATE(I1159," ",J1159)</f>
        <v>Agyneta olivacea</v>
      </c>
      <c r="L1159" s="3" t="n">
        <f aca="false">SUM(P1159:U1159)</f>
        <v>1</v>
      </c>
      <c r="M1159" s="11" t="n">
        <f aca="false">(L1159/(F1159*G1159)*25)*4</f>
        <v>5</v>
      </c>
      <c r="N1159" s="1" t="s">
        <v>30</v>
      </c>
      <c r="O1159" s="1" t="s">
        <v>35</v>
      </c>
      <c r="P1159" s="1" t="n">
        <v>0</v>
      </c>
      <c r="Q1159" s="1" t="n">
        <v>1</v>
      </c>
      <c r="R1159" s="1" t="n">
        <v>0</v>
      </c>
      <c r="S1159" s="1" t="n">
        <v>0</v>
      </c>
      <c r="T1159" s="1" t="n">
        <v>0</v>
      </c>
      <c r="U1159" s="1" t="n">
        <v>0</v>
      </c>
      <c r="V1159" s="3" t="n">
        <f aca="false">SUM(P1159:Q1159)</f>
        <v>1</v>
      </c>
      <c r="W1159" s="3" t="n">
        <f aca="false">SUM(R1159:T1159)</f>
        <v>0</v>
      </c>
      <c r="X1159" s="10" t="n">
        <v>39970</v>
      </c>
      <c r="Y1159" s="10" t="n">
        <v>39975</v>
      </c>
    </row>
    <row r="1160" customFormat="false" ht="14.25" hidden="false" customHeight="false" outlineLevel="0" collapsed="false">
      <c r="A1160" s="1" t="n">
        <v>2009</v>
      </c>
      <c r="B1160" s="1" t="n">
        <v>1</v>
      </c>
      <c r="C1160" s="2" t="s">
        <v>25</v>
      </c>
      <c r="D1160" s="7" t="s">
        <v>26</v>
      </c>
      <c r="E1160" s="1" t="n">
        <v>1</v>
      </c>
      <c r="F1160" s="1" t="n">
        <f aca="false">Y1160-X1160</f>
        <v>5</v>
      </c>
      <c r="G1160" s="1" t="n">
        <v>4</v>
      </c>
      <c r="H1160" s="3" t="s">
        <v>48</v>
      </c>
      <c r="I1160" s="3" t="s">
        <v>49</v>
      </c>
      <c r="J1160" s="3" t="s">
        <v>104</v>
      </c>
      <c r="K1160" s="2" t="str">
        <f aca="false">CONCATENATE(I1160," ",J1160)</f>
        <v>Alopecosa taeniata</v>
      </c>
      <c r="L1160" s="3" t="n">
        <f aca="false">SUM(P1160:U1160)</f>
        <v>1</v>
      </c>
      <c r="M1160" s="11" t="n">
        <f aca="false">(L1160/(F1160*G1160)*25)*4</f>
        <v>5</v>
      </c>
      <c r="N1160" s="1" t="s">
        <v>30</v>
      </c>
      <c r="O1160" s="1" t="s">
        <v>31</v>
      </c>
      <c r="P1160" s="1" t="n">
        <v>1</v>
      </c>
      <c r="Q1160" s="1" t="n">
        <v>0</v>
      </c>
      <c r="R1160" s="1" t="n">
        <v>0</v>
      </c>
      <c r="S1160" s="1" t="n">
        <v>0</v>
      </c>
      <c r="T1160" s="1" t="n">
        <v>0</v>
      </c>
      <c r="U1160" s="1" t="n">
        <v>0</v>
      </c>
      <c r="V1160" s="3" t="n">
        <f aca="false">SUM(P1160:Q1160)</f>
        <v>1</v>
      </c>
      <c r="W1160" s="3" t="n">
        <f aca="false">SUM(R1160:T1160)</f>
        <v>0</v>
      </c>
      <c r="X1160" s="10" t="n">
        <v>39970</v>
      </c>
      <c r="Y1160" s="10" t="n">
        <v>39975</v>
      </c>
    </row>
    <row r="1161" customFormat="false" ht="14.25" hidden="false" customHeight="false" outlineLevel="0" collapsed="false">
      <c r="A1161" s="1" t="n">
        <v>2009</v>
      </c>
      <c r="B1161" s="1" t="n">
        <v>1</v>
      </c>
      <c r="C1161" s="2" t="s">
        <v>25</v>
      </c>
      <c r="D1161" s="7" t="s">
        <v>26</v>
      </c>
      <c r="E1161" s="1" t="n">
        <v>1</v>
      </c>
      <c r="F1161" s="1" t="n">
        <f aca="false">Y1161-X1161</f>
        <v>5</v>
      </c>
      <c r="G1161" s="1" t="n">
        <v>4</v>
      </c>
      <c r="H1161" s="3" t="s">
        <v>48</v>
      </c>
      <c r="I1161" s="3" t="s">
        <v>67</v>
      </c>
      <c r="J1161" s="3" t="s">
        <v>127</v>
      </c>
      <c r="K1161" s="2" t="str">
        <f aca="false">CONCATENATE(I1161," ",J1161)</f>
        <v>Pardosa lugubris</v>
      </c>
      <c r="L1161" s="3" t="n">
        <f aca="false">SUM(P1161:U1161)</f>
        <v>4</v>
      </c>
      <c r="M1161" s="11" t="n">
        <f aca="false">(L1161/(F1161*G1161)*25)*4</f>
        <v>20</v>
      </c>
      <c r="N1161" s="1" t="s">
        <v>30</v>
      </c>
      <c r="O1161" s="1" t="s">
        <v>31</v>
      </c>
      <c r="P1161" s="1" t="n">
        <v>4</v>
      </c>
      <c r="Q1161" s="1" t="n">
        <v>0</v>
      </c>
      <c r="R1161" s="1" t="n">
        <v>0</v>
      </c>
      <c r="S1161" s="1" t="n">
        <v>0</v>
      </c>
      <c r="T1161" s="1" t="n">
        <v>0</v>
      </c>
      <c r="U1161" s="1" t="n">
        <v>0</v>
      </c>
      <c r="V1161" s="3" t="n">
        <f aca="false">SUM(P1161:Q1161)</f>
        <v>4</v>
      </c>
      <c r="W1161" s="3" t="n">
        <f aca="false">SUM(R1161:T1161)</f>
        <v>0</v>
      </c>
      <c r="X1161" s="10" t="n">
        <v>39970</v>
      </c>
      <c r="Y1161" s="10" t="n">
        <v>39975</v>
      </c>
    </row>
    <row r="1162" customFormat="false" ht="14.25" hidden="false" customHeight="false" outlineLevel="0" collapsed="false">
      <c r="A1162" s="1" t="n">
        <v>2009</v>
      </c>
      <c r="B1162" s="1" t="n">
        <v>1</v>
      </c>
      <c r="C1162" s="2" t="s">
        <v>25</v>
      </c>
      <c r="D1162" s="7" t="s">
        <v>26</v>
      </c>
      <c r="E1162" s="1" t="n">
        <v>1</v>
      </c>
      <c r="F1162" s="1" t="n">
        <f aca="false">Y1162-X1162</f>
        <v>5</v>
      </c>
      <c r="G1162" s="1" t="n">
        <v>4</v>
      </c>
      <c r="H1162" s="3" t="s">
        <v>72</v>
      </c>
      <c r="I1162" s="3" t="s">
        <v>86</v>
      </c>
      <c r="J1162" s="8" t="s">
        <v>87</v>
      </c>
      <c r="K1162" s="2" t="str">
        <f aca="false">CONCATENATE(I1162," ",J1162)</f>
        <v>Haplodrassus soerenseni</v>
      </c>
      <c r="L1162" s="3" t="n">
        <f aca="false">SUM(P1162:U1162)</f>
        <v>2</v>
      </c>
      <c r="M1162" s="11" t="n">
        <f aca="false">(L1162/(F1162*G1162)*25)*4</f>
        <v>10</v>
      </c>
      <c r="N1162" s="1" t="s">
        <v>30</v>
      </c>
      <c r="O1162" s="1" t="s">
        <v>31</v>
      </c>
      <c r="P1162" s="1" t="n">
        <v>2</v>
      </c>
      <c r="Q1162" s="1" t="n">
        <v>0</v>
      </c>
      <c r="R1162" s="1" t="n">
        <v>0</v>
      </c>
      <c r="S1162" s="1" t="n">
        <v>0</v>
      </c>
      <c r="T1162" s="1" t="n">
        <v>0</v>
      </c>
      <c r="U1162" s="1" t="n">
        <v>0</v>
      </c>
      <c r="V1162" s="3" t="n">
        <f aca="false">SUM(P1162:Q1162)</f>
        <v>2</v>
      </c>
      <c r="W1162" s="3" t="n">
        <f aca="false">SUM(R1162:T1162)</f>
        <v>0</v>
      </c>
      <c r="X1162" s="10" t="n">
        <v>39970</v>
      </c>
      <c r="Y1162" s="10" t="n">
        <v>39975</v>
      </c>
    </row>
    <row r="1163" customFormat="false" ht="14.25" hidden="false" customHeight="false" outlineLevel="0" collapsed="false">
      <c r="A1163" s="1" t="n">
        <v>2009</v>
      </c>
      <c r="B1163" s="1" t="n">
        <v>1</v>
      </c>
      <c r="C1163" s="2" t="s">
        <v>25</v>
      </c>
      <c r="D1163" s="7" t="s">
        <v>26</v>
      </c>
      <c r="E1163" s="1" t="n">
        <v>1</v>
      </c>
      <c r="F1163" s="1" t="n">
        <f aca="false">Y1163-X1163</f>
        <v>5</v>
      </c>
      <c r="G1163" s="1" t="n">
        <v>4</v>
      </c>
      <c r="H1163" s="3" t="s">
        <v>64</v>
      </c>
      <c r="I1163" s="3" t="s">
        <v>65</v>
      </c>
      <c r="J1163" s="3" t="s">
        <v>123</v>
      </c>
      <c r="K1163" s="2" t="str">
        <f aca="false">CONCATENATE(I1163," ",J1163)</f>
        <v>Zora nemoralis</v>
      </c>
      <c r="L1163" s="3" t="n">
        <f aca="false">SUM(P1163:U1163)</f>
        <v>1</v>
      </c>
      <c r="M1163" s="11" t="n">
        <f aca="false">(L1163/(F1163*G1163)*25)*4</f>
        <v>5</v>
      </c>
      <c r="N1163" s="1" t="s">
        <v>30</v>
      </c>
      <c r="O1163" s="1" t="s">
        <v>31</v>
      </c>
      <c r="P1163" s="1" t="n">
        <v>1</v>
      </c>
      <c r="Q1163" s="1" t="n">
        <v>0</v>
      </c>
      <c r="R1163" s="1" t="n">
        <v>0</v>
      </c>
      <c r="S1163" s="1" t="n">
        <v>0</v>
      </c>
      <c r="T1163" s="1" t="n">
        <v>0</v>
      </c>
      <c r="U1163" s="1" t="n">
        <v>0</v>
      </c>
      <c r="V1163" s="3" t="n">
        <f aca="false">SUM(P1163:Q1163)</f>
        <v>1</v>
      </c>
      <c r="W1163" s="3" t="n">
        <f aca="false">SUM(R1163:T1163)</f>
        <v>0</v>
      </c>
      <c r="X1163" s="10" t="n">
        <v>39970</v>
      </c>
      <c r="Y1163" s="10" t="n">
        <v>39975</v>
      </c>
    </row>
    <row r="1164" customFormat="false" ht="14.25" hidden="false" customHeight="false" outlineLevel="0" collapsed="false">
      <c r="A1164" s="1" t="n">
        <v>2009</v>
      </c>
      <c r="B1164" s="1" t="n">
        <v>1</v>
      </c>
      <c r="C1164" s="2" t="s">
        <v>25</v>
      </c>
      <c r="D1164" s="7" t="s">
        <v>26</v>
      </c>
      <c r="E1164" s="1" t="n">
        <v>1</v>
      </c>
      <c r="F1164" s="1" t="n">
        <f aca="false">Y1164-X1164</f>
        <v>5</v>
      </c>
      <c r="G1164" s="1" t="n">
        <v>4</v>
      </c>
      <c r="H1164" s="3" t="s">
        <v>32</v>
      </c>
      <c r="I1164" s="3" t="s">
        <v>62</v>
      </c>
      <c r="J1164" s="3" t="s">
        <v>63</v>
      </c>
      <c r="K1164" s="2" t="str">
        <f aca="false">CONCATENATE(I1164," ",J1164)</f>
        <v>Microneta viaria</v>
      </c>
      <c r="L1164" s="3" t="n">
        <f aca="false">SUM(P1164:U1164)</f>
        <v>2</v>
      </c>
      <c r="M1164" s="11" t="n">
        <f aca="false">(L1164/(F1164*G1164)*25)*4</f>
        <v>10</v>
      </c>
      <c r="N1164" s="1" t="s">
        <v>30</v>
      </c>
      <c r="O1164" s="1" t="s">
        <v>31</v>
      </c>
      <c r="P1164" s="1" t="n">
        <v>2</v>
      </c>
      <c r="Q1164" s="1" t="n">
        <v>0</v>
      </c>
      <c r="R1164" s="1" t="n">
        <v>0</v>
      </c>
      <c r="S1164" s="1" t="n">
        <v>0</v>
      </c>
      <c r="T1164" s="1" t="n">
        <v>0</v>
      </c>
      <c r="U1164" s="1" t="n">
        <v>0</v>
      </c>
      <c r="V1164" s="3" t="n">
        <f aca="false">SUM(P1164:Q1164)</f>
        <v>2</v>
      </c>
      <c r="W1164" s="3" t="n">
        <f aca="false">SUM(R1164:T1164)</f>
        <v>0</v>
      </c>
      <c r="X1164" s="10" t="n">
        <v>39970</v>
      </c>
      <c r="Y1164" s="10" t="n">
        <v>39975</v>
      </c>
    </row>
    <row r="1165" customFormat="false" ht="14.25" hidden="false" customHeight="false" outlineLevel="0" collapsed="false">
      <c r="A1165" s="1" t="n">
        <v>2009</v>
      </c>
      <c r="B1165" s="1" t="n">
        <v>1</v>
      </c>
      <c r="C1165" s="2" t="s">
        <v>25</v>
      </c>
      <c r="D1165" s="7" t="s">
        <v>26</v>
      </c>
      <c r="E1165" s="1" t="n">
        <v>1</v>
      </c>
      <c r="F1165" s="1" t="n">
        <f aca="false">Y1165-X1165</f>
        <v>5</v>
      </c>
      <c r="G1165" s="1" t="n">
        <v>4</v>
      </c>
      <c r="H1165" s="3" t="s">
        <v>32</v>
      </c>
      <c r="I1165" s="3" t="s">
        <v>62</v>
      </c>
      <c r="J1165" s="3" t="s">
        <v>63</v>
      </c>
      <c r="K1165" s="2" t="str">
        <f aca="false">CONCATENATE(I1165," ",J1165)</f>
        <v>Microneta viaria</v>
      </c>
      <c r="L1165" s="3" t="n">
        <f aca="false">SUM(P1165:U1165)</f>
        <v>2</v>
      </c>
      <c r="M1165" s="11" t="n">
        <f aca="false">(L1165/(F1165*G1165)*25)*4</f>
        <v>10</v>
      </c>
      <c r="N1165" s="1" t="s">
        <v>30</v>
      </c>
      <c r="O1165" s="1" t="s">
        <v>35</v>
      </c>
      <c r="P1165" s="1" t="n">
        <v>0</v>
      </c>
      <c r="Q1165" s="1" t="n">
        <v>2</v>
      </c>
      <c r="R1165" s="1" t="n">
        <v>0</v>
      </c>
      <c r="S1165" s="1" t="n">
        <v>0</v>
      </c>
      <c r="T1165" s="1" t="n">
        <v>0</v>
      </c>
      <c r="U1165" s="1" t="n">
        <v>0</v>
      </c>
      <c r="V1165" s="3" t="n">
        <f aca="false">SUM(P1165:Q1165)</f>
        <v>2</v>
      </c>
      <c r="W1165" s="3" t="n">
        <f aca="false">SUM(R1165:T1165)</f>
        <v>0</v>
      </c>
      <c r="X1165" s="10" t="n">
        <v>39970</v>
      </c>
      <c r="Y1165" s="10" t="n">
        <v>39975</v>
      </c>
    </row>
    <row r="1166" customFormat="false" ht="14.25" hidden="false" customHeight="false" outlineLevel="0" collapsed="false">
      <c r="A1166" s="1" t="n">
        <v>2009</v>
      </c>
      <c r="B1166" s="1" t="n">
        <v>1</v>
      </c>
      <c r="C1166" s="2" t="s">
        <v>25</v>
      </c>
      <c r="D1166" s="7" t="s">
        <v>26</v>
      </c>
      <c r="E1166" s="1" t="n">
        <v>1</v>
      </c>
      <c r="F1166" s="1" t="n">
        <f aca="false">Y1166-X1166</f>
        <v>5</v>
      </c>
      <c r="G1166" s="1" t="n">
        <v>4</v>
      </c>
      <c r="H1166" s="3" t="s">
        <v>32</v>
      </c>
      <c r="I1166" s="3" t="s">
        <v>102</v>
      </c>
      <c r="J1166" s="3" t="s">
        <v>103</v>
      </c>
      <c r="K1166" s="2" t="str">
        <f aca="false">CONCATENATE(I1166," ",J1166)</f>
        <v>Agyneta olivacea</v>
      </c>
      <c r="L1166" s="3" t="n">
        <f aca="false">SUM(P1166:U1166)</f>
        <v>2</v>
      </c>
      <c r="M1166" s="11" t="n">
        <f aca="false">(L1166/(F1166*G1166)*25)*4</f>
        <v>10</v>
      </c>
      <c r="N1166" s="1" t="s">
        <v>30</v>
      </c>
      <c r="O1166" s="1" t="s">
        <v>31</v>
      </c>
      <c r="P1166" s="1" t="n">
        <v>2</v>
      </c>
      <c r="Q1166" s="1" t="n">
        <v>0</v>
      </c>
      <c r="R1166" s="1" t="n">
        <v>0</v>
      </c>
      <c r="S1166" s="1" t="n">
        <v>0</v>
      </c>
      <c r="T1166" s="1" t="n">
        <v>0</v>
      </c>
      <c r="U1166" s="1" t="n">
        <v>0</v>
      </c>
      <c r="V1166" s="3" t="n">
        <f aca="false">SUM(P1166:Q1166)</f>
        <v>2</v>
      </c>
      <c r="W1166" s="3" t="n">
        <f aca="false">SUM(R1166:T1166)</f>
        <v>0</v>
      </c>
      <c r="X1166" s="10" t="n">
        <v>39970</v>
      </c>
      <c r="Y1166" s="10" t="n">
        <v>39975</v>
      </c>
    </row>
    <row r="1167" customFormat="false" ht="14.25" hidden="false" customHeight="false" outlineLevel="0" collapsed="false">
      <c r="A1167" s="1" t="n">
        <v>2009</v>
      </c>
      <c r="B1167" s="1" t="n">
        <v>1</v>
      </c>
      <c r="C1167" s="2" t="s">
        <v>25</v>
      </c>
      <c r="D1167" s="7" t="s">
        <v>26</v>
      </c>
      <c r="E1167" s="1" t="n">
        <v>1</v>
      </c>
      <c r="F1167" s="1" t="n">
        <f aca="false">Y1167-X1167</f>
        <v>5</v>
      </c>
      <c r="G1167" s="1" t="n">
        <v>4</v>
      </c>
      <c r="H1167" s="3" t="s">
        <v>32</v>
      </c>
      <c r="I1167" s="3" t="s">
        <v>57</v>
      </c>
      <c r="J1167" s="3" t="s">
        <v>38</v>
      </c>
      <c r="K1167" s="2" t="str">
        <f aca="false">CONCATENATE(I1167," ",J1167)</f>
        <v>Gen sp</v>
      </c>
      <c r="L1167" s="3" t="n">
        <f aca="false">SUM(P1167:U1167)</f>
        <v>1</v>
      </c>
      <c r="M1167" s="11" t="n">
        <f aca="false">(L1167/(F1167*G1167)*25)*4</f>
        <v>5</v>
      </c>
      <c r="N1167" s="1" t="s">
        <v>19</v>
      </c>
      <c r="O1167" s="1" t="s">
        <v>54</v>
      </c>
      <c r="P1167" s="1" t="n">
        <v>0</v>
      </c>
      <c r="Q1167" s="1" t="n">
        <v>0</v>
      </c>
      <c r="R1167" s="1" t="n">
        <v>0</v>
      </c>
      <c r="S1167" s="1" t="n">
        <v>0</v>
      </c>
      <c r="T1167" s="1" t="n">
        <v>1</v>
      </c>
      <c r="U1167" s="1" t="n">
        <v>0</v>
      </c>
      <c r="V1167" s="3" t="n">
        <f aca="false">SUM(P1167:Q1167)</f>
        <v>0</v>
      </c>
      <c r="W1167" s="3" t="n">
        <f aca="false">SUM(R1167:T1167)</f>
        <v>1</v>
      </c>
      <c r="X1167" s="10" t="n">
        <v>39970</v>
      </c>
      <c r="Y1167" s="10" t="n">
        <v>39975</v>
      </c>
    </row>
    <row r="1168" customFormat="false" ht="14.25" hidden="false" customHeight="false" outlineLevel="0" collapsed="false">
      <c r="A1168" s="1" t="n">
        <v>2009</v>
      </c>
      <c r="B1168" s="1" t="n">
        <v>1</v>
      </c>
      <c r="C1168" s="2" t="s">
        <v>25</v>
      </c>
      <c r="D1168" s="7" t="s">
        <v>26</v>
      </c>
      <c r="E1168" s="1" t="n">
        <v>1</v>
      </c>
      <c r="F1168" s="1" t="n">
        <f aca="false">Y1168-X1168</f>
        <v>5</v>
      </c>
      <c r="G1168" s="1" t="n">
        <v>4</v>
      </c>
      <c r="H1168" s="3" t="s">
        <v>48</v>
      </c>
      <c r="I1168" s="3" t="s">
        <v>49</v>
      </c>
      <c r="J1168" s="3" t="s">
        <v>104</v>
      </c>
      <c r="K1168" s="2" t="str">
        <f aca="false">CONCATENATE(I1168," ",J1168)</f>
        <v>Alopecosa taeniata</v>
      </c>
      <c r="L1168" s="3" t="n">
        <f aca="false">SUM(P1168:U1168)</f>
        <v>1</v>
      </c>
      <c r="M1168" s="11" t="n">
        <f aca="false">(L1168/(F1168*G1168)*25)*4</f>
        <v>5</v>
      </c>
      <c r="N1168" s="1" t="s">
        <v>30</v>
      </c>
      <c r="O1168" s="1" t="s">
        <v>31</v>
      </c>
      <c r="P1168" s="1" t="n">
        <v>1</v>
      </c>
      <c r="Q1168" s="1" t="n">
        <v>0</v>
      </c>
      <c r="R1168" s="1" t="n">
        <v>0</v>
      </c>
      <c r="S1168" s="1" t="n">
        <v>0</v>
      </c>
      <c r="T1168" s="1" t="n">
        <v>0</v>
      </c>
      <c r="U1168" s="1" t="n">
        <v>0</v>
      </c>
      <c r="V1168" s="3" t="n">
        <f aca="false">SUM(P1168:Q1168)</f>
        <v>1</v>
      </c>
      <c r="W1168" s="3" t="n">
        <f aca="false">SUM(R1168:T1168)</f>
        <v>0</v>
      </c>
      <c r="X1168" s="10" t="n">
        <v>39970</v>
      </c>
      <c r="Y1168" s="10" t="n">
        <v>39975</v>
      </c>
    </row>
    <row r="1169" customFormat="false" ht="14.25" hidden="false" customHeight="false" outlineLevel="0" collapsed="false">
      <c r="A1169" s="1" t="n">
        <v>2009</v>
      </c>
      <c r="B1169" s="1" t="n">
        <v>1</v>
      </c>
      <c r="C1169" s="2" t="s">
        <v>25</v>
      </c>
      <c r="D1169" s="7" t="s">
        <v>26</v>
      </c>
      <c r="E1169" s="1" t="n">
        <v>1</v>
      </c>
      <c r="F1169" s="1" t="n">
        <f aca="false">Y1169-X1169</f>
        <v>5</v>
      </c>
      <c r="G1169" s="1" t="n">
        <v>4</v>
      </c>
      <c r="H1169" s="3" t="s">
        <v>48</v>
      </c>
      <c r="I1169" s="3" t="s">
        <v>67</v>
      </c>
      <c r="J1169" s="3" t="s">
        <v>127</v>
      </c>
      <c r="K1169" s="2" t="str">
        <f aca="false">CONCATENATE(I1169," ",J1169)</f>
        <v>Pardosa lugubris</v>
      </c>
      <c r="L1169" s="3" t="n">
        <f aca="false">SUM(P1169:U1169)</f>
        <v>4</v>
      </c>
      <c r="M1169" s="11" t="n">
        <f aca="false">(L1169/(F1169*G1169)*25)*4</f>
        <v>20</v>
      </c>
      <c r="N1169" s="1" t="s">
        <v>30</v>
      </c>
      <c r="O1169" s="1" t="s">
        <v>31</v>
      </c>
      <c r="P1169" s="1" t="n">
        <v>4</v>
      </c>
      <c r="Q1169" s="1" t="n">
        <v>0</v>
      </c>
      <c r="R1169" s="1" t="n">
        <v>0</v>
      </c>
      <c r="S1169" s="1" t="n">
        <v>0</v>
      </c>
      <c r="T1169" s="1" t="n">
        <v>0</v>
      </c>
      <c r="U1169" s="1" t="n">
        <v>0</v>
      </c>
      <c r="V1169" s="3" t="n">
        <f aca="false">SUM(P1169:Q1169)</f>
        <v>4</v>
      </c>
      <c r="W1169" s="3" t="n">
        <f aca="false">SUM(R1169:T1169)</f>
        <v>0</v>
      </c>
      <c r="X1169" s="10" t="n">
        <v>39970</v>
      </c>
      <c r="Y1169" s="10" t="n">
        <v>39975</v>
      </c>
    </row>
    <row r="1170" customFormat="false" ht="14.25" hidden="false" customHeight="false" outlineLevel="0" collapsed="false">
      <c r="A1170" s="1" t="n">
        <v>2009</v>
      </c>
      <c r="B1170" s="1" t="n">
        <v>1</v>
      </c>
      <c r="C1170" s="2" t="s">
        <v>25</v>
      </c>
      <c r="D1170" s="7" t="s">
        <v>26</v>
      </c>
      <c r="E1170" s="1" t="n">
        <v>1</v>
      </c>
      <c r="F1170" s="1" t="n">
        <f aca="false">Y1170-X1170</f>
        <v>5</v>
      </c>
      <c r="G1170" s="1" t="n">
        <v>4</v>
      </c>
      <c r="H1170" s="3" t="s">
        <v>48</v>
      </c>
      <c r="I1170" s="3" t="s">
        <v>61</v>
      </c>
      <c r="J1170" s="3" t="s">
        <v>82</v>
      </c>
      <c r="K1170" s="2" t="str">
        <f aca="false">CONCATENATE(I1170," ",J1170)</f>
        <v>Trochosa terricola</v>
      </c>
      <c r="L1170" s="3" t="n">
        <f aca="false">SUM(P1170:U1170)</f>
        <v>1</v>
      </c>
      <c r="M1170" s="11" t="n">
        <f aca="false">(L1170/(F1170*G1170)*25)*4</f>
        <v>5</v>
      </c>
      <c r="N1170" s="1" t="s">
        <v>30</v>
      </c>
      <c r="O1170" s="1" t="s">
        <v>31</v>
      </c>
      <c r="P1170" s="1" t="n">
        <v>1</v>
      </c>
      <c r="Q1170" s="1" t="n">
        <v>0</v>
      </c>
      <c r="R1170" s="1" t="n">
        <v>0</v>
      </c>
      <c r="S1170" s="1" t="n">
        <v>0</v>
      </c>
      <c r="T1170" s="1" t="n">
        <v>0</v>
      </c>
      <c r="U1170" s="1" t="n">
        <v>0</v>
      </c>
      <c r="V1170" s="3" t="n">
        <f aca="false">SUM(P1170:Q1170)</f>
        <v>1</v>
      </c>
      <c r="W1170" s="3" t="n">
        <f aca="false">SUM(R1170:T1170)</f>
        <v>0</v>
      </c>
      <c r="X1170" s="10" t="n">
        <v>39970</v>
      </c>
      <c r="Y1170" s="10" t="n">
        <v>39975</v>
      </c>
    </row>
    <row r="1171" customFormat="false" ht="14.25" hidden="false" customHeight="false" outlineLevel="0" collapsed="false">
      <c r="A1171" s="1" t="n">
        <v>2009</v>
      </c>
      <c r="B1171" s="1" t="n">
        <v>1</v>
      </c>
      <c r="C1171" s="2" t="s">
        <v>25</v>
      </c>
      <c r="D1171" s="7" t="s">
        <v>26</v>
      </c>
      <c r="E1171" s="1" t="n">
        <v>1</v>
      </c>
      <c r="F1171" s="1" t="n">
        <f aca="false">Y1171-X1171</f>
        <v>5</v>
      </c>
      <c r="G1171" s="1" t="n">
        <v>4</v>
      </c>
      <c r="H1171" s="3" t="s">
        <v>64</v>
      </c>
      <c r="I1171" s="3" t="s">
        <v>65</v>
      </c>
      <c r="J1171" s="3" t="s">
        <v>123</v>
      </c>
      <c r="K1171" s="2" t="str">
        <f aca="false">CONCATENATE(I1171," ",J1171)</f>
        <v>Zora nemoralis</v>
      </c>
      <c r="L1171" s="3" t="n">
        <f aca="false">SUM(P1171:U1171)</f>
        <v>3</v>
      </c>
      <c r="M1171" s="11" t="n">
        <f aca="false">(L1171/(F1171*G1171)*25)*4</f>
        <v>15</v>
      </c>
      <c r="N1171" s="1" t="s">
        <v>30</v>
      </c>
      <c r="O1171" s="1" t="s">
        <v>31</v>
      </c>
      <c r="P1171" s="1" t="n">
        <v>3</v>
      </c>
      <c r="Q1171" s="1" t="n">
        <v>0</v>
      </c>
      <c r="R1171" s="1" t="n">
        <v>0</v>
      </c>
      <c r="S1171" s="1" t="n">
        <v>0</v>
      </c>
      <c r="T1171" s="1" t="n">
        <v>0</v>
      </c>
      <c r="U1171" s="1" t="n">
        <v>0</v>
      </c>
      <c r="V1171" s="3" t="n">
        <f aca="false">SUM(P1171:Q1171)</f>
        <v>3</v>
      </c>
      <c r="W1171" s="3" t="n">
        <f aca="false">SUM(R1171:T1171)</f>
        <v>0</v>
      </c>
      <c r="X1171" s="10" t="n">
        <v>39970</v>
      </c>
      <c r="Y1171" s="10" t="n">
        <v>39975</v>
      </c>
    </row>
    <row r="1172" customFormat="false" ht="14.25" hidden="false" customHeight="false" outlineLevel="0" collapsed="false">
      <c r="A1172" s="1" t="n">
        <v>2009</v>
      </c>
      <c r="B1172" s="1" t="n">
        <v>1</v>
      </c>
      <c r="C1172" s="2" t="s">
        <v>25</v>
      </c>
      <c r="D1172" s="7" t="s">
        <v>26</v>
      </c>
      <c r="E1172" s="1" t="n">
        <v>1</v>
      </c>
      <c r="F1172" s="1" t="n">
        <f aca="false">Y1172-X1172</f>
        <v>5</v>
      </c>
      <c r="G1172" s="1" t="n">
        <v>4</v>
      </c>
      <c r="H1172" s="3" t="s">
        <v>72</v>
      </c>
      <c r="I1172" s="3" t="s">
        <v>73</v>
      </c>
      <c r="J1172" s="3" t="s">
        <v>74</v>
      </c>
      <c r="K1172" s="2" t="str">
        <f aca="false">CONCATENATE(I1172," ",J1172)</f>
        <v>Zelotes subterraneus</v>
      </c>
      <c r="L1172" s="3" t="n">
        <f aca="false">SUM(P1172:U1172)</f>
        <v>1</v>
      </c>
      <c r="M1172" s="11" t="n">
        <f aca="false">(L1172/(F1172*G1172)*25)*4</f>
        <v>5</v>
      </c>
      <c r="N1172" s="1" t="s">
        <v>30</v>
      </c>
      <c r="O1172" s="1" t="s">
        <v>31</v>
      </c>
      <c r="P1172" s="1" t="n">
        <v>1</v>
      </c>
      <c r="Q1172" s="1" t="n">
        <v>0</v>
      </c>
      <c r="R1172" s="1" t="n">
        <v>0</v>
      </c>
      <c r="S1172" s="1" t="n">
        <v>0</v>
      </c>
      <c r="T1172" s="1" t="n">
        <v>0</v>
      </c>
      <c r="U1172" s="1" t="n">
        <v>0</v>
      </c>
      <c r="V1172" s="3" t="n">
        <f aca="false">SUM(P1172:Q1172)</f>
        <v>1</v>
      </c>
      <c r="W1172" s="3" t="n">
        <f aca="false">SUM(R1172:T1172)</f>
        <v>0</v>
      </c>
      <c r="X1172" s="10" t="n">
        <v>39970</v>
      </c>
      <c r="Y1172" s="10" t="n">
        <v>39975</v>
      </c>
    </row>
    <row r="1173" customFormat="false" ht="14.25" hidden="false" customHeight="false" outlineLevel="0" collapsed="false">
      <c r="A1173" s="1" t="n">
        <v>2009</v>
      </c>
      <c r="B1173" s="1" t="n">
        <v>1</v>
      </c>
      <c r="C1173" s="2" t="s">
        <v>25</v>
      </c>
      <c r="D1173" s="7" t="s">
        <v>26</v>
      </c>
      <c r="E1173" s="1" t="n">
        <v>1</v>
      </c>
      <c r="F1173" s="1" t="n">
        <f aca="false">Y1173-X1173</f>
        <v>5</v>
      </c>
      <c r="G1173" s="1" t="n">
        <v>4</v>
      </c>
      <c r="H1173" s="3" t="s">
        <v>32</v>
      </c>
      <c r="I1173" s="3" t="s">
        <v>62</v>
      </c>
      <c r="J1173" s="3" t="s">
        <v>63</v>
      </c>
      <c r="K1173" s="2" t="str">
        <f aca="false">CONCATENATE(I1173," ",J1173)</f>
        <v>Microneta viaria</v>
      </c>
      <c r="L1173" s="3" t="n">
        <f aca="false">SUM(P1173:U1173)</f>
        <v>1</v>
      </c>
      <c r="M1173" s="11" t="n">
        <f aca="false">(L1173/(F1173*G1173)*25)*4</f>
        <v>5</v>
      </c>
      <c r="N1173" s="1" t="s">
        <v>30</v>
      </c>
      <c r="O1173" s="1" t="s">
        <v>31</v>
      </c>
      <c r="P1173" s="1" t="n">
        <v>1</v>
      </c>
      <c r="Q1173" s="1" t="n">
        <v>0</v>
      </c>
      <c r="R1173" s="1" t="n">
        <v>0</v>
      </c>
      <c r="S1173" s="1" t="n">
        <v>0</v>
      </c>
      <c r="T1173" s="1" t="n">
        <v>0</v>
      </c>
      <c r="U1173" s="1" t="n">
        <v>0</v>
      </c>
      <c r="V1173" s="3" t="n">
        <f aca="false">SUM(P1173:Q1173)</f>
        <v>1</v>
      </c>
      <c r="W1173" s="3" t="n">
        <f aca="false">SUM(R1173:T1173)</f>
        <v>0</v>
      </c>
      <c r="X1173" s="10" t="n">
        <v>39970</v>
      </c>
      <c r="Y1173" s="10" t="n">
        <v>39975</v>
      </c>
    </row>
    <row r="1174" customFormat="false" ht="14.25" hidden="false" customHeight="false" outlineLevel="0" collapsed="false">
      <c r="A1174" s="1" t="n">
        <v>2009</v>
      </c>
      <c r="B1174" s="1" t="n">
        <v>1</v>
      </c>
      <c r="C1174" s="2" t="s">
        <v>25</v>
      </c>
      <c r="D1174" s="7" t="s">
        <v>26</v>
      </c>
      <c r="E1174" s="1" t="n">
        <v>1</v>
      </c>
      <c r="F1174" s="1" t="n">
        <f aca="false">Y1174-X1174</f>
        <v>5</v>
      </c>
      <c r="G1174" s="1" t="n">
        <v>4</v>
      </c>
      <c r="H1174" s="3" t="s">
        <v>32</v>
      </c>
      <c r="I1174" s="3" t="s">
        <v>102</v>
      </c>
      <c r="J1174" s="3" t="s">
        <v>103</v>
      </c>
      <c r="K1174" s="2" t="str">
        <f aca="false">CONCATENATE(I1174," ",J1174)</f>
        <v>Agyneta olivacea</v>
      </c>
      <c r="L1174" s="3" t="n">
        <f aca="false">SUM(P1174:U1174)</f>
        <v>1</v>
      </c>
      <c r="M1174" s="11" t="n">
        <f aca="false">(L1174/(F1174*G1174)*25)*4</f>
        <v>5</v>
      </c>
      <c r="N1174" s="1" t="s">
        <v>30</v>
      </c>
      <c r="O1174" s="1" t="s">
        <v>31</v>
      </c>
      <c r="P1174" s="1" t="n">
        <v>1</v>
      </c>
      <c r="Q1174" s="1" t="n">
        <v>0</v>
      </c>
      <c r="R1174" s="1" t="n">
        <v>0</v>
      </c>
      <c r="S1174" s="1" t="n">
        <v>0</v>
      </c>
      <c r="T1174" s="1" t="n">
        <v>0</v>
      </c>
      <c r="U1174" s="1" t="n">
        <v>0</v>
      </c>
      <c r="V1174" s="3" t="n">
        <f aca="false">SUM(P1174:Q1174)</f>
        <v>1</v>
      </c>
      <c r="W1174" s="3" t="n">
        <f aca="false">SUM(R1174:T1174)</f>
        <v>0</v>
      </c>
      <c r="X1174" s="10" t="n">
        <v>39970</v>
      </c>
      <c r="Y1174" s="10" t="n">
        <v>39975</v>
      </c>
    </row>
    <row r="1175" customFormat="false" ht="14.25" hidden="false" customHeight="false" outlineLevel="0" collapsed="false">
      <c r="A1175" s="1" t="n">
        <v>2009</v>
      </c>
      <c r="B1175" s="1" t="n">
        <v>1</v>
      </c>
      <c r="C1175" s="2" t="s">
        <v>25</v>
      </c>
      <c r="D1175" s="7" t="s">
        <v>26</v>
      </c>
      <c r="E1175" s="1" t="n">
        <v>2</v>
      </c>
      <c r="F1175" s="1" t="n">
        <f aca="false">Y1175-X1175</f>
        <v>5</v>
      </c>
      <c r="G1175" s="1" t="n">
        <v>5</v>
      </c>
      <c r="H1175" s="3" t="s">
        <v>48</v>
      </c>
      <c r="I1175" s="3" t="s">
        <v>67</v>
      </c>
      <c r="J1175" s="3" t="s">
        <v>127</v>
      </c>
      <c r="K1175" s="2" t="str">
        <f aca="false">CONCATENATE(I1175," ",J1175)</f>
        <v>Pardosa lugubris</v>
      </c>
      <c r="L1175" s="3" t="n">
        <f aca="false">SUM(P1175:U1175)</f>
        <v>2</v>
      </c>
      <c r="M1175" s="11" t="n">
        <f aca="false">(L1175/(F1175*G1175)*25)*4</f>
        <v>8</v>
      </c>
      <c r="N1175" s="1" t="s">
        <v>30</v>
      </c>
      <c r="O1175" s="1" t="s">
        <v>31</v>
      </c>
      <c r="P1175" s="1" t="n">
        <v>2</v>
      </c>
      <c r="Q1175" s="1" t="n">
        <v>0</v>
      </c>
      <c r="R1175" s="1" t="n">
        <v>0</v>
      </c>
      <c r="S1175" s="1" t="n">
        <v>0</v>
      </c>
      <c r="T1175" s="1" t="n">
        <v>0</v>
      </c>
      <c r="U1175" s="1" t="n">
        <v>0</v>
      </c>
      <c r="V1175" s="3" t="n">
        <f aca="false">SUM(P1175:Q1175)</f>
        <v>2</v>
      </c>
      <c r="W1175" s="3" t="n">
        <f aca="false">SUM(R1175:T1175)</f>
        <v>0</v>
      </c>
      <c r="X1175" s="10" t="n">
        <v>39970</v>
      </c>
      <c r="Y1175" s="10" t="n">
        <v>39975</v>
      </c>
    </row>
    <row r="1176" customFormat="false" ht="14.25" hidden="false" customHeight="false" outlineLevel="0" collapsed="false">
      <c r="A1176" s="1" t="n">
        <v>2009</v>
      </c>
      <c r="B1176" s="1" t="n">
        <v>1</v>
      </c>
      <c r="C1176" s="2" t="s">
        <v>25</v>
      </c>
      <c r="D1176" s="7" t="s">
        <v>26</v>
      </c>
      <c r="E1176" s="1" t="n">
        <v>2</v>
      </c>
      <c r="F1176" s="1" t="n">
        <f aca="false">Y1176-X1176</f>
        <v>5</v>
      </c>
      <c r="G1176" s="1" t="n">
        <v>5</v>
      </c>
      <c r="H1176" s="3" t="s">
        <v>64</v>
      </c>
      <c r="I1176" s="3" t="s">
        <v>65</v>
      </c>
      <c r="J1176" s="3" t="s">
        <v>123</v>
      </c>
      <c r="K1176" s="2" t="str">
        <f aca="false">CONCATENATE(I1176," ",J1176)</f>
        <v>Zora nemoralis</v>
      </c>
      <c r="L1176" s="3" t="n">
        <f aca="false">SUM(P1176:U1176)</f>
        <v>2</v>
      </c>
      <c r="M1176" s="11" t="n">
        <f aca="false">(L1176/(F1176*G1176)*25)*4</f>
        <v>8</v>
      </c>
      <c r="N1176" s="1" t="s">
        <v>30</v>
      </c>
      <c r="O1176" s="1" t="s">
        <v>31</v>
      </c>
      <c r="P1176" s="1" t="n">
        <v>2</v>
      </c>
      <c r="Q1176" s="1" t="n">
        <v>0</v>
      </c>
      <c r="R1176" s="1" t="n">
        <v>0</v>
      </c>
      <c r="S1176" s="1" t="n">
        <v>0</v>
      </c>
      <c r="T1176" s="1" t="n">
        <v>0</v>
      </c>
      <c r="U1176" s="1" t="n">
        <v>0</v>
      </c>
      <c r="V1176" s="3" t="n">
        <f aca="false">SUM(P1176:Q1176)</f>
        <v>2</v>
      </c>
      <c r="W1176" s="3" t="n">
        <f aca="false">SUM(R1176:T1176)</f>
        <v>0</v>
      </c>
      <c r="X1176" s="10" t="n">
        <v>39970</v>
      </c>
      <c r="Y1176" s="10" t="n">
        <v>39975</v>
      </c>
    </row>
    <row r="1177" customFormat="false" ht="14.25" hidden="false" customHeight="false" outlineLevel="0" collapsed="false">
      <c r="A1177" s="1" t="n">
        <v>2009</v>
      </c>
      <c r="B1177" s="1" t="n">
        <v>1</v>
      </c>
      <c r="C1177" s="2" t="s">
        <v>25</v>
      </c>
      <c r="D1177" s="7" t="s">
        <v>26</v>
      </c>
      <c r="E1177" s="1" t="n">
        <v>2</v>
      </c>
      <c r="F1177" s="1" t="n">
        <f aca="false">Y1177-X1177</f>
        <v>5</v>
      </c>
      <c r="G1177" s="1" t="n">
        <v>5</v>
      </c>
      <c r="H1177" s="3" t="s">
        <v>36</v>
      </c>
      <c r="I1177" s="3" t="s">
        <v>37</v>
      </c>
      <c r="J1177" s="8" t="s">
        <v>75</v>
      </c>
      <c r="K1177" s="2" t="str">
        <f aca="false">CONCATENATE(I1177," ",J1177)</f>
        <v>Ozyptila praticola</v>
      </c>
      <c r="L1177" s="3" t="n">
        <f aca="false">SUM(P1177:U1177)</f>
        <v>2</v>
      </c>
      <c r="M1177" s="11" t="n">
        <f aca="false">(L1177/(F1177*G1177)*25)*4</f>
        <v>8</v>
      </c>
      <c r="N1177" s="1" t="s">
        <v>30</v>
      </c>
      <c r="O1177" s="1" t="s">
        <v>31</v>
      </c>
      <c r="P1177" s="1" t="n">
        <v>2</v>
      </c>
      <c r="Q1177" s="1" t="n">
        <v>0</v>
      </c>
      <c r="R1177" s="1" t="n">
        <v>0</v>
      </c>
      <c r="S1177" s="1" t="n">
        <v>0</v>
      </c>
      <c r="T1177" s="1" t="n">
        <v>0</v>
      </c>
      <c r="U1177" s="1" t="n">
        <v>0</v>
      </c>
      <c r="V1177" s="3" t="n">
        <f aca="false">SUM(P1177:Q1177)</f>
        <v>2</v>
      </c>
      <c r="W1177" s="3" t="n">
        <f aca="false">SUM(R1177:T1177)</f>
        <v>0</v>
      </c>
      <c r="X1177" s="10" t="n">
        <v>39970</v>
      </c>
      <c r="Y1177" s="10" t="n">
        <v>39975</v>
      </c>
    </row>
    <row r="1178" customFormat="false" ht="14.25" hidden="false" customHeight="false" outlineLevel="0" collapsed="false">
      <c r="A1178" s="1" t="n">
        <v>2009</v>
      </c>
      <c r="B1178" s="1" t="n">
        <v>1</v>
      </c>
      <c r="C1178" s="2" t="s">
        <v>25</v>
      </c>
      <c r="D1178" s="7" t="s">
        <v>26</v>
      </c>
      <c r="E1178" s="1" t="n">
        <v>2</v>
      </c>
      <c r="F1178" s="1" t="n">
        <f aca="false">Y1178-X1178</f>
        <v>5</v>
      </c>
      <c r="G1178" s="1" t="n">
        <v>5</v>
      </c>
      <c r="H1178" s="3" t="s">
        <v>32</v>
      </c>
      <c r="I1178" s="3" t="s">
        <v>33</v>
      </c>
      <c r="J1178" s="3" t="s">
        <v>60</v>
      </c>
      <c r="K1178" s="2" t="str">
        <f aca="false">CONCATENATE(I1178," ",J1178)</f>
        <v>Tenuiphantes tenebricola</v>
      </c>
      <c r="L1178" s="3" t="n">
        <f aca="false">SUM(P1178:U1178)</f>
        <v>1</v>
      </c>
      <c r="M1178" s="11" t="n">
        <f aca="false">(L1178/(F1178*G1178)*25)*4</f>
        <v>4</v>
      </c>
      <c r="N1178" s="1" t="s">
        <v>30</v>
      </c>
      <c r="O1178" s="1" t="s">
        <v>35</v>
      </c>
      <c r="P1178" s="1" t="n">
        <v>0</v>
      </c>
      <c r="Q1178" s="1" t="n">
        <v>1</v>
      </c>
      <c r="R1178" s="1" t="n">
        <v>0</v>
      </c>
      <c r="S1178" s="1" t="n">
        <v>0</v>
      </c>
      <c r="T1178" s="1" t="n">
        <v>0</v>
      </c>
      <c r="U1178" s="1" t="n">
        <v>0</v>
      </c>
      <c r="V1178" s="3" t="n">
        <f aca="false">SUM(P1178:Q1178)</f>
        <v>1</v>
      </c>
      <c r="W1178" s="3" t="n">
        <f aca="false">SUM(R1178:T1178)</f>
        <v>0</v>
      </c>
      <c r="X1178" s="10" t="n">
        <v>39970</v>
      </c>
      <c r="Y1178" s="10" t="n">
        <v>39975</v>
      </c>
    </row>
    <row r="1179" customFormat="false" ht="14.25" hidden="false" customHeight="false" outlineLevel="0" collapsed="false">
      <c r="A1179" s="1" t="n">
        <v>2009</v>
      </c>
      <c r="B1179" s="1" t="n">
        <v>1</v>
      </c>
      <c r="C1179" s="2" t="s">
        <v>25</v>
      </c>
      <c r="D1179" s="7" t="s">
        <v>26</v>
      </c>
      <c r="E1179" s="1" t="n">
        <v>2</v>
      </c>
      <c r="F1179" s="1" t="n">
        <f aca="false">Y1179-X1179</f>
        <v>5</v>
      </c>
      <c r="G1179" s="1" t="n">
        <v>5</v>
      </c>
      <c r="H1179" s="3" t="s">
        <v>32</v>
      </c>
      <c r="I1179" s="3" t="s">
        <v>102</v>
      </c>
      <c r="J1179" s="3" t="s">
        <v>103</v>
      </c>
      <c r="K1179" s="2" t="str">
        <f aca="false">CONCATENATE(I1179," ",J1179)</f>
        <v>Agyneta olivacea</v>
      </c>
      <c r="L1179" s="3" t="n">
        <f aca="false">SUM(P1179:U1179)</f>
        <v>2</v>
      </c>
      <c r="M1179" s="11" t="n">
        <f aca="false">(L1179/(F1179*G1179)*25)*4</f>
        <v>8</v>
      </c>
      <c r="N1179" s="1" t="s">
        <v>30</v>
      </c>
      <c r="O1179" s="1" t="s">
        <v>31</v>
      </c>
      <c r="P1179" s="1" t="n">
        <v>2</v>
      </c>
      <c r="Q1179" s="1" t="n">
        <v>0</v>
      </c>
      <c r="R1179" s="1" t="n">
        <v>0</v>
      </c>
      <c r="S1179" s="1" t="n">
        <v>0</v>
      </c>
      <c r="T1179" s="1" t="n">
        <v>0</v>
      </c>
      <c r="U1179" s="1" t="n">
        <v>0</v>
      </c>
      <c r="V1179" s="3" t="n">
        <f aca="false">SUM(P1179:Q1179)</f>
        <v>2</v>
      </c>
      <c r="W1179" s="3" t="n">
        <f aca="false">SUM(R1179:T1179)</f>
        <v>0</v>
      </c>
      <c r="X1179" s="10" t="n">
        <v>39970</v>
      </c>
      <c r="Y1179" s="10" t="n">
        <v>39975</v>
      </c>
    </row>
    <row r="1180" customFormat="false" ht="14.25" hidden="false" customHeight="false" outlineLevel="0" collapsed="false">
      <c r="A1180" s="1" t="n">
        <v>2009</v>
      </c>
      <c r="B1180" s="1" t="n">
        <v>1</v>
      </c>
      <c r="C1180" s="2" t="s">
        <v>25</v>
      </c>
      <c r="D1180" s="7" t="s">
        <v>26</v>
      </c>
      <c r="E1180" s="1" t="n">
        <v>2</v>
      </c>
      <c r="F1180" s="1" t="n">
        <f aca="false">Y1180-X1180</f>
        <v>5</v>
      </c>
      <c r="G1180" s="1" t="n">
        <v>5</v>
      </c>
      <c r="H1180" s="3" t="s">
        <v>64</v>
      </c>
      <c r="I1180" s="3" t="s">
        <v>65</v>
      </c>
      <c r="J1180" s="3" t="s">
        <v>123</v>
      </c>
      <c r="K1180" s="2" t="str">
        <f aca="false">CONCATENATE(I1180," ",J1180)</f>
        <v>Zora nemoralis</v>
      </c>
      <c r="L1180" s="3" t="n">
        <f aca="false">SUM(P1180:U1180)</f>
        <v>2</v>
      </c>
      <c r="M1180" s="11" t="n">
        <f aca="false">(L1180/(F1180*G1180)*25)*4</f>
        <v>8</v>
      </c>
      <c r="N1180" s="1" t="s">
        <v>30</v>
      </c>
      <c r="O1180" s="1" t="s">
        <v>31</v>
      </c>
      <c r="P1180" s="1" t="n">
        <v>2</v>
      </c>
      <c r="Q1180" s="1" t="n">
        <v>0</v>
      </c>
      <c r="R1180" s="1" t="n">
        <v>0</v>
      </c>
      <c r="S1180" s="1" t="n">
        <v>0</v>
      </c>
      <c r="T1180" s="1" t="n">
        <v>0</v>
      </c>
      <c r="U1180" s="1" t="n">
        <v>0</v>
      </c>
      <c r="V1180" s="3" t="n">
        <f aca="false">SUM(P1180:Q1180)</f>
        <v>2</v>
      </c>
      <c r="W1180" s="3" t="n">
        <f aca="false">SUM(R1180:T1180)</f>
        <v>0</v>
      </c>
      <c r="X1180" s="10" t="n">
        <v>39970</v>
      </c>
      <c r="Y1180" s="10" t="n">
        <v>39975</v>
      </c>
    </row>
    <row r="1181" customFormat="false" ht="14.25" hidden="false" customHeight="false" outlineLevel="0" collapsed="false">
      <c r="A1181" s="1" t="n">
        <v>2009</v>
      </c>
      <c r="B1181" s="1" t="n">
        <v>1</v>
      </c>
      <c r="C1181" s="2" t="s">
        <v>25</v>
      </c>
      <c r="D1181" s="7" t="s">
        <v>26</v>
      </c>
      <c r="E1181" s="1" t="n">
        <v>2</v>
      </c>
      <c r="F1181" s="1" t="n">
        <f aca="false">Y1181-X1181</f>
        <v>5</v>
      </c>
      <c r="G1181" s="1" t="n">
        <v>5</v>
      </c>
      <c r="H1181" s="3" t="s">
        <v>32</v>
      </c>
      <c r="I1181" s="3" t="s">
        <v>55</v>
      </c>
      <c r="J1181" s="3" t="s">
        <v>194</v>
      </c>
      <c r="K1181" s="2" t="str">
        <f aca="false">CONCATENATE(I1181," ",J1181)</f>
        <v>Maro pansibiricus</v>
      </c>
      <c r="L1181" s="3" t="n">
        <f aca="false">SUM(P1181:U1181)</f>
        <v>2</v>
      </c>
      <c r="M1181" s="11" t="n">
        <f aca="false">(L1181/(F1181*G1181)*25)*4</f>
        <v>8</v>
      </c>
      <c r="N1181" s="1" t="s">
        <v>30</v>
      </c>
      <c r="O1181" s="1" t="s">
        <v>31</v>
      </c>
      <c r="P1181" s="1" t="n">
        <v>2</v>
      </c>
      <c r="Q1181" s="1" t="n">
        <v>0</v>
      </c>
      <c r="R1181" s="1" t="n">
        <v>0</v>
      </c>
      <c r="S1181" s="1" t="n">
        <v>0</v>
      </c>
      <c r="T1181" s="1" t="n">
        <v>0</v>
      </c>
      <c r="U1181" s="1" t="n">
        <v>0</v>
      </c>
      <c r="V1181" s="3" t="n">
        <f aca="false">SUM(P1181:Q1181)</f>
        <v>2</v>
      </c>
      <c r="W1181" s="3" t="n">
        <f aca="false">SUM(R1181:T1181)</f>
        <v>0</v>
      </c>
      <c r="X1181" s="10" t="n">
        <v>39970</v>
      </c>
      <c r="Y1181" s="10" t="n">
        <v>39975</v>
      </c>
    </row>
    <row r="1182" customFormat="false" ht="14.25" hidden="false" customHeight="false" outlineLevel="0" collapsed="false">
      <c r="A1182" s="1" t="n">
        <v>2009</v>
      </c>
      <c r="B1182" s="1" t="n">
        <v>1</v>
      </c>
      <c r="C1182" s="2" t="s">
        <v>25</v>
      </c>
      <c r="D1182" s="7" t="s">
        <v>26</v>
      </c>
      <c r="E1182" s="1" t="n">
        <v>2</v>
      </c>
      <c r="F1182" s="1" t="n">
        <f aca="false">Y1182-X1182</f>
        <v>5</v>
      </c>
      <c r="G1182" s="1" t="n">
        <v>5</v>
      </c>
      <c r="H1182" s="3" t="s">
        <v>32</v>
      </c>
      <c r="I1182" s="3" t="s">
        <v>33</v>
      </c>
      <c r="J1182" s="3" t="s">
        <v>60</v>
      </c>
      <c r="K1182" s="2" t="str">
        <f aca="false">CONCATENATE(I1182," ",J1182)</f>
        <v>Tenuiphantes tenebricola</v>
      </c>
      <c r="L1182" s="3" t="n">
        <f aca="false">SUM(P1182:U1182)</f>
        <v>2</v>
      </c>
      <c r="M1182" s="11" t="n">
        <f aca="false">(L1182/(F1182*G1182)*25)*4</f>
        <v>8</v>
      </c>
      <c r="N1182" s="1" t="s">
        <v>30</v>
      </c>
      <c r="O1182" s="1" t="s">
        <v>31</v>
      </c>
      <c r="P1182" s="1" t="n">
        <v>2</v>
      </c>
      <c r="Q1182" s="1" t="n">
        <v>0</v>
      </c>
      <c r="R1182" s="1" t="n">
        <v>0</v>
      </c>
      <c r="S1182" s="1" t="n">
        <v>0</v>
      </c>
      <c r="T1182" s="1" t="n">
        <v>0</v>
      </c>
      <c r="U1182" s="1" t="n">
        <v>0</v>
      </c>
      <c r="V1182" s="3" t="n">
        <f aca="false">SUM(P1182:Q1182)</f>
        <v>2</v>
      </c>
      <c r="W1182" s="3" t="n">
        <f aca="false">SUM(R1182:T1182)</f>
        <v>0</v>
      </c>
      <c r="X1182" s="10" t="n">
        <v>39970</v>
      </c>
      <c r="Y1182" s="10" t="n">
        <v>39975</v>
      </c>
    </row>
    <row r="1183" customFormat="false" ht="14.25" hidden="false" customHeight="false" outlineLevel="0" collapsed="false">
      <c r="A1183" s="1" t="n">
        <v>2009</v>
      </c>
      <c r="B1183" s="1" t="n">
        <v>1</v>
      </c>
      <c r="C1183" s="2" t="s">
        <v>25</v>
      </c>
      <c r="D1183" s="7" t="s">
        <v>26</v>
      </c>
      <c r="E1183" s="1" t="n">
        <v>2</v>
      </c>
      <c r="F1183" s="1" t="n">
        <f aca="false">Y1183-X1183</f>
        <v>5</v>
      </c>
      <c r="G1183" s="1" t="n">
        <v>5</v>
      </c>
      <c r="H1183" s="3" t="s">
        <v>32</v>
      </c>
      <c r="I1183" s="3" t="s">
        <v>57</v>
      </c>
      <c r="J1183" s="3" t="s">
        <v>38</v>
      </c>
      <c r="K1183" s="2" t="str">
        <f aca="false">CONCATENATE(I1183," ",J1183)</f>
        <v>Gen sp</v>
      </c>
      <c r="L1183" s="3" t="n">
        <f aca="false">SUM(P1183:U1183)</f>
        <v>2</v>
      </c>
      <c r="M1183" s="11" t="n">
        <f aca="false">(L1183/(F1183*G1183)*25)*4</f>
        <v>8</v>
      </c>
      <c r="N1183" s="1" t="s">
        <v>19</v>
      </c>
      <c r="O1183" s="1" t="s">
        <v>54</v>
      </c>
      <c r="P1183" s="1" t="n">
        <v>0</v>
      </c>
      <c r="Q1183" s="1" t="n">
        <v>0</v>
      </c>
      <c r="R1183" s="1" t="n">
        <v>0</v>
      </c>
      <c r="S1183" s="1" t="n">
        <v>0</v>
      </c>
      <c r="T1183" s="1" t="n">
        <v>2</v>
      </c>
      <c r="U1183" s="1" t="n">
        <v>0</v>
      </c>
      <c r="V1183" s="3" t="n">
        <f aca="false">SUM(P1183:Q1183)</f>
        <v>0</v>
      </c>
      <c r="W1183" s="3" t="n">
        <f aca="false">SUM(R1183:T1183)</f>
        <v>2</v>
      </c>
      <c r="X1183" s="10" t="n">
        <v>39970</v>
      </c>
      <c r="Y1183" s="10" t="n">
        <v>39975</v>
      </c>
    </row>
    <row r="1184" customFormat="false" ht="14.25" hidden="false" customHeight="false" outlineLevel="0" collapsed="false">
      <c r="A1184" s="1" t="n">
        <v>2009</v>
      </c>
      <c r="B1184" s="1" t="n">
        <v>1</v>
      </c>
      <c r="C1184" s="2" t="s">
        <v>25</v>
      </c>
      <c r="D1184" s="7" t="s">
        <v>26</v>
      </c>
      <c r="E1184" s="1" t="n">
        <v>2</v>
      </c>
      <c r="F1184" s="1" t="n">
        <f aca="false">Y1184-X1184</f>
        <v>5</v>
      </c>
      <c r="G1184" s="1" t="n">
        <v>5</v>
      </c>
      <c r="H1184" s="3" t="s">
        <v>36</v>
      </c>
      <c r="I1184" s="3" t="s">
        <v>37</v>
      </c>
      <c r="J1184" s="8" t="s">
        <v>75</v>
      </c>
      <c r="K1184" s="2" t="str">
        <f aca="false">CONCATENATE(I1184," ",J1184)</f>
        <v>Ozyptila praticola</v>
      </c>
      <c r="L1184" s="3" t="n">
        <f aca="false">SUM(P1184:U1184)</f>
        <v>1</v>
      </c>
      <c r="M1184" s="11" t="n">
        <f aca="false">(L1184/(F1184*G1184)*25)*4</f>
        <v>4</v>
      </c>
      <c r="N1184" s="1" t="s">
        <v>30</v>
      </c>
      <c r="O1184" s="1" t="s">
        <v>31</v>
      </c>
      <c r="P1184" s="1" t="n">
        <v>1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0</v>
      </c>
      <c r="V1184" s="3" t="n">
        <f aca="false">SUM(P1184:Q1184)</f>
        <v>1</v>
      </c>
      <c r="W1184" s="3" t="n">
        <f aca="false">SUM(R1184:T1184)</f>
        <v>0</v>
      </c>
      <c r="X1184" s="10" t="n">
        <v>39970</v>
      </c>
      <c r="Y1184" s="10" t="n">
        <v>39975</v>
      </c>
    </row>
    <row r="1185" customFormat="false" ht="14.25" hidden="false" customHeight="false" outlineLevel="0" collapsed="false">
      <c r="A1185" s="1" t="n">
        <v>2009</v>
      </c>
      <c r="B1185" s="1" t="n">
        <v>1</v>
      </c>
      <c r="C1185" s="2" t="s">
        <v>25</v>
      </c>
      <c r="D1185" s="7" t="s">
        <v>26</v>
      </c>
      <c r="E1185" s="1" t="n">
        <v>2</v>
      </c>
      <c r="F1185" s="1" t="n">
        <f aca="false">Y1185-X1185</f>
        <v>5</v>
      </c>
      <c r="G1185" s="1" t="n">
        <v>5</v>
      </c>
      <c r="H1185" s="3" t="s">
        <v>64</v>
      </c>
      <c r="I1185" s="3" t="s">
        <v>65</v>
      </c>
      <c r="J1185" s="3" t="s">
        <v>123</v>
      </c>
      <c r="K1185" s="2" t="str">
        <f aca="false">CONCATENATE(I1185," ",J1185)</f>
        <v>Zora nemoralis</v>
      </c>
      <c r="L1185" s="3" t="n">
        <f aca="false">SUM(P1185:U1185)</f>
        <v>1</v>
      </c>
      <c r="M1185" s="11" t="n">
        <f aca="false">(L1185/(F1185*G1185)*25)*4</f>
        <v>4</v>
      </c>
      <c r="N1185" s="1" t="s">
        <v>30</v>
      </c>
      <c r="O1185" s="1" t="s">
        <v>31</v>
      </c>
      <c r="P1185" s="1" t="n">
        <v>1</v>
      </c>
      <c r="Q1185" s="1" t="n">
        <v>0</v>
      </c>
      <c r="R1185" s="1" t="n">
        <v>0</v>
      </c>
      <c r="S1185" s="1" t="n">
        <v>0</v>
      </c>
      <c r="T1185" s="1" t="n">
        <v>0</v>
      </c>
      <c r="U1185" s="1" t="n">
        <v>0</v>
      </c>
      <c r="V1185" s="3" t="n">
        <f aca="false">SUM(P1185:Q1185)</f>
        <v>1</v>
      </c>
      <c r="W1185" s="3" t="n">
        <f aca="false">SUM(R1185:T1185)</f>
        <v>0</v>
      </c>
      <c r="X1185" s="10" t="n">
        <v>39970</v>
      </c>
      <c r="Y1185" s="10" t="n">
        <v>39975</v>
      </c>
    </row>
    <row r="1186" customFormat="false" ht="14.25" hidden="false" customHeight="false" outlineLevel="0" collapsed="false">
      <c r="A1186" s="1" t="n">
        <v>2009</v>
      </c>
      <c r="B1186" s="1" t="n">
        <v>1</v>
      </c>
      <c r="C1186" s="2" t="s">
        <v>25</v>
      </c>
      <c r="D1186" s="7" t="s">
        <v>26</v>
      </c>
      <c r="E1186" s="1" t="n">
        <v>2</v>
      </c>
      <c r="F1186" s="1" t="n">
        <f aca="false">Y1186-X1186</f>
        <v>5</v>
      </c>
      <c r="G1186" s="1" t="n">
        <v>5</v>
      </c>
      <c r="H1186" s="3" t="s">
        <v>64</v>
      </c>
      <c r="I1186" s="3" t="s">
        <v>65</v>
      </c>
      <c r="J1186" s="3" t="s">
        <v>66</v>
      </c>
      <c r="K1186" s="2" t="str">
        <f aca="false">CONCATENATE(I1186," ",J1186)</f>
        <v>Zora Spinimana</v>
      </c>
      <c r="L1186" s="3" t="n">
        <f aca="false">SUM(P1186:U1186)</f>
        <v>1</v>
      </c>
      <c r="M1186" s="11" t="n">
        <f aca="false">(L1186/(F1186*G1186)*25)*4</f>
        <v>4</v>
      </c>
      <c r="N1186" s="1" t="s">
        <v>30</v>
      </c>
      <c r="O1186" s="1" t="s">
        <v>35</v>
      </c>
      <c r="P1186" s="1" t="n">
        <v>0</v>
      </c>
      <c r="Q1186" s="1" t="n">
        <v>1</v>
      </c>
      <c r="R1186" s="1" t="n">
        <v>0</v>
      </c>
      <c r="S1186" s="1" t="n">
        <v>0</v>
      </c>
      <c r="T1186" s="1" t="n">
        <v>0</v>
      </c>
      <c r="U1186" s="1" t="n">
        <v>0</v>
      </c>
      <c r="V1186" s="3" t="n">
        <f aca="false">SUM(P1186:Q1186)</f>
        <v>1</v>
      </c>
      <c r="W1186" s="3" t="n">
        <f aca="false">SUM(R1186:T1186)</f>
        <v>0</v>
      </c>
      <c r="X1186" s="10" t="n">
        <v>39970</v>
      </c>
      <c r="Y1186" s="10" t="n">
        <v>39975</v>
      </c>
    </row>
    <row r="1187" customFormat="false" ht="14.25" hidden="false" customHeight="false" outlineLevel="0" collapsed="false">
      <c r="A1187" s="1" t="n">
        <v>2009</v>
      </c>
      <c r="B1187" s="1" t="n">
        <v>1</v>
      </c>
      <c r="C1187" s="2" t="s">
        <v>25</v>
      </c>
      <c r="D1187" s="7" t="s">
        <v>26</v>
      </c>
      <c r="E1187" s="1" t="n">
        <v>2</v>
      </c>
      <c r="F1187" s="1" t="n">
        <f aca="false">Y1187-X1187</f>
        <v>5</v>
      </c>
      <c r="G1187" s="1" t="n">
        <v>5</v>
      </c>
      <c r="H1187" s="3" t="s">
        <v>32</v>
      </c>
      <c r="I1187" s="3" t="s">
        <v>62</v>
      </c>
      <c r="J1187" s="3" t="s">
        <v>63</v>
      </c>
      <c r="K1187" s="2" t="str">
        <f aca="false">CONCATENATE(I1187," ",J1187)</f>
        <v>Microneta viaria</v>
      </c>
      <c r="L1187" s="3" t="n">
        <f aca="false">SUM(P1187:U1187)</f>
        <v>2</v>
      </c>
      <c r="M1187" s="11" t="n">
        <f aca="false">(L1187/(F1187*G1187)*25)*4</f>
        <v>8</v>
      </c>
      <c r="N1187" s="1" t="s">
        <v>30</v>
      </c>
      <c r="O1187" s="1" t="s">
        <v>31</v>
      </c>
      <c r="P1187" s="1" t="n">
        <v>2</v>
      </c>
      <c r="Q1187" s="1" t="n">
        <v>0</v>
      </c>
      <c r="R1187" s="1" t="n">
        <v>0</v>
      </c>
      <c r="S1187" s="1" t="n">
        <v>0</v>
      </c>
      <c r="T1187" s="1" t="n">
        <v>0</v>
      </c>
      <c r="U1187" s="1" t="n">
        <v>0</v>
      </c>
      <c r="V1187" s="3" t="n">
        <f aca="false">SUM(P1187:Q1187)</f>
        <v>2</v>
      </c>
      <c r="W1187" s="3" t="n">
        <f aca="false">SUM(R1187:T1187)</f>
        <v>0</v>
      </c>
      <c r="X1187" s="10" t="n">
        <v>39970</v>
      </c>
      <c r="Y1187" s="10" t="n">
        <v>39975</v>
      </c>
    </row>
    <row r="1188" customFormat="false" ht="14.25" hidden="false" customHeight="false" outlineLevel="0" collapsed="false">
      <c r="A1188" s="1" t="n">
        <v>2009</v>
      </c>
      <c r="B1188" s="1" t="n">
        <v>1</v>
      </c>
      <c r="C1188" s="2" t="s">
        <v>25</v>
      </c>
      <c r="D1188" s="7" t="s">
        <v>26</v>
      </c>
      <c r="E1188" s="1" t="n">
        <v>2</v>
      </c>
      <c r="F1188" s="1" t="n">
        <f aca="false">Y1188-X1188</f>
        <v>5</v>
      </c>
      <c r="G1188" s="1" t="n">
        <v>5</v>
      </c>
      <c r="H1188" s="3" t="s">
        <v>32</v>
      </c>
      <c r="I1188" s="3" t="s">
        <v>62</v>
      </c>
      <c r="J1188" s="3" t="s">
        <v>63</v>
      </c>
      <c r="K1188" s="2" t="str">
        <f aca="false">CONCATENATE(I1188," ",J1188)</f>
        <v>Microneta viaria</v>
      </c>
      <c r="L1188" s="3" t="n">
        <f aca="false">SUM(P1188:U1188)</f>
        <v>1</v>
      </c>
      <c r="M1188" s="11" t="n">
        <f aca="false">(L1188/(F1188*G1188)*25)*4</f>
        <v>4</v>
      </c>
      <c r="N1188" s="1" t="s">
        <v>30</v>
      </c>
      <c r="O1188" s="1" t="s">
        <v>35</v>
      </c>
      <c r="P1188" s="1" t="n">
        <v>0</v>
      </c>
      <c r="Q1188" s="1" t="n">
        <v>1</v>
      </c>
      <c r="R1188" s="1" t="n">
        <v>0</v>
      </c>
      <c r="S1188" s="1" t="n">
        <v>0</v>
      </c>
      <c r="T1188" s="1" t="n">
        <v>0</v>
      </c>
      <c r="U1188" s="1" t="n">
        <v>0</v>
      </c>
      <c r="V1188" s="3" t="n">
        <f aca="false">SUM(P1188:Q1188)</f>
        <v>1</v>
      </c>
      <c r="W1188" s="3" t="n">
        <f aca="false">SUM(R1188:T1188)</f>
        <v>0</v>
      </c>
      <c r="X1188" s="10" t="n">
        <v>39970</v>
      </c>
      <c r="Y1188" s="10" t="n">
        <v>39975</v>
      </c>
    </row>
    <row r="1189" customFormat="false" ht="14.25" hidden="false" customHeight="false" outlineLevel="0" collapsed="false">
      <c r="A1189" s="1" t="n">
        <v>2009</v>
      </c>
      <c r="B1189" s="1" t="n">
        <v>1</v>
      </c>
      <c r="C1189" s="2" t="s">
        <v>25</v>
      </c>
      <c r="D1189" s="7" t="s">
        <v>26</v>
      </c>
      <c r="E1189" s="1" t="n">
        <v>2</v>
      </c>
      <c r="F1189" s="1" t="n">
        <f aca="false">Y1189-X1189</f>
        <v>5</v>
      </c>
      <c r="G1189" s="1" t="n">
        <v>5</v>
      </c>
      <c r="H1189" s="3" t="s">
        <v>32</v>
      </c>
      <c r="I1189" s="3" t="s">
        <v>84</v>
      </c>
      <c r="J1189" s="3" t="s">
        <v>168</v>
      </c>
      <c r="K1189" s="2" t="str">
        <f aca="false">CONCATENATE(I1189," ",J1189)</f>
        <v>Walckenaeria atrotibialis</v>
      </c>
      <c r="L1189" s="3" t="n">
        <f aca="false">SUM(P1189:U1189)</f>
        <v>1</v>
      </c>
      <c r="M1189" s="11" t="n">
        <f aca="false">(L1189/(F1189*G1189)*25)*4</f>
        <v>4</v>
      </c>
      <c r="N1189" s="1" t="s">
        <v>30</v>
      </c>
      <c r="O1189" s="1" t="s">
        <v>31</v>
      </c>
      <c r="P1189" s="1" t="n">
        <v>1</v>
      </c>
      <c r="Q1189" s="1" t="n">
        <v>0</v>
      </c>
      <c r="R1189" s="1" t="n">
        <v>0</v>
      </c>
      <c r="S1189" s="1" t="n">
        <v>0</v>
      </c>
      <c r="T1189" s="1" t="n">
        <v>0</v>
      </c>
      <c r="U1189" s="1" t="n">
        <v>0</v>
      </c>
      <c r="V1189" s="3" t="n">
        <f aca="false">SUM(P1189:Q1189)</f>
        <v>1</v>
      </c>
      <c r="W1189" s="3" t="n">
        <f aca="false">SUM(R1189:T1189)</f>
        <v>0</v>
      </c>
      <c r="X1189" s="10" t="n">
        <v>39970</v>
      </c>
      <c r="Y1189" s="10" t="n">
        <v>39975</v>
      </c>
    </row>
    <row r="1190" customFormat="false" ht="14.25" hidden="false" customHeight="false" outlineLevel="0" collapsed="false">
      <c r="A1190" s="1" t="n">
        <v>2009</v>
      </c>
      <c r="B1190" s="1" t="n">
        <v>1</v>
      </c>
      <c r="C1190" s="2" t="s">
        <v>25</v>
      </c>
      <c r="D1190" s="7" t="s">
        <v>26</v>
      </c>
      <c r="E1190" s="1" t="n">
        <v>2</v>
      </c>
      <c r="F1190" s="1" t="n">
        <f aca="false">Y1190-X1190</f>
        <v>5</v>
      </c>
      <c r="G1190" s="1" t="n">
        <v>5</v>
      </c>
      <c r="H1190" s="3" t="s">
        <v>36</v>
      </c>
      <c r="I1190" s="3" t="s">
        <v>37</v>
      </c>
      <c r="J1190" s="8" t="s">
        <v>75</v>
      </c>
      <c r="K1190" s="2" t="str">
        <f aca="false">CONCATENATE(I1190," ",J1190)</f>
        <v>Ozyptila praticola</v>
      </c>
      <c r="L1190" s="3" t="n">
        <f aca="false">SUM(P1190:U1190)</f>
        <v>2</v>
      </c>
      <c r="M1190" s="11" t="n">
        <f aca="false">(L1190/(F1190*G1190)*25)*4</f>
        <v>8</v>
      </c>
      <c r="N1190" s="1" t="s">
        <v>30</v>
      </c>
      <c r="O1190" s="1" t="s">
        <v>31</v>
      </c>
      <c r="P1190" s="1" t="n">
        <v>2</v>
      </c>
      <c r="Q1190" s="1" t="n">
        <v>0</v>
      </c>
      <c r="R1190" s="1" t="n">
        <v>0</v>
      </c>
      <c r="S1190" s="1" t="n">
        <v>0</v>
      </c>
      <c r="T1190" s="1" t="n">
        <v>0</v>
      </c>
      <c r="U1190" s="1" t="n">
        <v>0</v>
      </c>
      <c r="V1190" s="3" t="n">
        <f aca="false">SUM(P1190:Q1190)</f>
        <v>2</v>
      </c>
      <c r="W1190" s="3" t="n">
        <f aca="false">SUM(R1190:T1190)</f>
        <v>0</v>
      </c>
      <c r="X1190" s="10" t="n">
        <v>39970</v>
      </c>
      <c r="Y1190" s="10" t="n">
        <v>39975</v>
      </c>
    </row>
    <row r="1191" customFormat="false" ht="14.25" hidden="false" customHeight="false" outlineLevel="0" collapsed="false">
      <c r="A1191" s="1" t="n">
        <v>2009</v>
      </c>
      <c r="B1191" s="1" t="n">
        <v>1</v>
      </c>
      <c r="C1191" s="2" t="s">
        <v>25</v>
      </c>
      <c r="D1191" s="7" t="s">
        <v>26</v>
      </c>
      <c r="E1191" s="1" t="n">
        <v>2</v>
      </c>
      <c r="F1191" s="1" t="n">
        <f aca="false">Y1191-X1191</f>
        <v>5</v>
      </c>
      <c r="G1191" s="1" t="n">
        <v>5</v>
      </c>
      <c r="H1191" s="3" t="s">
        <v>27</v>
      </c>
      <c r="I1191" s="3" t="s">
        <v>28</v>
      </c>
      <c r="J1191" s="3" t="s">
        <v>29</v>
      </c>
      <c r="K1191" s="2" t="str">
        <f aca="false">CONCATENATE(I1191," ",J1191)</f>
        <v>Robertus lividus</v>
      </c>
      <c r="L1191" s="3" t="n">
        <f aca="false">SUM(P1191:U1191)</f>
        <v>1</v>
      </c>
      <c r="M1191" s="11" t="n">
        <f aca="false">(L1191/(F1191*G1191)*25)*4</f>
        <v>4</v>
      </c>
      <c r="N1191" s="1" t="s">
        <v>30</v>
      </c>
      <c r="O1191" s="1" t="s">
        <v>31</v>
      </c>
      <c r="P1191" s="1" t="n">
        <v>1</v>
      </c>
      <c r="Q1191" s="1" t="n">
        <v>0</v>
      </c>
      <c r="R1191" s="1" t="n">
        <v>0</v>
      </c>
      <c r="S1191" s="1" t="n">
        <v>0</v>
      </c>
      <c r="T1191" s="1" t="n">
        <v>0</v>
      </c>
      <c r="U1191" s="1" t="n">
        <v>0</v>
      </c>
      <c r="V1191" s="3" t="n">
        <f aca="false">SUM(P1191:Q1191)</f>
        <v>1</v>
      </c>
      <c r="W1191" s="3" t="n">
        <f aca="false">SUM(R1191:T1191)</f>
        <v>0</v>
      </c>
      <c r="X1191" s="10" t="n">
        <v>39970</v>
      </c>
      <c r="Y1191" s="10" t="n">
        <v>39975</v>
      </c>
    </row>
    <row r="1192" customFormat="false" ht="14.25" hidden="false" customHeight="false" outlineLevel="0" collapsed="false">
      <c r="A1192" s="1" t="n">
        <v>2009</v>
      </c>
      <c r="B1192" s="1" t="n">
        <v>1</v>
      </c>
      <c r="C1192" s="2" t="s">
        <v>25</v>
      </c>
      <c r="D1192" s="7" t="s">
        <v>26</v>
      </c>
      <c r="E1192" s="1" t="n">
        <v>2</v>
      </c>
      <c r="F1192" s="1" t="n">
        <f aca="false">Y1192-X1192</f>
        <v>5</v>
      </c>
      <c r="G1192" s="1" t="n">
        <v>5</v>
      </c>
      <c r="H1192" s="3" t="s">
        <v>32</v>
      </c>
      <c r="I1192" s="3" t="s">
        <v>62</v>
      </c>
      <c r="J1192" s="3" t="s">
        <v>63</v>
      </c>
      <c r="K1192" s="2" t="str">
        <f aca="false">CONCATENATE(I1192," ",J1192)</f>
        <v>Microneta viaria</v>
      </c>
      <c r="L1192" s="3" t="n">
        <f aca="false">SUM(P1192:U1192)</f>
        <v>1</v>
      </c>
      <c r="M1192" s="11" t="n">
        <f aca="false">(L1192/(F1192*G1192)*25)*4</f>
        <v>4</v>
      </c>
      <c r="N1192" s="1" t="s">
        <v>30</v>
      </c>
      <c r="O1192" s="1" t="s">
        <v>35</v>
      </c>
      <c r="P1192" s="1" t="n">
        <v>0</v>
      </c>
      <c r="Q1192" s="1" t="n">
        <v>1</v>
      </c>
      <c r="R1192" s="1" t="n">
        <v>0</v>
      </c>
      <c r="S1192" s="1" t="n">
        <v>0</v>
      </c>
      <c r="T1192" s="1" t="n">
        <v>0</v>
      </c>
      <c r="U1192" s="1" t="n">
        <v>0</v>
      </c>
      <c r="V1192" s="3" t="n">
        <f aca="false">SUM(P1192:Q1192)</f>
        <v>1</v>
      </c>
      <c r="W1192" s="3" t="n">
        <f aca="false">SUM(R1192:T1192)</f>
        <v>0</v>
      </c>
      <c r="X1192" s="10" t="n">
        <v>39970</v>
      </c>
      <c r="Y1192" s="10" t="n">
        <v>39975</v>
      </c>
    </row>
    <row r="1193" customFormat="false" ht="14.25" hidden="false" customHeight="false" outlineLevel="0" collapsed="false">
      <c r="A1193" s="1" t="n">
        <v>2009</v>
      </c>
      <c r="B1193" s="1" t="n">
        <v>1</v>
      </c>
      <c r="C1193" s="2" t="s">
        <v>25</v>
      </c>
      <c r="D1193" s="7" t="s">
        <v>26</v>
      </c>
      <c r="E1193" s="1" t="n">
        <v>2</v>
      </c>
      <c r="F1193" s="1" t="n">
        <f aca="false">Y1193-X1193</f>
        <v>5</v>
      </c>
      <c r="G1193" s="1" t="n">
        <v>5</v>
      </c>
      <c r="H1193" s="13" t="s">
        <v>32</v>
      </c>
      <c r="I1193" s="13" t="s">
        <v>96</v>
      </c>
      <c r="J1193" s="14" t="s">
        <v>97</v>
      </c>
      <c r="K1193" s="2" t="str">
        <f aca="false">CONCATENATE(I1193," ",J1193)</f>
        <v>Diplocephalus picinus</v>
      </c>
      <c r="L1193" s="3" t="n">
        <f aca="false">SUM(P1193:U1193)</f>
        <v>1</v>
      </c>
      <c r="M1193" s="11" t="n">
        <f aca="false">(L1193/(F1193*G1193)*25)*4</f>
        <v>4</v>
      </c>
      <c r="N1193" s="1" t="s">
        <v>30</v>
      </c>
      <c r="O1193" s="1" t="s">
        <v>31</v>
      </c>
      <c r="P1193" s="1" t="n">
        <v>1</v>
      </c>
      <c r="Q1193" s="1" t="n">
        <v>0</v>
      </c>
      <c r="R1193" s="1" t="n">
        <v>0</v>
      </c>
      <c r="S1193" s="1" t="n">
        <v>0</v>
      </c>
      <c r="T1193" s="1" t="n">
        <v>0</v>
      </c>
      <c r="U1193" s="1" t="n">
        <v>0</v>
      </c>
      <c r="V1193" s="3" t="n">
        <f aca="false">SUM(P1193:Q1193)</f>
        <v>1</v>
      </c>
      <c r="W1193" s="3" t="n">
        <f aca="false">SUM(R1193:T1193)</f>
        <v>0</v>
      </c>
      <c r="X1193" s="10" t="n">
        <v>39970</v>
      </c>
      <c r="Y1193" s="10" t="n">
        <v>39975</v>
      </c>
    </row>
    <row r="1194" customFormat="false" ht="14.25" hidden="false" customHeight="false" outlineLevel="0" collapsed="false">
      <c r="A1194" s="1" t="n">
        <v>2009</v>
      </c>
      <c r="B1194" s="1" t="n">
        <v>1</v>
      </c>
      <c r="C1194" s="2" t="s">
        <v>25</v>
      </c>
      <c r="D1194" s="7" t="s">
        <v>26</v>
      </c>
      <c r="E1194" s="1" t="n">
        <v>2</v>
      </c>
      <c r="F1194" s="1" t="n">
        <f aca="false">Y1194-X1194</f>
        <v>5</v>
      </c>
      <c r="G1194" s="1" t="n">
        <v>5</v>
      </c>
      <c r="H1194" s="3" t="s">
        <v>32</v>
      </c>
      <c r="I1194" s="3" t="s">
        <v>102</v>
      </c>
      <c r="J1194" s="3" t="s">
        <v>103</v>
      </c>
      <c r="K1194" s="2" t="str">
        <f aca="false">CONCATENATE(I1194," ",J1194)</f>
        <v>Agyneta olivacea</v>
      </c>
      <c r="L1194" s="3" t="n">
        <f aca="false">SUM(P1194:U1194)</f>
        <v>1</v>
      </c>
      <c r="M1194" s="11" t="n">
        <f aca="false">(L1194/(F1194*G1194)*25)*4</f>
        <v>4</v>
      </c>
      <c r="N1194" s="1" t="s">
        <v>30</v>
      </c>
      <c r="O1194" s="1" t="s">
        <v>31</v>
      </c>
      <c r="P1194" s="1" t="n">
        <v>1</v>
      </c>
      <c r="Q1194" s="1" t="n">
        <v>0</v>
      </c>
      <c r="R1194" s="1" t="n">
        <v>0</v>
      </c>
      <c r="S1194" s="1" t="n">
        <v>0</v>
      </c>
      <c r="T1194" s="1" t="n">
        <v>0</v>
      </c>
      <c r="U1194" s="1" t="n">
        <v>0</v>
      </c>
      <c r="V1194" s="3" t="n">
        <f aca="false">SUM(P1194:Q1194)</f>
        <v>1</v>
      </c>
      <c r="W1194" s="3" t="n">
        <f aca="false">SUM(R1194:T1194)</f>
        <v>0</v>
      </c>
      <c r="X1194" s="10" t="n">
        <v>39970</v>
      </c>
      <c r="Y1194" s="10" t="n">
        <v>39975</v>
      </c>
    </row>
    <row r="1195" customFormat="false" ht="14.25" hidden="false" customHeight="false" outlineLevel="0" collapsed="false">
      <c r="A1195" s="1" t="n">
        <v>2009</v>
      </c>
      <c r="B1195" s="1" t="n">
        <v>1</v>
      </c>
      <c r="C1195" s="2" t="s">
        <v>25</v>
      </c>
      <c r="D1195" s="7" t="s">
        <v>26</v>
      </c>
      <c r="E1195" s="1" t="n">
        <v>2</v>
      </c>
      <c r="F1195" s="1" t="n">
        <f aca="false">Y1195-X1195</f>
        <v>5</v>
      </c>
      <c r="G1195" s="1" t="n">
        <v>5</v>
      </c>
      <c r="H1195" s="3" t="s">
        <v>36</v>
      </c>
      <c r="I1195" s="3" t="s">
        <v>37</v>
      </c>
      <c r="J1195" s="8" t="s">
        <v>75</v>
      </c>
      <c r="K1195" s="2" t="str">
        <f aca="false">CONCATENATE(I1195," ",J1195)</f>
        <v>Ozyptila praticola</v>
      </c>
      <c r="L1195" s="3" t="n">
        <f aca="false">SUM(P1195:U1195)</f>
        <v>1</v>
      </c>
      <c r="M1195" s="11" t="n">
        <f aca="false">(L1195/(F1195*G1195)*25)*4</f>
        <v>4</v>
      </c>
      <c r="N1195" s="1" t="s">
        <v>30</v>
      </c>
      <c r="O1195" s="1" t="s">
        <v>31</v>
      </c>
      <c r="P1195" s="1" t="n">
        <v>1</v>
      </c>
      <c r="Q1195" s="1" t="n">
        <v>0</v>
      </c>
      <c r="R1195" s="1" t="n">
        <v>0</v>
      </c>
      <c r="S1195" s="1" t="n">
        <v>0</v>
      </c>
      <c r="T1195" s="1" t="n">
        <v>0</v>
      </c>
      <c r="U1195" s="1" t="n">
        <v>0</v>
      </c>
      <c r="V1195" s="3" t="n">
        <f aca="false">SUM(P1195:Q1195)</f>
        <v>1</v>
      </c>
      <c r="W1195" s="3" t="n">
        <f aca="false">SUM(R1195:T1195)</f>
        <v>0</v>
      </c>
      <c r="X1195" s="10" t="n">
        <v>39970</v>
      </c>
      <c r="Y1195" s="10" t="n">
        <v>39975</v>
      </c>
    </row>
    <row r="1196" customFormat="false" ht="14.25" hidden="false" customHeight="false" outlineLevel="0" collapsed="false">
      <c r="A1196" s="1" t="n">
        <v>2009</v>
      </c>
      <c r="B1196" s="1" t="n">
        <v>1</v>
      </c>
      <c r="C1196" s="2" t="s">
        <v>25</v>
      </c>
      <c r="D1196" s="7" t="s">
        <v>26</v>
      </c>
      <c r="E1196" s="1" t="n">
        <v>2</v>
      </c>
      <c r="F1196" s="1" t="n">
        <f aca="false">Y1196-X1196</f>
        <v>5</v>
      </c>
      <c r="G1196" s="1" t="n">
        <v>5</v>
      </c>
      <c r="H1196" s="3" t="s">
        <v>64</v>
      </c>
      <c r="I1196" s="3" t="s">
        <v>65</v>
      </c>
      <c r="J1196" s="3" t="s">
        <v>123</v>
      </c>
      <c r="K1196" s="2" t="str">
        <f aca="false">CONCATENATE(I1196," ",J1196)</f>
        <v>Zora nemoralis</v>
      </c>
      <c r="L1196" s="3" t="n">
        <f aca="false">SUM(P1196:U1196)</f>
        <v>2</v>
      </c>
      <c r="M1196" s="11" t="n">
        <f aca="false">(L1196/(F1196*G1196)*25)*4</f>
        <v>8</v>
      </c>
      <c r="N1196" s="1" t="s">
        <v>30</v>
      </c>
      <c r="O1196" s="1" t="s">
        <v>31</v>
      </c>
      <c r="P1196" s="1" t="n">
        <v>2</v>
      </c>
      <c r="Q1196" s="1" t="n">
        <v>0</v>
      </c>
      <c r="R1196" s="1" t="n">
        <v>0</v>
      </c>
      <c r="S1196" s="1" t="n">
        <v>0</v>
      </c>
      <c r="T1196" s="1" t="n">
        <v>0</v>
      </c>
      <c r="U1196" s="1" t="n">
        <v>0</v>
      </c>
      <c r="V1196" s="3" t="n">
        <f aca="false">SUM(P1196:Q1196)</f>
        <v>2</v>
      </c>
      <c r="W1196" s="3" t="n">
        <f aca="false">SUM(R1196:T1196)</f>
        <v>0</v>
      </c>
      <c r="X1196" s="10" t="n">
        <v>39970</v>
      </c>
      <c r="Y1196" s="10" t="n">
        <v>39975</v>
      </c>
    </row>
    <row r="1197" customFormat="false" ht="14.25" hidden="false" customHeight="false" outlineLevel="0" collapsed="false">
      <c r="A1197" s="1" t="n">
        <v>2009</v>
      </c>
      <c r="B1197" s="1" t="n">
        <v>1</v>
      </c>
      <c r="C1197" s="2" t="s">
        <v>25</v>
      </c>
      <c r="D1197" s="7" t="s">
        <v>26</v>
      </c>
      <c r="E1197" s="1" t="n">
        <v>2</v>
      </c>
      <c r="F1197" s="1" t="n">
        <f aca="false">Y1197-X1197</f>
        <v>5</v>
      </c>
      <c r="G1197" s="1" t="n">
        <v>5</v>
      </c>
      <c r="H1197" s="3" t="s">
        <v>64</v>
      </c>
      <c r="I1197" s="3" t="s">
        <v>65</v>
      </c>
      <c r="J1197" s="3" t="s">
        <v>66</v>
      </c>
      <c r="K1197" s="2" t="str">
        <f aca="false">CONCATENATE(I1197," ",J1197)</f>
        <v>Zora Spinimana</v>
      </c>
      <c r="L1197" s="3" t="n">
        <f aca="false">SUM(P1197:U1197)</f>
        <v>1</v>
      </c>
      <c r="M1197" s="11" t="n">
        <f aca="false">(L1197/(F1197*G1197)*25)*4</f>
        <v>4</v>
      </c>
      <c r="N1197" s="1" t="s">
        <v>30</v>
      </c>
      <c r="O1197" s="1" t="s">
        <v>31</v>
      </c>
      <c r="P1197" s="1" t="n">
        <v>1</v>
      </c>
      <c r="Q1197" s="1" t="n">
        <v>0</v>
      </c>
      <c r="R1197" s="1" t="n">
        <v>0</v>
      </c>
      <c r="S1197" s="1" t="n">
        <v>0</v>
      </c>
      <c r="T1197" s="1" t="n">
        <v>0</v>
      </c>
      <c r="U1197" s="1" t="n">
        <v>0</v>
      </c>
      <c r="V1197" s="3" t="n">
        <f aca="false">SUM(P1197:Q1197)</f>
        <v>1</v>
      </c>
      <c r="W1197" s="3" t="n">
        <f aca="false">SUM(R1197:T1197)</f>
        <v>0</v>
      </c>
      <c r="X1197" s="10" t="n">
        <v>39970</v>
      </c>
      <c r="Y1197" s="10" t="n">
        <v>39975</v>
      </c>
    </row>
    <row r="1198" customFormat="false" ht="14.25" hidden="false" customHeight="false" outlineLevel="0" collapsed="false">
      <c r="A1198" s="1" t="n">
        <v>2009</v>
      </c>
      <c r="B1198" s="1" t="n">
        <v>1</v>
      </c>
      <c r="C1198" s="2" t="s">
        <v>25</v>
      </c>
      <c r="D1198" s="7" t="s">
        <v>26</v>
      </c>
      <c r="E1198" s="1" t="n">
        <v>2</v>
      </c>
      <c r="F1198" s="1" t="n">
        <f aca="false">Y1198-X1198</f>
        <v>5</v>
      </c>
      <c r="G1198" s="1" t="n">
        <v>5</v>
      </c>
      <c r="H1198" s="3" t="s">
        <v>64</v>
      </c>
      <c r="I1198" s="3" t="s">
        <v>65</v>
      </c>
      <c r="J1198" s="3" t="s">
        <v>66</v>
      </c>
      <c r="K1198" s="2" t="str">
        <f aca="false">CONCATENATE(I1198," ",J1198)</f>
        <v>Zora Spinimana</v>
      </c>
      <c r="L1198" s="3" t="n">
        <f aca="false">SUM(P1198:U1198)</f>
        <v>1</v>
      </c>
      <c r="M1198" s="11" t="n">
        <f aca="false">(L1198/(F1198*G1198)*25)*4</f>
        <v>4</v>
      </c>
      <c r="N1198" s="1" t="s">
        <v>30</v>
      </c>
      <c r="O1198" s="1" t="s">
        <v>35</v>
      </c>
      <c r="P1198" s="1" t="n">
        <v>0</v>
      </c>
      <c r="Q1198" s="1" t="n">
        <v>1</v>
      </c>
      <c r="R1198" s="1" t="n">
        <v>0</v>
      </c>
      <c r="S1198" s="1" t="n">
        <v>0</v>
      </c>
      <c r="T1198" s="1" t="n">
        <v>0</v>
      </c>
      <c r="U1198" s="1" t="n">
        <v>0</v>
      </c>
      <c r="V1198" s="3" t="n">
        <f aca="false">SUM(P1198:Q1198)</f>
        <v>1</v>
      </c>
      <c r="W1198" s="3" t="n">
        <f aca="false">SUM(R1198:T1198)</f>
        <v>0</v>
      </c>
      <c r="X1198" s="10" t="n">
        <v>39970</v>
      </c>
      <c r="Y1198" s="10" t="n">
        <v>39975</v>
      </c>
    </row>
    <row r="1199" customFormat="false" ht="14.25" hidden="false" customHeight="false" outlineLevel="0" collapsed="false">
      <c r="A1199" s="1" t="n">
        <v>2009</v>
      </c>
      <c r="B1199" s="1" t="n">
        <v>1</v>
      </c>
      <c r="C1199" s="2" t="s">
        <v>25</v>
      </c>
      <c r="D1199" s="7" t="s">
        <v>26</v>
      </c>
      <c r="E1199" s="1" t="n">
        <v>2</v>
      </c>
      <c r="F1199" s="1" t="n">
        <f aca="false">Y1199-X1199</f>
        <v>5</v>
      </c>
      <c r="G1199" s="1" t="n">
        <v>5</v>
      </c>
      <c r="H1199" s="3" t="s">
        <v>32</v>
      </c>
      <c r="I1199" s="3" t="s">
        <v>33</v>
      </c>
      <c r="J1199" s="3" t="s">
        <v>60</v>
      </c>
      <c r="K1199" s="2" t="str">
        <f aca="false">CONCATENATE(I1199," ",J1199)</f>
        <v>Tenuiphantes tenebricola</v>
      </c>
      <c r="L1199" s="3" t="n">
        <f aca="false">SUM(P1199:U1199)</f>
        <v>1</v>
      </c>
      <c r="M1199" s="11" t="n">
        <f aca="false">(L1199/(F1199*G1199)*25)*4</f>
        <v>4</v>
      </c>
      <c r="N1199" s="1" t="s">
        <v>30</v>
      </c>
      <c r="O1199" s="1" t="s">
        <v>31</v>
      </c>
      <c r="P1199" s="1" t="n">
        <v>1</v>
      </c>
      <c r="Q1199" s="1" t="n">
        <v>0</v>
      </c>
      <c r="R1199" s="1" t="n">
        <v>0</v>
      </c>
      <c r="S1199" s="1" t="n">
        <v>0</v>
      </c>
      <c r="T1199" s="1" t="n">
        <v>0</v>
      </c>
      <c r="U1199" s="1" t="n">
        <v>0</v>
      </c>
      <c r="V1199" s="3" t="n">
        <f aca="false">SUM(P1199:Q1199)</f>
        <v>1</v>
      </c>
      <c r="W1199" s="3" t="n">
        <f aca="false">SUM(R1199:T1199)</f>
        <v>0</v>
      </c>
      <c r="X1199" s="10" t="n">
        <v>39970</v>
      </c>
      <c r="Y1199" s="10" t="n">
        <v>39975</v>
      </c>
    </row>
    <row r="1200" customFormat="false" ht="14.25" hidden="false" customHeight="false" outlineLevel="0" collapsed="false">
      <c r="A1200" s="1" t="n">
        <v>2009</v>
      </c>
      <c r="B1200" s="1" t="n">
        <v>1</v>
      </c>
      <c r="C1200" s="2" t="s">
        <v>25</v>
      </c>
      <c r="D1200" s="7" t="s">
        <v>26</v>
      </c>
      <c r="E1200" s="1" t="n">
        <v>2</v>
      </c>
      <c r="F1200" s="1" t="n">
        <f aca="false">Y1200-X1200</f>
        <v>5</v>
      </c>
      <c r="G1200" s="1" t="n">
        <v>5</v>
      </c>
      <c r="H1200" s="3" t="s">
        <v>32</v>
      </c>
      <c r="I1200" s="3" t="s">
        <v>62</v>
      </c>
      <c r="J1200" s="3" t="s">
        <v>63</v>
      </c>
      <c r="K1200" s="2" t="str">
        <f aca="false">CONCATENATE(I1200," ",J1200)</f>
        <v>Microneta viaria</v>
      </c>
      <c r="L1200" s="3" t="n">
        <f aca="false">SUM(P1200:U1200)</f>
        <v>1</v>
      </c>
      <c r="M1200" s="11" t="n">
        <f aca="false">(L1200/(F1200*G1200)*25)*4</f>
        <v>4</v>
      </c>
      <c r="N1200" s="1" t="s">
        <v>30</v>
      </c>
      <c r="O1200" s="1" t="s">
        <v>35</v>
      </c>
      <c r="P1200" s="1" t="n">
        <v>0</v>
      </c>
      <c r="Q1200" s="1" t="n">
        <v>1</v>
      </c>
      <c r="R1200" s="1" t="n">
        <v>0</v>
      </c>
      <c r="S1200" s="1" t="n">
        <v>0</v>
      </c>
      <c r="T1200" s="1" t="n">
        <v>0</v>
      </c>
      <c r="U1200" s="1" t="n">
        <v>0</v>
      </c>
      <c r="V1200" s="3" t="n">
        <f aca="false">SUM(P1200:Q1200)</f>
        <v>1</v>
      </c>
      <c r="W1200" s="3" t="n">
        <f aca="false">SUM(R1200:T1200)</f>
        <v>0</v>
      </c>
      <c r="X1200" s="10" t="n">
        <v>39970</v>
      </c>
      <c r="Y1200" s="10" t="n">
        <v>39975</v>
      </c>
    </row>
    <row r="1201" customFormat="false" ht="14.25" hidden="false" customHeight="false" outlineLevel="0" collapsed="false">
      <c r="A1201" s="1" t="n">
        <v>2009</v>
      </c>
      <c r="B1201" s="1" t="n">
        <v>1</v>
      </c>
      <c r="C1201" s="2" t="s">
        <v>25</v>
      </c>
      <c r="D1201" s="7" t="s">
        <v>26</v>
      </c>
      <c r="E1201" s="1" t="n">
        <v>3</v>
      </c>
      <c r="F1201" s="1" t="n">
        <f aca="false">Y1201-X1201</f>
        <v>5</v>
      </c>
      <c r="G1201" s="1" t="n">
        <v>5</v>
      </c>
      <c r="H1201" s="3" t="s">
        <v>48</v>
      </c>
      <c r="I1201" s="3" t="s">
        <v>49</v>
      </c>
      <c r="J1201" s="3" t="s">
        <v>104</v>
      </c>
      <c r="K1201" s="2" t="str">
        <f aca="false">CONCATENATE(I1201," ",J1201)</f>
        <v>Alopecosa taeniata</v>
      </c>
      <c r="L1201" s="3" t="n">
        <f aca="false">SUM(P1201:U1201)</f>
        <v>1</v>
      </c>
      <c r="M1201" s="11" t="n">
        <f aca="false">(L1201/(F1201*G1201)*25)*4</f>
        <v>4</v>
      </c>
      <c r="N1201" s="1" t="s">
        <v>30</v>
      </c>
      <c r="O1201" s="1" t="s">
        <v>31</v>
      </c>
      <c r="P1201" s="1" t="n">
        <v>1</v>
      </c>
      <c r="Q1201" s="1" t="n">
        <v>0</v>
      </c>
      <c r="R1201" s="1" t="n">
        <v>0</v>
      </c>
      <c r="S1201" s="1" t="n">
        <v>0</v>
      </c>
      <c r="T1201" s="1" t="n">
        <v>0</v>
      </c>
      <c r="U1201" s="1" t="n">
        <v>0</v>
      </c>
      <c r="V1201" s="3" t="n">
        <f aca="false">SUM(P1201:Q1201)</f>
        <v>1</v>
      </c>
      <c r="W1201" s="3" t="n">
        <f aca="false">SUM(R1201:T1201)</f>
        <v>0</v>
      </c>
      <c r="X1201" s="10" t="n">
        <v>39970</v>
      </c>
      <c r="Y1201" s="10" t="n">
        <v>39975</v>
      </c>
    </row>
    <row r="1202" customFormat="false" ht="14.25" hidden="false" customHeight="false" outlineLevel="0" collapsed="false">
      <c r="A1202" s="1" t="n">
        <v>2009</v>
      </c>
      <c r="B1202" s="1" t="n">
        <v>1</v>
      </c>
      <c r="C1202" s="2" t="s">
        <v>25</v>
      </c>
      <c r="D1202" s="7" t="s">
        <v>26</v>
      </c>
      <c r="E1202" s="1" t="n">
        <v>3</v>
      </c>
      <c r="F1202" s="1" t="n">
        <f aca="false">Y1202-X1202</f>
        <v>5</v>
      </c>
      <c r="G1202" s="1" t="n">
        <v>5</v>
      </c>
      <c r="H1202" s="3" t="s">
        <v>48</v>
      </c>
      <c r="I1202" s="3" t="s">
        <v>67</v>
      </c>
      <c r="J1202" s="3" t="s">
        <v>127</v>
      </c>
      <c r="K1202" s="2" t="str">
        <f aca="false">CONCATENATE(I1202," ",J1202)</f>
        <v>Pardosa lugubris</v>
      </c>
      <c r="L1202" s="3" t="n">
        <f aca="false">SUM(P1202:U1202)</f>
        <v>2</v>
      </c>
      <c r="M1202" s="11" t="n">
        <f aca="false">(L1202/(F1202*G1202)*25)*4</f>
        <v>8</v>
      </c>
      <c r="N1202" s="1" t="s">
        <v>30</v>
      </c>
      <c r="O1202" s="1" t="s">
        <v>31</v>
      </c>
      <c r="P1202" s="1" t="n">
        <v>2</v>
      </c>
      <c r="Q1202" s="1" t="n">
        <v>0</v>
      </c>
      <c r="R1202" s="1" t="n">
        <v>0</v>
      </c>
      <c r="S1202" s="1" t="n">
        <v>0</v>
      </c>
      <c r="T1202" s="1" t="n">
        <v>0</v>
      </c>
      <c r="U1202" s="1" t="n">
        <v>0</v>
      </c>
      <c r="V1202" s="3" t="n">
        <f aca="false">SUM(P1202:Q1202)</f>
        <v>2</v>
      </c>
      <c r="W1202" s="3" t="n">
        <f aca="false">SUM(R1202:T1202)</f>
        <v>0</v>
      </c>
      <c r="X1202" s="10" t="n">
        <v>39970</v>
      </c>
      <c r="Y1202" s="10" t="n">
        <v>39975</v>
      </c>
    </row>
    <row r="1203" customFormat="false" ht="14.25" hidden="false" customHeight="false" outlineLevel="0" collapsed="false">
      <c r="A1203" s="1" t="n">
        <v>2009</v>
      </c>
      <c r="B1203" s="1" t="n">
        <v>1</v>
      </c>
      <c r="C1203" s="2" t="s">
        <v>25</v>
      </c>
      <c r="D1203" s="7" t="s">
        <v>26</v>
      </c>
      <c r="E1203" s="1" t="n">
        <v>3</v>
      </c>
      <c r="F1203" s="1" t="n">
        <f aca="false">Y1203-X1203</f>
        <v>5</v>
      </c>
      <c r="G1203" s="1" t="n">
        <v>5</v>
      </c>
      <c r="H1203" s="3" t="s">
        <v>64</v>
      </c>
      <c r="I1203" s="3" t="s">
        <v>65</v>
      </c>
      <c r="J1203" s="3" t="s">
        <v>123</v>
      </c>
      <c r="K1203" s="2" t="str">
        <f aca="false">CONCATENATE(I1203," ",J1203)</f>
        <v>Zora nemoralis</v>
      </c>
      <c r="L1203" s="3" t="n">
        <f aca="false">SUM(P1203:U1203)</f>
        <v>4</v>
      </c>
      <c r="M1203" s="11" t="n">
        <f aca="false">(L1203/(F1203*G1203)*25)*4</f>
        <v>16</v>
      </c>
      <c r="N1203" s="1" t="s">
        <v>30</v>
      </c>
      <c r="O1203" s="1" t="s">
        <v>31</v>
      </c>
      <c r="P1203" s="1" t="n">
        <v>4</v>
      </c>
      <c r="Q1203" s="1" t="n">
        <v>0</v>
      </c>
      <c r="R1203" s="1" t="n">
        <v>0</v>
      </c>
      <c r="S1203" s="1" t="n">
        <v>0</v>
      </c>
      <c r="T1203" s="1" t="n">
        <v>0</v>
      </c>
      <c r="U1203" s="1" t="n">
        <v>0</v>
      </c>
      <c r="V1203" s="3" t="n">
        <f aca="false">SUM(P1203:Q1203)</f>
        <v>4</v>
      </c>
      <c r="W1203" s="3" t="n">
        <f aca="false">SUM(R1203:T1203)</f>
        <v>0</v>
      </c>
      <c r="X1203" s="10" t="n">
        <v>39970</v>
      </c>
      <c r="Y1203" s="10" t="n">
        <v>39975</v>
      </c>
    </row>
    <row r="1204" customFormat="false" ht="14.25" hidden="false" customHeight="false" outlineLevel="0" collapsed="false">
      <c r="A1204" s="1" t="n">
        <v>2009</v>
      </c>
      <c r="B1204" s="1" t="n">
        <v>1</v>
      </c>
      <c r="C1204" s="2" t="s">
        <v>25</v>
      </c>
      <c r="D1204" s="7" t="s">
        <v>26</v>
      </c>
      <c r="E1204" s="1" t="n">
        <v>3</v>
      </c>
      <c r="F1204" s="1" t="n">
        <f aca="false">Y1204-X1204</f>
        <v>5</v>
      </c>
      <c r="G1204" s="1" t="n">
        <v>5</v>
      </c>
      <c r="H1204" s="3" t="s">
        <v>36</v>
      </c>
      <c r="I1204" s="3" t="s">
        <v>37</v>
      </c>
      <c r="J1204" s="8" t="s">
        <v>75</v>
      </c>
      <c r="K1204" s="2" t="str">
        <f aca="false">CONCATENATE(I1204," ",J1204)</f>
        <v>Ozyptila praticola</v>
      </c>
      <c r="L1204" s="3" t="n">
        <f aca="false">SUM(P1204:U1204)</f>
        <v>1</v>
      </c>
      <c r="M1204" s="11" t="n">
        <f aca="false">(L1204/(F1204*G1204)*25)*4</f>
        <v>4</v>
      </c>
      <c r="N1204" s="1" t="s">
        <v>30</v>
      </c>
      <c r="O1204" s="1" t="s">
        <v>31</v>
      </c>
      <c r="P1204" s="1" t="n">
        <v>1</v>
      </c>
      <c r="Q1204" s="1" t="n">
        <v>0</v>
      </c>
      <c r="R1204" s="1" t="n">
        <v>0</v>
      </c>
      <c r="S1204" s="1" t="n">
        <v>0</v>
      </c>
      <c r="T1204" s="1" t="n">
        <v>0</v>
      </c>
      <c r="U1204" s="1" t="n">
        <v>0</v>
      </c>
      <c r="V1204" s="3" t="n">
        <f aca="false">SUM(P1204:Q1204)</f>
        <v>1</v>
      </c>
      <c r="W1204" s="3" t="n">
        <f aca="false">SUM(R1204:T1204)</f>
        <v>0</v>
      </c>
      <c r="X1204" s="10" t="n">
        <v>39970</v>
      </c>
      <c r="Y1204" s="10" t="n">
        <v>39975</v>
      </c>
    </row>
    <row r="1205" customFormat="false" ht="14.25" hidden="false" customHeight="false" outlineLevel="0" collapsed="false">
      <c r="A1205" s="1" t="n">
        <v>2009</v>
      </c>
      <c r="B1205" s="1" t="n">
        <v>1</v>
      </c>
      <c r="C1205" s="2" t="s">
        <v>25</v>
      </c>
      <c r="D1205" s="7" t="s">
        <v>26</v>
      </c>
      <c r="E1205" s="1" t="n">
        <v>3</v>
      </c>
      <c r="F1205" s="1" t="n">
        <f aca="false">Y1205-X1205</f>
        <v>5</v>
      </c>
      <c r="G1205" s="1" t="n">
        <v>5</v>
      </c>
      <c r="H1205" s="3" t="s">
        <v>36</v>
      </c>
      <c r="I1205" s="3" t="s">
        <v>37</v>
      </c>
      <c r="J1205" s="8" t="s">
        <v>75</v>
      </c>
      <c r="K1205" s="2" t="str">
        <f aca="false">CONCATENATE(I1205," ",J1205)</f>
        <v>Ozyptila praticola</v>
      </c>
      <c r="L1205" s="3" t="n">
        <f aca="false">SUM(P1205:U1205)</f>
        <v>1</v>
      </c>
      <c r="M1205" s="11" t="n">
        <f aca="false">(L1205/(F1205*G1205)*25)*4</f>
        <v>4</v>
      </c>
      <c r="N1205" s="1" t="s">
        <v>30</v>
      </c>
      <c r="O1205" s="1" t="s">
        <v>35</v>
      </c>
      <c r="P1205" s="1" t="n">
        <v>0</v>
      </c>
      <c r="Q1205" s="1" t="n">
        <v>1</v>
      </c>
      <c r="R1205" s="1" t="n">
        <v>0</v>
      </c>
      <c r="S1205" s="1" t="n">
        <v>0</v>
      </c>
      <c r="T1205" s="1" t="n">
        <v>0</v>
      </c>
      <c r="U1205" s="1" t="n">
        <v>0</v>
      </c>
      <c r="V1205" s="3" t="n">
        <f aca="false">SUM(P1205:Q1205)</f>
        <v>1</v>
      </c>
      <c r="W1205" s="3" t="n">
        <f aca="false">SUM(R1205:T1205)</f>
        <v>0</v>
      </c>
      <c r="X1205" s="10" t="n">
        <v>39970</v>
      </c>
      <c r="Y1205" s="10" t="n">
        <v>39975</v>
      </c>
    </row>
    <row r="1206" customFormat="false" ht="14.25" hidden="false" customHeight="false" outlineLevel="0" collapsed="false">
      <c r="A1206" s="1" t="n">
        <v>2009</v>
      </c>
      <c r="B1206" s="1" t="n">
        <v>1</v>
      </c>
      <c r="C1206" s="2" t="s">
        <v>25</v>
      </c>
      <c r="D1206" s="7" t="s">
        <v>26</v>
      </c>
      <c r="E1206" s="1" t="n">
        <v>3</v>
      </c>
      <c r="F1206" s="1" t="n">
        <f aca="false">Y1206-X1206</f>
        <v>5</v>
      </c>
      <c r="G1206" s="1" t="n">
        <v>5</v>
      </c>
      <c r="H1206" s="3" t="s">
        <v>32</v>
      </c>
      <c r="I1206" s="3" t="s">
        <v>113</v>
      </c>
      <c r="J1206" s="8" t="s">
        <v>114</v>
      </c>
      <c r="K1206" s="2" t="str">
        <f aca="false">CONCATENATE(I1206," ",J1206)</f>
        <v>Ceratinella brevipes</v>
      </c>
      <c r="L1206" s="3" t="n">
        <f aca="false">SUM(P1206:U1206)</f>
        <v>2</v>
      </c>
      <c r="M1206" s="11" t="n">
        <f aca="false">(L1206/(F1206*G1206)*25)*4</f>
        <v>8</v>
      </c>
      <c r="N1206" s="1" t="s">
        <v>30</v>
      </c>
      <c r="O1206" s="1" t="s">
        <v>35</v>
      </c>
      <c r="P1206" s="1" t="n">
        <v>0</v>
      </c>
      <c r="Q1206" s="1" t="n">
        <v>2</v>
      </c>
      <c r="R1206" s="1" t="n">
        <v>0</v>
      </c>
      <c r="S1206" s="1" t="n">
        <v>0</v>
      </c>
      <c r="T1206" s="1" t="n">
        <v>0</v>
      </c>
      <c r="U1206" s="1" t="n">
        <v>0</v>
      </c>
      <c r="V1206" s="3" t="n">
        <f aca="false">SUM(P1206:Q1206)</f>
        <v>2</v>
      </c>
      <c r="W1206" s="3" t="n">
        <f aca="false">SUM(R1206:T1206)</f>
        <v>0</v>
      </c>
      <c r="X1206" s="10" t="n">
        <v>39970</v>
      </c>
      <c r="Y1206" s="10" t="n">
        <v>39975</v>
      </c>
    </row>
    <row r="1207" customFormat="false" ht="14.25" hidden="false" customHeight="false" outlineLevel="0" collapsed="false">
      <c r="A1207" s="1" t="n">
        <v>2009</v>
      </c>
      <c r="B1207" s="1" t="n">
        <v>1</v>
      </c>
      <c r="C1207" s="2" t="s">
        <v>25</v>
      </c>
      <c r="D1207" s="7" t="s">
        <v>26</v>
      </c>
      <c r="E1207" s="1" t="n">
        <v>3</v>
      </c>
      <c r="F1207" s="1" t="n">
        <f aca="false">Y1207-X1207</f>
        <v>5</v>
      </c>
      <c r="G1207" s="1" t="n">
        <v>5</v>
      </c>
      <c r="H1207" s="3" t="s">
        <v>135</v>
      </c>
      <c r="I1207" s="3" t="s">
        <v>136</v>
      </c>
      <c r="J1207" s="3" t="s">
        <v>137</v>
      </c>
      <c r="K1207" s="2" t="str">
        <f aca="false">CONCATENATE(I1207," ",J1207)</f>
        <v>Thanatus sabulosus</v>
      </c>
      <c r="L1207" s="3" t="n">
        <f aca="false">SUM(P1207:U1207)</f>
        <v>1</v>
      </c>
      <c r="M1207" s="11" t="n">
        <f aca="false">(L1207/(F1207*G1207)*25)*4</f>
        <v>4</v>
      </c>
      <c r="N1207" s="1" t="s">
        <v>30</v>
      </c>
      <c r="O1207" s="1" t="s">
        <v>31</v>
      </c>
      <c r="P1207" s="1" t="n">
        <v>1</v>
      </c>
      <c r="Q1207" s="1" t="n">
        <v>0</v>
      </c>
      <c r="R1207" s="1" t="n">
        <v>0</v>
      </c>
      <c r="S1207" s="1" t="n">
        <v>0</v>
      </c>
      <c r="T1207" s="1" t="n">
        <v>0</v>
      </c>
      <c r="U1207" s="1" t="n">
        <v>0</v>
      </c>
      <c r="V1207" s="3" t="n">
        <f aca="false">SUM(P1207:Q1207)</f>
        <v>1</v>
      </c>
      <c r="W1207" s="3" t="n">
        <f aca="false">SUM(R1207:T1207)</f>
        <v>0</v>
      </c>
      <c r="X1207" s="10" t="n">
        <v>39970</v>
      </c>
      <c r="Y1207" s="10" t="n">
        <v>39975</v>
      </c>
    </row>
    <row r="1208" customFormat="false" ht="14.25" hidden="false" customHeight="false" outlineLevel="0" collapsed="false">
      <c r="A1208" s="1" t="n">
        <v>2009</v>
      </c>
      <c r="B1208" s="1" t="n">
        <v>1</v>
      </c>
      <c r="C1208" s="2" t="s">
        <v>25</v>
      </c>
      <c r="D1208" s="7" t="s">
        <v>26</v>
      </c>
      <c r="E1208" s="1" t="n">
        <v>3</v>
      </c>
      <c r="F1208" s="1" t="n">
        <f aca="false">Y1208-X1208</f>
        <v>5</v>
      </c>
      <c r="G1208" s="1" t="n">
        <v>5</v>
      </c>
      <c r="H1208" s="3" t="s">
        <v>32</v>
      </c>
      <c r="I1208" s="3" t="s">
        <v>102</v>
      </c>
      <c r="J1208" s="3" t="s">
        <v>103</v>
      </c>
      <c r="K1208" s="2" t="str">
        <f aca="false">CONCATENATE(I1208," ",J1208)</f>
        <v>Agyneta olivacea</v>
      </c>
      <c r="L1208" s="3" t="n">
        <f aca="false">SUM(P1208:U1208)</f>
        <v>2</v>
      </c>
      <c r="M1208" s="11" t="n">
        <f aca="false">(L1208/(F1208*G1208)*25)*4</f>
        <v>8</v>
      </c>
      <c r="N1208" s="1" t="s">
        <v>30</v>
      </c>
      <c r="O1208" s="1" t="s">
        <v>31</v>
      </c>
      <c r="P1208" s="1" t="n">
        <v>2</v>
      </c>
      <c r="Q1208" s="1" t="n">
        <v>0</v>
      </c>
      <c r="R1208" s="1" t="n">
        <v>0</v>
      </c>
      <c r="S1208" s="1" t="n">
        <v>0</v>
      </c>
      <c r="T1208" s="1" t="n">
        <v>0</v>
      </c>
      <c r="U1208" s="1" t="n">
        <v>0</v>
      </c>
      <c r="V1208" s="3" t="n">
        <f aca="false">SUM(P1208:Q1208)</f>
        <v>2</v>
      </c>
      <c r="W1208" s="3" t="n">
        <f aca="false">SUM(R1208:T1208)</f>
        <v>0</v>
      </c>
      <c r="X1208" s="10" t="n">
        <v>39970</v>
      </c>
      <c r="Y1208" s="10" t="n">
        <v>39975</v>
      </c>
    </row>
    <row r="1209" customFormat="false" ht="14.25" hidden="false" customHeight="false" outlineLevel="0" collapsed="false">
      <c r="A1209" s="1" t="n">
        <v>2009</v>
      </c>
      <c r="B1209" s="1" t="n">
        <v>1</v>
      </c>
      <c r="C1209" s="2" t="s">
        <v>25</v>
      </c>
      <c r="D1209" s="7" t="s">
        <v>26</v>
      </c>
      <c r="E1209" s="1" t="n">
        <v>3</v>
      </c>
      <c r="F1209" s="1" t="n">
        <f aca="false">Y1209-X1209</f>
        <v>5</v>
      </c>
      <c r="G1209" s="1" t="n">
        <v>5</v>
      </c>
      <c r="H1209" s="3" t="s">
        <v>48</v>
      </c>
      <c r="I1209" s="3" t="s">
        <v>67</v>
      </c>
      <c r="J1209" s="3" t="s">
        <v>127</v>
      </c>
      <c r="K1209" s="2" t="str">
        <f aca="false">CONCATENATE(I1209," ",J1209)</f>
        <v>Pardosa lugubris</v>
      </c>
      <c r="L1209" s="3" t="n">
        <f aca="false">SUM(P1209:U1209)</f>
        <v>4</v>
      </c>
      <c r="M1209" s="11" t="n">
        <f aca="false">(L1209/(F1209*G1209)*25)*4</f>
        <v>16</v>
      </c>
      <c r="N1209" s="1" t="s">
        <v>30</v>
      </c>
      <c r="O1209" s="1" t="s">
        <v>31</v>
      </c>
      <c r="P1209" s="1" t="n">
        <v>4</v>
      </c>
      <c r="Q1209" s="1" t="n">
        <v>0</v>
      </c>
      <c r="R1209" s="1" t="n">
        <v>0</v>
      </c>
      <c r="S1209" s="1" t="n">
        <v>0</v>
      </c>
      <c r="T1209" s="1" t="n">
        <v>0</v>
      </c>
      <c r="U1209" s="1" t="n">
        <v>0</v>
      </c>
      <c r="V1209" s="3" t="n">
        <f aca="false">SUM(P1209:Q1209)</f>
        <v>4</v>
      </c>
      <c r="W1209" s="3" t="n">
        <f aca="false">SUM(R1209:T1209)</f>
        <v>0</v>
      </c>
      <c r="X1209" s="10" t="n">
        <v>39970</v>
      </c>
      <c r="Y1209" s="10" t="n">
        <v>39975</v>
      </c>
    </row>
    <row r="1210" customFormat="false" ht="14.25" hidden="false" customHeight="false" outlineLevel="0" collapsed="false">
      <c r="A1210" s="1" t="n">
        <v>2009</v>
      </c>
      <c r="B1210" s="1" t="n">
        <v>1</v>
      </c>
      <c r="C1210" s="2" t="s">
        <v>25</v>
      </c>
      <c r="D1210" s="7" t="s">
        <v>26</v>
      </c>
      <c r="E1210" s="1" t="n">
        <v>3</v>
      </c>
      <c r="F1210" s="1" t="n">
        <f aca="false">Y1210-X1210</f>
        <v>5</v>
      </c>
      <c r="G1210" s="1" t="n">
        <v>5</v>
      </c>
      <c r="H1210" s="3" t="s">
        <v>64</v>
      </c>
      <c r="I1210" s="3" t="s">
        <v>65</v>
      </c>
      <c r="J1210" s="3" t="s">
        <v>123</v>
      </c>
      <c r="K1210" s="2" t="str">
        <f aca="false">CONCATENATE(I1210," ",J1210)</f>
        <v>Zora nemoralis</v>
      </c>
      <c r="L1210" s="3" t="n">
        <f aca="false">SUM(P1210:U1210)</f>
        <v>2</v>
      </c>
      <c r="M1210" s="11" t="n">
        <f aca="false">(L1210/(F1210*G1210)*25)*4</f>
        <v>8</v>
      </c>
      <c r="N1210" s="1" t="s">
        <v>30</v>
      </c>
      <c r="O1210" s="1" t="s">
        <v>31</v>
      </c>
      <c r="P1210" s="1" t="n">
        <v>2</v>
      </c>
      <c r="Q1210" s="1" t="n">
        <v>0</v>
      </c>
      <c r="R1210" s="1" t="n">
        <v>0</v>
      </c>
      <c r="S1210" s="1" t="n">
        <v>0</v>
      </c>
      <c r="T1210" s="1" t="n">
        <v>0</v>
      </c>
      <c r="U1210" s="1" t="n">
        <v>0</v>
      </c>
      <c r="V1210" s="3" t="n">
        <f aca="false">SUM(P1210:Q1210)</f>
        <v>2</v>
      </c>
      <c r="W1210" s="3" t="n">
        <f aca="false">SUM(R1210:T1210)</f>
        <v>0</v>
      </c>
      <c r="X1210" s="10" t="n">
        <v>39970</v>
      </c>
      <c r="Y1210" s="10" t="n">
        <v>39975</v>
      </c>
    </row>
    <row r="1211" customFormat="false" ht="14.25" hidden="false" customHeight="false" outlineLevel="0" collapsed="false">
      <c r="A1211" s="1" t="n">
        <v>2009</v>
      </c>
      <c r="B1211" s="1" t="n">
        <v>1</v>
      </c>
      <c r="C1211" s="2" t="s">
        <v>25</v>
      </c>
      <c r="D1211" s="7" t="s">
        <v>26</v>
      </c>
      <c r="E1211" s="1" t="n">
        <v>3</v>
      </c>
      <c r="F1211" s="1" t="n">
        <f aca="false">Y1211-X1211</f>
        <v>5</v>
      </c>
      <c r="G1211" s="1" t="n">
        <v>5</v>
      </c>
      <c r="H1211" s="3" t="s">
        <v>36</v>
      </c>
      <c r="I1211" s="3" t="s">
        <v>37</v>
      </c>
      <c r="J1211" s="8" t="s">
        <v>75</v>
      </c>
      <c r="K1211" s="2" t="str">
        <f aca="false">CONCATENATE(I1211," ",J1211)</f>
        <v>Ozyptila praticola</v>
      </c>
      <c r="L1211" s="3" t="n">
        <f aca="false">SUM(P1211:U1211)</f>
        <v>1</v>
      </c>
      <c r="M1211" s="11" t="n">
        <f aca="false">(L1211/(F1211*G1211)*25)*4</f>
        <v>4</v>
      </c>
      <c r="N1211" s="1" t="s">
        <v>30</v>
      </c>
      <c r="O1211" s="1" t="s">
        <v>31</v>
      </c>
      <c r="P1211" s="1" t="n">
        <v>1</v>
      </c>
      <c r="Q1211" s="1" t="n">
        <v>0</v>
      </c>
      <c r="R1211" s="1" t="n">
        <v>0</v>
      </c>
      <c r="S1211" s="1" t="n">
        <v>0</v>
      </c>
      <c r="T1211" s="1" t="n">
        <v>0</v>
      </c>
      <c r="U1211" s="1" t="n">
        <v>0</v>
      </c>
      <c r="V1211" s="3" t="n">
        <f aca="false">SUM(P1211:Q1211)</f>
        <v>1</v>
      </c>
      <c r="W1211" s="3" t="n">
        <f aca="false">SUM(R1211:T1211)</f>
        <v>0</v>
      </c>
      <c r="X1211" s="10" t="n">
        <v>39970</v>
      </c>
      <c r="Y1211" s="10" t="n">
        <v>39975</v>
      </c>
    </row>
    <row r="1212" customFormat="false" ht="14.25" hidden="false" customHeight="false" outlineLevel="0" collapsed="false">
      <c r="A1212" s="1" t="n">
        <v>2009</v>
      </c>
      <c r="B1212" s="1" t="n">
        <v>1</v>
      </c>
      <c r="C1212" s="2" t="s">
        <v>25</v>
      </c>
      <c r="D1212" s="7" t="s">
        <v>26</v>
      </c>
      <c r="E1212" s="1" t="n">
        <v>3</v>
      </c>
      <c r="F1212" s="1" t="n">
        <f aca="false">Y1212-X1212</f>
        <v>5</v>
      </c>
      <c r="G1212" s="1" t="n">
        <v>5</v>
      </c>
      <c r="H1212" s="3" t="s">
        <v>72</v>
      </c>
      <c r="I1212" s="3" t="s">
        <v>86</v>
      </c>
      <c r="J1212" s="8" t="s">
        <v>87</v>
      </c>
      <c r="K1212" s="2" t="str">
        <f aca="false">CONCATENATE(I1212," ",J1212)</f>
        <v>Haplodrassus soerenseni</v>
      </c>
      <c r="L1212" s="3" t="n">
        <f aca="false">SUM(P1212:U1212)</f>
        <v>1</v>
      </c>
      <c r="M1212" s="11" t="n">
        <f aca="false">(L1212/(F1212*G1212)*25)*4</f>
        <v>4</v>
      </c>
      <c r="N1212" s="1" t="s">
        <v>30</v>
      </c>
      <c r="O1212" s="1" t="s">
        <v>31</v>
      </c>
      <c r="P1212" s="1" t="n">
        <v>1</v>
      </c>
      <c r="Q1212" s="1" t="n">
        <v>0</v>
      </c>
      <c r="R1212" s="1" t="n">
        <v>0</v>
      </c>
      <c r="S1212" s="1" t="n">
        <v>0</v>
      </c>
      <c r="T1212" s="1" t="n">
        <v>0</v>
      </c>
      <c r="U1212" s="1" t="n">
        <v>0</v>
      </c>
      <c r="V1212" s="3" t="n">
        <f aca="false">SUM(P1212:Q1212)</f>
        <v>1</v>
      </c>
      <c r="W1212" s="3" t="n">
        <f aca="false">SUM(R1212:T1212)</f>
        <v>0</v>
      </c>
      <c r="X1212" s="10" t="n">
        <v>39970</v>
      </c>
      <c r="Y1212" s="10" t="n">
        <v>39975</v>
      </c>
    </row>
    <row r="1213" customFormat="false" ht="14.25" hidden="false" customHeight="false" outlineLevel="0" collapsed="false">
      <c r="A1213" s="1" t="n">
        <v>2009</v>
      </c>
      <c r="B1213" s="1" t="n">
        <v>1</v>
      </c>
      <c r="C1213" s="2" t="s">
        <v>25</v>
      </c>
      <c r="D1213" s="7" t="s">
        <v>26</v>
      </c>
      <c r="E1213" s="1" t="n">
        <v>3</v>
      </c>
      <c r="F1213" s="1" t="n">
        <f aca="false">Y1213-X1213</f>
        <v>5</v>
      </c>
      <c r="G1213" s="1" t="n">
        <v>5</v>
      </c>
      <c r="H1213" s="3" t="s">
        <v>32</v>
      </c>
      <c r="I1213" s="3" t="s">
        <v>55</v>
      </c>
      <c r="J1213" s="3" t="s">
        <v>194</v>
      </c>
      <c r="K1213" s="2" t="str">
        <f aca="false">CONCATENATE(I1213," ",J1213)</f>
        <v>Maro pansibiricus</v>
      </c>
      <c r="L1213" s="3" t="n">
        <f aca="false">SUM(P1213:U1213)</f>
        <v>1</v>
      </c>
      <c r="M1213" s="11" t="n">
        <f aca="false">(L1213/(F1213*G1213)*25)*4</f>
        <v>4</v>
      </c>
      <c r="N1213" s="1" t="s">
        <v>30</v>
      </c>
      <c r="O1213" s="1" t="s">
        <v>31</v>
      </c>
      <c r="P1213" s="1" t="n">
        <v>1</v>
      </c>
      <c r="Q1213" s="1" t="n">
        <v>0</v>
      </c>
      <c r="R1213" s="1" t="n">
        <v>0</v>
      </c>
      <c r="S1213" s="1" t="n">
        <v>0</v>
      </c>
      <c r="T1213" s="1" t="n">
        <v>0</v>
      </c>
      <c r="U1213" s="1" t="n">
        <v>0</v>
      </c>
      <c r="V1213" s="3" t="n">
        <f aca="false">SUM(P1213:Q1213)</f>
        <v>1</v>
      </c>
      <c r="W1213" s="3" t="n">
        <f aca="false">SUM(R1213:T1213)</f>
        <v>0</v>
      </c>
      <c r="X1213" s="10" t="n">
        <v>39970</v>
      </c>
      <c r="Y1213" s="10" t="n">
        <v>39975</v>
      </c>
    </row>
    <row r="1214" customFormat="false" ht="14.25" hidden="false" customHeight="false" outlineLevel="0" collapsed="false">
      <c r="A1214" s="1" t="n">
        <v>2009</v>
      </c>
      <c r="B1214" s="1" t="n">
        <v>1</v>
      </c>
      <c r="C1214" s="2" t="s">
        <v>25</v>
      </c>
      <c r="D1214" s="7" t="s">
        <v>26</v>
      </c>
      <c r="E1214" s="1" t="n">
        <v>3</v>
      </c>
      <c r="F1214" s="1" t="n">
        <f aca="false">Y1214-X1214</f>
        <v>5</v>
      </c>
      <c r="G1214" s="1" t="n">
        <v>5</v>
      </c>
      <c r="H1214" s="3" t="s">
        <v>32</v>
      </c>
      <c r="I1214" s="3" t="s">
        <v>84</v>
      </c>
      <c r="J1214" s="3" t="s">
        <v>168</v>
      </c>
      <c r="K1214" s="2" t="str">
        <f aca="false">CONCATENATE(I1214," ",J1214)</f>
        <v>Walckenaeria atrotibialis</v>
      </c>
      <c r="L1214" s="3" t="n">
        <f aca="false">SUM(P1214:U1214)</f>
        <v>1</v>
      </c>
      <c r="M1214" s="11" t="n">
        <f aca="false">(L1214/(F1214*G1214)*25)*4</f>
        <v>4</v>
      </c>
      <c r="N1214" s="1" t="s">
        <v>30</v>
      </c>
      <c r="O1214" s="1" t="s">
        <v>31</v>
      </c>
      <c r="P1214" s="1" t="n">
        <v>1</v>
      </c>
      <c r="Q1214" s="1" t="n">
        <v>0</v>
      </c>
      <c r="R1214" s="1" t="n">
        <v>0</v>
      </c>
      <c r="S1214" s="1" t="n">
        <v>0</v>
      </c>
      <c r="T1214" s="1" t="n">
        <v>0</v>
      </c>
      <c r="U1214" s="1" t="n">
        <v>0</v>
      </c>
      <c r="V1214" s="3" t="n">
        <f aca="false">SUM(P1214:Q1214)</f>
        <v>1</v>
      </c>
      <c r="W1214" s="3" t="n">
        <f aca="false">SUM(R1214:T1214)</f>
        <v>0</v>
      </c>
      <c r="X1214" s="10" t="n">
        <v>39970</v>
      </c>
      <c r="Y1214" s="10" t="n">
        <v>39975</v>
      </c>
    </row>
    <row r="1215" customFormat="false" ht="14.25" hidden="false" customHeight="false" outlineLevel="0" collapsed="false">
      <c r="A1215" s="1" t="n">
        <v>2009</v>
      </c>
      <c r="B1215" s="1" t="n">
        <v>1</v>
      </c>
      <c r="C1215" s="2" t="s">
        <v>25</v>
      </c>
      <c r="D1215" s="7" t="s">
        <v>26</v>
      </c>
      <c r="E1215" s="1" t="n">
        <v>3</v>
      </c>
      <c r="F1215" s="1" t="n">
        <f aca="false">Y1215-X1215</f>
        <v>5</v>
      </c>
      <c r="G1215" s="1" t="n">
        <v>5</v>
      </c>
      <c r="H1215" s="3" t="s">
        <v>32</v>
      </c>
      <c r="I1215" s="3" t="s">
        <v>102</v>
      </c>
      <c r="J1215" s="3" t="s">
        <v>103</v>
      </c>
      <c r="K1215" s="2" t="str">
        <f aca="false">CONCATENATE(I1215," ",J1215)</f>
        <v>Agyneta olivacea</v>
      </c>
      <c r="L1215" s="3" t="n">
        <f aca="false">SUM(P1215:U1215)</f>
        <v>1</v>
      </c>
      <c r="M1215" s="11" t="n">
        <f aca="false">(L1215/(F1215*G1215)*25)*4</f>
        <v>4</v>
      </c>
      <c r="N1215" s="1" t="s">
        <v>30</v>
      </c>
      <c r="O1215" s="1" t="s">
        <v>31</v>
      </c>
      <c r="P1215" s="1" t="n">
        <v>1</v>
      </c>
      <c r="Q1215" s="1" t="n">
        <v>0</v>
      </c>
      <c r="R1215" s="1" t="n">
        <v>0</v>
      </c>
      <c r="S1215" s="1" t="n">
        <v>0</v>
      </c>
      <c r="T1215" s="1" t="n">
        <v>0</v>
      </c>
      <c r="U1215" s="1" t="n">
        <v>0</v>
      </c>
      <c r="V1215" s="3" t="n">
        <f aca="false">SUM(P1215:Q1215)</f>
        <v>1</v>
      </c>
      <c r="W1215" s="3" t="n">
        <f aca="false">SUM(R1215:T1215)</f>
        <v>0</v>
      </c>
      <c r="X1215" s="10" t="n">
        <v>39970</v>
      </c>
      <c r="Y1215" s="10" t="n">
        <v>39975</v>
      </c>
    </row>
    <row r="1216" customFormat="false" ht="14.25" hidden="false" customHeight="false" outlineLevel="0" collapsed="false">
      <c r="A1216" s="1" t="n">
        <v>2009</v>
      </c>
      <c r="B1216" s="1" t="n">
        <v>1</v>
      </c>
      <c r="C1216" s="2" t="s">
        <v>25</v>
      </c>
      <c r="D1216" s="7" t="s">
        <v>26</v>
      </c>
      <c r="E1216" s="1" t="n">
        <v>3</v>
      </c>
      <c r="F1216" s="1" t="n">
        <f aca="false">Y1216-X1216</f>
        <v>5</v>
      </c>
      <c r="G1216" s="1" t="n">
        <v>5</v>
      </c>
      <c r="H1216" s="3" t="s">
        <v>48</v>
      </c>
      <c r="I1216" s="3" t="s">
        <v>49</v>
      </c>
      <c r="J1216" s="3" t="s">
        <v>104</v>
      </c>
      <c r="K1216" s="2" t="str">
        <f aca="false">CONCATENATE(I1216," ",J1216)</f>
        <v>Alopecosa taeniata</v>
      </c>
      <c r="L1216" s="3" t="n">
        <f aca="false">SUM(P1216:U1216)</f>
        <v>1</v>
      </c>
      <c r="M1216" s="11" t="n">
        <f aca="false">(L1216/(F1216*G1216)*25)*4</f>
        <v>4</v>
      </c>
      <c r="N1216" s="1" t="s">
        <v>30</v>
      </c>
      <c r="O1216" s="1" t="s">
        <v>31</v>
      </c>
      <c r="P1216" s="1" t="n">
        <v>1</v>
      </c>
      <c r="Q1216" s="1" t="n">
        <v>0</v>
      </c>
      <c r="R1216" s="1" t="n">
        <v>0</v>
      </c>
      <c r="S1216" s="1" t="n">
        <v>0</v>
      </c>
      <c r="T1216" s="1" t="n">
        <v>0</v>
      </c>
      <c r="U1216" s="1" t="n">
        <v>0</v>
      </c>
      <c r="V1216" s="3" t="n">
        <f aca="false">SUM(P1216:Q1216)</f>
        <v>1</v>
      </c>
      <c r="W1216" s="3" t="n">
        <f aca="false">SUM(R1216:T1216)</f>
        <v>0</v>
      </c>
      <c r="X1216" s="10" t="n">
        <v>39970</v>
      </c>
      <c r="Y1216" s="10" t="n">
        <v>39975</v>
      </c>
    </row>
    <row r="1217" customFormat="false" ht="14.25" hidden="false" customHeight="false" outlineLevel="0" collapsed="false">
      <c r="A1217" s="1" t="n">
        <v>2009</v>
      </c>
      <c r="B1217" s="1" t="n">
        <v>1</v>
      </c>
      <c r="C1217" s="2" t="s">
        <v>25</v>
      </c>
      <c r="D1217" s="7" t="s">
        <v>26</v>
      </c>
      <c r="E1217" s="1" t="n">
        <v>3</v>
      </c>
      <c r="F1217" s="1" t="n">
        <f aca="false">Y1217-X1217</f>
        <v>5</v>
      </c>
      <c r="G1217" s="1" t="n">
        <v>5</v>
      </c>
      <c r="H1217" s="3" t="s">
        <v>48</v>
      </c>
      <c r="I1217" s="3" t="s">
        <v>67</v>
      </c>
      <c r="J1217" s="3" t="s">
        <v>127</v>
      </c>
      <c r="K1217" s="2" t="str">
        <f aca="false">CONCATENATE(I1217," ",J1217)</f>
        <v>Pardosa lugubris</v>
      </c>
      <c r="L1217" s="3" t="n">
        <f aca="false">SUM(P1217:U1217)</f>
        <v>8</v>
      </c>
      <c r="M1217" s="11" t="n">
        <f aca="false">(L1217/(F1217*G1217)*25)*4</f>
        <v>32</v>
      </c>
      <c r="N1217" s="1" t="s">
        <v>30</v>
      </c>
      <c r="O1217" s="1" t="s">
        <v>31</v>
      </c>
      <c r="P1217" s="1" t="n">
        <v>8</v>
      </c>
      <c r="Q1217" s="1" t="n">
        <v>0</v>
      </c>
      <c r="R1217" s="1" t="n">
        <v>0</v>
      </c>
      <c r="S1217" s="1" t="n">
        <v>0</v>
      </c>
      <c r="T1217" s="1" t="n">
        <v>0</v>
      </c>
      <c r="U1217" s="1" t="n">
        <v>0</v>
      </c>
      <c r="V1217" s="3" t="n">
        <f aca="false">SUM(P1217:Q1217)</f>
        <v>8</v>
      </c>
      <c r="W1217" s="3" t="n">
        <f aca="false">SUM(R1217:T1217)</f>
        <v>0</v>
      </c>
      <c r="X1217" s="10" t="n">
        <v>39970</v>
      </c>
      <c r="Y1217" s="10" t="n">
        <v>39975</v>
      </c>
    </row>
    <row r="1218" customFormat="false" ht="14.25" hidden="false" customHeight="false" outlineLevel="0" collapsed="false">
      <c r="A1218" s="1" t="n">
        <v>2009</v>
      </c>
      <c r="B1218" s="1" t="n">
        <v>1</v>
      </c>
      <c r="C1218" s="2" t="s">
        <v>25</v>
      </c>
      <c r="D1218" s="7" t="s">
        <v>26</v>
      </c>
      <c r="E1218" s="1" t="n">
        <v>3</v>
      </c>
      <c r="F1218" s="1" t="n">
        <f aca="false">Y1218-X1218</f>
        <v>5</v>
      </c>
      <c r="G1218" s="1" t="n">
        <v>5</v>
      </c>
      <c r="H1218" s="3" t="s">
        <v>48</v>
      </c>
      <c r="I1218" s="3" t="s">
        <v>105</v>
      </c>
      <c r="J1218" s="3" t="s">
        <v>106</v>
      </c>
      <c r="K1218" s="2" t="str">
        <f aca="false">CONCATENATE(I1218," ",J1218)</f>
        <v>Piratula hygrophila</v>
      </c>
      <c r="L1218" s="3" t="n">
        <f aca="false">SUM(P1218:U1218)</f>
        <v>1</v>
      </c>
      <c r="M1218" s="11" t="n">
        <f aca="false">(L1218/(F1218*G1218)*25)*4</f>
        <v>4</v>
      </c>
      <c r="N1218" s="1" t="s">
        <v>30</v>
      </c>
      <c r="O1218" s="1" t="s">
        <v>35</v>
      </c>
      <c r="P1218" s="1" t="n">
        <v>0</v>
      </c>
      <c r="Q1218" s="1" t="n">
        <v>1</v>
      </c>
      <c r="R1218" s="1" t="n">
        <v>0</v>
      </c>
      <c r="S1218" s="1" t="n">
        <v>0</v>
      </c>
      <c r="T1218" s="1" t="n">
        <v>0</v>
      </c>
      <c r="U1218" s="1" t="n">
        <v>0</v>
      </c>
      <c r="V1218" s="3" t="n">
        <f aca="false">SUM(P1218:Q1218)</f>
        <v>1</v>
      </c>
      <c r="W1218" s="3" t="n">
        <f aca="false">SUM(R1218:T1218)</f>
        <v>0</v>
      </c>
      <c r="X1218" s="10" t="n">
        <v>39970</v>
      </c>
      <c r="Y1218" s="10" t="n">
        <v>39975</v>
      </c>
    </row>
    <row r="1219" customFormat="false" ht="14.25" hidden="false" customHeight="false" outlineLevel="0" collapsed="false">
      <c r="A1219" s="1" t="n">
        <v>2009</v>
      </c>
      <c r="B1219" s="1" t="n">
        <v>1</v>
      </c>
      <c r="C1219" s="2" t="s">
        <v>25</v>
      </c>
      <c r="D1219" s="7" t="s">
        <v>26</v>
      </c>
      <c r="E1219" s="1" t="n">
        <v>3</v>
      </c>
      <c r="F1219" s="1" t="n">
        <f aca="false">Y1219-X1219</f>
        <v>5</v>
      </c>
      <c r="G1219" s="1" t="n">
        <v>5</v>
      </c>
      <c r="H1219" s="3" t="s">
        <v>48</v>
      </c>
      <c r="I1219" s="3" t="s">
        <v>61</v>
      </c>
      <c r="J1219" s="3" t="s">
        <v>38</v>
      </c>
      <c r="K1219" s="2" t="str">
        <f aca="false">CONCATENATE(I1219," ",J1219)</f>
        <v>Trochosa sp</v>
      </c>
      <c r="L1219" s="3" t="n">
        <f aca="false">SUM(P1219:U1219)</f>
        <v>1</v>
      </c>
      <c r="M1219" s="11" t="n">
        <f aca="false">(L1219/(F1219*G1219)*25)*4</f>
        <v>4</v>
      </c>
      <c r="N1219" s="1" t="s">
        <v>19</v>
      </c>
      <c r="O1219" s="1" t="s">
        <v>54</v>
      </c>
      <c r="P1219" s="1" t="n">
        <v>0</v>
      </c>
      <c r="Q1219" s="1" t="n">
        <v>0</v>
      </c>
      <c r="R1219" s="1" t="n">
        <v>0</v>
      </c>
      <c r="S1219" s="1" t="n">
        <v>0</v>
      </c>
      <c r="T1219" s="1" t="n">
        <v>1</v>
      </c>
      <c r="U1219" s="1" t="n">
        <v>0</v>
      </c>
      <c r="V1219" s="3" t="n">
        <f aca="false">SUM(P1219:Q1219)</f>
        <v>0</v>
      </c>
      <c r="W1219" s="3" t="n">
        <f aca="false">SUM(R1219:T1219)</f>
        <v>1</v>
      </c>
      <c r="X1219" s="10" t="n">
        <v>39970</v>
      </c>
      <c r="Y1219" s="10" t="n">
        <v>39975</v>
      </c>
    </row>
    <row r="1220" customFormat="false" ht="14.25" hidden="false" customHeight="false" outlineLevel="0" collapsed="false">
      <c r="A1220" s="1" t="n">
        <v>2009</v>
      </c>
      <c r="B1220" s="1" t="n">
        <v>1</v>
      </c>
      <c r="C1220" s="2" t="s">
        <v>25</v>
      </c>
      <c r="D1220" s="7" t="s">
        <v>26</v>
      </c>
      <c r="E1220" s="1" t="n">
        <v>3</v>
      </c>
      <c r="F1220" s="1" t="n">
        <f aca="false">Y1220-X1220</f>
        <v>5</v>
      </c>
      <c r="G1220" s="1" t="n">
        <v>5</v>
      </c>
      <c r="H1220" s="3" t="s">
        <v>64</v>
      </c>
      <c r="I1220" s="3" t="s">
        <v>65</v>
      </c>
      <c r="J1220" s="3" t="s">
        <v>123</v>
      </c>
      <c r="K1220" s="2" t="str">
        <f aca="false">CONCATENATE(I1220," ",J1220)</f>
        <v>Zora nemoralis</v>
      </c>
      <c r="L1220" s="3" t="n">
        <f aca="false">SUM(P1220:U1220)</f>
        <v>2</v>
      </c>
      <c r="M1220" s="11" t="n">
        <f aca="false">(L1220/(F1220*G1220)*25)*4</f>
        <v>8</v>
      </c>
      <c r="N1220" s="1" t="s">
        <v>30</v>
      </c>
      <c r="O1220" s="1" t="s">
        <v>31</v>
      </c>
      <c r="P1220" s="1" t="n">
        <v>2</v>
      </c>
      <c r="Q1220" s="1" t="n">
        <v>0</v>
      </c>
      <c r="R1220" s="1" t="n">
        <v>0</v>
      </c>
      <c r="S1220" s="1" t="n">
        <v>0</v>
      </c>
      <c r="T1220" s="1" t="n">
        <v>0</v>
      </c>
      <c r="U1220" s="1" t="n">
        <v>0</v>
      </c>
      <c r="V1220" s="3" t="n">
        <f aca="false">SUM(P1220:Q1220)</f>
        <v>2</v>
      </c>
      <c r="W1220" s="3" t="n">
        <f aca="false">SUM(R1220:T1220)</f>
        <v>0</v>
      </c>
      <c r="X1220" s="10" t="n">
        <v>39970</v>
      </c>
      <c r="Y1220" s="10" t="n">
        <v>39975</v>
      </c>
    </row>
    <row r="1221" customFormat="false" ht="14.25" hidden="false" customHeight="false" outlineLevel="0" collapsed="false">
      <c r="A1221" s="1" t="n">
        <v>2009</v>
      </c>
      <c r="B1221" s="1" t="n">
        <v>1</v>
      </c>
      <c r="C1221" s="2" t="s">
        <v>25</v>
      </c>
      <c r="D1221" s="7" t="s">
        <v>26</v>
      </c>
      <c r="E1221" s="1" t="n">
        <v>3</v>
      </c>
      <c r="F1221" s="1" t="n">
        <f aca="false">Y1221-X1221</f>
        <v>5</v>
      </c>
      <c r="G1221" s="1" t="n">
        <v>5</v>
      </c>
      <c r="H1221" s="3" t="s">
        <v>36</v>
      </c>
      <c r="I1221" s="3" t="s">
        <v>37</v>
      </c>
      <c r="J1221" s="8" t="s">
        <v>75</v>
      </c>
      <c r="K1221" s="2" t="str">
        <f aca="false">CONCATENATE(I1221," ",J1221)</f>
        <v>Ozyptila praticola</v>
      </c>
      <c r="L1221" s="3" t="n">
        <f aca="false">SUM(P1221:U1221)</f>
        <v>1</v>
      </c>
      <c r="M1221" s="11" t="n">
        <f aca="false">(L1221/(F1221*G1221)*25)*4</f>
        <v>4</v>
      </c>
      <c r="N1221" s="1" t="s">
        <v>30</v>
      </c>
      <c r="O1221" s="1" t="s">
        <v>31</v>
      </c>
      <c r="P1221" s="1" t="n">
        <v>1</v>
      </c>
      <c r="Q1221" s="1" t="n">
        <v>0</v>
      </c>
      <c r="R1221" s="1" t="n">
        <v>0</v>
      </c>
      <c r="S1221" s="1" t="n">
        <v>0</v>
      </c>
      <c r="T1221" s="1" t="n">
        <v>0</v>
      </c>
      <c r="U1221" s="1" t="n">
        <v>0</v>
      </c>
      <c r="V1221" s="3" t="n">
        <f aca="false">SUM(P1221:Q1221)</f>
        <v>1</v>
      </c>
      <c r="W1221" s="3" t="n">
        <f aca="false">SUM(R1221:T1221)</f>
        <v>0</v>
      </c>
      <c r="X1221" s="10" t="n">
        <v>39970</v>
      </c>
      <c r="Y1221" s="10" t="n">
        <v>39975</v>
      </c>
    </row>
    <row r="1222" customFormat="false" ht="14.25" hidden="false" customHeight="false" outlineLevel="0" collapsed="false">
      <c r="A1222" s="1" t="n">
        <v>2009</v>
      </c>
      <c r="B1222" s="1" t="n">
        <v>1</v>
      </c>
      <c r="C1222" s="2" t="s">
        <v>25</v>
      </c>
      <c r="D1222" s="7" t="s">
        <v>26</v>
      </c>
      <c r="E1222" s="1" t="n">
        <v>3</v>
      </c>
      <c r="F1222" s="1" t="n">
        <f aca="false">Y1222-X1222</f>
        <v>5</v>
      </c>
      <c r="G1222" s="1" t="n">
        <v>5</v>
      </c>
      <c r="H1222" s="3" t="s">
        <v>32</v>
      </c>
      <c r="I1222" s="3" t="s">
        <v>62</v>
      </c>
      <c r="J1222" s="3" t="s">
        <v>63</v>
      </c>
      <c r="K1222" s="2" t="str">
        <f aca="false">CONCATENATE(I1222," ",J1222)</f>
        <v>Microneta viaria</v>
      </c>
      <c r="L1222" s="3" t="n">
        <f aca="false">SUM(P1222:U1222)</f>
        <v>1</v>
      </c>
      <c r="M1222" s="11" t="n">
        <f aca="false">(L1222/(F1222*G1222)*25)*4</f>
        <v>4</v>
      </c>
      <c r="N1222" s="1" t="s">
        <v>30</v>
      </c>
      <c r="O1222" s="1" t="s">
        <v>35</v>
      </c>
      <c r="P1222" s="1" t="n">
        <v>0</v>
      </c>
      <c r="Q1222" s="1" t="n">
        <v>1</v>
      </c>
      <c r="R1222" s="1" t="n">
        <v>0</v>
      </c>
      <c r="S1222" s="1" t="n">
        <v>0</v>
      </c>
      <c r="T1222" s="1" t="n">
        <v>0</v>
      </c>
      <c r="U1222" s="1" t="n">
        <v>0</v>
      </c>
      <c r="V1222" s="3" t="n">
        <f aca="false">SUM(P1222:Q1222)</f>
        <v>1</v>
      </c>
      <c r="W1222" s="3" t="n">
        <f aca="false">SUM(R1222:T1222)</f>
        <v>0</v>
      </c>
      <c r="X1222" s="10" t="n">
        <v>39970</v>
      </c>
      <c r="Y1222" s="10" t="n">
        <v>39975</v>
      </c>
    </row>
    <row r="1223" customFormat="false" ht="14.25" hidden="false" customHeight="false" outlineLevel="0" collapsed="false">
      <c r="A1223" s="1" t="n">
        <v>2009</v>
      </c>
      <c r="B1223" s="1" t="n">
        <v>1</v>
      </c>
      <c r="C1223" s="2" t="s">
        <v>25</v>
      </c>
      <c r="D1223" s="7" t="s">
        <v>26</v>
      </c>
      <c r="E1223" s="1" t="n">
        <v>3</v>
      </c>
      <c r="F1223" s="1" t="n">
        <f aca="false">Y1223-X1223</f>
        <v>5</v>
      </c>
      <c r="G1223" s="1" t="n">
        <v>5</v>
      </c>
      <c r="H1223" s="3" t="s">
        <v>32</v>
      </c>
      <c r="I1223" s="3" t="s">
        <v>57</v>
      </c>
      <c r="J1223" s="3" t="s">
        <v>38</v>
      </c>
      <c r="K1223" s="2" t="str">
        <f aca="false">CONCATENATE(I1223," ",J1223)</f>
        <v>Gen sp</v>
      </c>
      <c r="L1223" s="3" t="n">
        <f aca="false">SUM(P1223:U1223)</f>
        <v>1</v>
      </c>
      <c r="M1223" s="11" t="n">
        <f aca="false">(L1223/(F1223*G1223)*25)*4</f>
        <v>4</v>
      </c>
      <c r="N1223" s="1" t="s">
        <v>19</v>
      </c>
      <c r="O1223" s="1" t="s">
        <v>54</v>
      </c>
      <c r="P1223" s="1" t="n">
        <v>0</v>
      </c>
      <c r="Q1223" s="1" t="n">
        <v>0</v>
      </c>
      <c r="R1223" s="1" t="n">
        <v>0</v>
      </c>
      <c r="S1223" s="1" t="n">
        <v>0</v>
      </c>
      <c r="T1223" s="1" t="n">
        <v>1</v>
      </c>
      <c r="U1223" s="1" t="n">
        <v>0</v>
      </c>
      <c r="V1223" s="3" t="n">
        <f aca="false">SUM(P1223:Q1223)</f>
        <v>0</v>
      </c>
      <c r="W1223" s="3" t="n">
        <f aca="false">SUM(R1223:T1223)</f>
        <v>1</v>
      </c>
      <c r="X1223" s="10" t="n">
        <v>39970</v>
      </c>
      <c r="Y1223" s="10" t="n">
        <v>39975</v>
      </c>
    </row>
    <row r="1224" customFormat="false" ht="14.25" hidden="false" customHeight="false" outlineLevel="0" collapsed="false">
      <c r="A1224" s="1" t="n">
        <v>2009</v>
      </c>
      <c r="B1224" s="1" t="n">
        <v>1</v>
      </c>
      <c r="C1224" s="2" t="s">
        <v>25</v>
      </c>
      <c r="D1224" s="7" t="s">
        <v>26</v>
      </c>
      <c r="E1224" s="1" t="n">
        <v>3</v>
      </c>
      <c r="F1224" s="1" t="n">
        <f aca="false">Y1224-X1224</f>
        <v>5</v>
      </c>
      <c r="G1224" s="1" t="n">
        <v>5</v>
      </c>
      <c r="H1224" s="3" t="s">
        <v>48</v>
      </c>
      <c r="I1224" s="3" t="s">
        <v>67</v>
      </c>
      <c r="J1224" s="3" t="s">
        <v>127</v>
      </c>
      <c r="K1224" s="2" t="str">
        <f aca="false">CONCATENATE(I1224," ",J1224)</f>
        <v>Pardosa lugubris</v>
      </c>
      <c r="L1224" s="3" t="n">
        <f aca="false">SUM(P1224:U1224)</f>
        <v>1</v>
      </c>
      <c r="M1224" s="11" t="n">
        <f aca="false">(L1224/(F1224*G1224)*25)*4</f>
        <v>4</v>
      </c>
      <c r="N1224" s="1" t="s">
        <v>30</v>
      </c>
      <c r="O1224" s="1" t="s">
        <v>31</v>
      </c>
      <c r="P1224" s="1" t="n">
        <v>1</v>
      </c>
      <c r="Q1224" s="1" t="n">
        <v>0</v>
      </c>
      <c r="R1224" s="1" t="n">
        <v>0</v>
      </c>
      <c r="S1224" s="1" t="n">
        <v>0</v>
      </c>
      <c r="T1224" s="1" t="n">
        <v>0</v>
      </c>
      <c r="U1224" s="1" t="n">
        <v>0</v>
      </c>
      <c r="V1224" s="3" t="n">
        <f aca="false">SUM(P1224:Q1224)</f>
        <v>1</v>
      </c>
      <c r="W1224" s="3" t="n">
        <f aca="false">SUM(R1224:T1224)</f>
        <v>0</v>
      </c>
      <c r="X1224" s="10" t="n">
        <v>39970</v>
      </c>
      <c r="Y1224" s="10" t="n">
        <v>39975</v>
      </c>
    </row>
    <row r="1225" customFormat="false" ht="14.25" hidden="false" customHeight="false" outlineLevel="0" collapsed="false">
      <c r="A1225" s="1" t="n">
        <v>2009</v>
      </c>
      <c r="B1225" s="1" t="n">
        <v>1</v>
      </c>
      <c r="C1225" s="2" t="s">
        <v>25</v>
      </c>
      <c r="D1225" s="7" t="s">
        <v>26</v>
      </c>
      <c r="E1225" s="1" t="n">
        <v>3</v>
      </c>
      <c r="F1225" s="1" t="n">
        <f aca="false">Y1225-X1225</f>
        <v>5</v>
      </c>
      <c r="G1225" s="1" t="n">
        <v>5</v>
      </c>
      <c r="H1225" s="3" t="s">
        <v>48</v>
      </c>
      <c r="I1225" s="3" t="s">
        <v>61</v>
      </c>
      <c r="J1225" s="3" t="s">
        <v>38</v>
      </c>
      <c r="K1225" s="2" t="str">
        <f aca="false">CONCATENATE(I1225," ",J1225)</f>
        <v>Trochosa sp</v>
      </c>
      <c r="L1225" s="3" t="n">
        <f aca="false">SUM(P1225:U1225)</f>
        <v>1</v>
      </c>
      <c r="M1225" s="11" t="n">
        <f aca="false">(L1225/(F1225*G1225)*25)*4</f>
        <v>4</v>
      </c>
      <c r="N1225" s="1" t="s">
        <v>19</v>
      </c>
      <c r="O1225" s="1" t="s">
        <v>54</v>
      </c>
      <c r="P1225" s="1" t="n">
        <v>0</v>
      </c>
      <c r="Q1225" s="1" t="n">
        <v>0</v>
      </c>
      <c r="R1225" s="1" t="n">
        <v>0</v>
      </c>
      <c r="S1225" s="1" t="n">
        <v>0</v>
      </c>
      <c r="T1225" s="1" t="n">
        <v>1</v>
      </c>
      <c r="U1225" s="1" t="n">
        <v>0</v>
      </c>
      <c r="V1225" s="3" t="n">
        <f aca="false">SUM(P1225:Q1225)</f>
        <v>0</v>
      </c>
      <c r="W1225" s="3" t="n">
        <f aca="false">SUM(R1225:T1225)</f>
        <v>1</v>
      </c>
      <c r="X1225" s="10" t="n">
        <v>39970</v>
      </c>
      <c r="Y1225" s="10" t="n">
        <v>39975</v>
      </c>
    </row>
    <row r="1226" customFormat="false" ht="14.25" hidden="false" customHeight="false" outlineLevel="0" collapsed="false">
      <c r="A1226" s="1" t="n">
        <v>2009</v>
      </c>
      <c r="B1226" s="1" t="n">
        <v>1</v>
      </c>
      <c r="C1226" s="2" t="s">
        <v>25</v>
      </c>
      <c r="D1226" s="7" t="s">
        <v>26</v>
      </c>
      <c r="E1226" s="1" t="n">
        <v>3</v>
      </c>
      <c r="F1226" s="1" t="n">
        <f aca="false">Y1226-X1226</f>
        <v>5</v>
      </c>
      <c r="G1226" s="1" t="n">
        <v>5</v>
      </c>
      <c r="H1226" s="3" t="s">
        <v>64</v>
      </c>
      <c r="I1226" s="3" t="s">
        <v>65</v>
      </c>
      <c r="J1226" s="3" t="s">
        <v>123</v>
      </c>
      <c r="K1226" s="2" t="str">
        <f aca="false">CONCATENATE(I1226," ",J1226)</f>
        <v>Zora nemoralis</v>
      </c>
      <c r="L1226" s="3" t="n">
        <f aca="false">SUM(P1226:U1226)</f>
        <v>1</v>
      </c>
      <c r="M1226" s="11" t="n">
        <f aca="false">(L1226/(F1226*G1226)*25)*4</f>
        <v>4</v>
      </c>
      <c r="N1226" s="1" t="s">
        <v>30</v>
      </c>
      <c r="O1226" s="1" t="s">
        <v>35</v>
      </c>
      <c r="P1226" s="1" t="n">
        <v>0</v>
      </c>
      <c r="Q1226" s="1" t="n">
        <v>1</v>
      </c>
      <c r="R1226" s="1" t="n">
        <v>0</v>
      </c>
      <c r="S1226" s="1" t="n">
        <v>0</v>
      </c>
      <c r="T1226" s="1" t="n">
        <v>0</v>
      </c>
      <c r="U1226" s="1" t="n">
        <v>0</v>
      </c>
      <c r="V1226" s="3" t="n">
        <f aca="false">SUM(P1226:Q1226)</f>
        <v>1</v>
      </c>
      <c r="W1226" s="3" t="n">
        <f aca="false">SUM(R1226:T1226)</f>
        <v>0</v>
      </c>
      <c r="X1226" s="10" t="n">
        <v>39970</v>
      </c>
      <c r="Y1226" s="10" t="n">
        <v>39975</v>
      </c>
    </row>
    <row r="1227" customFormat="false" ht="14.25" hidden="false" customHeight="false" outlineLevel="0" collapsed="false">
      <c r="A1227" s="1" t="n">
        <v>2009</v>
      </c>
      <c r="B1227" s="1" t="n">
        <v>1</v>
      </c>
      <c r="C1227" s="2" t="s">
        <v>25</v>
      </c>
      <c r="D1227" s="7" t="s">
        <v>26</v>
      </c>
      <c r="E1227" s="1" t="n">
        <v>3</v>
      </c>
      <c r="F1227" s="1" t="n">
        <f aca="false">Y1227-X1227</f>
        <v>5</v>
      </c>
      <c r="G1227" s="1" t="n">
        <v>5</v>
      </c>
      <c r="H1227" s="3" t="s">
        <v>36</v>
      </c>
      <c r="I1227" s="3" t="s">
        <v>37</v>
      </c>
      <c r="J1227" s="8" t="s">
        <v>75</v>
      </c>
      <c r="K1227" s="2" t="str">
        <f aca="false">CONCATENATE(I1227," ",J1227)</f>
        <v>Ozyptila praticola</v>
      </c>
      <c r="L1227" s="3" t="n">
        <f aca="false">SUM(P1227:U1227)</f>
        <v>1</v>
      </c>
      <c r="M1227" s="11" t="n">
        <f aca="false">(L1227/(F1227*G1227)*25)*4</f>
        <v>4</v>
      </c>
      <c r="N1227" s="1" t="s">
        <v>30</v>
      </c>
      <c r="O1227" s="1" t="s">
        <v>31</v>
      </c>
      <c r="P1227" s="1" t="n">
        <v>1</v>
      </c>
      <c r="Q1227" s="1" t="n">
        <v>0</v>
      </c>
      <c r="R1227" s="1" t="n">
        <v>0</v>
      </c>
      <c r="S1227" s="1" t="n">
        <v>0</v>
      </c>
      <c r="T1227" s="1" t="n">
        <v>0</v>
      </c>
      <c r="U1227" s="1" t="n">
        <v>0</v>
      </c>
      <c r="V1227" s="3" t="n">
        <f aca="false">SUM(P1227:Q1227)</f>
        <v>1</v>
      </c>
      <c r="W1227" s="3" t="n">
        <f aca="false">SUM(R1227:T1227)</f>
        <v>0</v>
      </c>
      <c r="X1227" s="10" t="n">
        <v>39970</v>
      </c>
      <c r="Y1227" s="10" t="n">
        <v>39975</v>
      </c>
    </row>
    <row r="1228" customFormat="false" ht="14.25" hidden="false" customHeight="false" outlineLevel="0" collapsed="false">
      <c r="A1228" s="1" t="n">
        <v>2009</v>
      </c>
      <c r="B1228" s="1" t="n">
        <v>1</v>
      </c>
      <c r="C1228" s="2" t="s">
        <v>25</v>
      </c>
      <c r="D1228" s="7" t="s">
        <v>26</v>
      </c>
      <c r="E1228" s="1" t="n">
        <v>3</v>
      </c>
      <c r="F1228" s="1" t="n">
        <f aca="false">Y1228-X1228</f>
        <v>5</v>
      </c>
      <c r="G1228" s="1" t="n">
        <v>5</v>
      </c>
      <c r="H1228" s="3" t="s">
        <v>32</v>
      </c>
      <c r="I1228" s="3" t="s">
        <v>62</v>
      </c>
      <c r="J1228" s="3" t="s">
        <v>63</v>
      </c>
      <c r="K1228" s="2" t="str">
        <f aca="false">CONCATENATE(I1228," ",J1228)</f>
        <v>Microneta viaria</v>
      </c>
      <c r="L1228" s="3" t="n">
        <f aca="false">SUM(P1228:U1228)</f>
        <v>1</v>
      </c>
      <c r="M1228" s="11" t="n">
        <f aca="false">(L1228/(F1228*G1228)*25)*4</f>
        <v>4</v>
      </c>
      <c r="N1228" s="1" t="s">
        <v>30</v>
      </c>
      <c r="O1228" s="1" t="s">
        <v>31</v>
      </c>
      <c r="P1228" s="1" t="n">
        <v>1</v>
      </c>
      <c r="Q1228" s="1" t="n">
        <v>0</v>
      </c>
      <c r="R1228" s="1" t="n">
        <v>0</v>
      </c>
      <c r="S1228" s="1" t="n">
        <v>0</v>
      </c>
      <c r="T1228" s="1" t="n">
        <v>0</v>
      </c>
      <c r="U1228" s="1" t="n">
        <v>0</v>
      </c>
      <c r="V1228" s="3" t="n">
        <f aca="false">SUM(P1228:Q1228)</f>
        <v>1</v>
      </c>
      <c r="W1228" s="3" t="n">
        <f aca="false">SUM(R1228:T1228)</f>
        <v>0</v>
      </c>
      <c r="X1228" s="10" t="n">
        <v>39970</v>
      </c>
      <c r="Y1228" s="10" t="n">
        <v>39975</v>
      </c>
    </row>
    <row r="1229" customFormat="false" ht="14.25" hidden="false" customHeight="false" outlineLevel="0" collapsed="false">
      <c r="A1229" s="1" t="n">
        <v>2009</v>
      </c>
      <c r="B1229" s="1" t="n">
        <v>1</v>
      </c>
      <c r="C1229" s="2" t="s">
        <v>25</v>
      </c>
      <c r="D1229" s="7" t="s">
        <v>26</v>
      </c>
      <c r="E1229" s="1" t="n">
        <v>3</v>
      </c>
      <c r="F1229" s="1" t="n">
        <f aca="false">Y1229-X1229</f>
        <v>5</v>
      </c>
      <c r="G1229" s="1" t="n">
        <v>5</v>
      </c>
      <c r="H1229" s="3" t="s">
        <v>32</v>
      </c>
      <c r="I1229" s="3" t="s">
        <v>62</v>
      </c>
      <c r="J1229" s="3" t="s">
        <v>63</v>
      </c>
      <c r="K1229" s="2" t="str">
        <f aca="false">CONCATENATE(I1229," ",J1229)</f>
        <v>Microneta viaria</v>
      </c>
      <c r="L1229" s="3" t="n">
        <f aca="false">SUM(P1229:U1229)</f>
        <v>1</v>
      </c>
      <c r="M1229" s="11" t="n">
        <f aca="false">(L1229/(F1229*G1229)*25)*4</f>
        <v>4</v>
      </c>
      <c r="N1229" s="1" t="s">
        <v>30</v>
      </c>
      <c r="O1229" s="1" t="s">
        <v>35</v>
      </c>
      <c r="P1229" s="1" t="n">
        <v>0</v>
      </c>
      <c r="Q1229" s="1" t="n">
        <v>1</v>
      </c>
      <c r="R1229" s="1" t="n">
        <v>0</v>
      </c>
      <c r="S1229" s="1" t="n">
        <v>0</v>
      </c>
      <c r="T1229" s="1" t="n">
        <v>0</v>
      </c>
      <c r="U1229" s="1" t="n">
        <v>0</v>
      </c>
      <c r="V1229" s="3" t="n">
        <f aca="false">SUM(P1229:Q1229)</f>
        <v>1</v>
      </c>
      <c r="W1229" s="3" t="n">
        <f aca="false">SUM(R1229:T1229)</f>
        <v>0</v>
      </c>
      <c r="X1229" s="10" t="n">
        <v>39970</v>
      </c>
      <c r="Y1229" s="10" t="n">
        <v>39975</v>
      </c>
    </row>
    <row r="1230" customFormat="false" ht="14.25" hidden="false" customHeight="false" outlineLevel="0" collapsed="false">
      <c r="A1230" s="1" t="n">
        <v>2009</v>
      </c>
      <c r="B1230" s="1" t="n">
        <v>1</v>
      </c>
      <c r="C1230" s="2" t="s">
        <v>25</v>
      </c>
      <c r="D1230" s="7" t="s">
        <v>26</v>
      </c>
      <c r="E1230" s="1" t="n">
        <v>3</v>
      </c>
      <c r="F1230" s="1" t="n">
        <f aca="false">Y1230-X1230</f>
        <v>5</v>
      </c>
      <c r="G1230" s="1" t="n">
        <v>5</v>
      </c>
      <c r="H1230" s="13" t="s">
        <v>32</v>
      </c>
      <c r="I1230" s="13" t="s">
        <v>96</v>
      </c>
      <c r="J1230" s="14" t="s">
        <v>97</v>
      </c>
      <c r="K1230" s="2" t="str">
        <f aca="false">CONCATENATE(I1230," ",J1230)</f>
        <v>Diplocephalus picinus</v>
      </c>
      <c r="L1230" s="3" t="n">
        <f aca="false">SUM(P1230:U1230)</f>
        <v>2</v>
      </c>
      <c r="M1230" s="11" t="n">
        <f aca="false">(L1230/(F1230*G1230)*25)*4</f>
        <v>8</v>
      </c>
      <c r="N1230" s="1" t="s">
        <v>30</v>
      </c>
      <c r="O1230" s="1" t="s">
        <v>31</v>
      </c>
      <c r="P1230" s="1" t="n">
        <v>2</v>
      </c>
      <c r="Q1230" s="1" t="n">
        <v>0</v>
      </c>
      <c r="R1230" s="1" t="n">
        <v>0</v>
      </c>
      <c r="S1230" s="1" t="n">
        <v>0</v>
      </c>
      <c r="T1230" s="1" t="n">
        <v>0</v>
      </c>
      <c r="U1230" s="1" t="n">
        <v>0</v>
      </c>
      <c r="V1230" s="3" t="n">
        <f aca="false">SUM(P1230:Q1230)</f>
        <v>2</v>
      </c>
      <c r="W1230" s="3" t="n">
        <f aca="false">SUM(R1230:T1230)</f>
        <v>0</v>
      </c>
      <c r="X1230" s="10" t="n">
        <v>39970</v>
      </c>
      <c r="Y1230" s="10" t="n">
        <v>39975</v>
      </c>
    </row>
    <row r="1231" customFormat="false" ht="14.25" hidden="false" customHeight="false" outlineLevel="0" collapsed="false">
      <c r="A1231" s="1" t="n">
        <v>2009</v>
      </c>
      <c r="B1231" s="1" t="n">
        <v>1</v>
      </c>
      <c r="C1231" s="2" t="s">
        <v>25</v>
      </c>
      <c r="D1231" s="7" t="s">
        <v>26</v>
      </c>
      <c r="E1231" s="1" t="n">
        <v>3</v>
      </c>
      <c r="F1231" s="1" t="n">
        <f aca="false">Y1231-X1231</f>
        <v>5</v>
      </c>
      <c r="G1231" s="1" t="n">
        <v>5</v>
      </c>
      <c r="H1231" s="3" t="s">
        <v>32</v>
      </c>
      <c r="I1231" s="3" t="s">
        <v>84</v>
      </c>
      <c r="J1231" s="3" t="s">
        <v>168</v>
      </c>
      <c r="K1231" s="2" t="str">
        <f aca="false">CONCATENATE(I1231," ",J1231)</f>
        <v>Walckenaeria atrotibialis</v>
      </c>
      <c r="L1231" s="3" t="n">
        <f aca="false">SUM(P1231:U1231)</f>
        <v>1</v>
      </c>
      <c r="M1231" s="11" t="n">
        <f aca="false">(L1231/(F1231*G1231)*25)*4</f>
        <v>4</v>
      </c>
      <c r="N1231" s="1" t="s">
        <v>30</v>
      </c>
      <c r="O1231" s="1" t="s">
        <v>31</v>
      </c>
      <c r="P1231" s="1" t="n">
        <v>1</v>
      </c>
      <c r="Q1231" s="1" t="n">
        <v>0</v>
      </c>
      <c r="R1231" s="1" t="n">
        <v>0</v>
      </c>
      <c r="S1231" s="1" t="n">
        <v>0</v>
      </c>
      <c r="T1231" s="1" t="n">
        <v>0</v>
      </c>
      <c r="U1231" s="1" t="n">
        <v>0</v>
      </c>
      <c r="V1231" s="3" t="n">
        <f aca="false">SUM(P1231:Q1231)</f>
        <v>1</v>
      </c>
      <c r="W1231" s="3" t="n">
        <f aca="false">SUM(R1231:T1231)</f>
        <v>0</v>
      </c>
      <c r="X1231" s="10" t="n">
        <v>39970</v>
      </c>
      <c r="Y1231" s="10" t="n">
        <v>39975</v>
      </c>
    </row>
    <row r="1232" customFormat="false" ht="14.25" hidden="false" customHeight="false" outlineLevel="0" collapsed="false">
      <c r="A1232" s="1" t="n">
        <v>2009</v>
      </c>
      <c r="B1232" s="1" t="n">
        <v>1</v>
      </c>
      <c r="C1232" s="2" t="s">
        <v>25</v>
      </c>
      <c r="D1232" s="7" t="s">
        <v>26</v>
      </c>
      <c r="E1232" s="1" t="n">
        <v>3</v>
      </c>
      <c r="F1232" s="1" t="n">
        <f aca="false">Y1232-X1232</f>
        <v>5</v>
      </c>
      <c r="G1232" s="1" t="n">
        <v>5</v>
      </c>
      <c r="H1232" s="3" t="s">
        <v>32</v>
      </c>
      <c r="I1232" s="3" t="s">
        <v>57</v>
      </c>
      <c r="J1232" s="3" t="s">
        <v>38</v>
      </c>
      <c r="K1232" s="2" t="str">
        <f aca="false">CONCATENATE(I1232," ",J1232)</f>
        <v>Gen sp</v>
      </c>
      <c r="L1232" s="3" t="n">
        <f aca="false">SUM(P1232:U1232)</f>
        <v>4</v>
      </c>
      <c r="M1232" s="11" t="n">
        <f aca="false">(L1232/(F1232*G1232)*25)*4</f>
        <v>16</v>
      </c>
      <c r="N1232" s="1" t="s">
        <v>19</v>
      </c>
      <c r="O1232" s="1" t="s">
        <v>54</v>
      </c>
      <c r="P1232" s="1" t="n">
        <v>0</v>
      </c>
      <c r="Q1232" s="1" t="n">
        <v>0</v>
      </c>
      <c r="R1232" s="1" t="n">
        <v>0</v>
      </c>
      <c r="S1232" s="1" t="n">
        <v>0</v>
      </c>
      <c r="T1232" s="1" t="n">
        <v>4</v>
      </c>
      <c r="U1232" s="1" t="n">
        <v>0</v>
      </c>
      <c r="V1232" s="3" t="n">
        <f aca="false">SUM(P1232:Q1232)</f>
        <v>0</v>
      </c>
      <c r="W1232" s="3" t="n">
        <f aca="false">SUM(R1232:T1232)</f>
        <v>4</v>
      </c>
      <c r="X1232" s="10" t="n">
        <v>39970</v>
      </c>
      <c r="Y1232" s="10" t="n">
        <v>39975</v>
      </c>
    </row>
    <row r="1233" customFormat="false" ht="14.25" hidden="false" customHeight="false" outlineLevel="0" collapsed="false">
      <c r="A1233" s="1" t="n">
        <v>2009</v>
      </c>
      <c r="B1233" s="1" t="n">
        <v>1</v>
      </c>
      <c r="C1233" s="2" t="s">
        <v>25</v>
      </c>
      <c r="D1233" s="7" t="s">
        <v>26</v>
      </c>
      <c r="E1233" s="1" t="n">
        <v>3</v>
      </c>
      <c r="F1233" s="1" t="n">
        <f aca="false">Y1233-X1233</f>
        <v>5</v>
      </c>
      <c r="G1233" s="1" t="n">
        <v>5</v>
      </c>
      <c r="H1233" s="3" t="s">
        <v>48</v>
      </c>
      <c r="I1233" s="3" t="s">
        <v>67</v>
      </c>
      <c r="J1233" s="3" t="s">
        <v>127</v>
      </c>
      <c r="K1233" s="2" t="str">
        <f aca="false">CONCATENATE(I1233," ",J1233)</f>
        <v>Pardosa lugubris</v>
      </c>
      <c r="L1233" s="3" t="n">
        <f aca="false">SUM(P1233:U1233)</f>
        <v>4</v>
      </c>
      <c r="M1233" s="11" t="n">
        <f aca="false">(L1233/(F1233*G1233)*25)*4</f>
        <v>16</v>
      </c>
      <c r="N1233" s="1" t="s">
        <v>30</v>
      </c>
      <c r="O1233" s="1" t="s">
        <v>31</v>
      </c>
      <c r="P1233" s="1" t="n">
        <v>4</v>
      </c>
      <c r="Q1233" s="1" t="n">
        <v>0</v>
      </c>
      <c r="R1233" s="1" t="n">
        <v>0</v>
      </c>
      <c r="S1233" s="1" t="n">
        <v>0</v>
      </c>
      <c r="T1233" s="1" t="n">
        <v>0</v>
      </c>
      <c r="U1233" s="1" t="n">
        <v>0</v>
      </c>
      <c r="V1233" s="3" t="n">
        <f aca="false">SUM(P1233:Q1233)</f>
        <v>4</v>
      </c>
      <c r="W1233" s="3" t="n">
        <f aca="false">SUM(R1233:T1233)</f>
        <v>0</v>
      </c>
      <c r="X1233" s="10" t="n">
        <v>39970</v>
      </c>
      <c r="Y1233" s="10" t="n">
        <v>39975</v>
      </c>
    </row>
    <row r="1234" customFormat="false" ht="14.25" hidden="false" customHeight="false" outlineLevel="0" collapsed="false">
      <c r="A1234" s="1" t="n">
        <v>2009</v>
      </c>
      <c r="B1234" s="1" t="n">
        <v>1</v>
      </c>
      <c r="C1234" s="2" t="s">
        <v>25</v>
      </c>
      <c r="D1234" s="7" t="s">
        <v>26</v>
      </c>
      <c r="E1234" s="1" t="n">
        <v>3</v>
      </c>
      <c r="F1234" s="1" t="n">
        <f aca="false">Y1234-X1234</f>
        <v>5</v>
      </c>
      <c r="G1234" s="1" t="n">
        <v>5</v>
      </c>
      <c r="H1234" s="3" t="s">
        <v>32</v>
      </c>
      <c r="I1234" s="3" t="s">
        <v>113</v>
      </c>
      <c r="J1234" s="8" t="s">
        <v>114</v>
      </c>
      <c r="K1234" s="2" t="str">
        <f aca="false">CONCATENATE(I1234," ",J1234)</f>
        <v>Ceratinella brevipes</v>
      </c>
      <c r="L1234" s="3" t="n">
        <f aca="false">SUM(P1234:U1234)</f>
        <v>1</v>
      </c>
      <c r="M1234" s="11" t="n">
        <f aca="false">(L1234/(F1234*G1234)*25)*4</f>
        <v>4</v>
      </c>
      <c r="N1234" s="1" t="s">
        <v>30</v>
      </c>
      <c r="O1234" s="1" t="s">
        <v>35</v>
      </c>
      <c r="P1234" s="1" t="n">
        <v>0</v>
      </c>
      <c r="Q1234" s="1" t="n">
        <v>1</v>
      </c>
      <c r="R1234" s="1" t="n">
        <v>0</v>
      </c>
      <c r="S1234" s="1" t="n">
        <v>0</v>
      </c>
      <c r="T1234" s="1" t="n">
        <v>0</v>
      </c>
      <c r="U1234" s="1" t="n">
        <v>0</v>
      </c>
      <c r="V1234" s="3" t="n">
        <f aca="false">SUM(P1234:Q1234)</f>
        <v>1</v>
      </c>
      <c r="W1234" s="3" t="n">
        <f aca="false">SUM(R1234:T1234)</f>
        <v>0</v>
      </c>
      <c r="X1234" s="10" t="n">
        <v>39970</v>
      </c>
      <c r="Y1234" s="10" t="n">
        <v>39975</v>
      </c>
    </row>
    <row r="1235" customFormat="false" ht="14.25" hidden="false" customHeight="false" outlineLevel="0" collapsed="false">
      <c r="A1235" s="1" t="n">
        <v>2009</v>
      </c>
      <c r="B1235" s="1" t="n">
        <v>1</v>
      </c>
      <c r="C1235" s="2" t="s">
        <v>25</v>
      </c>
      <c r="D1235" s="7" t="s">
        <v>26</v>
      </c>
      <c r="E1235" s="1" t="n">
        <v>3</v>
      </c>
      <c r="F1235" s="1" t="n">
        <f aca="false">Y1235-X1235</f>
        <v>5</v>
      </c>
      <c r="G1235" s="1" t="n">
        <v>5</v>
      </c>
      <c r="H1235" s="3" t="s">
        <v>32</v>
      </c>
      <c r="I1235" s="3" t="s">
        <v>62</v>
      </c>
      <c r="J1235" s="3" t="s">
        <v>63</v>
      </c>
      <c r="K1235" s="2" t="str">
        <f aca="false">CONCATENATE(I1235," ",J1235)</f>
        <v>Microneta viaria</v>
      </c>
      <c r="L1235" s="3" t="n">
        <f aca="false">SUM(P1235:U1235)</f>
        <v>1</v>
      </c>
      <c r="M1235" s="11" t="n">
        <f aca="false">(L1235/(F1235*G1235)*25)*4</f>
        <v>4</v>
      </c>
      <c r="N1235" s="1" t="s">
        <v>30</v>
      </c>
      <c r="O1235" s="1" t="s">
        <v>31</v>
      </c>
      <c r="P1235" s="1" t="n">
        <v>1</v>
      </c>
      <c r="Q1235" s="1" t="n">
        <v>0</v>
      </c>
      <c r="R1235" s="1" t="n">
        <v>0</v>
      </c>
      <c r="S1235" s="1" t="n">
        <v>0</v>
      </c>
      <c r="T1235" s="1" t="n">
        <v>0</v>
      </c>
      <c r="U1235" s="1" t="n">
        <v>0</v>
      </c>
      <c r="V1235" s="3" t="n">
        <f aca="false">SUM(P1235:Q1235)</f>
        <v>1</v>
      </c>
      <c r="W1235" s="3" t="n">
        <f aca="false">SUM(R1235:T1235)</f>
        <v>0</v>
      </c>
      <c r="X1235" s="10" t="n">
        <v>39970</v>
      </c>
      <c r="Y1235" s="10" t="n">
        <v>39975</v>
      </c>
    </row>
    <row r="1236" customFormat="false" ht="14.25" hidden="false" customHeight="false" outlineLevel="0" collapsed="false">
      <c r="A1236" s="1" t="n">
        <v>2009</v>
      </c>
      <c r="B1236" s="1" t="n">
        <v>1</v>
      </c>
      <c r="C1236" s="2" t="s">
        <v>25</v>
      </c>
      <c r="D1236" s="7" t="s">
        <v>26</v>
      </c>
      <c r="E1236" s="1" t="n">
        <v>3</v>
      </c>
      <c r="F1236" s="1" t="n">
        <f aca="false">Y1236-X1236</f>
        <v>5</v>
      </c>
      <c r="G1236" s="1" t="n">
        <v>5</v>
      </c>
      <c r="H1236" s="3" t="s">
        <v>32</v>
      </c>
      <c r="I1236" s="3" t="s">
        <v>90</v>
      </c>
      <c r="J1236" s="3" t="s">
        <v>91</v>
      </c>
      <c r="K1236" s="2" t="str">
        <f aca="false">CONCATENATE(I1236," ",J1236)</f>
        <v>Tapinocyba insecta</v>
      </c>
      <c r="L1236" s="3" t="n">
        <f aca="false">SUM(P1236:U1236)</f>
        <v>1</v>
      </c>
      <c r="M1236" s="11" t="n">
        <f aca="false">(L1236/(F1236*G1236)*25)*4</f>
        <v>4</v>
      </c>
      <c r="N1236" s="1" t="s">
        <v>30</v>
      </c>
      <c r="O1236" s="1" t="s">
        <v>31</v>
      </c>
      <c r="P1236" s="1" t="n">
        <v>1</v>
      </c>
      <c r="Q1236" s="1" t="n">
        <v>0</v>
      </c>
      <c r="R1236" s="1" t="n">
        <v>0</v>
      </c>
      <c r="S1236" s="1" t="n">
        <v>0</v>
      </c>
      <c r="T1236" s="1" t="n">
        <v>0</v>
      </c>
      <c r="U1236" s="1" t="n">
        <v>0</v>
      </c>
      <c r="V1236" s="3" t="n">
        <f aca="false">SUM(P1236:Q1236)</f>
        <v>1</v>
      </c>
      <c r="W1236" s="3" t="n">
        <f aca="false">SUM(R1236:T1236)</f>
        <v>0</v>
      </c>
      <c r="X1236" s="10" t="n">
        <v>39970</v>
      </c>
      <c r="Y1236" s="10" t="n">
        <v>39975</v>
      </c>
    </row>
    <row r="1237" customFormat="false" ht="14.25" hidden="false" customHeight="false" outlineLevel="0" collapsed="false">
      <c r="A1237" s="1" t="n">
        <v>2009</v>
      </c>
      <c r="B1237" s="1" t="n">
        <v>1</v>
      </c>
      <c r="C1237" s="2" t="s">
        <v>25</v>
      </c>
      <c r="D1237" s="7" t="s">
        <v>110</v>
      </c>
      <c r="E1237" s="1" t="n">
        <v>1</v>
      </c>
      <c r="F1237" s="1" t="n">
        <f aca="false">Y1237-X1237</f>
        <v>5</v>
      </c>
      <c r="G1237" s="1" t="n">
        <v>5</v>
      </c>
      <c r="H1237" s="3" t="s">
        <v>48</v>
      </c>
      <c r="I1237" s="3" t="s">
        <v>49</v>
      </c>
      <c r="J1237" s="3" t="s">
        <v>104</v>
      </c>
      <c r="K1237" s="2" t="str">
        <f aca="false">CONCATENATE(I1237," ",J1237)</f>
        <v>Alopecosa taeniata</v>
      </c>
      <c r="L1237" s="3" t="n">
        <f aca="false">SUM(P1237:U1237)</f>
        <v>1</v>
      </c>
      <c r="M1237" s="11" t="n">
        <f aca="false">(L1237/(F1237*G1237)*25)*4</f>
        <v>4</v>
      </c>
      <c r="N1237" s="1" t="s">
        <v>30</v>
      </c>
      <c r="O1237" s="1" t="s">
        <v>31</v>
      </c>
      <c r="P1237" s="1" t="n">
        <v>1</v>
      </c>
      <c r="Q1237" s="1" t="n">
        <v>0</v>
      </c>
      <c r="R1237" s="1" t="n">
        <v>0</v>
      </c>
      <c r="S1237" s="1" t="n">
        <v>0</v>
      </c>
      <c r="T1237" s="1" t="n">
        <v>0</v>
      </c>
      <c r="U1237" s="1" t="n">
        <v>0</v>
      </c>
      <c r="V1237" s="3" t="n">
        <f aca="false">SUM(P1237:Q1237)</f>
        <v>1</v>
      </c>
      <c r="W1237" s="3" t="n">
        <f aca="false">SUM(R1237:T1237)</f>
        <v>0</v>
      </c>
      <c r="X1237" s="10" t="n">
        <v>39969</v>
      </c>
      <c r="Y1237" s="10" t="n">
        <v>39974</v>
      </c>
    </row>
    <row r="1238" customFormat="false" ht="14.25" hidden="false" customHeight="false" outlineLevel="0" collapsed="false">
      <c r="A1238" s="1" t="n">
        <v>2009</v>
      </c>
      <c r="B1238" s="1" t="n">
        <v>1</v>
      </c>
      <c r="C1238" s="2" t="s">
        <v>25</v>
      </c>
      <c r="D1238" s="7" t="s">
        <v>110</v>
      </c>
      <c r="E1238" s="1" t="n">
        <v>1</v>
      </c>
      <c r="F1238" s="1" t="n">
        <f aca="false">Y1238-X1238</f>
        <v>5</v>
      </c>
      <c r="G1238" s="1" t="n">
        <v>5</v>
      </c>
      <c r="H1238" s="3" t="s">
        <v>48</v>
      </c>
      <c r="I1238" s="3" t="s">
        <v>61</v>
      </c>
      <c r="J1238" s="3" t="s">
        <v>38</v>
      </c>
      <c r="K1238" s="2" t="str">
        <f aca="false">CONCATENATE(I1238," ",J1238)</f>
        <v>Trochosa sp</v>
      </c>
      <c r="L1238" s="3" t="n">
        <f aca="false">SUM(P1238:U1238)</f>
        <v>2</v>
      </c>
      <c r="M1238" s="11" t="n">
        <f aca="false">(L1238/(F1238*G1238)*25)*4</f>
        <v>8</v>
      </c>
      <c r="N1238" s="1" t="s">
        <v>19</v>
      </c>
      <c r="O1238" s="1" t="s">
        <v>54</v>
      </c>
      <c r="P1238" s="1" t="n">
        <v>0</v>
      </c>
      <c r="Q1238" s="1" t="n">
        <v>0</v>
      </c>
      <c r="R1238" s="1" t="n">
        <v>0</v>
      </c>
      <c r="S1238" s="1" t="n">
        <v>0</v>
      </c>
      <c r="T1238" s="1" t="n">
        <v>2</v>
      </c>
      <c r="U1238" s="1" t="n">
        <v>0</v>
      </c>
      <c r="V1238" s="3" t="n">
        <f aca="false">SUM(P1238:Q1238)</f>
        <v>0</v>
      </c>
      <c r="W1238" s="3" t="n">
        <f aca="false">SUM(R1238:T1238)</f>
        <v>2</v>
      </c>
      <c r="X1238" s="10" t="n">
        <v>39969</v>
      </c>
      <c r="Y1238" s="10" t="n">
        <v>39974</v>
      </c>
    </row>
    <row r="1239" customFormat="false" ht="14.25" hidden="false" customHeight="false" outlineLevel="0" collapsed="false">
      <c r="A1239" s="1" t="n">
        <v>2009</v>
      </c>
      <c r="B1239" s="1" t="n">
        <v>1</v>
      </c>
      <c r="C1239" s="2" t="s">
        <v>25</v>
      </c>
      <c r="D1239" s="7" t="s">
        <v>110</v>
      </c>
      <c r="E1239" s="1" t="n">
        <v>1</v>
      </c>
      <c r="F1239" s="1" t="n">
        <f aca="false">Y1239-X1239</f>
        <v>5</v>
      </c>
      <c r="G1239" s="1" t="n">
        <v>5</v>
      </c>
      <c r="H1239" s="3" t="s">
        <v>72</v>
      </c>
      <c r="I1239" s="3" t="s">
        <v>86</v>
      </c>
      <c r="J1239" s="8" t="s">
        <v>87</v>
      </c>
      <c r="K1239" s="2" t="str">
        <f aca="false">CONCATENATE(I1239," ",J1239)</f>
        <v>Haplodrassus soerenseni</v>
      </c>
      <c r="L1239" s="3" t="n">
        <f aca="false">SUM(P1239:U1239)</f>
        <v>1</v>
      </c>
      <c r="M1239" s="11" t="n">
        <f aca="false">(L1239/(F1239*G1239)*25)*4</f>
        <v>4</v>
      </c>
      <c r="N1239" s="1" t="s">
        <v>30</v>
      </c>
      <c r="O1239" s="1" t="s">
        <v>31</v>
      </c>
      <c r="P1239" s="1" t="n">
        <v>1</v>
      </c>
      <c r="Q1239" s="1" t="n">
        <v>0</v>
      </c>
      <c r="R1239" s="1" t="n">
        <v>0</v>
      </c>
      <c r="S1239" s="1" t="n">
        <v>0</v>
      </c>
      <c r="T1239" s="1" t="n">
        <v>0</v>
      </c>
      <c r="U1239" s="1" t="n">
        <v>0</v>
      </c>
      <c r="V1239" s="3" t="n">
        <f aca="false">SUM(P1239:Q1239)</f>
        <v>1</v>
      </c>
      <c r="W1239" s="3" t="n">
        <f aca="false">SUM(R1239:T1239)</f>
        <v>0</v>
      </c>
      <c r="X1239" s="10" t="n">
        <v>39969</v>
      </c>
      <c r="Y1239" s="10" t="n">
        <v>39974</v>
      </c>
    </row>
    <row r="1240" customFormat="false" ht="14.25" hidden="false" customHeight="false" outlineLevel="0" collapsed="false">
      <c r="A1240" s="1" t="n">
        <v>2009</v>
      </c>
      <c r="B1240" s="1" t="n">
        <v>1</v>
      </c>
      <c r="C1240" s="2" t="s">
        <v>25</v>
      </c>
      <c r="D1240" s="7" t="s">
        <v>110</v>
      </c>
      <c r="E1240" s="1" t="n">
        <v>1</v>
      </c>
      <c r="F1240" s="1" t="n">
        <f aca="false">Y1240-X1240</f>
        <v>5</v>
      </c>
      <c r="G1240" s="1" t="n">
        <v>5</v>
      </c>
      <c r="H1240" s="3" t="s">
        <v>144</v>
      </c>
      <c r="I1240" s="3" t="s">
        <v>145</v>
      </c>
      <c r="J1240" s="3" t="s">
        <v>146</v>
      </c>
      <c r="K1240" s="2" t="str">
        <f aca="false">CONCATENATE(I1240," ",J1240)</f>
        <v>Phrurolithus festivus</v>
      </c>
      <c r="L1240" s="3" t="n">
        <f aca="false">SUM(P1240:U1240)</f>
        <v>1</v>
      </c>
      <c r="M1240" s="11" t="n">
        <f aca="false">(L1240/(F1240*G1240)*25)*4</f>
        <v>4</v>
      </c>
      <c r="N1240" s="1" t="s">
        <v>30</v>
      </c>
      <c r="O1240" s="1" t="s">
        <v>31</v>
      </c>
      <c r="P1240" s="1" t="n">
        <v>1</v>
      </c>
      <c r="Q1240" s="1" t="n">
        <v>0</v>
      </c>
      <c r="R1240" s="1" t="n">
        <v>0</v>
      </c>
      <c r="S1240" s="1" t="n">
        <v>0</v>
      </c>
      <c r="T1240" s="1" t="n">
        <v>0</v>
      </c>
      <c r="U1240" s="1" t="n">
        <v>0</v>
      </c>
      <c r="V1240" s="3" t="n">
        <f aca="false">SUM(P1240:Q1240)</f>
        <v>1</v>
      </c>
      <c r="W1240" s="3" t="n">
        <f aca="false">SUM(R1240:T1240)</f>
        <v>0</v>
      </c>
      <c r="X1240" s="10" t="n">
        <v>39969</v>
      </c>
      <c r="Y1240" s="10" t="n">
        <v>39974</v>
      </c>
    </row>
    <row r="1241" customFormat="false" ht="14.25" hidden="false" customHeight="false" outlineLevel="0" collapsed="false">
      <c r="A1241" s="1" t="n">
        <v>2009</v>
      </c>
      <c r="B1241" s="1" t="n">
        <v>1</v>
      </c>
      <c r="C1241" s="2" t="s">
        <v>25</v>
      </c>
      <c r="D1241" s="7" t="s">
        <v>110</v>
      </c>
      <c r="E1241" s="1" t="n">
        <v>1</v>
      </c>
      <c r="F1241" s="1" t="n">
        <f aca="false">Y1241-X1241</f>
        <v>5</v>
      </c>
      <c r="G1241" s="1" t="n">
        <v>5</v>
      </c>
      <c r="H1241" s="3" t="s">
        <v>36</v>
      </c>
      <c r="I1241" s="3" t="s">
        <v>131</v>
      </c>
      <c r="J1241" s="3" t="s">
        <v>133</v>
      </c>
      <c r="K1241" s="2" t="str">
        <f aca="false">CONCATENATE(I1241," ",J1241)</f>
        <v>Xysticus luctuosus</v>
      </c>
      <c r="L1241" s="3" t="n">
        <f aca="false">SUM(P1241:U1241)</f>
        <v>1</v>
      </c>
      <c r="M1241" s="11" t="n">
        <f aca="false">(L1241/(F1241*G1241)*25)*4</f>
        <v>4</v>
      </c>
      <c r="N1241" s="1" t="s">
        <v>30</v>
      </c>
      <c r="O1241" s="1" t="s">
        <v>31</v>
      </c>
      <c r="P1241" s="1" t="n">
        <v>1</v>
      </c>
      <c r="Q1241" s="1" t="n">
        <v>0</v>
      </c>
      <c r="R1241" s="1" t="n">
        <v>0</v>
      </c>
      <c r="S1241" s="1" t="n">
        <v>0</v>
      </c>
      <c r="T1241" s="1" t="n">
        <v>0</v>
      </c>
      <c r="U1241" s="1" t="n">
        <v>0</v>
      </c>
      <c r="V1241" s="3" t="n">
        <f aca="false">SUM(P1241:Q1241)</f>
        <v>1</v>
      </c>
      <c r="W1241" s="3" t="n">
        <f aca="false">SUM(R1241:T1241)</f>
        <v>0</v>
      </c>
      <c r="X1241" s="10" t="n">
        <v>39969</v>
      </c>
      <c r="Y1241" s="10" t="n">
        <v>39974</v>
      </c>
    </row>
    <row r="1242" customFormat="false" ht="14.25" hidden="false" customHeight="false" outlineLevel="0" collapsed="false">
      <c r="A1242" s="1" t="n">
        <v>2009</v>
      </c>
      <c r="B1242" s="1" t="n">
        <v>1</v>
      </c>
      <c r="C1242" s="2" t="s">
        <v>25</v>
      </c>
      <c r="D1242" s="7" t="s">
        <v>110</v>
      </c>
      <c r="E1242" s="1" t="n">
        <v>1</v>
      </c>
      <c r="F1242" s="1" t="n">
        <f aca="false">Y1242-X1242</f>
        <v>5</v>
      </c>
      <c r="G1242" s="1" t="n">
        <v>5</v>
      </c>
      <c r="H1242" s="3" t="s">
        <v>36</v>
      </c>
      <c r="I1242" s="3" t="s">
        <v>37</v>
      </c>
      <c r="J1242" s="8" t="s">
        <v>75</v>
      </c>
      <c r="K1242" s="2" t="str">
        <f aca="false">CONCATENATE(I1242," ",J1242)</f>
        <v>Ozyptila praticola</v>
      </c>
      <c r="L1242" s="3" t="n">
        <f aca="false">SUM(P1242:U1242)</f>
        <v>1</v>
      </c>
      <c r="M1242" s="11" t="n">
        <f aca="false">(L1242/(F1242*G1242)*25)*4</f>
        <v>4</v>
      </c>
      <c r="N1242" s="1" t="s">
        <v>30</v>
      </c>
      <c r="O1242" s="1" t="s">
        <v>31</v>
      </c>
      <c r="P1242" s="1" t="n">
        <v>1</v>
      </c>
      <c r="Q1242" s="1" t="n">
        <v>0</v>
      </c>
      <c r="R1242" s="1" t="n">
        <v>0</v>
      </c>
      <c r="S1242" s="1" t="n">
        <v>0</v>
      </c>
      <c r="T1242" s="1" t="n">
        <v>0</v>
      </c>
      <c r="U1242" s="1" t="n">
        <v>0</v>
      </c>
      <c r="V1242" s="3" t="n">
        <f aca="false">SUM(P1242:Q1242)</f>
        <v>1</v>
      </c>
      <c r="W1242" s="3" t="n">
        <f aca="false">SUM(R1242:T1242)</f>
        <v>0</v>
      </c>
      <c r="X1242" s="10" t="n">
        <v>39969</v>
      </c>
      <c r="Y1242" s="10" t="n">
        <v>39974</v>
      </c>
    </row>
    <row r="1243" customFormat="false" ht="14.25" hidden="false" customHeight="false" outlineLevel="0" collapsed="false">
      <c r="A1243" s="1" t="n">
        <v>2009</v>
      </c>
      <c r="B1243" s="1" t="n">
        <v>1</v>
      </c>
      <c r="C1243" s="2" t="s">
        <v>25</v>
      </c>
      <c r="D1243" s="7" t="s">
        <v>110</v>
      </c>
      <c r="E1243" s="1" t="n">
        <v>1</v>
      </c>
      <c r="F1243" s="1" t="n">
        <f aca="false">Y1243-X1243</f>
        <v>5</v>
      </c>
      <c r="G1243" s="1" t="n">
        <v>5</v>
      </c>
      <c r="H1243" s="3" t="s">
        <v>32</v>
      </c>
      <c r="I1243" s="3" t="s">
        <v>84</v>
      </c>
      <c r="J1243" s="3" t="s">
        <v>38</v>
      </c>
      <c r="K1243" s="2" t="str">
        <f aca="false">CONCATENATE(I1243," ",J1243)</f>
        <v>Walckenaeria sp</v>
      </c>
      <c r="L1243" s="3" t="n">
        <f aca="false">SUM(P1243:U1243)</f>
        <v>1</v>
      </c>
      <c r="M1243" s="11" t="n">
        <f aca="false">(L1243/(F1243*G1243)*25)*4</f>
        <v>4</v>
      </c>
      <c r="N1243" s="1" t="s">
        <v>30</v>
      </c>
      <c r="O1243" s="1" t="s">
        <v>31</v>
      </c>
      <c r="P1243" s="1" t="n">
        <v>1</v>
      </c>
      <c r="Q1243" s="1" t="n">
        <v>0</v>
      </c>
      <c r="R1243" s="1" t="n">
        <v>0</v>
      </c>
      <c r="S1243" s="1" t="n">
        <v>0</v>
      </c>
      <c r="T1243" s="1" t="n">
        <v>0</v>
      </c>
      <c r="U1243" s="1" t="n">
        <v>0</v>
      </c>
      <c r="V1243" s="3" t="n">
        <f aca="false">SUM(P1243:Q1243)</f>
        <v>1</v>
      </c>
      <c r="W1243" s="3" t="n">
        <f aca="false">SUM(R1243:T1243)</f>
        <v>0</v>
      </c>
      <c r="X1243" s="10" t="n">
        <v>39969</v>
      </c>
      <c r="Y1243" s="10" t="n">
        <v>39974</v>
      </c>
    </row>
    <row r="1244" customFormat="false" ht="14.25" hidden="false" customHeight="false" outlineLevel="0" collapsed="false">
      <c r="A1244" s="1" t="n">
        <v>2009</v>
      </c>
      <c r="B1244" s="1" t="n">
        <v>1</v>
      </c>
      <c r="C1244" s="2" t="s">
        <v>25</v>
      </c>
      <c r="D1244" s="7" t="s">
        <v>110</v>
      </c>
      <c r="E1244" s="1" t="n">
        <v>1</v>
      </c>
      <c r="F1244" s="1" t="n">
        <f aca="false">Y1244-X1244</f>
        <v>5</v>
      </c>
      <c r="G1244" s="1" t="n">
        <v>5</v>
      </c>
      <c r="H1244" s="3" t="s">
        <v>48</v>
      </c>
      <c r="I1244" s="3" t="s">
        <v>49</v>
      </c>
      <c r="J1244" s="3" t="s">
        <v>104</v>
      </c>
      <c r="K1244" s="2" t="str">
        <f aca="false">CONCATENATE(I1244," ",J1244)</f>
        <v>Alopecosa taeniata</v>
      </c>
      <c r="L1244" s="3" t="n">
        <f aca="false">SUM(P1244:U1244)</f>
        <v>2</v>
      </c>
      <c r="M1244" s="11" t="n">
        <f aca="false">(L1244/(F1244*G1244)*25)*4</f>
        <v>8</v>
      </c>
      <c r="N1244" s="1" t="s">
        <v>30</v>
      </c>
      <c r="O1244" s="1" t="s">
        <v>31</v>
      </c>
      <c r="P1244" s="1" t="n">
        <v>2</v>
      </c>
      <c r="Q1244" s="1" t="n">
        <v>0</v>
      </c>
      <c r="R1244" s="1" t="n">
        <v>0</v>
      </c>
      <c r="S1244" s="1" t="n">
        <v>0</v>
      </c>
      <c r="T1244" s="1" t="n">
        <v>0</v>
      </c>
      <c r="U1244" s="1" t="n">
        <v>0</v>
      </c>
      <c r="V1244" s="3" t="n">
        <f aca="false">SUM(P1244:Q1244)</f>
        <v>2</v>
      </c>
      <c r="W1244" s="3" t="n">
        <f aca="false">SUM(R1244:T1244)</f>
        <v>0</v>
      </c>
      <c r="X1244" s="10" t="n">
        <v>39969</v>
      </c>
      <c r="Y1244" s="10" t="n">
        <v>39974</v>
      </c>
    </row>
    <row r="1245" customFormat="false" ht="14.25" hidden="false" customHeight="false" outlineLevel="0" collapsed="false">
      <c r="A1245" s="1" t="n">
        <v>2009</v>
      </c>
      <c r="B1245" s="1" t="n">
        <v>1</v>
      </c>
      <c r="C1245" s="2" t="s">
        <v>25</v>
      </c>
      <c r="D1245" s="7" t="s">
        <v>110</v>
      </c>
      <c r="E1245" s="1" t="n">
        <v>1</v>
      </c>
      <c r="F1245" s="1" t="n">
        <f aca="false">Y1245-X1245</f>
        <v>5</v>
      </c>
      <c r="G1245" s="1" t="n">
        <v>5</v>
      </c>
      <c r="H1245" s="3" t="s">
        <v>48</v>
      </c>
      <c r="I1245" s="3" t="s">
        <v>61</v>
      </c>
      <c r="J1245" s="3" t="s">
        <v>82</v>
      </c>
      <c r="K1245" s="2" t="str">
        <f aca="false">CONCATENATE(I1245," ",J1245)</f>
        <v>Trochosa terricola</v>
      </c>
      <c r="L1245" s="3" t="n">
        <f aca="false">SUM(P1245:U1245)</f>
        <v>1</v>
      </c>
      <c r="M1245" s="11" t="n">
        <f aca="false">(L1245/(F1245*G1245)*25)*4</f>
        <v>4</v>
      </c>
      <c r="N1245" s="1" t="s">
        <v>30</v>
      </c>
      <c r="O1245" s="1" t="s">
        <v>35</v>
      </c>
      <c r="P1245" s="1" t="n">
        <v>0</v>
      </c>
      <c r="Q1245" s="1" t="n">
        <v>1</v>
      </c>
      <c r="R1245" s="1" t="n">
        <v>0</v>
      </c>
      <c r="S1245" s="1" t="n">
        <v>0</v>
      </c>
      <c r="T1245" s="1" t="n">
        <v>0</v>
      </c>
      <c r="U1245" s="1" t="n">
        <v>0</v>
      </c>
      <c r="V1245" s="3" t="n">
        <f aca="false">SUM(P1245:Q1245)</f>
        <v>1</v>
      </c>
      <c r="W1245" s="3" t="n">
        <f aca="false">SUM(R1245:T1245)</f>
        <v>0</v>
      </c>
      <c r="X1245" s="10" t="n">
        <v>39969</v>
      </c>
      <c r="Y1245" s="10" t="n">
        <v>39974</v>
      </c>
    </row>
    <row r="1246" customFormat="false" ht="14.25" hidden="false" customHeight="false" outlineLevel="0" collapsed="false">
      <c r="A1246" s="1" t="n">
        <v>2009</v>
      </c>
      <c r="B1246" s="1" t="n">
        <v>1</v>
      </c>
      <c r="C1246" s="2" t="s">
        <v>25</v>
      </c>
      <c r="D1246" s="7" t="s">
        <v>110</v>
      </c>
      <c r="E1246" s="1" t="n">
        <v>1</v>
      </c>
      <c r="F1246" s="1" t="n">
        <f aca="false">Y1246-X1246</f>
        <v>5</v>
      </c>
      <c r="G1246" s="1" t="n">
        <v>5</v>
      </c>
      <c r="H1246" s="3" t="s">
        <v>48</v>
      </c>
      <c r="I1246" s="3" t="s">
        <v>49</v>
      </c>
      <c r="J1246" s="3" t="s">
        <v>38</v>
      </c>
      <c r="K1246" s="2" t="str">
        <f aca="false">CONCATENATE(I1246," ",J1246)</f>
        <v>Alopecosa sp</v>
      </c>
      <c r="L1246" s="3" t="n">
        <f aca="false">SUM(P1246:U1246)</f>
        <v>1</v>
      </c>
      <c r="M1246" s="11" t="n">
        <f aca="false">(L1246/(F1246*G1246)*25)*4</f>
        <v>4</v>
      </c>
      <c r="N1246" s="1" t="s">
        <v>19</v>
      </c>
      <c r="O1246" s="1" t="s">
        <v>54</v>
      </c>
      <c r="P1246" s="1" t="n">
        <v>0</v>
      </c>
      <c r="Q1246" s="1" t="n">
        <v>0</v>
      </c>
      <c r="R1246" s="1" t="n">
        <v>0</v>
      </c>
      <c r="S1246" s="1" t="n">
        <v>0</v>
      </c>
      <c r="T1246" s="1" t="n">
        <v>1</v>
      </c>
      <c r="U1246" s="1" t="n">
        <v>0</v>
      </c>
      <c r="V1246" s="3" t="n">
        <f aca="false">SUM(P1246:Q1246)</f>
        <v>0</v>
      </c>
      <c r="W1246" s="3" t="n">
        <f aca="false">SUM(R1246:T1246)</f>
        <v>1</v>
      </c>
      <c r="X1246" s="10" t="n">
        <v>39969</v>
      </c>
      <c r="Y1246" s="10" t="n">
        <v>39974</v>
      </c>
    </row>
    <row r="1247" customFormat="false" ht="14.25" hidden="false" customHeight="false" outlineLevel="0" collapsed="false">
      <c r="A1247" s="1" t="n">
        <v>2009</v>
      </c>
      <c r="B1247" s="1" t="n">
        <v>1</v>
      </c>
      <c r="C1247" s="2" t="s">
        <v>25</v>
      </c>
      <c r="D1247" s="7" t="s">
        <v>110</v>
      </c>
      <c r="E1247" s="1" t="n">
        <v>1</v>
      </c>
      <c r="F1247" s="1" t="n">
        <f aca="false">Y1247-X1247</f>
        <v>5</v>
      </c>
      <c r="G1247" s="1" t="n">
        <v>5</v>
      </c>
      <c r="H1247" s="3" t="s">
        <v>72</v>
      </c>
      <c r="I1247" s="3" t="s">
        <v>86</v>
      </c>
      <c r="J1247" s="8" t="s">
        <v>87</v>
      </c>
      <c r="K1247" s="2" t="str">
        <f aca="false">CONCATENATE(I1247," ",J1247)</f>
        <v>Haplodrassus soerenseni</v>
      </c>
      <c r="L1247" s="3" t="n">
        <f aca="false">SUM(P1247:U1247)</f>
        <v>1</v>
      </c>
      <c r="M1247" s="11" t="n">
        <f aca="false">(L1247/(F1247*G1247)*25)*4</f>
        <v>4</v>
      </c>
      <c r="N1247" s="1" t="s">
        <v>30</v>
      </c>
      <c r="O1247" s="1" t="s">
        <v>31</v>
      </c>
      <c r="P1247" s="1" t="n">
        <v>1</v>
      </c>
      <c r="Q1247" s="1" t="n">
        <v>0</v>
      </c>
      <c r="R1247" s="1" t="n">
        <v>0</v>
      </c>
      <c r="S1247" s="1" t="n">
        <v>0</v>
      </c>
      <c r="T1247" s="1" t="n">
        <v>0</v>
      </c>
      <c r="U1247" s="1" t="n">
        <v>0</v>
      </c>
      <c r="V1247" s="3" t="n">
        <f aca="false">SUM(P1247:Q1247)</f>
        <v>1</v>
      </c>
      <c r="W1247" s="3" t="n">
        <f aca="false">SUM(R1247:T1247)</f>
        <v>0</v>
      </c>
      <c r="X1247" s="10" t="n">
        <v>39969</v>
      </c>
      <c r="Y1247" s="10" t="n">
        <v>39974</v>
      </c>
    </row>
    <row r="1248" customFormat="false" ht="14.25" hidden="false" customHeight="false" outlineLevel="0" collapsed="false">
      <c r="A1248" s="1" t="n">
        <v>2009</v>
      </c>
      <c r="B1248" s="1" t="n">
        <v>1</v>
      </c>
      <c r="C1248" s="2" t="s">
        <v>25</v>
      </c>
      <c r="D1248" s="7" t="s">
        <v>110</v>
      </c>
      <c r="E1248" s="1" t="n">
        <v>1</v>
      </c>
      <c r="F1248" s="1" t="n">
        <f aca="false">Y1248-X1248</f>
        <v>5</v>
      </c>
      <c r="G1248" s="1" t="n">
        <v>5</v>
      </c>
      <c r="H1248" s="3" t="s">
        <v>36</v>
      </c>
      <c r="I1248" s="3" t="s">
        <v>37</v>
      </c>
      <c r="J1248" s="8" t="s">
        <v>75</v>
      </c>
      <c r="K1248" s="2" t="str">
        <f aca="false">CONCATENATE(I1248," ",J1248)</f>
        <v>Ozyptila praticola</v>
      </c>
      <c r="L1248" s="3" t="n">
        <f aca="false">SUM(P1248:U1248)</f>
        <v>1</v>
      </c>
      <c r="M1248" s="11" t="n">
        <f aca="false">(L1248/(F1248*G1248)*25)*4</f>
        <v>4</v>
      </c>
      <c r="N1248" s="1" t="s">
        <v>30</v>
      </c>
      <c r="O1248" s="1" t="s">
        <v>31</v>
      </c>
      <c r="P1248" s="1" t="n">
        <v>1</v>
      </c>
      <c r="Q1248" s="1" t="n">
        <v>0</v>
      </c>
      <c r="R1248" s="1" t="n">
        <v>0</v>
      </c>
      <c r="S1248" s="1" t="n">
        <v>0</v>
      </c>
      <c r="T1248" s="1" t="n">
        <v>0</v>
      </c>
      <c r="U1248" s="1" t="n">
        <v>0</v>
      </c>
      <c r="V1248" s="3" t="n">
        <f aca="false">SUM(P1248:Q1248)</f>
        <v>1</v>
      </c>
      <c r="W1248" s="3" t="n">
        <f aca="false">SUM(R1248:T1248)</f>
        <v>0</v>
      </c>
      <c r="X1248" s="10" t="n">
        <v>39969</v>
      </c>
      <c r="Y1248" s="10" t="n">
        <v>39974</v>
      </c>
    </row>
    <row r="1249" customFormat="false" ht="14.25" hidden="false" customHeight="false" outlineLevel="0" collapsed="false">
      <c r="A1249" s="1" t="n">
        <v>2009</v>
      </c>
      <c r="B1249" s="1" t="n">
        <v>1</v>
      </c>
      <c r="C1249" s="2" t="s">
        <v>25</v>
      </c>
      <c r="D1249" s="7" t="s">
        <v>110</v>
      </c>
      <c r="E1249" s="1" t="n">
        <v>1</v>
      </c>
      <c r="F1249" s="1" t="n">
        <f aca="false">Y1249-X1249</f>
        <v>5</v>
      </c>
      <c r="G1249" s="1" t="n">
        <v>5</v>
      </c>
      <c r="H1249" s="3" t="s">
        <v>36</v>
      </c>
      <c r="I1249" s="3" t="s">
        <v>131</v>
      </c>
      <c r="J1249" s="3" t="s">
        <v>133</v>
      </c>
      <c r="K1249" s="2" t="str">
        <f aca="false">CONCATENATE(I1249," ",J1249)</f>
        <v>Xysticus luctuosus</v>
      </c>
      <c r="L1249" s="3" t="n">
        <f aca="false">SUM(P1249:U1249)</f>
        <v>2</v>
      </c>
      <c r="M1249" s="11" t="n">
        <f aca="false">(L1249/(F1249*G1249)*25)*4</f>
        <v>8</v>
      </c>
      <c r="N1249" s="1" t="s">
        <v>30</v>
      </c>
      <c r="O1249" s="1" t="s">
        <v>31</v>
      </c>
      <c r="P1249" s="1" t="n">
        <v>2</v>
      </c>
      <c r="Q1249" s="1" t="n">
        <v>0</v>
      </c>
      <c r="R1249" s="1" t="n">
        <v>0</v>
      </c>
      <c r="S1249" s="1" t="n">
        <v>0</v>
      </c>
      <c r="T1249" s="1" t="n">
        <v>0</v>
      </c>
      <c r="U1249" s="1" t="n">
        <v>0</v>
      </c>
      <c r="V1249" s="3" t="n">
        <f aca="false">SUM(P1249:Q1249)</f>
        <v>2</v>
      </c>
      <c r="W1249" s="3" t="n">
        <f aca="false">SUM(R1249:T1249)</f>
        <v>0</v>
      </c>
      <c r="X1249" s="10" t="n">
        <v>39969</v>
      </c>
      <c r="Y1249" s="10" t="n">
        <v>39974</v>
      </c>
    </row>
    <row r="1250" customFormat="false" ht="14.25" hidden="false" customHeight="false" outlineLevel="0" collapsed="false">
      <c r="A1250" s="1" t="n">
        <v>2009</v>
      </c>
      <c r="B1250" s="1" t="n">
        <v>1</v>
      </c>
      <c r="C1250" s="2" t="s">
        <v>25</v>
      </c>
      <c r="D1250" s="7" t="s">
        <v>110</v>
      </c>
      <c r="E1250" s="1" t="n">
        <v>1</v>
      </c>
      <c r="F1250" s="1" t="n">
        <f aca="false">Y1250-X1250</f>
        <v>5</v>
      </c>
      <c r="G1250" s="1" t="n">
        <v>5</v>
      </c>
      <c r="H1250" s="3" t="s">
        <v>36</v>
      </c>
      <c r="I1250" s="3" t="s">
        <v>131</v>
      </c>
      <c r="J1250" s="3" t="s">
        <v>133</v>
      </c>
      <c r="K1250" s="2" t="str">
        <f aca="false">CONCATENATE(I1250," ",J1250)</f>
        <v>Xysticus luctuosus</v>
      </c>
      <c r="L1250" s="3" t="n">
        <f aca="false">SUM(P1250:U1250)</f>
        <v>2</v>
      </c>
      <c r="M1250" s="11" t="n">
        <f aca="false">(L1250/(F1250*G1250)*25)*4</f>
        <v>8</v>
      </c>
      <c r="N1250" s="1" t="s">
        <v>30</v>
      </c>
      <c r="O1250" s="1" t="s">
        <v>35</v>
      </c>
      <c r="P1250" s="1" t="n">
        <v>0</v>
      </c>
      <c r="Q1250" s="1" t="n">
        <v>2</v>
      </c>
      <c r="R1250" s="1" t="n">
        <v>0</v>
      </c>
      <c r="S1250" s="1" t="n">
        <v>0</v>
      </c>
      <c r="T1250" s="1" t="n">
        <v>0</v>
      </c>
      <c r="U1250" s="1" t="n">
        <v>0</v>
      </c>
      <c r="V1250" s="3" t="n">
        <f aca="false">SUM(P1250:Q1250)</f>
        <v>2</v>
      </c>
      <c r="W1250" s="3" t="n">
        <f aca="false">SUM(R1250:T1250)</f>
        <v>0</v>
      </c>
      <c r="X1250" s="10" t="n">
        <v>39969</v>
      </c>
      <c r="Y1250" s="10" t="n">
        <v>39974</v>
      </c>
    </row>
    <row r="1251" customFormat="false" ht="14.25" hidden="false" customHeight="false" outlineLevel="0" collapsed="false">
      <c r="A1251" s="1" t="n">
        <v>2009</v>
      </c>
      <c r="B1251" s="1" t="n">
        <v>1</v>
      </c>
      <c r="C1251" s="2" t="s">
        <v>25</v>
      </c>
      <c r="D1251" s="7" t="s">
        <v>110</v>
      </c>
      <c r="E1251" s="1" t="n">
        <v>1</v>
      </c>
      <c r="F1251" s="1" t="n">
        <f aca="false">Y1251-X1251</f>
        <v>5</v>
      </c>
      <c r="G1251" s="1" t="n">
        <v>5</v>
      </c>
      <c r="H1251" s="13" t="s">
        <v>92</v>
      </c>
      <c r="I1251" s="13" t="s">
        <v>111</v>
      </c>
      <c r="J1251" s="14" t="s">
        <v>112</v>
      </c>
      <c r="K1251" s="2" t="str">
        <f aca="false">CONCATENATE(I1251," ",J1251)</f>
        <v>Evarcha falcata</v>
      </c>
      <c r="L1251" s="3" t="n">
        <f aca="false">SUM(P1251:U1251)</f>
        <v>1</v>
      </c>
      <c r="M1251" s="11" t="n">
        <f aca="false">(L1251/(F1251*G1251)*25)*4</f>
        <v>4</v>
      </c>
      <c r="N1251" s="1" t="s">
        <v>30</v>
      </c>
      <c r="O1251" s="1" t="s">
        <v>35</v>
      </c>
      <c r="P1251" s="1" t="n">
        <v>0</v>
      </c>
      <c r="Q1251" s="1" t="n">
        <v>1</v>
      </c>
      <c r="R1251" s="1" t="n">
        <v>0</v>
      </c>
      <c r="S1251" s="1" t="n">
        <v>0</v>
      </c>
      <c r="T1251" s="1" t="n">
        <v>0</v>
      </c>
      <c r="U1251" s="1" t="n">
        <v>0</v>
      </c>
      <c r="V1251" s="3" t="n">
        <f aca="false">SUM(P1251:Q1251)</f>
        <v>1</v>
      </c>
      <c r="W1251" s="3" t="n">
        <f aca="false">SUM(R1251:T1251)</f>
        <v>0</v>
      </c>
      <c r="X1251" s="10" t="n">
        <v>39969</v>
      </c>
      <c r="Y1251" s="10" t="n">
        <v>39974</v>
      </c>
    </row>
    <row r="1252" customFormat="false" ht="14.25" hidden="false" customHeight="false" outlineLevel="0" collapsed="false">
      <c r="A1252" s="1" t="n">
        <v>2009</v>
      </c>
      <c r="B1252" s="1" t="n">
        <v>1</v>
      </c>
      <c r="C1252" s="2" t="s">
        <v>25</v>
      </c>
      <c r="D1252" s="7" t="s">
        <v>110</v>
      </c>
      <c r="E1252" s="1" t="n">
        <v>1</v>
      </c>
      <c r="F1252" s="1" t="n">
        <f aca="false">Y1252-X1252</f>
        <v>5</v>
      </c>
      <c r="G1252" s="1" t="n">
        <v>5</v>
      </c>
      <c r="H1252" s="3" t="s">
        <v>52</v>
      </c>
      <c r="I1252" s="3" t="s">
        <v>213</v>
      </c>
      <c r="J1252" s="3" t="s">
        <v>214</v>
      </c>
      <c r="K1252" s="2" t="str">
        <f aca="false">CONCATENATE(I1252," ",J1252)</f>
        <v>Cercidia prominens</v>
      </c>
      <c r="L1252" s="3" t="n">
        <f aca="false">SUM(P1252:U1252)</f>
        <v>1</v>
      </c>
      <c r="M1252" s="11" t="n">
        <f aca="false">(L1252/(F1252*G1252)*25)*4</f>
        <v>4</v>
      </c>
      <c r="N1252" s="1" t="s">
        <v>30</v>
      </c>
      <c r="O1252" s="1" t="s">
        <v>31</v>
      </c>
      <c r="P1252" s="1" t="n">
        <v>1</v>
      </c>
      <c r="Q1252" s="1" t="n">
        <v>0</v>
      </c>
      <c r="R1252" s="1" t="n">
        <v>0</v>
      </c>
      <c r="S1252" s="1" t="n">
        <v>0</v>
      </c>
      <c r="T1252" s="1" t="n">
        <v>0</v>
      </c>
      <c r="U1252" s="1" t="n">
        <v>0</v>
      </c>
      <c r="V1252" s="3" t="n">
        <f aca="false">SUM(P1252:Q1252)</f>
        <v>1</v>
      </c>
      <c r="W1252" s="3" t="n">
        <f aca="false">SUM(R1252:T1252)</f>
        <v>0</v>
      </c>
      <c r="X1252" s="10" t="n">
        <v>39969</v>
      </c>
      <c r="Y1252" s="10" t="n">
        <v>39974</v>
      </c>
    </row>
    <row r="1253" customFormat="false" ht="14.25" hidden="false" customHeight="false" outlineLevel="0" collapsed="false">
      <c r="A1253" s="1" t="n">
        <v>2009</v>
      </c>
      <c r="B1253" s="1" t="n">
        <v>1</v>
      </c>
      <c r="C1253" s="2" t="s">
        <v>25</v>
      </c>
      <c r="D1253" s="7" t="s">
        <v>110</v>
      </c>
      <c r="E1253" s="1" t="n">
        <v>1</v>
      </c>
      <c r="F1253" s="1" t="n">
        <f aca="false">Y1253-X1253</f>
        <v>5</v>
      </c>
      <c r="G1253" s="1" t="n">
        <v>5</v>
      </c>
      <c r="H1253" s="13" t="s">
        <v>32</v>
      </c>
      <c r="I1253" s="13" t="s">
        <v>96</v>
      </c>
      <c r="J1253" s="14" t="s">
        <v>97</v>
      </c>
      <c r="K1253" s="2" t="str">
        <f aca="false">CONCATENATE(I1253," ",J1253)</f>
        <v>Diplocephalus picinus</v>
      </c>
      <c r="L1253" s="3" t="n">
        <f aca="false">SUM(P1253:U1253)</f>
        <v>2</v>
      </c>
      <c r="M1253" s="11" t="n">
        <f aca="false">(L1253/(F1253*G1253)*25)*4</f>
        <v>8</v>
      </c>
      <c r="N1253" s="1" t="s">
        <v>30</v>
      </c>
      <c r="O1253" s="1" t="s">
        <v>31</v>
      </c>
      <c r="P1253" s="1" t="n">
        <v>2</v>
      </c>
      <c r="Q1253" s="1" t="n">
        <v>0</v>
      </c>
      <c r="R1253" s="1" t="n">
        <v>0</v>
      </c>
      <c r="S1253" s="1" t="n">
        <v>0</v>
      </c>
      <c r="T1253" s="1" t="n">
        <v>0</v>
      </c>
      <c r="U1253" s="1" t="n">
        <v>0</v>
      </c>
      <c r="V1253" s="3" t="n">
        <f aca="false">SUM(P1253:Q1253)</f>
        <v>2</v>
      </c>
      <c r="W1253" s="3" t="n">
        <f aca="false">SUM(R1253:T1253)</f>
        <v>0</v>
      </c>
      <c r="X1253" s="10" t="n">
        <v>39969</v>
      </c>
      <c r="Y1253" s="10" t="n">
        <v>39974</v>
      </c>
    </row>
    <row r="1254" customFormat="false" ht="14.25" hidden="false" customHeight="false" outlineLevel="0" collapsed="false">
      <c r="A1254" s="1" t="n">
        <v>2009</v>
      </c>
      <c r="B1254" s="1" t="n">
        <v>1</v>
      </c>
      <c r="C1254" s="2" t="s">
        <v>25</v>
      </c>
      <c r="D1254" s="7" t="s">
        <v>110</v>
      </c>
      <c r="E1254" s="1" t="n">
        <v>1</v>
      </c>
      <c r="F1254" s="1" t="n">
        <f aca="false">Y1254-X1254</f>
        <v>5</v>
      </c>
      <c r="G1254" s="1" t="n">
        <v>5</v>
      </c>
      <c r="H1254" s="3" t="s">
        <v>48</v>
      </c>
      <c r="I1254" s="3" t="s">
        <v>49</v>
      </c>
      <c r="J1254" s="3" t="s">
        <v>130</v>
      </c>
      <c r="K1254" s="2" t="str">
        <f aca="false">CONCATENATE(I1254," ",J1254)</f>
        <v>Alopecosa aculeata</v>
      </c>
      <c r="L1254" s="3" t="n">
        <f aca="false">SUM(P1254:U1254)</f>
        <v>2</v>
      </c>
      <c r="M1254" s="11" t="n">
        <f aca="false">(L1254/(F1254*G1254)*25)*4</f>
        <v>8</v>
      </c>
      <c r="N1254" s="1" t="s">
        <v>30</v>
      </c>
      <c r="O1254" s="1" t="s">
        <v>31</v>
      </c>
      <c r="P1254" s="1" t="n">
        <v>2</v>
      </c>
      <c r="Q1254" s="1" t="n">
        <v>0</v>
      </c>
      <c r="R1254" s="1" t="n">
        <v>0</v>
      </c>
      <c r="S1254" s="1" t="n">
        <v>0</v>
      </c>
      <c r="T1254" s="1" t="n">
        <v>0</v>
      </c>
      <c r="U1254" s="1" t="n">
        <v>0</v>
      </c>
      <c r="V1254" s="3" t="n">
        <f aca="false">SUM(P1254:Q1254)</f>
        <v>2</v>
      </c>
      <c r="W1254" s="3" t="n">
        <f aca="false">SUM(R1254:T1254)</f>
        <v>0</v>
      </c>
      <c r="X1254" s="10" t="n">
        <v>39969</v>
      </c>
      <c r="Y1254" s="10" t="n">
        <v>39974</v>
      </c>
    </row>
    <row r="1255" customFormat="false" ht="14.25" hidden="false" customHeight="false" outlineLevel="0" collapsed="false">
      <c r="A1255" s="1" t="n">
        <v>2009</v>
      </c>
      <c r="B1255" s="1" t="n">
        <v>1</v>
      </c>
      <c r="C1255" s="2" t="s">
        <v>25</v>
      </c>
      <c r="D1255" s="7" t="s">
        <v>110</v>
      </c>
      <c r="E1255" s="1" t="n">
        <v>1</v>
      </c>
      <c r="F1255" s="1" t="n">
        <f aca="false">Y1255-X1255</f>
        <v>5</v>
      </c>
      <c r="G1255" s="1" t="n">
        <v>5</v>
      </c>
      <c r="H1255" s="3" t="s">
        <v>48</v>
      </c>
      <c r="I1255" s="3" t="s">
        <v>49</v>
      </c>
      <c r="J1255" s="3" t="s">
        <v>130</v>
      </c>
      <c r="K1255" s="2" t="str">
        <f aca="false">CONCATENATE(I1255," ",J1255)</f>
        <v>Alopecosa aculeata</v>
      </c>
      <c r="L1255" s="3" t="n">
        <f aca="false">SUM(P1255:U1255)</f>
        <v>1</v>
      </c>
      <c r="M1255" s="11" t="n">
        <f aca="false">(L1255/(F1255*G1255)*25)*4</f>
        <v>4</v>
      </c>
      <c r="N1255" s="1" t="s">
        <v>30</v>
      </c>
      <c r="O1255" s="1" t="s">
        <v>35</v>
      </c>
      <c r="P1255" s="1" t="n">
        <v>0</v>
      </c>
      <c r="Q1255" s="1" t="n">
        <v>1</v>
      </c>
      <c r="R1255" s="1" t="n">
        <v>0</v>
      </c>
      <c r="S1255" s="1" t="n">
        <v>0</v>
      </c>
      <c r="T1255" s="1" t="n">
        <v>0</v>
      </c>
      <c r="U1255" s="1" t="n">
        <v>0</v>
      </c>
      <c r="V1255" s="3" t="n">
        <f aca="false">SUM(P1255:Q1255)</f>
        <v>1</v>
      </c>
      <c r="W1255" s="3" t="n">
        <f aca="false">SUM(R1255:T1255)</f>
        <v>0</v>
      </c>
      <c r="X1255" s="10" t="n">
        <v>39969</v>
      </c>
      <c r="Y1255" s="10" t="n">
        <v>39974</v>
      </c>
    </row>
    <row r="1256" customFormat="false" ht="14.25" hidden="false" customHeight="false" outlineLevel="0" collapsed="false">
      <c r="A1256" s="1" t="n">
        <v>2009</v>
      </c>
      <c r="B1256" s="1" t="n">
        <v>1</v>
      </c>
      <c r="C1256" s="2" t="s">
        <v>25</v>
      </c>
      <c r="D1256" s="7" t="s">
        <v>110</v>
      </c>
      <c r="E1256" s="1" t="n">
        <v>1</v>
      </c>
      <c r="F1256" s="1" t="n">
        <f aca="false">Y1256-X1256</f>
        <v>5</v>
      </c>
      <c r="G1256" s="1" t="n">
        <v>5</v>
      </c>
      <c r="H1256" s="3" t="s">
        <v>48</v>
      </c>
      <c r="I1256" s="3" t="s">
        <v>49</v>
      </c>
      <c r="J1256" s="3" t="s">
        <v>38</v>
      </c>
      <c r="K1256" s="2" t="str">
        <f aca="false">CONCATENATE(I1256," ",J1256)</f>
        <v>Alopecosa sp</v>
      </c>
      <c r="L1256" s="3" t="n">
        <f aca="false">SUM(P1256:U1256)</f>
        <v>1</v>
      </c>
      <c r="M1256" s="11" t="n">
        <f aca="false">(L1256/(F1256*G1256)*25)*4</f>
        <v>4</v>
      </c>
      <c r="N1256" s="1" t="s">
        <v>19</v>
      </c>
      <c r="O1256" s="1" t="s">
        <v>54</v>
      </c>
      <c r="P1256" s="1" t="n">
        <v>0</v>
      </c>
      <c r="Q1256" s="1" t="n">
        <v>0</v>
      </c>
      <c r="R1256" s="1" t="n">
        <v>0</v>
      </c>
      <c r="S1256" s="1" t="n">
        <v>0</v>
      </c>
      <c r="T1256" s="1" t="n">
        <v>1</v>
      </c>
      <c r="U1256" s="1" t="n">
        <v>0</v>
      </c>
      <c r="V1256" s="3" t="n">
        <f aca="false">SUM(P1256:Q1256)</f>
        <v>0</v>
      </c>
      <c r="W1256" s="3" t="n">
        <f aca="false">SUM(R1256:T1256)</f>
        <v>1</v>
      </c>
      <c r="X1256" s="10" t="n">
        <v>39969</v>
      </c>
      <c r="Y1256" s="10" t="n">
        <v>39974</v>
      </c>
    </row>
    <row r="1257" customFormat="false" ht="14.25" hidden="false" customHeight="false" outlineLevel="0" collapsed="false">
      <c r="A1257" s="1" t="n">
        <v>2009</v>
      </c>
      <c r="B1257" s="1" t="n">
        <v>1</v>
      </c>
      <c r="C1257" s="2" t="s">
        <v>25</v>
      </c>
      <c r="D1257" s="7" t="s">
        <v>110</v>
      </c>
      <c r="E1257" s="1" t="n">
        <v>1</v>
      </c>
      <c r="F1257" s="1" t="n">
        <f aca="false">Y1257-X1257</f>
        <v>5</v>
      </c>
      <c r="G1257" s="1" t="n">
        <v>5</v>
      </c>
      <c r="H1257" s="3" t="s">
        <v>72</v>
      </c>
      <c r="I1257" s="3" t="s">
        <v>86</v>
      </c>
      <c r="J1257" s="8" t="s">
        <v>87</v>
      </c>
      <c r="K1257" s="2" t="str">
        <f aca="false">CONCATENATE(I1257," ",J1257)</f>
        <v>Haplodrassus soerenseni</v>
      </c>
      <c r="L1257" s="3" t="n">
        <f aca="false">SUM(P1257:U1257)</f>
        <v>1</v>
      </c>
      <c r="M1257" s="11" t="n">
        <f aca="false">(L1257/(F1257*G1257)*25)*4</f>
        <v>4</v>
      </c>
      <c r="N1257" s="1" t="s">
        <v>30</v>
      </c>
      <c r="O1257" s="1" t="s">
        <v>31</v>
      </c>
      <c r="P1257" s="1" t="n">
        <v>1</v>
      </c>
      <c r="Q1257" s="1" t="n">
        <v>0</v>
      </c>
      <c r="R1257" s="1" t="n">
        <v>0</v>
      </c>
      <c r="S1257" s="1" t="n">
        <v>0</v>
      </c>
      <c r="T1257" s="1" t="n">
        <v>0</v>
      </c>
      <c r="U1257" s="1" t="n">
        <v>0</v>
      </c>
      <c r="V1257" s="3" t="n">
        <f aca="false">SUM(P1257:Q1257)</f>
        <v>1</v>
      </c>
      <c r="W1257" s="3" t="n">
        <f aca="false">SUM(R1257:T1257)</f>
        <v>0</v>
      </c>
      <c r="X1257" s="10" t="n">
        <v>39969</v>
      </c>
      <c r="Y1257" s="10" t="n">
        <v>39974</v>
      </c>
    </row>
    <row r="1258" customFormat="false" ht="14.25" hidden="false" customHeight="false" outlineLevel="0" collapsed="false">
      <c r="A1258" s="1" t="n">
        <v>2009</v>
      </c>
      <c r="B1258" s="1" t="n">
        <v>1</v>
      </c>
      <c r="C1258" s="2" t="s">
        <v>25</v>
      </c>
      <c r="D1258" s="7" t="s">
        <v>110</v>
      </c>
      <c r="E1258" s="1" t="n">
        <v>1</v>
      </c>
      <c r="F1258" s="1" t="n">
        <f aca="false">Y1258-X1258</f>
        <v>5</v>
      </c>
      <c r="G1258" s="1" t="n">
        <v>5</v>
      </c>
      <c r="H1258" s="3" t="s">
        <v>72</v>
      </c>
      <c r="I1258" s="3" t="s">
        <v>73</v>
      </c>
      <c r="J1258" s="3" t="s">
        <v>74</v>
      </c>
      <c r="K1258" s="2" t="str">
        <f aca="false">CONCATENATE(I1258," ",J1258)</f>
        <v>Zelotes subterraneus</v>
      </c>
      <c r="L1258" s="3" t="n">
        <f aca="false">SUM(P1258:U1258)</f>
        <v>1</v>
      </c>
      <c r="M1258" s="11" t="n">
        <f aca="false">(L1258/(F1258*G1258)*25)*4</f>
        <v>4</v>
      </c>
      <c r="N1258" s="1" t="s">
        <v>30</v>
      </c>
      <c r="O1258" s="1" t="s">
        <v>35</v>
      </c>
      <c r="P1258" s="1" t="n">
        <v>0</v>
      </c>
      <c r="Q1258" s="1" t="n">
        <v>1</v>
      </c>
      <c r="R1258" s="1" t="n">
        <v>0</v>
      </c>
      <c r="S1258" s="1" t="n">
        <v>0</v>
      </c>
      <c r="T1258" s="1" t="n">
        <v>0</v>
      </c>
      <c r="U1258" s="1" t="n">
        <v>0</v>
      </c>
      <c r="V1258" s="3" t="n">
        <f aca="false">SUM(P1258:Q1258)</f>
        <v>1</v>
      </c>
      <c r="W1258" s="3" t="n">
        <f aca="false">SUM(R1258:T1258)</f>
        <v>0</v>
      </c>
      <c r="X1258" s="10" t="n">
        <v>39969</v>
      </c>
      <c r="Y1258" s="10" t="n">
        <v>39974</v>
      </c>
    </row>
    <row r="1259" customFormat="false" ht="14.25" hidden="false" customHeight="false" outlineLevel="0" collapsed="false">
      <c r="A1259" s="1" t="n">
        <v>2009</v>
      </c>
      <c r="B1259" s="1" t="n">
        <v>1</v>
      </c>
      <c r="C1259" s="2" t="s">
        <v>25</v>
      </c>
      <c r="D1259" s="7" t="s">
        <v>110</v>
      </c>
      <c r="E1259" s="1" t="n">
        <v>1</v>
      </c>
      <c r="F1259" s="1" t="n">
        <f aca="false">Y1259-X1259</f>
        <v>5</v>
      </c>
      <c r="G1259" s="1" t="n">
        <v>5</v>
      </c>
      <c r="H1259" s="3" t="s">
        <v>36</v>
      </c>
      <c r="I1259" s="3" t="s">
        <v>131</v>
      </c>
      <c r="J1259" s="3" t="s">
        <v>133</v>
      </c>
      <c r="K1259" s="2" t="str">
        <f aca="false">CONCATENATE(I1259," ",J1259)</f>
        <v>Xysticus luctuosus</v>
      </c>
      <c r="L1259" s="3" t="n">
        <f aca="false">SUM(P1259:U1259)</f>
        <v>3</v>
      </c>
      <c r="M1259" s="11" t="n">
        <f aca="false">(L1259/(F1259*G1259)*25)*4</f>
        <v>12</v>
      </c>
      <c r="N1259" s="1" t="s">
        <v>30</v>
      </c>
      <c r="O1259" s="1" t="s">
        <v>31</v>
      </c>
      <c r="P1259" s="1" t="n">
        <v>3</v>
      </c>
      <c r="Q1259" s="1" t="n">
        <v>0</v>
      </c>
      <c r="R1259" s="1" t="n">
        <v>0</v>
      </c>
      <c r="S1259" s="1" t="n">
        <v>0</v>
      </c>
      <c r="T1259" s="1" t="n">
        <v>0</v>
      </c>
      <c r="U1259" s="1" t="n">
        <v>0</v>
      </c>
      <c r="V1259" s="3" t="n">
        <f aca="false">SUM(P1259:Q1259)</f>
        <v>3</v>
      </c>
      <c r="W1259" s="3" t="n">
        <f aca="false">SUM(R1259:T1259)</f>
        <v>0</v>
      </c>
      <c r="X1259" s="10" t="n">
        <v>39969</v>
      </c>
      <c r="Y1259" s="10" t="n">
        <v>39974</v>
      </c>
    </row>
    <row r="1260" customFormat="false" ht="14.25" hidden="false" customHeight="false" outlineLevel="0" collapsed="false">
      <c r="A1260" s="1" t="n">
        <v>2009</v>
      </c>
      <c r="B1260" s="1" t="n">
        <v>1</v>
      </c>
      <c r="C1260" s="2" t="s">
        <v>25</v>
      </c>
      <c r="D1260" s="7" t="s">
        <v>110</v>
      </c>
      <c r="E1260" s="1" t="n">
        <v>1</v>
      </c>
      <c r="F1260" s="1" t="n">
        <f aca="false">Y1260-X1260</f>
        <v>5</v>
      </c>
      <c r="G1260" s="1" t="n">
        <v>5</v>
      </c>
      <c r="H1260" s="3" t="s">
        <v>36</v>
      </c>
      <c r="I1260" s="3" t="s">
        <v>131</v>
      </c>
      <c r="J1260" s="3" t="s">
        <v>133</v>
      </c>
      <c r="K1260" s="2" t="str">
        <f aca="false">CONCATENATE(I1260," ",J1260)</f>
        <v>Xysticus luctuosus</v>
      </c>
      <c r="L1260" s="3" t="n">
        <f aca="false">SUM(P1260:U1260)</f>
        <v>1</v>
      </c>
      <c r="M1260" s="11" t="n">
        <f aca="false">(L1260/(F1260*G1260)*25)*4</f>
        <v>4</v>
      </c>
      <c r="N1260" s="1" t="s">
        <v>30</v>
      </c>
      <c r="O1260" s="1" t="s">
        <v>35</v>
      </c>
      <c r="P1260" s="1" t="n">
        <v>0</v>
      </c>
      <c r="Q1260" s="1" t="n">
        <v>1</v>
      </c>
      <c r="R1260" s="1" t="n">
        <v>0</v>
      </c>
      <c r="S1260" s="1" t="n">
        <v>0</v>
      </c>
      <c r="T1260" s="1" t="n">
        <v>0</v>
      </c>
      <c r="U1260" s="1" t="n">
        <v>0</v>
      </c>
      <c r="V1260" s="3" t="n">
        <f aca="false">SUM(P1260:Q1260)</f>
        <v>1</v>
      </c>
      <c r="W1260" s="3" t="n">
        <f aca="false">SUM(R1260:T1260)</f>
        <v>0</v>
      </c>
      <c r="X1260" s="10" t="n">
        <v>39969</v>
      </c>
      <c r="Y1260" s="10" t="n">
        <v>39974</v>
      </c>
    </row>
    <row r="1261" customFormat="false" ht="14.25" hidden="false" customHeight="false" outlineLevel="0" collapsed="false">
      <c r="A1261" s="1" t="n">
        <v>2009</v>
      </c>
      <c r="B1261" s="1" t="n">
        <v>1</v>
      </c>
      <c r="C1261" s="2" t="s">
        <v>25</v>
      </c>
      <c r="D1261" s="7" t="s">
        <v>110</v>
      </c>
      <c r="E1261" s="1" t="n">
        <v>1</v>
      </c>
      <c r="F1261" s="1" t="n">
        <f aca="false">Y1261-X1261</f>
        <v>5</v>
      </c>
      <c r="G1261" s="1" t="n">
        <v>5</v>
      </c>
      <c r="H1261" s="3" t="s">
        <v>52</v>
      </c>
      <c r="I1261" s="3" t="s">
        <v>213</v>
      </c>
      <c r="J1261" s="3" t="s">
        <v>214</v>
      </c>
      <c r="K1261" s="2" t="str">
        <f aca="false">CONCATENATE(I1261," ",J1261)</f>
        <v>Cercidia prominens</v>
      </c>
      <c r="L1261" s="3" t="n">
        <f aca="false">SUM(P1261:U1261)</f>
        <v>1</v>
      </c>
      <c r="M1261" s="11" t="n">
        <f aca="false">(L1261/(F1261*G1261)*25)*4</f>
        <v>4</v>
      </c>
      <c r="N1261" s="1" t="s">
        <v>30</v>
      </c>
      <c r="O1261" s="1" t="s">
        <v>31</v>
      </c>
      <c r="P1261" s="1" t="n">
        <v>1</v>
      </c>
      <c r="Q1261" s="1" t="n">
        <v>0</v>
      </c>
      <c r="R1261" s="1" t="n">
        <v>0</v>
      </c>
      <c r="S1261" s="1" t="n">
        <v>0</v>
      </c>
      <c r="T1261" s="1" t="n">
        <v>0</v>
      </c>
      <c r="U1261" s="1" t="n">
        <v>0</v>
      </c>
      <c r="V1261" s="3" t="n">
        <f aca="false">SUM(P1261:Q1261)</f>
        <v>1</v>
      </c>
      <c r="W1261" s="3" t="n">
        <f aca="false">SUM(R1261:T1261)</f>
        <v>0</v>
      </c>
      <c r="X1261" s="10" t="n">
        <v>39969</v>
      </c>
      <c r="Y1261" s="10" t="n">
        <v>39974</v>
      </c>
    </row>
    <row r="1262" customFormat="false" ht="14.25" hidden="false" customHeight="false" outlineLevel="0" collapsed="false">
      <c r="A1262" s="1" t="n">
        <v>2009</v>
      </c>
      <c r="B1262" s="1" t="n">
        <v>1</v>
      </c>
      <c r="C1262" s="2" t="s">
        <v>25</v>
      </c>
      <c r="D1262" s="7" t="s">
        <v>110</v>
      </c>
      <c r="E1262" s="1" t="n">
        <v>1</v>
      </c>
      <c r="F1262" s="1" t="n">
        <f aca="false">Y1262-X1262</f>
        <v>5</v>
      </c>
      <c r="G1262" s="1" t="n">
        <v>5</v>
      </c>
      <c r="H1262" s="3" t="s">
        <v>32</v>
      </c>
      <c r="I1262" s="3" t="s">
        <v>55</v>
      </c>
      <c r="J1262" s="3" t="s">
        <v>194</v>
      </c>
      <c r="K1262" s="2" t="str">
        <f aca="false">CONCATENATE(I1262," ",J1262)</f>
        <v>Maro pansibiricus</v>
      </c>
      <c r="L1262" s="3" t="n">
        <f aca="false">SUM(P1262:U1262)</f>
        <v>1</v>
      </c>
      <c r="M1262" s="11" t="n">
        <f aca="false">(L1262/(F1262*G1262)*25)*4</f>
        <v>4</v>
      </c>
      <c r="N1262" s="1" t="s">
        <v>30</v>
      </c>
      <c r="O1262" s="1" t="s">
        <v>31</v>
      </c>
      <c r="P1262" s="1" t="n">
        <v>1</v>
      </c>
      <c r="Q1262" s="1" t="n">
        <v>0</v>
      </c>
      <c r="R1262" s="1" t="n">
        <v>0</v>
      </c>
      <c r="S1262" s="1" t="n">
        <v>0</v>
      </c>
      <c r="T1262" s="1" t="n">
        <v>0</v>
      </c>
      <c r="U1262" s="1" t="n">
        <v>0</v>
      </c>
      <c r="V1262" s="3" t="n">
        <f aca="false">SUM(P1262:Q1262)</f>
        <v>1</v>
      </c>
      <c r="W1262" s="3" t="n">
        <f aca="false">SUM(R1262:T1262)</f>
        <v>0</v>
      </c>
      <c r="X1262" s="10" t="n">
        <v>39969</v>
      </c>
      <c r="Y1262" s="10" t="n">
        <v>39974</v>
      </c>
    </row>
    <row r="1263" customFormat="false" ht="14.25" hidden="false" customHeight="false" outlineLevel="0" collapsed="false">
      <c r="A1263" s="1" t="n">
        <v>2009</v>
      </c>
      <c r="B1263" s="1" t="n">
        <v>1</v>
      </c>
      <c r="C1263" s="2" t="s">
        <v>25</v>
      </c>
      <c r="D1263" s="7" t="s">
        <v>110</v>
      </c>
      <c r="E1263" s="1" t="n">
        <v>1</v>
      </c>
      <c r="F1263" s="1" t="n">
        <f aca="false">Y1263-X1263</f>
        <v>5</v>
      </c>
      <c r="G1263" s="1" t="n">
        <v>5</v>
      </c>
      <c r="H1263" s="3" t="s">
        <v>32</v>
      </c>
      <c r="I1263" s="3" t="s">
        <v>90</v>
      </c>
      <c r="J1263" s="3" t="s">
        <v>91</v>
      </c>
      <c r="K1263" s="2" t="str">
        <f aca="false">CONCATENATE(I1263," ",J1263)</f>
        <v>Tapinocyba insecta</v>
      </c>
      <c r="L1263" s="3" t="n">
        <f aca="false">SUM(P1263:U1263)</f>
        <v>1</v>
      </c>
      <c r="M1263" s="11" t="n">
        <f aca="false">(L1263/(F1263*G1263)*25)*4</f>
        <v>4</v>
      </c>
      <c r="N1263" s="1" t="s">
        <v>30</v>
      </c>
      <c r="O1263" s="1" t="s">
        <v>31</v>
      </c>
      <c r="P1263" s="1" t="n">
        <v>1</v>
      </c>
      <c r="Q1263" s="1" t="n">
        <v>0</v>
      </c>
      <c r="R1263" s="1" t="n">
        <v>0</v>
      </c>
      <c r="S1263" s="1" t="n">
        <v>0</v>
      </c>
      <c r="T1263" s="1" t="n">
        <v>0</v>
      </c>
      <c r="U1263" s="1" t="n">
        <v>0</v>
      </c>
      <c r="V1263" s="3" t="n">
        <f aca="false">SUM(P1263:Q1263)</f>
        <v>1</v>
      </c>
      <c r="W1263" s="3" t="n">
        <f aca="false">SUM(R1263:T1263)</f>
        <v>0</v>
      </c>
      <c r="X1263" s="10" t="n">
        <v>39969</v>
      </c>
      <c r="Y1263" s="10" t="n">
        <v>39974</v>
      </c>
    </row>
    <row r="1264" customFormat="false" ht="14.25" hidden="false" customHeight="false" outlineLevel="0" collapsed="false">
      <c r="A1264" s="1" t="n">
        <v>2009</v>
      </c>
      <c r="B1264" s="1" t="n">
        <v>1</v>
      </c>
      <c r="C1264" s="2" t="s">
        <v>25</v>
      </c>
      <c r="D1264" s="7" t="s">
        <v>110</v>
      </c>
      <c r="E1264" s="1" t="n">
        <v>1</v>
      </c>
      <c r="F1264" s="1" t="n">
        <f aca="false">Y1264-X1264</f>
        <v>5</v>
      </c>
      <c r="G1264" s="1" t="n">
        <v>5</v>
      </c>
      <c r="H1264" s="3" t="s">
        <v>32</v>
      </c>
      <c r="I1264" s="3" t="s">
        <v>57</v>
      </c>
      <c r="J1264" s="3" t="s">
        <v>38</v>
      </c>
      <c r="K1264" s="2" t="str">
        <f aca="false">CONCATENATE(I1264," ",J1264)</f>
        <v>Gen sp</v>
      </c>
      <c r="L1264" s="3" t="n">
        <f aca="false">SUM(P1264:U1264)</f>
        <v>1</v>
      </c>
      <c r="M1264" s="11" t="n">
        <f aca="false">(L1264/(F1264*G1264)*25)*4</f>
        <v>4</v>
      </c>
      <c r="N1264" s="1" t="s">
        <v>19</v>
      </c>
      <c r="O1264" s="1" t="s">
        <v>54</v>
      </c>
      <c r="P1264" s="1" t="n">
        <v>0</v>
      </c>
      <c r="Q1264" s="1" t="n">
        <v>0</v>
      </c>
      <c r="R1264" s="1" t="n">
        <v>0</v>
      </c>
      <c r="S1264" s="1" t="n">
        <v>0</v>
      </c>
      <c r="T1264" s="1" t="n">
        <v>1</v>
      </c>
      <c r="U1264" s="1" t="n">
        <v>0</v>
      </c>
      <c r="V1264" s="3" t="n">
        <f aca="false">SUM(P1264:Q1264)</f>
        <v>0</v>
      </c>
      <c r="W1264" s="3" t="n">
        <f aca="false">SUM(R1264:T1264)</f>
        <v>1</v>
      </c>
      <c r="X1264" s="10" t="n">
        <v>39969</v>
      </c>
      <c r="Y1264" s="10" t="n">
        <v>39974</v>
      </c>
    </row>
    <row r="1265" customFormat="false" ht="14.25" hidden="false" customHeight="false" outlineLevel="0" collapsed="false">
      <c r="A1265" s="1" t="n">
        <v>2009</v>
      </c>
      <c r="B1265" s="1" t="n">
        <v>1</v>
      </c>
      <c r="C1265" s="2" t="s">
        <v>25</v>
      </c>
      <c r="D1265" s="7" t="s">
        <v>110</v>
      </c>
      <c r="E1265" s="1" t="n">
        <v>1</v>
      </c>
      <c r="F1265" s="1" t="n">
        <f aca="false">Y1265-X1265</f>
        <v>5</v>
      </c>
      <c r="G1265" s="1" t="n">
        <v>5</v>
      </c>
      <c r="H1265" s="3" t="s">
        <v>48</v>
      </c>
      <c r="I1265" s="3" t="s">
        <v>49</v>
      </c>
      <c r="J1265" s="3" t="s">
        <v>130</v>
      </c>
      <c r="K1265" s="2" t="str">
        <f aca="false">CONCATENATE(I1265," ",J1265)</f>
        <v>Alopecosa aculeata</v>
      </c>
      <c r="L1265" s="3" t="n">
        <f aca="false">SUM(P1265:U1265)</f>
        <v>2</v>
      </c>
      <c r="M1265" s="11" t="n">
        <f aca="false">(L1265/(F1265*G1265)*25)*4</f>
        <v>8</v>
      </c>
      <c r="N1265" s="1" t="s">
        <v>30</v>
      </c>
      <c r="O1265" s="1" t="s">
        <v>31</v>
      </c>
      <c r="P1265" s="1" t="n">
        <v>2</v>
      </c>
      <c r="Q1265" s="1" t="n">
        <v>0</v>
      </c>
      <c r="R1265" s="1" t="n">
        <v>0</v>
      </c>
      <c r="S1265" s="1" t="n">
        <v>0</v>
      </c>
      <c r="T1265" s="1" t="n">
        <v>0</v>
      </c>
      <c r="U1265" s="1" t="n">
        <v>0</v>
      </c>
      <c r="V1265" s="3" t="n">
        <f aca="false">SUM(P1265:Q1265)</f>
        <v>2</v>
      </c>
      <c r="W1265" s="3" t="n">
        <f aca="false">SUM(R1265:T1265)</f>
        <v>0</v>
      </c>
      <c r="X1265" s="10" t="n">
        <v>39969</v>
      </c>
      <c r="Y1265" s="10" t="n">
        <v>39974</v>
      </c>
    </row>
    <row r="1266" customFormat="false" ht="14.25" hidden="false" customHeight="false" outlineLevel="0" collapsed="false">
      <c r="A1266" s="1" t="n">
        <v>2009</v>
      </c>
      <c r="B1266" s="1" t="n">
        <v>1</v>
      </c>
      <c r="C1266" s="2" t="s">
        <v>25</v>
      </c>
      <c r="D1266" s="7" t="s">
        <v>110</v>
      </c>
      <c r="E1266" s="1" t="n">
        <v>1</v>
      </c>
      <c r="F1266" s="1" t="n">
        <f aca="false">Y1266-X1266</f>
        <v>5</v>
      </c>
      <c r="G1266" s="1" t="n">
        <v>5</v>
      </c>
      <c r="H1266" s="3" t="s">
        <v>48</v>
      </c>
      <c r="I1266" s="3" t="s">
        <v>61</v>
      </c>
      <c r="J1266" s="3" t="s">
        <v>82</v>
      </c>
      <c r="K1266" s="2" t="str">
        <f aca="false">CONCATENATE(I1266," ",J1266)</f>
        <v>Trochosa terricola</v>
      </c>
      <c r="L1266" s="3" t="n">
        <f aca="false">SUM(P1266:U1266)</f>
        <v>1</v>
      </c>
      <c r="M1266" s="11" t="n">
        <f aca="false">(L1266/(F1266*G1266)*25)*4</f>
        <v>4</v>
      </c>
      <c r="N1266" s="1" t="s">
        <v>30</v>
      </c>
      <c r="O1266" s="1" t="s">
        <v>35</v>
      </c>
      <c r="P1266" s="1" t="n">
        <v>0</v>
      </c>
      <c r="Q1266" s="1" t="n">
        <v>1</v>
      </c>
      <c r="R1266" s="1" t="n">
        <v>0</v>
      </c>
      <c r="S1266" s="1" t="n">
        <v>0</v>
      </c>
      <c r="T1266" s="1" t="n">
        <v>0</v>
      </c>
      <c r="U1266" s="1" t="n">
        <v>0</v>
      </c>
      <c r="V1266" s="3" t="n">
        <f aca="false">SUM(P1266:Q1266)</f>
        <v>1</v>
      </c>
      <c r="W1266" s="3" t="n">
        <f aca="false">SUM(R1266:T1266)</f>
        <v>0</v>
      </c>
      <c r="X1266" s="10" t="n">
        <v>39969</v>
      </c>
      <c r="Y1266" s="10" t="n">
        <v>39974</v>
      </c>
    </row>
    <row r="1267" customFormat="false" ht="14.25" hidden="false" customHeight="false" outlineLevel="0" collapsed="false">
      <c r="A1267" s="1" t="n">
        <v>2009</v>
      </c>
      <c r="B1267" s="1" t="n">
        <v>1</v>
      </c>
      <c r="C1267" s="2" t="s">
        <v>25</v>
      </c>
      <c r="D1267" s="7" t="s">
        <v>110</v>
      </c>
      <c r="E1267" s="1" t="n">
        <v>1</v>
      </c>
      <c r="F1267" s="1" t="n">
        <f aca="false">Y1267-X1267</f>
        <v>5</v>
      </c>
      <c r="G1267" s="1" t="n">
        <v>5</v>
      </c>
      <c r="H1267" s="3" t="s">
        <v>48</v>
      </c>
      <c r="I1267" s="3" t="s">
        <v>49</v>
      </c>
      <c r="J1267" s="3" t="s">
        <v>38</v>
      </c>
      <c r="K1267" s="2" t="str">
        <f aca="false">CONCATENATE(I1267," ",J1267)</f>
        <v>Alopecosa sp</v>
      </c>
      <c r="L1267" s="3" t="n">
        <f aca="false">SUM(P1267:U1267)</f>
        <v>2</v>
      </c>
      <c r="M1267" s="11" t="n">
        <f aca="false">(L1267/(F1267*G1267)*25)*4</f>
        <v>8</v>
      </c>
      <c r="N1267" s="1" t="s">
        <v>19</v>
      </c>
      <c r="O1267" s="1" t="s">
        <v>54</v>
      </c>
      <c r="P1267" s="1" t="n">
        <v>0</v>
      </c>
      <c r="Q1267" s="1" t="n">
        <v>0</v>
      </c>
      <c r="R1267" s="1" t="n">
        <v>0</v>
      </c>
      <c r="S1267" s="1" t="n">
        <v>0</v>
      </c>
      <c r="T1267" s="1" t="n">
        <v>2</v>
      </c>
      <c r="U1267" s="1" t="n">
        <v>0</v>
      </c>
      <c r="V1267" s="3" t="n">
        <f aca="false">SUM(P1267:Q1267)</f>
        <v>0</v>
      </c>
      <c r="W1267" s="3" t="n">
        <f aca="false">SUM(R1267:T1267)</f>
        <v>2</v>
      </c>
      <c r="X1267" s="10" t="n">
        <v>39969</v>
      </c>
      <c r="Y1267" s="10" t="n">
        <v>39974</v>
      </c>
    </row>
    <row r="1268" customFormat="false" ht="14.25" hidden="false" customHeight="false" outlineLevel="0" collapsed="false">
      <c r="A1268" s="1" t="n">
        <v>2009</v>
      </c>
      <c r="B1268" s="1" t="n">
        <v>1</v>
      </c>
      <c r="C1268" s="2" t="s">
        <v>25</v>
      </c>
      <c r="D1268" s="7" t="s">
        <v>110</v>
      </c>
      <c r="E1268" s="1" t="n">
        <v>1</v>
      </c>
      <c r="F1268" s="1" t="n">
        <f aca="false">Y1268-X1268</f>
        <v>5</v>
      </c>
      <c r="G1268" s="1" t="n">
        <v>5</v>
      </c>
      <c r="H1268" s="3" t="s">
        <v>48</v>
      </c>
      <c r="I1268" s="3" t="s">
        <v>105</v>
      </c>
      <c r="J1268" s="3" t="s">
        <v>38</v>
      </c>
      <c r="K1268" s="2" t="str">
        <f aca="false">CONCATENATE(I1268," ",J1268)</f>
        <v>Piratula sp</v>
      </c>
      <c r="L1268" s="3" t="n">
        <f aca="false">SUM(P1268:U1268)</f>
        <v>1</v>
      </c>
      <c r="M1268" s="11" t="n">
        <f aca="false">(L1268/(F1268*G1268)*25)*4</f>
        <v>4</v>
      </c>
      <c r="N1268" s="1" t="s">
        <v>19</v>
      </c>
      <c r="O1268" s="1" t="s">
        <v>54</v>
      </c>
      <c r="P1268" s="1" t="n">
        <v>0</v>
      </c>
      <c r="Q1268" s="1" t="n">
        <v>0</v>
      </c>
      <c r="R1268" s="1" t="n">
        <v>0</v>
      </c>
      <c r="S1268" s="1" t="n">
        <v>0</v>
      </c>
      <c r="T1268" s="1" t="n">
        <v>1</v>
      </c>
      <c r="U1268" s="1" t="n">
        <v>0</v>
      </c>
      <c r="V1268" s="3" t="n">
        <f aca="false">SUM(P1268:Q1268)</f>
        <v>0</v>
      </c>
      <c r="W1268" s="3" t="n">
        <f aca="false">SUM(R1268:T1268)</f>
        <v>1</v>
      </c>
      <c r="X1268" s="10" t="n">
        <v>39969</v>
      </c>
      <c r="Y1268" s="10" t="n">
        <v>39974</v>
      </c>
    </row>
    <row r="1269" customFormat="false" ht="14.25" hidden="false" customHeight="false" outlineLevel="0" collapsed="false">
      <c r="A1269" s="1" t="n">
        <v>2009</v>
      </c>
      <c r="B1269" s="1" t="n">
        <v>1</v>
      </c>
      <c r="C1269" s="2" t="s">
        <v>25</v>
      </c>
      <c r="D1269" s="7" t="s">
        <v>110</v>
      </c>
      <c r="E1269" s="1" t="n">
        <v>1</v>
      </c>
      <c r="F1269" s="1" t="n">
        <f aca="false">Y1269-X1269</f>
        <v>5</v>
      </c>
      <c r="G1269" s="1" t="n">
        <v>5</v>
      </c>
      <c r="H1269" s="3" t="s">
        <v>48</v>
      </c>
      <c r="I1269" s="3" t="s">
        <v>57</v>
      </c>
      <c r="J1269" s="3" t="s">
        <v>38</v>
      </c>
      <c r="K1269" s="2" t="str">
        <f aca="false">CONCATENATE(I1269," ",J1269)</f>
        <v>Gen sp</v>
      </c>
      <c r="L1269" s="3" t="n">
        <f aca="false">SUM(P1269:U1269)</f>
        <v>1</v>
      </c>
      <c r="M1269" s="11" t="n">
        <f aca="false">(L1269/(F1269*G1269)*25)*4</f>
        <v>4</v>
      </c>
      <c r="N1269" s="1" t="s">
        <v>19</v>
      </c>
      <c r="O1269" s="1" t="s">
        <v>54</v>
      </c>
      <c r="P1269" s="1" t="n">
        <v>0</v>
      </c>
      <c r="Q1269" s="1" t="n">
        <v>0</v>
      </c>
      <c r="R1269" s="1" t="n">
        <v>0</v>
      </c>
      <c r="S1269" s="1" t="n">
        <v>0</v>
      </c>
      <c r="T1269" s="1" t="n">
        <v>1</v>
      </c>
      <c r="U1269" s="1" t="n">
        <v>0</v>
      </c>
      <c r="V1269" s="3" t="n">
        <f aca="false">SUM(P1269:Q1269)</f>
        <v>0</v>
      </c>
      <c r="W1269" s="3" t="n">
        <f aca="false">SUM(R1269:T1269)</f>
        <v>1</v>
      </c>
      <c r="X1269" s="10" t="n">
        <v>39969</v>
      </c>
      <c r="Y1269" s="10" t="n">
        <v>39974</v>
      </c>
    </row>
    <row r="1270" customFormat="false" ht="14.25" hidden="false" customHeight="false" outlineLevel="0" collapsed="false">
      <c r="A1270" s="1" t="n">
        <v>2009</v>
      </c>
      <c r="B1270" s="1" t="n">
        <v>1</v>
      </c>
      <c r="C1270" s="2" t="s">
        <v>25</v>
      </c>
      <c r="D1270" s="7" t="s">
        <v>110</v>
      </c>
      <c r="E1270" s="1" t="n">
        <v>1</v>
      </c>
      <c r="F1270" s="1" t="n">
        <f aca="false">Y1270-X1270</f>
        <v>5</v>
      </c>
      <c r="G1270" s="1" t="n">
        <v>5</v>
      </c>
      <c r="H1270" s="3" t="s">
        <v>41</v>
      </c>
      <c r="I1270" s="3" t="s">
        <v>57</v>
      </c>
      <c r="J1270" s="3" t="s">
        <v>38</v>
      </c>
      <c r="K1270" s="2" t="str">
        <f aca="false">CONCATENATE(I1270," ",J1270)</f>
        <v>Gen sp</v>
      </c>
      <c r="L1270" s="3" t="n">
        <f aca="false">SUM(P1270:U1270)</f>
        <v>1</v>
      </c>
      <c r="M1270" s="11" t="n">
        <f aca="false">(L1270/(F1270*G1270)*25)*4</f>
        <v>4</v>
      </c>
      <c r="N1270" s="1" t="s">
        <v>19</v>
      </c>
      <c r="O1270" s="1" t="s">
        <v>54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1</v>
      </c>
      <c r="U1270" s="1" t="n">
        <v>0</v>
      </c>
      <c r="V1270" s="3" t="n">
        <f aca="false">SUM(P1270:Q1270)</f>
        <v>0</v>
      </c>
      <c r="W1270" s="3" t="n">
        <f aca="false">SUM(R1270:T1270)</f>
        <v>1</v>
      </c>
      <c r="X1270" s="10" t="n">
        <v>39969</v>
      </c>
      <c r="Y1270" s="10" t="n">
        <v>39974</v>
      </c>
    </row>
    <row r="1271" customFormat="false" ht="14.25" hidden="false" customHeight="false" outlineLevel="0" collapsed="false">
      <c r="A1271" s="1" t="n">
        <v>2009</v>
      </c>
      <c r="B1271" s="1" t="n">
        <v>1</v>
      </c>
      <c r="C1271" s="2" t="s">
        <v>25</v>
      </c>
      <c r="D1271" s="7" t="s">
        <v>110</v>
      </c>
      <c r="E1271" s="1" t="n">
        <v>1</v>
      </c>
      <c r="F1271" s="1" t="n">
        <f aca="false">Y1271-X1271</f>
        <v>5</v>
      </c>
      <c r="G1271" s="1" t="n">
        <v>5</v>
      </c>
      <c r="H1271" s="3" t="s">
        <v>72</v>
      </c>
      <c r="I1271" s="3" t="s">
        <v>86</v>
      </c>
      <c r="J1271" s="8" t="s">
        <v>87</v>
      </c>
      <c r="K1271" s="2" t="str">
        <f aca="false">CONCATENATE(I1271," ",J1271)</f>
        <v>Haplodrassus soerenseni</v>
      </c>
      <c r="L1271" s="3" t="n">
        <f aca="false">SUM(P1271:U1271)</f>
        <v>2</v>
      </c>
      <c r="M1271" s="11" t="n">
        <f aca="false">(L1271/(F1271*G1271)*25)*4</f>
        <v>8</v>
      </c>
      <c r="N1271" s="1" t="s">
        <v>30</v>
      </c>
      <c r="O1271" s="1" t="s">
        <v>31</v>
      </c>
      <c r="P1271" s="1" t="n">
        <v>2</v>
      </c>
      <c r="Q1271" s="1" t="n">
        <v>0</v>
      </c>
      <c r="R1271" s="1" t="n">
        <v>0</v>
      </c>
      <c r="S1271" s="1" t="n">
        <v>0</v>
      </c>
      <c r="T1271" s="1" t="n">
        <v>0</v>
      </c>
      <c r="U1271" s="1" t="n">
        <v>0</v>
      </c>
      <c r="V1271" s="3" t="n">
        <f aca="false">SUM(P1271:Q1271)</f>
        <v>2</v>
      </c>
      <c r="W1271" s="3" t="n">
        <f aca="false">SUM(R1271:T1271)</f>
        <v>0</v>
      </c>
      <c r="X1271" s="10" t="n">
        <v>39969</v>
      </c>
      <c r="Y1271" s="10" t="n">
        <v>39974</v>
      </c>
    </row>
    <row r="1272" customFormat="false" ht="14.25" hidden="false" customHeight="false" outlineLevel="0" collapsed="false">
      <c r="A1272" s="1" t="n">
        <v>2009</v>
      </c>
      <c r="B1272" s="1" t="n">
        <v>1</v>
      </c>
      <c r="C1272" s="2" t="s">
        <v>25</v>
      </c>
      <c r="D1272" s="7" t="s">
        <v>110</v>
      </c>
      <c r="E1272" s="1" t="n">
        <v>1</v>
      </c>
      <c r="F1272" s="1" t="n">
        <f aca="false">Y1272-X1272</f>
        <v>5</v>
      </c>
      <c r="G1272" s="1" t="n">
        <v>5</v>
      </c>
      <c r="H1272" s="3" t="s">
        <v>135</v>
      </c>
      <c r="I1272" s="3" t="s">
        <v>136</v>
      </c>
      <c r="J1272" s="3" t="s">
        <v>137</v>
      </c>
      <c r="K1272" s="2" t="str">
        <f aca="false">CONCATENATE(I1272," ",J1272)</f>
        <v>Thanatus sabulosus</v>
      </c>
      <c r="L1272" s="3" t="n">
        <f aca="false">SUM(P1272:U1272)</f>
        <v>1</v>
      </c>
      <c r="M1272" s="11" t="n">
        <f aca="false">(L1272/(F1272*G1272)*25)*4</f>
        <v>4</v>
      </c>
      <c r="N1272" s="1" t="s">
        <v>30</v>
      </c>
      <c r="O1272" s="1" t="s">
        <v>31</v>
      </c>
      <c r="P1272" s="1" t="n">
        <v>1</v>
      </c>
      <c r="Q1272" s="1" t="n">
        <v>0</v>
      </c>
      <c r="R1272" s="1" t="n">
        <v>0</v>
      </c>
      <c r="S1272" s="1" t="n">
        <v>0</v>
      </c>
      <c r="T1272" s="1" t="n">
        <v>0</v>
      </c>
      <c r="U1272" s="1" t="n">
        <v>0</v>
      </c>
      <c r="V1272" s="3" t="n">
        <f aca="false">SUM(P1272:Q1272)</f>
        <v>1</v>
      </c>
      <c r="W1272" s="3" t="n">
        <f aca="false">SUM(R1272:T1272)</f>
        <v>0</v>
      </c>
      <c r="X1272" s="10" t="n">
        <v>39969</v>
      </c>
      <c r="Y1272" s="10" t="n">
        <v>39974</v>
      </c>
    </row>
    <row r="1273" customFormat="false" ht="14.25" hidden="false" customHeight="false" outlineLevel="0" collapsed="false">
      <c r="A1273" s="1" t="n">
        <v>2009</v>
      </c>
      <c r="B1273" s="1" t="n">
        <v>1</v>
      </c>
      <c r="C1273" s="2" t="s">
        <v>25</v>
      </c>
      <c r="D1273" s="7" t="s">
        <v>110</v>
      </c>
      <c r="E1273" s="1" t="n">
        <v>1</v>
      </c>
      <c r="F1273" s="1" t="n">
        <f aca="false">Y1273-X1273</f>
        <v>5</v>
      </c>
      <c r="G1273" s="1" t="n">
        <v>5</v>
      </c>
      <c r="H1273" s="3" t="s">
        <v>36</v>
      </c>
      <c r="I1273" s="3" t="s">
        <v>131</v>
      </c>
      <c r="J1273" s="3" t="s">
        <v>133</v>
      </c>
      <c r="K1273" s="2" t="str">
        <f aca="false">CONCATENATE(I1273," ",J1273)</f>
        <v>Xysticus luctuosus</v>
      </c>
      <c r="L1273" s="3" t="n">
        <f aca="false">SUM(P1273:U1273)</f>
        <v>1</v>
      </c>
      <c r="M1273" s="11" t="n">
        <f aca="false">(L1273/(F1273*G1273)*25)*4</f>
        <v>4</v>
      </c>
      <c r="N1273" s="1" t="s">
        <v>30</v>
      </c>
      <c r="O1273" s="1" t="s">
        <v>31</v>
      </c>
      <c r="P1273" s="1" t="n">
        <v>1</v>
      </c>
      <c r="Q1273" s="1" t="n">
        <v>0</v>
      </c>
      <c r="R1273" s="1" t="n">
        <v>0</v>
      </c>
      <c r="S1273" s="1" t="n">
        <v>0</v>
      </c>
      <c r="T1273" s="1" t="n">
        <v>0</v>
      </c>
      <c r="U1273" s="1" t="n">
        <v>0</v>
      </c>
      <c r="V1273" s="3" t="n">
        <f aca="false">SUM(P1273:Q1273)</f>
        <v>1</v>
      </c>
      <c r="W1273" s="3" t="n">
        <f aca="false">SUM(R1273:T1273)</f>
        <v>0</v>
      </c>
      <c r="X1273" s="10" t="n">
        <v>39969</v>
      </c>
      <c r="Y1273" s="10" t="n">
        <v>39974</v>
      </c>
    </row>
    <row r="1274" customFormat="false" ht="14.25" hidden="false" customHeight="false" outlineLevel="0" collapsed="false">
      <c r="A1274" s="1" t="n">
        <v>2009</v>
      </c>
      <c r="B1274" s="1" t="n">
        <v>1</v>
      </c>
      <c r="C1274" s="2" t="s">
        <v>25</v>
      </c>
      <c r="D1274" s="7" t="s">
        <v>110</v>
      </c>
      <c r="E1274" s="1" t="n">
        <v>1</v>
      </c>
      <c r="F1274" s="1" t="n">
        <f aca="false">Y1274-X1274</f>
        <v>5</v>
      </c>
      <c r="G1274" s="1" t="n">
        <v>5</v>
      </c>
      <c r="H1274" s="13" t="s">
        <v>138</v>
      </c>
      <c r="I1274" s="13" t="s">
        <v>205</v>
      </c>
      <c r="J1274" s="14" t="s">
        <v>206</v>
      </c>
      <c r="K1274" s="2" t="str">
        <f aca="false">CONCATENATE(I1274," ",J1274)</f>
        <v>Clubiona caerulescens</v>
      </c>
      <c r="L1274" s="3" t="n">
        <f aca="false">SUM(P1274:U1274)</f>
        <v>1</v>
      </c>
      <c r="M1274" s="11" t="n">
        <f aca="false">(L1274/(F1274*G1274)*25)*4</f>
        <v>4</v>
      </c>
      <c r="N1274" s="1" t="s">
        <v>30</v>
      </c>
      <c r="O1274" s="1" t="s">
        <v>35</v>
      </c>
      <c r="P1274" s="1" t="n">
        <v>0</v>
      </c>
      <c r="Q1274" s="1" t="n">
        <v>1</v>
      </c>
      <c r="R1274" s="1" t="n">
        <v>0</v>
      </c>
      <c r="S1274" s="1" t="n">
        <v>0</v>
      </c>
      <c r="T1274" s="1" t="n">
        <v>0</v>
      </c>
      <c r="U1274" s="1" t="n">
        <v>0</v>
      </c>
      <c r="V1274" s="3" t="n">
        <f aca="false">SUM(P1274:Q1274)</f>
        <v>1</v>
      </c>
      <c r="W1274" s="3" t="n">
        <f aca="false">SUM(R1274:T1274)</f>
        <v>0</v>
      </c>
      <c r="X1274" s="10" t="n">
        <v>39969</v>
      </c>
      <c r="Y1274" s="10" t="n">
        <v>39974</v>
      </c>
    </row>
    <row r="1275" customFormat="false" ht="14.25" hidden="false" customHeight="false" outlineLevel="0" collapsed="false">
      <c r="A1275" s="1" t="n">
        <v>2009</v>
      </c>
      <c r="B1275" s="1" t="n">
        <v>1</v>
      </c>
      <c r="C1275" s="2" t="s">
        <v>25</v>
      </c>
      <c r="D1275" s="7" t="s">
        <v>110</v>
      </c>
      <c r="E1275" s="1" t="n">
        <v>1</v>
      </c>
      <c r="F1275" s="1" t="n">
        <f aca="false">Y1275-X1275</f>
        <v>5</v>
      </c>
      <c r="G1275" s="1" t="n">
        <v>5</v>
      </c>
      <c r="H1275" s="3" t="s">
        <v>92</v>
      </c>
      <c r="I1275" s="3" t="s">
        <v>171</v>
      </c>
      <c r="J1275" s="3" t="s">
        <v>38</v>
      </c>
      <c r="K1275" s="2" t="str">
        <f aca="false">CONCATENATE(I1275," ",J1275)</f>
        <v>Euophrys sp</v>
      </c>
      <c r="L1275" s="3" t="n">
        <f aca="false">SUM(P1275:U1275)</f>
        <v>1</v>
      </c>
      <c r="M1275" s="11" t="n">
        <f aca="false">(L1275/(F1275*G1275)*25)*4</f>
        <v>4</v>
      </c>
      <c r="N1275" s="1" t="s">
        <v>30</v>
      </c>
      <c r="O1275" s="1" t="s">
        <v>31</v>
      </c>
      <c r="P1275" s="1" t="n">
        <v>1</v>
      </c>
      <c r="Q1275" s="1" t="n">
        <v>0</v>
      </c>
      <c r="R1275" s="1" t="n">
        <v>0</v>
      </c>
      <c r="S1275" s="1" t="n">
        <v>0</v>
      </c>
      <c r="T1275" s="1" t="n">
        <v>0</v>
      </c>
      <c r="U1275" s="1" t="n">
        <v>0</v>
      </c>
      <c r="V1275" s="3" t="n">
        <f aca="false">SUM(P1275:Q1275)</f>
        <v>1</v>
      </c>
      <c r="W1275" s="3" t="n">
        <f aca="false">SUM(R1275:T1275)</f>
        <v>0</v>
      </c>
      <c r="X1275" s="10" t="n">
        <v>39969</v>
      </c>
      <c r="Y1275" s="10" t="n">
        <v>39974</v>
      </c>
    </row>
    <row r="1276" customFormat="false" ht="14.25" hidden="false" customHeight="false" outlineLevel="0" collapsed="false">
      <c r="A1276" s="1" t="n">
        <v>2009</v>
      </c>
      <c r="B1276" s="1" t="n">
        <v>1</v>
      </c>
      <c r="C1276" s="2" t="s">
        <v>25</v>
      </c>
      <c r="D1276" s="7" t="s">
        <v>110</v>
      </c>
      <c r="E1276" s="1" t="n">
        <v>1</v>
      </c>
      <c r="F1276" s="1" t="n">
        <f aca="false">Y1276-X1276</f>
        <v>5</v>
      </c>
      <c r="G1276" s="1" t="n">
        <v>5</v>
      </c>
      <c r="H1276" s="3" t="s">
        <v>52</v>
      </c>
      <c r="I1276" s="3" t="s">
        <v>213</v>
      </c>
      <c r="J1276" s="3" t="s">
        <v>214</v>
      </c>
      <c r="K1276" s="2" t="str">
        <f aca="false">CONCATENATE(I1276," ",J1276)</f>
        <v>Cercidia prominens</v>
      </c>
      <c r="L1276" s="3" t="n">
        <f aca="false">SUM(P1276:U1276)</f>
        <v>1</v>
      </c>
      <c r="M1276" s="11" t="n">
        <f aca="false">(L1276/(F1276*G1276)*25)*4</f>
        <v>4</v>
      </c>
      <c r="N1276" s="1" t="s">
        <v>30</v>
      </c>
      <c r="O1276" s="1" t="s">
        <v>31</v>
      </c>
      <c r="P1276" s="1" t="n">
        <v>1</v>
      </c>
      <c r="Q1276" s="1" t="n">
        <v>0</v>
      </c>
      <c r="R1276" s="1" t="n">
        <v>0</v>
      </c>
      <c r="S1276" s="1" t="n">
        <v>0</v>
      </c>
      <c r="T1276" s="1" t="n">
        <v>0</v>
      </c>
      <c r="U1276" s="1" t="n">
        <v>0</v>
      </c>
      <c r="V1276" s="3" t="n">
        <f aca="false">SUM(P1276:Q1276)</f>
        <v>1</v>
      </c>
      <c r="W1276" s="3" t="n">
        <f aca="false">SUM(R1276:T1276)</f>
        <v>0</v>
      </c>
      <c r="X1276" s="10" t="n">
        <v>39969</v>
      </c>
      <c r="Y1276" s="10" t="n">
        <v>39974</v>
      </c>
    </row>
    <row r="1277" customFormat="false" ht="14.25" hidden="false" customHeight="false" outlineLevel="0" collapsed="false">
      <c r="A1277" s="1" t="n">
        <v>2009</v>
      </c>
      <c r="B1277" s="1" t="n">
        <v>1</v>
      </c>
      <c r="C1277" s="2" t="s">
        <v>25</v>
      </c>
      <c r="D1277" s="7" t="s">
        <v>110</v>
      </c>
      <c r="E1277" s="1" t="n">
        <v>1</v>
      </c>
      <c r="F1277" s="1" t="n">
        <f aca="false">Y1277-X1277</f>
        <v>5</v>
      </c>
      <c r="G1277" s="1" t="n">
        <v>5</v>
      </c>
      <c r="H1277" s="3" t="s">
        <v>32</v>
      </c>
      <c r="I1277" s="3" t="s">
        <v>90</v>
      </c>
      <c r="J1277" s="3" t="s">
        <v>91</v>
      </c>
      <c r="K1277" s="2" t="str">
        <f aca="false">CONCATENATE(I1277," ",J1277)</f>
        <v>Tapinocyba insecta</v>
      </c>
      <c r="L1277" s="3" t="n">
        <f aca="false">SUM(P1277:U1277)</f>
        <v>1</v>
      </c>
      <c r="M1277" s="11" t="n">
        <f aca="false">(L1277/(F1277*G1277)*25)*4</f>
        <v>4</v>
      </c>
      <c r="N1277" s="1" t="s">
        <v>30</v>
      </c>
      <c r="O1277" s="1" t="s">
        <v>31</v>
      </c>
      <c r="P1277" s="1" t="n">
        <v>1</v>
      </c>
      <c r="Q1277" s="1" t="n">
        <v>0</v>
      </c>
      <c r="R1277" s="1" t="n">
        <v>0</v>
      </c>
      <c r="S1277" s="1" t="n">
        <v>0</v>
      </c>
      <c r="T1277" s="1" t="n">
        <v>0</v>
      </c>
      <c r="U1277" s="1" t="n">
        <v>0</v>
      </c>
      <c r="V1277" s="3" t="n">
        <f aca="false">SUM(P1277:Q1277)</f>
        <v>1</v>
      </c>
      <c r="W1277" s="3" t="n">
        <f aca="false">SUM(R1277:T1277)</f>
        <v>0</v>
      </c>
      <c r="X1277" s="10" t="n">
        <v>39969</v>
      </c>
      <c r="Y1277" s="10" t="n">
        <v>39974</v>
      </c>
    </row>
    <row r="1278" customFormat="false" ht="14.25" hidden="false" customHeight="false" outlineLevel="0" collapsed="false">
      <c r="A1278" s="1" t="n">
        <v>2009</v>
      </c>
      <c r="B1278" s="1" t="n">
        <v>1</v>
      </c>
      <c r="C1278" s="2" t="s">
        <v>25</v>
      </c>
      <c r="D1278" s="7" t="s">
        <v>110</v>
      </c>
      <c r="E1278" s="1" t="n">
        <v>1</v>
      </c>
      <c r="F1278" s="1" t="n">
        <f aca="false">Y1278-X1278</f>
        <v>5</v>
      </c>
      <c r="G1278" s="1" t="n">
        <v>5</v>
      </c>
      <c r="H1278" s="3" t="s">
        <v>32</v>
      </c>
      <c r="I1278" s="3" t="s">
        <v>57</v>
      </c>
      <c r="J1278" s="3" t="s">
        <v>38</v>
      </c>
      <c r="K1278" s="2" t="str">
        <f aca="false">CONCATENATE(I1278," ",J1278)</f>
        <v>Gen sp</v>
      </c>
      <c r="L1278" s="3" t="n">
        <f aca="false">SUM(P1278:U1278)</f>
        <v>1</v>
      </c>
      <c r="M1278" s="11" t="n">
        <f aca="false">(L1278/(F1278*G1278)*25)*4</f>
        <v>4</v>
      </c>
      <c r="N1278" s="1" t="s">
        <v>19</v>
      </c>
      <c r="O1278" s="1" t="s">
        <v>54</v>
      </c>
      <c r="P1278" s="1" t="n">
        <v>0</v>
      </c>
      <c r="Q1278" s="1" t="n">
        <v>0</v>
      </c>
      <c r="R1278" s="1" t="n">
        <v>0</v>
      </c>
      <c r="S1278" s="1" t="n">
        <v>0</v>
      </c>
      <c r="T1278" s="1" t="n">
        <v>1</v>
      </c>
      <c r="U1278" s="1" t="n">
        <v>0</v>
      </c>
      <c r="V1278" s="3" t="n">
        <f aca="false">SUM(P1278:Q1278)</f>
        <v>0</v>
      </c>
      <c r="W1278" s="3" t="n">
        <f aca="false">SUM(R1278:T1278)</f>
        <v>1</v>
      </c>
      <c r="X1278" s="10" t="n">
        <v>39969</v>
      </c>
      <c r="Y1278" s="10" t="n">
        <v>39974</v>
      </c>
    </row>
    <row r="1279" customFormat="false" ht="14.25" hidden="false" customHeight="false" outlineLevel="0" collapsed="false">
      <c r="A1279" s="1" t="n">
        <v>2009</v>
      </c>
      <c r="B1279" s="1" t="n">
        <v>1</v>
      </c>
      <c r="C1279" s="2" t="s">
        <v>25</v>
      </c>
      <c r="D1279" s="7" t="s">
        <v>110</v>
      </c>
      <c r="E1279" s="1" t="n">
        <v>1</v>
      </c>
      <c r="F1279" s="1" t="n">
        <f aca="false">Y1279-X1279</f>
        <v>5</v>
      </c>
      <c r="G1279" s="1" t="n">
        <v>5</v>
      </c>
      <c r="H1279" s="3" t="s">
        <v>48</v>
      </c>
      <c r="I1279" s="3" t="s">
        <v>49</v>
      </c>
      <c r="J1279" s="3" t="s">
        <v>104</v>
      </c>
      <c r="K1279" s="2" t="str">
        <f aca="false">CONCATENATE(I1279," ",J1279)</f>
        <v>Alopecosa taeniata</v>
      </c>
      <c r="L1279" s="3" t="n">
        <f aca="false">SUM(P1279:U1279)</f>
        <v>3</v>
      </c>
      <c r="M1279" s="11" t="n">
        <f aca="false">(L1279/(F1279*G1279)*25)*4</f>
        <v>12</v>
      </c>
      <c r="N1279" s="1" t="s">
        <v>30</v>
      </c>
      <c r="O1279" s="1" t="s">
        <v>31</v>
      </c>
      <c r="P1279" s="1" t="n">
        <v>3</v>
      </c>
      <c r="Q1279" s="1" t="n">
        <v>0</v>
      </c>
      <c r="R1279" s="1" t="n">
        <v>0</v>
      </c>
      <c r="S1279" s="1" t="n">
        <v>0</v>
      </c>
      <c r="T1279" s="1" t="n">
        <v>0</v>
      </c>
      <c r="U1279" s="1" t="n">
        <v>0</v>
      </c>
      <c r="V1279" s="3" t="n">
        <f aca="false">SUM(P1279:Q1279)</f>
        <v>3</v>
      </c>
      <c r="W1279" s="3" t="n">
        <f aca="false">SUM(R1279:T1279)</f>
        <v>0</v>
      </c>
      <c r="X1279" s="10" t="n">
        <v>39969</v>
      </c>
      <c r="Y1279" s="10" t="n">
        <v>39974</v>
      </c>
    </row>
    <row r="1280" customFormat="false" ht="14.25" hidden="false" customHeight="false" outlineLevel="0" collapsed="false">
      <c r="A1280" s="1" t="n">
        <v>2009</v>
      </c>
      <c r="B1280" s="1" t="n">
        <v>1</v>
      </c>
      <c r="C1280" s="2" t="s">
        <v>25</v>
      </c>
      <c r="D1280" s="7" t="s">
        <v>110</v>
      </c>
      <c r="E1280" s="1" t="n">
        <v>1</v>
      </c>
      <c r="F1280" s="1" t="n">
        <f aca="false">Y1280-X1280</f>
        <v>5</v>
      </c>
      <c r="G1280" s="1" t="n">
        <v>5</v>
      </c>
      <c r="H1280" s="3" t="s">
        <v>48</v>
      </c>
      <c r="I1280" s="3" t="s">
        <v>57</v>
      </c>
      <c r="J1280" s="3" t="s">
        <v>38</v>
      </c>
      <c r="K1280" s="2" t="str">
        <f aca="false">CONCATENATE(I1280," ",J1280)</f>
        <v>Gen sp</v>
      </c>
      <c r="L1280" s="3" t="n">
        <f aca="false">SUM(P1280:U1280)</f>
        <v>1</v>
      </c>
      <c r="M1280" s="11" t="n">
        <f aca="false">(L1280/(F1280*G1280)*25)*4</f>
        <v>4</v>
      </c>
      <c r="N1280" s="1" t="s">
        <v>19</v>
      </c>
      <c r="O1280" s="1" t="s">
        <v>54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1</v>
      </c>
      <c r="U1280" s="1" t="n">
        <v>0</v>
      </c>
      <c r="V1280" s="3" t="n">
        <f aca="false">SUM(P1280:Q1280)</f>
        <v>0</v>
      </c>
      <c r="W1280" s="3" t="n">
        <f aca="false">SUM(R1280:T1280)</f>
        <v>1</v>
      </c>
      <c r="X1280" s="10" t="n">
        <v>39969</v>
      </c>
      <c r="Y1280" s="10" t="n">
        <v>39974</v>
      </c>
    </row>
    <row r="1281" customFormat="false" ht="14.25" hidden="false" customHeight="false" outlineLevel="0" collapsed="false">
      <c r="A1281" s="1" t="n">
        <v>2009</v>
      </c>
      <c r="B1281" s="1" t="n">
        <v>1</v>
      </c>
      <c r="C1281" s="2" t="s">
        <v>25</v>
      </c>
      <c r="D1281" s="7" t="s">
        <v>110</v>
      </c>
      <c r="E1281" s="1" t="n">
        <v>1</v>
      </c>
      <c r="F1281" s="1" t="n">
        <f aca="false">Y1281-X1281</f>
        <v>5</v>
      </c>
      <c r="G1281" s="1" t="n">
        <v>5</v>
      </c>
      <c r="H1281" s="3" t="s">
        <v>72</v>
      </c>
      <c r="I1281" s="3" t="s">
        <v>86</v>
      </c>
      <c r="J1281" s="8" t="s">
        <v>87</v>
      </c>
      <c r="K1281" s="2" t="str">
        <f aca="false">CONCATENATE(I1281," ",J1281)</f>
        <v>Haplodrassus soerenseni</v>
      </c>
      <c r="L1281" s="3" t="n">
        <f aca="false">SUM(P1281:U1281)</f>
        <v>1</v>
      </c>
      <c r="M1281" s="11" t="n">
        <f aca="false">(L1281/(F1281*G1281)*25)*4</f>
        <v>4</v>
      </c>
      <c r="N1281" s="1" t="s">
        <v>30</v>
      </c>
      <c r="O1281" s="1" t="s">
        <v>31</v>
      </c>
      <c r="P1281" s="1" t="n">
        <v>1</v>
      </c>
      <c r="Q1281" s="1" t="n">
        <v>0</v>
      </c>
      <c r="R1281" s="1" t="n">
        <v>0</v>
      </c>
      <c r="S1281" s="1" t="n">
        <v>0</v>
      </c>
      <c r="T1281" s="1" t="n">
        <v>0</v>
      </c>
      <c r="U1281" s="1" t="n">
        <v>0</v>
      </c>
      <c r="V1281" s="3" t="n">
        <f aca="false">SUM(P1281:Q1281)</f>
        <v>1</v>
      </c>
      <c r="W1281" s="3" t="n">
        <f aca="false">SUM(R1281:T1281)</f>
        <v>0</v>
      </c>
      <c r="X1281" s="10" t="n">
        <v>39969</v>
      </c>
      <c r="Y1281" s="10" t="n">
        <v>39974</v>
      </c>
    </row>
    <row r="1282" customFormat="false" ht="14.25" hidden="false" customHeight="false" outlineLevel="0" collapsed="false">
      <c r="A1282" s="1" t="n">
        <v>2009</v>
      </c>
      <c r="B1282" s="1" t="n">
        <v>1</v>
      </c>
      <c r="C1282" s="2" t="s">
        <v>25</v>
      </c>
      <c r="D1282" s="7" t="s">
        <v>110</v>
      </c>
      <c r="E1282" s="1" t="n">
        <v>1</v>
      </c>
      <c r="F1282" s="1" t="n">
        <f aca="false">Y1282-X1282</f>
        <v>5</v>
      </c>
      <c r="G1282" s="1" t="n">
        <v>5</v>
      </c>
      <c r="H1282" s="3" t="s">
        <v>64</v>
      </c>
      <c r="I1282" s="3" t="s">
        <v>65</v>
      </c>
      <c r="J1282" s="3" t="s">
        <v>123</v>
      </c>
      <c r="K1282" s="2" t="str">
        <f aca="false">CONCATENATE(I1282," ",J1282)</f>
        <v>Zora nemoralis</v>
      </c>
      <c r="L1282" s="3" t="n">
        <f aca="false">SUM(P1282:U1282)</f>
        <v>1</v>
      </c>
      <c r="M1282" s="11" t="n">
        <f aca="false">(L1282/(F1282*G1282)*25)*4</f>
        <v>4</v>
      </c>
      <c r="N1282" s="1" t="s">
        <v>30</v>
      </c>
      <c r="O1282" s="1" t="s">
        <v>31</v>
      </c>
      <c r="P1282" s="1" t="n">
        <v>1</v>
      </c>
      <c r="Q1282" s="1" t="n">
        <v>0</v>
      </c>
      <c r="R1282" s="1" t="n">
        <v>0</v>
      </c>
      <c r="S1282" s="1" t="n">
        <v>0</v>
      </c>
      <c r="T1282" s="1" t="n">
        <v>0</v>
      </c>
      <c r="U1282" s="1" t="n">
        <v>0</v>
      </c>
      <c r="V1282" s="3" t="n">
        <f aca="false">SUM(P1282:Q1282)</f>
        <v>1</v>
      </c>
      <c r="W1282" s="3" t="n">
        <f aca="false">SUM(R1282:T1282)</f>
        <v>0</v>
      </c>
      <c r="X1282" s="10" t="n">
        <v>39969</v>
      </c>
      <c r="Y1282" s="10" t="n">
        <v>39974</v>
      </c>
    </row>
    <row r="1283" customFormat="false" ht="14.25" hidden="false" customHeight="false" outlineLevel="0" collapsed="false">
      <c r="A1283" s="1" t="n">
        <v>2009</v>
      </c>
      <c r="B1283" s="1" t="n">
        <v>1</v>
      </c>
      <c r="C1283" s="2" t="s">
        <v>25</v>
      </c>
      <c r="D1283" s="7" t="s">
        <v>110</v>
      </c>
      <c r="E1283" s="1" t="n">
        <v>1</v>
      </c>
      <c r="F1283" s="1" t="n">
        <f aca="false">Y1283-X1283</f>
        <v>5</v>
      </c>
      <c r="G1283" s="1" t="n">
        <v>5</v>
      </c>
      <c r="H1283" s="3" t="s">
        <v>36</v>
      </c>
      <c r="I1283" s="3" t="s">
        <v>37</v>
      </c>
      <c r="J1283" s="8" t="s">
        <v>75</v>
      </c>
      <c r="K1283" s="2" t="str">
        <f aca="false">CONCATENATE(I1283," ",J1283)</f>
        <v>Ozyptila praticola</v>
      </c>
      <c r="L1283" s="3" t="n">
        <f aca="false">SUM(P1283:U1283)</f>
        <v>1</v>
      </c>
      <c r="M1283" s="11" t="n">
        <f aca="false">(L1283/(F1283*G1283)*25)*4</f>
        <v>4</v>
      </c>
      <c r="N1283" s="1" t="s">
        <v>30</v>
      </c>
      <c r="O1283" s="1" t="s">
        <v>31</v>
      </c>
      <c r="P1283" s="1" t="n">
        <v>1</v>
      </c>
      <c r="Q1283" s="1" t="n">
        <v>0</v>
      </c>
      <c r="R1283" s="1" t="n">
        <v>0</v>
      </c>
      <c r="S1283" s="1" t="n">
        <v>0</v>
      </c>
      <c r="T1283" s="1" t="n">
        <v>0</v>
      </c>
      <c r="U1283" s="1" t="n">
        <v>0</v>
      </c>
      <c r="V1283" s="3" t="n">
        <f aca="false">SUM(P1283:Q1283)</f>
        <v>1</v>
      </c>
      <c r="W1283" s="3" t="n">
        <f aca="false">SUM(R1283:T1283)</f>
        <v>0</v>
      </c>
      <c r="X1283" s="10" t="n">
        <v>39969</v>
      </c>
      <c r="Y1283" s="10" t="n">
        <v>39974</v>
      </c>
    </row>
    <row r="1284" customFormat="false" ht="14.25" hidden="false" customHeight="false" outlineLevel="0" collapsed="false">
      <c r="A1284" s="1" t="n">
        <v>2009</v>
      </c>
      <c r="B1284" s="1" t="n">
        <v>1</v>
      </c>
      <c r="C1284" s="2" t="s">
        <v>25</v>
      </c>
      <c r="D1284" s="7" t="s">
        <v>110</v>
      </c>
      <c r="E1284" s="1" t="n">
        <v>1</v>
      </c>
      <c r="F1284" s="1" t="n">
        <f aca="false">Y1284-X1284</f>
        <v>5</v>
      </c>
      <c r="G1284" s="1" t="n">
        <v>5</v>
      </c>
      <c r="H1284" s="3" t="s">
        <v>36</v>
      </c>
      <c r="I1284" s="3" t="s">
        <v>37</v>
      </c>
      <c r="J1284" s="3" t="s">
        <v>38</v>
      </c>
      <c r="K1284" s="2" t="str">
        <f aca="false">CONCATENATE(I1284," ",J1284)</f>
        <v>Ozyptila sp</v>
      </c>
      <c r="L1284" s="3" t="n">
        <f aca="false">SUM(P1284:U1284)</f>
        <v>1</v>
      </c>
      <c r="M1284" s="11" t="n">
        <f aca="false">(L1284/(F1284*G1284)*25)*4</f>
        <v>4</v>
      </c>
      <c r="N1284" s="1" t="s">
        <v>19</v>
      </c>
      <c r="O1284" s="1" t="s">
        <v>54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1</v>
      </c>
      <c r="U1284" s="1" t="n">
        <v>0</v>
      </c>
      <c r="V1284" s="3" t="n">
        <f aca="false">SUM(P1284:Q1284)</f>
        <v>0</v>
      </c>
      <c r="W1284" s="3" t="n">
        <f aca="false">SUM(R1284:T1284)</f>
        <v>1</v>
      </c>
      <c r="X1284" s="10" t="n">
        <v>39969</v>
      </c>
      <c r="Y1284" s="10" t="n">
        <v>39974</v>
      </c>
    </row>
    <row r="1285" customFormat="false" ht="14.25" hidden="false" customHeight="false" outlineLevel="0" collapsed="false">
      <c r="A1285" s="1" t="n">
        <v>2009</v>
      </c>
      <c r="B1285" s="1" t="n">
        <v>1</v>
      </c>
      <c r="C1285" s="2" t="s">
        <v>25</v>
      </c>
      <c r="D1285" s="7" t="s">
        <v>110</v>
      </c>
      <c r="E1285" s="1" t="n">
        <v>1</v>
      </c>
      <c r="F1285" s="1" t="n">
        <f aca="false">Y1285-X1285</f>
        <v>5</v>
      </c>
      <c r="G1285" s="1" t="n">
        <v>5</v>
      </c>
      <c r="H1285" s="3" t="s">
        <v>36</v>
      </c>
      <c r="I1285" s="3" t="s">
        <v>131</v>
      </c>
      <c r="J1285" s="3" t="s">
        <v>133</v>
      </c>
      <c r="K1285" s="2" t="str">
        <f aca="false">CONCATENATE(I1285," ",J1285)</f>
        <v>Xysticus luctuosus</v>
      </c>
      <c r="L1285" s="3" t="n">
        <f aca="false">SUM(P1285:U1285)</f>
        <v>2</v>
      </c>
      <c r="M1285" s="11" t="n">
        <f aca="false">(L1285/(F1285*G1285)*25)*4</f>
        <v>8</v>
      </c>
      <c r="N1285" s="1" t="s">
        <v>30</v>
      </c>
      <c r="O1285" s="1" t="s">
        <v>31</v>
      </c>
      <c r="P1285" s="1" t="n">
        <v>2</v>
      </c>
      <c r="Q1285" s="1" t="n">
        <v>0</v>
      </c>
      <c r="R1285" s="1" t="n">
        <v>0</v>
      </c>
      <c r="S1285" s="1" t="n">
        <v>0</v>
      </c>
      <c r="T1285" s="1" t="n">
        <v>0</v>
      </c>
      <c r="U1285" s="1" t="n">
        <v>0</v>
      </c>
      <c r="V1285" s="3" t="n">
        <f aca="false">SUM(P1285:Q1285)</f>
        <v>2</v>
      </c>
      <c r="W1285" s="3" t="n">
        <f aca="false">SUM(R1285:T1285)</f>
        <v>0</v>
      </c>
      <c r="X1285" s="10" t="n">
        <v>39969</v>
      </c>
      <c r="Y1285" s="10" t="n">
        <v>39974</v>
      </c>
    </row>
    <row r="1286" customFormat="false" ht="14.25" hidden="false" customHeight="false" outlineLevel="0" collapsed="false">
      <c r="A1286" s="1" t="n">
        <v>2009</v>
      </c>
      <c r="B1286" s="1" t="n">
        <v>1</v>
      </c>
      <c r="C1286" s="2" t="s">
        <v>25</v>
      </c>
      <c r="D1286" s="7" t="s">
        <v>110</v>
      </c>
      <c r="E1286" s="1" t="n">
        <v>1</v>
      </c>
      <c r="F1286" s="1" t="n">
        <f aca="false">Y1286-X1286</f>
        <v>5</v>
      </c>
      <c r="G1286" s="1" t="n">
        <v>5</v>
      </c>
      <c r="H1286" s="3" t="s">
        <v>32</v>
      </c>
      <c r="I1286" s="3" t="s">
        <v>90</v>
      </c>
      <c r="J1286" s="3" t="s">
        <v>91</v>
      </c>
      <c r="K1286" s="2" t="str">
        <f aca="false">CONCATENATE(I1286," ",J1286)</f>
        <v>Tapinocyba insecta</v>
      </c>
      <c r="L1286" s="3" t="n">
        <f aca="false">SUM(P1286:U1286)</f>
        <v>1</v>
      </c>
      <c r="M1286" s="11" t="n">
        <f aca="false">(L1286/(F1286*G1286)*25)*4</f>
        <v>4</v>
      </c>
      <c r="N1286" s="1" t="s">
        <v>30</v>
      </c>
      <c r="O1286" s="1" t="s">
        <v>31</v>
      </c>
      <c r="P1286" s="1" t="n">
        <v>1</v>
      </c>
      <c r="Q1286" s="1" t="n">
        <v>0</v>
      </c>
      <c r="R1286" s="1" t="n">
        <v>0</v>
      </c>
      <c r="S1286" s="1" t="n">
        <v>0</v>
      </c>
      <c r="T1286" s="1" t="n">
        <v>0</v>
      </c>
      <c r="U1286" s="1" t="n">
        <v>0</v>
      </c>
      <c r="V1286" s="3" t="n">
        <f aca="false">SUM(P1286:Q1286)</f>
        <v>1</v>
      </c>
      <c r="W1286" s="3" t="n">
        <f aca="false">SUM(R1286:T1286)</f>
        <v>0</v>
      </c>
      <c r="X1286" s="10" t="n">
        <v>39969</v>
      </c>
      <c r="Y1286" s="10" t="n">
        <v>39974</v>
      </c>
    </row>
    <row r="1287" customFormat="false" ht="14.25" hidden="false" customHeight="false" outlineLevel="0" collapsed="false">
      <c r="A1287" s="1" t="n">
        <v>2009</v>
      </c>
      <c r="B1287" s="1" t="n">
        <v>1</v>
      </c>
      <c r="C1287" s="2" t="s">
        <v>25</v>
      </c>
      <c r="D1287" s="7" t="s">
        <v>110</v>
      </c>
      <c r="E1287" s="1" t="n">
        <v>1</v>
      </c>
      <c r="F1287" s="1" t="n">
        <f aca="false">Y1287-X1287</f>
        <v>5</v>
      </c>
      <c r="G1287" s="1" t="n">
        <v>5</v>
      </c>
      <c r="H1287" s="3" t="s">
        <v>32</v>
      </c>
      <c r="I1287" s="3" t="s">
        <v>68</v>
      </c>
      <c r="J1287" s="3" t="s">
        <v>178</v>
      </c>
      <c r="K1287" s="2" t="str">
        <f aca="false">CONCATENATE(I1287," ",J1287)</f>
        <v>Centromerus brevipalpus</v>
      </c>
      <c r="L1287" s="3" t="n">
        <f aca="false">SUM(P1287:U1287)</f>
        <v>1</v>
      </c>
      <c r="M1287" s="11" t="n">
        <f aca="false">(L1287/(F1287*G1287)*25)*4</f>
        <v>4</v>
      </c>
      <c r="N1287" s="1" t="s">
        <v>30</v>
      </c>
      <c r="O1287" s="1" t="s">
        <v>35</v>
      </c>
      <c r="P1287" s="1" t="n">
        <v>0</v>
      </c>
      <c r="Q1287" s="1" t="n">
        <v>1</v>
      </c>
      <c r="R1287" s="1" t="n">
        <v>0</v>
      </c>
      <c r="S1287" s="1" t="n">
        <v>0</v>
      </c>
      <c r="T1287" s="1" t="n">
        <v>0</v>
      </c>
      <c r="U1287" s="1" t="n">
        <v>0</v>
      </c>
      <c r="V1287" s="3" t="n">
        <f aca="false">SUM(P1287:Q1287)</f>
        <v>1</v>
      </c>
      <c r="W1287" s="3" t="n">
        <f aca="false">SUM(R1287:T1287)</f>
        <v>0</v>
      </c>
      <c r="X1287" s="10" t="n">
        <v>39969</v>
      </c>
      <c r="Y1287" s="10" t="n">
        <v>39974</v>
      </c>
    </row>
    <row r="1288" customFormat="false" ht="14.25" hidden="false" customHeight="false" outlineLevel="0" collapsed="false">
      <c r="A1288" s="1" t="n">
        <v>2009</v>
      </c>
      <c r="B1288" s="1" t="n">
        <v>1</v>
      </c>
      <c r="C1288" s="2" t="s">
        <v>25</v>
      </c>
      <c r="D1288" s="7" t="s">
        <v>110</v>
      </c>
      <c r="E1288" s="1" t="n">
        <v>2</v>
      </c>
      <c r="F1288" s="1" t="n">
        <f aca="false">Y1288-X1288</f>
        <v>5</v>
      </c>
      <c r="G1288" s="1" t="n">
        <v>5</v>
      </c>
      <c r="H1288" s="3" t="s">
        <v>48</v>
      </c>
      <c r="I1288" s="3" t="s">
        <v>49</v>
      </c>
      <c r="J1288" s="3" t="s">
        <v>104</v>
      </c>
      <c r="K1288" s="2" t="str">
        <f aca="false">CONCATENATE(I1288," ",J1288)</f>
        <v>Alopecosa taeniata</v>
      </c>
      <c r="L1288" s="3" t="n">
        <f aca="false">SUM(P1288:U1288)</f>
        <v>1</v>
      </c>
      <c r="M1288" s="11" t="n">
        <f aca="false">(L1288/(F1288*G1288)*25)*4</f>
        <v>4</v>
      </c>
      <c r="N1288" s="1" t="s">
        <v>30</v>
      </c>
      <c r="O1288" s="1" t="s">
        <v>31</v>
      </c>
      <c r="P1288" s="1" t="n">
        <v>1</v>
      </c>
      <c r="Q1288" s="1" t="n">
        <v>0</v>
      </c>
      <c r="R1288" s="1" t="n">
        <v>0</v>
      </c>
      <c r="S1288" s="1" t="n">
        <v>0</v>
      </c>
      <c r="T1288" s="1" t="n">
        <v>0</v>
      </c>
      <c r="U1288" s="1" t="n">
        <v>0</v>
      </c>
      <c r="V1288" s="3" t="n">
        <f aca="false">SUM(P1288:Q1288)</f>
        <v>1</v>
      </c>
      <c r="W1288" s="3" t="n">
        <f aca="false">SUM(R1288:T1288)</f>
        <v>0</v>
      </c>
      <c r="X1288" s="10" t="n">
        <v>39969</v>
      </c>
      <c r="Y1288" s="10" t="n">
        <v>39974</v>
      </c>
    </row>
    <row r="1289" customFormat="false" ht="14.25" hidden="false" customHeight="false" outlineLevel="0" collapsed="false">
      <c r="A1289" s="1" t="n">
        <v>2009</v>
      </c>
      <c r="B1289" s="1" t="n">
        <v>1</v>
      </c>
      <c r="C1289" s="2" t="s">
        <v>25</v>
      </c>
      <c r="D1289" s="7" t="s">
        <v>110</v>
      </c>
      <c r="E1289" s="1" t="n">
        <v>2</v>
      </c>
      <c r="F1289" s="1" t="n">
        <f aca="false">Y1289-X1289</f>
        <v>5</v>
      </c>
      <c r="G1289" s="1" t="n">
        <v>5</v>
      </c>
      <c r="H1289" s="3" t="s">
        <v>48</v>
      </c>
      <c r="I1289" s="3" t="s">
        <v>49</v>
      </c>
      <c r="J1289" s="3" t="s">
        <v>130</v>
      </c>
      <c r="K1289" s="2" t="str">
        <f aca="false">CONCATENATE(I1289," ",J1289)</f>
        <v>Alopecosa aculeata</v>
      </c>
      <c r="L1289" s="3" t="n">
        <f aca="false">SUM(P1289:U1289)</f>
        <v>2</v>
      </c>
      <c r="M1289" s="11" t="n">
        <f aca="false">(L1289/(F1289*G1289)*25)*4</f>
        <v>8</v>
      </c>
      <c r="N1289" s="1" t="s">
        <v>30</v>
      </c>
      <c r="O1289" s="1" t="s">
        <v>31</v>
      </c>
      <c r="P1289" s="1" t="n">
        <v>2</v>
      </c>
      <c r="Q1289" s="1" t="n">
        <v>0</v>
      </c>
      <c r="R1289" s="1" t="n">
        <v>0</v>
      </c>
      <c r="S1289" s="1" t="n">
        <v>0</v>
      </c>
      <c r="T1289" s="1" t="n">
        <v>0</v>
      </c>
      <c r="U1289" s="1" t="n">
        <v>0</v>
      </c>
      <c r="V1289" s="3" t="n">
        <f aca="false">SUM(P1289:Q1289)</f>
        <v>2</v>
      </c>
      <c r="W1289" s="3" t="n">
        <f aca="false">SUM(R1289:T1289)</f>
        <v>0</v>
      </c>
      <c r="X1289" s="10" t="n">
        <v>39969</v>
      </c>
      <c r="Y1289" s="10" t="n">
        <v>39974</v>
      </c>
    </row>
    <row r="1290" customFormat="false" ht="14.25" hidden="false" customHeight="false" outlineLevel="0" collapsed="false">
      <c r="A1290" s="1" t="n">
        <v>2009</v>
      </c>
      <c r="B1290" s="1" t="n">
        <v>1</v>
      </c>
      <c r="C1290" s="2" t="s">
        <v>25</v>
      </c>
      <c r="D1290" s="7" t="s">
        <v>110</v>
      </c>
      <c r="E1290" s="1" t="n">
        <v>2</v>
      </c>
      <c r="F1290" s="1" t="n">
        <f aca="false">Y1290-X1290</f>
        <v>5</v>
      </c>
      <c r="G1290" s="1" t="n">
        <v>5</v>
      </c>
      <c r="H1290" s="3" t="s">
        <v>48</v>
      </c>
      <c r="I1290" s="3" t="s">
        <v>67</v>
      </c>
      <c r="J1290" s="3" t="s">
        <v>127</v>
      </c>
      <c r="K1290" s="2" t="str">
        <f aca="false">CONCATENATE(I1290," ",J1290)</f>
        <v>Pardosa lugubris</v>
      </c>
      <c r="L1290" s="3" t="n">
        <f aca="false">SUM(P1290:U1290)</f>
        <v>1</v>
      </c>
      <c r="M1290" s="11" t="n">
        <f aca="false">(L1290/(F1290*G1290)*25)*4</f>
        <v>4</v>
      </c>
      <c r="N1290" s="1" t="s">
        <v>30</v>
      </c>
      <c r="O1290" s="1" t="s">
        <v>31</v>
      </c>
      <c r="P1290" s="1" t="n">
        <v>1</v>
      </c>
      <c r="Q1290" s="1" t="n">
        <v>0</v>
      </c>
      <c r="R1290" s="1" t="n">
        <v>0</v>
      </c>
      <c r="S1290" s="1" t="n">
        <v>0</v>
      </c>
      <c r="T1290" s="1" t="n">
        <v>0</v>
      </c>
      <c r="U1290" s="1" t="n">
        <v>0</v>
      </c>
      <c r="V1290" s="3" t="n">
        <f aca="false">SUM(P1290:Q1290)</f>
        <v>1</v>
      </c>
      <c r="W1290" s="3" t="n">
        <f aca="false">SUM(R1290:T1290)</f>
        <v>0</v>
      </c>
      <c r="X1290" s="10" t="n">
        <v>39969</v>
      </c>
      <c r="Y1290" s="10" t="n">
        <v>39974</v>
      </c>
    </row>
    <row r="1291" customFormat="false" ht="14.25" hidden="false" customHeight="false" outlineLevel="0" collapsed="false">
      <c r="A1291" s="1" t="n">
        <v>2009</v>
      </c>
      <c r="B1291" s="1" t="n">
        <v>1</v>
      </c>
      <c r="C1291" s="2" t="s">
        <v>25</v>
      </c>
      <c r="D1291" s="7" t="s">
        <v>110</v>
      </c>
      <c r="E1291" s="1" t="n">
        <v>2</v>
      </c>
      <c r="F1291" s="1" t="n">
        <f aca="false">Y1291-X1291</f>
        <v>5</v>
      </c>
      <c r="G1291" s="1" t="n">
        <v>5</v>
      </c>
      <c r="H1291" s="3" t="s">
        <v>48</v>
      </c>
      <c r="I1291" s="3" t="s">
        <v>61</v>
      </c>
      <c r="J1291" s="3" t="s">
        <v>38</v>
      </c>
      <c r="K1291" s="2" t="str">
        <f aca="false">CONCATENATE(I1291," ",J1291)</f>
        <v>Trochosa sp</v>
      </c>
      <c r="L1291" s="3" t="n">
        <f aca="false">SUM(P1291:U1291)</f>
        <v>1</v>
      </c>
      <c r="M1291" s="11" t="n">
        <f aca="false">(L1291/(F1291*G1291)*25)*4</f>
        <v>4</v>
      </c>
      <c r="N1291" s="1" t="s">
        <v>19</v>
      </c>
      <c r="O1291" s="1" t="s">
        <v>54</v>
      </c>
      <c r="P1291" s="1" t="n">
        <v>0</v>
      </c>
      <c r="Q1291" s="1" t="n">
        <v>0</v>
      </c>
      <c r="R1291" s="1" t="n">
        <v>0</v>
      </c>
      <c r="S1291" s="1" t="n">
        <v>0</v>
      </c>
      <c r="T1291" s="1" t="n">
        <v>1</v>
      </c>
      <c r="U1291" s="1" t="n">
        <v>0</v>
      </c>
      <c r="V1291" s="3" t="n">
        <f aca="false">SUM(P1291:Q1291)</f>
        <v>0</v>
      </c>
      <c r="W1291" s="3" t="n">
        <f aca="false">SUM(R1291:T1291)</f>
        <v>1</v>
      </c>
      <c r="X1291" s="10" t="n">
        <v>39969</v>
      </c>
      <c r="Y1291" s="10" t="n">
        <v>39974</v>
      </c>
    </row>
    <row r="1292" customFormat="false" ht="14.25" hidden="false" customHeight="false" outlineLevel="0" collapsed="false">
      <c r="A1292" s="1" t="n">
        <v>2009</v>
      </c>
      <c r="B1292" s="1" t="n">
        <v>1</v>
      </c>
      <c r="C1292" s="2" t="s">
        <v>25</v>
      </c>
      <c r="D1292" s="7" t="s">
        <v>110</v>
      </c>
      <c r="E1292" s="1" t="n">
        <v>2</v>
      </c>
      <c r="F1292" s="1" t="n">
        <f aca="false">Y1292-X1292</f>
        <v>5</v>
      </c>
      <c r="G1292" s="1" t="n">
        <v>5</v>
      </c>
      <c r="H1292" s="3" t="s">
        <v>48</v>
      </c>
      <c r="I1292" s="3" t="s">
        <v>57</v>
      </c>
      <c r="J1292" s="3" t="s">
        <v>38</v>
      </c>
      <c r="K1292" s="2" t="str">
        <f aca="false">CONCATENATE(I1292," ",J1292)</f>
        <v>Gen sp</v>
      </c>
      <c r="L1292" s="3" t="n">
        <f aca="false">SUM(P1292:U1292)</f>
        <v>2</v>
      </c>
      <c r="M1292" s="11" t="n">
        <f aca="false">(L1292/(F1292*G1292)*25)*4</f>
        <v>8</v>
      </c>
      <c r="N1292" s="1" t="s">
        <v>19</v>
      </c>
      <c r="O1292" s="1" t="s">
        <v>54</v>
      </c>
      <c r="P1292" s="1" t="n">
        <v>0</v>
      </c>
      <c r="Q1292" s="1" t="n">
        <v>0</v>
      </c>
      <c r="R1292" s="1" t="n">
        <v>0</v>
      </c>
      <c r="S1292" s="1" t="n">
        <v>0</v>
      </c>
      <c r="T1292" s="1" t="n">
        <v>2</v>
      </c>
      <c r="U1292" s="1" t="n">
        <v>0</v>
      </c>
      <c r="V1292" s="3" t="n">
        <f aca="false">SUM(P1292:Q1292)</f>
        <v>0</v>
      </c>
      <c r="W1292" s="3" t="n">
        <f aca="false">SUM(R1292:T1292)</f>
        <v>2</v>
      </c>
      <c r="X1292" s="10" t="n">
        <v>39969</v>
      </c>
      <c r="Y1292" s="10" t="n">
        <v>39974</v>
      </c>
    </row>
    <row r="1293" customFormat="false" ht="14.25" hidden="false" customHeight="false" outlineLevel="0" collapsed="false">
      <c r="A1293" s="1" t="n">
        <v>2009</v>
      </c>
      <c r="B1293" s="1" t="n">
        <v>1</v>
      </c>
      <c r="C1293" s="2" t="s">
        <v>25</v>
      </c>
      <c r="D1293" s="7" t="s">
        <v>110</v>
      </c>
      <c r="E1293" s="1" t="n">
        <v>2</v>
      </c>
      <c r="F1293" s="1" t="n">
        <f aca="false">Y1293-X1293</f>
        <v>5</v>
      </c>
      <c r="G1293" s="1" t="n">
        <v>5</v>
      </c>
      <c r="H1293" s="3" t="s">
        <v>36</v>
      </c>
      <c r="I1293" s="3" t="s">
        <v>37</v>
      </c>
      <c r="J1293" s="3" t="s">
        <v>38</v>
      </c>
      <c r="K1293" s="2" t="str">
        <f aca="false">CONCATENATE(I1293," ",J1293)</f>
        <v>Ozyptila sp</v>
      </c>
      <c r="L1293" s="3" t="n">
        <f aca="false">SUM(P1293:U1293)</f>
        <v>2</v>
      </c>
      <c r="M1293" s="11" t="n">
        <f aca="false">(L1293/(F1293*G1293)*25)*4</f>
        <v>8</v>
      </c>
      <c r="N1293" s="1" t="s">
        <v>19</v>
      </c>
      <c r="O1293" s="1" t="s">
        <v>54</v>
      </c>
      <c r="P1293" s="1" t="n">
        <v>0</v>
      </c>
      <c r="Q1293" s="1" t="n">
        <v>0</v>
      </c>
      <c r="R1293" s="1" t="n">
        <v>0</v>
      </c>
      <c r="S1293" s="1" t="n">
        <v>0</v>
      </c>
      <c r="T1293" s="1" t="n">
        <v>2</v>
      </c>
      <c r="U1293" s="1" t="n">
        <v>0</v>
      </c>
      <c r="V1293" s="3" t="n">
        <f aca="false">SUM(P1293:Q1293)</f>
        <v>0</v>
      </c>
      <c r="W1293" s="3" t="n">
        <f aca="false">SUM(R1293:T1293)</f>
        <v>2</v>
      </c>
      <c r="X1293" s="10" t="n">
        <v>39969</v>
      </c>
      <c r="Y1293" s="10" t="n">
        <v>39974</v>
      </c>
    </row>
    <row r="1294" customFormat="false" ht="14.25" hidden="false" customHeight="false" outlineLevel="0" collapsed="false">
      <c r="A1294" s="1" t="n">
        <v>2009</v>
      </c>
      <c r="B1294" s="1" t="n">
        <v>1</v>
      </c>
      <c r="C1294" s="2" t="s">
        <v>25</v>
      </c>
      <c r="D1294" s="7" t="s">
        <v>110</v>
      </c>
      <c r="E1294" s="1" t="n">
        <v>2</v>
      </c>
      <c r="F1294" s="1" t="n">
        <f aca="false">Y1294-X1294</f>
        <v>5</v>
      </c>
      <c r="G1294" s="1" t="n">
        <v>5</v>
      </c>
      <c r="H1294" s="3" t="s">
        <v>36</v>
      </c>
      <c r="I1294" s="3" t="s">
        <v>131</v>
      </c>
      <c r="J1294" s="3" t="s">
        <v>133</v>
      </c>
      <c r="K1294" s="2" t="str">
        <f aca="false">CONCATENATE(I1294," ",J1294)</f>
        <v>Xysticus luctuosus</v>
      </c>
      <c r="L1294" s="3" t="n">
        <f aca="false">SUM(P1294:U1294)</f>
        <v>4</v>
      </c>
      <c r="M1294" s="11" t="n">
        <f aca="false">(L1294/(F1294*G1294)*25)*4</f>
        <v>16</v>
      </c>
      <c r="N1294" s="1" t="s">
        <v>30</v>
      </c>
      <c r="O1294" s="1" t="s">
        <v>31</v>
      </c>
      <c r="P1294" s="1" t="n">
        <v>4</v>
      </c>
      <c r="Q1294" s="1" t="n">
        <v>0</v>
      </c>
      <c r="R1294" s="1" t="n">
        <v>0</v>
      </c>
      <c r="S1294" s="1" t="n">
        <v>0</v>
      </c>
      <c r="T1294" s="1" t="n">
        <v>0</v>
      </c>
      <c r="U1294" s="1" t="n">
        <v>0</v>
      </c>
      <c r="V1294" s="3" t="n">
        <f aca="false">SUM(P1294:Q1294)</f>
        <v>4</v>
      </c>
      <c r="W1294" s="3" t="n">
        <f aca="false">SUM(R1294:T1294)</f>
        <v>0</v>
      </c>
      <c r="X1294" s="10" t="n">
        <v>39969</v>
      </c>
      <c r="Y1294" s="10" t="n">
        <v>39974</v>
      </c>
    </row>
    <row r="1295" customFormat="false" ht="14.25" hidden="false" customHeight="false" outlineLevel="0" collapsed="false">
      <c r="A1295" s="1" t="n">
        <v>2009</v>
      </c>
      <c r="B1295" s="1" t="n">
        <v>1</v>
      </c>
      <c r="C1295" s="2" t="s">
        <v>25</v>
      </c>
      <c r="D1295" s="7" t="s">
        <v>110</v>
      </c>
      <c r="E1295" s="1" t="n">
        <v>2</v>
      </c>
      <c r="F1295" s="1" t="n">
        <f aca="false">Y1295-X1295</f>
        <v>5</v>
      </c>
      <c r="G1295" s="1" t="n">
        <v>5</v>
      </c>
      <c r="H1295" s="3" t="s">
        <v>36</v>
      </c>
      <c r="I1295" s="3" t="s">
        <v>131</v>
      </c>
      <c r="J1295" s="3" t="s">
        <v>133</v>
      </c>
      <c r="K1295" s="2" t="str">
        <f aca="false">CONCATENATE(I1295," ",J1295)</f>
        <v>Xysticus luctuosus</v>
      </c>
      <c r="L1295" s="3" t="n">
        <f aca="false">SUM(P1295:U1295)</f>
        <v>1</v>
      </c>
      <c r="M1295" s="11" t="n">
        <f aca="false">(L1295/(F1295*G1295)*25)*4</f>
        <v>4</v>
      </c>
      <c r="N1295" s="1" t="s">
        <v>30</v>
      </c>
      <c r="O1295" s="1" t="s">
        <v>35</v>
      </c>
      <c r="P1295" s="1" t="n">
        <v>0</v>
      </c>
      <c r="Q1295" s="1" t="n">
        <v>1</v>
      </c>
      <c r="R1295" s="1" t="n">
        <v>0</v>
      </c>
      <c r="S1295" s="1" t="n">
        <v>0</v>
      </c>
      <c r="T1295" s="1" t="n">
        <v>0</v>
      </c>
      <c r="U1295" s="1" t="n">
        <v>0</v>
      </c>
      <c r="V1295" s="3" t="n">
        <f aca="false">SUM(P1295:Q1295)</f>
        <v>1</v>
      </c>
      <c r="W1295" s="3" t="n">
        <f aca="false">SUM(R1295:T1295)</f>
        <v>0</v>
      </c>
      <c r="X1295" s="10" t="n">
        <v>39969</v>
      </c>
      <c r="Y1295" s="10" t="n">
        <v>39974</v>
      </c>
    </row>
    <row r="1296" customFormat="false" ht="14.25" hidden="false" customHeight="false" outlineLevel="0" collapsed="false">
      <c r="A1296" s="1" t="n">
        <v>2009</v>
      </c>
      <c r="B1296" s="1" t="n">
        <v>1</v>
      </c>
      <c r="C1296" s="2" t="s">
        <v>25</v>
      </c>
      <c r="D1296" s="7" t="s">
        <v>110</v>
      </c>
      <c r="E1296" s="1" t="n">
        <v>2</v>
      </c>
      <c r="F1296" s="1" t="n">
        <f aca="false">Y1296-X1296</f>
        <v>5</v>
      </c>
      <c r="G1296" s="1" t="n">
        <v>5</v>
      </c>
      <c r="H1296" s="3" t="s">
        <v>32</v>
      </c>
      <c r="I1296" s="3" t="s">
        <v>55</v>
      </c>
      <c r="J1296" s="3" t="s">
        <v>194</v>
      </c>
      <c r="K1296" s="2" t="str">
        <f aca="false">CONCATENATE(I1296," ",J1296)</f>
        <v>Maro pansibiricus</v>
      </c>
      <c r="L1296" s="3" t="n">
        <f aca="false">SUM(P1296:U1296)</f>
        <v>1</v>
      </c>
      <c r="M1296" s="11" t="n">
        <f aca="false">(L1296/(F1296*G1296)*25)*4</f>
        <v>4</v>
      </c>
      <c r="N1296" s="1" t="s">
        <v>30</v>
      </c>
      <c r="O1296" s="1" t="s">
        <v>31</v>
      </c>
      <c r="P1296" s="1" t="n">
        <v>1</v>
      </c>
      <c r="Q1296" s="1" t="n">
        <v>0</v>
      </c>
      <c r="R1296" s="1" t="n">
        <v>0</v>
      </c>
      <c r="S1296" s="1" t="n">
        <v>0</v>
      </c>
      <c r="T1296" s="1" t="n">
        <v>0</v>
      </c>
      <c r="U1296" s="1" t="n">
        <v>0</v>
      </c>
      <c r="V1296" s="3" t="n">
        <f aca="false">SUM(P1296:Q1296)</f>
        <v>1</v>
      </c>
      <c r="W1296" s="3" t="n">
        <f aca="false">SUM(R1296:T1296)</f>
        <v>0</v>
      </c>
      <c r="X1296" s="10" t="n">
        <v>39969</v>
      </c>
      <c r="Y1296" s="10" t="n">
        <v>39974</v>
      </c>
    </row>
    <row r="1297" customFormat="false" ht="14.25" hidden="false" customHeight="false" outlineLevel="0" collapsed="false">
      <c r="A1297" s="1" t="n">
        <v>2009</v>
      </c>
      <c r="B1297" s="1" t="n">
        <v>1</v>
      </c>
      <c r="C1297" s="2" t="s">
        <v>25</v>
      </c>
      <c r="D1297" s="7" t="s">
        <v>110</v>
      </c>
      <c r="E1297" s="1" t="n">
        <v>2</v>
      </c>
      <c r="F1297" s="1" t="n">
        <f aca="false">Y1297-X1297</f>
        <v>5</v>
      </c>
      <c r="G1297" s="1" t="n">
        <v>5</v>
      </c>
      <c r="H1297" s="13" t="s">
        <v>32</v>
      </c>
      <c r="I1297" s="13" t="s">
        <v>96</v>
      </c>
      <c r="J1297" s="14" t="s">
        <v>97</v>
      </c>
      <c r="K1297" s="2" t="str">
        <f aca="false">CONCATENATE(I1297," ",J1297)</f>
        <v>Diplocephalus picinus</v>
      </c>
      <c r="L1297" s="3" t="n">
        <f aca="false">SUM(P1297:U1297)</f>
        <v>1</v>
      </c>
      <c r="M1297" s="11" t="n">
        <f aca="false">(L1297/(F1297*G1297)*25)*4</f>
        <v>4</v>
      </c>
      <c r="N1297" s="1" t="s">
        <v>30</v>
      </c>
      <c r="O1297" s="1" t="s">
        <v>31</v>
      </c>
      <c r="P1297" s="1" t="n">
        <v>1</v>
      </c>
      <c r="Q1297" s="1" t="n">
        <v>0</v>
      </c>
      <c r="R1297" s="1" t="n">
        <v>0</v>
      </c>
      <c r="S1297" s="1" t="n">
        <v>0</v>
      </c>
      <c r="T1297" s="1" t="n">
        <v>0</v>
      </c>
      <c r="U1297" s="1" t="n">
        <v>0</v>
      </c>
      <c r="V1297" s="3" t="n">
        <f aca="false">SUM(P1297:Q1297)</f>
        <v>1</v>
      </c>
      <c r="W1297" s="3" t="n">
        <f aca="false">SUM(R1297:T1297)</f>
        <v>0</v>
      </c>
      <c r="X1297" s="10" t="n">
        <v>39969</v>
      </c>
      <c r="Y1297" s="10" t="n">
        <v>39974</v>
      </c>
    </row>
    <row r="1298" customFormat="false" ht="14.25" hidden="false" customHeight="false" outlineLevel="0" collapsed="false">
      <c r="A1298" s="1" t="n">
        <v>2009</v>
      </c>
      <c r="B1298" s="1" t="n">
        <v>1</v>
      </c>
      <c r="C1298" s="2" t="s">
        <v>25</v>
      </c>
      <c r="D1298" s="7" t="s">
        <v>110</v>
      </c>
      <c r="E1298" s="1" t="n">
        <v>2</v>
      </c>
      <c r="F1298" s="1" t="n">
        <f aca="false">Y1298-X1298</f>
        <v>5</v>
      </c>
      <c r="G1298" s="1" t="n">
        <v>5</v>
      </c>
      <c r="H1298" s="3" t="s">
        <v>48</v>
      </c>
      <c r="I1298" s="3" t="s">
        <v>49</v>
      </c>
      <c r="J1298" s="3" t="s">
        <v>104</v>
      </c>
      <c r="K1298" s="2" t="str">
        <f aca="false">CONCATENATE(I1298," ",J1298)</f>
        <v>Alopecosa taeniata</v>
      </c>
      <c r="L1298" s="3" t="n">
        <f aca="false">SUM(P1298:U1298)</f>
        <v>1</v>
      </c>
      <c r="M1298" s="11" t="n">
        <f aca="false">(L1298/(F1298*G1298)*25)*4</f>
        <v>4</v>
      </c>
      <c r="N1298" s="1" t="s">
        <v>30</v>
      </c>
      <c r="O1298" s="1" t="s">
        <v>31</v>
      </c>
      <c r="P1298" s="1" t="n">
        <v>1</v>
      </c>
      <c r="Q1298" s="1" t="n">
        <v>0</v>
      </c>
      <c r="R1298" s="1" t="n">
        <v>0</v>
      </c>
      <c r="S1298" s="1" t="n">
        <v>0</v>
      </c>
      <c r="T1298" s="1" t="n">
        <v>0</v>
      </c>
      <c r="U1298" s="1" t="n">
        <v>0</v>
      </c>
      <c r="V1298" s="3" t="n">
        <f aca="false">SUM(P1298:Q1298)</f>
        <v>1</v>
      </c>
      <c r="W1298" s="3" t="n">
        <f aca="false">SUM(R1298:T1298)</f>
        <v>0</v>
      </c>
      <c r="X1298" s="10" t="n">
        <v>39969</v>
      </c>
      <c r="Y1298" s="10" t="n">
        <v>39974</v>
      </c>
    </row>
    <row r="1299" customFormat="false" ht="14.25" hidden="false" customHeight="false" outlineLevel="0" collapsed="false">
      <c r="A1299" s="1" t="n">
        <v>2009</v>
      </c>
      <c r="B1299" s="1" t="n">
        <v>1</v>
      </c>
      <c r="C1299" s="2" t="s">
        <v>25</v>
      </c>
      <c r="D1299" s="7" t="s">
        <v>110</v>
      </c>
      <c r="E1299" s="1" t="n">
        <v>2</v>
      </c>
      <c r="F1299" s="1" t="n">
        <f aca="false">Y1299-X1299</f>
        <v>5</v>
      </c>
      <c r="G1299" s="1" t="n">
        <v>5</v>
      </c>
      <c r="H1299" s="3" t="s">
        <v>48</v>
      </c>
      <c r="I1299" s="3" t="s">
        <v>49</v>
      </c>
      <c r="J1299" s="3" t="s">
        <v>104</v>
      </c>
      <c r="K1299" s="2" t="str">
        <f aca="false">CONCATENATE(I1299," ",J1299)</f>
        <v>Alopecosa taeniata</v>
      </c>
      <c r="L1299" s="3" t="n">
        <f aca="false">SUM(P1299:U1299)</f>
        <v>1</v>
      </c>
      <c r="M1299" s="11" t="n">
        <f aca="false">(L1299/(F1299*G1299)*25)*4</f>
        <v>4</v>
      </c>
      <c r="N1299" s="1" t="s">
        <v>30</v>
      </c>
      <c r="O1299" s="1" t="s">
        <v>35</v>
      </c>
      <c r="P1299" s="1" t="n">
        <v>0</v>
      </c>
      <c r="Q1299" s="1" t="n">
        <v>1</v>
      </c>
      <c r="R1299" s="1" t="n">
        <v>0</v>
      </c>
      <c r="S1299" s="1" t="n">
        <v>0</v>
      </c>
      <c r="T1299" s="1" t="n">
        <v>0</v>
      </c>
      <c r="U1299" s="1" t="n">
        <v>0</v>
      </c>
      <c r="V1299" s="3" t="n">
        <f aca="false">SUM(P1299:Q1299)</f>
        <v>1</v>
      </c>
      <c r="W1299" s="3" t="n">
        <f aca="false">SUM(R1299:T1299)</f>
        <v>0</v>
      </c>
      <c r="X1299" s="10" t="n">
        <v>39969</v>
      </c>
      <c r="Y1299" s="10" t="n">
        <v>39974</v>
      </c>
    </row>
    <row r="1300" customFormat="false" ht="14.25" hidden="false" customHeight="false" outlineLevel="0" collapsed="false">
      <c r="A1300" s="1" t="n">
        <v>2009</v>
      </c>
      <c r="B1300" s="1" t="n">
        <v>1</v>
      </c>
      <c r="C1300" s="2" t="s">
        <v>25</v>
      </c>
      <c r="D1300" s="7" t="s">
        <v>110</v>
      </c>
      <c r="E1300" s="1" t="n">
        <v>2</v>
      </c>
      <c r="F1300" s="1" t="n">
        <f aca="false">Y1300-X1300</f>
        <v>5</v>
      </c>
      <c r="G1300" s="1" t="n">
        <v>5</v>
      </c>
      <c r="H1300" s="3" t="s">
        <v>48</v>
      </c>
      <c r="I1300" s="3" t="s">
        <v>49</v>
      </c>
      <c r="J1300" s="3" t="s">
        <v>130</v>
      </c>
      <c r="K1300" s="2" t="str">
        <f aca="false">CONCATENATE(I1300," ",J1300)</f>
        <v>Alopecosa aculeata</v>
      </c>
      <c r="L1300" s="3" t="n">
        <f aca="false">SUM(P1300:U1300)</f>
        <v>2</v>
      </c>
      <c r="M1300" s="11" t="n">
        <f aca="false">(L1300/(F1300*G1300)*25)*4</f>
        <v>8</v>
      </c>
      <c r="N1300" s="1" t="s">
        <v>30</v>
      </c>
      <c r="O1300" s="1" t="s">
        <v>31</v>
      </c>
      <c r="P1300" s="1" t="n">
        <v>2</v>
      </c>
      <c r="Q1300" s="1" t="n">
        <v>0</v>
      </c>
      <c r="R1300" s="1" t="n">
        <v>0</v>
      </c>
      <c r="S1300" s="1" t="n">
        <v>0</v>
      </c>
      <c r="T1300" s="1" t="n">
        <v>0</v>
      </c>
      <c r="U1300" s="1" t="n">
        <v>0</v>
      </c>
      <c r="V1300" s="3" t="n">
        <f aca="false">SUM(P1300:Q1300)</f>
        <v>2</v>
      </c>
      <c r="W1300" s="3" t="n">
        <f aca="false">SUM(R1300:T1300)</f>
        <v>0</v>
      </c>
      <c r="X1300" s="10" t="n">
        <v>39969</v>
      </c>
      <c r="Y1300" s="10" t="n">
        <v>39974</v>
      </c>
    </row>
    <row r="1301" customFormat="false" ht="14.25" hidden="false" customHeight="false" outlineLevel="0" collapsed="false">
      <c r="A1301" s="1" t="n">
        <v>2009</v>
      </c>
      <c r="B1301" s="1" t="n">
        <v>1</v>
      </c>
      <c r="C1301" s="2" t="s">
        <v>25</v>
      </c>
      <c r="D1301" s="7" t="s">
        <v>110</v>
      </c>
      <c r="E1301" s="1" t="n">
        <v>2</v>
      </c>
      <c r="F1301" s="1" t="n">
        <f aca="false">Y1301-X1301</f>
        <v>5</v>
      </c>
      <c r="G1301" s="1" t="n">
        <v>5</v>
      </c>
      <c r="H1301" s="3" t="s">
        <v>48</v>
      </c>
      <c r="I1301" s="3" t="s">
        <v>49</v>
      </c>
      <c r="J1301" s="3" t="s">
        <v>130</v>
      </c>
      <c r="K1301" s="2" t="str">
        <f aca="false">CONCATENATE(I1301," ",J1301)</f>
        <v>Alopecosa aculeata</v>
      </c>
      <c r="L1301" s="3" t="n">
        <f aca="false">SUM(P1301:U1301)</f>
        <v>1</v>
      </c>
      <c r="M1301" s="11" t="n">
        <f aca="false">(L1301/(F1301*G1301)*25)*4</f>
        <v>4</v>
      </c>
      <c r="N1301" s="1" t="s">
        <v>30</v>
      </c>
      <c r="O1301" s="1" t="s">
        <v>35</v>
      </c>
      <c r="P1301" s="1" t="n">
        <v>0</v>
      </c>
      <c r="Q1301" s="1" t="n">
        <v>1</v>
      </c>
      <c r="R1301" s="1" t="n">
        <v>0</v>
      </c>
      <c r="S1301" s="1" t="n">
        <v>0</v>
      </c>
      <c r="T1301" s="1" t="n">
        <v>0</v>
      </c>
      <c r="U1301" s="1" t="n">
        <v>0</v>
      </c>
      <c r="V1301" s="3" t="n">
        <f aca="false">SUM(P1301:Q1301)</f>
        <v>1</v>
      </c>
      <c r="W1301" s="3" t="n">
        <f aca="false">SUM(R1301:T1301)</f>
        <v>0</v>
      </c>
      <c r="X1301" s="10" t="n">
        <v>39969</v>
      </c>
      <c r="Y1301" s="10" t="n">
        <v>39974</v>
      </c>
    </row>
    <row r="1302" customFormat="false" ht="14.25" hidden="false" customHeight="false" outlineLevel="0" collapsed="false">
      <c r="A1302" s="1" t="n">
        <v>2009</v>
      </c>
      <c r="B1302" s="1" t="n">
        <v>1</v>
      </c>
      <c r="C1302" s="2" t="s">
        <v>25</v>
      </c>
      <c r="D1302" s="7" t="s">
        <v>110</v>
      </c>
      <c r="E1302" s="1" t="n">
        <v>2</v>
      </c>
      <c r="F1302" s="1" t="n">
        <f aca="false">Y1302-X1302</f>
        <v>5</v>
      </c>
      <c r="G1302" s="1" t="n">
        <v>5</v>
      </c>
      <c r="H1302" s="3" t="s">
        <v>48</v>
      </c>
      <c r="I1302" s="3" t="s">
        <v>49</v>
      </c>
      <c r="J1302" s="3" t="s">
        <v>38</v>
      </c>
      <c r="K1302" s="2" t="str">
        <f aca="false">CONCATENATE(I1302," ",J1302)</f>
        <v>Alopecosa sp</v>
      </c>
      <c r="L1302" s="3" t="n">
        <f aca="false">SUM(P1302:U1302)</f>
        <v>1</v>
      </c>
      <c r="M1302" s="11" t="n">
        <f aca="false">(L1302/(F1302*G1302)*25)*4</f>
        <v>4</v>
      </c>
      <c r="N1302" s="1" t="s">
        <v>19</v>
      </c>
      <c r="O1302" s="1" t="s">
        <v>54</v>
      </c>
      <c r="P1302" s="1" t="n">
        <v>0</v>
      </c>
      <c r="Q1302" s="1" t="n">
        <v>0</v>
      </c>
      <c r="R1302" s="1" t="n">
        <v>0</v>
      </c>
      <c r="S1302" s="1" t="n">
        <v>0</v>
      </c>
      <c r="T1302" s="1" t="n">
        <v>1</v>
      </c>
      <c r="U1302" s="1" t="n">
        <v>0</v>
      </c>
      <c r="V1302" s="3" t="n">
        <f aca="false">SUM(P1302:Q1302)</f>
        <v>0</v>
      </c>
      <c r="W1302" s="3" t="n">
        <f aca="false">SUM(R1302:T1302)</f>
        <v>1</v>
      </c>
      <c r="X1302" s="10" t="n">
        <v>39969</v>
      </c>
      <c r="Y1302" s="10" t="n">
        <v>39974</v>
      </c>
    </row>
    <row r="1303" customFormat="false" ht="14.25" hidden="false" customHeight="false" outlineLevel="0" collapsed="false">
      <c r="A1303" s="1" t="n">
        <v>2009</v>
      </c>
      <c r="B1303" s="1" t="n">
        <v>1</v>
      </c>
      <c r="C1303" s="2" t="s">
        <v>25</v>
      </c>
      <c r="D1303" s="7" t="s">
        <v>110</v>
      </c>
      <c r="E1303" s="1" t="n">
        <v>2</v>
      </c>
      <c r="F1303" s="1" t="n">
        <f aca="false">Y1303-X1303</f>
        <v>5</v>
      </c>
      <c r="G1303" s="1" t="n">
        <v>5</v>
      </c>
      <c r="H1303" s="3" t="s">
        <v>72</v>
      </c>
      <c r="I1303" s="3" t="s">
        <v>86</v>
      </c>
      <c r="J1303" s="8" t="s">
        <v>87</v>
      </c>
      <c r="K1303" s="2" t="str">
        <f aca="false">CONCATENATE(I1303," ",J1303)</f>
        <v>Haplodrassus soerenseni</v>
      </c>
      <c r="L1303" s="3" t="n">
        <f aca="false">SUM(P1303:U1303)</f>
        <v>2</v>
      </c>
      <c r="M1303" s="11" t="n">
        <f aca="false">(L1303/(F1303*G1303)*25)*4</f>
        <v>8</v>
      </c>
      <c r="N1303" s="1" t="s">
        <v>30</v>
      </c>
      <c r="O1303" s="1" t="s">
        <v>31</v>
      </c>
      <c r="P1303" s="1" t="n">
        <v>2</v>
      </c>
      <c r="Q1303" s="1" t="n">
        <v>0</v>
      </c>
      <c r="R1303" s="1" t="n">
        <v>0</v>
      </c>
      <c r="S1303" s="1" t="n">
        <v>0</v>
      </c>
      <c r="T1303" s="1" t="n">
        <v>0</v>
      </c>
      <c r="U1303" s="1" t="n">
        <v>0</v>
      </c>
      <c r="V1303" s="3" t="n">
        <f aca="false">SUM(P1303:Q1303)</f>
        <v>2</v>
      </c>
      <c r="W1303" s="3" t="n">
        <f aca="false">SUM(R1303:T1303)</f>
        <v>0</v>
      </c>
      <c r="X1303" s="10" t="n">
        <v>39969</v>
      </c>
      <c r="Y1303" s="10" t="n">
        <v>39974</v>
      </c>
    </row>
    <row r="1304" customFormat="false" ht="14.25" hidden="false" customHeight="false" outlineLevel="0" collapsed="false">
      <c r="A1304" s="1" t="n">
        <v>2009</v>
      </c>
      <c r="B1304" s="1" t="n">
        <v>1</v>
      </c>
      <c r="C1304" s="2" t="s">
        <v>25</v>
      </c>
      <c r="D1304" s="7" t="s">
        <v>110</v>
      </c>
      <c r="E1304" s="1" t="n">
        <v>2</v>
      </c>
      <c r="F1304" s="1" t="n">
        <f aca="false">Y1304-X1304</f>
        <v>5</v>
      </c>
      <c r="G1304" s="1" t="n">
        <v>5</v>
      </c>
      <c r="H1304" s="3" t="s">
        <v>48</v>
      </c>
      <c r="I1304" s="3" t="s">
        <v>49</v>
      </c>
      <c r="J1304" s="3" t="s">
        <v>104</v>
      </c>
      <c r="K1304" s="2" t="str">
        <f aca="false">CONCATENATE(I1304," ",J1304)</f>
        <v>Alopecosa taeniata</v>
      </c>
      <c r="L1304" s="3" t="n">
        <f aca="false">SUM(P1304:U1304)</f>
        <v>1</v>
      </c>
      <c r="M1304" s="11" t="n">
        <f aca="false">(L1304/(F1304*G1304)*25)*4</f>
        <v>4</v>
      </c>
      <c r="N1304" s="1" t="s">
        <v>30</v>
      </c>
      <c r="O1304" s="1" t="s">
        <v>35</v>
      </c>
      <c r="P1304" s="1" t="n">
        <v>0</v>
      </c>
      <c r="Q1304" s="1" t="n">
        <v>1</v>
      </c>
      <c r="R1304" s="1" t="n">
        <v>0</v>
      </c>
      <c r="S1304" s="1" t="n">
        <v>0</v>
      </c>
      <c r="T1304" s="1" t="n">
        <v>0</v>
      </c>
      <c r="U1304" s="1" t="n">
        <v>0</v>
      </c>
      <c r="V1304" s="3" t="n">
        <f aca="false">SUM(P1304:Q1304)</f>
        <v>1</v>
      </c>
      <c r="W1304" s="3" t="n">
        <f aca="false">SUM(R1304:T1304)</f>
        <v>0</v>
      </c>
      <c r="X1304" s="10" t="n">
        <v>39969</v>
      </c>
      <c r="Y1304" s="10" t="n">
        <v>39974</v>
      </c>
    </row>
    <row r="1305" customFormat="false" ht="14.25" hidden="false" customHeight="false" outlineLevel="0" collapsed="false">
      <c r="A1305" s="1" t="n">
        <v>2009</v>
      </c>
      <c r="B1305" s="1" t="n">
        <v>1</v>
      </c>
      <c r="C1305" s="2" t="s">
        <v>25</v>
      </c>
      <c r="D1305" s="7" t="s">
        <v>110</v>
      </c>
      <c r="E1305" s="1" t="n">
        <v>2</v>
      </c>
      <c r="F1305" s="1" t="n">
        <f aca="false">Y1305-X1305</f>
        <v>5</v>
      </c>
      <c r="G1305" s="1" t="n">
        <v>5</v>
      </c>
      <c r="H1305" s="3" t="s">
        <v>48</v>
      </c>
      <c r="I1305" s="3" t="s">
        <v>67</v>
      </c>
      <c r="J1305" s="3" t="s">
        <v>127</v>
      </c>
      <c r="K1305" s="2" t="str">
        <f aca="false">CONCATENATE(I1305," ",J1305)</f>
        <v>Pardosa lugubris</v>
      </c>
      <c r="L1305" s="3" t="n">
        <f aca="false">SUM(P1305:U1305)</f>
        <v>1</v>
      </c>
      <c r="M1305" s="11" t="n">
        <f aca="false">(L1305/(F1305*G1305)*25)*4</f>
        <v>4</v>
      </c>
      <c r="N1305" s="1" t="s">
        <v>30</v>
      </c>
      <c r="O1305" s="1" t="s">
        <v>31</v>
      </c>
      <c r="P1305" s="1" t="n">
        <v>1</v>
      </c>
      <c r="Q1305" s="1" t="n">
        <v>0</v>
      </c>
      <c r="R1305" s="1" t="n">
        <v>0</v>
      </c>
      <c r="S1305" s="1" t="n">
        <v>0</v>
      </c>
      <c r="T1305" s="1" t="n">
        <v>0</v>
      </c>
      <c r="U1305" s="1" t="n">
        <v>0</v>
      </c>
      <c r="V1305" s="3" t="n">
        <f aca="false">SUM(P1305:Q1305)</f>
        <v>1</v>
      </c>
      <c r="W1305" s="3" t="n">
        <f aca="false">SUM(R1305:T1305)</f>
        <v>0</v>
      </c>
      <c r="X1305" s="10" t="n">
        <v>39969</v>
      </c>
      <c r="Y1305" s="10" t="n">
        <v>39974</v>
      </c>
    </row>
    <row r="1306" customFormat="false" ht="14.25" hidden="false" customHeight="false" outlineLevel="0" collapsed="false">
      <c r="A1306" s="1" t="n">
        <v>2009</v>
      </c>
      <c r="B1306" s="1" t="n">
        <v>1</v>
      </c>
      <c r="C1306" s="2" t="s">
        <v>25</v>
      </c>
      <c r="D1306" s="7" t="s">
        <v>110</v>
      </c>
      <c r="E1306" s="1" t="n">
        <v>2</v>
      </c>
      <c r="F1306" s="1" t="n">
        <f aca="false">Y1306-X1306</f>
        <v>5</v>
      </c>
      <c r="G1306" s="1" t="n">
        <v>5</v>
      </c>
      <c r="H1306" s="3" t="s">
        <v>48</v>
      </c>
      <c r="I1306" s="3" t="s">
        <v>61</v>
      </c>
      <c r="J1306" s="3" t="s">
        <v>38</v>
      </c>
      <c r="K1306" s="2" t="str">
        <f aca="false">CONCATENATE(I1306," ",J1306)</f>
        <v>Trochosa sp</v>
      </c>
      <c r="L1306" s="3" t="n">
        <f aca="false">SUM(P1306:U1306)</f>
        <v>1</v>
      </c>
      <c r="M1306" s="11" t="n">
        <f aca="false">(L1306/(F1306*G1306)*25)*4</f>
        <v>4</v>
      </c>
      <c r="N1306" s="1" t="s">
        <v>19</v>
      </c>
      <c r="O1306" s="1" t="s">
        <v>54</v>
      </c>
      <c r="P1306" s="1" t="n">
        <v>0</v>
      </c>
      <c r="Q1306" s="1" t="n">
        <v>0</v>
      </c>
      <c r="R1306" s="1" t="n">
        <v>0</v>
      </c>
      <c r="S1306" s="1" t="n">
        <v>0</v>
      </c>
      <c r="T1306" s="1" t="n">
        <v>1</v>
      </c>
      <c r="U1306" s="1" t="n">
        <v>0</v>
      </c>
      <c r="V1306" s="3" t="n">
        <f aca="false">SUM(P1306:Q1306)</f>
        <v>0</v>
      </c>
      <c r="W1306" s="3" t="n">
        <f aca="false">SUM(R1306:T1306)</f>
        <v>1</v>
      </c>
      <c r="X1306" s="10" t="n">
        <v>39969</v>
      </c>
      <c r="Y1306" s="10" t="n">
        <v>39974</v>
      </c>
    </row>
    <row r="1307" customFormat="false" ht="14.25" hidden="false" customHeight="false" outlineLevel="0" collapsed="false">
      <c r="A1307" s="1" t="n">
        <v>2009</v>
      </c>
      <c r="B1307" s="1" t="n">
        <v>1</v>
      </c>
      <c r="C1307" s="2" t="s">
        <v>25</v>
      </c>
      <c r="D1307" s="7" t="s">
        <v>110</v>
      </c>
      <c r="E1307" s="1" t="n">
        <v>2</v>
      </c>
      <c r="F1307" s="1" t="n">
        <f aca="false">Y1307-X1307</f>
        <v>5</v>
      </c>
      <c r="G1307" s="1" t="n">
        <v>5</v>
      </c>
      <c r="H1307" s="3" t="s">
        <v>48</v>
      </c>
      <c r="I1307" s="3" t="s">
        <v>57</v>
      </c>
      <c r="J1307" s="3" t="s">
        <v>38</v>
      </c>
      <c r="K1307" s="2" t="str">
        <f aca="false">CONCATENATE(I1307," ",J1307)</f>
        <v>Gen sp</v>
      </c>
      <c r="L1307" s="3" t="n">
        <f aca="false">SUM(P1307:U1307)</f>
        <v>2</v>
      </c>
      <c r="M1307" s="11" t="n">
        <f aca="false">(L1307/(F1307*G1307)*25)*4</f>
        <v>8</v>
      </c>
      <c r="N1307" s="1" t="s">
        <v>19</v>
      </c>
      <c r="O1307" s="1" t="s">
        <v>54</v>
      </c>
      <c r="P1307" s="1" t="n">
        <v>0</v>
      </c>
      <c r="Q1307" s="1" t="n">
        <v>0</v>
      </c>
      <c r="R1307" s="1" t="n">
        <v>0</v>
      </c>
      <c r="S1307" s="1" t="n">
        <v>0</v>
      </c>
      <c r="T1307" s="1" t="n">
        <v>2</v>
      </c>
      <c r="U1307" s="1" t="n">
        <v>0</v>
      </c>
      <c r="V1307" s="3" t="n">
        <f aca="false">SUM(P1307:Q1307)</f>
        <v>0</v>
      </c>
      <c r="W1307" s="3" t="n">
        <f aca="false">SUM(R1307:T1307)</f>
        <v>2</v>
      </c>
      <c r="X1307" s="10" t="n">
        <v>39969</v>
      </c>
      <c r="Y1307" s="10" t="n">
        <v>39974</v>
      </c>
    </row>
    <row r="1308" customFormat="false" ht="14.25" hidden="false" customHeight="false" outlineLevel="0" collapsed="false">
      <c r="A1308" s="1" t="n">
        <v>2009</v>
      </c>
      <c r="B1308" s="1" t="n">
        <v>1</v>
      </c>
      <c r="C1308" s="2" t="s">
        <v>25</v>
      </c>
      <c r="D1308" s="7" t="s">
        <v>110</v>
      </c>
      <c r="E1308" s="1" t="n">
        <v>2</v>
      </c>
      <c r="F1308" s="1" t="n">
        <f aca="false">Y1308-X1308</f>
        <v>5</v>
      </c>
      <c r="G1308" s="1" t="n">
        <v>5</v>
      </c>
      <c r="H1308" s="3" t="s">
        <v>72</v>
      </c>
      <c r="I1308" s="3" t="s">
        <v>86</v>
      </c>
      <c r="J1308" s="8" t="s">
        <v>87</v>
      </c>
      <c r="K1308" s="2" t="str">
        <f aca="false">CONCATENATE(I1308," ",J1308)</f>
        <v>Haplodrassus soerenseni</v>
      </c>
      <c r="L1308" s="3" t="n">
        <f aca="false">SUM(P1308:U1308)</f>
        <v>1</v>
      </c>
      <c r="M1308" s="11" t="n">
        <f aca="false">(L1308/(F1308*G1308)*25)*4</f>
        <v>4</v>
      </c>
      <c r="N1308" s="1" t="s">
        <v>30</v>
      </c>
      <c r="O1308" s="1" t="s">
        <v>31</v>
      </c>
      <c r="P1308" s="1" t="n">
        <v>1</v>
      </c>
      <c r="Q1308" s="1" t="n">
        <v>0</v>
      </c>
      <c r="R1308" s="1" t="n">
        <v>0</v>
      </c>
      <c r="S1308" s="1" t="n">
        <v>0</v>
      </c>
      <c r="T1308" s="1" t="n">
        <v>0</v>
      </c>
      <c r="U1308" s="1" t="n">
        <v>0</v>
      </c>
      <c r="V1308" s="3" t="n">
        <f aca="false">SUM(P1308:Q1308)</f>
        <v>1</v>
      </c>
      <c r="W1308" s="3" t="n">
        <f aca="false">SUM(R1308:T1308)</f>
        <v>0</v>
      </c>
      <c r="X1308" s="10" t="n">
        <v>39969</v>
      </c>
      <c r="Y1308" s="10" t="n">
        <v>39974</v>
      </c>
    </row>
    <row r="1309" customFormat="false" ht="14.25" hidden="false" customHeight="false" outlineLevel="0" collapsed="false">
      <c r="A1309" s="1" t="n">
        <v>2009</v>
      </c>
      <c r="B1309" s="1" t="n">
        <v>1</v>
      </c>
      <c r="C1309" s="2" t="s">
        <v>25</v>
      </c>
      <c r="D1309" s="7" t="s">
        <v>110</v>
      </c>
      <c r="E1309" s="1" t="n">
        <v>2</v>
      </c>
      <c r="F1309" s="1" t="n">
        <f aca="false">Y1309-X1309</f>
        <v>5</v>
      </c>
      <c r="G1309" s="1" t="n">
        <v>5</v>
      </c>
      <c r="H1309" s="3" t="s">
        <v>72</v>
      </c>
      <c r="I1309" s="3" t="s">
        <v>73</v>
      </c>
      <c r="J1309" s="3" t="s">
        <v>74</v>
      </c>
      <c r="K1309" s="2" t="str">
        <f aca="false">CONCATENATE(I1309," ",J1309)</f>
        <v>Zelotes subterraneus</v>
      </c>
      <c r="L1309" s="3" t="n">
        <f aca="false">SUM(P1309:U1309)</f>
        <v>1</v>
      </c>
      <c r="M1309" s="11" t="n">
        <f aca="false">(L1309/(F1309*G1309)*25)*4</f>
        <v>4</v>
      </c>
      <c r="N1309" s="1" t="s">
        <v>30</v>
      </c>
      <c r="O1309" s="1" t="s">
        <v>35</v>
      </c>
      <c r="P1309" s="1" t="n">
        <v>0</v>
      </c>
      <c r="Q1309" s="1" t="n">
        <v>1</v>
      </c>
      <c r="R1309" s="1" t="n">
        <v>0</v>
      </c>
      <c r="S1309" s="1" t="n">
        <v>0</v>
      </c>
      <c r="T1309" s="1" t="n">
        <v>0</v>
      </c>
      <c r="U1309" s="1" t="n">
        <v>0</v>
      </c>
      <c r="V1309" s="3" t="n">
        <f aca="false">SUM(P1309:Q1309)</f>
        <v>1</v>
      </c>
      <c r="W1309" s="3" t="n">
        <f aca="false">SUM(R1309:T1309)</f>
        <v>0</v>
      </c>
      <c r="X1309" s="10" t="n">
        <v>39969</v>
      </c>
      <c r="Y1309" s="10" t="n">
        <v>39974</v>
      </c>
    </row>
    <row r="1310" customFormat="false" ht="14.25" hidden="false" customHeight="false" outlineLevel="0" collapsed="false">
      <c r="A1310" s="1" t="n">
        <v>2009</v>
      </c>
      <c r="B1310" s="1" t="n">
        <v>1</v>
      </c>
      <c r="C1310" s="2" t="s">
        <v>25</v>
      </c>
      <c r="D1310" s="7" t="s">
        <v>110</v>
      </c>
      <c r="E1310" s="1" t="n">
        <v>2</v>
      </c>
      <c r="F1310" s="1" t="n">
        <f aca="false">Y1310-X1310</f>
        <v>5</v>
      </c>
      <c r="G1310" s="1" t="n">
        <v>5</v>
      </c>
      <c r="H1310" s="3" t="s">
        <v>36</v>
      </c>
      <c r="I1310" s="3" t="s">
        <v>37</v>
      </c>
      <c r="J1310" s="8" t="s">
        <v>75</v>
      </c>
      <c r="K1310" s="2" t="str">
        <f aca="false">CONCATENATE(I1310," ",J1310)</f>
        <v>Ozyptila praticola</v>
      </c>
      <c r="L1310" s="3" t="n">
        <f aca="false">SUM(P1310:U1310)</f>
        <v>2</v>
      </c>
      <c r="M1310" s="11" t="n">
        <f aca="false">(L1310/(F1310*G1310)*25)*4</f>
        <v>8</v>
      </c>
      <c r="N1310" s="1" t="s">
        <v>30</v>
      </c>
      <c r="O1310" s="1" t="s">
        <v>35</v>
      </c>
      <c r="P1310" s="1" t="n">
        <v>0</v>
      </c>
      <c r="Q1310" s="1" t="n">
        <v>2</v>
      </c>
      <c r="R1310" s="1" t="n">
        <v>0</v>
      </c>
      <c r="S1310" s="1" t="n">
        <v>0</v>
      </c>
      <c r="T1310" s="1" t="n">
        <v>0</v>
      </c>
      <c r="U1310" s="1" t="n">
        <v>0</v>
      </c>
      <c r="V1310" s="3" t="n">
        <f aca="false">SUM(P1310:Q1310)</f>
        <v>2</v>
      </c>
      <c r="W1310" s="3" t="n">
        <f aca="false">SUM(R1310:T1310)</f>
        <v>0</v>
      </c>
      <c r="X1310" s="10" t="n">
        <v>39969</v>
      </c>
      <c r="Y1310" s="10" t="n">
        <v>39974</v>
      </c>
    </row>
    <row r="1311" customFormat="false" ht="14.25" hidden="false" customHeight="false" outlineLevel="0" collapsed="false">
      <c r="A1311" s="1" t="n">
        <v>2009</v>
      </c>
      <c r="B1311" s="1" t="n">
        <v>1</v>
      </c>
      <c r="C1311" s="2" t="s">
        <v>25</v>
      </c>
      <c r="D1311" s="7" t="s">
        <v>110</v>
      </c>
      <c r="E1311" s="1" t="n">
        <v>2</v>
      </c>
      <c r="F1311" s="1" t="n">
        <f aca="false">Y1311-X1311</f>
        <v>5</v>
      </c>
      <c r="G1311" s="1" t="n">
        <v>5</v>
      </c>
      <c r="H1311" s="3" t="s">
        <v>36</v>
      </c>
      <c r="I1311" s="3" t="s">
        <v>37</v>
      </c>
      <c r="J1311" s="3" t="s">
        <v>38</v>
      </c>
      <c r="K1311" s="2" t="str">
        <f aca="false">CONCATENATE(I1311," ",J1311)</f>
        <v>Ozyptila sp</v>
      </c>
      <c r="L1311" s="3" t="n">
        <f aca="false">SUM(P1311:U1311)</f>
        <v>2</v>
      </c>
      <c r="M1311" s="11" t="n">
        <f aca="false">(L1311/(F1311*G1311)*25)*4</f>
        <v>8</v>
      </c>
      <c r="N1311" s="1" t="s">
        <v>19</v>
      </c>
      <c r="O1311" s="1" t="s">
        <v>54</v>
      </c>
      <c r="P1311" s="1" t="n">
        <v>0</v>
      </c>
      <c r="Q1311" s="1" t="n">
        <v>0</v>
      </c>
      <c r="R1311" s="1" t="n">
        <v>0</v>
      </c>
      <c r="S1311" s="1" t="n">
        <v>0</v>
      </c>
      <c r="T1311" s="1" t="n">
        <v>2</v>
      </c>
      <c r="U1311" s="1" t="n">
        <v>0</v>
      </c>
      <c r="V1311" s="3" t="n">
        <f aca="false">SUM(P1311:Q1311)</f>
        <v>0</v>
      </c>
      <c r="W1311" s="3" t="n">
        <f aca="false">SUM(R1311:T1311)</f>
        <v>2</v>
      </c>
      <c r="X1311" s="10" t="n">
        <v>39969</v>
      </c>
      <c r="Y1311" s="10" t="n">
        <v>39974</v>
      </c>
    </row>
    <row r="1312" customFormat="false" ht="14.25" hidden="false" customHeight="false" outlineLevel="0" collapsed="false">
      <c r="A1312" s="1" t="n">
        <v>2009</v>
      </c>
      <c r="B1312" s="1" t="n">
        <v>1</v>
      </c>
      <c r="C1312" s="2" t="s">
        <v>25</v>
      </c>
      <c r="D1312" s="7" t="s">
        <v>110</v>
      </c>
      <c r="E1312" s="1" t="n">
        <v>2</v>
      </c>
      <c r="F1312" s="1" t="n">
        <f aca="false">Y1312-X1312</f>
        <v>5</v>
      </c>
      <c r="G1312" s="1" t="n">
        <v>5</v>
      </c>
      <c r="H1312" s="3" t="s">
        <v>36</v>
      </c>
      <c r="I1312" s="3" t="s">
        <v>131</v>
      </c>
      <c r="J1312" s="3" t="s">
        <v>133</v>
      </c>
      <c r="K1312" s="2" t="str">
        <f aca="false">CONCATENATE(I1312," ",J1312)</f>
        <v>Xysticus luctuosus</v>
      </c>
      <c r="L1312" s="3" t="n">
        <f aca="false">SUM(P1312:U1312)</f>
        <v>3</v>
      </c>
      <c r="M1312" s="11" t="n">
        <f aca="false">(L1312/(F1312*G1312)*25)*4</f>
        <v>12</v>
      </c>
      <c r="N1312" s="1" t="s">
        <v>30</v>
      </c>
      <c r="O1312" s="1" t="s">
        <v>31</v>
      </c>
      <c r="P1312" s="1" t="n">
        <v>3</v>
      </c>
      <c r="Q1312" s="1" t="n">
        <v>0</v>
      </c>
      <c r="R1312" s="1" t="n">
        <v>0</v>
      </c>
      <c r="S1312" s="1" t="n">
        <v>0</v>
      </c>
      <c r="T1312" s="1" t="n">
        <v>0</v>
      </c>
      <c r="U1312" s="1" t="n">
        <v>0</v>
      </c>
      <c r="V1312" s="3" t="n">
        <f aca="false">SUM(P1312:Q1312)</f>
        <v>3</v>
      </c>
      <c r="W1312" s="3" t="n">
        <f aca="false">SUM(R1312:T1312)</f>
        <v>0</v>
      </c>
      <c r="X1312" s="10" t="n">
        <v>39969</v>
      </c>
      <c r="Y1312" s="10" t="n">
        <v>39974</v>
      </c>
    </row>
    <row r="1313" customFormat="false" ht="14.25" hidden="false" customHeight="false" outlineLevel="0" collapsed="false">
      <c r="A1313" s="1" t="n">
        <v>2009</v>
      </c>
      <c r="B1313" s="1" t="n">
        <v>1</v>
      </c>
      <c r="C1313" s="2" t="s">
        <v>25</v>
      </c>
      <c r="D1313" s="7" t="s">
        <v>110</v>
      </c>
      <c r="E1313" s="1" t="n">
        <v>2</v>
      </c>
      <c r="F1313" s="1" t="n">
        <f aca="false">Y1313-X1313</f>
        <v>5</v>
      </c>
      <c r="G1313" s="1" t="n">
        <v>5</v>
      </c>
      <c r="H1313" s="3" t="s">
        <v>32</v>
      </c>
      <c r="I1313" s="3" t="s">
        <v>57</v>
      </c>
      <c r="J1313" s="3" t="s">
        <v>38</v>
      </c>
      <c r="K1313" s="2" t="str">
        <f aca="false">CONCATENATE(I1313," ",J1313)</f>
        <v>Gen sp</v>
      </c>
      <c r="L1313" s="3" t="n">
        <f aca="false">SUM(P1313:U1313)</f>
        <v>1</v>
      </c>
      <c r="M1313" s="11" t="n">
        <f aca="false">(L1313/(F1313*G1313)*25)*4</f>
        <v>4</v>
      </c>
      <c r="N1313" s="1" t="s">
        <v>30</v>
      </c>
      <c r="O1313" s="1" t="s">
        <v>31</v>
      </c>
      <c r="P1313" s="1" t="n">
        <v>1</v>
      </c>
      <c r="Q1313" s="1" t="n">
        <v>0</v>
      </c>
      <c r="R1313" s="1" t="n">
        <v>0</v>
      </c>
      <c r="S1313" s="1" t="n">
        <v>0</v>
      </c>
      <c r="T1313" s="1" t="n">
        <v>0</v>
      </c>
      <c r="U1313" s="1" t="n">
        <v>0</v>
      </c>
      <c r="V1313" s="3" t="n">
        <f aca="false">SUM(P1313:Q1313)</f>
        <v>1</v>
      </c>
      <c r="W1313" s="3" t="n">
        <f aca="false">SUM(R1313:T1313)</f>
        <v>0</v>
      </c>
      <c r="X1313" s="10" t="n">
        <v>39969</v>
      </c>
      <c r="Y1313" s="10" t="n">
        <v>39974</v>
      </c>
    </row>
    <row r="1314" customFormat="false" ht="14.25" hidden="false" customHeight="false" outlineLevel="0" collapsed="false">
      <c r="A1314" s="1" t="n">
        <v>2009</v>
      </c>
      <c r="B1314" s="1" t="n">
        <v>1</v>
      </c>
      <c r="C1314" s="2" t="s">
        <v>25</v>
      </c>
      <c r="D1314" s="7" t="s">
        <v>110</v>
      </c>
      <c r="E1314" s="1" t="n">
        <v>2</v>
      </c>
      <c r="F1314" s="1" t="n">
        <f aca="false">Y1314-X1314</f>
        <v>5</v>
      </c>
      <c r="G1314" s="1" t="n">
        <v>5</v>
      </c>
      <c r="H1314" s="3" t="s">
        <v>48</v>
      </c>
      <c r="I1314" s="3" t="s">
        <v>49</v>
      </c>
      <c r="J1314" s="3" t="s">
        <v>104</v>
      </c>
      <c r="K1314" s="2" t="str">
        <f aca="false">CONCATENATE(I1314," ",J1314)</f>
        <v>Alopecosa taeniata</v>
      </c>
      <c r="L1314" s="3" t="n">
        <f aca="false">SUM(P1314:U1314)</f>
        <v>1</v>
      </c>
      <c r="M1314" s="11" t="n">
        <f aca="false">(L1314/(F1314*G1314)*25)*4</f>
        <v>4</v>
      </c>
      <c r="N1314" s="1" t="s">
        <v>30</v>
      </c>
      <c r="O1314" s="1" t="s">
        <v>31</v>
      </c>
      <c r="P1314" s="1" t="n">
        <v>1</v>
      </c>
      <c r="Q1314" s="1" t="n">
        <v>0</v>
      </c>
      <c r="R1314" s="1" t="n">
        <v>0</v>
      </c>
      <c r="S1314" s="1" t="n">
        <v>0</v>
      </c>
      <c r="T1314" s="1" t="n">
        <v>0</v>
      </c>
      <c r="U1314" s="1" t="n">
        <v>0</v>
      </c>
      <c r="V1314" s="3" t="n">
        <f aca="false">SUM(P1314:Q1314)</f>
        <v>1</v>
      </c>
      <c r="W1314" s="3" t="n">
        <f aca="false">SUM(R1314:T1314)</f>
        <v>0</v>
      </c>
      <c r="X1314" s="10" t="n">
        <v>39969</v>
      </c>
      <c r="Y1314" s="10" t="n">
        <v>39974</v>
      </c>
    </row>
    <row r="1315" customFormat="false" ht="14.25" hidden="false" customHeight="false" outlineLevel="0" collapsed="false">
      <c r="A1315" s="1" t="n">
        <v>2009</v>
      </c>
      <c r="B1315" s="1" t="n">
        <v>1</v>
      </c>
      <c r="C1315" s="2" t="s">
        <v>25</v>
      </c>
      <c r="D1315" s="7" t="s">
        <v>110</v>
      </c>
      <c r="E1315" s="1" t="n">
        <v>2</v>
      </c>
      <c r="F1315" s="1" t="n">
        <f aca="false">Y1315-X1315</f>
        <v>5</v>
      </c>
      <c r="G1315" s="1" t="n">
        <v>5</v>
      </c>
      <c r="H1315" s="3" t="s">
        <v>48</v>
      </c>
      <c r="I1315" s="3" t="s">
        <v>49</v>
      </c>
      <c r="J1315" s="3" t="s">
        <v>104</v>
      </c>
      <c r="K1315" s="2" t="str">
        <f aca="false">CONCATENATE(I1315," ",J1315)</f>
        <v>Alopecosa taeniata</v>
      </c>
      <c r="L1315" s="3" t="n">
        <f aca="false">SUM(P1315:U1315)</f>
        <v>1</v>
      </c>
      <c r="M1315" s="11" t="n">
        <f aca="false">(L1315/(F1315*G1315)*25)*4</f>
        <v>4</v>
      </c>
      <c r="N1315" s="1" t="s">
        <v>30</v>
      </c>
      <c r="O1315" s="1" t="s">
        <v>35</v>
      </c>
      <c r="P1315" s="1" t="n">
        <v>0</v>
      </c>
      <c r="Q1315" s="1" t="n">
        <v>1</v>
      </c>
      <c r="R1315" s="1" t="n">
        <v>0</v>
      </c>
      <c r="S1315" s="1" t="n">
        <v>0</v>
      </c>
      <c r="T1315" s="1" t="n">
        <v>0</v>
      </c>
      <c r="U1315" s="1" t="n">
        <v>0</v>
      </c>
      <c r="V1315" s="3" t="n">
        <f aca="false">SUM(P1315:Q1315)</f>
        <v>1</v>
      </c>
      <c r="W1315" s="3" t="n">
        <f aca="false">SUM(R1315:T1315)</f>
        <v>0</v>
      </c>
      <c r="X1315" s="10" t="n">
        <v>39969</v>
      </c>
      <c r="Y1315" s="10" t="n">
        <v>39974</v>
      </c>
    </row>
    <row r="1316" customFormat="false" ht="14.25" hidden="false" customHeight="false" outlineLevel="0" collapsed="false">
      <c r="A1316" s="1" t="n">
        <v>2009</v>
      </c>
      <c r="B1316" s="1" t="n">
        <v>1</v>
      </c>
      <c r="C1316" s="2" t="s">
        <v>25</v>
      </c>
      <c r="D1316" s="7" t="s">
        <v>110</v>
      </c>
      <c r="E1316" s="1" t="n">
        <v>2</v>
      </c>
      <c r="F1316" s="1" t="n">
        <f aca="false">Y1316-X1316</f>
        <v>5</v>
      </c>
      <c r="G1316" s="1" t="n">
        <v>5</v>
      </c>
      <c r="H1316" s="3" t="s">
        <v>48</v>
      </c>
      <c r="I1316" s="3" t="s">
        <v>61</v>
      </c>
      <c r="J1316" s="3" t="s">
        <v>38</v>
      </c>
      <c r="K1316" s="2" t="str">
        <f aca="false">CONCATENATE(I1316," ",J1316)</f>
        <v>Trochosa sp</v>
      </c>
      <c r="L1316" s="3" t="n">
        <f aca="false">SUM(P1316:U1316)</f>
        <v>1</v>
      </c>
      <c r="M1316" s="11" t="n">
        <f aca="false">(L1316/(F1316*G1316)*25)*4</f>
        <v>4</v>
      </c>
      <c r="N1316" s="1" t="s">
        <v>19</v>
      </c>
      <c r="O1316" s="1" t="s">
        <v>54</v>
      </c>
      <c r="P1316" s="1" t="n">
        <v>0</v>
      </c>
      <c r="Q1316" s="1" t="n">
        <v>0</v>
      </c>
      <c r="R1316" s="1" t="n">
        <v>0</v>
      </c>
      <c r="S1316" s="1" t="n">
        <v>0</v>
      </c>
      <c r="T1316" s="1" t="n">
        <v>1</v>
      </c>
      <c r="U1316" s="1" t="n">
        <v>0</v>
      </c>
      <c r="V1316" s="3" t="n">
        <f aca="false">SUM(P1316:Q1316)</f>
        <v>0</v>
      </c>
      <c r="W1316" s="3" t="n">
        <f aca="false">SUM(R1316:T1316)</f>
        <v>1</v>
      </c>
      <c r="X1316" s="10" t="n">
        <v>39969</v>
      </c>
      <c r="Y1316" s="10" t="n">
        <v>39974</v>
      </c>
    </row>
    <row r="1317" customFormat="false" ht="14.25" hidden="false" customHeight="false" outlineLevel="0" collapsed="false">
      <c r="A1317" s="1" t="n">
        <v>2009</v>
      </c>
      <c r="B1317" s="1" t="n">
        <v>1</v>
      </c>
      <c r="C1317" s="2" t="s">
        <v>25</v>
      </c>
      <c r="D1317" s="7" t="s">
        <v>110</v>
      </c>
      <c r="E1317" s="1" t="n">
        <v>2</v>
      </c>
      <c r="F1317" s="1" t="n">
        <f aca="false">Y1317-X1317</f>
        <v>5</v>
      </c>
      <c r="G1317" s="1" t="n">
        <v>5</v>
      </c>
      <c r="H1317" s="3" t="s">
        <v>48</v>
      </c>
      <c r="I1317" s="3" t="s">
        <v>57</v>
      </c>
      <c r="J1317" s="3" t="s">
        <v>38</v>
      </c>
      <c r="K1317" s="2" t="str">
        <f aca="false">CONCATENATE(I1317," ",J1317)</f>
        <v>Gen sp</v>
      </c>
      <c r="L1317" s="3" t="n">
        <f aca="false">SUM(P1317:U1317)</f>
        <v>1</v>
      </c>
      <c r="M1317" s="11" t="n">
        <f aca="false">(L1317/(F1317*G1317)*25)*4</f>
        <v>4</v>
      </c>
      <c r="N1317" s="1" t="s">
        <v>19</v>
      </c>
      <c r="O1317" s="1" t="s">
        <v>54</v>
      </c>
      <c r="P1317" s="1" t="n">
        <v>0</v>
      </c>
      <c r="Q1317" s="1" t="n">
        <v>0</v>
      </c>
      <c r="R1317" s="1" t="n">
        <v>0</v>
      </c>
      <c r="S1317" s="1" t="n">
        <v>0</v>
      </c>
      <c r="T1317" s="1" t="n">
        <v>1</v>
      </c>
      <c r="U1317" s="1" t="n">
        <v>0</v>
      </c>
      <c r="V1317" s="3" t="n">
        <f aca="false">SUM(P1317:Q1317)</f>
        <v>0</v>
      </c>
      <c r="W1317" s="3" t="n">
        <f aca="false">SUM(R1317:T1317)</f>
        <v>1</v>
      </c>
      <c r="X1317" s="10" t="n">
        <v>39969</v>
      </c>
      <c r="Y1317" s="10" t="n">
        <v>39974</v>
      </c>
    </row>
    <row r="1318" customFormat="false" ht="14.25" hidden="false" customHeight="false" outlineLevel="0" collapsed="false">
      <c r="A1318" s="1" t="n">
        <v>2009</v>
      </c>
      <c r="B1318" s="1" t="n">
        <v>1</v>
      </c>
      <c r="C1318" s="2" t="s">
        <v>25</v>
      </c>
      <c r="D1318" s="7" t="s">
        <v>110</v>
      </c>
      <c r="E1318" s="1" t="n">
        <v>2</v>
      </c>
      <c r="F1318" s="1" t="n">
        <f aca="false">Y1318-X1318</f>
        <v>5</v>
      </c>
      <c r="G1318" s="1" t="n">
        <v>5</v>
      </c>
      <c r="H1318" s="3" t="s">
        <v>72</v>
      </c>
      <c r="I1318" s="3" t="s">
        <v>86</v>
      </c>
      <c r="J1318" s="8" t="s">
        <v>87</v>
      </c>
      <c r="K1318" s="2" t="str">
        <f aca="false">CONCATENATE(I1318," ",J1318)</f>
        <v>Haplodrassus soerenseni</v>
      </c>
      <c r="L1318" s="3" t="n">
        <f aca="false">SUM(P1318:U1318)</f>
        <v>1</v>
      </c>
      <c r="M1318" s="11" t="n">
        <f aca="false">(L1318/(F1318*G1318)*25)*4</f>
        <v>4</v>
      </c>
      <c r="N1318" s="1" t="s">
        <v>30</v>
      </c>
      <c r="O1318" s="1" t="s">
        <v>35</v>
      </c>
      <c r="P1318" s="1" t="n">
        <v>0</v>
      </c>
      <c r="Q1318" s="1" t="n">
        <v>1</v>
      </c>
      <c r="R1318" s="1" t="n">
        <v>0</v>
      </c>
      <c r="S1318" s="1" t="n">
        <v>0</v>
      </c>
      <c r="T1318" s="1" t="n">
        <v>0</v>
      </c>
      <c r="U1318" s="1" t="n">
        <v>0</v>
      </c>
      <c r="V1318" s="3" t="n">
        <f aca="false">SUM(P1318:Q1318)</f>
        <v>1</v>
      </c>
      <c r="W1318" s="3" t="n">
        <f aca="false">SUM(R1318:T1318)</f>
        <v>0</v>
      </c>
      <c r="X1318" s="10" t="n">
        <v>39969</v>
      </c>
      <c r="Y1318" s="10" t="n">
        <v>39974</v>
      </c>
    </row>
    <row r="1319" customFormat="false" ht="14.25" hidden="false" customHeight="false" outlineLevel="0" collapsed="false">
      <c r="A1319" s="1" t="n">
        <v>2009</v>
      </c>
      <c r="B1319" s="1" t="n">
        <v>1</v>
      </c>
      <c r="C1319" s="2" t="s">
        <v>25</v>
      </c>
      <c r="D1319" s="7" t="s">
        <v>110</v>
      </c>
      <c r="E1319" s="1" t="n">
        <v>2</v>
      </c>
      <c r="F1319" s="1" t="n">
        <f aca="false">Y1319-X1319</f>
        <v>5</v>
      </c>
      <c r="G1319" s="1" t="n">
        <v>5</v>
      </c>
      <c r="H1319" s="3" t="s">
        <v>64</v>
      </c>
      <c r="I1319" s="3" t="s">
        <v>65</v>
      </c>
      <c r="J1319" s="3" t="s">
        <v>123</v>
      </c>
      <c r="K1319" s="2" t="str">
        <f aca="false">CONCATENATE(I1319," ",J1319)</f>
        <v>Zora nemoralis</v>
      </c>
      <c r="L1319" s="3" t="n">
        <f aca="false">SUM(P1319:U1319)</f>
        <v>1</v>
      </c>
      <c r="M1319" s="11" t="n">
        <f aca="false">(L1319/(F1319*G1319)*25)*4</f>
        <v>4</v>
      </c>
      <c r="N1319" s="1" t="s">
        <v>30</v>
      </c>
      <c r="O1319" s="1" t="s">
        <v>31</v>
      </c>
      <c r="P1319" s="1" t="n">
        <v>1</v>
      </c>
      <c r="Q1319" s="1" t="n">
        <v>0</v>
      </c>
      <c r="R1319" s="1" t="n">
        <v>0</v>
      </c>
      <c r="S1319" s="1" t="n">
        <v>0</v>
      </c>
      <c r="T1319" s="1" t="n">
        <v>0</v>
      </c>
      <c r="U1319" s="1" t="n">
        <v>0</v>
      </c>
      <c r="V1319" s="3" t="n">
        <f aca="false">SUM(P1319:Q1319)</f>
        <v>1</v>
      </c>
      <c r="W1319" s="3" t="n">
        <f aca="false">SUM(R1319:T1319)</f>
        <v>0</v>
      </c>
      <c r="X1319" s="10" t="n">
        <v>39969</v>
      </c>
      <c r="Y1319" s="10" t="n">
        <v>39974</v>
      </c>
    </row>
    <row r="1320" customFormat="false" ht="14.25" hidden="false" customHeight="false" outlineLevel="0" collapsed="false">
      <c r="A1320" s="1" t="n">
        <v>2009</v>
      </c>
      <c r="B1320" s="1" t="n">
        <v>1</v>
      </c>
      <c r="C1320" s="2" t="s">
        <v>25</v>
      </c>
      <c r="D1320" s="7" t="s">
        <v>110</v>
      </c>
      <c r="E1320" s="1" t="n">
        <v>2</v>
      </c>
      <c r="F1320" s="1" t="n">
        <f aca="false">Y1320-X1320</f>
        <v>5</v>
      </c>
      <c r="G1320" s="1" t="n">
        <v>5</v>
      </c>
      <c r="H1320" s="3" t="s">
        <v>36</v>
      </c>
      <c r="I1320" s="3" t="s">
        <v>37</v>
      </c>
      <c r="J1320" s="8" t="s">
        <v>75</v>
      </c>
      <c r="K1320" s="2" t="str">
        <f aca="false">CONCATENATE(I1320," ",J1320)</f>
        <v>Ozyptila praticola</v>
      </c>
      <c r="L1320" s="3" t="n">
        <f aca="false">SUM(P1320:U1320)</f>
        <v>2</v>
      </c>
      <c r="M1320" s="11" t="n">
        <f aca="false">(L1320/(F1320*G1320)*25)*4</f>
        <v>8</v>
      </c>
      <c r="N1320" s="1" t="s">
        <v>30</v>
      </c>
      <c r="O1320" s="1" t="s">
        <v>31</v>
      </c>
      <c r="P1320" s="1" t="n">
        <v>2</v>
      </c>
      <c r="Q1320" s="1" t="n">
        <v>0</v>
      </c>
      <c r="R1320" s="1" t="n">
        <v>0</v>
      </c>
      <c r="S1320" s="1" t="n">
        <v>0</v>
      </c>
      <c r="T1320" s="1" t="n">
        <v>0</v>
      </c>
      <c r="U1320" s="1" t="n">
        <v>0</v>
      </c>
      <c r="V1320" s="3" t="n">
        <f aca="false">SUM(P1320:Q1320)</f>
        <v>2</v>
      </c>
      <c r="W1320" s="3" t="n">
        <f aca="false">SUM(R1320:T1320)</f>
        <v>0</v>
      </c>
      <c r="X1320" s="10" t="n">
        <v>39969</v>
      </c>
      <c r="Y1320" s="10" t="n">
        <v>39974</v>
      </c>
    </row>
    <row r="1321" customFormat="false" ht="14.25" hidden="false" customHeight="false" outlineLevel="0" collapsed="false">
      <c r="A1321" s="1" t="n">
        <v>2009</v>
      </c>
      <c r="B1321" s="1" t="n">
        <v>1</v>
      </c>
      <c r="C1321" s="2" t="s">
        <v>25</v>
      </c>
      <c r="D1321" s="7" t="s">
        <v>110</v>
      </c>
      <c r="E1321" s="1" t="n">
        <v>2</v>
      </c>
      <c r="F1321" s="1" t="n">
        <f aca="false">Y1321-X1321</f>
        <v>5</v>
      </c>
      <c r="G1321" s="1" t="n">
        <v>5</v>
      </c>
      <c r="H1321" s="3" t="s">
        <v>36</v>
      </c>
      <c r="I1321" s="3" t="s">
        <v>37</v>
      </c>
      <c r="J1321" s="3" t="s">
        <v>38</v>
      </c>
      <c r="K1321" s="2" t="str">
        <f aca="false">CONCATENATE(I1321," ",J1321)</f>
        <v>Ozyptila sp</v>
      </c>
      <c r="L1321" s="3" t="n">
        <f aca="false">SUM(P1321:U1321)</f>
        <v>2</v>
      </c>
      <c r="M1321" s="11" t="n">
        <f aca="false">(L1321/(F1321*G1321)*25)*4</f>
        <v>8</v>
      </c>
      <c r="N1321" s="1" t="s">
        <v>19</v>
      </c>
      <c r="O1321" s="1" t="s">
        <v>54</v>
      </c>
      <c r="P1321" s="1" t="n">
        <v>0</v>
      </c>
      <c r="Q1321" s="1" t="n">
        <v>0</v>
      </c>
      <c r="R1321" s="1" t="n">
        <v>0</v>
      </c>
      <c r="S1321" s="1" t="n">
        <v>0</v>
      </c>
      <c r="T1321" s="1" t="n">
        <v>2</v>
      </c>
      <c r="U1321" s="1" t="n">
        <v>0</v>
      </c>
      <c r="V1321" s="3" t="n">
        <f aca="false">SUM(P1321:Q1321)</f>
        <v>0</v>
      </c>
      <c r="W1321" s="3" t="n">
        <f aca="false">SUM(R1321:T1321)</f>
        <v>2</v>
      </c>
      <c r="X1321" s="10" t="n">
        <v>39969</v>
      </c>
      <c r="Y1321" s="10" t="n">
        <v>39974</v>
      </c>
    </row>
    <row r="1322" customFormat="false" ht="14.25" hidden="false" customHeight="false" outlineLevel="0" collapsed="false">
      <c r="A1322" s="1" t="n">
        <v>2009</v>
      </c>
      <c r="B1322" s="1" t="n">
        <v>1</v>
      </c>
      <c r="C1322" s="2" t="s">
        <v>25</v>
      </c>
      <c r="D1322" s="7" t="s">
        <v>110</v>
      </c>
      <c r="E1322" s="1" t="n">
        <v>2</v>
      </c>
      <c r="F1322" s="1" t="n">
        <f aca="false">Y1322-X1322</f>
        <v>5</v>
      </c>
      <c r="G1322" s="1" t="n">
        <v>5</v>
      </c>
      <c r="H1322" s="3" t="s">
        <v>36</v>
      </c>
      <c r="I1322" s="3" t="s">
        <v>131</v>
      </c>
      <c r="J1322" s="3" t="s">
        <v>133</v>
      </c>
      <c r="K1322" s="2" t="str">
        <f aca="false">CONCATENATE(I1322," ",J1322)</f>
        <v>Xysticus luctuosus</v>
      </c>
      <c r="L1322" s="3" t="n">
        <f aca="false">SUM(P1322:U1322)</f>
        <v>1</v>
      </c>
      <c r="M1322" s="11" t="n">
        <f aca="false">(L1322/(F1322*G1322)*25)*4</f>
        <v>4</v>
      </c>
      <c r="N1322" s="1" t="s">
        <v>30</v>
      </c>
      <c r="O1322" s="1" t="s">
        <v>31</v>
      </c>
      <c r="P1322" s="1" t="n">
        <v>1</v>
      </c>
      <c r="Q1322" s="1" t="n">
        <v>0</v>
      </c>
      <c r="R1322" s="1" t="n">
        <v>0</v>
      </c>
      <c r="S1322" s="1" t="n">
        <v>0</v>
      </c>
      <c r="T1322" s="1" t="n">
        <v>0</v>
      </c>
      <c r="U1322" s="1" t="n">
        <v>0</v>
      </c>
      <c r="V1322" s="3" t="n">
        <f aca="false">SUM(P1322:Q1322)</f>
        <v>1</v>
      </c>
      <c r="W1322" s="3" t="n">
        <f aca="false">SUM(R1322:T1322)</f>
        <v>0</v>
      </c>
      <c r="X1322" s="10" t="n">
        <v>39969</v>
      </c>
      <c r="Y1322" s="10" t="n">
        <v>39974</v>
      </c>
    </row>
    <row r="1323" customFormat="false" ht="14.25" hidden="false" customHeight="false" outlineLevel="0" collapsed="false">
      <c r="A1323" s="1" t="n">
        <v>2009</v>
      </c>
      <c r="B1323" s="1" t="n">
        <v>1</v>
      </c>
      <c r="C1323" s="2" t="s">
        <v>25</v>
      </c>
      <c r="D1323" s="7" t="s">
        <v>110</v>
      </c>
      <c r="E1323" s="1" t="n">
        <v>2</v>
      </c>
      <c r="F1323" s="1" t="n">
        <f aca="false">Y1323-X1323</f>
        <v>5</v>
      </c>
      <c r="G1323" s="1" t="n">
        <v>5</v>
      </c>
      <c r="H1323" s="3" t="s">
        <v>32</v>
      </c>
      <c r="I1323" s="3" t="s">
        <v>57</v>
      </c>
      <c r="J1323" s="3" t="s">
        <v>38</v>
      </c>
      <c r="K1323" s="2" t="str">
        <f aca="false">CONCATENATE(I1323," ",J1323)</f>
        <v>Gen sp</v>
      </c>
      <c r="L1323" s="3" t="n">
        <f aca="false">SUM(P1323:U1323)</f>
        <v>1</v>
      </c>
      <c r="M1323" s="11" t="n">
        <f aca="false">(L1323/(F1323*G1323)*25)*4</f>
        <v>4</v>
      </c>
      <c r="N1323" s="1" t="s">
        <v>30</v>
      </c>
      <c r="O1323" s="1" t="s">
        <v>31</v>
      </c>
      <c r="P1323" s="1" t="n">
        <v>1</v>
      </c>
      <c r="Q1323" s="1" t="n">
        <v>0</v>
      </c>
      <c r="R1323" s="1" t="n">
        <v>0</v>
      </c>
      <c r="S1323" s="1" t="n">
        <v>0</v>
      </c>
      <c r="T1323" s="1" t="n">
        <v>0</v>
      </c>
      <c r="U1323" s="1" t="n">
        <v>0</v>
      </c>
      <c r="V1323" s="3" t="n">
        <f aca="false">SUM(P1323:Q1323)</f>
        <v>1</v>
      </c>
      <c r="W1323" s="3" t="n">
        <f aca="false">SUM(R1323:T1323)</f>
        <v>0</v>
      </c>
      <c r="X1323" s="10" t="n">
        <v>39969</v>
      </c>
      <c r="Y1323" s="10" t="n">
        <v>39974</v>
      </c>
    </row>
    <row r="1324" customFormat="false" ht="14.25" hidden="false" customHeight="false" outlineLevel="0" collapsed="false">
      <c r="A1324" s="1" t="n">
        <v>2009</v>
      </c>
      <c r="B1324" s="1" t="n">
        <v>1</v>
      </c>
      <c r="C1324" s="2" t="s">
        <v>25</v>
      </c>
      <c r="D1324" s="7" t="s">
        <v>110</v>
      </c>
      <c r="E1324" s="1" t="n">
        <v>2</v>
      </c>
      <c r="F1324" s="1" t="n">
        <f aca="false">Y1324-X1324</f>
        <v>5</v>
      </c>
      <c r="G1324" s="1" t="n">
        <v>5</v>
      </c>
      <c r="H1324" s="3" t="s">
        <v>48</v>
      </c>
      <c r="I1324" s="3" t="s">
        <v>49</v>
      </c>
      <c r="J1324" s="3" t="s">
        <v>104</v>
      </c>
      <c r="K1324" s="2" t="str">
        <f aca="false">CONCATENATE(I1324," ",J1324)</f>
        <v>Alopecosa taeniata</v>
      </c>
      <c r="L1324" s="3" t="n">
        <f aca="false">SUM(P1324:U1324)</f>
        <v>2</v>
      </c>
      <c r="M1324" s="11" t="n">
        <f aca="false">(L1324/(F1324*G1324)*25)*4</f>
        <v>8</v>
      </c>
      <c r="N1324" s="1" t="s">
        <v>30</v>
      </c>
      <c r="O1324" s="1" t="s">
        <v>31</v>
      </c>
      <c r="P1324" s="1" t="n">
        <v>2</v>
      </c>
      <c r="Q1324" s="1" t="n">
        <v>0</v>
      </c>
      <c r="R1324" s="1" t="n">
        <v>0</v>
      </c>
      <c r="S1324" s="1" t="n">
        <v>0</v>
      </c>
      <c r="T1324" s="1" t="n">
        <v>0</v>
      </c>
      <c r="U1324" s="1" t="n">
        <v>0</v>
      </c>
      <c r="V1324" s="3" t="n">
        <f aca="false">SUM(P1324:Q1324)</f>
        <v>2</v>
      </c>
      <c r="W1324" s="3" t="n">
        <f aca="false">SUM(R1324:T1324)</f>
        <v>0</v>
      </c>
      <c r="X1324" s="10" t="n">
        <v>39969</v>
      </c>
      <c r="Y1324" s="10" t="n">
        <v>39974</v>
      </c>
    </row>
    <row r="1325" customFormat="false" ht="14.25" hidden="false" customHeight="false" outlineLevel="0" collapsed="false">
      <c r="A1325" s="1" t="n">
        <v>2009</v>
      </c>
      <c r="B1325" s="1" t="n">
        <v>1</v>
      </c>
      <c r="C1325" s="2" t="s">
        <v>25</v>
      </c>
      <c r="D1325" s="7" t="s">
        <v>110</v>
      </c>
      <c r="E1325" s="1" t="n">
        <v>2</v>
      </c>
      <c r="F1325" s="1" t="n">
        <f aca="false">Y1325-X1325</f>
        <v>5</v>
      </c>
      <c r="G1325" s="1" t="n">
        <v>5</v>
      </c>
      <c r="H1325" s="3" t="s">
        <v>48</v>
      </c>
      <c r="I1325" s="3" t="s">
        <v>67</v>
      </c>
      <c r="J1325" s="3" t="s">
        <v>127</v>
      </c>
      <c r="K1325" s="2" t="str">
        <f aca="false">CONCATENATE(I1325," ",J1325)</f>
        <v>Pardosa lugubris</v>
      </c>
      <c r="L1325" s="3" t="n">
        <f aca="false">SUM(P1325:U1325)</f>
        <v>1</v>
      </c>
      <c r="M1325" s="11" t="n">
        <f aca="false">(L1325/(F1325*G1325)*25)*4</f>
        <v>4</v>
      </c>
      <c r="N1325" s="1" t="s">
        <v>30</v>
      </c>
      <c r="O1325" s="1" t="s">
        <v>31</v>
      </c>
      <c r="P1325" s="1" t="n">
        <v>1</v>
      </c>
      <c r="Q1325" s="1" t="n">
        <v>0</v>
      </c>
      <c r="R1325" s="1" t="n">
        <v>0</v>
      </c>
      <c r="S1325" s="1" t="n">
        <v>0</v>
      </c>
      <c r="T1325" s="1" t="n">
        <v>0</v>
      </c>
      <c r="U1325" s="1" t="n">
        <v>0</v>
      </c>
      <c r="V1325" s="3" t="n">
        <f aca="false">SUM(P1325:Q1325)</f>
        <v>1</v>
      </c>
      <c r="W1325" s="3" t="n">
        <f aca="false">SUM(R1325:T1325)</f>
        <v>0</v>
      </c>
      <c r="X1325" s="10" t="n">
        <v>39969</v>
      </c>
      <c r="Y1325" s="10" t="n">
        <v>39974</v>
      </c>
    </row>
    <row r="1326" customFormat="false" ht="14.25" hidden="false" customHeight="false" outlineLevel="0" collapsed="false">
      <c r="A1326" s="1" t="n">
        <v>2009</v>
      </c>
      <c r="B1326" s="1" t="n">
        <v>1</v>
      </c>
      <c r="C1326" s="2" t="s">
        <v>25</v>
      </c>
      <c r="D1326" s="7" t="s">
        <v>110</v>
      </c>
      <c r="E1326" s="1" t="n">
        <v>2</v>
      </c>
      <c r="F1326" s="1" t="n">
        <f aca="false">Y1326-X1326</f>
        <v>5</v>
      </c>
      <c r="G1326" s="1" t="n">
        <v>5</v>
      </c>
      <c r="H1326" s="3" t="s">
        <v>48</v>
      </c>
      <c r="I1326" s="3" t="s">
        <v>61</v>
      </c>
      <c r="J1326" s="3" t="s">
        <v>38</v>
      </c>
      <c r="K1326" s="2" t="str">
        <f aca="false">CONCATENATE(I1326," ",J1326)</f>
        <v>Trochosa sp</v>
      </c>
      <c r="L1326" s="3" t="n">
        <f aca="false">SUM(P1326:U1326)</f>
        <v>1</v>
      </c>
      <c r="M1326" s="11" t="n">
        <f aca="false">(L1326/(F1326*G1326)*25)*4</f>
        <v>4</v>
      </c>
      <c r="N1326" s="1" t="s">
        <v>19</v>
      </c>
      <c r="O1326" s="1" t="s">
        <v>54</v>
      </c>
      <c r="P1326" s="1" t="n">
        <v>0</v>
      </c>
      <c r="Q1326" s="1" t="n">
        <v>0</v>
      </c>
      <c r="R1326" s="1" t="n">
        <v>0</v>
      </c>
      <c r="S1326" s="1" t="n">
        <v>0</v>
      </c>
      <c r="T1326" s="1" t="n">
        <v>1</v>
      </c>
      <c r="U1326" s="1" t="n">
        <v>0</v>
      </c>
      <c r="V1326" s="3" t="n">
        <f aca="false">SUM(P1326:Q1326)</f>
        <v>0</v>
      </c>
      <c r="W1326" s="3" t="n">
        <f aca="false">SUM(R1326:T1326)</f>
        <v>1</v>
      </c>
      <c r="X1326" s="10" t="n">
        <v>39969</v>
      </c>
      <c r="Y1326" s="10" t="n">
        <v>39974</v>
      </c>
    </row>
    <row r="1327" customFormat="false" ht="14.25" hidden="false" customHeight="false" outlineLevel="0" collapsed="false">
      <c r="A1327" s="1" t="n">
        <v>2009</v>
      </c>
      <c r="B1327" s="1" t="n">
        <v>1</v>
      </c>
      <c r="C1327" s="2" t="s">
        <v>25</v>
      </c>
      <c r="D1327" s="7" t="s">
        <v>110</v>
      </c>
      <c r="E1327" s="1" t="n">
        <v>2</v>
      </c>
      <c r="F1327" s="1" t="n">
        <f aca="false">Y1327-X1327</f>
        <v>5</v>
      </c>
      <c r="G1327" s="1" t="n">
        <v>5</v>
      </c>
      <c r="H1327" s="3" t="s">
        <v>48</v>
      </c>
      <c r="I1327" s="3" t="s">
        <v>57</v>
      </c>
      <c r="J1327" s="3" t="s">
        <v>38</v>
      </c>
      <c r="K1327" s="2" t="str">
        <f aca="false">CONCATENATE(I1327," ",J1327)</f>
        <v>Gen sp</v>
      </c>
      <c r="L1327" s="3" t="n">
        <f aca="false">SUM(P1327:U1327)</f>
        <v>1</v>
      </c>
      <c r="M1327" s="11" t="n">
        <f aca="false">(L1327/(F1327*G1327)*25)*4</f>
        <v>4</v>
      </c>
      <c r="N1327" s="1" t="s">
        <v>19</v>
      </c>
      <c r="O1327" s="1" t="s">
        <v>54</v>
      </c>
      <c r="P1327" s="1" t="n">
        <v>0</v>
      </c>
      <c r="Q1327" s="1" t="n">
        <v>0</v>
      </c>
      <c r="R1327" s="1" t="n">
        <v>0</v>
      </c>
      <c r="S1327" s="1" t="n">
        <v>0</v>
      </c>
      <c r="T1327" s="1" t="n">
        <v>1</v>
      </c>
      <c r="U1327" s="1" t="n">
        <v>0</v>
      </c>
      <c r="V1327" s="3" t="n">
        <f aca="false">SUM(P1327:Q1327)</f>
        <v>0</v>
      </c>
      <c r="W1327" s="3" t="n">
        <f aca="false">SUM(R1327:T1327)</f>
        <v>1</v>
      </c>
      <c r="X1327" s="10" t="n">
        <v>39969</v>
      </c>
      <c r="Y1327" s="10" t="n">
        <v>39974</v>
      </c>
    </row>
    <row r="1328" customFormat="false" ht="14.25" hidden="false" customHeight="false" outlineLevel="0" collapsed="false">
      <c r="A1328" s="1" t="n">
        <v>2009</v>
      </c>
      <c r="B1328" s="1" t="n">
        <v>1</v>
      </c>
      <c r="C1328" s="2" t="s">
        <v>25</v>
      </c>
      <c r="D1328" s="7" t="s">
        <v>110</v>
      </c>
      <c r="E1328" s="1" t="n">
        <v>2</v>
      </c>
      <c r="F1328" s="1" t="n">
        <f aca="false">Y1328-X1328</f>
        <v>5</v>
      </c>
      <c r="G1328" s="1" t="n">
        <v>5</v>
      </c>
      <c r="H1328" s="3" t="s">
        <v>48</v>
      </c>
      <c r="I1328" s="3" t="s">
        <v>49</v>
      </c>
      <c r="J1328" s="3" t="s">
        <v>119</v>
      </c>
      <c r="K1328" s="2" t="str">
        <f aca="false">CONCATENATE(I1328," ",J1328)</f>
        <v>Alopecosa sulzeri</v>
      </c>
      <c r="L1328" s="3" t="n">
        <f aca="false">SUM(P1328:U1328)</f>
        <v>1</v>
      </c>
      <c r="M1328" s="11" t="n">
        <f aca="false">(L1328/(F1328*G1328)*25)*4</f>
        <v>4</v>
      </c>
      <c r="N1328" s="1" t="s">
        <v>30</v>
      </c>
      <c r="O1328" s="1" t="s">
        <v>31</v>
      </c>
      <c r="P1328" s="1" t="n">
        <v>1</v>
      </c>
      <c r="Q1328" s="1" t="n">
        <v>0</v>
      </c>
      <c r="R1328" s="1" t="n">
        <v>0</v>
      </c>
      <c r="S1328" s="1" t="n">
        <v>0</v>
      </c>
      <c r="T1328" s="1" t="n">
        <v>0</v>
      </c>
      <c r="U1328" s="1" t="n">
        <v>0</v>
      </c>
      <c r="V1328" s="3" t="n">
        <f aca="false">SUM(P1328:Q1328)</f>
        <v>1</v>
      </c>
      <c r="W1328" s="3" t="n">
        <f aca="false">SUM(R1328:T1328)</f>
        <v>0</v>
      </c>
      <c r="X1328" s="10" t="n">
        <v>39969</v>
      </c>
      <c r="Y1328" s="10" t="n">
        <v>39974</v>
      </c>
    </row>
    <row r="1329" customFormat="false" ht="14.25" hidden="false" customHeight="false" outlineLevel="0" collapsed="false">
      <c r="A1329" s="1" t="n">
        <v>2009</v>
      </c>
      <c r="B1329" s="1" t="n">
        <v>1</v>
      </c>
      <c r="C1329" s="2" t="s">
        <v>25</v>
      </c>
      <c r="D1329" s="7" t="s">
        <v>110</v>
      </c>
      <c r="E1329" s="1" t="n">
        <v>2</v>
      </c>
      <c r="F1329" s="1" t="n">
        <f aca="false">Y1329-X1329</f>
        <v>5</v>
      </c>
      <c r="G1329" s="1" t="n">
        <v>5</v>
      </c>
      <c r="H1329" s="3" t="s">
        <v>36</v>
      </c>
      <c r="I1329" s="3" t="s">
        <v>131</v>
      </c>
      <c r="J1329" s="3" t="s">
        <v>133</v>
      </c>
      <c r="K1329" s="2" t="str">
        <f aca="false">CONCATENATE(I1329," ",J1329)</f>
        <v>Xysticus luctuosus</v>
      </c>
      <c r="L1329" s="3" t="n">
        <f aca="false">SUM(P1329:U1329)</f>
        <v>2</v>
      </c>
      <c r="M1329" s="11" t="n">
        <f aca="false">(L1329/(F1329*G1329)*25)*4</f>
        <v>8</v>
      </c>
      <c r="N1329" s="1" t="s">
        <v>30</v>
      </c>
      <c r="O1329" s="1" t="s">
        <v>31</v>
      </c>
      <c r="P1329" s="1" t="n">
        <v>2</v>
      </c>
      <c r="Q1329" s="1" t="n">
        <v>0</v>
      </c>
      <c r="R1329" s="1" t="n">
        <v>0</v>
      </c>
      <c r="S1329" s="1" t="n">
        <v>0</v>
      </c>
      <c r="T1329" s="1" t="n">
        <v>0</v>
      </c>
      <c r="U1329" s="1" t="n">
        <v>0</v>
      </c>
      <c r="V1329" s="3" t="n">
        <f aca="false">SUM(P1329:Q1329)</f>
        <v>2</v>
      </c>
      <c r="W1329" s="3" t="n">
        <f aca="false">SUM(R1329:T1329)</f>
        <v>0</v>
      </c>
      <c r="X1329" s="10" t="n">
        <v>39969</v>
      </c>
      <c r="Y1329" s="10" t="n">
        <v>39974</v>
      </c>
    </row>
    <row r="1330" customFormat="false" ht="14.25" hidden="false" customHeight="false" outlineLevel="0" collapsed="false">
      <c r="A1330" s="1" t="n">
        <v>2009</v>
      </c>
      <c r="B1330" s="1" t="n">
        <v>1</v>
      </c>
      <c r="C1330" s="2" t="s">
        <v>25</v>
      </c>
      <c r="D1330" s="7" t="s">
        <v>110</v>
      </c>
      <c r="E1330" s="1" t="n">
        <v>2</v>
      </c>
      <c r="F1330" s="1" t="n">
        <f aca="false">Y1330-X1330</f>
        <v>5</v>
      </c>
      <c r="G1330" s="1" t="n">
        <v>5</v>
      </c>
      <c r="H1330" s="3" t="s">
        <v>36</v>
      </c>
      <c r="I1330" s="3" t="s">
        <v>131</v>
      </c>
      <c r="J1330" s="3" t="s">
        <v>133</v>
      </c>
      <c r="K1330" s="2" t="str">
        <f aca="false">CONCATENATE(I1330," ",J1330)</f>
        <v>Xysticus luctuosus</v>
      </c>
      <c r="L1330" s="3" t="n">
        <f aca="false">SUM(P1330:U1330)</f>
        <v>1</v>
      </c>
      <c r="M1330" s="11" t="n">
        <f aca="false">(L1330/(F1330*G1330)*25)*4</f>
        <v>4</v>
      </c>
      <c r="N1330" s="1" t="s">
        <v>30</v>
      </c>
      <c r="O1330" s="1" t="s">
        <v>35</v>
      </c>
      <c r="P1330" s="1" t="n">
        <v>0</v>
      </c>
      <c r="Q1330" s="1" t="n">
        <v>1</v>
      </c>
      <c r="R1330" s="1" t="n">
        <v>0</v>
      </c>
      <c r="S1330" s="1" t="n">
        <v>0</v>
      </c>
      <c r="T1330" s="1" t="n">
        <v>0</v>
      </c>
      <c r="U1330" s="1" t="n">
        <v>0</v>
      </c>
      <c r="V1330" s="3" t="n">
        <f aca="false">SUM(P1330:Q1330)</f>
        <v>1</v>
      </c>
      <c r="W1330" s="3" t="n">
        <f aca="false">SUM(R1330:T1330)</f>
        <v>0</v>
      </c>
      <c r="X1330" s="10" t="n">
        <v>39969</v>
      </c>
      <c r="Y1330" s="10" t="n">
        <v>39974</v>
      </c>
    </row>
    <row r="1331" customFormat="false" ht="14.25" hidden="false" customHeight="false" outlineLevel="0" collapsed="false">
      <c r="A1331" s="1" t="n">
        <v>2009</v>
      </c>
      <c r="B1331" s="1" t="n">
        <v>1</v>
      </c>
      <c r="C1331" s="2" t="s">
        <v>25</v>
      </c>
      <c r="D1331" s="7" t="s">
        <v>110</v>
      </c>
      <c r="E1331" s="1" t="n">
        <v>2</v>
      </c>
      <c r="F1331" s="1" t="n">
        <f aca="false">Y1331-X1331</f>
        <v>5</v>
      </c>
      <c r="G1331" s="1" t="n">
        <v>5</v>
      </c>
      <c r="H1331" s="3" t="s">
        <v>36</v>
      </c>
      <c r="I1331" s="3" t="s">
        <v>131</v>
      </c>
      <c r="J1331" s="3" t="s">
        <v>132</v>
      </c>
      <c r="K1331" s="2" t="str">
        <f aca="false">CONCATENATE(I1331," ",J1331)</f>
        <v>Xysticus lanio</v>
      </c>
      <c r="L1331" s="3" t="n">
        <f aca="false">SUM(P1331:U1331)</f>
        <v>1</v>
      </c>
      <c r="M1331" s="11" t="n">
        <f aca="false">(L1331/(F1331*G1331)*25)*4</f>
        <v>4</v>
      </c>
      <c r="N1331" s="1" t="s">
        <v>30</v>
      </c>
      <c r="O1331" s="1" t="s">
        <v>31</v>
      </c>
      <c r="P1331" s="1" t="n">
        <v>1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3" t="n">
        <f aca="false">SUM(P1331:Q1331)</f>
        <v>1</v>
      </c>
      <c r="W1331" s="3" t="n">
        <f aca="false">SUM(R1331:T1331)</f>
        <v>0</v>
      </c>
      <c r="X1331" s="10" t="n">
        <v>39969</v>
      </c>
      <c r="Y1331" s="10" t="n">
        <v>39974</v>
      </c>
    </row>
    <row r="1332" customFormat="false" ht="14.25" hidden="false" customHeight="false" outlineLevel="0" collapsed="false">
      <c r="A1332" s="1" t="n">
        <v>2009</v>
      </c>
      <c r="B1332" s="1" t="n">
        <v>1</v>
      </c>
      <c r="C1332" s="2" t="s">
        <v>25</v>
      </c>
      <c r="D1332" s="7" t="s">
        <v>110</v>
      </c>
      <c r="E1332" s="1" t="n">
        <v>2</v>
      </c>
      <c r="F1332" s="1" t="n">
        <f aca="false">Y1332-X1332</f>
        <v>5</v>
      </c>
      <c r="G1332" s="1" t="n">
        <v>5</v>
      </c>
      <c r="H1332" s="3" t="s">
        <v>32</v>
      </c>
      <c r="I1332" s="3" t="s">
        <v>57</v>
      </c>
      <c r="J1332" s="3" t="s">
        <v>38</v>
      </c>
      <c r="K1332" s="2" t="str">
        <f aca="false">CONCATENATE(I1332," ",J1332)</f>
        <v>Gen sp</v>
      </c>
      <c r="L1332" s="3" t="n">
        <f aca="false">SUM(P1332:U1332)</f>
        <v>1</v>
      </c>
      <c r="M1332" s="11" t="n">
        <f aca="false">(L1332/(F1332*G1332)*25)*4</f>
        <v>4</v>
      </c>
      <c r="N1332" s="1" t="s">
        <v>30</v>
      </c>
      <c r="O1332" s="1" t="s">
        <v>31</v>
      </c>
      <c r="P1332" s="1" t="n">
        <v>1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0</v>
      </c>
      <c r="V1332" s="3" t="n">
        <f aca="false">SUM(P1332:Q1332)</f>
        <v>1</v>
      </c>
      <c r="W1332" s="3" t="n">
        <f aca="false">SUM(R1332:T1332)</f>
        <v>0</v>
      </c>
      <c r="X1332" s="10" t="n">
        <v>39969</v>
      </c>
      <c r="Y1332" s="10" t="n">
        <v>39974</v>
      </c>
    </row>
    <row r="1333" customFormat="false" ht="14.25" hidden="false" customHeight="false" outlineLevel="0" collapsed="false">
      <c r="A1333" s="1" t="n">
        <v>2009</v>
      </c>
      <c r="B1333" s="1" t="n">
        <v>1</v>
      </c>
      <c r="C1333" s="2" t="s">
        <v>25</v>
      </c>
      <c r="D1333" s="7" t="s">
        <v>110</v>
      </c>
      <c r="E1333" s="1" t="n">
        <v>2</v>
      </c>
      <c r="F1333" s="1" t="n">
        <f aca="false">Y1333-X1333</f>
        <v>5</v>
      </c>
      <c r="G1333" s="1" t="n">
        <v>5</v>
      </c>
      <c r="H1333" s="3" t="s">
        <v>32</v>
      </c>
      <c r="I1333" s="3" t="s">
        <v>84</v>
      </c>
      <c r="J1333" s="3" t="s">
        <v>85</v>
      </c>
      <c r="K1333" s="2" t="str">
        <f aca="false">CONCATENATE(I1333," ",J1333)</f>
        <v>Walckenaeria antica</v>
      </c>
      <c r="L1333" s="3" t="n">
        <f aca="false">SUM(P1333:U1333)</f>
        <v>1</v>
      </c>
      <c r="M1333" s="11" t="n">
        <f aca="false">(L1333/(F1333*G1333)*25)*4</f>
        <v>4</v>
      </c>
      <c r="N1333" s="1" t="s">
        <v>30</v>
      </c>
      <c r="O1333" s="1" t="s">
        <v>35</v>
      </c>
      <c r="P1333" s="1" t="n">
        <v>0</v>
      </c>
      <c r="Q1333" s="1" t="n">
        <v>1</v>
      </c>
      <c r="R1333" s="1" t="n">
        <v>0</v>
      </c>
      <c r="S1333" s="1" t="n">
        <v>0</v>
      </c>
      <c r="T1333" s="1" t="n">
        <v>0</v>
      </c>
      <c r="U1333" s="1" t="n">
        <v>0</v>
      </c>
      <c r="V1333" s="3" t="n">
        <f aca="false">SUM(P1333:Q1333)</f>
        <v>1</v>
      </c>
      <c r="W1333" s="3" t="n">
        <f aca="false">SUM(R1333:T1333)</f>
        <v>0</v>
      </c>
      <c r="X1333" s="10" t="n">
        <v>39969</v>
      </c>
      <c r="Y1333" s="10" t="n">
        <v>39974</v>
      </c>
    </row>
    <row r="1334" customFormat="false" ht="14.25" hidden="false" customHeight="false" outlineLevel="0" collapsed="false">
      <c r="A1334" s="1" t="n">
        <v>2009</v>
      </c>
      <c r="B1334" s="1" t="n">
        <v>1</v>
      </c>
      <c r="C1334" s="2" t="s">
        <v>25</v>
      </c>
      <c r="D1334" s="7" t="s">
        <v>110</v>
      </c>
      <c r="E1334" s="1" t="n">
        <v>2</v>
      </c>
      <c r="F1334" s="1" t="n">
        <f aca="false">Y1334-X1334</f>
        <v>5</v>
      </c>
      <c r="G1334" s="1" t="n">
        <v>5</v>
      </c>
      <c r="H1334" s="3" t="s">
        <v>27</v>
      </c>
      <c r="I1334" s="3" t="s">
        <v>179</v>
      </c>
      <c r="J1334" s="3" t="s">
        <v>180</v>
      </c>
      <c r="K1334" s="2" t="str">
        <f aca="false">CONCATENATE(I1334," ",J1334)</f>
        <v>Theridion varians</v>
      </c>
      <c r="L1334" s="3" t="n">
        <f aca="false">SUM(P1334:U1334)</f>
        <v>1</v>
      </c>
      <c r="M1334" s="11" t="n">
        <f aca="false">(L1334/(F1334*G1334)*25)*4</f>
        <v>4</v>
      </c>
      <c r="N1334" s="1" t="s">
        <v>30</v>
      </c>
      <c r="O1334" s="1" t="s">
        <v>35</v>
      </c>
      <c r="P1334" s="1" t="n">
        <v>0</v>
      </c>
      <c r="Q1334" s="1" t="n">
        <v>1</v>
      </c>
      <c r="R1334" s="1" t="n">
        <v>0</v>
      </c>
      <c r="S1334" s="1" t="n">
        <v>0</v>
      </c>
      <c r="T1334" s="1" t="n">
        <v>0</v>
      </c>
      <c r="U1334" s="1" t="n">
        <v>0</v>
      </c>
      <c r="V1334" s="3" t="n">
        <f aca="false">SUM(P1334:Q1334)</f>
        <v>1</v>
      </c>
      <c r="W1334" s="3" t="n">
        <f aca="false">SUM(R1334:T1334)</f>
        <v>0</v>
      </c>
      <c r="X1334" s="10" t="n">
        <v>39969</v>
      </c>
      <c r="Y1334" s="10" t="n">
        <v>39974</v>
      </c>
    </row>
    <row r="1335" customFormat="false" ht="14.25" hidden="false" customHeight="false" outlineLevel="0" collapsed="false">
      <c r="A1335" s="1" t="n">
        <v>2009</v>
      </c>
      <c r="B1335" s="1" t="n">
        <v>1</v>
      </c>
      <c r="C1335" s="2" t="s">
        <v>25</v>
      </c>
      <c r="D1335" s="7" t="s">
        <v>110</v>
      </c>
      <c r="E1335" s="1" t="n">
        <v>3</v>
      </c>
      <c r="F1335" s="1" t="n">
        <f aca="false">Y1335-X1335</f>
        <v>5</v>
      </c>
      <c r="G1335" s="1" t="n">
        <v>5</v>
      </c>
      <c r="H1335" s="3" t="s">
        <v>48</v>
      </c>
      <c r="I1335" s="3" t="s">
        <v>49</v>
      </c>
      <c r="J1335" s="3" t="s">
        <v>104</v>
      </c>
      <c r="K1335" s="2" t="str">
        <f aca="false">CONCATENATE(I1335," ",J1335)</f>
        <v>Alopecosa taeniata</v>
      </c>
      <c r="L1335" s="3" t="n">
        <f aca="false">SUM(P1335:U1335)</f>
        <v>1</v>
      </c>
      <c r="M1335" s="11" t="n">
        <f aca="false">(L1335/(F1335*G1335)*25)*4</f>
        <v>4</v>
      </c>
      <c r="N1335" s="1" t="s">
        <v>30</v>
      </c>
      <c r="O1335" s="1" t="s">
        <v>31</v>
      </c>
      <c r="P1335" s="1" t="n">
        <v>1</v>
      </c>
      <c r="Q1335" s="1" t="n">
        <v>0</v>
      </c>
      <c r="R1335" s="1" t="n">
        <v>0</v>
      </c>
      <c r="S1335" s="1" t="n">
        <v>0</v>
      </c>
      <c r="T1335" s="1" t="n">
        <v>0</v>
      </c>
      <c r="U1335" s="1" t="n">
        <v>0</v>
      </c>
      <c r="V1335" s="3" t="n">
        <f aca="false">SUM(P1335:Q1335)</f>
        <v>1</v>
      </c>
      <c r="W1335" s="3" t="n">
        <f aca="false">SUM(R1335:T1335)</f>
        <v>0</v>
      </c>
      <c r="X1335" s="10" t="n">
        <v>39969</v>
      </c>
      <c r="Y1335" s="10" t="n">
        <v>39974</v>
      </c>
    </row>
    <row r="1336" customFormat="false" ht="14.25" hidden="false" customHeight="false" outlineLevel="0" collapsed="false">
      <c r="A1336" s="1" t="n">
        <v>2009</v>
      </c>
      <c r="B1336" s="1" t="n">
        <v>1</v>
      </c>
      <c r="C1336" s="2" t="s">
        <v>25</v>
      </c>
      <c r="D1336" s="7" t="s">
        <v>110</v>
      </c>
      <c r="E1336" s="1" t="n">
        <v>3</v>
      </c>
      <c r="F1336" s="1" t="n">
        <f aca="false">Y1336-X1336</f>
        <v>5</v>
      </c>
      <c r="G1336" s="1" t="n">
        <v>5</v>
      </c>
      <c r="H1336" s="3" t="s">
        <v>48</v>
      </c>
      <c r="I1336" s="3" t="s">
        <v>67</v>
      </c>
      <c r="J1336" s="3" t="s">
        <v>127</v>
      </c>
      <c r="K1336" s="2" t="str">
        <f aca="false">CONCATENATE(I1336," ",J1336)</f>
        <v>Pardosa lugubris</v>
      </c>
      <c r="L1336" s="3" t="n">
        <f aca="false">SUM(P1336:U1336)</f>
        <v>1</v>
      </c>
      <c r="M1336" s="11" t="n">
        <f aca="false">(L1336/(F1336*G1336)*25)*4</f>
        <v>4</v>
      </c>
      <c r="N1336" s="1" t="s">
        <v>30</v>
      </c>
      <c r="O1336" s="1" t="s">
        <v>31</v>
      </c>
      <c r="P1336" s="1" t="n">
        <v>1</v>
      </c>
      <c r="Q1336" s="1" t="n">
        <v>0</v>
      </c>
      <c r="R1336" s="1" t="n">
        <v>0</v>
      </c>
      <c r="S1336" s="1" t="n">
        <v>0</v>
      </c>
      <c r="T1336" s="1" t="n">
        <v>0</v>
      </c>
      <c r="U1336" s="1" t="n">
        <v>0</v>
      </c>
      <c r="V1336" s="3" t="n">
        <f aca="false">SUM(P1336:Q1336)</f>
        <v>1</v>
      </c>
      <c r="W1336" s="3" t="n">
        <f aca="false">SUM(R1336:T1336)</f>
        <v>0</v>
      </c>
      <c r="X1336" s="10" t="n">
        <v>39969</v>
      </c>
      <c r="Y1336" s="10" t="n">
        <v>39974</v>
      </c>
    </row>
    <row r="1337" customFormat="false" ht="14.25" hidden="false" customHeight="false" outlineLevel="0" collapsed="false">
      <c r="A1337" s="1" t="n">
        <v>2009</v>
      </c>
      <c r="B1337" s="1" t="n">
        <v>1</v>
      </c>
      <c r="C1337" s="2" t="s">
        <v>25</v>
      </c>
      <c r="D1337" s="7" t="s">
        <v>110</v>
      </c>
      <c r="E1337" s="1" t="n">
        <v>3</v>
      </c>
      <c r="F1337" s="1" t="n">
        <f aca="false">Y1337-X1337</f>
        <v>5</v>
      </c>
      <c r="G1337" s="1" t="n">
        <v>5</v>
      </c>
      <c r="H1337" s="3" t="s">
        <v>48</v>
      </c>
      <c r="I1337" s="3" t="s">
        <v>49</v>
      </c>
      <c r="J1337" s="3" t="s">
        <v>38</v>
      </c>
      <c r="K1337" s="2" t="str">
        <f aca="false">CONCATENATE(I1337," ",J1337)</f>
        <v>Alopecosa sp</v>
      </c>
      <c r="L1337" s="3" t="n">
        <f aca="false">SUM(P1337:U1337)</f>
        <v>1</v>
      </c>
      <c r="M1337" s="11" t="n">
        <f aca="false">(L1337/(F1337*G1337)*25)*4</f>
        <v>4</v>
      </c>
      <c r="N1337" s="1" t="s">
        <v>19</v>
      </c>
      <c r="O1337" s="1" t="s">
        <v>54</v>
      </c>
      <c r="P1337" s="1" t="n">
        <v>0</v>
      </c>
      <c r="Q1337" s="1" t="n">
        <v>0</v>
      </c>
      <c r="R1337" s="1" t="n">
        <v>0</v>
      </c>
      <c r="S1337" s="1" t="n">
        <v>0</v>
      </c>
      <c r="T1337" s="1" t="n">
        <v>1</v>
      </c>
      <c r="U1337" s="1" t="n">
        <v>0</v>
      </c>
      <c r="V1337" s="3" t="n">
        <f aca="false">SUM(P1337:Q1337)</f>
        <v>0</v>
      </c>
      <c r="W1337" s="3" t="n">
        <f aca="false">SUM(R1337:T1337)</f>
        <v>1</v>
      </c>
      <c r="X1337" s="10" t="n">
        <v>39969</v>
      </c>
      <c r="Y1337" s="10" t="n">
        <v>39974</v>
      </c>
    </row>
    <row r="1338" customFormat="false" ht="14.25" hidden="false" customHeight="false" outlineLevel="0" collapsed="false">
      <c r="A1338" s="1" t="n">
        <v>2009</v>
      </c>
      <c r="B1338" s="1" t="n">
        <v>1</v>
      </c>
      <c r="C1338" s="2" t="s">
        <v>25</v>
      </c>
      <c r="D1338" s="7" t="s">
        <v>110</v>
      </c>
      <c r="E1338" s="1" t="n">
        <v>3</v>
      </c>
      <c r="F1338" s="1" t="n">
        <f aca="false">Y1338-X1338</f>
        <v>5</v>
      </c>
      <c r="G1338" s="1" t="n">
        <v>5</v>
      </c>
      <c r="H1338" s="3" t="s">
        <v>48</v>
      </c>
      <c r="I1338" s="3" t="s">
        <v>61</v>
      </c>
      <c r="J1338" s="3" t="s">
        <v>38</v>
      </c>
      <c r="K1338" s="2" t="str">
        <f aca="false">CONCATENATE(I1338," ",J1338)</f>
        <v>Trochosa sp</v>
      </c>
      <c r="L1338" s="3" t="n">
        <f aca="false">SUM(P1338:U1338)</f>
        <v>1</v>
      </c>
      <c r="M1338" s="11" t="n">
        <f aca="false">(L1338/(F1338*G1338)*25)*4</f>
        <v>4</v>
      </c>
      <c r="N1338" s="1" t="s">
        <v>19</v>
      </c>
      <c r="O1338" s="1" t="s">
        <v>54</v>
      </c>
      <c r="P1338" s="1" t="n">
        <v>0</v>
      </c>
      <c r="Q1338" s="1" t="n">
        <v>0</v>
      </c>
      <c r="R1338" s="1" t="n">
        <v>0</v>
      </c>
      <c r="S1338" s="1" t="n">
        <v>0</v>
      </c>
      <c r="T1338" s="1" t="n">
        <v>1</v>
      </c>
      <c r="U1338" s="1" t="n">
        <v>0</v>
      </c>
      <c r="V1338" s="3" t="n">
        <f aca="false">SUM(P1338:Q1338)</f>
        <v>0</v>
      </c>
      <c r="W1338" s="3" t="n">
        <f aca="false">SUM(R1338:T1338)</f>
        <v>1</v>
      </c>
      <c r="X1338" s="10" t="n">
        <v>39969</v>
      </c>
      <c r="Y1338" s="10" t="n">
        <v>39974</v>
      </c>
    </row>
    <row r="1339" customFormat="false" ht="14.25" hidden="false" customHeight="false" outlineLevel="0" collapsed="false">
      <c r="A1339" s="1" t="n">
        <v>2009</v>
      </c>
      <c r="B1339" s="1" t="n">
        <v>1</v>
      </c>
      <c r="C1339" s="2" t="s">
        <v>25</v>
      </c>
      <c r="D1339" s="7" t="s">
        <v>110</v>
      </c>
      <c r="E1339" s="1" t="n">
        <v>3</v>
      </c>
      <c r="F1339" s="1" t="n">
        <f aca="false">Y1339-X1339</f>
        <v>5</v>
      </c>
      <c r="G1339" s="1" t="n">
        <v>5</v>
      </c>
      <c r="H1339" s="3" t="s">
        <v>36</v>
      </c>
      <c r="I1339" s="3" t="s">
        <v>131</v>
      </c>
      <c r="J1339" s="3" t="s">
        <v>133</v>
      </c>
      <c r="K1339" s="2" t="str">
        <f aca="false">CONCATENATE(I1339," ",J1339)</f>
        <v>Xysticus luctuosus</v>
      </c>
      <c r="L1339" s="3" t="n">
        <f aca="false">SUM(P1339:U1339)</f>
        <v>3</v>
      </c>
      <c r="M1339" s="11" t="n">
        <f aca="false">(L1339/(F1339*G1339)*25)*4</f>
        <v>12</v>
      </c>
      <c r="N1339" s="1" t="s">
        <v>30</v>
      </c>
      <c r="O1339" s="1" t="s">
        <v>31</v>
      </c>
      <c r="P1339" s="1" t="n">
        <v>3</v>
      </c>
      <c r="Q1339" s="1" t="n">
        <v>0</v>
      </c>
      <c r="R1339" s="1" t="n">
        <v>0</v>
      </c>
      <c r="S1339" s="1" t="n">
        <v>0</v>
      </c>
      <c r="T1339" s="1" t="n">
        <v>0</v>
      </c>
      <c r="U1339" s="1" t="n">
        <v>0</v>
      </c>
      <c r="V1339" s="3" t="n">
        <f aca="false">SUM(P1339:Q1339)</f>
        <v>3</v>
      </c>
      <c r="W1339" s="3" t="n">
        <f aca="false">SUM(R1339:T1339)</f>
        <v>0</v>
      </c>
      <c r="X1339" s="10" t="n">
        <v>39969</v>
      </c>
      <c r="Y1339" s="10" t="n">
        <v>39974</v>
      </c>
    </row>
    <row r="1340" customFormat="false" ht="14.25" hidden="false" customHeight="false" outlineLevel="0" collapsed="false">
      <c r="A1340" s="1" t="n">
        <v>2009</v>
      </c>
      <c r="B1340" s="1" t="n">
        <v>1</v>
      </c>
      <c r="C1340" s="2" t="s">
        <v>25</v>
      </c>
      <c r="D1340" s="7" t="s">
        <v>110</v>
      </c>
      <c r="E1340" s="1" t="n">
        <v>3</v>
      </c>
      <c r="F1340" s="1" t="n">
        <f aca="false">Y1340-X1340</f>
        <v>5</v>
      </c>
      <c r="G1340" s="1" t="n">
        <v>5</v>
      </c>
      <c r="H1340" s="13" t="s">
        <v>92</v>
      </c>
      <c r="I1340" s="13" t="s">
        <v>111</v>
      </c>
      <c r="J1340" s="14" t="s">
        <v>112</v>
      </c>
      <c r="K1340" s="2" t="str">
        <f aca="false">CONCATENATE(I1340," ",J1340)</f>
        <v>Evarcha falcata</v>
      </c>
      <c r="L1340" s="3" t="n">
        <f aca="false">SUM(P1340:U1340)</f>
        <v>1</v>
      </c>
      <c r="M1340" s="11" t="n">
        <f aca="false">(L1340/(F1340*G1340)*25)*4</f>
        <v>4</v>
      </c>
      <c r="N1340" s="1" t="s">
        <v>30</v>
      </c>
      <c r="O1340" s="1" t="s">
        <v>35</v>
      </c>
      <c r="P1340" s="1" t="n">
        <v>0</v>
      </c>
      <c r="Q1340" s="1" t="n">
        <v>1</v>
      </c>
      <c r="R1340" s="1" t="n">
        <v>0</v>
      </c>
      <c r="S1340" s="1" t="n">
        <v>0</v>
      </c>
      <c r="T1340" s="1" t="n">
        <v>0</v>
      </c>
      <c r="U1340" s="1" t="n">
        <v>0</v>
      </c>
      <c r="V1340" s="3" t="n">
        <f aca="false">SUM(P1340:Q1340)</f>
        <v>1</v>
      </c>
      <c r="W1340" s="3" t="n">
        <f aca="false">SUM(R1340:T1340)</f>
        <v>0</v>
      </c>
      <c r="X1340" s="10" t="n">
        <v>39969</v>
      </c>
      <c r="Y1340" s="10" t="n">
        <v>39974</v>
      </c>
    </row>
    <row r="1341" customFormat="false" ht="14.25" hidden="false" customHeight="false" outlineLevel="0" collapsed="false">
      <c r="A1341" s="1" t="n">
        <v>2009</v>
      </c>
      <c r="B1341" s="1" t="n">
        <v>1</v>
      </c>
      <c r="C1341" s="2" t="s">
        <v>25</v>
      </c>
      <c r="D1341" s="7" t="s">
        <v>110</v>
      </c>
      <c r="E1341" s="1" t="n">
        <v>3</v>
      </c>
      <c r="F1341" s="1" t="n">
        <f aca="false">Y1341-X1341</f>
        <v>5</v>
      </c>
      <c r="G1341" s="1" t="n">
        <v>5</v>
      </c>
      <c r="H1341" s="13" t="s">
        <v>32</v>
      </c>
      <c r="I1341" s="13" t="s">
        <v>96</v>
      </c>
      <c r="J1341" s="14" t="s">
        <v>97</v>
      </c>
      <c r="K1341" s="2" t="str">
        <f aca="false">CONCATENATE(I1341," ",J1341)</f>
        <v>Diplocephalus picinus</v>
      </c>
      <c r="L1341" s="3" t="n">
        <f aca="false">SUM(P1341:U1341)</f>
        <v>1</v>
      </c>
      <c r="M1341" s="11" t="n">
        <f aca="false">(L1341/(F1341*G1341)*25)*4</f>
        <v>4</v>
      </c>
      <c r="N1341" s="1" t="s">
        <v>30</v>
      </c>
      <c r="O1341" s="1" t="s">
        <v>31</v>
      </c>
      <c r="P1341" s="1" t="n">
        <v>1</v>
      </c>
      <c r="Q1341" s="1" t="n">
        <v>0</v>
      </c>
      <c r="R1341" s="1" t="n">
        <v>0</v>
      </c>
      <c r="S1341" s="1" t="n">
        <v>0</v>
      </c>
      <c r="T1341" s="1" t="n">
        <v>0</v>
      </c>
      <c r="U1341" s="1" t="n">
        <v>0</v>
      </c>
      <c r="V1341" s="3" t="n">
        <f aca="false">SUM(P1341:Q1341)</f>
        <v>1</v>
      </c>
      <c r="W1341" s="3" t="n">
        <f aca="false">SUM(R1341:T1341)</f>
        <v>0</v>
      </c>
      <c r="X1341" s="10" t="n">
        <v>39969</v>
      </c>
      <c r="Y1341" s="10" t="n">
        <v>39974</v>
      </c>
    </row>
    <row r="1342" customFormat="false" ht="14.25" hidden="false" customHeight="false" outlineLevel="0" collapsed="false">
      <c r="A1342" s="1" t="n">
        <v>2009</v>
      </c>
      <c r="B1342" s="1" t="n">
        <v>1</v>
      </c>
      <c r="C1342" s="2" t="s">
        <v>25</v>
      </c>
      <c r="D1342" s="7" t="s">
        <v>110</v>
      </c>
      <c r="E1342" s="1" t="n">
        <v>3</v>
      </c>
      <c r="F1342" s="1" t="n">
        <f aca="false">Y1342-X1342</f>
        <v>5</v>
      </c>
      <c r="G1342" s="1" t="n">
        <v>5</v>
      </c>
      <c r="H1342" s="3" t="s">
        <v>32</v>
      </c>
      <c r="I1342" s="3" t="s">
        <v>57</v>
      </c>
      <c r="J1342" s="3" t="s">
        <v>38</v>
      </c>
      <c r="K1342" s="2" t="str">
        <f aca="false">CONCATENATE(I1342," ",J1342)</f>
        <v>Gen sp</v>
      </c>
      <c r="L1342" s="3" t="n">
        <f aca="false">SUM(P1342:U1342)</f>
        <v>1</v>
      </c>
      <c r="M1342" s="11" t="n">
        <f aca="false">(L1342/(F1342*G1342)*25)*4</f>
        <v>4</v>
      </c>
      <c r="N1342" s="1" t="s">
        <v>30</v>
      </c>
      <c r="O1342" s="1" t="s">
        <v>35</v>
      </c>
      <c r="P1342" s="1" t="n">
        <v>0</v>
      </c>
      <c r="Q1342" s="1" t="n">
        <v>1</v>
      </c>
      <c r="R1342" s="1" t="n">
        <v>0</v>
      </c>
      <c r="S1342" s="1" t="n">
        <v>0</v>
      </c>
      <c r="T1342" s="1" t="n">
        <v>0</v>
      </c>
      <c r="U1342" s="1" t="n">
        <v>0</v>
      </c>
      <c r="V1342" s="3" t="n">
        <f aca="false">SUM(P1342:Q1342)</f>
        <v>1</v>
      </c>
      <c r="W1342" s="3" t="n">
        <f aca="false">SUM(R1342:T1342)</f>
        <v>0</v>
      </c>
      <c r="X1342" s="10" t="n">
        <v>39969</v>
      </c>
      <c r="Y1342" s="10" t="n">
        <v>39974</v>
      </c>
    </row>
    <row r="1343" customFormat="false" ht="14.25" hidden="false" customHeight="false" outlineLevel="0" collapsed="false">
      <c r="A1343" s="1" t="n">
        <v>2009</v>
      </c>
      <c r="B1343" s="1" t="n">
        <v>1</v>
      </c>
      <c r="C1343" s="2" t="s">
        <v>25</v>
      </c>
      <c r="D1343" s="7" t="s">
        <v>110</v>
      </c>
      <c r="E1343" s="1" t="n">
        <v>3</v>
      </c>
      <c r="F1343" s="1" t="n">
        <f aca="false">Y1343-X1343</f>
        <v>5</v>
      </c>
      <c r="G1343" s="1" t="n">
        <v>5</v>
      </c>
      <c r="H1343" s="3" t="s">
        <v>48</v>
      </c>
      <c r="I1343" s="3" t="s">
        <v>49</v>
      </c>
      <c r="J1343" s="3" t="s">
        <v>104</v>
      </c>
      <c r="K1343" s="2" t="str">
        <f aca="false">CONCATENATE(I1343," ",J1343)</f>
        <v>Alopecosa taeniata</v>
      </c>
      <c r="L1343" s="3" t="n">
        <f aca="false">SUM(P1343:U1343)</f>
        <v>2</v>
      </c>
      <c r="M1343" s="11" t="n">
        <f aca="false">(L1343/(F1343*G1343)*25)*4</f>
        <v>8</v>
      </c>
      <c r="N1343" s="1" t="s">
        <v>30</v>
      </c>
      <c r="O1343" s="1" t="s">
        <v>31</v>
      </c>
      <c r="P1343" s="1" t="n">
        <v>2</v>
      </c>
      <c r="Q1343" s="1" t="n">
        <v>0</v>
      </c>
      <c r="R1343" s="1" t="n">
        <v>0</v>
      </c>
      <c r="S1343" s="1" t="n">
        <v>0</v>
      </c>
      <c r="T1343" s="1" t="n">
        <v>0</v>
      </c>
      <c r="U1343" s="1" t="n">
        <v>0</v>
      </c>
      <c r="V1343" s="3" t="n">
        <f aca="false">SUM(P1343:Q1343)</f>
        <v>2</v>
      </c>
      <c r="W1343" s="3" t="n">
        <f aca="false">SUM(R1343:T1343)</f>
        <v>0</v>
      </c>
      <c r="X1343" s="10" t="n">
        <v>39969</v>
      </c>
      <c r="Y1343" s="10" t="n">
        <v>39974</v>
      </c>
    </row>
    <row r="1344" customFormat="false" ht="14.25" hidden="false" customHeight="false" outlineLevel="0" collapsed="false">
      <c r="A1344" s="1" t="n">
        <v>2009</v>
      </c>
      <c r="B1344" s="1" t="n">
        <v>1</v>
      </c>
      <c r="C1344" s="2" t="s">
        <v>25</v>
      </c>
      <c r="D1344" s="7" t="s">
        <v>110</v>
      </c>
      <c r="E1344" s="1" t="n">
        <v>3</v>
      </c>
      <c r="F1344" s="1" t="n">
        <f aca="false">Y1344-X1344</f>
        <v>5</v>
      </c>
      <c r="G1344" s="1" t="n">
        <v>5</v>
      </c>
      <c r="H1344" s="3" t="s">
        <v>48</v>
      </c>
      <c r="I1344" s="3" t="s">
        <v>49</v>
      </c>
      <c r="J1344" s="3" t="s">
        <v>104</v>
      </c>
      <c r="K1344" s="2" t="str">
        <f aca="false">CONCATENATE(I1344," ",J1344)</f>
        <v>Alopecosa taeniata</v>
      </c>
      <c r="L1344" s="3" t="n">
        <f aca="false">SUM(P1344:U1344)</f>
        <v>1</v>
      </c>
      <c r="M1344" s="11" t="n">
        <f aca="false">(L1344/(F1344*G1344)*25)*4</f>
        <v>4</v>
      </c>
      <c r="N1344" s="1" t="s">
        <v>30</v>
      </c>
      <c r="O1344" s="1" t="s">
        <v>35</v>
      </c>
      <c r="P1344" s="1" t="n">
        <v>0</v>
      </c>
      <c r="Q1344" s="1" t="n">
        <v>1</v>
      </c>
      <c r="R1344" s="1" t="n">
        <v>0</v>
      </c>
      <c r="S1344" s="1" t="n">
        <v>0</v>
      </c>
      <c r="T1344" s="1" t="n">
        <v>0</v>
      </c>
      <c r="U1344" s="1" t="n">
        <v>0</v>
      </c>
      <c r="V1344" s="3" t="n">
        <f aca="false">SUM(P1344:Q1344)</f>
        <v>1</v>
      </c>
      <c r="W1344" s="3" t="n">
        <f aca="false">SUM(R1344:T1344)</f>
        <v>0</v>
      </c>
      <c r="X1344" s="10" t="n">
        <v>39969</v>
      </c>
      <c r="Y1344" s="10" t="n">
        <v>39974</v>
      </c>
    </row>
    <row r="1345" customFormat="false" ht="14.25" hidden="false" customHeight="false" outlineLevel="0" collapsed="false">
      <c r="A1345" s="1" t="n">
        <v>2009</v>
      </c>
      <c r="B1345" s="1" t="n">
        <v>1</v>
      </c>
      <c r="C1345" s="2" t="s">
        <v>25</v>
      </c>
      <c r="D1345" s="7" t="s">
        <v>110</v>
      </c>
      <c r="E1345" s="1" t="n">
        <v>3</v>
      </c>
      <c r="F1345" s="1" t="n">
        <f aca="false">Y1345-X1345</f>
        <v>5</v>
      </c>
      <c r="G1345" s="1" t="n">
        <v>5</v>
      </c>
      <c r="H1345" s="3" t="s">
        <v>48</v>
      </c>
      <c r="I1345" s="3" t="s">
        <v>49</v>
      </c>
      <c r="J1345" s="3" t="s">
        <v>130</v>
      </c>
      <c r="K1345" s="2" t="str">
        <f aca="false">CONCATENATE(I1345," ",J1345)</f>
        <v>Alopecosa aculeata</v>
      </c>
      <c r="L1345" s="3" t="n">
        <f aca="false">SUM(P1345:U1345)</f>
        <v>2</v>
      </c>
      <c r="M1345" s="11" t="n">
        <f aca="false">(L1345/(F1345*G1345)*25)*4</f>
        <v>8</v>
      </c>
      <c r="N1345" s="1" t="s">
        <v>30</v>
      </c>
      <c r="O1345" s="1" t="s">
        <v>31</v>
      </c>
      <c r="P1345" s="1" t="n">
        <v>2</v>
      </c>
      <c r="Q1345" s="1" t="n">
        <v>0</v>
      </c>
      <c r="R1345" s="1" t="n">
        <v>0</v>
      </c>
      <c r="S1345" s="1" t="n">
        <v>0</v>
      </c>
      <c r="T1345" s="1" t="n">
        <v>0</v>
      </c>
      <c r="U1345" s="1" t="n">
        <v>0</v>
      </c>
      <c r="V1345" s="3" t="n">
        <f aca="false">SUM(P1345:Q1345)</f>
        <v>2</v>
      </c>
      <c r="W1345" s="3" t="n">
        <f aca="false">SUM(R1345:T1345)</f>
        <v>0</v>
      </c>
      <c r="X1345" s="10" t="n">
        <v>39969</v>
      </c>
      <c r="Y1345" s="10" t="n">
        <v>39974</v>
      </c>
    </row>
    <row r="1346" customFormat="false" ht="14.25" hidden="false" customHeight="false" outlineLevel="0" collapsed="false">
      <c r="A1346" s="1" t="n">
        <v>2009</v>
      </c>
      <c r="B1346" s="1" t="n">
        <v>1</v>
      </c>
      <c r="C1346" s="2" t="s">
        <v>25</v>
      </c>
      <c r="D1346" s="7" t="s">
        <v>110</v>
      </c>
      <c r="E1346" s="1" t="n">
        <v>3</v>
      </c>
      <c r="F1346" s="1" t="n">
        <f aca="false">Y1346-X1346</f>
        <v>5</v>
      </c>
      <c r="G1346" s="1" t="n">
        <v>5</v>
      </c>
      <c r="H1346" s="3" t="s">
        <v>48</v>
      </c>
      <c r="I1346" s="3" t="s">
        <v>49</v>
      </c>
      <c r="J1346" s="3" t="s">
        <v>130</v>
      </c>
      <c r="K1346" s="2" t="str">
        <f aca="false">CONCATENATE(I1346," ",J1346)</f>
        <v>Alopecosa aculeata</v>
      </c>
      <c r="L1346" s="3" t="n">
        <f aca="false">SUM(P1346:U1346)</f>
        <v>1</v>
      </c>
      <c r="M1346" s="11" t="n">
        <f aca="false">(L1346/(F1346*G1346)*25)*4</f>
        <v>4</v>
      </c>
      <c r="N1346" s="1" t="s">
        <v>30</v>
      </c>
      <c r="O1346" s="1" t="s">
        <v>35</v>
      </c>
      <c r="P1346" s="1" t="n">
        <v>0</v>
      </c>
      <c r="Q1346" s="1" t="n">
        <v>1</v>
      </c>
      <c r="R1346" s="1" t="n">
        <v>0</v>
      </c>
      <c r="S1346" s="1" t="n">
        <v>0</v>
      </c>
      <c r="T1346" s="1" t="n">
        <v>0</v>
      </c>
      <c r="U1346" s="1" t="n">
        <v>0</v>
      </c>
      <c r="V1346" s="3" t="n">
        <f aca="false">SUM(P1346:Q1346)</f>
        <v>1</v>
      </c>
      <c r="W1346" s="3" t="n">
        <f aca="false">SUM(R1346:T1346)</f>
        <v>0</v>
      </c>
      <c r="X1346" s="10" t="n">
        <v>39969</v>
      </c>
      <c r="Y1346" s="10" t="n">
        <v>39974</v>
      </c>
    </row>
    <row r="1347" customFormat="false" ht="14.25" hidden="false" customHeight="false" outlineLevel="0" collapsed="false">
      <c r="A1347" s="1" t="n">
        <v>2009</v>
      </c>
      <c r="B1347" s="1" t="n">
        <v>1</v>
      </c>
      <c r="C1347" s="2" t="s">
        <v>25</v>
      </c>
      <c r="D1347" s="7" t="s">
        <v>110</v>
      </c>
      <c r="E1347" s="1" t="n">
        <v>3</v>
      </c>
      <c r="F1347" s="1" t="n">
        <f aca="false">Y1347-X1347</f>
        <v>5</v>
      </c>
      <c r="G1347" s="1" t="n">
        <v>5</v>
      </c>
      <c r="H1347" s="3" t="s">
        <v>48</v>
      </c>
      <c r="I1347" s="3" t="s">
        <v>61</v>
      </c>
      <c r="J1347" s="3" t="s">
        <v>38</v>
      </c>
      <c r="K1347" s="2" t="str">
        <f aca="false">CONCATENATE(I1347," ",J1347)</f>
        <v>Trochosa sp</v>
      </c>
      <c r="L1347" s="3" t="n">
        <f aca="false">SUM(P1347:U1347)</f>
        <v>1</v>
      </c>
      <c r="M1347" s="11" t="n">
        <f aca="false">(L1347/(F1347*G1347)*25)*4</f>
        <v>4</v>
      </c>
      <c r="N1347" s="1" t="s">
        <v>19</v>
      </c>
      <c r="O1347" s="1" t="s">
        <v>54</v>
      </c>
      <c r="P1347" s="1" t="n">
        <v>0</v>
      </c>
      <c r="Q1347" s="1" t="n">
        <v>0</v>
      </c>
      <c r="R1347" s="1" t="n">
        <v>0</v>
      </c>
      <c r="S1347" s="1" t="n">
        <v>0</v>
      </c>
      <c r="T1347" s="1" t="n">
        <v>1</v>
      </c>
      <c r="U1347" s="1" t="n">
        <v>0</v>
      </c>
      <c r="V1347" s="3" t="n">
        <f aca="false">SUM(P1347:Q1347)</f>
        <v>0</v>
      </c>
      <c r="W1347" s="3" t="n">
        <f aca="false">SUM(R1347:T1347)</f>
        <v>1</v>
      </c>
      <c r="X1347" s="10" t="n">
        <v>39969</v>
      </c>
      <c r="Y1347" s="10" t="n">
        <v>39974</v>
      </c>
    </row>
    <row r="1348" customFormat="false" ht="14.25" hidden="false" customHeight="false" outlineLevel="0" collapsed="false">
      <c r="A1348" s="1" t="n">
        <v>2009</v>
      </c>
      <c r="B1348" s="1" t="n">
        <v>1</v>
      </c>
      <c r="C1348" s="2" t="s">
        <v>25</v>
      </c>
      <c r="D1348" s="7" t="s">
        <v>110</v>
      </c>
      <c r="E1348" s="1" t="n">
        <v>3</v>
      </c>
      <c r="F1348" s="1" t="n">
        <f aca="false">Y1348-X1348</f>
        <v>5</v>
      </c>
      <c r="G1348" s="1" t="n">
        <v>5</v>
      </c>
      <c r="H1348" s="3" t="s">
        <v>48</v>
      </c>
      <c r="I1348" s="3" t="s">
        <v>57</v>
      </c>
      <c r="J1348" s="3" t="s">
        <v>38</v>
      </c>
      <c r="K1348" s="2" t="str">
        <f aca="false">CONCATENATE(I1348," ",J1348)</f>
        <v>Gen sp</v>
      </c>
      <c r="L1348" s="3" t="n">
        <f aca="false">SUM(P1348:U1348)</f>
        <v>3</v>
      </c>
      <c r="M1348" s="11" t="n">
        <f aca="false">(L1348/(F1348*G1348)*25)*4</f>
        <v>12</v>
      </c>
      <c r="N1348" s="1" t="s">
        <v>19</v>
      </c>
      <c r="O1348" s="1" t="s">
        <v>54</v>
      </c>
      <c r="P1348" s="1" t="n">
        <v>0</v>
      </c>
      <c r="Q1348" s="1" t="n">
        <v>0</v>
      </c>
      <c r="R1348" s="1" t="n">
        <v>0</v>
      </c>
      <c r="S1348" s="1" t="n">
        <v>0</v>
      </c>
      <c r="T1348" s="1" t="n">
        <v>3</v>
      </c>
      <c r="U1348" s="1" t="n">
        <v>0</v>
      </c>
      <c r="V1348" s="3" t="n">
        <f aca="false">SUM(P1348:Q1348)</f>
        <v>0</v>
      </c>
      <c r="W1348" s="3" t="n">
        <f aca="false">SUM(R1348:T1348)</f>
        <v>3</v>
      </c>
      <c r="X1348" s="10" t="n">
        <v>39969</v>
      </c>
      <c r="Y1348" s="10" t="n">
        <v>39974</v>
      </c>
    </row>
    <row r="1349" customFormat="false" ht="14.25" hidden="false" customHeight="false" outlineLevel="0" collapsed="false">
      <c r="A1349" s="1" t="n">
        <v>2009</v>
      </c>
      <c r="B1349" s="1" t="n">
        <v>1</v>
      </c>
      <c r="C1349" s="2" t="s">
        <v>25</v>
      </c>
      <c r="D1349" s="7" t="s">
        <v>110</v>
      </c>
      <c r="E1349" s="1" t="n">
        <v>3</v>
      </c>
      <c r="F1349" s="1" t="n">
        <f aca="false">Y1349-X1349</f>
        <v>5</v>
      </c>
      <c r="G1349" s="1" t="n">
        <v>5</v>
      </c>
      <c r="H1349" s="3" t="s">
        <v>72</v>
      </c>
      <c r="I1349" s="3" t="s">
        <v>73</v>
      </c>
      <c r="J1349" s="3" t="s">
        <v>74</v>
      </c>
      <c r="K1349" s="2" t="str">
        <f aca="false">CONCATENATE(I1349," ",J1349)</f>
        <v>Zelotes subterraneus</v>
      </c>
      <c r="L1349" s="3" t="n">
        <f aca="false">SUM(P1349:U1349)</f>
        <v>1</v>
      </c>
      <c r="M1349" s="11" t="n">
        <f aca="false">(L1349/(F1349*G1349)*25)*4</f>
        <v>4</v>
      </c>
      <c r="N1349" s="1" t="s">
        <v>30</v>
      </c>
      <c r="O1349" s="1" t="s">
        <v>35</v>
      </c>
      <c r="P1349" s="1" t="n">
        <v>0</v>
      </c>
      <c r="Q1349" s="1" t="n">
        <v>1</v>
      </c>
      <c r="R1349" s="1" t="n">
        <v>0</v>
      </c>
      <c r="S1349" s="1" t="n">
        <v>0</v>
      </c>
      <c r="T1349" s="1" t="n">
        <v>0</v>
      </c>
      <c r="U1349" s="1" t="n">
        <v>0</v>
      </c>
      <c r="V1349" s="3" t="n">
        <f aca="false">SUM(P1349:Q1349)</f>
        <v>1</v>
      </c>
      <c r="W1349" s="3" t="n">
        <f aca="false">SUM(R1349:T1349)</f>
        <v>0</v>
      </c>
      <c r="X1349" s="10" t="n">
        <v>39969</v>
      </c>
      <c r="Y1349" s="10" t="n">
        <v>39974</v>
      </c>
    </row>
    <row r="1350" customFormat="false" ht="14.25" hidden="false" customHeight="false" outlineLevel="0" collapsed="false">
      <c r="A1350" s="1" t="n">
        <v>2009</v>
      </c>
      <c r="B1350" s="1" t="n">
        <v>1</v>
      </c>
      <c r="C1350" s="2" t="s">
        <v>25</v>
      </c>
      <c r="D1350" s="7" t="s">
        <v>110</v>
      </c>
      <c r="E1350" s="1" t="n">
        <v>3</v>
      </c>
      <c r="F1350" s="1" t="n">
        <f aca="false">Y1350-X1350</f>
        <v>5</v>
      </c>
      <c r="G1350" s="1" t="n">
        <v>5</v>
      </c>
      <c r="H1350" s="3" t="s">
        <v>36</v>
      </c>
      <c r="I1350" s="3" t="s">
        <v>131</v>
      </c>
      <c r="J1350" s="3" t="s">
        <v>133</v>
      </c>
      <c r="K1350" s="2" t="str">
        <f aca="false">CONCATENATE(I1350," ",J1350)</f>
        <v>Xysticus luctuosus</v>
      </c>
      <c r="L1350" s="3" t="n">
        <f aca="false">SUM(P1350:U1350)</f>
        <v>1</v>
      </c>
      <c r="M1350" s="11" t="n">
        <f aca="false">(L1350/(F1350*G1350)*25)*4</f>
        <v>4</v>
      </c>
      <c r="N1350" s="1" t="s">
        <v>30</v>
      </c>
      <c r="O1350" s="1" t="s">
        <v>31</v>
      </c>
      <c r="P1350" s="1" t="n">
        <v>1</v>
      </c>
      <c r="Q1350" s="1" t="n">
        <v>0</v>
      </c>
      <c r="R1350" s="1" t="n">
        <v>0</v>
      </c>
      <c r="S1350" s="1" t="n">
        <v>0</v>
      </c>
      <c r="T1350" s="1" t="n">
        <v>0</v>
      </c>
      <c r="U1350" s="1" t="n">
        <v>0</v>
      </c>
      <c r="V1350" s="3" t="n">
        <f aca="false">SUM(P1350:Q1350)</f>
        <v>1</v>
      </c>
      <c r="W1350" s="3" t="n">
        <f aca="false">SUM(R1350:T1350)</f>
        <v>0</v>
      </c>
      <c r="X1350" s="10" t="n">
        <v>39969</v>
      </c>
      <c r="Y1350" s="10" t="n">
        <v>39974</v>
      </c>
    </row>
    <row r="1351" customFormat="false" ht="14.25" hidden="false" customHeight="false" outlineLevel="0" collapsed="false">
      <c r="A1351" s="1" t="n">
        <v>2009</v>
      </c>
      <c r="B1351" s="1" t="n">
        <v>1</v>
      </c>
      <c r="C1351" s="2" t="s">
        <v>25</v>
      </c>
      <c r="D1351" s="7" t="s">
        <v>110</v>
      </c>
      <c r="E1351" s="1" t="n">
        <v>3</v>
      </c>
      <c r="F1351" s="1" t="n">
        <f aca="false">Y1351-X1351</f>
        <v>5</v>
      </c>
      <c r="G1351" s="1" t="n">
        <v>5</v>
      </c>
      <c r="H1351" s="3" t="s">
        <v>48</v>
      </c>
      <c r="I1351" s="3" t="s">
        <v>49</v>
      </c>
      <c r="J1351" s="3" t="s">
        <v>104</v>
      </c>
      <c r="K1351" s="2" t="str">
        <f aca="false">CONCATENATE(I1351," ",J1351)</f>
        <v>Alopecosa taeniata</v>
      </c>
      <c r="L1351" s="3" t="n">
        <f aca="false">SUM(P1351:U1351)</f>
        <v>1</v>
      </c>
      <c r="M1351" s="11" t="n">
        <f aca="false">(L1351/(F1351*G1351)*25)*4</f>
        <v>4</v>
      </c>
      <c r="N1351" s="1" t="s">
        <v>30</v>
      </c>
      <c r="O1351" s="1" t="s">
        <v>31</v>
      </c>
      <c r="P1351" s="1" t="n">
        <v>1</v>
      </c>
      <c r="Q1351" s="1" t="n">
        <v>0</v>
      </c>
      <c r="R1351" s="1" t="n">
        <v>0</v>
      </c>
      <c r="S1351" s="1" t="n">
        <v>0</v>
      </c>
      <c r="T1351" s="1" t="n">
        <v>0</v>
      </c>
      <c r="U1351" s="1" t="n">
        <v>0</v>
      </c>
      <c r="V1351" s="3" t="n">
        <f aca="false">SUM(P1351:Q1351)</f>
        <v>1</v>
      </c>
      <c r="W1351" s="3" t="n">
        <f aca="false">SUM(R1351:T1351)</f>
        <v>0</v>
      </c>
      <c r="X1351" s="10" t="n">
        <v>39969</v>
      </c>
      <c r="Y1351" s="10" t="n">
        <v>39974</v>
      </c>
    </row>
    <row r="1352" customFormat="false" ht="14.25" hidden="false" customHeight="false" outlineLevel="0" collapsed="false">
      <c r="A1352" s="1" t="n">
        <v>2009</v>
      </c>
      <c r="B1352" s="1" t="n">
        <v>1</v>
      </c>
      <c r="C1352" s="2" t="s">
        <v>25</v>
      </c>
      <c r="D1352" s="7" t="s">
        <v>110</v>
      </c>
      <c r="E1352" s="1" t="n">
        <v>3</v>
      </c>
      <c r="F1352" s="1" t="n">
        <f aca="false">Y1352-X1352</f>
        <v>5</v>
      </c>
      <c r="G1352" s="1" t="n">
        <v>5</v>
      </c>
      <c r="H1352" s="3" t="s">
        <v>48</v>
      </c>
      <c r="I1352" s="3" t="s">
        <v>49</v>
      </c>
      <c r="J1352" s="3" t="s">
        <v>104</v>
      </c>
      <c r="K1352" s="2" t="str">
        <f aca="false">CONCATENATE(I1352," ",J1352)</f>
        <v>Alopecosa taeniata</v>
      </c>
      <c r="L1352" s="3" t="n">
        <f aca="false">SUM(P1352:U1352)</f>
        <v>1</v>
      </c>
      <c r="M1352" s="11" t="n">
        <f aca="false">(L1352/(F1352*G1352)*25)*4</f>
        <v>4</v>
      </c>
      <c r="N1352" s="1" t="s">
        <v>30</v>
      </c>
      <c r="O1352" s="1" t="s">
        <v>35</v>
      </c>
      <c r="P1352" s="1" t="n">
        <v>0</v>
      </c>
      <c r="Q1352" s="1" t="n">
        <v>1</v>
      </c>
      <c r="R1352" s="1" t="n">
        <v>0</v>
      </c>
      <c r="S1352" s="1" t="n">
        <v>0</v>
      </c>
      <c r="T1352" s="1" t="n">
        <v>0</v>
      </c>
      <c r="U1352" s="1" t="n">
        <v>0</v>
      </c>
      <c r="V1352" s="3" t="n">
        <f aca="false">SUM(P1352:Q1352)</f>
        <v>1</v>
      </c>
      <c r="W1352" s="3" t="n">
        <f aca="false">SUM(R1352:T1352)</f>
        <v>0</v>
      </c>
      <c r="X1352" s="10" t="n">
        <v>39969</v>
      </c>
      <c r="Y1352" s="10" t="n">
        <v>39974</v>
      </c>
    </row>
    <row r="1353" customFormat="false" ht="14.25" hidden="false" customHeight="false" outlineLevel="0" collapsed="false">
      <c r="A1353" s="1" t="n">
        <v>2009</v>
      </c>
      <c r="B1353" s="1" t="n">
        <v>1</v>
      </c>
      <c r="C1353" s="2" t="s">
        <v>25</v>
      </c>
      <c r="D1353" s="7" t="s">
        <v>110</v>
      </c>
      <c r="E1353" s="1" t="n">
        <v>3</v>
      </c>
      <c r="F1353" s="1" t="n">
        <f aca="false">Y1353-X1353</f>
        <v>5</v>
      </c>
      <c r="G1353" s="1" t="n">
        <v>5</v>
      </c>
      <c r="H1353" s="3" t="s">
        <v>48</v>
      </c>
      <c r="I1353" s="3" t="s">
        <v>49</v>
      </c>
      <c r="J1353" s="3" t="s">
        <v>130</v>
      </c>
      <c r="K1353" s="2" t="str">
        <f aca="false">CONCATENATE(I1353," ",J1353)</f>
        <v>Alopecosa aculeata</v>
      </c>
      <c r="L1353" s="3" t="n">
        <f aca="false">SUM(P1353:U1353)</f>
        <v>2</v>
      </c>
      <c r="M1353" s="11" t="n">
        <f aca="false">(L1353/(F1353*G1353)*25)*4</f>
        <v>8</v>
      </c>
      <c r="N1353" s="1" t="s">
        <v>30</v>
      </c>
      <c r="O1353" s="1" t="s">
        <v>31</v>
      </c>
      <c r="P1353" s="1" t="n">
        <v>2</v>
      </c>
      <c r="Q1353" s="1" t="n">
        <v>0</v>
      </c>
      <c r="R1353" s="1" t="n">
        <v>0</v>
      </c>
      <c r="S1353" s="1" t="n">
        <v>0</v>
      </c>
      <c r="T1353" s="1" t="n">
        <v>0</v>
      </c>
      <c r="U1353" s="1" t="n">
        <v>0</v>
      </c>
      <c r="V1353" s="3" t="n">
        <f aca="false">SUM(P1353:Q1353)</f>
        <v>2</v>
      </c>
      <c r="W1353" s="3" t="n">
        <f aca="false">SUM(R1353:T1353)</f>
        <v>0</v>
      </c>
      <c r="X1353" s="10" t="n">
        <v>39969</v>
      </c>
      <c r="Y1353" s="10" t="n">
        <v>39974</v>
      </c>
    </row>
    <row r="1354" customFormat="false" ht="14.25" hidden="false" customHeight="false" outlineLevel="0" collapsed="false">
      <c r="A1354" s="1" t="n">
        <v>2009</v>
      </c>
      <c r="B1354" s="1" t="n">
        <v>1</v>
      </c>
      <c r="C1354" s="2" t="s">
        <v>25</v>
      </c>
      <c r="D1354" s="7" t="s">
        <v>110</v>
      </c>
      <c r="E1354" s="1" t="n">
        <v>3</v>
      </c>
      <c r="F1354" s="1" t="n">
        <f aca="false">Y1354-X1354</f>
        <v>5</v>
      </c>
      <c r="G1354" s="1" t="n">
        <v>5</v>
      </c>
      <c r="H1354" s="3" t="s">
        <v>48</v>
      </c>
      <c r="I1354" s="3" t="s">
        <v>49</v>
      </c>
      <c r="J1354" s="3" t="s">
        <v>119</v>
      </c>
      <c r="K1354" s="2" t="str">
        <f aca="false">CONCATENATE(I1354," ",J1354)</f>
        <v>Alopecosa sulzeri</v>
      </c>
      <c r="L1354" s="3" t="n">
        <f aca="false">SUM(P1354:U1354)</f>
        <v>1</v>
      </c>
      <c r="M1354" s="11" t="n">
        <f aca="false">(L1354/(F1354*G1354)*25)*4</f>
        <v>4</v>
      </c>
      <c r="N1354" s="1" t="s">
        <v>30</v>
      </c>
      <c r="O1354" s="1" t="s">
        <v>31</v>
      </c>
      <c r="P1354" s="1" t="n">
        <v>1</v>
      </c>
      <c r="Q1354" s="1" t="n">
        <v>0</v>
      </c>
      <c r="R1354" s="1" t="n">
        <v>0</v>
      </c>
      <c r="S1354" s="1" t="n">
        <v>0</v>
      </c>
      <c r="T1354" s="1" t="n">
        <v>0</v>
      </c>
      <c r="U1354" s="1" t="n">
        <v>0</v>
      </c>
      <c r="V1354" s="3" t="n">
        <f aca="false">SUM(P1354:Q1354)</f>
        <v>1</v>
      </c>
      <c r="W1354" s="3" t="n">
        <f aca="false">SUM(R1354:T1354)</f>
        <v>0</v>
      </c>
      <c r="X1354" s="10" t="n">
        <v>39969</v>
      </c>
      <c r="Y1354" s="10" t="n">
        <v>39974</v>
      </c>
    </row>
    <row r="1355" customFormat="false" ht="14.25" hidden="false" customHeight="false" outlineLevel="0" collapsed="false">
      <c r="A1355" s="1" t="n">
        <v>2009</v>
      </c>
      <c r="B1355" s="1" t="n">
        <v>1</v>
      </c>
      <c r="C1355" s="2" t="s">
        <v>25</v>
      </c>
      <c r="D1355" s="7" t="s">
        <v>110</v>
      </c>
      <c r="E1355" s="1" t="n">
        <v>3</v>
      </c>
      <c r="F1355" s="1" t="n">
        <f aca="false">Y1355-X1355</f>
        <v>5</v>
      </c>
      <c r="G1355" s="1" t="n">
        <v>5</v>
      </c>
      <c r="H1355" s="3" t="s">
        <v>48</v>
      </c>
      <c r="I1355" s="3" t="s">
        <v>67</v>
      </c>
      <c r="J1355" s="3" t="s">
        <v>127</v>
      </c>
      <c r="K1355" s="2" t="str">
        <f aca="false">CONCATENATE(I1355," ",J1355)</f>
        <v>Pardosa lugubris</v>
      </c>
      <c r="L1355" s="3" t="n">
        <f aca="false">SUM(P1355:U1355)</f>
        <v>1</v>
      </c>
      <c r="M1355" s="11" t="n">
        <f aca="false">(L1355/(F1355*G1355)*25)*4</f>
        <v>4</v>
      </c>
      <c r="N1355" s="1" t="s">
        <v>30</v>
      </c>
      <c r="O1355" s="1" t="s">
        <v>31</v>
      </c>
      <c r="P1355" s="1" t="n">
        <v>1</v>
      </c>
      <c r="Q1355" s="1" t="n">
        <v>0</v>
      </c>
      <c r="R1355" s="1" t="n">
        <v>0</v>
      </c>
      <c r="S1355" s="1" t="n">
        <v>0</v>
      </c>
      <c r="T1355" s="1" t="n">
        <v>0</v>
      </c>
      <c r="U1355" s="1" t="n">
        <v>0</v>
      </c>
      <c r="V1355" s="3" t="n">
        <f aca="false">SUM(P1355:Q1355)</f>
        <v>1</v>
      </c>
      <c r="W1355" s="3" t="n">
        <f aca="false">SUM(R1355:T1355)</f>
        <v>0</v>
      </c>
      <c r="X1355" s="10" t="n">
        <v>39969</v>
      </c>
      <c r="Y1355" s="10" t="n">
        <v>39974</v>
      </c>
    </row>
    <row r="1356" customFormat="false" ht="14.25" hidden="false" customHeight="false" outlineLevel="0" collapsed="false">
      <c r="A1356" s="1" t="n">
        <v>2009</v>
      </c>
      <c r="B1356" s="1" t="n">
        <v>1</v>
      </c>
      <c r="C1356" s="2" t="s">
        <v>25</v>
      </c>
      <c r="D1356" s="7" t="s">
        <v>110</v>
      </c>
      <c r="E1356" s="1" t="n">
        <v>3</v>
      </c>
      <c r="F1356" s="1" t="n">
        <f aca="false">Y1356-X1356</f>
        <v>5</v>
      </c>
      <c r="G1356" s="1" t="n">
        <v>5</v>
      </c>
      <c r="H1356" s="3" t="s">
        <v>48</v>
      </c>
      <c r="I1356" s="3" t="s">
        <v>57</v>
      </c>
      <c r="J1356" s="3" t="s">
        <v>38</v>
      </c>
      <c r="K1356" s="2" t="str">
        <f aca="false">CONCATENATE(I1356," ",J1356)</f>
        <v>Gen sp</v>
      </c>
      <c r="L1356" s="3" t="n">
        <f aca="false">SUM(P1356:U1356)</f>
        <v>3</v>
      </c>
      <c r="M1356" s="11" t="n">
        <f aca="false">(L1356/(F1356*G1356)*25)*4</f>
        <v>12</v>
      </c>
      <c r="N1356" s="1" t="s">
        <v>19</v>
      </c>
      <c r="O1356" s="1" t="s">
        <v>54</v>
      </c>
      <c r="P1356" s="1" t="n">
        <v>0</v>
      </c>
      <c r="Q1356" s="1" t="n">
        <v>0</v>
      </c>
      <c r="R1356" s="1" t="n">
        <v>0</v>
      </c>
      <c r="S1356" s="1" t="n">
        <v>0</v>
      </c>
      <c r="T1356" s="1" t="n">
        <v>3</v>
      </c>
      <c r="U1356" s="1" t="n">
        <v>0</v>
      </c>
      <c r="V1356" s="3" t="n">
        <f aca="false">SUM(P1356:Q1356)</f>
        <v>0</v>
      </c>
      <c r="W1356" s="3" t="n">
        <f aca="false">SUM(R1356:T1356)</f>
        <v>3</v>
      </c>
      <c r="X1356" s="10" t="n">
        <v>39969</v>
      </c>
      <c r="Y1356" s="10" t="n">
        <v>39974</v>
      </c>
    </row>
    <row r="1357" customFormat="false" ht="14.25" hidden="false" customHeight="false" outlineLevel="0" collapsed="false">
      <c r="A1357" s="1" t="n">
        <v>2009</v>
      </c>
      <c r="B1357" s="1" t="n">
        <v>1</v>
      </c>
      <c r="C1357" s="2" t="s">
        <v>25</v>
      </c>
      <c r="D1357" s="7" t="s">
        <v>110</v>
      </c>
      <c r="E1357" s="1" t="n">
        <v>3</v>
      </c>
      <c r="F1357" s="1" t="n">
        <f aca="false">Y1357-X1357</f>
        <v>5</v>
      </c>
      <c r="G1357" s="1" t="n">
        <v>5</v>
      </c>
      <c r="H1357" s="3" t="s">
        <v>72</v>
      </c>
      <c r="I1357" s="3" t="s">
        <v>86</v>
      </c>
      <c r="J1357" s="8" t="s">
        <v>87</v>
      </c>
      <c r="K1357" s="2" t="str">
        <f aca="false">CONCATENATE(I1357," ",J1357)</f>
        <v>Haplodrassus soerenseni</v>
      </c>
      <c r="L1357" s="3" t="n">
        <f aca="false">SUM(P1357:U1357)</f>
        <v>1</v>
      </c>
      <c r="M1357" s="11" t="n">
        <f aca="false">(L1357/(F1357*G1357)*25)*4</f>
        <v>4</v>
      </c>
      <c r="N1357" s="1" t="s">
        <v>30</v>
      </c>
      <c r="O1357" s="1" t="s">
        <v>35</v>
      </c>
      <c r="P1357" s="1" t="n">
        <v>0</v>
      </c>
      <c r="Q1357" s="1" t="n">
        <v>1</v>
      </c>
      <c r="R1357" s="1" t="n">
        <v>0</v>
      </c>
      <c r="S1357" s="1" t="n">
        <v>0</v>
      </c>
      <c r="T1357" s="1" t="n">
        <v>0</v>
      </c>
      <c r="U1357" s="1" t="n">
        <v>0</v>
      </c>
      <c r="V1357" s="3" t="n">
        <f aca="false">SUM(P1357:Q1357)</f>
        <v>1</v>
      </c>
      <c r="W1357" s="3" t="n">
        <f aca="false">SUM(R1357:T1357)</f>
        <v>0</v>
      </c>
      <c r="X1357" s="10" t="n">
        <v>39969</v>
      </c>
      <c r="Y1357" s="10" t="n">
        <v>39974</v>
      </c>
    </row>
    <row r="1358" customFormat="false" ht="14.25" hidden="false" customHeight="false" outlineLevel="0" collapsed="false">
      <c r="A1358" s="1" t="n">
        <v>2009</v>
      </c>
      <c r="B1358" s="1" t="n">
        <v>1</v>
      </c>
      <c r="C1358" s="2" t="s">
        <v>25</v>
      </c>
      <c r="D1358" s="7" t="s">
        <v>110</v>
      </c>
      <c r="E1358" s="1" t="n">
        <v>3</v>
      </c>
      <c r="F1358" s="1" t="n">
        <f aca="false">Y1358-X1358</f>
        <v>5</v>
      </c>
      <c r="G1358" s="1" t="n">
        <v>5</v>
      </c>
      <c r="H1358" s="3" t="s">
        <v>36</v>
      </c>
      <c r="I1358" s="3" t="s">
        <v>37</v>
      </c>
      <c r="J1358" s="8" t="s">
        <v>75</v>
      </c>
      <c r="K1358" s="2" t="str">
        <f aca="false">CONCATENATE(I1358," ",J1358)</f>
        <v>Ozyptila praticola</v>
      </c>
      <c r="L1358" s="3" t="n">
        <f aca="false">SUM(P1358:U1358)</f>
        <v>1</v>
      </c>
      <c r="M1358" s="11" t="n">
        <f aca="false">(L1358/(F1358*G1358)*25)*4</f>
        <v>4</v>
      </c>
      <c r="N1358" s="1" t="s">
        <v>30</v>
      </c>
      <c r="O1358" s="1" t="s">
        <v>31</v>
      </c>
      <c r="P1358" s="1" t="n">
        <v>1</v>
      </c>
      <c r="Q1358" s="1" t="n">
        <v>0</v>
      </c>
      <c r="R1358" s="1" t="n">
        <v>0</v>
      </c>
      <c r="S1358" s="1" t="n">
        <v>0</v>
      </c>
      <c r="T1358" s="1" t="n">
        <v>0</v>
      </c>
      <c r="U1358" s="1" t="n">
        <v>0</v>
      </c>
      <c r="V1358" s="3" t="n">
        <f aca="false">SUM(P1358:Q1358)</f>
        <v>1</v>
      </c>
      <c r="W1358" s="3" t="n">
        <f aca="false">SUM(R1358:T1358)</f>
        <v>0</v>
      </c>
      <c r="X1358" s="10" t="n">
        <v>39969</v>
      </c>
      <c r="Y1358" s="10" t="n">
        <v>39974</v>
      </c>
    </row>
    <row r="1359" customFormat="false" ht="14.25" hidden="false" customHeight="false" outlineLevel="0" collapsed="false">
      <c r="A1359" s="1" t="n">
        <v>2009</v>
      </c>
      <c r="B1359" s="1" t="n">
        <v>1</v>
      </c>
      <c r="C1359" s="2" t="s">
        <v>25</v>
      </c>
      <c r="D1359" s="7" t="s">
        <v>110</v>
      </c>
      <c r="E1359" s="1" t="n">
        <v>3</v>
      </c>
      <c r="F1359" s="1" t="n">
        <f aca="false">Y1359-X1359</f>
        <v>5</v>
      </c>
      <c r="G1359" s="1" t="n">
        <v>5</v>
      </c>
      <c r="H1359" s="3" t="s">
        <v>36</v>
      </c>
      <c r="I1359" s="3" t="s">
        <v>131</v>
      </c>
      <c r="J1359" s="3" t="s">
        <v>133</v>
      </c>
      <c r="K1359" s="2" t="str">
        <f aca="false">CONCATENATE(I1359," ",J1359)</f>
        <v>Xysticus luctuosus</v>
      </c>
      <c r="L1359" s="3" t="n">
        <f aca="false">SUM(P1359:U1359)</f>
        <v>3</v>
      </c>
      <c r="M1359" s="11" t="n">
        <f aca="false">(L1359/(F1359*G1359)*25)*4</f>
        <v>12</v>
      </c>
      <c r="N1359" s="1" t="s">
        <v>30</v>
      </c>
      <c r="O1359" s="1" t="s">
        <v>31</v>
      </c>
      <c r="P1359" s="1" t="n">
        <v>3</v>
      </c>
      <c r="Q1359" s="1" t="n">
        <v>0</v>
      </c>
      <c r="R1359" s="1" t="n">
        <v>0</v>
      </c>
      <c r="S1359" s="1" t="n">
        <v>0</v>
      </c>
      <c r="T1359" s="1" t="n">
        <v>0</v>
      </c>
      <c r="U1359" s="1" t="n">
        <v>0</v>
      </c>
      <c r="V1359" s="3" t="n">
        <f aca="false">SUM(P1359:Q1359)</f>
        <v>3</v>
      </c>
      <c r="W1359" s="3" t="n">
        <f aca="false">SUM(R1359:T1359)</f>
        <v>0</v>
      </c>
      <c r="X1359" s="10" t="n">
        <v>39969</v>
      </c>
      <c r="Y1359" s="10" t="n">
        <v>39974</v>
      </c>
    </row>
    <row r="1360" customFormat="false" ht="14.25" hidden="false" customHeight="false" outlineLevel="0" collapsed="false">
      <c r="A1360" s="1" t="n">
        <v>2009</v>
      </c>
      <c r="B1360" s="1" t="n">
        <v>1</v>
      </c>
      <c r="C1360" s="2" t="s">
        <v>25</v>
      </c>
      <c r="D1360" s="7" t="s">
        <v>110</v>
      </c>
      <c r="E1360" s="1" t="n">
        <v>3</v>
      </c>
      <c r="F1360" s="1" t="n">
        <f aca="false">Y1360-X1360</f>
        <v>5</v>
      </c>
      <c r="G1360" s="1" t="n">
        <v>5</v>
      </c>
      <c r="H1360" s="3" t="s">
        <v>135</v>
      </c>
      <c r="I1360" s="3" t="s">
        <v>136</v>
      </c>
      <c r="J1360" s="3" t="s">
        <v>137</v>
      </c>
      <c r="K1360" s="2" t="str">
        <f aca="false">CONCATENATE(I1360," ",J1360)</f>
        <v>Thanatus sabulosus</v>
      </c>
      <c r="L1360" s="3" t="n">
        <f aca="false">SUM(P1360:U1360)</f>
        <v>1</v>
      </c>
      <c r="M1360" s="11" t="n">
        <f aca="false">(L1360/(F1360*G1360)*25)*4</f>
        <v>4</v>
      </c>
      <c r="N1360" s="1" t="s">
        <v>30</v>
      </c>
      <c r="O1360" s="1" t="s">
        <v>31</v>
      </c>
      <c r="P1360" s="1" t="n">
        <v>1</v>
      </c>
      <c r="Q1360" s="1" t="n">
        <v>0</v>
      </c>
      <c r="R1360" s="1" t="n">
        <v>0</v>
      </c>
      <c r="S1360" s="1" t="n">
        <v>0</v>
      </c>
      <c r="T1360" s="1" t="n">
        <v>0</v>
      </c>
      <c r="U1360" s="1" t="n">
        <v>0</v>
      </c>
      <c r="V1360" s="3" t="n">
        <f aca="false">SUM(P1360:Q1360)</f>
        <v>1</v>
      </c>
      <c r="W1360" s="3" t="n">
        <f aca="false">SUM(R1360:T1360)</f>
        <v>0</v>
      </c>
      <c r="X1360" s="10" t="n">
        <v>39969</v>
      </c>
      <c r="Y1360" s="10" t="n">
        <v>39974</v>
      </c>
    </row>
    <row r="1361" customFormat="false" ht="14.25" hidden="false" customHeight="false" outlineLevel="0" collapsed="false">
      <c r="A1361" s="1" t="n">
        <v>2009</v>
      </c>
      <c r="B1361" s="1" t="n">
        <v>1</v>
      </c>
      <c r="C1361" s="2" t="s">
        <v>25</v>
      </c>
      <c r="D1361" s="7" t="s">
        <v>110</v>
      </c>
      <c r="E1361" s="1" t="n">
        <v>3</v>
      </c>
      <c r="F1361" s="1" t="n">
        <f aca="false">Y1361-X1361</f>
        <v>5</v>
      </c>
      <c r="G1361" s="1" t="n">
        <v>5</v>
      </c>
      <c r="H1361" s="13" t="s">
        <v>32</v>
      </c>
      <c r="I1361" s="13" t="s">
        <v>96</v>
      </c>
      <c r="J1361" s="14" t="s">
        <v>97</v>
      </c>
      <c r="K1361" s="2" t="str">
        <f aca="false">CONCATENATE(I1361," ",J1361)</f>
        <v>Diplocephalus picinus</v>
      </c>
      <c r="L1361" s="3" t="n">
        <f aca="false">SUM(P1361:U1361)</f>
        <v>1</v>
      </c>
      <c r="M1361" s="11" t="n">
        <f aca="false">(L1361/(F1361*G1361)*25)*4</f>
        <v>4</v>
      </c>
      <c r="N1361" s="1" t="s">
        <v>30</v>
      </c>
      <c r="O1361" s="1" t="s">
        <v>31</v>
      </c>
      <c r="P1361" s="1" t="n">
        <v>1</v>
      </c>
      <c r="Q1361" s="1" t="n">
        <v>0</v>
      </c>
      <c r="R1361" s="1" t="n">
        <v>0</v>
      </c>
      <c r="S1361" s="1" t="n">
        <v>0</v>
      </c>
      <c r="T1361" s="1" t="n">
        <v>0</v>
      </c>
      <c r="U1361" s="1" t="n">
        <v>0</v>
      </c>
      <c r="V1361" s="3" t="n">
        <f aca="false">SUM(P1361:Q1361)</f>
        <v>1</v>
      </c>
      <c r="W1361" s="3" t="n">
        <f aca="false">SUM(R1361:T1361)</f>
        <v>0</v>
      </c>
      <c r="X1361" s="10" t="n">
        <v>39969</v>
      </c>
      <c r="Y1361" s="10" t="n">
        <v>39974</v>
      </c>
    </row>
    <row r="1362" customFormat="false" ht="14.25" hidden="false" customHeight="false" outlineLevel="0" collapsed="false">
      <c r="A1362" s="1" t="n">
        <v>2009</v>
      </c>
      <c r="B1362" s="1" t="n">
        <v>1</v>
      </c>
      <c r="C1362" s="2" t="s">
        <v>25</v>
      </c>
      <c r="D1362" s="7" t="s">
        <v>110</v>
      </c>
      <c r="E1362" s="1" t="n">
        <v>3</v>
      </c>
      <c r="F1362" s="1" t="n">
        <f aca="false">Y1362-X1362</f>
        <v>5</v>
      </c>
      <c r="G1362" s="1" t="n">
        <v>5</v>
      </c>
      <c r="H1362" s="3" t="s">
        <v>48</v>
      </c>
      <c r="I1362" s="3" t="s">
        <v>49</v>
      </c>
      <c r="J1362" s="3" t="s">
        <v>130</v>
      </c>
      <c r="K1362" s="2" t="str">
        <f aca="false">CONCATENATE(I1362," ",J1362)</f>
        <v>Alopecosa aculeata</v>
      </c>
      <c r="L1362" s="3" t="n">
        <f aca="false">SUM(P1362:U1362)</f>
        <v>1</v>
      </c>
      <c r="M1362" s="11" t="n">
        <f aca="false">(L1362/(F1362*G1362)*25)*4</f>
        <v>4</v>
      </c>
      <c r="N1362" s="1" t="s">
        <v>30</v>
      </c>
      <c r="O1362" s="1" t="s">
        <v>31</v>
      </c>
      <c r="P1362" s="1" t="n">
        <v>1</v>
      </c>
      <c r="Q1362" s="1" t="n">
        <v>0</v>
      </c>
      <c r="R1362" s="1" t="n">
        <v>0</v>
      </c>
      <c r="S1362" s="1" t="n">
        <v>0</v>
      </c>
      <c r="T1362" s="1" t="n">
        <v>0</v>
      </c>
      <c r="U1362" s="1" t="n">
        <v>0</v>
      </c>
      <c r="V1362" s="3" t="n">
        <f aca="false">SUM(P1362:Q1362)</f>
        <v>1</v>
      </c>
      <c r="W1362" s="3" t="n">
        <f aca="false">SUM(R1362:T1362)</f>
        <v>0</v>
      </c>
      <c r="X1362" s="10" t="n">
        <v>39969</v>
      </c>
      <c r="Y1362" s="10" t="n">
        <v>39974</v>
      </c>
    </row>
    <row r="1363" customFormat="false" ht="14.25" hidden="false" customHeight="false" outlineLevel="0" collapsed="false">
      <c r="A1363" s="1" t="n">
        <v>2009</v>
      </c>
      <c r="B1363" s="1" t="n">
        <v>1</v>
      </c>
      <c r="C1363" s="2" t="s">
        <v>25</v>
      </c>
      <c r="D1363" s="7" t="s">
        <v>110</v>
      </c>
      <c r="E1363" s="1" t="n">
        <v>3</v>
      </c>
      <c r="F1363" s="1" t="n">
        <f aca="false">Y1363-X1363</f>
        <v>5</v>
      </c>
      <c r="G1363" s="1" t="n">
        <v>5</v>
      </c>
      <c r="H1363" s="3" t="s">
        <v>48</v>
      </c>
      <c r="I1363" s="3" t="s">
        <v>61</v>
      </c>
      <c r="J1363" s="3" t="s">
        <v>82</v>
      </c>
      <c r="K1363" s="2" t="str">
        <f aca="false">CONCATENATE(I1363," ",J1363)</f>
        <v>Trochosa terricola</v>
      </c>
      <c r="L1363" s="3" t="n">
        <f aca="false">SUM(P1363:U1363)</f>
        <v>1</v>
      </c>
      <c r="M1363" s="11" t="n">
        <f aca="false">(L1363/(F1363*G1363)*25)*4</f>
        <v>4</v>
      </c>
      <c r="N1363" s="1" t="s">
        <v>30</v>
      </c>
      <c r="O1363" s="1" t="s">
        <v>35</v>
      </c>
      <c r="P1363" s="1" t="n">
        <v>0</v>
      </c>
      <c r="Q1363" s="1" t="n">
        <v>1</v>
      </c>
      <c r="R1363" s="1" t="n">
        <v>0</v>
      </c>
      <c r="S1363" s="1" t="n">
        <v>0</v>
      </c>
      <c r="T1363" s="1" t="n">
        <v>0</v>
      </c>
      <c r="U1363" s="1" t="n">
        <v>0</v>
      </c>
      <c r="V1363" s="3" t="n">
        <f aca="false">SUM(P1363:Q1363)</f>
        <v>1</v>
      </c>
      <c r="W1363" s="3" t="n">
        <f aca="false">SUM(R1363:T1363)</f>
        <v>0</v>
      </c>
      <c r="X1363" s="10" t="n">
        <v>39969</v>
      </c>
      <c r="Y1363" s="10" t="n">
        <v>39974</v>
      </c>
    </row>
    <row r="1364" customFormat="false" ht="14.25" hidden="false" customHeight="false" outlineLevel="0" collapsed="false">
      <c r="A1364" s="1" t="n">
        <v>2009</v>
      </c>
      <c r="B1364" s="1" t="n">
        <v>1</v>
      </c>
      <c r="C1364" s="2" t="s">
        <v>25</v>
      </c>
      <c r="D1364" s="7" t="s">
        <v>110</v>
      </c>
      <c r="E1364" s="1" t="n">
        <v>3</v>
      </c>
      <c r="F1364" s="1" t="n">
        <f aca="false">Y1364-X1364</f>
        <v>5</v>
      </c>
      <c r="G1364" s="1" t="n">
        <v>5</v>
      </c>
      <c r="H1364" s="3" t="s">
        <v>36</v>
      </c>
      <c r="I1364" s="3" t="s">
        <v>131</v>
      </c>
      <c r="J1364" s="3" t="s">
        <v>133</v>
      </c>
      <c r="K1364" s="2" t="str">
        <f aca="false">CONCATENATE(I1364," ",J1364)</f>
        <v>Xysticus luctuosus</v>
      </c>
      <c r="L1364" s="3" t="n">
        <f aca="false">SUM(P1364:U1364)</f>
        <v>1</v>
      </c>
      <c r="M1364" s="11" t="n">
        <f aca="false">(L1364/(F1364*G1364)*25)*4</f>
        <v>4</v>
      </c>
      <c r="N1364" s="1" t="s">
        <v>30</v>
      </c>
      <c r="O1364" s="1" t="s">
        <v>31</v>
      </c>
      <c r="P1364" s="1" t="n">
        <v>1</v>
      </c>
      <c r="Q1364" s="1" t="n">
        <v>0</v>
      </c>
      <c r="R1364" s="1" t="n">
        <v>0</v>
      </c>
      <c r="S1364" s="1" t="n">
        <v>0</v>
      </c>
      <c r="T1364" s="1" t="n">
        <v>0</v>
      </c>
      <c r="U1364" s="1" t="n">
        <v>0</v>
      </c>
      <c r="V1364" s="3" t="n">
        <f aca="false">SUM(P1364:Q1364)</f>
        <v>1</v>
      </c>
      <c r="W1364" s="3" t="n">
        <f aca="false">SUM(R1364:T1364)</f>
        <v>0</v>
      </c>
      <c r="X1364" s="10" t="n">
        <v>39969</v>
      </c>
      <c r="Y1364" s="10" t="n">
        <v>39974</v>
      </c>
    </row>
    <row r="1365" customFormat="false" ht="14.25" hidden="false" customHeight="false" outlineLevel="0" collapsed="false">
      <c r="A1365" s="1" t="n">
        <v>2009</v>
      </c>
      <c r="B1365" s="1" t="n">
        <v>1</v>
      </c>
      <c r="C1365" s="2" t="s">
        <v>25</v>
      </c>
      <c r="D1365" s="7" t="s">
        <v>110</v>
      </c>
      <c r="E1365" s="1" t="n">
        <v>3</v>
      </c>
      <c r="F1365" s="1" t="n">
        <f aca="false">Y1365-X1365</f>
        <v>5</v>
      </c>
      <c r="G1365" s="1" t="n">
        <v>5</v>
      </c>
      <c r="H1365" s="3" t="s">
        <v>48</v>
      </c>
      <c r="I1365" s="3" t="s">
        <v>49</v>
      </c>
      <c r="J1365" s="3" t="s">
        <v>130</v>
      </c>
      <c r="K1365" s="2" t="str">
        <f aca="false">CONCATENATE(I1365," ",J1365)</f>
        <v>Alopecosa aculeata</v>
      </c>
      <c r="L1365" s="3" t="n">
        <f aca="false">SUM(P1365:U1365)</f>
        <v>2</v>
      </c>
      <c r="M1365" s="11" t="n">
        <f aca="false">(L1365/(F1365*G1365)*25)*4</f>
        <v>8</v>
      </c>
      <c r="N1365" s="1" t="s">
        <v>30</v>
      </c>
      <c r="O1365" s="1" t="s">
        <v>31</v>
      </c>
      <c r="P1365" s="1" t="n">
        <v>2</v>
      </c>
      <c r="Q1365" s="1" t="n">
        <v>0</v>
      </c>
      <c r="R1365" s="1" t="n">
        <v>0</v>
      </c>
      <c r="S1365" s="1" t="n">
        <v>0</v>
      </c>
      <c r="T1365" s="1" t="n">
        <v>0</v>
      </c>
      <c r="U1365" s="1" t="n">
        <v>0</v>
      </c>
      <c r="V1365" s="3" t="n">
        <f aca="false">SUM(P1365:Q1365)</f>
        <v>2</v>
      </c>
      <c r="W1365" s="3" t="n">
        <f aca="false">SUM(R1365:T1365)</f>
        <v>0</v>
      </c>
      <c r="X1365" s="10" t="n">
        <v>39969</v>
      </c>
      <c r="Y1365" s="10" t="n">
        <v>39974</v>
      </c>
    </row>
    <row r="1366" customFormat="false" ht="14.25" hidden="false" customHeight="false" outlineLevel="0" collapsed="false">
      <c r="A1366" s="1" t="n">
        <v>2009</v>
      </c>
      <c r="B1366" s="1" t="n">
        <v>1</v>
      </c>
      <c r="C1366" s="2" t="s">
        <v>25</v>
      </c>
      <c r="D1366" s="7" t="s">
        <v>110</v>
      </c>
      <c r="E1366" s="1" t="n">
        <v>3</v>
      </c>
      <c r="F1366" s="1" t="n">
        <f aca="false">Y1366-X1366</f>
        <v>5</v>
      </c>
      <c r="G1366" s="1" t="n">
        <v>5</v>
      </c>
      <c r="H1366" s="3" t="s">
        <v>48</v>
      </c>
      <c r="I1366" s="3" t="s">
        <v>57</v>
      </c>
      <c r="J1366" s="3" t="s">
        <v>38</v>
      </c>
      <c r="K1366" s="2" t="str">
        <f aca="false">CONCATENATE(I1366," ",J1366)</f>
        <v>Gen sp</v>
      </c>
      <c r="L1366" s="3" t="n">
        <f aca="false">SUM(P1366:U1366)</f>
        <v>1</v>
      </c>
      <c r="M1366" s="11" t="n">
        <f aca="false">(L1366/(F1366*G1366)*25)*4</f>
        <v>4</v>
      </c>
      <c r="N1366" s="1" t="s">
        <v>19</v>
      </c>
      <c r="O1366" s="1" t="s">
        <v>54</v>
      </c>
      <c r="P1366" s="1" t="n">
        <v>0</v>
      </c>
      <c r="Q1366" s="1" t="n">
        <v>0</v>
      </c>
      <c r="R1366" s="1" t="n">
        <v>0</v>
      </c>
      <c r="S1366" s="1" t="n">
        <v>0</v>
      </c>
      <c r="T1366" s="1" t="n">
        <v>1</v>
      </c>
      <c r="U1366" s="1" t="n">
        <v>0</v>
      </c>
      <c r="V1366" s="3" t="n">
        <f aca="false">SUM(P1366:Q1366)</f>
        <v>0</v>
      </c>
      <c r="W1366" s="3" t="n">
        <f aca="false">SUM(R1366:T1366)</f>
        <v>1</v>
      </c>
      <c r="X1366" s="10" t="n">
        <v>39969</v>
      </c>
      <c r="Y1366" s="10" t="n">
        <v>39974</v>
      </c>
    </row>
    <row r="1367" customFormat="false" ht="14.25" hidden="false" customHeight="false" outlineLevel="0" collapsed="false">
      <c r="A1367" s="1" t="n">
        <v>2009</v>
      </c>
      <c r="B1367" s="1" t="n">
        <v>1</v>
      </c>
      <c r="C1367" s="2" t="s">
        <v>25</v>
      </c>
      <c r="D1367" s="7" t="s">
        <v>110</v>
      </c>
      <c r="E1367" s="1" t="n">
        <v>3</v>
      </c>
      <c r="F1367" s="1" t="n">
        <f aca="false">Y1367-X1367</f>
        <v>5</v>
      </c>
      <c r="G1367" s="1" t="n">
        <v>5</v>
      </c>
      <c r="H1367" s="3" t="s">
        <v>72</v>
      </c>
      <c r="I1367" s="3" t="s">
        <v>86</v>
      </c>
      <c r="J1367" s="8" t="s">
        <v>87</v>
      </c>
      <c r="K1367" s="2" t="str">
        <f aca="false">CONCATENATE(I1367," ",J1367)</f>
        <v>Haplodrassus soerenseni</v>
      </c>
      <c r="L1367" s="3" t="n">
        <f aca="false">SUM(P1367:U1367)</f>
        <v>2</v>
      </c>
      <c r="M1367" s="11" t="n">
        <f aca="false">(L1367/(F1367*G1367)*25)*4</f>
        <v>8</v>
      </c>
      <c r="N1367" s="1" t="s">
        <v>30</v>
      </c>
      <c r="O1367" s="1" t="s">
        <v>31</v>
      </c>
      <c r="P1367" s="1" t="n">
        <v>2</v>
      </c>
      <c r="Q1367" s="1" t="n">
        <v>0</v>
      </c>
      <c r="R1367" s="1" t="n">
        <v>0</v>
      </c>
      <c r="S1367" s="1" t="n">
        <v>0</v>
      </c>
      <c r="T1367" s="1" t="n">
        <v>0</v>
      </c>
      <c r="U1367" s="1" t="n">
        <v>0</v>
      </c>
      <c r="V1367" s="3" t="n">
        <f aca="false">SUM(P1367:Q1367)</f>
        <v>2</v>
      </c>
      <c r="W1367" s="3" t="n">
        <f aca="false">SUM(R1367:T1367)</f>
        <v>0</v>
      </c>
      <c r="X1367" s="10" t="n">
        <v>39969</v>
      </c>
      <c r="Y1367" s="10" t="n">
        <v>39974</v>
      </c>
    </row>
    <row r="1368" customFormat="false" ht="14.25" hidden="false" customHeight="false" outlineLevel="0" collapsed="false">
      <c r="A1368" s="1" t="n">
        <v>2009</v>
      </c>
      <c r="B1368" s="1" t="n">
        <v>1</v>
      </c>
      <c r="C1368" s="2" t="s">
        <v>25</v>
      </c>
      <c r="D1368" s="7" t="s">
        <v>110</v>
      </c>
      <c r="E1368" s="1" t="n">
        <v>3</v>
      </c>
      <c r="F1368" s="1" t="n">
        <f aca="false">Y1368-X1368</f>
        <v>5</v>
      </c>
      <c r="G1368" s="1" t="n">
        <v>5</v>
      </c>
      <c r="H1368" s="3" t="s">
        <v>27</v>
      </c>
      <c r="I1368" s="3" t="s">
        <v>28</v>
      </c>
      <c r="J1368" s="3" t="s">
        <v>29</v>
      </c>
      <c r="K1368" s="2" t="str">
        <f aca="false">CONCATENATE(I1368," ",J1368)</f>
        <v>Robertus lividus</v>
      </c>
      <c r="L1368" s="3" t="n">
        <f aca="false">SUM(P1368:U1368)</f>
        <v>1</v>
      </c>
      <c r="M1368" s="11" t="n">
        <f aca="false">(L1368/(F1368*G1368)*25)*4</f>
        <v>4</v>
      </c>
      <c r="N1368" s="1" t="s">
        <v>30</v>
      </c>
      <c r="O1368" s="1" t="s">
        <v>31</v>
      </c>
      <c r="P1368" s="1" t="n">
        <v>1</v>
      </c>
      <c r="Q1368" s="1" t="n">
        <v>0</v>
      </c>
      <c r="R1368" s="1" t="n">
        <v>0</v>
      </c>
      <c r="S1368" s="1" t="n">
        <v>0</v>
      </c>
      <c r="T1368" s="1" t="n">
        <v>0</v>
      </c>
      <c r="U1368" s="1" t="n">
        <v>0</v>
      </c>
      <c r="V1368" s="3" t="n">
        <f aca="false">SUM(P1368:Q1368)</f>
        <v>1</v>
      </c>
      <c r="W1368" s="3" t="n">
        <f aca="false">SUM(R1368:T1368)</f>
        <v>0</v>
      </c>
      <c r="X1368" s="10" t="n">
        <v>39969</v>
      </c>
      <c r="Y1368" s="10" t="n">
        <v>39974</v>
      </c>
    </row>
    <row r="1369" customFormat="false" ht="14.25" hidden="false" customHeight="false" outlineLevel="0" collapsed="false">
      <c r="A1369" s="1" t="n">
        <v>2009</v>
      </c>
      <c r="B1369" s="1" t="n">
        <v>1</v>
      </c>
      <c r="C1369" s="2" t="s">
        <v>25</v>
      </c>
      <c r="D1369" s="7" t="s">
        <v>110</v>
      </c>
      <c r="E1369" s="1" t="n">
        <v>3</v>
      </c>
      <c r="F1369" s="1" t="n">
        <f aca="false">Y1369-X1369</f>
        <v>5</v>
      </c>
      <c r="G1369" s="1" t="n">
        <v>5</v>
      </c>
      <c r="H1369" s="13" t="s">
        <v>32</v>
      </c>
      <c r="I1369" s="13" t="s">
        <v>215</v>
      </c>
      <c r="J1369" s="14" t="s">
        <v>199</v>
      </c>
      <c r="K1369" s="2" t="str">
        <f aca="false">CONCATENATE(I1369," ",J1369)</f>
        <v>Cnephalocotes obscurus</v>
      </c>
      <c r="L1369" s="3" t="n">
        <f aca="false">SUM(P1369:U1369)</f>
        <v>1</v>
      </c>
      <c r="M1369" s="11" t="n">
        <f aca="false">(L1369/(F1369*G1369)*25)*4</f>
        <v>4</v>
      </c>
      <c r="N1369" s="1" t="s">
        <v>30</v>
      </c>
      <c r="O1369" s="1" t="s">
        <v>31</v>
      </c>
      <c r="P1369" s="1" t="n">
        <v>1</v>
      </c>
      <c r="Q1369" s="1" t="n">
        <v>0</v>
      </c>
      <c r="R1369" s="1" t="n">
        <v>0</v>
      </c>
      <c r="S1369" s="1" t="n">
        <v>0</v>
      </c>
      <c r="T1369" s="1" t="n">
        <v>0</v>
      </c>
      <c r="U1369" s="1" t="n">
        <v>0</v>
      </c>
      <c r="V1369" s="3" t="n">
        <f aca="false">SUM(P1369:Q1369)</f>
        <v>1</v>
      </c>
      <c r="W1369" s="3" t="n">
        <f aca="false">SUM(R1369:T1369)</f>
        <v>0</v>
      </c>
      <c r="X1369" s="10" t="n">
        <v>39969</v>
      </c>
      <c r="Y1369" s="10" t="n">
        <v>39974</v>
      </c>
    </row>
    <row r="1370" customFormat="false" ht="14.25" hidden="false" customHeight="false" outlineLevel="0" collapsed="false">
      <c r="A1370" s="1" t="n">
        <v>2009</v>
      </c>
      <c r="B1370" s="1" t="n">
        <v>1</v>
      </c>
      <c r="C1370" s="2" t="s">
        <v>25</v>
      </c>
      <c r="D1370" s="7" t="s">
        <v>110</v>
      </c>
      <c r="E1370" s="1" t="n">
        <v>3</v>
      </c>
      <c r="F1370" s="1" t="n">
        <f aca="false">Y1370-X1370</f>
        <v>5</v>
      </c>
      <c r="G1370" s="1" t="n">
        <v>5</v>
      </c>
      <c r="H1370" s="3" t="s">
        <v>32</v>
      </c>
      <c r="I1370" s="3" t="s">
        <v>57</v>
      </c>
      <c r="J1370" s="3" t="s">
        <v>38</v>
      </c>
      <c r="K1370" s="2" t="str">
        <f aca="false">CONCATENATE(I1370," ",J1370)</f>
        <v>Gen sp</v>
      </c>
      <c r="L1370" s="3" t="n">
        <f aca="false">SUM(P1370:U1370)</f>
        <v>1</v>
      </c>
      <c r="M1370" s="11" t="n">
        <f aca="false">(L1370/(F1370*G1370)*25)*4</f>
        <v>4</v>
      </c>
      <c r="N1370" s="1" t="s">
        <v>19</v>
      </c>
      <c r="O1370" s="1" t="s">
        <v>54</v>
      </c>
      <c r="P1370" s="1" t="n">
        <v>0</v>
      </c>
      <c r="Q1370" s="1" t="n">
        <v>0</v>
      </c>
      <c r="R1370" s="1" t="n">
        <v>0</v>
      </c>
      <c r="S1370" s="1" t="n">
        <v>0</v>
      </c>
      <c r="T1370" s="1" t="n">
        <v>1</v>
      </c>
      <c r="U1370" s="1" t="n">
        <v>0</v>
      </c>
      <c r="V1370" s="3" t="n">
        <f aca="false">SUM(P1370:Q1370)</f>
        <v>0</v>
      </c>
      <c r="W1370" s="3" t="n">
        <f aca="false">SUM(R1370:T1370)</f>
        <v>1</v>
      </c>
      <c r="X1370" s="10" t="n">
        <v>39969</v>
      </c>
      <c r="Y1370" s="10" t="n">
        <v>39974</v>
      </c>
    </row>
    <row r="1371" customFormat="false" ht="14.25" hidden="false" customHeight="false" outlineLevel="0" collapsed="false">
      <c r="A1371" s="1" t="n">
        <v>2009</v>
      </c>
      <c r="B1371" s="1" t="n">
        <v>1</v>
      </c>
      <c r="C1371" s="2" t="s">
        <v>44</v>
      </c>
      <c r="D1371" s="7" t="s">
        <v>45</v>
      </c>
      <c r="E1371" s="1" t="n">
        <v>1</v>
      </c>
      <c r="F1371" s="1" t="n">
        <f aca="false">Y1371-X1371</f>
        <v>5</v>
      </c>
      <c r="G1371" s="1" t="n">
        <v>5</v>
      </c>
      <c r="H1371" s="3" t="s">
        <v>48</v>
      </c>
      <c r="I1371" s="3" t="s">
        <v>49</v>
      </c>
      <c r="J1371" s="3" t="s">
        <v>130</v>
      </c>
      <c r="K1371" s="2" t="str">
        <f aca="false">CONCATENATE(I1371," ",J1371)</f>
        <v>Alopecosa aculeata</v>
      </c>
      <c r="L1371" s="3" t="n">
        <f aca="false">SUM(P1371:U1371)</f>
        <v>2</v>
      </c>
      <c r="M1371" s="11" t="n">
        <f aca="false">(L1371/(F1371*G1371)*25)*4</f>
        <v>8</v>
      </c>
      <c r="N1371" s="1" t="s">
        <v>30</v>
      </c>
      <c r="O1371" s="1" t="s">
        <v>31</v>
      </c>
      <c r="P1371" s="1" t="n">
        <v>2</v>
      </c>
      <c r="Q1371" s="1" t="n">
        <v>0</v>
      </c>
      <c r="R1371" s="1" t="n">
        <v>0</v>
      </c>
      <c r="S1371" s="1" t="n">
        <v>0</v>
      </c>
      <c r="T1371" s="1" t="n">
        <v>0</v>
      </c>
      <c r="U1371" s="1" t="n">
        <v>0</v>
      </c>
      <c r="V1371" s="3" t="n">
        <f aca="false">SUM(P1371:Q1371)</f>
        <v>2</v>
      </c>
      <c r="W1371" s="3" t="n">
        <f aca="false">SUM(R1371:T1371)</f>
        <v>0</v>
      </c>
      <c r="X1371" s="10" t="n">
        <v>39969</v>
      </c>
      <c r="Y1371" s="10" t="n">
        <v>39974</v>
      </c>
    </row>
    <row r="1372" customFormat="false" ht="14.25" hidden="false" customHeight="false" outlineLevel="0" collapsed="false">
      <c r="A1372" s="1" t="n">
        <v>2009</v>
      </c>
      <c r="B1372" s="1" t="n">
        <v>1</v>
      </c>
      <c r="C1372" s="2" t="s">
        <v>44</v>
      </c>
      <c r="D1372" s="7" t="s">
        <v>45</v>
      </c>
      <c r="E1372" s="1" t="n">
        <v>1</v>
      </c>
      <c r="F1372" s="1" t="n">
        <f aca="false">Y1372-X1372</f>
        <v>5</v>
      </c>
      <c r="G1372" s="1" t="n">
        <v>5</v>
      </c>
      <c r="H1372" s="3" t="s">
        <v>48</v>
      </c>
      <c r="I1372" s="3" t="s">
        <v>122</v>
      </c>
      <c r="J1372" s="3" t="s">
        <v>123</v>
      </c>
      <c r="K1372" s="2" t="str">
        <f aca="false">CONCATENATE(I1372," ",J1372)</f>
        <v>Xerolycosa nemoralis</v>
      </c>
      <c r="L1372" s="3" t="n">
        <f aca="false">SUM(P1372:U1372)</f>
        <v>7</v>
      </c>
      <c r="M1372" s="11" t="n">
        <f aca="false">(L1372/(F1372*G1372)*25)*4</f>
        <v>28</v>
      </c>
      <c r="N1372" s="1" t="s">
        <v>30</v>
      </c>
      <c r="O1372" s="1" t="s">
        <v>31</v>
      </c>
      <c r="P1372" s="1" t="n">
        <v>7</v>
      </c>
      <c r="Q1372" s="1" t="n">
        <v>0</v>
      </c>
      <c r="R1372" s="1" t="n">
        <v>0</v>
      </c>
      <c r="S1372" s="1" t="n">
        <v>0</v>
      </c>
      <c r="T1372" s="1" t="n">
        <v>0</v>
      </c>
      <c r="U1372" s="1" t="n">
        <v>0</v>
      </c>
      <c r="V1372" s="3" t="n">
        <f aca="false">SUM(P1372:Q1372)</f>
        <v>7</v>
      </c>
      <c r="W1372" s="3" t="n">
        <f aca="false">SUM(R1372:T1372)</f>
        <v>0</v>
      </c>
      <c r="X1372" s="10" t="n">
        <v>39969</v>
      </c>
      <c r="Y1372" s="10" t="n">
        <v>39974</v>
      </c>
    </row>
    <row r="1373" customFormat="false" ht="14.25" hidden="false" customHeight="false" outlineLevel="0" collapsed="false">
      <c r="A1373" s="1" t="n">
        <v>2009</v>
      </c>
      <c r="B1373" s="1" t="n">
        <v>1</v>
      </c>
      <c r="C1373" s="2" t="s">
        <v>44</v>
      </c>
      <c r="D1373" s="7" t="s">
        <v>45</v>
      </c>
      <c r="E1373" s="1" t="n">
        <v>1</v>
      </c>
      <c r="F1373" s="1" t="n">
        <f aca="false">Y1373-X1373</f>
        <v>5</v>
      </c>
      <c r="G1373" s="1" t="n">
        <v>5</v>
      </c>
      <c r="H1373" s="3" t="s">
        <v>48</v>
      </c>
      <c r="I1373" s="3" t="s">
        <v>122</v>
      </c>
      <c r="J1373" s="3" t="s">
        <v>123</v>
      </c>
      <c r="K1373" s="2" t="str">
        <f aca="false">CONCATENATE(I1373," ",J1373)</f>
        <v>Xerolycosa nemoralis</v>
      </c>
      <c r="L1373" s="3" t="n">
        <f aca="false">SUM(P1373:U1373)</f>
        <v>6</v>
      </c>
      <c r="M1373" s="11" t="n">
        <f aca="false">(L1373/(F1373*G1373)*25)*4</f>
        <v>24</v>
      </c>
      <c r="N1373" s="1" t="s">
        <v>30</v>
      </c>
      <c r="O1373" s="1" t="s">
        <v>31</v>
      </c>
      <c r="P1373" s="1" t="n">
        <v>6</v>
      </c>
      <c r="Q1373" s="1" t="n">
        <v>0</v>
      </c>
      <c r="R1373" s="1" t="n">
        <v>0</v>
      </c>
      <c r="S1373" s="1" t="n">
        <v>0</v>
      </c>
      <c r="T1373" s="1" t="n">
        <v>0</v>
      </c>
      <c r="U1373" s="1" t="n">
        <v>0</v>
      </c>
      <c r="V1373" s="3" t="n">
        <f aca="false">SUM(P1373:Q1373)</f>
        <v>6</v>
      </c>
      <c r="W1373" s="3" t="n">
        <f aca="false">SUM(R1373:T1373)</f>
        <v>0</v>
      </c>
      <c r="X1373" s="10" t="n">
        <v>39969</v>
      </c>
      <c r="Y1373" s="10" t="n">
        <v>39974</v>
      </c>
    </row>
    <row r="1374" customFormat="false" ht="14.25" hidden="false" customHeight="false" outlineLevel="0" collapsed="false">
      <c r="A1374" s="1" t="n">
        <v>2009</v>
      </c>
      <c r="B1374" s="1" t="n">
        <v>1</v>
      </c>
      <c r="C1374" s="2" t="s">
        <v>44</v>
      </c>
      <c r="D1374" s="7" t="s">
        <v>45</v>
      </c>
      <c r="E1374" s="1" t="n">
        <v>1</v>
      </c>
      <c r="F1374" s="1" t="n">
        <f aca="false">Y1374-X1374</f>
        <v>5</v>
      </c>
      <c r="G1374" s="1" t="n">
        <v>5</v>
      </c>
      <c r="H1374" s="3" t="s">
        <v>48</v>
      </c>
      <c r="I1374" s="3" t="s">
        <v>57</v>
      </c>
      <c r="J1374" s="3" t="s">
        <v>38</v>
      </c>
      <c r="K1374" s="2" t="str">
        <f aca="false">CONCATENATE(I1374," ",J1374)</f>
        <v>Gen sp</v>
      </c>
      <c r="L1374" s="3" t="n">
        <f aca="false">SUM(P1374:U1374)</f>
        <v>1</v>
      </c>
      <c r="M1374" s="11" t="n">
        <f aca="false">(L1374/(F1374*G1374)*25)*4</f>
        <v>4</v>
      </c>
      <c r="N1374" s="1" t="s">
        <v>19</v>
      </c>
      <c r="O1374" s="1" t="s">
        <v>54</v>
      </c>
      <c r="P1374" s="1" t="n">
        <v>0</v>
      </c>
      <c r="Q1374" s="1" t="n">
        <v>0</v>
      </c>
      <c r="R1374" s="1" t="n">
        <v>0</v>
      </c>
      <c r="S1374" s="1" t="n">
        <v>0</v>
      </c>
      <c r="T1374" s="1" t="n">
        <v>1</v>
      </c>
      <c r="U1374" s="1" t="n">
        <v>0</v>
      </c>
      <c r="V1374" s="3" t="n">
        <f aca="false">SUM(P1374:Q1374)</f>
        <v>0</v>
      </c>
      <c r="W1374" s="3" t="n">
        <f aca="false">SUM(R1374:T1374)</f>
        <v>1</v>
      </c>
      <c r="X1374" s="10" t="n">
        <v>39969</v>
      </c>
      <c r="Y1374" s="10" t="n">
        <v>39974</v>
      </c>
    </row>
    <row r="1375" customFormat="false" ht="14.25" hidden="false" customHeight="false" outlineLevel="0" collapsed="false">
      <c r="A1375" s="1" t="n">
        <v>2009</v>
      </c>
      <c r="B1375" s="1" t="n">
        <v>1</v>
      </c>
      <c r="C1375" s="2" t="s">
        <v>44</v>
      </c>
      <c r="D1375" s="7" t="s">
        <v>45</v>
      </c>
      <c r="E1375" s="1" t="n">
        <v>1</v>
      </c>
      <c r="F1375" s="1" t="n">
        <f aca="false">Y1375-X1375</f>
        <v>5</v>
      </c>
      <c r="G1375" s="1" t="n">
        <v>5</v>
      </c>
      <c r="H1375" s="3" t="s">
        <v>72</v>
      </c>
      <c r="I1375" s="3" t="s">
        <v>86</v>
      </c>
      <c r="J1375" s="8" t="s">
        <v>87</v>
      </c>
      <c r="K1375" s="2" t="str">
        <f aca="false">CONCATENATE(I1375," ",J1375)</f>
        <v>Haplodrassus soerenseni</v>
      </c>
      <c r="L1375" s="3" t="n">
        <f aca="false">SUM(P1375:U1375)</f>
        <v>1</v>
      </c>
      <c r="M1375" s="11" t="n">
        <f aca="false">(L1375/(F1375*G1375)*25)*4</f>
        <v>4</v>
      </c>
      <c r="N1375" s="1" t="s">
        <v>30</v>
      </c>
      <c r="O1375" s="1" t="s">
        <v>31</v>
      </c>
      <c r="P1375" s="1" t="n">
        <v>1</v>
      </c>
      <c r="Q1375" s="1" t="n">
        <v>0</v>
      </c>
      <c r="R1375" s="1" t="n">
        <v>0</v>
      </c>
      <c r="S1375" s="1" t="n">
        <v>0</v>
      </c>
      <c r="T1375" s="1" t="n">
        <v>0</v>
      </c>
      <c r="U1375" s="1" t="n">
        <v>0</v>
      </c>
      <c r="V1375" s="3" t="n">
        <f aca="false">SUM(P1375:Q1375)</f>
        <v>1</v>
      </c>
      <c r="W1375" s="3" t="n">
        <f aca="false">SUM(R1375:T1375)</f>
        <v>0</v>
      </c>
      <c r="X1375" s="10" t="n">
        <v>39969</v>
      </c>
      <c r="Y1375" s="10" t="n">
        <v>39974</v>
      </c>
    </row>
    <row r="1376" customFormat="false" ht="14.25" hidden="false" customHeight="false" outlineLevel="0" collapsed="false">
      <c r="A1376" s="1" t="n">
        <v>2009</v>
      </c>
      <c r="B1376" s="1" t="n">
        <v>1</v>
      </c>
      <c r="C1376" s="2" t="s">
        <v>44</v>
      </c>
      <c r="D1376" s="7" t="s">
        <v>45</v>
      </c>
      <c r="E1376" s="1" t="n">
        <v>1</v>
      </c>
      <c r="F1376" s="1" t="n">
        <f aca="false">Y1376-X1376</f>
        <v>5</v>
      </c>
      <c r="G1376" s="1" t="n">
        <v>5</v>
      </c>
      <c r="H1376" s="3" t="s">
        <v>72</v>
      </c>
      <c r="I1376" s="3" t="s">
        <v>73</v>
      </c>
      <c r="J1376" s="3" t="s">
        <v>74</v>
      </c>
      <c r="K1376" s="2" t="str">
        <f aca="false">CONCATENATE(I1376," ",J1376)</f>
        <v>Zelotes subterraneus</v>
      </c>
      <c r="L1376" s="3" t="n">
        <f aca="false">SUM(P1376:U1376)</f>
        <v>1</v>
      </c>
      <c r="M1376" s="11" t="n">
        <f aca="false">(L1376/(F1376*G1376)*25)*4</f>
        <v>4</v>
      </c>
      <c r="N1376" s="1" t="s">
        <v>30</v>
      </c>
      <c r="O1376" s="1" t="s">
        <v>35</v>
      </c>
      <c r="P1376" s="1" t="n">
        <v>0</v>
      </c>
      <c r="Q1376" s="1" t="n">
        <v>1</v>
      </c>
      <c r="R1376" s="1" t="n">
        <v>0</v>
      </c>
      <c r="S1376" s="1" t="n">
        <v>0</v>
      </c>
      <c r="T1376" s="1" t="n">
        <v>0</v>
      </c>
      <c r="U1376" s="1" t="n">
        <v>0</v>
      </c>
      <c r="V1376" s="3" t="n">
        <f aca="false">SUM(P1376:Q1376)</f>
        <v>1</v>
      </c>
      <c r="W1376" s="3" t="n">
        <f aca="false">SUM(R1376:T1376)</f>
        <v>0</v>
      </c>
      <c r="X1376" s="10" t="n">
        <v>39969</v>
      </c>
      <c r="Y1376" s="10" t="n">
        <v>39974</v>
      </c>
    </row>
    <row r="1377" customFormat="false" ht="14.25" hidden="false" customHeight="false" outlineLevel="0" collapsed="false">
      <c r="A1377" s="1" t="n">
        <v>2009</v>
      </c>
      <c r="B1377" s="1" t="n">
        <v>1</v>
      </c>
      <c r="C1377" s="2" t="s">
        <v>44</v>
      </c>
      <c r="D1377" s="7" t="s">
        <v>45</v>
      </c>
      <c r="E1377" s="1" t="n">
        <v>1</v>
      </c>
      <c r="F1377" s="1" t="n">
        <f aca="false">Y1377-X1377</f>
        <v>5</v>
      </c>
      <c r="G1377" s="1" t="n">
        <v>5</v>
      </c>
      <c r="H1377" s="3" t="s">
        <v>32</v>
      </c>
      <c r="I1377" s="3" t="s">
        <v>90</v>
      </c>
      <c r="J1377" s="3" t="s">
        <v>91</v>
      </c>
      <c r="K1377" s="2" t="str">
        <f aca="false">CONCATENATE(I1377," ",J1377)</f>
        <v>Tapinocyba insecta</v>
      </c>
      <c r="L1377" s="3" t="n">
        <f aca="false">SUM(P1377:U1377)</f>
        <v>2</v>
      </c>
      <c r="M1377" s="11" t="n">
        <f aca="false">(L1377/(F1377*G1377)*25)*4</f>
        <v>8</v>
      </c>
      <c r="N1377" s="1" t="s">
        <v>30</v>
      </c>
      <c r="O1377" s="1" t="s">
        <v>31</v>
      </c>
      <c r="P1377" s="1" t="n">
        <v>2</v>
      </c>
      <c r="Q1377" s="1" t="n">
        <v>0</v>
      </c>
      <c r="R1377" s="1" t="n">
        <v>0</v>
      </c>
      <c r="S1377" s="1" t="n">
        <v>0</v>
      </c>
      <c r="T1377" s="1" t="n">
        <v>0</v>
      </c>
      <c r="U1377" s="1" t="n">
        <v>0</v>
      </c>
      <c r="V1377" s="3" t="n">
        <f aca="false">SUM(P1377:Q1377)</f>
        <v>2</v>
      </c>
      <c r="W1377" s="3" t="n">
        <f aca="false">SUM(R1377:T1377)</f>
        <v>0</v>
      </c>
      <c r="X1377" s="10" t="n">
        <v>39969</v>
      </c>
      <c r="Y1377" s="10" t="n">
        <v>39974</v>
      </c>
    </row>
    <row r="1378" customFormat="false" ht="14.25" hidden="false" customHeight="false" outlineLevel="0" collapsed="false">
      <c r="A1378" s="1" t="n">
        <v>2009</v>
      </c>
      <c r="B1378" s="1" t="n">
        <v>1</v>
      </c>
      <c r="C1378" s="2" t="s">
        <v>44</v>
      </c>
      <c r="D1378" s="7" t="s">
        <v>45</v>
      </c>
      <c r="E1378" s="1" t="n">
        <v>1</v>
      </c>
      <c r="F1378" s="1" t="n">
        <f aca="false">Y1378-X1378</f>
        <v>5</v>
      </c>
      <c r="G1378" s="1" t="n">
        <v>5</v>
      </c>
      <c r="H1378" s="3" t="s">
        <v>32</v>
      </c>
      <c r="I1378" s="3" t="s">
        <v>90</v>
      </c>
      <c r="J1378" s="3" t="s">
        <v>91</v>
      </c>
      <c r="K1378" s="2" t="str">
        <f aca="false">CONCATENATE(I1378," ",J1378)</f>
        <v>Tapinocyba insecta</v>
      </c>
      <c r="L1378" s="3" t="n">
        <f aca="false">SUM(P1378:U1378)</f>
        <v>1</v>
      </c>
      <c r="M1378" s="11" t="n">
        <f aca="false">(L1378/(F1378*G1378)*25)*4</f>
        <v>4</v>
      </c>
      <c r="N1378" s="1" t="s">
        <v>30</v>
      </c>
      <c r="O1378" s="1" t="s">
        <v>35</v>
      </c>
      <c r="P1378" s="1" t="n">
        <v>0</v>
      </c>
      <c r="Q1378" s="1" t="n">
        <v>1</v>
      </c>
      <c r="R1378" s="1" t="n">
        <v>0</v>
      </c>
      <c r="S1378" s="1" t="n">
        <v>0</v>
      </c>
      <c r="T1378" s="1" t="n">
        <v>0</v>
      </c>
      <c r="U1378" s="1" t="n">
        <v>0</v>
      </c>
      <c r="V1378" s="3" t="n">
        <f aca="false">SUM(P1378:Q1378)</f>
        <v>1</v>
      </c>
      <c r="W1378" s="3" t="n">
        <f aca="false">SUM(R1378:T1378)</f>
        <v>0</v>
      </c>
      <c r="X1378" s="10" t="n">
        <v>39969</v>
      </c>
      <c r="Y1378" s="10" t="n">
        <v>39974</v>
      </c>
    </row>
    <row r="1379" customFormat="false" ht="14.25" hidden="false" customHeight="false" outlineLevel="0" collapsed="false">
      <c r="A1379" s="1" t="n">
        <v>2009</v>
      </c>
      <c r="B1379" s="1" t="n">
        <v>1</v>
      </c>
      <c r="C1379" s="2" t="s">
        <v>44</v>
      </c>
      <c r="D1379" s="7" t="s">
        <v>45</v>
      </c>
      <c r="E1379" s="1" t="n">
        <v>1</v>
      </c>
      <c r="F1379" s="1" t="n">
        <f aca="false">Y1379-X1379</f>
        <v>5</v>
      </c>
      <c r="G1379" s="1" t="n">
        <v>5</v>
      </c>
      <c r="H1379" s="3" t="s">
        <v>48</v>
      </c>
      <c r="I1379" s="3" t="s">
        <v>49</v>
      </c>
      <c r="J1379" s="3" t="s">
        <v>130</v>
      </c>
      <c r="K1379" s="2" t="str">
        <f aca="false">CONCATENATE(I1379," ",J1379)</f>
        <v>Alopecosa aculeata</v>
      </c>
      <c r="L1379" s="3" t="n">
        <f aca="false">SUM(P1379:U1379)</f>
        <v>1</v>
      </c>
      <c r="M1379" s="11" t="n">
        <f aca="false">(L1379/(F1379*G1379)*25)*4</f>
        <v>4</v>
      </c>
      <c r="N1379" s="1" t="s">
        <v>30</v>
      </c>
      <c r="O1379" s="1" t="s">
        <v>31</v>
      </c>
      <c r="P1379" s="1" t="n">
        <v>1</v>
      </c>
      <c r="Q1379" s="1" t="n">
        <v>0</v>
      </c>
      <c r="R1379" s="1" t="n">
        <v>0</v>
      </c>
      <c r="S1379" s="1" t="n">
        <v>0</v>
      </c>
      <c r="T1379" s="1" t="n">
        <v>0</v>
      </c>
      <c r="U1379" s="1" t="n">
        <v>0</v>
      </c>
      <c r="V1379" s="3" t="n">
        <f aca="false">SUM(P1379:Q1379)</f>
        <v>1</v>
      </c>
      <c r="W1379" s="3" t="n">
        <f aca="false">SUM(R1379:T1379)</f>
        <v>0</v>
      </c>
      <c r="X1379" s="10" t="n">
        <v>39969</v>
      </c>
      <c r="Y1379" s="10" t="n">
        <v>39974</v>
      </c>
    </row>
    <row r="1380" customFormat="false" ht="14.25" hidden="false" customHeight="false" outlineLevel="0" collapsed="false">
      <c r="A1380" s="1" t="n">
        <v>2009</v>
      </c>
      <c r="B1380" s="1" t="n">
        <v>1</v>
      </c>
      <c r="C1380" s="2" t="s">
        <v>44</v>
      </c>
      <c r="D1380" s="7" t="s">
        <v>45</v>
      </c>
      <c r="E1380" s="1" t="n">
        <v>1</v>
      </c>
      <c r="F1380" s="1" t="n">
        <f aca="false">Y1380-X1380</f>
        <v>5</v>
      </c>
      <c r="G1380" s="1" t="n">
        <v>5</v>
      </c>
      <c r="H1380" s="3" t="s">
        <v>48</v>
      </c>
      <c r="I1380" s="3" t="s">
        <v>122</v>
      </c>
      <c r="J1380" s="3" t="s">
        <v>123</v>
      </c>
      <c r="K1380" s="2" t="str">
        <f aca="false">CONCATENATE(I1380," ",J1380)</f>
        <v>Xerolycosa nemoralis</v>
      </c>
      <c r="L1380" s="3" t="n">
        <f aca="false">SUM(P1380:U1380)</f>
        <v>2</v>
      </c>
      <c r="M1380" s="11" t="n">
        <f aca="false">(L1380/(F1380*G1380)*25)*4</f>
        <v>8</v>
      </c>
      <c r="N1380" s="1" t="s">
        <v>30</v>
      </c>
      <c r="O1380" s="1" t="s">
        <v>31</v>
      </c>
      <c r="P1380" s="1" t="n">
        <v>2</v>
      </c>
      <c r="Q1380" s="1" t="n">
        <v>0</v>
      </c>
      <c r="R1380" s="1" t="n">
        <v>0</v>
      </c>
      <c r="S1380" s="1" t="n">
        <v>0</v>
      </c>
      <c r="T1380" s="1" t="n">
        <v>0</v>
      </c>
      <c r="U1380" s="1" t="n">
        <v>0</v>
      </c>
      <c r="V1380" s="3" t="n">
        <f aca="false">SUM(P1380:Q1380)</f>
        <v>2</v>
      </c>
      <c r="W1380" s="3" t="n">
        <f aca="false">SUM(R1380:T1380)</f>
        <v>0</v>
      </c>
      <c r="X1380" s="10" t="n">
        <v>39969</v>
      </c>
      <c r="Y1380" s="10" t="n">
        <v>39974</v>
      </c>
    </row>
    <row r="1381" customFormat="false" ht="14.25" hidden="false" customHeight="false" outlineLevel="0" collapsed="false">
      <c r="A1381" s="1" t="n">
        <v>2009</v>
      </c>
      <c r="B1381" s="1" t="n">
        <v>1</v>
      </c>
      <c r="C1381" s="2" t="s">
        <v>44</v>
      </c>
      <c r="D1381" s="7" t="s">
        <v>45</v>
      </c>
      <c r="E1381" s="1" t="n">
        <v>1</v>
      </c>
      <c r="F1381" s="1" t="n">
        <f aca="false">Y1381-X1381</f>
        <v>5</v>
      </c>
      <c r="G1381" s="1" t="n">
        <v>5</v>
      </c>
      <c r="H1381" s="3" t="s">
        <v>48</v>
      </c>
      <c r="I1381" s="3" t="s">
        <v>122</v>
      </c>
      <c r="J1381" s="3" t="s">
        <v>123</v>
      </c>
      <c r="K1381" s="2" t="str">
        <f aca="false">CONCATENATE(I1381," ",J1381)</f>
        <v>Xerolycosa nemoralis</v>
      </c>
      <c r="L1381" s="3" t="n">
        <f aca="false">SUM(P1381:U1381)</f>
        <v>1</v>
      </c>
      <c r="M1381" s="11" t="n">
        <f aca="false">(L1381/(F1381*G1381)*25)*4</f>
        <v>4</v>
      </c>
      <c r="N1381" s="1" t="s">
        <v>30</v>
      </c>
      <c r="O1381" s="1" t="s">
        <v>35</v>
      </c>
      <c r="P1381" s="1" t="n">
        <v>0</v>
      </c>
      <c r="Q1381" s="1" t="n">
        <v>1</v>
      </c>
      <c r="R1381" s="1" t="n">
        <v>0</v>
      </c>
      <c r="S1381" s="1" t="n">
        <v>0</v>
      </c>
      <c r="T1381" s="1" t="n">
        <v>0</v>
      </c>
      <c r="U1381" s="1" t="n">
        <v>0</v>
      </c>
      <c r="V1381" s="3" t="n">
        <f aca="false">SUM(P1381:Q1381)</f>
        <v>1</v>
      </c>
      <c r="W1381" s="3" t="n">
        <f aca="false">SUM(R1381:T1381)</f>
        <v>0</v>
      </c>
      <c r="X1381" s="10" t="n">
        <v>39969</v>
      </c>
      <c r="Y1381" s="10" t="n">
        <v>39974</v>
      </c>
    </row>
    <row r="1382" customFormat="false" ht="14.25" hidden="false" customHeight="false" outlineLevel="0" collapsed="false">
      <c r="A1382" s="1" t="n">
        <v>2009</v>
      </c>
      <c r="B1382" s="1" t="n">
        <v>1</v>
      </c>
      <c r="C1382" s="2" t="s">
        <v>44</v>
      </c>
      <c r="D1382" s="7" t="s">
        <v>45</v>
      </c>
      <c r="E1382" s="1" t="n">
        <v>1</v>
      </c>
      <c r="F1382" s="1" t="n">
        <f aca="false">Y1382-X1382</f>
        <v>5</v>
      </c>
      <c r="G1382" s="1" t="n">
        <v>5</v>
      </c>
      <c r="H1382" s="3" t="s">
        <v>48</v>
      </c>
      <c r="I1382" s="3" t="s">
        <v>122</v>
      </c>
      <c r="J1382" s="3" t="s">
        <v>38</v>
      </c>
      <c r="K1382" s="2" t="str">
        <f aca="false">CONCATENATE(I1382," ",J1382)</f>
        <v>Xerolycosa sp</v>
      </c>
      <c r="L1382" s="3" t="n">
        <f aca="false">SUM(P1382:U1382)</f>
        <v>1</v>
      </c>
      <c r="M1382" s="11" t="n">
        <f aca="false">(L1382/(F1382*G1382)*25)*4</f>
        <v>4</v>
      </c>
      <c r="N1382" s="1" t="s">
        <v>19</v>
      </c>
      <c r="O1382" s="1" t="s">
        <v>54</v>
      </c>
      <c r="P1382" s="1" t="n">
        <v>0</v>
      </c>
      <c r="Q1382" s="1" t="n">
        <v>0</v>
      </c>
      <c r="R1382" s="1" t="n">
        <v>0</v>
      </c>
      <c r="S1382" s="1" t="n">
        <v>0</v>
      </c>
      <c r="T1382" s="1" t="n">
        <v>1</v>
      </c>
      <c r="U1382" s="1" t="n">
        <v>0</v>
      </c>
      <c r="V1382" s="3" t="n">
        <f aca="false">SUM(P1382:Q1382)</f>
        <v>0</v>
      </c>
      <c r="W1382" s="3" t="n">
        <f aca="false">SUM(R1382:T1382)</f>
        <v>1</v>
      </c>
      <c r="X1382" s="10" t="n">
        <v>39969</v>
      </c>
      <c r="Y1382" s="10" t="n">
        <v>39974</v>
      </c>
    </row>
    <row r="1383" customFormat="false" ht="14.25" hidden="false" customHeight="false" outlineLevel="0" collapsed="false">
      <c r="A1383" s="1" t="n">
        <v>2009</v>
      </c>
      <c r="B1383" s="1" t="n">
        <v>1</v>
      </c>
      <c r="C1383" s="2" t="s">
        <v>44</v>
      </c>
      <c r="D1383" s="7" t="s">
        <v>45</v>
      </c>
      <c r="E1383" s="1" t="n">
        <v>1</v>
      </c>
      <c r="F1383" s="1" t="n">
        <f aca="false">Y1383-X1383</f>
        <v>5</v>
      </c>
      <c r="G1383" s="1" t="n">
        <v>5</v>
      </c>
      <c r="H1383" s="3" t="s">
        <v>48</v>
      </c>
      <c r="I1383" s="3" t="s">
        <v>49</v>
      </c>
      <c r="J1383" s="3" t="s">
        <v>130</v>
      </c>
      <c r="K1383" s="2" t="str">
        <f aca="false">CONCATENATE(I1383," ",J1383)</f>
        <v>Alopecosa aculeata</v>
      </c>
      <c r="L1383" s="3" t="n">
        <f aca="false">SUM(P1383:U1383)</f>
        <v>2</v>
      </c>
      <c r="M1383" s="11" t="n">
        <f aca="false">(L1383/(F1383*G1383)*25)*4</f>
        <v>8</v>
      </c>
      <c r="N1383" s="1" t="s">
        <v>30</v>
      </c>
      <c r="O1383" s="1" t="s">
        <v>31</v>
      </c>
      <c r="P1383" s="1" t="n">
        <v>2</v>
      </c>
      <c r="Q1383" s="1" t="n">
        <v>0</v>
      </c>
      <c r="R1383" s="1" t="n">
        <v>0</v>
      </c>
      <c r="S1383" s="1" t="n">
        <v>0</v>
      </c>
      <c r="T1383" s="1" t="n">
        <v>0</v>
      </c>
      <c r="U1383" s="1" t="n">
        <v>0</v>
      </c>
      <c r="V1383" s="3" t="n">
        <f aca="false">SUM(P1383:Q1383)</f>
        <v>2</v>
      </c>
      <c r="W1383" s="3" t="n">
        <f aca="false">SUM(R1383:T1383)</f>
        <v>0</v>
      </c>
      <c r="X1383" s="10" t="n">
        <v>39969</v>
      </c>
      <c r="Y1383" s="10" t="n">
        <v>39974</v>
      </c>
    </row>
    <row r="1384" customFormat="false" ht="14.25" hidden="false" customHeight="false" outlineLevel="0" collapsed="false">
      <c r="A1384" s="1" t="n">
        <v>2009</v>
      </c>
      <c r="B1384" s="1" t="n">
        <v>1</v>
      </c>
      <c r="C1384" s="2" t="s">
        <v>44</v>
      </c>
      <c r="D1384" s="7" t="s">
        <v>45</v>
      </c>
      <c r="E1384" s="1" t="n">
        <v>1</v>
      </c>
      <c r="F1384" s="1" t="n">
        <f aca="false">Y1384-X1384</f>
        <v>5</v>
      </c>
      <c r="G1384" s="1" t="n">
        <v>5</v>
      </c>
      <c r="H1384" s="3" t="s">
        <v>48</v>
      </c>
      <c r="I1384" s="3" t="s">
        <v>49</v>
      </c>
      <c r="J1384" s="3" t="s">
        <v>130</v>
      </c>
      <c r="K1384" s="2" t="str">
        <f aca="false">CONCATENATE(I1384," ",J1384)</f>
        <v>Alopecosa aculeata</v>
      </c>
      <c r="L1384" s="3" t="n">
        <f aca="false">SUM(P1384:U1384)</f>
        <v>2</v>
      </c>
      <c r="M1384" s="11" t="n">
        <f aca="false">(L1384/(F1384*G1384)*25)*4</f>
        <v>8</v>
      </c>
      <c r="N1384" s="1" t="s">
        <v>30</v>
      </c>
      <c r="O1384" s="1" t="s">
        <v>35</v>
      </c>
      <c r="P1384" s="1" t="n">
        <v>0</v>
      </c>
      <c r="Q1384" s="1" t="n">
        <v>2</v>
      </c>
      <c r="R1384" s="1" t="n">
        <v>0</v>
      </c>
      <c r="S1384" s="1" t="n">
        <v>0</v>
      </c>
      <c r="T1384" s="1" t="n">
        <v>0</v>
      </c>
      <c r="U1384" s="1" t="n">
        <v>0</v>
      </c>
      <c r="V1384" s="3" t="n">
        <f aca="false">SUM(P1384:Q1384)</f>
        <v>2</v>
      </c>
      <c r="W1384" s="3" t="n">
        <f aca="false">SUM(R1384:T1384)</f>
        <v>0</v>
      </c>
      <c r="X1384" s="10" t="n">
        <v>39969</v>
      </c>
      <c r="Y1384" s="10" t="n">
        <v>39974</v>
      </c>
    </row>
    <row r="1385" customFormat="false" ht="14.25" hidden="false" customHeight="false" outlineLevel="0" collapsed="false">
      <c r="A1385" s="1" t="n">
        <v>2009</v>
      </c>
      <c r="B1385" s="1" t="n">
        <v>1</v>
      </c>
      <c r="C1385" s="2" t="s">
        <v>44</v>
      </c>
      <c r="D1385" s="7" t="s">
        <v>45</v>
      </c>
      <c r="E1385" s="1" t="n">
        <v>1</v>
      </c>
      <c r="F1385" s="1" t="n">
        <f aca="false">Y1385-X1385</f>
        <v>5</v>
      </c>
      <c r="G1385" s="1" t="n">
        <v>5</v>
      </c>
      <c r="H1385" s="3" t="s">
        <v>48</v>
      </c>
      <c r="I1385" s="3" t="s">
        <v>122</v>
      </c>
      <c r="J1385" s="3" t="s">
        <v>123</v>
      </c>
      <c r="K1385" s="2" t="str">
        <f aca="false">CONCATENATE(I1385," ",J1385)</f>
        <v>Xerolycosa nemoralis</v>
      </c>
      <c r="L1385" s="3" t="n">
        <f aca="false">SUM(P1385:U1385)</f>
        <v>4</v>
      </c>
      <c r="M1385" s="11" t="n">
        <f aca="false">(L1385/(F1385*G1385)*25)*4</f>
        <v>16</v>
      </c>
      <c r="N1385" s="1" t="s">
        <v>30</v>
      </c>
      <c r="O1385" s="1" t="s">
        <v>31</v>
      </c>
      <c r="P1385" s="1" t="n">
        <v>4</v>
      </c>
      <c r="Q1385" s="1" t="n">
        <v>0</v>
      </c>
      <c r="R1385" s="1" t="n">
        <v>0</v>
      </c>
      <c r="S1385" s="1" t="n">
        <v>0</v>
      </c>
      <c r="T1385" s="1" t="n">
        <v>0</v>
      </c>
      <c r="U1385" s="1" t="n">
        <v>0</v>
      </c>
      <c r="V1385" s="3" t="n">
        <f aca="false">SUM(P1385:Q1385)</f>
        <v>4</v>
      </c>
      <c r="W1385" s="3" t="n">
        <f aca="false">SUM(R1385:T1385)</f>
        <v>0</v>
      </c>
      <c r="X1385" s="10" t="n">
        <v>39969</v>
      </c>
      <c r="Y1385" s="10" t="n">
        <v>39974</v>
      </c>
    </row>
    <row r="1386" customFormat="false" ht="14.25" hidden="false" customHeight="false" outlineLevel="0" collapsed="false">
      <c r="A1386" s="1" t="n">
        <v>2009</v>
      </c>
      <c r="B1386" s="1" t="n">
        <v>1</v>
      </c>
      <c r="C1386" s="2" t="s">
        <v>44</v>
      </c>
      <c r="D1386" s="7" t="s">
        <v>45</v>
      </c>
      <c r="E1386" s="1" t="n">
        <v>1</v>
      </c>
      <c r="F1386" s="1" t="n">
        <f aca="false">Y1386-X1386</f>
        <v>5</v>
      </c>
      <c r="G1386" s="1" t="n">
        <v>5</v>
      </c>
      <c r="H1386" s="3" t="s">
        <v>48</v>
      </c>
      <c r="I1386" s="3" t="s">
        <v>122</v>
      </c>
      <c r="J1386" s="3" t="s">
        <v>123</v>
      </c>
      <c r="K1386" s="2" t="str">
        <f aca="false">CONCATENATE(I1386," ",J1386)</f>
        <v>Xerolycosa nemoralis</v>
      </c>
      <c r="L1386" s="3" t="n">
        <f aca="false">SUM(P1386:U1386)</f>
        <v>2</v>
      </c>
      <c r="M1386" s="11" t="n">
        <f aca="false">(L1386/(F1386*G1386)*25)*4</f>
        <v>8</v>
      </c>
      <c r="N1386" s="1" t="s">
        <v>30</v>
      </c>
      <c r="O1386" s="1" t="s">
        <v>35</v>
      </c>
      <c r="P1386" s="1" t="n">
        <v>0</v>
      </c>
      <c r="Q1386" s="1" t="n">
        <v>2</v>
      </c>
      <c r="R1386" s="1" t="n">
        <v>0</v>
      </c>
      <c r="S1386" s="1" t="n">
        <v>0</v>
      </c>
      <c r="T1386" s="1" t="n">
        <v>0</v>
      </c>
      <c r="U1386" s="1" t="n">
        <v>0</v>
      </c>
      <c r="V1386" s="3" t="n">
        <f aca="false">SUM(P1386:Q1386)</f>
        <v>2</v>
      </c>
      <c r="W1386" s="3" t="n">
        <f aca="false">SUM(R1386:T1386)</f>
        <v>0</v>
      </c>
      <c r="X1386" s="10" t="n">
        <v>39969</v>
      </c>
      <c r="Y1386" s="10" t="n">
        <v>39974</v>
      </c>
    </row>
    <row r="1387" customFormat="false" ht="14.25" hidden="false" customHeight="false" outlineLevel="0" collapsed="false">
      <c r="A1387" s="1" t="n">
        <v>2009</v>
      </c>
      <c r="B1387" s="1" t="n">
        <v>1</v>
      </c>
      <c r="C1387" s="2" t="s">
        <v>44</v>
      </c>
      <c r="D1387" s="7" t="s">
        <v>45</v>
      </c>
      <c r="E1387" s="1" t="n">
        <v>1</v>
      </c>
      <c r="F1387" s="1" t="n">
        <f aca="false">Y1387-X1387</f>
        <v>5</v>
      </c>
      <c r="G1387" s="1" t="n">
        <v>5</v>
      </c>
      <c r="H1387" s="3" t="s">
        <v>48</v>
      </c>
      <c r="I1387" s="3" t="s">
        <v>122</v>
      </c>
      <c r="J1387" s="3" t="s">
        <v>38</v>
      </c>
      <c r="K1387" s="2" t="str">
        <f aca="false">CONCATENATE(I1387," ",J1387)</f>
        <v>Xerolycosa sp</v>
      </c>
      <c r="L1387" s="3" t="n">
        <f aca="false">SUM(P1387:U1387)</f>
        <v>1</v>
      </c>
      <c r="M1387" s="11" t="n">
        <f aca="false">(L1387/(F1387*G1387)*25)*4</f>
        <v>4</v>
      </c>
      <c r="N1387" s="1" t="s">
        <v>19</v>
      </c>
      <c r="O1387" s="1" t="s">
        <v>54</v>
      </c>
      <c r="P1387" s="1" t="n">
        <v>0</v>
      </c>
      <c r="Q1387" s="1" t="n">
        <v>0</v>
      </c>
      <c r="R1387" s="1" t="n">
        <v>0</v>
      </c>
      <c r="S1387" s="1" t="n">
        <v>0</v>
      </c>
      <c r="T1387" s="1" t="n">
        <v>1</v>
      </c>
      <c r="U1387" s="1" t="n">
        <v>0</v>
      </c>
      <c r="V1387" s="3" t="n">
        <f aca="false">SUM(P1387:Q1387)</f>
        <v>0</v>
      </c>
      <c r="W1387" s="3" t="n">
        <f aca="false">SUM(R1387:T1387)</f>
        <v>1</v>
      </c>
      <c r="X1387" s="10" t="n">
        <v>39969</v>
      </c>
      <c r="Y1387" s="10" t="n">
        <v>39974</v>
      </c>
    </row>
    <row r="1388" customFormat="false" ht="14.25" hidden="false" customHeight="false" outlineLevel="0" collapsed="false">
      <c r="A1388" s="1" t="n">
        <v>2009</v>
      </c>
      <c r="B1388" s="1" t="n">
        <v>1</v>
      </c>
      <c r="C1388" s="2" t="s">
        <v>44</v>
      </c>
      <c r="D1388" s="7" t="s">
        <v>45</v>
      </c>
      <c r="E1388" s="1" t="n">
        <v>1</v>
      </c>
      <c r="F1388" s="1" t="n">
        <f aca="false">Y1388-X1388</f>
        <v>5</v>
      </c>
      <c r="G1388" s="1" t="n">
        <v>5</v>
      </c>
      <c r="H1388" s="3" t="s">
        <v>72</v>
      </c>
      <c r="I1388" s="3" t="s">
        <v>152</v>
      </c>
      <c r="J1388" s="3" t="s">
        <v>153</v>
      </c>
      <c r="K1388" s="2" t="str">
        <f aca="false">CONCATENATE(I1388," ",J1388)</f>
        <v>Callilepis nocturna</v>
      </c>
      <c r="L1388" s="3" t="n">
        <f aca="false">SUM(P1388:U1388)</f>
        <v>1</v>
      </c>
      <c r="M1388" s="11" t="n">
        <f aca="false">(L1388/(F1388*G1388)*25)*4</f>
        <v>4</v>
      </c>
      <c r="N1388" s="1" t="s">
        <v>30</v>
      </c>
      <c r="O1388" s="1" t="s">
        <v>31</v>
      </c>
      <c r="P1388" s="1" t="n">
        <v>1</v>
      </c>
      <c r="Q1388" s="1" t="n">
        <v>0</v>
      </c>
      <c r="R1388" s="1" t="n">
        <v>0</v>
      </c>
      <c r="S1388" s="1" t="n">
        <v>0</v>
      </c>
      <c r="T1388" s="1" t="n">
        <v>0</v>
      </c>
      <c r="U1388" s="1" t="n">
        <v>0</v>
      </c>
      <c r="V1388" s="3" t="n">
        <f aca="false">SUM(P1388:Q1388)</f>
        <v>1</v>
      </c>
      <c r="W1388" s="3" t="n">
        <f aca="false">SUM(R1388:T1388)</f>
        <v>0</v>
      </c>
      <c r="X1388" s="10" t="n">
        <v>39969</v>
      </c>
      <c r="Y1388" s="10" t="n">
        <v>39974</v>
      </c>
    </row>
    <row r="1389" customFormat="false" ht="14.25" hidden="false" customHeight="false" outlineLevel="0" collapsed="false">
      <c r="A1389" s="1" t="n">
        <v>2009</v>
      </c>
      <c r="B1389" s="1" t="n">
        <v>1</v>
      </c>
      <c r="C1389" s="2" t="s">
        <v>44</v>
      </c>
      <c r="D1389" s="7" t="s">
        <v>45</v>
      </c>
      <c r="E1389" s="1" t="n">
        <v>1</v>
      </c>
      <c r="F1389" s="1" t="n">
        <f aca="false">Y1389-X1389</f>
        <v>5</v>
      </c>
      <c r="G1389" s="1" t="n">
        <v>5</v>
      </c>
      <c r="H1389" s="3" t="s">
        <v>72</v>
      </c>
      <c r="I1389" s="3" t="s">
        <v>139</v>
      </c>
      <c r="J1389" s="3" t="s">
        <v>140</v>
      </c>
      <c r="K1389" s="2" t="str">
        <f aca="false">CONCATENATE(I1389," ",J1389)</f>
        <v>Gnaphosa muscorum</v>
      </c>
      <c r="L1389" s="3" t="n">
        <f aca="false">SUM(P1389:U1389)</f>
        <v>1</v>
      </c>
      <c r="M1389" s="11" t="n">
        <f aca="false">(L1389/(F1389*G1389)*25)*4</f>
        <v>4</v>
      </c>
      <c r="N1389" s="1" t="s">
        <v>30</v>
      </c>
      <c r="O1389" s="1" t="s">
        <v>31</v>
      </c>
      <c r="P1389" s="1" t="n">
        <v>1</v>
      </c>
      <c r="Q1389" s="1" t="n">
        <v>0</v>
      </c>
      <c r="R1389" s="1" t="n">
        <v>0</v>
      </c>
      <c r="S1389" s="1" t="n">
        <v>0</v>
      </c>
      <c r="T1389" s="1" t="n">
        <v>0</v>
      </c>
      <c r="U1389" s="1" t="n">
        <v>0</v>
      </c>
      <c r="V1389" s="3" t="n">
        <f aca="false">SUM(P1389:Q1389)</f>
        <v>1</v>
      </c>
      <c r="W1389" s="3" t="n">
        <f aca="false">SUM(R1389:T1389)</f>
        <v>0</v>
      </c>
      <c r="X1389" s="10" t="n">
        <v>39969</v>
      </c>
      <c r="Y1389" s="10" t="n">
        <v>39974</v>
      </c>
    </row>
    <row r="1390" customFormat="false" ht="14.25" hidden="false" customHeight="false" outlineLevel="0" collapsed="false">
      <c r="A1390" s="1" t="n">
        <v>2009</v>
      </c>
      <c r="B1390" s="1" t="n">
        <v>1</v>
      </c>
      <c r="C1390" s="2" t="s">
        <v>44</v>
      </c>
      <c r="D1390" s="7" t="s">
        <v>45</v>
      </c>
      <c r="E1390" s="1" t="n">
        <v>1</v>
      </c>
      <c r="F1390" s="1" t="n">
        <f aca="false">Y1390-X1390</f>
        <v>5</v>
      </c>
      <c r="G1390" s="1" t="n">
        <v>5</v>
      </c>
      <c r="H1390" s="3" t="s">
        <v>72</v>
      </c>
      <c r="I1390" s="3" t="s">
        <v>86</v>
      </c>
      <c r="J1390" s="8" t="s">
        <v>87</v>
      </c>
      <c r="K1390" s="2" t="str">
        <f aca="false">CONCATENATE(I1390," ",J1390)</f>
        <v>Haplodrassus soerenseni</v>
      </c>
      <c r="L1390" s="3" t="n">
        <f aca="false">SUM(P1390:U1390)</f>
        <v>1</v>
      </c>
      <c r="M1390" s="11" t="n">
        <f aca="false">(L1390/(F1390*G1390)*25)*4</f>
        <v>4</v>
      </c>
      <c r="N1390" s="1" t="s">
        <v>30</v>
      </c>
      <c r="O1390" s="1" t="s">
        <v>31</v>
      </c>
      <c r="P1390" s="1" t="n">
        <v>1</v>
      </c>
      <c r="Q1390" s="1" t="n">
        <v>0</v>
      </c>
      <c r="R1390" s="1" t="n">
        <v>0</v>
      </c>
      <c r="S1390" s="1" t="n">
        <v>0</v>
      </c>
      <c r="T1390" s="1" t="n">
        <v>0</v>
      </c>
      <c r="U1390" s="1" t="n">
        <v>0</v>
      </c>
      <c r="V1390" s="3" t="n">
        <f aca="false">SUM(P1390:Q1390)</f>
        <v>1</v>
      </c>
      <c r="W1390" s="3" t="n">
        <f aca="false">SUM(R1390:T1390)</f>
        <v>0</v>
      </c>
      <c r="X1390" s="10" t="n">
        <v>39969</v>
      </c>
      <c r="Y1390" s="10" t="n">
        <v>39974</v>
      </c>
    </row>
    <row r="1391" customFormat="false" ht="14.25" hidden="false" customHeight="false" outlineLevel="0" collapsed="false">
      <c r="A1391" s="1" t="n">
        <v>2009</v>
      </c>
      <c r="B1391" s="1" t="n">
        <v>1</v>
      </c>
      <c r="C1391" s="2" t="s">
        <v>44</v>
      </c>
      <c r="D1391" s="7" t="s">
        <v>45</v>
      </c>
      <c r="E1391" s="1" t="n">
        <v>1</v>
      </c>
      <c r="F1391" s="1" t="n">
        <f aca="false">Y1391-X1391</f>
        <v>5</v>
      </c>
      <c r="G1391" s="1" t="n">
        <v>5</v>
      </c>
      <c r="H1391" s="3" t="s">
        <v>72</v>
      </c>
      <c r="I1391" s="3" t="s">
        <v>73</v>
      </c>
      <c r="J1391" s="3" t="s">
        <v>38</v>
      </c>
      <c r="K1391" s="2" t="str">
        <f aca="false">CONCATENATE(I1391," ",J1391)</f>
        <v>Zelotes sp</v>
      </c>
      <c r="L1391" s="3" t="n">
        <f aca="false">SUM(P1391:U1391)</f>
        <v>2</v>
      </c>
      <c r="M1391" s="11" t="n">
        <f aca="false">(L1391/(F1391*G1391)*25)*4</f>
        <v>8</v>
      </c>
      <c r="N1391" s="1" t="s">
        <v>19</v>
      </c>
      <c r="O1391" s="1" t="s">
        <v>54</v>
      </c>
      <c r="P1391" s="1" t="n">
        <v>0</v>
      </c>
      <c r="Q1391" s="1" t="n">
        <v>0</v>
      </c>
      <c r="R1391" s="1" t="n">
        <v>0</v>
      </c>
      <c r="S1391" s="1" t="n">
        <v>0</v>
      </c>
      <c r="T1391" s="1" t="n">
        <v>2</v>
      </c>
      <c r="U1391" s="1" t="n">
        <v>0</v>
      </c>
      <c r="V1391" s="3" t="n">
        <f aca="false">SUM(P1391:Q1391)</f>
        <v>0</v>
      </c>
      <c r="W1391" s="3" t="n">
        <f aca="false">SUM(R1391:T1391)</f>
        <v>2</v>
      </c>
      <c r="X1391" s="10" t="n">
        <v>39969</v>
      </c>
      <c r="Y1391" s="10" t="n">
        <v>39974</v>
      </c>
    </row>
    <row r="1392" customFormat="false" ht="14.25" hidden="false" customHeight="false" outlineLevel="0" collapsed="false">
      <c r="A1392" s="1" t="n">
        <v>2009</v>
      </c>
      <c r="B1392" s="1" t="n">
        <v>1</v>
      </c>
      <c r="C1392" s="2" t="s">
        <v>44</v>
      </c>
      <c r="D1392" s="7" t="s">
        <v>45</v>
      </c>
      <c r="E1392" s="1" t="n">
        <v>1</v>
      </c>
      <c r="F1392" s="1" t="n">
        <f aca="false">Y1392-X1392</f>
        <v>5</v>
      </c>
      <c r="G1392" s="1" t="n">
        <v>5</v>
      </c>
      <c r="H1392" s="3" t="s">
        <v>48</v>
      </c>
      <c r="I1392" s="3" t="s">
        <v>49</v>
      </c>
      <c r="J1392" s="3" t="s">
        <v>130</v>
      </c>
      <c r="K1392" s="2" t="str">
        <f aca="false">CONCATENATE(I1392," ",J1392)</f>
        <v>Alopecosa aculeata</v>
      </c>
      <c r="L1392" s="3" t="n">
        <f aca="false">SUM(P1392:U1392)</f>
        <v>1</v>
      </c>
      <c r="M1392" s="11" t="n">
        <f aca="false">(L1392/(F1392*G1392)*25)*4</f>
        <v>4</v>
      </c>
      <c r="N1392" s="1" t="s">
        <v>30</v>
      </c>
      <c r="O1392" s="1" t="s">
        <v>31</v>
      </c>
      <c r="P1392" s="1" t="n">
        <v>1</v>
      </c>
      <c r="Q1392" s="1" t="n">
        <v>0</v>
      </c>
      <c r="R1392" s="1" t="n">
        <v>0</v>
      </c>
      <c r="S1392" s="1" t="n">
        <v>0</v>
      </c>
      <c r="T1392" s="1" t="n">
        <v>0</v>
      </c>
      <c r="U1392" s="1" t="n">
        <v>0</v>
      </c>
      <c r="V1392" s="3" t="n">
        <f aca="false">SUM(P1392:Q1392)</f>
        <v>1</v>
      </c>
      <c r="W1392" s="3" t="n">
        <f aca="false">SUM(R1392:T1392)</f>
        <v>0</v>
      </c>
      <c r="X1392" s="10" t="n">
        <v>39969</v>
      </c>
      <c r="Y1392" s="10" t="n">
        <v>39974</v>
      </c>
    </row>
    <row r="1393" customFormat="false" ht="14.25" hidden="false" customHeight="false" outlineLevel="0" collapsed="false">
      <c r="A1393" s="1" t="n">
        <v>2009</v>
      </c>
      <c r="B1393" s="1" t="n">
        <v>1</v>
      </c>
      <c r="C1393" s="2" t="s">
        <v>44</v>
      </c>
      <c r="D1393" s="7" t="s">
        <v>45</v>
      </c>
      <c r="E1393" s="1" t="n">
        <v>1</v>
      </c>
      <c r="F1393" s="1" t="n">
        <f aca="false">Y1393-X1393</f>
        <v>5</v>
      </c>
      <c r="G1393" s="1" t="n">
        <v>5</v>
      </c>
      <c r="H1393" s="3" t="s">
        <v>48</v>
      </c>
      <c r="I1393" s="3" t="s">
        <v>49</v>
      </c>
      <c r="J1393" s="3" t="s">
        <v>130</v>
      </c>
      <c r="K1393" s="2" t="str">
        <f aca="false">CONCATENATE(I1393," ",J1393)</f>
        <v>Alopecosa aculeata</v>
      </c>
      <c r="L1393" s="3" t="n">
        <f aca="false">SUM(P1393:U1393)</f>
        <v>1</v>
      </c>
      <c r="M1393" s="11" t="n">
        <f aca="false">(L1393/(F1393*G1393)*25)*4</f>
        <v>4</v>
      </c>
      <c r="N1393" s="1" t="s">
        <v>30</v>
      </c>
      <c r="O1393" s="1" t="s">
        <v>35</v>
      </c>
      <c r="P1393" s="1" t="n">
        <v>0</v>
      </c>
      <c r="Q1393" s="1" t="n">
        <v>1</v>
      </c>
      <c r="R1393" s="1" t="n">
        <v>0</v>
      </c>
      <c r="S1393" s="1" t="n">
        <v>0</v>
      </c>
      <c r="T1393" s="1" t="n">
        <v>0</v>
      </c>
      <c r="U1393" s="1" t="n">
        <v>0</v>
      </c>
      <c r="V1393" s="3" t="n">
        <f aca="false">SUM(P1393:Q1393)</f>
        <v>1</v>
      </c>
      <c r="W1393" s="3" t="n">
        <f aca="false">SUM(R1393:T1393)</f>
        <v>0</v>
      </c>
      <c r="X1393" s="10" t="n">
        <v>39969</v>
      </c>
      <c r="Y1393" s="10" t="n">
        <v>39974</v>
      </c>
    </row>
    <row r="1394" customFormat="false" ht="14.25" hidden="false" customHeight="false" outlineLevel="0" collapsed="false">
      <c r="A1394" s="1" t="n">
        <v>2009</v>
      </c>
      <c r="B1394" s="1" t="n">
        <v>1</v>
      </c>
      <c r="C1394" s="2" t="s">
        <v>44</v>
      </c>
      <c r="D1394" s="7" t="s">
        <v>45</v>
      </c>
      <c r="E1394" s="1" t="n">
        <v>1</v>
      </c>
      <c r="F1394" s="1" t="n">
        <f aca="false">Y1394-X1394</f>
        <v>5</v>
      </c>
      <c r="G1394" s="1" t="n">
        <v>5</v>
      </c>
      <c r="H1394" s="3" t="s">
        <v>48</v>
      </c>
      <c r="I1394" s="3" t="s">
        <v>122</v>
      </c>
      <c r="J1394" s="3" t="s">
        <v>123</v>
      </c>
      <c r="K1394" s="2" t="str">
        <f aca="false">CONCATENATE(I1394," ",J1394)</f>
        <v>Xerolycosa nemoralis</v>
      </c>
      <c r="L1394" s="3" t="n">
        <f aca="false">SUM(P1394:U1394)</f>
        <v>5</v>
      </c>
      <c r="M1394" s="11" t="n">
        <f aca="false">(L1394/(F1394*G1394)*25)*4</f>
        <v>20</v>
      </c>
      <c r="N1394" s="1" t="s">
        <v>30</v>
      </c>
      <c r="O1394" s="1" t="s">
        <v>31</v>
      </c>
      <c r="P1394" s="1" t="n">
        <v>5</v>
      </c>
      <c r="Q1394" s="1" t="n">
        <v>0</v>
      </c>
      <c r="R1394" s="1" t="n">
        <v>0</v>
      </c>
      <c r="S1394" s="1" t="n">
        <v>0</v>
      </c>
      <c r="T1394" s="1" t="n">
        <v>0</v>
      </c>
      <c r="U1394" s="1" t="n">
        <v>0</v>
      </c>
      <c r="V1394" s="3" t="n">
        <f aca="false">SUM(P1394:Q1394)</f>
        <v>5</v>
      </c>
      <c r="W1394" s="3" t="n">
        <f aca="false">SUM(R1394:T1394)</f>
        <v>0</v>
      </c>
      <c r="X1394" s="10" t="n">
        <v>39969</v>
      </c>
      <c r="Y1394" s="10" t="n">
        <v>39974</v>
      </c>
    </row>
    <row r="1395" customFormat="false" ht="14.25" hidden="false" customHeight="false" outlineLevel="0" collapsed="false">
      <c r="A1395" s="1" t="n">
        <v>2009</v>
      </c>
      <c r="B1395" s="1" t="n">
        <v>1</v>
      </c>
      <c r="C1395" s="2" t="s">
        <v>44</v>
      </c>
      <c r="D1395" s="7" t="s">
        <v>45</v>
      </c>
      <c r="E1395" s="1" t="n">
        <v>2</v>
      </c>
      <c r="F1395" s="1" t="n">
        <f aca="false">Y1395-X1395</f>
        <v>5</v>
      </c>
      <c r="G1395" s="1" t="n">
        <v>5</v>
      </c>
      <c r="H1395" s="3" t="s">
        <v>48</v>
      </c>
      <c r="I1395" s="3" t="s">
        <v>49</v>
      </c>
      <c r="J1395" s="3" t="s">
        <v>130</v>
      </c>
      <c r="K1395" s="2" t="str">
        <f aca="false">CONCATENATE(I1395," ",J1395)</f>
        <v>Alopecosa aculeata</v>
      </c>
      <c r="L1395" s="3" t="n">
        <f aca="false">SUM(P1395:U1395)</f>
        <v>1</v>
      </c>
      <c r="M1395" s="11" t="n">
        <f aca="false">(L1395/(F1395*G1395)*25)*4</f>
        <v>4</v>
      </c>
      <c r="N1395" s="1" t="s">
        <v>30</v>
      </c>
      <c r="O1395" s="1" t="s">
        <v>31</v>
      </c>
      <c r="P1395" s="1" t="n">
        <v>1</v>
      </c>
      <c r="Q1395" s="1" t="n">
        <v>0</v>
      </c>
      <c r="R1395" s="1" t="n">
        <v>0</v>
      </c>
      <c r="S1395" s="1" t="n">
        <v>0</v>
      </c>
      <c r="T1395" s="1" t="n">
        <v>0</v>
      </c>
      <c r="U1395" s="1" t="n">
        <v>0</v>
      </c>
      <c r="V1395" s="3" t="n">
        <f aca="false">SUM(P1395:Q1395)</f>
        <v>1</v>
      </c>
      <c r="W1395" s="3" t="n">
        <f aca="false">SUM(R1395:T1395)</f>
        <v>0</v>
      </c>
      <c r="X1395" s="10" t="n">
        <v>39969</v>
      </c>
      <c r="Y1395" s="10" t="n">
        <v>39974</v>
      </c>
    </row>
    <row r="1396" customFormat="false" ht="14.25" hidden="false" customHeight="false" outlineLevel="0" collapsed="false">
      <c r="A1396" s="1" t="n">
        <v>2009</v>
      </c>
      <c r="B1396" s="1" t="n">
        <v>1</v>
      </c>
      <c r="C1396" s="2" t="s">
        <v>44</v>
      </c>
      <c r="D1396" s="7" t="s">
        <v>45</v>
      </c>
      <c r="E1396" s="1" t="n">
        <v>2</v>
      </c>
      <c r="F1396" s="1" t="n">
        <f aca="false">Y1396-X1396</f>
        <v>5</v>
      </c>
      <c r="G1396" s="1" t="n">
        <v>5</v>
      </c>
      <c r="H1396" s="3" t="s">
        <v>48</v>
      </c>
      <c r="I1396" s="3" t="s">
        <v>49</v>
      </c>
      <c r="J1396" s="3" t="s">
        <v>130</v>
      </c>
      <c r="K1396" s="2" t="str">
        <f aca="false">CONCATENATE(I1396," ",J1396)</f>
        <v>Alopecosa aculeata</v>
      </c>
      <c r="L1396" s="3" t="n">
        <f aca="false">SUM(P1396:U1396)</f>
        <v>1</v>
      </c>
      <c r="M1396" s="11" t="n">
        <f aca="false">(L1396/(F1396*G1396)*25)*4</f>
        <v>4</v>
      </c>
      <c r="N1396" s="1" t="s">
        <v>30</v>
      </c>
      <c r="O1396" s="1" t="s">
        <v>35</v>
      </c>
      <c r="P1396" s="1" t="n">
        <v>0</v>
      </c>
      <c r="Q1396" s="1" t="n">
        <v>1</v>
      </c>
      <c r="R1396" s="1" t="n">
        <v>0</v>
      </c>
      <c r="S1396" s="1" t="n">
        <v>0</v>
      </c>
      <c r="T1396" s="1" t="n">
        <v>0</v>
      </c>
      <c r="U1396" s="1" t="n">
        <v>0</v>
      </c>
      <c r="V1396" s="3" t="n">
        <f aca="false">SUM(P1396:Q1396)</f>
        <v>1</v>
      </c>
      <c r="W1396" s="3" t="n">
        <f aca="false">SUM(R1396:T1396)</f>
        <v>0</v>
      </c>
      <c r="X1396" s="10" t="n">
        <v>39969</v>
      </c>
      <c r="Y1396" s="10" t="n">
        <v>39974</v>
      </c>
    </row>
    <row r="1397" customFormat="false" ht="14.25" hidden="false" customHeight="false" outlineLevel="0" collapsed="false">
      <c r="A1397" s="1" t="n">
        <v>2009</v>
      </c>
      <c r="B1397" s="1" t="n">
        <v>1</v>
      </c>
      <c r="C1397" s="2" t="s">
        <v>44</v>
      </c>
      <c r="D1397" s="7" t="s">
        <v>45</v>
      </c>
      <c r="E1397" s="1" t="n">
        <v>2</v>
      </c>
      <c r="F1397" s="1" t="n">
        <f aca="false">Y1397-X1397</f>
        <v>5</v>
      </c>
      <c r="G1397" s="1" t="n">
        <v>5</v>
      </c>
      <c r="H1397" s="3" t="s">
        <v>48</v>
      </c>
      <c r="I1397" s="3" t="s">
        <v>122</v>
      </c>
      <c r="J1397" s="3" t="s">
        <v>123</v>
      </c>
      <c r="K1397" s="2" t="str">
        <f aca="false">CONCATENATE(I1397," ",J1397)</f>
        <v>Xerolycosa nemoralis</v>
      </c>
      <c r="L1397" s="3" t="n">
        <f aca="false">SUM(P1397:U1397)</f>
        <v>1</v>
      </c>
      <c r="M1397" s="11" t="n">
        <f aca="false">(L1397/(F1397*G1397)*25)*4</f>
        <v>4</v>
      </c>
      <c r="N1397" s="1" t="s">
        <v>30</v>
      </c>
      <c r="O1397" s="1" t="s">
        <v>31</v>
      </c>
      <c r="P1397" s="1" t="n">
        <v>1</v>
      </c>
      <c r="Q1397" s="1" t="n">
        <v>0</v>
      </c>
      <c r="R1397" s="1" t="n">
        <v>0</v>
      </c>
      <c r="S1397" s="1" t="n">
        <v>0</v>
      </c>
      <c r="T1397" s="1" t="n">
        <v>0</v>
      </c>
      <c r="U1397" s="1" t="n">
        <v>0</v>
      </c>
      <c r="V1397" s="3" t="n">
        <f aca="false">SUM(P1397:Q1397)</f>
        <v>1</v>
      </c>
      <c r="W1397" s="3" t="n">
        <f aca="false">SUM(R1397:T1397)</f>
        <v>0</v>
      </c>
      <c r="X1397" s="10" t="n">
        <v>39969</v>
      </c>
      <c r="Y1397" s="10" t="n">
        <v>39974</v>
      </c>
    </row>
    <row r="1398" customFormat="false" ht="14.25" hidden="false" customHeight="false" outlineLevel="0" collapsed="false">
      <c r="A1398" s="1" t="n">
        <v>2009</v>
      </c>
      <c r="B1398" s="1" t="n">
        <v>1</v>
      </c>
      <c r="C1398" s="2" t="s">
        <v>44</v>
      </c>
      <c r="D1398" s="7" t="s">
        <v>45</v>
      </c>
      <c r="E1398" s="1" t="n">
        <v>2</v>
      </c>
      <c r="F1398" s="1" t="n">
        <f aca="false">Y1398-X1398</f>
        <v>5</v>
      </c>
      <c r="G1398" s="1" t="n">
        <v>5</v>
      </c>
      <c r="H1398" s="3" t="s">
        <v>48</v>
      </c>
      <c r="I1398" s="3" t="s">
        <v>49</v>
      </c>
      <c r="J1398" s="3" t="s">
        <v>38</v>
      </c>
      <c r="K1398" s="2" t="str">
        <f aca="false">CONCATENATE(I1398," ",J1398)</f>
        <v>Alopecosa sp</v>
      </c>
      <c r="L1398" s="3" t="n">
        <f aca="false">SUM(P1398:U1398)</f>
        <v>2</v>
      </c>
      <c r="M1398" s="11" t="n">
        <f aca="false">(L1398/(F1398*G1398)*25)*4</f>
        <v>8</v>
      </c>
      <c r="N1398" s="1" t="s">
        <v>19</v>
      </c>
      <c r="O1398" s="1" t="s">
        <v>54</v>
      </c>
      <c r="P1398" s="1" t="n">
        <v>0</v>
      </c>
      <c r="Q1398" s="1" t="n">
        <v>0</v>
      </c>
      <c r="R1398" s="1" t="n">
        <v>0</v>
      </c>
      <c r="S1398" s="1" t="n">
        <v>0</v>
      </c>
      <c r="T1398" s="1" t="n">
        <v>2</v>
      </c>
      <c r="U1398" s="1" t="n">
        <v>0</v>
      </c>
      <c r="V1398" s="3" t="n">
        <f aca="false">SUM(P1398:Q1398)</f>
        <v>0</v>
      </c>
      <c r="W1398" s="3" t="n">
        <f aca="false">SUM(R1398:T1398)</f>
        <v>2</v>
      </c>
      <c r="X1398" s="10" t="n">
        <v>39969</v>
      </c>
      <c r="Y1398" s="10" t="n">
        <v>39974</v>
      </c>
    </row>
    <row r="1399" customFormat="false" ht="14.25" hidden="false" customHeight="false" outlineLevel="0" collapsed="false">
      <c r="A1399" s="1" t="n">
        <v>2009</v>
      </c>
      <c r="B1399" s="1" t="n">
        <v>1</v>
      </c>
      <c r="C1399" s="2" t="s">
        <v>44</v>
      </c>
      <c r="D1399" s="7" t="s">
        <v>45</v>
      </c>
      <c r="E1399" s="1" t="n">
        <v>2</v>
      </c>
      <c r="F1399" s="1" t="n">
        <f aca="false">Y1399-X1399</f>
        <v>5</v>
      </c>
      <c r="G1399" s="1" t="n">
        <v>5</v>
      </c>
      <c r="H1399" s="3" t="s">
        <v>48</v>
      </c>
      <c r="I1399" s="3" t="s">
        <v>57</v>
      </c>
      <c r="J1399" s="3" t="s">
        <v>38</v>
      </c>
      <c r="K1399" s="2" t="str">
        <f aca="false">CONCATENATE(I1399," ",J1399)</f>
        <v>Gen sp</v>
      </c>
      <c r="L1399" s="3" t="n">
        <f aca="false">SUM(P1399:U1399)</f>
        <v>2</v>
      </c>
      <c r="M1399" s="11" t="n">
        <f aca="false">(L1399/(F1399*G1399)*25)*4</f>
        <v>8</v>
      </c>
      <c r="N1399" s="1" t="s">
        <v>19</v>
      </c>
      <c r="O1399" s="1" t="s">
        <v>54</v>
      </c>
      <c r="P1399" s="1" t="n">
        <v>0</v>
      </c>
      <c r="Q1399" s="1" t="n">
        <v>0</v>
      </c>
      <c r="R1399" s="1" t="n">
        <v>0</v>
      </c>
      <c r="S1399" s="1" t="n">
        <v>0</v>
      </c>
      <c r="T1399" s="1" t="n">
        <v>2</v>
      </c>
      <c r="U1399" s="1" t="n">
        <v>0</v>
      </c>
      <c r="V1399" s="3" t="n">
        <f aca="false">SUM(P1399:Q1399)</f>
        <v>0</v>
      </c>
      <c r="W1399" s="3" t="n">
        <f aca="false">SUM(R1399:T1399)</f>
        <v>2</v>
      </c>
      <c r="X1399" s="10" t="n">
        <v>39969</v>
      </c>
      <c r="Y1399" s="10" t="n">
        <v>39974</v>
      </c>
    </row>
    <row r="1400" customFormat="false" ht="14.25" hidden="false" customHeight="false" outlineLevel="0" collapsed="false">
      <c r="A1400" s="1" t="n">
        <v>2009</v>
      </c>
      <c r="B1400" s="1" t="n">
        <v>1</v>
      </c>
      <c r="C1400" s="2" t="s">
        <v>44</v>
      </c>
      <c r="D1400" s="7" t="s">
        <v>45</v>
      </c>
      <c r="E1400" s="1" t="n">
        <v>2</v>
      </c>
      <c r="F1400" s="1" t="n">
        <f aca="false">Y1400-X1400</f>
        <v>5</v>
      </c>
      <c r="G1400" s="1" t="n">
        <v>5</v>
      </c>
      <c r="H1400" s="3" t="s">
        <v>72</v>
      </c>
      <c r="I1400" s="3" t="s">
        <v>139</v>
      </c>
      <c r="J1400" s="3" t="s">
        <v>140</v>
      </c>
      <c r="K1400" s="2" t="str">
        <f aca="false">CONCATENATE(I1400," ",J1400)</f>
        <v>Gnaphosa muscorum</v>
      </c>
      <c r="L1400" s="3" t="n">
        <f aca="false">SUM(P1400:U1400)</f>
        <v>2</v>
      </c>
      <c r="M1400" s="11" t="n">
        <f aca="false">(L1400/(F1400*G1400)*25)*4</f>
        <v>8</v>
      </c>
      <c r="N1400" s="1" t="s">
        <v>30</v>
      </c>
      <c r="O1400" s="1" t="s">
        <v>31</v>
      </c>
      <c r="P1400" s="1" t="n">
        <v>2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0</v>
      </c>
      <c r="V1400" s="3" t="n">
        <f aca="false">SUM(P1400:Q1400)</f>
        <v>2</v>
      </c>
      <c r="W1400" s="3" t="n">
        <f aca="false">SUM(R1400:T1400)</f>
        <v>0</v>
      </c>
      <c r="X1400" s="10" t="n">
        <v>39969</v>
      </c>
      <c r="Y1400" s="10" t="n">
        <v>39974</v>
      </c>
    </row>
    <row r="1401" customFormat="false" ht="14.25" hidden="false" customHeight="false" outlineLevel="0" collapsed="false">
      <c r="A1401" s="1" t="n">
        <v>2009</v>
      </c>
      <c r="B1401" s="1" t="n">
        <v>1</v>
      </c>
      <c r="C1401" s="2" t="s">
        <v>44</v>
      </c>
      <c r="D1401" s="7" t="s">
        <v>45</v>
      </c>
      <c r="E1401" s="1" t="n">
        <v>2</v>
      </c>
      <c r="F1401" s="1" t="n">
        <f aca="false">Y1401-X1401</f>
        <v>5</v>
      </c>
      <c r="G1401" s="1" t="n">
        <v>5</v>
      </c>
      <c r="H1401" s="3" t="s">
        <v>72</v>
      </c>
      <c r="I1401" s="3" t="s">
        <v>73</v>
      </c>
      <c r="J1401" s="3" t="s">
        <v>74</v>
      </c>
      <c r="K1401" s="2" t="str">
        <f aca="false">CONCATENATE(I1401," ",J1401)</f>
        <v>Zelotes subterraneus</v>
      </c>
      <c r="L1401" s="3" t="n">
        <f aca="false">SUM(P1401:U1401)</f>
        <v>1</v>
      </c>
      <c r="M1401" s="11" t="n">
        <f aca="false">(L1401/(F1401*G1401)*25)*4</f>
        <v>4</v>
      </c>
      <c r="N1401" s="1" t="s">
        <v>30</v>
      </c>
      <c r="O1401" s="1" t="s">
        <v>35</v>
      </c>
      <c r="P1401" s="1" t="n">
        <v>0</v>
      </c>
      <c r="Q1401" s="1" t="n">
        <v>1</v>
      </c>
      <c r="R1401" s="1" t="n">
        <v>0</v>
      </c>
      <c r="S1401" s="1" t="n">
        <v>0</v>
      </c>
      <c r="T1401" s="1" t="n">
        <v>0</v>
      </c>
      <c r="U1401" s="1" t="n">
        <v>0</v>
      </c>
      <c r="V1401" s="3" t="n">
        <f aca="false">SUM(P1401:Q1401)</f>
        <v>1</v>
      </c>
      <c r="W1401" s="3" t="n">
        <f aca="false">SUM(R1401:T1401)</f>
        <v>0</v>
      </c>
      <c r="X1401" s="10" t="n">
        <v>39969</v>
      </c>
      <c r="Y1401" s="10" t="n">
        <v>39974</v>
      </c>
    </row>
    <row r="1402" customFormat="false" ht="14.25" hidden="false" customHeight="false" outlineLevel="0" collapsed="false">
      <c r="A1402" s="1" t="n">
        <v>2009</v>
      </c>
      <c r="B1402" s="1" t="n">
        <v>1</v>
      </c>
      <c r="C1402" s="2" t="s">
        <v>44</v>
      </c>
      <c r="D1402" s="7" t="s">
        <v>45</v>
      </c>
      <c r="E1402" s="1" t="n">
        <v>2</v>
      </c>
      <c r="F1402" s="1" t="n">
        <f aca="false">Y1402-X1402</f>
        <v>5</v>
      </c>
      <c r="G1402" s="1" t="n">
        <v>5</v>
      </c>
      <c r="H1402" s="13" t="s">
        <v>27</v>
      </c>
      <c r="I1402" s="13" t="s">
        <v>46</v>
      </c>
      <c r="J1402" s="14" t="s">
        <v>47</v>
      </c>
      <c r="K1402" s="2" t="str">
        <f aca="false">CONCATENATE(I1402," ",J1402)</f>
        <v>Euryopis flavomaculata</v>
      </c>
      <c r="L1402" s="3" t="n">
        <f aca="false">SUM(P1402:U1402)</f>
        <v>1</v>
      </c>
      <c r="M1402" s="11" t="n">
        <f aca="false">(L1402/(F1402*G1402)*25)*4</f>
        <v>4</v>
      </c>
      <c r="N1402" s="1" t="s">
        <v>30</v>
      </c>
      <c r="O1402" s="1" t="s">
        <v>31</v>
      </c>
      <c r="P1402" s="1" t="n">
        <v>1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0</v>
      </c>
      <c r="V1402" s="3" t="n">
        <f aca="false">SUM(P1402:Q1402)</f>
        <v>1</v>
      </c>
      <c r="W1402" s="3" t="n">
        <f aca="false">SUM(R1402:T1402)</f>
        <v>0</v>
      </c>
      <c r="X1402" s="10" t="n">
        <v>39969</v>
      </c>
      <c r="Y1402" s="10" t="n">
        <v>39974</v>
      </c>
    </row>
    <row r="1403" customFormat="false" ht="14.25" hidden="false" customHeight="false" outlineLevel="0" collapsed="false">
      <c r="A1403" s="1" t="n">
        <v>2009</v>
      </c>
      <c r="B1403" s="1" t="n">
        <v>1</v>
      </c>
      <c r="C1403" s="2" t="s">
        <v>44</v>
      </c>
      <c r="D1403" s="7" t="s">
        <v>45</v>
      </c>
      <c r="E1403" s="1" t="n">
        <v>2</v>
      </c>
      <c r="F1403" s="1" t="n">
        <f aca="false">Y1403-X1403</f>
        <v>5</v>
      </c>
      <c r="G1403" s="1" t="n">
        <v>5</v>
      </c>
      <c r="H1403" s="13" t="s">
        <v>27</v>
      </c>
      <c r="I1403" s="13" t="s">
        <v>46</v>
      </c>
      <c r="J1403" s="14" t="s">
        <v>47</v>
      </c>
      <c r="K1403" s="2" t="str">
        <f aca="false">CONCATENATE(I1403," ",J1403)</f>
        <v>Euryopis flavomaculata</v>
      </c>
      <c r="L1403" s="3" t="n">
        <f aca="false">SUM(P1403:U1403)</f>
        <v>1</v>
      </c>
      <c r="M1403" s="11" t="n">
        <f aca="false">(L1403/(F1403*G1403)*25)*4</f>
        <v>4</v>
      </c>
      <c r="N1403" s="1" t="s">
        <v>30</v>
      </c>
      <c r="O1403" s="1" t="s">
        <v>35</v>
      </c>
      <c r="P1403" s="1" t="n">
        <v>0</v>
      </c>
      <c r="Q1403" s="1" t="n">
        <v>1</v>
      </c>
      <c r="R1403" s="1" t="n">
        <v>0</v>
      </c>
      <c r="S1403" s="1" t="n">
        <v>0</v>
      </c>
      <c r="T1403" s="1" t="n">
        <v>0</v>
      </c>
      <c r="U1403" s="1" t="n">
        <v>0</v>
      </c>
      <c r="V1403" s="3" t="n">
        <f aca="false">SUM(P1403:Q1403)</f>
        <v>1</v>
      </c>
      <c r="W1403" s="3" t="n">
        <f aca="false">SUM(R1403:T1403)</f>
        <v>0</v>
      </c>
      <c r="X1403" s="10" t="n">
        <v>39969</v>
      </c>
      <c r="Y1403" s="10" t="n">
        <v>39974</v>
      </c>
    </row>
    <row r="1404" customFormat="false" ht="14.25" hidden="false" customHeight="false" outlineLevel="0" collapsed="false">
      <c r="A1404" s="1" t="n">
        <v>2009</v>
      </c>
      <c r="B1404" s="1" t="n">
        <v>1</v>
      </c>
      <c r="C1404" s="2" t="s">
        <v>44</v>
      </c>
      <c r="D1404" s="7" t="s">
        <v>45</v>
      </c>
      <c r="E1404" s="1" t="n">
        <v>2</v>
      </c>
      <c r="F1404" s="1" t="n">
        <f aca="false">Y1404-X1404</f>
        <v>5</v>
      </c>
      <c r="G1404" s="1" t="n">
        <v>5</v>
      </c>
      <c r="H1404" s="3" t="s">
        <v>48</v>
      </c>
      <c r="I1404" s="3" t="s">
        <v>49</v>
      </c>
      <c r="J1404" s="3" t="s">
        <v>130</v>
      </c>
      <c r="K1404" s="2" t="str">
        <f aca="false">CONCATENATE(I1404," ",J1404)</f>
        <v>Alopecosa aculeata</v>
      </c>
      <c r="L1404" s="3" t="n">
        <f aca="false">SUM(P1404:U1404)</f>
        <v>1</v>
      </c>
      <c r="M1404" s="11" t="n">
        <f aca="false">(L1404/(F1404*G1404)*25)*4</f>
        <v>4</v>
      </c>
      <c r="N1404" s="1" t="s">
        <v>30</v>
      </c>
      <c r="O1404" s="1" t="s">
        <v>31</v>
      </c>
      <c r="P1404" s="1" t="n">
        <v>1</v>
      </c>
      <c r="Q1404" s="1" t="n">
        <v>0</v>
      </c>
      <c r="R1404" s="1" t="n">
        <v>0</v>
      </c>
      <c r="S1404" s="1" t="n">
        <v>0</v>
      </c>
      <c r="T1404" s="1" t="n">
        <v>0</v>
      </c>
      <c r="U1404" s="1" t="n">
        <v>0</v>
      </c>
      <c r="V1404" s="3" t="n">
        <f aca="false">SUM(P1404:Q1404)</f>
        <v>1</v>
      </c>
      <c r="W1404" s="3" t="n">
        <f aca="false">SUM(R1404:T1404)</f>
        <v>0</v>
      </c>
      <c r="X1404" s="10" t="n">
        <v>39969</v>
      </c>
      <c r="Y1404" s="10" t="n">
        <v>39974</v>
      </c>
    </row>
    <row r="1405" customFormat="false" ht="14.25" hidden="false" customHeight="false" outlineLevel="0" collapsed="false">
      <c r="A1405" s="1" t="n">
        <v>2009</v>
      </c>
      <c r="B1405" s="1" t="n">
        <v>1</v>
      </c>
      <c r="C1405" s="2" t="s">
        <v>44</v>
      </c>
      <c r="D1405" s="7" t="s">
        <v>45</v>
      </c>
      <c r="E1405" s="1" t="n">
        <v>2</v>
      </c>
      <c r="F1405" s="1" t="n">
        <f aca="false">Y1405-X1405</f>
        <v>5</v>
      </c>
      <c r="G1405" s="1" t="n">
        <v>5</v>
      </c>
      <c r="H1405" s="3" t="s">
        <v>48</v>
      </c>
      <c r="I1405" s="3" t="s">
        <v>122</v>
      </c>
      <c r="J1405" s="3" t="s">
        <v>123</v>
      </c>
      <c r="K1405" s="2" t="str">
        <f aca="false">CONCATENATE(I1405," ",J1405)</f>
        <v>Xerolycosa nemoralis</v>
      </c>
      <c r="L1405" s="3" t="n">
        <f aca="false">SUM(P1405:U1405)</f>
        <v>3</v>
      </c>
      <c r="M1405" s="11" t="n">
        <f aca="false">(L1405/(F1405*G1405)*25)*4</f>
        <v>12</v>
      </c>
      <c r="N1405" s="1" t="s">
        <v>30</v>
      </c>
      <c r="O1405" s="1" t="s">
        <v>31</v>
      </c>
      <c r="P1405" s="1" t="n">
        <v>3</v>
      </c>
      <c r="Q1405" s="1" t="n">
        <v>0</v>
      </c>
      <c r="R1405" s="1" t="n">
        <v>0</v>
      </c>
      <c r="S1405" s="1" t="n">
        <v>0</v>
      </c>
      <c r="T1405" s="1" t="n">
        <v>0</v>
      </c>
      <c r="U1405" s="1" t="n">
        <v>0</v>
      </c>
      <c r="V1405" s="3" t="n">
        <f aca="false">SUM(P1405:Q1405)</f>
        <v>3</v>
      </c>
      <c r="W1405" s="3" t="n">
        <f aca="false">SUM(R1405:T1405)</f>
        <v>0</v>
      </c>
      <c r="X1405" s="10" t="n">
        <v>39969</v>
      </c>
      <c r="Y1405" s="10" t="n">
        <v>39974</v>
      </c>
    </row>
    <row r="1406" customFormat="false" ht="14.25" hidden="false" customHeight="false" outlineLevel="0" collapsed="false">
      <c r="A1406" s="1" t="n">
        <v>2009</v>
      </c>
      <c r="B1406" s="1" t="n">
        <v>1</v>
      </c>
      <c r="C1406" s="2" t="s">
        <v>44</v>
      </c>
      <c r="D1406" s="7" t="s">
        <v>45</v>
      </c>
      <c r="E1406" s="1" t="n">
        <v>2</v>
      </c>
      <c r="F1406" s="1" t="n">
        <f aca="false">Y1406-X1406</f>
        <v>5</v>
      </c>
      <c r="G1406" s="1" t="n">
        <v>5</v>
      </c>
      <c r="H1406" s="3" t="s">
        <v>48</v>
      </c>
      <c r="I1406" s="3" t="s">
        <v>57</v>
      </c>
      <c r="J1406" s="3" t="s">
        <v>38</v>
      </c>
      <c r="K1406" s="2" t="str">
        <f aca="false">CONCATENATE(I1406," ",J1406)</f>
        <v>Gen sp</v>
      </c>
      <c r="L1406" s="3" t="n">
        <f aca="false">SUM(P1406:U1406)</f>
        <v>1</v>
      </c>
      <c r="M1406" s="11" t="n">
        <f aca="false">(L1406/(F1406*G1406)*25)*4</f>
        <v>4</v>
      </c>
      <c r="N1406" s="1" t="s">
        <v>19</v>
      </c>
      <c r="O1406" s="1" t="s">
        <v>54</v>
      </c>
      <c r="P1406" s="1" t="n">
        <v>0</v>
      </c>
      <c r="Q1406" s="1" t="n">
        <v>0</v>
      </c>
      <c r="R1406" s="1" t="n">
        <v>0</v>
      </c>
      <c r="S1406" s="1" t="n">
        <v>0</v>
      </c>
      <c r="T1406" s="1" t="n">
        <v>1</v>
      </c>
      <c r="U1406" s="1" t="n">
        <v>0</v>
      </c>
      <c r="V1406" s="3" t="n">
        <f aca="false">SUM(P1406:Q1406)</f>
        <v>0</v>
      </c>
      <c r="W1406" s="3" t="n">
        <f aca="false">SUM(R1406:T1406)</f>
        <v>1</v>
      </c>
      <c r="X1406" s="10" t="n">
        <v>39969</v>
      </c>
      <c r="Y1406" s="10" t="n">
        <v>39974</v>
      </c>
    </row>
    <row r="1407" customFormat="false" ht="14.25" hidden="false" customHeight="false" outlineLevel="0" collapsed="false">
      <c r="A1407" s="1" t="n">
        <v>2009</v>
      </c>
      <c r="B1407" s="1" t="n">
        <v>1</v>
      </c>
      <c r="C1407" s="2" t="s">
        <v>44</v>
      </c>
      <c r="D1407" s="7" t="s">
        <v>45</v>
      </c>
      <c r="E1407" s="1" t="n">
        <v>2</v>
      </c>
      <c r="F1407" s="1" t="n">
        <f aca="false">Y1407-X1407</f>
        <v>5</v>
      </c>
      <c r="G1407" s="1" t="n">
        <v>5</v>
      </c>
      <c r="H1407" s="3" t="s">
        <v>72</v>
      </c>
      <c r="I1407" s="3" t="s">
        <v>73</v>
      </c>
      <c r="J1407" s="3" t="s">
        <v>74</v>
      </c>
      <c r="K1407" s="2" t="str">
        <f aca="false">CONCATENATE(I1407," ",J1407)</f>
        <v>Zelotes subterraneus</v>
      </c>
      <c r="L1407" s="3" t="n">
        <f aca="false">SUM(P1407:U1407)</f>
        <v>1</v>
      </c>
      <c r="M1407" s="11" t="n">
        <f aca="false">(L1407/(F1407*G1407)*25)*4</f>
        <v>4</v>
      </c>
      <c r="N1407" s="1" t="s">
        <v>30</v>
      </c>
      <c r="O1407" s="1" t="s">
        <v>35</v>
      </c>
      <c r="P1407" s="1" t="n">
        <v>0</v>
      </c>
      <c r="Q1407" s="1" t="n">
        <v>1</v>
      </c>
      <c r="R1407" s="1" t="n">
        <v>0</v>
      </c>
      <c r="S1407" s="1" t="n">
        <v>0</v>
      </c>
      <c r="T1407" s="1" t="n">
        <v>0</v>
      </c>
      <c r="U1407" s="1" t="n">
        <v>0</v>
      </c>
      <c r="V1407" s="3" t="n">
        <f aca="false">SUM(P1407:Q1407)</f>
        <v>1</v>
      </c>
      <c r="W1407" s="3" t="n">
        <f aca="false">SUM(R1407:T1407)</f>
        <v>0</v>
      </c>
      <c r="X1407" s="10" t="n">
        <v>39969</v>
      </c>
      <c r="Y1407" s="10" t="n">
        <v>39974</v>
      </c>
    </row>
    <row r="1408" customFormat="false" ht="14.25" hidden="false" customHeight="false" outlineLevel="0" collapsed="false">
      <c r="A1408" s="1" t="n">
        <v>2009</v>
      </c>
      <c r="B1408" s="1" t="n">
        <v>1</v>
      </c>
      <c r="C1408" s="2" t="s">
        <v>44</v>
      </c>
      <c r="D1408" s="7" t="s">
        <v>45</v>
      </c>
      <c r="E1408" s="1" t="n">
        <v>2</v>
      </c>
      <c r="F1408" s="1" t="n">
        <f aca="false">Y1408-X1408</f>
        <v>5</v>
      </c>
      <c r="G1408" s="1" t="n">
        <v>5</v>
      </c>
      <c r="H1408" s="3" t="s">
        <v>48</v>
      </c>
      <c r="I1408" s="3" t="s">
        <v>49</v>
      </c>
      <c r="J1408" s="3" t="s">
        <v>130</v>
      </c>
      <c r="K1408" s="2" t="str">
        <f aca="false">CONCATENATE(I1408," ",J1408)</f>
        <v>Alopecosa aculeata</v>
      </c>
      <c r="L1408" s="3" t="n">
        <f aca="false">SUM(P1408:U1408)</f>
        <v>1</v>
      </c>
      <c r="M1408" s="11" t="n">
        <f aca="false">(L1408/(F1408*G1408)*25)*4</f>
        <v>4</v>
      </c>
      <c r="N1408" s="1" t="s">
        <v>30</v>
      </c>
      <c r="O1408" s="1" t="s">
        <v>31</v>
      </c>
      <c r="P1408" s="1" t="n">
        <v>1</v>
      </c>
      <c r="Q1408" s="1" t="n">
        <v>0</v>
      </c>
      <c r="R1408" s="1" t="n">
        <v>0</v>
      </c>
      <c r="S1408" s="1" t="n">
        <v>0</v>
      </c>
      <c r="T1408" s="1" t="n">
        <v>0</v>
      </c>
      <c r="U1408" s="1" t="n">
        <v>0</v>
      </c>
      <c r="V1408" s="3" t="n">
        <f aca="false">SUM(P1408:Q1408)</f>
        <v>1</v>
      </c>
      <c r="W1408" s="3" t="n">
        <f aca="false">SUM(R1408:T1408)</f>
        <v>0</v>
      </c>
      <c r="X1408" s="10" t="n">
        <v>39969</v>
      </c>
      <c r="Y1408" s="10" t="n">
        <v>39974</v>
      </c>
    </row>
    <row r="1409" customFormat="false" ht="14.25" hidden="false" customHeight="false" outlineLevel="0" collapsed="false">
      <c r="A1409" s="1" t="n">
        <v>2009</v>
      </c>
      <c r="B1409" s="1" t="n">
        <v>1</v>
      </c>
      <c r="C1409" s="2" t="s">
        <v>44</v>
      </c>
      <c r="D1409" s="7" t="s">
        <v>45</v>
      </c>
      <c r="E1409" s="1" t="n">
        <v>2</v>
      </c>
      <c r="F1409" s="1" t="n">
        <f aca="false">Y1409-X1409</f>
        <v>5</v>
      </c>
      <c r="G1409" s="1" t="n">
        <v>5</v>
      </c>
      <c r="H1409" s="3" t="s">
        <v>48</v>
      </c>
      <c r="I1409" s="3" t="s">
        <v>122</v>
      </c>
      <c r="J1409" s="3" t="s">
        <v>123</v>
      </c>
      <c r="K1409" s="2" t="str">
        <f aca="false">CONCATENATE(I1409," ",J1409)</f>
        <v>Xerolycosa nemoralis</v>
      </c>
      <c r="L1409" s="3" t="n">
        <f aca="false">SUM(P1409:U1409)</f>
        <v>4</v>
      </c>
      <c r="M1409" s="11" t="n">
        <f aca="false">(L1409/(F1409*G1409)*25)*4</f>
        <v>16</v>
      </c>
      <c r="N1409" s="1" t="s">
        <v>30</v>
      </c>
      <c r="O1409" s="1" t="s">
        <v>31</v>
      </c>
      <c r="P1409" s="1" t="n">
        <v>4</v>
      </c>
      <c r="Q1409" s="1" t="n">
        <v>0</v>
      </c>
      <c r="R1409" s="1" t="n">
        <v>0</v>
      </c>
      <c r="S1409" s="1" t="n">
        <v>0</v>
      </c>
      <c r="T1409" s="1" t="n">
        <v>0</v>
      </c>
      <c r="U1409" s="1" t="n">
        <v>0</v>
      </c>
      <c r="V1409" s="3" t="n">
        <f aca="false">SUM(P1409:Q1409)</f>
        <v>4</v>
      </c>
      <c r="W1409" s="3" t="n">
        <f aca="false">SUM(R1409:T1409)</f>
        <v>0</v>
      </c>
      <c r="X1409" s="10" t="n">
        <v>39969</v>
      </c>
      <c r="Y1409" s="10" t="n">
        <v>39974</v>
      </c>
    </row>
    <row r="1410" customFormat="false" ht="14.25" hidden="false" customHeight="false" outlineLevel="0" collapsed="false">
      <c r="A1410" s="1" t="n">
        <v>2009</v>
      </c>
      <c r="B1410" s="1" t="n">
        <v>1</v>
      </c>
      <c r="C1410" s="2" t="s">
        <v>44</v>
      </c>
      <c r="D1410" s="7" t="s">
        <v>45</v>
      </c>
      <c r="E1410" s="1" t="n">
        <v>2</v>
      </c>
      <c r="F1410" s="1" t="n">
        <f aca="false">Y1410-X1410</f>
        <v>5</v>
      </c>
      <c r="G1410" s="1" t="n">
        <v>5</v>
      </c>
      <c r="H1410" s="3" t="s">
        <v>48</v>
      </c>
      <c r="I1410" s="3" t="s">
        <v>57</v>
      </c>
      <c r="J1410" s="3" t="s">
        <v>38</v>
      </c>
      <c r="K1410" s="2" t="str">
        <f aca="false">CONCATENATE(I1410," ",J1410)</f>
        <v>Gen sp</v>
      </c>
      <c r="L1410" s="3" t="n">
        <f aca="false">SUM(P1410:U1410)</f>
        <v>2</v>
      </c>
      <c r="M1410" s="11" t="n">
        <f aca="false">(L1410/(F1410*G1410)*25)*4</f>
        <v>8</v>
      </c>
      <c r="N1410" s="1" t="s">
        <v>19</v>
      </c>
      <c r="O1410" s="1" t="s">
        <v>54</v>
      </c>
      <c r="P1410" s="1" t="n">
        <v>0</v>
      </c>
      <c r="Q1410" s="1" t="n">
        <v>0</v>
      </c>
      <c r="R1410" s="1" t="n">
        <v>0</v>
      </c>
      <c r="S1410" s="1" t="n">
        <v>0</v>
      </c>
      <c r="T1410" s="1" t="n">
        <v>2</v>
      </c>
      <c r="U1410" s="1" t="n">
        <v>0</v>
      </c>
      <c r="V1410" s="3" t="n">
        <f aca="false">SUM(P1410:Q1410)</f>
        <v>0</v>
      </c>
      <c r="W1410" s="3" t="n">
        <f aca="false">SUM(R1410:T1410)</f>
        <v>2</v>
      </c>
      <c r="X1410" s="10" t="n">
        <v>39969</v>
      </c>
      <c r="Y1410" s="10" t="n">
        <v>39974</v>
      </c>
    </row>
    <row r="1411" customFormat="false" ht="14.25" hidden="false" customHeight="false" outlineLevel="0" collapsed="false">
      <c r="A1411" s="1" t="n">
        <v>2009</v>
      </c>
      <c r="B1411" s="1" t="n">
        <v>1</v>
      </c>
      <c r="C1411" s="2" t="s">
        <v>44</v>
      </c>
      <c r="D1411" s="7" t="s">
        <v>45</v>
      </c>
      <c r="E1411" s="1" t="n">
        <v>2</v>
      </c>
      <c r="F1411" s="1" t="n">
        <f aca="false">Y1411-X1411</f>
        <v>5</v>
      </c>
      <c r="G1411" s="1" t="n">
        <v>5</v>
      </c>
      <c r="H1411" s="3" t="s">
        <v>72</v>
      </c>
      <c r="I1411" s="3" t="s">
        <v>73</v>
      </c>
      <c r="J1411" s="3" t="s">
        <v>38</v>
      </c>
      <c r="K1411" s="2" t="str">
        <f aca="false">CONCATENATE(I1411," ",J1411)</f>
        <v>Zelotes sp</v>
      </c>
      <c r="L1411" s="3" t="n">
        <f aca="false">SUM(P1411:U1411)</f>
        <v>1</v>
      </c>
      <c r="M1411" s="11" t="n">
        <f aca="false">(L1411/(F1411*G1411)*25)*4</f>
        <v>4</v>
      </c>
      <c r="N1411" s="1" t="s">
        <v>19</v>
      </c>
      <c r="O1411" s="1" t="s">
        <v>54</v>
      </c>
      <c r="P1411" s="1" t="n">
        <v>0</v>
      </c>
      <c r="Q1411" s="1" t="n">
        <v>0</v>
      </c>
      <c r="R1411" s="1" t="n">
        <v>0</v>
      </c>
      <c r="S1411" s="1" t="n">
        <v>0</v>
      </c>
      <c r="T1411" s="1" t="n">
        <v>1</v>
      </c>
      <c r="U1411" s="1" t="n">
        <v>0</v>
      </c>
      <c r="V1411" s="3" t="n">
        <f aca="false">SUM(P1411:Q1411)</f>
        <v>0</v>
      </c>
      <c r="W1411" s="3" t="n">
        <f aca="false">SUM(R1411:T1411)</f>
        <v>1</v>
      </c>
      <c r="X1411" s="10" t="n">
        <v>39969</v>
      </c>
      <c r="Y1411" s="10" t="n">
        <v>39974</v>
      </c>
    </row>
    <row r="1412" customFormat="false" ht="14.25" hidden="false" customHeight="false" outlineLevel="0" collapsed="false">
      <c r="A1412" s="1" t="n">
        <v>2009</v>
      </c>
      <c r="B1412" s="1" t="n">
        <v>1</v>
      </c>
      <c r="C1412" s="2" t="s">
        <v>44</v>
      </c>
      <c r="D1412" s="7" t="s">
        <v>45</v>
      </c>
      <c r="E1412" s="1" t="n">
        <v>2</v>
      </c>
      <c r="F1412" s="1" t="n">
        <f aca="false">Y1412-X1412</f>
        <v>5</v>
      </c>
      <c r="G1412" s="1" t="n">
        <v>5</v>
      </c>
      <c r="H1412" s="13" t="s">
        <v>27</v>
      </c>
      <c r="I1412" s="13" t="s">
        <v>46</v>
      </c>
      <c r="J1412" s="14" t="s">
        <v>47</v>
      </c>
      <c r="K1412" s="2" t="str">
        <f aca="false">CONCATENATE(I1412," ",J1412)</f>
        <v>Euryopis flavomaculata</v>
      </c>
      <c r="L1412" s="3" t="n">
        <f aca="false">SUM(P1412:U1412)</f>
        <v>2</v>
      </c>
      <c r="M1412" s="11" t="n">
        <f aca="false">(L1412/(F1412*G1412)*25)*4</f>
        <v>8</v>
      </c>
      <c r="N1412" s="1" t="s">
        <v>30</v>
      </c>
      <c r="O1412" s="1" t="s">
        <v>31</v>
      </c>
      <c r="P1412" s="1" t="n">
        <v>2</v>
      </c>
      <c r="Q1412" s="1" t="n">
        <v>0</v>
      </c>
      <c r="R1412" s="1" t="n">
        <v>0</v>
      </c>
      <c r="S1412" s="1" t="n">
        <v>0</v>
      </c>
      <c r="T1412" s="1" t="n">
        <v>0</v>
      </c>
      <c r="U1412" s="1" t="n">
        <v>0</v>
      </c>
      <c r="V1412" s="3" t="n">
        <f aca="false">SUM(P1412:Q1412)</f>
        <v>2</v>
      </c>
      <c r="W1412" s="3" t="n">
        <f aca="false">SUM(R1412:T1412)</f>
        <v>0</v>
      </c>
      <c r="X1412" s="10" t="n">
        <v>39969</v>
      </c>
      <c r="Y1412" s="10" t="n">
        <v>39974</v>
      </c>
    </row>
    <row r="1413" customFormat="false" ht="14.25" hidden="false" customHeight="false" outlineLevel="0" collapsed="false">
      <c r="A1413" s="1" t="n">
        <v>2009</v>
      </c>
      <c r="B1413" s="1" t="n">
        <v>1</v>
      </c>
      <c r="C1413" s="2" t="s">
        <v>44</v>
      </c>
      <c r="D1413" s="7" t="s">
        <v>45</v>
      </c>
      <c r="E1413" s="1" t="n">
        <v>2</v>
      </c>
      <c r="F1413" s="1" t="n">
        <f aca="false">Y1413-X1413</f>
        <v>5</v>
      </c>
      <c r="G1413" s="1" t="n">
        <v>5</v>
      </c>
      <c r="H1413" s="3" t="s">
        <v>48</v>
      </c>
      <c r="I1413" s="3" t="s">
        <v>67</v>
      </c>
      <c r="J1413" s="3" t="s">
        <v>127</v>
      </c>
      <c r="K1413" s="2" t="str">
        <f aca="false">CONCATENATE(I1413," ",J1413)</f>
        <v>Pardosa lugubris</v>
      </c>
      <c r="L1413" s="3" t="n">
        <f aca="false">SUM(P1413:U1413)</f>
        <v>1</v>
      </c>
      <c r="M1413" s="11" t="n">
        <f aca="false">(L1413/(F1413*G1413)*25)*4</f>
        <v>4</v>
      </c>
      <c r="N1413" s="1" t="s">
        <v>30</v>
      </c>
      <c r="O1413" s="1" t="s">
        <v>31</v>
      </c>
      <c r="P1413" s="1" t="n">
        <v>1</v>
      </c>
      <c r="Q1413" s="1" t="n">
        <v>0</v>
      </c>
      <c r="R1413" s="1" t="n">
        <v>0</v>
      </c>
      <c r="S1413" s="1" t="n">
        <v>0</v>
      </c>
      <c r="T1413" s="1" t="n">
        <v>0</v>
      </c>
      <c r="U1413" s="1" t="n">
        <v>0</v>
      </c>
      <c r="V1413" s="3" t="n">
        <f aca="false">SUM(P1413:Q1413)</f>
        <v>1</v>
      </c>
      <c r="W1413" s="3" t="n">
        <f aca="false">SUM(R1413:T1413)</f>
        <v>0</v>
      </c>
      <c r="X1413" s="10" t="n">
        <v>39969</v>
      </c>
      <c r="Y1413" s="10" t="n">
        <v>39974</v>
      </c>
    </row>
    <row r="1414" customFormat="false" ht="14.25" hidden="false" customHeight="false" outlineLevel="0" collapsed="false">
      <c r="A1414" s="1" t="n">
        <v>2009</v>
      </c>
      <c r="B1414" s="1" t="n">
        <v>1</v>
      </c>
      <c r="C1414" s="2" t="s">
        <v>44</v>
      </c>
      <c r="D1414" s="7" t="s">
        <v>45</v>
      </c>
      <c r="E1414" s="1" t="n">
        <v>2</v>
      </c>
      <c r="F1414" s="1" t="n">
        <f aca="false">Y1414-X1414</f>
        <v>5</v>
      </c>
      <c r="G1414" s="1" t="n">
        <v>5</v>
      </c>
      <c r="H1414" s="3" t="s">
        <v>48</v>
      </c>
      <c r="I1414" s="3" t="s">
        <v>122</v>
      </c>
      <c r="J1414" s="3" t="s">
        <v>123</v>
      </c>
      <c r="K1414" s="2" t="str">
        <f aca="false">CONCATENATE(I1414," ",J1414)</f>
        <v>Xerolycosa nemoralis</v>
      </c>
      <c r="L1414" s="3" t="n">
        <f aca="false">SUM(P1414:U1414)</f>
        <v>1</v>
      </c>
      <c r="M1414" s="11" t="n">
        <f aca="false">(L1414/(F1414*G1414)*25)*4</f>
        <v>4</v>
      </c>
      <c r="N1414" s="1" t="s">
        <v>30</v>
      </c>
      <c r="O1414" s="1" t="s">
        <v>31</v>
      </c>
      <c r="P1414" s="1" t="n">
        <v>1</v>
      </c>
      <c r="Q1414" s="1" t="n">
        <v>0</v>
      </c>
      <c r="R1414" s="1" t="n">
        <v>0</v>
      </c>
      <c r="S1414" s="1" t="n">
        <v>0</v>
      </c>
      <c r="T1414" s="1" t="n">
        <v>0</v>
      </c>
      <c r="U1414" s="1" t="n">
        <v>0</v>
      </c>
      <c r="V1414" s="3" t="n">
        <f aca="false">SUM(P1414:Q1414)</f>
        <v>1</v>
      </c>
      <c r="W1414" s="3" t="n">
        <f aca="false">SUM(R1414:T1414)</f>
        <v>0</v>
      </c>
      <c r="X1414" s="10" t="n">
        <v>39969</v>
      </c>
      <c r="Y1414" s="10" t="n">
        <v>39974</v>
      </c>
    </row>
    <row r="1415" customFormat="false" ht="14.25" hidden="false" customHeight="false" outlineLevel="0" collapsed="false">
      <c r="A1415" s="1" t="n">
        <v>2009</v>
      </c>
      <c r="B1415" s="1" t="n">
        <v>1</v>
      </c>
      <c r="C1415" s="2" t="s">
        <v>44</v>
      </c>
      <c r="D1415" s="7" t="s">
        <v>45</v>
      </c>
      <c r="E1415" s="1" t="n">
        <v>2</v>
      </c>
      <c r="F1415" s="1" t="n">
        <f aca="false">Y1415-X1415</f>
        <v>5</v>
      </c>
      <c r="G1415" s="1" t="n">
        <v>5</v>
      </c>
      <c r="H1415" s="3" t="s">
        <v>72</v>
      </c>
      <c r="I1415" s="3" t="s">
        <v>73</v>
      </c>
      <c r="J1415" s="3" t="s">
        <v>74</v>
      </c>
      <c r="K1415" s="2" t="str">
        <f aca="false">CONCATENATE(I1415," ",J1415)</f>
        <v>Zelotes subterraneus</v>
      </c>
      <c r="L1415" s="3" t="n">
        <f aca="false">SUM(P1415:U1415)</f>
        <v>2</v>
      </c>
      <c r="M1415" s="11" t="n">
        <f aca="false">(L1415/(F1415*G1415)*25)*4</f>
        <v>8</v>
      </c>
      <c r="N1415" s="1" t="s">
        <v>30</v>
      </c>
      <c r="O1415" s="1" t="s">
        <v>31</v>
      </c>
      <c r="P1415" s="1" t="n">
        <v>2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3" t="n">
        <f aca="false">SUM(P1415:Q1415)</f>
        <v>2</v>
      </c>
      <c r="W1415" s="3" t="n">
        <f aca="false">SUM(R1415:T1415)</f>
        <v>0</v>
      </c>
      <c r="X1415" s="10" t="n">
        <v>39969</v>
      </c>
      <c r="Y1415" s="10" t="n">
        <v>39974</v>
      </c>
    </row>
    <row r="1416" customFormat="false" ht="14.25" hidden="false" customHeight="false" outlineLevel="0" collapsed="false">
      <c r="A1416" s="1" t="n">
        <v>2009</v>
      </c>
      <c r="B1416" s="1" t="n">
        <v>1</v>
      </c>
      <c r="C1416" s="2" t="s">
        <v>44</v>
      </c>
      <c r="D1416" s="7" t="s">
        <v>45</v>
      </c>
      <c r="E1416" s="1" t="n">
        <v>2</v>
      </c>
      <c r="F1416" s="1" t="n">
        <f aca="false">Y1416-X1416</f>
        <v>5</v>
      </c>
      <c r="G1416" s="1" t="n">
        <v>5</v>
      </c>
      <c r="H1416" s="3" t="s">
        <v>72</v>
      </c>
      <c r="I1416" s="3" t="s">
        <v>73</v>
      </c>
      <c r="J1416" s="3" t="s">
        <v>74</v>
      </c>
      <c r="K1416" s="2" t="str">
        <f aca="false">CONCATENATE(I1416," ",J1416)</f>
        <v>Zelotes subterraneus</v>
      </c>
      <c r="L1416" s="3" t="n">
        <f aca="false">SUM(P1416:U1416)</f>
        <v>2</v>
      </c>
      <c r="M1416" s="11" t="n">
        <f aca="false">(L1416/(F1416*G1416)*25)*4</f>
        <v>8</v>
      </c>
      <c r="N1416" s="1" t="s">
        <v>30</v>
      </c>
      <c r="O1416" s="1" t="s">
        <v>35</v>
      </c>
      <c r="P1416" s="1" t="n">
        <v>0</v>
      </c>
      <c r="Q1416" s="1" t="n">
        <v>2</v>
      </c>
      <c r="R1416" s="1" t="n">
        <v>0</v>
      </c>
      <c r="S1416" s="1" t="n">
        <v>0</v>
      </c>
      <c r="T1416" s="1" t="n">
        <v>0</v>
      </c>
      <c r="U1416" s="1" t="n">
        <v>0</v>
      </c>
      <c r="V1416" s="3" t="n">
        <f aca="false">SUM(P1416:Q1416)</f>
        <v>2</v>
      </c>
      <c r="W1416" s="3" t="n">
        <f aca="false">SUM(R1416:T1416)</f>
        <v>0</v>
      </c>
      <c r="X1416" s="10" t="n">
        <v>39969</v>
      </c>
      <c r="Y1416" s="10" t="n">
        <v>39974</v>
      </c>
    </row>
    <row r="1417" customFormat="false" ht="14.25" hidden="false" customHeight="false" outlineLevel="0" collapsed="false">
      <c r="A1417" s="1" t="n">
        <v>2009</v>
      </c>
      <c r="B1417" s="1" t="n">
        <v>1</v>
      </c>
      <c r="C1417" s="2" t="s">
        <v>44</v>
      </c>
      <c r="D1417" s="7" t="s">
        <v>45</v>
      </c>
      <c r="E1417" s="1" t="n">
        <v>2</v>
      </c>
      <c r="F1417" s="1" t="n">
        <f aca="false">Y1417-X1417</f>
        <v>5</v>
      </c>
      <c r="G1417" s="1" t="n">
        <v>5</v>
      </c>
      <c r="H1417" s="13" t="s">
        <v>27</v>
      </c>
      <c r="I1417" s="13" t="s">
        <v>46</v>
      </c>
      <c r="J1417" s="14" t="s">
        <v>47</v>
      </c>
      <c r="K1417" s="2" t="str">
        <f aca="false">CONCATENATE(I1417," ",J1417)</f>
        <v>Euryopis flavomaculata</v>
      </c>
      <c r="L1417" s="3" t="n">
        <f aca="false">SUM(P1417:U1417)</f>
        <v>1</v>
      </c>
      <c r="M1417" s="11" t="n">
        <f aca="false">(L1417/(F1417*G1417)*25)*4</f>
        <v>4</v>
      </c>
      <c r="N1417" s="1" t="s">
        <v>19</v>
      </c>
      <c r="O1417" s="1" t="s">
        <v>54</v>
      </c>
      <c r="P1417" s="1" t="n">
        <v>0</v>
      </c>
      <c r="Q1417" s="1" t="n">
        <v>0</v>
      </c>
      <c r="R1417" s="1" t="n">
        <v>0</v>
      </c>
      <c r="S1417" s="1" t="n">
        <v>0</v>
      </c>
      <c r="T1417" s="1" t="n">
        <v>1</v>
      </c>
      <c r="U1417" s="1" t="n">
        <v>0</v>
      </c>
      <c r="V1417" s="3" t="n">
        <f aca="false">SUM(P1417:Q1417)</f>
        <v>0</v>
      </c>
      <c r="W1417" s="3" t="n">
        <f aca="false">SUM(R1417:T1417)</f>
        <v>1</v>
      </c>
      <c r="X1417" s="10" t="n">
        <v>39969</v>
      </c>
      <c r="Y1417" s="10" t="n">
        <v>39974</v>
      </c>
    </row>
    <row r="1418" customFormat="false" ht="14.25" hidden="false" customHeight="false" outlineLevel="0" collapsed="false">
      <c r="A1418" s="1" t="n">
        <v>2009</v>
      </c>
      <c r="B1418" s="1" t="n">
        <v>1</v>
      </c>
      <c r="C1418" s="2" t="s">
        <v>44</v>
      </c>
      <c r="D1418" s="7" t="s">
        <v>45</v>
      </c>
      <c r="E1418" s="1" t="n">
        <v>2</v>
      </c>
      <c r="F1418" s="1" t="n">
        <f aca="false">Y1418-X1418</f>
        <v>5</v>
      </c>
      <c r="G1418" s="1" t="n">
        <v>5</v>
      </c>
      <c r="H1418" s="3" t="s">
        <v>48</v>
      </c>
      <c r="I1418" s="3" t="s">
        <v>49</v>
      </c>
      <c r="J1418" s="3" t="s">
        <v>130</v>
      </c>
      <c r="K1418" s="2" t="str">
        <f aca="false">CONCATENATE(I1418," ",J1418)</f>
        <v>Alopecosa aculeata</v>
      </c>
      <c r="L1418" s="3" t="n">
        <f aca="false">SUM(P1418:U1418)</f>
        <v>3</v>
      </c>
      <c r="M1418" s="11" t="n">
        <f aca="false">(L1418/(F1418*G1418)*25)*4</f>
        <v>12</v>
      </c>
      <c r="N1418" s="1" t="s">
        <v>30</v>
      </c>
      <c r="O1418" s="1" t="s">
        <v>31</v>
      </c>
      <c r="P1418" s="1" t="n">
        <v>3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0</v>
      </c>
      <c r="V1418" s="3" t="n">
        <f aca="false">SUM(P1418:Q1418)</f>
        <v>3</v>
      </c>
      <c r="W1418" s="3" t="n">
        <f aca="false">SUM(R1418:T1418)</f>
        <v>0</v>
      </c>
      <c r="X1418" s="10" t="n">
        <v>39969</v>
      </c>
      <c r="Y1418" s="10" t="n">
        <v>39974</v>
      </c>
    </row>
    <row r="1419" customFormat="false" ht="14.25" hidden="false" customHeight="false" outlineLevel="0" collapsed="false">
      <c r="A1419" s="1" t="n">
        <v>2009</v>
      </c>
      <c r="B1419" s="1" t="n">
        <v>1</v>
      </c>
      <c r="C1419" s="2" t="s">
        <v>44</v>
      </c>
      <c r="D1419" s="7" t="s">
        <v>45</v>
      </c>
      <c r="E1419" s="1" t="n">
        <v>2</v>
      </c>
      <c r="F1419" s="1" t="n">
        <f aca="false">Y1419-X1419</f>
        <v>5</v>
      </c>
      <c r="G1419" s="1" t="n">
        <v>5</v>
      </c>
      <c r="H1419" s="3" t="s">
        <v>48</v>
      </c>
      <c r="I1419" s="3" t="s">
        <v>122</v>
      </c>
      <c r="J1419" s="3" t="s">
        <v>123</v>
      </c>
      <c r="K1419" s="2" t="str">
        <f aca="false">CONCATENATE(I1419," ",J1419)</f>
        <v>Xerolycosa nemoralis</v>
      </c>
      <c r="L1419" s="3" t="n">
        <f aca="false">SUM(P1419:U1419)</f>
        <v>5</v>
      </c>
      <c r="M1419" s="11" t="n">
        <f aca="false">(L1419/(F1419*G1419)*25)*4</f>
        <v>20</v>
      </c>
      <c r="N1419" s="1" t="s">
        <v>30</v>
      </c>
      <c r="O1419" s="1" t="s">
        <v>31</v>
      </c>
      <c r="P1419" s="1" t="n">
        <v>5</v>
      </c>
      <c r="Q1419" s="1" t="n">
        <v>0</v>
      </c>
      <c r="R1419" s="1" t="n">
        <v>0</v>
      </c>
      <c r="S1419" s="1" t="n">
        <v>0</v>
      </c>
      <c r="T1419" s="1" t="n">
        <v>0</v>
      </c>
      <c r="U1419" s="1" t="n">
        <v>0</v>
      </c>
      <c r="V1419" s="3" t="n">
        <f aca="false">SUM(P1419:Q1419)</f>
        <v>5</v>
      </c>
      <c r="W1419" s="3" t="n">
        <f aca="false">SUM(R1419:T1419)</f>
        <v>0</v>
      </c>
      <c r="X1419" s="10" t="n">
        <v>39969</v>
      </c>
      <c r="Y1419" s="10" t="n">
        <v>39974</v>
      </c>
    </row>
    <row r="1420" customFormat="false" ht="14.25" hidden="false" customHeight="false" outlineLevel="0" collapsed="false">
      <c r="A1420" s="1" t="n">
        <v>2009</v>
      </c>
      <c r="B1420" s="1" t="n">
        <v>1</v>
      </c>
      <c r="C1420" s="2" t="s">
        <v>44</v>
      </c>
      <c r="D1420" s="7" t="s">
        <v>45</v>
      </c>
      <c r="E1420" s="1" t="n">
        <v>2</v>
      </c>
      <c r="F1420" s="1" t="n">
        <f aca="false">Y1420-X1420</f>
        <v>5</v>
      </c>
      <c r="G1420" s="1" t="n">
        <v>5</v>
      </c>
      <c r="H1420" s="3" t="s">
        <v>72</v>
      </c>
      <c r="I1420" s="3" t="s">
        <v>73</v>
      </c>
      <c r="J1420" s="3" t="s">
        <v>74</v>
      </c>
      <c r="K1420" s="2" t="str">
        <f aca="false">CONCATENATE(I1420," ",J1420)</f>
        <v>Zelotes subterraneus</v>
      </c>
      <c r="L1420" s="3" t="n">
        <f aca="false">SUM(P1420:U1420)</f>
        <v>2</v>
      </c>
      <c r="M1420" s="11" t="n">
        <f aca="false">(L1420/(F1420*G1420)*25)*4</f>
        <v>8</v>
      </c>
      <c r="N1420" s="1" t="s">
        <v>30</v>
      </c>
      <c r="O1420" s="1" t="s">
        <v>35</v>
      </c>
      <c r="P1420" s="1" t="n">
        <v>0</v>
      </c>
      <c r="Q1420" s="1" t="n">
        <v>2</v>
      </c>
      <c r="R1420" s="1" t="n">
        <v>0</v>
      </c>
      <c r="S1420" s="1" t="n">
        <v>0</v>
      </c>
      <c r="T1420" s="1" t="n">
        <v>0</v>
      </c>
      <c r="U1420" s="1" t="n">
        <v>0</v>
      </c>
      <c r="V1420" s="3" t="n">
        <f aca="false">SUM(P1420:Q1420)</f>
        <v>2</v>
      </c>
      <c r="W1420" s="3" t="n">
        <f aca="false">SUM(R1420:T1420)</f>
        <v>0</v>
      </c>
      <c r="X1420" s="10" t="n">
        <v>39969</v>
      </c>
      <c r="Y1420" s="10" t="n">
        <v>39974</v>
      </c>
    </row>
    <row r="1421" customFormat="false" ht="14.25" hidden="false" customHeight="false" outlineLevel="0" collapsed="false">
      <c r="A1421" s="1" t="n">
        <v>2009</v>
      </c>
      <c r="B1421" s="1" t="n">
        <v>1</v>
      </c>
      <c r="C1421" s="2" t="s">
        <v>44</v>
      </c>
      <c r="D1421" s="7" t="s">
        <v>45</v>
      </c>
      <c r="E1421" s="1" t="n">
        <v>2</v>
      </c>
      <c r="F1421" s="1" t="n">
        <f aca="false">Y1421-X1421</f>
        <v>5</v>
      </c>
      <c r="G1421" s="1" t="n">
        <v>5</v>
      </c>
      <c r="H1421" s="13" t="s">
        <v>27</v>
      </c>
      <c r="I1421" s="13" t="s">
        <v>46</v>
      </c>
      <c r="J1421" s="14" t="s">
        <v>47</v>
      </c>
      <c r="K1421" s="2" t="str">
        <f aca="false">CONCATENATE(I1421," ",J1421)</f>
        <v>Euryopis flavomaculata</v>
      </c>
      <c r="L1421" s="3" t="n">
        <f aca="false">SUM(P1421:U1421)</f>
        <v>3</v>
      </c>
      <c r="M1421" s="11" t="n">
        <f aca="false">(L1421/(F1421*G1421)*25)*4</f>
        <v>12</v>
      </c>
      <c r="N1421" s="1" t="s">
        <v>30</v>
      </c>
      <c r="O1421" s="1" t="s">
        <v>31</v>
      </c>
      <c r="P1421" s="1" t="n">
        <v>3</v>
      </c>
      <c r="Q1421" s="1" t="n">
        <v>0</v>
      </c>
      <c r="R1421" s="1" t="n">
        <v>0</v>
      </c>
      <c r="S1421" s="1" t="n">
        <v>0</v>
      </c>
      <c r="T1421" s="1" t="n">
        <v>0</v>
      </c>
      <c r="U1421" s="1" t="n">
        <v>0</v>
      </c>
      <c r="V1421" s="3" t="n">
        <f aca="false">SUM(P1421:Q1421)</f>
        <v>3</v>
      </c>
      <c r="W1421" s="3" t="n">
        <f aca="false">SUM(R1421:T1421)</f>
        <v>0</v>
      </c>
      <c r="X1421" s="10" t="n">
        <v>39969</v>
      </c>
      <c r="Y1421" s="10" t="n">
        <v>39974</v>
      </c>
    </row>
    <row r="1422" customFormat="false" ht="14.25" hidden="false" customHeight="false" outlineLevel="0" collapsed="false">
      <c r="A1422" s="1" t="n">
        <v>2009</v>
      </c>
      <c r="B1422" s="1" t="n">
        <v>1</v>
      </c>
      <c r="C1422" s="2" t="s">
        <v>44</v>
      </c>
      <c r="D1422" s="7" t="s">
        <v>45</v>
      </c>
      <c r="E1422" s="1" t="n">
        <v>2</v>
      </c>
      <c r="F1422" s="1" t="n">
        <f aca="false">Y1422-X1422</f>
        <v>5</v>
      </c>
      <c r="G1422" s="1" t="n">
        <v>5</v>
      </c>
      <c r="H1422" s="13" t="s">
        <v>27</v>
      </c>
      <c r="I1422" s="13" t="s">
        <v>46</v>
      </c>
      <c r="J1422" s="14" t="s">
        <v>47</v>
      </c>
      <c r="K1422" s="2" t="str">
        <f aca="false">CONCATENATE(I1422," ",J1422)</f>
        <v>Euryopis flavomaculata</v>
      </c>
      <c r="L1422" s="3" t="n">
        <f aca="false">SUM(P1422:U1422)</f>
        <v>1</v>
      </c>
      <c r="M1422" s="11" t="n">
        <f aca="false">(L1422/(F1422*G1422)*25)*4</f>
        <v>4</v>
      </c>
      <c r="N1422" s="1" t="s">
        <v>30</v>
      </c>
      <c r="O1422" s="1" t="s">
        <v>35</v>
      </c>
      <c r="P1422" s="1" t="n">
        <v>0</v>
      </c>
      <c r="Q1422" s="1" t="n">
        <v>1</v>
      </c>
      <c r="R1422" s="1" t="n">
        <v>0</v>
      </c>
      <c r="S1422" s="1" t="n">
        <v>0</v>
      </c>
      <c r="T1422" s="1" t="n">
        <v>0</v>
      </c>
      <c r="U1422" s="1" t="n">
        <v>0</v>
      </c>
      <c r="V1422" s="3" t="n">
        <f aca="false">SUM(P1422:Q1422)</f>
        <v>1</v>
      </c>
      <c r="W1422" s="3" t="n">
        <f aca="false">SUM(R1422:T1422)</f>
        <v>0</v>
      </c>
      <c r="X1422" s="10" t="n">
        <v>39969</v>
      </c>
      <c r="Y1422" s="10" t="n">
        <v>39974</v>
      </c>
    </row>
    <row r="1423" customFormat="false" ht="14.25" hidden="false" customHeight="false" outlineLevel="0" collapsed="false">
      <c r="A1423" s="1" t="n">
        <v>2009</v>
      </c>
      <c r="B1423" s="1" t="n">
        <v>1</v>
      </c>
      <c r="C1423" s="2" t="s">
        <v>44</v>
      </c>
      <c r="D1423" s="7" t="s">
        <v>45</v>
      </c>
      <c r="E1423" s="1" t="n">
        <v>3</v>
      </c>
      <c r="F1423" s="1" t="n">
        <f aca="false">Y1423-X1423</f>
        <v>5</v>
      </c>
      <c r="G1423" s="1" t="n">
        <v>5</v>
      </c>
      <c r="H1423" s="3" t="s">
        <v>48</v>
      </c>
      <c r="I1423" s="3" t="s">
        <v>49</v>
      </c>
      <c r="J1423" s="3" t="s">
        <v>119</v>
      </c>
      <c r="K1423" s="2" t="str">
        <f aca="false">CONCATENATE(I1423," ",J1423)</f>
        <v>Alopecosa sulzeri</v>
      </c>
      <c r="L1423" s="3" t="n">
        <f aca="false">SUM(P1423:U1423)</f>
        <v>1</v>
      </c>
      <c r="M1423" s="11" t="n">
        <f aca="false">(L1423/(F1423*G1423)*25)*4</f>
        <v>4</v>
      </c>
      <c r="N1423" s="1" t="s">
        <v>30</v>
      </c>
      <c r="O1423" s="1" t="s">
        <v>31</v>
      </c>
      <c r="P1423" s="1" t="n">
        <v>1</v>
      </c>
      <c r="Q1423" s="1" t="n">
        <v>0</v>
      </c>
      <c r="R1423" s="1" t="n">
        <v>0</v>
      </c>
      <c r="S1423" s="1" t="n">
        <v>0</v>
      </c>
      <c r="T1423" s="1" t="n">
        <v>0</v>
      </c>
      <c r="U1423" s="1" t="n">
        <v>0</v>
      </c>
      <c r="V1423" s="3" t="n">
        <f aca="false">SUM(P1423:Q1423)</f>
        <v>1</v>
      </c>
      <c r="W1423" s="3" t="n">
        <f aca="false">SUM(R1423:T1423)</f>
        <v>0</v>
      </c>
      <c r="X1423" s="10" t="n">
        <v>39969</v>
      </c>
      <c r="Y1423" s="10" t="n">
        <v>39974</v>
      </c>
    </row>
    <row r="1424" customFormat="false" ht="14.25" hidden="false" customHeight="false" outlineLevel="0" collapsed="false">
      <c r="A1424" s="1" t="n">
        <v>2009</v>
      </c>
      <c r="B1424" s="1" t="n">
        <v>1</v>
      </c>
      <c r="C1424" s="2" t="s">
        <v>44</v>
      </c>
      <c r="D1424" s="7" t="s">
        <v>45</v>
      </c>
      <c r="E1424" s="1" t="n">
        <v>3</v>
      </c>
      <c r="F1424" s="1" t="n">
        <f aca="false">Y1424-X1424</f>
        <v>5</v>
      </c>
      <c r="G1424" s="1" t="n">
        <v>5</v>
      </c>
      <c r="H1424" s="3" t="s">
        <v>48</v>
      </c>
      <c r="I1424" s="3" t="s">
        <v>49</v>
      </c>
      <c r="J1424" s="3" t="s">
        <v>130</v>
      </c>
      <c r="K1424" s="2" t="str">
        <f aca="false">CONCATENATE(I1424," ",J1424)</f>
        <v>Alopecosa aculeata</v>
      </c>
      <c r="L1424" s="3" t="n">
        <f aca="false">SUM(P1424:U1424)</f>
        <v>1</v>
      </c>
      <c r="M1424" s="11" t="n">
        <f aca="false">(L1424/(F1424*G1424)*25)*4</f>
        <v>4</v>
      </c>
      <c r="N1424" s="1" t="s">
        <v>30</v>
      </c>
      <c r="O1424" s="1" t="s">
        <v>31</v>
      </c>
      <c r="P1424" s="1" t="n">
        <v>1</v>
      </c>
      <c r="Q1424" s="1" t="n">
        <v>0</v>
      </c>
      <c r="R1424" s="1" t="n">
        <v>0</v>
      </c>
      <c r="S1424" s="1" t="n">
        <v>0</v>
      </c>
      <c r="T1424" s="1" t="n">
        <v>0</v>
      </c>
      <c r="U1424" s="1" t="n">
        <v>0</v>
      </c>
      <c r="V1424" s="3" t="n">
        <f aca="false">SUM(P1424:Q1424)</f>
        <v>1</v>
      </c>
      <c r="W1424" s="3" t="n">
        <f aca="false">SUM(R1424:T1424)</f>
        <v>0</v>
      </c>
      <c r="X1424" s="10" t="n">
        <v>39969</v>
      </c>
      <c r="Y1424" s="10" t="n">
        <v>39974</v>
      </c>
    </row>
    <row r="1425" customFormat="false" ht="14.25" hidden="false" customHeight="false" outlineLevel="0" collapsed="false">
      <c r="A1425" s="1" t="n">
        <v>2009</v>
      </c>
      <c r="B1425" s="1" t="n">
        <v>1</v>
      </c>
      <c r="C1425" s="2" t="s">
        <v>44</v>
      </c>
      <c r="D1425" s="7" t="s">
        <v>45</v>
      </c>
      <c r="E1425" s="1" t="n">
        <v>3</v>
      </c>
      <c r="F1425" s="1" t="n">
        <f aca="false">Y1425-X1425</f>
        <v>5</v>
      </c>
      <c r="G1425" s="1" t="n">
        <v>5</v>
      </c>
      <c r="H1425" s="3" t="s">
        <v>48</v>
      </c>
      <c r="I1425" s="3" t="s">
        <v>49</v>
      </c>
      <c r="J1425" s="3" t="s">
        <v>130</v>
      </c>
      <c r="K1425" s="2" t="str">
        <f aca="false">CONCATENATE(I1425," ",J1425)</f>
        <v>Alopecosa aculeata</v>
      </c>
      <c r="L1425" s="3" t="n">
        <f aca="false">SUM(P1425:U1425)</f>
        <v>1</v>
      </c>
      <c r="M1425" s="11" t="n">
        <f aca="false">(L1425/(F1425*G1425)*25)*4</f>
        <v>4</v>
      </c>
      <c r="N1425" s="1" t="s">
        <v>30</v>
      </c>
      <c r="O1425" s="1" t="s">
        <v>35</v>
      </c>
      <c r="P1425" s="1" t="n">
        <v>0</v>
      </c>
      <c r="Q1425" s="1" t="n">
        <v>1</v>
      </c>
      <c r="R1425" s="1" t="n">
        <v>0</v>
      </c>
      <c r="S1425" s="1" t="n">
        <v>0</v>
      </c>
      <c r="T1425" s="1" t="n">
        <v>0</v>
      </c>
      <c r="U1425" s="1" t="n">
        <v>0</v>
      </c>
      <c r="V1425" s="3" t="n">
        <f aca="false">SUM(P1425:Q1425)</f>
        <v>1</v>
      </c>
      <c r="W1425" s="3" t="n">
        <f aca="false">SUM(R1425:T1425)</f>
        <v>0</v>
      </c>
      <c r="X1425" s="10" t="n">
        <v>39969</v>
      </c>
      <c r="Y1425" s="10" t="n">
        <v>39974</v>
      </c>
    </row>
    <row r="1426" customFormat="false" ht="14.25" hidden="false" customHeight="false" outlineLevel="0" collapsed="false">
      <c r="A1426" s="1" t="n">
        <v>2009</v>
      </c>
      <c r="B1426" s="1" t="n">
        <v>1</v>
      </c>
      <c r="C1426" s="2" t="s">
        <v>44</v>
      </c>
      <c r="D1426" s="7" t="s">
        <v>45</v>
      </c>
      <c r="E1426" s="1" t="n">
        <v>3</v>
      </c>
      <c r="F1426" s="1" t="n">
        <f aca="false">Y1426-X1426</f>
        <v>5</v>
      </c>
      <c r="G1426" s="1" t="n">
        <v>5</v>
      </c>
      <c r="H1426" s="3" t="s">
        <v>48</v>
      </c>
      <c r="I1426" s="3" t="s">
        <v>67</v>
      </c>
      <c r="J1426" s="3" t="s">
        <v>127</v>
      </c>
      <c r="K1426" s="2" t="str">
        <f aca="false">CONCATENATE(I1426," ",J1426)</f>
        <v>Pardosa lugubris</v>
      </c>
      <c r="L1426" s="3" t="n">
        <f aca="false">SUM(P1426:U1426)</f>
        <v>1</v>
      </c>
      <c r="M1426" s="11" t="n">
        <f aca="false">(L1426/(F1426*G1426)*25)*4</f>
        <v>4</v>
      </c>
      <c r="N1426" s="1" t="s">
        <v>30</v>
      </c>
      <c r="O1426" s="1" t="s">
        <v>31</v>
      </c>
      <c r="P1426" s="1" t="n">
        <v>1</v>
      </c>
      <c r="Q1426" s="1" t="n">
        <v>0</v>
      </c>
      <c r="R1426" s="1" t="n">
        <v>0</v>
      </c>
      <c r="S1426" s="1" t="n">
        <v>0</v>
      </c>
      <c r="T1426" s="1" t="n">
        <v>0</v>
      </c>
      <c r="U1426" s="1" t="n">
        <v>0</v>
      </c>
      <c r="V1426" s="3" t="n">
        <f aca="false">SUM(P1426:Q1426)</f>
        <v>1</v>
      </c>
      <c r="W1426" s="3" t="n">
        <f aca="false">SUM(R1426:T1426)</f>
        <v>0</v>
      </c>
      <c r="X1426" s="10" t="n">
        <v>39969</v>
      </c>
      <c r="Y1426" s="10" t="n">
        <v>39974</v>
      </c>
    </row>
    <row r="1427" customFormat="false" ht="14.25" hidden="false" customHeight="false" outlineLevel="0" collapsed="false">
      <c r="A1427" s="1" t="n">
        <v>2009</v>
      </c>
      <c r="B1427" s="1" t="n">
        <v>1</v>
      </c>
      <c r="C1427" s="2" t="s">
        <v>44</v>
      </c>
      <c r="D1427" s="7" t="s">
        <v>45</v>
      </c>
      <c r="E1427" s="1" t="n">
        <v>3</v>
      </c>
      <c r="F1427" s="1" t="n">
        <f aca="false">Y1427-X1427</f>
        <v>5</v>
      </c>
      <c r="G1427" s="1" t="n">
        <v>5</v>
      </c>
      <c r="H1427" s="3" t="s">
        <v>48</v>
      </c>
      <c r="I1427" s="3" t="s">
        <v>122</v>
      </c>
      <c r="J1427" s="3" t="s">
        <v>123</v>
      </c>
      <c r="K1427" s="2" t="str">
        <f aca="false">CONCATENATE(I1427," ",J1427)</f>
        <v>Xerolycosa nemoralis</v>
      </c>
      <c r="L1427" s="3" t="n">
        <f aca="false">SUM(P1427:U1427)</f>
        <v>4</v>
      </c>
      <c r="M1427" s="11" t="n">
        <f aca="false">(L1427/(F1427*G1427)*25)*4</f>
        <v>16</v>
      </c>
      <c r="N1427" s="1" t="s">
        <v>30</v>
      </c>
      <c r="O1427" s="1" t="s">
        <v>31</v>
      </c>
      <c r="P1427" s="1" t="n">
        <v>4</v>
      </c>
      <c r="Q1427" s="1" t="n">
        <v>0</v>
      </c>
      <c r="R1427" s="1" t="n">
        <v>0</v>
      </c>
      <c r="S1427" s="1" t="n">
        <v>0</v>
      </c>
      <c r="T1427" s="1" t="n">
        <v>0</v>
      </c>
      <c r="U1427" s="1" t="n">
        <v>0</v>
      </c>
      <c r="V1427" s="3" t="n">
        <f aca="false">SUM(P1427:Q1427)</f>
        <v>4</v>
      </c>
      <c r="W1427" s="3" t="n">
        <f aca="false">SUM(R1427:T1427)</f>
        <v>0</v>
      </c>
      <c r="X1427" s="10" t="n">
        <v>39969</v>
      </c>
      <c r="Y1427" s="10" t="n">
        <v>39974</v>
      </c>
    </row>
    <row r="1428" customFormat="false" ht="14.25" hidden="false" customHeight="false" outlineLevel="0" collapsed="false">
      <c r="A1428" s="1" t="n">
        <v>2009</v>
      </c>
      <c r="B1428" s="1" t="n">
        <v>1</v>
      </c>
      <c r="C1428" s="2" t="s">
        <v>44</v>
      </c>
      <c r="D1428" s="7" t="s">
        <v>45</v>
      </c>
      <c r="E1428" s="1" t="n">
        <v>3</v>
      </c>
      <c r="F1428" s="1" t="n">
        <f aca="false">Y1428-X1428</f>
        <v>5</v>
      </c>
      <c r="G1428" s="1" t="n">
        <v>5</v>
      </c>
      <c r="H1428" s="3" t="s">
        <v>48</v>
      </c>
      <c r="I1428" s="3" t="s">
        <v>57</v>
      </c>
      <c r="J1428" s="3" t="s">
        <v>38</v>
      </c>
      <c r="K1428" s="2" t="str">
        <f aca="false">CONCATENATE(I1428," ",J1428)</f>
        <v>Gen sp</v>
      </c>
      <c r="L1428" s="3" t="n">
        <f aca="false">SUM(P1428:U1428)</f>
        <v>3</v>
      </c>
      <c r="M1428" s="11" t="n">
        <f aca="false">(L1428/(F1428*G1428)*25)*4</f>
        <v>12</v>
      </c>
      <c r="N1428" s="1" t="s">
        <v>19</v>
      </c>
      <c r="O1428" s="1" t="s">
        <v>54</v>
      </c>
      <c r="P1428" s="1" t="n">
        <v>0</v>
      </c>
      <c r="Q1428" s="1" t="n">
        <v>0</v>
      </c>
      <c r="R1428" s="1" t="n">
        <v>0</v>
      </c>
      <c r="S1428" s="1" t="n">
        <v>0</v>
      </c>
      <c r="T1428" s="1" t="n">
        <v>3</v>
      </c>
      <c r="U1428" s="1" t="n">
        <v>0</v>
      </c>
      <c r="V1428" s="3" t="n">
        <f aca="false">SUM(P1428:Q1428)</f>
        <v>0</v>
      </c>
      <c r="W1428" s="3" t="n">
        <f aca="false">SUM(R1428:T1428)</f>
        <v>3</v>
      </c>
      <c r="X1428" s="10" t="n">
        <v>39969</v>
      </c>
      <c r="Y1428" s="10" t="n">
        <v>39974</v>
      </c>
    </row>
    <row r="1429" customFormat="false" ht="14.25" hidden="false" customHeight="false" outlineLevel="0" collapsed="false">
      <c r="A1429" s="1" t="n">
        <v>2009</v>
      </c>
      <c r="B1429" s="1" t="n">
        <v>1</v>
      </c>
      <c r="C1429" s="2" t="s">
        <v>44</v>
      </c>
      <c r="D1429" s="7" t="s">
        <v>45</v>
      </c>
      <c r="E1429" s="1" t="n">
        <v>3</v>
      </c>
      <c r="F1429" s="1" t="n">
        <f aca="false">Y1429-X1429</f>
        <v>5</v>
      </c>
      <c r="G1429" s="1" t="n">
        <v>5</v>
      </c>
      <c r="H1429" s="3" t="s">
        <v>72</v>
      </c>
      <c r="I1429" s="3" t="s">
        <v>139</v>
      </c>
      <c r="J1429" s="3" t="s">
        <v>140</v>
      </c>
      <c r="K1429" s="2" t="str">
        <f aca="false">CONCATENATE(I1429," ",J1429)</f>
        <v>Gnaphosa muscorum</v>
      </c>
      <c r="L1429" s="3" t="n">
        <f aca="false">SUM(P1429:U1429)</f>
        <v>2</v>
      </c>
      <c r="M1429" s="11" t="n">
        <f aca="false">(L1429/(F1429*G1429)*25)*4</f>
        <v>8</v>
      </c>
      <c r="N1429" s="1" t="s">
        <v>30</v>
      </c>
      <c r="O1429" s="1" t="s">
        <v>31</v>
      </c>
      <c r="P1429" s="1" t="n">
        <v>2</v>
      </c>
      <c r="Q1429" s="1" t="n">
        <v>0</v>
      </c>
      <c r="R1429" s="1" t="n">
        <v>0</v>
      </c>
      <c r="S1429" s="1" t="n">
        <v>0</v>
      </c>
      <c r="T1429" s="1" t="n">
        <v>0</v>
      </c>
      <c r="U1429" s="1" t="n">
        <v>0</v>
      </c>
      <c r="V1429" s="3" t="n">
        <f aca="false">SUM(P1429:Q1429)</f>
        <v>2</v>
      </c>
      <c r="W1429" s="3" t="n">
        <f aca="false">SUM(R1429:T1429)</f>
        <v>0</v>
      </c>
      <c r="X1429" s="10" t="n">
        <v>39969</v>
      </c>
      <c r="Y1429" s="10" t="n">
        <v>39974</v>
      </c>
    </row>
    <row r="1430" customFormat="false" ht="14.25" hidden="false" customHeight="false" outlineLevel="0" collapsed="false">
      <c r="A1430" s="1" t="n">
        <v>2009</v>
      </c>
      <c r="B1430" s="1" t="n">
        <v>1</v>
      </c>
      <c r="C1430" s="2" t="s">
        <v>44</v>
      </c>
      <c r="D1430" s="7" t="s">
        <v>45</v>
      </c>
      <c r="E1430" s="1" t="n">
        <v>3</v>
      </c>
      <c r="F1430" s="1" t="n">
        <f aca="false">Y1430-X1430</f>
        <v>5</v>
      </c>
      <c r="G1430" s="1" t="n">
        <v>5</v>
      </c>
      <c r="H1430" s="3" t="s">
        <v>72</v>
      </c>
      <c r="I1430" s="3" t="s">
        <v>139</v>
      </c>
      <c r="J1430" s="3" t="s">
        <v>140</v>
      </c>
      <c r="K1430" s="2" t="str">
        <f aca="false">CONCATENATE(I1430," ",J1430)</f>
        <v>Gnaphosa muscorum</v>
      </c>
      <c r="L1430" s="3" t="n">
        <f aca="false">SUM(P1430:U1430)</f>
        <v>1</v>
      </c>
      <c r="M1430" s="11" t="n">
        <f aca="false">(L1430/(F1430*G1430)*25)*4</f>
        <v>4</v>
      </c>
      <c r="N1430" s="1" t="s">
        <v>30</v>
      </c>
      <c r="O1430" s="1" t="s">
        <v>35</v>
      </c>
      <c r="P1430" s="1" t="n">
        <v>0</v>
      </c>
      <c r="Q1430" s="1" t="n">
        <v>1</v>
      </c>
      <c r="R1430" s="1" t="n">
        <v>0</v>
      </c>
      <c r="S1430" s="1" t="n">
        <v>0</v>
      </c>
      <c r="T1430" s="1" t="n">
        <v>0</v>
      </c>
      <c r="U1430" s="1" t="n">
        <v>0</v>
      </c>
      <c r="V1430" s="3" t="n">
        <f aca="false">SUM(P1430:Q1430)</f>
        <v>1</v>
      </c>
      <c r="W1430" s="3" t="n">
        <f aca="false">SUM(R1430:T1430)</f>
        <v>0</v>
      </c>
      <c r="X1430" s="10" t="n">
        <v>39969</v>
      </c>
      <c r="Y1430" s="10" t="n">
        <v>39974</v>
      </c>
    </row>
    <row r="1431" customFormat="false" ht="14.25" hidden="false" customHeight="false" outlineLevel="0" collapsed="false">
      <c r="A1431" s="1" t="n">
        <v>2009</v>
      </c>
      <c r="B1431" s="1" t="n">
        <v>1</v>
      </c>
      <c r="C1431" s="2" t="s">
        <v>44</v>
      </c>
      <c r="D1431" s="7" t="s">
        <v>45</v>
      </c>
      <c r="E1431" s="1" t="n">
        <v>3</v>
      </c>
      <c r="F1431" s="1" t="n">
        <f aca="false">Y1431-X1431</f>
        <v>5</v>
      </c>
      <c r="G1431" s="1" t="n">
        <v>5</v>
      </c>
      <c r="H1431" s="3" t="s">
        <v>72</v>
      </c>
      <c r="I1431" s="3" t="s">
        <v>73</v>
      </c>
      <c r="J1431" s="3" t="s">
        <v>74</v>
      </c>
      <c r="K1431" s="2" t="str">
        <f aca="false">CONCATENATE(I1431," ",J1431)</f>
        <v>Zelotes subterraneus</v>
      </c>
      <c r="L1431" s="3" t="n">
        <f aca="false">SUM(P1431:U1431)</f>
        <v>1</v>
      </c>
      <c r="M1431" s="11" t="n">
        <f aca="false">(L1431/(F1431*G1431)*25)*4</f>
        <v>4</v>
      </c>
      <c r="N1431" s="1" t="s">
        <v>30</v>
      </c>
      <c r="O1431" s="1" t="s">
        <v>35</v>
      </c>
      <c r="P1431" s="1" t="n">
        <v>0</v>
      </c>
      <c r="Q1431" s="1" t="n">
        <v>1</v>
      </c>
      <c r="R1431" s="1" t="n">
        <v>0</v>
      </c>
      <c r="S1431" s="1" t="n">
        <v>0</v>
      </c>
      <c r="T1431" s="1" t="n">
        <v>0</v>
      </c>
      <c r="U1431" s="1" t="n">
        <v>0</v>
      </c>
      <c r="V1431" s="3" t="n">
        <f aca="false">SUM(P1431:Q1431)</f>
        <v>1</v>
      </c>
      <c r="W1431" s="3" t="n">
        <f aca="false">SUM(R1431:T1431)</f>
        <v>0</v>
      </c>
      <c r="X1431" s="10" t="n">
        <v>39969</v>
      </c>
      <c r="Y1431" s="10" t="n">
        <v>39974</v>
      </c>
    </row>
    <row r="1432" customFormat="false" ht="14.25" hidden="false" customHeight="false" outlineLevel="0" collapsed="false">
      <c r="A1432" s="1" t="n">
        <v>2009</v>
      </c>
      <c r="B1432" s="1" t="n">
        <v>1</v>
      </c>
      <c r="C1432" s="2" t="s">
        <v>44</v>
      </c>
      <c r="D1432" s="7" t="s">
        <v>45</v>
      </c>
      <c r="E1432" s="1" t="n">
        <v>3</v>
      </c>
      <c r="F1432" s="1" t="n">
        <f aca="false">Y1432-X1432</f>
        <v>5</v>
      </c>
      <c r="G1432" s="1" t="n">
        <v>5</v>
      </c>
      <c r="H1432" s="3" t="s">
        <v>72</v>
      </c>
      <c r="I1432" s="3" t="s">
        <v>73</v>
      </c>
      <c r="J1432" s="3" t="s">
        <v>38</v>
      </c>
      <c r="K1432" s="2" t="str">
        <f aca="false">CONCATENATE(I1432," ",J1432)</f>
        <v>Zelotes sp</v>
      </c>
      <c r="L1432" s="3" t="n">
        <f aca="false">SUM(P1432:U1432)</f>
        <v>1</v>
      </c>
      <c r="M1432" s="11" t="n">
        <f aca="false">(L1432/(F1432*G1432)*25)*4</f>
        <v>4</v>
      </c>
      <c r="N1432" s="1" t="s">
        <v>19</v>
      </c>
      <c r="O1432" s="1" t="s">
        <v>54</v>
      </c>
      <c r="P1432" s="1" t="n">
        <v>0</v>
      </c>
      <c r="Q1432" s="1" t="n">
        <v>0</v>
      </c>
      <c r="R1432" s="1" t="n">
        <v>0</v>
      </c>
      <c r="S1432" s="1" t="n">
        <v>0</v>
      </c>
      <c r="T1432" s="1" t="n">
        <v>1</v>
      </c>
      <c r="U1432" s="1" t="n">
        <v>0</v>
      </c>
      <c r="V1432" s="3" t="n">
        <f aca="false">SUM(P1432:Q1432)</f>
        <v>0</v>
      </c>
      <c r="W1432" s="3" t="n">
        <f aca="false">SUM(R1432:T1432)</f>
        <v>1</v>
      </c>
      <c r="X1432" s="10" t="n">
        <v>39969</v>
      </c>
      <c r="Y1432" s="10" t="n">
        <v>39974</v>
      </c>
    </row>
    <row r="1433" customFormat="false" ht="14.25" hidden="false" customHeight="false" outlineLevel="0" collapsed="false">
      <c r="A1433" s="1" t="n">
        <v>2009</v>
      </c>
      <c r="B1433" s="1" t="n">
        <v>1</v>
      </c>
      <c r="C1433" s="2" t="s">
        <v>44</v>
      </c>
      <c r="D1433" s="7" t="s">
        <v>45</v>
      </c>
      <c r="E1433" s="1" t="n">
        <v>3</v>
      </c>
      <c r="F1433" s="1" t="n">
        <f aca="false">Y1433-X1433</f>
        <v>5</v>
      </c>
      <c r="G1433" s="1" t="n">
        <v>5</v>
      </c>
      <c r="H1433" s="3" t="s">
        <v>135</v>
      </c>
      <c r="I1433" s="3" t="s">
        <v>136</v>
      </c>
      <c r="J1433" s="3" t="s">
        <v>137</v>
      </c>
      <c r="K1433" s="2" t="str">
        <f aca="false">CONCATENATE(I1433," ",J1433)</f>
        <v>Thanatus sabulosus</v>
      </c>
      <c r="L1433" s="3" t="n">
        <f aca="false">SUM(P1433:U1433)</f>
        <v>1</v>
      </c>
      <c r="M1433" s="11" t="n">
        <f aca="false">(L1433/(F1433*G1433)*25)*4</f>
        <v>4</v>
      </c>
      <c r="N1433" s="1" t="s">
        <v>30</v>
      </c>
      <c r="O1433" s="1" t="s">
        <v>31</v>
      </c>
      <c r="P1433" s="1" t="n">
        <v>1</v>
      </c>
      <c r="Q1433" s="1" t="n">
        <v>0</v>
      </c>
      <c r="R1433" s="1" t="n">
        <v>0</v>
      </c>
      <c r="S1433" s="1" t="n">
        <v>0</v>
      </c>
      <c r="T1433" s="1" t="n">
        <v>0</v>
      </c>
      <c r="U1433" s="1" t="n">
        <v>0</v>
      </c>
      <c r="V1433" s="3" t="n">
        <f aca="false">SUM(P1433:Q1433)</f>
        <v>1</v>
      </c>
      <c r="W1433" s="3" t="n">
        <f aca="false">SUM(R1433:T1433)</f>
        <v>0</v>
      </c>
      <c r="X1433" s="10" t="n">
        <v>39969</v>
      </c>
      <c r="Y1433" s="10" t="n">
        <v>39974</v>
      </c>
    </row>
    <row r="1434" customFormat="false" ht="14.25" hidden="false" customHeight="false" outlineLevel="0" collapsed="false">
      <c r="A1434" s="1" t="n">
        <v>2009</v>
      </c>
      <c r="B1434" s="1" t="n">
        <v>1</v>
      </c>
      <c r="C1434" s="2" t="s">
        <v>44</v>
      </c>
      <c r="D1434" s="7" t="s">
        <v>45</v>
      </c>
      <c r="E1434" s="1" t="n">
        <v>3</v>
      </c>
      <c r="F1434" s="1" t="n">
        <f aca="false">Y1434-X1434</f>
        <v>5</v>
      </c>
      <c r="G1434" s="1" t="n">
        <v>5</v>
      </c>
      <c r="H1434" s="3" t="s">
        <v>48</v>
      </c>
      <c r="I1434" s="3" t="s">
        <v>49</v>
      </c>
      <c r="J1434" s="3" t="s">
        <v>119</v>
      </c>
      <c r="K1434" s="2" t="str">
        <f aca="false">CONCATENATE(I1434," ",J1434)</f>
        <v>Alopecosa sulzeri</v>
      </c>
      <c r="L1434" s="3" t="n">
        <f aca="false">SUM(P1434:U1434)</f>
        <v>1</v>
      </c>
      <c r="M1434" s="11" t="n">
        <f aca="false">(L1434/(F1434*G1434)*25)*4</f>
        <v>4</v>
      </c>
      <c r="N1434" s="1" t="s">
        <v>30</v>
      </c>
      <c r="O1434" s="1" t="s">
        <v>31</v>
      </c>
      <c r="P1434" s="1" t="n">
        <v>1</v>
      </c>
      <c r="Q1434" s="1" t="n">
        <v>0</v>
      </c>
      <c r="R1434" s="1" t="n">
        <v>0</v>
      </c>
      <c r="S1434" s="1" t="n">
        <v>0</v>
      </c>
      <c r="T1434" s="1" t="n">
        <v>0</v>
      </c>
      <c r="U1434" s="1" t="n">
        <v>0</v>
      </c>
      <c r="V1434" s="3" t="n">
        <f aca="false">SUM(P1434:Q1434)</f>
        <v>1</v>
      </c>
      <c r="W1434" s="3" t="n">
        <f aca="false">SUM(R1434:T1434)</f>
        <v>0</v>
      </c>
      <c r="X1434" s="10" t="n">
        <v>39969</v>
      </c>
      <c r="Y1434" s="10" t="n">
        <v>39974</v>
      </c>
    </row>
    <row r="1435" customFormat="false" ht="14.25" hidden="false" customHeight="false" outlineLevel="0" collapsed="false">
      <c r="A1435" s="1" t="n">
        <v>2009</v>
      </c>
      <c r="B1435" s="1" t="n">
        <v>1</v>
      </c>
      <c r="C1435" s="2" t="s">
        <v>44</v>
      </c>
      <c r="D1435" s="7" t="s">
        <v>45</v>
      </c>
      <c r="E1435" s="1" t="n">
        <v>3</v>
      </c>
      <c r="F1435" s="1" t="n">
        <f aca="false">Y1435-X1435</f>
        <v>5</v>
      </c>
      <c r="G1435" s="1" t="n">
        <v>5</v>
      </c>
      <c r="H1435" s="3" t="s">
        <v>48</v>
      </c>
      <c r="I1435" s="3" t="s">
        <v>49</v>
      </c>
      <c r="J1435" s="3" t="s">
        <v>130</v>
      </c>
      <c r="K1435" s="2" t="str">
        <f aca="false">CONCATENATE(I1435," ",J1435)</f>
        <v>Alopecosa aculeata</v>
      </c>
      <c r="L1435" s="3" t="n">
        <f aca="false">SUM(P1435:U1435)</f>
        <v>1</v>
      </c>
      <c r="M1435" s="11" t="n">
        <f aca="false">(L1435/(F1435*G1435)*25)*4</f>
        <v>4</v>
      </c>
      <c r="N1435" s="1" t="s">
        <v>30</v>
      </c>
      <c r="O1435" s="1" t="s">
        <v>31</v>
      </c>
      <c r="P1435" s="1" t="n">
        <v>1</v>
      </c>
      <c r="Q1435" s="1" t="n">
        <v>0</v>
      </c>
      <c r="R1435" s="1" t="n">
        <v>0</v>
      </c>
      <c r="S1435" s="1" t="n">
        <v>0</v>
      </c>
      <c r="T1435" s="1" t="n">
        <v>0</v>
      </c>
      <c r="U1435" s="1" t="n">
        <v>0</v>
      </c>
      <c r="V1435" s="3" t="n">
        <f aca="false">SUM(P1435:Q1435)</f>
        <v>1</v>
      </c>
      <c r="W1435" s="3" t="n">
        <f aca="false">SUM(R1435:T1435)</f>
        <v>0</v>
      </c>
      <c r="X1435" s="10" t="n">
        <v>39969</v>
      </c>
      <c r="Y1435" s="10" t="n">
        <v>39974</v>
      </c>
    </row>
    <row r="1436" customFormat="false" ht="14.25" hidden="false" customHeight="false" outlineLevel="0" collapsed="false">
      <c r="A1436" s="1" t="n">
        <v>2009</v>
      </c>
      <c r="B1436" s="1" t="n">
        <v>1</v>
      </c>
      <c r="C1436" s="2" t="s">
        <v>44</v>
      </c>
      <c r="D1436" s="7" t="s">
        <v>45</v>
      </c>
      <c r="E1436" s="1" t="n">
        <v>3</v>
      </c>
      <c r="F1436" s="1" t="n">
        <f aca="false">Y1436-X1436</f>
        <v>5</v>
      </c>
      <c r="G1436" s="1" t="n">
        <v>5</v>
      </c>
      <c r="H1436" s="3" t="s">
        <v>48</v>
      </c>
      <c r="I1436" s="3" t="s">
        <v>49</v>
      </c>
      <c r="J1436" s="3" t="s">
        <v>130</v>
      </c>
      <c r="K1436" s="2" t="str">
        <f aca="false">CONCATENATE(I1436," ",J1436)</f>
        <v>Alopecosa aculeata</v>
      </c>
      <c r="L1436" s="3" t="n">
        <f aca="false">SUM(P1436:U1436)</f>
        <v>1</v>
      </c>
      <c r="M1436" s="11" t="n">
        <f aca="false">(L1436/(F1436*G1436)*25)*4</f>
        <v>4</v>
      </c>
      <c r="N1436" s="1" t="s">
        <v>30</v>
      </c>
      <c r="O1436" s="1" t="s">
        <v>35</v>
      </c>
      <c r="P1436" s="1" t="n">
        <v>0</v>
      </c>
      <c r="Q1436" s="1" t="n">
        <v>1</v>
      </c>
      <c r="R1436" s="1" t="n">
        <v>0</v>
      </c>
      <c r="S1436" s="1" t="n">
        <v>0</v>
      </c>
      <c r="T1436" s="1" t="n">
        <v>0</v>
      </c>
      <c r="U1436" s="1" t="n">
        <v>0</v>
      </c>
      <c r="V1436" s="3" t="n">
        <f aca="false">SUM(P1436:Q1436)</f>
        <v>1</v>
      </c>
      <c r="W1436" s="3" t="n">
        <f aca="false">SUM(R1436:T1436)</f>
        <v>0</v>
      </c>
      <c r="X1436" s="10" t="n">
        <v>39969</v>
      </c>
      <c r="Y1436" s="10" t="n">
        <v>39974</v>
      </c>
    </row>
    <row r="1437" customFormat="false" ht="14.25" hidden="false" customHeight="false" outlineLevel="0" collapsed="false">
      <c r="A1437" s="1" t="n">
        <v>2009</v>
      </c>
      <c r="B1437" s="1" t="n">
        <v>1</v>
      </c>
      <c r="C1437" s="2" t="s">
        <v>44</v>
      </c>
      <c r="D1437" s="7" t="s">
        <v>45</v>
      </c>
      <c r="E1437" s="1" t="n">
        <v>3</v>
      </c>
      <c r="F1437" s="1" t="n">
        <f aca="false">Y1437-X1437</f>
        <v>5</v>
      </c>
      <c r="G1437" s="1" t="n">
        <v>5</v>
      </c>
      <c r="H1437" s="3" t="s">
        <v>48</v>
      </c>
      <c r="I1437" s="3" t="s">
        <v>67</v>
      </c>
      <c r="J1437" s="3" t="s">
        <v>127</v>
      </c>
      <c r="K1437" s="2" t="str">
        <f aca="false">CONCATENATE(I1437," ",J1437)</f>
        <v>Pardosa lugubris</v>
      </c>
      <c r="L1437" s="3" t="n">
        <f aca="false">SUM(P1437:U1437)</f>
        <v>2</v>
      </c>
      <c r="M1437" s="11" t="n">
        <f aca="false">(L1437/(F1437*G1437)*25)*4</f>
        <v>8</v>
      </c>
      <c r="N1437" s="1" t="s">
        <v>30</v>
      </c>
      <c r="O1437" s="1" t="s">
        <v>31</v>
      </c>
      <c r="P1437" s="1" t="n">
        <v>2</v>
      </c>
      <c r="Q1437" s="1" t="n">
        <v>0</v>
      </c>
      <c r="R1437" s="1" t="n">
        <v>0</v>
      </c>
      <c r="S1437" s="1" t="n">
        <v>0</v>
      </c>
      <c r="T1437" s="1" t="n">
        <v>0</v>
      </c>
      <c r="U1437" s="1" t="n">
        <v>0</v>
      </c>
      <c r="V1437" s="3" t="n">
        <f aca="false">SUM(P1437:Q1437)</f>
        <v>2</v>
      </c>
      <c r="W1437" s="3" t="n">
        <f aca="false">SUM(R1437:T1437)</f>
        <v>0</v>
      </c>
      <c r="X1437" s="10" t="n">
        <v>39969</v>
      </c>
      <c r="Y1437" s="10" t="n">
        <v>39974</v>
      </c>
    </row>
    <row r="1438" customFormat="false" ht="14.25" hidden="false" customHeight="false" outlineLevel="0" collapsed="false">
      <c r="A1438" s="1" t="n">
        <v>2009</v>
      </c>
      <c r="B1438" s="1" t="n">
        <v>1</v>
      </c>
      <c r="C1438" s="2" t="s">
        <v>44</v>
      </c>
      <c r="D1438" s="7" t="s">
        <v>45</v>
      </c>
      <c r="E1438" s="1" t="n">
        <v>3</v>
      </c>
      <c r="F1438" s="1" t="n">
        <f aca="false">Y1438-X1438</f>
        <v>5</v>
      </c>
      <c r="G1438" s="1" t="n">
        <v>5</v>
      </c>
      <c r="H1438" s="3" t="s">
        <v>48</v>
      </c>
      <c r="I1438" s="3" t="s">
        <v>122</v>
      </c>
      <c r="J1438" s="3" t="s">
        <v>123</v>
      </c>
      <c r="K1438" s="2" t="str">
        <f aca="false">CONCATENATE(I1438," ",J1438)</f>
        <v>Xerolycosa nemoralis</v>
      </c>
      <c r="L1438" s="3" t="n">
        <f aca="false">SUM(P1438:U1438)</f>
        <v>8</v>
      </c>
      <c r="M1438" s="11" t="n">
        <f aca="false">(L1438/(F1438*G1438)*25)*4</f>
        <v>32</v>
      </c>
      <c r="N1438" s="1" t="s">
        <v>30</v>
      </c>
      <c r="O1438" s="1" t="s">
        <v>31</v>
      </c>
      <c r="P1438" s="1" t="n">
        <v>8</v>
      </c>
      <c r="Q1438" s="1" t="n">
        <v>0</v>
      </c>
      <c r="R1438" s="1" t="n">
        <v>0</v>
      </c>
      <c r="S1438" s="1" t="n">
        <v>0</v>
      </c>
      <c r="T1438" s="1" t="n">
        <v>0</v>
      </c>
      <c r="U1438" s="1" t="n">
        <v>0</v>
      </c>
      <c r="V1438" s="3" t="n">
        <f aca="false">SUM(P1438:Q1438)</f>
        <v>8</v>
      </c>
      <c r="W1438" s="3" t="n">
        <f aca="false">SUM(R1438:T1438)</f>
        <v>0</v>
      </c>
      <c r="X1438" s="10" t="n">
        <v>39969</v>
      </c>
      <c r="Y1438" s="10" t="n">
        <v>39974</v>
      </c>
    </row>
    <row r="1439" customFormat="false" ht="14.25" hidden="false" customHeight="false" outlineLevel="0" collapsed="false">
      <c r="A1439" s="1" t="n">
        <v>2009</v>
      </c>
      <c r="B1439" s="1" t="n">
        <v>1</v>
      </c>
      <c r="C1439" s="2" t="s">
        <v>44</v>
      </c>
      <c r="D1439" s="7" t="s">
        <v>45</v>
      </c>
      <c r="E1439" s="1" t="n">
        <v>3</v>
      </c>
      <c r="F1439" s="1" t="n">
        <f aca="false">Y1439-X1439</f>
        <v>5</v>
      </c>
      <c r="G1439" s="1" t="n">
        <v>5</v>
      </c>
      <c r="H1439" s="3" t="s">
        <v>48</v>
      </c>
      <c r="I1439" s="3" t="s">
        <v>122</v>
      </c>
      <c r="J1439" s="3" t="s">
        <v>123</v>
      </c>
      <c r="K1439" s="2" t="str">
        <f aca="false">CONCATENATE(I1439," ",J1439)</f>
        <v>Xerolycosa nemoralis</v>
      </c>
      <c r="L1439" s="3" t="n">
        <f aca="false">SUM(P1439:U1439)</f>
        <v>1</v>
      </c>
      <c r="M1439" s="11" t="n">
        <f aca="false">(L1439/(F1439*G1439)*25)*4</f>
        <v>4</v>
      </c>
      <c r="N1439" s="1" t="s">
        <v>30</v>
      </c>
      <c r="O1439" s="1" t="s">
        <v>35</v>
      </c>
      <c r="P1439" s="1" t="n">
        <v>0</v>
      </c>
      <c r="Q1439" s="1" t="n">
        <v>1</v>
      </c>
      <c r="R1439" s="1" t="n">
        <v>0</v>
      </c>
      <c r="S1439" s="1" t="n">
        <v>0</v>
      </c>
      <c r="T1439" s="1" t="n">
        <v>0</v>
      </c>
      <c r="U1439" s="1" t="n">
        <v>0</v>
      </c>
      <c r="V1439" s="3" t="n">
        <f aca="false">SUM(P1439:Q1439)</f>
        <v>1</v>
      </c>
      <c r="W1439" s="3" t="n">
        <f aca="false">SUM(R1439:T1439)</f>
        <v>0</v>
      </c>
      <c r="X1439" s="10" t="n">
        <v>39969</v>
      </c>
      <c r="Y1439" s="10" t="n">
        <v>39974</v>
      </c>
    </row>
    <row r="1440" customFormat="false" ht="14.25" hidden="false" customHeight="false" outlineLevel="0" collapsed="false">
      <c r="A1440" s="1" t="n">
        <v>2009</v>
      </c>
      <c r="B1440" s="1" t="n">
        <v>1</v>
      </c>
      <c r="C1440" s="2" t="s">
        <v>44</v>
      </c>
      <c r="D1440" s="7" t="s">
        <v>45</v>
      </c>
      <c r="E1440" s="1" t="n">
        <v>3</v>
      </c>
      <c r="F1440" s="1" t="n">
        <f aca="false">Y1440-X1440</f>
        <v>5</v>
      </c>
      <c r="G1440" s="1" t="n">
        <v>5</v>
      </c>
      <c r="H1440" s="3" t="s">
        <v>48</v>
      </c>
      <c r="I1440" s="3" t="s">
        <v>57</v>
      </c>
      <c r="J1440" s="3" t="s">
        <v>38</v>
      </c>
      <c r="K1440" s="2" t="str">
        <f aca="false">CONCATENATE(I1440," ",J1440)</f>
        <v>Gen sp</v>
      </c>
      <c r="L1440" s="3" t="n">
        <f aca="false">SUM(P1440:U1440)</f>
        <v>1</v>
      </c>
      <c r="M1440" s="11" t="n">
        <f aca="false">(L1440/(F1440*G1440)*25)*4</f>
        <v>4</v>
      </c>
      <c r="N1440" s="1" t="s">
        <v>19</v>
      </c>
      <c r="O1440" s="1" t="s">
        <v>54</v>
      </c>
      <c r="P1440" s="1" t="n">
        <v>0</v>
      </c>
      <c r="Q1440" s="1" t="n">
        <v>0</v>
      </c>
      <c r="R1440" s="1" t="n">
        <v>0</v>
      </c>
      <c r="S1440" s="1" t="n">
        <v>0</v>
      </c>
      <c r="T1440" s="1" t="n">
        <v>1</v>
      </c>
      <c r="U1440" s="1" t="n">
        <v>0</v>
      </c>
      <c r="V1440" s="3" t="n">
        <f aca="false">SUM(P1440:Q1440)</f>
        <v>0</v>
      </c>
      <c r="W1440" s="3" t="n">
        <f aca="false">SUM(R1440:T1440)</f>
        <v>1</v>
      </c>
      <c r="X1440" s="10" t="n">
        <v>39969</v>
      </c>
      <c r="Y1440" s="10" t="n">
        <v>39974</v>
      </c>
    </row>
    <row r="1441" customFormat="false" ht="14.25" hidden="false" customHeight="false" outlineLevel="0" collapsed="false">
      <c r="A1441" s="1" t="n">
        <v>2009</v>
      </c>
      <c r="B1441" s="1" t="n">
        <v>1</v>
      </c>
      <c r="C1441" s="2" t="s">
        <v>44</v>
      </c>
      <c r="D1441" s="7" t="s">
        <v>45</v>
      </c>
      <c r="E1441" s="1" t="n">
        <v>3</v>
      </c>
      <c r="F1441" s="1" t="n">
        <f aca="false">Y1441-X1441</f>
        <v>5</v>
      </c>
      <c r="G1441" s="1" t="n">
        <v>5</v>
      </c>
      <c r="H1441" s="3" t="s">
        <v>72</v>
      </c>
      <c r="I1441" s="3" t="s">
        <v>152</v>
      </c>
      <c r="J1441" s="3" t="s">
        <v>153</v>
      </c>
      <c r="K1441" s="2" t="str">
        <f aca="false">CONCATENATE(I1441," ",J1441)</f>
        <v>Callilepis nocturna</v>
      </c>
      <c r="L1441" s="3" t="n">
        <f aca="false">SUM(P1441:U1441)</f>
        <v>1</v>
      </c>
      <c r="M1441" s="11" t="n">
        <f aca="false">(L1441/(F1441*G1441)*25)*4</f>
        <v>4</v>
      </c>
      <c r="N1441" s="1" t="s">
        <v>30</v>
      </c>
      <c r="O1441" s="1" t="s">
        <v>31</v>
      </c>
      <c r="P1441" s="1" t="n">
        <v>1</v>
      </c>
      <c r="Q1441" s="1" t="n">
        <v>0</v>
      </c>
      <c r="R1441" s="1" t="n">
        <v>0</v>
      </c>
      <c r="S1441" s="1" t="n">
        <v>0</v>
      </c>
      <c r="T1441" s="1" t="n">
        <v>0</v>
      </c>
      <c r="U1441" s="1" t="n">
        <v>0</v>
      </c>
      <c r="V1441" s="3" t="n">
        <f aca="false">SUM(P1441:Q1441)</f>
        <v>1</v>
      </c>
      <c r="W1441" s="3" t="n">
        <f aca="false">SUM(R1441:T1441)</f>
        <v>0</v>
      </c>
      <c r="X1441" s="10" t="n">
        <v>39969</v>
      </c>
      <c r="Y1441" s="10" t="n">
        <v>39974</v>
      </c>
    </row>
    <row r="1442" customFormat="false" ht="14.25" hidden="false" customHeight="false" outlineLevel="0" collapsed="false">
      <c r="A1442" s="1" t="n">
        <v>2009</v>
      </c>
      <c r="B1442" s="1" t="n">
        <v>1</v>
      </c>
      <c r="C1442" s="2" t="s">
        <v>44</v>
      </c>
      <c r="D1442" s="7" t="s">
        <v>45</v>
      </c>
      <c r="E1442" s="1" t="n">
        <v>3</v>
      </c>
      <c r="F1442" s="1" t="n">
        <f aca="false">Y1442-X1442</f>
        <v>5</v>
      </c>
      <c r="G1442" s="1" t="n">
        <v>5</v>
      </c>
      <c r="H1442" s="3" t="s">
        <v>72</v>
      </c>
      <c r="I1442" s="3" t="s">
        <v>73</v>
      </c>
      <c r="J1442" s="3" t="s">
        <v>74</v>
      </c>
      <c r="K1442" s="2" t="str">
        <f aca="false">CONCATENATE(I1442," ",J1442)</f>
        <v>Zelotes subterraneus</v>
      </c>
      <c r="L1442" s="3" t="n">
        <f aca="false">SUM(P1442:U1442)</f>
        <v>3</v>
      </c>
      <c r="M1442" s="11" t="n">
        <f aca="false">(L1442/(F1442*G1442)*25)*4</f>
        <v>12</v>
      </c>
      <c r="N1442" s="1" t="s">
        <v>30</v>
      </c>
      <c r="O1442" s="1" t="s">
        <v>35</v>
      </c>
      <c r="P1442" s="1" t="n">
        <v>0</v>
      </c>
      <c r="Q1442" s="1" t="n">
        <v>3</v>
      </c>
      <c r="R1442" s="1" t="n">
        <v>0</v>
      </c>
      <c r="S1442" s="1" t="n">
        <v>0</v>
      </c>
      <c r="T1442" s="1" t="n">
        <v>0</v>
      </c>
      <c r="U1442" s="1" t="n">
        <v>0</v>
      </c>
      <c r="V1442" s="3" t="n">
        <f aca="false">SUM(P1442:Q1442)</f>
        <v>3</v>
      </c>
      <c r="W1442" s="3" t="n">
        <f aca="false">SUM(R1442:T1442)</f>
        <v>0</v>
      </c>
      <c r="X1442" s="10" t="n">
        <v>39969</v>
      </c>
      <c r="Y1442" s="10" t="n">
        <v>39974</v>
      </c>
    </row>
    <row r="1443" customFormat="false" ht="14.25" hidden="false" customHeight="false" outlineLevel="0" collapsed="false">
      <c r="A1443" s="1" t="n">
        <v>2009</v>
      </c>
      <c r="B1443" s="1" t="n">
        <v>1</v>
      </c>
      <c r="C1443" s="2" t="s">
        <v>44</v>
      </c>
      <c r="D1443" s="7" t="s">
        <v>45</v>
      </c>
      <c r="E1443" s="1" t="n">
        <v>3</v>
      </c>
      <c r="F1443" s="1" t="n">
        <f aca="false">Y1443-X1443</f>
        <v>5</v>
      </c>
      <c r="G1443" s="1" t="n">
        <v>5</v>
      </c>
      <c r="H1443" s="3" t="s">
        <v>48</v>
      </c>
      <c r="I1443" s="3" t="s">
        <v>122</v>
      </c>
      <c r="J1443" s="3" t="s">
        <v>123</v>
      </c>
      <c r="K1443" s="2" t="str">
        <f aca="false">CONCATENATE(I1443," ",J1443)</f>
        <v>Xerolycosa nemoralis</v>
      </c>
      <c r="L1443" s="3" t="n">
        <f aca="false">SUM(P1443:U1443)</f>
        <v>10</v>
      </c>
      <c r="M1443" s="11" t="n">
        <f aca="false">(L1443/(F1443*G1443)*25)*4</f>
        <v>40</v>
      </c>
      <c r="N1443" s="1" t="s">
        <v>30</v>
      </c>
      <c r="O1443" s="1" t="s">
        <v>31</v>
      </c>
      <c r="P1443" s="1" t="n">
        <v>10</v>
      </c>
      <c r="Q1443" s="1" t="n">
        <v>0</v>
      </c>
      <c r="R1443" s="1" t="n">
        <v>0</v>
      </c>
      <c r="S1443" s="1" t="n">
        <v>0</v>
      </c>
      <c r="T1443" s="1" t="n">
        <v>0</v>
      </c>
      <c r="U1443" s="1" t="n">
        <v>0</v>
      </c>
      <c r="V1443" s="3" t="n">
        <f aca="false">SUM(P1443:Q1443)</f>
        <v>10</v>
      </c>
      <c r="W1443" s="3" t="n">
        <f aca="false">SUM(R1443:T1443)</f>
        <v>0</v>
      </c>
      <c r="X1443" s="10" t="n">
        <v>39969</v>
      </c>
      <c r="Y1443" s="10" t="n">
        <v>39974</v>
      </c>
    </row>
    <row r="1444" customFormat="false" ht="14.25" hidden="false" customHeight="false" outlineLevel="0" collapsed="false">
      <c r="A1444" s="1" t="n">
        <v>2009</v>
      </c>
      <c r="B1444" s="1" t="n">
        <v>1</v>
      </c>
      <c r="C1444" s="2" t="s">
        <v>44</v>
      </c>
      <c r="D1444" s="7" t="s">
        <v>45</v>
      </c>
      <c r="E1444" s="1" t="n">
        <v>3</v>
      </c>
      <c r="F1444" s="1" t="n">
        <f aca="false">Y1444-X1444</f>
        <v>5</v>
      </c>
      <c r="G1444" s="1" t="n">
        <v>5</v>
      </c>
      <c r="H1444" s="3" t="s">
        <v>48</v>
      </c>
      <c r="I1444" s="3" t="s">
        <v>122</v>
      </c>
      <c r="J1444" s="3" t="s">
        <v>123</v>
      </c>
      <c r="K1444" s="2" t="str">
        <f aca="false">CONCATENATE(I1444," ",J1444)</f>
        <v>Xerolycosa nemoralis</v>
      </c>
      <c r="L1444" s="3" t="n">
        <f aca="false">SUM(P1444:U1444)</f>
        <v>1</v>
      </c>
      <c r="M1444" s="11" t="n">
        <f aca="false">(L1444/(F1444*G1444)*25)*4</f>
        <v>4</v>
      </c>
      <c r="N1444" s="1" t="s">
        <v>30</v>
      </c>
      <c r="O1444" s="1" t="s">
        <v>35</v>
      </c>
      <c r="P1444" s="1" t="n">
        <v>0</v>
      </c>
      <c r="Q1444" s="1" t="n">
        <v>1</v>
      </c>
      <c r="R1444" s="1" t="n">
        <v>0</v>
      </c>
      <c r="S1444" s="1" t="n">
        <v>0</v>
      </c>
      <c r="T1444" s="1" t="n">
        <v>0</v>
      </c>
      <c r="U1444" s="1" t="n">
        <v>0</v>
      </c>
      <c r="V1444" s="3" t="n">
        <f aca="false">SUM(P1444:Q1444)</f>
        <v>1</v>
      </c>
      <c r="W1444" s="3" t="n">
        <f aca="false">SUM(R1444:T1444)</f>
        <v>0</v>
      </c>
      <c r="X1444" s="10" t="n">
        <v>39969</v>
      </c>
      <c r="Y1444" s="10" t="n">
        <v>39974</v>
      </c>
    </row>
    <row r="1445" customFormat="false" ht="14.25" hidden="false" customHeight="false" outlineLevel="0" collapsed="false">
      <c r="A1445" s="1" t="n">
        <v>2009</v>
      </c>
      <c r="B1445" s="1" t="n">
        <v>1</v>
      </c>
      <c r="C1445" s="2" t="s">
        <v>44</v>
      </c>
      <c r="D1445" s="7" t="s">
        <v>45</v>
      </c>
      <c r="E1445" s="1" t="n">
        <v>3</v>
      </c>
      <c r="F1445" s="1" t="n">
        <f aca="false">Y1445-X1445</f>
        <v>5</v>
      </c>
      <c r="G1445" s="1" t="n">
        <v>5</v>
      </c>
      <c r="H1445" s="3" t="s">
        <v>48</v>
      </c>
      <c r="I1445" s="3" t="s">
        <v>57</v>
      </c>
      <c r="J1445" s="3" t="s">
        <v>38</v>
      </c>
      <c r="K1445" s="2" t="str">
        <f aca="false">CONCATENATE(I1445," ",J1445)</f>
        <v>Gen sp</v>
      </c>
      <c r="L1445" s="3" t="n">
        <f aca="false">SUM(P1445:U1445)</f>
        <v>2</v>
      </c>
      <c r="M1445" s="11" t="n">
        <f aca="false">(L1445/(F1445*G1445)*25)*4</f>
        <v>8</v>
      </c>
      <c r="N1445" s="1" t="s">
        <v>19</v>
      </c>
      <c r="O1445" s="1" t="s">
        <v>54</v>
      </c>
      <c r="P1445" s="1" t="n">
        <v>0</v>
      </c>
      <c r="Q1445" s="1" t="n">
        <v>0</v>
      </c>
      <c r="R1445" s="1" t="n">
        <v>0</v>
      </c>
      <c r="S1445" s="1" t="n">
        <v>0</v>
      </c>
      <c r="T1445" s="1" t="n">
        <v>2</v>
      </c>
      <c r="U1445" s="1" t="n">
        <v>0</v>
      </c>
      <c r="V1445" s="3" t="n">
        <f aca="false">SUM(P1445:Q1445)</f>
        <v>0</v>
      </c>
      <c r="W1445" s="3" t="n">
        <f aca="false">SUM(R1445:T1445)</f>
        <v>2</v>
      </c>
      <c r="X1445" s="10" t="n">
        <v>39969</v>
      </c>
      <c r="Y1445" s="10" t="n">
        <v>39974</v>
      </c>
    </row>
    <row r="1446" customFormat="false" ht="14.25" hidden="false" customHeight="false" outlineLevel="0" collapsed="false">
      <c r="A1446" s="1" t="n">
        <v>2009</v>
      </c>
      <c r="B1446" s="1" t="n">
        <v>1</v>
      </c>
      <c r="C1446" s="2" t="s">
        <v>44</v>
      </c>
      <c r="D1446" s="7" t="s">
        <v>45</v>
      </c>
      <c r="E1446" s="1" t="n">
        <v>3</v>
      </c>
      <c r="F1446" s="1" t="n">
        <f aca="false">Y1446-X1446</f>
        <v>5</v>
      </c>
      <c r="G1446" s="1" t="n">
        <v>5</v>
      </c>
      <c r="H1446" s="3" t="s">
        <v>135</v>
      </c>
      <c r="I1446" s="3" t="s">
        <v>136</v>
      </c>
      <c r="J1446" s="3" t="s">
        <v>137</v>
      </c>
      <c r="K1446" s="2" t="str">
        <f aca="false">CONCATENATE(I1446," ",J1446)</f>
        <v>Thanatus sabulosus</v>
      </c>
      <c r="L1446" s="3" t="n">
        <f aca="false">SUM(P1446:U1446)</f>
        <v>1</v>
      </c>
      <c r="M1446" s="11" t="n">
        <f aca="false">(L1446/(F1446*G1446)*25)*4</f>
        <v>4</v>
      </c>
      <c r="N1446" s="1" t="s">
        <v>30</v>
      </c>
      <c r="O1446" s="1" t="s">
        <v>31</v>
      </c>
      <c r="P1446" s="1" t="n">
        <v>1</v>
      </c>
      <c r="Q1446" s="1" t="n">
        <v>0</v>
      </c>
      <c r="R1446" s="1" t="n">
        <v>0</v>
      </c>
      <c r="S1446" s="1" t="n">
        <v>0</v>
      </c>
      <c r="T1446" s="1" t="n">
        <v>0</v>
      </c>
      <c r="U1446" s="1" t="n">
        <v>0</v>
      </c>
      <c r="V1446" s="3" t="n">
        <f aca="false">SUM(P1446:Q1446)</f>
        <v>1</v>
      </c>
      <c r="W1446" s="3" t="n">
        <f aca="false">SUM(R1446:T1446)</f>
        <v>0</v>
      </c>
      <c r="X1446" s="10" t="n">
        <v>39969</v>
      </c>
      <c r="Y1446" s="10" t="n">
        <v>39974</v>
      </c>
    </row>
    <row r="1447" customFormat="false" ht="14.25" hidden="false" customHeight="false" outlineLevel="0" collapsed="false">
      <c r="A1447" s="1" t="n">
        <v>2009</v>
      </c>
      <c r="B1447" s="1" t="n">
        <v>1</v>
      </c>
      <c r="C1447" s="2" t="s">
        <v>44</v>
      </c>
      <c r="D1447" s="7" t="s">
        <v>45</v>
      </c>
      <c r="E1447" s="1" t="n">
        <v>3</v>
      </c>
      <c r="F1447" s="1" t="n">
        <f aca="false">Y1447-X1447</f>
        <v>5</v>
      </c>
      <c r="G1447" s="1" t="n">
        <v>5</v>
      </c>
      <c r="H1447" s="3" t="s">
        <v>48</v>
      </c>
      <c r="I1447" s="3" t="s">
        <v>49</v>
      </c>
      <c r="J1447" s="3" t="s">
        <v>130</v>
      </c>
      <c r="K1447" s="2" t="str">
        <f aca="false">CONCATENATE(I1447," ",J1447)</f>
        <v>Alopecosa aculeata</v>
      </c>
      <c r="L1447" s="3" t="n">
        <f aca="false">SUM(P1447:U1447)</f>
        <v>1</v>
      </c>
      <c r="M1447" s="11" t="n">
        <f aca="false">(L1447/(F1447*G1447)*25)*4</f>
        <v>4</v>
      </c>
      <c r="N1447" s="1" t="s">
        <v>30</v>
      </c>
      <c r="O1447" s="1" t="s">
        <v>31</v>
      </c>
      <c r="P1447" s="1" t="n">
        <v>1</v>
      </c>
      <c r="Q1447" s="1" t="n">
        <v>0</v>
      </c>
      <c r="R1447" s="1" t="n">
        <v>0</v>
      </c>
      <c r="S1447" s="1" t="n">
        <v>0</v>
      </c>
      <c r="T1447" s="1" t="n">
        <v>0</v>
      </c>
      <c r="U1447" s="1" t="n">
        <v>0</v>
      </c>
      <c r="V1447" s="3" t="n">
        <f aca="false">SUM(P1447:Q1447)</f>
        <v>1</v>
      </c>
      <c r="W1447" s="3" t="n">
        <f aca="false">SUM(R1447:T1447)</f>
        <v>0</v>
      </c>
      <c r="X1447" s="10" t="n">
        <v>39969</v>
      </c>
      <c r="Y1447" s="10" t="n">
        <v>39974</v>
      </c>
    </row>
    <row r="1448" customFormat="false" ht="14.25" hidden="false" customHeight="false" outlineLevel="0" collapsed="false">
      <c r="A1448" s="1" t="n">
        <v>2009</v>
      </c>
      <c r="B1448" s="1" t="n">
        <v>1</v>
      </c>
      <c r="C1448" s="2" t="s">
        <v>44</v>
      </c>
      <c r="D1448" s="7" t="s">
        <v>45</v>
      </c>
      <c r="E1448" s="1" t="n">
        <v>3</v>
      </c>
      <c r="F1448" s="1" t="n">
        <f aca="false">Y1448-X1448</f>
        <v>5</v>
      </c>
      <c r="G1448" s="1" t="n">
        <v>5</v>
      </c>
      <c r="H1448" s="3" t="s">
        <v>48</v>
      </c>
      <c r="I1448" s="3" t="s">
        <v>122</v>
      </c>
      <c r="J1448" s="3" t="s">
        <v>123</v>
      </c>
      <c r="K1448" s="2" t="str">
        <f aca="false">CONCATENATE(I1448," ",J1448)</f>
        <v>Xerolycosa nemoralis</v>
      </c>
      <c r="L1448" s="3" t="n">
        <f aca="false">SUM(P1448:U1448)</f>
        <v>3</v>
      </c>
      <c r="M1448" s="11" t="n">
        <f aca="false">(L1448/(F1448*G1448)*25)*4</f>
        <v>12</v>
      </c>
      <c r="N1448" s="1" t="s">
        <v>30</v>
      </c>
      <c r="O1448" s="1" t="s">
        <v>31</v>
      </c>
      <c r="P1448" s="1" t="n">
        <v>3</v>
      </c>
      <c r="Q1448" s="1" t="n">
        <v>0</v>
      </c>
      <c r="R1448" s="1" t="n">
        <v>0</v>
      </c>
      <c r="S1448" s="1" t="n">
        <v>0</v>
      </c>
      <c r="T1448" s="1" t="n">
        <v>0</v>
      </c>
      <c r="U1448" s="1" t="n">
        <v>0</v>
      </c>
      <c r="V1448" s="3" t="n">
        <f aca="false">SUM(P1448:Q1448)</f>
        <v>3</v>
      </c>
      <c r="W1448" s="3" t="n">
        <f aca="false">SUM(R1448:T1448)</f>
        <v>0</v>
      </c>
      <c r="X1448" s="10" t="n">
        <v>39969</v>
      </c>
      <c r="Y1448" s="10" t="n">
        <v>39974</v>
      </c>
    </row>
    <row r="1449" customFormat="false" ht="14.25" hidden="false" customHeight="false" outlineLevel="0" collapsed="false">
      <c r="A1449" s="1" t="n">
        <v>2009</v>
      </c>
      <c r="B1449" s="1" t="n">
        <v>1</v>
      </c>
      <c r="C1449" s="2" t="s">
        <v>44</v>
      </c>
      <c r="D1449" s="7" t="s">
        <v>45</v>
      </c>
      <c r="E1449" s="1" t="n">
        <v>3</v>
      </c>
      <c r="F1449" s="1" t="n">
        <f aca="false">Y1449-X1449</f>
        <v>5</v>
      </c>
      <c r="G1449" s="1" t="n">
        <v>5</v>
      </c>
      <c r="H1449" s="3" t="s">
        <v>72</v>
      </c>
      <c r="I1449" s="3" t="s">
        <v>152</v>
      </c>
      <c r="J1449" s="3" t="s">
        <v>153</v>
      </c>
      <c r="K1449" s="2" t="str">
        <f aca="false">CONCATENATE(I1449," ",J1449)</f>
        <v>Callilepis nocturna</v>
      </c>
      <c r="L1449" s="3" t="n">
        <f aca="false">SUM(P1449:U1449)</f>
        <v>2</v>
      </c>
      <c r="M1449" s="11" t="n">
        <f aca="false">(L1449/(F1449*G1449)*25)*4</f>
        <v>8</v>
      </c>
      <c r="N1449" s="1" t="s">
        <v>30</v>
      </c>
      <c r="O1449" s="1" t="s">
        <v>31</v>
      </c>
      <c r="P1449" s="1" t="n">
        <v>2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0</v>
      </c>
      <c r="V1449" s="3" t="n">
        <f aca="false">SUM(P1449:Q1449)</f>
        <v>2</v>
      </c>
      <c r="W1449" s="3" t="n">
        <f aca="false">SUM(R1449:T1449)</f>
        <v>0</v>
      </c>
      <c r="X1449" s="10" t="n">
        <v>39969</v>
      </c>
      <c r="Y1449" s="10" t="n">
        <v>39974</v>
      </c>
    </row>
    <row r="1450" customFormat="false" ht="14.25" hidden="false" customHeight="false" outlineLevel="0" collapsed="false">
      <c r="A1450" s="1" t="n">
        <v>2009</v>
      </c>
      <c r="B1450" s="1" t="n">
        <v>1</v>
      </c>
      <c r="C1450" s="2" t="s">
        <v>44</v>
      </c>
      <c r="D1450" s="7" t="s">
        <v>45</v>
      </c>
      <c r="E1450" s="1" t="n">
        <v>3</v>
      </c>
      <c r="F1450" s="1" t="n">
        <f aca="false">Y1450-X1450</f>
        <v>5</v>
      </c>
      <c r="G1450" s="1" t="n">
        <v>5</v>
      </c>
      <c r="H1450" s="3" t="s">
        <v>72</v>
      </c>
      <c r="I1450" s="3" t="s">
        <v>73</v>
      </c>
      <c r="J1450" s="3" t="s">
        <v>74</v>
      </c>
      <c r="K1450" s="2" t="str">
        <f aca="false">CONCATENATE(I1450," ",J1450)</f>
        <v>Zelotes subterraneus</v>
      </c>
      <c r="L1450" s="3" t="n">
        <f aca="false">SUM(P1450:U1450)</f>
        <v>1</v>
      </c>
      <c r="M1450" s="11" t="n">
        <f aca="false">(L1450/(F1450*G1450)*25)*4</f>
        <v>4</v>
      </c>
      <c r="N1450" s="1" t="s">
        <v>30</v>
      </c>
      <c r="O1450" s="1" t="s">
        <v>31</v>
      </c>
      <c r="P1450" s="1" t="n">
        <v>1</v>
      </c>
      <c r="Q1450" s="1" t="n">
        <v>0</v>
      </c>
      <c r="R1450" s="1" t="n">
        <v>0</v>
      </c>
      <c r="S1450" s="1" t="n">
        <v>0</v>
      </c>
      <c r="T1450" s="1" t="n">
        <v>0</v>
      </c>
      <c r="U1450" s="1" t="n">
        <v>0</v>
      </c>
      <c r="V1450" s="3" t="n">
        <f aca="false">SUM(P1450:Q1450)</f>
        <v>1</v>
      </c>
      <c r="W1450" s="3" t="n">
        <f aca="false">SUM(R1450:T1450)</f>
        <v>0</v>
      </c>
      <c r="X1450" s="10" t="n">
        <v>39969</v>
      </c>
      <c r="Y1450" s="10" t="n">
        <v>39974</v>
      </c>
    </row>
    <row r="1451" customFormat="false" ht="14.25" hidden="false" customHeight="false" outlineLevel="0" collapsed="false">
      <c r="A1451" s="1" t="n">
        <v>2009</v>
      </c>
      <c r="B1451" s="1" t="n">
        <v>1</v>
      </c>
      <c r="C1451" s="2" t="s">
        <v>44</v>
      </c>
      <c r="D1451" s="7" t="s">
        <v>45</v>
      </c>
      <c r="E1451" s="1" t="n">
        <v>3</v>
      </c>
      <c r="F1451" s="1" t="n">
        <f aca="false">Y1451-X1451</f>
        <v>5</v>
      </c>
      <c r="G1451" s="1" t="n">
        <v>5</v>
      </c>
      <c r="H1451" s="3" t="s">
        <v>135</v>
      </c>
      <c r="I1451" s="3" t="s">
        <v>216</v>
      </c>
      <c r="J1451" s="3" t="s">
        <v>217</v>
      </c>
      <c r="K1451" s="2" t="str">
        <f aca="false">CONCATENATE(I1451," ",J1451)</f>
        <v>Philodromus margaritatus</v>
      </c>
      <c r="L1451" s="3" t="n">
        <f aca="false">SUM(P1451:U1451)</f>
        <v>1</v>
      </c>
      <c r="M1451" s="11" t="n">
        <f aca="false">(L1451/(F1451*G1451)*25)*4</f>
        <v>4</v>
      </c>
      <c r="N1451" s="1" t="s">
        <v>30</v>
      </c>
      <c r="O1451" s="1" t="s">
        <v>31</v>
      </c>
      <c r="P1451" s="1" t="n">
        <v>1</v>
      </c>
      <c r="Q1451" s="1" t="n">
        <v>0</v>
      </c>
      <c r="R1451" s="1" t="n">
        <v>0</v>
      </c>
      <c r="S1451" s="1" t="n">
        <v>0</v>
      </c>
      <c r="T1451" s="1" t="n">
        <v>0</v>
      </c>
      <c r="U1451" s="1" t="n">
        <v>0</v>
      </c>
      <c r="V1451" s="3" t="n">
        <f aca="false">SUM(P1451:Q1451)</f>
        <v>1</v>
      </c>
      <c r="W1451" s="3" t="n">
        <f aca="false">SUM(R1451:T1451)</f>
        <v>0</v>
      </c>
      <c r="X1451" s="10" t="n">
        <v>39969</v>
      </c>
      <c r="Y1451" s="10" t="n">
        <v>39974</v>
      </c>
    </row>
    <row r="1452" customFormat="false" ht="14.25" hidden="false" customHeight="false" outlineLevel="0" collapsed="false">
      <c r="A1452" s="1" t="n">
        <v>2009</v>
      </c>
      <c r="B1452" s="1" t="n">
        <v>1</v>
      </c>
      <c r="C1452" s="2" t="s">
        <v>44</v>
      </c>
      <c r="D1452" s="7" t="s">
        <v>45</v>
      </c>
      <c r="E1452" s="1" t="n">
        <v>3</v>
      </c>
      <c r="F1452" s="1" t="n">
        <f aca="false">Y1452-X1452</f>
        <v>5</v>
      </c>
      <c r="G1452" s="1" t="n">
        <v>5</v>
      </c>
      <c r="H1452" s="3" t="s">
        <v>48</v>
      </c>
      <c r="I1452" s="3" t="s">
        <v>49</v>
      </c>
      <c r="J1452" s="3" t="s">
        <v>119</v>
      </c>
      <c r="K1452" s="2" t="str">
        <f aca="false">CONCATENATE(I1452," ",J1452)</f>
        <v>Alopecosa sulzeri</v>
      </c>
      <c r="L1452" s="3" t="n">
        <f aca="false">SUM(P1452:U1452)</f>
        <v>1</v>
      </c>
      <c r="M1452" s="11" t="n">
        <f aca="false">(L1452/(F1452*G1452)*25)*4</f>
        <v>4</v>
      </c>
      <c r="N1452" s="1" t="s">
        <v>30</v>
      </c>
      <c r="O1452" s="1" t="s">
        <v>31</v>
      </c>
      <c r="P1452" s="1" t="n">
        <v>1</v>
      </c>
      <c r="Q1452" s="1" t="n">
        <v>0</v>
      </c>
      <c r="R1452" s="1" t="n">
        <v>0</v>
      </c>
      <c r="S1452" s="1" t="n">
        <v>0</v>
      </c>
      <c r="T1452" s="1" t="n">
        <v>0</v>
      </c>
      <c r="U1452" s="1" t="n">
        <v>0</v>
      </c>
      <c r="V1452" s="3" t="n">
        <f aca="false">SUM(P1452:Q1452)</f>
        <v>1</v>
      </c>
      <c r="W1452" s="3" t="n">
        <f aca="false">SUM(R1452:T1452)</f>
        <v>0</v>
      </c>
      <c r="X1452" s="10" t="n">
        <v>39969</v>
      </c>
      <c r="Y1452" s="10" t="n">
        <v>39974</v>
      </c>
    </row>
    <row r="1453" customFormat="false" ht="14.25" hidden="false" customHeight="false" outlineLevel="0" collapsed="false">
      <c r="A1453" s="1" t="n">
        <v>2009</v>
      </c>
      <c r="B1453" s="1" t="n">
        <v>1</v>
      </c>
      <c r="C1453" s="2" t="s">
        <v>44</v>
      </c>
      <c r="D1453" s="7" t="s">
        <v>45</v>
      </c>
      <c r="E1453" s="1" t="n">
        <v>3</v>
      </c>
      <c r="F1453" s="1" t="n">
        <f aca="false">Y1453-X1453</f>
        <v>5</v>
      </c>
      <c r="G1453" s="1" t="n">
        <v>5</v>
      </c>
      <c r="H1453" s="3" t="s">
        <v>48</v>
      </c>
      <c r="I1453" s="3" t="s">
        <v>49</v>
      </c>
      <c r="J1453" s="3" t="s">
        <v>130</v>
      </c>
      <c r="K1453" s="2" t="str">
        <f aca="false">CONCATENATE(I1453," ",J1453)</f>
        <v>Alopecosa aculeata</v>
      </c>
      <c r="L1453" s="3" t="n">
        <f aca="false">SUM(P1453:U1453)</f>
        <v>2</v>
      </c>
      <c r="M1453" s="11" t="n">
        <f aca="false">(L1453/(F1453*G1453)*25)*4</f>
        <v>8</v>
      </c>
      <c r="N1453" s="1" t="s">
        <v>30</v>
      </c>
      <c r="O1453" s="1" t="s">
        <v>31</v>
      </c>
      <c r="P1453" s="1" t="n">
        <v>2</v>
      </c>
      <c r="Q1453" s="1" t="n">
        <v>0</v>
      </c>
      <c r="R1453" s="1" t="n">
        <v>0</v>
      </c>
      <c r="S1453" s="1" t="n">
        <v>0</v>
      </c>
      <c r="T1453" s="1" t="n">
        <v>0</v>
      </c>
      <c r="U1453" s="1" t="n">
        <v>0</v>
      </c>
      <c r="V1453" s="3" t="n">
        <f aca="false">SUM(P1453:Q1453)</f>
        <v>2</v>
      </c>
      <c r="W1453" s="3" t="n">
        <f aca="false">SUM(R1453:T1453)</f>
        <v>0</v>
      </c>
      <c r="X1453" s="10" t="n">
        <v>39969</v>
      </c>
      <c r="Y1453" s="10" t="n">
        <v>39974</v>
      </c>
    </row>
    <row r="1454" customFormat="false" ht="14.25" hidden="false" customHeight="false" outlineLevel="0" collapsed="false">
      <c r="A1454" s="1" t="n">
        <v>2009</v>
      </c>
      <c r="B1454" s="1" t="n">
        <v>1</v>
      </c>
      <c r="C1454" s="2" t="s">
        <v>44</v>
      </c>
      <c r="D1454" s="7" t="s">
        <v>45</v>
      </c>
      <c r="E1454" s="1" t="n">
        <v>3</v>
      </c>
      <c r="F1454" s="1" t="n">
        <f aca="false">Y1454-X1454</f>
        <v>5</v>
      </c>
      <c r="G1454" s="1" t="n">
        <v>5</v>
      </c>
      <c r="H1454" s="3" t="s">
        <v>48</v>
      </c>
      <c r="I1454" s="3" t="s">
        <v>122</v>
      </c>
      <c r="J1454" s="3" t="s">
        <v>123</v>
      </c>
      <c r="K1454" s="2" t="str">
        <f aca="false">CONCATENATE(I1454," ",J1454)</f>
        <v>Xerolycosa nemoralis</v>
      </c>
      <c r="L1454" s="3" t="n">
        <f aca="false">SUM(P1454:U1454)</f>
        <v>15</v>
      </c>
      <c r="M1454" s="11" t="n">
        <f aca="false">(L1454/(F1454*G1454)*25)*4</f>
        <v>60</v>
      </c>
      <c r="N1454" s="1" t="s">
        <v>30</v>
      </c>
      <c r="O1454" s="1" t="s">
        <v>31</v>
      </c>
      <c r="P1454" s="1" t="n">
        <v>15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0</v>
      </c>
      <c r="V1454" s="3" t="n">
        <f aca="false">SUM(P1454:Q1454)</f>
        <v>15</v>
      </c>
      <c r="W1454" s="3" t="n">
        <f aca="false">SUM(R1454:T1454)</f>
        <v>0</v>
      </c>
      <c r="X1454" s="10" t="n">
        <v>39969</v>
      </c>
      <c r="Y1454" s="10" t="n">
        <v>39974</v>
      </c>
    </row>
    <row r="1455" customFormat="false" ht="14.25" hidden="false" customHeight="false" outlineLevel="0" collapsed="false">
      <c r="A1455" s="1" t="n">
        <v>2009</v>
      </c>
      <c r="B1455" s="1" t="n">
        <v>1</v>
      </c>
      <c r="C1455" s="2" t="s">
        <v>44</v>
      </c>
      <c r="D1455" s="7" t="s">
        <v>45</v>
      </c>
      <c r="E1455" s="1" t="n">
        <v>3</v>
      </c>
      <c r="F1455" s="1" t="n">
        <f aca="false">Y1455-X1455</f>
        <v>5</v>
      </c>
      <c r="G1455" s="1" t="n">
        <v>5</v>
      </c>
      <c r="H1455" s="3" t="s">
        <v>48</v>
      </c>
      <c r="I1455" s="3" t="s">
        <v>122</v>
      </c>
      <c r="J1455" s="3" t="s">
        <v>123</v>
      </c>
      <c r="K1455" s="2" t="str">
        <f aca="false">CONCATENATE(I1455," ",J1455)</f>
        <v>Xerolycosa nemoralis</v>
      </c>
      <c r="L1455" s="3" t="n">
        <f aca="false">SUM(P1455:U1455)</f>
        <v>3</v>
      </c>
      <c r="M1455" s="11" t="n">
        <f aca="false">(L1455/(F1455*G1455)*25)*4</f>
        <v>12</v>
      </c>
      <c r="N1455" s="1" t="s">
        <v>30</v>
      </c>
      <c r="O1455" s="1" t="s">
        <v>35</v>
      </c>
      <c r="P1455" s="1" t="n">
        <v>0</v>
      </c>
      <c r="Q1455" s="1" t="n">
        <v>3</v>
      </c>
      <c r="R1455" s="1" t="n">
        <v>0</v>
      </c>
      <c r="S1455" s="1" t="n">
        <v>0</v>
      </c>
      <c r="T1455" s="1" t="n">
        <v>0</v>
      </c>
      <c r="U1455" s="1" t="n">
        <v>0</v>
      </c>
      <c r="V1455" s="3" t="n">
        <f aca="false">SUM(P1455:Q1455)</f>
        <v>3</v>
      </c>
      <c r="W1455" s="3" t="n">
        <f aca="false">SUM(R1455:T1455)</f>
        <v>0</v>
      </c>
      <c r="X1455" s="10" t="n">
        <v>39969</v>
      </c>
      <c r="Y1455" s="10" t="n">
        <v>39974</v>
      </c>
    </row>
    <row r="1456" customFormat="false" ht="14.25" hidden="false" customHeight="false" outlineLevel="0" collapsed="false">
      <c r="A1456" s="1" t="n">
        <v>2009</v>
      </c>
      <c r="B1456" s="1" t="n">
        <v>1</v>
      </c>
      <c r="C1456" s="2" t="s">
        <v>44</v>
      </c>
      <c r="D1456" s="7" t="s">
        <v>45</v>
      </c>
      <c r="E1456" s="1" t="n">
        <v>3</v>
      </c>
      <c r="F1456" s="1" t="n">
        <f aca="false">Y1456-X1456</f>
        <v>5</v>
      </c>
      <c r="G1456" s="1" t="n">
        <v>5</v>
      </c>
      <c r="H1456" s="3" t="s">
        <v>48</v>
      </c>
      <c r="I1456" s="3" t="s">
        <v>57</v>
      </c>
      <c r="J1456" s="3" t="s">
        <v>38</v>
      </c>
      <c r="K1456" s="2" t="str">
        <f aca="false">CONCATENATE(I1456," ",J1456)</f>
        <v>Gen sp</v>
      </c>
      <c r="L1456" s="3" t="n">
        <f aca="false">SUM(P1456:U1456)</f>
        <v>1</v>
      </c>
      <c r="M1456" s="11" t="n">
        <f aca="false">(L1456/(F1456*G1456)*25)*4</f>
        <v>4</v>
      </c>
      <c r="N1456" s="1" t="s">
        <v>19</v>
      </c>
      <c r="O1456" s="1" t="s">
        <v>54</v>
      </c>
      <c r="P1456" s="1" t="n">
        <v>0</v>
      </c>
      <c r="Q1456" s="1" t="n">
        <v>0</v>
      </c>
      <c r="R1456" s="1" t="n">
        <v>0</v>
      </c>
      <c r="S1456" s="1" t="n">
        <v>0</v>
      </c>
      <c r="T1456" s="1" t="n">
        <v>1</v>
      </c>
      <c r="U1456" s="1" t="n">
        <v>0</v>
      </c>
      <c r="V1456" s="3" t="n">
        <f aca="false">SUM(P1456:Q1456)</f>
        <v>0</v>
      </c>
      <c r="W1456" s="3" t="n">
        <f aca="false">SUM(R1456:T1456)</f>
        <v>1</v>
      </c>
      <c r="X1456" s="10" t="n">
        <v>39969</v>
      </c>
      <c r="Y1456" s="10" t="n">
        <v>39974</v>
      </c>
    </row>
    <row r="1457" customFormat="false" ht="14.25" hidden="false" customHeight="false" outlineLevel="0" collapsed="false">
      <c r="A1457" s="1" t="n">
        <v>2009</v>
      </c>
      <c r="B1457" s="1" t="n">
        <v>1</v>
      </c>
      <c r="C1457" s="2" t="s">
        <v>44</v>
      </c>
      <c r="D1457" s="7" t="s">
        <v>45</v>
      </c>
      <c r="E1457" s="1" t="n">
        <v>3</v>
      </c>
      <c r="F1457" s="1" t="n">
        <f aca="false">Y1457-X1457</f>
        <v>5</v>
      </c>
      <c r="G1457" s="1" t="n">
        <v>5</v>
      </c>
      <c r="H1457" s="3" t="s">
        <v>72</v>
      </c>
      <c r="I1457" s="3" t="s">
        <v>139</v>
      </c>
      <c r="J1457" s="3" t="s">
        <v>140</v>
      </c>
      <c r="K1457" s="2" t="str">
        <f aca="false">CONCATENATE(I1457," ",J1457)</f>
        <v>Gnaphosa muscorum</v>
      </c>
      <c r="L1457" s="3" t="n">
        <f aca="false">SUM(P1457:U1457)</f>
        <v>1</v>
      </c>
      <c r="M1457" s="11" t="n">
        <f aca="false">(L1457/(F1457*G1457)*25)*4</f>
        <v>4</v>
      </c>
      <c r="N1457" s="1" t="s">
        <v>30</v>
      </c>
      <c r="O1457" s="1" t="s">
        <v>31</v>
      </c>
      <c r="P1457" s="1" t="n">
        <v>1</v>
      </c>
      <c r="Q1457" s="1" t="n">
        <v>0</v>
      </c>
      <c r="R1457" s="1" t="n">
        <v>0</v>
      </c>
      <c r="S1457" s="1" t="n">
        <v>0</v>
      </c>
      <c r="T1457" s="1" t="n">
        <v>0</v>
      </c>
      <c r="U1457" s="1" t="n">
        <v>0</v>
      </c>
      <c r="V1457" s="3" t="n">
        <f aca="false">SUM(P1457:Q1457)</f>
        <v>1</v>
      </c>
      <c r="W1457" s="3" t="n">
        <f aca="false">SUM(R1457:T1457)</f>
        <v>0</v>
      </c>
      <c r="X1457" s="10" t="n">
        <v>39969</v>
      </c>
      <c r="Y1457" s="10" t="n">
        <v>39974</v>
      </c>
    </row>
    <row r="1458" customFormat="false" ht="14.25" hidden="false" customHeight="false" outlineLevel="0" collapsed="false">
      <c r="A1458" s="1" t="n">
        <v>2009</v>
      </c>
      <c r="B1458" s="1" t="n">
        <v>1</v>
      </c>
      <c r="C1458" s="2" t="s">
        <v>44</v>
      </c>
      <c r="D1458" s="7" t="s">
        <v>45</v>
      </c>
      <c r="E1458" s="1" t="n">
        <v>3</v>
      </c>
      <c r="F1458" s="1" t="n">
        <f aca="false">Y1458-X1458</f>
        <v>5</v>
      </c>
      <c r="G1458" s="1" t="n">
        <v>5</v>
      </c>
      <c r="H1458" s="3" t="s">
        <v>72</v>
      </c>
      <c r="I1458" s="3" t="s">
        <v>73</v>
      </c>
      <c r="J1458" s="3" t="s">
        <v>74</v>
      </c>
      <c r="K1458" s="2" t="str">
        <f aca="false">CONCATENATE(I1458," ",J1458)</f>
        <v>Zelotes subterraneus</v>
      </c>
      <c r="L1458" s="3" t="n">
        <f aca="false">SUM(P1458:U1458)</f>
        <v>1</v>
      </c>
      <c r="M1458" s="11" t="n">
        <f aca="false">(L1458/(F1458*G1458)*25)*4</f>
        <v>4</v>
      </c>
      <c r="N1458" s="1" t="s">
        <v>30</v>
      </c>
      <c r="O1458" s="1" t="s">
        <v>35</v>
      </c>
      <c r="P1458" s="1" t="n">
        <v>0</v>
      </c>
      <c r="Q1458" s="1" t="n">
        <v>1</v>
      </c>
      <c r="R1458" s="1" t="n">
        <v>0</v>
      </c>
      <c r="S1458" s="1" t="n">
        <v>0</v>
      </c>
      <c r="T1458" s="1" t="n">
        <v>0</v>
      </c>
      <c r="U1458" s="1" t="n">
        <v>0</v>
      </c>
      <c r="V1458" s="3" t="n">
        <f aca="false">SUM(P1458:Q1458)</f>
        <v>1</v>
      </c>
      <c r="W1458" s="3" t="n">
        <f aca="false">SUM(R1458:T1458)</f>
        <v>0</v>
      </c>
      <c r="X1458" s="10" t="n">
        <v>39969</v>
      </c>
      <c r="Y1458" s="10" t="n">
        <v>39974</v>
      </c>
    </row>
    <row r="1459" customFormat="false" ht="14.25" hidden="false" customHeight="false" outlineLevel="0" collapsed="false">
      <c r="A1459" s="1" t="n">
        <v>2009</v>
      </c>
      <c r="B1459" s="1" t="n">
        <v>1</v>
      </c>
      <c r="C1459" s="2" t="s">
        <v>44</v>
      </c>
      <c r="D1459" s="7" t="s">
        <v>45</v>
      </c>
      <c r="E1459" s="1" t="n">
        <v>3</v>
      </c>
      <c r="F1459" s="1" t="n">
        <f aca="false">Y1459-X1459</f>
        <v>5</v>
      </c>
      <c r="G1459" s="1" t="n">
        <v>5</v>
      </c>
      <c r="H1459" s="3" t="s">
        <v>72</v>
      </c>
      <c r="I1459" s="3" t="s">
        <v>73</v>
      </c>
      <c r="J1459" s="3" t="s">
        <v>38</v>
      </c>
      <c r="K1459" s="2" t="str">
        <f aca="false">CONCATENATE(I1459," ",J1459)</f>
        <v>Zelotes sp</v>
      </c>
      <c r="L1459" s="3" t="n">
        <f aca="false">SUM(P1459:U1459)</f>
        <v>1</v>
      </c>
      <c r="M1459" s="11" t="n">
        <f aca="false">(L1459/(F1459*G1459)*25)*4</f>
        <v>4</v>
      </c>
      <c r="N1459" s="1" t="s">
        <v>19</v>
      </c>
      <c r="O1459" s="1" t="s">
        <v>54</v>
      </c>
      <c r="P1459" s="1" t="n">
        <v>0</v>
      </c>
      <c r="Q1459" s="1" t="n">
        <v>0</v>
      </c>
      <c r="R1459" s="1" t="n">
        <v>0</v>
      </c>
      <c r="S1459" s="1" t="n">
        <v>0</v>
      </c>
      <c r="T1459" s="1" t="n">
        <v>1</v>
      </c>
      <c r="U1459" s="1" t="n">
        <v>0</v>
      </c>
      <c r="V1459" s="3" t="n">
        <f aca="false">SUM(P1459:Q1459)</f>
        <v>0</v>
      </c>
      <c r="W1459" s="3" t="n">
        <f aca="false">SUM(R1459:T1459)</f>
        <v>1</v>
      </c>
      <c r="X1459" s="10" t="n">
        <v>39969</v>
      </c>
      <c r="Y1459" s="10" t="n">
        <v>39974</v>
      </c>
    </row>
    <row r="1460" customFormat="false" ht="14.25" hidden="false" customHeight="false" outlineLevel="0" collapsed="false">
      <c r="A1460" s="1" t="n">
        <v>2009</v>
      </c>
      <c r="B1460" s="1" t="n">
        <v>1</v>
      </c>
      <c r="C1460" s="2" t="s">
        <v>44</v>
      </c>
      <c r="D1460" s="7" t="s">
        <v>45</v>
      </c>
      <c r="E1460" s="1" t="n">
        <v>3</v>
      </c>
      <c r="F1460" s="1" t="n">
        <f aca="false">Y1460-X1460</f>
        <v>5</v>
      </c>
      <c r="G1460" s="1" t="n">
        <v>5</v>
      </c>
      <c r="H1460" s="3" t="s">
        <v>32</v>
      </c>
      <c r="I1460" s="3" t="s">
        <v>90</v>
      </c>
      <c r="J1460" s="3" t="s">
        <v>91</v>
      </c>
      <c r="K1460" s="2" t="str">
        <f aca="false">CONCATENATE(I1460," ",J1460)</f>
        <v>Tapinocyba insecta</v>
      </c>
      <c r="L1460" s="3" t="n">
        <f aca="false">SUM(P1460:U1460)</f>
        <v>1</v>
      </c>
      <c r="M1460" s="11" t="n">
        <f aca="false">(L1460/(F1460*G1460)*25)*4</f>
        <v>4</v>
      </c>
      <c r="N1460" s="1" t="s">
        <v>30</v>
      </c>
      <c r="O1460" s="1" t="s">
        <v>35</v>
      </c>
      <c r="P1460" s="1" t="n">
        <v>0</v>
      </c>
      <c r="Q1460" s="1" t="n">
        <v>1</v>
      </c>
      <c r="R1460" s="1" t="n">
        <v>0</v>
      </c>
      <c r="S1460" s="1" t="n">
        <v>0</v>
      </c>
      <c r="T1460" s="1" t="n">
        <v>0</v>
      </c>
      <c r="U1460" s="1" t="n">
        <v>0</v>
      </c>
      <c r="V1460" s="3" t="n">
        <f aca="false">SUM(P1460:Q1460)</f>
        <v>1</v>
      </c>
      <c r="W1460" s="3" t="n">
        <f aca="false">SUM(R1460:T1460)</f>
        <v>0</v>
      </c>
      <c r="X1460" s="10" t="n">
        <v>39969</v>
      </c>
      <c r="Y1460" s="10" t="n">
        <v>39974</v>
      </c>
    </row>
    <row r="1461" customFormat="false" ht="14.25" hidden="false" customHeight="false" outlineLevel="0" collapsed="false">
      <c r="A1461" s="1" t="n">
        <v>2009</v>
      </c>
      <c r="B1461" s="1" t="n">
        <v>1</v>
      </c>
      <c r="C1461" s="2" t="s">
        <v>44</v>
      </c>
      <c r="D1461" s="7" t="s">
        <v>45</v>
      </c>
      <c r="E1461" s="1" t="n">
        <v>3</v>
      </c>
      <c r="F1461" s="1" t="n">
        <f aca="false">Y1461-X1461</f>
        <v>5</v>
      </c>
      <c r="G1461" s="1" t="n">
        <v>5</v>
      </c>
      <c r="H1461" s="3" t="s">
        <v>32</v>
      </c>
      <c r="I1461" s="3" t="s">
        <v>57</v>
      </c>
      <c r="J1461" s="3" t="s">
        <v>38</v>
      </c>
      <c r="K1461" s="2" t="str">
        <f aca="false">CONCATENATE(I1461," ",J1461)</f>
        <v>Gen sp</v>
      </c>
      <c r="L1461" s="3" t="n">
        <f aca="false">SUM(P1461:U1461)</f>
        <v>1</v>
      </c>
      <c r="M1461" s="11" t="n">
        <f aca="false">(L1461/(F1461*G1461)*25)*4</f>
        <v>4</v>
      </c>
      <c r="N1461" s="1" t="s">
        <v>19</v>
      </c>
      <c r="O1461" s="1" t="s">
        <v>54</v>
      </c>
      <c r="P1461" s="1" t="n">
        <v>0</v>
      </c>
      <c r="Q1461" s="1" t="n">
        <v>0</v>
      </c>
      <c r="R1461" s="1" t="n">
        <v>0</v>
      </c>
      <c r="S1461" s="1" t="n">
        <v>0</v>
      </c>
      <c r="T1461" s="1" t="n">
        <v>1</v>
      </c>
      <c r="U1461" s="1" t="n">
        <v>0</v>
      </c>
      <c r="V1461" s="3" t="n">
        <f aca="false">SUM(P1461:Q1461)</f>
        <v>0</v>
      </c>
      <c r="W1461" s="3" t="n">
        <f aca="false">SUM(R1461:T1461)</f>
        <v>1</v>
      </c>
      <c r="X1461" s="10" t="n">
        <v>39969</v>
      </c>
      <c r="Y1461" s="10" t="n">
        <v>39974</v>
      </c>
    </row>
    <row r="1462" customFormat="false" ht="14.25" hidden="false" customHeight="false" outlineLevel="0" collapsed="false">
      <c r="A1462" s="1" t="n">
        <v>2009</v>
      </c>
      <c r="B1462" s="1" t="n">
        <v>1</v>
      </c>
      <c r="C1462" s="3" t="s">
        <v>115</v>
      </c>
      <c r="D1462" s="7" t="s">
        <v>116</v>
      </c>
      <c r="E1462" s="1" t="n">
        <v>1</v>
      </c>
      <c r="F1462" s="1" t="n">
        <f aca="false">Y1462-X1462</f>
        <v>5</v>
      </c>
      <c r="G1462" s="1" t="n">
        <v>5</v>
      </c>
      <c r="H1462" s="3" t="s">
        <v>48</v>
      </c>
      <c r="I1462" s="3" t="s">
        <v>67</v>
      </c>
      <c r="J1462" s="3" t="s">
        <v>38</v>
      </c>
      <c r="K1462" s="2" t="str">
        <f aca="false">CONCATENATE(I1462," ",J1462)</f>
        <v>Pardosa sp</v>
      </c>
      <c r="L1462" s="3" t="n">
        <f aca="false">SUM(P1462:U1462)</f>
        <v>2</v>
      </c>
      <c r="M1462" s="11" t="n">
        <f aca="false">(L1462/(F1462*G1462)*25)*4</f>
        <v>8</v>
      </c>
      <c r="N1462" s="1" t="s">
        <v>19</v>
      </c>
      <c r="O1462" s="1" t="s">
        <v>54</v>
      </c>
      <c r="P1462" s="1" t="n">
        <v>0</v>
      </c>
      <c r="Q1462" s="1" t="n">
        <v>0</v>
      </c>
      <c r="R1462" s="1" t="n">
        <v>0</v>
      </c>
      <c r="S1462" s="1" t="n">
        <v>0</v>
      </c>
      <c r="T1462" s="1" t="n">
        <v>2</v>
      </c>
      <c r="U1462" s="1" t="n">
        <v>0</v>
      </c>
      <c r="V1462" s="3" t="n">
        <f aca="false">SUM(P1462:Q1462)</f>
        <v>0</v>
      </c>
      <c r="W1462" s="3" t="n">
        <f aca="false">SUM(R1462:T1462)</f>
        <v>2</v>
      </c>
      <c r="X1462" s="10" t="n">
        <v>39969</v>
      </c>
      <c r="Y1462" s="10" t="n">
        <v>39974</v>
      </c>
    </row>
    <row r="1463" customFormat="false" ht="14.25" hidden="false" customHeight="false" outlineLevel="0" collapsed="false">
      <c r="A1463" s="1" t="n">
        <v>2009</v>
      </c>
      <c r="B1463" s="1" t="n">
        <v>1</v>
      </c>
      <c r="C1463" s="3" t="s">
        <v>115</v>
      </c>
      <c r="D1463" s="7" t="s">
        <v>116</v>
      </c>
      <c r="E1463" s="1" t="n">
        <v>1</v>
      </c>
      <c r="F1463" s="1" t="n">
        <f aca="false">Y1463-X1463</f>
        <v>5</v>
      </c>
      <c r="G1463" s="1" t="n">
        <v>5</v>
      </c>
      <c r="H1463" s="3" t="s">
        <v>27</v>
      </c>
      <c r="I1463" s="3" t="s">
        <v>57</v>
      </c>
      <c r="J1463" s="3" t="s">
        <v>38</v>
      </c>
      <c r="K1463" s="2" t="str">
        <f aca="false">CONCATENATE(I1463," ",J1463)</f>
        <v>Gen sp</v>
      </c>
      <c r="L1463" s="3" t="n">
        <f aca="false">SUM(P1463:U1463)</f>
        <v>1</v>
      </c>
      <c r="M1463" s="11" t="n">
        <f aca="false">(L1463/(F1463*G1463)*25)*4</f>
        <v>4</v>
      </c>
      <c r="N1463" s="1" t="s">
        <v>19</v>
      </c>
      <c r="O1463" s="1" t="s">
        <v>54</v>
      </c>
      <c r="P1463" s="1" t="n">
        <v>0</v>
      </c>
      <c r="Q1463" s="1" t="n">
        <v>0</v>
      </c>
      <c r="R1463" s="1" t="n">
        <v>0</v>
      </c>
      <c r="S1463" s="1" t="n">
        <v>0</v>
      </c>
      <c r="T1463" s="1" t="n">
        <v>1</v>
      </c>
      <c r="U1463" s="1" t="n">
        <v>0</v>
      </c>
      <c r="V1463" s="3" t="n">
        <f aca="false">SUM(P1463:Q1463)</f>
        <v>0</v>
      </c>
      <c r="W1463" s="3" t="n">
        <f aca="false">SUM(R1463:T1463)</f>
        <v>1</v>
      </c>
      <c r="X1463" s="10" t="n">
        <v>39969</v>
      </c>
      <c r="Y1463" s="10" t="n">
        <v>39974</v>
      </c>
    </row>
    <row r="1464" customFormat="false" ht="14.25" hidden="false" customHeight="false" outlineLevel="0" collapsed="false">
      <c r="A1464" s="1" t="n">
        <v>2009</v>
      </c>
      <c r="B1464" s="1" t="n">
        <v>1</v>
      </c>
      <c r="C1464" s="3" t="s">
        <v>115</v>
      </c>
      <c r="D1464" s="7" t="s">
        <v>116</v>
      </c>
      <c r="E1464" s="1" t="n">
        <v>1</v>
      </c>
      <c r="F1464" s="1" t="n">
        <f aca="false">Y1464-X1464</f>
        <v>5</v>
      </c>
      <c r="G1464" s="1" t="n">
        <v>5</v>
      </c>
      <c r="H1464" s="3" t="s">
        <v>32</v>
      </c>
      <c r="I1464" s="3" t="s">
        <v>90</v>
      </c>
      <c r="J1464" s="3" t="s">
        <v>91</v>
      </c>
      <c r="K1464" s="2" t="str">
        <f aca="false">CONCATENATE(I1464," ",J1464)</f>
        <v>Tapinocyba insecta</v>
      </c>
      <c r="L1464" s="3" t="n">
        <f aca="false">SUM(P1464:U1464)</f>
        <v>1</v>
      </c>
      <c r="M1464" s="11" t="n">
        <f aca="false">(L1464/(F1464*G1464)*25)*4</f>
        <v>4</v>
      </c>
      <c r="N1464" s="1" t="s">
        <v>30</v>
      </c>
      <c r="O1464" s="1" t="s">
        <v>35</v>
      </c>
      <c r="P1464" s="1" t="n">
        <v>0</v>
      </c>
      <c r="Q1464" s="1" t="n">
        <v>1</v>
      </c>
      <c r="R1464" s="1" t="n">
        <v>0</v>
      </c>
      <c r="S1464" s="1" t="n">
        <v>0</v>
      </c>
      <c r="T1464" s="1" t="n">
        <v>0</v>
      </c>
      <c r="U1464" s="1" t="n">
        <v>0</v>
      </c>
      <c r="V1464" s="3" t="n">
        <f aca="false">SUM(P1464:Q1464)</f>
        <v>1</v>
      </c>
      <c r="W1464" s="3" t="n">
        <f aca="false">SUM(R1464:T1464)</f>
        <v>0</v>
      </c>
      <c r="X1464" s="10" t="n">
        <v>39969</v>
      </c>
      <c r="Y1464" s="10" t="n">
        <v>39974</v>
      </c>
    </row>
    <row r="1465" customFormat="false" ht="14.25" hidden="false" customHeight="false" outlineLevel="0" collapsed="false">
      <c r="A1465" s="1" t="n">
        <v>2009</v>
      </c>
      <c r="B1465" s="1" t="n">
        <v>1</v>
      </c>
      <c r="C1465" s="3" t="s">
        <v>115</v>
      </c>
      <c r="D1465" s="7" t="s">
        <v>116</v>
      </c>
      <c r="E1465" s="1" t="n">
        <v>1</v>
      </c>
      <c r="F1465" s="1" t="n">
        <f aca="false">Y1465-X1465</f>
        <v>5</v>
      </c>
      <c r="G1465" s="1" t="n">
        <v>5</v>
      </c>
      <c r="H1465" s="3" t="s">
        <v>32</v>
      </c>
      <c r="I1465" s="3" t="s">
        <v>161</v>
      </c>
      <c r="J1465" s="3" t="s">
        <v>162</v>
      </c>
      <c r="K1465" s="2" t="str">
        <f aca="false">CONCATENATE(I1465," ",J1465)</f>
        <v>Entelecara congenera</v>
      </c>
      <c r="L1465" s="3" t="n">
        <f aca="false">SUM(P1465:U1465)</f>
        <v>1</v>
      </c>
      <c r="M1465" s="11" t="n">
        <f aca="false">(L1465/(F1465*G1465)*25)*4</f>
        <v>4</v>
      </c>
      <c r="N1465" s="1" t="s">
        <v>30</v>
      </c>
      <c r="O1465" s="1" t="s">
        <v>31</v>
      </c>
      <c r="P1465" s="1" t="n">
        <v>1</v>
      </c>
      <c r="Q1465" s="1" t="n">
        <v>0</v>
      </c>
      <c r="R1465" s="1" t="n">
        <v>0</v>
      </c>
      <c r="S1465" s="1" t="n">
        <v>0</v>
      </c>
      <c r="T1465" s="1" t="n">
        <v>0</v>
      </c>
      <c r="U1465" s="1" t="n">
        <v>0</v>
      </c>
      <c r="V1465" s="3" t="n">
        <f aca="false">SUM(P1465:Q1465)</f>
        <v>1</v>
      </c>
      <c r="W1465" s="3" t="n">
        <f aca="false">SUM(R1465:T1465)</f>
        <v>0</v>
      </c>
      <c r="X1465" s="10" t="n">
        <v>39969</v>
      </c>
      <c r="Y1465" s="10" t="n">
        <v>39974</v>
      </c>
    </row>
    <row r="1466" customFormat="false" ht="14.25" hidden="false" customHeight="false" outlineLevel="0" collapsed="false">
      <c r="A1466" s="1" t="n">
        <v>2009</v>
      </c>
      <c r="B1466" s="1" t="n">
        <v>1</v>
      </c>
      <c r="C1466" s="3" t="s">
        <v>115</v>
      </c>
      <c r="D1466" s="7" t="s">
        <v>116</v>
      </c>
      <c r="E1466" s="1" t="n">
        <v>1</v>
      </c>
      <c r="F1466" s="1" t="n">
        <f aca="false">Y1466-X1466</f>
        <v>5</v>
      </c>
      <c r="G1466" s="1" t="n">
        <v>5</v>
      </c>
      <c r="H1466" s="3" t="s">
        <v>32</v>
      </c>
      <c r="I1466" s="3" t="s">
        <v>57</v>
      </c>
      <c r="J1466" s="3" t="s">
        <v>38</v>
      </c>
      <c r="K1466" s="2" t="str">
        <f aca="false">CONCATENATE(I1466," ",J1466)</f>
        <v>Gen sp</v>
      </c>
      <c r="L1466" s="3" t="n">
        <f aca="false">SUM(P1466:U1466)</f>
        <v>2</v>
      </c>
      <c r="M1466" s="11" t="n">
        <f aca="false">(L1466/(F1466*G1466)*25)*4</f>
        <v>8</v>
      </c>
      <c r="N1466" s="1" t="s">
        <v>19</v>
      </c>
      <c r="O1466" s="1" t="s">
        <v>54</v>
      </c>
      <c r="P1466" s="1" t="n">
        <v>0</v>
      </c>
      <c r="Q1466" s="1" t="n">
        <v>0</v>
      </c>
      <c r="R1466" s="1" t="n">
        <v>0</v>
      </c>
      <c r="S1466" s="1" t="n">
        <v>0</v>
      </c>
      <c r="T1466" s="1" t="n">
        <v>2</v>
      </c>
      <c r="U1466" s="1" t="n">
        <v>0</v>
      </c>
      <c r="V1466" s="3" t="n">
        <f aca="false">SUM(P1466:Q1466)</f>
        <v>0</v>
      </c>
      <c r="W1466" s="3" t="n">
        <f aca="false">SUM(R1466:T1466)</f>
        <v>2</v>
      </c>
      <c r="X1466" s="10" t="n">
        <v>39969</v>
      </c>
      <c r="Y1466" s="10" t="n">
        <v>39974</v>
      </c>
    </row>
    <row r="1467" customFormat="false" ht="14.25" hidden="false" customHeight="false" outlineLevel="0" collapsed="false">
      <c r="A1467" s="1" t="n">
        <v>2009</v>
      </c>
      <c r="B1467" s="1" t="n">
        <v>1</v>
      </c>
      <c r="C1467" s="3" t="s">
        <v>115</v>
      </c>
      <c r="D1467" s="7" t="s">
        <v>116</v>
      </c>
      <c r="E1467" s="1" t="n">
        <v>1</v>
      </c>
      <c r="F1467" s="1" t="n">
        <f aca="false">Y1467-X1467</f>
        <v>5</v>
      </c>
      <c r="G1467" s="1" t="n">
        <v>5</v>
      </c>
      <c r="H1467" s="13" t="s">
        <v>32</v>
      </c>
      <c r="I1467" s="13" t="s">
        <v>163</v>
      </c>
      <c r="J1467" s="14" t="s">
        <v>164</v>
      </c>
      <c r="K1467" s="2" t="str">
        <f aca="false">CONCATENATE(I1467," ",J1467)</f>
        <v>Bathyphantes gracilis</v>
      </c>
      <c r="L1467" s="3" t="n">
        <f aca="false">SUM(P1467:U1467)</f>
        <v>1</v>
      </c>
      <c r="M1467" s="11" t="n">
        <f aca="false">(L1467/(F1467*G1467)*25)*4</f>
        <v>4</v>
      </c>
      <c r="N1467" s="1" t="s">
        <v>30</v>
      </c>
      <c r="O1467" s="1" t="s">
        <v>31</v>
      </c>
      <c r="P1467" s="1" t="n">
        <v>1</v>
      </c>
      <c r="Q1467" s="1" t="n">
        <v>0</v>
      </c>
      <c r="R1467" s="1" t="n">
        <v>0</v>
      </c>
      <c r="S1467" s="1" t="n">
        <v>0</v>
      </c>
      <c r="T1467" s="1" t="n">
        <v>0</v>
      </c>
      <c r="U1467" s="1" t="n">
        <v>0</v>
      </c>
      <c r="V1467" s="3" t="n">
        <f aca="false">SUM(P1467:Q1467)</f>
        <v>1</v>
      </c>
      <c r="W1467" s="3" t="n">
        <f aca="false">SUM(R1467:T1467)</f>
        <v>0</v>
      </c>
      <c r="X1467" s="10" t="n">
        <v>39969</v>
      </c>
      <c r="Y1467" s="10" t="n">
        <v>39974</v>
      </c>
    </row>
    <row r="1468" customFormat="false" ht="14.25" hidden="false" customHeight="false" outlineLevel="0" collapsed="false">
      <c r="A1468" s="1" t="n">
        <v>2009</v>
      </c>
      <c r="B1468" s="1" t="n">
        <v>1</v>
      </c>
      <c r="C1468" s="3" t="s">
        <v>115</v>
      </c>
      <c r="D1468" s="7" t="s">
        <v>116</v>
      </c>
      <c r="E1468" s="1" t="n">
        <v>1</v>
      </c>
      <c r="F1468" s="1" t="n">
        <f aca="false">Y1468-X1468</f>
        <v>5</v>
      </c>
      <c r="G1468" s="1" t="n">
        <v>5</v>
      </c>
      <c r="H1468" s="3" t="s">
        <v>32</v>
      </c>
      <c r="I1468" s="3" t="s">
        <v>57</v>
      </c>
      <c r="J1468" s="3" t="s">
        <v>38</v>
      </c>
      <c r="K1468" s="2" t="str">
        <f aca="false">CONCATENATE(I1468," ",J1468)</f>
        <v>Gen sp</v>
      </c>
      <c r="L1468" s="3" t="n">
        <f aca="false">SUM(P1468:U1468)</f>
        <v>1</v>
      </c>
      <c r="M1468" s="11" t="n">
        <f aca="false">(L1468/(F1468*G1468)*25)*4</f>
        <v>4</v>
      </c>
      <c r="N1468" s="1" t="s">
        <v>30</v>
      </c>
      <c r="O1468" s="1" t="s">
        <v>35</v>
      </c>
      <c r="P1468" s="1" t="n">
        <v>0</v>
      </c>
      <c r="Q1468" s="1" t="n">
        <v>1</v>
      </c>
      <c r="R1468" s="1" t="n">
        <v>0</v>
      </c>
      <c r="S1468" s="1" t="n">
        <v>0</v>
      </c>
      <c r="T1468" s="1" t="n">
        <v>0</v>
      </c>
      <c r="U1468" s="1" t="n">
        <v>0</v>
      </c>
      <c r="V1468" s="3" t="n">
        <f aca="false">SUM(P1468:Q1468)</f>
        <v>1</v>
      </c>
      <c r="W1468" s="3" t="n">
        <f aca="false">SUM(R1468:T1468)</f>
        <v>0</v>
      </c>
      <c r="X1468" s="10" t="n">
        <v>39969</v>
      </c>
      <c r="Y1468" s="10" t="n">
        <v>39974</v>
      </c>
    </row>
    <row r="1469" customFormat="false" ht="14.25" hidden="false" customHeight="false" outlineLevel="0" collapsed="false">
      <c r="A1469" s="1" t="n">
        <v>2009</v>
      </c>
      <c r="B1469" s="1" t="n">
        <v>1</v>
      </c>
      <c r="C1469" s="3" t="s">
        <v>115</v>
      </c>
      <c r="D1469" s="7" t="s">
        <v>116</v>
      </c>
      <c r="E1469" s="1" t="n">
        <v>1</v>
      </c>
      <c r="F1469" s="1" t="n">
        <f aca="false">Y1469-X1469</f>
        <v>5</v>
      </c>
      <c r="G1469" s="1" t="n">
        <v>5</v>
      </c>
      <c r="H1469" s="3" t="s">
        <v>48</v>
      </c>
      <c r="I1469" s="3" t="s">
        <v>67</v>
      </c>
      <c r="J1469" s="3" t="s">
        <v>38</v>
      </c>
      <c r="K1469" s="2" t="str">
        <f aca="false">CONCATENATE(I1469," ",J1469)</f>
        <v>Pardosa sp</v>
      </c>
      <c r="L1469" s="3" t="n">
        <f aca="false">SUM(P1469:U1469)</f>
        <v>1</v>
      </c>
      <c r="M1469" s="11" t="n">
        <f aca="false">(L1469/(F1469*G1469)*25)*4</f>
        <v>4</v>
      </c>
      <c r="N1469" s="1" t="s">
        <v>19</v>
      </c>
      <c r="O1469" s="1" t="s">
        <v>54</v>
      </c>
      <c r="P1469" s="1" t="n">
        <v>0</v>
      </c>
      <c r="Q1469" s="1" t="n">
        <v>0</v>
      </c>
      <c r="R1469" s="1" t="n">
        <v>0</v>
      </c>
      <c r="S1469" s="1" t="n">
        <v>0</v>
      </c>
      <c r="T1469" s="1" t="n">
        <v>1</v>
      </c>
      <c r="U1469" s="1" t="n">
        <v>0</v>
      </c>
      <c r="V1469" s="3" t="n">
        <f aca="false">SUM(P1469:Q1469)</f>
        <v>0</v>
      </c>
      <c r="W1469" s="3" t="n">
        <f aca="false">SUM(R1469:T1469)</f>
        <v>1</v>
      </c>
      <c r="X1469" s="10" t="n">
        <v>39969</v>
      </c>
      <c r="Y1469" s="10" t="n">
        <v>39974</v>
      </c>
    </row>
    <row r="1470" customFormat="false" ht="14.25" hidden="false" customHeight="false" outlineLevel="0" collapsed="false">
      <c r="A1470" s="1" t="n">
        <v>2009</v>
      </c>
      <c r="B1470" s="1" t="n">
        <v>1</v>
      </c>
      <c r="C1470" s="3" t="s">
        <v>115</v>
      </c>
      <c r="D1470" s="7" t="s">
        <v>116</v>
      </c>
      <c r="E1470" s="1" t="n">
        <v>1</v>
      </c>
      <c r="F1470" s="1" t="n">
        <f aca="false">Y1470-X1470</f>
        <v>5</v>
      </c>
      <c r="G1470" s="1" t="n">
        <v>5</v>
      </c>
      <c r="H1470" s="3" t="s">
        <v>72</v>
      </c>
      <c r="I1470" s="3" t="s">
        <v>147</v>
      </c>
      <c r="J1470" s="3" t="s">
        <v>218</v>
      </c>
      <c r="K1470" s="2" t="str">
        <f aca="false">CONCATENATE(I1470," ",J1470)</f>
        <v>Micaria silesiaca</v>
      </c>
      <c r="L1470" s="3" t="n">
        <f aca="false">SUM(P1470:U1470)</f>
        <v>1</v>
      </c>
      <c r="M1470" s="11" t="n">
        <f aca="false">(L1470/(F1470*G1470)*25)*4</f>
        <v>4</v>
      </c>
      <c r="N1470" s="1" t="s">
        <v>30</v>
      </c>
      <c r="O1470" s="1" t="s">
        <v>31</v>
      </c>
      <c r="P1470" s="1" t="n">
        <v>1</v>
      </c>
      <c r="Q1470" s="1" t="n">
        <v>0</v>
      </c>
      <c r="R1470" s="1" t="n">
        <v>0</v>
      </c>
      <c r="S1470" s="1" t="n">
        <v>0</v>
      </c>
      <c r="T1470" s="1" t="n">
        <v>0</v>
      </c>
      <c r="U1470" s="1" t="n">
        <v>0</v>
      </c>
      <c r="V1470" s="3" t="n">
        <f aca="false">SUM(P1470:Q1470)</f>
        <v>1</v>
      </c>
      <c r="W1470" s="3" t="n">
        <f aca="false">SUM(R1470:T1470)</f>
        <v>0</v>
      </c>
      <c r="X1470" s="10" t="n">
        <v>39969</v>
      </c>
      <c r="Y1470" s="10" t="n">
        <v>39974</v>
      </c>
    </row>
    <row r="1471" customFormat="false" ht="14.25" hidden="false" customHeight="false" outlineLevel="0" collapsed="false">
      <c r="A1471" s="1" t="n">
        <v>2009</v>
      </c>
      <c r="B1471" s="1" t="n">
        <v>1</v>
      </c>
      <c r="C1471" s="3" t="s">
        <v>115</v>
      </c>
      <c r="D1471" s="7" t="s">
        <v>116</v>
      </c>
      <c r="E1471" s="1" t="n">
        <v>1</v>
      </c>
      <c r="F1471" s="1" t="n">
        <f aca="false">Y1471-X1471</f>
        <v>5</v>
      </c>
      <c r="G1471" s="1" t="n">
        <v>5</v>
      </c>
      <c r="H1471" s="3" t="s">
        <v>32</v>
      </c>
      <c r="I1471" s="3" t="s">
        <v>90</v>
      </c>
      <c r="J1471" s="3" t="s">
        <v>91</v>
      </c>
      <c r="K1471" s="2" t="str">
        <f aca="false">CONCATENATE(I1471," ",J1471)</f>
        <v>Tapinocyba insecta</v>
      </c>
      <c r="L1471" s="3" t="n">
        <f aca="false">SUM(P1471:U1471)</f>
        <v>1</v>
      </c>
      <c r="M1471" s="11" t="n">
        <f aca="false">(L1471/(F1471*G1471)*25)*4</f>
        <v>4</v>
      </c>
      <c r="N1471" s="1" t="s">
        <v>30</v>
      </c>
      <c r="O1471" s="1" t="s">
        <v>35</v>
      </c>
      <c r="P1471" s="1" t="n">
        <v>0</v>
      </c>
      <c r="Q1471" s="1" t="n">
        <v>1</v>
      </c>
      <c r="R1471" s="1" t="n">
        <v>0</v>
      </c>
      <c r="S1471" s="1" t="n">
        <v>0</v>
      </c>
      <c r="T1471" s="1" t="n">
        <v>0</v>
      </c>
      <c r="U1471" s="1" t="n">
        <v>0</v>
      </c>
      <c r="V1471" s="3" t="n">
        <f aca="false">SUM(P1471:Q1471)</f>
        <v>1</v>
      </c>
      <c r="W1471" s="3" t="n">
        <f aca="false">SUM(R1471:T1471)</f>
        <v>0</v>
      </c>
      <c r="X1471" s="10" t="n">
        <v>39969</v>
      </c>
      <c r="Y1471" s="10" t="n">
        <v>39974</v>
      </c>
    </row>
    <row r="1472" customFormat="false" ht="14.25" hidden="false" customHeight="false" outlineLevel="0" collapsed="false">
      <c r="A1472" s="1" t="n">
        <v>2009</v>
      </c>
      <c r="B1472" s="1" t="n">
        <v>1</v>
      </c>
      <c r="C1472" s="3" t="s">
        <v>115</v>
      </c>
      <c r="D1472" s="7" t="s">
        <v>116</v>
      </c>
      <c r="E1472" s="1" t="n">
        <v>1</v>
      </c>
      <c r="F1472" s="1" t="n">
        <f aca="false">Y1472-X1472</f>
        <v>5</v>
      </c>
      <c r="G1472" s="1" t="n">
        <v>5</v>
      </c>
      <c r="H1472" s="3" t="s">
        <v>32</v>
      </c>
      <c r="I1472" s="3" t="s">
        <v>57</v>
      </c>
      <c r="J1472" s="3" t="s">
        <v>38</v>
      </c>
      <c r="K1472" s="2" t="str">
        <f aca="false">CONCATENATE(I1472," ",J1472)</f>
        <v>Gen sp</v>
      </c>
      <c r="L1472" s="3" t="n">
        <f aca="false">SUM(P1472:U1472)</f>
        <v>1</v>
      </c>
      <c r="M1472" s="11" t="n">
        <f aca="false">(L1472/(F1472*G1472)*25)*4</f>
        <v>4</v>
      </c>
      <c r="N1472" s="1" t="s">
        <v>30</v>
      </c>
      <c r="O1472" s="1" t="s">
        <v>35</v>
      </c>
      <c r="P1472" s="1" t="n">
        <v>0</v>
      </c>
      <c r="Q1472" s="1" t="n">
        <v>1</v>
      </c>
      <c r="R1472" s="1" t="n">
        <v>0</v>
      </c>
      <c r="S1472" s="1" t="n">
        <v>0</v>
      </c>
      <c r="T1472" s="1" t="n">
        <v>0</v>
      </c>
      <c r="U1472" s="1" t="n">
        <v>0</v>
      </c>
      <c r="V1472" s="3" t="n">
        <f aca="false">SUM(P1472:Q1472)</f>
        <v>1</v>
      </c>
      <c r="W1472" s="3" t="n">
        <f aca="false">SUM(R1472:T1472)</f>
        <v>0</v>
      </c>
      <c r="X1472" s="10" t="n">
        <v>39969</v>
      </c>
      <c r="Y1472" s="10" t="n">
        <v>39974</v>
      </c>
    </row>
    <row r="1473" customFormat="false" ht="14.25" hidden="false" customHeight="false" outlineLevel="0" collapsed="false">
      <c r="A1473" s="1" t="n">
        <v>2009</v>
      </c>
      <c r="B1473" s="1" t="n">
        <v>1</v>
      </c>
      <c r="C1473" s="3" t="s">
        <v>115</v>
      </c>
      <c r="D1473" s="7" t="s">
        <v>116</v>
      </c>
      <c r="E1473" s="1" t="n">
        <v>1</v>
      </c>
      <c r="F1473" s="1" t="n">
        <f aca="false">Y1473-X1473</f>
        <v>5</v>
      </c>
      <c r="G1473" s="1" t="n">
        <v>5</v>
      </c>
      <c r="H1473" s="3" t="s">
        <v>32</v>
      </c>
      <c r="I1473" s="3" t="s">
        <v>57</v>
      </c>
      <c r="J1473" s="3" t="s">
        <v>38</v>
      </c>
      <c r="K1473" s="2" t="str">
        <f aca="false">CONCATENATE(I1473," ",J1473)</f>
        <v>Gen sp</v>
      </c>
      <c r="L1473" s="3" t="n">
        <f aca="false">SUM(P1473:U1473)</f>
        <v>1</v>
      </c>
      <c r="M1473" s="11" t="n">
        <f aca="false">(L1473/(F1473*G1473)*25)*4</f>
        <v>4</v>
      </c>
      <c r="N1473" s="1" t="s">
        <v>19</v>
      </c>
      <c r="O1473" s="1" t="s">
        <v>54</v>
      </c>
      <c r="P1473" s="1" t="n">
        <v>0</v>
      </c>
      <c r="Q1473" s="1" t="n">
        <v>0</v>
      </c>
      <c r="R1473" s="1" t="n">
        <v>0</v>
      </c>
      <c r="S1473" s="1" t="n">
        <v>0</v>
      </c>
      <c r="T1473" s="1" t="n">
        <v>1</v>
      </c>
      <c r="U1473" s="1" t="n">
        <v>0</v>
      </c>
      <c r="V1473" s="3" t="n">
        <f aca="false">SUM(P1473:Q1473)</f>
        <v>0</v>
      </c>
      <c r="W1473" s="3" t="n">
        <f aca="false">SUM(R1473:T1473)</f>
        <v>1</v>
      </c>
      <c r="X1473" s="10" t="n">
        <v>39969</v>
      </c>
      <c r="Y1473" s="10" t="n">
        <v>39974</v>
      </c>
    </row>
    <row r="1474" customFormat="false" ht="14.25" hidden="false" customHeight="false" outlineLevel="0" collapsed="false">
      <c r="A1474" s="1" t="n">
        <v>2009</v>
      </c>
      <c r="B1474" s="1" t="n">
        <v>1</v>
      </c>
      <c r="C1474" s="3" t="s">
        <v>115</v>
      </c>
      <c r="D1474" s="7" t="s">
        <v>116</v>
      </c>
      <c r="E1474" s="1" t="n">
        <v>1</v>
      </c>
      <c r="F1474" s="1" t="n">
        <f aca="false">Y1474-X1474</f>
        <v>5</v>
      </c>
      <c r="G1474" s="1" t="n">
        <v>5</v>
      </c>
      <c r="H1474" s="3" t="s">
        <v>48</v>
      </c>
      <c r="I1474" s="3" t="s">
        <v>67</v>
      </c>
      <c r="J1474" s="3" t="s">
        <v>38</v>
      </c>
      <c r="K1474" s="2" t="str">
        <f aca="false">CONCATENATE(I1474," ",J1474)</f>
        <v>Pardosa sp</v>
      </c>
      <c r="L1474" s="3" t="n">
        <f aca="false">SUM(P1474:U1474)</f>
        <v>2</v>
      </c>
      <c r="M1474" s="11" t="n">
        <f aca="false">(L1474/(F1474*G1474)*25)*4</f>
        <v>8</v>
      </c>
      <c r="N1474" s="1" t="s">
        <v>19</v>
      </c>
      <c r="O1474" s="1" t="s">
        <v>54</v>
      </c>
      <c r="P1474" s="1" t="n">
        <v>0</v>
      </c>
      <c r="Q1474" s="1" t="n">
        <v>0</v>
      </c>
      <c r="R1474" s="1" t="n">
        <v>0</v>
      </c>
      <c r="S1474" s="1" t="n">
        <v>0</v>
      </c>
      <c r="T1474" s="1" t="n">
        <v>2</v>
      </c>
      <c r="U1474" s="1" t="n">
        <v>0</v>
      </c>
      <c r="V1474" s="3" t="n">
        <f aca="false">SUM(P1474:Q1474)</f>
        <v>0</v>
      </c>
      <c r="W1474" s="3" t="n">
        <f aca="false">SUM(R1474:T1474)</f>
        <v>2</v>
      </c>
      <c r="X1474" s="10" t="n">
        <v>39969</v>
      </c>
      <c r="Y1474" s="10" t="n">
        <v>39974</v>
      </c>
    </row>
    <row r="1475" customFormat="false" ht="14.25" hidden="false" customHeight="false" outlineLevel="0" collapsed="false">
      <c r="A1475" s="1" t="n">
        <v>2009</v>
      </c>
      <c r="B1475" s="1" t="n">
        <v>1</v>
      </c>
      <c r="C1475" s="3" t="s">
        <v>115</v>
      </c>
      <c r="D1475" s="7" t="s">
        <v>116</v>
      </c>
      <c r="E1475" s="1" t="n">
        <v>1</v>
      </c>
      <c r="F1475" s="1" t="n">
        <f aca="false">Y1475-X1475</f>
        <v>5</v>
      </c>
      <c r="G1475" s="1" t="n">
        <v>5</v>
      </c>
      <c r="H1475" s="3" t="s">
        <v>48</v>
      </c>
      <c r="I1475" s="3" t="s">
        <v>57</v>
      </c>
      <c r="J1475" s="3" t="s">
        <v>38</v>
      </c>
      <c r="K1475" s="2" t="str">
        <f aca="false">CONCATENATE(I1475," ",J1475)</f>
        <v>Gen sp</v>
      </c>
      <c r="L1475" s="3" t="n">
        <f aca="false">SUM(P1475:U1475)</f>
        <v>1</v>
      </c>
      <c r="M1475" s="11" t="n">
        <f aca="false">(L1475/(F1475*G1475)*25)*4</f>
        <v>4</v>
      </c>
      <c r="N1475" s="1" t="s">
        <v>19</v>
      </c>
      <c r="O1475" s="1" t="s">
        <v>54</v>
      </c>
      <c r="P1475" s="1" t="n">
        <v>0</v>
      </c>
      <c r="Q1475" s="1" t="n">
        <v>0</v>
      </c>
      <c r="R1475" s="1" t="n">
        <v>0</v>
      </c>
      <c r="S1475" s="1" t="n">
        <v>0</v>
      </c>
      <c r="T1475" s="1" t="n">
        <v>1</v>
      </c>
      <c r="U1475" s="1" t="n">
        <v>0</v>
      </c>
      <c r="V1475" s="3" t="n">
        <f aca="false">SUM(P1475:Q1475)</f>
        <v>0</v>
      </c>
      <c r="W1475" s="3" t="n">
        <f aca="false">SUM(R1475:T1475)</f>
        <v>1</v>
      </c>
      <c r="X1475" s="10" t="n">
        <v>39969</v>
      </c>
      <c r="Y1475" s="10" t="n">
        <v>39974</v>
      </c>
    </row>
    <row r="1476" customFormat="false" ht="14.25" hidden="false" customHeight="false" outlineLevel="0" collapsed="false">
      <c r="A1476" s="1" t="n">
        <v>2009</v>
      </c>
      <c r="B1476" s="1" t="n">
        <v>1</v>
      </c>
      <c r="C1476" s="3" t="s">
        <v>115</v>
      </c>
      <c r="D1476" s="7" t="s">
        <v>116</v>
      </c>
      <c r="E1476" s="1" t="n">
        <v>1</v>
      </c>
      <c r="F1476" s="1" t="n">
        <f aca="false">Y1476-X1476</f>
        <v>5</v>
      </c>
      <c r="G1476" s="1" t="n">
        <v>5</v>
      </c>
      <c r="H1476" s="3" t="s">
        <v>36</v>
      </c>
      <c r="I1476" s="3" t="s">
        <v>131</v>
      </c>
      <c r="J1476" s="3" t="s">
        <v>219</v>
      </c>
      <c r="K1476" s="2" t="str">
        <f aca="false">CONCATENATE(I1476," ",J1476)</f>
        <v>Xysticus kochi</v>
      </c>
      <c r="L1476" s="3" t="n">
        <f aca="false">SUM(P1476:U1476)</f>
        <v>1</v>
      </c>
      <c r="M1476" s="11" t="n">
        <f aca="false">(L1476/(F1476*G1476)*25)*4</f>
        <v>4</v>
      </c>
      <c r="N1476" s="1" t="s">
        <v>30</v>
      </c>
      <c r="O1476" s="1" t="s">
        <v>35</v>
      </c>
      <c r="P1476" s="1" t="n">
        <v>0</v>
      </c>
      <c r="Q1476" s="1" t="n">
        <v>1</v>
      </c>
      <c r="R1476" s="1" t="n">
        <v>0</v>
      </c>
      <c r="S1476" s="1" t="n">
        <v>0</v>
      </c>
      <c r="T1476" s="1" t="n">
        <v>0</v>
      </c>
      <c r="U1476" s="1" t="n">
        <v>0</v>
      </c>
      <c r="V1476" s="3" t="n">
        <f aca="false">SUM(P1476:Q1476)</f>
        <v>1</v>
      </c>
      <c r="W1476" s="3" t="n">
        <f aca="false">SUM(R1476:T1476)</f>
        <v>0</v>
      </c>
      <c r="X1476" s="10" t="n">
        <v>39969</v>
      </c>
      <c r="Y1476" s="10" t="n">
        <v>39974</v>
      </c>
    </row>
    <row r="1477" customFormat="false" ht="14.25" hidden="false" customHeight="false" outlineLevel="0" collapsed="false">
      <c r="A1477" s="1" t="n">
        <v>2009</v>
      </c>
      <c r="B1477" s="1" t="n">
        <v>1</v>
      </c>
      <c r="C1477" s="3" t="s">
        <v>115</v>
      </c>
      <c r="D1477" s="7" t="s">
        <v>116</v>
      </c>
      <c r="E1477" s="1" t="n">
        <v>1</v>
      </c>
      <c r="F1477" s="1" t="n">
        <f aca="false">Y1477-X1477</f>
        <v>5</v>
      </c>
      <c r="G1477" s="1" t="n">
        <v>5</v>
      </c>
      <c r="H1477" s="3" t="s">
        <v>27</v>
      </c>
      <c r="I1477" s="3" t="s">
        <v>220</v>
      </c>
      <c r="J1477" s="3" t="s">
        <v>221</v>
      </c>
      <c r="K1477" s="2" t="str">
        <f aca="false">CONCATENATE(I1477," ",J1477)</f>
        <v>Steatoda albomaculata</v>
      </c>
      <c r="L1477" s="3" t="n">
        <f aca="false">SUM(P1477:U1477)</f>
        <v>1</v>
      </c>
      <c r="M1477" s="11" t="n">
        <f aca="false">(L1477/(F1477*G1477)*25)*4</f>
        <v>4</v>
      </c>
      <c r="N1477" s="1" t="s">
        <v>30</v>
      </c>
      <c r="O1477" s="1" t="s">
        <v>31</v>
      </c>
      <c r="P1477" s="1" t="n">
        <v>1</v>
      </c>
      <c r="Q1477" s="1" t="n">
        <v>0</v>
      </c>
      <c r="R1477" s="1" t="n">
        <v>0</v>
      </c>
      <c r="S1477" s="1" t="n">
        <v>0</v>
      </c>
      <c r="T1477" s="1" t="n">
        <v>0</v>
      </c>
      <c r="U1477" s="1" t="n">
        <v>0</v>
      </c>
      <c r="V1477" s="3" t="n">
        <f aca="false">SUM(P1477:Q1477)</f>
        <v>1</v>
      </c>
      <c r="W1477" s="3" t="n">
        <f aca="false">SUM(R1477:T1477)</f>
        <v>0</v>
      </c>
      <c r="X1477" s="10" t="n">
        <v>39969</v>
      </c>
      <c r="Y1477" s="10" t="n">
        <v>39974</v>
      </c>
    </row>
    <row r="1478" customFormat="false" ht="14.25" hidden="false" customHeight="false" outlineLevel="0" collapsed="false">
      <c r="A1478" s="1" t="n">
        <v>2009</v>
      </c>
      <c r="B1478" s="1" t="n">
        <v>1</v>
      </c>
      <c r="C1478" s="3" t="s">
        <v>115</v>
      </c>
      <c r="D1478" s="7" t="s">
        <v>116</v>
      </c>
      <c r="E1478" s="1" t="n">
        <v>1</v>
      </c>
      <c r="F1478" s="1" t="n">
        <f aca="false">Y1478-X1478</f>
        <v>5</v>
      </c>
      <c r="G1478" s="1" t="n">
        <v>5</v>
      </c>
      <c r="H1478" s="3" t="s">
        <v>32</v>
      </c>
      <c r="I1478" s="3" t="s">
        <v>102</v>
      </c>
      <c r="J1478" s="3" t="s">
        <v>103</v>
      </c>
      <c r="K1478" s="2" t="str">
        <f aca="false">CONCATENATE(I1478," ",J1478)</f>
        <v>Agyneta olivacea</v>
      </c>
      <c r="L1478" s="3" t="n">
        <f aca="false">SUM(P1478:U1478)</f>
        <v>1</v>
      </c>
      <c r="M1478" s="11" t="n">
        <f aca="false">(L1478/(F1478*G1478)*25)*4</f>
        <v>4</v>
      </c>
      <c r="N1478" s="1" t="s">
        <v>30</v>
      </c>
      <c r="O1478" s="1" t="s">
        <v>31</v>
      </c>
      <c r="P1478" s="1" t="n">
        <v>1</v>
      </c>
      <c r="Q1478" s="1" t="n">
        <v>0</v>
      </c>
      <c r="R1478" s="1" t="n">
        <v>0</v>
      </c>
      <c r="S1478" s="1" t="n">
        <v>0</v>
      </c>
      <c r="T1478" s="1" t="n">
        <v>0</v>
      </c>
      <c r="U1478" s="1" t="n">
        <v>0</v>
      </c>
      <c r="V1478" s="3" t="n">
        <f aca="false">SUM(P1478:Q1478)</f>
        <v>1</v>
      </c>
      <c r="W1478" s="3" t="n">
        <f aca="false">SUM(R1478:T1478)</f>
        <v>0</v>
      </c>
      <c r="X1478" s="10" t="n">
        <v>39969</v>
      </c>
      <c r="Y1478" s="10" t="n">
        <v>39974</v>
      </c>
    </row>
    <row r="1479" customFormat="false" ht="14.25" hidden="false" customHeight="false" outlineLevel="0" collapsed="false">
      <c r="A1479" s="1" t="n">
        <v>2009</v>
      </c>
      <c r="B1479" s="1" t="n">
        <v>1</v>
      </c>
      <c r="C1479" s="3" t="s">
        <v>115</v>
      </c>
      <c r="D1479" s="7" t="s">
        <v>116</v>
      </c>
      <c r="E1479" s="1" t="n">
        <v>1</v>
      </c>
      <c r="F1479" s="1" t="n">
        <f aca="false">Y1479-X1479</f>
        <v>5</v>
      </c>
      <c r="G1479" s="1" t="n">
        <v>5</v>
      </c>
      <c r="H1479" s="3" t="s">
        <v>32</v>
      </c>
      <c r="I1479" s="3" t="s">
        <v>102</v>
      </c>
      <c r="J1479" s="3" t="s">
        <v>103</v>
      </c>
      <c r="K1479" s="2" t="str">
        <f aca="false">CONCATENATE(I1479," ",J1479)</f>
        <v>Agyneta olivacea</v>
      </c>
      <c r="L1479" s="3" t="n">
        <f aca="false">SUM(P1479:U1479)</f>
        <v>1</v>
      </c>
      <c r="M1479" s="11" t="n">
        <f aca="false">(L1479/(F1479*G1479)*25)*4</f>
        <v>4</v>
      </c>
      <c r="N1479" s="1" t="s">
        <v>30</v>
      </c>
      <c r="O1479" s="1" t="s">
        <v>35</v>
      </c>
      <c r="P1479" s="1" t="n">
        <v>0</v>
      </c>
      <c r="Q1479" s="1" t="n">
        <v>1</v>
      </c>
      <c r="R1479" s="1" t="n">
        <v>0</v>
      </c>
      <c r="S1479" s="1" t="n">
        <v>0</v>
      </c>
      <c r="T1479" s="1" t="n">
        <v>0</v>
      </c>
      <c r="U1479" s="1" t="n">
        <v>0</v>
      </c>
      <c r="V1479" s="3" t="n">
        <f aca="false">SUM(P1479:Q1479)</f>
        <v>1</v>
      </c>
      <c r="W1479" s="3" t="n">
        <f aca="false">SUM(R1479:T1479)</f>
        <v>0</v>
      </c>
      <c r="X1479" s="10" t="n">
        <v>39969</v>
      </c>
      <c r="Y1479" s="10" t="n">
        <v>39974</v>
      </c>
    </row>
    <row r="1480" customFormat="false" ht="14.25" hidden="false" customHeight="false" outlineLevel="0" collapsed="false">
      <c r="A1480" s="1" t="n">
        <v>2009</v>
      </c>
      <c r="B1480" s="1" t="n">
        <v>1</v>
      </c>
      <c r="C1480" s="3" t="s">
        <v>115</v>
      </c>
      <c r="D1480" s="7" t="s">
        <v>116</v>
      </c>
      <c r="E1480" s="1" t="n">
        <v>2</v>
      </c>
      <c r="F1480" s="1" t="n">
        <f aca="false">Y1480-X1480</f>
        <v>5</v>
      </c>
      <c r="G1480" s="1" t="n">
        <v>5</v>
      </c>
      <c r="H1480" s="3" t="s">
        <v>27</v>
      </c>
      <c r="I1480" s="3" t="s">
        <v>220</v>
      </c>
      <c r="J1480" s="3" t="s">
        <v>221</v>
      </c>
      <c r="K1480" s="2" t="str">
        <f aca="false">CONCATENATE(I1480," ",J1480)</f>
        <v>Steatoda albomaculata</v>
      </c>
      <c r="L1480" s="3" t="n">
        <f aca="false">SUM(P1480:U1480)</f>
        <v>1</v>
      </c>
      <c r="M1480" s="11" t="n">
        <f aca="false">(L1480/(F1480*G1480)*25)*4</f>
        <v>4</v>
      </c>
      <c r="N1480" s="1" t="s">
        <v>30</v>
      </c>
      <c r="O1480" s="1" t="s">
        <v>31</v>
      </c>
      <c r="P1480" s="1" t="n">
        <v>1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0</v>
      </c>
      <c r="V1480" s="3" t="n">
        <f aca="false">SUM(P1480:Q1480)</f>
        <v>1</v>
      </c>
      <c r="W1480" s="3" t="n">
        <f aca="false">SUM(R1480:T1480)</f>
        <v>0</v>
      </c>
      <c r="X1480" s="10" t="n">
        <v>39969</v>
      </c>
      <c r="Y1480" s="10" t="n">
        <v>39974</v>
      </c>
    </row>
    <row r="1481" customFormat="false" ht="14.25" hidden="false" customHeight="false" outlineLevel="0" collapsed="false">
      <c r="A1481" s="1" t="n">
        <v>2009</v>
      </c>
      <c r="B1481" s="1" t="n">
        <v>1</v>
      </c>
      <c r="C1481" s="3" t="s">
        <v>115</v>
      </c>
      <c r="D1481" s="7" t="s">
        <v>116</v>
      </c>
      <c r="E1481" s="1" t="n">
        <v>2</v>
      </c>
      <c r="F1481" s="1" t="n">
        <f aca="false">Y1481-X1481</f>
        <v>5</v>
      </c>
      <c r="G1481" s="1" t="n">
        <v>5</v>
      </c>
      <c r="H1481" s="3" t="s">
        <v>27</v>
      </c>
      <c r="I1481" s="3" t="s">
        <v>28</v>
      </c>
      <c r="J1481" s="3" t="s">
        <v>38</v>
      </c>
      <c r="K1481" s="2" t="str">
        <f aca="false">CONCATENATE(I1481," ",J1481)</f>
        <v>Robertus sp</v>
      </c>
      <c r="L1481" s="3" t="n">
        <f aca="false">SUM(P1481:U1481)</f>
        <v>1</v>
      </c>
      <c r="M1481" s="11" t="n">
        <f aca="false">(L1481/(F1481*G1481)*25)*4</f>
        <v>4</v>
      </c>
      <c r="N1481" s="1" t="s">
        <v>19</v>
      </c>
      <c r="O1481" s="1" t="s">
        <v>54</v>
      </c>
      <c r="P1481" s="1" t="n">
        <v>0</v>
      </c>
      <c r="Q1481" s="1" t="n">
        <v>0</v>
      </c>
      <c r="R1481" s="1" t="n">
        <v>0</v>
      </c>
      <c r="S1481" s="1" t="n">
        <v>0</v>
      </c>
      <c r="T1481" s="1" t="n">
        <v>1</v>
      </c>
      <c r="U1481" s="1" t="n">
        <v>0</v>
      </c>
      <c r="V1481" s="3" t="n">
        <f aca="false">SUM(P1481:Q1481)</f>
        <v>0</v>
      </c>
      <c r="W1481" s="3" t="n">
        <f aca="false">SUM(R1481:T1481)</f>
        <v>1</v>
      </c>
      <c r="X1481" s="10" t="n">
        <v>39969</v>
      </c>
      <c r="Y1481" s="10" t="n">
        <v>39974</v>
      </c>
    </row>
    <row r="1482" customFormat="false" ht="14.25" hidden="false" customHeight="false" outlineLevel="0" collapsed="false">
      <c r="A1482" s="1" t="n">
        <v>2009</v>
      </c>
      <c r="B1482" s="1" t="n">
        <v>1</v>
      </c>
      <c r="C1482" s="3" t="s">
        <v>115</v>
      </c>
      <c r="D1482" s="7" t="s">
        <v>116</v>
      </c>
      <c r="E1482" s="1" t="n">
        <v>2</v>
      </c>
      <c r="F1482" s="1" t="n">
        <f aca="false">Y1482-X1482</f>
        <v>5</v>
      </c>
      <c r="G1482" s="1" t="n">
        <v>5</v>
      </c>
      <c r="H1482" s="3" t="s">
        <v>48</v>
      </c>
      <c r="I1482" s="3" t="s">
        <v>67</v>
      </c>
      <c r="J1482" s="3" t="s">
        <v>38</v>
      </c>
      <c r="K1482" s="2" t="str">
        <f aca="false">CONCATENATE(I1482," ",J1482)</f>
        <v>Pardosa sp</v>
      </c>
      <c r="L1482" s="3" t="n">
        <f aca="false">SUM(P1482:U1482)</f>
        <v>2</v>
      </c>
      <c r="M1482" s="11" t="n">
        <f aca="false">(L1482/(F1482*G1482)*25)*4</f>
        <v>8</v>
      </c>
      <c r="N1482" s="1" t="s">
        <v>19</v>
      </c>
      <c r="O1482" s="1" t="s">
        <v>54</v>
      </c>
      <c r="P1482" s="1" t="n">
        <v>0</v>
      </c>
      <c r="Q1482" s="1" t="n">
        <v>0</v>
      </c>
      <c r="R1482" s="1" t="n">
        <v>0</v>
      </c>
      <c r="S1482" s="1" t="n">
        <v>0</v>
      </c>
      <c r="T1482" s="1" t="n">
        <v>2</v>
      </c>
      <c r="U1482" s="1" t="n">
        <v>0</v>
      </c>
      <c r="V1482" s="3" t="n">
        <f aca="false">SUM(P1482:Q1482)</f>
        <v>0</v>
      </c>
      <c r="W1482" s="3" t="n">
        <f aca="false">SUM(R1482:T1482)</f>
        <v>2</v>
      </c>
      <c r="X1482" s="10" t="n">
        <v>39969</v>
      </c>
      <c r="Y1482" s="10" t="n">
        <v>39974</v>
      </c>
    </row>
    <row r="1483" customFormat="false" ht="14.25" hidden="false" customHeight="false" outlineLevel="0" collapsed="false">
      <c r="A1483" s="1" t="n">
        <v>2009</v>
      </c>
      <c r="B1483" s="1" t="n">
        <v>1</v>
      </c>
      <c r="C1483" s="3" t="s">
        <v>115</v>
      </c>
      <c r="D1483" s="7" t="s">
        <v>116</v>
      </c>
      <c r="E1483" s="1" t="n">
        <v>2</v>
      </c>
      <c r="F1483" s="1" t="n">
        <f aca="false">Y1483-X1483</f>
        <v>5</v>
      </c>
      <c r="G1483" s="1" t="n">
        <v>5</v>
      </c>
      <c r="H1483" s="3" t="s">
        <v>72</v>
      </c>
      <c r="I1483" s="3" t="s">
        <v>86</v>
      </c>
      <c r="J1483" s="3" t="s">
        <v>38</v>
      </c>
      <c r="K1483" s="2" t="str">
        <f aca="false">CONCATENATE(I1483," ",J1483)</f>
        <v>Haplodrassus sp</v>
      </c>
      <c r="L1483" s="3" t="n">
        <f aca="false">SUM(P1483:U1483)</f>
        <v>1</v>
      </c>
      <c r="M1483" s="11" t="n">
        <f aca="false">(L1483/(F1483*G1483)*25)*4</f>
        <v>4</v>
      </c>
      <c r="N1483" s="1" t="s">
        <v>19</v>
      </c>
      <c r="O1483" s="1" t="s">
        <v>54</v>
      </c>
      <c r="P1483" s="1" t="n">
        <v>0</v>
      </c>
      <c r="Q1483" s="1" t="n">
        <v>0</v>
      </c>
      <c r="R1483" s="1" t="n">
        <v>0</v>
      </c>
      <c r="S1483" s="1" t="n">
        <v>0</v>
      </c>
      <c r="T1483" s="1" t="n">
        <v>1</v>
      </c>
      <c r="U1483" s="1" t="n">
        <v>0</v>
      </c>
      <c r="V1483" s="3" t="n">
        <f aca="false">SUM(P1483:Q1483)</f>
        <v>0</v>
      </c>
      <c r="W1483" s="3" t="n">
        <f aca="false">SUM(R1483:T1483)</f>
        <v>1</v>
      </c>
      <c r="X1483" s="10" t="n">
        <v>39969</v>
      </c>
      <c r="Y1483" s="10" t="n">
        <v>39974</v>
      </c>
    </row>
    <row r="1484" customFormat="false" ht="14.25" hidden="false" customHeight="false" outlineLevel="0" collapsed="false">
      <c r="A1484" s="1" t="n">
        <v>2009</v>
      </c>
      <c r="B1484" s="1" t="n">
        <v>1</v>
      </c>
      <c r="C1484" s="3" t="s">
        <v>115</v>
      </c>
      <c r="D1484" s="7" t="s">
        <v>116</v>
      </c>
      <c r="E1484" s="1" t="n">
        <v>2</v>
      </c>
      <c r="F1484" s="1" t="n">
        <f aca="false">Y1484-X1484</f>
        <v>5</v>
      </c>
      <c r="G1484" s="1" t="n">
        <v>5</v>
      </c>
      <c r="H1484" s="3" t="s">
        <v>48</v>
      </c>
      <c r="I1484" s="3" t="s">
        <v>67</v>
      </c>
      <c r="J1484" s="3" t="s">
        <v>38</v>
      </c>
      <c r="K1484" s="2" t="str">
        <f aca="false">CONCATENATE(I1484," ",J1484)</f>
        <v>Pardosa sp</v>
      </c>
      <c r="L1484" s="3" t="n">
        <f aca="false">SUM(P1484:U1484)</f>
        <v>1</v>
      </c>
      <c r="M1484" s="11" t="n">
        <f aca="false">(L1484/(F1484*G1484)*25)*4</f>
        <v>4</v>
      </c>
      <c r="N1484" s="1" t="s">
        <v>19</v>
      </c>
      <c r="O1484" s="1" t="s">
        <v>54</v>
      </c>
      <c r="P1484" s="1" t="n">
        <v>0</v>
      </c>
      <c r="Q1484" s="1" t="n">
        <v>0</v>
      </c>
      <c r="R1484" s="1" t="n">
        <v>0</v>
      </c>
      <c r="S1484" s="1" t="n">
        <v>0</v>
      </c>
      <c r="T1484" s="1" t="n">
        <v>1</v>
      </c>
      <c r="U1484" s="1" t="n">
        <v>0</v>
      </c>
      <c r="V1484" s="3" t="n">
        <f aca="false">SUM(P1484:Q1484)</f>
        <v>0</v>
      </c>
      <c r="W1484" s="3" t="n">
        <f aca="false">SUM(R1484:T1484)</f>
        <v>1</v>
      </c>
      <c r="X1484" s="10" t="n">
        <v>39969</v>
      </c>
      <c r="Y1484" s="10" t="n">
        <v>39974</v>
      </c>
    </row>
    <row r="1485" customFormat="false" ht="14.25" hidden="false" customHeight="false" outlineLevel="0" collapsed="false">
      <c r="A1485" s="1" t="n">
        <v>2009</v>
      </c>
      <c r="B1485" s="1" t="n">
        <v>1</v>
      </c>
      <c r="C1485" s="3" t="s">
        <v>115</v>
      </c>
      <c r="D1485" s="7" t="s">
        <v>116</v>
      </c>
      <c r="E1485" s="1" t="n">
        <v>2</v>
      </c>
      <c r="F1485" s="1" t="n">
        <f aca="false">Y1485-X1485</f>
        <v>5</v>
      </c>
      <c r="G1485" s="1" t="n">
        <v>5</v>
      </c>
      <c r="H1485" s="3" t="s">
        <v>135</v>
      </c>
      <c r="I1485" s="3" t="s">
        <v>216</v>
      </c>
      <c r="J1485" s="3" t="s">
        <v>38</v>
      </c>
      <c r="K1485" s="2" t="str">
        <f aca="false">CONCATENATE(I1485," ",J1485)</f>
        <v>Philodromus sp</v>
      </c>
      <c r="L1485" s="3" t="n">
        <f aca="false">SUM(P1485:U1485)</f>
        <v>1</v>
      </c>
      <c r="M1485" s="11" t="n">
        <f aca="false">(L1485/(F1485*G1485)*25)*4</f>
        <v>4</v>
      </c>
      <c r="N1485" s="1" t="s">
        <v>19</v>
      </c>
      <c r="O1485" s="1" t="s">
        <v>54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1</v>
      </c>
      <c r="U1485" s="1" t="n">
        <v>0</v>
      </c>
      <c r="V1485" s="3" t="n">
        <f aca="false">SUM(P1485:Q1485)</f>
        <v>0</v>
      </c>
      <c r="W1485" s="3" t="n">
        <f aca="false">SUM(R1485:T1485)</f>
        <v>1</v>
      </c>
      <c r="X1485" s="10" t="n">
        <v>39969</v>
      </c>
      <c r="Y1485" s="10" t="n">
        <v>39974</v>
      </c>
    </row>
    <row r="1486" customFormat="false" ht="14.25" hidden="false" customHeight="false" outlineLevel="0" collapsed="false">
      <c r="A1486" s="1" t="n">
        <v>2009</v>
      </c>
      <c r="B1486" s="1" t="n">
        <v>1</v>
      </c>
      <c r="C1486" s="3" t="s">
        <v>115</v>
      </c>
      <c r="D1486" s="7" t="s">
        <v>116</v>
      </c>
      <c r="E1486" s="1" t="n">
        <v>2</v>
      </c>
      <c r="F1486" s="1" t="n">
        <f aca="false">Y1486-X1486</f>
        <v>5</v>
      </c>
      <c r="G1486" s="1" t="n">
        <v>5</v>
      </c>
      <c r="H1486" s="3" t="s">
        <v>48</v>
      </c>
      <c r="I1486" s="3" t="s">
        <v>67</v>
      </c>
      <c r="J1486" s="3" t="s">
        <v>38</v>
      </c>
      <c r="K1486" s="2" t="str">
        <f aca="false">CONCATENATE(I1486," ",J1486)</f>
        <v>Pardosa sp</v>
      </c>
      <c r="L1486" s="3" t="n">
        <f aca="false">SUM(P1486:U1486)</f>
        <v>3</v>
      </c>
      <c r="M1486" s="11" t="n">
        <f aca="false">(L1486/(F1486*G1486)*25)*4</f>
        <v>12</v>
      </c>
      <c r="N1486" s="1" t="s">
        <v>19</v>
      </c>
      <c r="O1486" s="1" t="s">
        <v>54</v>
      </c>
      <c r="P1486" s="1" t="n">
        <v>0</v>
      </c>
      <c r="Q1486" s="1" t="n">
        <v>0</v>
      </c>
      <c r="R1486" s="1" t="n">
        <v>0</v>
      </c>
      <c r="S1486" s="1" t="n">
        <v>0</v>
      </c>
      <c r="T1486" s="1" t="n">
        <v>3</v>
      </c>
      <c r="U1486" s="1" t="n">
        <v>0</v>
      </c>
      <c r="V1486" s="3" t="n">
        <f aca="false">SUM(P1486:Q1486)</f>
        <v>0</v>
      </c>
      <c r="W1486" s="3" t="n">
        <f aca="false">SUM(R1486:T1486)</f>
        <v>3</v>
      </c>
      <c r="X1486" s="10" t="n">
        <v>39969</v>
      </c>
      <c r="Y1486" s="10" t="n">
        <v>39974</v>
      </c>
    </row>
    <row r="1487" customFormat="false" ht="14.25" hidden="false" customHeight="false" outlineLevel="0" collapsed="false">
      <c r="A1487" s="1" t="n">
        <v>2009</v>
      </c>
      <c r="B1487" s="1" t="n">
        <v>1</v>
      </c>
      <c r="C1487" s="3" t="s">
        <v>115</v>
      </c>
      <c r="D1487" s="7" t="s">
        <v>116</v>
      </c>
      <c r="E1487" s="1" t="n">
        <v>2</v>
      </c>
      <c r="F1487" s="1" t="n">
        <f aca="false">Y1487-X1487</f>
        <v>5</v>
      </c>
      <c r="G1487" s="1" t="n">
        <v>5</v>
      </c>
      <c r="H1487" s="3" t="s">
        <v>72</v>
      </c>
      <c r="I1487" s="3" t="s">
        <v>150</v>
      </c>
      <c r="J1487" s="3" t="s">
        <v>222</v>
      </c>
      <c r="K1487" s="2" t="str">
        <f aca="false">CONCATENATE(I1487," ",J1487)</f>
        <v>Drassodes pubescens</v>
      </c>
      <c r="L1487" s="3" t="n">
        <f aca="false">SUM(P1487:U1487)</f>
        <v>1</v>
      </c>
      <c r="M1487" s="11" t="n">
        <f aca="false">(L1487/(F1487*G1487)*25)*4</f>
        <v>4</v>
      </c>
      <c r="N1487" s="1" t="s">
        <v>30</v>
      </c>
      <c r="O1487" s="1" t="s">
        <v>31</v>
      </c>
      <c r="P1487" s="1" t="n">
        <v>1</v>
      </c>
      <c r="Q1487" s="1" t="n">
        <v>0</v>
      </c>
      <c r="R1487" s="1" t="n">
        <v>0</v>
      </c>
      <c r="S1487" s="1" t="n">
        <v>0</v>
      </c>
      <c r="T1487" s="1" t="n">
        <v>0</v>
      </c>
      <c r="U1487" s="1" t="n">
        <v>0</v>
      </c>
      <c r="V1487" s="3" t="n">
        <f aca="false">SUM(P1487:Q1487)</f>
        <v>1</v>
      </c>
      <c r="W1487" s="3" t="n">
        <f aca="false">SUM(R1487:T1487)</f>
        <v>0</v>
      </c>
      <c r="X1487" s="10" t="n">
        <v>39969</v>
      </c>
      <c r="Y1487" s="10" t="n">
        <v>39974</v>
      </c>
    </row>
    <row r="1488" customFormat="false" ht="14.25" hidden="false" customHeight="false" outlineLevel="0" collapsed="false">
      <c r="A1488" s="1" t="n">
        <v>2009</v>
      </c>
      <c r="B1488" s="1" t="n">
        <v>1</v>
      </c>
      <c r="C1488" s="3" t="s">
        <v>115</v>
      </c>
      <c r="D1488" s="7" t="s">
        <v>116</v>
      </c>
      <c r="E1488" s="1" t="n">
        <v>2</v>
      </c>
      <c r="F1488" s="1" t="n">
        <f aca="false">Y1488-X1488</f>
        <v>5</v>
      </c>
      <c r="G1488" s="1" t="n">
        <v>5</v>
      </c>
      <c r="H1488" s="3" t="s">
        <v>27</v>
      </c>
      <c r="I1488" s="3" t="s">
        <v>220</v>
      </c>
      <c r="J1488" s="3" t="s">
        <v>221</v>
      </c>
      <c r="K1488" s="2" t="str">
        <f aca="false">CONCATENATE(I1488," ",J1488)</f>
        <v>Steatoda albomaculata</v>
      </c>
      <c r="L1488" s="3" t="n">
        <f aca="false">SUM(P1488:U1488)</f>
        <v>1</v>
      </c>
      <c r="M1488" s="11" t="n">
        <f aca="false">(L1488/(F1488*G1488)*25)*4</f>
        <v>4</v>
      </c>
      <c r="N1488" s="1" t="s">
        <v>30</v>
      </c>
      <c r="O1488" s="1" t="s">
        <v>31</v>
      </c>
      <c r="P1488" s="1" t="n">
        <v>1</v>
      </c>
      <c r="Q1488" s="1" t="n">
        <v>0</v>
      </c>
      <c r="R1488" s="1" t="n">
        <v>0</v>
      </c>
      <c r="S1488" s="1" t="n">
        <v>0</v>
      </c>
      <c r="T1488" s="1" t="n">
        <v>0</v>
      </c>
      <c r="U1488" s="1" t="n">
        <v>0</v>
      </c>
      <c r="V1488" s="3" t="n">
        <f aca="false">SUM(P1488:Q1488)</f>
        <v>1</v>
      </c>
      <c r="W1488" s="3" t="n">
        <f aca="false">SUM(R1488:T1488)</f>
        <v>0</v>
      </c>
      <c r="X1488" s="10" t="n">
        <v>39969</v>
      </c>
      <c r="Y1488" s="10" t="n">
        <v>39974</v>
      </c>
    </row>
    <row r="1489" customFormat="false" ht="14.25" hidden="false" customHeight="false" outlineLevel="0" collapsed="false">
      <c r="A1489" s="1" t="n">
        <v>2009</v>
      </c>
      <c r="B1489" s="1" t="n">
        <v>1</v>
      </c>
      <c r="C1489" s="3" t="s">
        <v>115</v>
      </c>
      <c r="D1489" s="7" t="s">
        <v>116</v>
      </c>
      <c r="E1489" s="1" t="n">
        <v>2</v>
      </c>
      <c r="F1489" s="1" t="n">
        <f aca="false">Y1489-X1489</f>
        <v>5</v>
      </c>
      <c r="G1489" s="1" t="n">
        <v>5</v>
      </c>
      <c r="H1489" s="3" t="s">
        <v>27</v>
      </c>
      <c r="I1489" s="3" t="s">
        <v>57</v>
      </c>
      <c r="J1489" s="3" t="s">
        <v>38</v>
      </c>
      <c r="K1489" s="2" t="str">
        <f aca="false">CONCATENATE(I1489," ",J1489)</f>
        <v>Gen sp</v>
      </c>
      <c r="L1489" s="3" t="n">
        <f aca="false">SUM(P1489:U1489)</f>
        <v>1</v>
      </c>
      <c r="M1489" s="11" t="n">
        <f aca="false">(L1489/(F1489*G1489)*25)*4</f>
        <v>4</v>
      </c>
      <c r="N1489" s="1" t="s">
        <v>19</v>
      </c>
      <c r="O1489" s="1" t="s">
        <v>54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 t="n">
        <v>1</v>
      </c>
      <c r="U1489" s="1" t="n">
        <v>0</v>
      </c>
      <c r="V1489" s="3" t="n">
        <f aca="false">SUM(P1489:Q1489)</f>
        <v>0</v>
      </c>
      <c r="W1489" s="3" t="n">
        <f aca="false">SUM(R1489:T1489)</f>
        <v>1</v>
      </c>
      <c r="X1489" s="10" t="n">
        <v>39969</v>
      </c>
      <c r="Y1489" s="10" t="n">
        <v>39974</v>
      </c>
    </row>
    <row r="1490" customFormat="false" ht="14.25" hidden="false" customHeight="false" outlineLevel="0" collapsed="false">
      <c r="A1490" s="1" t="n">
        <v>2009</v>
      </c>
      <c r="B1490" s="1" t="n">
        <v>1</v>
      </c>
      <c r="C1490" s="3" t="s">
        <v>115</v>
      </c>
      <c r="D1490" s="7" t="s">
        <v>116</v>
      </c>
      <c r="E1490" s="1" t="n">
        <v>2</v>
      </c>
      <c r="F1490" s="1" t="n">
        <f aca="false">Y1490-X1490</f>
        <v>5</v>
      </c>
      <c r="G1490" s="1" t="n">
        <v>5</v>
      </c>
      <c r="H1490" s="3" t="s">
        <v>32</v>
      </c>
      <c r="I1490" s="3" t="s">
        <v>90</v>
      </c>
      <c r="J1490" s="3" t="s">
        <v>91</v>
      </c>
      <c r="K1490" s="2" t="str">
        <f aca="false">CONCATENATE(I1490," ",J1490)</f>
        <v>Tapinocyba insecta</v>
      </c>
      <c r="L1490" s="3" t="n">
        <f aca="false">SUM(P1490:U1490)</f>
        <v>1</v>
      </c>
      <c r="M1490" s="11" t="n">
        <f aca="false">(L1490/(F1490*G1490)*25)*4</f>
        <v>4</v>
      </c>
      <c r="N1490" s="1" t="s">
        <v>30</v>
      </c>
      <c r="O1490" s="1" t="s">
        <v>35</v>
      </c>
      <c r="P1490" s="1" t="n">
        <v>0</v>
      </c>
      <c r="Q1490" s="1" t="n">
        <v>1</v>
      </c>
      <c r="R1490" s="1" t="n">
        <v>0</v>
      </c>
      <c r="S1490" s="1" t="n">
        <v>0</v>
      </c>
      <c r="T1490" s="1" t="n">
        <v>0</v>
      </c>
      <c r="U1490" s="1" t="n">
        <v>0</v>
      </c>
      <c r="V1490" s="3" t="n">
        <f aca="false">SUM(P1490:Q1490)</f>
        <v>1</v>
      </c>
      <c r="W1490" s="3" t="n">
        <f aca="false">SUM(R1490:T1490)</f>
        <v>0</v>
      </c>
      <c r="X1490" s="10" t="n">
        <v>39969</v>
      </c>
      <c r="Y1490" s="10" t="n">
        <v>39974</v>
      </c>
    </row>
    <row r="1491" customFormat="false" ht="14.25" hidden="false" customHeight="false" outlineLevel="0" collapsed="false">
      <c r="A1491" s="1" t="n">
        <v>2009</v>
      </c>
      <c r="B1491" s="1" t="n">
        <v>1</v>
      </c>
      <c r="C1491" s="3" t="s">
        <v>115</v>
      </c>
      <c r="D1491" s="7" t="s">
        <v>116</v>
      </c>
      <c r="E1491" s="1" t="n">
        <v>2</v>
      </c>
      <c r="F1491" s="1" t="n">
        <f aca="false">Y1491-X1491</f>
        <v>5</v>
      </c>
      <c r="G1491" s="1" t="n">
        <v>5</v>
      </c>
      <c r="H1491" s="3" t="s">
        <v>32</v>
      </c>
      <c r="I1491" s="3" t="s">
        <v>102</v>
      </c>
      <c r="J1491" s="3" t="s">
        <v>117</v>
      </c>
      <c r="K1491" s="2" t="str">
        <f aca="false">CONCATENATE(I1491," ",J1491)</f>
        <v>Agyneta affinis</v>
      </c>
      <c r="L1491" s="3" t="n">
        <f aca="false">SUM(P1491:U1491)</f>
        <v>1</v>
      </c>
      <c r="M1491" s="11" t="n">
        <f aca="false">(L1491/(F1491*G1491)*25)*4</f>
        <v>4</v>
      </c>
      <c r="N1491" s="1" t="s">
        <v>30</v>
      </c>
      <c r="O1491" s="1" t="s">
        <v>35</v>
      </c>
      <c r="P1491" s="1" t="n">
        <v>0</v>
      </c>
      <c r="Q1491" s="1" t="n">
        <v>1</v>
      </c>
      <c r="R1491" s="1" t="n">
        <v>0</v>
      </c>
      <c r="S1491" s="1" t="n">
        <v>0</v>
      </c>
      <c r="T1491" s="1" t="n">
        <v>0</v>
      </c>
      <c r="U1491" s="1" t="n">
        <v>0</v>
      </c>
      <c r="V1491" s="3" t="n">
        <f aca="false">SUM(P1491:Q1491)</f>
        <v>1</v>
      </c>
      <c r="W1491" s="3" t="n">
        <f aca="false">SUM(R1491:T1491)</f>
        <v>0</v>
      </c>
      <c r="X1491" s="10" t="n">
        <v>39969</v>
      </c>
      <c r="Y1491" s="10" t="n">
        <v>39974</v>
      </c>
    </row>
    <row r="1492" customFormat="false" ht="14.25" hidden="false" customHeight="false" outlineLevel="0" collapsed="false">
      <c r="A1492" s="1" t="n">
        <v>2009</v>
      </c>
      <c r="B1492" s="1" t="n">
        <v>1</v>
      </c>
      <c r="C1492" s="3" t="s">
        <v>115</v>
      </c>
      <c r="D1492" s="7" t="s">
        <v>116</v>
      </c>
      <c r="E1492" s="1" t="n">
        <v>2</v>
      </c>
      <c r="F1492" s="1" t="n">
        <f aca="false">Y1492-X1492</f>
        <v>5</v>
      </c>
      <c r="G1492" s="1" t="n">
        <v>5</v>
      </c>
      <c r="H1492" s="3" t="s">
        <v>48</v>
      </c>
      <c r="I1492" s="3" t="s">
        <v>57</v>
      </c>
      <c r="J1492" s="3" t="s">
        <v>38</v>
      </c>
      <c r="K1492" s="2" t="str">
        <f aca="false">CONCATENATE(I1492," ",J1492)</f>
        <v>Gen sp</v>
      </c>
      <c r="L1492" s="3" t="n">
        <f aca="false">SUM(P1492:U1492)</f>
        <v>1</v>
      </c>
      <c r="M1492" s="11" t="n">
        <f aca="false">(L1492/(F1492*G1492)*25)*4</f>
        <v>4</v>
      </c>
      <c r="N1492" s="1" t="s">
        <v>19</v>
      </c>
      <c r="O1492" s="1" t="s">
        <v>54</v>
      </c>
      <c r="P1492" s="1" t="n">
        <v>0</v>
      </c>
      <c r="Q1492" s="1" t="n">
        <v>0</v>
      </c>
      <c r="R1492" s="1" t="n">
        <v>0</v>
      </c>
      <c r="S1492" s="1" t="n">
        <v>0</v>
      </c>
      <c r="T1492" s="1" t="n">
        <v>1</v>
      </c>
      <c r="U1492" s="1" t="n">
        <v>0</v>
      </c>
      <c r="V1492" s="3" t="n">
        <f aca="false">SUM(P1492:Q1492)</f>
        <v>0</v>
      </c>
      <c r="W1492" s="3" t="n">
        <f aca="false">SUM(R1492:T1492)</f>
        <v>1</v>
      </c>
      <c r="X1492" s="10" t="n">
        <v>39969</v>
      </c>
      <c r="Y1492" s="10" t="n">
        <v>39974</v>
      </c>
    </row>
    <row r="1493" customFormat="false" ht="14.25" hidden="false" customHeight="false" outlineLevel="0" collapsed="false">
      <c r="A1493" s="1" t="n">
        <v>2009</v>
      </c>
      <c r="B1493" s="1" t="n">
        <v>1</v>
      </c>
      <c r="C1493" s="3" t="s">
        <v>115</v>
      </c>
      <c r="D1493" s="7" t="s">
        <v>116</v>
      </c>
      <c r="E1493" s="1" t="n">
        <v>2</v>
      </c>
      <c r="F1493" s="1" t="n">
        <f aca="false">Y1493-X1493</f>
        <v>5</v>
      </c>
      <c r="G1493" s="1" t="n">
        <v>5</v>
      </c>
      <c r="H1493" s="3" t="s">
        <v>48</v>
      </c>
      <c r="I1493" s="3" t="s">
        <v>67</v>
      </c>
      <c r="J1493" s="3" t="s">
        <v>167</v>
      </c>
      <c r="K1493" s="2" t="str">
        <f aca="false">CONCATENATE(I1493," ",J1493)</f>
        <v>Pardosa agrestis</v>
      </c>
      <c r="L1493" s="3" t="n">
        <f aca="false">SUM(P1493:U1493)</f>
        <v>1</v>
      </c>
      <c r="M1493" s="11" t="n">
        <f aca="false">(L1493/(F1493*G1493)*25)*4</f>
        <v>4</v>
      </c>
      <c r="N1493" s="1" t="s">
        <v>30</v>
      </c>
      <c r="O1493" s="1" t="s">
        <v>31</v>
      </c>
      <c r="P1493" s="1" t="n">
        <v>1</v>
      </c>
      <c r="Q1493" s="1" t="n">
        <v>0</v>
      </c>
      <c r="R1493" s="1" t="n">
        <v>0</v>
      </c>
      <c r="S1493" s="1" t="n">
        <v>0</v>
      </c>
      <c r="T1493" s="1" t="n">
        <v>0</v>
      </c>
      <c r="U1493" s="1" t="n">
        <v>0</v>
      </c>
      <c r="V1493" s="3" t="n">
        <f aca="false">SUM(P1493:Q1493)</f>
        <v>1</v>
      </c>
      <c r="W1493" s="3" t="n">
        <f aca="false">SUM(R1493:T1493)</f>
        <v>0</v>
      </c>
      <c r="X1493" s="10" t="n">
        <v>39969</v>
      </c>
      <c r="Y1493" s="10" t="n">
        <v>39974</v>
      </c>
    </row>
    <row r="1494" customFormat="false" ht="14.25" hidden="false" customHeight="false" outlineLevel="0" collapsed="false">
      <c r="A1494" s="1" t="n">
        <v>2009</v>
      </c>
      <c r="B1494" s="1" t="n">
        <v>1</v>
      </c>
      <c r="C1494" s="3" t="s">
        <v>115</v>
      </c>
      <c r="D1494" s="7" t="s">
        <v>116</v>
      </c>
      <c r="E1494" s="1" t="n">
        <v>2</v>
      </c>
      <c r="F1494" s="1" t="n">
        <f aca="false">Y1494-X1494</f>
        <v>5</v>
      </c>
      <c r="G1494" s="1" t="n">
        <v>5</v>
      </c>
      <c r="H1494" s="3" t="s">
        <v>72</v>
      </c>
      <c r="I1494" s="3" t="s">
        <v>86</v>
      </c>
      <c r="J1494" s="3" t="s">
        <v>38</v>
      </c>
      <c r="K1494" s="2" t="str">
        <f aca="false">CONCATENATE(I1494," ",J1494)</f>
        <v>Haplodrassus sp</v>
      </c>
      <c r="L1494" s="3" t="n">
        <f aca="false">SUM(P1494:U1494)</f>
        <v>1</v>
      </c>
      <c r="M1494" s="11" t="n">
        <f aca="false">(L1494/(F1494*G1494)*25)*4</f>
        <v>4</v>
      </c>
      <c r="N1494" s="1" t="s">
        <v>19</v>
      </c>
      <c r="O1494" s="1" t="s">
        <v>54</v>
      </c>
      <c r="P1494" s="1" t="n">
        <v>0</v>
      </c>
      <c r="Q1494" s="1" t="n">
        <v>0</v>
      </c>
      <c r="R1494" s="1" t="n">
        <v>0</v>
      </c>
      <c r="S1494" s="1" t="n">
        <v>0</v>
      </c>
      <c r="T1494" s="1" t="n">
        <v>1</v>
      </c>
      <c r="U1494" s="1" t="n">
        <v>0</v>
      </c>
      <c r="V1494" s="3" t="n">
        <f aca="false">SUM(P1494:Q1494)</f>
        <v>0</v>
      </c>
      <c r="W1494" s="3" t="n">
        <f aca="false">SUM(R1494:T1494)</f>
        <v>1</v>
      </c>
      <c r="X1494" s="10" t="n">
        <v>39969</v>
      </c>
      <c r="Y1494" s="10" t="n">
        <v>39974</v>
      </c>
    </row>
    <row r="1495" customFormat="false" ht="14.25" hidden="false" customHeight="false" outlineLevel="0" collapsed="false">
      <c r="A1495" s="1" t="n">
        <v>2009</v>
      </c>
      <c r="B1495" s="1" t="n">
        <v>1</v>
      </c>
      <c r="C1495" s="3" t="s">
        <v>115</v>
      </c>
      <c r="D1495" s="7" t="s">
        <v>116</v>
      </c>
      <c r="E1495" s="1" t="n">
        <v>2</v>
      </c>
      <c r="F1495" s="1" t="n">
        <f aca="false">Y1495-X1495</f>
        <v>5</v>
      </c>
      <c r="G1495" s="1" t="n">
        <v>5</v>
      </c>
      <c r="H1495" s="3" t="s">
        <v>36</v>
      </c>
      <c r="I1495" s="3" t="s">
        <v>131</v>
      </c>
      <c r="J1495" s="3" t="s">
        <v>201</v>
      </c>
      <c r="K1495" s="2" t="str">
        <f aca="false">CONCATENATE(I1495," ",J1495)</f>
        <v>Xysticus cristatus</v>
      </c>
      <c r="L1495" s="3" t="n">
        <f aca="false">SUM(P1495:U1495)</f>
        <v>1</v>
      </c>
      <c r="M1495" s="11" t="n">
        <f aca="false">(L1495/(F1495*G1495)*25)*4</f>
        <v>4</v>
      </c>
      <c r="N1495" s="1" t="s">
        <v>30</v>
      </c>
      <c r="O1495" s="1" t="s">
        <v>31</v>
      </c>
      <c r="P1495" s="1" t="n">
        <v>1</v>
      </c>
      <c r="Q1495" s="1" t="n">
        <v>0</v>
      </c>
      <c r="R1495" s="1" t="n">
        <v>0</v>
      </c>
      <c r="S1495" s="1" t="n">
        <v>0</v>
      </c>
      <c r="T1495" s="1" t="n">
        <v>0</v>
      </c>
      <c r="U1495" s="1" t="n">
        <v>0</v>
      </c>
      <c r="V1495" s="3" t="n">
        <f aca="false">SUM(P1495:Q1495)</f>
        <v>1</v>
      </c>
      <c r="W1495" s="3" t="n">
        <f aca="false">SUM(R1495:T1495)</f>
        <v>0</v>
      </c>
      <c r="X1495" s="10" t="n">
        <v>39969</v>
      </c>
      <c r="Y1495" s="10" t="n">
        <v>39974</v>
      </c>
    </row>
    <row r="1496" customFormat="false" ht="14.25" hidden="false" customHeight="false" outlineLevel="0" collapsed="false">
      <c r="A1496" s="1" t="n">
        <v>2009</v>
      </c>
      <c r="B1496" s="1" t="n">
        <v>1</v>
      </c>
      <c r="C1496" s="3" t="s">
        <v>115</v>
      </c>
      <c r="D1496" s="7" t="s">
        <v>116</v>
      </c>
      <c r="E1496" s="1" t="n">
        <v>2</v>
      </c>
      <c r="F1496" s="1" t="n">
        <f aca="false">Y1496-X1496</f>
        <v>5</v>
      </c>
      <c r="G1496" s="1" t="n">
        <v>5</v>
      </c>
      <c r="H1496" s="3" t="s">
        <v>27</v>
      </c>
      <c r="I1496" s="3" t="s">
        <v>57</v>
      </c>
      <c r="J1496" s="3" t="s">
        <v>38</v>
      </c>
      <c r="K1496" s="2" t="str">
        <f aca="false">CONCATENATE(I1496," ",J1496)</f>
        <v>Gen sp</v>
      </c>
      <c r="L1496" s="3" t="n">
        <f aca="false">SUM(P1496:U1496)</f>
        <v>1</v>
      </c>
      <c r="M1496" s="11" t="n">
        <f aca="false">(L1496/(F1496*G1496)*25)*4</f>
        <v>4</v>
      </c>
      <c r="N1496" s="1" t="s">
        <v>19</v>
      </c>
      <c r="O1496" s="1" t="s">
        <v>54</v>
      </c>
      <c r="P1496" s="1" t="n">
        <v>0</v>
      </c>
      <c r="Q1496" s="1" t="n">
        <v>0</v>
      </c>
      <c r="R1496" s="1" t="n">
        <v>0</v>
      </c>
      <c r="S1496" s="1" t="n">
        <v>0</v>
      </c>
      <c r="T1496" s="1" t="n">
        <v>1</v>
      </c>
      <c r="U1496" s="1" t="n">
        <v>0</v>
      </c>
      <c r="V1496" s="3" t="n">
        <f aca="false">SUM(P1496:Q1496)</f>
        <v>0</v>
      </c>
      <c r="W1496" s="3" t="n">
        <f aca="false">SUM(R1496:T1496)</f>
        <v>1</v>
      </c>
      <c r="X1496" s="10" t="n">
        <v>39969</v>
      </c>
      <c r="Y1496" s="10" t="n">
        <v>39974</v>
      </c>
    </row>
    <row r="1497" customFormat="false" ht="14.25" hidden="false" customHeight="false" outlineLevel="0" collapsed="false">
      <c r="A1497" s="1" t="n">
        <v>2009</v>
      </c>
      <c r="B1497" s="1" t="n">
        <v>1</v>
      </c>
      <c r="C1497" s="3" t="s">
        <v>115</v>
      </c>
      <c r="D1497" s="7" t="s">
        <v>116</v>
      </c>
      <c r="E1497" s="1" t="n">
        <v>2</v>
      </c>
      <c r="F1497" s="1" t="n">
        <f aca="false">Y1497-X1497</f>
        <v>5</v>
      </c>
      <c r="G1497" s="1" t="n">
        <v>5</v>
      </c>
      <c r="H1497" s="3" t="s">
        <v>32</v>
      </c>
      <c r="I1497" s="3" t="s">
        <v>102</v>
      </c>
      <c r="J1497" s="3" t="s">
        <v>103</v>
      </c>
      <c r="K1497" s="2" t="str">
        <f aca="false">CONCATENATE(I1497," ",J1497)</f>
        <v>Agyneta olivacea</v>
      </c>
      <c r="L1497" s="3" t="n">
        <f aca="false">SUM(P1497:U1497)</f>
        <v>1</v>
      </c>
      <c r="M1497" s="11" t="n">
        <f aca="false">(L1497/(F1497*G1497)*25)*4</f>
        <v>4</v>
      </c>
      <c r="N1497" s="1" t="s">
        <v>30</v>
      </c>
      <c r="O1497" s="1" t="s">
        <v>31</v>
      </c>
      <c r="P1497" s="1" t="n">
        <v>1</v>
      </c>
      <c r="Q1497" s="1" t="n">
        <v>0</v>
      </c>
      <c r="R1497" s="1" t="n">
        <v>0</v>
      </c>
      <c r="S1497" s="1" t="n">
        <v>0</v>
      </c>
      <c r="T1497" s="1" t="n">
        <v>0</v>
      </c>
      <c r="U1497" s="1" t="n">
        <v>0</v>
      </c>
      <c r="V1497" s="3" t="n">
        <f aca="false">SUM(P1497:Q1497)</f>
        <v>1</v>
      </c>
      <c r="W1497" s="3" t="n">
        <f aca="false">SUM(R1497:T1497)</f>
        <v>0</v>
      </c>
      <c r="X1497" s="10" t="n">
        <v>39969</v>
      </c>
      <c r="Y1497" s="10" t="n">
        <v>39974</v>
      </c>
    </row>
    <row r="1498" customFormat="false" ht="14.25" hidden="false" customHeight="false" outlineLevel="0" collapsed="false">
      <c r="A1498" s="1" t="n">
        <v>2009</v>
      </c>
      <c r="B1498" s="1" t="n">
        <v>1</v>
      </c>
      <c r="C1498" s="3" t="s">
        <v>115</v>
      </c>
      <c r="D1498" s="7" t="s">
        <v>116</v>
      </c>
      <c r="E1498" s="1" t="n">
        <v>3</v>
      </c>
      <c r="F1498" s="1" t="n">
        <f aca="false">Y1498-X1498</f>
        <v>5</v>
      </c>
      <c r="G1498" s="1" t="n">
        <v>5</v>
      </c>
      <c r="H1498" s="3" t="s">
        <v>72</v>
      </c>
      <c r="I1498" s="3" t="s">
        <v>86</v>
      </c>
      <c r="J1498" s="3" t="s">
        <v>38</v>
      </c>
      <c r="K1498" s="2" t="str">
        <f aca="false">CONCATENATE(I1498," ",J1498)</f>
        <v>Haplodrassus sp</v>
      </c>
      <c r="L1498" s="3" t="n">
        <f aca="false">SUM(P1498:U1498)</f>
        <v>1</v>
      </c>
      <c r="M1498" s="11" t="n">
        <f aca="false">(L1498/(F1498*G1498)*25)*4</f>
        <v>4</v>
      </c>
      <c r="N1498" s="1" t="s">
        <v>19</v>
      </c>
      <c r="O1498" s="1" t="s">
        <v>54</v>
      </c>
      <c r="P1498" s="1" t="n">
        <v>0</v>
      </c>
      <c r="Q1498" s="1" t="n">
        <v>0</v>
      </c>
      <c r="R1498" s="1" t="n">
        <v>0</v>
      </c>
      <c r="S1498" s="1" t="n">
        <v>0</v>
      </c>
      <c r="T1498" s="1" t="n">
        <v>1</v>
      </c>
      <c r="U1498" s="1" t="n">
        <v>0</v>
      </c>
      <c r="V1498" s="3" t="n">
        <f aca="false">SUM(P1498:Q1498)</f>
        <v>0</v>
      </c>
      <c r="W1498" s="3" t="n">
        <f aca="false">SUM(R1498:T1498)</f>
        <v>1</v>
      </c>
      <c r="X1498" s="10" t="n">
        <v>39969</v>
      </c>
      <c r="Y1498" s="10" t="n">
        <v>39974</v>
      </c>
    </row>
    <row r="1499" customFormat="false" ht="14.25" hidden="false" customHeight="false" outlineLevel="0" collapsed="false">
      <c r="A1499" s="1" t="n">
        <v>2009</v>
      </c>
      <c r="B1499" s="1" t="n">
        <v>1</v>
      </c>
      <c r="C1499" s="3" t="s">
        <v>115</v>
      </c>
      <c r="D1499" s="7" t="s">
        <v>116</v>
      </c>
      <c r="E1499" s="1" t="n">
        <v>3</v>
      </c>
      <c r="F1499" s="1" t="n">
        <f aca="false">Y1499-X1499</f>
        <v>5</v>
      </c>
      <c r="G1499" s="1" t="n">
        <v>5</v>
      </c>
      <c r="H1499" s="3" t="s">
        <v>27</v>
      </c>
      <c r="I1499" s="3" t="s">
        <v>46</v>
      </c>
      <c r="J1499" s="3" t="s">
        <v>38</v>
      </c>
      <c r="K1499" s="2" t="str">
        <f aca="false">CONCATENATE(I1499," ",J1499)</f>
        <v>Euryopis sp</v>
      </c>
      <c r="L1499" s="3" t="n">
        <f aca="false">SUM(P1499:U1499)</f>
        <v>1</v>
      </c>
      <c r="M1499" s="11" t="n">
        <f aca="false">(L1499/(F1499*G1499)*25)*4</f>
        <v>4</v>
      </c>
      <c r="N1499" s="1" t="s">
        <v>19</v>
      </c>
      <c r="O1499" s="1" t="s">
        <v>54</v>
      </c>
      <c r="P1499" s="1" t="n">
        <v>0</v>
      </c>
      <c r="Q1499" s="1" t="n">
        <v>0</v>
      </c>
      <c r="R1499" s="1" t="n">
        <v>0</v>
      </c>
      <c r="S1499" s="1" t="n">
        <v>0</v>
      </c>
      <c r="T1499" s="1" t="n">
        <v>1</v>
      </c>
      <c r="U1499" s="1" t="n">
        <v>0</v>
      </c>
      <c r="V1499" s="3" t="n">
        <f aca="false">SUM(P1499:Q1499)</f>
        <v>0</v>
      </c>
      <c r="W1499" s="3" t="n">
        <f aca="false">SUM(R1499:T1499)</f>
        <v>1</v>
      </c>
      <c r="X1499" s="10" t="n">
        <v>39969</v>
      </c>
      <c r="Y1499" s="10" t="n">
        <v>39974</v>
      </c>
    </row>
    <row r="1500" customFormat="false" ht="14.25" hidden="false" customHeight="false" outlineLevel="0" collapsed="false">
      <c r="A1500" s="1" t="n">
        <v>2009</v>
      </c>
      <c r="B1500" s="1" t="n">
        <v>1</v>
      </c>
      <c r="C1500" s="3" t="s">
        <v>115</v>
      </c>
      <c r="D1500" s="7" t="s">
        <v>116</v>
      </c>
      <c r="E1500" s="1" t="n">
        <v>3</v>
      </c>
      <c r="F1500" s="1" t="n">
        <f aca="false">Y1500-X1500</f>
        <v>5</v>
      </c>
      <c r="G1500" s="1" t="n">
        <v>5</v>
      </c>
      <c r="H1500" s="3" t="s">
        <v>32</v>
      </c>
      <c r="I1500" s="3" t="s">
        <v>102</v>
      </c>
      <c r="J1500" s="3" t="s">
        <v>103</v>
      </c>
      <c r="K1500" s="2" t="str">
        <f aca="false">CONCATENATE(I1500," ",J1500)</f>
        <v>Agyneta olivacea</v>
      </c>
      <c r="L1500" s="3" t="n">
        <f aca="false">SUM(P1500:U1500)</f>
        <v>1</v>
      </c>
      <c r="M1500" s="11" t="n">
        <f aca="false">(L1500/(F1500*G1500)*25)*4</f>
        <v>4</v>
      </c>
      <c r="N1500" s="1" t="s">
        <v>30</v>
      </c>
      <c r="O1500" s="1" t="s">
        <v>31</v>
      </c>
      <c r="P1500" s="1" t="n">
        <v>1</v>
      </c>
      <c r="Q1500" s="1" t="n">
        <v>0</v>
      </c>
      <c r="R1500" s="1" t="n">
        <v>0</v>
      </c>
      <c r="S1500" s="1" t="n">
        <v>0</v>
      </c>
      <c r="T1500" s="1" t="n">
        <v>0</v>
      </c>
      <c r="U1500" s="1" t="n">
        <v>0</v>
      </c>
      <c r="V1500" s="3" t="n">
        <f aca="false">SUM(P1500:Q1500)</f>
        <v>1</v>
      </c>
      <c r="W1500" s="3" t="n">
        <f aca="false">SUM(R1500:T1500)</f>
        <v>0</v>
      </c>
      <c r="X1500" s="10" t="n">
        <v>39969</v>
      </c>
      <c r="Y1500" s="10" t="n">
        <v>39974</v>
      </c>
    </row>
    <row r="1501" customFormat="false" ht="14.25" hidden="false" customHeight="false" outlineLevel="0" collapsed="false">
      <c r="A1501" s="1" t="n">
        <v>2009</v>
      </c>
      <c r="B1501" s="1" t="n">
        <v>1</v>
      </c>
      <c r="C1501" s="3" t="s">
        <v>115</v>
      </c>
      <c r="D1501" s="7" t="s">
        <v>116</v>
      </c>
      <c r="E1501" s="1" t="n">
        <v>3</v>
      </c>
      <c r="F1501" s="1" t="n">
        <f aca="false">Y1501-X1501</f>
        <v>5</v>
      </c>
      <c r="G1501" s="1" t="n">
        <v>5</v>
      </c>
      <c r="H1501" s="3" t="s">
        <v>32</v>
      </c>
      <c r="I1501" s="3" t="s">
        <v>102</v>
      </c>
      <c r="J1501" s="3" t="s">
        <v>103</v>
      </c>
      <c r="K1501" s="2" t="str">
        <f aca="false">CONCATENATE(I1501," ",J1501)</f>
        <v>Agyneta olivacea</v>
      </c>
      <c r="L1501" s="3" t="n">
        <f aca="false">SUM(P1501:U1501)</f>
        <v>1</v>
      </c>
      <c r="M1501" s="11" t="n">
        <f aca="false">(L1501/(F1501*G1501)*25)*4</f>
        <v>4</v>
      </c>
      <c r="N1501" s="1" t="s">
        <v>30</v>
      </c>
      <c r="O1501" s="1" t="s">
        <v>35</v>
      </c>
      <c r="P1501" s="1" t="n">
        <v>0</v>
      </c>
      <c r="Q1501" s="1" t="n">
        <v>1</v>
      </c>
      <c r="R1501" s="1" t="n">
        <v>0</v>
      </c>
      <c r="S1501" s="1" t="n">
        <v>0</v>
      </c>
      <c r="T1501" s="1" t="n">
        <v>0</v>
      </c>
      <c r="U1501" s="1" t="n">
        <v>0</v>
      </c>
      <c r="V1501" s="3" t="n">
        <f aca="false">SUM(P1501:Q1501)</f>
        <v>1</v>
      </c>
      <c r="W1501" s="3" t="n">
        <f aca="false">SUM(R1501:T1501)</f>
        <v>0</v>
      </c>
      <c r="X1501" s="10" t="n">
        <v>39969</v>
      </c>
      <c r="Y1501" s="10" t="n">
        <v>39974</v>
      </c>
    </row>
    <row r="1502" customFormat="false" ht="14.25" hidden="false" customHeight="false" outlineLevel="0" collapsed="false">
      <c r="A1502" s="1" t="n">
        <v>2009</v>
      </c>
      <c r="B1502" s="1" t="n">
        <v>1</v>
      </c>
      <c r="C1502" s="3" t="s">
        <v>115</v>
      </c>
      <c r="D1502" s="7" t="s">
        <v>116</v>
      </c>
      <c r="E1502" s="1" t="n">
        <v>3</v>
      </c>
      <c r="F1502" s="1" t="n">
        <f aca="false">Y1502-X1502</f>
        <v>5</v>
      </c>
      <c r="G1502" s="1" t="n">
        <v>5</v>
      </c>
      <c r="H1502" s="3" t="s">
        <v>48</v>
      </c>
      <c r="I1502" s="3" t="s">
        <v>67</v>
      </c>
      <c r="J1502" s="3" t="s">
        <v>38</v>
      </c>
      <c r="K1502" s="2" t="str">
        <f aca="false">CONCATENATE(I1502," ",J1502)</f>
        <v>Pardosa sp</v>
      </c>
      <c r="L1502" s="3" t="n">
        <f aca="false">SUM(P1502:U1502)</f>
        <v>1</v>
      </c>
      <c r="M1502" s="11" t="n">
        <f aca="false">(L1502/(F1502*G1502)*25)*4</f>
        <v>4</v>
      </c>
      <c r="N1502" s="1" t="s">
        <v>19</v>
      </c>
      <c r="O1502" s="1" t="s">
        <v>54</v>
      </c>
      <c r="P1502" s="1" t="n">
        <v>0</v>
      </c>
      <c r="Q1502" s="1" t="n">
        <v>0</v>
      </c>
      <c r="R1502" s="1" t="n">
        <v>0</v>
      </c>
      <c r="S1502" s="1" t="n">
        <v>0</v>
      </c>
      <c r="T1502" s="1" t="n">
        <v>1</v>
      </c>
      <c r="U1502" s="1" t="n">
        <v>0</v>
      </c>
      <c r="V1502" s="3" t="n">
        <f aca="false">SUM(P1502:Q1502)</f>
        <v>0</v>
      </c>
      <c r="W1502" s="3" t="n">
        <f aca="false">SUM(R1502:T1502)</f>
        <v>1</v>
      </c>
      <c r="X1502" s="10" t="n">
        <v>39969</v>
      </c>
      <c r="Y1502" s="10" t="n">
        <v>39974</v>
      </c>
    </row>
    <row r="1503" customFormat="false" ht="14.25" hidden="false" customHeight="false" outlineLevel="0" collapsed="false">
      <c r="A1503" s="1" t="n">
        <v>2009</v>
      </c>
      <c r="B1503" s="1" t="n">
        <v>1</v>
      </c>
      <c r="C1503" s="3" t="s">
        <v>115</v>
      </c>
      <c r="D1503" s="7" t="s">
        <v>116</v>
      </c>
      <c r="E1503" s="1" t="n">
        <v>3</v>
      </c>
      <c r="F1503" s="1" t="n">
        <f aca="false">Y1503-X1503</f>
        <v>5</v>
      </c>
      <c r="G1503" s="1" t="n">
        <v>5</v>
      </c>
      <c r="H1503" s="3" t="s">
        <v>72</v>
      </c>
      <c r="I1503" s="3" t="s">
        <v>86</v>
      </c>
      <c r="J1503" s="3" t="s">
        <v>38</v>
      </c>
      <c r="K1503" s="2" t="str">
        <f aca="false">CONCATENATE(I1503," ",J1503)</f>
        <v>Haplodrassus sp</v>
      </c>
      <c r="L1503" s="3" t="n">
        <f aca="false">SUM(P1503:U1503)</f>
        <v>1</v>
      </c>
      <c r="M1503" s="11" t="n">
        <f aca="false">(L1503/(F1503*G1503)*25)*4</f>
        <v>4</v>
      </c>
      <c r="N1503" s="1" t="s">
        <v>19</v>
      </c>
      <c r="O1503" s="1" t="s">
        <v>54</v>
      </c>
      <c r="P1503" s="1" t="n">
        <v>0</v>
      </c>
      <c r="Q1503" s="1" t="n">
        <v>0</v>
      </c>
      <c r="R1503" s="1" t="n">
        <v>0</v>
      </c>
      <c r="S1503" s="1" t="n">
        <v>0</v>
      </c>
      <c r="T1503" s="1" t="n">
        <v>1</v>
      </c>
      <c r="U1503" s="1" t="n">
        <v>0</v>
      </c>
      <c r="V1503" s="3" t="n">
        <f aca="false">SUM(P1503:Q1503)</f>
        <v>0</v>
      </c>
      <c r="W1503" s="3" t="n">
        <f aca="false">SUM(R1503:T1503)</f>
        <v>1</v>
      </c>
      <c r="X1503" s="10" t="n">
        <v>39969</v>
      </c>
      <c r="Y1503" s="10" t="n">
        <v>39974</v>
      </c>
    </row>
    <row r="1504" customFormat="false" ht="14.25" hidden="false" customHeight="false" outlineLevel="0" collapsed="false">
      <c r="A1504" s="1" t="n">
        <v>2009</v>
      </c>
      <c r="B1504" s="1" t="n">
        <v>1</v>
      </c>
      <c r="C1504" s="3" t="s">
        <v>115</v>
      </c>
      <c r="D1504" s="7" t="s">
        <v>116</v>
      </c>
      <c r="E1504" s="1" t="n">
        <v>3</v>
      </c>
      <c r="F1504" s="1" t="n">
        <f aca="false">Y1504-X1504</f>
        <v>5</v>
      </c>
      <c r="G1504" s="1" t="n">
        <v>5</v>
      </c>
      <c r="H1504" s="3" t="s">
        <v>27</v>
      </c>
      <c r="I1504" s="3" t="s">
        <v>220</v>
      </c>
      <c r="J1504" s="3" t="s">
        <v>221</v>
      </c>
      <c r="K1504" s="2" t="str">
        <f aca="false">CONCATENATE(I1504," ",J1504)</f>
        <v>Steatoda albomaculata</v>
      </c>
      <c r="L1504" s="3" t="n">
        <f aca="false">SUM(P1504:U1504)</f>
        <v>1</v>
      </c>
      <c r="M1504" s="11" t="n">
        <f aca="false">(L1504/(F1504*G1504)*25)*4</f>
        <v>4</v>
      </c>
      <c r="N1504" s="1" t="s">
        <v>30</v>
      </c>
      <c r="O1504" s="1" t="s">
        <v>31</v>
      </c>
      <c r="P1504" s="1" t="n">
        <v>1</v>
      </c>
      <c r="Q1504" s="1" t="n">
        <v>0</v>
      </c>
      <c r="R1504" s="1" t="n">
        <v>0</v>
      </c>
      <c r="S1504" s="1" t="n">
        <v>0</v>
      </c>
      <c r="T1504" s="1" t="n">
        <v>0</v>
      </c>
      <c r="U1504" s="1" t="n">
        <v>0</v>
      </c>
      <c r="V1504" s="3" t="n">
        <f aca="false">SUM(P1504:Q1504)</f>
        <v>1</v>
      </c>
      <c r="W1504" s="3" t="n">
        <f aca="false">SUM(R1504:T1504)</f>
        <v>0</v>
      </c>
      <c r="X1504" s="10" t="n">
        <v>39969</v>
      </c>
      <c r="Y1504" s="10" t="n">
        <v>39974</v>
      </c>
    </row>
    <row r="1505" customFormat="false" ht="14.25" hidden="false" customHeight="false" outlineLevel="0" collapsed="false">
      <c r="A1505" s="1" t="n">
        <v>2009</v>
      </c>
      <c r="B1505" s="1" t="n">
        <v>1</v>
      </c>
      <c r="C1505" s="3" t="s">
        <v>115</v>
      </c>
      <c r="D1505" s="7" t="s">
        <v>116</v>
      </c>
      <c r="E1505" s="1" t="n">
        <v>3</v>
      </c>
      <c r="F1505" s="1" t="n">
        <f aca="false">Y1505-X1505</f>
        <v>5</v>
      </c>
      <c r="G1505" s="1" t="n">
        <v>5</v>
      </c>
      <c r="H1505" s="3" t="s">
        <v>72</v>
      </c>
      <c r="I1505" s="3" t="s">
        <v>150</v>
      </c>
      <c r="J1505" s="3" t="s">
        <v>151</v>
      </c>
      <c r="K1505" s="2" t="str">
        <f aca="false">CONCATENATE(I1505," ",J1505)</f>
        <v>Drassodes villosus</v>
      </c>
      <c r="L1505" s="3" t="n">
        <f aca="false">SUM(P1505:U1505)</f>
        <v>1</v>
      </c>
      <c r="M1505" s="11" t="n">
        <f aca="false">(L1505/(F1505*G1505)*25)*4</f>
        <v>4</v>
      </c>
      <c r="N1505" s="1" t="s">
        <v>30</v>
      </c>
      <c r="O1505" s="1" t="s">
        <v>31</v>
      </c>
      <c r="P1505" s="1" t="n">
        <v>1</v>
      </c>
      <c r="Q1505" s="1" t="n">
        <v>0</v>
      </c>
      <c r="R1505" s="1" t="n">
        <v>0</v>
      </c>
      <c r="S1505" s="1" t="n">
        <v>0</v>
      </c>
      <c r="T1505" s="1" t="n">
        <v>0</v>
      </c>
      <c r="U1505" s="1" t="n">
        <v>0</v>
      </c>
      <c r="V1505" s="3" t="n">
        <f aca="false">SUM(P1505:Q1505)</f>
        <v>1</v>
      </c>
      <c r="W1505" s="3" t="n">
        <f aca="false">SUM(R1505:T1505)</f>
        <v>0</v>
      </c>
      <c r="X1505" s="10" t="n">
        <v>39969</v>
      </c>
      <c r="Y1505" s="10" t="n">
        <v>39974</v>
      </c>
    </row>
    <row r="1506" customFormat="false" ht="14.25" hidden="false" customHeight="false" outlineLevel="0" collapsed="false">
      <c r="A1506" s="1" t="n">
        <v>2009</v>
      </c>
      <c r="B1506" s="1" t="n">
        <v>1</v>
      </c>
      <c r="C1506" s="3" t="s">
        <v>115</v>
      </c>
      <c r="D1506" s="7" t="s">
        <v>116</v>
      </c>
      <c r="E1506" s="1" t="n">
        <v>3</v>
      </c>
      <c r="F1506" s="1" t="n">
        <f aca="false">Y1506-X1506</f>
        <v>5</v>
      </c>
      <c r="G1506" s="1" t="n">
        <v>5</v>
      </c>
      <c r="H1506" s="3" t="s">
        <v>27</v>
      </c>
      <c r="I1506" s="3" t="s">
        <v>46</v>
      </c>
      <c r="J1506" s="3" t="s">
        <v>38</v>
      </c>
      <c r="K1506" s="2" t="str">
        <f aca="false">CONCATENATE(I1506," ",J1506)</f>
        <v>Euryopis sp</v>
      </c>
      <c r="L1506" s="3" t="n">
        <f aca="false">SUM(P1506:U1506)</f>
        <v>1</v>
      </c>
      <c r="M1506" s="11" t="n">
        <f aca="false">(L1506/(F1506*G1506)*25)*4</f>
        <v>4</v>
      </c>
      <c r="N1506" s="1" t="s">
        <v>19</v>
      </c>
      <c r="O1506" s="1" t="s">
        <v>54</v>
      </c>
      <c r="P1506" s="1" t="n">
        <v>0</v>
      </c>
      <c r="Q1506" s="1" t="n">
        <v>0</v>
      </c>
      <c r="R1506" s="1" t="n">
        <v>0</v>
      </c>
      <c r="S1506" s="1" t="n">
        <v>0</v>
      </c>
      <c r="T1506" s="1" t="n">
        <v>1</v>
      </c>
      <c r="U1506" s="1" t="n">
        <v>0</v>
      </c>
      <c r="V1506" s="3" t="n">
        <f aca="false">SUM(P1506:Q1506)</f>
        <v>0</v>
      </c>
      <c r="W1506" s="3" t="n">
        <f aca="false">SUM(R1506:T1506)</f>
        <v>1</v>
      </c>
      <c r="X1506" s="10" t="n">
        <v>39969</v>
      </c>
      <c r="Y1506" s="10" t="n">
        <v>39974</v>
      </c>
    </row>
    <row r="1507" customFormat="false" ht="14.25" hidden="false" customHeight="false" outlineLevel="0" collapsed="false">
      <c r="A1507" s="1" t="n">
        <v>2009</v>
      </c>
      <c r="B1507" s="1" t="n">
        <v>1</v>
      </c>
      <c r="C1507" s="3" t="s">
        <v>115</v>
      </c>
      <c r="D1507" s="7" t="s">
        <v>116</v>
      </c>
      <c r="E1507" s="1" t="n">
        <v>3</v>
      </c>
      <c r="F1507" s="1" t="n">
        <f aca="false">Y1507-X1507</f>
        <v>5</v>
      </c>
      <c r="G1507" s="1" t="n">
        <v>5</v>
      </c>
      <c r="H1507" s="3" t="s">
        <v>27</v>
      </c>
      <c r="I1507" s="3" t="s">
        <v>57</v>
      </c>
      <c r="J1507" s="3" t="s">
        <v>38</v>
      </c>
      <c r="K1507" s="2" t="str">
        <f aca="false">CONCATENATE(I1507," ",J1507)</f>
        <v>Gen sp</v>
      </c>
      <c r="L1507" s="3" t="n">
        <f aca="false">SUM(P1507:U1507)</f>
        <v>1</v>
      </c>
      <c r="M1507" s="11" t="n">
        <f aca="false">(L1507/(F1507*G1507)*25)*4</f>
        <v>4</v>
      </c>
      <c r="N1507" s="1" t="s">
        <v>19</v>
      </c>
      <c r="O1507" s="1" t="s">
        <v>54</v>
      </c>
      <c r="P1507" s="1" t="n">
        <v>0</v>
      </c>
      <c r="Q1507" s="1" t="n">
        <v>0</v>
      </c>
      <c r="R1507" s="1" t="n">
        <v>0</v>
      </c>
      <c r="S1507" s="1" t="n">
        <v>0</v>
      </c>
      <c r="T1507" s="1" t="n">
        <v>1</v>
      </c>
      <c r="U1507" s="1" t="n">
        <v>0</v>
      </c>
      <c r="V1507" s="3" t="n">
        <f aca="false">SUM(P1507:Q1507)</f>
        <v>0</v>
      </c>
      <c r="W1507" s="3" t="n">
        <f aca="false">SUM(R1507:T1507)</f>
        <v>1</v>
      </c>
      <c r="X1507" s="10" t="n">
        <v>39969</v>
      </c>
      <c r="Y1507" s="10" t="n">
        <v>39974</v>
      </c>
    </row>
    <row r="1508" customFormat="false" ht="14.25" hidden="false" customHeight="false" outlineLevel="0" collapsed="false">
      <c r="A1508" s="1" t="n">
        <v>2009</v>
      </c>
      <c r="B1508" s="1" t="n">
        <v>1</v>
      </c>
      <c r="C1508" s="3" t="s">
        <v>115</v>
      </c>
      <c r="D1508" s="7" t="s">
        <v>116</v>
      </c>
      <c r="E1508" s="1" t="n">
        <v>3</v>
      </c>
      <c r="F1508" s="1" t="n">
        <f aca="false">Y1508-X1508</f>
        <v>5</v>
      </c>
      <c r="G1508" s="1" t="n">
        <v>5</v>
      </c>
      <c r="H1508" s="3" t="s">
        <v>48</v>
      </c>
      <c r="I1508" s="3" t="s">
        <v>67</v>
      </c>
      <c r="J1508" s="3" t="s">
        <v>38</v>
      </c>
      <c r="K1508" s="2" t="str">
        <f aca="false">CONCATENATE(I1508," ",J1508)</f>
        <v>Pardosa sp</v>
      </c>
      <c r="L1508" s="3" t="n">
        <f aca="false">SUM(P1508:U1508)</f>
        <v>1</v>
      </c>
      <c r="M1508" s="11" t="n">
        <f aca="false">(L1508/(F1508*G1508)*25)*4</f>
        <v>4</v>
      </c>
      <c r="N1508" s="1" t="s">
        <v>19</v>
      </c>
      <c r="O1508" s="1" t="s">
        <v>54</v>
      </c>
      <c r="P1508" s="1" t="n">
        <v>0</v>
      </c>
      <c r="Q1508" s="1" t="n">
        <v>0</v>
      </c>
      <c r="R1508" s="1" t="n">
        <v>0</v>
      </c>
      <c r="S1508" s="1" t="n">
        <v>0</v>
      </c>
      <c r="T1508" s="1" t="n">
        <v>1</v>
      </c>
      <c r="U1508" s="1" t="n">
        <v>0</v>
      </c>
      <c r="V1508" s="3" t="n">
        <f aca="false">SUM(P1508:Q1508)</f>
        <v>0</v>
      </c>
      <c r="W1508" s="3" t="n">
        <f aca="false">SUM(R1508:T1508)</f>
        <v>1</v>
      </c>
      <c r="X1508" s="10" t="n">
        <v>39969</v>
      </c>
      <c r="Y1508" s="10" t="n">
        <v>39974</v>
      </c>
    </row>
    <row r="1509" customFormat="false" ht="14.25" hidden="false" customHeight="false" outlineLevel="0" collapsed="false">
      <c r="A1509" s="1" t="n">
        <v>2009</v>
      </c>
      <c r="B1509" s="1" t="n">
        <v>1</v>
      </c>
      <c r="C1509" s="3" t="s">
        <v>115</v>
      </c>
      <c r="D1509" s="7" t="s">
        <v>116</v>
      </c>
      <c r="E1509" s="1" t="n">
        <v>3</v>
      </c>
      <c r="F1509" s="1" t="n">
        <f aca="false">Y1509-X1509</f>
        <v>5</v>
      </c>
      <c r="G1509" s="1" t="n">
        <v>5</v>
      </c>
      <c r="H1509" s="3" t="s">
        <v>27</v>
      </c>
      <c r="I1509" s="3" t="s">
        <v>57</v>
      </c>
      <c r="J1509" s="3" t="s">
        <v>38</v>
      </c>
      <c r="K1509" s="2" t="str">
        <f aca="false">CONCATENATE(I1509," ",J1509)</f>
        <v>Gen sp</v>
      </c>
      <c r="L1509" s="3" t="n">
        <f aca="false">SUM(P1509:U1509)</f>
        <v>1</v>
      </c>
      <c r="M1509" s="11" t="n">
        <f aca="false">(L1509/(F1509*G1509)*25)*4</f>
        <v>4</v>
      </c>
      <c r="N1509" s="1" t="s">
        <v>19</v>
      </c>
      <c r="O1509" s="1" t="s">
        <v>54</v>
      </c>
      <c r="P1509" s="1" t="n">
        <v>0</v>
      </c>
      <c r="Q1509" s="1" t="n">
        <v>0</v>
      </c>
      <c r="R1509" s="1" t="n">
        <v>0</v>
      </c>
      <c r="S1509" s="1" t="n">
        <v>0</v>
      </c>
      <c r="T1509" s="1" t="n">
        <v>1</v>
      </c>
      <c r="U1509" s="1" t="n">
        <v>0</v>
      </c>
      <c r="V1509" s="3" t="n">
        <f aca="false">SUM(P1509:Q1509)</f>
        <v>0</v>
      </c>
      <c r="W1509" s="3" t="n">
        <f aca="false">SUM(R1509:T1509)</f>
        <v>1</v>
      </c>
      <c r="X1509" s="10" t="n">
        <v>39969</v>
      </c>
      <c r="Y1509" s="10" t="n">
        <v>39974</v>
      </c>
    </row>
    <row r="1510" customFormat="false" ht="14.25" hidden="false" customHeight="false" outlineLevel="0" collapsed="false">
      <c r="A1510" s="1" t="n">
        <v>2009</v>
      </c>
      <c r="B1510" s="1" t="n">
        <v>2</v>
      </c>
      <c r="C1510" s="2" t="s">
        <v>50</v>
      </c>
      <c r="D1510" s="7" t="s">
        <v>158</v>
      </c>
      <c r="E1510" s="1" t="n">
        <v>1</v>
      </c>
      <c r="F1510" s="1" t="n">
        <f aca="false">Y1510-X1510</f>
        <v>5</v>
      </c>
      <c r="G1510" s="1" t="n">
        <v>5</v>
      </c>
      <c r="H1510" s="3" t="s">
        <v>32</v>
      </c>
      <c r="I1510" s="3" t="s">
        <v>68</v>
      </c>
      <c r="J1510" s="8" t="s">
        <v>69</v>
      </c>
      <c r="K1510" s="2" t="str">
        <f aca="false">CONCATENATE(I1510," ",J1510)</f>
        <v>Centromerus sylvaticus</v>
      </c>
      <c r="L1510" s="3" t="n">
        <f aca="false">SUM(P1510:U1510)</f>
        <v>1</v>
      </c>
      <c r="M1510" s="11" t="n">
        <f aca="false">(L1510/(F1510*G1510)*25)*4</f>
        <v>4</v>
      </c>
      <c r="N1510" s="1" t="s">
        <v>30</v>
      </c>
      <c r="O1510" s="1" t="s">
        <v>35</v>
      </c>
      <c r="P1510" s="1" t="n">
        <v>0</v>
      </c>
      <c r="Q1510" s="1" t="n">
        <v>1</v>
      </c>
      <c r="R1510" s="1" t="n">
        <v>0</v>
      </c>
      <c r="S1510" s="1" t="n">
        <v>0</v>
      </c>
      <c r="T1510" s="1" t="n">
        <v>0</v>
      </c>
      <c r="U1510" s="1" t="n">
        <v>0</v>
      </c>
      <c r="V1510" s="3" t="n">
        <f aca="false">SUM(P1510:Q1510)</f>
        <v>1</v>
      </c>
      <c r="W1510" s="3" t="n">
        <f aca="false">SUM(R1510:T1510)</f>
        <v>0</v>
      </c>
      <c r="X1510" s="22" t="n">
        <v>40052</v>
      </c>
      <c r="Y1510" s="22" t="n">
        <v>40057</v>
      </c>
    </row>
    <row r="1511" customFormat="false" ht="14.25" hidden="false" customHeight="false" outlineLevel="0" collapsed="false">
      <c r="A1511" s="1" t="n">
        <v>2009</v>
      </c>
      <c r="B1511" s="1" t="n">
        <v>2</v>
      </c>
      <c r="C1511" s="2" t="s">
        <v>50</v>
      </c>
      <c r="D1511" s="7" t="s">
        <v>158</v>
      </c>
      <c r="E1511" s="1" t="n">
        <v>1</v>
      </c>
      <c r="F1511" s="1" t="n">
        <f aca="false">Y1511-X1511</f>
        <v>5</v>
      </c>
      <c r="G1511" s="1" t="n">
        <v>5</v>
      </c>
      <c r="H1511" s="3" t="s">
        <v>41</v>
      </c>
      <c r="I1511" s="3" t="s">
        <v>42</v>
      </c>
      <c r="J1511" s="3" t="s">
        <v>43</v>
      </c>
      <c r="K1511" s="2" t="str">
        <f aca="false">CONCATENATE(I1511," ",J1511)</f>
        <v>Agroeca proxima</v>
      </c>
      <c r="L1511" s="3" t="n">
        <f aca="false">SUM(P1511:U1511)</f>
        <v>1</v>
      </c>
      <c r="M1511" s="11" t="n">
        <f aca="false">(L1511/(F1511*G1511)*25)*4</f>
        <v>4</v>
      </c>
      <c r="N1511" s="1" t="s">
        <v>30</v>
      </c>
      <c r="O1511" s="1" t="s">
        <v>35</v>
      </c>
      <c r="P1511" s="1" t="n">
        <v>0</v>
      </c>
      <c r="Q1511" s="1" t="n">
        <v>1</v>
      </c>
      <c r="R1511" s="1" t="n">
        <v>0</v>
      </c>
      <c r="S1511" s="1" t="n">
        <v>0</v>
      </c>
      <c r="T1511" s="1" t="n">
        <v>0</v>
      </c>
      <c r="U1511" s="1" t="n">
        <v>0</v>
      </c>
      <c r="V1511" s="3" t="n">
        <f aca="false">SUM(P1511:Q1511)</f>
        <v>1</v>
      </c>
      <c r="W1511" s="3" t="n">
        <f aca="false">SUM(R1511:T1511)</f>
        <v>0</v>
      </c>
      <c r="X1511" s="22" t="n">
        <v>40052</v>
      </c>
      <c r="Y1511" s="22" t="n">
        <v>40057</v>
      </c>
    </row>
    <row r="1512" customFormat="false" ht="14.25" hidden="false" customHeight="false" outlineLevel="0" collapsed="false">
      <c r="A1512" s="1" t="n">
        <v>2009</v>
      </c>
      <c r="B1512" s="1" t="n">
        <v>2</v>
      </c>
      <c r="C1512" s="2" t="s">
        <v>50</v>
      </c>
      <c r="D1512" s="7" t="s">
        <v>158</v>
      </c>
      <c r="E1512" s="1" t="n">
        <v>1</v>
      </c>
      <c r="F1512" s="1" t="n">
        <f aca="false">Y1512-X1512</f>
        <v>5</v>
      </c>
      <c r="G1512" s="1" t="n">
        <v>5</v>
      </c>
      <c r="H1512" s="3" t="s">
        <v>36</v>
      </c>
      <c r="I1512" s="3" t="s">
        <v>37</v>
      </c>
      <c r="J1512" s="8" t="s">
        <v>75</v>
      </c>
      <c r="K1512" s="2" t="str">
        <f aca="false">CONCATENATE(I1512," ",J1512)</f>
        <v>Ozyptila praticola</v>
      </c>
      <c r="L1512" s="3" t="n">
        <f aca="false">SUM(P1512:U1512)</f>
        <v>1</v>
      </c>
      <c r="M1512" s="11" t="n">
        <f aca="false">(L1512/(F1512*G1512)*25)*4</f>
        <v>4</v>
      </c>
      <c r="N1512" s="1" t="s">
        <v>30</v>
      </c>
      <c r="O1512" s="1" t="s">
        <v>31</v>
      </c>
      <c r="P1512" s="1" t="n">
        <v>1</v>
      </c>
      <c r="Q1512" s="1" t="n">
        <v>0</v>
      </c>
      <c r="R1512" s="1" t="n">
        <v>0</v>
      </c>
      <c r="S1512" s="1" t="n">
        <v>0</v>
      </c>
      <c r="T1512" s="1" t="n">
        <v>0</v>
      </c>
      <c r="U1512" s="1" t="n">
        <v>0</v>
      </c>
      <c r="V1512" s="3" t="n">
        <f aca="false">SUM(P1512:Q1512)</f>
        <v>1</v>
      </c>
      <c r="W1512" s="3" t="n">
        <f aca="false">SUM(R1512:T1512)</f>
        <v>0</v>
      </c>
      <c r="X1512" s="22" t="n">
        <v>40052</v>
      </c>
      <c r="Y1512" s="22" t="n">
        <v>40057</v>
      </c>
    </row>
    <row r="1513" customFormat="false" ht="14.25" hidden="false" customHeight="false" outlineLevel="0" collapsed="false">
      <c r="A1513" s="1" t="n">
        <v>2009</v>
      </c>
      <c r="B1513" s="1" t="n">
        <v>2</v>
      </c>
      <c r="C1513" s="2" t="s">
        <v>50</v>
      </c>
      <c r="D1513" s="7" t="s">
        <v>158</v>
      </c>
      <c r="E1513" s="1" t="n">
        <v>1</v>
      </c>
      <c r="F1513" s="1" t="n">
        <f aca="false">Y1513-X1513</f>
        <v>5</v>
      </c>
      <c r="G1513" s="1" t="n">
        <v>5</v>
      </c>
      <c r="H1513" s="3" t="s">
        <v>32</v>
      </c>
      <c r="I1513" s="3" t="s">
        <v>57</v>
      </c>
      <c r="J1513" s="3" t="s">
        <v>38</v>
      </c>
      <c r="K1513" s="2" t="str">
        <f aca="false">CONCATENATE(I1513," ",J1513)</f>
        <v>Gen sp</v>
      </c>
      <c r="L1513" s="3" t="n">
        <f aca="false">SUM(P1513:U1513)</f>
        <v>1</v>
      </c>
      <c r="M1513" s="11" t="n">
        <f aca="false">(L1513/(F1513*G1513)*25)*4</f>
        <v>4</v>
      </c>
      <c r="N1513" s="1" t="s">
        <v>19</v>
      </c>
      <c r="O1513" s="1" t="s">
        <v>54</v>
      </c>
      <c r="P1513" s="1" t="n">
        <v>0</v>
      </c>
      <c r="Q1513" s="1" t="n">
        <v>0</v>
      </c>
      <c r="R1513" s="1" t="n">
        <v>0</v>
      </c>
      <c r="S1513" s="1" t="n">
        <v>0</v>
      </c>
      <c r="T1513" s="1" t="n">
        <v>1</v>
      </c>
      <c r="U1513" s="1" t="n">
        <v>0</v>
      </c>
      <c r="V1513" s="3" t="n">
        <f aca="false">SUM(P1513:Q1513)</f>
        <v>0</v>
      </c>
      <c r="W1513" s="3" t="n">
        <f aca="false">SUM(R1513:T1513)</f>
        <v>1</v>
      </c>
      <c r="X1513" s="22" t="n">
        <v>40052</v>
      </c>
      <c r="Y1513" s="22" t="n">
        <v>40057</v>
      </c>
    </row>
    <row r="1514" customFormat="false" ht="14.25" hidden="false" customHeight="false" outlineLevel="0" collapsed="false">
      <c r="A1514" s="1" t="n">
        <v>2009</v>
      </c>
      <c r="B1514" s="1" t="n">
        <v>2</v>
      </c>
      <c r="C1514" s="2" t="s">
        <v>50</v>
      </c>
      <c r="D1514" s="7" t="s">
        <v>158</v>
      </c>
      <c r="E1514" s="1" t="n">
        <v>1</v>
      </c>
      <c r="F1514" s="1" t="n">
        <f aca="false">Y1514-X1514</f>
        <v>5</v>
      </c>
      <c r="G1514" s="1" t="n">
        <v>5</v>
      </c>
      <c r="H1514" s="3" t="s">
        <v>48</v>
      </c>
      <c r="I1514" s="3" t="s">
        <v>61</v>
      </c>
      <c r="J1514" s="3" t="s">
        <v>82</v>
      </c>
      <c r="K1514" s="2" t="str">
        <f aca="false">CONCATENATE(I1514," ",J1514)</f>
        <v>Trochosa terricola</v>
      </c>
      <c r="L1514" s="3" t="n">
        <f aca="false">SUM(P1514:U1514)</f>
        <v>1</v>
      </c>
      <c r="M1514" s="11" t="n">
        <f aca="false">(L1514/(F1514*G1514)*25)*4</f>
        <v>4</v>
      </c>
      <c r="N1514" s="1" t="s">
        <v>30</v>
      </c>
      <c r="O1514" s="1" t="s">
        <v>35</v>
      </c>
      <c r="P1514" s="1" t="n">
        <v>0</v>
      </c>
      <c r="Q1514" s="1" t="n">
        <v>1</v>
      </c>
      <c r="R1514" s="1" t="n">
        <v>0</v>
      </c>
      <c r="S1514" s="1" t="n">
        <v>0</v>
      </c>
      <c r="T1514" s="1" t="n">
        <v>0</v>
      </c>
      <c r="U1514" s="1" t="n">
        <v>0</v>
      </c>
      <c r="V1514" s="3" t="n">
        <f aca="false">SUM(P1514:Q1514)</f>
        <v>1</v>
      </c>
      <c r="W1514" s="3" t="n">
        <f aca="false">SUM(R1514:T1514)</f>
        <v>0</v>
      </c>
      <c r="X1514" s="22" t="n">
        <v>40052</v>
      </c>
      <c r="Y1514" s="22" t="n">
        <v>40057</v>
      </c>
    </row>
    <row r="1515" customFormat="false" ht="14.25" hidden="false" customHeight="false" outlineLevel="0" collapsed="false">
      <c r="A1515" s="1" t="n">
        <v>2009</v>
      </c>
      <c r="B1515" s="1" t="n">
        <v>2</v>
      </c>
      <c r="C1515" s="2" t="s">
        <v>50</v>
      </c>
      <c r="D1515" s="7" t="s">
        <v>158</v>
      </c>
      <c r="E1515" s="1" t="n">
        <v>1</v>
      </c>
      <c r="F1515" s="1" t="n">
        <f aca="false">Y1515-X1515</f>
        <v>5</v>
      </c>
      <c r="G1515" s="1" t="n">
        <v>5</v>
      </c>
      <c r="H1515" s="3" t="s">
        <v>36</v>
      </c>
      <c r="I1515" s="3" t="s">
        <v>37</v>
      </c>
      <c r="J1515" s="8" t="s">
        <v>75</v>
      </c>
      <c r="K1515" s="2" t="str">
        <f aca="false">CONCATENATE(I1515," ",J1515)</f>
        <v>Ozyptila praticola</v>
      </c>
      <c r="L1515" s="3" t="n">
        <f aca="false">SUM(P1515:U1515)</f>
        <v>1</v>
      </c>
      <c r="M1515" s="11" t="n">
        <f aca="false">(L1515/(F1515*G1515)*25)*4</f>
        <v>4</v>
      </c>
      <c r="N1515" s="1" t="s">
        <v>30</v>
      </c>
      <c r="O1515" s="1" t="s">
        <v>31</v>
      </c>
      <c r="P1515" s="1" t="n">
        <v>1</v>
      </c>
      <c r="Q1515" s="1" t="n">
        <v>0</v>
      </c>
      <c r="R1515" s="1" t="n">
        <v>0</v>
      </c>
      <c r="S1515" s="1" t="n">
        <v>0</v>
      </c>
      <c r="T1515" s="1" t="n">
        <v>0</v>
      </c>
      <c r="U1515" s="1" t="n">
        <v>0</v>
      </c>
      <c r="V1515" s="3" t="n">
        <f aca="false">SUM(P1515:Q1515)</f>
        <v>1</v>
      </c>
      <c r="W1515" s="3" t="n">
        <f aca="false">SUM(R1515:T1515)</f>
        <v>0</v>
      </c>
      <c r="X1515" s="22" t="n">
        <v>40052</v>
      </c>
      <c r="Y1515" s="22" t="n">
        <v>40057</v>
      </c>
    </row>
    <row r="1516" customFormat="false" ht="14.25" hidden="false" customHeight="false" outlineLevel="0" collapsed="false">
      <c r="A1516" s="1" t="n">
        <v>2009</v>
      </c>
      <c r="B1516" s="1" t="n">
        <v>2</v>
      </c>
      <c r="C1516" s="2" t="s">
        <v>50</v>
      </c>
      <c r="D1516" s="7" t="s">
        <v>158</v>
      </c>
      <c r="E1516" s="1" t="n">
        <v>1</v>
      </c>
      <c r="F1516" s="1" t="n">
        <f aca="false">Y1516-X1516</f>
        <v>5</v>
      </c>
      <c r="G1516" s="1" t="n">
        <v>5</v>
      </c>
      <c r="H1516" s="3" t="s">
        <v>36</v>
      </c>
      <c r="I1516" s="3" t="s">
        <v>37</v>
      </c>
      <c r="J1516" s="8" t="s">
        <v>75</v>
      </c>
      <c r="K1516" s="2" t="str">
        <f aca="false">CONCATENATE(I1516," ",J1516)</f>
        <v>Ozyptila praticola</v>
      </c>
      <c r="L1516" s="3" t="n">
        <f aca="false">SUM(P1516:U1516)</f>
        <v>1</v>
      </c>
      <c r="M1516" s="11" t="n">
        <f aca="false">(L1516/(F1516*G1516)*25)*4</f>
        <v>4</v>
      </c>
      <c r="N1516" s="1" t="s">
        <v>19</v>
      </c>
      <c r="O1516" s="1" t="s">
        <v>54</v>
      </c>
      <c r="P1516" s="1" t="n">
        <v>0</v>
      </c>
      <c r="Q1516" s="1" t="n">
        <v>0</v>
      </c>
      <c r="R1516" s="1" t="n">
        <v>0</v>
      </c>
      <c r="S1516" s="1" t="n">
        <v>0</v>
      </c>
      <c r="T1516" s="1" t="n">
        <v>1</v>
      </c>
      <c r="U1516" s="1" t="n">
        <v>0</v>
      </c>
      <c r="V1516" s="3" t="n">
        <f aca="false">SUM(P1516:Q1516)</f>
        <v>0</v>
      </c>
      <c r="W1516" s="3" t="n">
        <f aca="false">SUM(R1516:T1516)</f>
        <v>1</v>
      </c>
      <c r="X1516" s="22" t="n">
        <v>40052</v>
      </c>
      <c r="Y1516" s="22" t="n">
        <v>40057</v>
      </c>
    </row>
    <row r="1517" customFormat="false" ht="14.25" hidden="false" customHeight="false" outlineLevel="0" collapsed="false">
      <c r="A1517" s="1" t="n">
        <v>2009</v>
      </c>
      <c r="B1517" s="1" t="n">
        <v>2</v>
      </c>
      <c r="C1517" s="2" t="s">
        <v>50</v>
      </c>
      <c r="D1517" s="7" t="s">
        <v>158</v>
      </c>
      <c r="E1517" s="1" t="n">
        <v>1</v>
      </c>
      <c r="F1517" s="1" t="n">
        <f aca="false">Y1517-X1517</f>
        <v>5</v>
      </c>
      <c r="G1517" s="1" t="n">
        <v>5</v>
      </c>
      <c r="H1517" s="3" t="s">
        <v>32</v>
      </c>
      <c r="I1517" s="3" t="s">
        <v>68</v>
      </c>
      <c r="J1517" s="8" t="s">
        <v>69</v>
      </c>
      <c r="K1517" s="2" t="str">
        <f aca="false">CONCATENATE(I1517," ",J1517)</f>
        <v>Centromerus sylvaticus</v>
      </c>
      <c r="L1517" s="3" t="n">
        <f aca="false">SUM(P1517:U1517)</f>
        <v>1</v>
      </c>
      <c r="M1517" s="11" t="n">
        <f aca="false">(L1517/(F1517*G1517)*25)*4</f>
        <v>4</v>
      </c>
      <c r="N1517" s="1" t="s">
        <v>30</v>
      </c>
      <c r="O1517" s="1" t="s">
        <v>35</v>
      </c>
      <c r="P1517" s="1" t="n">
        <v>0</v>
      </c>
      <c r="Q1517" s="1" t="n">
        <v>1</v>
      </c>
      <c r="R1517" s="1" t="n">
        <v>0</v>
      </c>
      <c r="S1517" s="1" t="n">
        <v>0</v>
      </c>
      <c r="T1517" s="1" t="n">
        <v>0</v>
      </c>
      <c r="U1517" s="1" t="n">
        <v>0</v>
      </c>
      <c r="V1517" s="3" t="n">
        <f aca="false">SUM(P1517:Q1517)</f>
        <v>1</v>
      </c>
      <c r="W1517" s="3" t="n">
        <f aca="false">SUM(R1517:T1517)</f>
        <v>0</v>
      </c>
      <c r="X1517" s="22" t="n">
        <v>40052</v>
      </c>
      <c r="Y1517" s="22" t="n">
        <v>40057</v>
      </c>
    </row>
    <row r="1518" customFormat="false" ht="14.25" hidden="false" customHeight="false" outlineLevel="0" collapsed="false">
      <c r="A1518" s="1" t="n">
        <v>2009</v>
      </c>
      <c r="B1518" s="1" t="n">
        <v>2</v>
      </c>
      <c r="C1518" s="2" t="s">
        <v>50</v>
      </c>
      <c r="D1518" s="7" t="s">
        <v>158</v>
      </c>
      <c r="E1518" s="1" t="n">
        <v>1</v>
      </c>
      <c r="F1518" s="1" t="n">
        <f aca="false">Y1518-X1518</f>
        <v>5</v>
      </c>
      <c r="G1518" s="1" t="n">
        <v>5</v>
      </c>
      <c r="H1518" s="3" t="s">
        <v>48</v>
      </c>
      <c r="I1518" s="3" t="s">
        <v>67</v>
      </c>
      <c r="J1518" s="3" t="s">
        <v>38</v>
      </c>
      <c r="K1518" s="2" t="str">
        <f aca="false">CONCATENATE(I1518," ",J1518)</f>
        <v>Pardosa sp</v>
      </c>
      <c r="L1518" s="3" t="n">
        <f aca="false">SUM(P1518:U1518)</f>
        <v>2</v>
      </c>
      <c r="M1518" s="11" t="n">
        <f aca="false">(L1518/(F1518*G1518)*25)*4</f>
        <v>8</v>
      </c>
      <c r="N1518" s="1" t="s">
        <v>19</v>
      </c>
      <c r="O1518" s="1" t="s">
        <v>54</v>
      </c>
      <c r="P1518" s="1" t="n">
        <v>0</v>
      </c>
      <c r="Q1518" s="1" t="n">
        <v>0</v>
      </c>
      <c r="R1518" s="1" t="n">
        <v>0</v>
      </c>
      <c r="S1518" s="1" t="n">
        <v>0</v>
      </c>
      <c r="T1518" s="1" t="n">
        <v>2</v>
      </c>
      <c r="U1518" s="1" t="n">
        <v>0</v>
      </c>
      <c r="V1518" s="3" t="n">
        <f aca="false">SUM(P1518:Q1518)</f>
        <v>0</v>
      </c>
      <c r="W1518" s="3" t="n">
        <f aca="false">SUM(R1518:T1518)</f>
        <v>2</v>
      </c>
      <c r="X1518" s="22" t="n">
        <v>40052</v>
      </c>
      <c r="Y1518" s="22" t="n">
        <v>40057</v>
      </c>
    </row>
    <row r="1519" customFormat="false" ht="14.25" hidden="false" customHeight="false" outlineLevel="0" collapsed="false">
      <c r="A1519" s="1" t="n">
        <v>2009</v>
      </c>
      <c r="B1519" s="1" t="n">
        <v>2</v>
      </c>
      <c r="C1519" s="2" t="s">
        <v>50</v>
      </c>
      <c r="D1519" s="7" t="s">
        <v>158</v>
      </c>
      <c r="E1519" s="1" t="n">
        <v>1</v>
      </c>
      <c r="F1519" s="1" t="n">
        <f aca="false">Y1519-X1519</f>
        <v>5</v>
      </c>
      <c r="G1519" s="1" t="n">
        <v>5</v>
      </c>
      <c r="H1519" s="3" t="s">
        <v>48</v>
      </c>
      <c r="I1519" s="3" t="s">
        <v>61</v>
      </c>
      <c r="J1519" s="3" t="s">
        <v>38</v>
      </c>
      <c r="K1519" s="2" t="str">
        <f aca="false">CONCATENATE(I1519," ",J1519)</f>
        <v>Trochosa sp</v>
      </c>
      <c r="L1519" s="3" t="n">
        <f aca="false">SUM(P1519:U1519)</f>
        <v>1</v>
      </c>
      <c r="M1519" s="11" t="n">
        <f aca="false">(L1519/(F1519*G1519)*25)*4</f>
        <v>4</v>
      </c>
      <c r="N1519" s="1" t="s">
        <v>19</v>
      </c>
      <c r="O1519" s="1" t="s">
        <v>54</v>
      </c>
      <c r="P1519" s="1" t="n">
        <v>0</v>
      </c>
      <c r="Q1519" s="1" t="n">
        <v>0</v>
      </c>
      <c r="R1519" s="1" t="n">
        <v>0</v>
      </c>
      <c r="S1519" s="1" t="n">
        <v>0</v>
      </c>
      <c r="T1519" s="1" t="n">
        <v>1</v>
      </c>
      <c r="U1519" s="1" t="n">
        <v>0</v>
      </c>
      <c r="V1519" s="3" t="n">
        <f aca="false">SUM(P1519:Q1519)</f>
        <v>0</v>
      </c>
      <c r="W1519" s="3" t="n">
        <f aca="false">SUM(R1519:T1519)</f>
        <v>1</v>
      </c>
      <c r="X1519" s="22" t="n">
        <v>40052</v>
      </c>
      <c r="Y1519" s="22" t="n">
        <v>40057</v>
      </c>
    </row>
    <row r="1520" customFormat="false" ht="14.25" hidden="false" customHeight="false" outlineLevel="0" collapsed="false">
      <c r="A1520" s="1" t="n">
        <v>2009</v>
      </c>
      <c r="B1520" s="1" t="n">
        <v>2</v>
      </c>
      <c r="C1520" s="2" t="s">
        <v>50</v>
      </c>
      <c r="D1520" s="7" t="s">
        <v>158</v>
      </c>
      <c r="E1520" s="1" t="n">
        <v>1</v>
      </c>
      <c r="F1520" s="1" t="n">
        <f aca="false">Y1520-X1520</f>
        <v>5</v>
      </c>
      <c r="G1520" s="1" t="n">
        <v>5</v>
      </c>
      <c r="H1520" s="3" t="s">
        <v>41</v>
      </c>
      <c r="I1520" s="3" t="s">
        <v>42</v>
      </c>
      <c r="J1520" s="3" t="s">
        <v>43</v>
      </c>
      <c r="K1520" s="2" t="str">
        <f aca="false">CONCATENATE(I1520," ",J1520)</f>
        <v>Agroeca proxima</v>
      </c>
      <c r="L1520" s="3" t="n">
        <f aca="false">SUM(P1520:U1520)</f>
        <v>1</v>
      </c>
      <c r="M1520" s="11" t="n">
        <f aca="false">(L1520/(F1520*G1520)*25)*4</f>
        <v>4</v>
      </c>
      <c r="N1520" s="1" t="s">
        <v>30</v>
      </c>
      <c r="O1520" s="1" t="s">
        <v>35</v>
      </c>
      <c r="P1520" s="1" t="n">
        <v>0</v>
      </c>
      <c r="Q1520" s="1" t="n">
        <v>1</v>
      </c>
      <c r="R1520" s="1" t="n">
        <v>0</v>
      </c>
      <c r="S1520" s="1" t="n">
        <v>0</v>
      </c>
      <c r="T1520" s="1" t="n">
        <v>0</v>
      </c>
      <c r="U1520" s="1" t="n">
        <v>0</v>
      </c>
      <c r="V1520" s="3" t="n">
        <f aca="false">SUM(P1520:Q1520)</f>
        <v>1</v>
      </c>
      <c r="W1520" s="3" t="n">
        <f aca="false">SUM(R1520:T1520)</f>
        <v>0</v>
      </c>
      <c r="X1520" s="22" t="n">
        <v>40052</v>
      </c>
      <c r="Y1520" s="22" t="n">
        <v>40057</v>
      </c>
    </row>
    <row r="1521" customFormat="false" ht="14.25" hidden="false" customHeight="false" outlineLevel="0" collapsed="false">
      <c r="A1521" s="1" t="n">
        <v>2009</v>
      </c>
      <c r="B1521" s="1" t="n">
        <v>2</v>
      </c>
      <c r="C1521" s="2" t="s">
        <v>50</v>
      </c>
      <c r="D1521" s="7" t="s">
        <v>158</v>
      </c>
      <c r="E1521" s="1" t="n">
        <v>1</v>
      </c>
      <c r="F1521" s="1" t="n">
        <f aca="false">Y1521-X1521</f>
        <v>5</v>
      </c>
      <c r="G1521" s="1" t="n">
        <v>5</v>
      </c>
      <c r="H1521" s="3" t="s">
        <v>32</v>
      </c>
      <c r="I1521" s="3" t="s">
        <v>68</v>
      </c>
      <c r="J1521" s="8" t="s">
        <v>69</v>
      </c>
      <c r="K1521" s="2" t="str">
        <f aca="false">CONCATENATE(I1521," ",J1521)</f>
        <v>Centromerus sylvaticus</v>
      </c>
      <c r="L1521" s="3" t="n">
        <f aca="false">SUM(P1521:U1521)</f>
        <v>1</v>
      </c>
      <c r="M1521" s="11" t="n">
        <f aca="false">(L1521/(F1521*G1521)*25)*4</f>
        <v>4</v>
      </c>
      <c r="N1521" s="1" t="s">
        <v>30</v>
      </c>
      <c r="O1521" s="1" t="s">
        <v>35</v>
      </c>
      <c r="P1521" s="1" t="n">
        <v>0</v>
      </c>
      <c r="Q1521" s="1" t="n">
        <v>1</v>
      </c>
      <c r="R1521" s="1" t="n">
        <v>0</v>
      </c>
      <c r="S1521" s="1" t="n">
        <v>0</v>
      </c>
      <c r="T1521" s="1" t="n">
        <v>0</v>
      </c>
      <c r="U1521" s="1" t="n">
        <v>0</v>
      </c>
      <c r="V1521" s="3" t="n">
        <f aca="false">SUM(P1521:Q1521)</f>
        <v>1</v>
      </c>
      <c r="W1521" s="3" t="n">
        <f aca="false">SUM(R1521:T1521)</f>
        <v>0</v>
      </c>
      <c r="X1521" s="22" t="n">
        <v>40052</v>
      </c>
      <c r="Y1521" s="22" t="n">
        <v>40057</v>
      </c>
    </row>
    <row r="1522" customFormat="false" ht="14.25" hidden="false" customHeight="false" outlineLevel="0" collapsed="false">
      <c r="A1522" s="1" t="n">
        <v>2009</v>
      </c>
      <c r="B1522" s="1" t="n">
        <v>2</v>
      </c>
      <c r="C1522" s="2" t="s">
        <v>50</v>
      </c>
      <c r="D1522" s="7" t="s">
        <v>158</v>
      </c>
      <c r="E1522" s="1" t="n">
        <v>1</v>
      </c>
      <c r="F1522" s="1" t="n">
        <f aca="false">Y1522-X1522</f>
        <v>5</v>
      </c>
      <c r="G1522" s="1" t="n">
        <v>5</v>
      </c>
      <c r="H1522" s="3" t="s">
        <v>48</v>
      </c>
      <c r="I1522" s="3" t="s">
        <v>49</v>
      </c>
      <c r="J1522" s="3" t="s">
        <v>38</v>
      </c>
      <c r="K1522" s="2" t="str">
        <f aca="false">CONCATENATE(I1522," ",J1522)</f>
        <v>Alopecosa sp</v>
      </c>
      <c r="L1522" s="3" t="n">
        <f aca="false">SUM(P1522:U1522)</f>
        <v>1</v>
      </c>
      <c r="M1522" s="11" t="n">
        <f aca="false">(L1522/(F1522*G1522)*25)*4</f>
        <v>4</v>
      </c>
      <c r="N1522" s="1" t="s">
        <v>19</v>
      </c>
      <c r="O1522" s="1" t="s">
        <v>54</v>
      </c>
      <c r="P1522" s="1" t="n">
        <v>0</v>
      </c>
      <c r="Q1522" s="1" t="n">
        <v>0</v>
      </c>
      <c r="R1522" s="1" t="n">
        <v>0</v>
      </c>
      <c r="S1522" s="1" t="n">
        <v>0</v>
      </c>
      <c r="T1522" s="1" t="n">
        <v>1</v>
      </c>
      <c r="U1522" s="1" t="n">
        <v>0</v>
      </c>
      <c r="V1522" s="3" t="n">
        <f aca="false">SUM(P1522:Q1522)</f>
        <v>0</v>
      </c>
      <c r="W1522" s="3" t="n">
        <f aca="false">SUM(R1522:T1522)</f>
        <v>1</v>
      </c>
      <c r="X1522" s="22" t="n">
        <v>40052</v>
      </c>
      <c r="Y1522" s="22" t="n">
        <v>40057</v>
      </c>
    </row>
    <row r="1523" customFormat="false" ht="14.25" hidden="false" customHeight="false" outlineLevel="0" collapsed="false">
      <c r="A1523" s="1" t="n">
        <v>2009</v>
      </c>
      <c r="B1523" s="1" t="n">
        <v>2</v>
      </c>
      <c r="C1523" s="2" t="s">
        <v>50</v>
      </c>
      <c r="D1523" s="7" t="s">
        <v>158</v>
      </c>
      <c r="E1523" s="1" t="n">
        <v>1</v>
      </c>
      <c r="F1523" s="1" t="n">
        <f aca="false">Y1523-X1523</f>
        <v>5</v>
      </c>
      <c r="G1523" s="1" t="n">
        <v>5</v>
      </c>
      <c r="H1523" s="3" t="s">
        <v>41</v>
      </c>
      <c r="I1523" s="3" t="s">
        <v>42</v>
      </c>
      <c r="J1523" s="3" t="s">
        <v>43</v>
      </c>
      <c r="K1523" s="2" t="str">
        <f aca="false">CONCATENATE(I1523," ",J1523)</f>
        <v>Agroeca proxima</v>
      </c>
      <c r="L1523" s="3" t="n">
        <f aca="false">SUM(P1523:U1523)</f>
        <v>2</v>
      </c>
      <c r="M1523" s="11" t="n">
        <f aca="false">(L1523/(F1523*G1523)*25)*4</f>
        <v>8</v>
      </c>
      <c r="N1523" s="1" t="s">
        <v>30</v>
      </c>
      <c r="O1523" s="1" t="s">
        <v>31</v>
      </c>
      <c r="P1523" s="1" t="n">
        <v>2</v>
      </c>
      <c r="Q1523" s="1" t="n">
        <v>0</v>
      </c>
      <c r="R1523" s="1" t="n">
        <v>0</v>
      </c>
      <c r="S1523" s="1" t="n">
        <v>0</v>
      </c>
      <c r="T1523" s="1" t="n">
        <v>0</v>
      </c>
      <c r="U1523" s="1" t="n">
        <v>0</v>
      </c>
      <c r="V1523" s="3" t="n">
        <f aca="false">SUM(P1523:Q1523)</f>
        <v>2</v>
      </c>
      <c r="W1523" s="3" t="n">
        <f aca="false">SUM(R1523:T1523)</f>
        <v>0</v>
      </c>
      <c r="X1523" s="22" t="n">
        <v>40052</v>
      </c>
      <c r="Y1523" s="22" t="n">
        <v>40057</v>
      </c>
    </row>
    <row r="1524" customFormat="false" ht="14.25" hidden="false" customHeight="false" outlineLevel="0" collapsed="false">
      <c r="A1524" s="1" t="n">
        <v>2009</v>
      </c>
      <c r="B1524" s="1" t="n">
        <v>2</v>
      </c>
      <c r="C1524" s="2" t="s">
        <v>50</v>
      </c>
      <c r="D1524" s="7" t="s">
        <v>158</v>
      </c>
      <c r="E1524" s="1" t="n">
        <v>1</v>
      </c>
      <c r="F1524" s="1" t="n">
        <f aca="false">Y1524-X1524</f>
        <v>5</v>
      </c>
      <c r="G1524" s="1" t="n">
        <v>5</v>
      </c>
      <c r="H1524" s="3" t="s">
        <v>41</v>
      </c>
      <c r="I1524" s="3" t="s">
        <v>42</v>
      </c>
      <c r="J1524" s="3" t="s">
        <v>43</v>
      </c>
      <c r="K1524" s="2" t="str">
        <f aca="false">CONCATENATE(I1524," ",J1524)</f>
        <v>Agroeca proxima</v>
      </c>
      <c r="L1524" s="3" t="n">
        <f aca="false">SUM(P1524:U1524)</f>
        <v>1</v>
      </c>
      <c r="M1524" s="11" t="n">
        <f aca="false">(L1524/(F1524*G1524)*25)*4</f>
        <v>4</v>
      </c>
      <c r="N1524" s="1" t="s">
        <v>30</v>
      </c>
      <c r="O1524" s="1" t="s">
        <v>35</v>
      </c>
      <c r="P1524" s="1" t="n">
        <v>0</v>
      </c>
      <c r="Q1524" s="1" t="n">
        <v>1</v>
      </c>
      <c r="R1524" s="1" t="n">
        <v>0</v>
      </c>
      <c r="S1524" s="1" t="n">
        <v>0</v>
      </c>
      <c r="T1524" s="1" t="n">
        <v>0</v>
      </c>
      <c r="U1524" s="1" t="n">
        <v>0</v>
      </c>
      <c r="V1524" s="3" t="n">
        <f aca="false">SUM(P1524:Q1524)</f>
        <v>1</v>
      </c>
      <c r="W1524" s="3" t="n">
        <f aca="false">SUM(R1524:T1524)</f>
        <v>0</v>
      </c>
      <c r="X1524" s="22" t="n">
        <v>40052</v>
      </c>
      <c r="Y1524" s="22" t="n">
        <v>40057</v>
      </c>
    </row>
    <row r="1525" customFormat="false" ht="14.25" hidden="false" customHeight="false" outlineLevel="0" collapsed="false">
      <c r="A1525" s="1" t="n">
        <v>2009</v>
      </c>
      <c r="B1525" s="1" t="n">
        <v>2</v>
      </c>
      <c r="C1525" s="2" t="s">
        <v>50</v>
      </c>
      <c r="D1525" s="7" t="s">
        <v>158</v>
      </c>
      <c r="E1525" s="1" t="n">
        <v>2</v>
      </c>
      <c r="F1525" s="1" t="n">
        <f aca="false">Y1525-X1525</f>
        <v>5</v>
      </c>
      <c r="G1525" s="1" t="n">
        <v>5</v>
      </c>
      <c r="H1525" s="3" t="s">
        <v>41</v>
      </c>
      <c r="I1525" s="3" t="s">
        <v>42</v>
      </c>
      <c r="J1525" s="3" t="s">
        <v>43</v>
      </c>
      <c r="K1525" s="2" t="str">
        <f aca="false">CONCATENATE(I1525," ",J1525)</f>
        <v>Agroeca proxima</v>
      </c>
      <c r="L1525" s="3" t="n">
        <f aca="false">SUM(P1525:U1525)</f>
        <v>1</v>
      </c>
      <c r="M1525" s="11" t="n">
        <f aca="false">(L1525/(F1525*G1525)*25)*4</f>
        <v>4</v>
      </c>
      <c r="N1525" s="1" t="s">
        <v>30</v>
      </c>
      <c r="O1525" s="1" t="s">
        <v>31</v>
      </c>
      <c r="P1525" s="1" t="n">
        <v>1</v>
      </c>
      <c r="Q1525" s="1" t="n">
        <v>0</v>
      </c>
      <c r="R1525" s="1" t="n">
        <v>0</v>
      </c>
      <c r="S1525" s="1" t="n">
        <v>0</v>
      </c>
      <c r="T1525" s="1" t="n">
        <v>0</v>
      </c>
      <c r="U1525" s="1" t="n">
        <v>0</v>
      </c>
      <c r="V1525" s="3" t="n">
        <f aca="false">SUM(P1525:Q1525)</f>
        <v>1</v>
      </c>
      <c r="W1525" s="3" t="n">
        <f aca="false">SUM(R1525:T1525)</f>
        <v>0</v>
      </c>
      <c r="X1525" s="22" t="n">
        <v>40052</v>
      </c>
      <c r="Y1525" s="22" t="n">
        <v>40057</v>
      </c>
    </row>
    <row r="1526" customFormat="false" ht="14.25" hidden="false" customHeight="false" outlineLevel="0" collapsed="false">
      <c r="A1526" s="1" t="n">
        <v>2009</v>
      </c>
      <c r="B1526" s="1" t="n">
        <v>2</v>
      </c>
      <c r="C1526" s="2" t="s">
        <v>50</v>
      </c>
      <c r="D1526" s="7" t="s">
        <v>158</v>
      </c>
      <c r="E1526" s="1" t="n">
        <v>2</v>
      </c>
      <c r="F1526" s="1" t="n">
        <f aca="false">Y1526-X1526</f>
        <v>5</v>
      </c>
      <c r="G1526" s="1" t="n">
        <v>5</v>
      </c>
      <c r="H1526" s="3" t="s">
        <v>48</v>
      </c>
      <c r="I1526" s="3" t="s">
        <v>61</v>
      </c>
      <c r="J1526" s="3" t="s">
        <v>38</v>
      </c>
      <c r="K1526" s="2" t="str">
        <f aca="false">CONCATENATE(I1526," ",J1526)</f>
        <v>Trochosa sp</v>
      </c>
      <c r="L1526" s="3" t="n">
        <f aca="false">SUM(P1526:U1526)</f>
        <v>1</v>
      </c>
      <c r="M1526" s="11" t="n">
        <f aca="false">(L1526/(F1526*G1526)*25)*4</f>
        <v>4</v>
      </c>
      <c r="N1526" s="1" t="s">
        <v>19</v>
      </c>
      <c r="O1526" s="1" t="s">
        <v>54</v>
      </c>
      <c r="P1526" s="1" t="n">
        <v>0</v>
      </c>
      <c r="Q1526" s="1" t="n">
        <v>0</v>
      </c>
      <c r="R1526" s="1" t="n">
        <v>0</v>
      </c>
      <c r="S1526" s="1" t="n">
        <v>0</v>
      </c>
      <c r="T1526" s="1" t="n">
        <v>1</v>
      </c>
      <c r="U1526" s="1" t="n">
        <v>0</v>
      </c>
      <c r="V1526" s="3" t="n">
        <f aca="false">SUM(P1526:Q1526)</f>
        <v>0</v>
      </c>
      <c r="W1526" s="3" t="n">
        <f aca="false">SUM(R1526:T1526)</f>
        <v>1</v>
      </c>
      <c r="X1526" s="22" t="n">
        <v>40052</v>
      </c>
      <c r="Y1526" s="22" t="n">
        <v>40057</v>
      </c>
    </row>
    <row r="1527" customFormat="false" ht="14.25" hidden="false" customHeight="false" outlineLevel="0" collapsed="false">
      <c r="A1527" s="1" t="n">
        <v>2009</v>
      </c>
      <c r="B1527" s="1" t="n">
        <v>2</v>
      </c>
      <c r="C1527" s="2" t="s">
        <v>50</v>
      </c>
      <c r="D1527" s="7" t="s">
        <v>158</v>
      </c>
      <c r="E1527" s="1" t="n">
        <v>2</v>
      </c>
      <c r="F1527" s="1" t="n">
        <f aca="false">Y1527-X1527</f>
        <v>5</v>
      </c>
      <c r="G1527" s="1" t="n">
        <v>5</v>
      </c>
      <c r="H1527" s="3" t="s">
        <v>32</v>
      </c>
      <c r="I1527" s="3" t="s">
        <v>39</v>
      </c>
      <c r="J1527" s="3" t="s">
        <v>40</v>
      </c>
      <c r="K1527" s="2" t="str">
        <f aca="false">CONCATENATE(I1527," ",J1527)</f>
        <v>Helophora insignis</v>
      </c>
      <c r="L1527" s="3" t="n">
        <f aca="false">SUM(P1527:U1527)</f>
        <v>1</v>
      </c>
      <c r="M1527" s="11" t="n">
        <f aca="false">(L1527/(F1527*G1527)*25)*4</f>
        <v>4</v>
      </c>
      <c r="N1527" s="1" t="s">
        <v>30</v>
      </c>
      <c r="O1527" s="1" t="s">
        <v>31</v>
      </c>
      <c r="P1527" s="1" t="n">
        <v>1</v>
      </c>
      <c r="Q1527" s="1" t="n">
        <v>0</v>
      </c>
      <c r="R1527" s="1" t="n">
        <v>0</v>
      </c>
      <c r="S1527" s="1" t="n">
        <v>0</v>
      </c>
      <c r="T1527" s="1" t="n">
        <v>0</v>
      </c>
      <c r="U1527" s="1" t="n">
        <v>0</v>
      </c>
      <c r="V1527" s="3" t="n">
        <f aca="false">SUM(P1527:Q1527)</f>
        <v>1</v>
      </c>
      <c r="W1527" s="3" t="n">
        <f aca="false">SUM(R1527:T1527)</f>
        <v>0</v>
      </c>
      <c r="X1527" s="22" t="n">
        <v>40052</v>
      </c>
      <c r="Y1527" s="22" t="n">
        <v>40057</v>
      </c>
    </row>
    <row r="1528" customFormat="false" ht="14.25" hidden="false" customHeight="false" outlineLevel="0" collapsed="false">
      <c r="A1528" s="1" t="n">
        <v>2009</v>
      </c>
      <c r="B1528" s="1" t="n">
        <v>2</v>
      </c>
      <c r="C1528" s="2" t="s">
        <v>50</v>
      </c>
      <c r="D1528" s="7" t="s">
        <v>158</v>
      </c>
      <c r="E1528" s="1" t="n">
        <v>2</v>
      </c>
      <c r="F1528" s="1" t="n">
        <f aca="false">Y1528-X1528</f>
        <v>5</v>
      </c>
      <c r="G1528" s="1" t="n">
        <v>5</v>
      </c>
      <c r="H1528" s="3" t="s">
        <v>32</v>
      </c>
      <c r="I1528" s="3" t="s">
        <v>33</v>
      </c>
      <c r="J1528" s="3" t="s">
        <v>81</v>
      </c>
      <c r="K1528" s="2" t="str">
        <f aca="false">CONCATENATE(I1528," ",J1528)</f>
        <v>Tenuiphantes mengei</v>
      </c>
      <c r="L1528" s="3" t="n">
        <f aca="false">SUM(P1528:U1528)</f>
        <v>1</v>
      </c>
      <c r="M1528" s="11" t="n">
        <f aca="false">(L1528/(F1528*G1528)*25)*4</f>
        <v>4</v>
      </c>
      <c r="N1528" s="1" t="s">
        <v>30</v>
      </c>
      <c r="O1528" s="1" t="s">
        <v>35</v>
      </c>
      <c r="P1528" s="1" t="n">
        <v>0</v>
      </c>
      <c r="Q1528" s="1" t="n">
        <v>1</v>
      </c>
      <c r="R1528" s="1" t="n">
        <v>0</v>
      </c>
      <c r="S1528" s="1" t="n">
        <v>0</v>
      </c>
      <c r="T1528" s="1" t="n">
        <v>0</v>
      </c>
      <c r="U1528" s="1" t="n">
        <v>0</v>
      </c>
      <c r="V1528" s="3" t="n">
        <f aca="false">SUM(P1528:Q1528)</f>
        <v>1</v>
      </c>
      <c r="W1528" s="3" t="n">
        <f aca="false">SUM(R1528:T1528)</f>
        <v>0</v>
      </c>
      <c r="X1528" s="22" t="n">
        <v>40052</v>
      </c>
      <c r="Y1528" s="22" t="n">
        <v>40057</v>
      </c>
    </row>
    <row r="1529" customFormat="false" ht="14.25" hidden="false" customHeight="false" outlineLevel="0" collapsed="false">
      <c r="A1529" s="1" t="n">
        <v>2009</v>
      </c>
      <c r="B1529" s="1" t="n">
        <v>2</v>
      </c>
      <c r="C1529" s="2" t="s">
        <v>50</v>
      </c>
      <c r="D1529" s="7" t="s">
        <v>158</v>
      </c>
      <c r="E1529" s="1" t="n">
        <v>2</v>
      </c>
      <c r="F1529" s="1" t="n">
        <f aca="false">Y1529-X1529</f>
        <v>5</v>
      </c>
      <c r="G1529" s="1" t="n">
        <v>5</v>
      </c>
      <c r="H1529" s="3" t="s">
        <v>48</v>
      </c>
      <c r="I1529" s="3" t="s">
        <v>49</v>
      </c>
      <c r="J1529" s="3" t="s">
        <v>38</v>
      </c>
      <c r="K1529" s="2" t="str">
        <f aca="false">CONCATENATE(I1529," ",J1529)</f>
        <v>Alopecosa sp</v>
      </c>
      <c r="L1529" s="3" t="n">
        <f aca="false">SUM(P1529:U1529)</f>
        <v>1</v>
      </c>
      <c r="M1529" s="11" t="n">
        <f aca="false">(L1529/(F1529*G1529)*25)*4</f>
        <v>4</v>
      </c>
      <c r="N1529" s="1" t="s">
        <v>19</v>
      </c>
      <c r="O1529" s="1" t="s">
        <v>54</v>
      </c>
      <c r="P1529" s="1" t="n">
        <v>0</v>
      </c>
      <c r="Q1529" s="1" t="n">
        <v>0</v>
      </c>
      <c r="R1529" s="1" t="n">
        <v>0</v>
      </c>
      <c r="S1529" s="1" t="n">
        <v>0</v>
      </c>
      <c r="T1529" s="1" t="n">
        <v>1</v>
      </c>
      <c r="U1529" s="1" t="n">
        <v>0</v>
      </c>
      <c r="V1529" s="3" t="n">
        <f aca="false">SUM(P1529:Q1529)</f>
        <v>0</v>
      </c>
      <c r="W1529" s="3" t="n">
        <f aca="false">SUM(R1529:T1529)</f>
        <v>1</v>
      </c>
      <c r="X1529" s="22" t="n">
        <v>40052</v>
      </c>
      <c r="Y1529" s="22" t="n">
        <v>40057</v>
      </c>
    </row>
    <row r="1530" customFormat="false" ht="14.25" hidden="false" customHeight="false" outlineLevel="0" collapsed="false">
      <c r="A1530" s="1" t="n">
        <v>2009</v>
      </c>
      <c r="B1530" s="1" t="n">
        <v>2</v>
      </c>
      <c r="C1530" s="2" t="s">
        <v>50</v>
      </c>
      <c r="D1530" s="7" t="s">
        <v>158</v>
      </c>
      <c r="E1530" s="1" t="n">
        <v>2</v>
      </c>
      <c r="F1530" s="1" t="n">
        <f aca="false">Y1530-X1530</f>
        <v>5</v>
      </c>
      <c r="G1530" s="1" t="n">
        <v>5</v>
      </c>
      <c r="H1530" s="3" t="s">
        <v>36</v>
      </c>
      <c r="I1530" s="3" t="s">
        <v>37</v>
      </c>
      <c r="J1530" s="8" t="s">
        <v>75</v>
      </c>
      <c r="K1530" s="2" t="str">
        <f aca="false">CONCATENATE(I1530," ",J1530)</f>
        <v>Ozyptila praticola</v>
      </c>
      <c r="L1530" s="3" t="n">
        <f aca="false">SUM(P1530:U1530)</f>
        <v>1</v>
      </c>
      <c r="M1530" s="11" t="n">
        <f aca="false">(L1530/(F1530*G1530)*25)*4</f>
        <v>4</v>
      </c>
      <c r="N1530" s="1" t="s">
        <v>30</v>
      </c>
      <c r="O1530" s="1" t="s">
        <v>31</v>
      </c>
      <c r="P1530" s="1" t="n">
        <v>1</v>
      </c>
      <c r="Q1530" s="1" t="n">
        <v>0</v>
      </c>
      <c r="R1530" s="1" t="n">
        <v>0</v>
      </c>
      <c r="S1530" s="1" t="n">
        <v>0</v>
      </c>
      <c r="T1530" s="1" t="n">
        <v>0</v>
      </c>
      <c r="U1530" s="1" t="n">
        <v>0</v>
      </c>
      <c r="V1530" s="3" t="n">
        <f aca="false">SUM(P1530:Q1530)</f>
        <v>1</v>
      </c>
      <c r="W1530" s="3" t="n">
        <f aca="false">SUM(R1530:T1530)</f>
        <v>0</v>
      </c>
      <c r="X1530" s="22" t="n">
        <v>40052</v>
      </c>
      <c r="Y1530" s="22" t="n">
        <v>40057</v>
      </c>
    </row>
    <row r="1531" customFormat="false" ht="14.25" hidden="false" customHeight="false" outlineLevel="0" collapsed="false">
      <c r="A1531" s="1" t="n">
        <v>2009</v>
      </c>
      <c r="B1531" s="1" t="n">
        <v>2</v>
      </c>
      <c r="C1531" s="2" t="s">
        <v>50</v>
      </c>
      <c r="D1531" s="7" t="s">
        <v>158</v>
      </c>
      <c r="E1531" s="1" t="n">
        <v>2</v>
      </c>
      <c r="F1531" s="1" t="n">
        <f aca="false">Y1531-X1531</f>
        <v>5</v>
      </c>
      <c r="G1531" s="1" t="n">
        <v>5</v>
      </c>
      <c r="H1531" s="3" t="s">
        <v>36</v>
      </c>
      <c r="I1531" s="3" t="s">
        <v>37</v>
      </c>
      <c r="J1531" s="8" t="s">
        <v>75</v>
      </c>
      <c r="K1531" s="2" t="str">
        <f aca="false">CONCATENATE(I1531," ",J1531)</f>
        <v>Ozyptila praticola</v>
      </c>
      <c r="L1531" s="3" t="n">
        <f aca="false">SUM(P1531:U1531)</f>
        <v>1</v>
      </c>
      <c r="M1531" s="11" t="n">
        <f aca="false">(L1531/(F1531*G1531)*25)*4</f>
        <v>4</v>
      </c>
      <c r="N1531" s="1" t="s">
        <v>30</v>
      </c>
      <c r="O1531" s="1" t="s">
        <v>35</v>
      </c>
      <c r="P1531" s="1" t="n">
        <v>0</v>
      </c>
      <c r="Q1531" s="1" t="n">
        <v>1</v>
      </c>
      <c r="R1531" s="1" t="n">
        <v>0</v>
      </c>
      <c r="S1531" s="1" t="n">
        <v>0</v>
      </c>
      <c r="T1531" s="1" t="n">
        <v>0</v>
      </c>
      <c r="U1531" s="1" t="n">
        <v>0</v>
      </c>
      <c r="V1531" s="3" t="n">
        <f aca="false">SUM(P1531:Q1531)</f>
        <v>1</v>
      </c>
      <c r="W1531" s="3" t="n">
        <f aca="false">SUM(R1531:T1531)</f>
        <v>0</v>
      </c>
      <c r="X1531" s="22" t="n">
        <v>40052</v>
      </c>
      <c r="Y1531" s="22" t="n">
        <v>40057</v>
      </c>
    </row>
    <row r="1532" customFormat="false" ht="14.25" hidden="false" customHeight="false" outlineLevel="0" collapsed="false">
      <c r="A1532" s="1" t="n">
        <v>2009</v>
      </c>
      <c r="B1532" s="1" t="n">
        <v>2</v>
      </c>
      <c r="C1532" s="2" t="s">
        <v>50</v>
      </c>
      <c r="D1532" s="7" t="s">
        <v>158</v>
      </c>
      <c r="E1532" s="1" t="n">
        <v>2</v>
      </c>
      <c r="F1532" s="1" t="n">
        <f aca="false">Y1532-X1532</f>
        <v>5</v>
      </c>
      <c r="G1532" s="1" t="n">
        <v>5</v>
      </c>
      <c r="H1532" s="13" t="s">
        <v>32</v>
      </c>
      <c r="I1532" s="13" t="s">
        <v>96</v>
      </c>
      <c r="J1532" s="14" t="s">
        <v>97</v>
      </c>
      <c r="K1532" s="2" t="str">
        <f aca="false">CONCATENATE(I1532," ",J1532)</f>
        <v>Diplocephalus picinus</v>
      </c>
      <c r="L1532" s="3" t="n">
        <f aca="false">SUM(P1532:U1532)</f>
        <v>1</v>
      </c>
      <c r="M1532" s="11" t="n">
        <f aca="false">(L1532/(F1532*G1532)*25)*4</f>
        <v>4</v>
      </c>
      <c r="N1532" s="1" t="s">
        <v>30</v>
      </c>
      <c r="O1532" s="1" t="s">
        <v>35</v>
      </c>
      <c r="P1532" s="1" t="n">
        <v>0</v>
      </c>
      <c r="Q1532" s="1" t="n">
        <v>1</v>
      </c>
      <c r="R1532" s="1" t="n">
        <v>0</v>
      </c>
      <c r="S1532" s="1" t="n">
        <v>0</v>
      </c>
      <c r="T1532" s="1" t="n">
        <v>0</v>
      </c>
      <c r="U1532" s="1" t="n">
        <v>0</v>
      </c>
      <c r="V1532" s="3" t="n">
        <f aca="false">SUM(P1532:Q1532)</f>
        <v>1</v>
      </c>
      <c r="W1532" s="3" t="n">
        <f aca="false">SUM(R1532:T1532)</f>
        <v>0</v>
      </c>
      <c r="X1532" s="22" t="n">
        <v>40052</v>
      </c>
      <c r="Y1532" s="22" t="n">
        <v>40057</v>
      </c>
    </row>
    <row r="1533" customFormat="false" ht="14.25" hidden="false" customHeight="false" outlineLevel="0" collapsed="false">
      <c r="A1533" s="1" t="n">
        <v>2009</v>
      </c>
      <c r="B1533" s="1" t="n">
        <v>2</v>
      </c>
      <c r="C1533" s="2" t="s">
        <v>50</v>
      </c>
      <c r="D1533" s="7" t="s">
        <v>158</v>
      </c>
      <c r="E1533" s="1" t="n">
        <v>3</v>
      </c>
      <c r="F1533" s="1" t="n">
        <f aca="false">Y1533-X1533</f>
        <v>5</v>
      </c>
      <c r="G1533" s="1" t="n">
        <v>5</v>
      </c>
      <c r="H1533" s="3" t="s">
        <v>36</v>
      </c>
      <c r="I1533" s="3" t="s">
        <v>37</v>
      </c>
      <c r="J1533" s="3" t="s">
        <v>38</v>
      </c>
      <c r="K1533" s="2" t="str">
        <f aca="false">CONCATENATE(I1533," ",J1533)</f>
        <v>Ozyptila sp</v>
      </c>
      <c r="L1533" s="3" t="n">
        <f aca="false">SUM(P1533:U1533)</f>
        <v>1</v>
      </c>
      <c r="M1533" s="11" t="n">
        <f aca="false">(L1533/(F1533*G1533)*25)*4</f>
        <v>4</v>
      </c>
      <c r="N1533" s="1" t="s">
        <v>19</v>
      </c>
      <c r="O1533" s="1" t="s">
        <v>54</v>
      </c>
      <c r="P1533" s="1" t="n">
        <v>0</v>
      </c>
      <c r="Q1533" s="1" t="n">
        <v>0</v>
      </c>
      <c r="R1533" s="1" t="n">
        <v>0</v>
      </c>
      <c r="S1533" s="1" t="n">
        <v>0</v>
      </c>
      <c r="T1533" s="1" t="n">
        <v>1</v>
      </c>
      <c r="U1533" s="1" t="n">
        <v>0</v>
      </c>
      <c r="V1533" s="3" t="n">
        <f aca="false">SUM(P1533:Q1533)</f>
        <v>0</v>
      </c>
      <c r="W1533" s="3" t="n">
        <f aca="false">SUM(R1533:T1533)</f>
        <v>1</v>
      </c>
      <c r="X1533" s="22" t="n">
        <v>40052</v>
      </c>
      <c r="Y1533" s="22" t="n">
        <v>40057</v>
      </c>
    </row>
    <row r="1534" customFormat="false" ht="14.25" hidden="false" customHeight="false" outlineLevel="0" collapsed="false">
      <c r="A1534" s="1" t="n">
        <v>2009</v>
      </c>
      <c r="B1534" s="1" t="n">
        <v>2</v>
      </c>
      <c r="C1534" s="2" t="s">
        <v>50</v>
      </c>
      <c r="D1534" s="7" t="s">
        <v>158</v>
      </c>
      <c r="E1534" s="1" t="n">
        <v>3</v>
      </c>
      <c r="F1534" s="1" t="n">
        <f aca="false">Y1534-X1534</f>
        <v>5</v>
      </c>
      <c r="G1534" s="1" t="n">
        <v>5</v>
      </c>
      <c r="H1534" s="3" t="s">
        <v>32</v>
      </c>
      <c r="I1534" s="3" t="s">
        <v>68</v>
      </c>
      <c r="J1534" s="8" t="s">
        <v>69</v>
      </c>
      <c r="K1534" s="2" t="str">
        <f aca="false">CONCATENATE(I1534," ",J1534)</f>
        <v>Centromerus sylvaticus</v>
      </c>
      <c r="L1534" s="3" t="n">
        <f aca="false">SUM(P1534:U1534)</f>
        <v>1</v>
      </c>
      <c r="M1534" s="11" t="n">
        <f aca="false">(L1534/(F1534*G1534)*25)*4</f>
        <v>4</v>
      </c>
      <c r="N1534" s="1" t="s">
        <v>30</v>
      </c>
      <c r="O1534" s="1" t="s">
        <v>31</v>
      </c>
      <c r="P1534" s="1" t="n">
        <v>1</v>
      </c>
      <c r="Q1534" s="1" t="n">
        <v>0</v>
      </c>
      <c r="R1534" s="1" t="n">
        <v>0</v>
      </c>
      <c r="S1534" s="1" t="n">
        <v>0</v>
      </c>
      <c r="T1534" s="1" t="n">
        <v>0</v>
      </c>
      <c r="U1534" s="1" t="n">
        <v>0</v>
      </c>
      <c r="V1534" s="3" t="n">
        <f aca="false">SUM(P1534:Q1534)</f>
        <v>1</v>
      </c>
      <c r="W1534" s="3" t="n">
        <f aca="false">SUM(R1534:T1534)</f>
        <v>0</v>
      </c>
      <c r="X1534" s="22" t="n">
        <v>40052</v>
      </c>
      <c r="Y1534" s="22" t="n">
        <v>40057</v>
      </c>
    </row>
    <row r="1535" customFormat="false" ht="14.25" hidden="false" customHeight="false" outlineLevel="0" collapsed="false">
      <c r="A1535" s="1" t="n">
        <v>2009</v>
      </c>
      <c r="B1535" s="1" t="n">
        <v>2</v>
      </c>
      <c r="C1535" s="2" t="s">
        <v>50</v>
      </c>
      <c r="D1535" s="7" t="s">
        <v>158</v>
      </c>
      <c r="E1535" s="1" t="n">
        <v>3</v>
      </c>
      <c r="F1535" s="1" t="n">
        <f aca="false">Y1535-X1535</f>
        <v>5</v>
      </c>
      <c r="G1535" s="1" t="n">
        <v>5</v>
      </c>
      <c r="H1535" s="3" t="s">
        <v>32</v>
      </c>
      <c r="I1535" s="3" t="s">
        <v>57</v>
      </c>
      <c r="J1535" s="3" t="s">
        <v>38</v>
      </c>
      <c r="K1535" s="2" t="str">
        <f aca="false">CONCATENATE(I1535," ",J1535)</f>
        <v>Gen sp</v>
      </c>
      <c r="L1535" s="3" t="n">
        <f aca="false">SUM(P1535:U1535)</f>
        <v>2</v>
      </c>
      <c r="M1535" s="11" t="n">
        <f aca="false">(L1535/(F1535*G1535)*25)*4</f>
        <v>8</v>
      </c>
      <c r="N1535" s="1" t="s">
        <v>19</v>
      </c>
      <c r="O1535" s="1" t="s">
        <v>54</v>
      </c>
      <c r="P1535" s="1" t="n">
        <v>0</v>
      </c>
      <c r="Q1535" s="1" t="n">
        <v>0</v>
      </c>
      <c r="R1535" s="1" t="n">
        <v>0</v>
      </c>
      <c r="S1535" s="1" t="n">
        <v>0</v>
      </c>
      <c r="T1535" s="1" t="n">
        <v>2</v>
      </c>
      <c r="U1535" s="1" t="n">
        <v>0</v>
      </c>
      <c r="V1535" s="3" t="n">
        <f aca="false">SUM(P1535:Q1535)</f>
        <v>0</v>
      </c>
      <c r="W1535" s="3" t="n">
        <f aca="false">SUM(R1535:T1535)</f>
        <v>2</v>
      </c>
      <c r="X1535" s="22" t="n">
        <v>40052</v>
      </c>
      <c r="Y1535" s="22" t="n">
        <v>40057</v>
      </c>
    </row>
    <row r="1536" customFormat="false" ht="14.25" hidden="false" customHeight="false" outlineLevel="0" collapsed="false">
      <c r="A1536" s="1" t="n">
        <v>2009</v>
      </c>
      <c r="B1536" s="1" t="n">
        <v>2</v>
      </c>
      <c r="C1536" s="2" t="s">
        <v>50</v>
      </c>
      <c r="D1536" s="7" t="s">
        <v>158</v>
      </c>
      <c r="E1536" s="1" t="n">
        <v>3</v>
      </c>
      <c r="F1536" s="1" t="n">
        <f aca="false">Y1536-X1536</f>
        <v>5</v>
      </c>
      <c r="G1536" s="1" t="n">
        <v>5</v>
      </c>
      <c r="H1536" s="3" t="s">
        <v>48</v>
      </c>
      <c r="I1536" s="3" t="s">
        <v>49</v>
      </c>
      <c r="J1536" s="3" t="s">
        <v>38</v>
      </c>
      <c r="K1536" s="2" t="str">
        <f aca="false">CONCATENATE(I1536," ",J1536)</f>
        <v>Alopecosa sp</v>
      </c>
      <c r="L1536" s="3" t="n">
        <f aca="false">SUM(P1536:U1536)</f>
        <v>1</v>
      </c>
      <c r="M1536" s="11" t="n">
        <f aca="false">(L1536/(F1536*G1536)*25)*4</f>
        <v>4</v>
      </c>
      <c r="N1536" s="1" t="s">
        <v>19</v>
      </c>
      <c r="O1536" s="1" t="s">
        <v>54</v>
      </c>
      <c r="P1536" s="1" t="n">
        <v>0</v>
      </c>
      <c r="Q1536" s="1" t="n">
        <v>0</v>
      </c>
      <c r="R1536" s="1" t="n">
        <v>0</v>
      </c>
      <c r="S1536" s="1" t="n">
        <v>0</v>
      </c>
      <c r="T1536" s="1" t="n">
        <v>1</v>
      </c>
      <c r="U1536" s="1" t="n">
        <v>0</v>
      </c>
      <c r="V1536" s="3" t="n">
        <f aca="false">SUM(P1536:Q1536)</f>
        <v>0</v>
      </c>
      <c r="W1536" s="3" t="n">
        <f aca="false">SUM(R1536:T1536)</f>
        <v>1</v>
      </c>
      <c r="X1536" s="22" t="n">
        <v>40052</v>
      </c>
      <c r="Y1536" s="22" t="n">
        <v>40057</v>
      </c>
    </row>
    <row r="1537" customFormat="false" ht="14.25" hidden="false" customHeight="false" outlineLevel="0" collapsed="false">
      <c r="A1537" s="1" t="n">
        <v>2009</v>
      </c>
      <c r="B1537" s="1" t="n">
        <v>2</v>
      </c>
      <c r="C1537" s="2" t="s">
        <v>50</v>
      </c>
      <c r="D1537" s="7" t="s">
        <v>158</v>
      </c>
      <c r="E1537" s="1" t="n">
        <v>3</v>
      </c>
      <c r="F1537" s="1" t="n">
        <f aca="false">Y1537-X1537</f>
        <v>5</v>
      </c>
      <c r="G1537" s="1" t="n">
        <v>5</v>
      </c>
      <c r="H1537" s="3" t="s">
        <v>41</v>
      </c>
      <c r="I1537" s="3" t="s">
        <v>42</v>
      </c>
      <c r="J1537" s="3" t="s">
        <v>43</v>
      </c>
      <c r="K1537" s="2" t="str">
        <f aca="false">CONCATENATE(I1537," ",J1537)</f>
        <v>Agroeca proxima</v>
      </c>
      <c r="L1537" s="3" t="n">
        <f aca="false">SUM(P1537:U1537)</f>
        <v>1</v>
      </c>
      <c r="M1537" s="11" t="n">
        <f aca="false">(L1537/(F1537*G1537)*25)*4</f>
        <v>4</v>
      </c>
      <c r="N1537" s="1" t="s">
        <v>30</v>
      </c>
      <c r="O1537" s="1" t="s">
        <v>31</v>
      </c>
      <c r="P1537" s="1" t="n">
        <v>1</v>
      </c>
      <c r="Q1537" s="1" t="n">
        <v>0</v>
      </c>
      <c r="R1537" s="1" t="n">
        <v>0</v>
      </c>
      <c r="S1537" s="1" t="n">
        <v>0</v>
      </c>
      <c r="T1537" s="1" t="n">
        <v>0</v>
      </c>
      <c r="U1537" s="1" t="n">
        <v>0</v>
      </c>
      <c r="V1537" s="3" t="n">
        <f aca="false">SUM(P1537:Q1537)</f>
        <v>1</v>
      </c>
      <c r="W1537" s="3" t="n">
        <f aca="false">SUM(R1537:T1537)</f>
        <v>0</v>
      </c>
      <c r="X1537" s="22" t="n">
        <v>40052</v>
      </c>
      <c r="Y1537" s="22" t="n">
        <v>40057</v>
      </c>
    </row>
    <row r="1538" customFormat="false" ht="14.25" hidden="false" customHeight="false" outlineLevel="0" collapsed="false">
      <c r="A1538" s="1" t="n">
        <v>2009</v>
      </c>
      <c r="B1538" s="1" t="n">
        <v>2</v>
      </c>
      <c r="C1538" s="2" t="s">
        <v>50</v>
      </c>
      <c r="D1538" s="7" t="s">
        <v>158</v>
      </c>
      <c r="E1538" s="1" t="n">
        <v>3</v>
      </c>
      <c r="F1538" s="1" t="n">
        <f aca="false">Y1538-X1538</f>
        <v>5</v>
      </c>
      <c r="G1538" s="1" t="n">
        <v>5</v>
      </c>
      <c r="H1538" s="3" t="s">
        <v>41</v>
      </c>
      <c r="I1538" s="3" t="s">
        <v>42</v>
      </c>
      <c r="J1538" s="3" t="s">
        <v>43</v>
      </c>
      <c r="K1538" s="2" t="str">
        <f aca="false">CONCATENATE(I1538," ",J1538)</f>
        <v>Agroeca proxima</v>
      </c>
      <c r="L1538" s="3" t="n">
        <f aca="false">SUM(P1538:U1538)</f>
        <v>1</v>
      </c>
      <c r="M1538" s="11" t="n">
        <f aca="false">(L1538/(F1538*G1538)*25)*4</f>
        <v>4</v>
      </c>
      <c r="N1538" s="1" t="s">
        <v>30</v>
      </c>
      <c r="O1538" s="1" t="s">
        <v>35</v>
      </c>
      <c r="P1538" s="1" t="n">
        <v>0</v>
      </c>
      <c r="Q1538" s="1" t="n">
        <v>1</v>
      </c>
      <c r="R1538" s="1" t="n">
        <v>0</v>
      </c>
      <c r="S1538" s="1" t="n">
        <v>0</v>
      </c>
      <c r="T1538" s="1" t="n">
        <v>0</v>
      </c>
      <c r="U1538" s="1" t="n">
        <v>0</v>
      </c>
      <c r="V1538" s="3" t="n">
        <f aca="false">SUM(P1538:Q1538)</f>
        <v>1</v>
      </c>
      <c r="W1538" s="3" t="n">
        <f aca="false">SUM(R1538:T1538)</f>
        <v>0</v>
      </c>
      <c r="X1538" s="22" t="n">
        <v>40052</v>
      </c>
      <c r="Y1538" s="22" t="n">
        <v>40057</v>
      </c>
    </row>
    <row r="1539" customFormat="false" ht="14.25" hidden="false" customHeight="false" outlineLevel="0" collapsed="false">
      <c r="A1539" s="1" t="n">
        <v>2009</v>
      </c>
      <c r="B1539" s="1" t="n">
        <v>2</v>
      </c>
      <c r="C1539" s="2" t="s">
        <v>50</v>
      </c>
      <c r="D1539" s="7" t="s">
        <v>158</v>
      </c>
      <c r="E1539" s="1" t="n">
        <v>3</v>
      </c>
      <c r="F1539" s="1" t="n">
        <f aca="false">Y1539-X1539</f>
        <v>5</v>
      </c>
      <c r="G1539" s="1" t="n">
        <v>5</v>
      </c>
      <c r="H1539" s="13" t="s">
        <v>32</v>
      </c>
      <c r="I1539" s="13" t="s">
        <v>84</v>
      </c>
      <c r="J1539" s="14" t="s">
        <v>181</v>
      </c>
      <c r="K1539" s="2" t="str">
        <f aca="false">CONCATENATE(I1539," ",J1539)</f>
        <v>Walckenaeria cucullata</v>
      </c>
      <c r="L1539" s="3" t="n">
        <f aca="false">SUM(P1539:U1539)</f>
        <v>1</v>
      </c>
      <c r="M1539" s="11" t="n">
        <f aca="false">(L1539/(F1539*G1539)*25)*4</f>
        <v>4</v>
      </c>
      <c r="N1539" s="1" t="s">
        <v>30</v>
      </c>
      <c r="O1539" s="1" t="s">
        <v>35</v>
      </c>
      <c r="P1539" s="1" t="n">
        <v>0</v>
      </c>
      <c r="Q1539" s="1" t="n">
        <v>1</v>
      </c>
      <c r="R1539" s="1" t="n">
        <v>0</v>
      </c>
      <c r="S1539" s="1" t="n">
        <v>0</v>
      </c>
      <c r="T1539" s="1" t="n">
        <v>0</v>
      </c>
      <c r="U1539" s="1" t="n">
        <v>0</v>
      </c>
      <c r="V1539" s="3" t="n">
        <f aca="false">SUM(P1539:Q1539)</f>
        <v>1</v>
      </c>
      <c r="W1539" s="3" t="n">
        <f aca="false">SUM(R1539:T1539)</f>
        <v>0</v>
      </c>
      <c r="X1539" s="22" t="n">
        <v>40052</v>
      </c>
      <c r="Y1539" s="22" t="n">
        <v>40057</v>
      </c>
    </row>
    <row r="1540" customFormat="false" ht="14.25" hidden="false" customHeight="false" outlineLevel="0" collapsed="false">
      <c r="A1540" s="1" t="n">
        <v>2009</v>
      </c>
      <c r="B1540" s="1" t="n">
        <v>2</v>
      </c>
      <c r="C1540" s="2" t="s">
        <v>50</v>
      </c>
      <c r="D1540" s="7" t="s">
        <v>158</v>
      </c>
      <c r="E1540" s="1" t="n">
        <v>3</v>
      </c>
      <c r="F1540" s="1" t="n">
        <f aca="false">Y1540-X1540</f>
        <v>5</v>
      </c>
      <c r="G1540" s="1" t="n">
        <v>5</v>
      </c>
      <c r="H1540" s="3" t="s">
        <v>48</v>
      </c>
      <c r="I1540" s="3" t="s">
        <v>61</v>
      </c>
      <c r="J1540" s="3" t="s">
        <v>82</v>
      </c>
      <c r="K1540" s="2" t="str">
        <f aca="false">CONCATENATE(I1540," ",J1540)</f>
        <v>Trochosa terricola</v>
      </c>
      <c r="L1540" s="3" t="n">
        <f aca="false">SUM(P1540:U1540)</f>
        <v>2</v>
      </c>
      <c r="M1540" s="11" t="n">
        <f aca="false">(L1540/(F1540*G1540)*25)*4</f>
        <v>8</v>
      </c>
      <c r="N1540" s="1" t="s">
        <v>30</v>
      </c>
      <c r="O1540" s="1" t="s">
        <v>35</v>
      </c>
      <c r="P1540" s="1" t="n">
        <v>0</v>
      </c>
      <c r="Q1540" s="1" t="n">
        <v>2</v>
      </c>
      <c r="R1540" s="1" t="n">
        <v>0</v>
      </c>
      <c r="S1540" s="1" t="n">
        <v>0</v>
      </c>
      <c r="T1540" s="1" t="n">
        <v>0</v>
      </c>
      <c r="U1540" s="1" t="n">
        <v>0</v>
      </c>
      <c r="V1540" s="3" t="n">
        <f aca="false">SUM(P1540:Q1540)</f>
        <v>2</v>
      </c>
      <c r="W1540" s="3" t="n">
        <f aca="false">SUM(R1540:T1540)</f>
        <v>0</v>
      </c>
      <c r="X1540" s="22" t="n">
        <v>40052</v>
      </c>
      <c r="Y1540" s="22" t="n">
        <v>40057</v>
      </c>
    </row>
    <row r="1541" customFormat="false" ht="14.25" hidden="false" customHeight="false" outlineLevel="0" collapsed="false">
      <c r="A1541" s="1" t="n">
        <v>2009</v>
      </c>
      <c r="B1541" s="1" t="n">
        <v>2</v>
      </c>
      <c r="C1541" s="2" t="s">
        <v>50</v>
      </c>
      <c r="D1541" s="7" t="s">
        <v>158</v>
      </c>
      <c r="E1541" s="1" t="n">
        <v>3</v>
      </c>
      <c r="F1541" s="1" t="n">
        <f aca="false">Y1541-X1541</f>
        <v>5</v>
      </c>
      <c r="G1541" s="1" t="n">
        <v>5</v>
      </c>
      <c r="H1541" s="3" t="s">
        <v>48</v>
      </c>
      <c r="I1541" s="3" t="s">
        <v>61</v>
      </c>
      <c r="J1541" s="3" t="s">
        <v>82</v>
      </c>
      <c r="K1541" s="2" t="str">
        <f aca="false">CONCATENATE(I1541," ",J1541)</f>
        <v>Trochosa terricola</v>
      </c>
      <c r="L1541" s="3" t="n">
        <f aca="false">SUM(P1541:U1541)</f>
        <v>1</v>
      </c>
      <c r="M1541" s="11" t="n">
        <f aca="false">(L1541/(F1541*G1541)*25)*4</f>
        <v>4</v>
      </c>
      <c r="N1541" s="1" t="s">
        <v>30</v>
      </c>
      <c r="O1541" s="1" t="s">
        <v>31</v>
      </c>
      <c r="P1541" s="1" t="n">
        <v>1</v>
      </c>
      <c r="Q1541" s="1" t="n">
        <v>0</v>
      </c>
      <c r="R1541" s="1" t="n">
        <v>0</v>
      </c>
      <c r="S1541" s="1" t="n">
        <v>0</v>
      </c>
      <c r="T1541" s="1" t="n">
        <v>0</v>
      </c>
      <c r="U1541" s="1" t="n">
        <v>0</v>
      </c>
      <c r="V1541" s="3" t="n">
        <f aca="false">SUM(P1541:Q1541)</f>
        <v>1</v>
      </c>
      <c r="W1541" s="3" t="n">
        <f aca="false">SUM(R1541:T1541)</f>
        <v>0</v>
      </c>
      <c r="X1541" s="22" t="n">
        <v>40052</v>
      </c>
      <c r="Y1541" s="22" t="n">
        <v>40057</v>
      </c>
    </row>
    <row r="1542" customFormat="false" ht="14.25" hidden="false" customHeight="false" outlineLevel="0" collapsed="false">
      <c r="A1542" s="1" t="n">
        <v>2009</v>
      </c>
      <c r="B1542" s="1" t="n">
        <v>2</v>
      </c>
      <c r="C1542" s="2" t="s">
        <v>50</v>
      </c>
      <c r="D1542" s="7" t="s">
        <v>158</v>
      </c>
      <c r="E1542" s="1" t="n">
        <v>3</v>
      </c>
      <c r="F1542" s="1" t="n">
        <f aca="false">Y1542-X1542</f>
        <v>5</v>
      </c>
      <c r="G1542" s="1" t="n">
        <v>5</v>
      </c>
      <c r="H1542" s="3" t="s">
        <v>32</v>
      </c>
      <c r="I1542" s="3" t="s">
        <v>68</v>
      </c>
      <c r="J1542" s="8" t="s">
        <v>69</v>
      </c>
      <c r="K1542" s="2" t="str">
        <f aca="false">CONCATENATE(I1542," ",J1542)</f>
        <v>Centromerus sylvaticus</v>
      </c>
      <c r="L1542" s="3" t="n">
        <f aca="false">SUM(P1542:U1542)</f>
        <v>1</v>
      </c>
      <c r="M1542" s="11" t="n">
        <f aca="false">(L1542/(F1542*G1542)*25)*4</f>
        <v>4</v>
      </c>
      <c r="N1542" s="1" t="s">
        <v>30</v>
      </c>
      <c r="O1542" s="1" t="s">
        <v>31</v>
      </c>
      <c r="P1542" s="1" t="n">
        <v>1</v>
      </c>
      <c r="Q1542" s="1" t="n">
        <v>0</v>
      </c>
      <c r="R1542" s="1" t="n">
        <v>0</v>
      </c>
      <c r="S1542" s="1" t="n">
        <v>0</v>
      </c>
      <c r="T1542" s="1" t="n">
        <v>0</v>
      </c>
      <c r="U1542" s="1" t="n">
        <v>0</v>
      </c>
      <c r="V1542" s="3" t="n">
        <f aca="false">SUM(P1542:Q1542)</f>
        <v>1</v>
      </c>
      <c r="W1542" s="3" t="n">
        <f aca="false">SUM(R1542:T1542)</f>
        <v>0</v>
      </c>
      <c r="X1542" s="22" t="n">
        <v>40052</v>
      </c>
      <c r="Y1542" s="22" t="n">
        <v>40057</v>
      </c>
    </row>
    <row r="1543" customFormat="false" ht="14.25" hidden="false" customHeight="false" outlineLevel="0" collapsed="false">
      <c r="A1543" s="1" t="n">
        <v>2009</v>
      </c>
      <c r="B1543" s="1" t="n">
        <v>2</v>
      </c>
      <c r="C1543" s="2" t="s">
        <v>25</v>
      </c>
      <c r="D1543" s="7" t="s">
        <v>101</v>
      </c>
      <c r="E1543" s="1" t="n">
        <v>2</v>
      </c>
      <c r="F1543" s="1" t="n">
        <f aca="false">Y1543-X1543</f>
        <v>5</v>
      </c>
      <c r="G1543" s="1" t="n">
        <v>5</v>
      </c>
      <c r="H1543" s="3" t="s">
        <v>32</v>
      </c>
      <c r="I1543" s="3" t="s">
        <v>33</v>
      </c>
      <c r="J1543" s="3" t="s">
        <v>60</v>
      </c>
      <c r="K1543" s="2" t="str">
        <f aca="false">CONCATENATE(I1543," ",J1543)</f>
        <v>Tenuiphantes tenebricola</v>
      </c>
      <c r="L1543" s="3" t="n">
        <f aca="false">SUM(P1543:U1543)</f>
        <v>1</v>
      </c>
      <c r="M1543" s="11" t="n">
        <f aca="false">(L1543/(F1543*G1543)*25)*4</f>
        <v>4</v>
      </c>
      <c r="N1543" s="1" t="s">
        <v>30</v>
      </c>
      <c r="O1543" s="1" t="s">
        <v>35</v>
      </c>
      <c r="P1543" s="1" t="n">
        <v>0</v>
      </c>
      <c r="Q1543" s="1" t="n">
        <v>1</v>
      </c>
      <c r="R1543" s="1" t="n">
        <v>0</v>
      </c>
      <c r="S1543" s="1" t="n">
        <v>0</v>
      </c>
      <c r="T1543" s="1" t="n">
        <v>0</v>
      </c>
      <c r="U1543" s="1" t="n">
        <v>0</v>
      </c>
      <c r="V1543" s="3" t="n">
        <f aca="false">SUM(P1543:Q1543)</f>
        <v>1</v>
      </c>
      <c r="W1543" s="3" t="n">
        <f aca="false">SUM(R1543:T1543)</f>
        <v>0</v>
      </c>
      <c r="X1543" s="10" t="n">
        <v>40052</v>
      </c>
      <c r="Y1543" s="10" t="n">
        <v>40057</v>
      </c>
    </row>
    <row r="1544" customFormat="false" ht="14.25" hidden="false" customHeight="false" outlineLevel="0" collapsed="false">
      <c r="A1544" s="1" t="n">
        <v>2014</v>
      </c>
      <c r="B1544" s="1" t="n">
        <v>2</v>
      </c>
      <c r="C1544" s="2" t="s">
        <v>50</v>
      </c>
      <c r="D1544" s="3" t="s">
        <v>83</v>
      </c>
      <c r="E1544" s="3" t="n">
        <v>2</v>
      </c>
      <c r="F1544" s="1" t="n">
        <f aca="false">Y1544-X1544</f>
        <v>5</v>
      </c>
      <c r="G1544" s="1" t="n">
        <v>5</v>
      </c>
      <c r="H1544" s="3" t="s">
        <v>48</v>
      </c>
      <c r="I1544" s="3" t="s">
        <v>61</v>
      </c>
      <c r="J1544" s="3" t="s">
        <v>82</v>
      </c>
      <c r="K1544" s="2" t="str">
        <f aca="false">CONCATENATE(I1544," ",J1544)</f>
        <v>Trochosa terricola</v>
      </c>
      <c r="L1544" s="3" t="n">
        <f aca="false">SUM(P1544:U1544)</f>
        <v>2</v>
      </c>
      <c r="M1544" s="11" t="n">
        <f aca="false">(L1544/(F1544*G1544)*25)*4</f>
        <v>8</v>
      </c>
      <c r="N1544" s="1" t="s">
        <v>30</v>
      </c>
      <c r="O1544" s="1" t="s">
        <v>35</v>
      </c>
      <c r="P1544" s="3" t="n">
        <v>0</v>
      </c>
      <c r="Q1544" s="3" t="n">
        <v>2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f aca="false">SUM(P1544:Q1544)</f>
        <v>2</v>
      </c>
      <c r="W1544" s="3" t="n">
        <f aca="false">SUM(R1544:T1544)</f>
        <v>0</v>
      </c>
      <c r="X1544" s="22" t="n">
        <v>41870</v>
      </c>
      <c r="Y1544" s="22" t="n">
        <v>41875</v>
      </c>
    </row>
    <row r="1545" customFormat="false" ht="14.25" hidden="false" customHeight="false" outlineLevel="0" collapsed="false">
      <c r="A1545" s="1" t="n">
        <v>2014</v>
      </c>
      <c r="B1545" s="1" t="n">
        <v>2</v>
      </c>
      <c r="C1545" s="2" t="s">
        <v>50</v>
      </c>
      <c r="D1545" s="3" t="s">
        <v>83</v>
      </c>
      <c r="E1545" s="3" t="n">
        <v>2</v>
      </c>
      <c r="F1545" s="1" t="n">
        <f aca="false">Y1545-X1545</f>
        <v>5</v>
      </c>
      <c r="G1545" s="1" t="n">
        <v>5</v>
      </c>
      <c r="H1545" s="3" t="s">
        <v>36</v>
      </c>
      <c r="I1545" s="3" t="s">
        <v>37</v>
      </c>
      <c r="J1545" s="3" t="s">
        <v>75</v>
      </c>
      <c r="K1545" s="2" t="str">
        <f aca="false">CONCATENATE(I1545," ",J1545)</f>
        <v>Ozyptila praticola</v>
      </c>
      <c r="L1545" s="3" t="n">
        <f aca="false">SUM(P1545:U1545)</f>
        <v>2</v>
      </c>
      <c r="M1545" s="11" t="n">
        <f aca="false">(L1545/(F1545*G1545)*25)*4</f>
        <v>8</v>
      </c>
      <c r="N1545" s="1" t="s">
        <v>30</v>
      </c>
      <c r="O1545" s="1" t="s">
        <v>31</v>
      </c>
      <c r="P1545" s="3" t="n">
        <v>2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f aca="false">SUM(P1545:Q1545)</f>
        <v>2</v>
      </c>
      <c r="W1545" s="3" t="n">
        <f aca="false">SUM(R1545:T1545)</f>
        <v>0</v>
      </c>
      <c r="X1545" s="22" t="n">
        <v>41870</v>
      </c>
      <c r="Y1545" s="22" t="n">
        <v>41875</v>
      </c>
    </row>
    <row r="1546" customFormat="false" ht="14.25" hidden="false" customHeight="false" outlineLevel="0" collapsed="false">
      <c r="A1546" s="1" t="n">
        <v>2014</v>
      </c>
      <c r="B1546" s="1" t="n">
        <v>2</v>
      </c>
      <c r="C1546" s="2" t="s">
        <v>50</v>
      </c>
      <c r="D1546" s="3" t="s">
        <v>83</v>
      </c>
      <c r="E1546" s="3" t="n">
        <v>1</v>
      </c>
      <c r="F1546" s="1" t="n">
        <f aca="false">Y1546-X1546</f>
        <v>5</v>
      </c>
      <c r="G1546" s="1" t="n">
        <v>5</v>
      </c>
      <c r="H1546" s="3" t="s">
        <v>48</v>
      </c>
      <c r="I1546" s="3" t="s">
        <v>61</v>
      </c>
      <c r="J1546" s="3" t="s">
        <v>82</v>
      </c>
      <c r="K1546" s="2" t="str">
        <f aca="false">CONCATENATE(I1546," ",J1546)</f>
        <v>Trochosa terricola</v>
      </c>
      <c r="L1546" s="3" t="n">
        <f aca="false">SUM(P1546:U1546)</f>
        <v>1</v>
      </c>
      <c r="M1546" s="11" t="n">
        <f aca="false">(L1546/(F1546*G1546)*25)*4</f>
        <v>4</v>
      </c>
      <c r="N1546" s="1" t="s">
        <v>30</v>
      </c>
      <c r="O1546" s="1" t="s">
        <v>31</v>
      </c>
      <c r="P1546" s="3" t="n">
        <v>1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f aca="false">SUM(P1546:Q1546)</f>
        <v>1</v>
      </c>
      <c r="W1546" s="3" t="n">
        <f aca="false">SUM(R1546:T1546)</f>
        <v>0</v>
      </c>
      <c r="X1546" s="22" t="n">
        <v>41870</v>
      </c>
      <c r="Y1546" s="22" t="n">
        <v>41875</v>
      </c>
    </row>
    <row r="1547" customFormat="false" ht="14.25" hidden="false" customHeight="false" outlineLevel="0" collapsed="false">
      <c r="A1547" s="1" t="n">
        <v>2014</v>
      </c>
      <c r="B1547" s="1" t="n">
        <v>2</v>
      </c>
      <c r="C1547" s="2" t="s">
        <v>50</v>
      </c>
      <c r="D1547" s="3" t="s">
        <v>83</v>
      </c>
      <c r="E1547" s="3" t="n">
        <v>1</v>
      </c>
      <c r="F1547" s="1" t="n">
        <f aca="false">Y1547-X1547</f>
        <v>5</v>
      </c>
      <c r="G1547" s="1" t="n">
        <v>5</v>
      </c>
      <c r="H1547" s="3" t="s">
        <v>48</v>
      </c>
      <c r="I1547" s="3" t="s">
        <v>61</v>
      </c>
      <c r="J1547" s="3" t="s">
        <v>38</v>
      </c>
      <c r="K1547" s="2" t="str">
        <f aca="false">CONCATENATE(I1547," ",J1547)</f>
        <v>Trochosa sp</v>
      </c>
      <c r="L1547" s="3" t="n">
        <f aca="false">SUM(P1547:U1547)</f>
        <v>1</v>
      </c>
      <c r="M1547" s="11" t="n">
        <f aca="false">(L1547/(F1547*G1547)*25)*4</f>
        <v>4</v>
      </c>
      <c r="N1547" s="1" t="s">
        <v>19</v>
      </c>
      <c r="O1547" s="1" t="s">
        <v>54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1</v>
      </c>
      <c r="U1547" s="3" t="n">
        <v>0</v>
      </c>
      <c r="V1547" s="3" t="n">
        <f aca="false">SUM(P1547:Q1547)</f>
        <v>0</v>
      </c>
      <c r="W1547" s="3" t="n">
        <f aca="false">SUM(R1547:T1547)</f>
        <v>1</v>
      </c>
      <c r="X1547" s="22" t="n">
        <v>41870</v>
      </c>
      <c r="Y1547" s="22" t="n">
        <v>41875</v>
      </c>
    </row>
    <row r="1548" customFormat="false" ht="14.25" hidden="false" customHeight="false" outlineLevel="0" collapsed="false">
      <c r="A1548" s="1" t="n">
        <v>2014</v>
      </c>
      <c r="B1548" s="1" t="n">
        <v>2</v>
      </c>
      <c r="C1548" s="2" t="s">
        <v>50</v>
      </c>
      <c r="D1548" s="3" t="s">
        <v>83</v>
      </c>
      <c r="E1548" s="3" t="n">
        <v>1</v>
      </c>
      <c r="F1548" s="1" t="n">
        <f aca="false">Y1548-X1548</f>
        <v>5</v>
      </c>
      <c r="G1548" s="1" t="n">
        <v>5</v>
      </c>
      <c r="H1548" s="3" t="s">
        <v>48</v>
      </c>
      <c r="I1548" s="3" t="s">
        <v>49</v>
      </c>
      <c r="J1548" s="3" t="s">
        <v>38</v>
      </c>
      <c r="K1548" s="2" t="str">
        <f aca="false">CONCATENATE(I1548," ",J1548)</f>
        <v>Alopecosa sp</v>
      </c>
      <c r="L1548" s="3" t="n">
        <f aca="false">SUM(P1548:U1548)</f>
        <v>1</v>
      </c>
      <c r="M1548" s="11" t="n">
        <f aca="false">(L1548/(F1548*G1548)*25)*4</f>
        <v>4</v>
      </c>
      <c r="N1548" s="1" t="s">
        <v>19</v>
      </c>
      <c r="O1548" s="1" t="s">
        <v>31</v>
      </c>
      <c r="P1548" s="3" t="n">
        <v>0</v>
      </c>
      <c r="Q1548" s="3" t="n">
        <v>0</v>
      </c>
      <c r="R1548" s="3" t="n">
        <v>1</v>
      </c>
      <c r="S1548" s="3" t="n">
        <v>0</v>
      </c>
      <c r="T1548" s="3" t="n">
        <v>0</v>
      </c>
      <c r="U1548" s="3" t="n">
        <v>0</v>
      </c>
      <c r="V1548" s="3" t="n">
        <f aca="false">SUM(P1548:Q1548)</f>
        <v>0</v>
      </c>
      <c r="W1548" s="3" t="n">
        <f aca="false">SUM(R1548:T1548)</f>
        <v>1</v>
      </c>
      <c r="X1548" s="22" t="n">
        <v>41870</v>
      </c>
      <c r="Y1548" s="22" t="n">
        <v>41875</v>
      </c>
    </row>
    <row r="1549" customFormat="false" ht="14.25" hidden="false" customHeight="false" outlineLevel="0" collapsed="false">
      <c r="A1549" s="1" t="n">
        <v>2014</v>
      </c>
      <c r="B1549" s="1" t="n">
        <v>2</v>
      </c>
      <c r="C1549" s="2" t="s">
        <v>50</v>
      </c>
      <c r="D1549" s="3" t="s">
        <v>83</v>
      </c>
      <c r="E1549" s="3" t="n">
        <v>1</v>
      </c>
      <c r="F1549" s="1" t="n">
        <f aca="false">Y1549-X1549</f>
        <v>5</v>
      </c>
      <c r="G1549" s="1" t="n">
        <v>5</v>
      </c>
      <c r="H1549" s="3" t="s">
        <v>48</v>
      </c>
      <c r="I1549" s="3" t="s">
        <v>49</v>
      </c>
      <c r="J1549" s="3" t="s">
        <v>38</v>
      </c>
      <c r="K1549" s="2" t="str">
        <f aca="false">CONCATENATE(I1549," ",J1549)</f>
        <v>Alopecosa sp</v>
      </c>
      <c r="L1549" s="3" t="n">
        <f aca="false">SUM(P1549:U1549)</f>
        <v>1</v>
      </c>
      <c r="M1549" s="11" t="n">
        <f aca="false">(L1549/(F1549*G1549)*25)*4</f>
        <v>4</v>
      </c>
      <c r="N1549" s="1" t="s">
        <v>19</v>
      </c>
      <c r="O1549" s="1" t="s">
        <v>35</v>
      </c>
      <c r="P1549" s="3" t="n">
        <v>0</v>
      </c>
      <c r="Q1549" s="3" t="n">
        <v>0</v>
      </c>
      <c r="R1549" s="3" t="n">
        <v>0</v>
      </c>
      <c r="S1549" s="3" t="n">
        <v>1</v>
      </c>
      <c r="T1549" s="3" t="n">
        <v>0</v>
      </c>
      <c r="U1549" s="3" t="n">
        <v>0</v>
      </c>
      <c r="V1549" s="3" t="n">
        <f aca="false">SUM(P1549:Q1549)</f>
        <v>0</v>
      </c>
      <c r="W1549" s="3" t="n">
        <f aca="false">SUM(R1549:T1549)</f>
        <v>1</v>
      </c>
      <c r="X1549" s="22" t="n">
        <v>41870</v>
      </c>
      <c r="Y1549" s="22" t="n">
        <v>41875</v>
      </c>
    </row>
    <row r="1550" customFormat="false" ht="14.25" hidden="false" customHeight="false" outlineLevel="0" collapsed="false">
      <c r="A1550" s="1" t="n">
        <v>2014</v>
      </c>
      <c r="B1550" s="1" t="n">
        <v>2</v>
      </c>
      <c r="C1550" s="2" t="s">
        <v>50</v>
      </c>
      <c r="D1550" s="3" t="s">
        <v>83</v>
      </c>
      <c r="E1550" s="3" t="n">
        <v>1</v>
      </c>
      <c r="F1550" s="1" t="n">
        <f aca="false">Y1550-X1550</f>
        <v>5</v>
      </c>
      <c r="G1550" s="1" t="n">
        <v>5</v>
      </c>
      <c r="H1550" s="3" t="s">
        <v>48</v>
      </c>
      <c r="I1550" s="3" t="s">
        <v>57</v>
      </c>
      <c r="J1550" s="3" t="s">
        <v>38</v>
      </c>
      <c r="K1550" s="2" t="str">
        <f aca="false">CONCATENATE(I1550," ",J1550)</f>
        <v>Gen sp</v>
      </c>
      <c r="L1550" s="3" t="n">
        <f aca="false">SUM(P1550:U1550)</f>
        <v>1</v>
      </c>
      <c r="M1550" s="11" t="n">
        <f aca="false">(L1550/(F1550*G1550)*25)*4</f>
        <v>4</v>
      </c>
      <c r="N1550" s="1" t="s">
        <v>19</v>
      </c>
      <c r="O1550" s="1" t="s">
        <v>54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1</v>
      </c>
      <c r="U1550" s="3" t="n">
        <v>0</v>
      </c>
      <c r="V1550" s="3" t="n">
        <f aca="false">SUM(P1550:Q1550)</f>
        <v>0</v>
      </c>
      <c r="W1550" s="3" t="n">
        <f aca="false">SUM(R1550:T1550)</f>
        <v>1</v>
      </c>
      <c r="X1550" s="22" t="n">
        <v>41870</v>
      </c>
      <c r="Y1550" s="22" t="n">
        <v>41875</v>
      </c>
    </row>
    <row r="1551" customFormat="false" ht="14.25" hidden="false" customHeight="false" outlineLevel="0" collapsed="false">
      <c r="A1551" s="1" t="n">
        <v>2014</v>
      </c>
      <c r="B1551" s="1" t="n">
        <v>2</v>
      </c>
      <c r="C1551" s="2" t="s">
        <v>50</v>
      </c>
      <c r="D1551" s="3" t="s">
        <v>83</v>
      </c>
      <c r="E1551" s="3" t="n">
        <v>3</v>
      </c>
      <c r="F1551" s="1" t="n">
        <f aca="false">Y1551-X1551</f>
        <v>5</v>
      </c>
      <c r="G1551" s="1" t="n">
        <v>5</v>
      </c>
      <c r="H1551" s="3" t="s">
        <v>48</v>
      </c>
      <c r="I1551" s="3" t="s">
        <v>61</v>
      </c>
      <c r="J1551" s="3" t="s">
        <v>82</v>
      </c>
      <c r="K1551" s="2" t="str">
        <f aca="false">CONCATENATE(I1551," ",J1551)</f>
        <v>Trochosa terricola</v>
      </c>
      <c r="L1551" s="3" t="n">
        <f aca="false">SUM(P1551:U1551)</f>
        <v>1</v>
      </c>
      <c r="M1551" s="11" t="n">
        <f aca="false">(L1551/(F1551*G1551)*25)*4</f>
        <v>4</v>
      </c>
      <c r="N1551" s="1" t="s">
        <v>30</v>
      </c>
      <c r="O1551" s="1" t="s">
        <v>35</v>
      </c>
      <c r="P1551" s="3" t="n">
        <v>0</v>
      </c>
      <c r="Q1551" s="3" t="n">
        <v>1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f aca="false">SUM(P1551:Q1551)</f>
        <v>1</v>
      </c>
      <c r="W1551" s="3" t="n">
        <f aca="false">SUM(R1551:T1551)</f>
        <v>0</v>
      </c>
      <c r="X1551" s="22" t="n">
        <v>41870</v>
      </c>
      <c r="Y1551" s="22" t="n">
        <v>41875</v>
      </c>
    </row>
    <row r="1552" customFormat="false" ht="14.25" hidden="false" customHeight="false" outlineLevel="0" collapsed="false">
      <c r="A1552" s="1" t="n">
        <v>2014</v>
      </c>
      <c r="B1552" s="1" t="n">
        <v>2</v>
      </c>
      <c r="C1552" s="2" t="s">
        <v>50</v>
      </c>
      <c r="D1552" s="3" t="s">
        <v>83</v>
      </c>
      <c r="E1552" s="3" t="n">
        <v>3</v>
      </c>
      <c r="F1552" s="1" t="n">
        <f aca="false">Y1552-X1552</f>
        <v>5</v>
      </c>
      <c r="G1552" s="1" t="n">
        <v>5</v>
      </c>
      <c r="H1552" s="3" t="s">
        <v>48</v>
      </c>
      <c r="I1552" s="3" t="s">
        <v>49</v>
      </c>
      <c r="J1552" s="3" t="s">
        <v>223</v>
      </c>
      <c r="K1552" s="2" t="str">
        <f aca="false">CONCATENATE(I1552," ",J1552)</f>
        <v>Alopecosa pulverulenta</v>
      </c>
      <c r="L1552" s="3" t="n">
        <f aca="false">SUM(P1552:U1552)</f>
        <v>1</v>
      </c>
      <c r="M1552" s="11" t="n">
        <f aca="false">(L1552/(F1552*G1552)*25)*4</f>
        <v>4</v>
      </c>
      <c r="N1552" s="1" t="s">
        <v>30</v>
      </c>
      <c r="O1552" s="1" t="s">
        <v>35</v>
      </c>
      <c r="P1552" s="3" t="n">
        <v>0</v>
      </c>
      <c r="Q1552" s="3" t="n">
        <v>1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f aca="false">SUM(P1552:Q1552)</f>
        <v>1</v>
      </c>
      <c r="W1552" s="3" t="n">
        <f aca="false">SUM(R1552:T1552)</f>
        <v>0</v>
      </c>
      <c r="X1552" s="22" t="n">
        <v>41870</v>
      </c>
      <c r="Y1552" s="22" t="n">
        <v>41875</v>
      </c>
    </row>
    <row r="1553" customFormat="false" ht="14.25" hidden="false" customHeight="false" outlineLevel="0" collapsed="false">
      <c r="A1553" s="1" t="n">
        <v>2014</v>
      </c>
      <c r="B1553" s="1" t="n">
        <v>2</v>
      </c>
      <c r="C1553" s="2" t="s">
        <v>50</v>
      </c>
      <c r="D1553" s="3" t="s">
        <v>83</v>
      </c>
      <c r="E1553" s="3" t="n">
        <v>2</v>
      </c>
      <c r="F1553" s="1" t="n">
        <f aca="false">Y1553-X1553</f>
        <v>5</v>
      </c>
      <c r="G1553" s="1" t="n">
        <v>5</v>
      </c>
      <c r="H1553" s="3" t="s">
        <v>36</v>
      </c>
      <c r="I1553" s="3" t="s">
        <v>37</v>
      </c>
      <c r="J1553" s="3" t="s">
        <v>75</v>
      </c>
      <c r="K1553" s="2" t="str">
        <f aca="false">CONCATENATE(I1553," ",J1553)</f>
        <v>Ozyptila praticola</v>
      </c>
      <c r="L1553" s="3" t="n">
        <f aca="false">SUM(P1553:U1553)</f>
        <v>1</v>
      </c>
      <c r="M1553" s="11" t="n">
        <f aca="false">(L1553/(F1553*G1553)*25)*4</f>
        <v>4</v>
      </c>
      <c r="N1553" s="1" t="s">
        <v>30</v>
      </c>
      <c r="O1553" s="1" t="s">
        <v>31</v>
      </c>
      <c r="P1553" s="3" t="n">
        <v>1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f aca="false">SUM(P1553:Q1553)</f>
        <v>1</v>
      </c>
      <c r="W1553" s="3" t="n">
        <f aca="false">SUM(R1553:T1553)</f>
        <v>0</v>
      </c>
      <c r="X1553" s="22" t="n">
        <v>41870</v>
      </c>
      <c r="Y1553" s="22" t="n">
        <v>41875</v>
      </c>
    </row>
    <row r="1554" customFormat="false" ht="14.25" hidden="false" customHeight="false" outlineLevel="0" collapsed="false">
      <c r="A1554" s="1" t="n">
        <v>2014</v>
      </c>
      <c r="B1554" s="1" t="n">
        <v>2</v>
      </c>
      <c r="C1554" s="2" t="s">
        <v>50</v>
      </c>
      <c r="D1554" s="3" t="s">
        <v>83</v>
      </c>
      <c r="E1554" s="3" t="n">
        <v>2</v>
      </c>
      <c r="F1554" s="1" t="n">
        <f aca="false">Y1554-X1554</f>
        <v>5</v>
      </c>
      <c r="G1554" s="1" t="n">
        <v>5</v>
      </c>
      <c r="H1554" s="3" t="s">
        <v>48</v>
      </c>
      <c r="I1554" s="3" t="s">
        <v>61</v>
      </c>
      <c r="J1554" s="3" t="s">
        <v>82</v>
      </c>
      <c r="K1554" s="2" t="str">
        <f aca="false">CONCATENATE(I1554," ",J1554)</f>
        <v>Trochosa terricola</v>
      </c>
      <c r="L1554" s="3" t="n">
        <f aca="false">SUM(P1554:U1554)</f>
        <v>3</v>
      </c>
      <c r="M1554" s="11" t="n">
        <f aca="false">(L1554/(F1554*G1554)*25)*4</f>
        <v>12</v>
      </c>
      <c r="N1554" s="1" t="s">
        <v>30</v>
      </c>
      <c r="O1554" s="1" t="s">
        <v>31</v>
      </c>
      <c r="P1554" s="3" t="n">
        <v>3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f aca="false">SUM(P1554:Q1554)</f>
        <v>3</v>
      </c>
      <c r="W1554" s="3" t="n">
        <f aca="false">SUM(R1554:T1554)</f>
        <v>0</v>
      </c>
      <c r="X1554" s="22" t="n">
        <v>41870</v>
      </c>
      <c r="Y1554" s="22" t="n">
        <v>41875</v>
      </c>
    </row>
    <row r="1555" customFormat="false" ht="14.25" hidden="false" customHeight="false" outlineLevel="0" collapsed="false">
      <c r="A1555" s="1" t="n">
        <v>2014</v>
      </c>
      <c r="B1555" s="1" t="n">
        <v>2</v>
      </c>
      <c r="C1555" s="2" t="s">
        <v>50</v>
      </c>
      <c r="D1555" s="3" t="s">
        <v>83</v>
      </c>
      <c r="E1555" s="3" t="n">
        <v>2</v>
      </c>
      <c r="F1555" s="1" t="n">
        <f aca="false">Y1555-X1555</f>
        <v>5</v>
      </c>
      <c r="G1555" s="1" t="n">
        <v>5</v>
      </c>
      <c r="H1555" s="3" t="s">
        <v>48</v>
      </c>
      <c r="I1555" s="3" t="s">
        <v>49</v>
      </c>
      <c r="J1555" s="3" t="s">
        <v>38</v>
      </c>
      <c r="K1555" s="2" t="str">
        <f aca="false">CONCATENATE(I1555," ",J1555)</f>
        <v>Alopecosa sp</v>
      </c>
      <c r="L1555" s="3" t="n">
        <f aca="false">SUM(P1555:U1555)</f>
        <v>1</v>
      </c>
      <c r="M1555" s="11" t="n">
        <f aca="false">(L1555/(F1555*G1555)*25)*4</f>
        <v>4</v>
      </c>
      <c r="N1555" s="1" t="s">
        <v>19</v>
      </c>
      <c r="O1555" s="1" t="s">
        <v>31</v>
      </c>
      <c r="P1555" s="3" t="n">
        <v>0</v>
      </c>
      <c r="Q1555" s="3" t="n">
        <v>0</v>
      </c>
      <c r="R1555" s="3" t="n">
        <v>1</v>
      </c>
      <c r="S1555" s="3" t="n">
        <v>0</v>
      </c>
      <c r="T1555" s="3" t="n">
        <v>0</v>
      </c>
      <c r="U1555" s="3" t="n">
        <v>0</v>
      </c>
      <c r="V1555" s="3" t="n">
        <f aca="false">SUM(P1555:Q1555)</f>
        <v>0</v>
      </c>
      <c r="W1555" s="3" t="n">
        <f aca="false">SUM(R1555:T1555)</f>
        <v>1</v>
      </c>
      <c r="X1555" s="22" t="n">
        <v>41870</v>
      </c>
      <c r="Y1555" s="22" t="n">
        <v>41875</v>
      </c>
    </row>
    <row r="1556" customFormat="false" ht="14.25" hidden="false" customHeight="false" outlineLevel="0" collapsed="false">
      <c r="A1556" s="1" t="n">
        <v>2014</v>
      </c>
      <c r="B1556" s="1" t="n">
        <v>2</v>
      </c>
      <c r="C1556" s="2" t="s">
        <v>50</v>
      </c>
      <c r="D1556" s="3" t="s">
        <v>83</v>
      </c>
      <c r="E1556" s="3" t="n">
        <v>2</v>
      </c>
      <c r="F1556" s="1" t="n">
        <f aca="false">Y1556-X1556</f>
        <v>5</v>
      </c>
      <c r="G1556" s="1" t="n">
        <v>5</v>
      </c>
      <c r="H1556" s="3" t="s">
        <v>48</v>
      </c>
      <c r="I1556" s="3" t="s">
        <v>57</v>
      </c>
      <c r="J1556" s="3" t="s">
        <v>38</v>
      </c>
      <c r="K1556" s="2" t="str">
        <f aca="false">CONCATENATE(I1556," ",J1556)</f>
        <v>Gen sp</v>
      </c>
      <c r="L1556" s="3" t="n">
        <f aca="false">SUM(P1556:U1556)</f>
        <v>1</v>
      </c>
      <c r="M1556" s="11" t="n">
        <f aca="false">(L1556/(F1556*G1556)*25)*4</f>
        <v>4</v>
      </c>
      <c r="N1556" s="1" t="s">
        <v>19</v>
      </c>
      <c r="O1556" s="1" t="s">
        <v>54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1</v>
      </c>
      <c r="U1556" s="3" t="n">
        <v>0</v>
      </c>
      <c r="V1556" s="3" t="n">
        <f aca="false">SUM(P1556:Q1556)</f>
        <v>0</v>
      </c>
      <c r="W1556" s="3" t="n">
        <f aca="false">SUM(R1556:T1556)</f>
        <v>1</v>
      </c>
      <c r="X1556" s="22" t="n">
        <v>41870</v>
      </c>
      <c r="Y1556" s="22" t="n">
        <v>41875</v>
      </c>
    </row>
    <row r="1557" customFormat="false" ht="14.25" hidden="false" customHeight="false" outlineLevel="0" collapsed="false">
      <c r="A1557" s="1" t="n">
        <v>2014</v>
      </c>
      <c r="B1557" s="1" t="n">
        <v>2</v>
      </c>
      <c r="C1557" s="2" t="s">
        <v>50</v>
      </c>
      <c r="D1557" s="3" t="s">
        <v>83</v>
      </c>
      <c r="E1557" s="3" t="n">
        <v>2</v>
      </c>
      <c r="F1557" s="1" t="n">
        <f aca="false">Y1557-X1557</f>
        <v>5</v>
      </c>
      <c r="G1557" s="1" t="n">
        <v>5</v>
      </c>
      <c r="H1557" s="3" t="s">
        <v>48</v>
      </c>
      <c r="I1557" s="3" t="s">
        <v>61</v>
      </c>
      <c r="J1557" s="3" t="s">
        <v>38</v>
      </c>
      <c r="K1557" s="2" t="str">
        <f aca="false">CONCATENATE(I1557," ",J1557)</f>
        <v>Trochosa sp</v>
      </c>
      <c r="L1557" s="3" t="n">
        <f aca="false">SUM(P1557:U1557)</f>
        <v>1</v>
      </c>
      <c r="M1557" s="11" t="n">
        <f aca="false">(L1557/(F1557*G1557)*25)*4</f>
        <v>4</v>
      </c>
      <c r="N1557" s="1" t="s">
        <v>19</v>
      </c>
      <c r="O1557" s="1" t="s">
        <v>54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1</v>
      </c>
      <c r="U1557" s="3" t="n">
        <v>0</v>
      </c>
      <c r="V1557" s="3" t="n">
        <f aca="false">SUM(P1557:Q1557)</f>
        <v>0</v>
      </c>
      <c r="W1557" s="3" t="n">
        <f aca="false">SUM(R1557:T1557)</f>
        <v>1</v>
      </c>
      <c r="X1557" s="22" t="n">
        <v>41870</v>
      </c>
      <c r="Y1557" s="22" t="n">
        <v>41875</v>
      </c>
    </row>
    <row r="1558" customFormat="false" ht="14.25" hidden="false" customHeight="false" outlineLevel="0" collapsed="false">
      <c r="A1558" s="1" t="n">
        <v>2014</v>
      </c>
      <c r="B1558" s="1" t="n">
        <v>2</v>
      </c>
      <c r="C1558" s="2" t="s">
        <v>50</v>
      </c>
      <c r="D1558" s="3" t="s">
        <v>83</v>
      </c>
      <c r="E1558" s="3" t="n">
        <v>2</v>
      </c>
      <c r="F1558" s="1" t="n">
        <f aca="false">Y1558-X1558</f>
        <v>5</v>
      </c>
      <c r="G1558" s="1" t="n">
        <v>5</v>
      </c>
      <c r="H1558" s="3" t="s">
        <v>72</v>
      </c>
      <c r="I1558" s="3" t="s">
        <v>73</v>
      </c>
      <c r="J1558" s="3" t="s">
        <v>74</v>
      </c>
      <c r="K1558" s="2" t="str">
        <f aca="false">CONCATENATE(I1558," ",J1558)</f>
        <v>Zelotes subterraneus</v>
      </c>
      <c r="L1558" s="3" t="n">
        <f aca="false">SUM(P1558:U1558)</f>
        <v>1</v>
      </c>
      <c r="M1558" s="11" t="n">
        <f aca="false">(L1558/(F1558*G1558)*25)*4</f>
        <v>4</v>
      </c>
      <c r="N1558" s="1" t="s">
        <v>30</v>
      </c>
      <c r="O1558" s="1" t="s">
        <v>35</v>
      </c>
      <c r="P1558" s="3" t="n">
        <v>0</v>
      </c>
      <c r="Q1558" s="3" t="n">
        <v>1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f aca="false">SUM(P1558:Q1558)</f>
        <v>1</v>
      </c>
      <c r="W1558" s="3" t="n">
        <f aca="false">SUM(R1558:T1558)</f>
        <v>0</v>
      </c>
      <c r="X1558" s="22" t="n">
        <v>41870</v>
      </c>
      <c r="Y1558" s="22" t="n">
        <v>41875</v>
      </c>
    </row>
    <row r="1559" customFormat="false" ht="14.25" hidden="false" customHeight="false" outlineLevel="0" collapsed="false">
      <c r="A1559" s="1" t="n">
        <v>2014</v>
      </c>
      <c r="B1559" s="1" t="n">
        <v>2</v>
      </c>
      <c r="C1559" s="2" t="s">
        <v>50</v>
      </c>
      <c r="D1559" s="3" t="s">
        <v>83</v>
      </c>
      <c r="E1559" s="3" t="n">
        <v>2</v>
      </c>
      <c r="F1559" s="1" t="n">
        <f aca="false">Y1559-X1559</f>
        <v>5</v>
      </c>
      <c r="G1559" s="1" t="n">
        <v>5</v>
      </c>
      <c r="H1559" s="3" t="s">
        <v>48</v>
      </c>
      <c r="I1559" s="3" t="s">
        <v>61</v>
      </c>
      <c r="J1559" s="3" t="s">
        <v>38</v>
      </c>
      <c r="K1559" s="2" t="str">
        <f aca="false">CONCATENATE(I1559," ",J1559)</f>
        <v>Trochosa sp</v>
      </c>
      <c r="L1559" s="3" t="n">
        <f aca="false">SUM(P1559:U1559)</f>
        <v>1</v>
      </c>
      <c r="M1559" s="11" t="n">
        <f aca="false">(L1559/(F1559*G1559)*25)*4</f>
        <v>4</v>
      </c>
      <c r="N1559" s="1" t="s">
        <v>19</v>
      </c>
      <c r="O1559" s="1" t="s">
        <v>54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1</v>
      </c>
      <c r="U1559" s="3" t="n">
        <v>0</v>
      </c>
      <c r="V1559" s="3" t="n">
        <f aca="false">SUM(P1559:Q1559)</f>
        <v>0</v>
      </c>
      <c r="W1559" s="3" t="n">
        <f aca="false">SUM(R1559:T1559)</f>
        <v>1</v>
      </c>
      <c r="X1559" s="22" t="n">
        <v>41870</v>
      </c>
      <c r="Y1559" s="22" t="n">
        <v>41875</v>
      </c>
    </row>
    <row r="1560" customFormat="false" ht="14.25" hidden="false" customHeight="false" outlineLevel="0" collapsed="false">
      <c r="A1560" s="1" t="n">
        <v>2014</v>
      </c>
      <c r="B1560" s="1" t="n">
        <v>2</v>
      </c>
      <c r="C1560" s="2" t="s">
        <v>50</v>
      </c>
      <c r="D1560" s="3" t="s">
        <v>83</v>
      </c>
      <c r="E1560" s="3" t="n">
        <v>2</v>
      </c>
      <c r="F1560" s="1" t="n">
        <f aca="false">Y1560-X1560</f>
        <v>5</v>
      </c>
      <c r="G1560" s="1" t="n">
        <v>5</v>
      </c>
      <c r="H1560" s="3" t="s">
        <v>48</v>
      </c>
      <c r="I1560" s="3" t="s">
        <v>61</v>
      </c>
      <c r="J1560" s="3" t="s">
        <v>82</v>
      </c>
      <c r="K1560" s="2" t="str">
        <f aca="false">CONCATENATE(I1560," ",J1560)</f>
        <v>Trochosa terricola</v>
      </c>
      <c r="L1560" s="3" t="n">
        <f aca="false">SUM(P1560:U1560)</f>
        <v>1</v>
      </c>
      <c r="M1560" s="11" t="n">
        <f aca="false">(L1560/(F1560*G1560)*25)*4</f>
        <v>4</v>
      </c>
      <c r="N1560" s="1" t="s">
        <v>30</v>
      </c>
      <c r="O1560" s="1" t="s">
        <v>35</v>
      </c>
      <c r="P1560" s="3" t="n">
        <v>0</v>
      </c>
      <c r="Q1560" s="3" t="n">
        <v>1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f aca="false">SUM(P1560:Q1560)</f>
        <v>1</v>
      </c>
      <c r="W1560" s="3" t="n">
        <f aca="false">SUM(R1560:T1560)</f>
        <v>0</v>
      </c>
      <c r="X1560" s="22" t="n">
        <v>41870</v>
      </c>
      <c r="Y1560" s="22" t="n">
        <v>41875</v>
      </c>
    </row>
    <row r="1561" customFormat="false" ht="14.25" hidden="false" customHeight="false" outlineLevel="0" collapsed="false">
      <c r="A1561" s="1" t="n">
        <v>2014</v>
      </c>
      <c r="B1561" s="1" t="n">
        <v>2</v>
      </c>
      <c r="C1561" s="2" t="s">
        <v>50</v>
      </c>
      <c r="D1561" s="3" t="s">
        <v>83</v>
      </c>
      <c r="E1561" s="3" t="n">
        <v>2</v>
      </c>
      <c r="F1561" s="1" t="n">
        <f aca="false">Y1561-X1561</f>
        <v>5</v>
      </c>
      <c r="G1561" s="1" t="n">
        <v>5</v>
      </c>
      <c r="H1561" s="3" t="s">
        <v>72</v>
      </c>
      <c r="I1561" s="3" t="s">
        <v>73</v>
      </c>
      <c r="J1561" s="3" t="s">
        <v>74</v>
      </c>
      <c r="K1561" s="2" t="str">
        <f aca="false">CONCATENATE(I1561," ",J1561)</f>
        <v>Zelotes subterraneus</v>
      </c>
      <c r="L1561" s="3" t="n">
        <f aca="false">SUM(P1561:U1561)</f>
        <v>1</v>
      </c>
      <c r="M1561" s="11" t="n">
        <f aca="false">(L1561/(F1561*G1561)*25)*4</f>
        <v>4</v>
      </c>
      <c r="N1561" s="1" t="s">
        <v>30</v>
      </c>
      <c r="O1561" s="1" t="s">
        <v>35</v>
      </c>
      <c r="P1561" s="3" t="n">
        <v>0</v>
      </c>
      <c r="Q1561" s="3" t="n">
        <v>1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f aca="false">SUM(P1561:Q1561)</f>
        <v>1</v>
      </c>
      <c r="W1561" s="3" t="n">
        <f aca="false">SUM(R1561:T1561)</f>
        <v>0</v>
      </c>
      <c r="X1561" s="22" t="n">
        <v>41870</v>
      </c>
      <c r="Y1561" s="22" t="n">
        <v>41875</v>
      </c>
    </row>
    <row r="1562" customFormat="false" ht="14.25" hidden="false" customHeight="false" outlineLevel="0" collapsed="false">
      <c r="A1562" s="1" t="n">
        <v>2014</v>
      </c>
      <c r="B1562" s="1" t="n">
        <v>2</v>
      </c>
      <c r="C1562" s="2" t="s">
        <v>50</v>
      </c>
      <c r="D1562" s="3" t="s">
        <v>83</v>
      </c>
      <c r="E1562" s="3" t="n">
        <v>2</v>
      </c>
      <c r="F1562" s="1" t="n">
        <f aca="false">Y1562-X1562</f>
        <v>5</v>
      </c>
      <c r="G1562" s="1" t="n">
        <v>5</v>
      </c>
      <c r="H1562" s="3" t="s">
        <v>72</v>
      </c>
      <c r="I1562" s="3" t="s">
        <v>73</v>
      </c>
      <c r="J1562" s="3" t="s">
        <v>38</v>
      </c>
      <c r="K1562" s="2" t="str">
        <f aca="false">CONCATENATE(I1562," ",J1562)</f>
        <v>Zelotes sp</v>
      </c>
      <c r="L1562" s="3" t="n">
        <f aca="false">SUM(P1562:U1562)</f>
        <v>1</v>
      </c>
      <c r="M1562" s="11" t="n">
        <f aca="false">(L1562/(F1562*G1562)*25)*4</f>
        <v>4</v>
      </c>
      <c r="N1562" s="1" t="s">
        <v>19</v>
      </c>
      <c r="O1562" s="1" t="s">
        <v>54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1</v>
      </c>
      <c r="U1562" s="3" t="n">
        <v>0</v>
      </c>
      <c r="V1562" s="3" t="n">
        <f aca="false">SUM(P1562:Q1562)</f>
        <v>0</v>
      </c>
      <c r="W1562" s="3" t="n">
        <f aca="false">SUM(R1562:T1562)</f>
        <v>1</v>
      </c>
      <c r="X1562" s="22" t="n">
        <v>41870</v>
      </c>
      <c r="Y1562" s="22" t="n">
        <v>41875</v>
      </c>
    </row>
    <row r="1563" customFormat="false" ht="14.25" hidden="false" customHeight="false" outlineLevel="0" collapsed="false">
      <c r="A1563" s="1" t="n">
        <v>2014</v>
      </c>
      <c r="B1563" s="1" t="n">
        <v>2</v>
      </c>
      <c r="C1563" s="2" t="s">
        <v>50</v>
      </c>
      <c r="D1563" s="3" t="s">
        <v>83</v>
      </c>
      <c r="E1563" s="3" t="n">
        <v>2</v>
      </c>
      <c r="F1563" s="1" t="n">
        <f aca="false">Y1563-X1563</f>
        <v>5</v>
      </c>
      <c r="G1563" s="1" t="n">
        <v>5</v>
      </c>
      <c r="H1563" s="3" t="s">
        <v>48</v>
      </c>
      <c r="I1563" s="3" t="s">
        <v>67</v>
      </c>
      <c r="J1563" s="3" t="s">
        <v>127</v>
      </c>
      <c r="K1563" s="2" t="str">
        <f aca="false">CONCATENATE(I1563," ",J1563)</f>
        <v>Pardosa lugubris</v>
      </c>
      <c r="L1563" s="3" t="n">
        <f aca="false">SUM(P1563:U1563)</f>
        <v>1</v>
      </c>
      <c r="M1563" s="11" t="n">
        <f aca="false">(L1563/(F1563*G1563)*25)*4</f>
        <v>4</v>
      </c>
      <c r="N1563" s="1" t="s">
        <v>30</v>
      </c>
      <c r="O1563" s="1" t="s">
        <v>35</v>
      </c>
      <c r="P1563" s="3" t="n">
        <v>0</v>
      </c>
      <c r="Q1563" s="3" t="n">
        <v>1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f aca="false">SUM(P1563:Q1563)</f>
        <v>1</v>
      </c>
      <c r="W1563" s="3" t="n">
        <f aca="false">SUM(R1563:T1563)</f>
        <v>0</v>
      </c>
      <c r="X1563" s="22" t="n">
        <v>41870</v>
      </c>
      <c r="Y1563" s="22" t="n">
        <v>41875</v>
      </c>
    </row>
    <row r="1564" customFormat="false" ht="14.25" hidden="false" customHeight="false" outlineLevel="0" collapsed="false">
      <c r="A1564" s="1" t="n">
        <v>2014</v>
      </c>
      <c r="B1564" s="1" t="n">
        <v>2</v>
      </c>
      <c r="C1564" s="2" t="s">
        <v>50</v>
      </c>
      <c r="D1564" s="3" t="s">
        <v>83</v>
      </c>
      <c r="E1564" s="3" t="n">
        <v>2</v>
      </c>
      <c r="F1564" s="1" t="n">
        <f aca="false">Y1564-X1564</f>
        <v>5</v>
      </c>
      <c r="G1564" s="1" t="n">
        <v>5</v>
      </c>
      <c r="H1564" s="3" t="s">
        <v>48</v>
      </c>
      <c r="I1564" s="3" t="s">
        <v>67</v>
      </c>
      <c r="J1564" s="3" t="s">
        <v>38</v>
      </c>
      <c r="K1564" s="2" t="str">
        <f aca="false">CONCATENATE(I1564," ",J1564)</f>
        <v>Pardosa sp</v>
      </c>
      <c r="L1564" s="3" t="n">
        <f aca="false">SUM(P1564:U1564)</f>
        <v>1</v>
      </c>
      <c r="M1564" s="11" t="n">
        <f aca="false">(L1564/(F1564*G1564)*25)*4</f>
        <v>4</v>
      </c>
      <c r="N1564" s="1" t="s">
        <v>30</v>
      </c>
      <c r="O1564" s="1" t="s">
        <v>35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1</v>
      </c>
      <c r="V1564" s="3" t="n">
        <f aca="false">SUM(P1564:Q1564)</f>
        <v>0</v>
      </c>
      <c r="W1564" s="3" t="n">
        <f aca="false">SUM(R1564:T1564)</f>
        <v>0</v>
      </c>
      <c r="X1564" s="22" t="n">
        <v>41870</v>
      </c>
      <c r="Y1564" s="22" t="n">
        <v>41875</v>
      </c>
    </row>
    <row r="1565" customFormat="false" ht="14.25" hidden="false" customHeight="false" outlineLevel="0" collapsed="false">
      <c r="A1565" s="1" t="n">
        <v>2014</v>
      </c>
      <c r="B1565" s="1" t="n">
        <v>2</v>
      </c>
      <c r="C1565" s="2" t="s">
        <v>50</v>
      </c>
      <c r="D1565" s="3" t="s">
        <v>83</v>
      </c>
      <c r="E1565" s="3" t="n">
        <v>2</v>
      </c>
      <c r="F1565" s="1" t="n">
        <f aca="false">Y1565-X1565</f>
        <v>5</v>
      </c>
      <c r="G1565" s="1" t="n">
        <v>5</v>
      </c>
      <c r="H1565" s="3" t="s">
        <v>48</v>
      </c>
      <c r="I1565" s="3" t="s">
        <v>57</v>
      </c>
      <c r="J1565" s="3" t="s">
        <v>38</v>
      </c>
      <c r="K1565" s="2" t="str">
        <f aca="false">CONCATENATE(I1565," ",J1565)</f>
        <v>Gen sp</v>
      </c>
      <c r="L1565" s="3" t="n">
        <f aca="false">SUM(P1565:U1565)</f>
        <v>4</v>
      </c>
      <c r="M1565" s="11" t="n">
        <f aca="false">(L1565/(F1565*G1565)*25)*4</f>
        <v>16</v>
      </c>
      <c r="N1565" s="1" t="s">
        <v>19</v>
      </c>
      <c r="O1565" s="1" t="s">
        <v>54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4</v>
      </c>
      <c r="U1565" s="3" t="n">
        <v>0</v>
      </c>
      <c r="V1565" s="3" t="n">
        <f aca="false">SUM(P1565:Q1565)</f>
        <v>0</v>
      </c>
      <c r="W1565" s="3" t="n">
        <f aca="false">SUM(R1565:T1565)</f>
        <v>4</v>
      </c>
      <c r="X1565" s="22" t="n">
        <v>41870</v>
      </c>
      <c r="Y1565" s="22" t="n">
        <v>41875</v>
      </c>
    </row>
    <row r="1566" customFormat="false" ht="14.25" hidden="false" customHeight="false" outlineLevel="0" collapsed="false">
      <c r="A1566" s="1" t="n">
        <v>2014</v>
      </c>
      <c r="B1566" s="1" t="n">
        <v>2</v>
      </c>
      <c r="C1566" s="2" t="s">
        <v>50</v>
      </c>
      <c r="D1566" s="3" t="s">
        <v>83</v>
      </c>
      <c r="E1566" s="3" t="n">
        <v>3</v>
      </c>
      <c r="F1566" s="1" t="n">
        <f aca="false">Y1566-X1566</f>
        <v>5</v>
      </c>
      <c r="G1566" s="1" t="n">
        <v>5</v>
      </c>
      <c r="H1566" s="3" t="s">
        <v>48</v>
      </c>
      <c r="I1566" s="3" t="s">
        <v>61</v>
      </c>
      <c r="J1566" s="3" t="s">
        <v>82</v>
      </c>
      <c r="K1566" s="2" t="str">
        <f aca="false">CONCATENATE(I1566," ",J1566)</f>
        <v>Trochosa terricola</v>
      </c>
      <c r="L1566" s="3" t="n">
        <f aca="false">SUM(P1566:U1566)</f>
        <v>1</v>
      </c>
      <c r="M1566" s="11" t="n">
        <f aca="false">(L1566/(F1566*G1566)*25)*4</f>
        <v>4</v>
      </c>
      <c r="N1566" s="1" t="s">
        <v>30</v>
      </c>
      <c r="O1566" s="1" t="s">
        <v>35</v>
      </c>
      <c r="P1566" s="3" t="n">
        <v>0</v>
      </c>
      <c r="Q1566" s="3" t="n">
        <v>1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f aca="false">SUM(P1566:Q1566)</f>
        <v>1</v>
      </c>
      <c r="W1566" s="3" t="n">
        <f aca="false">SUM(R1566:T1566)</f>
        <v>0</v>
      </c>
      <c r="X1566" s="22" t="n">
        <v>41870</v>
      </c>
      <c r="Y1566" s="22" t="n">
        <v>41875</v>
      </c>
    </row>
    <row r="1567" customFormat="false" ht="14.25" hidden="false" customHeight="false" outlineLevel="0" collapsed="false">
      <c r="A1567" s="1" t="n">
        <v>2014</v>
      </c>
      <c r="B1567" s="1" t="n">
        <v>2</v>
      </c>
      <c r="C1567" s="2" t="s">
        <v>50</v>
      </c>
      <c r="D1567" s="3" t="s">
        <v>83</v>
      </c>
      <c r="E1567" s="3" t="n">
        <v>3</v>
      </c>
      <c r="F1567" s="1" t="n">
        <f aca="false">Y1567-X1567</f>
        <v>5</v>
      </c>
      <c r="G1567" s="1" t="n">
        <v>5</v>
      </c>
      <c r="H1567" s="3" t="s">
        <v>48</v>
      </c>
      <c r="I1567" s="3" t="s">
        <v>57</v>
      </c>
      <c r="J1567" s="3" t="s">
        <v>38</v>
      </c>
      <c r="K1567" s="2" t="str">
        <f aca="false">CONCATENATE(I1567," ",J1567)</f>
        <v>Gen sp</v>
      </c>
      <c r="L1567" s="3" t="n">
        <f aca="false">SUM(P1567:U1567)</f>
        <v>1</v>
      </c>
      <c r="M1567" s="11" t="n">
        <f aca="false">(L1567/(F1567*G1567)*25)*4</f>
        <v>4</v>
      </c>
      <c r="N1567" s="1" t="s">
        <v>19</v>
      </c>
      <c r="O1567" s="1" t="s">
        <v>54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1</v>
      </c>
      <c r="U1567" s="3" t="n">
        <v>0</v>
      </c>
      <c r="V1567" s="3" t="n">
        <f aca="false">SUM(P1567:Q1567)</f>
        <v>0</v>
      </c>
      <c r="W1567" s="3" t="n">
        <f aca="false">SUM(R1567:T1567)</f>
        <v>1</v>
      </c>
      <c r="X1567" s="22" t="n">
        <v>41870</v>
      </c>
      <c r="Y1567" s="22" t="n">
        <v>41875</v>
      </c>
    </row>
    <row r="1568" customFormat="false" ht="14.25" hidden="false" customHeight="false" outlineLevel="0" collapsed="false">
      <c r="A1568" s="1" t="n">
        <v>2014</v>
      </c>
      <c r="B1568" s="1" t="n">
        <v>2</v>
      </c>
      <c r="C1568" s="2" t="s">
        <v>50</v>
      </c>
      <c r="D1568" s="3" t="s">
        <v>83</v>
      </c>
      <c r="E1568" s="3" t="n">
        <v>2</v>
      </c>
      <c r="F1568" s="1" t="n">
        <f aca="false">Y1568-X1568</f>
        <v>5</v>
      </c>
      <c r="G1568" s="1" t="n">
        <v>5</v>
      </c>
      <c r="H1568" s="3" t="s">
        <v>48</v>
      </c>
      <c r="I1568" s="3" t="s">
        <v>49</v>
      </c>
      <c r="J1568" s="3" t="s">
        <v>130</v>
      </c>
      <c r="K1568" s="2" t="str">
        <f aca="false">CONCATENATE(I1568," ",J1568)</f>
        <v>Alopecosa aculeata</v>
      </c>
      <c r="L1568" s="3" t="n">
        <f aca="false">SUM(P1568:U1568)</f>
        <v>1</v>
      </c>
      <c r="M1568" s="11" t="n">
        <f aca="false">(L1568/(F1568*G1568)*25)*4</f>
        <v>4</v>
      </c>
      <c r="N1568" s="1" t="s">
        <v>30</v>
      </c>
      <c r="O1568" s="1" t="s">
        <v>35</v>
      </c>
      <c r="P1568" s="3" t="n">
        <v>0</v>
      </c>
      <c r="Q1568" s="3" t="n">
        <v>1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f aca="false">SUM(P1568:Q1568)</f>
        <v>1</v>
      </c>
      <c r="W1568" s="3" t="n">
        <f aca="false">SUM(R1568:T1568)</f>
        <v>0</v>
      </c>
      <c r="X1568" s="22" t="n">
        <v>41870</v>
      </c>
      <c r="Y1568" s="22" t="n">
        <v>41875</v>
      </c>
    </row>
    <row r="1569" customFormat="false" ht="14.25" hidden="false" customHeight="false" outlineLevel="0" collapsed="false">
      <c r="A1569" s="1" t="n">
        <v>2014</v>
      </c>
      <c r="B1569" s="1" t="n">
        <v>2</v>
      </c>
      <c r="C1569" s="2" t="s">
        <v>50</v>
      </c>
      <c r="D1569" s="3" t="s">
        <v>83</v>
      </c>
      <c r="E1569" s="3" t="n">
        <v>2</v>
      </c>
      <c r="F1569" s="1" t="n">
        <f aca="false">Y1569-X1569</f>
        <v>5</v>
      </c>
      <c r="G1569" s="1" t="n">
        <v>5</v>
      </c>
      <c r="H1569" s="3" t="s">
        <v>48</v>
      </c>
      <c r="I1569" s="3" t="s">
        <v>61</v>
      </c>
      <c r="J1569" s="3" t="s">
        <v>82</v>
      </c>
      <c r="K1569" s="2" t="str">
        <f aca="false">CONCATENATE(I1569," ",J1569)</f>
        <v>Trochosa terricola</v>
      </c>
      <c r="L1569" s="3" t="n">
        <f aca="false">SUM(P1569:U1569)</f>
        <v>1</v>
      </c>
      <c r="M1569" s="11" t="n">
        <f aca="false">(L1569/(F1569*G1569)*25)*4</f>
        <v>4</v>
      </c>
      <c r="N1569" s="1" t="s">
        <v>30</v>
      </c>
      <c r="O1569" s="1" t="s">
        <v>35</v>
      </c>
      <c r="P1569" s="3" t="n">
        <v>0</v>
      </c>
      <c r="Q1569" s="3" t="n">
        <v>1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f aca="false">SUM(P1569:Q1569)</f>
        <v>1</v>
      </c>
      <c r="W1569" s="3" t="n">
        <f aca="false">SUM(R1569:T1569)</f>
        <v>0</v>
      </c>
      <c r="X1569" s="22" t="n">
        <v>41870</v>
      </c>
      <c r="Y1569" s="22" t="n">
        <v>41875</v>
      </c>
    </row>
    <row r="1570" customFormat="false" ht="14.25" hidden="false" customHeight="false" outlineLevel="0" collapsed="false">
      <c r="A1570" s="1" t="n">
        <v>2014</v>
      </c>
      <c r="B1570" s="1" t="n">
        <v>2</v>
      </c>
      <c r="C1570" s="2" t="s">
        <v>50</v>
      </c>
      <c r="D1570" s="3" t="s">
        <v>83</v>
      </c>
      <c r="E1570" s="3" t="n">
        <v>2</v>
      </c>
      <c r="F1570" s="1" t="n">
        <f aca="false">Y1570-X1570</f>
        <v>5</v>
      </c>
      <c r="G1570" s="1" t="n">
        <v>5</v>
      </c>
      <c r="H1570" s="3" t="s">
        <v>48</v>
      </c>
      <c r="I1570" s="3" t="s">
        <v>67</v>
      </c>
      <c r="J1570" s="3" t="s">
        <v>127</v>
      </c>
      <c r="K1570" s="2" t="str">
        <f aca="false">CONCATENATE(I1570," ",J1570)</f>
        <v>Pardosa lugubris</v>
      </c>
      <c r="L1570" s="3" t="n">
        <f aca="false">SUM(P1570:U1570)</f>
        <v>1</v>
      </c>
      <c r="M1570" s="11" t="n">
        <f aca="false">(L1570/(F1570*G1570)*25)*4</f>
        <v>4</v>
      </c>
      <c r="N1570" s="1" t="s">
        <v>30</v>
      </c>
      <c r="O1570" s="1" t="s">
        <v>35</v>
      </c>
      <c r="P1570" s="3" t="n">
        <v>0</v>
      </c>
      <c r="Q1570" s="3" t="n">
        <v>1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f aca="false">SUM(P1570:Q1570)</f>
        <v>1</v>
      </c>
      <c r="W1570" s="3" t="n">
        <f aca="false">SUM(R1570:T1570)</f>
        <v>0</v>
      </c>
      <c r="X1570" s="22" t="n">
        <v>41870</v>
      </c>
      <c r="Y1570" s="22" t="n">
        <v>41875</v>
      </c>
    </row>
    <row r="1571" customFormat="false" ht="14.25" hidden="false" customHeight="false" outlineLevel="0" collapsed="false">
      <c r="A1571" s="1" t="n">
        <v>2014</v>
      </c>
      <c r="B1571" s="1" t="n">
        <v>2</v>
      </c>
      <c r="C1571" s="2" t="s">
        <v>50</v>
      </c>
      <c r="D1571" s="3" t="s">
        <v>83</v>
      </c>
      <c r="E1571" s="3" t="n">
        <v>2</v>
      </c>
      <c r="F1571" s="1" t="n">
        <f aca="false">Y1571-X1571</f>
        <v>5</v>
      </c>
      <c r="G1571" s="1" t="n">
        <v>5</v>
      </c>
      <c r="H1571" s="3" t="s">
        <v>48</v>
      </c>
      <c r="I1571" s="3" t="s">
        <v>49</v>
      </c>
      <c r="J1571" s="3" t="s">
        <v>38</v>
      </c>
      <c r="K1571" s="2" t="str">
        <f aca="false">CONCATENATE(I1571," ",J1571)</f>
        <v>Alopecosa sp</v>
      </c>
      <c r="L1571" s="3" t="n">
        <f aca="false">SUM(P1571:U1571)</f>
        <v>1</v>
      </c>
      <c r="M1571" s="11" t="n">
        <f aca="false">(L1571/(F1571*G1571)*25)*4</f>
        <v>4</v>
      </c>
      <c r="N1571" s="1" t="s">
        <v>19</v>
      </c>
      <c r="O1571" s="1" t="s">
        <v>54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1</v>
      </c>
      <c r="U1571" s="3" t="n">
        <v>0</v>
      </c>
      <c r="V1571" s="3" t="n">
        <f aca="false">SUM(P1571:Q1571)</f>
        <v>0</v>
      </c>
      <c r="W1571" s="3" t="n">
        <f aca="false">SUM(R1571:T1571)</f>
        <v>1</v>
      </c>
      <c r="X1571" s="22" t="n">
        <v>41870</v>
      </c>
      <c r="Y1571" s="22" t="n">
        <v>41875</v>
      </c>
    </row>
    <row r="1572" customFormat="false" ht="14.25" hidden="false" customHeight="false" outlineLevel="0" collapsed="false">
      <c r="A1572" s="1" t="n">
        <v>2014</v>
      </c>
      <c r="B1572" s="1" t="n">
        <v>2</v>
      </c>
      <c r="C1572" s="2" t="s">
        <v>50</v>
      </c>
      <c r="D1572" s="3" t="s">
        <v>83</v>
      </c>
      <c r="E1572" s="3" t="n">
        <v>2</v>
      </c>
      <c r="F1572" s="1" t="n">
        <f aca="false">Y1572-X1572</f>
        <v>5</v>
      </c>
      <c r="G1572" s="1" t="n">
        <v>5</v>
      </c>
      <c r="H1572" s="3" t="s">
        <v>32</v>
      </c>
      <c r="I1572" s="3" t="s">
        <v>68</v>
      </c>
      <c r="J1572" s="3" t="s">
        <v>69</v>
      </c>
      <c r="K1572" s="2" t="str">
        <f aca="false">CONCATENATE(I1572," ",J1572)</f>
        <v>Centromerus sylvaticus</v>
      </c>
      <c r="L1572" s="3" t="n">
        <f aca="false">SUM(P1572:U1572)</f>
        <v>1</v>
      </c>
      <c r="M1572" s="11" t="n">
        <f aca="false">(L1572/(F1572*G1572)*25)*4</f>
        <v>4</v>
      </c>
      <c r="N1572" s="1" t="s">
        <v>30</v>
      </c>
      <c r="O1572" s="1" t="s">
        <v>35</v>
      </c>
      <c r="P1572" s="3" t="n">
        <v>0</v>
      </c>
      <c r="Q1572" s="3" t="n">
        <v>1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f aca="false">SUM(P1572:Q1572)</f>
        <v>1</v>
      </c>
      <c r="W1572" s="3" t="n">
        <f aca="false">SUM(R1572:T1572)</f>
        <v>0</v>
      </c>
      <c r="X1572" s="22" t="n">
        <v>41870</v>
      </c>
      <c r="Y1572" s="22" t="n">
        <v>41875</v>
      </c>
    </row>
    <row r="1573" customFormat="false" ht="14.25" hidden="false" customHeight="false" outlineLevel="0" collapsed="false">
      <c r="A1573" s="1" t="n">
        <v>2014</v>
      </c>
      <c r="B1573" s="1" t="n">
        <v>2</v>
      </c>
      <c r="C1573" s="2" t="s">
        <v>50</v>
      </c>
      <c r="D1573" s="3" t="s">
        <v>83</v>
      </c>
      <c r="E1573" s="3" t="n">
        <v>2</v>
      </c>
      <c r="F1573" s="1" t="n">
        <f aca="false">Y1573-X1573</f>
        <v>5</v>
      </c>
      <c r="G1573" s="1" t="n">
        <v>5</v>
      </c>
      <c r="H1573" s="3" t="s">
        <v>72</v>
      </c>
      <c r="I1573" s="3" t="s">
        <v>86</v>
      </c>
      <c r="J1573" s="3" t="s">
        <v>38</v>
      </c>
      <c r="K1573" s="2" t="str">
        <f aca="false">CONCATENATE(I1573," ",J1573)</f>
        <v>Haplodrassus sp</v>
      </c>
      <c r="L1573" s="3" t="n">
        <f aca="false">SUM(P1573:U1573)</f>
        <v>1</v>
      </c>
      <c r="M1573" s="11" t="n">
        <f aca="false">(L1573/(F1573*G1573)*25)*4</f>
        <v>4</v>
      </c>
      <c r="N1573" s="1" t="s">
        <v>19</v>
      </c>
      <c r="O1573" s="1" t="s">
        <v>31</v>
      </c>
      <c r="P1573" s="3" t="n">
        <v>0</v>
      </c>
      <c r="Q1573" s="3" t="n">
        <v>0</v>
      </c>
      <c r="R1573" s="3" t="n">
        <v>1</v>
      </c>
      <c r="S1573" s="3" t="n">
        <v>0</v>
      </c>
      <c r="T1573" s="3" t="n">
        <v>0</v>
      </c>
      <c r="U1573" s="3" t="n">
        <v>0</v>
      </c>
      <c r="V1573" s="3" t="n">
        <f aca="false">SUM(P1573:Q1573)</f>
        <v>0</v>
      </c>
      <c r="W1573" s="3" t="n">
        <f aca="false">SUM(R1573:T1573)</f>
        <v>1</v>
      </c>
      <c r="X1573" s="22" t="n">
        <v>41870</v>
      </c>
      <c r="Y1573" s="22" t="n">
        <v>41875</v>
      </c>
    </row>
    <row r="1574" customFormat="false" ht="14.25" hidden="false" customHeight="false" outlineLevel="0" collapsed="false">
      <c r="A1574" s="1" t="n">
        <v>2014</v>
      </c>
      <c r="B1574" s="1" t="n">
        <v>2</v>
      </c>
      <c r="C1574" s="2" t="s">
        <v>50</v>
      </c>
      <c r="D1574" s="3" t="s">
        <v>83</v>
      </c>
      <c r="E1574" s="3" t="n">
        <v>1</v>
      </c>
      <c r="F1574" s="1" t="n">
        <f aca="false">Y1574-X1574</f>
        <v>5</v>
      </c>
      <c r="G1574" s="1" t="n">
        <v>5</v>
      </c>
      <c r="H1574" s="3" t="s">
        <v>72</v>
      </c>
      <c r="I1574" s="3" t="s">
        <v>57</v>
      </c>
      <c r="J1574" s="3" t="s">
        <v>38</v>
      </c>
      <c r="K1574" s="2" t="str">
        <f aca="false">CONCATENATE(I1574," ",J1574)</f>
        <v>Gen sp</v>
      </c>
      <c r="L1574" s="3" t="n">
        <f aca="false">SUM(P1574:U1574)</f>
        <v>1</v>
      </c>
      <c r="M1574" s="11" t="n">
        <f aca="false">(L1574/(F1574*G1574)*25)*4</f>
        <v>4</v>
      </c>
      <c r="N1574" s="1" t="s">
        <v>19</v>
      </c>
      <c r="O1574" s="1" t="s">
        <v>54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1</v>
      </c>
      <c r="U1574" s="3" t="n">
        <v>0</v>
      </c>
      <c r="V1574" s="3" t="n">
        <f aca="false">SUM(P1574:Q1574)</f>
        <v>0</v>
      </c>
      <c r="W1574" s="3" t="n">
        <f aca="false">SUM(R1574:T1574)</f>
        <v>1</v>
      </c>
      <c r="X1574" s="22" t="n">
        <v>41870</v>
      </c>
      <c r="Y1574" s="22" t="n">
        <v>41875</v>
      </c>
    </row>
    <row r="1575" customFormat="false" ht="14.25" hidden="false" customHeight="false" outlineLevel="0" collapsed="false">
      <c r="A1575" s="1" t="n">
        <v>2014</v>
      </c>
      <c r="B1575" s="1" t="n">
        <v>2</v>
      </c>
      <c r="C1575" s="2" t="s">
        <v>50</v>
      </c>
      <c r="D1575" s="3" t="s">
        <v>83</v>
      </c>
      <c r="E1575" s="3" t="n">
        <v>1</v>
      </c>
      <c r="F1575" s="1" t="n">
        <f aca="false">Y1575-X1575</f>
        <v>5</v>
      </c>
      <c r="G1575" s="1" t="n">
        <v>5</v>
      </c>
      <c r="H1575" s="3" t="s">
        <v>36</v>
      </c>
      <c r="I1575" s="3" t="s">
        <v>37</v>
      </c>
      <c r="J1575" s="3" t="s">
        <v>75</v>
      </c>
      <c r="K1575" s="2" t="str">
        <f aca="false">CONCATENATE(I1575," ",J1575)</f>
        <v>Ozyptila praticola</v>
      </c>
      <c r="L1575" s="3" t="n">
        <f aca="false">SUM(P1575:U1575)</f>
        <v>1</v>
      </c>
      <c r="M1575" s="11" t="n">
        <f aca="false">(L1575/(F1575*G1575)*25)*4</f>
        <v>4</v>
      </c>
      <c r="N1575" s="1" t="s">
        <v>30</v>
      </c>
      <c r="O1575" s="1" t="s">
        <v>31</v>
      </c>
      <c r="P1575" s="3" t="n">
        <v>1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f aca="false">SUM(P1575:Q1575)</f>
        <v>1</v>
      </c>
      <c r="W1575" s="3" t="n">
        <f aca="false">SUM(R1575:T1575)</f>
        <v>0</v>
      </c>
      <c r="X1575" s="22" t="n">
        <v>41870</v>
      </c>
      <c r="Y1575" s="22" t="n">
        <v>41875</v>
      </c>
    </row>
    <row r="1576" customFormat="false" ht="14.25" hidden="false" customHeight="false" outlineLevel="0" collapsed="false">
      <c r="A1576" s="1" t="n">
        <v>2014</v>
      </c>
      <c r="B1576" s="1" t="n">
        <v>2</v>
      </c>
      <c r="C1576" s="2" t="s">
        <v>50</v>
      </c>
      <c r="D1576" s="3" t="s">
        <v>83</v>
      </c>
      <c r="E1576" s="3" t="n">
        <v>1</v>
      </c>
      <c r="F1576" s="1" t="n">
        <f aca="false">Y1576-X1576</f>
        <v>5</v>
      </c>
      <c r="G1576" s="1" t="n">
        <v>5</v>
      </c>
      <c r="H1576" s="3" t="s">
        <v>48</v>
      </c>
      <c r="I1576" s="3" t="s">
        <v>61</v>
      </c>
      <c r="J1576" s="3" t="s">
        <v>82</v>
      </c>
      <c r="K1576" s="2" t="str">
        <f aca="false">CONCATENATE(I1576," ",J1576)</f>
        <v>Trochosa terricola</v>
      </c>
      <c r="L1576" s="3" t="n">
        <f aca="false">SUM(P1576:U1576)</f>
        <v>1</v>
      </c>
      <c r="M1576" s="11" t="n">
        <f aca="false">(L1576/(F1576*G1576)*25)*4</f>
        <v>4</v>
      </c>
      <c r="N1576" s="1" t="s">
        <v>30</v>
      </c>
      <c r="O1576" s="1" t="s">
        <v>35</v>
      </c>
      <c r="P1576" s="3" t="n">
        <v>0</v>
      </c>
      <c r="Q1576" s="3" t="n">
        <v>1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f aca="false">SUM(P1576:Q1576)</f>
        <v>1</v>
      </c>
      <c r="W1576" s="3" t="n">
        <f aca="false">SUM(R1576:T1576)</f>
        <v>0</v>
      </c>
      <c r="X1576" s="22" t="n">
        <v>41870</v>
      </c>
      <c r="Y1576" s="22" t="n">
        <v>41875</v>
      </c>
    </row>
    <row r="1577" customFormat="false" ht="14.25" hidden="false" customHeight="false" outlineLevel="0" collapsed="false">
      <c r="A1577" s="1" t="n">
        <v>2014</v>
      </c>
      <c r="B1577" s="1" t="n">
        <v>2</v>
      </c>
      <c r="C1577" s="2" t="s">
        <v>50</v>
      </c>
      <c r="D1577" s="3" t="s">
        <v>83</v>
      </c>
      <c r="E1577" s="3" t="n">
        <v>1</v>
      </c>
      <c r="F1577" s="1" t="n">
        <f aca="false">Y1577-X1577</f>
        <v>5</v>
      </c>
      <c r="G1577" s="1" t="n">
        <v>5</v>
      </c>
      <c r="H1577" s="3" t="s">
        <v>92</v>
      </c>
      <c r="I1577" s="3" t="s">
        <v>111</v>
      </c>
      <c r="J1577" s="3" t="s">
        <v>112</v>
      </c>
      <c r="K1577" s="2" t="str">
        <f aca="false">CONCATENATE(I1577," ",J1577)</f>
        <v>Evarcha falcata</v>
      </c>
      <c r="L1577" s="3" t="n">
        <f aca="false">SUM(P1577:U1577)</f>
        <v>1</v>
      </c>
      <c r="M1577" s="11" t="n">
        <f aca="false">(L1577/(F1577*G1577)*25)*4</f>
        <v>4</v>
      </c>
      <c r="N1577" s="1" t="s">
        <v>30</v>
      </c>
      <c r="O1577" s="1" t="s">
        <v>31</v>
      </c>
      <c r="P1577" s="3" t="n">
        <v>1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f aca="false">SUM(P1577:Q1577)</f>
        <v>1</v>
      </c>
      <c r="W1577" s="3" t="n">
        <f aca="false">SUM(R1577:T1577)</f>
        <v>0</v>
      </c>
      <c r="X1577" s="22" t="n">
        <v>41870</v>
      </c>
      <c r="Y1577" s="22" t="n">
        <v>41875</v>
      </c>
    </row>
    <row r="1578" customFormat="false" ht="14.25" hidden="false" customHeight="false" outlineLevel="0" collapsed="false">
      <c r="A1578" s="1" t="n">
        <v>2014</v>
      </c>
      <c r="B1578" s="1" t="n">
        <v>2</v>
      </c>
      <c r="C1578" s="2" t="s">
        <v>50</v>
      </c>
      <c r="D1578" s="3" t="s">
        <v>83</v>
      </c>
      <c r="E1578" s="3" t="n">
        <v>1</v>
      </c>
      <c r="F1578" s="1" t="n">
        <f aca="false">Y1578-X1578</f>
        <v>5</v>
      </c>
      <c r="G1578" s="1" t="n">
        <v>5</v>
      </c>
      <c r="H1578" s="3" t="s">
        <v>224</v>
      </c>
      <c r="I1578" s="3" t="s">
        <v>57</v>
      </c>
      <c r="J1578" s="3" t="s">
        <v>38</v>
      </c>
      <c r="K1578" s="2" t="str">
        <f aca="false">CONCATENATE(I1578," ",J1578)</f>
        <v>Gen sp</v>
      </c>
      <c r="L1578" s="3" t="n">
        <f aca="false">SUM(P1578:U1578)</f>
        <v>2</v>
      </c>
      <c r="M1578" s="11" t="n">
        <f aca="false">(L1578/(F1578*G1578)*25)*4</f>
        <v>8</v>
      </c>
      <c r="N1578" s="1" t="s">
        <v>19</v>
      </c>
      <c r="O1578" s="1" t="s">
        <v>54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2</v>
      </c>
      <c r="U1578" s="3" t="n">
        <v>0</v>
      </c>
      <c r="V1578" s="3" t="n">
        <f aca="false">SUM(P1578:Q1578)</f>
        <v>0</v>
      </c>
      <c r="W1578" s="3" t="n">
        <f aca="false">SUM(R1578:T1578)</f>
        <v>2</v>
      </c>
      <c r="X1578" s="22" t="n">
        <v>41870</v>
      </c>
      <c r="Y1578" s="22" t="n">
        <v>41875</v>
      </c>
    </row>
    <row r="1579" customFormat="false" ht="14.25" hidden="false" customHeight="false" outlineLevel="0" collapsed="false">
      <c r="A1579" s="1" t="n">
        <v>2014</v>
      </c>
      <c r="B1579" s="1" t="n">
        <v>2</v>
      </c>
      <c r="C1579" s="2" t="s">
        <v>50</v>
      </c>
      <c r="D1579" s="3" t="s">
        <v>83</v>
      </c>
      <c r="E1579" s="3" t="n">
        <v>3</v>
      </c>
      <c r="F1579" s="1" t="n">
        <f aca="false">Y1579-X1579</f>
        <v>5</v>
      </c>
      <c r="G1579" s="1" t="n">
        <v>5</v>
      </c>
      <c r="H1579" s="3" t="s">
        <v>48</v>
      </c>
      <c r="I1579" s="3" t="s">
        <v>49</v>
      </c>
      <c r="J1579" s="3" t="s">
        <v>130</v>
      </c>
      <c r="K1579" s="2" t="str">
        <f aca="false">CONCATENATE(I1579," ",J1579)</f>
        <v>Alopecosa aculeata</v>
      </c>
      <c r="L1579" s="3" t="n">
        <f aca="false">SUM(P1579:U1579)</f>
        <v>1</v>
      </c>
      <c r="M1579" s="11" t="n">
        <f aca="false">(L1579/(F1579*G1579)*25)*4</f>
        <v>4</v>
      </c>
      <c r="N1579" s="1" t="s">
        <v>30</v>
      </c>
      <c r="O1579" s="1" t="s">
        <v>35</v>
      </c>
      <c r="P1579" s="3" t="n">
        <v>0</v>
      </c>
      <c r="Q1579" s="3" t="n">
        <v>1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f aca="false">SUM(P1579:Q1579)</f>
        <v>1</v>
      </c>
      <c r="W1579" s="3" t="n">
        <f aca="false">SUM(R1579:T1579)</f>
        <v>0</v>
      </c>
      <c r="X1579" s="22" t="n">
        <v>41870</v>
      </c>
      <c r="Y1579" s="22" t="n">
        <v>41875</v>
      </c>
    </row>
    <row r="1580" customFormat="false" ht="14.25" hidden="false" customHeight="false" outlineLevel="0" collapsed="false">
      <c r="A1580" s="1" t="n">
        <v>2014</v>
      </c>
      <c r="B1580" s="1" t="n">
        <v>2</v>
      </c>
      <c r="C1580" s="2" t="s">
        <v>50</v>
      </c>
      <c r="D1580" s="3" t="s">
        <v>83</v>
      </c>
      <c r="E1580" s="3" t="n">
        <v>3</v>
      </c>
      <c r="F1580" s="1" t="n">
        <f aca="false">Y1580-X1580</f>
        <v>5</v>
      </c>
      <c r="G1580" s="1" t="n">
        <v>5</v>
      </c>
      <c r="H1580" s="3" t="s">
        <v>48</v>
      </c>
      <c r="I1580" s="3" t="s">
        <v>49</v>
      </c>
      <c r="J1580" s="3" t="s">
        <v>38</v>
      </c>
      <c r="K1580" s="2" t="str">
        <f aca="false">CONCATENATE(I1580," ",J1580)</f>
        <v>Alopecosa sp</v>
      </c>
      <c r="L1580" s="3" t="n">
        <f aca="false">SUM(P1580:U1580)</f>
        <v>1</v>
      </c>
      <c r="M1580" s="11" t="n">
        <f aca="false">(L1580/(F1580*G1580)*25)*4</f>
        <v>4</v>
      </c>
      <c r="N1580" s="1" t="s">
        <v>19</v>
      </c>
      <c r="O1580" s="1" t="s">
        <v>54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1</v>
      </c>
      <c r="U1580" s="3" t="n">
        <v>0</v>
      </c>
      <c r="V1580" s="3" t="n">
        <f aca="false">SUM(P1580:Q1580)</f>
        <v>0</v>
      </c>
      <c r="W1580" s="3" t="n">
        <f aca="false">SUM(R1580:T1580)</f>
        <v>1</v>
      </c>
      <c r="X1580" s="22" t="n">
        <v>41870</v>
      </c>
      <c r="Y1580" s="22" t="n">
        <v>41875</v>
      </c>
    </row>
    <row r="1581" customFormat="false" ht="14.25" hidden="false" customHeight="false" outlineLevel="0" collapsed="false">
      <c r="A1581" s="1" t="n">
        <v>2014</v>
      </c>
      <c r="B1581" s="1" t="n">
        <v>2</v>
      </c>
      <c r="C1581" s="2" t="s">
        <v>50</v>
      </c>
      <c r="D1581" s="3" t="s">
        <v>83</v>
      </c>
      <c r="E1581" s="3" t="n">
        <v>3</v>
      </c>
      <c r="F1581" s="1" t="n">
        <f aca="false">Y1581-X1581</f>
        <v>5</v>
      </c>
      <c r="G1581" s="1" t="n">
        <v>5</v>
      </c>
      <c r="H1581" s="3" t="s">
        <v>48</v>
      </c>
      <c r="I1581" s="3" t="s">
        <v>61</v>
      </c>
      <c r="J1581" s="3" t="s">
        <v>82</v>
      </c>
      <c r="K1581" s="2" t="str">
        <f aca="false">CONCATENATE(I1581," ",J1581)</f>
        <v>Trochosa terricola</v>
      </c>
      <c r="L1581" s="3" t="n">
        <f aca="false">SUM(P1581:U1581)</f>
        <v>2</v>
      </c>
      <c r="M1581" s="11" t="n">
        <f aca="false">(L1581/(F1581*G1581)*25)*4</f>
        <v>8</v>
      </c>
      <c r="N1581" s="1" t="s">
        <v>30</v>
      </c>
      <c r="O1581" s="1" t="s">
        <v>31</v>
      </c>
      <c r="P1581" s="3" t="n">
        <v>2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f aca="false">SUM(P1581:Q1581)</f>
        <v>2</v>
      </c>
      <c r="W1581" s="3" t="n">
        <f aca="false">SUM(R1581:T1581)</f>
        <v>0</v>
      </c>
      <c r="X1581" s="22" t="n">
        <v>41870</v>
      </c>
      <c r="Y1581" s="22" t="n">
        <v>41875</v>
      </c>
    </row>
    <row r="1582" customFormat="false" ht="14.25" hidden="false" customHeight="false" outlineLevel="0" collapsed="false">
      <c r="A1582" s="1" t="n">
        <v>2014</v>
      </c>
      <c r="B1582" s="1" t="n">
        <v>2</v>
      </c>
      <c r="C1582" s="2" t="s">
        <v>50</v>
      </c>
      <c r="D1582" s="3" t="s">
        <v>83</v>
      </c>
      <c r="E1582" s="3" t="n">
        <v>3</v>
      </c>
      <c r="F1582" s="1" t="n">
        <f aca="false">Y1582-X1582</f>
        <v>5</v>
      </c>
      <c r="G1582" s="1" t="n">
        <v>5</v>
      </c>
      <c r="H1582" s="3" t="s">
        <v>48</v>
      </c>
      <c r="I1582" s="3" t="s">
        <v>61</v>
      </c>
      <c r="J1582" s="3" t="s">
        <v>82</v>
      </c>
      <c r="K1582" s="2" t="str">
        <f aca="false">CONCATENATE(I1582," ",J1582)</f>
        <v>Trochosa terricola</v>
      </c>
      <c r="L1582" s="3" t="n">
        <f aca="false">SUM(P1582:U1582)</f>
        <v>2</v>
      </c>
      <c r="M1582" s="11" t="n">
        <f aca="false">(L1582/(F1582*G1582)*25)*4</f>
        <v>8</v>
      </c>
      <c r="N1582" s="1" t="s">
        <v>30</v>
      </c>
      <c r="O1582" s="1" t="s">
        <v>35</v>
      </c>
      <c r="P1582" s="3" t="n">
        <v>0</v>
      </c>
      <c r="Q1582" s="3" t="n">
        <v>2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f aca="false">SUM(P1582:Q1582)</f>
        <v>2</v>
      </c>
      <c r="W1582" s="3" t="n">
        <f aca="false">SUM(R1582:T1582)</f>
        <v>0</v>
      </c>
      <c r="X1582" s="22" t="n">
        <v>41870</v>
      </c>
      <c r="Y1582" s="22" t="n">
        <v>41875</v>
      </c>
    </row>
    <row r="1583" customFormat="false" ht="14.25" hidden="false" customHeight="false" outlineLevel="0" collapsed="false">
      <c r="A1583" s="1" t="n">
        <v>2014</v>
      </c>
      <c r="B1583" s="1" t="n">
        <v>2</v>
      </c>
      <c r="C1583" s="2" t="s">
        <v>50</v>
      </c>
      <c r="D1583" s="3" t="s">
        <v>83</v>
      </c>
      <c r="E1583" s="3" t="n">
        <v>3</v>
      </c>
      <c r="F1583" s="1" t="n">
        <f aca="false">Y1583-X1583</f>
        <v>5</v>
      </c>
      <c r="G1583" s="1" t="n">
        <v>5</v>
      </c>
      <c r="H1583" s="3" t="s">
        <v>32</v>
      </c>
      <c r="I1583" s="3" t="s">
        <v>169</v>
      </c>
      <c r="J1583" s="3" t="s">
        <v>170</v>
      </c>
      <c r="K1583" s="2" t="str">
        <f aca="false">CONCATENATE(I1583," ",J1583)</f>
        <v>Abacoproeces saltuum</v>
      </c>
      <c r="L1583" s="3" t="n">
        <f aca="false">SUM(P1583:U1583)</f>
        <v>1</v>
      </c>
      <c r="M1583" s="11" t="n">
        <f aca="false">(L1583/(F1583*G1583)*25)*4</f>
        <v>4</v>
      </c>
      <c r="N1583" s="1" t="s">
        <v>30</v>
      </c>
      <c r="O1583" s="1" t="s">
        <v>35</v>
      </c>
      <c r="P1583" s="3" t="n">
        <v>0</v>
      </c>
      <c r="Q1583" s="3" t="n">
        <v>1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f aca="false">SUM(P1583:Q1583)</f>
        <v>1</v>
      </c>
      <c r="W1583" s="3" t="n">
        <f aca="false">SUM(R1583:T1583)</f>
        <v>0</v>
      </c>
      <c r="X1583" s="22" t="n">
        <v>41870</v>
      </c>
      <c r="Y1583" s="22" t="n">
        <v>41875</v>
      </c>
    </row>
    <row r="1584" customFormat="false" ht="14.25" hidden="false" customHeight="false" outlineLevel="0" collapsed="false">
      <c r="A1584" s="1" t="n">
        <v>2014</v>
      </c>
      <c r="B1584" s="1" t="n">
        <v>2</v>
      </c>
      <c r="C1584" s="2" t="s">
        <v>50</v>
      </c>
      <c r="D1584" s="3" t="s">
        <v>83</v>
      </c>
      <c r="E1584" s="3" t="n">
        <v>1</v>
      </c>
      <c r="F1584" s="1" t="n">
        <f aca="false">Y1584-X1584</f>
        <v>5</v>
      </c>
      <c r="G1584" s="1" t="n">
        <v>5</v>
      </c>
      <c r="H1584" s="3" t="s">
        <v>48</v>
      </c>
      <c r="I1584" s="3" t="s">
        <v>61</v>
      </c>
      <c r="J1584" s="3" t="s">
        <v>82</v>
      </c>
      <c r="K1584" s="2" t="str">
        <f aca="false">CONCATENATE(I1584," ",J1584)</f>
        <v>Trochosa terricola</v>
      </c>
      <c r="L1584" s="3" t="n">
        <f aca="false">SUM(P1584:U1584)</f>
        <v>1</v>
      </c>
      <c r="M1584" s="11" t="n">
        <f aca="false">(L1584/(F1584*G1584)*25)*4</f>
        <v>4</v>
      </c>
      <c r="N1584" s="1" t="s">
        <v>30</v>
      </c>
      <c r="O1584" s="1" t="s">
        <v>31</v>
      </c>
      <c r="P1584" s="3" t="n">
        <v>1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f aca="false">SUM(P1584:Q1584)</f>
        <v>1</v>
      </c>
      <c r="W1584" s="3" t="n">
        <f aca="false">SUM(R1584:T1584)</f>
        <v>0</v>
      </c>
      <c r="X1584" s="22" t="n">
        <v>41870</v>
      </c>
      <c r="Y1584" s="22" t="n">
        <v>41875</v>
      </c>
    </row>
    <row r="1585" customFormat="false" ht="14.25" hidden="false" customHeight="false" outlineLevel="0" collapsed="false">
      <c r="A1585" s="1" t="n">
        <v>2014</v>
      </c>
      <c r="B1585" s="1" t="n">
        <v>2</v>
      </c>
      <c r="C1585" s="2" t="s">
        <v>50</v>
      </c>
      <c r="D1585" s="3" t="s">
        <v>83</v>
      </c>
      <c r="E1585" s="3" t="n">
        <v>1</v>
      </c>
      <c r="F1585" s="1" t="n">
        <f aca="false">Y1585-X1585</f>
        <v>5</v>
      </c>
      <c r="G1585" s="1" t="n">
        <v>5</v>
      </c>
      <c r="H1585" s="3" t="s">
        <v>48</v>
      </c>
      <c r="I1585" s="3" t="s">
        <v>61</v>
      </c>
      <c r="J1585" s="3" t="s">
        <v>82</v>
      </c>
      <c r="K1585" s="2" t="str">
        <f aca="false">CONCATENATE(I1585," ",J1585)</f>
        <v>Trochosa terricola</v>
      </c>
      <c r="L1585" s="3" t="n">
        <f aca="false">SUM(P1585:U1585)</f>
        <v>3</v>
      </c>
      <c r="M1585" s="11" t="n">
        <f aca="false">(L1585/(F1585*G1585)*25)*4</f>
        <v>12</v>
      </c>
      <c r="N1585" s="1" t="s">
        <v>30</v>
      </c>
      <c r="O1585" s="1" t="s">
        <v>35</v>
      </c>
      <c r="P1585" s="3" t="n">
        <v>0</v>
      </c>
      <c r="Q1585" s="3" t="n">
        <v>3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f aca="false">SUM(P1585:Q1585)</f>
        <v>3</v>
      </c>
      <c r="W1585" s="3" t="n">
        <f aca="false">SUM(R1585:T1585)</f>
        <v>0</v>
      </c>
      <c r="X1585" s="22" t="n">
        <v>41870</v>
      </c>
      <c r="Y1585" s="22" t="n">
        <v>41875</v>
      </c>
    </row>
    <row r="1586" customFormat="false" ht="14.25" hidden="false" customHeight="false" outlineLevel="0" collapsed="false">
      <c r="A1586" s="1" t="n">
        <v>2014</v>
      </c>
      <c r="B1586" s="1" t="n">
        <v>2</v>
      </c>
      <c r="C1586" s="2" t="s">
        <v>50</v>
      </c>
      <c r="D1586" s="3" t="s">
        <v>83</v>
      </c>
      <c r="E1586" s="3" t="n">
        <v>1</v>
      </c>
      <c r="F1586" s="1" t="n">
        <f aca="false">Y1586-X1586</f>
        <v>5</v>
      </c>
      <c r="G1586" s="1" t="n">
        <v>5</v>
      </c>
      <c r="H1586" s="3" t="s">
        <v>72</v>
      </c>
      <c r="I1586" s="3" t="s">
        <v>73</v>
      </c>
      <c r="J1586" s="3" t="s">
        <v>74</v>
      </c>
      <c r="K1586" s="2" t="str">
        <f aca="false">CONCATENATE(I1586," ",J1586)</f>
        <v>Zelotes subterraneus</v>
      </c>
      <c r="L1586" s="3" t="n">
        <f aca="false">SUM(P1586:U1586)</f>
        <v>2</v>
      </c>
      <c r="M1586" s="11" t="n">
        <f aca="false">(L1586/(F1586*G1586)*25)*4</f>
        <v>8</v>
      </c>
      <c r="N1586" s="1" t="s">
        <v>30</v>
      </c>
      <c r="O1586" s="1" t="s">
        <v>35</v>
      </c>
      <c r="P1586" s="3" t="n">
        <v>0</v>
      </c>
      <c r="Q1586" s="3" t="n">
        <v>2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f aca="false">SUM(P1586:Q1586)</f>
        <v>2</v>
      </c>
      <c r="W1586" s="3" t="n">
        <f aca="false">SUM(R1586:T1586)</f>
        <v>0</v>
      </c>
      <c r="X1586" s="22" t="n">
        <v>41870</v>
      </c>
      <c r="Y1586" s="22" t="n">
        <v>41875</v>
      </c>
    </row>
    <row r="1587" customFormat="false" ht="14.25" hidden="false" customHeight="false" outlineLevel="0" collapsed="false">
      <c r="A1587" s="1" t="n">
        <v>2014</v>
      </c>
      <c r="B1587" s="1" t="n">
        <v>2</v>
      </c>
      <c r="C1587" s="2" t="s">
        <v>50</v>
      </c>
      <c r="D1587" s="3" t="s">
        <v>83</v>
      </c>
      <c r="E1587" s="3" t="n">
        <v>1</v>
      </c>
      <c r="F1587" s="1" t="n">
        <f aca="false">Y1587-X1587</f>
        <v>5</v>
      </c>
      <c r="G1587" s="1" t="n">
        <v>5</v>
      </c>
      <c r="H1587" s="3" t="s">
        <v>36</v>
      </c>
      <c r="I1587" s="3" t="s">
        <v>37</v>
      </c>
      <c r="J1587" s="3" t="s">
        <v>75</v>
      </c>
      <c r="K1587" s="2" t="str">
        <f aca="false">CONCATENATE(I1587," ",J1587)</f>
        <v>Ozyptila praticola</v>
      </c>
      <c r="L1587" s="3" t="n">
        <f aca="false">SUM(P1587:U1587)</f>
        <v>1</v>
      </c>
      <c r="M1587" s="11" t="n">
        <f aca="false">(L1587/(F1587*G1587)*25)*4</f>
        <v>4</v>
      </c>
      <c r="N1587" s="1" t="s">
        <v>30</v>
      </c>
      <c r="O1587" s="1" t="s">
        <v>31</v>
      </c>
      <c r="P1587" s="3" t="n">
        <v>1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f aca="false">SUM(P1587:Q1587)</f>
        <v>1</v>
      </c>
      <c r="W1587" s="3" t="n">
        <f aca="false">SUM(R1587:T1587)</f>
        <v>0</v>
      </c>
      <c r="X1587" s="22" t="n">
        <v>41870</v>
      </c>
      <c r="Y1587" s="22" t="n">
        <v>41875</v>
      </c>
    </row>
    <row r="1588" customFormat="false" ht="14.25" hidden="false" customHeight="false" outlineLevel="0" collapsed="false">
      <c r="A1588" s="1" t="n">
        <v>2014</v>
      </c>
      <c r="B1588" s="1" t="n">
        <v>2</v>
      </c>
      <c r="C1588" s="2" t="s">
        <v>50</v>
      </c>
      <c r="D1588" s="3" t="s">
        <v>83</v>
      </c>
      <c r="E1588" s="3" t="n">
        <v>1</v>
      </c>
      <c r="F1588" s="1" t="n">
        <f aca="false">Y1588-X1588</f>
        <v>5</v>
      </c>
      <c r="G1588" s="1" t="n">
        <v>5</v>
      </c>
      <c r="H1588" s="3" t="s">
        <v>48</v>
      </c>
      <c r="I1588" s="3" t="s">
        <v>67</v>
      </c>
      <c r="J1588" s="3" t="s">
        <v>127</v>
      </c>
      <c r="K1588" s="2" t="str">
        <f aca="false">CONCATENATE(I1588," ",J1588)</f>
        <v>Pardosa lugubris</v>
      </c>
      <c r="L1588" s="3" t="n">
        <f aca="false">SUM(P1588:U1588)</f>
        <v>1</v>
      </c>
      <c r="M1588" s="11" t="n">
        <f aca="false">(L1588/(F1588*G1588)*25)*4</f>
        <v>4</v>
      </c>
      <c r="N1588" s="1" t="s">
        <v>30</v>
      </c>
      <c r="O1588" s="1" t="s">
        <v>35</v>
      </c>
      <c r="P1588" s="3" t="n">
        <v>0</v>
      </c>
      <c r="Q1588" s="3" t="n">
        <v>1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f aca="false">SUM(P1588:Q1588)</f>
        <v>1</v>
      </c>
      <c r="W1588" s="3" t="n">
        <f aca="false">SUM(R1588:T1588)</f>
        <v>0</v>
      </c>
      <c r="X1588" s="22" t="n">
        <v>41870</v>
      </c>
      <c r="Y1588" s="22" t="n">
        <v>41875</v>
      </c>
    </row>
    <row r="1589" customFormat="false" ht="14.25" hidden="false" customHeight="false" outlineLevel="0" collapsed="false">
      <c r="A1589" s="1" t="n">
        <v>2014</v>
      </c>
      <c r="B1589" s="1" t="n">
        <v>2</v>
      </c>
      <c r="C1589" s="2" t="s">
        <v>50</v>
      </c>
      <c r="D1589" s="3" t="s">
        <v>83</v>
      </c>
      <c r="E1589" s="3" t="n">
        <v>1</v>
      </c>
      <c r="F1589" s="1" t="n">
        <f aca="false">Y1589-X1589</f>
        <v>5</v>
      </c>
      <c r="G1589" s="1" t="n">
        <v>5</v>
      </c>
      <c r="H1589" s="3" t="s">
        <v>48</v>
      </c>
      <c r="I1589" s="3" t="s">
        <v>57</v>
      </c>
      <c r="J1589" s="3" t="s">
        <v>38</v>
      </c>
      <c r="K1589" s="2" t="str">
        <f aca="false">CONCATENATE(I1589," ",J1589)</f>
        <v>Gen sp</v>
      </c>
      <c r="L1589" s="3" t="n">
        <f aca="false">SUM(P1589:U1589)</f>
        <v>1</v>
      </c>
      <c r="M1589" s="11" t="n">
        <f aca="false">(L1589/(F1589*G1589)*25)*4</f>
        <v>4</v>
      </c>
      <c r="N1589" s="1" t="s">
        <v>19</v>
      </c>
      <c r="O1589" s="1" t="s">
        <v>54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1</v>
      </c>
      <c r="U1589" s="3" t="n">
        <v>0</v>
      </c>
      <c r="V1589" s="3" t="n">
        <f aca="false">SUM(P1589:Q1589)</f>
        <v>0</v>
      </c>
      <c r="W1589" s="3" t="n">
        <f aca="false">SUM(R1589:T1589)</f>
        <v>1</v>
      </c>
      <c r="X1589" s="22" t="n">
        <v>41870</v>
      </c>
      <c r="Y1589" s="22" t="n">
        <v>41875</v>
      </c>
    </row>
    <row r="1590" customFormat="false" ht="14.25" hidden="false" customHeight="false" outlineLevel="0" collapsed="false">
      <c r="A1590" s="1" t="n">
        <v>2014</v>
      </c>
      <c r="B1590" s="1" t="n">
        <v>2</v>
      </c>
      <c r="C1590" s="2" t="s">
        <v>50</v>
      </c>
      <c r="D1590" s="3" t="s">
        <v>83</v>
      </c>
      <c r="E1590" s="3" t="n">
        <v>3</v>
      </c>
      <c r="F1590" s="1" t="n">
        <f aca="false">Y1590-X1590</f>
        <v>5</v>
      </c>
      <c r="G1590" s="1" t="n">
        <v>5</v>
      </c>
      <c r="H1590" s="3" t="s">
        <v>48</v>
      </c>
      <c r="I1590" s="3" t="s">
        <v>49</v>
      </c>
      <c r="J1590" s="3" t="s">
        <v>104</v>
      </c>
      <c r="K1590" s="2" t="str">
        <f aca="false">CONCATENATE(I1590," ",J1590)</f>
        <v>Alopecosa taeniata</v>
      </c>
      <c r="L1590" s="3" t="n">
        <f aca="false">SUM(P1590:U1590)</f>
        <v>1</v>
      </c>
      <c r="M1590" s="11" t="n">
        <f aca="false">(L1590/(F1590*G1590)*25)*4</f>
        <v>4</v>
      </c>
      <c r="N1590" s="1" t="s">
        <v>30</v>
      </c>
      <c r="O1590" s="1" t="s">
        <v>35</v>
      </c>
      <c r="P1590" s="3" t="n">
        <v>0</v>
      </c>
      <c r="Q1590" s="3" t="n">
        <v>1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f aca="false">SUM(P1590:Q1590)</f>
        <v>1</v>
      </c>
      <c r="W1590" s="3" t="n">
        <f aca="false">SUM(R1590:T1590)</f>
        <v>0</v>
      </c>
      <c r="X1590" s="22" t="n">
        <v>41870</v>
      </c>
      <c r="Y1590" s="22" t="n">
        <v>41875</v>
      </c>
    </row>
    <row r="1591" customFormat="false" ht="14.25" hidden="false" customHeight="false" outlineLevel="0" collapsed="false">
      <c r="A1591" s="1" t="n">
        <v>2014</v>
      </c>
      <c r="B1591" s="1" t="n">
        <v>2</v>
      </c>
      <c r="C1591" s="2" t="s">
        <v>50</v>
      </c>
      <c r="D1591" s="3" t="s">
        <v>83</v>
      </c>
      <c r="E1591" s="3" t="n">
        <v>3</v>
      </c>
      <c r="F1591" s="1" t="n">
        <f aca="false">Y1591-X1591</f>
        <v>5</v>
      </c>
      <c r="G1591" s="1" t="n">
        <v>5</v>
      </c>
      <c r="H1591" s="3" t="s">
        <v>48</v>
      </c>
      <c r="I1591" s="3" t="s">
        <v>67</v>
      </c>
      <c r="J1591" s="3" t="s">
        <v>127</v>
      </c>
      <c r="K1591" s="2" t="str">
        <f aca="false">CONCATENATE(I1591," ",J1591)</f>
        <v>Pardosa lugubris</v>
      </c>
      <c r="L1591" s="3" t="n">
        <f aca="false">SUM(P1591:U1591)</f>
        <v>1</v>
      </c>
      <c r="M1591" s="11" t="n">
        <f aca="false">(L1591/(F1591*G1591)*25)*4</f>
        <v>4</v>
      </c>
      <c r="N1591" s="1" t="s">
        <v>30</v>
      </c>
      <c r="O1591" s="1" t="s">
        <v>35</v>
      </c>
      <c r="P1591" s="3" t="n">
        <v>0</v>
      </c>
      <c r="Q1591" s="3" t="n">
        <v>1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f aca="false">SUM(P1591:Q1591)</f>
        <v>1</v>
      </c>
      <c r="W1591" s="3" t="n">
        <f aca="false">SUM(R1591:T1591)</f>
        <v>0</v>
      </c>
      <c r="X1591" s="22" t="n">
        <v>41870</v>
      </c>
      <c r="Y1591" s="22" t="n">
        <v>41875</v>
      </c>
    </row>
    <row r="1592" customFormat="false" ht="14.25" hidden="false" customHeight="false" outlineLevel="0" collapsed="false">
      <c r="A1592" s="1" t="n">
        <v>2014</v>
      </c>
      <c r="B1592" s="1" t="n">
        <v>2</v>
      </c>
      <c r="C1592" s="2" t="s">
        <v>50</v>
      </c>
      <c r="D1592" s="3" t="s">
        <v>83</v>
      </c>
      <c r="E1592" s="3" t="n">
        <v>3</v>
      </c>
      <c r="F1592" s="1" t="n">
        <f aca="false">Y1592-X1592</f>
        <v>5</v>
      </c>
      <c r="G1592" s="1" t="n">
        <v>5</v>
      </c>
      <c r="H1592" s="3" t="s">
        <v>72</v>
      </c>
      <c r="I1592" s="3" t="s">
        <v>73</v>
      </c>
      <c r="J1592" s="3" t="s">
        <v>74</v>
      </c>
      <c r="K1592" s="2" t="str">
        <f aca="false">CONCATENATE(I1592," ",J1592)</f>
        <v>Zelotes subterraneus</v>
      </c>
      <c r="L1592" s="3" t="n">
        <f aca="false">SUM(P1592:U1592)</f>
        <v>1</v>
      </c>
      <c r="M1592" s="11" t="n">
        <f aca="false">(L1592/(F1592*G1592)*25)*4</f>
        <v>4</v>
      </c>
      <c r="N1592" s="1" t="s">
        <v>30</v>
      </c>
      <c r="O1592" s="1" t="s">
        <v>31</v>
      </c>
      <c r="P1592" s="3" t="n">
        <v>1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f aca="false">SUM(P1592:Q1592)</f>
        <v>1</v>
      </c>
      <c r="W1592" s="3" t="n">
        <f aca="false">SUM(R1592:T1592)</f>
        <v>0</v>
      </c>
      <c r="X1592" s="22" t="n">
        <v>41870</v>
      </c>
      <c r="Y1592" s="22" t="n">
        <v>41875</v>
      </c>
    </row>
    <row r="1593" customFormat="false" ht="14.25" hidden="false" customHeight="false" outlineLevel="0" collapsed="false">
      <c r="A1593" s="1" t="n">
        <v>2014</v>
      </c>
      <c r="B1593" s="1" t="n">
        <v>2</v>
      </c>
      <c r="C1593" s="2" t="s">
        <v>50</v>
      </c>
      <c r="D1593" s="3" t="s">
        <v>83</v>
      </c>
      <c r="E1593" s="3" t="n">
        <v>3</v>
      </c>
      <c r="F1593" s="1" t="n">
        <f aca="false">Y1593-X1593</f>
        <v>5</v>
      </c>
      <c r="G1593" s="1" t="n">
        <v>5</v>
      </c>
      <c r="H1593" s="3" t="s">
        <v>72</v>
      </c>
      <c r="I1593" s="3" t="s">
        <v>73</v>
      </c>
      <c r="J1593" s="3" t="s">
        <v>38</v>
      </c>
      <c r="K1593" s="2" t="str">
        <f aca="false">CONCATENATE(I1593," ",J1593)</f>
        <v>Zelotes sp</v>
      </c>
      <c r="L1593" s="3" t="n">
        <f aca="false">SUM(P1593:U1593)</f>
        <v>1</v>
      </c>
      <c r="M1593" s="11" t="n">
        <f aca="false">(L1593/(F1593*G1593)*25)*4</f>
        <v>4</v>
      </c>
      <c r="N1593" s="1" t="s">
        <v>19</v>
      </c>
      <c r="O1593" s="1" t="s">
        <v>54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1</v>
      </c>
      <c r="U1593" s="3" t="n">
        <v>0</v>
      </c>
      <c r="V1593" s="3" t="n">
        <f aca="false">SUM(P1593:Q1593)</f>
        <v>0</v>
      </c>
      <c r="W1593" s="3" t="n">
        <f aca="false">SUM(R1593:T1593)</f>
        <v>1</v>
      </c>
      <c r="X1593" s="22" t="n">
        <v>41870</v>
      </c>
      <c r="Y1593" s="22" t="n">
        <v>41875</v>
      </c>
    </row>
    <row r="1594" customFormat="false" ht="14.25" hidden="false" customHeight="false" outlineLevel="0" collapsed="false">
      <c r="A1594" s="1" t="n">
        <v>2014</v>
      </c>
      <c r="B1594" s="1" t="n">
        <v>2</v>
      </c>
      <c r="C1594" s="2" t="s">
        <v>50</v>
      </c>
      <c r="D1594" s="3" t="s">
        <v>83</v>
      </c>
      <c r="E1594" s="3" t="n">
        <v>3</v>
      </c>
      <c r="F1594" s="1" t="n">
        <f aca="false">Y1594-X1594</f>
        <v>5</v>
      </c>
      <c r="G1594" s="1" t="n">
        <v>5</v>
      </c>
      <c r="H1594" s="3" t="s">
        <v>32</v>
      </c>
      <c r="I1594" s="3" t="s">
        <v>57</v>
      </c>
      <c r="J1594" s="3" t="s">
        <v>38</v>
      </c>
      <c r="K1594" s="2" t="str">
        <f aca="false">CONCATENATE(I1594," ",J1594)</f>
        <v>Gen sp</v>
      </c>
      <c r="L1594" s="3" t="n">
        <f aca="false">SUM(P1594:U1594)</f>
        <v>1</v>
      </c>
      <c r="M1594" s="11" t="n">
        <f aca="false">(L1594/(F1594*G1594)*25)*4</f>
        <v>4</v>
      </c>
      <c r="N1594" s="1" t="s">
        <v>19</v>
      </c>
      <c r="O1594" s="1" t="s">
        <v>31</v>
      </c>
      <c r="P1594" s="3" t="n">
        <v>0</v>
      </c>
      <c r="Q1594" s="3" t="n">
        <v>0</v>
      </c>
      <c r="R1594" s="3" t="n">
        <v>1</v>
      </c>
      <c r="S1594" s="3" t="n">
        <v>0</v>
      </c>
      <c r="T1594" s="3" t="n">
        <v>0</v>
      </c>
      <c r="U1594" s="3" t="n">
        <v>0</v>
      </c>
      <c r="V1594" s="3" t="n">
        <f aca="false">SUM(P1594:Q1594)</f>
        <v>0</v>
      </c>
      <c r="W1594" s="3" t="n">
        <f aca="false">SUM(R1594:T1594)</f>
        <v>1</v>
      </c>
      <c r="X1594" s="22" t="n">
        <v>41870</v>
      </c>
      <c r="Y1594" s="22" t="n">
        <v>41875</v>
      </c>
    </row>
    <row r="1595" customFormat="false" ht="14.25" hidden="false" customHeight="false" outlineLevel="0" collapsed="false">
      <c r="A1595" s="1" t="n">
        <v>2014</v>
      </c>
      <c r="B1595" s="1" t="n">
        <v>2</v>
      </c>
      <c r="C1595" s="2" t="s">
        <v>50</v>
      </c>
      <c r="D1595" s="3" t="s">
        <v>83</v>
      </c>
      <c r="E1595" s="3" t="n">
        <v>1</v>
      </c>
      <c r="F1595" s="1" t="n">
        <f aca="false">Y1595-X1595</f>
        <v>5</v>
      </c>
      <c r="G1595" s="1" t="n">
        <v>5</v>
      </c>
      <c r="H1595" s="3" t="s">
        <v>48</v>
      </c>
      <c r="I1595" s="3" t="s">
        <v>61</v>
      </c>
      <c r="J1595" s="3" t="s">
        <v>82</v>
      </c>
      <c r="K1595" s="2" t="str">
        <f aca="false">CONCATENATE(I1595," ",J1595)</f>
        <v>Trochosa terricola</v>
      </c>
      <c r="L1595" s="3" t="n">
        <f aca="false">SUM(P1595:U1595)</f>
        <v>2</v>
      </c>
      <c r="M1595" s="11" t="n">
        <f aca="false">(L1595/(F1595*G1595)*25)*4</f>
        <v>8</v>
      </c>
      <c r="N1595" s="1" t="s">
        <v>30</v>
      </c>
      <c r="O1595" s="1" t="s">
        <v>31</v>
      </c>
      <c r="P1595" s="3" t="n">
        <v>2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f aca="false">SUM(P1595:Q1595)</f>
        <v>2</v>
      </c>
      <c r="W1595" s="3" t="n">
        <f aca="false">SUM(R1595:T1595)</f>
        <v>0</v>
      </c>
      <c r="X1595" s="22" t="n">
        <v>41870</v>
      </c>
      <c r="Y1595" s="22" t="n">
        <v>41875</v>
      </c>
    </row>
    <row r="1596" customFormat="false" ht="14.25" hidden="false" customHeight="false" outlineLevel="0" collapsed="false">
      <c r="A1596" s="1" t="n">
        <v>2014</v>
      </c>
      <c r="B1596" s="1" t="n">
        <v>2</v>
      </c>
      <c r="C1596" s="2" t="s">
        <v>50</v>
      </c>
      <c r="D1596" s="3" t="s">
        <v>83</v>
      </c>
      <c r="E1596" s="3" t="n">
        <v>1</v>
      </c>
      <c r="F1596" s="1" t="n">
        <f aca="false">Y1596-X1596</f>
        <v>5</v>
      </c>
      <c r="G1596" s="1" t="n">
        <v>5</v>
      </c>
      <c r="H1596" s="3" t="s">
        <v>48</v>
      </c>
      <c r="I1596" s="3" t="s">
        <v>61</v>
      </c>
      <c r="J1596" s="3" t="s">
        <v>82</v>
      </c>
      <c r="K1596" s="2" t="str">
        <f aca="false">CONCATENATE(I1596," ",J1596)</f>
        <v>Trochosa terricola</v>
      </c>
      <c r="L1596" s="3" t="n">
        <f aca="false">SUM(P1596:U1596)</f>
        <v>1</v>
      </c>
      <c r="M1596" s="11" t="n">
        <f aca="false">(L1596/(F1596*G1596)*25)*4</f>
        <v>4</v>
      </c>
      <c r="N1596" s="1" t="s">
        <v>30</v>
      </c>
      <c r="O1596" s="1" t="s">
        <v>35</v>
      </c>
      <c r="P1596" s="3" t="n">
        <v>0</v>
      </c>
      <c r="Q1596" s="3" t="n">
        <v>1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f aca="false">SUM(P1596:Q1596)</f>
        <v>1</v>
      </c>
      <c r="W1596" s="3" t="n">
        <f aca="false">SUM(R1596:T1596)</f>
        <v>0</v>
      </c>
      <c r="X1596" s="22" t="n">
        <v>41870</v>
      </c>
      <c r="Y1596" s="22" t="n">
        <v>41875</v>
      </c>
    </row>
    <row r="1597" customFormat="false" ht="14.25" hidden="false" customHeight="false" outlineLevel="0" collapsed="false">
      <c r="A1597" s="1" t="n">
        <v>2014</v>
      </c>
      <c r="B1597" s="1" t="n">
        <v>2</v>
      </c>
      <c r="C1597" s="2" t="s">
        <v>50</v>
      </c>
      <c r="D1597" s="3" t="s">
        <v>83</v>
      </c>
      <c r="E1597" s="3" t="n">
        <v>1</v>
      </c>
      <c r="F1597" s="1" t="n">
        <f aca="false">Y1597-X1597</f>
        <v>5</v>
      </c>
      <c r="G1597" s="1" t="n">
        <v>5</v>
      </c>
      <c r="H1597" s="3" t="s">
        <v>72</v>
      </c>
      <c r="I1597" s="3" t="s">
        <v>73</v>
      </c>
      <c r="J1597" s="3" t="s">
        <v>74</v>
      </c>
      <c r="K1597" s="2" t="str">
        <f aca="false">CONCATENATE(I1597," ",J1597)</f>
        <v>Zelotes subterraneus</v>
      </c>
      <c r="L1597" s="3" t="n">
        <f aca="false">SUM(P1597:U1597)</f>
        <v>1</v>
      </c>
      <c r="M1597" s="11" t="n">
        <f aca="false">(L1597/(F1597*G1597)*25)*4</f>
        <v>4</v>
      </c>
      <c r="N1597" s="1" t="s">
        <v>30</v>
      </c>
      <c r="O1597" s="1" t="s">
        <v>35</v>
      </c>
      <c r="P1597" s="3" t="n">
        <v>0</v>
      </c>
      <c r="Q1597" s="3" t="n">
        <v>1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f aca="false">SUM(P1597:Q1597)</f>
        <v>1</v>
      </c>
      <c r="W1597" s="3" t="n">
        <f aca="false">SUM(R1597:T1597)</f>
        <v>0</v>
      </c>
      <c r="X1597" s="22" t="n">
        <v>41870</v>
      </c>
      <c r="Y1597" s="22" t="n">
        <v>41875</v>
      </c>
    </row>
    <row r="1598" customFormat="false" ht="14.25" hidden="false" customHeight="false" outlineLevel="0" collapsed="false">
      <c r="A1598" s="1" t="n">
        <v>2014</v>
      </c>
      <c r="B1598" s="1" t="n">
        <v>2</v>
      </c>
      <c r="C1598" s="2" t="s">
        <v>50</v>
      </c>
      <c r="D1598" s="3" t="s">
        <v>83</v>
      </c>
      <c r="E1598" s="3" t="n">
        <v>1</v>
      </c>
      <c r="F1598" s="1" t="n">
        <f aca="false">Y1598-X1598</f>
        <v>5</v>
      </c>
      <c r="G1598" s="1" t="n">
        <v>5</v>
      </c>
      <c r="H1598" s="3" t="s">
        <v>72</v>
      </c>
      <c r="I1598" s="3" t="s">
        <v>86</v>
      </c>
      <c r="J1598" s="3" t="s">
        <v>38</v>
      </c>
      <c r="K1598" s="2" t="str">
        <f aca="false">CONCATENATE(I1598," ",J1598)</f>
        <v>Haplodrassus sp</v>
      </c>
      <c r="L1598" s="3" t="n">
        <f aca="false">SUM(P1598:U1598)</f>
        <v>1</v>
      </c>
      <c r="M1598" s="11" t="n">
        <f aca="false">(L1598/(F1598*G1598)*25)*4</f>
        <v>4</v>
      </c>
      <c r="N1598" s="1" t="s">
        <v>19</v>
      </c>
      <c r="O1598" s="1" t="s">
        <v>31</v>
      </c>
      <c r="P1598" s="3" t="n">
        <v>0</v>
      </c>
      <c r="Q1598" s="3" t="n">
        <v>0</v>
      </c>
      <c r="R1598" s="3" t="n">
        <v>1</v>
      </c>
      <c r="S1598" s="3" t="n">
        <v>0</v>
      </c>
      <c r="T1598" s="3" t="n">
        <v>0</v>
      </c>
      <c r="U1598" s="3" t="n">
        <v>0</v>
      </c>
      <c r="V1598" s="3" t="n">
        <f aca="false">SUM(P1598:Q1598)</f>
        <v>0</v>
      </c>
      <c r="W1598" s="3" t="n">
        <f aca="false">SUM(R1598:T1598)</f>
        <v>1</v>
      </c>
      <c r="X1598" s="22" t="n">
        <v>41870</v>
      </c>
      <c r="Y1598" s="22" t="n">
        <v>41875</v>
      </c>
    </row>
    <row r="1599" customFormat="false" ht="14.25" hidden="false" customHeight="false" outlineLevel="0" collapsed="false">
      <c r="A1599" s="1" t="n">
        <v>2014</v>
      </c>
      <c r="B1599" s="1" t="n">
        <v>2</v>
      </c>
      <c r="C1599" s="2" t="s">
        <v>50</v>
      </c>
      <c r="D1599" s="3" t="s">
        <v>83</v>
      </c>
      <c r="E1599" s="3" t="n">
        <v>1</v>
      </c>
      <c r="F1599" s="1" t="n">
        <f aca="false">Y1599-X1599</f>
        <v>5</v>
      </c>
      <c r="G1599" s="1" t="n">
        <v>5</v>
      </c>
      <c r="H1599" s="3" t="s">
        <v>36</v>
      </c>
      <c r="I1599" s="3" t="s">
        <v>37</v>
      </c>
      <c r="J1599" s="3" t="s">
        <v>75</v>
      </c>
      <c r="K1599" s="2" t="str">
        <f aca="false">CONCATENATE(I1599," ",J1599)</f>
        <v>Ozyptila praticola</v>
      </c>
      <c r="L1599" s="3" t="n">
        <f aca="false">SUM(P1599:U1599)</f>
        <v>1</v>
      </c>
      <c r="M1599" s="11" t="n">
        <f aca="false">(L1599/(F1599*G1599)*25)*4</f>
        <v>4</v>
      </c>
      <c r="N1599" s="1" t="s">
        <v>30</v>
      </c>
      <c r="O1599" s="1" t="s">
        <v>35</v>
      </c>
      <c r="P1599" s="3" t="n">
        <v>0</v>
      </c>
      <c r="Q1599" s="3" t="n">
        <v>1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f aca="false">SUM(P1599:Q1599)</f>
        <v>1</v>
      </c>
      <c r="W1599" s="3" t="n">
        <f aca="false">SUM(R1599:T1599)</f>
        <v>0</v>
      </c>
      <c r="X1599" s="22" t="n">
        <v>41870</v>
      </c>
      <c r="Y1599" s="22" t="n">
        <v>41875</v>
      </c>
    </row>
    <row r="1600" customFormat="false" ht="14.25" hidden="false" customHeight="false" outlineLevel="0" collapsed="false">
      <c r="A1600" s="1" t="n">
        <v>2014</v>
      </c>
      <c r="B1600" s="1" t="n">
        <v>2</v>
      </c>
      <c r="C1600" s="2" t="s">
        <v>50</v>
      </c>
      <c r="D1600" s="3" t="s">
        <v>83</v>
      </c>
      <c r="E1600" s="3" t="n">
        <v>2</v>
      </c>
      <c r="F1600" s="1" t="n">
        <f aca="false">Y1600-X1600</f>
        <v>5</v>
      </c>
      <c r="G1600" s="1" t="n">
        <v>5</v>
      </c>
      <c r="H1600" s="3" t="s">
        <v>36</v>
      </c>
      <c r="I1600" s="3" t="s">
        <v>37</v>
      </c>
      <c r="J1600" s="3" t="s">
        <v>75</v>
      </c>
      <c r="K1600" s="2" t="str">
        <f aca="false">CONCATENATE(I1600," ",J1600)</f>
        <v>Ozyptila praticola</v>
      </c>
      <c r="L1600" s="3" t="n">
        <f aca="false">SUM(P1600:U1600)</f>
        <v>2</v>
      </c>
      <c r="M1600" s="11" t="n">
        <f aca="false">(L1600/(F1600*G1600)*25)*4</f>
        <v>8</v>
      </c>
      <c r="N1600" s="1" t="s">
        <v>30</v>
      </c>
      <c r="O1600" s="1" t="s">
        <v>35</v>
      </c>
      <c r="P1600" s="3" t="n">
        <v>0</v>
      </c>
      <c r="Q1600" s="3" t="n">
        <v>2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f aca="false">SUM(P1600:Q1600)</f>
        <v>2</v>
      </c>
      <c r="W1600" s="3" t="n">
        <f aca="false">SUM(R1600:T1600)</f>
        <v>0</v>
      </c>
      <c r="X1600" s="22" t="n">
        <v>41870</v>
      </c>
      <c r="Y1600" s="22" t="n">
        <v>41875</v>
      </c>
    </row>
    <row r="1601" customFormat="false" ht="14.25" hidden="false" customHeight="false" outlineLevel="0" collapsed="false">
      <c r="A1601" s="1" t="n">
        <v>2014</v>
      </c>
      <c r="B1601" s="1" t="n">
        <v>2</v>
      </c>
      <c r="C1601" s="2" t="s">
        <v>50</v>
      </c>
      <c r="D1601" s="3" t="s">
        <v>83</v>
      </c>
      <c r="E1601" s="3" t="n">
        <v>2</v>
      </c>
      <c r="F1601" s="1" t="n">
        <f aca="false">Y1601-X1601</f>
        <v>5</v>
      </c>
      <c r="G1601" s="1" t="n">
        <v>5</v>
      </c>
      <c r="H1601" s="3" t="s">
        <v>72</v>
      </c>
      <c r="I1601" s="3" t="s">
        <v>73</v>
      </c>
      <c r="J1601" s="3" t="s">
        <v>74</v>
      </c>
      <c r="K1601" s="2" t="str">
        <f aca="false">CONCATENATE(I1601," ",J1601)</f>
        <v>Zelotes subterraneus</v>
      </c>
      <c r="L1601" s="3" t="n">
        <f aca="false">SUM(P1601:U1601)</f>
        <v>2</v>
      </c>
      <c r="M1601" s="11" t="n">
        <f aca="false">(L1601/(F1601*G1601)*25)*4</f>
        <v>8</v>
      </c>
      <c r="N1601" s="1" t="s">
        <v>30</v>
      </c>
      <c r="O1601" s="1" t="s">
        <v>31</v>
      </c>
      <c r="P1601" s="3" t="n">
        <v>2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f aca="false">SUM(P1601:Q1601)</f>
        <v>2</v>
      </c>
      <c r="W1601" s="3" t="n">
        <f aca="false">SUM(R1601:T1601)</f>
        <v>0</v>
      </c>
      <c r="X1601" s="22" t="n">
        <v>41870</v>
      </c>
      <c r="Y1601" s="22" t="n">
        <v>41875</v>
      </c>
    </row>
    <row r="1602" customFormat="false" ht="14.25" hidden="false" customHeight="false" outlineLevel="0" collapsed="false">
      <c r="A1602" s="1" t="n">
        <v>2014</v>
      </c>
      <c r="B1602" s="1" t="n">
        <v>2</v>
      </c>
      <c r="C1602" s="2" t="s">
        <v>50</v>
      </c>
      <c r="D1602" s="3" t="s">
        <v>83</v>
      </c>
      <c r="E1602" s="3" t="n">
        <v>2</v>
      </c>
      <c r="F1602" s="1" t="n">
        <f aca="false">Y1602-X1602</f>
        <v>5</v>
      </c>
      <c r="G1602" s="1" t="n">
        <v>5</v>
      </c>
      <c r="H1602" s="3" t="s">
        <v>72</v>
      </c>
      <c r="I1602" s="3" t="s">
        <v>73</v>
      </c>
      <c r="J1602" s="3" t="s">
        <v>38</v>
      </c>
      <c r="K1602" s="2" t="str">
        <f aca="false">CONCATENATE(I1602," ",J1602)</f>
        <v>Zelotes sp</v>
      </c>
      <c r="L1602" s="3" t="n">
        <f aca="false">SUM(P1602:U1602)</f>
        <v>1</v>
      </c>
      <c r="M1602" s="11" t="n">
        <f aca="false">(L1602/(F1602*G1602)*25)*4</f>
        <v>4</v>
      </c>
      <c r="N1602" s="1" t="s">
        <v>19</v>
      </c>
      <c r="O1602" s="1" t="s">
        <v>31</v>
      </c>
      <c r="P1602" s="3" t="n">
        <v>0</v>
      </c>
      <c r="Q1602" s="3" t="n">
        <v>0</v>
      </c>
      <c r="R1602" s="3" t="n">
        <v>1</v>
      </c>
      <c r="S1602" s="3" t="n">
        <v>0</v>
      </c>
      <c r="T1602" s="3" t="n">
        <v>0</v>
      </c>
      <c r="U1602" s="3" t="n">
        <v>0</v>
      </c>
      <c r="V1602" s="3" t="n">
        <f aca="false">SUM(P1602:Q1602)</f>
        <v>0</v>
      </c>
      <c r="W1602" s="3" t="n">
        <f aca="false">SUM(R1602:T1602)</f>
        <v>1</v>
      </c>
      <c r="X1602" s="22" t="n">
        <v>41870</v>
      </c>
      <c r="Y1602" s="22" t="n">
        <v>41875</v>
      </c>
    </row>
    <row r="1603" customFormat="false" ht="14.25" hidden="false" customHeight="false" outlineLevel="0" collapsed="false">
      <c r="A1603" s="1" t="n">
        <v>2014</v>
      </c>
      <c r="B1603" s="1" t="n">
        <v>2</v>
      </c>
      <c r="C1603" s="2" t="s">
        <v>50</v>
      </c>
      <c r="D1603" s="3" t="s">
        <v>83</v>
      </c>
      <c r="E1603" s="3" t="n">
        <v>2</v>
      </c>
      <c r="F1603" s="1" t="n">
        <f aca="false">Y1603-X1603</f>
        <v>5</v>
      </c>
      <c r="G1603" s="1" t="n">
        <v>5</v>
      </c>
      <c r="H1603" s="3" t="s">
        <v>72</v>
      </c>
      <c r="I1603" s="3" t="s">
        <v>73</v>
      </c>
      <c r="J1603" s="3" t="s">
        <v>38</v>
      </c>
      <c r="K1603" s="2" t="str">
        <f aca="false">CONCATENATE(I1603," ",J1603)</f>
        <v>Zelotes sp</v>
      </c>
      <c r="L1603" s="3" t="n">
        <f aca="false">SUM(P1603:U1603)</f>
        <v>1</v>
      </c>
      <c r="M1603" s="11" t="n">
        <f aca="false">(L1603/(F1603*G1603)*25)*4</f>
        <v>4</v>
      </c>
      <c r="N1603" s="1" t="s">
        <v>19</v>
      </c>
      <c r="O1603" s="1" t="s">
        <v>35</v>
      </c>
      <c r="P1603" s="3" t="n">
        <v>0</v>
      </c>
      <c r="Q1603" s="3" t="n">
        <v>0</v>
      </c>
      <c r="R1603" s="3" t="n">
        <v>0</v>
      </c>
      <c r="S1603" s="3" t="n">
        <v>1</v>
      </c>
      <c r="T1603" s="3" t="n">
        <v>0</v>
      </c>
      <c r="U1603" s="3" t="n">
        <v>0</v>
      </c>
      <c r="V1603" s="3" t="n">
        <f aca="false">SUM(P1603:Q1603)</f>
        <v>0</v>
      </c>
      <c r="W1603" s="3" t="n">
        <f aca="false">SUM(R1603:T1603)</f>
        <v>1</v>
      </c>
      <c r="X1603" s="22" t="n">
        <v>41870</v>
      </c>
      <c r="Y1603" s="22" t="n">
        <v>41875</v>
      </c>
    </row>
    <row r="1604" customFormat="false" ht="14.25" hidden="false" customHeight="false" outlineLevel="0" collapsed="false">
      <c r="A1604" s="1" t="n">
        <v>2014</v>
      </c>
      <c r="B1604" s="1" t="n">
        <v>2</v>
      </c>
      <c r="C1604" s="2" t="s">
        <v>50</v>
      </c>
      <c r="D1604" s="3" t="s">
        <v>83</v>
      </c>
      <c r="E1604" s="3" t="n">
        <v>2</v>
      </c>
      <c r="F1604" s="1" t="n">
        <f aca="false">Y1604-X1604</f>
        <v>5</v>
      </c>
      <c r="G1604" s="1" t="n">
        <v>5</v>
      </c>
      <c r="H1604" s="3" t="s">
        <v>48</v>
      </c>
      <c r="I1604" s="3" t="s">
        <v>61</v>
      </c>
      <c r="J1604" s="3" t="s">
        <v>82</v>
      </c>
      <c r="K1604" s="2" t="str">
        <f aca="false">CONCATENATE(I1604," ",J1604)</f>
        <v>Trochosa terricola</v>
      </c>
      <c r="L1604" s="3" t="n">
        <f aca="false">SUM(P1604:U1604)</f>
        <v>1</v>
      </c>
      <c r="M1604" s="11" t="n">
        <f aca="false">(L1604/(F1604*G1604)*25)*4</f>
        <v>4</v>
      </c>
      <c r="N1604" s="1" t="s">
        <v>30</v>
      </c>
      <c r="O1604" s="1" t="s">
        <v>35</v>
      </c>
      <c r="P1604" s="3" t="n">
        <v>0</v>
      </c>
      <c r="Q1604" s="3" t="n">
        <v>1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f aca="false">SUM(P1604:Q1604)</f>
        <v>1</v>
      </c>
      <c r="W1604" s="3" t="n">
        <f aca="false">SUM(R1604:T1604)</f>
        <v>0</v>
      </c>
      <c r="X1604" s="22" t="n">
        <v>41870</v>
      </c>
      <c r="Y1604" s="22" t="n">
        <v>41875</v>
      </c>
    </row>
    <row r="1605" customFormat="false" ht="14.25" hidden="false" customHeight="false" outlineLevel="0" collapsed="false">
      <c r="A1605" s="1" t="n">
        <v>2014</v>
      </c>
      <c r="B1605" s="1" t="n">
        <v>2</v>
      </c>
      <c r="C1605" s="2" t="s">
        <v>50</v>
      </c>
      <c r="D1605" s="3" t="s">
        <v>83</v>
      </c>
      <c r="E1605" s="3" t="n">
        <v>2</v>
      </c>
      <c r="F1605" s="1" t="n">
        <f aca="false">Y1605-X1605</f>
        <v>5</v>
      </c>
      <c r="G1605" s="1" t="n">
        <v>5</v>
      </c>
      <c r="H1605" s="3" t="s">
        <v>225</v>
      </c>
      <c r="I1605" s="3" t="s">
        <v>125</v>
      </c>
      <c r="J1605" s="3" t="s">
        <v>126</v>
      </c>
      <c r="K1605" s="2" t="str">
        <f aca="false">CONCATENATE(I1605," ",J1605)</f>
        <v>Hahnia ononidum</v>
      </c>
      <c r="L1605" s="3" t="n">
        <f aca="false">SUM(P1605:U1605)</f>
        <v>1</v>
      </c>
      <c r="M1605" s="11" t="n">
        <f aca="false">(L1605/(F1605*G1605)*25)*4</f>
        <v>4</v>
      </c>
      <c r="N1605" s="1" t="s">
        <v>30</v>
      </c>
      <c r="O1605" s="1" t="s">
        <v>35</v>
      </c>
      <c r="P1605" s="3" t="n">
        <v>0</v>
      </c>
      <c r="Q1605" s="3" t="n">
        <v>1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f aca="false">SUM(P1605:Q1605)</f>
        <v>1</v>
      </c>
      <c r="W1605" s="3" t="n">
        <f aca="false">SUM(R1605:T1605)</f>
        <v>0</v>
      </c>
      <c r="X1605" s="22" t="n">
        <v>41870</v>
      </c>
      <c r="Y1605" s="22" t="n">
        <v>41875</v>
      </c>
    </row>
    <row r="1606" customFormat="false" ht="14.25" hidden="false" customHeight="false" outlineLevel="0" collapsed="false">
      <c r="A1606" s="1" t="n">
        <v>2014</v>
      </c>
      <c r="B1606" s="1" t="n">
        <v>2</v>
      </c>
      <c r="C1606" s="2" t="s">
        <v>50</v>
      </c>
      <c r="D1606" s="3" t="s">
        <v>83</v>
      </c>
      <c r="E1606" s="3" t="n">
        <v>3</v>
      </c>
      <c r="F1606" s="1" t="n">
        <f aca="false">Y1606-X1606</f>
        <v>5</v>
      </c>
      <c r="G1606" s="1" t="n">
        <v>5</v>
      </c>
      <c r="H1606" s="3" t="s">
        <v>48</v>
      </c>
      <c r="I1606" s="3" t="s">
        <v>61</v>
      </c>
      <c r="J1606" s="3" t="s">
        <v>82</v>
      </c>
      <c r="K1606" s="2" t="str">
        <f aca="false">CONCATENATE(I1606," ",J1606)</f>
        <v>Trochosa terricola</v>
      </c>
      <c r="L1606" s="3" t="n">
        <f aca="false">SUM(P1606:U1606)</f>
        <v>1</v>
      </c>
      <c r="M1606" s="11" t="n">
        <f aca="false">(L1606/(F1606*G1606)*25)*4</f>
        <v>4</v>
      </c>
      <c r="N1606" s="1" t="s">
        <v>30</v>
      </c>
      <c r="O1606" s="1" t="s">
        <v>35</v>
      </c>
      <c r="P1606" s="3" t="n">
        <v>0</v>
      </c>
      <c r="Q1606" s="3" t="n">
        <v>1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f aca="false">SUM(P1606:Q1606)</f>
        <v>1</v>
      </c>
      <c r="W1606" s="3" t="n">
        <f aca="false">SUM(R1606:T1606)</f>
        <v>0</v>
      </c>
      <c r="X1606" s="22" t="n">
        <v>41870</v>
      </c>
      <c r="Y1606" s="22" t="n">
        <v>41875</v>
      </c>
    </row>
    <row r="1607" customFormat="false" ht="14.25" hidden="false" customHeight="false" outlineLevel="0" collapsed="false">
      <c r="A1607" s="1" t="n">
        <v>2014</v>
      </c>
      <c r="B1607" s="1" t="n">
        <v>2</v>
      </c>
      <c r="C1607" s="2" t="s">
        <v>50</v>
      </c>
      <c r="D1607" s="3" t="s">
        <v>83</v>
      </c>
      <c r="E1607" s="3" t="n">
        <v>3</v>
      </c>
      <c r="F1607" s="1" t="n">
        <f aca="false">Y1607-X1607</f>
        <v>5</v>
      </c>
      <c r="G1607" s="1" t="n">
        <v>5</v>
      </c>
      <c r="H1607" s="3" t="s">
        <v>36</v>
      </c>
      <c r="I1607" s="3" t="s">
        <v>37</v>
      </c>
      <c r="J1607" s="3" t="s">
        <v>75</v>
      </c>
      <c r="K1607" s="2" t="str">
        <f aca="false">CONCATENATE(I1607," ",J1607)</f>
        <v>Ozyptila praticola</v>
      </c>
      <c r="L1607" s="3" t="n">
        <f aca="false">SUM(P1607:U1607)</f>
        <v>1</v>
      </c>
      <c r="M1607" s="11" t="n">
        <f aca="false">(L1607/(F1607*G1607)*25)*4</f>
        <v>4</v>
      </c>
      <c r="N1607" s="1" t="s">
        <v>30</v>
      </c>
      <c r="O1607" s="1" t="s">
        <v>31</v>
      </c>
      <c r="P1607" s="3" t="n">
        <v>1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f aca="false">SUM(P1607:Q1607)</f>
        <v>1</v>
      </c>
      <c r="W1607" s="3" t="n">
        <f aca="false">SUM(R1607:T1607)</f>
        <v>0</v>
      </c>
      <c r="X1607" s="22" t="n">
        <v>41870</v>
      </c>
      <c r="Y1607" s="22" t="n">
        <v>41875</v>
      </c>
    </row>
    <row r="1608" customFormat="false" ht="14.25" hidden="false" customHeight="false" outlineLevel="0" collapsed="false">
      <c r="A1608" s="1" t="n">
        <v>2014</v>
      </c>
      <c r="B1608" s="1" t="n">
        <v>2</v>
      </c>
      <c r="C1608" s="2" t="s">
        <v>50</v>
      </c>
      <c r="D1608" s="3" t="s">
        <v>83</v>
      </c>
      <c r="E1608" s="3" t="n">
        <v>3</v>
      </c>
      <c r="F1608" s="1" t="n">
        <f aca="false">Y1608-X1608</f>
        <v>5</v>
      </c>
      <c r="G1608" s="1" t="n">
        <v>5</v>
      </c>
      <c r="H1608" s="3" t="s">
        <v>48</v>
      </c>
      <c r="I1608" s="3" t="s">
        <v>57</v>
      </c>
      <c r="J1608" s="3" t="s">
        <v>38</v>
      </c>
      <c r="K1608" s="2" t="str">
        <f aca="false">CONCATENATE(I1608," ",J1608)</f>
        <v>Gen sp</v>
      </c>
      <c r="L1608" s="3" t="n">
        <f aca="false">SUM(P1608:U1608)</f>
        <v>1</v>
      </c>
      <c r="M1608" s="11" t="n">
        <f aca="false">(L1608/(F1608*G1608)*25)*4</f>
        <v>4</v>
      </c>
      <c r="N1608" s="1" t="s">
        <v>19</v>
      </c>
      <c r="O1608" s="1" t="s">
        <v>54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1</v>
      </c>
      <c r="U1608" s="3" t="n">
        <v>0</v>
      </c>
      <c r="V1608" s="3" t="n">
        <f aca="false">SUM(P1608:Q1608)</f>
        <v>0</v>
      </c>
      <c r="W1608" s="3" t="n">
        <f aca="false">SUM(R1608:T1608)</f>
        <v>1</v>
      </c>
      <c r="X1608" s="22" t="n">
        <v>41870</v>
      </c>
      <c r="Y1608" s="22" t="n">
        <v>41875</v>
      </c>
    </row>
    <row r="1609" customFormat="false" ht="14.25" hidden="false" customHeight="false" outlineLevel="0" collapsed="false">
      <c r="A1609" s="1" t="n">
        <v>2014</v>
      </c>
      <c r="B1609" s="1" t="n">
        <v>2</v>
      </c>
      <c r="C1609" s="2" t="s">
        <v>50</v>
      </c>
      <c r="D1609" s="3" t="s">
        <v>83</v>
      </c>
      <c r="E1609" s="3" t="n">
        <v>3</v>
      </c>
      <c r="F1609" s="1" t="n">
        <f aca="false">Y1609-X1609</f>
        <v>5</v>
      </c>
      <c r="G1609" s="1" t="n">
        <v>5</v>
      </c>
      <c r="H1609" s="3" t="s">
        <v>72</v>
      </c>
      <c r="I1609" s="3" t="s">
        <v>73</v>
      </c>
      <c r="J1609" s="3" t="s">
        <v>38</v>
      </c>
      <c r="K1609" s="2" t="str">
        <f aca="false">CONCATENATE(I1609," ",J1609)</f>
        <v>Zelotes sp</v>
      </c>
      <c r="L1609" s="3" t="n">
        <f aca="false">SUM(P1609:U1609)</f>
        <v>1</v>
      </c>
      <c r="M1609" s="11" t="n">
        <f aca="false">(L1609/(F1609*G1609)*25)*4</f>
        <v>4</v>
      </c>
      <c r="N1609" s="1" t="s">
        <v>19</v>
      </c>
      <c r="O1609" s="1" t="s">
        <v>54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1</v>
      </c>
      <c r="U1609" s="3" t="n">
        <v>0</v>
      </c>
      <c r="V1609" s="3" t="n">
        <f aca="false">SUM(P1609:Q1609)</f>
        <v>0</v>
      </c>
      <c r="W1609" s="3" t="n">
        <f aca="false">SUM(R1609:T1609)</f>
        <v>1</v>
      </c>
      <c r="X1609" s="22" t="n">
        <v>41870</v>
      </c>
      <c r="Y1609" s="22" t="n">
        <v>41875</v>
      </c>
    </row>
    <row r="1610" customFormat="false" ht="14.25" hidden="false" customHeight="false" outlineLevel="0" collapsed="false">
      <c r="A1610" s="1" t="n">
        <v>2014</v>
      </c>
      <c r="B1610" s="1" t="n">
        <v>2</v>
      </c>
      <c r="C1610" s="2" t="s">
        <v>50</v>
      </c>
      <c r="D1610" s="3" t="s">
        <v>158</v>
      </c>
      <c r="E1610" s="3" t="n">
        <v>3</v>
      </c>
      <c r="F1610" s="1" t="n">
        <f aca="false">Y1610-X1610</f>
        <v>5</v>
      </c>
      <c r="G1610" s="1" t="n">
        <v>5</v>
      </c>
      <c r="H1610" s="3" t="s">
        <v>36</v>
      </c>
      <c r="I1610" s="3" t="s">
        <v>37</v>
      </c>
      <c r="J1610" s="3" t="s">
        <v>75</v>
      </c>
      <c r="K1610" s="2" t="str">
        <f aca="false">CONCATENATE(I1610," ",J1610)</f>
        <v>Ozyptila praticola</v>
      </c>
      <c r="L1610" s="3" t="n">
        <f aca="false">SUM(P1610:U1610)</f>
        <v>2</v>
      </c>
      <c r="M1610" s="11" t="n">
        <f aca="false">(L1610/(F1610*G1610)*25)*4</f>
        <v>8</v>
      </c>
      <c r="N1610" s="1" t="s">
        <v>30</v>
      </c>
      <c r="O1610" s="1" t="s">
        <v>35</v>
      </c>
      <c r="P1610" s="3" t="n">
        <v>0</v>
      </c>
      <c r="Q1610" s="3" t="n">
        <v>2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f aca="false">SUM(P1610:Q1610)</f>
        <v>2</v>
      </c>
      <c r="W1610" s="3" t="n">
        <f aca="false">SUM(R1610:T1610)</f>
        <v>0</v>
      </c>
      <c r="X1610" s="22" t="n">
        <v>41869</v>
      </c>
      <c r="Y1610" s="22" t="n">
        <v>41874</v>
      </c>
    </row>
    <row r="1611" customFormat="false" ht="14.25" hidden="false" customHeight="false" outlineLevel="0" collapsed="false">
      <c r="A1611" s="1" t="n">
        <v>2014</v>
      </c>
      <c r="B1611" s="1" t="n">
        <v>2</v>
      </c>
      <c r="C1611" s="2" t="s">
        <v>50</v>
      </c>
      <c r="D1611" s="3" t="s">
        <v>158</v>
      </c>
      <c r="E1611" s="3" t="n">
        <v>3</v>
      </c>
      <c r="F1611" s="1" t="n">
        <f aca="false">Y1611-X1611</f>
        <v>5</v>
      </c>
      <c r="G1611" s="1" t="n">
        <v>5</v>
      </c>
      <c r="H1611" s="3" t="s">
        <v>32</v>
      </c>
      <c r="I1611" s="3" t="s">
        <v>84</v>
      </c>
      <c r="J1611" s="3" t="s">
        <v>168</v>
      </c>
      <c r="K1611" s="2" t="str">
        <f aca="false">CONCATENATE(I1611," ",J1611)</f>
        <v>Walckenaeria atrotibialis</v>
      </c>
      <c r="L1611" s="3" t="n">
        <f aca="false">SUM(P1611:U1611)</f>
        <v>1</v>
      </c>
      <c r="M1611" s="11" t="n">
        <f aca="false">(L1611/(F1611*G1611)*25)*4</f>
        <v>4</v>
      </c>
      <c r="N1611" s="1" t="s">
        <v>30</v>
      </c>
      <c r="O1611" s="1" t="s">
        <v>35</v>
      </c>
      <c r="P1611" s="3" t="n">
        <v>0</v>
      </c>
      <c r="Q1611" s="3" t="n">
        <v>1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f aca="false">SUM(P1611:Q1611)</f>
        <v>1</v>
      </c>
      <c r="W1611" s="3" t="n">
        <f aca="false">SUM(R1611:T1611)</f>
        <v>0</v>
      </c>
      <c r="X1611" s="22" t="n">
        <v>41869</v>
      </c>
      <c r="Y1611" s="22" t="n">
        <v>41874</v>
      </c>
    </row>
    <row r="1612" customFormat="false" ht="14.25" hidden="false" customHeight="false" outlineLevel="0" collapsed="false">
      <c r="A1612" s="1" t="n">
        <v>2014</v>
      </c>
      <c r="B1612" s="1" t="n">
        <v>2</v>
      </c>
      <c r="C1612" s="2" t="s">
        <v>50</v>
      </c>
      <c r="D1612" s="3" t="s">
        <v>158</v>
      </c>
      <c r="E1612" s="3" t="n">
        <v>3</v>
      </c>
      <c r="F1612" s="1" t="n">
        <f aca="false">Y1612-X1612</f>
        <v>5</v>
      </c>
      <c r="G1612" s="1" t="n">
        <v>5</v>
      </c>
      <c r="H1612" s="3" t="s">
        <v>32</v>
      </c>
      <c r="I1612" s="3" t="s">
        <v>33</v>
      </c>
      <c r="J1612" s="3" t="s">
        <v>81</v>
      </c>
      <c r="K1612" s="2" t="str">
        <f aca="false">CONCATENATE(I1612," ",J1612)</f>
        <v>Tenuiphantes mengei</v>
      </c>
      <c r="L1612" s="3" t="n">
        <f aca="false">SUM(P1612:U1612)</f>
        <v>1</v>
      </c>
      <c r="M1612" s="11" t="n">
        <f aca="false">(L1612/(F1612*G1612)*25)*4</f>
        <v>4</v>
      </c>
      <c r="N1612" s="1" t="s">
        <v>30</v>
      </c>
      <c r="O1612" s="1" t="s">
        <v>35</v>
      </c>
      <c r="P1612" s="3" t="n">
        <v>0</v>
      </c>
      <c r="Q1612" s="3" t="n">
        <v>1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f aca="false">SUM(P1612:Q1612)</f>
        <v>1</v>
      </c>
      <c r="W1612" s="3" t="n">
        <f aca="false">SUM(R1612:T1612)</f>
        <v>0</v>
      </c>
      <c r="X1612" s="22" t="n">
        <v>41869</v>
      </c>
      <c r="Y1612" s="22" t="n">
        <v>41874</v>
      </c>
    </row>
    <row r="1613" customFormat="false" ht="14.25" hidden="false" customHeight="false" outlineLevel="0" collapsed="false">
      <c r="A1613" s="1" t="n">
        <v>2014</v>
      </c>
      <c r="B1613" s="1" t="n">
        <v>2</v>
      </c>
      <c r="C1613" s="2" t="s">
        <v>50</v>
      </c>
      <c r="D1613" s="3" t="s">
        <v>158</v>
      </c>
      <c r="E1613" s="3" t="n">
        <v>3</v>
      </c>
      <c r="F1613" s="1" t="n">
        <f aca="false">Y1613-X1613</f>
        <v>5</v>
      </c>
      <c r="G1613" s="1" t="n">
        <v>5</v>
      </c>
      <c r="H1613" s="3" t="s">
        <v>72</v>
      </c>
      <c r="I1613" s="3" t="s">
        <v>73</v>
      </c>
      <c r="J1613" s="3" t="s">
        <v>74</v>
      </c>
      <c r="K1613" s="2" t="str">
        <f aca="false">CONCATENATE(I1613," ",J1613)</f>
        <v>Zelotes subterraneus</v>
      </c>
      <c r="L1613" s="3" t="n">
        <f aca="false">SUM(P1613:U1613)</f>
        <v>1</v>
      </c>
      <c r="M1613" s="11" t="n">
        <f aca="false">(L1613/(F1613*G1613)*25)*4</f>
        <v>4</v>
      </c>
      <c r="N1613" s="1" t="s">
        <v>30</v>
      </c>
      <c r="O1613" s="1" t="s">
        <v>31</v>
      </c>
      <c r="P1613" s="3" t="n">
        <v>1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f aca="false">SUM(P1613:Q1613)</f>
        <v>1</v>
      </c>
      <c r="W1613" s="3" t="n">
        <f aca="false">SUM(R1613:T1613)</f>
        <v>0</v>
      </c>
      <c r="X1613" s="22" t="n">
        <v>41869</v>
      </c>
      <c r="Y1613" s="22" t="n">
        <v>41874</v>
      </c>
    </row>
    <row r="1614" customFormat="false" ht="14.25" hidden="false" customHeight="false" outlineLevel="0" collapsed="false">
      <c r="A1614" s="1" t="n">
        <v>2014</v>
      </c>
      <c r="B1614" s="1" t="n">
        <v>2</v>
      </c>
      <c r="C1614" s="2" t="s">
        <v>50</v>
      </c>
      <c r="D1614" s="3" t="s">
        <v>158</v>
      </c>
      <c r="E1614" s="3" t="n">
        <v>1</v>
      </c>
      <c r="F1614" s="1" t="n">
        <f aca="false">Y1614-X1614</f>
        <v>5</v>
      </c>
      <c r="G1614" s="1" t="n">
        <v>5</v>
      </c>
      <c r="H1614" s="3" t="s">
        <v>72</v>
      </c>
      <c r="I1614" s="3" t="s">
        <v>73</v>
      </c>
      <c r="J1614" s="3" t="s">
        <v>38</v>
      </c>
      <c r="K1614" s="2" t="str">
        <f aca="false">CONCATENATE(I1614," ",J1614)</f>
        <v>Zelotes sp</v>
      </c>
      <c r="L1614" s="3" t="n">
        <f aca="false">SUM(P1614:U1614)</f>
        <v>1</v>
      </c>
      <c r="M1614" s="11" t="n">
        <f aca="false">(L1614/(F1614*G1614)*25)*4</f>
        <v>4</v>
      </c>
      <c r="N1614" s="1" t="s">
        <v>19</v>
      </c>
      <c r="O1614" s="1" t="s">
        <v>31</v>
      </c>
      <c r="P1614" s="3" t="n">
        <v>0</v>
      </c>
      <c r="Q1614" s="3" t="n">
        <v>0</v>
      </c>
      <c r="R1614" s="3" t="n">
        <v>1</v>
      </c>
      <c r="S1614" s="3" t="n">
        <v>0</v>
      </c>
      <c r="T1614" s="3" t="n">
        <v>0</v>
      </c>
      <c r="U1614" s="3" t="n">
        <v>0</v>
      </c>
      <c r="V1614" s="3" t="n">
        <f aca="false">SUM(P1614:Q1614)</f>
        <v>0</v>
      </c>
      <c r="W1614" s="3" t="n">
        <f aca="false">SUM(R1614:T1614)</f>
        <v>1</v>
      </c>
      <c r="X1614" s="22" t="n">
        <v>41869</v>
      </c>
      <c r="Y1614" s="22" t="n">
        <v>41874</v>
      </c>
    </row>
    <row r="1615" customFormat="false" ht="14.25" hidden="false" customHeight="false" outlineLevel="0" collapsed="false">
      <c r="A1615" s="1" t="n">
        <v>2014</v>
      </c>
      <c r="B1615" s="1" t="n">
        <v>2</v>
      </c>
      <c r="C1615" s="2" t="s">
        <v>50</v>
      </c>
      <c r="D1615" s="3" t="s">
        <v>158</v>
      </c>
      <c r="E1615" s="3" t="n">
        <v>1</v>
      </c>
      <c r="F1615" s="1" t="n">
        <f aca="false">Y1615-X1615</f>
        <v>5</v>
      </c>
      <c r="G1615" s="1" t="n">
        <v>5</v>
      </c>
      <c r="H1615" s="3" t="s">
        <v>48</v>
      </c>
      <c r="I1615" s="3" t="s">
        <v>61</v>
      </c>
      <c r="J1615" s="3" t="s">
        <v>38</v>
      </c>
      <c r="K1615" s="2" t="str">
        <f aca="false">CONCATENATE(I1615," ",J1615)</f>
        <v>Trochosa sp</v>
      </c>
      <c r="L1615" s="3" t="n">
        <f aca="false">SUM(P1615:U1615)</f>
        <v>1</v>
      </c>
      <c r="M1615" s="11" t="n">
        <f aca="false">(L1615/(F1615*G1615)*25)*4</f>
        <v>4</v>
      </c>
      <c r="N1615" s="1" t="s">
        <v>19</v>
      </c>
      <c r="O1615" s="1" t="s">
        <v>54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1</v>
      </c>
      <c r="U1615" s="3" t="n">
        <v>0</v>
      </c>
      <c r="V1615" s="3" t="n">
        <f aca="false">SUM(P1615:Q1615)</f>
        <v>0</v>
      </c>
      <c r="W1615" s="3" t="n">
        <f aca="false">SUM(R1615:T1615)</f>
        <v>1</v>
      </c>
      <c r="X1615" s="22" t="n">
        <v>41869</v>
      </c>
      <c r="Y1615" s="22" t="n">
        <v>41874</v>
      </c>
    </row>
    <row r="1616" customFormat="false" ht="14.25" hidden="false" customHeight="false" outlineLevel="0" collapsed="false">
      <c r="A1616" s="1" t="n">
        <v>2014</v>
      </c>
      <c r="B1616" s="1" t="n">
        <v>2</v>
      </c>
      <c r="C1616" s="2" t="s">
        <v>50</v>
      </c>
      <c r="D1616" s="3" t="s">
        <v>158</v>
      </c>
      <c r="E1616" s="3" t="n">
        <v>1</v>
      </c>
      <c r="F1616" s="1" t="n">
        <f aca="false">Y1616-X1616</f>
        <v>5</v>
      </c>
      <c r="G1616" s="1" t="n">
        <v>5</v>
      </c>
      <c r="H1616" s="3" t="s">
        <v>48</v>
      </c>
      <c r="I1616" s="3" t="s">
        <v>57</v>
      </c>
      <c r="J1616" s="3" t="s">
        <v>38</v>
      </c>
      <c r="K1616" s="2" t="str">
        <f aca="false">CONCATENATE(I1616," ",J1616)</f>
        <v>Gen sp</v>
      </c>
      <c r="L1616" s="3" t="n">
        <f aca="false">SUM(P1616:U1616)</f>
        <v>1</v>
      </c>
      <c r="M1616" s="11" t="n">
        <f aca="false">(L1616/(F1616*G1616)*25)*4</f>
        <v>4</v>
      </c>
      <c r="N1616" s="1" t="s">
        <v>19</v>
      </c>
      <c r="O1616" s="1" t="s">
        <v>31</v>
      </c>
      <c r="P1616" s="3" t="n">
        <v>0</v>
      </c>
      <c r="Q1616" s="3" t="n">
        <v>0</v>
      </c>
      <c r="R1616" s="3" t="n">
        <v>1</v>
      </c>
      <c r="S1616" s="3" t="n">
        <v>0</v>
      </c>
      <c r="T1616" s="3" t="n">
        <v>0</v>
      </c>
      <c r="U1616" s="3" t="n">
        <v>0</v>
      </c>
      <c r="V1616" s="3" t="n">
        <f aca="false">SUM(P1616:Q1616)</f>
        <v>0</v>
      </c>
      <c r="W1616" s="3" t="n">
        <f aca="false">SUM(R1616:T1616)</f>
        <v>1</v>
      </c>
      <c r="X1616" s="22" t="n">
        <v>41869</v>
      </c>
      <c r="Y1616" s="22" t="n">
        <v>41874</v>
      </c>
    </row>
    <row r="1617" customFormat="false" ht="14.25" hidden="false" customHeight="false" outlineLevel="0" collapsed="false">
      <c r="A1617" s="1" t="n">
        <v>2014</v>
      </c>
      <c r="B1617" s="1" t="n">
        <v>2</v>
      </c>
      <c r="C1617" s="2" t="s">
        <v>50</v>
      </c>
      <c r="D1617" s="3" t="s">
        <v>158</v>
      </c>
      <c r="E1617" s="3" t="n">
        <v>1</v>
      </c>
      <c r="F1617" s="1" t="n">
        <f aca="false">Y1617-X1617</f>
        <v>5</v>
      </c>
      <c r="G1617" s="1" t="n">
        <v>5</v>
      </c>
      <c r="H1617" s="3" t="s">
        <v>36</v>
      </c>
      <c r="I1617" s="3" t="s">
        <v>37</v>
      </c>
      <c r="J1617" s="3" t="s">
        <v>75</v>
      </c>
      <c r="K1617" s="2" t="str">
        <f aca="false">CONCATENATE(I1617," ",J1617)</f>
        <v>Ozyptila praticola</v>
      </c>
      <c r="L1617" s="3" t="n">
        <f aca="false">SUM(P1617:U1617)</f>
        <v>1</v>
      </c>
      <c r="M1617" s="11" t="n">
        <f aca="false">(L1617/(F1617*G1617)*25)*4</f>
        <v>4</v>
      </c>
      <c r="N1617" s="1" t="s">
        <v>30</v>
      </c>
      <c r="O1617" s="1" t="s">
        <v>31</v>
      </c>
      <c r="P1617" s="3" t="n">
        <v>1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f aca="false">SUM(P1617:Q1617)</f>
        <v>1</v>
      </c>
      <c r="W1617" s="3" t="n">
        <f aca="false">SUM(R1617:T1617)</f>
        <v>0</v>
      </c>
      <c r="X1617" s="22" t="n">
        <v>41869</v>
      </c>
      <c r="Y1617" s="22" t="n">
        <v>41874</v>
      </c>
    </row>
    <row r="1618" customFormat="false" ht="14.25" hidden="false" customHeight="false" outlineLevel="0" collapsed="false">
      <c r="A1618" s="1" t="n">
        <v>2014</v>
      </c>
      <c r="B1618" s="1" t="n">
        <v>2</v>
      </c>
      <c r="C1618" s="2" t="s">
        <v>50</v>
      </c>
      <c r="D1618" s="3" t="s">
        <v>158</v>
      </c>
      <c r="E1618" s="3" t="n">
        <v>1</v>
      </c>
      <c r="F1618" s="1" t="n">
        <f aca="false">Y1618-X1618</f>
        <v>5</v>
      </c>
      <c r="G1618" s="1" t="n">
        <v>5</v>
      </c>
      <c r="H1618" s="3" t="s">
        <v>36</v>
      </c>
      <c r="I1618" s="3" t="s">
        <v>131</v>
      </c>
      <c r="J1618" s="3" t="s">
        <v>133</v>
      </c>
      <c r="K1618" s="2" t="str">
        <f aca="false">CONCATENATE(I1618," ",J1618)</f>
        <v>Xysticus luctuosus</v>
      </c>
      <c r="L1618" s="3" t="n">
        <f aca="false">SUM(P1618:U1618)</f>
        <v>1</v>
      </c>
      <c r="M1618" s="11" t="n">
        <f aca="false">(L1618/(F1618*G1618)*25)*4</f>
        <v>4</v>
      </c>
      <c r="N1618" s="1" t="s">
        <v>30</v>
      </c>
      <c r="O1618" s="1" t="s">
        <v>35</v>
      </c>
      <c r="P1618" s="3" t="n">
        <v>0</v>
      </c>
      <c r="Q1618" s="3" t="n">
        <v>1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f aca="false">SUM(P1618:Q1618)</f>
        <v>1</v>
      </c>
      <c r="W1618" s="3" t="n">
        <f aca="false">SUM(R1618:T1618)</f>
        <v>0</v>
      </c>
      <c r="X1618" s="22" t="n">
        <v>41869</v>
      </c>
      <c r="Y1618" s="22" t="n">
        <v>41874</v>
      </c>
    </row>
    <row r="1619" customFormat="false" ht="14.25" hidden="false" customHeight="false" outlineLevel="0" collapsed="false">
      <c r="A1619" s="1" t="n">
        <v>2014</v>
      </c>
      <c r="B1619" s="1" t="n">
        <v>2</v>
      </c>
      <c r="C1619" s="2" t="s">
        <v>50</v>
      </c>
      <c r="D1619" s="3" t="s">
        <v>158</v>
      </c>
      <c r="E1619" s="3" t="n">
        <v>1</v>
      </c>
      <c r="F1619" s="1" t="n">
        <f aca="false">Y1619-X1619</f>
        <v>5</v>
      </c>
      <c r="G1619" s="1" t="n">
        <v>5</v>
      </c>
      <c r="H1619" s="3" t="s">
        <v>48</v>
      </c>
      <c r="I1619" s="3" t="s">
        <v>61</v>
      </c>
      <c r="J1619" s="3" t="s">
        <v>82</v>
      </c>
      <c r="K1619" s="2" t="str">
        <f aca="false">CONCATENATE(I1619," ",J1619)</f>
        <v>Trochosa terricola</v>
      </c>
      <c r="L1619" s="3" t="n">
        <f aca="false">SUM(P1619:U1619)</f>
        <v>1</v>
      </c>
      <c r="M1619" s="11" t="n">
        <f aca="false">(L1619/(F1619*G1619)*25)*4</f>
        <v>4</v>
      </c>
      <c r="N1619" s="1" t="s">
        <v>30</v>
      </c>
      <c r="O1619" s="1" t="s">
        <v>35</v>
      </c>
      <c r="P1619" s="3" t="n">
        <v>0</v>
      </c>
      <c r="Q1619" s="3" t="n">
        <v>1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f aca="false">SUM(P1619:Q1619)</f>
        <v>1</v>
      </c>
      <c r="W1619" s="3" t="n">
        <f aca="false">SUM(R1619:T1619)</f>
        <v>0</v>
      </c>
      <c r="X1619" s="22" t="n">
        <v>41869</v>
      </c>
      <c r="Y1619" s="22" t="n">
        <v>41874</v>
      </c>
    </row>
    <row r="1620" customFormat="false" ht="14.25" hidden="false" customHeight="false" outlineLevel="0" collapsed="false">
      <c r="A1620" s="1" t="n">
        <v>2014</v>
      </c>
      <c r="B1620" s="1" t="n">
        <v>2</v>
      </c>
      <c r="C1620" s="2" t="s">
        <v>50</v>
      </c>
      <c r="D1620" s="3" t="s">
        <v>158</v>
      </c>
      <c r="E1620" s="3" t="n">
        <v>1</v>
      </c>
      <c r="F1620" s="1" t="n">
        <f aca="false">Y1620-X1620</f>
        <v>5</v>
      </c>
      <c r="G1620" s="1" t="n">
        <v>5</v>
      </c>
      <c r="H1620" s="3" t="s">
        <v>32</v>
      </c>
      <c r="I1620" s="3" t="s">
        <v>84</v>
      </c>
      <c r="J1620" s="3" t="s">
        <v>181</v>
      </c>
      <c r="K1620" s="2" t="str">
        <f aca="false">CONCATENATE(I1620," ",J1620)</f>
        <v>Walckenaeria cucullata</v>
      </c>
      <c r="L1620" s="3" t="n">
        <f aca="false">SUM(P1620:U1620)</f>
        <v>1</v>
      </c>
      <c r="M1620" s="11" t="n">
        <f aca="false">(L1620/(F1620*G1620)*25)*4</f>
        <v>4</v>
      </c>
      <c r="N1620" s="1" t="s">
        <v>30</v>
      </c>
      <c r="O1620" s="1" t="s">
        <v>35</v>
      </c>
      <c r="P1620" s="3" t="n">
        <v>0</v>
      </c>
      <c r="Q1620" s="3" t="n">
        <v>1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f aca="false">SUM(P1620:Q1620)</f>
        <v>1</v>
      </c>
      <c r="W1620" s="3" t="n">
        <f aca="false">SUM(R1620:T1620)</f>
        <v>0</v>
      </c>
      <c r="X1620" s="22" t="n">
        <v>41869</v>
      </c>
      <c r="Y1620" s="22" t="n">
        <v>41874</v>
      </c>
    </row>
    <row r="1621" customFormat="false" ht="14.25" hidden="false" customHeight="false" outlineLevel="0" collapsed="false">
      <c r="A1621" s="1" t="n">
        <v>2014</v>
      </c>
      <c r="B1621" s="1" t="n">
        <v>2</v>
      </c>
      <c r="C1621" s="2" t="s">
        <v>50</v>
      </c>
      <c r="D1621" s="3" t="s">
        <v>158</v>
      </c>
      <c r="E1621" s="3" t="n">
        <v>3</v>
      </c>
      <c r="F1621" s="1" t="n">
        <f aca="false">Y1621-X1621</f>
        <v>5</v>
      </c>
      <c r="G1621" s="1" t="n">
        <v>5</v>
      </c>
      <c r="H1621" s="3" t="s">
        <v>72</v>
      </c>
      <c r="I1621" s="3" t="s">
        <v>73</v>
      </c>
      <c r="J1621" s="3" t="s">
        <v>74</v>
      </c>
      <c r="K1621" s="2" t="str">
        <f aca="false">CONCATENATE(I1621," ",J1621)</f>
        <v>Zelotes subterraneus</v>
      </c>
      <c r="L1621" s="3" t="n">
        <f aca="false">SUM(P1621:U1621)</f>
        <v>1</v>
      </c>
      <c r="M1621" s="11" t="n">
        <f aca="false">(L1621/(F1621*G1621)*25)*4</f>
        <v>4</v>
      </c>
      <c r="N1621" s="1" t="s">
        <v>30</v>
      </c>
      <c r="O1621" s="1" t="s">
        <v>35</v>
      </c>
      <c r="P1621" s="3" t="n">
        <v>0</v>
      </c>
      <c r="Q1621" s="3" t="n">
        <v>1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f aca="false">SUM(P1621:Q1621)</f>
        <v>1</v>
      </c>
      <c r="W1621" s="3" t="n">
        <f aca="false">SUM(R1621:T1621)</f>
        <v>0</v>
      </c>
      <c r="X1621" s="22" t="n">
        <v>41869</v>
      </c>
      <c r="Y1621" s="22" t="n">
        <v>41874</v>
      </c>
    </row>
    <row r="1622" customFormat="false" ht="14.25" hidden="false" customHeight="false" outlineLevel="0" collapsed="false">
      <c r="A1622" s="1" t="n">
        <v>2014</v>
      </c>
      <c r="B1622" s="1" t="n">
        <v>2</v>
      </c>
      <c r="C1622" s="2" t="s">
        <v>50</v>
      </c>
      <c r="D1622" s="3" t="s">
        <v>158</v>
      </c>
      <c r="E1622" s="3" t="n">
        <v>3</v>
      </c>
      <c r="F1622" s="1" t="n">
        <f aca="false">Y1622-X1622</f>
        <v>5</v>
      </c>
      <c r="G1622" s="1" t="n">
        <v>5</v>
      </c>
      <c r="H1622" s="3" t="s">
        <v>72</v>
      </c>
      <c r="I1622" s="3" t="s">
        <v>73</v>
      </c>
      <c r="J1622" s="3" t="s">
        <v>74</v>
      </c>
      <c r="K1622" s="2" t="str">
        <f aca="false">CONCATENATE(I1622," ",J1622)</f>
        <v>Zelotes subterraneus</v>
      </c>
      <c r="L1622" s="3" t="n">
        <f aca="false">SUM(P1622:U1622)</f>
        <v>1</v>
      </c>
      <c r="M1622" s="11" t="n">
        <f aca="false">(L1622/(F1622*G1622)*25)*4</f>
        <v>4</v>
      </c>
      <c r="N1622" s="1" t="s">
        <v>30</v>
      </c>
      <c r="O1622" s="1" t="s">
        <v>31</v>
      </c>
      <c r="P1622" s="3" t="n">
        <v>1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f aca="false">SUM(P1622:Q1622)</f>
        <v>1</v>
      </c>
      <c r="W1622" s="3" t="n">
        <f aca="false">SUM(R1622:T1622)</f>
        <v>0</v>
      </c>
      <c r="X1622" s="22" t="n">
        <v>41869</v>
      </c>
      <c r="Y1622" s="22" t="n">
        <v>41874</v>
      </c>
    </row>
    <row r="1623" customFormat="false" ht="14.25" hidden="false" customHeight="false" outlineLevel="0" collapsed="false">
      <c r="A1623" s="1" t="n">
        <v>2014</v>
      </c>
      <c r="B1623" s="1" t="n">
        <v>2</v>
      </c>
      <c r="C1623" s="2" t="s">
        <v>50</v>
      </c>
      <c r="D1623" s="3" t="s">
        <v>158</v>
      </c>
      <c r="E1623" s="3" t="n">
        <v>3</v>
      </c>
      <c r="F1623" s="1" t="n">
        <f aca="false">Y1623-X1623</f>
        <v>5</v>
      </c>
      <c r="G1623" s="1" t="n">
        <v>5</v>
      </c>
      <c r="H1623" s="3" t="s">
        <v>36</v>
      </c>
      <c r="I1623" s="3" t="s">
        <v>131</v>
      </c>
      <c r="J1623" s="3" t="s">
        <v>38</v>
      </c>
      <c r="K1623" s="2" t="str">
        <f aca="false">CONCATENATE(I1623," ",J1623)</f>
        <v>Xysticus sp</v>
      </c>
      <c r="L1623" s="3" t="n">
        <f aca="false">SUM(P1623:U1623)</f>
        <v>1</v>
      </c>
      <c r="M1623" s="11" t="n">
        <f aca="false">(L1623/(F1623*G1623)*25)*4</f>
        <v>4</v>
      </c>
      <c r="N1623" s="1" t="s">
        <v>19</v>
      </c>
      <c r="O1623" s="1" t="s">
        <v>31</v>
      </c>
      <c r="P1623" s="3" t="n">
        <v>0</v>
      </c>
      <c r="Q1623" s="3" t="n">
        <v>0</v>
      </c>
      <c r="R1623" s="3" t="n">
        <v>1</v>
      </c>
      <c r="S1623" s="3" t="n">
        <v>0</v>
      </c>
      <c r="T1623" s="3" t="n">
        <v>0</v>
      </c>
      <c r="U1623" s="3" t="n">
        <v>0</v>
      </c>
      <c r="V1623" s="3" t="n">
        <f aca="false">SUM(P1623:Q1623)</f>
        <v>0</v>
      </c>
      <c r="W1623" s="3" t="n">
        <f aca="false">SUM(R1623:T1623)</f>
        <v>1</v>
      </c>
      <c r="X1623" s="22" t="n">
        <v>41869</v>
      </c>
      <c r="Y1623" s="22" t="n">
        <v>41874</v>
      </c>
    </row>
    <row r="1624" customFormat="false" ht="14.25" hidden="false" customHeight="false" outlineLevel="0" collapsed="false">
      <c r="A1624" s="1" t="n">
        <v>2014</v>
      </c>
      <c r="B1624" s="1" t="n">
        <v>2</v>
      </c>
      <c r="C1624" s="2" t="s">
        <v>50</v>
      </c>
      <c r="D1624" s="3" t="s">
        <v>158</v>
      </c>
      <c r="E1624" s="3" t="n">
        <v>3</v>
      </c>
      <c r="F1624" s="1" t="n">
        <f aca="false">Y1624-X1624</f>
        <v>5</v>
      </c>
      <c r="G1624" s="1" t="n">
        <v>5</v>
      </c>
      <c r="H1624" s="3" t="s">
        <v>48</v>
      </c>
      <c r="I1624" s="3" t="s">
        <v>61</v>
      </c>
      <c r="J1624" s="3" t="s">
        <v>82</v>
      </c>
      <c r="K1624" s="2" t="str">
        <f aca="false">CONCATENATE(I1624," ",J1624)</f>
        <v>Trochosa terricola</v>
      </c>
      <c r="L1624" s="3" t="n">
        <f aca="false">SUM(P1624:U1624)</f>
        <v>1</v>
      </c>
      <c r="M1624" s="11" t="n">
        <f aca="false">(L1624/(F1624*G1624)*25)*4</f>
        <v>4</v>
      </c>
      <c r="N1624" s="1" t="s">
        <v>30</v>
      </c>
      <c r="O1624" s="1" t="s">
        <v>31</v>
      </c>
      <c r="P1624" s="3" t="n">
        <v>1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f aca="false">SUM(P1624:Q1624)</f>
        <v>1</v>
      </c>
      <c r="W1624" s="3" t="n">
        <f aca="false">SUM(R1624:T1624)</f>
        <v>0</v>
      </c>
      <c r="X1624" s="22" t="n">
        <v>41869</v>
      </c>
      <c r="Y1624" s="22" t="n">
        <v>41874</v>
      </c>
    </row>
    <row r="1625" customFormat="false" ht="14.25" hidden="false" customHeight="false" outlineLevel="0" collapsed="false">
      <c r="A1625" s="1" t="n">
        <v>2014</v>
      </c>
      <c r="B1625" s="1" t="n">
        <v>2</v>
      </c>
      <c r="C1625" s="2" t="s">
        <v>50</v>
      </c>
      <c r="D1625" s="3" t="s">
        <v>158</v>
      </c>
      <c r="E1625" s="3" t="n">
        <v>3</v>
      </c>
      <c r="F1625" s="1" t="n">
        <f aca="false">Y1625-X1625</f>
        <v>5</v>
      </c>
      <c r="G1625" s="1" t="n">
        <v>5</v>
      </c>
      <c r="H1625" s="3" t="s">
        <v>48</v>
      </c>
      <c r="I1625" s="3" t="s">
        <v>61</v>
      </c>
      <c r="J1625" s="3" t="s">
        <v>82</v>
      </c>
      <c r="K1625" s="2" t="str">
        <f aca="false">CONCATENATE(I1625," ",J1625)</f>
        <v>Trochosa terricola</v>
      </c>
      <c r="L1625" s="3" t="n">
        <f aca="false">SUM(P1625:U1625)</f>
        <v>3</v>
      </c>
      <c r="M1625" s="11" t="n">
        <f aca="false">(L1625/(F1625*G1625)*25)*4</f>
        <v>12</v>
      </c>
      <c r="N1625" s="1" t="s">
        <v>30</v>
      </c>
      <c r="O1625" s="1" t="s">
        <v>35</v>
      </c>
      <c r="P1625" s="3" t="n">
        <v>0</v>
      </c>
      <c r="Q1625" s="3" t="n">
        <v>3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f aca="false">SUM(P1625:Q1625)</f>
        <v>3</v>
      </c>
      <c r="W1625" s="3" t="n">
        <f aca="false">SUM(R1625:T1625)</f>
        <v>0</v>
      </c>
      <c r="X1625" s="22" t="n">
        <v>41869</v>
      </c>
      <c r="Y1625" s="22" t="n">
        <v>41874</v>
      </c>
    </row>
    <row r="1626" customFormat="false" ht="14.25" hidden="false" customHeight="false" outlineLevel="0" collapsed="false">
      <c r="A1626" s="1" t="n">
        <v>2014</v>
      </c>
      <c r="B1626" s="1" t="n">
        <v>2</v>
      </c>
      <c r="C1626" s="2" t="s">
        <v>50</v>
      </c>
      <c r="D1626" s="3" t="s">
        <v>158</v>
      </c>
      <c r="E1626" s="3" t="n">
        <v>3</v>
      </c>
      <c r="F1626" s="1" t="n">
        <f aca="false">Y1626-X1626</f>
        <v>5</v>
      </c>
      <c r="G1626" s="1" t="n">
        <v>5</v>
      </c>
      <c r="H1626" s="3" t="s">
        <v>48</v>
      </c>
      <c r="I1626" s="3" t="s">
        <v>67</v>
      </c>
      <c r="J1626" s="3" t="s">
        <v>127</v>
      </c>
      <c r="K1626" s="2" t="str">
        <f aca="false">CONCATENATE(I1626," ",J1626)</f>
        <v>Pardosa lugubris</v>
      </c>
      <c r="L1626" s="3" t="n">
        <f aca="false">SUM(P1626:U1626)</f>
        <v>1</v>
      </c>
      <c r="M1626" s="11" t="n">
        <f aca="false">(L1626/(F1626*G1626)*25)*4</f>
        <v>4</v>
      </c>
      <c r="N1626" s="1" t="s">
        <v>30</v>
      </c>
      <c r="O1626" s="1" t="s">
        <v>35</v>
      </c>
      <c r="P1626" s="3" t="n">
        <v>0</v>
      </c>
      <c r="Q1626" s="3" t="n">
        <v>1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f aca="false">SUM(P1626:Q1626)</f>
        <v>1</v>
      </c>
      <c r="W1626" s="3" t="n">
        <f aca="false">SUM(R1626:T1626)</f>
        <v>0</v>
      </c>
      <c r="X1626" s="22" t="n">
        <v>41869</v>
      </c>
      <c r="Y1626" s="22" t="n">
        <v>41874</v>
      </c>
    </row>
    <row r="1627" customFormat="false" ht="14.25" hidden="false" customHeight="false" outlineLevel="0" collapsed="false">
      <c r="A1627" s="1" t="n">
        <v>2014</v>
      </c>
      <c r="B1627" s="1" t="n">
        <v>2</v>
      </c>
      <c r="C1627" s="2" t="s">
        <v>50</v>
      </c>
      <c r="D1627" s="3" t="s">
        <v>158</v>
      </c>
      <c r="E1627" s="3" t="n">
        <v>3</v>
      </c>
      <c r="F1627" s="1" t="n">
        <f aca="false">Y1627-X1627</f>
        <v>5</v>
      </c>
      <c r="G1627" s="1" t="n">
        <v>5</v>
      </c>
      <c r="H1627" s="3" t="s">
        <v>48</v>
      </c>
      <c r="I1627" s="3" t="s">
        <v>67</v>
      </c>
      <c r="J1627" s="3" t="s">
        <v>38</v>
      </c>
      <c r="K1627" s="2" t="str">
        <f aca="false">CONCATENATE(I1627," ",J1627)</f>
        <v>Pardosa sp</v>
      </c>
      <c r="L1627" s="3" t="n">
        <f aca="false">SUM(P1627:U1627)</f>
        <v>1</v>
      </c>
      <c r="M1627" s="11" t="n">
        <f aca="false">(L1627/(F1627*G1627)*25)*4</f>
        <v>4</v>
      </c>
      <c r="N1627" s="1" t="s">
        <v>19</v>
      </c>
      <c r="O1627" s="1" t="s">
        <v>35</v>
      </c>
      <c r="P1627" s="3" t="n">
        <v>0</v>
      </c>
      <c r="Q1627" s="3" t="n">
        <v>0</v>
      </c>
      <c r="R1627" s="3" t="n">
        <v>0</v>
      </c>
      <c r="S1627" s="3" t="n">
        <v>1</v>
      </c>
      <c r="T1627" s="3" t="n">
        <v>0</v>
      </c>
      <c r="U1627" s="3" t="n">
        <v>0</v>
      </c>
      <c r="V1627" s="3" t="n">
        <f aca="false">SUM(P1627:Q1627)</f>
        <v>0</v>
      </c>
      <c r="W1627" s="3" t="n">
        <f aca="false">SUM(R1627:T1627)</f>
        <v>1</v>
      </c>
      <c r="X1627" s="22" t="n">
        <v>41869</v>
      </c>
      <c r="Y1627" s="22" t="n">
        <v>41874</v>
      </c>
    </row>
    <row r="1628" customFormat="false" ht="14.25" hidden="false" customHeight="false" outlineLevel="0" collapsed="false">
      <c r="A1628" s="1" t="n">
        <v>2014</v>
      </c>
      <c r="B1628" s="1" t="n">
        <v>2</v>
      </c>
      <c r="C1628" s="2" t="s">
        <v>50</v>
      </c>
      <c r="D1628" s="3" t="s">
        <v>158</v>
      </c>
      <c r="E1628" s="3" t="n">
        <v>3</v>
      </c>
      <c r="F1628" s="1" t="n">
        <f aca="false">Y1628-X1628</f>
        <v>5</v>
      </c>
      <c r="G1628" s="1" t="n">
        <v>5</v>
      </c>
      <c r="H1628" s="3" t="s">
        <v>48</v>
      </c>
      <c r="I1628" s="3" t="s">
        <v>57</v>
      </c>
      <c r="J1628" s="3" t="s">
        <v>38</v>
      </c>
      <c r="K1628" s="2" t="str">
        <f aca="false">CONCATENATE(I1628," ",J1628)</f>
        <v>Gen sp</v>
      </c>
      <c r="L1628" s="3" t="n">
        <f aca="false">SUM(P1628:U1628)</f>
        <v>1</v>
      </c>
      <c r="M1628" s="11" t="n">
        <f aca="false">(L1628/(F1628*G1628)*25)*4</f>
        <v>4</v>
      </c>
      <c r="N1628" s="1" t="s">
        <v>19</v>
      </c>
      <c r="O1628" s="1" t="s">
        <v>54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1</v>
      </c>
      <c r="U1628" s="3" t="n">
        <v>0</v>
      </c>
      <c r="V1628" s="3" t="n">
        <f aca="false">SUM(P1628:Q1628)</f>
        <v>0</v>
      </c>
      <c r="W1628" s="3" t="n">
        <f aca="false">SUM(R1628:T1628)</f>
        <v>1</v>
      </c>
      <c r="X1628" s="22" t="n">
        <v>41869</v>
      </c>
      <c r="Y1628" s="22" t="n">
        <v>41874</v>
      </c>
    </row>
    <row r="1629" customFormat="false" ht="14.25" hidden="false" customHeight="false" outlineLevel="0" collapsed="false">
      <c r="A1629" s="1" t="n">
        <v>2014</v>
      </c>
      <c r="B1629" s="1" t="n">
        <v>2</v>
      </c>
      <c r="C1629" s="2" t="s">
        <v>50</v>
      </c>
      <c r="D1629" s="3" t="s">
        <v>158</v>
      </c>
      <c r="E1629" s="3" t="n">
        <v>3</v>
      </c>
      <c r="F1629" s="1" t="n">
        <f aca="false">Y1629-X1629</f>
        <v>5</v>
      </c>
      <c r="G1629" s="1" t="n">
        <v>5</v>
      </c>
      <c r="H1629" s="3" t="s">
        <v>36</v>
      </c>
      <c r="I1629" s="3" t="s">
        <v>37</v>
      </c>
      <c r="J1629" s="3" t="s">
        <v>75</v>
      </c>
      <c r="K1629" s="2" t="str">
        <f aca="false">CONCATENATE(I1629," ",J1629)</f>
        <v>Ozyptila praticola</v>
      </c>
      <c r="L1629" s="3" t="n">
        <f aca="false">SUM(P1629:U1629)</f>
        <v>4</v>
      </c>
      <c r="M1629" s="11" t="n">
        <f aca="false">(L1629/(F1629*G1629)*25)*4</f>
        <v>16</v>
      </c>
      <c r="N1629" s="1" t="s">
        <v>30</v>
      </c>
      <c r="O1629" s="1" t="s">
        <v>31</v>
      </c>
      <c r="P1629" s="3" t="n">
        <v>4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f aca="false">SUM(P1629:Q1629)</f>
        <v>4</v>
      </c>
      <c r="W1629" s="3" t="n">
        <f aca="false">SUM(R1629:T1629)</f>
        <v>0</v>
      </c>
      <c r="X1629" s="22" t="n">
        <v>41869</v>
      </c>
      <c r="Y1629" s="22" t="n">
        <v>41874</v>
      </c>
    </row>
    <row r="1630" customFormat="false" ht="14.25" hidden="false" customHeight="false" outlineLevel="0" collapsed="false">
      <c r="A1630" s="1" t="n">
        <v>2014</v>
      </c>
      <c r="B1630" s="1" t="n">
        <v>2</v>
      </c>
      <c r="C1630" s="2" t="s">
        <v>50</v>
      </c>
      <c r="D1630" s="3" t="s">
        <v>158</v>
      </c>
      <c r="E1630" s="3" t="n">
        <v>1</v>
      </c>
      <c r="F1630" s="1" t="n">
        <f aca="false">Y1630-X1630</f>
        <v>5</v>
      </c>
      <c r="G1630" s="1" t="n">
        <v>5</v>
      </c>
      <c r="H1630" s="3" t="s">
        <v>48</v>
      </c>
      <c r="I1630" s="3" t="s">
        <v>61</v>
      </c>
      <c r="J1630" s="3" t="s">
        <v>82</v>
      </c>
      <c r="K1630" s="2" t="str">
        <f aca="false">CONCATENATE(I1630," ",J1630)</f>
        <v>Trochosa terricola</v>
      </c>
      <c r="L1630" s="3" t="n">
        <f aca="false">SUM(P1630:U1630)</f>
        <v>2</v>
      </c>
      <c r="M1630" s="11" t="n">
        <f aca="false">(L1630/(F1630*G1630)*25)*4</f>
        <v>8</v>
      </c>
      <c r="N1630" s="1" t="s">
        <v>30</v>
      </c>
      <c r="O1630" s="1" t="s">
        <v>35</v>
      </c>
      <c r="P1630" s="3" t="n">
        <v>0</v>
      </c>
      <c r="Q1630" s="3" t="n">
        <v>2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f aca="false">SUM(P1630:Q1630)</f>
        <v>2</v>
      </c>
      <c r="W1630" s="3" t="n">
        <f aca="false">SUM(R1630:T1630)</f>
        <v>0</v>
      </c>
      <c r="X1630" s="22" t="n">
        <v>41869</v>
      </c>
      <c r="Y1630" s="22" t="n">
        <v>41874</v>
      </c>
    </row>
    <row r="1631" customFormat="false" ht="14.25" hidden="false" customHeight="false" outlineLevel="0" collapsed="false">
      <c r="A1631" s="1" t="n">
        <v>2014</v>
      </c>
      <c r="B1631" s="1" t="n">
        <v>2</v>
      </c>
      <c r="C1631" s="2" t="s">
        <v>50</v>
      </c>
      <c r="D1631" s="3" t="s">
        <v>158</v>
      </c>
      <c r="E1631" s="3" t="n">
        <v>1</v>
      </c>
      <c r="F1631" s="1" t="n">
        <f aca="false">Y1631-X1631</f>
        <v>5</v>
      </c>
      <c r="G1631" s="1" t="n">
        <v>5</v>
      </c>
      <c r="H1631" s="3" t="s">
        <v>48</v>
      </c>
      <c r="I1631" s="3" t="s">
        <v>49</v>
      </c>
      <c r="J1631" s="3" t="s">
        <v>38</v>
      </c>
      <c r="K1631" s="2" t="str">
        <f aca="false">CONCATENATE(I1631," ",J1631)</f>
        <v>Alopecosa sp</v>
      </c>
      <c r="L1631" s="3" t="n">
        <f aca="false">SUM(P1631:U1631)</f>
        <v>1</v>
      </c>
      <c r="M1631" s="11" t="n">
        <f aca="false">(L1631/(F1631*G1631)*25)*4</f>
        <v>4</v>
      </c>
      <c r="N1631" s="1" t="s">
        <v>19</v>
      </c>
      <c r="O1631" s="1" t="s">
        <v>35</v>
      </c>
      <c r="P1631" s="3" t="n">
        <v>0</v>
      </c>
      <c r="Q1631" s="3" t="n">
        <v>0</v>
      </c>
      <c r="R1631" s="3" t="n">
        <v>0</v>
      </c>
      <c r="S1631" s="3" t="n">
        <v>1</v>
      </c>
      <c r="T1631" s="3" t="n">
        <v>0</v>
      </c>
      <c r="U1631" s="3" t="n">
        <v>0</v>
      </c>
      <c r="V1631" s="3" t="n">
        <f aca="false">SUM(P1631:Q1631)</f>
        <v>0</v>
      </c>
      <c r="W1631" s="3" t="n">
        <f aca="false">SUM(R1631:T1631)</f>
        <v>1</v>
      </c>
      <c r="X1631" s="22" t="n">
        <v>41869</v>
      </c>
      <c r="Y1631" s="22" t="n">
        <v>41874</v>
      </c>
    </row>
    <row r="1632" customFormat="false" ht="14.25" hidden="false" customHeight="false" outlineLevel="0" collapsed="false">
      <c r="A1632" s="1" t="n">
        <v>2014</v>
      </c>
      <c r="B1632" s="1" t="n">
        <v>2</v>
      </c>
      <c r="C1632" s="2" t="s">
        <v>50</v>
      </c>
      <c r="D1632" s="3" t="s">
        <v>158</v>
      </c>
      <c r="E1632" s="3" t="n">
        <v>1</v>
      </c>
      <c r="F1632" s="1" t="n">
        <f aca="false">Y1632-X1632</f>
        <v>5</v>
      </c>
      <c r="G1632" s="1" t="n">
        <v>5</v>
      </c>
      <c r="H1632" s="3" t="s">
        <v>48</v>
      </c>
      <c r="I1632" s="3" t="s">
        <v>49</v>
      </c>
      <c r="J1632" s="3" t="s">
        <v>130</v>
      </c>
      <c r="K1632" s="2" t="str">
        <f aca="false">CONCATENATE(I1632," ",J1632)</f>
        <v>Alopecosa aculeata</v>
      </c>
      <c r="L1632" s="3" t="n">
        <f aca="false">SUM(P1632:U1632)</f>
        <v>1</v>
      </c>
      <c r="M1632" s="11" t="n">
        <f aca="false">(L1632/(F1632*G1632)*25)*4</f>
        <v>4</v>
      </c>
      <c r="N1632" s="1" t="s">
        <v>30</v>
      </c>
      <c r="O1632" s="1" t="s">
        <v>35</v>
      </c>
      <c r="P1632" s="3" t="n">
        <v>0</v>
      </c>
      <c r="Q1632" s="3" t="n">
        <v>1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f aca="false">SUM(P1632:Q1632)</f>
        <v>1</v>
      </c>
      <c r="W1632" s="3" t="n">
        <f aca="false">SUM(R1632:T1632)</f>
        <v>0</v>
      </c>
      <c r="X1632" s="22" t="n">
        <v>41869</v>
      </c>
      <c r="Y1632" s="22" t="n">
        <v>41874</v>
      </c>
    </row>
    <row r="1633" customFormat="false" ht="14.25" hidden="false" customHeight="false" outlineLevel="0" collapsed="false">
      <c r="A1633" s="1" t="n">
        <v>2014</v>
      </c>
      <c r="B1633" s="1" t="n">
        <v>2</v>
      </c>
      <c r="C1633" s="2" t="s">
        <v>50</v>
      </c>
      <c r="D1633" s="3" t="s">
        <v>158</v>
      </c>
      <c r="E1633" s="3" t="n">
        <v>1</v>
      </c>
      <c r="F1633" s="1" t="n">
        <f aca="false">Y1633-X1633</f>
        <v>5</v>
      </c>
      <c r="G1633" s="1" t="n">
        <v>5</v>
      </c>
      <c r="H1633" s="3" t="s">
        <v>36</v>
      </c>
      <c r="I1633" s="3" t="s">
        <v>131</v>
      </c>
      <c r="J1633" s="3" t="s">
        <v>38</v>
      </c>
      <c r="K1633" s="2" t="str">
        <f aca="false">CONCATENATE(I1633," ",J1633)</f>
        <v>Xysticus sp</v>
      </c>
      <c r="L1633" s="3" t="n">
        <f aca="false">SUM(P1633:U1633)</f>
        <v>1</v>
      </c>
      <c r="M1633" s="11" t="n">
        <f aca="false">(L1633/(F1633*G1633)*25)*4</f>
        <v>4</v>
      </c>
      <c r="N1633" s="1" t="s">
        <v>19</v>
      </c>
      <c r="O1633" s="1" t="s">
        <v>31</v>
      </c>
      <c r="P1633" s="3" t="n">
        <v>0</v>
      </c>
      <c r="Q1633" s="3" t="n">
        <v>0</v>
      </c>
      <c r="R1633" s="3" t="n">
        <v>1</v>
      </c>
      <c r="S1633" s="3" t="n">
        <v>0</v>
      </c>
      <c r="T1633" s="3" t="n">
        <v>0</v>
      </c>
      <c r="U1633" s="3" t="n">
        <v>0</v>
      </c>
      <c r="V1633" s="3" t="n">
        <f aca="false">SUM(P1633:Q1633)</f>
        <v>0</v>
      </c>
      <c r="W1633" s="3" t="n">
        <f aca="false">SUM(R1633:T1633)</f>
        <v>1</v>
      </c>
      <c r="X1633" s="22" t="n">
        <v>41869</v>
      </c>
      <c r="Y1633" s="22" t="n">
        <v>41874</v>
      </c>
    </row>
    <row r="1634" customFormat="false" ht="14.25" hidden="false" customHeight="false" outlineLevel="0" collapsed="false">
      <c r="A1634" s="1" t="n">
        <v>2014</v>
      </c>
      <c r="B1634" s="1" t="n">
        <v>2</v>
      </c>
      <c r="C1634" s="2" t="s">
        <v>50</v>
      </c>
      <c r="D1634" s="3" t="s">
        <v>158</v>
      </c>
      <c r="E1634" s="3" t="n">
        <v>1</v>
      </c>
      <c r="F1634" s="1" t="n">
        <f aca="false">Y1634-X1634</f>
        <v>5</v>
      </c>
      <c r="G1634" s="1" t="n">
        <v>5</v>
      </c>
      <c r="H1634" s="3" t="s">
        <v>36</v>
      </c>
      <c r="I1634" s="3" t="s">
        <v>37</v>
      </c>
      <c r="J1634" s="3" t="s">
        <v>75</v>
      </c>
      <c r="K1634" s="2" t="str">
        <f aca="false">CONCATENATE(I1634," ",J1634)</f>
        <v>Ozyptila praticola</v>
      </c>
      <c r="L1634" s="3" t="n">
        <f aca="false">SUM(P1634:U1634)</f>
        <v>2</v>
      </c>
      <c r="M1634" s="11" t="n">
        <f aca="false">(L1634/(F1634*G1634)*25)*4</f>
        <v>8</v>
      </c>
      <c r="N1634" s="1" t="s">
        <v>30</v>
      </c>
      <c r="O1634" s="1" t="s">
        <v>31</v>
      </c>
      <c r="P1634" s="3" t="n">
        <v>2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f aca="false">SUM(P1634:Q1634)</f>
        <v>2</v>
      </c>
      <c r="W1634" s="3" t="n">
        <f aca="false">SUM(R1634:T1634)</f>
        <v>0</v>
      </c>
      <c r="X1634" s="22" t="n">
        <v>41869</v>
      </c>
      <c r="Y1634" s="22" t="n">
        <v>41874</v>
      </c>
    </row>
    <row r="1635" customFormat="false" ht="14.25" hidden="false" customHeight="false" outlineLevel="0" collapsed="false">
      <c r="A1635" s="1" t="n">
        <v>2014</v>
      </c>
      <c r="B1635" s="1" t="n">
        <v>2</v>
      </c>
      <c r="C1635" s="2" t="s">
        <v>50</v>
      </c>
      <c r="D1635" s="3" t="s">
        <v>158</v>
      </c>
      <c r="E1635" s="3" t="n">
        <v>1</v>
      </c>
      <c r="F1635" s="1" t="n">
        <f aca="false">Y1635-X1635</f>
        <v>5</v>
      </c>
      <c r="G1635" s="1" t="n">
        <v>5</v>
      </c>
      <c r="H1635" s="3" t="s">
        <v>36</v>
      </c>
      <c r="I1635" s="3" t="s">
        <v>37</v>
      </c>
      <c r="J1635" s="3" t="s">
        <v>75</v>
      </c>
      <c r="K1635" s="2" t="str">
        <f aca="false">CONCATENATE(I1635," ",J1635)</f>
        <v>Ozyptila praticola</v>
      </c>
      <c r="L1635" s="3" t="n">
        <f aca="false">SUM(P1635:U1635)</f>
        <v>1</v>
      </c>
      <c r="M1635" s="11" t="n">
        <f aca="false">(L1635/(F1635*G1635)*25)*4</f>
        <v>4</v>
      </c>
      <c r="N1635" s="1" t="s">
        <v>30</v>
      </c>
      <c r="O1635" s="1" t="s">
        <v>35</v>
      </c>
      <c r="P1635" s="3" t="n">
        <v>0</v>
      </c>
      <c r="Q1635" s="3" t="n">
        <v>1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f aca="false">SUM(P1635:Q1635)</f>
        <v>1</v>
      </c>
      <c r="W1635" s="3" t="n">
        <f aca="false">SUM(R1635:T1635)</f>
        <v>0</v>
      </c>
      <c r="X1635" s="22" t="n">
        <v>41869</v>
      </c>
      <c r="Y1635" s="22" t="n">
        <v>41874</v>
      </c>
    </row>
    <row r="1636" customFormat="false" ht="14.25" hidden="false" customHeight="false" outlineLevel="0" collapsed="false">
      <c r="A1636" s="1" t="n">
        <v>2014</v>
      </c>
      <c r="B1636" s="1" t="n">
        <v>2</v>
      </c>
      <c r="C1636" s="2" t="s">
        <v>50</v>
      </c>
      <c r="D1636" s="3" t="s">
        <v>158</v>
      </c>
      <c r="E1636" s="3" t="n">
        <v>1</v>
      </c>
      <c r="F1636" s="1" t="n">
        <f aca="false">Y1636-X1636</f>
        <v>5</v>
      </c>
      <c r="G1636" s="1" t="n">
        <v>5</v>
      </c>
      <c r="H1636" s="3" t="s">
        <v>41</v>
      </c>
      <c r="I1636" s="3" t="s">
        <v>42</v>
      </c>
      <c r="J1636" s="3" t="s">
        <v>43</v>
      </c>
      <c r="K1636" s="2" t="str">
        <f aca="false">CONCATENATE(I1636," ",J1636)</f>
        <v>Agroeca proxima</v>
      </c>
      <c r="L1636" s="3" t="n">
        <f aca="false">SUM(P1636:U1636)</f>
        <v>1</v>
      </c>
      <c r="M1636" s="11" t="n">
        <f aca="false">(L1636/(F1636*G1636)*25)*4</f>
        <v>4</v>
      </c>
      <c r="N1636" s="1" t="s">
        <v>30</v>
      </c>
      <c r="O1636" s="1" t="s">
        <v>31</v>
      </c>
      <c r="P1636" s="3" t="n">
        <v>1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f aca="false">SUM(P1636:Q1636)</f>
        <v>1</v>
      </c>
      <c r="W1636" s="3" t="n">
        <f aca="false">SUM(R1636:T1636)</f>
        <v>0</v>
      </c>
      <c r="X1636" s="22" t="n">
        <v>41869</v>
      </c>
      <c r="Y1636" s="22" t="n">
        <v>41874</v>
      </c>
    </row>
    <row r="1637" customFormat="false" ht="14.25" hidden="false" customHeight="false" outlineLevel="0" collapsed="false">
      <c r="A1637" s="1" t="n">
        <v>2014</v>
      </c>
      <c r="B1637" s="1" t="n">
        <v>2</v>
      </c>
      <c r="C1637" s="2" t="s">
        <v>50</v>
      </c>
      <c r="D1637" s="3" t="s">
        <v>158</v>
      </c>
      <c r="E1637" s="3" t="n">
        <v>1</v>
      </c>
      <c r="F1637" s="1" t="n">
        <f aca="false">Y1637-X1637</f>
        <v>5</v>
      </c>
      <c r="G1637" s="1" t="n">
        <v>5</v>
      </c>
      <c r="H1637" s="3" t="s">
        <v>226</v>
      </c>
      <c r="I1637" s="3" t="s">
        <v>65</v>
      </c>
      <c r="J1637" s="3" t="s">
        <v>66</v>
      </c>
      <c r="K1637" s="2" t="str">
        <f aca="false">CONCATENATE(I1637," ",J1637)</f>
        <v>Zora Spinimana</v>
      </c>
      <c r="L1637" s="3" t="n">
        <f aca="false">SUM(P1637:U1637)</f>
        <v>1</v>
      </c>
      <c r="M1637" s="11" t="n">
        <f aca="false">(L1637/(F1637*G1637)*25)*4</f>
        <v>4</v>
      </c>
      <c r="N1637" s="1" t="s">
        <v>19</v>
      </c>
      <c r="O1637" s="1" t="s">
        <v>31</v>
      </c>
      <c r="P1637" s="3" t="n">
        <v>0</v>
      </c>
      <c r="Q1637" s="3" t="n">
        <v>0</v>
      </c>
      <c r="R1637" s="3" t="n">
        <v>0</v>
      </c>
      <c r="S1637" s="3" t="n">
        <v>1</v>
      </c>
      <c r="T1637" s="3" t="n">
        <v>0</v>
      </c>
      <c r="U1637" s="3" t="n">
        <v>0</v>
      </c>
      <c r="V1637" s="3" t="n">
        <f aca="false">SUM(P1637:Q1637)</f>
        <v>0</v>
      </c>
      <c r="W1637" s="3" t="n">
        <f aca="false">SUM(R1637:T1637)</f>
        <v>1</v>
      </c>
      <c r="X1637" s="22" t="n">
        <v>41869</v>
      </c>
      <c r="Y1637" s="22" t="n">
        <v>41874</v>
      </c>
    </row>
    <row r="1638" customFormat="false" ht="14.25" hidden="false" customHeight="false" outlineLevel="0" collapsed="false">
      <c r="A1638" s="1" t="n">
        <v>2014</v>
      </c>
      <c r="B1638" s="1" t="n">
        <v>2</v>
      </c>
      <c r="C1638" s="2" t="s">
        <v>50</v>
      </c>
      <c r="D1638" s="3" t="s">
        <v>158</v>
      </c>
      <c r="E1638" s="3" t="n">
        <v>1</v>
      </c>
      <c r="F1638" s="1" t="n">
        <f aca="false">Y1638-X1638</f>
        <v>5</v>
      </c>
      <c r="G1638" s="1" t="n">
        <v>5</v>
      </c>
      <c r="H1638" s="3" t="s">
        <v>48</v>
      </c>
      <c r="I1638" s="3" t="s">
        <v>67</v>
      </c>
      <c r="J1638" s="3" t="s">
        <v>38</v>
      </c>
      <c r="K1638" s="2" t="str">
        <f aca="false">CONCATENATE(I1638," ",J1638)</f>
        <v>Pardosa sp</v>
      </c>
      <c r="L1638" s="3" t="n">
        <f aca="false">SUM(P1638:U1638)</f>
        <v>1</v>
      </c>
      <c r="M1638" s="11" t="n">
        <f aca="false">(L1638/(F1638*G1638)*25)*4</f>
        <v>4</v>
      </c>
      <c r="N1638" s="1" t="s">
        <v>19</v>
      </c>
      <c r="O1638" s="1" t="s">
        <v>54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1</v>
      </c>
      <c r="U1638" s="3" t="n">
        <v>0</v>
      </c>
      <c r="V1638" s="3" t="n">
        <f aca="false">SUM(P1638:Q1638)</f>
        <v>0</v>
      </c>
      <c r="W1638" s="3" t="n">
        <f aca="false">SUM(R1638:T1638)</f>
        <v>1</v>
      </c>
      <c r="X1638" s="22" t="n">
        <v>41869</v>
      </c>
      <c r="Y1638" s="22" t="n">
        <v>41874</v>
      </c>
    </row>
    <row r="1639" customFormat="false" ht="14.25" hidden="false" customHeight="false" outlineLevel="0" collapsed="false">
      <c r="A1639" s="1" t="n">
        <v>2014</v>
      </c>
      <c r="B1639" s="1" t="n">
        <v>2</v>
      </c>
      <c r="C1639" s="2" t="s">
        <v>50</v>
      </c>
      <c r="D1639" s="3" t="s">
        <v>158</v>
      </c>
      <c r="E1639" s="3" t="n">
        <v>1</v>
      </c>
      <c r="F1639" s="1" t="n">
        <f aca="false">Y1639-X1639</f>
        <v>5</v>
      </c>
      <c r="G1639" s="1" t="n">
        <v>5</v>
      </c>
      <c r="H1639" s="3" t="s">
        <v>195</v>
      </c>
      <c r="I1639" s="3" t="s">
        <v>227</v>
      </c>
      <c r="J1639" s="3" t="s">
        <v>38</v>
      </c>
      <c r="K1639" s="2" t="str">
        <f aca="false">CONCATENATE(I1639," ",J1639)</f>
        <v>Tetragnatha sp</v>
      </c>
      <c r="L1639" s="3" t="n">
        <f aca="false">SUM(P1639:U1639)</f>
        <v>1</v>
      </c>
      <c r="M1639" s="11" t="n">
        <f aca="false">(L1639/(F1639*G1639)*25)*4</f>
        <v>4</v>
      </c>
      <c r="N1639" s="1" t="s">
        <v>19</v>
      </c>
      <c r="O1639" s="1" t="s">
        <v>54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1</v>
      </c>
      <c r="U1639" s="3" t="n">
        <v>0</v>
      </c>
      <c r="V1639" s="3" t="n">
        <f aca="false">SUM(P1639:Q1639)</f>
        <v>0</v>
      </c>
      <c r="W1639" s="3" t="n">
        <f aca="false">SUM(R1639:T1639)</f>
        <v>1</v>
      </c>
      <c r="X1639" s="22" t="n">
        <v>41869</v>
      </c>
      <c r="Y1639" s="22" t="n">
        <v>41874</v>
      </c>
    </row>
    <row r="1640" customFormat="false" ht="14.25" hidden="false" customHeight="false" outlineLevel="0" collapsed="false">
      <c r="A1640" s="1" t="n">
        <v>2014</v>
      </c>
      <c r="B1640" s="1" t="n">
        <v>2</v>
      </c>
      <c r="C1640" s="2" t="s">
        <v>50</v>
      </c>
      <c r="D1640" s="3" t="s">
        <v>158</v>
      </c>
      <c r="E1640" s="3" t="n">
        <v>1</v>
      </c>
      <c r="F1640" s="1" t="n">
        <f aca="false">Y1640-X1640</f>
        <v>5</v>
      </c>
      <c r="G1640" s="1" t="n">
        <v>5</v>
      </c>
      <c r="H1640" s="3" t="s">
        <v>48</v>
      </c>
      <c r="I1640" s="3" t="s">
        <v>57</v>
      </c>
      <c r="J1640" s="3" t="s">
        <v>38</v>
      </c>
      <c r="K1640" s="2" t="str">
        <f aca="false">CONCATENATE(I1640," ",J1640)</f>
        <v>Gen sp</v>
      </c>
      <c r="L1640" s="3" t="n">
        <f aca="false">SUM(P1640:U1640)</f>
        <v>21</v>
      </c>
      <c r="M1640" s="11" t="n">
        <f aca="false">(L1640/(F1640*G1640)*25)*4</f>
        <v>84</v>
      </c>
      <c r="N1640" s="1" t="s">
        <v>19</v>
      </c>
      <c r="O1640" s="1" t="s">
        <v>54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21</v>
      </c>
      <c r="U1640" s="3" t="n">
        <v>0</v>
      </c>
      <c r="V1640" s="3" t="n">
        <f aca="false">SUM(P1640:Q1640)</f>
        <v>0</v>
      </c>
      <c r="W1640" s="3" t="n">
        <f aca="false">SUM(R1640:T1640)</f>
        <v>21</v>
      </c>
      <c r="X1640" s="22" t="n">
        <v>41869</v>
      </c>
      <c r="Y1640" s="22" t="n">
        <v>41874</v>
      </c>
    </row>
    <row r="1641" customFormat="false" ht="14.25" hidden="false" customHeight="false" outlineLevel="0" collapsed="false">
      <c r="A1641" s="1" t="n">
        <v>2014</v>
      </c>
      <c r="B1641" s="1" t="n">
        <v>2</v>
      </c>
      <c r="C1641" s="2" t="s">
        <v>50</v>
      </c>
      <c r="D1641" s="3" t="s">
        <v>158</v>
      </c>
      <c r="E1641" s="3" t="n">
        <v>1</v>
      </c>
      <c r="F1641" s="1" t="n">
        <f aca="false">Y1641-X1641</f>
        <v>5</v>
      </c>
      <c r="G1641" s="1" t="n">
        <v>5</v>
      </c>
      <c r="H1641" s="3" t="s">
        <v>32</v>
      </c>
      <c r="I1641" s="3" t="s">
        <v>84</v>
      </c>
      <c r="J1641" s="3" t="s">
        <v>85</v>
      </c>
      <c r="K1641" s="2" t="str">
        <f aca="false">CONCATENATE(I1641," ",J1641)</f>
        <v>Walckenaeria antica</v>
      </c>
      <c r="L1641" s="3" t="n">
        <f aca="false">SUM(P1641:U1641)</f>
        <v>1</v>
      </c>
      <c r="M1641" s="11" t="n">
        <f aca="false">(L1641/(F1641*G1641)*25)*4</f>
        <v>4</v>
      </c>
      <c r="N1641" s="1" t="s">
        <v>30</v>
      </c>
      <c r="O1641" s="1" t="s">
        <v>35</v>
      </c>
      <c r="P1641" s="3" t="n">
        <v>0</v>
      </c>
      <c r="Q1641" s="3" t="n">
        <v>1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f aca="false">SUM(P1641:Q1641)</f>
        <v>1</v>
      </c>
      <c r="W1641" s="3" t="n">
        <f aca="false">SUM(R1641:T1641)</f>
        <v>0</v>
      </c>
      <c r="X1641" s="22" t="n">
        <v>41869</v>
      </c>
      <c r="Y1641" s="22" t="n">
        <v>41874</v>
      </c>
    </row>
    <row r="1642" customFormat="false" ht="14.25" hidden="false" customHeight="false" outlineLevel="0" collapsed="false">
      <c r="A1642" s="1" t="n">
        <v>2014</v>
      </c>
      <c r="B1642" s="1" t="n">
        <v>2</v>
      </c>
      <c r="C1642" s="2" t="s">
        <v>50</v>
      </c>
      <c r="D1642" s="3" t="s">
        <v>158</v>
      </c>
      <c r="E1642" s="3" t="n">
        <v>1</v>
      </c>
      <c r="F1642" s="1" t="n">
        <f aca="false">Y1642-X1642</f>
        <v>5</v>
      </c>
      <c r="G1642" s="1" t="n">
        <v>5</v>
      </c>
      <c r="H1642" s="3" t="s">
        <v>32</v>
      </c>
      <c r="I1642" s="3" t="s">
        <v>84</v>
      </c>
      <c r="J1642" s="3" t="s">
        <v>181</v>
      </c>
      <c r="K1642" s="2" t="str">
        <f aca="false">CONCATENATE(I1642," ",J1642)</f>
        <v>Walckenaeria cucullata</v>
      </c>
      <c r="L1642" s="3" t="n">
        <f aca="false">SUM(P1642:U1642)</f>
        <v>1</v>
      </c>
      <c r="M1642" s="11" t="n">
        <f aca="false">(L1642/(F1642*G1642)*25)*4</f>
        <v>4</v>
      </c>
      <c r="N1642" s="1" t="s">
        <v>30</v>
      </c>
      <c r="O1642" s="1" t="s">
        <v>31</v>
      </c>
      <c r="P1642" s="3" t="n">
        <v>1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f aca="false">SUM(P1642:Q1642)</f>
        <v>1</v>
      </c>
      <c r="W1642" s="3" t="n">
        <f aca="false">SUM(R1642:T1642)</f>
        <v>0</v>
      </c>
      <c r="X1642" s="22" t="n">
        <v>41869</v>
      </c>
      <c r="Y1642" s="22" t="n">
        <v>41874</v>
      </c>
    </row>
    <row r="1643" customFormat="false" ht="14.25" hidden="false" customHeight="false" outlineLevel="0" collapsed="false">
      <c r="A1643" s="1" t="n">
        <v>2014</v>
      </c>
      <c r="B1643" s="1" t="n">
        <v>2</v>
      </c>
      <c r="C1643" s="2" t="s">
        <v>50</v>
      </c>
      <c r="D1643" s="3" t="s">
        <v>158</v>
      </c>
      <c r="E1643" s="3" t="n">
        <v>1</v>
      </c>
      <c r="F1643" s="1" t="n">
        <f aca="false">Y1643-X1643</f>
        <v>5</v>
      </c>
      <c r="G1643" s="1" t="n">
        <v>5</v>
      </c>
      <c r="H1643" s="3" t="s">
        <v>32</v>
      </c>
      <c r="I1643" s="3" t="s">
        <v>57</v>
      </c>
      <c r="J1643" s="3" t="s">
        <v>38</v>
      </c>
      <c r="K1643" s="2" t="str">
        <f aca="false">CONCATENATE(I1643," ",J1643)</f>
        <v>Gen sp</v>
      </c>
      <c r="L1643" s="3" t="n">
        <f aca="false">SUM(P1643:U1643)</f>
        <v>1</v>
      </c>
      <c r="M1643" s="11" t="n">
        <f aca="false">(L1643/(F1643*G1643)*25)*4</f>
        <v>4</v>
      </c>
      <c r="N1643" s="1" t="s">
        <v>19</v>
      </c>
      <c r="O1643" s="1" t="s">
        <v>54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1</v>
      </c>
      <c r="U1643" s="3" t="n">
        <v>0</v>
      </c>
      <c r="V1643" s="3" t="n">
        <f aca="false">SUM(P1643:Q1643)</f>
        <v>0</v>
      </c>
      <c r="W1643" s="3" t="n">
        <f aca="false">SUM(R1643:T1643)</f>
        <v>1</v>
      </c>
      <c r="X1643" s="22" t="n">
        <v>41869</v>
      </c>
      <c r="Y1643" s="22" t="n">
        <v>41874</v>
      </c>
    </row>
    <row r="1644" customFormat="false" ht="14.25" hidden="false" customHeight="false" outlineLevel="0" collapsed="false">
      <c r="A1644" s="1" t="n">
        <v>2014</v>
      </c>
      <c r="B1644" s="1" t="n">
        <v>2</v>
      </c>
      <c r="C1644" s="2" t="s">
        <v>50</v>
      </c>
      <c r="D1644" s="3" t="s">
        <v>158</v>
      </c>
      <c r="E1644" s="3" t="n">
        <v>1</v>
      </c>
      <c r="F1644" s="1" t="n">
        <f aca="false">Y1644-X1644</f>
        <v>5</v>
      </c>
      <c r="G1644" s="1" t="n">
        <v>5</v>
      </c>
      <c r="H1644" s="3" t="s">
        <v>36</v>
      </c>
      <c r="I1644" s="3" t="s">
        <v>37</v>
      </c>
      <c r="J1644" s="3" t="s">
        <v>75</v>
      </c>
      <c r="K1644" s="2" t="str">
        <f aca="false">CONCATENATE(I1644," ",J1644)</f>
        <v>Ozyptila praticola</v>
      </c>
      <c r="L1644" s="3" t="n">
        <f aca="false">SUM(P1644:U1644)</f>
        <v>1</v>
      </c>
      <c r="M1644" s="11" t="n">
        <f aca="false">(L1644/(F1644*G1644)*25)*4</f>
        <v>4</v>
      </c>
      <c r="N1644" s="1" t="s">
        <v>30</v>
      </c>
      <c r="O1644" s="1" t="s">
        <v>31</v>
      </c>
      <c r="P1644" s="3" t="n">
        <v>1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f aca="false">SUM(P1644:Q1644)</f>
        <v>1</v>
      </c>
      <c r="W1644" s="3" t="n">
        <f aca="false">SUM(R1644:T1644)</f>
        <v>0</v>
      </c>
      <c r="X1644" s="22" t="n">
        <v>41869</v>
      </c>
      <c r="Y1644" s="22" t="n">
        <v>41874</v>
      </c>
    </row>
    <row r="1645" customFormat="false" ht="14.25" hidden="false" customHeight="false" outlineLevel="0" collapsed="false">
      <c r="A1645" s="1" t="n">
        <v>2014</v>
      </c>
      <c r="B1645" s="1" t="n">
        <v>2</v>
      </c>
      <c r="C1645" s="2" t="s">
        <v>50</v>
      </c>
      <c r="D1645" s="3" t="s">
        <v>158</v>
      </c>
      <c r="E1645" s="3" t="n">
        <v>1</v>
      </c>
      <c r="F1645" s="1" t="n">
        <f aca="false">Y1645-X1645</f>
        <v>5</v>
      </c>
      <c r="G1645" s="1" t="n">
        <v>5</v>
      </c>
      <c r="H1645" s="3" t="s">
        <v>48</v>
      </c>
      <c r="I1645" s="3" t="s">
        <v>61</v>
      </c>
      <c r="J1645" s="3" t="s">
        <v>82</v>
      </c>
      <c r="K1645" s="2" t="str">
        <f aca="false">CONCATENATE(I1645," ",J1645)</f>
        <v>Trochosa terricola</v>
      </c>
      <c r="L1645" s="3" t="n">
        <f aca="false">SUM(P1645:U1645)</f>
        <v>1</v>
      </c>
      <c r="M1645" s="11" t="n">
        <f aca="false">(L1645/(F1645*G1645)*25)*4</f>
        <v>4</v>
      </c>
      <c r="N1645" s="1" t="s">
        <v>30</v>
      </c>
      <c r="O1645" s="1" t="s">
        <v>31</v>
      </c>
      <c r="P1645" s="3" t="n">
        <v>1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f aca="false">SUM(P1645:Q1645)</f>
        <v>1</v>
      </c>
      <c r="W1645" s="3" t="n">
        <f aca="false">SUM(R1645:T1645)</f>
        <v>0</v>
      </c>
      <c r="X1645" s="22" t="n">
        <v>41869</v>
      </c>
      <c r="Y1645" s="22" t="n">
        <v>41874</v>
      </c>
    </row>
    <row r="1646" customFormat="false" ht="14.25" hidden="false" customHeight="false" outlineLevel="0" collapsed="false">
      <c r="A1646" s="1" t="n">
        <v>2014</v>
      </c>
      <c r="B1646" s="1" t="n">
        <v>2</v>
      </c>
      <c r="C1646" s="2" t="s">
        <v>50</v>
      </c>
      <c r="D1646" s="3" t="s">
        <v>158</v>
      </c>
      <c r="E1646" s="3" t="n">
        <v>1</v>
      </c>
      <c r="F1646" s="1" t="n">
        <f aca="false">Y1646-X1646</f>
        <v>5</v>
      </c>
      <c r="G1646" s="1" t="n">
        <v>5</v>
      </c>
      <c r="H1646" s="3" t="s">
        <v>48</v>
      </c>
      <c r="I1646" s="3" t="s">
        <v>61</v>
      </c>
      <c r="J1646" s="3" t="s">
        <v>82</v>
      </c>
      <c r="K1646" s="2" t="str">
        <f aca="false">CONCATENATE(I1646," ",J1646)</f>
        <v>Trochosa terricola</v>
      </c>
      <c r="L1646" s="3" t="n">
        <f aca="false">SUM(P1646:U1646)</f>
        <v>3</v>
      </c>
      <c r="M1646" s="11" t="n">
        <f aca="false">(L1646/(F1646*G1646)*25)*4</f>
        <v>12</v>
      </c>
      <c r="N1646" s="1" t="s">
        <v>30</v>
      </c>
      <c r="O1646" s="1" t="s">
        <v>35</v>
      </c>
      <c r="P1646" s="3" t="n">
        <v>0</v>
      </c>
      <c r="Q1646" s="3" t="n">
        <v>3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f aca="false">SUM(P1646:Q1646)</f>
        <v>3</v>
      </c>
      <c r="W1646" s="3" t="n">
        <f aca="false">SUM(R1646:T1646)</f>
        <v>0</v>
      </c>
      <c r="X1646" s="22" t="n">
        <v>41869</v>
      </c>
      <c r="Y1646" s="22" t="n">
        <v>41874</v>
      </c>
    </row>
    <row r="1647" customFormat="false" ht="14.25" hidden="false" customHeight="false" outlineLevel="0" collapsed="false">
      <c r="A1647" s="1" t="n">
        <v>2014</v>
      </c>
      <c r="B1647" s="1" t="n">
        <v>2</v>
      </c>
      <c r="C1647" s="2" t="s">
        <v>50</v>
      </c>
      <c r="D1647" s="3" t="s">
        <v>158</v>
      </c>
      <c r="E1647" s="3" t="n">
        <v>1</v>
      </c>
      <c r="F1647" s="1" t="n">
        <f aca="false">Y1647-X1647</f>
        <v>5</v>
      </c>
      <c r="G1647" s="1" t="n">
        <v>5</v>
      </c>
      <c r="H1647" s="3" t="s">
        <v>48</v>
      </c>
      <c r="I1647" s="3" t="s">
        <v>49</v>
      </c>
      <c r="J1647" s="3" t="s">
        <v>38</v>
      </c>
      <c r="K1647" s="2" t="str">
        <f aca="false">CONCATENATE(I1647," ",J1647)</f>
        <v>Alopecosa sp</v>
      </c>
      <c r="L1647" s="3" t="n">
        <f aca="false">SUM(P1647:U1647)</f>
        <v>1</v>
      </c>
      <c r="M1647" s="11" t="n">
        <f aca="false">(L1647/(F1647*G1647)*25)*4</f>
        <v>4</v>
      </c>
      <c r="N1647" s="1" t="s">
        <v>19</v>
      </c>
      <c r="O1647" s="1" t="s">
        <v>35</v>
      </c>
      <c r="P1647" s="3" t="n">
        <v>0</v>
      </c>
      <c r="Q1647" s="3" t="n">
        <v>0</v>
      </c>
      <c r="R1647" s="3" t="n">
        <v>0</v>
      </c>
      <c r="S1647" s="3" t="n">
        <v>1</v>
      </c>
      <c r="T1647" s="3" t="n">
        <v>0</v>
      </c>
      <c r="U1647" s="3" t="n">
        <v>0</v>
      </c>
      <c r="V1647" s="3" t="n">
        <f aca="false">SUM(P1647:Q1647)</f>
        <v>0</v>
      </c>
      <c r="W1647" s="3" t="n">
        <f aca="false">SUM(R1647:T1647)</f>
        <v>1</v>
      </c>
      <c r="X1647" s="22" t="n">
        <v>41869</v>
      </c>
      <c r="Y1647" s="22" t="n">
        <v>41874</v>
      </c>
    </row>
    <row r="1648" customFormat="false" ht="14.25" hidden="false" customHeight="false" outlineLevel="0" collapsed="false">
      <c r="A1648" s="1" t="n">
        <v>2014</v>
      </c>
      <c r="B1648" s="1" t="n">
        <v>2</v>
      </c>
      <c r="C1648" s="2" t="s">
        <v>50</v>
      </c>
      <c r="D1648" s="3" t="s">
        <v>158</v>
      </c>
      <c r="E1648" s="3" t="n">
        <v>1</v>
      </c>
      <c r="F1648" s="1" t="n">
        <f aca="false">Y1648-X1648</f>
        <v>5</v>
      </c>
      <c r="G1648" s="1" t="n">
        <v>5</v>
      </c>
      <c r="H1648" s="3" t="s">
        <v>32</v>
      </c>
      <c r="I1648" s="3" t="s">
        <v>93</v>
      </c>
      <c r="J1648" s="3" t="s">
        <v>94</v>
      </c>
      <c r="K1648" s="2" t="str">
        <f aca="false">CONCATENATE(I1648," ",J1648)</f>
        <v>Anguliphantes angulipalpis</v>
      </c>
      <c r="L1648" s="3" t="n">
        <f aca="false">SUM(P1648:U1648)</f>
        <v>1</v>
      </c>
      <c r="M1648" s="11" t="n">
        <f aca="false">(L1648/(F1648*G1648)*25)*4</f>
        <v>4</v>
      </c>
      <c r="N1648" s="1" t="s">
        <v>30</v>
      </c>
      <c r="O1648" s="1" t="s">
        <v>35</v>
      </c>
      <c r="P1648" s="3" t="n">
        <v>0</v>
      </c>
      <c r="Q1648" s="3" t="n">
        <v>1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f aca="false">SUM(P1648:Q1648)</f>
        <v>1</v>
      </c>
      <c r="W1648" s="3" t="n">
        <f aca="false">SUM(R1648:T1648)</f>
        <v>0</v>
      </c>
      <c r="X1648" s="22" t="n">
        <v>41869</v>
      </c>
      <c r="Y1648" s="22" t="n">
        <v>41874</v>
      </c>
    </row>
    <row r="1649" customFormat="false" ht="14.25" hidden="false" customHeight="false" outlineLevel="0" collapsed="false">
      <c r="A1649" s="1" t="n">
        <v>2014</v>
      </c>
      <c r="B1649" s="1" t="n">
        <v>2</v>
      </c>
      <c r="C1649" s="2" t="s">
        <v>50</v>
      </c>
      <c r="D1649" s="3" t="s">
        <v>158</v>
      </c>
      <c r="E1649" s="3" t="n">
        <v>1</v>
      </c>
      <c r="F1649" s="1" t="n">
        <f aca="false">Y1649-X1649</f>
        <v>5</v>
      </c>
      <c r="G1649" s="1" t="n">
        <v>5</v>
      </c>
      <c r="H1649" s="3" t="s">
        <v>48</v>
      </c>
      <c r="I1649" s="3" t="s">
        <v>61</v>
      </c>
      <c r="J1649" s="3" t="s">
        <v>82</v>
      </c>
      <c r="K1649" s="2" t="str">
        <f aca="false">CONCATENATE(I1649," ",J1649)</f>
        <v>Trochosa terricola</v>
      </c>
      <c r="L1649" s="3" t="n">
        <f aca="false">SUM(P1649:U1649)</f>
        <v>1</v>
      </c>
      <c r="M1649" s="11" t="n">
        <f aca="false">(L1649/(F1649*G1649)*25)*4</f>
        <v>4</v>
      </c>
      <c r="N1649" s="1" t="s">
        <v>30</v>
      </c>
      <c r="O1649" s="1" t="s">
        <v>31</v>
      </c>
      <c r="P1649" s="3" t="n">
        <v>1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f aca="false">SUM(P1649:Q1649)</f>
        <v>1</v>
      </c>
      <c r="W1649" s="3" t="n">
        <f aca="false">SUM(R1649:T1649)</f>
        <v>0</v>
      </c>
      <c r="X1649" s="22" t="n">
        <v>41869</v>
      </c>
      <c r="Y1649" s="22" t="n">
        <v>41874</v>
      </c>
    </row>
    <row r="1650" customFormat="false" ht="14.25" hidden="false" customHeight="false" outlineLevel="0" collapsed="false">
      <c r="A1650" s="1" t="n">
        <v>2014</v>
      </c>
      <c r="B1650" s="1" t="n">
        <v>2</v>
      </c>
      <c r="C1650" s="2" t="s">
        <v>50</v>
      </c>
      <c r="D1650" s="3" t="s">
        <v>158</v>
      </c>
      <c r="E1650" s="3" t="n">
        <v>1</v>
      </c>
      <c r="F1650" s="1" t="n">
        <f aca="false">Y1650-X1650</f>
        <v>5</v>
      </c>
      <c r="G1650" s="1" t="n">
        <v>5</v>
      </c>
      <c r="H1650" s="3" t="s">
        <v>48</v>
      </c>
      <c r="I1650" s="3" t="s">
        <v>61</v>
      </c>
      <c r="J1650" s="3" t="s">
        <v>82</v>
      </c>
      <c r="K1650" s="2" t="str">
        <f aca="false">CONCATENATE(I1650," ",J1650)</f>
        <v>Trochosa terricola</v>
      </c>
      <c r="L1650" s="3" t="n">
        <f aca="false">SUM(P1650:U1650)</f>
        <v>1</v>
      </c>
      <c r="M1650" s="11" t="n">
        <f aca="false">(L1650/(F1650*G1650)*25)*4</f>
        <v>4</v>
      </c>
      <c r="N1650" s="1" t="s">
        <v>30</v>
      </c>
      <c r="O1650" s="1" t="s">
        <v>35</v>
      </c>
      <c r="P1650" s="3" t="n">
        <v>0</v>
      </c>
      <c r="Q1650" s="3" t="n">
        <v>1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f aca="false">SUM(P1650:Q1650)</f>
        <v>1</v>
      </c>
      <c r="W1650" s="3" t="n">
        <f aca="false">SUM(R1650:T1650)</f>
        <v>0</v>
      </c>
      <c r="X1650" s="22" t="n">
        <v>41869</v>
      </c>
      <c r="Y1650" s="22" t="n">
        <v>41874</v>
      </c>
    </row>
    <row r="1651" customFormat="false" ht="14.25" hidden="false" customHeight="false" outlineLevel="0" collapsed="false">
      <c r="A1651" s="1" t="n">
        <v>2014</v>
      </c>
      <c r="B1651" s="1" t="n">
        <v>2</v>
      </c>
      <c r="C1651" s="2" t="s">
        <v>50</v>
      </c>
      <c r="D1651" s="3" t="s">
        <v>158</v>
      </c>
      <c r="E1651" s="3" t="n">
        <v>1</v>
      </c>
      <c r="F1651" s="1" t="n">
        <f aca="false">Y1651-X1651</f>
        <v>5</v>
      </c>
      <c r="G1651" s="1" t="n">
        <v>5</v>
      </c>
      <c r="H1651" s="3" t="s">
        <v>72</v>
      </c>
      <c r="I1651" s="3" t="s">
        <v>73</v>
      </c>
      <c r="J1651" s="3" t="s">
        <v>74</v>
      </c>
      <c r="K1651" s="2" t="str">
        <f aca="false">CONCATENATE(I1651," ",J1651)</f>
        <v>Zelotes subterraneus</v>
      </c>
      <c r="L1651" s="3" t="n">
        <f aca="false">SUM(P1651:U1651)</f>
        <v>2</v>
      </c>
      <c r="M1651" s="11" t="n">
        <f aca="false">(L1651/(F1651*G1651)*25)*4</f>
        <v>8</v>
      </c>
      <c r="N1651" s="1" t="s">
        <v>30</v>
      </c>
      <c r="O1651" s="1" t="s">
        <v>31</v>
      </c>
      <c r="P1651" s="3" t="n">
        <v>2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f aca="false">SUM(P1651:Q1651)</f>
        <v>2</v>
      </c>
      <c r="W1651" s="3" t="n">
        <f aca="false">SUM(R1651:T1651)</f>
        <v>0</v>
      </c>
      <c r="X1651" s="22" t="n">
        <v>41869</v>
      </c>
      <c r="Y1651" s="22" t="n">
        <v>41874</v>
      </c>
    </row>
    <row r="1652" customFormat="false" ht="14.25" hidden="false" customHeight="false" outlineLevel="0" collapsed="false">
      <c r="A1652" s="1" t="n">
        <v>2014</v>
      </c>
      <c r="B1652" s="1" t="n">
        <v>2</v>
      </c>
      <c r="C1652" s="2" t="s">
        <v>50</v>
      </c>
      <c r="D1652" s="3" t="s">
        <v>158</v>
      </c>
      <c r="E1652" s="3" t="n">
        <v>1</v>
      </c>
      <c r="F1652" s="1" t="n">
        <f aca="false">Y1652-X1652</f>
        <v>5</v>
      </c>
      <c r="G1652" s="1" t="n">
        <v>5</v>
      </c>
      <c r="H1652" s="3" t="s">
        <v>72</v>
      </c>
      <c r="I1652" s="3" t="s">
        <v>73</v>
      </c>
      <c r="J1652" s="3" t="s">
        <v>74</v>
      </c>
      <c r="K1652" s="2" t="str">
        <f aca="false">CONCATENATE(I1652," ",J1652)</f>
        <v>Zelotes subterraneus</v>
      </c>
      <c r="L1652" s="3" t="n">
        <f aca="false">SUM(P1652:U1652)</f>
        <v>1</v>
      </c>
      <c r="M1652" s="11" t="n">
        <f aca="false">(L1652/(F1652*G1652)*25)*4</f>
        <v>4</v>
      </c>
      <c r="N1652" s="1" t="s">
        <v>30</v>
      </c>
      <c r="O1652" s="1" t="s">
        <v>35</v>
      </c>
      <c r="P1652" s="3" t="n">
        <v>0</v>
      </c>
      <c r="Q1652" s="3" t="n">
        <v>1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f aca="false">SUM(P1652:Q1652)</f>
        <v>1</v>
      </c>
      <c r="W1652" s="3" t="n">
        <f aca="false">SUM(R1652:T1652)</f>
        <v>0</v>
      </c>
      <c r="X1652" s="22" t="n">
        <v>41869</v>
      </c>
      <c r="Y1652" s="22" t="n">
        <v>41874</v>
      </c>
    </row>
    <row r="1653" customFormat="false" ht="14.25" hidden="false" customHeight="false" outlineLevel="0" collapsed="false">
      <c r="A1653" s="1" t="n">
        <v>2014</v>
      </c>
      <c r="B1653" s="1" t="n">
        <v>2</v>
      </c>
      <c r="C1653" s="2" t="s">
        <v>50</v>
      </c>
      <c r="D1653" s="3" t="s">
        <v>158</v>
      </c>
      <c r="E1653" s="3" t="n">
        <v>1</v>
      </c>
      <c r="F1653" s="1" t="n">
        <f aca="false">Y1653-X1653</f>
        <v>5</v>
      </c>
      <c r="G1653" s="1" t="n">
        <v>5</v>
      </c>
      <c r="H1653" s="3" t="s">
        <v>72</v>
      </c>
      <c r="I1653" s="3" t="s">
        <v>73</v>
      </c>
      <c r="J1653" s="3" t="s">
        <v>38</v>
      </c>
      <c r="K1653" s="2" t="str">
        <f aca="false">CONCATENATE(I1653," ",J1653)</f>
        <v>Zelotes sp</v>
      </c>
      <c r="L1653" s="3" t="n">
        <f aca="false">SUM(P1653:U1653)</f>
        <v>1</v>
      </c>
      <c r="M1653" s="11" t="n">
        <f aca="false">(L1653/(F1653*G1653)*25)*4</f>
        <v>4</v>
      </c>
      <c r="N1653" s="1" t="s">
        <v>19</v>
      </c>
      <c r="O1653" s="1" t="s">
        <v>54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1</v>
      </c>
      <c r="U1653" s="3" t="n">
        <v>0</v>
      </c>
      <c r="V1653" s="3" t="n">
        <f aca="false">SUM(P1653:Q1653)</f>
        <v>0</v>
      </c>
      <c r="W1653" s="3" t="n">
        <f aca="false">SUM(R1653:T1653)</f>
        <v>1</v>
      </c>
      <c r="X1653" s="22" t="n">
        <v>41869</v>
      </c>
      <c r="Y1653" s="22" t="n">
        <v>41874</v>
      </c>
    </row>
    <row r="1654" customFormat="false" ht="14.25" hidden="false" customHeight="false" outlineLevel="0" collapsed="false">
      <c r="A1654" s="1" t="n">
        <v>2014</v>
      </c>
      <c r="B1654" s="1" t="n">
        <v>2</v>
      </c>
      <c r="C1654" s="2" t="s">
        <v>50</v>
      </c>
      <c r="D1654" s="3" t="s">
        <v>158</v>
      </c>
      <c r="E1654" s="3" t="n">
        <v>1</v>
      </c>
      <c r="F1654" s="1" t="n">
        <f aca="false">Y1654-X1654</f>
        <v>5</v>
      </c>
      <c r="G1654" s="1" t="n">
        <v>5</v>
      </c>
      <c r="H1654" s="3" t="s">
        <v>36</v>
      </c>
      <c r="I1654" s="3" t="s">
        <v>37</v>
      </c>
      <c r="J1654" s="3" t="s">
        <v>75</v>
      </c>
      <c r="K1654" s="2" t="str">
        <f aca="false">CONCATENATE(I1654," ",J1654)</f>
        <v>Ozyptila praticola</v>
      </c>
      <c r="L1654" s="3" t="n">
        <f aca="false">SUM(P1654:U1654)</f>
        <v>2</v>
      </c>
      <c r="M1654" s="11" t="n">
        <f aca="false">(L1654/(F1654*G1654)*25)*4</f>
        <v>8</v>
      </c>
      <c r="N1654" s="1" t="s">
        <v>30</v>
      </c>
      <c r="O1654" s="1" t="s">
        <v>31</v>
      </c>
      <c r="P1654" s="3" t="n">
        <v>2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f aca="false">SUM(P1654:Q1654)</f>
        <v>2</v>
      </c>
      <c r="W1654" s="3" t="n">
        <f aca="false">SUM(R1654:T1654)</f>
        <v>0</v>
      </c>
      <c r="X1654" s="22" t="n">
        <v>41869</v>
      </c>
      <c r="Y1654" s="22" t="n">
        <v>41874</v>
      </c>
    </row>
    <row r="1655" customFormat="false" ht="14.25" hidden="false" customHeight="false" outlineLevel="0" collapsed="false">
      <c r="A1655" s="1" t="n">
        <v>2014</v>
      </c>
      <c r="B1655" s="1" t="n">
        <v>2</v>
      </c>
      <c r="C1655" s="2" t="s">
        <v>50</v>
      </c>
      <c r="D1655" s="3" t="s">
        <v>158</v>
      </c>
      <c r="E1655" s="3" t="n">
        <v>1</v>
      </c>
      <c r="F1655" s="1" t="n">
        <f aca="false">Y1655-X1655</f>
        <v>5</v>
      </c>
      <c r="G1655" s="1" t="n">
        <v>5</v>
      </c>
      <c r="H1655" s="3" t="s">
        <v>48</v>
      </c>
      <c r="I1655" s="3" t="s">
        <v>67</v>
      </c>
      <c r="J1655" s="3" t="s">
        <v>127</v>
      </c>
      <c r="K1655" s="2" t="str">
        <f aca="false">CONCATENATE(I1655," ",J1655)</f>
        <v>Pardosa lugubris</v>
      </c>
      <c r="L1655" s="3" t="n">
        <f aca="false">SUM(P1655:U1655)</f>
        <v>1</v>
      </c>
      <c r="M1655" s="11" t="n">
        <f aca="false">(L1655/(F1655*G1655)*25)*4</f>
        <v>4</v>
      </c>
      <c r="N1655" s="1" t="s">
        <v>30</v>
      </c>
      <c r="O1655" s="1" t="s">
        <v>35</v>
      </c>
      <c r="P1655" s="3" t="n">
        <v>0</v>
      </c>
      <c r="Q1655" s="3" t="n">
        <v>1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f aca="false">SUM(P1655:Q1655)</f>
        <v>1</v>
      </c>
      <c r="W1655" s="3" t="n">
        <f aca="false">SUM(R1655:T1655)</f>
        <v>0</v>
      </c>
      <c r="X1655" s="22" t="n">
        <v>41869</v>
      </c>
      <c r="Y1655" s="22" t="n">
        <v>41874</v>
      </c>
    </row>
    <row r="1656" customFormat="false" ht="14.25" hidden="false" customHeight="false" outlineLevel="0" collapsed="false">
      <c r="A1656" s="1" t="n">
        <v>2014</v>
      </c>
      <c r="B1656" s="1" t="n">
        <v>2</v>
      </c>
      <c r="C1656" s="2" t="s">
        <v>50</v>
      </c>
      <c r="D1656" s="3" t="s">
        <v>158</v>
      </c>
      <c r="E1656" s="3" t="n">
        <v>1</v>
      </c>
      <c r="F1656" s="1" t="n">
        <f aca="false">Y1656-X1656</f>
        <v>5</v>
      </c>
      <c r="G1656" s="1" t="n">
        <v>5</v>
      </c>
      <c r="H1656" s="3" t="s">
        <v>48</v>
      </c>
      <c r="I1656" s="3" t="s">
        <v>61</v>
      </c>
      <c r="J1656" s="3" t="s">
        <v>38</v>
      </c>
      <c r="K1656" s="2" t="str">
        <f aca="false">CONCATENATE(I1656," ",J1656)</f>
        <v>Trochosa sp</v>
      </c>
      <c r="L1656" s="3" t="n">
        <f aca="false">SUM(P1656:U1656)</f>
        <v>1</v>
      </c>
      <c r="M1656" s="11" t="n">
        <f aca="false">(L1656/(F1656*G1656)*25)*4</f>
        <v>4</v>
      </c>
      <c r="N1656" s="1" t="s">
        <v>19</v>
      </c>
      <c r="O1656" s="1" t="s">
        <v>54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1</v>
      </c>
      <c r="U1656" s="3" t="n">
        <v>0</v>
      </c>
      <c r="V1656" s="3" t="n">
        <f aca="false">SUM(P1656:Q1656)</f>
        <v>0</v>
      </c>
      <c r="W1656" s="3" t="n">
        <f aca="false">SUM(R1656:T1656)</f>
        <v>1</v>
      </c>
      <c r="X1656" s="22" t="n">
        <v>41869</v>
      </c>
      <c r="Y1656" s="22" t="n">
        <v>41874</v>
      </c>
    </row>
    <row r="1657" customFormat="false" ht="14.25" hidden="false" customHeight="false" outlineLevel="0" collapsed="false">
      <c r="A1657" s="1" t="n">
        <v>2014</v>
      </c>
      <c r="B1657" s="1" t="n">
        <v>2</v>
      </c>
      <c r="C1657" s="2" t="s">
        <v>50</v>
      </c>
      <c r="D1657" s="3" t="s">
        <v>158</v>
      </c>
      <c r="E1657" s="3" t="n">
        <v>1</v>
      </c>
      <c r="F1657" s="1" t="n">
        <f aca="false">Y1657-X1657</f>
        <v>5</v>
      </c>
      <c r="G1657" s="1" t="n">
        <v>5</v>
      </c>
      <c r="H1657" s="3" t="s">
        <v>48</v>
      </c>
      <c r="I1657" s="3" t="s">
        <v>57</v>
      </c>
      <c r="J1657" s="3" t="s">
        <v>38</v>
      </c>
      <c r="K1657" s="2" t="str">
        <f aca="false">CONCATENATE(I1657," ",J1657)</f>
        <v>Gen sp</v>
      </c>
      <c r="L1657" s="3" t="n">
        <f aca="false">SUM(P1657:U1657)</f>
        <v>3</v>
      </c>
      <c r="M1657" s="11" t="n">
        <f aca="false">(L1657/(F1657*G1657)*25)*4</f>
        <v>12</v>
      </c>
      <c r="N1657" s="1" t="s">
        <v>19</v>
      </c>
      <c r="O1657" s="1" t="s">
        <v>54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3</v>
      </c>
      <c r="U1657" s="3" t="n">
        <v>0</v>
      </c>
      <c r="V1657" s="3" t="n">
        <f aca="false">SUM(P1657:Q1657)</f>
        <v>0</v>
      </c>
      <c r="W1657" s="3" t="n">
        <f aca="false">SUM(R1657:T1657)</f>
        <v>3</v>
      </c>
      <c r="X1657" s="22" t="n">
        <v>41869</v>
      </c>
      <c r="Y1657" s="22" t="n">
        <v>41874</v>
      </c>
    </row>
    <row r="1658" customFormat="false" ht="14.25" hidden="false" customHeight="false" outlineLevel="0" collapsed="false">
      <c r="A1658" s="1" t="n">
        <v>2014</v>
      </c>
      <c r="B1658" s="1" t="n">
        <v>2</v>
      </c>
      <c r="C1658" s="2" t="s">
        <v>50</v>
      </c>
      <c r="D1658" s="3" t="s">
        <v>158</v>
      </c>
      <c r="E1658" s="3" t="n">
        <v>2</v>
      </c>
      <c r="F1658" s="1" t="n">
        <f aca="false">Y1658-X1658</f>
        <v>5</v>
      </c>
      <c r="G1658" s="1" t="n">
        <v>5</v>
      </c>
      <c r="H1658" s="3" t="s">
        <v>48</v>
      </c>
      <c r="I1658" s="3" t="s">
        <v>61</v>
      </c>
      <c r="J1658" s="3" t="s">
        <v>82</v>
      </c>
      <c r="K1658" s="2" t="str">
        <f aca="false">CONCATENATE(I1658," ",J1658)</f>
        <v>Trochosa terricola</v>
      </c>
      <c r="L1658" s="3" t="n">
        <f aca="false">SUM(P1658:U1658)</f>
        <v>1</v>
      </c>
      <c r="M1658" s="11" t="n">
        <f aca="false">(L1658/(F1658*G1658)*25)*4</f>
        <v>4</v>
      </c>
      <c r="N1658" s="1" t="s">
        <v>30</v>
      </c>
      <c r="O1658" s="1" t="s">
        <v>31</v>
      </c>
      <c r="P1658" s="3" t="n">
        <v>1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f aca="false">SUM(P1658:Q1658)</f>
        <v>1</v>
      </c>
      <c r="W1658" s="3" t="n">
        <f aca="false">SUM(R1658:T1658)</f>
        <v>0</v>
      </c>
      <c r="X1658" s="22" t="n">
        <v>41869</v>
      </c>
      <c r="Y1658" s="22" t="n">
        <v>41874</v>
      </c>
    </row>
    <row r="1659" customFormat="false" ht="14.25" hidden="false" customHeight="false" outlineLevel="0" collapsed="false">
      <c r="A1659" s="1" t="n">
        <v>2014</v>
      </c>
      <c r="B1659" s="1" t="n">
        <v>2</v>
      </c>
      <c r="C1659" s="2" t="s">
        <v>50</v>
      </c>
      <c r="D1659" s="3" t="s">
        <v>158</v>
      </c>
      <c r="E1659" s="3" t="n">
        <v>2</v>
      </c>
      <c r="F1659" s="1" t="n">
        <f aca="false">Y1659-X1659</f>
        <v>5</v>
      </c>
      <c r="G1659" s="1" t="n">
        <v>5</v>
      </c>
      <c r="H1659" s="3" t="s">
        <v>48</v>
      </c>
      <c r="I1659" s="3" t="s">
        <v>61</v>
      </c>
      <c r="J1659" s="3" t="s">
        <v>82</v>
      </c>
      <c r="K1659" s="2" t="str">
        <f aca="false">CONCATENATE(I1659," ",J1659)</f>
        <v>Trochosa terricola</v>
      </c>
      <c r="L1659" s="3" t="n">
        <f aca="false">SUM(P1659:U1659)</f>
        <v>2</v>
      </c>
      <c r="M1659" s="11" t="n">
        <f aca="false">(L1659/(F1659*G1659)*25)*4</f>
        <v>8</v>
      </c>
      <c r="N1659" s="1" t="s">
        <v>30</v>
      </c>
      <c r="O1659" s="1" t="s">
        <v>35</v>
      </c>
      <c r="P1659" s="3" t="n">
        <v>0</v>
      </c>
      <c r="Q1659" s="3" t="n">
        <v>2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f aca="false">SUM(P1659:Q1659)</f>
        <v>2</v>
      </c>
      <c r="W1659" s="3" t="n">
        <f aca="false">SUM(R1659:T1659)</f>
        <v>0</v>
      </c>
      <c r="X1659" s="22" t="n">
        <v>41869</v>
      </c>
      <c r="Y1659" s="22" t="n">
        <v>41874</v>
      </c>
    </row>
    <row r="1660" customFormat="false" ht="14.25" hidden="false" customHeight="false" outlineLevel="0" collapsed="false">
      <c r="A1660" s="1" t="n">
        <v>2014</v>
      </c>
      <c r="B1660" s="1" t="n">
        <v>2</v>
      </c>
      <c r="C1660" s="2" t="s">
        <v>50</v>
      </c>
      <c r="D1660" s="3" t="s">
        <v>158</v>
      </c>
      <c r="E1660" s="3" t="n">
        <v>2</v>
      </c>
      <c r="F1660" s="1" t="n">
        <f aca="false">Y1660-X1660</f>
        <v>5</v>
      </c>
      <c r="G1660" s="1" t="n">
        <v>5</v>
      </c>
      <c r="H1660" s="3" t="s">
        <v>48</v>
      </c>
      <c r="I1660" s="3" t="s">
        <v>49</v>
      </c>
      <c r="J1660" s="3" t="s">
        <v>38</v>
      </c>
      <c r="K1660" s="2" t="str">
        <f aca="false">CONCATENATE(I1660," ",J1660)</f>
        <v>Alopecosa sp</v>
      </c>
      <c r="L1660" s="3" t="n">
        <f aca="false">SUM(P1660:U1660)</f>
        <v>1</v>
      </c>
      <c r="M1660" s="11" t="n">
        <f aca="false">(L1660/(F1660*G1660)*25)*4</f>
        <v>4</v>
      </c>
      <c r="N1660" s="1" t="s">
        <v>19</v>
      </c>
      <c r="O1660" s="1" t="s">
        <v>54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1</v>
      </c>
      <c r="U1660" s="3" t="n">
        <v>0</v>
      </c>
      <c r="V1660" s="3" t="n">
        <f aca="false">SUM(P1660:Q1660)</f>
        <v>0</v>
      </c>
      <c r="W1660" s="3" t="n">
        <f aca="false">SUM(R1660:T1660)</f>
        <v>1</v>
      </c>
      <c r="X1660" s="22" t="n">
        <v>41869</v>
      </c>
      <c r="Y1660" s="22" t="n">
        <v>41874</v>
      </c>
    </row>
    <row r="1661" customFormat="false" ht="14.25" hidden="false" customHeight="false" outlineLevel="0" collapsed="false">
      <c r="A1661" s="1" t="n">
        <v>2014</v>
      </c>
      <c r="B1661" s="1" t="n">
        <v>2</v>
      </c>
      <c r="C1661" s="2" t="s">
        <v>50</v>
      </c>
      <c r="D1661" s="3" t="s">
        <v>158</v>
      </c>
      <c r="E1661" s="3" t="n">
        <v>2</v>
      </c>
      <c r="F1661" s="1" t="n">
        <f aca="false">Y1661-X1661</f>
        <v>5</v>
      </c>
      <c r="G1661" s="1" t="n">
        <v>5</v>
      </c>
      <c r="H1661" s="3" t="s">
        <v>36</v>
      </c>
      <c r="I1661" s="3" t="s">
        <v>37</v>
      </c>
      <c r="J1661" s="3" t="s">
        <v>75</v>
      </c>
      <c r="K1661" s="2" t="str">
        <f aca="false">CONCATENATE(I1661," ",J1661)</f>
        <v>Ozyptila praticola</v>
      </c>
      <c r="L1661" s="3" t="n">
        <f aca="false">SUM(P1661:U1661)</f>
        <v>1</v>
      </c>
      <c r="M1661" s="11" t="n">
        <f aca="false">(L1661/(F1661*G1661)*25)*4</f>
        <v>4</v>
      </c>
      <c r="N1661" s="1" t="s">
        <v>30</v>
      </c>
      <c r="O1661" s="1" t="s">
        <v>31</v>
      </c>
      <c r="P1661" s="3" t="n">
        <v>1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f aca="false">SUM(P1661:Q1661)</f>
        <v>1</v>
      </c>
      <c r="W1661" s="3" t="n">
        <f aca="false">SUM(R1661:T1661)</f>
        <v>0</v>
      </c>
      <c r="X1661" s="22" t="n">
        <v>41869</v>
      </c>
      <c r="Y1661" s="22" t="n">
        <v>41874</v>
      </c>
    </row>
    <row r="1662" customFormat="false" ht="14.25" hidden="false" customHeight="false" outlineLevel="0" collapsed="false">
      <c r="A1662" s="1" t="n">
        <v>2014</v>
      </c>
      <c r="B1662" s="1" t="n">
        <v>2</v>
      </c>
      <c r="C1662" s="2" t="s">
        <v>50</v>
      </c>
      <c r="D1662" s="3" t="s">
        <v>158</v>
      </c>
      <c r="E1662" s="3" t="n">
        <v>2</v>
      </c>
      <c r="F1662" s="1" t="n">
        <f aca="false">Y1662-X1662</f>
        <v>5</v>
      </c>
      <c r="G1662" s="1" t="n">
        <v>5</v>
      </c>
      <c r="H1662" s="3" t="s">
        <v>48</v>
      </c>
      <c r="I1662" s="3" t="s">
        <v>61</v>
      </c>
      <c r="J1662" s="3" t="s">
        <v>82</v>
      </c>
      <c r="K1662" s="2" t="str">
        <f aca="false">CONCATENATE(I1662," ",J1662)</f>
        <v>Trochosa terricola</v>
      </c>
      <c r="L1662" s="3" t="n">
        <f aca="false">SUM(P1662:U1662)</f>
        <v>1</v>
      </c>
      <c r="M1662" s="11" t="n">
        <f aca="false">(L1662/(F1662*G1662)*25)*4</f>
        <v>4</v>
      </c>
      <c r="N1662" s="1" t="s">
        <v>30</v>
      </c>
      <c r="O1662" s="1" t="s">
        <v>31</v>
      </c>
      <c r="P1662" s="3" t="n">
        <v>1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f aca="false">SUM(P1662:Q1662)</f>
        <v>1</v>
      </c>
      <c r="W1662" s="3" t="n">
        <f aca="false">SUM(R1662:T1662)</f>
        <v>0</v>
      </c>
      <c r="X1662" s="22" t="n">
        <v>41869</v>
      </c>
      <c r="Y1662" s="22" t="n">
        <v>41874</v>
      </c>
    </row>
    <row r="1663" customFormat="false" ht="14.25" hidden="false" customHeight="false" outlineLevel="0" collapsed="false">
      <c r="A1663" s="1" t="n">
        <v>2014</v>
      </c>
      <c r="B1663" s="1" t="n">
        <v>2</v>
      </c>
      <c r="C1663" s="2" t="s">
        <v>50</v>
      </c>
      <c r="D1663" s="3" t="s">
        <v>158</v>
      </c>
      <c r="E1663" s="3" t="n">
        <v>2</v>
      </c>
      <c r="F1663" s="1" t="n">
        <f aca="false">Y1663-X1663</f>
        <v>5</v>
      </c>
      <c r="G1663" s="1" t="n">
        <v>5</v>
      </c>
      <c r="H1663" s="3" t="s">
        <v>48</v>
      </c>
      <c r="I1663" s="3" t="s">
        <v>61</v>
      </c>
      <c r="J1663" s="3" t="s">
        <v>82</v>
      </c>
      <c r="K1663" s="2" t="str">
        <f aca="false">CONCATENATE(I1663," ",J1663)</f>
        <v>Trochosa terricola</v>
      </c>
      <c r="L1663" s="3" t="n">
        <f aca="false">SUM(P1663:U1663)</f>
        <v>2</v>
      </c>
      <c r="M1663" s="11" t="n">
        <f aca="false">(L1663/(F1663*G1663)*25)*4</f>
        <v>8</v>
      </c>
      <c r="N1663" s="1" t="s">
        <v>30</v>
      </c>
      <c r="O1663" s="1" t="s">
        <v>35</v>
      </c>
      <c r="P1663" s="3" t="n">
        <v>0</v>
      </c>
      <c r="Q1663" s="3" t="n">
        <v>2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f aca="false">SUM(P1663:Q1663)</f>
        <v>2</v>
      </c>
      <c r="W1663" s="3" t="n">
        <f aca="false">SUM(R1663:T1663)</f>
        <v>0</v>
      </c>
      <c r="X1663" s="22" t="n">
        <v>41869</v>
      </c>
      <c r="Y1663" s="22" t="n">
        <v>41874</v>
      </c>
    </row>
    <row r="1664" customFormat="false" ht="14.25" hidden="false" customHeight="false" outlineLevel="0" collapsed="false">
      <c r="A1664" s="1" t="n">
        <v>2014</v>
      </c>
      <c r="B1664" s="1" t="n">
        <v>2</v>
      </c>
      <c r="C1664" s="2" t="s">
        <v>50</v>
      </c>
      <c r="D1664" s="3" t="s">
        <v>158</v>
      </c>
      <c r="E1664" s="3" t="n">
        <v>2</v>
      </c>
      <c r="F1664" s="1" t="n">
        <f aca="false">Y1664-X1664</f>
        <v>5</v>
      </c>
      <c r="G1664" s="1" t="n">
        <v>5</v>
      </c>
      <c r="H1664" s="3" t="s">
        <v>48</v>
      </c>
      <c r="I1664" s="3" t="s">
        <v>61</v>
      </c>
      <c r="J1664" s="3" t="s">
        <v>38</v>
      </c>
      <c r="K1664" s="2" t="str">
        <f aca="false">CONCATENATE(I1664," ",J1664)</f>
        <v>Trochosa sp</v>
      </c>
      <c r="L1664" s="3" t="n">
        <f aca="false">SUM(P1664:U1664)</f>
        <v>1</v>
      </c>
      <c r="M1664" s="11" t="n">
        <f aca="false">(L1664/(F1664*G1664)*25)*4</f>
        <v>4</v>
      </c>
      <c r="N1664" s="1" t="s">
        <v>19</v>
      </c>
      <c r="O1664" s="1" t="s">
        <v>54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1</v>
      </c>
      <c r="U1664" s="3" t="n">
        <v>0</v>
      </c>
      <c r="V1664" s="3" t="n">
        <f aca="false">SUM(P1664:Q1664)</f>
        <v>0</v>
      </c>
      <c r="W1664" s="3" t="n">
        <f aca="false">SUM(R1664:T1664)</f>
        <v>1</v>
      </c>
      <c r="X1664" s="22" t="n">
        <v>41869</v>
      </c>
      <c r="Y1664" s="22" t="n">
        <v>41874</v>
      </c>
    </row>
    <row r="1665" customFormat="false" ht="14.25" hidden="false" customHeight="false" outlineLevel="0" collapsed="false">
      <c r="A1665" s="1" t="n">
        <v>2014</v>
      </c>
      <c r="B1665" s="1" t="n">
        <v>2</v>
      </c>
      <c r="C1665" s="2" t="s">
        <v>50</v>
      </c>
      <c r="D1665" s="3" t="s">
        <v>158</v>
      </c>
      <c r="E1665" s="3" t="n">
        <v>2</v>
      </c>
      <c r="F1665" s="1" t="n">
        <f aca="false">Y1665-X1665</f>
        <v>5</v>
      </c>
      <c r="G1665" s="1" t="n">
        <v>5</v>
      </c>
      <c r="H1665" s="3" t="s">
        <v>36</v>
      </c>
      <c r="I1665" s="3" t="s">
        <v>37</v>
      </c>
      <c r="J1665" s="3" t="s">
        <v>75</v>
      </c>
      <c r="K1665" s="2" t="str">
        <f aca="false">CONCATENATE(I1665," ",J1665)</f>
        <v>Ozyptila praticola</v>
      </c>
      <c r="L1665" s="3" t="n">
        <f aca="false">SUM(P1665:U1665)</f>
        <v>2</v>
      </c>
      <c r="M1665" s="11" t="n">
        <f aca="false">(L1665/(F1665*G1665)*25)*4</f>
        <v>8</v>
      </c>
      <c r="N1665" s="1" t="s">
        <v>30</v>
      </c>
      <c r="O1665" s="1" t="s">
        <v>31</v>
      </c>
      <c r="P1665" s="3" t="n">
        <v>2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f aca="false">SUM(P1665:Q1665)</f>
        <v>2</v>
      </c>
      <c r="W1665" s="3" t="n">
        <f aca="false">SUM(R1665:T1665)</f>
        <v>0</v>
      </c>
      <c r="X1665" s="22" t="n">
        <v>41869</v>
      </c>
      <c r="Y1665" s="22" t="n">
        <v>41874</v>
      </c>
    </row>
    <row r="1666" customFormat="false" ht="14.25" hidden="false" customHeight="false" outlineLevel="0" collapsed="false">
      <c r="A1666" s="1" t="n">
        <v>2014</v>
      </c>
      <c r="B1666" s="1" t="n">
        <v>2</v>
      </c>
      <c r="C1666" s="2" t="s">
        <v>50</v>
      </c>
      <c r="D1666" s="3" t="s">
        <v>158</v>
      </c>
      <c r="E1666" s="3" t="n">
        <v>2</v>
      </c>
      <c r="F1666" s="1" t="n">
        <f aca="false">Y1666-X1666</f>
        <v>5</v>
      </c>
      <c r="G1666" s="1" t="n">
        <v>5</v>
      </c>
      <c r="H1666" s="3" t="s">
        <v>48</v>
      </c>
      <c r="I1666" s="3" t="s">
        <v>61</v>
      </c>
      <c r="J1666" s="3" t="s">
        <v>82</v>
      </c>
      <c r="K1666" s="2" t="str">
        <f aca="false">CONCATENATE(I1666," ",J1666)</f>
        <v>Trochosa terricola</v>
      </c>
      <c r="L1666" s="3" t="n">
        <f aca="false">SUM(P1666:U1666)</f>
        <v>2</v>
      </c>
      <c r="M1666" s="11" t="n">
        <f aca="false">(L1666/(F1666*G1666)*25)*4</f>
        <v>8</v>
      </c>
      <c r="N1666" s="1" t="s">
        <v>30</v>
      </c>
      <c r="O1666" s="1" t="s">
        <v>31</v>
      </c>
      <c r="P1666" s="3" t="n">
        <v>2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f aca="false">SUM(P1666:Q1666)</f>
        <v>2</v>
      </c>
      <c r="W1666" s="3" t="n">
        <f aca="false">SUM(R1666:T1666)</f>
        <v>0</v>
      </c>
      <c r="X1666" s="22" t="n">
        <v>41869</v>
      </c>
      <c r="Y1666" s="22" t="n">
        <v>41874</v>
      </c>
    </row>
    <row r="1667" customFormat="false" ht="14.25" hidden="false" customHeight="false" outlineLevel="0" collapsed="false">
      <c r="A1667" s="1" t="n">
        <v>2014</v>
      </c>
      <c r="B1667" s="1" t="n">
        <v>2</v>
      </c>
      <c r="C1667" s="2" t="s">
        <v>50</v>
      </c>
      <c r="D1667" s="3" t="s">
        <v>158</v>
      </c>
      <c r="E1667" s="3" t="n">
        <v>2</v>
      </c>
      <c r="F1667" s="1" t="n">
        <f aca="false">Y1667-X1667</f>
        <v>5</v>
      </c>
      <c r="G1667" s="1" t="n">
        <v>5</v>
      </c>
      <c r="H1667" s="3" t="s">
        <v>48</v>
      </c>
      <c r="I1667" s="3" t="s">
        <v>61</v>
      </c>
      <c r="J1667" s="3" t="s">
        <v>38</v>
      </c>
      <c r="K1667" s="2" t="str">
        <f aca="false">CONCATENATE(I1667," ",J1667)</f>
        <v>Trochosa sp</v>
      </c>
      <c r="L1667" s="3" t="n">
        <f aca="false">SUM(P1667:U1667)</f>
        <v>2</v>
      </c>
      <c r="M1667" s="11" t="n">
        <f aca="false">(L1667/(F1667*G1667)*25)*4</f>
        <v>8</v>
      </c>
      <c r="N1667" s="1" t="s">
        <v>19</v>
      </c>
      <c r="O1667" s="1" t="s">
        <v>54</v>
      </c>
      <c r="P1667" s="3" t="n">
        <v>0</v>
      </c>
      <c r="Q1667" s="3" t="n">
        <v>0</v>
      </c>
      <c r="R1667" s="3" t="n">
        <v>0</v>
      </c>
      <c r="S1667" s="3" t="n">
        <v>0</v>
      </c>
      <c r="T1667" s="3" t="n">
        <v>2</v>
      </c>
      <c r="U1667" s="3" t="n">
        <v>0</v>
      </c>
      <c r="V1667" s="3" t="n">
        <f aca="false">SUM(P1667:Q1667)</f>
        <v>0</v>
      </c>
      <c r="W1667" s="3" t="n">
        <f aca="false">SUM(R1667:T1667)</f>
        <v>2</v>
      </c>
      <c r="X1667" s="22" t="n">
        <v>41869</v>
      </c>
      <c r="Y1667" s="22" t="n">
        <v>41874</v>
      </c>
    </row>
    <row r="1668" customFormat="false" ht="14.25" hidden="false" customHeight="false" outlineLevel="0" collapsed="false">
      <c r="A1668" s="1" t="n">
        <v>2014</v>
      </c>
      <c r="B1668" s="1" t="n">
        <v>2</v>
      </c>
      <c r="C1668" s="2" t="s">
        <v>50</v>
      </c>
      <c r="D1668" s="3" t="s">
        <v>158</v>
      </c>
      <c r="E1668" s="3" t="n">
        <v>2</v>
      </c>
      <c r="F1668" s="1" t="n">
        <f aca="false">Y1668-X1668</f>
        <v>5</v>
      </c>
      <c r="G1668" s="1" t="n">
        <v>5</v>
      </c>
      <c r="H1668" s="3" t="s">
        <v>36</v>
      </c>
      <c r="I1668" s="3" t="s">
        <v>37</v>
      </c>
      <c r="J1668" s="3" t="s">
        <v>75</v>
      </c>
      <c r="K1668" s="2" t="str">
        <f aca="false">CONCATENATE(I1668," ",J1668)</f>
        <v>Ozyptila praticola</v>
      </c>
      <c r="L1668" s="3" t="n">
        <f aca="false">SUM(P1668:U1668)</f>
        <v>1</v>
      </c>
      <c r="M1668" s="11" t="n">
        <f aca="false">(L1668/(F1668*G1668)*25)*4</f>
        <v>4</v>
      </c>
      <c r="N1668" s="1" t="s">
        <v>30</v>
      </c>
      <c r="O1668" s="1" t="s">
        <v>31</v>
      </c>
      <c r="P1668" s="3" t="n">
        <v>1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f aca="false">SUM(P1668:Q1668)</f>
        <v>1</v>
      </c>
      <c r="W1668" s="3" t="n">
        <f aca="false">SUM(R1668:T1668)</f>
        <v>0</v>
      </c>
      <c r="X1668" s="22" t="n">
        <v>41869</v>
      </c>
      <c r="Y1668" s="22" t="n">
        <v>41874</v>
      </c>
    </row>
    <row r="1669" customFormat="false" ht="14.25" hidden="false" customHeight="false" outlineLevel="0" collapsed="false">
      <c r="A1669" s="1" t="n">
        <v>2014</v>
      </c>
      <c r="B1669" s="1" t="n">
        <v>2</v>
      </c>
      <c r="C1669" s="2" t="s">
        <v>50</v>
      </c>
      <c r="D1669" s="3" t="s">
        <v>158</v>
      </c>
      <c r="E1669" s="3" t="n">
        <v>2</v>
      </c>
      <c r="F1669" s="1" t="n">
        <f aca="false">Y1669-X1669</f>
        <v>5</v>
      </c>
      <c r="G1669" s="1" t="n">
        <v>5</v>
      </c>
      <c r="H1669" s="3" t="s">
        <v>138</v>
      </c>
      <c r="I1669" s="3" t="s">
        <v>205</v>
      </c>
      <c r="J1669" s="3" t="s">
        <v>206</v>
      </c>
      <c r="K1669" s="2" t="str">
        <f aca="false">CONCATENATE(I1669," ",J1669)</f>
        <v>Clubiona caerulescens</v>
      </c>
      <c r="L1669" s="3" t="n">
        <f aca="false">SUM(P1669:U1669)</f>
        <v>1</v>
      </c>
      <c r="M1669" s="11" t="n">
        <f aca="false">(L1669/(F1669*G1669)*25)*4</f>
        <v>4</v>
      </c>
      <c r="N1669" s="1" t="s">
        <v>30</v>
      </c>
      <c r="O1669" s="1" t="s">
        <v>31</v>
      </c>
      <c r="P1669" s="3" t="n">
        <v>1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f aca="false">SUM(P1669:Q1669)</f>
        <v>1</v>
      </c>
      <c r="W1669" s="3" t="n">
        <f aca="false">SUM(R1669:T1669)</f>
        <v>0</v>
      </c>
      <c r="X1669" s="22" t="n">
        <v>41869</v>
      </c>
      <c r="Y1669" s="22" t="n">
        <v>41874</v>
      </c>
    </row>
    <row r="1670" customFormat="false" ht="14.25" hidden="false" customHeight="false" outlineLevel="0" collapsed="false">
      <c r="A1670" s="1" t="n">
        <v>2014</v>
      </c>
      <c r="B1670" s="1" t="n">
        <v>2</v>
      </c>
      <c r="C1670" s="2" t="s">
        <v>50</v>
      </c>
      <c r="D1670" s="3" t="s">
        <v>158</v>
      </c>
      <c r="E1670" s="3" t="n">
        <v>2</v>
      </c>
      <c r="F1670" s="1" t="n">
        <f aca="false">Y1670-X1670</f>
        <v>5</v>
      </c>
      <c r="G1670" s="1" t="n">
        <v>5</v>
      </c>
      <c r="H1670" s="3" t="s">
        <v>72</v>
      </c>
      <c r="I1670" s="3" t="s">
        <v>73</v>
      </c>
      <c r="J1670" s="3" t="s">
        <v>74</v>
      </c>
      <c r="K1670" s="2" t="str">
        <f aca="false">CONCATENATE(I1670," ",J1670)</f>
        <v>Zelotes subterraneus</v>
      </c>
      <c r="L1670" s="3" t="n">
        <f aca="false">SUM(P1670:U1670)</f>
        <v>2</v>
      </c>
      <c r="M1670" s="11" t="n">
        <f aca="false">(L1670/(F1670*G1670)*25)*4</f>
        <v>8</v>
      </c>
      <c r="N1670" s="1" t="s">
        <v>30</v>
      </c>
      <c r="O1670" s="1" t="s">
        <v>31</v>
      </c>
      <c r="P1670" s="3" t="n">
        <v>2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f aca="false">SUM(P1670:Q1670)</f>
        <v>2</v>
      </c>
      <c r="W1670" s="3" t="n">
        <f aca="false">SUM(R1670:T1670)</f>
        <v>0</v>
      </c>
      <c r="X1670" s="22" t="n">
        <v>41869</v>
      </c>
      <c r="Y1670" s="22" t="n">
        <v>41874</v>
      </c>
    </row>
    <row r="1671" customFormat="false" ht="14.25" hidden="false" customHeight="false" outlineLevel="0" collapsed="false">
      <c r="A1671" s="1" t="n">
        <v>2014</v>
      </c>
      <c r="B1671" s="1" t="n">
        <v>2</v>
      </c>
      <c r="C1671" s="2" t="s">
        <v>50</v>
      </c>
      <c r="D1671" s="3" t="s">
        <v>158</v>
      </c>
      <c r="E1671" s="3" t="n">
        <v>2</v>
      </c>
      <c r="F1671" s="1" t="n">
        <f aca="false">Y1671-X1671</f>
        <v>5</v>
      </c>
      <c r="G1671" s="1" t="n">
        <v>5</v>
      </c>
      <c r="H1671" s="3" t="s">
        <v>48</v>
      </c>
      <c r="I1671" s="3" t="s">
        <v>61</v>
      </c>
      <c r="J1671" s="3" t="s">
        <v>82</v>
      </c>
      <c r="K1671" s="2" t="str">
        <f aca="false">CONCATENATE(I1671," ",J1671)</f>
        <v>Trochosa terricola</v>
      </c>
      <c r="L1671" s="3" t="n">
        <f aca="false">SUM(P1671:U1671)</f>
        <v>1</v>
      </c>
      <c r="M1671" s="11" t="n">
        <f aca="false">(L1671/(F1671*G1671)*25)*4</f>
        <v>4</v>
      </c>
      <c r="N1671" s="1" t="s">
        <v>30</v>
      </c>
      <c r="O1671" s="1" t="s">
        <v>31</v>
      </c>
      <c r="P1671" s="3" t="n">
        <v>1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f aca="false">SUM(P1671:Q1671)</f>
        <v>1</v>
      </c>
      <c r="W1671" s="3" t="n">
        <f aca="false">SUM(R1671:T1671)</f>
        <v>0</v>
      </c>
      <c r="X1671" s="22" t="n">
        <v>41869</v>
      </c>
      <c r="Y1671" s="22" t="n">
        <v>41874</v>
      </c>
    </row>
    <row r="1672" customFormat="false" ht="14.25" hidden="false" customHeight="false" outlineLevel="0" collapsed="false">
      <c r="A1672" s="1" t="n">
        <v>2014</v>
      </c>
      <c r="B1672" s="1" t="n">
        <v>2</v>
      </c>
      <c r="C1672" s="2" t="s">
        <v>50</v>
      </c>
      <c r="D1672" s="3" t="s">
        <v>158</v>
      </c>
      <c r="E1672" s="3" t="n">
        <v>2</v>
      </c>
      <c r="F1672" s="1" t="n">
        <f aca="false">Y1672-X1672</f>
        <v>5</v>
      </c>
      <c r="G1672" s="1" t="n">
        <v>5</v>
      </c>
      <c r="H1672" s="3" t="s">
        <v>36</v>
      </c>
      <c r="I1672" s="3" t="s">
        <v>37</v>
      </c>
      <c r="J1672" s="3" t="s">
        <v>75</v>
      </c>
      <c r="K1672" s="2" t="str">
        <f aca="false">CONCATENATE(I1672," ",J1672)</f>
        <v>Ozyptila praticola</v>
      </c>
      <c r="L1672" s="3" t="n">
        <f aca="false">SUM(P1672:U1672)</f>
        <v>3</v>
      </c>
      <c r="M1672" s="11" t="n">
        <f aca="false">(L1672/(F1672*G1672)*25)*4</f>
        <v>12</v>
      </c>
      <c r="N1672" s="1" t="s">
        <v>30</v>
      </c>
      <c r="O1672" s="1" t="s">
        <v>31</v>
      </c>
      <c r="P1672" s="3" t="n">
        <v>3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f aca="false">SUM(P1672:Q1672)</f>
        <v>3</v>
      </c>
      <c r="W1672" s="3" t="n">
        <f aca="false">SUM(R1672:T1672)</f>
        <v>0</v>
      </c>
      <c r="X1672" s="22" t="n">
        <v>41869</v>
      </c>
      <c r="Y1672" s="22" t="n">
        <v>41874</v>
      </c>
    </row>
    <row r="1673" customFormat="false" ht="14.25" hidden="false" customHeight="false" outlineLevel="0" collapsed="false">
      <c r="A1673" s="1" t="n">
        <v>2014</v>
      </c>
      <c r="B1673" s="1" t="n">
        <v>2</v>
      </c>
      <c r="C1673" s="2" t="s">
        <v>50</v>
      </c>
      <c r="D1673" s="3" t="s">
        <v>158</v>
      </c>
      <c r="E1673" s="3" t="n">
        <v>2</v>
      </c>
      <c r="F1673" s="1" t="n">
        <f aca="false">Y1673-X1673</f>
        <v>5</v>
      </c>
      <c r="G1673" s="1" t="n">
        <v>5</v>
      </c>
      <c r="H1673" s="3" t="s">
        <v>226</v>
      </c>
      <c r="I1673" s="3" t="s">
        <v>65</v>
      </c>
      <c r="J1673" s="3" t="s">
        <v>66</v>
      </c>
      <c r="K1673" s="2" t="str">
        <f aca="false">CONCATENATE(I1673," ",J1673)</f>
        <v>Zora Spinimana</v>
      </c>
      <c r="L1673" s="3" t="n">
        <f aca="false">SUM(P1673:U1673)</f>
        <v>1</v>
      </c>
      <c r="M1673" s="11" t="n">
        <f aca="false">(L1673/(F1673*G1673)*25)*4</f>
        <v>4</v>
      </c>
      <c r="N1673" s="1" t="s">
        <v>19</v>
      </c>
      <c r="O1673" s="1" t="s">
        <v>35</v>
      </c>
      <c r="P1673" s="3" t="n">
        <v>0</v>
      </c>
      <c r="Q1673" s="3" t="n">
        <v>0</v>
      </c>
      <c r="R1673" s="3" t="n">
        <v>0</v>
      </c>
      <c r="S1673" s="3" t="n">
        <v>1</v>
      </c>
      <c r="T1673" s="3" t="n">
        <v>0</v>
      </c>
      <c r="U1673" s="3" t="n">
        <v>0</v>
      </c>
      <c r="V1673" s="3" t="n">
        <f aca="false">SUM(P1673:Q1673)</f>
        <v>0</v>
      </c>
      <c r="W1673" s="3" t="n">
        <f aca="false">SUM(R1673:T1673)</f>
        <v>1</v>
      </c>
      <c r="X1673" s="22" t="n">
        <v>41869</v>
      </c>
      <c r="Y1673" s="22" t="n">
        <v>41874</v>
      </c>
    </row>
    <row r="1674" customFormat="false" ht="14.25" hidden="false" customHeight="false" outlineLevel="0" collapsed="false">
      <c r="A1674" s="1" t="n">
        <v>2014</v>
      </c>
      <c r="B1674" s="1" t="n">
        <v>2</v>
      </c>
      <c r="C1674" s="2" t="s">
        <v>50</v>
      </c>
      <c r="D1674" s="3" t="s">
        <v>158</v>
      </c>
      <c r="E1674" s="3" t="n">
        <v>1</v>
      </c>
      <c r="F1674" s="1" t="n">
        <f aca="false">Y1674-X1674</f>
        <v>5</v>
      </c>
      <c r="G1674" s="1" t="n">
        <v>5</v>
      </c>
      <c r="H1674" s="3" t="s">
        <v>48</v>
      </c>
      <c r="I1674" s="3" t="s">
        <v>61</v>
      </c>
      <c r="J1674" s="3" t="s">
        <v>38</v>
      </c>
      <c r="K1674" s="2" t="str">
        <f aca="false">CONCATENATE(I1674," ",J1674)</f>
        <v>Trochosa sp</v>
      </c>
      <c r="L1674" s="3" t="n">
        <f aca="false">SUM(P1674:U1674)</f>
        <v>1</v>
      </c>
      <c r="M1674" s="11" t="n">
        <f aca="false">(L1674/(F1674*G1674)*25)*4</f>
        <v>4</v>
      </c>
      <c r="N1674" s="1" t="s">
        <v>19</v>
      </c>
      <c r="O1674" s="1" t="s">
        <v>54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1</v>
      </c>
      <c r="U1674" s="3" t="n">
        <v>0</v>
      </c>
      <c r="V1674" s="3" t="n">
        <f aca="false">SUM(P1674:Q1674)</f>
        <v>0</v>
      </c>
      <c r="W1674" s="3" t="n">
        <f aca="false">SUM(R1674:T1674)</f>
        <v>1</v>
      </c>
      <c r="X1674" s="22" t="n">
        <v>41869</v>
      </c>
      <c r="Y1674" s="22" t="n">
        <v>41874</v>
      </c>
    </row>
    <row r="1675" customFormat="false" ht="14.25" hidden="false" customHeight="false" outlineLevel="0" collapsed="false">
      <c r="A1675" s="1" t="n">
        <v>2014</v>
      </c>
      <c r="B1675" s="1" t="n">
        <v>2</v>
      </c>
      <c r="C1675" s="2" t="s">
        <v>50</v>
      </c>
      <c r="D1675" s="3" t="s">
        <v>158</v>
      </c>
      <c r="E1675" s="3" t="n">
        <v>1</v>
      </c>
      <c r="F1675" s="1" t="n">
        <f aca="false">Y1675-X1675</f>
        <v>5</v>
      </c>
      <c r="G1675" s="1" t="n">
        <v>5</v>
      </c>
      <c r="H1675" s="3" t="s">
        <v>36</v>
      </c>
      <c r="I1675" s="3" t="s">
        <v>37</v>
      </c>
      <c r="J1675" s="3" t="s">
        <v>75</v>
      </c>
      <c r="K1675" s="2" t="str">
        <f aca="false">CONCATENATE(I1675," ",J1675)</f>
        <v>Ozyptila praticola</v>
      </c>
      <c r="L1675" s="3" t="n">
        <f aca="false">SUM(P1675:U1675)</f>
        <v>5</v>
      </c>
      <c r="M1675" s="11" t="n">
        <f aca="false">(L1675/(F1675*G1675)*25)*4</f>
        <v>20</v>
      </c>
      <c r="N1675" s="1" t="s">
        <v>30</v>
      </c>
      <c r="O1675" s="1" t="s">
        <v>31</v>
      </c>
      <c r="P1675" s="3" t="n">
        <v>5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f aca="false">SUM(P1675:Q1675)</f>
        <v>5</v>
      </c>
      <c r="W1675" s="3" t="n">
        <f aca="false">SUM(R1675:T1675)</f>
        <v>0</v>
      </c>
      <c r="X1675" s="22" t="n">
        <v>41869</v>
      </c>
      <c r="Y1675" s="22" t="n">
        <v>41874</v>
      </c>
    </row>
    <row r="1676" customFormat="false" ht="14.25" hidden="false" customHeight="false" outlineLevel="0" collapsed="false">
      <c r="A1676" s="1" t="n">
        <v>2014</v>
      </c>
      <c r="B1676" s="1" t="n">
        <v>2</v>
      </c>
      <c r="C1676" s="2" t="s">
        <v>50</v>
      </c>
      <c r="D1676" s="3" t="s">
        <v>158</v>
      </c>
      <c r="E1676" s="3" t="n">
        <v>1</v>
      </c>
      <c r="F1676" s="1" t="n">
        <f aca="false">Y1676-X1676</f>
        <v>5</v>
      </c>
      <c r="G1676" s="1" t="n">
        <v>5</v>
      </c>
      <c r="H1676" s="3" t="s">
        <v>41</v>
      </c>
      <c r="I1676" s="3" t="s">
        <v>42</v>
      </c>
      <c r="J1676" s="3" t="s">
        <v>43</v>
      </c>
      <c r="K1676" s="2" t="str">
        <f aca="false">CONCATENATE(I1676," ",J1676)</f>
        <v>Agroeca proxima</v>
      </c>
      <c r="L1676" s="3" t="n">
        <f aca="false">SUM(P1676:U1676)</f>
        <v>1</v>
      </c>
      <c r="M1676" s="11" t="n">
        <f aca="false">(L1676/(F1676*G1676)*25)*4</f>
        <v>4</v>
      </c>
      <c r="N1676" s="1" t="s">
        <v>30</v>
      </c>
      <c r="O1676" s="1" t="s">
        <v>31</v>
      </c>
      <c r="P1676" s="3" t="n">
        <v>1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f aca="false">SUM(P1676:Q1676)</f>
        <v>1</v>
      </c>
      <c r="W1676" s="3" t="n">
        <f aca="false">SUM(R1676:T1676)</f>
        <v>0</v>
      </c>
      <c r="X1676" s="22" t="n">
        <v>41869</v>
      </c>
      <c r="Y1676" s="22" t="n">
        <v>41874</v>
      </c>
    </row>
    <row r="1677" customFormat="false" ht="14.25" hidden="false" customHeight="false" outlineLevel="0" collapsed="false">
      <c r="A1677" s="1" t="n">
        <v>2014</v>
      </c>
      <c r="B1677" s="1" t="n">
        <v>2</v>
      </c>
      <c r="C1677" s="2" t="s">
        <v>50</v>
      </c>
      <c r="D1677" s="3" t="s">
        <v>158</v>
      </c>
      <c r="E1677" s="3" t="n">
        <v>1</v>
      </c>
      <c r="F1677" s="1" t="n">
        <f aca="false">Y1677-X1677</f>
        <v>5</v>
      </c>
      <c r="G1677" s="1" t="n">
        <v>5</v>
      </c>
      <c r="H1677" s="3" t="s">
        <v>32</v>
      </c>
      <c r="I1677" s="3" t="s">
        <v>84</v>
      </c>
      <c r="J1677" s="3" t="s">
        <v>85</v>
      </c>
      <c r="K1677" s="2" t="str">
        <f aca="false">CONCATENATE(I1677," ",J1677)</f>
        <v>Walckenaeria antica</v>
      </c>
      <c r="L1677" s="3" t="n">
        <f aca="false">SUM(P1677:U1677)</f>
        <v>1</v>
      </c>
      <c r="M1677" s="11" t="n">
        <f aca="false">(L1677/(F1677*G1677)*25)*4</f>
        <v>4</v>
      </c>
      <c r="N1677" s="1" t="s">
        <v>30</v>
      </c>
      <c r="O1677" s="1" t="s">
        <v>35</v>
      </c>
      <c r="P1677" s="3" t="n">
        <v>0</v>
      </c>
      <c r="Q1677" s="3" t="n">
        <v>1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f aca="false">SUM(P1677:Q1677)</f>
        <v>1</v>
      </c>
      <c r="W1677" s="3" t="n">
        <f aca="false">SUM(R1677:T1677)</f>
        <v>0</v>
      </c>
      <c r="X1677" s="22" t="n">
        <v>41869</v>
      </c>
      <c r="Y1677" s="22" t="n">
        <v>41874</v>
      </c>
    </row>
    <row r="1678" customFormat="false" ht="14.25" hidden="false" customHeight="false" outlineLevel="0" collapsed="false">
      <c r="A1678" s="1" t="n">
        <v>2014</v>
      </c>
      <c r="B1678" s="1" t="n">
        <v>2</v>
      </c>
      <c r="C1678" s="2" t="s">
        <v>50</v>
      </c>
      <c r="D1678" s="3" t="s">
        <v>158</v>
      </c>
      <c r="E1678" s="3" t="n">
        <v>1</v>
      </c>
      <c r="F1678" s="1" t="n">
        <f aca="false">Y1678-X1678</f>
        <v>5</v>
      </c>
      <c r="G1678" s="1" t="n">
        <v>5</v>
      </c>
      <c r="H1678" s="3" t="s">
        <v>32</v>
      </c>
      <c r="I1678" s="3" t="s">
        <v>84</v>
      </c>
      <c r="J1678" s="3" t="s">
        <v>85</v>
      </c>
      <c r="K1678" s="2" t="str">
        <f aca="false">CONCATENATE(I1678," ",J1678)</f>
        <v>Walckenaeria antica</v>
      </c>
      <c r="L1678" s="3" t="n">
        <f aca="false">SUM(P1678:U1678)</f>
        <v>1</v>
      </c>
      <c r="M1678" s="11" t="n">
        <f aca="false">(L1678/(F1678*G1678)*25)*4</f>
        <v>4</v>
      </c>
      <c r="N1678" s="1" t="s">
        <v>30</v>
      </c>
      <c r="O1678" s="1" t="s">
        <v>31</v>
      </c>
      <c r="P1678" s="3" t="n">
        <v>1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f aca="false">SUM(P1678:Q1678)</f>
        <v>1</v>
      </c>
      <c r="W1678" s="3" t="n">
        <f aca="false">SUM(R1678:T1678)</f>
        <v>0</v>
      </c>
      <c r="X1678" s="22" t="n">
        <v>41869</v>
      </c>
      <c r="Y1678" s="22" t="n">
        <v>41874</v>
      </c>
    </row>
    <row r="1679" customFormat="false" ht="14.25" hidden="false" customHeight="false" outlineLevel="0" collapsed="false">
      <c r="A1679" s="1" t="n">
        <v>2014</v>
      </c>
      <c r="B1679" s="1" t="n">
        <v>2</v>
      </c>
      <c r="C1679" s="2" t="s">
        <v>50</v>
      </c>
      <c r="D1679" s="3" t="s">
        <v>158</v>
      </c>
      <c r="E1679" s="3" t="n">
        <v>3</v>
      </c>
      <c r="F1679" s="1" t="n">
        <f aca="false">Y1679-X1679</f>
        <v>5</v>
      </c>
      <c r="G1679" s="1" t="n">
        <v>5</v>
      </c>
      <c r="H1679" s="3" t="s">
        <v>32</v>
      </c>
      <c r="I1679" s="3" t="s">
        <v>88</v>
      </c>
      <c r="J1679" s="3" t="s">
        <v>89</v>
      </c>
      <c r="K1679" s="2" t="str">
        <f aca="false">CONCATENATE(I1679," ",J1679)</f>
        <v>Tapinopa longidens</v>
      </c>
      <c r="L1679" s="3" t="n">
        <f aca="false">SUM(P1679:U1679)</f>
        <v>1</v>
      </c>
      <c r="M1679" s="11" t="n">
        <f aca="false">(L1679/(F1679*G1679)*25)*4</f>
        <v>4</v>
      </c>
      <c r="N1679" s="1" t="s">
        <v>30</v>
      </c>
      <c r="O1679" s="1" t="s">
        <v>31</v>
      </c>
      <c r="P1679" s="3" t="n">
        <v>1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f aca="false">SUM(P1679:Q1679)</f>
        <v>1</v>
      </c>
      <c r="W1679" s="3" t="n">
        <f aca="false">SUM(R1679:T1679)</f>
        <v>0</v>
      </c>
      <c r="X1679" s="22" t="n">
        <v>41869</v>
      </c>
      <c r="Y1679" s="22" t="n">
        <v>41874</v>
      </c>
    </row>
    <row r="1680" customFormat="false" ht="14.25" hidden="false" customHeight="false" outlineLevel="0" collapsed="false">
      <c r="A1680" s="1" t="n">
        <v>2014</v>
      </c>
      <c r="B1680" s="1" t="n">
        <v>2</v>
      </c>
      <c r="C1680" s="2" t="s">
        <v>50</v>
      </c>
      <c r="D1680" s="3" t="s">
        <v>158</v>
      </c>
      <c r="E1680" s="3" t="n">
        <v>3</v>
      </c>
      <c r="F1680" s="1" t="n">
        <f aca="false">Y1680-X1680</f>
        <v>5</v>
      </c>
      <c r="G1680" s="1" t="n">
        <v>5</v>
      </c>
      <c r="H1680" s="3" t="s">
        <v>32</v>
      </c>
      <c r="I1680" s="3" t="s">
        <v>84</v>
      </c>
      <c r="J1680" s="3" t="s">
        <v>181</v>
      </c>
      <c r="K1680" s="2" t="str">
        <f aca="false">CONCATENATE(I1680," ",J1680)</f>
        <v>Walckenaeria cucullata</v>
      </c>
      <c r="L1680" s="3" t="n">
        <f aca="false">SUM(P1680:U1680)</f>
        <v>1</v>
      </c>
      <c r="M1680" s="11" t="n">
        <f aca="false">(L1680/(F1680*G1680)*25)*4</f>
        <v>4</v>
      </c>
      <c r="N1680" s="1" t="s">
        <v>30</v>
      </c>
      <c r="O1680" s="1" t="s">
        <v>35</v>
      </c>
      <c r="P1680" s="3" t="n">
        <v>0</v>
      </c>
      <c r="Q1680" s="3" t="n">
        <v>1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f aca="false">SUM(P1680:Q1680)</f>
        <v>1</v>
      </c>
      <c r="W1680" s="3" t="n">
        <f aca="false">SUM(R1680:T1680)</f>
        <v>0</v>
      </c>
      <c r="X1680" s="22" t="n">
        <v>41869</v>
      </c>
      <c r="Y1680" s="22" t="n">
        <v>41874</v>
      </c>
    </row>
    <row r="1681" customFormat="false" ht="14.25" hidden="false" customHeight="false" outlineLevel="0" collapsed="false">
      <c r="A1681" s="1" t="n">
        <v>2014</v>
      </c>
      <c r="B1681" s="1" t="n">
        <v>2</v>
      </c>
      <c r="C1681" s="2" t="s">
        <v>50</v>
      </c>
      <c r="D1681" s="3" t="s">
        <v>158</v>
      </c>
      <c r="E1681" s="3" t="n">
        <v>3</v>
      </c>
      <c r="F1681" s="1" t="n">
        <f aca="false">Y1681-X1681</f>
        <v>5</v>
      </c>
      <c r="G1681" s="1" t="n">
        <v>5</v>
      </c>
      <c r="H1681" s="3" t="s">
        <v>48</v>
      </c>
      <c r="I1681" s="3" t="s">
        <v>61</v>
      </c>
      <c r="J1681" s="3" t="s">
        <v>82</v>
      </c>
      <c r="K1681" s="2" t="str">
        <f aca="false">CONCATENATE(I1681," ",J1681)</f>
        <v>Trochosa terricola</v>
      </c>
      <c r="L1681" s="3" t="n">
        <f aca="false">SUM(P1681:U1681)</f>
        <v>1</v>
      </c>
      <c r="M1681" s="11" t="n">
        <f aca="false">(L1681/(F1681*G1681)*25)*4</f>
        <v>4</v>
      </c>
      <c r="N1681" s="1" t="s">
        <v>30</v>
      </c>
      <c r="O1681" s="1" t="s">
        <v>35</v>
      </c>
      <c r="P1681" s="3" t="n">
        <v>0</v>
      </c>
      <c r="Q1681" s="3" t="n">
        <v>1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f aca="false">SUM(P1681:Q1681)</f>
        <v>1</v>
      </c>
      <c r="W1681" s="3" t="n">
        <f aca="false">SUM(R1681:T1681)</f>
        <v>0</v>
      </c>
      <c r="X1681" s="22" t="n">
        <v>41869</v>
      </c>
      <c r="Y1681" s="22" t="n">
        <v>41874</v>
      </c>
    </row>
    <row r="1682" customFormat="false" ht="14.25" hidden="false" customHeight="false" outlineLevel="0" collapsed="false">
      <c r="A1682" s="1" t="n">
        <v>2014</v>
      </c>
      <c r="B1682" s="1" t="n">
        <v>2</v>
      </c>
      <c r="C1682" s="2" t="s">
        <v>50</v>
      </c>
      <c r="D1682" s="3" t="s">
        <v>158</v>
      </c>
      <c r="E1682" s="3" t="n">
        <v>3</v>
      </c>
      <c r="F1682" s="1" t="n">
        <f aca="false">Y1682-X1682</f>
        <v>5</v>
      </c>
      <c r="G1682" s="1" t="n">
        <v>5</v>
      </c>
      <c r="H1682" s="3" t="s">
        <v>36</v>
      </c>
      <c r="I1682" s="3" t="s">
        <v>37</v>
      </c>
      <c r="J1682" s="3" t="s">
        <v>75</v>
      </c>
      <c r="K1682" s="2" t="str">
        <f aca="false">CONCATENATE(I1682," ",J1682)</f>
        <v>Ozyptila praticola</v>
      </c>
      <c r="L1682" s="3" t="n">
        <f aca="false">SUM(P1682:U1682)</f>
        <v>3</v>
      </c>
      <c r="M1682" s="11" t="n">
        <f aca="false">(L1682/(F1682*G1682)*25)*4</f>
        <v>12</v>
      </c>
      <c r="N1682" s="1" t="s">
        <v>30</v>
      </c>
      <c r="O1682" s="1" t="s">
        <v>31</v>
      </c>
      <c r="P1682" s="3" t="n">
        <v>3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f aca="false">SUM(P1682:Q1682)</f>
        <v>3</v>
      </c>
      <c r="W1682" s="3" t="n">
        <f aca="false">SUM(R1682:T1682)</f>
        <v>0</v>
      </c>
      <c r="X1682" s="22" t="n">
        <v>41869</v>
      </c>
      <c r="Y1682" s="22" t="n">
        <v>41874</v>
      </c>
    </row>
    <row r="1683" customFormat="false" ht="14.25" hidden="false" customHeight="false" outlineLevel="0" collapsed="false">
      <c r="A1683" s="1" t="n">
        <v>2014</v>
      </c>
      <c r="B1683" s="1" t="n">
        <v>2</v>
      </c>
      <c r="C1683" s="2" t="s">
        <v>50</v>
      </c>
      <c r="D1683" s="3" t="s">
        <v>158</v>
      </c>
      <c r="E1683" s="3" t="n">
        <v>3</v>
      </c>
      <c r="F1683" s="1" t="n">
        <f aca="false">Y1683-X1683</f>
        <v>5</v>
      </c>
      <c r="G1683" s="1" t="n">
        <v>5</v>
      </c>
      <c r="H1683" s="3" t="s">
        <v>32</v>
      </c>
      <c r="I1683" s="3" t="s">
        <v>57</v>
      </c>
      <c r="J1683" s="3" t="s">
        <v>38</v>
      </c>
      <c r="K1683" s="2" t="str">
        <f aca="false">CONCATENATE(I1683," ",J1683)</f>
        <v>Gen sp</v>
      </c>
      <c r="L1683" s="3" t="n">
        <f aca="false">SUM(P1683:U1683)</f>
        <v>1</v>
      </c>
      <c r="M1683" s="11" t="n">
        <f aca="false">(L1683/(F1683*G1683)*25)*4</f>
        <v>4</v>
      </c>
      <c r="N1683" s="1" t="s">
        <v>19</v>
      </c>
      <c r="O1683" s="1" t="s">
        <v>31</v>
      </c>
      <c r="P1683" s="3" t="n">
        <v>0</v>
      </c>
      <c r="Q1683" s="3" t="n">
        <v>0</v>
      </c>
      <c r="R1683" s="3" t="n">
        <v>1</v>
      </c>
      <c r="S1683" s="3" t="n">
        <v>0</v>
      </c>
      <c r="T1683" s="3" t="n">
        <v>0</v>
      </c>
      <c r="U1683" s="3" t="n">
        <v>0</v>
      </c>
      <c r="V1683" s="3" t="n">
        <f aca="false">SUM(P1683:Q1683)</f>
        <v>0</v>
      </c>
      <c r="W1683" s="3" t="n">
        <f aca="false">SUM(R1683:T1683)</f>
        <v>1</v>
      </c>
      <c r="X1683" s="22" t="n">
        <v>41869</v>
      </c>
      <c r="Y1683" s="22" t="n">
        <v>41874</v>
      </c>
    </row>
    <row r="1684" customFormat="false" ht="14.25" hidden="false" customHeight="false" outlineLevel="0" collapsed="false">
      <c r="A1684" s="1" t="n">
        <v>2014</v>
      </c>
      <c r="B1684" s="1" t="n">
        <v>2</v>
      </c>
      <c r="C1684" s="2" t="s">
        <v>50</v>
      </c>
      <c r="D1684" s="3" t="s">
        <v>158</v>
      </c>
      <c r="E1684" s="3" t="n">
        <v>2</v>
      </c>
      <c r="F1684" s="1" t="n">
        <f aca="false">Y1684-X1684</f>
        <v>5</v>
      </c>
      <c r="G1684" s="1" t="n">
        <v>5</v>
      </c>
      <c r="H1684" s="3" t="s">
        <v>36</v>
      </c>
      <c r="I1684" s="3" t="s">
        <v>37</v>
      </c>
      <c r="J1684" s="3" t="s">
        <v>75</v>
      </c>
      <c r="K1684" s="2" t="str">
        <f aca="false">CONCATENATE(I1684," ",J1684)</f>
        <v>Ozyptila praticola</v>
      </c>
      <c r="L1684" s="3" t="n">
        <f aca="false">SUM(P1684:U1684)</f>
        <v>3</v>
      </c>
      <c r="M1684" s="11" t="n">
        <f aca="false">(L1684/(F1684*G1684)*25)*4</f>
        <v>12</v>
      </c>
      <c r="N1684" s="1" t="s">
        <v>30</v>
      </c>
      <c r="O1684" s="1" t="s">
        <v>31</v>
      </c>
      <c r="P1684" s="3" t="n">
        <v>3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f aca="false">SUM(P1684:Q1684)</f>
        <v>3</v>
      </c>
      <c r="W1684" s="3" t="n">
        <f aca="false">SUM(R1684:T1684)</f>
        <v>0</v>
      </c>
      <c r="X1684" s="22" t="n">
        <v>41869</v>
      </c>
      <c r="Y1684" s="22" t="n">
        <v>41874</v>
      </c>
    </row>
    <row r="1685" customFormat="false" ht="14.25" hidden="false" customHeight="false" outlineLevel="0" collapsed="false">
      <c r="A1685" s="1" t="n">
        <v>2014</v>
      </c>
      <c r="B1685" s="1" t="n">
        <v>2</v>
      </c>
      <c r="C1685" s="2" t="s">
        <v>50</v>
      </c>
      <c r="D1685" s="3" t="s">
        <v>158</v>
      </c>
      <c r="E1685" s="3" t="n">
        <v>2</v>
      </c>
      <c r="F1685" s="1" t="n">
        <f aca="false">Y1685-X1685</f>
        <v>5</v>
      </c>
      <c r="G1685" s="1" t="n">
        <v>5</v>
      </c>
      <c r="H1685" s="3" t="s">
        <v>72</v>
      </c>
      <c r="I1685" s="3" t="s">
        <v>73</v>
      </c>
      <c r="J1685" s="3" t="s">
        <v>74</v>
      </c>
      <c r="K1685" s="2" t="str">
        <f aca="false">CONCATENATE(I1685," ",J1685)</f>
        <v>Zelotes subterraneus</v>
      </c>
      <c r="L1685" s="3" t="n">
        <f aca="false">SUM(P1685:U1685)</f>
        <v>1</v>
      </c>
      <c r="M1685" s="11" t="n">
        <f aca="false">(L1685/(F1685*G1685)*25)*4</f>
        <v>4</v>
      </c>
      <c r="N1685" s="1" t="s">
        <v>30</v>
      </c>
      <c r="O1685" s="1" t="s">
        <v>31</v>
      </c>
      <c r="P1685" s="3" t="n">
        <v>1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f aca="false">SUM(P1685:Q1685)</f>
        <v>1</v>
      </c>
      <c r="W1685" s="3" t="n">
        <f aca="false">SUM(R1685:T1685)</f>
        <v>0</v>
      </c>
      <c r="X1685" s="22" t="n">
        <v>41869</v>
      </c>
      <c r="Y1685" s="22" t="n">
        <v>41874</v>
      </c>
    </row>
    <row r="1686" customFormat="false" ht="14.25" hidden="false" customHeight="false" outlineLevel="0" collapsed="false">
      <c r="A1686" s="1" t="n">
        <v>2014</v>
      </c>
      <c r="B1686" s="1" t="n">
        <v>2</v>
      </c>
      <c r="C1686" s="2" t="s">
        <v>50</v>
      </c>
      <c r="D1686" s="3" t="s">
        <v>158</v>
      </c>
      <c r="E1686" s="3" t="n">
        <v>2</v>
      </c>
      <c r="F1686" s="1" t="n">
        <f aca="false">Y1686-X1686</f>
        <v>5</v>
      </c>
      <c r="G1686" s="1" t="n">
        <v>5</v>
      </c>
      <c r="H1686" s="3" t="s">
        <v>72</v>
      </c>
      <c r="I1686" s="3" t="s">
        <v>73</v>
      </c>
      <c r="J1686" s="3" t="s">
        <v>74</v>
      </c>
      <c r="K1686" s="2" t="str">
        <f aca="false">CONCATENATE(I1686," ",J1686)</f>
        <v>Zelotes subterraneus</v>
      </c>
      <c r="L1686" s="3" t="n">
        <f aca="false">SUM(P1686:U1686)</f>
        <v>1</v>
      </c>
      <c r="M1686" s="11" t="n">
        <f aca="false">(L1686/(F1686*G1686)*25)*4</f>
        <v>4</v>
      </c>
      <c r="N1686" s="1" t="s">
        <v>30</v>
      </c>
      <c r="O1686" s="1" t="s">
        <v>35</v>
      </c>
      <c r="P1686" s="3" t="n">
        <v>0</v>
      </c>
      <c r="Q1686" s="3" t="n">
        <v>1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f aca="false">SUM(P1686:Q1686)</f>
        <v>1</v>
      </c>
      <c r="W1686" s="3" t="n">
        <f aca="false">SUM(R1686:T1686)</f>
        <v>0</v>
      </c>
      <c r="X1686" s="22" t="n">
        <v>41869</v>
      </c>
      <c r="Y1686" s="22" t="n">
        <v>41874</v>
      </c>
    </row>
    <row r="1687" customFormat="false" ht="14.25" hidden="false" customHeight="false" outlineLevel="0" collapsed="false">
      <c r="A1687" s="1" t="n">
        <v>2014</v>
      </c>
      <c r="B1687" s="1" t="n">
        <v>2</v>
      </c>
      <c r="C1687" s="2" t="s">
        <v>50</v>
      </c>
      <c r="D1687" s="3" t="s">
        <v>158</v>
      </c>
      <c r="E1687" s="3" t="n">
        <v>2</v>
      </c>
      <c r="F1687" s="1" t="n">
        <f aca="false">Y1687-X1687</f>
        <v>5</v>
      </c>
      <c r="G1687" s="1" t="n">
        <v>5</v>
      </c>
      <c r="H1687" s="3" t="s">
        <v>48</v>
      </c>
      <c r="I1687" s="3" t="s">
        <v>67</v>
      </c>
      <c r="J1687" s="3" t="s">
        <v>127</v>
      </c>
      <c r="K1687" s="2" t="str">
        <f aca="false">CONCATENATE(I1687," ",J1687)</f>
        <v>Pardosa lugubris</v>
      </c>
      <c r="L1687" s="3" t="n">
        <f aca="false">SUM(P1687:U1687)</f>
        <v>1</v>
      </c>
      <c r="M1687" s="11" t="n">
        <f aca="false">(L1687/(F1687*G1687)*25)*4</f>
        <v>4</v>
      </c>
      <c r="N1687" s="1" t="s">
        <v>30</v>
      </c>
      <c r="O1687" s="1" t="s">
        <v>35</v>
      </c>
      <c r="P1687" s="3" t="n">
        <v>0</v>
      </c>
      <c r="Q1687" s="3" t="n">
        <v>1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f aca="false">SUM(P1687:Q1687)</f>
        <v>1</v>
      </c>
      <c r="W1687" s="3" t="n">
        <f aca="false">SUM(R1687:T1687)</f>
        <v>0</v>
      </c>
      <c r="X1687" s="22" t="n">
        <v>41869</v>
      </c>
      <c r="Y1687" s="22" t="n">
        <v>41874</v>
      </c>
    </row>
    <row r="1688" customFormat="false" ht="14.25" hidden="false" customHeight="false" outlineLevel="0" collapsed="false">
      <c r="A1688" s="1" t="n">
        <v>2014</v>
      </c>
      <c r="B1688" s="1" t="n">
        <v>2</v>
      </c>
      <c r="C1688" s="2" t="s">
        <v>50</v>
      </c>
      <c r="D1688" s="3" t="s">
        <v>158</v>
      </c>
      <c r="E1688" s="3" t="n">
        <v>2</v>
      </c>
      <c r="F1688" s="1" t="n">
        <f aca="false">Y1688-X1688</f>
        <v>5</v>
      </c>
      <c r="G1688" s="1" t="n">
        <v>5</v>
      </c>
      <c r="H1688" s="3" t="s">
        <v>48</v>
      </c>
      <c r="I1688" s="3" t="s">
        <v>61</v>
      </c>
      <c r="J1688" s="3" t="s">
        <v>38</v>
      </c>
      <c r="K1688" s="2" t="str">
        <f aca="false">CONCATENATE(I1688," ",J1688)</f>
        <v>Trochosa sp</v>
      </c>
      <c r="L1688" s="3" t="n">
        <f aca="false">SUM(P1688:U1688)</f>
        <v>1</v>
      </c>
      <c r="M1688" s="11" t="n">
        <f aca="false">(L1688/(F1688*G1688)*25)*4</f>
        <v>4</v>
      </c>
      <c r="N1688" s="1" t="s">
        <v>19</v>
      </c>
      <c r="O1688" s="1" t="s">
        <v>54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1</v>
      </c>
      <c r="U1688" s="3" t="n">
        <v>0</v>
      </c>
      <c r="V1688" s="3" t="n">
        <f aca="false">SUM(P1688:Q1688)</f>
        <v>0</v>
      </c>
      <c r="W1688" s="3" t="n">
        <f aca="false">SUM(R1688:T1688)</f>
        <v>1</v>
      </c>
      <c r="X1688" s="22" t="n">
        <v>41869</v>
      </c>
      <c r="Y1688" s="22" t="n">
        <v>41874</v>
      </c>
    </row>
    <row r="1689" customFormat="false" ht="14.25" hidden="false" customHeight="false" outlineLevel="0" collapsed="false">
      <c r="A1689" s="1" t="n">
        <v>2014</v>
      </c>
      <c r="B1689" s="1" t="n">
        <v>2</v>
      </c>
      <c r="C1689" s="2" t="s">
        <v>50</v>
      </c>
      <c r="D1689" s="3" t="s">
        <v>158</v>
      </c>
      <c r="E1689" s="3" t="n">
        <v>3</v>
      </c>
      <c r="F1689" s="1" t="n">
        <f aca="false">Y1689-X1689</f>
        <v>5</v>
      </c>
      <c r="G1689" s="1" t="n">
        <v>5</v>
      </c>
      <c r="H1689" s="3" t="s">
        <v>48</v>
      </c>
      <c r="I1689" s="3" t="s">
        <v>61</v>
      </c>
      <c r="J1689" s="3" t="s">
        <v>82</v>
      </c>
      <c r="K1689" s="2" t="str">
        <f aca="false">CONCATENATE(I1689," ",J1689)</f>
        <v>Trochosa terricola</v>
      </c>
      <c r="L1689" s="3" t="n">
        <f aca="false">SUM(P1689:U1689)</f>
        <v>1</v>
      </c>
      <c r="M1689" s="11" t="n">
        <f aca="false">(L1689/(F1689*G1689)*25)*4</f>
        <v>4</v>
      </c>
      <c r="N1689" s="1" t="s">
        <v>30</v>
      </c>
      <c r="O1689" s="1" t="s">
        <v>31</v>
      </c>
      <c r="P1689" s="3" t="n">
        <v>1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f aca="false">SUM(P1689:Q1689)</f>
        <v>1</v>
      </c>
      <c r="W1689" s="3" t="n">
        <f aca="false">SUM(R1689:T1689)</f>
        <v>0</v>
      </c>
      <c r="X1689" s="22" t="n">
        <v>41869</v>
      </c>
      <c r="Y1689" s="22" t="n">
        <v>41874</v>
      </c>
    </row>
    <row r="1690" customFormat="false" ht="14.25" hidden="false" customHeight="false" outlineLevel="0" collapsed="false">
      <c r="A1690" s="1" t="n">
        <v>2014</v>
      </c>
      <c r="B1690" s="1" t="n">
        <v>2</v>
      </c>
      <c r="C1690" s="2" t="s">
        <v>50</v>
      </c>
      <c r="D1690" s="3" t="s">
        <v>158</v>
      </c>
      <c r="E1690" s="3" t="n">
        <v>3</v>
      </c>
      <c r="F1690" s="1" t="n">
        <f aca="false">Y1690-X1690</f>
        <v>5</v>
      </c>
      <c r="G1690" s="1" t="n">
        <v>5</v>
      </c>
      <c r="H1690" s="3" t="s">
        <v>48</v>
      </c>
      <c r="I1690" s="3" t="s">
        <v>61</v>
      </c>
      <c r="J1690" s="3" t="s">
        <v>82</v>
      </c>
      <c r="K1690" s="2" t="str">
        <f aca="false">CONCATENATE(I1690," ",J1690)</f>
        <v>Trochosa terricola</v>
      </c>
      <c r="L1690" s="3" t="n">
        <f aca="false">SUM(P1690:U1690)</f>
        <v>2</v>
      </c>
      <c r="M1690" s="11" t="n">
        <f aca="false">(L1690/(F1690*G1690)*25)*4</f>
        <v>8</v>
      </c>
      <c r="N1690" s="1" t="s">
        <v>30</v>
      </c>
      <c r="O1690" s="1" t="s">
        <v>35</v>
      </c>
      <c r="P1690" s="3" t="n">
        <v>0</v>
      </c>
      <c r="Q1690" s="3" t="n">
        <v>2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f aca="false">SUM(P1690:Q1690)</f>
        <v>2</v>
      </c>
      <c r="W1690" s="3" t="n">
        <f aca="false">SUM(R1690:T1690)</f>
        <v>0</v>
      </c>
      <c r="X1690" s="22" t="n">
        <v>41869</v>
      </c>
      <c r="Y1690" s="22" t="n">
        <v>41874</v>
      </c>
    </row>
    <row r="1691" customFormat="false" ht="14.25" hidden="false" customHeight="false" outlineLevel="0" collapsed="false">
      <c r="A1691" s="1" t="n">
        <v>2014</v>
      </c>
      <c r="B1691" s="1" t="n">
        <v>2</v>
      </c>
      <c r="C1691" s="2" t="s">
        <v>50</v>
      </c>
      <c r="D1691" s="3" t="s">
        <v>158</v>
      </c>
      <c r="E1691" s="3" t="n">
        <v>3</v>
      </c>
      <c r="F1691" s="1" t="n">
        <f aca="false">Y1691-X1691</f>
        <v>5</v>
      </c>
      <c r="G1691" s="1" t="n">
        <v>5</v>
      </c>
      <c r="H1691" s="3" t="s">
        <v>72</v>
      </c>
      <c r="I1691" s="3" t="s">
        <v>73</v>
      </c>
      <c r="J1691" s="3" t="s">
        <v>38</v>
      </c>
      <c r="K1691" s="2" t="str">
        <f aca="false">CONCATENATE(I1691," ",J1691)</f>
        <v>Zelotes sp</v>
      </c>
      <c r="L1691" s="3" t="n">
        <f aca="false">SUM(P1691:U1691)</f>
        <v>1</v>
      </c>
      <c r="M1691" s="11" t="n">
        <f aca="false">(L1691/(F1691*G1691)*25)*4</f>
        <v>4</v>
      </c>
      <c r="N1691" s="1" t="s">
        <v>19</v>
      </c>
      <c r="O1691" s="1" t="s">
        <v>54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1</v>
      </c>
      <c r="U1691" s="3" t="n">
        <v>0</v>
      </c>
      <c r="V1691" s="3" t="n">
        <f aca="false">SUM(P1691:Q1691)</f>
        <v>0</v>
      </c>
      <c r="W1691" s="3" t="n">
        <f aca="false">SUM(R1691:T1691)</f>
        <v>1</v>
      </c>
      <c r="X1691" s="22" t="n">
        <v>41869</v>
      </c>
      <c r="Y1691" s="22" t="n">
        <v>41874</v>
      </c>
    </row>
    <row r="1692" customFormat="false" ht="14.25" hidden="false" customHeight="false" outlineLevel="0" collapsed="false">
      <c r="A1692" s="1" t="n">
        <v>2014</v>
      </c>
      <c r="B1692" s="1" t="n">
        <v>2</v>
      </c>
      <c r="C1692" s="2" t="s">
        <v>50</v>
      </c>
      <c r="D1692" s="3" t="s">
        <v>158</v>
      </c>
      <c r="E1692" s="3" t="n">
        <v>3</v>
      </c>
      <c r="F1692" s="1" t="n">
        <f aca="false">Y1692-X1692</f>
        <v>5</v>
      </c>
      <c r="G1692" s="1" t="n">
        <v>5</v>
      </c>
      <c r="H1692" s="3" t="s">
        <v>144</v>
      </c>
      <c r="I1692" s="3" t="s">
        <v>145</v>
      </c>
      <c r="J1692" s="3" t="s">
        <v>146</v>
      </c>
      <c r="K1692" s="2" t="str">
        <f aca="false">CONCATENATE(I1692," ",J1692)</f>
        <v>Phrurolithus festivus</v>
      </c>
      <c r="L1692" s="3" t="n">
        <f aca="false">SUM(P1692:U1692)</f>
        <v>1</v>
      </c>
      <c r="M1692" s="11" t="n">
        <f aca="false">(L1692/(F1692*G1692)*25)*4</f>
        <v>4</v>
      </c>
      <c r="N1692" s="1" t="s">
        <v>19</v>
      </c>
      <c r="O1692" s="1" t="s">
        <v>31</v>
      </c>
      <c r="P1692" s="3" t="n">
        <v>0</v>
      </c>
      <c r="Q1692" s="3" t="n">
        <v>0</v>
      </c>
      <c r="R1692" s="3" t="n">
        <v>1</v>
      </c>
      <c r="S1692" s="3" t="n">
        <v>0</v>
      </c>
      <c r="T1692" s="3" t="n">
        <v>0</v>
      </c>
      <c r="U1692" s="3" t="n">
        <v>0</v>
      </c>
      <c r="V1692" s="3" t="n">
        <f aca="false">SUM(P1692:Q1692)</f>
        <v>0</v>
      </c>
      <c r="W1692" s="3" t="n">
        <f aca="false">SUM(R1692:T1692)</f>
        <v>1</v>
      </c>
      <c r="X1692" s="22" t="n">
        <v>41869</v>
      </c>
      <c r="Y1692" s="22" t="n">
        <v>41874</v>
      </c>
    </row>
    <row r="1693" customFormat="false" ht="14.25" hidden="false" customHeight="false" outlineLevel="0" collapsed="false">
      <c r="A1693" s="1" t="n">
        <v>2014</v>
      </c>
      <c r="B1693" s="1" t="n">
        <v>2</v>
      </c>
      <c r="C1693" s="2" t="s">
        <v>50</v>
      </c>
      <c r="D1693" s="3" t="s">
        <v>158</v>
      </c>
      <c r="E1693" s="3" t="n">
        <v>3</v>
      </c>
      <c r="F1693" s="1" t="n">
        <f aca="false">Y1693-X1693</f>
        <v>5</v>
      </c>
      <c r="G1693" s="1" t="n">
        <v>5</v>
      </c>
      <c r="H1693" s="3" t="s">
        <v>36</v>
      </c>
      <c r="I1693" s="3" t="s">
        <v>37</v>
      </c>
      <c r="J1693" s="3" t="s">
        <v>75</v>
      </c>
      <c r="K1693" s="2" t="str">
        <f aca="false">CONCATENATE(I1693," ",J1693)</f>
        <v>Ozyptila praticola</v>
      </c>
      <c r="L1693" s="3" t="n">
        <f aca="false">SUM(P1693:U1693)</f>
        <v>1</v>
      </c>
      <c r="M1693" s="11" t="n">
        <f aca="false">(L1693/(F1693*G1693)*25)*4</f>
        <v>4</v>
      </c>
      <c r="N1693" s="1" t="s">
        <v>30</v>
      </c>
      <c r="O1693" s="1" t="s">
        <v>31</v>
      </c>
      <c r="P1693" s="3" t="n">
        <v>1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f aca="false">SUM(P1693:Q1693)</f>
        <v>1</v>
      </c>
      <c r="W1693" s="3" t="n">
        <f aca="false">SUM(R1693:T1693)</f>
        <v>0</v>
      </c>
      <c r="X1693" s="22" t="n">
        <v>41869</v>
      </c>
      <c r="Y1693" s="22" t="n">
        <v>41874</v>
      </c>
    </row>
    <row r="1694" customFormat="false" ht="14.25" hidden="false" customHeight="false" outlineLevel="0" collapsed="false">
      <c r="A1694" s="1" t="n">
        <v>2014</v>
      </c>
      <c r="B1694" s="1" t="n">
        <v>2</v>
      </c>
      <c r="C1694" s="2" t="s">
        <v>50</v>
      </c>
      <c r="D1694" s="3" t="s">
        <v>158</v>
      </c>
      <c r="E1694" s="3" t="n">
        <v>3</v>
      </c>
      <c r="F1694" s="1" t="n">
        <f aca="false">Y1694-X1694</f>
        <v>5</v>
      </c>
      <c r="G1694" s="1" t="n">
        <v>5</v>
      </c>
      <c r="H1694" s="3" t="s">
        <v>48</v>
      </c>
      <c r="I1694" s="3" t="s">
        <v>61</v>
      </c>
      <c r="J1694" s="3" t="s">
        <v>82</v>
      </c>
      <c r="K1694" s="2" t="str">
        <f aca="false">CONCATENATE(I1694," ",J1694)</f>
        <v>Trochosa terricola</v>
      </c>
      <c r="L1694" s="3" t="n">
        <f aca="false">SUM(P1694:U1694)</f>
        <v>1</v>
      </c>
      <c r="M1694" s="11" t="n">
        <f aca="false">(L1694/(F1694*G1694)*25)*4</f>
        <v>4</v>
      </c>
      <c r="N1694" s="1" t="s">
        <v>30</v>
      </c>
      <c r="O1694" s="1" t="s">
        <v>35</v>
      </c>
      <c r="P1694" s="3" t="n">
        <v>0</v>
      </c>
      <c r="Q1694" s="3" t="n">
        <v>1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f aca="false">SUM(P1694:Q1694)</f>
        <v>1</v>
      </c>
      <c r="W1694" s="3" t="n">
        <f aca="false">SUM(R1694:T1694)</f>
        <v>0</v>
      </c>
      <c r="X1694" s="22" t="n">
        <v>41869</v>
      </c>
      <c r="Y1694" s="22" t="n">
        <v>41874</v>
      </c>
    </row>
    <row r="1695" customFormat="false" ht="14.25" hidden="false" customHeight="false" outlineLevel="0" collapsed="false">
      <c r="A1695" s="1" t="n">
        <v>2014</v>
      </c>
      <c r="B1695" s="1" t="n">
        <v>2</v>
      </c>
      <c r="C1695" s="2" t="s">
        <v>50</v>
      </c>
      <c r="D1695" s="3" t="s">
        <v>158</v>
      </c>
      <c r="E1695" s="3" t="n">
        <v>3</v>
      </c>
      <c r="F1695" s="1" t="n">
        <f aca="false">Y1695-X1695</f>
        <v>5</v>
      </c>
      <c r="G1695" s="1" t="n">
        <v>5</v>
      </c>
      <c r="H1695" s="3" t="s">
        <v>48</v>
      </c>
      <c r="I1695" s="3" t="s">
        <v>61</v>
      </c>
      <c r="J1695" s="3" t="s">
        <v>38</v>
      </c>
      <c r="K1695" s="2" t="str">
        <f aca="false">CONCATENATE(I1695," ",J1695)</f>
        <v>Trochosa sp</v>
      </c>
      <c r="L1695" s="3" t="n">
        <f aca="false">SUM(P1695:U1695)</f>
        <v>1</v>
      </c>
      <c r="M1695" s="11" t="n">
        <f aca="false">(L1695/(F1695*G1695)*25)*4</f>
        <v>4</v>
      </c>
      <c r="N1695" s="1" t="s">
        <v>19</v>
      </c>
      <c r="O1695" s="1" t="s">
        <v>35</v>
      </c>
      <c r="P1695" s="3" t="n">
        <v>0</v>
      </c>
      <c r="Q1695" s="3" t="n">
        <v>0</v>
      </c>
      <c r="R1695" s="3" t="n">
        <v>0</v>
      </c>
      <c r="S1695" s="3" t="n">
        <v>1</v>
      </c>
      <c r="T1695" s="3" t="n">
        <v>0</v>
      </c>
      <c r="U1695" s="3" t="n">
        <v>0</v>
      </c>
      <c r="V1695" s="3" t="n">
        <f aca="false">SUM(P1695:Q1695)</f>
        <v>0</v>
      </c>
      <c r="W1695" s="3" t="n">
        <f aca="false">SUM(R1695:T1695)</f>
        <v>1</v>
      </c>
      <c r="X1695" s="22" t="n">
        <v>41869</v>
      </c>
      <c r="Y1695" s="22" t="n">
        <v>41874</v>
      </c>
    </row>
    <row r="1696" customFormat="false" ht="14.25" hidden="false" customHeight="false" outlineLevel="0" collapsed="false">
      <c r="A1696" s="1" t="n">
        <v>2014</v>
      </c>
      <c r="B1696" s="1" t="n">
        <v>2</v>
      </c>
      <c r="C1696" s="2" t="s">
        <v>50</v>
      </c>
      <c r="D1696" s="3" t="s">
        <v>158</v>
      </c>
      <c r="E1696" s="3" t="n">
        <v>3</v>
      </c>
      <c r="F1696" s="1" t="n">
        <f aca="false">Y1696-X1696</f>
        <v>5</v>
      </c>
      <c r="G1696" s="1" t="n">
        <v>5</v>
      </c>
      <c r="H1696" s="3" t="s">
        <v>48</v>
      </c>
      <c r="I1696" s="3" t="s">
        <v>61</v>
      </c>
      <c r="J1696" s="3" t="s">
        <v>38</v>
      </c>
      <c r="K1696" s="2" t="str">
        <f aca="false">CONCATENATE(I1696," ",J1696)</f>
        <v>Trochosa sp</v>
      </c>
      <c r="L1696" s="3" t="n">
        <f aca="false">SUM(P1696:U1696)</f>
        <v>1</v>
      </c>
      <c r="M1696" s="11" t="n">
        <f aca="false">(L1696/(F1696*G1696)*25)*4</f>
        <v>4</v>
      </c>
      <c r="N1696" s="1" t="s">
        <v>19</v>
      </c>
      <c r="O1696" s="1" t="s">
        <v>54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1</v>
      </c>
      <c r="U1696" s="3" t="n">
        <v>0</v>
      </c>
      <c r="V1696" s="3" t="n">
        <f aca="false">SUM(P1696:Q1696)</f>
        <v>0</v>
      </c>
      <c r="W1696" s="3" t="n">
        <f aca="false">SUM(R1696:T1696)</f>
        <v>1</v>
      </c>
      <c r="X1696" s="22" t="n">
        <v>41869</v>
      </c>
      <c r="Y1696" s="22" t="n">
        <v>41874</v>
      </c>
    </row>
    <row r="1697" customFormat="false" ht="14.25" hidden="false" customHeight="false" outlineLevel="0" collapsed="false">
      <c r="A1697" s="1" t="n">
        <v>2014</v>
      </c>
      <c r="B1697" s="1" t="n">
        <v>2</v>
      </c>
      <c r="C1697" s="2" t="s">
        <v>50</v>
      </c>
      <c r="D1697" s="3" t="s">
        <v>158</v>
      </c>
      <c r="E1697" s="3" t="n">
        <v>3</v>
      </c>
      <c r="F1697" s="1" t="n">
        <f aca="false">Y1697-X1697</f>
        <v>5</v>
      </c>
      <c r="G1697" s="1" t="n">
        <v>5</v>
      </c>
      <c r="H1697" s="3" t="s">
        <v>72</v>
      </c>
      <c r="I1697" s="3" t="s">
        <v>73</v>
      </c>
      <c r="J1697" s="3" t="s">
        <v>74</v>
      </c>
      <c r="K1697" s="2" t="str">
        <f aca="false">CONCATENATE(I1697," ",J1697)</f>
        <v>Zelotes subterraneus</v>
      </c>
      <c r="L1697" s="3" t="n">
        <f aca="false">SUM(P1697:U1697)</f>
        <v>2</v>
      </c>
      <c r="M1697" s="11" t="n">
        <f aca="false">(L1697/(F1697*G1697)*25)*4</f>
        <v>8</v>
      </c>
      <c r="N1697" s="1" t="s">
        <v>30</v>
      </c>
      <c r="O1697" s="1" t="s">
        <v>31</v>
      </c>
      <c r="P1697" s="3" t="n">
        <v>2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f aca="false">SUM(P1697:Q1697)</f>
        <v>2</v>
      </c>
      <c r="W1697" s="3" t="n">
        <f aca="false">SUM(R1697:T1697)</f>
        <v>0</v>
      </c>
      <c r="X1697" s="22" t="n">
        <v>41869</v>
      </c>
      <c r="Y1697" s="22" t="n">
        <v>41874</v>
      </c>
    </row>
    <row r="1698" customFormat="false" ht="14.25" hidden="false" customHeight="false" outlineLevel="0" collapsed="false">
      <c r="A1698" s="1" t="n">
        <v>2014</v>
      </c>
      <c r="B1698" s="1" t="n">
        <v>2</v>
      </c>
      <c r="C1698" s="2" t="s">
        <v>50</v>
      </c>
      <c r="D1698" s="3" t="s">
        <v>158</v>
      </c>
      <c r="E1698" s="3" t="n">
        <v>3</v>
      </c>
      <c r="F1698" s="1" t="n">
        <f aca="false">Y1698-X1698</f>
        <v>5</v>
      </c>
      <c r="G1698" s="1" t="n">
        <v>5</v>
      </c>
      <c r="H1698" s="3" t="s">
        <v>72</v>
      </c>
      <c r="I1698" s="3" t="s">
        <v>73</v>
      </c>
      <c r="J1698" s="3" t="s">
        <v>38</v>
      </c>
      <c r="K1698" s="2" t="str">
        <f aca="false">CONCATENATE(I1698," ",J1698)</f>
        <v>Zelotes sp</v>
      </c>
      <c r="L1698" s="3" t="n">
        <f aca="false">SUM(P1698:U1698)</f>
        <v>1</v>
      </c>
      <c r="M1698" s="11" t="n">
        <f aca="false">(L1698/(F1698*G1698)*25)*4</f>
        <v>4</v>
      </c>
      <c r="N1698" s="1" t="s">
        <v>19</v>
      </c>
      <c r="O1698" s="1" t="s">
        <v>35</v>
      </c>
      <c r="P1698" s="3" t="n">
        <v>0</v>
      </c>
      <c r="Q1698" s="3" t="n">
        <v>0</v>
      </c>
      <c r="R1698" s="3" t="n">
        <v>0</v>
      </c>
      <c r="S1698" s="3" t="n">
        <v>1</v>
      </c>
      <c r="T1698" s="3" t="n">
        <v>0</v>
      </c>
      <c r="U1698" s="3" t="n">
        <v>0</v>
      </c>
      <c r="V1698" s="3" t="n">
        <f aca="false">SUM(P1698:Q1698)</f>
        <v>0</v>
      </c>
      <c r="W1698" s="3" t="n">
        <f aca="false">SUM(R1698:T1698)</f>
        <v>1</v>
      </c>
      <c r="X1698" s="22" t="n">
        <v>41869</v>
      </c>
      <c r="Y1698" s="22" t="n">
        <v>41874</v>
      </c>
    </row>
    <row r="1699" customFormat="false" ht="14.25" hidden="false" customHeight="false" outlineLevel="0" collapsed="false">
      <c r="A1699" s="1" t="n">
        <v>2014</v>
      </c>
      <c r="B1699" s="1" t="n">
        <v>2</v>
      </c>
      <c r="C1699" s="2" t="s">
        <v>50</v>
      </c>
      <c r="D1699" s="3" t="s">
        <v>158</v>
      </c>
      <c r="E1699" s="3" t="n">
        <v>3</v>
      </c>
      <c r="F1699" s="1" t="n">
        <f aca="false">Y1699-X1699</f>
        <v>5</v>
      </c>
      <c r="G1699" s="1" t="n">
        <v>5</v>
      </c>
      <c r="H1699" s="3" t="s">
        <v>48</v>
      </c>
      <c r="I1699" s="3" t="s">
        <v>57</v>
      </c>
      <c r="J1699" s="3" t="s">
        <v>38</v>
      </c>
      <c r="K1699" s="2" t="str">
        <f aca="false">CONCATENATE(I1699," ",J1699)</f>
        <v>Gen sp</v>
      </c>
      <c r="L1699" s="3" t="n">
        <f aca="false">SUM(P1699:U1699)</f>
        <v>1</v>
      </c>
      <c r="M1699" s="11" t="n">
        <f aca="false">(L1699/(F1699*G1699)*25)*4</f>
        <v>4</v>
      </c>
      <c r="N1699" s="1" t="s">
        <v>19</v>
      </c>
      <c r="O1699" s="1" t="s">
        <v>54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1</v>
      </c>
      <c r="U1699" s="3" t="n">
        <v>0</v>
      </c>
      <c r="V1699" s="3" t="n">
        <f aca="false">SUM(P1699:Q1699)</f>
        <v>0</v>
      </c>
      <c r="W1699" s="3" t="n">
        <f aca="false">SUM(R1699:T1699)</f>
        <v>1</v>
      </c>
      <c r="X1699" s="22" t="n">
        <v>41869</v>
      </c>
      <c r="Y1699" s="22" t="n">
        <v>41874</v>
      </c>
    </row>
    <row r="1700" customFormat="false" ht="14.25" hidden="false" customHeight="false" outlineLevel="0" collapsed="false">
      <c r="A1700" s="1" t="n">
        <v>2014</v>
      </c>
      <c r="B1700" s="1" t="n">
        <v>2</v>
      </c>
      <c r="C1700" s="2" t="s">
        <v>50</v>
      </c>
      <c r="D1700" s="3" t="s">
        <v>158</v>
      </c>
      <c r="E1700" s="3" t="n">
        <v>3</v>
      </c>
      <c r="F1700" s="1" t="n">
        <f aca="false">Y1700-X1700</f>
        <v>5</v>
      </c>
      <c r="G1700" s="1" t="n">
        <v>5</v>
      </c>
      <c r="H1700" s="3" t="s">
        <v>32</v>
      </c>
      <c r="I1700" s="3" t="s">
        <v>88</v>
      </c>
      <c r="J1700" s="3" t="s">
        <v>89</v>
      </c>
      <c r="K1700" s="2" t="str">
        <f aca="false">CONCATENATE(I1700," ",J1700)</f>
        <v>Tapinopa longidens</v>
      </c>
      <c r="L1700" s="3" t="n">
        <f aca="false">SUM(P1700:U1700)</f>
        <v>1</v>
      </c>
      <c r="M1700" s="11" t="n">
        <f aca="false">(L1700/(F1700*G1700)*25)*4</f>
        <v>4</v>
      </c>
      <c r="N1700" s="1" t="s">
        <v>30</v>
      </c>
      <c r="O1700" s="1" t="s">
        <v>31</v>
      </c>
      <c r="P1700" s="3" t="n">
        <v>1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f aca="false">SUM(P1700:Q1700)</f>
        <v>1</v>
      </c>
      <c r="W1700" s="3" t="n">
        <f aca="false">SUM(R1700:T1700)</f>
        <v>0</v>
      </c>
      <c r="X1700" s="22" t="n">
        <v>41869</v>
      </c>
      <c r="Y1700" s="22" t="n">
        <v>41874</v>
      </c>
    </row>
    <row r="1701" customFormat="false" ht="14.25" hidden="false" customHeight="false" outlineLevel="0" collapsed="false">
      <c r="A1701" s="1" t="n">
        <v>2014</v>
      </c>
      <c r="B1701" s="1" t="n">
        <v>2</v>
      </c>
      <c r="C1701" s="2" t="s">
        <v>50</v>
      </c>
      <c r="D1701" s="3" t="s">
        <v>158</v>
      </c>
      <c r="E1701" s="3" t="n">
        <v>3</v>
      </c>
      <c r="F1701" s="1" t="n">
        <f aca="false">Y1701-X1701</f>
        <v>5</v>
      </c>
      <c r="G1701" s="1" t="n">
        <v>5</v>
      </c>
      <c r="H1701" s="3" t="s">
        <v>36</v>
      </c>
      <c r="I1701" s="3" t="s">
        <v>37</v>
      </c>
      <c r="J1701" s="3" t="s">
        <v>75</v>
      </c>
      <c r="K1701" s="2" t="str">
        <f aca="false">CONCATENATE(I1701," ",J1701)</f>
        <v>Ozyptila praticola</v>
      </c>
      <c r="L1701" s="3" t="n">
        <f aca="false">SUM(P1701:U1701)</f>
        <v>1</v>
      </c>
      <c r="M1701" s="11" t="n">
        <f aca="false">(L1701/(F1701*G1701)*25)*4</f>
        <v>4</v>
      </c>
      <c r="N1701" s="1" t="s">
        <v>30</v>
      </c>
      <c r="O1701" s="1" t="s">
        <v>31</v>
      </c>
      <c r="P1701" s="3" t="n">
        <v>1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f aca="false">SUM(P1701:Q1701)</f>
        <v>1</v>
      </c>
      <c r="W1701" s="3" t="n">
        <f aca="false">SUM(R1701:T1701)</f>
        <v>0</v>
      </c>
      <c r="X1701" s="22" t="n">
        <v>41869</v>
      </c>
      <c r="Y1701" s="22" t="n">
        <v>41874</v>
      </c>
    </row>
    <row r="1702" customFormat="false" ht="14.25" hidden="false" customHeight="false" outlineLevel="0" collapsed="false">
      <c r="A1702" s="1" t="n">
        <v>2014</v>
      </c>
      <c r="B1702" s="1" t="n">
        <v>2</v>
      </c>
      <c r="C1702" s="2" t="s">
        <v>50</v>
      </c>
      <c r="D1702" s="3" t="s">
        <v>158</v>
      </c>
      <c r="E1702" s="3" t="n">
        <v>3</v>
      </c>
      <c r="F1702" s="1" t="n">
        <f aca="false">Y1702-X1702</f>
        <v>5</v>
      </c>
      <c r="G1702" s="1" t="n">
        <v>5</v>
      </c>
      <c r="H1702" s="3" t="s">
        <v>36</v>
      </c>
      <c r="I1702" s="3" t="s">
        <v>37</v>
      </c>
      <c r="J1702" s="3" t="s">
        <v>38</v>
      </c>
      <c r="K1702" s="2" t="str">
        <f aca="false">CONCATENATE(I1702," ",J1702)</f>
        <v>Ozyptila sp</v>
      </c>
      <c r="L1702" s="3" t="n">
        <f aca="false">SUM(P1702:U1702)</f>
        <v>1</v>
      </c>
      <c r="M1702" s="11" t="n">
        <f aca="false">(L1702/(F1702*G1702)*25)*4</f>
        <v>4</v>
      </c>
      <c r="N1702" s="1" t="s">
        <v>19</v>
      </c>
      <c r="O1702" s="1" t="s">
        <v>35</v>
      </c>
      <c r="P1702" s="3" t="n">
        <v>0</v>
      </c>
      <c r="Q1702" s="3" t="n">
        <v>0</v>
      </c>
      <c r="R1702" s="3" t="n">
        <v>0</v>
      </c>
      <c r="S1702" s="3" t="n">
        <v>1</v>
      </c>
      <c r="T1702" s="3" t="n">
        <v>0</v>
      </c>
      <c r="U1702" s="3" t="n">
        <v>0</v>
      </c>
      <c r="V1702" s="3" t="n">
        <f aca="false">SUM(P1702:Q1702)</f>
        <v>0</v>
      </c>
      <c r="W1702" s="3" t="n">
        <f aca="false">SUM(R1702:T1702)</f>
        <v>1</v>
      </c>
      <c r="X1702" s="22" t="n">
        <v>41869</v>
      </c>
      <c r="Y1702" s="22" t="n">
        <v>41874</v>
      </c>
    </row>
    <row r="1703" customFormat="false" ht="14.25" hidden="false" customHeight="false" outlineLevel="0" collapsed="false">
      <c r="A1703" s="1" t="n">
        <v>2014</v>
      </c>
      <c r="B1703" s="1" t="n">
        <v>2</v>
      </c>
      <c r="C1703" s="2" t="s">
        <v>50</v>
      </c>
      <c r="D1703" s="3" t="s">
        <v>158</v>
      </c>
      <c r="E1703" s="3" t="n">
        <v>3</v>
      </c>
      <c r="F1703" s="1" t="n">
        <f aca="false">Y1703-X1703</f>
        <v>5</v>
      </c>
      <c r="G1703" s="1" t="n">
        <v>5</v>
      </c>
      <c r="H1703" s="3" t="s">
        <v>32</v>
      </c>
      <c r="I1703" s="3" t="s">
        <v>169</v>
      </c>
      <c r="J1703" s="3" t="s">
        <v>170</v>
      </c>
      <c r="K1703" s="2" t="str">
        <f aca="false">CONCATENATE(I1703," ",J1703)</f>
        <v>Abacoproeces saltuum</v>
      </c>
      <c r="L1703" s="3" t="n">
        <f aca="false">SUM(P1703:U1703)</f>
        <v>2</v>
      </c>
      <c r="M1703" s="11" t="n">
        <f aca="false">(L1703/(F1703*G1703)*25)*4</f>
        <v>8</v>
      </c>
      <c r="N1703" s="1" t="s">
        <v>30</v>
      </c>
      <c r="O1703" s="1" t="s">
        <v>35</v>
      </c>
      <c r="P1703" s="3" t="n">
        <v>0</v>
      </c>
      <c r="Q1703" s="3" t="n">
        <v>2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f aca="false">SUM(P1703:Q1703)</f>
        <v>2</v>
      </c>
      <c r="W1703" s="3" t="n">
        <f aca="false">SUM(R1703:T1703)</f>
        <v>0</v>
      </c>
      <c r="X1703" s="22" t="n">
        <v>41869</v>
      </c>
      <c r="Y1703" s="22" t="n">
        <v>41874</v>
      </c>
    </row>
    <row r="1704" customFormat="false" ht="14.25" hidden="false" customHeight="false" outlineLevel="0" collapsed="false">
      <c r="A1704" s="1" t="n">
        <v>2014</v>
      </c>
      <c r="B1704" s="1" t="n">
        <v>2</v>
      </c>
      <c r="C1704" s="2" t="s">
        <v>50</v>
      </c>
      <c r="D1704" s="3" t="s">
        <v>98</v>
      </c>
      <c r="E1704" s="3" t="n">
        <v>3</v>
      </c>
      <c r="F1704" s="1" t="n">
        <f aca="false">Y1704-X1704</f>
        <v>5</v>
      </c>
      <c r="G1704" s="1" t="n">
        <v>5</v>
      </c>
      <c r="H1704" s="3" t="s">
        <v>48</v>
      </c>
      <c r="I1704" s="3" t="s">
        <v>61</v>
      </c>
      <c r="J1704" s="3" t="s">
        <v>82</v>
      </c>
      <c r="K1704" s="2" t="str">
        <f aca="false">CONCATENATE(I1704," ",J1704)</f>
        <v>Trochosa terricola</v>
      </c>
      <c r="L1704" s="3" t="n">
        <f aca="false">SUM(P1704:U1704)</f>
        <v>1</v>
      </c>
      <c r="M1704" s="11" t="n">
        <f aca="false">(L1704/(F1704*G1704)*25)*4</f>
        <v>4</v>
      </c>
      <c r="N1704" s="1" t="s">
        <v>30</v>
      </c>
      <c r="O1704" s="1" t="s">
        <v>31</v>
      </c>
      <c r="P1704" s="3" t="n">
        <v>1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f aca="false">SUM(P1704:Q1704)</f>
        <v>1</v>
      </c>
      <c r="W1704" s="3" t="n">
        <f aca="false">SUM(R1704:T1704)</f>
        <v>0</v>
      </c>
      <c r="X1704" s="22" t="n">
        <v>41869</v>
      </c>
      <c r="Y1704" s="22" t="n">
        <v>41874</v>
      </c>
    </row>
    <row r="1705" customFormat="false" ht="14.25" hidden="false" customHeight="false" outlineLevel="0" collapsed="false">
      <c r="A1705" s="1" t="n">
        <v>2014</v>
      </c>
      <c r="B1705" s="1" t="n">
        <v>2</v>
      </c>
      <c r="C1705" s="2" t="s">
        <v>50</v>
      </c>
      <c r="D1705" s="3" t="s">
        <v>98</v>
      </c>
      <c r="E1705" s="3" t="n">
        <v>3</v>
      </c>
      <c r="F1705" s="1" t="n">
        <f aca="false">Y1705-X1705</f>
        <v>5</v>
      </c>
      <c r="G1705" s="1" t="n">
        <v>5</v>
      </c>
      <c r="H1705" s="3" t="s">
        <v>48</v>
      </c>
      <c r="I1705" s="3" t="s">
        <v>61</v>
      </c>
      <c r="J1705" s="3" t="s">
        <v>82</v>
      </c>
      <c r="K1705" s="2" t="str">
        <f aca="false">CONCATENATE(I1705," ",J1705)</f>
        <v>Trochosa terricola</v>
      </c>
      <c r="L1705" s="3" t="n">
        <f aca="false">SUM(P1705:U1705)</f>
        <v>1</v>
      </c>
      <c r="M1705" s="11" t="n">
        <f aca="false">(L1705/(F1705*G1705)*25)*4</f>
        <v>4</v>
      </c>
      <c r="N1705" s="1" t="s">
        <v>30</v>
      </c>
      <c r="O1705" s="1" t="s">
        <v>35</v>
      </c>
      <c r="P1705" s="3" t="n">
        <v>0</v>
      </c>
      <c r="Q1705" s="3" t="n">
        <v>1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f aca="false">SUM(P1705:Q1705)</f>
        <v>1</v>
      </c>
      <c r="W1705" s="3" t="n">
        <f aca="false">SUM(R1705:T1705)</f>
        <v>0</v>
      </c>
      <c r="X1705" s="22" t="n">
        <v>41869</v>
      </c>
      <c r="Y1705" s="22" t="n">
        <v>41874</v>
      </c>
    </row>
    <row r="1706" customFormat="false" ht="14.25" hidden="false" customHeight="false" outlineLevel="0" collapsed="false">
      <c r="A1706" s="1" t="n">
        <v>2014</v>
      </c>
      <c r="B1706" s="1" t="n">
        <v>2</v>
      </c>
      <c r="C1706" s="2" t="s">
        <v>50</v>
      </c>
      <c r="D1706" s="3" t="s">
        <v>98</v>
      </c>
      <c r="E1706" s="3" t="n">
        <v>3</v>
      </c>
      <c r="F1706" s="1" t="n">
        <f aca="false">Y1706-X1706</f>
        <v>5</v>
      </c>
      <c r="G1706" s="1" t="n">
        <v>5</v>
      </c>
      <c r="H1706" s="3" t="s">
        <v>48</v>
      </c>
      <c r="I1706" s="3" t="s">
        <v>49</v>
      </c>
      <c r="J1706" s="3" t="s">
        <v>38</v>
      </c>
      <c r="K1706" s="2" t="str">
        <f aca="false">CONCATENATE(I1706," ",J1706)</f>
        <v>Alopecosa sp</v>
      </c>
      <c r="L1706" s="3" t="n">
        <f aca="false">SUM(P1706:U1706)</f>
        <v>1</v>
      </c>
      <c r="M1706" s="11" t="n">
        <f aca="false">(L1706/(F1706*G1706)*25)*4</f>
        <v>4</v>
      </c>
      <c r="N1706" s="1" t="s">
        <v>19</v>
      </c>
      <c r="O1706" s="1" t="s">
        <v>35</v>
      </c>
      <c r="P1706" s="3" t="n">
        <v>0</v>
      </c>
      <c r="Q1706" s="3" t="n">
        <v>0</v>
      </c>
      <c r="R1706" s="3" t="n">
        <v>0</v>
      </c>
      <c r="S1706" s="3" t="n">
        <v>1</v>
      </c>
      <c r="T1706" s="3" t="n">
        <v>0</v>
      </c>
      <c r="U1706" s="3" t="n">
        <v>0</v>
      </c>
      <c r="V1706" s="3" t="n">
        <f aca="false">SUM(P1706:Q1706)</f>
        <v>0</v>
      </c>
      <c r="W1706" s="3" t="n">
        <f aca="false">SUM(R1706:T1706)</f>
        <v>1</v>
      </c>
      <c r="X1706" s="22" t="n">
        <v>41869</v>
      </c>
      <c r="Y1706" s="22" t="n">
        <v>41874</v>
      </c>
    </row>
    <row r="1707" customFormat="false" ht="14.25" hidden="false" customHeight="false" outlineLevel="0" collapsed="false">
      <c r="A1707" s="1" t="n">
        <v>2014</v>
      </c>
      <c r="B1707" s="1" t="n">
        <v>2</v>
      </c>
      <c r="C1707" s="2" t="s">
        <v>50</v>
      </c>
      <c r="D1707" s="3" t="s">
        <v>98</v>
      </c>
      <c r="E1707" s="3" t="n">
        <v>3</v>
      </c>
      <c r="F1707" s="1" t="n">
        <f aca="false">Y1707-X1707</f>
        <v>5</v>
      </c>
      <c r="G1707" s="1" t="n">
        <v>5</v>
      </c>
      <c r="H1707" s="3" t="s">
        <v>72</v>
      </c>
      <c r="I1707" s="3" t="s">
        <v>73</v>
      </c>
      <c r="J1707" s="3" t="s">
        <v>74</v>
      </c>
      <c r="K1707" s="2" t="str">
        <f aca="false">CONCATENATE(I1707," ",J1707)</f>
        <v>Zelotes subterraneus</v>
      </c>
      <c r="L1707" s="3" t="n">
        <f aca="false">SUM(P1707:U1707)</f>
        <v>1</v>
      </c>
      <c r="M1707" s="11" t="n">
        <f aca="false">(L1707/(F1707*G1707)*25)*4</f>
        <v>4</v>
      </c>
      <c r="N1707" s="1" t="s">
        <v>30</v>
      </c>
      <c r="O1707" s="1" t="s">
        <v>35</v>
      </c>
      <c r="P1707" s="3" t="n">
        <v>0</v>
      </c>
      <c r="Q1707" s="3" t="n">
        <v>1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f aca="false">SUM(P1707:Q1707)</f>
        <v>1</v>
      </c>
      <c r="W1707" s="3" t="n">
        <f aca="false">SUM(R1707:T1707)</f>
        <v>0</v>
      </c>
      <c r="X1707" s="22" t="n">
        <v>41869</v>
      </c>
      <c r="Y1707" s="22" t="n">
        <v>41874</v>
      </c>
    </row>
    <row r="1708" customFormat="false" ht="14.25" hidden="false" customHeight="false" outlineLevel="0" collapsed="false">
      <c r="A1708" s="1" t="n">
        <v>2014</v>
      </c>
      <c r="B1708" s="1" t="n">
        <v>2</v>
      </c>
      <c r="C1708" s="2" t="s">
        <v>50</v>
      </c>
      <c r="D1708" s="3" t="s">
        <v>98</v>
      </c>
      <c r="E1708" s="3" t="n">
        <v>3</v>
      </c>
      <c r="F1708" s="1" t="n">
        <f aca="false">Y1708-X1708</f>
        <v>5</v>
      </c>
      <c r="G1708" s="1" t="n">
        <v>5</v>
      </c>
      <c r="H1708" s="3" t="s">
        <v>72</v>
      </c>
      <c r="I1708" s="3" t="s">
        <v>73</v>
      </c>
      <c r="J1708" s="3" t="s">
        <v>38</v>
      </c>
      <c r="K1708" s="2" t="str">
        <f aca="false">CONCATENATE(I1708," ",J1708)</f>
        <v>Zelotes sp</v>
      </c>
      <c r="L1708" s="3" t="n">
        <f aca="false">SUM(P1708:U1708)</f>
        <v>1</v>
      </c>
      <c r="M1708" s="11" t="n">
        <f aca="false">(L1708/(F1708*G1708)*25)*4</f>
        <v>4</v>
      </c>
      <c r="N1708" s="1" t="s">
        <v>19</v>
      </c>
      <c r="O1708" s="1" t="s">
        <v>35</v>
      </c>
      <c r="P1708" s="3" t="n">
        <v>0</v>
      </c>
      <c r="Q1708" s="3" t="n">
        <v>0</v>
      </c>
      <c r="R1708" s="3" t="n">
        <v>0</v>
      </c>
      <c r="S1708" s="3" t="n">
        <v>1</v>
      </c>
      <c r="T1708" s="3" t="n">
        <v>0</v>
      </c>
      <c r="U1708" s="3" t="n">
        <v>0</v>
      </c>
      <c r="V1708" s="3" t="n">
        <f aca="false">SUM(P1708:Q1708)</f>
        <v>0</v>
      </c>
      <c r="W1708" s="3" t="n">
        <f aca="false">SUM(R1708:T1708)</f>
        <v>1</v>
      </c>
      <c r="X1708" s="22" t="n">
        <v>41869</v>
      </c>
      <c r="Y1708" s="22" t="n">
        <v>41874</v>
      </c>
    </row>
    <row r="1709" customFormat="false" ht="14.25" hidden="false" customHeight="false" outlineLevel="0" collapsed="false">
      <c r="A1709" s="1" t="n">
        <v>2014</v>
      </c>
      <c r="B1709" s="1" t="n">
        <v>2</v>
      </c>
      <c r="C1709" s="2" t="s">
        <v>50</v>
      </c>
      <c r="D1709" s="3" t="s">
        <v>98</v>
      </c>
      <c r="E1709" s="3" t="n">
        <v>3</v>
      </c>
      <c r="F1709" s="1" t="n">
        <f aca="false">Y1709-X1709</f>
        <v>5</v>
      </c>
      <c r="G1709" s="1" t="n">
        <v>5</v>
      </c>
      <c r="H1709" s="3" t="s">
        <v>36</v>
      </c>
      <c r="I1709" s="3" t="s">
        <v>37</v>
      </c>
      <c r="J1709" s="3" t="s">
        <v>75</v>
      </c>
      <c r="K1709" s="2" t="str">
        <f aca="false">CONCATENATE(I1709," ",J1709)</f>
        <v>Ozyptila praticola</v>
      </c>
      <c r="L1709" s="3" t="n">
        <f aca="false">SUM(P1709:U1709)</f>
        <v>4</v>
      </c>
      <c r="M1709" s="11" t="n">
        <f aca="false">(L1709/(F1709*G1709)*25)*4</f>
        <v>16</v>
      </c>
      <c r="N1709" s="1" t="s">
        <v>30</v>
      </c>
      <c r="O1709" s="1" t="s">
        <v>31</v>
      </c>
      <c r="P1709" s="3" t="n">
        <v>4</v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f aca="false">SUM(P1709:Q1709)</f>
        <v>4</v>
      </c>
      <c r="W1709" s="3" t="n">
        <f aca="false">SUM(R1709:T1709)</f>
        <v>0</v>
      </c>
      <c r="X1709" s="22" t="n">
        <v>41869</v>
      </c>
      <c r="Y1709" s="22" t="n">
        <v>41874</v>
      </c>
    </row>
    <row r="1710" customFormat="false" ht="14.25" hidden="false" customHeight="false" outlineLevel="0" collapsed="false">
      <c r="A1710" s="1" t="n">
        <v>2014</v>
      </c>
      <c r="B1710" s="1" t="n">
        <v>2</v>
      </c>
      <c r="C1710" s="2" t="s">
        <v>50</v>
      </c>
      <c r="D1710" s="3" t="s">
        <v>98</v>
      </c>
      <c r="E1710" s="3" t="n">
        <v>3</v>
      </c>
      <c r="F1710" s="1" t="n">
        <f aca="false">Y1710-X1710</f>
        <v>5</v>
      </c>
      <c r="G1710" s="1" t="n">
        <v>5</v>
      </c>
      <c r="H1710" s="3" t="s">
        <v>36</v>
      </c>
      <c r="I1710" s="3" t="s">
        <v>37</v>
      </c>
      <c r="J1710" s="3" t="s">
        <v>75</v>
      </c>
      <c r="K1710" s="2" t="str">
        <f aca="false">CONCATENATE(I1710," ",J1710)</f>
        <v>Ozyptila praticola</v>
      </c>
      <c r="L1710" s="3" t="n">
        <f aca="false">SUM(P1710:U1710)</f>
        <v>3</v>
      </c>
      <c r="M1710" s="11" t="n">
        <f aca="false">(L1710/(F1710*G1710)*25)*4</f>
        <v>12</v>
      </c>
      <c r="N1710" s="1" t="s">
        <v>30</v>
      </c>
      <c r="O1710" s="1" t="s">
        <v>31</v>
      </c>
      <c r="P1710" s="3" t="n">
        <v>3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f aca="false">SUM(P1710:Q1710)</f>
        <v>3</v>
      </c>
      <c r="W1710" s="3" t="n">
        <f aca="false">SUM(R1710:T1710)</f>
        <v>0</v>
      </c>
      <c r="X1710" s="22" t="n">
        <v>41869</v>
      </c>
      <c r="Y1710" s="22" t="n">
        <v>41874</v>
      </c>
    </row>
    <row r="1711" customFormat="false" ht="14.25" hidden="false" customHeight="false" outlineLevel="0" collapsed="false">
      <c r="A1711" s="1" t="n">
        <v>2014</v>
      </c>
      <c r="B1711" s="1" t="n">
        <v>2</v>
      </c>
      <c r="C1711" s="2" t="s">
        <v>50</v>
      </c>
      <c r="D1711" s="3" t="s">
        <v>98</v>
      </c>
      <c r="E1711" s="3" t="n">
        <v>3</v>
      </c>
      <c r="F1711" s="1" t="n">
        <f aca="false">Y1711-X1711</f>
        <v>5</v>
      </c>
      <c r="G1711" s="1" t="n">
        <v>5</v>
      </c>
      <c r="H1711" s="3" t="s">
        <v>36</v>
      </c>
      <c r="I1711" s="3" t="s">
        <v>131</v>
      </c>
      <c r="J1711" s="3" t="s">
        <v>38</v>
      </c>
      <c r="K1711" s="2" t="str">
        <f aca="false">CONCATENATE(I1711," ",J1711)</f>
        <v>Xysticus sp</v>
      </c>
      <c r="L1711" s="3" t="n">
        <f aca="false">SUM(P1711:U1711)</f>
        <v>1</v>
      </c>
      <c r="M1711" s="11" t="n">
        <f aca="false">(L1711/(F1711*G1711)*25)*4</f>
        <v>4</v>
      </c>
      <c r="N1711" s="1" t="s">
        <v>19</v>
      </c>
      <c r="O1711" s="1" t="s">
        <v>35</v>
      </c>
      <c r="P1711" s="3" t="n">
        <v>0</v>
      </c>
      <c r="Q1711" s="3" t="n">
        <v>0</v>
      </c>
      <c r="R1711" s="3" t="n">
        <v>0</v>
      </c>
      <c r="S1711" s="3" t="n">
        <v>1</v>
      </c>
      <c r="T1711" s="3" t="n">
        <v>0</v>
      </c>
      <c r="U1711" s="3" t="n">
        <v>0</v>
      </c>
      <c r="V1711" s="3" t="n">
        <f aca="false">SUM(P1711:Q1711)</f>
        <v>0</v>
      </c>
      <c r="W1711" s="3" t="n">
        <f aca="false">SUM(R1711:T1711)</f>
        <v>1</v>
      </c>
      <c r="X1711" s="22" t="n">
        <v>41869</v>
      </c>
      <c r="Y1711" s="22" t="n">
        <v>41874</v>
      </c>
    </row>
    <row r="1712" customFormat="false" ht="14.25" hidden="false" customHeight="false" outlineLevel="0" collapsed="false">
      <c r="A1712" s="1" t="n">
        <v>2014</v>
      </c>
      <c r="B1712" s="1" t="n">
        <v>2</v>
      </c>
      <c r="C1712" s="2" t="s">
        <v>50</v>
      </c>
      <c r="D1712" s="3" t="s">
        <v>98</v>
      </c>
      <c r="E1712" s="3" t="n">
        <v>3</v>
      </c>
      <c r="F1712" s="1" t="n">
        <f aca="false">Y1712-X1712</f>
        <v>5</v>
      </c>
      <c r="G1712" s="1" t="n">
        <v>5</v>
      </c>
      <c r="H1712" s="3" t="s">
        <v>72</v>
      </c>
      <c r="I1712" s="3" t="s">
        <v>86</v>
      </c>
      <c r="J1712" s="3" t="s">
        <v>38</v>
      </c>
      <c r="K1712" s="2" t="str">
        <f aca="false">CONCATENATE(I1712," ",J1712)</f>
        <v>Haplodrassus sp</v>
      </c>
      <c r="L1712" s="3" t="n">
        <f aca="false">SUM(P1712:U1712)</f>
        <v>1</v>
      </c>
      <c r="M1712" s="11" t="n">
        <f aca="false">(L1712/(F1712*G1712)*25)*4</f>
        <v>4</v>
      </c>
      <c r="N1712" s="1" t="s">
        <v>19</v>
      </c>
      <c r="O1712" s="1" t="s">
        <v>31</v>
      </c>
      <c r="P1712" s="3" t="n">
        <v>0</v>
      </c>
      <c r="Q1712" s="3" t="n">
        <v>0</v>
      </c>
      <c r="R1712" s="3" t="n">
        <v>1</v>
      </c>
      <c r="S1712" s="3" t="n">
        <v>0</v>
      </c>
      <c r="T1712" s="3" t="n">
        <v>0</v>
      </c>
      <c r="U1712" s="3" t="n">
        <v>0</v>
      </c>
      <c r="V1712" s="3" t="n">
        <f aca="false">SUM(P1712:Q1712)</f>
        <v>0</v>
      </c>
      <c r="W1712" s="3" t="n">
        <f aca="false">SUM(R1712:T1712)</f>
        <v>1</v>
      </c>
      <c r="X1712" s="22" t="n">
        <v>41869</v>
      </c>
      <c r="Y1712" s="22" t="n">
        <v>41874</v>
      </c>
    </row>
    <row r="1713" customFormat="false" ht="14.25" hidden="false" customHeight="false" outlineLevel="0" collapsed="false">
      <c r="A1713" s="1" t="n">
        <v>2014</v>
      </c>
      <c r="B1713" s="1" t="n">
        <v>2</v>
      </c>
      <c r="C1713" s="2" t="s">
        <v>50</v>
      </c>
      <c r="D1713" s="3" t="s">
        <v>98</v>
      </c>
      <c r="E1713" s="3" t="n">
        <v>3</v>
      </c>
      <c r="F1713" s="1" t="n">
        <f aca="false">Y1713-X1713</f>
        <v>5</v>
      </c>
      <c r="G1713" s="1" t="n">
        <v>5</v>
      </c>
      <c r="H1713" s="3" t="s">
        <v>48</v>
      </c>
      <c r="I1713" s="3" t="s">
        <v>49</v>
      </c>
      <c r="J1713" s="3" t="s">
        <v>228</v>
      </c>
      <c r="K1713" s="2" t="str">
        <f aca="false">CONCATENATE(I1713," ",J1713)</f>
        <v>Alopecosa inquilina</v>
      </c>
      <c r="L1713" s="3" t="n">
        <f aca="false">SUM(P1713:U1713)</f>
        <v>1</v>
      </c>
      <c r="M1713" s="11" t="n">
        <f aca="false">(L1713/(F1713*G1713)*25)*4</f>
        <v>4</v>
      </c>
      <c r="N1713" s="1" t="s">
        <v>30</v>
      </c>
      <c r="O1713" s="1" t="s">
        <v>35</v>
      </c>
      <c r="P1713" s="3" t="n">
        <v>0</v>
      </c>
      <c r="Q1713" s="3" t="n">
        <v>1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f aca="false">SUM(P1713:Q1713)</f>
        <v>1</v>
      </c>
      <c r="W1713" s="3" t="n">
        <f aca="false">SUM(R1713:T1713)</f>
        <v>0</v>
      </c>
      <c r="X1713" s="22" t="n">
        <v>41869</v>
      </c>
      <c r="Y1713" s="22" t="n">
        <v>41874</v>
      </c>
    </row>
    <row r="1714" customFormat="false" ht="14.25" hidden="false" customHeight="false" outlineLevel="0" collapsed="false">
      <c r="A1714" s="1" t="n">
        <v>2014</v>
      </c>
      <c r="B1714" s="1" t="n">
        <v>2</v>
      </c>
      <c r="C1714" s="2" t="s">
        <v>50</v>
      </c>
      <c r="D1714" s="3" t="s">
        <v>98</v>
      </c>
      <c r="E1714" s="3" t="n">
        <v>1</v>
      </c>
      <c r="F1714" s="1" t="n">
        <f aca="false">Y1714-X1714</f>
        <v>5</v>
      </c>
      <c r="G1714" s="1" t="n">
        <v>5</v>
      </c>
      <c r="H1714" s="3" t="s">
        <v>72</v>
      </c>
      <c r="I1714" s="3" t="s">
        <v>73</v>
      </c>
      <c r="J1714" s="3" t="s">
        <v>74</v>
      </c>
      <c r="K1714" s="2" t="str">
        <f aca="false">CONCATENATE(I1714," ",J1714)</f>
        <v>Zelotes subterraneus</v>
      </c>
      <c r="L1714" s="3" t="n">
        <f aca="false">SUM(P1714:U1714)</f>
        <v>2</v>
      </c>
      <c r="M1714" s="11" t="n">
        <f aca="false">(L1714/(F1714*G1714)*25)*4</f>
        <v>8</v>
      </c>
      <c r="N1714" s="1" t="s">
        <v>30</v>
      </c>
      <c r="O1714" s="1" t="s">
        <v>31</v>
      </c>
      <c r="P1714" s="3" t="n">
        <v>2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f aca="false">SUM(P1714:Q1714)</f>
        <v>2</v>
      </c>
      <c r="W1714" s="3" t="n">
        <f aca="false">SUM(R1714:T1714)</f>
        <v>0</v>
      </c>
      <c r="X1714" s="22" t="n">
        <v>41869</v>
      </c>
      <c r="Y1714" s="22" t="n">
        <v>41874</v>
      </c>
    </row>
    <row r="1715" customFormat="false" ht="14.25" hidden="false" customHeight="false" outlineLevel="0" collapsed="false">
      <c r="A1715" s="1" t="n">
        <v>2014</v>
      </c>
      <c r="B1715" s="1" t="n">
        <v>2</v>
      </c>
      <c r="C1715" s="2" t="s">
        <v>50</v>
      </c>
      <c r="D1715" s="3" t="s">
        <v>98</v>
      </c>
      <c r="E1715" s="3" t="n">
        <v>1</v>
      </c>
      <c r="F1715" s="1" t="n">
        <f aca="false">Y1715-X1715</f>
        <v>5</v>
      </c>
      <c r="G1715" s="1" t="n">
        <v>5</v>
      </c>
      <c r="H1715" s="3" t="s">
        <v>72</v>
      </c>
      <c r="I1715" s="3" t="s">
        <v>73</v>
      </c>
      <c r="J1715" s="3" t="s">
        <v>74</v>
      </c>
      <c r="K1715" s="2" t="str">
        <f aca="false">CONCATENATE(I1715," ",J1715)</f>
        <v>Zelotes subterraneus</v>
      </c>
      <c r="L1715" s="3" t="n">
        <f aca="false">SUM(P1715:U1715)</f>
        <v>2</v>
      </c>
      <c r="M1715" s="11" t="n">
        <f aca="false">(L1715/(F1715*G1715)*25)*4</f>
        <v>8</v>
      </c>
      <c r="N1715" s="1" t="s">
        <v>30</v>
      </c>
      <c r="O1715" s="1" t="s">
        <v>35</v>
      </c>
      <c r="P1715" s="3" t="n">
        <v>0</v>
      </c>
      <c r="Q1715" s="3" t="n">
        <v>2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f aca="false">SUM(P1715:Q1715)</f>
        <v>2</v>
      </c>
      <c r="W1715" s="3" t="n">
        <f aca="false">SUM(R1715:T1715)</f>
        <v>0</v>
      </c>
      <c r="X1715" s="22" t="n">
        <v>41869</v>
      </c>
      <c r="Y1715" s="22" t="n">
        <v>41874</v>
      </c>
    </row>
    <row r="1716" customFormat="false" ht="14.25" hidden="false" customHeight="false" outlineLevel="0" collapsed="false">
      <c r="A1716" s="1" t="n">
        <v>2014</v>
      </c>
      <c r="B1716" s="1" t="n">
        <v>2</v>
      </c>
      <c r="C1716" s="2" t="s">
        <v>50</v>
      </c>
      <c r="D1716" s="3" t="s">
        <v>98</v>
      </c>
      <c r="E1716" s="3" t="n">
        <v>1</v>
      </c>
      <c r="F1716" s="1" t="n">
        <f aca="false">Y1716-X1716</f>
        <v>5</v>
      </c>
      <c r="G1716" s="1" t="n">
        <v>5</v>
      </c>
      <c r="H1716" s="3" t="s">
        <v>48</v>
      </c>
      <c r="I1716" s="3" t="s">
        <v>61</v>
      </c>
      <c r="J1716" s="3" t="s">
        <v>82</v>
      </c>
      <c r="K1716" s="2" t="str">
        <f aca="false">CONCATENATE(I1716," ",J1716)</f>
        <v>Trochosa terricola</v>
      </c>
      <c r="L1716" s="3" t="n">
        <f aca="false">SUM(P1716:U1716)</f>
        <v>1</v>
      </c>
      <c r="M1716" s="11" t="n">
        <f aca="false">(L1716/(F1716*G1716)*25)*4</f>
        <v>4</v>
      </c>
      <c r="N1716" s="1" t="s">
        <v>30</v>
      </c>
      <c r="O1716" s="1" t="s">
        <v>35</v>
      </c>
      <c r="P1716" s="3" t="n">
        <v>0</v>
      </c>
      <c r="Q1716" s="3" t="n">
        <v>1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f aca="false">SUM(P1716:Q1716)</f>
        <v>1</v>
      </c>
      <c r="W1716" s="3" t="n">
        <f aca="false">SUM(R1716:T1716)</f>
        <v>0</v>
      </c>
      <c r="X1716" s="22" t="n">
        <v>41869</v>
      </c>
      <c r="Y1716" s="22" t="n">
        <v>41874</v>
      </c>
    </row>
    <row r="1717" customFormat="false" ht="14.25" hidden="false" customHeight="false" outlineLevel="0" collapsed="false">
      <c r="A1717" s="1" t="n">
        <v>2014</v>
      </c>
      <c r="B1717" s="1" t="n">
        <v>2</v>
      </c>
      <c r="C1717" s="2" t="s">
        <v>50</v>
      </c>
      <c r="D1717" s="3" t="s">
        <v>98</v>
      </c>
      <c r="E1717" s="3" t="n">
        <v>1</v>
      </c>
      <c r="F1717" s="1" t="n">
        <f aca="false">Y1717-X1717</f>
        <v>5</v>
      </c>
      <c r="G1717" s="1" t="n">
        <v>5</v>
      </c>
      <c r="H1717" s="3" t="s">
        <v>48</v>
      </c>
      <c r="I1717" s="3" t="s">
        <v>49</v>
      </c>
      <c r="J1717" s="3" t="s">
        <v>38</v>
      </c>
      <c r="K1717" s="2" t="str">
        <f aca="false">CONCATENATE(I1717," ",J1717)</f>
        <v>Alopecosa sp</v>
      </c>
      <c r="L1717" s="3" t="n">
        <f aca="false">SUM(P1717:U1717)</f>
        <v>1</v>
      </c>
      <c r="M1717" s="11" t="n">
        <f aca="false">(L1717/(F1717*G1717)*25)*4</f>
        <v>4</v>
      </c>
      <c r="N1717" s="1" t="s">
        <v>19</v>
      </c>
      <c r="O1717" s="1" t="s">
        <v>31</v>
      </c>
      <c r="P1717" s="3" t="n">
        <v>0</v>
      </c>
      <c r="Q1717" s="3" t="n">
        <v>0</v>
      </c>
      <c r="R1717" s="3" t="n">
        <v>1</v>
      </c>
      <c r="S1717" s="3" t="n">
        <v>0</v>
      </c>
      <c r="T1717" s="3" t="n">
        <v>0</v>
      </c>
      <c r="U1717" s="3" t="n">
        <v>0</v>
      </c>
      <c r="V1717" s="3" t="n">
        <f aca="false">SUM(P1717:Q1717)</f>
        <v>0</v>
      </c>
      <c r="W1717" s="3" t="n">
        <f aca="false">SUM(R1717:T1717)</f>
        <v>1</v>
      </c>
      <c r="X1717" s="22" t="n">
        <v>41869</v>
      </c>
      <c r="Y1717" s="22" t="n">
        <v>41874</v>
      </c>
    </row>
    <row r="1718" customFormat="false" ht="14.25" hidden="false" customHeight="false" outlineLevel="0" collapsed="false">
      <c r="A1718" s="1" t="n">
        <v>2014</v>
      </c>
      <c r="B1718" s="1" t="n">
        <v>2</v>
      </c>
      <c r="C1718" s="2" t="s">
        <v>50</v>
      </c>
      <c r="D1718" s="3" t="s">
        <v>98</v>
      </c>
      <c r="E1718" s="3" t="n">
        <v>3</v>
      </c>
      <c r="F1718" s="1" t="n">
        <f aca="false">Y1718-X1718</f>
        <v>5</v>
      </c>
      <c r="G1718" s="1" t="n">
        <v>5</v>
      </c>
      <c r="H1718" s="3" t="s">
        <v>36</v>
      </c>
      <c r="I1718" s="3" t="s">
        <v>37</v>
      </c>
      <c r="J1718" s="3" t="s">
        <v>75</v>
      </c>
      <c r="K1718" s="2" t="str">
        <f aca="false">CONCATENATE(I1718," ",J1718)</f>
        <v>Ozyptila praticola</v>
      </c>
      <c r="L1718" s="3" t="n">
        <f aca="false">SUM(P1718:U1718)</f>
        <v>2</v>
      </c>
      <c r="M1718" s="11" t="n">
        <f aca="false">(L1718/(F1718*G1718)*25)*4</f>
        <v>8</v>
      </c>
      <c r="N1718" s="1" t="s">
        <v>30</v>
      </c>
      <c r="O1718" s="1" t="s">
        <v>31</v>
      </c>
      <c r="P1718" s="3" t="n">
        <v>2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f aca="false">SUM(P1718:Q1718)</f>
        <v>2</v>
      </c>
      <c r="W1718" s="3" t="n">
        <f aca="false">SUM(R1718:T1718)</f>
        <v>0</v>
      </c>
      <c r="X1718" s="22" t="n">
        <v>41869</v>
      </c>
      <c r="Y1718" s="22" t="n">
        <v>41874</v>
      </c>
    </row>
    <row r="1719" customFormat="false" ht="14.25" hidden="false" customHeight="false" outlineLevel="0" collapsed="false">
      <c r="A1719" s="1" t="n">
        <v>2014</v>
      </c>
      <c r="B1719" s="1" t="n">
        <v>2</v>
      </c>
      <c r="C1719" s="2" t="s">
        <v>50</v>
      </c>
      <c r="D1719" s="3" t="s">
        <v>98</v>
      </c>
      <c r="E1719" s="3" t="n">
        <v>3</v>
      </c>
      <c r="F1719" s="1" t="n">
        <f aca="false">Y1719-X1719</f>
        <v>5</v>
      </c>
      <c r="G1719" s="1" t="n">
        <v>5</v>
      </c>
      <c r="H1719" s="3" t="s">
        <v>36</v>
      </c>
      <c r="I1719" s="3" t="s">
        <v>37</v>
      </c>
      <c r="J1719" s="3" t="s">
        <v>75</v>
      </c>
      <c r="K1719" s="2" t="str">
        <f aca="false">CONCATENATE(I1719," ",J1719)</f>
        <v>Ozyptila praticola</v>
      </c>
      <c r="L1719" s="3" t="n">
        <f aca="false">SUM(P1719:U1719)</f>
        <v>1</v>
      </c>
      <c r="M1719" s="11" t="n">
        <f aca="false">(L1719/(F1719*G1719)*25)*4</f>
        <v>4</v>
      </c>
      <c r="N1719" s="1" t="s">
        <v>19</v>
      </c>
      <c r="O1719" s="1" t="s">
        <v>31</v>
      </c>
      <c r="P1719" s="3" t="n">
        <v>0</v>
      </c>
      <c r="Q1719" s="3" t="n">
        <v>0</v>
      </c>
      <c r="R1719" s="3" t="n">
        <v>1</v>
      </c>
      <c r="S1719" s="3" t="n">
        <v>0</v>
      </c>
      <c r="T1719" s="3" t="n">
        <v>0</v>
      </c>
      <c r="U1719" s="3" t="n">
        <v>0</v>
      </c>
      <c r="V1719" s="3" t="n">
        <f aca="false">SUM(P1719:Q1719)</f>
        <v>0</v>
      </c>
      <c r="W1719" s="3" t="n">
        <f aca="false">SUM(R1719:T1719)</f>
        <v>1</v>
      </c>
      <c r="X1719" s="22" t="n">
        <v>41869</v>
      </c>
      <c r="Y1719" s="22" t="n">
        <v>41874</v>
      </c>
    </row>
    <row r="1720" customFormat="false" ht="14.25" hidden="false" customHeight="false" outlineLevel="0" collapsed="false">
      <c r="A1720" s="1" t="n">
        <v>2014</v>
      </c>
      <c r="B1720" s="1" t="n">
        <v>2</v>
      </c>
      <c r="C1720" s="2" t="s">
        <v>50</v>
      </c>
      <c r="D1720" s="3" t="s">
        <v>98</v>
      </c>
      <c r="E1720" s="3" t="n">
        <v>3</v>
      </c>
      <c r="F1720" s="1" t="n">
        <f aca="false">Y1720-X1720</f>
        <v>5</v>
      </c>
      <c r="G1720" s="1" t="n">
        <v>5</v>
      </c>
      <c r="H1720" s="3" t="s">
        <v>48</v>
      </c>
      <c r="I1720" s="3" t="s">
        <v>61</v>
      </c>
      <c r="J1720" s="3" t="s">
        <v>82</v>
      </c>
      <c r="K1720" s="2" t="str">
        <f aca="false">CONCATENATE(I1720," ",J1720)</f>
        <v>Trochosa terricola</v>
      </c>
      <c r="L1720" s="3" t="n">
        <f aca="false">SUM(P1720:U1720)</f>
        <v>2</v>
      </c>
      <c r="M1720" s="11" t="n">
        <f aca="false">(L1720/(F1720*G1720)*25)*4</f>
        <v>8</v>
      </c>
      <c r="N1720" s="1" t="s">
        <v>30</v>
      </c>
      <c r="O1720" s="1" t="s">
        <v>35</v>
      </c>
      <c r="P1720" s="3" t="n">
        <v>0</v>
      </c>
      <c r="Q1720" s="3" t="n">
        <v>2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f aca="false">SUM(P1720:Q1720)</f>
        <v>2</v>
      </c>
      <c r="W1720" s="3" t="n">
        <f aca="false">SUM(R1720:T1720)</f>
        <v>0</v>
      </c>
      <c r="X1720" s="22" t="n">
        <v>41869</v>
      </c>
      <c r="Y1720" s="22" t="n">
        <v>41874</v>
      </c>
    </row>
    <row r="1721" customFormat="false" ht="14.25" hidden="false" customHeight="false" outlineLevel="0" collapsed="false">
      <c r="A1721" s="1" t="n">
        <v>2014</v>
      </c>
      <c r="B1721" s="1" t="n">
        <v>2</v>
      </c>
      <c r="C1721" s="2" t="s">
        <v>50</v>
      </c>
      <c r="D1721" s="3" t="s">
        <v>98</v>
      </c>
      <c r="E1721" s="3" t="n">
        <v>3</v>
      </c>
      <c r="F1721" s="1" t="n">
        <f aca="false">Y1721-X1721</f>
        <v>5</v>
      </c>
      <c r="G1721" s="1" t="n">
        <v>5</v>
      </c>
      <c r="H1721" s="3" t="s">
        <v>48</v>
      </c>
      <c r="I1721" s="3" t="s">
        <v>61</v>
      </c>
      <c r="J1721" s="3" t="s">
        <v>82</v>
      </c>
      <c r="K1721" s="2" t="str">
        <f aca="false">CONCATENATE(I1721," ",J1721)</f>
        <v>Trochosa terricola</v>
      </c>
      <c r="L1721" s="3" t="n">
        <f aca="false">SUM(P1721:U1721)</f>
        <v>41</v>
      </c>
      <c r="M1721" s="11" t="n">
        <f aca="false">(L1721/(F1721*G1721)*25)*4</f>
        <v>164</v>
      </c>
      <c r="N1721" s="1" t="s">
        <v>19</v>
      </c>
      <c r="O1721" s="1" t="s">
        <v>54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41</v>
      </c>
      <c r="U1721" s="3" t="n">
        <v>0</v>
      </c>
      <c r="V1721" s="3" t="n">
        <f aca="false">SUM(P1721:Q1721)</f>
        <v>0</v>
      </c>
      <c r="W1721" s="3" t="n">
        <f aca="false">SUM(R1721:T1721)</f>
        <v>41</v>
      </c>
      <c r="X1721" s="22" t="n">
        <v>41869</v>
      </c>
      <c r="Y1721" s="22" t="n">
        <v>41874</v>
      </c>
    </row>
    <row r="1722" customFormat="false" ht="14.25" hidden="false" customHeight="false" outlineLevel="0" collapsed="false">
      <c r="A1722" s="1" t="n">
        <v>2014</v>
      </c>
      <c r="B1722" s="1" t="n">
        <v>2</v>
      </c>
      <c r="C1722" s="2" t="s">
        <v>50</v>
      </c>
      <c r="D1722" s="3" t="s">
        <v>98</v>
      </c>
      <c r="E1722" s="3" t="n">
        <v>3</v>
      </c>
      <c r="F1722" s="1" t="n">
        <f aca="false">Y1722-X1722</f>
        <v>5</v>
      </c>
      <c r="G1722" s="1" t="n">
        <v>5</v>
      </c>
      <c r="H1722" s="3" t="s">
        <v>48</v>
      </c>
      <c r="I1722" s="3" t="s">
        <v>57</v>
      </c>
      <c r="J1722" s="3" t="s">
        <v>38</v>
      </c>
      <c r="K1722" s="2" t="str">
        <f aca="false">CONCATENATE(I1722," ",J1722)</f>
        <v>Gen sp</v>
      </c>
      <c r="L1722" s="3" t="n">
        <f aca="false">SUM(P1722:U1722)</f>
        <v>1</v>
      </c>
      <c r="M1722" s="11" t="n">
        <f aca="false">(L1722/(F1722*G1722)*25)*4</f>
        <v>4</v>
      </c>
      <c r="N1722" s="1" t="s">
        <v>19</v>
      </c>
      <c r="O1722" s="1" t="s">
        <v>54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1</v>
      </c>
      <c r="U1722" s="3" t="n">
        <v>0</v>
      </c>
      <c r="V1722" s="3" t="n">
        <f aca="false">SUM(P1722:Q1722)</f>
        <v>0</v>
      </c>
      <c r="W1722" s="3" t="n">
        <f aca="false">SUM(R1722:T1722)</f>
        <v>1</v>
      </c>
      <c r="X1722" s="22" t="n">
        <v>41869</v>
      </c>
      <c r="Y1722" s="22" t="n">
        <v>41874</v>
      </c>
    </row>
    <row r="1723" customFormat="false" ht="14.25" hidden="false" customHeight="false" outlineLevel="0" collapsed="false">
      <c r="A1723" s="1" t="n">
        <v>2014</v>
      </c>
      <c r="B1723" s="1" t="n">
        <v>2</v>
      </c>
      <c r="C1723" s="2" t="s">
        <v>50</v>
      </c>
      <c r="D1723" s="3" t="s">
        <v>98</v>
      </c>
      <c r="E1723" s="3" t="n">
        <v>3</v>
      </c>
      <c r="F1723" s="1" t="n">
        <f aca="false">Y1723-X1723</f>
        <v>5</v>
      </c>
      <c r="G1723" s="1" t="n">
        <v>5</v>
      </c>
      <c r="H1723" s="3" t="s">
        <v>48</v>
      </c>
      <c r="I1723" s="3" t="s">
        <v>57</v>
      </c>
      <c r="J1723" s="3" t="s">
        <v>38</v>
      </c>
      <c r="K1723" s="2" t="str">
        <f aca="false">CONCATENATE(I1723," ",J1723)</f>
        <v>Gen sp</v>
      </c>
      <c r="L1723" s="3" t="n">
        <f aca="false">SUM(P1723:U1723)</f>
        <v>1</v>
      </c>
      <c r="M1723" s="11" t="n">
        <f aca="false">(L1723/(F1723*G1723)*25)*4</f>
        <v>4</v>
      </c>
      <c r="N1723" s="1" t="s">
        <v>19</v>
      </c>
      <c r="O1723" s="1" t="s">
        <v>54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1</v>
      </c>
      <c r="U1723" s="3" t="n">
        <v>0</v>
      </c>
      <c r="V1723" s="3" t="n">
        <f aca="false">SUM(P1723:Q1723)</f>
        <v>0</v>
      </c>
      <c r="W1723" s="3" t="n">
        <f aca="false">SUM(R1723:T1723)</f>
        <v>1</v>
      </c>
      <c r="X1723" s="22" t="n">
        <v>41869</v>
      </c>
      <c r="Y1723" s="22" t="n">
        <v>41874</v>
      </c>
    </row>
    <row r="1724" customFormat="false" ht="14.25" hidden="false" customHeight="false" outlineLevel="0" collapsed="false">
      <c r="A1724" s="1" t="n">
        <v>2014</v>
      </c>
      <c r="B1724" s="1" t="n">
        <v>2</v>
      </c>
      <c r="C1724" s="2" t="s">
        <v>50</v>
      </c>
      <c r="D1724" s="3" t="s">
        <v>98</v>
      </c>
      <c r="E1724" s="3" t="n">
        <v>1</v>
      </c>
      <c r="F1724" s="1" t="n">
        <f aca="false">Y1724-X1724</f>
        <v>5</v>
      </c>
      <c r="G1724" s="1" t="n">
        <v>5</v>
      </c>
      <c r="H1724" s="3" t="s">
        <v>36</v>
      </c>
      <c r="I1724" s="3" t="s">
        <v>37</v>
      </c>
      <c r="J1724" s="3" t="s">
        <v>75</v>
      </c>
      <c r="K1724" s="2" t="str">
        <f aca="false">CONCATENATE(I1724," ",J1724)</f>
        <v>Ozyptila praticola</v>
      </c>
      <c r="L1724" s="3" t="n">
        <f aca="false">SUM(P1724:U1724)</f>
        <v>2</v>
      </c>
      <c r="M1724" s="11" t="n">
        <f aca="false">(L1724/(F1724*G1724)*25)*4</f>
        <v>8</v>
      </c>
      <c r="N1724" s="1" t="s">
        <v>30</v>
      </c>
      <c r="O1724" s="1" t="s">
        <v>31</v>
      </c>
      <c r="P1724" s="3" t="n">
        <v>2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f aca="false">SUM(P1724:Q1724)</f>
        <v>2</v>
      </c>
      <c r="W1724" s="3" t="n">
        <f aca="false">SUM(R1724:T1724)</f>
        <v>0</v>
      </c>
      <c r="X1724" s="22" t="n">
        <v>41869</v>
      </c>
      <c r="Y1724" s="22" t="n">
        <v>41874</v>
      </c>
    </row>
    <row r="1725" customFormat="false" ht="14.25" hidden="false" customHeight="false" outlineLevel="0" collapsed="false">
      <c r="A1725" s="1" t="n">
        <v>2014</v>
      </c>
      <c r="B1725" s="1" t="n">
        <v>2</v>
      </c>
      <c r="C1725" s="2" t="s">
        <v>50</v>
      </c>
      <c r="D1725" s="3" t="s">
        <v>98</v>
      </c>
      <c r="E1725" s="3" t="n">
        <v>1</v>
      </c>
      <c r="F1725" s="1" t="n">
        <f aca="false">Y1725-X1725</f>
        <v>5</v>
      </c>
      <c r="G1725" s="1" t="n">
        <v>5</v>
      </c>
      <c r="H1725" s="3" t="s">
        <v>72</v>
      </c>
      <c r="I1725" s="3" t="s">
        <v>73</v>
      </c>
      <c r="J1725" s="3" t="s">
        <v>74</v>
      </c>
      <c r="K1725" s="2" t="str">
        <f aca="false">CONCATENATE(I1725," ",J1725)</f>
        <v>Zelotes subterraneus</v>
      </c>
      <c r="L1725" s="3" t="n">
        <f aca="false">SUM(P1725:U1725)</f>
        <v>1</v>
      </c>
      <c r="M1725" s="11" t="n">
        <f aca="false">(L1725/(F1725*G1725)*25)*4</f>
        <v>4</v>
      </c>
      <c r="N1725" s="1" t="s">
        <v>30</v>
      </c>
      <c r="O1725" s="1" t="s">
        <v>35</v>
      </c>
      <c r="P1725" s="3" t="n">
        <v>0</v>
      </c>
      <c r="Q1725" s="3" t="n">
        <v>1</v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f aca="false">SUM(P1725:Q1725)</f>
        <v>1</v>
      </c>
      <c r="W1725" s="3" t="n">
        <f aca="false">SUM(R1725:T1725)</f>
        <v>0</v>
      </c>
      <c r="X1725" s="22" t="n">
        <v>41869</v>
      </c>
      <c r="Y1725" s="22" t="n">
        <v>41874</v>
      </c>
    </row>
    <row r="1726" customFormat="false" ht="14.25" hidden="false" customHeight="false" outlineLevel="0" collapsed="false">
      <c r="A1726" s="1" t="n">
        <v>2014</v>
      </c>
      <c r="B1726" s="1" t="n">
        <v>2</v>
      </c>
      <c r="C1726" s="2" t="s">
        <v>50</v>
      </c>
      <c r="D1726" s="3" t="s">
        <v>98</v>
      </c>
      <c r="E1726" s="3" t="n">
        <v>1</v>
      </c>
      <c r="F1726" s="1" t="n">
        <f aca="false">Y1726-X1726</f>
        <v>5</v>
      </c>
      <c r="G1726" s="1" t="n">
        <v>5</v>
      </c>
      <c r="H1726" s="3" t="s">
        <v>48</v>
      </c>
      <c r="I1726" s="3" t="s">
        <v>61</v>
      </c>
      <c r="J1726" s="3" t="s">
        <v>82</v>
      </c>
      <c r="K1726" s="2" t="str">
        <f aca="false">CONCATENATE(I1726," ",J1726)</f>
        <v>Trochosa terricola</v>
      </c>
      <c r="L1726" s="3" t="n">
        <f aca="false">SUM(P1726:U1726)</f>
        <v>2</v>
      </c>
      <c r="M1726" s="11" t="n">
        <f aca="false">(L1726/(F1726*G1726)*25)*4</f>
        <v>8</v>
      </c>
      <c r="N1726" s="1" t="s">
        <v>30</v>
      </c>
      <c r="O1726" s="1" t="s">
        <v>35</v>
      </c>
      <c r="P1726" s="3" t="n">
        <v>0</v>
      </c>
      <c r="Q1726" s="3" t="n">
        <v>2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f aca="false">SUM(P1726:Q1726)</f>
        <v>2</v>
      </c>
      <c r="W1726" s="3" t="n">
        <f aca="false">SUM(R1726:T1726)</f>
        <v>0</v>
      </c>
      <c r="X1726" s="22" t="n">
        <v>41869</v>
      </c>
      <c r="Y1726" s="22" t="n">
        <v>41874</v>
      </c>
    </row>
    <row r="1727" customFormat="false" ht="14.25" hidden="false" customHeight="false" outlineLevel="0" collapsed="false">
      <c r="A1727" s="1" t="n">
        <v>2014</v>
      </c>
      <c r="B1727" s="1" t="n">
        <v>2</v>
      </c>
      <c r="C1727" s="2" t="s">
        <v>50</v>
      </c>
      <c r="D1727" s="3" t="s">
        <v>98</v>
      </c>
      <c r="E1727" s="3" t="n">
        <v>1</v>
      </c>
      <c r="F1727" s="1" t="n">
        <f aca="false">Y1727-X1727</f>
        <v>5</v>
      </c>
      <c r="G1727" s="1" t="n">
        <v>5</v>
      </c>
      <c r="H1727" s="3" t="s">
        <v>48</v>
      </c>
      <c r="I1727" s="3" t="s">
        <v>61</v>
      </c>
      <c r="J1727" s="3" t="s">
        <v>38</v>
      </c>
      <c r="K1727" s="2" t="str">
        <f aca="false">CONCATENATE(I1727," ",J1727)</f>
        <v>Trochosa sp</v>
      </c>
      <c r="L1727" s="3" t="n">
        <f aca="false">SUM(P1727:U1727)</f>
        <v>1</v>
      </c>
      <c r="M1727" s="11" t="n">
        <f aca="false">(L1727/(F1727*G1727)*25)*4</f>
        <v>4</v>
      </c>
      <c r="N1727" s="1" t="s">
        <v>30</v>
      </c>
      <c r="O1727" s="1" t="s">
        <v>35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1</v>
      </c>
      <c r="V1727" s="3" t="n">
        <f aca="false">SUM(P1727:Q1727)</f>
        <v>0</v>
      </c>
      <c r="W1727" s="3" t="n">
        <f aca="false">SUM(R1727:T1727)</f>
        <v>0</v>
      </c>
      <c r="X1727" s="22" t="n">
        <v>41869</v>
      </c>
      <c r="Y1727" s="22" t="n">
        <v>41874</v>
      </c>
    </row>
    <row r="1728" customFormat="false" ht="14.25" hidden="false" customHeight="false" outlineLevel="0" collapsed="false">
      <c r="A1728" s="1" t="n">
        <v>2014</v>
      </c>
      <c r="B1728" s="1" t="n">
        <v>2</v>
      </c>
      <c r="C1728" s="2" t="s">
        <v>50</v>
      </c>
      <c r="D1728" s="3" t="s">
        <v>98</v>
      </c>
      <c r="E1728" s="3" t="n">
        <v>2</v>
      </c>
      <c r="F1728" s="1" t="n">
        <f aca="false">Y1728-X1728</f>
        <v>5</v>
      </c>
      <c r="G1728" s="1" t="n">
        <v>5</v>
      </c>
      <c r="H1728" s="3" t="s">
        <v>48</v>
      </c>
      <c r="I1728" s="3" t="s">
        <v>61</v>
      </c>
      <c r="J1728" s="3" t="s">
        <v>82</v>
      </c>
      <c r="K1728" s="2" t="str">
        <f aca="false">CONCATENATE(I1728," ",J1728)</f>
        <v>Trochosa terricola</v>
      </c>
      <c r="L1728" s="3" t="n">
        <f aca="false">SUM(P1728:U1728)</f>
        <v>1</v>
      </c>
      <c r="M1728" s="11" t="n">
        <f aca="false">(L1728/(F1728*G1728)*25)*4</f>
        <v>4</v>
      </c>
      <c r="N1728" s="1" t="s">
        <v>30</v>
      </c>
      <c r="O1728" s="1" t="s">
        <v>35</v>
      </c>
      <c r="P1728" s="3" t="n">
        <v>0</v>
      </c>
      <c r="Q1728" s="3" t="n">
        <v>1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f aca="false">SUM(P1728:Q1728)</f>
        <v>1</v>
      </c>
      <c r="W1728" s="3" t="n">
        <f aca="false">SUM(R1728:T1728)</f>
        <v>0</v>
      </c>
      <c r="X1728" s="22" t="n">
        <v>41869</v>
      </c>
      <c r="Y1728" s="22" t="n">
        <v>41874</v>
      </c>
    </row>
    <row r="1729" customFormat="false" ht="14.25" hidden="false" customHeight="false" outlineLevel="0" collapsed="false">
      <c r="A1729" s="1" t="n">
        <v>2014</v>
      </c>
      <c r="B1729" s="1" t="n">
        <v>2</v>
      </c>
      <c r="C1729" s="2" t="s">
        <v>50</v>
      </c>
      <c r="D1729" s="3" t="s">
        <v>98</v>
      </c>
      <c r="E1729" s="3" t="n">
        <v>2</v>
      </c>
      <c r="F1729" s="1" t="n">
        <f aca="false">Y1729-X1729</f>
        <v>5</v>
      </c>
      <c r="G1729" s="1" t="n">
        <v>5</v>
      </c>
      <c r="H1729" s="3" t="s">
        <v>48</v>
      </c>
      <c r="I1729" s="3" t="s">
        <v>61</v>
      </c>
      <c r="J1729" s="3" t="s">
        <v>38</v>
      </c>
      <c r="K1729" s="2" t="str">
        <f aca="false">CONCATENATE(I1729," ",J1729)</f>
        <v>Trochosa sp</v>
      </c>
      <c r="L1729" s="3" t="n">
        <f aca="false">SUM(P1729:U1729)</f>
        <v>1</v>
      </c>
      <c r="M1729" s="11" t="n">
        <f aca="false">(L1729/(F1729*G1729)*25)*4</f>
        <v>4</v>
      </c>
      <c r="N1729" s="1" t="s">
        <v>19</v>
      </c>
      <c r="O1729" s="1" t="s">
        <v>54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1</v>
      </c>
      <c r="U1729" s="3" t="n">
        <v>0</v>
      </c>
      <c r="V1729" s="3" t="n">
        <f aca="false">SUM(P1729:Q1729)</f>
        <v>0</v>
      </c>
      <c r="W1729" s="3" t="n">
        <f aca="false">SUM(R1729:T1729)</f>
        <v>1</v>
      </c>
      <c r="X1729" s="22" t="n">
        <v>41869</v>
      </c>
      <c r="Y1729" s="22" t="n">
        <v>41874</v>
      </c>
    </row>
    <row r="1730" customFormat="false" ht="14.25" hidden="false" customHeight="false" outlineLevel="0" collapsed="false">
      <c r="A1730" s="1" t="n">
        <v>2014</v>
      </c>
      <c r="B1730" s="1" t="n">
        <v>2</v>
      </c>
      <c r="C1730" s="2" t="s">
        <v>50</v>
      </c>
      <c r="D1730" s="3" t="s">
        <v>98</v>
      </c>
      <c r="E1730" s="3" t="n">
        <v>2</v>
      </c>
      <c r="F1730" s="1" t="n">
        <f aca="false">Y1730-X1730</f>
        <v>5</v>
      </c>
      <c r="G1730" s="1" t="n">
        <v>5</v>
      </c>
      <c r="H1730" s="3" t="s">
        <v>48</v>
      </c>
      <c r="I1730" s="3" t="s">
        <v>49</v>
      </c>
      <c r="J1730" s="3" t="s">
        <v>38</v>
      </c>
      <c r="K1730" s="2" t="str">
        <f aca="false">CONCATENATE(I1730," ",J1730)</f>
        <v>Alopecosa sp</v>
      </c>
      <c r="L1730" s="3" t="n">
        <f aca="false">SUM(P1730:U1730)</f>
        <v>1</v>
      </c>
      <c r="M1730" s="11" t="n">
        <f aca="false">(L1730/(F1730*G1730)*25)*4</f>
        <v>4</v>
      </c>
      <c r="N1730" s="1" t="s">
        <v>19</v>
      </c>
      <c r="O1730" s="1" t="s">
        <v>35</v>
      </c>
      <c r="P1730" s="3" t="n">
        <v>0</v>
      </c>
      <c r="Q1730" s="3" t="n">
        <v>0</v>
      </c>
      <c r="R1730" s="3" t="n">
        <v>0</v>
      </c>
      <c r="S1730" s="3" t="n">
        <v>1</v>
      </c>
      <c r="T1730" s="3" t="n">
        <v>0</v>
      </c>
      <c r="U1730" s="3" t="n">
        <v>0</v>
      </c>
      <c r="V1730" s="3" t="n">
        <f aca="false">SUM(P1730:Q1730)</f>
        <v>0</v>
      </c>
      <c r="W1730" s="3" t="n">
        <f aca="false">SUM(R1730:T1730)</f>
        <v>1</v>
      </c>
      <c r="X1730" s="22" t="n">
        <v>41869</v>
      </c>
      <c r="Y1730" s="22" t="n">
        <v>41874</v>
      </c>
    </row>
    <row r="1731" customFormat="false" ht="14.25" hidden="false" customHeight="false" outlineLevel="0" collapsed="false">
      <c r="A1731" s="1" t="n">
        <v>2014</v>
      </c>
      <c r="B1731" s="1" t="n">
        <v>2</v>
      </c>
      <c r="C1731" s="2" t="s">
        <v>50</v>
      </c>
      <c r="D1731" s="3" t="s">
        <v>98</v>
      </c>
      <c r="E1731" s="3" t="n">
        <v>2</v>
      </c>
      <c r="F1731" s="1" t="n">
        <f aca="false">Y1731-X1731</f>
        <v>5</v>
      </c>
      <c r="G1731" s="1" t="n">
        <v>5</v>
      </c>
      <c r="H1731" s="3" t="s">
        <v>36</v>
      </c>
      <c r="I1731" s="3" t="s">
        <v>131</v>
      </c>
      <c r="J1731" s="3" t="s">
        <v>38</v>
      </c>
      <c r="K1731" s="2" t="str">
        <f aca="false">CONCATENATE(I1731," ",J1731)</f>
        <v>Xysticus sp</v>
      </c>
      <c r="L1731" s="3" t="n">
        <f aca="false">SUM(P1731:U1731)</f>
        <v>1</v>
      </c>
      <c r="M1731" s="11" t="n">
        <f aca="false">(L1731/(F1731*G1731)*25)*4</f>
        <v>4</v>
      </c>
      <c r="N1731" s="1" t="s">
        <v>19</v>
      </c>
      <c r="O1731" s="1" t="s">
        <v>35</v>
      </c>
      <c r="P1731" s="3" t="n">
        <v>0</v>
      </c>
      <c r="Q1731" s="3" t="n">
        <v>0</v>
      </c>
      <c r="R1731" s="3" t="n">
        <v>0</v>
      </c>
      <c r="S1731" s="3" t="n">
        <v>1</v>
      </c>
      <c r="T1731" s="3" t="n">
        <v>0</v>
      </c>
      <c r="U1731" s="3" t="n">
        <v>0</v>
      </c>
      <c r="V1731" s="3" t="n">
        <f aca="false">SUM(P1731:Q1731)</f>
        <v>0</v>
      </c>
      <c r="W1731" s="3" t="n">
        <f aca="false">SUM(R1731:T1731)</f>
        <v>1</v>
      </c>
      <c r="X1731" s="22" t="n">
        <v>41869</v>
      </c>
      <c r="Y1731" s="22" t="n">
        <v>41874</v>
      </c>
    </row>
    <row r="1732" customFormat="false" ht="14.25" hidden="false" customHeight="false" outlineLevel="0" collapsed="false">
      <c r="A1732" s="1" t="n">
        <v>2014</v>
      </c>
      <c r="B1732" s="1" t="n">
        <v>2</v>
      </c>
      <c r="C1732" s="2" t="s">
        <v>50</v>
      </c>
      <c r="D1732" s="3" t="s">
        <v>98</v>
      </c>
      <c r="E1732" s="3" t="n">
        <v>2</v>
      </c>
      <c r="F1732" s="1" t="n">
        <f aca="false">Y1732-X1732</f>
        <v>5</v>
      </c>
      <c r="G1732" s="1" t="n">
        <v>5</v>
      </c>
      <c r="H1732" s="3" t="s">
        <v>36</v>
      </c>
      <c r="I1732" s="3" t="s">
        <v>37</v>
      </c>
      <c r="J1732" s="3" t="s">
        <v>38</v>
      </c>
      <c r="K1732" s="2" t="str">
        <f aca="false">CONCATENATE(I1732," ",J1732)</f>
        <v>Ozyptila sp</v>
      </c>
      <c r="L1732" s="3" t="n">
        <f aca="false">SUM(P1732:U1732)</f>
        <v>1</v>
      </c>
      <c r="M1732" s="11" t="n">
        <f aca="false">(L1732/(F1732*G1732)*25)*4</f>
        <v>4</v>
      </c>
      <c r="N1732" s="1" t="s">
        <v>19</v>
      </c>
      <c r="O1732" s="1" t="s">
        <v>54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1</v>
      </c>
      <c r="U1732" s="3" t="n">
        <v>0</v>
      </c>
      <c r="V1732" s="3" t="n">
        <f aca="false">SUM(P1732:Q1732)</f>
        <v>0</v>
      </c>
      <c r="W1732" s="3" t="n">
        <f aca="false">SUM(R1732:T1732)</f>
        <v>1</v>
      </c>
      <c r="X1732" s="22" t="n">
        <v>41869</v>
      </c>
      <c r="Y1732" s="22" t="n">
        <v>41874</v>
      </c>
    </row>
    <row r="1733" customFormat="false" ht="14.25" hidden="false" customHeight="false" outlineLevel="0" collapsed="false">
      <c r="A1733" s="1" t="n">
        <v>2014</v>
      </c>
      <c r="B1733" s="1" t="n">
        <v>2</v>
      </c>
      <c r="C1733" s="2" t="s">
        <v>50</v>
      </c>
      <c r="D1733" s="3" t="s">
        <v>98</v>
      </c>
      <c r="E1733" s="3" t="n">
        <v>2</v>
      </c>
      <c r="F1733" s="1" t="n">
        <f aca="false">Y1733-X1733</f>
        <v>5</v>
      </c>
      <c r="G1733" s="1" t="n">
        <v>5</v>
      </c>
      <c r="H1733" s="3" t="s">
        <v>48</v>
      </c>
      <c r="I1733" s="3" t="s">
        <v>57</v>
      </c>
      <c r="J1733" s="3" t="s">
        <v>38</v>
      </c>
      <c r="K1733" s="2" t="str">
        <f aca="false">CONCATENATE(I1733," ",J1733)</f>
        <v>Gen sp</v>
      </c>
      <c r="L1733" s="3" t="n">
        <f aca="false">SUM(P1733:U1733)</f>
        <v>1</v>
      </c>
      <c r="M1733" s="11" t="n">
        <f aca="false">(L1733/(F1733*G1733)*25)*4</f>
        <v>4</v>
      </c>
      <c r="N1733" s="1" t="s">
        <v>19</v>
      </c>
      <c r="O1733" s="1" t="s">
        <v>54</v>
      </c>
      <c r="P1733" s="3" t="n">
        <v>0</v>
      </c>
      <c r="Q1733" s="3" t="n">
        <v>0</v>
      </c>
      <c r="R1733" s="3" t="n">
        <v>0</v>
      </c>
      <c r="S1733" s="3" t="n">
        <v>0</v>
      </c>
      <c r="T1733" s="3" t="n">
        <v>1</v>
      </c>
      <c r="U1733" s="3" t="n">
        <v>0</v>
      </c>
      <c r="V1733" s="3" t="n">
        <f aca="false">SUM(P1733:Q1733)</f>
        <v>0</v>
      </c>
      <c r="W1733" s="3" t="n">
        <f aca="false">SUM(R1733:T1733)</f>
        <v>1</v>
      </c>
      <c r="X1733" s="22" t="n">
        <v>41869</v>
      </c>
      <c r="Y1733" s="22" t="n">
        <v>41874</v>
      </c>
    </row>
    <row r="1734" customFormat="false" ht="14.25" hidden="false" customHeight="false" outlineLevel="0" collapsed="false">
      <c r="A1734" s="1" t="n">
        <v>2014</v>
      </c>
      <c r="B1734" s="1" t="n">
        <v>2</v>
      </c>
      <c r="C1734" s="2" t="s">
        <v>50</v>
      </c>
      <c r="D1734" s="3" t="s">
        <v>98</v>
      </c>
      <c r="E1734" s="3" t="n">
        <v>1</v>
      </c>
      <c r="F1734" s="1" t="n">
        <f aca="false">Y1734-X1734</f>
        <v>5</v>
      </c>
      <c r="G1734" s="1" t="n">
        <v>5</v>
      </c>
      <c r="H1734" s="3" t="s">
        <v>48</v>
      </c>
      <c r="I1734" s="3" t="s">
        <v>49</v>
      </c>
      <c r="J1734" s="3" t="s">
        <v>130</v>
      </c>
      <c r="K1734" s="2" t="str">
        <f aca="false">CONCATENATE(I1734," ",J1734)</f>
        <v>Alopecosa aculeata</v>
      </c>
      <c r="L1734" s="3" t="n">
        <f aca="false">SUM(P1734:U1734)</f>
        <v>1</v>
      </c>
      <c r="M1734" s="11" t="n">
        <f aca="false">(L1734/(F1734*G1734)*25)*4</f>
        <v>4</v>
      </c>
      <c r="N1734" s="1" t="s">
        <v>30</v>
      </c>
      <c r="O1734" s="1" t="s">
        <v>35</v>
      </c>
      <c r="P1734" s="3" t="n">
        <v>0</v>
      </c>
      <c r="Q1734" s="3" t="n">
        <v>1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f aca="false">SUM(P1734:Q1734)</f>
        <v>1</v>
      </c>
      <c r="W1734" s="3" t="n">
        <f aca="false">SUM(R1734:T1734)</f>
        <v>0</v>
      </c>
      <c r="X1734" s="22" t="n">
        <v>41869</v>
      </c>
      <c r="Y1734" s="22" t="n">
        <v>41874</v>
      </c>
    </row>
    <row r="1735" customFormat="false" ht="14.25" hidden="false" customHeight="false" outlineLevel="0" collapsed="false">
      <c r="A1735" s="1" t="n">
        <v>2014</v>
      </c>
      <c r="B1735" s="1" t="n">
        <v>2</v>
      </c>
      <c r="C1735" s="2" t="s">
        <v>50</v>
      </c>
      <c r="D1735" s="3" t="s">
        <v>98</v>
      </c>
      <c r="E1735" s="3" t="n">
        <v>1</v>
      </c>
      <c r="F1735" s="1" t="n">
        <f aca="false">Y1735-X1735</f>
        <v>5</v>
      </c>
      <c r="G1735" s="1" t="n">
        <v>5</v>
      </c>
      <c r="H1735" s="3" t="s">
        <v>48</v>
      </c>
      <c r="I1735" s="3" t="s">
        <v>61</v>
      </c>
      <c r="J1735" s="3" t="s">
        <v>82</v>
      </c>
      <c r="K1735" s="2" t="str">
        <f aca="false">CONCATENATE(I1735," ",J1735)</f>
        <v>Trochosa terricola</v>
      </c>
      <c r="L1735" s="3" t="n">
        <f aca="false">SUM(P1735:U1735)</f>
        <v>1</v>
      </c>
      <c r="M1735" s="11" t="n">
        <f aca="false">(L1735/(F1735*G1735)*25)*4</f>
        <v>4</v>
      </c>
      <c r="N1735" s="1" t="s">
        <v>30</v>
      </c>
      <c r="O1735" s="1" t="s">
        <v>35</v>
      </c>
      <c r="P1735" s="3" t="n">
        <v>0</v>
      </c>
      <c r="Q1735" s="3" t="n">
        <v>1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f aca="false">SUM(P1735:Q1735)</f>
        <v>1</v>
      </c>
      <c r="W1735" s="3" t="n">
        <f aca="false">SUM(R1735:T1735)</f>
        <v>0</v>
      </c>
      <c r="X1735" s="22" t="n">
        <v>41869</v>
      </c>
      <c r="Y1735" s="22" t="n">
        <v>41874</v>
      </c>
    </row>
    <row r="1736" customFormat="false" ht="14.25" hidden="false" customHeight="false" outlineLevel="0" collapsed="false">
      <c r="A1736" s="1" t="n">
        <v>2014</v>
      </c>
      <c r="B1736" s="1" t="n">
        <v>2</v>
      </c>
      <c r="C1736" s="2" t="s">
        <v>50</v>
      </c>
      <c r="D1736" s="3" t="s">
        <v>98</v>
      </c>
      <c r="E1736" s="3" t="n">
        <v>1</v>
      </c>
      <c r="F1736" s="1" t="n">
        <f aca="false">Y1736-X1736</f>
        <v>5</v>
      </c>
      <c r="G1736" s="1" t="n">
        <v>5</v>
      </c>
      <c r="H1736" s="3" t="s">
        <v>48</v>
      </c>
      <c r="I1736" s="3" t="s">
        <v>61</v>
      </c>
      <c r="J1736" s="3" t="s">
        <v>38</v>
      </c>
      <c r="K1736" s="2" t="str">
        <f aca="false">CONCATENATE(I1736," ",J1736)</f>
        <v>Trochosa sp</v>
      </c>
      <c r="L1736" s="3" t="n">
        <f aca="false">SUM(P1736:U1736)</f>
        <v>1</v>
      </c>
      <c r="M1736" s="11" t="n">
        <f aca="false">(L1736/(F1736*G1736)*25)*4</f>
        <v>4</v>
      </c>
      <c r="N1736" s="1" t="s">
        <v>19</v>
      </c>
      <c r="O1736" s="1" t="s">
        <v>35</v>
      </c>
      <c r="P1736" s="3" t="n">
        <v>0</v>
      </c>
      <c r="Q1736" s="3" t="n">
        <v>0</v>
      </c>
      <c r="R1736" s="3" t="n">
        <v>0</v>
      </c>
      <c r="S1736" s="3" t="n">
        <v>1</v>
      </c>
      <c r="T1736" s="3" t="n">
        <v>0</v>
      </c>
      <c r="U1736" s="3" t="n">
        <v>0</v>
      </c>
      <c r="V1736" s="3" t="n">
        <f aca="false">SUM(P1736:Q1736)</f>
        <v>0</v>
      </c>
      <c r="W1736" s="3" t="n">
        <f aca="false">SUM(R1736:T1736)</f>
        <v>1</v>
      </c>
      <c r="X1736" s="22" t="n">
        <v>41869</v>
      </c>
      <c r="Y1736" s="22" t="n">
        <v>41874</v>
      </c>
    </row>
    <row r="1737" customFormat="false" ht="14.25" hidden="false" customHeight="false" outlineLevel="0" collapsed="false">
      <c r="A1737" s="1" t="n">
        <v>2014</v>
      </c>
      <c r="B1737" s="1" t="n">
        <v>2</v>
      </c>
      <c r="C1737" s="2" t="s">
        <v>50</v>
      </c>
      <c r="D1737" s="3" t="s">
        <v>98</v>
      </c>
      <c r="E1737" s="3" t="n">
        <v>1</v>
      </c>
      <c r="F1737" s="1" t="n">
        <f aca="false">Y1737-X1737</f>
        <v>5</v>
      </c>
      <c r="G1737" s="1" t="n">
        <v>5</v>
      </c>
      <c r="H1737" s="3" t="s">
        <v>48</v>
      </c>
      <c r="I1737" s="3" t="s">
        <v>61</v>
      </c>
      <c r="J1737" s="3" t="s">
        <v>38</v>
      </c>
      <c r="K1737" s="2" t="str">
        <f aca="false">CONCATENATE(I1737," ",J1737)</f>
        <v>Trochosa sp</v>
      </c>
      <c r="L1737" s="3" t="n">
        <f aca="false">SUM(P1737:U1737)</f>
        <v>1</v>
      </c>
      <c r="M1737" s="11" t="n">
        <f aca="false">(L1737/(F1737*G1737)*25)*4</f>
        <v>4</v>
      </c>
      <c r="N1737" s="1" t="s">
        <v>19</v>
      </c>
      <c r="O1737" s="1" t="s">
        <v>54</v>
      </c>
      <c r="P1737" s="3" t="n">
        <v>0</v>
      </c>
      <c r="Q1737" s="3" t="n">
        <v>0</v>
      </c>
      <c r="R1737" s="3" t="n">
        <v>0</v>
      </c>
      <c r="S1737" s="3" t="n">
        <v>0</v>
      </c>
      <c r="T1737" s="3" t="n">
        <v>1</v>
      </c>
      <c r="U1737" s="3" t="n">
        <v>0</v>
      </c>
      <c r="V1737" s="3" t="n">
        <f aca="false">SUM(P1737:Q1737)</f>
        <v>0</v>
      </c>
      <c r="W1737" s="3" t="n">
        <f aca="false">SUM(R1737:T1737)</f>
        <v>1</v>
      </c>
      <c r="X1737" s="22" t="n">
        <v>41869</v>
      </c>
      <c r="Y1737" s="22" t="n">
        <v>41874</v>
      </c>
    </row>
    <row r="1738" customFormat="false" ht="14.25" hidden="false" customHeight="false" outlineLevel="0" collapsed="false">
      <c r="A1738" s="1" t="n">
        <v>2014</v>
      </c>
      <c r="B1738" s="1" t="n">
        <v>2</v>
      </c>
      <c r="C1738" s="2" t="s">
        <v>50</v>
      </c>
      <c r="D1738" s="3" t="s">
        <v>98</v>
      </c>
      <c r="E1738" s="3" t="n">
        <v>1</v>
      </c>
      <c r="F1738" s="1" t="n">
        <f aca="false">Y1738-X1738</f>
        <v>5</v>
      </c>
      <c r="G1738" s="1" t="n">
        <v>5</v>
      </c>
      <c r="H1738" s="3" t="s">
        <v>72</v>
      </c>
      <c r="I1738" s="3" t="s">
        <v>73</v>
      </c>
      <c r="J1738" s="3" t="s">
        <v>74</v>
      </c>
      <c r="K1738" s="2" t="str">
        <f aca="false">CONCATENATE(I1738," ",J1738)</f>
        <v>Zelotes subterraneus</v>
      </c>
      <c r="L1738" s="3" t="n">
        <f aca="false">SUM(P1738:U1738)</f>
        <v>1</v>
      </c>
      <c r="M1738" s="11" t="n">
        <f aca="false">(L1738/(F1738*G1738)*25)*4</f>
        <v>4</v>
      </c>
      <c r="N1738" s="1" t="s">
        <v>30</v>
      </c>
      <c r="O1738" s="1" t="s">
        <v>31</v>
      </c>
      <c r="P1738" s="3" t="n">
        <v>1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f aca="false">SUM(P1738:Q1738)</f>
        <v>1</v>
      </c>
      <c r="W1738" s="3" t="n">
        <f aca="false">SUM(R1738:T1738)</f>
        <v>0</v>
      </c>
      <c r="X1738" s="22" t="n">
        <v>41869</v>
      </c>
      <c r="Y1738" s="22" t="n">
        <v>41874</v>
      </c>
    </row>
    <row r="1739" customFormat="false" ht="14.25" hidden="false" customHeight="false" outlineLevel="0" collapsed="false">
      <c r="A1739" s="1" t="n">
        <v>2014</v>
      </c>
      <c r="B1739" s="1" t="n">
        <v>2</v>
      </c>
      <c r="C1739" s="2" t="s">
        <v>50</v>
      </c>
      <c r="D1739" s="3" t="s">
        <v>98</v>
      </c>
      <c r="E1739" s="3" t="n">
        <v>1</v>
      </c>
      <c r="F1739" s="1" t="n">
        <f aca="false">Y1739-X1739</f>
        <v>5</v>
      </c>
      <c r="G1739" s="1" t="n">
        <v>5</v>
      </c>
      <c r="H1739" s="3" t="s">
        <v>36</v>
      </c>
      <c r="I1739" s="3" t="s">
        <v>37</v>
      </c>
      <c r="J1739" s="3" t="s">
        <v>75</v>
      </c>
      <c r="K1739" s="2" t="str">
        <f aca="false">CONCATENATE(I1739," ",J1739)</f>
        <v>Ozyptila praticola</v>
      </c>
      <c r="L1739" s="3" t="n">
        <f aca="false">SUM(P1739:U1739)</f>
        <v>2</v>
      </c>
      <c r="M1739" s="11" t="n">
        <f aca="false">(L1739/(F1739*G1739)*25)*4</f>
        <v>8</v>
      </c>
      <c r="N1739" s="1" t="s">
        <v>30</v>
      </c>
      <c r="O1739" s="1" t="s">
        <v>31</v>
      </c>
      <c r="P1739" s="3" t="n">
        <v>2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f aca="false">SUM(P1739:Q1739)</f>
        <v>2</v>
      </c>
      <c r="W1739" s="3" t="n">
        <f aca="false">SUM(R1739:T1739)</f>
        <v>0</v>
      </c>
      <c r="X1739" s="22" t="n">
        <v>41869</v>
      </c>
      <c r="Y1739" s="22" t="n">
        <v>41874</v>
      </c>
    </row>
    <row r="1740" customFormat="false" ht="14.25" hidden="false" customHeight="false" outlineLevel="0" collapsed="false">
      <c r="A1740" s="1" t="n">
        <v>2014</v>
      </c>
      <c r="B1740" s="1" t="n">
        <v>2</v>
      </c>
      <c r="C1740" s="2" t="s">
        <v>50</v>
      </c>
      <c r="D1740" s="3" t="s">
        <v>98</v>
      </c>
      <c r="E1740" s="3" t="n">
        <v>1</v>
      </c>
      <c r="F1740" s="1" t="n">
        <f aca="false">Y1740-X1740</f>
        <v>5</v>
      </c>
      <c r="G1740" s="1" t="n">
        <v>5</v>
      </c>
      <c r="H1740" s="3" t="s">
        <v>32</v>
      </c>
      <c r="I1740" s="3" t="s">
        <v>62</v>
      </c>
      <c r="J1740" s="3" t="s">
        <v>63</v>
      </c>
      <c r="K1740" s="2" t="str">
        <f aca="false">CONCATENATE(I1740," ",J1740)</f>
        <v>Microneta viaria</v>
      </c>
      <c r="L1740" s="3" t="n">
        <f aca="false">SUM(P1740:U1740)</f>
        <v>1</v>
      </c>
      <c r="M1740" s="11" t="n">
        <f aca="false">(L1740/(F1740*G1740)*25)*4</f>
        <v>4</v>
      </c>
      <c r="N1740" s="1" t="s">
        <v>30</v>
      </c>
      <c r="O1740" s="1" t="s">
        <v>35</v>
      </c>
      <c r="P1740" s="3" t="n">
        <v>0</v>
      </c>
      <c r="Q1740" s="3" t="n">
        <v>1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f aca="false">SUM(P1740:Q1740)</f>
        <v>1</v>
      </c>
      <c r="W1740" s="3" t="n">
        <f aca="false">SUM(R1740:T1740)</f>
        <v>0</v>
      </c>
      <c r="X1740" s="22" t="n">
        <v>41869</v>
      </c>
      <c r="Y1740" s="22" t="n">
        <v>41874</v>
      </c>
    </row>
    <row r="1741" customFormat="false" ht="14.25" hidden="false" customHeight="false" outlineLevel="0" collapsed="false">
      <c r="A1741" s="1" t="n">
        <v>2014</v>
      </c>
      <c r="B1741" s="1" t="n">
        <v>2</v>
      </c>
      <c r="C1741" s="2" t="s">
        <v>50</v>
      </c>
      <c r="D1741" s="3" t="s">
        <v>98</v>
      </c>
      <c r="E1741" s="3" t="n">
        <v>1</v>
      </c>
      <c r="F1741" s="1" t="n">
        <f aca="false">Y1741-X1741</f>
        <v>5</v>
      </c>
      <c r="G1741" s="1" t="n">
        <v>5</v>
      </c>
      <c r="H1741" s="3" t="s">
        <v>72</v>
      </c>
      <c r="I1741" s="3" t="s">
        <v>73</v>
      </c>
      <c r="J1741" s="3" t="s">
        <v>74</v>
      </c>
      <c r="K1741" s="2" t="str">
        <f aca="false">CONCATENATE(I1741," ",J1741)</f>
        <v>Zelotes subterraneus</v>
      </c>
      <c r="L1741" s="3" t="n">
        <f aca="false">SUM(P1741:U1741)</f>
        <v>2</v>
      </c>
      <c r="M1741" s="11" t="n">
        <f aca="false">(L1741/(F1741*G1741)*25)*4</f>
        <v>8</v>
      </c>
      <c r="N1741" s="1" t="s">
        <v>30</v>
      </c>
      <c r="O1741" s="1" t="s">
        <v>31</v>
      </c>
      <c r="P1741" s="3" t="n">
        <v>2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f aca="false">SUM(P1741:Q1741)</f>
        <v>2</v>
      </c>
      <c r="W1741" s="3" t="n">
        <f aca="false">SUM(R1741:T1741)</f>
        <v>0</v>
      </c>
      <c r="X1741" s="22" t="n">
        <v>41869</v>
      </c>
      <c r="Y1741" s="22" t="n">
        <v>41874</v>
      </c>
    </row>
    <row r="1742" customFormat="false" ht="14.25" hidden="false" customHeight="false" outlineLevel="0" collapsed="false">
      <c r="A1742" s="1" t="n">
        <v>2014</v>
      </c>
      <c r="B1742" s="1" t="n">
        <v>2</v>
      </c>
      <c r="C1742" s="2" t="s">
        <v>50</v>
      </c>
      <c r="D1742" s="3" t="s">
        <v>98</v>
      </c>
      <c r="E1742" s="3" t="n">
        <v>1</v>
      </c>
      <c r="F1742" s="1" t="n">
        <f aca="false">Y1742-X1742</f>
        <v>5</v>
      </c>
      <c r="G1742" s="1" t="n">
        <v>5</v>
      </c>
      <c r="H1742" s="3" t="s">
        <v>36</v>
      </c>
      <c r="I1742" s="3" t="s">
        <v>37</v>
      </c>
      <c r="J1742" s="3" t="s">
        <v>75</v>
      </c>
      <c r="K1742" s="2" t="str">
        <f aca="false">CONCATENATE(I1742," ",J1742)</f>
        <v>Ozyptila praticola</v>
      </c>
      <c r="L1742" s="3" t="n">
        <f aca="false">SUM(P1742:U1742)</f>
        <v>1</v>
      </c>
      <c r="M1742" s="11" t="n">
        <f aca="false">(L1742/(F1742*G1742)*25)*4</f>
        <v>4</v>
      </c>
      <c r="N1742" s="1" t="s">
        <v>30</v>
      </c>
      <c r="O1742" s="1" t="s">
        <v>31</v>
      </c>
      <c r="P1742" s="3" t="n">
        <v>1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f aca="false">SUM(P1742:Q1742)</f>
        <v>1</v>
      </c>
      <c r="W1742" s="3" t="n">
        <f aca="false">SUM(R1742:T1742)</f>
        <v>0</v>
      </c>
      <c r="X1742" s="22" t="n">
        <v>41869</v>
      </c>
      <c r="Y1742" s="22" t="n">
        <v>41874</v>
      </c>
    </row>
    <row r="1743" customFormat="false" ht="14.25" hidden="false" customHeight="false" outlineLevel="0" collapsed="false">
      <c r="A1743" s="1" t="n">
        <v>2014</v>
      </c>
      <c r="B1743" s="1" t="n">
        <v>2</v>
      </c>
      <c r="C1743" s="2" t="s">
        <v>50</v>
      </c>
      <c r="D1743" s="3" t="s">
        <v>98</v>
      </c>
      <c r="E1743" s="3" t="n">
        <v>1</v>
      </c>
      <c r="F1743" s="1" t="n">
        <f aca="false">Y1743-X1743</f>
        <v>5</v>
      </c>
      <c r="G1743" s="1" t="n">
        <v>5</v>
      </c>
      <c r="H1743" s="3" t="s">
        <v>48</v>
      </c>
      <c r="I1743" s="3" t="s">
        <v>61</v>
      </c>
      <c r="J1743" s="3" t="s">
        <v>38</v>
      </c>
      <c r="K1743" s="2" t="str">
        <f aca="false">CONCATENATE(I1743," ",J1743)</f>
        <v>Trochosa sp</v>
      </c>
      <c r="L1743" s="3" t="n">
        <f aca="false">SUM(P1743:U1743)</f>
        <v>1</v>
      </c>
      <c r="M1743" s="11" t="n">
        <f aca="false">(L1743/(F1743*G1743)*25)*4</f>
        <v>4</v>
      </c>
      <c r="N1743" s="1" t="s">
        <v>19</v>
      </c>
      <c r="O1743" s="1" t="s">
        <v>54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1</v>
      </c>
      <c r="U1743" s="3" t="n">
        <v>0</v>
      </c>
      <c r="V1743" s="3" t="n">
        <f aca="false">SUM(P1743:Q1743)</f>
        <v>0</v>
      </c>
      <c r="W1743" s="3" t="n">
        <f aca="false">SUM(R1743:T1743)</f>
        <v>1</v>
      </c>
      <c r="X1743" s="22" t="n">
        <v>41869</v>
      </c>
      <c r="Y1743" s="22" t="n">
        <v>41874</v>
      </c>
    </row>
    <row r="1744" customFormat="false" ht="14.25" hidden="false" customHeight="false" outlineLevel="0" collapsed="false">
      <c r="A1744" s="1" t="n">
        <v>2014</v>
      </c>
      <c r="B1744" s="1" t="n">
        <v>2</v>
      </c>
      <c r="C1744" s="2" t="s">
        <v>50</v>
      </c>
      <c r="D1744" s="3" t="s">
        <v>98</v>
      </c>
      <c r="E1744" s="3" t="n">
        <v>1</v>
      </c>
      <c r="F1744" s="1" t="n">
        <f aca="false">Y1744-X1744</f>
        <v>5</v>
      </c>
      <c r="G1744" s="1" t="n">
        <v>5</v>
      </c>
      <c r="H1744" s="3" t="s">
        <v>32</v>
      </c>
      <c r="I1744" s="3" t="s">
        <v>57</v>
      </c>
      <c r="J1744" s="3" t="s">
        <v>38</v>
      </c>
      <c r="K1744" s="2" t="str">
        <f aca="false">CONCATENATE(I1744," ",J1744)</f>
        <v>Gen sp</v>
      </c>
      <c r="L1744" s="3" t="n">
        <f aca="false">SUM(P1744:U1744)</f>
        <v>1</v>
      </c>
      <c r="M1744" s="11" t="n">
        <f aca="false">(L1744/(F1744*G1744)*25)*4</f>
        <v>4</v>
      </c>
      <c r="N1744" s="1" t="s">
        <v>19</v>
      </c>
      <c r="O1744" s="1" t="s">
        <v>31</v>
      </c>
      <c r="P1744" s="3" t="n">
        <v>0</v>
      </c>
      <c r="Q1744" s="3" t="n">
        <v>0</v>
      </c>
      <c r="R1744" s="3" t="n">
        <v>1</v>
      </c>
      <c r="S1744" s="3" t="n">
        <v>0</v>
      </c>
      <c r="T1744" s="3" t="n">
        <v>0</v>
      </c>
      <c r="U1744" s="3" t="n">
        <v>0</v>
      </c>
      <c r="V1744" s="3" t="n">
        <f aca="false">SUM(P1744:Q1744)</f>
        <v>0</v>
      </c>
      <c r="W1744" s="3" t="n">
        <f aca="false">SUM(R1744:T1744)</f>
        <v>1</v>
      </c>
      <c r="X1744" s="22" t="n">
        <v>41869</v>
      </c>
      <c r="Y1744" s="22" t="n">
        <v>41874</v>
      </c>
    </row>
    <row r="1745" customFormat="false" ht="14.25" hidden="false" customHeight="false" outlineLevel="0" collapsed="false">
      <c r="A1745" s="1" t="n">
        <v>2014</v>
      </c>
      <c r="B1745" s="1" t="n">
        <v>2</v>
      </c>
      <c r="C1745" s="2" t="s">
        <v>50</v>
      </c>
      <c r="D1745" s="3" t="s">
        <v>98</v>
      </c>
      <c r="E1745" s="3" t="n">
        <v>1</v>
      </c>
      <c r="F1745" s="1" t="n">
        <f aca="false">Y1745-X1745</f>
        <v>5</v>
      </c>
      <c r="G1745" s="1" t="n">
        <v>5</v>
      </c>
      <c r="H1745" s="3" t="s">
        <v>32</v>
      </c>
      <c r="I1745" s="3" t="s">
        <v>96</v>
      </c>
      <c r="J1745" s="3" t="s">
        <v>97</v>
      </c>
      <c r="K1745" s="2" t="str">
        <f aca="false">CONCATENATE(I1745," ",J1745)</f>
        <v>Diplocephalus picinus</v>
      </c>
      <c r="L1745" s="3" t="n">
        <f aca="false">SUM(P1745:U1745)</f>
        <v>1</v>
      </c>
      <c r="M1745" s="11" t="n">
        <f aca="false">(L1745/(F1745*G1745)*25)*4</f>
        <v>4</v>
      </c>
      <c r="N1745" s="1" t="s">
        <v>30</v>
      </c>
      <c r="O1745" s="1" t="s">
        <v>35</v>
      </c>
      <c r="P1745" s="3" t="n">
        <v>0</v>
      </c>
      <c r="Q1745" s="3" t="n">
        <v>1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f aca="false">SUM(P1745:Q1745)</f>
        <v>1</v>
      </c>
      <c r="W1745" s="3" t="n">
        <f aca="false">SUM(R1745:T1745)</f>
        <v>0</v>
      </c>
      <c r="X1745" s="22" t="n">
        <v>41869</v>
      </c>
      <c r="Y1745" s="22" t="n">
        <v>41874</v>
      </c>
    </row>
    <row r="1746" customFormat="false" ht="14.25" hidden="false" customHeight="false" outlineLevel="0" collapsed="false">
      <c r="A1746" s="1" t="n">
        <v>2014</v>
      </c>
      <c r="B1746" s="1" t="n">
        <v>2</v>
      </c>
      <c r="C1746" s="2" t="s">
        <v>50</v>
      </c>
      <c r="D1746" s="3" t="s">
        <v>98</v>
      </c>
      <c r="E1746" s="3" t="n">
        <v>3</v>
      </c>
      <c r="F1746" s="1" t="n">
        <f aca="false">Y1746-X1746</f>
        <v>5</v>
      </c>
      <c r="G1746" s="1" t="n">
        <v>5</v>
      </c>
      <c r="H1746" s="3" t="s">
        <v>48</v>
      </c>
      <c r="I1746" s="3" t="s">
        <v>61</v>
      </c>
      <c r="J1746" s="3" t="s">
        <v>82</v>
      </c>
      <c r="K1746" s="2" t="str">
        <f aca="false">CONCATENATE(I1746," ",J1746)</f>
        <v>Trochosa terricola</v>
      </c>
      <c r="L1746" s="3" t="n">
        <f aca="false">SUM(P1746:U1746)</f>
        <v>2</v>
      </c>
      <c r="M1746" s="11" t="n">
        <f aca="false">(L1746/(F1746*G1746)*25)*4</f>
        <v>8</v>
      </c>
      <c r="N1746" s="1" t="s">
        <v>30</v>
      </c>
      <c r="O1746" s="1" t="s">
        <v>35</v>
      </c>
      <c r="P1746" s="3" t="n">
        <v>0</v>
      </c>
      <c r="Q1746" s="3" t="n">
        <v>2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f aca="false">SUM(P1746:Q1746)</f>
        <v>2</v>
      </c>
      <c r="W1746" s="3" t="n">
        <f aca="false">SUM(R1746:T1746)</f>
        <v>0</v>
      </c>
      <c r="X1746" s="22" t="n">
        <v>41869</v>
      </c>
      <c r="Y1746" s="22" t="n">
        <v>41874</v>
      </c>
    </row>
    <row r="1747" customFormat="false" ht="14.25" hidden="false" customHeight="false" outlineLevel="0" collapsed="false">
      <c r="A1747" s="1" t="n">
        <v>2014</v>
      </c>
      <c r="B1747" s="1" t="n">
        <v>2</v>
      </c>
      <c r="C1747" s="2" t="s">
        <v>50</v>
      </c>
      <c r="D1747" s="3" t="s">
        <v>98</v>
      </c>
      <c r="E1747" s="3" t="n">
        <v>3</v>
      </c>
      <c r="F1747" s="1" t="n">
        <f aca="false">Y1747-X1747</f>
        <v>5</v>
      </c>
      <c r="G1747" s="1" t="n">
        <v>5</v>
      </c>
      <c r="H1747" s="3" t="s">
        <v>48</v>
      </c>
      <c r="I1747" s="3" t="s">
        <v>57</v>
      </c>
      <c r="J1747" s="3" t="s">
        <v>38</v>
      </c>
      <c r="K1747" s="2" t="str">
        <f aca="false">CONCATENATE(I1747," ",J1747)</f>
        <v>Gen sp</v>
      </c>
      <c r="L1747" s="3" t="n">
        <f aca="false">SUM(P1747:U1747)</f>
        <v>1</v>
      </c>
      <c r="M1747" s="11" t="n">
        <f aca="false">(L1747/(F1747*G1747)*25)*4</f>
        <v>4</v>
      </c>
      <c r="N1747" s="1" t="s">
        <v>19</v>
      </c>
      <c r="O1747" s="1" t="s">
        <v>54</v>
      </c>
      <c r="P1747" s="3" t="n">
        <v>0</v>
      </c>
      <c r="Q1747" s="3" t="n">
        <v>0</v>
      </c>
      <c r="R1747" s="3" t="n">
        <v>0</v>
      </c>
      <c r="S1747" s="3" t="n">
        <v>0</v>
      </c>
      <c r="T1747" s="3" t="n">
        <v>1</v>
      </c>
      <c r="U1747" s="3" t="n">
        <v>0</v>
      </c>
      <c r="V1747" s="3" t="n">
        <f aca="false">SUM(P1747:Q1747)</f>
        <v>0</v>
      </c>
      <c r="W1747" s="3" t="n">
        <f aca="false">SUM(R1747:T1747)</f>
        <v>1</v>
      </c>
      <c r="X1747" s="22" t="n">
        <v>41869</v>
      </c>
      <c r="Y1747" s="22" t="n">
        <v>41874</v>
      </c>
    </row>
    <row r="1748" customFormat="false" ht="14.25" hidden="false" customHeight="false" outlineLevel="0" collapsed="false">
      <c r="A1748" s="1" t="n">
        <v>2014</v>
      </c>
      <c r="B1748" s="1" t="n">
        <v>2</v>
      </c>
      <c r="C1748" s="2" t="s">
        <v>50</v>
      </c>
      <c r="D1748" s="3" t="s">
        <v>98</v>
      </c>
      <c r="E1748" s="3" t="n">
        <v>3</v>
      </c>
      <c r="F1748" s="1" t="n">
        <f aca="false">Y1748-X1748</f>
        <v>5</v>
      </c>
      <c r="G1748" s="1" t="n">
        <v>5</v>
      </c>
      <c r="H1748" s="3" t="s">
        <v>36</v>
      </c>
      <c r="I1748" s="3" t="s">
        <v>37</v>
      </c>
      <c r="J1748" s="3" t="s">
        <v>75</v>
      </c>
      <c r="K1748" s="2" t="str">
        <f aca="false">CONCATENATE(I1748," ",J1748)</f>
        <v>Ozyptila praticola</v>
      </c>
      <c r="L1748" s="3" t="n">
        <f aca="false">SUM(P1748:U1748)</f>
        <v>1</v>
      </c>
      <c r="M1748" s="11" t="n">
        <f aca="false">(L1748/(F1748*G1748)*25)*4</f>
        <v>4</v>
      </c>
      <c r="N1748" s="1" t="s">
        <v>19</v>
      </c>
      <c r="O1748" s="1" t="s">
        <v>31</v>
      </c>
      <c r="P1748" s="3" t="n">
        <v>0</v>
      </c>
      <c r="Q1748" s="3" t="n">
        <v>0</v>
      </c>
      <c r="R1748" s="3" t="n">
        <v>1</v>
      </c>
      <c r="S1748" s="3" t="n">
        <v>0</v>
      </c>
      <c r="T1748" s="3" t="n">
        <v>0</v>
      </c>
      <c r="U1748" s="3" t="n">
        <v>0</v>
      </c>
      <c r="V1748" s="3" t="n">
        <f aca="false">SUM(P1748:Q1748)</f>
        <v>0</v>
      </c>
      <c r="W1748" s="3" t="n">
        <f aca="false">SUM(R1748:T1748)</f>
        <v>1</v>
      </c>
      <c r="X1748" s="22" t="n">
        <v>41869</v>
      </c>
      <c r="Y1748" s="22" t="n">
        <v>41874</v>
      </c>
    </row>
    <row r="1749" customFormat="false" ht="14.25" hidden="false" customHeight="false" outlineLevel="0" collapsed="false">
      <c r="A1749" s="1" t="n">
        <v>2014</v>
      </c>
      <c r="B1749" s="1" t="n">
        <v>2</v>
      </c>
      <c r="C1749" s="2" t="s">
        <v>50</v>
      </c>
      <c r="D1749" s="3" t="s">
        <v>98</v>
      </c>
      <c r="E1749" s="3" t="n">
        <v>1</v>
      </c>
      <c r="F1749" s="1" t="n">
        <f aca="false">Y1749-X1749</f>
        <v>5</v>
      </c>
      <c r="G1749" s="1" t="n">
        <v>5</v>
      </c>
      <c r="H1749" s="3" t="s">
        <v>72</v>
      </c>
      <c r="I1749" s="3" t="s">
        <v>73</v>
      </c>
      <c r="J1749" s="3" t="s">
        <v>74</v>
      </c>
      <c r="K1749" s="2" t="str">
        <f aca="false">CONCATENATE(I1749," ",J1749)</f>
        <v>Zelotes subterraneus</v>
      </c>
      <c r="L1749" s="3" t="n">
        <f aca="false">SUM(P1749:U1749)</f>
        <v>2</v>
      </c>
      <c r="M1749" s="11" t="n">
        <f aca="false">(L1749/(F1749*G1749)*25)*4</f>
        <v>8</v>
      </c>
      <c r="N1749" s="1" t="s">
        <v>30</v>
      </c>
      <c r="O1749" s="1" t="s">
        <v>31</v>
      </c>
      <c r="P1749" s="3" t="n">
        <v>2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f aca="false">SUM(P1749:Q1749)</f>
        <v>2</v>
      </c>
      <c r="W1749" s="3" t="n">
        <f aca="false">SUM(R1749:T1749)</f>
        <v>0</v>
      </c>
      <c r="X1749" s="22" t="n">
        <v>41869</v>
      </c>
      <c r="Y1749" s="22" t="n">
        <v>41874</v>
      </c>
    </row>
    <row r="1750" customFormat="false" ht="14.25" hidden="false" customHeight="false" outlineLevel="0" collapsed="false">
      <c r="A1750" s="1" t="n">
        <v>2014</v>
      </c>
      <c r="B1750" s="1" t="n">
        <v>2</v>
      </c>
      <c r="C1750" s="2" t="s">
        <v>50</v>
      </c>
      <c r="D1750" s="3" t="s">
        <v>98</v>
      </c>
      <c r="E1750" s="3" t="n">
        <v>1</v>
      </c>
      <c r="F1750" s="1" t="n">
        <f aca="false">Y1750-X1750</f>
        <v>5</v>
      </c>
      <c r="G1750" s="1" t="n">
        <v>5</v>
      </c>
      <c r="H1750" s="3" t="s">
        <v>72</v>
      </c>
      <c r="I1750" s="3" t="s">
        <v>73</v>
      </c>
      <c r="J1750" s="3" t="s">
        <v>74</v>
      </c>
      <c r="K1750" s="2" t="str">
        <f aca="false">CONCATENATE(I1750," ",J1750)</f>
        <v>Zelotes subterraneus</v>
      </c>
      <c r="L1750" s="3" t="n">
        <f aca="false">SUM(P1750:U1750)</f>
        <v>1</v>
      </c>
      <c r="M1750" s="11" t="n">
        <f aca="false">(L1750/(F1750*G1750)*25)*4</f>
        <v>4</v>
      </c>
      <c r="N1750" s="1" t="s">
        <v>30</v>
      </c>
      <c r="O1750" s="1" t="s">
        <v>35</v>
      </c>
      <c r="P1750" s="3" t="n">
        <v>0</v>
      </c>
      <c r="Q1750" s="3" t="n">
        <v>1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f aca="false">SUM(P1750:Q1750)</f>
        <v>1</v>
      </c>
      <c r="W1750" s="3" t="n">
        <f aca="false">SUM(R1750:T1750)</f>
        <v>0</v>
      </c>
      <c r="X1750" s="22" t="n">
        <v>41869</v>
      </c>
      <c r="Y1750" s="22" t="n">
        <v>41874</v>
      </c>
    </row>
    <row r="1751" customFormat="false" ht="14.25" hidden="false" customHeight="false" outlineLevel="0" collapsed="false">
      <c r="A1751" s="1" t="n">
        <v>2014</v>
      </c>
      <c r="B1751" s="1" t="n">
        <v>2</v>
      </c>
      <c r="C1751" s="2" t="s">
        <v>50</v>
      </c>
      <c r="D1751" s="3" t="s">
        <v>98</v>
      </c>
      <c r="E1751" s="3" t="n">
        <v>1</v>
      </c>
      <c r="F1751" s="1" t="n">
        <f aca="false">Y1751-X1751</f>
        <v>5</v>
      </c>
      <c r="G1751" s="1" t="n">
        <v>5</v>
      </c>
      <c r="H1751" s="3" t="s">
        <v>48</v>
      </c>
      <c r="I1751" s="3" t="s">
        <v>61</v>
      </c>
      <c r="J1751" s="3" t="s">
        <v>82</v>
      </c>
      <c r="K1751" s="2" t="str">
        <f aca="false">CONCATENATE(I1751," ",J1751)</f>
        <v>Trochosa terricola</v>
      </c>
      <c r="L1751" s="3" t="n">
        <f aca="false">SUM(P1751:U1751)</f>
        <v>2</v>
      </c>
      <c r="M1751" s="11" t="n">
        <f aca="false">(L1751/(F1751*G1751)*25)*4</f>
        <v>8</v>
      </c>
      <c r="N1751" s="1" t="s">
        <v>30</v>
      </c>
      <c r="O1751" s="1" t="s">
        <v>31</v>
      </c>
      <c r="P1751" s="3" t="n">
        <v>2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f aca="false">SUM(P1751:Q1751)</f>
        <v>2</v>
      </c>
      <c r="W1751" s="3" t="n">
        <f aca="false">SUM(R1751:T1751)</f>
        <v>0</v>
      </c>
      <c r="X1751" s="22" t="n">
        <v>41869</v>
      </c>
      <c r="Y1751" s="22" t="n">
        <v>41874</v>
      </c>
    </row>
    <row r="1752" customFormat="false" ht="14.25" hidden="false" customHeight="false" outlineLevel="0" collapsed="false">
      <c r="A1752" s="1" t="n">
        <v>2014</v>
      </c>
      <c r="B1752" s="1" t="n">
        <v>2</v>
      </c>
      <c r="C1752" s="2" t="s">
        <v>50</v>
      </c>
      <c r="D1752" s="3" t="s">
        <v>98</v>
      </c>
      <c r="E1752" s="3" t="n">
        <v>1</v>
      </c>
      <c r="F1752" s="1" t="n">
        <f aca="false">Y1752-X1752</f>
        <v>5</v>
      </c>
      <c r="G1752" s="1" t="n">
        <v>5</v>
      </c>
      <c r="H1752" s="3" t="s">
        <v>48</v>
      </c>
      <c r="I1752" s="3" t="s">
        <v>61</v>
      </c>
      <c r="J1752" s="3" t="s">
        <v>82</v>
      </c>
      <c r="K1752" s="2" t="str">
        <f aca="false">CONCATENATE(I1752," ",J1752)</f>
        <v>Trochosa terricola</v>
      </c>
      <c r="L1752" s="3" t="n">
        <f aca="false">SUM(P1752:U1752)</f>
        <v>1</v>
      </c>
      <c r="M1752" s="11" t="n">
        <f aca="false">(L1752/(F1752*G1752)*25)*4</f>
        <v>4</v>
      </c>
      <c r="N1752" s="1" t="s">
        <v>30</v>
      </c>
      <c r="O1752" s="1" t="s">
        <v>35</v>
      </c>
      <c r="P1752" s="3" t="n">
        <v>0</v>
      </c>
      <c r="Q1752" s="3" t="n">
        <v>1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f aca="false">SUM(P1752:Q1752)</f>
        <v>1</v>
      </c>
      <c r="W1752" s="3" t="n">
        <f aca="false">SUM(R1752:T1752)</f>
        <v>0</v>
      </c>
      <c r="X1752" s="22" t="n">
        <v>41869</v>
      </c>
      <c r="Y1752" s="22" t="n">
        <v>41874</v>
      </c>
    </row>
    <row r="1753" customFormat="false" ht="14.25" hidden="false" customHeight="false" outlineLevel="0" collapsed="false">
      <c r="A1753" s="1" t="n">
        <v>2014</v>
      </c>
      <c r="B1753" s="1" t="n">
        <v>2</v>
      </c>
      <c r="C1753" s="2" t="s">
        <v>50</v>
      </c>
      <c r="D1753" s="3" t="s">
        <v>98</v>
      </c>
      <c r="E1753" s="3" t="n">
        <v>1</v>
      </c>
      <c r="F1753" s="1" t="n">
        <f aca="false">Y1753-X1753</f>
        <v>5</v>
      </c>
      <c r="G1753" s="1" t="n">
        <v>5</v>
      </c>
      <c r="H1753" s="3" t="s">
        <v>36</v>
      </c>
      <c r="I1753" s="3" t="s">
        <v>37</v>
      </c>
      <c r="J1753" s="3" t="s">
        <v>75</v>
      </c>
      <c r="K1753" s="2" t="str">
        <f aca="false">CONCATENATE(I1753," ",J1753)</f>
        <v>Ozyptila praticola</v>
      </c>
      <c r="L1753" s="3" t="n">
        <f aca="false">SUM(P1753:U1753)</f>
        <v>1</v>
      </c>
      <c r="M1753" s="11" t="n">
        <f aca="false">(L1753/(F1753*G1753)*25)*4</f>
        <v>4</v>
      </c>
      <c r="N1753" s="1" t="s">
        <v>30</v>
      </c>
      <c r="O1753" s="1" t="s">
        <v>31</v>
      </c>
      <c r="P1753" s="3" t="n">
        <v>1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f aca="false">SUM(P1753:Q1753)</f>
        <v>1</v>
      </c>
      <c r="W1753" s="3" t="n">
        <f aca="false">SUM(R1753:T1753)</f>
        <v>0</v>
      </c>
      <c r="X1753" s="22" t="n">
        <v>41869</v>
      </c>
      <c r="Y1753" s="22" t="n">
        <v>41874</v>
      </c>
    </row>
    <row r="1754" customFormat="false" ht="14.25" hidden="false" customHeight="false" outlineLevel="0" collapsed="false">
      <c r="A1754" s="1" t="n">
        <v>2014</v>
      </c>
      <c r="B1754" s="1" t="n">
        <v>2</v>
      </c>
      <c r="C1754" s="2" t="s">
        <v>50</v>
      </c>
      <c r="D1754" s="3" t="s">
        <v>98</v>
      </c>
      <c r="E1754" s="3" t="n">
        <v>1</v>
      </c>
      <c r="F1754" s="1" t="n">
        <f aca="false">Y1754-X1754</f>
        <v>5</v>
      </c>
      <c r="G1754" s="1" t="n">
        <v>5</v>
      </c>
      <c r="H1754" s="3" t="s">
        <v>36</v>
      </c>
      <c r="I1754" s="3" t="s">
        <v>37</v>
      </c>
      <c r="J1754" s="3" t="s">
        <v>38</v>
      </c>
      <c r="K1754" s="2" t="str">
        <f aca="false">CONCATENATE(I1754," ",J1754)</f>
        <v>Ozyptila sp</v>
      </c>
      <c r="L1754" s="3" t="n">
        <f aca="false">SUM(P1754:U1754)</f>
        <v>1</v>
      </c>
      <c r="M1754" s="11" t="n">
        <f aca="false">(L1754/(F1754*G1754)*25)*4</f>
        <v>4</v>
      </c>
      <c r="N1754" s="1" t="s">
        <v>19</v>
      </c>
      <c r="O1754" s="1" t="s">
        <v>54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1</v>
      </c>
      <c r="U1754" s="3" t="n">
        <v>0</v>
      </c>
      <c r="V1754" s="3" t="n">
        <f aca="false">SUM(P1754:Q1754)</f>
        <v>0</v>
      </c>
      <c r="W1754" s="3" t="n">
        <f aca="false">SUM(R1754:T1754)</f>
        <v>1</v>
      </c>
      <c r="X1754" s="22" t="n">
        <v>41869</v>
      </c>
      <c r="Y1754" s="22" t="n">
        <v>41874</v>
      </c>
    </row>
    <row r="1755" customFormat="false" ht="14.25" hidden="false" customHeight="false" outlineLevel="0" collapsed="false">
      <c r="A1755" s="1" t="n">
        <v>2014</v>
      </c>
      <c r="B1755" s="1" t="n">
        <v>2</v>
      </c>
      <c r="C1755" s="2" t="s">
        <v>50</v>
      </c>
      <c r="D1755" s="3" t="s">
        <v>98</v>
      </c>
      <c r="E1755" s="3" t="n">
        <v>2</v>
      </c>
      <c r="F1755" s="1" t="n">
        <f aca="false">Y1755-X1755</f>
        <v>5</v>
      </c>
      <c r="G1755" s="1" t="n">
        <v>5</v>
      </c>
      <c r="H1755" s="3" t="s">
        <v>72</v>
      </c>
      <c r="I1755" s="3" t="s">
        <v>73</v>
      </c>
      <c r="J1755" s="3" t="s">
        <v>74</v>
      </c>
      <c r="K1755" s="2" t="str">
        <f aca="false">CONCATENATE(I1755," ",J1755)</f>
        <v>Zelotes subterraneus</v>
      </c>
      <c r="L1755" s="3" t="n">
        <f aca="false">SUM(P1755:U1755)</f>
        <v>1</v>
      </c>
      <c r="M1755" s="11" t="n">
        <f aca="false">(L1755/(F1755*G1755)*25)*4</f>
        <v>4</v>
      </c>
      <c r="N1755" s="1" t="s">
        <v>30</v>
      </c>
      <c r="O1755" s="1" t="s">
        <v>31</v>
      </c>
      <c r="P1755" s="3" t="n">
        <v>1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f aca="false">SUM(P1755:Q1755)</f>
        <v>1</v>
      </c>
      <c r="W1755" s="3" t="n">
        <f aca="false">SUM(R1755:T1755)</f>
        <v>0</v>
      </c>
      <c r="X1755" s="22" t="n">
        <v>41869</v>
      </c>
      <c r="Y1755" s="22" t="n">
        <v>41874</v>
      </c>
    </row>
    <row r="1756" customFormat="false" ht="14.25" hidden="false" customHeight="false" outlineLevel="0" collapsed="false">
      <c r="A1756" s="1" t="n">
        <v>2014</v>
      </c>
      <c r="B1756" s="1" t="n">
        <v>2</v>
      </c>
      <c r="C1756" s="2" t="s">
        <v>50</v>
      </c>
      <c r="D1756" s="3" t="s">
        <v>98</v>
      </c>
      <c r="E1756" s="3" t="n">
        <v>2</v>
      </c>
      <c r="F1756" s="1" t="n">
        <f aca="false">Y1756-X1756</f>
        <v>5</v>
      </c>
      <c r="G1756" s="1" t="n">
        <v>5</v>
      </c>
      <c r="H1756" s="3" t="s">
        <v>36</v>
      </c>
      <c r="I1756" s="3" t="s">
        <v>37</v>
      </c>
      <c r="J1756" s="3" t="s">
        <v>75</v>
      </c>
      <c r="K1756" s="2" t="str">
        <f aca="false">CONCATENATE(I1756," ",J1756)</f>
        <v>Ozyptila praticola</v>
      </c>
      <c r="L1756" s="3" t="n">
        <f aca="false">SUM(P1756:U1756)</f>
        <v>2</v>
      </c>
      <c r="M1756" s="11" t="n">
        <f aca="false">(L1756/(F1756*G1756)*25)*4</f>
        <v>8</v>
      </c>
      <c r="N1756" s="1" t="s">
        <v>30</v>
      </c>
      <c r="O1756" s="1" t="s">
        <v>31</v>
      </c>
      <c r="P1756" s="3" t="n">
        <v>2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f aca="false">SUM(P1756:Q1756)</f>
        <v>2</v>
      </c>
      <c r="W1756" s="3" t="n">
        <f aca="false">SUM(R1756:T1756)</f>
        <v>0</v>
      </c>
      <c r="X1756" s="22" t="n">
        <v>41869</v>
      </c>
      <c r="Y1756" s="22" t="n">
        <v>41874</v>
      </c>
    </row>
    <row r="1757" customFormat="false" ht="14.25" hidden="false" customHeight="false" outlineLevel="0" collapsed="false">
      <c r="A1757" s="1" t="n">
        <v>2014</v>
      </c>
      <c r="B1757" s="1" t="n">
        <v>2</v>
      </c>
      <c r="C1757" s="2" t="s">
        <v>50</v>
      </c>
      <c r="D1757" s="3" t="s">
        <v>98</v>
      </c>
      <c r="E1757" s="3" t="n">
        <v>2</v>
      </c>
      <c r="F1757" s="1" t="n">
        <f aca="false">Y1757-X1757</f>
        <v>5</v>
      </c>
      <c r="G1757" s="1" t="n">
        <v>5</v>
      </c>
      <c r="H1757" s="3" t="s">
        <v>72</v>
      </c>
      <c r="I1757" s="3" t="s">
        <v>86</v>
      </c>
      <c r="J1757" s="3" t="s">
        <v>38</v>
      </c>
      <c r="K1757" s="2" t="str">
        <f aca="false">CONCATENATE(I1757," ",J1757)</f>
        <v>Haplodrassus sp</v>
      </c>
      <c r="L1757" s="3" t="n">
        <f aca="false">SUM(P1757:U1757)</f>
        <v>1</v>
      </c>
      <c r="M1757" s="11" t="n">
        <f aca="false">(L1757/(F1757*G1757)*25)*4</f>
        <v>4</v>
      </c>
      <c r="N1757" s="1" t="s">
        <v>19</v>
      </c>
      <c r="O1757" s="1" t="s">
        <v>54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1</v>
      </c>
      <c r="U1757" s="3" t="n">
        <v>0</v>
      </c>
      <c r="V1757" s="3" t="n">
        <f aca="false">SUM(P1757:Q1757)</f>
        <v>0</v>
      </c>
      <c r="W1757" s="3" t="n">
        <f aca="false">SUM(R1757:T1757)</f>
        <v>1</v>
      </c>
      <c r="X1757" s="22" t="n">
        <v>41869</v>
      </c>
      <c r="Y1757" s="22" t="n">
        <v>41874</v>
      </c>
    </row>
    <row r="1758" customFormat="false" ht="14.25" hidden="false" customHeight="false" outlineLevel="0" collapsed="false">
      <c r="A1758" s="1" t="n">
        <v>2014</v>
      </c>
      <c r="B1758" s="1" t="n">
        <v>2</v>
      </c>
      <c r="C1758" s="2" t="s">
        <v>50</v>
      </c>
      <c r="D1758" s="3" t="s">
        <v>98</v>
      </c>
      <c r="E1758" s="3" t="n">
        <v>2</v>
      </c>
      <c r="F1758" s="1" t="n">
        <f aca="false">Y1758-X1758</f>
        <v>5</v>
      </c>
      <c r="G1758" s="1" t="n">
        <v>5</v>
      </c>
      <c r="H1758" s="3" t="s">
        <v>48</v>
      </c>
      <c r="I1758" s="3" t="s">
        <v>49</v>
      </c>
      <c r="J1758" s="3" t="s">
        <v>130</v>
      </c>
      <c r="K1758" s="2" t="str">
        <f aca="false">CONCATENATE(I1758," ",J1758)</f>
        <v>Alopecosa aculeata</v>
      </c>
      <c r="L1758" s="3" t="n">
        <f aca="false">SUM(P1758:U1758)</f>
        <v>1</v>
      </c>
      <c r="M1758" s="11" t="n">
        <f aca="false">(L1758/(F1758*G1758)*25)*4</f>
        <v>4</v>
      </c>
      <c r="N1758" s="1" t="s">
        <v>30</v>
      </c>
      <c r="O1758" s="1" t="s">
        <v>35</v>
      </c>
      <c r="P1758" s="3" t="n">
        <v>0</v>
      </c>
      <c r="Q1758" s="3" t="n">
        <v>1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f aca="false">SUM(P1758:Q1758)</f>
        <v>1</v>
      </c>
      <c r="W1758" s="3" t="n">
        <f aca="false">SUM(R1758:T1758)</f>
        <v>0</v>
      </c>
      <c r="X1758" s="22" t="n">
        <v>41869</v>
      </c>
      <c r="Y1758" s="22" t="n">
        <v>41874</v>
      </c>
    </row>
    <row r="1759" customFormat="false" ht="14.25" hidden="false" customHeight="false" outlineLevel="0" collapsed="false">
      <c r="A1759" s="1" t="n">
        <v>2014</v>
      </c>
      <c r="B1759" s="1" t="n">
        <v>2</v>
      </c>
      <c r="C1759" s="2" t="s">
        <v>50</v>
      </c>
      <c r="D1759" s="3" t="s">
        <v>98</v>
      </c>
      <c r="E1759" s="3" t="n">
        <v>2</v>
      </c>
      <c r="F1759" s="1" t="n">
        <f aca="false">Y1759-X1759</f>
        <v>5</v>
      </c>
      <c r="G1759" s="1" t="n">
        <v>5</v>
      </c>
      <c r="H1759" s="3" t="s">
        <v>36</v>
      </c>
      <c r="I1759" s="3" t="s">
        <v>37</v>
      </c>
      <c r="J1759" s="3" t="s">
        <v>38</v>
      </c>
      <c r="K1759" s="2" t="str">
        <f aca="false">CONCATENATE(I1759," ",J1759)</f>
        <v>Ozyptila sp</v>
      </c>
      <c r="L1759" s="3" t="n">
        <f aca="false">SUM(P1759:U1759)</f>
        <v>1</v>
      </c>
      <c r="M1759" s="11" t="n">
        <f aca="false">(L1759/(F1759*G1759)*25)*4</f>
        <v>4</v>
      </c>
      <c r="N1759" s="1" t="s">
        <v>19</v>
      </c>
      <c r="O1759" s="1" t="s">
        <v>54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1</v>
      </c>
      <c r="U1759" s="3" t="n">
        <v>0</v>
      </c>
      <c r="V1759" s="3" t="n">
        <f aca="false">SUM(P1759:Q1759)</f>
        <v>0</v>
      </c>
      <c r="W1759" s="3" t="n">
        <f aca="false">SUM(R1759:T1759)</f>
        <v>1</v>
      </c>
      <c r="X1759" s="22" t="n">
        <v>41869</v>
      </c>
      <c r="Y1759" s="22" t="n">
        <v>41874</v>
      </c>
    </row>
    <row r="1760" customFormat="false" ht="14.25" hidden="false" customHeight="false" outlineLevel="0" collapsed="false">
      <c r="A1760" s="1" t="n">
        <v>2014</v>
      </c>
      <c r="B1760" s="1" t="n">
        <v>2</v>
      </c>
      <c r="C1760" s="2" t="s">
        <v>50</v>
      </c>
      <c r="D1760" s="3" t="s">
        <v>98</v>
      </c>
      <c r="E1760" s="3" t="n">
        <v>2</v>
      </c>
      <c r="F1760" s="1" t="n">
        <f aca="false">Y1760-X1760</f>
        <v>5</v>
      </c>
      <c r="G1760" s="1" t="n">
        <v>5</v>
      </c>
      <c r="H1760" s="3" t="s">
        <v>48</v>
      </c>
      <c r="I1760" s="3" t="s">
        <v>61</v>
      </c>
      <c r="J1760" s="3" t="s">
        <v>38</v>
      </c>
      <c r="K1760" s="2" t="str">
        <f aca="false">CONCATENATE(I1760," ",J1760)</f>
        <v>Trochosa sp</v>
      </c>
      <c r="L1760" s="3" t="n">
        <f aca="false">SUM(P1760:U1760)</f>
        <v>1</v>
      </c>
      <c r="M1760" s="11" t="n">
        <f aca="false">(L1760/(F1760*G1760)*25)*4</f>
        <v>4</v>
      </c>
      <c r="N1760" s="1" t="s">
        <v>19</v>
      </c>
      <c r="O1760" s="1" t="s">
        <v>54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1</v>
      </c>
      <c r="U1760" s="3" t="n">
        <v>0</v>
      </c>
      <c r="V1760" s="3" t="n">
        <f aca="false">SUM(P1760:Q1760)</f>
        <v>0</v>
      </c>
      <c r="W1760" s="3" t="n">
        <f aca="false">SUM(R1760:T1760)</f>
        <v>1</v>
      </c>
      <c r="X1760" s="22" t="n">
        <v>41869</v>
      </c>
      <c r="Y1760" s="22" t="n">
        <v>41874</v>
      </c>
    </row>
    <row r="1761" customFormat="false" ht="14.25" hidden="false" customHeight="false" outlineLevel="0" collapsed="false">
      <c r="A1761" s="1" t="n">
        <v>2014</v>
      </c>
      <c r="B1761" s="1" t="n">
        <v>2</v>
      </c>
      <c r="C1761" s="2" t="s">
        <v>50</v>
      </c>
      <c r="D1761" s="3" t="s">
        <v>98</v>
      </c>
      <c r="E1761" s="3" t="n">
        <v>2</v>
      </c>
      <c r="F1761" s="1" t="n">
        <f aca="false">Y1761-X1761</f>
        <v>5</v>
      </c>
      <c r="G1761" s="1" t="n">
        <v>5</v>
      </c>
      <c r="H1761" s="3" t="s">
        <v>72</v>
      </c>
      <c r="I1761" s="3" t="s">
        <v>73</v>
      </c>
      <c r="J1761" s="3" t="s">
        <v>74</v>
      </c>
      <c r="K1761" s="2" t="str">
        <f aca="false">CONCATENATE(I1761," ",J1761)</f>
        <v>Zelotes subterraneus</v>
      </c>
      <c r="L1761" s="3" t="n">
        <f aca="false">SUM(P1761:U1761)</f>
        <v>2</v>
      </c>
      <c r="M1761" s="11" t="n">
        <f aca="false">(L1761/(F1761*G1761)*25)*4</f>
        <v>8</v>
      </c>
      <c r="N1761" s="1" t="s">
        <v>30</v>
      </c>
      <c r="O1761" s="1" t="s">
        <v>31</v>
      </c>
      <c r="P1761" s="3" t="n">
        <v>2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f aca="false">SUM(P1761:Q1761)</f>
        <v>2</v>
      </c>
      <c r="W1761" s="3" t="n">
        <f aca="false">SUM(R1761:T1761)</f>
        <v>0</v>
      </c>
      <c r="X1761" s="22" t="n">
        <v>41869</v>
      </c>
      <c r="Y1761" s="22" t="n">
        <v>41874</v>
      </c>
    </row>
    <row r="1762" customFormat="false" ht="14.25" hidden="false" customHeight="false" outlineLevel="0" collapsed="false">
      <c r="A1762" s="1" t="n">
        <v>2014</v>
      </c>
      <c r="B1762" s="1" t="n">
        <v>2</v>
      </c>
      <c r="C1762" s="2" t="s">
        <v>50</v>
      </c>
      <c r="D1762" s="3" t="s">
        <v>98</v>
      </c>
      <c r="E1762" s="3" t="n">
        <v>2</v>
      </c>
      <c r="F1762" s="1" t="n">
        <f aca="false">Y1762-X1762</f>
        <v>5</v>
      </c>
      <c r="G1762" s="1" t="n">
        <v>5</v>
      </c>
      <c r="H1762" s="3" t="s">
        <v>36</v>
      </c>
      <c r="I1762" s="3" t="s">
        <v>37</v>
      </c>
      <c r="J1762" s="3" t="s">
        <v>75</v>
      </c>
      <c r="K1762" s="2" t="str">
        <f aca="false">CONCATENATE(I1762," ",J1762)</f>
        <v>Ozyptila praticola</v>
      </c>
      <c r="L1762" s="3" t="n">
        <f aca="false">SUM(P1762:U1762)</f>
        <v>1</v>
      </c>
      <c r="M1762" s="11" t="n">
        <f aca="false">(L1762/(F1762*G1762)*25)*4</f>
        <v>4</v>
      </c>
      <c r="N1762" s="1" t="s">
        <v>30</v>
      </c>
      <c r="O1762" s="1" t="s">
        <v>31</v>
      </c>
      <c r="P1762" s="3" t="n">
        <v>1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f aca="false">SUM(P1762:Q1762)</f>
        <v>1</v>
      </c>
      <c r="W1762" s="3" t="n">
        <f aca="false">SUM(R1762:T1762)</f>
        <v>0</v>
      </c>
      <c r="X1762" s="22" t="n">
        <v>41869</v>
      </c>
      <c r="Y1762" s="22" t="n">
        <v>41874</v>
      </c>
    </row>
    <row r="1763" customFormat="false" ht="14.25" hidden="false" customHeight="false" outlineLevel="0" collapsed="false">
      <c r="A1763" s="1" t="n">
        <v>2014</v>
      </c>
      <c r="B1763" s="1" t="n">
        <v>2</v>
      </c>
      <c r="C1763" s="2" t="s">
        <v>50</v>
      </c>
      <c r="D1763" s="3" t="s">
        <v>98</v>
      </c>
      <c r="E1763" s="3" t="n">
        <v>2</v>
      </c>
      <c r="F1763" s="1" t="n">
        <f aca="false">Y1763-X1763</f>
        <v>5</v>
      </c>
      <c r="G1763" s="1" t="n">
        <v>5</v>
      </c>
      <c r="H1763" s="3" t="s">
        <v>48</v>
      </c>
      <c r="I1763" s="3" t="s">
        <v>61</v>
      </c>
      <c r="J1763" s="3" t="s">
        <v>82</v>
      </c>
      <c r="K1763" s="2" t="str">
        <f aca="false">CONCATENATE(I1763," ",J1763)</f>
        <v>Trochosa terricola</v>
      </c>
      <c r="L1763" s="3" t="n">
        <f aca="false">SUM(P1763:U1763)</f>
        <v>1</v>
      </c>
      <c r="M1763" s="11" t="n">
        <f aca="false">(L1763/(F1763*G1763)*25)*4</f>
        <v>4</v>
      </c>
      <c r="N1763" s="1" t="s">
        <v>30</v>
      </c>
      <c r="O1763" s="1" t="s">
        <v>31</v>
      </c>
      <c r="P1763" s="3" t="n">
        <v>1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f aca="false">SUM(P1763:Q1763)</f>
        <v>1</v>
      </c>
      <c r="W1763" s="3" t="n">
        <f aca="false">SUM(R1763:T1763)</f>
        <v>0</v>
      </c>
      <c r="X1763" s="22" t="n">
        <v>41869</v>
      </c>
      <c r="Y1763" s="22" t="n">
        <v>41874</v>
      </c>
    </row>
    <row r="1764" customFormat="false" ht="14.25" hidden="false" customHeight="false" outlineLevel="0" collapsed="false">
      <c r="A1764" s="1" t="n">
        <v>2014</v>
      </c>
      <c r="B1764" s="1" t="n">
        <v>2</v>
      </c>
      <c r="C1764" s="2" t="s">
        <v>50</v>
      </c>
      <c r="D1764" s="3" t="s">
        <v>98</v>
      </c>
      <c r="E1764" s="3" t="n">
        <v>2</v>
      </c>
      <c r="F1764" s="1" t="n">
        <f aca="false">Y1764-X1764</f>
        <v>5</v>
      </c>
      <c r="G1764" s="1" t="n">
        <v>5</v>
      </c>
      <c r="H1764" s="3" t="s">
        <v>72</v>
      </c>
      <c r="I1764" s="3" t="s">
        <v>73</v>
      </c>
      <c r="J1764" s="3" t="s">
        <v>38</v>
      </c>
      <c r="K1764" s="2" t="str">
        <f aca="false">CONCATENATE(I1764," ",J1764)</f>
        <v>Zelotes sp</v>
      </c>
      <c r="L1764" s="3" t="n">
        <f aca="false">SUM(P1764:U1764)</f>
        <v>1</v>
      </c>
      <c r="M1764" s="11" t="n">
        <f aca="false">(L1764/(F1764*G1764)*25)*4</f>
        <v>4</v>
      </c>
      <c r="N1764" s="1" t="s">
        <v>19</v>
      </c>
      <c r="O1764" s="1" t="s">
        <v>35</v>
      </c>
      <c r="P1764" s="3" t="n">
        <v>0</v>
      </c>
      <c r="Q1764" s="3" t="n">
        <v>0</v>
      </c>
      <c r="R1764" s="3" t="n">
        <v>0</v>
      </c>
      <c r="S1764" s="3" t="n">
        <v>1</v>
      </c>
      <c r="T1764" s="3" t="n">
        <v>0</v>
      </c>
      <c r="U1764" s="3" t="n">
        <v>0</v>
      </c>
      <c r="V1764" s="3" t="n">
        <f aca="false">SUM(P1764:Q1764)</f>
        <v>0</v>
      </c>
      <c r="W1764" s="3" t="n">
        <f aca="false">SUM(R1764:T1764)</f>
        <v>1</v>
      </c>
      <c r="X1764" s="22" t="n">
        <v>41869</v>
      </c>
      <c r="Y1764" s="22" t="n">
        <v>41874</v>
      </c>
    </row>
    <row r="1765" customFormat="false" ht="14.25" hidden="false" customHeight="false" outlineLevel="0" collapsed="false">
      <c r="A1765" s="1" t="n">
        <v>2014</v>
      </c>
      <c r="B1765" s="1" t="n">
        <v>2</v>
      </c>
      <c r="C1765" s="2" t="s">
        <v>50</v>
      </c>
      <c r="D1765" s="3" t="s">
        <v>98</v>
      </c>
      <c r="E1765" s="3" t="n">
        <v>2</v>
      </c>
      <c r="F1765" s="1" t="n">
        <f aca="false">Y1765-X1765</f>
        <v>5</v>
      </c>
      <c r="G1765" s="1" t="n">
        <v>5</v>
      </c>
      <c r="H1765" s="3" t="s">
        <v>36</v>
      </c>
      <c r="I1765" s="3" t="s">
        <v>37</v>
      </c>
      <c r="J1765" s="3" t="s">
        <v>75</v>
      </c>
      <c r="K1765" s="2" t="str">
        <f aca="false">CONCATENATE(I1765," ",J1765)</f>
        <v>Ozyptila praticola</v>
      </c>
      <c r="L1765" s="3" t="n">
        <f aca="false">SUM(P1765:U1765)</f>
        <v>2</v>
      </c>
      <c r="M1765" s="11" t="n">
        <f aca="false">(L1765/(F1765*G1765)*25)*4</f>
        <v>8</v>
      </c>
      <c r="N1765" s="1" t="s">
        <v>30</v>
      </c>
      <c r="O1765" s="1" t="s">
        <v>31</v>
      </c>
      <c r="P1765" s="3" t="n">
        <v>2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f aca="false">SUM(P1765:Q1765)</f>
        <v>2</v>
      </c>
      <c r="W1765" s="3" t="n">
        <f aca="false">SUM(R1765:T1765)</f>
        <v>0</v>
      </c>
      <c r="X1765" s="22" t="n">
        <v>41869</v>
      </c>
      <c r="Y1765" s="22" t="n">
        <v>41874</v>
      </c>
    </row>
    <row r="1766" customFormat="false" ht="14.25" hidden="false" customHeight="false" outlineLevel="0" collapsed="false">
      <c r="A1766" s="1" t="n">
        <v>2014</v>
      </c>
      <c r="B1766" s="1" t="n">
        <v>2</v>
      </c>
      <c r="C1766" s="2" t="s">
        <v>50</v>
      </c>
      <c r="D1766" s="3" t="s">
        <v>98</v>
      </c>
      <c r="E1766" s="3" t="n">
        <v>2</v>
      </c>
      <c r="F1766" s="1" t="n">
        <f aca="false">Y1766-X1766</f>
        <v>5</v>
      </c>
      <c r="G1766" s="1" t="n">
        <v>5</v>
      </c>
      <c r="H1766" s="3" t="s">
        <v>36</v>
      </c>
      <c r="I1766" s="3" t="s">
        <v>37</v>
      </c>
      <c r="J1766" s="3" t="s">
        <v>75</v>
      </c>
      <c r="K1766" s="2" t="str">
        <f aca="false">CONCATENATE(I1766," ",J1766)</f>
        <v>Ozyptila praticola</v>
      </c>
      <c r="L1766" s="3" t="n">
        <f aca="false">SUM(P1766:U1766)</f>
        <v>1</v>
      </c>
      <c r="M1766" s="11" t="n">
        <f aca="false">(L1766/(F1766*G1766)*25)*4</f>
        <v>4</v>
      </c>
      <c r="N1766" s="1" t="s">
        <v>30</v>
      </c>
      <c r="O1766" s="1" t="s">
        <v>35</v>
      </c>
      <c r="P1766" s="3" t="n">
        <v>0</v>
      </c>
      <c r="Q1766" s="3" t="n">
        <v>1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f aca="false">SUM(P1766:Q1766)</f>
        <v>1</v>
      </c>
      <c r="W1766" s="3" t="n">
        <f aca="false">SUM(R1766:T1766)</f>
        <v>0</v>
      </c>
      <c r="X1766" s="22" t="n">
        <v>41869</v>
      </c>
      <c r="Y1766" s="22" t="n">
        <v>41874</v>
      </c>
    </row>
    <row r="1767" customFormat="false" ht="14.25" hidden="false" customHeight="false" outlineLevel="0" collapsed="false">
      <c r="A1767" s="1" t="n">
        <v>2014</v>
      </c>
      <c r="B1767" s="1" t="n">
        <v>2</v>
      </c>
      <c r="C1767" s="2" t="s">
        <v>50</v>
      </c>
      <c r="D1767" s="3" t="s">
        <v>98</v>
      </c>
      <c r="E1767" s="3" t="n">
        <v>2</v>
      </c>
      <c r="F1767" s="1" t="n">
        <f aca="false">Y1767-X1767</f>
        <v>5</v>
      </c>
      <c r="G1767" s="1" t="n">
        <v>5</v>
      </c>
      <c r="H1767" s="3" t="s">
        <v>36</v>
      </c>
      <c r="I1767" s="3" t="s">
        <v>37</v>
      </c>
      <c r="J1767" s="3" t="s">
        <v>38</v>
      </c>
      <c r="K1767" s="2" t="str">
        <f aca="false">CONCATENATE(I1767," ",J1767)</f>
        <v>Ozyptila sp</v>
      </c>
      <c r="L1767" s="3" t="n">
        <f aca="false">SUM(P1767:U1767)</f>
        <v>1</v>
      </c>
      <c r="M1767" s="11" t="n">
        <f aca="false">(L1767/(F1767*G1767)*25)*4</f>
        <v>4</v>
      </c>
      <c r="N1767" s="1" t="s">
        <v>19</v>
      </c>
      <c r="O1767" s="1" t="s">
        <v>54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1</v>
      </c>
      <c r="U1767" s="3" t="n">
        <v>0</v>
      </c>
      <c r="V1767" s="3" t="n">
        <f aca="false">SUM(P1767:Q1767)</f>
        <v>0</v>
      </c>
      <c r="W1767" s="3" t="n">
        <f aca="false">SUM(R1767:T1767)</f>
        <v>1</v>
      </c>
      <c r="X1767" s="22" t="n">
        <v>41869</v>
      </c>
      <c r="Y1767" s="22" t="n">
        <v>41874</v>
      </c>
    </row>
    <row r="1768" customFormat="false" ht="14.25" hidden="false" customHeight="false" outlineLevel="0" collapsed="false">
      <c r="A1768" s="1" t="n">
        <v>2014</v>
      </c>
      <c r="B1768" s="1" t="n">
        <v>2</v>
      </c>
      <c r="C1768" s="2" t="s">
        <v>50</v>
      </c>
      <c r="D1768" s="3" t="s">
        <v>98</v>
      </c>
      <c r="E1768" s="3" t="n">
        <v>2</v>
      </c>
      <c r="F1768" s="1" t="n">
        <f aca="false">Y1768-X1768</f>
        <v>5</v>
      </c>
      <c r="G1768" s="1" t="n">
        <v>5</v>
      </c>
      <c r="H1768" s="3" t="s">
        <v>32</v>
      </c>
      <c r="I1768" s="3" t="s">
        <v>88</v>
      </c>
      <c r="J1768" s="3" t="s">
        <v>89</v>
      </c>
      <c r="K1768" s="2" t="str">
        <f aca="false">CONCATENATE(I1768," ",J1768)</f>
        <v>Tapinopa longidens</v>
      </c>
      <c r="L1768" s="3" t="n">
        <f aca="false">SUM(P1768:U1768)</f>
        <v>1</v>
      </c>
      <c r="M1768" s="11" t="n">
        <f aca="false">(L1768/(F1768*G1768)*25)*4</f>
        <v>4</v>
      </c>
      <c r="N1768" s="1" t="s">
        <v>30</v>
      </c>
      <c r="O1768" s="1" t="s">
        <v>31</v>
      </c>
      <c r="P1768" s="3" t="n">
        <v>1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f aca="false">SUM(P1768:Q1768)</f>
        <v>1</v>
      </c>
      <c r="W1768" s="3" t="n">
        <f aca="false">SUM(R1768:T1768)</f>
        <v>0</v>
      </c>
      <c r="X1768" s="22" t="n">
        <v>41869</v>
      </c>
      <c r="Y1768" s="22" t="n">
        <v>41874</v>
      </c>
    </row>
    <row r="1769" customFormat="false" ht="14.25" hidden="false" customHeight="false" outlineLevel="0" collapsed="false">
      <c r="A1769" s="1" t="n">
        <v>2014</v>
      </c>
      <c r="B1769" s="1" t="n">
        <v>2</v>
      </c>
      <c r="C1769" s="2" t="s">
        <v>50</v>
      </c>
      <c r="D1769" s="3" t="s">
        <v>98</v>
      </c>
      <c r="E1769" s="3" t="n">
        <v>3</v>
      </c>
      <c r="F1769" s="1" t="n">
        <f aca="false">Y1769-X1769</f>
        <v>5</v>
      </c>
      <c r="G1769" s="1" t="n">
        <v>5</v>
      </c>
      <c r="H1769" s="3" t="s">
        <v>48</v>
      </c>
      <c r="I1769" s="3" t="s">
        <v>61</v>
      </c>
      <c r="J1769" s="3" t="s">
        <v>82</v>
      </c>
      <c r="K1769" s="2" t="str">
        <f aca="false">CONCATENATE(I1769," ",J1769)</f>
        <v>Trochosa terricola</v>
      </c>
      <c r="L1769" s="3" t="n">
        <f aca="false">SUM(P1769:U1769)</f>
        <v>1</v>
      </c>
      <c r="M1769" s="11" t="n">
        <f aca="false">(L1769/(F1769*G1769)*25)*4</f>
        <v>4</v>
      </c>
      <c r="N1769" s="1" t="s">
        <v>30</v>
      </c>
      <c r="O1769" s="1" t="s">
        <v>31</v>
      </c>
      <c r="P1769" s="3" t="n">
        <v>1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f aca="false">SUM(P1769:Q1769)</f>
        <v>1</v>
      </c>
      <c r="W1769" s="3" t="n">
        <f aca="false">SUM(R1769:T1769)</f>
        <v>0</v>
      </c>
      <c r="X1769" s="22" t="n">
        <v>41869</v>
      </c>
      <c r="Y1769" s="22" t="n">
        <v>41874</v>
      </c>
    </row>
    <row r="1770" customFormat="false" ht="14.25" hidden="false" customHeight="false" outlineLevel="0" collapsed="false">
      <c r="A1770" s="1" t="n">
        <v>2014</v>
      </c>
      <c r="B1770" s="1" t="n">
        <v>2</v>
      </c>
      <c r="C1770" s="2" t="s">
        <v>50</v>
      </c>
      <c r="D1770" s="3" t="s">
        <v>98</v>
      </c>
      <c r="E1770" s="3" t="n">
        <v>3</v>
      </c>
      <c r="F1770" s="1" t="n">
        <f aca="false">Y1770-X1770</f>
        <v>5</v>
      </c>
      <c r="G1770" s="1" t="n">
        <v>5</v>
      </c>
      <c r="H1770" s="3" t="s">
        <v>48</v>
      </c>
      <c r="I1770" s="3" t="s">
        <v>61</v>
      </c>
      <c r="J1770" s="3" t="s">
        <v>82</v>
      </c>
      <c r="K1770" s="2" t="str">
        <f aca="false">CONCATENATE(I1770," ",J1770)</f>
        <v>Trochosa terricola</v>
      </c>
      <c r="L1770" s="3" t="n">
        <f aca="false">SUM(P1770:U1770)</f>
        <v>1</v>
      </c>
      <c r="M1770" s="11" t="n">
        <f aca="false">(L1770/(F1770*G1770)*25)*4</f>
        <v>4</v>
      </c>
      <c r="N1770" s="1" t="s">
        <v>30</v>
      </c>
      <c r="O1770" s="1" t="s">
        <v>35</v>
      </c>
      <c r="P1770" s="3" t="n">
        <v>0</v>
      </c>
      <c r="Q1770" s="3" t="n">
        <v>1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f aca="false">SUM(P1770:Q1770)</f>
        <v>1</v>
      </c>
      <c r="W1770" s="3" t="n">
        <f aca="false">SUM(R1770:T1770)</f>
        <v>0</v>
      </c>
      <c r="X1770" s="22" t="n">
        <v>41869</v>
      </c>
      <c r="Y1770" s="22" t="n">
        <v>41874</v>
      </c>
    </row>
    <row r="1771" customFormat="false" ht="14.25" hidden="false" customHeight="false" outlineLevel="0" collapsed="false">
      <c r="A1771" s="1" t="n">
        <v>2014</v>
      </c>
      <c r="B1771" s="1" t="n">
        <v>2</v>
      </c>
      <c r="C1771" s="2" t="s">
        <v>50</v>
      </c>
      <c r="D1771" s="3" t="s">
        <v>98</v>
      </c>
      <c r="E1771" s="3" t="n">
        <v>3</v>
      </c>
      <c r="F1771" s="1" t="n">
        <f aca="false">Y1771-X1771</f>
        <v>5</v>
      </c>
      <c r="G1771" s="1" t="n">
        <v>5</v>
      </c>
      <c r="H1771" s="3" t="s">
        <v>48</v>
      </c>
      <c r="I1771" s="3" t="s">
        <v>61</v>
      </c>
      <c r="J1771" s="3" t="s">
        <v>38</v>
      </c>
      <c r="K1771" s="2" t="str">
        <f aca="false">CONCATENATE(I1771," ",J1771)</f>
        <v>Trochosa sp</v>
      </c>
      <c r="L1771" s="3" t="n">
        <f aca="false">SUM(P1771:U1771)</f>
        <v>1</v>
      </c>
      <c r="M1771" s="11" t="n">
        <f aca="false">(L1771/(F1771*G1771)*25)*4</f>
        <v>4</v>
      </c>
      <c r="N1771" s="1" t="s">
        <v>19</v>
      </c>
      <c r="O1771" s="1" t="s">
        <v>35</v>
      </c>
      <c r="P1771" s="3" t="n">
        <v>0</v>
      </c>
      <c r="Q1771" s="3" t="n">
        <v>0</v>
      </c>
      <c r="R1771" s="3" t="n">
        <v>0</v>
      </c>
      <c r="S1771" s="3" t="n">
        <v>1</v>
      </c>
      <c r="T1771" s="3" t="n">
        <v>0</v>
      </c>
      <c r="U1771" s="3" t="n">
        <v>0</v>
      </c>
      <c r="V1771" s="3" t="n">
        <f aca="false">SUM(P1771:Q1771)</f>
        <v>0</v>
      </c>
      <c r="W1771" s="3" t="n">
        <f aca="false">SUM(R1771:T1771)</f>
        <v>1</v>
      </c>
      <c r="X1771" s="22" t="n">
        <v>41869</v>
      </c>
      <c r="Y1771" s="22" t="n">
        <v>41874</v>
      </c>
    </row>
    <row r="1772" customFormat="false" ht="14.25" hidden="false" customHeight="false" outlineLevel="0" collapsed="false">
      <c r="A1772" s="1" t="n">
        <v>2014</v>
      </c>
      <c r="B1772" s="1" t="n">
        <v>2</v>
      </c>
      <c r="C1772" s="2" t="s">
        <v>50</v>
      </c>
      <c r="D1772" s="3" t="s">
        <v>98</v>
      </c>
      <c r="E1772" s="3" t="n">
        <v>3</v>
      </c>
      <c r="F1772" s="1" t="n">
        <f aca="false">Y1772-X1772</f>
        <v>5</v>
      </c>
      <c r="G1772" s="1" t="n">
        <v>5</v>
      </c>
      <c r="H1772" s="3" t="s">
        <v>48</v>
      </c>
      <c r="I1772" s="3" t="s">
        <v>61</v>
      </c>
      <c r="J1772" s="3" t="s">
        <v>38</v>
      </c>
      <c r="K1772" s="2" t="str">
        <f aca="false">CONCATENATE(I1772," ",J1772)</f>
        <v>Trochosa sp</v>
      </c>
      <c r="L1772" s="3" t="n">
        <f aca="false">SUM(P1772:U1772)</f>
        <v>1</v>
      </c>
      <c r="M1772" s="11" t="n">
        <f aca="false">(L1772/(F1772*G1772)*25)*4</f>
        <v>4</v>
      </c>
      <c r="N1772" s="1" t="s">
        <v>19</v>
      </c>
      <c r="O1772" s="1" t="s">
        <v>54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1</v>
      </c>
      <c r="U1772" s="3" t="n">
        <v>0</v>
      </c>
      <c r="V1772" s="3" t="n">
        <f aca="false">SUM(P1772:Q1772)</f>
        <v>0</v>
      </c>
      <c r="W1772" s="3" t="n">
        <f aca="false">SUM(R1772:T1772)</f>
        <v>1</v>
      </c>
      <c r="X1772" s="22" t="n">
        <v>41869</v>
      </c>
      <c r="Y1772" s="22" t="n">
        <v>41874</v>
      </c>
    </row>
    <row r="1773" customFormat="false" ht="14.25" hidden="false" customHeight="false" outlineLevel="0" collapsed="false">
      <c r="A1773" s="1" t="n">
        <v>2014</v>
      </c>
      <c r="B1773" s="1" t="n">
        <v>2</v>
      </c>
      <c r="C1773" s="2" t="s">
        <v>50</v>
      </c>
      <c r="D1773" s="3" t="s">
        <v>98</v>
      </c>
      <c r="E1773" s="3" t="n">
        <v>3</v>
      </c>
      <c r="F1773" s="1" t="n">
        <f aca="false">Y1773-X1773</f>
        <v>5</v>
      </c>
      <c r="G1773" s="1" t="n">
        <v>5</v>
      </c>
      <c r="H1773" s="3" t="s">
        <v>72</v>
      </c>
      <c r="I1773" s="3" t="s">
        <v>73</v>
      </c>
      <c r="J1773" s="3" t="s">
        <v>74</v>
      </c>
      <c r="K1773" s="2" t="str">
        <f aca="false">CONCATENATE(I1773," ",J1773)</f>
        <v>Zelotes subterraneus</v>
      </c>
      <c r="L1773" s="3" t="n">
        <f aca="false">SUM(P1773:U1773)</f>
        <v>2</v>
      </c>
      <c r="M1773" s="11" t="n">
        <f aca="false">(L1773/(F1773*G1773)*25)*4</f>
        <v>8</v>
      </c>
      <c r="N1773" s="1" t="s">
        <v>30</v>
      </c>
      <c r="O1773" s="1" t="s">
        <v>31</v>
      </c>
      <c r="P1773" s="3" t="n">
        <v>2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f aca="false">SUM(P1773:Q1773)</f>
        <v>2</v>
      </c>
      <c r="W1773" s="3" t="n">
        <f aca="false">SUM(R1773:T1773)</f>
        <v>0</v>
      </c>
      <c r="X1773" s="22" t="n">
        <v>41869</v>
      </c>
      <c r="Y1773" s="22" t="n">
        <v>41874</v>
      </c>
    </row>
    <row r="1774" customFormat="false" ht="14.25" hidden="false" customHeight="false" outlineLevel="0" collapsed="false">
      <c r="A1774" s="1" t="n">
        <v>2014</v>
      </c>
      <c r="B1774" s="1" t="n">
        <v>2</v>
      </c>
      <c r="C1774" s="2" t="s">
        <v>50</v>
      </c>
      <c r="D1774" s="3" t="s">
        <v>98</v>
      </c>
      <c r="E1774" s="3" t="n">
        <v>3</v>
      </c>
      <c r="F1774" s="1" t="n">
        <f aca="false">Y1774-X1774</f>
        <v>5</v>
      </c>
      <c r="G1774" s="1" t="n">
        <v>5</v>
      </c>
      <c r="H1774" s="3" t="s">
        <v>72</v>
      </c>
      <c r="I1774" s="3" t="s">
        <v>86</v>
      </c>
      <c r="J1774" s="3" t="s">
        <v>38</v>
      </c>
      <c r="K1774" s="2" t="str">
        <f aca="false">CONCATENATE(I1774," ",J1774)</f>
        <v>Haplodrassus sp</v>
      </c>
      <c r="L1774" s="3" t="n">
        <f aca="false">SUM(P1774:U1774)</f>
        <v>1</v>
      </c>
      <c r="M1774" s="11" t="n">
        <f aca="false">(L1774/(F1774*G1774)*25)*4</f>
        <v>4</v>
      </c>
      <c r="N1774" s="1" t="s">
        <v>19</v>
      </c>
      <c r="O1774" s="1" t="s">
        <v>35</v>
      </c>
      <c r="P1774" s="3" t="n">
        <v>0</v>
      </c>
      <c r="Q1774" s="3" t="n">
        <v>0</v>
      </c>
      <c r="R1774" s="3" t="n">
        <v>0</v>
      </c>
      <c r="S1774" s="3" t="n">
        <v>1</v>
      </c>
      <c r="T1774" s="3" t="n">
        <v>0</v>
      </c>
      <c r="U1774" s="3" t="n">
        <v>0</v>
      </c>
      <c r="V1774" s="3" t="n">
        <f aca="false">SUM(P1774:Q1774)</f>
        <v>0</v>
      </c>
      <c r="W1774" s="3" t="n">
        <f aca="false">SUM(R1774:T1774)</f>
        <v>1</v>
      </c>
      <c r="X1774" s="22" t="n">
        <v>41869</v>
      </c>
      <c r="Y1774" s="22" t="n">
        <v>41874</v>
      </c>
    </row>
    <row r="1775" customFormat="false" ht="14.25" hidden="false" customHeight="false" outlineLevel="0" collapsed="false">
      <c r="A1775" s="1" t="n">
        <v>2014</v>
      </c>
      <c r="B1775" s="1" t="n">
        <v>2</v>
      </c>
      <c r="C1775" s="2" t="s">
        <v>50</v>
      </c>
      <c r="D1775" s="3" t="s">
        <v>98</v>
      </c>
      <c r="E1775" s="3" t="n">
        <v>3</v>
      </c>
      <c r="F1775" s="1" t="n">
        <f aca="false">Y1775-X1775</f>
        <v>5</v>
      </c>
      <c r="G1775" s="1" t="n">
        <v>5</v>
      </c>
      <c r="H1775" s="3" t="s">
        <v>36</v>
      </c>
      <c r="I1775" s="3" t="s">
        <v>37</v>
      </c>
      <c r="J1775" s="3" t="s">
        <v>75</v>
      </c>
      <c r="K1775" s="2" t="str">
        <f aca="false">CONCATENATE(I1775," ",J1775)</f>
        <v>Ozyptila praticola</v>
      </c>
      <c r="L1775" s="3" t="n">
        <f aca="false">SUM(P1775:U1775)</f>
        <v>1</v>
      </c>
      <c r="M1775" s="11" t="n">
        <f aca="false">(L1775/(F1775*G1775)*25)*4</f>
        <v>4</v>
      </c>
      <c r="N1775" s="1" t="s">
        <v>30</v>
      </c>
      <c r="O1775" s="1" t="s">
        <v>31</v>
      </c>
      <c r="P1775" s="3" t="n">
        <v>1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f aca="false">SUM(P1775:Q1775)</f>
        <v>1</v>
      </c>
      <c r="W1775" s="3" t="n">
        <f aca="false">SUM(R1775:T1775)</f>
        <v>0</v>
      </c>
      <c r="X1775" s="22" t="n">
        <v>41869</v>
      </c>
      <c r="Y1775" s="22" t="n">
        <v>41874</v>
      </c>
    </row>
    <row r="1776" customFormat="false" ht="14.25" hidden="false" customHeight="false" outlineLevel="0" collapsed="false">
      <c r="A1776" s="1" t="n">
        <v>2014</v>
      </c>
      <c r="B1776" s="1" t="n">
        <v>2</v>
      </c>
      <c r="C1776" s="2" t="s">
        <v>50</v>
      </c>
      <c r="D1776" s="3" t="s">
        <v>98</v>
      </c>
      <c r="E1776" s="3" t="n">
        <v>2</v>
      </c>
      <c r="F1776" s="1" t="n">
        <f aca="false">Y1776-X1776</f>
        <v>5</v>
      </c>
      <c r="G1776" s="1" t="n">
        <v>5</v>
      </c>
      <c r="H1776" s="3" t="s">
        <v>48</v>
      </c>
      <c r="I1776" s="3" t="s">
        <v>61</v>
      </c>
      <c r="J1776" s="3" t="s">
        <v>82</v>
      </c>
      <c r="K1776" s="2" t="str">
        <f aca="false">CONCATENATE(I1776," ",J1776)</f>
        <v>Trochosa terricola</v>
      </c>
      <c r="L1776" s="3" t="n">
        <f aca="false">SUM(P1776:U1776)</f>
        <v>1</v>
      </c>
      <c r="M1776" s="11" t="n">
        <f aca="false">(L1776/(F1776*G1776)*25)*4</f>
        <v>4</v>
      </c>
      <c r="N1776" s="1" t="s">
        <v>30</v>
      </c>
      <c r="O1776" s="1" t="s">
        <v>31</v>
      </c>
      <c r="P1776" s="3" t="n">
        <v>1</v>
      </c>
      <c r="Q1776" s="3" t="n">
        <v>0</v>
      </c>
      <c r="R1776" s="3" t="n">
        <v>0</v>
      </c>
      <c r="S1776" s="3" t="n">
        <v>0</v>
      </c>
      <c r="T1776" s="3" t="n">
        <v>0</v>
      </c>
      <c r="U1776" s="3" t="n">
        <v>0</v>
      </c>
      <c r="V1776" s="3" t="n">
        <f aca="false">SUM(P1776:Q1776)</f>
        <v>1</v>
      </c>
      <c r="W1776" s="3" t="n">
        <f aca="false">SUM(R1776:T1776)</f>
        <v>0</v>
      </c>
      <c r="X1776" s="22" t="n">
        <v>41869</v>
      </c>
      <c r="Y1776" s="22" t="n">
        <v>41874</v>
      </c>
    </row>
    <row r="1777" customFormat="false" ht="14.25" hidden="false" customHeight="false" outlineLevel="0" collapsed="false">
      <c r="A1777" s="1" t="n">
        <v>2014</v>
      </c>
      <c r="B1777" s="1" t="n">
        <v>2</v>
      </c>
      <c r="C1777" s="2" t="s">
        <v>50</v>
      </c>
      <c r="D1777" s="3" t="s">
        <v>98</v>
      </c>
      <c r="E1777" s="3" t="n">
        <v>2</v>
      </c>
      <c r="F1777" s="1" t="n">
        <f aca="false">Y1777-X1777</f>
        <v>5</v>
      </c>
      <c r="G1777" s="1" t="n">
        <v>5</v>
      </c>
      <c r="H1777" s="3" t="s">
        <v>48</v>
      </c>
      <c r="I1777" s="3" t="s">
        <v>61</v>
      </c>
      <c r="J1777" s="3" t="s">
        <v>82</v>
      </c>
      <c r="K1777" s="2" t="str">
        <f aca="false">CONCATENATE(I1777," ",J1777)</f>
        <v>Trochosa terricola</v>
      </c>
      <c r="L1777" s="3" t="n">
        <f aca="false">SUM(P1777:U1777)</f>
        <v>1</v>
      </c>
      <c r="M1777" s="11" t="n">
        <f aca="false">(L1777/(F1777*G1777)*25)*4</f>
        <v>4</v>
      </c>
      <c r="N1777" s="1" t="s">
        <v>30</v>
      </c>
      <c r="O1777" s="1" t="s">
        <v>35</v>
      </c>
      <c r="P1777" s="3" t="n">
        <v>0</v>
      </c>
      <c r="Q1777" s="3" t="n">
        <v>1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f aca="false">SUM(P1777:Q1777)</f>
        <v>1</v>
      </c>
      <c r="W1777" s="3" t="n">
        <f aca="false">SUM(R1777:T1777)</f>
        <v>0</v>
      </c>
      <c r="X1777" s="22" t="n">
        <v>41869</v>
      </c>
      <c r="Y1777" s="22" t="n">
        <v>41874</v>
      </c>
    </row>
    <row r="1778" customFormat="false" ht="14.25" hidden="false" customHeight="false" outlineLevel="0" collapsed="false">
      <c r="A1778" s="1" t="n">
        <v>2014</v>
      </c>
      <c r="B1778" s="1" t="n">
        <v>2</v>
      </c>
      <c r="C1778" s="2" t="s">
        <v>50</v>
      </c>
      <c r="D1778" s="3" t="s">
        <v>98</v>
      </c>
      <c r="E1778" s="3" t="n">
        <v>2</v>
      </c>
      <c r="F1778" s="1" t="n">
        <f aca="false">Y1778-X1778</f>
        <v>5</v>
      </c>
      <c r="G1778" s="1" t="n">
        <v>5</v>
      </c>
      <c r="H1778" s="3" t="s">
        <v>72</v>
      </c>
      <c r="I1778" s="3" t="s">
        <v>73</v>
      </c>
      <c r="J1778" s="3" t="s">
        <v>38</v>
      </c>
      <c r="K1778" s="2" t="str">
        <f aca="false">CONCATENATE(I1778," ",J1778)</f>
        <v>Zelotes sp</v>
      </c>
      <c r="L1778" s="3" t="n">
        <f aca="false">SUM(P1778:U1778)</f>
        <v>1</v>
      </c>
      <c r="M1778" s="11" t="n">
        <f aca="false">(L1778/(F1778*G1778)*25)*4</f>
        <v>4</v>
      </c>
      <c r="N1778" s="1" t="s">
        <v>19</v>
      </c>
      <c r="O1778" s="1" t="s">
        <v>54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1</v>
      </c>
      <c r="U1778" s="3" t="n">
        <v>0</v>
      </c>
      <c r="V1778" s="3" t="n">
        <f aca="false">SUM(P1778:Q1778)</f>
        <v>0</v>
      </c>
      <c r="W1778" s="3" t="n">
        <f aca="false">SUM(R1778:T1778)</f>
        <v>1</v>
      </c>
      <c r="X1778" s="22" t="n">
        <v>41869</v>
      </c>
      <c r="Y1778" s="22" t="n">
        <v>41874</v>
      </c>
    </row>
    <row r="1779" customFormat="false" ht="14.25" hidden="false" customHeight="false" outlineLevel="0" collapsed="false">
      <c r="A1779" s="1" t="n">
        <v>2014</v>
      </c>
      <c r="B1779" s="1" t="n">
        <v>2</v>
      </c>
      <c r="C1779" s="2" t="s">
        <v>50</v>
      </c>
      <c r="D1779" s="3" t="s">
        <v>98</v>
      </c>
      <c r="E1779" s="3" t="n">
        <v>2</v>
      </c>
      <c r="F1779" s="1" t="n">
        <f aca="false">Y1779-X1779</f>
        <v>5</v>
      </c>
      <c r="G1779" s="1" t="n">
        <v>5</v>
      </c>
      <c r="H1779" s="3" t="s">
        <v>72</v>
      </c>
      <c r="I1779" s="3" t="s">
        <v>86</v>
      </c>
      <c r="J1779" s="3" t="s">
        <v>38</v>
      </c>
      <c r="K1779" s="2" t="str">
        <f aca="false">CONCATENATE(I1779," ",J1779)</f>
        <v>Haplodrassus sp</v>
      </c>
      <c r="L1779" s="3" t="n">
        <f aca="false">SUM(P1779:U1779)</f>
        <v>1</v>
      </c>
      <c r="M1779" s="11" t="n">
        <f aca="false">(L1779/(F1779*G1779)*25)*4</f>
        <v>4</v>
      </c>
      <c r="N1779" s="1" t="s">
        <v>19</v>
      </c>
      <c r="O1779" s="1" t="s">
        <v>31</v>
      </c>
      <c r="P1779" s="3" t="n">
        <v>0</v>
      </c>
      <c r="Q1779" s="3" t="n">
        <v>0</v>
      </c>
      <c r="R1779" s="3" t="n">
        <v>1</v>
      </c>
      <c r="S1779" s="3" t="n">
        <v>0</v>
      </c>
      <c r="T1779" s="3" t="n">
        <v>0</v>
      </c>
      <c r="U1779" s="3" t="n">
        <v>0</v>
      </c>
      <c r="V1779" s="3" t="n">
        <f aca="false">SUM(P1779:Q1779)</f>
        <v>0</v>
      </c>
      <c r="W1779" s="3" t="n">
        <f aca="false">SUM(R1779:T1779)</f>
        <v>1</v>
      </c>
      <c r="X1779" s="22" t="n">
        <v>41869</v>
      </c>
      <c r="Y1779" s="22" t="n">
        <v>41874</v>
      </c>
    </row>
    <row r="1780" customFormat="false" ht="14.25" hidden="false" customHeight="false" outlineLevel="0" collapsed="false">
      <c r="A1780" s="1" t="n">
        <v>2014</v>
      </c>
      <c r="B1780" s="1" t="n">
        <v>2</v>
      </c>
      <c r="C1780" s="2" t="s">
        <v>50</v>
      </c>
      <c r="D1780" s="3" t="s">
        <v>98</v>
      </c>
      <c r="E1780" s="3" t="n">
        <v>2</v>
      </c>
      <c r="F1780" s="1" t="n">
        <f aca="false">Y1780-X1780</f>
        <v>5</v>
      </c>
      <c r="G1780" s="1" t="n">
        <v>5</v>
      </c>
      <c r="H1780" s="3" t="s">
        <v>36</v>
      </c>
      <c r="I1780" s="3" t="s">
        <v>37</v>
      </c>
      <c r="J1780" s="3" t="s">
        <v>75</v>
      </c>
      <c r="K1780" s="2" t="str">
        <f aca="false">CONCATENATE(I1780," ",J1780)</f>
        <v>Ozyptila praticola</v>
      </c>
      <c r="L1780" s="3" t="n">
        <f aca="false">SUM(P1780:U1780)</f>
        <v>1</v>
      </c>
      <c r="M1780" s="11" t="n">
        <f aca="false">(L1780/(F1780*G1780)*25)*4</f>
        <v>4</v>
      </c>
      <c r="N1780" s="1" t="s">
        <v>30</v>
      </c>
      <c r="O1780" s="1" t="s">
        <v>31</v>
      </c>
      <c r="P1780" s="3" t="n">
        <v>1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f aca="false">SUM(P1780:Q1780)</f>
        <v>1</v>
      </c>
      <c r="W1780" s="3" t="n">
        <f aca="false">SUM(R1780:T1780)</f>
        <v>0</v>
      </c>
      <c r="X1780" s="22" t="n">
        <v>41869</v>
      </c>
      <c r="Y1780" s="22" t="n">
        <v>41874</v>
      </c>
    </row>
    <row r="1781" customFormat="false" ht="14.25" hidden="false" customHeight="false" outlineLevel="0" collapsed="false">
      <c r="A1781" s="1" t="n">
        <v>2014</v>
      </c>
      <c r="B1781" s="1" t="n">
        <v>2</v>
      </c>
      <c r="C1781" s="2" t="s">
        <v>50</v>
      </c>
      <c r="D1781" s="3" t="s">
        <v>98</v>
      </c>
      <c r="E1781" s="3" t="n">
        <v>2</v>
      </c>
      <c r="F1781" s="1" t="n">
        <f aca="false">Y1781-X1781</f>
        <v>5</v>
      </c>
      <c r="G1781" s="1" t="n">
        <v>5</v>
      </c>
      <c r="H1781" s="3" t="s">
        <v>36</v>
      </c>
      <c r="I1781" s="3" t="s">
        <v>131</v>
      </c>
      <c r="J1781" s="3" t="s">
        <v>229</v>
      </c>
      <c r="K1781" s="2" t="str">
        <f aca="false">CONCATENATE(I1781," ",J1781)</f>
        <v>Xysticus emertoni</v>
      </c>
      <c r="L1781" s="3" t="n">
        <f aca="false">SUM(P1781:U1781)</f>
        <v>1</v>
      </c>
      <c r="M1781" s="11" t="n">
        <f aca="false">(L1781/(F1781*G1781)*25)*4</f>
        <v>4</v>
      </c>
      <c r="N1781" s="1" t="s">
        <v>30</v>
      </c>
      <c r="O1781" s="1" t="s">
        <v>35</v>
      </c>
      <c r="P1781" s="3" t="n">
        <v>0</v>
      </c>
      <c r="Q1781" s="3" t="n">
        <v>1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f aca="false">SUM(P1781:Q1781)</f>
        <v>1</v>
      </c>
      <c r="W1781" s="3" t="n">
        <f aca="false">SUM(R1781:T1781)</f>
        <v>0</v>
      </c>
      <c r="X1781" s="22" t="n">
        <v>41869</v>
      </c>
      <c r="Y1781" s="22" t="n">
        <v>41874</v>
      </c>
    </row>
    <row r="1782" customFormat="false" ht="14.25" hidden="false" customHeight="false" outlineLevel="0" collapsed="false">
      <c r="A1782" s="1" t="n">
        <v>2014</v>
      </c>
      <c r="B1782" s="1" t="n">
        <v>2</v>
      </c>
      <c r="C1782" s="2" t="s">
        <v>25</v>
      </c>
      <c r="D1782" s="3" t="s">
        <v>26</v>
      </c>
      <c r="E1782" s="3" t="n">
        <v>3</v>
      </c>
      <c r="F1782" s="1" t="n">
        <f aca="false">Y1782-X1782</f>
        <v>5</v>
      </c>
      <c r="G1782" s="1" t="n">
        <v>5</v>
      </c>
      <c r="H1782" s="3" t="s">
        <v>48</v>
      </c>
      <c r="I1782" s="3" t="s">
        <v>61</v>
      </c>
      <c r="J1782" s="3" t="s">
        <v>82</v>
      </c>
      <c r="K1782" s="2" t="str">
        <f aca="false">CONCATENATE(I1782," ",J1782)</f>
        <v>Trochosa terricola</v>
      </c>
      <c r="L1782" s="3" t="n">
        <f aca="false">SUM(P1782:U1782)</f>
        <v>1</v>
      </c>
      <c r="M1782" s="11" t="n">
        <f aca="false">(L1782/(F1782*G1782)*25)*4</f>
        <v>4</v>
      </c>
      <c r="N1782" s="1" t="s">
        <v>30</v>
      </c>
      <c r="O1782" s="1" t="s">
        <v>35</v>
      </c>
      <c r="P1782" s="3" t="n">
        <v>0</v>
      </c>
      <c r="Q1782" s="3" t="n">
        <v>1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f aca="false">SUM(P1782:Q1782)</f>
        <v>1</v>
      </c>
      <c r="W1782" s="3" t="n">
        <f aca="false">SUM(R1782:T1782)</f>
        <v>0</v>
      </c>
      <c r="X1782" s="22" t="n">
        <v>41869</v>
      </c>
      <c r="Y1782" s="22" t="n">
        <v>41874</v>
      </c>
    </row>
    <row r="1783" customFormat="false" ht="14.25" hidden="false" customHeight="false" outlineLevel="0" collapsed="false">
      <c r="A1783" s="1" t="n">
        <v>2014</v>
      </c>
      <c r="B1783" s="1" t="n">
        <v>2</v>
      </c>
      <c r="C1783" s="2" t="s">
        <v>25</v>
      </c>
      <c r="D1783" s="3" t="s">
        <v>26</v>
      </c>
      <c r="E1783" s="3" t="n">
        <v>3</v>
      </c>
      <c r="F1783" s="1" t="n">
        <f aca="false">Y1783-X1783</f>
        <v>5</v>
      </c>
      <c r="G1783" s="1" t="n">
        <v>5</v>
      </c>
      <c r="H1783" s="3" t="s">
        <v>48</v>
      </c>
      <c r="I1783" s="3" t="s">
        <v>67</v>
      </c>
      <c r="J1783" s="3" t="s">
        <v>38</v>
      </c>
      <c r="K1783" s="2" t="str">
        <f aca="false">CONCATENATE(I1783," ",J1783)</f>
        <v>Pardosa sp</v>
      </c>
      <c r="L1783" s="3" t="n">
        <f aca="false">SUM(P1783:U1783)</f>
        <v>1</v>
      </c>
      <c r="M1783" s="11" t="n">
        <f aca="false">(L1783/(F1783*G1783)*25)*4</f>
        <v>4</v>
      </c>
      <c r="N1783" s="1" t="s">
        <v>19</v>
      </c>
      <c r="O1783" s="1" t="s">
        <v>31</v>
      </c>
      <c r="P1783" s="3" t="n">
        <v>0</v>
      </c>
      <c r="Q1783" s="3" t="n">
        <v>0</v>
      </c>
      <c r="R1783" s="3" t="n">
        <v>1</v>
      </c>
      <c r="S1783" s="3" t="n">
        <v>0</v>
      </c>
      <c r="T1783" s="3" t="n">
        <v>0</v>
      </c>
      <c r="U1783" s="3" t="n">
        <v>0</v>
      </c>
      <c r="V1783" s="3" t="n">
        <f aca="false">SUM(P1783:Q1783)</f>
        <v>0</v>
      </c>
      <c r="W1783" s="3" t="n">
        <f aca="false">SUM(R1783:T1783)</f>
        <v>1</v>
      </c>
      <c r="X1783" s="22" t="n">
        <v>41869</v>
      </c>
      <c r="Y1783" s="22" t="n">
        <v>41874</v>
      </c>
    </row>
    <row r="1784" customFormat="false" ht="14.25" hidden="false" customHeight="false" outlineLevel="0" collapsed="false">
      <c r="A1784" s="1" t="n">
        <v>2014</v>
      </c>
      <c r="B1784" s="1" t="n">
        <v>2</v>
      </c>
      <c r="C1784" s="2" t="s">
        <v>25</v>
      </c>
      <c r="D1784" s="3" t="s">
        <v>26</v>
      </c>
      <c r="E1784" s="3" t="n">
        <v>3</v>
      </c>
      <c r="F1784" s="1" t="n">
        <f aca="false">Y1784-X1784</f>
        <v>5</v>
      </c>
      <c r="G1784" s="1" t="n">
        <v>5</v>
      </c>
      <c r="H1784" s="3" t="s">
        <v>72</v>
      </c>
      <c r="I1784" s="3" t="s">
        <v>73</v>
      </c>
      <c r="J1784" s="3" t="s">
        <v>38</v>
      </c>
      <c r="K1784" s="2" t="str">
        <f aca="false">CONCATENATE(I1784," ",J1784)</f>
        <v>Zelotes sp</v>
      </c>
      <c r="L1784" s="3" t="n">
        <f aca="false">SUM(P1784:U1784)</f>
        <v>1</v>
      </c>
      <c r="M1784" s="11" t="n">
        <f aca="false">(L1784/(F1784*G1784)*25)*4</f>
        <v>4</v>
      </c>
      <c r="N1784" s="1" t="s">
        <v>19</v>
      </c>
      <c r="O1784" s="1" t="s">
        <v>54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1</v>
      </c>
      <c r="U1784" s="3" t="n">
        <v>0</v>
      </c>
      <c r="V1784" s="3" t="n">
        <f aca="false">SUM(P1784:Q1784)</f>
        <v>0</v>
      </c>
      <c r="W1784" s="3" t="n">
        <f aca="false">SUM(R1784:T1784)</f>
        <v>1</v>
      </c>
      <c r="X1784" s="22" t="n">
        <v>41869</v>
      </c>
      <c r="Y1784" s="22" t="n">
        <v>41874</v>
      </c>
    </row>
    <row r="1785" customFormat="false" ht="14.25" hidden="false" customHeight="false" outlineLevel="0" collapsed="false">
      <c r="A1785" s="1" t="n">
        <v>2014</v>
      </c>
      <c r="B1785" s="1" t="n">
        <v>2</v>
      </c>
      <c r="C1785" s="2" t="s">
        <v>25</v>
      </c>
      <c r="D1785" s="3" t="s">
        <v>26</v>
      </c>
      <c r="E1785" s="3" t="n">
        <v>1</v>
      </c>
      <c r="F1785" s="1" t="n">
        <f aca="false">Y1785-X1785</f>
        <v>5</v>
      </c>
      <c r="G1785" s="1" t="n">
        <v>5</v>
      </c>
      <c r="H1785" s="3" t="s">
        <v>41</v>
      </c>
      <c r="I1785" s="3" t="s">
        <v>42</v>
      </c>
      <c r="J1785" s="3" t="s">
        <v>43</v>
      </c>
      <c r="K1785" s="2" t="str">
        <f aca="false">CONCATENATE(I1785," ",J1785)</f>
        <v>Agroeca proxima</v>
      </c>
      <c r="L1785" s="3" t="n">
        <f aca="false">SUM(P1785:U1785)</f>
        <v>1</v>
      </c>
      <c r="M1785" s="11" t="n">
        <f aca="false">(L1785/(F1785*G1785)*25)*4</f>
        <v>4</v>
      </c>
      <c r="N1785" s="1" t="s">
        <v>30</v>
      </c>
      <c r="O1785" s="1" t="s">
        <v>31</v>
      </c>
      <c r="P1785" s="3" t="n">
        <v>1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f aca="false">SUM(P1785:Q1785)</f>
        <v>1</v>
      </c>
      <c r="W1785" s="3" t="n">
        <f aca="false">SUM(R1785:T1785)</f>
        <v>0</v>
      </c>
      <c r="X1785" s="22" t="n">
        <v>41869</v>
      </c>
      <c r="Y1785" s="22" t="n">
        <v>41874</v>
      </c>
    </row>
    <row r="1786" customFormat="false" ht="14.25" hidden="false" customHeight="false" outlineLevel="0" collapsed="false">
      <c r="A1786" s="1" t="n">
        <v>2014</v>
      </c>
      <c r="B1786" s="1" t="n">
        <v>2</v>
      </c>
      <c r="C1786" s="2" t="s">
        <v>25</v>
      </c>
      <c r="D1786" s="3" t="s">
        <v>26</v>
      </c>
      <c r="E1786" s="3" t="n">
        <v>1</v>
      </c>
      <c r="F1786" s="1" t="n">
        <f aca="false">Y1786-X1786</f>
        <v>5</v>
      </c>
      <c r="G1786" s="1" t="n">
        <v>5</v>
      </c>
      <c r="H1786" s="3" t="s">
        <v>226</v>
      </c>
      <c r="I1786" s="3" t="s">
        <v>65</v>
      </c>
      <c r="J1786" s="3" t="s">
        <v>66</v>
      </c>
      <c r="K1786" s="2" t="str">
        <f aca="false">CONCATENATE(I1786," ",J1786)</f>
        <v>Zora Spinimana</v>
      </c>
      <c r="L1786" s="3" t="n">
        <f aca="false">SUM(P1786:U1786)</f>
        <v>1</v>
      </c>
      <c r="M1786" s="11" t="n">
        <f aca="false">(L1786/(F1786*G1786)*25)*4</f>
        <v>4</v>
      </c>
      <c r="N1786" s="1" t="s">
        <v>30</v>
      </c>
      <c r="O1786" s="1" t="s">
        <v>35</v>
      </c>
      <c r="P1786" s="3" t="n">
        <v>0</v>
      </c>
      <c r="Q1786" s="3" t="n">
        <v>1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f aca="false">SUM(P1786:Q1786)</f>
        <v>1</v>
      </c>
      <c r="W1786" s="3" t="n">
        <f aca="false">SUM(R1786:T1786)</f>
        <v>0</v>
      </c>
      <c r="X1786" s="22" t="n">
        <v>41869</v>
      </c>
      <c r="Y1786" s="22" t="n">
        <v>41874</v>
      </c>
    </row>
    <row r="1787" customFormat="false" ht="14.25" hidden="false" customHeight="false" outlineLevel="0" collapsed="false">
      <c r="A1787" s="1" t="n">
        <v>2014</v>
      </c>
      <c r="B1787" s="1" t="n">
        <v>2</v>
      </c>
      <c r="C1787" s="2" t="s">
        <v>25</v>
      </c>
      <c r="D1787" s="3" t="s">
        <v>26</v>
      </c>
      <c r="E1787" s="3" t="n">
        <v>1</v>
      </c>
      <c r="F1787" s="1" t="n">
        <f aca="false">Y1787-X1787</f>
        <v>5</v>
      </c>
      <c r="G1787" s="1" t="n">
        <v>5</v>
      </c>
      <c r="H1787" s="3" t="s">
        <v>36</v>
      </c>
      <c r="I1787" s="3" t="s">
        <v>37</v>
      </c>
      <c r="J1787" s="3" t="s">
        <v>75</v>
      </c>
      <c r="K1787" s="2" t="str">
        <f aca="false">CONCATENATE(I1787," ",J1787)</f>
        <v>Ozyptila praticola</v>
      </c>
      <c r="L1787" s="3" t="n">
        <f aca="false">SUM(P1787:U1787)</f>
        <v>3</v>
      </c>
      <c r="M1787" s="11" t="n">
        <f aca="false">(L1787/(F1787*G1787)*25)*4</f>
        <v>12</v>
      </c>
      <c r="N1787" s="1" t="s">
        <v>30</v>
      </c>
      <c r="O1787" s="1" t="s">
        <v>31</v>
      </c>
      <c r="P1787" s="3" t="n">
        <v>3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f aca="false">SUM(P1787:Q1787)</f>
        <v>3</v>
      </c>
      <c r="W1787" s="3" t="n">
        <f aca="false">SUM(R1787:T1787)</f>
        <v>0</v>
      </c>
      <c r="X1787" s="22" t="n">
        <v>41869</v>
      </c>
      <c r="Y1787" s="22" t="n">
        <v>41874</v>
      </c>
    </row>
    <row r="1788" customFormat="false" ht="14.25" hidden="false" customHeight="false" outlineLevel="0" collapsed="false">
      <c r="A1788" s="1" t="n">
        <v>2014</v>
      </c>
      <c r="B1788" s="1" t="n">
        <v>2</v>
      </c>
      <c r="C1788" s="2" t="s">
        <v>25</v>
      </c>
      <c r="D1788" s="3" t="s">
        <v>26</v>
      </c>
      <c r="E1788" s="3" t="n">
        <v>1</v>
      </c>
      <c r="F1788" s="1" t="n">
        <f aca="false">Y1788-X1788</f>
        <v>5</v>
      </c>
      <c r="G1788" s="1" t="n">
        <v>5</v>
      </c>
      <c r="H1788" s="3" t="s">
        <v>32</v>
      </c>
      <c r="I1788" s="3" t="s">
        <v>58</v>
      </c>
      <c r="J1788" s="3" t="s">
        <v>59</v>
      </c>
      <c r="K1788" s="2" t="str">
        <f aca="false">CONCATENATE(I1788," ",J1788)</f>
        <v>Allomengea scopigera</v>
      </c>
      <c r="L1788" s="3" t="n">
        <f aca="false">SUM(P1788:U1788)</f>
        <v>1</v>
      </c>
      <c r="M1788" s="11" t="n">
        <f aca="false">(L1788/(F1788*G1788)*25)*4</f>
        <v>4</v>
      </c>
      <c r="N1788" s="1" t="s">
        <v>30</v>
      </c>
      <c r="O1788" s="1" t="s">
        <v>31</v>
      </c>
      <c r="P1788" s="3" t="n">
        <v>1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f aca="false">SUM(P1788:Q1788)</f>
        <v>1</v>
      </c>
      <c r="W1788" s="3" t="n">
        <f aca="false">SUM(R1788:T1788)</f>
        <v>0</v>
      </c>
      <c r="X1788" s="22" t="n">
        <v>41869</v>
      </c>
      <c r="Y1788" s="22" t="n">
        <v>41874</v>
      </c>
    </row>
    <row r="1789" customFormat="false" ht="14.25" hidden="false" customHeight="false" outlineLevel="0" collapsed="false">
      <c r="A1789" s="1" t="n">
        <v>2014</v>
      </c>
      <c r="B1789" s="1" t="n">
        <v>2</v>
      </c>
      <c r="C1789" s="2" t="s">
        <v>25</v>
      </c>
      <c r="D1789" s="3" t="s">
        <v>26</v>
      </c>
      <c r="E1789" s="3" t="n">
        <v>1</v>
      </c>
      <c r="F1789" s="1" t="n">
        <f aca="false">Y1789-X1789</f>
        <v>5</v>
      </c>
      <c r="G1789" s="1" t="n">
        <v>5</v>
      </c>
      <c r="H1789" s="3" t="s">
        <v>48</v>
      </c>
      <c r="I1789" s="3" t="s">
        <v>67</v>
      </c>
      <c r="J1789" s="3" t="s">
        <v>38</v>
      </c>
      <c r="K1789" s="2" t="str">
        <f aca="false">CONCATENATE(I1789," ",J1789)</f>
        <v>Pardosa sp</v>
      </c>
      <c r="L1789" s="3" t="n">
        <f aca="false">SUM(P1789:U1789)</f>
        <v>1</v>
      </c>
      <c r="M1789" s="11" t="n">
        <f aca="false">(L1789/(F1789*G1789)*25)*4</f>
        <v>4</v>
      </c>
      <c r="N1789" s="1" t="s">
        <v>19</v>
      </c>
      <c r="O1789" s="1" t="s">
        <v>31</v>
      </c>
      <c r="P1789" s="3" t="n">
        <v>0</v>
      </c>
      <c r="Q1789" s="3" t="n">
        <v>0</v>
      </c>
      <c r="R1789" s="3" t="n">
        <v>1</v>
      </c>
      <c r="S1789" s="3" t="n">
        <v>0</v>
      </c>
      <c r="T1789" s="3" t="n">
        <v>0</v>
      </c>
      <c r="U1789" s="3" t="n">
        <v>0</v>
      </c>
      <c r="V1789" s="3" t="n">
        <f aca="false">SUM(P1789:Q1789)</f>
        <v>0</v>
      </c>
      <c r="W1789" s="3" t="n">
        <f aca="false">SUM(R1789:T1789)</f>
        <v>1</v>
      </c>
      <c r="X1789" s="22" t="n">
        <v>41869</v>
      </c>
      <c r="Y1789" s="22" t="n">
        <v>41874</v>
      </c>
    </row>
    <row r="1790" customFormat="false" ht="14.25" hidden="false" customHeight="false" outlineLevel="0" collapsed="false">
      <c r="A1790" s="1" t="n">
        <v>2014</v>
      </c>
      <c r="B1790" s="1" t="n">
        <v>2</v>
      </c>
      <c r="C1790" s="2" t="s">
        <v>25</v>
      </c>
      <c r="D1790" s="3" t="s">
        <v>26</v>
      </c>
      <c r="E1790" s="3" t="n">
        <v>3</v>
      </c>
      <c r="F1790" s="1" t="n">
        <f aca="false">Y1790-X1790</f>
        <v>5</v>
      </c>
      <c r="G1790" s="1" t="n">
        <v>5</v>
      </c>
      <c r="H1790" s="3" t="s">
        <v>48</v>
      </c>
      <c r="I1790" s="3" t="s">
        <v>61</v>
      </c>
      <c r="J1790" s="3" t="s">
        <v>82</v>
      </c>
      <c r="K1790" s="2" t="str">
        <f aca="false">CONCATENATE(I1790," ",J1790)</f>
        <v>Trochosa terricola</v>
      </c>
      <c r="L1790" s="3" t="n">
        <f aca="false">SUM(P1790:U1790)</f>
        <v>1</v>
      </c>
      <c r="M1790" s="11" t="n">
        <f aca="false">(L1790/(F1790*G1790)*25)*4</f>
        <v>4</v>
      </c>
      <c r="N1790" s="1" t="s">
        <v>30</v>
      </c>
      <c r="O1790" s="1" t="s">
        <v>35</v>
      </c>
      <c r="P1790" s="3" t="n">
        <v>0</v>
      </c>
      <c r="Q1790" s="3" t="n">
        <v>1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f aca="false">SUM(P1790:Q1790)</f>
        <v>1</v>
      </c>
      <c r="W1790" s="3" t="n">
        <f aca="false">SUM(R1790:T1790)</f>
        <v>0</v>
      </c>
      <c r="X1790" s="22" t="n">
        <v>41869</v>
      </c>
      <c r="Y1790" s="22" t="n">
        <v>41874</v>
      </c>
    </row>
    <row r="1791" customFormat="false" ht="14.25" hidden="false" customHeight="false" outlineLevel="0" collapsed="false">
      <c r="A1791" s="1" t="n">
        <v>2014</v>
      </c>
      <c r="B1791" s="1" t="n">
        <v>2</v>
      </c>
      <c r="C1791" s="2" t="s">
        <v>25</v>
      </c>
      <c r="D1791" s="3" t="s">
        <v>26</v>
      </c>
      <c r="E1791" s="3" t="n">
        <v>3</v>
      </c>
      <c r="F1791" s="1" t="n">
        <f aca="false">Y1791-X1791</f>
        <v>5</v>
      </c>
      <c r="G1791" s="1" t="n">
        <v>5</v>
      </c>
      <c r="H1791" s="3" t="s">
        <v>72</v>
      </c>
      <c r="I1791" s="3" t="s">
        <v>73</v>
      </c>
      <c r="J1791" s="3" t="s">
        <v>74</v>
      </c>
      <c r="K1791" s="2" t="str">
        <f aca="false">CONCATENATE(I1791," ",J1791)</f>
        <v>Zelotes subterraneus</v>
      </c>
      <c r="L1791" s="3" t="n">
        <f aca="false">SUM(P1791:U1791)</f>
        <v>1</v>
      </c>
      <c r="M1791" s="11" t="n">
        <f aca="false">(L1791/(F1791*G1791)*25)*4</f>
        <v>4</v>
      </c>
      <c r="N1791" s="1" t="s">
        <v>30</v>
      </c>
      <c r="O1791" s="1" t="s">
        <v>35</v>
      </c>
      <c r="P1791" s="3" t="n">
        <v>0</v>
      </c>
      <c r="Q1791" s="3" t="n">
        <v>1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f aca="false">SUM(P1791:Q1791)</f>
        <v>1</v>
      </c>
      <c r="W1791" s="3" t="n">
        <f aca="false">SUM(R1791:T1791)</f>
        <v>0</v>
      </c>
      <c r="X1791" s="22" t="n">
        <v>41869</v>
      </c>
      <c r="Y1791" s="22" t="n">
        <v>41874</v>
      </c>
    </row>
    <row r="1792" customFormat="false" ht="14.25" hidden="false" customHeight="false" outlineLevel="0" collapsed="false">
      <c r="A1792" s="1" t="n">
        <v>2014</v>
      </c>
      <c r="B1792" s="1" t="n">
        <v>2</v>
      </c>
      <c r="C1792" s="2" t="s">
        <v>25</v>
      </c>
      <c r="D1792" s="3" t="s">
        <v>26</v>
      </c>
      <c r="E1792" s="3" t="n">
        <v>3</v>
      </c>
      <c r="F1792" s="1" t="n">
        <f aca="false">Y1792-X1792</f>
        <v>5</v>
      </c>
      <c r="G1792" s="1" t="n">
        <v>5</v>
      </c>
      <c r="H1792" s="3" t="s">
        <v>36</v>
      </c>
      <c r="I1792" s="3" t="s">
        <v>37</v>
      </c>
      <c r="J1792" s="3" t="s">
        <v>75</v>
      </c>
      <c r="K1792" s="2" t="str">
        <f aca="false">CONCATENATE(I1792," ",J1792)</f>
        <v>Ozyptila praticola</v>
      </c>
      <c r="L1792" s="3" t="n">
        <f aca="false">SUM(P1792:U1792)</f>
        <v>1</v>
      </c>
      <c r="M1792" s="11" t="n">
        <f aca="false">(L1792/(F1792*G1792)*25)*4</f>
        <v>4</v>
      </c>
      <c r="N1792" s="1" t="s">
        <v>30</v>
      </c>
      <c r="O1792" s="1" t="s">
        <v>31</v>
      </c>
      <c r="P1792" s="3" t="n">
        <v>1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f aca="false">SUM(P1792:Q1792)</f>
        <v>1</v>
      </c>
      <c r="W1792" s="3" t="n">
        <f aca="false">SUM(R1792:T1792)</f>
        <v>0</v>
      </c>
      <c r="X1792" s="22" t="n">
        <v>41869</v>
      </c>
      <c r="Y1792" s="22" t="n">
        <v>41874</v>
      </c>
    </row>
    <row r="1793" customFormat="false" ht="14.25" hidden="false" customHeight="false" outlineLevel="0" collapsed="false">
      <c r="A1793" s="1" t="n">
        <v>2014</v>
      </c>
      <c r="B1793" s="1" t="n">
        <v>2</v>
      </c>
      <c r="C1793" s="2" t="s">
        <v>25</v>
      </c>
      <c r="D1793" s="3" t="s">
        <v>26</v>
      </c>
      <c r="E1793" s="3" t="n">
        <v>3</v>
      </c>
      <c r="F1793" s="1" t="n">
        <f aca="false">Y1793-X1793</f>
        <v>5</v>
      </c>
      <c r="G1793" s="1" t="n">
        <v>5</v>
      </c>
      <c r="H1793" s="3" t="s">
        <v>36</v>
      </c>
      <c r="I1793" s="3" t="s">
        <v>37</v>
      </c>
      <c r="J1793" s="3" t="s">
        <v>75</v>
      </c>
      <c r="K1793" s="2" t="str">
        <f aca="false">CONCATENATE(I1793," ",J1793)</f>
        <v>Ozyptila praticola</v>
      </c>
      <c r="L1793" s="3" t="n">
        <f aca="false">SUM(P1793:U1793)</f>
        <v>1</v>
      </c>
      <c r="M1793" s="11" t="n">
        <f aca="false">(L1793/(F1793*G1793)*25)*4</f>
        <v>4</v>
      </c>
      <c r="N1793" s="1" t="s">
        <v>30</v>
      </c>
      <c r="O1793" s="1" t="s">
        <v>35</v>
      </c>
      <c r="P1793" s="3" t="n">
        <v>0</v>
      </c>
      <c r="Q1793" s="3" t="n">
        <v>1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f aca="false">SUM(P1793:Q1793)</f>
        <v>1</v>
      </c>
      <c r="W1793" s="3" t="n">
        <f aca="false">SUM(R1793:T1793)</f>
        <v>0</v>
      </c>
      <c r="X1793" s="22" t="n">
        <v>41869</v>
      </c>
      <c r="Y1793" s="22" t="n">
        <v>41874</v>
      </c>
    </row>
    <row r="1794" customFormat="false" ht="14.25" hidden="false" customHeight="false" outlineLevel="0" collapsed="false">
      <c r="A1794" s="1" t="n">
        <v>2014</v>
      </c>
      <c r="B1794" s="1" t="n">
        <v>2</v>
      </c>
      <c r="C1794" s="2" t="s">
        <v>25</v>
      </c>
      <c r="D1794" s="3" t="s">
        <v>26</v>
      </c>
      <c r="E1794" s="3" t="n">
        <v>3</v>
      </c>
      <c r="F1794" s="1" t="n">
        <f aca="false">Y1794-X1794</f>
        <v>5</v>
      </c>
      <c r="G1794" s="1" t="n">
        <v>5</v>
      </c>
      <c r="H1794" s="3" t="s">
        <v>32</v>
      </c>
      <c r="I1794" s="3" t="s">
        <v>84</v>
      </c>
      <c r="J1794" s="3" t="s">
        <v>85</v>
      </c>
      <c r="K1794" s="2" t="str">
        <f aca="false">CONCATENATE(I1794," ",J1794)</f>
        <v>Walckenaeria antica</v>
      </c>
      <c r="L1794" s="3" t="n">
        <f aca="false">SUM(P1794:U1794)</f>
        <v>1</v>
      </c>
      <c r="M1794" s="11" t="n">
        <f aca="false">(L1794/(F1794*G1794)*25)*4</f>
        <v>4</v>
      </c>
      <c r="N1794" s="1" t="s">
        <v>30</v>
      </c>
      <c r="O1794" s="1" t="s">
        <v>35</v>
      </c>
      <c r="P1794" s="3" t="n">
        <v>0</v>
      </c>
      <c r="Q1794" s="3" t="n">
        <v>1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f aca="false">SUM(P1794:Q1794)</f>
        <v>1</v>
      </c>
      <c r="W1794" s="3" t="n">
        <f aca="false">SUM(R1794:T1794)</f>
        <v>0</v>
      </c>
      <c r="X1794" s="22" t="n">
        <v>41869</v>
      </c>
      <c r="Y1794" s="22" t="n">
        <v>41874</v>
      </c>
    </row>
    <row r="1795" customFormat="false" ht="14.25" hidden="false" customHeight="false" outlineLevel="0" collapsed="false">
      <c r="A1795" s="1" t="n">
        <v>2014</v>
      </c>
      <c r="B1795" s="1" t="n">
        <v>2</v>
      </c>
      <c r="C1795" s="2" t="s">
        <v>25</v>
      </c>
      <c r="D1795" s="3" t="s">
        <v>26</v>
      </c>
      <c r="E1795" s="3" t="n">
        <v>1</v>
      </c>
      <c r="F1795" s="1" t="n">
        <f aca="false">Y1795-X1795</f>
        <v>5</v>
      </c>
      <c r="G1795" s="1" t="n">
        <v>5</v>
      </c>
      <c r="H1795" s="3" t="s">
        <v>48</v>
      </c>
      <c r="I1795" s="3" t="s">
        <v>61</v>
      </c>
      <c r="J1795" s="3" t="s">
        <v>82</v>
      </c>
      <c r="K1795" s="2" t="str">
        <f aca="false">CONCATENATE(I1795," ",J1795)</f>
        <v>Trochosa terricola</v>
      </c>
      <c r="L1795" s="3" t="n">
        <f aca="false">SUM(P1795:U1795)</f>
        <v>2</v>
      </c>
      <c r="M1795" s="11" t="n">
        <f aca="false">(L1795/(F1795*G1795)*25)*4</f>
        <v>8</v>
      </c>
      <c r="N1795" s="1" t="s">
        <v>30</v>
      </c>
      <c r="O1795" s="1" t="s">
        <v>31</v>
      </c>
      <c r="P1795" s="3" t="n">
        <v>2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f aca="false">SUM(P1795:Q1795)</f>
        <v>2</v>
      </c>
      <c r="W1795" s="3" t="n">
        <f aca="false">SUM(R1795:T1795)</f>
        <v>0</v>
      </c>
      <c r="X1795" s="22" t="n">
        <v>41869</v>
      </c>
      <c r="Y1795" s="22" t="n">
        <v>41874</v>
      </c>
    </row>
    <row r="1796" customFormat="false" ht="14.25" hidden="false" customHeight="false" outlineLevel="0" collapsed="false">
      <c r="A1796" s="1" t="n">
        <v>2014</v>
      </c>
      <c r="B1796" s="1" t="n">
        <v>2</v>
      </c>
      <c r="C1796" s="2" t="s">
        <v>25</v>
      </c>
      <c r="D1796" s="3" t="s">
        <v>26</v>
      </c>
      <c r="E1796" s="3" t="n">
        <v>1</v>
      </c>
      <c r="F1796" s="1" t="n">
        <f aca="false">Y1796-X1796</f>
        <v>5</v>
      </c>
      <c r="G1796" s="1" t="n">
        <v>5</v>
      </c>
      <c r="H1796" s="3" t="s">
        <v>48</v>
      </c>
      <c r="I1796" s="3" t="s">
        <v>57</v>
      </c>
      <c r="J1796" s="3" t="s">
        <v>38</v>
      </c>
      <c r="K1796" s="2" t="str">
        <f aca="false">CONCATENATE(I1796," ",J1796)</f>
        <v>Gen sp</v>
      </c>
      <c r="L1796" s="3" t="n">
        <f aca="false">SUM(P1796:U1796)</f>
        <v>1</v>
      </c>
      <c r="M1796" s="11" t="n">
        <f aca="false">(L1796/(F1796*G1796)*25)*4</f>
        <v>4</v>
      </c>
      <c r="N1796" s="1" t="s">
        <v>19</v>
      </c>
      <c r="O1796" s="1" t="s">
        <v>54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1</v>
      </c>
      <c r="U1796" s="3" t="n">
        <v>0</v>
      </c>
      <c r="V1796" s="3" t="n">
        <f aca="false">SUM(P1796:Q1796)</f>
        <v>0</v>
      </c>
      <c r="W1796" s="3" t="n">
        <f aca="false">SUM(R1796:T1796)</f>
        <v>1</v>
      </c>
      <c r="X1796" s="22" t="n">
        <v>41869</v>
      </c>
      <c r="Y1796" s="22" t="n">
        <v>41874</v>
      </c>
    </row>
    <row r="1797" customFormat="false" ht="14.25" hidden="false" customHeight="false" outlineLevel="0" collapsed="false">
      <c r="A1797" s="1" t="n">
        <v>2014</v>
      </c>
      <c r="B1797" s="1" t="n">
        <v>2</v>
      </c>
      <c r="C1797" s="2" t="s">
        <v>25</v>
      </c>
      <c r="D1797" s="3" t="s">
        <v>26</v>
      </c>
      <c r="E1797" s="3" t="n">
        <v>1</v>
      </c>
      <c r="F1797" s="1" t="n">
        <f aca="false">Y1797-X1797</f>
        <v>5</v>
      </c>
      <c r="G1797" s="1" t="n">
        <v>5</v>
      </c>
      <c r="H1797" s="3" t="s">
        <v>32</v>
      </c>
      <c r="I1797" s="3" t="s">
        <v>57</v>
      </c>
      <c r="J1797" s="3" t="s">
        <v>38</v>
      </c>
      <c r="K1797" s="2" t="str">
        <f aca="false">CONCATENATE(I1797," ",J1797)</f>
        <v>Gen sp</v>
      </c>
      <c r="L1797" s="3" t="n">
        <f aca="false">SUM(P1797:U1797)</f>
        <v>1</v>
      </c>
      <c r="M1797" s="11" t="n">
        <f aca="false">(L1797/(F1797*G1797)*25)*4</f>
        <v>4</v>
      </c>
      <c r="N1797" s="1" t="s">
        <v>19</v>
      </c>
      <c r="O1797" s="1" t="s">
        <v>54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1</v>
      </c>
      <c r="U1797" s="3" t="n">
        <v>0</v>
      </c>
      <c r="V1797" s="3" t="n">
        <f aca="false">SUM(P1797:Q1797)</f>
        <v>0</v>
      </c>
      <c r="W1797" s="3" t="n">
        <f aca="false">SUM(R1797:T1797)</f>
        <v>1</v>
      </c>
      <c r="X1797" s="22" t="n">
        <v>41869</v>
      </c>
      <c r="Y1797" s="22" t="n">
        <v>41874</v>
      </c>
    </row>
    <row r="1798" customFormat="false" ht="14.25" hidden="false" customHeight="false" outlineLevel="0" collapsed="false">
      <c r="A1798" s="1" t="n">
        <v>2014</v>
      </c>
      <c r="B1798" s="1" t="n">
        <v>2</v>
      </c>
      <c r="C1798" s="2" t="s">
        <v>25</v>
      </c>
      <c r="D1798" s="3" t="s">
        <v>26</v>
      </c>
      <c r="E1798" s="3" t="n">
        <v>1</v>
      </c>
      <c r="F1798" s="1" t="n">
        <f aca="false">Y1798-X1798</f>
        <v>5</v>
      </c>
      <c r="G1798" s="1" t="n">
        <v>5</v>
      </c>
      <c r="H1798" s="3" t="s">
        <v>32</v>
      </c>
      <c r="I1798" s="3" t="s">
        <v>39</v>
      </c>
      <c r="J1798" s="3" t="s">
        <v>40</v>
      </c>
      <c r="K1798" s="2" t="str">
        <f aca="false">CONCATENATE(I1798," ",J1798)</f>
        <v>Helophora insignis</v>
      </c>
      <c r="L1798" s="3" t="n">
        <f aca="false">SUM(P1798:U1798)</f>
        <v>1</v>
      </c>
      <c r="M1798" s="11" t="n">
        <f aca="false">(L1798/(F1798*G1798)*25)*4</f>
        <v>4</v>
      </c>
      <c r="N1798" s="1" t="s">
        <v>30</v>
      </c>
      <c r="O1798" s="1" t="s">
        <v>31</v>
      </c>
      <c r="P1798" s="3" t="n">
        <v>1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f aca="false">SUM(P1798:Q1798)</f>
        <v>1</v>
      </c>
      <c r="W1798" s="3" t="n">
        <f aca="false">SUM(R1798:T1798)</f>
        <v>0</v>
      </c>
      <c r="X1798" s="22" t="n">
        <v>41869</v>
      </c>
      <c r="Y1798" s="22" t="n">
        <v>41874</v>
      </c>
    </row>
    <row r="1799" customFormat="false" ht="14.25" hidden="false" customHeight="false" outlineLevel="0" collapsed="false">
      <c r="A1799" s="1" t="n">
        <v>2014</v>
      </c>
      <c r="B1799" s="1" t="n">
        <v>2</v>
      </c>
      <c r="C1799" s="2" t="s">
        <v>25</v>
      </c>
      <c r="D1799" s="3" t="s">
        <v>26</v>
      </c>
      <c r="E1799" s="3" t="n">
        <v>3</v>
      </c>
      <c r="F1799" s="1" t="n">
        <f aca="false">Y1799-X1799</f>
        <v>5</v>
      </c>
      <c r="G1799" s="1" t="n">
        <v>5</v>
      </c>
      <c r="H1799" s="3" t="s">
        <v>48</v>
      </c>
      <c r="I1799" s="3" t="s">
        <v>61</v>
      </c>
      <c r="J1799" s="3" t="s">
        <v>82</v>
      </c>
      <c r="K1799" s="2" t="str">
        <f aca="false">CONCATENATE(I1799," ",J1799)</f>
        <v>Trochosa terricola</v>
      </c>
      <c r="L1799" s="3" t="n">
        <f aca="false">SUM(P1799:U1799)</f>
        <v>1</v>
      </c>
      <c r="M1799" s="11" t="n">
        <f aca="false">(L1799/(F1799*G1799)*25)*4</f>
        <v>4</v>
      </c>
      <c r="N1799" s="1" t="s">
        <v>30</v>
      </c>
      <c r="O1799" s="1" t="s">
        <v>35</v>
      </c>
      <c r="P1799" s="3" t="n">
        <v>0</v>
      </c>
      <c r="Q1799" s="3" t="n">
        <v>1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f aca="false">SUM(P1799:Q1799)</f>
        <v>1</v>
      </c>
      <c r="W1799" s="3" t="n">
        <f aca="false">SUM(R1799:T1799)</f>
        <v>0</v>
      </c>
      <c r="X1799" s="22" t="n">
        <v>41869</v>
      </c>
      <c r="Y1799" s="22" t="n">
        <v>41874</v>
      </c>
    </row>
    <row r="1800" customFormat="false" ht="14.25" hidden="false" customHeight="false" outlineLevel="0" collapsed="false">
      <c r="A1800" s="1" t="n">
        <v>2014</v>
      </c>
      <c r="B1800" s="1" t="n">
        <v>2</v>
      </c>
      <c r="C1800" s="2" t="s">
        <v>25</v>
      </c>
      <c r="D1800" s="3" t="s">
        <v>26</v>
      </c>
      <c r="E1800" s="3" t="n">
        <v>3</v>
      </c>
      <c r="F1800" s="1" t="n">
        <f aca="false">Y1800-X1800</f>
        <v>5</v>
      </c>
      <c r="G1800" s="1" t="n">
        <v>5</v>
      </c>
      <c r="H1800" s="3" t="s">
        <v>48</v>
      </c>
      <c r="I1800" s="3" t="s">
        <v>67</v>
      </c>
      <c r="J1800" s="3" t="s">
        <v>38</v>
      </c>
      <c r="K1800" s="2" t="str">
        <f aca="false">CONCATENATE(I1800," ",J1800)</f>
        <v>Pardosa sp</v>
      </c>
      <c r="L1800" s="3" t="n">
        <f aca="false">SUM(P1800:U1800)</f>
        <v>1</v>
      </c>
      <c r="M1800" s="11" t="n">
        <f aca="false">(L1800/(F1800*G1800)*25)*4</f>
        <v>4</v>
      </c>
      <c r="N1800" s="1" t="s">
        <v>19</v>
      </c>
      <c r="O1800" s="1" t="s">
        <v>35</v>
      </c>
      <c r="P1800" s="3" t="n">
        <v>0</v>
      </c>
      <c r="Q1800" s="3" t="n">
        <v>0</v>
      </c>
      <c r="R1800" s="3" t="n">
        <v>0</v>
      </c>
      <c r="S1800" s="3" t="n">
        <v>1</v>
      </c>
      <c r="T1800" s="3" t="n">
        <v>0</v>
      </c>
      <c r="U1800" s="3" t="n">
        <v>0</v>
      </c>
      <c r="V1800" s="3" t="n">
        <f aca="false">SUM(P1800:Q1800)</f>
        <v>0</v>
      </c>
      <c r="W1800" s="3" t="n">
        <f aca="false">SUM(R1800:T1800)</f>
        <v>1</v>
      </c>
      <c r="X1800" s="22" t="n">
        <v>41869</v>
      </c>
      <c r="Y1800" s="22" t="n">
        <v>41874</v>
      </c>
    </row>
    <row r="1801" customFormat="false" ht="14.25" hidden="false" customHeight="false" outlineLevel="0" collapsed="false">
      <c r="A1801" s="1" t="n">
        <v>2014</v>
      </c>
      <c r="B1801" s="1" t="n">
        <v>2</v>
      </c>
      <c r="C1801" s="2" t="s">
        <v>25</v>
      </c>
      <c r="D1801" s="3" t="s">
        <v>26</v>
      </c>
      <c r="E1801" s="3" t="n">
        <v>3</v>
      </c>
      <c r="F1801" s="1" t="n">
        <f aca="false">Y1801-X1801</f>
        <v>5</v>
      </c>
      <c r="G1801" s="1" t="n">
        <v>5</v>
      </c>
      <c r="H1801" s="3" t="s">
        <v>41</v>
      </c>
      <c r="I1801" s="3" t="s">
        <v>42</v>
      </c>
      <c r="J1801" s="3" t="s">
        <v>43</v>
      </c>
      <c r="K1801" s="2" t="str">
        <f aca="false">CONCATENATE(I1801," ",J1801)</f>
        <v>Agroeca proxima</v>
      </c>
      <c r="L1801" s="3" t="n">
        <f aca="false">SUM(P1801:U1801)</f>
        <v>3</v>
      </c>
      <c r="M1801" s="11" t="n">
        <f aca="false">(L1801/(F1801*G1801)*25)*4</f>
        <v>12</v>
      </c>
      <c r="N1801" s="1" t="s">
        <v>30</v>
      </c>
      <c r="O1801" s="1" t="s">
        <v>31</v>
      </c>
      <c r="P1801" s="3" t="n">
        <v>3</v>
      </c>
      <c r="Q1801" s="3" t="n">
        <v>0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f aca="false">SUM(P1801:Q1801)</f>
        <v>3</v>
      </c>
      <c r="W1801" s="3" t="n">
        <f aca="false">SUM(R1801:T1801)</f>
        <v>0</v>
      </c>
      <c r="X1801" s="22" t="n">
        <v>41869</v>
      </c>
      <c r="Y1801" s="22" t="n">
        <v>41874</v>
      </c>
    </row>
    <row r="1802" customFormat="false" ht="14.25" hidden="false" customHeight="false" outlineLevel="0" collapsed="false">
      <c r="A1802" s="1" t="n">
        <v>2014</v>
      </c>
      <c r="B1802" s="1" t="n">
        <v>2</v>
      </c>
      <c r="C1802" s="2" t="s">
        <v>25</v>
      </c>
      <c r="D1802" s="3" t="s">
        <v>26</v>
      </c>
      <c r="E1802" s="3" t="n">
        <v>3</v>
      </c>
      <c r="F1802" s="1" t="n">
        <f aca="false">Y1802-X1802</f>
        <v>5</v>
      </c>
      <c r="G1802" s="1" t="n">
        <v>5</v>
      </c>
      <c r="H1802" s="3" t="s">
        <v>36</v>
      </c>
      <c r="I1802" s="3" t="s">
        <v>37</v>
      </c>
      <c r="J1802" s="3" t="s">
        <v>75</v>
      </c>
      <c r="K1802" s="2" t="str">
        <f aca="false">CONCATENATE(I1802," ",J1802)</f>
        <v>Ozyptila praticola</v>
      </c>
      <c r="L1802" s="3" t="n">
        <f aca="false">SUM(P1802:U1802)</f>
        <v>1</v>
      </c>
      <c r="M1802" s="11" t="n">
        <f aca="false">(L1802/(F1802*G1802)*25)*4</f>
        <v>4</v>
      </c>
      <c r="N1802" s="1" t="s">
        <v>30</v>
      </c>
      <c r="O1802" s="1" t="s">
        <v>31</v>
      </c>
      <c r="P1802" s="3" t="n">
        <v>1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f aca="false">SUM(P1802:Q1802)</f>
        <v>1</v>
      </c>
      <c r="W1802" s="3" t="n">
        <f aca="false">SUM(R1802:T1802)</f>
        <v>0</v>
      </c>
      <c r="X1802" s="22" t="n">
        <v>41869</v>
      </c>
      <c r="Y1802" s="22" t="n">
        <v>41874</v>
      </c>
    </row>
    <row r="1803" customFormat="false" ht="14.25" hidden="false" customHeight="false" outlineLevel="0" collapsed="false">
      <c r="A1803" s="1" t="n">
        <v>2014</v>
      </c>
      <c r="B1803" s="1" t="n">
        <v>2</v>
      </c>
      <c r="C1803" s="2" t="s">
        <v>25</v>
      </c>
      <c r="D1803" s="3" t="s">
        <v>26</v>
      </c>
      <c r="E1803" s="3" t="n">
        <v>3</v>
      </c>
      <c r="F1803" s="1" t="n">
        <f aca="false">Y1803-X1803</f>
        <v>5</v>
      </c>
      <c r="G1803" s="1" t="n">
        <v>5</v>
      </c>
      <c r="H1803" s="3" t="s">
        <v>36</v>
      </c>
      <c r="I1803" s="3" t="s">
        <v>37</v>
      </c>
      <c r="J1803" s="3" t="s">
        <v>230</v>
      </c>
      <c r="K1803" s="2" t="str">
        <f aca="false">CONCATENATE(I1803," ",J1803)</f>
        <v>Ozyptila sp (praticola?)</v>
      </c>
      <c r="L1803" s="3" t="n">
        <f aca="false">SUM(P1803:U1803)</f>
        <v>1</v>
      </c>
      <c r="M1803" s="11" t="n">
        <f aca="false">(L1803/(F1803*G1803)*25)*4</f>
        <v>4</v>
      </c>
      <c r="N1803" s="1" t="s">
        <v>19</v>
      </c>
      <c r="O1803" s="1" t="s">
        <v>35</v>
      </c>
      <c r="P1803" s="3" t="n">
        <v>0</v>
      </c>
      <c r="Q1803" s="3" t="n">
        <v>0</v>
      </c>
      <c r="R1803" s="3" t="n">
        <v>0</v>
      </c>
      <c r="S1803" s="3" t="n">
        <v>1</v>
      </c>
      <c r="T1803" s="3" t="n">
        <v>0</v>
      </c>
      <c r="U1803" s="3" t="n">
        <v>0</v>
      </c>
      <c r="V1803" s="3" t="n">
        <f aca="false">SUM(P1803:Q1803)</f>
        <v>0</v>
      </c>
      <c r="W1803" s="3" t="n">
        <f aca="false">SUM(R1803:T1803)</f>
        <v>1</v>
      </c>
      <c r="X1803" s="22" t="n">
        <v>41869</v>
      </c>
      <c r="Y1803" s="22" t="n">
        <v>41874</v>
      </c>
    </row>
    <row r="1804" customFormat="false" ht="14.25" hidden="false" customHeight="false" outlineLevel="0" collapsed="false">
      <c r="A1804" s="1" t="n">
        <v>2014</v>
      </c>
      <c r="B1804" s="1" t="n">
        <v>2</v>
      </c>
      <c r="C1804" s="2" t="s">
        <v>25</v>
      </c>
      <c r="D1804" s="3" t="s">
        <v>26</v>
      </c>
      <c r="E1804" s="3" t="n">
        <v>2</v>
      </c>
      <c r="F1804" s="1" t="n">
        <f aca="false">Y1804-X1804</f>
        <v>5</v>
      </c>
      <c r="G1804" s="1" t="n">
        <v>5</v>
      </c>
      <c r="H1804" s="3" t="s">
        <v>48</v>
      </c>
      <c r="I1804" s="3" t="s">
        <v>61</v>
      </c>
      <c r="J1804" s="3" t="s">
        <v>82</v>
      </c>
      <c r="K1804" s="2" t="str">
        <f aca="false">CONCATENATE(I1804," ",J1804)</f>
        <v>Trochosa terricola</v>
      </c>
      <c r="L1804" s="3" t="n">
        <f aca="false">SUM(P1804:U1804)</f>
        <v>1</v>
      </c>
      <c r="M1804" s="11" t="n">
        <f aca="false">(L1804/(F1804*G1804)*25)*4</f>
        <v>4</v>
      </c>
      <c r="N1804" s="1" t="s">
        <v>30</v>
      </c>
      <c r="O1804" s="1" t="s">
        <v>31</v>
      </c>
      <c r="P1804" s="3" t="n">
        <v>1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f aca="false">SUM(P1804:Q1804)</f>
        <v>1</v>
      </c>
      <c r="W1804" s="3" t="n">
        <f aca="false">SUM(R1804:T1804)</f>
        <v>0</v>
      </c>
      <c r="X1804" s="22" t="n">
        <v>41869</v>
      </c>
      <c r="Y1804" s="22" t="n">
        <v>41874</v>
      </c>
    </row>
    <row r="1805" customFormat="false" ht="14.25" hidden="false" customHeight="false" outlineLevel="0" collapsed="false">
      <c r="A1805" s="1" t="n">
        <v>2014</v>
      </c>
      <c r="B1805" s="1" t="n">
        <v>2</v>
      </c>
      <c r="C1805" s="2" t="s">
        <v>25</v>
      </c>
      <c r="D1805" s="3" t="s">
        <v>26</v>
      </c>
      <c r="E1805" s="3" t="n">
        <v>2</v>
      </c>
      <c r="F1805" s="1" t="n">
        <f aca="false">Y1805-X1805</f>
        <v>5</v>
      </c>
      <c r="G1805" s="1" t="n">
        <v>5</v>
      </c>
      <c r="H1805" s="3" t="s">
        <v>36</v>
      </c>
      <c r="I1805" s="3" t="s">
        <v>37</v>
      </c>
      <c r="J1805" s="3" t="s">
        <v>75</v>
      </c>
      <c r="K1805" s="2" t="str">
        <f aca="false">CONCATENATE(I1805," ",J1805)</f>
        <v>Ozyptila praticola</v>
      </c>
      <c r="L1805" s="3" t="n">
        <f aca="false">SUM(P1805:U1805)</f>
        <v>5</v>
      </c>
      <c r="M1805" s="11" t="n">
        <f aca="false">(L1805/(F1805*G1805)*25)*4</f>
        <v>20</v>
      </c>
      <c r="N1805" s="1" t="s">
        <v>30</v>
      </c>
      <c r="O1805" s="1" t="s">
        <v>31</v>
      </c>
      <c r="P1805" s="3" t="n">
        <v>5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f aca="false">SUM(P1805:Q1805)</f>
        <v>5</v>
      </c>
      <c r="W1805" s="3" t="n">
        <f aca="false">SUM(R1805:T1805)</f>
        <v>0</v>
      </c>
      <c r="X1805" s="22" t="n">
        <v>41869</v>
      </c>
      <c r="Y1805" s="22" t="n">
        <v>41874</v>
      </c>
    </row>
    <row r="1806" customFormat="false" ht="14.25" hidden="false" customHeight="false" outlineLevel="0" collapsed="false">
      <c r="A1806" s="1" t="n">
        <v>2014</v>
      </c>
      <c r="B1806" s="1" t="n">
        <v>2</v>
      </c>
      <c r="C1806" s="2" t="s">
        <v>25</v>
      </c>
      <c r="D1806" s="3" t="s">
        <v>26</v>
      </c>
      <c r="E1806" s="3" t="n">
        <v>2</v>
      </c>
      <c r="F1806" s="1" t="n">
        <f aca="false">Y1806-X1806</f>
        <v>5</v>
      </c>
      <c r="G1806" s="1" t="n">
        <v>5</v>
      </c>
      <c r="H1806" s="3" t="s">
        <v>48</v>
      </c>
      <c r="I1806" s="3" t="s">
        <v>61</v>
      </c>
      <c r="J1806" s="3" t="s">
        <v>38</v>
      </c>
      <c r="K1806" s="2" t="str">
        <f aca="false">CONCATENATE(I1806," ",J1806)</f>
        <v>Trochosa sp</v>
      </c>
      <c r="L1806" s="3" t="n">
        <f aca="false">SUM(P1806:U1806)</f>
        <v>1</v>
      </c>
      <c r="M1806" s="11" t="n">
        <f aca="false">(L1806/(F1806*G1806)*25)*4</f>
        <v>4</v>
      </c>
      <c r="N1806" s="1" t="s">
        <v>19</v>
      </c>
      <c r="O1806" s="1" t="s">
        <v>35</v>
      </c>
      <c r="P1806" s="3" t="n">
        <v>0</v>
      </c>
      <c r="Q1806" s="3" t="n">
        <v>0</v>
      </c>
      <c r="R1806" s="3" t="n">
        <v>0</v>
      </c>
      <c r="S1806" s="3" t="n">
        <v>1</v>
      </c>
      <c r="T1806" s="3" t="n">
        <v>0</v>
      </c>
      <c r="U1806" s="3" t="n">
        <v>0</v>
      </c>
      <c r="V1806" s="3" t="n">
        <f aca="false">SUM(P1806:Q1806)</f>
        <v>0</v>
      </c>
      <c r="W1806" s="3" t="n">
        <f aca="false">SUM(R1806:T1806)</f>
        <v>1</v>
      </c>
      <c r="X1806" s="22" t="n">
        <v>41869</v>
      </c>
      <c r="Y1806" s="22" t="n">
        <v>41874</v>
      </c>
    </row>
    <row r="1807" customFormat="false" ht="14.25" hidden="false" customHeight="false" outlineLevel="0" collapsed="false">
      <c r="A1807" s="1" t="n">
        <v>2014</v>
      </c>
      <c r="B1807" s="1" t="n">
        <v>2</v>
      </c>
      <c r="C1807" s="2" t="s">
        <v>25</v>
      </c>
      <c r="D1807" s="3" t="s">
        <v>26</v>
      </c>
      <c r="E1807" s="3" t="n">
        <v>2</v>
      </c>
      <c r="F1807" s="1" t="n">
        <f aca="false">Y1807-X1807</f>
        <v>5</v>
      </c>
      <c r="G1807" s="1" t="n">
        <v>5</v>
      </c>
      <c r="H1807" s="3" t="s">
        <v>48</v>
      </c>
      <c r="I1807" s="3" t="s">
        <v>67</v>
      </c>
      <c r="J1807" s="3" t="s">
        <v>38</v>
      </c>
      <c r="K1807" s="2" t="str">
        <f aca="false">CONCATENATE(I1807," ",J1807)</f>
        <v>Pardosa sp</v>
      </c>
      <c r="L1807" s="3" t="n">
        <f aca="false">SUM(P1807:U1807)</f>
        <v>1</v>
      </c>
      <c r="M1807" s="11" t="n">
        <f aca="false">(L1807/(F1807*G1807)*25)*4</f>
        <v>4</v>
      </c>
      <c r="N1807" s="1" t="s">
        <v>19</v>
      </c>
      <c r="O1807" s="1" t="s">
        <v>54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1</v>
      </c>
      <c r="U1807" s="3" t="n">
        <v>0</v>
      </c>
      <c r="V1807" s="3" t="n">
        <f aca="false">SUM(P1807:Q1807)</f>
        <v>0</v>
      </c>
      <c r="W1807" s="3" t="n">
        <f aca="false">SUM(R1807:T1807)</f>
        <v>1</v>
      </c>
      <c r="X1807" s="22" t="n">
        <v>41869</v>
      </c>
      <c r="Y1807" s="22" t="n">
        <v>41874</v>
      </c>
    </row>
    <row r="1808" customFormat="false" ht="14.25" hidden="false" customHeight="false" outlineLevel="0" collapsed="false">
      <c r="A1808" s="1" t="n">
        <v>2014</v>
      </c>
      <c r="B1808" s="1" t="n">
        <v>2</v>
      </c>
      <c r="C1808" s="2" t="s">
        <v>25</v>
      </c>
      <c r="D1808" s="3" t="s">
        <v>26</v>
      </c>
      <c r="E1808" s="3" t="n">
        <v>2</v>
      </c>
      <c r="F1808" s="1" t="n">
        <f aca="false">Y1808-X1808</f>
        <v>5</v>
      </c>
      <c r="G1808" s="1" t="n">
        <v>5</v>
      </c>
      <c r="H1808" s="3" t="s">
        <v>41</v>
      </c>
      <c r="I1808" s="3" t="s">
        <v>42</v>
      </c>
      <c r="J1808" s="3" t="s">
        <v>43</v>
      </c>
      <c r="K1808" s="2" t="str">
        <f aca="false">CONCATENATE(I1808," ",J1808)</f>
        <v>Agroeca proxima</v>
      </c>
      <c r="L1808" s="3" t="n">
        <f aca="false">SUM(P1808:U1808)</f>
        <v>1</v>
      </c>
      <c r="M1808" s="11" t="n">
        <f aca="false">(L1808/(F1808*G1808)*25)*4</f>
        <v>4</v>
      </c>
      <c r="N1808" s="1" t="s">
        <v>30</v>
      </c>
      <c r="O1808" s="1" t="s">
        <v>31</v>
      </c>
      <c r="P1808" s="3" t="n">
        <v>1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f aca="false">SUM(P1808:Q1808)</f>
        <v>1</v>
      </c>
      <c r="W1808" s="3" t="n">
        <f aca="false">SUM(R1808:T1808)</f>
        <v>0</v>
      </c>
      <c r="X1808" s="22" t="n">
        <v>41869</v>
      </c>
      <c r="Y1808" s="22" t="n">
        <v>41874</v>
      </c>
    </row>
    <row r="1809" customFormat="false" ht="14.25" hidden="false" customHeight="false" outlineLevel="0" collapsed="false">
      <c r="A1809" s="1" t="n">
        <v>2014</v>
      </c>
      <c r="B1809" s="1" t="n">
        <v>2</v>
      </c>
      <c r="C1809" s="2" t="s">
        <v>25</v>
      </c>
      <c r="D1809" s="3" t="s">
        <v>26</v>
      </c>
      <c r="E1809" s="3" t="n">
        <v>2</v>
      </c>
      <c r="F1809" s="1" t="n">
        <f aca="false">Y1809-X1809</f>
        <v>5</v>
      </c>
      <c r="G1809" s="1" t="n">
        <v>5</v>
      </c>
      <c r="H1809" s="3" t="s">
        <v>36</v>
      </c>
      <c r="I1809" s="3" t="s">
        <v>37</v>
      </c>
      <c r="J1809" s="3" t="s">
        <v>75</v>
      </c>
      <c r="K1809" s="2" t="str">
        <f aca="false">CONCATENATE(I1809," ",J1809)</f>
        <v>Ozyptila praticola</v>
      </c>
      <c r="L1809" s="3" t="n">
        <f aca="false">SUM(P1809:U1809)</f>
        <v>1</v>
      </c>
      <c r="M1809" s="11" t="n">
        <f aca="false">(L1809/(F1809*G1809)*25)*4</f>
        <v>4</v>
      </c>
      <c r="N1809" s="1" t="s">
        <v>30</v>
      </c>
      <c r="O1809" s="1" t="s">
        <v>31</v>
      </c>
      <c r="P1809" s="3" t="n">
        <v>1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f aca="false">SUM(P1809:Q1809)</f>
        <v>1</v>
      </c>
      <c r="W1809" s="3" t="n">
        <f aca="false">SUM(R1809:T1809)</f>
        <v>0</v>
      </c>
      <c r="X1809" s="22" t="n">
        <v>41869</v>
      </c>
      <c r="Y1809" s="22" t="n">
        <v>41874</v>
      </c>
    </row>
    <row r="1810" customFormat="false" ht="14.25" hidden="false" customHeight="false" outlineLevel="0" collapsed="false">
      <c r="A1810" s="1" t="n">
        <v>2014</v>
      </c>
      <c r="B1810" s="1" t="n">
        <v>2</v>
      </c>
      <c r="C1810" s="2" t="s">
        <v>25</v>
      </c>
      <c r="D1810" s="3" t="s">
        <v>26</v>
      </c>
      <c r="E1810" s="3" t="n">
        <v>2</v>
      </c>
      <c r="F1810" s="1" t="n">
        <f aca="false">Y1810-X1810</f>
        <v>5</v>
      </c>
      <c r="G1810" s="1" t="n">
        <v>5</v>
      </c>
      <c r="H1810" s="3" t="s">
        <v>48</v>
      </c>
      <c r="I1810" s="3" t="s">
        <v>61</v>
      </c>
      <c r="J1810" s="3" t="s">
        <v>82</v>
      </c>
      <c r="K1810" s="2" t="str">
        <f aca="false">CONCATENATE(I1810," ",J1810)</f>
        <v>Trochosa terricola</v>
      </c>
      <c r="L1810" s="3" t="n">
        <f aca="false">SUM(P1810:U1810)</f>
        <v>1</v>
      </c>
      <c r="M1810" s="11" t="n">
        <f aca="false">(L1810/(F1810*G1810)*25)*4</f>
        <v>4</v>
      </c>
      <c r="N1810" s="1" t="s">
        <v>30</v>
      </c>
      <c r="O1810" s="1" t="s">
        <v>31</v>
      </c>
      <c r="P1810" s="3" t="n">
        <v>1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f aca="false">SUM(P1810:Q1810)</f>
        <v>1</v>
      </c>
      <c r="W1810" s="3" t="n">
        <f aca="false">SUM(R1810:T1810)</f>
        <v>0</v>
      </c>
      <c r="X1810" s="22" t="n">
        <v>41869</v>
      </c>
      <c r="Y1810" s="22" t="n">
        <v>41874</v>
      </c>
    </row>
    <row r="1811" customFormat="false" ht="14.25" hidden="false" customHeight="false" outlineLevel="0" collapsed="false">
      <c r="A1811" s="1" t="n">
        <v>2014</v>
      </c>
      <c r="B1811" s="1" t="n">
        <v>2</v>
      </c>
      <c r="C1811" s="2" t="s">
        <v>25</v>
      </c>
      <c r="D1811" s="3" t="s">
        <v>26</v>
      </c>
      <c r="E1811" s="3" t="n">
        <v>2</v>
      </c>
      <c r="F1811" s="1" t="n">
        <f aca="false">Y1811-X1811</f>
        <v>5</v>
      </c>
      <c r="G1811" s="1" t="n">
        <v>5</v>
      </c>
      <c r="H1811" s="3" t="s">
        <v>36</v>
      </c>
      <c r="I1811" s="3" t="s">
        <v>37</v>
      </c>
      <c r="J1811" s="3" t="s">
        <v>75</v>
      </c>
      <c r="K1811" s="2" t="str">
        <f aca="false">CONCATENATE(I1811," ",J1811)</f>
        <v>Ozyptila praticola</v>
      </c>
      <c r="L1811" s="3" t="n">
        <f aca="false">SUM(P1811:U1811)</f>
        <v>2</v>
      </c>
      <c r="M1811" s="11" t="n">
        <f aca="false">(L1811/(F1811*G1811)*25)*4</f>
        <v>8</v>
      </c>
      <c r="N1811" s="1" t="s">
        <v>30</v>
      </c>
      <c r="O1811" s="1" t="s">
        <v>31</v>
      </c>
      <c r="P1811" s="3" t="n">
        <v>2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f aca="false">SUM(P1811:Q1811)</f>
        <v>2</v>
      </c>
      <c r="W1811" s="3" t="n">
        <f aca="false">SUM(R1811:T1811)</f>
        <v>0</v>
      </c>
      <c r="X1811" s="22" t="n">
        <v>41869</v>
      </c>
      <c r="Y1811" s="22" t="n">
        <v>41874</v>
      </c>
    </row>
    <row r="1812" customFormat="false" ht="14.25" hidden="false" customHeight="false" outlineLevel="0" collapsed="false">
      <c r="A1812" s="1" t="n">
        <v>2014</v>
      </c>
      <c r="B1812" s="1" t="n">
        <v>2</v>
      </c>
      <c r="C1812" s="2" t="s">
        <v>25</v>
      </c>
      <c r="D1812" s="3" t="s">
        <v>26</v>
      </c>
      <c r="E1812" s="3" t="n">
        <v>2</v>
      </c>
      <c r="F1812" s="1" t="n">
        <f aca="false">Y1812-X1812</f>
        <v>5</v>
      </c>
      <c r="G1812" s="1" t="n">
        <v>5</v>
      </c>
      <c r="H1812" s="3" t="s">
        <v>27</v>
      </c>
      <c r="I1812" s="3" t="s">
        <v>28</v>
      </c>
      <c r="J1812" s="3" t="s">
        <v>29</v>
      </c>
      <c r="K1812" s="2" t="str">
        <f aca="false">CONCATENATE(I1812," ",J1812)</f>
        <v>Robertus lividus</v>
      </c>
      <c r="L1812" s="3" t="n">
        <f aca="false">SUM(P1812:U1812)</f>
        <v>1</v>
      </c>
      <c r="M1812" s="11" t="n">
        <f aca="false">(L1812/(F1812*G1812)*25)*4</f>
        <v>4</v>
      </c>
      <c r="N1812" s="1" t="s">
        <v>30</v>
      </c>
      <c r="O1812" s="1" t="s">
        <v>31</v>
      </c>
      <c r="P1812" s="3" t="n">
        <v>1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f aca="false">SUM(P1812:Q1812)</f>
        <v>1</v>
      </c>
      <c r="W1812" s="3" t="n">
        <f aca="false">SUM(R1812:T1812)</f>
        <v>0</v>
      </c>
      <c r="X1812" s="22" t="n">
        <v>41869</v>
      </c>
      <c r="Y1812" s="22" t="n">
        <v>41874</v>
      </c>
    </row>
    <row r="1813" customFormat="false" ht="14.25" hidden="false" customHeight="false" outlineLevel="0" collapsed="false">
      <c r="A1813" s="1" t="n">
        <v>2014</v>
      </c>
      <c r="B1813" s="1" t="n">
        <v>2</v>
      </c>
      <c r="C1813" s="2" t="s">
        <v>25</v>
      </c>
      <c r="D1813" s="3" t="s">
        <v>26</v>
      </c>
      <c r="E1813" s="3" t="n">
        <v>3</v>
      </c>
      <c r="F1813" s="1" t="n">
        <f aca="false">Y1813-X1813</f>
        <v>5</v>
      </c>
      <c r="G1813" s="1" t="n">
        <v>5</v>
      </c>
      <c r="H1813" s="3" t="s">
        <v>48</v>
      </c>
      <c r="I1813" s="3" t="s">
        <v>61</v>
      </c>
      <c r="J1813" s="3" t="s">
        <v>82</v>
      </c>
      <c r="K1813" s="2" t="str">
        <f aca="false">CONCATENATE(I1813," ",J1813)</f>
        <v>Trochosa terricola</v>
      </c>
      <c r="L1813" s="3" t="n">
        <f aca="false">SUM(P1813:U1813)</f>
        <v>1</v>
      </c>
      <c r="M1813" s="11" t="n">
        <f aca="false">(L1813/(F1813*G1813)*25)*4</f>
        <v>4</v>
      </c>
      <c r="N1813" s="1" t="s">
        <v>30</v>
      </c>
      <c r="O1813" s="1" t="s">
        <v>31</v>
      </c>
      <c r="P1813" s="3" t="n">
        <v>1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f aca="false">SUM(P1813:Q1813)</f>
        <v>1</v>
      </c>
      <c r="W1813" s="3" t="n">
        <f aca="false">SUM(R1813:T1813)</f>
        <v>0</v>
      </c>
      <c r="X1813" s="22" t="n">
        <v>41869</v>
      </c>
      <c r="Y1813" s="22" t="n">
        <v>41874</v>
      </c>
    </row>
    <row r="1814" customFormat="false" ht="14.25" hidden="false" customHeight="false" outlineLevel="0" collapsed="false">
      <c r="A1814" s="1" t="n">
        <v>2014</v>
      </c>
      <c r="B1814" s="1" t="n">
        <v>2</v>
      </c>
      <c r="C1814" s="2" t="s">
        <v>25</v>
      </c>
      <c r="D1814" s="3" t="s">
        <v>26</v>
      </c>
      <c r="E1814" s="3" t="n">
        <v>3</v>
      </c>
      <c r="F1814" s="1" t="n">
        <f aca="false">Y1814-X1814</f>
        <v>5</v>
      </c>
      <c r="G1814" s="1" t="n">
        <v>5</v>
      </c>
      <c r="H1814" s="3" t="s">
        <v>48</v>
      </c>
      <c r="I1814" s="3" t="s">
        <v>61</v>
      </c>
      <c r="J1814" s="3" t="s">
        <v>38</v>
      </c>
      <c r="K1814" s="2" t="str">
        <f aca="false">CONCATENATE(I1814," ",J1814)</f>
        <v>Trochosa sp</v>
      </c>
      <c r="L1814" s="3" t="n">
        <f aca="false">SUM(P1814:U1814)</f>
        <v>1</v>
      </c>
      <c r="M1814" s="11" t="n">
        <f aca="false">(L1814/(F1814*G1814)*25)*4</f>
        <v>4</v>
      </c>
      <c r="N1814" s="1" t="s">
        <v>19</v>
      </c>
      <c r="O1814" s="1" t="s">
        <v>54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1</v>
      </c>
      <c r="U1814" s="3" t="n">
        <v>0</v>
      </c>
      <c r="V1814" s="3" t="n">
        <f aca="false">SUM(P1814:Q1814)</f>
        <v>0</v>
      </c>
      <c r="W1814" s="3" t="n">
        <f aca="false">SUM(R1814:T1814)</f>
        <v>1</v>
      </c>
      <c r="X1814" s="22" t="n">
        <v>41869</v>
      </c>
      <c r="Y1814" s="22" t="n">
        <v>41874</v>
      </c>
    </row>
    <row r="1815" customFormat="false" ht="14.25" hidden="false" customHeight="false" outlineLevel="0" collapsed="false">
      <c r="A1815" s="1" t="n">
        <v>2014</v>
      </c>
      <c r="B1815" s="1" t="n">
        <v>2</v>
      </c>
      <c r="C1815" s="2" t="s">
        <v>25</v>
      </c>
      <c r="D1815" s="3" t="s">
        <v>26</v>
      </c>
      <c r="E1815" s="3" t="n">
        <v>3</v>
      </c>
      <c r="F1815" s="1" t="n">
        <f aca="false">Y1815-X1815</f>
        <v>5</v>
      </c>
      <c r="G1815" s="1" t="n">
        <v>5</v>
      </c>
      <c r="H1815" s="3" t="s">
        <v>48</v>
      </c>
      <c r="I1815" s="3" t="s">
        <v>67</v>
      </c>
      <c r="J1815" s="3" t="s">
        <v>127</v>
      </c>
      <c r="K1815" s="2" t="str">
        <f aca="false">CONCATENATE(I1815," ",J1815)</f>
        <v>Pardosa lugubris</v>
      </c>
      <c r="L1815" s="3" t="n">
        <f aca="false">SUM(P1815:U1815)</f>
        <v>2</v>
      </c>
      <c r="M1815" s="11" t="n">
        <f aca="false">(L1815/(F1815*G1815)*25)*4</f>
        <v>8</v>
      </c>
      <c r="N1815" s="1" t="s">
        <v>30</v>
      </c>
      <c r="O1815" s="1" t="s">
        <v>35</v>
      </c>
      <c r="P1815" s="3" t="n">
        <v>0</v>
      </c>
      <c r="Q1815" s="3" t="n">
        <v>2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f aca="false">SUM(P1815:Q1815)</f>
        <v>2</v>
      </c>
      <c r="W1815" s="3" t="n">
        <f aca="false">SUM(R1815:T1815)</f>
        <v>0</v>
      </c>
      <c r="X1815" s="22" t="n">
        <v>41869</v>
      </c>
      <c r="Y1815" s="22" t="n">
        <v>41874</v>
      </c>
    </row>
    <row r="1816" customFormat="false" ht="14.25" hidden="false" customHeight="false" outlineLevel="0" collapsed="false">
      <c r="A1816" s="1" t="n">
        <v>2014</v>
      </c>
      <c r="B1816" s="1" t="n">
        <v>2</v>
      </c>
      <c r="C1816" s="2" t="s">
        <v>25</v>
      </c>
      <c r="D1816" s="3" t="s">
        <v>26</v>
      </c>
      <c r="E1816" s="3" t="n">
        <v>3</v>
      </c>
      <c r="F1816" s="1" t="n">
        <f aca="false">Y1816-X1816</f>
        <v>5</v>
      </c>
      <c r="G1816" s="1" t="n">
        <v>5</v>
      </c>
      <c r="H1816" s="3" t="s">
        <v>36</v>
      </c>
      <c r="I1816" s="3" t="s">
        <v>37</v>
      </c>
      <c r="J1816" s="3" t="s">
        <v>75</v>
      </c>
      <c r="K1816" s="2" t="str">
        <f aca="false">CONCATENATE(I1816," ",J1816)</f>
        <v>Ozyptila praticola</v>
      </c>
      <c r="L1816" s="3" t="n">
        <f aca="false">SUM(P1816:U1816)</f>
        <v>1</v>
      </c>
      <c r="M1816" s="11" t="n">
        <f aca="false">(L1816/(F1816*G1816)*25)*4</f>
        <v>4</v>
      </c>
      <c r="N1816" s="1" t="s">
        <v>30</v>
      </c>
      <c r="O1816" s="1" t="s">
        <v>31</v>
      </c>
      <c r="P1816" s="3" t="n">
        <v>1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f aca="false">SUM(P1816:Q1816)</f>
        <v>1</v>
      </c>
      <c r="W1816" s="3" t="n">
        <f aca="false">SUM(R1816:T1816)</f>
        <v>0</v>
      </c>
      <c r="X1816" s="22" t="n">
        <v>41869</v>
      </c>
      <c r="Y1816" s="22" t="n">
        <v>41874</v>
      </c>
    </row>
    <row r="1817" customFormat="false" ht="14.25" hidden="false" customHeight="false" outlineLevel="0" collapsed="false">
      <c r="A1817" s="1" t="n">
        <v>2014</v>
      </c>
      <c r="B1817" s="1" t="n">
        <v>2</v>
      </c>
      <c r="C1817" s="2" t="s">
        <v>25</v>
      </c>
      <c r="D1817" s="3" t="s">
        <v>26</v>
      </c>
      <c r="E1817" s="3" t="n">
        <v>3</v>
      </c>
      <c r="F1817" s="1" t="n">
        <f aca="false">Y1817-X1817</f>
        <v>5</v>
      </c>
      <c r="G1817" s="1" t="n">
        <v>5</v>
      </c>
      <c r="H1817" s="3" t="s">
        <v>41</v>
      </c>
      <c r="I1817" s="3" t="s">
        <v>42</v>
      </c>
      <c r="J1817" s="3" t="s">
        <v>43</v>
      </c>
      <c r="K1817" s="2" t="str">
        <f aca="false">CONCATENATE(I1817," ",J1817)</f>
        <v>Agroeca proxima</v>
      </c>
      <c r="L1817" s="3" t="n">
        <f aca="false">SUM(P1817:U1817)</f>
        <v>2</v>
      </c>
      <c r="M1817" s="11" t="n">
        <f aca="false">(L1817/(F1817*G1817)*25)*4</f>
        <v>8</v>
      </c>
      <c r="N1817" s="1" t="s">
        <v>30</v>
      </c>
      <c r="O1817" s="1" t="s">
        <v>31</v>
      </c>
      <c r="P1817" s="3" t="n">
        <v>2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f aca="false">SUM(P1817:Q1817)</f>
        <v>2</v>
      </c>
      <c r="W1817" s="3" t="n">
        <f aca="false">SUM(R1817:T1817)</f>
        <v>0</v>
      </c>
      <c r="X1817" s="22" t="n">
        <v>41869</v>
      </c>
      <c r="Y1817" s="22" t="n">
        <v>41874</v>
      </c>
    </row>
    <row r="1818" customFormat="false" ht="14.25" hidden="false" customHeight="false" outlineLevel="0" collapsed="false">
      <c r="A1818" s="1" t="n">
        <v>2014</v>
      </c>
      <c r="B1818" s="1" t="n">
        <v>2</v>
      </c>
      <c r="C1818" s="2" t="s">
        <v>25</v>
      </c>
      <c r="D1818" s="3" t="s">
        <v>26</v>
      </c>
      <c r="E1818" s="3" t="n">
        <v>3</v>
      </c>
      <c r="F1818" s="1" t="n">
        <f aca="false">Y1818-X1818</f>
        <v>5</v>
      </c>
      <c r="G1818" s="1" t="n">
        <v>5</v>
      </c>
      <c r="H1818" s="3" t="s">
        <v>27</v>
      </c>
      <c r="I1818" s="3" t="s">
        <v>28</v>
      </c>
      <c r="J1818" s="3" t="s">
        <v>29</v>
      </c>
      <c r="K1818" s="2" t="str">
        <f aca="false">CONCATENATE(I1818," ",J1818)</f>
        <v>Robertus lividus</v>
      </c>
      <c r="L1818" s="3" t="n">
        <f aca="false">SUM(P1818:U1818)</f>
        <v>1</v>
      </c>
      <c r="M1818" s="11" t="n">
        <f aca="false">(L1818/(F1818*G1818)*25)*4</f>
        <v>4</v>
      </c>
      <c r="N1818" s="1" t="s">
        <v>30</v>
      </c>
      <c r="O1818" s="1" t="s">
        <v>35</v>
      </c>
      <c r="P1818" s="3" t="n">
        <v>0</v>
      </c>
      <c r="Q1818" s="3" t="n">
        <v>1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f aca="false">SUM(P1818:Q1818)</f>
        <v>1</v>
      </c>
      <c r="W1818" s="3" t="n">
        <f aca="false">SUM(R1818:T1818)</f>
        <v>0</v>
      </c>
      <c r="X1818" s="22" t="n">
        <v>41869</v>
      </c>
      <c r="Y1818" s="22" t="n">
        <v>41874</v>
      </c>
    </row>
    <row r="1819" customFormat="false" ht="14.25" hidden="false" customHeight="false" outlineLevel="0" collapsed="false">
      <c r="A1819" s="1" t="n">
        <v>2014</v>
      </c>
      <c r="B1819" s="1" t="n">
        <v>2</v>
      </c>
      <c r="C1819" s="2" t="s">
        <v>25</v>
      </c>
      <c r="D1819" s="3" t="s">
        <v>26</v>
      </c>
      <c r="E1819" s="3" t="n">
        <v>3</v>
      </c>
      <c r="F1819" s="1" t="n">
        <f aca="false">Y1819-X1819</f>
        <v>5</v>
      </c>
      <c r="G1819" s="1" t="n">
        <v>5</v>
      </c>
      <c r="H1819" s="3" t="s">
        <v>48</v>
      </c>
      <c r="I1819" s="3" t="s">
        <v>49</v>
      </c>
      <c r="J1819" s="3" t="s">
        <v>38</v>
      </c>
      <c r="K1819" s="2" t="str">
        <f aca="false">CONCATENATE(I1819," ",J1819)</f>
        <v>Alopecosa sp</v>
      </c>
      <c r="L1819" s="3" t="n">
        <f aca="false">SUM(P1819:U1819)</f>
        <v>1</v>
      </c>
      <c r="M1819" s="11" t="n">
        <f aca="false">(L1819/(F1819*G1819)*25)*4</f>
        <v>4</v>
      </c>
      <c r="N1819" s="1" t="s">
        <v>19</v>
      </c>
      <c r="O1819" s="1" t="s">
        <v>35</v>
      </c>
      <c r="P1819" s="3" t="n">
        <v>0</v>
      </c>
      <c r="Q1819" s="3" t="n">
        <v>0</v>
      </c>
      <c r="R1819" s="3" t="n">
        <v>0</v>
      </c>
      <c r="S1819" s="3" t="n">
        <v>1</v>
      </c>
      <c r="T1819" s="3" t="n">
        <v>0</v>
      </c>
      <c r="U1819" s="3" t="n">
        <v>0</v>
      </c>
      <c r="V1819" s="3" t="n">
        <f aca="false">SUM(P1819:Q1819)</f>
        <v>0</v>
      </c>
      <c r="W1819" s="3" t="n">
        <f aca="false">SUM(R1819:T1819)</f>
        <v>1</v>
      </c>
      <c r="X1819" s="22" t="n">
        <v>41869</v>
      </c>
      <c r="Y1819" s="22" t="n">
        <v>41874</v>
      </c>
    </row>
    <row r="1820" customFormat="false" ht="14.25" hidden="false" customHeight="false" outlineLevel="0" collapsed="false">
      <c r="A1820" s="1" t="n">
        <v>2014</v>
      </c>
      <c r="B1820" s="1" t="n">
        <v>2</v>
      </c>
      <c r="C1820" s="2" t="s">
        <v>25</v>
      </c>
      <c r="D1820" s="3" t="s">
        <v>26</v>
      </c>
      <c r="E1820" s="3" t="n">
        <v>1</v>
      </c>
      <c r="F1820" s="1" t="n">
        <f aca="false">Y1820-X1820</f>
        <v>5</v>
      </c>
      <c r="G1820" s="1" t="n">
        <v>5</v>
      </c>
      <c r="H1820" s="3" t="s">
        <v>48</v>
      </c>
      <c r="I1820" s="3" t="s">
        <v>61</v>
      </c>
      <c r="J1820" s="3" t="s">
        <v>82</v>
      </c>
      <c r="K1820" s="2" t="str">
        <f aca="false">CONCATENATE(I1820," ",J1820)</f>
        <v>Trochosa terricola</v>
      </c>
      <c r="L1820" s="3" t="n">
        <f aca="false">SUM(P1820:U1820)</f>
        <v>1</v>
      </c>
      <c r="M1820" s="11" t="n">
        <f aca="false">(L1820/(F1820*G1820)*25)*4</f>
        <v>4</v>
      </c>
      <c r="N1820" s="1" t="s">
        <v>30</v>
      </c>
      <c r="O1820" s="1" t="s">
        <v>31</v>
      </c>
      <c r="P1820" s="3" t="n">
        <v>1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f aca="false">SUM(P1820:Q1820)</f>
        <v>1</v>
      </c>
      <c r="W1820" s="3" t="n">
        <f aca="false">SUM(R1820:T1820)</f>
        <v>0</v>
      </c>
      <c r="X1820" s="22" t="n">
        <v>41869</v>
      </c>
      <c r="Y1820" s="22" t="n">
        <v>41874</v>
      </c>
    </row>
    <row r="1821" customFormat="false" ht="14.25" hidden="false" customHeight="false" outlineLevel="0" collapsed="false">
      <c r="A1821" s="1" t="n">
        <v>2014</v>
      </c>
      <c r="B1821" s="1" t="n">
        <v>2</v>
      </c>
      <c r="C1821" s="2" t="s">
        <v>25</v>
      </c>
      <c r="D1821" s="3" t="s">
        <v>26</v>
      </c>
      <c r="E1821" s="3" t="n">
        <v>1</v>
      </c>
      <c r="F1821" s="1" t="n">
        <f aca="false">Y1821-X1821</f>
        <v>5</v>
      </c>
      <c r="G1821" s="1" t="n">
        <v>5</v>
      </c>
      <c r="H1821" s="3" t="s">
        <v>48</v>
      </c>
      <c r="I1821" s="3" t="s">
        <v>61</v>
      </c>
      <c r="J1821" s="3" t="s">
        <v>38</v>
      </c>
      <c r="K1821" s="2" t="str">
        <f aca="false">CONCATENATE(I1821," ",J1821)</f>
        <v>Trochosa sp</v>
      </c>
      <c r="L1821" s="3" t="n">
        <f aca="false">SUM(P1821:U1821)</f>
        <v>1</v>
      </c>
      <c r="M1821" s="11" t="n">
        <f aca="false">(L1821/(F1821*G1821)*25)*4</f>
        <v>4</v>
      </c>
      <c r="N1821" s="1" t="s">
        <v>19</v>
      </c>
      <c r="O1821" s="1" t="s">
        <v>54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1</v>
      </c>
      <c r="U1821" s="3" t="n">
        <v>0</v>
      </c>
      <c r="V1821" s="3" t="n">
        <f aca="false">SUM(P1821:Q1821)</f>
        <v>0</v>
      </c>
      <c r="W1821" s="3" t="n">
        <f aca="false">SUM(R1821:T1821)</f>
        <v>1</v>
      </c>
      <c r="X1821" s="22" t="n">
        <v>41869</v>
      </c>
      <c r="Y1821" s="22" t="n">
        <v>41874</v>
      </c>
    </row>
    <row r="1822" customFormat="false" ht="14.25" hidden="false" customHeight="false" outlineLevel="0" collapsed="false">
      <c r="A1822" s="1" t="n">
        <v>2014</v>
      </c>
      <c r="B1822" s="1" t="n">
        <v>2</v>
      </c>
      <c r="C1822" s="2" t="s">
        <v>25</v>
      </c>
      <c r="D1822" s="3" t="s">
        <v>26</v>
      </c>
      <c r="E1822" s="3" t="n">
        <v>1</v>
      </c>
      <c r="F1822" s="1" t="n">
        <f aca="false">Y1822-X1822</f>
        <v>5</v>
      </c>
      <c r="G1822" s="1" t="n">
        <v>5</v>
      </c>
      <c r="H1822" s="3" t="s">
        <v>36</v>
      </c>
      <c r="I1822" s="3" t="s">
        <v>37</v>
      </c>
      <c r="J1822" s="3" t="s">
        <v>75</v>
      </c>
      <c r="K1822" s="2" t="str">
        <f aca="false">CONCATENATE(I1822," ",J1822)</f>
        <v>Ozyptila praticola</v>
      </c>
      <c r="L1822" s="3" t="n">
        <f aca="false">SUM(P1822:U1822)</f>
        <v>4</v>
      </c>
      <c r="M1822" s="11" t="n">
        <f aca="false">(L1822/(F1822*G1822)*25)*4</f>
        <v>16</v>
      </c>
      <c r="N1822" s="1" t="s">
        <v>30</v>
      </c>
      <c r="O1822" s="1" t="s">
        <v>31</v>
      </c>
      <c r="P1822" s="3" t="n">
        <v>4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f aca="false">SUM(P1822:Q1822)</f>
        <v>4</v>
      </c>
      <c r="W1822" s="3" t="n">
        <f aca="false">SUM(R1822:T1822)</f>
        <v>0</v>
      </c>
      <c r="X1822" s="22" t="n">
        <v>41869</v>
      </c>
      <c r="Y1822" s="22" t="n">
        <v>41874</v>
      </c>
    </row>
    <row r="1823" customFormat="false" ht="14.25" hidden="false" customHeight="false" outlineLevel="0" collapsed="false">
      <c r="A1823" s="1" t="n">
        <v>2014</v>
      </c>
      <c r="B1823" s="1" t="n">
        <v>2</v>
      </c>
      <c r="C1823" s="2" t="s">
        <v>25</v>
      </c>
      <c r="D1823" s="3" t="s">
        <v>26</v>
      </c>
      <c r="E1823" s="3" t="n">
        <v>1</v>
      </c>
      <c r="F1823" s="1" t="n">
        <f aca="false">Y1823-X1823</f>
        <v>5</v>
      </c>
      <c r="G1823" s="1" t="n">
        <v>5</v>
      </c>
      <c r="H1823" s="3" t="s">
        <v>48</v>
      </c>
      <c r="I1823" s="3" t="s">
        <v>67</v>
      </c>
      <c r="J1823" s="3" t="s">
        <v>38</v>
      </c>
      <c r="K1823" s="2" t="str">
        <f aca="false">CONCATENATE(I1823," ",J1823)</f>
        <v>Pardosa sp</v>
      </c>
      <c r="L1823" s="3" t="n">
        <f aca="false">SUM(P1823:U1823)</f>
        <v>1</v>
      </c>
      <c r="M1823" s="11" t="n">
        <f aca="false">(L1823/(F1823*G1823)*25)*4</f>
        <v>4</v>
      </c>
      <c r="N1823" s="1" t="s">
        <v>19</v>
      </c>
      <c r="O1823" s="1" t="s">
        <v>35</v>
      </c>
      <c r="P1823" s="3" t="n">
        <v>0</v>
      </c>
      <c r="Q1823" s="3" t="n">
        <v>0</v>
      </c>
      <c r="R1823" s="3" t="n">
        <v>0</v>
      </c>
      <c r="S1823" s="3" t="n">
        <v>1</v>
      </c>
      <c r="T1823" s="3" t="n">
        <v>0</v>
      </c>
      <c r="U1823" s="3" t="n">
        <v>0</v>
      </c>
      <c r="V1823" s="3" t="n">
        <f aca="false">SUM(P1823:Q1823)</f>
        <v>0</v>
      </c>
      <c r="W1823" s="3" t="n">
        <f aca="false">SUM(R1823:T1823)</f>
        <v>1</v>
      </c>
      <c r="X1823" s="22" t="n">
        <v>41869</v>
      </c>
      <c r="Y1823" s="22" t="n">
        <v>41874</v>
      </c>
    </row>
    <row r="1824" customFormat="false" ht="14.25" hidden="false" customHeight="false" outlineLevel="0" collapsed="false">
      <c r="A1824" s="1" t="n">
        <v>2014</v>
      </c>
      <c r="B1824" s="1" t="n">
        <v>2</v>
      </c>
      <c r="C1824" s="2" t="s">
        <v>25</v>
      </c>
      <c r="D1824" s="3" t="s">
        <v>26</v>
      </c>
      <c r="E1824" s="3" t="n">
        <v>1</v>
      </c>
      <c r="F1824" s="1" t="n">
        <f aca="false">Y1824-X1824</f>
        <v>5</v>
      </c>
      <c r="G1824" s="1" t="n">
        <v>5</v>
      </c>
      <c r="H1824" s="3" t="s">
        <v>32</v>
      </c>
      <c r="I1824" s="3" t="s">
        <v>96</v>
      </c>
      <c r="J1824" s="3" t="s">
        <v>97</v>
      </c>
      <c r="K1824" s="2" t="str">
        <f aca="false">CONCATENATE(I1824," ",J1824)</f>
        <v>Diplocephalus picinus</v>
      </c>
      <c r="L1824" s="3" t="n">
        <f aca="false">SUM(P1824:U1824)</f>
        <v>1</v>
      </c>
      <c r="M1824" s="11" t="n">
        <f aca="false">(L1824/(F1824*G1824)*25)*4</f>
        <v>4</v>
      </c>
      <c r="N1824" s="1" t="s">
        <v>30</v>
      </c>
      <c r="O1824" s="1" t="s">
        <v>31</v>
      </c>
      <c r="P1824" s="3" t="n">
        <v>1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f aca="false">SUM(P1824:Q1824)</f>
        <v>1</v>
      </c>
      <c r="W1824" s="3" t="n">
        <f aca="false">SUM(R1824:T1824)</f>
        <v>0</v>
      </c>
      <c r="X1824" s="22" t="n">
        <v>41869</v>
      </c>
      <c r="Y1824" s="22" t="n">
        <v>41874</v>
      </c>
    </row>
    <row r="1825" customFormat="false" ht="14.25" hidden="false" customHeight="false" outlineLevel="0" collapsed="false">
      <c r="A1825" s="1" t="n">
        <v>2014</v>
      </c>
      <c r="B1825" s="1" t="n">
        <v>2</v>
      </c>
      <c r="C1825" s="2" t="s">
        <v>25</v>
      </c>
      <c r="D1825" s="3" t="s">
        <v>26</v>
      </c>
      <c r="E1825" s="3" t="n">
        <v>1</v>
      </c>
      <c r="F1825" s="1" t="n">
        <f aca="false">Y1825-X1825</f>
        <v>5</v>
      </c>
      <c r="G1825" s="1" t="n">
        <v>5</v>
      </c>
      <c r="H1825" s="3" t="s">
        <v>48</v>
      </c>
      <c r="I1825" s="3" t="s">
        <v>61</v>
      </c>
      <c r="J1825" s="3" t="s">
        <v>82</v>
      </c>
      <c r="K1825" s="2" t="str">
        <f aca="false">CONCATENATE(I1825," ",J1825)</f>
        <v>Trochosa terricola</v>
      </c>
      <c r="L1825" s="3" t="n">
        <f aca="false">SUM(P1825:U1825)</f>
        <v>2</v>
      </c>
      <c r="M1825" s="11" t="n">
        <f aca="false">(L1825/(F1825*G1825)*25)*4</f>
        <v>8</v>
      </c>
      <c r="N1825" s="1" t="s">
        <v>30</v>
      </c>
      <c r="O1825" s="1" t="s">
        <v>35</v>
      </c>
      <c r="P1825" s="3" t="n">
        <v>0</v>
      </c>
      <c r="Q1825" s="3" t="n">
        <v>2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f aca="false">SUM(P1825:Q1825)</f>
        <v>2</v>
      </c>
      <c r="W1825" s="3" t="n">
        <f aca="false">SUM(R1825:T1825)</f>
        <v>0</v>
      </c>
      <c r="X1825" s="22" t="n">
        <v>41869</v>
      </c>
      <c r="Y1825" s="22" t="n">
        <v>41874</v>
      </c>
    </row>
    <row r="1826" customFormat="false" ht="14.25" hidden="false" customHeight="false" outlineLevel="0" collapsed="false">
      <c r="A1826" s="1" t="n">
        <v>2014</v>
      </c>
      <c r="B1826" s="1" t="n">
        <v>2</v>
      </c>
      <c r="C1826" s="2" t="s">
        <v>25</v>
      </c>
      <c r="D1826" s="3" t="s">
        <v>26</v>
      </c>
      <c r="E1826" s="3" t="n">
        <v>1</v>
      </c>
      <c r="F1826" s="1" t="n">
        <f aca="false">Y1826-X1826</f>
        <v>5</v>
      </c>
      <c r="G1826" s="1" t="n">
        <v>5</v>
      </c>
      <c r="H1826" s="3" t="s">
        <v>36</v>
      </c>
      <c r="I1826" s="3" t="s">
        <v>37</v>
      </c>
      <c r="J1826" s="3" t="s">
        <v>75</v>
      </c>
      <c r="K1826" s="2" t="str">
        <f aca="false">CONCATENATE(I1826," ",J1826)</f>
        <v>Ozyptila praticola</v>
      </c>
      <c r="L1826" s="3" t="n">
        <f aca="false">SUM(P1826:U1826)</f>
        <v>2</v>
      </c>
      <c r="M1826" s="11" t="n">
        <f aca="false">(L1826/(F1826*G1826)*25)*4</f>
        <v>8</v>
      </c>
      <c r="N1826" s="1" t="s">
        <v>30</v>
      </c>
      <c r="O1826" s="1" t="s">
        <v>31</v>
      </c>
      <c r="P1826" s="3" t="n">
        <v>2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f aca="false">SUM(P1826:Q1826)</f>
        <v>2</v>
      </c>
      <c r="W1826" s="3" t="n">
        <f aca="false">SUM(R1826:T1826)</f>
        <v>0</v>
      </c>
      <c r="X1826" s="22" t="n">
        <v>41869</v>
      </c>
      <c r="Y1826" s="22" t="n">
        <v>41874</v>
      </c>
    </row>
    <row r="1827" customFormat="false" ht="14.25" hidden="false" customHeight="false" outlineLevel="0" collapsed="false">
      <c r="A1827" s="1" t="n">
        <v>2014</v>
      </c>
      <c r="B1827" s="1" t="n">
        <v>2</v>
      </c>
      <c r="C1827" s="2" t="s">
        <v>25</v>
      </c>
      <c r="D1827" s="3" t="s">
        <v>26</v>
      </c>
      <c r="E1827" s="3" t="n">
        <v>2</v>
      </c>
      <c r="F1827" s="1" t="n">
        <f aca="false">Y1827-X1827</f>
        <v>5</v>
      </c>
      <c r="G1827" s="1" t="n">
        <v>5</v>
      </c>
      <c r="H1827" s="3" t="s">
        <v>48</v>
      </c>
      <c r="I1827" s="3" t="s">
        <v>61</v>
      </c>
      <c r="J1827" s="3" t="s">
        <v>82</v>
      </c>
      <c r="K1827" s="2" t="str">
        <f aca="false">CONCATENATE(I1827," ",J1827)</f>
        <v>Trochosa terricola</v>
      </c>
      <c r="L1827" s="3" t="n">
        <f aca="false">SUM(P1827:U1827)</f>
        <v>3</v>
      </c>
      <c r="M1827" s="11" t="n">
        <f aca="false">(L1827/(F1827*G1827)*25)*4</f>
        <v>12</v>
      </c>
      <c r="N1827" s="1" t="s">
        <v>30</v>
      </c>
      <c r="O1827" s="1" t="s">
        <v>35</v>
      </c>
      <c r="P1827" s="3" t="n">
        <v>0</v>
      </c>
      <c r="Q1827" s="3" t="n">
        <v>3</v>
      </c>
      <c r="R1827" s="3" t="n">
        <v>0</v>
      </c>
      <c r="S1827" s="3" t="n">
        <v>0</v>
      </c>
      <c r="T1827" s="3" t="n">
        <v>0</v>
      </c>
      <c r="U1827" s="3" t="n">
        <v>0</v>
      </c>
      <c r="V1827" s="3" t="n">
        <f aca="false">SUM(P1827:Q1827)</f>
        <v>3</v>
      </c>
      <c r="W1827" s="3" t="n">
        <f aca="false">SUM(R1827:T1827)</f>
        <v>0</v>
      </c>
      <c r="X1827" s="22" t="n">
        <v>41869</v>
      </c>
      <c r="Y1827" s="22" t="n">
        <v>41874</v>
      </c>
    </row>
    <row r="1828" customFormat="false" ht="14.25" hidden="false" customHeight="false" outlineLevel="0" collapsed="false">
      <c r="A1828" s="1" t="n">
        <v>2014</v>
      </c>
      <c r="B1828" s="1" t="n">
        <v>2</v>
      </c>
      <c r="C1828" s="2" t="s">
        <v>25</v>
      </c>
      <c r="D1828" s="3" t="s">
        <v>26</v>
      </c>
      <c r="E1828" s="3" t="n">
        <v>2</v>
      </c>
      <c r="F1828" s="1" t="n">
        <f aca="false">Y1828-X1828</f>
        <v>5</v>
      </c>
      <c r="G1828" s="1" t="n">
        <v>5</v>
      </c>
      <c r="H1828" s="3" t="s">
        <v>48</v>
      </c>
      <c r="I1828" s="3" t="s">
        <v>67</v>
      </c>
      <c r="J1828" s="3" t="s">
        <v>38</v>
      </c>
      <c r="K1828" s="2" t="str">
        <f aca="false">CONCATENATE(I1828," ",J1828)</f>
        <v>Pardosa sp</v>
      </c>
      <c r="L1828" s="3" t="n">
        <f aca="false">SUM(P1828:U1828)</f>
        <v>1</v>
      </c>
      <c r="M1828" s="11" t="n">
        <f aca="false">(L1828/(F1828*G1828)*25)*4</f>
        <v>4</v>
      </c>
      <c r="N1828" s="1" t="s">
        <v>19</v>
      </c>
      <c r="O1828" s="1" t="s">
        <v>31</v>
      </c>
      <c r="P1828" s="3" t="n">
        <v>0</v>
      </c>
      <c r="Q1828" s="3" t="n">
        <v>0</v>
      </c>
      <c r="R1828" s="3" t="n">
        <v>1</v>
      </c>
      <c r="S1828" s="3" t="n">
        <v>0</v>
      </c>
      <c r="T1828" s="3" t="n">
        <v>0</v>
      </c>
      <c r="U1828" s="3" t="n">
        <v>0</v>
      </c>
      <c r="V1828" s="3" t="n">
        <f aca="false">SUM(P1828:Q1828)</f>
        <v>0</v>
      </c>
      <c r="W1828" s="3" t="n">
        <f aca="false">SUM(R1828:T1828)</f>
        <v>1</v>
      </c>
      <c r="X1828" s="22" t="n">
        <v>41869</v>
      </c>
      <c r="Y1828" s="22" t="n">
        <v>41874</v>
      </c>
    </row>
    <row r="1829" customFormat="false" ht="14.25" hidden="false" customHeight="false" outlineLevel="0" collapsed="false">
      <c r="A1829" s="1" t="n">
        <v>2014</v>
      </c>
      <c r="B1829" s="1" t="n">
        <v>2</v>
      </c>
      <c r="C1829" s="2" t="s">
        <v>25</v>
      </c>
      <c r="D1829" s="3" t="s">
        <v>26</v>
      </c>
      <c r="E1829" s="3" t="n">
        <v>2</v>
      </c>
      <c r="F1829" s="1" t="n">
        <f aca="false">Y1829-X1829</f>
        <v>5</v>
      </c>
      <c r="G1829" s="1" t="n">
        <v>5</v>
      </c>
      <c r="H1829" s="3" t="s">
        <v>48</v>
      </c>
      <c r="I1829" s="3" t="s">
        <v>67</v>
      </c>
      <c r="J1829" s="3" t="s">
        <v>38</v>
      </c>
      <c r="K1829" s="2" t="str">
        <f aca="false">CONCATENATE(I1829," ",J1829)</f>
        <v>Pardosa sp</v>
      </c>
      <c r="L1829" s="3" t="n">
        <f aca="false">SUM(P1829:U1829)</f>
        <v>1</v>
      </c>
      <c r="M1829" s="11" t="n">
        <f aca="false">(L1829/(F1829*G1829)*25)*4</f>
        <v>4</v>
      </c>
      <c r="N1829" s="1" t="s">
        <v>19</v>
      </c>
      <c r="O1829" s="1" t="s">
        <v>35</v>
      </c>
      <c r="P1829" s="3" t="n">
        <v>0</v>
      </c>
      <c r="Q1829" s="3" t="n">
        <v>0</v>
      </c>
      <c r="R1829" s="3" t="n">
        <v>0</v>
      </c>
      <c r="S1829" s="3" t="n">
        <v>1</v>
      </c>
      <c r="T1829" s="3" t="n">
        <v>0</v>
      </c>
      <c r="U1829" s="3" t="n">
        <v>0</v>
      </c>
      <c r="V1829" s="3" t="n">
        <f aca="false">SUM(P1829:Q1829)</f>
        <v>0</v>
      </c>
      <c r="W1829" s="3" t="n">
        <f aca="false">SUM(R1829:T1829)</f>
        <v>1</v>
      </c>
      <c r="X1829" s="22" t="n">
        <v>41869</v>
      </c>
      <c r="Y1829" s="22" t="n">
        <v>41874</v>
      </c>
    </row>
    <row r="1830" customFormat="false" ht="14.25" hidden="false" customHeight="false" outlineLevel="0" collapsed="false">
      <c r="A1830" s="1" t="n">
        <v>2014</v>
      </c>
      <c r="B1830" s="1" t="n">
        <v>2</v>
      </c>
      <c r="C1830" s="2" t="s">
        <v>25</v>
      </c>
      <c r="D1830" s="3" t="s">
        <v>26</v>
      </c>
      <c r="E1830" s="3" t="n">
        <v>2</v>
      </c>
      <c r="F1830" s="1" t="n">
        <f aca="false">Y1830-X1830</f>
        <v>5</v>
      </c>
      <c r="G1830" s="1" t="n">
        <v>5</v>
      </c>
      <c r="H1830" s="3" t="s">
        <v>48</v>
      </c>
      <c r="I1830" s="3" t="s">
        <v>67</v>
      </c>
      <c r="J1830" s="3" t="s">
        <v>38</v>
      </c>
      <c r="K1830" s="2" t="str">
        <f aca="false">CONCATENATE(I1830," ",J1830)</f>
        <v>Pardosa sp</v>
      </c>
      <c r="L1830" s="3" t="n">
        <f aca="false">SUM(P1830:U1830)</f>
        <v>1</v>
      </c>
      <c r="M1830" s="11" t="n">
        <f aca="false">(L1830/(F1830*G1830)*25)*4</f>
        <v>4</v>
      </c>
      <c r="N1830" s="1" t="s">
        <v>19</v>
      </c>
      <c r="O1830" s="1" t="s">
        <v>54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1</v>
      </c>
      <c r="U1830" s="3" t="n">
        <v>0</v>
      </c>
      <c r="V1830" s="3" t="n">
        <f aca="false">SUM(P1830:Q1830)</f>
        <v>0</v>
      </c>
      <c r="W1830" s="3" t="n">
        <f aca="false">SUM(R1830:T1830)</f>
        <v>1</v>
      </c>
      <c r="X1830" s="22" t="n">
        <v>41869</v>
      </c>
      <c r="Y1830" s="22" t="n">
        <v>41874</v>
      </c>
    </row>
    <row r="1831" customFormat="false" ht="14.25" hidden="false" customHeight="false" outlineLevel="0" collapsed="false">
      <c r="A1831" s="1" t="n">
        <v>2014</v>
      </c>
      <c r="B1831" s="1" t="n">
        <v>2</v>
      </c>
      <c r="C1831" s="2" t="s">
        <v>25</v>
      </c>
      <c r="D1831" s="3" t="s">
        <v>26</v>
      </c>
      <c r="E1831" s="3" t="n">
        <v>2</v>
      </c>
      <c r="F1831" s="1" t="n">
        <f aca="false">Y1831-X1831</f>
        <v>5</v>
      </c>
      <c r="G1831" s="1" t="n">
        <v>5</v>
      </c>
      <c r="H1831" s="3" t="s">
        <v>36</v>
      </c>
      <c r="I1831" s="3" t="s">
        <v>37</v>
      </c>
      <c r="J1831" s="3" t="s">
        <v>75</v>
      </c>
      <c r="K1831" s="2" t="str">
        <f aca="false">CONCATENATE(I1831," ",J1831)</f>
        <v>Ozyptila praticola</v>
      </c>
      <c r="L1831" s="3" t="n">
        <f aca="false">SUM(P1831:U1831)</f>
        <v>2</v>
      </c>
      <c r="M1831" s="11" t="n">
        <f aca="false">(L1831/(F1831*G1831)*25)*4</f>
        <v>8</v>
      </c>
      <c r="N1831" s="1" t="s">
        <v>30</v>
      </c>
      <c r="O1831" s="1" t="s">
        <v>31</v>
      </c>
      <c r="P1831" s="3" t="n">
        <v>2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f aca="false">SUM(P1831:Q1831)</f>
        <v>2</v>
      </c>
      <c r="W1831" s="3" t="n">
        <f aca="false">SUM(R1831:T1831)</f>
        <v>0</v>
      </c>
      <c r="X1831" s="22" t="n">
        <v>41869</v>
      </c>
      <c r="Y1831" s="22" t="n">
        <v>41874</v>
      </c>
    </row>
    <row r="1832" customFormat="false" ht="14.25" hidden="false" customHeight="false" outlineLevel="0" collapsed="false">
      <c r="A1832" s="1" t="n">
        <v>2014</v>
      </c>
      <c r="B1832" s="1" t="n">
        <v>2</v>
      </c>
      <c r="C1832" s="2" t="s">
        <v>25</v>
      </c>
      <c r="D1832" s="3" t="s">
        <v>26</v>
      </c>
      <c r="E1832" s="3" t="n">
        <v>2</v>
      </c>
      <c r="F1832" s="1" t="n">
        <f aca="false">Y1832-X1832</f>
        <v>5</v>
      </c>
      <c r="G1832" s="1" t="n">
        <v>5</v>
      </c>
      <c r="H1832" s="3" t="s">
        <v>36</v>
      </c>
      <c r="I1832" s="3" t="s">
        <v>37</v>
      </c>
      <c r="J1832" s="3" t="s">
        <v>230</v>
      </c>
      <c r="K1832" s="2" t="str">
        <f aca="false">CONCATENATE(I1832," ",J1832)</f>
        <v>Ozyptila sp (praticola?)</v>
      </c>
      <c r="L1832" s="3" t="n">
        <f aca="false">SUM(P1832:U1832)</f>
        <v>1</v>
      </c>
      <c r="M1832" s="11" t="n">
        <f aca="false">(L1832/(F1832*G1832)*25)*4</f>
        <v>4</v>
      </c>
      <c r="N1832" s="1" t="s">
        <v>19</v>
      </c>
      <c r="O1832" s="1" t="s">
        <v>35</v>
      </c>
      <c r="P1832" s="3" t="n">
        <v>0</v>
      </c>
      <c r="Q1832" s="3" t="n">
        <v>0</v>
      </c>
      <c r="R1832" s="3" t="n">
        <v>0</v>
      </c>
      <c r="S1832" s="3" t="n">
        <v>1</v>
      </c>
      <c r="T1832" s="3" t="n">
        <v>0</v>
      </c>
      <c r="U1832" s="3" t="n">
        <v>0</v>
      </c>
      <c r="V1832" s="3" t="n">
        <f aca="false">SUM(P1832:Q1832)</f>
        <v>0</v>
      </c>
      <c r="W1832" s="3" t="n">
        <f aca="false">SUM(R1832:T1832)</f>
        <v>1</v>
      </c>
      <c r="X1832" s="22" t="n">
        <v>41869</v>
      </c>
      <c r="Y1832" s="22" t="n">
        <v>41874</v>
      </c>
    </row>
    <row r="1833" customFormat="false" ht="14.25" hidden="false" customHeight="false" outlineLevel="0" collapsed="false">
      <c r="A1833" s="1" t="n">
        <v>2014</v>
      </c>
      <c r="B1833" s="1" t="n">
        <v>2</v>
      </c>
      <c r="C1833" s="2" t="s">
        <v>25</v>
      </c>
      <c r="D1833" s="3" t="s">
        <v>26</v>
      </c>
      <c r="E1833" s="3" t="n">
        <v>3</v>
      </c>
      <c r="F1833" s="1" t="n">
        <f aca="false">Y1833-X1833</f>
        <v>5</v>
      </c>
      <c r="G1833" s="1" t="n">
        <v>5</v>
      </c>
      <c r="H1833" s="3" t="s">
        <v>48</v>
      </c>
      <c r="I1833" s="3" t="s">
        <v>61</v>
      </c>
      <c r="J1833" s="3" t="s">
        <v>82</v>
      </c>
      <c r="K1833" s="2" t="str">
        <f aca="false">CONCATENATE(I1833," ",J1833)</f>
        <v>Trochosa terricola</v>
      </c>
      <c r="L1833" s="3" t="n">
        <f aca="false">SUM(P1833:U1833)</f>
        <v>1</v>
      </c>
      <c r="M1833" s="11" t="n">
        <f aca="false">(L1833/(F1833*G1833)*25)*4</f>
        <v>4</v>
      </c>
      <c r="N1833" s="1" t="s">
        <v>30</v>
      </c>
      <c r="O1833" s="1" t="s">
        <v>31</v>
      </c>
      <c r="P1833" s="3" t="n">
        <v>1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f aca="false">SUM(P1833:Q1833)</f>
        <v>1</v>
      </c>
      <c r="W1833" s="3" t="n">
        <f aca="false">SUM(R1833:T1833)</f>
        <v>0</v>
      </c>
      <c r="X1833" s="22" t="n">
        <v>41869</v>
      </c>
      <c r="Y1833" s="22" t="n">
        <v>41874</v>
      </c>
    </row>
    <row r="1834" customFormat="false" ht="14.25" hidden="false" customHeight="false" outlineLevel="0" collapsed="false">
      <c r="A1834" s="1" t="n">
        <v>2014</v>
      </c>
      <c r="B1834" s="1" t="n">
        <v>2</v>
      </c>
      <c r="C1834" s="2" t="s">
        <v>25</v>
      </c>
      <c r="D1834" s="3" t="s">
        <v>26</v>
      </c>
      <c r="E1834" s="3" t="n">
        <v>3</v>
      </c>
      <c r="F1834" s="1" t="n">
        <f aca="false">Y1834-X1834</f>
        <v>5</v>
      </c>
      <c r="G1834" s="1" t="n">
        <v>5</v>
      </c>
      <c r="H1834" s="3" t="s">
        <v>48</v>
      </c>
      <c r="I1834" s="3" t="s">
        <v>61</v>
      </c>
      <c r="J1834" s="3" t="s">
        <v>38</v>
      </c>
      <c r="K1834" s="2" t="str">
        <f aca="false">CONCATENATE(I1834," ",J1834)</f>
        <v>Trochosa sp</v>
      </c>
      <c r="L1834" s="3" t="n">
        <f aca="false">SUM(P1834:U1834)</f>
        <v>1</v>
      </c>
      <c r="M1834" s="11" t="n">
        <f aca="false">(L1834/(F1834*G1834)*25)*4</f>
        <v>4</v>
      </c>
      <c r="N1834" s="1" t="s">
        <v>19</v>
      </c>
      <c r="O1834" s="1" t="s">
        <v>54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1</v>
      </c>
      <c r="U1834" s="3" t="n">
        <v>0</v>
      </c>
      <c r="V1834" s="3" t="n">
        <f aca="false">SUM(P1834:Q1834)</f>
        <v>0</v>
      </c>
      <c r="W1834" s="3" t="n">
        <f aca="false">SUM(R1834:T1834)</f>
        <v>1</v>
      </c>
      <c r="X1834" s="22" t="n">
        <v>41869</v>
      </c>
      <c r="Y1834" s="22" t="n">
        <v>41874</v>
      </c>
    </row>
    <row r="1835" customFormat="false" ht="14.25" hidden="false" customHeight="false" outlineLevel="0" collapsed="false">
      <c r="A1835" s="1" t="n">
        <v>2014</v>
      </c>
      <c r="B1835" s="1" t="n">
        <v>2</v>
      </c>
      <c r="C1835" s="2" t="s">
        <v>25</v>
      </c>
      <c r="D1835" s="3" t="s">
        <v>26</v>
      </c>
      <c r="E1835" s="3" t="n">
        <v>3</v>
      </c>
      <c r="F1835" s="1" t="n">
        <f aca="false">Y1835-X1835</f>
        <v>5</v>
      </c>
      <c r="G1835" s="1" t="n">
        <v>5</v>
      </c>
      <c r="H1835" s="3" t="s">
        <v>48</v>
      </c>
      <c r="I1835" s="3" t="s">
        <v>67</v>
      </c>
      <c r="J1835" s="3" t="s">
        <v>38</v>
      </c>
      <c r="K1835" s="2" t="str">
        <f aca="false">CONCATENATE(I1835," ",J1835)</f>
        <v>Pardosa sp</v>
      </c>
      <c r="L1835" s="3" t="n">
        <f aca="false">SUM(P1835:U1835)</f>
        <v>2</v>
      </c>
      <c r="M1835" s="11" t="n">
        <f aca="false">(L1835/(F1835*G1835)*25)*4</f>
        <v>8</v>
      </c>
      <c r="N1835" s="1" t="s">
        <v>19</v>
      </c>
      <c r="O1835" s="1" t="s">
        <v>31</v>
      </c>
      <c r="P1835" s="3" t="n">
        <v>0</v>
      </c>
      <c r="Q1835" s="3" t="n">
        <v>0</v>
      </c>
      <c r="R1835" s="3" t="n">
        <v>2</v>
      </c>
      <c r="S1835" s="3" t="n">
        <v>0</v>
      </c>
      <c r="T1835" s="3" t="n">
        <v>0</v>
      </c>
      <c r="U1835" s="3" t="n">
        <v>0</v>
      </c>
      <c r="V1835" s="3" t="n">
        <f aca="false">SUM(P1835:Q1835)</f>
        <v>0</v>
      </c>
      <c r="W1835" s="3" t="n">
        <f aca="false">SUM(R1835:T1835)</f>
        <v>2</v>
      </c>
      <c r="X1835" s="22" t="n">
        <v>41869</v>
      </c>
      <c r="Y1835" s="22" t="n">
        <v>41874</v>
      </c>
    </row>
    <row r="1836" customFormat="false" ht="14.25" hidden="false" customHeight="false" outlineLevel="0" collapsed="false">
      <c r="A1836" s="1" t="n">
        <v>2014</v>
      </c>
      <c r="B1836" s="1" t="n">
        <v>2</v>
      </c>
      <c r="C1836" s="2" t="s">
        <v>25</v>
      </c>
      <c r="D1836" s="3" t="s">
        <v>26</v>
      </c>
      <c r="E1836" s="3" t="n">
        <v>3</v>
      </c>
      <c r="F1836" s="1" t="n">
        <f aca="false">Y1836-X1836</f>
        <v>5</v>
      </c>
      <c r="G1836" s="1" t="n">
        <v>5</v>
      </c>
      <c r="H1836" s="3" t="s">
        <v>36</v>
      </c>
      <c r="I1836" s="3" t="s">
        <v>37</v>
      </c>
      <c r="J1836" s="3" t="s">
        <v>75</v>
      </c>
      <c r="K1836" s="2" t="str">
        <f aca="false">CONCATENATE(I1836," ",J1836)</f>
        <v>Ozyptila praticola</v>
      </c>
      <c r="L1836" s="3" t="n">
        <f aca="false">SUM(P1836:U1836)</f>
        <v>1</v>
      </c>
      <c r="M1836" s="11" t="n">
        <f aca="false">(L1836/(F1836*G1836)*25)*4</f>
        <v>4</v>
      </c>
      <c r="N1836" s="1" t="s">
        <v>30</v>
      </c>
      <c r="O1836" s="1" t="s">
        <v>31</v>
      </c>
      <c r="P1836" s="3" t="n">
        <v>1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f aca="false">SUM(P1836:Q1836)</f>
        <v>1</v>
      </c>
      <c r="W1836" s="3" t="n">
        <f aca="false">SUM(R1836:T1836)</f>
        <v>0</v>
      </c>
      <c r="X1836" s="22" t="n">
        <v>41869</v>
      </c>
      <c r="Y1836" s="22" t="n">
        <v>41874</v>
      </c>
    </row>
    <row r="1837" customFormat="false" ht="14.25" hidden="false" customHeight="false" outlineLevel="0" collapsed="false">
      <c r="A1837" s="1" t="n">
        <v>2014</v>
      </c>
      <c r="B1837" s="1" t="n">
        <v>2</v>
      </c>
      <c r="C1837" s="2" t="s">
        <v>25</v>
      </c>
      <c r="D1837" s="3" t="s">
        <v>26</v>
      </c>
      <c r="E1837" s="3" t="n">
        <v>3</v>
      </c>
      <c r="F1837" s="1" t="n">
        <f aca="false">Y1837-X1837</f>
        <v>5</v>
      </c>
      <c r="G1837" s="1" t="n">
        <v>5</v>
      </c>
      <c r="H1837" s="3" t="s">
        <v>48</v>
      </c>
      <c r="I1837" s="3" t="s">
        <v>57</v>
      </c>
      <c r="J1837" s="3" t="s">
        <v>38</v>
      </c>
      <c r="K1837" s="2" t="str">
        <f aca="false">CONCATENATE(I1837," ",J1837)</f>
        <v>Gen sp</v>
      </c>
      <c r="L1837" s="3" t="n">
        <f aca="false">SUM(P1837:U1837)</f>
        <v>1</v>
      </c>
      <c r="M1837" s="11" t="n">
        <f aca="false">(L1837/(F1837*G1837)*25)*4</f>
        <v>4</v>
      </c>
      <c r="N1837" s="1" t="s">
        <v>19</v>
      </c>
      <c r="O1837" s="1" t="s">
        <v>54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1</v>
      </c>
      <c r="U1837" s="3" t="n">
        <v>0</v>
      </c>
      <c r="V1837" s="3" t="n">
        <f aca="false">SUM(P1837:Q1837)</f>
        <v>0</v>
      </c>
      <c r="W1837" s="3" t="n">
        <f aca="false">SUM(R1837:T1837)</f>
        <v>1</v>
      </c>
      <c r="X1837" s="22" t="n">
        <v>41869</v>
      </c>
      <c r="Y1837" s="22" t="n">
        <v>41874</v>
      </c>
    </row>
    <row r="1838" customFormat="false" ht="14.25" hidden="false" customHeight="false" outlineLevel="0" collapsed="false">
      <c r="A1838" s="1" t="n">
        <v>2014</v>
      </c>
      <c r="B1838" s="1" t="n">
        <v>2</v>
      </c>
      <c r="C1838" s="2" t="s">
        <v>25</v>
      </c>
      <c r="D1838" s="3" t="s">
        <v>26</v>
      </c>
      <c r="E1838" s="3" t="n">
        <v>2</v>
      </c>
      <c r="F1838" s="1" t="n">
        <f aca="false">Y1838-X1838</f>
        <v>5</v>
      </c>
      <c r="G1838" s="1" t="n">
        <v>5</v>
      </c>
      <c r="H1838" s="3" t="s">
        <v>48</v>
      </c>
      <c r="I1838" s="3" t="s">
        <v>61</v>
      </c>
      <c r="J1838" s="3" t="s">
        <v>82</v>
      </c>
      <c r="K1838" s="2" t="str">
        <f aca="false">CONCATENATE(I1838," ",J1838)</f>
        <v>Trochosa terricola</v>
      </c>
      <c r="L1838" s="3" t="n">
        <f aca="false">SUM(P1838:U1838)</f>
        <v>1</v>
      </c>
      <c r="M1838" s="11" t="n">
        <f aca="false">(L1838/(F1838*G1838)*25)*4</f>
        <v>4</v>
      </c>
      <c r="N1838" s="1" t="s">
        <v>30</v>
      </c>
      <c r="O1838" s="1" t="s">
        <v>31</v>
      </c>
      <c r="P1838" s="3" t="n">
        <v>1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f aca="false">SUM(P1838:Q1838)</f>
        <v>1</v>
      </c>
      <c r="W1838" s="3" t="n">
        <f aca="false">SUM(R1838:T1838)</f>
        <v>0</v>
      </c>
      <c r="X1838" s="22" t="n">
        <v>41869</v>
      </c>
      <c r="Y1838" s="22" t="n">
        <v>41874</v>
      </c>
    </row>
    <row r="1839" customFormat="false" ht="14.25" hidden="false" customHeight="false" outlineLevel="0" collapsed="false">
      <c r="A1839" s="1" t="n">
        <v>2014</v>
      </c>
      <c r="B1839" s="1" t="n">
        <v>2</v>
      </c>
      <c r="C1839" s="2" t="s">
        <v>25</v>
      </c>
      <c r="D1839" s="3" t="s">
        <v>26</v>
      </c>
      <c r="E1839" s="3" t="n">
        <v>2</v>
      </c>
      <c r="F1839" s="1" t="n">
        <f aca="false">Y1839-X1839</f>
        <v>5</v>
      </c>
      <c r="G1839" s="1" t="n">
        <v>5</v>
      </c>
      <c r="H1839" s="3" t="s">
        <v>48</v>
      </c>
      <c r="I1839" s="3" t="s">
        <v>61</v>
      </c>
      <c r="J1839" s="3" t="s">
        <v>82</v>
      </c>
      <c r="K1839" s="2" t="str">
        <f aca="false">CONCATENATE(I1839," ",J1839)</f>
        <v>Trochosa terricola</v>
      </c>
      <c r="L1839" s="3" t="n">
        <f aca="false">SUM(P1839:U1839)</f>
        <v>1</v>
      </c>
      <c r="M1839" s="11" t="n">
        <f aca="false">(L1839/(F1839*G1839)*25)*4</f>
        <v>4</v>
      </c>
      <c r="N1839" s="1" t="s">
        <v>30</v>
      </c>
      <c r="O1839" s="1" t="s">
        <v>35</v>
      </c>
      <c r="P1839" s="3" t="n">
        <v>0</v>
      </c>
      <c r="Q1839" s="3" t="n">
        <v>1</v>
      </c>
      <c r="R1839" s="3" t="n">
        <v>0</v>
      </c>
      <c r="S1839" s="3" t="n">
        <v>0</v>
      </c>
      <c r="T1839" s="3" t="n">
        <v>0</v>
      </c>
      <c r="U1839" s="3" t="n">
        <v>0</v>
      </c>
      <c r="V1839" s="3" t="n">
        <f aca="false">SUM(P1839:Q1839)</f>
        <v>1</v>
      </c>
      <c r="W1839" s="3" t="n">
        <f aca="false">SUM(R1839:T1839)</f>
        <v>0</v>
      </c>
      <c r="X1839" s="22" t="n">
        <v>41869</v>
      </c>
      <c r="Y1839" s="22" t="n">
        <v>41874</v>
      </c>
    </row>
    <row r="1840" customFormat="false" ht="14.25" hidden="false" customHeight="false" outlineLevel="0" collapsed="false">
      <c r="A1840" s="1" t="n">
        <v>2014</v>
      </c>
      <c r="B1840" s="1" t="n">
        <v>2</v>
      </c>
      <c r="C1840" s="2" t="s">
        <v>25</v>
      </c>
      <c r="D1840" s="3" t="s">
        <v>26</v>
      </c>
      <c r="E1840" s="3" t="n">
        <v>2</v>
      </c>
      <c r="F1840" s="1" t="n">
        <f aca="false">Y1840-X1840</f>
        <v>5</v>
      </c>
      <c r="G1840" s="1" t="n">
        <v>5</v>
      </c>
      <c r="H1840" s="3" t="s">
        <v>52</v>
      </c>
      <c r="I1840" s="3" t="s">
        <v>53</v>
      </c>
      <c r="J1840" s="3" t="s">
        <v>38</v>
      </c>
      <c r="K1840" s="2" t="str">
        <f aca="false">CONCATENATE(I1840," ",J1840)</f>
        <v>Araneus sp</v>
      </c>
      <c r="L1840" s="3" t="n">
        <f aca="false">SUM(P1840:U1840)</f>
        <v>1</v>
      </c>
      <c r="M1840" s="11" t="n">
        <f aca="false">(L1840/(F1840*G1840)*25)*4</f>
        <v>4</v>
      </c>
      <c r="N1840" s="1" t="s">
        <v>19</v>
      </c>
      <c r="O1840" s="1" t="s">
        <v>54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1</v>
      </c>
      <c r="U1840" s="3" t="n">
        <v>0</v>
      </c>
      <c r="V1840" s="3" t="n">
        <f aca="false">SUM(P1840:Q1840)</f>
        <v>0</v>
      </c>
      <c r="W1840" s="3" t="n">
        <f aca="false">SUM(R1840:T1840)</f>
        <v>1</v>
      </c>
      <c r="X1840" s="22" t="n">
        <v>41869</v>
      </c>
      <c r="Y1840" s="22" t="n">
        <v>41874</v>
      </c>
    </row>
    <row r="1841" customFormat="false" ht="14.25" hidden="false" customHeight="false" outlineLevel="0" collapsed="false">
      <c r="A1841" s="1" t="n">
        <v>2014</v>
      </c>
      <c r="B1841" s="1" t="n">
        <v>2</v>
      </c>
      <c r="C1841" s="3" t="s">
        <v>115</v>
      </c>
      <c r="D1841" s="3" t="s">
        <v>116</v>
      </c>
      <c r="E1841" s="3" t="n">
        <v>3</v>
      </c>
      <c r="F1841" s="1" t="n">
        <f aca="false">Y1841-X1841</f>
        <v>5</v>
      </c>
      <c r="G1841" s="1" t="n">
        <v>5</v>
      </c>
      <c r="H1841" s="3" t="s">
        <v>32</v>
      </c>
      <c r="I1841" s="3" t="s">
        <v>102</v>
      </c>
      <c r="J1841" s="3" t="s">
        <v>117</v>
      </c>
      <c r="K1841" s="2" t="str">
        <f aca="false">CONCATENATE(I1841," ",J1841)</f>
        <v>Agyneta affinis</v>
      </c>
      <c r="L1841" s="3" t="n">
        <f aca="false">SUM(P1841:U1841)</f>
        <v>1</v>
      </c>
      <c r="M1841" s="11" t="n">
        <f aca="false">(L1841/(F1841*G1841)*25)*4</f>
        <v>4</v>
      </c>
      <c r="N1841" s="1" t="s">
        <v>30</v>
      </c>
      <c r="O1841" s="1" t="s">
        <v>35</v>
      </c>
      <c r="P1841" s="3" t="n">
        <v>0</v>
      </c>
      <c r="Q1841" s="3" t="n">
        <v>1</v>
      </c>
      <c r="R1841" s="3" t="n">
        <v>0</v>
      </c>
      <c r="S1841" s="3" t="n">
        <v>0</v>
      </c>
      <c r="T1841" s="3" t="n">
        <v>0</v>
      </c>
      <c r="U1841" s="3" t="n">
        <v>0</v>
      </c>
      <c r="V1841" s="3" t="n">
        <f aca="false">SUM(P1841:Q1841)</f>
        <v>1</v>
      </c>
      <c r="W1841" s="3" t="n">
        <f aca="false">SUM(R1841:T1841)</f>
        <v>0</v>
      </c>
      <c r="X1841" s="22" t="n">
        <v>41870</v>
      </c>
      <c r="Y1841" s="22" t="n">
        <v>41875</v>
      </c>
    </row>
    <row r="1842" customFormat="false" ht="14.25" hidden="false" customHeight="false" outlineLevel="0" collapsed="false">
      <c r="A1842" s="1" t="n">
        <v>2014</v>
      </c>
      <c r="B1842" s="1" t="n">
        <v>2</v>
      </c>
      <c r="C1842" s="3" t="s">
        <v>115</v>
      </c>
      <c r="D1842" s="3" t="s">
        <v>116</v>
      </c>
      <c r="E1842" s="3" t="n">
        <v>1</v>
      </c>
      <c r="F1842" s="1" t="n">
        <f aca="false">Y1842-X1842</f>
        <v>5</v>
      </c>
      <c r="G1842" s="1" t="n">
        <v>5</v>
      </c>
      <c r="H1842" s="3" t="s">
        <v>32</v>
      </c>
      <c r="I1842" s="3" t="s">
        <v>102</v>
      </c>
      <c r="J1842" s="3" t="s">
        <v>38</v>
      </c>
      <c r="K1842" s="2" t="str">
        <f aca="false">CONCATENATE(I1842," ",J1842)</f>
        <v>Agyneta sp</v>
      </c>
      <c r="L1842" s="3" t="n">
        <f aca="false">SUM(P1842:U1842)</f>
        <v>1</v>
      </c>
      <c r="M1842" s="11" t="n">
        <f aca="false">(L1842/(F1842*G1842)*25)*4</f>
        <v>4</v>
      </c>
      <c r="N1842" s="1" t="s">
        <v>54</v>
      </c>
      <c r="O1842" s="1" t="s">
        <v>35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1</v>
      </c>
      <c r="V1842" s="3" t="n">
        <f aca="false">SUM(P1842:Q1842)</f>
        <v>0</v>
      </c>
      <c r="W1842" s="3" t="n">
        <f aca="false">SUM(R1842:T1842)</f>
        <v>0</v>
      </c>
      <c r="X1842" s="22" t="n">
        <v>41870</v>
      </c>
      <c r="Y1842" s="22" t="n">
        <v>41875</v>
      </c>
    </row>
    <row r="1843" customFormat="false" ht="14.25" hidden="false" customHeight="false" outlineLevel="0" collapsed="false">
      <c r="A1843" s="1" t="n">
        <v>2014</v>
      </c>
      <c r="B1843" s="1" t="n">
        <v>2</v>
      </c>
      <c r="C1843" s="3" t="s">
        <v>115</v>
      </c>
      <c r="D1843" s="3" t="s">
        <v>116</v>
      </c>
      <c r="E1843" s="3" t="n">
        <v>3</v>
      </c>
      <c r="F1843" s="1" t="n">
        <f aca="false">Y1843-X1843</f>
        <v>5</v>
      </c>
      <c r="G1843" s="1" t="n">
        <v>5</v>
      </c>
      <c r="H1843" s="3" t="s">
        <v>32</v>
      </c>
      <c r="I1843" s="3" t="s">
        <v>102</v>
      </c>
      <c r="J1843" s="3" t="s">
        <v>143</v>
      </c>
      <c r="K1843" s="2" t="str">
        <f aca="false">CONCATENATE(I1843," ",J1843)</f>
        <v>Agyneta saaristoi</v>
      </c>
      <c r="L1843" s="3" t="n">
        <f aca="false">SUM(P1843:U1843)</f>
        <v>1</v>
      </c>
      <c r="M1843" s="11" t="n">
        <f aca="false">(L1843/(F1843*G1843)*25)*4</f>
        <v>4</v>
      </c>
      <c r="N1843" s="1" t="s">
        <v>30</v>
      </c>
      <c r="O1843" s="1" t="s">
        <v>31</v>
      </c>
      <c r="P1843" s="3" t="n">
        <v>1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f aca="false">SUM(P1843:Q1843)</f>
        <v>1</v>
      </c>
      <c r="W1843" s="3" t="n">
        <f aca="false">SUM(R1843:T1843)</f>
        <v>0</v>
      </c>
      <c r="X1843" s="22" t="n">
        <v>41870</v>
      </c>
      <c r="Y1843" s="22" t="n">
        <v>41875</v>
      </c>
    </row>
    <row r="1844" customFormat="false" ht="14.25" hidden="false" customHeight="false" outlineLevel="0" collapsed="false">
      <c r="A1844" s="1" t="n">
        <v>2014</v>
      </c>
      <c r="B1844" s="1" t="n">
        <v>2</v>
      </c>
      <c r="C1844" s="3" t="s">
        <v>115</v>
      </c>
      <c r="D1844" s="3" t="s">
        <v>116</v>
      </c>
      <c r="E1844" s="3" t="n">
        <v>3</v>
      </c>
      <c r="F1844" s="1" t="n">
        <f aca="false">Y1844-X1844</f>
        <v>5</v>
      </c>
      <c r="G1844" s="1" t="n">
        <v>5</v>
      </c>
      <c r="H1844" s="3" t="s">
        <v>32</v>
      </c>
      <c r="I1844" s="3" t="s">
        <v>102</v>
      </c>
      <c r="J1844" s="3" t="s">
        <v>38</v>
      </c>
      <c r="K1844" s="2" t="str">
        <f aca="false">CONCATENATE(I1844," ",J1844)</f>
        <v>Agyneta sp</v>
      </c>
      <c r="L1844" s="3" t="n">
        <f aca="false">SUM(P1844:U1844)</f>
        <v>1</v>
      </c>
      <c r="M1844" s="11" t="n">
        <f aca="false">(L1844/(F1844*G1844)*25)*4</f>
        <v>4</v>
      </c>
      <c r="N1844" s="1" t="s">
        <v>19</v>
      </c>
      <c r="O1844" s="1" t="s">
        <v>35</v>
      </c>
      <c r="P1844" s="3" t="n">
        <v>0</v>
      </c>
      <c r="Q1844" s="3" t="n">
        <v>0</v>
      </c>
      <c r="R1844" s="3" t="n">
        <v>0</v>
      </c>
      <c r="S1844" s="3" t="n">
        <v>1</v>
      </c>
      <c r="T1844" s="3" t="n">
        <v>0</v>
      </c>
      <c r="U1844" s="3" t="n">
        <v>0</v>
      </c>
      <c r="V1844" s="3" t="n">
        <f aca="false">SUM(P1844:Q1844)</f>
        <v>0</v>
      </c>
      <c r="W1844" s="3" t="n">
        <f aca="false">SUM(R1844:T1844)</f>
        <v>1</v>
      </c>
      <c r="X1844" s="22" t="n">
        <v>41870</v>
      </c>
      <c r="Y1844" s="22" t="n">
        <v>41875</v>
      </c>
    </row>
    <row r="1845" customFormat="false" ht="14.25" hidden="false" customHeight="false" outlineLevel="0" collapsed="false">
      <c r="A1845" s="1" t="n">
        <v>2014</v>
      </c>
      <c r="B1845" s="1" t="n">
        <v>2</v>
      </c>
      <c r="C1845" s="3" t="s">
        <v>115</v>
      </c>
      <c r="D1845" s="3" t="s">
        <v>116</v>
      </c>
      <c r="E1845" s="3" t="n">
        <v>2</v>
      </c>
      <c r="F1845" s="1" t="n">
        <f aca="false">Y1845-X1845</f>
        <v>5</v>
      </c>
      <c r="G1845" s="1" t="n">
        <v>5</v>
      </c>
      <c r="H1845" s="3" t="s">
        <v>72</v>
      </c>
      <c r="I1845" s="3" t="s">
        <v>73</v>
      </c>
      <c r="J1845" s="3" t="s">
        <v>38</v>
      </c>
      <c r="K1845" s="2" t="str">
        <f aca="false">CONCATENATE(I1845," ",J1845)</f>
        <v>Zelotes sp</v>
      </c>
      <c r="L1845" s="3" t="n">
        <f aca="false">SUM(P1845:U1845)</f>
        <v>1</v>
      </c>
      <c r="M1845" s="11" t="n">
        <f aca="false">(L1845/(F1845*G1845)*25)*4</f>
        <v>4</v>
      </c>
      <c r="N1845" s="1" t="s">
        <v>19</v>
      </c>
      <c r="O1845" s="1" t="s">
        <v>35</v>
      </c>
      <c r="P1845" s="3" t="n">
        <v>0</v>
      </c>
      <c r="Q1845" s="3" t="n">
        <v>0</v>
      </c>
      <c r="R1845" s="3" t="n">
        <v>0</v>
      </c>
      <c r="S1845" s="3" t="n">
        <v>1</v>
      </c>
      <c r="T1845" s="3" t="n">
        <v>0</v>
      </c>
      <c r="U1845" s="3" t="n">
        <v>0</v>
      </c>
      <c r="V1845" s="3" t="n">
        <f aca="false">SUM(P1845:Q1845)</f>
        <v>0</v>
      </c>
      <c r="W1845" s="3" t="n">
        <f aca="false">SUM(R1845:T1845)</f>
        <v>1</v>
      </c>
      <c r="X1845" s="22" t="n">
        <v>41870</v>
      </c>
      <c r="Y1845" s="22" t="n">
        <v>41875</v>
      </c>
    </row>
    <row r="1846" customFormat="false" ht="14.25" hidden="false" customHeight="false" outlineLevel="0" collapsed="false">
      <c r="A1846" s="1" t="n">
        <v>2014</v>
      </c>
      <c r="B1846" s="1" t="n">
        <v>2</v>
      </c>
      <c r="C1846" s="2" t="s">
        <v>25</v>
      </c>
      <c r="D1846" s="3" t="s">
        <v>110</v>
      </c>
      <c r="E1846" s="3" t="n">
        <v>3</v>
      </c>
      <c r="F1846" s="1" t="n">
        <f aca="false">Y1846-X1846</f>
        <v>5</v>
      </c>
      <c r="G1846" s="1" t="n">
        <v>5</v>
      </c>
      <c r="H1846" s="3" t="s">
        <v>48</v>
      </c>
      <c r="I1846" s="3" t="s">
        <v>61</v>
      </c>
      <c r="J1846" s="3" t="s">
        <v>82</v>
      </c>
      <c r="K1846" s="2" t="str">
        <f aca="false">CONCATENATE(I1846," ",J1846)</f>
        <v>Trochosa terricola</v>
      </c>
      <c r="L1846" s="3" t="n">
        <f aca="false">SUM(P1846:U1846)</f>
        <v>1</v>
      </c>
      <c r="M1846" s="11" t="n">
        <f aca="false">(L1846/(F1846*G1846)*25)*4</f>
        <v>4</v>
      </c>
      <c r="N1846" s="1" t="s">
        <v>30</v>
      </c>
      <c r="O1846" s="1" t="s">
        <v>31</v>
      </c>
      <c r="P1846" s="3" t="n">
        <v>1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f aca="false">SUM(P1846:Q1846)</f>
        <v>1</v>
      </c>
      <c r="W1846" s="3" t="n">
        <f aca="false">SUM(R1846:T1846)</f>
        <v>0</v>
      </c>
      <c r="X1846" s="22" t="n">
        <v>41870</v>
      </c>
      <c r="Y1846" s="22" t="n">
        <v>41875</v>
      </c>
    </row>
    <row r="1847" customFormat="false" ht="14.25" hidden="false" customHeight="false" outlineLevel="0" collapsed="false">
      <c r="A1847" s="1" t="n">
        <v>2014</v>
      </c>
      <c r="B1847" s="1" t="n">
        <v>2</v>
      </c>
      <c r="C1847" s="2" t="s">
        <v>25</v>
      </c>
      <c r="D1847" s="3" t="s">
        <v>110</v>
      </c>
      <c r="E1847" s="3" t="n">
        <v>3</v>
      </c>
      <c r="F1847" s="1" t="n">
        <f aca="false">Y1847-X1847</f>
        <v>5</v>
      </c>
      <c r="G1847" s="1" t="n">
        <v>5</v>
      </c>
      <c r="H1847" s="3" t="s">
        <v>48</v>
      </c>
      <c r="I1847" s="3" t="s">
        <v>61</v>
      </c>
      <c r="J1847" s="3" t="s">
        <v>82</v>
      </c>
      <c r="K1847" s="2" t="str">
        <f aca="false">CONCATENATE(I1847," ",J1847)</f>
        <v>Trochosa terricola</v>
      </c>
      <c r="L1847" s="3" t="n">
        <f aca="false">SUM(P1847:U1847)</f>
        <v>5</v>
      </c>
      <c r="M1847" s="11" t="n">
        <f aca="false">(L1847/(F1847*G1847)*25)*4</f>
        <v>20</v>
      </c>
      <c r="N1847" s="1" t="s">
        <v>30</v>
      </c>
      <c r="O1847" s="1" t="s">
        <v>35</v>
      </c>
      <c r="P1847" s="3" t="n">
        <v>0</v>
      </c>
      <c r="Q1847" s="3" t="n">
        <v>5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f aca="false">SUM(P1847:Q1847)</f>
        <v>5</v>
      </c>
      <c r="W1847" s="3" t="n">
        <f aca="false">SUM(R1847:T1847)</f>
        <v>0</v>
      </c>
      <c r="X1847" s="22" t="n">
        <v>41870</v>
      </c>
      <c r="Y1847" s="22" t="n">
        <v>41875</v>
      </c>
    </row>
    <row r="1848" customFormat="false" ht="14.25" hidden="false" customHeight="false" outlineLevel="0" collapsed="false">
      <c r="A1848" s="1" t="n">
        <v>2014</v>
      </c>
      <c r="B1848" s="1" t="n">
        <v>2</v>
      </c>
      <c r="C1848" s="2" t="s">
        <v>25</v>
      </c>
      <c r="D1848" s="3" t="s">
        <v>110</v>
      </c>
      <c r="E1848" s="3" t="n">
        <v>3</v>
      </c>
      <c r="F1848" s="1" t="n">
        <f aca="false">Y1848-X1848</f>
        <v>5</v>
      </c>
      <c r="G1848" s="1" t="n">
        <v>5</v>
      </c>
      <c r="H1848" s="3" t="s">
        <v>72</v>
      </c>
      <c r="I1848" s="3" t="s">
        <v>73</v>
      </c>
      <c r="J1848" s="3" t="s">
        <v>38</v>
      </c>
      <c r="K1848" s="2" t="str">
        <f aca="false">CONCATENATE(I1848," ",J1848)</f>
        <v>Zelotes sp</v>
      </c>
      <c r="L1848" s="3" t="n">
        <f aca="false">SUM(P1848:U1848)</f>
        <v>1</v>
      </c>
      <c r="M1848" s="11" t="n">
        <f aca="false">(L1848/(F1848*G1848)*25)*4</f>
        <v>4</v>
      </c>
      <c r="N1848" s="1" t="s">
        <v>19</v>
      </c>
      <c r="O1848" s="1" t="s">
        <v>31</v>
      </c>
      <c r="P1848" s="3" t="n">
        <v>0</v>
      </c>
      <c r="Q1848" s="3" t="n">
        <v>0</v>
      </c>
      <c r="R1848" s="3" t="n">
        <v>1</v>
      </c>
      <c r="S1848" s="3" t="n">
        <v>0</v>
      </c>
      <c r="T1848" s="3" t="n">
        <v>0</v>
      </c>
      <c r="U1848" s="3" t="n">
        <v>0</v>
      </c>
      <c r="V1848" s="3" t="n">
        <f aca="false">SUM(P1848:Q1848)</f>
        <v>0</v>
      </c>
      <c r="W1848" s="3" t="n">
        <f aca="false">SUM(R1848:T1848)</f>
        <v>1</v>
      </c>
      <c r="X1848" s="22" t="n">
        <v>41870</v>
      </c>
      <c r="Y1848" s="22" t="n">
        <v>41875</v>
      </c>
    </row>
    <row r="1849" customFormat="false" ht="14.25" hidden="false" customHeight="false" outlineLevel="0" collapsed="false">
      <c r="A1849" s="1" t="n">
        <v>2014</v>
      </c>
      <c r="B1849" s="1" t="n">
        <v>2</v>
      </c>
      <c r="C1849" s="2" t="s">
        <v>25</v>
      </c>
      <c r="D1849" s="3" t="s">
        <v>110</v>
      </c>
      <c r="E1849" s="3" t="n">
        <v>3</v>
      </c>
      <c r="F1849" s="1" t="n">
        <f aca="false">Y1849-X1849</f>
        <v>5</v>
      </c>
      <c r="G1849" s="1" t="n">
        <v>5</v>
      </c>
      <c r="H1849" s="3" t="s">
        <v>27</v>
      </c>
      <c r="I1849" s="3" t="s">
        <v>28</v>
      </c>
      <c r="J1849" s="3" t="s">
        <v>29</v>
      </c>
      <c r="K1849" s="2" t="str">
        <f aca="false">CONCATENATE(I1849," ",J1849)</f>
        <v>Robertus lividus</v>
      </c>
      <c r="L1849" s="3" t="n">
        <f aca="false">SUM(P1849:U1849)</f>
        <v>1</v>
      </c>
      <c r="M1849" s="11" t="n">
        <f aca="false">(L1849/(F1849*G1849)*25)*4</f>
        <v>4</v>
      </c>
      <c r="N1849" s="1" t="s">
        <v>30</v>
      </c>
      <c r="O1849" s="1" t="s">
        <v>31</v>
      </c>
      <c r="P1849" s="3" t="n">
        <v>1</v>
      </c>
      <c r="Q1849" s="3" t="n">
        <v>0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f aca="false">SUM(P1849:Q1849)</f>
        <v>1</v>
      </c>
      <c r="W1849" s="3" t="n">
        <f aca="false">SUM(R1849:T1849)</f>
        <v>0</v>
      </c>
      <c r="X1849" s="22" t="n">
        <v>41870</v>
      </c>
      <c r="Y1849" s="22" t="n">
        <v>41875</v>
      </c>
    </row>
    <row r="1850" customFormat="false" ht="14.25" hidden="false" customHeight="false" outlineLevel="0" collapsed="false">
      <c r="A1850" s="1" t="n">
        <v>2014</v>
      </c>
      <c r="B1850" s="1" t="n">
        <v>2</v>
      </c>
      <c r="C1850" s="2" t="s">
        <v>25</v>
      </c>
      <c r="D1850" s="3" t="s">
        <v>110</v>
      </c>
      <c r="E1850" s="3" t="n">
        <v>3</v>
      </c>
      <c r="F1850" s="1" t="n">
        <f aca="false">Y1850-X1850</f>
        <v>5</v>
      </c>
      <c r="G1850" s="1" t="n">
        <v>5</v>
      </c>
      <c r="H1850" s="3" t="s">
        <v>32</v>
      </c>
      <c r="I1850" s="3" t="s">
        <v>68</v>
      </c>
      <c r="J1850" s="3" t="s">
        <v>69</v>
      </c>
      <c r="K1850" s="2" t="str">
        <f aca="false">CONCATENATE(I1850," ",J1850)</f>
        <v>Centromerus sylvaticus</v>
      </c>
      <c r="L1850" s="3" t="n">
        <f aca="false">SUM(P1850:U1850)</f>
        <v>1</v>
      </c>
      <c r="M1850" s="11" t="n">
        <f aca="false">(L1850/(F1850*G1850)*25)*4</f>
        <v>4</v>
      </c>
      <c r="N1850" s="1" t="s">
        <v>30</v>
      </c>
      <c r="O1850" s="1" t="s">
        <v>35</v>
      </c>
      <c r="P1850" s="3" t="n">
        <v>0</v>
      </c>
      <c r="Q1850" s="3" t="n">
        <v>1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f aca="false">SUM(P1850:Q1850)</f>
        <v>1</v>
      </c>
      <c r="W1850" s="3" t="n">
        <f aca="false">SUM(R1850:T1850)</f>
        <v>0</v>
      </c>
      <c r="X1850" s="22" t="n">
        <v>41870</v>
      </c>
      <c r="Y1850" s="22" t="n">
        <v>41875</v>
      </c>
    </row>
    <row r="1851" customFormat="false" ht="14.25" hidden="false" customHeight="false" outlineLevel="0" collapsed="false">
      <c r="A1851" s="1" t="n">
        <v>2014</v>
      </c>
      <c r="B1851" s="1" t="n">
        <v>2</v>
      </c>
      <c r="C1851" s="2" t="s">
        <v>25</v>
      </c>
      <c r="D1851" s="3" t="s">
        <v>110</v>
      </c>
      <c r="E1851" s="3" t="n">
        <v>3</v>
      </c>
      <c r="F1851" s="1" t="n">
        <f aca="false">Y1851-X1851</f>
        <v>5</v>
      </c>
      <c r="G1851" s="1" t="n">
        <v>5</v>
      </c>
      <c r="H1851" s="3" t="s">
        <v>36</v>
      </c>
      <c r="I1851" s="3" t="s">
        <v>37</v>
      </c>
      <c r="J1851" s="3" t="s">
        <v>75</v>
      </c>
      <c r="K1851" s="2" t="str">
        <f aca="false">CONCATENATE(I1851," ",J1851)</f>
        <v>Ozyptila praticola</v>
      </c>
      <c r="L1851" s="3" t="n">
        <f aca="false">SUM(P1851:U1851)</f>
        <v>1</v>
      </c>
      <c r="M1851" s="11" t="n">
        <f aca="false">(L1851/(F1851*G1851)*25)*4</f>
        <v>4</v>
      </c>
      <c r="N1851" s="1" t="s">
        <v>30</v>
      </c>
      <c r="O1851" s="1" t="s">
        <v>31</v>
      </c>
      <c r="P1851" s="3" t="n">
        <v>1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f aca="false">SUM(P1851:Q1851)</f>
        <v>1</v>
      </c>
      <c r="W1851" s="3" t="n">
        <f aca="false">SUM(R1851:T1851)</f>
        <v>0</v>
      </c>
      <c r="X1851" s="22" t="n">
        <v>41870</v>
      </c>
      <c r="Y1851" s="22" t="n">
        <v>41875</v>
      </c>
    </row>
    <row r="1852" customFormat="false" ht="14.25" hidden="false" customHeight="false" outlineLevel="0" collapsed="false">
      <c r="A1852" s="1" t="n">
        <v>2014</v>
      </c>
      <c r="B1852" s="1" t="n">
        <v>2</v>
      </c>
      <c r="C1852" s="2" t="s">
        <v>25</v>
      </c>
      <c r="D1852" s="3" t="s">
        <v>110</v>
      </c>
      <c r="E1852" s="3" t="n">
        <v>3</v>
      </c>
      <c r="F1852" s="1" t="n">
        <f aca="false">Y1852-X1852</f>
        <v>5</v>
      </c>
      <c r="G1852" s="1" t="n">
        <v>5</v>
      </c>
      <c r="H1852" s="3" t="s">
        <v>144</v>
      </c>
      <c r="I1852" s="3" t="s">
        <v>145</v>
      </c>
      <c r="J1852" s="3" t="s">
        <v>146</v>
      </c>
      <c r="K1852" s="2" t="str">
        <f aca="false">CONCATENATE(I1852," ",J1852)</f>
        <v>Phrurolithus festivus</v>
      </c>
      <c r="L1852" s="3" t="n">
        <f aca="false">SUM(P1852:U1852)</f>
        <v>1</v>
      </c>
      <c r="M1852" s="11" t="n">
        <f aca="false">(L1852/(F1852*G1852)*25)*4</f>
        <v>4</v>
      </c>
      <c r="N1852" s="1" t="s">
        <v>19</v>
      </c>
      <c r="O1852" s="1" t="s">
        <v>31</v>
      </c>
      <c r="P1852" s="3" t="n">
        <v>0</v>
      </c>
      <c r="Q1852" s="3" t="n">
        <v>0</v>
      </c>
      <c r="R1852" s="3" t="n">
        <v>1</v>
      </c>
      <c r="S1852" s="3" t="n">
        <v>0</v>
      </c>
      <c r="T1852" s="3" t="n">
        <v>0</v>
      </c>
      <c r="U1852" s="3" t="n">
        <v>0</v>
      </c>
      <c r="V1852" s="3" t="n">
        <f aca="false">SUM(P1852:Q1852)</f>
        <v>0</v>
      </c>
      <c r="W1852" s="3" t="n">
        <f aca="false">SUM(R1852:T1852)</f>
        <v>1</v>
      </c>
      <c r="X1852" s="22" t="n">
        <v>41870</v>
      </c>
      <c r="Y1852" s="22" t="n">
        <v>41875</v>
      </c>
    </row>
    <row r="1853" customFormat="false" ht="14.25" hidden="false" customHeight="false" outlineLevel="0" collapsed="false">
      <c r="A1853" s="1" t="n">
        <v>2014</v>
      </c>
      <c r="B1853" s="1" t="n">
        <v>2</v>
      </c>
      <c r="C1853" s="2" t="s">
        <v>25</v>
      </c>
      <c r="D1853" s="3" t="s">
        <v>110</v>
      </c>
      <c r="E1853" s="3" t="n">
        <v>1</v>
      </c>
      <c r="F1853" s="1" t="n">
        <f aca="false">Y1853-X1853</f>
        <v>5</v>
      </c>
      <c r="G1853" s="1" t="n">
        <v>5</v>
      </c>
      <c r="H1853" s="3" t="s">
        <v>48</v>
      </c>
      <c r="I1853" s="3" t="s">
        <v>61</v>
      </c>
      <c r="J1853" s="3" t="s">
        <v>82</v>
      </c>
      <c r="K1853" s="2" t="str">
        <f aca="false">CONCATENATE(I1853," ",J1853)</f>
        <v>Trochosa terricola</v>
      </c>
      <c r="L1853" s="3" t="n">
        <f aca="false">SUM(P1853:U1853)</f>
        <v>1</v>
      </c>
      <c r="M1853" s="11" t="n">
        <f aca="false">(L1853/(F1853*G1853)*25)*4</f>
        <v>4</v>
      </c>
      <c r="N1853" s="1" t="s">
        <v>30</v>
      </c>
      <c r="O1853" s="1" t="s">
        <v>35</v>
      </c>
      <c r="P1853" s="3" t="n">
        <v>0</v>
      </c>
      <c r="Q1853" s="3" t="n">
        <v>1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f aca="false">SUM(P1853:Q1853)</f>
        <v>1</v>
      </c>
      <c r="W1853" s="3" t="n">
        <f aca="false">SUM(R1853:T1853)</f>
        <v>0</v>
      </c>
      <c r="X1853" s="22" t="n">
        <v>41870</v>
      </c>
      <c r="Y1853" s="22" t="n">
        <v>41875</v>
      </c>
    </row>
    <row r="1854" customFormat="false" ht="14.25" hidden="false" customHeight="false" outlineLevel="0" collapsed="false">
      <c r="A1854" s="1" t="n">
        <v>2014</v>
      </c>
      <c r="B1854" s="1" t="n">
        <v>2</v>
      </c>
      <c r="C1854" s="2" t="s">
        <v>25</v>
      </c>
      <c r="D1854" s="3" t="s">
        <v>110</v>
      </c>
      <c r="E1854" s="3" t="n">
        <v>1</v>
      </c>
      <c r="F1854" s="1" t="n">
        <f aca="false">Y1854-X1854</f>
        <v>5</v>
      </c>
      <c r="G1854" s="1" t="n">
        <v>5</v>
      </c>
      <c r="H1854" s="3" t="s">
        <v>48</v>
      </c>
      <c r="I1854" s="3" t="s">
        <v>61</v>
      </c>
      <c r="J1854" s="3" t="s">
        <v>38</v>
      </c>
      <c r="K1854" s="2" t="str">
        <f aca="false">CONCATENATE(I1854," ",J1854)</f>
        <v>Trochosa sp</v>
      </c>
      <c r="L1854" s="3" t="n">
        <f aca="false">SUM(P1854:U1854)</f>
        <v>1</v>
      </c>
      <c r="M1854" s="11" t="n">
        <f aca="false">(L1854/(F1854*G1854)*25)*4</f>
        <v>4</v>
      </c>
      <c r="N1854" s="1" t="s">
        <v>19</v>
      </c>
      <c r="O1854" s="1" t="s">
        <v>54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1</v>
      </c>
      <c r="U1854" s="3" t="n">
        <v>0</v>
      </c>
      <c r="V1854" s="3" t="n">
        <f aca="false">SUM(P1854:Q1854)</f>
        <v>0</v>
      </c>
      <c r="W1854" s="3" t="n">
        <f aca="false">SUM(R1854:T1854)</f>
        <v>1</v>
      </c>
      <c r="X1854" s="22" t="n">
        <v>41870</v>
      </c>
      <c r="Y1854" s="22" t="n">
        <v>41875</v>
      </c>
    </row>
    <row r="1855" customFormat="false" ht="14.25" hidden="false" customHeight="false" outlineLevel="0" collapsed="false">
      <c r="A1855" s="1" t="n">
        <v>2014</v>
      </c>
      <c r="B1855" s="1" t="n">
        <v>2</v>
      </c>
      <c r="C1855" s="2" t="s">
        <v>25</v>
      </c>
      <c r="D1855" s="3" t="s">
        <v>110</v>
      </c>
      <c r="E1855" s="3" t="n">
        <v>1</v>
      </c>
      <c r="F1855" s="1" t="n">
        <f aca="false">Y1855-X1855</f>
        <v>5</v>
      </c>
      <c r="G1855" s="1" t="n">
        <v>5</v>
      </c>
      <c r="H1855" s="3" t="s">
        <v>36</v>
      </c>
      <c r="I1855" s="3" t="s">
        <v>37</v>
      </c>
      <c r="J1855" s="3" t="s">
        <v>75</v>
      </c>
      <c r="K1855" s="2" t="str">
        <f aca="false">CONCATENATE(I1855," ",J1855)</f>
        <v>Ozyptila praticola</v>
      </c>
      <c r="L1855" s="3" t="n">
        <f aca="false">SUM(P1855:U1855)</f>
        <v>1</v>
      </c>
      <c r="M1855" s="11" t="n">
        <f aca="false">(L1855/(F1855*G1855)*25)*4</f>
        <v>4</v>
      </c>
      <c r="N1855" s="1" t="s">
        <v>30</v>
      </c>
      <c r="O1855" s="1" t="s">
        <v>31</v>
      </c>
      <c r="P1855" s="3" t="n">
        <v>1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f aca="false">SUM(P1855:Q1855)</f>
        <v>1</v>
      </c>
      <c r="W1855" s="3" t="n">
        <f aca="false">SUM(R1855:T1855)</f>
        <v>0</v>
      </c>
      <c r="X1855" s="22" t="n">
        <v>41870</v>
      </c>
      <c r="Y1855" s="22" t="n">
        <v>41875</v>
      </c>
    </row>
    <row r="1856" customFormat="false" ht="14.25" hidden="false" customHeight="false" outlineLevel="0" collapsed="false">
      <c r="A1856" s="1" t="n">
        <v>2014</v>
      </c>
      <c r="B1856" s="1" t="n">
        <v>2</v>
      </c>
      <c r="C1856" s="2" t="s">
        <v>25</v>
      </c>
      <c r="D1856" s="3" t="s">
        <v>110</v>
      </c>
      <c r="E1856" s="3" t="n">
        <v>2</v>
      </c>
      <c r="F1856" s="1" t="n">
        <f aca="false">Y1856-X1856</f>
        <v>5</v>
      </c>
      <c r="G1856" s="1" t="n">
        <v>5</v>
      </c>
      <c r="H1856" s="3" t="s">
        <v>138</v>
      </c>
      <c r="I1856" s="3" t="s">
        <v>205</v>
      </c>
      <c r="J1856" s="3" t="s">
        <v>38</v>
      </c>
      <c r="K1856" s="2" t="str">
        <f aca="false">CONCATENATE(I1856," ",J1856)</f>
        <v>Clubiona sp</v>
      </c>
      <c r="L1856" s="3" t="n">
        <f aca="false">SUM(P1856:U1856)</f>
        <v>1</v>
      </c>
      <c r="M1856" s="11" t="n">
        <f aca="false">(L1856/(F1856*G1856)*25)*4</f>
        <v>4</v>
      </c>
      <c r="N1856" s="1" t="s">
        <v>19</v>
      </c>
      <c r="O1856" s="1" t="s">
        <v>35</v>
      </c>
      <c r="P1856" s="3" t="n">
        <v>0</v>
      </c>
      <c r="Q1856" s="3" t="n">
        <v>0</v>
      </c>
      <c r="R1856" s="3" t="n">
        <v>0</v>
      </c>
      <c r="S1856" s="3" t="n">
        <v>1</v>
      </c>
      <c r="T1856" s="3" t="n">
        <v>0</v>
      </c>
      <c r="U1856" s="3" t="n">
        <v>0</v>
      </c>
      <c r="V1856" s="3" t="n">
        <f aca="false">SUM(P1856:Q1856)</f>
        <v>0</v>
      </c>
      <c r="W1856" s="3" t="n">
        <f aca="false">SUM(R1856:T1856)</f>
        <v>1</v>
      </c>
      <c r="X1856" s="22" t="n">
        <v>41870</v>
      </c>
      <c r="Y1856" s="22" t="n">
        <v>41875</v>
      </c>
    </row>
    <row r="1857" customFormat="false" ht="14.25" hidden="false" customHeight="false" outlineLevel="0" collapsed="false">
      <c r="A1857" s="1" t="n">
        <v>2014</v>
      </c>
      <c r="B1857" s="1" t="n">
        <v>2</v>
      </c>
      <c r="C1857" s="2" t="s">
        <v>25</v>
      </c>
      <c r="D1857" s="3" t="s">
        <v>110</v>
      </c>
      <c r="E1857" s="3" t="n">
        <v>2</v>
      </c>
      <c r="F1857" s="1" t="n">
        <f aca="false">Y1857-X1857</f>
        <v>5</v>
      </c>
      <c r="G1857" s="1" t="n">
        <v>5</v>
      </c>
      <c r="H1857" s="3" t="s">
        <v>72</v>
      </c>
      <c r="I1857" s="3" t="s">
        <v>57</v>
      </c>
      <c r="J1857" s="3" t="s">
        <v>38</v>
      </c>
      <c r="K1857" s="2" t="str">
        <f aca="false">CONCATENATE(I1857," ",J1857)</f>
        <v>Gen sp</v>
      </c>
      <c r="L1857" s="3" t="n">
        <f aca="false">SUM(P1857:U1857)</f>
        <v>1</v>
      </c>
      <c r="M1857" s="11" t="n">
        <f aca="false">(L1857/(F1857*G1857)*25)*4</f>
        <v>4</v>
      </c>
      <c r="N1857" s="1" t="s">
        <v>19</v>
      </c>
      <c r="O1857" s="1" t="s">
        <v>54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1</v>
      </c>
      <c r="V1857" s="3" t="n">
        <f aca="false">SUM(P1857:Q1857)</f>
        <v>0</v>
      </c>
      <c r="W1857" s="3" t="n">
        <f aca="false">SUM(R1857:T1857)</f>
        <v>0</v>
      </c>
      <c r="X1857" s="22" t="n">
        <v>41870</v>
      </c>
      <c r="Y1857" s="22" t="n">
        <v>41875</v>
      </c>
    </row>
    <row r="1858" customFormat="false" ht="14.25" hidden="false" customHeight="false" outlineLevel="0" collapsed="false">
      <c r="A1858" s="1" t="n">
        <v>2014</v>
      </c>
      <c r="B1858" s="1" t="n">
        <v>2</v>
      </c>
      <c r="C1858" s="2" t="s">
        <v>25</v>
      </c>
      <c r="D1858" s="3" t="s">
        <v>110</v>
      </c>
      <c r="E1858" s="3" t="n">
        <v>2</v>
      </c>
      <c r="F1858" s="1" t="n">
        <f aca="false">Y1858-X1858</f>
        <v>5</v>
      </c>
      <c r="G1858" s="1" t="n">
        <v>5</v>
      </c>
      <c r="H1858" s="3" t="s">
        <v>48</v>
      </c>
      <c r="I1858" s="3" t="s">
        <v>61</v>
      </c>
      <c r="J1858" s="3" t="s">
        <v>82</v>
      </c>
      <c r="K1858" s="2" t="str">
        <f aca="false">CONCATENATE(I1858," ",J1858)</f>
        <v>Trochosa terricola</v>
      </c>
      <c r="L1858" s="3" t="n">
        <f aca="false">SUM(P1858:U1858)</f>
        <v>3</v>
      </c>
      <c r="M1858" s="11" t="n">
        <f aca="false">(L1858/(F1858*G1858)*25)*4</f>
        <v>12</v>
      </c>
      <c r="N1858" s="1" t="s">
        <v>30</v>
      </c>
      <c r="O1858" s="1" t="s">
        <v>35</v>
      </c>
      <c r="P1858" s="3" t="n">
        <v>0</v>
      </c>
      <c r="Q1858" s="3" t="n">
        <v>3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f aca="false">SUM(P1858:Q1858)</f>
        <v>3</v>
      </c>
      <c r="W1858" s="3" t="n">
        <f aca="false">SUM(R1858:T1858)</f>
        <v>0</v>
      </c>
      <c r="X1858" s="22" t="n">
        <v>41870</v>
      </c>
      <c r="Y1858" s="22" t="n">
        <v>41875</v>
      </c>
    </row>
    <row r="1859" customFormat="false" ht="14.25" hidden="false" customHeight="false" outlineLevel="0" collapsed="false">
      <c r="A1859" s="1" t="n">
        <v>2014</v>
      </c>
      <c r="B1859" s="1" t="n">
        <v>2</v>
      </c>
      <c r="C1859" s="2" t="s">
        <v>25</v>
      </c>
      <c r="D1859" s="3" t="s">
        <v>110</v>
      </c>
      <c r="E1859" s="3" t="n">
        <v>2</v>
      </c>
      <c r="F1859" s="1" t="n">
        <f aca="false">Y1859-X1859</f>
        <v>5</v>
      </c>
      <c r="G1859" s="1" t="n">
        <v>5</v>
      </c>
      <c r="H1859" s="3" t="s">
        <v>48</v>
      </c>
      <c r="I1859" s="3" t="s">
        <v>61</v>
      </c>
      <c r="J1859" s="3" t="s">
        <v>38</v>
      </c>
      <c r="K1859" s="2" t="str">
        <f aca="false">CONCATENATE(I1859," ",J1859)</f>
        <v>Trochosa sp</v>
      </c>
      <c r="L1859" s="3" t="n">
        <f aca="false">SUM(P1859:U1859)</f>
        <v>1</v>
      </c>
      <c r="M1859" s="11" t="n">
        <f aca="false">(L1859/(F1859*G1859)*25)*4</f>
        <v>4</v>
      </c>
      <c r="N1859" s="1" t="s">
        <v>19</v>
      </c>
      <c r="O1859" s="1" t="s">
        <v>54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1</v>
      </c>
      <c r="U1859" s="3" t="n">
        <v>0</v>
      </c>
      <c r="V1859" s="3" t="n">
        <f aca="false">SUM(P1859:Q1859)</f>
        <v>0</v>
      </c>
      <c r="W1859" s="3" t="n">
        <f aca="false">SUM(R1859:T1859)</f>
        <v>1</v>
      </c>
      <c r="X1859" s="22" t="n">
        <v>41870</v>
      </c>
      <c r="Y1859" s="22" t="n">
        <v>41875</v>
      </c>
    </row>
    <row r="1860" customFormat="false" ht="14.25" hidden="false" customHeight="false" outlineLevel="0" collapsed="false">
      <c r="A1860" s="1" t="n">
        <v>2014</v>
      </c>
      <c r="B1860" s="1" t="n">
        <v>2</v>
      </c>
      <c r="C1860" s="2" t="s">
        <v>25</v>
      </c>
      <c r="D1860" s="3" t="s">
        <v>110</v>
      </c>
      <c r="E1860" s="3" t="n">
        <v>2</v>
      </c>
      <c r="F1860" s="1" t="n">
        <f aca="false">Y1860-X1860</f>
        <v>5</v>
      </c>
      <c r="G1860" s="1" t="n">
        <v>5</v>
      </c>
      <c r="H1860" s="3" t="s">
        <v>72</v>
      </c>
      <c r="I1860" s="3" t="s">
        <v>73</v>
      </c>
      <c r="J1860" s="3" t="s">
        <v>38</v>
      </c>
      <c r="K1860" s="2" t="str">
        <f aca="false">CONCATENATE(I1860," ",J1860)</f>
        <v>Zelotes sp</v>
      </c>
      <c r="L1860" s="3" t="n">
        <f aca="false">SUM(P1860:U1860)</f>
        <v>1</v>
      </c>
      <c r="M1860" s="11" t="n">
        <f aca="false">(L1860/(F1860*G1860)*25)*4</f>
        <v>4</v>
      </c>
      <c r="N1860" s="1" t="s">
        <v>19</v>
      </c>
      <c r="O1860" s="1" t="s">
        <v>35</v>
      </c>
      <c r="P1860" s="3" t="n">
        <v>0</v>
      </c>
      <c r="Q1860" s="3" t="n">
        <v>0</v>
      </c>
      <c r="R1860" s="3" t="n">
        <v>0</v>
      </c>
      <c r="S1860" s="3" t="n">
        <v>1</v>
      </c>
      <c r="T1860" s="3" t="n">
        <v>0</v>
      </c>
      <c r="U1860" s="3" t="n">
        <v>0</v>
      </c>
      <c r="V1860" s="3" t="n">
        <f aca="false">SUM(P1860:Q1860)</f>
        <v>0</v>
      </c>
      <c r="W1860" s="3" t="n">
        <f aca="false">SUM(R1860:T1860)</f>
        <v>1</v>
      </c>
      <c r="X1860" s="22" t="n">
        <v>41870</v>
      </c>
      <c r="Y1860" s="22" t="n">
        <v>41875</v>
      </c>
    </row>
    <row r="1861" customFormat="false" ht="14.25" hidden="false" customHeight="false" outlineLevel="0" collapsed="false">
      <c r="A1861" s="1" t="n">
        <v>2014</v>
      </c>
      <c r="B1861" s="1" t="n">
        <v>2</v>
      </c>
      <c r="C1861" s="2" t="s">
        <v>25</v>
      </c>
      <c r="D1861" s="3" t="s">
        <v>110</v>
      </c>
      <c r="E1861" s="3" t="n">
        <v>3</v>
      </c>
      <c r="F1861" s="1" t="n">
        <f aca="false">Y1861-X1861</f>
        <v>5</v>
      </c>
      <c r="G1861" s="1" t="n">
        <v>5</v>
      </c>
      <c r="H1861" s="3" t="s">
        <v>48</v>
      </c>
      <c r="I1861" s="3" t="s">
        <v>61</v>
      </c>
      <c r="J1861" s="3" t="s">
        <v>82</v>
      </c>
      <c r="K1861" s="2" t="str">
        <f aca="false">CONCATENATE(I1861," ",J1861)</f>
        <v>Trochosa terricola</v>
      </c>
      <c r="L1861" s="3" t="n">
        <f aca="false">SUM(P1861:U1861)</f>
        <v>2</v>
      </c>
      <c r="M1861" s="11" t="n">
        <f aca="false">(L1861/(F1861*G1861)*25)*4</f>
        <v>8</v>
      </c>
      <c r="N1861" s="1" t="s">
        <v>30</v>
      </c>
      <c r="O1861" s="1" t="s">
        <v>35</v>
      </c>
      <c r="P1861" s="3" t="n">
        <v>0</v>
      </c>
      <c r="Q1861" s="3" t="n">
        <v>2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f aca="false">SUM(P1861:Q1861)</f>
        <v>2</v>
      </c>
      <c r="W1861" s="3" t="n">
        <f aca="false">SUM(R1861:T1861)</f>
        <v>0</v>
      </c>
      <c r="X1861" s="22" t="n">
        <v>41870</v>
      </c>
      <c r="Y1861" s="22" t="n">
        <v>41875</v>
      </c>
    </row>
    <row r="1862" customFormat="false" ht="14.25" hidden="false" customHeight="false" outlineLevel="0" collapsed="false">
      <c r="A1862" s="1" t="n">
        <v>2014</v>
      </c>
      <c r="B1862" s="1" t="n">
        <v>2</v>
      </c>
      <c r="C1862" s="2" t="s">
        <v>25</v>
      </c>
      <c r="D1862" s="3" t="s">
        <v>110</v>
      </c>
      <c r="E1862" s="3" t="n">
        <v>3</v>
      </c>
      <c r="F1862" s="1" t="n">
        <f aca="false">Y1862-X1862</f>
        <v>5</v>
      </c>
      <c r="G1862" s="1" t="n">
        <v>5</v>
      </c>
      <c r="H1862" s="3" t="s">
        <v>48</v>
      </c>
      <c r="I1862" s="3" t="s">
        <v>67</v>
      </c>
      <c r="J1862" s="3" t="s">
        <v>127</v>
      </c>
      <c r="K1862" s="2" t="str">
        <f aca="false">CONCATENATE(I1862," ",J1862)</f>
        <v>Pardosa lugubris</v>
      </c>
      <c r="L1862" s="3" t="n">
        <f aca="false">SUM(P1862:U1862)</f>
        <v>1</v>
      </c>
      <c r="M1862" s="11" t="n">
        <f aca="false">(L1862/(F1862*G1862)*25)*4</f>
        <v>4</v>
      </c>
      <c r="N1862" s="1" t="s">
        <v>30</v>
      </c>
      <c r="O1862" s="1" t="s">
        <v>35</v>
      </c>
      <c r="P1862" s="3" t="n">
        <v>0</v>
      </c>
      <c r="Q1862" s="3" t="n">
        <v>1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f aca="false">SUM(P1862:Q1862)</f>
        <v>1</v>
      </c>
      <c r="W1862" s="3" t="n">
        <f aca="false">SUM(R1862:T1862)</f>
        <v>0</v>
      </c>
      <c r="X1862" s="22" t="n">
        <v>41870</v>
      </c>
      <c r="Y1862" s="22" t="n">
        <v>41875</v>
      </c>
    </row>
    <row r="1863" customFormat="false" ht="14.25" hidden="false" customHeight="false" outlineLevel="0" collapsed="false">
      <c r="A1863" s="1" t="n">
        <v>2014</v>
      </c>
      <c r="B1863" s="1" t="n">
        <v>2</v>
      </c>
      <c r="C1863" s="2" t="s">
        <v>25</v>
      </c>
      <c r="D1863" s="3" t="s">
        <v>110</v>
      </c>
      <c r="E1863" s="3" t="n">
        <v>3</v>
      </c>
      <c r="F1863" s="1" t="n">
        <f aca="false">Y1863-X1863</f>
        <v>5</v>
      </c>
      <c r="G1863" s="1" t="n">
        <v>5</v>
      </c>
      <c r="H1863" s="3" t="s">
        <v>72</v>
      </c>
      <c r="I1863" s="3" t="s">
        <v>73</v>
      </c>
      <c r="J1863" s="3" t="s">
        <v>74</v>
      </c>
      <c r="K1863" s="2" t="str">
        <f aca="false">CONCATENATE(I1863," ",J1863)</f>
        <v>Zelotes subterraneus</v>
      </c>
      <c r="L1863" s="3" t="n">
        <f aca="false">SUM(P1863:U1863)</f>
        <v>1</v>
      </c>
      <c r="M1863" s="11" t="n">
        <f aca="false">(L1863/(F1863*G1863)*25)*4</f>
        <v>4</v>
      </c>
      <c r="N1863" s="1" t="s">
        <v>30</v>
      </c>
      <c r="O1863" s="1" t="s">
        <v>31</v>
      </c>
      <c r="P1863" s="3" t="n">
        <v>1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f aca="false">SUM(P1863:Q1863)</f>
        <v>1</v>
      </c>
      <c r="W1863" s="3" t="n">
        <f aca="false">SUM(R1863:T1863)</f>
        <v>0</v>
      </c>
      <c r="X1863" s="22" t="n">
        <v>41870</v>
      </c>
      <c r="Y1863" s="22" t="n">
        <v>41875</v>
      </c>
    </row>
    <row r="1864" customFormat="false" ht="14.25" hidden="false" customHeight="false" outlineLevel="0" collapsed="false">
      <c r="A1864" s="1" t="n">
        <v>2014</v>
      </c>
      <c r="B1864" s="1" t="n">
        <v>2</v>
      </c>
      <c r="C1864" s="2" t="s">
        <v>25</v>
      </c>
      <c r="D1864" s="3" t="s">
        <v>110</v>
      </c>
      <c r="E1864" s="3" t="n">
        <v>1</v>
      </c>
      <c r="F1864" s="1" t="n">
        <f aca="false">Y1864-X1864</f>
        <v>5</v>
      </c>
      <c r="G1864" s="1" t="n">
        <v>5</v>
      </c>
      <c r="H1864" s="3" t="s">
        <v>48</v>
      </c>
      <c r="I1864" s="3" t="s">
        <v>61</v>
      </c>
      <c r="J1864" s="3" t="s">
        <v>38</v>
      </c>
      <c r="K1864" s="2" t="str">
        <f aca="false">CONCATENATE(I1864," ",J1864)</f>
        <v>Trochosa sp</v>
      </c>
      <c r="L1864" s="3" t="n">
        <f aca="false">SUM(P1864:U1864)</f>
        <v>1</v>
      </c>
      <c r="M1864" s="11" t="n">
        <f aca="false">(L1864/(F1864*G1864)*25)*4</f>
        <v>4</v>
      </c>
      <c r="N1864" s="1" t="s">
        <v>19</v>
      </c>
      <c r="O1864" s="1" t="s">
        <v>54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1</v>
      </c>
      <c r="U1864" s="3" t="n">
        <v>0</v>
      </c>
      <c r="V1864" s="3" t="n">
        <f aca="false">SUM(P1864:Q1864)</f>
        <v>0</v>
      </c>
      <c r="W1864" s="3" t="n">
        <f aca="false">SUM(R1864:T1864)</f>
        <v>1</v>
      </c>
      <c r="X1864" s="22" t="n">
        <v>41870</v>
      </c>
      <c r="Y1864" s="22" t="n">
        <v>41875</v>
      </c>
    </row>
    <row r="1865" customFormat="false" ht="14.25" hidden="false" customHeight="false" outlineLevel="0" collapsed="false">
      <c r="A1865" s="1" t="n">
        <v>2014</v>
      </c>
      <c r="B1865" s="1" t="n">
        <v>2</v>
      </c>
      <c r="C1865" s="2" t="s">
        <v>25</v>
      </c>
      <c r="D1865" s="3" t="s">
        <v>110</v>
      </c>
      <c r="E1865" s="3" t="n">
        <v>1</v>
      </c>
      <c r="F1865" s="1" t="n">
        <f aca="false">Y1865-X1865</f>
        <v>5</v>
      </c>
      <c r="G1865" s="1" t="n">
        <v>5</v>
      </c>
      <c r="H1865" s="3" t="s">
        <v>32</v>
      </c>
      <c r="I1865" s="3" t="s">
        <v>88</v>
      </c>
      <c r="J1865" s="3" t="s">
        <v>89</v>
      </c>
      <c r="K1865" s="2" t="str">
        <f aca="false">CONCATENATE(I1865," ",J1865)</f>
        <v>Tapinopa longidens</v>
      </c>
      <c r="L1865" s="3" t="n">
        <f aca="false">SUM(P1865:U1865)</f>
        <v>1</v>
      </c>
      <c r="M1865" s="11" t="n">
        <f aca="false">(L1865/(F1865*G1865)*25)*4</f>
        <v>4</v>
      </c>
      <c r="N1865" s="1" t="s">
        <v>30</v>
      </c>
      <c r="O1865" s="1" t="s">
        <v>31</v>
      </c>
      <c r="P1865" s="3" t="n">
        <v>1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f aca="false">SUM(P1865:Q1865)</f>
        <v>1</v>
      </c>
      <c r="W1865" s="3" t="n">
        <f aca="false">SUM(R1865:T1865)</f>
        <v>0</v>
      </c>
      <c r="X1865" s="22" t="n">
        <v>41870</v>
      </c>
      <c r="Y1865" s="22" t="n">
        <v>41875</v>
      </c>
    </row>
    <row r="1866" customFormat="false" ht="14.25" hidden="false" customHeight="false" outlineLevel="0" collapsed="false">
      <c r="A1866" s="1" t="n">
        <v>2014</v>
      </c>
      <c r="B1866" s="1" t="n">
        <v>2</v>
      </c>
      <c r="C1866" s="2" t="s">
        <v>25</v>
      </c>
      <c r="D1866" s="3" t="s">
        <v>110</v>
      </c>
      <c r="E1866" s="3" t="n">
        <v>3</v>
      </c>
      <c r="F1866" s="1" t="n">
        <f aca="false">Y1866-X1866</f>
        <v>5</v>
      </c>
      <c r="G1866" s="1" t="n">
        <v>5</v>
      </c>
      <c r="H1866" s="3" t="s">
        <v>48</v>
      </c>
      <c r="I1866" s="3" t="s">
        <v>61</v>
      </c>
      <c r="J1866" s="3" t="s">
        <v>82</v>
      </c>
      <c r="K1866" s="2" t="str">
        <f aca="false">CONCATENATE(I1866," ",J1866)</f>
        <v>Trochosa terricola</v>
      </c>
      <c r="L1866" s="3" t="n">
        <f aca="false">SUM(P1866:U1866)</f>
        <v>1</v>
      </c>
      <c r="M1866" s="11" t="n">
        <f aca="false">(L1866/(F1866*G1866)*25)*4</f>
        <v>4</v>
      </c>
      <c r="N1866" s="1" t="s">
        <v>30</v>
      </c>
      <c r="O1866" s="1" t="s">
        <v>35</v>
      </c>
      <c r="P1866" s="3" t="n">
        <v>0</v>
      </c>
      <c r="Q1866" s="3" t="n">
        <v>1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f aca="false">SUM(P1866:Q1866)</f>
        <v>1</v>
      </c>
      <c r="W1866" s="3" t="n">
        <f aca="false">SUM(R1866:T1866)</f>
        <v>0</v>
      </c>
      <c r="X1866" s="22" t="n">
        <v>41870</v>
      </c>
      <c r="Y1866" s="22" t="n">
        <v>41875</v>
      </c>
    </row>
    <row r="1867" customFormat="false" ht="14.25" hidden="false" customHeight="false" outlineLevel="0" collapsed="false">
      <c r="A1867" s="1" t="n">
        <v>2014</v>
      </c>
      <c r="B1867" s="1" t="n">
        <v>2</v>
      </c>
      <c r="C1867" s="2" t="s">
        <v>25</v>
      </c>
      <c r="D1867" s="3" t="s">
        <v>110</v>
      </c>
      <c r="E1867" s="3" t="n">
        <v>3</v>
      </c>
      <c r="F1867" s="1" t="n">
        <f aca="false">Y1867-X1867</f>
        <v>5</v>
      </c>
      <c r="G1867" s="1" t="n">
        <v>5</v>
      </c>
      <c r="H1867" s="3" t="s">
        <v>48</v>
      </c>
      <c r="I1867" s="3" t="s">
        <v>61</v>
      </c>
      <c r="J1867" s="3" t="s">
        <v>82</v>
      </c>
      <c r="K1867" s="2" t="str">
        <f aca="false">CONCATENATE(I1867," ",J1867)</f>
        <v>Trochosa terricola</v>
      </c>
      <c r="L1867" s="3" t="n">
        <f aca="false">SUM(P1867:U1867)</f>
        <v>1</v>
      </c>
      <c r="M1867" s="11" t="n">
        <f aca="false">(L1867/(F1867*G1867)*25)*4</f>
        <v>4</v>
      </c>
      <c r="N1867" s="1" t="s">
        <v>30</v>
      </c>
      <c r="O1867" s="1" t="s">
        <v>31</v>
      </c>
      <c r="P1867" s="3" t="n">
        <v>1</v>
      </c>
      <c r="Q1867" s="3" t="n">
        <v>0</v>
      </c>
      <c r="R1867" s="3" t="n">
        <v>0</v>
      </c>
      <c r="S1867" s="3" t="n">
        <v>0</v>
      </c>
      <c r="T1867" s="3" t="n">
        <v>0</v>
      </c>
      <c r="U1867" s="3" t="n">
        <v>0</v>
      </c>
      <c r="V1867" s="3" t="n">
        <f aca="false">SUM(P1867:Q1867)</f>
        <v>1</v>
      </c>
      <c r="W1867" s="3" t="n">
        <f aca="false">SUM(R1867:T1867)</f>
        <v>0</v>
      </c>
      <c r="X1867" s="22" t="n">
        <v>41870</v>
      </c>
      <c r="Y1867" s="22" t="n">
        <v>41875</v>
      </c>
    </row>
    <row r="1868" customFormat="false" ht="14.25" hidden="false" customHeight="false" outlineLevel="0" collapsed="false">
      <c r="A1868" s="1" t="n">
        <v>2014</v>
      </c>
      <c r="B1868" s="1" t="n">
        <v>2</v>
      </c>
      <c r="C1868" s="2" t="s">
        <v>25</v>
      </c>
      <c r="D1868" s="3" t="s">
        <v>110</v>
      </c>
      <c r="E1868" s="3" t="n">
        <v>3</v>
      </c>
      <c r="F1868" s="1" t="n">
        <f aca="false">Y1868-X1868</f>
        <v>5</v>
      </c>
      <c r="G1868" s="1" t="n">
        <v>5</v>
      </c>
      <c r="H1868" s="3" t="s">
        <v>72</v>
      </c>
      <c r="I1868" s="3" t="s">
        <v>73</v>
      </c>
      <c r="J1868" s="3" t="s">
        <v>74</v>
      </c>
      <c r="K1868" s="2" t="str">
        <f aca="false">CONCATENATE(I1868," ",J1868)</f>
        <v>Zelotes subterraneus</v>
      </c>
      <c r="L1868" s="3" t="n">
        <f aca="false">SUM(P1868:U1868)</f>
        <v>1</v>
      </c>
      <c r="M1868" s="11" t="n">
        <f aca="false">(L1868/(F1868*G1868)*25)*4</f>
        <v>4</v>
      </c>
      <c r="N1868" s="1" t="s">
        <v>30</v>
      </c>
      <c r="O1868" s="1" t="s">
        <v>35</v>
      </c>
      <c r="P1868" s="3" t="n">
        <v>0</v>
      </c>
      <c r="Q1868" s="3" t="n">
        <v>1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f aca="false">SUM(P1868:Q1868)</f>
        <v>1</v>
      </c>
      <c r="W1868" s="3" t="n">
        <f aca="false">SUM(R1868:T1868)</f>
        <v>0</v>
      </c>
      <c r="X1868" s="22" t="n">
        <v>41870</v>
      </c>
      <c r="Y1868" s="22" t="n">
        <v>41875</v>
      </c>
    </row>
    <row r="1869" customFormat="false" ht="14.25" hidden="false" customHeight="false" outlineLevel="0" collapsed="false">
      <c r="A1869" s="1" t="n">
        <v>2014</v>
      </c>
      <c r="B1869" s="1" t="n">
        <v>2</v>
      </c>
      <c r="C1869" s="2" t="s">
        <v>25</v>
      </c>
      <c r="D1869" s="3" t="s">
        <v>110</v>
      </c>
      <c r="E1869" s="3" t="n">
        <v>3</v>
      </c>
      <c r="F1869" s="1" t="n">
        <f aca="false">Y1869-X1869</f>
        <v>5</v>
      </c>
      <c r="G1869" s="1" t="n">
        <v>5</v>
      </c>
      <c r="H1869" s="3" t="s">
        <v>72</v>
      </c>
      <c r="I1869" s="3" t="s">
        <v>73</v>
      </c>
      <c r="J1869" s="3" t="s">
        <v>38</v>
      </c>
      <c r="K1869" s="2" t="str">
        <f aca="false">CONCATENATE(I1869," ",J1869)</f>
        <v>Zelotes sp</v>
      </c>
      <c r="L1869" s="3" t="n">
        <f aca="false">SUM(P1869:U1869)</f>
        <v>2</v>
      </c>
      <c r="M1869" s="11" t="n">
        <f aca="false">(L1869/(F1869*G1869)*25)*4</f>
        <v>8</v>
      </c>
      <c r="N1869" s="1" t="s">
        <v>19</v>
      </c>
      <c r="O1869" s="1" t="s">
        <v>35</v>
      </c>
      <c r="P1869" s="3" t="n">
        <v>0</v>
      </c>
      <c r="Q1869" s="3" t="n">
        <v>0</v>
      </c>
      <c r="R1869" s="3" t="n">
        <v>0</v>
      </c>
      <c r="S1869" s="3" t="n">
        <v>2</v>
      </c>
      <c r="T1869" s="3" t="n">
        <v>0</v>
      </c>
      <c r="U1869" s="3" t="n">
        <v>0</v>
      </c>
      <c r="V1869" s="3" t="n">
        <f aca="false">SUM(P1869:Q1869)</f>
        <v>0</v>
      </c>
      <c r="W1869" s="3" t="n">
        <f aca="false">SUM(R1869:T1869)</f>
        <v>2</v>
      </c>
      <c r="X1869" s="22" t="n">
        <v>41870</v>
      </c>
      <c r="Y1869" s="22" t="n">
        <v>41875</v>
      </c>
    </row>
    <row r="1870" customFormat="false" ht="14.25" hidden="false" customHeight="false" outlineLevel="0" collapsed="false">
      <c r="A1870" s="1" t="n">
        <v>2014</v>
      </c>
      <c r="B1870" s="1" t="n">
        <v>2</v>
      </c>
      <c r="C1870" s="2" t="s">
        <v>25</v>
      </c>
      <c r="D1870" s="3" t="s">
        <v>110</v>
      </c>
      <c r="E1870" s="3" t="n">
        <v>3</v>
      </c>
      <c r="F1870" s="1" t="n">
        <f aca="false">Y1870-X1870</f>
        <v>5</v>
      </c>
      <c r="G1870" s="1" t="n">
        <v>5</v>
      </c>
      <c r="H1870" s="3" t="s">
        <v>72</v>
      </c>
      <c r="I1870" s="3" t="s">
        <v>73</v>
      </c>
      <c r="J1870" s="3" t="s">
        <v>38</v>
      </c>
      <c r="K1870" s="2" t="str">
        <f aca="false">CONCATENATE(I1870," ",J1870)</f>
        <v>Zelotes sp</v>
      </c>
      <c r="L1870" s="3" t="n">
        <f aca="false">SUM(P1870:U1870)</f>
        <v>1</v>
      </c>
      <c r="M1870" s="11" t="n">
        <f aca="false">(L1870/(F1870*G1870)*25)*4</f>
        <v>4</v>
      </c>
      <c r="N1870" s="1" t="s">
        <v>19</v>
      </c>
      <c r="O1870" s="1" t="s">
        <v>54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1</v>
      </c>
      <c r="U1870" s="3" t="n">
        <v>0</v>
      </c>
      <c r="V1870" s="3" t="n">
        <f aca="false">SUM(P1870:Q1870)</f>
        <v>0</v>
      </c>
      <c r="W1870" s="3" t="n">
        <f aca="false">SUM(R1870:T1870)</f>
        <v>1</v>
      </c>
      <c r="X1870" s="22" t="n">
        <v>41870</v>
      </c>
      <c r="Y1870" s="22" t="n">
        <v>41875</v>
      </c>
    </row>
    <row r="1871" customFormat="false" ht="14.25" hidden="false" customHeight="false" outlineLevel="0" collapsed="false">
      <c r="A1871" s="1" t="n">
        <v>2014</v>
      </c>
      <c r="B1871" s="1" t="n">
        <v>2</v>
      </c>
      <c r="C1871" s="2" t="s">
        <v>25</v>
      </c>
      <c r="D1871" s="3" t="s">
        <v>110</v>
      </c>
      <c r="E1871" s="3" t="n">
        <v>3</v>
      </c>
      <c r="F1871" s="1" t="n">
        <f aca="false">Y1871-X1871</f>
        <v>5</v>
      </c>
      <c r="G1871" s="1" t="n">
        <v>5</v>
      </c>
      <c r="H1871" s="3" t="s">
        <v>72</v>
      </c>
      <c r="I1871" s="3" t="s">
        <v>86</v>
      </c>
      <c r="J1871" s="3" t="s">
        <v>38</v>
      </c>
      <c r="K1871" s="2" t="str">
        <f aca="false">CONCATENATE(I1871," ",J1871)</f>
        <v>Haplodrassus sp</v>
      </c>
      <c r="L1871" s="3" t="n">
        <f aca="false">SUM(P1871:U1871)</f>
        <v>1</v>
      </c>
      <c r="M1871" s="11" t="n">
        <f aca="false">(L1871/(F1871*G1871)*25)*4</f>
        <v>4</v>
      </c>
      <c r="N1871" s="1" t="s">
        <v>19</v>
      </c>
      <c r="O1871" s="1" t="s">
        <v>35</v>
      </c>
      <c r="P1871" s="3" t="n">
        <v>0</v>
      </c>
      <c r="Q1871" s="3" t="n">
        <v>0</v>
      </c>
      <c r="R1871" s="3" t="n">
        <v>0</v>
      </c>
      <c r="S1871" s="3" t="n">
        <v>1</v>
      </c>
      <c r="T1871" s="3" t="n">
        <v>0</v>
      </c>
      <c r="U1871" s="3" t="n">
        <v>0</v>
      </c>
      <c r="V1871" s="3" t="n">
        <f aca="false">SUM(P1871:Q1871)</f>
        <v>0</v>
      </c>
      <c r="W1871" s="3" t="n">
        <f aca="false">SUM(R1871:T1871)</f>
        <v>1</v>
      </c>
      <c r="X1871" s="22" t="n">
        <v>41870</v>
      </c>
      <c r="Y1871" s="22" t="n">
        <v>41875</v>
      </c>
    </row>
    <row r="1872" customFormat="false" ht="14.25" hidden="false" customHeight="false" outlineLevel="0" collapsed="false">
      <c r="A1872" s="1" t="n">
        <v>2014</v>
      </c>
      <c r="B1872" s="1" t="n">
        <v>2</v>
      </c>
      <c r="C1872" s="2" t="s">
        <v>25</v>
      </c>
      <c r="D1872" s="3" t="s">
        <v>110</v>
      </c>
      <c r="E1872" s="3" t="n">
        <v>2</v>
      </c>
      <c r="F1872" s="1" t="n">
        <f aca="false">Y1872-X1872</f>
        <v>5</v>
      </c>
      <c r="G1872" s="1" t="n">
        <v>5</v>
      </c>
      <c r="H1872" s="3" t="s">
        <v>48</v>
      </c>
      <c r="I1872" s="3" t="s">
        <v>61</v>
      </c>
      <c r="J1872" s="3" t="s">
        <v>82</v>
      </c>
      <c r="K1872" s="2" t="str">
        <f aca="false">CONCATENATE(I1872," ",J1872)</f>
        <v>Trochosa terricola</v>
      </c>
      <c r="L1872" s="3" t="n">
        <f aca="false">SUM(P1872:U1872)</f>
        <v>1</v>
      </c>
      <c r="M1872" s="11" t="n">
        <f aca="false">(L1872/(F1872*G1872)*25)*4</f>
        <v>4</v>
      </c>
      <c r="N1872" s="1" t="s">
        <v>30</v>
      </c>
      <c r="O1872" s="1" t="s">
        <v>31</v>
      </c>
      <c r="P1872" s="3" t="n">
        <v>1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f aca="false">SUM(P1872:Q1872)</f>
        <v>1</v>
      </c>
      <c r="W1872" s="3" t="n">
        <f aca="false">SUM(R1872:T1872)</f>
        <v>0</v>
      </c>
      <c r="X1872" s="22" t="n">
        <v>41870</v>
      </c>
      <c r="Y1872" s="22" t="n">
        <v>41875</v>
      </c>
    </row>
    <row r="1873" customFormat="false" ht="14.25" hidden="false" customHeight="false" outlineLevel="0" collapsed="false">
      <c r="A1873" s="1" t="n">
        <v>2014</v>
      </c>
      <c r="B1873" s="1" t="n">
        <v>2</v>
      </c>
      <c r="C1873" s="2" t="s">
        <v>25</v>
      </c>
      <c r="D1873" s="3" t="s">
        <v>110</v>
      </c>
      <c r="E1873" s="3" t="n">
        <v>2</v>
      </c>
      <c r="F1873" s="1" t="n">
        <f aca="false">Y1873-X1873</f>
        <v>5</v>
      </c>
      <c r="G1873" s="1" t="n">
        <v>5</v>
      </c>
      <c r="H1873" s="3" t="s">
        <v>48</v>
      </c>
      <c r="I1873" s="3" t="s">
        <v>61</v>
      </c>
      <c r="J1873" s="3" t="s">
        <v>82</v>
      </c>
      <c r="K1873" s="2" t="str">
        <f aca="false">CONCATENATE(I1873," ",J1873)</f>
        <v>Trochosa terricola</v>
      </c>
      <c r="L1873" s="3" t="n">
        <f aca="false">SUM(P1873:U1873)</f>
        <v>1</v>
      </c>
      <c r="M1873" s="11" t="n">
        <f aca="false">(L1873/(F1873*G1873)*25)*4</f>
        <v>4</v>
      </c>
      <c r="N1873" s="1" t="s">
        <v>30</v>
      </c>
      <c r="O1873" s="1" t="s">
        <v>35</v>
      </c>
      <c r="P1873" s="3" t="n">
        <v>0</v>
      </c>
      <c r="Q1873" s="3" t="n">
        <v>1</v>
      </c>
      <c r="R1873" s="3" t="n">
        <v>0</v>
      </c>
      <c r="S1873" s="3" t="n">
        <v>0</v>
      </c>
      <c r="T1873" s="3" t="n">
        <v>0</v>
      </c>
      <c r="U1873" s="3" t="n">
        <v>0</v>
      </c>
      <c r="V1873" s="3" t="n">
        <f aca="false">SUM(P1873:Q1873)</f>
        <v>1</v>
      </c>
      <c r="W1873" s="3" t="n">
        <f aca="false">SUM(R1873:T1873)</f>
        <v>0</v>
      </c>
      <c r="X1873" s="22" t="n">
        <v>41870</v>
      </c>
      <c r="Y1873" s="22" t="n">
        <v>41875</v>
      </c>
    </row>
    <row r="1874" customFormat="false" ht="14.25" hidden="false" customHeight="false" outlineLevel="0" collapsed="false">
      <c r="A1874" s="1" t="n">
        <v>2014</v>
      </c>
      <c r="B1874" s="1" t="n">
        <v>2</v>
      </c>
      <c r="C1874" s="2" t="s">
        <v>25</v>
      </c>
      <c r="D1874" s="3" t="s">
        <v>110</v>
      </c>
      <c r="E1874" s="3" t="n">
        <v>2</v>
      </c>
      <c r="F1874" s="1" t="n">
        <f aca="false">Y1874-X1874</f>
        <v>5</v>
      </c>
      <c r="G1874" s="1" t="n">
        <v>5</v>
      </c>
      <c r="H1874" s="3" t="s">
        <v>36</v>
      </c>
      <c r="I1874" s="3" t="s">
        <v>37</v>
      </c>
      <c r="J1874" s="3" t="s">
        <v>75</v>
      </c>
      <c r="K1874" s="2" t="str">
        <f aca="false">CONCATENATE(I1874," ",J1874)</f>
        <v>Ozyptila praticola</v>
      </c>
      <c r="L1874" s="3" t="n">
        <f aca="false">SUM(P1874:U1874)</f>
        <v>1</v>
      </c>
      <c r="M1874" s="11" t="n">
        <f aca="false">(L1874/(F1874*G1874)*25)*4</f>
        <v>4</v>
      </c>
      <c r="N1874" s="1" t="s">
        <v>30</v>
      </c>
      <c r="O1874" s="1" t="s">
        <v>35</v>
      </c>
      <c r="P1874" s="3" t="n">
        <v>0</v>
      </c>
      <c r="Q1874" s="3" t="n">
        <v>1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f aca="false">SUM(P1874:Q1874)</f>
        <v>1</v>
      </c>
      <c r="W1874" s="3" t="n">
        <f aca="false">SUM(R1874:T1874)</f>
        <v>0</v>
      </c>
      <c r="X1874" s="22" t="n">
        <v>41870</v>
      </c>
      <c r="Y1874" s="22" t="n">
        <v>41875</v>
      </c>
    </row>
    <row r="1875" customFormat="false" ht="14.25" hidden="false" customHeight="false" outlineLevel="0" collapsed="false">
      <c r="A1875" s="1" t="n">
        <v>2014</v>
      </c>
      <c r="B1875" s="1" t="n">
        <v>2</v>
      </c>
      <c r="C1875" s="2" t="s">
        <v>25</v>
      </c>
      <c r="D1875" s="3" t="s">
        <v>110</v>
      </c>
      <c r="E1875" s="3" t="n">
        <v>2</v>
      </c>
      <c r="F1875" s="1" t="n">
        <f aca="false">Y1875-X1875</f>
        <v>5</v>
      </c>
      <c r="G1875" s="1" t="n">
        <v>5</v>
      </c>
      <c r="H1875" s="3" t="s">
        <v>72</v>
      </c>
      <c r="I1875" s="3" t="s">
        <v>73</v>
      </c>
      <c r="J1875" s="3" t="s">
        <v>38</v>
      </c>
      <c r="K1875" s="2" t="str">
        <f aca="false">CONCATENATE(I1875," ",J1875)</f>
        <v>Zelotes sp</v>
      </c>
      <c r="L1875" s="3" t="n">
        <f aca="false">SUM(P1875:U1875)</f>
        <v>1</v>
      </c>
      <c r="M1875" s="11" t="n">
        <f aca="false">(L1875/(F1875*G1875)*25)*4</f>
        <v>4</v>
      </c>
      <c r="N1875" s="1" t="s">
        <v>19</v>
      </c>
      <c r="O1875" s="1" t="s">
        <v>54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1</v>
      </c>
      <c r="U1875" s="3" t="n">
        <v>0</v>
      </c>
      <c r="V1875" s="3" t="n">
        <f aca="false">SUM(P1875:Q1875)</f>
        <v>0</v>
      </c>
      <c r="W1875" s="3" t="n">
        <f aca="false">SUM(R1875:T1875)</f>
        <v>1</v>
      </c>
      <c r="X1875" s="22" t="n">
        <v>41870</v>
      </c>
      <c r="Y1875" s="22" t="n">
        <v>41875</v>
      </c>
    </row>
    <row r="1876" customFormat="false" ht="14.25" hidden="false" customHeight="false" outlineLevel="0" collapsed="false">
      <c r="A1876" s="1" t="n">
        <v>2014</v>
      </c>
      <c r="B1876" s="1" t="n">
        <v>2</v>
      </c>
      <c r="C1876" s="2" t="s">
        <v>25</v>
      </c>
      <c r="D1876" s="3" t="s">
        <v>110</v>
      </c>
      <c r="E1876" s="3" t="n">
        <v>3</v>
      </c>
      <c r="F1876" s="1" t="n">
        <f aca="false">Y1876-X1876</f>
        <v>5</v>
      </c>
      <c r="G1876" s="1" t="n">
        <v>5</v>
      </c>
      <c r="H1876" s="3" t="s">
        <v>48</v>
      </c>
      <c r="I1876" s="3" t="s">
        <v>61</v>
      </c>
      <c r="J1876" s="3" t="s">
        <v>82</v>
      </c>
      <c r="K1876" s="2" t="str">
        <f aca="false">CONCATENATE(I1876," ",J1876)</f>
        <v>Trochosa terricola</v>
      </c>
      <c r="L1876" s="3" t="n">
        <f aca="false">SUM(P1876:U1876)</f>
        <v>3</v>
      </c>
      <c r="M1876" s="11" t="n">
        <f aca="false">(L1876/(F1876*G1876)*25)*4</f>
        <v>12</v>
      </c>
      <c r="N1876" s="1" t="s">
        <v>30</v>
      </c>
      <c r="O1876" s="1" t="s">
        <v>31</v>
      </c>
      <c r="P1876" s="3" t="n">
        <v>3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f aca="false">SUM(P1876:Q1876)</f>
        <v>3</v>
      </c>
      <c r="W1876" s="3" t="n">
        <f aca="false">SUM(R1876:T1876)</f>
        <v>0</v>
      </c>
      <c r="X1876" s="22" t="n">
        <v>41870</v>
      </c>
      <c r="Y1876" s="22" t="n">
        <v>41875</v>
      </c>
    </row>
    <row r="1877" customFormat="false" ht="14.25" hidden="false" customHeight="false" outlineLevel="0" collapsed="false">
      <c r="A1877" s="1" t="n">
        <v>2014</v>
      </c>
      <c r="B1877" s="1" t="n">
        <v>2</v>
      </c>
      <c r="C1877" s="2" t="s">
        <v>25</v>
      </c>
      <c r="D1877" s="3" t="s">
        <v>110</v>
      </c>
      <c r="E1877" s="3" t="n">
        <v>3</v>
      </c>
      <c r="F1877" s="1" t="n">
        <f aca="false">Y1877-X1877</f>
        <v>5</v>
      </c>
      <c r="G1877" s="1" t="n">
        <v>5</v>
      </c>
      <c r="H1877" s="3" t="s">
        <v>48</v>
      </c>
      <c r="I1877" s="3" t="s">
        <v>61</v>
      </c>
      <c r="J1877" s="3" t="s">
        <v>82</v>
      </c>
      <c r="K1877" s="2" t="str">
        <f aca="false">CONCATENATE(I1877," ",J1877)</f>
        <v>Trochosa terricola</v>
      </c>
      <c r="L1877" s="3" t="n">
        <f aca="false">SUM(P1877:U1877)</f>
        <v>5</v>
      </c>
      <c r="M1877" s="11" t="n">
        <f aca="false">(L1877/(F1877*G1877)*25)*4</f>
        <v>20</v>
      </c>
      <c r="N1877" s="1" t="s">
        <v>30</v>
      </c>
      <c r="O1877" s="1" t="s">
        <v>35</v>
      </c>
      <c r="P1877" s="3" t="n">
        <v>0</v>
      </c>
      <c r="Q1877" s="3" t="n">
        <v>5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f aca="false">SUM(P1877:Q1877)</f>
        <v>5</v>
      </c>
      <c r="W1877" s="3" t="n">
        <f aca="false">SUM(R1877:T1877)</f>
        <v>0</v>
      </c>
      <c r="X1877" s="22" t="n">
        <v>41870</v>
      </c>
      <c r="Y1877" s="22" t="n">
        <v>41875</v>
      </c>
    </row>
    <row r="1878" customFormat="false" ht="14.25" hidden="false" customHeight="false" outlineLevel="0" collapsed="false">
      <c r="A1878" s="1" t="n">
        <v>2014</v>
      </c>
      <c r="B1878" s="1" t="n">
        <v>2</v>
      </c>
      <c r="C1878" s="2" t="s">
        <v>25</v>
      </c>
      <c r="D1878" s="3" t="s">
        <v>110</v>
      </c>
      <c r="E1878" s="3" t="n">
        <v>3</v>
      </c>
      <c r="F1878" s="1" t="n">
        <f aca="false">Y1878-X1878</f>
        <v>5</v>
      </c>
      <c r="G1878" s="1" t="n">
        <v>5</v>
      </c>
      <c r="H1878" s="3" t="s">
        <v>48</v>
      </c>
      <c r="I1878" s="3" t="s">
        <v>61</v>
      </c>
      <c r="J1878" s="3" t="s">
        <v>38</v>
      </c>
      <c r="K1878" s="2" t="str">
        <f aca="false">CONCATENATE(I1878," ",J1878)</f>
        <v>Trochosa sp</v>
      </c>
      <c r="L1878" s="3" t="n">
        <f aca="false">SUM(P1878:U1878)</f>
        <v>1</v>
      </c>
      <c r="M1878" s="11" t="n">
        <f aca="false">(L1878/(F1878*G1878)*25)*4</f>
        <v>4</v>
      </c>
      <c r="N1878" s="1" t="s">
        <v>19</v>
      </c>
      <c r="O1878" s="1" t="s">
        <v>35</v>
      </c>
      <c r="P1878" s="3" t="n">
        <v>0</v>
      </c>
      <c r="Q1878" s="3" t="n">
        <v>0</v>
      </c>
      <c r="R1878" s="3" t="n">
        <v>0</v>
      </c>
      <c r="S1878" s="3" t="n">
        <v>1</v>
      </c>
      <c r="T1878" s="3" t="n">
        <v>0</v>
      </c>
      <c r="U1878" s="3" t="n">
        <v>0</v>
      </c>
      <c r="V1878" s="3" t="n">
        <f aca="false">SUM(P1878:Q1878)</f>
        <v>0</v>
      </c>
      <c r="W1878" s="3" t="n">
        <f aca="false">SUM(R1878:T1878)</f>
        <v>1</v>
      </c>
      <c r="X1878" s="22" t="n">
        <v>41870</v>
      </c>
      <c r="Y1878" s="22" t="n">
        <v>41875</v>
      </c>
    </row>
    <row r="1879" customFormat="false" ht="14.25" hidden="false" customHeight="false" outlineLevel="0" collapsed="false">
      <c r="A1879" s="1" t="n">
        <v>2014</v>
      </c>
      <c r="B1879" s="1" t="n">
        <v>2</v>
      </c>
      <c r="C1879" s="2" t="s">
        <v>25</v>
      </c>
      <c r="D1879" s="3" t="s">
        <v>110</v>
      </c>
      <c r="E1879" s="3" t="n">
        <v>3</v>
      </c>
      <c r="F1879" s="1" t="n">
        <f aca="false">Y1879-X1879</f>
        <v>5</v>
      </c>
      <c r="G1879" s="1" t="n">
        <v>5</v>
      </c>
      <c r="H1879" s="3" t="s">
        <v>41</v>
      </c>
      <c r="I1879" s="3" t="s">
        <v>42</v>
      </c>
      <c r="J1879" s="3" t="s">
        <v>43</v>
      </c>
      <c r="K1879" s="2" t="str">
        <f aca="false">CONCATENATE(I1879," ",J1879)</f>
        <v>Agroeca proxima</v>
      </c>
      <c r="L1879" s="3" t="n">
        <f aca="false">SUM(P1879:U1879)</f>
        <v>1</v>
      </c>
      <c r="M1879" s="11" t="n">
        <f aca="false">(L1879/(F1879*G1879)*25)*4</f>
        <v>4</v>
      </c>
      <c r="N1879" s="1" t="s">
        <v>30</v>
      </c>
      <c r="O1879" s="1" t="s">
        <v>31</v>
      </c>
      <c r="P1879" s="3" t="n">
        <v>1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f aca="false">SUM(P1879:Q1879)</f>
        <v>1</v>
      </c>
      <c r="W1879" s="3" t="n">
        <f aca="false">SUM(R1879:T1879)</f>
        <v>0</v>
      </c>
      <c r="X1879" s="22" t="n">
        <v>41870</v>
      </c>
      <c r="Y1879" s="22" t="n">
        <v>41875</v>
      </c>
    </row>
    <row r="1880" customFormat="false" ht="14.25" hidden="false" customHeight="false" outlineLevel="0" collapsed="false">
      <c r="A1880" s="1" t="n">
        <v>2014</v>
      </c>
      <c r="B1880" s="1" t="n">
        <v>2</v>
      </c>
      <c r="C1880" s="2" t="s">
        <v>25</v>
      </c>
      <c r="D1880" s="3" t="s">
        <v>110</v>
      </c>
      <c r="E1880" s="3" t="n">
        <v>3</v>
      </c>
      <c r="F1880" s="1" t="n">
        <f aca="false">Y1880-X1880</f>
        <v>5</v>
      </c>
      <c r="G1880" s="1" t="n">
        <v>5</v>
      </c>
      <c r="H1880" s="3" t="s">
        <v>36</v>
      </c>
      <c r="I1880" s="3" t="s">
        <v>131</v>
      </c>
      <c r="J1880" s="3" t="s">
        <v>38</v>
      </c>
      <c r="K1880" s="2" t="str">
        <f aca="false">CONCATENATE(I1880," ",J1880)</f>
        <v>Xysticus sp</v>
      </c>
      <c r="L1880" s="3" t="n">
        <f aca="false">SUM(P1880:U1880)</f>
        <v>1</v>
      </c>
      <c r="M1880" s="11" t="n">
        <f aca="false">(L1880/(F1880*G1880)*25)*4</f>
        <v>4</v>
      </c>
      <c r="N1880" s="1" t="s">
        <v>19</v>
      </c>
      <c r="O1880" s="1" t="s">
        <v>54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1</v>
      </c>
      <c r="U1880" s="3" t="n">
        <v>0</v>
      </c>
      <c r="V1880" s="3" t="n">
        <f aca="false">SUM(P1880:Q1880)</f>
        <v>0</v>
      </c>
      <c r="W1880" s="3" t="n">
        <f aca="false">SUM(R1880:T1880)</f>
        <v>1</v>
      </c>
      <c r="X1880" s="22" t="n">
        <v>41870</v>
      </c>
      <c r="Y1880" s="22" t="n">
        <v>41875</v>
      </c>
    </row>
    <row r="1881" customFormat="false" ht="14.25" hidden="false" customHeight="false" outlineLevel="0" collapsed="false">
      <c r="A1881" s="1" t="n">
        <v>2014</v>
      </c>
      <c r="B1881" s="1" t="n">
        <v>2</v>
      </c>
      <c r="C1881" s="2" t="s">
        <v>25</v>
      </c>
      <c r="D1881" s="3" t="s">
        <v>110</v>
      </c>
      <c r="E1881" s="3" t="n">
        <v>2</v>
      </c>
      <c r="F1881" s="1" t="n">
        <f aca="false">Y1881-X1881</f>
        <v>5</v>
      </c>
      <c r="G1881" s="1" t="n">
        <v>5</v>
      </c>
      <c r="H1881" s="3" t="s">
        <v>48</v>
      </c>
      <c r="I1881" s="3" t="s">
        <v>61</v>
      </c>
      <c r="J1881" s="3" t="s">
        <v>82</v>
      </c>
      <c r="K1881" s="2" t="str">
        <f aca="false">CONCATENATE(I1881," ",J1881)</f>
        <v>Trochosa terricola</v>
      </c>
      <c r="L1881" s="3" t="n">
        <f aca="false">SUM(P1881:U1881)</f>
        <v>2</v>
      </c>
      <c r="M1881" s="11" t="n">
        <f aca="false">(L1881/(F1881*G1881)*25)*4</f>
        <v>8</v>
      </c>
      <c r="N1881" s="1" t="s">
        <v>30</v>
      </c>
      <c r="O1881" s="1" t="s">
        <v>35</v>
      </c>
      <c r="P1881" s="3" t="n">
        <v>0</v>
      </c>
      <c r="Q1881" s="3" t="n">
        <v>2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f aca="false">SUM(P1881:Q1881)</f>
        <v>2</v>
      </c>
      <c r="W1881" s="3" t="n">
        <f aca="false">SUM(R1881:T1881)</f>
        <v>0</v>
      </c>
      <c r="X1881" s="22" t="n">
        <v>41870</v>
      </c>
      <c r="Y1881" s="22" t="n">
        <v>41875</v>
      </c>
    </row>
    <row r="1882" customFormat="false" ht="14.25" hidden="false" customHeight="false" outlineLevel="0" collapsed="false">
      <c r="A1882" s="1" t="n">
        <v>2014</v>
      </c>
      <c r="B1882" s="1" t="n">
        <v>2</v>
      </c>
      <c r="C1882" s="2" t="s">
        <v>25</v>
      </c>
      <c r="D1882" s="3" t="s">
        <v>110</v>
      </c>
      <c r="E1882" s="3" t="n">
        <v>2</v>
      </c>
      <c r="F1882" s="1" t="n">
        <f aca="false">Y1882-X1882</f>
        <v>5</v>
      </c>
      <c r="G1882" s="1" t="n">
        <v>5</v>
      </c>
      <c r="H1882" s="3" t="s">
        <v>36</v>
      </c>
      <c r="I1882" s="3" t="s">
        <v>37</v>
      </c>
      <c r="J1882" s="3" t="s">
        <v>75</v>
      </c>
      <c r="K1882" s="2" t="str">
        <f aca="false">CONCATENATE(I1882," ",J1882)</f>
        <v>Ozyptila praticola</v>
      </c>
      <c r="L1882" s="3" t="n">
        <f aca="false">SUM(P1882:U1882)</f>
        <v>1</v>
      </c>
      <c r="M1882" s="11" t="n">
        <f aca="false">(L1882/(F1882*G1882)*25)*4</f>
        <v>4</v>
      </c>
      <c r="N1882" s="1" t="s">
        <v>30</v>
      </c>
      <c r="O1882" s="1" t="s">
        <v>31</v>
      </c>
      <c r="P1882" s="3" t="n">
        <v>1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f aca="false">SUM(P1882:Q1882)</f>
        <v>1</v>
      </c>
      <c r="W1882" s="3" t="n">
        <f aca="false">SUM(R1882:T1882)</f>
        <v>0</v>
      </c>
      <c r="X1882" s="22" t="n">
        <v>41870</v>
      </c>
      <c r="Y1882" s="22" t="n">
        <v>41875</v>
      </c>
    </row>
    <row r="1883" customFormat="false" ht="14.25" hidden="false" customHeight="false" outlineLevel="0" collapsed="false">
      <c r="A1883" s="1" t="n">
        <v>2014</v>
      </c>
      <c r="B1883" s="1" t="n">
        <v>2</v>
      </c>
      <c r="C1883" s="2" t="s">
        <v>25</v>
      </c>
      <c r="D1883" s="3" t="s">
        <v>110</v>
      </c>
      <c r="E1883" s="3" t="n">
        <v>2</v>
      </c>
      <c r="F1883" s="1" t="n">
        <f aca="false">Y1883-X1883</f>
        <v>5</v>
      </c>
      <c r="G1883" s="1" t="n">
        <v>5</v>
      </c>
      <c r="H1883" s="3" t="s">
        <v>32</v>
      </c>
      <c r="I1883" s="3" t="s">
        <v>57</v>
      </c>
      <c r="J1883" s="3" t="s">
        <v>38</v>
      </c>
      <c r="K1883" s="2" t="str">
        <f aca="false">CONCATENATE(I1883," ",J1883)</f>
        <v>Gen sp</v>
      </c>
      <c r="L1883" s="3" t="n">
        <f aca="false">SUM(P1883:U1883)</f>
        <v>1</v>
      </c>
      <c r="M1883" s="11" t="n">
        <f aca="false">(L1883/(F1883*G1883)*25)*4</f>
        <v>4</v>
      </c>
      <c r="N1883" s="1" t="s">
        <v>19</v>
      </c>
      <c r="O1883" s="1" t="s">
        <v>54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n">
        <v>1</v>
      </c>
      <c r="U1883" s="3" t="n">
        <v>0</v>
      </c>
      <c r="V1883" s="3" t="n">
        <f aca="false">SUM(P1883:Q1883)</f>
        <v>0</v>
      </c>
      <c r="W1883" s="3" t="n">
        <f aca="false">SUM(R1883:T1883)</f>
        <v>1</v>
      </c>
      <c r="X1883" s="22" t="n">
        <v>41870</v>
      </c>
      <c r="Y1883" s="22" t="n">
        <v>41875</v>
      </c>
    </row>
    <row r="1884" customFormat="false" ht="14.25" hidden="false" customHeight="false" outlineLevel="0" collapsed="false">
      <c r="A1884" s="1" t="n">
        <v>2014</v>
      </c>
      <c r="B1884" s="1" t="n">
        <v>2</v>
      </c>
      <c r="C1884" s="2" t="s">
        <v>25</v>
      </c>
      <c r="D1884" s="3" t="s">
        <v>110</v>
      </c>
      <c r="E1884" s="3" t="n">
        <v>1</v>
      </c>
      <c r="F1884" s="1" t="n">
        <f aca="false">Y1884-X1884</f>
        <v>5</v>
      </c>
      <c r="G1884" s="1" t="n">
        <v>5</v>
      </c>
      <c r="H1884" s="3" t="s">
        <v>48</v>
      </c>
      <c r="I1884" s="3" t="s">
        <v>61</v>
      </c>
      <c r="J1884" s="3" t="s">
        <v>82</v>
      </c>
      <c r="K1884" s="2" t="str">
        <f aca="false">CONCATENATE(I1884," ",J1884)</f>
        <v>Trochosa terricola</v>
      </c>
      <c r="L1884" s="3" t="n">
        <f aca="false">SUM(P1884:U1884)</f>
        <v>1</v>
      </c>
      <c r="M1884" s="11" t="n">
        <f aca="false">(L1884/(F1884*G1884)*25)*4</f>
        <v>4</v>
      </c>
      <c r="N1884" s="1" t="s">
        <v>30</v>
      </c>
      <c r="O1884" s="1" t="s">
        <v>35</v>
      </c>
      <c r="P1884" s="3" t="n">
        <v>0</v>
      </c>
      <c r="Q1884" s="3" t="n">
        <v>1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f aca="false">SUM(P1884:Q1884)</f>
        <v>1</v>
      </c>
      <c r="W1884" s="3" t="n">
        <f aca="false">SUM(R1884:T1884)</f>
        <v>0</v>
      </c>
      <c r="X1884" s="22" t="n">
        <v>41870</v>
      </c>
      <c r="Y1884" s="22" t="n">
        <v>41875</v>
      </c>
    </row>
    <row r="1885" customFormat="false" ht="14.25" hidden="false" customHeight="false" outlineLevel="0" collapsed="false">
      <c r="A1885" s="1" t="n">
        <v>2014</v>
      </c>
      <c r="B1885" s="1" t="n">
        <v>2</v>
      </c>
      <c r="C1885" s="2" t="s">
        <v>25</v>
      </c>
      <c r="D1885" s="3" t="s">
        <v>110</v>
      </c>
      <c r="E1885" s="3" t="n">
        <v>1</v>
      </c>
      <c r="F1885" s="1" t="n">
        <f aca="false">Y1885-X1885</f>
        <v>5</v>
      </c>
      <c r="G1885" s="1" t="n">
        <v>5</v>
      </c>
      <c r="H1885" s="3" t="s">
        <v>32</v>
      </c>
      <c r="I1885" s="3" t="s">
        <v>57</v>
      </c>
      <c r="J1885" s="3" t="s">
        <v>38</v>
      </c>
      <c r="K1885" s="2" t="str">
        <f aca="false">CONCATENATE(I1885," ",J1885)</f>
        <v>Gen sp</v>
      </c>
      <c r="L1885" s="3" t="n">
        <f aca="false">SUM(P1885:U1885)</f>
        <v>1</v>
      </c>
      <c r="M1885" s="11" t="n">
        <f aca="false">(L1885/(F1885*G1885)*25)*4</f>
        <v>4</v>
      </c>
      <c r="N1885" s="1" t="s">
        <v>19</v>
      </c>
      <c r="O1885" s="1" t="s">
        <v>35</v>
      </c>
      <c r="P1885" s="3" t="n">
        <v>0</v>
      </c>
      <c r="Q1885" s="3" t="n">
        <v>0</v>
      </c>
      <c r="R1885" s="3" t="n">
        <v>0</v>
      </c>
      <c r="S1885" s="3" t="n">
        <v>1</v>
      </c>
      <c r="T1885" s="3" t="n">
        <v>0</v>
      </c>
      <c r="U1885" s="3" t="n">
        <v>0</v>
      </c>
      <c r="V1885" s="3" t="n">
        <f aca="false">SUM(P1885:Q1885)</f>
        <v>0</v>
      </c>
      <c r="W1885" s="3" t="n">
        <f aca="false">SUM(R1885:T1885)</f>
        <v>1</v>
      </c>
      <c r="X1885" s="22" t="n">
        <v>41870</v>
      </c>
      <c r="Y1885" s="22" t="n">
        <v>41875</v>
      </c>
    </row>
    <row r="1886" customFormat="false" ht="14.25" hidden="false" customHeight="false" outlineLevel="0" collapsed="false">
      <c r="A1886" s="1" t="n">
        <v>2014</v>
      </c>
      <c r="B1886" s="1" t="n">
        <v>2</v>
      </c>
      <c r="C1886" s="2" t="s">
        <v>25</v>
      </c>
      <c r="D1886" s="3" t="s">
        <v>110</v>
      </c>
      <c r="E1886" s="3" t="n">
        <v>1</v>
      </c>
      <c r="F1886" s="1" t="n">
        <f aca="false">Y1886-X1886</f>
        <v>5</v>
      </c>
      <c r="G1886" s="1" t="n">
        <v>5</v>
      </c>
      <c r="H1886" s="3" t="s">
        <v>36</v>
      </c>
      <c r="I1886" s="3" t="s">
        <v>37</v>
      </c>
      <c r="J1886" s="3" t="s">
        <v>75</v>
      </c>
      <c r="K1886" s="2" t="str">
        <f aca="false">CONCATENATE(I1886," ",J1886)</f>
        <v>Ozyptila praticola</v>
      </c>
      <c r="L1886" s="3" t="n">
        <f aca="false">SUM(P1886:U1886)</f>
        <v>1</v>
      </c>
      <c r="M1886" s="11" t="n">
        <f aca="false">(L1886/(F1886*G1886)*25)*4</f>
        <v>4</v>
      </c>
      <c r="N1886" s="1" t="s">
        <v>30</v>
      </c>
      <c r="O1886" s="1" t="s">
        <v>31</v>
      </c>
      <c r="P1886" s="3" t="n">
        <v>1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f aca="false">SUM(P1886:Q1886)</f>
        <v>1</v>
      </c>
      <c r="W1886" s="3" t="n">
        <f aca="false">SUM(R1886:T1886)</f>
        <v>0</v>
      </c>
      <c r="X1886" s="22" t="n">
        <v>41870</v>
      </c>
      <c r="Y1886" s="22" t="n">
        <v>41875</v>
      </c>
    </row>
    <row r="1887" customFormat="false" ht="14.25" hidden="false" customHeight="false" outlineLevel="0" collapsed="false">
      <c r="A1887" s="1" t="n">
        <v>2014</v>
      </c>
      <c r="B1887" s="1" t="n">
        <v>2</v>
      </c>
      <c r="C1887" s="2" t="s">
        <v>25</v>
      </c>
      <c r="D1887" s="3" t="s">
        <v>110</v>
      </c>
      <c r="E1887" s="3" t="n">
        <v>1</v>
      </c>
      <c r="F1887" s="1" t="n">
        <f aca="false">Y1887-X1887</f>
        <v>5</v>
      </c>
      <c r="G1887" s="1" t="n">
        <v>5</v>
      </c>
      <c r="H1887" s="3" t="s">
        <v>48</v>
      </c>
      <c r="I1887" s="3" t="s">
        <v>61</v>
      </c>
      <c r="J1887" s="3" t="s">
        <v>82</v>
      </c>
      <c r="K1887" s="2" t="str">
        <f aca="false">CONCATENATE(I1887," ",J1887)</f>
        <v>Trochosa terricola</v>
      </c>
      <c r="L1887" s="3" t="n">
        <f aca="false">SUM(P1887:U1887)</f>
        <v>2</v>
      </c>
      <c r="M1887" s="11" t="n">
        <f aca="false">(L1887/(F1887*G1887)*25)*4</f>
        <v>8</v>
      </c>
      <c r="N1887" s="1" t="s">
        <v>30</v>
      </c>
      <c r="O1887" s="1" t="s">
        <v>31</v>
      </c>
      <c r="P1887" s="3" t="n">
        <v>2</v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f aca="false">SUM(P1887:Q1887)</f>
        <v>2</v>
      </c>
      <c r="W1887" s="3" t="n">
        <f aca="false">SUM(R1887:T1887)</f>
        <v>0</v>
      </c>
      <c r="X1887" s="22" t="n">
        <v>41870</v>
      </c>
      <c r="Y1887" s="22" t="n">
        <v>41875</v>
      </c>
    </row>
    <row r="1888" customFormat="false" ht="14.25" hidden="false" customHeight="false" outlineLevel="0" collapsed="false">
      <c r="A1888" s="1" t="n">
        <v>2014</v>
      </c>
      <c r="B1888" s="1" t="n">
        <v>2</v>
      </c>
      <c r="C1888" s="2" t="s">
        <v>25</v>
      </c>
      <c r="D1888" s="3" t="s">
        <v>110</v>
      </c>
      <c r="E1888" s="3" t="n">
        <v>2</v>
      </c>
      <c r="F1888" s="1" t="n">
        <f aca="false">Y1888-X1888</f>
        <v>5</v>
      </c>
      <c r="G1888" s="1" t="n">
        <v>5</v>
      </c>
      <c r="H1888" s="3" t="s">
        <v>48</v>
      </c>
      <c r="I1888" s="3" t="s">
        <v>61</v>
      </c>
      <c r="J1888" s="3" t="s">
        <v>82</v>
      </c>
      <c r="K1888" s="2" t="str">
        <f aca="false">CONCATENATE(I1888," ",J1888)</f>
        <v>Trochosa terricola</v>
      </c>
      <c r="L1888" s="3" t="n">
        <f aca="false">SUM(P1888:U1888)</f>
        <v>1</v>
      </c>
      <c r="M1888" s="11" t="n">
        <f aca="false">(L1888/(F1888*G1888)*25)*4</f>
        <v>4</v>
      </c>
      <c r="N1888" s="1" t="s">
        <v>30</v>
      </c>
      <c r="O1888" s="1" t="s">
        <v>31</v>
      </c>
      <c r="P1888" s="3" t="n">
        <v>1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f aca="false">SUM(P1888:Q1888)</f>
        <v>1</v>
      </c>
      <c r="W1888" s="3" t="n">
        <f aca="false">SUM(R1888:T1888)</f>
        <v>0</v>
      </c>
      <c r="X1888" s="22" t="n">
        <v>41870</v>
      </c>
      <c r="Y1888" s="22" t="n">
        <v>41875</v>
      </c>
    </row>
    <row r="1889" customFormat="false" ht="14.25" hidden="false" customHeight="false" outlineLevel="0" collapsed="false">
      <c r="A1889" s="1" t="n">
        <v>2014</v>
      </c>
      <c r="B1889" s="1" t="n">
        <v>2</v>
      </c>
      <c r="C1889" s="2" t="s">
        <v>25</v>
      </c>
      <c r="D1889" s="3" t="s">
        <v>110</v>
      </c>
      <c r="E1889" s="3" t="n">
        <v>2</v>
      </c>
      <c r="F1889" s="1" t="n">
        <f aca="false">Y1889-X1889</f>
        <v>5</v>
      </c>
      <c r="G1889" s="1" t="n">
        <v>5</v>
      </c>
      <c r="H1889" s="3" t="s">
        <v>72</v>
      </c>
      <c r="I1889" s="3" t="s">
        <v>73</v>
      </c>
      <c r="J1889" s="3" t="s">
        <v>74</v>
      </c>
      <c r="K1889" s="2" t="str">
        <f aca="false">CONCATENATE(I1889," ",J1889)</f>
        <v>Zelotes subterraneus</v>
      </c>
      <c r="L1889" s="3" t="n">
        <f aca="false">SUM(P1889:U1889)</f>
        <v>2</v>
      </c>
      <c r="M1889" s="11" t="n">
        <f aca="false">(L1889/(F1889*G1889)*25)*4</f>
        <v>8</v>
      </c>
      <c r="N1889" s="1" t="s">
        <v>30</v>
      </c>
      <c r="O1889" s="1" t="s">
        <v>31</v>
      </c>
      <c r="P1889" s="3" t="n">
        <v>2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f aca="false">SUM(P1889:Q1889)</f>
        <v>2</v>
      </c>
      <c r="W1889" s="3" t="n">
        <f aca="false">SUM(R1889:T1889)</f>
        <v>0</v>
      </c>
      <c r="X1889" s="22" t="n">
        <v>41870</v>
      </c>
      <c r="Y1889" s="22" t="n">
        <v>41875</v>
      </c>
    </row>
    <row r="1890" customFormat="false" ht="14.25" hidden="false" customHeight="false" outlineLevel="0" collapsed="false">
      <c r="A1890" s="1" t="n">
        <v>2014</v>
      </c>
      <c r="B1890" s="1" t="n">
        <v>2</v>
      </c>
      <c r="C1890" s="2" t="s">
        <v>25</v>
      </c>
      <c r="D1890" s="3" t="s">
        <v>110</v>
      </c>
      <c r="E1890" s="3" t="n">
        <v>2</v>
      </c>
      <c r="F1890" s="1" t="n">
        <f aca="false">Y1890-X1890</f>
        <v>5</v>
      </c>
      <c r="G1890" s="1" t="n">
        <v>5</v>
      </c>
      <c r="H1890" s="3" t="s">
        <v>32</v>
      </c>
      <c r="I1890" s="3" t="s">
        <v>57</v>
      </c>
      <c r="J1890" s="3" t="s">
        <v>38</v>
      </c>
      <c r="K1890" s="2" t="str">
        <f aca="false">CONCATENATE(I1890," ",J1890)</f>
        <v>Gen sp</v>
      </c>
      <c r="L1890" s="3" t="n">
        <f aca="false">SUM(P1890:U1890)</f>
        <v>1</v>
      </c>
      <c r="M1890" s="11" t="n">
        <f aca="false">(L1890/(F1890*G1890)*25)*4</f>
        <v>4</v>
      </c>
      <c r="N1890" s="1" t="s">
        <v>19</v>
      </c>
      <c r="O1890" s="1" t="s">
        <v>35</v>
      </c>
      <c r="P1890" s="3" t="n">
        <v>0</v>
      </c>
      <c r="Q1890" s="3" t="n">
        <v>0</v>
      </c>
      <c r="R1890" s="3" t="n">
        <v>0</v>
      </c>
      <c r="S1890" s="3" t="n">
        <v>1</v>
      </c>
      <c r="T1890" s="3" t="n">
        <v>0</v>
      </c>
      <c r="U1890" s="3" t="n">
        <v>0</v>
      </c>
      <c r="V1890" s="3" t="n">
        <f aca="false">SUM(P1890:Q1890)</f>
        <v>0</v>
      </c>
      <c r="W1890" s="3" t="n">
        <f aca="false">SUM(R1890:T1890)</f>
        <v>1</v>
      </c>
      <c r="X1890" s="22" t="n">
        <v>41870</v>
      </c>
      <c r="Y1890" s="22" t="n">
        <v>41875</v>
      </c>
    </row>
    <row r="1891" customFormat="false" ht="14.25" hidden="false" customHeight="false" outlineLevel="0" collapsed="false">
      <c r="A1891" s="1" t="n">
        <v>2014</v>
      </c>
      <c r="B1891" s="1" t="n">
        <v>2</v>
      </c>
      <c r="C1891" s="2" t="s">
        <v>25</v>
      </c>
      <c r="D1891" s="3" t="s">
        <v>110</v>
      </c>
      <c r="E1891" s="3" t="n">
        <v>1</v>
      </c>
      <c r="F1891" s="1" t="n">
        <f aca="false">Y1891-X1891</f>
        <v>5</v>
      </c>
      <c r="G1891" s="1" t="n">
        <v>5</v>
      </c>
      <c r="H1891" s="3" t="s">
        <v>48</v>
      </c>
      <c r="I1891" s="3" t="s">
        <v>61</v>
      </c>
      <c r="J1891" s="3" t="s">
        <v>82</v>
      </c>
      <c r="K1891" s="2" t="str">
        <f aca="false">CONCATENATE(I1891," ",J1891)</f>
        <v>Trochosa terricola</v>
      </c>
      <c r="L1891" s="3" t="n">
        <f aca="false">SUM(P1891:U1891)</f>
        <v>1</v>
      </c>
      <c r="M1891" s="11" t="n">
        <f aca="false">(L1891/(F1891*G1891)*25)*4</f>
        <v>4</v>
      </c>
      <c r="N1891" s="1" t="s">
        <v>30</v>
      </c>
      <c r="O1891" s="1" t="s">
        <v>31</v>
      </c>
      <c r="P1891" s="3" t="n">
        <v>1</v>
      </c>
      <c r="Q1891" s="3" t="n">
        <v>0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f aca="false">SUM(P1891:Q1891)</f>
        <v>1</v>
      </c>
      <c r="W1891" s="3" t="n">
        <f aca="false">SUM(R1891:T1891)</f>
        <v>0</v>
      </c>
      <c r="X1891" s="22" t="n">
        <v>41870</v>
      </c>
      <c r="Y1891" s="22" t="n">
        <v>41875</v>
      </c>
    </row>
    <row r="1892" customFormat="false" ht="14.25" hidden="false" customHeight="false" outlineLevel="0" collapsed="false">
      <c r="A1892" s="1" t="n">
        <v>2014</v>
      </c>
      <c r="B1892" s="1" t="n">
        <v>2</v>
      </c>
      <c r="C1892" s="2" t="s">
        <v>25</v>
      </c>
      <c r="D1892" s="3" t="s">
        <v>110</v>
      </c>
      <c r="E1892" s="3" t="n">
        <v>1</v>
      </c>
      <c r="F1892" s="1" t="n">
        <f aca="false">Y1892-X1892</f>
        <v>5</v>
      </c>
      <c r="G1892" s="1" t="n">
        <v>5</v>
      </c>
      <c r="H1892" s="3" t="s">
        <v>48</v>
      </c>
      <c r="I1892" s="3" t="s">
        <v>49</v>
      </c>
      <c r="J1892" s="3" t="s">
        <v>38</v>
      </c>
      <c r="K1892" s="2" t="str">
        <f aca="false">CONCATENATE(I1892," ",J1892)</f>
        <v>Alopecosa sp</v>
      </c>
      <c r="L1892" s="3" t="n">
        <f aca="false">SUM(P1892:U1892)</f>
        <v>1</v>
      </c>
      <c r="M1892" s="11" t="n">
        <f aca="false">(L1892/(F1892*G1892)*25)*4</f>
        <v>4</v>
      </c>
      <c r="N1892" s="1" t="s">
        <v>19</v>
      </c>
      <c r="O1892" s="1" t="s">
        <v>31</v>
      </c>
      <c r="P1892" s="3" t="n">
        <v>0</v>
      </c>
      <c r="Q1892" s="3" t="n">
        <v>0</v>
      </c>
      <c r="R1892" s="3" t="n">
        <v>1</v>
      </c>
      <c r="S1892" s="3" t="n">
        <v>0</v>
      </c>
      <c r="T1892" s="3" t="n">
        <v>0</v>
      </c>
      <c r="U1892" s="3" t="n">
        <v>0</v>
      </c>
      <c r="V1892" s="3" t="n">
        <f aca="false">SUM(P1892:Q1892)</f>
        <v>0</v>
      </c>
      <c r="W1892" s="3" t="n">
        <f aca="false">SUM(R1892:T1892)</f>
        <v>1</v>
      </c>
      <c r="X1892" s="22" t="n">
        <v>41870</v>
      </c>
      <c r="Y1892" s="22" t="n">
        <v>41875</v>
      </c>
    </row>
    <row r="1893" customFormat="false" ht="14.25" hidden="false" customHeight="false" outlineLevel="0" collapsed="false">
      <c r="A1893" s="1" t="n">
        <v>2014</v>
      </c>
      <c r="B1893" s="1" t="n">
        <v>2</v>
      </c>
      <c r="C1893" s="2" t="s">
        <v>25</v>
      </c>
      <c r="D1893" s="3" t="s">
        <v>110</v>
      </c>
      <c r="E1893" s="3" t="n">
        <v>1</v>
      </c>
      <c r="F1893" s="1" t="n">
        <f aca="false">Y1893-X1893</f>
        <v>5</v>
      </c>
      <c r="G1893" s="1" t="n">
        <v>5</v>
      </c>
      <c r="H1893" s="3" t="s">
        <v>226</v>
      </c>
      <c r="I1893" s="3" t="s">
        <v>65</v>
      </c>
      <c r="J1893" s="3" t="s">
        <v>66</v>
      </c>
      <c r="K1893" s="2" t="str">
        <f aca="false">CONCATENATE(I1893," ",J1893)</f>
        <v>Zora Spinimana</v>
      </c>
      <c r="L1893" s="3" t="n">
        <f aca="false">SUM(P1893:U1893)</f>
        <v>1</v>
      </c>
      <c r="M1893" s="11" t="n">
        <f aca="false">(L1893/(F1893*G1893)*25)*4</f>
        <v>4</v>
      </c>
      <c r="N1893" s="1" t="s">
        <v>30</v>
      </c>
      <c r="O1893" s="1" t="s">
        <v>35</v>
      </c>
      <c r="P1893" s="3" t="n">
        <v>0</v>
      </c>
      <c r="Q1893" s="3" t="n">
        <v>1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f aca="false">SUM(P1893:Q1893)</f>
        <v>1</v>
      </c>
      <c r="W1893" s="3" t="n">
        <f aca="false">SUM(R1893:T1893)</f>
        <v>0</v>
      </c>
      <c r="X1893" s="22" t="n">
        <v>41870</v>
      </c>
      <c r="Y1893" s="22" t="n">
        <v>41875</v>
      </c>
    </row>
    <row r="1894" customFormat="false" ht="14.25" hidden="false" customHeight="false" outlineLevel="0" collapsed="false">
      <c r="A1894" s="1" t="n">
        <v>2014</v>
      </c>
      <c r="B1894" s="1" t="n">
        <v>2</v>
      </c>
      <c r="C1894" s="2" t="s">
        <v>25</v>
      </c>
      <c r="D1894" s="3" t="s">
        <v>101</v>
      </c>
      <c r="E1894" s="3" t="n">
        <v>1</v>
      </c>
      <c r="F1894" s="1" t="n">
        <f aca="false">Y1894-X1894</f>
        <v>5</v>
      </c>
      <c r="G1894" s="1" t="n">
        <v>5</v>
      </c>
      <c r="H1894" s="3" t="s">
        <v>41</v>
      </c>
      <c r="I1894" s="3" t="s">
        <v>42</v>
      </c>
      <c r="J1894" s="3" t="s">
        <v>43</v>
      </c>
      <c r="K1894" s="2" t="str">
        <f aca="false">CONCATENATE(I1894," ",J1894)</f>
        <v>Agroeca proxima</v>
      </c>
      <c r="L1894" s="3" t="n">
        <f aca="false">SUM(P1894:U1894)</f>
        <v>1</v>
      </c>
      <c r="M1894" s="11" t="n">
        <f aca="false">(L1894/(F1894*G1894)*25)*4</f>
        <v>4</v>
      </c>
      <c r="N1894" s="1" t="s">
        <v>30</v>
      </c>
      <c r="O1894" s="1" t="s">
        <v>31</v>
      </c>
      <c r="P1894" s="3" t="n">
        <v>1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f aca="false">SUM(P1894:Q1894)</f>
        <v>1</v>
      </c>
      <c r="W1894" s="3" t="n">
        <f aca="false">SUM(R1894:T1894)</f>
        <v>0</v>
      </c>
      <c r="X1894" s="22" t="n">
        <v>41869</v>
      </c>
      <c r="Y1894" s="22" t="n">
        <v>41874</v>
      </c>
    </row>
    <row r="1895" customFormat="false" ht="14.25" hidden="false" customHeight="false" outlineLevel="0" collapsed="false">
      <c r="A1895" s="1" t="n">
        <v>2014</v>
      </c>
      <c r="B1895" s="1" t="n">
        <v>2</v>
      </c>
      <c r="C1895" s="2" t="s">
        <v>25</v>
      </c>
      <c r="D1895" s="3" t="s">
        <v>101</v>
      </c>
      <c r="E1895" s="3" t="n">
        <v>1</v>
      </c>
      <c r="F1895" s="1" t="n">
        <f aca="false">Y1895-X1895</f>
        <v>5</v>
      </c>
      <c r="G1895" s="1" t="n">
        <v>5</v>
      </c>
      <c r="H1895" s="3" t="s">
        <v>72</v>
      </c>
      <c r="I1895" s="3" t="s">
        <v>73</v>
      </c>
      <c r="J1895" s="3" t="s">
        <v>74</v>
      </c>
      <c r="K1895" s="2" t="str">
        <f aca="false">CONCATENATE(I1895," ",J1895)</f>
        <v>Zelotes subterraneus</v>
      </c>
      <c r="L1895" s="3" t="n">
        <f aca="false">SUM(P1895:U1895)</f>
        <v>1</v>
      </c>
      <c r="M1895" s="11" t="n">
        <f aca="false">(L1895/(F1895*G1895)*25)*4</f>
        <v>4</v>
      </c>
      <c r="N1895" s="1" t="s">
        <v>30</v>
      </c>
      <c r="O1895" s="1" t="s">
        <v>31</v>
      </c>
      <c r="P1895" s="3" t="n">
        <v>1</v>
      </c>
      <c r="Q1895" s="3" t="n">
        <v>0</v>
      </c>
      <c r="R1895" s="3" t="n">
        <v>0</v>
      </c>
      <c r="S1895" s="3" t="n">
        <v>0</v>
      </c>
      <c r="T1895" s="3" t="n">
        <v>0</v>
      </c>
      <c r="U1895" s="3" t="n">
        <v>0</v>
      </c>
      <c r="V1895" s="3" t="n">
        <f aca="false">SUM(P1895:Q1895)</f>
        <v>1</v>
      </c>
      <c r="W1895" s="3" t="n">
        <f aca="false">SUM(R1895:T1895)</f>
        <v>0</v>
      </c>
      <c r="X1895" s="22" t="n">
        <v>41869</v>
      </c>
      <c r="Y1895" s="22" t="n">
        <v>41874</v>
      </c>
    </row>
    <row r="1896" customFormat="false" ht="14.25" hidden="false" customHeight="false" outlineLevel="0" collapsed="false">
      <c r="A1896" s="1" t="n">
        <v>2014</v>
      </c>
      <c r="B1896" s="1" t="n">
        <v>2</v>
      </c>
      <c r="C1896" s="2" t="s">
        <v>25</v>
      </c>
      <c r="D1896" s="3" t="s">
        <v>101</v>
      </c>
      <c r="E1896" s="3" t="n">
        <v>1</v>
      </c>
      <c r="F1896" s="1" t="n">
        <f aca="false">Y1896-X1896</f>
        <v>5</v>
      </c>
      <c r="G1896" s="1" t="n">
        <v>5</v>
      </c>
      <c r="H1896" s="3" t="s">
        <v>48</v>
      </c>
      <c r="I1896" s="3" t="s">
        <v>61</v>
      </c>
      <c r="J1896" s="3" t="s">
        <v>38</v>
      </c>
      <c r="K1896" s="2" t="str">
        <f aca="false">CONCATENATE(I1896," ",J1896)</f>
        <v>Trochosa sp</v>
      </c>
      <c r="L1896" s="3" t="n">
        <f aca="false">SUM(P1896:U1896)</f>
        <v>1</v>
      </c>
      <c r="M1896" s="11" t="n">
        <f aca="false">(L1896/(F1896*G1896)*25)*4</f>
        <v>4</v>
      </c>
      <c r="N1896" s="1" t="s">
        <v>19</v>
      </c>
      <c r="O1896" s="1" t="s">
        <v>54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1</v>
      </c>
      <c r="U1896" s="3" t="n">
        <v>0</v>
      </c>
      <c r="V1896" s="3" t="n">
        <f aca="false">SUM(P1896:Q1896)</f>
        <v>0</v>
      </c>
      <c r="W1896" s="3" t="n">
        <f aca="false">SUM(R1896:T1896)</f>
        <v>1</v>
      </c>
      <c r="X1896" s="22" t="n">
        <v>41869</v>
      </c>
      <c r="Y1896" s="22" t="n">
        <v>41874</v>
      </c>
    </row>
    <row r="1897" customFormat="false" ht="14.25" hidden="false" customHeight="false" outlineLevel="0" collapsed="false">
      <c r="A1897" s="1" t="n">
        <v>2014</v>
      </c>
      <c r="B1897" s="1" t="n">
        <v>2</v>
      </c>
      <c r="C1897" s="2" t="s">
        <v>25</v>
      </c>
      <c r="D1897" s="3" t="s">
        <v>101</v>
      </c>
      <c r="E1897" s="3" t="n">
        <v>1</v>
      </c>
      <c r="F1897" s="1" t="n">
        <f aca="false">Y1897-X1897</f>
        <v>5</v>
      </c>
      <c r="G1897" s="1" t="n">
        <v>5</v>
      </c>
      <c r="H1897" s="3" t="s">
        <v>32</v>
      </c>
      <c r="I1897" s="3" t="s">
        <v>102</v>
      </c>
      <c r="J1897" s="3" t="s">
        <v>193</v>
      </c>
      <c r="K1897" s="2" t="str">
        <f aca="false">CONCATENATE(I1897," ",J1897)</f>
        <v>Agyneta subtilis</v>
      </c>
      <c r="L1897" s="3" t="n">
        <f aca="false">SUM(P1897:U1897)</f>
        <v>1</v>
      </c>
      <c r="M1897" s="11" t="n">
        <f aca="false">(L1897/(F1897*G1897)*25)*4</f>
        <v>4</v>
      </c>
      <c r="N1897" s="1" t="s">
        <v>30</v>
      </c>
      <c r="O1897" s="1" t="s">
        <v>35</v>
      </c>
      <c r="P1897" s="3" t="n">
        <v>0</v>
      </c>
      <c r="Q1897" s="3" t="n">
        <v>1</v>
      </c>
      <c r="R1897" s="3" t="n">
        <v>0</v>
      </c>
      <c r="S1897" s="3" t="n">
        <v>0</v>
      </c>
      <c r="T1897" s="3" t="n">
        <v>0</v>
      </c>
      <c r="U1897" s="3" t="n">
        <v>0</v>
      </c>
      <c r="V1897" s="3" t="n">
        <f aca="false">SUM(P1897:Q1897)</f>
        <v>1</v>
      </c>
      <c r="W1897" s="3" t="n">
        <f aca="false">SUM(R1897:T1897)</f>
        <v>0</v>
      </c>
      <c r="X1897" s="22" t="n">
        <v>41869</v>
      </c>
      <c r="Y1897" s="22" t="n">
        <v>41874</v>
      </c>
    </row>
    <row r="1898" customFormat="false" ht="14.25" hidden="false" customHeight="false" outlineLevel="0" collapsed="false">
      <c r="A1898" s="1" t="n">
        <v>2014</v>
      </c>
      <c r="B1898" s="1" t="n">
        <v>2</v>
      </c>
      <c r="C1898" s="2" t="s">
        <v>25</v>
      </c>
      <c r="D1898" s="3" t="s">
        <v>101</v>
      </c>
      <c r="E1898" s="3" t="n">
        <v>3</v>
      </c>
      <c r="F1898" s="1" t="n">
        <f aca="false">Y1898-X1898</f>
        <v>5</v>
      </c>
      <c r="G1898" s="1" t="n">
        <v>5</v>
      </c>
      <c r="H1898" s="3" t="s">
        <v>32</v>
      </c>
      <c r="I1898" s="3" t="s">
        <v>62</v>
      </c>
      <c r="J1898" s="3" t="s">
        <v>63</v>
      </c>
      <c r="K1898" s="2" t="str">
        <f aca="false">CONCATENATE(I1898," ",J1898)</f>
        <v>Microneta viaria</v>
      </c>
      <c r="L1898" s="3" t="n">
        <f aca="false">SUM(P1898:U1898)</f>
        <v>1</v>
      </c>
      <c r="M1898" s="11" t="n">
        <f aca="false">(L1898/(F1898*G1898)*25)*4</f>
        <v>4</v>
      </c>
      <c r="N1898" s="1" t="s">
        <v>30</v>
      </c>
      <c r="O1898" s="1" t="s">
        <v>31</v>
      </c>
      <c r="P1898" s="3" t="n">
        <v>1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f aca="false">SUM(P1898:Q1898)</f>
        <v>1</v>
      </c>
      <c r="W1898" s="3" t="n">
        <f aca="false">SUM(R1898:T1898)</f>
        <v>0</v>
      </c>
      <c r="X1898" s="22" t="n">
        <v>41869</v>
      </c>
      <c r="Y1898" s="22" t="n">
        <v>41874</v>
      </c>
    </row>
    <row r="1899" customFormat="false" ht="14.25" hidden="false" customHeight="false" outlineLevel="0" collapsed="false">
      <c r="A1899" s="1" t="n">
        <v>2014</v>
      </c>
      <c r="B1899" s="1" t="n">
        <v>2</v>
      </c>
      <c r="C1899" s="2" t="s">
        <v>25</v>
      </c>
      <c r="D1899" s="3" t="s">
        <v>101</v>
      </c>
      <c r="E1899" s="3" t="n">
        <v>3</v>
      </c>
      <c r="F1899" s="1" t="n">
        <f aca="false">Y1899-X1899</f>
        <v>5</v>
      </c>
      <c r="G1899" s="1" t="n">
        <v>5</v>
      </c>
      <c r="H1899" s="3" t="s">
        <v>48</v>
      </c>
      <c r="I1899" s="3" t="s">
        <v>61</v>
      </c>
      <c r="J1899" s="3" t="s">
        <v>82</v>
      </c>
      <c r="K1899" s="2" t="str">
        <f aca="false">CONCATENATE(I1899," ",J1899)</f>
        <v>Trochosa terricola</v>
      </c>
      <c r="L1899" s="3" t="n">
        <f aca="false">SUM(P1899:U1899)</f>
        <v>2</v>
      </c>
      <c r="M1899" s="11" t="n">
        <f aca="false">(L1899/(F1899*G1899)*25)*4</f>
        <v>8</v>
      </c>
      <c r="N1899" s="1" t="s">
        <v>30</v>
      </c>
      <c r="O1899" s="1" t="s">
        <v>35</v>
      </c>
      <c r="P1899" s="3" t="n">
        <v>0</v>
      </c>
      <c r="Q1899" s="3" t="n">
        <v>2</v>
      </c>
      <c r="R1899" s="3" t="n">
        <v>0</v>
      </c>
      <c r="S1899" s="3" t="n">
        <v>0</v>
      </c>
      <c r="T1899" s="3" t="n">
        <v>0</v>
      </c>
      <c r="U1899" s="3" t="n">
        <v>0</v>
      </c>
      <c r="V1899" s="3" t="n">
        <f aca="false">SUM(P1899:Q1899)</f>
        <v>2</v>
      </c>
      <c r="W1899" s="3" t="n">
        <f aca="false">SUM(R1899:T1899)</f>
        <v>0</v>
      </c>
      <c r="X1899" s="22" t="n">
        <v>41869</v>
      </c>
      <c r="Y1899" s="22" t="n">
        <v>41874</v>
      </c>
    </row>
    <row r="1900" customFormat="false" ht="14.25" hidden="false" customHeight="false" outlineLevel="0" collapsed="false">
      <c r="A1900" s="1" t="n">
        <v>2014</v>
      </c>
      <c r="B1900" s="1" t="n">
        <v>2</v>
      </c>
      <c r="C1900" s="2" t="s">
        <v>25</v>
      </c>
      <c r="D1900" s="3" t="s">
        <v>101</v>
      </c>
      <c r="E1900" s="3" t="n">
        <v>3</v>
      </c>
      <c r="F1900" s="1" t="n">
        <f aca="false">Y1900-X1900</f>
        <v>5</v>
      </c>
      <c r="G1900" s="1" t="n">
        <v>5</v>
      </c>
      <c r="H1900" s="3" t="s">
        <v>48</v>
      </c>
      <c r="I1900" s="3" t="s">
        <v>67</v>
      </c>
      <c r="J1900" s="3" t="s">
        <v>127</v>
      </c>
      <c r="K1900" s="2" t="str">
        <f aca="false">CONCATENATE(I1900," ",J1900)</f>
        <v>Pardosa lugubris</v>
      </c>
      <c r="L1900" s="3" t="n">
        <f aca="false">SUM(P1900:U1900)</f>
        <v>1</v>
      </c>
      <c r="M1900" s="11" t="n">
        <f aca="false">(L1900/(F1900*G1900)*25)*4</f>
        <v>4</v>
      </c>
      <c r="N1900" s="1" t="s">
        <v>30</v>
      </c>
      <c r="O1900" s="1" t="s">
        <v>35</v>
      </c>
      <c r="P1900" s="3" t="n">
        <v>0</v>
      </c>
      <c r="Q1900" s="3" t="n">
        <v>1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f aca="false">SUM(P1900:Q1900)</f>
        <v>1</v>
      </c>
      <c r="W1900" s="3" t="n">
        <f aca="false">SUM(R1900:T1900)</f>
        <v>0</v>
      </c>
      <c r="X1900" s="22" t="n">
        <v>41869</v>
      </c>
      <c r="Y1900" s="22" t="n">
        <v>41874</v>
      </c>
    </row>
    <row r="1901" customFormat="false" ht="14.25" hidden="false" customHeight="false" outlineLevel="0" collapsed="false">
      <c r="A1901" s="1" t="n">
        <v>2014</v>
      </c>
      <c r="B1901" s="1" t="n">
        <v>2</v>
      </c>
      <c r="C1901" s="2" t="s">
        <v>25</v>
      </c>
      <c r="D1901" s="3" t="s">
        <v>101</v>
      </c>
      <c r="E1901" s="3" t="n">
        <v>3</v>
      </c>
      <c r="F1901" s="1" t="n">
        <f aca="false">Y1901-X1901</f>
        <v>5</v>
      </c>
      <c r="G1901" s="1" t="n">
        <v>5</v>
      </c>
      <c r="H1901" s="3" t="s">
        <v>48</v>
      </c>
      <c r="I1901" s="3" t="s">
        <v>49</v>
      </c>
      <c r="J1901" s="3" t="s">
        <v>38</v>
      </c>
      <c r="K1901" s="2" t="str">
        <f aca="false">CONCATENATE(I1901," ",J1901)</f>
        <v>Alopecosa sp</v>
      </c>
      <c r="L1901" s="3" t="n">
        <f aca="false">SUM(P1901:U1901)</f>
        <v>1</v>
      </c>
      <c r="M1901" s="11" t="n">
        <f aca="false">(L1901/(F1901*G1901)*25)*4</f>
        <v>4</v>
      </c>
      <c r="N1901" s="1" t="s">
        <v>19</v>
      </c>
      <c r="O1901" s="1" t="s">
        <v>35</v>
      </c>
      <c r="P1901" s="3" t="n">
        <v>0</v>
      </c>
      <c r="Q1901" s="3" t="n">
        <v>0</v>
      </c>
      <c r="R1901" s="3" t="n">
        <v>0</v>
      </c>
      <c r="S1901" s="3" t="n">
        <v>1</v>
      </c>
      <c r="T1901" s="3" t="n">
        <v>0</v>
      </c>
      <c r="U1901" s="3" t="n">
        <v>0</v>
      </c>
      <c r="V1901" s="3" t="n">
        <f aca="false">SUM(P1901:Q1901)</f>
        <v>0</v>
      </c>
      <c r="W1901" s="3" t="n">
        <f aca="false">SUM(R1901:T1901)</f>
        <v>1</v>
      </c>
      <c r="X1901" s="22" t="n">
        <v>41869</v>
      </c>
      <c r="Y1901" s="22" t="n">
        <v>41874</v>
      </c>
    </row>
    <row r="1902" customFormat="false" ht="14.25" hidden="false" customHeight="false" outlineLevel="0" collapsed="false">
      <c r="A1902" s="1" t="n">
        <v>2014</v>
      </c>
      <c r="B1902" s="1" t="n">
        <v>2</v>
      </c>
      <c r="C1902" s="2" t="s">
        <v>25</v>
      </c>
      <c r="D1902" s="3" t="s">
        <v>101</v>
      </c>
      <c r="E1902" s="3" t="n">
        <v>3</v>
      </c>
      <c r="F1902" s="1" t="n">
        <f aca="false">Y1902-X1902</f>
        <v>5</v>
      </c>
      <c r="G1902" s="1" t="n">
        <v>5</v>
      </c>
      <c r="H1902" s="3" t="s">
        <v>41</v>
      </c>
      <c r="I1902" s="3" t="s">
        <v>42</v>
      </c>
      <c r="J1902" s="3" t="s">
        <v>43</v>
      </c>
      <c r="K1902" s="2" t="str">
        <f aca="false">CONCATENATE(I1902," ",J1902)</f>
        <v>Agroeca proxima</v>
      </c>
      <c r="L1902" s="3" t="n">
        <f aca="false">SUM(P1902:U1902)</f>
        <v>1</v>
      </c>
      <c r="M1902" s="11" t="n">
        <f aca="false">(L1902/(F1902*G1902)*25)*4</f>
        <v>4</v>
      </c>
      <c r="N1902" s="1" t="s">
        <v>30</v>
      </c>
      <c r="O1902" s="1" t="s">
        <v>31</v>
      </c>
      <c r="P1902" s="3" t="n">
        <v>1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f aca="false">SUM(P1902:Q1902)</f>
        <v>1</v>
      </c>
      <c r="W1902" s="3" t="n">
        <f aca="false">SUM(R1902:T1902)</f>
        <v>0</v>
      </c>
      <c r="X1902" s="22" t="n">
        <v>41869</v>
      </c>
      <c r="Y1902" s="22" t="n">
        <v>41874</v>
      </c>
    </row>
    <row r="1903" customFormat="false" ht="14.25" hidden="false" customHeight="false" outlineLevel="0" collapsed="false">
      <c r="A1903" s="1" t="n">
        <v>2014</v>
      </c>
      <c r="B1903" s="1" t="n">
        <v>2</v>
      </c>
      <c r="C1903" s="2" t="s">
        <v>25</v>
      </c>
      <c r="D1903" s="3" t="s">
        <v>101</v>
      </c>
      <c r="E1903" s="3" t="n">
        <v>3</v>
      </c>
      <c r="F1903" s="1" t="n">
        <f aca="false">Y1903-X1903</f>
        <v>5</v>
      </c>
      <c r="G1903" s="1" t="n">
        <v>5</v>
      </c>
      <c r="H1903" s="3" t="s">
        <v>72</v>
      </c>
      <c r="I1903" s="3" t="s">
        <v>86</v>
      </c>
      <c r="J1903" s="3" t="s">
        <v>87</v>
      </c>
      <c r="K1903" s="2" t="str">
        <f aca="false">CONCATENATE(I1903," ",J1903)</f>
        <v>Haplodrassus soerenseni</v>
      </c>
      <c r="L1903" s="3" t="n">
        <f aca="false">SUM(P1903:U1903)</f>
        <v>1</v>
      </c>
      <c r="M1903" s="11" t="n">
        <f aca="false">(L1903/(F1903*G1903)*25)*4</f>
        <v>4</v>
      </c>
      <c r="N1903" s="1" t="s">
        <v>30</v>
      </c>
      <c r="O1903" s="1" t="s">
        <v>35</v>
      </c>
      <c r="P1903" s="3" t="n">
        <v>0</v>
      </c>
      <c r="Q1903" s="3" t="n">
        <v>1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f aca="false">SUM(P1903:Q1903)</f>
        <v>1</v>
      </c>
      <c r="W1903" s="3" t="n">
        <f aca="false">SUM(R1903:T1903)</f>
        <v>0</v>
      </c>
      <c r="X1903" s="22" t="n">
        <v>41869</v>
      </c>
      <c r="Y1903" s="22" t="n">
        <v>41874</v>
      </c>
    </row>
    <row r="1904" customFormat="false" ht="14.25" hidden="false" customHeight="false" outlineLevel="0" collapsed="false">
      <c r="A1904" s="1" t="n">
        <v>2014</v>
      </c>
      <c r="B1904" s="1" t="n">
        <v>2</v>
      </c>
      <c r="C1904" s="2" t="s">
        <v>25</v>
      </c>
      <c r="D1904" s="3" t="s">
        <v>101</v>
      </c>
      <c r="E1904" s="3" t="n">
        <v>3</v>
      </c>
      <c r="F1904" s="1" t="n">
        <f aca="false">Y1904-X1904</f>
        <v>5</v>
      </c>
      <c r="G1904" s="1" t="n">
        <v>5</v>
      </c>
      <c r="H1904" s="3" t="s">
        <v>32</v>
      </c>
      <c r="I1904" s="3" t="s">
        <v>33</v>
      </c>
      <c r="J1904" s="3" t="s">
        <v>60</v>
      </c>
      <c r="K1904" s="2" t="str">
        <f aca="false">CONCATENATE(I1904," ",J1904)</f>
        <v>Tenuiphantes tenebricola</v>
      </c>
      <c r="L1904" s="3" t="n">
        <f aca="false">SUM(P1904:U1904)</f>
        <v>1</v>
      </c>
      <c r="M1904" s="11" t="n">
        <f aca="false">(L1904/(F1904*G1904)*25)*4</f>
        <v>4</v>
      </c>
      <c r="N1904" s="1" t="s">
        <v>30</v>
      </c>
      <c r="O1904" s="1" t="s">
        <v>31</v>
      </c>
      <c r="P1904" s="3" t="n">
        <v>1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f aca="false">SUM(P1904:Q1904)</f>
        <v>1</v>
      </c>
      <c r="W1904" s="3" t="n">
        <f aca="false">SUM(R1904:T1904)</f>
        <v>0</v>
      </c>
      <c r="X1904" s="22" t="n">
        <v>41869</v>
      </c>
      <c r="Y1904" s="22" t="n">
        <v>41874</v>
      </c>
    </row>
    <row r="1905" customFormat="false" ht="14.25" hidden="false" customHeight="false" outlineLevel="0" collapsed="false">
      <c r="A1905" s="1" t="n">
        <v>2014</v>
      </c>
      <c r="B1905" s="1" t="n">
        <v>2</v>
      </c>
      <c r="C1905" s="2" t="s">
        <v>25</v>
      </c>
      <c r="D1905" s="3" t="s">
        <v>101</v>
      </c>
      <c r="E1905" s="3" t="n">
        <v>3</v>
      </c>
      <c r="F1905" s="1" t="n">
        <f aca="false">Y1905-X1905</f>
        <v>5</v>
      </c>
      <c r="G1905" s="1" t="n">
        <v>5</v>
      </c>
      <c r="H1905" s="3" t="s">
        <v>32</v>
      </c>
      <c r="I1905" s="3" t="s">
        <v>57</v>
      </c>
      <c r="J1905" s="3" t="s">
        <v>38</v>
      </c>
      <c r="K1905" s="2" t="str">
        <f aca="false">CONCATENATE(I1905," ",J1905)</f>
        <v>Gen sp</v>
      </c>
      <c r="L1905" s="3" t="n">
        <f aca="false">SUM(P1905:U1905)</f>
        <v>1</v>
      </c>
      <c r="M1905" s="11" t="n">
        <f aca="false">(L1905/(F1905*G1905)*25)*4</f>
        <v>4</v>
      </c>
      <c r="N1905" s="1" t="s">
        <v>19</v>
      </c>
      <c r="O1905" s="1" t="s">
        <v>31</v>
      </c>
      <c r="P1905" s="3" t="n">
        <v>0</v>
      </c>
      <c r="Q1905" s="3" t="n">
        <v>0</v>
      </c>
      <c r="R1905" s="3" t="n">
        <v>1</v>
      </c>
      <c r="S1905" s="3" t="n">
        <v>0</v>
      </c>
      <c r="T1905" s="3" t="n">
        <v>0</v>
      </c>
      <c r="U1905" s="3" t="n">
        <v>0</v>
      </c>
      <c r="V1905" s="3" t="n">
        <f aca="false">SUM(P1905:Q1905)</f>
        <v>0</v>
      </c>
      <c r="W1905" s="3" t="n">
        <f aca="false">SUM(R1905:T1905)</f>
        <v>1</v>
      </c>
      <c r="X1905" s="22" t="n">
        <v>41869</v>
      </c>
      <c r="Y1905" s="22" t="n">
        <v>41874</v>
      </c>
    </row>
    <row r="1906" customFormat="false" ht="14.25" hidden="false" customHeight="false" outlineLevel="0" collapsed="false">
      <c r="A1906" s="1" t="n">
        <v>2014</v>
      </c>
      <c r="B1906" s="1" t="n">
        <v>2</v>
      </c>
      <c r="C1906" s="2" t="s">
        <v>25</v>
      </c>
      <c r="D1906" s="3" t="s">
        <v>101</v>
      </c>
      <c r="E1906" s="3" t="n">
        <v>3</v>
      </c>
      <c r="F1906" s="1" t="n">
        <f aca="false">Y1906-X1906</f>
        <v>5</v>
      </c>
      <c r="G1906" s="1" t="n">
        <v>5</v>
      </c>
      <c r="H1906" s="3" t="s">
        <v>72</v>
      </c>
      <c r="I1906" s="3" t="s">
        <v>57</v>
      </c>
      <c r="J1906" s="3" t="s">
        <v>38</v>
      </c>
      <c r="K1906" s="2" t="str">
        <f aca="false">CONCATENATE(I1906," ",J1906)</f>
        <v>Gen sp</v>
      </c>
      <c r="L1906" s="3" t="n">
        <f aca="false">SUM(P1906:U1906)</f>
        <v>1</v>
      </c>
      <c r="M1906" s="11" t="n">
        <f aca="false">(L1906/(F1906*G1906)*25)*4</f>
        <v>4</v>
      </c>
      <c r="N1906" s="1" t="s">
        <v>19</v>
      </c>
      <c r="O1906" s="1" t="s">
        <v>54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1</v>
      </c>
      <c r="U1906" s="3" t="n">
        <v>0</v>
      </c>
      <c r="V1906" s="3" t="n">
        <f aca="false">SUM(P1906:Q1906)</f>
        <v>0</v>
      </c>
      <c r="W1906" s="3" t="n">
        <f aca="false">SUM(R1906:T1906)</f>
        <v>1</v>
      </c>
      <c r="X1906" s="22" t="n">
        <v>41869</v>
      </c>
      <c r="Y1906" s="22" t="n">
        <v>41874</v>
      </c>
    </row>
    <row r="1907" customFormat="false" ht="14.25" hidden="false" customHeight="false" outlineLevel="0" collapsed="false">
      <c r="A1907" s="1" t="n">
        <v>2014</v>
      </c>
      <c r="B1907" s="1" t="n">
        <v>2</v>
      </c>
      <c r="C1907" s="2" t="s">
        <v>25</v>
      </c>
      <c r="D1907" s="3" t="s">
        <v>101</v>
      </c>
      <c r="E1907" s="3" t="n">
        <v>2</v>
      </c>
      <c r="F1907" s="1" t="n">
        <f aca="false">Y1907-X1907</f>
        <v>5</v>
      </c>
      <c r="G1907" s="1" t="n">
        <v>5</v>
      </c>
      <c r="H1907" s="3" t="s">
        <v>226</v>
      </c>
      <c r="I1907" s="3" t="s">
        <v>65</v>
      </c>
      <c r="J1907" s="3" t="s">
        <v>66</v>
      </c>
      <c r="K1907" s="2" t="str">
        <f aca="false">CONCATENATE(I1907," ",J1907)</f>
        <v>Zora Spinimana</v>
      </c>
      <c r="L1907" s="3" t="n">
        <f aca="false">SUM(P1907:U1907)</f>
        <v>1</v>
      </c>
      <c r="M1907" s="11" t="n">
        <f aca="false">(L1907/(F1907*G1907)*25)*4</f>
        <v>4</v>
      </c>
      <c r="N1907" s="1" t="s">
        <v>19</v>
      </c>
      <c r="O1907" s="1" t="s">
        <v>31</v>
      </c>
      <c r="P1907" s="3" t="n">
        <v>0</v>
      </c>
      <c r="Q1907" s="3" t="n">
        <v>0</v>
      </c>
      <c r="R1907" s="3" t="n">
        <v>1</v>
      </c>
      <c r="S1907" s="3" t="n">
        <v>0</v>
      </c>
      <c r="T1907" s="3" t="n">
        <v>0</v>
      </c>
      <c r="U1907" s="3" t="n">
        <v>0</v>
      </c>
      <c r="V1907" s="3" t="n">
        <f aca="false">SUM(P1907:Q1907)</f>
        <v>0</v>
      </c>
      <c r="W1907" s="3" t="n">
        <f aca="false">SUM(R1907:T1907)</f>
        <v>1</v>
      </c>
      <c r="X1907" s="22" t="n">
        <v>41869</v>
      </c>
      <c r="Y1907" s="22" t="n">
        <v>41874</v>
      </c>
    </row>
    <row r="1908" customFormat="false" ht="14.25" hidden="false" customHeight="false" outlineLevel="0" collapsed="false">
      <c r="A1908" s="1" t="n">
        <v>2014</v>
      </c>
      <c r="B1908" s="1" t="n">
        <v>2</v>
      </c>
      <c r="C1908" s="2" t="s">
        <v>25</v>
      </c>
      <c r="D1908" s="3" t="s">
        <v>101</v>
      </c>
      <c r="E1908" s="3" t="n">
        <v>2</v>
      </c>
      <c r="F1908" s="1" t="n">
        <f aca="false">Y1908-X1908</f>
        <v>5</v>
      </c>
      <c r="G1908" s="1" t="n">
        <v>5</v>
      </c>
      <c r="H1908" s="3" t="s">
        <v>138</v>
      </c>
      <c r="I1908" s="3" t="s">
        <v>205</v>
      </c>
      <c r="J1908" s="3" t="s">
        <v>206</v>
      </c>
      <c r="K1908" s="2" t="str">
        <f aca="false">CONCATENATE(I1908," ",J1908)</f>
        <v>Clubiona caerulescens</v>
      </c>
      <c r="L1908" s="3" t="n">
        <f aca="false">SUM(P1908:U1908)</f>
        <v>1</v>
      </c>
      <c r="M1908" s="11" t="n">
        <f aca="false">(L1908/(F1908*G1908)*25)*4</f>
        <v>4</v>
      </c>
      <c r="N1908" s="1" t="s">
        <v>30</v>
      </c>
      <c r="O1908" s="1" t="s">
        <v>35</v>
      </c>
      <c r="P1908" s="3" t="n">
        <v>0</v>
      </c>
      <c r="Q1908" s="3" t="n">
        <v>1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f aca="false">SUM(P1908:Q1908)</f>
        <v>1</v>
      </c>
      <c r="W1908" s="3" t="n">
        <f aca="false">SUM(R1908:T1908)</f>
        <v>0</v>
      </c>
      <c r="X1908" s="22" t="n">
        <v>41869</v>
      </c>
      <c r="Y1908" s="22" t="n">
        <v>41874</v>
      </c>
    </row>
    <row r="1909" customFormat="false" ht="14.25" hidden="false" customHeight="false" outlineLevel="0" collapsed="false">
      <c r="A1909" s="1" t="n">
        <v>2014</v>
      </c>
      <c r="B1909" s="1" t="n">
        <v>2</v>
      </c>
      <c r="C1909" s="2" t="s">
        <v>25</v>
      </c>
      <c r="D1909" s="3" t="s">
        <v>101</v>
      </c>
      <c r="E1909" s="3" t="n">
        <v>2</v>
      </c>
      <c r="F1909" s="1" t="n">
        <f aca="false">Y1909-X1909</f>
        <v>5</v>
      </c>
      <c r="G1909" s="1" t="n">
        <v>5</v>
      </c>
      <c r="H1909" s="3" t="s">
        <v>48</v>
      </c>
      <c r="I1909" s="3" t="s">
        <v>61</v>
      </c>
      <c r="J1909" s="3" t="s">
        <v>82</v>
      </c>
      <c r="K1909" s="2" t="str">
        <f aca="false">CONCATENATE(I1909," ",J1909)</f>
        <v>Trochosa terricola</v>
      </c>
      <c r="L1909" s="3" t="n">
        <f aca="false">SUM(P1909:U1909)</f>
        <v>1</v>
      </c>
      <c r="M1909" s="11" t="n">
        <f aca="false">(L1909/(F1909*G1909)*25)*4</f>
        <v>4</v>
      </c>
      <c r="N1909" s="1" t="s">
        <v>30</v>
      </c>
      <c r="O1909" s="1" t="s">
        <v>35</v>
      </c>
      <c r="P1909" s="3" t="n">
        <v>0</v>
      </c>
      <c r="Q1909" s="3" t="n">
        <v>1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f aca="false">SUM(P1909:Q1909)</f>
        <v>1</v>
      </c>
      <c r="W1909" s="3" t="n">
        <f aca="false">SUM(R1909:T1909)</f>
        <v>0</v>
      </c>
      <c r="X1909" s="22" t="n">
        <v>41869</v>
      </c>
      <c r="Y1909" s="22" t="n">
        <v>41874</v>
      </c>
    </row>
    <row r="1910" customFormat="false" ht="14.25" hidden="false" customHeight="false" outlineLevel="0" collapsed="false">
      <c r="A1910" s="1" t="n">
        <v>2014</v>
      </c>
      <c r="B1910" s="1" t="n">
        <v>2</v>
      </c>
      <c r="C1910" s="2" t="s">
        <v>25</v>
      </c>
      <c r="D1910" s="3" t="s">
        <v>101</v>
      </c>
      <c r="E1910" s="3" t="n">
        <v>2</v>
      </c>
      <c r="F1910" s="1" t="n">
        <f aca="false">Y1910-X1910</f>
        <v>5</v>
      </c>
      <c r="G1910" s="1" t="n">
        <v>5</v>
      </c>
      <c r="H1910" s="3" t="s">
        <v>48</v>
      </c>
      <c r="I1910" s="3" t="s">
        <v>49</v>
      </c>
      <c r="J1910" s="3" t="s">
        <v>38</v>
      </c>
      <c r="K1910" s="2" t="str">
        <f aca="false">CONCATENATE(I1910," ",J1910)</f>
        <v>Alopecosa sp</v>
      </c>
      <c r="L1910" s="3" t="n">
        <f aca="false">SUM(P1910:U1910)</f>
        <v>1</v>
      </c>
      <c r="M1910" s="11" t="n">
        <f aca="false">(L1910/(F1910*G1910)*25)*4</f>
        <v>4</v>
      </c>
      <c r="N1910" s="1" t="s">
        <v>19</v>
      </c>
      <c r="O1910" s="1" t="s">
        <v>35</v>
      </c>
      <c r="P1910" s="3" t="n">
        <v>0</v>
      </c>
      <c r="Q1910" s="3" t="n">
        <v>0</v>
      </c>
      <c r="R1910" s="3" t="n">
        <v>0</v>
      </c>
      <c r="S1910" s="3" t="n">
        <v>1</v>
      </c>
      <c r="T1910" s="3" t="n">
        <v>0</v>
      </c>
      <c r="U1910" s="3" t="n">
        <v>0</v>
      </c>
      <c r="V1910" s="3" t="n">
        <f aca="false">SUM(P1910:Q1910)</f>
        <v>0</v>
      </c>
      <c r="W1910" s="3" t="n">
        <f aca="false">SUM(R1910:T1910)</f>
        <v>1</v>
      </c>
      <c r="X1910" s="22" t="n">
        <v>41869</v>
      </c>
      <c r="Y1910" s="22" t="n">
        <v>41874</v>
      </c>
    </row>
    <row r="1911" customFormat="false" ht="14.25" hidden="false" customHeight="false" outlineLevel="0" collapsed="false">
      <c r="A1911" s="1" t="n">
        <v>2014</v>
      </c>
      <c r="B1911" s="1" t="n">
        <v>2</v>
      </c>
      <c r="C1911" s="2" t="s">
        <v>25</v>
      </c>
      <c r="D1911" s="3" t="s">
        <v>101</v>
      </c>
      <c r="E1911" s="3" t="n">
        <v>2</v>
      </c>
      <c r="F1911" s="1" t="n">
        <f aca="false">Y1911-X1911</f>
        <v>5</v>
      </c>
      <c r="G1911" s="1" t="n">
        <v>5</v>
      </c>
      <c r="H1911" s="3" t="s">
        <v>48</v>
      </c>
      <c r="I1911" s="3" t="s">
        <v>61</v>
      </c>
      <c r="J1911" s="3" t="s">
        <v>38</v>
      </c>
      <c r="K1911" s="2" t="str">
        <f aca="false">CONCATENATE(I1911," ",J1911)</f>
        <v>Trochosa sp</v>
      </c>
      <c r="L1911" s="3" t="n">
        <f aca="false">SUM(P1911:U1911)</f>
        <v>1</v>
      </c>
      <c r="M1911" s="11" t="n">
        <f aca="false">(L1911/(F1911*G1911)*25)*4</f>
        <v>4</v>
      </c>
      <c r="N1911" s="1" t="s">
        <v>19</v>
      </c>
      <c r="O1911" s="1" t="s">
        <v>54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1</v>
      </c>
      <c r="U1911" s="3" t="n">
        <v>0</v>
      </c>
      <c r="V1911" s="3" t="n">
        <f aca="false">SUM(P1911:Q1911)</f>
        <v>0</v>
      </c>
      <c r="W1911" s="3" t="n">
        <f aca="false">SUM(R1911:T1911)</f>
        <v>1</v>
      </c>
      <c r="X1911" s="22" t="n">
        <v>41869</v>
      </c>
      <c r="Y1911" s="22" t="n">
        <v>41874</v>
      </c>
    </row>
    <row r="1912" customFormat="false" ht="14.25" hidden="false" customHeight="false" outlineLevel="0" collapsed="false">
      <c r="A1912" s="1" t="n">
        <v>2014</v>
      </c>
      <c r="B1912" s="1" t="n">
        <v>2</v>
      </c>
      <c r="C1912" s="2" t="s">
        <v>25</v>
      </c>
      <c r="D1912" s="3" t="s">
        <v>101</v>
      </c>
      <c r="E1912" s="3" t="n">
        <v>2</v>
      </c>
      <c r="F1912" s="1" t="n">
        <f aca="false">Y1912-X1912</f>
        <v>5</v>
      </c>
      <c r="G1912" s="1" t="n">
        <v>5</v>
      </c>
      <c r="H1912" s="3" t="s">
        <v>48</v>
      </c>
      <c r="I1912" s="3" t="s">
        <v>57</v>
      </c>
      <c r="J1912" s="3" t="s">
        <v>38</v>
      </c>
      <c r="K1912" s="2" t="str">
        <f aca="false">CONCATENATE(I1912," ",J1912)</f>
        <v>Gen sp</v>
      </c>
      <c r="L1912" s="3" t="n">
        <f aca="false">SUM(P1912:U1912)</f>
        <v>1</v>
      </c>
      <c r="M1912" s="11" t="n">
        <f aca="false">(L1912/(F1912*G1912)*25)*4</f>
        <v>4</v>
      </c>
      <c r="N1912" s="1" t="s">
        <v>19</v>
      </c>
      <c r="O1912" s="1" t="s">
        <v>54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1</v>
      </c>
      <c r="U1912" s="3" t="n">
        <v>0</v>
      </c>
      <c r="V1912" s="3" t="n">
        <f aca="false">SUM(P1912:Q1912)</f>
        <v>0</v>
      </c>
      <c r="W1912" s="3" t="n">
        <f aca="false">SUM(R1912:T1912)</f>
        <v>1</v>
      </c>
      <c r="X1912" s="22" t="n">
        <v>41869</v>
      </c>
      <c r="Y1912" s="22" t="n">
        <v>41874</v>
      </c>
    </row>
    <row r="1913" customFormat="false" ht="14.25" hidden="false" customHeight="false" outlineLevel="0" collapsed="false">
      <c r="A1913" s="1" t="n">
        <v>2014</v>
      </c>
      <c r="B1913" s="1" t="n">
        <v>2</v>
      </c>
      <c r="C1913" s="2" t="s">
        <v>25</v>
      </c>
      <c r="D1913" s="3" t="s">
        <v>101</v>
      </c>
      <c r="E1913" s="3" t="n">
        <v>2</v>
      </c>
      <c r="F1913" s="1" t="n">
        <f aca="false">Y1913-X1913</f>
        <v>5</v>
      </c>
      <c r="G1913" s="1" t="n">
        <v>5</v>
      </c>
      <c r="H1913" s="3" t="s">
        <v>48</v>
      </c>
      <c r="I1913" s="3" t="s">
        <v>67</v>
      </c>
      <c r="J1913" s="3" t="s">
        <v>38</v>
      </c>
      <c r="K1913" s="2" t="str">
        <f aca="false">CONCATENATE(I1913," ",J1913)</f>
        <v>Pardosa sp</v>
      </c>
      <c r="L1913" s="3" t="n">
        <f aca="false">SUM(P1913:U1913)</f>
        <v>1</v>
      </c>
      <c r="M1913" s="11" t="n">
        <f aca="false">(L1913/(F1913*G1913)*25)*4</f>
        <v>4</v>
      </c>
      <c r="N1913" s="1" t="s">
        <v>19</v>
      </c>
      <c r="O1913" s="1" t="s">
        <v>31</v>
      </c>
      <c r="P1913" s="3" t="n">
        <v>0</v>
      </c>
      <c r="Q1913" s="3" t="n">
        <v>0</v>
      </c>
      <c r="R1913" s="3" t="n">
        <v>1</v>
      </c>
      <c r="S1913" s="3" t="n">
        <v>0</v>
      </c>
      <c r="T1913" s="3" t="n">
        <v>0</v>
      </c>
      <c r="U1913" s="3" t="n">
        <v>0</v>
      </c>
      <c r="V1913" s="3" t="n">
        <f aca="false">SUM(P1913:Q1913)</f>
        <v>0</v>
      </c>
      <c r="W1913" s="3" t="n">
        <f aca="false">SUM(R1913:T1913)</f>
        <v>1</v>
      </c>
      <c r="X1913" s="22" t="n">
        <v>41869</v>
      </c>
      <c r="Y1913" s="22" t="n">
        <v>41874</v>
      </c>
    </row>
    <row r="1914" customFormat="false" ht="14.25" hidden="false" customHeight="false" outlineLevel="0" collapsed="false">
      <c r="A1914" s="1" t="n">
        <v>2014</v>
      </c>
      <c r="B1914" s="1" t="n">
        <v>2</v>
      </c>
      <c r="C1914" s="2" t="s">
        <v>25</v>
      </c>
      <c r="D1914" s="3" t="s">
        <v>101</v>
      </c>
      <c r="E1914" s="3" t="n">
        <v>2</v>
      </c>
      <c r="F1914" s="1" t="n">
        <f aca="false">Y1914-X1914</f>
        <v>5</v>
      </c>
      <c r="G1914" s="1" t="n">
        <v>5</v>
      </c>
      <c r="H1914" s="3" t="s">
        <v>226</v>
      </c>
      <c r="I1914" s="3" t="s">
        <v>65</v>
      </c>
      <c r="J1914" s="3" t="s">
        <v>66</v>
      </c>
      <c r="K1914" s="2" t="str">
        <f aca="false">CONCATENATE(I1914," ",J1914)</f>
        <v>Zora Spinimana</v>
      </c>
      <c r="L1914" s="3" t="n">
        <f aca="false">SUM(P1914:U1914)</f>
        <v>1</v>
      </c>
      <c r="M1914" s="11" t="n">
        <f aca="false">(L1914/(F1914*G1914)*25)*4</f>
        <v>4</v>
      </c>
      <c r="N1914" s="1" t="s">
        <v>19</v>
      </c>
      <c r="O1914" s="1" t="s">
        <v>35</v>
      </c>
      <c r="P1914" s="3" t="n">
        <v>0</v>
      </c>
      <c r="Q1914" s="3" t="n">
        <v>0</v>
      </c>
      <c r="R1914" s="3" t="n">
        <v>0</v>
      </c>
      <c r="S1914" s="3" t="n">
        <v>1</v>
      </c>
      <c r="T1914" s="3" t="n">
        <v>0</v>
      </c>
      <c r="U1914" s="3" t="n">
        <v>0</v>
      </c>
      <c r="V1914" s="3" t="n">
        <f aca="false">SUM(P1914:Q1914)</f>
        <v>0</v>
      </c>
      <c r="W1914" s="3" t="n">
        <f aca="false">SUM(R1914:T1914)</f>
        <v>1</v>
      </c>
      <c r="X1914" s="22" t="n">
        <v>41869</v>
      </c>
      <c r="Y1914" s="22" t="n">
        <v>41874</v>
      </c>
    </row>
    <row r="1915" customFormat="false" ht="14.25" hidden="false" customHeight="false" outlineLevel="0" collapsed="false">
      <c r="A1915" s="1" t="n">
        <v>2014</v>
      </c>
      <c r="B1915" s="1" t="n">
        <v>2</v>
      </c>
      <c r="C1915" s="2" t="s">
        <v>25</v>
      </c>
      <c r="D1915" s="3" t="s">
        <v>101</v>
      </c>
      <c r="E1915" s="3" t="n">
        <v>2</v>
      </c>
      <c r="F1915" s="1" t="n">
        <f aca="false">Y1915-X1915</f>
        <v>5</v>
      </c>
      <c r="G1915" s="1" t="n">
        <v>5</v>
      </c>
      <c r="H1915" s="3" t="s">
        <v>48</v>
      </c>
      <c r="I1915" s="3" t="s">
        <v>49</v>
      </c>
      <c r="J1915" s="3" t="s">
        <v>38</v>
      </c>
      <c r="K1915" s="2" t="str">
        <f aca="false">CONCATENATE(I1915," ",J1915)</f>
        <v>Alopecosa sp</v>
      </c>
      <c r="L1915" s="3" t="n">
        <f aca="false">SUM(P1915:U1915)</f>
        <v>1</v>
      </c>
      <c r="M1915" s="11" t="n">
        <f aca="false">(L1915/(F1915*G1915)*25)*4</f>
        <v>4</v>
      </c>
      <c r="N1915" s="1" t="s">
        <v>19</v>
      </c>
      <c r="O1915" s="1" t="s">
        <v>31</v>
      </c>
      <c r="P1915" s="3" t="n">
        <v>0</v>
      </c>
      <c r="Q1915" s="3" t="n">
        <v>0</v>
      </c>
      <c r="R1915" s="3" t="n">
        <v>1</v>
      </c>
      <c r="S1915" s="3" t="n">
        <v>0</v>
      </c>
      <c r="T1915" s="3" t="n">
        <v>0</v>
      </c>
      <c r="U1915" s="3" t="n">
        <v>0</v>
      </c>
      <c r="V1915" s="3" t="n">
        <f aca="false">SUM(P1915:Q1915)</f>
        <v>0</v>
      </c>
      <c r="W1915" s="3" t="n">
        <f aca="false">SUM(R1915:T1915)</f>
        <v>1</v>
      </c>
      <c r="X1915" s="22" t="n">
        <v>41869</v>
      </c>
      <c r="Y1915" s="22" t="n">
        <v>41874</v>
      </c>
    </row>
    <row r="1916" customFormat="false" ht="14.25" hidden="false" customHeight="false" outlineLevel="0" collapsed="false">
      <c r="A1916" s="1" t="n">
        <v>2014</v>
      </c>
      <c r="B1916" s="1" t="n">
        <v>2</v>
      </c>
      <c r="C1916" s="2" t="s">
        <v>25</v>
      </c>
      <c r="D1916" s="3" t="s">
        <v>101</v>
      </c>
      <c r="E1916" s="3" t="n">
        <v>2</v>
      </c>
      <c r="F1916" s="1" t="n">
        <f aca="false">Y1916-X1916</f>
        <v>5</v>
      </c>
      <c r="G1916" s="1" t="n">
        <v>5</v>
      </c>
      <c r="H1916" s="3" t="s">
        <v>135</v>
      </c>
      <c r="I1916" s="3" t="s">
        <v>136</v>
      </c>
      <c r="J1916" s="3" t="s">
        <v>137</v>
      </c>
      <c r="K1916" s="2" t="str">
        <f aca="false">CONCATENATE(I1916," ",J1916)</f>
        <v>Thanatus sabulosus</v>
      </c>
      <c r="L1916" s="3" t="n">
        <f aca="false">SUM(P1916:U1916)</f>
        <v>1</v>
      </c>
      <c r="M1916" s="11" t="n">
        <f aca="false">(L1916/(F1916*G1916)*25)*4</f>
        <v>4</v>
      </c>
      <c r="N1916" s="1" t="s">
        <v>30</v>
      </c>
      <c r="O1916" s="1" t="s">
        <v>35</v>
      </c>
      <c r="P1916" s="3" t="n">
        <v>0</v>
      </c>
      <c r="Q1916" s="3" t="n">
        <v>1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f aca="false">SUM(P1916:Q1916)</f>
        <v>1</v>
      </c>
      <c r="W1916" s="3" t="n">
        <f aca="false">SUM(R1916:T1916)</f>
        <v>0</v>
      </c>
      <c r="X1916" s="22" t="n">
        <v>41869</v>
      </c>
      <c r="Y1916" s="22" t="n">
        <v>41874</v>
      </c>
    </row>
    <row r="1917" customFormat="false" ht="14.25" hidden="false" customHeight="false" outlineLevel="0" collapsed="false">
      <c r="A1917" s="1" t="n">
        <v>2014</v>
      </c>
      <c r="B1917" s="1" t="n">
        <v>2</v>
      </c>
      <c r="C1917" s="2" t="s">
        <v>25</v>
      </c>
      <c r="D1917" s="3" t="s">
        <v>101</v>
      </c>
      <c r="E1917" s="3" t="n">
        <v>2</v>
      </c>
      <c r="F1917" s="1" t="n">
        <f aca="false">Y1917-X1917</f>
        <v>5</v>
      </c>
      <c r="G1917" s="1" t="n">
        <v>5</v>
      </c>
      <c r="H1917" s="3" t="s">
        <v>135</v>
      </c>
      <c r="I1917" s="3" t="s">
        <v>57</v>
      </c>
      <c r="J1917" s="3" t="s">
        <v>38</v>
      </c>
      <c r="K1917" s="2" t="str">
        <f aca="false">CONCATENATE(I1917," ",J1917)</f>
        <v>Gen sp</v>
      </c>
      <c r="L1917" s="3" t="n">
        <f aca="false">SUM(P1917:U1917)</f>
        <v>1</v>
      </c>
      <c r="M1917" s="11" t="n">
        <f aca="false">(L1917/(F1917*G1917)*25)*4</f>
        <v>4</v>
      </c>
      <c r="N1917" s="1" t="s">
        <v>19</v>
      </c>
      <c r="O1917" s="1" t="s">
        <v>54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1</v>
      </c>
      <c r="U1917" s="3" t="n">
        <v>0</v>
      </c>
      <c r="V1917" s="3" t="n">
        <f aca="false">SUM(P1917:Q1917)</f>
        <v>0</v>
      </c>
      <c r="W1917" s="3" t="n">
        <f aca="false">SUM(R1917:T1917)</f>
        <v>1</v>
      </c>
      <c r="X1917" s="22" t="n">
        <v>41869</v>
      </c>
      <c r="Y1917" s="22" t="n">
        <v>41874</v>
      </c>
    </row>
    <row r="1918" customFormat="false" ht="14.25" hidden="false" customHeight="false" outlineLevel="0" collapsed="false">
      <c r="A1918" s="1" t="n">
        <v>2014</v>
      </c>
      <c r="B1918" s="1" t="n">
        <v>2</v>
      </c>
      <c r="C1918" s="2" t="s">
        <v>25</v>
      </c>
      <c r="D1918" s="3" t="s">
        <v>101</v>
      </c>
      <c r="E1918" s="3" t="n">
        <v>2</v>
      </c>
      <c r="F1918" s="1" t="n">
        <f aca="false">Y1918-X1918</f>
        <v>5</v>
      </c>
      <c r="G1918" s="1" t="n">
        <v>5</v>
      </c>
      <c r="H1918" s="3" t="s">
        <v>32</v>
      </c>
      <c r="I1918" s="3" t="s">
        <v>33</v>
      </c>
      <c r="J1918" s="3" t="s">
        <v>81</v>
      </c>
      <c r="K1918" s="2" t="str">
        <f aca="false">CONCATENATE(I1918," ",J1918)</f>
        <v>Tenuiphantes mengei</v>
      </c>
      <c r="L1918" s="3" t="n">
        <f aca="false">SUM(P1918:U1918)</f>
        <v>1</v>
      </c>
      <c r="M1918" s="11" t="n">
        <f aca="false">(L1918/(F1918*G1918)*25)*4</f>
        <v>4</v>
      </c>
      <c r="N1918" s="1" t="s">
        <v>30</v>
      </c>
      <c r="O1918" s="1" t="s">
        <v>35</v>
      </c>
      <c r="P1918" s="3" t="n">
        <v>0</v>
      </c>
      <c r="Q1918" s="3" t="n">
        <v>1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f aca="false">SUM(P1918:Q1918)</f>
        <v>1</v>
      </c>
      <c r="W1918" s="3" t="n">
        <f aca="false">SUM(R1918:T1918)</f>
        <v>0</v>
      </c>
      <c r="X1918" s="22" t="n">
        <v>41869</v>
      </c>
      <c r="Y1918" s="22" t="n">
        <v>41874</v>
      </c>
    </row>
    <row r="1919" customFormat="false" ht="14.25" hidden="false" customHeight="false" outlineLevel="0" collapsed="false">
      <c r="A1919" s="1" t="n">
        <v>2014</v>
      </c>
      <c r="B1919" s="1" t="n">
        <v>2</v>
      </c>
      <c r="C1919" s="2" t="s">
        <v>25</v>
      </c>
      <c r="D1919" s="3" t="s">
        <v>101</v>
      </c>
      <c r="E1919" s="3" t="n">
        <v>1</v>
      </c>
      <c r="F1919" s="1" t="n">
        <f aca="false">Y1919-X1919</f>
        <v>5</v>
      </c>
      <c r="G1919" s="1" t="n">
        <v>5</v>
      </c>
      <c r="H1919" s="3" t="s">
        <v>226</v>
      </c>
      <c r="I1919" s="3" t="s">
        <v>65</v>
      </c>
      <c r="J1919" s="3" t="s">
        <v>66</v>
      </c>
      <c r="K1919" s="2" t="str">
        <f aca="false">CONCATENATE(I1919," ",J1919)</f>
        <v>Zora Spinimana</v>
      </c>
      <c r="L1919" s="3" t="n">
        <f aca="false">SUM(P1919:U1919)</f>
        <v>1</v>
      </c>
      <c r="M1919" s="11" t="n">
        <f aca="false">(L1919/(F1919*G1919)*25)*4</f>
        <v>4</v>
      </c>
      <c r="N1919" s="1" t="s">
        <v>19</v>
      </c>
      <c r="O1919" s="1" t="s">
        <v>35</v>
      </c>
      <c r="P1919" s="3" t="n">
        <v>0</v>
      </c>
      <c r="Q1919" s="3" t="n">
        <v>0</v>
      </c>
      <c r="R1919" s="3" t="n">
        <v>0</v>
      </c>
      <c r="S1919" s="3" t="n">
        <v>1</v>
      </c>
      <c r="T1919" s="3" t="n">
        <v>0</v>
      </c>
      <c r="U1919" s="3" t="n">
        <v>0</v>
      </c>
      <c r="V1919" s="3" t="n">
        <f aca="false">SUM(P1919:Q1919)</f>
        <v>0</v>
      </c>
      <c r="W1919" s="3" t="n">
        <f aca="false">SUM(R1919:T1919)</f>
        <v>1</v>
      </c>
      <c r="X1919" s="22" t="n">
        <v>41869</v>
      </c>
      <c r="Y1919" s="22" t="n">
        <v>41874</v>
      </c>
    </row>
    <row r="1920" customFormat="false" ht="14.25" hidden="false" customHeight="false" outlineLevel="0" collapsed="false">
      <c r="A1920" s="1" t="n">
        <v>2014</v>
      </c>
      <c r="B1920" s="1" t="n">
        <v>2</v>
      </c>
      <c r="C1920" s="2" t="s">
        <v>25</v>
      </c>
      <c r="D1920" s="3" t="s">
        <v>101</v>
      </c>
      <c r="E1920" s="3" t="n">
        <v>1</v>
      </c>
      <c r="F1920" s="1" t="n">
        <f aca="false">Y1920-X1920</f>
        <v>5</v>
      </c>
      <c r="G1920" s="1" t="n">
        <v>5</v>
      </c>
      <c r="H1920" s="3" t="s">
        <v>36</v>
      </c>
      <c r="I1920" s="3" t="s">
        <v>37</v>
      </c>
      <c r="J1920" s="3" t="s">
        <v>75</v>
      </c>
      <c r="K1920" s="2" t="str">
        <f aca="false">CONCATENATE(I1920," ",J1920)</f>
        <v>Ozyptila praticola</v>
      </c>
      <c r="L1920" s="3" t="n">
        <f aca="false">SUM(P1920:U1920)</f>
        <v>1</v>
      </c>
      <c r="M1920" s="11" t="n">
        <f aca="false">(L1920/(F1920*G1920)*25)*4</f>
        <v>4</v>
      </c>
      <c r="N1920" s="1" t="s">
        <v>30</v>
      </c>
      <c r="O1920" s="1" t="s">
        <v>31</v>
      </c>
      <c r="P1920" s="3" t="n">
        <v>1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f aca="false">SUM(P1920:Q1920)</f>
        <v>1</v>
      </c>
      <c r="W1920" s="3" t="n">
        <f aca="false">SUM(R1920:T1920)</f>
        <v>0</v>
      </c>
      <c r="X1920" s="22" t="n">
        <v>41869</v>
      </c>
      <c r="Y1920" s="22" t="n">
        <v>41874</v>
      </c>
    </row>
    <row r="1921" customFormat="false" ht="14.25" hidden="false" customHeight="false" outlineLevel="0" collapsed="false">
      <c r="A1921" s="1" t="n">
        <v>2014</v>
      </c>
      <c r="B1921" s="1" t="n">
        <v>2</v>
      </c>
      <c r="C1921" s="2" t="s">
        <v>25</v>
      </c>
      <c r="D1921" s="3" t="s">
        <v>101</v>
      </c>
      <c r="E1921" s="3" t="n">
        <v>1</v>
      </c>
      <c r="F1921" s="1" t="n">
        <f aca="false">Y1921-X1921</f>
        <v>5</v>
      </c>
      <c r="G1921" s="1" t="n">
        <v>5</v>
      </c>
      <c r="H1921" s="3" t="s">
        <v>36</v>
      </c>
      <c r="I1921" s="3" t="s">
        <v>37</v>
      </c>
      <c r="J1921" s="3" t="s">
        <v>109</v>
      </c>
      <c r="K1921" s="2" t="str">
        <f aca="false">CONCATENATE(I1921," ",J1921)</f>
        <v>Ozyptila trux</v>
      </c>
      <c r="L1921" s="3" t="n">
        <f aca="false">SUM(P1921:U1921)</f>
        <v>1</v>
      </c>
      <c r="M1921" s="11" t="n">
        <f aca="false">(L1921/(F1921*G1921)*25)*4</f>
        <v>4</v>
      </c>
      <c r="N1921" s="1" t="s">
        <v>30</v>
      </c>
      <c r="O1921" s="1" t="s">
        <v>35</v>
      </c>
      <c r="P1921" s="3" t="n">
        <v>0</v>
      </c>
      <c r="Q1921" s="3" t="n">
        <v>1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f aca="false">SUM(P1921:Q1921)</f>
        <v>1</v>
      </c>
      <c r="W1921" s="3" t="n">
        <f aca="false">SUM(R1921:T1921)</f>
        <v>0</v>
      </c>
      <c r="X1921" s="22" t="n">
        <v>41869</v>
      </c>
      <c r="Y1921" s="22" t="n">
        <v>41874</v>
      </c>
    </row>
    <row r="1922" customFormat="false" ht="14.25" hidden="false" customHeight="false" outlineLevel="0" collapsed="false">
      <c r="A1922" s="1" t="n">
        <v>2014</v>
      </c>
      <c r="B1922" s="1" t="n">
        <v>2</v>
      </c>
      <c r="C1922" s="2" t="s">
        <v>25</v>
      </c>
      <c r="D1922" s="3" t="s">
        <v>101</v>
      </c>
      <c r="E1922" s="3" t="n">
        <v>1</v>
      </c>
      <c r="F1922" s="1" t="n">
        <f aca="false">Y1922-X1922</f>
        <v>5</v>
      </c>
      <c r="G1922" s="1" t="n">
        <v>5</v>
      </c>
      <c r="H1922" s="3" t="s">
        <v>48</v>
      </c>
      <c r="I1922" s="3" t="s">
        <v>49</v>
      </c>
      <c r="J1922" s="3" t="s">
        <v>38</v>
      </c>
      <c r="K1922" s="2" t="str">
        <f aca="false">CONCATENATE(I1922," ",J1922)</f>
        <v>Alopecosa sp</v>
      </c>
      <c r="L1922" s="3" t="n">
        <f aca="false">SUM(P1922:U1922)</f>
        <v>1</v>
      </c>
      <c r="M1922" s="11" t="n">
        <f aca="false">(L1922/(F1922*G1922)*25)*4</f>
        <v>4</v>
      </c>
      <c r="N1922" s="1" t="s">
        <v>19</v>
      </c>
      <c r="O1922" s="1" t="s">
        <v>35</v>
      </c>
      <c r="P1922" s="3" t="n">
        <v>0</v>
      </c>
      <c r="Q1922" s="3" t="n">
        <v>0</v>
      </c>
      <c r="R1922" s="3" t="n">
        <v>0</v>
      </c>
      <c r="S1922" s="3" t="n">
        <v>1</v>
      </c>
      <c r="T1922" s="3" t="n">
        <v>0</v>
      </c>
      <c r="U1922" s="3" t="n">
        <v>0</v>
      </c>
      <c r="V1922" s="3" t="n">
        <f aca="false">SUM(P1922:Q1922)</f>
        <v>0</v>
      </c>
      <c r="W1922" s="3" t="n">
        <f aca="false">SUM(R1922:T1922)</f>
        <v>1</v>
      </c>
      <c r="X1922" s="22" t="n">
        <v>41869</v>
      </c>
      <c r="Y1922" s="22" t="n">
        <v>41874</v>
      </c>
    </row>
    <row r="1923" customFormat="false" ht="14.25" hidden="false" customHeight="false" outlineLevel="0" collapsed="false">
      <c r="A1923" s="1" t="n">
        <v>2014</v>
      </c>
      <c r="B1923" s="1" t="n">
        <v>2</v>
      </c>
      <c r="C1923" s="2" t="s">
        <v>25</v>
      </c>
      <c r="D1923" s="3" t="s">
        <v>101</v>
      </c>
      <c r="E1923" s="3" t="n">
        <v>1</v>
      </c>
      <c r="F1923" s="1" t="n">
        <f aca="false">Y1923-X1923</f>
        <v>5</v>
      </c>
      <c r="G1923" s="1" t="n">
        <v>5</v>
      </c>
      <c r="H1923" s="3" t="s">
        <v>48</v>
      </c>
      <c r="I1923" s="3" t="s">
        <v>61</v>
      </c>
      <c r="J1923" s="3" t="s">
        <v>82</v>
      </c>
      <c r="K1923" s="2" t="str">
        <f aca="false">CONCATENATE(I1923," ",J1923)</f>
        <v>Trochosa terricola</v>
      </c>
      <c r="L1923" s="3" t="n">
        <f aca="false">SUM(P1923:U1923)</f>
        <v>1</v>
      </c>
      <c r="M1923" s="11" t="n">
        <f aca="false">(L1923/(F1923*G1923)*25)*4</f>
        <v>4</v>
      </c>
      <c r="N1923" s="1" t="s">
        <v>30</v>
      </c>
      <c r="O1923" s="1" t="s">
        <v>35</v>
      </c>
      <c r="P1923" s="3" t="n">
        <v>0</v>
      </c>
      <c r="Q1923" s="3" t="n">
        <v>1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f aca="false">SUM(P1923:Q1923)</f>
        <v>1</v>
      </c>
      <c r="W1923" s="3" t="n">
        <f aca="false">SUM(R1923:T1923)</f>
        <v>0</v>
      </c>
      <c r="X1923" s="22" t="n">
        <v>41869</v>
      </c>
      <c r="Y1923" s="22" t="n">
        <v>41874</v>
      </c>
    </row>
    <row r="1924" customFormat="false" ht="14.25" hidden="false" customHeight="false" outlineLevel="0" collapsed="false">
      <c r="A1924" s="1" t="n">
        <v>2014</v>
      </c>
      <c r="B1924" s="1" t="n">
        <v>2</v>
      </c>
      <c r="C1924" s="2" t="s">
        <v>25</v>
      </c>
      <c r="D1924" s="3" t="s">
        <v>101</v>
      </c>
      <c r="E1924" s="3" t="n">
        <v>1</v>
      </c>
      <c r="F1924" s="1" t="n">
        <f aca="false">Y1924-X1924</f>
        <v>5</v>
      </c>
      <c r="G1924" s="1" t="n">
        <v>5</v>
      </c>
      <c r="H1924" s="3" t="s">
        <v>48</v>
      </c>
      <c r="I1924" s="3" t="s">
        <v>61</v>
      </c>
      <c r="J1924" s="3" t="s">
        <v>38</v>
      </c>
      <c r="K1924" s="2" t="str">
        <f aca="false">CONCATENATE(I1924," ",J1924)</f>
        <v>Trochosa sp</v>
      </c>
      <c r="L1924" s="3" t="n">
        <f aca="false">SUM(P1924:U1924)</f>
        <v>1</v>
      </c>
      <c r="M1924" s="11" t="n">
        <f aca="false">(L1924/(F1924*G1924)*25)*4</f>
        <v>4</v>
      </c>
      <c r="N1924" s="1" t="s">
        <v>19</v>
      </c>
      <c r="O1924" s="1" t="s">
        <v>54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1</v>
      </c>
      <c r="U1924" s="3" t="n">
        <v>0</v>
      </c>
      <c r="V1924" s="3" t="n">
        <f aca="false">SUM(P1924:Q1924)</f>
        <v>0</v>
      </c>
      <c r="W1924" s="3" t="n">
        <f aca="false">SUM(R1924:T1924)</f>
        <v>1</v>
      </c>
      <c r="X1924" s="22" t="n">
        <v>41869</v>
      </c>
      <c r="Y1924" s="22" t="n">
        <v>41874</v>
      </c>
    </row>
    <row r="1925" customFormat="false" ht="14.25" hidden="false" customHeight="false" outlineLevel="0" collapsed="false">
      <c r="A1925" s="1" t="n">
        <v>2014</v>
      </c>
      <c r="B1925" s="1" t="n">
        <v>2</v>
      </c>
      <c r="C1925" s="2" t="s">
        <v>25</v>
      </c>
      <c r="D1925" s="3" t="s">
        <v>101</v>
      </c>
      <c r="E1925" s="3" t="n">
        <v>3</v>
      </c>
      <c r="F1925" s="1" t="n">
        <f aca="false">Y1925-X1925</f>
        <v>5</v>
      </c>
      <c r="G1925" s="1" t="n">
        <v>5</v>
      </c>
      <c r="H1925" s="3" t="s">
        <v>41</v>
      </c>
      <c r="I1925" s="3" t="s">
        <v>42</v>
      </c>
      <c r="J1925" s="3" t="s">
        <v>43</v>
      </c>
      <c r="K1925" s="2" t="str">
        <f aca="false">CONCATENATE(I1925," ",J1925)</f>
        <v>Agroeca proxima</v>
      </c>
      <c r="L1925" s="3" t="n">
        <f aca="false">SUM(P1925:U1925)</f>
        <v>1</v>
      </c>
      <c r="M1925" s="11" t="n">
        <f aca="false">(L1925/(F1925*G1925)*25)*4</f>
        <v>4</v>
      </c>
      <c r="N1925" s="1" t="s">
        <v>30</v>
      </c>
      <c r="O1925" s="1" t="s">
        <v>31</v>
      </c>
      <c r="P1925" s="3" t="n">
        <v>1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f aca="false">SUM(P1925:Q1925)</f>
        <v>1</v>
      </c>
      <c r="W1925" s="3" t="n">
        <f aca="false">SUM(R1925:T1925)</f>
        <v>0</v>
      </c>
      <c r="X1925" s="22" t="n">
        <v>41869</v>
      </c>
      <c r="Y1925" s="22" t="n">
        <v>41874</v>
      </c>
    </row>
    <row r="1926" customFormat="false" ht="14.25" hidden="false" customHeight="false" outlineLevel="0" collapsed="false">
      <c r="A1926" s="1" t="n">
        <v>2014</v>
      </c>
      <c r="B1926" s="1" t="n">
        <v>2</v>
      </c>
      <c r="C1926" s="2" t="s">
        <v>25</v>
      </c>
      <c r="D1926" s="3" t="s">
        <v>101</v>
      </c>
      <c r="E1926" s="3" t="n">
        <v>3</v>
      </c>
      <c r="F1926" s="1" t="n">
        <f aca="false">Y1926-X1926</f>
        <v>5</v>
      </c>
      <c r="G1926" s="1" t="n">
        <v>5</v>
      </c>
      <c r="H1926" s="3" t="s">
        <v>36</v>
      </c>
      <c r="I1926" s="3" t="s">
        <v>37</v>
      </c>
      <c r="J1926" s="3" t="s">
        <v>75</v>
      </c>
      <c r="K1926" s="2" t="str">
        <f aca="false">CONCATENATE(I1926," ",J1926)</f>
        <v>Ozyptila praticola</v>
      </c>
      <c r="L1926" s="3" t="n">
        <f aca="false">SUM(P1926:U1926)</f>
        <v>2</v>
      </c>
      <c r="M1926" s="11" t="n">
        <f aca="false">(L1926/(F1926*G1926)*25)*4</f>
        <v>8</v>
      </c>
      <c r="N1926" s="1" t="s">
        <v>30</v>
      </c>
      <c r="O1926" s="1" t="s">
        <v>31</v>
      </c>
      <c r="P1926" s="3" t="n">
        <v>2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f aca="false">SUM(P1926:Q1926)</f>
        <v>2</v>
      </c>
      <c r="W1926" s="3" t="n">
        <f aca="false">SUM(R1926:T1926)</f>
        <v>0</v>
      </c>
      <c r="X1926" s="22" t="n">
        <v>41869</v>
      </c>
      <c r="Y1926" s="22" t="n">
        <v>41874</v>
      </c>
    </row>
    <row r="1927" customFormat="false" ht="14.25" hidden="false" customHeight="false" outlineLevel="0" collapsed="false">
      <c r="A1927" s="1" t="n">
        <v>2014</v>
      </c>
      <c r="B1927" s="1" t="n">
        <v>2</v>
      </c>
      <c r="C1927" s="2" t="s">
        <v>25</v>
      </c>
      <c r="D1927" s="3" t="s">
        <v>101</v>
      </c>
      <c r="E1927" s="3" t="n">
        <v>3</v>
      </c>
      <c r="F1927" s="1" t="n">
        <f aca="false">Y1927-X1927</f>
        <v>5</v>
      </c>
      <c r="G1927" s="1" t="n">
        <v>5</v>
      </c>
      <c r="H1927" s="3" t="s">
        <v>32</v>
      </c>
      <c r="I1927" s="3" t="s">
        <v>68</v>
      </c>
      <c r="J1927" s="3" t="s">
        <v>69</v>
      </c>
      <c r="K1927" s="2" t="str">
        <f aca="false">CONCATENATE(I1927," ",J1927)</f>
        <v>Centromerus sylvaticus</v>
      </c>
      <c r="L1927" s="3" t="n">
        <f aca="false">SUM(P1927:U1927)</f>
        <v>1</v>
      </c>
      <c r="M1927" s="11" t="n">
        <f aca="false">(L1927/(F1927*G1927)*25)*4</f>
        <v>4</v>
      </c>
      <c r="N1927" s="1" t="s">
        <v>30</v>
      </c>
      <c r="O1927" s="1" t="s">
        <v>35</v>
      </c>
      <c r="P1927" s="3" t="n">
        <v>0</v>
      </c>
      <c r="Q1927" s="3" t="n">
        <v>1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f aca="false">SUM(P1927:Q1927)</f>
        <v>1</v>
      </c>
      <c r="W1927" s="3" t="n">
        <f aca="false">SUM(R1927:T1927)</f>
        <v>0</v>
      </c>
      <c r="X1927" s="22" t="n">
        <v>41869</v>
      </c>
      <c r="Y1927" s="22" t="n">
        <v>41874</v>
      </c>
    </row>
    <row r="1928" customFormat="false" ht="14.25" hidden="false" customHeight="false" outlineLevel="0" collapsed="false">
      <c r="A1928" s="1" t="n">
        <v>2014</v>
      </c>
      <c r="B1928" s="1" t="n">
        <v>2</v>
      </c>
      <c r="C1928" s="2" t="s">
        <v>25</v>
      </c>
      <c r="D1928" s="3" t="s">
        <v>101</v>
      </c>
      <c r="E1928" s="3" t="n">
        <v>2</v>
      </c>
      <c r="F1928" s="1" t="n">
        <f aca="false">Y1928-X1928</f>
        <v>5</v>
      </c>
      <c r="G1928" s="1" t="n">
        <v>5</v>
      </c>
      <c r="H1928" s="3" t="s">
        <v>48</v>
      </c>
      <c r="I1928" s="3" t="s">
        <v>49</v>
      </c>
      <c r="J1928" s="3" t="s">
        <v>104</v>
      </c>
      <c r="K1928" s="2" t="str">
        <f aca="false">CONCATENATE(I1928," ",J1928)</f>
        <v>Alopecosa taeniata</v>
      </c>
      <c r="L1928" s="3" t="n">
        <f aca="false">SUM(P1928:U1928)</f>
        <v>1</v>
      </c>
      <c r="M1928" s="11" t="n">
        <f aca="false">(L1928/(F1928*G1928)*25)*4</f>
        <v>4</v>
      </c>
      <c r="N1928" s="1" t="s">
        <v>30</v>
      </c>
      <c r="O1928" s="1" t="s">
        <v>35</v>
      </c>
      <c r="P1928" s="3" t="n">
        <v>0</v>
      </c>
      <c r="Q1928" s="3" t="n">
        <v>1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f aca="false">SUM(P1928:Q1928)</f>
        <v>1</v>
      </c>
      <c r="W1928" s="3" t="n">
        <f aca="false">SUM(R1928:T1928)</f>
        <v>0</v>
      </c>
      <c r="X1928" s="22" t="n">
        <v>41869</v>
      </c>
      <c r="Y1928" s="22" t="n">
        <v>41874</v>
      </c>
    </row>
    <row r="1929" customFormat="false" ht="14.25" hidden="false" customHeight="false" outlineLevel="0" collapsed="false">
      <c r="A1929" s="1" t="n">
        <v>2014</v>
      </c>
      <c r="B1929" s="1" t="n">
        <v>2</v>
      </c>
      <c r="C1929" s="2" t="s">
        <v>25</v>
      </c>
      <c r="D1929" s="3" t="s">
        <v>101</v>
      </c>
      <c r="E1929" s="3" t="n">
        <v>2</v>
      </c>
      <c r="F1929" s="1" t="n">
        <f aca="false">Y1929-X1929</f>
        <v>5</v>
      </c>
      <c r="G1929" s="1" t="n">
        <v>5</v>
      </c>
      <c r="H1929" s="3" t="s">
        <v>226</v>
      </c>
      <c r="I1929" s="3" t="s">
        <v>65</v>
      </c>
      <c r="J1929" s="3" t="s">
        <v>66</v>
      </c>
      <c r="K1929" s="2" t="str">
        <f aca="false">CONCATENATE(I1929," ",J1929)</f>
        <v>Zora Spinimana</v>
      </c>
      <c r="L1929" s="3" t="n">
        <f aca="false">SUM(P1929:U1929)</f>
        <v>1</v>
      </c>
      <c r="M1929" s="11" t="n">
        <f aca="false">(L1929/(F1929*G1929)*25)*4</f>
        <v>4</v>
      </c>
      <c r="N1929" s="1" t="s">
        <v>30</v>
      </c>
      <c r="O1929" s="1" t="s">
        <v>35</v>
      </c>
      <c r="P1929" s="3" t="n">
        <v>0</v>
      </c>
      <c r="Q1929" s="3" t="n">
        <v>1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f aca="false">SUM(P1929:Q1929)</f>
        <v>1</v>
      </c>
      <c r="W1929" s="3" t="n">
        <f aca="false">SUM(R1929:T1929)</f>
        <v>0</v>
      </c>
      <c r="X1929" s="22" t="n">
        <v>41869</v>
      </c>
      <c r="Y1929" s="22" t="n">
        <v>41874</v>
      </c>
    </row>
    <row r="1930" customFormat="false" ht="14.25" hidden="false" customHeight="false" outlineLevel="0" collapsed="false">
      <c r="A1930" s="1" t="n">
        <v>2014</v>
      </c>
      <c r="B1930" s="1" t="n">
        <v>2</v>
      </c>
      <c r="C1930" s="2" t="s">
        <v>25</v>
      </c>
      <c r="D1930" s="3" t="s">
        <v>101</v>
      </c>
      <c r="E1930" s="3" t="n">
        <v>2</v>
      </c>
      <c r="F1930" s="1" t="n">
        <f aca="false">Y1930-X1930</f>
        <v>5</v>
      </c>
      <c r="G1930" s="1" t="n">
        <v>5</v>
      </c>
      <c r="H1930" s="3" t="s">
        <v>226</v>
      </c>
      <c r="I1930" s="3" t="s">
        <v>65</v>
      </c>
      <c r="J1930" s="3" t="s">
        <v>66</v>
      </c>
      <c r="K1930" s="2" t="str">
        <f aca="false">CONCATENATE(I1930," ",J1930)</f>
        <v>Zora Spinimana</v>
      </c>
      <c r="L1930" s="3" t="n">
        <f aca="false">SUM(P1930:U1930)</f>
        <v>1</v>
      </c>
      <c r="M1930" s="11" t="n">
        <f aca="false">(L1930/(F1930*G1930)*25)*4</f>
        <v>4</v>
      </c>
      <c r="N1930" s="1" t="s">
        <v>19</v>
      </c>
      <c r="O1930" s="1" t="s">
        <v>35</v>
      </c>
      <c r="P1930" s="3" t="n">
        <v>0</v>
      </c>
      <c r="Q1930" s="3" t="n">
        <v>0</v>
      </c>
      <c r="R1930" s="3" t="n">
        <v>0</v>
      </c>
      <c r="S1930" s="3" t="n">
        <v>1</v>
      </c>
      <c r="T1930" s="3" t="n">
        <v>0</v>
      </c>
      <c r="U1930" s="3" t="n">
        <v>0</v>
      </c>
      <c r="V1930" s="3" t="n">
        <f aca="false">SUM(P1930:Q1930)</f>
        <v>0</v>
      </c>
      <c r="W1930" s="3" t="n">
        <f aca="false">SUM(R1930:T1930)</f>
        <v>1</v>
      </c>
      <c r="X1930" s="22" t="n">
        <v>41869</v>
      </c>
      <c r="Y1930" s="22" t="n">
        <v>41874</v>
      </c>
    </row>
    <row r="1931" customFormat="false" ht="14.25" hidden="false" customHeight="false" outlineLevel="0" collapsed="false">
      <c r="A1931" s="1" t="n">
        <v>2014</v>
      </c>
      <c r="B1931" s="1" t="n">
        <v>2</v>
      </c>
      <c r="C1931" s="2" t="s">
        <v>25</v>
      </c>
      <c r="D1931" s="3" t="s">
        <v>101</v>
      </c>
      <c r="E1931" s="3" t="n">
        <v>1</v>
      </c>
      <c r="F1931" s="1" t="n">
        <f aca="false">Y1931-X1931</f>
        <v>5</v>
      </c>
      <c r="G1931" s="1" t="n">
        <v>5</v>
      </c>
      <c r="H1931" s="3" t="s">
        <v>48</v>
      </c>
      <c r="I1931" s="3" t="s">
        <v>49</v>
      </c>
      <c r="J1931" s="3" t="s">
        <v>38</v>
      </c>
      <c r="K1931" s="2" t="str">
        <f aca="false">CONCATENATE(I1931," ",J1931)</f>
        <v>Alopecosa sp</v>
      </c>
      <c r="L1931" s="3" t="n">
        <f aca="false">SUM(P1931:U1931)</f>
        <v>1</v>
      </c>
      <c r="M1931" s="11" t="n">
        <f aca="false">(L1931/(F1931*G1931)*25)*4</f>
        <v>4</v>
      </c>
      <c r="N1931" s="1" t="s">
        <v>19</v>
      </c>
      <c r="O1931" s="1" t="s">
        <v>31</v>
      </c>
      <c r="P1931" s="3" t="n">
        <v>0</v>
      </c>
      <c r="Q1931" s="3" t="n">
        <v>0</v>
      </c>
      <c r="R1931" s="3" t="n">
        <v>1</v>
      </c>
      <c r="S1931" s="3" t="n">
        <v>0</v>
      </c>
      <c r="T1931" s="3" t="n">
        <v>0</v>
      </c>
      <c r="U1931" s="3" t="n">
        <v>0</v>
      </c>
      <c r="V1931" s="3" t="n">
        <f aca="false">SUM(P1931:Q1931)</f>
        <v>0</v>
      </c>
      <c r="W1931" s="3" t="n">
        <f aca="false">SUM(R1931:T1931)</f>
        <v>1</v>
      </c>
      <c r="X1931" s="22" t="n">
        <v>41869</v>
      </c>
      <c r="Y1931" s="22" t="n">
        <v>41874</v>
      </c>
    </row>
    <row r="1932" customFormat="false" ht="14.25" hidden="false" customHeight="false" outlineLevel="0" collapsed="false">
      <c r="A1932" s="1" t="n">
        <v>2014</v>
      </c>
      <c r="B1932" s="1" t="n">
        <v>2</v>
      </c>
      <c r="C1932" s="2" t="s">
        <v>25</v>
      </c>
      <c r="D1932" s="3" t="s">
        <v>101</v>
      </c>
      <c r="E1932" s="3" t="n">
        <v>1</v>
      </c>
      <c r="F1932" s="1" t="n">
        <f aca="false">Y1932-X1932</f>
        <v>5</v>
      </c>
      <c r="G1932" s="1" t="n">
        <v>5</v>
      </c>
      <c r="H1932" s="3" t="s">
        <v>48</v>
      </c>
      <c r="I1932" s="3" t="s">
        <v>61</v>
      </c>
      <c r="J1932" s="3" t="s">
        <v>82</v>
      </c>
      <c r="K1932" s="2" t="str">
        <f aca="false">CONCATENATE(I1932," ",J1932)</f>
        <v>Trochosa terricola</v>
      </c>
      <c r="L1932" s="3" t="n">
        <f aca="false">SUM(P1932:U1932)</f>
        <v>2</v>
      </c>
      <c r="M1932" s="11" t="n">
        <f aca="false">(L1932/(F1932*G1932)*25)*4</f>
        <v>8</v>
      </c>
      <c r="N1932" s="1" t="s">
        <v>30</v>
      </c>
      <c r="O1932" s="1" t="s">
        <v>31</v>
      </c>
      <c r="P1932" s="3" t="n">
        <v>2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f aca="false">SUM(P1932:Q1932)</f>
        <v>2</v>
      </c>
      <c r="W1932" s="3" t="n">
        <f aca="false">SUM(R1932:T1932)</f>
        <v>0</v>
      </c>
      <c r="X1932" s="22" t="n">
        <v>41869</v>
      </c>
      <c r="Y1932" s="22" t="n">
        <v>41874</v>
      </c>
    </row>
    <row r="1933" customFormat="false" ht="14.25" hidden="false" customHeight="false" outlineLevel="0" collapsed="false">
      <c r="A1933" s="1" t="n">
        <v>2014</v>
      </c>
      <c r="B1933" s="1" t="n">
        <v>2</v>
      </c>
      <c r="C1933" s="2" t="s">
        <v>25</v>
      </c>
      <c r="D1933" s="3" t="s">
        <v>101</v>
      </c>
      <c r="E1933" s="3" t="n">
        <v>1</v>
      </c>
      <c r="F1933" s="1" t="n">
        <f aca="false">Y1933-X1933</f>
        <v>5</v>
      </c>
      <c r="G1933" s="1" t="n">
        <v>5</v>
      </c>
      <c r="H1933" s="3" t="s">
        <v>48</v>
      </c>
      <c r="I1933" s="3" t="s">
        <v>61</v>
      </c>
      <c r="J1933" s="3" t="s">
        <v>82</v>
      </c>
      <c r="K1933" s="2" t="str">
        <f aca="false">CONCATENATE(I1933," ",J1933)</f>
        <v>Trochosa terricola</v>
      </c>
      <c r="L1933" s="3" t="n">
        <f aca="false">SUM(P1933:U1933)</f>
        <v>1</v>
      </c>
      <c r="M1933" s="11" t="n">
        <f aca="false">(L1933/(F1933*G1933)*25)*4</f>
        <v>4</v>
      </c>
      <c r="N1933" s="1" t="s">
        <v>30</v>
      </c>
      <c r="O1933" s="1" t="s">
        <v>35</v>
      </c>
      <c r="P1933" s="3" t="n">
        <v>0</v>
      </c>
      <c r="Q1933" s="3" t="n">
        <v>1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f aca="false">SUM(P1933:Q1933)</f>
        <v>1</v>
      </c>
      <c r="W1933" s="3" t="n">
        <f aca="false">SUM(R1933:T1933)</f>
        <v>0</v>
      </c>
      <c r="X1933" s="22" t="n">
        <v>41869</v>
      </c>
      <c r="Y1933" s="22" t="n">
        <v>41874</v>
      </c>
    </row>
    <row r="1934" customFormat="false" ht="14.25" hidden="false" customHeight="false" outlineLevel="0" collapsed="false">
      <c r="A1934" s="1" t="n">
        <v>2014</v>
      </c>
      <c r="B1934" s="1" t="n">
        <v>2</v>
      </c>
      <c r="C1934" s="2" t="s">
        <v>25</v>
      </c>
      <c r="D1934" s="3" t="s">
        <v>101</v>
      </c>
      <c r="E1934" s="3" t="n">
        <v>3</v>
      </c>
      <c r="F1934" s="1" t="n">
        <f aca="false">Y1934-X1934</f>
        <v>5</v>
      </c>
      <c r="G1934" s="1" t="n">
        <v>5</v>
      </c>
      <c r="H1934" s="3" t="s">
        <v>48</v>
      </c>
      <c r="I1934" s="3" t="s">
        <v>61</v>
      </c>
      <c r="J1934" s="3" t="s">
        <v>82</v>
      </c>
      <c r="K1934" s="2" t="str">
        <f aca="false">CONCATENATE(I1934," ",J1934)</f>
        <v>Trochosa terricola</v>
      </c>
      <c r="L1934" s="3" t="n">
        <f aca="false">SUM(P1934:U1934)</f>
        <v>1</v>
      </c>
      <c r="M1934" s="11" t="n">
        <f aca="false">(L1934/(F1934*G1934)*25)*4</f>
        <v>4</v>
      </c>
      <c r="N1934" s="1" t="s">
        <v>30</v>
      </c>
      <c r="O1934" s="1" t="s">
        <v>35</v>
      </c>
      <c r="P1934" s="3" t="n">
        <v>0</v>
      </c>
      <c r="Q1934" s="3" t="n">
        <v>1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f aca="false">SUM(P1934:Q1934)</f>
        <v>1</v>
      </c>
      <c r="W1934" s="3" t="n">
        <f aca="false">SUM(R1934:T1934)</f>
        <v>0</v>
      </c>
      <c r="X1934" s="22" t="n">
        <v>41869</v>
      </c>
      <c r="Y1934" s="22" t="n">
        <v>41874</v>
      </c>
    </row>
    <row r="1935" customFormat="false" ht="14.25" hidden="false" customHeight="false" outlineLevel="0" collapsed="false">
      <c r="A1935" s="1" t="n">
        <v>2014</v>
      </c>
      <c r="B1935" s="1" t="n">
        <v>2</v>
      </c>
      <c r="C1935" s="2" t="s">
        <v>25</v>
      </c>
      <c r="D1935" s="3" t="s">
        <v>101</v>
      </c>
      <c r="E1935" s="3" t="n">
        <v>3</v>
      </c>
      <c r="F1935" s="1" t="n">
        <f aca="false">Y1935-X1935</f>
        <v>5</v>
      </c>
      <c r="G1935" s="1" t="n">
        <v>5</v>
      </c>
      <c r="H1935" s="3" t="s">
        <v>36</v>
      </c>
      <c r="I1935" s="3" t="s">
        <v>37</v>
      </c>
      <c r="J1935" s="3" t="s">
        <v>75</v>
      </c>
      <c r="K1935" s="2" t="str">
        <f aca="false">CONCATENATE(I1935," ",J1935)</f>
        <v>Ozyptila praticola</v>
      </c>
      <c r="L1935" s="3" t="n">
        <f aca="false">SUM(P1935:U1935)</f>
        <v>2</v>
      </c>
      <c r="M1935" s="11" t="n">
        <f aca="false">(L1935/(F1935*G1935)*25)*4</f>
        <v>8</v>
      </c>
      <c r="N1935" s="1" t="s">
        <v>30</v>
      </c>
      <c r="O1935" s="1" t="s">
        <v>31</v>
      </c>
      <c r="P1935" s="3" t="n">
        <v>2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f aca="false">SUM(P1935:Q1935)</f>
        <v>2</v>
      </c>
      <c r="W1935" s="3" t="n">
        <f aca="false">SUM(R1935:T1935)</f>
        <v>0</v>
      </c>
      <c r="X1935" s="22" t="n">
        <v>41869</v>
      </c>
      <c r="Y1935" s="22" t="n">
        <v>41874</v>
      </c>
    </row>
    <row r="1936" customFormat="false" ht="14.25" hidden="false" customHeight="false" outlineLevel="0" collapsed="false">
      <c r="A1936" s="1" t="n">
        <v>2014</v>
      </c>
      <c r="B1936" s="1" t="n">
        <v>2</v>
      </c>
      <c r="C1936" s="2" t="s">
        <v>25</v>
      </c>
      <c r="D1936" s="3" t="s">
        <v>101</v>
      </c>
      <c r="E1936" s="3" t="n">
        <v>3</v>
      </c>
      <c r="F1936" s="1" t="n">
        <f aca="false">Y1936-X1936</f>
        <v>5</v>
      </c>
      <c r="G1936" s="1" t="n">
        <v>5</v>
      </c>
      <c r="H1936" s="3" t="s">
        <v>41</v>
      </c>
      <c r="I1936" s="3" t="s">
        <v>42</v>
      </c>
      <c r="J1936" s="3" t="s">
        <v>43</v>
      </c>
      <c r="K1936" s="2" t="str">
        <f aca="false">CONCATENATE(I1936," ",J1936)</f>
        <v>Agroeca proxima</v>
      </c>
      <c r="L1936" s="3" t="n">
        <f aca="false">SUM(P1936:U1936)</f>
        <v>1</v>
      </c>
      <c r="M1936" s="11" t="n">
        <f aca="false">(L1936/(F1936*G1936)*25)*4</f>
        <v>4</v>
      </c>
      <c r="N1936" s="1" t="s">
        <v>30</v>
      </c>
      <c r="O1936" s="1" t="s">
        <v>31</v>
      </c>
      <c r="P1936" s="3" t="n">
        <v>1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f aca="false">SUM(P1936:Q1936)</f>
        <v>1</v>
      </c>
      <c r="W1936" s="3" t="n">
        <f aca="false">SUM(R1936:T1936)</f>
        <v>0</v>
      </c>
      <c r="X1936" s="22" t="n">
        <v>41869</v>
      </c>
      <c r="Y1936" s="22" t="n">
        <v>41874</v>
      </c>
    </row>
    <row r="1937" customFormat="false" ht="14.25" hidden="false" customHeight="false" outlineLevel="0" collapsed="false">
      <c r="A1937" s="1" t="n">
        <v>2014</v>
      </c>
      <c r="B1937" s="1" t="n">
        <v>2</v>
      </c>
      <c r="C1937" s="2" t="s">
        <v>25</v>
      </c>
      <c r="D1937" s="3" t="s">
        <v>101</v>
      </c>
      <c r="E1937" s="3" t="n">
        <v>2</v>
      </c>
      <c r="F1937" s="1" t="n">
        <f aca="false">Y1937-X1937</f>
        <v>5</v>
      </c>
      <c r="G1937" s="1" t="n">
        <v>5</v>
      </c>
      <c r="H1937" s="3" t="s">
        <v>48</v>
      </c>
      <c r="I1937" s="3" t="s">
        <v>61</v>
      </c>
      <c r="J1937" s="3" t="s">
        <v>82</v>
      </c>
      <c r="K1937" s="2" t="str">
        <f aca="false">CONCATENATE(I1937," ",J1937)</f>
        <v>Trochosa terricola</v>
      </c>
      <c r="L1937" s="3" t="n">
        <f aca="false">SUM(P1937:U1937)</f>
        <v>1</v>
      </c>
      <c r="M1937" s="11" t="n">
        <f aca="false">(L1937/(F1937*G1937)*25)*4</f>
        <v>4</v>
      </c>
      <c r="N1937" s="1" t="s">
        <v>30</v>
      </c>
      <c r="O1937" s="1" t="s">
        <v>35</v>
      </c>
      <c r="P1937" s="3" t="n">
        <v>0</v>
      </c>
      <c r="Q1937" s="3" t="n">
        <v>1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f aca="false">SUM(P1937:Q1937)</f>
        <v>1</v>
      </c>
      <c r="W1937" s="3" t="n">
        <f aca="false">SUM(R1937:T1937)</f>
        <v>0</v>
      </c>
      <c r="X1937" s="22" t="n">
        <v>41869</v>
      </c>
      <c r="Y1937" s="22" t="n">
        <v>41874</v>
      </c>
    </row>
    <row r="1938" customFormat="false" ht="14.25" hidden="false" customHeight="false" outlineLevel="0" collapsed="false">
      <c r="A1938" s="1" t="n">
        <v>2014</v>
      </c>
      <c r="B1938" s="1" t="n">
        <v>2</v>
      </c>
      <c r="C1938" s="2" t="s">
        <v>25</v>
      </c>
      <c r="D1938" s="3" t="s">
        <v>101</v>
      </c>
      <c r="E1938" s="3" t="n">
        <v>2</v>
      </c>
      <c r="F1938" s="1" t="n">
        <f aca="false">Y1938-X1938</f>
        <v>5</v>
      </c>
      <c r="G1938" s="1" t="n">
        <v>5</v>
      </c>
      <c r="H1938" s="3" t="s">
        <v>48</v>
      </c>
      <c r="I1938" s="3" t="s">
        <v>61</v>
      </c>
      <c r="J1938" s="3" t="s">
        <v>38</v>
      </c>
      <c r="K1938" s="2" t="str">
        <f aca="false">CONCATENATE(I1938," ",J1938)</f>
        <v>Trochosa sp</v>
      </c>
      <c r="L1938" s="3" t="n">
        <f aca="false">SUM(P1938:U1938)</f>
        <v>1</v>
      </c>
      <c r="M1938" s="11" t="n">
        <f aca="false">(L1938/(F1938*G1938)*25)*4</f>
        <v>4</v>
      </c>
      <c r="N1938" s="1" t="s">
        <v>19</v>
      </c>
      <c r="O1938" s="1" t="s">
        <v>54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1</v>
      </c>
      <c r="U1938" s="3" t="n">
        <v>0</v>
      </c>
      <c r="V1938" s="3" t="n">
        <f aca="false">SUM(P1938:Q1938)</f>
        <v>0</v>
      </c>
      <c r="W1938" s="3" t="n">
        <f aca="false">SUM(R1938:T1938)</f>
        <v>1</v>
      </c>
      <c r="X1938" s="22" t="n">
        <v>41869</v>
      </c>
      <c r="Y1938" s="22" t="n">
        <v>41874</v>
      </c>
    </row>
    <row r="1939" customFormat="false" ht="14.25" hidden="false" customHeight="false" outlineLevel="0" collapsed="false">
      <c r="A1939" s="1" t="n">
        <v>2014</v>
      </c>
      <c r="B1939" s="1" t="n">
        <v>2</v>
      </c>
      <c r="C1939" s="2" t="s">
        <v>25</v>
      </c>
      <c r="D1939" s="3" t="s">
        <v>101</v>
      </c>
      <c r="E1939" s="3" t="n">
        <v>2</v>
      </c>
      <c r="F1939" s="1" t="n">
        <f aca="false">Y1939-X1939</f>
        <v>5</v>
      </c>
      <c r="G1939" s="1" t="n">
        <v>5</v>
      </c>
      <c r="H1939" s="3" t="s">
        <v>48</v>
      </c>
      <c r="I1939" s="3" t="s">
        <v>49</v>
      </c>
      <c r="J1939" s="3" t="s">
        <v>38</v>
      </c>
      <c r="K1939" s="2" t="str">
        <f aca="false">CONCATENATE(I1939," ",J1939)</f>
        <v>Alopecosa sp</v>
      </c>
      <c r="L1939" s="3" t="n">
        <f aca="false">SUM(P1939:U1939)</f>
        <v>1</v>
      </c>
      <c r="M1939" s="11" t="n">
        <f aca="false">(L1939/(F1939*G1939)*25)*4</f>
        <v>4</v>
      </c>
      <c r="N1939" s="1" t="s">
        <v>19</v>
      </c>
      <c r="O1939" s="1" t="s">
        <v>31</v>
      </c>
      <c r="P1939" s="3" t="n">
        <v>0</v>
      </c>
      <c r="Q1939" s="3" t="n">
        <v>0</v>
      </c>
      <c r="R1939" s="3" t="n">
        <v>1</v>
      </c>
      <c r="S1939" s="3" t="n">
        <v>0</v>
      </c>
      <c r="T1939" s="3" t="n">
        <v>0</v>
      </c>
      <c r="U1939" s="3" t="n">
        <v>0</v>
      </c>
      <c r="V1939" s="3" t="n">
        <f aca="false">SUM(P1939:Q1939)</f>
        <v>0</v>
      </c>
      <c r="W1939" s="3" t="n">
        <f aca="false">SUM(R1939:T1939)</f>
        <v>1</v>
      </c>
      <c r="X1939" s="22" t="n">
        <v>41869</v>
      </c>
      <c r="Y1939" s="22" t="n">
        <v>41874</v>
      </c>
    </row>
    <row r="1940" customFormat="false" ht="14.25" hidden="false" customHeight="false" outlineLevel="0" collapsed="false">
      <c r="A1940" s="1" t="n">
        <v>2014</v>
      </c>
      <c r="B1940" s="1" t="n">
        <v>2</v>
      </c>
      <c r="C1940" s="2" t="s">
        <v>25</v>
      </c>
      <c r="D1940" s="3" t="s">
        <v>101</v>
      </c>
      <c r="E1940" s="3" t="n">
        <v>2</v>
      </c>
      <c r="F1940" s="1" t="n">
        <f aca="false">Y1940-X1940</f>
        <v>5</v>
      </c>
      <c r="G1940" s="1" t="n">
        <v>5</v>
      </c>
      <c r="H1940" s="3" t="s">
        <v>41</v>
      </c>
      <c r="I1940" s="3" t="s">
        <v>42</v>
      </c>
      <c r="J1940" s="3" t="s">
        <v>43</v>
      </c>
      <c r="K1940" s="2" t="str">
        <f aca="false">CONCATENATE(I1940," ",J1940)</f>
        <v>Agroeca proxima</v>
      </c>
      <c r="L1940" s="3" t="n">
        <f aca="false">SUM(P1940:U1940)</f>
        <v>1</v>
      </c>
      <c r="M1940" s="11" t="n">
        <f aca="false">(L1940/(F1940*G1940)*25)*4</f>
        <v>4</v>
      </c>
      <c r="N1940" s="1" t="s">
        <v>30</v>
      </c>
      <c r="O1940" s="1" t="s">
        <v>31</v>
      </c>
      <c r="P1940" s="3" t="n">
        <v>1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f aca="false">SUM(P1940:Q1940)</f>
        <v>1</v>
      </c>
      <c r="W1940" s="3" t="n">
        <f aca="false">SUM(R1940:T1940)</f>
        <v>0</v>
      </c>
      <c r="X1940" s="22" t="n">
        <v>41869</v>
      </c>
      <c r="Y1940" s="22" t="n">
        <v>41874</v>
      </c>
    </row>
    <row r="1941" customFormat="false" ht="14.25" hidden="false" customHeight="false" outlineLevel="0" collapsed="false">
      <c r="A1941" s="1" t="n">
        <v>2014</v>
      </c>
      <c r="B1941" s="1" t="n">
        <v>2</v>
      </c>
      <c r="C1941" s="2" t="s">
        <v>25</v>
      </c>
      <c r="D1941" s="3" t="s">
        <v>101</v>
      </c>
      <c r="E1941" s="3" t="n">
        <v>1</v>
      </c>
      <c r="F1941" s="1" t="n">
        <f aca="false">Y1941-X1941</f>
        <v>5</v>
      </c>
      <c r="G1941" s="1" t="n">
        <v>5</v>
      </c>
      <c r="H1941" s="3" t="s">
        <v>48</v>
      </c>
      <c r="I1941" s="3" t="s">
        <v>61</v>
      </c>
      <c r="J1941" s="3" t="s">
        <v>82</v>
      </c>
      <c r="K1941" s="2" t="str">
        <f aca="false">CONCATENATE(I1941," ",J1941)</f>
        <v>Trochosa terricola</v>
      </c>
      <c r="L1941" s="3" t="n">
        <f aca="false">SUM(P1941:U1941)</f>
        <v>1</v>
      </c>
      <c r="M1941" s="11" t="n">
        <f aca="false">(L1941/(F1941*G1941)*25)*4</f>
        <v>4</v>
      </c>
      <c r="N1941" s="1" t="s">
        <v>30</v>
      </c>
      <c r="O1941" s="1" t="s">
        <v>31</v>
      </c>
      <c r="P1941" s="3" t="n">
        <v>1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f aca="false">SUM(P1941:Q1941)</f>
        <v>1</v>
      </c>
      <c r="W1941" s="3" t="n">
        <f aca="false">SUM(R1941:T1941)</f>
        <v>0</v>
      </c>
      <c r="X1941" s="22" t="n">
        <v>41869</v>
      </c>
      <c r="Y1941" s="22" t="n">
        <v>41874</v>
      </c>
    </row>
    <row r="1942" customFormat="false" ht="14.25" hidden="false" customHeight="false" outlineLevel="0" collapsed="false">
      <c r="A1942" s="1" t="n">
        <v>2014</v>
      </c>
      <c r="B1942" s="1" t="n">
        <v>2</v>
      </c>
      <c r="C1942" s="2" t="s">
        <v>25</v>
      </c>
      <c r="D1942" s="3" t="s">
        <v>101</v>
      </c>
      <c r="E1942" s="3" t="n">
        <v>1</v>
      </c>
      <c r="F1942" s="1" t="n">
        <f aca="false">Y1942-X1942</f>
        <v>5</v>
      </c>
      <c r="G1942" s="1" t="n">
        <v>5</v>
      </c>
      <c r="H1942" s="3" t="s">
        <v>48</v>
      </c>
      <c r="I1942" s="3" t="s">
        <v>49</v>
      </c>
      <c r="J1942" s="3" t="s">
        <v>38</v>
      </c>
      <c r="K1942" s="2" t="str">
        <f aca="false">CONCATENATE(I1942," ",J1942)</f>
        <v>Alopecosa sp</v>
      </c>
      <c r="L1942" s="3" t="n">
        <f aca="false">SUM(P1942:U1942)</f>
        <v>1</v>
      </c>
      <c r="M1942" s="11" t="n">
        <f aca="false">(L1942/(F1942*G1942)*25)*4</f>
        <v>4</v>
      </c>
      <c r="N1942" s="1" t="s">
        <v>19</v>
      </c>
      <c r="O1942" s="1" t="s">
        <v>54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1</v>
      </c>
      <c r="U1942" s="3" t="n">
        <v>0</v>
      </c>
      <c r="V1942" s="3" t="n">
        <f aca="false">SUM(P1942:Q1942)</f>
        <v>0</v>
      </c>
      <c r="W1942" s="3" t="n">
        <f aca="false">SUM(R1942:T1942)</f>
        <v>1</v>
      </c>
      <c r="X1942" s="22" t="n">
        <v>41869</v>
      </c>
      <c r="Y1942" s="22" t="n">
        <v>41874</v>
      </c>
    </row>
    <row r="1943" customFormat="false" ht="14.25" hidden="false" customHeight="false" outlineLevel="0" collapsed="false">
      <c r="A1943" s="1" t="n">
        <v>2014</v>
      </c>
      <c r="B1943" s="1" t="n">
        <v>2</v>
      </c>
      <c r="C1943" s="2" t="s">
        <v>25</v>
      </c>
      <c r="D1943" s="3" t="s">
        <v>101</v>
      </c>
      <c r="E1943" s="3" t="n">
        <v>1</v>
      </c>
      <c r="F1943" s="1" t="n">
        <f aca="false">Y1943-X1943</f>
        <v>5</v>
      </c>
      <c r="G1943" s="1" t="n">
        <v>5</v>
      </c>
      <c r="H1943" s="3" t="s">
        <v>195</v>
      </c>
      <c r="I1943" s="3" t="s">
        <v>227</v>
      </c>
      <c r="J1943" s="3" t="s">
        <v>38</v>
      </c>
      <c r="K1943" s="2" t="str">
        <f aca="false">CONCATENATE(I1943," ",J1943)</f>
        <v>Tetragnatha sp</v>
      </c>
      <c r="L1943" s="3" t="n">
        <f aca="false">SUM(P1943:U1943)</f>
        <v>1</v>
      </c>
      <c r="M1943" s="11" t="n">
        <f aca="false">(L1943/(F1943*G1943)*25)*4</f>
        <v>4</v>
      </c>
      <c r="N1943" s="1" t="s">
        <v>19</v>
      </c>
      <c r="O1943" s="1" t="s">
        <v>54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1</v>
      </c>
      <c r="U1943" s="3" t="n">
        <v>0</v>
      </c>
      <c r="V1943" s="3" t="n">
        <f aca="false">SUM(P1943:Q1943)</f>
        <v>0</v>
      </c>
      <c r="W1943" s="3" t="n">
        <f aca="false">SUM(R1943:T1943)</f>
        <v>1</v>
      </c>
      <c r="X1943" s="22" t="n">
        <v>41869</v>
      </c>
      <c r="Y1943" s="22" t="n">
        <v>41874</v>
      </c>
    </row>
    <row r="1944" customFormat="false" ht="14.25" hidden="false" customHeight="false" outlineLevel="0" collapsed="false">
      <c r="A1944" s="1" t="n">
        <v>2014</v>
      </c>
      <c r="B1944" s="1" t="n">
        <v>2</v>
      </c>
      <c r="C1944" s="2" t="s">
        <v>44</v>
      </c>
      <c r="D1944" s="3" t="s">
        <v>45</v>
      </c>
      <c r="E1944" s="3" t="n">
        <v>1</v>
      </c>
      <c r="F1944" s="1" t="n">
        <f aca="false">Y1944-X1944</f>
        <v>5</v>
      </c>
      <c r="G1944" s="1" t="n">
        <v>5</v>
      </c>
      <c r="H1944" s="3" t="s">
        <v>48</v>
      </c>
      <c r="I1944" s="3" t="s">
        <v>61</v>
      </c>
      <c r="J1944" s="3" t="s">
        <v>82</v>
      </c>
      <c r="K1944" s="2" t="str">
        <f aca="false">CONCATENATE(I1944," ",J1944)</f>
        <v>Trochosa terricola</v>
      </c>
      <c r="L1944" s="3" t="n">
        <f aca="false">SUM(P1944:U1944)</f>
        <v>1</v>
      </c>
      <c r="M1944" s="11" t="n">
        <f aca="false">(L1944/(F1944*G1944)*25)*4</f>
        <v>4</v>
      </c>
      <c r="N1944" s="1" t="s">
        <v>30</v>
      </c>
      <c r="O1944" s="1" t="s">
        <v>35</v>
      </c>
      <c r="P1944" s="3" t="n">
        <v>0</v>
      </c>
      <c r="Q1944" s="3" t="n">
        <v>1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f aca="false">SUM(P1944:Q1944)</f>
        <v>1</v>
      </c>
      <c r="W1944" s="3" t="n">
        <f aca="false">SUM(R1944:T1944)</f>
        <v>0</v>
      </c>
      <c r="X1944" s="22" t="n">
        <v>41870</v>
      </c>
      <c r="Y1944" s="22" t="n">
        <v>41875</v>
      </c>
    </row>
    <row r="1945" customFormat="false" ht="14.25" hidden="false" customHeight="false" outlineLevel="0" collapsed="false">
      <c r="A1945" s="1" t="n">
        <v>2014</v>
      </c>
      <c r="B1945" s="1" t="n">
        <v>2</v>
      </c>
      <c r="C1945" s="2" t="s">
        <v>44</v>
      </c>
      <c r="D1945" s="3" t="s">
        <v>45</v>
      </c>
      <c r="E1945" s="3" t="n">
        <v>1</v>
      </c>
      <c r="F1945" s="1" t="n">
        <f aca="false">Y1945-X1945</f>
        <v>5</v>
      </c>
      <c r="G1945" s="1" t="n">
        <v>5</v>
      </c>
      <c r="H1945" s="3" t="s">
        <v>48</v>
      </c>
      <c r="I1945" s="3" t="s">
        <v>122</v>
      </c>
      <c r="J1945" s="3" t="s">
        <v>123</v>
      </c>
      <c r="K1945" s="2" t="str">
        <f aca="false">CONCATENATE(I1945," ",J1945)</f>
        <v>Xerolycosa nemoralis</v>
      </c>
      <c r="L1945" s="3" t="n">
        <f aca="false">SUM(P1945:U1945)</f>
        <v>1</v>
      </c>
      <c r="M1945" s="11" t="n">
        <f aca="false">(L1945/(F1945*G1945)*25)*4</f>
        <v>4</v>
      </c>
      <c r="N1945" s="1" t="s">
        <v>30</v>
      </c>
      <c r="O1945" s="1" t="s">
        <v>35</v>
      </c>
      <c r="P1945" s="3" t="n">
        <v>0</v>
      </c>
      <c r="Q1945" s="3" t="n">
        <v>1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f aca="false">SUM(P1945:Q1945)</f>
        <v>1</v>
      </c>
      <c r="W1945" s="3" t="n">
        <f aca="false">SUM(R1945:T1945)</f>
        <v>0</v>
      </c>
      <c r="X1945" s="22" t="n">
        <v>41870</v>
      </c>
      <c r="Y1945" s="22" t="n">
        <v>41875</v>
      </c>
    </row>
    <row r="1946" customFormat="false" ht="14.25" hidden="false" customHeight="false" outlineLevel="0" collapsed="false">
      <c r="A1946" s="1" t="n">
        <v>2014</v>
      </c>
      <c r="B1946" s="1" t="n">
        <v>2</v>
      </c>
      <c r="C1946" s="2" t="s">
        <v>44</v>
      </c>
      <c r="D1946" s="3" t="s">
        <v>45</v>
      </c>
      <c r="E1946" s="3" t="n">
        <v>1</v>
      </c>
      <c r="F1946" s="1" t="n">
        <f aca="false">Y1946-X1946</f>
        <v>5</v>
      </c>
      <c r="G1946" s="1" t="n">
        <v>5</v>
      </c>
      <c r="H1946" s="3" t="s">
        <v>48</v>
      </c>
      <c r="I1946" s="3" t="s">
        <v>122</v>
      </c>
      <c r="J1946" s="3" t="s">
        <v>123</v>
      </c>
      <c r="K1946" s="2" t="str">
        <f aca="false">CONCATENATE(I1946," ",J1946)</f>
        <v>Xerolycosa nemoralis</v>
      </c>
      <c r="L1946" s="3" t="n">
        <f aca="false">SUM(P1946:U1946)</f>
        <v>1</v>
      </c>
      <c r="M1946" s="11" t="n">
        <f aca="false">(L1946/(F1946*G1946)*25)*4</f>
        <v>4</v>
      </c>
      <c r="N1946" s="1" t="s">
        <v>19</v>
      </c>
      <c r="O1946" s="1" t="s">
        <v>35</v>
      </c>
      <c r="P1946" s="3" t="n">
        <v>0</v>
      </c>
      <c r="Q1946" s="3" t="n">
        <v>0</v>
      </c>
      <c r="R1946" s="3" t="n">
        <v>0</v>
      </c>
      <c r="S1946" s="3" t="n">
        <v>1</v>
      </c>
      <c r="T1946" s="3" t="n">
        <v>0</v>
      </c>
      <c r="U1946" s="3" t="n">
        <v>0</v>
      </c>
      <c r="V1946" s="3" t="n">
        <f aca="false">SUM(P1946:Q1946)</f>
        <v>0</v>
      </c>
      <c r="W1946" s="3" t="n">
        <f aca="false">SUM(R1946:T1946)</f>
        <v>1</v>
      </c>
      <c r="X1946" s="22" t="n">
        <v>41870</v>
      </c>
      <c r="Y1946" s="22" t="n">
        <v>41875</v>
      </c>
    </row>
    <row r="1947" customFormat="false" ht="14.25" hidden="false" customHeight="false" outlineLevel="0" collapsed="false">
      <c r="A1947" s="1" t="n">
        <v>2014</v>
      </c>
      <c r="B1947" s="1" t="n">
        <v>2</v>
      </c>
      <c r="C1947" s="2" t="s">
        <v>44</v>
      </c>
      <c r="D1947" s="3" t="s">
        <v>45</v>
      </c>
      <c r="E1947" s="3" t="n">
        <v>1</v>
      </c>
      <c r="F1947" s="1" t="n">
        <f aca="false">Y1947-X1947</f>
        <v>5</v>
      </c>
      <c r="G1947" s="1" t="n">
        <v>5</v>
      </c>
      <c r="H1947" s="3" t="s">
        <v>48</v>
      </c>
      <c r="I1947" s="3" t="s">
        <v>49</v>
      </c>
      <c r="J1947" s="3" t="s">
        <v>38</v>
      </c>
      <c r="K1947" s="2" t="str">
        <f aca="false">CONCATENATE(I1947," ",J1947)</f>
        <v>Alopecosa sp</v>
      </c>
      <c r="L1947" s="3" t="n">
        <f aca="false">SUM(P1947:U1947)</f>
        <v>1</v>
      </c>
      <c r="M1947" s="11" t="n">
        <f aca="false">(L1947/(F1947*G1947)*25)*4</f>
        <v>4</v>
      </c>
      <c r="N1947" s="1" t="s">
        <v>19</v>
      </c>
      <c r="O1947" s="1" t="s">
        <v>54</v>
      </c>
      <c r="P1947" s="3" t="n">
        <v>0</v>
      </c>
      <c r="Q1947" s="3" t="n">
        <v>0</v>
      </c>
      <c r="R1947" s="3" t="n">
        <v>0</v>
      </c>
      <c r="S1947" s="3" t="n">
        <v>0</v>
      </c>
      <c r="T1947" s="3" t="n">
        <v>1</v>
      </c>
      <c r="U1947" s="3" t="n">
        <v>0</v>
      </c>
      <c r="V1947" s="3" t="n">
        <f aca="false">SUM(P1947:Q1947)</f>
        <v>0</v>
      </c>
      <c r="W1947" s="3" t="n">
        <f aca="false">SUM(R1947:T1947)</f>
        <v>1</v>
      </c>
      <c r="X1947" s="22" t="n">
        <v>41870</v>
      </c>
      <c r="Y1947" s="22" t="n">
        <v>41875</v>
      </c>
    </row>
    <row r="1948" customFormat="false" ht="14.25" hidden="false" customHeight="false" outlineLevel="0" collapsed="false">
      <c r="A1948" s="1" t="n">
        <v>2014</v>
      </c>
      <c r="B1948" s="1" t="n">
        <v>2</v>
      </c>
      <c r="C1948" s="2" t="s">
        <v>44</v>
      </c>
      <c r="D1948" s="3" t="s">
        <v>45</v>
      </c>
      <c r="E1948" s="3" t="n">
        <v>3</v>
      </c>
      <c r="F1948" s="1" t="n">
        <f aca="false">Y1948-X1948</f>
        <v>5</v>
      </c>
      <c r="G1948" s="1" t="n">
        <v>5</v>
      </c>
      <c r="H1948" s="3" t="s">
        <v>48</v>
      </c>
      <c r="I1948" s="3" t="s">
        <v>67</v>
      </c>
      <c r="J1948" s="3" t="s">
        <v>127</v>
      </c>
      <c r="K1948" s="2" t="str">
        <f aca="false">CONCATENATE(I1948," ",J1948)</f>
        <v>Pardosa lugubris</v>
      </c>
      <c r="L1948" s="3" t="n">
        <f aca="false">SUM(P1948:U1948)</f>
        <v>1</v>
      </c>
      <c r="M1948" s="11" t="n">
        <f aca="false">(L1948/(F1948*G1948)*25)*4</f>
        <v>4</v>
      </c>
      <c r="N1948" s="1" t="s">
        <v>30</v>
      </c>
      <c r="O1948" s="1" t="s">
        <v>35</v>
      </c>
      <c r="P1948" s="3" t="n">
        <v>0</v>
      </c>
      <c r="Q1948" s="3" t="n">
        <v>1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f aca="false">SUM(P1948:Q1948)</f>
        <v>1</v>
      </c>
      <c r="W1948" s="3" t="n">
        <f aca="false">SUM(R1948:T1948)</f>
        <v>0</v>
      </c>
      <c r="X1948" s="22" t="n">
        <v>41870</v>
      </c>
      <c r="Y1948" s="22" t="n">
        <v>41875</v>
      </c>
    </row>
    <row r="1949" customFormat="false" ht="14.25" hidden="false" customHeight="false" outlineLevel="0" collapsed="false">
      <c r="A1949" s="1" t="n">
        <v>2014</v>
      </c>
      <c r="B1949" s="1" t="n">
        <v>2</v>
      </c>
      <c r="C1949" s="2" t="s">
        <v>44</v>
      </c>
      <c r="D1949" s="3" t="s">
        <v>45</v>
      </c>
      <c r="E1949" s="3" t="n">
        <v>3</v>
      </c>
      <c r="F1949" s="1" t="n">
        <f aca="false">Y1949-X1949</f>
        <v>5</v>
      </c>
      <c r="G1949" s="1" t="n">
        <v>5</v>
      </c>
      <c r="H1949" s="3" t="s">
        <v>48</v>
      </c>
      <c r="I1949" s="3" t="s">
        <v>122</v>
      </c>
      <c r="J1949" s="3" t="s">
        <v>123</v>
      </c>
      <c r="K1949" s="2" t="str">
        <f aca="false">CONCATENATE(I1949," ",J1949)</f>
        <v>Xerolycosa nemoralis</v>
      </c>
      <c r="L1949" s="3" t="n">
        <f aca="false">SUM(P1949:U1949)</f>
        <v>1</v>
      </c>
      <c r="M1949" s="11" t="n">
        <f aca="false">(L1949/(F1949*G1949)*25)*4</f>
        <v>4</v>
      </c>
      <c r="N1949" s="1" t="s">
        <v>30</v>
      </c>
      <c r="O1949" s="1" t="s">
        <v>35</v>
      </c>
      <c r="P1949" s="3" t="n">
        <v>0</v>
      </c>
      <c r="Q1949" s="3" t="n">
        <v>1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f aca="false">SUM(P1949:Q1949)</f>
        <v>1</v>
      </c>
      <c r="W1949" s="3" t="n">
        <f aca="false">SUM(R1949:T1949)</f>
        <v>0</v>
      </c>
      <c r="X1949" s="22" t="n">
        <v>41870</v>
      </c>
      <c r="Y1949" s="22" t="n">
        <v>41875</v>
      </c>
    </row>
    <row r="1950" customFormat="false" ht="14.25" hidden="false" customHeight="false" outlineLevel="0" collapsed="false">
      <c r="A1950" s="1" t="n">
        <v>2014</v>
      </c>
      <c r="B1950" s="1" t="n">
        <v>2</v>
      </c>
      <c r="C1950" s="2" t="s">
        <v>44</v>
      </c>
      <c r="D1950" s="3" t="s">
        <v>45</v>
      </c>
      <c r="E1950" s="3" t="n">
        <v>3</v>
      </c>
      <c r="F1950" s="1" t="n">
        <f aca="false">Y1950-X1950</f>
        <v>5</v>
      </c>
      <c r="G1950" s="1" t="n">
        <v>5</v>
      </c>
      <c r="H1950" s="3" t="s">
        <v>48</v>
      </c>
      <c r="I1950" s="3" t="s">
        <v>122</v>
      </c>
      <c r="J1950" s="3" t="s">
        <v>123</v>
      </c>
      <c r="K1950" s="2" t="str">
        <f aca="false">CONCATENATE(I1950," ",J1950)</f>
        <v>Xerolycosa nemoralis</v>
      </c>
      <c r="L1950" s="3" t="n">
        <f aca="false">SUM(P1950:U1950)</f>
        <v>1</v>
      </c>
      <c r="M1950" s="11" t="n">
        <f aca="false">(L1950/(F1950*G1950)*25)*4</f>
        <v>4</v>
      </c>
      <c r="N1950" s="1" t="s">
        <v>19</v>
      </c>
      <c r="O1950" s="1" t="s">
        <v>54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1</v>
      </c>
      <c r="U1950" s="3" t="n">
        <v>0</v>
      </c>
      <c r="V1950" s="3" t="n">
        <f aca="false">SUM(P1950:Q1950)</f>
        <v>0</v>
      </c>
      <c r="W1950" s="3" t="n">
        <f aca="false">SUM(R1950:T1950)</f>
        <v>1</v>
      </c>
      <c r="X1950" s="22" t="n">
        <v>41870</v>
      </c>
      <c r="Y1950" s="22" t="n">
        <v>41875</v>
      </c>
    </row>
    <row r="1951" customFormat="false" ht="14.25" hidden="false" customHeight="false" outlineLevel="0" collapsed="false">
      <c r="A1951" s="1" t="n">
        <v>2014</v>
      </c>
      <c r="B1951" s="1" t="n">
        <v>2</v>
      </c>
      <c r="C1951" s="2" t="s">
        <v>44</v>
      </c>
      <c r="D1951" s="3" t="s">
        <v>45</v>
      </c>
      <c r="E1951" s="3" t="n">
        <v>3</v>
      </c>
      <c r="F1951" s="1" t="n">
        <f aca="false">Y1951-X1951</f>
        <v>5</v>
      </c>
      <c r="G1951" s="1" t="n">
        <v>5</v>
      </c>
      <c r="H1951" s="3" t="s">
        <v>48</v>
      </c>
      <c r="I1951" s="3" t="s">
        <v>122</v>
      </c>
      <c r="J1951" s="3" t="s">
        <v>123</v>
      </c>
      <c r="K1951" s="2" t="str">
        <f aca="false">CONCATENATE(I1951," ",J1951)</f>
        <v>Xerolycosa nemoralis</v>
      </c>
      <c r="L1951" s="3" t="n">
        <f aca="false">SUM(P1951:U1951)</f>
        <v>5</v>
      </c>
      <c r="M1951" s="11" t="n">
        <f aca="false">(L1951/(F1951*G1951)*25)*4</f>
        <v>20</v>
      </c>
      <c r="N1951" s="1" t="s">
        <v>19</v>
      </c>
      <c r="O1951" s="1" t="s">
        <v>54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5</v>
      </c>
      <c r="U1951" s="3" t="n">
        <v>0</v>
      </c>
      <c r="V1951" s="3" t="n">
        <f aca="false">SUM(P1951:Q1951)</f>
        <v>0</v>
      </c>
      <c r="W1951" s="3" t="n">
        <f aca="false">SUM(R1951:T1951)</f>
        <v>5</v>
      </c>
      <c r="X1951" s="22" t="n">
        <v>41870</v>
      </c>
      <c r="Y1951" s="22" t="n">
        <v>41875</v>
      </c>
    </row>
    <row r="1952" customFormat="false" ht="14.25" hidden="false" customHeight="false" outlineLevel="0" collapsed="false">
      <c r="A1952" s="1" t="n">
        <v>2014</v>
      </c>
      <c r="B1952" s="1" t="n">
        <v>2</v>
      </c>
      <c r="C1952" s="2" t="s">
        <v>44</v>
      </c>
      <c r="D1952" s="3" t="s">
        <v>45</v>
      </c>
      <c r="E1952" s="3" t="n">
        <v>3</v>
      </c>
      <c r="F1952" s="1" t="n">
        <f aca="false">Y1952-X1952</f>
        <v>5</v>
      </c>
      <c r="G1952" s="1" t="n">
        <v>5</v>
      </c>
      <c r="H1952" s="3" t="s">
        <v>72</v>
      </c>
      <c r="I1952" s="3" t="s">
        <v>73</v>
      </c>
      <c r="J1952" s="3" t="s">
        <v>74</v>
      </c>
      <c r="K1952" s="2" t="str">
        <f aca="false">CONCATENATE(I1952," ",J1952)</f>
        <v>Zelotes subterraneus</v>
      </c>
      <c r="L1952" s="3" t="n">
        <f aca="false">SUM(P1952:U1952)</f>
        <v>1</v>
      </c>
      <c r="M1952" s="11" t="n">
        <f aca="false">(L1952/(F1952*G1952)*25)*4</f>
        <v>4</v>
      </c>
      <c r="N1952" s="1" t="s">
        <v>30</v>
      </c>
      <c r="O1952" s="1" t="s">
        <v>31</v>
      </c>
      <c r="P1952" s="3" t="n">
        <v>1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f aca="false">SUM(P1952:Q1952)</f>
        <v>1</v>
      </c>
      <c r="W1952" s="3" t="n">
        <f aca="false">SUM(R1952:T1952)</f>
        <v>0</v>
      </c>
      <c r="X1952" s="22" t="n">
        <v>41870</v>
      </c>
      <c r="Y1952" s="22" t="n">
        <v>41875</v>
      </c>
    </row>
    <row r="1953" customFormat="false" ht="14.25" hidden="false" customHeight="false" outlineLevel="0" collapsed="false">
      <c r="A1953" s="1" t="n">
        <v>2014</v>
      </c>
      <c r="B1953" s="1" t="n">
        <v>2</v>
      </c>
      <c r="C1953" s="2" t="s">
        <v>44</v>
      </c>
      <c r="D1953" s="3" t="s">
        <v>45</v>
      </c>
      <c r="E1953" s="3" t="n">
        <v>3</v>
      </c>
      <c r="F1953" s="1" t="n">
        <f aca="false">Y1953-X1953</f>
        <v>5</v>
      </c>
      <c r="G1953" s="1" t="n">
        <v>5</v>
      </c>
      <c r="H1953" s="3" t="s">
        <v>27</v>
      </c>
      <c r="I1953" s="3" t="s">
        <v>46</v>
      </c>
      <c r="J1953" s="3" t="s">
        <v>47</v>
      </c>
      <c r="K1953" s="2" t="str">
        <f aca="false">CONCATENATE(I1953," ",J1953)</f>
        <v>Euryopis flavomaculata</v>
      </c>
      <c r="L1953" s="3" t="n">
        <f aca="false">SUM(P1953:U1953)</f>
        <v>1</v>
      </c>
      <c r="M1953" s="11" t="n">
        <f aca="false">(L1953/(F1953*G1953)*25)*4</f>
        <v>4</v>
      </c>
      <c r="N1953" s="1" t="s">
        <v>19</v>
      </c>
      <c r="O1953" s="1" t="s">
        <v>31</v>
      </c>
      <c r="P1953" s="3" t="n">
        <v>0</v>
      </c>
      <c r="Q1953" s="3" t="n">
        <v>0</v>
      </c>
      <c r="R1953" s="3" t="n">
        <v>1</v>
      </c>
      <c r="S1953" s="3" t="n">
        <v>0</v>
      </c>
      <c r="T1953" s="3" t="n">
        <v>0</v>
      </c>
      <c r="U1953" s="3" t="n">
        <v>0</v>
      </c>
      <c r="V1953" s="3" t="n">
        <f aca="false">SUM(P1953:Q1953)</f>
        <v>0</v>
      </c>
      <c r="W1953" s="3" t="n">
        <f aca="false">SUM(R1953:T1953)</f>
        <v>1</v>
      </c>
      <c r="X1953" s="22" t="n">
        <v>41870</v>
      </c>
      <c r="Y1953" s="22" t="n">
        <v>41875</v>
      </c>
    </row>
    <row r="1954" customFormat="false" ht="14.25" hidden="false" customHeight="false" outlineLevel="0" collapsed="false">
      <c r="A1954" s="1" t="n">
        <v>2014</v>
      </c>
      <c r="B1954" s="1" t="n">
        <v>2</v>
      </c>
      <c r="C1954" s="2" t="s">
        <v>44</v>
      </c>
      <c r="D1954" s="3" t="s">
        <v>45</v>
      </c>
      <c r="E1954" s="3" t="n">
        <v>3</v>
      </c>
      <c r="F1954" s="1" t="n">
        <f aca="false">Y1954-X1954</f>
        <v>5</v>
      </c>
      <c r="G1954" s="1" t="n">
        <v>5</v>
      </c>
      <c r="H1954" s="3" t="s">
        <v>48</v>
      </c>
      <c r="I1954" s="3" t="s">
        <v>49</v>
      </c>
      <c r="J1954" s="3" t="s">
        <v>104</v>
      </c>
      <c r="K1954" s="2" t="str">
        <f aca="false">CONCATENATE(I1954," ",J1954)</f>
        <v>Alopecosa taeniata</v>
      </c>
      <c r="L1954" s="3" t="n">
        <f aca="false">SUM(P1954:U1954)</f>
        <v>1</v>
      </c>
      <c r="M1954" s="11" t="n">
        <f aca="false">(L1954/(F1954*G1954)*25)*4</f>
        <v>4</v>
      </c>
      <c r="N1954" s="1" t="s">
        <v>30</v>
      </c>
      <c r="O1954" s="1" t="s">
        <v>35</v>
      </c>
      <c r="P1954" s="3" t="n">
        <v>0</v>
      </c>
      <c r="Q1954" s="3" t="n">
        <v>1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f aca="false">SUM(P1954:Q1954)</f>
        <v>1</v>
      </c>
      <c r="W1954" s="3" t="n">
        <f aca="false">SUM(R1954:T1954)</f>
        <v>0</v>
      </c>
      <c r="X1954" s="22" t="n">
        <v>41870</v>
      </c>
      <c r="Y1954" s="22" t="n">
        <v>41875</v>
      </c>
    </row>
    <row r="1955" customFormat="false" ht="14.25" hidden="false" customHeight="false" outlineLevel="0" collapsed="false">
      <c r="A1955" s="1" t="n">
        <v>2014</v>
      </c>
      <c r="B1955" s="1" t="n">
        <v>2</v>
      </c>
      <c r="C1955" s="2" t="s">
        <v>44</v>
      </c>
      <c r="D1955" s="3" t="s">
        <v>45</v>
      </c>
      <c r="E1955" s="3" t="n">
        <v>3</v>
      </c>
      <c r="F1955" s="1" t="n">
        <f aca="false">Y1955-X1955</f>
        <v>5</v>
      </c>
      <c r="G1955" s="1" t="n">
        <v>5</v>
      </c>
      <c r="H1955" s="3" t="s">
        <v>48</v>
      </c>
      <c r="I1955" s="3" t="s">
        <v>49</v>
      </c>
      <c r="J1955" s="3" t="s">
        <v>38</v>
      </c>
      <c r="K1955" s="2" t="str">
        <f aca="false">CONCATENATE(I1955," ",J1955)</f>
        <v>Alopecosa sp</v>
      </c>
      <c r="L1955" s="3" t="n">
        <f aca="false">SUM(P1955:U1955)</f>
        <v>1</v>
      </c>
      <c r="M1955" s="11" t="n">
        <f aca="false">(L1955/(F1955*G1955)*25)*4</f>
        <v>4</v>
      </c>
      <c r="N1955" s="1" t="s">
        <v>19</v>
      </c>
      <c r="O1955" s="1" t="s">
        <v>54</v>
      </c>
      <c r="P1955" s="3" t="n">
        <v>0</v>
      </c>
      <c r="Q1955" s="3" t="n">
        <v>0</v>
      </c>
      <c r="R1955" s="3" t="n">
        <v>0</v>
      </c>
      <c r="S1955" s="3" t="n">
        <v>0</v>
      </c>
      <c r="T1955" s="3" t="n">
        <v>1</v>
      </c>
      <c r="U1955" s="3" t="n">
        <v>0</v>
      </c>
      <c r="V1955" s="3" t="n">
        <f aca="false">SUM(P1955:Q1955)</f>
        <v>0</v>
      </c>
      <c r="W1955" s="3" t="n">
        <f aca="false">SUM(R1955:T1955)</f>
        <v>1</v>
      </c>
      <c r="X1955" s="22" t="n">
        <v>41870</v>
      </c>
      <c r="Y1955" s="22" t="n">
        <v>41875</v>
      </c>
    </row>
    <row r="1956" customFormat="false" ht="14.25" hidden="false" customHeight="false" outlineLevel="0" collapsed="false">
      <c r="A1956" s="1" t="n">
        <v>2014</v>
      </c>
      <c r="B1956" s="1" t="n">
        <v>2</v>
      </c>
      <c r="C1956" s="2" t="s">
        <v>44</v>
      </c>
      <c r="D1956" s="3" t="s">
        <v>45</v>
      </c>
      <c r="E1956" s="3" t="n">
        <v>2</v>
      </c>
      <c r="F1956" s="1" t="n">
        <f aca="false">Y1956-X1956</f>
        <v>5</v>
      </c>
      <c r="G1956" s="1" t="n">
        <v>5</v>
      </c>
      <c r="H1956" s="3" t="s">
        <v>48</v>
      </c>
      <c r="I1956" s="3" t="s">
        <v>122</v>
      </c>
      <c r="J1956" s="3" t="s">
        <v>123</v>
      </c>
      <c r="K1956" s="2" t="str">
        <f aca="false">CONCATENATE(I1956," ",J1956)</f>
        <v>Xerolycosa nemoralis</v>
      </c>
      <c r="L1956" s="3" t="n">
        <f aca="false">SUM(P1956:U1956)</f>
        <v>1</v>
      </c>
      <c r="M1956" s="11" t="n">
        <f aca="false">(L1956/(F1956*G1956)*25)*4</f>
        <v>4</v>
      </c>
      <c r="N1956" s="1" t="s">
        <v>30</v>
      </c>
      <c r="O1956" s="1" t="s">
        <v>35</v>
      </c>
      <c r="P1956" s="3" t="n">
        <v>0</v>
      </c>
      <c r="Q1956" s="3" t="n">
        <v>1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f aca="false">SUM(P1956:Q1956)</f>
        <v>1</v>
      </c>
      <c r="W1956" s="3" t="n">
        <f aca="false">SUM(R1956:T1956)</f>
        <v>0</v>
      </c>
      <c r="X1956" s="22" t="n">
        <v>41870</v>
      </c>
      <c r="Y1956" s="22" t="n">
        <v>41875</v>
      </c>
    </row>
    <row r="1957" customFormat="false" ht="14.25" hidden="false" customHeight="false" outlineLevel="0" collapsed="false">
      <c r="A1957" s="1" t="n">
        <v>2014</v>
      </c>
      <c r="B1957" s="1" t="n">
        <v>2</v>
      </c>
      <c r="C1957" s="2" t="s">
        <v>44</v>
      </c>
      <c r="D1957" s="3" t="s">
        <v>45</v>
      </c>
      <c r="E1957" s="3" t="n">
        <v>2</v>
      </c>
      <c r="F1957" s="1" t="n">
        <f aca="false">Y1957-X1957</f>
        <v>5</v>
      </c>
      <c r="G1957" s="1" t="n">
        <v>5</v>
      </c>
      <c r="H1957" s="3" t="s">
        <v>48</v>
      </c>
      <c r="I1957" s="3" t="s">
        <v>122</v>
      </c>
      <c r="J1957" s="3" t="s">
        <v>123</v>
      </c>
      <c r="K1957" s="2" t="str">
        <f aca="false">CONCATENATE(I1957," ",J1957)</f>
        <v>Xerolycosa nemoralis</v>
      </c>
      <c r="L1957" s="3" t="n">
        <f aca="false">SUM(P1957:U1957)</f>
        <v>1</v>
      </c>
      <c r="M1957" s="11" t="n">
        <f aca="false">(L1957/(F1957*G1957)*25)*4</f>
        <v>4</v>
      </c>
      <c r="N1957" s="1" t="s">
        <v>19</v>
      </c>
      <c r="O1957" s="1" t="s">
        <v>54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1</v>
      </c>
      <c r="U1957" s="3" t="n">
        <v>0</v>
      </c>
      <c r="V1957" s="3" t="n">
        <f aca="false">SUM(P1957:Q1957)</f>
        <v>0</v>
      </c>
      <c r="W1957" s="3" t="n">
        <f aca="false">SUM(R1957:T1957)</f>
        <v>1</v>
      </c>
      <c r="X1957" s="22" t="n">
        <v>41870</v>
      </c>
      <c r="Y1957" s="22" t="n">
        <v>41875</v>
      </c>
    </row>
    <row r="1958" customFormat="false" ht="14.25" hidden="false" customHeight="false" outlineLevel="0" collapsed="false">
      <c r="A1958" s="1" t="n">
        <v>2014</v>
      </c>
      <c r="B1958" s="1" t="n">
        <v>2</v>
      </c>
      <c r="C1958" s="2" t="s">
        <v>44</v>
      </c>
      <c r="D1958" s="3" t="s">
        <v>45</v>
      </c>
      <c r="E1958" s="3" t="n">
        <v>2</v>
      </c>
      <c r="F1958" s="1" t="n">
        <f aca="false">Y1958-X1958</f>
        <v>5</v>
      </c>
      <c r="G1958" s="1" t="n">
        <v>5</v>
      </c>
      <c r="H1958" s="3" t="s">
        <v>48</v>
      </c>
      <c r="I1958" s="3" t="s">
        <v>49</v>
      </c>
      <c r="J1958" s="3" t="s">
        <v>130</v>
      </c>
      <c r="K1958" s="2" t="str">
        <f aca="false">CONCATENATE(I1958," ",J1958)</f>
        <v>Alopecosa aculeata</v>
      </c>
      <c r="L1958" s="3" t="n">
        <f aca="false">SUM(P1958:U1958)</f>
        <v>1</v>
      </c>
      <c r="M1958" s="11" t="n">
        <f aca="false">(L1958/(F1958*G1958)*25)*4</f>
        <v>4</v>
      </c>
      <c r="N1958" s="1" t="s">
        <v>30</v>
      </c>
      <c r="O1958" s="1" t="s">
        <v>35</v>
      </c>
      <c r="P1958" s="3" t="n">
        <v>0</v>
      </c>
      <c r="Q1958" s="3" t="n">
        <v>1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f aca="false">SUM(P1958:Q1958)</f>
        <v>1</v>
      </c>
      <c r="W1958" s="3" t="n">
        <f aca="false">SUM(R1958:T1958)</f>
        <v>0</v>
      </c>
      <c r="X1958" s="22" t="n">
        <v>41870</v>
      </c>
      <c r="Y1958" s="22" t="n">
        <v>41875</v>
      </c>
    </row>
    <row r="1959" customFormat="false" ht="14.25" hidden="false" customHeight="false" outlineLevel="0" collapsed="false">
      <c r="A1959" s="1" t="n">
        <v>2014</v>
      </c>
      <c r="B1959" s="1" t="n">
        <v>2</v>
      </c>
      <c r="C1959" s="2" t="s">
        <v>44</v>
      </c>
      <c r="D1959" s="3" t="s">
        <v>45</v>
      </c>
      <c r="E1959" s="3" t="n">
        <v>2</v>
      </c>
      <c r="F1959" s="1" t="n">
        <f aca="false">Y1959-X1959</f>
        <v>5</v>
      </c>
      <c r="G1959" s="1" t="n">
        <v>5</v>
      </c>
      <c r="H1959" s="3" t="s">
        <v>48</v>
      </c>
      <c r="I1959" s="3" t="s">
        <v>49</v>
      </c>
      <c r="J1959" s="3" t="s">
        <v>38</v>
      </c>
      <c r="K1959" s="2" t="str">
        <f aca="false">CONCATENATE(I1959," ",J1959)</f>
        <v>Alopecosa sp</v>
      </c>
      <c r="L1959" s="3" t="n">
        <f aca="false">SUM(P1959:U1959)</f>
        <v>1</v>
      </c>
      <c r="M1959" s="11" t="n">
        <f aca="false">(L1959/(F1959*G1959)*25)*4</f>
        <v>4</v>
      </c>
      <c r="N1959" s="1" t="s">
        <v>19</v>
      </c>
      <c r="O1959" s="1" t="s">
        <v>35</v>
      </c>
      <c r="P1959" s="3" t="n">
        <v>0</v>
      </c>
      <c r="Q1959" s="3" t="n">
        <v>0</v>
      </c>
      <c r="R1959" s="3" t="n">
        <v>0</v>
      </c>
      <c r="S1959" s="3" t="n">
        <v>1</v>
      </c>
      <c r="T1959" s="3" t="n">
        <v>0</v>
      </c>
      <c r="U1959" s="3" t="n">
        <v>0</v>
      </c>
      <c r="V1959" s="3" t="n">
        <f aca="false">SUM(P1959:Q1959)</f>
        <v>0</v>
      </c>
      <c r="W1959" s="3" t="n">
        <f aca="false">SUM(R1959:T1959)</f>
        <v>1</v>
      </c>
      <c r="X1959" s="22" t="n">
        <v>41870</v>
      </c>
      <c r="Y1959" s="22" t="n">
        <v>41875</v>
      </c>
    </row>
    <row r="1960" customFormat="false" ht="14.25" hidden="false" customHeight="false" outlineLevel="0" collapsed="false">
      <c r="A1960" s="1" t="n">
        <v>2014</v>
      </c>
      <c r="B1960" s="1" t="n">
        <v>2</v>
      </c>
      <c r="C1960" s="2" t="s">
        <v>44</v>
      </c>
      <c r="D1960" s="3" t="s">
        <v>45</v>
      </c>
      <c r="E1960" s="3" t="n">
        <v>2</v>
      </c>
      <c r="F1960" s="1" t="n">
        <f aca="false">Y1960-X1960</f>
        <v>5</v>
      </c>
      <c r="G1960" s="1" t="n">
        <v>5</v>
      </c>
      <c r="H1960" s="3" t="s">
        <v>92</v>
      </c>
      <c r="I1960" s="3" t="s">
        <v>231</v>
      </c>
      <c r="J1960" s="3" t="s">
        <v>146</v>
      </c>
      <c r="K1960" s="2" t="str">
        <f aca="false">CONCATENATE(I1960," ",J1960)</f>
        <v>Asianellus festivus</v>
      </c>
      <c r="L1960" s="3" t="n">
        <f aca="false">SUM(P1960:U1960)</f>
        <v>1</v>
      </c>
      <c r="M1960" s="11" t="n">
        <f aca="false">(L1960/(F1960*G1960)*25)*4</f>
        <v>4</v>
      </c>
      <c r="N1960" s="1" t="s">
        <v>30</v>
      </c>
      <c r="O1960" s="1" t="s">
        <v>35</v>
      </c>
      <c r="P1960" s="3" t="n">
        <v>0</v>
      </c>
      <c r="Q1960" s="3" t="n">
        <v>1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f aca="false">SUM(P1960:Q1960)</f>
        <v>1</v>
      </c>
      <c r="W1960" s="3" t="n">
        <f aca="false">SUM(R1960:T1960)</f>
        <v>0</v>
      </c>
      <c r="X1960" s="22" t="n">
        <v>41870</v>
      </c>
      <c r="Y1960" s="22" t="n">
        <v>41875</v>
      </c>
    </row>
    <row r="1961" customFormat="false" ht="14.25" hidden="false" customHeight="false" outlineLevel="0" collapsed="false">
      <c r="A1961" s="1" t="n">
        <v>2014</v>
      </c>
      <c r="B1961" s="1" t="n">
        <v>2</v>
      </c>
      <c r="C1961" s="2" t="s">
        <v>44</v>
      </c>
      <c r="D1961" s="3" t="s">
        <v>45</v>
      </c>
      <c r="E1961" s="3" t="n">
        <v>2</v>
      </c>
      <c r="F1961" s="1" t="n">
        <f aca="false">Y1961-X1961</f>
        <v>5</v>
      </c>
      <c r="G1961" s="1" t="n">
        <v>5</v>
      </c>
      <c r="H1961" s="3" t="s">
        <v>48</v>
      </c>
      <c r="I1961" s="3" t="s">
        <v>122</v>
      </c>
      <c r="J1961" s="3" t="s">
        <v>123</v>
      </c>
      <c r="K1961" s="2" t="str">
        <f aca="false">CONCATENATE(I1961," ",J1961)</f>
        <v>Xerolycosa nemoralis</v>
      </c>
      <c r="L1961" s="3" t="n">
        <f aca="false">SUM(P1961:U1961)</f>
        <v>1</v>
      </c>
      <c r="M1961" s="11" t="n">
        <f aca="false">(L1961/(F1961*G1961)*25)*4</f>
        <v>4</v>
      </c>
      <c r="N1961" s="1" t="s">
        <v>30</v>
      </c>
      <c r="O1961" s="1" t="s">
        <v>31</v>
      </c>
      <c r="P1961" s="3" t="n">
        <v>1</v>
      </c>
      <c r="Q1961" s="3" t="n">
        <v>0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f aca="false">SUM(P1961:Q1961)</f>
        <v>1</v>
      </c>
      <c r="W1961" s="3" t="n">
        <f aca="false">SUM(R1961:T1961)</f>
        <v>0</v>
      </c>
      <c r="X1961" s="22" t="n">
        <v>41870</v>
      </c>
      <c r="Y1961" s="22" t="n">
        <v>41875</v>
      </c>
    </row>
    <row r="1962" customFormat="false" ht="14.25" hidden="false" customHeight="false" outlineLevel="0" collapsed="false">
      <c r="A1962" s="1" t="n">
        <v>2014</v>
      </c>
      <c r="B1962" s="1" t="n">
        <v>2</v>
      </c>
      <c r="C1962" s="2" t="s">
        <v>44</v>
      </c>
      <c r="D1962" s="3" t="s">
        <v>45</v>
      </c>
      <c r="E1962" s="3" t="n">
        <v>2</v>
      </c>
      <c r="F1962" s="1" t="n">
        <f aca="false">Y1962-X1962</f>
        <v>5</v>
      </c>
      <c r="G1962" s="1" t="n">
        <v>5</v>
      </c>
      <c r="H1962" s="3" t="s">
        <v>48</v>
      </c>
      <c r="I1962" s="3" t="s">
        <v>122</v>
      </c>
      <c r="J1962" s="3" t="s">
        <v>123</v>
      </c>
      <c r="K1962" s="2" t="str">
        <f aca="false">CONCATENATE(I1962," ",J1962)</f>
        <v>Xerolycosa nemoralis</v>
      </c>
      <c r="L1962" s="3" t="n">
        <f aca="false">SUM(P1962:U1962)</f>
        <v>1</v>
      </c>
      <c r="M1962" s="11" t="n">
        <f aca="false">(L1962/(F1962*G1962)*25)*4</f>
        <v>4</v>
      </c>
      <c r="N1962" s="1" t="s">
        <v>19</v>
      </c>
      <c r="O1962" s="1" t="s">
        <v>54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1</v>
      </c>
      <c r="U1962" s="3" t="n">
        <v>0</v>
      </c>
      <c r="V1962" s="3" t="n">
        <f aca="false">SUM(P1962:Q1962)</f>
        <v>0</v>
      </c>
      <c r="W1962" s="3" t="n">
        <f aca="false">SUM(R1962:T1962)</f>
        <v>1</v>
      </c>
      <c r="X1962" s="22" t="n">
        <v>41870</v>
      </c>
      <c r="Y1962" s="22" t="n">
        <v>41875</v>
      </c>
    </row>
    <row r="1963" customFormat="false" ht="14.25" hidden="false" customHeight="false" outlineLevel="0" collapsed="false">
      <c r="A1963" s="1" t="n">
        <v>2014</v>
      </c>
      <c r="B1963" s="1" t="n">
        <v>2</v>
      </c>
      <c r="C1963" s="2" t="s">
        <v>44</v>
      </c>
      <c r="D1963" s="3" t="s">
        <v>45</v>
      </c>
      <c r="E1963" s="3" t="n">
        <v>2</v>
      </c>
      <c r="F1963" s="1" t="n">
        <f aca="false">Y1963-X1963</f>
        <v>5</v>
      </c>
      <c r="G1963" s="1" t="n">
        <v>5</v>
      </c>
      <c r="H1963" s="3" t="s">
        <v>48</v>
      </c>
      <c r="I1963" s="3" t="s">
        <v>49</v>
      </c>
      <c r="J1963" s="3" t="s">
        <v>38</v>
      </c>
      <c r="K1963" s="2" t="str">
        <f aca="false">CONCATENATE(I1963," ",J1963)</f>
        <v>Alopecosa sp</v>
      </c>
      <c r="L1963" s="3" t="n">
        <f aca="false">SUM(P1963:U1963)</f>
        <v>1</v>
      </c>
      <c r="M1963" s="11" t="n">
        <f aca="false">(L1963/(F1963*G1963)*25)*4</f>
        <v>4</v>
      </c>
      <c r="N1963" s="1" t="s">
        <v>19</v>
      </c>
      <c r="O1963" s="1" t="s">
        <v>54</v>
      </c>
      <c r="P1963" s="3" t="n">
        <v>0</v>
      </c>
      <c r="Q1963" s="3" t="n">
        <v>0</v>
      </c>
      <c r="R1963" s="3" t="n">
        <v>0</v>
      </c>
      <c r="S1963" s="3" t="n">
        <v>0</v>
      </c>
      <c r="T1963" s="3" t="n">
        <v>1</v>
      </c>
      <c r="U1963" s="3" t="n">
        <v>0</v>
      </c>
      <c r="V1963" s="3" t="n">
        <f aca="false">SUM(P1963:Q1963)</f>
        <v>0</v>
      </c>
      <c r="W1963" s="3" t="n">
        <f aca="false">SUM(R1963:T1963)</f>
        <v>1</v>
      </c>
      <c r="X1963" s="22" t="n">
        <v>41870</v>
      </c>
      <c r="Y1963" s="22" t="n">
        <v>41875</v>
      </c>
    </row>
    <row r="1964" customFormat="false" ht="14.25" hidden="false" customHeight="false" outlineLevel="0" collapsed="false">
      <c r="A1964" s="1" t="n">
        <v>2014</v>
      </c>
      <c r="B1964" s="1" t="n">
        <v>2</v>
      </c>
      <c r="C1964" s="2" t="s">
        <v>44</v>
      </c>
      <c r="D1964" s="3" t="s">
        <v>45</v>
      </c>
      <c r="E1964" s="3" t="n">
        <v>2</v>
      </c>
      <c r="F1964" s="1" t="n">
        <f aca="false">Y1964-X1964</f>
        <v>5</v>
      </c>
      <c r="G1964" s="1" t="n">
        <v>5</v>
      </c>
      <c r="H1964" s="3" t="s">
        <v>72</v>
      </c>
      <c r="I1964" s="3" t="s">
        <v>73</v>
      </c>
      <c r="J1964" s="3" t="s">
        <v>74</v>
      </c>
      <c r="K1964" s="2" t="str">
        <f aca="false">CONCATENATE(I1964," ",J1964)</f>
        <v>Zelotes subterraneus</v>
      </c>
      <c r="L1964" s="3" t="n">
        <f aca="false">SUM(P1964:U1964)</f>
        <v>1</v>
      </c>
      <c r="M1964" s="11" t="n">
        <f aca="false">(L1964/(F1964*G1964)*25)*4</f>
        <v>4</v>
      </c>
      <c r="N1964" s="1" t="s">
        <v>30</v>
      </c>
      <c r="O1964" s="1" t="s">
        <v>31</v>
      </c>
      <c r="P1964" s="3" t="n">
        <v>1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f aca="false">SUM(P1964:Q1964)</f>
        <v>1</v>
      </c>
      <c r="W1964" s="3" t="n">
        <f aca="false">SUM(R1964:T1964)</f>
        <v>0</v>
      </c>
      <c r="X1964" s="22" t="n">
        <v>41870</v>
      </c>
      <c r="Y1964" s="22" t="n">
        <v>41875</v>
      </c>
    </row>
    <row r="1965" customFormat="false" ht="14.25" hidden="false" customHeight="false" outlineLevel="0" collapsed="false">
      <c r="A1965" s="1" t="n">
        <v>2014</v>
      </c>
      <c r="B1965" s="1" t="n">
        <v>2</v>
      </c>
      <c r="C1965" s="2" t="s">
        <v>44</v>
      </c>
      <c r="D1965" s="3" t="s">
        <v>45</v>
      </c>
      <c r="E1965" s="3" t="n">
        <v>2</v>
      </c>
      <c r="F1965" s="1" t="n">
        <f aca="false">Y1965-X1965</f>
        <v>5</v>
      </c>
      <c r="G1965" s="1" t="n">
        <v>5</v>
      </c>
      <c r="H1965" s="3" t="s">
        <v>72</v>
      </c>
      <c r="I1965" s="3" t="s">
        <v>73</v>
      </c>
      <c r="J1965" s="3" t="s">
        <v>74</v>
      </c>
      <c r="K1965" s="2" t="str">
        <f aca="false">CONCATENATE(I1965," ",J1965)</f>
        <v>Zelotes subterraneus</v>
      </c>
      <c r="L1965" s="3" t="n">
        <f aca="false">SUM(P1965:U1965)</f>
        <v>1</v>
      </c>
      <c r="M1965" s="11" t="n">
        <f aca="false">(L1965/(F1965*G1965)*25)*4</f>
        <v>4</v>
      </c>
      <c r="N1965" s="1" t="s">
        <v>30</v>
      </c>
      <c r="O1965" s="1" t="s">
        <v>35</v>
      </c>
      <c r="P1965" s="3" t="n">
        <v>0</v>
      </c>
      <c r="Q1965" s="3" t="n">
        <v>1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f aca="false">SUM(P1965:Q1965)</f>
        <v>1</v>
      </c>
      <c r="W1965" s="3" t="n">
        <f aca="false">SUM(R1965:T1965)</f>
        <v>0</v>
      </c>
      <c r="X1965" s="22" t="n">
        <v>41870</v>
      </c>
      <c r="Y1965" s="22" t="n">
        <v>41875</v>
      </c>
    </row>
    <row r="1966" customFormat="false" ht="14.25" hidden="false" customHeight="false" outlineLevel="0" collapsed="false">
      <c r="A1966" s="1" t="n">
        <v>2014</v>
      </c>
      <c r="B1966" s="1" t="n">
        <v>2</v>
      </c>
      <c r="C1966" s="2" t="s">
        <v>44</v>
      </c>
      <c r="D1966" s="3" t="s">
        <v>45</v>
      </c>
      <c r="E1966" s="3" t="n">
        <v>2</v>
      </c>
      <c r="F1966" s="1" t="n">
        <f aca="false">Y1966-X1966</f>
        <v>5</v>
      </c>
      <c r="G1966" s="1" t="n">
        <v>5</v>
      </c>
      <c r="H1966" s="3" t="s">
        <v>48</v>
      </c>
      <c r="I1966" s="3" t="s">
        <v>122</v>
      </c>
      <c r="J1966" s="3" t="s">
        <v>123</v>
      </c>
      <c r="K1966" s="2" t="str">
        <f aca="false">CONCATENATE(I1966," ",J1966)</f>
        <v>Xerolycosa nemoralis</v>
      </c>
      <c r="L1966" s="3" t="n">
        <f aca="false">SUM(P1966:U1966)</f>
        <v>1</v>
      </c>
      <c r="M1966" s="11" t="n">
        <f aca="false">(L1966/(F1966*G1966)*25)*4</f>
        <v>4</v>
      </c>
      <c r="N1966" s="1" t="s">
        <v>19</v>
      </c>
      <c r="O1966" s="1" t="s">
        <v>54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1</v>
      </c>
      <c r="U1966" s="3" t="n">
        <v>0</v>
      </c>
      <c r="V1966" s="3" t="n">
        <f aca="false">SUM(P1966:Q1966)</f>
        <v>0</v>
      </c>
      <c r="W1966" s="3" t="n">
        <f aca="false">SUM(R1966:T1966)</f>
        <v>1</v>
      </c>
      <c r="X1966" s="22" t="n">
        <v>41870</v>
      </c>
      <c r="Y1966" s="22" t="n">
        <v>41875</v>
      </c>
    </row>
    <row r="1967" customFormat="false" ht="14.25" hidden="false" customHeight="false" outlineLevel="0" collapsed="false">
      <c r="A1967" s="1" t="n">
        <v>2014</v>
      </c>
      <c r="B1967" s="1" t="n">
        <v>2</v>
      </c>
      <c r="C1967" s="2" t="s">
        <v>44</v>
      </c>
      <c r="D1967" s="3" t="s">
        <v>45</v>
      </c>
      <c r="E1967" s="3" t="n">
        <v>2</v>
      </c>
      <c r="F1967" s="1" t="n">
        <f aca="false">Y1967-X1967</f>
        <v>5</v>
      </c>
      <c r="G1967" s="1" t="n">
        <v>5</v>
      </c>
      <c r="H1967" s="3" t="s">
        <v>48</v>
      </c>
      <c r="I1967" s="3" t="s">
        <v>49</v>
      </c>
      <c r="J1967" s="3" t="s">
        <v>38</v>
      </c>
      <c r="K1967" s="2" t="str">
        <f aca="false">CONCATENATE(I1967," ",J1967)</f>
        <v>Alopecosa sp</v>
      </c>
      <c r="L1967" s="3" t="n">
        <f aca="false">SUM(P1967:U1967)</f>
        <v>2</v>
      </c>
      <c r="M1967" s="11" t="n">
        <f aca="false">(L1967/(F1967*G1967)*25)*4</f>
        <v>8</v>
      </c>
      <c r="N1967" s="1" t="s">
        <v>19</v>
      </c>
      <c r="O1967" s="1" t="s">
        <v>35</v>
      </c>
      <c r="P1967" s="3" t="n">
        <v>0</v>
      </c>
      <c r="Q1967" s="3" t="n">
        <v>0</v>
      </c>
      <c r="R1967" s="3" t="n">
        <v>0</v>
      </c>
      <c r="S1967" s="3" t="n">
        <v>2</v>
      </c>
      <c r="T1967" s="3" t="n">
        <v>0</v>
      </c>
      <c r="U1967" s="3" t="n">
        <v>0</v>
      </c>
      <c r="V1967" s="3" t="n">
        <f aca="false">SUM(P1967:Q1967)</f>
        <v>0</v>
      </c>
      <c r="W1967" s="3" t="n">
        <f aca="false">SUM(R1967:T1967)</f>
        <v>2</v>
      </c>
      <c r="X1967" s="22" t="n">
        <v>41870</v>
      </c>
      <c r="Y1967" s="22" t="n">
        <v>41875</v>
      </c>
    </row>
    <row r="1968" customFormat="false" ht="14.25" hidden="false" customHeight="false" outlineLevel="0" collapsed="false">
      <c r="A1968" s="1" t="n">
        <v>2014</v>
      </c>
      <c r="B1968" s="1" t="n">
        <v>2</v>
      </c>
      <c r="C1968" s="2" t="s">
        <v>44</v>
      </c>
      <c r="D1968" s="3" t="s">
        <v>45</v>
      </c>
      <c r="E1968" s="3" t="n">
        <v>2</v>
      </c>
      <c r="F1968" s="1" t="n">
        <f aca="false">Y1968-X1968</f>
        <v>5</v>
      </c>
      <c r="G1968" s="1" t="n">
        <v>5</v>
      </c>
      <c r="H1968" s="3" t="s">
        <v>48</v>
      </c>
      <c r="I1968" s="3" t="s">
        <v>67</v>
      </c>
      <c r="J1968" s="3" t="s">
        <v>127</v>
      </c>
      <c r="K1968" s="2" t="str">
        <f aca="false">CONCATENATE(I1968," ",J1968)</f>
        <v>Pardosa lugubris</v>
      </c>
      <c r="L1968" s="3" t="n">
        <f aca="false">SUM(P1968:U1968)</f>
        <v>1</v>
      </c>
      <c r="M1968" s="11" t="n">
        <f aca="false">(L1968/(F1968*G1968)*25)*4</f>
        <v>4</v>
      </c>
      <c r="N1968" s="1" t="s">
        <v>30</v>
      </c>
      <c r="O1968" s="1" t="s">
        <v>35</v>
      </c>
      <c r="P1968" s="3" t="n">
        <v>0</v>
      </c>
      <c r="Q1968" s="3" t="n">
        <v>1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f aca="false">SUM(P1968:Q1968)</f>
        <v>1</v>
      </c>
      <c r="W1968" s="3" t="n">
        <f aca="false">SUM(R1968:T1968)</f>
        <v>0</v>
      </c>
      <c r="X1968" s="22" t="n">
        <v>41870</v>
      </c>
      <c r="Y1968" s="22" t="n">
        <v>41875</v>
      </c>
    </row>
    <row r="1969" customFormat="false" ht="14.25" hidden="false" customHeight="false" outlineLevel="0" collapsed="false">
      <c r="A1969" s="1" t="n">
        <v>2014</v>
      </c>
      <c r="B1969" s="1" t="n">
        <v>2</v>
      </c>
      <c r="C1969" s="2" t="s">
        <v>44</v>
      </c>
      <c r="D1969" s="3" t="s">
        <v>45</v>
      </c>
      <c r="E1969" s="3" t="n">
        <v>2</v>
      </c>
      <c r="F1969" s="1" t="n">
        <f aca="false">Y1969-X1969</f>
        <v>5</v>
      </c>
      <c r="G1969" s="1" t="n">
        <v>5</v>
      </c>
      <c r="H1969" s="3" t="s">
        <v>48</v>
      </c>
      <c r="I1969" s="3" t="s">
        <v>57</v>
      </c>
      <c r="J1969" s="3" t="s">
        <v>38</v>
      </c>
      <c r="K1969" s="2" t="str">
        <f aca="false">CONCATENATE(I1969," ",J1969)</f>
        <v>Gen sp</v>
      </c>
      <c r="L1969" s="3" t="n">
        <f aca="false">SUM(P1969:U1969)</f>
        <v>1</v>
      </c>
      <c r="M1969" s="11" t="n">
        <f aca="false">(L1969/(F1969*G1969)*25)*4</f>
        <v>4</v>
      </c>
      <c r="N1969" s="1" t="s">
        <v>19</v>
      </c>
      <c r="O1969" s="1" t="s">
        <v>54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1</v>
      </c>
      <c r="U1969" s="3" t="n">
        <v>0</v>
      </c>
      <c r="V1969" s="3" t="n">
        <f aca="false">SUM(P1969:Q1969)</f>
        <v>0</v>
      </c>
      <c r="W1969" s="3" t="n">
        <f aca="false">SUM(R1969:T1969)</f>
        <v>1</v>
      </c>
      <c r="X1969" s="22" t="n">
        <v>41870</v>
      </c>
      <c r="Y1969" s="22" t="n">
        <v>41875</v>
      </c>
    </row>
    <row r="1970" customFormat="false" ht="14.25" hidden="false" customHeight="false" outlineLevel="0" collapsed="false">
      <c r="A1970" s="1" t="n">
        <v>2014</v>
      </c>
      <c r="B1970" s="1" t="n">
        <v>2</v>
      </c>
      <c r="C1970" s="2" t="s">
        <v>44</v>
      </c>
      <c r="D1970" s="3" t="s">
        <v>45</v>
      </c>
      <c r="E1970" s="3" t="n">
        <v>3</v>
      </c>
      <c r="F1970" s="1" t="n">
        <f aca="false">Y1970-X1970</f>
        <v>5</v>
      </c>
      <c r="G1970" s="1" t="n">
        <v>5</v>
      </c>
      <c r="H1970" s="3" t="s">
        <v>72</v>
      </c>
      <c r="I1970" s="3" t="s">
        <v>73</v>
      </c>
      <c r="J1970" s="3" t="s">
        <v>74</v>
      </c>
      <c r="K1970" s="2" t="str">
        <f aca="false">CONCATENATE(I1970," ",J1970)</f>
        <v>Zelotes subterraneus</v>
      </c>
      <c r="L1970" s="3" t="n">
        <f aca="false">SUM(P1970:U1970)</f>
        <v>1</v>
      </c>
      <c r="M1970" s="11" t="n">
        <f aca="false">(L1970/(F1970*G1970)*25)*4</f>
        <v>4</v>
      </c>
      <c r="N1970" s="1" t="s">
        <v>30</v>
      </c>
      <c r="O1970" s="1" t="s">
        <v>35</v>
      </c>
      <c r="P1970" s="3" t="n">
        <v>0</v>
      </c>
      <c r="Q1970" s="3" t="n">
        <v>1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f aca="false">SUM(P1970:Q1970)</f>
        <v>1</v>
      </c>
      <c r="W1970" s="3" t="n">
        <f aca="false">SUM(R1970:T1970)</f>
        <v>0</v>
      </c>
      <c r="X1970" s="22" t="n">
        <v>41870</v>
      </c>
      <c r="Y1970" s="22" t="n">
        <v>41875</v>
      </c>
    </row>
    <row r="1971" customFormat="false" ht="14.25" hidden="false" customHeight="false" outlineLevel="0" collapsed="false">
      <c r="A1971" s="1" t="n">
        <v>2014</v>
      </c>
      <c r="B1971" s="1" t="n">
        <v>2</v>
      </c>
      <c r="C1971" s="2" t="s">
        <v>44</v>
      </c>
      <c r="D1971" s="3" t="s">
        <v>45</v>
      </c>
      <c r="E1971" s="3" t="n">
        <v>3</v>
      </c>
      <c r="F1971" s="1" t="n">
        <f aca="false">Y1971-X1971</f>
        <v>5</v>
      </c>
      <c r="G1971" s="1" t="n">
        <v>5</v>
      </c>
      <c r="H1971" s="3" t="s">
        <v>48</v>
      </c>
      <c r="I1971" s="3" t="s">
        <v>49</v>
      </c>
      <c r="J1971" s="3" t="s">
        <v>130</v>
      </c>
      <c r="K1971" s="2" t="str">
        <f aca="false">CONCATENATE(I1971," ",J1971)</f>
        <v>Alopecosa aculeata</v>
      </c>
      <c r="L1971" s="3" t="n">
        <f aca="false">SUM(P1971:U1971)</f>
        <v>3</v>
      </c>
      <c r="M1971" s="11" t="n">
        <f aca="false">(L1971/(F1971*G1971)*25)*4</f>
        <v>12</v>
      </c>
      <c r="N1971" s="1" t="s">
        <v>30</v>
      </c>
      <c r="O1971" s="1" t="s">
        <v>35</v>
      </c>
      <c r="P1971" s="3" t="n">
        <v>0</v>
      </c>
      <c r="Q1971" s="3" t="n">
        <v>3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f aca="false">SUM(P1971:Q1971)</f>
        <v>3</v>
      </c>
      <c r="W1971" s="3" t="n">
        <f aca="false">SUM(R1971:T1971)</f>
        <v>0</v>
      </c>
      <c r="X1971" s="22" t="n">
        <v>41870</v>
      </c>
      <c r="Y1971" s="22" t="n">
        <v>41875</v>
      </c>
    </row>
    <row r="1972" customFormat="false" ht="14.25" hidden="false" customHeight="false" outlineLevel="0" collapsed="false">
      <c r="A1972" s="1" t="n">
        <v>2014</v>
      </c>
      <c r="B1972" s="1" t="n">
        <v>2</v>
      </c>
      <c r="C1972" s="2" t="s">
        <v>44</v>
      </c>
      <c r="D1972" s="3" t="s">
        <v>45</v>
      </c>
      <c r="E1972" s="3" t="n">
        <v>3</v>
      </c>
      <c r="F1972" s="1" t="n">
        <f aca="false">Y1972-X1972</f>
        <v>5</v>
      </c>
      <c r="G1972" s="1" t="n">
        <v>5</v>
      </c>
      <c r="H1972" s="3" t="s">
        <v>48</v>
      </c>
      <c r="I1972" s="3" t="s">
        <v>57</v>
      </c>
      <c r="J1972" s="3" t="s">
        <v>38</v>
      </c>
      <c r="K1972" s="2" t="str">
        <f aca="false">CONCATENATE(I1972," ",J1972)</f>
        <v>Gen sp</v>
      </c>
      <c r="L1972" s="3" t="n">
        <f aca="false">SUM(P1972:U1972)</f>
        <v>1</v>
      </c>
      <c r="M1972" s="11" t="n">
        <f aca="false">(L1972/(F1972*G1972)*25)*4</f>
        <v>4</v>
      </c>
      <c r="N1972" s="1" t="s">
        <v>19</v>
      </c>
      <c r="O1972" s="1" t="s">
        <v>54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1</v>
      </c>
      <c r="U1972" s="3" t="n">
        <v>0</v>
      </c>
      <c r="V1972" s="3" t="n">
        <f aca="false">SUM(P1972:Q1972)</f>
        <v>0</v>
      </c>
      <c r="W1972" s="3" t="n">
        <f aca="false">SUM(R1972:T1972)</f>
        <v>1</v>
      </c>
      <c r="X1972" s="22" t="n">
        <v>41870</v>
      </c>
      <c r="Y1972" s="22" t="n">
        <v>41875</v>
      </c>
    </row>
    <row r="1973" customFormat="false" ht="14.25" hidden="false" customHeight="false" outlineLevel="0" collapsed="false">
      <c r="A1973" s="1" t="n">
        <v>2014</v>
      </c>
      <c r="B1973" s="1" t="n">
        <v>2</v>
      </c>
      <c r="C1973" s="2" t="s">
        <v>44</v>
      </c>
      <c r="D1973" s="3" t="s">
        <v>45</v>
      </c>
      <c r="E1973" s="3" t="n">
        <v>2</v>
      </c>
      <c r="F1973" s="1" t="n">
        <f aca="false">Y1973-X1973</f>
        <v>5</v>
      </c>
      <c r="G1973" s="1" t="n">
        <v>5</v>
      </c>
      <c r="H1973" s="3" t="s">
        <v>48</v>
      </c>
      <c r="I1973" s="3" t="s">
        <v>49</v>
      </c>
      <c r="J1973" s="3" t="s">
        <v>38</v>
      </c>
      <c r="K1973" s="2" t="str">
        <f aca="false">CONCATENATE(I1973," ",J1973)</f>
        <v>Alopecosa sp</v>
      </c>
      <c r="L1973" s="3" t="n">
        <f aca="false">SUM(P1973:U1973)</f>
        <v>1</v>
      </c>
      <c r="M1973" s="11" t="n">
        <f aca="false">(L1973/(F1973*G1973)*25)*4</f>
        <v>4</v>
      </c>
      <c r="N1973" s="1" t="s">
        <v>19</v>
      </c>
      <c r="O1973" s="1" t="s">
        <v>31</v>
      </c>
      <c r="P1973" s="3" t="n">
        <v>0</v>
      </c>
      <c r="Q1973" s="3" t="n">
        <v>0</v>
      </c>
      <c r="R1973" s="3" t="n">
        <v>1</v>
      </c>
      <c r="S1973" s="3" t="n">
        <v>0</v>
      </c>
      <c r="T1973" s="3" t="n">
        <v>0</v>
      </c>
      <c r="U1973" s="3" t="n">
        <v>0</v>
      </c>
      <c r="V1973" s="3" t="n">
        <f aca="false">SUM(P1973:Q1973)</f>
        <v>0</v>
      </c>
      <c r="W1973" s="3" t="n">
        <f aca="false">SUM(R1973:T1973)</f>
        <v>1</v>
      </c>
      <c r="X1973" s="22" t="n">
        <v>41870</v>
      </c>
      <c r="Y1973" s="22" t="n">
        <v>41875</v>
      </c>
    </row>
    <row r="1974" customFormat="false" ht="14.25" hidden="false" customHeight="false" outlineLevel="0" collapsed="false">
      <c r="A1974" s="1" t="n">
        <v>2014</v>
      </c>
      <c r="B1974" s="1" t="n">
        <v>2</v>
      </c>
      <c r="C1974" s="2" t="s">
        <v>44</v>
      </c>
      <c r="D1974" s="3" t="s">
        <v>45</v>
      </c>
      <c r="E1974" s="3" t="n">
        <v>2</v>
      </c>
      <c r="F1974" s="1" t="n">
        <f aca="false">Y1974-X1974</f>
        <v>5</v>
      </c>
      <c r="G1974" s="1" t="n">
        <v>5</v>
      </c>
      <c r="H1974" s="3" t="s">
        <v>72</v>
      </c>
      <c r="I1974" s="3" t="s">
        <v>73</v>
      </c>
      <c r="J1974" s="3" t="s">
        <v>38</v>
      </c>
      <c r="K1974" s="2" t="str">
        <f aca="false">CONCATENATE(I1974," ",J1974)</f>
        <v>Zelotes sp</v>
      </c>
      <c r="L1974" s="3" t="n">
        <f aca="false">SUM(P1974:U1974)</f>
        <v>1</v>
      </c>
      <c r="M1974" s="11" t="n">
        <f aca="false">(L1974/(F1974*G1974)*25)*4</f>
        <v>4</v>
      </c>
      <c r="N1974" s="1" t="s">
        <v>19</v>
      </c>
      <c r="O1974" s="1" t="s">
        <v>35</v>
      </c>
      <c r="P1974" s="3" t="n">
        <v>0</v>
      </c>
      <c r="Q1974" s="3" t="n">
        <v>0</v>
      </c>
      <c r="R1974" s="3" t="n">
        <v>0</v>
      </c>
      <c r="S1974" s="3" t="n">
        <v>1</v>
      </c>
      <c r="T1974" s="3" t="n">
        <v>0</v>
      </c>
      <c r="U1974" s="3" t="n">
        <v>0</v>
      </c>
      <c r="V1974" s="3" t="n">
        <f aca="false">SUM(P1974:Q1974)</f>
        <v>0</v>
      </c>
      <c r="W1974" s="3" t="n">
        <f aca="false">SUM(R1974:T1974)</f>
        <v>1</v>
      </c>
      <c r="X1974" s="22" t="n">
        <v>41870</v>
      </c>
      <c r="Y1974" s="22" t="n">
        <v>41875</v>
      </c>
    </row>
    <row r="1975" customFormat="false" ht="14.25" hidden="false" customHeight="false" outlineLevel="0" collapsed="false">
      <c r="A1975" s="1" t="n">
        <v>2014</v>
      </c>
      <c r="B1975" s="1" t="n">
        <v>2</v>
      </c>
      <c r="C1975" s="2" t="s">
        <v>44</v>
      </c>
      <c r="D1975" s="3" t="s">
        <v>45</v>
      </c>
      <c r="E1975" s="3" t="n">
        <v>2</v>
      </c>
      <c r="F1975" s="1" t="n">
        <f aca="false">Y1975-X1975</f>
        <v>5</v>
      </c>
      <c r="G1975" s="1" t="n">
        <v>5</v>
      </c>
      <c r="H1975" s="3" t="s">
        <v>72</v>
      </c>
      <c r="I1975" s="3" t="s">
        <v>73</v>
      </c>
      <c r="J1975" s="3" t="s">
        <v>74</v>
      </c>
      <c r="K1975" s="2" t="str">
        <f aca="false">CONCATENATE(I1975," ",J1975)</f>
        <v>Zelotes subterraneus</v>
      </c>
      <c r="L1975" s="3" t="n">
        <f aca="false">SUM(P1975:U1975)</f>
        <v>1</v>
      </c>
      <c r="M1975" s="11" t="n">
        <f aca="false">(L1975/(F1975*G1975)*25)*4</f>
        <v>4</v>
      </c>
      <c r="N1975" s="1" t="s">
        <v>30</v>
      </c>
      <c r="O1975" s="1" t="s">
        <v>35</v>
      </c>
      <c r="P1975" s="3" t="n">
        <v>0</v>
      </c>
      <c r="Q1975" s="3" t="n">
        <v>1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f aca="false">SUM(P1975:Q1975)</f>
        <v>1</v>
      </c>
      <c r="W1975" s="3" t="n">
        <f aca="false">SUM(R1975:T1975)</f>
        <v>0</v>
      </c>
      <c r="X1975" s="22" t="n">
        <v>41870</v>
      </c>
      <c r="Y1975" s="22" t="n">
        <v>41875</v>
      </c>
    </row>
    <row r="1976" customFormat="false" ht="14.25" hidden="false" customHeight="false" outlineLevel="0" collapsed="false">
      <c r="A1976" s="1" t="n">
        <v>2014</v>
      </c>
      <c r="B1976" s="1" t="n">
        <v>2</v>
      </c>
      <c r="C1976" s="2" t="s">
        <v>44</v>
      </c>
      <c r="D1976" s="3" t="s">
        <v>45</v>
      </c>
      <c r="E1976" s="3" t="n">
        <v>2</v>
      </c>
      <c r="F1976" s="1" t="n">
        <f aca="false">Y1976-X1976</f>
        <v>5</v>
      </c>
      <c r="G1976" s="1" t="n">
        <v>5</v>
      </c>
      <c r="H1976" s="3" t="s">
        <v>48</v>
      </c>
      <c r="I1976" s="3" t="s">
        <v>122</v>
      </c>
      <c r="J1976" s="3" t="s">
        <v>123</v>
      </c>
      <c r="K1976" s="2" t="str">
        <f aca="false">CONCATENATE(I1976," ",J1976)</f>
        <v>Xerolycosa nemoralis</v>
      </c>
      <c r="L1976" s="3" t="n">
        <f aca="false">SUM(P1976:U1976)</f>
        <v>1</v>
      </c>
      <c r="M1976" s="11" t="n">
        <f aca="false">(L1976/(F1976*G1976)*25)*4</f>
        <v>4</v>
      </c>
      <c r="N1976" s="1" t="s">
        <v>19</v>
      </c>
      <c r="O1976" s="1" t="s">
        <v>31</v>
      </c>
      <c r="P1976" s="3" t="n">
        <v>0</v>
      </c>
      <c r="Q1976" s="3" t="n">
        <v>0</v>
      </c>
      <c r="R1976" s="3" t="n">
        <v>1</v>
      </c>
      <c r="S1976" s="3" t="n">
        <v>0</v>
      </c>
      <c r="T1976" s="3" t="n">
        <v>0</v>
      </c>
      <c r="U1976" s="3" t="n">
        <v>0</v>
      </c>
      <c r="V1976" s="3" t="n">
        <f aca="false">SUM(P1976:Q1976)</f>
        <v>0</v>
      </c>
      <c r="W1976" s="3" t="n">
        <f aca="false">SUM(R1976:T1976)</f>
        <v>1</v>
      </c>
      <c r="X1976" s="22" t="n">
        <v>41870</v>
      </c>
      <c r="Y1976" s="22" t="n">
        <v>41875</v>
      </c>
    </row>
    <row r="1977" customFormat="false" ht="14.25" hidden="false" customHeight="false" outlineLevel="0" collapsed="false">
      <c r="A1977" s="1" t="n">
        <v>2014</v>
      </c>
      <c r="B1977" s="1" t="n">
        <v>2</v>
      </c>
      <c r="C1977" s="2" t="s">
        <v>44</v>
      </c>
      <c r="D1977" s="3" t="s">
        <v>45</v>
      </c>
      <c r="E1977" s="3" t="n">
        <v>2</v>
      </c>
      <c r="F1977" s="1" t="n">
        <f aca="false">Y1977-X1977</f>
        <v>5</v>
      </c>
      <c r="G1977" s="1" t="n">
        <v>5</v>
      </c>
      <c r="H1977" s="3" t="s">
        <v>48</v>
      </c>
      <c r="I1977" s="3" t="s">
        <v>122</v>
      </c>
      <c r="J1977" s="3" t="s">
        <v>123</v>
      </c>
      <c r="K1977" s="2" t="str">
        <f aca="false">CONCATENATE(I1977," ",J1977)</f>
        <v>Xerolycosa nemoralis</v>
      </c>
      <c r="L1977" s="3" t="n">
        <f aca="false">SUM(P1977:U1977)</f>
        <v>1</v>
      </c>
      <c r="M1977" s="11" t="n">
        <f aca="false">(L1977/(F1977*G1977)*25)*4</f>
        <v>4</v>
      </c>
      <c r="N1977" s="1" t="s">
        <v>30</v>
      </c>
      <c r="O1977" s="1" t="s">
        <v>35</v>
      </c>
      <c r="P1977" s="3" t="n">
        <v>0</v>
      </c>
      <c r="Q1977" s="3" t="n">
        <v>1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f aca="false">SUM(P1977:Q1977)</f>
        <v>1</v>
      </c>
      <c r="W1977" s="3" t="n">
        <f aca="false">SUM(R1977:T1977)</f>
        <v>0</v>
      </c>
      <c r="X1977" s="22" t="n">
        <v>41870</v>
      </c>
      <c r="Y1977" s="22" t="n">
        <v>41875</v>
      </c>
    </row>
    <row r="1978" customFormat="false" ht="14.25" hidden="false" customHeight="false" outlineLevel="0" collapsed="false">
      <c r="A1978" s="1" t="n">
        <v>2014</v>
      </c>
      <c r="B1978" s="1" t="n">
        <v>2</v>
      </c>
      <c r="C1978" s="2" t="s">
        <v>44</v>
      </c>
      <c r="D1978" s="3" t="s">
        <v>45</v>
      </c>
      <c r="E1978" s="3" t="n">
        <v>2</v>
      </c>
      <c r="F1978" s="1" t="n">
        <f aca="false">Y1978-X1978</f>
        <v>5</v>
      </c>
      <c r="G1978" s="1" t="n">
        <v>5</v>
      </c>
      <c r="H1978" s="3" t="s">
        <v>48</v>
      </c>
      <c r="I1978" s="3" t="s">
        <v>122</v>
      </c>
      <c r="J1978" s="3" t="s">
        <v>123</v>
      </c>
      <c r="K1978" s="2" t="str">
        <f aca="false">CONCATENATE(I1978," ",J1978)</f>
        <v>Xerolycosa nemoralis</v>
      </c>
      <c r="L1978" s="3" t="n">
        <f aca="false">SUM(P1978:U1978)</f>
        <v>1</v>
      </c>
      <c r="M1978" s="11" t="n">
        <f aca="false">(L1978/(F1978*G1978)*25)*4</f>
        <v>4</v>
      </c>
      <c r="N1978" s="1" t="s">
        <v>19</v>
      </c>
      <c r="O1978" s="1" t="s">
        <v>31</v>
      </c>
      <c r="P1978" s="3" t="n">
        <v>0</v>
      </c>
      <c r="Q1978" s="3" t="n">
        <v>0</v>
      </c>
      <c r="R1978" s="3" t="n">
        <v>1</v>
      </c>
      <c r="S1978" s="3" t="n">
        <v>0</v>
      </c>
      <c r="T1978" s="3" t="n">
        <v>0</v>
      </c>
      <c r="U1978" s="3" t="n">
        <v>0</v>
      </c>
      <c r="V1978" s="3" t="n">
        <f aca="false">SUM(P1978:Q1978)</f>
        <v>0</v>
      </c>
      <c r="W1978" s="3" t="n">
        <f aca="false">SUM(R1978:T1978)</f>
        <v>1</v>
      </c>
      <c r="X1978" s="22" t="n">
        <v>41870</v>
      </c>
      <c r="Y1978" s="22" t="n">
        <v>41875</v>
      </c>
    </row>
    <row r="1979" customFormat="false" ht="14.25" hidden="false" customHeight="false" outlineLevel="0" collapsed="false">
      <c r="A1979" s="1" t="n">
        <v>2014</v>
      </c>
      <c r="B1979" s="1" t="n">
        <v>2</v>
      </c>
      <c r="C1979" s="2" t="s">
        <v>44</v>
      </c>
      <c r="D1979" s="3" t="s">
        <v>45</v>
      </c>
      <c r="E1979" s="3" t="n">
        <v>2</v>
      </c>
      <c r="F1979" s="1" t="n">
        <f aca="false">Y1979-X1979</f>
        <v>5</v>
      </c>
      <c r="G1979" s="1" t="n">
        <v>5</v>
      </c>
      <c r="H1979" s="3" t="s">
        <v>48</v>
      </c>
      <c r="I1979" s="3" t="s">
        <v>122</v>
      </c>
      <c r="J1979" s="3" t="s">
        <v>123</v>
      </c>
      <c r="K1979" s="2" t="str">
        <f aca="false">CONCATENATE(I1979," ",J1979)</f>
        <v>Xerolycosa nemoralis</v>
      </c>
      <c r="L1979" s="3" t="n">
        <f aca="false">SUM(P1979:U1979)</f>
        <v>1</v>
      </c>
      <c r="M1979" s="11" t="n">
        <f aca="false">(L1979/(F1979*G1979)*25)*4</f>
        <v>4</v>
      </c>
      <c r="N1979" s="1" t="s">
        <v>19</v>
      </c>
      <c r="O1979" s="1" t="s">
        <v>35</v>
      </c>
      <c r="P1979" s="3" t="n">
        <v>0</v>
      </c>
      <c r="Q1979" s="3" t="n">
        <v>0</v>
      </c>
      <c r="R1979" s="3" t="n">
        <v>0</v>
      </c>
      <c r="S1979" s="3" t="n">
        <v>1</v>
      </c>
      <c r="T1979" s="3" t="n">
        <v>0</v>
      </c>
      <c r="U1979" s="3" t="n">
        <v>0</v>
      </c>
      <c r="V1979" s="3" t="n">
        <f aca="false">SUM(P1979:Q1979)</f>
        <v>0</v>
      </c>
      <c r="W1979" s="3" t="n">
        <f aca="false">SUM(R1979:T1979)</f>
        <v>1</v>
      </c>
      <c r="X1979" s="22" t="n">
        <v>41870</v>
      </c>
      <c r="Y1979" s="22" t="n">
        <v>41875</v>
      </c>
    </row>
    <row r="1980" customFormat="false" ht="14.25" hidden="false" customHeight="false" outlineLevel="0" collapsed="false">
      <c r="A1980" s="1" t="n">
        <v>2014</v>
      </c>
      <c r="B1980" s="1" t="n">
        <v>2</v>
      </c>
      <c r="C1980" s="2" t="s">
        <v>44</v>
      </c>
      <c r="D1980" s="3" t="s">
        <v>45</v>
      </c>
      <c r="E1980" s="3" t="n">
        <v>2</v>
      </c>
      <c r="F1980" s="1" t="n">
        <f aca="false">Y1980-X1980</f>
        <v>5</v>
      </c>
      <c r="G1980" s="1" t="n">
        <v>5</v>
      </c>
      <c r="H1980" s="3" t="s">
        <v>48</v>
      </c>
      <c r="I1980" s="3" t="s">
        <v>61</v>
      </c>
      <c r="J1980" s="3" t="s">
        <v>95</v>
      </c>
      <c r="K1980" s="2" t="str">
        <f aca="false">CONCATENATE(I1980," ",J1980)</f>
        <v>Trochosa ruricola</v>
      </c>
      <c r="L1980" s="3" t="n">
        <f aca="false">SUM(P1980:U1980)</f>
        <v>1</v>
      </c>
      <c r="M1980" s="11" t="n">
        <f aca="false">(L1980/(F1980*G1980)*25)*4</f>
        <v>4</v>
      </c>
      <c r="N1980" s="1" t="s">
        <v>30</v>
      </c>
      <c r="O1980" s="1" t="s">
        <v>31</v>
      </c>
      <c r="P1980" s="3" t="n">
        <v>1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f aca="false">SUM(P1980:Q1980)</f>
        <v>1</v>
      </c>
      <c r="W1980" s="3" t="n">
        <f aca="false">SUM(R1980:T1980)</f>
        <v>0</v>
      </c>
      <c r="X1980" s="22" t="n">
        <v>41870</v>
      </c>
      <c r="Y1980" s="22" t="n">
        <v>41875</v>
      </c>
    </row>
    <row r="1981" customFormat="false" ht="14.25" hidden="false" customHeight="false" outlineLevel="0" collapsed="false">
      <c r="A1981" s="1" t="n">
        <v>2014</v>
      </c>
      <c r="B1981" s="1" t="n">
        <v>2</v>
      </c>
      <c r="C1981" s="2" t="s">
        <v>44</v>
      </c>
      <c r="D1981" s="3" t="s">
        <v>45</v>
      </c>
      <c r="E1981" s="3" t="n">
        <v>2</v>
      </c>
      <c r="F1981" s="1" t="n">
        <f aca="false">Y1981-X1981</f>
        <v>5</v>
      </c>
      <c r="G1981" s="1" t="n">
        <v>5</v>
      </c>
      <c r="H1981" s="3" t="s">
        <v>72</v>
      </c>
      <c r="I1981" s="3" t="s">
        <v>73</v>
      </c>
      <c r="J1981" s="3" t="s">
        <v>38</v>
      </c>
      <c r="K1981" s="2" t="str">
        <f aca="false">CONCATENATE(I1981," ",J1981)</f>
        <v>Zelotes sp</v>
      </c>
      <c r="L1981" s="3" t="n">
        <f aca="false">SUM(P1981:U1981)</f>
        <v>1</v>
      </c>
      <c r="M1981" s="11" t="n">
        <f aca="false">(L1981/(F1981*G1981)*25)*4</f>
        <v>4</v>
      </c>
      <c r="N1981" s="1" t="s">
        <v>19</v>
      </c>
      <c r="O1981" s="1" t="s">
        <v>35</v>
      </c>
      <c r="P1981" s="3" t="n">
        <v>0</v>
      </c>
      <c r="Q1981" s="3" t="n">
        <v>0</v>
      </c>
      <c r="R1981" s="3" t="n">
        <v>0</v>
      </c>
      <c r="S1981" s="3" t="n">
        <v>1</v>
      </c>
      <c r="T1981" s="3" t="n">
        <v>0</v>
      </c>
      <c r="U1981" s="3" t="n">
        <v>0</v>
      </c>
      <c r="V1981" s="3" t="n">
        <f aca="false">SUM(P1981:Q1981)</f>
        <v>0</v>
      </c>
      <c r="W1981" s="3" t="n">
        <f aca="false">SUM(R1981:T1981)</f>
        <v>1</v>
      </c>
      <c r="X1981" s="22" t="n">
        <v>41870</v>
      </c>
      <c r="Y1981" s="22" t="n">
        <v>41875</v>
      </c>
    </row>
    <row r="1982" customFormat="false" ht="14.25" hidden="false" customHeight="false" outlineLevel="0" collapsed="false">
      <c r="A1982" s="1" t="n">
        <v>2014</v>
      </c>
      <c r="B1982" s="1" t="n">
        <v>2</v>
      </c>
      <c r="C1982" s="2" t="s">
        <v>44</v>
      </c>
      <c r="D1982" s="3" t="s">
        <v>45</v>
      </c>
      <c r="E1982" s="3" t="n">
        <v>2</v>
      </c>
      <c r="F1982" s="1" t="n">
        <f aca="false">Y1982-X1982</f>
        <v>5</v>
      </c>
      <c r="G1982" s="1" t="n">
        <v>5</v>
      </c>
      <c r="H1982" s="3" t="s">
        <v>48</v>
      </c>
      <c r="I1982" s="3" t="s">
        <v>57</v>
      </c>
      <c r="J1982" s="3" t="s">
        <v>38</v>
      </c>
      <c r="K1982" s="2" t="str">
        <f aca="false">CONCATENATE(I1982," ",J1982)</f>
        <v>Gen sp</v>
      </c>
      <c r="L1982" s="3" t="n">
        <f aca="false">SUM(P1982:U1982)</f>
        <v>1</v>
      </c>
      <c r="M1982" s="11" t="n">
        <f aca="false">(L1982/(F1982*G1982)*25)*4</f>
        <v>4</v>
      </c>
      <c r="N1982" s="1" t="s">
        <v>19</v>
      </c>
      <c r="O1982" s="1" t="s">
        <v>54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1</v>
      </c>
      <c r="U1982" s="3" t="n">
        <v>0</v>
      </c>
      <c r="V1982" s="3" t="n">
        <f aca="false">SUM(P1982:Q1982)</f>
        <v>0</v>
      </c>
      <c r="W1982" s="3" t="n">
        <f aca="false">SUM(R1982:T1982)</f>
        <v>1</v>
      </c>
      <c r="X1982" s="22" t="n">
        <v>41870</v>
      </c>
      <c r="Y1982" s="22" t="n">
        <v>41875</v>
      </c>
    </row>
    <row r="1983" customFormat="false" ht="14.25" hidden="false" customHeight="false" outlineLevel="0" collapsed="false">
      <c r="A1983" s="1" t="n">
        <v>2014</v>
      </c>
      <c r="B1983" s="1" t="n">
        <v>2</v>
      </c>
      <c r="C1983" s="2" t="s">
        <v>44</v>
      </c>
      <c r="D1983" s="3" t="s">
        <v>45</v>
      </c>
      <c r="E1983" s="3" t="n">
        <v>3</v>
      </c>
      <c r="F1983" s="1" t="n">
        <f aca="false">Y1983-X1983</f>
        <v>5</v>
      </c>
      <c r="G1983" s="1" t="n">
        <v>5</v>
      </c>
      <c r="H1983" s="3" t="s">
        <v>48</v>
      </c>
      <c r="I1983" s="3" t="s">
        <v>49</v>
      </c>
      <c r="J1983" s="3" t="s">
        <v>130</v>
      </c>
      <c r="K1983" s="2" t="str">
        <f aca="false">CONCATENATE(I1983," ",J1983)</f>
        <v>Alopecosa aculeata</v>
      </c>
      <c r="L1983" s="3" t="n">
        <f aca="false">SUM(P1983:U1983)</f>
        <v>1</v>
      </c>
      <c r="M1983" s="11" t="n">
        <f aca="false">(L1983/(F1983*G1983)*25)*4</f>
        <v>4</v>
      </c>
      <c r="N1983" s="1" t="s">
        <v>30</v>
      </c>
      <c r="O1983" s="1" t="s">
        <v>35</v>
      </c>
      <c r="P1983" s="3" t="n">
        <v>0</v>
      </c>
      <c r="Q1983" s="3" t="n">
        <v>1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f aca="false">SUM(P1983:Q1983)</f>
        <v>1</v>
      </c>
      <c r="W1983" s="3" t="n">
        <f aca="false">SUM(R1983:T1983)</f>
        <v>0</v>
      </c>
      <c r="X1983" s="22" t="n">
        <v>41870</v>
      </c>
      <c r="Y1983" s="22" t="n">
        <v>41875</v>
      </c>
    </row>
    <row r="1984" customFormat="false" ht="14.25" hidden="false" customHeight="false" outlineLevel="0" collapsed="false">
      <c r="A1984" s="1" t="n">
        <v>2014</v>
      </c>
      <c r="B1984" s="1" t="n">
        <v>2</v>
      </c>
      <c r="C1984" s="2" t="s">
        <v>44</v>
      </c>
      <c r="D1984" s="3" t="s">
        <v>118</v>
      </c>
      <c r="E1984" s="3" t="n">
        <v>2</v>
      </c>
      <c r="F1984" s="1" t="n">
        <f aca="false">Y1984-X1984</f>
        <v>5</v>
      </c>
      <c r="G1984" s="1" t="n">
        <v>5</v>
      </c>
      <c r="H1984" s="3" t="s">
        <v>48</v>
      </c>
      <c r="I1984" s="3" t="s">
        <v>49</v>
      </c>
      <c r="J1984" s="3" t="s">
        <v>38</v>
      </c>
      <c r="K1984" s="2" t="str">
        <f aca="false">CONCATENATE(I1984," ",J1984)</f>
        <v>Alopecosa sp</v>
      </c>
      <c r="L1984" s="3" t="n">
        <f aca="false">SUM(P1984:U1984)</f>
        <v>1</v>
      </c>
      <c r="M1984" s="11" t="n">
        <f aca="false">(L1984/(F1984*G1984)*25)*4</f>
        <v>4</v>
      </c>
      <c r="N1984" s="1" t="s">
        <v>19</v>
      </c>
      <c r="O1984" s="1" t="s">
        <v>31</v>
      </c>
      <c r="P1984" s="3" t="n">
        <v>0</v>
      </c>
      <c r="Q1984" s="3" t="n">
        <v>0</v>
      </c>
      <c r="R1984" s="3" t="n">
        <v>1</v>
      </c>
      <c r="S1984" s="3" t="n">
        <v>0</v>
      </c>
      <c r="T1984" s="3" t="n">
        <v>0</v>
      </c>
      <c r="U1984" s="3" t="n">
        <v>0</v>
      </c>
      <c r="V1984" s="3" t="n">
        <f aca="false">SUM(P1984:Q1984)</f>
        <v>0</v>
      </c>
      <c r="W1984" s="3" t="n">
        <f aca="false">SUM(R1984:T1984)</f>
        <v>1</v>
      </c>
      <c r="X1984" s="22" t="n">
        <v>41869</v>
      </c>
      <c r="Y1984" s="22" t="n">
        <v>41874</v>
      </c>
    </row>
    <row r="1985" customFormat="false" ht="14.25" hidden="false" customHeight="false" outlineLevel="0" collapsed="false">
      <c r="A1985" s="1" t="n">
        <v>2014</v>
      </c>
      <c r="B1985" s="1" t="n">
        <v>2</v>
      </c>
      <c r="C1985" s="2" t="s">
        <v>44</v>
      </c>
      <c r="D1985" s="3" t="s">
        <v>118</v>
      </c>
      <c r="E1985" s="3" t="n">
        <v>2</v>
      </c>
      <c r="F1985" s="1" t="n">
        <f aca="false">Y1985-X1985</f>
        <v>5</v>
      </c>
      <c r="G1985" s="1" t="n">
        <v>5</v>
      </c>
      <c r="H1985" s="3" t="s">
        <v>48</v>
      </c>
      <c r="I1985" s="3" t="s">
        <v>49</v>
      </c>
      <c r="J1985" s="3" t="s">
        <v>38</v>
      </c>
      <c r="K1985" s="2" t="str">
        <f aca="false">CONCATENATE(I1985," ",J1985)</f>
        <v>Alopecosa sp</v>
      </c>
      <c r="L1985" s="3" t="n">
        <f aca="false">SUM(P1985:U1985)</f>
        <v>3</v>
      </c>
      <c r="M1985" s="11" t="n">
        <f aca="false">(L1985/(F1985*G1985)*25)*4</f>
        <v>12</v>
      </c>
      <c r="N1985" s="1" t="s">
        <v>19</v>
      </c>
      <c r="O1985" s="1" t="s">
        <v>35</v>
      </c>
      <c r="P1985" s="3" t="n">
        <v>0</v>
      </c>
      <c r="Q1985" s="3" t="n">
        <v>0</v>
      </c>
      <c r="R1985" s="3" t="n">
        <v>0</v>
      </c>
      <c r="S1985" s="3" t="n">
        <v>3</v>
      </c>
      <c r="T1985" s="3" t="n">
        <v>0</v>
      </c>
      <c r="U1985" s="3" t="n">
        <v>0</v>
      </c>
      <c r="V1985" s="3" t="n">
        <f aca="false">SUM(P1985:Q1985)</f>
        <v>0</v>
      </c>
      <c r="W1985" s="3" t="n">
        <f aca="false">SUM(R1985:T1985)</f>
        <v>3</v>
      </c>
      <c r="X1985" s="22" t="n">
        <v>41869</v>
      </c>
      <c r="Y1985" s="22" t="n">
        <v>41874</v>
      </c>
    </row>
    <row r="1986" customFormat="false" ht="14.25" hidden="false" customHeight="false" outlineLevel="0" collapsed="false">
      <c r="A1986" s="1" t="n">
        <v>2014</v>
      </c>
      <c r="B1986" s="1" t="n">
        <v>2</v>
      </c>
      <c r="C1986" s="2" t="s">
        <v>44</v>
      </c>
      <c r="D1986" s="3" t="s">
        <v>118</v>
      </c>
      <c r="E1986" s="3" t="n">
        <v>2</v>
      </c>
      <c r="F1986" s="1" t="n">
        <f aca="false">Y1986-X1986</f>
        <v>5</v>
      </c>
      <c r="G1986" s="1" t="n">
        <v>5</v>
      </c>
      <c r="H1986" s="3" t="s">
        <v>225</v>
      </c>
      <c r="I1986" s="3" t="s">
        <v>125</v>
      </c>
      <c r="J1986" s="3" t="s">
        <v>232</v>
      </c>
      <c r="K1986" s="2" t="str">
        <f aca="false">CONCATENATE(I1986," ",J1986)</f>
        <v>Hahnia pusilla</v>
      </c>
      <c r="L1986" s="3" t="n">
        <f aca="false">SUM(P1986:U1986)</f>
        <v>1</v>
      </c>
      <c r="M1986" s="11" t="n">
        <f aca="false">(L1986/(F1986*G1986)*25)*4</f>
        <v>4</v>
      </c>
      <c r="N1986" s="1" t="s">
        <v>30</v>
      </c>
      <c r="O1986" s="1" t="s">
        <v>31</v>
      </c>
      <c r="P1986" s="3" t="n">
        <v>1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f aca="false">SUM(P1986:Q1986)</f>
        <v>1</v>
      </c>
      <c r="W1986" s="3" t="n">
        <f aca="false">SUM(R1986:T1986)</f>
        <v>0</v>
      </c>
      <c r="X1986" s="22" t="n">
        <v>41869</v>
      </c>
      <c r="Y1986" s="22" t="n">
        <v>41874</v>
      </c>
    </row>
    <row r="1987" customFormat="false" ht="14.25" hidden="false" customHeight="false" outlineLevel="0" collapsed="false">
      <c r="A1987" s="1" t="n">
        <v>2014</v>
      </c>
      <c r="B1987" s="1" t="n">
        <v>2</v>
      </c>
      <c r="C1987" s="2" t="s">
        <v>44</v>
      </c>
      <c r="D1987" s="3" t="s">
        <v>118</v>
      </c>
      <c r="E1987" s="3" t="n">
        <v>1</v>
      </c>
      <c r="F1987" s="1" t="n">
        <f aca="false">Y1987-X1987</f>
        <v>5</v>
      </c>
      <c r="G1987" s="1" t="n">
        <v>5</v>
      </c>
      <c r="H1987" s="3" t="s">
        <v>48</v>
      </c>
      <c r="I1987" s="3" t="s">
        <v>122</v>
      </c>
      <c r="J1987" s="3" t="s">
        <v>123</v>
      </c>
      <c r="K1987" s="2" t="str">
        <f aca="false">CONCATENATE(I1987," ",J1987)</f>
        <v>Xerolycosa nemoralis</v>
      </c>
      <c r="L1987" s="3" t="n">
        <f aca="false">SUM(P1987:U1987)</f>
        <v>1</v>
      </c>
      <c r="M1987" s="11" t="n">
        <f aca="false">(L1987/(F1987*G1987)*25)*4</f>
        <v>4</v>
      </c>
      <c r="N1987" s="1" t="s">
        <v>30</v>
      </c>
      <c r="O1987" s="1" t="s">
        <v>35</v>
      </c>
      <c r="P1987" s="3" t="n">
        <v>0</v>
      </c>
      <c r="Q1987" s="3" t="n">
        <v>1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f aca="false">SUM(P1987:Q1987)</f>
        <v>1</v>
      </c>
      <c r="W1987" s="3" t="n">
        <f aca="false">SUM(R1987:T1987)</f>
        <v>0</v>
      </c>
      <c r="X1987" s="22" t="n">
        <v>41869</v>
      </c>
      <c r="Y1987" s="22" t="n">
        <v>41874</v>
      </c>
    </row>
    <row r="1988" customFormat="false" ht="14.25" hidden="false" customHeight="false" outlineLevel="0" collapsed="false">
      <c r="A1988" s="1" t="n">
        <v>2014</v>
      </c>
      <c r="B1988" s="1" t="n">
        <v>2</v>
      </c>
      <c r="C1988" s="2" t="s">
        <v>44</v>
      </c>
      <c r="D1988" s="3" t="s">
        <v>118</v>
      </c>
      <c r="E1988" s="3" t="n">
        <v>1</v>
      </c>
      <c r="F1988" s="1" t="n">
        <f aca="false">Y1988-X1988</f>
        <v>5</v>
      </c>
      <c r="G1988" s="1" t="n">
        <v>5</v>
      </c>
      <c r="H1988" s="3" t="s">
        <v>48</v>
      </c>
      <c r="I1988" s="3" t="s">
        <v>49</v>
      </c>
      <c r="J1988" s="3" t="s">
        <v>130</v>
      </c>
      <c r="K1988" s="2" t="str">
        <f aca="false">CONCATENATE(I1988," ",J1988)</f>
        <v>Alopecosa aculeata</v>
      </c>
      <c r="L1988" s="3" t="n">
        <f aca="false">SUM(P1988:U1988)</f>
        <v>1</v>
      </c>
      <c r="M1988" s="11" t="n">
        <f aca="false">(L1988/(F1988*G1988)*25)*4</f>
        <v>4</v>
      </c>
      <c r="N1988" s="1" t="s">
        <v>30</v>
      </c>
      <c r="O1988" s="1" t="s">
        <v>35</v>
      </c>
      <c r="P1988" s="3" t="n">
        <v>0</v>
      </c>
      <c r="Q1988" s="3" t="n">
        <v>1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f aca="false">SUM(P1988:Q1988)</f>
        <v>1</v>
      </c>
      <c r="W1988" s="3" t="n">
        <f aca="false">SUM(R1988:T1988)</f>
        <v>0</v>
      </c>
      <c r="X1988" s="22" t="n">
        <v>41869</v>
      </c>
      <c r="Y1988" s="22" t="n">
        <v>41874</v>
      </c>
    </row>
    <row r="1989" customFormat="false" ht="14.25" hidden="false" customHeight="false" outlineLevel="0" collapsed="false">
      <c r="A1989" s="1" t="n">
        <v>2014</v>
      </c>
      <c r="B1989" s="1" t="n">
        <v>2</v>
      </c>
      <c r="C1989" s="2" t="s">
        <v>44</v>
      </c>
      <c r="D1989" s="3" t="s">
        <v>118</v>
      </c>
      <c r="E1989" s="3" t="n">
        <v>1</v>
      </c>
      <c r="F1989" s="1" t="n">
        <f aca="false">Y1989-X1989</f>
        <v>5</v>
      </c>
      <c r="G1989" s="1" t="n">
        <v>5</v>
      </c>
      <c r="H1989" s="3" t="s">
        <v>72</v>
      </c>
      <c r="I1989" s="3" t="s">
        <v>73</v>
      </c>
      <c r="J1989" s="3" t="s">
        <v>38</v>
      </c>
      <c r="K1989" s="2" t="str">
        <f aca="false">CONCATENATE(I1989," ",J1989)</f>
        <v>Zelotes sp</v>
      </c>
      <c r="L1989" s="3" t="n">
        <f aca="false">SUM(P1989:U1989)</f>
        <v>1</v>
      </c>
      <c r="M1989" s="11" t="n">
        <f aca="false">(L1989/(F1989*G1989)*25)*4</f>
        <v>4</v>
      </c>
      <c r="N1989" s="1" t="s">
        <v>19</v>
      </c>
      <c r="O1989" s="1" t="s">
        <v>35</v>
      </c>
      <c r="P1989" s="3" t="n">
        <v>0</v>
      </c>
      <c r="Q1989" s="3" t="n">
        <v>0</v>
      </c>
      <c r="R1989" s="3" t="n">
        <v>0</v>
      </c>
      <c r="S1989" s="3" t="n">
        <v>1</v>
      </c>
      <c r="T1989" s="3" t="n">
        <v>0</v>
      </c>
      <c r="U1989" s="3" t="n">
        <v>0</v>
      </c>
      <c r="V1989" s="3" t="n">
        <f aca="false">SUM(P1989:Q1989)</f>
        <v>0</v>
      </c>
      <c r="W1989" s="3" t="n">
        <f aca="false">SUM(R1989:T1989)</f>
        <v>1</v>
      </c>
      <c r="X1989" s="22" t="n">
        <v>41869</v>
      </c>
      <c r="Y1989" s="22" t="n">
        <v>41874</v>
      </c>
    </row>
    <row r="1990" customFormat="false" ht="14.25" hidden="false" customHeight="false" outlineLevel="0" collapsed="false">
      <c r="A1990" s="1" t="n">
        <v>2014</v>
      </c>
      <c r="B1990" s="1" t="n">
        <v>2</v>
      </c>
      <c r="C1990" s="2" t="s">
        <v>44</v>
      </c>
      <c r="D1990" s="3" t="s">
        <v>118</v>
      </c>
      <c r="E1990" s="3" t="n">
        <v>1</v>
      </c>
      <c r="F1990" s="1" t="n">
        <f aca="false">Y1990-X1990</f>
        <v>5</v>
      </c>
      <c r="G1990" s="1" t="n">
        <v>5</v>
      </c>
      <c r="H1990" s="3" t="s">
        <v>48</v>
      </c>
      <c r="I1990" s="3" t="s">
        <v>67</v>
      </c>
      <c r="J1990" s="3" t="s">
        <v>127</v>
      </c>
      <c r="K1990" s="2" t="str">
        <f aca="false">CONCATENATE(I1990," ",J1990)</f>
        <v>Pardosa lugubris</v>
      </c>
      <c r="L1990" s="3" t="n">
        <f aca="false">SUM(P1990:U1990)</f>
        <v>1</v>
      </c>
      <c r="M1990" s="11" t="n">
        <f aca="false">(L1990/(F1990*G1990)*25)*4</f>
        <v>4</v>
      </c>
      <c r="N1990" s="1" t="s">
        <v>30</v>
      </c>
      <c r="O1990" s="1" t="s">
        <v>35</v>
      </c>
      <c r="P1990" s="3" t="n">
        <v>0</v>
      </c>
      <c r="Q1990" s="3" t="n">
        <v>1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f aca="false">SUM(P1990:Q1990)</f>
        <v>1</v>
      </c>
      <c r="W1990" s="3" t="n">
        <f aca="false">SUM(R1990:T1990)</f>
        <v>0</v>
      </c>
      <c r="X1990" s="22" t="n">
        <v>41869</v>
      </c>
      <c r="Y1990" s="22" t="n">
        <v>41874</v>
      </c>
    </row>
    <row r="1991" customFormat="false" ht="14.25" hidden="false" customHeight="false" outlineLevel="0" collapsed="false">
      <c r="A1991" s="1" t="n">
        <v>2014</v>
      </c>
      <c r="B1991" s="1" t="n">
        <v>2</v>
      </c>
      <c r="C1991" s="2" t="s">
        <v>44</v>
      </c>
      <c r="D1991" s="3" t="s">
        <v>118</v>
      </c>
      <c r="E1991" s="3" t="n">
        <v>1</v>
      </c>
      <c r="F1991" s="1" t="n">
        <f aca="false">Y1991-X1991</f>
        <v>5</v>
      </c>
      <c r="G1991" s="1" t="n">
        <v>5</v>
      </c>
      <c r="H1991" s="3" t="s">
        <v>48</v>
      </c>
      <c r="I1991" s="3" t="s">
        <v>49</v>
      </c>
      <c r="J1991" s="3" t="s">
        <v>38</v>
      </c>
      <c r="K1991" s="2" t="str">
        <f aca="false">CONCATENATE(I1991," ",J1991)</f>
        <v>Alopecosa sp</v>
      </c>
      <c r="L1991" s="3" t="n">
        <f aca="false">SUM(P1991:U1991)</f>
        <v>1</v>
      </c>
      <c r="M1991" s="11" t="n">
        <f aca="false">(L1991/(F1991*G1991)*25)*4</f>
        <v>4</v>
      </c>
      <c r="N1991" s="1" t="s">
        <v>19</v>
      </c>
      <c r="O1991" s="1" t="s">
        <v>54</v>
      </c>
      <c r="P1991" s="3" t="n">
        <v>0</v>
      </c>
      <c r="Q1991" s="3" t="n">
        <v>0</v>
      </c>
      <c r="R1991" s="3" t="n">
        <v>0</v>
      </c>
      <c r="S1991" s="3" t="n">
        <v>0</v>
      </c>
      <c r="T1991" s="3" t="n">
        <v>1</v>
      </c>
      <c r="U1991" s="3" t="n">
        <v>0</v>
      </c>
      <c r="V1991" s="3" t="n">
        <f aca="false">SUM(P1991:Q1991)</f>
        <v>0</v>
      </c>
      <c r="W1991" s="3" t="n">
        <f aca="false">SUM(R1991:T1991)</f>
        <v>1</v>
      </c>
      <c r="X1991" s="22" t="n">
        <v>41869</v>
      </c>
      <c r="Y1991" s="22" t="n">
        <v>41874</v>
      </c>
    </row>
    <row r="1992" customFormat="false" ht="14.25" hidden="false" customHeight="false" outlineLevel="0" collapsed="false">
      <c r="A1992" s="1" t="n">
        <v>2014</v>
      </c>
      <c r="B1992" s="1" t="n">
        <v>2</v>
      </c>
      <c r="C1992" s="2" t="s">
        <v>44</v>
      </c>
      <c r="D1992" s="3" t="s">
        <v>118</v>
      </c>
      <c r="E1992" s="3" t="n">
        <v>1</v>
      </c>
      <c r="F1992" s="1" t="n">
        <f aca="false">Y1992-X1992</f>
        <v>5</v>
      </c>
      <c r="G1992" s="1" t="n">
        <v>5</v>
      </c>
      <c r="H1992" s="3" t="s">
        <v>72</v>
      </c>
      <c r="I1992" s="3" t="s">
        <v>139</v>
      </c>
      <c r="J1992" s="3" t="s">
        <v>140</v>
      </c>
      <c r="K1992" s="2" t="str">
        <f aca="false">CONCATENATE(I1992," ",J1992)</f>
        <v>Gnaphosa muscorum</v>
      </c>
      <c r="L1992" s="3" t="n">
        <f aca="false">SUM(P1992:U1992)</f>
        <v>1</v>
      </c>
      <c r="M1992" s="11" t="n">
        <f aca="false">(L1992/(F1992*G1992)*25)*4</f>
        <v>4</v>
      </c>
      <c r="N1992" s="1" t="s">
        <v>30</v>
      </c>
      <c r="O1992" s="1" t="s">
        <v>35</v>
      </c>
      <c r="P1992" s="3" t="n">
        <v>0</v>
      </c>
      <c r="Q1992" s="3" t="n">
        <v>1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f aca="false">SUM(P1992:Q1992)</f>
        <v>1</v>
      </c>
      <c r="W1992" s="3" t="n">
        <f aca="false">SUM(R1992:T1992)</f>
        <v>0</v>
      </c>
      <c r="X1992" s="22" t="n">
        <v>41869</v>
      </c>
      <c r="Y1992" s="22" t="n">
        <v>41874</v>
      </c>
    </row>
    <row r="1993" customFormat="false" ht="14.25" hidden="false" customHeight="false" outlineLevel="0" collapsed="false">
      <c r="A1993" s="1" t="n">
        <v>2014</v>
      </c>
      <c r="B1993" s="1" t="n">
        <v>2</v>
      </c>
      <c r="C1993" s="2" t="s">
        <v>44</v>
      </c>
      <c r="D1993" s="3" t="s">
        <v>118</v>
      </c>
      <c r="E1993" s="3" t="n">
        <v>1</v>
      </c>
      <c r="F1993" s="1" t="n">
        <f aca="false">Y1993-X1993</f>
        <v>5</v>
      </c>
      <c r="G1993" s="1" t="n">
        <v>5</v>
      </c>
      <c r="H1993" s="3" t="s">
        <v>72</v>
      </c>
      <c r="I1993" s="3" t="s">
        <v>73</v>
      </c>
      <c r="J1993" s="3" t="s">
        <v>74</v>
      </c>
      <c r="K1993" s="2" t="str">
        <f aca="false">CONCATENATE(I1993," ",J1993)</f>
        <v>Zelotes subterraneus</v>
      </c>
      <c r="L1993" s="3" t="n">
        <f aca="false">SUM(P1993:U1993)</f>
        <v>1</v>
      </c>
      <c r="M1993" s="11" t="n">
        <f aca="false">(L1993/(F1993*G1993)*25)*4</f>
        <v>4</v>
      </c>
      <c r="N1993" s="1" t="s">
        <v>30</v>
      </c>
      <c r="O1993" s="1" t="s">
        <v>35</v>
      </c>
      <c r="P1993" s="3" t="n">
        <v>0</v>
      </c>
      <c r="Q1993" s="3" t="n">
        <v>1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f aca="false">SUM(P1993:Q1993)</f>
        <v>1</v>
      </c>
      <c r="W1993" s="3" t="n">
        <f aca="false">SUM(R1993:T1993)</f>
        <v>0</v>
      </c>
      <c r="X1993" s="22" t="n">
        <v>41869</v>
      </c>
      <c r="Y1993" s="22" t="n">
        <v>41874</v>
      </c>
    </row>
    <row r="1994" customFormat="false" ht="14.25" hidden="false" customHeight="false" outlineLevel="0" collapsed="false">
      <c r="A1994" s="1" t="n">
        <v>2014</v>
      </c>
      <c r="B1994" s="1" t="n">
        <v>2</v>
      </c>
      <c r="C1994" s="2" t="s">
        <v>44</v>
      </c>
      <c r="D1994" s="3" t="s">
        <v>118</v>
      </c>
      <c r="E1994" s="3" t="n">
        <v>1</v>
      </c>
      <c r="F1994" s="1" t="n">
        <f aca="false">Y1994-X1994</f>
        <v>5</v>
      </c>
      <c r="G1994" s="1" t="n">
        <v>5</v>
      </c>
      <c r="H1994" s="3" t="s">
        <v>48</v>
      </c>
      <c r="I1994" s="3" t="s">
        <v>49</v>
      </c>
      <c r="J1994" s="3" t="s">
        <v>38</v>
      </c>
      <c r="K1994" s="2" t="str">
        <f aca="false">CONCATENATE(I1994," ",J1994)</f>
        <v>Alopecosa sp</v>
      </c>
      <c r="L1994" s="3" t="n">
        <f aca="false">SUM(P1994:U1994)</f>
        <v>1</v>
      </c>
      <c r="M1994" s="11" t="n">
        <f aca="false">(L1994/(F1994*G1994)*25)*4</f>
        <v>4</v>
      </c>
      <c r="N1994" s="1" t="s">
        <v>19</v>
      </c>
      <c r="O1994" s="1" t="s">
        <v>31</v>
      </c>
      <c r="P1994" s="3" t="n">
        <v>0</v>
      </c>
      <c r="Q1994" s="3" t="n">
        <v>0</v>
      </c>
      <c r="R1994" s="3" t="n">
        <v>1</v>
      </c>
      <c r="S1994" s="3" t="n">
        <v>0</v>
      </c>
      <c r="T1994" s="3" t="n">
        <v>0</v>
      </c>
      <c r="U1994" s="3" t="n">
        <v>0</v>
      </c>
      <c r="V1994" s="3" t="n">
        <f aca="false">SUM(P1994:Q1994)</f>
        <v>0</v>
      </c>
      <c r="W1994" s="3" t="n">
        <f aca="false">SUM(R1994:T1994)</f>
        <v>1</v>
      </c>
      <c r="X1994" s="22" t="n">
        <v>41869</v>
      </c>
      <c r="Y1994" s="22" t="n">
        <v>41874</v>
      </c>
    </row>
    <row r="1995" customFormat="false" ht="14.25" hidden="false" customHeight="false" outlineLevel="0" collapsed="false">
      <c r="A1995" s="1" t="n">
        <v>2014</v>
      </c>
      <c r="B1995" s="1" t="n">
        <v>2</v>
      </c>
      <c r="C1995" s="2" t="s">
        <v>44</v>
      </c>
      <c r="D1995" s="3" t="s">
        <v>118</v>
      </c>
      <c r="E1995" s="3" t="n">
        <v>1</v>
      </c>
      <c r="F1995" s="1" t="n">
        <f aca="false">Y1995-X1995</f>
        <v>5</v>
      </c>
      <c r="G1995" s="1" t="n">
        <v>5</v>
      </c>
      <c r="H1995" s="3" t="s">
        <v>48</v>
      </c>
      <c r="I1995" s="3" t="s">
        <v>57</v>
      </c>
      <c r="J1995" s="3" t="s">
        <v>38</v>
      </c>
      <c r="K1995" s="2" t="str">
        <f aca="false">CONCATENATE(I1995," ",J1995)</f>
        <v>Gen sp</v>
      </c>
      <c r="L1995" s="3" t="n">
        <f aca="false">SUM(P1995:U1995)</f>
        <v>2</v>
      </c>
      <c r="M1995" s="11" t="n">
        <f aca="false">(L1995/(F1995*G1995)*25)*4</f>
        <v>8</v>
      </c>
      <c r="N1995" s="1" t="s">
        <v>19</v>
      </c>
      <c r="O1995" s="1" t="s">
        <v>54</v>
      </c>
      <c r="P1995" s="3" t="n">
        <v>0</v>
      </c>
      <c r="Q1995" s="3" t="n">
        <v>0</v>
      </c>
      <c r="R1995" s="3" t="n">
        <v>0</v>
      </c>
      <c r="S1995" s="3" t="n">
        <v>0</v>
      </c>
      <c r="T1995" s="3" t="n">
        <v>2</v>
      </c>
      <c r="U1995" s="3" t="n">
        <v>0</v>
      </c>
      <c r="V1995" s="3" t="n">
        <f aca="false">SUM(P1995:Q1995)</f>
        <v>0</v>
      </c>
      <c r="W1995" s="3" t="n">
        <f aca="false">SUM(R1995:T1995)</f>
        <v>2</v>
      </c>
      <c r="X1995" s="22" t="n">
        <v>41869</v>
      </c>
      <c r="Y1995" s="22" t="n">
        <v>41874</v>
      </c>
    </row>
    <row r="1996" customFormat="false" ht="14.25" hidden="false" customHeight="false" outlineLevel="0" collapsed="false">
      <c r="A1996" s="1" t="n">
        <v>2014</v>
      </c>
      <c r="B1996" s="1" t="n">
        <v>2</v>
      </c>
      <c r="C1996" s="2" t="s">
        <v>44</v>
      </c>
      <c r="D1996" s="3" t="s">
        <v>118</v>
      </c>
      <c r="E1996" s="3" t="n">
        <v>2</v>
      </c>
      <c r="F1996" s="1" t="n">
        <f aca="false">Y1996-X1996</f>
        <v>5</v>
      </c>
      <c r="G1996" s="1" t="n">
        <v>5</v>
      </c>
      <c r="H1996" s="3" t="s">
        <v>72</v>
      </c>
      <c r="I1996" s="3" t="s">
        <v>147</v>
      </c>
      <c r="J1996" s="3" t="s">
        <v>233</v>
      </c>
      <c r="K1996" s="2" t="str">
        <f aca="false">CONCATENATE(I1996," ",J1996)</f>
        <v>Micaria fulgens</v>
      </c>
      <c r="L1996" s="3" t="n">
        <f aca="false">SUM(P1996:U1996)</f>
        <v>1</v>
      </c>
      <c r="M1996" s="11" t="n">
        <f aca="false">(L1996/(F1996*G1996)*25)*4</f>
        <v>4</v>
      </c>
      <c r="N1996" s="1" t="s">
        <v>30</v>
      </c>
      <c r="O1996" s="1" t="s">
        <v>35</v>
      </c>
      <c r="P1996" s="3" t="n">
        <v>0</v>
      </c>
      <c r="Q1996" s="3" t="n">
        <v>1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f aca="false">SUM(P1996:Q1996)</f>
        <v>1</v>
      </c>
      <c r="W1996" s="3" t="n">
        <f aca="false">SUM(R1996:T1996)</f>
        <v>0</v>
      </c>
      <c r="X1996" s="22" t="n">
        <v>41869</v>
      </c>
      <c r="Y1996" s="22" t="n">
        <v>41874</v>
      </c>
    </row>
    <row r="1997" customFormat="false" ht="14.25" hidden="false" customHeight="false" outlineLevel="0" collapsed="false">
      <c r="A1997" s="1" t="n">
        <v>2014</v>
      </c>
      <c r="B1997" s="1" t="n">
        <v>2</v>
      </c>
      <c r="C1997" s="2" t="s">
        <v>44</v>
      </c>
      <c r="D1997" s="3" t="s">
        <v>118</v>
      </c>
      <c r="E1997" s="3" t="n">
        <v>2</v>
      </c>
      <c r="F1997" s="1" t="n">
        <f aca="false">Y1997-X1997</f>
        <v>5</v>
      </c>
      <c r="G1997" s="1" t="n">
        <v>5</v>
      </c>
      <c r="H1997" s="3" t="s">
        <v>72</v>
      </c>
      <c r="I1997" s="3" t="s">
        <v>73</v>
      </c>
      <c r="J1997" s="3" t="s">
        <v>74</v>
      </c>
      <c r="K1997" s="2" t="str">
        <f aca="false">CONCATENATE(I1997," ",J1997)</f>
        <v>Zelotes subterraneus</v>
      </c>
      <c r="L1997" s="3" t="n">
        <f aca="false">SUM(P1997:U1997)</f>
        <v>1</v>
      </c>
      <c r="M1997" s="11" t="n">
        <f aca="false">(L1997/(F1997*G1997)*25)*4</f>
        <v>4</v>
      </c>
      <c r="N1997" s="1" t="s">
        <v>30</v>
      </c>
      <c r="O1997" s="1" t="s">
        <v>31</v>
      </c>
      <c r="P1997" s="3" t="n">
        <v>1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f aca="false">SUM(P1997:Q1997)</f>
        <v>1</v>
      </c>
      <c r="W1997" s="3" t="n">
        <f aca="false">SUM(R1997:T1997)</f>
        <v>0</v>
      </c>
      <c r="X1997" s="22" t="n">
        <v>41869</v>
      </c>
      <c r="Y1997" s="22" t="n">
        <v>41874</v>
      </c>
    </row>
    <row r="1998" customFormat="false" ht="14.25" hidden="false" customHeight="false" outlineLevel="0" collapsed="false">
      <c r="A1998" s="1" t="n">
        <v>2014</v>
      </c>
      <c r="B1998" s="1" t="n">
        <v>2</v>
      </c>
      <c r="C1998" s="2" t="s">
        <v>44</v>
      </c>
      <c r="D1998" s="3" t="s">
        <v>118</v>
      </c>
      <c r="E1998" s="3" t="n">
        <v>2</v>
      </c>
      <c r="F1998" s="1" t="n">
        <f aca="false">Y1998-X1998</f>
        <v>5</v>
      </c>
      <c r="G1998" s="1" t="n">
        <v>5</v>
      </c>
      <c r="H1998" s="3" t="s">
        <v>72</v>
      </c>
      <c r="I1998" s="3" t="s">
        <v>73</v>
      </c>
      <c r="J1998" s="3" t="s">
        <v>38</v>
      </c>
      <c r="K1998" s="2" t="str">
        <f aca="false">CONCATENATE(I1998," ",J1998)</f>
        <v>Zelotes sp</v>
      </c>
      <c r="L1998" s="3" t="n">
        <f aca="false">SUM(P1998:U1998)</f>
        <v>1</v>
      </c>
      <c r="M1998" s="11" t="n">
        <f aca="false">(L1998/(F1998*G1998)*25)*4</f>
        <v>4</v>
      </c>
      <c r="N1998" s="1" t="s">
        <v>19</v>
      </c>
      <c r="O1998" s="1" t="s">
        <v>54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1</v>
      </c>
      <c r="U1998" s="3" t="n">
        <v>0</v>
      </c>
      <c r="V1998" s="3" t="n">
        <f aca="false">SUM(P1998:Q1998)</f>
        <v>0</v>
      </c>
      <c r="W1998" s="3" t="n">
        <f aca="false">SUM(R1998:T1998)</f>
        <v>1</v>
      </c>
      <c r="X1998" s="22" t="n">
        <v>41869</v>
      </c>
      <c r="Y1998" s="22" t="n">
        <v>41874</v>
      </c>
    </row>
    <row r="1999" customFormat="false" ht="14.25" hidden="false" customHeight="false" outlineLevel="0" collapsed="false">
      <c r="A1999" s="1" t="n">
        <v>2014</v>
      </c>
      <c r="B1999" s="1" t="n">
        <v>2</v>
      </c>
      <c r="C1999" s="2" t="s">
        <v>44</v>
      </c>
      <c r="D1999" s="3" t="s">
        <v>118</v>
      </c>
      <c r="E1999" s="3" t="n">
        <v>2</v>
      </c>
      <c r="F1999" s="1" t="n">
        <f aca="false">Y1999-X1999</f>
        <v>5</v>
      </c>
      <c r="G1999" s="1" t="n">
        <v>5</v>
      </c>
      <c r="H1999" s="3" t="s">
        <v>48</v>
      </c>
      <c r="I1999" s="3" t="s">
        <v>67</v>
      </c>
      <c r="J1999" s="3" t="s">
        <v>38</v>
      </c>
      <c r="K1999" s="2" t="str">
        <f aca="false">CONCATENATE(I1999," ",J1999)</f>
        <v>Pardosa sp</v>
      </c>
      <c r="L1999" s="3" t="n">
        <f aca="false">SUM(P1999:U1999)</f>
        <v>1</v>
      </c>
      <c r="M1999" s="11" t="n">
        <f aca="false">(L1999/(F1999*G1999)*25)*4</f>
        <v>4</v>
      </c>
      <c r="N1999" s="1" t="s">
        <v>19</v>
      </c>
      <c r="O1999" s="1" t="s">
        <v>31</v>
      </c>
      <c r="P1999" s="3" t="n">
        <v>0</v>
      </c>
      <c r="Q1999" s="3" t="n">
        <v>0</v>
      </c>
      <c r="R1999" s="3" t="n">
        <v>1</v>
      </c>
      <c r="S1999" s="3" t="n">
        <v>0</v>
      </c>
      <c r="T1999" s="3" t="n">
        <v>0</v>
      </c>
      <c r="U1999" s="3" t="n">
        <v>0</v>
      </c>
      <c r="V1999" s="3" t="n">
        <f aca="false">SUM(P1999:Q1999)</f>
        <v>0</v>
      </c>
      <c r="W1999" s="3" t="n">
        <f aca="false">SUM(R1999:T1999)</f>
        <v>1</v>
      </c>
      <c r="X1999" s="22" t="n">
        <v>41869</v>
      </c>
      <c r="Y1999" s="22" t="n">
        <v>41874</v>
      </c>
    </row>
    <row r="2000" customFormat="false" ht="14.25" hidden="false" customHeight="false" outlineLevel="0" collapsed="false">
      <c r="A2000" s="1" t="n">
        <v>2014</v>
      </c>
      <c r="B2000" s="1" t="n">
        <v>2</v>
      </c>
      <c r="C2000" s="2" t="s">
        <v>44</v>
      </c>
      <c r="D2000" s="3" t="s">
        <v>118</v>
      </c>
      <c r="E2000" s="3" t="n">
        <v>3</v>
      </c>
      <c r="F2000" s="1" t="n">
        <f aca="false">Y2000-X2000</f>
        <v>5</v>
      </c>
      <c r="G2000" s="1" t="n">
        <v>5</v>
      </c>
      <c r="H2000" s="3" t="s">
        <v>48</v>
      </c>
      <c r="I2000" s="3" t="s">
        <v>49</v>
      </c>
      <c r="J2000" s="3" t="s">
        <v>130</v>
      </c>
      <c r="K2000" s="2" t="str">
        <f aca="false">CONCATENATE(I2000," ",J2000)</f>
        <v>Alopecosa aculeata</v>
      </c>
      <c r="L2000" s="3" t="n">
        <f aca="false">SUM(P2000:U2000)</f>
        <v>1</v>
      </c>
      <c r="M2000" s="11" t="n">
        <f aca="false">(L2000/(F2000*G2000)*25)*4</f>
        <v>4</v>
      </c>
      <c r="N2000" s="1" t="s">
        <v>30</v>
      </c>
      <c r="O2000" s="1" t="s">
        <v>35</v>
      </c>
      <c r="P2000" s="3" t="n">
        <v>0</v>
      </c>
      <c r="Q2000" s="3" t="n">
        <v>1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f aca="false">SUM(P2000:Q2000)</f>
        <v>1</v>
      </c>
      <c r="W2000" s="3" t="n">
        <f aca="false">SUM(R2000:T2000)</f>
        <v>0</v>
      </c>
      <c r="X2000" s="22" t="n">
        <v>41869</v>
      </c>
      <c r="Y2000" s="22" t="n">
        <v>41874</v>
      </c>
    </row>
    <row r="2001" customFormat="false" ht="14.25" hidden="false" customHeight="false" outlineLevel="0" collapsed="false">
      <c r="A2001" s="1" t="n">
        <v>2014</v>
      </c>
      <c r="B2001" s="1" t="n">
        <v>2</v>
      </c>
      <c r="C2001" s="2" t="s">
        <v>44</v>
      </c>
      <c r="D2001" s="3" t="s">
        <v>118</v>
      </c>
      <c r="E2001" s="3" t="n">
        <v>3</v>
      </c>
      <c r="F2001" s="1" t="n">
        <f aca="false">Y2001-X2001</f>
        <v>5</v>
      </c>
      <c r="G2001" s="1" t="n">
        <v>5</v>
      </c>
      <c r="H2001" s="3" t="s">
        <v>48</v>
      </c>
      <c r="I2001" s="3" t="s">
        <v>49</v>
      </c>
      <c r="J2001" s="3" t="s">
        <v>38</v>
      </c>
      <c r="K2001" s="2" t="str">
        <f aca="false">CONCATENATE(I2001," ",J2001)</f>
        <v>Alopecosa sp</v>
      </c>
      <c r="L2001" s="3" t="n">
        <f aca="false">SUM(P2001:U2001)</f>
        <v>1</v>
      </c>
      <c r="M2001" s="11" t="n">
        <f aca="false">(L2001/(F2001*G2001)*25)*4</f>
        <v>4</v>
      </c>
      <c r="N2001" s="1" t="s">
        <v>19</v>
      </c>
      <c r="O2001" s="1" t="s">
        <v>35</v>
      </c>
      <c r="P2001" s="3" t="n">
        <v>0</v>
      </c>
      <c r="Q2001" s="3" t="n">
        <v>0</v>
      </c>
      <c r="R2001" s="3" t="n">
        <v>0</v>
      </c>
      <c r="S2001" s="3" t="n">
        <v>1</v>
      </c>
      <c r="T2001" s="3" t="n">
        <v>0</v>
      </c>
      <c r="U2001" s="3" t="n">
        <v>0</v>
      </c>
      <c r="V2001" s="3" t="n">
        <f aca="false">SUM(P2001:Q2001)</f>
        <v>0</v>
      </c>
      <c r="W2001" s="3" t="n">
        <f aca="false">SUM(R2001:T2001)</f>
        <v>1</v>
      </c>
      <c r="X2001" s="22" t="n">
        <v>41869</v>
      </c>
      <c r="Y2001" s="22" t="n">
        <v>41874</v>
      </c>
    </row>
    <row r="2002" customFormat="false" ht="14.25" hidden="false" customHeight="false" outlineLevel="0" collapsed="false">
      <c r="A2002" s="1" t="n">
        <v>2014</v>
      </c>
      <c r="B2002" s="1" t="n">
        <v>2</v>
      </c>
      <c r="C2002" s="2" t="s">
        <v>44</v>
      </c>
      <c r="D2002" s="3" t="s">
        <v>118</v>
      </c>
      <c r="E2002" s="3" t="n">
        <v>3</v>
      </c>
      <c r="F2002" s="1" t="n">
        <f aca="false">Y2002-X2002</f>
        <v>5</v>
      </c>
      <c r="G2002" s="1" t="n">
        <v>5</v>
      </c>
      <c r="H2002" s="3" t="s">
        <v>48</v>
      </c>
      <c r="I2002" s="3" t="s">
        <v>122</v>
      </c>
      <c r="J2002" s="3" t="s">
        <v>123</v>
      </c>
      <c r="K2002" s="2" t="str">
        <f aca="false">CONCATENATE(I2002," ",J2002)</f>
        <v>Xerolycosa nemoralis</v>
      </c>
      <c r="L2002" s="3" t="n">
        <f aca="false">SUM(P2002:U2002)</f>
        <v>2</v>
      </c>
      <c r="M2002" s="11" t="n">
        <f aca="false">(L2002/(F2002*G2002)*25)*4</f>
        <v>8</v>
      </c>
      <c r="N2002" s="1" t="s">
        <v>30</v>
      </c>
      <c r="O2002" s="1" t="s">
        <v>35</v>
      </c>
      <c r="P2002" s="3" t="n">
        <v>0</v>
      </c>
      <c r="Q2002" s="3" t="n">
        <v>2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f aca="false">SUM(P2002:Q2002)</f>
        <v>2</v>
      </c>
      <c r="W2002" s="3" t="n">
        <f aca="false">SUM(R2002:T2002)</f>
        <v>0</v>
      </c>
      <c r="X2002" s="22" t="n">
        <v>41869</v>
      </c>
      <c r="Y2002" s="22" t="n">
        <v>41874</v>
      </c>
    </row>
    <row r="2003" customFormat="false" ht="14.25" hidden="false" customHeight="false" outlineLevel="0" collapsed="false">
      <c r="A2003" s="1" t="n">
        <v>2014</v>
      </c>
      <c r="B2003" s="1" t="n">
        <v>2</v>
      </c>
      <c r="C2003" s="2" t="s">
        <v>44</v>
      </c>
      <c r="D2003" s="3" t="s">
        <v>118</v>
      </c>
      <c r="E2003" s="3" t="n">
        <v>2</v>
      </c>
      <c r="F2003" s="1" t="n">
        <f aca="false">Y2003-X2003</f>
        <v>5</v>
      </c>
      <c r="G2003" s="1" t="n">
        <v>5</v>
      </c>
      <c r="H2003" s="3" t="s">
        <v>48</v>
      </c>
      <c r="I2003" s="3" t="s">
        <v>122</v>
      </c>
      <c r="J2003" s="3" t="s">
        <v>123</v>
      </c>
      <c r="K2003" s="2" t="str">
        <f aca="false">CONCATENATE(I2003," ",J2003)</f>
        <v>Xerolycosa nemoralis</v>
      </c>
      <c r="L2003" s="3" t="n">
        <f aca="false">SUM(P2003:U2003)</f>
        <v>1</v>
      </c>
      <c r="M2003" s="11" t="n">
        <f aca="false">(L2003/(F2003*G2003)*25)*4</f>
        <v>4</v>
      </c>
      <c r="N2003" s="1" t="s">
        <v>19</v>
      </c>
      <c r="O2003" s="1" t="s">
        <v>35</v>
      </c>
      <c r="P2003" s="3" t="n">
        <v>0</v>
      </c>
      <c r="Q2003" s="3" t="n">
        <v>0</v>
      </c>
      <c r="R2003" s="3" t="n">
        <v>0</v>
      </c>
      <c r="S2003" s="3" t="n">
        <v>1</v>
      </c>
      <c r="T2003" s="3" t="n">
        <v>0</v>
      </c>
      <c r="U2003" s="3" t="n">
        <v>0</v>
      </c>
      <c r="V2003" s="3" t="n">
        <f aca="false">SUM(P2003:Q2003)</f>
        <v>0</v>
      </c>
      <c r="W2003" s="3" t="n">
        <f aca="false">SUM(R2003:T2003)</f>
        <v>1</v>
      </c>
      <c r="X2003" s="22" t="n">
        <v>41869</v>
      </c>
      <c r="Y2003" s="22" t="n">
        <v>41874</v>
      </c>
    </row>
    <row r="2004" customFormat="false" ht="14.25" hidden="false" customHeight="false" outlineLevel="0" collapsed="false">
      <c r="A2004" s="1" t="n">
        <v>2014</v>
      </c>
      <c r="B2004" s="1" t="n">
        <v>2</v>
      </c>
      <c r="C2004" s="2" t="s">
        <v>44</v>
      </c>
      <c r="D2004" s="3" t="s">
        <v>118</v>
      </c>
      <c r="E2004" s="3" t="n">
        <v>3</v>
      </c>
      <c r="F2004" s="1" t="n">
        <f aca="false">Y2004-X2004</f>
        <v>5</v>
      </c>
      <c r="G2004" s="1" t="n">
        <v>5</v>
      </c>
      <c r="H2004" s="3" t="s">
        <v>48</v>
      </c>
      <c r="I2004" s="3" t="s">
        <v>49</v>
      </c>
      <c r="J2004" s="3" t="s">
        <v>130</v>
      </c>
      <c r="K2004" s="2" t="str">
        <f aca="false">CONCATENATE(I2004," ",J2004)</f>
        <v>Alopecosa aculeata</v>
      </c>
      <c r="L2004" s="3" t="n">
        <f aca="false">SUM(P2004:U2004)</f>
        <v>1</v>
      </c>
      <c r="M2004" s="11" t="n">
        <f aca="false">(L2004/(F2004*G2004)*25)*4</f>
        <v>4</v>
      </c>
      <c r="N2004" s="1" t="s">
        <v>30</v>
      </c>
      <c r="O2004" s="1" t="s">
        <v>35</v>
      </c>
      <c r="P2004" s="3" t="n">
        <v>0</v>
      </c>
      <c r="Q2004" s="3" t="n">
        <v>1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f aca="false">SUM(P2004:Q2004)</f>
        <v>1</v>
      </c>
      <c r="W2004" s="3" t="n">
        <f aca="false">SUM(R2004:T2004)</f>
        <v>0</v>
      </c>
      <c r="X2004" s="22" t="n">
        <v>41869</v>
      </c>
      <c r="Y2004" s="22" t="n">
        <v>41874</v>
      </c>
    </row>
    <row r="2005" customFormat="false" ht="14.25" hidden="false" customHeight="false" outlineLevel="0" collapsed="false">
      <c r="A2005" s="1" t="n">
        <v>2014</v>
      </c>
      <c r="B2005" s="1" t="n">
        <v>2</v>
      </c>
      <c r="C2005" s="2" t="s">
        <v>44</v>
      </c>
      <c r="D2005" s="3" t="s">
        <v>118</v>
      </c>
      <c r="E2005" s="3" t="n">
        <v>3</v>
      </c>
      <c r="F2005" s="1" t="n">
        <f aca="false">Y2005-X2005</f>
        <v>5</v>
      </c>
      <c r="G2005" s="1" t="n">
        <v>5</v>
      </c>
      <c r="H2005" s="3" t="s">
        <v>48</v>
      </c>
      <c r="I2005" s="3" t="s">
        <v>49</v>
      </c>
      <c r="J2005" s="3" t="s">
        <v>38</v>
      </c>
      <c r="K2005" s="2" t="str">
        <f aca="false">CONCATENATE(I2005," ",J2005)</f>
        <v>Alopecosa sp</v>
      </c>
      <c r="L2005" s="3" t="n">
        <f aca="false">SUM(P2005:U2005)</f>
        <v>1</v>
      </c>
      <c r="M2005" s="11" t="n">
        <f aca="false">(L2005/(F2005*G2005)*25)*4</f>
        <v>4</v>
      </c>
      <c r="N2005" s="1" t="s">
        <v>19</v>
      </c>
      <c r="O2005" s="1" t="s">
        <v>35</v>
      </c>
      <c r="P2005" s="3" t="n">
        <v>0</v>
      </c>
      <c r="Q2005" s="3" t="n">
        <v>0</v>
      </c>
      <c r="R2005" s="3" t="n">
        <v>0</v>
      </c>
      <c r="S2005" s="3" t="n">
        <v>1</v>
      </c>
      <c r="T2005" s="3" t="n">
        <v>0</v>
      </c>
      <c r="U2005" s="3" t="n">
        <v>0</v>
      </c>
      <c r="V2005" s="3" t="n">
        <f aca="false">SUM(P2005:Q2005)</f>
        <v>0</v>
      </c>
      <c r="W2005" s="3" t="n">
        <f aca="false">SUM(R2005:T2005)</f>
        <v>1</v>
      </c>
      <c r="X2005" s="22" t="n">
        <v>41869</v>
      </c>
      <c r="Y2005" s="22" t="n">
        <v>41874</v>
      </c>
    </row>
    <row r="2006" customFormat="false" ht="14.25" hidden="false" customHeight="false" outlineLevel="0" collapsed="false">
      <c r="A2006" s="1" t="n">
        <v>2014</v>
      </c>
      <c r="B2006" s="1" t="n">
        <v>2</v>
      </c>
      <c r="C2006" s="2" t="s">
        <v>44</v>
      </c>
      <c r="D2006" s="3" t="s">
        <v>118</v>
      </c>
      <c r="E2006" s="3" t="n">
        <v>3</v>
      </c>
      <c r="F2006" s="1" t="n">
        <f aca="false">Y2006-X2006</f>
        <v>5</v>
      </c>
      <c r="G2006" s="1" t="n">
        <v>5</v>
      </c>
      <c r="H2006" s="3" t="s">
        <v>48</v>
      </c>
      <c r="I2006" s="3" t="s">
        <v>122</v>
      </c>
      <c r="J2006" s="3" t="s">
        <v>123</v>
      </c>
      <c r="K2006" s="2" t="str">
        <f aca="false">CONCATENATE(I2006," ",J2006)</f>
        <v>Xerolycosa nemoralis</v>
      </c>
      <c r="L2006" s="3" t="n">
        <f aca="false">SUM(P2006:U2006)</f>
        <v>1</v>
      </c>
      <c r="M2006" s="11" t="n">
        <f aca="false">(L2006/(F2006*G2006)*25)*4</f>
        <v>4</v>
      </c>
      <c r="N2006" s="1" t="s">
        <v>19</v>
      </c>
      <c r="O2006" s="1" t="s">
        <v>35</v>
      </c>
      <c r="P2006" s="3" t="n">
        <v>0</v>
      </c>
      <c r="Q2006" s="3" t="n">
        <v>0</v>
      </c>
      <c r="R2006" s="3" t="n">
        <v>0</v>
      </c>
      <c r="S2006" s="3" t="n">
        <v>1</v>
      </c>
      <c r="T2006" s="3" t="n">
        <v>0</v>
      </c>
      <c r="U2006" s="3" t="n">
        <v>0</v>
      </c>
      <c r="V2006" s="3" t="n">
        <f aca="false">SUM(P2006:Q2006)</f>
        <v>0</v>
      </c>
      <c r="W2006" s="3" t="n">
        <f aca="false">SUM(R2006:T2006)</f>
        <v>1</v>
      </c>
      <c r="X2006" s="22" t="n">
        <v>41869</v>
      </c>
      <c r="Y2006" s="22" t="n">
        <v>41874</v>
      </c>
    </row>
    <row r="2007" customFormat="false" ht="14.25" hidden="false" customHeight="false" outlineLevel="0" collapsed="false">
      <c r="A2007" s="1" t="n">
        <v>2014</v>
      </c>
      <c r="B2007" s="1" t="n">
        <v>2</v>
      </c>
      <c r="C2007" s="2" t="s">
        <v>44</v>
      </c>
      <c r="D2007" s="3" t="s">
        <v>118</v>
      </c>
      <c r="E2007" s="3" t="n">
        <v>3</v>
      </c>
      <c r="F2007" s="1" t="n">
        <f aca="false">Y2007-X2007</f>
        <v>5</v>
      </c>
      <c r="G2007" s="1" t="n">
        <v>5</v>
      </c>
      <c r="H2007" s="3" t="s">
        <v>48</v>
      </c>
      <c r="I2007" s="3" t="s">
        <v>57</v>
      </c>
      <c r="J2007" s="3" t="s">
        <v>38</v>
      </c>
      <c r="K2007" s="2" t="str">
        <f aca="false">CONCATENATE(I2007," ",J2007)</f>
        <v>Gen sp</v>
      </c>
      <c r="L2007" s="3" t="n">
        <f aca="false">SUM(P2007:U2007)</f>
        <v>1</v>
      </c>
      <c r="M2007" s="11" t="n">
        <f aca="false">(L2007/(F2007*G2007)*25)*4</f>
        <v>4</v>
      </c>
      <c r="N2007" s="1" t="s">
        <v>19</v>
      </c>
      <c r="O2007" s="1" t="s">
        <v>54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1</v>
      </c>
      <c r="U2007" s="3" t="n">
        <v>0</v>
      </c>
      <c r="V2007" s="3" t="n">
        <f aca="false">SUM(P2007:Q2007)</f>
        <v>0</v>
      </c>
      <c r="W2007" s="3" t="n">
        <f aca="false">SUM(R2007:T2007)</f>
        <v>1</v>
      </c>
      <c r="X2007" s="22" t="n">
        <v>41869</v>
      </c>
      <c r="Y2007" s="22" t="n">
        <v>41874</v>
      </c>
    </row>
    <row r="2008" customFormat="false" ht="14.25" hidden="false" customHeight="false" outlineLevel="0" collapsed="false">
      <c r="A2008" s="1" t="n">
        <v>2014</v>
      </c>
      <c r="B2008" s="1" t="n">
        <v>2</v>
      </c>
      <c r="C2008" s="2" t="s">
        <v>44</v>
      </c>
      <c r="D2008" s="3" t="s">
        <v>118</v>
      </c>
      <c r="E2008" s="3" t="n">
        <v>3</v>
      </c>
      <c r="F2008" s="1" t="n">
        <f aca="false">Y2008-X2008</f>
        <v>5</v>
      </c>
      <c r="G2008" s="1" t="n">
        <v>5</v>
      </c>
      <c r="H2008" s="3" t="s">
        <v>72</v>
      </c>
      <c r="I2008" s="3" t="s">
        <v>57</v>
      </c>
      <c r="J2008" s="3" t="s">
        <v>38</v>
      </c>
      <c r="K2008" s="2" t="str">
        <f aca="false">CONCATENATE(I2008," ",J2008)</f>
        <v>Gen sp</v>
      </c>
      <c r="L2008" s="3" t="n">
        <f aca="false">SUM(P2008:U2008)</f>
        <v>1</v>
      </c>
      <c r="M2008" s="11" t="n">
        <f aca="false">(L2008/(F2008*G2008)*25)*4</f>
        <v>4</v>
      </c>
      <c r="N2008" s="1" t="s">
        <v>19</v>
      </c>
      <c r="O2008" s="1" t="s">
        <v>54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1</v>
      </c>
      <c r="U2008" s="3" t="n">
        <v>0</v>
      </c>
      <c r="V2008" s="3" t="n">
        <f aca="false">SUM(P2008:Q2008)</f>
        <v>0</v>
      </c>
      <c r="W2008" s="3" t="n">
        <f aca="false">SUM(R2008:T2008)</f>
        <v>1</v>
      </c>
      <c r="X2008" s="22" t="n">
        <v>41869</v>
      </c>
      <c r="Y2008" s="22" t="n">
        <v>41874</v>
      </c>
    </row>
    <row r="2009" customFormat="false" ht="14.25" hidden="false" customHeight="false" outlineLevel="0" collapsed="false">
      <c r="A2009" s="1" t="n">
        <v>2014</v>
      </c>
      <c r="B2009" s="1" t="n">
        <v>2</v>
      </c>
      <c r="C2009" s="2" t="s">
        <v>44</v>
      </c>
      <c r="D2009" s="3" t="s">
        <v>118</v>
      </c>
      <c r="E2009" s="3" t="n">
        <v>3</v>
      </c>
      <c r="F2009" s="1" t="n">
        <f aca="false">Y2009-X2009</f>
        <v>5</v>
      </c>
      <c r="G2009" s="1" t="n">
        <v>5</v>
      </c>
      <c r="H2009" s="3" t="s">
        <v>48</v>
      </c>
      <c r="I2009" s="3" t="s">
        <v>49</v>
      </c>
      <c r="J2009" s="3" t="s">
        <v>38</v>
      </c>
      <c r="K2009" s="2" t="str">
        <f aca="false">CONCATENATE(I2009," ",J2009)</f>
        <v>Alopecosa sp</v>
      </c>
      <c r="L2009" s="3" t="n">
        <f aca="false">SUM(P2009:U2009)</f>
        <v>2</v>
      </c>
      <c r="M2009" s="11" t="n">
        <f aca="false">(L2009/(F2009*G2009)*25)*4</f>
        <v>8</v>
      </c>
      <c r="N2009" s="1" t="s">
        <v>19</v>
      </c>
      <c r="O2009" s="1" t="s">
        <v>31</v>
      </c>
      <c r="P2009" s="3" t="n">
        <v>0</v>
      </c>
      <c r="Q2009" s="3" t="n">
        <v>0</v>
      </c>
      <c r="R2009" s="3" t="n">
        <v>2</v>
      </c>
      <c r="S2009" s="3" t="n">
        <v>0</v>
      </c>
      <c r="T2009" s="3" t="n">
        <v>0</v>
      </c>
      <c r="U2009" s="3" t="n">
        <v>0</v>
      </c>
      <c r="V2009" s="3" t="n">
        <f aca="false">SUM(P2009:Q2009)</f>
        <v>0</v>
      </c>
      <c r="W2009" s="3" t="n">
        <f aca="false">SUM(R2009:T2009)</f>
        <v>2</v>
      </c>
      <c r="X2009" s="22" t="n">
        <v>41869</v>
      </c>
      <c r="Y2009" s="22" t="n">
        <v>41874</v>
      </c>
    </row>
    <row r="2010" customFormat="false" ht="14.25" hidden="false" customHeight="false" outlineLevel="0" collapsed="false">
      <c r="A2010" s="1" t="n">
        <v>2014</v>
      </c>
      <c r="B2010" s="1" t="n">
        <v>2</v>
      </c>
      <c r="C2010" s="2" t="s">
        <v>44</v>
      </c>
      <c r="D2010" s="3" t="s">
        <v>118</v>
      </c>
      <c r="E2010" s="3" t="n">
        <v>3</v>
      </c>
      <c r="F2010" s="1" t="n">
        <f aca="false">Y2010-X2010</f>
        <v>5</v>
      </c>
      <c r="G2010" s="1" t="n">
        <v>5</v>
      </c>
      <c r="H2010" s="3" t="s">
        <v>48</v>
      </c>
      <c r="I2010" s="3" t="s">
        <v>122</v>
      </c>
      <c r="J2010" s="3" t="s">
        <v>123</v>
      </c>
      <c r="K2010" s="2" t="str">
        <f aca="false">CONCATENATE(I2010," ",J2010)</f>
        <v>Xerolycosa nemoralis</v>
      </c>
      <c r="L2010" s="3" t="n">
        <f aca="false">SUM(P2010:U2010)</f>
        <v>2</v>
      </c>
      <c r="M2010" s="11" t="n">
        <f aca="false">(L2010/(F2010*G2010)*25)*4</f>
        <v>8</v>
      </c>
      <c r="N2010" s="1" t="s">
        <v>30</v>
      </c>
      <c r="O2010" s="1" t="s">
        <v>35</v>
      </c>
      <c r="P2010" s="3" t="n">
        <v>0</v>
      </c>
      <c r="Q2010" s="3" t="n">
        <v>2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f aca="false">SUM(P2010:Q2010)</f>
        <v>2</v>
      </c>
      <c r="W2010" s="3" t="n">
        <f aca="false">SUM(R2010:T2010)</f>
        <v>0</v>
      </c>
      <c r="X2010" s="22" t="n">
        <v>41869</v>
      </c>
      <c r="Y2010" s="22" t="n">
        <v>41874</v>
      </c>
    </row>
    <row r="2011" customFormat="false" ht="14.25" hidden="false" customHeight="false" outlineLevel="0" collapsed="false">
      <c r="A2011" s="1" t="n">
        <v>2014</v>
      </c>
      <c r="B2011" s="1" t="n">
        <v>2</v>
      </c>
      <c r="C2011" s="2" t="s">
        <v>44</v>
      </c>
      <c r="D2011" s="3" t="s">
        <v>118</v>
      </c>
      <c r="E2011" s="3" t="n">
        <v>3</v>
      </c>
      <c r="F2011" s="1" t="n">
        <f aca="false">Y2011-X2011</f>
        <v>5</v>
      </c>
      <c r="G2011" s="1" t="n">
        <v>5</v>
      </c>
      <c r="H2011" s="3" t="s">
        <v>48</v>
      </c>
      <c r="I2011" s="3" t="s">
        <v>122</v>
      </c>
      <c r="J2011" s="3" t="s">
        <v>123</v>
      </c>
      <c r="K2011" s="2" t="str">
        <f aca="false">CONCATENATE(I2011," ",J2011)</f>
        <v>Xerolycosa nemoralis</v>
      </c>
      <c r="L2011" s="3" t="n">
        <f aca="false">SUM(P2011:U2011)</f>
        <v>1</v>
      </c>
      <c r="M2011" s="11" t="n">
        <f aca="false">(L2011/(F2011*G2011)*25)*4</f>
        <v>4</v>
      </c>
      <c r="N2011" s="1" t="s">
        <v>19</v>
      </c>
      <c r="O2011" s="1" t="s">
        <v>31</v>
      </c>
      <c r="P2011" s="3" t="n">
        <v>0</v>
      </c>
      <c r="Q2011" s="3" t="n">
        <v>0</v>
      </c>
      <c r="R2011" s="3" t="n">
        <v>1</v>
      </c>
      <c r="S2011" s="3" t="n">
        <v>0</v>
      </c>
      <c r="T2011" s="3" t="n">
        <v>0</v>
      </c>
      <c r="U2011" s="3" t="n">
        <v>0</v>
      </c>
      <c r="V2011" s="3" t="n">
        <f aca="false">SUM(P2011:Q2011)</f>
        <v>0</v>
      </c>
      <c r="W2011" s="3" t="n">
        <f aca="false">SUM(R2011:T2011)</f>
        <v>1</v>
      </c>
      <c r="X2011" s="22" t="n">
        <v>41869</v>
      </c>
      <c r="Y2011" s="22" t="n">
        <v>41874</v>
      </c>
    </row>
    <row r="2012" customFormat="false" ht="14.25" hidden="false" customHeight="false" outlineLevel="0" collapsed="false">
      <c r="A2012" s="1" t="n">
        <v>2014</v>
      </c>
      <c r="B2012" s="1" t="n">
        <v>2</v>
      </c>
      <c r="C2012" s="2" t="s">
        <v>44</v>
      </c>
      <c r="D2012" s="3" t="s">
        <v>118</v>
      </c>
      <c r="E2012" s="3" t="n">
        <v>3</v>
      </c>
      <c r="F2012" s="1" t="n">
        <f aca="false">Y2012-X2012</f>
        <v>5</v>
      </c>
      <c r="G2012" s="1" t="n">
        <v>5</v>
      </c>
      <c r="H2012" s="3" t="s">
        <v>48</v>
      </c>
      <c r="I2012" s="3" t="s">
        <v>57</v>
      </c>
      <c r="J2012" s="3" t="s">
        <v>38</v>
      </c>
      <c r="K2012" s="2" t="str">
        <f aca="false">CONCATENATE(I2012," ",J2012)</f>
        <v>Gen sp</v>
      </c>
      <c r="L2012" s="3" t="n">
        <f aca="false">SUM(P2012:U2012)</f>
        <v>5</v>
      </c>
      <c r="M2012" s="11" t="n">
        <f aca="false">(L2012/(F2012*G2012)*25)*4</f>
        <v>20</v>
      </c>
      <c r="N2012" s="1" t="s">
        <v>19</v>
      </c>
      <c r="O2012" s="1" t="s">
        <v>54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5</v>
      </c>
      <c r="U2012" s="3" t="n">
        <v>0</v>
      </c>
      <c r="V2012" s="3" t="n">
        <f aca="false">SUM(P2012:Q2012)</f>
        <v>0</v>
      </c>
      <c r="W2012" s="3" t="n">
        <f aca="false">SUM(R2012:T2012)</f>
        <v>5</v>
      </c>
      <c r="X2012" s="22" t="n">
        <v>41869</v>
      </c>
      <c r="Y2012" s="22" t="n">
        <v>41874</v>
      </c>
    </row>
    <row r="2013" customFormat="false" ht="14.25" hidden="false" customHeight="false" outlineLevel="0" collapsed="false">
      <c r="A2013" s="1" t="n">
        <v>2014</v>
      </c>
      <c r="B2013" s="1" t="n">
        <v>2</v>
      </c>
      <c r="C2013" s="2" t="s">
        <v>44</v>
      </c>
      <c r="D2013" s="3" t="s">
        <v>118</v>
      </c>
      <c r="E2013" s="3" t="n">
        <v>3</v>
      </c>
      <c r="F2013" s="1" t="n">
        <f aca="false">Y2013-X2013</f>
        <v>5</v>
      </c>
      <c r="G2013" s="1" t="n">
        <v>5</v>
      </c>
      <c r="H2013" s="3" t="s">
        <v>48</v>
      </c>
      <c r="I2013" s="3" t="s">
        <v>49</v>
      </c>
      <c r="J2013" s="3" t="s">
        <v>38</v>
      </c>
      <c r="K2013" s="2" t="str">
        <f aca="false">CONCATENATE(I2013," ",J2013)</f>
        <v>Alopecosa sp</v>
      </c>
      <c r="L2013" s="3" t="n">
        <f aca="false">SUM(P2013:U2013)</f>
        <v>1</v>
      </c>
      <c r="M2013" s="11" t="n">
        <f aca="false">(L2013/(F2013*G2013)*25)*4</f>
        <v>4</v>
      </c>
      <c r="N2013" s="1" t="s">
        <v>19</v>
      </c>
      <c r="O2013" s="1" t="s">
        <v>35</v>
      </c>
      <c r="P2013" s="3" t="n">
        <v>0</v>
      </c>
      <c r="Q2013" s="3" t="n">
        <v>0</v>
      </c>
      <c r="R2013" s="3" t="n">
        <v>0</v>
      </c>
      <c r="S2013" s="3" t="n">
        <v>1</v>
      </c>
      <c r="T2013" s="3" t="n">
        <v>0</v>
      </c>
      <c r="U2013" s="3" t="n">
        <v>0</v>
      </c>
      <c r="V2013" s="3" t="n">
        <f aca="false">SUM(P2013:Q2013)</f>
        <v>0</v>
      </c>
      <c r="W2013" s="3" t="n">
        <f aca="false">SUM(R2013:T2013)</f>
        <v>1</v>
      </c>
      <c r="X2013" s="22" t="n">
        <v>41869</v>
      </c>
      <c r="Y2013" s="22" t="n">
        <v>41874</v>
      </c>
    </row>
    <row r="2014" customFormat="false" ht="14.25" hidden="false" customHeight="false" outlineLevel="0" collapsed="false">
      <c r="A2014" s="1" t="n">
        <v>2014</v>
      </c>
      <c r="B2014" s="1" t="n">
        <v>2</v>
      </c>
      <c r="C2014" s="2" t="s">
        <v>44</v>
      </c>
      <c r="D2014" s="3" t="s">
        <v>118</v>
      </c>
      <c r="E2014" s="3" t="n">
        <v>3</v>
      </c>
      <c r="F2014" s="1" t="n">
        <f aca="false">Y2014-X2014</f>
        <v>5</v>
      </c>
      <c r="G2014" s="1" t="n">
        <v>5</v>
      </c>
      <c r="H2014" s="3" t="s">
        <v>48</v>
      </c>
      <c r="I2014" s="3" t="s">
        <v>49</v>
      </c>
      <c r="J2014" s="3" t="s">
        <v>38</v>
      </c>
      <c r="K2014" s="2" t="str">
        <f aca="false">CONCATENATE(I2014," ",J2014)</f>
        <v>Alopecosa sp</v>
      </c>
      <c r="L2014" s="3" t="n">
        <f aca="false">SUM(P2014:U2014)</f>
        <v>2</v>
      </c>
      <c r="M2014" s="11" t="n">
        <f aca="false">(L2014/(F2014*G2014)*25)*4</f>
        <v>8</v>
      </c>
      <c r="N2014" s="1" t="s">
        <v>19</v>
      </c>
      <c r="O2014" s="1" t="s">
        <v>54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2</v>
      </c>
      <c r="U2014" s="3" t="n">
        <v>0</v>
      </c>
      <c r="V2014" s="3" t="n">
        <f aca="false">SUM(P2014:Q2014)</f>
        <v>0</v>
      </c>
      <c r="W2014" s="3" t="n">
        <f aca="false">SUM(R2014:T2014)</f>
        <v>2</v>
      </c>
      <c r="X2014" s="22" t="n">
        <v>41869</v>
      </c>
      <c r="Y2014" s="22" t="n">
        <v>41874</v>
      </c>
    </row>
    <row r="2015" customFormat="false" ht="14.25" hidden="false" customHeight="false" outlineLevel="0" collapsed="false">
      <c r="A2015" s="1" t="n">
        <v>2014</v>
      </c>
      <c r="B2015" s="1" t="n">
        <v>2</v>
      </c>
      <c r="C2015" s="2" t="s">
        <v>44</v>
      </c>
      <c r="D2015" s="3" t="s">
        <v>118</v>
      </c>
      <c r="E2015" s="3" t="n">
        <v>3</v>
      </c>
      <c r="F2015" s="1" t="n">
        <f aca="false">Y2015-X2015</f>
        <v>5</v>
      </c>
      <c r="G2015" s="1" t="n">
        <v>5</v>
      </c>
      <c r="H2015" s="3" t="s">
        <v>32</v>
      </c>
      <c r="I2015" s="3" t="s">
        <v>33</v>
      </c>
      <c r="J2015" s="3" t="s">
        <v>81</v>
      </c>
      <c r="K2015" s="2" t="str">
        <f aca="false">CONCATENATE(I2015," ",J2015)</f>
        <v>Tenuiphantes mengei</v>
      </c>
      <c r="L2015" s="3" t="n">
        <f aca="false">SUM(P2015:U2015)</f>
        <v>1</v>
      </c>
      <c r="M2015" s="11" t="n">
        <f aca="false">(L2015/(F2015*G2015)*25)*4</f>
        <v>4</v>
      </c>
      <c r="N2015" s="1" t="s">
        <v>30</v>
      </c>
      <c r="O2015" s="1" t="s">
        <v>35</v>
      </c>
      <c r="P2015" s="3" t="n">
        <v>0</v>
      </c>
      <c r="Q2015" s="3" t="n">
        <v>1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f aca="false">SUM(P2015:Q2015)</f>
        <v>1</v>
      </c>
      <c r="W2015" s="3" t="n">
        <f aca="false">SUM(R2015:T2015)</f>
        <v>0</v>
      </c>
      <c r="X2015" s="22" t="n">
        <v>41869</v>
      </c>
      <c r="Y2015" s="22" t="n">
        <v>41874</v>
      </c>
    </row>
    <row r="2016" customFormat="false" ht="14.25" hidden="false" customHeight="false" outlineLevel="0" collapsed="false">
      <c r="A2016" s="1" t="n">
        <v>2014</v>
      </c>
      <c r="B2016" s="1" t="n">
        <v>2</v>
      </c>
      <c r="C2016" s="2" t="s">
        <v>44</v>
      </c>
      <c r="D2016" s="3" t="s">
        <v>118</v>
      </c>
      <c r="E2016" s="3" t="n">
        <v>3</v>
      </c>
      <c r="F2016" s="1" t="n">
        <f aca="false">Y2016-X2016</f>
        <v>5</v>
      </c>
      <c r="G2016" s="1" t="n">
        <v>5</v>
      </c>
      <c r="H2016" s="3" t="s">
        <v>72</v>
      </c>
      <c r="I2016" s="3" t="s">
        <v>73</v>
      </c>
      <c r="J2016" s="3" t="s">
        <v>38</v>
      </c>
      <c r="K2016" s="2" t="str">
        <f aca="false">CONCATENATE(I2016," ",J2016)</f>
        <v>Zelotes sp</v>
      </c>
      <c r="L2016" s="3" t="n">
        <f aca="false">SUM(P2016:U2016)</f>
        <v>1</v>
      </c>
      <c r="M2016" s="11" t="n">
        <f aca="false">(L2016/(F2016*G2016)*25)*4</f>
        <v>4</v>
      </c>
      <c r="N2016" s="1" t="s">
        <v>19</v>
      </c>
      <c r="O2016" s="1" t="s">
        <v>31</v>
      </c>
      <c r="P2016" s="3" t="n">
        <v>0</v>
      </c>
      <c r="Q2016" s="3" t="n">
        <v>0</v>
      </c>
      <c r="R2016" s="3" t="n">
        <v>1</v>
      </c>
      <c r="S2016" s="3" t="n">
        <v>0</v>
      </c>
      <c r="T2016" s="3" t="n">
        <v>0</v>
      </c>
      <c r="U2016" s="3" t="n">
        <v>0</v>
      </c>
      <c r="V2016" s="3" t="n">
        <f aca="false">SUM(P2016:Q2016)</f>
        <v>0</v>
      </c>
      <c r="W2016" s="3" t="n">
        <f aca="false">SUM(R2016:T2016)</f>
        <v>1</v>
      </c>
      <c r="X2016" s="22" t="n">
        <v>41869</v>
      </c>
      <c r="Y2016" s="22" t="n">
        <v>41874</v>
      </c>
    </row>
    <row r="2017" customFormat="false" ht="14.25" hidden="false" customHeight="false" outlineLevel="0" collapsed="false">
      <c r="A2017" s="1" t="n">
        <v>2014</v>
      </c>
      <c r="B2017" s="1" t="n">
        <v>2</v>
      </c>
      <c r="C2017" s="2" t="s">
        <v>44</v>
      </c>
      <c r="D2017" s="3" t="s">
        <v>118</v>
      </c>
      <c r="E2017" s="3" t="n">
        <v>3</v>
      </c>
      <c r="F2017" s="1" t="n">
        <f aca="false">Y2017-X2017</f>
        <v>5</v>
      </c>
      <c r="G2017" s="1" t="n">
        <v>5</v>
      </c>
      <c r="H2017" s="3" t="s">
        <v>72</v>
      </c>
      <c r="I2017" s="3" t="s">
        <v>86</v>
      </c>
      <c r="J2017" s="3" t="s">
        <v>38</v>
      </c>
      <c r="K2017" s="2" t="str">
        <f aca="false">CONCATENATE(I2017," ",J2017)</f>
        <v>Haplodrassus sp</v>
      </c>
      <c r="L2017" s="3" t="n">
        <f aca="false">SUM(P2017:U2017)</f>
        <v>1</v>
      </c>
      <c r="M2017" s="11" t="n">
        <f aca="false">(L2017/(F2017*G2017)*25)*4</f>
        <v>4</v>
      </c>
      <c r="N2017" s="1" t="s">
        <v>19</v>
      </c>
      <c r="O2017" s="1" t="s">
        <v>35</v>
      </c>
      <c r="P2017" s="3" t="n">
        <v>0</v>
      </c>
      <c r="Q2017" s="3" t="n">
        <v>0</v>
      </c>
      <c r="R2017" s="3" t="n">
        <v>0</v>
      </c>
      <c r="S2017" s="3" t="n">
        <v>1</v>
      </c>
      <c r="T2017" s="3" t="n">
        <v>0</v>
      </c>
      <c r="U2017" s="3" t="n">
        <v>0</v>
      </c>
      <c r="V2017" s="3" t="n">
        <f aca="false">SUM(P2017:Q2017)</f>
        <v>0</v>
      </c>
      <c r="W2017" s="3" t="n">
        <f aca="false">SUM(R2017:T2017)</f>
        <v>1</v>
      </c>
      <c r="X2017" s="22" t="n">
        <v>41869</v>
      </c>
      <c r="Y2017" s="22" t="n">
        <v>41874</v>
      </c>
    </row>
    <row r="2018" customFormat="false" ht="14.25" hidden="false" customHeight="false" outlineLevel="0" collapsed="false">
      <c r="A2018" s="1" t="n">
        <v>2014</v>
      </c>
      <c r="B2018" s="1" t="n">
        <v>2</v>
      </c>
      <c r="C2018" s="2" t="s">
        <v>44</v>
      </c>
      <c r="D2018" s="3" t="s">
        <v>118</v>
      </c>
      <c r="E2018" s="3" t="n">
        <v>1</v>
      </c>
      <c r="F2018" s="1" t="n">
        <f aca="false">Y2018-X2018</f>
        <v>5</v>
      </c>
      <c r="G2018" s="1" t="n">
        <v>5</v>
      </c>
      <c r="H2018" s="3" t="s">
        <v>48</v>
      </c>
      <c r="I2018" s="3" t="s">
        <v>49</v>
      </c>
      <c r="J2018" s="3" t="s">
        <v>130</v>
      </c>
      <c r="K2018" s="2" t="str">
        <f aca="false">CONCATENATE(I2018," ",J2018)</f>
        <v>Alopecosa aculeata</v>
      </c>
      <c r="L2018" s="3" t="n">
        <f aca="false">SUM(P2018:U2018)</f>
        <v>1</v>
      </c>
      <c r="M2018" s="11" t="n">
        <f aca="false">(L2018/(F2018*G2018)*25)*4</f>
        <v>4</v>
      </c>
      <c r="N2018" s="1" t="s">
        <v>30</v>
      </c>
      <c r="O2018" s="1" t="s">
        <v>35</v>
      </c>
      <c r="P2018" s="3" t="n">
        <v>0</v>
      </c>
      <c r="Q2018" s="3" t="n">
        <v>1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f aca="false">SUM(P2018:Q2018)</f>
        <v>1</v>
      </c>
      <c r="W2018" s="3" t="n">
        <f aca="false">SUM(R2018:T2018)</f>
        <v>0</v>
      </c>
      <c r="X2018" s="22" t="n">
        <v>41869</v>
      </c>
      <c r="Y2018" s="22" t="n">
        <v>41874</v>
      </c>
    </row>
    <row r="2019" customFormat="false" ht="14.25" hidden="false" customHeight="false" outlineLevel="0" collapsed="false">
      <c r="A2019" s="1" t="n">
        <v>2014</v>
      </c>
      <c r="B2019" s="1" t="n">
        <v>2</v>
      </c>
      <c r="C2019" s="2" t="s">
        <v>44</v>
      </c>
      <c r="D2019" s="3" t="s">
        <v>118</v>
      </c>
      <c r="E2019" s="3" t="n">
        <v>1</v>
      </c>
      <c r="F2019" s="1" t="n">
        <f aca="false">Y2019-X2019</f>
        <v>5</v>
      </c>
      <c r="G2019" s="1" t="n">
        <v>5</v>
      </c>
      <c r="H2019" s="3" t="s">
        <v>48</v>
      </c>
      <c r="I2019" s="3" t="s">
        <v>49</v>
      </c>
      <c r="J2019" s="3" t="s">
        <v>38</v>
      </c>
      <c r="K2019" s="2" t="str">
        <f aca="false">CONCATENATE(I2019," ",J2019)</f>
        <v>Alopecosa sp</v>
      </c>
      <c r="L2019" s="3" t="n">
        <f aca="false">SUM(P2019:U2019)</f>
        <v>1</v>
      </c>
      <c r="M2019" s="11" t="n">
        <f aca="false">(L2019/(F2019*G2019)*25)*4</f>
        <v>4</v>
      </c>
      <c r="N2019" s="1" t="s">
        <v>19</v>
      </c>
      <c r="O2019" s="1" t="s">
        <v>54</v>
      </c>
      <c r="P2019" s="3" t="n">
        <v>0</v>
      </c>
      <c r="Q2019" s="3" t="n">
        <v>0</v>
      </c>
      <c r="R2019" s="3" t="n">
        <v>0</v>
      </c>
      <c r="S2019" s="3" t="n">
        <v>0</v>
      </c>
      <c r="T2019" s="3" t="n">
        <v>1</v>
      </c>
      <c r="U2019" s="3" t="n">
        <v>0</v>
      </c>
      <c r="V2019" s="3" t="n">
        <f aca="false">SUM(P2019:Q2019)</f>
        <v>0</v>
      </c>
      <c r="W2019" s="3" t="n">
        <f aca="false">SUM(R2019:T2019)</f>
        <v>1</v>
      </c>
      <c r="X2019" s="22" t="n">
        <v>41869</v>
      </c>
      <c r="Y2019" s="22" t="n">
        <v>41874</v>
      </c>
    </row>
    <row r="2020" customFormat="false" ht="14.25" hidden="false" customHeight="false" outlineLevel="0" collapsed="false">
      <c r="A2020" s="1" t="n">
        <v>2014</v>
      </c>
      <c r="B2020" s="1" t="n">
        <v>2</v>
      </c>
      <c r="C2020" s="2" t="s">
        <v>44</v>
      </c>
      <c r="D2020" s="3" t="s">
        <v>118</v>
      </c>
      <c r="E2020" s="3" t="n">
        <v>1</v>
      </c>
      <c r="F2020" s="1" t="n">
        <f aca="false">Y2020-X2020</f>
        <v>5</v>
      </c>
      <c r="G2020" s="1" t="n">
        <v>5</v>
      </c>
      <c r="H2020" s="3" t="s">
        <v>48</v>
      </c>
      <c r="I2020" s="3" t="s">
        <v>61</v>
      </c>
      <c r="J2020" s="3" t="s">
        <v>38</v>
      </c>
      <c r="K2020" s="2" t="str">
        <f aca="false">CONCATENATE(I2020," ",J2020)</f>
        <v>Trochosa sp</v>
      </c>
      <c r="L2020" s="3" t="n">
        <f aca="false">SUM(P2020:U2020)</f>
        <v>1</v>
      </c>
      <c r="M2020" s="11" t="n">
        <f aca="false">(L2020/(F2020*G2020)*25)*4</f>
        <v>4</v>
      </c>
      <c r="N2020" s="1" t="s">
        <v>19</v>
      </c>
      <c r="O2020" s="1" t="s">
        <v>31</v>
      </c>
      <c r="P2020" s="3" t="n">
        <v>0</v>
      </c>
      <c r="Q2020" s="3" t="n">
        <v>0</v>
      </c>
      <c r="R2020" s="3" t="n">
        <v>1</v>
      </c>
      <c r="S2020" s="3" t="n">
        <v>0</v>
      </c>
      <c r="T2020" s="3" t="n">
        <v>0</v>
      </c>
      <c r="U2020" s="3" t="n">
        <v>0</v>
      </c>
      <c r="V2020" s="3" t="n">
        <f aca="false">SUM(P2020:Q2020)</f>
        <v>0</v>
      </c>
      <c r="W2020" s="3" t="n">
        <f aca="false">SUM(R2020:T2020)</f>
        <v>1</v>
      </c>
      <c r="X2020" s="22" t="n">
        <v>41869</v>
      </c>
      <c r="Y2020" s="22" t="n">
        <v>41874</v>
      </c>
    </row>
    <row r="2021" customFormat="false" ht="14.25" hidden="false" customHeight="false" outlineLevel="0" collapsed="false">
      <c r="A2021" s="1" t="n">
        <v>2014</v>
      </c>
      <c r="B2021" s="1" t="n">
        <v>2</v>
      </c>
      <c r="C2021" s="2" t="s">
        <v>44</v>
      </c>
      <c r="D2021" s="3" t="s">
        <v>118</v>
      </c>
      <c r="E2021" s="3" t="n">
        <v>1</v>
      </c>
      <c r="F2021" s="1" t="n">
        <f aca="false">Y2021-X2021</f>
        <v>5</v>
      </c>
      <c r="G2021" s="1" t="n">
        <v>5</v>
      </c>
      <c r="H2021" s="3" t="s">
        <v>72</v>
      </c>
      <c r="I2021" s="3" t="s">
        <v>139</v>
      </c>
      <c r="J2021" s="3" t="s">
        <v>140</v>
      </c>
      <c r="K2021" s="2" t="str">
        <f aca="false">CONCATENATE(I2021," ",J2021)</f>
        <v>Gnaphosa muscorum</v>
      </c>
      <c r="L2021" s="3" t="n">
        <f aca="false">SUM(P2021:U2021)</f>
        <v>1</v>
      </c>
      <c r="M2021" s="11" t="n">
        <f aca="false">(L2021/(F2021*G2021)*25)*4</f>
        <v>4</v>
      </c>
      <c r="N2021" s="1" t="s">
        <v>30</v>
      </c>
      <c r="O2021" s="1" t="s">
        <v>35</v>
      </c>
      <c r="P2021" s="3" t="n">
        <v>0</v>
      </c>
      <c r="Q2021" s="3" t="n">
        <v>1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f aca="false">SUM(P2021:Q2021)</f>
        <v>1</v>
      </c>
      <c r="W2021" s="3" t="n">
        <f aca="false">SUM(R2021:T2021)</f>
        <v>0</v>
      </c>
      <c r="X2021" s="22" t="n">
        <v>41869</v>
      </c>
      <c r="Y2021" s="22" t="n">
        <v>41874</v>
      </c>
    </row>
    <row r="2022" customFormat="false" ht="14.25" hidden="false" customHeight="false" outlineLevel="0" collapsed="false">
      <c r="A2022" s="1" t="n">
        <v>2014</v>
      </c>
      <c r="B2022" s="1" t="n">
        <v>2</v>
      </c>
      <c r="C2022" s="2" t="s">
        <v>44</v>
      </c>
      <c r="D2022" s="3" t="s">
        <v>118</v>
      </c>
      <c r="E2022" s="3" t="n">
        <v>2</v>
      </c>
      <c r="F2022" s="1" t="n">
        <f aca="false">Y2022-X2022</f>
        <v>5</v>
      </c>
      <c r="G2022" s="1" t="n">
        <v>5</v>
      </c>
      <c r="H2022" s="3" t="s">
        <v>48</v>
      </c>
      <c r="I2022" s="3" t="s">
        <v>49</v>
      </c>
      <c r="J2022" s="3" t="s">
        <v>38</v>
      </c>
      <c r="K2022" s="2" t="str">
        <f aca="false">CONCATENATE(I2022," ",J2022)</f>
        <v>Alopecosa sp</v>
      </c>
      <c r="L2022" s="3" t="n">
        <f aca="false">SUM(P2022:U2022)</f>
        <v>1</v>
      </c>
      <c r="M2022" s="11" t="n">
        <f aca="false">(L2022/(F2022*G2022)*25)*4</f>
        <v>4</v>
      </c>
      <c r="N2022" s="1" t="s">
        <v>19</v>
      </c>
      <c r="O2022" s="1" t="s">
        <v>35</v>
      </c>
      <c r="P2022" s="3" t="n">
        <v>0</v>
      </c>
      <c r="Q2022" s="3" t="n">
        <v>0</v>
      </c>
      <c r="R2022" s="3" t="n">
        <v>0</v>
      </c>
      <c r="S2022" s="3" t="n">
        <v>1</v>
      </c>
      <c r="T2022" s="3" t="n">
        <v>0</v>
      </c>
      <c r="U2022" s="3" t="n">
        <v>0</v>
      </c>
      <c r="V2022" s="3" t="n">
        <f aca="false">SUM(P2022:Q2022)</f>
        <v>0</v>
      </c>
      <c r="W2022" s="3" t="n">
        <f aca="false">SUM(R2022:T2022)</f>
        <v>1</v>
      </c>
      <c r="X2022" s="22" t="n">
        <v>41869</v>
      </c>
      <c r="Y2022" s="22" t="n">
        <v>41874</v>
      </c>
    </row>
    <row r="2023" customFormat="false" ht="14.25" hidden="false" customHeight="false" outlineLevel="0" collapsed="false">
      <c r="A2023" s="1" t="n">
        <v>2014</v>
      </c>
      <c r="B2023" s="1" t="n">
        <v>2</v>
      </c>
      <c r="C2023" s="2" t="s">
        <v>44</v>
      </c>
      <c r="D2023" s="3" t="s">
        <v>118</v>
      </c>
      <c r="E2023" s="3" t="n">
        <v>2</v>
      </c>
      <c r="F2023" s="1" t="n">
        <f aca="false">Y2023-X2023</f>
        <v>5</v>
      </c>
      <c r="G2023" s="1" t="n">
        <v>5</v>
      </c>
      <c r="H2023" s="3" t="s">
        <v>48</v>
      </c>
      <c r="I2023" s="3" t="s">
        <v>49</v>
      </c>
      <c r="J2023" s="3" t="s">
        <v>38</v>
      </c>
      <c r="K2023" s="2" t="str">
        <f aca="false">CONCATENATE(I2023," ",J2023)</f>
        <v>Alopecosa sp</v>
      </c>
      <c r="L2023" s="3" t="n">
        <f aca="false">SUM(P2023:U2023)</f>
        <v>1</v>
      </c>
      <c r="M2023" s="11" t="n">
        <f aca="false">(L2023/(F2023*G2023)*25)*4</f>
        <v>4</v>
      </c>
      <c r="N2023" s="1" t="s">
        <v>19</v>
      </c>
      <c r="O2023" s="1" t="s">
        <v>54</v>
      </c>
      <c r="P2023" s="3" t="n">
        <v>0</v>
      </c>
      <c r="Q2023" s="3" t="n">
        <v>0</v>
      </c>
      <c r="R2023" s="3" t="n">
        <v>0</v>
      </c>
      <c r="S2023" s="3" t="n">
        <v>0</v>
      </c>
      <c r="T2023" s="3" t="n">
        <v>1</v>
      </c>
      <c r="U2023" s="3" t="n">
        <v>0</v>
      </c>
      <c r="V2023" s="3" t="n">
        <f aca="false">SUM(P2023:Q2023)</f>
        <v>0</v>
      </c>
      <c r="W2023" s="3" t="n">
        <f aca="false">SUM(R2023:T2023)</f>
        <v>1</v>
      </c>
      <c r="X2023" s="22" t="n">
        <v>41869</v>
      </c>
      <c r="Y2023" s="22" t="n">
        <v>41874</v>
      </c>
    </row>
    <row r="2024" customFormat="false" ht="14.25" hidden="false" customHeight="false" outlineLevel="0" collapsed="false">
      <c r="A2024" s="1" t="n">
        <v>2014</v>
      </c>
      <c r="B2024" s="1" t="n">
        <v>2</v>
      </c>
      <c r="C2024" s="2" t="s">
        <v>44</v>
      </c>
      <c r="D2024" s="3" t="s">
        <v>118</v>
      </c>
      <c r="E2024" s="3" t="n">
        <v>2</v>
      </c>
      <c r="F2024" s="1" t="n">
        <f aca="false">Y2024-X2024</f>
        <v>5</v>
      </c>
      <c r="G2024" s="1" t="n">
        <v>5</v>
      </c>
      <c r="H2024" s="3" t="s">
        <v>48</v>
      </c>
      <c r="I2024" s="3" t="s">
        <v>122</v>
      </c>
      <c r="J2024" s="3" t="s">
        <v>123</v>
      </c>
      <c r="K2024" s="2" t="str">
        <f aca="false">CONCATENATE(I2024," ",J2024)</f>
        <v>Xerolycosa nemoralis</v>
      </c>
      <c r="L2024" s="3" t="n">
        <f aca="false">SUM(P2024:U2024)</f>
        <v>2</v>
      </c>
      <c r="M2024" s="11" t="n">
        <f aca="false">(L2024/(F2024*G2024)*25)*4</f>
        <v>8</v>
      </c>
      <c r="N2024" s="1" t="s">
        <v>19</v>
      </c>
      <c r="O2024" s="1" t="s">
        <v>31</v>
      </c>
      <c r="P2024" s="3" t="n">
        <v>0</v>
      </c>
      <c r="Q2024" s="3" t="n">
        <v>0</v>
      </c>
      <c r="R2024" s="3" t="n">
        <v>2</v>
      </c>
      <c r="S2024" s="3" t="n">
        <v>0</v>
      </c>
      <c r="T2024" s="3" t="n">
        <v>0</v>
      </c>
      <c r="U2024" s="3" t="n">
        <v>0</v>
      </c>
      <c r="V2024" s="3" t="n">
        <f aca="false">SUM(P2024:Q2024)</f>
        <v>0</v>
      </c>
      <c r="W2024" s="3" t="n">
        <f aca="false">SUM(R2024:T2024)</f>
        <v>2</v>
      </c>
      <c r="X2024" s="22" t="n">
        <v>41869</v>
      </c>
      <c r="Y2024" s="22" t="n">
        <v>41874</v>
      </c>
    </row>
    <row r="2025" customFormat="false" ht="14.25" hidden="false" customHeight="false" outlineLevel="0" collapsed="false">
      <c r="A2025" s="1" t="n">
        <v>2014</v>
      </c>
      <c r="B2025" s="1" t="n">
        <v>2</v>
      </c>
      <c r="C2025" s="2" t="s">
        <v>44</v>
      </c>
      <c r="D2025" s="3" t="s">
        <v>118</v>
      </c>
      <c r="E2025" s="3" t="n">
        <v>2</v>
      </c>
      <c r="F2025" s="1" t="n">
        <f aca="false">Y2025-X2025</f>
        <v>5</v>
      </c>
      <c r="G2025" s="1" t="n">
        <v>5</v>
      </c>
      <c r="H2025" s="3" t="s">
        <v>72</v>
      </c>
      <c r="I2025" s="3" t="s">
        <v>73</v>
      </c>
      <c r="J2025" s="3" t="s">
        <v>74</v>
      </c>
      <c r="K2025" s="2" t="str">
        <f aca="false">CONCATENATE(I2025," ",J2025)</f>
        <v>Zelotes subterraneus</v>
      </c>
      <c r="L2025" s="3" t="n">
        <f aca="false">SUM(P2025:U2025)</f>
        <v>1</v>
      </c>
      <c r="M2025" s="11" t="n">
        <f aca="false">(L2025/(F2025*G2025)*25)*4</f>
        <v>4</v>
      </c>
      <c r="N2025" s="1" t="s">
        <v>30</v>
      </c>
      <c r="O2025" s="1" t="s">
        <v>31</v>
      </c>
      <c r="P2025" s="3" t="n">
        <v>1</v>
      </c>
      <c r="Q2025" s="3" t="n">
        <v>0</v>
      </c>
      <c r="R2025" s="3" t="n">
        <v>0</v>
      </c>
      <c r="S2025" s="3" t="n">
        <v>0</v>
      </c>
      <c r="T2025" s="3" t="n">
        <v>0</v>
      </c>
      <c r="U2025" s="3" t="n">
        <v>0</v>
      </c>
      <c r="V2025" s="3" t="n">
        <f aca="false">SUM(P2025:Q2025)</f>
        <v>1</v>
      </c>
      <c r="W2025" s="3" t="n">
        <f aca="false">SUM(R2025:T2025)</f>
        <v>0</v>
      </c>
      <c r="X2025" s="22" t="n">
        <v>41869</v>
      </c>
      <c r="Y2025" s="22" t="n">
        <v>41874</v>
      </c>
    </row>
    <row r="2026" customFormat="false" ht="14.25" hidden="false" customHeight="false" outlineLevel="0" collapsed="false">
      <c r="A2026" s="1" t="n">
        <v>2014</v>
      </c>
      <c r="B2026" s="1" t="n">
        <v>2</v>
      </c>
      <c r="C2026" s="2" t="s">
        <v>44</v>
      </c>
      <c r="D2026" s="3" t="s">
        <v>118</v>
      </c>
      <c r="E2026" s="3" t="n">
        <v>2</v>
      </c>
      <c r="F2026" s="1" t="n">
        <f aca="false">Y2026-X2026</f>
        <v>5</v>
      </c>
      <c r="G2026" s="1" t="n">
        <v>5</v>
      </c>
      <c r="H2026" s="3" t="s">
        <v>48</v>
      </c>
      <c r="I2026" s="3" t="s">
        <v>49</v>
      </c>
      <c r="J2026" s="3" t="s">
        <v>130</v>
      </c>
      <c r="K2026" s="2" t="str">
        <f aca="false">CONCATENATE(I2026," ",J2026)</f>
        <v>Alopecosa aculeata</v>
      </c>
      <c r="L2026" s="3" t="n">
        <f aca="false">SUM(P2026:U2026)</f>
        <v>1</v>
      </c>
      <c r="M2026" s="11" t="n">
        <f aca="false">(L2026/(F2026*G2026)*25)*4</f>
        <v>4</v>
      </c>
      <c r="N2026" s="1" t="s">
        <v>30</v>
      </c>
      <c r="O2026" s="1" t="s">
        <v>35</v>
      </c>
      <c r="P2026" s="3" t="n">
        <v>0</v>
      </c>
      <c r="Q2026" s="3" t="n">
        <v>1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f aca="false">SUM(P2026:Q2026)</f>
        <v>1</v>
      </c>
      <c r="W2026" s="3" t="n">
        <f aca="false">SUM(R2026:T2026)</f>
        <v>0</v>
      </c>
      <c r="X2026" s="22" t="n">
        <v>41869</v>
      </c>
      <c r="Y2026" s="22" t="n">
        <v>41874</v>
      </c>
    </row>
    <row r="2027" customFormat="false" ht="14.25" hidden="false" customHeight="false" outlineLevel="0" collapsed="false">
      <c r="A2027" s="1" t="n">
        <v>2014</v>
      </c>
      <c r="B2027" s="1" t="n">
        <v>2</v>
      </c>
      <c r="C2027" s="2" t="s">
        <v>44</v>
      </c>
      <c r="D2027" s="3" t="s">
        <v>118</v>
      </c>
      <c r="E2027" s="3" t="n">
        <v>2</v>
      </c>
      <c r="F2027" s="1" t="n">
        <f aca="false">Y2027-X2027</f>
        <v>5</v>
      </c>
      <c r="G2027" s="1" t="n">
        <v>5</v>
      </c>
      <c r="H2027" s="3" t="s">
        <v>48</v>
      </c>
      <c r="I2027" s="3" t="s">
        <v>49</v>
      </c>
      <c r="J2027" s="3" t="s">
        <v>38</v>
      </c>
      <c r="K2027" s="2" t="str">
        <f aca="false">CONCATENATE(I2027," ",J2027)</f>
        <v>Alopecosa sp</v>
      </c>
      <c r="L2027" s="3" t="n">
        <f aca="false">SUM(P2027:U2027)</f>
        <v>1</v>
      </c>
      <c r="M2027" s="11" t="n">
        <f aca="false">(L2027/(F2027*G2027)*25)*4</f>
        <v>4</v>
      </c>
      <c r="N2027" s="1" t="s">
        <v>19</v>
      </c>
      <c r="O2027" s="1" t="s">
        <v>31</v>
      </c>
      <c r="P2027" s="3" t="n">
        <v>0</v>
      </c>
      <c r="Q2027" s="3" t="n">
        <v>0</v>
      </c>
      <c r="R2027" s="3" t="n">
        <v>1</v>
      </c>
      <c r="S2027" s="3" t="n">
        <v>0</v>
      </c>
      <c r="T2027" s="3" t="n">
        <v>0</v>
      </c>
      <c r="U2027" s="3" t="n">
        <v>0</v>
      </c>
      <c r="V2027" s="3" t="n">
        <f aca="false">SUM(P2027:Q2027)</f>
        <v>0</v>
      </c>
      <c r="W2027" s="3" t="n">
        <f aca="false">SUM(R2027:T2027)</f>
        <v>1</v>
      </c>
      <c r="X2027" s="22" t="n">
        <v>41869</v>
      </c>
      <c r="Y2027" s="22" t="n">
        <v>41874</v>
      </c>
    </row>
    <row r="2028" customFormat="false" ht="14.25" hidden="false" customHeight="false" outlineLevel="0" collapsed="false">
      <c r="A2028" s="1" t="n">
        <v>2014</v>
      </c>
      <c r="B2028" s="1" t="n">
        <v>2</v>
      </c>
      <c r="C2028" s="2" t="s">
        <v>44</v>
      </c>
      <c r="D2028" s="3" t="s">
        <v>118</v>
      </c>
      <c r="E2028" s="3" t="n">
        <v>2</v>
      </c>
      <c r="F2028" s="1" t="n">
        <f aca="false">Y2028-X2028</f>
        <v>5</v>
      </c>
      <c r="G2028" s="1" t="n">
        <v>5</v>
      </c>
      <c r="H2028" s="3" t="s">
        <v>48</v>
      </c>
      <c r="I2028" s="3" t="s">
        <v>49</v>
      </c>
      <c r="J2028" s="3" t="s">
        <v>38</v>
      </c>
      <c r="K2028" s="2" t="str">
        <f aca="false">CONCATENATE(I2028," ",J2028)</f>
        <v>Alopecosa sp</v>
      </c>
      <c r="L2028" s="3" t="n">
        <f aca="false">SUM(P2028:U2028)</f>
        <v>1</v>
      </c>
      <c r="M2028" s="11" t="n">
        <f aca="false">(L2028/(F2028*G2028)*25)*4</f>
        <v>4</v>
      </c>
      <c r="N2028" s="1" t="s">
        <v>19</v>
      </c>
      <c r="O2028" s="1" t="s">
        <v>35</v>
      </c>
      <c r="P2028" s="3" t="n">
        <v>0</v>
      </c>
      <c r="Q2028" s="3" t="n">
        <v>0</v>
      </c>
      <c r="R2028" s="3" t="n">
        <v>0</v>
      </c>
      <c r="S2028" s="3" t="n">
        <v>1</v>
      </c>
      <c r="T2028" s="3" t="n">
        <v>0</v>
      </c>
      <c r="U2028" s="3" t="n">
        <v>0</v>
      </c>
      <c r="V2028" s="3" t="n">
        <f aca="false">SUM(P2028:Q2028)</f>
        <v>0</v>
      </c>
      <c r="W2028" s="3" t="n">
        <f aca="false">SUM(R2028:T2028)</f>
        <v>1</v>
      </c>
      <c r="X2028" s="22" t="n">
        <v>41869</v>
      </c>
      <c r="Y2028" s="22" t="n">
        <v>41874</v>
      </c>
    </row>
    <row r="2029" customFormat="false" ht="14.25" hidden="false" customHeight="false" outlineLevel="0" collapsed="false">
      <c r="A2029" s="1" t="n">
        <v>2014</v>
      </c>
      <c r="B2029" s="1" t="n">
        <v>2</v>
      </c>
      <c r="C2029" s="2" t="s">
        <v>44</v>
      </c>
      <c r="D2029" s="3" t="s">
        <v>118</v>
      </c>
      <c r="E2029" s="3" t="n">
        <v>2</v>
      </c>
      <c r="F2029" s="1" t="n">
        <f aca="false">Y2029-X2029</f>
        <v>5</v>
      </c>
      <c r="G2029" s="1" t="n">
        <v>5</v>
      </c>
      <c r="H2029" s="3" t="s">
        <v>48</v>
      </c>
      <c r="I2029" s="3" t="s">
        <v>49</v>
      </c>
      <c r="J2029" s="3" t="s">
        <v>38</v>
      </c>
      <c r="K2029" s="2" t="str">
        <f aca="false">CONCATENATE(I2029," ",J2029)</f>
        <v>Alopecosa sp</v>
      </c>
      <c r="L2029" s="3" t="n">
        <f aca="false">SUM(P2029:U2029)</f>
        <v>1</v>
      </c>
      <c r="M2029" s="11" t="n">
        <f aca="false">(L2029/(F2029*G2029)*25)*4</f>
        <v>4</v>
      </c>
      <c r="N2029" s="1" t="s">
        <v>19</v>
      </c>
      <c r="O2029" s="1" t="s">
        <v>54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1</v>
      </c>
      <c r="U2029" s="3" t="n">
        <v>0</v>
      </c>
      <c r="V2029" s="3" t="n">
        <f aca="false">SUM(P2029:Q2029)</f>
        <v>0</v>
      </c>
      <c r="W2029" s="3" t="n">
        <f aca="false">SUM(R2029:T2029)</f>
        <v>1</v>
      </c>
      <c r="X2029" s="22" t="n">
        <v>41869</v>
      </c>
      <c r="Y2029" s="22" t="n">
        <v>41874</v>
      </c>
    </row>
    <row r="2030" customFormat="false" ht="14.25" hidden="false" customHeight="false" outlineLevel="0" collapsed="false">
      <c r="A2030" s="1" t="n">
        <v>2014</v>
      </c>
      <c r="B2030" s="1" t="n">
        <v>2</v>
      </c>
      <c r="C2030" s="2" t="s">
        <v>44</v>
      </c>
      <c r="D2030" s="3" t="s">
        <v>118</v>
      </c>
      <c r="E2030" s="3" t="n">
        <v>2</v>
      </c>
      <c r="F2030" s="1" t="n">
        <f aca="false">Y2030-X2030</f>
        <v>5</v>
      </c>
      <c r="G2030" s="1" t="n">
        <v>5</v>
      </c>
      <c r="H2030" s="3" t="s">
        <v>48</v>
      </c>
      <c r="I2030" s="3" t="s">
        <v>122</v>
      </c>
      <c r="J2030" s="3" t="s">
        <v>123</v>
      </c>
      <c r="K2030" s="2" t="str">
        <f aca="false">CONCATENATE(I2030," ",J2030)</f>
        <v>Xerolycosa nemoralis</v>
      </c>
      <c r="L2030" s="3" t="n">
        <f aca="false">SUM(P2030:U2030)</f>
        <v>1</v>
      </c>
      <c r="M2030" s="11" t="n">
        <f aca="false">(L2030/(F2030*G2030)*25)*4</f>
        <v>4</v>
      </c>
      <c r="N2030" s="1" t="s">
        <v>19</v>
      </c>
      <c r="O2030" s="1" t="s">
        <v>35</v>
      </c>
      <c r="P2030" s="3" t="n">
        <v>0</v>
      </c>
      <c r="Q2030" s="3" t="n">
        <v>0</v>
      </c>
      <c r="R2030" s="3" t="n">
        <v>0</v>
      </c>
      <c r="S2030" s="3" t="n">
        <v>1</v>
      </c>
      <c r="T2030" s="3" t="n">
        <v>0</v>
      </c>
      <c r="U2030" s="3" t="n">
        <v>0</v>
      </c>
      <c r="V2030" s="3" t="n">
        <f aca="false">SUM(P2030:Q2030)</f>
        <v>0</v>
      </c>
      <c r="W2030" s="3" t="n">
        <f aca="false">SUM(R2030:T2030)</f>
        <v>1</v>
      </c>
      <c r="X2030" s="22" t="n">
        <v>41869</v>
      </c>
      <c r="Y2030" s="22" t="n">
        <v>41874</v>
      </c>
    </row>
    <row r="2031" customFormat="false" ht="14.25" hidden="false" customHeight="false" outlineLevel="0" collapsed="false">
      <c r="A2031" s="1" t="n">
        <v>2014</v>
      </c>
      <c r="B2031" s="1" t="n">
        <v>2</v>
      </c>
      <c r="C2031" s="2" t="s">
        <v>44</v>
      </c>
      <c r="D2031" s="3" t="s">
        <v>118</v>
      </c>
      <c r="E2031" s="3" t="n">
        <v>2</v>
      </c>
      <c r="F2031" s="1" t="n">
        <f aca="false">Y2031-X2031</f>
        <v>5</v>
      </c>
      <c r="G2031" s="1" t="n">
        <v>5</v>
      </c>
      <c r="H2031" s="3" t="s">
        <v>72</v>
      </c>
      <c r="I2031" s="3" t="s">
        <v>73</v>
      </c>
      <c r="J2031" s="3" t="s">
        <v>74</v>
      </c>
      <c r="K2031" s="2" t="str">
        <f aca="false">CONCATENATE(I2031," ",J2031)</f>
        <v>Zelotes subterraneus</v>
      </c>
      <c r="L2031" s="3" t="n">
        <f aca="false">SUM(P2031:U2031)</f>
        <v>1</v>
      </c>
      <c r="M2031" s="11" t="n">
        <f aca="false">(L2031/(F2031*G2031)*25)*4</f>
        <v>4</v>
      </c>
      <c r="N2031" s="1" t="s">
        <v>30</v>
      </c>
      <c r="O2031" s="1" t="s">
        <v>35</v>
      </c>
      <c r="P2031" s="3" t="n">
        <v>0</v>
      </c>
      <c r="Q2031" s="3" t="n">
        <v>1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f aca="false">SUM(P2031:Q2031)</f>
        <v>1</v>
      </c>
      <c r="W2031" s="3" t="n">
        <f aca="false">SUM(R2031:T2031)</f>
        <v>0</v>
      </c>
      <c r="X2031" s="22" t="n">
        <v>41869</v>
      </c>
      <c r="Y2031" s="22" t="n">
        <v>41874</v>
      </c>
    </row>
    <row r="2032" customFormat="false" ht="14.25" hidden="false" customHeight="false" outlineLevel="0" collapsed="false">
      <c r="A2032" s="1" t="n">
        <v>2014</v>
      </c>
      <c r="B2032" s="1" t="n">
        <v>2</v>
      </c>
      <c r="C2032" s="2" t="s">
        <v>44</v>
      </c>
      <c r="D2032" s="3" t="s">
        <v>118</v>
      </c>
      <c r="E2032" s="3" t="n">
        <v>1</v>
      </c>
      <c r="F2032" s="1" t="n">
        <f aca="false">Y2032-X2032</f>
        <v>5</v>
      </c>
      <c r="G2032" s="1" t="n">
        <v>5</v>
      </c>
      <c r="H2032" s="3" t="s">
        <v>48</v>
      </c>
      <c r="I2032" s="3" t="s">
        <v>49</v>
      </c>
      <c r="J2032" s="3" t="s">
        <v>38</v>
      </c>
      <c r="K2032" s="2" t="str">
        <f aca="false">CONCATENATE(I2032," ",J2032)</f>
        <v>Alopecosa sp</v>
      </c>
      <c r="L2032" s="3" t="n">
        <f aca="false">SUM(P2032:U2032)</f>
        <v>1</v>
      </c>
      <c r="M2032" s="11" t="n">
        <f aca="false">(L2032/(F2032*G2032)*25)*4</f>
        <v>4</v>
      </c>
      <c r="N2032" s="1" t="s">
        <v>19</v>
      </c>
      <c r="O2032" s="1" t="s">
        <v>31</v>
      </c>
      <c r="P2032" s="3" t="n">
        <v>0</v>
      </c>
      <c r="Q2032" s="3" t="n">
        <v>0</v>
      </c>
      <c r="R2032" s="3" t="n">
        <v>1</v>
      </c>
      <c r="S2032" s="3" t="n">
        <v>0</v>
      </c>
      <c r="T2032" s="3" t="n">
        <v>0</v>
      </c>
      <c r="U2032" s="3" t="n">
        <v>0</v>
      </c>
      <c r="V2032" s="3" t="n">
        <f aca="false">SUM(P2032:Q2032)</f>
        <v>0</v>
      </c>
      <c r="W2032" s="3" t="n">
        <f aca="false">SUM(R2032:T2032)</f>
        <v>1</v>
      </c>
      <c r="X2032" s="22" t="n">
        <v>41869</v>
      </c>
      <c r="Y2032" s="22" t="n">
        <v>41874</v>
      </c>
    </row>
    <row r="2033" customFormat="false" ht="14.25" hidden="false" customHeight="false" outlineLevel="0" collapsed="false">
      <c r="A2033" s="1" t="n">
        <v>2014</v>
      </c>
      <c r="B2033" s="1" t="n">
        <v>2</v>
      </c>
      <c r="C2033" s="2" t="s">
        <v>44</v>
      </c>
      <c r="D2033" s="3" t="s">
        <v>118</v>
      </c>
      <c r="E2033" s="3" t="n">
        <v>1</v>
      </c>
      <c r="F2033" s="1" t="n">
        <f aca="false">Y2033-X2033</f>
        <v>5</v>
      </c>
      <c r="G2033" s="1" t="n">
        <v>5</v>
      </c>
      <c r="H2033" s="3" t="s">
        <v>48</v>
      </c>
      <c r="I2033" s="3" t="s">
        <v>122</v>
      </c>
      <c r="J2033" s="3" t="s">
        <v>123</v>
      </c>
      <c r="K2033" s="2" t="str">
        <f aca="false">CONCATENATE(I2033," ",J2033)</f>
        <v>Xerolycosa nemoralis</v>
      </c>
      <c r="L2033" s="3" t="n">
        <f aca="false">SUM(P2033:U2033)</f>
        <v>1</v>
      </c>
      <c r="M2033" s="11" t="n">
        <f aca="false">(L2033/(F2033*G2033)*25)*4</f>
        <v>4</v>
      </c>
      <c r="N2033" s="1" t="s">
        <v>19</v>
      </c>
      <c r="O2033" s="1" t="s">
        <v>54</v>
      </c>
      <c r="P2033" s="3" t="n">
        <v>0</v>
      </c>
      <c r="Q2033" s="3" t="n">
        <v>0</v>
      </c>
      <c r="R2033" s="3" t="n">
        <v>0</v>
      </c>
      <c r="S2033" s="3" t="n">
        <v>0</v>
      </c>
      <c r="T2033" s="3" t="n">
        <v>1</v>
      </c>
      <c r="U2033" s="3" t="n">
        <v>0</v>
      </c>
      <c r="V2033" s="3" t="n">
        <f aca="false">SUM(P2033:Q2033)</f>
        <v>0</v>
      </c>
      <c r="W2033" s="3" t="n">
        <f aca="false">SUM(R2033:T2033)</f>
        <v>1</v>
      </c>
      <c r="X2033" s="22" t="n">
        <v>41869</v>
      </c>
      <c r="Y2033" s="22" t="n">
        <v>41874</v>
      </c>
    </row>
    <row r="2034" customFormat="false" ht="14.25" hidden="false" customHeight="false" outlineLevel="0" collapsed="false">
      <c r="A2034" s="1" t="n">
        <v>2014</v>
      </c>
      <c r="B2034" s="1" t="n">
        <v>2</v>
      </c>
      <c r="C2034" s="2" t="s">
        <v>44</v>
      </c>
      <c r="D2034" s="3" t="s">
        <v>118</v>
      </c>
      <c r="E2034" s="3" t="n">
        <v>1</v>
      </c>
      <c r="F2034" s="1" t="n">
        <f aca="false">Y2034-X2034</f>
        <v>5</v>
      </c>
      <c r="G2034" s="1" t="n">
        <v>5</v>
      </c>
      <c r="H2034" s="3" t="s">
        <v>72</v>
      </c>
      <c r="I2034" s="3" t="s">
        <v>73</v>
      </c>
      <c r="J2034" s="3" t="s">
        <v>74</v>
      </c>
      <c r="K2034" s="2" t="str">
        <f aca="false">CONCATENATE(I2034," ",J2034)</f>
        <v>Zelotes subterraneus</v>
      </c>
      <c r="L2034" s="3" t="n">
        <f aca="false">SUM(P2034:U2034)</f>
        <v>2</v>
      </c>
      <c r="M2034" s="11" t="n">
        <f aca="false">(L2034/(F2034*G2034)*25)*4</f>
        <v>8</v>
      </c>
      <c r="N2034" s="1" t="s">
        <v>30</v>
      </c>
      <c r="O2034" s="1" t="s">
        <v>31</v>
      </c>
      <c r="P2034" s="3" t="n">
        <v>2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f aca="false">SUM(P2034:Q2034)</f>
        <v>2</v>
      </c>
      <c r="W2034" s="3" t="n">
        <f aca="false">SUM(R2034:T2034)</f>
        <v>0</v>
      </c>
      <c r="X2034" s="22" t="n">
        <v>41869</v>
      </c>
      <c r="Y2034" s="22" t="n">
        <v>41874</v>
      </c>
    </row>
    <row r="2035" customFormat="false" ht="14.25" hidden="false" customHeight="false" outlineLevel="0" collapsed="false">
      <c r="A2035" s="1" t="n">
        <v>2014</v>
      </c>
      <c r="B2035" s="1" t="n">
        <v>2</v>
      </c>
      <c r="C2035" s="2" t="s">
        <v>44</v>
      </c>
      <c r="D2035" s="3" t="s">
        <v>118</v>
      </c>
      <c r="E2035" s="3" t="n">
        <v>1</v>
      </c>
      <c r="F2035" s="1" t="n">
        <f aca="false">Y2035-X2035</f>
        <v>5</v>
      </c>
      <c r="G2035" s="1" t="n">
        <v>5</v>
      </c>
      <c r="H2035" s="3" t="s">
        <v>72</v>
      </c>
      <c r="I2035" s="3" t="s">
        <v>73</v>
      </c>
      <c r="J2035" s="3" t="s">
        <v>74</v>
      </c>
      <c r="K2035" s="2" t="str">
        <f aca="false">CONCATENATE(I2035," ",J2035)</f>
        <v>Zelotes subterraneus</v>
      </c>
      <c r="L2035" s="3" t="n">
        <f aca="false">SUM(P2035:U2035)</f>
        <v>2</v>
      </c>
      <c r="M2035" s="11" t="n">
        <f aca="false">(L2035/(F2035*G2035)*25)*4</f>
        <v>8</v>
      </c>
      <c r="N2035" s="1" t="s">
        <v>30</v>
      </c>
      <c r="O2035" s="1" t="s">
        <v>35</v>
      </c>
      <c r="P2035" s="3" t="n">
        <v>0</v>
      </c>
      <c r="Q2035" s="3" t="n">
        <v>2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f aca="false">SUM(P2035:Q2035)</f>
        <v>2</v>
      </c>
      <c r="W2035" s="3" t="n">
        <f aca="false">SUM(R2035:T2035)</f>
        <v>0</v>
      </c>
      <c r="X2035" s="22" t="n">
        <v>41869</v>
      </c>
      <c r="Y2035" s="22" t="n">
        <v>41874</v>
      </c>
    </row>
    <row r="2036" customFormat="false" ht="14.25" hidden="false" customHeight="false" outlineLevel="0" collapsed="false">
      <c r="A2036" s="1" t="n">
        <v>2014</v>
      </c>
      <c r="B2036" s="1" t="n">
        <v>2</v>
      </c>
      <c r="C2036" s="2" t="s">
        <v>44</v>
      </c>
      <c r="D2036" s="3" t="s">
        <v>118</v>
      </c>
      <c r="E2036" s="3" t="n">
        <v>1</v>
      </c>
      <c r="F2036" s="1" t="n">
        <f aca="false">Y2036-X2036</f>
        <v>5</v>
      </c>
      <c r="G2036" s="1" t="n">
        <v>5</v>
      </c>
      <c r="H2036" s="3" t="s">
        <v>48</v>
      </c>
      <c r="I2036" s="3" t="s">
        <v>57</v>
      </c>
      <c r="J2036" s="3" t="s">
        <v>38</v>
      </c>
      <c r="K2036" s="2" t="str">
        <f aca="false">CONCATENATE(I2036," ",J2036)</f>
        <v>Gen sp</v>
      </c>
      <c r="L2036" s="3" t="n">
        <f aca="false">SUM(P2036:U2036)</f>
        <v>1</v>
      </c>
      <c r="M2036" s="11" t="n">
        <f aca="false">(L2036/(F2036*G2036)*25)*4</f>
        <v>4</v>
      </c>
      <c r="N2036" s="1" t="s">
        <v>19</v>
      </c>
      <c r="O2036" s="1" t="s">
        <v>54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1</v>
      </c>
      <c r="U2036" s="3" t="n">
        <v>0</v>
      </c>
      <c r="V2036" s="3" t="n">
        <f aca="false">SUM(P2036:Q2036)</f>
        <v>0</v>
      </c>
      <c r="W2036" s="3" t="n">
        <f aca="false">SUM(R2036:T2036)</f>
        <v>1</v>
      </c>
      <c r="X2036" s="22" t="n">
        <v>41869</v>
      </c>
      <c r="Y2036" s="22" t="n">
        <v>41874</v>
      </c>
    </row>
    <row r="2037" customFormat="false" ht="14.25" hidden="false" customHeight="false" outlineLevel="0" collapsed="false">
      <c r="A2037" s="1" t="n">
        <v>2014</v>
      </c>
      <c r="B2037" s="1" t="n">
        <v>2</v>
      </c>
      <c r="C2037" s="2" t="s">
        <v>44</v>
      </c>
      <c r="D2037" s="3" t="s">
        <v>118</v>
      </c>
      <c r="E2037" s="3" t="n">
        <v>3</v>
      </c>
      <c r="F2037" s="1" t="n">
        <f aca="false">Y2037-X2037</f>
        <v>5</v>
      </c>
      <c r="G2037" s="1" t="n">
        <v>5</v>
      </c>
      <c r="H2037" s="3" t="s">
        <v>48</v>
      </c>
      <c r="I2037" s="3" t="s">
        <v>49</v>
      </c>
      <c r="J2037" s="3" t="s">
        <v>130</v>
      </c>
      <c r="K2037" s="2" t="str">
        <f aca="false">CONCATENATE(I2037," ",J2037)</f>
        <v>Alopecosa aculeata</v>
      </c>
      <c r="L2037" s="3" t="n">
        <f aca="false">SUM(P2037:U2037)</f>
        <v>1</v>
      </c>
      <c r="M2037" s="11" t="n">
        <f aca="false">(L2037/(F2037*G2037)*25)*4</f>
        <v>4</v>
      </c>
      <c r="N2037" s="1" t="s">
        <v>30</v>
      </c>
      <c r="O2037" s="1" t="s">
        <v>35</v>
      </c>
      <c r="P2037" s="3" t="n">
        <v>0</v>
      </c>
      <c r="Q2037" s="3" t="n">
        <v>1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f aca="false">SUM(P2037:Q2037)</f>
        <v>1</v>
      </c>
      <c r="W2037" s="3" t="n">
        <f aca="false">SUM(R2037:T2037)</f>
        <v>0</v>
      </c>
      <c r="X2037" s="22" t="n">
        <v>41869</v>
      </c>
      <c r="Y2037" s="22" t="n">
        <v>41874</v>
      </c>
    </row>
    <row r="2038" customFormat="false" ht="14.25" hidden="false" customHeight="false" outlineLevel="0" collapsed="false">
      <c r="A2038" s="1" t="n">
        <v>2014</v>
      </c>
      <c r="B2038" s="1" t="n">
        <v>2</v>
      </c>
      <c r="C2038" s="2" t="s">
        <v>44</v>
      </c>
      <c r="D2038" s="3" t="s">
        <v>118</v>
      </c>
      <c r="E2038" s="3" t="n">
        <v>3</v>
      </c>
      <c r="F2038" s="1" t="n">
        <f aca="false">Y2038-X2038</f>
        <v>5</v>
      </c>
      <c r="G2038" s="1" t="n">
        <v>5</v>
      </c>
      <c r="H2038" s="3" t="s">
        <v>48</v>
      </c>
      <c r="I2038" s="3" t="s">
        <v>49</v>
      </c>
      <c r="J2038" s="3" t="s">
        <v>38</v>
      </c>
      <c r="K2038" s="2" t="str">
        <f aca="false">CONCATENATE(I2038," ",J2038)</f>
        <v>Alopecosa sp</v>
      </c>
      <c r="L2038" s="3" t="n">
        <f aca="false">SUM(P2038:U2038)</f>
        <v>1</v>
      </c>
      <c r="M2038" s="11" t="n">
        <f aca="false">(L2038/(F2038*G2038)*25)*4</f>
        <v>4</v>
      </c>
      <c r="N2038" s="1" t="s">
        <v>19</v>
      </c>
      <c r="O2038" s="1" t="s">
        <v>35</v>
      </c>
      <c r="P2038" s="3" t="n">
        <v>0</v>
      </c>
      <c r="Q2038" s="3" t="n">
        <v>0</v>
      </c>
      <c r="R2038" s="3" t="n">
        <v>0</v>
      </c>
      <c r="S2038" s="3" t="n">
        <v>1</v>
      </c>
      <c r="T2038" s="3" t="n">
        <v>0</v>
      </c>
      <c r="U2038" s="3" t="n">
        <v>0</v>
      </c>
      <c r="V2038" s="3" t="n">
        <f aca="false">SUM(P2038:Q2038)</f>
        <v>0</v>
      </c>
      <c r="W2038" s="3" t="n">
        <f aca="false">SUM(R2038:T2038)</f>
        <v>1</v>
      </c>
      <c r="X2038" s="22" t="n">
        <v>41869</v>
      </c>
      <c r="Y2038" s="22" t="n">
        <v>41874</v>
      </c>
    </row>
    <row r="2039" customFormat="false" ht="14.25" hidden="false" customHeight="false" outlineLevel="0" collapsed="false">
      <c r="A2039" s="1" t="n">
        <v>2014</v>
      </c>
      <c r="B2039" s="1" t="n">
        <v>2</v>
      </c>
      <c r="C2039" s="2" t="s">
        <v>44</v>
      </c>
      <c r="D2039" s="3" t="s">
        <v>118</v>
      </c>
      <c r="E2039" s="3" t="n">
        <v>3</v>
      </c>
      <c r="F2039" s="1" t="n">
        <f aca="false">Y2039-X2039</f>
        <v>5</v>
      </c>
      <c r="G2039" s="1" t="n">
        <v>5</v>
      </c>
      <c r="H2039" s="3" t="s">
        <v>48</v>
      </c>
      <c r="I2039" s="3" t="s">
        <v>49</v>
      </c>
      <c r="J2039" s="3" t="s">
        <v>38</v>
      </c>
      <c r="K2039" s="2" t="str">
        <f aca="false">CONCATENATE(I2039," ",J2039)</f>
        <v>Alopecosa sp</v>
      </c>
      <c r="L2039" s="3" t="n">
        <f aca="false">SUM(P2039:U2039)</f>
        <v>4</v>
      </c>
      <c r="M2039" s="11" t="n">
        <f aca="false">(L2039/(F2039*G2039)*25)*4</f>
        <v>16</v>
      </c>
      <c r="N2039" s="1" t="s">
        <v>19</v>
      </c>
      <c r="O2039" s="1" t="s">
        <v>54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4</v>
      </c>
      <c r="U2039" s="3" t="n">
        <v>0</v>
      </c>
      <c r="V2039" s="3" t="n">
        <f aca="false">SUM(P2039:Q2039)</f>
        <v>0</v>
      </c>
      <c r="W2039" s="3" t="n">
        <f aca="false">SUM(R2039:T2039)</f>
        <v>4</v>
      </c>
      <c r="X2039" s="22" t="n">
        <v>41869</v>
      </c>
      <c r="Y2039" s="22" t="n">
        <v>41874</v>
      </c>
    </row>
    <row r="2040" customFormat="false" ht="14.25" hidden="false" customHeight="false" outlineLevel="0" collapsed="false">
      <c r="A2040" s="1" t="n">
        <v>2014</v>
      </c>
      <c r="B2040" s="1" t="n">
        <v>2</v>
      </c>
      <c r="C2040" s="2" t="s">
        <v>44</v>
      </c>
      <c r="D2040" s="3" t="s">
        <v>118</v>
      </c>
      <c r="E2040" s="3" t="n">
        <v>3</v>
      </c>
      <c r="F2040" s="1" t="n">
        <f aca="false">Y2040-X2040</f>
        <v>5</v>
      </c>
      <c r="G2040" s="1" t="n">
        <v>5</v>
      </c>
      <c r="H2040" s="3" t="s">
        <v>48</v>
      </c>
      <c r="I2040" s="3" t="s">
        <v>57</v>
      </c>
      <c r="J2040" s="3" t="s">
        <v>38</v>
      </c>
      <c r="K2040" s="2" t="str">
        <f aca="false">CONCATENATE(I2040," ",J2040)</f>
        <v>Gen sp</v>
      </c>
      <c r="L2040" s="3" t="n">
        <f aca="false">SUM(P2040:U2040)</f>
        <v>1</v>
      </c>
      <c r="M2040" s="11" t="n">
        <f aca="false">(L2040/(F2040*G2040)*25)*4</f>
        <v>4</v>
      </c>
      <c r="N2040" s="1" t="s">
        <v>19</v>
      </c>
      <c r="O2040" s="1" t="s">
        <v>54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1</v>
      </c>
      <c r="U2040" s="3" t="n">
        <v>0</v>
      </c>
      <c r="V2040" s="3" t="n">
        <f aca="false">SUM(P2040:Q2040)</f>
        <v>0</v>
      </c>
      <c r="W2040" s="3" t="n">
        <f aca="false">SUM(R2040:T2040)</f>
        <v>1</v>
      </c>
      <c r="X2040" s="22" t="n">
        <v>41869</v>
      </c>
      <c r="Y2040" s="22" t="n">
        <v>41874</v>
      </c>
    </row>
    <row r="2041" customFormat="false" ht="14.25" hidden="false" customHeight="false" outlineLevel="0" collapsed="false">
      <c r="A2041" s="1" t="n">
        <v>2014</v>
      </c>
      <c r="B2041" s="1" t="n">
        <v>2</v>
      </c>
      <c r="C2041" s="2" t="s">
        <v>50</v>
      </c>
      <c r="D2041" s="3" t="s">
        <v>51</v>
      </c>
      <c r="E2041" s="3" t="n">
        <v>2</v>
      </c>
      <c r="F2041" s="1" t="n">
        <f aca="false">Y2041-X2041</f>
        <v>5</v>
      </c>
      <c r="G2041" s="1" t="n">
        <v>5</v>
      </c>
      <c r="H2041" s="3" t="s">
        <v>48</v>
      </c>
      <c r="I2041" s="3" t="s">
        <v>61</v>
      </c>
      <c r="J2041" s="3" t="s">
        <v>82</v>
      </c>
      <c r="K2041" s="2" t="str">
        <f aca="false">CONCATENATE(I2041," ",J2041)</f>
        <v>Trochosa terricola</v>
      </c>
      <c r="L2041" s="3" t="n">
        <f aca="false">SUM(P2041:U2041)</f>
        <v>1</v>
      </c>
      <c r="M2041" s="11" t="n">
        <f aca="false">(L2041/(F2041*G2041)*25)*4</f>
        <v>4</v>
      </c>
      <c r="N2041" s="1" t="s">
        <v>30</v>
      </c>
      <c r="O2041" s="1" t="s">
        <v>35</v>
      </c>
      <c r="P2041" s="3" t="n">
        <v>0</v>
      </c>
      <c r="Q2041" s="3" t="n">
        <v>1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f aca="false">SUM(P2041:Q2041)</f>
        <v>1</v>
      </c>
      <c r="W2041" s="3" t="n">
        <f aca="false">SUM(R2041:T2041)</f>
        <v>0</v>
      </c>
      <c r="X2041" s="22" t="n">
        <v>41870</v>
      </c>
      <c r="Y2041" s="22" t="n">
        <v>41875</v>
      </c>
    </row>
    <row r="2042" customFormat="false" ht="14.25" hidden="false" customHeight="false" outlineLevel="0" collapsed="false">
      <c r="A2042" s="1" t="n">
        <v>2014</v>
      </c>
      <c r="B2042" s="1" t="n">
        <v>2</v>
      </c>
      <c r="C2042" s="2" t="s">
        <v>50</v>
      </c>
      <c r="D2042" s="3" t="s">
        <v>51</v>
      </c>
      <c r="E2042" s="3" t="n">
        <v>2</v>
      </c>
      <c r="F2042" s="1" t="n">
        <f aca="false">Y2042-X2042</f>
        <v>5</v>
      </c>
      <c r="G2042" s="1" t="n">
        <v>5</v>
      </c>
      <c r="H2042" s="3" t="s">
        <v>72</v>
      </c>
      <c r="I2042" s="3" t="s">
        <v>86</v>
      </c>
      <c r="J2042" s="3" t="s">
        <v>38</v>
      </c>
      <c r="K2042" s="2" t="str">
        <f aca="false">CONCATENATE(I2042," ",J2042)</f>
        <v>Haplodrassus sp</v>
      </c>
      <c r="L2042" s="3" t="n">
        <f aca="false">SUM(P2042:U2042)</f>
        <v>1</v>
      </c>
      <c r="M2042" s="11" t="n">
        <f aca="false">(L2042/(F2042*G2042)*25)*4</f>
        <v>4</v>
      </c>
      <c r="N2042" s="1" t="s">
        <v>19</v>
      </c>
      <c r="O2042" s="1" t="s">
        <v>31</v>
      </c>
      <c r="P2042" s="3" t="n">
        <v>0</v>
      </c>
      <c r="Q2042" s="3" t="n">
        <v>0</v>
      </c>
      <c r="R2042" s="3" t="n">
        <v>1</v>
      </c>
      <c r="S2042" s="3" t="n">
        <v>0</v>
      </c>
      <c r="T2042" s="3" t="n">
        <v>0</v>
      </c>
      <c r="U2042" s="3" t="n">
        <v>0</v>
      </c>
      <c r="V2042" s="3" t="n">
        <f aca="false">SUM(P2042:Q2042)</f>
        <v>0</v>
      </c>
      <c r="W2042" s="3" t="n">
        <f aca="false">SUM(R2042:T2042)</f>
        <v>1</v>
      </c>
      <c r="X2042" s="22" t="n">
        <v>41870</v>
      </c>
      <c r="Y2042" s="22" t="n">
        <v>41875</v>
      </c>
    </row>
    <row r="2043" customFormat="false" ht="14.25" hidden="false" customHeight="false" outlineLevel="0" collapsed="false">
      <c r="A2043" s="1" t="n">
        <v>2014</v>
      </c>
      <c r="B2043" s="1" t="n">
        <v>2</v>
      </c>
      <c r="C2043" s="2" t="s">
        <v>50</v>
      </c>
      <c r="D2043" s="3" t="s">
        <v>51</v>
      </c>
      <c r="E2043" s="3" t="n">
        <v>2</v>
      </c>
      <c r="F2043" s="1" t="n">
        <f aca="false">Y2043-X2043</f>
        <v>5</v>
      </c>
      <c r="G2043" s="1" t="n">
        <v>5</v>
      </c>
      <c r="H2043" s="3" t="s">
        <v>36</v>
      </c>
      <c r="I2043" s="3" t="s">
        <v>37</v>
      </c>
      <c r="J2043" s="3" t="s">
        <v>75</v>
      </c>
      <c r="K2043" s="2" t="str">
        <f aca="false">CONCATENATE(I2043," ",J2043)</f>
        <v>Ozyptila praticola</v>
      </c>
      <c r="L2043" s="3" t="n">
        <f aca="false">SUM(P2043:U2043)</f>
        <v>4</v>
      </c>
      <c r="M2043" s="11" t="n">
        <f aca="false">(L2043/(F2043*G2043)*25)*4</f>
        <v>16</v>
      </c>
      <c r="N2043" s="1" t="s">
        <v>30</v>
      </c>
      <c r="O2043" s="1" t="s">
        <v>31</v>
      </c>
      <c r="P2043" s="3" t="n">
        <v>4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f aca="false">SUM(P2043:Q2043)</f>
        <v>4</v>
      </c>
      <c r="W2043" s="3" t="n">
        <f aca="false">SUM(R2043:T2043)</f>
        <v>0</v>
      </c>
      <c r="X2043" s="22" t="n">
        <v>41870</v>
      </c>
      <c r="Y2043" s="22" t="n">
        <v>41875</v>
      </c>
    </row>
    <row r="2044" customFormat="false" ht="14.25" hidden="false" customHeight="false" outlineLevel="0" collapsed="false">
      <c r="A2044" s="1" t="n">
        <v>2014</v>
      </c>
      <c r="B2044" s="1" t="n">
        <v>2</v>
      </c>
      <c r="C2044" s="2" t="s">
        <v>50</v>
      </c>
      <c r="D2044" s="3" t="s">
        <v>51</v>
      </c>
      <c r="E2044" s="3" t="n">
        <v>2</v>
      </c>
      <c r="F2044" s="1" t="n">
        <f aca="false">Y2044-X2044</f>
        <v>5</v>
      </c>
      <c r="G2044" s="1" t="n">
        <v>5</v>
      </c>
      <c r="H2044" s="3" t="s">
        <v>48</v>
      </c>
      <c r="I2044" s="3" t="s">
        <v>61</v>
      </c>
      <c r="J2044" s="3" t="s">
        <v>82</v>
      </c>
      <c r="K2044" s="2" t="str">
        <f aca="false">CONCATENATE(I2044," ",J2044)</f>
        <v>Trochosa terricola</v>
      </c>
      <c r="L2044" s="3" t="n">
        <f aca="false">SUM(P2044:U2044)</f>
        <v>2</v>
      </c>
      <c r="M2044" s="11" t="n">
        <f aca="false">(L2044/(F2044*G2044)*25)*4</f>
        <v>8</v>
      </c>
      <c r="N2044" s="1" t="s">
        <v>30</v>
      </c>
      <c r="O2044" s="1" t="s">
        <v>35</v>
      </c>
      <c r="P2044" s="3" t="n">
        <v>0</v>
      </c>
      <c r="Q2044" s="3" t="n">
        <v>2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f aca="false">SUM(P2044:Q2044)</f>
        <v>2</v>
      </c>
      <c r="W2044" s="3" t="n">
        <f aca="false">SUM(R2044:T2044)</f>
        <v>0</v>
      </c>
      <c r="X2044" s="22" t="n">
        <v>41870</v>
      </c>
      <c r="Y2044" s="22" t="n">
        <v>41875</v>
      </c>
    </row>
    <row r="2045" customFormat="false" ht="14.25" hidden="false" customHeight="false" outlineLevel="0" collapsed="false">
      <c r="A2045" s="1" t="n">
        <v>2014</v>
      </c>
      <c r="B2045" s="1" t="n">
        <v>2</v>
      </c>
      <c r="C2045" s="2" t="s">
        <v>50</v>
      </c>
      <c r="D2045" s="3" t="s">
        <v>51</v>
      </c>
      <c r="E2045" s="3" t="n">
        <v>2</v>
      </c>
      <c r="F2045" s="1" t="n">
        <f aca="false">Y2045-X2045</f>
        <v>5</v>
      </c>
      <c r="G2045" s="1" t="n">
        <v>5</v>
      </c>
      <c r="H2045" s="3" t="s">
        <v>36</v>
      </c>
      <c r="I2045" s="3" t="s">
        <v>37</v>
      </c>
      <c r="J2045" s="3" t="s">
        <v>75</v>
      </c>
      <c r="K2045" s="2" t="str">
        <f aca="false">CONCATENATE(I2045," ",J2045)</f>
        <v>Ozyptila praticola</v>
      </c>
      <c r="L2045" s="3" t="n">
        <f aca="false">SUM(P2045:U2045)</f>
        <v>1</v>
      </c>
      <c r="M2045" s="11" t="n">
        <f aca="false">(L2045/(F2045*G2045)*25)*4</f>
        <v>4</v>
      </c>
      <c r="N2045" s="1" t="s">
        <v>30</v>
      </c>
      <c r="O2045" s="1" t="s">
        <v>31</v>
      </c>
      <c r="P2045" s="3" t="n">
        <v>1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f aca="false">SUM(P2045:Q2045)</f>
        <v>1</v>
      </c>
      <c r="W2045" s="3" t="n">
        <f aca="false">SUM(R2045:T2045)</f>
        <v>0</v>
      </c>
      <c r="X2045" s="22" t="n">
        <v>41870</v>
      </c>
      <c r="Y2045" s="22" t="n">
        <v>41875</v>
      </c>
    </row>
    <row r="2046" customFormat="false" ht="14.25" hidden="false" customHeight="false" outlineLevel="0" collapsed="false">
      <c r="A2046" s="1" t="n">
        <v>2014</v>
      </c>
      <c r="B2046" s="1" t="n">
        <v>2</v>
      </c>
      <c r="C2046" s="2" t="s">
        <v>50</v>
      </c>
      <c r="D2046" s="3" t="s">
        <v>51</v>
      </c>
      <c r="E2046" s="3" t="n">
        <v>1</v>
      </c>
      <c r="F2046" s="1" t="n">
        <f aca="false">Y2046-X2046</f>
        <v>5</v>
      </c>
      <c r="G2046" s="1" t="n">
        <v>5</v>
      </c>
      <c r="H2046" s="3" t="s">
        <v>41</v>
      </c>
      <c r="I2046" s="3" t="s">
        <v>42</v>
      </c>
      <c r="J2046" s="3" t="s">
        <v>43</v>
      </c>
      <c r="K2046" s="2" t="str">
        <f aca="false">CONCATENATE(I2046," ",J2046)</f>
        <v>Agroeca proxima</v>
      </c>
      <c r="L2046" s="3" t="n">
        <f aca="false">SUM(P2046:U2046)</f>
        <v>2</v>
      </c>
      <c r="M2046" s="11" t="n">
        <f aca="false">(L2046/(F2046*G2046)*25)*4</f>
        <v>8</v>
      </c>
      <c r="N2046" s="1" t="s">
        <v>30</v>
      </c>
      <c r="O2046" s="1" t="s">
        <v>31</v>
      </c>
      <c r="P2046" s="3" t="n">
        <v>2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f aca="false">SUM(P2046:Q2046)</f>
        <v>2</v>
      </c>
      <c r="W2046" s="3" t="n">
        <f aca="false">SUM(R2046:T2046)</f>
        <v>0</v>
      </c>
      <c r="X2046" s="22" t="n">
        <v>41870</v>
      </c>
      <c r="Y2046" s="22" t="n">
        <v>41875</v>
      </c>
    </row>
    <row r="2047" customFormat="false" ht="14.25" hidden="false" customHeight="false" outlineLevel="0" collapsed="false">
      <c r="A2047" s="1" t="n">
        <v>2014</v>
      </c>
      <c r="B2047" s="1" t="n">
        <v>2</v>
      </c>
      <c r="C2047" s="2" t="s">
        <v>50</v>
      </c>
      <c r="D2047" s="3" t="s">
        <v>51</v>
      </c>
      <c r="E2047" s="3" t="n">
        <v>1</v>
      </c>
      <c r="F2047" s="1" t="n">
        <f aca="false">Y2047-X2047</f>
        <v>5</v>
      </c>
      <c r="G2047" s="1" t="n">
        <v>5</v>
      </c>
      <c r="H2047" s="3" t="s">
        <v>36</v>
      </c>
      <c r="I2047" s="3" t="s">
        <v>37</v>
      </c>
      <c r="J2047" s="3" t="s">
        <v>75</v>
      </c>
      <c r="K2047" s="2" t="str">
        <f aca="false">CONCATENATE(I2047," ",J2047)</f>
        <v>Ozyptila praticola</v>
      </c>
      <c r="L2047" s="3" t="n">
        <f aca="false">SUM(P2047:U2047)</f>
        <v>1</v>
      </c>
      <c r="M2047" s="11" t="n">
        <f aca="false">(L2047/(F2047*G2047)*25)*4</f>
        <v>4</v>
      </c>
      <c r="N2047" s="1" t="s">
        <v>30</v>
      </c>
      <c r="O2047" s="1" t="s">
        <v>31</v>
      </c>
      <c r="P2047" s="3" t="n">
        <v>1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f aca="false">SUM(P2047:Q2047)</f>
        <v>1</v>
      </c>
      <c r="W2047" s="3" t="n">
        <f aca="false">SUM(R2047:T2047)</f>
        <v>0</v>
      </c>
      <c r="X2047" s="22" t="n">
        <v>41870</v>
      </c>
      <c r="Y2047" s="22" t="n">
        <v>41875</v>
      </c>
    </row>
    <row r="2048" customFormat="false" ht="14.25" hidden="false" customHeight="false" outlineLevel="0" collapsed="false">
      <c r="A2048" s="1" t="n">
        <v>2014</v>
      </c>
      <c r="B2048" s="1" t="n">
        <v>2</v>
      </c>
      <c r="C2048" s="2" t="s">
        <v>50</v>
      </c>
      <c r="D2048" s="3" t="s">
        <v>51</v>
      </c>
      <c r="E2048" s="3" t="n">
        <v>1</v>
      </c>
      <c r="F2048" s="1" t="n">
        <f aca="false">Y2048-X2048</f>
        <v>5</v>
      </c>
      <c r="G2048" s="1" t="n">
        <v>5</v>
      </c>
      <c r="H2048" s="3" t="s">
        <v>72</v>
      </c>
      <c r="I2048" s="3" t="s">
        <v>73</v>
      </c>
      <c r="J2048" s="3" t="s">
        <v>38</v>
      </c>
      <c r="K2048" s="2" t="str">
        <f aca="false">CONCATENATE(I2048," ",J2048)</f>
        <v>Zelotes sp</v>
      </c>
      <c r="L2048" s="3" t="n">
        <f aca="false">SUM(P2048:U2048)</f>
        <v>2</v>
      </c>
      <c r="M2048" s="11" t="n">
        <f aca="false">(L2048/(F2048*G2048)*25)*4</f>
        <v>8</v>
      </c>
      <c r="N2048" s="1" t="s">
        <v>19</v>
      </c>
      <c r="O2048" s="1" t="s">
        <v>35</v>
      </c>
      <c r="P2048" s="3" t="n">
        <v>0</v>
      </c>
      <c r="R2048" s="3" t="n">
        <v>0</v>
      </c>
      <c r="S2048" s="3" t="n">
        <v>2</v>
      </c>
      <c r="T2048" s="3" t="n">
        <v>0</v>
      </c>
      <c r="U2048" s="3" t="n">
        <v>0</v>
      </c>
      <c r="V2048" s="3" t="n">
        <f aca="false">SUM(P2048:Q2048)</f>
        <v>0</v>
      </c>
      <c r="W2048" s="3" t="n">
        <f aca="false">SUM(R2048:T2048)</f>
        <v>2</v>
      </c>
      <c r="X2048" s="22" t="n">
        <v>41870</v>
      </c>
      <c r="Y2048" s="22" t="n">
        <v>41875</v>
      </c>
    </row>
    <row r="2049" customFormat="false" ht="14.25" hidden="false" customHeight="false" outlineLevel="0" collapsed="false">
      <c r="A2049" s="1" t="n">
        <v>2014</v>
      </c>
      <c r="B2049" s="1" t="n">
        <v>2</v>
      </c>
      <c r="C2049" s="2" t="s">
        <v>50</v>
      </c>
      <c r="D2049" s="3" t="s">
        <v>51</v>
      </c>
      <c r="E2049" s="3" t="n">
        <v>2</v>
      </c>
      <c r="F2049" s="1" t="n">
        <f aca="false">Y2049-X2049</f>
        <v>5</v>
      </c>
      <c r="G2049" s="1" t="n">
        <v>5</v>
      </c>
      <c r="H2049" s="3" t="s">
        <v>41</v>
      </c>
      <c r="I2049" s="3" t="s">
        <v>42</v>
      </c>
      <c r="J2049" s="3" t="s">
        <v>43</v>
      </c>
      <c r="K2049" s="2" t="str">
        <f aca="false">CONCATENATE(I2049," ",J2049)</f>
        <v>Agroeca proxima</v>
      </c>
      <c r="L2049" s="3" t="n">
        <f aca="false">SUM(P2049:U2049)</f>
        <v>1</v>
      </c>
      <c r="M2049" s="11" t="n">
        <f aca="false">(L2049/(F2049*G2049)*25)*4</f>
        <v>4</v>
      </c>
      <c r="N2049" s="1" t="s">
        <v>30</v>
      </c>
      <c r="O2049" s="1" t="s">
        <v>31</v>
      </c>
      <c r="P2049" s="3" t="n">
        <v>1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f aca="false">SUM(P2049:Q2049)</f>
        <v>1</v>
      </c>
      <c r="W2049" s="3" t="n">
        <f aca="false">SUM(R2049:T2049)</f>
        <v>0</v>
      </c>
      <c r="X2049" s="22" t="n">
        <v>41870</v>
      </c>
      <c r="Y2049" s="22" t="n">
        <v>41875</v>
      </c>
    </row>
    <row r="2050" customFormat="false" ht="14.25" hidden="false" customHeight="false" outlineLevel="0" collapsed="false">
      <c r="A2050" s="1" t="n">
        <v>2014</v>
      </c>
      <c r="B2050" s="1" t="n">
        <v>2</v>
      </c>
      <c r="C2050" s="2" t="s">
        <v>50</v>
      </c>
      <c r="D2050" s="3" t="s">
        <v>51</v>
      </c>
      <c r="E2050" s="3" t="n">
        <v>2</v>
      </c>
      <c r="F2050" s="1" t="n">
        <f aca="false">Y2050-X2050</f>
        <v>5</v>
      </c>
      <c r="G2050" s="1" t="n">
        <v>5</v>
      </c>
      <c r="H2050" s="3" t="s">
        <v>36</v>
      </c>
      <c r="I2050" s="3" t="s">
        <v>37</v>
      </c>
      <c r="J2050" s="3" t="s">
        <v>75</v>
      </c>
      <c r="K2050" s="2" t="str">
        <f aca="false">CONCATENATE(I2050," ",J2050)</f>
        <v>Ozyptila praticola</v>
      </c>
      <c r="L2050" s="3" t="n">
        <f aca="false">SUM(P2050:U2050)</f>
        <v>1</v>
      </c>
      <c r="M2050" s="11" t="n">
        <f aca="false">(L2050/(F2050*G2050)*25)*4</f>
        <v>4</v>
      </c>
      <c r="N2050" s="1" t="s">
        <v>30</v>
      </c>
      <c r="O2050" s="1" t="s">
        <v>31</v>
      </c>
      <c r="P2050" s="3" t="n">
        <v>1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f aca="false">SUM(P2050:Q2050)</f>
        <v>1</v>
      </c>
      <c r="W2050" s="3" t="n">
        <f aca="false">SUM(R2050:T2050)</f>
        <v>0</v>
      </c>
      <c r="X2050" s="22" t="n">
        <v>41870</v>
      </c>
      <c r="Y2050" s="22" t="n">
        <v>41875</v>
      </c>
    </row>
    <row r="2051" customFormat="false" ht="14.25" hidden="false" customHeight="false" outlineLevel="0" collapsed="false">
      <c r="A2051" s="1" t="n">
        <v>2014</v>
      </c>
      <c r="B2051" s="1" t="n">
        <v>2</v>
      </c>
      <c r="C2051" s="2" t="s">
        <v>50</v>
      </c>
      <c r="D2051" s="3" t="s">
        <v>51</v>
      </c>
      <c r="E2051" s="3" t="n">
        <v>2</v>
      </c>
      <c r="F2051" s="1" t="n">
        <f aca="false">Y2051-X2051</f>
        <v>5</v>
      </c>
      <c r="G2051" s="1" t="n">
        <v>5</v>
      </c>
      <c r="H2051" s="3" t="s">
        <v>36</v>
      </c>
      <c r="I2051" s="3" t="s">
        <v>37</v>
      </c>
      <c r="J2051" s="3" t="s">
        <v>75</v>
      </c>
      <c r="K2051" s="2" t="str">
        <f aca="false">CONCATENATE(I2051," ",J2051)</f>
        <v>Ozyptila praticola</v>
      </c>
      <c r="L2051" s="3" t="n">
        <f aca="false">SUM(P2051:U2051)</f>
        <v>1</v>
      </c>
      <c r="M2051" s="11" t="n">
        <f aca="false">(L2051/(F2051*G2051)*25)*4</f>
        <v>4</v>
      </c>
      <c r="N2051" s="1" t="s">
        <v>19</v>
      </c>
      <c r="O2051" s="1" t="s">
        <v>31</v>
      </c>
      <c r="P2051" s="3" t="n">
        <v>0</v>
      </c>
      <c r="Q2051" s="3" t="n">
        <v>0</v>
      </c>
      <c r="R2051" s="3" t="n">
        <v>1</v>
      </c>
      <c r="S2051" s="3" t="n">
        <v>0</v>
      </c>
      <c r="T2051" s="3" t="n">
        <v>0</v>
      </c>
      <c r="U2051" s="3" t="n">
        <v>0</v>
      </c>
      <c r="V2051" s="3" t="n">
        <f aca="false">SUM(P2051:Q2051)</f>
        <v>0</v>
      </c>
      <c r="W2051" s="3" t="n">
        <f aca="false">SUM(R2051:T2051)</f>
        <v>1</v>
      </c>
      <c r="X2051" s="22" t="n">
        <v>41870</v>
      </c>
      <c r="Y2051" s="22" t="n">
        <v>41875</v>
      </c>
    </row>
    <row r="2052" customFormat="false" ht="14.25" hidden="false" customHeight="false" outlineLevel="0" collapsed="false">
      <c r="A2052" s="1" t="n">
        <v>2014</v>
      </c>
      <c r="B2052" s="1" t="n">
        <v>2</v>
      </c>
      <c r="C2052" s="2" t="s">
        <v>50</v>
      </c>
      <c r="D2052" s="3" t="s">
        <v>51</v>
      </c>
      <c r="E2052" s="3" t="n">
        <v>2</v>
      </c>
      <c r="F2052" s="1" t="n">
        <f aca="false">Y2052-X2052</f>
        <v>5</v>
      </c>
      <c r="G2052" s="1" t="n">
        <v>5</v>
      </c>
      <c r="H2052" s="3" t="s">
        <v>48</v>
      </c>
      <c r="I2052" s="3" t="s">
        <v>67</v>
      </c>
      <c r="J2052" s="3" t="s">
        <v>127</v>
      </c>
      <c r="K2052" s="2" t="str">
        <f aca="false">CONCATENATE(I2052," ",J2052)</f>
        <v>Pardosa lugubris</v>
      </c>
      <c r="L2052" s="3" t="n">
        <f aca="false">SUM(P2052:U2052)</f>
        <v>1</v>
      </c>
      <c r="M2052" s="11" t="n">
        <f aca="false">(L2052/(F2052*G2052)*25)*4</f>
        <v>4</v>
      </c>
      <c r="N2052" s="1" t="s">
        <v>30</v>
      </c>
      <c r="O2052" s="1" t="s">
        <v>35</v>
      </c>
      <c r="P2052" s="3" t="n">
        <v>0</v>
      </c>
      <c r="Q2052" s="3" t="n">
        <v>1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f aca="false">SUM(P2052:Q2052)</f>
        <v>1</v>
      </c>
      <c r="W2052" s="3" t="n">
        <f aca="false">SUM(R2052:T2052)</f>
        <v>0</v>
      </c>
      <c r="X2052" s="22" t="n">
        <v>41870</v>
      </c>
      <c r="Y2052" s="22" t="n">
        <v>41875</v>
      </c>
    </row>
    <row r="2053" customFormat="false" ht="14.25" hidden="false" customHeight="false" outlineLevel="0" collapsed="false">
      <c r="A2053" s="1" t="n">
        <v>2014</v>
      </c>
      <c r="B2053" s="1" t="n">
        <v>2</v>
      </c>
      <c r="C2053" s="2" t="s">
        <v>50</v>
      </c>
      <c r="D2053" s="3" t="s">
        <v>51</v>
      </c>
      <c r="E2053" s="3" t="n">
        <v>3</v>
      </c>
      <c r="F2053" s="1" t="n">
        <f aca="false">Y2053-X2053</f>
        <v>5</v>
      </c>
      <c r="G2053" s="1" t="n">
        <v>5</v>
      </c>
      <c r="H2053" s="3" t="s">
        <v>48</v>
      </c>
      <c r="I2053" s="3" t="s">
        <v>61</v>
      </c>
      <c r="J2053" s="3" t="s">
        <v>82</v>
      </c>
      <c r="K2053" s="2" t="str">
        <f aca="false">CONCATENATE(I2053," ",J2053)</f>
        <v>Trochosa terricola</v>
      </c>
      <c r="L2053" s="3" t="n">
        <f aca="false">SUM(P2053:U2053)</f>
        <v>1</v>
      </c>
      <c r="M2053" s="11" t="n">
        <f aca="false">(L2053/(F2053*G2053)*25)*4</f>
        <v>4</v>
      </c>
      <c r="N2053" s="1" t="s">
        <v>30</v>
      </c>
      <c r="O2053" s="1" t="s">
        <v>35</v>
      </c>
      <c r="P2053" s="3" t="n">
        <v>0</v>
      </c>
      <c r="Q2053" s="3" t="n">
        <v>1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f aca="false">SUM(P2053:Q2053)</f>
        <v>1</v>
      </c>
      <c r="W2053" s="3" t="n">
        <f aca="false">SUM(R2053:T2053)</f>
        <v>0</v>
      </c>
      <c r="X2053" s="22" t="n">
        <v>41870</v>
      </c>
      <c r="Y2053" s="22" t="n">
        <v>41875</v>
      </c>
    </row>
    <row r="2054" customFormat="false" ht="14.25" hidden="false" customHeight="false" outlineLevel="0" collapsed="false">
      <c r="A2054" s="1" t="n">
        <v>2014</v>
      </c>
      <c r="B2054" s="1" t="n">
        <v>2</v>
      </c>
      <c r="C2054" s="2" t="s">
        <v>50</v>
      </c>
      <c r="D2054" s="3" t="s">
        <v>51</v>
      </c>
      <c r="E2054" s="3" t="n">
        <v>3</v>
      </c>
      <c r="F2054" s="1" t="n">
        <f aca="false">Y2054-X2054</f>
        <v>5</v>
      </c>
      <c r="G2054" s="1" t="n">
        <v>5</v>
      </c>
      <c r="H2054" s="3" t="s">
        <v>48</v>
      </c>
      <c r="I2054" s="3" t="s">
        <v>49</v>
      </c>
      <c r="J2054" s="3" t="s">
        <v>38</v>
      </c>
      <c r="K2054" s="2" t="str">
        <f aca="false">CONCATENATE(I2054," ",J2054)</f>
        <v>Alopecosa sp</v>
      </c>
      <c r="L2054" s="3" t="n">
        <f aca="false">SUM(P2054:U2054)</f>
        <v>1</v>
      </c>
      <c r="M2054" s="11" t="n">
        <f aca="false">(L2054/(F2054*G2054)*25)*4</f>
        <v>4</v>
      </c>
      <c r="N2054" s="1" t="s">
        <v>19</v>
      </c>
      <c r="O2054" s="1" t="s">
        <v>54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1</v>
      </c>
      <c r="U2054" s="3" t="n">
        <v>0</v>
      </c>
      <c r="V2054" s="3" t="n">
        <f aca="false">SUM(P2054:Q2054)</f>
        <v>0</v>
      </c>
      <c r="W2054" s="3" t="n">
        <f aca="false">SUM(R2054:T2054)</f>
        <v>1</v>
      </c>
      <c r="X2054" s="22" t="n">
        <v>41870</v>
      </c>
      <c r="Y2054" s="22" t="n">
        <v>41875</v>
      </c>
    </row>
    <row r="2055" customFormat="false" ht="14.25" hidden="false" customHeight="false" outlineLevel="0" collapsed="false">
      <c r="A2055" s="1" t="n">
        <v>2014</v>
      </c>
      <c r="B2055" s="1" t="n">
        <v>2</v>
      </c>
      <c r="C2055" s="2" t="s">
        <v>50</v>
      </c>
      <c r="D2055" s="3" t="s">
        <v>51</v>
      </c>
      <c r="E2055" s="3" t="n">
        <v>3</v>
      </c>
      <c r="F2055" s="1" t="n">
        <f aca="false">Y2055-X2055</f>
        <v>5</v>
      </c>
      <c r="G2055" s="1" t="n">
        <v>5</v>
      </c>
      <c r="H2055" s="3" t="s">
        <v>72</v>
      </c>
      <c r="I2055" s="3" t="s">
        <v>86</v>
      </c>
      <c r="J2055" s="3" t="s">
        <v>38</v>
      </c>
      <c r="K2055" s="2" t="str">
        <f aca="false">CONCATENATE(I2055," ",J2055)</f>
        <v>Haplodrassus sp</v>
      </c>
      <c r="L2055" s="3" t="n">
        <f aca="false">SUM(P2055:U2055)</f>
        <v>1</v>
      </c>
      <c r="M2055" s="11" t="n">
        <f aca="false">(L2055/(F2055*G2055)*25)*4</f>
        <v>4</v>
      </c>
      <c r="N2055" s="1" t="s">
        <v>19</v>
      </c>
      <c r="O2055" s="1" t="s">
        <v>31</v>
      </c>
      <c r="P2055" s="3" t="n">
        <v>0</v>
      </c>
      <c r="Q2055" s="3" t="n">
        <v>0</v>
      </c>
      <c r="R2055" s="3" t="n">
        <v>1</v>
      </c>
      <c r="S2055" s="3" t="n">
        <v>0</v>
      </c>
      <c r="T2055" s="3" t="n">
        <v>0</v>
      </c>
      <c r="U2055" s="3" t="n">
        <v>0</v>
      </c>
      <c r="V2055" s="3" t="n">
        <f aca="false">SUM(P2055:Q2055)</f>
        <v>0</v>
      </c>
      <c r="W2055" s="3" t="n">
        <f aca="false">SUM(R2055:T2055)</f>
        <v>1</v>
      </c>
      <c r="X2055" s="22" t="n">
        <v>41870</v>
      </c>
      <c r="Y2055" s="22" t="n">
        <v>41875</v>
      </c>
    </row>
    <row r="2056" customFormat="false" ht="14.25" hidden="false" customHeight="false" outlineLevel="0" collapsed="false">
      <c r="A2056" s="1" t="n">
        <v>2014</v>
      </c>
      <c r="B2056" s="1" t="n">
        <v>2</v>
      </c>
      <c r="C2056" s="2" t="s">
        <v>50</v>
      </c>
      <c r="D2056" s="3" t="s">
        <v>51</v>
      </c>
      <c r="E2056" s="3" t="n">
        <v>3</v>
      </c>
      <c r="F2056" s="1" t="n">
        <f aca="false">Y2056-X2056</f>
        <v>5</v>
      </c>
      <c r="G2056" s="1" t="n">
        <v>5</v>
      </c>
      <c r="H2056" s="3" t="s">
        <v>92</v>
      </c>
      <c r="I2056" s="3" t="s">
        <v>111</v>
      </c>
      <c r="J2056" s="3" t="s">
        <v>112</v>
      </c>
      <c r="K2056" s="2" t="str">
        <f aca="false">CONCATENATE(I2056," ",J2056)</f>
        <v>Evarcha falcata</v>
      </c>
      <c r="L2056" s="3" t="n">
        <f aca="false">SUM(P2056:U2056)</f>
        <v>1</v>
      </c>
      <c r="M2056" s="11" t="n">
        <f aca="false">(L2056/(F2056*G2056)*25)*4</f>
        <v>4</v>
      </c>
      <c r="N2056" s="1" t="s">
        <v>30</v>
      </c>
      <c r="O2056" s="1" t="s">
        <v>31</v>
      </c>
      <c r="P2056" s="3" t="n">
        <v>1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f aca="false">SUM(P2056:Q2056)</f>
        <v>1</v>
      </c>
      <c r="W2056" s="3" t="n">
        <f aca="false">SUM(R2056:T2056)</f>
        <v>0</v>
      </c>
      <c r="X2056" s="22" t="n">
        <v>41870</v>
      </c>
      <c r="Y2056" s="22" t="n">
        <v>41875</v>
      </c>
    </row>
    <row r="2057" customFormat="false" ht="14.25" hidden="false" customHeight="false" outlineLevel="0" collapsed="false">
      <c r="A2057" s="1" t="n">
        <v>2014</v>
      </c>
      <c r="B2057" s="1" t="n">
        <v>2</v>
      </c>
      <c r="C2057" s="2" t="s">
        <v>50</v>
      </c>
      <c r="D2057" s="3" t="s">
        <v>51</v>
      </c>
      <c r="E2057" s="3" t="n">
        <v>1</v>
      </c>
      <c r="F2057" s="1" t="n">
        <f aca="false">Y2057-X2057</f>
        <v>5</v>
      </c>
      <c r="G2057" s="1" t="n">
        <v>5</v>
      </c>
      <c r="H2057" s="3" t="s">
        <v>41</v>
      </c>
      <c r="I2057" s="3" t="s">
        <v>42</v>
      </c>
      <c r="J2057" s="3" t="s">
        <v>43</v>
      </c>
      <c r="K2057" s="2" t="str">
        <f aca="false">CONCATENATE(I2057," ",J2057)</f>
        <v>Agroeca proxima</v>
      </c>
      <c r="L2057" s="3" t="n">
        <f aca="false">SUM(P2057:U2057)</f>
        <v>1</v>
      </c>
      <c r="M2057" s="11" t="n">
        <f aca="false">(L2057/(F2057*G2057)*25)*4</f>
        <v>4</v>
      </c>
      <c r="N2057" s="1" t="s">
        <v>30</v>
      </c>
      <c r="O2057" s="1" t="s">
        <v>35</v>
      </c>
      <c r="P2057" s="3" t="n">
        <v>0</v>
      </c>
      <c r="Q2057" s="3" t="n">
        <v>1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f aca="false">SUM(P2057:Q2057)</f>
        <v>1</v>
      </c>
      <c r="W2057" s="3" t="n">
        <f aca="false">SUM(R2057:T2057)</f>
        <v>0</v>
      </c>
      <c r="X2057" s="22" t="n">
        <v>41870</v>
      </c>
      <c r="Y2057" s="22" t="n">
        <v>41875</v>
      </c>
    </row>
    <row r="2058" customFormat="false" ht="14.25" hidden="false" customHeight="false" outlineLevel="0" collapsed="false">
      <c r="A2058" s="1" t="n">
        <v>2014</v>
      </c>
      <c r="B2058" s="1" t="n">
        <v>2</v>
      </c>
      <c r="C2058" s="2" t="s">
        <v>50</v>
      </c>
      <c r="D2058" s="3" t="s">
        <v>51</v>
      </c>
      <c r="E2058" s="3" t="n">
        <v>1</v>
      </c>
      <c r="F2058" s="1" t="n">
        <f aca="false">Y2058-X2058</f>
        <v>5</v>
      </c>
      <c r="G2058" s="1" t="n">
        <v>5</v>
      </c>
      <c r="H2058" s="3" t="s">
        <v>41</v>
      </c>
      <c r="I2058" s="3" t="s">
        <v>42</v>
      </c>
      <c r="J2058" s="3" t="s">
        <v>38</v>
      </c>
      <c r="K2058" s="2" t="str">
        <f aca="false">CONCATENATE(I2058," ",J2058)</f>
        <v>Agroeca sp</v>
      </c>
      <c r="L2058" s="3" t="n">
        <f aca="false">SUM(P2058:U2058)</f>
        <v>1</v>
      </c>
      <c r="M2058" s="11" t="n">
        <f aca="false">(L2058/(F2058*G2058)*25)*4</f>
        <v>4</v>
      </c>
      <c r="N2058" s="1" t="s">
        <v>19</v>
      </c>
      <c r="O2058" s="1" t="s">
        <v>54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1</v>
      </c>
      <c r="U2058" s="3" t="n">
        <v>0</v>
      </c>
      <c r="V2058" s="3" t="n">
        <f aca="false">SUM(P2058:Q2058)</f>
        <v>0</v>
      </c>
      <c r="W2058" s="3" t="n">
        <f aca="false">SUM(R2058:T2058)</f>
        <v>1</v>
      </c>
      <c r="X2058" s="22" t="n">
        <v>41870</v>
      </c>
      <c r="Y2058" s="22" t="n">
        <v>41875</v>
      </c>
    </row>
    <row r="2059" customFormat="false" ht="14.25" hidden="false" customHeight="false" outlineLevel="0" collapsed="false">
      <c r="A2059" s="1" t="n">
        <v>2014</v>
      </c>
      <c r="B2059" s="1" t="n">
        <v>2</v>
      </c>
      <c r="C2059" s="2" t="s">
        <v>50</v>
      </c>
      <c r="D2059" s="3" t="s">
        <v>51</v>
      </c>
      <c r="E2059" s="3" t="n">
        <v>1</v>
      </c>
      <c r="F2059" s="1" t="n">
        <f aca="false">Y2059-X2059</f>
        <v>5</v>
      </c>
      <c r="G2059" s="1" t="n">
        <v>5</v>
      </c>
      <c r="H2059" s="3" t="s">
        <v>72</v>
      </c>
      <c r="I2059" s="3" t="s">
        <v>73</v>
      </c>
      <c r="J2059" s="3" t="s">
        <v>74</v>
      </c>
      <c r="K2059" s="2" t="str">
        <f aca="false">CONCATENATE(I2059," ",J2059)</f>
        <v>Zelotes subterraneus</v>
      </c>
      <c r="L2059" s="3" t="n">
        <f aca="false">SUM(P2059:U2059)</f>
        <v>1</v>
      </c>
      <c r="M2059" s="11" t="n">
        <f aca="false">(L2059/(F2059*G2059)*25)*4</f>
        <v>4</v>
      </c>
      <c r="N2059" s="1" t="s">
        <v>30</v>
      </c>
      <c r="O2059" s="1" t="s">
        <v>31</v>
      </c>
      <c r="P2059" s="3" t="n">
        <v>1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f aca="false">SUM(P2059:Q2059)</f>
        <v>1</v>
      </c>
      <c r="W2059" s="3" t="n">
        <f aca="false">SUM(R2059:T2059)</f>
        <v>0</v>
      </c>
      <c r="X2059" s="22" t="n">
        <v>41870</v>
      </c>
      <c r="Y2059" s="22" t="n">
        <v>41875</v>
      </c>
    </row>
    <row r="2060" customFormat="false" ht="14.25" hidden="false" customHeight="false" outlineLevel="0" collapsed="false">
      <c r="A2060" s="1" t="n">
        <v>2014</v>
      </c>
      <c r="B2060" s="1" t="n">
        <v>2</v>
      </c>
      <c r="C2060" s="2" t="s">
        <v>50</v>
      </c>
      <c r="D2060" s="3" t="s">
        <v>51</v>
      </c>
      <c r="E2060" s="3" t="n">
        <v>1</v>
      </c>
      <c r="F2060" s="1" t="n">
        <f aca="false">Y2060-X2060</f>
        <v>5</v>
      </c>
      <c r="G2060" s="1" t="n">
        <v>5</v>
      </c>
      <c r="H2060" s="3" t="s">
        <v>72</v>
      </c>
      <c r="I2060" s="3" t="s">
        <v>73</v>
      </c>
      <c r="J2060" s="3" t="s">
        <v>38</v>
      </c>
      <c r="K2060" s="2" t="str">
        <f aca="false">CONCATENATE(I2060," ",J2060)</f>
        <v>Zelotes sp</v>
      </c>
      <c r="L2060" s="3" t="n">
        <f aca="false">SUM(P2060:U2060)</f>
        <v>1</v>
      </c>
      <c r="M2060" s="11" t="n">
        <f aca="false">(L2060/(F2060*G2060)*25)*4</f>
        <v>4</v>
      </c>
      <c r="N2060" s="1" t="s">
        <v>19</v>
      </c>
      <c r="O2060" s="1" t="s">
        <v>31</v>
      </c>
      <c r="P2060" s="3" t="n">
        <v>0</v>
      </c>
      <c r="Q2060" s="3" t="n">
        <v>0</v>
      </c>
      <c r="R2060" s="3" t="n">
        <v>1</v>
      </c>
      <c r="S2060" s="3" t="n">
        <v>0</v>
      </c>
      <c r="T2060" s="3" t="n">
        <v>0</v>
      </c>
      <c r="U2060" s="3" t="n">
        <v>0</v>
      </c>
      <c r="V2060" s="3" t="n">
        <f aca="false">SUM(P2060:Q2060)</f>
        <v>0</v>
      </c>
      <c r="W2060" s="3" t="n">
        <f aca="false">SUM(R2060:T2060)</f>
        <v>1</v>
      </c>
      <c r="X2060" s="22" t="n">
        <v>41870</v>
      </c>
      <c r="Y2060" s="22" t="n">
        <v>41875</v>
      </c>
    </row>
    <row r="2061" customFormat="false" ht="14.25" hidden="false" customHeight="false" outlineLevel="0" collapsed="false">
      <c r="A2061" s="1" t="n">
        <v>2014</v>
      </c>
      <c r="B2061" s="1" t="n">
        <v>2</v>
      </c>
      <c r="C2061" s="2" t="s">
        <v>50</v>
      </c>
      <c r="D2061" s="3" t="s">
        <v>51</v>
      </c>
      <c r="E2061" s="3" t="n">
        <v>1</v>
      </c>
      <c r="F2061" s="1" t="n">
        <f aca="false">Y2061-X2061</f>
        <v>5</v>
      </c>
      <c r="G2061" s="1" t="n">
        <v>5</v>
      </c>
      <c r="H2061" s="3" t="s">
        <v>36</v>
      </c>
      <c r="I2061" s="3" t="s">
        <v>37</v>
      </c>
      <c r="J2061" s="3" t="s">
        <v>75</v>
      </c>
      <c r="K2061" s="2" t="str">
        <f aca="false">CONCATENATE(I2061," ",J2061)</f>
        <v>Ozyptila praticola</v>
      </c>
      <c r="L2061" s="3" t="n">
        <f aca="false">SUM(P2061:U2061)</f>
        <v>1</v>
      </c>
      <c r="M2061" s="11" t="n">
        <f aca="false">(L2061/(F2061*G2061)*25)*4</f>
        <v>4</v>
      </c>
      <c r="N2061" s="1" t="s">
        <v>30</v>
      </c>
      <c r="O2061" s="1" t="s">
        <v>31</v>
      </c>
      <c r="P2061" s="3" t="n">
        <v>1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f aca="false">SUM(P2061:Q2061)</f>
        <v>1</v>
      </c>
      <c r="W2061" s="3" t="n">
        <f aca="false">SUM(R2061:T2061)</f>
        <v>0</v>
      </c>
      <c r="X2061" s="22" t="n">
        <v>41870</v>
      </c>
      <c r="Y2061" s="22" t="n">
        <v>41875</v>
      </c>
    </row>
    <row r="2062" customFormat="false" ht="14.25" hidden="false" customHeight="false" outlineLevel="0" collapsed="false">
      <c r="A2062" s="1" t="n">
        <v>2014</v>
      </c>
      <c r="B2062" s="1" t="n">
        <v>2</v>
      </c>
      <c r="C2062" s="2" t="s">
        <v>50</v>
      </c>
      <c r="D2062" s="3" t="s">
        <v>51</v>
      </c>
      <c r="E2062" s="3" t="n">
        <v>1</v>
      </c>
      <c r="F2062" s="1" t="n">
        <f aca="false">Y2062-X2062</f>
        <v>5</v>
      </c>
      <c r="G2062" s="1" t="n">
        <v>5</v>
      </c>
      <c r="H2062" s="3" t="s">
        <v>226</v>
      </c>
      <c r="I2062" s="3" t="s">
        <v>65</v>
      </c>
      <c r="J2062" s="3" t="s">
        <v>66</v>
      </c>
      <c r="K2062" s="2" t="str">
        <f aca="false">CONCATENATE(I2062," ",J2062)</f>
        <v>Zora Spinimana</v>
      </c>
      <c r="L2062" s="3" t="n">
        <f aca="false">SUM(P2062:U2062)</f>
        <v>1</v>
      </c>
      <c r="M2062" s="11" t="n">
        <f aca="false">(L2062/(F2062*G2062)*25)*4</f>
        <v>4</v>
      </c>
      <c r="N2062" s="1" t="s">
        <v>19</v>
      </c>
      <c r="O2062" s="1" t="s">
        <v>31</v>
      </c>
      <c r="P2062" s="3" t="n">
        <v>0</v>
      </c>
      <c r="Q2062" s="3" t="n">
        <v>0</v>
      </c>
      <c r="R2062" s="3" t="n">
        <v>1</v>
      </c>
      <c r="S2062" s="3" t="n">
        <v>0</v>
      </c>
      <c r="T2062" s="3" t="n">
        <v>0</v>
      </c>
      <c r="U2062" s="3" t="n">
        <v>0</v>
      </c>
      <c r="V2062" s="3" t="n">
        <f aca="false">SUM(P2062:Q2062)</f>
        <v>0</v>
      </c>
      <c r="W2062" s="3" t="n">
        <f aca="false">SUM(R2062:T2062)</f>
        <v>1</v>
      </c>
      <c r="X2062" s="22" t="n">
        <v>41870</v>
      </c>
      <c r="Y2062" s="22" t="n">
        <v>41875</v>
      </c>
    </row>
    <row r="2063" customFormat="false" ht="14.25" hidden="false" customHeight="false" outlineLevel="0" collapsed="false">
      <c r="A2063" s="1" t="n">
        <v>2014</v>
      </c>
      <c r="B2063" s="1" t="n">
        <v>2</v>
      </c>
      <c r="C2063" s="2" t="s">
        <v>50</v>
      </c>
      <c r="D2063" s="3" t="s">
        <v>51</v>
      </c>
      <c r="E2063" s="3" t="n">
        <v>1</v>
      </c>
      <c r="F2063" s="1" t="n">
        <f aca="false">Y2063-X2063</f>
        <v>5</v>
      </c>
      <c r="G2063" s="1" t="n">
        <v>5</v>
      </c>
      <c r="H2063" s="3" t="s">
        <v>32</v>
      </c>
      <c r="I2063" s="3" t="s">
        <v>70</v>
      </c>
      <c r="J2063" s="3" t="s">
        <v>234</v>
      </c>
      <c r="K2063" s="2" t="str">
        <f aca="false">CONCATENATE(I2063," ",J2063)</f>
        <v>Palliduphantes pallidus</v>
      </c>
      <c r="L2063" s="3" t="n">
        <f aca="false">SUM(P2063:U2063)</f>
        <v>1</v>
      </c>
      <c r="M2063" s="11" t="n">
        <f aca="false">(L2063/(F2063*G2063)*25)*4</f>
        <v>4</v>
      </c>
      <c r="N2063" s="1" t="s">
        <v>30</v>
      </c>
      <c r="O2063" s="1" t="s">
        <v>31</v>
      </c>
      <c r="P2063" s="3" t="n">
        <v>1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f aca="false">SUM(P2063:Q2063)</f>
        <v>1</v>
      </c>
      <c r="W2063" s="3" t="n">
        <f aca="false">SUM(R2063:T2063)</f>
        <v>0</v>
      </c>
      <c r="X2063" s="22" t="n">
        <v>41870</v>
      </c>
      <c r="Y2063" s="22" t="n">
        <v>41875</v>
      </c>
    </row>
    <row r="2064" customFormat="false" ht="14.25" hidden="false" customHeight="false" outlineLevel="0" collapsed="false">
      <c r="A2064" s="1" t="n">
        <v>2014</v>
      </c>
      <c r="B2064" s="1" t="n">
        <v>2</v>
      </c>
      <c r="C2064" s="2" t="s">
        <v>50</v>
      </c>
      <c r="D2064" s="3" t="s">
        <v>51</v>
      </c>
      <c r="E2064" s="3" t="n">
        <v>1</v>
      </c>
      <c r="F2064" s="1" t="n">
        <f aca="false">Y2064-X2064</f>
        <v>5</v>
      </c>
      <c r="G2064" s="1" t="n">
        <v>5</v>
      </c>
      <c r="H2064" s="3" t="s">
        <v>32</v>
      </c>
      <c r="I2064" s="3" t="s">
        <v>68</v>
      </c>
      <c r="J2064" s="3" t="s">
        <v>178</v>
      </c>
      <c r="K2064" s="2" t="str">
        <f aca="false">CONCATENATE(I2064," ",J2064)</f>
        <v>Centromerus brevipalpus</v>
      </c>
      <c r="L2064" s="3" t="n">
        <f aca="false">SUM(P2064:U2064)</f>
        <v>1</v>
      </c>
      <c r="M2064" s="11" t="n">
        <f aca="false">(L2064/(F2064*G2064)*25)*4</f>
        <v>4</v>
      </c>
      <c r="N2064" s="1" t="s">
        <v>30</v>
      </c>
      <c r="O2064" s="1" t="s">
        <v>35</v>
      </c>
      <c r="P2064" s="3" t="n">
        <v>0</v>
      </c>
      <c r="Q2064" s="3" t="n">
        <v>1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f aca="false">SUM(P2064:Q2064)</f>
        <v>1</v>
      </c>
      <c r="W2064" s="3" t="n">
        <f aca="false">SUM(R2064:T2064)</f>
        <v>0</v>
      </c>
      <c r="X2064" s="22" t="n">
        <v>41870</v>
      </c>
      <c r="Y2064" s="22" t="n">
        <v>41875</v>
      </c>
    </row>
    <row r="2065" customFormat="false" ht="14.25" hidden="false" customHeight="false" outlineLevel="0" collapsed="false">
      <c r="A2065" s="1" t="n">
        <v>2014</v>
      </c>
      <c r="B2065" s="1" t="n">
        <v>2</v>
      </c>
      <c r="C2065" s="2" t="s">
        <v>50</v>
      </c>
      <c r="D2065" s="3" t="s">
        <v>51</v>
      </c>
      <c r="E2065" s="3" t="n">
        <v>1</v>
      </c>
      <c r="F2065" s="1" t="n">
        <f aca="false">Y2065-X2065</f>
        <v>5</v>
      </c>
      <c r="G2065" s="1" t="n">
        <v>5</v>
      </c>
      <c r="H2065" s="3" t="s">
        <v>27</v>
      </c>
      <c r="I2065" s="3" t="s">
        <v>28</v>
      </c>
      <c r="J2065" s="3" t="s">
        <v>29</v>
      </c>
      <c r="K2065" s="2" t="str">
        <f aca="false">CONCATENATE(I2065," ",J2065)</f>
        <v>Robertus lividus</v>
      </c>
      <c r="L2065" s="3" t="n">
        <f aca="false">SUM(P2065:U2065)</f>
        <v>1</v>
      </c>
      <c r="M2065" s="11" t="n">
        <f aca="false">(L2065/(F2065*G2065)*25)*4</f>
        <v>4</v>
      </c>
      <c r="N2065" s="1" t="s">
        <v>30</v>
      </c>
      <c r="O2065" s="1" t="s">
        <v>31</v>
      </c>
      <c r="P2065" s="3" t="n">
        <v>1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f aca="false">SUM(P2065:Q2065)</f>
        <v>1</v>
      </c>
      <c r="W2065" s="3" t="n">
        <f aca="false">SUM(R2065:T2065)</f>
        <v>0</v>
      </c>
      <c r="X2065" s="22" t="n">
        <v>41870</v>
      </c>
      <c r="Y2065" s="22" t="n">
        <v>41875</v>
      </c>
    </row>
    <row r="2066" customFormat="false" ht="14.25" hidden="false" customHeight="false" outlineLevel="0" collapsed="false">
      <c r="A2066" s="1" t="n">
        <v>2014</v>
      </c>
      <c r="B2066" s="1" t="n">
        <v>2</v>
      </c>
      <c r="C2066" s="2" t="s">
        <v>50</v>
      </c>
      <c r="D2066" s="3" t="s">
        <v>51</v>
      </c>
      <c r="E2066" s="3" t="n">
        <v>1</v>
      </c>
      <c r="F2066" s="1" t="n">
        <f aca="false">Y2066-X2066</f>
        <v>5</v>
      </c>
      <c r="G2066" s="1" t="n">
        <v>5</v>
      </c>
      <c r="H2066" s="3" t="s">
        <v>48</v>
      </c>
      <c r="I2066" s="3" t="s">
        <v>61</v>
      </c>
      <c r="J2066" s="3" t="s">
        <v>82</v>
      </c>
      <c r="K2066" s="2" t="str">
        <f aca="false">CONCATENATE(I2066," ",J2066)</f>
        <v>Trochosa terricola</v>
      </c>
      <c r="L2066" s="3" t="n">
        <f aca="false">SUM(P2066:U2066)</f>
        <v>1</v>
      </c>
      <c r="M2066" s="11" t="n">
        <f aca="false">(L2066/(F2066*G2066)*25)*4</f>
        <v>4</v>
      </c>
      <c r="N2066" s="1" t="s">
        <v>30</v>
      </c>
      <c r="O2066" s="1" t="s">
        <v>35</v>
      </c>
      <c r="P2066" s="3" t="n">
        <v>0</v>
      </c>
      <c r="Q2066" s="3" t="n">
        <v>1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f aca="false">SUM(P2066:Q2066)</f>
        <v>1</v>
      </c>
      <c r="W2066" s="3" t="n">
        <f aca="false">SUM(R2066:T2066)</f>
        <v>0</v>
      </c>
      <c r="X2066" s="22" t="n">
        <v>41870</v>
      </c>
      <c r="Y2066" s="22" t="n">
        <v>41875</v>
      </c>
    </row>
    <row r="2067" customFormat="false" ht="14.25" hidden="false" customHeight="false" outlineLevel="0" collapsed="false">
      <c r="A2067" s="1" t="n">
        <v>2014</v>
      </c>
      <c r="B2067" s="1" t="n">
        <v>2</v>
      </c>
      <c r="C2067" s="2" t="s">
        <v>50</v>
      </c>
      <c r="D2067" s="3" t="s">
        <v>51</v>
      </c>
      <c r="E2067" s="3" t="n">
        <v>1</v>
      </c>
      <c r="F2067" s="1" t="n">
        <f aca="false">Y2067-X2067</f>
        <v>5</v>
      </c>
      <c r="G2067" s="1" t="n">
        <v>5</v>
      </c>
      <c r="H2067" s="3" t="s">
        <v>36</v>
      </c>
      <c r="I2067" s="3" t="s">
        <v>37</v>
      </c>
      <c r="J2067" s="3" t="s">
        <v>75</v>
      </c>
      <c r="K2067" s="2" t="str">
        <f aca="false">CONCATENATE(I2067," ",J2067)</f>
        <v>Ozyptila praticola</v>
      </c>
      <c r="L2067" s="3" t="n">
        <f aca="false">SUM(P2067:U2067)</f>
        <v>2</v>
      </c>
      <c r="M2067" s="11" t="n">
        <f aca="false">(L2067/(F2067*G2067)*25)*4</f>
        <v>8</v>
      </c>
      <c r="N2067" s="1" t="s">
        <v>30</v>
      </c>
      <c r="O2067" s="1" t="s">
        <v>31</v>
      </c>
      <c r="P2067" s="3" t="n">
        <v>2</v>
      </c>
      <c r="Q2067" s="3" t="n">
        <v>0</v>
      </c>
      <c r="R2067" s="3" t="n">
        <v>0</v>
      </c>
      <c r="S2067" s="3" t="n">
        <v>0</v>
      </c>
      <c r="T2067" s="3" t="n">
        <v>0</v>
      </c>
      <c r="U2067" s="3" t="n">
        <v>0</v>
      </c>
      <c r="V2067" s="3" t="n">
        <f aca="false">SUM(P2067:Q2067)</f>
        <v>2</v>
      </c>
      <c r="W2067" s="3" t="n">
        <f aca="false">SUM(R2067:T2067)</f>
        <v>0</v>
      </c>
      <c r="X2067" s="22" t="n">
        <v>41870</v>
      </c>
      <c r="Y2067" s="22" t="n">
        <v>41875</v>
      </c>
    </row>
    <row r="2068" customFormat="false" ht="14.25" hidden="false" customHeight="false" outlineLevel="0" collapsed="false">
      <c r="A2068" s="1" t="n">
        <v>2014</v>
      </c>
      <c r="B2068" s="1" t="n">
        <v>2</v>
      </c>
      <c r="C2068" s="2" t="s">
        <v>50</v>
      </c>
      <c r="D2068" s="3" t="s">
        <v>51</v>
      </c>
      <c r="E2068" s="3" t="n">
        <v>1</v>
      </c>
      <c r="F2068" s="1" t="n">
        <f aca="false">Y2068-X2068</f>
        <v>5</v>
      </c>
      <c r="G2068" s="1" t="n">
        <v>5</v>
      </c>
      <c r="H2068" s="3" t="s">
        <v>36</v>
      </c>
      <c r="I2068" s="3" t="s">
        <v>37</v>
      </c>
      <c r="J2068" s="3" t="s">
        <v>75</v>
      </c>
      <c r="K2068" s="2" t="str">
        <f aca="false">CONCATENATE(I2068," ",J2068)</f>
        <v>Ozyptila praticola</v>
      </c>
      <c r="L2068" s="3" t="n">
        <f aca="false">SUM(P2068:U2068)</f>
        <v>1</v>
      </c>
      <c r="M2068" s="11" t="n">
        <f aca="false">(L2068/(F2068*G2068)*25)*4</f>
        <v>4</v>
      </c>
      <c r="N2068" s="1" t="s">
        <v>19</v>
      </c>
      <c r="O2068" s="1" t="s">
        <v>31</v>
      </c>
      <c r="P2068" s="3" t="n">
        <v>0</v>
      </c>
      <c r="Q2068" s="3" t="n">
        <v>0</v>
      </c>
      <c r="R2068" s="3" t="n">
        <v>1</v>
      </c>
      <c r="S2068" s="3" t="n">
        <v>0</v>
      </c>
      <c r="T2068" s="3" t="n">
        <v>0</v>
      </c>
      <c r="U2068" s="3" t="n">
        <v>0</v>
      </c>
      <c r="V2068" s="3" t="n">
        <f aca="false">SUM(P2068:Q2068)</f>
        <v>0</v>
      </c>
      <c r="W2068" s="3" t="n">
        <f aca="false">SUM(R2068:T2068)</f>
        <v>1</v>
      </c>
      <c r="X2068" s="22" t="n">
        <v>41870</v>
      </c>
      <c r="Y2068" s="22" t="n">
        <v>41875</v>
      </c>
    </row>
    <row r="2069" customFormat="false" ht="14.25" hidden="false" customHeight="false" outlineLevel="0" collapsed="false">
      <c r="A2069" s="1" t="n">
        <v>2014</v>
      </c>
      <c r="B2069" s="1" t="n">
        <v>2</v>
      </c>
      <c r="C2069" s="2" t="s">
        <v>50</v>
      </c>
      <c r="D2069" s="3" t="s">
        <v>51</v>
      </c>
      <c r="E2069" s="3" t="n">
        <v>3</v>
      </c>
      <c r="F2069" s="1" t="n">
        <f aca="false">Y2069-X2069</f>
        <v>5</v>
      </c>
      <c r="G2069" s="1" t="n">
        <v>5</v>
      </c>
      <c r="H2069" s="3" t="s">
        <v>48</v>
      </c>
      <c r="I2069" s="3" t="s">
        <v>61</v>
      </c>
      <c r="J2069" s="3" t="s">
        <v>82</v>
      </c>
      <c r="K2069" s="2" t="str">
        <f aca="false">CONCATENATE(I2069," ",J2069)</f>
        <v>Trochosa terricola</v>
      </c>
      <c r="L2069" s="3" t="n">
        <f aca="false">SUM(P2069:U2069)</f>
        <v>2</v>
      </c>
      <c r="M2069" s="11" t="n">
        <f aca="false">(L2069/(F2069*G2069)*25)*4</f>
        <v>8</v>
      </c>
      <c r="N2069" s="1" t="s">
        <v>30</v>
      </c>
      <c r="O2069" s="1" t="s">
        <v>31</v>
      </c>
      <c r="P2069" s="3" t="n">
        <v>2</v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0</v>
      </c>
      <c r="V2069" s="3" t="n">
        <f aca="false">SUM(P2069:Q2069)</f>
        <v>2</v>
      </c>
      <c r="W2069" s="3" t="n">
        <f aca="false">SUM(R2069:T2069)</f>
        <v>0</v>
      </c>
      <c r="X2069" s="22" t="n">
        <v>41870</v>
      </c>
      <c r="Y2069" s="22" t="n">
        <v>41875</v>
      </c>
    </row>
    <row r="2070" customFormat="false" ht="14.25" hidden="false" customHeight="false" outlineLevel="0" collapsed="false">
      <c r="A2070" s="1" t="n">
        <v>2014</v>
      </c>
      <c r="B2070" s="1" t="n">
        <v>2</v>
      </c>
      <c r="C2070" s="2" t="s">
        <v>50</v>
      </c>
      <c r="D2070" s="3" t="s">
        <v>51</v>
      </c>
      <c r="E2070" s="3" t="n">
        <v>3</v>
      </c>
      <c r="F2070" s="1" t="n">
        <f aca="false">Y2070-X2070</f>
        <v>5</v>
      </c>
      <c r="G2070" s="1" t="n">
        <v>5</v>
      </c>
      <c r="H2070" s="3" t="s">
        <v>48</v>
      </c>
      <c r="I2070" s="3" t="s">
        <v>61</v>
      </c>
      <c r="J2070" s="3" t="s">
        <v>82</v>
      </c>
      <c r="K2070" s="2" t="str">
        <f aca="false">CONCATENATE(I2070," ",J2070)</f>
        <v>Trochosa terricola</v>
      </c>
      <c r="L2070" s="3" t="n">
        <f aca="false">SUM(P2070:U2070)</f>
        <v>1</v>
      </c>
      <c r="M2070" s="11" t="n">
        <f aca="false">(L2070/(F2070*G2070)*25)*4</f>
        <v>4</v>
      </c>
      <c r="N2070" s="1" t="s">
        <v>30</v>
      </c>
      <c r="O2070" s="1" t="s">
        <v>35</v>
      </c>
      <c r="P2070" s="3" t="n">
        <v>0</v>
      </c>
      <c r="Q2070" s="3" t="n">
        <v>1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f aca="false">SUM(P2070:Q2070)</f>
        <v>1</v>
      </c>
      <c r="W2070" s="3" t="n">
        <f aca="false">SUM(R2070:T2070)</f>
        <v>0</v>
      </c>
      <c r="X2070" s="22" t="n">
        <v>41870</v>
      </c>
      <c r="Y2070" s="22" t="n">
        <v>41875</v>
      </c>
    </row>
    <row r="2071" customFormat="false" ht="14.25" hidden="false" customHeight="false" outlineLevel="0" collapsed="false">
      <c r="A2071" s="1" t="n">
        <v>2014</v>
      </c>
      <c r="B2071" s="1" t="n">
        <v>2</v>
      </c>
      <c r="C2071" s="2" t="s">
        <v>50</v>
      </c>
      <c r="D2071" s="3" t="s">
        <v>51</v>
      </c>
      <c r="E2071" s="3" t="n">
        <v>3</v>
      </c>
      <c r="F2071" s="1" t="n">
        <f aca="false">Y2071-X2071</f>
        <v>5</v>
      </c>
      <c r="G2071" s="1" t="n">
        <v>5</v>
      </c>
      <c r="H2071" s="3" t="s">
        <v>48</v>
      </c>
      <c r="I2071" s="3" t="s">
        <v>67</v>
      </c>
      <c r="J2071" s="3" t="s">
        <v>127</v>
      </c>
      <c r="K2071" s="2" t="str">
        <f aca="false">CONCATENATE(I2071," ",J2071)</f>
        <v>Pardosa lugubris</v>
      </c>
      <c r="L2071" s="3" t="n">
        <f aca="false">SUM(P2071:U2071)</f>
        <v>1</v>
      </c>
      <c r="M2071" s="11" t="n">
        <f aca="false">(L2071/(F2071*G2071)*25)*4</f>
        <v>4</v>
      </c>
      <c r="N2071" s="1" t="s">
        <v>30</v>
      </c>
      <c r="O2071" s="1" t="s">
        <v>35</v>
      </c>
      <c r="P2071" s="3" t="n">
        <v>0</v>
      </c>
      <c r="Q2071" s="3" t="n">
        <v>1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f aca="false">SUM(P2071:Q2071)</f>
        <v>1</v>
      </c>
      <c r="W2071" s="3" t="n">
        <f aca="false">SUM(R2071:T2071)</f>
        <v>0</v>
      </c>
      <c r="X2071" s="22" t="n">
        <v>41870</v>
      </c>
      <c r="Y2071" s="22" t="n">
        <v>41875</v>
      </c>
    </row>
    <row r="2072" customFormat="false" ht="14.25" hidden="false" customHeight="false" outlineLevel="0" collapsed="false">
      <c r="A2072" s="1" t="n">
        <v>2014</v>
      </c>
      <c r="B2072" s="1" t="n">
        <v>2</v>
      </c>
      <c r="C2072" s="2" t="s">
        <v>50</v>
      </c>
      <c r="D2072" s="3" t="s">
        <v>51</v>
      </c>
      <c r="E2072" s="3" t="n">
        <v>3</v>
      </c>
      <c r="F2072" s="1" t="n">
        <f aca="false">Y2072-X2072</f>
        <v>5</v>
      </c>
      <c r="G2072" s="1" t="n">
        <v>5</v>
      </c>
      <c r="H2072" s="3" t="s">
        <v>48</v>
      </c>
      <c r="I2072" s="3" t="s">
        <v>57</v>
      </c>
      <c r="J2072" s="3" t="s">
        <v>38</v>
      </c>
      <c r="K2072" s="2" t="str">
        <f aca="false">CONCATENATE(I2072," ",J2072)</f>
        <v>Gen sp</v>
      </c>
      <c r="L2072" s="3" t="n">
        <f aca="false">SUM(P2072:U2072)</f>
        <v>5</v>
      </c>
      <c r="M2072" s="11" t="n">
        <f aca="false">(L2072/(F2072*G2072)*25)*4</f>
        <v>20</v>
      </c>
      <c r="N2072" s="1" t="s">
        <v>19</v>
      </c>
      <c r="O2072" s="1" t="s">
        <v>54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5</v>
      </c>
      <c r="U2072" s="3" t="n">
        <v>0</v>
      </c>
      <c r="V2072" s="3" t="n">
        <f aca="false">SUM(P2072:Q2072)</f>
        <v>0</v>
      </c>
      <c r="W2072" s="3" t="n">
        <f aca="false">SUM(R2072:T2072)</f>
        <v>5</v>
      </c>
      <c r="X2072" s="22" t="n">
        <v>41870</v>
      </c>
      <c r="Y2072" s="22" t="n">
        <v>41875</v>
      </c>
    </row>
    <row r="2073" customFormat="false" ht="14.25" hidden="false" customHeight="false" outlineLevel="0" collapsed="false">
      <c r="A2073" s="1" t="n">
        <v>2014</v>
      </c>
      <c r="B2073" s="1" t="n">
        <v>2</v>
      </c>
      <c r="C2073" s="2" t="s">
        <v>50</v>
      </c>
      <c r="D2073" s="3" t="s">
        <v>51</v>
      </c>
      <c r="E2073" s="3" t="n">
        <v>1</v>
      </c>
      <c r="F2073" s="1" t="n">
        <f aca="false">Y2073-X2073</f>
        <v>5</v>
      </c>
      <c r="G2073" s="1" t="n">
        <v>5</v>
      </c>
      <c r="H2073" s="3" t="s">
        <v>187</v>
      </c>
      <c r="I2073" s="3" t="s">
        <v>188</v>
      </c>
      <c r="J2073" s="3" t="s">
        <v>189</v>
      </c>
      <c r="K2073" s="2" t="str">
        <f aca="false">CONCATENATE(I2073," ",J2073)</f>
        <v>Ero furcata</v>
      </c>
      <c r="L2073" s="3" t="n">
        <f aca="false">SUM(P2073:U2073)</f>
        <v>1</v>
      </c>
      <c r="M2073" s="11" t="n">
        <f aca="false">(L2073/(F2073*G2073)*25)*4</f>
        <v>4</v>
      </c>
      <c r="N2073" s="1" t="s">
        <v>30</v>
      </c>
      <c r="O2073" s="1" t="s">
        <v>31</v>
      </c>
      <c r="P2073" s="3" t="n">
        <v>1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0</v>
      </c>
      <c r="V2073" s="3" t="n">
        <f aca="false">SUM(P2073:Q2073)</f>
        <v>1</v>
      </c>
      <c r="W2073" s="3" t="n">
        <f aca="false">SUM(R2073:T2073)</f>
        <v>0</v>
      </c>
      <c r="X2073" s="22" t="n">
        <v>41870</v>
      </c>
      <c r="Y2073" s="22" t="n">
        <v>41875</v>
      </c>
    </row>
    <row r="2074" customFormat="false" ht="14.25" hidden="false" customHeight="false" outlineLevel="0" collapsed="false">
      <c r="A2074" s="1" t="n">
        <v>2014</v>
      </c>
      <c r="B2074" s="1" t="n">
        <v>2</v>
      </c>
      <c r="C2074" s="2" t="s">
        <v>50</v>
      </c>
      <c r="D2074" s="3" t="s">
        <v>51</v>
      </c>
      <c r="E2074" s="3" t="n">
        <v>1</v>
      </c>
      <c r="F2074" s="1" t="n">
        <f aca="false">Y2074-X2074</f>
        <v>5</v>
      </c>
      <c r="G2074" s="1" t="n">
        <v>5</v>
      </c>
      <c r="H2074" s="3" t="s">
        <v>48</v>
      </c>
      <c r="I2074" s="3" t="s">
        <v>67</v>
      </c>
      <c r="J2074" s="3" t="s">
        <v>127</v>
      </c>
      <c r="K2074" s="2" t="str">
        <f aca="false">CONCATENATE(I2074," ",J2074)</f>
        <v>Pardosa lugubris</v>
      </c>
      <c r="L2074" s="3" t="n">
        <f aca="false">SUM(P2074:U2074)</f>
        <v>1</v>
      </c>
      <c r="M2074" s="11" t="n">
        <f aca="false">(L2074/(F2074*G2074)*25)*4</f>
        <v>4</v>
      </c>
      <c r="N2074" s="1" t="s">
        <v>30</v>
      </c>
      <c r="O2074" s="1" t="s">
        <v>35</v>
      </c>
      <c r="P2074" s="3" t="n">
        <v>0</v>
      </c>
      <c r="Q2074" s="3" t="n">
        <v>1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f aca="false">SUM(P2074:Q2074)</f>
        <v>1</v>
      </c>
      <c r="W2074" s="3" t="n">
        <f aca="false">SUM(R2074:T2074)</f>
        <v>0</v>
      </c>
      <c r="X2074" s="22" t="n">
        <v>41870</v>
      </c>
      <c r="Y2074" s="22" t="n">
        <v>41875</v>
      </c>
    </row>
    <row r="2075" customFormat="false" ht="14.25" hidden="false" customHeight="false" outlineLevel="0" collapsed="false">
      <c r="A2075" s="1" t="n">
        <v>2014</v>
      </c>
      <c r="B2075" s="1" t="n">
        <v>2</v>
      </c>
      <c r="C2075" s="2" t="s">
        <v>50</v>
      </c>
      <c r="D2075" s="3" t="s">
        <v>51</v>
      </c>
      <c r="E2075" s="3" t="n">
        <v>1</v>
      </c>
      <c r="F2075" s="1" t="n">
        <f aca="false">Y2075-X2075</f>
        <v>5</v>
      </c>
      <c r="G2075" s="1" t="n">
        <v>5</v>
      </c>
      <c r="H2075" s="3" t="s">
        <v>72</v>
      </c>
      <c r="I2075" s="3" t="s">
        <v>73</v>
      </c>
      <c r="J2075" s="3" t="s">
        <v>74</v>
      </c>
      <c r="K2075" s="2" t="str">
        <f aca="false">CONCATENATE(I2075," ",J2075)</f>
        <v>Zelotes subterraneus</v>
      </c>
      <c r="L2075" s="3" t="n">
        <f aca="false">SUM(P2075:U2075)</f>
        <v>1</v>
      </c>
      <c r="M2075" s="11" t="n">
        <f aca="false">(L2075/(F2075*G2075)*25)*4</f>
        <v>4</v>
      </c>
      <c r="N2075" s="1" t="s">
        <v>30</v>
      </c>
      <c r="O2075" s="1" t="s">
        <v>35</v>
      </c>
      <c r="P2075" s="3" t="n">
        <v>0</v>
      </c>
      <c r="Q2075" s="3" t="n">
        <v>1</v>
      </c>
      <c r="R2075" s="3" t="n">
        <v>0</v>
      </c>
      <c r="S2075" s="3" t="n">
        <v>0</v>
      </c>
      <c r="T2075" s="3" t="n">
        <v>0</v>
      </c>
      <c r="U2075" s="3" t="n">
        <v>0</v>
      </c>
      <c r="V2075" s="3" t="n">
        <f aca="false">SUM(P2075:Q2075)</f>
        <v>1</v>
      </c>
      <c r="W2075" s="3" t="n">
        <f aca="false">SUM(R2075:T2075)</f>
        <v>0</v>
      </c>
      <c r="X2075" s="22" t="n">
        <v>41870</v>
      </c>
      <c r="Y2075" s="22" t="n">
        <v>41875</v>
      </c>
    </row>
    <row r="2076" customFormat="false" ht="14.25" hidden="false" customHeight="false" outlineLevel="0" collapsed="false">
      <c r="A2076" s="1" t="n">
        <v>2014</v>
      </c>
      <c r="B2076" s="1" t="n">
        <v>2</v>
      </c>
      <c r="C2076" s="2" t="s">
        <v>50</v>
      </c>
      <c r="D2076" s="3" t="s">
        <v>51</v>
      </c>
      <c r="E2076" s="3" t="n">
        <v>3</v>
      </c>
      <c r="F2076" s="1" t="n">
        <f aca="false">Y2076-X2076</f>
        <v>5</v>
      </c>
      <c r="G2076" s="1" t="n">
        <v>5</v>
      </c>
      <c r="H2076" s="3" t="s">
        <v>48</v>
      </c>
      <c r="I2076" s="3" t="s">
        <v>61</v>
      </c>
      <c r="J2076" s="3" t="s">
        <v>82</v>
      </c>
      <c r="K2076" s="2" t="str">
        <f aca="false">CONCATENATE(I2076," ",J2076)</f>
        <v>Trochosa terricola</v>
      </c>
      <c r="L2076" s="3" t="n">
        <f aca="false">SUM(P2076:U2076)</f>
        <v>1</v>
      </c>
      <c r="M2076" s="11" t="n">
        <f aca="false">(L2076/(F2076*G2076)*25)*4</f>
        <v>4</v>
      </c>
      <c r="N2076" s="1" t="s">
        <v>30</v>
      </c>
      <c r="O2076" s="1" t="s">
        <v>31</v>
      </c>
      <c r="P2076" s="3" t="n">
        <v>1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f aca="false">SUM(P2076:Q2076)</f>
        <v>1</v>
      </c>
      <c r="W2076" s="3" t="n">
        <f aca="false">SUM(R2076:T2076)</f>
        <v>0</v>
      </c>
      <c r="X2076" s="22" t="n">
        <v>41870</v>
      </c>
      <c r="Y2076" s="22" t="n">
        <v>41875</v>
      </c>
    </row>
    <row r="2077" customFormat="false" ht="14.25" hidden="false" customHeight="false" outlineLevel="0" collapsed="false">
      <c r="A2077" s="1" t="n">
        <v>2014</v>
      </c>
      <c r="B2077" s="1" t="n">
        <v>2</v>
      </c>
      <c r="C2077" s="2" t="s">
        <v>50</v>
      </c>
      <c r="D2077" s="3" t="s">
        <v>51</v>
      </c>
      <c r="E2077" s="3" t="n">
        <v>3</v>
      </c>
      <c r="F2077" s="1" t="n">
        <f aca="false">Y2077-X2077</f>
        <v>5</v>
      </c>
      <c r="G2077" s="1" t="n">
        <v>5</v>
      </c>
      <c r="H2077" s="3" t="s">
        <v>48</v>
      </c>
      <c r="I2077" s="3" t="s">
        <v>61</v>
      </c>
      <c r="J2077" s="3" t="s">
        <v>82</v>
      </c>
      <c r="K2077" s="2" t="str">
        <f aca="false">CONCATENATE(I2077," ",J2077)</f>
        <v>Trochosa terricola</v>
      </c>
      <c r="L2077" s="3" t="n">
        <f aca="false">SUM(P2077:U2077)</f>
        <v>1</v>
      </c>
      <c r="M2077" s="11" t="n">
        <f aca="false">(L2077/(F2077*G2077)*25)*4</f>
        <v>4</v>
      </c>
      <c r="N2077" s="1" t="s">
        <v>30</v>
      </c>
      <c r="O2077" s="1" t="s">
        <v>35</v>
      </c>
      <c r="P2077" s="3" t="n">
        <v>0</v>
      </c>
      <c r="Q2077" s="3" t="n">
        <v>1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f aca="false">SUM(P2077:Q2077)</f>
        <v>1</v>
      </c>
      <c r="W2077" s="3" t="n">
        <f aca="false">SUM(R2077:T2077)</f>
        <v>0</v>
      </c>
      <c r="X2077" s="22" t="n">
        <v>41870</v>
      </c>
      <c r="Y2077" s="22" t="n">
        <v>41875</v>
      </c>
    </row>
    <row r="2078" customFormat="false" ht="14.25" hidden="false" customHeight="false" outlineLevel="0" collapsed="false">
      <c r="A2078" s="1" t="n">
        <v>2014</v>
      </c>
      <c r="B2078" s="1" t="n">
        <v>2</v>
      </c>
      <c r="C2078" s="2" t="s">
        <v>50</v>
      </c>
      <c r="D2078" s="3" t="s">
        <v>51</v>
      </c>
      <c r="E2078" s="3" t="n">
        <v>3</v>
      </c>
      <c r="F2078" s="1" t="n">
        <f aca="false">Y2078-X2078</f>
        <v>5</v>
      </c>
      <c r="G2078" s="1" t="n">
        <v>5</v>
      </c>
      <c r="H2078" s="3" t="s">
        <v>48</v>
      </c>
      <c r="I2078" s="3" t="s">
        <v>61</v>
      </c>
      <c r="J2078" s="3" t="s">
        <v>38</v>
      </c>
      <c r="K2078" s="2" t="str">
        <f aca="false">CONCATENATE(I2078," ",J2078)</f>
        <v>Trochosa sp</v>
      </c>
      <c r="L2078" s="3" t="n">
        <f aca="false">SUM(P2078:U2078)</f>
        <v>1</v>
      </c>
      <c r="M2078" s="11" t="n">
        <f aca="false">(L2078/(F2078*G2078)*25)*4</f>
        <v>4</v>
      </c>
      <c r="N2078" s="1" t="s">
        <v>19</v>
      </c>
      <c r="O2078" s="1" t="s">
        <v>35</v>
      </c>
      <c r="P2078" s="3" t="n">
        <v>0</v>
      </c>
      <c r="Q2078" s="3" t="n">
        <v>0</v>
      </c>
      <c r="R2078" s="3" t="n">
        <v>0</v>
      </c>
      <c r="S2078" s="3" t="n">
        <v>1</v>
      </c>
      <c r="T2078" s="3" t="n">
        <v>0</v>
      </c>
      <c r="U2078" s="3" t="n">
        <v>0</v>
      </c>
      <c r="V2078" s="3" t="n">
        <f aca="false">SUM(P2078:Q2078)</f>
        <v>0</v>
      </c>
      <c r="W2078" s="3" t="n">
        <f aca="false">SUM(R2078:T2078)</f>
        <v>1</v>
      </c>
      <c r="X2078" s="22" t="n">
        <v>41870</v>
      </c>
      <c r="Y2078" s="22" t="n">
        <v>41875</v>
      </c>
    </row>
    <row r="2079" customFormat="false" ht="14.25" hidden="false" customHeight="false" outlineLevel="0" collapsed="false">
      <c r="A2079" s="1" t="n">
        <v>2014</v>
      </c>
      <c r="B2079" s="1" t="n">
        <v>2</v>
      </c>
      <c r="C2079" s="2" t="s">
        <v>50</v>
      </c>
      <c r="D2079" s="3" t="s">
        <v>51</v>
      </c>
      <c r="E2079" s="3" t="n">
        <v>3</v>
      </c>
      <c r="F2079" s="1" t="n">
        <f aca="false">Y2079-X2079</f>
        <v>5</v>
      </c>
      <c r="G2079" s="1" t="n">
        <v>5</v>
      </c>
      <c r="H2079" s="3" t="s">
        <v>48</v>
      </c>
      <c r="I2079" s="3" t="s">
        <v>67</v>
      </c>
      <c r="J2079" s="3" t="s">
        <v>38</v>
      </c>
      <c r="K2079" s="2" t="str">
        <f aca="false">CONCATENATE(I2079," ",J2079)</f>
        <v>Pardosa sp</v>
      </c>
      <c r="L2079" s="3" t="n">
        <f aca="false">SUM(P2079:U2079)</f>
        <v>1</v>
      </c>
      <c r="M2079" s="11" t="n">
        <f aca="false">(L2079/(F2079*G2079)*25)*4</f>
        <v>4</v>
      </c>
      <c r="N2079" s="1" t="s">
        <v>19</v>
      </c>
      <c r="O2079" s="1" t="s">
        <v>31</v>
      </c>
      <c r="P2079" s="3" t="n">
        <v>0</v>
      </c>
      <c r="Q2079" s="3" t="n">
        <v>0</v>
      </c>
      <c r="R2079" s="3" t="n">
        <v>1</v>
      </c>
      <c r="S2079" s="3" t="n">
        <v>0</v>
      </c>
      <c r="T2079" s="3" t="n">
        <v>0</v>
      </c>
      <c r="U2079" s="3" t="n">
        <v>0</v>
      </c>
      <c r="V2079" s="3" t="n">
        <f aca="false">SUM(P2079:Q2079)</f>
        <v>0</v>
      </c>
      <c r="W2079" s="3" t="n">
        <f aca="false">SUM(R2079:T2079)</f>
        <v>1</v>
      </c>
      <c r="X2079" s="22" t="n">
        <v>41870</v>
      </c>
      <c r="Y2079" s="22" t="n">
        <v>41875</v>
      </c>
    </row>
    <row r="2080" customFormat="false" ht="14.25" hidden="false" customHeight="false" outlineLevel="0" collapsed="false">
      <c r="A2080" s="1" t="n">
        <v>2014</v>
      </c>
      <c r="B2080" s="1" t="n">
        <v>2</v>
      </c>
      <c r="C2080" s="2" t="s">
        <v>50</v>
      </c>
      <c r="D2080" s="3" t="s">
        <v>51</v>
      </c>
      <c r="E2080" s="3" t="n">
        <v>3</v>
      </c>
      <c r="F2080" s="1" t="n">
        <f aca="false">Y2080-X2080</f>
        <v>5</v>
      </c>
      <c r="G2080" s="1" t="n">
        <v>5</v>
      </c>
      <c r="H2080" s="3" t="s">
        <v>72</v>
      </c>
      <c r="I2080" s="3" t="s">
        <v>73</v>
      </c>
      <c r="J2080" s="3" t="s">
        <v>74</v>
      </c>
      <c r="K2080" s="2" t="str">
        <f aca="false">CONCATENATE(I2080," ",J2080)</f>
        <v>Zelotes subterraneus</v>
      </c>
      <c r="L2080" s="3" t="n">
        <f aca="false">SUM(P2080:U2080)</f>
        <v>1</v>
      </c>
      <c r="M2080" s="11" t="n">
        <f aca="false">(L2080/(F2080*G2080)*25)*4</f>
        <v>4</v>
      </c>
      <c r="N2080" s="1" t="s">
        <v>30</v>
      </c>
      <c r="O2080" s="1" t="s">
        <v>35</v>
      </c>
      <c r="P2080" s="3" t="n">
        <v>0</v>
      </c>
      <c r="Q2080" s="3" t="n">
        <v>1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f aca="false">SUM(P2080:Q2080)</f>
        <v>1</v>
      </c>
      <c r="W2080" s="3" t="n">
        <f aca="false">SUM(R2080:T2080)</f>
        <v>0</v>
      </c>
      <c r="X2080" s="22" t="n">
        <v>41870</v>
      </c>
      <c r="Y2080" s="22" t="n">
        <v>41875</v>
      </c>
    </row>
    <row r="2081" customFormat="false" ht="14.25" hidden="false" customHeight="false" outlineLevel="0" collapsed="false">
      <c r="A2081" s="1" t="n">
        <v>2014</v>
      </c>
      <c r="B2081" s="1" t="n">
        <v>2</v>
      </c>
      <c r="C2081" s="2" t="s">
        <v>50</v>
      </c>
      <c r="D2081" s="3" t="s">
        <v>51</v>
      </c>
      <c r="E2081" s="3" t="n">
        <v>3</v>
      </c>
      <c r="F2081" s="1" t="n">
        <f aca="false">Y2081-X2081</f>
        <v>5</v>
      </c>
      <c r="G2081" s="1" t="n">
        <v>5</v>
      </c>
      <c r="H2081" s="3" t="s">
        <v>72</v>
      </c>
      <c r="I2081" s="3" t="s">
        <v>86</v>
      </c>
      <c r="J2081" s="3" t="s">
        <v>38</v>
      </c>
      <c r="K2081" s="2" t="str">
        <f aca="false">CONCATENATE(I2081," ",J2081)</f>
        <v>Haplodrassus sp</v>
      </c>
      <c r="L2081" s="3" t="n">
        <f aca="false">SUM(P2081:U2081)</f>
        <v>1</v>
      </c>
      <c r="M2081" s="11" t="n">
        <f aca="false">(L2081/(F2081*G2081)*25)*4</f>
        <v>4</v>
      </c>
      <c r="N2081" s="1" t="s">
        <v>19</v>
      </c>
      <c r="O2081" s="1" t="s">
        <v>31</v>
      </c>
      <c r="P2081" s="3" t="n">
        <v>0</v>
      </c>
      <c r="Q2081" s="3" t="n">
        <v>0</v>
      </c>
      <c r="R2081" s="3" t="n">
        <v>1</v>
      </c>
      <c r="S2081" s="3" t="n">
        <v>0</v>
      </c>
      <c r="T2081" s="3" t="n">
        <v>0</v>
      </c>
      <c r="U2081" s="3" t="n">
        <v>0</v>
      </c>
      <c r="V2081" s="3" t="n">
        <f aca="false">SUM(P2081:Q2081)</f>
        <v>0</v>
      </c>
      <c r="W2081" s="3" t="n">
        <f aca="false">SUM(R2081:T2081)</f>
        <v>1</v>
      </c>
      <c r="X2081" s="22" t="n">
        <v>41870</v>
      </c>
      <c r="Y2081" s="22" t="n">
        <v>41875</v>
      </c>
    </row>
    <row r="2082" customFormat="false" ht="14.25" hidden="false" customHeight="false" outlineLevel="0" collapsed="false">
      <c r="A2082" s="1" t="n">
        <v>2014</v>
      </c>
      <c r="B2082" s="1" t="n">
        <v>2</v>
      </c>
      <c r="C2082" s="2" t="s">
        <v>50</v>
      </c>
      <c r="D2082" s="3" t="s">
        <v>51</v>
      </c>
      <c r="E2082" s="3" t="n">
        <v>3</v>
      </c>
      <c r="F2082" s="1" t="n">
        <f aca="false">Y2082-X2082</f>
        <v>5</v>
      </c>
      <c r="G2082" s="1" t="n">
        <v>5</v>
      </c>
      <c r="H2082" s="3" t="s">
        <v>32</v>
      </c>
      <c r="I2082" s="3" t="s">
        <v>62</v>
      </c>
      <c r="J2082" s="3" t="s">
        <v>63</v>
      </c>
      <c r="K2082" s="2" t="str">
        <f aca="false">CONCATENATE(I2082," ",J2082)</f>
        <v>Microneta viaria</v>
      </c>
      <c r="L2082" s="3" t="n">
        <f aca="false">SUM(P2082:U2082)</f>
        <v>1</v>
      </c>
      <c r="M2082" s="11" t="n">
        <f aca="false">(L2082/(F2082*G2082)*25)*4</f>
        <v>4</v>
      </c>
      <c r="N2082" s="1" t="s">
        <v>30</v>
      </c>
      <c r="O2082" s="1" t="s">
        <v>35</v>
      </c>
      <c r="P2082" s="3" t="n">
        <v>0</v>
      </c>
      <c r="Q2082" s="3" t="n">
        <v>1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f aca="false">SUM(P2082:Q2082)</f>
        <v>1</v>
      </c>
      <c r="W2082" s="3" t="n">
        <f aca="false">SUM(R2082:T2082)</f>
        <v>0</v>
      </c>
      <c r="X2082" s="22" t="n">
        <v>41870</v>
      </c>
      <c r="Y2082" s="22" t="n">
        <v>41875</v>
      </c>
    </row>
    <row r="2083" customFormat="false" ht="14.25" hidden="false" customHeight="false" outlineLevel="0" collapsed="false">
      <c r="A2083" s="1" t="n">
        <v>2014</v>
      </c>
      <c r="B2083" s="1" t="n">
        <v>2</v>
      </c>
      <c r="C2083" s="2" t="s">
        <v>50</v>
      </c>
      <c r="D2083" s="3" t="s">
        <v>51</v>
      </c>
      <c r="E2083" s="3" t="n">
        <v>2</v>
      </c>
      <c r="F2083" s="1" t="n">
        <f aca="false">Y2083-X2083</f>
        <v>5</v>
      </c>
      <c r="G2083" s="1" t="n">
        <v>5</v>
      </c>
      <c r="H2083" s="3" t="s">
        <v>36</v>
      </c>
      <c r="I2083" s="3" t="s">
        <v>37</v>
      </c>
      <c r="J2083" s="3" t="s">
        <v>75</v>
      </c>
      <c r="K2083" s="2" t="str">
        <f aca="false">CONCATENATE(I2083," ",J2083)</f>
        <v>Ozyptila praticola</v>
      </c>
      <c r="L2083" s="3" t="n">
        <f aca="false">SUM(P2083:U2083)</f>
        <v>3</v>
      </c>
      <c r="M2083" s="11" t="n">
        <f aca="false">(L2083/(F2083*G2083)*25)*4</f>
        <v>12</v>
      </c>
      <c r="N2083" s="1" t="s">
        <v>30</v>
      </c>
      <c r="O2083" s="1" t="s">
        <v>31</v>
      </c>
      <c r="P2083" s="3" t="n">
        <v>3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f aca="false">SUM(P2083:Q2083)</f>
        <v>3</v>
      </c>
      <c r="W2083" s="3" t="n">
        <f aca="false">SUM(R2083:T2083)</f>
        <v>0</v>
      </c>
      <c r="X2083" s="22" t="n">
        <v>41870</v>
      </c>
      <c r="Y2083" s="22" t="n">
        <v>41875</v>
      </c>
    </row>
    <row r="2084" customFormat="false" ht="14.25" hidden="false" customHeight="false" outlineLevel="0" collapsed="false">
      <c r="A2084" s="1" t="n">
        <v>2014</v>
      </c>
      <c r="B2084" s="1" t="n">
        <v>2</v>
      </c>
      <c r="C2084" s="2" t="s">
        <v>50</v>
      </c>
      <c r="D2084" s="3" t="s">
        <v>51</v>
      </c>
      <c r="E2084" s="3" t="n">
        <v>2</v>
      </c>
      <c r="F2084" s="1" t="n">
        <f aca="false">Y2084-X2084</f>
        <v>5</v>
      </c>
      <c r="G2084" s="1" t="n">
        <v>5</v>
      </c>
      <c r="H2084" s="3" t="s">
        <v>32</v>
      </c>
      <c r="I2084" s="3" t="s">
        <v>76</v>
      </c>
      <c r="J2084" s="3" t="s">
        <v>77</v>
      </c>
      <c r="K2084" s="2" t="str">
        <f aca="false">CONCATENATE(I2084," ",J2084)</f>
        <v>Bolyphantes alticeps</v>
      </c>
      <c r="L2084" s="3" t="n">
        <f aca="false">SUM(P2084:U2084)</f>
        <v>1</v>
      </c>
      <c r="M2084" s="11" t="n">
        <f aca="false">(L2084/(F2084*G2084)*25)*4</f>
        <v>4</v>
      </c>
      <c r="N2084" s="1" t="s">
        <v>30</v>
      </c>
      <c r="O2084" s="1" t="s">
        <v>35</v>
      </c>
      <c r="P2084" s="3" t="n">
        <v>0</v>
      </c>
      <c r="Q2084" s="3" t="n">
        <v>1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f aca="false">SUM(P2084:Q2084)</f>
        <v>1</v>
      </c>
      <c r="W2084" s="3" t="n">
        <f aca="false">SUM(R2084:T2084)</f>
        <v>0</v>
      </c>
      <c r="X2084" s="22" t="n">
        <v>41870</v>
      </c>
      <c r="Y2084" s="22" t="n">
        <v>41875</v>
      </c>
    </row>
    <row r="2085" customFormat="false" ht="14.25" hidden="false" customHeight="false" outlineLevel="0" collapsed="false">
      <c r="A2085" s="1" t="n">
        <v>2014</v>
      </c>
      <c r="B2085" s="1" t="n">
        <v>2</v>
      </c>
      <c r="C2085" s="2" t="s">
        <v>50</v>
      </c>
      <c r="D2085" s="3" t="s">
        <v>51</v>
      </c>
      <c r="E2085" s="3" t="n">
        <v>1</v>
      </c>
      <c r="F2085" s="1" t="n">
        <f aca="false">Y2085-X2085</f>
        <v>5</v>
      </c>
      <c r="G2085" s="1" t="n">
        <v>5</v>
      </c>
      <c r="H2085" s="3" t="s">
        <v>48</v>
      </c>
      <c r="I2085" s="3" t="s">
        <v>61</v>
      </c>
      <c r="J2085" s="3" t="s">
        <v>82</v>
      </c>
      <c r="K2085" s="2" t="str">
        <f aca="false">CONCATENATE(I2085," ",J2085)</f>
        <v>Trochosa terricola</v>
      </c>
      <c r="L2085" s="3" t="n">
        <f aca="false">SUM(P2085:U2085)</f>
        <v>1</v>
      </c>
      <c r="M2085" s="11" t="n">
        <f aca="false">(L2085/(F2085*G2085)*25)*4</f>
        <v>4</v>
      </c>
      <c r="N2085" s="1" t="s">
        <v>30</v>
      </c>
      <c r="O2085" s="1" t="s">
        <v>31</v>
      </c>
      <c r="P2085" s="3" t="n">
        <v>1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f aca="false">SUM(P2085:Q2085)</f>
        <v>1</v>
      </c>
      <c r="W2085" s="3" t="n">
        <f aca="false">SUM(R2085:T2085)</f>
        <v>0</v>
      </c>
      <c r="X2085" s="22" t="n">
        <v>41870</v>
      </c>
      <c r="Y2085" s="22" t="n">
        <v>41875</v>
      </c>
    </row>
    <row r="2086" customFormat="false" ht="14.25" hidden="false" customHeight="false" outlineLevel="0" collapsed="false">
      <c r="A2086" s="1" t="n">
        <v>2014</v>
      </c>
      <c r="B2086" s="1" t="n">
        <v>2</v>
      </c>
      <c r="C2086" s="2" t="s">
        <v>50</v>
      </c>
      <c r="D2086" s="3" t="s">
        <v>51</v>
      </c>
      <c r="E2086" s="3" t="n">
        <v>1</v>
      </c>
      <c r="F2086" s="1" t="n">
        <f aca="false">Y2086-X2086</f>
        <v>5</v>
      </c>
      <c r="G2086" s="1" t="n">
        <v>5</v>
      </c>
      <c r="H2086" s="3" t="s">
        <v>72</v>
      </c>
      <c r="I2086" s="3" t="s">
        <v>73</v>
      </c>
      <c r="J2086" s="3" t="s">
        <v>74</v>
      </c>
      <c r="K2086" s="2" t="str">
        <f aca="false">CONCATENATE(I2086," ",J2086)</f>
        <v>Zelotes subterraneus</v>
      </c>
      <c r="L2086" s="3" t="n">
        <f aca="false">SUM(P2086:U2086)</f>
        <v>2</v>
      </c>
      <c r="M2086" s="11" t="n">
        <f aca="false">(L2086/(F2086*G2086)*25)*4</f>
        <v>8</v>
      </c>
      <c r="N2086" s="1" t="s">
        <v>30</v>
      </c>
      <c r="O2086" s="1" t="s">
        <v>35</v>
      </c>
      <c r="P2086" s="3" t="n">
        <v>0</v>
      </c>
      <c r="Q2086" s="3" t="n">
        <v>2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f aca="false">SUM(P2086:Q2086)</f>
        <v>2</v>
      </c>
      <c r="W2086" s="3" t="n">
        <f aca="false">SUM(R2086:T2086)</f>
        <v>0</v>
      </c>
      <c r="X2086" s="22" t="n">
        <v>41870</v>
      </c>
      <c r="Y2086" s="22" t="n">
        <v>41875</v>
      </c>
    </row>
    <row r="2087" customFormat="false" ht="14.25" hidden="false" customHeight="false" outlineLevel="0" collapsed="false">
      <c r="A2087" s="1" t="n">
        <v>2014</v>
      </c>
      <c r="B2087" s="1" t="n">
        <v>2</v>
      </c>
      <c r="C2087" s="2" t="s">
        <v>50</v>
      </c>
      <c r="D2087" s="3" t="s">
        <v>51</v>
      </c>
      <c r="E2087" s="3" t="n">
        <v>1</v>
      </c>
      <c r="F2087" s="1" t="n">
        <f aca="false">Y2087-X2087</f>
        <v>5</v>
      </c>
      <c r="G2087" s="1" t="n">
        <v>5</v>
      </c>
      <c r="H2087" s="3" t="s">
        <v>36</v>
      </c>
      <c r="I2087" s="3" t="s">
        <v>37</v>
      </c>
      <c r="J2087" s="3" t="s">
        <v>75</v>
      </c>
      <c r="K2087" s="2" t="str">
        <f aca="false">CONCATENATE(I2087," ",J2087)</f>
        <v>Ozyptila praticola</v>
      </c>
      <c r="L2087" s="3" t="n">
        <f aca="false">SUM(P2087:U2087)</f>
        <v>3</v>
      </c>
      <c r="M2087" s="11" t="n">
        <f aca="false">(L2087/(F2087*G2087)*25)*4</f>
        <v>12</v>
      </c>
      <c r="N2087" s="1" t="s">
        <v>30</v>
      </c>
      <c r="O2087" s="1" t="s">
        <v>31</v>
      </c>
      <c r="P2087" s="3" t="n">
        <v>3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f aca="false">SUM(P2087:Q2087)</f>
        <v>3</v>
      </c>
      <c r="W2087" s="3" t="n">
        <f aca="false">SUM(R2087:T2087)</f>
        <v>0</v>
      </c>
      <c r="X2087" s="22" t="n">
        <v>41870</v>
      </c>
      <c r="Y2087" s="22" t="n">
        <v>41875</v>
      </c>
    </row>
    <row r="2088" customFormat="false" ht="14.25" hidden="false" customHeight="false" outlineLevel="0" collapsed="false">
      <c r="A2088" s="1" t="n">
        <v>2014</v>
      </c>
      <c r="B2088" s="1" t="n">
        <v>2</v>
      </c>
      <c r="C2088" s="2" t="s">
        <v>50</v>
      </c>
      <c r="D2088" s="3" t="s">
        <v>51</v>
      </c>
      <c r="E2088" s="3" t="n">
        <v>3</v>
      </c>
      <c r="F2088" s="1" t="n">
        <f aca="false">Y2088-X2088</f>
        <v>5</v>
      </c>
      <c r="G2088" s="1" t="n">
        <v>5</v>
      </c>
      <c r="H2088" s="3" t="s">
        <v>72</v>
      </c>
      <c r="I2088" s="3" t="s">
        <v>73</v>
      </c>
      <c r="J2088" s="3" t="s">
        <v>38</v>
      </c>
      <c r="K2088" s="2" t="str">
        <f aca="false">CONCATENATE(I2088," ",J2088)</f>
        <v>Zelotes sp</v>
      </c>
      <c r="L2088" s="3" t="n">
        <f aca="false">SUM(P2088:U2088)</f>
        <v>1</v>
      </c>
      <c r="M2088" s="11" t="n">
        <f aca="false">(L2088/(F2088*G2088)*25)*4</f>
        <v>4</v>
      </c>
      <c r="N2088" s="1" t="s">
        <v>19</v>
      </c>
      <c r="O2088" s="1" t="s">
        <v>35</v>
      </c>
      <c r="P2088" s="3" t="n">
        <v>0</v>
      </c>
      <c r="Q2088" s="3" t="n">
        <v>0</v>
      </c>
      <c r="R2088" s="3" t="n">
        <v>0</v>
      </c>
      <c r="S2088" s="3" t="n">
        <v>1</v>
      </c>
      <c r="T2088" s="3" t="n">
        <v>0</v>
      </c>
      <c r="U2088" s="3" t="n">
        <v>0</v>
      </c>
      <c r="V2088" s="3" t="n">
        <f aca="false">SUM(P2088:Q2088)</f>
        <v>0</v>
      </c>
      <c r="W2088" s="3" t="n">
        <f aca="false">SUM(R2088:T2088)</f>
        <v>1</v>
      </c>
      <c r="X2088" s="22" t="n">
        <v>41870</v>
      </c>
      <c r="Y2088" s="22" t="n">
        <v>41875</v>
      </c>
    </row>
    <row r="2089" customFormat="false" ht="14.25" hidden="false" customHeight="false" outlineLevel="0" collapsed="false">
      <c r="A2089" s="1" t="n">
        <v>2014</v>
      </c>
      <c r="B2089" s="1" t="n">
        <v>2</v>
      </c>
      <c r="C2089" s="2" t="s">
        <v>50</v>
      </c>
      <c r="D2089" s="3" t="s">
        <v>51</v>
      </c>
      <c r="E2089" s="3" t="n">
        <v>3</v>
      </c>
      <c r="F2089" s="1" t="n">
        <f aca="false">Y2089-X2089</f>
        <v>5</v>
      </c>
      <c r="G2089" s="1" t="n">
        <v>5</v>
      </c>
      <c r="H2089" s="3" t="s">
        <v>72</v>
      </c>
      <c r="I2089" s="3" t="s">
        <v>86</v>
      </c>
      <c r="J2089" s="3" t="s">
        <v>38</v>
      </c>
      <c r="K2089" s="2" t="str">
        <f aca="false">CONCATENATE(I2089," ",J2089)</f>
        <v>Haplodrassus sp</v>
      </c>
      <c r="L2089" s="3" t="n">
        <f aca="false">SUM(P2089:U2089)</f>
        <v>2</v>
      </c>
      <c r="M2089" s="11" t="n">
        <f aca="false">(L2089/(F2089*G2089)*25)*4</f>
        <v>8</v>
      </c>
      <c r="N2089" s="1" t="s">
        <v>19</v>
      </c>
      <c r="O2089" s="1" t="s">
        <v>31</v>
      </c>
      <c r="P2089" s="3" t="n">
        <v>0</v>
      </c>
      <c r="Q2089" s="3" t="n">
        <v>0</v>
      </c>
      <c r="R2089" s="3" t="n">
        <v>2</v>
      </c>
      <c r="S2089" s="3" t="n">
        <v>0</v>
      </c>
      <c r="T2089" s="3" t="n">
        <v>0</v>
      </c>
      <c r="U2089" s="3" t="n">
        <v>0</v>
      </c>
      <c r="V2089" s="3" t="n">
        <f aca="false">SUM(P2089:Q2089)</f>
        <v>0</v>
      </c>
      <c r="W2089" s="3" t="n">
        <f aca="false">SUM(R2089:T2089)</f>
        <v>2</v>
      </c>
      <c r="X2089" s="22" t="n">
        <v>41870</v>
      </c>
      <c r="Y2089" s="22" t="n">
        <v>41875</v>
      </c>
    </row>
    <row r="2090" customFormat="false" ht="14.25" hidden="false" customHeight="false" outlineLevel="0" collapsed="false">
      <c r="A2090" s="1" t="n">
        <v>2014</v>
      </c>
      <c r="B2090" s="1" t="n">
        <v>2</v>
      </c>
      <c r="C2090" s="2" t="s">
        <v>50</v>
      </c>
      <c r="D2090" s="3" t="s">
        <v>51</v>
      </c>
      <c r="E2090" s="3" t="n">
        <v>3</v>
      </c>
      <c r="F2090" s="1" t="n">
        <f aca="false">Y2090-X2090</f>
        <v>5</v>
      </c>
      <c r="G2090" s="1" t="n">
        <v>5</v>
      </c>
      <c r="H2090" s="3" t="s">
        <v>72</v>
      </c>
      <c r="I2090" s="3" t="s">
        <v>73</v>
      </c>
      <c r="J2090" s="3" t="s">
        <v>38</v>
      </c>
      <c r="K2090" s="2" t="str">
        <f aca="false">CONCATENATE(I2090," ",J2090)</f>
        <v>Zelotes sp</v>
      </c>
      <c r="L2090" s="3" t="n">
        <f aca="false">SUM(P2090:U2090)</f>
        <v>1</v>
      </c>
      <c r="M2090" s="11" t="n">
        <f aca="false">(L2090/(F2090*G2090)*25)*4</f>
        <v>4</v>
      </c>
      <c r="N2090" s="1" t="s">
        <v>19</v>
      </c>
      <c r="O2090" s="1" t="s">
        <v>54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1</v>
      </c>
      <c r="U2090" s="3" t="n">
        <v>0</v>
      </c>
      <c r="V2090" s="3" t="n">
        <f aca="false">SUM(P2090:Q2090)</f>
        <v>0</v>
      </c>
      <c r="W2090" s="3" t="n">
        <f aca="false">SUM(R2090:T2090)</f>
        <v>1</v>
      </c>
      <c r="X2090" s="22" t="n">
        <v>41870</v>
      </c>
      <c r="Y2090" s="22" t="n">
        <v>41875</v>
      </c>
    </row>
    <row r="2091" customFormat="false" ht="14.25" hidden="false" customHeight="false" outlineLevel="0" collapsed="false">
      <c r="A2091" s="1" t="n">
        <v>2014</v>
      </c>
      <c r="B2091" s="1" t="n">
        <v>2</v>
      </c>
      <c r="C2091" s="2" t="s">
        <v>50</v>
      </c>
      <c r="D2091" s="3" t="s">
        <v>51</v>
      </c>
      <c r="E2091" s="3" t="n">
        <v>3</v>
      </c>
      <c r="F2091" s="1" t="n">
        <f aca="false">Y2091-X2091</f>
        <v>5</v>
      </c>
      <c r="G2091" s="1" t="n">
        <v>5</v>
      </c>
      <c r="H2091" s="3" t="s">
        <v>48</v>
      </c>
      <c r="I2091" s="3" t="s">
        <v>67</v>
      </c>
      <c r="J2091" s="3" t="s">
        <v>38</v>
      </c>
      <c r="K2091" s="2" t="str">
        <f aca="false">CONCATENATE(I2091," ",J2091)</f>
        <v>Pardosa sp</v>
      </c>
      <c r="L2091" s="3" t="n">
        <f aca="false">SUM(P2091:U2091)</f>
        <v>1</v>
      </c>
      <c r="M2091" s="11" t="n">
        <f aca="false">(L2091/(F2091*G2091)*25)*4</f>
        <v>4</v>
      </c>
      <c r="N2091" s="1" t="s">
        <v>19</v>
      </c>
      <c r="O2091" s="1" t="s">
        <v>31</v>
      </c>
      <c r="P2091" s="3" t="n">
        <v>0</v>
      </c>
      <c r="Q2091" s="3" t="n">
        <v>0</v>
      </c>
      <c r="R2091" s="3" t="n">
        <v>1</v>
      </c>
      <c r="S2091" s="3" t="n">
        <v>0</v>
      </c>
      <c r="T2091" s="3" t="n">
        <v>0</v>
      </c>
      <c r="U2091" s="3" t="n">
        <v>0</v>
      </c>
      <c r="V2091" s="3" t="n">
        <f aca="false">SUM(P2091:Q2091)</f>
        <v>0</v>
      </c>
      <c r="W2091" s="3" t="n">
        <f aca="false">SUM(R2091:T2091)</f>
        <v>1</v>
      </c>
      <c r="X2091" s="22" t="n">
        <v>41870</v>
      </c>
      <c r="Y2091" s="22" t="n">
        <v>41875</v>
      </c>
    </row>
    <row r="2092" customFormat="false" ht="14.25" hidden="false" customHeight="false" outlineLevel="0" collapsed="false">
      <c r="A2092" s="1" t="n">
        <v>2014</v>
      </c>
      <c r="B2092" s="1" t="n">
        <v>2</v>
      </c>
      <c r="C2092" s="2" t="s">
        <v>50</v>
      </c>
      <c r="D2092" s="3" t="s">
        <v>51</v>
      </c>
      <c r="E2092" s="3" t="n">
        <v>3</v>
      </c>
      <c r="F2092" s="1" t="n">
        <f aca="false">Y2092-X2092</f>
        <v>5</v>
      </c>
      <c r="G2092" s="1" t="n">
        <v>5</v>
      </c>
      <c r="H2092" s="3" t="s">
        <v>138</v>
      </c>
      <c r="I2092" s="3" t="s">
        <v>205</v>
      </c>
      <c r="J2092" s="3" t="s">
        <v>206</v>
      </c>
      <c r="K2092" s="2" t="str">
        <f aca="false">CONCATENATE(I2092," ",J2092)</f>
        <v>Clubiona caerulescens</v>
      </c>
      <c r="L2092" s="3" t="n">
        <f aca="false">SUM(P2092:U2092)</f>
        <v>1</v>
      </c>
      <c r="M2092" s="11" t="n">
        <f aca="false">(L2092/(F2092*G2092)*25)*4</f>
        <v>4</v>
      </c>
      <c r="N2092" s="1" t="s">
        <v>30</v>
      </c>
      <c r="O2092" s="1" t="s">
        <v>35</v>
      </c>
      <c r="P2092" s="3" t="n">
        <v>0</v>
      </c>
      <c r="Q2092" s="3" t="n">
        <v>1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f aca="false">SUM(P2092:Q2092)</f>
        <v>1</v>
      </c>
      <c r="W2092" s="3" t="n">
        <f aca="false">SUM(R2092:T2092)</f>
        <v>0</v>
      </c>
      <c r="X2092" s="22" t="n">
        <v>41870</v>
      </c>
      <c r="Y2092" s="22" t="n">
        <v>41875</v>
      </c>
    </row>
    <row r="2093" customFormat="false" ht="14.25" hidden="false" customHeight="false" outlineLevel="0" collapsed="false">
      <c r="A2093" s="1" t="n">
        <v>2014</v>
      </c>
      <c r="B2093" s="1" t="n">
        <v>2</v>
      </c>
      <c r="C2093" s="2" t="s">
        <v>50</v>
      </c>
      <c r="D2093" s="3" t="s">
        <v>51</v>
      </c>
      <c r="E2093" s="3" t="n">
        <v>2</v>
      </c>
      <c r="F2093" s="1" t="n">
        <f aca="false">Y2093-X2093</f>
        <v>5</v>
      </c>
      <c r="G2093" s="1" t="n">
        <v>5</v>
      </c>
      <c r="H2093" s="3" t="s">
        <v>41</v>
      </c>
      <c r="I2093" s="3" t="s">
        <v>42</v>
      </c>
      <c r="J2093" s="3" t="s">
        <v>43</v>
      </c>
      <c r="K2093" s="2" t="str">
        <f aca="false">CONCATENATE(I2093," ",J2093)</f>
        <v>Agroeca proxima</v>
      </c>
      <c r="L2093" s="3" t="n">
        <f aca="false">SUM(P2093:U2093)</f>
        <v>1</v>
      </c>
      <c r="M2093" s="11" t="n">
        <f aca="false">(L2093/(F2093*G2093)*25)*4</f>
        <v>4</v>
      </c>
      <c r="N2093" s="1" t="s">
        <v>30</v>
      </c>
      <c r="O2093" s="1" t="s">
        <v>31</v>
      </c>
      <c r="P2093" s="3" t="n">
        <v>1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0</v>
      </c>
      <c r="V2093" s="3" t="n">
        <f aca="false">SUM(P2093:Q2093)</f>
        <v>1</v>
      </c>
      <c r="W2093" s="3" t="n">
        <f aca="false">SUM(R2093:T2093)</f>
        <v>0</v>
      </c>
      <c r="X2093" s="22" t="n">
        <v>41870</v>
      </c>
      <c r="Y2093" s="22" t="n">
        <v>41875</v>
      </c>
    </row>
    <row r="2094" customFormat="false" ht="14.25" hidden="false" customHeight="false" outlineLevel="0" collapsed="false">
      <c r="A2094" s="1" t="n">
        <v>2014</v>
      </c>
      <c r="B2094" s="1" t="n">
        <v>2</v>
      </c>
      <c r="C2094" s="2" t="s">
        <v>50</v>
      </c>
      <c r="D2094" s="3" t="s">
        <v>51</v>
      </c>
      <c r="E2094" s="3" t="n">
        <v>2</v>
      </c>
      <c r="F2094" s="1" t="n">
        <f aca="false">Y2094-X2094</f>
        <v>5</v>
      </c>
      <c r="G2094" s="1" t="n">
        <v>5</v>
      </c>
      <c r="H2094" s="3" t="s">
        <v>32</v>
      </c>
      <c r="I2094" s="3" t="s">
        <v>33</v>
      </c>
      <c r="J2094" s="3" t="s">
        <v>81</v>
      </c>
      <c r="K2094" s="2" t="str">
        <f aca="false">CONCATENATE(I2094," ",J2094)</f>
        <v>Tenuiphantes mengei</v>
      </c>
      <c r="L2094" s="3" t="n">
        <f aca="false">SUM(P2094:U2094)</f>
        <v>1</v>
      </c>
      <c r="M2094" s="11" t="n">
        <f aca="false">(L2094/(F2094*G2094)*25)*4</f>
        <v>4</v>
      </c>
      <c r="N2094" s="1" t="s">
        <v>30</v>
      </c>
      <c r="O2094" s="1" t="s">
        <v>35</v>
      </c>
      <c r="P2094" s="3" t="n">
        <v>0</v>
      </c>
      <c r="Q2094" s="3" t="n">
        <v>1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f aca="false">SUM(P2094:Q2094)</f>
        <v>1</v>
      </c>
      <c r="W2094" s="3" t="n">
        <f aca="false">SUM(R2094:T2094)</f>
        <v>0</v>
      </c>
      <c r="X2094" s="22" t="n">
        <v>41870</v>
      </c>
      <c r="Y2094" s="22" t="n">
        <v>41875</v>
      </c>
    </row>
    <row r="2095" customFormat="false" ht="14.25" hidden="false" customHeight="false" outlineLevel="0" collapsed="false">
      <c r="A2095" s="1" t="n">
        <v>2014</v>
      </c>
      <c r="B2095" s="1" t="n">
        <v>2</v>
      </c>
      <c r="C2095" s="2" t="s">
        <v>50</v>
      </c>
      <c r="D2095" s="3" t="s">
        <v>51</v>
      </c>
      <c r="E2095" s="3" t="n">
        <v>2</v>
      </c>
      <c r="F2095" s="1" t="n">
        <f aca="false">Y2095-X2095</f>
        <v>5</v>
      </c>
      <c r="G2095" s="1" t="n">
        <v>5</v>
      </c>
      <c r="H2095" s="3" t="s">
        <v>32</v>
      </c>
      <c r="I2095" s="3" t="s">
        <v>57</v>
      </c>
      <c r="J2095" s="3" t="s">
        <v>38</v>
      </c>
      <c r="K2095" s="2" t="str">
        <f aca="false">CONCATENATE(I2095," ",J2095)</f>
        <v>Gen sp</v>
      </c>
      <c r="L2095" s="3" t="n">
        <f aca="false">SUM(P2095:U2095)</f>
        <v>1</v>
      </c>
      <c r="M2095" s="11" t="n">
        <f aca="false">(L2095/(F2095*G2095)*25)*4</f>
        <v>4</v>
      </c>
      <c r="N2095" s="1" t="s">
        <v>19</v>
      </c>
      <c r="O2095" s="1" t="s">
        <v>54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1</v>
      </c>
      <c r="U2095" s="3" t="n">
        <v>0</v>
      </c>
      <c r="V2095" s="3" t="n">
        <f aca="false">SUM(P2095:Q2095)</f>
        <v>0</v>
      </c>
      <c r="W2095" s="3" t="n">
        <f aca="false">SUM(R2095:T2095)</f>
        <v>1</v>
      </c>
      <c r="X2095" s="22" t="n">
        <v>41870</v>
      </c>
      <c r="Y2095" s="22" t="n">
        <v>41875</v>
      </c>
    </row>
    <row r="2096" customFormat="false" ht="14.25" hidden="false" customHeight="false" outlineLevel="0" collapsed="false">
      <c r="A2096" s="1" t="n">
        <v>2014</v>
      </c>
      <c r="B2096" s="1" t="n">
        <v>2</v>
      </c>
      <c r="C2096" s="2" t="s">
        <v>50</v>
      </c>
      <c r="D2096" s="3" t="s">
        <v>51</v>
      </c>
      <c r="E2096" s="3" t="n">
        <v>2</v>
      </c>
      <c r="F2096" s="1" t="n">
        <f aca="false">Y2096-X2096</f>
        <v>5</v>
      </c>
      <c r="G2096" s="1" t="n">
        <v>5</v>
      </c>
      <c r="H2096" s="3" t="s">
        <v>48</v>
      </c>
      <c r="I2096" s="3" t="s">
        <v>67</v>
      </c>
      <c r="J2096" s="3" t="s">
        <v>127</v>
      </c>
      <c r="K2096" s="2" t="str">
        <f aca="false">CONCATENATE(I2096," ",J2096)</f>
        <v>Pardosa lugubris</v>
      </c>
      <c r="L2096" s="3" t="n">
        <f aca="false">SUM(P2096:U2096)</f>
        <v>1</v>
      </c>
      <c r="M2096" s="11" t="n">
        <f aca="false">(L2096/(F2096*G2096)*25)*4</f>
        <v>4</v>
      </c>
      <c r="N2096" s="1" t="s">
        <v>30</v>
      </c>
      <c r="O2096" s="1" t="s">
        <v>35</v>
      </c>
      <c r="P2096" s="3" t="n">
        <v>0</v>
      </c>
      <c r="Q2096" s="3" t="n">
        <v>1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f aca="false">SUM(P2096:Q2096)</f>
        <v>1</v>
      </c>
      <c r="W2096" s="3" t="n">
        <f aca="false">SUM(R2096:T2096)</f>
        <v>0</v>
      </c>
      <c r="X2096" s="22" t="n">
        <v>41870</v>
      </c>
      <c r="Y2096" s="22" t="n">
        <v>41875</v>
      </c>
    </row>
    <row r="2097" customFormat="false" ht="14.25" hidden="false" customHeight="false" outlineLevel="0" collapsed="false">
      <c r="A2097" s="1" t="n">
        <v>2014</v>
      </c>
      <c r="B2097" s="1" t="n">
        <v>2</v>
      </c>
      <c r="C2097" s="2" t="s">
        <v>50</v>
      </c>
      <c r="D2097" s="3" t="s">
        <v>51</v>
      </c>
      <c r="E2097" s="3" t="n">
        <v>3</v>
      </c>
      <c r="F2097" s="1" t="n">
        <f aca="false">Y2097-X2097</f>
        <v>5</v>
      </c>
      <c r="G2097" s="1" t="n">
        <v>5</v>
      </c>
      <c r="H2097" s="3" t="s">
        <v>48</v>
      </c>
      <c r="I2097" s="3" t="s">
        <v>49</v>
      </c>
      <c r="J2097" s="3" t="s">
        <v>38</v>
      </c>
      <c r="K2097" s="2" t="str">
        <f aca="false">CONCATENATE(I2097," ",J2097)</f>
        <v>Alopecosa sp</v>
      </c>
      <c r="L2097" s="3" t="n">
        <f aca="false">SUM(P2097:U2097)</f>
        <v>1</v>
      </c>
      <c r="M2097" s="11" t="n">
        <f aca="false">(L2097/(F2097*G2097)*25)*4</f>
        <v>4</v>
      </c>
      <c r="N2097" s="1" t="s">
        <v>19</v>
      </c>
      <c r="O2097" s="1" t="s">
        <v>31</v>
      </c>
      <c r="P2097" s="3" t="n">
        <v>0</v>
      </c>
      <c r="Q2097" s="3" t="n">
        <v>0</v>
      </c>
      <c r="R2097" s="3" t="n">
        <v>1</v>
      </c>
      <c r="S2097" s="3" t="n">
        <v>0</v>
      </c>
      <c r="T2097" s="3" t="n">
        <v>0</v>
      </c>
      <c r="U2097" s="3" t="n">
        <v>0</v>
      </c>
      <c r="V2097" s="3" t="n">
        <f aca="false">SUM(P2097:Q2097)</f>
        <v>0</v>
      </c>
      <c r="W2097" s="3" t="n">
        <f aca="false">SUM(R2097:T2097)</f>
        <v>1</v>
      </c>
      <c r="X2097" s="22" t="n">
        <v>41870</v>
      </c>
      <c r="Y2097" s="22" t="n">
        <v>41875</v>
      </c>
    </row>
    <row r="2098" customFormat="false" ht="14.25" hidden="false" customHeight="false" outlineLevel="0" collapsed="false">
      <c r="A2098" s="1" t="n">
        <v>2014</v>
      </c>
      <c r="B2098" s="1" t="n">
        <v>2</v>
      </c>
      <c r="C2098" s="2" t="s">
        <v>50</v>
      </c>
      <c r="D2098" s="3" t="s">
        <v>51</v>
      </c>
      <c r="E2098" s="3" t="n">
        <v>3</v>
      </c>
      <c r="F2098" s="1" t="n">
        <f aca="false">Y2098-X2098</f>
        <v>5</v>
      </c>
      <c r="G2098" s="1" t="n">
        <v>5</v>
      </c>
      <c r="H2098" s="3" t="s">
        <v>48</v>
      </c>
      <c r="I2098" s="3" t="s">
        <v>49</v>
      </c>
      <c r="J2098" s="3" t="s">
        <v>38</v>
      </c>
      <c r="K2098" s="2" t="str">
        <f aca="false">CONCATENATE(I2098," ",J2098)</f>
        <v>Alopecosa sp</v>
      </c>
      <c r="L2098" s="3" t="n">
        <f aca="false">SUM(P2098:U2098)</f>
        <v>2</v>
      </c>
      <c r="M2098" s="11" t="n">
        <f aca="false">(L2098/(F2098*G2098)*25)*4</f>
        <v>8</v>
      </c>
      <c r="N2098" s="1" t="s">
        <v>19</v>
      </c>
      <c r="O2098" s="1" t="s">
        <v>54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2</v>
      </c>
      <c r="U2098" s="3" t="n">
        <v>0</v>
      </c>
      <c r="V2098" s="3" t="n">
        <f aca="false">SUM(P2098:Q2098)</f>
        <v>0</v>
      </c>
      <c r="W2098" s="3" t="n">
        <f aca="false">SUM(R2098:T2098)</f>
        <v>2</v>
      </c>
      <c r="X2098" s="22" t="n">
        <v>41870</v>
      </c>
      <c r="Y2098" s="22" t="n">
        <v>41875</v>
      </c>
    </row>
    <row r="2099" customFormat="false" ht="14.25" hidden="false" customHeight="false" outlineLevel="0" collapsed="false">
      <c r="A2099" s="1" t="n">
        <v>2014</v>
      </c>
      <c r="B2099" s="1" t="n">
        <v>1</v>
      </c>
      <c r="C2099" s="2" t="s">
        <v>44</v>
      </c>
      <c r="D2099" s="3" t="s">
        <v>45</v>
      </c>
      <c r="E2099" s="3" t="n">
        <v>2</v>
      </c>
      <c r="F2099" s="1" t="n">
        <f aca="false">Y2099-X2099</f>
        <v>5</v>
      </c>
      <c r="G2099" s="1" t="n">
        <v>5</v>
      </c>
      <c r="H2099" s="3" t="s">
        <v>226</v>
      </c>
      <c r="I2099" s="3" t="s">
        <v>65</v>
      </c>
      <c r="J2099" s="3" t="s">
        <v>66</v>
      </c>
      <c r="K2099" s="2" t="str">
        <f aca="false">CONCATENATE(I2099," ",J2099)</f>
        <v>Zora Spinimana</v>
      </c>
      <c r="L2099" s="3" t="n">
        <f aca="false">SUM(P2099:U2099)</f>
        <v>1</v>
      </c>
      <c r="M2099" s="11" t="n">
        <f aca="false">(L2099/(F2099*G2099)*25)*4</f>
        <v>4</v>
      </c>
      <c r="N2099" s="1" t="s">
        <v>30</v>
      </c>
      <c r="O2099" s="1" t="s">
        <v>35</v>
      </c>
      <c r="P2099" s="3" t="n">
        <v>0</v>
      </c>
      <c r="Q2099" s="3" t="n">
        <v>1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f aca="false">SUM(P2099:Q2099)</f>
        <v>1</v>
      </c>
      <c r="W2099" s="3" t="n">
        <f aca="false">SUM(R2099:T2099)</f>
        <v>0</v>
      </c>
      <c r="X2099" s="22" t="n">
        <v>41794</v>
      </c>
      <c r="Y2099" s="22" t="n">
        <v>41799</v>
      </c>
    </row>
    <row r="2100" customFormat="false" ht="14.25" hidden="false" customHeight="false" outlineLevel="0" collapsed="false">
      <c r="A2100" s="1" t="n">
        <v>2014</v>
      </c>
      <c r="B2100" s="1" t="n">
        <v>1</v>
      </c>
      <c r="C2100" s="2" t="s">
        <v>25</v>
      </c>
      <c r="D2100" s="3" t="s">
        <v>26</v>
      </c>
      <c r="E2100" s="3" t="n">
        <v>2</v>
      </c>
      <c r="F2100" s="1" t="n">
        <f aca="false">Y2100-X2100</f>
        <v>5</v>
      </c>
      <c r="G2100" s="1" t="n">
        <v>5</v>
      </c>
      <c r="H2100" s="3" t="s">
        <v>138</v>
      </c>
      <c r="I2100" s="3" t="s">
        <v>205</v>
      </c>
      <c r="J2100" s="3" t="s">
        <v>38</v>
      </c>
      <c r="K2100" s="2" t="str">
        <f aca="false">CONCATENATE(I2100," ",J2100)</f>
        <v>Clubiona sp</v>
      </c>
      <c r="L2100" s="3" t="n">
        <f aca="false">SUM(P2100:U2100)</f>
        <v>1</v>
      </c>
      <c r="M2100" s="11" t="n">
        <f aca="false">(L2100/(F2100*G2100)*25)*4</f>
        <v>4</v>
      </c>
      <c r="N2100" s="1" t="s">
        <v>19</v>
      </c>
      <c r="O2100" s="1" t="s">
        <v>54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1</v>
      </c>
      <c r="U2100" s="3" t="n">
        <v>0</v>
      </c>
      <c r="V2100" s="3" t="n">
        <f aca="false">SUM(P2100:Q2100)</f>
        <v>0</v>
      </c>
      <c r="W2100" s="3" t="n">
        <f aca="false">SUM(R2100:T2100)</f>
        <v>1</v>
      </c>
      <c r="X2100" s="22" t="n">
        <v>41793</v>
      </c>
      <c r="Y2100" s="22" t="n">
        <v>41798</v>
      </c>
    </row>
    <row r="2101" customFormat="false" ht="14.25" hidden="false" customHeight="false" outlineLevel="0" collapsed="false">
      <c r="A2101" s="1" t="n">
        <v>2014</v>
      </c>
      <c r="B2101" s="1" t="n">
        <v>1</v>
      </c>
      <c r="C2101" s="2" t="s">
        <v>25</v>
      </c>
      <c r="D2101" s="3" t="s">
        <v>110</v>
      </c>
      <c r="E2101" s="3" t="n">
        <v>3</v>
      </c>
      <c r="F2101" s="1" t="n">
        <f aca="false">Y2101-X2101</f>
        <v>5</v>
      </c>
      <c r="G2101" s="1" t="n">
        <v>5</v>
      </c>
      <c r="H2101" s="3" t="s">
        <v>32</v>
      </c>
      <c r="I2101" s="3" t="s">
        <v>169</v>
      </c>
      <c r="J2101" s="3" t="s">
        <v>170</v>
      </c>
      <c r="K2101" s="2" t="str">
        <f aca="false">CONCATENATE(I2101," ",J2101)</f>
        <v>Abacoproeces saltuum</v>
      </c>
      <c r="L2101" s="3" t="n">
        <f aca="false">SUM(P2101:U2101)</f>
        <v>1</v>
      </c>
      <c r="M2101" s="11" t="n">
        <f aca="false">(L2101/(F2101*G2101)*25)*4</f>
        <v>4</v>
      </c>
      <c r="N2101" s="1" t="s">
        <v>30</v>
      </c>
      <c r="O2101" s="1" t="s">
        <v>31</v>
      </c>
      <c r="P2101" s="3" t="n">
        <v>1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f aca="false">SUM(P2101:Q2101)</f>
        <v>1</v>
      </c>
      <c r="W2101" s="3" t="n">
        <f aca="false">SUM(R2101:T2101)</f>
        <v>0</v>
      </c>
      <c r="X2101" s="22" t="n">
        <v>41794</v>
      </c>
      <c r="Y2101" s="22" t="n">
        <v>41799</v>
      </c>
    </row>
    <row r="2102" customFormat="false" ht="14.25" hidden="false" customHeight="false" outlineLevel="0" collapsed="false">
      <c r="A2102" s="1" t="n">
        <v>2014</v>
      </c>
      <c r="B2102" s="1" t="n">
        <v>1</v>
      </c>
      <c r="C2102" s="2" t="s">
        <v>25</v>
      </c>
      <c r="D2102" s="3" t="s">
        <v>110</v>
      </c>
      <c r="E2102" s="3" t="n">
        <v>2</v>
      </c>
      <c r="F2102" s="1" t="n">
        <f aca="false">Y2102-X2102</f>
        <v>5</v>
      </c>
      <c r="G2102" s="1" t="n">
        <v>5</v>
      </c>
      <c r="H2102" s="3" t="s">
        <v>32</v>
      </c>
      <c r="I2102" s="3" t="s">
        <v>57</v>
      </c>
      <c r="J2102" s="3" t="s">
        <v>38</v>
      </c>
      <c r="K2102" s="2" t="str">
        <f aca="false">CONCATENATE(I2102," ",J2102)</f>
        <v>Gen sp</v>
      </c>
      <c r="L2102" s="3" t="n">
        <f aca="false">SUM(P2102:U2102)</f>
        <v>1</v>
      </c>
      <c r="M2102" s="11" t="n">
        <f aca="false">(L2102/(F2102*G2102)*25)*4</f>
        <v>4</v>
      </c>
      <c r="N2102" s="1" t="s">
        <v>30</v>
      </c>
      <c r="O2102" s="1" t="s">
        <v>35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1</v>
      </c>
      <c r="V2102" s="3" t="n">
        <f aca="false">SUM(P2102:Q2102)</f>
        <v>0</v>
      </c>
      <c r="W2102" s="3" t="n">
        <f aca="false">SUM(R2102:T2102)</f>
        <v>0</v>
      </c>
      <c r="X2102" s="22" t="n">
        <v>41794</v>
      </c>
      <c r="Y2102" s="22" t="n">
        <v>41799</v>
      </c>
    </row>
    <row r="2103" customFormat="false" ht="14.25" hidden="false" customHeight="false" outlineLevel="0" collapsed="false">
      <c r="A2103" s="1" t="n">
        <v>2014</v>
      </c>
      <c r="B2103" s="1" t="n">
        <v>1</v>
      </c>
      <c r="C2103" s="2" t="s">
        <v>50</v>
      </c>
      <c r="D2103" s="3" t="s">
        <v>158</v>
      </c>
      <c r="E2103" s="3" t="n">
        <v>2</v>
      </c>
      <c r="F2103" s="1" t="n">
        <f aca="false">Y2103-X2103</f>
        <v>5</v>
      </c>
      <c r="G2103" s="1" t="n">
        <v>5</v>
      </c>
      <c r="H2103" s="3" t="s">
        <v>32</v>
      </c>
      <c r="I2103" s="3" t="s">
        <v>96</v>
      </c>
      <c r="J2103" s="3" t="s">
        <v>97</v>
      </c>
      <c r="K2103" s="2" t="str">
        <f aca="false">CONCATENATE(I2103," ",J2103)</f>
        <v>Diplocephalus picinus</v>
      </c>
      <c r="L2103" s="3" t="n">
        <f aca="false">SUM(P2103:U2103)</f>
        <v>1</v>
      </c>
      <c r="M2103" s="11" t="n">
        <f aca="false">(L2103/(F2103*G2103)*25)*4</f>
        <v>4</v>
      </c>
      <c r="N2103" s="1" t="s">
        <v>30</v>
      </c>
      <c r="O2103" s="1" t="s">
        <v>31</v>
      </c>
      <c r="P2103" s="3" t="n">
        <v>1</v>
      </c>
      <c r="Q2103" s="3" t="n">
        <v>0</v>
      </c>
      <c r="R2103" s="3" t="n">
        <v>0</v>
      </c>
      <c r="S2103" s="3" t="n">
        <v>0</v>
      </c>
      <c r="T2103" s="3" t="n">
        <v>0</v>
      </c>
      <c r="U2103" s="3" t="n">
        <v>0</v>
      </c>
      <c r="V2103" s="3" t="n">
        <f aca="false">SUM(P2103:Q2103)</f>
        <v>1</v>
      </c>
      <c r="W2103" s="3" t="n">
        <f aca="false">SUM(R2103:T2103)</f>
        <v>0</v>
      </c>
      <c r="X2103" s="22" t="n">
        <v>41793</v>
      </c>
      <c r="Y2103" s="22" t="n">
        <v>41798</v>
      </c>
    </row>
    <row r="2104" customFormat="false" ht="14.25" hidden="false" customHeight="false" outlineLevel="0" collapsed="false">
      <c r="A2104" s="1" t="n">
        <v>2014</v>
      </c>
      <c r="B2104" s="1" t="n">
        <v>1</v>
      </c>
      <c r="C2104" s="2" t="s">
        <v>25</v>
      </c>
      <c r="D2104" s="3" t="s">
        <v>26</v>
      </c>
      <c r="E2104" s="3" t="n">
        <v>1</v>
      </c>
      <c r="F2104" s="1" t="n">
        <f aca="false">Y2104-X2104</f>
        <v>5</v>
      </c>
      <c r="G2104" s="1" t="n">
        <v>5</v>
      </c>
      <c r="H2104" s="3" t="s">
        <v>48</v>
      </c>
      <c r="I2104" s="3" t="s">
        <v>49</v>
      </c>
      <c r="J2104" s="3" t="s">
        <v>38</v>
      </c>
      <c r="K2104" s="2" t="str">
        <f aca="false">CONCATENATE(I2104," ",J2104)</f>
        <v>Alopecosa sp</v>
      </c>
      <c r="L2104" s="3" t="n">
        <f aca="false">SUM(P2104:U2104)</f>
        <v>1</v>
      </c>
      <c r="M2104" s="11" t="n">
        <f aca="false">(L2104/(F2104*G2104)*25)*4</f>
        <v>4</v>
      </c>
      <c r="N2104" s="1" t="s">
        <v>19</v>
      </c>
      <c r="O2104" s="1" t="s">
        <v>54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1</v>
      </c>
      <c r="U2104" s="3" t="n">
        <v>0</v>
      </c>
      <c r="V2104" s="3" t="n">
        <f aca="false">SUM(P2104:Q2104)</f>
        <v>0</v>
      </c>
      <c r="W2104" s="3" t="n">
        <f aca="false">SUM(R2104:T2104)</f>
        <v>1</v>
      </c>
      <c r="X2104" s="22" t="n">
        <v>41793</v>
      </c>
      <c r="Y2104" s="22" t="n">
        <v>41798</v>
      </c>
    </row>
    <row r="2105" customFormat="false" ht="14.25" hidden="false" customHeight="false" outlineLevel="0" collapsed="false">
      <c r="A2105" s="1" t="n">
        <v>2014</v>
      </c>
      <c r="B2105" s="1" t="n">
        <v>1</v>
      </c>
      <c r="C2105" s="2" t="s">
        <v>44</v>
      </c>
      <c r="D2105" s="3" t="s">
        <v>118</v>
      </c>
      <c r="E2105" s="3" t="n">
        <v>2</v>
      </c>
      <c r="F2105" s="1" t="n">
        <f aca="false">Y2105-X2105</f>
        <v>5</v>
      </c>
      <c r="G2105" s="1" t="n">
        <v>5</v>
      </c>
      <c r="H2105" s="3" t="s">
        <v>36</v>
      </c>
      <c r="I2105" s="3" t="s">
        <v>57</v>
      </c>
      <c r="J2105" s="3" t="s">
        <v>38</v>
      </c>
      <c r="K2105" s="2" t="str">
        <f aca="false">CONCATENATE(I2105," ",J2105)</f>
        <v>Gen sp</v>
      </c>
      <c r="L2105" s="3" t="n">
        <f aca="false">SUM(P2105:U2105)</f>
        <v>1</v>
      </c>
      <c r="M2105" s="11" t="n">
        <f aca="false">(L2105/(F2105*G2105)*25)*4</f>
        <v>4</v>
      </c>
      <c r="N2105" s="1" t="s">
        <v>19</v>
      </c>
      <c r="O2105" s="1" t="s">
        <v>54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1</v>
      </c>
      <c r="U2105" s="3" t="n">
        <v>0</v>
      </c>
      <c r="V2105" s="3" t="n">
        <f aca="false">SUM(P2105:Q2105)</f>
        <v>0</v>
      </c>
      <c r="W2105" s="3" t="n">
        <f aca="false">SUM(R2105:T2105)</f>
        <v>1</v>
      </c>
      <c r="X2105" s="22" t="n">
        <v>41793</v>
      </c>
      <c r="Y2105" s="22" t="n">
        <v>41798</v>
      </c>
    </row>
    <row r="2106" customFormat="false" ht="14.25" hidden="false" customHeight="false" outlineLevel="0" collapsed="false">
      <c r="A2106" s="1" t="n">
        <v>2014</v>
      </c>
      <c r="B2106" s="1" t="n">
        <v>1</v>
      </c>
      <c r="C2106" s="2" t="s">
        <v>50</v>
      </c>
      <c r="D2106" s="3" t="s">
        <v>158</v>
      </c>
      <c r="E2106" s="3" t="n">
        <v>3</v>
      </c>
      <c r="F2106" s="1" t="n">
        <f aca="false">Y2106-X2106</f>
        <v>5</v>
      </c>
      <c r="G2106" s="1" t="n">
        <v>5</v>
      </c>
      <c r="H2106" s="3" t="s">
        <v>32</v>
      </c>
      <c r="I2106" s="3" t="s">
        <v>169</v>
      </c>
      <c r="J2106" s="3" t="s">
        <v>170</v>
      </c>
      <c r="K2106" s="2" t="str">
        <f aca="false">CONCATENATE(I2106," ",J2106)</f>
        <v>Abacoproeces saltuum</v>
      </c>
      <c r="L2106" s="3" t="n">
        <f aca="false">SUM(P2106:U2106)</f>
        <v>1</v>
      </c>
      <c r="M2106" s="11" t="n">
        <f aca="false">(L2106/(F2106*G2106)*25)*4</f>
        <v>4</v>
      </c>
      <c r="N2106" s="1" t="s">
        <v>30</v>
      </c>
      <c r="O2106" s="1" t="s">
        <v>35</v>
      </c>
      <c r="P2106" s="3" t="n">
        <v>0</v>
      </c>
      <c r="Q2106" s="3" t="n">
        <v>1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f aca="false">SUM(P2106:Q2106)</f>
        <v>1</v>
      </c>
      <c r="W2106" s="3" t="n">
        <f aca="false">SUM(R2106:T2106)</f>
        <v>0</v>
      </c>
      <c r="X2106" s="22" t="n">
        <v>41793</v>
      </c>
      <c r="Y2106" s="22" t="n">
        <v>41798</v>
      </c>
    </row>
    <row r="2107" customFormat="false" ht="14.25" hidden="false" customHeight="false" outlineLevel="0" collapsed="false">
      <c r="A2107" s="1" t="n">
        <v>2014</v>
      </c>
      <c r="B2107" s="1" t="n">
        <v>1</v>
      </c>
      <c r="C2107" s="2" t="s">
        <v>50</v>
      </c>
      <c r="D2107" s="3" t="s">
        <v>158</v>
      </c>
      <c r="E2107" s="3" t="n">
        <v>1</v>
      </c>
      <c r="F2107" s="1" t="n">
        <f aca="false">Y2107-X2107</f>
        <v>5</v>
      </c>
      <c r="G2107" s="1" t="n">
        <v>5</v>
      </c>
      <c r="H2107" s="3" t="s">
        <v>92</v>
      </c>
      <c r="I2107" s="3" t="s">
        <v>235</v>
      </c>
      <c r="J2107" s="3" t="s">
        <v>236</v>
      </c>
      <c r="K2107" s="2" t="str">
        <f aca="false">CONCATENATE(I2107," ",J2107)</f>
        <v>Neon reticulatus</v>
      </c>
      <c r="L2107" s="3" t="n">
        <f aca="false">SUM(P2107:U2107)</f>
        <v>1</v>
      </c>
      <c r="M2107" s="11" t="n">
        <f aca="false">(L2107/(F2107*G2107)*25)*4</f>
        <v>4</v>
      </c>
      <c r="N2107" s="1" t="s">
        <v>30</v>
      </c>
      <c r="O2107" s="1" t="s">
        <v>35</v>
      </c>
      <c r="P2107" s="3" t="n">
        <v>0</v>
      </c>
      <c r="Q2107" s="3" t="n">
        <v>1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f aca="false">SUM(P2107:Q2107)</f>
        <v>1</v>
      </c>
      <c r="W2107" s="3" t="n">
        <f aca="false">SUM(R2107:T2107)</f>
        <v>0</v>
      </c>
      <c r="X2107" s="22" t="n">
        <v>41793</v>
      </c>
      <c r="Y2107" s="22" t="n">
        <v>41798</v>
      </c>
    </row>
    <row r="2108" customFormat="false" ht="14.25" hidden="false" customHeight="false" outlineLevel="0" collapsed="false">
      <c r="A2108" s="1" t="n">
        <v>2014</v>
      </c>
      <c r="B2108" s="1" t="n">
        <v>1</v>
      </c>
      <c r="C2108" s="2" t="s">
        <v>25</v>
      </c>
      <c r="D2108" s="3" t="s">
        <v>110</v>
      </c>
      <c r="E2108" s="3" t="n">
        <v>1</v>
      </c>
      <c r="F2108" s="1" t="n">
        <f aca="false">Y2108-X2108</f>
        <v>5</v>
      </c>
      <c r="G2108" s="1" t="n">
        <v>5</v>
      </c>
      <c r="H2108" s="3" t="s">
        <v>32</v>
      </c>
      <c r="I2108" s="3" t="s">
        <v>96</v>
      </c>
      <c r="J2108" s="3" t="s">
        <v>97</v>
      </c>
      <c r="K2108" s="2" t="str">
        <f aca="false">CONCATENATE(I2108," ",J2108)</f>
        <v>Diplocephalus picinus</v>
      </c>
      <c r="L2108" s="3" t="n">
        <f aca="false">SUM(P2108:U2108)</f>
        <v>1</v>
      </c>
      <c r="M2108" s="11" t="n">
        <f aca="false">(L2108/(F2108*G2108)*25)*4</f>
        <v>4</v>
      </c>
      <c r="N2108" s="1" t="s">
        <v>30</v>
      </c>
      <c r="O2108" s="1" t="s">
        <v>31</v>
      </c>
      <c r="P2108" s="3" t="n">
        <v>1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f aca="false">SUM(P2108:Q2108)</f>
        <v>1</v>
      </c>
      <c r="W2108" s="3" t="n">
        <f aca="false">SUM(R2108:T2108)</f>
        <v>0</v>
      </c>
      <c r="X2108" s="22" t="n">
        <v>41794</v>
      </c>
      <c r="Y2108" s="22" t="n">
        <v>41799</v>
      </c>
    </row>
    <row r="2109" customFormat="false" ht="14.25" hidden="false" customHeight="false" outlineLevel="0" collapsed="false">
      <c r="A2109" s="1" t="n">
        <v>2014</v>
      </c>
      <c r="B2109" s="1" t="n">
        <v>1</v>
      </c>
      <c r="C2109" s="2" t="s">
        <v>25</v>
      </c>
      <c r="D2109" s="3" t="s">
        <v>101</v>
      </c>
      <c r="E2109" s="3" t="n">
        <v>3</v>
      </c>
      <c r="F2109" s="1" t="n">
        <f aca="false">Y2109-X2109</f>
        <v>5</v>
      </c>
      <c r="G2109" s="1" t="n">
        <v>5</v>
      </c>
      <c r="H2109" s="3" t="s">
        <v>224</v>
      </c>
      <c r="I2109" s="3" t="s">
        <v>57</v>
      </c>
      <c r="J2109" s="3" t="s">
        <v>38</v>
      </c>
      <c r="K2109" s="2" t="str">
        <f aca="false">CONCATENATE(I2109," ",J2109)</f>
        <v>Gen sp</v>
      </c>
      <c r="L2109" s="3" t="n">
        <f aca="false">SUM(P2109:U2109)</f>
        <v>1</v>
      </c>
      <c r="M2109" s="11" t="n">
        <f aca="false">(L2109/(F2109*G2109)*25)*4</f>
        <v>4</v>
      </c>
      <c r="N2109" s="1" t="s">
        <v>19</v>
      </c>
      <c r="O2109" s="1" t="s">
        <v>54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1</v>
      </c>
      <c r="V2109" s="3" t="n">
        <f aca="false">SUM(P2109:Q2109)</f>
        <v>0</v>
      </c>
      <c r="W2109" s="3" t="n">
        <f aca="false">SUM(R2109:T2109)</f>
        <v>0</v>
      </c>
      <c r="X2109" s="22" t="n">
        <v>41793</v>
      </c>
      <c r="Y2109" s="22" t="n">
        <v>41798</v>
      </c>
    </row>
    <row r="2110" customFormat="false" ht="14.25" hidden="false" customHeight="false" outlineLevel="0" collapsed="false">
      <c r="A2110" s="1" t="n">
        <v>2014</v>
      </c>
      <c r="B2110" s="1" t="n">
        <v>1</v>
      </c>
      <c r="C2110" s="2" t="s">
        <v>50</v>
      </c>
      <c r="D2110" s="3" t="s">
        <v>158</v>
      </c>
      <c r="E2110" s="3" t="n">
        <v>3</v>
      </c>
      <c r="F2110" s="1" t="n">
        <f aca="false">Y2110-X2110</f>
        <v>5</v>
      </c>
      <c r="G2110" s="1" t="n">
        <v>5</v>
      </c>
      <c r="H2110" s="3" t="s">
        <v>32</v>
      </c>
      <c r="I2110" s="3" t="s">
        <v>96</v>
      </c>
      <c r="J2110" s="3" t="s">
        <v>97</v>
      </c>
      <c r="K2110" s="2" t="str">
        <f aca="false">CONCATENATE(I2110," ",J2110)</f>
        <v>Diplocephalus picinus</v>
      </c>
      <c r="L2110" s="3" t="n">
        <f aca="false">SUM(P2110:U2110)</f>
        <v>1</v>
      </c>
      <c r="M2110" s="11" t="n">
        <f aca="false">(L2110/(F2110*G2110)*25)*4</f>
        <v>4</v>
      </c>
      <c r="N2110" s="1" t="s">
        <v>30</v>
      </c>
      <c r="O2110" s="1" t="s">
        <v>31</v>
      </c>
      <c r="P2110" s="3" t="n">
        <v>1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f aca="false">SUM(P2110:Q2110)</f>
        <v>1</v>
      </c>
      <c r="W2110" s="3" t="n">
        <f aca="false">SUM(R2110:T2110)</f>
        <v>0</v>
      </c>
      <c r="X2110" s="22" t="n">
        <v>41793</v>
      </c>
      <c r="Y2110" s="22" t="n">
        <v>41798</v>
      </c>
    </row>
    <row r="2111" customFormat="false" ht="14.25" hidden="false" customHeight="false" outlineLevel="0" collapsed="false">
      <c r="A2111" s="1" t="n">
        <v>2014</v>
      </c>
      <c r="B2111" s="1" t="n">
        <v>1</v>
      </c>
      <c r="C2111" s="2" t="s">
        <v>50</v>
      </c>
      <c r="D2111" s="3" t="s">
        <v>51</v>
      </c>
      <c r="E2111" s="3" t="n">
        <v>2</v>
      </c>
      <c r="F2111" s="1" t="n">
        <f aca="false">Y2111-X2111</f>
        <v>5</v>
      </c>
      <c r="G2111" s="1" t="n">
        <v>5</v>
      </c>
      <c r="H2111" s="3" t="s">
        <v>72</v>
      </c>
      <c r="I2111" s="3" t="s">
        <v>73</v>
      </c>
      <c r="J2111" s="3" t="s">
        <v>38</v>
      </c>
      <c r="K2111" s="2" t="str">
        <f aca="false">CONCATENATE(I2111," ",J2111)</f>
        <v>Zelotes sp</v>
      </c>
      <c r="L2111" s="3" t="n">
        <f aca="false">SUM(P2111:U2111)</f>
        <v>1</v>
      </c>
      <c r="M2111" s="11" t="n">
        <f aca="false">(L2111/(F2111*G2111)*25)*4</f>
        <v>4</v>
      </c>
      <c r="N2111" s="1" t="s">
        <v>19</v>
      </c>
      <c r="O2111" s="1" t="s">
        <v>54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1</v>
      </c>
      <c r="U2111" s="3" t="n">
        <v>0</v>
      </c>
      <c r="V2111" s="3" t="n">
        <f aca="false">SUM(P2111:Q2111)</f>
        <v>0</v>
      </c>
      <c r="W2111" s="3" t="n">
        <f aca="false">SUM(R2111:T2111)</f>
        <v>1</v>
      </c>
      <c r="X2111" s="22" t="n">
        <v>41794</v>
      </c>
      <c r="Y2111" s="22" t="n">
        <v>41799</v>
      </c>
    </row>
    <row r="2112" customFormat="false" ht="14.25" hidden="false" customHeight="false" outlineLevel="0" collapsed="false">
      <c r="A2112" s="1" t="n">
        <v>2014</v>
      </c>
      <c r="B2112" s="1" t="n">
        <v>1</v>
      </c>
      <c r="C2112" s="2" t="s">
        <v>25</v>
      </c>
      <c r="D2112" s="3" t="s">
        <v>101</v>
      </c>
      <c r="E2112" s="3" t="n">
        <v>2</v>
      </c>
      <c r="F2112" s="1" t="n">
        <f aca="false">Y2112-X2112</f>
        <v>5</v>
      </c>
      <c r="G2112" s="1" t="n">
        <v>5</v>
      </c>
      <c r="H2112" s="3" t="s">
        <v>48</v>
      </c>
      <c r="I2112" s="3" t="s">
        <v>61</v>
      </c>
      <c r="J2112" s="3" t="s">
        <v>38</v>
      </c>
      <c r="K2112" s="2" t="str">
        <f aca="false">CONCATENATE(I2112," ",J2112)</f>
        <v>Trochosa sp</v>
      </c>
      <c r="L2112" s="3" t="n">
        <f aca="false">SUM(P2112:U2112)</f>
        <v>1</v>
      </c>
      <c r="M2112" s="11" t="n">
        <f aca="false">(L2112/(F2112*G2112)*25)*4</f>
        <v>4</v>
      </c>
      <c r="N2112" s="1" t="s">
        <v>19</v>
      </c>
      <c r="O2112" s="1" t="s">
        <v>31</v>
      </c>
      <c r="P2112" s="3" t="n">
        <v>0</v>
      </c>
      <c r="Q2112" s="3" t="n">
        <v>0</v>
      </c>
      <c r="R2112" s="3" t="n">
        <v>1</v>
      </c>
      <c r="S2112" s="3" t="n">
        <v>0</v>
      </c>
      <c r="T2112" s="3" t="n">
        <v>0</v>
      </c>
      <c r="U2112" s="3" t="n">
        <v>0</v>
      </c>
      <c r="V2112" s="3" t="n">
        <f aca="false">SUM(P2112:Q2112)</f>
        <v>0</v>
      </c>
      <c r="W2112" s="3" t="n">
        <f aca="false">SUM(R2112:T2112)</f>
        <v>1</v>
      </c>
      <c r="X2112" s="22" t="n">
        <v>41793</v>
      </c>
      <c r="Y2112" s="22" t="n">
        <v>41798</v>
      </c>
    </row>
    <row r="2113" customFormat="false" ht="14.25" hidden="false" customHeight="false" outlineLevel="0" collapsed="false">
      <c r="A2113" s="1" t="n">
        <v>2014</v>
      </c>
      <c r="B2113" s="1" t="n">
        <v>1</v>
      </c>
      <c r="C2113" s="2" t="s">
        <v>50</v>
      </c>
      <c r="D2113" s="3" t="s">
        <v>98</v>
      </c>
      <c r="E2113" s="3" t="n">
        <v>1</v>
      </c>
      <c r="F2113" s="1" t="n">
        <f aca="false">Y2113-X2113</f>
        <v>5</v>
      </c>
      <c r="G2113" s="1" t="n">
        <v>5</v>
      </c>
      <c r="H2113" s="3" t="s">
        <v>32</v>
      </c>
      <c r="I2113" s="3" t="s">
        <v>169</v>
      </c>
      <c r="J2113" s="3" t="s">
        <v>170</v>
      </c>
      <c r="K2113" s="2" t="str">
        <f aca="false">CONCATENATE(I2113," ",J2113)</f>
        <v>Abacoproeces saltuum</v>
      </c>
      <c r="L2113" s="3" t="n">
        <f aca="false">SUM(P2113:U2113)</f>
        <v>1</v>
      </c>
      <c r="M2113" s="11" t="n">
        <f aca="false">(L2113/(F2113*G2113)*25)*4</f>
        <v>4</v>
      </c>
      <c r="N2113" s="1" t="s">
        <v>30</v>
      </c>
      <c r="O2113" s="1" t="s">
        <v>31</v>
      </c>
      <c r="P2113" s="3" t="n">
        <v>1</v>
      </c>
      <c r="Q2113" s="3" t="n">
        <v>0</v>
      </c>
      <c r="R2113" s="3" t="n">
        <v>0</v>
      </c>
      <c r="S2113" s="3" t="n">
        <v>0</v>
      </c>
      <c r="T2113" s="3" t="n">
        <v>0</v>
      </c>
      <c r="U2113" s="3" t="n">
        <v>0</v>
      </c>
      <c r="V2113" s="3" t="n">
        <f aca="false">SUM(P2113:Q2113)</f>
        <v>1</v>
      </c>
      <c r="W2113" s="3" t="n">
        <f aca="false">SUM(R2113:T2113)</f>
        <v>0</v>
      </c>
      <c r="X2113" s="22" t="n">
        <v>41793</v>
      </c>
      <c r="Y2113" s="22" t="n">
        <v>41798</v>
      </c>
    </row>
    <row r="2114" customFormat="false" ht="14.25" hidden="false" customHeight="false" outlineLevel="0" collapsed="false">
      <c r="A2114" s="1" t="n">
        <v>2014</v>
      </c>
      <c r="B2114" s="1" t="n">
        <v>1</v>
      </c>
      <c r="C2114" s="2" t="s">
        <v>25</v>
      </c>
      <c r="D2114" s="3" t="s">
        <v>101</v>
      </c>
      <c r="E2114" s="3" t="n">
        <v>3</v>
      </c>
      <c r="F2114" s="1" t="n">
        <f aca="false">Y2114-X2114</f>
        <v>5</v>
      </c>
      <c r="G2114" s="1" t="n">
        <v>5</v>
      </c>
      <c r="H2114" s="3" t="s">
        <v>32</v>
      </c>
      <c r="I2114" s="3" t="s">
        <v>96</v>
      </c>
      <c r="J2114" s="3" t="s">
        <v>97</v>
      </c>
      <c r="K2114" s="2" t="str">
        <f aca="false">CONCATENATE(I2114," ",J2114)</f>
        <v>Diplocephalus picinus</v>
      </c>
      <c r="L2114" s="3" t="n">
        <f aca="false">SUM(P2114:U2114)</f>
        <v>2</v>
      </c>
      <c r="M2114" s="11" t="n">
        <f aca="false">(L2114/(F2114*G2114)*25)*4</f>
        <v>8</v>
      </c>
      <c r="N2114" s="1" t="s">
        <v>30</v>
      </c>
      <c r="O2114" s="1" t="s">
        <v>31</v>
      </c>
      <c r="P2114" s="3" t="n">
        <v>2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f aca="false">SUM(P2114:Q2114)</f>
        <v>2</v>
      </c>
      <c r="W2114" s="3" t="n">
        <f aca="false">SUM(R2114:T2114)</f>
        <v>0</v>
      </c>
      <c r="X2114" s="22" t="n">
        <v>41793</v>
      </c>
      <c r="Y2114" s="22" t="n">
        <v>41798</v>
      </c>
    </row>
    <row r="2115" customFormat="false" ht="14.25" hidden="false" customHeight="false" outlineLevel="0" collapsed="false">
      <c r="A2115" s="1" t="n">
        <v>2014</v>
      </c>
      <c r="B2115" s="1" t="n">
        <v>1</v>
      </c>
      <c r="C2115" s="2" t="s">
        <v>25</v>
      </c>
      <c r="D2115" s="3" t="s">
        <v>110</v>
      </c>
      <c r="E2115" s="3" t="n">
        <v>2</v>
      </c>
      <c r="F2115" s="1" t="n">
        <f aca="false">Y2115-X2115</f>
        <v>5</v>
      </c>
      <c r="G2115" s="1" t="n">
        <v>5</v>
      </c>
      <c r="H2115" s="3" t="s">
        <v>32</v>
      </c>
      <c r="I2115" s="3" t="s">
        <v>96</v>
      </c>
      <c r="J2115" s="3" t="s">
        <v>97</v>
      </c>
      <c r="K2115" s="2" t="str">
        <f aca="false">CONCATENATE(I2115," ",J2115)</f>
        <v>Diplocephalus picinus</v>
      </c>
      <c r="L2115" s="3" t="n">
        <f aca="false">SUM(P2115:U2115)</f>
        <v>1</v>
      </c>
      <c r="M2115" s="11" t="n">
        <f aca="false">(L2115/(F2115*G2115)*25)*4</f>
        <v>4</v>
      </c>
      <c r="N2115" s="1" t="s">
        <v>30</v>
      </c>
      <c r="O2115" s="1" t="s">
        <v>31</v>
      </c>
      <c r="P2115" s="3" t="n">
        <v>1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f aca="false">SUM(P2115:Q2115)</f>
        <v>1</v>
      </c>
      <c r="W2115" s="3" t="n">
        <f aca="false">SUM(R2115:T2115)</f>
        <v>0</v>
      </c>
      <c r="X2115" s="22" t="n">
        <v>41794</v>
      </c>
      <c r="Y2115" s="22" t="n">
        <v>41799</v>
      </c>
    </row>
    <row r="2116" customFormat="false" ht="14.25" hidden="false" customHeight="false" outlineLevel="0" collapsed="false">
      <c r="A2116" s="1" t="n">
        <v>2014</v>
      </c>
      <c r="B2116" s="1" t="n">
        <v>1</v>
      </c>
      <c r="C2116" s="2" t="s">
        <v>50</v>
      </c>
      <c r="D2116" s="3" t="s">
        <v>158</v>
      </c>
      <c r="E2116" s="3" t="n">
        <v>1</v>
      </c>
      <c r="F2116" s="1" t="n">
        <f aca="false">Y2116-X2116</f>
        <v>5</v>
      </c>
      <c r="G2116" s="1" t="n">
        <v>5</v>
      </c>
      <c r="H2116" s="3" t="s">
        <v>224</v>
      </c>
      <c r="I2116" s="3" t="s">
        <v>57</v>
      </c>
      <c r="J2116" s="3" t="s">
        <v>38</v>
      </c>
      <c r="K2116" s="2" t="str">
        <f aca="false">CONCATENATE(I2116," ",J2116)</f>
        <v>Gen sp</v>
      </c>
      <c r="L2116" s="3" t="n">
        <f aca="false">SUM(P2116:U2116)</f>
        <v>1</v>
      </c>
      <c r="M2116" s="11" t="n">
        <f aca="false">(L2116/(F2116*G2116)*25)*4</f>
        <v>4</v>
      </c>
      <c r="N2116" s="1" t="s">
        <v>19</v>
      </c>
      <c r="O2116" s="1" t="s">
        <v>35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1</v>
      </c>
      <c r="V2116" s="3" t="n">
        <f aca="false">SUM(P2116:Q2116)</f>
        <v>0</v>
      </c>
      <c r="W2116" s="3" t="n">
        <f aca="false">SUM(R2116:T2116)</f>
        <v>0</v>
      </c>
      <c r="X2116" s="22" t="n">
        <v>41793</v>
      </c>
      <c r="Y2116" s="22" t="n">
        <v>41798</v>
      </c>
    </row>
    <row r="2117" customFormat="false" ht="14.25" hidden="false" customHeight="false" outlineLevel="0" collapsed="false">
      <c r="A2117" s="1" t="n">
        <v>2014</v>
      </c>
      <c r="B2117" s="1" t="n">
        <v>1</v>
      </c>
      <c r="C2117" s="2" t="s">
        <v>50</v>
      </c>
      <c r="D2117" s="3" t="s">
        <v>51</v>
      </c>
      <c r="E2117" s="3" t="n">
        <v>1</v>
      </c>
      <c r="F2117" s="1" t="n">
        <f aca="false">Y2117-X2117</f>
        <v>5</v>
      </c>
      <c r="G2117" s="1" t="n">
        <v>5</v>
      </c>
      <c r="H2117" s="3" t="s">
        <v>32</v>
      </c>
      <c r="I2117" s="3" t="s">
        <v>96</v>
      </c>
      <c r="J2117" s="3" t="s">
        <v>97</v>
      </c>
      <c r="K2117" s="2" t="str">
        <f aca="false">CONCATENATE(I2117," ",J2117)</f>
        <v>Diplocephalus picinus</v>
      </c>
      <c r="L2117" s="3" t="n">
        <f aca="false">SUM(P2117:U2117)</f>
        <v>1</v>
      </c>
      <c r="M2117" s="11" t="n">
        <f aca="false">(L2117/(F2117*G2117)*25)*4</f>
        <v>4</v>
      </c>
      <c r="N2117" s="1" t="s">
        <v>30</v>
      </c>
      <c r="O2117" s="1" t="s">
        <v>31</v>
      </c>
      <c r="P2117" s="3" t="n">
        <v>1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f aca="false">SUM(P2117:Q2117)</f>
        <v>1</v>
      </c>
      <c r="W2117" s="3" t="n">
        <f aca="false">SUM(R2117:T2117)</f>
        <v>0</v>
      </c>
      <c r="X2117" s="22" t="n">
        <v>41794</v>
      </c>
      <c r="Y2117" s="22" t="n">
        <v>41799</v>
      </c>
    </row>
    <row r="2118" customFormat="false" ht="14.25" hidden="false" customHeight="false" outlineLevel="0" collapsed="false">
      <c r="A2118" s="1" t="n">
        <v>2014</v>
      </c>
      <c r="B2118" s="1" t="n">
        <v>2</v>
      </c>
      <c r="C2118" s="2" t="s">
        <v>25</v>
      </c>
      <c r="D2118" s="3" t="s">
        <v>101</v>
      </c>
      <c r="E2118" s="3" t="n">
        <v>2</v>
      </c>
      <c r="F2118" s="1" t="n">
        <f aca="false">Y2118-X2118</f>
        <v>5</v>
      </c>
      <c r="G2118" s="1" t="n">
        <v>5</v>
      </c>
      <c r="H2118" s="3" t="s">
        <v>72</v>
      </c>
      <c r="I2118" s="3" t="s">
        <v>57</v>
      </c>
      <c r="J2118" s="3" t="s">
        <v>38</v>
      </c>
      <c r="K2118" s="2" t="str">
        <f aca="false">CONCATENATE(I2118," ",J2118)</f>
        <v>Gen sp</v>
      </c>
      <c r="L2118" s="3" t="n">
        <f aca="false">SUM(P2118:U2118)</f>
        <v>1</v>
      </c>
      <c r="M2118" s="11" t="n">
        <f aca="false">(L2118/(F2118*G2118)*25)*4</f>
        <v>4</v>
      </c>
      <c r="N2118" s="1" t="s">
        <v>54</v>
      </c>
      <c r="O2118" s="1" t="s">
        <v>54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1</v>
      </c>
      <c r="V2118" s="3" t="n">
        <f aca="false">SUM(P2118:Q2118)</f>
        <v>0</v>
      </c>
      <c r="W2118" s="3" t="n">
        <f aca="false">SUM(R2118:T2118)</f>
        <v>0</v>
      </c>
      <c r="X2118" s="22" t="n">
        <v>41869</v>
      </c>
      <c r="Y2118" s="22" t="n">
        <v>41874</v>
      </c>
    </row>
    <row r="2119" customFormat="false" ht="14.25" hidden="false" customHeight="false" outlineLevel="0" collapsed="false">
      <c r="A2119" s="1" t="n">
        <v>2014</v>
      </c>
      <c r="B2119" s="1" t="n">
        <v>1</v>
      </c>
      <c r="C2119" s="2" t="s">
        <v>50</v>
      </c>
      <c r="D2119" s="3" t="s">
        <v>51</v>
      </c>
      <c r="E2119" s="3" t="n">
        <v>2</v>
      </c>
      <c r="F2119" s="1" t="n">
        <f aca="false">Y2119-X2119</f>
        <v>5</v>
      </c>
      <c r="G2119" s="1" t="n">
        <v>5</v>
      </c>
      <c r="H2119" s="3" t="s">
        <v>224</v>
      </c>
      <c r="I2119" s="3" t="s">
        <v>57</v>
      </c>
      <c r="J2119" s="3" t="s">
        <v>38</v>
      </c>
      <c r="K2119" s="2" t="str">
        <f aca="false">CONCATENATE(I2119," ",J2119)</f>
        <v>Gen sp</v>
      </c>
      <c r="L2119" s="3" t="n">
        <f aca="false">SUM(P2119:U2119)</f>
        <v>0</v>
      </c>
      <c r="M2119" s="11" t="n">
        <f aca="false">(L2119/(F2119*G2119)*25)*4</f>
        <v>0</v>
      </c>
      <c r="N2119" s="1" t="s">
        <v>19</v>
      </c>
      <c r="O2119" s="1" t="s">
        <v>54</v>
      </c>
      <c r="P2119" s="3" t="n">
        <v>0</v>
      </c>
      <c r="Q2119" s="3" t="n">
        <v>0</v>
      </c>
      <c r="R2119" s="3" t="n">
        <v>0</v>
      </c>
      <c r="S2119" s="3" t="n">
        <v>0</v>
      </c>
      <c r="T2119" s="3" t="n">
        <v>0</v>
      </c>
      <c r="U2119" s="3" t="n">
        <v>0</v>
      </c>
      <c r="V2119" s="3" t="n">
        <f aca="false">SUM(P2119:Q2119)</f>
        <v>0</v>
      </c>
      <c r="W2119" s="3" t="n">
        <f aca="false">SUM(R2119:T2119)</f>
        <v>0</v>
      </c>
      <c r="X2119" s="22" t="n">
        <v>41794</v>
      </c>
      <c r="Y2119" s="22" t="n">
        <v>41799</v>
      </c>
    </row>
    <row r="2120" customFormat="false" ht="14.25" hidden="false" customHeight="false" outlineLevel="0" collapsed="false">
      <c r="A2120" s="1" t="n">
        <v>2014</v>
      </c>
      <c r="B2120" s="1" t="n">
        <v>1</v>
      </c>
      <c r="C2120" s="2" t="s">
        <v>50</v>
      </c>
      <c r="D2120" s="3" t="s">
        <v>51</v>
      </c>
      <c r="E2120" s="3" t="n">
        <v>2</v>
      </c>
      <c r="F2120" s="1" t="n">
        <f aca="false">Y2120-X2120</f>
        <v>5</v>
      </c>
      <c r="G2120" s="1" t="n">
        <v>5</v>
      </c>
      <c r="H2120" s="3" t="s">
        <v>72</v>
      </c>
      <c r="I2120" s="3" t="s">
        <v>57</v>
      </c>
      <c r="J2120" s="3" t="s">
        <v>38</v>
      </c>
      <c r="K2120" s="2" t="str">
        <f aca="false">CONCATENATE(I2120," ",J2120)</f>
        <v>Gen sp</v>
      </c>
      <c r="L2120" s="3" t="n">
        <f aca="false">SUM(P2120:U2120)</f>
        <v>1</v>
      </c>
      <c r="M2120" s="11" t="n">
        <f aca="false">(L2120/(F2120*G2120)*25)*4</f>
        <v>4</v>
      </c>
      <c r="N2120" s="1" t="s">
        <v>19</v>
      </c>
      <c r="O2120" s="1" t="s">
        <v>54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1</v>
      </c>
      <c r="V2120" s="3" t="n">
        <f aca="false">SUM(P2120:Q2120)</f>
        <v>0</v>
      </c>
      <c r="W2120" s="3" t="n">
        <f aca="false">SUM(R2120:T2120)</f>
        <v>0</v>
      </c>
      <c r="X2120" s="22" t="n">
        <v>41794</v>
      </c>
      <c r="Y2120" s="22" t="n">
        <v>41799</v>
      </c>
    </row>
    <row r="2121" customFormat="false" ht="14.25" hidden="false" customHeight="false" outlineLevel="0" collapsed="false">
      <c r="A2121" s="1" t="n">
        <v>2014</v>
      </c>
      <c r="B2121" s="1" t="n">
        <v>2</v>
      </c>
      <c r="C2121" s="2" t="s">
        <v>25</v>
      </c>
      <c r="D2121" s="3" t="s">
        <v>26</v>
      </c>
      <c r="E2121" s="3" t="n">
        <v>2</v>
      </c>
      <c r="F2121" s="1" t="n">
        <f aca="false">Y2121-X2121</f>
        <v>5</v>
      </c>
      <c r="G2121" s="1" t="n">
        <v>5</v>
      </c>
      <c r="H2121" s="3" t="s">
        <v>32</v>
      </c>
      <c r="I2121" s="3" t="s">
        <v>58</v>
      </c>
      <c r="J2121" s="3" t="s">
        <v>59</v>
      </c>
      <c r="K2121" s="2" t="str">
        <f aca="false">CONCATENATE(I2121," ",J2121)</f>
        <v>Allomengea scopigera</v>
      </c>
      <c r="L2121" s="3" t="n">
        <f aca="false">SUM(P2121:U2121)</f>
        <v>1</v>
      </c>
      <c r="M2121" s="11" t="n">
        <f aca="false">(L2121/(F2121*G2121)*25)*4</f>
        <v>4</v>
      </c>
      <c r="N2121" s="1" t="s">
        <v>30</v>
      </c>
      <c r="O2121" s="1" t="s">
        <v>31</v>
      </c>
      <c r="P2121" s="3" t="n">
        <v>1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f aca="false">SUM(P2121:Q2121)</f>
        <v>1</v>
      </c>
      <c r="W2121" s="3" t="n">
        <f aca="false">SUM(R2121:T2121)</f>
        <v>0</v>
      </c>
      <c r="X2121" s="22" t="n">
        <v>41869</v>
      </c>
      <c r="Y2121" s="22" t="n">
        <v>41874</v>
      </c>
    </row>
    <row r="2122" customFormat="false" ht="14.25" hidden="false" customHeight="false" outlineLevel="0" collapsed="false">
      <c r="A2122" s="1" t="n">
        <v>2014</v>
      </c>
      <c r="B2122" s="1" t="n">
        <v>1</v>
      </c>
      <c r="C2122" s="2" t="s">
        <v>50</v>
      </c>
      <c r="D2122" s="3" t="s">
        <v>158</v>
      </c>
      <c r="E2122" s="3" t="n">
        <v>2</v>
      </c>
      <c r="F2122" s="1" t="n">
        <f aca="false">Y2122-X2122</f>
        <v>5</v>
      </c>
      <c r="G2122" s="1" t="n">
        <v>5</v>
      </c>
      <c r="H2122" s="3" t="s">
        <v>32</v>
      </c>
      <c r="I2122" s="3" t="s">
        <v>96</v>
      </c>
      <c r="J2122" s="3" t="s">
        <v>97</v>
      </c>
      <c r="K2122" s="2" t="str">
        <f aca="false">CONCATENATE(I2122," ",J2122)</f>
        <v>Diplocephalus picinus</v>
      </c>
      <c r="L2122" s="3" t="n">
        <f aca="false">SUM(P2122:U2122)</f>
        <v>1</v>
      </c>
      <c r="M2122" s="11" t="n">
        <f aca="false">(L2122/(F2122*G2122)*25)*4</f>
        <v>4</v>
      </c>
      <c r="N2122" s="1" t="s">
        <v>30</v>
      </c>
      <c r="O2122" s="1" t="s">
        <v>31</v>
      </c>
      <c r="P2122" s="3" t="n">
        <v>1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f aca="false">SUM(P2122:Q2122)</f>
        <v>1</v>
      </c>
      <c r="W2122" s="3" t="n">
        <f aca="false">SUM(R2122:T2122)</f>
        <v>0</v>
      </c>
      <c r="X2122" s="22" t="n">
        <v>41793</v>
      </c>
      <c r="Y2122" s="22" t="n">
        <v>41798</v>
      </c>
    </row>
    <row r="2123" customFormat="false" ht="14.25" hidden="false" customHeight="false" outlineLevel="0" collapsed="false">
      <c r="A2123" s="1" t="n">
        <v>2014</v>
      </c>
      <c r="B2123" s="1" t="n">
        <v>1</v>
      </c>
      <c r="C2123" s="2" t="s">
        <v>50</v>
      </c>
      <c r="D2123" s="3" t="s">
        <v>83</v>
      </c>
      <c r="E2123" s="3" t="n">
        <v>1</v>
      </c>
      <c r="F2123" s="1" t="n">
        <f aca="false">Y2123-X2123</f>
        <v>5</v>
      </c>
      <c r="G2123" s="1" t="n">
        <v>5</v>
      </c>
      <c r="H2123" s="3" t="s">
        <v>32</v>
      </c>
      <c r="I2123" s="3" t="s">
        <v>169</v>
      </c>
      <c r="J2123" s="3" t="s">
        <v>170</v>
      </c>
      <c r="K2123" s="2" t="str">
        <f aca="false">CONCATENATE(I2123," ",J2123)</f>
        <v>Abacoproeces saltuum</v>
      </c>
      <c r="L2123" s="3" t="n">
        <f aca="false">SUM(P2123:U2123)</f>
        <v>1</v>
      </c>
      <c r="M2123" s="11" t="n">
        <f aca="false">(L2123/(F2123*G2123)*25)*4</f>
        <v>4</v>
      </c>
      <c r="N2123" s="1" t="s">
        <v>30</v>
      </c>
      <c r="O2123" s="1" t="s">
        <v>35</v>
      </c>
      <c r="P2123" s="3" t="n">
        <v>0</v>
      </c>
      <c r="Q2123" s="3" t="n">
        <v>1</v>
      </c>
      <c r="R2123" s="3" t="n">
        <v>0</v>
      </c>
      <c r="S2123" s="3" t="n">
        <v>0</v>
      </c>
      <c r="T2123" s="3" t="n">
        <v>0</v>
      </c>
      <c r="U2123" s="3" t="n">
        <v>0</v>
      </c>
      <c r="V2123" s="3" t="n">
        <f aca="false">SUM(P2123:Q2123)</f>
        <v>1</v>
      </c>
      <c r="W2123" s="3" t="n">
        <f aca="false">SUM(R2123:T2123)</f>
        <v>0</v>
      </c>
      <c r="X2123" s="22" t="n">
        <v>41794</v>
      </c>
      <c r="Y2123" s="22" t="n">
        <v>41799</v>
      </c>
    </row>
    <row r="2124" customFormat="false" ht="14.25" hidden="false" customHeight="false" outlineLevel="0" collapsed="false">
      <c r="A2124" s="1" t="n">
        <v>2014</v>
      </c>
      <c r="B2124" s="1" t="n">
        <v>2</v>
      </c>
      <c r="C2124" s="2" t="s">
        <v>25</v>
      </c>
      <c r="D2124" s="3" t="s">
        <v>110</v>
      </c>
      <c r="E2124" s="3" t="n">
        <v>3</v>
      </c>
      <c r="F2124" s="1" t="n">
        <f aca="false">Y2124-X2124</f>
        <v>5</v>
      </c>
      <c r="G2124" s="1" t="n">
        <v>5</v>
      </c>
      <c r="H2124" s="3" t="s">
        <v>72</v>
      </c>
      <c r="I2124" s="3" t="s">
        <v>73</v>
      </c>
      <c r="J2124" s="3" t="s">
        <v>38</v>
      </c>
      <c r="K2124" s="2" t="str">
        <f aca="false">CONCATENATE(I2124," ",J2124)</f>
        <v>Zelotes sp</v>
      </c>
      <c r="L2124" s="3" t="n">
        <f aca="false">SUM(P2124:U2124)</f>
        <v>1</v>
      </c>
      <c r="M2124" s="11" t="n">
        <f aca="false">(L2124/(F2124*G2124)*25)*4</f>
        <v>4</v>
      </c>
      <c r="N2124" s="1" t="s">
        <v>19</v>
      </c>
      <c r="O2124" s="1" t="s">
        <v>54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1</v>
      </c>
      <c r="U2124" s="3" t="n">
        <v>0</v>
      </c>
      <c r="V2124" s="3" t="n">
        <f aca="false">SUM(P2124:Q2124)</f>
        <v>0</v>
      </c>
      <c r="W2124" s="3" t="n">
        <f aca="false">SUM(R2124:T2124)</f>
        <v>1</v>
      </c>
      <c r="X2124" s="22" t="n">
        <v>41870</v>
      </c>
      <c r="Y2124" s="22" t="n">
        <v>41875</v>
      </c>
    </row>
    <row r="2125" customFormat="false" ht="14.25" hidden="false" customHeight="false" outlineLevel="0" collapsed="false">
      <c r="A2125" s="1" t="n">
        <v>2014</v>
      </c>
      <c r="B2125" s="1" t="n">
        <v>1</v>
      </c>
      <c r="C2125" s="2" t="s">
        <v>50</v>
      </c>
      <c r="D2125" s="3" t="s">
        <v>51</v>
      </c>
      <c r="E2125" s="3" t="n">
        <v>1</v>
      </c>
      <c r="F2125" s="1" t="n">
        <f aca="false">Y2125-X2125</f>
        <v>5</v>
      </c>
      <c r="G2125" s="1" t="n">
        <v>5</v>
      </c>
      <c r="H2125" s="3" t="s">
        <v>72</v>
      </c>
      <c r="I2125" s="3" t="s">
        <v>57</v>
      </c>
      <c r="J2125" s="3" t="s">
        <v>38</v>
      </c>
      <c r="K2125" s="2" t="str">
        <f aca="false">CONCATENATE(I2125," ",J2125)</f>
        <v>Gen sp</v>
      </c>
      <c r="L2125" s="3" t="n">
        <f aca="false">SUM(P2125:U2125)</f>
        <v>1</v>
      </c>
      <c r="M2125" s="11" t="n">
        <f aca="false">(L2125/(F2125*G2125)*25)*4</f>
        <v>4</v>
      </c>
      <c r="N2125" s="1" t="s">
        <v>19</v>
      </c>
      <c r="O2125" s="1" t="s">
        <v>54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1</v>
      </c>
      <c r="U2125" s="3" t="n">
        <v>0</v>
      </c>
      <c r="V2125" s="3" t="n">
        <f aca="false">SUM(P2125:Q2125)</f>
        <v>0</v>
      </c>
      <c r="W2125" s="3" t="n">
        <f aca="false">SUM(R2125:T2125)</f>
        <v>1</v>
      </c>
      <c r="X2125" s="22" t="n">
        <v>41794</v>
      </c>
      <c r="Y2125" s="22" t="n">
        <v>41799</v>
      </c>
    </row>
    <row r="2126" customFormat="false" ht="14.25" hidden="false" customHeight="false" outlineLevel="0" collapsed="false">
      <c r="A2126" s="1" t="n">
        <v>2014</v>
      </c>
      <c r="B2126" s="1" t="n">
        <v>1</v>
      </c>
      <c r="C2126" s="2" t="s">
        <v>25</v>
      </c>
      <c r="D2126" s="3" t="s">
        <v>101</v>
      </c>
      <c r="E2126" s="3" t="n">
        <v>2</v>
      </c>
      <c r="F2126" s="1" t="n">
        <f aca="false">Y2126-X2126</f>
        <v>5</v>
      </c>
      <c r="G2126" s="1" t="n">
        <v>5</v>
      </c>
      <c r="H2126" s="3" t="s">
        <v>48</v>
      </c>
      <c r="I2126" s="3" t="s">
        <v>57</v>
      </c>
      <c r="J2126" s="3" t="s">
        <v>38</v>
      </c>
      <c r="K2126" s="2" t="str">
        <f aca="false">CONCATENATE(I2126," ",J2126)</f>
        <v>Gen sp</v>
      </c>
      <c r="L2126" s="3" t="n">
        <f aca="false">SUM(P2126:U2126)</f>
        <v>1</v>
      </c>
      <c r="M2126" s="11" t="n">
        <f aca="false">(L2126/(F2126*G2126)*25)*4</f>
        <v>4</v>
      </c>
      <c r="N2126" s="1" t="s">
        <v>19</v>
      </c>
      <c r="O2126" s="1" t="s">
        <v>54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1</v>
      </c>
      <c r="U2126" s="3" t="n">
        <v>0</v>
      </c>
      <c r="V2126" s="3" t="n">
        <f aca="false">SUM(P2126:Q2126)</f>
        <v>0</v>
      </c>
      <c r="W2126" s="3" t="n">
        <f aca="false">SUM(R2126:T2126)</f>
        <v>1</v>
      </c>
      <c r="X2126" s="22" t="n">
        <v>41793</v>
      </c>
      <c r="Y2126" s="22" t="n">
        <v>41798</v>
      </c>
    </row>
    <row r="2127" customFormat="false" ht="14.25" hidden="false" customHeight="false" outlineLevel="0" collapsed="false">
      <c r="A2127" s="1" t="n">
        <v>2014</v>
      </c>
      <c r="B2127" s="1" t="n">
        <v>1</v>
      </c>
      <c r="C2127" s="2" t="s">
        <v>25</v>
      </c>
      <c r="D2127" s="3" t="s">
        <v>110</v>
      </c>
      <c r="E2127" s="3" t="n">
        <v>2</v>
      </c>
      <c r="F2127" s="1" t="n">
        <f aca="false">Y2127-X2127</f>
        <v>5</v>
      </c>
      <c r="G2127" s="1" t="n">
        <v>5</v>
      </c>
      <c r="H2127" s="3" t="s">
        <v>32</v>
      </c>
      <c r="I2127" s="3" t="s">
        <v>169</v>
      </c>
      <c r="J2127" s="3" t="s">
        <v>170</v>
      </c>
      <c r="K2127" s="2" t="str">
        <f aca="false">CONCATENATE(I2127," ",J2127)</f>
        <v>Abacoproeces saltuum</v>
      </c>
      <c r="L2127" s="3" t="n">
        <f aca="false">SUM(P2127:U2127)</f>
        <v>1</v>
      </c>
      <c r="M2127" s="11" t="n">
        <f aca="false">(L2127/(F2127*G2127)*25)*4</f>
        <v>4</v>
      </c>
      <c r="N2127" s="1" t="s">
        <v>30</v>
      </c>
      <c r="O2127" s="1" t="s">
        <v>35</v>
      </c>
      <c r="P2127" s="3" t="n">
        <v>0</v>
      </c>
      <c r="Q2127" s="3" t="n">
        <v>1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f aca="false">SUM(P2127:Q2127)</f>
        <v>1</v>
      </c>
      <c r="W2127" s="3" t="n">
        <f aca="false">SUM(R2127:T2127)</f>
        <v>0</v>
      </c>
      <c r="X2127" s="22" t="n">
        <v>41794</v>
      </c>
      <c r="Y2127" s="22" t="n">
        <v>41799</v>
      </c>
    </row>
    <row r="2128" customFormat="false" ht="14.25" hidden="false" customHeight="false" outlineLevel="0" collapsed="false">
      <c r="A2128" s="1" t="n">
        <v>2014</v>
      </c>
      <c r="B2128" s="1" t="n">
        <v>1</v>
      </c>
      <c r="C2128" s="2" t="s">
        <v>25</v>
      </c>
      <c r="D2128" s="3" t="s">
        <v>26</v>
      </c>
      <c r="E2128" s="3" t="n">
        <v>3</v>
      </c>
      <c r="F2128" s="1" t="n">
        <f aca="false">Y2128-X2128</f>
        <v>5</v>
      </c>
      <c r="G2128" s="1" t="n">
        <v>5</v>
      </c>
      <c r="H2128" s="3" t="s">
        <v>32</v>
      </c>
      <c r="I2128" s="3" t="s">
        <v>102</v>
      </c>
      <c r="J2128" s="3" t="s">
        <v>237</v>
      </c>
      <c r="K2128" s="2" t="str">
        <f aca="false">CONCATENATE(I2128," ",J2128)</f>
        <v>Agyneta sp (conigera-gulosa-innotabilis)</v>
      </c>
      <c r="L2128" s="3" t="n">
        <f aca="false">SUM(P2128:U2128)</f>
        <v>1</v>
      </c>
      <c r="M2128" s="11" t="n">
        <f aca="false">(L2128/(F2128*G2128)*25)*4</f>
        <v>4</v>
      </c>
      <c r="N2128" s="1" t="s">
        <v>30</v>
      </c>
      <c r="O2128" s="1" t="s">
        <v>35</v>
      </c>
      <c r="P2128" s="3" t="n">
        <v>0</v>
      </c>
      <c r="Q2128" s="3" t="n">
        <v>1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f aca="false">SUM(P2128:Q2128)</f>
        <v>1</v>
      </c>
      <c r="W2128" s="3" t="n">
        <f aca="false">SUM(R2128:T2128)</f>
        <v>0</v>
      </c>
      <c r="X2128" s="22" t="n">
        <v>41793</v>
      </c>
      <c r="Y2128" s="22" t="n">
        <v>41798</v>
      </c>
    </row>
    <row r="2129" customFormat="false" ht="14.25" hidden="false" customHeight="false" outlineLevel="0" collapsed="false">
      <c r="A2129" s="1" t="n">
        <v>2014</v>
      </c>
      <c r="B2129" s="1" t="n">
        <v>1</v>
      </c>
      <c r="C2129" s="2" t="s">
        <v>25</v>
      </c>
      <c r="D2129" s="3" t="s">
        <v>110</v>
      </c>
      <c r="E2129" s="3" t="n">
        <v>3</v>
      </c>
      <c r="F2129" s="1" t="n">
        <f aca="false">Y2129-X2129</f>
        <v>5</v>
      </c>
      <c r="G2129" s="1" t="n">
        <v>5</v>
      </c>
      <c r="H2129" s="3" t="s">
        <v>32</v>
      </c>
      <c r="I2129" s="3" t="s">
        <v>169</v>
      </c>
      <c r="J2129" s="3" t="s">
        <v>170</v>
      </c>
      <c r="K2129" s="2" t="str">
        <f aca="false">CONCATENATE(I2129," ",J2129)</f>
        <v>Abacoproeces saltuum</v>
      </c>
      <c r="L2129" s="3" t="n">
        <f aca="false">SUM(P2129:U2129)</f>
        <v>1</v>
      </c>
      <c r="M2129" s="11" t="n">
        <f aca="false">(L2129/(F2129*G2129)*25)*4</f>
        <v>4</v>
      </c>
      <c r="N2129" s="1" t="s">
        <v>30</v>
      </c>
      <c r="O2129" s="1" t="s">
        <v>31</v>
      </c>
      <c r="P2129" s="3" t="n">
        <v>1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f aca="false">SUM(P2129:Q2129)</f>
        <v>1</v>
      </c>
      <c r="W2129" s="3" t="n">
        <f aca="false">SUM(R2129:T2129)</f>
        <v>0</v>
      </c>
      <c r="X2129" s="22" t="n">
        <v>41794</v>
      </c>
      <c r="Y2129" s="22" t="n">
        <v>41799</v>
      </c>
    </row>
    <row r="2130" customFormat="false" ht="14.25" hidden="false" customHeight="false" outlineLevel="0" collapsed="false">
      <c r="A2130" s="1" t="n">
        <v>2014</v>
      </c>
      <c r="B2130" s="1" t="n">
        <v>1</v>
      </c>
      <c r="C2130" s="2" t="s">
        <v>50</v>
      </c>
      <c r="D2130" s="3" t="s">
        <v>158</v>
      </c>
      <c r="E2130" s="3" t="n">
        <v>2</v>
      </c>
      <c r="F2130" s="1" t="n">
        <f aca="false">Y2130-X2130</f>
        <v>5</v>
      </c>
      <c r="G2130" s="1" t="n">
        <v>5</v>
      </c>
      <c r="H2130" s="3" t="s">
        <v>32</v>
      </c>
      <c r="I2130" s="3" t="s">
        <v>96</v>
      </c>
      <c r="J2130" s="3" t="s">
        <v>97</v>
      </c>
      <c r="K2130" s="2" t="str">
        <f aca="false">CONCATENATE(I2130," ",J2130)</f>
        <v>Diplocephalus picinus</v>
      </c>
      <c r="L2130" s="3" t="n">
        <f aca="false">SUM(P2130:U2130)</f>
        <v>1</v>
      </c>
      <c r="M2130" s="11" t="n">
        <f aca="false">(L2130/(F2130*G2130)*25)*4</f>
        <v>4</v>
      </c>
      <c r="N2130" s="1" t="s">
        <v>30</v>
      </c>
      <c r="O2130" s="1" t="s">
        <v>31</v>
      </c>
      <c r="P2130" s="3" t="n">
        <v>1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f aca="false">SUM(P2130:Q2130)</f>
        <v>1</v>
      </c>
      <c r="W2130" s="3" t="n">
        <f aca="false">SUM(R2130:T2130)</f>
        <v>0</v>
      </c>
      <c r="X2130" s="22" t="n">
        <v>41793</v>
      </c>
      <c r="Y2130" s="22" t="n">
        <v>41798</v>
      </c>
    </row>
    <row r="2131" customFormat="false" ht="14.25" hidden="false" customHeight="false" outlineLevel="0" collapsed="false">
      <c r="A2131" s="1" t="n">
        <v>2014</v>
      </c>
      <c r="B2131" s="1" t="n">
        <v>1</v>
      </c>
      <c r="C2131" s="2" t="s">
        <v>25</v>
      </c>
      <c r="D2131" s="3" t="s">
        <v>110</v>
      </c>
      <c r="E2131" s="3" t="n">
        <v>3</v>
      </c>
      <c r="F2131" s="1" t="n">
        <f aca="false">Y2131-X2131</f>
        <v>5</v>
      </c>
      <c r="G2131" s="1" t="n">
        <v>5</v>
      </c>
      <c r="H2131" s="3" t="s">
        <v>36</v>
      </c>
      <c r="I2131" s="3" t="s">
        <v>131</v>
      </c>
      <c r="J2131" s="3" t="s">
        <v>133</v>
      </c>
      <c r="K2131" s="2" t="str">
        <f aca="false">CONCATENATE(I2131," ",J2131)</f>
        <v>Xysticus luctuosus</v>
      </c>
      <c r="L2131" s="3" t="n">
        <f aca="false">SUM(P2131:U2131)</f>
        <v>1</v>
      </c>
      <c r="M2131" s="11" t="n">
        <f aca="false">(L2131/(F2131*G2131)*25)*4</f>
        <v>4</v>
      </c>
      <c r="N2131" s="1" t="s">
        <v>30</v>
      </c>
      <c r="O2131" s="1" t="s">
        <v>31</v>
      </c>
      <c r="P2131" s="3" t="n">
        <v>1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f aca="false">SUM(P2131:Q2131)</f>
        <v>1</v>
      </c>
      <c r="W2131" s="3" t="n">
        <f aca="false">SUM(R2131:T2131)</f>
        <v>0</v>
      </c>
      <c r="X2131" s="22" t="n">
        <v>41794</v>
      </c>
      <c r="Y2131" s="22" t="n">
        <v>41799</v>
      </c>
    </row>
    <row r="2132" customFormat="false" ht="14.25" hidden="false" customHeight="false" outlineLevel="0" collapsed="false">
      <c r="A2132" s="1" t="n">
        <v>2014</v>
      </c>
      <c r="B2132" s="1" t="n">
        <v>1</v>
      </c>
      <c r="C2132" s="2" t="s">
        <v>25</v>
      </c>
      <c r="D2132" s="3" t="s">
        <v>110</v>
      </c>
      <c r="E2132" s="3" t="n">
        <v>3</v>
      </c>
      <c r="F2132" s="1" t="n">
        <f aca="false">Y2132-X2132</f>
        <v>5</v>
      </c>
      <c r="G2132" s="1" t="n">
        <v>5</v>
      </c>
      <c r="H2132" s="3" t="s">
        <v>48</v>
      </c>
      <c r="I2132" s="3" t="s">
        <v>49</v>
      </c>
      <c r="J2132" s="3" t="s">
        <v>130</v>
      </c>
      <c r="K2132" s="2" t="str">
        <f aca="false">CONCATENATE(I2132," ",J2132)</f>
        <v>Alopecosa aculeata</v>
      </c>
      <c r="L2132" s="3" t="n">
        <f aca="false">SUM(P2132:U2132)</f>
        <v>2</v>
      </c>
      <c r="M2132" s="11" t="n">
        <f aca="false">(L2132/(F2132*G2132)*25)*4</f>
        <v>8</v>
      </c>
      <c r="N2132" s="1" t="s">
        <v>30</v>
      </c>
      <c r="O2132" s="1" t="s">
        <v>31</v>
      </c>
      <c r="P2132" s="3" t="n">
        <v>2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f aca="false">SUM(P2132:Q2132)</f>
        <v>2</v>
      </c>
      <c r="W2132" s="3" t="n">
        <f aca="false">SUM(R2132:T2132)</f>
        <v>0</v>
      </c>
      <c r="X2132" s="22" t="n">
        <v>41794</v>
      </c>
      <c r="Y2132" s="22" t="n">
        <v>41799</v>
      </c>
    </row>
    <row r="2133" customFormat="false" ht="14.25" hidden="false" customHeight="false" outlineLevel="0" collapsed="false">
      <c r="A2133" s="1" t="n">
        <v>2014</v>
      </c>
      <c r="B2133" s="1" t="n">
        <v>1</v>
      </c>
      <c r="C2133" s="2" t="s">
        <v>25</v>
      </c>
      <c r="D2133" s="3" t="s">
        <v>110</v>
      </c>
      <c r="E2133" s="3" t="n">
        <v>3</v>
      </c>
      <c r="F2133" s="1" t="n">
        <f aca="false">Y2133-X2133</f>
        <v>5</v>
      </c>
      <c r="G2133" s="1" t="n">
        <v>5</v>
      </c>
      <c r="H2133" s="3" t="s">
        <v>48</v>
      </c>
      <c r="I2133" s="3" t="s">
        <v>49</v>
      </c>
      <c r="J2133" s="3" t="s">
        <v>130</v>
      </c>
      <c r="K2133" s="2" t="str">
        <f aca="false">CONCATENATE(I2133," ",J2133)</f>
        <v>Alopecosa aculeata</v>
      </c>
      <c r="L2133" s="3" t="n">
        <f aca="false">SUM(P2133:U2133)</f>
        <v>1</v>
      </c>
      <c r="M2133" s="11" t="n">
        <f aca="false">(L2133/(F2133*G2133)*25)*4</f>
        <v>4</v>
      </c>
      <c r="N2133" s="1" t="s">
        <v>30</v>
      </c>
      <c r="O2133" s="1" t="s">
        <v>35</v>
      </c>
      <c r="P2133" s="3" t="n">
        <v>0</v>
      </c>
      <c r="Q2133" s="3" t="n">
        <v>1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f aca="false">SUM(P2133:Q2133)</f>
        <v>1</v>
      </c>
      <c r="W2133" s="3" t="n">
        <f aca="false">SUM(R2133:T2133)</f>
        <v>0</v>
      </c>
      <c r="X2133" s="22" t="n">
        <v>41794</v>
      </c>
      <c r="Y2133" s="22" t="n">
        <v>41799</v>
      </c>
    </row>
    <row r="2134" customFormat="false" ht="14.25" hidden="false" customHeight="false" outlineLevel="0" collapsed="false">
      <c r="A2134" s="1" t="n">
        <v>2014</v>
      </c>
      <c r="B2134" s="1" t="n">
        <v>1</v>
      </c>
      <c r="C2134" s="2" t="s">
        <v>25</v>
      </c>
      <c r="D2134" s="3" t="s">
        <v>110</v>
      </c>
      <c r="E2134" s="3" t="n">
        <v>3</v>
      </c>
      <c r="F2134" s="1" t="n">
        <f aca="false">Y2134-X2134</f>
        <v>5</v>
      </c>
      <c r="G2134" s="1" t="n">
        <v>5</v>
      </c>
      <c r="H2134" s="3" t="s">
        <v>72</v>
      </c>
      <c r="I2134" s="3" t="s">
        <v>73</v>
      </c>
      <c r="J2134" s="3" t="s">
        <v>74</v>
      </c>
      <c r="K2134" s="2" t="str">
        <f aca="false">CONCATENATE(I2134," ",J2134)</f>
        <v>Zelotes subterraneus</v>
      </c>
      <c r="L2134" s="3" t="n">
        <f aca="false">SUM(P2134:U2134)</f>
        <v>1</v>
      </c>
      <c r="M2134" s="11" t="n">
        <f aca="false">(L2134/(F2134*G2134)*25)*4</f>
        <v>4</v>
      </c>
      <c r="N2134" s="1" t="s">
        <v>30</v>
      </c>
      <c r="O2134" s="1" t="s">
        <v>31</v>
      </c>
      <c r="P2134" s="3" t="n">
        <v>1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f aca="false">SUM(P2134:Q2134)</f>
        <v>1</v>
      </c>
      <c r="W2134" s="3" t="n">
        <f aca="false">SUM(R2134:T2134)</f>
        <v>0</v>
      </c>
      <c r="X2134" s="22" t="n">
        <v>41794</v>
      </c>
      <c r="Y2134" s="22" t="n">
        <v>41799</v>
      </c>
    </row>
    <row r="2135" customFormat="false" ht="14.25" hidden="false" customHeight="false" outlineLevel="0" collapsed="false">
      <c r="A2135" s="1" t="n">
        <v>2014</v>
      </c>
      <c r="B2135" s="1" t="n">
        <v>1</v>
      </c>
      <c r="C2135" s="2" t="s">
        <v>25</v>
      </c>
      <c r="D2135" s="3" t="s">
        <v>110</v>
      </c>
      <c r="E2135" s="3" t="n">
        <v>3</v>
      </c>
      <c r="F2135" s="1" t="n">
        <f aca="false">Y2135-X2135</f>
        <v>5</v>
      </c>
      <c r="G2135" s="1" t="n">
        <v>5</v>
      </c>
      <c r="H2135" s="3" t="s">
        <v>72</v>
      </c>
      <c r="I2135" s="3" t="s">
        <v>73</v>
      </c>
      <c r="J2135" s="3" t="s">
        <v>38</v>
      </c>
      <c r="K2135" s="2" t="str">
        <f aca="false">CONCATENATE(I2135," ",J2135)</f>
        <v>Zelotes sp</v>
      </c>
      <c r="L2135" s="3" t="n">
        <f aca="false">SUM(P2135:U2135)</f>
        <v>1</v>
      </c>
      <c r="M2135" s="11" t="n">
        <f aca="false">(L2135/(F2135*G2135)*25)*4</f>
        <v>4</v>
      </c>
      <c r="N2135" s="1" t="s">
        <v>19</v>
      </c>
      <c r="O2135" s="1" t="s">
        <v>54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1</v>
      </c>
      <c r="U2135" s="3" t="n">
        <v>0</v>
      </c>
      <c r="V2135" s="3" t="n">
        <f aca="false">SUM(P2135:Q2135)</f>
        <v>0</v>
      </c>
      <c r="W2135" s="3" t="n">
        <f aca="false">SUM(R2135:T2135)</f>
        <v>1</v>
      </c>
      <c r="X2135" s="22" t="n">
        <v>41794</v>
      </c>
      <c r="Y2135" s="22" t="n">
        <v>41799</v>
      </c>
    </row>
    <row r="2136" customFormat="false" ht="14.25" hidden="false" customHeight="false" outlineLevel="0" collapsed="false">
      <c r="A2136" s="1" t="n">
        <v>2014</v>
      </c>
      <c r="B2136" s="1" t="n">
        <v>1</v>
      </c>
      <c r="C2136" s="2" t="s">
        <v>25</v>
      </c>
      <c r="D2136" s="3" t="s">
        <v>110</v>
      </c>
      <c r="E2136" s="3" t="n">
        <v>3</v>
      </c>
      <c r="F2136" s="1" t="n">
        <f aca="false">Y2136-X2136</f>
        <v>5</v>
      </c>
      <c r="G2136" s="1" t="n">
        <v>5</v>
      </c>
      <c r="H2136" s="3" t="s">
        <v>48</v>
      </c>
      <c r="I2136" s="3" t="s">
        <v>67</v>
      </c>
      <c r="J2136" s="3" t="s">
        <v>127</v>
      </c>
      <c r="K2136" s="2" t="str">
        <f aca="false">CONCATENATE(I2136," ",J2136)</f>
        <v>Pardosa lugubris</v>
      </c>
      <c r="L2136" s="3" t="n">
        <f aca="false">SUM(P2136:U2136)</f>
        <v>1</v>
      </c>
      <c r="M2136" s="11" t="n">
        <f aca="false">(L2136/(F2136*G2136)*25)*4</f>
        <v>4</v>
      </c>
      <c r="N2136" s="1" t="s">
        <v>30</v>
      </c>
      <c r="O2136" s="1" t="s">
        <v>31</v>
      </c>
      <c r="P2136" s="3" t="n">
        <v>1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f aca="false">SUM(P2136:Q2136)</f>
        <v>1</v>
      </c>
      <c r="W2136" s="3" t="n">
        <f aca="false">SUM(R2136:T2136)</f>
        <v>0</v>
      </c>
      <c r="X2136" s="22" t="n">
        <v>41794</v>
      </c>
      <c r="Y2136" s="22" t="n">
        <v>41799</v>
      </c>
    </row>
    <row r="2137" customFormat="false" ht="14.25" hidden="false" customHeight="false" outlineLevel="0" collapsed="false">
      <c r="A2137" s="1" t="n">
        <v>2014</v>
      </c>
      <c r="B2137" s="1" t="n">
        <v>1</v>
      </c>
      <c r="C2137" s="2" t="s">
        <v>25</v>
      </c>
      <c r="D2137" s="3" t="s">
        <v>110</v>
      </c>
      <c r="E2137" s="3" t="n">
        <v>3</v>
      </c>
      <c r="F2137" s="1" t="n">
        <f aca="false">Y2137-X2137</f>
        <v>5</v>
      </c>
      <c r="G2137" s="1" t="n">
        <v>5</v>
      </c>
      <c r="H2137" s="3" t="s">
        <v>36</v>
      </c>
      <c r="I2137" s="3" t="s">
        <v>37</v>
      </c>
      <c r="J2137" s="3" t="s">
        <v>75</v>
      </c>
      <c r="K2137" s="2" t="str">
        <f aca="false">CONCATENATE(I2137," ",J2137)</f>
        <v>Ozyptila praticola</v>
      </c>
      <c r="L2137" s="3" t="n">
        <f aca="false">SUM(P2137:U2137)</f>
        <v>1</v>
      </c>
      <c r="M2137" s="11" t="n">
        <f aca="false">(L2137/(F2137*G2137)*25)*4</f>
        <v>4</v>
      </c>
      <c r="N2137" s="1" t="s">
        <v>30</v>
      </c>
      <c r="O2137" s="1" t="s">
        <v>31</v>
      </c>
      <c r="P2137" s="3" t="n">
        <v>1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f aca="false">SUM(P2137:Q2137)</f>
        <v>1</v>
      </c>
      <c r="W2137" s="3" t="n">
        <f aca="false">SUM(R2137:T2137)</f>
        <v>0</v>
      </c>
      <c r="X2137" s="22" t="n">
        <v>41794</v>
      </c>
      <c r="Y2137" s="22" t="n">
        <v>41799</v>
      </c>
    </row>
    <row r="2138" customFormat="false" ht="14.25" hidden="false" customHeight="false" outlineLevel="0" collapsed="false">
      <c r="A2138" s="1" t="n">
        <v>2014</v>
      </c>
      <c r="B2138" s="1" t="n">
        <v>1</v>
      </c>
      <c r="C2138" s="2" t="s">
        <v>25</v>
      </c>
      <c r="D2138" s="3" t="s">
        <v>110</v>
      </c>
      <c r="E2138" s="3" t="n">
        <v>3</v>
      </c>
      <c r="F2138" s="1" t="n">
        <f aca="false">Y2138-X2138</f>
        <v>5</v>
      </c>
      <c r="G2138" s="1" t="n">
        <v>5</v>
      </c>
      <c r="H2138" s="3" t="s">
        <v>72</v>
      </c>
      <c r="I2138" s="3" t="s">
        <v>86</v>
      </c>
      <c r="J2138" s="3" t="s">
        <v>87</v>
      </c>
      <c r="K2138" s="2" t="str">
        <f aca="false">CONCATENATE(I2138," ",J2138)</f>
        <v>Haplodrassus soerenseni</v>
      </c>
      <c r="L2138" s="3" t="n">
        <f aca="false">SUM(P2138:U2138)</f>
        <v>1</v>
      </c>
      <c r="M2138" s="11" t="n">
        <f aca="false">(L2138/(F2138*G2138)*25)*4</f>
        <v>4</v>
      </c>
      <c r="N2138" s="1" t="s">
        <v>30</v>
      </c>
      <c r="O2138" s="1" t="s">
        <v>31</v>
      </c>
      <c r="P2138" s="3" t="n">
        <v>1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f aca="false">SUM(P2138:Q2138)</f>
        <v>1</v>
      </c>
      <c r="W2138" s="3" t="n">
        <f aca="false">SUM(R2138:T2138)</f>
        <v>0</v>
      </c>
      <c r="X2138" s="22" t="n">
        <v>41794</v>
      </c>
      <c r="Y2138" s="22" t="n">
        <v>41799</v>
      </c>
    </row>
    <row r="2139" customFormat="false" ht="14.25" hidden="false" customHeight="false" outlineLevel="0" collapsed="false">
      <c r="A2139" s="1" t="n">
        <v>2014</v>
      </c>
      <c r="B2139" s="1" t="n">
        <v>1</v>
      </c>
      <c r="C2139" s="2" t="s">
        <v>25</v>
      </c>
      <c r="D2139" s="3" t="s">
        <v>110</v>
      </c>
      <c r="E2139" s="3" t="n">
        <v>3</v>
      </c>
      <c r="F2139" s="1" t="n">
        <f aca="false">Y2139-X2139</f>
        <v>5</v>
      </c>
      <c r="G2139" s="1" t="n">
        <v>5</v>
      </c>
      <c r="H2139" s="3" t="s">
        <v>72</v>
      </c>
      <c r="I2139" s="3" t="s">
        <v>86</v>
      </c>
      <c r="J2139" s="3" t="s">
        <v>87</v>
      </c>
      <c r="K2139" s="2" t="str">
        <f aca="false">CONCATENATE(I2139," ",J2139)</f>
        <v>Haplodrassus soerenseni</v>
      </c>
      <c r="L2139" s="3" t="n">
        <f aca="false">SUM(P2139:U2139)</f>
        <v>1</v>
      </c>
      <c r="M2139" s="11" t="n">
        <f aca="false">(L2139/(F2139*G2139)*25)*4</f>
        <v>4</v>
      </c>
      <c r="N2139" s="1" t="s">
        <v>30</v>
      </c>
      <c r="O2139" s="1" t="s">
        <v>35</v>
      </c>
      <c r="P2139" s="3" t="n">
        <v>0</v>
      </c>
      <c r="Q2139" s="3" t="n">
        <v>1</v>
      </c>
      <c r="R2139" s="3" t="n">
        <v>0</v>
      </c>
      <c r="S2139" s="3" t="n">
        <v>0</v>
      </c>
      <c r="T2139" s="3" t="n">
        <v>0</v>
      </c>
      <c r="U2139" s="3" t="n">
        <v>0</v>
      </c>
      <c r="V2139" s="3" t="n">
        <f aca="false">SUM(P2139:Q2139)</f>
        <v>1</v>
      </c>
      <c r="W2139" s="3" t="n">
        <f aca="false">SUM(R2139:T2139)</f>
        <v>0</v>
      </c>
      <c r="X2139" s="22" t="n">
        <v>41794</v>
      </c>
      <c r="Y2139" s="22" t="n">
        <v>41799</v>
      </c>
    </row>
    <row r="2140" customFormat="false" ht="14.25" hidden="false" customHeight="false" outlineLevel="0" collapsed="false">
      <c r="A2140" s="1" t="n">
        <v>2014</v>
      </c>
      <c r="B2140" s="1" t="n">
        <v>1</v>
      </c>
      <c r="C2140" s="2" t="s">
        <v>25</v>
      </c>
      <c r="D2140" s="3" t="s">
        <v>110</v>
      </c>
      <c r="E2140" s="3" t="n">
        <v>3</v>
      </c>
      <c r="F2140" s="1" t="n">
        <f aca="false">Y2140-X2140</f>
        <v>5</v>
      </c>
      <c r="G2140" s="1" t="n">
        <v>5</v>
      </c>
      <c r="H2140" s="3" t="s">
        <v>27</v>
      </c>
      <c r="I2140" s="3" t="s">
        <v>28</v>
      </c>
      <c r="J2140" s="3" t="s">
        <v>29</v>
      </c>
      <c r="K2140" s="2" t="str">
        <f aca="false">CONCATENATE(I2140," ",J2140)</f>
        <v>Robertus lividus</v>
      </c>
      <c r="L2140" s="3" t="n">
        <f aca="false">SUM(P2140:U2140)</f>
        <v>1</v>
      </c>
      <c r="M2140" s="11" t="n">
        <f aca="false">(L2140/(F2140*G2140)*25)*4</f>
        <v>4</v>
      </c>
      <c r="N2140" s="1" t="s">
        <v>30</v>
      </c>
      <c r="O2140" s="1" t="s">
        <v>35</v>
      </c>
      <c r="P2140" s="3" t="n">
        <v>0</v>
      </c>
      <c r="Q2140" s="3" t="n">
        <v>1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f aca="false">SUM(P2140:Q2140)</f>
        <v>1</v>
      </c>
      <c r="W2140" s="3" t="n">
        <f aca="false">SUM(R2140:T2140)</f>
        <v>0</v>
      </c>
      <c r="X2140" s="22" t="n">
        <v>41794</v>
      </c>
      <c r="Y2140" s="22" t="n">
        <v>41799</v>
      </c>
    </row>
    <row r="2141" customFormat="false" ht="14.25" hidden="false" customHeight="false" outlineLevel="0" collapsed="false">
      <c r="A2141" s="1" t="n">
        <v>2014</v>
      </c>
      <c r="B2141" s="1" t="n">
        <v>1</v>
      </c>
      <c r="C2141" s="2" t="s">
        <v>25</v>
      </c>
      <c r="D2141" s="3" t="s">
        <v>110</v>
      </c>
      <c r="E2141" s="3" t="n">
        <v>3</v>
      </c>
      <c r="F2141" s="1" t="n">
        <f aca="false">Y2141-X2141</f>
        <v>5</v>
      </c>
      <c r="G2141" s="1" t="n">
        <v>5</v>
      </c>
      <c r="H2141" s="3" t="s">
        <v>32</v>
      </c>
      <c r="I2141" s="3" t="s">
        <v>113</v>
      </c>
      <c r="J2141" s="3" t="s">
        <v>238</v>
      </c>
      <c r="K2141" s="2" t="str">
        <f aca="false">CONCATENATE(I2141," ",J2141)</f>
        <v>Ceratinella brevis</v>
      </c>
      <c r="L2141" s="3" t="n">
        <f aca="false">SUM(P2141:U2141)</f>
        <v>1</v>
      </c>
      <c r="M2141" s="11" t="n">
        <f aca="false">(L2141/(F2141*G2141)*25)*4</f>
        <v>4</v>
      </c>
      <c r="N2141" s="1" t="s">
        <v>30</v>
      </c>
      <c r="O2141" s="1" t="s">
        <v>31</v>
      </c>
      <c r="P2141" s="3" t="n">
        <v>1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f aca="false">SUM(P2141:Q2141)</f>
        <v>1</v>
      </c>
      <c r="W2141" s="3" t="n">
        <f aca="false">SUM(R2141:T2141)</f>
        <v>0</v>
      </c>
      <c r="X2141" s="22" t="n">
        <v>41794</v>
      </c>
      <c r="Y2141" s="22" t="n">
        <v>41799</v>
      </c>
    </row>
    <row r="2142" customFormat="false" ht="14.25" hidden="false" customHeight="false" outlineLevel="0" collapsed="false">
      <c r="A2142" s="1" t="n">
        <v>2014</v>
      </c>
      <c r="B2142" s="1" t="n">
        <v>1</v>
      </c>
      <c r="C2142" s="2" t="s">
        <v>25</v>
      </c>
      <c r="D2142" s="3" t="s">
        <v>110</v>
      </c>
      <c r="E2142" s="3" t="n">
        <v>3</v>
      </c>
      <c r="F2142" s="1" t="n">
        <f aca="false">Y2142-X2142</f>
        <v>5</v>
      </c>
      <c r="G2142" s="1" t="n">
        <v>5</v>
      </c>
      <c r="H2142" s="3" t="s">
        <v>32</v>
      </c>
      <c r="I2142" s="3" t="s">
        <v>169</v>
      </c>
      <c r="J2142" s="3" t="s">
        <v>170</v>
      </c>
      <c r="K2142" s="2" t="str">
        <f aca="false">CONCATENATE(I2142," ",J2142)</f>
        <v>Abacoproeces saltuum</v>
      </c>
      <c r="L2142" s="3" t="n">
        <f aca="false">SUM(P2142:U2142)</f>
        <v>1</v>
      </c>
      <c r="M2142" s="11" t="n">
        <f aca="false">(L2142/(F2142*G2142)*25)*4</f>
        <v>4</v>
      </c>
      <c r="N2142" s="1" t="s">
        <v>30</v>
      </c>
      <c r="O2142" s="1" t="s">
        <v>35</v>
      </c>
      <c r="P2142" s="3" t="n">
        <v>0</v>
      </c>
      <c r="Q2142" s="3" t="n">
        <v>1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f aca="false">SUM(P2142:Q2142)</f>
        <v>1</v>
      </c>
      <c r="W2142" s="3" t="n">
        <f aca="false">SUM(R2142:T2142)</f>
        <v>0</v>
      </c>
      <c r="X2142" s="22" t="n">
        <v>41794</v>
      </c>
      <c r="Y2142" s="22" t="n">
        <v>41799</v>
      </c>
    </row>
    <row r="2143" customFormat="false" ht="14.25" hidden="false" customHeight="false" outlineLevel="0" collapsed="false">
      <c r="A2143" s="1" t="n">
        <v>2014</v>
      </c>
      <c r="B2143" s="1" t="n">
        <v>1</v>
      </c>
      <c r="C2143" s="2" t="s">
        <v>25</v>
      </c>
      <c r="D2143" s="3" t="s">
        <v>110</v>
      </c>
      <c r="E2143" s="3" t="n">
        <v>3</v>
      </c>
      <c r="F2143" s="1" t="n">
        <f aca="false">Y2143-X2143</f>
        <v>5</v>
      </c>
      <c r="G2143" s="1" t="n">
        <v>5</v>
      </c>
      <c r="H2143" s="3" t="s">
        <v>32</v>
      </c>
      <c r="I2143" s="3" t="s">
        <v>169</v>
      </c>
      <c r="J2143" s="3" t="s">
        <v>170</v>
      </c>
      <c r="K2143" s="2" t="str">
        <f aca="false">CONCATENATE(I2143," ",J2143)</f>
        <v>Abacoproeces saltuum</v>
      </c>
      <c r="L2143" s="3" t="n">
        <f aca="false">SUM(P2143:U2143)</f>
        <v>1</v>
      </c>
      <c r="M2143" s="11" t="n">
        <f aca="false">(L2143/(F2143*G2143)*25)*4</f>
        <v>4</v>
      </c>
      <c r="N2143" s="1" t="s">
        <v>30</v>
      </c>
      <c r="O2143" s="1" t="s">
        <v>31</v>
      </c>
      <c r="P2143" s="3" t="n">
        <v>1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f aca="false">SUM(P2143:Q2143)</f>
        <v>1</v>
      </c>
      <c r="W2143" s="3" t="n">
        <f aca="false">SUM(R2143:T2143)</f>
        <v>0</v>
      </c>
      <c r="X2143" s="22" t="n">
        <v>41794</v>
      </c>
      <c r="Y2143" s="22" t="n">
        <v>41799</v>
      </c>
    </row>
    <row r="2144" customFormat="false" ht="14.25" hidden="false" customHeight="false" outlineLevel="0" collapsed="false">
      <c r="A2144" s="1" t="n">
        <v>2014</v>
      </c>
      <c r="B2144" s="1" t="n">
        <v>1</v>
      </c>
      <c r="C2144" s="2" t="s">
        <v>25</v>
      </c>
      <c r="D2144" s="3" t="s">
        <v>110</v>
      </c>
      <c r="E2144" s="3" t="n">
        <v>3</v>
      </c>
      <c r="F2144" s="1" t="n">
        <f aca="false">Y2144-X2144</f>
        <v>5</v>
      </c>
      <c r="G2144" s="1" t="n">
        <v>5</v>
      </c>
      <c r="H2144" s="3" t="s">
        <v>72</v>
      </c>
      <c r="I2144" s="3" t="s">
        <v>73</v>
      </c>
      <c r="J2144" s="3" t="s">
        <v>38</v>
      </c>
      <c r="K2144" s="2" t="str">
        <f aca="false">CONCATENATE(I2144," ",J2144)</f>
        <v>Zelotes sp</v>
      </c>
      <c r="L2144" s="3" t="n">
        <f aca="false">SUM(P2144:U2144)</f>
        <v>1</v>
      </c>
      <c r="M2144" s="11" t="n">
        <f aca="false">(L2144/(F2144*G2144)*25)*4</f>
        <v>4</v>
      </c>
      <c r="N2144" s="1" t="s">
        <v>19</v>
      </c>
      <c r="O2144" s="1" t="s">
        <v>31</v>
      </c>
      <c r="P2144" s="3" t="n">
        <v>0</v>
      </c>
      <c r="Q2144" s="3" t="n">
        <v>0</v>
      </c>
      <c r="R2144" s="3" t="n">
        <v>1</v>
      </c>
      <c r="S2144" s="3" t="n">
        <v>0</v>
      </c>
      <c r="T2144" s="3" t="n">
        <v>0</v>
      </c>
      <c r="U2144" s="3" t="n">
        <v>0</v>
      </c>
      <c r="V2144" s="3" t="n">
        <f aca="false">SUM(P2144:Q2144)</f>
        <v>0</v>
      </c>
      <c r="W2144" s="3" t="n">
        <f aca="false">SUM(R2144:T2144)</f>
        <v>1</v>
      </c>
      <c r="X2144" s="22" t="n">
        <v>41794</v>
      </c>
      <c r="Y2144" s="22" t="n">
        <v>41799</v>
      </c>
    </row>
    <row r="2145" customFormat="false" ht="14.25" hidden="false" customHeight="false" outlineLevel="0" collapsed="false">
      <c r="A2145" s="1" t="n">
        <v>2014</v>
      </c>
      <c r="B2145" s="1" t="n">
        <v>1</v>
      </c>
      <c r="C2145" s="2" t="s">
        <v>25</v>
      </c>
      <c r="D2145" s="3" t="s">
        <v>110</v>
      </c>
      <c r="E2145" s="3" t="n">
        <v>3</v>
      </c>
      <c r="F2145" s="1" t="n">
        <f aca="false">Y2145-X2145</f>
        <v>5</v>
      </c>
      <c r="G2145" s="1" t="n">
        <v>5</v>
      </c>
      <c r="H2145" s="3" t="s">
        <v>72</v>
      </c>
      <c r="I2145" s="3" t="s">
        <v>73</v>
      </c>
      <c r="J2145" s="3" t="s">
        <v>38</v>
      </c>
      <c r="K2145" s="2" t="str">
        <f aca="false">CONCATENATE(I2145," ",J2145)</f>
        <v>Zelotes sp</v>
      </c>
      <c r="L2145" s="3" t="n">
        <f aca="false">SUM(P2145:U2145)</f>
        <v>1</v>
      </c>
      <c r="M2145" s="11" t="n">
        <f aca="false">(L2145/(F2145*G2145)*25)*4</f>
        <v>4</v>
      </c>
      <c r="N2145" s="1" t="s">
        <v>19</v>
      </c>
      <c r="O2145" s="1" t="s">
        <v>35</v>
      </c>
      <c r="P2145" s="3" t="n">
        <v>0</v>
      </c>
      <c r="Q2145" s="3" t="n">
        <v>0</v>
      </c>
      <c r="R2145" s="3" t="n">
        <v>0</v>
      </c>
      <c r="S2145" s="3" t="n">
        <v>1</v>
      </c>
      <c r="T2145" s="3" t="n">
        <v>0</v>
      </c>
      <c r="U2145" s="3" t="n">
        <v>0</v>
      </c>
      <c r="V2145" s="3" t="n">
        <f aca="false">SUM(P2145:Q2145)</f>
        <v>0</v>
      </c>
      <c r="W2145" s="3" t="n">
        <f aca="false">SUM(R2145:T2145)</f>
        <v>1</v>
      </c>
      <c r="X2145" s="22" t="n">
        <v>41794</v>
      </c>
      <c r="Y2145" s="22" t="n">
        <v>41799</v>
      </c>
    </row>
    <row r="2146" customFormat="false" ht="14.25" hidden="false" customHeight="false" outlineLevel="0" collapsed="false">
      <c r="A2146" s="1" t="n">
        <v>2014</v>
      </c>
      <c r="B2146" s="1" t="n">
        <v>1</v>
      </c>
      <c r="C2146" s="2" t="s">
        <v>25</v>
      </c>
      <c r="D2146" s="3" t="s">
        <v>110</v>
      </c>
      <c r="E2146" s="3" t="n">
        <v>3</v>
      </c>
      <c r="F2146" s="1" t="n">
        <f aca="false">Y2146-X2146</f>
        <v>5</v>
      </c>
      <c r="G2146" s="1" t="n">
        <v>5</v>
      </c>
      <c r="H2146" s="3" t="s">
        <v>72</v>
      </c>
      <c r="I2146" s="3" t="s">
        <v>73</v>
      </c>
      <c r="J2146" s="3" t="s">
        <v>38</v>
      </c>
      <c r="K2146" s="2" t="str">
        <f aca="false">CONCATENATE(I2146," ",J2146)</f>
        <v>Zelotes sp</v>
      </c>
      <c r="L2146" s="3" t="n">
        <f aca="false">SUM(P2146:U2146)</f>
        <v>2</v>
      </c>
      <c r="M2146" s="11" t="n">
        <f aca="false">(L2146/(F2146*G2146)*25)*4</f>
        <v>8</v>
      </c>
      <c r="N2146" s="1" t="s">
        <v>19</v>
      </c>
      <c r="O2146" s="1" t="s">
        <v>54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2</v>
      </c>
      <c r="U2146" s="3" t="n">
        <v>0</v>
      </c>
      <c r="V2146" s="3" t="n">
        <f aca="false">SUM(P2146:Q2146)</f>
        <v>0</v>
      </c>
      <c r="W2146" s="3" t="n">
        <f aca="false">SUM(R2146:T2146)</f>
        <v>2</v>
      </c>
      <c r="X2146" s="22" t="n">
        <v>41794</v>
      </c>
      <c r="Y2146" s="22" t="n">
        <v>41799</v>
      </c>
    </row>
    <row r="2147" customFormat="false" ht="14.25" hidden="false" customHeight="false" outlineLevel="0" collapsed="false">
      <c r="A2147" s="1" t="n">
        <v>2014</v>
      </c>
      <c r="B2147" s="1" t="n">
        <v>1</v>
      </c>
      <c r="C2147" s="2" t="s">
        <v>25</v>
      </c>
      <c r="D2147" s="3" t="s">
        <v>110</v>
      </c>
      <c r="E2147" s="3" t="n">
        <v>3</v>
      </c>
      <c r="F2147" s="1" t="n">
        <f aca="false">Y2147-X2147</f>
        <v>5</v>
      </c>
      <c r="G2147" s="1" t="n">
        <v>5</v>
      </c>
      <c r="H2147" s="3" t="s">
        <v>72</v>
      </c>
      <c r="I2147" s="3" t="s">
        <v>73</v>
      </c>
      <c r="J2147" s="3" t="s">
        <v>74</v>
      </c>
      <c r="K2147" s="2" t="str">
        <f aca="false">CONCATENATE(I2147," ",J2147)</f>
        <v>Zelotes subterraneus</v>
      </c>
      <c r="L2147" s="3" t="n">
        <f aca="false">SUM(P2147:U2147)</f>
        <v>1</v>
      </c>
      <c r="M2147" s="11" t="n">
        <f aca="false">(L2147/(F2147*G2147)*25)*4</f>
        <v>4</v>
      </c>
      <c r="N2147" s="1" t="s">
        <v>30</v>
      </c>
      <c r="O2147" s="1" t="s">
        <v>31</v>
      </c>
      <c r="P2147" s="3" t="n">
        <v>1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f aca="false">SUM(P2147:Q2147)</f>
        <v>1</v>
      </c>
      <c r="W2147" s="3" t="n">
        <f aca="false">SUM(R2147:T2147)</f>
        <v>0</v>
      </c>
      <c r="X2147" s="22" t="n">
        <v>41794</v>
      </c>
      <c r="Y2147" s="22" t="n">
        <v>41799</v>
      </c>
    </row>
    <row r="2148" customFormat="false" ht="14.25" hidden="false" customHeight="false" outlineLevel="0" collapsed="false">
      <c r="A2148" s="1" t="n">
        <v>2014</v>
      </c>
      <c r="B2148" s="1" t="n">
        <v>1</v>
      </c>
      <c r="C2148" s="2" t="s">
        <v>25</v>
      </c>
      <c r="D2148" s="3" t="s">
        <v>110</v>
      </c>
      <c r="E2148" s="3" t="n">
        <v>3</v>
      </c>
      <c r="F2148" s="1" t="n">
        <f aca="false">Y2148-X2148</f>
        <v>5</v>
      </c>
      <c r="G2148" s="1" t="n">
        <v>5</v>
      </c>
      <c r="H2148" s="3" t="s">
        <v>72</v>
      </c>
      <c r="I2148" s="3" t="s">
        <v>86</v>
      </c>
      <c r="J2148" s="3" t="s">
        <v>134</v>
      </c>
      <c r="K2148" s="2" t="str">
        <f aca="false">CONCATENATE(I2148," ",J2148)</f>
        <v>Haplodrassus umbratilis</v>
      </c>
      <c r="L2148" s="3" t="n">
        <f aca="false">SUM(P2148:U2148)</f>
        <v>1</v>
      </c>
      <c r="M2148" s="11" t="n">
        <f aca="false">(L2148/(F2148*G2148)*25)*4</f>
        <v>4</v>
      </c>
      <c r="N2148" s="1" t="s">
        <v>30</v>
      </c>
      <c r="O2148" s="1" t="s">
        <v>31</v>
      </c>
      <c r="P2148" s="3" t="n">
        <v>1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f aca="false">SUM(P2148:Q2148)</f>
        <v>1</v>
      </c>
      <c r="W2148" s="3" t="n">
        <f aca="false">SUM(R2148:T2148)</f>
        <v>0</v>
      </c>
      <c r="X2148" s="22" t="n">
        <v>41794</v>
      </c>
      <c r="Y2148" s="22" t="n">
        <v>41799</v>
      </c>
    </row>
    <row r="2149" customFormat="false" ht="14.25" hidden="false" customHeight="false" outlineLevel="0" collapsed="false">
      <c r="A2149" s="1" t="n">
        <v>2014</v>
      </c>
      <c r="B2149" s="1" t="n">
        <v>1</v>
      </c>
      <c r="C2149" s="2" t="s">
        <v>25</v>
      </c>
      <c r="D2149" s="3" t="s">
        <v>110</v>
      </c>
      <c r="E2149" s="3" t="n">
        <v>3</v>
      </c>
      <c r="F2149" s="1" t="n">
        <f aca="false">Y2149-X2149</f>
        <v>5</v>
      </c>
      <c r="G2149" s="1" t="n">
        <v>5</v>
      </c>
      <c r="H2149" s="3" t="s">
        <v>36</v>
      </c>
      <c r="I2149" s="3" t="s">
        <v>131</v>
      </c>
      <c r="J2149" s="3" t="s">
        <v>133</v>
      </c>
      <c r="K2149" s="2" t="str">
        <f aca="false">CONCATENATE(I2149," ",J2149)</f>
        <v>Xysticus luctuosus</v>
      </c>
      <c r="L2149" s="3" t="n">
        <f aca="false">SUM(P2149:U2149)</f>
        <v>1</v>
      </c>
      <c r="M2149" s="11" t="n">
        <f aca="false">(L2149/(F2149*G2149)*25)*4</f>
        <v>4</v>
      </c>
      <c r="N2149" s="1" t="s">
        <v>30</v>
      </c>
      <c r="O2149" s="1" t="s">
        <v>31</v>
      </c>
      <c r="P2149" s="3" t="n">
        <v>1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f aca="false">SUM(P2149:Q2149)</f>
        <v>1</v>
      </c>
      <c r="W2149" s="3" t="n">
        <f aca="false">SUM(R2149:T2149)</f>
        <v>0</v>
      </c>
      <c r="X2149" s="22" t="n">
        <v>41794</v>
      </c>
      <c r="Y2149" s="22" t="n">
        <v>41799</v>
      </c>
    </row>
    <row r="2150" customFormat="false" ht="14.25" hidden="false" customHeight="false" outlineLevel="0" collapsed="false">
      <c r="A2150" s="1" t="n">
        <v>2014</v>
      </c>
      <c r="B2150" s="1" t="n">
        <v>1</v>
      </c>
      <c r="C2150" s="2" t="s">
        <v>25</v>
      </c>
      <c r="D2150" s="3" t="s">
        <v>110</v>
      </c>
      <c r="E2150" s="3" t="n">
        <v>3</v>
      </c>
      <c r="F2150" s="1" t="n">
        <f aca="false">Y2150-X2150</f>
        <v>5</v>
      </c>
      <c r="G2150" s="1" t="n">
        <v>5</v>
      </c>
      <c r="H2150" s="3" t="s">
        <v>48</v>
      </c>
      <c r="I2150" s="3" t="s">
        <v>67</v>
      </c>
      <c r="J2150" s="3" t="s">
        <v>127</v>
      </c>
      <c r="K2150" s="2" t="str">
        <f aca="false">CONCATENATE(I2150," ",J2150)</f>
        <v>Pardosa lugubris</v>
      </c>
      <c r="L2150" s="3" t="n">
        <f aca="false">SUM(P2150:U2150)</f>
        <v>2</v>
      </c>
      <c r="M2150" s="11" t="n">
        <f aca="false">(L2150/(F2150*G2150)*25)*4</f>
        <v>8</v>
      </c>
      <c r="N2150" s="1" t="s">
        <v>30</v>
      </c>
      <c r="O2150" s="1" t="s">
        <v>31</v>
      </c>
      <c r="P2150" s="3" t="n">
        <v>2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f aca="false">SUM(P2150:Q2150)</f>
        <v>2</v>
      </c>
      <c r="W2150" s="3" t="n">
        <f aca="false">SUM(R2150:T2150)</f>
        <v>0</v>
      </c>
      <c r="X2150" s="22" t="n">
        <v>41794</v>
      </c>
      <c r="Y2150" s="22" t="n">
        <v>41799</v>
      </c>
    </row>
    <row r="2151" customFormat="false" ht="14.25" hidden="false" customHeight="false" outlineLevel="0" collapsed="false">
      <c r="A2151" s="1" t="n">
        <v>2014</v>
      </c>
      <c r="B2151" s="1" t="n">
        <v>1</v>
      </c>
      <c r="C2151" s="2" t="s">
        <v>25</v>
      </c>
      <c r="D2151" s="3" t="s">
        <v>110</v>
      </c>
      <c r="E2151" s="3" t="n">
        <v>3</v>
      </c>
      <c r="F2151" s="1" t="n">
        <f aca="false">Y2151-X2151</f>
        <v>5</v>
      </c>
      <c r="G2151" s="1" t="n">
        <v>5</v>
      </c>
      <c r="H2151" s="3" t="s">
        <v>226</v>
      </c>
      <c r="I2151" s="3" t="s">
        <v>65</v>
      </c>
      <c r="J2151" s="3" t="s">
        <v>66</v>
      </c>
      <c r="K2151" s="2" t="str">
        <f aca="false">CONCATENATE(I2151," ",J2151)</f>
        <v>Zora Spinimana</v>
      </c>
      <c r="L2151" s="3" t="n">
        <f aca="false">SUM(P2151:U2151)</f>
        <v>1</v>
      </c>
      <c r="M2151" s="11" t="n">
        <f aca="false">(L2151/(F2151*G2151)*25)*4</f>
        <v>4</v>
      </c>
      <c r="N2151" s="1" t="s">
        <v>30</v>
      </c>
      <c r="O2151" s="1" t="s">
        <v>31</v>
      </c>
      <c r="P2151" s="3" t="n">
        <v>1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f aca="false">SUM(P2151:Q2151)</f>
        <v>1</v>
      </c>
      <c r="W2151" s="3" t="n">
        <f aca="false">SUM(R2151:T2151)</f>
        <v>0</v>
      </c>
      <c r="X2151" s="22" t="n">
        <v>41794</v>
      </c>
      <c r="Y2151" s="22" t="n">
        <v>41799</v>
      </c>
    </row>
    <row r="2152" customFormat="false" ht="14.25" hidden="false" customHeight="false" outlineLevel="0" collapsed="false">
      <c r="A2152" s="1" t="n">
        <v>2014</v>
      </c>
      <c r="B2152" s="1" t="n">
        <v>1</v>
      </c>
      <c r="C2152" s="2" t="s">
        <v>25</v>
      </c>
      <c r="D2152" s="3" t="s">
        <v>110</v>
      </c>
      <c r="E2152" s="3" t="n">
        <v>3</v>
      </c>
      <c r="F2152" s="1" t="n">
        <f aca="false">Y2152-X2152</f>
        <v>5</v>
      </c>
      <c r="G2152" s="1" t="n">
        <v>5</v>
      </c>
      <c r="H2152" s="3" t="s">
        <v>32</v>
      </c>
      <c r="I2152" s="3" t="s">
        <v>90</v>
      </c>
      <c r="J2152" s="3" t="s">
        <v>91</v>
      </c>
      <c r="K2152" s="2" t="str">
        <f aca="false">CONCATENATE(I2152," ",J2152)</f>
        <v>Tapinocyba insecta</v>
      </c>
      <c r="L2152" s="3" t="n">
        <f aca="false">SUM(P2152:U2152)</f>
        <v>1</v>
      </c>
      <c r="M2152" s="11" t="n">
        <f aca="false">(L2152/(F2152*G2152)*25)*4</f>
        <v>4</v>
      </c>
      <c r="N2152" s="1" t="s">
        <v>30</v>
      </c>
      <c r="O2152" s="1" t="s">
        <v>31</v>
      </c>
      <c r="P2152" s="3" t="n">
        <v>1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f aca="false">SUM(P2152:Q2152)</f>
        <v>1</v>
      </c>
      <c r="W2152" s="3" t="n">
        <f aca="false">SUM(R2152:T2152)</f>
        <v>0</v>
      </c>
      <c r="X2152" s="22" t="n">
        <v>41794</v>
      </c>
      <c r="Y2152" s="22" t="n">
        <v>41799</v>
      </c>
    </row>
    <row r="2153" customFormat="false" ht="14.25" hidden="false" customHeight="false" outlineLevel="0" collapsed="false">
      <c r="A2153" s="1" t="n">
        <v>2014</v>
      </c>
      <c r="B2153" s="1" t="n">
        <v>1</v>
      </c>
      <c r="C2153" s="2" t="s">
        <v>25</v>
      </c>
      <c r="D2153" s="3" t="s">
        <v>110</v>
      </c>
      <c r="E2153" s="3" t="n">
        <v>3</v>
      </c>
      <c r="F2153" s="1" t="n">
        <f aca="false">Y2153-X2153</f>
        <v>5</v>
      </c>
      <c r="G2153" s="1" t="n">
        <v>5</v>
      </c>
      <c r="H2153" s="3" t="s">
        <v>32</v>
      </c>
      <c r="I2153" s="3" t="s">
        <v>169</v>
      </c>
      <c r="J2153" s="3" t="s">
        <v>170</v>
      </c>
      <c r="K2153" s="2" t="str">
        <f aca="false">CONCATENATE(I2153," ",J2153)</f>
        <v>Abacoproeces saltuum</v>
      </c>
      <c r="L2153" s="3" t="n">
        <f aca="false">SUM(P2153:U2153)</f>
        <v>2</v>
      </c>
      <c r="M2153" s="11" t="n">
        <f aca="false">(L2153/(F2153*G2153)*25)*4</f>
        <v>8</v>
      </c>
      <c r="N2153" s="1" t="s">
        <v>30</v>
      </c>
      <c r="O2153" s="1" t="s">
        <v>31</v>
      </c>
      <c r="P2153" s="3" t="n">
        <v>2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f aca="false">SUM(P2153:Q2153)</f>
        <v>2</v>
      </c>
      <c r="W2153" s="3" t="n">
        <f aca="false">SUM(R2153:T2153)</f>
        <v>0</v>
      </c>
      <c r="X2153" s="22" t="n">
        <v>41794</v>
      </c>
      <c r="Y2153" s="22" t="n">
        <v>41799</v>
      </c>
    </row>
    <row r="2154" customFormat="false" ht="14.25" hidden="false" customHeight="false" outlineLevel="0" collapsed="false">
      <c r="A2154" s="1" t="n">
        <v>2014</v>
      </c>
      <c r="B2154" s="1" t="n">
        <v>1</v>
      </c>
      <c r="C2154" s="2" t="s">
        <v>25</v>
      </c>
      <c r="D2154" s="3" t="s">
        <v>110</v>
      </c>
      <c r="E2154" s="3" t="n">
        <v>3</v>
      </c>
      <c r="F2154" s="1" t="n">
        <f aca="false">Y2154-X2154</f>
        <v>5</v>
      </c>
      <c r="G2154" s="1" t="n">
        <v>5</v>
      </c>
      <c r="H2154" s="3" t="s">
        <v>36</v>
      </c>
      <c r="I2154" s="3" t="s">
        <v>131</v>
      </c>
      <c r="J2154" s="3" t="s">
        <v>133</v>
      </c>
      <c r="K2154" s="2" t="str">
        <f aca="false">CONCATENATE(I2154," ",J2154)</f>
        <v>Xysticus luctuosus</v>
      </c>
      <c r="L2154" s="3" t="n">
        <f aca="false">SUM(P2154:U2154)</f>
        <v>1</v>
      </c>
      <c r="M2154" s="11" t="n">
        <f aca="false">(L2154/(F2154*G2154)*25)*4</f>
        <v>4</v>
      </c>
      <c r="N2154" s="1" t="s">
        <v>30</v>
      </c>
      <c r="O2154" s="1" t="s">
        <v>31</v>
      </c>
      <c r="P2154" s="3" t="n">
        <v>1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f aca="false">SUM(P2154:Q2154)</f>
        <v>1</v>
      </c>
      <c r="W2154" s="3" t="n">
        <f aca="false">SUM(R2154:T2154)</f>
        <v>0</v>
      </c>
      <c r="X2154" s="22" t="n">
        <v>41794</v>
      </c>
      <c r="Y2154" s="22" t="n">
        <v>41799</v>
      </c>
    </row>
    <row r="2155" customFormat="false" ht="14.25" hidden="false" customHeight="false" outlineLevel="0" collapsed="false">
      <c r="A2155" s="1" t="n">
        <v>2014</v>
      </c>
      <c r="B2155" s="1" t="n">
        <v>1</v>
      </c>
      <c r="C2155" s="2" t="s">
        <v>25</v>
      </c>
      <c r="D2155" s="3" t="s">
        <v>110</v>
      </c>
      <c r="E2155" s="3" t="n">
        <v>3</v>
      </c>
      <c r="F2155" s="1" t="n">
        <f aca="false">Y2155-X2155</f>
        <v>5</v>
      </c>
      <c r="G2155" s="1" t="n">
        <v>5</v>
      </c>
      <c r="H2155" s="3" t="s">
        <v>226</v>
      </c>
      <c r="I2155" s="3" t="s">
        <v>65</v>
      </c>
      <c r="J2155" s="3" t="s">
        <v>66</v>
      </c>
      <c r="K2155" s="2" t="str">
        <f aca="false">CONCATENATE(I2155," ",J2155)</f>
        <v>Zora Spinimana</v>
      </c>
      <c r="L2155" s="3" t="n">
        <f aca="false">SUM(P2155:U2155)</f>
        <v>1</v>
      </c>
      <c r="M2155" s="11" t="n">
        <f aca="false">(L2155/(F2155*G2155)*25)*4</f>
        <v>4</v>
      </c>
      <c r="N2155" s="1" t="s">
        <v>30</v>
      </c>
      <c r="O2155" s="1" t="s">
        <v>31</v>
      </c>
      <c r="P2155" s="3" t="n">
        <v>1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f aca="false">SUM(P2155:Q2155)</f>
        <v>1</v>
      </c>
      <c r="W2155" s="3" t="n">
        <f aca="false">SUM(R2155:T2155)</f>
        <v>0</v>
      </c>
      <c r="X2155" s="22" t="n">
        <v>41794</v>
      </c>
      <c r="Y2155" s="22" t="n">
        <v>41799</v>
      </c>
    </row>
    <row r="2156" customFormat="false" ht="14.25" hidden="false" customHeight="false" outlineLevel="0" collapsed="false">
      <c r="A2156" s="1" t="n">
        <v>2014</v>
      </c>
      <c r="B2156" s="1" t="n">
        <v>1</v>
      </c>
      <c r="C2156" s="2" t="s">
        <v>25</v>
      </c>
      <c r="D2156" s="3" t="s">
        <v>110</v>
      </c>
      <c r="E2156" s="3" t="n">
        <v>3</v>
      </c>
      <c r="F2156" s="1" t="n">
        <f aca="false">Y2156-X2156</f>
        <v>5</v>
      </c>
      <c r="G2156" s="1" t="n">
        <v>5</v>
      </c>
      <c r="H2156" s="3" t="s">
        <v>72</v>
      </c>
      <c r="I2156" s="3" t="s">
        <v>73</v>
      </c>
      <c r="J2156" s="3" t="s">
        <v>38</v>
      </c>
      <c r="K2156" s="2" t="str">
        <f aca="false">CONCATENATE(I2156," ",J2156)</f>
        <v>Zelotes sp</v>
      </c>
      <c r="L2156" s="3" t="n">
        <f aca="false">SUM(P2156:U2156)</f>
        <v>1</v>
      </c>
      <c r="M2156" s="11" t="n">
        <f aca="false">(L2156/(F2156*G2156)*25)*4</f>
        <v>4</v>
      </c>
      <c r="N2156" s="1" t="s">
        <v>19</v>
      </c>
      <c r="O2156" s="1" t="s">
        <v>54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1</v>
      </c>
      <c r="U2156" s="3" t="n">
        <v>0</v>
      </c>
      <c r="V2156" s="3" t="n">
        <f aca="false">SUM(P2156:Q2156)</f>
        <v>0</v>
      </c>
      <c r="W2156" s="3" t="n">
        <f aca="false">SUM(R2156:T2156)</f>
        <v>1</v>
      </c>
      <c r="X2156" s="22" t="n">
        <v>41794</v>
      </c>
      <c r="Y2156" s="22" t="n">
        <v>41799</v>
      </c>
    </row>
    <row r="2157" customFormat="false" ht="14.25" hidden="false" customHeight="false" outlineLevel="0" collapsed="false">
      <c r="A2157" s="1" t="n">
        <v>2014</v>
      </c>
      <c r="B2157" s="1" t="n">
        <v>1</v>
      </c>
      <c r="C2157" s="2" t="s">
        <v>25</v>
      </c>
      <c r="D2157" s="3" t="s">
        <v>110</v>
      </c>
      <c r="E2157" s="3" t="n">
        <v>3</v>
      </c>
      <c r="F2157" s="1" t="n">
        <f aca="false">Y2157-X2157</f>
        <v>5</v>
      </c>
      <c r="G2157" s="1" t="n">
        <v>5</v>
      </c>
      <c r="H2157" s="3" t="s">
        <v>48</v>
      </c>
      <c r="I2157" s="3" t="s">
        <v>49</v>
      </c>
      <c r="J2157" s="3" t="s">
        <v>130</v>
      </c>
      <c r="K2157" s="2" t="str">
        <f aca="false">CONCATENATE(I2157," ",J2157)</f>
        <v>Alopecosa aculeata</v>
      </c>
      <c r="L2157" s="3" t="n">
        <f aca="false">SUM(P2157:U2157)</f>
        <v>1</v>
      </c>
      <c r="M2157" s="11" t="n">
        <f aca="false">(L2157/(F2157*G2157)*25)*4</f>
        <v>4</v>
      </c>
      <c r="N2157" s="1" t="s">
        <v>30</v>
      </c>
      <c r="O2157" s="1" t="s">
        <v>35</v>
      </c>
      <c r="P2157" s="3" t="n">
        <v>0</v>
      </c>
      <c r="Q2157" s="3" t="n">
        <v>1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f aca="false">SUM(P2157:Q2157)</f>
        <v>1</v>
      </c>
      <c r="W2157" s="3" t="n">
        <f aca="false">SUM(R2157:T2157)</f>
        <v>0</v>
      </c>
      <c r="X2157" s="22" t="n">
        <v>41794</v>
      </c>
      <c r="Y2157" s="22" t="n">
        <v>41799</v>
      </c>
    </row>
    <row r="2158" customFormat="false" ht="14.25" hidden="false" customHeight="false" outlineLevel="0" collapsed="false">
      <c r="A2158" s="1" t="n">
        <v>2014</v>
      </c>
      <c r="B2158" s="1" t="n">
        <v>1</v>
      </c>
      <c r="C2158" s="2" t="s">
        <v>25</v>
      </c>
      <c r="D2158" s="3" t="s">
        <v>110</v>
      </c>
      <c r="E2158" s="3" t="n">
        <v>3</v>
      </c>
      <c r="F2158" s="1" t="n">
        <f aca="false">Y2158-X2158</f>
        <v>5</v>
      </c>
      <c r="G2158" s="1" t="n">
        <v>5</v>
      </c>
      <c r="H2158" s="3" t="s">
        <v>48</v>
      </c>
      <c r="I2158" s="3" t="s">
        <v>49</v>
      </c>
      <c r="J2158" s="3" t="s">
        <v>104</v>
      </c>
      <c r="K2158" s="2" t="str">
        <f aca="false">CONCATENATE(I2158," ",J2158)</f>
        <v>Alopecosa taeniata</v>
      </c>
      <c r="L2158" s="3" t="n">
        <f aca="false">SUM(P2158:U2158)</f>
        <v>1</v>
      </c>
      <c r="M2158" s="11" t="n">
        <f aca="false">(L2158/(F2158*G2158)*25)*4</f>
        <v>4</v>
      </c>
      <c r="N2158" s="1" t="s">
        <v>30</v>
      </c>
      <c r="O2158" s="1" t="s">
        <v>31</v>
      </c>
      <c r="P2158" s="3" t="n">
        <v>1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f aca="false">SUM(P2158:Q2158)</f>
        <v>1</v>
      </c>
      <c r="W2158" s="3" t="n">
        <f aca="false">SUM(R2158:T2158)</f>
        <v>0</v>
      </c>
      <c r="X2158" s="22" t="n">
        <v>41794</v>
      </c>
      <c r="Y2158" s="22" t="n">
        <v>41799</v>
      </c>
    </row>
    <row r="2159" customFormat="false" ht="14.25" hidden="false" customHeight="false" outlineLevel="0" collapsed="false">
      <c r="A2159" s="1" t="n">
        <v>2014</v>
      </c>
      <c r="B2159" s="1" t="n">
        <v>1</v>
      </c>
      <c r="C2159" s="2" t="s">
        <v>25</v>
      </c>
      <c r="D2159" s="3" t="s">
        <v>110</v>
      </c>
      <c r="E2159" s="3" t="n">
        <v>3</v>
      </c>
      <c r="F2159" s="1" t="n">
        <f aca="false">Y2159-X2159</f>
        <v>5</v>
      </c>
      <c r="G2159" s="1" t="n">
        <v>5</v>
      </c>
      <c r="H2159" s="3" t="s">
        <v>48</v>
      </c>
      <c r="I2159" s="3" t="s">
        <v>67</v>
      </c>
      <c r="J2159" s="3" t="s">
        <v>127</v>
      </c>
      <c r="K2159" s="2" t="str">
        <f aca="false">CONCATENATE(I2159," ",J2159)</f>
        <v>Pardosa lugubris</v>
      </c>
      <c r="L2159" s="3" t="n">
        <f aca="false">SUM(P2159:U2159)</f>
        <v>1</v>
      </c>
      <c r="M2159" s="11" t="n">
        <f aca="false">(L2159/(F2159*G2159)*25)*4</f>
        <v>4</v>
      </c>
      <c r="N2159" s="1" t="s">
        <v>30</v>
      </c>
      <c r="O2159" s="1" t="s">
        <v>31</v>
      </c>
      <c r="P2159" s="3" t="n">
        <v>1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f aca="false">SUM(P2159:Q2159)</f>
        <v>1</v>
      </c>
      <c r="W2159" s="3" t="n">
        <f aca="false">SUM(R2159:T2159)</f>
        <v>0</v>
      </c>
      <c r="X2159" s="22" t="n">
        <v>41794</v>
      </c>
      <c r="Y2159" s="22" t="n">
        <v>41799</v>
      </c>
    </row>
    <row r="2160" customFormat="false" ht="14.25" hidden="false" customHeight="false" outlineLevel="0" collapsed="false">
      <c r="A2160" s="1" t="n">
        <v>2014</v>
      </c>
      <c r="B2160" s="1" t="n">
        <v>1</v>
      </c>
      <c r="C2160" s="2" t="s">
        <v>25</v>
      </c>
      <c r="D2160" s="3" t="s">
        <v>110</v>
      </c>
      <c r="E2160" s="3" t="n">
        <v>3</v>
      </c>
      <c r="F2160" s="1" t="n">
        <f aca="false">Y2160-X2160</f>
        <v>5</v>
      </c>
      <c r="G2160" s="1" t="n">
        <v>5</v>
      </c>
      <c r="H2160" s="3" t="s">
        <v>36</v>
      </c>
      <c r="I2160" s="3" t="s">
        <v>37</v>
      </c>
      <c r="J2160" s="3" t="s">
        <v>75</v>
      </c>
      <c r="K2160" s="2" t="str">
        <f aca="false">CONCATENATE(I2160," ",J2160)</f>
        <v>Ozyptila praticola</v>
      </c>
      <c r="L2160" s="3" t="n">
        <f aca="false">SUM(P2160:U2160)</f>
        <v>1</v>
      </c>
      <c r="M2160" s="11" t="n">
        <f aca="false">(L2160/(F2160*G2160)*25)*4</f>
        <v>4</v>
      </c>
      <c r="N2160" s="1" t="s">
        <v>30</v>
      </c>
      <c r="O2160" s="1" t="s">
        <v>31</v>
      </c>
      <c r="P2160" s="3" t="n">
        <v>1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f aca="false">SUM(P2160:Q2160)</f>
        <v>1</v>
      </c>
      <c r="W2160" s="3" t="n">
        <f aca="false">SUM(R2160:T2160)</f>
        <v>0</v>
      </c>
      <c r="X2160" s="22" t="n">
        <v>41794</v>
      </c>
      <c r="Y2160" s="22" t="n">
        <v>41799</v>
      </c>
    </row>
    <row r="2161" customFormat="false" ht="14.25" hidden="false" customHeight="false" outlineLevel="0" collapsed="false">
      <c r="A2161" s="1" t="n">
        <v>2014</v>
      </c>
      <c r="B2161" s="1" t="n">
        <v>1</v>
      </c>
      <c r="C2161" s="2" t="s">
        <v>25</v>
      </c>
      <c r="D2161" s="3" t="s">
        <v>110</v>
      </c>
      <c r="E2161" s="3" t="n">
        <v>3</v>
      </c>
      <c r="F2161" s="1" t="n">
        <f aca="false">Y2161-X2161</f>
        <v>5</v>
      </c>
      <c r="G2161" s="1" t="n">
        <v>5</v>
      </c>
      <c r="H2161" s="3" t="s">
        <v>27</v>
      </c>
      <c r="I2161" s="3" t="s">
        <v>28</v>
      </c>
      <c r="J2161" s="3" t="s">
        <v>29</v>
      </c>
      <c r="K2161" s="2" t="str">
        <f aca="false">CONCATENATE(I2161," ",J2161)</f>
        <v>Robertus lividus</v>
      </c>
      <c r="L2161" s="3" t="n">
        <f aca="false">SUM(P2161:U2161)</f>
        <v>1</v>
      </c>
      <c r="M2161" s="11" t="n">
        <f aca="false">(L2161/(F2161*G2161)*25)*4</f>
        <v>4</v>
      </c>
      <c r="N2161" s="1" t="s">
        <v>30</v>
      </c>
      <c r="O2161" s="1" t="s">
        <v>31</v>
      </c>
      <c r="P2161" s="3" t="n">
        <v>1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f aca="false">SUM(P2161:Q2161)</f>
        <v>1</v>
      </c>
      <c r="W2161" s="3" t="n">
        <f aca="false">SUM(R2161:T2161)</f>
        <v>0</v>
      </c>
      <c r="X2161" s="22" t="n">
        <v>41794</v>
      </c>
      <c r="Y2161" s="22" t="n">
        <v>41799</v>
      </c>
    </row>
    <row r="2162" customFormat="false" ht="14.25" hidden="false" customHeight="false" outlineLevel="0" collapsed="false">
      <c r="A2162" s="1" t="n">
        <v>2014</v>
      </c>
      <c r="B2162" s="1" t="n">
        <v>1</v>
      </c>
      <c r="C2162" s="2" t="s">
        <v>25</v>
      </c>
      <c r="D2162" s="3" t="s">
        <v>110</v>
      </c>
      <c r="E2162" s="3" t="n">
        <v>3</v>
      </c>
      <c r="F2162" s="1" t="n">
        <f aca="false">Y2162-X2162</f>
        <v>5</v>
      </c>
      <c r="G2162" s="1" t="n">
        <v>5</v>
      </c>
      <c r="H2162" s="3" t="s">
        <v>32</v>
      </c>
      <c r="I2162" s="3" t="s">
        <v>102</v>
      </c>
      <c r="J2162" s="3" t="s">
        <v>117</v>
      </c>
      <c r="K2162" s="2" t="str">
        <f aca="false">CONCATENATE(I2162," ",J2162)</f>
        <v>Agyneta affinis</v>
      </c>
      <c r="L2162" s="3" t="n">
        <f aca="false">SUM(P2162:U2162)</f>
        <v>1</v>
      </c>
      <c r="M2162" s="11" t="n">
        <f aca="false">(L2162/(F2162*G2162)*25)*4</f>
        <v>4</v>
      </c>
      <c r="N2162" s="1" t="s">
        <v>30</v>
      </c>
      <c r="O2162" s="1" t="s">
        <v>31</v>
      </c>
      <c r="P2162" s="3" t="n">
        <v>1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f aca="false">SUM(P2162:Q2162)</f>
        <v>1</v>
      </c>
      <c r="W2162" s="3" t="n">
        <f aca="false">SUM(R2162:T2162)</f>
        <v>0</v>
      </c>
      <c r="X2162" s="22" t="n">
        <v>41794</v>
      </c>
      <c r="Y2162" s="22" t="n">
        <v>41799</v>
      </c>
    </row>
    <row r="2163" customFormat="false" ht="14.25" hidden="false" customHeight="false" outlineLevel="0" collapsed="false">
      <c r="A2163" s="1" t="n">
        <v>2014</v>
      </c>
      <c r="B2163" s="1" t="n">
        <v>1</v>
      </c>
      <c r="C2163" s="2" t="s">
        <v>25</v>
      </c>
      <c r="D2163" s="3" t="s">
        <v>110</v>
      </c>
      <c r="E2163" s="3" t="n">
        <v>3</v>
      </c>
      <c r="F2163" s="1" t="n">
        <f aca="false">Y2163-X2163</f>
        <v>5</v>
      </c>
      <c r="G2163" s="1" t="n">
        <v>5</v>
      </c>
      <c r="H2163" s="3" t="s">
        <v>32</v>
      </c>
      <c r="I2163" s="3" t="s">
        <v>169</v>
      </c>
      <c r="J2163" s="3" t="s">
        <v>170</v>
      </c>
      <c r="K2163" s="2" t="str">
        <f aca="false">CONCATENATE(I2163," ",J2163)</f>
        <v>Abacoproeces saltuum</v>
      </c>
      <c r="L2163" s="3" t="n">
        <f aca="false">SUM(P2163:U2163)</f>
        <v>2</v>
      </c>
      <c r="M2163" s="11" t="n">
        <f aca="false">(L2163/(F2163*G2163)*25)*4</f>
        <v>8</v>
      </c>
      <c r="N2163" s="1" t="s">
        <v>30</v>
      </c>
      <c r="O2163" s="1" t="s">
        <v>31</v>
      </c>
      <c r="P2163" s="3" t="n">
        <v>2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f aca="false">SUM(P2163:Q2163)</f>
        <v>2</v>
      </c>
      <c r="W2163" s="3" t="n">
        <f aca="false">SUM(R2163:T2163)</f>
        <v>0</v>
      </c>
      <c r="X2163" s="22" t="n">
        <v>41794</v>
      </c>
      <c r="Y2163" s="22" t="n">
        <v>41799</v>
      </c>
    </row>
    <row r="2164" customFormat="false" ht="14.25" hidden="false" customHeight="false" outlineLevel="0" collapsed="false">
      <c r="A2164" s="1" t="n">
        <v>2014</v>
      </c>
      <c r="B2164" s="1" t="n">
        <v>1</v>
      </c>
      <c r="C2164" s="2" t="s">
        <v>25</v>
      </c>
      <c r="D2164" s="3" t="s">
        <v>110</v>
      </c>
      <c r="E2164" s="3" t="n">
        <v>3</v>
      </c>
      <c r="F2164" s="1" t="n">
        <f aca="false">Y2164-X2164</f>
        <v>5</v>
      </c>
      <c r="G2164" s="1" t="n">
        <v>5</v>
      </c>
      <c r="H2164" s="3" t="s">
        <v>72</v>
      </c>
      <c r="I2164" s="3" t="s">
        <v>73</v>
      </c>
      <c r="J2164" s="3" t="s">
        <v>38</v>
      </c>
      <c r="K2164" s="2" t="str">
        <f aca="false">CONCATENATE(I2164," ",J2164)</f>
        <v>Zelotes sp</v>
      </c>
      <c r="L2164" s="3" t="n">
        <f aca="false">SUM(P2164:U2164)</f>
        <v>1</v>
      </c>
      <c r="M2164" s="11" t="n">
        <f aca="false">(L2164/(F2164*G2164)*25)*4</f>
        <v>4</v>
      </c>
      <c r="N2164" s="1" t="s">
        <v>19</v>
      </c>
      <c r="O2164" s="1" t="s">
        <v>54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1</v>
      </c>
      <c r="U2164" s="3" t="n">
        <v>0</v>
      </c>
      <c r="V2164" s="3" t="n">
        <f aca="false">SUM(P2164:Q2164)</f>
        <v>0</v>
      </c>
      <c r="W2164" s="3" t="n">
        <f aca="false">SUM(R2164:T2164)</f>
        <v>1</v>
      </c>
      <c r="X2164" s="22" t="n">
        <v>41794</v>
      </c>
      <c r="Y2164" s="22" t="n">
        <v>41799</v>
      </c>
    </row>
    <row r="2165" customFormat="false" ht="14.25" hidden="false" customHeight="false" outlineLevel="0" collapsed="false">
      <c r="A2165" s="1" t="n">
        <v>2014</v>
      </c>
      <c r="B2165" s="1" t="n">
        <v>1</v>
      </c>
      <c r="C2165" s="2" t="s">
        <v>25</v>
      </c>
      <c r="D2165" s="3" t="s">
        <v>110</v>
      </c>
      <c r="E2165" s="3" t="n">
        <v>2</v>
      </c>
      <c r="F2165" s="1" t="n">
        <f aca="false">Y2165-X2165</f>
        <v>5</v>
      </c>
      <c r="G2165" s="1" t="n">
        <v>5</v>
      </c>
      <c r="H2165" s="3" t="s">
        <v>72</v>
      </c>
      <c r="I2165" s="3" t="s">
        <v>73</v>
      </c>
      <c r="J2165" s="3" t="s">
        <v>74</v>
      </c>
      <c r="K2165" s="2" t="str">
        <f aca="false">CONCATENATE(I2165," ",J2165)</f>
        <v>Zelotes subterraneus</v>
      </c>
      <c r="L2165" s="3" t="n">
        <f aca="false">SUM(P2165:U2165)</f>
        <v>1</v>
      </c>
      <c r="M2165" s="11" t="n">
        <f aca="false">(L2165/(F2165*G2165)*25)*4</f>
        <v>4</v>
      </c>
      <c r="N2165" s="1" t="s">
        <v>30</v>
      </c>
      <c r="O2165" s="1" t="s">
        <v>35</v>
      </c>
      <c r="P2165" s="3" t="n">
        <v>0</v>
      </c>
      <c r="Q2165" s="3" t="n">
        <v>1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f aca="false">SUM(P2165:Q2165)</f>
        <v>1</v>
      </c>
      <c r="W2165" s="3" t="n">
        <f aca="false">SUM(R2165:T2165)</f>
        <v>0</v>
      </c>
      <c r="X2165" s="22" t="n">
        <v>41794</v>
      </c>
      <c r="Y2165" s="22" t="n">
        <v>41799</v>
      </c>
    </row>
    <row r="2166" customFormat="false" ht="14.25" hidden="false" customHeight="false" outlineLevel="0" collapsed="false">
      <c r="A2166" s="1" t="n">
        <v>2014</v>
      </c>
      <c r="B2166" s="1" t="n">
        <v>1</v>
      </c>
      <c r="C2166" s="2" t="s">
        <v>25</v>
      </c>
      <c r="D2166" s="3" t="s">
        <v>110</v>
      </c>
      <c r="E2166" s="3" t="n">
        <v>2</v>
      </c>
      <c r="F2166" s="1" t="n">
        <f aca="false">Y2166-X2166</f>
        <v>5</v>
      </c>
      <c r="G2166" s="1" t="n">
        <v>5</v>
      </c>
      <c r="H2166" s="3" t="s">
        <v>92</v>
      </c>
      <c r="I2166" s="3" t="s">
        <v>111</v>
      </c>
      <c r="J2166" s="3" t="s">
        <v>112</v>
      </c>
      <c r="K2166" s="2" t="str">
        <f aca="false">CONCATENATE(I2166," ",J2166)</f>
        <v>Evarcha falcata</v>
      </c>
      <c r="L2166" s="3" t="n">
        <f aca="false">SUM(P2166:U2166)</f>
        <v>1</v>
      </c>
      <c r="M2166" s="11" t="n">
        <f aca="false">(L2166/(F2166*G2166)*25)*4</f>
        <v>4</v>
      </c>
      <c r="N2166" s="1" t="s">
        <v>30</v>
      </c>
      <c r="O2166" s="1" t="s">
        <v>35</v>
      </c>
      <c r="P2166" s="3" t="n">
        <v>0</v>
      </c>
      <c r="Q2166" s="3" t="n">
        <v>1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f aca="false">SUM(P2166:Q2166)</f>
        <v>1</v>
      </c>
      <c r="W2166" s="3" t="n">
        <f aca="false">SUM(R2166:T2166)</f>
        <v>0</v>
      </c>
      <c r="X2166" s="22" t="n">
        <v>41794</v>
      </c>
      <c r="Y2166" s="22" t="n">
        <v>41799</v>
      </c>
    </row>
    <row r="2167" customFormat="false" ht="14.25" hidden="false" customHeight="false" outlineLevel="0" collapsed="false">
      <c r="A2167" s="1" t="n">
        <v>2014</v>
      </c>
      <c r="B2167" s="1" t="n">
        <v>1</v>
      </c>
      <c r="C2167" s="2" t="s">
        <v>25</v>
      </c>
      <c r="D2167" s="3" t="s">
        <v>110</v>
      </c>
      <c r="E2167" s="3" t="n">
        <v>2</v>
      </c>
      <c r="F2167" s="1" t="n">
        <f aca="false">Y2167-X2167</f>
        <v>5</v>
      </c>
      <c r="G2167" s="1" t="n">
        <v>5</v>
      </c>
      <c r="H2167" s="3" t="s">
        <v>48</v>
      </c>
      <c r="I2167" s="3" t="s">
        <v>61</v>
      </c>
      <c r="J2167" s="3" t="s">
        <v>38</v>
      </c>
      <c r="K2167" s="2" t="str">
        <f aca="false">CONCATENATE(I2167," ",J2167)</f>
        <v>Trochosa sp</v>
      </c>
      <c r="L2167" s="3" t="n">
        <f aca="false">SUM(P2167:U2167)</f>
        <v>1</v>
      </c>
      <c r="M2167" s="11" t="n">
        <f aca="false">(L2167/(F2167*G2167)*25)*4</f>
        <v>4</v>
      </c>
      <c r="N2167" s="1" t="s">
        <v>19</v>
      </c>
      <c r="O2167" s="1" t="s">
        <v>54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1</v>
      </c>
      <c r="U2167" s="3" t="n">
        <v>0</v>
      </c>
      <c r="V2167" s="3" t="n">
        <f aca="false">SUM(P2167:Q2167)</f>
        <v>0</v>
      </c>
      <c r="W2167" s="3" t="n">
        <f aca="false">SUM(R2167:T2167)</f>
        <v>1</v>
      </c>
      <c r="X2167" s="22" t="n">
        <v>41794</v>
      </c>
      <c r="Y2167" s="22" t="n">
        <v>41799</v>
      </c>
    </row>
    <row r="2168" customFormat="false" ht="14.25" hidden="false" customHeight="false" outlineLevel="0" collapsed="false">
      <c r="A2168" s="1" t="n">
        <v>2014</v>
      </c>
      <c r="B2168" s="1" t="n">
        <v>1</v>
      </c>
      <c r="C2168" s="2" t="s">
        <v>25</v>
      </c>
      <c r="D2168" s="3" t="s">
        <v>110</v>
      </c>
      <c r="E2168" s="3" t="n">
        <v>2</v>
      </c>
      <c r="F2168" s="1" t="n">
        <f aca="false">Y2168-X2168</f>
        <v>5</v>
      </c>
      <c r="G2168" s="1" t="n">
        <v>5</v>
      </c>
      <c r="H2168" s="3" t="s">
        <v>52</v>
      </c>
      <c r="I2168" s="3" t="s">
        <v>213</v>
      </c>
      <c r="J2168" s="3" t="s">
        <v>214</v>
      </c>
      <c r="K2168" s="2" t="str">
        <f aca="false">CONCATENATE(I2168," ",J2168)</f>
        <v>Cercidia prominens</v>
      </c>
      <c r="L2168" s="3" t="n">
        <f aca="false">SUM(P2168:U2168)</f>
        <v>1</v>
      </c>
      <c r="M2168" s="11" t="n">
        <f aca="false">(L2168/(F2168*G2168)*25)*4</f>
        <v>4</v>
      </c>
      <c r="N2168" s="1" t="s">
        <v>30</v>
      </c>
      <c r="O2168" s="1" t="s">
        <v>31</v>
      </c>
      <c r="P2168" s="3" t="n">
        <v>1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f aca="false">SUM(P2168:Q2168)</f>
        <v>1</v>
      </c>
      <c r="W2168" s="3" t="n">
        <f aca="false">SUM(R2168:T2168)</f>
        <v>0</v>
      </c>
      <c r="X2168" s="22" t="n">
        <v>41794</v>
      </c>
      <c r="Y2168" s="22" t="n">
        <v>41799</v>
      </c>
    </row>
    <row r="2169" customFormat="false" ht="14.25" hidden="false" customHeight="false" outlineLevel="0" collapsed="false">
      <c r="A2169" s="1" t="n">
        <v>2014</v>
      </c>
      <c r="B2169" s="1" t="n">
        <v>1</v>
      </c>
      <c r="C2169" s="2" t="s">
        <v>25</v>
      </c>
      <c r="D2169" s="3" t="s">
        <v>110</v>
      </c>
      <c r="E2169" s="3" t="n">
        <v>2</v>
      </c>
      <c r="F2169" s="1" t="n">
        <f aca="false">Y2169-X2169</f>
        <v>5</v>
      </c>
      <c r="G2169" s="1" t="n">
        <v>5</v>
      </c>
      <c r="H2169" s="3" t="s">
        <v>32</v>
      </c>
      <c r="I2169" s="3" t="s">
        <v>169</v>
      </c>
      <c r="J2169" s="3" t="s">
        <v>170</v>
      </c>
      <c r="K2169" s="2" t="str">
        <f aca="false">CONCATENATE(I2169," ",J2169)</f>
        <v>Abacoproeces saltuum</v>
      </c>
      <c r="L2169" s="3" t="n">
        <f aca="false">SUM(P2169:U2169)</f>
        <v>1</v>
      </c>
      <c r="M2169" s="11" t="n">
        <f aca="false">(L2169/(F2169*G2169)*25)*4</f>
        <v>4</v>
      </c>
      <c r="N2169" s="1" t="s">
        <v>30</v>
      </c>
      <c r="O2169" s="1" t="s">
        <v>31</v>
      </c>
      <c r="P2169" s="3" t="n">
        <v>1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f aca="false">SUM(P2169:Q2169)</f>
        <v>1</v>
      </c>
      <c r="W2169" s="3" t="n">
        <f aca="false">SUM(R2169:T2169)</f>
        <v>0</v>
      </c>
      <c r="X2169" s="22" t="n">
        <v>41794</v>
      </c>
      <c r="Y2169" s="22" t="n">
        <v>41799</v>
      </c>
    </row>
    <row r="2170" customFormat="false" ht="14.25" hidden="false" customHeight="false" outlineLevel="0" collapsed="false">
      <c r="A2170" s="1" t="n">
        <v>2014</v>
      </c>
      <c r="B2170" s="1" t="n">
        <v>1</v>
      </c>
      <c r="C2170" s="2" t="s">
        <v>25</v>
      </c>
      <c r="D2170" s="3" t="s">
        <v>110</v>
      </c>
      <c r="E2170" s="3" t="n">
        <v>2</v>
      </c>
      <c r="F2170" s="1" t="n">
        <f aca="false">Y2170-X2170</f>
        <v>5</v>
      </c>
      <c r="G2170" s="1" t="n">
        <v>5</v>
      </c>
      <c r="H2170" s="3" t="s">
        <v>48</v>
      </c>
      <c r="I2170" s="3" t="s">
        <v>49</v>
      </c>
      <c r="J2170" s="3" t="s">
        <v>119</v>
      </c>
      <c r="K2170" s="2" t="str">
        <f aca="false">CONCATENATE(I2170," ",J2170)</f>
        <v>Alopecosa sulzeri</v>
      </c>
      <c r="L2170" s="3" t="n">
        <f aca="false">SUM(P2170:U2170)</f>
        <v>1</v>
      </c>
      <c r="M2170" s="11" t="n">
        <f aca="false">(L2170/(F2170*G2170)*25)*4</f>
        <v>4</v>
      </c>
      <c r="N2170" s="1" t="s">
        <v>30</v>
      </c>
      <c r="O2170" s="1" t="s">
        <v>31</v>
      </c>
      <c r="P2170" s="3" t="n">
        <v>1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f aca="false">SUM(P2170:Q2170)</f>
        <v>1</v>
      </c>
      <c r="W2170" s="3" t="n">
        <f aca="false">SUM(R2170:T2170)</f>
        <v>0</v>
      </c>
      <c r="X2170" s="22" t="n">
        <v>41794</v>
      </c>
      <c r="Y2170" s="22" t="n">
        <v>41799</v>
      </c>
    </row>
    <row r="2171" customFormat="false" ht="14.25" hidden="false" customHeight="false" outlineLevel="0" collapsed="false">
      <c r="A2171" s="1" t="n">
        <v>2014</v>
      </c>
      <c r="B2171" s="1" t="n">
        <v>1</v>
      </c>
      <c r="C2171" s="2" t="s">
        <v>25</v>
      </c>
      <c r="D2171" s="3" t="s">
        <v>110</v>
      </c>
      <c r="E2171" s="3" t="n">
        <v>2</v>
      </c>
      <c r="F2171" s="1" t="n">
        <f aca="false">Y2171-X2171</f>
        <v>5</v>
      </c>
      <c r="G2171" s="1" t="n">
        <v>5</v>
      </c>
      <c r="H2171" s="3" t="s">
        <v>48</v>
      </c>
      <c r="I2171" s="3" t="s">
        <v>49</v>
      </c>
      <c r="J2171" s="3" t="s">
        <v>130</v>
      </c>
      <c r="K2171" s="2" t="str">
        <f aca="false">CONCATENATE(I2171," ",J2171)</f>
        <v>Alopecosa aculeata</v>
      </c>
      <c r="L2171" s="3" t="n">
        <f aca="false">SUM(P2171:U2171)</f>
        <v>1</v>
      </c>
      <c r="M2171" s="11" t="n">
        <f aca="false">(L2171/(F2171*G2171)*25)*4</f>
        <v>4</v>
      </c>
      <c r="N2171" s="1" t="s">
        <v>30</v>
      </c>
      <c r="O2171" s="1" t="s">
        <v>31</v>
      </c>
      <c r="P2171" s="3" t="n">
        <v>1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f aca="false">SUM(P2171:Q2171)</f>
        <v>1</v>
      </c>
      <c r="W2171" s="3" t="n">
        <f aca="false">SUM(R2171:T2171)</f>
        <v>0</v>
      </c>
      <c r="X2171" s="22" t="n">
        <v>41794</v>
      </c>
      <c r="Y2171" s="22" t="n">
        <v>41799</v>
      </c>
    </row>
    <row r="2172" customFormat="false" ht="14.25" hidden="false" customHeight="false" outlineLevel="0" collapsed="false">
      <c r="A2172" s="1" t="n">
        <v>2014</v>
      </c>
      <c r="B2172" s="1" t="n">
        <v>1</v>
      </c>
      <c r="C2172" s="2" t="s">
        <v>25</v>
      </c>
      <c r="D2172" s="3" t="s">
        <v>110</v>
      </c>
      <c r="E2172" s="3" t="n">
        <v>2</v>
      </c>
      <c r="F2172" s="1" t="n">
        <f aca="false">Y2172-X2172</f>
        <v>5</v>
      </c>
      <c r="G2172" s="1" t="n">
        <v>5</v>
      </c>
      <c r="H2172" s="3" t="s">
        <v>48</v>
      </c>
      <c r="I2172" s="3" t="s">
        <v>49</v>
      </c>
      <c r="J2172" s="3" t="s">
        <v>104</v>
      </c>
      <c r="K2172" s="2" t="str">
        <f aca="false">CONCATENATE(I2172," ",J2172)</f>
        <v>Alopecosa taeniata</v>
      </c>
      <c r="L2172" s="3" t="n">
        <f aca="false">SUM(P2172:U2172)</f>
        <v>1</v>
      </c>
      <c r="M2172" s="11" t="n">
        <f aca="false">(L2172/(F2172*G2172)*25)*4</f>
        <v>4</v>
      </c>
      <c r="N2172" s="1" t="s">
        <v>30</v>
      </c>
      <c r="O2172" s="1" t="s">
        <v>31</v>
      </c>
      <c r="P2172" s="3" t="n">
        <v>1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f aca="false">SUM(P2172:Q2172)</f>
        <v>1</v>
      </c>
      <c r="W2172" s="3" t="n">
        <f aca="false">SUM(R2172:T2172)</f>
        <v>0</v>
      </c>
      <c r="X2172" s="22" t="n">
        <v>41794</v>
      </c>
      <c r="Y2172" s="22" t="n">
        <v>41799</v>
      </c>
    </row>
    <row r="2173" customFormat="false" ht="14.25" hidden="false" customHeight="false" outlineLevel="0" collapsed="false">
      <c r="A2173" s="1" t="n">
        <v>2014</v>
      </c>
      <c r="B2173" s="1" t="n">
        <v>1</v>
      </c>
      <c r="C2173" s="2" t="s">
        <v>25</v>
      </c>
      <c r="D2173" s="3" t="s">
        <v>110</v>
      </c>
      <c r="E2173" s="3" t="n">
        <v>2</v>
      </c>
      <c r="F2173" s="1" t="n">
        <f aca="false">Y2173-X2173</f>
        <v>5</v>
      </c>
      <c r="G2173" s="1" t="n">
        <v>5</v>
      </c>
      <c r="H2173" s="3" t="s">
        <v>36</v>
      </c>
      <c r="I2173" s="3" t="s">
        <v>37</v>
      </c>
      <c r="J2173" s="3" t="s">
        <v>75</v>
      </c>
      <c r="K2173" s="2" t="str">
        <f aca="false">CONCATENATE(I2173," ",J2173)</f>
        <v>Ozyptila praticola</v>
      </c>
      <c r="L2173" s="3" t="n">
        <f aca="false">SUM(P2173:U2173)</f>
        <v>1</v>
      </c>
      <c r="M2173" s="11" t="n">
        <f aca="false">(L2173/(F2173*G2173)*25)*4</f>
        <v>4</v>
      </c>
      <c r="N2173" s="1" t="s">
        <v>30</v>
      </c>
      <c r="O2173" s="1" t="s">
        <v>31</v>
      </c>
      <c r="P2173" s="3" t="n">
        <v>1</v>
      </c>
      <c r="Q2173" s="3" t="n">
        <v>0</v>
      </c>
      <c r="R2173" s="3" t="n">
        <v>0</v>
      </c>
      <c r="S2173" s="3" t="n">
        <v>0</v>
      </c>
      <c r="T2173" s="3" t="n">
        <v>0</v>
      </c>
      <c r="U2173" s="3" t="n">
        <v>0</v>
      </c>
      <c r="V2173" s="3" t="n">
        <f aca="false">SUM(P2173:Q2173)</f>
        <v>1</v>
      </c>
      <c r="W2173" s="3" t="n">
        <f aca="false">SUM(R2173:T2173)</f>
        <v>0</v>
      </c>
      <c r="X2173" s="22" t="n">
        <v>41794</v>
      </c>
      <c r="Y2173" s="22" t="n">
        <v>41799</v>
      </c>
    </row>
    <row r="2174" customFormat="false" ht="14.25" hidden="false" customHeight="false" outlineLevel="0" collapsed="false">
      <c r="A2174" s="1" t="n">
        <v>2014</v>
      </c>
      <c r="B2174" s="1" t="n">
        <v>1</v>
      </c>
      <c r="C2174" s="2" t="s">
        <v>25</v>
      </c>
      <c r="D2174" s="3" t="s">
        <v>110</v>
      </c>
      <c r="E2174" s="3" t="n">
        <v>2</v>
      </c>
      <c r="F2174" s="1" t="n">
        <f aca="false">Y2174-X2174</f>
        <v>5</v>
      </c>
      <c r="G2174" s="1" t="n">
        <v>5</v>
      </c>
      <c r="H2174" s="3" t="s">
        <v>72</v>
      </c>
      <c r="I2174" s="3" t="s">
        <v>86</v>
      </c>
      <c r="J2174" s="3" t="s">
        <v>38</v>
      </c>
      <c r="K2174" s="2" t="str">
        <f aca="false">CONCATENATE(I2174," ",J2174)</f>
        <v>Haplodrassus sp</v>
      </c>
      <c r="L2174" s="3" t="n">
        <f aca="false">SUM(P2174:U2174)</f>
        <v>1</v>
      </c>
      <c r="M2174" s="11" t="n">
        <f aca="false">(L2174/(F2174*G2174)*25)*4</f>
        <v>4</v>
      </c>
      <c r="N2174" s="1" t="s">
        <v>19</v>
      </c>
      <c r="O2174" s="1" t="s">
        <v>35</v>
      </c>
      <c r="P2174" s="3" t="n">
        <v>0</v>
      </c>
      <c r="Q2174" s="3" t="n">
        <v>0</v>
      </c>
      <c r="R2174" s="3" t="n">
        <v>0</v>
      </c>
      <c r="S2174" s="3" t="n">
        <v>1</v>
      </c>
      <c r="T2174" s="3" t="n">
        <v>0</v>
      </c>
      <c r="U2174" s="3" t="n">
        <v>0</v>
      </c>
      <c r="V2174" s="3" t="n">
        <f aca="false">SUM(P2174:Q2174)</f>
        <v>0</v>
      </c>
      <c r="W2174" s="3" t="n">
        <f aca="false">SUM(R2174:T2174)</f>
        <v>1</v>
      </c>
      <c r="X2174" s="22" t="n">
        <v>41794</v>
      </c>
      <c r="Y2174" s="22" t="n">
        <v>41799</v>
      </c>
    </row>
    <row r="2175" customFormat="false" ht="14.25" hidden="false" customHeight="false" outlineLevel="0" collapsed="false">
      <c r="A2175" s="1" t="n">
        <v>2014</v>
      </c>
      <c r="B2175" s="1" t="n">
        <v>1</v>
      </c>
      <c r="C2175" s="2" t="s">
        <v>25</v>
      </c>
      <c r="D2175" s="3" t="s">
        <v>110</v>
      </c>
      <c r="E2175" s="3" t="n">
        <v>2</v>
      </c>
      <c r="F2175" s="1" t="n">
        <f aca="false">Y2175-X2175</f>
        <v>5</v>
      </c>
      <c r="G2175" s="1" t="n">
        <v>5</v>
      </c>
      <c r="H2175" s="3" t="s">
        <v>32</v>
      </c>
      <c r="I2175" s="3" t="s">
        <v>169</v>
      </c>
      <c r="J2175" s="3" t="s">
        <v>170</v>
      </c>
      <c r="K2175" s="2" t="str">
        <f aca="false">CONCATENATE(I2175," ",J2175)</f>
        <v>Abacoproeces saltuum</v>
      </c>
      <c r="L2175" s="3" t="n">
        <f aca="false">SUM(P2175:U2175)</f>
        <v>2</v>
      </c>
      <c r="M2175" s="11" t="n">
        <f aca="false">(L2175/(F2175*G2175)*25)*4</f>
        <v>8</v>
      </c>
      <c r="N2175" s="1" t="s">
        <v>30</v>
      </c>
      <c r="O2175" s="1" t="s">
        <v>31</v>
      </c>
      <c r="P2175" s="3" t="n">
        <v>2</v>
      </c>
      <c r="Q2175" s="3" t="n">
        <v>0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f aca="false">SUM(P2175:Q2175)</f>
        <v>2</v>
      </c>
      <c r="W2175" s="3" t="n">
        <f aca="false">SUM(R2175:T2175)</f>
        <v>0</v>
      </c>
      <c r="X2175" s="22" t="n">
        <v>41794</v>
      </c>
      <c r="Y2175" s="22" t="n">
        <v>41799</v>
      </c>
    </row>
    <row r="2176" customFormat="false" ht="14.25" hidden="false" customHeight="false" outlineLevel="0" collapsed="false">
      <c r="A2176" s="1" t="n">
        <v>2014</v>
      </c>
      <c r="B2176" s="1" t="n">
        <v>1</v>
      </c>
      <c r="C2176" s="2" t="s">
        <v>25</v>
      </c>
      <c r="D2176" s="3" t="s">
        <v>110</v>
      </c>
      <c r="E2176" s="3" t="n">
        <v>2</v>
      </c>
      <c r="F2176" s="1" t="n">
        <f aca="false">Y2176-X2176</f>
        <v>5</v>
      </c>
      <c r="G2176" s="1" t="n">
        <v>5</v>
      </c>
      <c r="H2176" s="3" t="s">
        <v>32</v>
      </c>
      <c r="I2176" s="3" t="s">
        <v>169</v>
      </c>
      <c r="J2176" s="3" t="s">
        <v>170</v>
      </c>
      <c r="K2176" s="2" t="str">
        <f aca="false">CONCATENATE(I2176," ",J2176)</f>
        <v>Abacoproeces saltuum</v>
      </c>
      <c r="L2176" s="3" t="n">
        <f aca="false">SUM(P2176:U2176)</f>
        <v>2</v>
      </c>
      <c r="M2176" s="11" t="n">
        <f aca="false">(L2176/(F2176*G2176)*25)*4</f>
        <v>8</v>
      </c>
      <c r="N2176" s="1" t="s">
        <v>30</v>
      </c>
      <c r="O2176" s="1" t="s">
        <v>35</v>
      </c>
      <c r="P2176" s="3" t="n">
        <v>0</v>
      </c>
      <c r="Q2176" s="3" t="n">
        <v>2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f aca="false">SUM(P2176:Q2176)</f>
        <v>2</v>
      </c>
      <c r="W2176" s="3" t="n">
        <f aca="false">SUM(R2176:T2176)</f>
        <v>0</v>
      </c>
      <c r="X2176" s="22" t="n">
        <v>41794</v>
      </c>
      <c r="Y2176" s="22" t="n">
        <v>41799</v>
      </c>
    </row>
    <row r="2177" customFormat="false" ht="14.25" hidden="false" customHeight="false" outlineLevel="0" collapsed="false">
      <c r="A2177" s="1" t="n">
        <v>2014</v>
      </c>
      <c r="B2177" s="1" t="n">
        <v>1</v>
      </c>
      <c r="C2177" s="2" t="s">
        <v>25</v>
      </c>
      <c r="D2177" s="3" t="s">
        <v>110</v>
      </c>
      <c r="E2177" s="3" t="n">
        <v>2</v>
      </c>
      <c r="F2177" s="1" t="n">
        <f aca="false">Y2177-X2177</f>
        <v>5</v>
      </c>
      <c r="G2177" s="1" t="n">
        <v>5</v>
      </c>
      <c r="H2177" s="3" t="s">
        <v>48</v>
      </c>
      <c r="I2177" s="3" t="s">
        <v>49</v>
      </c>
      <c r="J2177" s="3" t="s">
        <v>130</v>
      </c>
      <c r="K2177" s="2" t="str">
        <f aca="false">CONCATENATE(I2177," ",J2177)</f>
        <v>Alopecosa aculeata</v>
      </c>
      <c r="L2177" s="3" t="n">
        <f aca="false">SUM(P2177:U2177)</f>
        <v>1</v>
      </c>
      <c r="M2177" s="11" t="n">
        <f aca="false">(L2177/(F2177*G2177)*25)*4</f>
        <v>4</v>
      </c>
      <c r="N2177" s="1" t="s">
        <v>30</v>
      </c>
      <c r="O2177" s="1" t="s">
        <v>31</v>
      </c>
      <c r="P2177" s="3" t="n">
        <v>1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f aca="false">SUM(P2177:Q2177)</f>
        <v>1</v>
      </c>
      <c r="W2177" s="3" t="n">
        <f aca="false">SUM(R2177:T2177)</f>
        <v>0</v>
      </c>
      <c r="X2177" s="22" t="n">
        <v>41794</v>
      </c>
      <c r="Y2177" s="22" t="n">
        <v>41799</v>
      </c>
    </row>
    <row r="2178" customFormat="false" ht="14.25" hidden="false" customHeight="false" outlineLevel="0" collapsed="false">
      <c r="A2178" s="1" t="n">
        <v>2014</v>
      </c>
      <c r="B2178" s="1" t="n">
        <v>1</v>
      </c>
      <c r="C2178" s="2" t="s">
        <v>25</v>
      </c>
      <c r="D2178" s="3" t="s">
        <v>110</v>
      </c>
      <c r="E2178" s="3" t="n">
        <v>2</v>
      </c>
      <c r="F2178" s="1" t="n">
        <f aca="false">Y2178-X2178</f>
        <v>5</v>
      </c>
      <c r="G2178" s="1" t="n">
        <v>5</v>
      </c>
      <c r="H2178" s="3" t="s">
        <v>48</v>
      </c>
      <c r="I2178" s="3" t="s">
        <v>61</v>
      </c>
      <c r="J2178" s="3" t="s">
        <v>82</v>
      </c>
      <c r="K2178" s="2" t="str">
        <f aca="false">CONCATENATE(I2178," ",J2178)</f>
        <v>Trochosa terricola</v>
      </c>
      <c r="L2178" s="3" t="n">
        <f aca="false">SUM(P2178:U2178)</f>
        <v>1</v>
      </c>
      <c r="M2178" s="11" t="n">
        <f aca="false">(L2178/(F2178*G2178)*25)*4</f>
        <v>4</v>
      </c>
      <c r="N2178" s="1" t="s">
        <v>30</v>
      </c>
      <c r="O2178" s="1" t="s">
        <v>35</v>
      </c>
      <c r="P2178" s="3" t="n">
        <v>0</v>
      </c>
      <c r="Q2178" s="3" t="n">
        <v>1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f aca="false">SUM(P2178:Q2178)</f>
        <v>1</v>
      </c>
      <c r="W2178" s="3" t="n">
        <f aca="false">SUM(R2178:T2178)</f>
        <v>0</v>
      </c>
      <c r="X2178" s="22" t="n">
        <v>41794</v>
      </c>
      <c r="Y2178" s="22" t="n">
        <v>41799</v>
      </c>
    </row>
    <row r="2179" customFormat="false" ht="14.25" hidden="false" customHeight="false" outlineLevel="0" collapsed="false">
      <c r="A2179" s="1" t="n">
        <v>2014</v>
      </c>
      <c r="B2179" s="1" t="n">
        <v>1</v>
      </c>
      <c r="C2179" s="2" t="s">
        <v>25</v>
      </c>
      <c r="D2179" s="3" t="s">
        <v>110</v>
      </c>
      <c r="E2179" s="3" t="n">
        <v>2</v>
      </c>
      <c r="F2179" s="1" t="n">
        <f aca="false">Y2179-X2179</f>
        <v>5</v>
      </c>
      <c r="G2179" s="1" t="n">
        <v>5</v>
      </c>
      <c r="H2179" s="3" t="s">
        <v>48</v>
      </c>
      <c r="I2179" s="3" t="s">
        <v>67</v>
      </c>
      <c r="J2179" s="3" t="s">
        <v>127</v>
      </c>
      <c r="K2179" s="2" t="str">
        <f aca="false">CONCATENATE(I2179," ",J2179)</f>
        <v>Pardosa lugubris</v>
      </c>
      <c r="L2179" s="3" t="n">
        <f aca="false">SUM(P2179:U2179)</f>
        <v>1</v>
      </c>
      <c r="M2179" s="11" t="n">
        <f aca="false">(L2179/(F2179*G2179)*25)*4</f>
        <v>4</v>
      </c>
      <c r="N2179" s="1" t="s">
        <v>30</v>
      </c>
      <c r="O2179" s="1" t="s">
        <v>31</v>
      </c>
      <c r="P2179" s="3" t="n">
        <v>1</v>
      </c>
      <c r="Q2179" s="3" t="n">
        <v>0</v>
      </c>
      <c r="R2179" s="3" t="n">
        <v>0</v>
      </c>
      <c r="S2179" s="3" t="n">
        <v>0</v>
      </c>
      <c r="T2179" s="3" t="n">
        <v>0</v>
      </c>
      <c r="U2179" s="3" t="n">
        <v>0</v>
      </c>
      <c r="V2179" s="3" t="n">
        <f aca="false">SUM(P2179:Q2179)</f>
        <v>1</v>
      </c>
      <c r="W2179" s="3" t="n">
        <f aca="false">SUM(R2179:T2179)</f>
        <v>0</v>
      </c>
      <c r="X2179" s="22" t="n">
        <v>41794</v>
      </c>
      <c r="Y2179" s="22" t="n">
        <v>41799</v>
      </c>
    </row>
    <row r="2180" customFormat="false" ht="14.25" hidden="false" customHeight="false" outlineLevel="0" collapsed="false">
      <c r="A2180" s="1" t="n">
        <v>2014</v>
      </c>
      <c r="B2180" s="1" t="n">
        <v>1</v>
      </c>
      <c r="C2180" s="2" t="s">
        <v>25</v>
      </c>
      <c r="D2180" s="3" t="s">
        <v>110</v>
      </c>
      <c r="E2180" s="3" t="n">
        <v>2</v>
      </c>
      <c r="F2180" s="1" t="n">
        <f aca="false">Y2180-X2180</f>
        <v>5</v>
      </c>
      <c r="G2180" s="1" t="n">
        <v>5</v>
      </c>
      <c r="H2180" s="3" t="s">
        <v>36</v>
      </c>
      <c r="I2180" s="3" t="s">
        <v>131</v>
      </c>
      <c r="J2180" s="3" t="s">
        <v>133</v>
      </c>
      <c r="K2180" s="2" t="str">
        <f aca="false">CONCATENATE(I2180," ",J2180)</f>
        <v>Xysticus luctuosus</v>
      </c>
      <c r="L2180" s="3" t="n">
        <f aca="false">SUM(P2180:U2180)</f>
        <v>2</v>
      </c>
      <c r="M2180" s="11" t="n">
        <f aca="false">(L2180/(F2180*G2180)*25)*4</f>
        <v>8</v>
      </c>
      <c r="N2180" s="1" t="s">
        <v>30</v>
      </c>
      <c r="O2180" s="1" t="s">
        <v>31</v>
      </c>
      <c r="P2180" s="3" t="n">
        <v>2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f aca="false">SUM(P2180:Q2180)</f>
        <v>2</v>
      </c>
      <c r="W2180" s="3" t="n">
        <f aca="false">SUM(R2180:T2180)</f>
        <v>0</v>
      </c>
      <c r="X2180" s="22" t="n">
        <v>41794</v>
      </c>
      <c r="Y2180" s="22" t="n">
        <v>41799</v>
      </c>
    </row>
    <row r="2181" customFormat="false" ht="14.25" hidden="false" customHeight="false" outlineLevel="0" collapsed="false">
      <c r="A2181" s="1" t="n">
        <v>2014</v>
      </c>
      <c r="B2181" s="1" t="n">
        <v>1</v>
      </c>
      <c r="C2181" s="2" t="s">
        <v>25</v>
      </c>
      <c r="D2181" s="3" t="s">
        <v>110</v>
      </c>
      <c r="E2181" s="3" t="n">
        <v>2</v>
      </c>
      <c r="F2181" s="1" t="n">
        <f aca="false">Y2181-X2181</f>
        <v>5</v>
      </c>
      <c r="G2181" s="1" t="n">
        <v>5</v>
      </c>
      <c r="H2181" s="3" t="s">
        <v>92</v>
      </c>
      <c r="I2181" s="3" t="s">
        <v>111</v>
      </c>
      <c r="J2181" s="3" t="s">
        <v>112</v>
      </c>
      <c r="K2181" s="2" t="str">
        <f aca="false">CONCATENATE(I2181," ",J2181)</f>
        <v>Evarcha falcata</v>
      </c>
      <c r="L2181" s="3" t="n">
        <f aca="false">SUM(P2181:U2181)</f>
        <v>1</v>
      </c>
      <c r="M2181" s="11" t="n">
        <f aca="false">(L2181/(F2181*G2181)*25)*4</f>
        <v>4</v>
      </c>
      <c r="N2181" s="1" t="s">
        <v>30</v>
      </c>
      <c r="O2181" s="1" t="s">
        <v>31</v>
      </c>
      <c r="P2181" s="3" t="n">
        <v>1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f aca="false">SUM(P2181:Q2181)</f>
        <v>1</v>
      </c>
      <c r="W2181" s="3" t="n">
        <f aca="false">SUM(R2181:T2181)</f>
        <v>0</v>
      </c>
      <c r="X2181" s="22" t="n">
        <v>41794</v>
      </c>
      <c r="Y2181" s="22" t="n">
        <v>41799</v>
      </c>
    </row>
    <row r="2182" customFormat="false" ht="14.25" hidden="false" customHeight="false" outlineLevel="0" collapsed="false">
      <c r="A2182" s="1" t="n">
        <v>2014</v>
      </c>
      <c r="B2182" s="1" t="n">
        <v>1</v>
      </c>
      <c r="C2182" s="2" t="s">
        <v>25</v>
      </c>
      <c r="D2182" s="3" t="s">
        <v>110</v>
      </c>
      <c r="E2182" s="3" t="n">
        <v>2</v>
      </c>
      <c r="F2182" s="1" t="n">
        <f aca="false">Y2182-X2182</f>
        <v>5</v>
      </c>
      <c r="G2182" s="1" t="n">
        <v>5</v>
      </c>
      <c r="H2182" s="3" t="s">
        <v>226</v>
      </c>
      <c r="I2182" s="3" t="s">
        <v>65</v>
      </c>
      <c r="J2182" s="3" t="s">
        <v>66</v>
      </c>
      <c r="K2182" s="2" t="str">
        <f aca="false">CONCATENATE(I2182," ",J2182)</f>
        <v>Zora Spinimana</v>
      </c>
      <c r="L2182" s="3" t="n">
        <f aca="false">SUM(P2182:U2182)</f>
        <v>1</v>
      </c>
      <c r="M2182" s="11" t="n">
        <f aca="false">(L2182/(F2182*G2182)*25)*4</f>
        <v>4</v>
      </c>
      <c r="N2182" s="1" t="s">
        <v>30</v>
      </c>
      <c r="O2182" s="1" t="s">
        <v>31</v>
      </c>
      <c r="P2182" s="3" t="n">
        <v>1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f aca="false">SUM(P2182:Q2182)</f>
        <v>1</v>
      </c>
      <c r="W2182" s="3" t="n">
        <f aca="false">SUM(R2182:T2182)</f>
        <v>0</v>
      </c>
      <c r="X2182" s="22" t="n">
        <v>41794</v>
      </c>
      <c r="Y2182" s="22" t="n">
        <v>41799</v>
      </c>
    </row>
    <row r="2183" customFormat="false" ht="14.25" hidden="false" customHeight="false" outlineLevel="0" collapsed="false">
      <c r="A2183" s="1" t="n">
        <v>2014</v>
      </c>
      <c r="B2183" s="1" t="n">
        <v>1</v>
      </c>
      <c r="C2183" s="2" t="s">
        <v>25</v>
      </c>
      <c r="D2183" s="3" t="s">
        <v>110</v>
      </c>
      <c r="E2183" s="3" t="n">
        <v>2</v>
      </c>
      <c r="F2183" s="1" t="n">
        <f aca="false">Y2183-X2183</f>
        <v>5</v>
      </c>
      <c r="G2183" s="1" t="n">
        <v>5</v>
      </c>
      <c r="H2183" s="3" t="s">
        <v>226</v>
      </c>
      <c r="I2183" s="3" t="s">
        <v>65</v>
      </c>
      <c r="J2183" s="3" t="s">
        <v>123</v>
      </c>
      <c r="K2183" s="2" t="str">
        <f aca="false">CONCATENATE(I2183," ",J2183)</f>
        <v>Zora nemoralis</v>
      </c>
      <c r="L2183" s="3" t="n">
        <f aca="false">SUM(P2183:U2183)</f>
        <v>1</v>
      </c>
      <c r="M2183" s="11" t="n">
        <f aca="false">(L2183/(F2183*G2183)*25)*4</f>
        <v>4</v>
      </c>
      <c r="N2183" s="1" t="s">
        <v>30</v>
      </c>
      <c r="O2183" s="1" t="s">
        <v>31</v>
      </c>
      <c r="P2183" s="3" t="n">
        <v>1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f aca="false">SUM(P2183:Q2183)</f>
        <v>1</v>
      </c>
      <c r="W2183" s="3" t="n">
        <f aca="false">SUM(R2183:T2183)</f>
        <v>0</v>
      </c>
      <c r="X2183" s="22" t="n">
        <v>41794</v>
      </c>
      <c r="Y2183" s="22" t="n">
        <v>41799</v>
      </c>
    </row>
    <row r="2184" customFormat="false" ht="14.25" hidden="false" customHeight="false" outlineLevel="0" collapsed="false">
      <c r="A2184" s="1" t="n">
        <v>2014</v>
      </c>
      <c r="B2184" s="1" t="n">
        <v>1</v>
      </c>
      <c r="C2184" s="2" t="s">
        <v>25</v>
      </c>
      <c r="D2184" s="3" t="s">
        <v>110</v>
      </c>
      <c r="E2184" s="3" t="n">
        <v>2</v>
      </c>
      <c r="F2184" s="1" t="n">
        <f aca="false">Y2184-X2184</f>
        <v>5</v>
      </c>
      <c r="G2184" s="1" t="n">
        <v>5</v>
      </c>
      <c r="H2184" s="3" t="s">
        <v>32</v>
      </c>
      <c r="I2184" s="3" t="s">
        <v>169</v>
      </c>
      <c r="J2184" s="3" t="s">
        <v>170</v>
      </c>
      <c r="K2184" s="2" t="str">
        <f aca="false">CONCATENATE(I2184," ",J2184)</f>
        <v>Abacoproeces saltuum</v>
      </c>
      <c r="L2184" s="3" t="n">
        <f aca="false">SUM(P2184:U2184)</f>
        <v>1</v>
      </c>
      <c r="M2184" s="11" t="n">
        <f aca="false">(L2184/(F2184*G2184)*25)*4</f>
        <v>4</v>
      </c>
      <c r="N2184" s="1" t="s">
        <v>30</v>
      </c>
      <c r="O2184" s="1" t="s">
        <v>31</v>
      </c>
      <c r="P2184" s="3" t="n">
        <v>1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f aca="false">SUM(P2184:Q2184)</f>
        <v>1</v>
      </c>
      <c r="W2184" s="3" t="n">
        <f aca="false">SUM(R2184:T2184)</f>
        <v>0</v>
      </c>
      <c r="X2184" s="22" t="n">
        <v>41794</v>
      </c>
      <c r="Y2184" s="22" t="n">
        <v>41799</v>
      </c>
    </row>
    <row r="2185" customFormat="false" ht="14.25" hidden="false" customHeight="false" outlineLevel="0" collapsed="false">
      <c r="A2185" s="1" t="n">
        <v>2014</v>
      </c>
      <c r="B2185" s="1" t="n">
        <v>1</v>
      </c>
      <c r="C2185" s="2" t="s">
        <v>25</v>
      </c>
      <c r="D2185" s="3" t="s">
        <v>110</v>
      </c>
      <c r="E2185" s="3" t="n">
        <v>2</v>
      </c>
      <c r="F2185" s="1" t="n">
        <f aca="false">Y2185-X2185</f>
        <v>5</v>
      </c>
      <c r="G2185" s="1" t="n">
        <v>5</v>
      </c>
      <c r="H2185" s="3" t="s">
        <v>32</v>
      </c>
      <c r="I2185" s="3" t="s">
        <v>169</v>
      </c>
      <c r="J2185" s="3" t="s">
        <v>170</v>
      </c>
      <c r="K2185" s="2" t="str">
        <f aca="false">CONCATENATE(I2185," ",J2185)</f>
        <v>Abacoproeces saltuum</v>
      </c>
      <c r="L2185" s="3" t="n">
        <f aca="false">SUM(P2185:U2185)</f>
        <v>3</v>
      </c>
      <c r="M2185" s="11" t="n">
        <f aca="false">(L2185/(F2185*G2185)*25)*4</f>
        <v>12</v>
      </c>
      <c r="N2185" s="1" t="s">
        <v>30</v>
      </c>
      <c r="O2185" s="1" t="s">
        <v>35</v>
      </c>
      <c r="P2185" s="3" t="n">
        <v>0</v>
      </c>
      <c r="Q2185" s="3" t="n">
        <v>3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f aca="false">SUM(P2185:Q2185)</f>
        <v>3</v>
      </c>
      <c r="W2185" s="3" t="n">
        <f aca="false">SUM(R2185:T2185)</f>
        <v>0</v>
      </c>
      <c r="X2185" s="22" t="n">
        <v>41794</v>
      </c>
      <c r="Y2185" s="22" t="n">
        <v>41799</v>
      </c>
    </row>
    <row r="2186" customFormat="false" ht="14.25" hidden="false" customHeight="false" outlineLevel="0" collapsed="false">
      <c r="A2186" s="1" t="n">
        <v>2014</v>
      </c>
      <c r="B2186" s="1" t="n">
        <v>1</v>
      </c>
      <c r="C2186" s="2" t="s">
        <v>25</v>
      </c>
      <c r="D2186" s="3" t="s">
        <v>110</v>
      </c>
      <c r="E2186" s="3" t="n">
        <v>2</v>
      </c>
      <c r="F2186" s="1" t="n">
        <f aca="false">Y2186-X2186</f>
        <v>5</v>
      </c>
      <c r="G2186" s="1" t="n">
        <v>5</v>
      </c>
      <c r="H2186" s="3" t="s">
        <v>144</v>
      </c>
      <c r="I2186" s="3" t="s">
        <v>145</v>
      </c>
      <c r="J2186" s="3" t="s">
        <v>146</v>
      </c>
      <c r="K2186" s="2" t="str">
        <f aca="false">CONCATENATE(I2186," ",J2186)</f>
        <v>Phrurolithus festivus</v>
      </c>
      <c r="L2186" s="3" t="n">
        <f aca="false">SUM(P2186:U2186)</f>
        <v>1</v>
      </c>
      <c r="M2186" s="11" t="n">
        <f aca="false">(L2186/(F2186*G2186)*25)*4</f>
        <v>4</v>
      </c>
      <c r="N2186" s="1" t="s">
        <v>30</v>
      </c>
      <c r="O2186" s="1" t="s">
        <v>31</v>
      </c>
      <c r="P2186" s="3" t="n">
        <v>1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f aca="false">SUM(P2186:Q2186)</f>
        <v>1</v>
      </c>
      <c r="W2186" s="3" t="n">
        <f aca="false">SUM(R2186:T2186)</f>
        <v>0</v>
      </c>
      <c r="X2186" s="22" t="n">
        <v>41794</v>
      </c>
      <c r="Y2186" s="22" t="n">
        <v>41799</v>
      </c>
    </row>
    <row r="2187" customFormat="false" ht="14.25" hidden="false" customHeight="false" outlineLevel="0" collapsed="false">
      <c r="A2187" s="1" t="n">
        <v>2014</v>
      </c>
      <c r="B2187" s="1" t="n">
        <v>1</v>
      </c>
      <c r="C2187" s="2" t="s">
        <v>25</v>
      </c>
      <c r="D2187" s="3" t="s">
        <v>110</v>
      </c>
      <c r="E2187" s="3" t="n">
        <v>2</v>
      </c>
      <c r="F2187" s="1" t="n">
        <f aca="false">Y2187-X2187</f>
        <v>5</v>
      </c>
      <c r="G2187" s="1" t="n">
        <v>5</v>
      </c>
      <c r="H2187" s="3" t="s">
        <v>32</v>
      </c>
      <c r="I2187" s="3" t="s">
        <v>57</v>
      </c>
      <c r="J2187" s="3" t="s">
        <v>38</v>
      </c>
      <c r="K2187" s="2" t="str">
        <f aca="false">CONCATENATE(I2187," ",J2187)</f>
        <v>Gen sp</v>
      </c>
      <c r="L2187" s="3" t="n">
        <f aca="false">SUM(P2187:U2187)</f>
        <v>1</v>
      </c>
      <c r="M2187" s="11" t="n">
        <f aca="false">(L2187/(F2187*G2187)*25)*4</f>
        <v>4</v>
      </c>
      <c r="N2187" s="1" t="s">
        <v>19</v>
      </c>
      <c r="O2187" s="1" t="s">
        <v>31</v>
      </c>
      <c r="P2187" s="3" t="n">
        <v>0</v>
      </c>
      <c r="Q2187" s="3" t="n">
        <v>0</v>
      </c>
      <c r="R2187" s="3" t="n">
        <v>1</v>
      </c>
      <c r="S2187" s="3" t="n">
        <v>0</v>
      </c>
      <c r="T2187" s="3" t="n">
        <v>0</v>
      </c>
      <c r="U2187" s="3" t="n">
        <v>0</v>
      </c>
      <c r="V2187" s="3" t="n">
        <f aca="false">SUM(P2187:Q2187)</f>
        <v>0</v>
      </c>
      <c r="W2187" s="3" t="n">
        <f aca="false">SUM(R2187:T2187)</f>
        <v>1</v>
      </c>
      <c r="X2187" s="22" t="n">
        <v>41794</v>
      </c>
      <c r="Y2187" s="22" t="n">
        <v>41799</v>
      </c>
    </row>
    <row r="2188" customFormat="false" ht="14.25" hidden="false" customHeight="false" outlineLevel="0" collapsed="false">
      <c r="A2188" s="1" t="n">
        <v>2014</v>
      </c>
      <c r="B2188" s="1" t="n">
        <v>1</v>
      </c>
      <c r="C2188" s="2" t="s">
        <v>25</v>
      </c>
      <c r="D2188" s="3" t="s">
        <v>110</v>
      </c>
      <c r="E2188" s="3" t="n">
        <v>1</v>
      </c>
      <c r="F2188" s="1" t="n">
        <f aca="false">Y2188-X2188</f>
        <v>5</v>
      </c>
      <c r="G2188" s="1" t="n">
        <v>5</v>
      </c>
      <c r="H2188" s="3" t="s">
        <v>48</v>
      </c>
      <c r="I2188" s="3" t="s">
        <v>61</v>
      </c>
      <c r="J2188" s="3" t="s">
        <v>38</v>
      </c>
      <c r="K2188" s="2" t="str">
        <f aca="false">CONCATENATE(I2188," ",J2188)</f>
        <v>Trochosa sp</v>
      </c>
      <c r="L2188" s="3" t="n">
        <f aca="false">SUM(P2188:U2188)</f>
        <v>1</v>
      </c>
      <c r="M2188" s="11" t="n">
        <f aca="false">(L2188/(F2188*G2188)*25)*4</f>
        <v>4</v>
      </c>
      <c r="N2188" s="1" t="s">
        <v>19</v>
      </c>
      <c r="O2188" s="1" t="s">
        <v>35</v>
      </c>
      <c r="P2188" s="3" t="n">
        <v>0</v>
      </c>
      <c r="Q2188" s="3" t="n">
        <v>0</v>
      </c>
      <c r="R2188" s="3" t="n">
        <v>0</v>
      </c>
      <c r="S2188" s="3" t="n">
        <v>1</v>
      </c>
      <c r="T2188" s="3" t="n">
        <v>0</v>
      </c>
      <c r="U2188" s="3" t="n">
        <v>0</v>
      </c>
      <c r="V2188" s="3" t="n">
        <f aca="false">SUM(P2188:Q2188)</f>
        <v>0</v>
      </c>
      <c r="W2188" s="3" t="n">
        <f aca="false">SUM(R2188:T2188)</f>
        <v>1</v>
      </c>
      <c r="X2188" s="22" t="n">
        <v>41794</v>
      </c>
      <c r="Y2188" s="22" t="n">
        <v>41799</v>
      </c>
    </row>
    <row r="2189" customFormat="false" ht="14.25" hidden="false" customHeight="false" outlineLevel="0" collapsed="false">
      <c r="A2189" s="1" t="n">
        <v>2014</v>
      </c>
      <c r="B2189" s="1" t="n">
        <v>1</v>
      </c>
      <c r="C2189" s="2" t="s">
        <v>25</v>
      </c>
      <c r="D2189" s="3" t="s">
        <v>110</v>
      </c>
      <c r="E2189" s="3" t="n">
        <v>1</v>
      </c>
      <c r="F2189" s="1" t="n">
        <f aca="false">Y2189-X2189</f>
        <v>5</v>
      </c>
      <c r="G2189" s="1" t="n">
        <v>5</v>
      </c>
      <c r="H2189" s="3" t="s">
        <v>48</v>
      </c>
      <c r="I2189" s="3" t="s">
        <v>61</v>
      </c>
      <c r="J2189" s="3" t="s">
        <v>38</v>
      </c>
      <c r="K2189" s="2" t="str">
        <f aca="false">CONCATENATE(I2189," ",J2189)</f>
        <v>Trochosa sp</v>
      </c>
      <c r="L2189" s="3" t="n">
        <f aca="false">SUM(P2189:U2189)</f>
        <v>1</v>
      </c>
      <c r="M2189" s="11" t="n">
        <f aca="false">(L2189/(F2189*G2189)*25)*4</f>
        <v>4</v>
      </c>
      <c r="N2189" s="1" t="s">
        <v>19</v>
      </c>
      <c r="O2189" s="1" t="s">
        <v>54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1</v>
      </c>
      <c r="U2189" s="3" t="n">
        <v>0</v>
      </c>
      <c r="V2189" s="3" t="n">
        <f aca="false">SUM(P2189:Q2189)</f>
        <v>0</v>
      </c>
      <c r="W2189" s="3" t="n">
        <f aca="false">SUM(R2189:T2189)</f>
        <v>1</v>
      </c>
      <c r="X2189" s="22" t="n">
        <v>41794</v>
      </c>
      <c r="Y2189" s="22" t="n">
        <v>41799</v>
      </c>
    </row>
    <row r="2190" customFormat="false" ht="14.25" hidden="false" customHeight="false" outlineLevel="0" collapsed="false">
      <c r="A2190" s="1" t="n">
        <v>2014</v>
      </c>
      <c r="B2190" s="1" t="n">
        <v>1</v>
      </c>
      <c r="C2190" s="2" t="s">
        <v>25</v>
      </c>
      <c r="D2190" s="3" t="s">
        <v>110</v>
      </c>
      <c r="E2190" s="3" t="n">
        <v>1</v>
      </c>
      <c r="F2190" s="1" t="n">
        <f aca="false">Y2190-X2190</f>
        <v>5</v>
      </c>
      <c r="G2190" s="1" t="n">
        <v>5</v>
      </c>
      <c r="H2190" s="3" t="s">
        <v>36</v>
      </c>
      <c r="I2190" s="3" t="s">
        <v>37</v>
      </c>
      <c r="J2190" s="3" t="s">
        <v>75</v>
      </c>
      <c r="K2190" s="2" t="str">
        <f aca="false">CONCATENATE(I2190," ",J2190)</f>
        <v>Ozyptila praticola</v>
      </c>
      <c r="L2190" s="3" t="n">
        <f aca="false">SUM(P2190:U2190)</f>
        <v>3</v>
      </c>
      <c r="M2190" s="11" t="n">
        <f aca="false">(L2190/(F2190*G2190)*25)*4</f>
        <v>12</v>
      </c>
      <c r="N2190" s="1" t="s">
        <v>30</v>
      </c>
      <c r="O2190" s="1" t="s">
        <v>31</v>
      </c>
      <c r="P2190" s="3" t="n">
        <v>3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f aca="false">SUM(P2190:Q2190)</f>
        <v>3</v>
      </c>
      <c r="W2190" s="3" t="n">
        <f aca="false">SUM(R2190:T2190)</f>
        <v>0</v>
      </c>
      <c r="X2190" s="22" t="n">
        <v>41794</v>
      </c>
      <c r="Y2190" s="22" t="n">
        <v>41799</v>
      </c>
    </row>
    <row r="2191" customFormat="false" ht="14.25" hidden="false" customHeight="false" outlineLevel="0" collapsed="false">
      <c r="A2191" s="1" t="n">
        <v>2014</v>
      </c>
      <c r="B2191" s="1" t="n">
        <v>1</v>
      </c>
      <c r="C2191" s="2" t="s">
        <v>25</v>
      </c>
      <c r="D2191" s="3" t="s">
        <v>110</v>
      </c>
      <c r="E2191" s="3" t="n">
        <v>1</v>
      </c>
      <c r="F2191" s="1" t="n">
        <f aca="false">Y2191-X2191</f>
        <v>5</v>
      </c>
      <c r="G2191" s="1" t="n">
        <v>5</v>
      </c>
      <c r="H2191" s="3" t="s">
        <v>41</v>
      </c>
      <c r="I2191" s="3" t="s">
        <v>42</v>
      </c>
      <c r="J2191" s="3" t="s">
        <v>38</v>
      </c>
      <c r="K2191" s="2" t="str">
        <f aca="false">CONCATENATE(I2191," ",J2191)</f>
        <v>Agroeca sp</v>
      </c>
      <c r="L2191" s="3" t="n">
        <f aca="false">SUM(P2191:U2191)</f>
        <v>1</v>
      </c>
      <c r="M2191" s="11" t="n">
        <f aca="false">(L2191/(F2191*G2191)*25)*4</f>
        <v>4</v>
      </c>
      <c r="N2191" s="1" t="s">
        <v>19</v>
      </c>
      <c r="O2191" s="1" t="s">
        <v>31</v>
      </c>
      <c r="P2191" s="3" t="n">
        <v>0</v>
      </c>
      <c r="Q2191" s="3" t="n">
        <v>0</v>
      </c>
      <c r="R2191" s="3" t="n">
        <v>1</v>
      </c>
      <c r="S2191" s="3" t="n">
        <v>0</v>
      </c>
      <c r="T2191" s="3" t="n">
        <v>0</v>
      </c>
      <c r="U2191" s="3" t="n">
        <v>0</v>
      </c>
      <c r="V2191" s="3" t="n">
        <f aca="false">SUM(P2191:Q2191)</f>
        <v>0</v>
      </c>
      <c r="W2191" s="3" t="n">
        <f aca="false">SUM(R2191:T2191)</f>
        <v>1</v>
      </c>
      <c r="X2191" s="22" t="n">
        <v>41794</v>
      </c>
      <c r="Y2191" s="22" t="n">
        <v>41799</v>
      </c>
    </row>
    <row r="2192" customFormat="false" ht="14.25" hidden="false" customHeight="false" outlineLevel="0" collapsed="false">
      <c r="A2192" s="1" t="n">
        <v>2014</v>
      </c>
      <c r="B2192" s="1" t="n">
        <v>1</v>
      </c>
      <c r="C2192" s="2" t="s">
        <v>25</v>
      </c>
      <c r="D2192" s="3" t="s">
        <v>110</v>
      </c>
      <c r="E2192" s="3" t="n">
        <v>1</v>
      </c>
      <c r="F2192" s="1" t="n">
        <f aca="false">Y2192-X2192</f>
        <v>5</v>
      </c>
      <c r="G2192" s="1" t="n">
        <v>5</v>
      </c>
      <c r="H2192" s="3" t="s">
        <v>72</v>
      </c>
      <c r="I2192" s="3" t="s">
        <v>73</v>
      </c>
      <c r="J2192" s="3" t="s">
        <v>38</v>
      </c>
      <c r="K2192" s="2" t="str">
        <f aca="false">CONCATENATE(I2192," ",J2192)</f>
        <v>Zelotes sp</v>
      </c>
      <c r="L2192" s="3" t="n">
        <f aca="false">SUM(P2192:U2192)</f>
        <v>1</v>
      </c>
      <c r="M2192" s="11" t="n">
        <f aca="false">(L2192/(F2192*G2192)*25)*4</f>
        <v>4</v>
      </c>
      <c r="N2192" s="1" t="s">
        <v>19</v>
      </c>
      <c r="O2192" s="1" t="s">
        <v>35</v>
      </c>
      <c r="P2192" s="3" t="n">
        <v>0</v>
      </c>
      <c r="Q2192" s="3" t="n">
        <v>0</v>
      </c>
      <c r="R2192" s="3" t="n">
        <v>0</v>
      </c>
      <c r="S2192" s="3" t="n">
        <v>1</v>
      </c>
      <c r="T2192" s="3" t="n">
        <v>0</v>
      </c>
      <c r="U2192" s="3" t="n">
        <v>0</v>
      </c>
      <c r="V2192" s="3" t="n">
        <f aca="false">SUM(P2192:Q2192)</f>
        <v>0</v>
      </c>
      <c r="W2192" s="3" t="n">
        <f aca="false">SUM(R2192:T2192)</f>
        <v>1</v>
      </c>
      <c r="X2192" s="22" t="n">
        <v>41794</v>
      </c>
      <c r="Y2192" s="22" t="n">
        <v>41799</v>
      </c>
    </row>
    <row r="2193" customFormat="false" ht="14.25" hidden="false" customHeight="false" outlineLevel="0" collapsed="false">
      <c r="A2193" s="1" t="n">
        <v>2014</v>
      </c>
      <c r="B2193" s="1" t="n">
        <v>1</v>
      </c>
      <c r="C2193" s="2" t="s">
        <v>25</v>
      </c>
      <c r="D2193" s="3" t="s">
        <v>110</v>
      </c>
      <c r="E2193" s="3" t="n">
        <v>1</v>
      </c>
      <c r="F2193" s="1" t="n">
        <f aca="false">Y2193-X2193</f>
        <v>5</v>
      </c>
      <c r="G2193" s="1" t="n">
        <v>5</v>
      </c>
      <c r="H2193" s="3" t="s">
        <v>72</v>
      </c>
      <c r="I2193" s="3" t="s">
        <v>73</v>
      </c>
      <c r="J2193" s="3" t="s">
        <v>38</v>
      </c>
      <c r="K2193" s="2" t="str">
        <f aca="false">CONCATENATE(I2193," ",J2193)</f>
        <v>Zelotes sp</v>
      </c>
      <c r="L2193" s="3" t="n">
        <f aca="false">SUM(P2193:U2193)</f>
        <v>1</v>
      </c>
      <c r="M2193" s="11" t="n">
        <f aca="false">(L2193/(F2193*G2193)*25)*4</f>
        <v>4</v>
      </c>
      <c r="N2193" s="1" t="s">
        <v>19</v>
      </c>
      <c r="O2193" s="1" t="s">
        <v>54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1</v>
      </c>
      <c r="U2193" s="3" t="n">
        <v>0</v>
      </c>
      <c r="V2193" s="3" t="n">
        <f aca="false">SUM(P2193:Q2193)</f>
        <v>0</v>
      </c>
      <c r="W2193" s="3" t="n">
        <f aca="false">SUM(R2193:T2193)</f>
        <v>1</v>
      </c>
      <c r="X2193" s="22" t="n">
        <v>41794</v>
      </c>
      <c r="Y2193" s="22" t="n">
        <v>41799</v>
      </c>
    </row>
    <row r="2194" customFormat="false" ht="14.25" hidden="false" customHeight="false" outlineLevel="0" collapsed="false">
      <c r="A2194" s="1" t="n">
        <v>2014</v>
      </c>
      <c r="B2194" s="1" t="n">
        <v>1</v>
      </c>
      <c r="C2194" s="2" t="s">
        <v>25</v>
      </c>
      <c r="D2194" s="3" t="s">
        <v>110</v>
      </c>
      <c r="E2194" s="3" t="n">
        <v>1</v>
      </c>
      <c r="F2194" s="1" t="n">
        <f aca="false">Y2194-X2194</f>
        <v>5</v>
      </c>
      <c r="G2194" s="1" t="n">
        <v>5</v>
      </c>
      <c r="H2194" s="3" t="s">
        <v>72</v>
      </c>
      <c r="I2194" s="3" t="s">
        <v>86</v>
      </c>
      <c r="J2194" s="3" t="s">
        <v>87</v>
      </c>
      <c r="K2194" s="2" t="str">
        <f aca="false">CONCATENATE(I2194," ",J2194)</f>
        <v>Haplodrassus soerenseni</v>
      </c>
      <c r="L2194" s="3" t="n">
        <f aca="false">SUM(P2194:U2194)</f>
        <v>3</v>
      </c>
      <c r="M2194" s="11" t="n">
        <f aca="false">(L2194/(F2194*G2194)*25)*4</f>
        <v>12</v>
      </c>
      <c r="N2194" s="1" t="s">
        <v>30</v>
      </c>
      <c r="O2194" s="1" t="s">
        <v>31</v>
      </c>
      <c r="P2194" s="3" t="n">
        <v>3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f aca="false">SUM(P2194:Q2194)</f>
        <v>3</v>
      </c>
      <c r="W2194" s="3" t="n">
        <f aca="false">SUM(R2194:T2194)</f>
        <v>0</v>
      </c>
      <c r="X2194" s="22" t="n">
        <v>41794</v>
      </c>
      <c r="Y2194" s="22" t="n">
        <v>41799</v>
      </c>
    </row>
    <row r="2195" customFormat="false" ht="14.25" hidden="false" customHeight="false" outlineLevel="0" collapsed="false">
      <c r="A2195" s="1" t="n">
        <v>2014</v>
      </c>
      <c r="B2195" s="1" t="n">
        <v>1</v>
      </c>
      <c r="C2195" s="2" t="s">
        <v>25</v>
      </c>
      <c r="D2195" s="3" t="s">
        <v>110</v>
      </c>
      <c r="E2195" s="3" t="n">
        <v>1</v>
      </c>
      <c r="F2195" s="1" t="n">
        <f aca="false">Y2195-X2195</f>
        <v>5</v>
      </c>
      <c r="G2195" s="1" t="n">
        <v>5</v>
      </c>
      <c r="H2195" s="3" t="s">
        <v>72</v>
      </c>
      <c r="I2195" s="3" t="s">
        <v>86</v>
      </c>
      <c r="J2195" s="3" t="s">
        <v>87</v>
      </c>
      <c r="K2195" s="2" t="str">
        <f aca="false">CONCATENATE(I2195," ",J2195)</f>
        <v>Haplodrassus soerenseni</v>
      </c>
      <c r="L2195" s="3" t="n">
        <f aca="false">SUM(P2195:U2195)</f>
        <v>1</v>
      </c>
      <c r="M2195" s="11" t="n">
        <f aca="false">(L2195/(F2195*G2195)*25)*4</f>
        <v>4</v>
      </c>
      <c r="N2195" s="1" t="s">
        <v>30</v>
      </c>
      <c r="O2195" s="1" t="s">
        <v>35</v>
      </c>
      <c r="P2195" s="3" t="n">
        <v>0</v>
      </c>
      <c r="Q2195" s="3" t="n">
        <v>1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f aca="false">SUM(P2195:Q2195)</f>
        <v>1</v>
      </c>
      <c r="W2195" s="3" t="n">
        <f aca="false">SUM(R2195:T2195)</f>
        <v>0</v>
      </c>
      <c r="X2195" s="22" t="n">
        <v>41794</v>
      </c>
      <c r="Y2195" s="22" t="n">
        <v>41799</v>
      </c>
    </row>
    <row r="2196" customFormat="false" ht="14.25" hidden="false" customHeight="false" outlineLevel="0" collapsed="false">
      <c r="A2196" s="1" t="n">
        <v>2014</v>
      </c>
      <c r="B2196" s="1" t="n">
        <v>1</v>
      </c>
      <c r="C2196" s="2" t="s">
        <v>25</v>
      </c>
      <c r="D2196" s="3" t="s">
        <v>110</v>
      </c>
      <c r="E2196" s="3" t="n">
        <v>1</v>
      </c>
      <c r="F2196" s="1" t="n">
        <f aca="false">Y2196-X2196</f>
        <v>5</v>
      </c>
      <c r="G2196" s="1" t="n">
        <v>5</v>
      </c>
      <c r="H2196" s="3" t="s">
        <v>32</v>
      </c>
      <c r="I2196" s="3" t="s">
        <v>96</v>
      </c>
      <c r="J2196" s="3" t="s">
        <v>97</v>
      </c>
      <c r="K2196" s="2" t="str">
        <f aca="false">CONCATENATE(I2196," ",J2196)</f>
        <v>Diplocephalus picinus</v>
      </c>
      <c r="L2196" s="3" t="n">
        <f aca="false">SUM(P2196:U2196)</f>
        <v>1</v>
      </c>
      <c r="M2196" s="11" t="n">
        <f aca="false">(L2196/(F2196*G2196)*25)*4</f>
        <v>4</v>
      </c>
      <c r="N2196" s="1" t="s">
        <v>30</v>
      </c>
      <c r="O2196" s="1" t="s">
        <v>31</v>
      </c>
      <c r="P2196" s="3" t="n">
        <v>1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f aca="false">SUM(P2196:Q2196)</f>
        <v>1</v>
      </c>
      <c r="W2196" s="3" t="n">
        <f aca="false">SUM(R2196:T2196)</f>
        <v>0</v>
      </c>
      <c r="X2196" s="22" t="n">
        <v>41794</v>
      </c>
      <c r="Y2196" s="22" t="n">
        <v>41799</v>
      </c>
    </row>
    <row r="2197" customFormat="false" ht="14.25" hidden="false" customHeight="false" outlineLevel="0" collapsed="false">
      <c r="A2197" s="1" t="n">
        <v>2014</v>
      </c>
      <c r="B2197" s="1" t="n">
        <v>1</v>
      </c>
      <c r="C2197" s="2" t="s">
        <v>25</v>
      </c>
      <c r="D2197" s="3" t="s">
        <v>110</v>
      </c>
      <c r="E2197" s="3" t="n">
        <v>1</v>
      </c>
      <c r="F2197" s="1" t="n">
        <f aca="false">Y2197-X2197</f>
        <v>5</v>
      </c>
      <c r="G2197" s="1" t="n">
        <v>5</v>
      </c>
      <c r="H2197" s="3" t="s">
        <v>32</v>
      </c>
      <c r="I2197" s="3" t="s">
        <v>154</v>
      </c>
      <c r="J2197" s="3" t="s">
        <v>155</v>
      </c>
      <c r="K2197" s="2" t="str">
        <f aca="false">CONCATENATE(I2197," ",J2197)</f>
        <v>Pocadicnemis pumila</v>
      </c>
      <c r="L2197" s="3" t="n">
        <f aca="false">SUM(P2197:U2197)</f>
        <v>1</v>
      </c>
      <c r="M2197" s="11" t="n">
        <f aca="false">(L2197/(F2197*G2197)*25)*4</f>
        <v>4</v>
      </c>
      <c r="N2197" s="1" t="s">
        <v>30</v>
      </c>
      <c r="O2197" s="1" t="s">
        <v>31</v>
      </c>
      <c r="P2197" s="3" t="n">
        <v>1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f aca="false">SUM(P2197:Q2197)</f>
        <v>1</v>
      </c>
      <c r="W2197" s="3" t="n">
        <f aca="false">SUM(R2197:T2197)</f>
        <v>0</v>
      </c>
      <c r="X2197" s="22" t="n">
        <v>41794</v>
      </c>
      <c r="Y2197" s="22" t="n">
        <v>41799</v>
      </c>
    </row>
    <row r="2198" customFormat="false" ht="14.25" hidden="false" customHeight="false" outlineLevel="0" collapsed="false">
      <c r="A2198" s="1" t="n">
        <v>2014</v>
      </c>
      <c r="B2198" s="1" t="n">
        <v>1</v>
      </c>
      <c r="C2198" s="2" t="s">
        <v>25</v>
      </c>
      <c r="D2198" s="3" t="s">
        <v>110</v>
      </c>
      <c r="E2198" s="3" t="n">
        <v>1</v>
      </c>
      <c r="F2198" s="1" t="n">
        <f aca="false">Y2198-X2198</f>
        <v>5</v>
      </c>
      <c r="G2198" s="1" t="n">
        <v>5</v>
      </c>
      <c r="H2198" s="3" t="s">
        <v>48</v>
      </c>
      <c r="I2198" s="3" t="s">
        <v>49</v>
      </c>
      <c r="J2198" s="3" t="s">
        <v>223</v>
      </c>
      <c r="K2198" s="2" t="str">
        <f aca="false">CONCATENATE(I2198," ",J2198)</f>
        <v>Alopecosa pulverulenta</v>
      </c>
      <c r="L2198" s="3" t="n">
        <f aca="false">SUM(P2198:U2198)</f>
        <v>1</v>
      </c>
      <c r="M2198" s="11" t="n">
        <f aca="false">(L2198/(F2198*G2198)*25)*4</f>
        <v>4</v>
      </c>
      <c r="N2198" s="1" t="s">
        <v>30</v>
      </c>
      <c r="O2198" s="1" t="s">
        <v>31</v>
      </c>
      <c r="P2198" s="3" t="n">
        <v>1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f aca="false">SUM(P2198:Q2198)</f>
        <v>1</v>
      </c>
      <c r="W2198" s="3" t="n">
        <f aca="false">SUM(R2198:T2198)</f>
        <v>0</v>
      </c>
      <c r="X2198" s="22" t="n">
        <v>41794</v>
      </c>
      <c r="Y2198" s="22" t="n">
        <v>41799</v>
      </c>
    </row>
    <row r="2199" customFormat="false" ht="14.25" hidden="false" customHeight="false" outlineLevel="0" collapsed="false">
      <c r="A2199" s="1" t="n">
        <v>2014</v>
      </c>
      <c r="B2199" s="1" t="n">
        <v>1</v>
      </c>
      <c r="C2199" s="2" t="s">
        <v>25</v>
      </c>
      <c r="D2199" s="3" t="s">
        <v>110</v>
      </c>
      <c r="E2199" s="3" t="n">
        <v>1</v>
      </c>
      <c r="F2199" s="1" t="n">
        <f aca="false">Y2199-X2199</f>
        <v>5</v>
      </c>
      <c r="G2199" s="1" t="n">
        <v>5</v>
      </c>
      <c r="H2199" s="3" t="s">
        <v>36</v>
      </c>
      <c r="I2199" s="3" t="s">
        <v>131</v>
      </c>
      <c r="J2199" s="3" t="s">
        <v>133</v>
      </c>
      <c r="K2199" s="2" t="str">
        <f aca="false">CONCATENATE(I2199," ",J2199)</f>
        <v>Xysticus luctuosus</v>
      </c>
      <c r="L2199" s="3" t="n">
        <f aca="false">SUM(P2199:U2199)</f>
        <v>1</v>
      </c>
      <c r="M2199" s="11" t="n">
        <f aca="false">(L2199/(F2199*G2199)*25)*4</f>
        <v>4</v>
      </c>
      <c r="N2199" s="1" t="s">
        <v>30</v>
      </c>
      <c r="O2199" s="1" t="s">
        <v>31</v>
      </c>
      <c r="P2199" s="3" t="n">
        <v>1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f aca="false">SUM(P2199:Q2199)</f>
        <v>1</v>
      </c>
      <c r="W2199" s="3" t="n">
        <f aca="false">SUM(R2199:T2199)</f>
        <v>0</v>
      </c>
      <c r="X2199" s="22" t="n">
        <v>41794</v>
      </c>
      <c r="Y2199" s="22" t="n">
        <v>41799</v>
      </c>
    </row>
    <row r="2200" customFormat="false" ht="14.25" hidden="false" customHeight="false" outlineLevel="0" collapsed="false">
      <c r="A2200" s="1" t="n">
        <v>2014</v>
      </c>
      <c r="B2200" s="1" t="n">
        <v>1</v>
      </c>
      <c r="C2200" s="2" t="s">
        <v>25</v>
      </c>
      <c r="D2200" s="3" t="s">
        <v>110</v>
      </c>
      <c r="E2200" s="3" t="n">
        <v>1</v>
      </c>
      <c r="F2200" s="1" t="n">
        <f aca="false">Y2200-X2200</f>
        <v>5</v>
      </c>
      <c r="G2200" s="1" t="n">
        <v>5</v>
      </c>
      <c r="H2200" s="3" t="s">
        <v>36</v>
      </c>
      <c r="I2200" s="3" t="s">
        <v>37</v>
      </c>
      <c r="J2200" s="3" t="s">
        <v>75</v>
      </c>
      <c r="K2200" s="2" t="str">
        <f aca="false">CONCATENATE(I2200," ",J2200)</f>
        <v>Ozyptila praticola</v>
      </c>
      <c r="L2200" s="3" t="n">
        <f aca="false">SUM(P2200:U2200)</f>
        <v>1</v>
      </c>
      <c r="M2200" s="11" t="n">
        <f aca="false">(L2200/(F2200*G2200)*25)*4</f>
        <v>4</v>
      </c>
      <c r="N2200" s="1" t="s">
        <v>30</v>
      </c>
      <c r="O2200" s="1" t="s">
        <v>31</v>
      </c>
      <c r="P2200" s="3" t="n">
        <v>1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f aca="false">SUM(P2200:Q2200)</f>
        <v>1</v>
      </c>
      <c r="W2200" s="3" t="n">
        <f aca="false">SUM(R2200:T2200)</f>
        <v>0</v>
      </c>
      <c r="X2200" s="22" t="n">
        <v>41794</v>
      </c>
      <c r="Y2200" s="22" t="n">
        <v>41799</v>
      </c>
    </row>
    <row r="2201" customFormat="false" ht="14.25" hidden="false" customHeight="false" outlineLevel="0" collapsed="false">
      <c r="A2201" s="1" t="n">
        <v>2014</v>
      </c>
      <c r="B2201" s="1" t="n">
        <v>1</v>
      </c>
      <c r="C2201" s="2" t="s">
        <v>25</v>
      </c>
      <c r="D2201" s="3" t="s">
        <v>110</v>
      </c>
      <c r="E2201" s="3" t="n">
        <v>1</v>
      </c>
      <c r="F2201" s="1" t="n">
        <f aca="false">Y2201-X2201</f>
        <v>5</v>
      </c>
      <c r="G2201" s="1" t="n">
        <v>5</v>
      </c>
      <c r="H2201" s="3" t="s">
        <v>72</v>
      </c>
      <c r="I2201" s="3" t="s">
        <v>73</v>
      </c>
      <c r="J2201" s="3" t="s">
        <v>74</v>
      </c>
      <c r="K2201" s="2" t="str">
        <f aca="false">CONCATENATE(I2201," ",J2201)</f>
        <v>Zelotes subterraneus</v>
      </c>
      <c r="L2201" s="3" t="n">
        <f aca="false">SUM(P2201:U2201)</f>
        <v>1</v>
      </c>
      <c r="M2201" s="11" t="n">
        <f aca="false">(L2201/(F2201*G2201)*25)*4</f>
        <v>4</v>
      </c>
      <c r="N2201" s="1" t="s">
        <v>30</v>
      </c>
      <c r="O2201" s="1" t="s">
        <v>31</v>
      </c>
      <c r="P2201" s="3" t="n">
        <v>1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f aca="false">SUM(P2201:Q2201)</f>
        <v>1</v>
      </c>
      <c r="W2201" s="3" t="n">
        <f aca="false">SUM(R2201:T2201)</f>
        <v>0</v>
      </c>
      <c r="X2201" s="22" t="n">
        <v>41794</v>
      </c>
      <c r="Y2201" s="22" t="n">
        <v>41799</v>
      </c>
    </row>
    <row r="2202" customFormat="false" ht="14.25" hidden="false" customHeight="false" outlineLevel="0" collapsed="false">
      <c r="A2202" s="1" t="n">
        <v>2014</v>
      </c>
      <c r="B2202" s="1" t="n">
        <v>1</v>
      </c>
      <c r="C2202" s="2" t="s">
        <v>25</v>
      </c>
      <c r="D2202" s="3" t="s">
        <v>110</v>
      </c>
      <c r="E2202" s="3" t="n">
        <v>1</v>
      </c>
      <c r="F2202" s="1" t="n">
        <f aca="false">Y2202-X2202</f>
        <v>5</v>
      </c>
      <c r="G2202" s="1" t="n">
        <v>5</v>
      </c>
      <c r="H2202" s="3" t="s">
        <v>72</v>
      </c>
      <c r="I2202" s="3" t="s">
        <v>73</v>
      </c>
      <c r="J2202" s="3" t="s">
        <v>38</v>
      </c>
      <c r="K2202" s="2" t="str">
        <f aca="false">CONCATENATE(I2202," ",J2202)</f>
        <v>Zelotes sp</v>
      </c>
      <c r="L2202" s="3" t="n">
        <f aca="false">SUM(P2202:U2202)</f>
        <v>1</v>
      </c>
      <c r="M2202" s="11" t="n">
        <f aca="false">(L2202/(F2202*G2202)*25)*4</f>
        <v>4</v>
      </c>
      <c r="N2202" s="1" t="s">
        <v>19</v>
      </c>
      <c r="O2202" s="1" t="s">
        <v>54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1</v>
      </c>
      <c r="U2202" s="3" t="n">
        <v>0</v>
      </c>
      <c r="V2202" s="3" t="n">
        <f aca="false">SUM(P2202:Q2202)</f>
        <v>0</v>
      </c>
      <c r="W2202" s="3" t="n">
        <f aca="false">SUM(R2202:T2202)</f>
        <v>1</v>
      </c>
      <c r="X2202" s="22" t="n">
        <v>41794</v>
      </c>
      <c r="Y2202" s="22" t="n">
        <v>41799</v>
      </c>
    </row>
    <row r="2203" customFormat="false" ht="14.25" hidden="false" customHeight="false" outlineLevel="0" collapsed="false">
      <c r="A2203" s="1" t="n">
        <v>2014</v>
      </c>
      <c r="B2203" s="1" t="n">
        <v>1</v>
      </c>
      <c r="C2203" s="2" t="s">
        <v>25</v>
      </c>
      <c r="D2203" s="3" t="s">
        <v>110</v>
      </c>
      <c r="E2203" s="3" t="n">
        <v>1</v>
      </c>
      <c r="F2203" s="1" t="n">
        <f aca="false">Y2203-X2203</f>
        <v>5</v>
      </c>
      <c r="G2203" s="1" t="n">
        <v>5</v>
      </c>
      <c r="H2203" s="3" t="s">
        <v>32</v>
      </c>
      <c r="I2203" s="3" t="s">
        <v>96</v>
      </c>
      <c r="J2203" s="3" t="s">
        <v>97</v>
      </c>
      <c r="K2203" s="2" t="str">
        <f aca="false">CONCATENATE(I2203," ",J2203)</f>
        <v>Diplocephalus picinus</v>
      </c>
      <c r="L2203" s="3" t="n">
        <f aca="false">SUM(P2203:U2203)</f>
        <v>1</v>
      </c>
      <c r="M2203" s="11" t="n">
        <f aca="false">(L2203/(F2203*G2203)*25)*4</f>
        <v>4</v>
      </c>
      <c r="N2203" s="1" t="s">
        <v>30</v>
      </c>
      <c r="O2203" s="1" t="s">
        <v>31</v>
      </c>
      <c r="P2203" s="3" t="n">
        <v>1</v>
      </c>
      <c r="Q2203" s="3" t="n">
        <v>0</v>
      </c>
      <c r="R2203" s="3" t="n">
        <v>0</v>
      </c>
      <c r="S2203" s="3" t="n">
        <v>0</v>
      </c>
      <c r="T2203" s="3" t="n">
        <v>0</v>
      </c>
      <c r="U2203" s="3" t="n">
        <v>0</v>
      </c>
      <c r="V2203" s="3" t="n">
        <f aca="false">SUM(P2203:Q2203)</f>
        <v>1</v>
      </c>
      <c r="W2203" s="3" t="n">
        <f aca="false">SUM(R2203:T2203)</f>
        <v>0</v>
      </c>
      <c r="X2203" s="22" t="n">
        <v>41794</v>
      </c>
      <c r="Y2203" s="22" t="n">
        <v>41799</v>
      </c>
    </row>
    <row r="2204" customFormat="false" ht="14.25" hidden="false" customHeight="false" outlineLevel="0" collapsed="false">
      <c r="A2204" s="1" t="n">
        <v>2014</v>
      </c>
      <c r="B2204" s="1" t="n">
        <v>1</v>
      </c>
      <c r="C2204" s="2" t="s">
        <v>25</v>
      </c>
      <c r="D2204" s="3" t="s">
        <v>110</v>
      </c>
      <c r="E2204" s="3" t="n">
        <v>1</v>
      </c>
      <c r="F2204" s="1" t="n">
        <f aca="false">Y2204-X2204</f>
        <v>5</v>
      </c>
      <c r="G2204" s="1" t="n">
        <v>5</v>
      </c>
      <c r="H2204" s="3" t="s">
        <v>32</v>
      </c>
      <c r="I2204" s="3" t="s">
        <v>154</v>
      </c>
      <c r="J2204" s="3" t="s">
        <v>155</v>
      </c>
      <c r="K2204" s="2" t="str">
        <f aca="false">CONCATENATE(I2204," ",J2204)</f>
        <v>Pocadicnemis pumila</v>
      </c>
      <c r="L2204" s="3" t="n">
        <f aca="false">SUM(P2204:U2204)</f>
        <v>1</v>
      </c>
      <c r="M2204" s="11" t="n">
        <f aca="false">(L2204/(F2204*G2204)*25)*4</f>
        <v>4</v>
      </c>
      <c r="N2204" s="1" t="s">
        <v>30</v>
      </c>
      <c r="O2204" s="1" t="s">
        <v>31</v>
      </c>
      <c r="P2204" s="3" t="n">
        <v>1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f aca="false">SUM(P2204:Q2204)</f>
        <v>1</v>
      </c>
      <c r="W2204" s="3" t="n">
        <f aca="false">SUM(R2204:T2204)</f>
        <v>0</v>
      </c>
      <c r="X2204" s="22" t="n">
        <v>41794</v>
      </c>
      <c r="Y2204" s="22" t="n">
        <v>41799</v>
      </c>
    </row>
    <row r="2205" customFormat="false" ht="14.25" hidden="false" customHeight="false" outlineLevel="0" collapsed="false">
      <c r="A2205" s="1" t="n">
        <v>2014</v>
      </c>
      <c r="B2205" s="1" t="n">
        <v>1</v>
      </c>
      <c r="C2205" s="2" t="s">
        <v>25</v>
      </c>
      <c r="D2205" s="3" t="s">
        <v>110</v>
      </c>
      <c r="E2205" s="3" t="n">
        <v>1</v>
      </c>
      <c r="F2205" s="1" t="n">
        <f aca="false">Y2205-X2205</f>
        <v>5</v>
      </c>
      <c r="G2205" s="1" t="n">
        <v>5</v>
      </c>
      <c r="H2205" s="3" t="s">
        <v>41</v>
      </c>
      <c r="I2205" s="3" t="s">
        <v>42</v>
      </c>
      <c r="J2205" s="3" t="s">
        <v>38</v>
      </c>
      <c r="K2205" s="2" t="str">
        <f aca="false">CONCATENATE(I2205," ",J2205)</f>
        <v>Agroeca sp</v>
      </c>
      <c r="L2205" s="3" t="n">
        <f aca="false">SUM(P2205:U2205)</f>
        <v>1</v>
      </c>
      <c r="M2205" s="11" t="n">
        <f aca="false">(L2205/(F2205*G2205)*25)*4</f>
        <v>4</v>
      </c>
      <c r="N2205" s="1" t="s">
        <v>19</v>
      </c>
      <c r="O2205" s="1" t="s">
        <v>54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1</v>
      </c>
      <c r="U2205" s="3" t="n">
        <v>0</v>
      </c>
      <c r="V2205" s="3" t="n">
        <f aca="false">SUM(P2205:Q2205)</f>
        <v>0</v>
      </c>
      <c r="W2205" s="3" t="n">
        <f aca="false">SUM(R2205:T2205)</f>
        <v>1</v>
      </c>
      <c r="X2205" s="22" t="n">
        <v>41794</v>
      </c>
      <c r="Y2205" s="22" t="n">
        <v>41799</v>
      </c>
    </row>
    <row r="2206" customFormat="false" ht="14.25" hidden="false" customHeight="false" outlineLevel="0" collapsed="false">
      <c r="A2206" s="1" t="n">
        <v>2014</v>
      </c>
      <c r="B2206" s="1" t="n">
        <v>1</v>
      </c>
      <c r="C2206" s="2" t="s">
        <v>25</v>
      </c>
      <c r="D2206" s="3" t="s">
        <v>110</v>
      </c>
      <c r="E2206" s="3" t="n">
        <v>2</v>
      </c>
      <c r="F2206" s="1" t="n">
        <f aca="false">Y2206-X2206</f>
        <v>5</v>
      </c>
      <c r="G2206" s="1" t="n">
        <v>5</v>
      </c>
      <c r="H2206" s="3" t="s">
        <v>36</v>
      </c>
      <c r="I2206" s="3" t="s">
        <v>131</v>
      </c>
      <c r="J2206" s="3" t="s">
        <v>133</v>
      </c>
      <c r="K2206" s="2" t="str">
        <f aca="false">CONCATENATE(I2206," ",J2206)</f>
        <v>Xysticus luctuosus</v>
      </c>
      <c r="L2206" s="3" t="n">
        <f aca="false">SUM(P2206:U2206)</f>
        <v>1</v>
      </c>
      <c r="M2206" s="11" t="n">
        <f aca="false">(L2206/(F2206*G2206)*25)*4</f>
        <v>4</v>
      </c>
      <c r="N2206" s="1" t="s">
        <v>30</v>
      </c>
      <c r="O2206" s="1" t="s">
        <v>31</v>
      </c>
      <c r="P2206" s="3" t="n">
        <v>1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f aca="false">SUM(P2206:Q2206)</f>
        <v>1</v>
      </c>
      <c r="W2206" s="3" t="n">
        <f aca="false">SUM(R2206:T2206)</f>
        <v>0</v>
      </c>
      <c r="X2206" s="22" t="n">
        <v>41794</v>
      </c>
      <c r="Y2206" s="22" t="n">
        <v>41799</v>
      </c>
    </row>
    <row r="2207" customFormat="false" ht="14.25" hidden="false" customHeight="false" outlineLevel="0" collapsed="false">
      <c r="A2207" s="1" t="n">
        <v>2014</v>
      </c>
      <c r="B2207" s="1" t="n">
        <v>1</v>
      </c>
      <c r="C2207" s="2" t="s">
        <v>25</v>
      </c>
      <c r="D2207" s="3" t="s">
        <v>110</v>
      </c>
      <c r="E2207" s="3" t="n">
        <v>2</v>
      </c>
      <c r="F2207" s="1" t="n">
        <f aca="false">Y2207-X2207</f>
        <v>5</v>
      </c>
      <c r="G2207" s="1" t="n">
        <v>5</v>
      </c>
      <c r="H2207" s="3" t="s">
        <v>36</v>
      </c>
      <c r="I2207" s="3" t="s">
        <v>37</v>
      </c>
      <c r="J2207" s="3" t="s">
        <v>75</v>
      </c>
      <c r="K2207" s="2" t="str">
        <f aca="false">CONCATENATE(I2207," ",J2207)</f>
        <v>Ozyptila praticola</v>
      </c>
      <c r="L2207" s="3" t="n">
        <f aca="false">SUM(P2207:U2207)</f>
        <v>1</v>
      </c>
      <c r="M2207" s="11" t="n">
        <f aca="false">(L2207/(F2207*G2207)*25)*4</f>
        <v>4</v>
      </c>
      <c r="N2207" s="1" t="s">
        <v>30</v>
      </c>
      <c r="O2207" s="1" t="s">
        <v>31</v>
      </c>
      <c r="P2207" s="3" t="n">
        <v>1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f aca="false">SUM(P2207:Q2207)</f>
        <v>1</v>
      </c>
      <c r="W2207" s="3" t="n">
        <f aca="false">SUM(R2207:T2207)</f>
        <v>0</v>
      </c>
      <c r="X2207" s="22" t="n">
        <v>41794</v>
      </c>
      <c r="Y2207" s="22" t="n">
        <v>41799</v>
      </c>
    </row>
    <row r="2208" customFormat="false" ht="14.25" hidden="false" customHeight="false" outlineLevel="0" collapsed="false">
      <c r="A2208" s="1" t="n">
        <v>2014</v>
      </c>
      <c r="B2208" s="1" t="n">
        <v>1</v>
      </c>
      <c r="C2208" s="2" t="s">
        <v>25</v>
      </c>
      <c r="D2208" s="3" t="s">
        <v>110</v>
      </c>
      <c r="E2208" s="3" t="n">
        <v>2</v>
      </c>
      <c r="F2208" s="1" t="n">
        <f aca="false">Y2208-X2208</f>
        <v>5</v>
      </c>
      <c r="G2208" s="1" t="n">
        <v>5</v>
      </c>
      <c r="H2208" s="3" t="s">
        <v>135</v>
      </c>
      <c r="I2208" s="3" t="s">
        <v>136</v>
      </c>
      <c r="J2208" s="3" t="s">
        <v>137</v>
      </c>
      <c r="K2208" s="2" t="str">
        <f aca="false">CONCATENATE(I2208," ",J2208)</f>
        <v>Thanatus sabulosus</v>
      </c>
      <c r="L2208" s="3" t="n">
        <f aca="false">SUM(P2208:U2208)</f>
        <v>1</v>
      </c>
      <c r="M2208" s="11" t="n">
        <f aca="false">(L2208/(F2208*G2208)*25)*4</f>
        <v>4</v>
      </c>
      <c r="N2208" s="1" t="s">
        <v>30</v>
      </c>
      <c r="O2208" s="1" t="s">
        <v>31</v>
      </c>
      <c r="P2208" s="3" t="n">
        <v>1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f aca="false">SUM(P2208:Q2208)</f>
        <v>1</v>
      </c>
      <c r="W2208" s="3" t="n">
        <f aca="false">SUM(R2208:T2208)</f>
        <v>0</v>
      </c>
      <c r="X2208" s="22" t="n">
        <v>41794</v>
      </c>
      <c r="Y2208" s="22" t="n">
        <v>41799</v>
      </c>
    </row>
    <row r="2209" customFormat="false" ht="14.25" hidden="false" customHeight="false" outlineLevel="0" collapsed="false">
      <c r="A2209" s="1" t="n">
        <v>2014</v>
      </c>
      <c r="B2209" s="1" t="n">
        <v>1</v>
      </c>
      <c r="C2209" s="2" t="s">
        <v>25</v>
      </c>
      <c r="D2209" s="3" t="s">
        <v>110</v>
      </c>
      <c r="E2209" s="3" t="n">
        <v>2</v>
      </c>
      <c r="F2209" s="1" t="n">
        <f aca="false">Y2209-X2209</f>
        <v>5</v>
      </c>
      <c r="G2209" s="1" t="n">
        <v>5</v>
      </c>
      <c r="H2209" s="3" t="s">
        <v>48</v>
      </c>
      <c r="I2209" s="3" t="s">
        <v>67</v>
      </c>
      <c r="J2209" s="3" t="s">
        <v>127</v>
      </c>
      <c r="K2209" s="2" t="str">
        <f aca="false">CONCATENATE(I2209," ",J2209)</f>
        <v>Pardosa lugubris</v>
      </c>
      <c r="L2209" s="3" t="n">
        <f aca="false">SUM(P2209:U2209)</f>
        <v>1</v>
      </c>
      <c r="M2209" s="11" t="n">
        <f aca="false">(L2209/(F2209*G2209)*25)*4</f>
        <v>4</v>
      </c>
      <c r="N2209" s="1" t="s">
        <v>30</v>
      </c>
      <c r="O2209" s="1" t="s">
        <v>31</v>
      </c>
      <c r="P2209" s="3" t="n">
        <v>1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f aca="false">SUM(P2209:Q2209)</f>
        <v>1</v>
      </c>
      <c r="W2209" s="3" t="n">
        <f aca="false">SUM(R2209:T2209)</f>
        <v>0</v>
      </c>
      <c r="X2209" s="22" t="n">
        <v>41794</v>
      </c>
      <c r="Y2209" s="22" t="n">
        <v>41799</v>
      </c>
    </row>
    <row r="2210" customFormat="false" ht="14.25" hidden="false" customHeight="false" outlineLevel="0" collapsed="false">
      <c r="A2210" s="1" t="n">
        <v>2014</v>
      </c>
      <c r="B2210" s="1" t="n">
        <v>1</v>
      </c>
      <c r="C2210" s="2" t="s">
        <v>25</v>
      </c>
      <c r="D2210" s="3" t="s">
        <v>110</v>
      </c>
      <c r="E2210" s="3" t="n">
        <v>2</v>
      </c>
      <c r="F2210" s="1" t="n">
        <f aca="false">Y2210-X2210</f>
        <v>5</v>
      </c>
      <c r="G2210" s="1" t="n">
        <v>5</v>
      </c>
      <c r="H2210" s="3" t="s">
        <v>48</v>
      </c>
      <c r="I2210" s="3" t="s">
        <v>61</v>
      </c>
      <c r="J2210" s="3" t="s">
        <v>38</v>
      </c>
      <c r="K2210" s="2" t="str">
        <f aca="false">CONCATENATE(I2210," ",J2210)</f>
        <v>Trochosa sp</v>
      </c>
      <c r="L2210" s="3" t="n">
        <f aca="false">SUM(P2210:U2210)</f>
        <v>1</v>
      </c>
      <c r="M2210" s="11" t="n">
        <f aca="false">(L2210/(F2210*G2210)*25)*4</f>
        <v>4</v>
      </c>
      <c r="N2210" s="1" t="s">
        <v>19</v>
      </c>
      <c r="O2210" s="1" t="s">
        <v>31</v>
      </c>
      <c r="P2210" s="3" t="n">
        <v>0</v>
      </c>
      <c r="Q2210" s="3" t="n">
        <v>0</v>
      </c>
      <c r="R2210" s="3" t="n">
        <v>1</v>
      </c>
      <c r="S2210" s="3" t="n">
        <v>0</v>
      </c>
      <c r="T2210" s="3" t="n">
        <v>0</v>
      </c>
      <c r="U2210" s="3" t="n">
        <v>0</v>
      </c>
      <c r="V2210" s="3" t="n">
        <f aca="false">SUM(P2210:Q2210)</f>
        <v>0</v>
      </c>
      <c r="W2210" s="3" t="n">
        <f aca="false">SUM(R2210:T2210)</f>
        <v>1</v>
      </c>
      <c r="X2210" s="22" t="n">
        <v>41794</v>
      </c>
      <c r="Y2210" s="22" t="n">
        <v>41799</v>
      </c>
    </row>
    <row r="2211" customFormat="false" ht="14.25" hidden="false" customHeight="false" outlineLevel="0" collapsed="false">
      <c r="A2211" s="1" t="n">
        <v>2014</v>
      </c>
      <c r="B2211" s="1" t="n">
        <v>1</v>
      </c>
      <c r="C2211" s="2" t="s">
        <v>25</v>
      </c>
      <c r="D2211" s="3" t="s">
        <v>110</v>
      </c>
      <c r="E2211" s="3" t="n">
        <v>2</v>
      </c>
      <c r="F2211" s="1" t="n">
        <f aca="false">Y2211-X2211</f>
        <v>5</v>
      </c>
      <c r="G2211" s="1" t="n">
        <v>5</v>
      </c>
      <c r="H2211" s="3" t="s">
        <v>48</v>
      </c>
      <c r="I2211" s="3" t="s">
        <v>61</v>
      </c>
      <c r="J2211" s="3" t="s">
        <v>38</v>
      </c>
      <c r="K2211" s="2" t="str">
        <f aca="false">CONCATENATE(I2211," ",J2211)</f>
        <v>Trochosa sp</v>
      </c>
      <c r="L2211" s="3" t="n">
        <f aca="false">SUM(P2211:U2211)</f>
        <v>1</v>
      </c>
      <c r="M2211" s="11" t="n">
        <f aca="false">(L2211/(F2211*G2211)*25)*4</f>
        <v>4</v>
      </c>
      <c r="N2211" s="1" t="s">
        <v>19</v>
      </c>
      <c r="O2211" s="1" t="s">
        <v>54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1</v>
      </c>
      <c r="U2211" s="3" t="n">
        <v>0</v>
      </c>
      <c r="V2211" s="3" t="n">
        <f aca="false">SUM(P2211:Q2211)</f>
        <v>0</v>
      </c>
      <c r="W2211" s="3" t="n">
        <f aca="false">SUM(R2211:T2211)</f>
        <v>1</v>
      </c>
      <c r="X2211" s="22" t="n">
        <v>41794</v>
      </c>
      <c r="Y2211" s="22" t="n">
        <v>41799</v>
      </c>
    </row>
    <row r="2212" customFormat="false" ht="14.25" hidden="false" customHeight="false" outlineLevel="0" collapsed="false">
      <c r="A2212" s="1" t="n">
        <v>2014</v>
      </c>
      <c r="B2212" s="1" t="n">
        <v>1</v>
      </c>
      <c r="C2212" s="2" t="s">
        <v>25</v>
      </c>
      <c r="D2212" s="3" t="s">
        <v>110</v>
      </c>
      <c r="E2212" s="3" t="n">
        <v>2</v>
      </c>
      <c r="F2212" s="1" t="n">
        <f aca="false">Y2212-X2212</f>
        <v>5</v>
      </c>
      <c r="G2212" s="1" t="n">
        <v>5</v>
      </c>
      <c r="H2212" s="3" t="s">
        <v>48</v>
      </c>
      <c r="I2212" s="3" t="s">
        <v>49</v>
      </c>
      <c r="J2212" s="3" t="s">
        <v>38</v>
      </c>
      <c r="K2212" s="2" t="str">
        <f aca="false">CONCATENATE(I2212," ",J2212)</f>
        <v>Alopecosa sp</v>
      </c>
      <c r="L2212" s="3" t="n">
        <f aca="false">SUM(P2212:U2212)</f>
        <v>1</v>
      </c>
      <c r="M2212" s="11" t="n">
        <f aca="false">(L2212/(F2212*G2212)*25)*4</f>
        <v>4</v>
      </c>
      <c r="N2212" s="1" t="s">
        <v>19</v>
      </c>
      <c r="O2212" s="1" t="s">
        <v>54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1</v>
      </c>
      <c r="U2212" s="3" t="n">
        <v>0</v>
      </c>
      <c r="V2212" s="3" t="n">
        <f aca="false">SUM(P2212:Q2212)</f>
        <v>0</v>
      </c>
      <c r="W2212" s="3" t="n">
        <f aca="false">SUM(R2212:T2212)</f>
        <v>1</v>
      </c>
      <c r="X2212" s="22" t="n">
        <v>41794</v>
      </c>
      <c r="Y2212" s="22" t="n">
        <v>41799</v>
      </c>
    </row>
    <row r="2213" customFormat="false" ht="14.25" hidden="false" customHeight="false" outlineLevel="0" collapsed="false">
      <c r="A2213" s="1" t="n">
        <v>2014</v>
      </c>
      <c r="B2213" s="1" t="n">
        <v>1</v>
      </c>
      <c r="C2213" s="2" t="s">
        <v>25</v>
      </c>
      <c r="D2213" s="3" t="s">
        <v>110</v>
      </c>
      <c r="E2213" s="3" t="n">
        <v>2</v>
      </c>
      <c r="F2213" s="1" t="n">
        <f aca="false">Y2213-X2213</f>
        <v>5</v>
      </c>
      <c r="G2213" s="1" t="n">
        <v>5</v>
      </c>
      <c r="H2213" s="3" t="s">
        <v>226</v>
      </c>
      <c r="I2213" s="3" t="s">
        <v>65</v>
      </c>
      <c r="J2213" s="3" t="s">
        <v>123</v>
      </c>
      <c r="K2213" s="2" t="str">
        <f aca="false">CONCATENATE(I2213," ",J2213)</f>
        <v>Zora nemoralis</v>
      </c>
      <c r="L2213" s="3" t="n">
        <f aca="false">SUM(P2213:U2213)</f>
        <v>1</v>
      </c>
      <c r="M2213" s="11" t="n">
        <f aca="false">(L2213/(F2213*G2213)*25)*4</f>
        <v>4</v>
      </c>
      <c r="N2213" s="1" t="s">
        <v>30</v>
      </c>
      <c r="O2213" s="1" t="s">
        <v>31</v>
      </c>
      <c r="P2213" s="3" t="n">
        <v>1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f aca="false">SUM(P2213:Q2213)</f>
        <v>1</v>
      </c>
      <c r="W2213" s="3" t="n">
        <f aca="false">SUM(R2213:T2213)</f>
        <v>0</v>
      </c>
      <c r="X2213" s="22" t="n">
        <v>41794</v>
      </c>
      <c r="Y2213" s="22" t="n">
        <v>41799</v>
      </c>
    </row>
    <row r="2214" customFormat="false" ht="14.25" hidden="false" customHeight="false" outlineLevel="0" collapsed="false">
      <c r="A2214" s="1" t="n">
        <v>2014</v>
      </c>
      <c r="B2214" s="1" t="n">
        <v>1</v>
      </c>
      <c r="C2214" s="2" t="s">
        <v>25</v>
      </c>
      <c r="D2214" s="3" t="s">
        <v>110</v>
      </c>
      <c r="E2214" s="3" t="n">
        <v>2</v>
      </c>
      <c r="F2214" s="1" t="n">
        <f aca="false">Y2214-X2214</f>
        <v>5</v>
      </c>
      <c r="G2214" s="1" t="n">
        <v>5</v>
      </c>
      <c r="H2214" s="3" t="s">
        <v>72</v>
      </c>
      <c r="I2214" s="3" t="s">
        <v>73</v>
      </c>
      <c r="J2214" s="3" t="s">
        <v>38</v>
      </c>
      <c r="K2214" s="2" t="str">
        <f aca="false">CONCATENATE(I2214," ",J2214)</f>
        <v>Zelotes sp</v>
      </c>
      <c r="L2214" s="3" t="n">
        <f aca="false">SUM(P2214:U2214)</f>
        <v>1</v>
      </c>
      <c r="M2214" s="11" t="n">
        <f aca="false">(L2214/(F2214*G2214)*25)*4</f>
        <v>4</v>
      </c>
      <c r="N2214" s="1" t="s">
        <v>19</v>
      </c>
      <c r="O2214" s="1" t="s">
        <v>31</v>
      </c>
      <c r="P2214" s="3" t="n">
        <v>0</v>
      </c>
      <c r="Q2214" s="3" t="n">
        <v>0</v>
      </c>
      <c r="R2214" s="3" t="n">
        <v>1</v>
      </c>
      <c r="S2214" s="3" t="n">
        <v>0</v>
      </c>
      <c r="T2214" s="3" t="n">
        <v>0</v>
      </c>
      <c r="U2214" s="3" t="n">
        <v>0</v>
      </c>
      <c r="V2214" s="3" t="n">
        <f aca="false">SUM(P2214:Q2214)</f>
        <v>0</v>
      </c>
      <c r="W2214" s="3" t="n">
        <f aca="false">SUM(R2214:T2214)</f>
        <v>1</v>
      </c>
      <c r="X2214" s="22" t="n">
        <v>41794</v>
      </c>
      <c r="Y2214" s="22" t="n">
        <v>41799</v>
      </c>
    </row>
    <row r="2215" customFormat="false" ht="14.25" hidden="false" customHeight="false" outlineLevel="0" collapsed="false">
      <c r="A2215" s="1" t="n">
        <v>2014</v>
      </c>
      <c r="B2215" s="1" t="n">
        <v>1</v>
      </c>
      <c r="C2215" s="2" t="s">
        <v>25</v>
      </c>
      <c r="D2215" s="3" t="s">
        <v>110</v>
      </c>
      <c r="E2215" s="3" t="n">
        <v>2</v>
      </c>
      <c r="F2215" s="1" t="n">
        <f aca="false">Y2215-X2215</f>
        <v>5</v>
      </c>
      <c r="G2215" s="1" t="n">
        <v>5</v>
      </c>
      <c r="H2215" s="3" t="s">
        <v>72</v>
      </c>
      <c r="I2215" s="3" t="s">
        <v>86</v>
      </c>
      <c r="J2215" s="3" t="s">
        <v>87</v>
      </c>
      <c r="K2215" s="2" t="str">
        <f aca="false">CONCATENATE(I2215," ",J2215)</f>
        <v>Haplodrassus soerenseni</v>
      </c>
      <c r="L2215" s="3" t="n">
        <f aca="false">SUM(P2215:U2215)</f>
        <v>2</v>
      </c>
      <c r="M2215" s="11" t="n">
        <f aca="false">(L2215/(F2215*G2215)*25)*4</f>
        <v>8</v>
      </c>
      <c r="N2215" s="1" t="s">
        <v>30</v>
      </c>
      <c r="O2215" s="1" t="s">
        <v>31</v>
      </c>
      <c r="P2215" s="3" t="n">
        <v>2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f aca="false">SUM(P2215:Q2215)</f>
        <v>2</v>
      </c>
      <c r="W2215" s="3" t="n">
        <f aca="false">SUM(R2215:T2215)</f>
        <v>0</v>
      </c>
      <c r="X2215" s="22" t="n">
        <v>41794</v>
      </c>
      <c r="Y2215" s="22" t="n">
        <v>41799</v>
      </c>
    </row>
    <row r="2216" customFormat="false" ht="14.25" hidden="false" customHeight="false" outlineLevel="0" collapsed="false">
      <c r="A2216" s="1" t="n">
        <v>2014</v>
      </c>
      <c r="B2216" s="1" t="n">
        <v>1</v>
      </c>
      <c r="C2216" s="2" t="s">
        <v>25</v>
      </c>
      <c r="D2216" s="3" t="s">
        <v>110</v>
      </c>
      <c r="E2216" s="3" t="n">
        <v>2</v>
      </c>
      <c r="F2216" s="1" t="n">
        <f aca="false">Y2216-X2216</f>
        <v>5</v>
      </c>
      <c r="G2216" s="1" t="n">
        <v>5</v>
      </c>
      <c r="H2216" s="3" t="s">
        <v>72</v>
      </c>
      <c r="I2216" s="3" t="s">
        <v>86</v>
      </c>
      <c r="J2216" s="3" t="s">
        <v>87</v>
      </c>
      <c r="K2216" s="2" t="str">
        <f aca="false">CONCATENATE(I2216," ",J2216)</f>
        <v>Haplodrassus soerenseni</v>
      </c>
      <c r="L2216" s="3" t="n">
        <f aca="false">SUM(P2216:U2216)</f>
        <v>1</v>
      </c>
      <c r="M2216" s="11" t="n">
        <f aca="false">(L2216/(F2216*G2216)*25)*4</f>
        <v>4</v>
      </c>
      <c r="N2216" s="1" t="s">
        <v>30</v>
      </c>
      <c r="O2216" s="1" t="s">
        <v>35</v>
      </c>
      <c r="P2216" s="3" t="n">
        <v>0</v>
      </c>
      <c r="Q2216" s="3" t="n">
        <v>1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f aca="false">SUM(P2216:Q2216)</f>
        <v>1</v>
      </c>
      <c r="W2216" s="3" t="n">
        <f aca="false">SUM(R2216:T2216)</f>
        <v>0</v>
      </c>
      <c r="X2216" s="22" t="n">
        <v>41794</v>
      </c>
      <c r="Y2216" s="22" t="n">
        <v>41799</v>
      </c>
    </row>
    <row r="2217" customFormat="false" ht="14.25" hidden="false" customHeight="false" outlineLevel="0" collapsed="false">
      <c r="A2217" s="1" t="n">
        <v>2014</v>
      </c>
      <c r="B2217" s="1" t="n">
        <v>1</v>
      </c>
      <c r="C2217" s="2" t="s">
        <v>25</v>
      </c>
      <c r="D2217" s="3" t="s">
        <v>110</v>
      </c>
      <c r="E2217" s="3" t="n">
        <v>2</v>
      </c>
      <c r="F2217" s="1" t="n">
        <f aca="false">Y2217-X2217</f>
        <v>5</v>
      </c>
      <c r="G2217" s="1" t="n">
        <v>5</v>
      </c>
      <c r="H2217" s="3" t="s">
        <v>32</v>
      </c>
      <c r="I2217" s="3" t="s">
        <v>169</v>
      </c>
      <c r="J2217" s="3" t="s">
        <v>170</v>
      </c>
      <c r="K2217" s="2" t="str">
        <f aca="false">CONCATENATE(I2217," ",J2217)</f>
        <v>Abacoproeces saltuum</v>
      </c>
      <c r="L2217" s="3" t="n">
        <f aca="false">SUM(P2217:U2217)</f>
        <v>7</v>
      </c>
      <c r="M2217" s="11" t="n">
        <f aca="false">(L2217/(F2217*G2217)*25)*4</f>
        <v>28</v>
      </c>
      <c r="N2217" s="1" t="s">
        <v>30</v>
      </c>
      <c r="O2217" s="1" t="s">
        <v>31</v>
      </c>
      <c r="P2217" s="3" t="n">
        <v>7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f aca="false">SUM(P2217:Q2217)</f>
        <v>7</v>
      </c>
      <c r="W2217" s="3" t="n">
        <f aca="false">SUM(R2217:T2217)</f>
        <v>0</v>
      </c>
      <c r="X2217" s="22" t="n">
        <v>41794</v>
      </c>
      <c r="Y2217" s="22" t="n">
        <v>41799</v>
      </c>
    </row>
    <row r="2218" customFormat="false" ht="14.25" hidden="false" customHeight="false" outlineLevel="0" collapsed="false">
      <c r="A2218" s="1" t="n">
        <v>2014</v>
      </c>
      <c r="B2218" s="1" t="n">
        <v>1</v>
      </c>
      <c r="C2218" s="2" t="s">
        <v>25</v>
      </c>
      <c r="D2218" s="3" t="s">
        <v>110</v>
      </c>
      <c r="E2218" s="3" t="n">
        <v>2</v>
      </c>
      <c r="F2218" s="1" t="n">
        <f aca="false">Y2218-X2218</f>
        <v>5</v>
      </c>
      <c r="G2218" s="1" t="n">
        <v>5</v>
      </c>
      <c r="H2218" s="3" t="s">
        <v>32</v>
      </c>
      <c r="I2218" s="3" t="s">
        <v>169</v>
      </c>
      <c r="J2218" s="3" t="s">
        <v>170</v>
      </c>
      <c r="K2218" s="2" t="str">
        <f aca="false">CONCATENATE(I2218," ",J2218)</f>
        <v>Abacoproeces saltuum</v>
      </c>
      <c r="L2218" s="3" t="n">
        <f aca="false">SUM(P2218:U2218)</f>
        <v>3</v>
      </c>
      <c r="M2218" s="11" t="n">
        <f aca="false">(L2218/(F2218*G2218)*25)*4</f>
        <v>12</v>
      </c>
      <c r="N2218" s="1" t="s">
        <v>30</v>
      </c>
      <c r="O2218" s="1" t="s">
        <v>35</v>
      </c>
      <c r="P2218" s="3" t="n">
        <v>0</v>
      </c>
      <c r="Q2218" s="3" t="n">
        <v>3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f aca="false">SUM(P2218:Q2218)</f>
        <v>3</v>
      </c>
      <c r="W2218" s="3" t="n">
        <f aca="false">SUM(R2218:T2218)</f>
        <v>0</v>
      </c>
      <c r="X2218" s="22" t="n">
        <v>41794</v>
      </c>
      <c r="Y2218" s="22" t="n">
        <v>41799</v>
      </c>
    </row>
    <row r="2219" customFormat="false" ht="14.25" hidden="false" customHeight="false" outlineLevel="0" collapsed="false">
      <c r="A2219" s="1" t="n">
        <v>2014</v>
      </c>
      <c r="B2219" s="1" t="n">
        <v>1</v>
      </c>
      <c r="C2219" s="2" t="s">
        <v>25</v>
      </c>
      <c r="D2219" s="3" t="s">
        <v>110</v>
      </c>
      <c r="E2219" s="3" t="n">
        <v>2</v>
      </c>
      <c r="F2219" s="1" t="n">
        <f aca="false">Y2219-X2219</f>
        <v>5</v>
      </c>
      <c r="G2219" s="1" t="n">
        <v>5</v>
      </c>
      <c r="H2219" s="3" t="s">
        <v>32</v>
      </c>
      <c r="I2219" s="3" t="s">
        <v>84</v>
      </c>
      <c r="J2219" s="3" t="s">
        <v>85</v>
      </c>
      <c r="K2219" s="2" t="str">
        <f aca="false">CONCATENATE(I2219," ",J2219)</f>
        <v>Walckenaeria antica</v>
      </c>
      <c r="L2219" s="3" t="n">
        <f aca="false">SUM(P2219:U2219)</f>
        <v>1</v>
      </c>
      <c r="M2219" s="11" t="n">
        <f aca="false">(L2219/(F2219*G2219)*25)*4</f>
        <v>4</v>
      </c>
      <c r="N2219" s="1" t="s">
        <v>30</v>
      </c>
      <c r="O2219" s="1" t="s">
        <v>35</v>
      </c>
      <c r="P2219" s="3" t="n">
        <v>0</v>
      </c>
      <c r="Q2219" s="3" t="n">
        <v>1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f aca="false">SUM(P2219:Q2219)</f>
        <v>1</v>
      </c>
      <c r="W2219" s="3" t="n">
        <f aca="false">SUM(R2219:T2219)</f>
        <v>0</v>
      </c>
      <c r="X2219" s="22" t="n">
        <v>41794</v>
      </c>
      <c r="Y2219" s="22" t="n">
        <v>41799</v>
      </c>
    </row>
    <row r="2220" customFormat="false" ht="14.25" hidden="false" customHeight="false" outlineLevel="0" collapsed="false">
      <c r="A2220" s="1" t="n">
        <v>2014</v>
      </c>
      <c r="B2220" s="1" t="n">
        <v>1</v>
      </c>
      <c r="C2220" s="2" t="s">
        <v>25</v>
      </c>
      <c r="D2220" s="3" t="s">
        <v>110</v>
      </c>
      <c r="E2220" s="3" t="n">
        <v>2</v>
      </c>
      <c r="F2220" s="1" t="n">
        <f aca="false">Y2220-X2220</f>
        <v>5</v>
      </c>
      <c r="G2220" s="1" t="n">
        <v>5</v>
      </c>
      <c r="H2220" s="3" t="s">
        <v>32</v>
      </c>
      <c r="I2220" s="3" t="s">
        <v>57</v>
      </c>
      <c r="J2220" s="3" t="s">
        <v>38</v>
      </c>
      <c r="K2220" s="2" t="str">
        <f aca="false">CONCATENATE(I2220," ",J2220)</f>
        <v>Gen sp</v>
      </c>
      <c r="L2220" s="3" t="n">
        <f aca="false">SUM(P2220:U2220)</f>
        <v>1</v>
      </c>
      <c r="M2220" s="11" t="n">
        <f aca="false">(L2220/(F2220*G2220)*25)*4</f>
        <v>4</v>
      </c>
      <c r="N2220" s="1" t="s">
        <v>19</v>
      </c>
      <c r="O2220" s="1" t="s">
        <v>35</v>
      </c>
      <c r="P2220" s="3" t="n">
        <v>0</v>
      </c>
      <c r="Q2220" s="3" t="n">
        <v>0</v>
      </c>
      <c r="R2220" s="3" t="n">
        <v>0</v>
      </c>
      <c r="S2220" s="3" t="n">
        <v>1</v>
      </c>
      <c r="T2220" s="3" t="n">
        <v>0</v>
      </c>
      <c r="U2220" s="3" t="n">
        <v>0</v>
      </c>
      <c r="V2220" s="3" t="n">
        <f aca="false">SUM(P2220:Q2220)</f>
        <v>0</v>
      </c>
      <c r="W2220" s="3" t="n">
        <f aca="false">SUM(R2220:T2220)</f>
        <v>1</v>
      </c>
      <c r="X2220" s="22" t="n">
        <v>41794</v>
      </c>
      <c r="Y2220" s="22" t="n">
        <v>41799</v>
      </c>
    </row>
    <row r="2221" customFormat="false" ht="14.25" hidden="false" customHeight="false" outlineLevel="0" collapsed="false">
      <c r="A2221" s="1" t="n">
        <v>2014</v>
      </c>
      <c r="B2221" s="1" t="n">
        <v>1</v>
      </c>
      <c r="C2221" s="2" t="s">
        <v>25</v>
      </c>
      <c r="D2221" s="3" t="s">
        <v>110</v>
      </c>
      <c r="E2221" s="3" t="n">
        <v>1</v>
      </c>
      <c r="F2221" s="1" t="n">
        <f aca="false">Y2221-X2221</f>
        <v>5</v>
      </c>
      <c r="G2221" s="1" t="n">
        <v>5</v>
      </c>
      <c r="H2221" s="3" t="s">
        <v>48</v>
      </c>
      <c r="I2221" s="3" t="s">
        <v>49</v>
      </c>
      <c r="J2221" s="3" t="s">
        <v>104</v>
      </c>
      <c r="K2221" s="2" t="str">
        <f aca="false">CONCATENATE(I2221," ",J2221)</f>
        <v>Alopecosa taeniata</v>
      </c>
      <c r="L2221" s="3" t="n">
        <f aca="false">SUM(P2221:U2221)</f>
        <v>1</v>
      </c>
      <c r="M2221" s="11" t="n">
        <f aca="false">(L2221/(F2221*G2221)*25)*4</f>
        <v>4</v>
      </c>
      <c r="N2221" s="1" t="s">
        <v>30</v>
      </c>
      <c r="O2221" s="1" t="s">
        <v>31</v>
      </c>
      <c r="P2221" s="3" t="n">
        <v>1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f aca="false">SUM(P2221:Q2221)</f>
        <v>1</v>
      </c>
      <c r="W2221" s="3" t="n">
        <f aca="false">SUM(R2221:T2221)</f>
        <v>0</v>
      </c>
      <c r="X2221" s="22" t="n">
        <v>41794</v>
      </c>
      <c r="Y2221" s="22" t="n">
        <v>41799</v>
      </c>
    </row>
    <row r="2222" customFormat="false" ht="14.25" hidden="false" customHeight="false" outlineLevel="0" collapsed="false">
      <c r="A2222" s="1" t="n">
        <v>2014</v>
      </c>
      <c r="B2222" s="1" t="n">
        <v>1</v>
      </c>
      <c r="C2222" s="2" t="s">
        <v>25</v>
      </c>
      <c r="D2222" s="3" t="s">
        <v>110</v>
      </c>
      <c r="E2222" s="3" t="n">
        <v>1</v>
      </c>
      <c r="F2222" s="1" t="n">
        <f aca="false">Y2222-X2222</f>
        <v>5</v>
      </c>
      <c r="G2222" s="1" t="n">
        <v>5</v>
      </c>
      <c r="H2222" s="3" t="s">
        <v>48</v>
      </c>
      <c r="I2222" s="3" t="s">
        <v>49</v>
      </c>
      <c r="J2222" s="3" t="s">
        <v>104</v>
      </c>
      <c r="K2222" s="2" t="str">
        <f aca="false">CONCATENATE(I2222," ",J2222)</f>
        <v>Alopecosa taeniata</v>
      </c>
      <c r="L2222" s="3" t="n">
        <f aca="false">SUM(P2222:U2222)</f>
        <v>1</v>
      </c>
      <c r="M2222" s="11" t="n">
        <f aca="false">(L2222/(F2222*G2222)*25)*4</f>
        <v>4</v>
      </c>
      <c r="N2222" s="1" t="s">
        <v>30</v>
      </c>
      <c r="O2222" s="1" t="s">
        <v>35</v>
      </c>
      <c r="P2222" s="3" t="n">
        <v>0</v>
      </c>
      <c r="Q2222" s="3" t="n">
        <v>1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f aca="false">SUM(P2222:Q2222)</f>
        <v>1</v>
      </c>
      <c r="W2222" s="3" t="n">
        <f aca="false">SUM(R2222:T2222)</f>
        <v>0</v>
      </c>
      <c r="X2222" s="22" t="n">
        <v>41794</v>
      </c>
      <c r="Y2222" s="22" t="n">
        <v>41799</v>
      </c>
    </row>
    <row r="2223" customFormat="false" ht="14.25" hidden="false" customHeight="false" outlineLevel="0" collapsed="false">
      <c r="A2223" s="1" t="n">
        <v>2014</v>
      </c>
      <c r="B2223" s="1" t="n">
        <v>1</v>
      </c>
      <c r="C2223" s="2" t="s">
        <v>25</v>
      </c>
      <c r="D2223" s="3" t="s">
        <v>110</v>
      </c>
      <c r="E2223" s="3" t="n">
        <v>1</v>
      </c>
      <c r="F2223" s="1" t="n">
        <f aca="false">Y2223-X2223</f>
        <v>5</v>
      </c>
      <c r="G2223" s="1" t="n">
        <v>5</v>
      </c>
      <c r="H2223" s="3" t="s">
        <v>226</v>
      </c>
      <c r="I2223" s="3" t="s">
        <v>65</v>
      </c>
      <c r="J2223" s="3" t="s">
        <v>123</v>
      </c>
      <c r="K2223" s="2" t="str">
        <f aca="false">CONCATENATE(I2223," ",J2223)</f>
        <v>Zora nemoralis</v>
      </c>
      <c r="L2223" s="3" t="n">
        <f aca="false">SUM(P2223:U2223)</f>
        <v>1</v>
      </c>
      <c r="M2223" s="11" t="n">
        <f aca="false">(L2223/(F2223*G2223)*25)*4</f>
        <v>4</v>
      </c>
      <c r="N2223" s="1" t="s">
        <v>30</v>
      </c>
      <c r="O2223" s="1" t="s">
        <v>31</v>
      </c>
      <c r="P2223" s="3" t="n">
        <v>1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f aca="false">SUM(P2223:Q2223)</f>
        <v>1</v>
      </c>
      <c r="W2223" s="3" t="n">
        <f aca="false">SUM(R2223:T2223)</f>
        <v>0</v>
      </c>
      <c r="X2223" s="22" t="n">
        <v>41794</v>
      </c>
      <c r="Y2223" s="22" t="n">
        <v>41799</v>
      </c>
    </row>
    <row r="2224" customFormat="false" ht="14.25" hidden="false" customHeight="false" outlineLevel="0" collapsed="false">
      <c r="A2224" s="1" t="n">
        <v>2014</v>
      </c>
      <c r="B2224" s="1" t="n">
        <v>1</v>
      </c>
      <c r="C2224" s="2" t="s">
        <v>25</v>
      </c>
      <c r="D2224" s="3" t="s">
        <v>110</v>
      </c>
      <c r="E2224" s="3" t="n">
        <v>1</v>
      </c>
      <c r="F2224" s="1" t="n">
        <f aca="false">Y2224-X2224</f>
        <v>5</v>
      </c>
      <c r="G2224" s="1" t="n">
        <v>5</v>
      </c>
      <c r="H2224" s="3" t="s">
        <v>36</v>
      </c>
      <c r="I2224" s="3" t="s">
        <v>37</v>
      </c>
      <c r="J2224" s="3" t="s">
        <v>75</v>
      </c>
      <c r="K2224" s="2" t="str">
        <f aca="false">CONCATENATE(I2224," ",J2224)</f>
        <v>Ozyptila praticola</v>
      </c>
      <c r="L2224" s="3" t="n">
        <f aca="false">SUM(P2224:U2224)</f>
        <v>1</v>
      </c>
      <c r="M2224" s="11" t="n">
        <f aca="false">(L2224/(F2224*G2224)*25)*4</f>
        <v>4</v>
      </c>
      <c r="N2224" s="1" t="s">
        <v>30</v>
      </c>
      <c r="O2224" s="1" t="s">
        <v>31</v>
      </c>
      <c r="P2224" s="3" t="n">
        <v>1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f aca="false">SUM(P2224:Q2224)</f>
        <v>1</v>
      </c>
      <c r="W2224" s="3" t="n">
        <f aca="false">SUM(R2224:T2224)</f>
        <v>0</v>
      </c>
      <c r="X2224" s="22" t="n">
        <v>41794</v>
      </c>
      <c r="Y2224" s="22" t="n">
        <v>41799</v>
      </c>
    </row>
    <row r="2225" customFormat="false" ht="14.25" hidden="false" customHeight="false" outlineLevel="0" collapsed="false">
      <c r="A2225" s="1" t="n">
        <v>2014</v>
      </c>
      <c r="B2225" s="1" t="n">
        <v>1</v>
      </c>
      <c r="C2225" s="2" t="s">
        <v>25</v>
      </c>
      <c r="D2225" s="3" t="s">
        <v>110</v>
      </c>
      <c r="E2225" s="3" t="n">
        <v>1</v>
      </c>
      <c r="F2225" s="1" t="n">
        <f aca="false">Y2225-X2225</f>
        <v>5</v>
      </c>
      <c r="G2225" s="1" t="n">
        <v>5</v>
      </c>
      <c r="H2225" s="3" t="s">
        <v>32</v>
      </c>
      <c r="I2225" s="3" t="s">
        <v>96</v>
      </c>
      <c r="J2225" s="3" t="s">
        <v>97</v>
      </c>
      <c r="K2225" s="2" t="str">
        <f aca="false">CONCATENATE(I2225," ",J2225)</f>
        <v>Diplocephalus picinus</v>
      </c>
      <c r="L2225" s="3" t="n">
        <f aca="false">SUM(P2225:U2225)</f>
        <v>1</v>
      </c>
      <c r="M2225" s="11" t="n">
        <f aca="false">(L2225/(F2225*G2225)*25)*4</f>
        <v>4</v>
      </c>
      <c r="N2225" s="1" t="s">
        <v>30</v>
      </c>
      <c r="O2225" s="1" t="s">
        <v>31</v>
      </c>
      <c r="P2225" s="3" t="n">
        <v>1</v>
      </c>
      <c r="Q2225" s="3" t="n">
        <v>0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f aca="false">SUM(P2225:Q2225)</f>
        <v>1</v>
      </c>
      <c r="W2225" s="3" t="n">
        <f aca="false">SUM(R2225:T2225)</f>
        <v>0</v>
      </c>
      <c r="X2225" s="22" t="n">
        <v>41794</v>
      </c>
      <c r="Y2225" s="22" t="n">
        <v>41799</v>
      </c>
    </row>
    <row r="2226" customFormat="false" ht="14.25" hidden="false" customHeight="false" outlineLevel="0" collapsed="false">
      <c r="A2226" s="1" t="n">
        <v>2014</v>
      </c>
      <c r="B2226" s="1" t="n">
        <v>1</v>
      </c>
      <c r="C2226" s="2" t="s">
        <v>25</v>
      </c>
      <c r="D2226" s="3" t="s">
        <v>110</v>
      </c>
      <c r="E2226" s="3" t="n">
        <v>1</v>
      </c>
      <c r="F2226" s="1" t="n">
        <f aca="false">Y2226-X2226</f>
        <v>5</v>
      </c>
      <c r="G2226" s="1" t="n">
        <v>5</v>
      </c>
      <c r="H2226" s="3" t="s">
        <v>32</v>
      </c>
      <c r="I2226" s="3" t="s">
        <v>154</v>
      </c>
      <c r="J2226" s="3" t="s">
        <v>155</v>
      </c>
      <c r="K2226" s="2" t="str">
        <f aca="false">CONCATENATE(I2226," ",J2226)</f>
        <v>Pocadicnemis pumila</v>
      </c>
      <c r="L2226" s="3" t="n">
        <f aca="false">SUM(P2226:U2226)</f>
        <v>1</v>
      </c>
      <c r="M2226" s="11" t="n">
        <f aca="false">(L2226/(F2226*G2226)*25)*4</f>
        <v>4</v>
      </c>
      <c r="N2226" s="1" t="s">
        <v>30</v>
      </c>
      <c r="O2226" s="1" t="s">
        <v>31</v>
      </c>
      <c r="P2226" s="3" t="n">
        <v>1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f aca="false">SUM(P2226:Q2226)</f>
        <v>1</v>
      </c>
      <c r="W2226" s="3" t="n">
        <f aca="false">SUM(R2226:T2226)</f>
        <v>0</v>
      </c>
      <c r="X2226" s="22" t="n">
        <v>41794</v>
      </c>
      <c r="Y2226" s="22" t="n">
        <v>41799</v>
      </c>
    </row>
    <row r="2227" customFormat="false" ht="14.25" hidden="false" customHeight="false" outlineLevel="0" collapsed="false">
      <c r="A2227" s="1" t="n">
        <v>2014</v>
      </c>
      <c r="B2227" s="1" t="n">
        <v>1</v>
      </c>
      <c r="C2227" s="2" t="s">
        <v>25</v>
      </c>
      <c r="D2227" s="3" t="s">
        <v>110</v>
      </c>
      <c r="E2227" s="3" t="n">
        <v>1</v>
      </c>
      <c r="F2227" s="1" t="n">
        <f aca="false">Y2227-X2227</f>
        <v>5</v>
      </c>
      <c r="G2227" s="1" t="n">
        <v>5</v>
      </c>
      <c r="H2227" s="3" t="s">
        <v>32</v>
      </c>
      <c r="I2227" s="3" t="s">
        <v>169</v>
      </c>
      <c r="J2227" s="3" t="s">
        <v>170</v>
      </c>
      <c r="K2227" s="2" t="str">
        <f aca="false">CONCATENATE(I2227," ",J2227)</f>
        <v>Abacoproeces saltuum</v>
      </c>
      <c r="L2227" s="3" t="n">
        <f aca="false">SUM(P2227:U2227)</f>
        <v>1</v>
      </c>
      <c r="M2227" s="11" t="n">
        <f aca="false">(L2227/(F2227*G2227)*25)*4</f>
        <v>4</v>
      </c>
      <c r="N2227" s="1" t="s">
        <v>30</v>
      </c>
      <c r="O2227" s="1" t="s">
        <v>31</v>
      </c>
      <c r="P2227" s="3" t="n">
        <v>1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f aca="false">SUM(P2227:Q2227)</f>
        <v>1</v>
      </c>
      <c r="W2227" s="3" t="n">
        <f aca="false">SUM(R2227:T2227)</f>
        <v>0</v>
      </c>
      <c r="X2227" s="22" t="n">
        <v>41794</v>
      </c>
      <c r="Y2227" s="22" t="n">
        <v>41799</v>
      </c>
    </row>
    <row r="2228" customFormat="false" ht="14.25" hidden="false" customHeight="false" outlineLevel="0" collapsed="false">
      <c r="A2228" s="1" t="n">
        <v>2014</v>
      </c>
      <c r="B2228" s="1" t="n">
        <v>1</v>
      </c>
      <c r="C2228" s="2" t="s">
        <v>25</v>
      </c>
      <c r="D2228" s="3" t="s">
        <v>110</v>
      </c>
      <c r="E2228" s="3" t="n">
        <v>2</v>
      </c>
      <c r="F2228" s="1" t="n">
        <f aca="false">Y2228-X2228</f>
        <v>5</v>
      </c>
      <c r="G2228" s="1" t="n">
        <v>5</v>
      </c>
      <c r="H2228" s="3" t="s">
        <v>48</v>
      </c>
      <c r="I2228" s="3" t="s">
        <v>49</v>
      </c>
      <c r="J2228" s="3" t="s">
        <v>130</v>
      </c>
      <c r="K2228" s="2" t="str">
        <f aca="false">CONCATENATE(I2228," ",J2228)</f>
        <v>Alopecosa aculeata</v>
      </c>
      <c r="L2228" s="3" t="n">
        <f aca="false">SUM(P2228:U2228)</f>
        <v>1</v>
      </c>
      <c r="M2228" s="11" t="n">
        <f aca="false">(L2228/(F2228*G2228)*25)*4</f>
        <v>4</v>
      </c>
      <c r="N2228" s="1" t="s">
        <v>30</v>
      </c>
      <c r="O2228" s="1" t="s">
        <v>31</v>
      </c>
      <c r="P2228" s="3" t="n">
        <v>1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f aca="false">SUM(P2228:Q2228)</f>
        <v>1</v>
      </c>
      <c r="W2228" s="3" t="n">
        <f aca="false">SUM(R2228:T2228)</f>
        <v>0</v>
      </c>
      <c r="X2228" s="22" t="n">
        <v>41794</v>
      </c>
      <c r="Y2228" s="22" t="n">
        <v>41799</v>
      </c>
    </row>
    <row r="2229" customFormat="false" ht="14.25" hidden="false" customHeight="false" outlineLevel="0" collapsed="false">
      <c r="A2229" s="1" t="n">
        <v>2014</v>
      </c>
      <c r="B2229" s="1" t="n">
        <v>1</v>
      </c>
      <c r="C2229" s="2" t="s">
        <v>25</v>
      </c>
      <c r="D2229" s="3" t="s">
        <v>110</v>
      </c>
      <c r="E2229" s="3" t="n">
        <v>2</v>
      </c>
      <c r="F2229" s="1" t="n">
        <f aca="false">Y2229-X2229</f>
        <v>5</v>
      </c>
      <c r="G2229" s="1" t="n">
        <v>5</v>
      </c>
      <c r="H2229" s="3" t="s">
        <v>48</v>
      </c>
      <c r="I2229" s="3" t="s">
        <v>61</v>
      </c>
      <c r="J2229" s="3" t="s">
        <v>82</v>
      </c>
      <c r="K2229" s="2" t="str">
        <f aca="false">CONCATENATE(I2229," ",J2229)</f>
        <v>Trochosa terricola</v>
      </c>
      <c r="L2229" s="3" t="n">
        <f aca="false">SUM(P2229:U2229)</f>
        <v>1</v>
      </c>
      <c r="M2229" s="11" t="n">
        <f aca="false">(L2229/(F2229*G2229)*25)*4</f>
        <v>4</v>
      </c>
      <c r="N2229" s="1" t="s">
        <v>30</v>
      </c>
      <c r="O2229" s="1" t="s">
        <v>35</v>
      </c>
      <c r="P2229" s="3" t="n">
        <v>0</v>
      </c>
      <c r="Q2229" s="3" t="n">
        <v>1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f aca="false">SUM(P2229:Q2229)</f>
        <v>1</v>
      </c>
      <c r="W2229" s="3" t="n">
        <f aca="false">SUM(R2229:T2229)</f>
        <v>0</v>
      </c>
      <c r="X2229" s="22" t="n">
        <v>41794</v>
      </c>
      <c r="Y2229" s="22" t="n">
        <v>41799</v>
      </c>
    </row>
    <row r="2230" customFormat="false" ht="14.25" hidden="false" customHeight="false" outlineLevel="0" collapsed="false">
      <c r="A2230" s="1" t="n">
        <v>2014</v>
      </c>
      <c r="B2230" s="1" t="n">
        <v>1</v>
      </c>
      <c r="C2230" s="2" t="s">
        <v>25</v>
      </c>
      <c r="D2230" s="3" t="s">
        <v>110</v>
      </c>
      <c r="E2230" s="3" t="n">
        <v>2</v>
      </c>
      <c r="F2230" s="1" t="n">
        <f aca="false">Y2230-X2230</f>
        <v>5</v>
      </c>
      <c r="G2230" s="1" t="n">
        <v>5</v>
      </c>
      <c r="H2230" s="3" t="s">
        <v>48</v>
      </c>
      <c r="I2230" s="3" t="s">
        <v>61</v>
      </c>
      <c r="J2230" s="3" t="s">
        <v>38</v>
      </c>
      <c r="K2230" s="2" t="str">
        <f aca="false">CONCATENATE(I2230," ",J2230)</f>
        <v>Trochosa sp</v>
      </c>
      <c r="L2230" s="3" t="n">
        <f aca="false">SUM(P2230:U2230)</f>
        <v>1</v>
      </c>
      <c r="M2230" s="11" t="n">
        <f aca="false">(L2230/(F2230*G2230)*25)*4</f>
        <v>4</v>
      </c>
      <c r="N2230" s="1" t="s">
        <v>19</v>
      </c>
      <c r="O2230" s="1" t="s">
        <v>31</v>
      </c>
      <c r="P2230" s="3" t="n">
        <v>0</v>
      </c>
      <c r="Q2230" s="3" t="n">
        <v>0</v>
      </c>
      <c r="R2230" s="3" t="n">
        <v>1</v>
      </c>
      <c r="S2230" s="3" t="n">
        <v>0</v>
      </c>
      <c r="T2230" s="3" t="n">
        <v>0</v>
      </c>
      <c r="U2230" s="3" t="n">
        <v>0</v>
      </c>
      <c r="V2230" s="3" t="n">
        <f aca="false">SUM(P2230:Q2230)</f>
        <v>0</v>
      </c>
      <c r="W2230" s="3" t="n">
        <f aca="false">SUM(R2230:T2230)</f>
        <v>1</v>
      </c>
      <c r="X2230" s="22" t="n">
        <v>41794</v>
      </c>
      <c r="Y2230" s="22" t="n">
        <v>41799</v>
      </c>
    </row>
    <row r="2231" customFormat="false" ht="14.25" hidden="false" customHeight="false" outlineLevel="0" collapsed="false">
      <c r="A2231" s="1" t="n">
        <v>2014</v>
      </c>
      <c r="B2231" s="1" t="n">
        <v>1</v>
      </c>
      <c r="C2231" s="2" t="s">
        <v>25</v>
      </c>
      <c r="D2231" s="3" t="s">
        <v>110</v>
      </c>
      <c r="E2231" s="3" t="n">
        <v>2</v>
      </c>
      <c r="F2231" s="1" t="n">
        <f aca="false">Y2231-X2231</f>
        <v>5</v>
      </c>
      <c r="G2231" s="1" t="n">
        <v>5</v>
      </c>
      <c r="H2231" s="3" t="s">
        <v>48</v>
      </c>
      <c r="I2231" s="3" t="s">
        <v>67</v>
      </c>
      <c r="J2231" s="3" t="s">
        <v>127</v>
      </c>
      <c r="K2231" s="2" t="str">
        <f aca="false">CONCATENATE(I2231," ",J2231)</f>
        <v>Pardosa lugubris</v>
      </c>
      <c r="L2231" s="3" t="n">
        <f aca="false">SUM(P2231:U2231)</f>
        <v>2</v>
      </c>
      <c r="M2231" s="11" t="n">
        <f aca="false">(L2231/(F2231*G2231)*25)*4</f>
        <v>8</v>
      </c>
      <c r="N2231" s="1" t="s">
        <v>30</v>
      </c>
      <c r="O2231" s="1" t="s">
        <v>31</v>
      </c>
      <c r="P2231" s="3" t="n">
        <v>2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f aca="false">SUM(P2231:Q2231)</f>
        <v>2</v>
      </c>
      <c r="W2231" s="3" t="n">
        <f aca="false">SUM(R2231:T2231)</f>
        <v>0</v>
      </c>
      <c r="X2231" s="22" t="n">
        <v>41794</v>
      </c>
      <c r="Y2231" s="22" t="n">
        <v>41799</v>
      </c>
    </row>
    <row r="2232" customFormat="false" ht="14.25" hidden="false" customHeight="false" outlineLevel="0" collapsed="false">
      <c r="A2232" s="1" t="n">
        <v>2014</v>
      </c>
      <c r="B2232" s="1" t="n">
        <v>1</v>
      </c>
      <c r="C2232" s="2" t="s">
        <v>25</v>
      </c>
      <c r="D2232" s="3" t="s">
        <v>110</v>
      </c>
      <c r="E2232" s="3" t="n">
        <v>2</v>
      </c>
      <c r="F2232" s="1" t="n">
        <f aca="false">Y2232-X2232</f>
        <v>5</v>
      </c>
      <c r="G2232" s="1" t="n">
        <v>5</v>
      </c>
      <c r="H2232" s="3" t="s">
        <v>72</v>
      </c>
      <c r="I2232" s="3" t="s">
        <v>73</v>
      </c>
      <c r="J2232" s="3" t="s">
        <v>74</v>
      </c>
      <c r="K2232" s="2" t="str">
        <f aca="false">CONCATENATE(I2232," ",J2232)</f>
        <v>Zelotes subterraneus</v>
      </c>
      <c r="L2232" s="3" t="n">
        <f aca="false">SUM(P2232:U2232)</f>
        <v>1</v>
      </c>
      <c r="M2232" s="11" t="n">
        <f aca="false">(L2232/(F2232*G2232)*25)*4</f>
        <v>4</v>
      </c>
      <c r="N2232" s="1" t="s">
        <v>30</v>
      </c>
      <c r="O2232" s="1" t="s">
        <v>31</v>
      </c>
      <c r="P2232" s="3" t="n">
        <v>1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f aca="false">SUM(P2232:Q2232)</f>
        <v>1</v>
      </c>
      <c r="W2232" s="3" t="n">
        <f aca="false">SUM(R2232:T2232)</f>
        <v>0</v>
      </c>
      <c r="X2232" s="22" t="n">
        <v>41794</v>
      </c>
      <c r="Y2232" s="22" t="n">
        <v>41799</v>
      </c>
    </row>
    <row r="2233" customFormat="false" ht="14.25" hidden="false" customHeight="false" outlineLevel="0" collapsed="false">
      <c r="A2233" s="1" t="n">
        <v>2014</v>
      </c>
      <c r="B2233" s="1" t="n">
        <v>1</v>
      </c>
      <c r="C2233" s="2" t="s">
        <v>25</v>
      </c>
      <c r="D2233" s="3" t="s">
        <v>110</v>
      </c>
      <c r="E2233" s="3" t="n">
        <v>2</v>
      </c>
      <c r="F2233" s="1" t="n">
        <f aca="false">Y2233-X2233</f>
        <v>5</v>
      </c>
      <c r="G2233" s="1" t="n">
        <v>5</v>
      </c>
      <c r="H2233" s="3" t="s">
        <v>226</v>
      </c>
      <c r="I2233" s="3" t="s">
        <v>65</v>
      </c>
      <c r="J2233" s="3" t="s">
        <v>123</v>
      </c>
      <c r="K2233" s="2" t="str">
        <f aca="false">CONCATENATE(I2233," ",J2233)</f>
        <v>Zora nemoralis</v>
      </c>
      <c r="L2233" s="3" t="n">
        <f aca="false">SUM(P2233:U2233)</f>
        <v>1</v>
      </c>
      <c r="M2233" s="11" t="n">
        <f aca="false">(L2233/(F2233*G2233)*25)*4</f>
        <v>4</v>
      </c>
      <c r="N2233" s="1" t="s">
        <v>30</v>
      </c>
      <c r="O2233" s="1" t="s">
        <v>31</v>
      </c>
      <c r="P2233" s="3" t="n">
        <v>1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f aca="false">SUM(P2233:Q2233)</f>
        <v>1</v>
      </c>
      <c r="W2233" s="3" t="n">
        <f aca="false">SUM(R2233:T2233)</f>
        <v>0</v>
      </c>
      <c r="X2233" s="22" t="n">
        <v>41794</v>
      </c>
      <c r="Y2233" s="22" t="n">
        <v>41799</v>
      </c>
    </row>
    <row r="2234" customFormat="false" ht="14.25" hidden="false" customHeight="false" outlineLevel="0" collapsed="false">
      <c r="A2234" s="1" t="n">
        <v>2014</v>
      </c>
      <c r="B2234" s="1" t="n">
        <v>1</v>
      </c>
      <c r="C2234" s="2" t="s">
        <v>25</v>
      </c>
      <c r="D2234" s="3" t="s">
        <v>110</v>
      </c>
      <c r="E2234" s="3" t="n">
        <v>2</v>
      </c>
      <c r="F2234" s="1" t="n">
        <f aca="false">Y2234-X2234</f>
        <v>5</v>
      </c>
      <c r="G2234" s="1" t="n">
        <v>5</v>
      </c>
      <c r="H2234" s="3" t="s">
        <v>32</v>
      </c>
      <c r="I2234" s="3" t="s">
        <v>102</v>
      </c>
      <c r="J2234" s="3" t="s">
        <v>192</v>
      </c>
      <c r="K2234" s="2" t="str">
        <f aca="false">CONCATENATE(I2234," ",J2234)</f>
        <v>Agyneta allosubtilis</v>
      </c>
      <c r="L2234" s="3" t="n">
        <f aca="false">SUM(P2234:U2234)</f>
        <v>1</v>
      </c>
      <c r="M2234" s="11" t="n">
        <f aca="false">(L2234/(F2234*G2234)*25)*4</f>
        <v>4</v>
      </c>
      <c r="N2234" s="1" t="s">
        <v>30</v>
      </c>
      <c r="O2234" s="1" t="s">
        <v>31</v>
      </c>
      <c r="P2234" s="3" t="n">
        <v>1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f aca="false">SUM(P2234:Q2234)</f>
        <v>1</v>
      </c>
      <c r="W2234" s="3" t="n">
        <f aca="false">SUM(R2234:T2234)</f>
        <v>0</v>
      </c>
      <c r="X2234" s="22" t="n">
        <v>41794</v>
      </c>
      <c r="Y2234" s="22" t="n">
        <v>41799</v>
      </c>
    </row>
    <row r="2235" customFormat="false" ht="14.25" hidden="false" customHeight="false" outlineLevel="0" collapsed="false">
      <c r="A2235" s="1" t="n">
        <v>2014</v>
      </c>
      <c r="B2235" s="1" t="n">
        <v>1</v>
      </c>
      <c r="C2235" s="2" t="s">
        <v>25</v>
      </c>
      <c r="D2235" s="3" t="s">
        <v>110</v>
      </c>
      <c r="E2235" s="3" t="n">
        <v>2</v>
      </c>
      <c r="F2235" s="1" t="n">
        <f aca="false">Y2235-X2235</f>
        <v>5</v>
      </c>
      <c r="G2235" s="1" t="n">
        <v>5</v>
      </c>
      <c r="H2235" s="3" t="s">
        <v>32</v>
      </c>
      <c r="I2235" s="3" t="s">
        <v>96</v>
      </c>
      <c r="J2235" s="3" t="s">
        <v>97</v>
      </c>
      <c r="K2235" s="2" t="str">
        <f aca="false">CONCATENATE(I2235," ",J2235)</f>
        <v>Diplocephalus picinus</v>
      </c>
      <c r="L2235" s="3" t="n">
        <f aca="false">SUM(P2235:U2235)</f>
        <v>1</v>
      </c>
      <c r="M2235" s="11" t="n">
        <f aca="false">(L2235/(F2235*G2235)*25)*4</f>
        <v>4</v>
      </c>
      <c r="N2235" s="1" t="s">
        <v>30</v>
      </c>
      <c r="O2235" s="1" t="s">
        <v>31</v>
      </c>
      <c r="P2235" s="3" t="n">
        <v>1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f aca="false">SUM(P2235:Q2235)</f>
        <v>1</v>
      </c>
      <c r="W2235" s="3" t="n">
        <f aca="false">SUM(R2235:T2235)</f>
        <v>0</v>
      </c>
      <c r="X2235" s="22" t="n">
        <v>41794</v>
      </c>
      <c r="Y2235" s="22" t="n">
        <v>41799</v>
      </c>
    </row>
    <row r="2236" customFormat="false" ht="14.25" hidden="false" customHeight="false" outlineLevel="0" collapsed="false">
      <c r="A2236" s="1" t="n">
        <v>2014</v>
      </c>
      <c r="B2236" s="1" t="n">
        <v>1</v>
      </c>
      <c r="C2236" s="2" t="s">
        <v>25</v>
      </c>
      <c r="D2236" s="3" t="s">
        <v>110</v>
      </c>
      <c r="E2236" s="3" t="n">
        <v>2</v>
      </c>
      <c r="F2236" s="1" t="n">
        <f aca="false">Y2236-X2236</f>
        <v>5</v>
      </c>
      <c r="G2236" s="1" t="n">
        <v>5</v>
      </c>
      <c r="H2236" s="3" t="s">
        <v>32</v>
      </c>
      <c r="I2236" s="3" t="s">
        <v>169</v>
      </c>
      <c r="J2236" s="3" t="s">
        <v>170</v>
      </c>
      <c r="K2236" s="2" t="str">
        <f aca="false">CONCATENATE(I2236," ",J2236)</f>
        <v>Abacoproeces saltuum</v>
      </c>
      <c r="L2236" s="3" t="n">
        <f aca="false">SUM(P2236:U2236)</f>
        <v>2</v>
      </c>
      <c r="M2236" s="11" t="n">
        <f aca="false">(L2236/(F2236*G2236)*25)*4</f>
        <v>8</v>
      </c>
      <c r="N2236" s="1" t="s">
        <v>30</v>
      </c>
      <c r="O2236" s="1" t="s">
        <v>31</v>
      </c>
      <c r="P2236" s="3" t="n">
        <v>2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f aca="false">SUM(P2236:Q2236)</f>
        <v>2</v>
      </c>
      <c r="W2236" s="3" t="n">
        <f aca="false">SUM(R2236:T2236)</f>
        <v>0</v>
      </c>
      <c r="X2236" s="22" t="n">
        <v>41794</v>
      </c>
      <c r="Y2236" s="22" t="n">
        <v>41799</v>
      </c>
    </row>
    <row r="2237" customFormat="false" ht="14.25" hidden="false" customHeight="false" outlineLevel="0" collapsed="false">
      <c r="A2237" s="1" t="n">
        <v>2014</v>
      </c>
      <c r="B2237" s="1" t="n">
        <v>1</v>
      </c>
      <c r="C2237" s="2" t="s">
        <v>25</v>
      </c>
      <c r="D2237" s="3" t="s">
        <v>110</v>
      </c>
      <c r="E2237" s="3" t="n">
        <v>1</v>
      </c>
      <c r="F2237" s="1" t="n">
        <f aca="false">Y2237-X2237</f>
        <v>5</v>
      </c>
      <c r="G2237" s="1" t="n">
        <v>5</v>
      </c>
      <c r="H2237" s="3" t="s">
        <v>48</v>
      </c>
      <c r="I2237" s="3" t="s">
        <v>67</v>
      </c>
      <c r="J2237" s="3" t="s">
        <v>127</v>
      </c>
      <c r="K2237" s="2" t="str">
        <f aca="false">CONCATENATE(I2237," ",J2237)</f>
        <v>Pardosa lugubris</v>
      </c>
      <c r="L2237" s="3" t="n">
        <f aca="false">SUM(P2237:U2237)</f>
        <v>1</v>
      </c>
      <c r="M2237" s="11" t="n">
        <f aca="false">(L2237/(F2237*G2237)*25)*4</f>
        <v>4</v>
      </c>
      <c r="N2237" s="1" t="s">
        <v>30</v>
      </c>
      <c r="O2237" s="1" t="s">
        <v>35</v>
      </c>
      <c r="P2237" s="3" t="n">
        <v>0</v>
      </c>
      <c r="Q2237" s="3" t="n">
        <v>1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f aca="false">SUM(P2237:Q2237)</f>
        <v>1</v>
      </c>
      <c r="W2237" s="3" t="n">
        <f aca="false">SUM(R2237:T2237)</f>
        <v>0</v>
      </c>
      <c r="X2237" s="22" t="n">
        <v>41794</v>
      </c>
      <c r="Y2237" s="22" t="n">
        <v>41799</v>
      </c>
    </row>
    <row r="2238" customFormat="false" ht="14.25" hidden="false" customHeight="false" outlineLevel="0" collapsed="false">
      <c r="A2238" s="1" t="n">
        <v>2014</v>
      </c>
      <c r="B2238" s="1" t="n">
        <v>1</v>
      </c>
      <c r="C2238" s="2" t="s">
        <v>25</v>
      </c>
      <c r="D2238" s="3" t="s">
        <v>110</v>
      </c>
      <c r="E2238" s="3" t="n">
        <v>1</v>
      </c>
      <c r="F2238" s="1" t="n">
        <f aca="false">Y2238-X2238</f>
        <v>5</v>
      </c>
      <c r="G2238" s="1" t="n">
        <v>5</v>
      </c>
      <c r="H2238" s="3" t="s">
        <v>48</v>
      </c>
      <c r="I2238" s="3" t="s">
        <v>49</v>
      </c>
      <c r="J2238" s="3" t="s">
        <v>223</v>
      </c>
      <c r="K2238" s="2" t="str">
        <f aca="false">CONCATENATE(I2238," ",J2238)</f>
        <v>Alopecosa pulverulenta</v>
      </c>
      <c r="L2238" s="3" t="n">
        <f aca="false">SUM(P2238:U2238)</f>
        <v>2</v>
      </c>
      <c r="M2238" s="11" t="n">
        <f aca="false">(L2238/(F2238*G2238)*25)*4</f>
        <v>8</v>
      </c>
      <c r="N2238" s="1" t="s">
        <v>30</v>
      </c>
      <c r="O2238" s="1" t="s">
        <v>31</v>
      </c>
      <c r="P2238" s="3" t="n">
        <v>2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f aca="false">SUM(P2238:Q2238)</f>
        <v>2</v>
      </c>
      <c r="W2238" s="3" t="n">
        <f aca="false">SUM(R2238:T2238)</f>
        <v>0</v>
      </c>
      <c r="X2238" s="22" t="n">
        <v>41794</v>
      </c>
      <c r="Y2238" s="22" t="n">
        <v>41799</v>
      </c>
    </row>
    <row r="2239" customFormat="false" ht="14.25" hidden="false" customHeight="false" outlineLevel="0" collapsed="false">
      <c r="A2239" s="1" t="n">
        <v>2014</v>
      </c>
      <c r="B2239" s="1" t="n">
        <v>1</v>
      </c>
      <c r="C2239" s="2" t="s">
        <v>25</v>
      </c>
      <c r="D2239" s="3" t="s">
        <v>110</v>
      </c>
      <c r="E2239" s="3" t="n">
        <v>1</v>
      </c>
      <c r="F2239" s="1" t="n">
        <f aca="false">Y2239-X2239</f>
        <v>5</v>
      </c>
      <c r="G2239" s="1" t="n">
        <v>5</v>
      </c>
      <c r="H2239" s="3" t="s">
        <v>36</v>
      </c>
      <c r="I2239" s="3" t="s">
        <v>131</v>
      </c>
      <c r="J2239" s="3" t="s">
        <v>133</v>
      </c>
      <c r="K2239" s="2" t="str">
        <f aca="false">CONCATENATE(I2239," ",J2239)</f>
        <v>Xysticus luctuosus</v>
      </c>
      <c r="L2239" s="3" t="n">
        <f aca="false">SUM(P2239:U2239)</f>
        <v>1</v>
      </c>
      <c r="M2239" s="11" t="n">
        <f aca="false">(L2239/(F2239*G2239)*25)*4</f>
        <v>4</v>
      </c>
      <c r="N2239" s="1" t="s">
        <v>30</v>
      </c>
      <c r="O2239" s="1" t="s">
        <v>31</v>
      </c>
      <c r="P2239" s="3" t="n">
        <v>1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f aca="false">SUM(P2239:Q2239)</f>
        <v>1</v>
      </c>
      <c r="W2239" s="3" t="n">
        <f aca="false">SUM(R2239:T2239)</f>
        <v>0</v>
      </c>
      <c r="X2239" s="22" t="n">
        <v>41794</v>
      </c>
      <c r="Y2239" s="22" t="n">
        <v>41799</v>
      </c>
    </row>
    <row r="2240" customFormat="false" ht="14.25" hidden="false" customHeight="false" outlineLevel="0" collapsed="false">
      <c r="A2240" s="1" t="n">
        <v>2014</v>
      </c>
      <c r="B2240" s="1" t="n">
        <v>1</v>
      </c>
      <c r="C2240" s="2" t="s">
        <v>25</v>
      </c>
      <c r="D2240" s="3" t="s">
        <v>110</v>
      </c>
      <c r="E2240" s="3" t="n">
        <v>1</v>
      </c>
      <c r="F2240" s="1" t="n">
        <f aca="false">Y2240-X2240</f>
        <v>5</v>
      </c>
      <c r="G2240" s="1" t="n">
        <v>5</v>
      </c>
      <c r="H2240" s="3" t="s">
        <v>135</v>
      </c>
      <c r="I2240" s="3" t="s">
        <v>136</v>
      </c>
      <c r="J2240" s="3" t="s">
        <v>137</v>
      </c>
      <c r="K2240" s="2" t="str">
        <f aca="false">CONCATENATE(I2240," ",J2240)</f>
        <v>Thanatus sabulosus</v>
      </c>
      <c r="L2240" s="3" t="n">
        <f aca="false">SUM(P2240:U2240)</f>
        <v>1</v>
      </c>
      <c r="M2240" s="11" t="n">
        <f aca="false">(L2240/(F2240*G2240)*25)*4</f>
        <v>4</v>
      </c>
      <c r="N2240" s="1" t="s">
        <v>30</v>
      </c>
      <c r="O2240" s="1" t="s">
        <v>31</v>
      </c>
      <c r="P2240" s="3" t="n">
        <v>1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f aca="false">SUM(P2240:Q2240)</f>
        <v>1</v>
      </c>
      <c r="W2240" s="3" t="n">
        <f aca="false">SUM(R2240:T2240)</f>
        <v>0</v>
      </c>
      <c r="X2240" s="22" t="n">
        <v>41794</v>
      </c>
      <c r="Y2240" s="22" t="n">
        <v>41799</v>
      </c>
    </row>
    <row r="2241" customFormat="false" ht="14.25" hidden="false" customHeight="false" outlineLevel="0" collapsed="false">
      <c r="A2241" s="1" t="n">
        <v>2014</v>
      </c>
      <c r="B2241" s="1" t="n">
        <v>1</v>
      </c>
      <c r="C2241" s="2" t="s">
        <v>25</v>
      </c>
      <c r="D2241" s="3" t="s">
        <v>110</v>
      </c>
      <c r="E2241" s="3" t="n">
        <v>1</v>
      </c>
      <c r="F2241" s="1" t="n">
        <f aca="false">Y2241-X2241</f>
        <v>5</v>
      </c>
      <c r="G2241" s="1" t="n">
        <v>5</v>
      </c>
      <c r="H2241" s="3" t="s">
        <v>72</v>
      </c>
      <c r="I2241" s="3" t="s">
        <v>73</v>
      </c>
      <c r="J2241" s="3" t="s">
        <v>239</v>
      </c>
      <c r="K2241" s="2" t="str">
        <f aca="false">CONCATENATE(I2241," ",J2241)</f>
        <v>Zelotes apricorum</v>
      </c>
      <c r="L2241" s="3" t="n">
        <f aca="false">SUM(P2241:U2241)</f>
        <v>1</v>
      </c>
      <c r="M2241" s="11" t="n">
        <f aca="false">(L2241/(F2241*G2241)*25)*4</f>
        <v>4</v>
      </c>
      <c r="N2241" s="1" t="s">
        <v>30</v>
      </c>
      <c r="O2241" s="1" t="s">
        <v>35</v>
      </c>
      <c r="P2241" s="3" t="n">
        <v>0</v>
      </c>
      <c r="Q2241" s="3" t="n">
        <v>1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f aca="false">SUM(P2241:Q2241)</f>
        <v>1</v>
      </c>
      <c r="W2241" s="3" t="n">
        <f aca="false">SUM(R2241:T2241)</f>
        <v>0</v>
      </c>
      <c r="X2241" s="22" t="n">
        <v>41794</v>
      </c>
      <c r="Y2241" s="22" t="n">
        <v>41799</v>
      </c>
    </row>
    <row r="2242" customFormat="false" ht="14.25" hidden="false" customHeight="false" outlineLevel="0" collapsed="false">
      <c r="A2242" s="1" t="n">
        <v>2014</v>
      </c>
      <c r="B2242" s="1" t="n">
        <v>1</v>
      </c>
      <c r="C2242" s="2" t="s">
        <v>25</v>
      </c>
      <c r="D2242" s="3" t="s">
        <v>110</v>
      </c>
      <c r="E2242" s="3" t="n">
        <v>1</v>
      </c>
      <c r="F2242" s="1" t="n">
        <f aca="false">Y2242-X2242</f>
        <v>5</v>
      </c>
      <c r="G2242" s="1" t="n">
        <v>5</v>
      </c>
      <c r="H2242" s="3" t="s">
        <v>32</v>
      </c>
      <c r="I2242" s="3" t="s">
        <v>169</v>
      </c>
      <c r="J2242" s="3" t="s">
        <v>170</v>
      </c>
      <c r="K2242" s="2" t="str">
        <f aca="false">CONCATENATE(I2242," ",J2242)</f>
        <v>Abacoproeces saltuum</v>
      </c>
      <c r="L2242" s="3" t="n">
        <f aca="false">SUM(P2242:U2242)</f>
        <v>1</v>
      </c>
      <c r="M2242" s="11" t="n">
        <f aca="false">(L2242/(F2242*G2242)*25)*4</f>
        <v>4</v>
      </c>
      <c r="N2242" s="1" t="s">
        <v>30</v>
      </c>
      <c r="O2242" s="1" t="s">
        <v>31</v>
      </c>
      <c r="P2242" s="3" t="n">
        <v>1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f aca="false">SUM(P2242:Q2242)</f>
        <v>1</v>
      </c>
      <c r="W2242" s="3" t="n">
        <f aca="false">SUM(R2242:T2242)</f>
        <v>0</v>
      </c>
      <c r="X2242" s="22" t="n">
        <v>41794</v>
      </c>
      <c r="Y2242" s="22" t="n">
        <v>41799</v>
      </c>
    </row>
    <row r="2243" customFormat="false" ht="14.25" hidden="false" customHeight="false" outlineLevel="0" collapsed="false">
      <c r="A2243" s="1" t="n">
        <v>2014</v>
      </c>
      <c r="B2243" s="1" t="n">
        <v>1</v>
      </c>
      <c r="C2243" s="2" t="s">
        <v>25</v>
      </c>
      <c r="D2243" s="3" t="s">
        <v>110</v>
      </c>
      <c r="E2243" s="3" t="n">
        <v>1</v>
      </c>
      <c r="F2243" s="1" t="n">
        <f aca="false">Y2243-X2243</f>
        <v>5</v>
      </c>
      <c r="G2243" s="1" t="n">
        <v>5</v>
      </c>
      <c r="H2243" s="3" t="s">
        <v>32</v>
      </c>
      <c r="I2243" s="3" t="s">
        <v>57</v>
      </c>
      <c r="J2243" s="3" t="s">
        <v>38</v>
      </c>
      <c r="K2243" s="2" t="str">
        <f aca="false">CONCATENATE(I2243," ",J2243)</f>
        <v>Gen sp</v>
      </c>
      <c r="L2243" s="3" t="n">
        <f aca="false">SUM(P2243:U2243)</f>
        <v>1</v>
      </c>
      <c r="M2243" s="11" t="n">
        <f aca="false">(L2243/(F2243*G2243)*25)*4</f>
        <v>4</v>
      </c>
      <c r="N2243" s="1" t="s">
        <v>19</v>
      </c>
      <c r="O2243" s="1" t="s">
        <v>35</v>
      </c>
      <c r="P2243" s="3" t="n">
        <v>0</v>
      </c>
      <c r="Q2243" s="3" t="n">
        <v>0</v>
      </c>
      <c r="R2243" s="3" t="n">
        <v>0</v>
      </c>
      <c r="S2243" s="3" t="n">
        <v>1</v>
      </c>
      <c r="T2243" s="3" t="n">
        <v>0</v>
      </c>
      <c r="U2243" s="3" t="n">
        <v>0</v>
      </c>
      <c r="V2243" s="3" t="n">
        <f aca="false">SUM(P2243:Q2243)</f>
        <v>0</v>
      </c>
      <c r="W2243" s="3" t="n">
        <f aca="false">SUM(R2243:T2243)</f>
        <v>1</v>
      </c>
      <c r="X2243" s="22" t="n">
        <v>41794</v>
      </c>
      <c r="Y2243" s="22" t="n">
        <v>41799</v>
      </c>
    </row>
    <row r="2244" customFormat="false" ht="14.25" hidden="false" customHeight="false" outlineLevel="0" collapsed="false">
      <c r="A2244" s="1" t="n">
        <v>2014</v>
      </c>
      <c r="B2244" s="1" t="n">
        <v>1</v>
      </c>
      <c r="C2244" s="2" t="s">
        <v>25</v>
      </c>
      <c r="D2244" s="3" t="s">
        <v>110</v>
      </c>
      <c r="E2244" s="3" t="n">
        <v>3</v>
      </c>
      <c r="F2244" s="1" t="n">
        <f aca="false">Y2244-X2244</f>
        <v>5</v>
      </c>
      <c r="G2244" s="1" t="n">
        <v>5</v>
      </c>
      <c r="H2244" s="3" t="s">
        <v>48</v>
      </c>
      <c r="I2244" s="3" t="s">
        <v>49</v>
      </c>
      <c r="J2244" s="3" t="s">
        <v>223</v>
      </c>
      <c r="K2244" s="2" t="str">
        <f aca="false">CONCATENATE(I2244," ",J2244)</f>
        <v>Alopecosa pulverulenta</v>
      </c>
      <c r="L2244" s="3" t="n">
        <f aca="false">SUM(P2244:U2244)</f>
        <v>1</v>
      </c>
      <c r="M2244" s="11" t="n">
        <f aca="false">(L2244/(F2244*G2244)*25)*4</f>
        <v>4</v>
      </c>
      <c r="N2244" s="1" t="s">
        <v>30</v>
      </c>
      <c r="O2244" s="1" t="s">
        <v>31</v>
      </c>
      <c r="P2244" s="3" t="n">
        <v>1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f aca="false">SUM(P2244:Q2244)</f>
        <v>1</v>
      </c>
      <c r="W2244" s="3" t="n">
        <f aca="false">SUM(R2244:T2244)</f>
        <v>0</v>
      </c>
      <c r="X2244" s="22" t="n">
        <v>41794</v>
      </c>
      <c r="Y2244" s="22" t="n">
        <v>41799</v>
      </c>
    </row>
    <row r="2245" customFormat="false" ht="14.25" hidden="false" customHeight="false" outlineLevel="0" collapsed="false">
      <c r="A2245" s="1" t="n">
        <v>2014</v>
      </c>
      <c r="B2245" s="1" t="n">
        <v>1</v>
      </c>
      <c r="C2245" s="2" t="s">
        <v>25</v>
      </c>
      <c r="D2245" s="3" t="s">
        <v>110</v>
      </c>
      <c r="E2245" s="3" t="n">
        <v>3</v>
      </c>
      <c r="F2245" s="1" t="n">
        <f aca="false">Y2245-X2245</f>
        <v>5</v>
      </c>
      <c r="G2245" s="1" t="n">
        <v>5</v>
      </c>
      <c r="H2245" s="3" t="s">
        <v>48</v>
      </c>
      <c r="I2245" s="3" t="s">
        <v>67</v>
      </c>
      <c r="J2245" s="3" t="s">
        <v>127</v>
      </c>
      <c r="K2245" s="2" t="str">
        <f aca="false">CONCATENATE(I2245," ",J2245)</f>
        <v>Pardosa lugubris</v>
      </c>
      <c r="L2245" s="3" t="n">
        <f aca="false">SUM(P2245:U2245)</f>
        <v>2</v>
      </c>
      <c r="M2245" s="11" t="n">
        <f aca="false">(L2245/(F2245*G2245)*25)*4</f>
        <v>8</v>
      </c>
      <c r="N2245" s="1" t="s">
        <v>30</v>
      </c>
      <c r="O2245" s="1" t="s">
        <v>31</v>
      </c>
      <c r="P2245" s="3" t="n">
        <v>2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f aca="false">SUM(P2245:Q2245)</f>
        <v>2</v>
      </c>
      <c r="W2245" s="3" t="n">
        <f aca="false">SUM(R2245:T2245)</f>
        <v>0</v>
      </c>
      <c r="X2245" s="22" t="n">
        <v>41794</v>
      </c>
      <c r="Y2245" s="22" t="n">
        <v>41799</v>
      </c>
    </row>
    <row r="2246" customFormat="false" ht="14.25" hidden="false" customHeight="false" outlineLevel="0" collapsed="false">
      <c r="A2246" s="1" t="n">
        <v>2014</v>
      </c>
      <c r="B2246" s="1" t="n">
        <v>1</v>
      </c>
      <c r="C2246" s="2" t="s">
        <v>25</v>
      </c>
      <c r="D2246" s="3" t="s">
        <v>110</v>
      </c>
      <c r="E2246" s="3" t="n">
        <v>3</v>
      </c>
      <c r="F2246" s="1" t="n">
        <f aca="false">Y2246-X2246</f>
        <v>5</v>
      </c>
      <c r="G2246" s="1" t="n">
        <v>5</v>
      </c>
      <c r="H2246" s="3" t="s">
        <v>48</v>
      </c>
      <c r="I2246" s="3" t="s">
        <v>61</v>
      </c>
      <c r="J2246" s="3" t="s">
        <v>38</v>
      </c>
      <c r="K2246" s="2" t="str">
        <f aca="false">CONCATENATE(I2246," ",J2246)</f>
        <v>Trochosa sp</v>
      </c>
      <c r="L2246" s="3" t="n">
        <f aca="false">SUM(P2246:U2246)</f>
        <v>1</v>
      </c>
      <c r="M2246" s="11" t="n">
        <f aca="false">(L2246/(F2246*G2246)*25)*4</f>
        <v>4</v>
      </c>
      <c r="N2246" s="1" t="s">
        <v>19</v>
      </c>
      <c r="O2246" s="1" t="s">
        <v>35</v>
      </c>
      <c r="P2246" s="3" t="n">
        <v>0</v>
      </c>
      <c r="Q2246" s="3" t="n">
        <v>0</v>
      </c>
      <c r="R2246" s="3" t="n">
        <v>0</v>
      </c>
      <c r="S2246" s="3" t="n">
        <v>1</v>
      </c>
      <c r="T2246" s="3" t="n">
        <v>0</v>
      </c>
      <c r="U2246" s="3" t="n">
        <v>0</v>
      </c>
      <c r="V2246" s="3" t="n">
        <f aca="false">SUM(P2246:Q2246)</f>
        <v>0</v>
      </c>
      <c r="W2246" s="3" t="n">
        <f aca="false">SUM(R2246:T2246)</f>
        <v>1</v>
      </c>
      <c r="X2246" s="22" t="n">
        <v>41794</v>
      </c>
      <c r="Y2246" s="22" t="n">
        <v>41799</v>
      </c>
    </row>
    <row r="2247" customFormat="false" ht="14.25" hidden="false" customHeight="false" outlineLevel="0" collapsed="false">
      <c r="A2247" s="1" t="n">
        <v>2014</v>
      </c>
      <c r="B2247" s="1" t="n">
        <v>1</v>
      </c>
      <c r="C2247" s="2" t="s">
        <v>25</v>
      </c>
      <c r="D2247" s="3" t="s">
        <v>110</v>
      </c>
      <c r="E2247" s="3" t="n">
        <v>3</v>
      </c>
      <c r="F2247" s="1" t="n">
        <f aca="false">Y2247-X2247</f>
        <v>5</v>
      </c>
      <c r="G2247" s="1" t="n">
        <v>5</v>
      </c>
      <c r="H2247" s="3" t="s">
        <v>226</v>
      </c>
      <c r="I2247" s="3" t="s">
        <v>65</v>
      </c>
      <c r="J2247" s="3" t="s">
        <v>123</v>
      </c>
      <c r="K2247" s="2" t="str">
        <f aca="false">CONCATENATE(I2247," ",J2247)</f>
        <v>Zora nemoralis</v>
      </c>
      <c r="L2247" s="3" t="n">
        <f aca="false">SUM(P2247:U2247)</f>
        <v>1</v>
      </c>
      <c r="M2247" s="11" t="n">
        <f aca="false">(L2247/(F2247*G2247)*25)*4</f>
        <v>4</v>
      </c>
      <c r="N2247" s="1" t="s">
        <v>30</v>
      </c>
      <c r="O2247" s="1" t="s">
        <v>31</v>
      </c>
      <c r="P2247" s="3" t="n">
        <v>1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f aca="false">SUM(P2247:Q2247)</f>
        <v>1</v>
      </c>
      <c r="W2247" s="3" t="n">
        <f aca="false">SUM(R2247:T2247)</f>
        <v>0</v>
      </c>
      <c r="X2247" s="22" t="n">
        <v>41794</v>
      </c>
      <c r="Y2247" s="22" t="n">
        <v>41799</v>
      </c>
    </row>
    <row r="2248" customFormat="false" ht="14.25" hidden="false" customHeight="false" outlineLevel="0" collapsed="false">
      <c r="A2248" s="1" t="n">
        <v>2014</v>
      </c>
      <c r="B2248" s="1" t="n">
        <v>1</v>
      </c>
      <c r="C2248" s="2" t="s">
        <v>25</v>
      </c>
      <c r="D2248" s="3" t="s">
        <v>110</v>
      </c>
      <c r="E2248" s="3" t="n">
        <v>3</v>
      </c>
      <c r="F2248" s="1" t="n">
        <f aca="false">Y2248-X2248</f>
        <v>5</v>
      </c>
      <c r="G2248" s="1" t="n">
        <v>5</v>
      </c>
      <c r="H2248" s="3" t="s">
        <v>27</v>
      </c>
      <c r="I2248" s="3" t="s">
        <v>46</v>
      </c>
      <c r="J2248" s="3" t="s">
        <v>47</v>
      </c>
      <c r="K2248" s="2" t="str">
        <f aca="false">CONCATENATE(I2248," ",J2248)</f>
        <v>Euryopis flavomaculata</v>
      </c>
      <c r="L2248" s="3" t="n">
        <f aca="false">SUM(P2248:U2248)</f>
        <v>1</v>
      </c>
      <c r="M2248" s="11" t="n">
        <f aca="false">(L2248/(F2248*G2248)*25)*4</f>
        <v>4</v>
      </c>
      <c r="N2248" s="1" t="s">
        <v>30</v>
      </c>
      <c r="O2248" s="1" t="s">
        <v>31</v>
      </c>
      <c r="P2248" s="3" t="n">
        <v>1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f aca="false">SUM(P2248:Q2248)</f>
        <v>1</v>
      </c>
      <c r="W2248" s="3" t="n">
        <f aca="false">SUM(R2248:T2248)</f>
        <v>0</v>
      </c>
      <c r="X2248" s="22" t="n">
        <v>41794</v>
      </c>
      <c r="Y2248" s="22" t="n">
        <v>41799</v>
      </c>
    </row>
    <row r="2249" customFormat="false" ht="14.25" hidden="false" customHeight="false" outlineLevel="0" collapsed="false">
      <c r="A2249" s="1" t="n">
        <v>2014</v>
      </c>
      <c r="B2249" s="1" t="n">
        <v>1</v>
      </c>
      <c r="C2249" s="2" t="s">
        <v>25</v>
      </c>
      <c r="D2249" s="3" t="s">
        <v>110</v>
      </c>
      <c r="E2249" s="3" t="n">
        <v>3</v>
      </c>
      <c r="F2249" s="1" t="n">
        <f aca="false">Y2249-X2249</f>
        <v>5</v>
      </c>
      <c r="G2249" s="1" t="n">
        <v>5</v>
      </c>
      <c r="H2249" s="3" t="s">
        <v>32</v>
      </c>
      <c r="I2249" s="3" t="s">
        <v>169</v>
      </c>
      <c r="J2249" s="3" t="s">
        <v>170</v>
      </c>
      <c r="K2249" s="2" t="str">
        <f aca="false">CONCATENATE(I2249," ",J2249)</f>
        <v>Abacoproeces saltuum</v>
      </c>
      <c r="L2249" s="3" t="n">
        <f aca="false">SUM(P2249:U2249)</f>
        <v>1</v>
      </c>
      <c r="M2249" s="11" t="n">
        <f aca="false">(L2249/(F2249*G2249)*25)*4</f>
        <v>4</v>
      </c>
      <c r="N2249" s="1" t="s">
        <v>30</v>
      </c>
      <c r="O2249" s="1" t="s">
        <v>35</v>
      </c>
      <c r="P2249" s="3" t="n">
        <v>0</v>
      </c>
      <c r="Q2249" s="3" t="n">
        <v>1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f aca="false">SUM(P2249:Q2249)</f>
        <v>1</v>
      </c>
      <c r="W2249" s="3" t="n">
        <f aca="false">SUM(R2249:T2249)</f>
        <v>0</v>
      </c>
      <c r="X2249" s="22" t="n">
        <v>41794</v>
      </c>
      <c r="Y2249" s="22" t="n">
        <v>41799</v>
      </c>
    </row>
    <row r="2250" customFormat="false" ht="14.25" hidden="false" customHeight="false" outlineLevel="0" collapsed="false">
      <c r="A2250" s="1" t="n">
        <v>2014</v>
      </c>
      <c r="B2250" s="1" t="n">
        <v>1</v>
      </c>
      <c r="C2250" s="2" t="s">
        <v>25</v>
      </c>
      <c r="D2250" s="3" t="s">
        <v>110</v>
      </c>
      <c r="E2250" s="3" t="n">
        <v>1</v>
      </c>
      <c r="F2250" s="1" t="n">
        <f aca="false">Y2250-X2250</f>
        <v>5</v>
      </c>
      <c r="G2250" s="1" t="n">
        <v>5</v>
      </c>
      <c r="H2250" s="3" t="s">
        <v>48</v>
      </c>
      <c r="I2250" s="3" t="s">
        <v>49</v>
      </c>
      <c r="J2250" s="3" t="s">
        <v>223</v>
      </c>
      <c r="K2250" s="2" t="str">
        <f aca="false">CONCATENATE(I2250," ",J2250)</f>
        <v>Alopecosa pulverulenta</v>
      </c>
      <c r="L2250" s="3" t="n">
        <f aca="false">SUM(P2250:U2250)</f>
        <v>1</v>
      </c>
      <c r="M2250" s="11" t="n">
        <f aca="false">(L2250/(F2250*G2250)*25)*4</f>
        <v>4</v>
      </c>
      <c r="N2250" s="1" t="s">
        <v>30</v>
      </c>
      <c r="O2250" s="1" t="s">
        <v>31</v>
      </c>
      <c r="P2250" s="3" t="n">
        <v>1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f aca="false">SUM(P2250:Q2250)</f>
        <v>1</v>
      </c>
      <c r="W2250" s="3" t="n">
        <f aca="false">SUM(R2250:T2250)</f>
        <v>0</v>
      </c>
      <c r="X2250" s="22" t="n">
        <v>41794</v>
      </c>
      <c r="Y2250" s="22" t="n">
        <v>41799</v>
      </c>
    </row>
    <row r="2251" customFormat="false" ht="14.25" hidden="false" customHeight="false" outlineLevel="0" collapsed="false">
      <c r="A2251" s="1" t="n">
        <v>2014</v>
      </c>
      <c r="B2251" s="1" t="n">
        <v>1</v>
      </c>
      <c r="C2251" s="2" t="s">
        <v>25</v>
      </c>
      <c r="D2251" s="3" t="s">
        <v>110</v>
      </c>
      <c r="E2251" s="3" t="n">
        <v>1</v>
      </c>
      <c r="F2251" s="1" t="n">
        <f aca="false">Y2251-X2251</f>
        <v>5</v>
      </c>
      <c r="G2251" s="1" t="n">
        <v>5</v>
      </c>
      <c r="H2251" s="3" t="s">
        <v>48</v>
      </c>
      <c r="I2251" s="3" t="s">
        <v>49</v>
      </c>
      <c r="J2251" s="3" t="s">
        <v>104</v>
      </c>
      <c r="K2251" s="2" t="str">
        <f aca="false">CONCATENATE(I2251," ",J2251)</f>
        <v>Alopecosa taeniata</v>
      </c>
      <c r="L2251" s="3" t="n">
        <f aca="false">SUM(P2251:U2251)</f>
        <v>1</v>
      </c>
      <c r="M2251" s="11" t="n">
        <f aca="false">(L2251/(F2251*G2251)*25)*4</f>
        <v>4</v>
      </c>
      <c r="N2251" s="1" t="s">
        <v>30</v>
      </c>
      <c r="O2251" s="1" t="s">
        <v>31</v>
      </c>
      <c r="P2251" s="3" t="n">
        <v>1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f aca="false">SUM(P2251:Q2251)</f>
        <v>1</v>
      </c>
      <c r="W2251" s="3" t="n">
        <f aca="false">SUM(R2251:T2251)</f>
        <v>0</v>
      </c>
      <c r="X2251" s="22" t="n">
        <v>41794</v>
      </c>
      <c r="Y2251" s="22" t="n">
        <v>41799</v>
      </c>
    </row>
    <row r="2252" customFormat="false" ht="14.25" hidden="false" customHeight="false" outlineLevel="0" collapsed="false">
      <c r="A2252" s="1" t="n">
        <v>2014</v>
      </c>
      <c r="B2252" s="1" t="n">
        <v>1</v>
      </c>
      <c r="C2252" s="2" t="s">
        <v>25</v>
      </c>
      <c r="D2252" s="3" t="s">
        <v>110</v>
      </c>
      <c r="E2252" s="3" t="n">
        <v>1</v>
      </c>
      <c r="F2252" s="1" t="n">
        <f aca="false">Y2252-X2252</f>
        <v>5</v>
      </c>
      <c r="G2252" s="1" t="n">
        <v>5</v>
      </c>
      <c r="H2252" s="3" t="s">
        <v>48</v>
      </c>
      <c r="I2252" s="3" t="s">
        <v>61</v>
      </c>
      <c r="J2252" s="3" t="s">
        <v>82</v>
      </c>
      <c r="K2252" s="2" t="str">
        <f aca="false">CONCATENATE(I2252," ",J2252)</f>
        <v>Trochosa terricola</v>
      </c>
      <c r="L2252" s="3" t="n">
        <f aca="false">SUM(P2252:U2252)</f>
        <v>1</v>
      </c>
      <c r="M2252" s="11" t="n">
        <f aca="false">(L2252/(F2252*G2252)*25)*4</f>
        <v>4</v>
      </c>
      <c r="N2252" s="1" t="s">
        <v>30</v>
      </c>
      <c r="O2252" s="1" t="s">
        <v>31</v>
      </c>
      <c r="P2252" s="3" t="n">
        <v>1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f aca="false">SUM(P2252:Q2252)</f>
        <v>1</v>
      </c>
      <c r="W2252" s="3" t="n">
        <f aca="false">SUM(R2252:T2252)</f>
        <v>0</v>
      </c>
      <c r="X2252" s="22" t="n">
        <v>41794</v>
      </c>
      <c r="Y2252" s="22" t="n">
        <v>41799</v>
      </c>
    </row>
    <row r="2253" customFormat="false" ht="14.25" hidden="false" customHeight="false" outlineLevel="0" collapsed="false">
      <c r="A2253" s="1" t="n">
        <v>2014</v>
      </c>
      <c r="B2253" s="1" t="n">
        <v>1</v>
      </c>
      <c r="C2253" s="2" t="s">
        <v>25</v>
      </c>
      <c r="D2253" s="3" t="s">
        <v>110</v>
      </c>
      <c r="E2253" s="3" t="n">
        <v>1</v>
      </c>
      <c r="F2253" s="1" t="n">
        <f aca="false">Y2253-X2253</f>
        <v>5</v>
      </c>
      <c r="G2253" s="1" t="n">
        <v>5</v>
      </c>
      <c r="H2253" s="3" t="s">
        <v>48</v>
      </c>
      <c r="I2253" s="3" t="s">
        <v>61</v>
      </c>
      <c r="J2253" s="3" t="s">
        <v>38</v>
      </c>
      <c r="K2253" s="2" t="str">
        <f aca="false">CONCATENATE(I2253," ",J2253)</f>
        <v>Trochosa sp</v>
      </c>
      <c r="L2253" s="3" t="n">
        <f aca="false">SUM(P2253:U2253)</f>
        <v>1</v>
      </c>
      <c r="M2253" s="11" t="n">
        <f aca="false">(L2253/(F2253*G2253)*25)*4</f>
        <v>4</v>
      </c>
      <c r="N2253" s="1" t="s">
        <v>19</v>
      </c>
      <c r="O2253" s="1" t="s">
        <v>31</v>
      </c>
      <c r="P2253" s="3" t="n">
        <v>0</v>
      </c>
      <c r="Q2253" s="3" t="n">
        <v>0</v>
      </c>
      <c r="R2253" s="3" t="n">
        <v>1</v>
      </c>
      <c r="S2253" s="3" t="n">
        <v>0</v>
      </c>
      <c r="T2253" s="3" t="n">
        <v>0</v>
      </c>
      <c r="U2253" s="3" t="n">
        <v>0</v>
      </c>
      <c r="V2253" s="3" t="n">
        <f aca="false">SUM(P2253:Q2253)</f>
        <v>0</v>
      </c>
      <c r="W2253" s="3" t="n">
        <f aca="false">SUM(R2253:T2253)</f>
        <v>1</v>
      </c>
      <c r="X2253" s="22" t="n">
        <v>41794</v>
      </c>
      <c r="Y2253" s="22" t="n">
        <v>41799</v>
      </c>
    </row>
    <row r="2254" customFormat="false" ht="14.25" hidden="false" customHeight="false" outlineLevel="0" collapsed="false">
      <c r="A2254" s="1" t="n">
        <v>2014</v>
      </c>
      <c r="B2254" s="1" t="n">
        <v>1</v>
      </c>
      <c r="C2254" s="2" t="s">
        <v>25</v>
      </c>
      <c r="D2254" s="3" t="s">
        <v>110</v>
      </c>
      <c r="E2254" s="3" t="n">
        <v>1</v>
      </c>
      <c r="F2254" s="1" t="n">
        <f aca="false">Y2254-X2254</f>
        <v>5</v>
      </c>
      <c r="G2254" s="1" t="n">
        <v>5</v>
      </c>
      <c r="H2254" s="3" t="s">
        <v>48</v>
      </c>
      <c r="I2254" s="3" t="s">
        <v>61</v>
      </c>
      <c r="J2254" s="3" t="s">
        <v>38</v>
      </c>
      <c r="K2254" s="2" t="str">
        <f aca="false">CONCATENATE(I2254," ",J2254)</f>
        <v>Trochosa sp</v>
      </c>
      <c r="L2254" s="3" t="n">
        <f aca="false">SUM(P2254:U2254)</f>
        <v>1</v>
      </c>
      <c r="M2254" s="11" t="n">
        <f aca="false">(L2254/(F2254*G2254)*25)*4</f>
        <v>4</v>
      </c>
      <c r="N2254" s="1" t="s">
        <v>19</v>
      </c>
      <c r="O2254" s="1" t="s">
        <v>35</v>
      </c>
      <c r="P2254" s="3" t="n">
        <v>0</v>
      </c>
      <c r="Q2254" s="3" t="n">
        <v>0</v>
      </c>
      <c r="R2254" s="3" t="n">
        <v>0</v>
      </c>
      <c r="S2254" s="3" t="n">
        <v>1</v>
      </c>
      <c r="T2254" s="3" t="n">
        <v>0</v>
      </c>
      <c r="U2254" s="3" t="n">
        <v>0</v>
      </c>
      <c r="V2254" s="3" t="n">
        <f aca="false">SUM(P2254:Q2254)</f>
        <v>0</v>
      </c>
      <c r="W2254" s="3" t="n">
        <f aca="false">SUM(R2254:T2254)</f>
        <v>1</v>
      </c>
      <c r="X2254" s="22" t="n">
        <v>41794</v>
      </c>
      <c r="Y2254" s="22" t="n">
        <v>41799</v>
      </c>
    </row>
    <row r="2255" customFormat="false" ht="14.25" hidden="false" customHeight="false" outlineLevel="0" collapsed="false">
      <c r="A2255" s="1" t="n">
        <v>2014</v>
      </c>
      <c r="B2255" s="1" t="n">
        <v>1</v>
      </c>
      <c r="C2255" s="2" t="s">
        <v>25</v>
      </c>
      <c r="D2255" s="3" t="s">
        <v>110</v>
      </c>
      <c r="E2255" s="3" t="n">
        <v>1</v>
      </c>
      <c r="F2255" s="1" t="n">
        <f aca="false">Y2255-X2255</f>
        <v>5</v>
      </c>
      <c r="G2255" s="1" t="n">
        <v>5</v>
      </c>
      <c r="H2255" s="3" t="s">
        <v>48</v>
      </c>
      <c r="I2255" s="3" t="s">
        <v>67</v>
      </c>
      <c r="J2255" s="3" t="s">
        <v>127</v>
      </c>
      <c r="K2255" s="2" t="str">
        <f aca="false">CONCATENATE(I2255," ",J2255)</f>
        <v>Pardosa lugubris</v>
      </c>
      <c r="L2255" s="3" t="n">
        <f aca="false">SUM(P2255:U2255)</f>
        <v>4</v>
      </c>
      <c r="M2255" s="11" t="n">
        <f aca="false">(L2255/(F2255*G2255)*25)*4</f>
        <v>16</v>
      </c>
      <c r="N2255" s="1" t="s">
        <v>30</v>
      </c>
      <c r="O2255" s="1" t="s">
        <v>31</v>
      </c>
      <c r="P2255" s="3" t="n">
        <v>4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f aca="false">SUM(P2255:Q2255)</f>
        <v>4</v>
      </c>
      <c r="W2255" s="3" t="n">
        <f aca="false">SUM(R2255:T2255)</f>
        <v>0</v>
      </c>
      <c r="X2255" s="22" t="n">
        <v>41794</v>
      </c>
      <c r="Y2255" s="22" t="n">
        <v>41799</v>
      </c>
    </row>
    <row r="2256" customFormat="false" ht="14.25" hidden="false" customHeight="false" outlineLevel="0" collapsed="false">
      <c r="A2256" s="1" t="n">
        <v>2014</v>
      </c>
      <c r="B2256" s="1" t="n">
        <v>1</v>
      </c>
      <c r="C2256" s="2" t="s">
        <v>25</v>
      </c>
      <c r="D2256" s="3" t="s">
        <v>110</v>
      </c>
      <c r="E2256" s="3" t="n">
        <v>1</v>
      </c>
      <c r="F2256" s="1" t="n">
        <f aca="false">Y2256-X2256</f>
        <v>5</v>
      </c>
      <c r="G2256" s="1" t="n">
        <v>5</v>
      </c>
      <c r="H2256" s="3" t="s">
        <v>72</v>
      </c>
      <c r="I2256" s="3" t="s">
        <v>73</v>
      </c>
      <c r="J2256" s="3" t="s">
        <v>74</v>
      </c>
      <c r="K2256" s="2" t="str">
        <f aca="false">CONCATENATE(I2256," ",J2256)</f>
        <v>Zelotes subterraneus</v>
      </c>
      <c r="L2256" s="3" t="n">
        <f aca="false">SUM(P2256:U2256)</f>
        <v>1</v>
      </c>
      <c r="M2256" s="11" t="n">
        <f aca="false">(L2256/(F2256*G2256)*25)*4</f>
        <v>4</v>
      </c>
      <c r="N2256" s="1" t="s">
        <v>30</v>
      </c>
      <c r="O2256" s="1" t="s">
        <v>31</v>
      </c>
      <c r="P2256" s="3" t="n">
        <v>1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f aca="false">SUM(P2256:Q2256)</f>
        <v>1</v>
      </c>
      <c r="W2256" s="3" t="n">
        <f aca="false">SUM(R2256:T2256)</f>
        <v>0</v>
      </c>
      <c r="X2256" s="22" t="n">
        <v>41794</v>
      </c>
      <c r="Y2256" s="22" t="n">
        <v>41799</v>
      </c>
    </row>
    <row r="2257" customFormat="false" ht="14.25" hidden="false" customHeight="false" outlineLevel="0" collapsed="false">
      <c r="A2257" s="1" t="n">
        <v>2014</v>
      </c>
      <c r="B2257" s="1" t="n">
        <v>1</v>
      </c>
      <c r="C2257" s="2" t="s">
        <v>25</v>
      </c>
      <c r="D2257" s="3" t="s">
        <v>110</v>
      </c>
      <c r="E2257" s="3" t="n">
        <v>1</v>
      </c>
      <c r="F2257" s="1" t="n">
        <f aca="false">Y2257-X2257</f>
        <v>5</v>
      </c>
      <c r="G2257" s="1" t="n">
        <v>5</v>
      </c>
      <c r="H2257" s="3" t="s">
        <v>72</v>
      </c>
      <c r="I2257" s="3" t="s">
        <v>86</v>
      </c>
      <c r="J2257" s="3" t="s">
        <v>87</v>
      </c>
      <c r="K2257" s="2" t="str">
        <f aca="false">CONCATENATE(I2257," ",J2257)</f>
        <v>Haplodrassus soerenseni</v>
      </c>
      <c r="L2257" s="3" t="n">
        <f aca="false">SUM(P2257:U2257)</f>
        <v>1</v>
      </c>
      <c r="M2257" s="11" t="n">
        <f aca="false">(L2257/(F2257*G2257)*25)*4</f>
        <v>4</v>
      </c>
      <c r="N2257" s="1" t="s">
        <v>30</v>
      </c>
      <c r="O2257" s="1" t="s">
        <v>31</v>
      </c>
      <c r="P2257" s="3" t="n">
        <v>1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f aca="false">SUM(P2257:Q2257)</f>
        <v>1</v>
      </c>
      <c r="W2257" s="3" t="n">
        <f aca="false">SUM(R2257:T2257)</f>
        <v>0</v>
      </c>
      <c r="X2257" s="22" t="n">
        <v>41794</v>
      </c>
      <c r="Y2257" s="22" t="n">
        <v>41799</v>
      </c>
    </row>
    <row r="2258" customFormat="false" ht="14.25" hidden="false" customHeight="false" outlineLevel="0" collapsed="false">
      <c r="A2258" s="1" t="n">
        <v>2014</v>
      </c>
      <c r="B2258" s="1" t="n">
        <v>1</v>
      </c>
      <c r="C2258" s="2" t="s">
        <v>25</v>
      </c>
      <c r="D2258" s="3" t="s">
        <v>110</v>
      </c>
      <c r="E2258" s="3" t="n">
        <v>1</v>
      </c>
      <c r="F2258" s="1" t="n">
        <f aca="false">Y2258-X2258</f>
        <v>5</v>
      </c>
      <c r="G2258" s="1" t="n">
        <v>5</v>
      </c>
      <c r="H2258" s="3" t="s">
        <v>226</v>
      </c>
      <c r="I2258" s="3" t="s">
        <v>65</v>
      </c>
      <c r="J2258" s="3" t="s">
        <v>123</v>
      </c>
      <c r="K2258" s="2" t="str">
        <f aca="false">CONCATENATE(I2258," ",J2258)</f>
        <v>Zora nemoralis</v>
      </c>
      <c r="L2258" s="3" t="n">
        <f aca="false">SUM(P2258:U2258)</f>
        <v>1</v>
      </c>
      <c r="M2258" s="11" t="n">
        <f aca="false">(L2258/(F2258*G2258)*25)*4</f>
        <v>4</v>
      </c>
      <c r="N2258" s="1" t="s">
        <v>30</v>
      </c>
      <c r="O2258" s="1" t="s">
        <v>31</v>
      </c>
      <c r="P2258" s="3" t="n">
        <v>1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f aca="false">SUM(P2258:Q2258)</f>
        <v>1</v>
      </c>
      <c r="W2258" s="3" t="n">
        <f aca="false">SUM(R2258:T2258)</f>
        <v>0</v>
      </c>
      <c r="X2258" s="22" t="n">
        <v>41794</v>
      </c>
      <c r="Y2258" s="22" t="n">
        <v>41799</v>
      </c>
    </row>
    <row r="2259" customFormat="false" ht="14.25" hidden="false" customHeight="false" outlineLevel="0" collapsed="false">
      <c r="A2259" s="1" t="n">
        <v>2014</v>
      </c>
      <c r="B2259" s="1" t="n">
        <v>1</v>
      </c>
      <c r="C2259" s="2" t="s">
        <v>25</v>
      </c>
      <c r="D2259" s="3" t="s">
        <v>110</v>
      </c>
      <c r="E2259" s="3" t="n">
        <v>1</v>
      </c>
      <c r="F2259" s="1" t="n">
        <f aca="false">Y2259-X2259</f>
        <v>5</v>
      </c>
      <c r="G2259" s="1" t="n">
        <v>5</v>
      </c>
      <c r="H2259" s="3" t="s">
        <v>32</v>
      </c>
      <c r="I2259" s="3" t="s">
        <v>57</v>
      </c>
      <c r="J2259" s="3" t="s">
        <v>38</v>
      </c>
      <c r="K2259" s="2" t="str">
        <f aca="false">CONCATENATE(I2259," ",J2259)</f>
        <v>Gen sp</v>
      </c>
      <c r="L2259" s="3" t="n">
        <f aca="false">SUM(P2259:U2259)</f>
        <v>1</v>
      </c>
      <c r="M2259" s="11" t="n">
        <f aca="false">(L2259/(F2259*G2259)*25)*4</f>
        <v>4</v>
      </c>
      <c r="N2259" s="1" t="s">
        <v>19</v>
      </c>
      <c r="O2259" s="1" t="s">
        <v>54</v>
      </c>
      <c r="P2259" s="3" t="n">
        <v>0</v>
      </c>
      <c r="Q2259" s="3" t="n">
        <v>0</v>
      </c>
      <c r="R2259" s="3" t="n">
        <v>0</v>
      </c>
      <c r="S2259" s="3" t="n">
        <v>0</v>
      </c>
      <c r="T2259" s="3" t="n">
        <v>1</v>
      </c>
      <c r="U2259" s="3" t="n">
        <v>0</v>
      </c>
      <c r="V2259" s="3" t="n">
        <f aca="false">SUM(P2259:Q2259)</f>
        <v>0</v>
      </c>
      <c r="W2259" s="3" t="n">
        <f aca="false">SUM(R2259:T2259)</f>
        <v>1</v>
      </c>
      <c r="X2259" s="22" t="n">
        <v>41794</v>
      </c>
      <c r="Y2259" s="22" t="n">
        <v>41799</v>
      </c>
    </row>
    <row r="2260" customFormat="false" ht="14.25" hidden="false" customHeight="false" outlineLevel="0" collapsed="false">
      <c r="A2260" s="1" t="n">
        <v>2014</v>
      </c>
      <c r="B2260" s="1" t="n">
        <v>1</v>
      </c>
      <c r="C2260" s="2" t="s">
        <v>25</v>
      </c>
      <c r="D2260" s="3" t="s">
        <v>110</v>
      </c>
      <c r="E2260" s="3" t="n">
        <v>1</v>
      </c>
      <c r="F2260" s="1" t="n">
        <f aca="false">Y2260-X2260</f>
        <v>5</v>
      </c>
      <c r="G2260" s="1" t="n">
        <v>5</v>
      </c>
      <c r="H2260" s="3" t="s">
        <v>32</v>
      </c>
      <c r="I2260" s="3" t="s">
        <v>169</v>
      </c>
      <c r="J2260" s="3" t="s">
        <v>170</v>
      </c>
      <c r="K2260" s="2" t="str">
        <f aca="false">CONCATENATE(I2260," ",J2260)</f>
        <v>Abacoproeces saltuum</v>
      </c>
      <c r="L2260" s="3" t="n">
        <f aca="false">SUM(P2260:U2260)</f>
        <v>1</v>
      </c>
      <c r="M2260" s="11" t="n">
        <f aca="false">(L2260/(F2260*G2260)*25)*4</f>
        <v>4</v>
      </c>
      <c r="N2260" s="1" t="s">
        <v>30</v>
      </c>
      <c r="O2260" s="1" t="s">
        <v>35</v>
      </c>
      <c r="P2260" s="3" t="n">
        <v>0</v>
      </c>
      <c r="Q2260" s="3" t="n">
        <v>1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f aca="false">SUM(P2260:Q2260)</f>
        <v>1</v>
      </c>
      <c r="W2260" s="3" t="n">
        <f aca="false">SUM(R2260:T2260)</f>
        <v>0</v>
      </c>
      <c r="X2260" s="22" t="n">
        <v>41794</v>
      </c>
      <c r="Y2260" s="22" t="n">
        <v>41799</v>
      </c>
    </row>
    <row r="2261" customFormat="false" ht="14.25" hidden="false" customHeight="false" outlineLevel="0" collapsed="false">
      <c r="A2261" s="1" t="n">
        <v>2014</v>
      </c>
      <c r="B2261" s="1" t="n">
        <v>1</v>
      </c>
      <c r="C2261" s="2" t="s">
        <v>25</v>
      </c>
      <c r="D2261" s="3" t="s">
        <v>110</v>
      </c>
      <c r="E2261" s="3" t="n">
        <v>1</v>
      </c>
      <c r="F2261" s="1" t="n">
        <f aca="false">Y2261-X2261</f>
        <v>5</v>
      </c>
      <c r="G2261" s="1" t="n">
        <v>5</v>
      </c>
      <c r="H2261" s="3" t="s">
        <v>32</v>
      </c>
      <c r="I2261" s="3" t="s">
        <v>84</v>
      </c>
      <c r="J2261" s="3" t="s">
        <v>181</v>
      </c>
      <c r="K2261" s="2" t="str">
        <f aca="false">CONCATENATE(I2261," ",J2261)</f>
        <v>Walckenaeria cucullata</v>
      </c>
      <c r="L2261" s="3" t="n">
        <f aca="false">SUM(P2261:U2261)</f>
        <v>1</v>
      </c>
      <c r="M2261" s="11" t="n">
        <f aca="false">(L2261/(F2261*G2261)*25)*4</f>
        <v>4</v>
      </c>
      <c r="N2261" s="1" t="s">
        <v>30</v>
      </c>
      <c r="O2261" s="1" t="s">
        <v>35</v>
      </c>
      <c r="P2261" s="3" t="n">
        <v>0</v>
      </c>
      <c r="Q2261" s="3" t="n">
        <v>1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f aca="false">SUM(P2261:Q2261)</f>
        <v>1</v>
      </c>
      <c r="W2261" s="3" t="n">
        <f aca="false">SUM(R2261:T2261)</f>
        <v>0</v>
      </c>
      <c r="X2261" s="22" t="n">
        <v>41794</v>
      </c>
      <c r="Y2261" s="22" t="n">
        <v>41799</v>
      </c>
    </row>
    <row r="2262" customFormat="false" ht="14.25" hidden="false" customHeight="false" outlineLevel="0" collapsed="false">
      <c r="A2262" s="1" t="n">
        <v>2014</v>
      </c>
      <c r="B2262" s="1" t="n">
        <v>1</v>
      </c>
      <c r="C2262" s="2" t="s">
        <v>25</v>
      </c>
      <c r="D2262" s="3" t="s">
        <v>101</v>
      </c>
      <c r="E2262" s="3" t="n">
        <v>2</v>
      </c>
      <c r="F2262" s="1" t="n">
        <f aca="false">Y2262-X2262</f>
        <v>5</v>
      </c>
      <c r="G2262" s="1" t="n">
        <v>5</v>
      </c>
      <c r="H2262" s="3" t="s">
        <v>48</v>
      </c>
      <c r="I2262" s="3" t="s">
        <v>49</v>
      </c>
      <c r="J2262" s="3" t="s">
        <v>104</v>
      </c>
      <c r="K2262" s="2" t="str">
        <f aca="false">CONCATENATE(I2262," ",J2262)</f>
        <v>Alopecosa taeniata</v>
      </c>
      <c r="L2262" s="3" t="n">
        <f aca="false">SUM(P2262:U2262)</f>
        <v>3</v>
      </c>
      <c r="M2262" s="11" t="n">
        <f aca="false">(L2262/(F2262*G2262)*25)*4</f>
        <v>12</v>
      </c>
      <c r="N2262" s="1" t="s">
        <v>30</v>
      </c>
      <c r="O2262" s="1" t="s">
        <v>31</v>
      </c>
      <c r="P2262" s="3" t="n">
        <v>3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f aca="false">SUM(P2262:Q2262)</f>
        <v>3</v>
      </c>
      <c r="W2262" s="3" t="n">
        <f aca="false">SUM(R2262:T2262)</f>
        <v>0</v>
      </c>
      <c r="X2262" s="22" t="n">
        <v>41793</v>
      </c>
      <c r="Y2262" s="22" t="n">
        <v>41798</v>
      </c>
    </row>
    <row r="2263" customFormat="false" ht="14.25" hidden="false" customHeight="false" outlineLevel="0" collapsed="false">
      <c r="A2263" s="1" t="n">
        <v>2014</v>
      </c>
      <c r="B2263" s="1" t="n">
        <v>1</v>
      </c>
      <c r="C2263" s="2" t="s">
        <v>25</v>
      </c>
      <c r="D2263" s="3" t="s">
        <v>101</v>
      </c>
      <c r="E2263" s="3" t="n">
        <v>2</v>
      </c>
      <c r="F2263" s="1" t="n">
        <f aca="false">Y2263-X2263</f>
        <v>5</v>
      </c>
      <c r="G2263" s="1" t="n">
        <v>5</v>
      </c>
      <c r="H2263" s="3" t="s">
        <v>48</v>
      </c>
      <c r="I2263" s="3" t="s">
        <v>49</v>
      </c>
      <c r="J2263" s="3" t="s">
        <v>38</v>
      </c>
      <c r="K2263" s="2" t="str">
        <f aca="false">CONCATENATE(I2263," ",J2263)</f>
        <v>Alopecosa sp</v>
      </c>
      <c r="L2263" s="3" t="n">
        <f aca="false">SUM(P2263:U2263)</f>
        <v>1</v>
      </c>
      <c r="M2263" s="11" t="n">
        <f aca="false">(L2263/(F2263*G2263)*25)*4</f>
        <v>4</v>
      </c>
      <c r="N2263" s="1" t="s">
        <v>19</v>
      </c>
      <c r="O2263" s="1" t="s">
        <v>31</v>
      </c>
      <c r="P2263" s="3" t="n">
        <v>0</v>
      </c>
      <c r="Q2263" s="3" t="n">
        <v>0</v>
      </c>
      <c r="R2263" s="3" t="n">
        <v>1</v>
      </c>
      <c r="S2263" s="3" t="n">
        <v>0</v>
      </c>
      <c r="T2263" s="3" t="n">
        <v>0</v>
      </c>
      <c r="U2263" s="3" t="n">
        <v>0</v>
      </c>
      <c r="V2263" s="3" t="n">
        <f aca="false">SUM(P2263:Q2263)</f>
        <v>0</v>
      </c>
      <c r="W2263" s="3" t="n">
        <f aca="false">SUM(R2263:T2263)</f>
        <v>1</v>
      </c>
      <c r="X2263" s="22" t="n">
        <v>41793</v>
      </c>
      <c r="Y2263" s="22" t="n">
        <v>41798</v>
      </c>
    </row>
    <row r="2264" customFormat="false" ht="14.25" hidden="false" customHeight="false" outlineLevel="0" collapsed="false">
      <c r="A2264" s="1" t="n">
        <v>2014</v>
      </c>
      <c r="B2264" s="1" t="n">
        <v>1</v>
      </c>
      <c r="C2264" s="2" t="s">
        <v>25</v>
      </c>
      <c r="D2264" s="3" t="s">
        <v>101</v>
      </c>
      <c r="E2264" s="3" t="n">
        <v>2</v>
      </c>
      <c r="F2264" s="1" t="n">
        <f aca="false">Y2264-X2264</f>
        <v>5</v>
      </c>
      <c r="G2264" s="1" t="n">
        <v>5</v>
      </c>
      <c r="H2264" s="3" t="s">
        <v>48</v>
      </c>
      <c r="I2264" s="3" t="s">
        <v>49</v>
      </c>
      <c r="J2264" s="3" t="s">
        <v>38</v>
      </c>
      <c r="K2264" s="2" t="str">
        <f aca="false">CONCATENATE(I2264," ",J2264)</f>
        <v>Alopecosa sp</v>
      </c>
      <c r="L2264" s="3" t="n">
        <f aca="false">SUM(P2264:U2264)</f>
        <v>1</v>
      </c>
      <c r="M2264" s="11" t="n">
        <f aca="false">(L2264/(F2264*G2264)*25)*4</f>
        <v>4</v>
      </c>
      <c r="N2264" s="1" t="s">
        <v>19</v>
      </c>
      <c r="O2264" s="1" t="s">
        <v>35</v>
      </c>
      <c r="P2264" s="3" t="n">
        <v>0</v>
      </c>
      <c r="Q2264" s="3" t="n">
        <v>0</v>
      </c>
      <c r="R2264" s="3" t="n">
        <v>0</v>
      </c>
      <c r="S2264" s="3" t="n">
        <v>1</v>
      </c>
      <c r="T2264" s="3" t="n">
        <v>0</v>
      </c>
      <c r="U2264" s="3" t="n">
        <v>0</v>
      </c>
      <c r="V2264" s="3" t="n">
        <f aca="false">SUM(P2264:Q2264)</f>
        <v>0</v>
      </c>
      <c r="W2264" s="3" t="n">
        <f aca="false">SUM(R2264:T2264)</f>
        <v>1</v>
      </c>
      <c r="X2264" s="22" t="n">
        <v>41793</v>
      </c>
      <c r="Y2264" s="22" t="n">
        <v>41798</v>
      </c>
    </row>
    <row r="2265" customFormat="false" ht="14.25" hidden="false" customHeight="false" outlineLevel="0" collapsed="false">
      <c r="A2265" s="1" t="n">
        <v>2014</v>
      </c>
      <c r="B2265" s="1" t="n">
        <v>1</v>
      </c>
      <c r="C2265" s="2" t="s">
        <v>25</v>
      </c>
      <c r="D2265" s="3" t="s">
        <v>101</v>
      </c>
      <c r="E2265" s="3" t="n">
        <v>2</v>
      </c>
      <c r="F2265" s="1" t="n">
        <f aca="false">Y2265-X2265</f>
        <v>5</v>
      </c>
      <c r="G2265" s="1" t="n">
        <v>5</v>
      </c>
      <c r="H2265" s="3" t="s">
        <v>48</v>
      </c>
      <c r="I2265" s="3" t="s">
        <v>67</v>
      </c>
      <c r="J2265" s="3" t="s">
        <v>127</v>
      </c>
      <c r="K2265" s="2" t="str">
        <f aca="false">CONCATENATE(I2265," ",J2265)</f>
        <v>Pardosa lugubris</v>
      </c>
      <c r="L2265" s="3" t="n">
        <f aca="false">SUM(P2265:U2265)</f>
        <v>1</v>
      </c>
      <c r="M2265" s="11" t="n">
        <f aca="false">(L2265/(F2265*G2265)*25)*4</f>
        <v>4</v>
      </c>
      <c r="N2265" s="1" t="s">
        <v>30</v>
      </c>
      <c r="O2265" s="1" t="s">
        <v>31</v>
      </c>
      <c r="P2265" s="3" t="n">
        <v>1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f aca="false">SUM(P2265:Q2265)</f>
        <v>1</v>
      </c>
      <c r="W2265" s="3" t="n">
        <f aca="false">SUM(R2265:T2265)</f>
        <v>0</v>
      </c>
      <c r="X2265" s="22" t="n">
        <v>41793</v>
      </c>
      <c r="Y2265" s="22" t="n">
        <v>41798</v>
      </c>
    </row>
    <row r="2266" customFormat="false" ht="14.25" hidden="false" customHeight="false" outlineLevel="0" collapsed="false">
      <c r="A2266" s="1" t="n">
        <v>2014</v>
      </c>
      <c r="B2266" s="1" t="n">
        <v>1</v>
      </c>
      <c r="C2266" s="2" t="s">
        <v>25</v>
      </c>
      <c r="D2266" s="3" t="s">
        <v>101</v>
      </c>
      <c r="E2266" s="3" t="n">
        <v>2</v>
      </c>
      <c r="F2266" s="1" t="n">
        <f aca="false">Y2266-X2266</f>
        <v>5</v>
      </c>
      <c r="G2266" s="1" t="n">
        <v>5</v>
      </c>
      <c r="H2266" s="3" t="s">
        <v>48</v>
      </c>
      <c r="I2266" s="3" t="s">
        <v>61</v>
      </c>
      <c r="J2266" s="3" t="s">
        <v>38</v>
      </c>
      <c r="K2266" s="2" t="str">
        <f aca="false">CONCATENATE(I2266," ",J2266)</f>
        <v>Trochosa sp</v>
      </c>
      <c r="L2266" s="3" t="n">
        <f aca="false">SUM(P2266:U2266)</f>
        <v>1</v>
      </c>
      <c r="M2266" s="11" t="n">
        <f aca="false">(L2266/(F2266*G2266)*25)*4</f>
        <v>4</v>
      </c>
      <c r="N2266" s="1" t="s">
        <v>19</v>
      </c>
      <c r="O2266" s="1" t="s">
        <v>35</v>
      </c>
      <c r="P2266" s="3" t="n">
        <v>0</v>
      </c>
      <c r="Q2266" s="3" t="n">
        <v>0</v>
      </c>
      <c r="R2266" s="3" t="n">
        <v>0</v>
      </c>
      <c r="S2266" s="3" t="n">
        <v>1</v>
      </c>
      <c r="T2266" s="3" t="n">
        <v>0</v>
      </c>
      <c r="U2266" s="3" t="n">
        <v>0</v>
      </c>
      <c r="V2266" s="3" t="n">
        <f aca="false">SUM(P2266:Q2266)</f>
        <v>0</v>
      </c>
      <c r="W2266" s="3" t="n">
        <f aca="false">SUM(R2266:T2266)</f>
        <v>1</v>
      </c>
      <c r="X2266" s="22" t="n">
        <v>41793</v>
      </c>
      <c r="Y2266" s="22" t="n">
        <v>41798</v>
      </c>
    </row>
    <row r="2267" customFormat="false" ht="14.25" hidden="false" customHeight="false" outlineLevel="0" collapsed="false">
      <c r="A2267" s="1" t="n">
        <v>2014</v>
      </c>
      <c r="B2267" s="1" t="n">
        <v>1</v>
      </c>
      <c r="C2267" s="2" t="s">
        <v>25</v>
      </c>
      <c r="D2267" s="3" t="s">
        <v>101</v>
      </c>
      <c r="E2267" s="3" t="n">
        <v>2</v>
      </c>
      <c r="F2267" s="1" t="n">
        <f aca="false">Y2267-X2267</f>
        <v>5</v>
      </c>
      <c r="G2267" s="1" t="n">
        <v>5</v>
      </c>
      <c r="H2267" s="3" t="s">
        <v>72</v>
      </c>
      <c r="I2267" s="3" t="s">
        <v>86</v>
      </c>
      <c r="J2267" s="3" t="s">
        <v>87</v>
      </c>
      <c r="K2267" s="2" t="str">
        <f aca="false">CONCATENATE(I2267," ",J2267)</f>
        <v>Haplodrassus soerenseni</v>
      </c>
      <c r="L2267" s="3" t="n">
        <f aca="false">SUM(P2267:U2267)</f>
        <v>1</v>
      </c>
      <c r="M2267" s="11" t="n">
        <f aca="false">(L2267/(F2267*G2267)*25)*4</f>
        <v>4</v>
      </c>
      <c r="N2267" s="1" t="s">
        <v>30</v>
      </c>
      <c r="O2267" s="1" t="s">
        <v>31</v>
      </c>
      <c r="P2267" s="3" t="n">
        <v>1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f aca="false">SUM(P2267:Q2267)</f>
        <v>1</v>
      </c>
      <c r="W2267" s="3" t="n">
        <f aca="false">SUM(R2267:T2267)</f>
        <v>0</v>
      </c>
      <c r="X2267" s="22" t="n">
        <v>41793</v>
      </c>
      <c r="Y2267" s="22" t="n">
        <v>41798</v>
      </c>
    </row>
    <row r="2268" customFormat="false" ht="14.25" hidden="false" customHeight="false" outlineLevel="0" collapsed="false">
      <c r="A2268" s="1" t="n">
        <v>2014</v>
      </c>
      <c r="B2268" s="1" t="n">
        <v>1</v>
      </c>
      <c r="C2268" s="2" t="s">
        <v>25</v>
      </c>
      <c r="D2268" s="3" t="s">
        <v>101</v>
      </c>
      <c r="E2268" s="3" t="n">
        <v>1</v>
      </c>
      <c r="F2268" s="1" t="n">
        <f aca="false">Y2268-X2268</f>
        <v>5</v>
      </c>
      <c r="G2268" s="1" t="n">
        <v>5</v>
      </c>
      <c r="H2268" s="3" t="s">
        <v>48</v>
      </c>
      <c r="I2268" s="3" t="s">
        <v>61</v>
      </c>
      <c r="J2268" s="3" t="s">
        <v>82</v>
      </c>
      <c r="K2268" s="2" t="str">
        <f aca="false">CONCATENATE(I2268," ",J2268)</f>
        <v>Trochosa terricola</v>
      </c>
      <c r="L2268" s="3" t="n">
        <f aca="false">SUM(P2268:U2268)</f>
        <v>1</v>
      </c>
      <c r="M2268" s="11" t="n">
        <f aca="false">(L2268/(F2268*G2268)*25)*4</f>
        <v>4</v>
      </c>
      <c r="N2268" s="1" t="s">
        <v>30</v>
      </c>
      <c r="O2268" s="1" t="s">
        <v>35</v>
      </c>
      <c r="P2268" s="3" t="n">
        <v>0</v>
      </c>
      <c r="Q2268" s="3" t="n">
        <v>1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f aca="false">SUM(P2268:Q2268)</f>
        <v>1</v>
      </c>
      <c r="W2268" s="3" t="n">
        <f aca="false">SUM(R2268:T2268)</f>
        <v>0</v>
      </c>
      <c r="X2268" s="22" t="n">
        <v>41793</v>
      </c>
      <c r="Y2268" s="22" t="n">
        <v>41798</v>
      </c>
    </row>
    <row r="2269" customFormat="false" ht="14.25" hidden="false" customHeight="false" outlineLevel="0" collapsed="false">
      <c r="A2269" s="1" t="n">
        <v>2014</v>
      </c>
      <c r="B2269" s="1" t="n">
        <v>1</v>
      </c>
      <c r="C2269" s="2" t="s">
        <v>25</v>
      </c>
      <c r="D2269" s="3" t="s">
        <v>101</v>
      </c>
      <c r="E2269" s="3" t="n">
        <v>1</v>
      </c>
      <c r="F2269" s="1" t="n">
        <f aca="false">Y2269-X2269</f>
        <v>5</v>
      </c>
      <c r="G2269" s="1" t="n">
        <v>5</v>
      </c>
      <c r="H2269" s="3" t="s">
        <v>48</v>
      </c>
      <c r="I2269" s="3" t="s">
        <v>49</v>
      </c>
      <c r="J2269" s="3" t="s">
        <v>104</v>
      </c>
      <c r="K2269" s="2" t="str">
        <f aca="false">CONCATENATE(I2269," ",J2269)</f>
        <v>Alopecosa taeniata</v>
      </c>
      <c r="L2269" s="3" t="n">
        <f aca="false">SUM(P2269:U2269)</f>
        <v>1</v>
      </c>
      <c r="M2269" s="11" t="n">
        <f aca="false">(L2269/(F2269*G2269)*25)*4</f>
        <v>4</v>
      </c>
      <c r="N2269" s="1" t="s">
        <v>30</v>
      </c>
      <c r="O2269" s="1" t="s">
        <v>31</v>
      </c>
      <c r="P2269" s="3" t="n">
        <v>1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f aca="false">SUM(P2269:Q2269)</f>
        <v>1</v>
      </c>
      <c r="W2269" s="3" t="n">
        <f aca="false">SUM(R2269:T2269)</f>
        <v>0</v>
      </c>
      <c r="X2269" s="22" t="n">
        <v>41793</v>
      </c>
      <c r="Y2269" s="22" t="n">
        <v>41798</v>
      </c>
    </row>
    <row r="2270" customFormat="false" ht="14.25" hidden="false" customHeight="false" outlineLevel="0" collapsed="false">
      <c r="A2270" s="1" t="n">
        <v>2014</v>
      </c>
      <c r="B2270" s="1" t="n">
        <v>1</v>
      </c>
      <c r="C2270" s="2" t="s">
        <v>25</v>
      </c>
      <c r="D2270" s="3" t="s">
        <v>101</v>
      </c>
      <c r="E2270" s="3" t="n">
        <v>1</v>
      </c>
      <c r="F2270" s="1" t="n">
        <f aca="false">Y2270-X2270</f>
        <v>5</v>
      </c>
      <c r="G2270" s="1" t="n">
        <v>5</v>
      </c>
      <c r="H2270" s="3" t="s">
        <v>48</v>
      </c>
      <c r="I2270" s="3" t="s">
        <v>49</v>
      </c>
      <c r="J2270" s="3" t="s">
        <v>104</v>
      </c>
      <c r="K2270" s="2" t="str">
        <f aca="false">CONCATENATE(I2270," ",J2270)</f>
        <v>Alopecosa taeniata</v>
      </c>
      <c r="L2270" s="3" t="n">
        <f aca="false">SUM(P2270:U2270)</f>
        <v>1</v>
      </c>
      <c r="M2270" s="11" t="n">
        <f aca="false">(L2270/(F2270*G2270)*25)*4</f>
        <v>4</v>
      </c>
      <c r="N2270" s="1" t="s">
        <v>30</v>
      </c>
      <c r="O2270" s="1" t="s">
        <v>35</v>
      </c>
      <c r="P2270" s="3" t="n">
        <v>0</v>
      </c>
      <c r="Q2270" s="3" t="n">
        <v>1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f aca="false">SUM(P2270:Q2270)</f>
        <v>1</v>
      </c>
      <c r="W2270" s="3" t="n">
        <f aca="false">SUM(R2270:T2270)</f>
        <v>0</v>
      </c>
      <c r="X2270" s="22" t="n">
        <v>41793</v>
      </c>
      <c r="Y2270" s="22" t="n">
        <v>41798</v>
      </c>
    </row>
    <row r="2271" customFormat="false" ht="14.25" hidden="false" customHeight="false" outlineLevel="0" collapsed="false">
      <c r="A2271" s="1" t="n">
        <v>2014</v>
      </c>
      <c r="B2271" s="1" t="n">
        <v>1</v>
      </c>
      <c r="C2271" s="2" t="s">
        <v>25</v>
      </c>
      <c r="D2271" s="3" t="s">
        <v>101</v>
      </c>
      <c r="E2271" s="3" t="n">
        <v>1</v>
      </c>
      <c r="F2271" s="1" t="n">
        <f aca="false">Y2271-X2271</f>
        <v>5</v>
      </c>
      <c r="G2271" s="1" t="n">
        <v>5</v>
      </c>
      <c r="H2271" s="3" t="s">
        <v>48</v>
      </c>
      <c r="I2271" s="3" t="s">
        <v>49</v>
      </c>
      <c r="J2271" s="3" t="s">
        <v>104</v>
      </c>
      <c r="K2271" s="2" t="str">
        <f aca="false">CONCATENATE(I2271," ",J2271)</f>
        <v>Alopecosa taeniata</v>
      </c>
      <c r="L2271" s="3" t="n">
        <f aca="false">SUM(P2271:U2271)</f>
        <v>7</v>
      </c>
      <c r="M2271" s="11" t="n">
        <f aca="false">(L2271/(F2271*G2271)*25)*4</f>
        <v>28</v>
      </c>
      <c r="N2271" s="1" t="s">
        <v>30</v>
      </c>
      <c r="O2271" s="1" t="s">
        <v>31</v>
      </c>
      <c r="P2271" s="3" t="n">
        <v>7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f aca="false">SUM(P2271:Q2271)</f>
        <v>7</v>
      </c>
      <c r="W2271" s="3" t="n">
        <f aca="false">SUM(R2271:T2271)</f>
        <v>0</v>
      </c>
      <c r="X2271" s="22" t="n">
        <v>41793</v>
      </c>
      <c r="Y2271" s="22" t="n">
        <v>41798</v>
      </c>
    </row>
    <row r="2272" customFormat="false" ht="14.25" hidden="false" customHeight="false" outlineLevel="0" collapsed="false">
      <c r="A2272" s="1" t="n">
        <v>2014</v>
      </c>
      <c r="B2272" s="1" t="n">
        <v>1</v>
      </c>
      <c r="C2272" s="2" t="s">
        <v>25</v>
      </c>
      <c r="D2272" s="3" t="s">
        <v>101</v>
      </c>
      <c r="E2272" s="3" t="n">
        <v>1</v>
      </c>
      <c r="F2272" s="1" t="n">
        <f aca="false">Y2272-X2272</f>
        <v>5</v>
      </c>
      <c r="G2272" s="1" t="n">
        <v>5</v>
      </c>
      <c r="H2272" s="3" t="s">
        <v>48</v>
      </c>
      <c r="I2272" s="3" t="s">
        <v>49</v>
      </c>
      <c r="J2272" s="3" t="s">
        <v>104</v>
      </c>
      <c r="K2272" s="2" t="str">
        <f aca="false">CONCATENATE(I2272," ",J2272)</f>
        <v>Alopecosa taeniata</v>
      </c>
      <c r="L2272" s="3" t="n">
        <f aca="false">SUM(P2272:U2272)</f>
        <v>1</v>
      </c>
      <c r="M2272" s="11" t="n">
        <f aca="false">(L2272/(F2272*G2272)*25)*4</f>
        <v>4</v>
      </c>
      <c r="N2272" s="1" t="s">
        <v>30</v>
      </c>
      <c r="O2272" s="1" t="s">
        <v>35</v>
      </c>
      <c r="P2272" s="3" t="n">
        <v>0</v>
      </c>
      <c r="Q2272" s="3" t="n">
        <v>1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f aca="false">SUM(P2272:Q2272)</f>
        <v>1</v>
      </c>
      <c r="W2272" s="3" t="n">
        <f aca="false">SUM(R2272:T2272)</f>
        <v>0</v>
      </c>
      <c r="X2272" s="22" t="n">
        <v>41793</v>
      </c>
      <c r="Y2272" s="22" t="n">
        <v>41798</v>
      </c>
    </row>
    <row r="2273" customFormat="false" ht="14.25" hidden="false" customHeight="false" outlineLevel="0" collapsed="false">
      <c r="A2273" s="1" t="n">
        <v>2014</v>
      </c>
      <c r="B2273" s="1" t="n">
        <v>1</v>
      </c>
      <c r="C2273" s="2" t="s">
        <v>25</v>
      </c>
      <c r="D2273" s="3" t="s">
        <v>101</v>
      </c>
      <c r="E2273" s="3" t="n">
        <v>1</v>
      </c>
      <c r="F2273" s="1" t="n">
        <f aca="false">Y2273-X2273</f>
        <v>5</v>
      </c>
      <c r="G2273" s="1" t="n">
        <v>5</v>
      </c>
      <c r="H2273" s="3" t="s">
        <v>48</v>
      </c>
      <c r="I2273" s="3" t="s">
        <v>49</v>
      </c>
      <c r="J2273" s="3" t="s">
        <v>38</v>
      </c>
      <c r="K2273" s="2" t="str">
        <f aca="false">CONCATENATE(I2273," ",J2273)</f>
        <v>Alopecosa sp</v>
      </c>
      <c r="L2273" s="3" t="n">
        <f aca="false">SUM(P2273:U2273)</f>
        <v>1</v>
      </c>
      <c r="M2273" s="11" t="n">
        <f aca="false">(L2273/(F2273*G2273)*25)*4</f>
        <v>4</v>
      </c>
      <c r="N2273" s="1" t="s">
        <v>19</v>
      </c>
      <c r="O2273" s="1" t="s">
        <v>54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1</v>
      </c>
      <c r="U2273" s="3" t="n">
        <v>0</v>
      </c>
      <c r="V2273" s="3" t="n">
        <f aca="false">SUM(P2273:Q2273)</f>
        <v>0</v>
      </c>
      <c r="W2273" s="3" t="n">
        <f aca="false">SUM(R2273:T2273)</f>
        <v>1</v>
      </c>
      <c r="X2273" s="22" t="n">
        <v>41793</v>
      </c>
      <c r="Y2273" s="22" t="n">
        <v>41798</v>
      </c>
    </row>
    <row r="2274" customFormat="false" ht="14.25" hidden="false" customHeight="false" outlineLevel="0" collapsed="false">
      <c r="A2274" s="1" t="n">
        <v>2014</v>
      </c>
      <c r="B2274" s="1" t="n">
        <v>1</v>
      </c>
      <c r="C2274" s="2" t="s">
        <v>25</v>
      </c>
      <c r="D2274" s="3" t="s">
        <v>101</v>
      </c>
      <c r="E2274" s="3" t="n">
        <v>1</v>
      </c>
      <c r="F2274" s="1" t="n">
        <f aca="false">Y2274-X2274</f>
        <v>5</v>
      </c>
      <c r="G2274" s="1" t="n">
        <v>5</v>
      </c>
      <c r="H2274" s="3" t="s">
        <v>48</v>
      </c>
      <c r="I2274" s="3" t="s">
        <v>67</v>
      </c>
      <c r="J2274" s="3" t="s">
        <v>127</v>
      </c>
      <c r="K2274" s="2" t="str">
        <f aca="false">CONCATENATE(I2274," ",J2274)</f>
        <v>Pardosa lugubris</v>
      </c>
      <c r="L2274" s="3" t="n">
        <f aca="false">SUM(P2274:U2274)</f>
        <v>1</v>
      </c>
      <c r="M2274" s="11" t="n">
        <f aca="false">(L2274/(F2274*G2274)*25)*4</f>
        <v>4</v>
      </c>
      <c r="N2274" s="1" t="s">
        <v>30</v>
      </c>
      <c r="O2274" s="1" t="s">
        <v>35</v>
      </c>
      <c r="P2274" s="3" t="n">
        <v>0</v>
      </c>
      <c r="Q2274" s="3" t="n">
        <v>1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f aca="false">SUM(P2274:Q2274)</f>
        <v>1</v>
      </c>
      <c r="W2274" s="3" t="n">
        <f aca="false">SUM(R2274:T2274)</f>
        <v>0</v>
      </c>
      <c r="X2274" s="22" t="n">
        <v>41793</v>
      </c>
      <c r="Y2274" s="22" t="n">
        <v>41798</v>
      </c>
    </row>
    <row r="2275" customFormat="false" ht="14.25" hidden="false" customHeight="false" outlineLevel="0" collapsed="false">
      <c r="A2275" s="1" t="n">
        <v>2014</v>
      </c>
      <c r="B2275" s="1" t="n">
        <v>1</v>
      </c>
      <c r="C2275" s="2" t="s">
        <v>25</v>
      </c>
      <c r="D2275" s="3" t="s">
        <v>101</v>
      </c>
      <c r="E2275" s="3" t="n">
        <v>1</v>
      </c>
      <c r="F2275" s="1" t="n">
        <f aca="false">Y2275-X2275</f>
        <v>5</v>
      </c>
      <c r="G2275" s="1" t="n">
        <v>5</v>
      </c>
      <c r="H2275" s="3" t="s">
        <v>48</v>
      </c>
      <c r="I2275" s="3" t="s">
        <v>67</v>
      </c>
      <c r="J2275" s="3" t="s">
        <v>127</v>
      </c>
      <c r="K2275" s="2" t="str">
        <f aca="false">CONCATENATE(I2275," ",J2275)</f>
        <v>Pardosa lugubris</v>
      </c>
      <c r="L2275" s="3" t="n">
        <f aca="false">SUM(P2275:U2275)</f>
        <v>1</v>
      </c>
      <c r="M2275" s="11" t="n">
        <f aca="false">(L2275/(F2275*G2275)*25)*4</f>
        <v>4</v>
      </c>
      <c r="N2275" s="1" t="s">
        <v>30</v>
      </c>
      <c r="O2275" s="1" t="s">
        <v>31</v>
      </c>
      <c r="P2275" s="3" t="n">
        <v>1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f aca="false">SUM(P2275:Q2275)</f>
        <v>1</v>
      </c>
      <c r="W2275" s="3" t="n">
        <f aca="false">SUM(R2275:T2275)</f>
        <v>0</v>
      </c>
      <c r="X2275" s="22" t="n">
        <v>41793</v>
      </c>
      <c r="Y2275" s="22" t="n">
        <v>41798</v>
      </c>
    </row>
    <row r="2276" customFormat="false" ht="14.25" hidden="false" customHeight="false" outlineLevel="0" collapsed="false">
      <c r="A2276" s="1" t="n">
        <v>2014</v>
      </c>
      <c r="B2276" s="1" t="n">
        <v>1</v>
      </c>
      <c r="C2276" s="2" t="s">
        <v>25</v>
      </c>
      <c r="D2276" s="3" t="s">
        <v>101</v>
      </c>
      <c r="E2276" s="3" t="n">
        <v>1</v>
      </c>
      <c r="F2276" s="1" t="n">
        <f aca="false">Y2276-X2276</f>
        <v>5</v>
      </c>
      <c r="G2276" s="1" t="n">
        <v>5</v>
      </c>
      <c r="H2276" s="3" t="s">
        <v>72</v>
      </c>
      <c r="I2276" s="3" t="s">
        <v>73</v>
      </c>
      <c r="J2276" s="3" t="s">
        <v>74</v>
      </c>
      <c r="K2276" s="2" t="str">
        <f aca="false">CONCATENATE(I2276," ",J2276)</f>
        <v>Zelotes subterraneus</v>
      </c>
      <c r="L2276" s="3" t="n">
        <f aca="false">SUM(P2276:U2276)</f>
        <v>1</v>
      </c>
      <c r="M2276" s="11" t="n">
        <f aca="false">(L2276/(F2276*G2276)*25)*4</f>
        <v>4</v>
      </c>
      <c r="N2276" s="1" t="s">
        <v>30</v>
      </c>
      <c r="O2276" s="1" t="s">
        <v>35</v>
      </c>
      <c r="P2276" s="3" t="n">
        <v>0</v>
      </c>
      <c r="Q2276" s="3" t="n">
        <v>1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f aca="false">SUM(P2276:Q2276)</f>
        <v>1</v>
      </c>
      <c r="W2276" s="3" t="n">
        <f aca="false">SUM(R2276:T2276)</f>
        <v>0</v>
      </c>
      <c r="X2276" s="22" t="n">
        <v>41793</v>
      </c>
      <c r="Y2276" s="22" t="n">
        <v>41798</v>
      </c>
    </row>
    <row r="2277" customFormat="false" ht="14.25" hidden="false" customHeight="false" outlineLevel="0" collapsed="false">
      <c r="A2277" s="1" t="n">
        <v>2014</v>
      </c>
      <c r="B2277" s="1" t="n">
        <v>1</v>
      </c>
      <c r="C2277" s="2" t="s">
        <v>25</v>
      </c>
      <c r="D2277" s="3" t="s">
        <v>101</v>
      </c>
      <c r="E2277" s="3" t="n">
        <v>1</v>
      </c>
      <c r="F2277" s="1" t="n">
        <f aca="false">Y2277-X2277</f>
        <v>5</v>
      </c>
      <c r="G2277" s="1" t="n">
        <v>5</v>
      </c>
      <c r="H2277" s="3" t="s">
        <v>92</v>
      </c>
      <c r="I2277" s="3" t="s">
        <v>171</v>
      </c>
      <c r="J2277" s="3" t="s">
        <v>172</v>
      </c>
      <c r="K2277" s="2" t="str">
        <f aca="false">CONCATENATE(I2277," ",J2277)</f>
        <v>Euophrys frontalis</v>
      </c>
      <c r="L2277" s="3" t="n">
        <f aca="false">SUM(P2277:U2277)</f>
        <v>1</v>
      </c>
      <c r="M2277" s="11" t="n">
        <f aca="false">(L2277/(F2277*G2277)*25)*4</f>
        <v>4</v>
      </c>
      <c r="N2277" s="1" t="s">
        <v>30</v>
      </c>
      <c r="O2277" s="1" t="s">
        <v>31</v>
      </c>
      <c r="P2277" s="3" t="n">
        <v>1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f aca="false">SUM(P2277:Q2277)</f>
        <v>1</v>
      </c>
      <c r="W2277" s="3" t="n">
        <f aca="false">SUM(R2277:T2277)</f>
        <v>0</v>
      </c>
      <c r="X2277" s="22" t="n">
        <v>41793</v>
      </c>
      <c r="Y2277" s="22" t="n">
        <v>41798</v>
      </c>
    </row>
    <row r="2278" customFormat="false" ht="14.25" hidden="false" customHeight="false" outlineLevel="0" collapsed="false">
      <c r="A2278" s="1" t="n">
        <v>2014</v>
      </c>
      <c r="B2278" s="1" t="n">
        <v>1</v>
      </c>
      <c r="C2278" s="2" t="s">
        <v>25</v>
      </c>
      <c r="D2278" s="3" t="s">
        <v>101</v>
      </c>
      <c r="E2278" s="3" t="n">
        <v>1</v>
      </c>
      <c r="F2278" s="1" t="n">
        <f aca="false">Y2278-X2278</f>
        <v>5</v>
      </c>
      <c r="G2278" s="1" t="n">
        <v>5</v>
      </c>
      <c r="H2278" s="3" t="s">
        <v>226</v>
      </c>
      <c r="I2278" s="3" t="s">
        <v>65</v>
      </c>
      <c r="J2278" s="3" t="s">
        <v>123</v>
      </c>
      <c r="K2278" s="2" t="str">
        <f aca="false">CONCATENATE(I2278," ",J2278)</f>
        <v>Zora nemoralis</v>
      </c>
      <c r="L2278" s="3" t="n">
        <f aca="false">SUM(P2278:U2278)</f>
        <v>1</v>
      </c>
      <c r="M2278" s="11" t="n">
        <f aca="false">(L2278/(F2278*G2278)*25)*4</f>
        <v>4</v>
      </c>
      <c r="N2278" s="1" t="s">
        <v>30</v>
      </c>
      <c r="O2278" s="1" t="s">
        <v>31</v>
      </c>
      <c r="P2278" s="3" t="n">
        <v>1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f aca="false">SUM(P2278:Q2278)</f>
        <v>1</v>
      </c>
      <c r="W2278" s="3" t="n">
        <f aca="false">SUM(R2278:T2278)</f>
        <v>0</v>
      </c>
      <c r="X2278" s="22" t="n">
        <v>41793</v>
      </c>
      <c r="Y2278" s="22" t="n">
        <v>41798</v>
      </c>
    </row>
    <row r="2279" customFormat="false" ht="14.25" hidden="false" customHeight="false" outlineLevel="0" collapsed="false">
      <c r="A2279" s="1" t="n">
        <v>2014</v>
      </c>
      <c r="B2279" s="1" t="n">
        <v>1</v>
      </c>
      <c r="C2279" s="2" t="s">
        <v>25</v>
      </c>
      <c r="D2279" s="3" t="s">
        <v>101</v>
      </c>
      <c r="E2279" s="3" t="n">
        <v>1</v>
      </c>
      <c r="F2279" s="1" t="n">
        <f aca="false">Y2279-X2279</f>
        <v>5</v>
      </c>
      <c r="G2279" s="1" t="n">
        <v>5</v>
      </c>
      <c r="H2279" s="3" t="s">
        <v>32</v>
      </c>
      <c r="I2279" s="3" t="s">
        <v>102</v>
      </c>
      <c r="J2279" s="3" t="s">
        <v>117</v>
      </c>
      <c r="K2279" s="2" t="str">
        <f aca="false">CONCATENATE(I2279," ",J2279)</f>
        <v>Agyneta affinis</v>
      </c>
      <c r="L2279" s="3" t="n">
        <f aca="false">SUM(P2279:U2279)</f>
        <v>1</v>
      </c>
      <c r="M2279" s="11" t="n">
        <f aca="false">(L2279/(F2279*G2279)*25)*4</f>
        <v>4</v>
      </c>
      <c r="N2279" s="1" t="s">
        <v>30</v>
      </c>
      <c r="O2279" s="1" t="s">
        <v>31</v>
      </c>
      <c r="P2279" s="3" t="n">
        <v>1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f aca="false">SUM(P2279:Q2279)</f>
        <v>1</v>
      </c>
      <c r="W2279" s="3" t="n">
        <f aca="false">SUM(R2279:T2279)</f>
        <v>0</v>
      </c>
      <c r="X2279" s="22" t="n">
        <v>41793</v>
      </c>
      <c r="Y2279" s="22" t="n">
        <v>41798</v>
      </c>
    </row>
    <row r="2280" customFormat="false" ht="14.25" hidden="false" customHeight="false" outlineLevel="0" collapsed="false">
      <c r="A2280" s="1" t="n">
        <v>2014</v>
      </c>
      <c r="B2280" s="1" t="n">
        <v>1</v>
      </c>
      <c r="C2280" s="2" t="s">
        <v>25</v>
      </c>
      <c r="D2280" s="3" t="s">
        <v>101</v>
      </c>
      <c r="E2280" s="3" t="n">
        <v>1</v>
      </c>
      <c r="F2280" s="1" t="n">
        <f aca="false">Y2280-X2280</f>
        <v>5</v>
      </c>
      <c r="G2280" s="1" t="n">
        <v>5</v>
      </c>
      <c r="H2280" s="3" t="s">
        <v>48</v>
      </c>
      <c r="I2280" s="3" t="s">
        <v>49</v>
      </c>
      <c r="J2280" s="3" t="s">
        <v>130</v>
      </c>
      <c r="K2280" s="2" t="str">
        <f aca="false">CONCATENATE(I2280," ",J2280)</f>
        <v>Alopecosa aculeata</v>
      </c>
      <c r="L2280" s="3" t="n">
        <f aca="false">SUM(P2280:U2280)</f>
        <v>1</v>
      </c>
      <c r="M2280" s="11" t="n">
        <f aca="false">(L2280/(F2280*G2280)*25)*4</f>
        <v>4</v>
      </c>
      <c r="N2280" s="1" t="s">
        <v>30</v>
      </c>
      <c r="O2280" s="1" t="s">
        <v>31</v>
      </c>
      <c r="P2280" s="3" t="n">
        <v>1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f aca="false">SUM(P2280:Q2280)</f>
        <v>1</v>
      </c>
      <c r="W2280" s="3" t="n">
        <f aca="false">SUM(R2280:T2280)</f>
        <v>0</v>
      </c>
      <c r="X2280" s="22" t="n">
        <v>41793</v>
      </c>
      <c r="Y2280" s="22" t="n">
        <v>41798</v>
      </c>
    </row>
    <row r="2281" customFormat="false" ht="14.25" hidden="false" customHeight="false" outlineLevel="0" collapsed="false">
      <c r="A2281" s="1" t="n">
        <v>2014</v>
      </c>
      <c r="B2281" s="1" t="n">
        <v>1</v>
      </c>
      <c r="C2281" s="2" t="s">
        <v>25</v>
      </c>
      <c r="D2281" s="3" t="s">
        <v>101</v>
      </c>
      <c r="E2281" s="3" t="n">
        <v>1</v>
      </c>
      <c r="F2281" s="1" t="n">
        <f aca="false">Y2281-X2281</f>
        <v>5</v>
      </c>
      <c r="G2281" s="1" t="n">
        <v>5</v>
      </c>
      <c r="H2281" s="3" t="s">
        <v>48</v>
      </c>
      <c r="I2281" s="3" t="s">
        <v>49</v>
      </c>
      <c r="J2281" s="3" t="s">
        <v>104</v>
      </c>
      <c r="K2281" s="2" t="str">
        <f aca="false">CONCATENATE(I2281," ",J2281)</f>
        <v>Alopecosa taeniata</v>
      </c>
      <c r="L2281" s="3" t="n">
        <f aca="false">SUM(P2281:U2281)</f>
        <v>1</v>
      </c>
      <c r="M2281" s="11" t="n">
        <f aca="false">(L2281/(F2281*G2281)*25)*4</f>
        <v>4</v>
      </c>
      <c r="N2281" s="1" t="s">
        <v>30</v>
      </c>
      <c r="O2281" s="1" t="s">
        <v>31</v>
      </c>
      <c r="P2281" s="3" t="n">
        <v>1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f aca="false">SUM(P2281:Q2281)</f>
        <v>1</v>
      </c>
      <c r="W2281" s="3" t="n">
        <f aca="false">SUM(R2281:T2281)</f>
        <v>0</v>
      </c>
      <c r="X2281" s="22" t="n">
        <v>41793</v>
      </c>
      <c r="Y2281" s="22" t="n">
        <v>41798</v>
      </c>
    </row>
    <row r="2282" customFormat="false" ht="14.25" hidden="false" customHeight="false" outlineLevel="0" collapsed="false">
      <c r="A2282" s="1" t="n">
        <v>2014</v>
      </c>
      <c r="B2282" s="1" t="n">
        <v>1</v>
      </c>
      <c r="C2282" s="2" t="s">
        <v>25</v>
      </c>
      <c r="D2282" s="3" t="s">
        <v>101</v>
      </c>
      <c r="E2282" s="3" t="n">
        <v>1</v>
      </c>
      <c r="F2282" s="1" t="n">
        <f aca="false">Y2282-X2282</f>
        <v>5</v>
      </c>
      <c r="G2282" s="1" t="n">
        <v>5</v>
      </c>
      <c r="H2282" s="3" t="s">
        <v>48</v>
      </c>
      <c r="I2282" s="3" t="s">
        <v>49</v>
      </c>
      <c r="J2282" s="3" t="s">
        <v>104</v>
      </c>
      <c r="K2282" s="2" t="str">
        <f aca="false">CONCATENATE(I2282," ",J2282)</f>
        <v>Alopecosa taeniata</v>
      </c>
      <c r="L2282" s="3" t="n">
        <f aca="false">SUM(P2282:U2282)</f>
        <v>2</v>
      </c>
      <c r="M2282" s="11" t="n">
        <f aca="false">(L2282/(F2282*G2282)*25)*4</f>
        <v>8</v>
      </c>
      <c r="N2282" s="1" t="s">
        <v>30</v>
      </c>
      <c r="O2282" s="1" t="s">
        <v>35</v>
      </c>
      <c r="P2282" s="3" t="n">
        <v>0</v>
      </c>
      <c r="Q2282" s="3" t="n">
        <v>2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f aca="false">SUM(P2282:Q2282)</f>
        <v>2</v>
      </c>
      <c r="W2282" s="3" t="n">
        <f aca="false">SUM(R2282:T2282)</f>
        <v>0</v>
      </c>
      <c r="X2282" s="22" t="n">
        <v>41793</v>
      </c>
      <c r="Y2282" s="22" t="n">
        <v>41798</v>
      </c>
    </row>
    <row r="2283" customFormat="false" ht="14.25" hidden="false" customHeight="false" outlineLevel="0" collapsed="false">
      <c r="A2283" s="1" t="n">
        <v>2014</v>
      </c>
      <c r="B2283" s="1" t="n">
        <v>1</v>
      </c>
      <c r="C2283" s="2" t="s">
        <v>25</v>
      </c>
      <c r="D2283" s="3" t="s">
        <v>101</v>
      </c>
      <c r="E2283" s="3" t="n">
        <v>1</v>
      </c>
      <c r="F2283" s="1" t="n">
        <f aca="false">Y2283-X2283</f>
        <v>5</v>
      </c>
      <c r="G2283" s="1" t="n">
        <v>5</v>
      </c>
      <c r="H2283" s="3" t="s">
        <v>48</v>
      </c>
      <c r="I2283" s="3" t="s">
        <v>49</v>
      </c>
      <c r="J2283" s="3" t="s">
        <v>223</v>
      </c>
      <c r="K2283" s="2" t="str">
        <f aca="false">CONCATENATE(I2283," ",J2283)</f>
        <v>Alopecosa pulverulenta</v>
      </c>
      <c r="L2283" s="3" t="n">
        <f aca="false">SUM(P2283:U2283)</f>
        <v>2</v>
      </c>
      <c r="M2283" s="11" t="n">
        <f aca="false">(L2283/(F2283*G2283)*25)*4</f>
        <v>8</v>
      </c>
      <c r="N2283" s="1" t="s">
        <v>30</v>
      </c>
      <c r="O2283" s="1" t="s">
        <v>31</v>
      </c>
      <c r="P2283" s="3" t="n">
        <v>2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f aca="false">SUM(P2283:Q2283)</f>
        <v>2</v>
      </c>
      <c r="W2283" s="3" t="n">
        <f aca="false">SUM(R2283:T2283)</f>
        <v>0</v>
      </c>
      <c r="X2283" s="22" t="n">
        <v>41793</v>
      </c>
      <c r="Y2283" s="22" t="n">
        <v>41798</v>
      </c>
    </row>
    <row r="2284" customFormat="false" ht="14.25" hidden="false" customHeight="false" outlineLevel="0" collapsed="false">
      <c r="A2284" s="1" t="n">
        <v>2014</v>
      </c>
      <c r="B2284" s="1" t="n">
        <v>1</v>
      </c>
      <c r="C2284" s="2" t="s">
        <v>25</v>
      </c>
      <c r="D2284" s="3" t="s">
        <v>101</v>
      </c>
      <c r="E2284" s="3" t="n">
        <v>1</v>
      </c>
      <c r="F2284" s="1" t="n">
        <f aca="false">Y2284-X2284</f>
        <v>5</v>
      </c>
      <c r="G2284" s="1" t="n">
        <v>5</v>
      </c>
      <c r="H2284" s="3" t="s">
        <v>48</v>
      </c>
      <c r="I2284" s="3" t="s">
        <v>49</v>
      </c>
      <c r="J2284" s="3" t="s">
        <v>38</v>
      </c>
      <c r="K2284" s="2" t="str">
        <f aca="false">CONCATENATE(I2284," ",J2284)</f>
        <v>Alopecosa sp</v>
      </c>
      <c r="L2284" s="3" t="n">
        <f aca="false">SUM(P2284:U2284)</f>
        <v>3</v>
      </c>
      <c r="M2284" s="11" t="n">
        <f aca="false">(L2284/(F2284*G2284)*25)*4</f>
        <v>12</v>
      </c>
      <c r="N2284" s="1" t="s">
        <v>19</v>
      </c>
      <c r="O2284" s="1" t="s">
        <v>54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3</v>
      </c>
      <c r="U2284" s="3" t="n">
        <v>0</v>
      </c>
      <c r="V2284" s="3" t="n">
        <f aca="false">SUM(P2284:Q2284)</f>
        <v>0</v>
      </c>
      <c r="W2284" s="3" t="n">
        <f aca="false">SUM(R2284:T2284)</f>
        <v>3</v>
      </c>
      <c r="X2284" s="22" t="n">
        <v>41793</v>
      </c>
      <c r="Y2284" s="22" t="n">
        <v>41798</v>
      </c>
    </row>
    <row r="2285" customFormat="false" ht="14.25" hidden="false" customHeight="false" outlineLevel="0" collapsed="false">
      <c r="A2285" s="1" t="n">
        <v>2014</v>
      </c>
      <c r="B2285" s="1" t="n">
        <v>1</v>
      </c>
      <c r="C2285" s="2" t="s">
        <v>25</v>
      </c>
      <c r="D2285" s="3" t="s">
        <v>101</v>
      </c>
      <c r="E2285" s="3" t="n">
        <v>1</v>
      </c>
      <c r="F2285" s="1" t="n">
        <f aca="false">Y2285-X2285</f>
        <v>5</v>
      </c>
      <c r="G2285" s="1" t="n">
        <v>5</v>
      </c>
      <c r="H2285" s="3" t="s">
        <v>72</v>
      </c>
      <c r="I2285" s="3" t="s">
        <v>73</v>
      </c>
      <c r="J2285" s="3" t="s">
        <v>74</v>
      </c>
      <c r="K2285" s="2" t="str">
        <f aca="false">CONCATENATE(I2285," ",J2285)</f>
        <v>Zelotes subterraneus</v>
      </c>
      <c r="L2285" s="3" t="n">
        <f aca="false">SUM(P2285:U2285)</f>
        <v>1</v>
      </c>
      <c r="M2285" s="11" t="n">
        <f aca="false">(L2285/(F2285*G2285)*25)*4</f>
        <v>4</v>
      </c>
      <c r="N2285" s="1" t="s">
        <v>30</v>
      </c>
      <c r="O2285" s="1" t="s">
        <v>31</v>
      </c>
      <c r="P2285" s="3" t="n">
        <v>1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f aca="false">SUM(P2285:Q2285)</f>
        <v>1</v>
      </c>
      <c r="W2285" s="3" t="n">
        <f aca="false">SUM(R2285:T2285)</f>
        <v>0</v>
      </c>
      <c r="X2285" s="22" t="n">
        <v>41793</v>
      </c>
      <c r="Y2285" s="22" t="n">
        <v>41798</v>
      </c>
    </row>
    <row r="2286" customFormat="false" ht="14.25" hidden="false" customHeight="false" outlineLevel="0" collapsed="false">
      <c r="A2286" s="1" t="n">
        <v>2014</v>
      </c>
      <c r="B2286" s="1" t="n">
        <v>1</v>
      </c>
      <c r="C2286" s="2" t="s">
        <v>25</v>
      </c>
      <c r="D2286" s="3" t="s">
        <v>101</v>
      </c>
      <c r="E2286" s="3" t="n">
        <v>1</v>
      </c>
      <c r="F2286" s="1" t="n">
        <f aca="false">Y2286-X2286</f>
        <v>5</v>
      </c>
      <c r="G2286" s="1" t="n">
        <v>5</v>
      </c>
      <c r="H2286" s="3" t="s">
        <v>226</v>
      </c>
      <c r="I2286" s="3" t="s">
        <v>65</v>
      </c>
      <c r="J2286" s="3" t="s">
        <v>66</v>
      </c>
      <c r="K2286" s="2" t="str">
        <f aca="false">CONCATENATE(I2286," ",J2286)</f>
        <v>Zora Spinimana</v>
      </c>
      <c r="L2286" s="3" t="n">
        <f aca="false">SUM(P2286:U2286)</f>
        <v>1</v>
      </c>
      <c r="M2286" s="11" t="n">
        <f aca="false">(L2286/(F2286*G2286)*25)*4</f>
        <v>4</v>
      </c>
      <c r="N2286" s="1" t="s">
        <v>19</v>
      </c>
      <c r="O2286" s="1" t="s">
        <v>54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1</v>
      </c>
      <c r="U2286" s="3" t="n">
        <v>0</v>
      </c>
      <c r="V2286" s="3" t="n">
        <f aca="false">SUM(P2286:Q2286)</f>
        <v>0</v>
      </c>
      <c r="W2286" s="3" t="n">
        <f aca="false">SUM(R2286:T2286)</f>
        <v>1</v>
      </c>
      <c r="X2286" s="22" t="n">
        <v>41793</v>
      </c>
      <c r="Y2286" s="22" t="n">
        <v>41798</v>
      </c>
    </row>
    <row r="2287" customFormat="false" ht="14.25" hidden="false" customHeight="false" outlineLevel="0" collapsed="false">
      <c r="A2287" s="1" t="n">
        <v>2014</v>
      </c>
      <c r="B2287" s="1" t="n">
        <v>1</v>
      </c>
      <c r="C2287" s="2" t="s">
        <v>25</v>
      </c>
      <c r="D2287" s="3" t="s">
        <v>101</v>
      </c>
      <c r="E2287" s="3" t="n">
        <v>1</v>
      </c>
      <c r="F2287" s="1" t="n">
        <f aca="false">Y2287-X2287</f>
        <v>5</v>
      </c>
      <c r="G2287" s="1" t="n">
        <v>5</v>
      </c>
      <c r="H2287" s="3" t="s">
        <v>32</v>
      </c>
      <c r="I2287" s="3" t="s">
        <v>102</v>
      </c>
      <c r="J2287" s="3" t="s">
        <v>192</v>
      </c>
      <c r="K2287" s="2" t="str">
        <f aca="false">CONCATENATE(I2287," ",J2287)</f>
        <v>Agyneta allosubtilis</v>
      </c>
      <c r="L2287" s="3" t="n">
        <f aca="false">SUM(P2287:U2287)</f>
        <v>1</v>
      </c>
      <c r="M2287" s="11" t="n">
        <f aca="false">(L2287/(F2287*G2287)*25)*4</f>
        <v>4</v>
      </c>
      <c r="N2287" s="1" t="s">
        <v>30</v>
      </c>
      <c r="O2287" s="1" t="s">
        <v>31</v>
      </c>
      <c r="P2287" s="3" t="n">
        <v>1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f aca="false">SUM(P2287:Q2287)</f>
        <v>1</v>
      </c>
      <c r="W2287" s="3" t="n">
        <f aca="false">SUM(R2287:T2287)</f>
        <v>0</v>
      </c>
      <c r="X2287" s="22" t="n">
        <v>41793</v>
      </c>
      <c r="Y2287" s="22" t="n">
        <v>41798</v>
      </c>
    </row>
    <row r="2288" customFormat="false" ht="14.25" hidden="false" customHeight="false" outlineLevel="0" collapsed="false">
      <c r="A2288" s="1" t="n">
        <v>2014</v>
      </c>
      <c r="B2288" s="1" t="n">
        <v>1</v>
      </c>
      <c r="C2288" s="2" t="s">
        <v>25</v>
      </c>
      <c r="D2288" s="3" t="s">
        <v>101</v>
      </c>
      <c r="E2288" s="3" t="n">
        <v>1</v>
      </c>
      <c r="F2288" s="1" t="n">
        <f aca="false">Y2288-X2288</f>
        <v>5</v>
      </c>
      <c r="G2288" s="1" t="n">
        <v>5</v>
      </c>
      <c r="H2288" s="3" t="s">
        <v>32</v>
      </c>
      <c r="I2288" s="3" t="s">
        <v>55</v>
      </c>
      <c r="J2288" s="3" t="s">
        <v>194</v>
      </c>
      <c r="K2288" s="2" t="str">
        <f aca="false">CONCATENATE(I2288," ",J2288)</f>
        <v>Maro pansibiricus</v>
      </c>
      <c r="L2288" s="3" t="n">
        <f aca="false">SUM(P2288:U2288)</f>
        <v>1</v>
      </c>
      <c r="M2288" s="11" t="n">
        <f aca="false">(L2288/(F2288*G2288)*25)*4</f>
        <v>4</v>
      </c>
      <c r="N2288" s="1" t="s">
        <v>30</v>
      </c>
      <c r="O2288" s="1" t="s">
        <v>31</v>
      </c>
      <c r="P2288" s="3" t="n">
        <v>1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f aca="false">SUM(P2288:Q2288)</f>
        <v>1</v>
      </c>
      <c r="W2288" s="3" t="n">
        <f aca="false">SUM(R2288:T2288)</f>
        <v>0</v>
      </c>
      <c r="X2288" s="22" t="n">
        <v>41793</v>
      </c>
      <c r="Y2288" s="22" t="n">
        <v>41798</v>
      </c>
    </row>
    <row r="2289" customFormat="false" ht="14.25" hidden="false" customHeight="false" outlineLevel="0" collapsed="false">
      <c r="A2289" s="1" t="n">
        <v>2014</v>
      </c>
      <c r="B2289" s="1" t="n">
        <v>1</v>
      </c>
      <c r="C2289" s="2" t="s">
        <v>25</v>
      </c>
      <c r="D2289" s="3" t="s">
        <v>101</v>
      </c>
      <c r="E2289" s="3" t="n">
        <v>2</v>
      </c>
      <c r="F2289" s="1" t="n">
        <f aca="false">Y2289-X2289</f>
        <v>5</v>
      </c>
      <c r="G2289" s="1" t="n">
        <v>5</v>
      </c>
      <c r="H2289" s="3" t="s">
        <v>48</v>
      </c>
      <c r="I2289" s="3" t="s">
        <v>49</v>
      </c>
      <c r="J2289" s="3" t="s">
        <v>223</v>
      </c>
      <c r="K2289" s="2" t="str">
        <f aca="false">CONCATENATE(I2289," ",J2289)</f>
        <v>Alopecosa pulverulenta</v>
      </c>
      <c r="L2289" s="3" t="n">
        <f aca="false">SUM(P2289:U2289)</f>
        <v>1</v>
      </c>
      <c r="M2289" s="11" t="n">
        <f aca="false">(L2289/(F2289*G2289)*25)*4</f>
        <v>4</v>
      </c>
      <c r="N2289" s="1" t="s">
        <v>30</v>
      </c>
      <c r="O2289" s="1" t="s">
        <v>31</v>
      </c>
      <c r="P2289" s="3" t="n">
        <v>1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0</v>
      </c>
      <c r="V2289" s="3" t="n">
        <f aca="false">SUM(P2289:Q2289)</f>
        <v>1</v>
      </c>
      <c r="W2289" s="3" t="n">
        <f aca="false">SUM(R2289:T2289)</f>
        <v>0</v>
      </c>
      <c r="X2289" s="22" t="n">
        <v>41793</v>
      </c>
      <c r="Y2289" s="22" t="n">
        <v>41798</v>
      </c>
    </row>
    <row r="2290" customFormat="false" ht="14.25" hidden="false" customHeight="false" outlineLevel="0" collapsed="false">
      <c r="A2290" s="1" t="n">
        <v>2014</v>
      </c>
      <c r="B2290" s="1" t="n">
        <v>1</v>
      </c>
      <c r="C2290" s="2" t="s">
        <v>25</v>
      </c>
      <c r="D2290" s="3" t="s">
        <v>101</v>
      </c>
      <c r="E2290" s="3" t="n">
        <v>2</v>
      </c>
      <c r="F2290" s="1" t="n">
        <f aca="false">Y2290-X2290</f>
        <v>5</v>
      </c>
      <c r="G2290" s="1" t="n">
        <v>5</v>
      </c>
      <c r="H2290" s="3" t="s">
        <v>48</v>
      </c>
      <c r="I2290" s="3" t="s">
        <v>49</v>
      </c>
      <c r="J2290" s="3" t="s">
        <v>38</v>
      </c>
      <c r="K2290" s="2" t="str">
        <f aca="false">CONCATENATE(I2290," ",J2290)</f>
        <v>Alopecosa sp</v>
      </c>
      <c r="L2290" s="3" t="n">
        <f aca="false">SUM(P2290:U2290)</f>
        <v>3</v>
      </c>
      <c r="M2290" s="11" t="n">
        <f aca="false">(L2290/(F2290*G2290)*25)*4</f>
        <v>12</v>
      </c>
      <c r="N2290" s="1" t="s">
        <v>19</v>
      </c>
      <c r="O2290" s="1" t="s">
        <v>54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3</v>
      </c>
      <c r="U2290" s="3" t="n">
        <v>0</v>
      </c>
      <c r="V2290" s="3" t="n">
        <f aca="false">SUM(P2290:Q2290)</f>
        <v>0</v>
      </c>
      <c r="W2290" s="3" t="n">
        <f aca="false">SUM(R2290:T2290)</f>
        <v>3</v>
      </c>
      <c r="X2290" s="22" t="n">
        <v>41793</v>
      </c>
      <c r="Y2290" s="22" t="n">
        <v>41798</v>
      </c>
    </row>
    <row r="2291" customFormat="false" ht="14.25" hidden="false" customHeight="false" outlineLevel="0" collapsed="false">
      <c r="A2291" s="1" t="n">
        <v>2014</v>
      </c>
      <c r="B2291" s="1" t="n">
        <v>1</v>
      </c>
      <c r="C2291" s="2" t="s">
        <v>25</v>
      </c>
      <c r="D2291" s="3" t="s">
        <v>101</v>
      </c>
      <c r="E2291" s="3" t="n">
        <v>2</v>
      </c>
      <c r="F2291" s="1" t="n">
        <f aca="false">Y2291-X2291</f>
        <v>5</v>
      </c>
      <c r="G2291" s="1" t="n">
        <v>5</v>
      </c>
      <c r="H2291" s="3" t="s">
        <v>48</v>
      </c>
      <c r="I2291" s="3" t="s">
        <v>67</v>
      </c>
      <c r="J2291" s="3" t="s">
        <v>127</v>
      </c>
      <c r="K2291" s="2" t="str">
        <f aca="false">CONCATENATE(I2291," ",J2291)</f>
        <v>Pardosa lugubris</v>
      </c>
      <c r="L2291" s="3" t="n">
        <f aca="false">SUM(P2291:U2291)</f>
        <v>1</v>
      </c>
      <c r="M2291" s="11" t="n">
        <f aca="false">(L2291/(F2291*G2291)*25)*4</f>
        <v>4</v>
      </c>
      <c r="N2291" s="1" t="s">
        <v>30</v>
      </c>
      <c r="O2291" s="1" t="s">
        <v>31</v>
      </c>
      <c r="P2291" s="3" t="n">
        <v>1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f aca="false">SUM(P2291:Q2291)</f>
        <v>1</v>
      </c>
      <c r="W2291" s="3" t="n">
        <f aca="false">SUM(R2291:T2291)</f>
        <v>0</v>
      </c>
      <c r="X2291" s="22" t="n">
        <v>41793</v>
      </c>
      <c r="Y2291" s="22" t="n">
        <v>41798</v>
      </c>
    </row>
    <row r="2292" customFormat="false" ht="14.25" hidden="false" customHeight="false" outlineLevel="0" collapsed="false">
      <c r="A2292" s="1" t="n">
        <v>2014</v>
      </c>
      <c r="B2292" s="1" t="n">
        <v>1</v>
      </c>
      <c r="C2292" s="2" t="s">
        <v>25</v>
      </c>
      <c r="D2292" s="3" t="s">
        <v>101</v>
      </c>
      <c r="E2292" s="3" t="n">
        <v>2</v>
      </c>
      <c r="F2292" s="1" t="n">
        <f aca="false">Y2292-X2292</f>
        <v>5</v>
      </c>
      <c r="G2292" s="1" t="n">
        <v>5</v>
      </c>
      <c r="H2292" s="3" t="s">
        <v>72</v>
      </c>
      <c r="I2292" s="3" t="s">
        <v>73</v>
      </c>
      <c r="J2292" s="3" t="s">
        <v>38</v>
      </c>
      <c r="K2292" s="2" t="str">
        <f aca="false">CONCATENATE(I2292," ",J2292)</f>
        <v>Zelotes sp</v>
      </c>
      <c r="L2292" s="3" t="n">
        <f aca="false">SUM(P2292:U2292)</f>
        <v>1</v>
      </c>
      <c r="M2292" s="11" t="n">
        <f aca="false">(L2292/(F2292*G2292)*25)*4</f>
        <v>4</v>
      </c>
      <c r="N2292" s="1" t="s">
        <v>19</v>
      </c>
      <c r="O2292" s="1" t="s">
        <v>31</v>
      </c>
      <c r="P2292" s="3" t="n">
        <v>0</v>
      </c>
      <c r="Q2292" s="3" t="n">
        <v>0</v>
      </c>
      <c r="R2292" s="3" t="n">
        <v>1</v>
      </c>
      <c r="S2292" s="3" t="n">
        <v>0</v>
      </c>
      <c r="T2292" s="3" t="n">
        <v>0</v>
      </c>
      <c r="U2292" s="3" t="n">
        <v>0</v>
      </c>
      <c r="V2292" s="3" t="n">
        <f aca="false">SUM(P2292:Q2292)</f>
        <v>0</v>
      </c>
      <c r="W2292" s="3" t="n">
        <f aca="false">SUM(R2292:T2292)</f>
        <v>1</v>
      </c>
      <c r="X2292" s="22" t="n">
        <v>41793</v>
      </c>
      <c r="Y2292" s="22" t="n">
        <v>41798</v>
      </c>
    </row>
    <row r="2293" customFormat="false" ht="14.25" hidden="false" customHeight="false" outlineLevel="0" collapsed="false">
      <c r="A2293" s="1" t="n">
        <v>2014</v>
      </c>
      <c r="B2293" s="1" t="n">
        <v>1</v>
      </c>
      <c r="C2293" s="2" t="s">
        <v>25</v>
      </c>
      <c r="D2293" s="3" t="s">
        <v>101</v>
      </c>
      <c r="E2293" s="3" t="n">
        <v>2</v>
      </c>
      <c r="F2293" s="1" t="n">
        <f aca="false">Y2293-X2293</f>
        <v>5</v>
      </c>
      <c r="G2293" s="1" t="n">
        <v>5</v>
      </c>
      <c r="H2293" s="3" t="s">
        <v>72</v>
      </c>
      <c r="I2293" s="3" t="s">
        <v>86</v>
      </c>
      <c r="J2293" s="3" t="s">
        <v>87</v>
      </c>
      <c r="K2293" s="2" t="str">
        <f aca="false">CONCATENATE(I2293," ",J2293)</f>
        <v>Haplodrassus soerenseni</v>
      </c>
      <c r="L2293" s="3" t="n">
        <f aca="false">SUM(P2293:U2293)</f>
        <v>1</v>
      </c>
      <c r="M2293" s="11" t="n">
        <f aca="false">(L2293/(F2293*G2293)*25)*4</f>
        <v>4</v>
      </c>
      <c r="N2293" s="1" t="s">
        <v>30</v>
      </c>
      <c r="O2293" s="1" t="s">
        <v>31</v>
      </c>
      <c r="P2293" s="3" t="n">
        <v>1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0</v>
      </c>
      <c r="V2293" s="3" t="n">
        <f aca="false">SUM(P2293:Q2293)</f>
        <v>1</v>
      </c>
      <c r="W2293" s="3" t="n">
        <f aca="false">SUM(R2293:T2293)</f>
        <v>0</v>
      </c>
      <c r="X2293" s="22" t="n">
        <v>41793</v>
      </c>
      <c r="Y2293" s="22" t="n">
        <v>41798</v>
      </c>
    </row>
    <row r="2294" customFormat="false" ht="14.25" hidden="false" customHeight="false" outlineLevel="0" collapsed="false">
      <c r="A2294" s="1" t="n">
        <v>2014</v>
      </c>
      <c r="B2294" s="1" t="n">
        <v>1</v>
      </c>
      <c r="C2294" s="2" t="s">
        <v>25</v>
      </c>
      <c r="D2294" s="3" t="s">
        <v>101</v>
      </c>
      <c r="E2294" s="3" t="n">
        <v>2</v>
      </c>
      <c r="F2294" s="1" t="n">
        <f aca="false">Y2294-X2294</f>
        <v>5</v>
      </c>
      <c r="G2294" s="1" t="n">
        <v>5</v>
      </c>
      <c r="H2294" s="3" t="s">
        <v>36</v>
      </c>
      <c r="I2294" s="3" t="s">
        <v>131</v>
      </c>
      <c r="J2294" s="3" t="s">
        <v>133</v>
      </c>
      <c r="K2294" s="2" t="str">
        <f aca="false">CONCATENATE(I2294," ",J2294)</f>
        <v>Xysticus luctuosus</v>
      </c>
      <c r="L2294" s="3" t="n">
        <f aca="false">SUM(P2294:U2294)</f>
        <v>1</v>
      </c>
      <c r="M2294" s="11" t="n">
        <f aca="false">(L2294/(F2294*G2294)*25)*4</f>
        <v>4</v>
      </c>
      <c r="N2294" s="1" t="s">
        <v>30</v>
      </c>
      <c r="O2294" s="1" t="s">
        <v>31</v>
      </c>
      <c r="P2294" s="3" t="n">
        <v>1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f aca="false">SUM(P2294:Q2294)</f>
        <v>1</v>
      </c>
      <c r="W2294" s="3" t="n">
        <f aca="false">SUM(R2294:T2294)</f>
        <v>0</v>
      </c>
      <c r="X2294" s="22" t="n">
        <v>41793</v>
      </c>
      <c r="Y2294" s="22" t="n">
        <v>41798</v>
      </c>
    </row>
    <row r="2295" customFormat="false" ht="14.25" hidden="false" customHeight="false" outlineLevel="0" collapsed="false">
      <c r="A2295" s="1" t="n">
        <v>2014</v>
      </c>
      <c r="B2295" s="1" t="n">
        <v>1</v>
      </c>
      <c r="C2295" s="2" t="s">
        <v>25</v>
      </c>
      <c r="D2295" s="3" t="s">
        <v>101</v>
      </c>
      <c r="E2295" s="3" t="n">
        <v>2</v>
      </c>
      <c r="F2295" s="1" t="n">
        <f aca="false">Y2295-X2295</f>
        <v>5</v>
      </c>
      <c r="G2295" s="1" t="n">
        <v>5</v>
      </c>
      <c r="H2295" s="3" t="s">
        <v>32</v>
      </c>
      <c r="I2295" s="3" t="s">
        <v>169</v>
      </c>
      <c r="J2295" s="3" t="s">
        <v>170</v>
      </c>
      <c r="K2295" s="2" t="str">
        <f aca="false">CONCATENATE(I2295," ",J2295)</f>
        <v>Abacoproeces saltuum</v>
      </c>
      <c r="L2295" s="3" t="n">
        <f aca="false">SUM(P2295:U2295)</f>
        <v>1</v>
      </c>
      <c r="M2295" s="11" t="n">
        <f aca="false">(L2295/(F2295*G2295)*25)*4</f>
        <v>4</v>
      </c>
      <c r="N2295" s="1" t="s">
        <v>30</v>
      </c>
      <c r="O2295" s="1" t="s">
        <v>31</v>
      </c>
      <c r="P2295" s="3" t="n">
        <v>1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f aca="false">SUM(P2295:Q2295)</f>
        <v>1</v>
      </c>
      <c r="W2295" s="3" t="n">
        <f aca="false">SUM(R2295:T2295)</f>
        <v>0</v>
      </c>
      <c r="X2295" s="22" t="n">
        <v>41793</v>
      </c>
      <c r="Y2295" s="22" t="n">
        <v>41798</v>
      </c>
    </row>
    <row r="2296" customFormat="false" ht="14.25" hidden="false" customHeight="false" outlineLevel="0" collapsed="false">
      <c r="A2296" s="1" t="n">
        <v>2014</v>
      </c>
      <c r="B2296" s="1" t="n">
        <v>1</v>
      </c>
      <c r="C2296" s="2" t="s">
        <v>25</v>
      </c>
      <c r="D2296" s="3" t="s">
        <v>101</v>
      </c>
      <c r="E2296" s="3" t="n">
        <v>2</v>
      </c>
      <c r="F2296" s="1" t="n">
        <f aca="false">Y2296-X2296</f>
        <v>5</v>
      </c>
      <c r="G2296" s="1" t="n">
        <v>5</v>
      </c>
      <c r="H2296" s="3" t="s">
        <v>32</v>
      </c>
      <c r="I2296" s="3" t="s">
        <v>102</v>
      </c>
      <c r="J2296" s="3" t="s">
        <v>192</v>
      </c>
      <c r="K2296" s="2" t="str">
        <f aca="false">CONCATENATE(I2296," ",J2296)</f>
        <v>Agyneta allosubtilis</v>
      </c>
      <c r="L2296" s="3" t="n">
        <f aca="false">SUM(P2296:U2296)</f>
        <v>1</v>
      </c>
      <c r="M2296" s="11" t="n">
        <f aca="false">(L2296/(F2296*G2296)*25)*4</f>
        <v>4</v>
      </c>
      <c r="N2296" s="1" t="s">
        <v>30</v>
      </c>
      <c r="O2296" s="1" t="s">
        <v>35</v>
      </c>
      <c r="P2296" s="3" t="n">
        <v>0</v>
      </c>
      <c r="Q2296" s="3" t="n">
        <v>1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f aca="false">SUM(P2296:Q2296)</f>
        <v>1</v>
      </c>
      <c r="W2296" s="3" t="n">
        <f aca="false">SUM(R2296:T2296)</f>
        <v>0</v>
      </c>
      <c r="X2296" s="22" t="n">
        <v>41793</v>
      </c>
      <c r="Y2296" s="22" t="n">
        <v>41798</v>
      </c>
    </row>
    <row r="2297" customFormat="false" ht="14.25" hidden="false" customHeight="false" outlineLevel="0" collapsed="false">
      <c r="A2297" s="1" t="n">
        <v>2014</v>
      </c>
      <c r="B2297" s="1" t="n">
        <v>1</v>
      </c>
      <c r="C2297" s="2" t="s">
        <v>25</v>
      </c>
      <c r="D2297" s="3" t="s">
        <v>101</v>
      </c>
      <c r="E2297" s="3" t="n">
        <v>3</v>
      </c>
      <c r="F2297" s="1" t="n">
        <f aca="false">Y2297-X2297</f>
        <v>5</v>
      </c>
      <c r="G2297" s="1" t="n">
        <v>5</v>
      </c>
      <c r="H2297" s="3" t="s">
        <v>48</v>
      </c>
      <c r="I2297" s="3" t="s">
        <v>49</v>
      </c>
      <c r="J2297" s="3" t="s">
        <v>104</v>
      </c>
      <c r="K2297" s="2" t="str">
        <f aca="false">CONCATENATE(I2297," ",J2297)</f>
        <v>Alopecosa taeniata</v>
      </c>
      <c r="L2297" s="3" t="n">
        <f aca="false">SUM(P2297:U2297)</f>
        <v>2</v>
      </c>
      <c r="M2297" s="11" t="n">
        <f aca="false">(L2297/(F2297*G2297)*25)*4</f>
        <v>8</v>
      </c>
      <c r="N2297" s="1" t="s">
        <v>30</v>
      </c>
      <c r="O2297" s="1" t="s">
        <v>35</v>
      </c>
      <c r="P2297" s="3" t="n">
        <v>0</v>
      </c>
      <c r="Q2297" s="3" t="n">
        <v>2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f aca="false">SUM(P2297:Q2297)</f>
        <v>2</v>
      </c>
      <c r="W2297" s="3" t="n">
        <f aca="false">SUM(R2297:T2297)</f>
        <v>0</v>
      </c>
      <c r="X2297" s="22" t="n">
        <v>41793</v>
      </c>
      <c r="Y2297" s="22" t="n">
        <v>41798</v>
      </c>
    </row>
    <row r="2298" customFormat="false" ht="14.25" hidden="false" customHeight="false" outlineLevel="0" collapsed="false">
      <c r="A2298" s="1" t="n">
        <v>2014</v>
      </c>
      <c r="B2298" s="1" t="n">
        <v>1</v>
      </c>
      <c r="C2298" s="2" t="s">
        <v>25</v>
      </c>
      <c r="D2298" s="3" t="s">
        <v>101</v>
      </c>
      <c r="E2298" s="3" t="n">
        <v>3</v>
      </c>
      <c r="F2298" s="1" t="n">
        <f aca="false">Y2298-X2298</f>
        <v>5</v>
      </c>
      <c r="G2298" s="1" t="n">
        <v>5</v>
      </c>
      <c r="H2298" s="3" t="s">
        <v>48</v>
      </c>
      <c r="I2298" s="3" t="s">
        <v>67</v>
      </c>
      <c r="J2298" s="3" t="s">
        <v>127</v>
      </c>
      <c r="K2298" s="2" t="str">
        <f aca="false">CONCATENATE(I2298," ",J2298)</f>
        <v>Pardosa lugubris</v>
      </c>
      <c r="L2298" s="3" t="n">
        <f aca="false">SUM(P2298:U2298)</f>
        <v>1</v>
      </c>
      <c r="M2298" s="11" t="n">
        <f aca="false">(L2298/(F2298*G2298)*25)*4</f>
        <v>4</v>
      </c>
      <c r="N2298" s="1" t="s">
        <v>30</v>
      </c>
      <c r="O2298" s="1" t="s">
        <v>31</v>
      </c>
      <c r="P2298" s="3" t="n">
        <v>1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f aca="false">SUM(P2298:Q2298)</f>
        <v>1</v>
      </c>
      <c r="W2298" s="3" t="n">
        <f aca="false">SUM(R2298:T2298)</f>
        <v>0</v>
      </c>
      <c r="X2298" s="22" t="n">
        <v>41793</v>
      </c>
      <c r="Y2298" s="22" t="n">
        <v>41798</v>
      </c>
    </row>
    <row r="2299" customFormat="false" ht="14.25" hidden="false" customHeight="false" outlineLevel="0" collapsed="false">
      <c r="A2299" s="1" t="n">
        <v>2014</v>
      </c>
      <c r="B2299" s="1" t="n">
        <v>1</v>
      </c>
      <c r="C2299" s="2" t="s">
        <v>25</v>
      </c>
      <c r="D2299" s="3" t="s">
        <v>101</v>
      </c>
      <c r="E2299" s="3" t="n">
        <v>3</v>
      </c>
      <c r="F2299" s="1" t="n">
        <f aca="false">Y2299-X2299</f>
        <v>5</v>
      </c>
      <c r="G2299" s="1" t="n">
        <v>5</v>
      </c>
      <c r="H2299" s="3" t="s">
        <v>48</v>
      </c>
      <c r="I2299" s="3" t="s">
        <v>67</v>
      </c>
      <c r="J2299" s="3" t="s">
        <v>127</v>
      </c>
      <c r="K2299" s="2" t="str">
        <f aca="false">CONCATENATE(I2299," ",J2299)</f>
        <v>Pardosa lugubris</v>
      </c>
      <c r="L2299" s="3" t="n">
        <f aca="false">SUM(P2299:U2299)</f>
        <v>1</v>
      </c>
      <c r="M2299" s="11" t="n">
        <f aca="false">(L2299/(F2299*G2299)*25)*4</f>
        <v>4</v>
      </c>
      <c r="N2299" s="1" t="s">
        <v>30</v>
      </c>
      <c r="O2299" s="1" t="s">
        <v>35</v>
      </c>
      <c r="P2299" s="3" t="n">
        <v>0</v>
      </c>
      <c r="Q2299" s="3" t="n">
        <v>1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f aca="false">SUM(P2299:Q2299)</f>
        <v>1</v>
      </c>
      <c r="W2299" s="3" t="n">
        <f aca="false">SUM(R2299:T2299)</f>
        <v>0</v>
      </c>
      <c r="X2299" s="22" t="n">
        <v>41793</v>
      </c>
      <c r="Y2299" s="22" t="n">
        <v>41798</v>
      </c>
    </row>
    <row r="2300" customFormat="false" ht="14.25" hidden="false" customHeight="false" outlineLevel="0" collapsed="false">
      <c r="A2300" s="1" t="n">
        <v>2014</v>
      </c>
      <c r="B2300" s="1" t="n">
        <v>1</v>
      </c>
      <c r="C2300" s="2" t="s">
        <v>25</v>
      </c>
      <c r="D2300" s="3" t="s">
        <v>101</v>
      </c>
      <c r="E2300" s="3" t="n">
        <v>3</v>
      </c>
      <c r="F2300" s="1" t="n">
        <f aca="false">Y2300-X2300</f>
        <v>5</v>
      </c>
      <c r="G2300" s="1" t="n">
        <v>5</v>
      </c>
      <c r="H2300" s="3" t="s">
        <v>48</v>
      </c>
      <c r="I2300" s="3" t="s">
        <v>61</v>
      </c>
      <c r="J2300" s="3" t="s">
        <v>38</v>
      </c>
      <c r="K2300" s="2" t="str">
        <f aca="false">CONCATENATE(I2300," ",J2300)</f>
        <v>Trochosa sp</v>
      </c>
      <c r="L2300" s="3" t="n">
        <f aca="false">SUM(P2300:U2300)</f>
        <v>1</v>
      </c>
      <c r="M2300" s="11" t="n">
        <f aca="false">(L2300/(F2300*G2300)*25)*4</f>
        <v>4</v>
      </c>
      <c r="N2300" s="1" t="s">
        <v>19</v>
      </c>
      <c r="O2300" s="1" t="s">
        <v>54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1</v>
      </c>
      <c r="U2300" s="3" t="n">
        <v>0</v>
      </c>
      <c r="V2300" s="3" t="n">
        <f aca="false">SUM(P2300:Q2300)</f>
        <v>0</v>
      </c>
      <c r="W2300" s="3" t="n">
        <f aca="false">SUM(R2300:T2300)</f>
        <v>1</v>
      </c>
      <c r="X2300" s="22" t="n">
        <v>41793</v>
      </c>
      <c r="Y2300" s="22" t="n">
        <v>41798</v>
      </c>
    </row>
    <row r="2301" customFormat="false" ht="14.25" hidden="false" customHeight="false" outlineLevel="0" collapsed="false">
      <c r="A2301" s="1" t="n">
        <v>2014</v>
      </c>
      <c r="B2301" s="1" t="n">
        <v>1</v>
      </c>
      <c r="C2301" s="2" t="s">
        <v>25</v>
      </c>
      <c r="D2301" s="3" t="s">
        <v>101</v>
      </c>
      <c r="E2301" s="3" t="n">
        <v>3</v>
      </c>
      <c r="F2301" s="1" t="n">
        <f aca="false">Y2301-X2301</f>
        <v>5</v>
      </c>
      <c r="G2301" s="1" t="n">
        <v>5</v>
      </c>
      <c r="H2301" s="3" t="s">
        <v>226</v>
      </c>
      <c r="I2301" s="3" t="s">
        <v>65</v>
      </c>
      <c r="J2301" s="3" t="s">
        <v>123</v>
      </c>
      <c r="K2301" s="2" t="str">
        <f aca="false">CONCATENATE(I2301," ",J2301)</f>
        <v>Zora nemoralis</v>
      </c>
      <c r="L2301" s="3" t="n">
        <f aca="false">SUM(P2301:U2301)</f>
        <v>2</v>
      </c>
      <c r="M2301" s="11" t="n">
        <f aca="false">(L2301/(F2301*G2301)*25)*4</f>
        <v>8</v>
      </c>
      <c r="N2301" s="1" t="s">
        <v>30</v>
      </c>
      <c r="O2301" s="1" t="s">
        <v>31</v>
      </c>
      <c r="P2301" s="3" t="n">
        <v>2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f aca="false">SUM(P2301:Q2301)</f>
        <v>2</v>
      </c>
      <c r="W2301" s="3" t="n">
        <f aca="false">SUM(R2301:T2301)</f>
        <v>0</v>
      </c>
      <c r="X2301" s="22" t="n">
        <v>41793</v>
      </c>
      <c r="Y2301" s="22" t="n">
        <v>41798</v>
      </c>
    </row>
    <row r="2302" customFormat="false" ht="14.25" hidden="false" customHeight="false" outlineLevel="0" collapsed="false">
      <c r="A2302" s="1" t="n">
        <v>2014</v>
      </c>
      <c r="B2302" s="1" t="n">
        <v>1</v>
      </c>
      <c r="C2302" s="2" t="s">
        <v>25</v>
      </c>
      <c r="D2302" s="3" t="s">
        <v>101</v>
      </c>
      <c r="E2302" s="3" t="n">
        <v>3</v>
      </c>
      <c r="F2302" s="1" t="n">
        <f aca="false">Y2302-X2302</f>
        <v>5</v>
      </c>
      <c r="G2302" s="1" t="n">
        <v>5</v>
      </c>
      <c r="H2302" s="3" t="s">
        <v>32</v>
      </c>
      <c r="I2302" s="3" t="s">
        <v>102</v>
      </c>
      <c r="J2302" s="3" t="s">
        <v>192</v>
      </c>
      <c r="K2302" s="2" t="str">
        <f aca="false">CONCATENATE(I2302," ",J2302)</f>
        <v>Agyneta allosubtilis</v>
      </c>
      <c r="L2302" s="3" t="n">
        <f aca="false">SUM(P2302:U2302)</f>
        <v>1</v>
      </c>
      <c r="M2302" s="11" t="n">
        <f aca="false">(L2302/(F2302*G2302)*25)*4</f>
        <v>4</v>
      </c>
      <c r="N2302" s="1" t="s">
        <v>30</v>
      </c>
      <c r="O2302" s="1" t="s">
        <v>31</v>
      </c>
      <c r="P2302" s="3" t="n">
        <v>1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f aca="false">SUM(P2302:Q2302)</f>
        <v>1</v>
      </c>
      <c r="W2302" s="3" t="n">
        <f aca="false">SUM(R2302:T2302)</f>
        <v>0</v>
      </c>
      <c r="X2302" s="22" t="n">
        <v>41793</v>
      </c>
      <c r="Y2302" s="22" t="n">
        <v>41798</v>
      </c>
    </row>
    <row r="2303" customFormat="false" ht="14.25" hidden="false" customHeight="false" outlineLevel="0" collapsed="false">
      <c r="A2303" s="1" t="n">
        <v>2014</v>
      </c>
      <c r="B2303" s="1" t="n">
        <v>1</v>
      </c>
      <c r="C2303" s="2" t="s">
        <v>25</v>
      </c>
      <c r="D2303" s="3" t="s">
        <v>101</v>
      </c>
      <c r="E2303" s="3" t="n">
        <v>3</v>
      </c>
      <c r="F2303" s="1" t="n">
        <f aca="false">Y2303-X2303</f>
        <v>5</v>
      </c>
      <c r="G2303" s="1" t="n">
        <v>5</v>
      </c>
      <c r="H2303" s="3" t="s">
        <v>32</v>
      </c>
      <c r="I2303" s="3" t="s">
        <v>169</v>
      </c>
      <c r="J2303" s="3" t="s">
        <v>170</v>
      </c>
      <c r="K2303" s="2" t="str">
        <f aca="false">CONCATENATE(I2303," ",J2303)</f>
        <v>Abacoproeces saltuum</v>
      </c>
      <c r="L2303" s="3" t="n">
        <f aca="false">SUM(P2303:U2303)</f>
        <v>1</v>
      </c>
      <c r="M2303" s="11" t="n">
        <f aca="false">(L2303/(F2303*G2303)*25)*4</f>
        <v>4</v>
      </c>
      <c r="N2303" s="1" t="s">
        <v>30</v>
      </c>
      <c r="O2303" s="1" t="s">
        <v>31</v>
      </c>
      <c r="P2303" s="3" t="n">
        <v>1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f aca="false">SUM(P2303:Q2303)</f>
        <v>1</v>
      </c>
      <c r="W2303" s="3" t="n">
        <f aca="false">SUM(R2303:T2303)</f>
        <v>0</v>
      </c>
      <c r="X2303" s="22" t="n">
        <v>41793</v>
      </c>
      <c r="Y2303" s="22" t="n">
        <v>41798</v>
      </c>
    </row>
    <row r="2304" customFormat="false" ht="14.25" hidden="false" customHeight="false" outlineLevel="0" collapsed="false">
      <c r="A2304" s="1" t="n">
        <v>2014</v>
      </c>
      <c r="B2304" s="1" t="n">
        <v>1</v>
      </c>
      <c r="C2304" s="2" t="s">
        <v>25</v>
      </c>
      <c r="D2304" s="3" t="s">
        <v>101</v>
      </c>
      <c r="E2304" s="3" t="n">
        <v>3</v>
      </c>
      <c r="F2304" s="1" t="n">
        <f aca="false">Y2304-X2304</f>
        <v>5</v>
      </c>
      <c r="G2304" s="1" t="n">
        <v>5</v>
      </c>
      <c r="H2304" s="3" t="s">
        <v>32</v>
      </c>
      <c r="I2304" s="3" t="s">
        <v>169</v>
      </c>
      <c r="J2304" s="3" t="s">
        <v>170</v>
      </c>
      <c r="K2304" s="2" t="str">
        <f aca="false">CONCATENATE(I2304," ",J2304)</f>
        <v>Abacoproeces saltuum</v>
      </c>
      <c r="L2304" s="3" t="n">
        <f aca="false">SUM(P2304:U2304)</f>
        <v>1</v>
      </c>
      <c r="M2304" s="11" t="n">
        <f aca="false">(L2304/(F2304*G2304)*25)*4</f>
        <v>4</v>
      </c>
      <c r="N2304" s="1" t="s">
        <v>30</v>
      </c>
      <c r="O2304" s="1" t="s">
        <v>35</v>
      </c>
      <c r="P2304" s="3" t="n">
        <v>0</v>
      </c>
      <c r="Q2304" s="3" t="n">
        <v>1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f aca="false">SUM(P2304:Q2304)</f>
        <v>1</v>
      </c>
      <c r="W2304" s="3" t="n">
        <f aca="false">SUM(R2304:T2304)</f>
        <v>0</v>
      </c>
      <c r="X2304" s="22" t="n">
        <v>41793</v>
      </c>
      <c r="Y2304" s="22" t="n">
        <v>41798</v>
      </c>
    </row>
    <row r="2305" customFormat="false" ht="14.25" hidden="false" customHeight="false" outlineLevel="0" collapsed="false">
      <c r="A2305" s="1" t="n">
        <v>2014</v>
      </c>
      <c r="B2305" s="1" t="n">
        <v>1</v>
      </c>
      <c r="C2305" s="2" t="s">
        <v>25</v>
      </c>
      <c r="D2305" s="3" t="s">
        <v>101</v>
      </c>
      <c r="E2305" s="3" t="n">
        <v>3</v>
      </c>
      <c r="F2305" s="1" t="n">
        <f aca="false">Y2305-X2305</f>
        <v>5</v>
      </c>
      <c r="G2305" s="1" t="n">
        <v>5</v>
      </c>
      <c r="H2305" s="3" t="s">
        <v>32</v>
      </c>
      <c r="I2305" s="3" t="s">
        <v>57</v>
      </c>
      <c r="J2305" s="3" t="s">
        <v>38</v>
      </c>
      <c r="K2305" s="2" t="str">
        <f aca="false">CONCATENATE(I2305," ",J2305)</f>
        <v>Gen sp</v>
      </c>
      <c r="L2305" s="3" t="n">
        <f aca="false">SUM(P2305:U2305)</f>
        <v>1</v>
      </c>
      <c r="M2305" s="11" t="n">
        <f aca="false">(L2305/(F2305*G2305)*25)*4</f>
        <v>4</v>
      </c>
      <c r="N2305" s="1" t="s">
        <v>19</v>
      </c>
      <c r="O2305" s="1" t="s">
        <v>54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1</v>
      </c>
      <c r="U2305" s="3" t="n">
        <v>0</v>
      </c>
      <c r="V2305" s="3" t="n">
        <f aca="false">SUM(P2305:Q2305)</f>
        <v>0</v>
      </c>
      <c r="W2305" s="3" t="n">
        <f aca="false">SUM(R2305:T2305)</f>
        <v>1</v>
      </c>
      <c r="X2305" s="22" t="n">
        <v>41793</v>
      </c>
      <c r="Y2305" s="22" t="n">
        <v>41798</v>
      </c>
    </row>
    <row r="2306" customFormat="false" ht="14.25" hidden="false" customHeight="false" outlineLevel="0" collapsed="false">
      <c r="A2306" s="1" t="n">
        <v>2014</v>
      </c>
      <c r="B2306" s="1" t="n">
        <v>1</v>
      </c>
      <c r="C2306" s="2" t="s">
        <v>25</v>
      </c>
      <c r="D2306" s="3" t="s">
        <v>101</v>
      </c>
      <c r="E2306" s="3" t="n">
        <v>3</v>
      </c>
      <c r="F2306" s="1" t="n">
        <f aca="false">Y2306-X2306</f>
        <v>5</v>
      </c>
      <c r="G2306" s="1" t="n">
        <v>5</v>
      </c>
      <c r="H2306" s="3" t="s">
        <v>32</v>
      </c>
      <c r="I2306" s="3" t="s">
        <v>154</v>
      </c>
      <c r="J2306" s="3" t="s">
        <v>155</v>
      </c>
      <c r="K2306" s="2" t="str">
        <f aca="false">CONCATENATE(I2306," ",J2306)</f>
        <v>Pocadicnemis pumila</v>
      </c>
      <c r="L2306" s="3" t="n">
        <f aca="false">SUM(P2306:U2306)</f>
        <v>1</v>
      </c>
      <c r="M2306" s="11" t="n">
        <f aca="false">(L2306/(F2306*G2306)*25)*4</f>
        <v>4</v>
      </c>
      <c r="N2306" s="1" t="s">
        <v>30</v>
      </c>
      <c r="O2306" s="1" t="s">
        <v>31</v>
      </c>
      <c r="P2306" s="3" t="n">
        <v>1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f aca="false">SUM(P2306:Q2306)</f>
        <v>1</v>
      </c>
      <c r="W2306" s="3" t="n">
        <f aca="false">SUM(R2306:T2306)</f>
        <v>0</v>
      </c>
      <c r="X2306" s="22" t="n">
        <v>41793</v>
      </c>
      <c r="Y2306" s="22" t="n">
        <v>41798</v>
      </c>
    </row>
    <row r="2307" customFormat="false" ht="14.25" hidden="false" customHeight="false" outlineLevel="0" collapsed="false">
      <c r="A2307" s="1" t="n">
        <v>2014</v>
      </c>
      <c r="B2307" s="1" t="n">
        <v>1</v>
      </c>
      <c r="C2307" s="2" t="s">
        <v>25</v>
      </c>
      <c r="D2307" s="3" t="s">
        <v>101</v>
      </c>
      <c r="E2307" s="3" t="n">
        <v>3</v>
      </c>
      <c r="F2307" s="1" t="n">
        <f aca="false">Y2307-X2307</f>
        <v>5</v>
      </c>
      <c r="G2307" s="1" t="n">
        <v>5</v>
      </c>
      <c r="H2307" s="3" t="s">
        <v>32</v>
      </c>
      <c r="I2307" s="3" t="s">
        <v>169</v>
      </c>
      <c r="J2307" s="3" t="s">
        <v>170</v>
      </c>
      <c r="K2307" s="2" t="str">
        <f aca="false">CONCATENATE(I2307," ",J2307)</f>
        <v>Abacoproeces saltuum</v>
      </c>
      <c r="L2307" s="3" t="n">
        <f aca="false">SUM(P2307:U2307)</f>
        <v>1</v>
      </c>
      <c r="M2307" s="11" t="n">
        <f aca="false">(L2307/(F2307*G2307)*25)*4</f>
        <v>4</v>
      </c>
      <c r="N2307" s="1" t="s">
        <v>30</v>
      </c>
      <c r="O2307" s="1" t="s">
        <v>31</v>
      </c>
      <c r="P2307" s="3" t="n">
        <v>1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f aca="false">SUM(P2307:Q2307)</f>
        <v>1</v>
      </c>
      <c r="W2307" s="3" t="n">
        <f aca="false">SUM(R2307:T2307)</f>
        <v>0</v>
      </c>
      <c r="X2307" s="22" t="n">
        <v>41793</v>
      </c>
      <c r="Y2307" s="22" t="n">
        <v>41798</v>
      </c>
    </row>
    <row r="2308" customFormat="false" ht="14.25" hidden="false" customHeight="false" outlineLevel="0" collapsed="false">
      <c r="A2308" s="1" t="n">
        <v>2014</v>
      </c>
      <c r="B2308" s="1" t="n">
        <v>1</v>
      </c>
      <c r="C2308" s="2" t="s">
        <v>25</v>
      </c>
      <c r="D2308" s="3" t="s">
        <v>101</v>
      </c>
      <c r="E2308" s="3" t="n">
        <v>3</v>
      </c>
      <c r="F2308" s="1" t="n">
        <f aca="false">Y2308-X2308</f>
        <v>5</v>
      </c>
      <c r="G2308" s="1" t="n">
        <v>5</v>
      </c>
      <c r="H2308" s="3" t="s">
        <v>32</v>
      </c>
      <c r="I2308" s="3" t="s">
        <v>169</v>
      </c>
      <c r="J2308" s="3" t="s">
        <v>170</v>
      </c>
      <c r="K2308" s="2" t="str">
        <f aca="false">CONCATENATE(I2308," ",J2308)</f>
        <v>Abacoproeces saltuum</v>
      </c>
      <c r="L2308" s="3" t="n">
        <f aca="false">SUM(P2308:U2308)</f>
        <v>1</v>
      </c>
      <c r="M2308" s="11" t="n">
        <f aca="false">(L2308/(F2308*G2308)*25)*4</f>
        <v>4</v>
      </c>
      <c r="N2308" s="1" t="s">
        <v>30</v>
      </c>
      <c r="O2308" s="1" t="s">
        <v>35</v>
      </c>
      <c r="P2308" s="3" t="n">
        <v>0</v>
      </c>
      <c r="Q2308" s="3" t="n">
        <v>1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f aca="false">SUM(P2308:Q2308)</f>
        <v>1</v>
      </c>
      <c r="W2308" s="3" t="n">
        <f aca="false">SUM(R2308:T2308)</f>
        <v>0</v>
      </c>
      <c r="X2308" s="22" t="n">
        <v>41793</v>
      </c>
      <c r="Y2308" s="22" t="n">
        <v>41798</v>
      </c>
    </row>
    <row r="2309" customFormat="false" ht="14.25" hidden="false" customHeight="false" outlineLevel="0" collapsed="false">
      <c r="A2309" s="1" t="n">
        <v>2014</v>
      </c>
      <c r="B2309" s="1" t="n">
        <v>1</v>
      </c>
      <c r="C2309" s="2" t="s">
        <v>25</v>
      </c>
      <c r="D2309" s="3" t="s">
        <v>101</v>
      </c>
      <c r="E2309" s="3" t="n">
        <v>3</v>
      </c>
      <c r="F2309" s="1" t="n">
        <f aca="false">Y2309-X2309</f>
        <v>5</v>
      </c>
      <c r="G2309" s="1" t="n">
        <v>5</v>
      </c>
      <c r="H2309" s="3" t="s">
        <v>32</v>
      </c>
      <c r="I2309" s="3" t="s">
        <v>107</v>
      </c>
      <c r="J2309" s="3" t="s">
        <v>108</v>
      </c>
      <c r="K2309" s="2" t="str">
        <f aca="false">CONCATENATE(I2309," ",J2309)</f>
        <v>Macrargus rufus</v>
      </c>
      <c r="L2309" s="3" t="n">
        <f aca="false">SUM(P2309:U2309)</f>
        <v>1</v>
      </c>
      <c r="M2309" s="11" t="n">
        <f aca="false">(L2309/(F2309*G2309)*25)*4</f>
        <v>4</v>
      </c>
      <c r="N2309" s="1" t="s">
        <v>30</v>
      </c>
      <c r="O2309" s="1" t="s">
        <v>35</v>
      </c>
      <c r="P2309" s="3" t="n">
        <v>0</v>
      </c>
      <c r="Q2309" s="3" t="n">
        <v>1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f aca="false">SUM(P2309:Q2309)</f>
        <v>1</v>
      </c>
      <c r="W2309" s="3" t="n">
        <f aca="false">SUM(R2309:T2309)</f>
        <v>0</v>
      </c>
      <c r="X2309" s="22" t="n">
        <v>41793</v>
      </c>
      <c r="Y2309" s="22" t="n">
        <v>41798</v>
      </c>
    </row>
    <row r="2310" customFormat="false" ht="14.25" hidden="false" customHeight="false" outlineLevel="0" collapsed="false">
      <c r="A2310" s="1" t="n">
        <v>2014</v>
      </c>
      <c r="B2310" s="1" t="n">
        <v>1</v>
      </c>
      <c r="C2310" s="2" t="s">
        <v>25</v>
      </c>
      <c r="D2310" s="3" t="s">
        <v>101</v>
      </c>
      <c r="E2310" s="3" t="n">
        <v>3</v>
      </c>
      <c r="F2310" s="1" t="n">
        <f aca="false">Y2310-X2310</f>
        <v>5</v>
      </c>
      <c r="G2310" s="1" t="n">
        <v>5</v>
      </c>
      <c r="H2310" s="3" t="s">
        <v>195</v>
      </c>
      <c r="I2310" s="3" t="s">
        <v>227</v>
      </c>
      <c r="J2310" s="3" t="s">
        <v>240</v>
      </c>
      <c r="K2310" s="2" t="str">
        <f aca="false">CONCATENATE(I2310," ",J2310)</f>
        <v>Tetragnatha pinicola</v>
      </c>
      <c r="L2310" s="3" t="n">
        <f aca="false">SUM(P2310:U2310)</f>
        <v>1</v>
      </c>
      <c r="M2310" s="11" t="n">
        <f aca="false">(L2310/(F2310*G2310)*25)*4</f>
        <v>4</v>
      </c>
      <c r="N2310" s="1" t="s">
        <v>30</v>
      </c>
      <c r="O2310" s="1" t="s">
        <v>35</v>
      </c>
      <c r="P2310" s="3" t="n">
        <v>0</v>
      </c>
      <c r="Q2310" s="3" t="n">
        <v>1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f aca="false">SUM(P2310:Q2310)</f>
        <v>1</v>
      </c>
      <c r="W2310" s="3" t="n">
        <f aca="false">SUM(R2310:T2310)</f>
        <v>0</v>
      </c>
      <c r="X2310" s="22" t="n">
        <v>41793</v>
      </c>
      <c r="Y2310" s="22" t="n">
        <v>41798</v>
      </c>
    </row>
    <row r="2311" customFormat="false" ht="14.25" hidden="false" customHeight="false" outlineLevel="0" collapsed="false">
      <c r="A2311" s="1" t="n">
        <v>2014</v>
      </c>
      <c r="B2311" s="1" t="n">
        <v>1</v>
      </c>
      <c r="C2311" s="2" t="s">
        <v>25</v>
      </c>
      <c r="D2311" s="3" t="s">
        <v>101</v>
      </c>
      <c r="E2311" s="3" t="n">
        <v>3</v>
      </c>
      <c r="F2311" s="1" t="n">
        <f aca="false">Y2311-X2311</f>
        <v>5</v>
      </c>
      <c r="G2311" s="1" t="n">
        <v>5</v>
      </c>
      <c r="H2311" s="3" t="s">
        <v>48</v>
      </c>
      <c r="I2311" s="3" t="s">
        <v>67</v>
      </c>
      <c r="J2311" s="3" t="s">
        <v>127</v>
      </c>
      <c r="K2311" s="2" t="str">
        <f aca="false">CONCATENATE(I2311," ",J2311)</f>
        <v>Pardosa lugubris</v>
      </c>
      <c r="L2311" s="3" t="n">
        <f aca="false">SUM(P2311:U2311)</f>
        <v>2</v>
      </c>
      <c r="M2311" s="11" t="n">
        <f aca="false">(L2311/(F2311*G2311)*25)*4</f>
        <v>8</v>
      </c>
      <c r="N2311" s="1" t="s">
        <v>30</v>
      </c>
      <c r="O2311" s="1" t="s">
        <v>31</v>
      </c>
      <c r="P2311" s="3" t="n">
        <v>2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0</v>
      </c>
      <c r="V2311" s="3" t="n">
        <f aca="false">SUM(P2311:Q2311)</f>
        <v>2</v>
      </c>
      <c r="W2311" s="3" t="n">
        <f aca="false">SUM(R2311:T2311)</f>
        <v>0</v>
      </c>
      <c r="X2311" s="22" t="n">
        <v>41793</v>
      </c>
      <c r="Y2311" s="22" t="n">
        <v>41798</v>
      </c>
    </row>
    <row r="2312" customFormat="false" ht="14.25" hidden="false" customHeight="false" outlineLevel="0" collapsed="false">
      <c r="A2312" s="1" t="n">
        <v>2014</v>
      </c>
      <c r="B2312" s="1" t="n">
        <v>1</v>
      </c>
      <c r="C2312" s="2" t="s">
        <v>25</v>
      </c>
      <c r="D2312" s="3" t="s">
        <v>101</v>
      </c>
      <c r="E2312" s="3" t="n">
        <v>3</v>
      </c>
      <c r="F2312" s="1" t="n">
        <f aca="false">Y2312-X2312</f>
        <v>5</v>
      </c>
      <c r="G2312" s="1" t="n">
        <v>5</v>
      </c>
      <c r="H2312" s="3" t="s">
        <v>48</v>
      </c>
      <c r="I2312" s="3" t="s">
        <v>67</v>
      </c>
      <c r="J2312" s="3" t="s">
        <v>127</v>
      </c>
      <c r="K2312" s="2" t="str">
        <f aca="false">CONCATENATE(I2312," ",J2312)</f>
        <v>Pardosa lugubris</v>
      </c>
      <c r="L2312" s="3" t="n">
        <f aca="false">SUM(P2312:U2312)</f>
        <v>1</v>
      </c>
      <c r="M2312" s="11" t="n">
        <f aca="false">(L2312/(F2312*G2312)*25)*4</f>
        <v>4</v>
      </c>
      <c r="N2312" s="1" t="s">
        <v>30</v>
      </c>
      <c r="O2312" s="1" t="s">
        <v>35</v>
      </c>
      <c r="P2312" s="3" t="n">
        <v>0</v>
      </c>
      <c r="Q2312" s="3" t="n">
        <v>1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f aca="false">SUM(P2312:Q2312)</f>
        <v>1</v>
      </c>
      <c r="W2312" s="3" t="n">
        <f aca="false">SUM(R2312:T2312)</f>
        <v>0</v>
      </c>
      <c r="X2312" s="22" t="n">
        <v>41793</v>
      </c>
      <c r="Y2312" s="22" t="n">
        <v>41798</v>
      </c>
    </row>
    <row r="2313" customFormat="false" ht="14.25" hidden="false" customHeight="false" outlineLevel="0" collapsed="false">
      <c r="A2313" s="1" t="n">
        <v>2014</v>
      </c>
      <c r="B2313" s="1" t="n">
        <v>1</v>
      </c>
      <c r="C2313" s="2" t="s">
        <v>25</v>
      </c>
      <c r="D2313" s="3" t="s">
        <v>101</v>
      </c>
      <c r="E2313" s="3" t="n">
        <v>3</v>
      </c>
      <c r="F2313" s="1" t="n">
        <f aca="false">Y2313-X2313</f>
        <v>5</v>
      </c>
      <c r="G2313" s="1" t="n">
        <v>5</v>
      </c>
      <c r="H2313" s="3" t="s">
        <v>48</v>
      </c>
      <c r="I2313" s="3" t="s">
        <v>49</v>
      </c>
      <c r="J2313" s="3" t="s">
        <v>38</v>
      </c>
      <c r="K2313" s="2" t="str">
        <f aca="false">CONCATENATE(I2313," ",J2313)</f>
        <v>Alopecosa sp</v>
      </c>
      <c r="L2313" s="3" t="n">
        <f aca="false">SUM(P2313:U2313)</f>
        <v>1</v>
      </c>
      <c r="M2313" s="11" t="n">
        <f aca="false">(L2313/(F2313*G2313)*25)*4</f>
        <v>4</v>
      </c>
      <c r="N2313" s="1" t="s">
        <v>19</v>
      </c>
      <c r="O2313" s="1" t="s">
        <v>54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1</v>
      </c>
      <c r="V2313" s="3" t="n">
        <f aca="false">SUM(P2313:Q2313)</f>
        <v>0</v>
      </c>
      <c r="W2313" s="3" t="n">
        <f aca="false">SUM(R2313:T2313)</f>
        <v>0</v>
      </c>
      <c r="X2313" s="22" t="n">
        <v>41793</v>
      </c>
      <c r="Y2313" s="22" t="n">
        <v>41798</v>
      </c>
    </row>
    <row r="2314" customFormat="false" ht="14.25" hidden="false" customHeight="false" outlineLevel="0" collapsed="false">
      <c r="A2314" s="1" t="n">
        <v>2014</v>
      </c>
      <c r="B2314" s="1" t="n">
        <v>1</v>
      </c>
      <c r="C2314" s="2" t="s">
        <v>25</v>
      </c>
      <c r="D2314" s="3" t="s">
        <v>101</v>
      </c>
      <c r="E2314" s="3" t="n">
        <v>3</v>
      </c>
      <c r="F2314" s="1" t="n">
        <f aca="false">Y2314-X2314</f>
        <v>5</v>
      </c>
      <c r="G2314" s="1" t="n">
        <v>5</v>
      </c>
      <c r="H2314" s="3" t="s">
        <v>48</v>
      </c>
      <c r="I2314" s="3" t="s">
        <v>49</v>
      </c>
      <c r="J2314" s="3" t="s">
        <v>104</v>
      </c>
      <c r="K2314" s="2" t="str">
        <f aca="false">CONCATENATE(I2314," ",J2314)</f>
        <v>Alopecosa taeniata</v>
      </c>
      <c r="L2314" s="3" t="n">
        <f aca="false">SUM(P2314:U2314)</f>
        <v>5</v>
      </c>
      <c r="M2314" s="11" t="n">
        <f aca="false">(L2314/(F2314*G2314)*25)*4</f>
        <v>20</v>
      </c>
      <c r="N2314" s="1" t="s">
        <v>30</v>
      </c>
      <c r="O2314" s="1" t="s">
        <v>31</v>
      </c>
      <c r="P2314" s="3" t="n">
        <v>5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f aca="false">SUM(P2314:Q2314)</f>
        <v>5</v>
      </c>
      <c r="W2314" s="3" t="n">
        <f aca="false">SUM(R2314:T2314)</f>
        <v>0</v>
      </c>
      <c r="X2314" s="22" t="n">
        <v>41793</v>
      </c>
      <c r="Y2314" s="22" t="n">
        <v>41798</v>
      </c>
    </row>
    <row r="2315" customFormat="false" ht="14.25" hidden="false" customHeight="false" outlineLevel="0" collapsed="false">
      <c r="A2315" s="1" t="n">
        <v>2014</v>
      </c>
      <c r="B2315" s="1" t="n">
        <v>1</v>
      </c>
      <c r="C2315" s="2" t="s">
        <v>25</v>
      </c>
      <c r="D2315" s="3" t="s">
        <v>101</v>
      </c>
      <c r="E2315" s="3" t="n">
        <v>3</v>
      </c>
      <c r="F2315" s="1" t="n">
        <f aca="false">Y2315-X2315</f>
        <v>5</v>
      </c>
      <c r="G2315" s="1" t="n">
        <v>5</v>
      </c>
      <c r="H2315" s="3" t="s">
        <v>48</v>
      </c>
      <c r="I2315" s="3" t="s">
        <v>61</v>
      </c>
      <c r="J2315" s="3" t="s">
        <v>82</v>
      </c>
      <c r="K2315" s="2" t="str">
        <f aca="false">CONCATENATE(I2315," ",J2315)</f>
        <v>Trochosa terricola</v>
      </c>
      <c r="L2315" s="3" t="n">
        <f aca="false">SUM(P2315:U2315)</f>
        <v>1</v>
      </c>
      <c r="M2315" s="11" t="n">
        <f aca="false">(L2315/(F2315*G2315)*25)*4</f>
        <v>4</v>
      </c>
      <c r="N2315" s="1" t="s">
        <v>30</v>
      </c>
      <c r="O2315" s="1" t="s">
        <v>31</v>
      </c>
      <c r="P2315" s="3" t="n">
        <v>1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f aca="false">SUM(P2315:Q2315)</f>
        <v>1</v>
      </c>
      <c r="W2315" s="3" t="n">
        <f aca="false">SUM(R2315:T2315)</f>
        <v>0</v>
      </c>
      <c r="X2315" s="22" t="n">
        <v>41793</v>
      </c>
      <c r="Y2315" s="22" t="n">
        <v>41798</v>
      </c>
    </row>
    <row r="2316" customFormat="false" ht="14.25" hidden="false" customHeight="false" outlineLevel="0" collapsed="false">
      <c r="A2316" s="1" t="n">
        <v>2014</v>
      </c>
      <c r="B2316" s="1" t="n">
        <v>1</v>
      </c>
      <c r="C2316" s="2" t="s">
        <v>25</v>
      </c>
      <c r="D2316" s="3" t="s">
        <v>101</v>
      </c>
      <c r="E2316" s="3" t="n">
        <v>3</v>
      </c>
      <c r="F2316" s="1" t="n">
        <f aca="false">Y2316-X2316</f>
        <v>5</v>
      </c>
      <c r="G2316" s="1" t="n">
        <v>5</v>
      </c>
      <c r="H2316" s="3" t="s">
        <v>32</v>
      </c>
      <c r="I2316" s="3" t="s">
        <v>62</v>
      </c>
      <c r="J2316" s="3" t="s">
        <v>63</v>
      </c>
      <c r="K2316" s="2" t="str">
        <f aca="false">CONCATENATE(I2316," ",J2316)</f>
        <v>Microneta viaria</v>
      </c>
      <c r="L2316" s="3" t="n">
        <f aca="false">SUM(P2316:U2316)</f>
        <v>1</v>
      </c>
      <c r="M2316" s="11" t="n">
        <f aca="false">(L2316/(F2316*G2316)*25)*4</f>
        <v>4</v>
      </c>
      <c r="N2316" s="1" t="s">
        <v>30</v>
      </c>
      <c r="O2316" s="1" t="s">
        <v>35</v>
      </c>
      <c r="P2316" s="3" t="n">
        <v>0</v>
      </c>
      <c r="Q2316" s="3" t="n">
        <v>1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f aca="false">SUM(P2316:Q2316)</f>
        <v>1</v>
      </c>
      <c r="W2316" s="3" t="n">
        <f aca="false">SUM(R2316:T2316)</f>
        <v>0</v>
      </c>
      <c r="X2316" s="22" t="n">
        <v>41793</v>
      </c>
      <c r="Y2316" s="22" t="n">
        <v>41798</v>
      </c>
    </row>
    <row r="2317" customFormat="false" ht="14.25" hidden="false" customHeight="false" outlineLevel="0" collapsed="false">
      <c r="A2317" s="1" t="n">
        <v>2014</v>
      </c>
      <c r="B2317" s="1" t="n">
        <v>1</v>
      </c>
      <c r="C2317" s="2" t="s">
        <v>25</v>
      </c>
      <c r="D2317" s="3" t="s">
        <v>101</v>
      </c>
      <c r="E2317" s="3" t="n">
        <v>3</v>
      </c>
      <c r="F2317" s="1" t="n">
        <f aca="false">Y2317-X2317</f>
        <v>5</v>
      </c>
      <c r="G2317" s="1" t="n">
        <v>5</v>
      </c>
      <c r="H2317" s="3" t="s">
        <v>32</v>
      </c>
      <c r="I2317" s="3" t="s">
        <v>96</v>
      </c>
      <c r="J2317" s="3" t="s">
        <v>97</v>
      </c>
      <c r="K2317" s="2" t="str">
        <f aca="false">CONCATENATE(I2317," ",J2317)</f>
        <v>Diplocephalus picinus</v>
      </c>
      <c r="L2317" s="3" t="n">
        <f aca="false">SUM(P2317:U2317)</f>
        <v>1</v>
      </c>
      <c r="M2317" s="11" t="n">
        <f aca="false">(L2317/(F2317*G2317)*25)*4</f>
        <v>4</v>
      </c>
      <c r="N2317" s="1" t="s">
        <v>30</v>
      </c>
      <c r="O2317" s="1" t="s">
        <v>31</v>
      </c>
      <c r="P2317" s="3" t="n">
        <v>1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f aca="false">SUM(P2317:Q2317)</f>
        <v>1</v>
      </c>
      <c r="W2317" s="3" t="n">
        <f aca="false">SUM(R2317:T2317)</f>
        <v>0</v>
      </c>
      <c r="X2317" s="22" t="n">
        <v>41793</v>
      </c>
      <c r="Y2317" s="22" t="n">
        <v>41798</v>
      </c>
    </row>
    <row r="2318" customFormat="false" ht="14.25" hidden="false" customHeight="false" outlineLevel="0" collapsed="false">
      <c r="A2318" s="1" t="n">
        <v>2014</v>
      </c>
      <c r="B2318" s="1" t="n">
        <v>1</v>
      </c>
      <c r="C2318" s="2" t="s">
        <v>25</v>
      </c>
      <c r="D2318" s="3" t="s">
        <v>101</v>
      </c>
      <c r="E2318" s="3" t="n">
        <v>3</v>
      </c>
      <c r="F2318" s="1" t="n">
        <f aca="false">Y2318-X2318</f>
        <v>5</v>
      </c>
      <c r="G2318" s="1" t="n">
        <v>5</v>
      </c>
      <c r="H2318" s="3" t="s">
        <v>32</v>
      </c>
      <c r="I2318" s="3" t="s">
        <v>57</v>
      </c>
      <c r="J2318" s="3" t="s">
        <v>38</v>
      </c>
      <c r="K2318" s="2" t="str">
        <f aca="false">CONCATENATE(I2318," ",J2318)</f>
        <v>Gen sp</v>
      </c>
      <c r="L2318" s="3" t="n">
        <f aca="false">SUM(P2318:U2318)</f>
        <v>1</v>
      </c>
      <c r="M2318" s="11" t="n">
        <f aca="false">(L2318/(F2318*G2318)*25)*4</f>
        <v>4</v>
      </c>
      <c r="N2318" s="1" t="s">
        <v>19</v>
      </c>
      <c r="O2318" s="1" t="s">
        <v>54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1</v>
      </c>
      <c r="U2318" s="3" t="n">
        <v>0</v>
      </c>
      <c r="V2318" s="3" t="n">
        <f aca="false">SUM(P2318:Q2318)</f>
        <v>0</v>
      </c>
      <c r="W2318" s="3" t="n">
        <f aca="false">SUM(R2318:T2318)</f>
        <v>1</v>
      </c>
      <c r="X2318" s="22" t="n">
        <v>41793</v>
      </c>
      <c r="Y2318" s="22" t="n">
        <v>41798</v>
      </c>
    </row>
    <row r="2319" customFormat="false" ht="14.25" hidden="false" customHeight="false" outlineLevel="0" collapsed="false">
      <c r="A2319" s="1" t="n">
        <v>2014</v>
      </c>
      <c r="B2319" s="1" t="n">
        <v>1</v>
      </c>
      <c r="C2319" s="2" t="s">
        <v>25</v>
      </c>
      <c r="D2319" s="3" t="s">
        <v>101</v>
      </c>
      <c r="E2319" s="3" t="n">
        <v>3</v>
      </c>
      <c r="F2319" s="1" t="n">
        <f aca="false">Y2319-X2319</f>
        <v>5</v>
      </c>
      <c r="G2319" s="1" t="n">
        <v>5</v>
      </c>
      <c r="H2319" s="3" t="s">
        <v>144</v>
      </c>
      <c r="I2319" s="3" t="s">
        <v>145</v>
      </c>
      <c r="J2319" s="3" t="s">
        <v>146</v>
      </c>
      <c r="K2319" s="2" t="str">
        <f aca="false">CONCATENATE(I2319," ",J2319)</f>
        <v>Phrurolithus festivus</v>
      </c>
      <c r="L2319" s="3" t="n">
        <f aca="false">SUM(P2319:U2319)</f>
        <v>1</v>
      </c>
      <c r="M2319" s="11" t="n">
        <f aca="false">(L2319/(F2319*G2319)*25)*4</f>
        <v>4</v>
      </c>
      <c r="N2319" s="1" t="s">
        <v>30</v>
      </c>
      <c r="O2319" s="1" t="s">
        <v>35</v>
      </c>
      <c r="P2319" s="3" t="n">
        <v>0</v>
      </c>
      <c r="Q2319" s="3" t="n">
        <v>1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f aca="false">SUM(P2319:Q2319)</f>
        <v>1</v>
      </c>
      <c r="W2319" s="3" t="n">
        <f aca="false">SUM(R2319:T2319)</f>
        <v>0</v>
      </c>
      <c r="X2319" s="22" t="n">
        <v>41793</v>
      </c>
      <c r="Y2319" s="22" t="n">
        <v>41798</v>
      </c>
    </row>
    <row r="2320" customFormat="false" ht="14.25" hidden="false" customHeight="false" outlineLevel="0" collapsed="false">
      <c r="A2320" s="1" t="n">
        <v>2014</v>
      </c>
      <c r="B2320" s="1" t="n">
        <v>1</v>
      </c>
      <c r="C2320" s="2" t="s">
        <v>25</v>
      </c>
      <c r="D2320" s="3" t="s">
        <v>101</v>
      </c>
      <c r="E2320" s="3" t="n">
        <v>3</v>
      </c>
      <c r="F2320" s="1" t="n">
        <f aca="false">Y2320-X2320</f>
        <v>5</v>
      </c>
      <c r="G2320" s="1" t="n">
        <v>5</v>
      </c>
      <c r="H2320" s="3" t="s">
        <v>48</v>
      </c>
      <c r="I2320" s="3" t="s">
        <v>57</v>
      </c>
      <c r="J2320" s="3" t="s">
        <v>38</v>
      </c>
      <c r="K2320" s="2" t="str">
        <f aca="false">CONCATENATE(I2320," ",J2320)</f>
        <v>Gen sp</v>
      </c>
      <c r="L2320" s="3" t="n">
        <f aca="false">SUM(P2320:U2320)</f>
        <v>1</v>
      </c>
      <c r="M2320" s="11" t="n">
        <f aca="false">(L2320/(F2320*G2320)*25)*4</f>
        <v>4</v>
      </c>
      <c r="N2320" s="1" t="s">
        <v>54</v>
      </c>
      <c r="O2320" s="1" t="s">
        <v>54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1</v>
      </c>
      <c r="V2320" s="3" t="n">
        <f aca="false">SUM(P2320:Q2320)</f>
        <v>0</v>
      </c>
      <c r="W2320" s="3" t="n">
        <f aca="false">SUM(R2320:T2320)</f>
        <v>0</v>
      </c>
      <c r="X2320" s="22" t="n">
        <v>41793</v>
      </c>
      <c r="Y2320" s="22" t="n">
        <v>41798</v>
      </c>
    </row>
    <row r="2321" customFormat="false" ht="14.25" hidden="false" customHeight="false" outlineLevel="0" collapsed="false">
      <c r="A2321" s="1" t="n">
        <v>2014</v>
      </c>
      <c r="B2321" s="1" t="n">
        <v>1</v>
      </c>
      <c r="C2321" s="2" t="s">
        <v>25</v>
      </c>
      <c r="D2321" s="3" t="s">
        <v>101</v>
      </c>
      <c r="E2321" s="3" t="n">
        <v>3</v>
      </c>
      <c r="F2321" s="1" t="n">
        <f aca="false">Y2321-X2321</f>
        <v>5</v>
      </c>
      <c r="G2321" s="1" t="n">
        <v>5</v>
      </c>
      <c r="H2321" s="3" t="s">
        <v>27</v>
      </c>
      <c r="I2321" s="3" t="s">
        <v>28</v>
      </c>
      <c r="J2321" s="3" t="s">
        <v>29</v>
      </c>
      <c r="K2321" s="2" t="str">
        <f aca="false">CONCATENATE(I2321," ",J2321)</f>
        <v>Robertus lividus</v>
      </c>
      <c r="L2321" s="3" t="n">
        <f aca="false">SUM(P2321:U2321)</f>
        <v>1</v>
      </c>
      <c r="M2321" s="11" t="n">
        <f aca="false">(L2321/(F2321*G2321)*25)*4</f>
        <v>4</v>
      </c>
      <c r="N2321" s="1" t="s">
        <v>30</v>
      </c>
      <c r="O2321" s="1" t="s">
        <v>35</v>
      </c>
      <c r="P2321" s="3" t="n">
        <v>0</v>
      </c>
      <c r="Q2321" s="3" t="n">
        <v>1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f aca="false">SUM(P2321:Q2321)</f>
        <v>1</v>
      </c>
      <c r="W2321" s="3" t="n">
        <f aca="false">SUM(R2321:T2321)</f>
        <v>0</v>
      </c>
      <c r="X2321" s="22" t="n">
        <v>41793</v>
      </c>
      <c r="Y2321" s="22" t="n">
        <v>41798</v>
      </c>
    </row>
    <row r="2322" customFormat="false" ht="14.25" hidden="false" customHeight="false" outlineLevel="0" collapsed="false">
      <c r="A2322" s="1" t="n">
        <v>2014</v>
      </c>
      <c r="B2322" s="1" t="n">
        <v>1</v>
      </c>
      <c r="C2322" s="2" t="s">
        <v>25</v>
      </c>
      <c r="D2322" s="3" t="s">
        <v>101</v>
      </c>
      <c r="E2322" s="3" t="n">
        <v>3</v>
      </c>
      <c r="F2322" s="1" t="n">
        <f aca="false">Y2322-X2322</f>
        <v>5</v>
      </c>
      <c r="G2322" s="1" t="n">
        <v>5</v>
      </c>
      <c r="H2322" s="3" t="s">
        <v>48</v>
      </c>
      <c r="I2322" s="3" t="s">
        <v>49</v>
      </c>
      <c r="J2322" s="3" t="s">
        <v>104</v>
      </c>
      <c r="K2322" s="2" t="str">
        <f aca="false">CONCATENATE(I2322," ",J2322)</f>
        <v>Alopecosa taeniata</v>
      </c>
      <c r="L2322" s="3" t="n">
        <f aca="false">SUM(P2322:U2322)</f>
        <v>2</v>
      </c>
      <c r="M2322" s="11" t="n">
        <f aca="false">(L2322/(F2322*G2322)*25)*4</f>
        <v>8</v>
      </c>
      <c r="N2322" s="1" t="s">
        <v>30</v>
      </c>
      <c r="O2322" s="1" t="s">
        <v>31</v>
      </c>
      <c r="P2322" s="3" t="n">
        <v>2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f aca="false">SUM(P2322:Q2322)</f>
        <v>2</v>
      </c>
      <c r="W2322" s="3" t="n">
        <f aca="false">SUM(R2322:T2322)</f>
        <v>0</v>
      </c>
      <c r="X2322" s="22" t="n">
        <v>41793</v>
      </c>
      <c r="Y2322" s="22" t="n">
        <v>41798</v>
      </c>
    </row>
    <row r="2323" customFormat="false" ht="14.25" hidden="false" customHeight="false" outlineLevel="0" collapsed="false">
      <c r="A2323" s="1" t="n">
        <v>2014</v>
      </c>
      <c r="B2323" s="1" t="n">
        <v>1</v>
      </c>
      <c r="C2323" s="2" t="s">
        <v>25</v>
      </c>
      <c r="D2323" s="3" t="s">
        <v>101</v>
      </c>
      <c r="E2323" s="3" t="n">
        <v>3</v>
      </c>
      <c r="F2323" s="1" t="n">
        <f aca="false">Y2323-X2323</f>
        <v>5</v>
      </c>
      <c r="G2323" s="1" t="n">
        <v>5</v>
      </c>
      <c r="H2323" s="3" t="s">
        <v>48</v>
      </c>
      <c r="I2323" s="3" t="s">
        <v>49</v>
      </c>
      <c r="J2323" s="3" t="s">
        <v>38</v>
      </c>
      <c r="K2323" s="2" t="str">
        <f aca="false">CONCATENATE(I2323," ",J2323)</f>
        <v>Alopecosa sp</v>
      </c>
      <c r="L2323" s="3" t="n">
        <f aca="false">SUM(P2323:U2323)</f>
        <v>2</v>
      </c>
      <c r="M2323" s="11" t="n">
        <f aca="false">(L2323/(F2323*G2323)*25)*4</f>
        <v>8</v>
      </c>
      <c r="N2323" s="1" t="s">
        <v>19</v>
      </c>
      <c r="O2323" s="1" t="s">
        <v>54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2</v>
      </c>
      <c r="U2323" s="3" t="n">
        <v>0</v>
      </c>
      <c r="V2323" s="3" t="n">
        <f aca="false">SUM(P2323:Q2323)</f>
        <v>0</v>
      </c>
      <c r="W2323" s="3" t="n">
        <f aca="false">SUM(R2323:T2323)</f>
        <v>2</v>
      </c>
      <c r="X2323" s="22" t="n">
        <v>41793</v>
      </c>
      <c r="Y2323" s="22" t="n">
        <v>41798</v>
      </c>
    </row>
    <row r="2324" customFormat="false" ht="14.25" hidden="false" customHeight="false" outlineLevel="0" collapsed="false">
      <c r="A2324" s="1" t="n">
        <v>2014</v>
      </c>
      <c r="B2324" s="1" t="n">
        <v>1</v>
      </c>
      <c r="C2324" s="2" t="s">
        <v>25</v>
      </c>
      <c r="D2324" s="3" t="s">
        <v>101</v>
      </c>
      <c r="E2324" s="3" t="n">
        <v>3</v>
      </c>
      <c r="F2324" s="1" t="n">
        <f aca="false">Y2324-X2324</f>
        <v>5</v>
      </c>
      <c r="G2324" s="1" t="n">
        <v>5</v>
      </c>
      <c r="H2324" s="3" t="s">
        <v>48</v>
      </c>
      <c r="I2324" s="3" t="s">
        <v>67</v>
      </c>
      <c r="J2324" s="3" t="s">
        <v>127</v>
      </c>
      <c r="K2324" s="2" t="str">
        <f aca="false">CONCATENATE(I2324," ",J2324)</f>
        <v>Pardosa lugubris</v>
      </c>
      <c r="L2324" s="3" t="n">
        <f aca="false">SUM(P2324:U2324)</f>
        <v>2</v>
      </c>
      <c r="M2324" s="11" t="n">
        <f aca="false">(L2324/(F2324*G2324)*25)*4</f>
        <v>8</v>
      </c>
      <c r="N2324" s="1" t="s">
        <v>30</v>
      </c>
      <c r="O2324" s="1" t="s">
        <v>31</v>
      </c>
      <c r="P2324" s="3" t="n">
        <v>2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f aca="false">SUM(P2324:Q2324)</f>
        <v>2</v>
      </c>
      <c r="W2324" s="3" t="n">
        <f aca="false">SUM(R2324:T2324)</f>
        <v>0</v>
      </c>
      <c r="X2324" s="22" t="n">
        <v>41793</v>
      </c>
      <c r="Y2324" s="22" t="n">
        <v>41798</v>
      </c>
    </row>
    <row r="2325" s="28" customFormat="true" ht="14.25" hidden="false" customHeight="false" outlineLevel="0" collapsed="false">
      <c r="A2325" s="23" t="n">
        <v>2014</v>
      </c>
      <c r="B2325" s="23" t="n">
        <v>1</v>
      </c>
      <c r="C2325" s="2" t="s">
        <v>25</v>
      </c>
      <c r="D2325" s="24" t="s">
        <v>101</v>
      </c>
      <c r="E2325" s="24" t="n">
        <v>3</v>
      </c>
      <c r="F2325" s="1" t="n">
        <f aca="false">Y2325-X2325</f>
        <v>5</v>
      </c>
      <c r="G2325" s="23" t="n">
        <v>5</v>
      </c>
      <c r="H2325" s="24" t="s">
        <v>72</v>
      </c>
      <c r="I2325" s="24" t="s">
        <v>73</v>
      </c>
      <c r="J2325" s="24" t="s">
        <v>241</v>
      </c>
      <c r="K2325" s="25" t="str">
        <f aca="false">CONCATENATE(I2325," ",J2325)</f>
        <v>Zelotes sp12-2024K</v>
      </c>
      <c r="L2325" s="3" t="n">
        <f aca="false">SUM(P2325:U2325)</f>
        <v>1</v>
      </c>
      <c r="M2325" s="26" t="n">
        <f aca="false">(L2325/(F2325*G2325)*25)*4</f>
        <v>4</v>
      </c>
      <c r="N2325" s="27" t="s">
        <v>30</v>
      </c>
      <c r="O2325" s="27" t="s">
        <v>35</v>
      </c>
      <c r="P2325" s="28" t="n">
        <v>0</v>
      </c>
      <c r="Q2325" s="28" t="n">
        <v>1</v>
      </c>
      <c r="R2325" s="28" t="n">
        <v>0</v>
      </c>
      <c r="S2325" s="28" t="n">
        <v>0</v>
      </c>
      <c r="T2325" s="28" t="n">
        <v>0</v>
      </c>
      <c r="U2325" s="28" t="n">
        <v>0</v>
      </c>
      <c r="V2325" s="3" t="n">
        <f aca="false">SUM(P2325:Q2325)</f>
        <v>1</v>
      </c>
      <c r="W2325" s="3" t="n">
        <f aca="false">SUM(R2325:T2325)</f>
        <v>0</v>
      </c>
      <c r="X2325" s="29" t="n">
        <v>41793</v>
      </c>
      <c r="Y2325" s="29" t="n">
        <v>41798</v>
      </c>
    </row>
    <row r="2326" customFormat="false" ht="14.25" hidden="false" customHeight="false" outlineLevel="0" collapsed="false">
      <c r="A2326" s="1" t="n">
        <v>2014</v>
      </c>
      <c r="B2326" s="1" t="n">
        <v>1</v>
      </c>
      <c r="C2326" s="2" t="s">
        <v>25</v>
      </c>
      <c r="D2326" s="3" t="s">
        <v>101</v>
      </c>
      <c r="E2326" s="3" t="n">
        <v>3</v>
      </c>
      <c r="F2326" s="1" t="n">
        <f aca="false">Y2326-X2326</f>
        <v>5</v>
      </c>
      <c r="G2326" s="1" t="n">
        <v>5</v>
      </c>
      <c r="H2326" s="3" t="s">
        <v>72</v>
      </c>
      <c r="I2326" s="3" t="s">
        <v>73</v>
      </c>
      <c r="J2326" s="3" t="s">
        <v>38</v>
      </c>
      <c r="K2326" s="2" t="str">
        <f aca="false">CONCATENATE(I2326," ",J2326)</f>
        <v>Zelotes sp</v>
      </c>
      <c r="L2326" s="3" t="n">
        <f aca="false">SUM(P2326:U2326)</f>
        <v>1</v>
      </c>
      <c r="M2326" s="11" t="n">
        <f aca="false">(L2326/(F2326*G2326)*25)*4</f>
        <v>4</v>
      </c>
      <c r="N2326" s="1" t="s">
        <v>19</v>
      </c>
      <c r="O2326" s="1" t="s">
        <v>35</v>
      </c>
      <c r="P2326" s="3" t="n">
        <v>0</v>
      </c>
      <c r="Q2326" s="3" t="n">
        <v>0</v>
      </c>
      <c r="R2326" s="3" t="n">
        <v>0</v>
      </c>
      <c r="S2326" s="3" t="n">
        <v>1</v>
      </c>
      <c r="T2326" s="3" t="n">
        <v>0</v>
      </c>
      <c r="U2326" s="3" t="n">
        <v>0</v>
      </c>
      <c r="V2326" s="3" t="n">
        <f aca="false">SUM(P2326:Q2326)</f>
        <v>0</v>
      </c>
      <c r="W2326" s="3" t="n">
        <f aca="false">SUM(R2326:T2326)</f>
        <v>1</v>
      </c>
      <c r="X2326" s="22" t="n">
        <v>41793</v>
      </c>
      <c r="Y2326" s="22" t="n">
        <v>41798</v>
      </c>
    </row>
    <row r="2327" customFormat="false" ht="14.25" hidden="false" customHeight="false" outlineLevel="0" collapsed="false">
      <c r="A2327" s="1" t="n">
        <v>2014</v>
      </c>
      <c r="B2327" s="1" t="n">
        <v>1</v>
      </c>
      <c r="C2327" s="2" t="s">
        <v>25</v>
      </c>
      <c r="D2327" s="3" t="s">
        <v>101</v>
      </c>
      <c r="E2327" s="3" t="n">
        <v>3</v>
      </c>
      <c r="F2327" s="1" t="n">
        <f aca="false">Y2327-X2327</f>
        <v>5</v>
      </c>
      <c r="G2327" s="1" t="n">
        <v>5</v>
      </c>
      <c r="H2327" s="3" t="s">
        <v>41</v>
      </c>
      <c r="I2327" s="3" t="s">
        <v>42</v>
      </c>
      <c r="J2327" s="3" t="s">
        <v>198</v>
      </c>
      <c r="K2327" s="2" t="str">
        <f aca="false">CONCATENATE(I2327," ",J2327)</f>
        <v>Agroeca brunnea</v>
      </c>
      <c r="L2327" s="3" t="n">
        <f aca="false">SUM(P2327:U2327)</f>
        <v>1</v>
      </c>
      <c r="M2327" s="11" t="n">
        <f aca="false">(L2327/(F2327*G2327)*25)*4</f>
        <v>4</v>
      </c>
      <c r="N2327" s="1" t="s">
        <v>30</v>
      </c>
      <c r="O2327" s="1" t="s">
        <v>35</v>
      </c>
      <c r="P2327" s="3" t="n">
        <v>0</v>
      </c>
      <c r="Q2327" s="3" t="n">
        <v>1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f aca="false">SUM(P2327:Q2327)</f>
        <v>1</v>
      </c>
      <c r="W2327" s="3" t="n">
        <f aca="false">SUM(R2327:T2327)</f>
        <v>0</v>
      </c>
      <c r="X2327" s="22" t="n">
        <v>41793</v>
      </c>
      <c r="Y2327" s="22" t="n">
        <v>41798</v>
      </c>
    </row>
    <row r="2328" customFormat="false" ht="14.25" hidden="false" customHeight="false" outlineLevel="0" collapsed="false">
      <c r="A2328" s="1" t="n">
        <v>2014</v>
      </c>
      <c r="B2328" s="1" t="n">
        <v>1</v>
      </c>
      <c r="C2328" s="2" t="s">
        <v>25</v>
      </c>
      <c r="D2328" s="3" t="s">
        <v>101</v>
      </c>
      <c r="E2328" s="3" t="n">
        <v>3</v>
      </c>
      <c r="F2328" s="1" t="n">
        <f aca="false">Y2328-X2328</f>
        <v>5</v>
      </c>
      <c r="G2328" s="1" t="n">
        <v>5</v>
      </c>
      <c r="H2328" s="3" t="s">
        <v>144</v>
      </c>
      <c r="I2328" s="3" t="s">
        <v>145</v>
      </c>
      <c r="J2328" s="3" t="s">
        <v>146</v>
      </c>
      <c r="K2328" s="2" t="str">
        <f aca="false">CONCATENATE(I2328," ",J2328)</f>
        <v>Phrurolithus festivus</v>
      </c>
      <c r="L2328" s="3" t="n">
        <f aca="false">SUM(P2328:U2328)</f>
        <v>1</v>
      </c>
      <c r="M2328" s="11" t="n">
        <f aca="false">(L2328/(F2328*G2328)*25)*4</f>
        <v>4</v>
      </c>
      <c r="N2328" s="1" t="s">
        <v>30</v>
      </c>
      <c r="O2328" s="1" t="s">
        <v>31</v>
      </c>
      <c r="P2328" s="3" t="n">
        <v>1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f aca="false">SUM(P2328:Q2328)</f>
        <v>1</v>
      </c>
      <c r="W2328" s="3" t="n">
        <f aca="false">SUM(R2328:T2328)</f>
        <v>0</v>
      </c>
      <c r="X2328" s="22" t="n">
        <v>41793</v>
      </c>
      <c r="Y2328" s="22" t="n">
        <v>41798</v>
      </c>
    </row>
    <row r="2329" customFormat="false" ht="14.25" hidden="false" customHeight="false" outlineLevel="0" collapsed="false">
      <c r="A2329" s="1" t="n">
        <v>2014</v>
      </c>
      <c r="B2329" s="1" t="n">
        <v>1</v>
      </c>
      <c r="C2329" s="2" t="s">
        <v>25</v>
      </c>
      <c r="D2329" s="3" t="s">
        <v>101</v>
      </c>
      <c r="E2329" s="3" t="n">
        <v>3</v>
      </c>
      <c r="F2329" s="1" t="n">
        <f aca="false">Y2329-X2329</f>
        <v>5</v>
      </c>
      <c r="G2329" s="1" t="n">
        <v>5</v>
      </c>
      <c r="H2329" s="3" t="s">
        <v>32</v>
      </c>
      <c r="I2329" s="3" t="s">
        <v>96</v>
      </c>
      <c r="J2329" s="3" t="s">
        <v>97</v>
      </c>
      <c r="K2329" s="2" t="str">
        <f aca="false">CONCATENATE(I2329," ",J2329)</f>
        <v>Diplocephalus picinus</v>
      </c>
      <c r="L2329" s="3" t="n">
        <f aca="false">SUM(P2329:U2329)</f>
        <v>1</v>
      </c>
      <c r="M2329" s="11" t="n">
        <f aca="false">(L2329/(F2329*G2329)*25)*4</f>
        <v>4</v>
      </c>
      <c r="N2329" s="1" t="s">
        <v>30</v>
      </c>
      <c r="O2329" s="1" t="s">
        <v>31</v>
      </c>
      <c r="P2329" s="3" t="n">
        <v>1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f aca="false">SUM(P2329:Q2329)</f>
        <v>1</v>
      </c>
      <c r="W2329" s="3" t="n">
        <f aca="false">SUM(R2329:T2329)</f>
        <v>0</v>
      </c>
      <c r="X2329" s="22" t="n">
        <v>41793</v>
      </c>
      <c r="Y2329" s="22" t="n">
        <v>41798</v>
      </c>
    </row>
    <row r="2330" customFormat="false" ht="14.25" hidden="false" customHeight="false" outlineLevel="0" collapsed="false">
      <c r="A2330" s="1" t="n">
        <v>2014</v>
      </c>
      <c r="B2330" s="1" t="n">
        <v>1</v>
      </c>
      <c r="C2330" s="2" t="s">
        <v>25</v>
      </c>
      <c r="D2330" s="3" t="s">
        <v>101</v>
      </c>
      <c r="E2330" s="3" t="n">
        <v>3</v>
      </c>
      <c r="F2330" s="1" t="n">
        <f aca="false">Y2330-X2330</f>
        <v>5</v>
      </c>
      <c r="G2330" s="1" t="n">
        <v>5</v>
      </c>
      <c r="H2330" s="3" t="s">
        <v>32</v>
      </c>
      <c r="I2330" s="3" t="s">
        <v>96</v>
      </c>
      <c r="J2330" s="3" t="s">
        <v>97</v>
      </c>
      <c r="K2330" s="2" t="str">
        <f aca="false">CONCATENATE(I2330," ",J2330)</f>
        <v>Diplocephalus picinus</v>
      </c>
      <c r="L2330" s="3" t="n">
        <f aca="false">SUM(P2330:U2330)</f>
        <v>1</v>
      </c>
      <c r="M2330" s="11" t="n">
        <f aca="false">(L2330/(F2330*G2330)*25)*4</f>
        <v>4</v>
      </c>
      <c r="N2330" s="1" t="s">
        <v>30</v>
      </c>
      <c r="O2330" s="1" t="s">
        <v>35</v>
      </c>
      <c r="P2330" s="3" t="n">
        <v>0</v>
      </c>
      <c r="Q2330" s="3" t="n">
        <v>1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f aca="false">SUM(P2330:Q2330)</f>
        <v>1</v>
      </c>
      <c r="W2330" s="3" t="n">
        <f aca="false">SUM(R2330:T2330)</f>
        <v>0</v>
      </c>
      <c r="X2330" s="22" t="n">
        <v>41793</v>
      </c>
      <c r="Y2330" s="22" t="n">
        <v>41798</v>
      </c>
    </row>
    <row r="2331" customFormat="false" ht="14.25" hidden="false" customHeight="false" outlineLevel="0" collapsed="false">
      <c r="A2331" s="1" t="n">
        <v>2014</v>
      </c>
      <c r="B2331" s="1" t="n">
        <v>1</v>
      </c>
      <c r="C2331" s="2" t="s">
        <v>25</v>
      </c>
      <c r="D2331" s="3" t="s">
        <v>101</v>
      </c>
      <c r="E2331" s="3" t="n">
        <v>3</v>
      </c>
      <c r="F2331" s="1" t="n">
        <f aca="false">Y2331-X2331</f>
        <v>5</v>
      </c>
      <c r="G2331" s="1" t="n">
        <v>5</v>
      </c>
      <c r="H2331" s="3" t="s">
        <v>32</v>
      </c>
      <c r="I2331" s="3" t="s">
        <v>57</v>
      </c>
      <c r="J2331" s="3" t="s">
        <v>38</v>
      </c>
      <c r="K2331" s="2" t="str">
        <f aca="false">CONCATENATE(I2331," ",J2331)</f>
        <v>Gen sp</v>
      </c>
      <c r="L2331" s="3" t="n">
        <f aca="false">SUM(P2331:U2331)</f>
        <v>1</v>
      </c>
      <c r="M2331" s="11" t="n">
        <f aca="false">(L2331/(F2331*G2331)*25)*4</f>
        <v>4</v>
      </c>
      <c r="N2331" s="1" t="s">
        <v>19</v>
      </c>
      <c r="O2331" s="1" t="s">
        <v>54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1</v>
      </c>
      <c r="U2331" s="3" t="n">
        <v>0</v>
      </c>
      <c r="V2331" s="3" t="n">
        <f aca="false">SUM(P2331:Q2331)</f>
        <v>0</v>
      </c>
      <c r="W2331" s="3" t="n">
        <f aca="false">SUM(R2331:T2331)</f>
        <v>1</v>
      </c>
      <c r="X2331" s="22" t="n">
        <v>41793</v>
      </c>
      <c r="Y2331" s="22" t="n">
        <v>41798</v>
      </c>
    </row>
    <row r="2332" customFormat="false" ht="14.25" hidden="false" customHeight="false" outlineLevel="0" collapsed="false">
      <c r="A2332" s="1" t="n">
        <v>2014</v>
      </c>
      <c r="B2332" s="1" t="n">
        <v>1</v>
      </c>
      <c r="C2332" s="2" t="s">
        <v>25</v>
      </c>
      <c r="D2332" s="3" t="s">
        <v>101</v>
      </c>
      <c r="E2332" s="3" t="n">
        <v>1</v>
      </c>
      <c r="F2332" s="1" t="n">
        <f aca="false">Y2332-X2332</f>
        <v>5</v>
      </c>
      <c r="G2332" s="1" t="n">
        <v>5</v>
      </c>
      <c r="H2332" s="3" t="s">
        <v>48</v>
      </c>
      <c r="I2332" s="3" t="s">
        <v>61</v>
      </c>
      <c r="J2332" s="3" t="s">
        <v>82</v>
      </c>
      <c r="K2332" s="2" t="str">
        <f aca="false">CONCATENATE(I2332," ",J2332)</f>
        <v>Trochosa terricola</v>
      </c>
      <c r="L2332" s="3" t="n">
        <f aca="false">SUM(P2332:U2332)</f>
        <v>1</v>
      </c>
      <c r="M2332" s="11" t="n">
        <f aca="false">(L2332/(F2332*G2332)*25)*4</f>
        <v>4</v>
      </c>
      <c r="N2332" s="1" t="s">
        <v>30</v>
      </c>
      <c r="O2332" s="1" t="s">
        <v>31</v>
      </c>
      <c r="P2332" s="3" t="n">
        <v>1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f aca="false">SUM(P2332:Q2332)</f>
        <v>1</v>
      </c>
      <c r="W2332" s="3" t="n">
        <f aca="false">SUM(R2332:T2332)</f>
        <v>0</v>
      </c>
      <c r="X2332" s="22" t="n">
        <v>41793</v>
      </c>
      <c r="Y2332" s="22" t="n">
        <v>41798</v>
      </c>
    </row>
    <row r="2333" customFormat="false" ht="14.25" hidden="false" customHeight="false" outlineLevel="0" collapsed="false">
      <c r="A2333" s="1" t="n">
        <v>2014</v>
      </c>
      <c r="B2333" s="1" t="n">
        <v>1</v>
      </c>
      <c r="C2333" s="2" t="s">
        <v>25</v>
      </c>
      <c r="D2333" s="3" t="s">
        <v>101</v>
      </c>
      <c r="E2333" s="3" t="n">
        <v>1</v>
      </c>
      <c r="F2333" s="1" t="n">
        <f aca="false">Y2333-X2333</f>
        <v>5</v>
      </c>
      <c r="G2333" s="1" t="n">
        <v>5</v>
      </c>
      <c r="H2333" s="3" t="s">
        <v>48</v>
      </c>
      <c r="I2333" s="3" t="s">
        <v>61</v>
      </c>
      <c r="J2333" s="3" t="s">
        <v>38</v>
      </c>
      <c r="K2333" s="2" t="str">
        <f aca="false">CONCATENATE(I2333," ",J2333)</f>
        <v>Trochosa sp</v>
      </c>
      <c r="L2333" s="3" t="n">
        <f aca="false">SUM(P2333:U2333)</f>
        <v>2</v>
      </c>
      <c r="M2333" s="11" t="n">
        <f aca="false">(L2333/(F2333*G2333)*25)*4</f>
        <v>8</v>
      </c>
      <c r="N2333" s="1" t="s">
        <v>19</v>
      </c>
      <c r="O2333" s="1" t="s">
        <v>31</v>
      </c>
      <c r="P2333" s="3" t="n">
        <v>0</v>
      </c>
      <c r="Q2333" s="3" t="n">
        <v>0</v>
      </c>
      <c r="R2333" s="3" t="n">
        <v>2</v>
      </c>
      <c r="S2333" s="3" t="n">
        <v>0</v>
      </c>
      <c r="T2333" s="3" t="n">
        <v>0</v>
      </c>
      <c r="U2333" s="3" t="n">
        <v>0</v>
      </c>
      <c r="V2333" s="3" t="n">
        <f aca="false">SUM(P2333:Q2333)</f>
        <v>0</v>
      </c>
      <c r="W2333" s="3" t="n">
        <f aca="false">SUM(R2333:T2333)</f>
        <v>2</v>
      </c>
      <c r="X2333" s="22" t="n">
        <v>41793</v>
      </c>
      <c r="Y2333" s="22" t="n">
        <v>41798</v>
      </c>
    </row>
    <row r="2334" customFormat="false" ht="14.25" hidden="false" customHeight="false" outlineLevel="0" collapsed="false">
      <c r="A2334" s="1" t="n">
        <v>2014</v>
      </c>
      <c r="B2334" s="1" t="n">
        <v>1</v>
      </c>
      <c r="C2334" s="2" t="s">
        <v>25</v>
      </c>
      <c r="D2334" s="3" t="s">
        <v>101</v>
      </c>
      <c r="E2334" s="3" t="n">
        <v>1</v>
      </c>
      <c r="F2334" s="1" t="n">
        <f aca="false">Y2334-X2334</f>
        <v>5</v>
      </c>
      <c r="G2334" s="1" t="n">
        <v>5</v>
      </c>
      <c r="H2334" s="3" t="s">
        <v>48</v>
      </c>
      <c r="I2334" s="3" t="s">
        <v>61</v>
      </c>
      <c r="J2334" s="3" t="s">
        <v>38</v>
      </c>
      <c r="K2334" s="2" t="str">
        <f aca="false">CONCATENATE(I2334," ",J2334)</f>
        <v>Trochosa sp</v>
      </c>
      <c r="L2334" s="3" t="n">
        <f aca="false">SUM(P2334:U2334)</f>
        <v>1</v>
      </c>
      <c r="M2334" s="11" t="n">
        <f aca="false">(L2334/(F2334*G2334)*25)*4</f>
        <v>4</v>
      </c>
      <c r="N2334" s="1" t="s">
        <v>19</v>
      </c>
      <c r="O2334" s="1" t="s">
        <v>35</v>
      </c>
      <c r="P2334" s="3" t="n">
        <v>0</v>
      </c>
      <c r="Q2334" s="3" t="n">
        <v>0</v>
      </c>
      <c r="R2334" s="3" t="n">
        <v>0</v>
      </c>
      <c r="S2334" s="3" t="n">
        <v>1</v>
      </c>
      <c r="T2334" s="3" t="n">
        <v>0</v>
      </c>
      <c r="U2334" s="3" t="n">
        <v>0</v>
      </c>
      <c r="V2334" s="3" t="n">
        <f aca="false">SUM(P2334:Q2334)</f>
        <v>0</v>
      </c>
      <c r="W2334" s="3" t="n">
        <f aca="false">SUM(R2334:T2334)</f>
        <v>1</v>
      </c>
      <c r="X2334" s="22" t="n">
        <v>41793</v>
      </c>
      <c r="Y2334" s="22" t="n">
        <v>41798</v>
      </c>
    </row>
    <row r="2335" customFormat="false" ht="14.25" hidden="false" customHeight="false" outlineLevel="0" collapsed="false">
      <c r="A2335" s="1" t="n">
        <v>2014</v>
      </c>
      <c r="B2335" s="1" t="n">
        <v>1</v>
      </c>
      <c r="C2335" s="2" t="s">
        <v>25</v>
      </c>
      <c r="D2335" s="3" t="s">
        <v>101</v>
      </c>
      <c r="E2335" s="3" t="n">
        <v>1</v>
      </c>
      <c r="F2335" s="1" t="n">
        <f aca="false">Y2335-X2335</f>
        <v>5</v>
      </c>
      <c r="G2335" s="1" t="n">
        <v>5</v>
      </c>
      <c r="H2335" s="3" t="s">
        <v>48</v>
      </c>
      <c r="I2335" s="3" t="s">
        <v>61</v>
      </c>
      <c r="J2335" s="3" t="s">
        <v>38</v>
      </c>
      <c r="K2335" s="2" t="str">
        <f aca="false">CONCATENATE(I2335," ",J2335)</f>
        <v>Trochosa sp</v>
      </c>
      <c r="L2335" s="3" t="n">
        <f aca="false">SUM(P2335:U2335)</f>
        <v>1</v>
      </c>
      <c r="M2335" s="11" t="n">
        <f aca="false">(L2335/(F2335*G2335)*25)*4</f>
        <v>4</v>
      </c>
      <c r="N2335" s="1" t="s">
        <v>19</v>
      </c>
      <c r="O2335" s="1" t="s">
        <v>54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1</v>
      </c>
      <c r="U2335" s="3" t="n">
        <v>0</v>
      </c>
      <c r="V2335" s="3" t="n">
        <f aca="false">SUM(P2335:Q2335)</f>
        <v>0</v>
      </c>
      <c r="W2335" s="3" t="n">
        <f aca="false">SUM(R2335:T2335)</f>
        <v>1</v>
      </c>
      <c r="X2335" s="22" t="n">
        <v>41793</v>
      </c>
      <c r="Y2335" s="22" t="n">
        <v>41798</v>
      </c>
    </row>
    <row r="2336" customFormat="false" ht="14.25" hidden="false" customHeight="false" outlineLevel="0" collapsed="false">
      <c r="A2336" s="1" t="n">
        <v>2014</v>
      </c>
      <c r="B2336" s="1" t="n">
        <v>1</v>
      </c>
      <c r="C2336" s="2" t="s">
        <v>25</v>
      </c>
      <c r="D2336" s="3" t="s">
        <v>101</v>
      </c>
      <c r="E2336" s="3" t="n">
        <v>1</v>
      </c>
      <c r="F2336" s="1" t="n">
        <f aca="false">Y2336-X2336</f>
        <v>5</v>
      </c>
      <c r="G2336" s="1" t="n">
        <v>5</v>
      </c>
      <c r="H2336" s="3" t="s">
        <v>48</v>
      </c>
      <c r="I2336" s="3" t="s">
        <v>67</v>
      </c>
      <c r="J2336" s="3" t="s">
        <v>127</v>
      </c>
      <c r="K2336" s="2" t="str">
        <f aca="false">CONCATENATE(I2336," ",J2336)</f>
        <v>Pardosa lugubris</v>
      </c>
      <c r="L2336" s="3" t="n">
        <f aca="false">SUM(P2336:U2336)</f>
        <v>1</v>
      </c>
      <c r="M2336" s="11" t="n">
        <f aca="false">(L2336/(F2336*G2336)*25)*4</f>
        <v>4</v>
      </c>
      <c r="N2336" s="1" t="s">
        <v>30</v>
      </c>
      <c r="O2336" s="1" t="s">
        <v>31</v>
      </c>
      <c r="P2336" s="3" t="n">
        <v>1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f aca="false">SUM(P2336:Q2336)</f>
        <v>1</v>
      </c>
      <c r="W2336" s="3" t="n">
        <f aca="false">SUM(R2336:T2336)</f>
        <v>0</v>
      </c>
      <c r="X2336" s="22" t="n">
        <v>41793</v>
      </c>
      <c r="Y2336" s="22" t="n">
        <v>41798</v>
      </c>
    </row>
    <row r="2337" customFormat="false" ht="14.25" hidden="false" customHeight="false" outlineLevel="0" collapsed="false">
      <c r="A2337" s="1" t="n">
        <v>2014</v>
      </c>
      <c r="B2337" s="1" t="n">
        <v>1</v>
      </c>
      <c r="C2337" s="2" t="s">
        <v>25</v>
      </c>
      <c r="D2337" s="3" t="s">
        <v>101</v>
      </c>
      <c r="E2337" s="3" t="n">
        <v>1</v>
      </c>
      <c r="F2337" s="1" t="n">
        <f aca="false">Y2337-X2337</f>
        <v>5</v>
      </c>
      <c r="G2337" s="1" t="n">
        <v>5</v>
      </c>
      <c r="H2337" s="3" t="s">
        <v>48</v>
      </c>
      <c r="I2337" s="3" t="s">
        <v>49</v>
      </c>
      <c r="J2337" s="3" t="s">
        <v>38</v>
      </c>
      <c r="K2337" s="2" t="str">
        <f aca="false">CONCATENATE(I2337," ",J2337)</f>
        <v>Alopecosa sp</v>
      </c>
      <c r="L2337" s="3" t="n">
        <f aca="false">SUM(P2337:U2337)</f>
        <v>1</v>
      </c>
      <c r="M2337" s="11" t="n">
        <f aca="false">(L2337/(F2337*G2337)*25)*4</f>
        <v>4</v>
      </c>
      <c r="N2337" s="1" t="s">
        <v>19</v>
      </c>
      <c r="O2337" s="1" t="s">
        <v>54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1</v>
      </c>
      <c r="U2337" s="3" t="n">
        <v>0</v>
      </c>
      <c r="V2337" s="3" t="n">
        <f aca="false">SUM(P2337:Q2337)</f>
        <v>0</v>
      </c>
      <c r="W2337" s="3" t="n">
        <f aca="false">SUM(R2337:T2337)</f>
        <v>1</v>
      </c>
      <c r="X2337" s="22" t="n">
        <v>41793</v>
      </c>
      <c r="Y2337" s="22" t="n">
        <v>41798</v>
      </c>
    </row>
    <row r="2338" customFormat="false" ht="14.25" hidden="false" customHeight="false" outlineLevel="0" collapsed="false">
      <c r="A2338" s="1" t="n">
        <v>2014</v>
      </c>
      <c r="B2338" s="1" t="n">
        <v>1</v>
      </c>
      <c r="C2338" s="2" t="s">
        <v>25</v>
      </c>
      <c r="D2338" s="3" t="s">
        <v>101</v>
      </c>
      <c r="E2338" s="3" t="n">
        <v>1</v>
      </c>
      <c r="F2338" s="1" t="n">
        <f aca="false">Y2338-X2338</f>
        <v>5</v>
      </c>
      <c r="G2338" s="1" t="n">
        <v>5</v>
      </c>
      <c r="H2338" s="3" t="s">
        <v>226</v>
      </c>
      <c r="I2338" s="3" t="s">
        <v>65</v>
      </c>
      <c r="J2338" s="3" t="s">
        <v>123</v>
      </c>
      <c r="K2338" s="2" t="str">
        <f aca="false">CONCATENATE(I2338," ",J2338)</f>
        <v>Zora nemoralis</v>
      </c>
      <c r="L2338" s="3" t="n">
        <f aca="false">SUM(P2338:U2338)</f>
        <v>1</v>
      </c>
      <c r="M2338" s="11" t="n">
        <f aca="false">(L2338/(F2338*G2338)*25)*4</f>
        <v>4</v>
      </c>
      <c r="N2338" s="1" t="s">
        <v>30</v>
      </c>
      <c r="O2338" s="1" t="s">
        <v>31</v>
      </c>
      <c r="P2338" s="3" t="n">
        <v>1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f aca="false">SUM(P2338:Q2338)</f>
        <v>1</v>
      </c>
      <c r="W2338" s="3" t="n">
        <f aca="false">SUM(R2338:T2338)</f>
        <v>0</v>
      </c>
      <c r="X2338" s="22" t="n">
        <v>41793</v>
      </c>
      <c r="Y2338" s="22" t="n">
        <v>41798</v>
      </c>
    </row>
    <row r="2339" customFormat="false" ht="14.25" hidden="false" customHeight="false" outlineLevel="0" collapsed="false">
      <c r="A2339" s="1" t="n">
        <v>2014</v>
      </c>
      <c r="B2339" s="1" t="n">
        <v>1</v>
      </c>
      <c r="C2339" s="2" t="s">
        <v>25</v>
      </c>
      <c r="D2339" s="3" t="s">
        <v>101</v>
      </c>
      <c r="E2339" s="3" t="n">
        <v>1</v>
      </c>
      <c r="F2339" s="1" t="n">
        <f aca="false">Y2339-X2339</f>
        <v>5</v>
      </c>
      <c r="G2339" s="1" t="n">
        <v>5</v>
      </c>
      <c r="H2339" s="3" t="s">
        <v>72</v>
      </c>
      <c r="I2339" s="3" t="s">
        <v>73</v>
      </c>
      <c r="J2339" s="3" t="s">
        <v>74</v>
      </c>
      <c r="K2339" s="2" t="str">
        <f aca="false">CONCATENATE(I2339," ",J2339)</f>
        <v>Zelotes subterraneus</v>
      </c>
      <c r="L2339" s="3" t="n">
        <f aca="false">SUM(P2339:U2339)</f>
        <v>1</v>
      </c>
      <c r="M2339" s="11" t="n">
        <f aca="false">(L2339/(F2339*G2339)*25)*4</f>
        <v>4</v>
      </c>
      <c r="N2339" s="1" t="s">
        <v>30</v>
      </c>
      <c r="O2339" s="1" t="s">
        <v>31</v>
      </c>
      <c r="P2339" s="3" t="n">
        <v>1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0</v>
      </c>
      <c r="V2339" s="3" t="n">
        <f aca="false">SUM(P2339:Q2339)</f>
        <v>1</v>
      </c>
      <c r="W2339" s="3" t="n">
        <f aca="false">SUM(R2339:T2339)</f>
        <v>0</v>
      </c>
      <c r="X2339" s="22" t="n">
        <v>41793</v>
      </c>
      <c r="Y2339" s="22" t="n">
        <v>41798</v>
      </c>
    </row>
    <row r="2340" customFormat="false" ht="14.25" hidden="false" customHeight="false" outlineLevel="0" collapsed="false">
      <c r="A2340" s="1" t="n">
        <v>2014</v>
      </c>
      <c r="B2340" s="1" t="n">
        <v>1</v>
      </c>
      <c r="C2340" s="2" t="s">
        <v>25</v>
      </c>
      <c r="D2340" s="3" t="s">
        <v>101</v>
      </c>
      <c r="E2340" s="3" t="n">
        <v>1</v>
      </c>
      <c r="F2340" s="1" t="n">
        <f aca="false">Y2340-X2340</f>
        <v>5</v>
      </c>
      <c r="G2340" s="1" t="n">
        <v>5</v>
      </c>
      <c r="H2340" s="3" t="s">
        <v>32</v>
      </c>
      <c r="I2340" s="3" t="s">
        <v>96</v>
      </c>
      <c r="J2340" s="3" t="s">
        <v>97</v>
      </c>
      <c r="K2340" s="2" t="str">
        <f aca="false">CONCATENATE(I2340," ",J2340)</f>
        <v>Diplocephalus picinus</v>
      </c>
      <c r="L2340" s="3" t="n">
        <f aca="false">SUM(P2340:U2340)</f>
        <v>1</v>
      </c>
      <c r="M2340" s="11" t="n">
        <f aca="false">(L2340/(F2340*G2340)*25)*4</f>
        <v>4</v>
      </c>
      <c r="N2340" s="1" t="s">
        <v>30</v>
      </c>
      <c r="O2340" s="1" t="s">
        <v>31</v>
      </c>
      <c r="P2340" s="3" t="n">
        <v>1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f aca="false">SUM(P2340:Q2340)</f>
        <v>1</v>
      </c>
      <c r="W2340" s="3" t="n">
        <f aca="false">SUM(R2340:T2340)</f>
        <v>0</v>
      </c>
      <c r="X2340" s="22" t="n">
        <v>41793</v>
      </c>
      <c r="Y2340" s="22" t="n">
        <v>41798</v>
      </c>
    </row>
    <row r="2341" customFormat="false" ht="14.25" hidden="false" customHeight="false" outlineLevel="0" collapsed="false">
      <c r="A2341" s="1" t="n">
        <v>2014</v>
      </c>
      <c r="B2341" s="1" t="n">
        <v>1</v>
      </c>
      <c r="C2341" s="2" t="s">
        <v>25</v>
      </c>
      <c r="D2341" s="3" t="s">
        <v>101</v>
      </c>
      <c r="E2341" s="3" t="n">
        <v>1</v>
      </c>
      <c r="F2341" s="1" t="n">
        <f aca="false">Y2341-X2341</f>
        <v>5</v>
      </c>
      <c r="G2341" s="1" t="n">
        <v>5</v>
      </c>
      <c r="H2341" s="3" t="s">
        <v>48</v>
      </c>
      <c r="I2341" s="3" t="s">
        <v>49</v>
      </c>
      <c r="J2341" s="3" t="s">
        <v>104</v>
      </c>
      <c r="K2341" s="2" t="str">
        <f aca="false">CONCATENATE(I2341," ",J2341)</f>
        <v>Alopecosa taeniata</v>
      </c>
      <c r="L2341" s="3" t="n">
        <f aca="false">SUM(P2341:U2341)</f>
        <v>1</v>
      </c>
      <c r="M2341" s="11" t="n">
        <f aca="false">(L2341/(F2341*G2341)*25)*4</f>
        <v>4</v>
      </c>
      <c r="N2341" s="1" t="s">
        <v>30</v>
      </c>
      <c r="O2341" s="1" t="s">
        <v>31</v>
      </c>
      <c r="P2341" s="3" t="n">
        <v>1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f aca="false">SUM(P2341:Q2341)</f>
        <v>1</v>
      </c>
      <c r="W2341" s="3" t="n">
        <f aca="false">SUM(R2341:T2341)</f>
        <v>0</v>
      </c>
      <c r="X2341" s="22" t="n">
        <v>41793</v>
      </c>
      <c r="Y2341" s="22" t="n">
        <v>41798</v>
      </c>
    </row>
    <row r="2342" customFormat="false" ht="14.25" hidden="false" customHeight="false" outlineLevel="0" collapsed="false">
      <c r="A2342" s="1" t="n">
        <v>2014</v>
      </c>
      <c r="B2342" s="1" t="n">
        <v>1</v>
      </c>
      <c r="C2342" s="2" t="s">
        <v>25</v>
      </c>
      <c r="D2342" s="3" t="s">
        <v>101</v>
      </c>
      <c r="E2342" s="3" t="n">
        <v>1</v>
      </c>
      <c r="F2342" s="1" t="n">
        <f aca="false">Y2342-X2342</f>
        <v>5</v>
      </c>
      <c r="G2342" s="1" t="n">
        <v>5</v>
      </c>
      <c r="H2342" s="3" t="s">
        <v>48</v>
      </c>
      <c r="I2342" s="3" t="s">
        <v>49</v>
      </c>
      <c r="J2342" s="3" t="s">
        <v>104</v>
      </c>
      <c r="K2342" s="2" t="str">
        <f aca="false">CONCATENATE(I2342," ",J2342)</f>
        <v>Alopecosa taeniata</v>
      </c>
      <c r="L2342" s="3" t="n">
        <f aca="false">SUM(P2342:U2342)</f>
        <v>6</v>
      </c>
      <c r="M2342" s="11" t="n">
        <f aca="false">(L2342/(F2342*G2342)*25)*4</f>
        <v>24</v>
      </c>
      <c r="N2342" s="1" t="s">
        <v>30</v>
      </c>
      <c r="O2342" s="1" t="s">
        <v>31</v>
      </c>
      <c r="P2342" s="3" t="n">
        <v>6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f aca="false">SUM(P2342:Q2342)</f>
        <v>6</v>
      </c>
      <c r="W2342" s="3" t="n">
        <f aca="false">SUM(R2342:T2342)</f>
        <v>0</v>
      </c>
      <c r="X2342" s="22" t="n">
        <v>41793</v>
      </c>
      <c r="Y2342" s="22" t="n">
        <v>41798</v>
      </c>
    </row>
    <row r="2343" customFormat="false" ht="14.25" hidden="false" customHeight="false" outlineLevel="0" collapsed="false">
      <c r="A2343" s="1" t="n">
        <v>2014</v>
      </c>
      <c r="B2343" s="1" t="n">
        <v>1</v>
      </c>
      <c r="C2343" s="2" t="s">
        <v>25</v>
      </c>
      <c r="D2343" s="3" t="s">
        <v>101</v>
      </c>
      <c r="E2343" s="3" t="n">
        <v>1</v>
      </c>
      <c r="F2343" s="1" t="n">
        <f aca="false">Y2343-X2343</f>
        <v>5</v>
      </c>
      <c r="G2343" s="1" t="n">
        <v>5</v>
      </c>
      <c r="H2343" s="3" t="s">
        <v>48</v>
      </c>
      <c r="I2343" s="3" t="s">
        <v>49</v>
      </c>
      <c r="J2343" s="3" t="s">
        <v>104</v>
      </c>
      <c r="K2343" s="2" t="str">
        <f aca="false">CONCATENATE(I2343," ",J2343)</f>
        <v>Alopecosa taeniata</v>
      </c>
      <c r="L2343" s="3" t="n">
        <f aca="false">SUM(P2343:U2343)</f>
        <v>2</v>
      </c>
      <c r="M2343" s="11" t="n">
        <f aca="false">(L2343/(F2343*G2343)*25)*4</f>
        <v>8</v>
      </c>
      <c r="N2343" s="1" t="s">
        <v>30</v>
      </c>
      <c r="O2343" s="1" t="s">
        <v>35</v>
      </c>
      <c r="P2343" s="3" t="n">
        <v>0</v>
      </c>
      <c r="Q2343" s="3" t="n">
        <v>2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f aca="false">SUM(P2343:Q2343)</f>
        <v>2</v>
      </c>
      <c r="W2343" s="3" t="n">
        <f aca="false">SUM(R2343:T2343)</f>
        <v>0</v>
      </c>
      <c r="X2343" s="22" t="n">
        <v>41793</v>
      </c>
      <c r="Y2343" s="22" t="n">
        <v>41798</v>
      </c>
    </row>
    <row r="2344" customFormat="false" ht="14.25" hidden="false" customHeight="false" outlineLevel="0" collapsed="false">
      <c r="A2344" s="1" t="n">
        <v>2014</v>
      </c>
      <c r="B2344" s="1" t="n">
        <v>1</v>
      </c>
      <c r="C2344" s="2" t="s">
        <v>25</v>
      </c>
      <c r="D2344" s="3" t="s">
        <v>101</v>
      </c>
      <c r="E2344" s="3" t="n">
        <v>1</v>
      </c>
      <c r="F2344" s="1" t="n">
        <f aca="false">Y2344-X2344</f>
        <v>5</v>
      </c>
      <c r="G2344" s="1" t="n">
        <v>5</v>
      </c>
      <c r="H2344" s="3" t="s">
        <v>48</v>
      </c>
      <c r="I2344" s="3" t="s">
        <v>49</v>
      </c>
      <c r="J2344" s="3" t="s">
        <v>223</v>
      </c>
      <c r="K2344" s="2" t="str">
        <f aca="false">CONCATENATE(I2344," ",J2344)</f>
        <v>Alopecosa pulverulenta</v>
      </c>
      <c r="L2344" s="3" t="n">
        <f aca="false">SUM(P2344:U2344)</f>
        <v>1</v>
      </c>
      <c r="M2344" s="11" t="n">
        <f aca="false">(L2344/(F2344*G2344)*25)*4</f>
        <v>4</v>
      </c>
      <c r="N2344" s="1" t="s">
        <v>30</v>
      </c>
      <c r="O2344" s="1" t="s">
        <v>31</v>
      </c>
      <c r="P2344" s="3" t="n">
        <v>1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f aca="false">SUM(P2344:Q2344)</f>
        <v>1</v>
      </c>
      <c r="W2344" s="3" t="n">
        <f aca="false">SUM(R2344:T2344)</f>
        <v>0</v>
      </c>
      <c r="X2344" s="22" t="n">
        <v>41793</v>
      </c>
      <c r="Y2344" s="22" t="n">
        <v>41798</v>
      </c>
    </row>
    <row r="2345" customFormat="false" ht="14.25" hidden="false" customHeight="false" outlineLevel="0" collapsed="false">
      <c r="A2345" s="1" t="n">
        <v>2014</v>
      </c>
      <c r="B2345" s="1" t="n">
        <v>1</v>
      </c>
      <c r="C2345" s="2" t="s">
        <v>25</v>
      </c>
      <c r="D2345" s="3" t="s">
        <v>101</v>
      </c>
      <c r="E2345" s="3" t="n">
        <v>1</v>
      </c>
      <c r="F2345" s="1" t="n">
        <f aca="false">Y2345-X2345</f>
        <v>5</v>
      </c>
      <c r="G2345" s="1" t="n">
        <v>5</v>
      </c>
      <c r="H2345" s="3" t="s">
        <v>48</v>
      </c>
      <c r="I2345" s="3" t="s">
        <v>49</v>
      </c>
      <c r="J2345" s="3" t="s">
        <v>130</v>
      </c>
      <c r="K2345" s="2" t="str">
        <f aca="false">CONCATENATE(I2345," ",J2345)</f>
        <v>Alopecosa aculeata</v>
      </c>
      <c r="L2345" s="3" t="n">
        <f aca="false">SUM(P2345:U2345)</f>
        <v>1</v>
      </c>
      <c r="M2345" s="11" t="n">
        <f aca="false">(L2345/(F2345*G2345)*25)*4</f>
        <v>4</v>
      </c>
      <c r="N2345" s="1" t="s">
        <v>30</v>
      </c>
      <c r="O2345" s="1" t="s">
        <v>31</v>
      </c>
      <c r="P2345" s="3" t="n">
        <v>1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f aca="false">SUM(P2345:Q2345)</f>
        <v>1</v>
      </c>
      <c r="W2345" s="3" t="n">
        <f aca="false">SUM(R2345:T2345)</f>
        <v>0</v>
      </c>
      <c r="X2345" s="22" t="n">
        <v>41793</v>
      </c>
      <c r="Y2345" s="22" t="n">
        <v>41798</v>
      </c>
    </row>
    <row r="2346" customFormat="false" ht="14.25" hidden="false" customHeight="false" outlineLevel="0" collapsed="false">
      <c r="A2346" s="1" t="n">
        <v>2014</v>
      </c>
      <c r="B2346" s="1" t="n">
        <v>1</v>
      </c>
      <c r="C2346" s="2" t="s">
        <v>25</v>
      </c>
      <c r="D2346" s="3" t="s">
        <v>101</v>
      </c>
      <c r="E2346" s="3" t="n">
        <v>1</v>
      </c>
      <c r="F2346" s="1" t="n">
        <f aca="false">Y2346-X2346</f>
        <v>5</v>
      </c>
      <c r="G2346" s="1" t="n">
        <v>5</v>
      </c>
      <c r="H2346" s="3" t="s">
        <v>72</v>
      </c>
      <c r="I2346" s="3" t="s">
        <v>242</v>
      </c>
      <c r="J2346" s="3" t="s">
        <v>166</v>
      </c>
      <c r="K2346" s="2" t="str">
        <f aca="false">CONCATENATE(I2346," ",J2346)</f>
        <v>Drassyllus pusillus</v>
      </c>
      <c r="L2346" s="3" t="n">
        <f aca="false">SUM(P2346:U2346)</f>
        <v>1</v>
      </c>
      <c r="M2346" s="11" t="n">
        <f aca="false">(L2346/(F2346*G2346)*25)*4</f>
        <v>4</v>
      </c>
      <c r="N2346" s="1" t="s">
        <v>30</v>
      </c>
      <c r="O2346" s="1" t="s">
        <v>31</v>
      </c>
      <c r="P2346" s="3" t="n">
        <v>1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f aca="false">SUM(P2346:Q2346)</f>
        <v>1</v>
      </c>
      <c r="W2346" s="3" t="n">
        <f aca="false">SUM(R2346:T2346)</f>
        <v>0</v>
      </c>
      <c r="X2346" s="22" t="n">
        <v>41793</v>
      </c>
      <c r="Y2346" s="22" t="n">
        <v>41798</v>
      </c>
    </row>
    <row r="2347" customFormat="false" ht="14.25" hidden="false" customHeight="false" outlineLevel="0" collapsed="false">
      <c r="A2347" s="1" t="n">
        <v>2014</v>
      </c>
      <c r="B2347" s="1" t="n">
        <v>1</v>
      </c>
      <c r="C2347" s="2" t="s">
        <v>25</v>
      </c>
      <c r="D2347" s="3" t="s">
        <v>101</v>
      </c>
      <c r="E2347" s="3" t="n">
        <v>1</v>
      </c>
      <c r="F2347" s="1" t="n">
        <f aca="false">Y2347-X2347</f>
        <v>5</v>
      </c>
      <c r="G2347" s="1" t="n">
        <v>5</v>
      </c>
      <c r="H2347" s="3" t="s">
        <v>48</v>
      </c>
      <c r="I2347" s="3" t="s">
        <v>49</v>
      </c>
      <c r="J2347" s="3" t="s">
        <v>38</v>
      </c>
      <c r="K2347" s="2" t="str">
        <f aca="false">CONCATENATE(I2347," ",J2347)</f>
        <v>Alopecosa sp</v>
      </c>
      <c r="L2347" s="3" t="n">
        <f aca="false">SUM(P2347:U2347)</f>
        <v>1</v>
      </c>
      <c r="M2347" s="11" t="n">
        <f aca="false">(L2347/(F2347*G2347)*25)*4</f>
        <v>4</v>
      </c>
      <c r="N2347" s="1" t="s">
        <v>19</v>
      </c>
      <c r="O2347" s="1" t="s">
        <v>54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1</v>
      </c>
      <c r="U2347" s="3" t="n">
        <v>0</v>
      </c>
      <c r="V2347" s="3" t="n">
        <f aca="false">SUM(P2347:Q2347)</f>
        <v>0</v>
      </c>
      <c r="W2347" s="3" t="n">
        <f aca="false">SUM(R2347:T2347)</f>
        <v>1</v>
      </c>
      <c r="X2347" s="22" t="n">
        <v>41793</v>
      </c>
      <c r="Y2347" s="22" t="n">
        <v>41798</v>
      </c>
    </row>
    <row r="2348" customFormat="false" ht="14.25" hidden="false" customHeight="false" outlineLevel="0" collapsed="false">
      <c r="A2348" s="1" t="n">
        <v>2014</v>
      </c>
      <c r="B2348" s="1" t="n">
        <v>1</v>
      </c>
      <c r="C2348" s="2" t="s">
        <v>25</v>
      </c>
      <c r="D2348" s="3" t="s">
        <v>101</v>
      </c>
      <c r="E2348" s="3" t="n">
        <v>1</v>
      </c>
      <c r="F2348" s="1" t="n">
        <f aca="false">Y2348-X2348</f>
        <v>5</v>
      </c>
      <c r="G2348" s="1" t="n">
        <v>5</v>
      </c>
      <c r="H2348" s="3" t="s">
        <v>48</v>
      </c>
      <c r="I2348" s="3" t="s">
        <v>67</v>
      </c>
      <c r="J2348" s="3" t="s">
        <v>127</v>
      </c>
      <c r="K2348" s="2" t="str">
        <f aca="false">CONCATENATE(I2348," ",J2348)</f>
        <v>Pardosa lugubris</v>
      </c>
      <c r="L2348" s="3" t="n">
        <f aca="false">SUM(P2348:U2348)</f>
        <v>2</v>
      </c>
      <c r="M2348" s="11" t="n">
        <f aca="false">(L2348/(F2348*G2348)*25)*4</f>
        <v>8</v>
      </c>
      <c r="N2348" s="1" t="s">
        <v>30</v>
      </c>
      <c r="O2348" s="1" t="s">
        <v>31</v>
      </c>
      <c r="P2348" s="3" t="n">
        <v>2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f aca="false">SUM(P2348:Q2348)</f>
        <v>2</v>
      </c>
      <c r="W2348" s="3" t="n">
        <f aca="false">SUM(R2348:T2348)</f>
        <v>0</v>
      </c>
      <c r="X2348" s="22" t="n">
        <v>41793</v>
      </c>
      <c r="Y2348" s="22" t="n">
        <v>41798</v>
      </c>
    </row>
    <row r="2349" customFormat="false" ht="14.25" hidden="false" customHeight="false" outlineLevel="0" collapsed="false">
      <c r="A2349" s="1" t="n">
        <v>2014</v>
      </c>
      <c r="B2349" s="1" t="n">
        <v>1</v>
      </c>
      <c r="C2349" s="2" t="s">
        <v>25</v>
      </c>
      <c r="D2349" s="3" t="s">
        <v>101</v>
      </c>
      <c r="E2349" s="3" t="n">
        <v>1</v>
      </c>
      <c r="F2349" s="1" t="n">
        <f aca="false">Y2349-X2349</f>
        <v>5</v>
      </c>
      <c r="G2349" s="1" t="n">
        <v>5</v>
      </c>
      <c r="H2349" s="3" t="s">
        <v>72</v>
      </c>
      <c r="I2349" s="3" t="s">
        <v>86</v>
      </c>
      <c r="J2349" s="3" t="s">
        <v>87</v>
      </c>
      <c r="K2349" s="2" t="str">
        <f aca="false">CONCATENATE(I2349," ",J2349)</f>
        <v>Haplodrassus soerenseni</v>
      </c>
      <c r="L2349" s="3" t="n">
        <f aca="false">SUM(P2349:U2349)</f>
        <v>1</v>
      </c>
      <c r="M2349" s="11" t="n">
        <f aca="false">(L2349/(F2349*G2349)*25)*4</f>
        <v>4</v>
      </c>
      <c r="N2349" s="1" t="s">
        <v>30</v>
      </c>
      <c r="O2349" s="1" t="s">
        <v>31</v>
      </c>
      <c r="P2349" s="3" t="n">
        <v>1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f aca="false">SUM(P2349:Q2349)</f>
        <v>1</v>
      </c>
      <c r="W2349" s="3" t="n">
        <f aca="false">SUM(R2349:T2349)</f>
        <v>0</v>
      </c>
      <c r="X2349" s="22" t="n">
        <v>41793</v>
      </c>
      <c r="Y2349" s="22" t="n">
        <v>41798</v>
      </c>
    </row>
    <row r="2350" customFormat="false" ht="14.25" hidden="false" customHeight="false" outlineLevel="0" collapsed="false">
      <c r="A2350" s="1" t="n">
        <v>2014</v>
      </c>
      <c r="B2350" s="1" t="n">
        <v>1</v>
      </c>
      <c r="C2350" s="2" t="s">
        <v>25</v>
      </c>
      <c r="D2350" s="3" t="s">
        <v>101</v>
      </c>
      <c r="E2350" s="3" t="n">
        <v>1</v>
      </c>
      <c r="F2350" s="1" t="n">
        <f aca="false">Y2350-X2350</f>
        <v>5</v>
      </c>
      <c r="G2350" s="1" t="n">
        <v>5</v>
      </c>
      <c r="H2350" s="3" t="s">
        <v>226</v>
      </c>
      <c r="I2350" s="3" t="s">
        <v>65</v>
      </c>
      <c r="J2350" s="3" t="s">
        <v>123</v>
      </c>
      <c r="K2350" s="2" t="str">
        <f aca="false">CONCATENATE(I2350," ",J2350)</f>
        <v>Zora nemoralis</v>
      </c>
      <c r="L2350" s="3" t="n">
        <f aca="false">SUM(P2350:U2350)</f>
        <v>1</v>
      </c>
      <c r="M2350" s="11" t="n">
        <f aca="false">(L2350/(F2350*G2350)*25)*4</f>
        <v>4</v>
      </c>
      <c r="N2350" s="1" t="s">
        <v>30</v>
      </c>
      <c r="O2350" s="1" t="s">
        <v>31</v>
      </c>
      <c r="P2350" s="3" t="n">
        <v>1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f aca="false">SUM(P2350:Q2350)</f>
        <v>1</v>
      </c>
      <c r="W2350" s="3" t="n">
        <f aca="false">SUM(R2350:T2350)</f>
        <v>0</v>
      </c>
      <c r="X2350" s="22" t="n">
        <v>41793</v>
      </c>
      <c r="Y2350" s="22" t="n">
        <v>41798</v>
      </c>
    </row>
    <row r="2351" customFormat="false" ht="14.25" hidden="false" customHeight="false" outlineLevel="0" collapsed="false">
      <c r="A2351" s="1" t="n">
        <v>2014</v>
      </c>
      <c r="B2351" s="1" t="n">
        <v>1</v>
      </c>
      <c r="C2351" s="2" t="s">
        <v>25</v>
      </c>
      <c r="D2351" s="3" t="s">
        <v>101</v>
      </c>
      <c r="E2351" s="3" t="n">
        <v>1</v>
      </c>
      <c r="F2351" s="1" t="n">
        <f aca="false">Y2351-X2351</f>
        <v>5</v>
      </c>
      <c r="G2351" s="1" t="n">
        <v>5</v>
      </c>
      <c r="H2351" s="3" t="s">
        <v>48</v>
      </c>
      <c r="I2351" s="3" t="s">
        <v>49</v>
      </c>
      <c r="J2351" s="3" t="s">
        <v>130</v>
      </c>
      <c r="K2351" s="2" t="str">
        <f aca="false">CONCATENATE(I2351," ",J2351)</f>
        <v>Alopecosa aculeata</v>
      </c>
      <c r="L2351" s="3" t="n">
        <f aca="false">SUM(P2351:U2351)</f>
        <v>1</v>
      </c>
      <c r="M2351" s="11" t="n">
        <f aca="false">(L2351/(F2351*G2351)*25)*4</f>
        <v>4</v>
      </c>
      <c r="N2351" s="1" t="s">
        <v>30</v>
      </c>
      <c r="O2351" s="1" t="s">
        <v>31</v>
      </c>
      <c r="P2351" s="3" t="n">
        <v>1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f aca="false">SUM(P2351:Q2351)</f>
        <v>1</v>
      </c>
      <c r="W2351" s="3" t="n">
        <f aca="false">SUM(R2351:T2351)</f>
        <v>0</v>
      </c>
      <c r="X2351" s="22" t="n">
        <v>41793</v>
      </c>
      <c r="Y2351" s="22" t="n">
        <v>41798</v>
      </c>
    </row>
    <row r="2352" customFormat="false" ht="14.25" hidden="false" customHeight="false" outlineLevel="0" collapsed="false">
      <c r="A2352" s="1" t="n">
        <v>2014</v>
      </c>
      <c r="B2352" s="1" t="n">
        <v>1</v>
      </c>
      <c r="C2352" s="2" t="s">
        <v>25</v>
      </c>
      <c r="D2352" s="3" t="s">
        <v>101</v>
      </c>
      <c r="E2352" s="3" t="n">
        <v>1</v>
      </c>
      <c r="F2352" s="1" t="n">
        <f aca="false">Y2352-X2352</f>
        <v>5</v>
      </c>
      <c r="G2352" s="1" t="n">
        <v>5</v>
      </c>
      <c r="H2352" s="3" t="s">
        <v>48</v>
      </c>
      <c r="I2352" s="3" t="s">
        <v>49</v>
      </c>
      <c r="J2352" s="3" t="s">
        <v>223</v>
      </c>
      <c r="K2352" s="2" t="str">
        <f aca="false">CONCATENATE(I2352," ",J2352)</f>
        <v>Alopecosa pulverulenta</v>
      </c>
      <c r="L2352" s="3" t="n">
        <f aca="false">SUM(P2352:U2352)</f>
        <v>1</v>
      </c>
      <c r="M2352" s="11" t="n">
        <f aca="false">(L2352/(F2352*G2352)*25)*4</f>
        <v>4</v>
      </c>
      <c r="N2352" s="1" t="s">
        <v>30</v>
      </c>
      <c r="O2352" s="1" t="s">
        <v>31</v>
      </c>
      <c r="P2352" s="3" t="n">
        <v>1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f aca="false">SUM(P2352:Q2352)</f>
        <v>1</v>
      </c>
      <c r="W2352" s="3" t="n">
        <f aca="false">SUM(R2352:T2352)</f>
        <v>0</v>
      </c>
      <c r="X2352" s="22" t="n">
        <v>41793</v>
      </c>
      <c r="Y2352" s="22" t="n">
        <v>41798</v>
      </c>
    </row>
    <row r="2353" customFormat="false" ht="14.25" hidden="false" customHeight="false" outlineLevel="0" collapsed="false">
      <c r="A2353" s="1" t="n">
        <v>2014</v>
      </c>
      <c r="B2353" s="1" t="n">
        <v>1</v>
      </c>
      <c r="C2353" s="2" t="s">
        <v>25</v>
      </c>
      <c r="D2353" s="3" t="s">
        <v>101</v>
      </c>
      <c r="E2353" s="3" t="n">
        <v>1</v>
      </c>
      <c r="F2353" s="1" t="n">
        <f aca="false">Y2353-X2353</f>
        <v>5</v>
      </c>
      <c r="G2353" s="1" t="n">
        <v>5</v>
      </c>
      <c r="H2353" s="3" t="s">
        <v>48</v>
      </c>
      <c r="I2353" s="3" t="s">
        <v>49</v>
      </c>
      <c r="J2353" s="3" t="s">
        <v>104</v>
      </c>
      <c r="K2353" s="2" t="str">
        <f aca="false">CONCATENATE(I2353," ",J2353)</f>
        <v>Alopecosa taeniata</v>
      </c>
      <c r="L2353" s="3" t="n">
        <f aca="false">SUM(P2353:U2353)</f>
        <v>6</v>
      </c>
      <c r="M2353" s="11" t="n">
        <f aca="false">(L2353/(F2353*G2353)*25)*4</f>
        <v>24</v>
      </c>
      <c r="N2353" s="1" t="s">
        <v>30</v>
      </c>
      <c r="O2353" s="1" t="s">
        <v>31</v>
      </c>
      <c r="P2353" s="3" t="n">
        <v>6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f aca="false">SUM(P2353:Q2353)</f>
        <v>6</v>
      </c>
      <c r="W2353" s="3" t="n">
        <f aca="false">SUM(R2353:T2353)</f>
        <v>0</v>
      </c>
      <c r="X2353" s="22" t="n">
        <v>41793</v>
      </c>
      <c r="Y2353" s="22" t="n">
        <v>41798</v>
      </c>
    </row>
    <row r="2354" customFormat="false" ht="14.25" hidden="false" customHeight="false" outlineLevel="0" collapsed="false">
      <c r="A2354" s="1" t="n">
        <v>2014</v>
      </c>
      <c r="B2354" s="1" t="n">
        <v>1</v>
      </c>
      <c r="C2354" s="2" t="s">
        <v>25</v>
      </c>
      <c r="D2354" s="3" t="s">
        <v>101</v>
      </c>
      <c r="E2354" s="3" t="n">
        <v>1</v>
      </c>
      <c r="F2354" s="1" t="n">
        <f aca="false">Y2354-X2354</f>
        <v>5</v>
      </c>
      <c r="G2354" s="1" t="n">
        <v>5</v>
      </c>
      <c r="H2354" s="3" t="s">
        <v>48</v>
      </c>
      <c r="I2354" s="3" t="s">
        <v>49</v>
      </c>
      <c r="J2354" s="3" t="s">
        <v>104</v>
      </c>
      <c r="K2354" s="2" t="str">
        <f aca="false">CONCATENATE(I2354," ",J2354)</f>
        <v>Alopecosa taeniata</v>
      </c>
      <c r="L2354" s="3" t="n">
        <f aca="false">SUM(P2354:U2354)</f>
        <v>1</v>
      </c>
      <c r="M2354" s="11" t="n">
        <f aca="false">(L2354/(F2354*G2354)*25)*4</f>
        <v>4</v>
      </c>
      <c r="N2354" s="1" t="s">
        <v>30</v>
      </c>
      <c r="O2354" s="1" t="s">
        <v>35</v>
      </c>
      <c r="P2354" s="3" t="n">
        <v>0</v>
      </c>
      <c r="Q2354" s="3" t="n">
        <v>1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f aca="false">SUM(P2354:Q2354)</f>
        <v>1</v>
      </c>
      <c r="W2354" s="3" t="n">
        <f aca="false">SUM(R2354:T2354)</f>
        <v>0</v>
      </c>
      <c r="X2354" s="22" t="n">
        <v>41793</v>
      </c>
      <c r="Y2354" s="22" t="n">
        <v>41798</v>
      </c>
    </row>
    <row r="2355" customFormat="false" ht="14.25" hidden="false" customHeight="false" outlineLevel="0" collapsed="false">
      <c r="A2355" s="1" t="n">
        <v>2014</v>
      </c>
      <c r="B2355" s="1" t="n">
        <v>1</v>
      </c>
      <c r="C2355" s="2" t="s">
        <v>25</v>
      </c>
      <c r="D2355" s="3" t="s">
        <v>101</v>
      </c>
      <c r="E2355" s="3" t="n">
        <v>2</v>
      </c>
      <c r="F2355" s="1" t="n">
        <f aca="false">Y2355-X2355</f>
        <v>5</v>
      </c>
      <c r="G2355" s="1" t="n">
        <v>5</v>
      </c>
      <c r="H2355" s="3" t="s">
        <v>32</v>
      </c>
      <c r="I2355" s="3" t="s">
        <v>84</v>
      </c>
      <c r="J2355" s="3" t="s">
        <v>85</v>
      </c>
      <c r="K2355" s="2" t="str">
        <f aca="false">CONCATENATE(I2355," ",J2355)</f>
        <v>Walckenaeria antica</v>
      </c>
      <c r="L2355" s="3" t="n">
        <f aca="false">SUM(P2355:U2355)</f>
        <v>1</v>
      </c>
      <c r="M2355" s="11" t="n">
        <f aca="false">(L2355/(F2355*G2355)*25)*4</f>
        <v>4</v>
      </c>
      <c r="N2355" s="1" t="s">
        <v>30</v>
      </c>
      <c r="O2355" s="1" t="s">
        <v>35</v>
      </c>
      <c r="P2355" s="3" t="n">
        <v>0</v>
      </c>
      <c r="Q2355" s="3" t="n">
        <v>1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f aca="false">SUM(P2355:Q2355)</f>
        <v>1</v>
      </c>
      <c r="W2355" s="3" t="n">
        <f aca="false">SUM(R2355:T2355)</f>
        <v>0</v>
      </c>
      <c r="X2355" s="22" t="n">
        <v>41793</v>
      </c>
      <c r="Y2355" s="22" t="n">
        <v>41798</v>
      </c>
    </row>
    <row r="2356" customFormat="false" ht="14.25" hidden="false" customHeight="false" outlineLevel="0" collapsed="false">
      <c r="A2356" s="1" t="n">
        <v>2014</v>
      </c>
      <c r="B2356" s="1" t="n">
        <v>1</v>
      </c>
      <c r="C2356" s="2" t="s">
        <v>25</v>
      </c>
      <c r="D2356" s="3" t="s">
        <v>101</v>
      </c>
      <c r="E2356" s="3" t="n">
        <v>2</v>
      </c>
      <c r="F2356" s="1" t="n">
        <f aca="false">Y2356-X2356</f>
        <v>5</v>
      </c>
      <c r="G2356" s="1" t="n">
        <v>5</v>
      </c>
      <c r="H2356" s="3" t="s">
        <v>32</v>
      </c>
      <c r="I2356" s="3" t="s">
        <v>96</v>
      </c>
      <c r="J2356" s="3" t="s">
        <v>97</v>
      </c>
      <c r="K2356" s="2" t="str">
        <f aca="false">CONCATENATE(I2356," ",J2356)</f>
        <v>Diplocephalus picinus</v>
      </c>
      <c r="L2356" s="3" t="n">
        <f aca="false">SUM(P2356:U2356)</f>
        <v>1</v>
      </c>
      <c r="M2356" s="11" t="n">
        <f aca="false">(L2356/(F2356*G2356)*25)*4</f>
        <v>4</v>
      </c>
      <c r="N2356" s="1" t="s">
        <v>30</v>
      </c>
      <c r="O2356" s="1" t="s">
        <v>31</v>
      </c>
      <c r="P2356" s="3" t="n">
        <v>1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f aca="false">SUM(P2356:Q2356)</f>
        <v>1</v>
      </c>
      <c r="W2356" s="3" t="n">
        <f aca="false">SUM(R2356:T2356)</f>
        <v>0</v>
      </c>
      <c r="X2356" s="22" t="n">
        <v>41793</v>
      </c>
      <c r="Y2356" s="22" t="n">
        <v>41798</v>
      </c>
    </row>
    <row r="2357" customFormat="false" ht="14.25" hidden="false" customHeight="false" outlineLevel="0" collapsed="false">
      <c r="A2357" s="1" t="n">
        <v>2014</v>
      </c>
      <c r="B2357" s="1" t="n">
        <v>1</v>
      </c>
      <c r="C2357" s="2" t="s">
        <v>25</v>
      </c>
      <c r="D2357" s="3" t="s">
        <v>101</v>
      </c>
      <c r="E2357" s="3" t="n">
        <v>2</v>
      </c>
      <c r="F2357" s="1" t="n">
        <f aca="false">Y2357-X2357</f>
        <v>5</v>
      </c>
      <c r="G2357" s="1" t="n">
        <v>5</v>
      </c>
      <c r="H2357" s="3" t="s">
        <v>36</v>
      </c>
      <c r="I2357" s="3" t="s">
        <v>37</v>
      </c>
      <c r="J2357" s="3" t="s">
        <v>75</v>
      </c>
      <c r="K2357" s="2" t="str">
        <f aca="false">CONCATENATE(I2357," ",J2357)</f>
        <v>Ozyptila praticola</v>
      </c>
      <c r="L2357" s="3" t="n">
        <f aca="false">SUM(P2357:U2357)</f>
        <v>1</v>
      </c>
      <c r="M2357" s="11" t="n">
        <f aca="false">(L2357/(F2357*G2357)*25)*4</f>
        <v>4</v>
      </c>
      <c r="N2357" s="1" t="s">
        <v>30</v>
      </c>
      <c r="O2357" s="1" t="s">
        <v>31</v>
      </c>
      <c r="P2357" s="3" t="n">
        <v>1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f aca="false">SUM(P2357:Q2357)</f>
        <v>1</v>
      </c>
      <c r="W2357" s="3" t="n">
        <f aca="false">SUM(R2357:T2357)</f>
        <v>0</v>
      </c>
      <c r="X2357" s="22" t="n">
        <v>41793</v>
      </c>
      <c r="Y2357" s="22" t="n">
        <v>41798</v>
      </c>
    </row>
    <row r="2358" customFormat="false" ht="14.25" hidden="false" customHeight="false" outlineLevel="0" collapsed="false">
      <c r="A2358" s="1" t="n">
        <v>2014</v>
      </c>
      <c r="B2358" s="1" t="n">
        <v>1</v>
      </c>
      <c r="C2358" s="2" t="s">
        <v>25</v>
      </c>
      <c r="D2358" s="3" t="s">
        <v>101</v>
      </c>
      <c r="E2358" s="3" t="n">
        <v>2</v>
      </c>
      <c r="F2358" s="1" t="n">
        <f aca="false">Y2358-X2358</f>
        <v>5</v>
      </c>
      <c r="G2358" s="1" t="n">
        <v>5</v>
      </c>
      <c r="H2358" s="3" t="s">
        <v>36</v>
      </c>
      <c r="I2358" s="3" t="s">
        <v>131</v>
      </c>
      <c r="J2358" s="3" t="s">
        <v>133</v>
      </c>
      <c r="K2358" s="2" t="str">
        <f aca="false">CONCATENATE(I2358," ",J2358)</f>
        <v>Xysticus luctuosus</v>
      </c>
      <c r="L2358" s="3" t="n">
        <f aca="false">SUM(P2358:U2358)</f>
        <v>1</v>
      </c>
      <c r="M2358" s="11" t="n">
        <f aca="false">(L2358/(F2358*G2358)*25)*4</f>
        <v>4</v>
      </c>
      <c r="N2358" s="1" t="s">
        <v>30</v>
      </c>
      <c r="O2358" s="1" t="s">
        <v>31</v>
      </c>
      <c r="P2358" s="3" t="n">
        <v>1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f aca="false">SUM(P2358:Q2358)</f>
        <v>1</v>
      </c>
      <c r="W2358" s="3" t="n">
        <f aca="false">SUM(R2358:T2358)</f>
        <v>0</v>
      </c>
      <c r="X2358" s="22" t="n">
        <v>41793</v>
      </c>
      <c r="Y2358" s="22" t="n">
        <v>41798</v>
      </c>
    </row>
    <row r="2359" customFormat="false" ht="14.25" hidden="false" customHeight="false" outlineLevel="0" collapsed="false">
      <c r="A2359" s="1" t="n">
        <v>2014</v>
      </c>
      <c r="B2359" s="1" t="n">
        <v>1</v>
      </c>
      <c r="C2359" s="2" t="s">
        <v>25</v>
      </c>
      <c r="D2359" s="3" t="s">
        <v>101</v>
      </c>
      <c r="E2359" s="3" t="n">
        <v>2</v>
      </c>
      <c r="F2359" s="1" t="n">
        <f aca="false">Y2359-X2359</f>
        <v>5</v>
      </c>
      <c r="G2359" s="1" t="n">
        <v>5</v>
      </c>
      <c r="H2359" s="3" t="s">
        <v>72</v>
      </c>
      <c r="I2359" s="3" t="s">
        <v>73</v>
      </c>
      <c r="J2359" s="3" t="s">
        <v>74</v>
      </c>
      <c r="K2359" s="2" t="str">
        <f aca="false">CONCATENATE(I2359," ",J2359)</f>
        <v>Zelotes subterraneus</v>
      </c>
      <c r="L2359" s="3" t="n">
        <f aca="false">SUM(P2359:U2359)</f>
        <v>1</v>
      </c>
      <c r="M2359" s="11" t="n">
        <f aca="false">(L2359/(F2359*G2359)*25)*4</f>
        <v>4</v>
      </c>
      <c r="N2359" s="1" t="s">
        <v>30</v>
      </c>
      <c r="O2359" s="1" t="s">
        <v>31</v>
      </c>
      <c r="P2359" s="3" t="n">
        <v>1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f aca="false">SUM(P2359:Q2359)</f>
        <v>1</v>
      </c>
      <c r="W2359" s="3" t="n">
        <f aca="false">SUM(R2359:T2359)</f>
        <v>0</v>
      </c>
      <c r="X2359" s="22" t="n">
        <v>41793</v>
      </c>
      <c r="Y2359" s="22" t="n">
        <v>41798</v>
      </c>
    </row>
    <row r="2360" customFormat="false" ht="14.25" hidden="false" customHeight="false" outlineLevel="0" collapsed="false">
      <c r="A2360" s="1" t="n">
        <v>2014</v>
      </c>
      <c r="B2360" s="1" t="n">
        <v>1</v>
      </c>
      <c r="C2360" s="2" t="s">
        <v>25</v>
      </c>
      <c r="D2360" s="3" t="s">
        <v>101</v>
      </c>
      <c r="E2360" s="3" t="n">
        <v>2</v>
      </c>
      <c r="F2360" s="1" t="n">
        <f aca="false">Y2360-X2360</f>
        <v>5</v>
      </c>
      <c r="G2360" s="1" t="n">
        <v>5</v>
      </c>
      <c r="H2360" s="3" t="s">
        <v>48</v>
      </c>
      <c r="I2360" s="3" t="s">
        <v>67</v>
      </c>
      <c r="J2360" s="3" t="s">
        <v>127</v>
      </c>
      <c r="K2360" s="2" t="str">
        <f aca="false">CONCATENATE(I2360," ",J2360)</f>
        <v>Pardosa lugubris</v>
      </c>
      <c r="L2360" s="3" t="n">
        <f aca="false">SUM(P2360:U2360)</f>
        <v>1</v>
      </c>
      <c r="M2360" s="11" t="n">
        <f aca="false">(L2360/(F2360*G2360)*25)*4</f>
        <v>4</v>
      </c>
      <c r="N2360" s="1" t="s">
        <v>30</v>
      </c>
      <c r="O2360" s="1" t="s">
        <v>31</v>
      </c>
      <c r="P2360" s="3" t="n">
        <v>1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f aca="false">SUM(P2360:Q2360)</f>
        <v>1</v>
      </c>
      <c r="W2360" s="3" t="n">
        <f aca="false">SUM(R2360:T2360)</f>
        <v>0</v>
      </c>
      <c r="X2360" s="22" t="n">
        <v>41793</v>
      </c>
      <c r="Y2360" s="22" t="n">
        <v>41798</v>
      </c>
    </row>
    <row r="2361" customFormat="false" ht="14.25" hidden="false" customHeight="false" outlineLevel="0" collapsed="false">
      <c r="A2361" s="1" t="n">
        <v>2014</v>
      </c>
      <c r="B2361" s="1" t="n">
        <v>1</v>
      </c>
      <c r="C2361" s="2" t="s">
        <v>25</v>
      </c>
      <c r="D2361" s="3" t="s">
        <v>101</v>
      </c>
      <c r="E2361" s="3" t="n">
        <v>2</v>
      </c>
      <c r="F2361" s="1" t="n">
        <f aca="false">Y2361-X2361</f>
        <v>5</v>
      </c>
      <c r="G2361" s="1" t="n">
        <v>5</v>
      </c>
      <c r="H2361" s="3" t="s">
        <v>48</v>
      </c>
      <c r="I2361" s="3" t="s">
        <v>67</v>
      </c>
      <c r="J2361" s="3" t="s">
        <v>127</v>
      </c>
      <c r="K2361" s="2" t="str">
        <f aca="false">CONCATENATE(I2361," ",J2361)</f>
        <v>Pardosa lugubris</v>
      </c>
      <c r="L2361" s="3" t="n">
        <f aca="false">SUM(P2361:U2361)</f>
        <v>1</v>
      </c>
      <c r="M2361" s="11" t="n">
        <f aca="false">(L2361/(F2361*G2361)*25)*4</f>
        <v>4</v>
      </c>
      <c r="N2361" s="1" t="s">
        <v>30</v>
      </c>
      <c r="O2361" s="1" t="s">
        <v>35</v>
      </c>
      <c r="P2361" s="3" t="n">
        <v>0</v>
      </c>
      <c r="Q2361" s="3" t="n">
        <v>1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f aca="false">SUM(P2361:Q2361)</f>
        <v>1</v>
      </c>
      <c r="W2361" s="3" t="n">
        <f aca="false">SUM(R2361:T2361)</f>
        <v>0</v>
      </c>
      <c r="X2361" s="22" t="n">
        <v>41793</v>
      </c>
      <c r="Y2361" s="22" t="n">
        <v>41798</v>
      </c>
    </row>
    <row r="2362" customFormat="false" ht="14.25" hidden="false" customHeight="false" outlineLevel="0" collapsed="false">
      <c r="A2362" s="1" t="n">
        <v>2014</v>
      </c>
      <c r="B2362" s="1" t="n">
        <v>1</v>
      </c>
      <c r="C2362" s="2" t="s">
        <v>25</v>
      </c>
      <c r="D2362" s="3" t="s">
        <v>101</v>
      </c>
      <c r="E2362" s="3" t="n">
        <v>2</v>
      </c>
      <c r="F2362" s="1" t="n">
        <f aca="false">Y2362-X2362</f>
        <v>5</v>
      </c>
      <c r="G2362" s="1" t="n">
        <v>5</v>
      </c>
      <c r="H2362" s="3" t="s">
        <v>48</v>
      </c>
      <c r="I2362" s="3" t="s">
        <v>49</v>
      </c>
      <c r="J2362" s="3" t="s">
        <v>38</v>
      </c>
      <c r="K2362" s="2" t="str">
        <f aca="false">CONCATENATE(I2362," ",J2362)</f>
        <v>Alopecosa sp</v>
      </c>
      <c r="L2362" s="3" t="n">
        <f aca="false">SUM(P2362:U2362)</f>
        <v>1</v>
      </c>
      <c r="M2362" s="11" t="n">
        <f aca="false">(L2362/(F2362*G2362)*25)*4</f>
        <v>4</v>
      </c>
      <c r="N2362" s="1" t="s">
        <v>19</v>
      </c>
      <c r="O2362" s="1" t="s">
        <v>31</v>
      </c>
      <c r="P2362" s="3" t="n">
        <v>0</v>
      </c>
      <c r="Q2362" s="3" t="n">
        <v>0</v>
      </c>
      <c r="R2362" s="3" t="n">
        <v>1</v>
      </c>
      <c r="S2362" s="3" t="n">
        <v>0</v>
      </c>
      <c r="T2362" s="3" t="n">
        <v>0</v>
      </c>
      <c r="U2362" s="3" t="n">
        <v>0</v>
      </c>
      <c r="V2362" s="3" t="n">
        <f aca="false">SUM(P2362:Q2362)</f>
        <v>0</v>
      </c>
      <c r="W2362" s="3" t="n">
        <f aca="false">SUM(R2362:T2362)</f>
        <v>1</v>
      </c>
      <c r="X2362" s="22" t="n">
        <v>41793</v>
      </c>
      <c r="Y2362" s="22" t="n">
        <v>41798</v>
      </c>
    </row>
    <row r="2363" customFormat="false" ht="14.25" hidden="false" customHeight="false" outlineLevel="0" collapsed="false">
      <c r="A2363" s="1" t="n">
        <v>2014</v>
      </c>
      <c r="B2363" s="1" t="n">
        <v>1</v>
      </c>
      <c r="C2363" s="2" t="s">
        <v>25</v>
      </c>
      <c r="D2363" s="3" t="s">
        <v>101</v>
      </c>
      <c r="E2363" s="3" t="n">
        <v>2</v>
      </c>
      <c r="F2363" s="1" t="n">
        <f aca="false">Y2363-X2363</f>
        <v>5</v>
      </c>
      <c r="G2363" s="1" t="n">
        <v>5</v>
      </c>
      <c r="H2363" s="3" t="s">
        <v>48</v>
      </c>
      <c r="I2363" s="3" t="s">
        <v>49</v>
      </c>
      <c r="J2363" s="3" t="s">
        <v>38</v>
      </c>
      <c r="K2363" s="2" t="str">
        <f aca="false">CONCATENATE(I2363," ",J2363)</f>
        <v>Alopecosa sp</v>
      </c>
      <c r="L2363" s="3" t="n">
        <f aca="false">SUM(P2363:U2363)</f>
        <v>1</v>
      </c>
      <c r="M2363" s="11" t="n">
        <f aca="false">(L2363/(F2363*G2363)*25)*4</f>
        <v>4</v>
      </c>
      <c r="N2363" s="1" t="s">
        <v>19</v>
      </c>
      <c r="O2363" s="1" t="s">
        <v>35</v>
      </c>
      <c r="P2363" s="3" t="n">
        <v>0</v>
      </c>
      <c r="Q2363" s="3" t="n">
        <v>0</v>
      </c>
      <c r="R2363" s="3" t="n">
        <v>0</v>
      </c>
      <c r="S2363" s="3" t="n">
        <v>1</v>
      </c>
      <c r="T2363" s="3" t="n">
        <v>0</v>
      </c>
      <c r="U2363" s="3" t="n">
        <v>0</v>
      </c>
      <c r="V2363" s="3" t="n">
        <f aca="false">SUM(P2363:Q2363)</f>
        <v>0</v>
      </c>
      <c r="W2363" s="3" t="n">
        <f aca="false">SUM(R2363:T2363)</f>
        <v>1</v>
      </c>
      <c r="X2363" s="22" t="n">
        <v>41793</v>
      </c>
      <c r="Y2363" s="22" t="n">
        <v>41798</v>
      </c>
    </row>
    <row r="2364" customFormat="false" ht="14.25" hidden="false" customHeight="false" outlineLevel="0" collapsed="false">
      <c r="A2364" s="1" t="n">
        <v>2014</v>
      </c>
      <c r="B2364" s="1" t="n">
        <v>1</v>
      </c>
      <c r="C2364" s="2" t="s">
        <v>25</v>
      </c>
      <c r="D2364" s="3" t="s">
        <v>101</v>
      </c>
      <c r="E2364" s="3" t="n">
        <v>2</v>
      </c>
      <c r="F2364" s="1" t="n">
        <f aca="false">Y2364-X2364</f>
        <v>5</v>
      </c>
      <c r="G2364" s="1" t="n">
        <v>5</v>
      </c>
      <c r="H2364" s="3" t="s">
        <v>48</v>
      </c>
      <c r="I2364" s="3" t="s">
        <v>49</v>
      </c>
      <c r="J2364" s="3" t="s">
        <v>223</v>
      </c>
      <c r="K2364" s="2" t="str">
        <f aca="false">CONCATENATE(I2364," ",J2364)</f>
        <v>Alopecosa pulverulenta</v>
      </c>
      <c r="L2364" s="3" t="n">
        <f aca="false">SUM(P2364:U2364)</f>
        <v>1</v>
      </c>
      <c r="M2364" s="11" t="n">
        <f aca="false">(L2364/(F2364*G2364)*25)*4</f>
        <v>4</v>
      </c>
      <c r="N2364" s="1" t="s">
        <v>30</v>
      </c>
      <c r="O2364" s="1" t="s">
        <v>31</v>
      </c>
      <c r="P2364" s="3" t="n">
        <v>1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f aca="false">SUM(P2364:Q2364)</f>
        <v>1</v>
      </c>
      <c r="W2364" s="3" t="n">
        <f aca="false">SUM(R2364:T2364)</f>
        <v>0</v>
      </c>
      <c r="X2364" s="22" t="n">
        <v>41793</v>
      </c>
      <c r="Y2364" s="22" t="n">
        <v>41798</v>
      </c>
    </row>
    <row r="2365" customFormat="false" ht="14.25" hidden="false" customHeight="false" outlineLevel="0" collapsed="false">
      <c r="A2365" s="1" t="n">
        <v>2014</v>
      </c>
      <c r="B2365" s="1" t="n">
        <v>1</v>
      </c>
      <c r="C2365" s="2" t="s">
        <v>25</v>
      </c>
      <c r="D2365" s="3" t="s">
        <v>101</v>
      </c>
      <c r="E2365" s="3" t="n">
        <v>2</v>
      </c>
      <c r="F2365" s="1" t="n">
        <f aca="false">Y2365-X2365</f>
        <v>5</v>
      </c>
      <c r="G2365" s="1" t="n">
        <v>5</v>
      </c>
      <c r="H2365" s="3" t="s">
        <v>48</v>
      </c>
      <c r="I2365" s="3" t="s">
        <v>49</v>
      </c>
      <c r="J2365" s="3" t="s">
        <v>104</v>
      </c>
      <c r="K2365" s="2" t="str">
        <f aca="false">CONCATENATE(I2365," ",J2365)</f>
        <v>Alopecosa taeniata</v>
      </c>
      <c r="L2365" s="3" t="n">
        <f aca="false">SUM(P2365:U2365)</f>
        <v>5</v>
      </c>
      <c r="M2365" s="11" t="n">
        <f aca="false">(L2365/(F2365*G2365)*25)*4</f>
        <v>20</v>
      </c>
      <c r="N2365" s="1" t="s">
        <v>30</v>
      </c>
      <c r="O2365" s="1" t="s">
        <v>31</v>
      </c>
      <c r="P2365" s="3" t="n">
        <v>5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f aca="false">SUM(P2365:Q2365)</f>
        <v>5</v>
      </c>
      <c r="W2365" s="3" t="n">
        <f aca="false">SUM(R2365:T2365)</f>
        <v>0</v>
      </c>
      <c r="X2365" s="22" t="n">
        <v>41793</v>
      </c>
      <c r="Y2365" s="22" t="n">
        <v>41798</v>
      </c>
    </row>
    <row r="2366" customFormat="false" ht="14.25" hidden="false" customHeight="false" outlineLevel="0" collapsed="false">
      <c r="A2366" s="1" t="n">
        <v>2014</v>
      </c>
      <c r="B2366" s="1" t="n">
        <v>1</v>
      </c>
      <c r="C2366" s="2" t="s">
        <v>25</v>
      </c>
      <c r="D2366" s="3" t="s">
        <v>101</v>
      </c>
      <c r="E2366" s="3" t="n">
        <v>2</v>
      </c>
      <c r="F2366" s="1" t="n">
        <f aca="false">Y2366-X2366</f>
        <v>5</v>
      </c>
      <c r="G2366" s="1" t="n">
        <v>5</v>
      </c>
      <c r="H2366" s="3" t="s">
        <v>72</v>
      </c>
      <c r="I2366" s="3" t="s">
        <v>73</v>
      </c>
      <c r="J2366" s="3" t="s">
        <v>38</v>
      </c>
      <c r="K2366" s="2" t="str">
        <f aca="false">CONCATENATE(I2366," ",J2366)</f>
        <v>Zelotes sp</v>
      </c>
      <c r="L2366" s="3" t="n">
        <f aca="false">SUM(P2366:U2366)</f>
        <v>1</v>
      </c>
      <c r="M2366" s="11" t="n">
        <f aca="false">(L2366/(F2366*G2366)*25)*4</f>
        <v>4</v>
      </c>
      <c r="N2366" s="1" t="s">
        <v>19</v>
      </c>
      <c r="O2366" s="1" t="s">
        <v>31</v>
      </c>
      <c r="P2366" s="3" t="n">
        <v>0</v>
      </c>
      <c r="Q2366" s="3" t="n">
        <v>0</v>
      </c>
      <c r="R2366" s="3" t="n">
        <v>1</v>
      </c>
      <c r="S2366" s="3" t="n">
        <v>0</v>
      </c>
      <c r="T2366" s="3" t="n">
        <v>0</v>
      </c>
      <c r="U2366" s="3" t="n">
        <v>0</v>
      </c>
      <c r="V2366" s="3" t="n">
        <f aca="false">SUM(P2366:Q2366)</f>
        <v>0</v>
      </c>
      <c r="W2366" s="3" t="n">
        <f aca="false">SUM(R2366:T2366)</f>
        <v>1</v>
      </c>
      <c r="X2366" s="22" t="n">
        <v>41793</v>
      </c>
      <c r="Y2366" s="22" t="n">
        <v>41798</v>
      </c>
    </row>
    <row r="2367" customFormat="false" ht="14.25" hidden="false" customHeight="false" outlineLevel="0" collapsed="false">
      <c r="A2367" s="1" t="n">
        <v>2014</v>
      </c>
      <c r="B2367" s="1" t="n">
        <v>1</v>
      </c>
      <c r="C2367" s="2" t="s">
        <v>25</v>
      </c>
      <c r="D2367" s="3" t="s">
        <v>101</v>
      </c>
      <c r="E2367" s="3" t="n">
        <v>2</v>
      </c>
      <c r="F2367" s="1" t="n">
        <f aca="false">Y2367-X2367</f>
        <v>5</v>
      </c>
      <c r="G2367" s="1" t="n">
        <v>5</v>
      </c>
      <c r="H2367" s="3" t="s">
        <v>72</v>
      </c>
      <c r="I2367" s="3" t="s">
        <v>86</v>
      </c>
      <c r="J2367" s="3" t="s">
        <v>87</v>
      </c>
      <c r="K2367" s="2" t="str">
        <f aca="false">CONCATENATE(I2367," ",J2367)</f>
        <v>Haplodrassus soerenseni</v>
      </c>
      <c r="L2367" s="3" t="n">
        <f aca="false">SUM(P2367:U2367)</f>
        <v>1</v>
      </c>
      <c r="M2367" s="11" t="n">
        <f aca="false">(L2367/(F2367*G2367)*25)*4</f>
        <v>4</v>
      </c>
      <c r="N2367" s="1" t="s">
        <v>30</v>
      </c>
      <c r="O2367" s="1" t="s">
        <v>31</v>
      </c>
      <c r="P2367" s="3" t="n">
        <v>1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f aca="false">SUM(P2367:Q2367)</f>
        <v>1</v>
      </c>
      <c r="W2367" s="3" t="n">
        <f aca="false">SUM(R2367:T2367)</f>
        <v>0</v>
      </c>
      <c r="X2367" s="22" t="n">
        <v>41793</v>
      </c>
      <c r="Y2367" s="22" t="n">
        <v>41798</v>
      </c>
    </row>
    <row r="2368" customFormat="false" ht="14.25" hidden="false" customHeight="false" outlineLevel="0" collapsed="false">
      <c r="A2368" s="1" t="n">
        <v>2014</v>
      </c>
      <c r="B2368" s="1" t="n">
        <v>1</v>
      </c>
      <c r="C2368" s="2" t="s">
        <v>25</v>
      </c>
      <c r="D2368" s="3" t="s">
        <v>101</v>
      </c>
      <c r="E2368" s="3" t="n">
        <v>2</v>
      </c>
      <c r="F2368" s="1" t="n">
        <f aca="false">Y2368-X2368</f>
        <v>5</v>
      </c>
      <c r="G2368" s="1" t="n">
        <v>5</v>
      </c>
      <c r="H2368" s="3" t="s">
        <v>48</v>
      </c>
      <c r="I2368" s="3" t="s">
        <v>61</v>
      </c>
      <c r="J2368" s="3" t="s">
        <v>38</v>
      </c>
      <c r="K2368" s="2" t="str">
        <f aca="false">CONCATENATE(I2368," ",J2368)</f>
        <v>Trochosa sp</v>
      </c>
      <c r="L2368" s="3" t="n">
        <f aca="false">SUM(P2368:U2368)</f>
        <v>1</v>
      </c>
      <c r="M2368" s="11" t="n">
        <f aca="false">(L2368/(F2368*G2368)*25)*4</f>
        <v>4</v>
      </c>
      <c r="N2368" s="1" t="s">
        <v>19</v>
      </c>
      <c r="O2368" s="1" t="s">
        <v>54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1</v>
      </c>
      <c r="U2368" s="3" t="n">
        <v>0</v>
      </c>
      <c r="V2368" s="3" t="n">
        <f aca="false">SUM(P2368:Q2368)</f>
        <v>0</v>
      </c>
      <c r="W2368" s="3" t="n">
        <f aca="false">SUM(R2368:T2368)</f>
        <v>1</v>
      </c>
      <c r="X2368" s="22" t="n">
        <v>41793</v>
      </c>
      <c r="Y2368" s="22" t="n">
        <v>41798</v>
      </c>
    </row>
    <row r="2369" customFormat="false" ht="14.25" hidden="false" customHeight="false" outlineLevel="0" collapsed="false">
      <c r="A2369" s="1" t="n">
        <v>2014</v>
      </c>
      <c r="B2369" s="1" t="n">
        <v>1</v>
      </c>
      <c r="C2369" s="2" t="s">
        <v>25</v>
      </c>
      <c r="D2369" s="3" t="s">
        <v>101</v>
      </c>
      <c r="E2369" s="3" t="n">
        <v>2</v>
      </c>
      <c r="F2369" s="1" t="n">
        <f aca="false">Y2369-X2369</f>
        <v>5</v>
      </c>
      <c r="G2369" s="1" t="n">
        <v>5</v>
      </c>
      <c r="H2369" s="3" t="s">
        <v>48</v>
      </c>
      <c r="I2369" s="3" t="s">
        <v>67</v>
      </c>
      <c r="J2369" s="3" t="s">
        <v>127</v>
      </c>
      <c r="K2369" s="2" t="str">
        <f aca="false">CONCATENATE(I2369," ",J2369)</f>
        <v>Pardosa lugubris</v>
      </c>
      <c r="L2369" s="3" t="n">
        <f aca="false">SUM(P2369:U2369)</f>
        <v>2</v>
      </c>
      <c r="M2369" s="11" t="n">
        <f aca="false">(L2369/(F2369*G2369)*25)*4</f>
        <v>8</v>
      </c>
      <c r="N2369" s="1" t="s">
        <v>30</v>
      </c>
      <c r="O2369" s="1" t="s">
        <v>31</v>
      </c>
      <c r="P2369" s="3" t="n">
        <v>2</v>
      </c>
      <c r="Q2369" s="3" t="n">
        <v>0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f aca="false">SUM(P2369:Q2369)</f>
        <v>2</v>
      </c>
      <c r="W2369" s="3" t="n">
        <f aca="false">SUM(R2369:T2369)</f>
        <v>0</v>
      </c>
      <c r="X2369" s="22" t="n">
        <v>41793</v>
      </c>
      <c r="Y2369" s="22" t="n">
        <v>41798</v>
      </c>
    </row>
    <row r="2370" customFormat="false" ht="14.25" hidden="false" customHeight="false" outlineLevel="0" collapsed="false">
      <c r="A2370" s="1" t="n">
        <v>2014</v>
      </c>
      <c r="B2370" s="1" t="n">
        <v>1</v>
      </c>
      <c r="C2370" s="2" t="s">
        <v>25</v>
      </c>
      <c r="D2370" s="3" t="s">
        <v>101</v>
      </c>
      <c r="E2370" s="3" t="n">
        <v>2</v>
      </c>
      <c r="F2370" s="1" t="n">
        <f aca="false">Y2370-X2370</f>
        <v>5</v>
      </c>
      <c r="G2370" s="1" t="n">
        <v>5</v>
      </c>
      <c r="H2370" s="3" t="s">
        <v>48</v>
      </c>
      <c r="I2370" s="3" t="s">
        <v>49</v>
      </c>
      <c r="J2370" s="3" t="s">
        <v>130</v>
      </c>
      <c r="K2370" s="2" t="str">
        <f aca="false">CONCATENATE(I2370," ",J2370)</f>
        <v>Alopecosa aculeata</v>
      </c>
      <c r="L2370" s="3" t="n">
        <f aca="false">SUM(P2370:U2370)</f>
        <v>3</v>
      </c>
      <c r="M2370" s="11" t="n">
        <f aca="false">(L2370/(F2370*G2370)*25)*4</f>
        <v>12</v>
      </c>
      <c r="N2370" s="1" t="s">
        <v>30</v>
      </c>
      <c r="O2370" s="1" t="s">
        <v>31</v>
      </c>
      <c r="P2370" s="3" t="n">
        <v>3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f aca="false">SUM(P2370:Q2370)</f>
        <v>3</v>
      </c>
      <c r="W2370" s="3" t="n">
        <f aca="false">SUM(R2370:T2370)</f>
        <v>0</v>
      </c>
      <c r="X2370" s="22" t="n">
        <v>41793</v>
      </c>
      <c r="Y2370" s="22" t="n">
        <v>41798</v>
      </c>
    </row>
    <row r="2371" customFormat="false" ht="14.25" hidden="false" customHeight="false" outlineLevel="0" collapsed="false">
      <c r="A2371" s="1" t="n">
        <v>2014</v>
      </c>
      <c r="B2371" s="1" t="n">
        <v>1</v>
      </c>
      <c r="C2371" s="2" t="s">
        <v>25</v>
      </c>
      <c r="D2371" s="3" t="s">
        <v>101</v>
      </c>
      <c r="E2371" s="3" t="n">
        <v>2</v>
      </c>
      <c r="F2371" s="1" t="n">
        <f aca="false">Y2371-X2371</f>
        <v>5</v>
      </c>
      <c r="G2371" s="1" t="n">
        <v>5</v>
      </c>
      <c r="H2371" s="3" t="s">
        <v>48</v>
      </c>
      <c r="I2371" s="3" t="s">
        <v>49</v>
      </c>
      <c r="J2371" s="3" t="s">
        <v>104</v>
      </c>
      <c r="K2371" s="2" t="str">
        <f aca="false">CONCATENATE(I2371," ",J2371)</f>
        <v>Alopecosa taeniata</v>
      </c>
      <c r="L2371" s="3" t="n">
        <f aca="false">SUM(P2371:U2371)</f>
        <v>2</v>
      </c>
      <c r="M2371" s="11" t="n">
        <f aca="false">(L2371/(F2371*G2371)*25)*4</f>
        <v>8</v>
      </c>
      <c r="N2371" s="1" t="s">
        <v>30</v>
      </c>
      <c r="O2371" s="1" t="s">
        <v>31</v>
      </c>
      <c r="P2371" s="3" t="n">
        <v>2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f aca="false">SUM(P2371:Q2371)</f>
        <v>2</v>
      </c>
      <c r="W2371" s="3" t="n">
        <f aca="false">SUM(R2371:T2371)</f>
        <v>0</v>
      </c>
      <c r="X2371" s="22" t="n">
        <v>41793</v>
      </c>
      <c r="Y2371" s="22" t="n">
        <v>41798</v>
      </c>
    </row>
    <row r="2372" customFormat="false" ht="14.25" hidden="false" customHeight="false" outlineLevel="0" collapsed="false">
      <c r="A2372" s="1" t="n">
        <v>2014</v>
      </c>
      <c r="B2372" s="1" t="n">
        <v>1</v>
      </c>
      <c r="C2372" s="2" t="s">
        <v>25</v>
      </c>
      <c r="D2372" s="3" t="s">
        <v>101</v>
      </c>
      <c r="E2372" s="3" t="n">
        <v>2</v>
      </c>
      <c r="F2372" s="1" t="n">
        <f aca="false">Y2372-X2372</f>
        <v>5</v>
      </c>
      <c r="G2372" s="1" t="n">
        <v>5</v>
      </c>
      <c r="H2372" s="3" t="s">
        <v>48</v>
      </c>
      <c r="I2372" s="3" t="s">
        <v>49</v>
      </c>
      <c r="J2372" s="3" t="s">
        <v>104</v>
      </c>
      <c r="K2372" s="2" t="str">
        <f aca="false">CONCATENATE(I2372," ",J2372)</f>
        <v>Alopecosa taeniata</v>
      </c>
      <c r="L2372" s="3" t="n">
        <f aca="false">SUM(P2372:U2372)</f>
        <v>1</v>
      </c>
      <c r="M2372" s="11" t="n">
        <f aca="false">(L2372/(F2372*G2372)*25)*4</f>
        <v>4</v>
      </c>
      <c r="N2372" s="1" t="s">
        <v>30</v>
      </c>
      <c r="O2372" s="1" t="s">
        <v>35</v>
      </c>
      <c r="P2372" s="3" t="n">
        <v>0</v>
      </c>
      <c r="Q2372" s="3" t="n">
        <v>1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f aca="false">SUM(P2372:Q2372)</f>
        <v>1</v>
      </c>
      <c r="W2372" s="3" t="n">
        <f aca="false">SUM(R2372:T2372)</f>
        <v>0</v>
      </c>
      <c r="X2372" s="22" t="n">
        <v>41793</v>
      </c>
      <c r="Y2372" s="22" t="n">
        <v>41798</v>
      </c>
    </row>
    <row r="2373" customFormat="false" ht="14.25" hidden="false" customHeight="false" outlineLevel="0" collapsed="false">
      <c r="A2373" s="1" t="n">
        <v>2014</v>
      </c>
      <c r="B2373" s="1" t="n">
        <v>1</v>
      </c>
      <c r="C2373" s="2" t="s">
        <v>25</v>
      </c>
      <c r="D2373" s="3" t="s">
        <v>101</v>
      </c>
      <c r="E2373" s="3" t="n">
        <v>3</v>
      </c>
      <c r="F2373" s="1" t="n">
        <f aca="false">Y2373-X2373</f>
        <v>5</v>
      </c>
      <c r="G2373" s="1" t="n">
        <v>5</v>
      </c>
      <c r="H2373" s="3" t="s">
        <v>48</v>
      </c>
      <c r="I2373" s="3" t="s">
        <v>61</v>
      </c>
      <c r="J2373" s="3" t="s">
        <v>38</v>
      </c>
      <c r="K2373" s="2" t="str">
        <f aca="false">CONCATENATE(I2373," ",J2373)</f>
        <v>Trochosa sp</v>
      </c>
      <c r="L2373" s="3" t="n">
        <f aca="false">SUM(P2373:U2373)</f>
        <v>1</v>
      </c>
      <c r="M2373" s="11" t="n">
        <f aca="false">(L2373/(F2373*G2373)*25)*4</f>
        <v>4</v>
      </c>
      <c r="N2373" s="1" t="s">
        <v>19</v>
      </c>
      <c r="O2373" s="1" t="s">
        <v>31</v>
      </c>
      <c r="P2373" s="3" t="n">
        <v>0</v>
      </c>
      <c r="Q2373" s="3" t="n">
        <v>0</v>
      </c>
      <c r="R2373" s="3" t="n">
        <v>1</v>
      </c>
      <c r="S2373" s="3" t="n">
        <v>0</v>
      </c>
      <c r="T2373" s="3" t="n">
        <v>0</v>
      </c>
      <c r="U2373" s="3" t="n">
        <v>0</v>
      </c>
      <c r="V2373" s="3" t="n">
        <f aca="false">SUM(P2373:Q2373)</f>
        <v>0</v>
      </c>
      <c r="W2373" s="3" t="n">
        <f aca="false">SUM(R2373:T2373)</f>
        <v>1</v>
      </c>
      <c r="X2373" s="22" t="n">
        <v>41793</v>
      </c>
      <c r="Y2373" s="22" t="n">
        <v>41798</v>
      </c>
    </row>
    <row r="2374" customFormat="false" ht="14.25" hidden="false" customHeight="false" outlineLevel="0" collapsed="false">
      <c r="A2374" s="1" t="n">
        <v>2014</v>
      </c>
      <c r="B2374" s="1" t="n">
        <v>1</v>
      </c>
      <c r="C2374" s="2" t="s">
        <v>25</v>
      </c>
      <c r="D2374" s="3" t="s">
        <v>101</v>
      </c>
      <c r="E2374" s="3" t="n">
        <v>3</v>
      </c>
      <c r="F2374" s="1" t="n">
        <f aca="false">Y2374-X2374</f>
        <v>5</v>
      </c>
      <c r="G2374" s="1" t="n">
        <v>5</v>
      </c>
      <c r="H2374" s="3" t="s">
        <v>32</v>
      </c>
      <c r="I2374" s="3" t="s">
        <v>57</v>
      </c>
      <c r="J2374" s="3" t="s">
        <v>38</v>
      </c>
      <c r="K2374" s="2" t="str">
        <f aca="false">CONCATENATE(I2374," ",J2374)</f>
        <v>Gen sp</v>
      </c>
      <c r="L2374" s="3" t="n">
        <f aca="false">SUM(P2374:U2374)</f>
        <v>1</v>
      </c>
      <c r="M2374" s="11" t="n">
        <f aca="false">(L2374/(F2374*G2374)*25)*4</f>
        <v>4</v>
      </c>
      <c r="N2374" s="1" t="s">
        <v>19</v>
      </c>
      <c r="O2374" s="1" t="s">
        <v>54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1</v>
      </c>
      <c r="U2374" s="3" t="n">
        <v>0</v>
      </c>
      <c r="V2374" s="3" t="n">
        <f aca="false">SUM(P2374:Q2374)</f>
        <v>0</v>
      </c>
      <c r="W2374" s="3" t="n">
        <f aca="false">SUM(R2374:T2374)</f>
        <v>1</v>
      </c>
      <c r="X2374" s="22" t="n">
        <v>41793</v>
      </c>
      <c r="Y2374" s="22" t="n">
        <v>41798</v>
      </c>
    </row>
    <row r="2375" customFormat="false" ht="14.25" hidden="false" customHeight="false" outlineLevel="0" collapsed="false">
      <c r="A2375" s="1" t="n">
        <v>2014</v>
      </c>
      <c r="B2375" s="1" t="n">
        <v>1</v>
      </c>
      <c r="C2375" s="2" t="s">
        <v>25</v>
      </c>
      <c r="D2375" s="3" t="s">
        <v>101</v>
      </c>
      <c r="E2375" s="3" t="n">
        <v>3</v>
      </c>
      <c r="F2375" s="1" t="n">
        <f aca="false">Y2375-X2375</f>
        <v>5</v>
      </c>
      <c r="G2375" s="1" t="n">
        <v>5</v>
      </c>
      <c r="H2375" s="3" t="s">
        <v>32</v>
      </c>
      <c r="I2375" s="3" t="s">
        <v>107</v>
      </c>
      <c r="J2375" s="3" t="s">
        <v>108</v>
      </c>
      <c r="K2375" s="2" t="str">
        <f aca="false">CONCATENATE(I2375," ",J2375)</f>
        <v>Macrargus rufus</v>
      </c>
      <c r="L2375" s="3" t="n">
        <f aca="false">SUM(P2375:U2375)</f>
        <v>1</v>
      </c>
      <c r="M2375" s="11" t="n">
        <f aca="false">(L2375/(F2375*G2375)*25)*4</f>
        <v>4</v>
      </c>
      <c r="N2375" s="1" t="s">
        <v>30</v>
      </c>
      <c r="O2375" s="1" t="s">
        <v>35</v>
      </c>
      <c r="P2375" s="3" t="n">
        <v>0</v>
      </c>
      <c r="Q2375" s="3" t="n">
        <v>1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f aca="false">SUM(P2375:Q2375)</f>
        <v>1</v>
      </c>
      <c r="W2375" s="3" t="n">
        <f aca="false">SUM(R2375:T2375)</f>
        <v>0</v>
      </c>
      <c r="X2375" s="22" t="n">
        <v>41793</v>
      </c>
      <c r="Y2375" s="22" t="n">
        <v>41798</v>
      </c>
    </row>
    <row r="2376" customFormat="false" ht="14.25" hidden="false" customHeight="false" outlineLevel="0" collapsed="false">
      <c r="A2376" s="1" t="n">
        <v>2014</v>
      </c>
      <c r="B2376" s="1" t="n">
        <v>1</v>
      </c>
      <c r="C2376" s="2" t="s">
        <v>25</v>
      </c>
      <c r="D2376" s="3" t="s">
        <v>101</v>
      </c>
      <c r="E2376" s="3" t="n">
        <v>3</v>
      </c>
      <c r="F2376" s="1" t="n">
        <f aca="false">Y2376-X2376</f>
        <v>5</v>
      </c>
      <c r="G2376" s="1" t="n">
        <v>5</v>
      </c>
      <c r="H2376" s="3" t="s">
        <v>32</v>
      </c>
      <c r="I2376" s="3" t="s">
        <v>169</v>
      </c>
      <c r="J2376" s="3" t="s">
        <v>170</v>
      </c>
      <c r="K2376" s="2" t="str">
        <f aca="false">CONCATENATE(I2376," ",J2376)</f>
        <v>Abacoproeces saltuum</v>
      </c>
      <c r="L2376" s="3" t="n">
        <f aca="false">SUM(P2376:U2376)</f>
        <v>1</v>
      </c>
      <c r="M2376" s="11" t="n">
        <f aca="false">(L2376/(F2376*G2376)*25)*4</f>
        <v>4</v>
      </c>
      <c r="N2376" s="1" t="s">
        <v>30</v>
      </c>
      <c r="O2376" s="1" t="s">
        <v>35</v>
      </c>
      <c r="P2376" s="3" t="n">
        <v>0</v>
      </c>
      <c r="Q2376" s="3" t="n">
        <v>1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f aca="false">SUM(P2376:Q2376)</f>
        <v>1</v>
      </c>
      <c r="W2376" s="3" t="n">
        <f aca="false">SUM(R2376:T2376)</f>
        <v>0</v>
      </c>
      <c r="X2376" s="22" t="n">
        <v>41793</v>
      </c>
      <c r="Y2376" s="22" t="n">
        <v>41798</v>
      </c>
    </row>
    <row r="2377" customFormat="false" ht="14.25" hidden="false" customHeight="false" outlineLevel="0" collapsed="false">
      <c r="A2377" s="1" t="n">
        <v>2014</v>
      </c>
      <c r="B2377" s="1" t="n">
        <v>1</v>
      </c>
      <c r="C2377" s="2" t="s">
        <v>25</v>
      </c>
      <c r="D2377" s="3" t="s">
        <v>101</v>
      </c>
      <c r="E2377" s="3" t="n">
        <v>3</v>
      </c>
      <c r="F2377" s="1" t="n">
        <f aca="false">Y2377-X2377</f>
        <v>5</v>
      </c>
      <c r="G2377" s="1" t="n">
        <v>5</v>
      </c>
      <c r="H2377" s="3" t="s">
        <v>32</v>
      </c>
      <c r="I2377" s="3" t="s">
        <v>96</v>
      </c>
      <c r="J2377" s="3" t="s">
        <v>97</v>
      </c>
      <c r="K2377" s="2" t="str">
        <f aca="false">CONCATENATE(I2377," ",J2377)</f>
        <v>Diplocephalus picinus</v>
      </c>
      <c r="L2377" s="3" t="n">
        <f aca="false">SUM(P2377:U2377)</f>
        <v>2</v>
      </c>
      <c r="M2377" s="11" t="n">
        <f aca="false">(L2377/(F2377*G2377)*25)*4</f>
        <v>8</v>
      </c>
      <c r="N2377" s="1" t="s">
        <v>30</v>
      </c>
      <c r="O2377" s="1" t="s">
        <v>31</v>
      </c>
      <c r="P2377" s="3" t="n">
        <v>2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f aca="false">SUM(P2377:Q2377)</f>
        <v>2</v>
      </c>
      <c r="W2377" s="3" t="n">
        <f aca="false">SUM(R2377:T2377)</f>
        <v>0</v>
      </c>
      <c r="X2377" s="22" t="n">
        <v>41793</v>
      </c>
      <c r="Y2377" s="22" t="n">
        <v>41798</v>
      </c>
    </row>
    <row r="2378" customFormat="false" ht="14.25" hidden="false" customHeight="false" outlineLevel="0" collapsed="false">
      <c r="A2378" s="1" t="n">
        <v>2014</v>
      </c>
      <c r="B2378" s="1" t="n">
        <v>1</v>
      </c>
      <c r="C2378" s="2" t="s">
        <v>25</v>
      </c>
      <c r="D2378" s="3" t="s">
        <v>101</v>
      </c>
      <c r="E2378" s="3" t="n">
        <v>3</v>
      </c>
      <c r="F2378" s="1" t="n">
        <f aca="false">Y2378-X2378</f>
        <v>5</v>
      </c>
      <c r="G2378" s="1" t="n">
        <v>5</v>
      </c>
      <c r="H2378" s="3" t="s">
        <v>144</v>
      </c>
      <c r="I2378" s="3" t="s">
        <v>145</v>
      </c>
      <c r="J2378" s="3" t="s">
        <v>146</v>
      </c>
      <c r="K2378" s="2" t="str">
        <f aca="false">CONCATENATE(I2378," ",J2378)</f>
        <v>Phrurolithus festivus</v>
      </c>
      <c r="L2378" s="3" t="n">
        <f aca="false">SUM(P2378:U2378)</f>
        <v>1</v>
      </c>
      <c r="M2378" s="11" t="n">
        <f aca="false">(L2378/(F2378*G2378)*25)*4</f>
        <v>4</v>
      </c>
      <c r="N2378" s="1" t="s">
        <v>30</v>
      </c>
      <c r="O2378" s="1" t="s">
        <v>35</v>
      </c>
      <c r="P2378" s="3" t="n">
        <v>0</v>
      </c>
      <c r="Q2378" s="3" t="n">
        <v>1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f aca="false">SUM(P2378:Q2378)</f>
        <v>1</v>
      </c>
      <c r="W2378" s="3" t="n">
        <f aca="false">SUM(R2378:T2378)</f>
        <v>0</v>
      </c>
      <c r="X2378" s="22" t="n">
        <v>41793</v>
      </c>
      <c r="Y2378" s="22" t="n">
        <v>41798</v>
      </c>
    </row>
    <row r="2379" customFormat="false" ht="14.25" hidden="false" customHeight="false" outlineLevel="0" collapsed="false">
      <c r="A2379" s="1" t="n">
        <v>2014</v>
      </c>
      <c r="B2379" s="1" t="n">
        <v>1</v>
      </c>
      <c r="C2379" s="2" t="s">
        <v>25</v>
      </c>
      <c r="D2379" s="3" t="s">
        <v>101</v>
      </c>
      <c r="E2379" s="3" t="n">
        <v>3</v>
      </c>
      <c r="F2379" s="1" t="n">
        <f aca="false">Y2379-X2379</f>
        <v>5</v>
      </c>
      <c r="G2379" s="1" t="n">
        <v>5</v>
      </c>
      <c r="H2379" s="3" t="s">
        <v>92</v>
      </c>
      <c r="I2379" s="3" t="s">
        <v>111</v>
      </c>
      <c r="J2379" s="3" t="s">
        <v>112</v>
      </c>
      <c r="K2379" s="2" t="str">
        <f aca="false">CONCATENATE(I2379," ",J2379)</f>
        <v>Evarcha falcata</v>
      </c>
      <c r="L2379" s="3" t="n">
        <f aca="false">SUM(P2379:U2379)</f>
        <v>1</v>
      </c>
      <c r="M2379" s="11" t="n">
        <f aca="false">(L2379/(F2379*G2379)*25)*4</f>
        <v>4</v>
      </c>
      <c r="N2379" s="1" t="s">
        <v>30</v>
      </c>
      <c r="O2379" s="1" t="s">
        <v>35</v>
      </c>
      <c r="P2379" s="3" t="n">
        <v>0</v>
      </c>
      <c r="Q2379" s="3" t="n">
        <v>1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f aca="false">SUM(P2379:Q2379)</f>
        <v>1</v>
      </c>
      <c r="W2379" s="3" t="n">
        <f aca="false">SUM(R2379:T2379)</f>
        <v>0</v>
      </c>
      <c r="X2379" s="22" t="n">
        <v>41793</v>
      </c>
      <c r="Y2379" s="22" t="n">
        <v>41798</v>
      </c>
    </row>
    <row r="2380" customFormat="false" ht="14.25" hidden="false" customHeight="false" outlineLevel="0" collapsed="false">
      <c r="A2380" s="1" t="n">
        <v>2014</v>
      </c>
      <c r="B2380" s="1" t="n">
        <v>1</v>
      </c>
      <c r="C2380" s="2" t="s">
        <v>25</v>
      </c>
      <c r="D2380" s="3" t="s">
        <v>101</v>
      </c>
      <c r="E2380" s="3" t="n">
        <v>3</v>
      </c>
      <c r="F2380" s="1" t="n">
        <f aca="false">Y2380-X2380</f>
        <v>5</v>
      </c>
      <c r="G2380" s="1" t="n">
        <v>5</v>
      </c>
      <c r="H2380" s="3" t="s">
        <v>72</v>
      </c>
      <c r="I2380" s="3" t="s">
        <v>73</v>
      </c>
      <c r="J2380" s="3" t="s">
        <v>74</v>
      </c>
      <c r="K2380" s="2" t="str">
        <f aca="false">CONCATENATE(I2380," ",J2380)</f>
        <v>Zelotes subterraneus</v>
      </c>
      <c r="L2380" s="3" t="n">
        <f aca="false">SUM(P2380:U2380)</f>
        <v>1</v>
      </c>
      <c r="M2380" s="11" t="n">
        <f aca="false">(L2380/(F2380*G2380)*25)*4</f>
        <v>4</v>
      </c>
      <c r="N2380" s="1" t="s">
        <v>30</v>
      </c>
      <c r="O2380" s="1" t="s">
        <v>31</v>
      </c>
      <c r="P2380" s="3" t="n">
        <v>1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f aca="false">SUM(P2380:Q2380)</f>
        <v>1</v>
      </c>
      <c r="W2380" s="3" t="n">
        <f aca="false">SUM(R2380:T2380)</f>
        <v>0</v>
      </c>
      <c r="X2380" s="22" t="n">
        <v>41793</v>
      </c>
      <c r="Y2380" s="22" t="n">
        <v>41798</v>
      </c>
    </row>
    <row r="2381" customFormat="false" ht="14.25" hidden="false" customHeight="false" outlineLevel="0" collapsed="false">
      <c r="A2381" s="1" t="n">
        <v>2014</v>
      </c>
      <c r="B2381" s="1" t="n">
        <v>1</v>
      </c>
      <c r="C2381" s="2" t="s">
        <v>25</v>
      </c>
      <c r="D2381" s="3" t="s">
        <v>101</v>
      </c>
      <c r="E2381" s="3" t="n">
        <v>3</v>
      </c>
      <c r="F2381" s="1" t="n">
        <f aca="false">Y2381-X2381</f>
        <v>5</v>
      </c>
      <c r="G2381" s="1" t="n">
        <v>5</v>
      </c>
      <c r="H2381" s="3" t="s">
        <v>36</v>
      </c>
      <c r="I2381" s="3" t="s">
        <v>131</v>
      </c>
      <c r="J2381" s="3" t="s">
        <v>133</v>
      </c>
      <c r="K2381" s="2" t="str">
        <f aca="false">CONCATENATE(I2381," ",J2381)</f>
        <v>Xysticus luctuosus</v>
      </c>
      <c r="L2381" s="3" t="n">
        <f aca="false">SUM(P2381:U2381)</f>
        <v>2</v>
      </c>
      <c r="M2381" s="11" t="n">
        <f aca="false">(L2381/(F2381*G2381)*25)*4</f>
        <v>8</v>
      </c>
      <c r="N2381" s="1" t="s">
        <v>30</v>
      </c>
      <c r="O2381" s="1" t="s">
        <v>31</v>
      </c>
      <c r="P2381" s="3" t="n">
        <v>2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f aca="false">SUM(P2381:Q2381)</f>
        <v>2</v>
      </c>
      <c r="W2381" s="3" t="n">
        <f aca="false">SUM(R2381:T2381)</f>
        <v>0</v>
      </c>
      <c r="X2381" s="22" t="n">
        <v>41793</v>
      </c>
      <c r="Y2381" s="22" t="n">
        <v>41798</v>
      </c>
    </row>
    <row r="2382" customFormat="false" ht="14.25" hidden="false" customHeight="false" outlineLevel="0" collapsed="false">
      <c r="A2382" s="1" t="n">
        <v>2014</v>
      </c>
      <c r="B2382" s="1" t="n">
        <v>1</v>
      </c>
      <c r="C2382" s="2" t="s">
        <v>25</v>
      </c>
      <c r="D2382" s="3" t="s">
        <v>101</v>
      </c>
      <c r="E2382" s="3" t="n">
        <v>3</v>
      </c>
      <c r="F2382" s="1" t="n">
        <f aca="false">Y2382-X2382</f>
        <v>5</v>
      </c>
      <c r="G2382" s="1" t="n">
        <v>5</v>
      </c>
      <c r="H2382" s="3" t="s">
        <v>48</v>
      </c>
      <c r="I2382" s="3" t="s">
        <v>67</v>
      </c>
      <c r="J2382" s="3" t="s">
        <v>127</v>
      </c>
      <c r="K2382" s="2" t="str">
        <f aca="false">CONCATENATE(I2382," ",J2382)</f>
        <v>Pardosa lugubris</v>
      </c>
      <c r="L2382" s="3" t="n">
        <f aca="false">SUM(P2382:U2382)</f>
        <v>4</v>
      </c>
      <c r="M2382" s="11" t="n">
        <f aca="false">(L2382/(F2382*G2382)*25)*4</f>
        <v>16</v>
      </c>
      <c r="N2382" s="1" t="s">
        <v>30</v>
      </c>
      <c r="O2382" s="1" t="s">
        <v>31</v>
      </c>
      <c r="P2382" s="3" t="n">
        <v>4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f aca="false">SUM(P2382:Q2382)</f>
        <v>4</v>
      </c>
      <c r="W2382" s="3" t="n">
        <f aca="false">SUM(R2382:T2382)</f>
        <v>0</v>
      </c>
      <c r="X2382" s="22" t="n">
        <v>41793</v>
      </c>
      <c r="Y2382" s="22" t="n">
        <v>41798</v>
      </c>
    </row>
    <row r="2383" customFormat="false" ht="14.25" hidden="false" customHeight="false" outlineLevel="0" collapsed="false">
      <c r="A2383" s="1" t="n">
        <v>2014</v>
      </c>
      <c r="B2383" s="1" t="n">
        <v>1</v>
      </c>
      <c r="C2383" s="2" t="s">
        <v>25</v>
      </c>
      <c r="D2383" s="3" t="s">
        <v>101</v>
      </c>
      <c r="E2383" s="3" t="n">
        <v>3</v>
      </c>
      <c r="F2383" s="1" t="n">
        <f aca="false">Y2383-X2383</f>
        <v>5</v>
      </c>
      <c r="G2383" s="1" t="n">
        <v>5</v>
      </c>
      <c r="H2383" s="3" t="s">
        <v>48</v>
      </c>
      <c r="I2383" s="3" t="s">
        <v>67</v>
      </c>
      <c r="J2383" s="3" t="s">
        <v>127</v>
      </c>
      <c r="K2383" s="2" t="str">
        <f aca="false">CONCATENATE(I2383," ",J2383)</f>
        <v>Pardosa lugubris</v>
      </c>
      <c r="L2383" s="3" t="n">
        <f aca="false">SUM(P2383:U2383)</f>
        <v>1</v>
      </c>
      <c r="M2383" s="11" t="n">
        <f aca="false">(L2383/(F2383*G2383)*25)*4</f>
        <v>4</v>
      </c>
      <c r="N2383" s="1" t="s">
        <v>30</v>
      </c>
      <c r="O2383" s="1" t="s">
        <v>35</v>
      </c>
      <c r="P2383" s="3" t="n">
        <v>0</v>
      </c>
      <c r="Q2383" s="3" t="n">
        <v>1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f aca="false">SUM(P2383:Q2383)</f>
        <v>1</v>
      </c>
      <c r="W2383" s="3" t="n">
        <f aca="false">SUM(R2383:T2383)</f>
        <v>0</v>
      </c>
      <c r="X2383" s="22" t="n">
        <v>41793</v>
      </c>
      <c r="Y2383" s="22" t="n">
        <v>41798</v>
      </c>
    </row>
    <row r="2384" customFormat="false" ht="14.25" hidden="false" customHeight="false" outlineLevel="0" collapsed="false">
      <c r="A2384" s="1" t="n">
        <v>2014</v>
      </c>
      <c r="B2384" s="1" t="n">
        <v>1</v>
      </c>
      <c r="C2384" s="2" t="s">
        <v>25</v>
      </c>
      <c r="D2384" s="3" t="s">
        <v>101</v>
      </c>
      <c r="E2384" s="3" t="n">
        <v>3</v>
      </c>
      <c r="F2384" s="1" t="n">
        <f aca="false">Y2384-X2384</f>
        <v>5</v>
      </c>
      <c r="G2384" s="1" t="n">
        <v>5</v>
      </c>
      <c r="H2384" s="3" t="s">
        <v>48</v>
      </c>
      <c r="I2384" s="3" t="s">
        <v>49</v>
      </c>
      <c r="J2384" s="3" t="s">
        <v>104</v>
      </c>
      <c r="K2384" s="2" t="str">
        <f aca="false">CONCATENATE(I2384," ",J2384)</f>
        <v>Alopecosa taeniata</v>
      </c>
      <c r="L2384" s="3" t="n">
        <f aca="false">SUM(P2384:U2384)</f>
        <v>1</v>
      </c>
      <c r="M2384" s="11" t="n">
        <f aca="false">(L2384/(F2384*G2384)*25)*4</f>
        <v>4</v>
      </c>
      <c r="N2384" s="1" t="s">
        <v>30</v>
      </c>
      <c r="O2384" s="1" t="s">
        <v>31</v>
      </c>
      <c r="P2384" s="3" t="n">
        <v>1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f aca="false">SUM(P2384:Q2384)</f>
        <v>1</v>
      </c>
      <c r="W2384" s="3" t="n">
        <f aca="false">SUM(R2384:T2384)</f>
        <v>0</v>
      </c>
      <c r="X2384" s="22" t="n">
        <v>41793</v>
      </c>
      <c r="Y2384" s="22" t="n">
        <v>41798</v>
      </c>
    </row>
    <row r="2385" customFormat="false" ht="14.25" hidden="false" customHeight="false" outlineLevel="0" collapsed="false">
      <c r="A2385" s="1" t="n">
        <v>2014</v>
      </c>
      <c r="B2385" s="1" t="n">
        <v>1</v>
      </c>
      <c r="C2385" s="2" t="s">
        <v>25</v>
      </c>
      <c r="D2385" s="3" t="s">
        <v>101</v>
      </c>
      <c r="E2385" s="3" t="n">
        <v>3</v>
      </c>
      <c r="F2385" s="1" t="n">
        <f aca="false">Y2385-X2385</f>
        <v>5</v>
      </c>
      <c r="G2385" s="1" t="n">
        <v>5</v>
      </c>
      <c r="H2385" s="3" t="s">
        <v>48</v>
      </c>
      <c r="I2385" s="3" t="s">
        <v>49</v>
      </c>
      <c r="J2385" s="3" t="s">
        <v>104</v>
      </c>
      <c r="K2385" s="2" t="str">
        <f aca="false">CONCATENATE(I2385," ",J2385)</f>
        <v>Alopecosa taeniata</v>
      </c>
      <c r="L2385" s="3" t="n">
        <f aca="false">SUM(P2385:U2385)</f>
        <v>1</v>
      </c>
      <c r="M2385" s="11" t="n">
        <f aca="false">(L2385/(F2385*G2385)*25)*4</f>
        <v>4</v>
      </c>
      <c r="N2385" s="1" t="s">
        <v>30</v>
      </c>
      <c r="O2385" s="1" t="s">
        <v>35</v>
      </c>
      <c r="P2385" s="3" t="n">
        <v>0</v>
      </c>
      <c r="Q2385" s="3" t="n">
        <v>1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f aca="false">SUM(P2385:Q2385)</f>
        <v>1</v>
      </c>
      <c r="W2385" s="3" t="n">
        <f aca="false">SUM(R2385:T2385)</f>
        <v>0</v>
      </c>
      <c r="X2385" s="22" t="n">
        <v>41793</v>
      </c>
      <c r="Y2385" s="22" t="n">
        <v>41798</v>
      </c>
    </row>
    <row r="2386" customFormat="false" ht="14.25" hidden="false" customHeight="false" outlineLevel="0" collapsed="false">
      <c r="A2386" s="1" t="n">
        <v>2014</v>
      </c>
      <c r="B2386" s="1" t="n">
        <v>1</v>
      </c>
      <c r="C2386" s="2" t="s">
        <v>25</v>
      </c>
      <c r="D2386" s="3" t="s">
        <v>101</v>
      </c>
      <c r="E2386" s="3" t="n">
        <v>3</v>
      </c>
      <c r="F2386" s="1" t="n">
        <f aca="false">Y2386-X2386</f>
        <v>5</v>
      </c>
      <c r="G2386" s="1" t="n">
        <v>5</v>
      </c>
      <c r="H2386" s="3" t="s">
        <v>48</v>
      </c>
      <c r="I2386" s="3" t="s">
        <v>49</v>
      </c>
      <c r="J2386" s="3" t="s">
        <v>130</v>
      </c>
      <c r="K2386" s="2" t="str">
        <f aca="false">CONCATENATE(I2386," ",J2386)</f>
        <v>Alopecosa aculeata</v>
      </c>
      <c r="L2386" s="3" t="n">
        <f aca="false">SUM(P2386:U2386)</f>
        <v>1</v>
      </c>
      <c r="M2386" s="11" t="n">
        <f aca="false">(L2386/(F2386*G2386)*25)*4</f>
        <v>4</v>
      </c>
      <c r="N2386" s="1" t="s">
        <v>30</v>
      </c>
      <c r="O2386" s="1" t="s">
        <v>31</v>
      </c>
      <c r="P2386" s="3" t="n">
        <v>1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f aca="false">SUM(P2386:Q2386)</f>
        <v>1</v>
      </c>
      <c r="W2386" s="3" t="n">
        <f aca="false">SUM(R2386:T2386)</f>
        <v>0</v>
      </c>
      <c r="X2386" s="22" t="n">
        <v>41793</v>
      </c>
      <c r="Y2386" s="22" t="n">
        <v>41798</v>
      </c>
    </row>
    <row r="2387" customFormat="false" ht="14.25" hidden="false" customHeight="false" outlineLevel="0" collapsed="false">
      <c r="A2387" s="1" t="n">
        <v>2014</v>
      </c>
      <c r="B2387" s="1" t="n">
        <v>1</v>
      </c>
      <c r="C2387" s="2" t="s">
        <v>25</v>
      </c>
      <c r="D2387" s="3" t="s">
        <v>101</v>
      </c>
      <c r="E2387" s="3" t="n">
        <v>1</v>
      </c>
      <c r="F2387" s="1" t="n">
        <f aca="false">Y2387-X2387</f>
        <v>5</v>
      </c>
      <c r="G2387" s="1" t="n">
        <v>5</v>
      </c>
      <c r="H2387" s="3" t="s">
        <v>32</v>
      </c>
      <c r="I2387" s="3" t="s">
        <v>57</v>
      </c>
      <c r="J2387" s="3" t="s">
        <v>38</v>
      </c>
      <c r="K2387" s="2" t="str">
        <f aca="false">CONCATENATE(I2387," ",J2387)</f>
        <v>Gen sp</v>
      </c>
      <c r="L2387" s="3" t="n">
        <f aca="false">SUM(P2387:U2387)</f>
        <v>1</v>
      </c>
      <c r="M2387" s="11" t="n">
        <f aca="false">(L2387/(F2387*G2387)*25)*4</f>
        <v>4</v>
      </c>
      <c r="N2387" s="1" t="s">
        <v>19</v>
      </c>
      <c r="O2387" s="1" t="s">
        <v>54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1</v>
      </c>
      <c r="U2387" s="3" t="n">
        <v>0</v>
      </c>
      <c r="V2387" s="3" t="n">
        <f aca="false">SUM(P2387:Q2387)</f>
        <v>0</v>
      </c>
      <c r="W2387" s="3" t="n">
        <f aca="false">SUM(R2387:T2387)</f>
        <v>1</v>
      </c>
      <c r="X2387" s="22" t="n">
        <v>41793</v>
      </c>
      <c r="Y2387" s="22" t="n">
        <v>41798</v>
      </c>
    </row>
    <row r="2388" customFormat="false" ht="14.25" hidden="false" customHeight="false" outlineLevel="0" collapsed="false">
      <c r="A2388" s="1" t="n">
        <v>2014</v>
      </c>
      <c r="B2388" s="1" t="n">
        <v>1</v>
      </c>
      <c r="C2388" s="2" t="s">
        <v>25</v>
      </c>
      <c r="D2388" s="3" t="s">
        <v>101</v>
      </c>
      <c r="E2388" s="3" t="n">
        <v>1</v>
      </c>
      <c r="F2388" s="1" t="n">
        <f aca="false">Y2388-X2388</f>
        <v>5</v>
      </c>
      <c r="G2388" s="1" t="n">
        <v>5</v>
      </c>
      <c r="H2388" s="3" t="s">
        <v>226</v>
      </c>
      <c r="I2388" s="3" t="s">
        <v>65</v>
      </c>
      <c r="J2388" s="3" t="s">
        <v>123</v>
      </c>
      <c r="K2388" s="2" t="str">
        <f aca="false">CONCATENATE(I2388," ",J2388)</f>
        <v>Zora nemoralis</v>
      </c>
      <c r="L2388" s="3" t="n">
        <f aca="false">SUM(P2388:U2388)</f>
        <v>1</v>
      </c>
      <c r="M2388" s="11" t="n">
        <f aca="false">(L2388/(F2388*G2388)*25)*4</f>
        <v>4</v>
      </c>
      <c r="N2388" s="1" t="s">
        <v>30</v>
      </c>
      <c r="O2388" s="1" t="s">
        <v>31</v>
      </c>
      <c r="P2388" s="3" t="n">
        <v>1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f aca="false">SUM(P2388:Q2388)</f>
        <v>1</v>
      </c>
      <c r="W2388" s="3" t="n">
        <f aca="false">SUM(R2388:T2388)</f>
        <v>0</v>
      </c>
      <c r="X2388" s="22" t="n">
        <v>41793</v>
      </c>
      <c r="Y2388" s="22" t="n">
        <v>41798</v>
      </c>
    </row>
    <row r="2389" customFormat="false" ht="14.25" hidden="false" customHeight="false" outlineLevel="0" collapsed="false">
      <c r="A2389" s="1" t="n">
        <v>2014</v>
      </c>
      <c r="B2389" s="1" t="n">
        <v>1</v>
      </c>
      <c r="C2389" s="2" t="s">
        <v>25</v>
      </c>
      <c r="D2389" s="3" t="s">
        <v>101</v>
      </c>
      <c r="E2389" s="3" t="n">
        <v>1</v>
      </c>
      <c r="F2389" s="1" t="n">
        <f aca="false">Y2389-X2389</f>
        <v>5</v>
      </c>
      <c r="G2389" s="1" t="n">
        <v>5</v>
      </c>
      <c r="H2389" s="3" t="s">
        <v>48</v>
      </c>
      <c r="I2389" s="3" t="s">
        <v>67</v>
      </c>
      <c r="J2389" s="3" t="s">
        <v>127</v>
      </c>
      <c r="K2389" s="2" t="str">
        <f aca="false">CONCATENATE(I2389," ",J2389)</f>
        <v>Pardosa lugubris</v>
      </c>
      <c r="L2389" s="3" t="n">
        <f aca="false">SUM(P2389:U2389)</f>
        <v>2</v>
      </c>
      <c r="M2389" s="11" t="n">
        <f aca="false">(L2389/(F2389*G2389)*25)*4</f>
        <v>8</v>
      </c>
      <c r="N2389" s="1" t="s">
        <v>30</v>
      </c>
      <c r="O2389" s="1" t="s">
        <v>31</v>
      </c>
      <c r="P2389" s="3" t="n">
        <v>2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f aca="false">SUM(P2389:Q2389)</f>
        <v>2</v>
      </c>
      <c r="W2389" s="3" t="n">
        <f aca="false">SUM(R2389:T2389)</f>
        <v>0</v>
      </c>
      <c r="X2389" s="22" t="n">
        <v>41793</v>
      </c>
      <c r="Y2389" s="22" t="n">
        <v>41798</v>
      </c>
    </row>
    <row r="2390" customFormat="false" ht="14.25" hidden="false" customHeight="false" outlineLevel="0" collapsed="false">
      <c r="A2390" s="1" t="n">
        <v>2014</v>
      </c>
      <c r="B2390" s="1" t="n">
        <v>1</v>
      </c>
      <c r="C2390" s="2" t="s">
        <v>25</v>
      </c>
      <c r="D2390" s="3" t="s">
        <v>101</v>
      </c>
      <c r="E2390" s="3" t="n">
        <v>1</v>
      </c>
      <c r="F2390" s="1" t="n">
        <f aca="false">Y2390-X2390</f>
        <v>5</v>
      </c>
      <c r="G2390" s="1" t="n">
        <v>5</v>
      </c>
      <c r="H2390" s="3" t="s">
        <v>48</v>
      </c>
      <c r="I2390" s="3" t="s">
        <v>61</v>
      </c>
      <c r="J2390" s="3" t="s">
        <v>38</v>
      </c>
      <c r="K2390" s="2" t="str">
        <f aca="false">CONCATENATE(I2390," ",J2390)</f>
        <v>Trochosa sp</v>
      </c>
      <c r="L2390" s="3" t="n">
        <f aca="false">SUM(P2390:U2390)</f>
        <v>1</v>
      </c>
      <c r="M2390" s="11" t="n">
        <f aca="false">(L2390/(F2390*G2390)*25)*4</f>
        <v>4</v>
      </c>
      <c r="N2390" s="1" t="s">
        <v>19</v>
      </c>
      <c r="O2390" s="1" t="s">
        <v>54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1</v>
      </c>
      <c r="U2390" s="3" t="n">
        <v>0</v>
      </c>
      <c r="V2390" s="3" t="n">
        <f aca="false">SUM(P2390:Q2390)</f>
        <v>0</v>
      </c>
      <c r="W2390" s="3" t="n">
        <f aca="false">SUM(R2390:T2390)</f>
        <v>1</v>
      </c>
      <c r="X2390" s="22" t="n">
        <v>41793</v>
      </c>
      <c r="Y2390" s="22" t="n">
        <v>41798</v>
      </c>
    </row>
    <row r="2391" customFormat="false" ht="14.25" hidden="false" customHeight="false" outlineLevel="0" collapsed="false">
      <c r="A2391" s="1" t="n">
        <v>2014</v>
      </c>
      <c r="B2391" s="1" t="n">
        <v>1</v>
      </c>
      <c r="C2391" s="2" t="s">
        <v>25</v>
      </c>
      <c r="D2391" s="3" t="s">
        <v>101</v>
      </c>
      <c r="E2391" s="3" t="n">
        <v>1</v>
      </c>
      <c r="F2391" s="1" t="n">
        <f aca="false">Y2391-X2391</f>
        <v>5</v>
      </c>
      <c r="G2391" s="1" t="n">
        <v>5</v>
      </c>
      <c r="H2391" s="3" t="s">
        <v>48</v>
      </c>
      <c r="I2391" s="3" t="s">
        <v>49</v>
      </c>
      <c r="J2391" s="3" t="s">
        <v>38</v>
      </c>
      <c r="K2391" s="2" t="str">
        <f aca="false">CONCATENATE(I2391," ",J2391)</f>
        <v>Alopecosa sp</v>
      </c>
      <c r="L2391" s="3" t="n">
        <f aca="false">SUM(P2391:U2391)</f>
        <v>2</v>
      </c>
      <c r="M2391" s="11" t="n">
        <f aca="false">(L2391/(F2391*G2391)*25)*4</f>
        <v>8</v>
      </c>
      <c r="N2391" s="1" t="s">
        <v>19</v>
      </c>
      <c r="O2391" s="1" t="s">
        <v>54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2</v>
      </c>
      <c r="U2391" s="3" t="n">
        <v>0</v>
      </c>
      <c r="V2391" s="3" t="n">
        <f aca="false">SUM(P2391:Q2391)</f>
        <v>0</v>
      </c>
      <c r="W2391" s="3" t="n">
        <f aca="false">SUM(R2391:T2391)</f>
        <v>2</v>
      </c>
      <c r="X2391" s="22" t="n">
        <v>41793</v>
      </c>
      <c r="Y2391" s="22" t="n">
        <v>41798</v>
      </c>
    </row>
    <row r="2392" customFormat="false" ht="14.25" hidden="false" customHeight="false" outlineLevel="0" collapsed="false">
      <c r="A2392" s="1" t="n">
        <v>2014</v>
      </c>
      <c r="B2392" s="1" t="n">
        <v>1</v>
      </c>
      <c r="C2392" s="2" t="s">
        <v>25</v>
      </c>
      <c r="D2392" s="3" t="s">
        <v>101</v>
      </c>
      <c r="E2392" s="3" t="n">
        <v>1</v>
      </c>
      <c r="F2392" s="1" t="n">
        <f aca="false">Y2392-X2392</f>
        <v>5</v>
      </c>
      <c r="G2392" s="1" t="n">
        <v>5</v>
      </c>
      <c r="H2392" s="3" t="s">
        <v>48</v>
      </c>
      <c r="I2392" s="3" t="s">
        <v>49</v>
      </c>
      <c r="J2392" s="3" t="s">
        <v>104</v>
      </c>
      <c r="K2392" s="2" t="str">
        <f aca="false">CONCATENATE(I2392," ",J2392)</f>
        <v>Alopecosa taeniata</v>
      </c>
      <c r="L2392" s="3" t="n">
        <f aca="false">SUM(P2392:U2392)</f>
        <v>3</v>
      </c>
      <c r="M2392" s="11" t="n">
        <f aca="false">(L2392/(F2392*G2392)*25)*4</f>
        <v>12</v>
      </c>
      <c r="N2392" s="1" t="s">
        <v>30</v>
      </c>
      <c r="O2392" s="1" t="s">
        <v>31</v>
      </c>
      <c r="P2392" s="3" t="n">
        <v>3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f aca="false">SUM(P2392:Q2392)</f>
        <v>3</v>
      </c>
      <c r="W2392" s="3" t="n">
        <f aca="false">SUM(R2392:T2392)</f>
        <v>0</v>
      </c>
      <c r="X2392" s="22" t="n">
        <v>41793</v>
      </c>
      <c r="Y2392" s="22" t="n">
        <v>41798</v>
      </c>
    </row>
    <row r="2393" customFormat="false" ht="14.25" hidden="false" customHeight="false" outlineLevel="0" collapsed="false">
      <c r="A2393" s="1" t="n">
        <v>2014</v>
      </c>
      <c r="B2393" s="1" t="n">
        <v>1</v>
      </c>
      <c r="C2393" s="2" t="s">
        <v>25</v>
      </c>
      <c r="D2393" s="3" t="s">
        <v>101</v>
      </c>
      <c r="E2393" s="3" t="n">
        <v>2</v>
      </c>
      <c r="F2393" s="1" t="n">
        <f aca="false">Y2393-X2393</f>
        <v>5</v>
      </c>
      <c r="G2393" s="1" t="n">
        <v>5</v>
      </c>
      <c r="H2393" s="3" t="s">
        <v>41</v>
      </c>
      <c r="I2393" s="3" t="s">
        <v>42</v>
      </c>
      <c r="J2393" s="3" t="s">
        <v>198</v>
      </c>
      <c r="K2393" s="2" t="str">
        <f aca="false">CONCATENATE(I2393," ",J2393)</f>
        <v>Agroeca brunnea</v>
      </c>
      <c r="L2393" s="3" t="n">
        <f aca="false">SUM(P2393:U2393)</f>
        <v>1</v>
      </c>
      <c r="M2393" s="11" t="n">
        <f aca="false">(L2393/(F2393*G2393)*25)*4</f>
        <v>4</v>
      </c>
      <c r="N2393" s="1" t="s">
        <v>30</v>
      </c>
      <c r="O2393" s="1" t="s">
        <v>35</v>
      </c>
      <c r="P2393" s="3" t="n">
        <v>0</v>
      </c>
      <c r="Q2393" s="3" t="n">
        <v>1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f aca="false">SUM(P2393:Q2393)</f>
        <v>1</v>
      </c>
      <c r="W2393" s="3" t="n">
        <f aca="false">SUM(R2393:T2393)</f>
        <v>0</v>
      </c>
      <c r="X2393" s="22" t="n">
        <v>41793</v>
      </c>
      <c r="Y2393" s="22" t="n">
        <v>41798</v>
      </c>
    </row>
    <row r="2394" customFormat="false" ht="14.25" hidden="false" customHeight="false" outlineLevel="0" collapsed="false">
      <c r="A2394" s="1" t="n">
        <v>2014</v>
      </c>
      <c r="B2394" s="1" t="n">
        <v>1</v>
      </c>
      <c r="C2394" s="2" t="s">
        <v>25</v>
      </c>
      <c r="D2394" s="3" t="s">
        <v>101</v>
      </c>
      <c r="E2394" s="3" t="n">
        <v>2</v>
      </c>
      <c r="F2394" s="1" t="n">
        <f aca="false">Y2394-X2394</f>
        <v>5</v>
      </c>
      <c r="G2394" s="1" t="n">
        <v>5</v>
      </c>
      <c r="H2394" s="3" t="s">
        <v>41</v>
      </c>
      <c r="I2394" s="3" t="s">
        <v>42</v>
      </c>
      <c r="J2394" s="3" t="s">
        <v>38</v>
      </c>
      <c r="K2394" s="2" t="str">
        <f aca="false">CONCATENATE(I2394," ",J2394)</f>
        <v>Agroeca sp</v>
      </c>
      <c r="L2394" s="3" t="n">
        <f aca="false">SUM(P2394:U2394)</f>
        <v>1</v>
      </c>
      <c r="M2394" s="11" t="n">
        <f aca="false">(L2394/(F2394*G2394)*25)*4</f>
        <v>4</v>
      </c>
      <c r="N2394" s="1" t="s">
        <v>19</v>
      </c>
      <c r="O2394" s="1" t="s">
        <v>54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1</v>
      </c>
      <c r="U2394" s="3" t="n">
        <v>0</v>
      </c>
      <c r="V2394" s="3" t="n">
        <f aca="false">SUM(P2394:Q2394)</f>
        <v>0</v>
      </c>
      <c r="W2394" s="3" t="n">
        <f aca="false">SUM(R2394:T2394)</f>
        <v>1</v>
      </c>
      <c r="X2394" s="22" t="n">
        <v>41793</v>
      </c>
      <c r="Y2394" s="22" t="n">
        <v>41798</v>
      </c>
    </row>
    <row r="2395" customFormat="false" ht="14.25" hidden="false" customHeight="false" outlineLevel="0" collapsed="false">
      <c r="A2395" s="1" t="n">
        <v>2014</v>
      </c>
      <c r="B2395" s="1" t="n">
        <v>1</v>
      </c>
      <c r="C2395" s="2" t="s">
        <v>25</v>
      </c>
      <c r="D2395" s="3" t="s">
        <v>101</v>
      </c>
      <c r="E2395" s="3" t="n">
        <v>2</v>
      </c>
      <c r="F2395" s="1" t="n">
        <f aca="false">Y2395-X2395</f>
        <v>5</v>
      </c>
      <c r="G2395" s="1" t="n">
        <v>5</v>
      </c>
      <c r="H2395" s="3" t="s">
        <v>36</v>
      </c>
      <c r="I2395" s="3" t="s">
        <v>131</v>
      </c>
      <c r="J2395" s="3" t="s">
        <v>133</v>
      </c>
      <c r="K2395" s="2" t="str">
        <f aca="false">CONCATENATE(I2395," ",J2395)</f>
        <v>Xysticus luctuosus</v>
      </c>
      <c r="L2395" s="3" t="n">
        <f aca="false">SUM(P2395:U2395)</f>
        <v>1</v>
      </c>
      <c r="M2395" s="11" t="n">
        <f aca="false">(L2395/(F2395*G2395)*25)*4</f>
        <v>4</v>
      </c>
      <c r="N2395" s="1" t="s">
        <v>30</v>
      </c>
      <c r="O2395" s="1" t="s">
        <v>31</v>
      </c>
      <c r="P2395" s="3" t="n">
        <v>1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f aca="false">SUM(P2395:Q2395)</f>
        <v>1</v>
      </c>
      <c r="W2395" s="3" t="n">
        <f aca="false">SUM(R2395:T2395)</f>
        <v>0</v>
      </c>
      <c r="X2395" s="22" t="n">
        <v>41793</v>
      </c>
      <c r="Y2395" s="22" t="n">
        <v>41798</v>
      </c>
    </row>
    <row r="2396" customFormat="false" ht="14.25" hidden="false" customHeight="false" outlineLevel="0" collapsed="false">
      <c r="A2396" s="1" t="n">
        <v>2014</v>
      </c>
      <c r="B2396" s="1" t="n">
        <v>1</v>
      </c>
      <c r="C2396" s="2" t="s">
        <v>25</v>
      </c>
      <c r="D2396" s="3" t="s">
        <v>101</v>
      </c>
      <c r="E2396" s="3" t="n">
        <v>2</v>
      </c>
      <c r="F2396" s="1" t="n">
        <f aca="false">Y2396-X2396</f>
        <v>5</v>
      </c>
      <c r="G2396" s="1" t="n">
        <v>5</v>
      </c>
      <c r="H2396" s="3" t="s">
        <v>32</v>
      </c>
      <c r="I2396" s="3" t="s">
        <v>96</v>
      </c>
      <c r="J2396" s="3" t="s">
        <v>97</v>
      </c>
      <c r="K2396" s="2" t="str">
        <f aca="false">CONCATENATE(I2396," ",J2396)</f>
        <v>Diplocephalus picinus</v>
      </c>
      <c r="L2396" s="3" t="n">
        <f aca="false">SUM(P2396:U2396)</f>
        <v>1</v>
      </c>
      <c r="M2396" s="11" t="n">
        <f aca="false">(L2396/(F2396*G2396)*25)*4</f>
        <v>4</v>
      </c>
      <c r="N2396" s="1" t="s">
        <v>30</v>
      </c>
      <c r="O2396" s="1" t="s">
        <v>35</v>
      </c>
      <c r="P2396" s="3" t="n">
        <v>0</v>
      </c>
      <c r="Q2396" s="3" t="n">
        <v>1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f aca="false">SUM(P2396:Q2396)</f>
        <v>1</v>
      </c>
      <c r="W2396" s="3" t="n">
        <f aca="false">SUM(R2396:T2396)</f>
        <v>0</v>
      </c>
      <c r="X2396" s="22" t="n">
        <v>41793</v>
      </c>
      <c r="Y2396" s="22" t="n">
        <v>41798</v>
      </c>
    </row>
    <row r="2397" customFormat="false" ht="14.25" hidden="false" customHeight="false" outlineLevel="0" collapsed="false">
      <c r="A2397" s="1" t="n">
        <v>2014</v>
      </c>
      <c r="B2397" s="1" t="n">
        <v>1</v>
      </c>
      <c r="C2397" s="2" t="s">
        <v>25</v>
      </c>
      <c r="D2397" s="3" t="s">
        <v>101</v>
      </c>
      <c r="E2397" s="3" t="n">
        <v>2</v>
      </c>
      <c r="F2397" s="1" t="n">
        <f aca="false">Y2397-X2397</f>
        <v>5</v>
      </c>
      <c r="G2397" s="1" t="n">
        <v>5</v>
      </c>
      <c r="H2397" s="3" t="s">
        <v>48</v>
      </c>
      <c r="I2397" s="3" t="s">
        <v>49</v>
      </c>
      <c r="J2397" s="3" t="s">
        <v>104</v>
      </c>
      <c r="K2397" s="2" t="str">
        <f aca="false">CONCATENATE(I2397," ",J2397)</f>
        <v>Alopecosa taeniata</v>
      </c>
      <c r="L2397" s="3" t="n">
        <f aca="false">SUM(P2397:U2397)</f>
        <v>1</v>
      </c>
      <c r="M2397" s="11" t="n">
        <f aca="false">(L2397/(F2397*G2397)*25)*4</f>
        <v>4</v>
      </c>
      <c r="N2397" s="1" t="s">
        <v>30</v>
      </c>
      <c r="O2397" s="1" t="s">
        <v>31</v>
      </c>
      <c r="P2397" s="3" t="n">
        <v>1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f aca="false">SUM(P2397:Q2397)</f>
        <v>1</v>
      </c>
      <c r="W2397" s="3" t="n">
        <f aca="false">SUM(R2397:T2397)</f>
        <v>0</v>
      </c>
      <c r="X2397" s="22" t="n">
        <v>41793</v>
      </c>
      <c r="Y2397" s="22" t="n">
        <v>41798</v>
      </c>
    </row>
    <row r="2398" customFormat="false" ht="14.25" hidden="false" customHeight="false" outlineLevel="0" collapsed="false">
      <c r="A2398" s="1" t="n">
        <v>2014</v>
      </c>
      <c r="B2398" s="1" t="n">
        <v>1</v>
      </c>
      <c r="C2398" s="2" t="s">
        <v>25</v>
      </c>
      <c r="D2398" s="3" t="s">
        <v>101</v>
      </c>
      <c r="E2398" s="3" t="n">
        <v>2</v>
      </c>
      <c r="F2398" s="1" t="n">
        <f aca="false">Y2398-X2398</f>
        <v>5</v>
      </c>
      <c r="G2398" s="1" t="n">
        <v>5</v>
      </c>
      <c r="H2398" s="3" t="s">
        <v>48</v>
      </c>
      <c r="I2398" s="3" t="s">
        <v>49</v>
      </c>
      <c r="J2398" s="3" t="s">
        <v>104</v>
      </c>
      <c r="K2398" s="2" t="str">
        <f aca="false">CONCATENATE(I2398," ",J2398)</f>
        <v>Alopecosa taeniata</v>
      </c>
      <c r="L2398" s="3" t="n">
        <f aca="false">SUM(P2398:U2398)</f>
        <v>1</v>
      </c>
      <c r="M2398" s="11" t="n">
        <f aca="false">(L2398/(F2398*G2398)*25)*4</f>
        <v>4</v>
      </c>
      <c r="N2398" s="1" t="s">
        <v>30</v>
      </c>
      <c r="O2398" s="1" t="s">
        <v>35</v>
      </c>
      <c r="P2398" s="3" t="n">
        <v>0</v>
      </c>
      <c r="Q2398" s="3" t="n">
        <v>1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f aca="false">SUM(P2398:Q2398)</f>
        <v>1</v>
      </c>
      <c r="W2398" s="3" t="n">
        <f aca="false">SUM(R2398:T2398)</f>
        <v>0</v>
      </c>
      <c r="X2398" s="22" t="n">
        <v>41793</v>
      </c>
      <c r="Y2398" s="22" t="n">
        <v>41798</v>
      </c>
    </row>
    <row r="2399" customFormat="false" ht="14.25" hidden="false" customHeight="false" outlineLevel="0" collapsed="false">
      <c r="A2399" s="1" t="n">
        <v>2014</v>
      </c>
      <c r="B2399" s="1" t="n">
        <v>1</v>
      </c>
      <c r="C2399" s="2" t="s">
        <v>25</v>
      </c>
      <c r="D2399" s="3" t="s">
        <v>101</v>
      </c>
      <c r="E2399" s="3" t="n">
        <v>3</v>
      </c>
      <c r="F2399" s="1" t="n">
        <f aca="false">Y2399-X2399</f>
        <v>5</v>
      </c>
      <c r="G2399" s="1" t="n">
        <v>5</v>
      </c>
      <c r="H2399" s="3" t="s">
        <v>48</v>
      </c>
      <c r="I2399" s="3" t="s">
        <v>49</v>
      </c>
      <c r="J2399" s="3" t="s">
        <v>104</v>
      </c>
      <c r="K2399" s="2" t="str">
        <f aca="false">CONCATENATE(I2399," ",J2399)</f>
        <v>Alopecosa taeniata</v>
      </c>
      <c r="L2399" s="3" t="n">
        <f aca="false">SUM(P2399:U2399)</f>
        <v>2</v>
      </c>
      <c r="M2399" s="11" t="n">
        <f aca="false">(L2399/(F2399*G2399)*25)*4</f>
        <v>8</v>
      </c>
      <c r="N2399" s="1" t="s">
        <v>30</v>
      </c>
      <c r="O2399" s="1" t="s">
        <v>31</v>
      </c>
      <c r="P2399" s="3" t="n">
        <v>2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f aca="false">SUM(P2399:Q2399)</f>
        <v>2</v>
      </c>
      <c r="W2399" s="3" t="n">
        <f aca="false">SUM(R2399:T2399)</f>
        <v>0</v>
      </c>
      <c r="X2399" s="22" t="n">
        <v>41793</v>
      </c>
      <c r="Y2399" s="22" t="n">
        <v>41798</v>
      </c>
    </row>
    <row r="2400" customFormat="false" ht="14.25" hidden="false" customHeight="false" outlineLevel="0" collapsed="false">
      <c r="A2400" s="1" t="n">
        <v>2014</v>
      </c>
      <c r="B2400" s="1" t="n">
        <v>1</v>
      </c>
      <c r="C2400" s="2" t="s">
        <v>25</v>
      </c>
      <c r="D2400" s="3" t="s">
        <v>101</v>
      </c>
      <c r="E2400" s="3" t="n">
        <v>3</v>
      </c>
      <c r="F2400" s="1" t="n">
        <f aca="false">Y2400-X2400</f>
        <v>5</v>
      </c>
      <c r="G2400" s="1" t="n">
        <v>5</v>
      </c>
      <c r="H2400" s="3" t="s">
        <v>48</v>
      </c>
      <c r="I2400" s="3" t="s">
        <v>49</v>
      </c>
      <c r="J2400" s="3" t="s">
        <v>38</v>
      </c>
      <c r="K2400" s="2" t="str">
        <f aca="false">CONCATENATE(I2400," ",J2400)</f>
        <v>Alopecosa sp</v>
      </c>
      <c r="L2400" s="3" t="n">
        <f aca="false">SUM(P2400:U2400)</f>
        <v>2</v>
      </c>
      <c r="M2400" s="11" t="n">
        <f aca="false">(L2400/(F2400*G2400)*25)*4</f>
        <v>8</v>
      </c>
      <c r="N2400" s="1" t="s">
        <v>19</v>
      </c>
      <c r="O2400" s="1" t="s">
        <v>54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2</v>
      </c>
      <c r="U2400" s="3" t="n">
        <v>0</v>
      </c>
      <c r="V2400" s="3" t="n">
        <f aca="false">SUM(P2400:Q2400)</f>
        <v>0</v>
      </c>
      <c r="W2400" s="3" t="n">
        <f aca="false">SUM(R2400:T2400)</f>
        <v>2</v>
      </c>
      <c r="X2400" s="22" t="n">
        <v>41793</v>
      </c>
      <c r="Y2400" s="22" t="n">
        <v>41798</v>
      </c>
    </row>
    <row r="2401" customFormat="false" ht="14.25" hidden="false" customHeight="false" outlineLevel="0" collapsed="false">
      <c r="A2401" s="1" t="n">
        <v>2014</v>
      </c>
      <c r="B2401" s="1" t="n">
        <v>1</v>
      </c>
      <c r="C2401" s="2" t="s">
        <v>25</v>
      </c>
      <c r="D2401" s="3" t="s">
        <v>101</v>
      </c>
      <c r="E2401" s="3" t="n">
        <v>3</v>
      </c>
      <c r="F2401" s="1" t="n">
        <f aca="false">Y2401-X2401</f>
        <v>5</v>
      </c>
      <c r="G2401" s="1" t="n">
        <v>5</v>
      </c>
      <c r="H2401" s="3" t="s">
        <v>48</v>
      </c>
      <c r="I2401" s="3" t="s">
        <v>67</v>
      </c>
      <c r="J2401" s="3" t="s">
        <v>127</v>
      </c>
      <c r="K2401" s="2" t="str">
        <f aca="false">CONCATENATE(I2401," ",J2401)</f>
        <v>Pardosa lugubris</v>
      </c>
      <c r="L2401" s="3" t="n">
        <f aca="false">SUM(P2401:U2401)</f>
        <v>6</v>
      </c>
      <c r="M2401" s="11" t="n">
        <f aca="false">(L2401/(F2401*G2401)*25)*4</f>
        <v>24</v>
      </c>
      <c r="N2401" s="1" t="s">
        <v>30</v>
      </c>
      <c r="O2401" s="1" t="s">
        <v>31</v>
      </c>
      <c r="P2401" s="3" t="n">
        <v>6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f aca="false">SUM(P2401:Q2401)</f>
        <v>6</v>
      </c>
      <c r="W2401" s="3" t="n">
        <f aca="false">SUM(R2401:T2401)</f>
        <v>0</v>
      </c>
      <c r="X2401" s="22" t="n">
        <v>41793</v>
      </c>
      <c r="Y2401" s="22" t="n">
        <v>41798</v>
      </c>
    </row>
    <row r="2402" customFormat="false" ht="14.25" hidden="false" customHeight="false" outlineLevel="0" collapsed="false">
      <c r="A2402" s="1" t="n">
        <v>2014</v>
      </c>
      <c r="B2402" s="1" t="n">
        <v>1</v>
      </c>
      <c r="C2402" s="2" t="s">
        <v>25</v>
      </c>
      <c r="D2402" s="3" t="s">
        <v>101</v>
      </c>
      <c r="E2402" s="3" t="n">
        <v>3</v>
      </c>
      <c r="F2402" s="1" t="n">
        <f aca="false">Y2402-X2402</f>
        <v>5</v>
      </c>
      <c r="G2402" s="1" t="n">
        <v>5</v>
      </c>
      <c r="H2402" s="3" t="s">
        <v>48</v>
      </c>
      <c r="I2402" s="3" t="s">
        <v>67</v>
      </c>
      <c r="J2402" s="3" t="s">
        <v>167</v>
      </c>
      <c r="K2402" s="2" t="str">
        <f aca="false">CONCATENATE(I2402," ",J2402)</f>
        <v>Pardosa agrestis</v>
      </c>
      <c r="L2402" s="3" t="n">
        <f aca="false">SUM(P2402:U2402)</f>
        <v>1</v>
      </c>
      <c r="M2402" s="11" t="n">
        <f aca="false">(L2402/(F2402*G2402)*25)*4</f>
        <v>4</v>
      </c>
      <c r="N2402" s="1" t="s">
        <v>30</v>
      </c>
      <c r="O2402" s="1" t="s">
        <v>31</v>
      </c>
      <c r="P2402" s="3" t="n">
        <v>1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f aca="false">SUM(P2402:Q2402)</f>
        <v>1</v>
      </c>
      <c r="W2402" s="3" t="n">
        <f aca="false">SUM(R2402:T2402)</f>
        <v>0</v>
      </c>
      <c r="X2402" s="22" t="n">
        <v>41793</v>
      </c>
      <c r="Y2402" s="22" t="n">
        <v>41798</v>
      </c>
    </row>
    <row r="2403" customFormat="false" ht="14.25" hidden="false" customHeight="false" outlineLevel="0" collapsed="false">
      <c r="A2403" s="1" t="n">
        <v>2014</v>
      </c>
      <c r="B2403" s="1" t="n">
        <v>1</v>
      </c>
      <c r="C2403" s="2" t="s">
        <v>25</v>
      </c>
      <c r="D2403" s="3" t="s">
        <v>101</v>
      </c>
      <c r="E2403" s="3" t="n">
        <v>3</v>
      </c>
      <c r="F2403" s="1" t="n">
        <f aca="false">Y2403-X2403</f>
        <v>5</v>
      </c>
      <c r="G2403" s="1" t="n">
        <v>5</v>
      </c>
      <c r="H2403" s="3" t="s">
        <v>32</v>
      </c>
      <c r="I2403" s="3" t="s">
        <v>169</v>
      </c>
      <c r="J2403" s="3" t="s">
        <v>170</v>
      </c>
      <c r="K2403" s="2" t="str">
        <f aca="false">CONCATENATE(I2403," ",J2403)</f>
        <v>Abacoproeces saltuum</v>
      </c>
      <c r="L2403" s="3" t="n">
        <f aca="false">SUM(P2403:U2403)</f>
        <v>2</v>
      </c>
      <c r="M2403" s="11" t="n">
        <f aca="false">(L2403/(F2403*G2403)*25)*4</f>
        <v>8</v>
      </c>
      <c r="N2403" s="1" t="s">
        <v>30</v>
      </c>
      <c r="O2403" s="1" t="s">
        <v>31</v>
      </c>
      <c r="P2403" s="3" t="n">
        <v>2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0</v>
      </c>
      <c r="V2403" s="3" t="n">
        <f aca="false">SUM(P2403:Q2403)</f>
        <v>2</v>
      </c>
      <c r="W2403" s="3" t="n">
        <f aca="false">SUM(R2403:T2403)</f>
        <v>0</v>
      </c>
      <c r="X2403" s="22" t="n">
        <v>41793</v>
      </c>
      <c r="Y2403" s="22" t="n">
        <v>41798</v>
      </c>
    </row>
    <row r="2404" customFormat="false" ht="14.25" hidden="false" customHeight="false" outlineLevel="0" collapsed="false">
      <c r="A2404" s="1" t="n">
        <v>2014</v>
      </c>
      <c r="B2404" s="1" t="n">
        <v>1</v>
      </c>
      <c r="C2404" s="2" t="s">
        <v>25</v>
      </c>
      <c r="D2404" s="3" t="s">
        <v>101</v>
      </c>
      <c r="E2404" s="3" t="n">
        <v>3</v>
      </c>
      <c r="F2404" s="1" t="n">
        <f aca="false">Y2404-X2404</f>
        <v>5</v>
      </c>
      <c r="G2404" s="1" t="n">
        <v>5</v>
      </c>
      <c r="H2404" s="3" t="s">
        <v>32</v>
      </c>
      <c r="I2404" s="3" t="s">
        <v>96</v>
      </c>
      <c r="J2404" s="3" t="s">
        <v>97</v>
      </c>
      <c r="K2404" s="2" t="str">
        <f aca="false">CONCATENATE(I2404," ",J2404)</f>
        <v>Diplocephalus picinus</v>
      </c>
      <c r="L2404" s="3" t="n">
        <f aca="false">SUM(P2404:U2404)</f>
        <v>1</v>
      </c>
      <c r="M2404" s="11" t="n">
        <f aca="false">(L2404/(F2404*G2404)*25)*4</f>
        <v>4</v>
      </c>
      <c r="N2404" s="1" t="s">
        <v>30</v>
      </c>
      <c r="O2404" s="1" t="s">
        <v>31</v>
      </c>
      <c r="P2404" s="3" t="n">
        <v>1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f aca="false">SUM(P2404:Q2404)</f>
        <v>1</v>
      </c>
      <c r="W2404" s="3" t="n">
        <f aca="false">SUM(R2404:T2404)</f>
        <v>0</v>
      </c>
      <c r="X2404" s="22" t="n">
        <v>41793</v>
      </c>
      <c r="Y2404" s="22" t="n">
        <v>41798</v>
      </c>
    </row>
    <row r="2405" customFormat="false" ht="14.25" hidden="false" customHeight="false" outlineLevel="0" collapsed="false">
      <c r="A2405" s="1" t="n">
        <v>2014</v>
      </c>
      <c r="B2405" s="1" t="n">
        <v>1</v>
      </c>
      <c r="C2405" s="2" t="s">
        <v>25</v>
      </c>
      <c r="D2405" s="3" t="s">
        <v>101</v>
      </c>
      <c r="E2405" s="3" t="n">
        <v>3</v>
      </c>
      <c r="F2405" s="1" t="n">
        <f aca="false">Y2405-X2405</f>
        <v>5</v>
      </c>
      <c r="G2405" s="1" t="n">
        <v>5</v>
      </c>
      <c r="H2405" s="3" t="s">
        <v>32</v>
      </c>
      <c r="I2405" s="3" t="s">
        <v>84</v>
      </c>
      <c r="J2405" s="3" t="s">
        <v>85</v>
      </c>
      <c r="K2405" s="2" t="str">
        <f aca="false">CONCATENATE(I2405," ",J2405)</f>
        <v>Walckenaeria antica</v>
      </c>
      <c r="L2405" s="3" t="n">
        <f aca="false">SUM(P2405:U2405)</f>
        <v>1</v>
      </c>
      <c r="M2405" s="11" t="n">
        <f aca="false">(L2405/(F2405*G2405)*25)*4</f>
        <v>4</v>
      </c>
      <c r="N2405" s="1" t="s">
        <v>30</v>
      </c>
      <c r="O2405" s="1" t="s">
        <v>35</v>
      </c>
      <c r="P2405" s="3" t="n">
        <v>0</v>
      </c>
      <c r="Q2405" s="3" t="n">
        <v>1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f aca="false">SUM(P2405:Q2405)</f>
        <v>1</v>
      </c>
      <c r="W2405" s="3" t="n">
        <f aca="false">SUM(R2405:T2405)</f>
        <v>0</v>
      </c>
      <c r="X2405" s="22" t="n">
        <v>41793</v>
      </c>
      <c r="Y2405" s="22" t="n">
        <v>41798</v>
      </c>
    </row>
    <row r="2406" customFormat="false" ht="14.25" hidden="false" customHeight="false" outlineLevel="0" collapsed="false">
      <c r="A2406" s="1" t="n">
        <v>2014</v>
      </c>
      <c r="B2406" s="1" t="n">
        <v>1</v>
      </c>
      <c r="C2406" s="2" t="s">
        <v>50</v>
      </c>
      <c r="D2406" s="3" t="s">
        <v>158</v>
      </c>
      <c r="E2406" s="3" t="n">
        <v>1</v>
      </c>
      <c r="F2406" s="1" t="n">
        <f aca="false">Y2406-X2406</f>
        <v>5</v>
      </c>
      <c r="G2406" s="1" t="n">
        <v>5</v>
      </c>
      <c r="H2406" s="3" t="s">
        <v>48</v>
      </c>
      <c r="I2406" s="3" t="s">
        <v>49</v>
      </c>
      <c r="J2406" s="3" t="s">
        <v>119</v>
      </c>
      <c r="K2406" s="2" t="str">
        <f aca="false">CONCATENATE(I2406," ",J2406)</f>
        <v>Alopecosa sulzeri</v>
      </c>
      <c r="L2406" s="3" t="n">
        <f aca="false">SUM(P2406:U2406)</f>
        <v>1</v>
      </c>
      <c r="M2406" s="11" t="n">
        <f aca="false">(L2406/(F2406*G2406)*25)*4</f>
        <v>4</v>
      </c>
      <c r="N2406" s="1" t="s">
        <v>30</v>
      </c>
      <c r="O2406" s="1" t="s">
        <v>31</v>
      </c>
      <c r="P2406" s="3" t="n">
        <v>1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f aca="false">SUM(P2406:Q2406)</f>
        <v>1</v>
      </c>
      <c r="W2406" s="3" t="n">
        <f aca="false">SUM(R2406:T2406)</f>
        <v>0</v>
      </c>
      <c r="X2406" s="22" t="n">
        <v>41793</v>
      </c>
      <c r="Y2406" s="22" t="n">
        <v>41798</v>
      </c>
    </row>
    <row r="2407" customFormat="false" ht="14.25" hidden="false" customHeight="false" outlineLevel="0" collapsed="false">
      <c r="A2407" s="1" t="n">
        <v>2014</v>
      </c>
      <c r="B2407" s="1" t="n">
        <v>1</v>
      </c>
      <c r="C2407" s="2" t="s">
        <v>50</v>
      </c>
      <c r="D2407" s="3" t="s">
        <v>158</v>
      </c>
      <c r="E2407" s="3" t="n">
        <v>1</v>
      </c>
      <c r="F2407" s="1" t="n">
        <f aca="false">Y2407-X2407</f>
        <v>5</v>
      </c>
      <c r="G2407" s="1" t="n">
        <v>5</v>
      </c>
      <c r="H2407" s="3" t="s">
        <v>48</v>
      </c>
      <c r="I2407" s="3" t="s">
        <v>61</v>
      </c>
      <c r="J2407" s="3" t="s">
        <v>82</v>
      </c>
      <c r="K2407" s="2" t="str">
        <f aca="false">CONCATENATE(I2407," ",J2407)</f>
        <v>Trochosa terricola</v>
      </c>
      <c r="L2407" s="3" t="n">
        <f aca="false">SUM(P2407:U2407)</f>
        <v>1</v>
      </c>
      <c r="M2407" s="11" t="n">
        <f aca="false">(L2407/(F2407*G2407)*25)*4</f>
        <v>4</v>
      </c>
      <c r="N2407" s="1" t="s">
        <v>30</v>
      </c>
      <c r="O2407" s="1" t="s">
        <v>31</v>
      </c>
      <c r="P2407" s="3" t="n">
        <v>1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f aca="false">SUM(P2407:Q2407)</f>
        <v>1</v>
      </c>
      <c r="W2407" s="3" t="n">
        <f aca="false">SUM(R2407:T2407)</f>
        <v>0</v>
      </c>
      <c r="X2407" s="22" t="n">
        <v>41793</v>
      </c>
      <c r="Y2407" s="22" t="n">
        <v>41798</v>
      </c>
    </row>
    <row r="2408" customFormat="false" ht="14.25" hidden="false" customHeight="false" outlineLevel="0" collapsed="false">
      <c r="A2408" s="1" t="n">
        <v>2014</v>
      </c>
      <c r="B2408" s="1" t="n">
        <v>1</v>
      </c>
      <c r="C2408" s="2" t="s">
        <v>50</v>
      </c>
      <c r="D2408" s="3" t="s">
        <v>158</v>
      </c>
      <c r="E2408" s="3" t="n">
        <v>1</v>
      </c>
      <c r="F2408" s="1" t="n">
        <f aca="false">Y2408-X2408</f>
        <v>5</v>
      </c>
      <c r="G2408" s="1" t="n">
        <v>5</v>
      </c>
      <c r="H2408" s="3" t="s">
        <v>48</v>
      </c>
      <c r="I2408" s="3" t="s">
        <v>67</v>
      </c>
      <c r="J2408" s="3" t="s">
        <v>127</v>
      </c>
      <c r="K2408" s="2" t="str">
        <f aca="false">CONCATENATE(I2408," ",J2408)</f>
        <v>Pardosa lugubris</v>
      </c>
      <c r="L2408" s="3" t="n">
        <f aca="false">SUM(P2408:U2408)</f>
        <v>13</v>
      </c>
      <c r="M2408" s="11" t="n">
        <f aca="false">(L2408/(F2408*G2408)*25)*4</f>
        <v>52</v>
      </c>
      <c r="N2408" s="1" t="s">
        <v>30</v>
      </c>
      <c r="O2408" s="1" t="s">
        <v>31</v>
      </c>
      <c r="P2408" s="3" t="n">
        <v>13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f aca="false">SUM(P2408:Q2408)</f>
        <v>13</v>
      </c>
      <c r="W2408" s="3" t="n">
        <f aca="false">SUM(R2408:T2408)</f>
        <v>0</v>
      </c>
      <c r="X2408" s="22" t="n">
        <v>41793</v>
      </c>
      <c r="Y2408" s="22" t="n">
        <v>41798</v>
      </c>
    </row>
    <row r="2409" customFormat="false" ht="14.25" hidden="false" customHeight="false" outlineLevel="0" collapsed="false">
      <c r="A2409" s="1" t="n">
        <v>2014</v>
      </c>
      <c r="B2409" s="1" t="n">
        <v>1</v>
      </c>
      <c r="C2409" s="2" t="s">
        <v>50</v>
      </c>
      <c r="D2409" s="3" t="s">
        <v>158</v>
      </c>
      <c r="E2409" s="3" t="n">
        <v>1</v>
      </c>
      <c r="F2409" s="1" t="n">
        <f aca="false">Y2409-X2409</f>
        <v>5</v>
      </c>
      <c r="G2409" s="1" t="n">
        <v>5</v>
      </c>
      <c r="H2409" s="3" t="s">
        <v>48</v>
      </c>
      <c r="I2409" s="3" t="s">
        <v>67</v>
      </c>
      <c r="J2409" s="3" t="s">
        <v>127</v>
      </c>
      <c r="K2409" s="2" t="str">
        <f aca="false">CONCATENATE(I2409," ",J2409)</f>
        <v>Pardosa lugubris</v>
      </c>
      <c r="L2409" s="3" t="n">
        <f aca="false">SUM(P2409:U2409)</f>
        <v>1</v>
      </c>
      <c r="M2409" s="11" t="n">
        <f aca="false">(L2409/(F2409*G2409)*25)*4</f>
        <v>4</v>
      </c>
      <c r="N2409" s="1" t="s">
        <v>30</v>
      </c>
      <c r="O2409" s="1" t="s">
        <v>35</v>
      </c>
      <c r="P2409" s="3" t="n">
        <v>0</v>
      </c>
      <c r="Q2409" s="3" t="n">
        <v>1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f aca="false">SUM(P2409:Q2409)</f>
        <v>1</v>
      </c>
      <c r="W2409" s="3" t="n">
        <f aca="false">SUM(R2409:T2409)</f>
        <v>0</v>
      </c>
      <c r="X2409" s="22" t="n">
        <v>41793</v>
      </c>
      <c r="Y2409" s="22" t="n">
        <v>41798</v>
      </c>
    </row>
    <row r="2410" customFormat="false" ht="14.25" hidden="false" customHeight="false" outlineLevel="0" collapsed="false">
      <c r="A2410" s="1" t="n">
        <v>2014</v>
      </c>
      <c r="B2410" s="1" t="n">
        <v>1</v>
      </c>
      <c r="C2410" s="2" t="s">
        <v>50</v>
      </c>
      <c r="D2410" s="3" t="s">
        <v>158</v>
      </c>
      <c r="E2410" s="3" t="n">
        <v>1</v>
      </c>
      <c r="F2410" s="1" t="n">
        <f aca="false">Y2410-X2410</f>
        <v>5</v>
      </c>
      <c r="G2410" s="1" t="n">
        <v>5</v>
      </c>
      <c r="H2410" s="3" t="s">
        <v>48</v>
      </c>
      <c r="I2410" s="3" t="s">
        <v>49</v>
      </c>
      <c r="J2410" s="3" t="s">
        <v>38</v>
      </c>
      <c r="K2410" s="2" t="str">
        <f aca="false">CONCATENATE(I2410," ",J2410)</f>
        <v>Alopecosa sp</v>
      </c>
      <c r="L2410" s="3" t="n">
        <f aca="false">SUM(P2410:U2410)</f>
        <v>1</v>
      </c>
      <c r="M2410" s="11" t="n">
        <f aca="false">(L2410/(F2410*G2410)*25)*4</f>
        <v>4</v>
      </c>
      <c r="N2410" s="1" t="s">
        <v>19</v>
      </c>
      <c r="O2410" s="1" t="s">
        <v>54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1</v>
      </c>
      <c r="U2410" s="3" t="n">
        <v>0</v>
      </c>
      <c r="V2410" s="3" t="n">
        <f aca="false">SUM(P2410:Q2410)</f>
        <v>0</v>
      </c>
      <c r="W2410" s="3" t="n">
        <f aca="false">SUM(R2410:T2410)</f>
        <v>1</v>
      </c>
      <c r="X2410" s="22" t="n">
        <v>41793</v>
      </c>
      <c r="Y2410" s="22" t="n">
        <v>41798</v>
      </c>
    </row>
    <row r="2411" customFormat="false" ht="14.25" hidden="false" customHeight="false" outlineLevel="0" collapsed="false">
      <c r="A2411" s="1" t="n">
        <v>2014</v>
      </c>
      <c r="B2411" s="1" t="n">
        <v>1</v>
      </c>
      <c r="C2411" s="2" t="s">
        <v>50</v>
      </c>
      <c r="D2411" s="3" t="s">
        <v>158</v>
      </c>
      <c r="E2411" s="3" t="n">
        <v>1</v>
      </c>
      <c r="F2411" s="1" t="n">
        <f aca="false">Y2411-X2411</f>
        <v>5</v>
      </c>
      <c r="G2411" s="1" t="n">
        <v>5</v>
      </c>
      <c r="H2411" s="3" t="s">
        <v>48</v>
      </c>
      <c r="I2411" s="3" t="s">
        <v>61</v>
      </c>
      <c r="J2411" s="3" t="s">
        <v>38</v>
      </c>
      <c r="K2411" s="2" t="str">
        <f aca="false">CONCATENATE(I2411," ",J2411)</f>
        <v>Trochosa sp</v>
      </c>
      <c r="L2411" s="3" t="n">
        <f aca="false">SUM(P2411:U2411)</f>
        <v>3</v>
      </c>
      <c r="M2411" s="11" t="n">
        <f aca="false">(L2411/(F2411*G2411)*25)*4</f>
        <v>12</v>
      </c>
      <c r="N2411" s="1" t="s">
        <v>19</v>
      </c>
      <c r="O2411" s="1" t="s">
        <v>54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3</v>
      </c>
      <c r="U2411" s="3" t="n">
        <v>0</v>
      </c>
      <c r="V2411" s="3" t="n">
        <f aca="false">SUM(P2411:Q2411)</f>
        <v>0</v>
      </c>
      <c r="W2411" s="3" t="n">
        <f aca="false">SUM(R2411:T2411)</f>
        <v>3</v>
      </c>
      <c r="X2411" s="22" t="n">
        <v>41793</v>
      </c>
      <c r="Y2411" s="22" t="n">
        <v>41798</v>
      </c>
    </row>
    <row r="2412" customFormat="false" ht="14.25" hidden="false" customHeight="false" outlineLevel="0" collapsed="false">
      <c r="A2412" s="1" t="n">
        <v>2014</v>
      </c>
      <c r="B2412" s="1" t="n">
        <v>1</v>
      </c>
      <c r="C2412" s="2" t="s">
        <v>50</v>
      </c>
      <c r="D2412" s="3" t="s">
        <v>158</v>
      </c>
      <c r="E2412" s="3" t="n">
        <v>1</v>
      </c>
      <c r="F2412" s="1" t="n">
        <f aca="false">Y2412-X2412</f>
        <v>5</v>
      </c>
      <c r="G2412" s="1" t="n">
        <v>5</v>
      </c>
      <c r="H2412" s="3" t="s">
        <v>72</v>
      </c>
      <c r="I2412" s="3" t="s">
        <v>73</v>
      </c>
      <c r="J2412" s="3" t="s">
        <v>38</v>
      </c>
      <c r="K2412" s="2" t="str">
        <f aca="false">CONCATENATE(I2412," ",J2412)</f>
        <v>Zelotes sp</v>
      </c>
      <c r="L2412" s="3" t="n">
        <f aca="false">SUM(P2412:U2412)</f>
        <v>1</v>
      </c>
      <c r="M2412" s="11" t="n">
        <f aca="false">(L2412/(F2412*G2412)*25)*4</f>
        <v>4</v>
      </c>
      <c r="N2412" s="1" t="s">
        <v>19</v>
      </c>
      <c r="O2412" s="1" t="s">
        <v>54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1</v>
      </c>
      <c r="U2412" s="3" t="n">
        <v>0</v>
      </c>
      <c r="V2412" s="3" t="n">
        <f aca="false">SUM(P2412:Q2412)</f>
        <v>0</v>
      </c>
      <c r="W2412" s="3" t="n">
        <f aca="false">SUM(R2412:T2412)</f>
        <v>1</v>
      </c>
      <c r="X2412" s="22" t="n">
        <v>41793</v>
      </c>
      <c r="Y2412" s="22" t="n">
        <v>41798</v>
      </c>
    </row>
    <row r="2413" customFormat="false" ht="14.25" hidden="false" customHeight="false" outlineLevel="0" collapsed="false">
      <c r="A2413" s="1" t="n">
        <v>2014</v>
      </c>
      <c r="B2413" s="1" t="n">
        <v>1</v>
      </c>
      <c r="C2413" s="2" t="s">
        <v>50</v>
      </c>
      <c r="D2413" s="3" t="s">
        <v>158</v>
      </c>
      <c r="E2413" s="3" t="n">
        <v>1</v>
      </c>
      <c r="F2413" s="1" t="n">
        <f aca="false">Y2413-X2413</f>
        <v>5</v>
      </c>
      <c r="G2413" s="1" t="n">
        <v>5</v>
      </c>
      <c r="H2413" s="3" t="s">
        <v>72</v>
      </c>
      <c r="I2413" s="3" t="s">
        <v>86</v>
      </c>
      <c r="J2413" s="3" t="s">
        <v>87</v>
      </c>
      <c r="K2413" s="2" t="str">
        <f aca="false">CONCATENATE(I2413," ",J2413)</f>
        <v>Haplodrassus soerenseni</v>
      </c>
      <c r="L2413" s="3" t="n">
        <f aca="false">SUM(P2413:U2413)</f>
        <v>1</v>
      </c>
      <c r="M2413" s="11" t="n">
        <f aca="false">(L2413/(F2413*G2413)*25)*4</f>
        <v>4</v>
      </c>
      <c r="N2413" s="1" t="s">
        <v>30</v>
      </c>
      <c r="O2413" s="1" t="s">
        <v>31</v>
      </c>
      <c r="P2413" s="3" t="n">
        <v>1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f aca="false">SUM(P2413:Q2413)</f>
        <v>1</v>
      </c>
      <c r="W2413" s="3" t="n">
        <f aca="false">SUM(R2413:T2413)</f>
        <v>0</v>
      </c>
      <c r="X2413" s="22" t="n">
        <v>41793</v>
      </c>
      <c r="Y2413" s="22" t="n">
        <v>41798</v>
      </c>
    </row>
    <row r="2414" customFormat="false" ht="14.25" hidden="false" customHeight="false" outlineLevel="0" collapsed="false">
      <c r="A2414" s="1" t="n">
        <v>2014</v>
      </c>
      <c r="B2414" s="1" t="n">
        <v>1</v>
      </c>
      <c r="C2414" s="2" t="s">
        <v>50</v>
      </c>
      <c r="D2414" s="3" t="s">
        <v>158</v>
      </c>
      <c r="E2414" s="3" t="n">
        <v>1</v>
      </c>
      <c r="F2414" s="1" t="n">
        <f aca="false">Y2414-X2414</f>
        <v>5</v>
      </c>
      <c r="G2414" s="1" t="n">
        <v>5</v>
      </c>
      <c r="H2414" s="3" t="s">
        <v>135</v>
      </c>
      <c r="I2414" s="3" t="s">
        <v>216</v>
      </c>
      <c r="J2414" s="3" t="s">
        <v>38</v>
      </c>
      <c r="K2414" s="2" t="str">
        <f aca="false">CONCATENATE(I2414," ",J2414)</f>
        <v>Philodromus sp</v>
      </c>
      <c r="L2414" s="3" t="n">
        <f aca="false">SUM(P2414:U2414)</f>
        <v>1</v>
      </c>
      <c r="M2414" s="11" t="n">
        <f aca="false">(L2414/(F2414*G2414)*25)*4</f>
        <v>4</v>
      </c>
      <c r="N2414" s="1" t="s">
        <v>19</v>
      </c>
      <c r="O2414" s="1" t="s">
        <v>54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1</v>
      </c>
      <c r="U2414" s="3" t="n">
        <v>0</v>
      </c>
      <c r="V2414" s="3" t="n">
        <f aca="false">SUM(P2414:Q2414)</f>
        <v>0</v>
      </c>
      <c r="W2414" s="3" t="n">
        <f aca="false">SUM(R2414:T2414)</f>
        <v>1</v>
      </c>
      <c r="X2414" s="22" t="n">
        <v>41793</v>
      </c>
      <c r="Y2414" s="22" t="n">
        <v>41798</v>
      </c>
    </row>
    <row r="2415" customFormat="false" ht="14.25" hidden="false" customHeight="false" outlineLevel="0" collapsed="false">
      <c r="A2415" s="1" t="n">
        <v>2014</v>
      </c>
      <c r="B2415" s="1" t="n">
        <v>1</v>
      </c>
      <c r="C2415" s="2" t="s">
        <v>50</v>
      </c>
      <c r="D2415" s="3" t="s">
        <v>158</v>
      </c>
      <c r="E2415" s="3" t="n">
        <v>1</v>
      </c>
      <c r="F2415" s="1" t="n">
        <f aca="false">Y2415-X2415</f>
        <v>5</v>
      </c>
      <c r="G2415" s="1" t="n">
        <v>5</v>
      </c>
      <c r="H2415" s="3" t="s">
        <v>32</v>
      </c>
      <c r="I2415" s="3" t="s">
        <v>84</v>
      </c>
      <c r="J2415" s="3" t="s">
        <v>168</v>
      </c>
      <c r="K2415" s="2" t="str">
        <f aca="false">CONCATENATE(I2415," ",J2415)</f>
        <v>Walckenaeria atrotibialis</v>
      </c>
      <c r="L2415" s="3" t="n">
        <f aca="false">SUM(P2415:U2415)</f>
        <v>1</v>
      </c>
      <c r="M2415" s="11" t="n">
        <f aca="false">(L2415/(F2415*G2415)*25)*4</f>
        <v>4</v>
      </c>
      <c r="N2415" s="1" t="s">
        <v>30</v>
      </c>
      <c r="O2415" s="1" t="s">
        <v>31</v>
      </c>
      <c r="P2415" s="3" t="n">
        <v>1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f aca="false">SUM(P2415:Q2415)</f>
        <v>1</v>
      </c>
      <c r="W2415" s="3" t="n">
        <f aca="false">SUM(R2415:T2415)</f>
        <v>0</v>
      </c>
      <c r="X2415" s="22" t="n">
        <v>41793</v>
      </c>
      <c r="Y2415" s="22" t="n">
        <v>41798</v>
      </c>
    </row>
    <row r="2416" customFormat="false" ht="14.25" hidden="false" customHeight="false" outlineLevel="0" collapsed="false">
      <c r="A2416" s="1" t="n">
        <v>2014</v>
      </c>
      <c r="B2416" s="1" t="n">
        <v>1</v>
      </c>
      <c r="C2416" s="2" t="s">
        <v>50</v>
      </c>
      <c r="D2416" s="3" t="s">
        <v>158</v>
      </c>
      <c r="E2416" s="3" t="n">
        <v>1</v>
      </c>
      <c r="F2416" s="1" t="n">
        <f aca="false">Y2416-X2416</f>
        <v>5</v>
      </c>
      <c r="G2416" s="1" t="n">
        <v>5</v>
      </c>
      <c r="H2416" s="3" t="s">
        <v>48</v>
      </c>
      <c r="I2416" s="3" t="s">
        <v>49</v>
      </c>
      <c r="J2416" s="3" t="s">
        <v>104</v>
      </c>
      <c r="K2416" s="2" t="str">
        <f aca="false">CONCATENATE(I2416," ",J2416)</f>
        <v>Alopecosa taeniata</v>
      </c>
      <c r="L2416" s="3" t="n">
        <f aca="false">SUM(P2416:U2416)</f>
        <v>3</v>
      </c>
      <c r="M2416" s="11" t="n">
        <f aca="false">(L2416/(F2416*G2416)*25)*4</f>
        <v>12</v>
      </c>
      <c r="N2416" s="1" t="s">
        <v>30</v>
      </c>
      <c r="O2416" s="1" t="s">
        <v>31</v>
      </c>
      <c r="P2416" s="3" t="n">
        <v>3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f aca="false">SUM(P2416:Q2416)</f>
        <v>3</v>
      </c>
      <c r="W2416" s="3" t="n">
        <f aca="false">SUM(R2416:T2416)</f>
        <v>0</v>
      </c>
      <c r="X2416" s="22" t="n">
        <v>41793</v>
      </c>
      <c r="Y2416" s="22" t="n">
        <v>41798</v>
      </c>
    </row>
    <row r="2417" customFormat="false" ht="14.25" hidden="false" customHeight="false" outlineLevel="0" collapsed="false">
      <c r="A2417" s="1" t="n">
        <v>2014</v>
      </c>
      <c r="B2417" s="1" t="n">
        <v>1</v>
      </c>
      <c r="C2417" s="2" t="s">
        <v>50</v>
      </c>
      <c r="D2417" s="3" t="s">
        <v>158</v>
      </c>
      <c r="E2417" s="3" t="n">
        <v>1</v>
      </c>
      <c r="F2417" s="1" t="n">
        <f aca="false">Y2417-X2417</f>
        <v>5</v>
      </c>
      <c r="G2417" s="1" t="n">
        <v>5</v>
      </c>
      <c r="H2417" s="3" t="s">
        <v>36</v>
      </c>
      <c r="I2417" s="3" t="s">
        <v>131</v>
      </c>
      <c r="J2417" s="3" t="s">
        <v>229</v>
      </c>
      <c r="K2417" s="2" t="str">
        <f aca="false">CONCATENATE(I2417," ",J2417)</f>
        <v>Xysticus emertoni</v>
      </c>
      <c r="L2417" s="3" t="n">
        <f aca="false">SUM(P2417:U2417)</f>
        <v>1</v>
      </c>
      <c r="M2417" s="11" t="n">
        <f aca="false">(L2417/(F2417*G2417)*25)*4</f>
        <v>4</v>
      </c>
      <c r="N2417" s="1" t="s">
        <v>30</v>
      </c>
      <c r="O2417" s="1" t="s">
        <v>31</v>
      </c>
      <c r="P2417" s="3" t="n">
        <v>1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f aca="false">SUM(P2417:Q2417)</f>
        <v>1</v>
      </c>
      <c r="W2417" s="3" t="n">
        <f aca="false">SUM(R2417:T2417)</f>
        <v>0</v>
      </c>
      <c r="X2417" s="22" t="n">
        <v>41793</v>
      </c>
      <c r="Y2417" s="22" t="n">
        <v>41798</v>
      </c>
    </row>
    <row r="2418" customFormat="false" ht="14.25" hidden="false" customHeight="false" outlineLevel="0" collapsed="false">
      <c r="A2418" s="1" t="n">
        <v>2014</v>
      </c>
      <c r="B2418" s="1" t="n">
        <v>1</v>
      </c>
      <c r="C2418" s="2" t="s">
        <v>50</v>
      </c>
      <c r="D2418" s="3" t="s">
        <v>158</v>
      </c>
      <c r="E2418" s="3" t="n">
        <v>1</v>
      </c>
      <c r="F2418" s="1" t="n">
        <f aca="false">Y2418-X2418</f>
        <v>5</v>
      </c>
      <c r="G2418" s="1" t="n">
        <v>5</v>
      </c>
      <c r="H2418" s="3" t="s">
        <v>36</v>
      </c>
      <c r="I2418" s="3" t="s">
        <v>131</v>
      </c>
      <c r="J2418" s="3" t="s">
        <v>133</v>
      </c>
      <c r="K2418" s="2" t="str">
        <f aca="false">CONCATENATE(I2418," ",J2418)</f>
        <v>Xysticus luctuosus</v>
      </c>
      <c r="L2418" s="3" t="n">
        <f aca="false">SUM(P2418:U2418)</f>
        <v>2</v>
      </c>
      <c r="M2418" s="11" t="n">
        <f aca="false">(L2418/(F2418*G2418)*25)*4</f>
        <v>8</v>
      </c>
      <c r="N2418" s="1" t="s">
        <v>30</v>
      </c>
      <c r="O2418" s="1" t="s">
        <v>31</v>
      </c>
      <c r="P2418" s="3" t="n">
        <v>2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f aca="false">SUM(P2418:Q2418)</f>
        <v>2</v>
      </c>
      <c r="W2418" s="3" t="n">
        <f aca="false">SUM(R2418:T2418)</f>
        <v>0</v>
      </c>
      <c r="X2418" s="22" t="n">
        <v>41793</v>
      </c>
      <c r="Y2418" s="22" t="n">
        <v>41798</v>
      </c>
    </row>
    <row r="2419" customFormat="false" ht="14.25" hidden="false" customHeight="false" outlineLevel="0" collapsed="false">
      <c r="A2419" s="1" t="n">
        <v>2014</v>
      </c>
      <c r="B2419" s="1" t="n">
        <v>1</v>
      </c>
      <c r="C2419" s="2" t="s">
        <v>50</v>
      </c>
      <c r="D2419" s="3" t="s">
        <v>158</v>
      </c>
      <c r="E2419" s="3" t="n">
        <v>1</v>
      </c>
      <c r="F2419" s="1" t="n">
        <f aca="false">Y2419-X2419</f>
        <v>5</v>
      </c>
      <c r="G2419" s="1" t="n">
        <v>5</v>
      </c>
      <c r="H2419" s="3" t="s">
        <v>72</v>
      </c>
      <c r="I2419" s="3" t="s">
        <v>73</v>
      </c>
      <c r="J2419" s="3" t="s">
        <v>74</v>
      </c>
      <c r="K2419" s="2" t="str">
        <f aca="false">CONCATENATE(I2419," ",J2419)</f>
        <v>Zelotes subterraneus</v>
      </c>
      <c r="L2419" s="3" t="n">
        <f aca="false">SUM(P2419:U2419)</f>
        <v>1</v>
      </c>
      <c r="M2419" s="11" t="n">
        <f aca="false">(L2419/(F2419*G2419)*25)*4</f>
        <v>4</v>
      </c>
      <c r="N2419" s="1" t="s">
        <v>30</v>
      </c>
      <c r="O2419" s="1" t="s">
        <v>35</v>
      </c>
      <c r="P2419" s="3" t="n">
        <v>0</v>
      </c>
      <c r="Q2419" s="3" t="n">
        <v>1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f aca="false">SUM(P2419:Q2419)</f>
        <v>1</v>
      </c>
      <c r="W2419" s="3" t="n">
        <f aca="false">SUM(R2419:T2419)</f>
        <v>0</v>
      </c>
      <c r="X2419" s="22" t="n">
        <v>41793</v>
      </c>
      <c r="Y2419" s="22" t="n">
        <v>41798</v>
      </c>
    </row>
    <row r="2420" customFormat="false" ht="14.25" hidden="false" customHeight="false" outlineLevel="0" collapsed="false">
      <c r="A2420" s="1" t="n">
        <v>2014</v>
      </c>
      <c r="B2420" s="1" t="n">
        <v>1</v>
      </c>
      <c r="C2420" s="2" t="s">
        <v>50</v>
      </c>
      <c r="D2420" s="3" t="s">
        <v>158</v>
      </c>
      <c r="E2420" s="3" t="n">
        <v>1</v>
      </c>
      <c r="F2420" s="1" t="n">
        <f aca="false">Y2420-X2420</f>
        <v>5</v>
      </c>
      <c r="G2420" s="1" t="n">
        <v>5</v>
      </c>
      <c r="H2420" s="3" t="s">
        <v>72</v>
      </c>
      <c r="I2420" s="3" t="s">
        <v>73</v>
      </c>
      <c r="J2420" s="3" t="s">
        <v>38</v>
      </c>
      <c r="K2420" s="2" t="str">
        <f aca="false">CONCATENATE(I2420," ",J2420)</f>
        <v>Zelotes sp</v>
      </c>
      <c r="L2420" s="3" t="n">
        <f aca="false">SUM(P2420:U2420)</f>
        <v>1</v>
      </c>
      <c r="M2420" s="11" t="n">
        <f aca="false">(L2420/(F2420*G2420)*25)*4</f>
        <v>4</v>
      </c>
      <c r="N2420" s="1" t="s">
        <v>19</v>
      </c>
      <c r="O2420" s="1" t="s">
        <v>31</v>
      </c>
      <c r="P2420" s="3" t="n">
        <v>0</v>
      </c>
      <c r="Q2420" s="3" t="n">
        <v>0</v>
      </c>
      <c r="R2420" s="3" t="n">
        <v>1</v>
      </c>
      <c r="S2420" s="3" t="n">
        <v>0</v>
      </c>
      <c r="T2420" s="3" t="n">
        <v>0</v>
      </c>
      <c r="U2420" s="3" t="n">
        <v>0</v>
      </c>
      <c r="V2420" s="3" t="n">
        <f aca="false">SUM(P2420:Q2420)</f>
        <v>0</v>
      </c>
      <c r="W2420" s="3" t="n">
        <f aca="false">SUM(R2420:T2420)</f>
        <v>1</v>
      </c>
      <c r="X2420" s="22" t="n">
        <v>41793</v>
      </c>
      <c r="Y2420" s="22" t="n">
        <v>41798</v>
      </c>
    </row>
    <row r="2421" customFormat="false" ht="14.25" hidden="false" customHeight="false" outlineLevel="0" collapsed="false">
      <c r="A2421" s="1" t="n">
        <v>2014</v>
      </c>
      <c r="B2421" s="1" t="n">
        <v>1</v>
      </c>
      <c r="C2421" s="2" t="s">
        <v>50</v>
      </c>
      <c r="D2421" s="3" t="s">
        <v>158</v>
      </c>
      <c r="E2421" s="3" t="n">
        <v>1</v>
      </c>
      <c r="F2421" s="1" t="n">
        <f aca="false">Y2421-X2421</f>
        <v>5</v>
      </c>
      <c r="G2421" s="1" t="n">
        <v>5</v>
      </c>
      <c r="H2421" s="3" t="s">
        <v>48</v>
      </c>
      <c r="I2421" s="3" t="s">
        <v>67</v>
      </c>
      <c r="J2421" s="3" t="s">
        <v>127</v>
      </c>
      <c r="K2421" s="2" t="str">
        <f aca="false">CONCATENATE(I2421," ",J2421)</f>
        <v>Pardosa lugubris</v>
      </c>
      <c r="L2421" s="3" t="n">
        <f aca="false">SUM(P2421:U2421)</f>
        <v>6</v>
      </c>
      <c r="M2421" s="11" t="n">
        <f aca="false">(L2421/(F2421*G2421)*25)*4</f>
        <v>24</v>
      </c>
      <c r="N2421" s="1" t="s">
        <v>30</v>
      </c>
      <c r="O2421" s="1" t="s">
        <v>31</v>
      </c>
      <c r="P2421" s="3" t="n">
        <v>6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f aca="false">SUM(P2421:Q2421)</f>
        <v>6</v>
      </c>
      <c r="W2421" s="3" t="n">
        <f aca="false">SUM(R2421:T2421)</f>
        <v>0</v>
      </c>
      <c r="X2421" s="22" t="n">
        <v>41793</v>
      </c>
      <c r="Y2421" s="22" t="n">
        <v>41798</v>
      </c>
    </row>
    <row r="2422" customFormat="false" ht="14.25" hidden="false" customHeight="false" outlineLevel="0" collapsed="false">
      <c r="A2422" s="1" t="n">
        <v>2014</v>
      </c>
      <c r="B2422" s="1" t="n">
        <v>1</v>
      </c>
      <c r="C2422" s="2" t="s">
        <v>50</v>
      </c>
      <c r="D2422" s="3" t="s">
        <v>158</v>
      </c>
      <c r="E2422" s="3" t="n">
        <v>1</v>
      </c>
      <c r="F2422" s="1" t="n">
        <f aca="false">Y2422-X2422</f>
        <v>5</v>
      </c>
      <c r="G2422" s="1" t="n">
        <v>5</v>
      </c>
      <c r="H2422" s="3" t="s">
        <v>48</v>
      </c>
      <c r="I2422" s="3" t="s">
        <v>67</v>
      </c>
      <c r="J2422" s="3" t="s">
        <v>127</v>
      </c>
      <c r="K2422" s="2" t="str">
        <f aca="false">CONCATENATE(I2422," ",J2422)</f>
        <v>Pardosa lugubris</v>
      </c>
      <c r="L2422" s="3" t="n">
        <f aca="false">SUM(P2422:U2422)</f>
        <v>3</v>
      </c>
      <c r="M2422" s="11" t="n">
        <f aca="false">(L2422/(F2422*G2422)*25)*4</f>
        <v>12</v>
      </c>
      <c r="N2422" s="1" t="s">
        <v>30</v>
      </c>
      <c r="O2422" s="1" t="s">
        <v>35</v>
      </c>
      <c r="P2422" s="3" t="n">
        <v>0</v>
      </c>
      <c r="Q2422" s="3" t="n">
        <v>3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f aca="false">SUM(P2422:Q2422)</f>
        <v>3</v>
      </c>
      <c r="W2422" s="3" t="n">
        <f aca="false">SUM(R2422:T2422)</f>
        <v>0</v>
      </c>
      <c r="X2422" s="22" t="n">
        <v>41793</v>
      </c>
      <c r="Y2422" s="22" t="n">
        <v>41798</v>
      </c>
    </row>
    <row r="2423" customFormat="false" ht="14.25" hidden="false" customHeight="false" outlineLevel="0" collapsed="false">
      <c r="A2423" s="1" t="n">
        <v>2014</v>
      </c>
      <c r="B2423" s="1" t="n">
        <v>1</v>
      </c>
      <c r="C2423" s="2" t="s">
        <v>50</v>
      </c>
      <c r="D2423" s="3" t="s">
        <v>158</v>
      </c>
      <c r="E2423" s="3" t="n">
        <v>1</v>
      </c>
      <c r="F2423" s="1" t="n">
        <f aca="false">Y2423-X2423</f>
        <v>5</v>
      </c>
      <c r="G2423" s="1" t="n">
        <v>5</v>
      </c>
      <c r="H2423" s="3" t="s">
        <v>48</v>
      </c>
      <c r="I2423" s="3" t="s">
        <v>61</v>
      </c>
      <c r="J2423" s="3" t="s">
        <v>38</v>
      </c>
      <c r="K2423" s="2" t="str">
        <f aca="false">CONCATENATE(I2423," ",J2423)</f>
        <v>Trochosa sp</v>
      </c>
      <c r="L2423" s="3" t="n">
        <f aca="false">SUM(P2423:U2423)</f>
        <v>2</v>
      </c>
      <c r="M2423" s="11" t="n">
        <f aca="false">(L2423/(F2423*G2423)*25)*4</f>
        <v>8</v>
      </c>
      <c r="N2423" s="1" t="s">
        <v>19</v>
      </c>
      <c r="O2423" s="1" t="s">
        <v>35</v>
      </c>
      <c r="P2423" s="3" t="n">
        <v>0</v>
      </c>
      <c r="Q2423" s="3" t="n">
        <v>0</v>
      </c>
      <c r="R2423" s="3" t="n">
        <v>0</v>
      </c>
      <c r="S2423" s="3" t="n">
        <v>2</v>
      </c>
      <c r="T2423" s="3" t="n">
        <v>0</v>
      </c>
      <c r="U2423" s="3" t="n">
        <v>0</v>
      </c>
      <c r="V2423" s="3" t="n">
        <f aca="false">SUM(P2423:Q2423)</f>
        <v>0</v>
      </c>
      <c r="W2423" s="3" t="n">
        <f aca="false">SUM(R2423:T2423)</f>
        <v>2</v>
      </c>
      <c r="X2423" s="22" t="n">
        <v>41793</v>
      </c>
      <c r="Y2423" s="22" t="n">
        <v>41798</v>
      </c>
    </row>
    <row r="2424" customFormat="false" ht="14.25" hidden="false" customHeight="false" outlineLevel="0" collapsed="false">
      <c r="A2424" s="1" t="n">
        <v>2014</v>
      </c>
      <c r="B2424" s="1" t="n">
        <v>1</v>
      </c>
      <c r="C2424" s="2" t="s">
        <v>50</v>
      </c>
      <c r="D2424" s="3" t="s">
        <v>158</v>
      </c>
      <c r="E2424" s="3" t="n">
        <v>1</v>
      </c>
      <c r="F2424" s="1" t="n">
        <f aca="false">Y2424-X2424</f>
        <v>5</v>
      </c>
      <c r="G2424" s="1" t="n">
        <v>5</v>
      </c>
      <c r="H2424" s="3" t="s">
        <v>48</v>
      </c>
      <c r="I2424" s="3" t="s">
        <v>61</v>
      </c>
      <c r="J2424" s="3" t="s">
        <v>38</v>
      </c>
      <c r="K2424" s="2" t="str">
        <f aca="false">CONCATENATE(I2424," ",J2424)</f>
        <v>Trochosa sp</v>
      </c>
      <c r="L2424" s="3" t="n">
        <f aca="false">SUM(P2424:U2424)</f>
        <v>1</v>
      </c>
      <c r="M2424" s="11" t="n">
        <f aca="false">(L2424/(F2424*G2424)*25)*4</f>
        <v>4</v>
      </c>
      <c r="N2424" s="1" t="s">
        <v>19</v>
      </c>
      <c r="O2424" s="1" t="s">
        <v>54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1</v>
      </c>
      <c r="U2424" s="3" t="n">
        <v>0</v>
      </c>
      <c r="V2424" s="3" t="n">
        <f aca="false">SUM(P2424:Q2424)</f>
        <v>0</v>
      </c>
      <c r="W2424" s="3" t="n">
        <f aca="false">SUM(R2424:T2424)</f>
        <v>1</v>
      </c>
      <c r="X2424" s="22" t="n">
        <v>41793</v>
      </c>
      <c r="Y2424" s="22" t="n">
        <v>41798</v>
      </c>
    </row>
    <row r="2425" customFormat="false" ht="14.25" hidden="false" customHeight="false" outlineLevel="0" collapsed="false">
      <c r="A2425" s="1" t="n">
        <v>2014</v>
      </c>
      <c r="B2425" s="1" t="n">
        <v>1</v>
      </c>
      <c r="C2425" s="2" t="s">
        <v>50</v>
      </c>
      <c r="D2425" s="3" t="s">
        <v>158</v>
      </c>
      <c r="E2425" s="3" t="n">
        <v>1</v>
      </c>
      <c r="F2425" s="1" t="n">
        <f aca="false">Y2425-X2425</f>
        <v>5</v>
      </c>
      <c r="G2425" s="1" t="n">
        <v>5</v>
      </c>
      <c r="H2425" s="3" t="s">
        <v>48</v>
      </c>
      <c r="I2425" s="3" t="s">
        <v>49</v>
      </c>
      <c r="J2425" s="3" t="s">
        <v>223</v>
      </c>
      <c r="K2425" s="2" t="str">
        <f aca="false">CONCATENATE(I2425," ",J2425)</f>
        <v>Alopecosa pulverulenta</v>
      </c>
      <c r="L2425" s="3" t="n">
        <f aca="false">SUM(P2425:U2425)</f>
        <v>1</v>
      </c>
      <c r="M2425" s="11" t="n">
        <f aca="false">(L2425/(F2425*G2425)*25)*4</f>
        <v>4</v>
      </c>
      <c r="N2425" s="1" t="s">
        <v>30</v>
      </c>
      <c r="O2425" s="1" t="s">
        <v>31</v>
      </c>
      <c r="P2425" s="3" t="n">
        <v>1</v>
      </c>
      <c r="Q2425" s="3" t="n">
        <v>0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f aca="false">SUM(P2425:Q2425)</f>
        <v>1</v>
      </c>
      <c r="W2425" s="3" t="n">
        <f aca="false">SUM(R2425:T2425)</f>
        <v>0</v>
      </c>
      <c r="X2425" s="22" t="n">
        <v>41793</v>
      </c>
      <c r="Y2425" s="22" t="n">
        <v>41798</v>
      </c>
    </row>
    <row r="2426" customFormat="false" ht="14.25" hidden="false" customHeight="false" outlineLevel="0" collapsed="false">
      <c r="A2426" s="1" t="n">
        <v>2014</v>
      </c>
      <c r="B2426" s="1" t="n">
        <v>1</v>
      </c>
      <c r="C2426" s="2" t="s">
        <v>50</v>
      </c>
      <c r="D2426" s="3" t="s">
        <v>158</v>
      </c>
      <c r="E2426" s="3" t="n">
        <v>1</v>
      </c>
      <c r="F2426" s="1" t="n">
        <f aca="false">Y2426-X2426</f>
        <v>5</v>
      </c>
      <c r="G2426" s="1" t="n">
        <v>5</v>
      </c>
      <c r="H2426" s="3" t="s">
        <v>32</v>
      </c>
      <c r="I2426" s="3" t="s">
        <v>154</v>
      </c>
      <c r="J2426" s="3" t="s">
        <v>155</v>
      </c>
      <c r="K2426" s="2" t="str">
        <f aca="false">CONCATENATE(I2426," ",J2426)</f>
        <v>Pocadicnemis pumila</v>
      </c>
      <c r="L2426" s="3" t="n">
        <f aca="false">SUM(P2426:U2426)</f>
        <v>1</v>
      </c>
      <c r="M2426" s="11" t="n">
        <f aca="false">(L2426/(F2426*G2426)*25)*4</f>
        <v>4</v>
      </c>
      <c r="N2426" s="1" t="s">
        <v>30</v>
      </c>
      <c r="O2426" s="1" t="s">
        <v>31</v>
      </c>
      <c r="P2426" s="3" t="n">
        <v>1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f aca="false">SUM(P2426:Q2426)</f>
        <v>1</v>
      </c>
      <c r="W2426" s="3" t="n">
        <f aca="false">SUM(R2426:T2426)</f>
        <v>0</v>
      </c>
      <c r="X2426" s="22" t="n">
        <v>41793</v>
      </c>
      <c r="Y2426" s="22" t="n">
        <v>41798</v>
      </c>
    </row>
    <row r="2427" customFormat="false" ht="14.25" hidden="false" customHeight="false" outlineLevel="0" collapsed="false">
      <c r="A2427" s="1" t="n">
        <v>2014</v>
      </c>
      <c r="B2427" s="1" t="n">
        <v>1</v>
      </c>
      <c r="C2427" s="2" t="s">
        <v>50</v>
      </c>
      <c r="D2427" s="3" t="s">
        <v>158</v>
      </c>
      <c r="E2427" s="3" t="n">
        <v>1</v>
      </c>
      <c r="F2427" s="1" t="n">
        <f aca="false">Y2427-X2427</f>
        <v>5</v>
      </c>
      <c r="G2427" s="1" t="n">
        <v>5</v>
      </c>
      <c r="H2427" s="3" t="s">
        <v>32</v>
      </c>
      <c r="I2427" s="3" t="s">
        <v>169</v>
      </c>
      <c r="J2427" s="3" t="s">
        <v>170</v>
      </c>
      <c r="K2427" s="2" t="str">
        <f aca="false">CONCATENATE(I2427," ",J2427)</f>
        <v>Abacoproeces saltuum</v>
      </c>
      <c r="L2427" s="3" t="n">
        <f aca="false">SUM(P2427:U2427)</f>
        <v>2</v>
      </c>
      <c r="M2427" s="11" t="n">
        <f aca="false">(L2427/(F2427*G2427)*25)*4</f>
        <v>8</v>
      </c>
      <c r="N2427" s="1" t="s">
        <v>30</v>
      </c>
      <c r="O2427" s="1" t="s">
        <v>31</v>
      </c>
      <c r="P2427" s="3" t="n">
        <v>2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f aca="false">SUM(P2427:Q2427)</f>
        <v>2</v>
      </c>
      <c r="W2427" s="3" t="n">
        <f aca="false">SUM(R2427:T2427)</f>
        <v>0</v>
      </c>
      <c r="X2427" s="22" t="n">
        <v>41793</v>
      </c>
      <c r="Y2427" s="22" t="n">
        <v>41798</v>
      </c>
    </row>
    <row r="2428" customFormat="false" ht="14.25" hidden="false" customHeight="false" outlineLevel="0" collapsed="false">
      <c r="A2428" s="1" t="n">
        <v>2014</v>
      </c>
      <c r="B2428" s="1" t="n">
        <v>1</v>
      </c>
      <c r="C2428" s="2" t="s">
        <v>50</v>
      </c>
      <c r="D2428" s="3" t="s">
        <v>158</v>
      </c>
      <c r="E2428" s="3" t="n">
        <v>1</v>
      </c>
      <c r="F2428" s="1" t="n">
        <f aca="false">Y2428-X2428</f>
        <v>5</v>
      </c>
      <c r="G2428" s="1" t="n">
        <v>5</v>
      </c>
      <c r="H2428" s="3" t="s">
        <v>32</v>
      </c>
      <c r="I2428" s="3" t="s">
        <v>169</v>
      </c>
      <c r="J2428" s="3" t="s">
        <v>170</v>
      </c>
      <c r="K2428" s="2" t="str">
        <f aca="false">CONCATENATE(I2428," ",J2428)</f>
        <v>Abacoproeces saltuum</v>
      </c>
      <c r="L2428" s="3" t="n">
        <f aca="false">SUM(P2428:U2428)</f>
        <v>1</v>
      </c>
      <c r="M2428" s="11" t="n">
        <f aca="false">(L2428/(F2428*G2428)*25)*4</f>
        <v>4</v>
      </c>
      <c r="N2428" s="1" t="s">
        <v>30</v>
      </c>
      <c r="O2428" s="1" t="s">
        <v>35</v>
      </c>
      <c r="P2428" s="3" t="n">
        <v>0</v>
      </c>
      <c r="Q2428" s="3" t="n">
        <v>1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f aca="false">SUM(P2428:Q2428)</f>
        <v>1</v>
      </c>
      <c r="W2428" s="3" t="n">
        <f aca="false">SUM(R2428:T2428)</f>
        <v>0</v>
      </c>
      <c r="X2428" s="22" t="n">
        <v>41793</v>
      </c>
      <c r="Y2428" s="22" t="n">
        <v>41798</v>
      </c>
    </row>
    <row r="2429" customFormat="false" ht="14.25" hidden="false" customHeight="false" outlineLevel="0" collapsed="false">
      <c r="A2429" s="1" t="n">
        <v>2014</v>
      </c>
      <c r="B2429" s="1" t="n">
        <v>1</v>
      </c>
      <c r="C2429" s="2" t="s">
        <v>50</v>
      </c>
      <c r="D2429" s="3" t="s">
        <v>158</v>
      </c>
      <c r="E2429" s="3" t="n">
        <v>1</v>
      </c>
      <c r="F2429" s="1" t="n">
        <f aca="false">Y2429-X2429</f>
        <v>5</v>
      </c>
      <c r="G2429" s="1" t="n">
        <v>5</v>
      </c>
      <c r="H2429" s="3" t="s">
        <v>36</v>
      </c>
      <c r="I2429" s="3" t="s">
        <v>131</v>
      </c>
      <c r="J2429" s="3" t="s">
        <v>229</v>
      </c>
      <c r="K2429" s="2" t="str">
        <f aca="false">CONCATENATE(I2429," ",J2429)</f>
        <v>Xysticus emertoni</v>
      </c>
      <c r="L2429" s="3" t="n">
        <f aca="false">SUM(P2429:U2429)</f>
        <v>3</v>
      </c>
      <c r="M2429" s="11" t="n">
        <f aca="false">(L2429/(F2429*G2429)*25)*4</f>
        <v>12</v>
      </c>
      <c r="N2429" s="1" t="s">
        <v>30</v>
      </c>
      <c r="O2429" s="1" t="s">
        <v>31</v>
      </c>
      <c r="P2429" s="3" t="n">
        <v>3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f aca="false">SUM(P2429:Q2429)</f>
        <v>3</v>
      </c>
      <c r="W2429" s="3" t="n">
        <f aca="false">SUM(R2429:T2429)</f>
        <v>0</v>
      </c>
      <c r="X2429" s="22" t="n">
        <v>41793</v>
      </c>
      <c r="Y2429" s="22" t="n">
        <v>41798</v>
      </c>
    </row>
    <row r="2430" customFormat="false" ht="14.25" hidden="false" customHeight="false" outlineLevel="0" collapsed="false">
      <c r="A2430" s="1" t="n">
        <v>2014</v>
      </c>
      <c r="B2430" s="1" t="n">
        <v>1</v>
      </c>
      <c r="C2430" s="2" t="s">
        <v>50</v>
      </c>
      <c r="D2430" s="3" t="s">
        <v>158</v>
      </c>
      <c r="E2430" s="3" t="n">
        <v>1</v>
      </c>
      <c r="F2430" s="1" t="n">
        <f aca="false">Y2430-X2430</f>
        <v>5</v>
      </c>
      <c r="G2430" s="1" t="n">
        <v>5</v>
      </c>
      <c r="H2430" s="3" t="s">
        <v>135</v>
      </c>
      <c r="I2430" s="3" t="s">
        <v>136</v>
      </c>
      <c r="J2430" s="3" t="s">
        <v>137</v>
      </c>
      <c r="K2430" s="2" t="str">
        <f aca="false">CONCATENATE(I2430," ",J2430)</f>
        <v>Thanatus sabulosus</v>
      </c>
      <c r="L2430" s="3" t="n">
        <f aca="false">SUM(P2430:U2430)</f>
        <v>1</v>
      </c>
      <c r="M2430" s="11" t="n">
        <f aca="false">(L2430/(F2430*G2430)*25)*4</f>
        <v>4</v>
      </c>
      <c r="N2430" s="1" t="s">
        <v>30</v>
      </c>
      <c r="O2430" s="1" t="s">
        <v>35</v>
      </c>
      <c r="P2430" s="3" t="n">
        <v>0</v>
      </c>
      <c r="Q2430" s="3" t="n">
        <v>1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f aca="false">SUM(P2430:Q2430)</f>
        <v>1</v>
      </c>
      <c r="W2430" s="3" t="n">
        <f aca="false">SUM(R2430:T2430)</f>
        <v>0</v>
      </c>
      <c r="X2430" s="22" t="n">
        <v>41793</v>
      </c>
      <c r="Y2430" s="22" t="n">
        <v>41798</v>
      </c>
    </row>
    <row r="2431" customFormat="false" ht="14.25" hidden="false" customHeight="false" outlineLevel="0" collapsed="false">
      <c r="A2431" s="1" t="n">
        <v>2014</v>
      </c>
      <c r="B2431" s="1" t="n">
        <v>1</v>
      </c>
      <c r="C2431" s="2" t="s">
        <v>50</v>
      </c>
      <c r="D2431" s="3" t="s">
        <v>158</v>
      </c>
      <c r="E2431" s="3" t="n">
        <v>1</v>
      </c>
      <c r="F2431" s="1" t="n">
        <f aca="false">Y2431-X2431</f>
        <v>5</v>
      </c>
      <c r="G2431" s="1" t="n">
        <v>5</v>
      </c>
      <c r="H2431" s="3" t="s">
        <v>72</v>
      </c>
      <c r="I2431" s="3" t="s">
        <v>73</v>
      </c>
      <c r="J2431" s="3" t="s">
        <v>74</v>
      </c>
      <c r="K2431" s="2" t="str">
        <f aca="false">CONCATENATE(I2431," ",J2431)</f>
        <v>Zelotes subterraneus</v>
      </c>
      <c r="L2431" s="3" t="n">
        <f aca="false">SUM(P2431:U2431)</f>
        <v>1</v>
      </c>
      <c r="M2431" s="11" t="n">
        <f aca="false">(L2431/(F2431*G2431)*25)*4</f>
        <v>4</v>
      </c>
      <c r="N2431" s="1" t="s">
        <v>30</v>
      </c>
      <c r="O2431" s="1" t="s">
        <v>31</v>
      </c>
      <c r="P2431" s="3" t="n">
        <v>1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f aca="false">SUM(P2431:Q2431)</f>
        <v>1</v>
      </c>
      <c r="W2431" s="3" t="n">
        <f aca="false">SUM(R2431:T2431)</f>
        <v>0</v>
      </c>
      <c r="X2431" s="22" t="n">
        <v>41793</v>
      </c>
      <c r="Y2431" s="22" t="n">
        <v>41798</v>
      </c>
    </row>
    <row r="2432" customFormat="false" ht="14.25" hidden="false" customHeight="false" outlineLevel="0" collapsed="false">
      <c r="A2432" s="1" t="n">
        <v>2014</v>
      </c>
      <c r="B2432" s="1" t="n">
        <v>1</v>
      </c>
      <c r="C2432" s="2" t="s">
        <v>50</v>
      </c>
      <c r="D2432" s="3" t="s">
        <v>158</v>
      </c>
      <c r="E2432" s="3" t="n">
        <v>1</v>
      </c>
      <c r="F2432" s="1" t="n">
        <f aca="false">Y2432-X2432</f>
        <v>5</v>
      </c>
      <c r="G2432" s="1" t="n">
        <v>5</v>
      </c>
      <c r="H2432" s="3" t="s">
        <v>72</v>
      </c>
      <c r="I2432" s="3" t="s">
        <v>73</v>
      </c>
      <c r="J2432" s="3" t="s">
        <v>38</v>
      </c>
      <c r="K2432" s="2" t="str">
        <f aca="false">CONCATENATE(I2432," ",J2432)</f>
        <v>Zelotes sp</v>
      </c>
      <c r="L2432" s="3" t="n">
        <f aca="false">SUM(P2432:U2432)</f>
        <v>1</v>
      </c>
      <c r="M2432" s="11" t="n">
        <f aca="false">(L2432/(F2432*G2432)*25)*4</f>
        <v>4</v>
      </c>
      <c r="N2432" s="1" t="s">
        <v>19</v>
      </c>
      <c r="O2432" s="1" t="s">
        <v>35</v>
      </c>
      <c r="P2432" s="3" t="n">
        <v>0</v>
      </c>
      <c r="Q2432" s="3" t="n">
        <v>0</v>
      </c>
      <c r="R2432" s="3" t="n">
        <v>0</v>
      </c>
      <c r="S2432" s="3" t="n">
        <v>1</v>
      </c>
      <c r="T2432" s="3" t="n">
        <v>0</v>
      </c>
      <c r="U2432" s="3" t="n">
        <v>0</v>
      </c>
      <c r="V2432" s="3" t="n">
        <f aca="false">SUM(P2432:Q2432)</f>
        <v>0</v>
      </c>
      <c r="W2432" s="3" t="n">
        <f aca="false">SUM(R2432:T2432)</f>
        <v>1</v>
      </c>
      <c r="X2432" s="22" t="n">
        <v>41793</v>
      </c>
      <c r="Y2432" s="22" t="n">
        <v>41798</v>
      </c>
    </row>
    <row r="2433" customFormat="false" ht="14.25" hidden="false" customHeight="false" outlineLevel="0" collapsed="false">
      <c r="A2433" s="1" t="n">
        <v>2014</v>
      </c>
      <c r="B2433" s="1" t="n">
        <v>1</v>
      </c>
      <c r="C2433" s="2" t="s">
        <v>50</v>
      </c>
      <c r="D2433" s="3" t="s">
        <v>158</v>
      </c>
      <c r="E2433" s="3" t="n">
        <v>1</v>
      </c>
      <c r="F2433" s="1" t="n">
        <f aca="false">Y2433-X2433</f>
        <v>5</v>
      </c>
      <c r="G2433" s="1" t="n">
        <v>5</v>
      </c>
      <c r="H2433" s="3" t="s">
        <v>48</v>
      </c>
      <c r="I2433" s="3" t="s">
        <v>67</v>
      </c>
      <c r="J2433" s="3" t="s">
        <v>127</v>
      </c>
      <c r="K2433" s="2" t="str">
        <f aca="false">CONCATENATE(I2433," ",J2433)</f>
        <v>Pardosa lugubris</v>
      </c>
      <c r="L2433" s="3" t="n">
        <f aca="false">SUM(P2433:U2433)</f>
        <v>6</v>
      </c>
      <c r="M2433" s="11" t="n">
        <f aca="false">(L2433/(F2433*G2433)*25)*4</f>
        <v>24</v>
      </c>
      <c r="N2433" s="1" t="s">
        <v>30</v>
      </c>
      <c r="O2433" s="1" t="s">
        <v>31</v>
      </c>
      <c r="P2433" s="3" t="n">
        <v>6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f aca="false">SUM(P2433:Q2433)</f>
        <v>6</v>
      </c>
      <c r="W2433" s="3" t="n">
        <f aca="false">SUM(R2433:T2433)</f>
        <v>0</v>
      </c>
      <c r="X2433" s="22" t="n">
        <v>41793</v>
      </c>
      <c r="Y2433" s="22" t="n">
        <v>41798</v>
      </c>
    </row>
    <row r="2434" customFormat="false" ht="14.25" hidden="false" customHeight="false" outlineLevel="0" collapsed="false">
      <c r="A2434" s="1" t="n">
        <v>2014</v>
      </c>
      <c r="B2434" s="1" t="n">
        <v>1</v>
      </c>
      <c r="C2434" s="2" t="s">
        <v>50</v>
      </c>
      <c r="D2434" s="3" t="s">
        <v>158</v>
      </c>
      <c r="E2434" s="3" t="n">
        <v>1</v>
      </c>
      <c r="F2434" s="1" t="n">
        <f aca="false">Y2434-X2434</f>
        <v>5</v>
      </c>
      <c r="G2434" s="1" t="n">
        <v>5</v>
      </c>
      <c r="H2434" s="3" t="s">
        <v>48</v>
      </c>
      <c r="I2434" s="3" t="s">
        <v>67</v>
      </c>
      <c r="J2434" s="3" t="s">
        <v>127</v>
      </c>
      <c r="K2434" s="2" t="str">
        <f aca="false">CONCATENATE(I2434," ",J2434)</f>
        <v>Pardosa lugubris</v>
      </c>
      <c r="L2434" s="3" t="n">
        <f aca="false">SUM(P2434:U2434)</f>
        <v>2</v>
      </c>
      <c r="M2434" s="11" t="n">
        <f aca="false">(L2434/(F2434*G2434)*25)*4</f>
        <v>8</v>
      </c>
      <c r="N2434" s="1" t="s">
        <v>30</v>
      </c>
      <c r="O2434" s="1" t="s">
        <v>35</v>
      </c>
      <c r="P2434" s="3" t="n">
        <v>0</v>
      </c>
      <c r="Q2434" s="3" t="n">
        <v>2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f aca="false">SUM(P2434:Q2434)</f>
        <v>2</v>
      </c>
      <c r="W2434" s="3" t="n">
        <f aca="false">SUM(R2434:T2434)</f>
        <v>0</v>
      </c>
      <c r="X2434" s="22" t="n">
        <v>41793</v>
      </c>
      <c r="Y2434" s="22" t="n">
        <v>41798</v>
      </c>
    </row>
    <row r="2435" customFormat="false" ht="14.25" hidden="false" customHeight="false" outlineLevel="0" collapsed="false">
      <c r="A2435" s="1" t="n">
        <v>2014</v>
      </c>
      <c r="B2435" s="1" t="n">
        <v>1</v>
      </c>
      <c r="C2435" s="2" t="s">
        <v>50</v>
      </c>
      <c r="D2435" s="3" t="s">
        <v>158</v>
      </c>
      <c r="E2435" s="3" t="n">
        <v>1</v>
      </c>
      <c r="F2435" s="1" t="n">
        <f aca="false">Y2435-X2435</f>
        <v>5</v>
      </c>
      <c r="G2435" s="1" t="n">
        <v>5</v>
      </c>
      <c r="H2435" s="3" t="s">
        <v>48</v>
      </c>
      <c r="I2435" s="3" t="s">
        <v>49</v>
      </c>
      <c r="J2435" s="3" t="s">
        <v>104</v>
      </c>
      <c r="K2435" s="2" t="str">
        <f aca="false">CONCATENATE(I2435," ",J2435)</f>
        <v>Alopecosa taeniata</v>
      </c>
      <c r="L2435" s="3" t="n">
        <f aca="false">SUM(P2435:U2435)</f>
        <v>3</v>
      </c>
      <c r="M2435" s="11" t="n">
        <f aca="false">(L2435/(F2435*G2435)*25)*4</f>
        <v>12</v>
      </c>
      <c r="N2435" s="1" t="s">
        <v>30</v>
      </c>
      <c r="O2435" s="1" t="s">
        <v>31</v>
      </c>
      <c r="P2435" s="3" t="n">
        <v>3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f aca="false">SUM(P2435:Q2435)</f>
        <v>3</v>
      </c>
      <c r="W2435" s="3" t="n">
        <f aca="false">SUM(R2435:T2435)</f>
        <v>0</v>
      </c>
      <c r="X2435" s="22" t="n">
        <v>41793</v>
      </c>
      <c r="Y2435" s="22" t="n">
        <v>41798</v>
      </c>
    </row>
    <row r="2436" customFormat="false" ht="14.25" hidden="false" customHeight="false" outlineLevel="0" collapsed="false">
      <c r="A2436" s="1" t="n">
        <v>2014</v>
      </c>
      <c r="B2436" s="1" t="n">
        <v>1</v>
      </c>
      <c r="C2436" s="2" t="s">
        <v>50</v>
      </c>
      <c r="D2436" s="3" t="s">
        <v>158</v>
      </c>
      <c r="E2436" s="3" t="n">
        <v>1</v>
      </c>
      <c r="F2436" s="1" t="n">
        <f aca="false">Y2436-X2436</f>
        <v>5</v>
      </c>
      <c r="G2436" s="1" t="n">
        <v>5</v>
      </c>
      <c r="H2436" s="3" t="s">
        <v>48</v>
      </c>
      <c r="I2436" s="3" t="s">
        <v>49</v>
      </c>
      <c r="J2436" s="3" t="s">
        <v>104</v>
      </c>
      <c r="K2436" s="2" t="str">
        <f aca="false">CONCATENATE(I2436," ",J2436)</f>
        <v>Alopecosa taeniata</v>
      </c>
      <c r="L2436" s="3" t="n">
        <f aca="false">SUM(P2436:U2436)</f>
        <v>2</v>
      </c>
      <c r="M2436" s="11" t="n">
        <f aca="false">(L2436/(F2436*G2436)*25)*4</f>
        <v>8</v>
      </c>
      <c r="N2436" s="1" t="s">
        <v>30</v>
      </c>
      <c r="O2436" s="1" t="s">
        <v>35</v>
      </c>
      <c r="P2436" s="3" t="n">
        <v>0</v>
      </c>
      <c r="Q2436" s="3" t="n">
        <v>2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f aca="false">SUM(P2436:Q2436)</f>
        <v>2</v>
      </c>
      <c r="W2436" s="3" t="n">
        <f aca="false">SUM(R2436:T2436)</f>
        <v>0</v>
      </c>
      <c r="X2436" s="22" t="n">
        <v>41793</v>
      </c>
      <c r="Y2436" s="22" t="n">
        <v>41798</v>
      </c>
    </row>
    <row r="2437" customFormat="false" ht="14.25" hidden="false" customHeight="false" outlineLevel="0" collapsed="false">
      <c r="A2437" s="1" t="n">
        <v>2014</v>
      </c>
      <c r="B2437" s="1" t="n">
        <v>1</v>
      </c>
      <c r="C2437" s="2" t="s">
        <v>50</v>
      </c>
      <c r="D2437" s="3" t="s">
        <v>158</v>
      </c>
      <c r="E2437" s="3" t="n">
        <v>1</v>
      </c>
      <c r="F2437" s="1" t="n">
        <f aca="false">Y2437-X2437</f>
        <v>5</v>
      </c>
      <c r="G2437" s="1" t="n">
        <v>5</v>
      </c>
      <c r="H2437" s="3" t="s">
        <v>48</v>
      </c>
      <c r="I2437" s="3" t="s">
        <v>57</v>
      </c>
      <c r="J2437" s="3" t="s">
        <v>38</v>
      </c>
      <c r="K2437" s="2" t="str">
        <f aca="false">CONCATENATE(I2437," ",J2437)</f>
        <v>Gen sp</v>
      </c>
      <c r="L2437" s="3" t="n">
        <f aca="false">SUM(P2437:U2437)</f>
        <v>1</v>
      </c>
      <c r="M2437" s="11" t="n">
        <f aca="false">(L2437/(F2437*G2437)*25)*4</f>
        <v>4</v>
      </c>
      <c r="N2437" s="1" t="s">
        <v>19</v>
      </c>
      <c r="O2437" s="1" t="s">
        <v>54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1</v>
      </c>
      <c r="U2437" s="3" t="n">
        <v>0</v>
      </c>
      <c r="V2437" s="3" t="n">
        <f aca="false">SUM(P2437:Q2437)</f>
        <v>0</v>
      </c>
      <c r="W2437" s="3" t="n">
        <f aca="false">SUM(R2437:T2437)</f>
        <v>1</v>
      </c>
      <c r="X2437" s="22" t="n">
        <v>41793</v>
      </c>
      <c r="Y2437" s="22" t="n">
        <v>41798</v>
      </c>
    </row>
    <row r="2438" customFormat="false" ht="14.25" hidden="false" customHeight="false" outlineLevel="0" collapsed="false">
      <c r="A2438" s="1" t="n">
        <v>2014</v>
      </c>
      <c r="B2438" s="1" t="n">
        <v>1</v>
      </c>
      <c r="C2438" s="2" t="s">
        <v>50</v>
      </c>
      <c r="D2438" s="3" t="s">
        <v>158</v>
      </c>
      <c r="E2438" s="3" t="n">
        <v>1</v>
      </c>
      <c r="F2438" s="1" t="n">
        <f aca="false">Y2438-X2438</f>
        <v>5</v>
      </c>
      <c r="G2438" s="1" t="n">
        <v>5</v>
      </c>
      <c r="H2438" s="3" t="s">
        <v>32</v>
      </c>
      <c r="I2438" s="3" t="s">
        <v>55</v>
      </c>
      <c r="J2438" s="3" t="s">
        <v>56</v>
      </c>
      <c r="K2438" s="2" t="str">
        <f aca="false">CONCATENATE(I2438," ",J2438)</f>
        <v>Maro minutus</v>
      </c>
      <c r="L2438" s="3" t="n">
        <f aca="false">SUM(P2438:U2438)</f>
        <v>1</v>
      </c>
      <c r="M2438" s="11" t="n">
        <f aca="false">(L2438/(F2438*G2438)*25)*4</f>
        <v>4</v>
      </c>
      <c r="N2438" s="1" t="s">
        <v>30</v>
      </c>
      <c r="O2438" s="1" t="s">
        <v>31</v>
      </c>
      <c r="P2438" s="3" t="n">
        <v>1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f aca="false">SUM(P2438:Q2438)</f>
        <v>1</v>
      </c>
      <c r="W2438" s="3" t="n">
        <f aca="false">SUM(R2438:T2438)</f>
        <v>0</v>
      </c>
      <c r="X2438" s="22" t="n">
        <v>41793</v>
      </c>
      <c r="Y2438" s="22" t="n">
        <v>41798</v>
      </c>
    </row>
    <row r="2439" customFormat="false" ht="14.25" hidden="false" customHeight="false" outlineLevel="0" collapsed="false">
      <c r="A2439" s="1" t="n">
        <v>2014</v>
      </c>
      <c r="B2439" s="1" t="n">
        <v>1</v>
      </c>
      <c r="C2439" s="2" t="s">
        <v>50</v>
      </c>
      <c r="D2439" s="3" t="s">
        <v>158</v>
      </c>
      <c r="E2439" s="3" t="n">
        <v>1</v>
      </c>
      <c r="F2439" s="1" t="n">
        <f aca="false">Y2439-X2439</f>
        <v>5</v>
      </c>
      <c r="G2439" s="1" t="n">
        <v>5</v>
      </c>
      <c r="H2439" s="3" t="s">
        <v>32</v>
      </c>
      <c r="I2439" s="3" t="s">
        <v>169</v>
      </c>
      <c r="J2439" s="3" t="s">
        <v>170</v>
      </c>
      <c r="K2439" s="2" t="str">
        <f aca="false">CONCATENATE(I2439," ",J2439)</f>
        <v>Abacoproeces saltuum</v>
      </c>
      <c r="L2439" s="3" t="n">
        <f aca="false">SUM(P2439:U2439)</f>
        <v>5</v>
      </c>
      <c r="M2439" s="11" t="n">
        <f aca="false">(L2439/(F2439*G2439)*25)*4</f>
        <v>20</v>
      </c>
      <c r="N2439" s="1" t="s">
        <v>30</v>
      </c>
      <c r="O2439" s="1" t="s">
        <v>31</v>
      </c>
      <c r="P2439" s="3" t="n">
        <v>5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f aca="false">SUM(P2439:Q2439)</f>
        <v>5</v>
      </c>
      <c r="W2439" s="3" t="n">
        <f aca="false">SUM(R2439:T2439)</f>
        <v>0</v>
      </c>
      <c r="X2439" s="22" t="n">
        <v>41793</v>
      </c>
      <c r="Y2439" s="22" t="n">
        <v>41798</v>
      </c>
    </row>
    <row r="2440" customFormat="false" ht="14.25" hidden="false" customHeight="false" outlineLevel="0" collapsed="false">
      <c r="A2440" s="1" t="n">
        <v>2014</v>
      </c>
      <c r="B2440" s="1" t="n">
        <v>1</v>
      </c>
      <c r="C2440" s="2" t="s">
        <v>50</v>
      </c>
      <c r="D2440" s="3" t="s">
        <v>158</v>
      </c>
      <c r="E2440" s="3" t="n">
        <v>1</v>
      </c>
      <c r="F2440" s="1" t="n">
        <f aca="false">Y2440-X2440</f>
        <v>5</v>
      </c>
      <c r="G2440" s="1" t="n">
        <v>5</v>
      </c>
      <c r="H2440" s="3" t="s">
        <v>32</v>
      </c>
      <c r="I2440" s="3" t="s">
        <v>169</v>
      </c>
      <c r="J2440" s="3" t="s">
        <v>170</v>
      </c>
      <c r="K2440" s="2" t="str">
        <f aca="false">CONCATENATE(I2440," ",J2440)</f>
        <v>Abacoproeces saltuum</v>
      </c>
      <c r="L2440" s="3" t="n">
        <f aca="false">SUM(P2440:U2440)</f>
        <v>2</v>
      </c>
      <c r="M2440" s="11" t="n">
        <f aca="false">(L2440/(F2440*G2440)*25)*4</f>
        <v>8</v>
      </c>
      <c r="N2440" s="1" t="s">
        <v>30</v>
      </c>
      <c r="O2440" s="1" t="s">
        <v>35</v>
      </c>
      <c r="P2440" s="3" t="n">
        <v>0</v>
      </c>
      <c r="Q2440" s="3" t="n">
        <v>2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f aca="false">SUM(P2440:Q2440)</f>
        <v>2</v>
      </c>
      <c r="W2440" s="3" t="n">
        <f aca="false">SUM(R2440:T2440)</f>
        <v>0</v>
      </c>
      <c r="X2440" s="22" t="n">
        <v>41793</v>
      </c>
      <c r="Y2440" s="22" t="n">
        <v>41798</v>
      </c>
    </row>
    <row r="2441" customFormat="false" ht="14.25" hidden="false" customHeight="false" outlineLevel="0" collapsed="false">
      <c r="A2441" s="1" t="n">
        <v>2014</v>
      </c>
      <c r="B2441" s="1" t="n">
        <v>1</v>
      </c>
      <c r="C2441" s="2" t="s">
        <v>50</v>
      </c>
      <c r="D2441" s="3" t="s">
        <v>158</v>
      </c>
      <c r="E2441" s="3" t="n">
        <v>1</v>
      </c>
      <c r="F2441" s="1" t="n">
        <f aca="false">Y2441-X2441</f>
        <v>5</v>
      </c>
      <c r="G2441" s="1" t="n">
        <v>5</v>
      </c>
      <c r="H2441" s="3" t="s">
        <v>32</v>
      </c>
      <c r="I2441" s="3" t="s">
        <v>159</v>
      </c>
      <c r="J2441" s="3" t="s">
        <v>160</v>
      </c>
      <c r="K2441" s="2" t="str">
        <f aca="false">CONCATENATE(I2441," ",J2441)</f>
        <v>Metopobactrus prominulus</v>
      </c>
      <c r="L2441" s="3" t="n">
        <f aca="false">SUM(P2441:U2441)</f>
        <v>1</v>
      </c>
      <c r="M2441" s="11" t="n">
        <f aca="false">(L2441/(F2441*G2441)*25)*4</f>
        <v>4</v>
      </c>
      <c r="N2441" s="1" t="s">
        <v>30</v>
      </c>
      <c r="O2441" s="1" t="s">
        <v>31</v>
      </c>
      <c r="P2441" s="3" t="n">
        <v>1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f aca="false">SUM(P2441:Q2441)</f>
        <v>1</v>
      </c>
      <c r="W2441" s="3" t="n">
        <f aca="false">SUM(R2441:T2441)</f>
        <v>0</v>
      </c>
      <c r="X2441" s="22" t="n">
        <v>41793</v>
      </c>
      <c r="Y2441" s="22" t="n">
        <v>41798</v>
      </c>
    </row>
    <row r="2442" customFormat="false" ht="14.25" hidden="false" customHeight="false" outlineLevel="0" collapsed="false">
      <c r="A2442" s="1" t="n">
        <v>2014</v>
      </c>
      <c r="B2442" s="1" t="n">
        <v>1</v>
      </c>
      <c r="C2442" s="2" t="s">
        <v>50</v>
      </c>
      <c r="D2442" s="3" t="s">
        <v>158</v>
      </c>
      <c r="E2442" s="3" t="n">
        <v>2</v>
      </c>
      <c r="F2442" s="1" t="n">
        <f aca="false">Y2442-X2442</f>
        <v>5</v>
      </c>
      <c r="G2442" s="1" t="n">
        <v>5</v>
      </c>
      <c r="H2442" s="3" t="s">
        <v>48</v>
      </c>
      <c r="I2442" s="3" t="s">
        <v>67</v>
      </c>
      <c r="J2442" s="3" t="s">
        <v>127</v>
      </c>
      <c r="K2442" s="2" t="str">
        <f aca="false">CONCATENATE(I2442," ",J2442)</f>
        <v>Pardosa lugubris</v>
      </c>
      <c r="L2442" s="3" t="n">
        <f aca="false">SUM(P2442:U2442)</f>
        <v>11</v>
      </c>
      <c r="M2442" s="11" t="n">
        <f aca="false">(L2442/(F2442*G2442)*25)*4</f>
        <v>44</v>
      </c>
      <c r="N2442" s="1" t="s">
        <v>30</v>
      </c>
      <c r="O2442" s="1" t="s">
        <v>31</v>
      </c>
      <c r="P2442" s="3" t="n">
        <v>11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f aca="false">SUM(P2442:Q2442)</f>
        <v>11</v>
      </c>
      <c r="W2442" s="3" t="n">
        <f aca="false">SUM(R2442:T2442)</f>
        <v>0</v>
      </c>
      <c r="X2442" s="22" t="n">
        <v>41793</v>
      </c>
      <c r="Y2442" s="22" t="n">
        <v>41798</v>
      </c>
    </row>
    <row r="2443" customFormat="false" ht="14.25" hidden="false" customHeight="false" outlineLevel="0" collapsed="false">
      <c r="A2443" s="1" t="n">
        <v>2014</v>
      </c>
      <c r="B2443" s="1" t="n">
        <v>1</v>
      </c>
      <c r="C2443" s="2" t="s">
        <v>50</v>
      </c>
      <c r="D2443" s="3" t="s">
        <v>158</v>
      </c>
      <c r="E2443" s="3" t="n">
        <v>2</v>
      </c>
      <c r="F2443" s="1" t="n">
        <f aca="false">Y2443-X2443</f>
        <v>5</v>
      </c>
      <c r="G2443" s="1" t="n">
        <v>5</v>
      </c>
      <c r="H2443" s="3" t="s">
        <v>48</v>
      </c>
      <c r="I2443" s="3" t="s">
        <v>67</v>
      </c>
      <c r="J2443" s="3" t="s">
        <v>127</v>
      </c>
      <c r="K2443" s="2" t="str">
        <f aca="false">CONCATENATE(I2443," ",J2443)</f>
        <v>Pardosa lugubris</v>
      </c>
      <c r="L2443" s="3" t="n">
        <f aca="false">SUM(P2443:U2443)</f>
        <v>2</v>
      </c>
      <c r="M2443" s="11" t="n">
        <f aca="false">(L2443/(F2443*G2443)*25)*4</f>
        <v>8</v>
      </c>
      <c r="N2443" s="1" t="s">
        <v>30</v>
      </c>
      <c r="O2443" s="1" t="s">
        <v>35</v>
      </c>
      <c r="P2443" s="3" t="n">
        <v>0</v>
      </c>
      <c r="Q2443" s="3" t="n">
        <v>2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f aca="false">SUM(P2443:Q2443)</f>
        <v>2</v>
      </c>
      <c r="W2443" s="3" t="n">
        <f aca="false">SUM(R2443:T2443)</f>
        <v>0</v>
      </c>
      <c r="X2443" s="22" t="n">
        <v>41793</v>
      </c>
      <c r="Y2443" s="22" t="n">
        <v>41798</v>
      </c>
    </row>
    <row r="2444" customFormat="false" ht="14.25" hidden="false" customHeight="false" outlineLevel="0" collapsed="false">
      <c r="A2444" s="1" t="n">
        <v>2014</v>
      </c>
      <c r="B2444" s="1" t="n">
        <v>1</v>
      </c>
      <c r="C2444" s="2" t="s">
        <v>50</v>
      </c>
      <c r="D2444" s="3" t="s">
        <v>158</v>
      </c>
      <c r="E2444" s="3" t="n">
        <v>2</v>
      </c>
      <c r="F2444" s="1" t="n">
        <f aca="false">Y2444-X2444</f>
        <v>5</v>
      </c>
      <c r="G2444" s="1" t="n">
        <v>5</v>
      </c>
      <c r="H2444" s="3" t="s">
        <v>72</v>
      </c>
      <c r="I2444" s="3" t="s">
        <v>73</v>
      </c>
      <c r="J2444" s="3" t="s">
        <v>74</v>
      </c>
      <c r="K2444" s="2" t="str">
        <f aca="false">CONCATENATE(I2444," ",J2444)</f>
        <v>Zelotes subterraneus</v>
      </c>
      <c r="L2444" s="3" t="n">
        <f aca="false">SUM(P2444:U2444)</f>
        <v>1</v>
      </c>
      <c r="M2444" s="11" t="n">
        <f aca="false">(L2444/(F2444*G2444)*25)*4</f>
        <v>4</v>
      </c>
      <c r="N2444" s="1" t="s">
        <v>30</v>
      </c>
      <c r="O2444" s="1" t="s">
        <v>31</v>
      </c>
      <c r="P2444" s="3" t="n">
        <v>1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f aca="false">SUM(P2444:Q2444)</f>
        <v>1</v>
      </c>
      <c r="W2444" s="3" t="n">
        <f aca="false">SUM(R2444:T2444)</f>
        <v>0</v>
      </c>
      <c r="X2444" s="22" t="n">
        <v>41793</v>
      </c>
      <c r="Y2444" s="22" t="n">
        <v>41798</v>
      </c>
    </row>
    <row r="2445" customFormat="false" ht="14.25" hidden="false" customHeight="false" outlineLevel="0" collapsed="false">
      <c r="A2445" s="1" t="n">
        <v>2014</v>
      </c>
      <c r="B2445" s="1" t="n">
        <v>1</v>
      </c>
      <c r="C2445" s="2" t="s">
        <v>50</v>
      </c>
      <c r="D2445" s="3" t="s">
        <v>158</v>
      </c>
      <c r="E2445" s="3" t="n">
        <v>2</v>
      </c>
      <c r="F2445" s="1" t="n">
        <f aca="false">Y2445-X2445</f>
        <v>5</v>
      </c>
      <c r="G2445" s="1" t="n">
        <v>5</v>
      </c>
      <c r="H2445" s="3" t="s">
        <v>72</v>
      </c>
      <c r="I2445" s="3" t="s">
        <v>73</v>
      </c>
      <c r="J2445" s="3" t="s">
        <v>38</v>
      </c>
      <c r="K2445" s="2" t="str">
        <f aca="false">CONCATENATE(I2445," ",J2445)</f>
        <v>Zelotes sp</v>
      </c>
      <c r="L2445" s="3" t="n">
        <f aca="false">SUM(P2445:U2445)</f>
        <v>1</v>
      </c>
      <c r="M2445" s="11" t="n">
        <f aca="false">(L2445/(F2445*G2445)*25)*4</f>
        <v>4</v>
      </c>
      <c r="N2445" s="1" t="s">
        <v>19</v>
      </c>
      <c r="O2445" s="1" t="s">
        <v>54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1</v>
      </c>
      <c r="U2445" s="3" t="n">
        <v>0</v>
      </c>
      <c r="V2445" s="3" t="n">
        <f aca="false">SUM(P2445:Q2445)</f>
        <v>0</v>
      </c>
      <c r="W2445" s="3" t="n">
        <f aca="false">SUM(R2445:T2445)</f>
        <v>1</v>
      </c>
      <c r="X2445" s="22" t="n">
        <v>41793</v>
      </c>
      <c r="Y2445" s="22" t="n">
        <v>41798</v>
      </c>
    </row>
    <row r="2446" customFormat="false" ht="14.25" hidden="false" customHeight="false" outlineLevel="0" collapsed="false">
      <c r="A2446" s="1" t="n">
        <v>2014</v>
      </c>
      <c r="B2446" s="1" t="n">
        <v>1</v>
      </c>
      <c r="C2446" s="2" t="s">
        <v>50</v>
      </c>
      <c r="D2446" s="3" t="s">
        <v>158</v>
      </c>
      <c r="E2446" s="3" t="n">
        <v>2</v>
      </c>
      <c r="F2446" s="1" t="n">
        <f aca="false">Y2446-X2446</f>
        <v>5</v>
      </c>
      <c r="G2446" s="1" t="n">
        <v>5</v>
      </c>
      <c r="H2446" s="3" t="s">
        <v>226</v>
      </c>
      <c r="I2446" s="3" t="s">
        <v>65</v>
      </c>
      <c r="J2446" s="3" t="s">
        <v>123</v>
      </c>
      <c r="K2446" s="2" t="str">
        <f aca="false">CONCATENATE(I2446," ",J2446)</f>
        <v>Zora nemoralis</v>
      </c>
      <c r="L2446" s="3" t="n">
        <f aca="false">SUM(P2446:U2446)</f>
        <v>1</v>
      </c>
      <c r="M2446" s="11" t="n">
        <f aca="false">(L2446/(F2446*G2446)*25)*4</f>
        <v>4</v>
      </c>
      <c r="N2446" s="1" t="s">
        <v>30</v>
      </c>
      <c r="O2446" s="1" t="s">
        <v>31</v>
      </c>
      <c r="P2446" s="3" t="n">
        <v>1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f aca="false">SUM(P2446:Q2446)</f>
        <v>1</v>
      </c>
      <c r="W2446" s="3" t="n">
        <f aca="false">SUM(R2446:T2446)</f>
        <v>0</v>
      </c>
      <c r="X2446" s="22" t="n">
        <v>41793</v>
      </c>
      <c r="Y2446" s="22" t="n">
        <v>41798</v>
      </c>
    </row>
    <row r="2447" customFormat="false" ht="14.25" hidden="false" customHeight="false" outlineLevel="0" collapsed="false">
      <c r="A2447" s="1" t="n">
        <v>2014</v>
      </c>
      <c r="B2447" s="1" t="n">
        <v>1</v>
      </c>
      <c r="C2447" s="2" t="s">
        <v>50</v>
      </c>
      <c r="D2447" s="3" t="s">
        <v>158</v>
      </c>
      <c r="E2447" s="3" t="n">
        <v>2</v>
      </c>
      <c r="F2447" s="1" t="n">
        <f aca="false">Y2447-X2447</f>
        <v>5</v>
      </c>
      <c r="G2447" s="1" t="n">
        <v>5</v>
      </c>
      <c r="H2447" s="3" t="s">
        <v>32</v>
      </c>
      <c r="I2447" s="3" t="s">
        <v>96</v>
      </c>
      <c r="J2447" s="3" t="s">
        <v>97</v>
      </c>
      <c r="K2447" s="2" t="str">
        <f aca="false">CONCATENATE(I2447," ",J2447)</f>
        <v>Diplocephalus picinus</v>
      </c>
      <c r="L2447" s="3" t="n">
        <f aca="false">SUM(P2447:U2447)</f>
        <v>1</v>
      </c>
      <c r="M2447" s="11" t="n">
        <f aca="false">(L2447/(F2447*G2447)*25)*4</f>
        <v>4</v>
      </c>
      <c r="N2447" s="1" t="s">
        <v>30</v>
      </c>
      <c r="O2447" s="1" t="s">
        <v>31</v>
      </c>
      <c r="P2447" s="3" t="n">
        <v>1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f aca="false">SUM(P2447:Q2447)</f>
        <v>1</v>
      </c>
      <c r="W2447" s="3" t="n">
        <f aca="false">SUM(R2447:T2447)</f>
        <v>0</v>
      </c>
      <c r="X2447" s="22" t="n">
        <v>41793</v>
      </c>
      <c r="Y2447" s="22" t="n">
        <v>41798</v>
      </c>
    </row>
    <row r="2448" customFormat="false" ht="14.25" hidden="false" customHeight="false" outlineLevel="0" collapsed="false">
      <c r="A2448" s="1" t="n">
        <v>2014</v>
      </c>
      <c r="B2448" s="1" t="n">
        <v>1</v>
      </c>
      <c r="C2448" s="2" t="s">
        <v>50</v>
      </c>
      <c r="D2448" s="3" t="s">
        <v>158</v>
      </c>
      <c r="E2448" s="3" t="n">
        <v>2</v>
      </c>
      <c r="F2448" s="1" t="n">
        <f aca="false">Y2448-X2448</f>
        <v>5</v>
      </c>
      <c r="G2448" s="1" t="n">
        <v>5</v>
      </c>
      <c r="H2448" s="3" t="s">
        <v>32</v>
      </c>
      <c r="I2448" s="3" t="s">
        <v>169</v>
      </c>
      <c r="J2448" s="3" t="s">
        <v>170</v>
      </c>
      <c r="K2448" s="2" t="str">
        <f aca="false">CONCATENATE(I2448," ",J2448)</f>
        <v>Abacoproeces saltuum</v>
      </c>
      <c r="L2448" s="3" t="n">
        <f aca="false">SUM(P2448:U2448)</f>
        <v>1</v>
      </c>
      <c r="M2448" s="11" t="n">
        <f aca="false">(L2448/(F2448*G2448)*25)*4</f>
        <v>4</v>
      </c>
      <c r="N2448" s="1" t="s">
        <v>30</v>
      </c>
      <c r="O2448" s="1" t="s">
        <v>31</v>
      </c>
      <c r="P2448" s="3" t="n">
        <v>1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f aca="false">SUM(P2448:Q2448)</f>
        <v>1</v>
      </c>
      <c r="W2448" s="3" t="n">
        <f aca="false">SUM(R2448:T2448)</f>
        <v>0</v>
      </c>
      <c r="X2448" s="22" t="n">
        <v>41793</v>
      </c>
      <c r="Y2448" s="22" t="n">
        <v>41798</v>
      </c>
    </row>
    <row r="2449" customFormat="false" ht="14.25" hidden="false" customHeight="false" outlineLevel="0" collapsed="false">
      <c r="A2449" s="1" t="n">
        <v>2014</v>
      </c>
      <c r="B2449" s="1" t="n">
        <v>1</v>
      </c>
      <c r="C2449" s="2" t="s">
        <v>50</v>
      </c>
      <c r="D2449" s="3" t="s">
        <v>158</v>
      </c>
      <c r="E2449" s="3" t="n">
        <v>2</v>
      </c>
      <c r="F2449" s="1" t="n">
        <f aca="false">Y2449-X2449</f>
        <v>5</v>
      </c>
      <c r="G2449" s="1" t="n">
        <v>5</v>
      </c>
      <c r="H2449" s="3" t="s">
        <v>32</v>
      </c>
      <c r="I2449" s="3" t="s">
        <v>169</v>
      </c>
      <c r="J2449" s="3" t="s">
        <v>170</v>
      </c>
      <c r="K2449" s="2" t="str">
        <f aca="false">CONCATENATE(I2449," ",J2449)</f>
        <v>Abacoproeces saltuum</v>
      </c>
      <c r="L2449" s="3" t="n">
        <f aca="false">SUM(P2449:U2449)</f>
        <v>1</v>
      </c>
      <c r="M2449" s="11" t="n">
        <f aca="false">(L2449/(F2449*G2449)*25)*4</f>
        <v>4</v>
      </c>
      <c r="N2449" s="1" t="s">
        <v>30</v>
      </c>
      <c r="O2449" s="1" t="s">
        <v>35</v>
      </c>
      <c r="P2449" s="3" t="n">
        <v>0</v>
      </c>
      <c r="Q2449" s="3" t="n">
        <v>1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f aca="false">SUM(P2449:Q2449)</f>
        <v>1</v>
      </c>
      <c r="W2449" s="3" t="n">
        <f aca="false">SUM(R2449:T2449)</f>
        <v>0</v>
      </c>
      <c r="X2449" s="22" t="n">
        <v>41793</v>
      </c>
      <c r="Y2449" s="22" t="n">
        <v>41798</v>
      </c>
    </row>
    <row r="2450" customFormat="false" ht="14.25" hidden="false" customHeight="false" outlineLevel="0" collapsed="false">
      <c r="A2450" s="1" t="n">
        <v>2014</v>
      </c>
      <c r="B2450" s="1" t="n">
        <v>1</v>
      </c>
      <c r="C2450" s="2" t="s">
        <v>50</v>
      </c>
      <c r="D2450" s="3" t="s">
        <v>158</v>
      </c>
      <c r="E2450" s="3" t="n">
        <v>2</v>
      </c>
      <c r="F2450" s="1" t="n">
        <f aca="false">Y2450-X2450</f>
        <v>5</v>
      </c>
      <c r="G2450" s="1" t="n">
        <v>5</v>
      </c>
      <c r="H2450" s="3" t="s">
        <v>32</v>
      </c>
      <c r="I2450" s="3" t="s">
        <v>102</v>
      </c>
      <c r="J2450" s="3" t="s">
        <v>243</v>
      </c>
      <c r="K2450" s="2" t="str">
        <f aca="false">CONCATENATE(I2450," ",J2450)</f>
        <v>Agyneta sp (allosubtilis-subtilis)</v>
      </c>
      <c r="L2450" s="3" t="n">
        <f aca="false">SUM(P2450:U2450)</f>
        <v>1</v>
      </c>
      <c r="M2450" s="11" t="n">
        <f aca="false">(L2450/(F2450*G2450)*25)*4</f>
        <v>4</v>
      </c>
      <c r="N2450" s="1" t="s">
        <v>30</v>
      </c>
      <c r="O2450" s="1" t="s">
        <v>35</v>
      </c>
      <c r="P2450" s="3" t="n">
        <v>0</v>
      </c>
      <c r="Q2450" s="3" t="n">
        <v>1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f aca="false">SUM(P2450:Q2450)</f>
        <v>1</v>
      </c>
      <c r="W2450" s="3" t="n">
        <f aca="false">SUM(R2450:T2450)</f>
        <v>0</v>
      </c>
      <c r="X2450" s="22" t="n">
        <v>41793</v>
      </c>
      <c r="Y2450" s="22" t="n">
        <v>41798</v>
      </c>
    </row>
    <row r="2451" customFormat="false" ht="14.25" hidden="false" customHeight="false" outlineLevel="0" collapsed="false">
      <c r="A2451" s="1" t="n">
        <v>2014</v>
      </c>
      <c r="B2451" s="1" t="n">
        <v>1</v>
      </c>
      <c r="C2451" s="2" t="s">
        <v>50</v>
      </c>
      <c r="D2451" s="3" t="s">
        <v>158</v>
      </c>
      <c r="E2451" s="3" t="n">
        <v>3</v>
      </c>
      <c r="F2451" s="1" t="n">
        <f aca="false">Y2451-X2451</f>
        <v>5</v>
      </c>
      <c r="G2451" s="1" t="n">
        <v>5</v>
      </c>
      <c r="H2451" s="3" t="s">
        <v>135</v>
      </c>
      <c r="I2451" s="3" t="s">
        <v>136</v>
      </c>
      <c r="J2451" s="3" t="s">
        <v>137</v>
      </c>
      <c r="K2451" s="2" t="str">
        <f aca="false">CONCATENATE(I2451," ",J2451)</f>
        <v>Thanatus sabulosus</v>
      </c>
      <c r="L2451" s="3" t="n">
        <f aca="false">SUM(P2451:U2451)</f>
        <v>1</v>
      </c>
      <c r="M2451" s="11" t="n">
        <f aca="false">(L2451/(F2451*G2451)*25)*4</f>
        <v>4</v>
      </c>
      <c r="N2451" s="1" t="s">
        <v>30</v>
      </c>
      <c r="O2451" s="1" t="s">
        <v>31</v>
      </c>
      <c r="P2451" s="3" t="n">
        <v>1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f aca="false">SUM(P2451:Q2451)</f>
        <v>1</v>
      </c>
      <c r="W2451" s="3" t="n">
        <f aca="false">SUM(R2451:T2451)</f>
        <v>0</v>
      </c>
      <c r="X2451" s="22" t="n">
        <v>41793</v>
      </c>
      <c r="Y2451" s="22" t="n">
        <v>41798</v>
      </c>
    </row>
    <row r="2452" customFormat="false" ht="14.25" hidden="false" customHeight="false" outlineLevel="0" collapsed="false">
      <c r="A2452" s="1" t="n">
        <v>2014</v>
      </c>
      <c r="B2452" s="1" t="n">
        <v>1</v>
      </c>
      <c r="C2452" s="2" t="s">
        <v>50</v>
      </c>
      <c r="D2452" s="3" t="s">
        <v>158</v>
      </c>
      <c r="E2452" s="3" t="n">
        <v>3</v>
      </c>
      <c r="F2452" s="1" t="n">
        <f aca="false">Y2452-X2452</f>
        <v>5</v>
      </c>
      <c r="G2452" s="1" t="n">
        <v>5</v>
      </c>
      <c r="H2452" s="3" t="s">
        <v>48</v>
      </c>
      <c r="I2452" s="3" t="s">
        <v>67</v>
      </c>
      <c r="J2452" s="3" t="s">
        <v>127</v>
      </c>
      <c r="K2452" s="2" t="str">
        <f aca="false">CONCATENATE(I2452," ",J2452)</f>
        <v>Pardosa lugubris</v>
      </c>
      <c r="L2452" s="3" t="n">
        <f aca="false">SUM(P2452:U2452)</f>
        <v>15</v>
      </c>
      <c r="M2452" s="11" t="n">
        <f aca="false">(L2452/(F2452*G2452)*25)*4</f>
        <v>60</v>
      </c>
      <c r="N2452" s="1" t="s">
        <v>30</v>
      </c>
      <c r="O2452" s="1" t="s">
        <v>31</v>
      </c>
      <c r="P2452" s="3" t="n">
        <v>15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f aca="false">SUM(P2452:Q2452)</f>
        <v>15</v>
      </c>
      <c r="W2452" s="3" t="n">
        <f aca="false">SUM(R2452:T2452)</f>
        <v>0</v>
      </c>
      <c r="X2452" s="22" t="n">
        <v>41793</v>
      </c>
      <c r="Y2452" s="22" t="n">
        <v>41798</v>
      </c>
    </row>
    <row r="2453" customFormat="false" ht="14.25" hidden="false" customHeight="false" outlineLevel="0" collapsed="false">
      <c r="A2453" s="1" t="n">
        <v>2014</v>
      </c>
      <c r="B2453" s="1" t="n">
        <v>1</v>
      </c>
      <c r="C2453" s="2" t="s">
        <v>50</v>
      </c>
      <c r="D2453" s="3" t="s">
        <v>158</v>
      </c>
      <c r="E2453" s="3" t="n">
        <v>3</v>
      </c>
      <c r="F2453" s="1" t="n">
        <f aca="false">Y2453-X2453</f>
        <v>5</v>
      </c>
      <c r="G2453" s="1" t="n">
        <v>5</v>
      </c>
      <c r="H2453" s="3" t="s">
        <v>48</v>
      </c>
      <c r="I2453" s="3" t="s">
        <v>67</v>
      </c>
      <c r="J2453" s="3" t="s">
        <v>127</v>
      </c>
      <c r="K2453" s="2" t="str">
        <f aca="false">CONCATENATE(I2453," ",J2453)</f>
        <v>Pardosa lugubris</v>
      </c>
      <c r="L2453" s="3" t="n">
        <f aca="false">SUM(P2453:U2453)</f>
        <v>2</v>
      </c>
      <c r="M2453" s="11" t="n">
        <f aca="false">(L2453/(F2453*G2453)*25)*4</f>
        <v>8</v>
      </c>
      <c r="N2453" s="1" t="s">
        <v>30</v>
      </c>
      <c r="O2453" s="1" t="s">
        <v>35</v>
      </c>
      <c r="P2453" s="3" t="n">
        <v>0</v>
      </c>
      <c r="Q2453" s="3" t="n">
        <v>2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f aca="false">SUM(P2453:Q2453)</f>
        <v>2</v>
      </c>
      <c r="W2453" s="3" t="n">
        <f aca="false">SUM(R2453:T2453)</f>
        <v>0</v>
      </c>
      <c r="X2453" s="22" t="n">
        <v>41793</v>
      </c>
      <c r="Y2453" s="22" t="n">
        <v>41798</v>
      </c>
    </row>
    <row r="2454" customFormat="false" ht="14.25" hidden="false" customHeight="false" outlineLevel="0" collapsed="false">
      <c r="A2454" s="1" t="n">
        <v>2014</v>
      </c>
      <c r="B2454" s="1" t="n">
        <v>1</v>
      </c>
      <c r="C2454" s="2" t="s">
        <v>50</v>
      </c>
      <c r="D2454" s="3" t="s">
        <v>158</v>
      </c>
      <c r="E2454" s="3" t="n">
        <v>3</v>
      </c>
      <c r="F2454" s="1" t="n">
        <f aca="false">Y2454-X2454</f>
        <v>5</v>
      </c>
      <c r="G2454" s="1" t="n">
        <v>5</v>
      </c>
      <c r="H2454" s="3" t="s">
        <v>48</v>
      </c>
      <c r="I2454" s="3" t="s">
        <v>49</v>
      </c>
      <c r="J2454" s="3" t="s">
        <v>119</v>
      </c>
      <c r="K2454" s="2" t="str">
        <f aca="false">CONCATENATE(I2454," ",J2454)</f>
        <v>Alopecosa sulzeri</v>
      </c>
      <c r="L2454" s="3" t="n">
        <f aca="false">SUM(P2454:U2454)</f>
        <v>1</v>
      </c>
      <c r="M2454" s="11" t="n">
        <f aca="false">(L2454/(F2454*G2454)*25)*4</f>
        <v>4</v>
      </c>
      <c r="N2454" s="1" t="s">
        <v>30</v>
      </c>
      <c r="O2454" s="1" t="s">
        <v>31</v>
      </c>
      <c r="P2454" s="3" t="n">
        <v>1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f aca="false">SUM(P2454:Q2454)</f>
        <v>1</v>
      </c>
      <c r="W2454" s="3" t="n">
        <f aca="false">SUM(R2454:T2454)</f>
        <v>0</v>
      </c>
      <c r="X2454" s="22" t="n">
        <v>41793</v>
      </c>
      <c r="Y2454" s="22" t="n">
        <v>41798</v>
      </c>
    </row>
    <row r="2455" customFormat="false" ht="14.25" hidden="false" customHeight="false" outlineLevel="0" collapsed="false">
      <c r="A2455" s="1" t="n">
        <v>2014</v>
      </c>
      <c r="B2455" s="1" t="n">
        <v>1</v>
      </c>
      <c r="C2455" s="2" t="s">
        <v>50</v>
      </c>
      <c r="D2455" s="3" t="s">
        <v>158</v>
      </c>
      <c r="E2455" s="3" t="n">
        <v>3</v>
      </c>
      <c r="F2455" s="1" t="n">
        <f aca="false">Y2455-X2455</f>
        <v>5</v>
      </c>
      <c r="G2455" s="1" t="n">
        <v>5</v>
      </c>
      <c r="H2455" s="3" t="s">
        <v>48</v>
      </c>
      <c r="I2455" s="3" t="s">
        <v>49</v>
      </c>
      <c r="J2455" s="3" t="s">
        <v>104</v>
      </c>
      <c r="K2455" s="2" t="str">
        <f aca="false">CONCATENATE(I2455," ",J2455)</f>
        <v>Alopecosa taeniata</v>
      </c>
      <c r="L2455" s="3" t="n">
        <f aca="false">SUM(P2455:U2455)</f>
        <v>1</v>
      </c>
      <c r="M2455" s="11" t="n">
        <f aca="false">(L2455/(F2455*G2455)*25)*4</f>
        <v>4</v>
      </c>
      <c r="N2455" s="1" t="s">
        <v>30</v>
      </c>
      <c r="O2455" s="1" t="s">
        <v>31</v>
      </c>
      <c r="P2455" s="3" t="n">
        <v>1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f aca="false">SUM(P2455:Q2455)</f>
        <v>1</v>
      </c>
      <c r="W2455" s="3" t="n">
        <f aca="false">SUM(R2455:T2455)</f>
        <v>0</v>
      </c>
      <c r="X2455" s="22" t="n">
        <v>41793</v>
      </c>
      <c r="Y2455" s="22" t="n">
        <v>41798</v>
      </c>
    </row>
    <row r="2456" customFormat="false" ht="14.25" hidden="false" customHeight="false" outlineLevel="0" collapsed="false">
      <c r="A2456" s="1" t="n">
        <v>2014</v>
      </c>
      <c r="B2456" s="1" t="n">
        <v>1</v>
      </c>
      <c r="C2456" s="2" t="s">
        <v>50</v>
      </c>
      <c r="D2456" s="3" t="s">
        <v>158</v>
      </c>
      <c r="E2456" s="3" t="n">
        <v>3</v>
      </c>
      <c r="F2456" s="1" t="n">
        <f aca="false">Y2456-X2456</f>
        <v>5</v>
      </c>
      <c r="G2456" s="1" t="n">
        <v>5</v>
      </c>
      <c r="H2456" s="3" t="s">
        <v>36</v>
      </c>
      <c r="I2456" s="3" t="s">
        <v>131</v>
      </c>
      <c r="J2456" s="3" t="s">
        <v>229</v>
      </c>
      <c r="K2456" s="2" t="str">
        <f aca="false">CONCATENATE(I2456," ",J2456)</f>
        <v>Xysticus emertoni</v>
      </c>
      <c r="L2456" s="3" t="n">
        <f aca="false">SUM(P2456:U2456)</f>
        <v>1</v>
      </c>
      <c r="M2456" s="11" t="n">
        <f aca="false">(L2456/(F2456*G2456)*25)*4</f>
        <v>4</v>
      </c>
      <c r="N2456" s="1" t="s">
        <v>30</v>
      </c>
      <c r="O2456" s="1" t="s">
        <v>31</v>
      </c>
      <c r="P2456" s="3" t="n">
        <v>1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f aca="false">SUM(P2456:Q2456)</f>
        <v>1</v>
      </c>
      <c r="W2456" s="3" t="n">
        <f aca="false">SUM(R2456:T2456)</f>
        <v>0</v>
      </c>
      <c r="X2456" s="22" t="n">
        <v>41793</v>
      </c>
      <c r="Y2456" s="22" t="n">
        <v>41798</v>
      </c>
    </row>
    <row r="2457" customFormat="false" ht="14.25" hidden="false" customHeight="false" outlineLevel="0" collapsed="false">
      <c r="A2457" s="1" t="n">
        <v>2014</v>
      </c>
      <c r="B2457" s="1" t="n">
        <v>1</v>
      </c>
      <c r="C2457" s="2" t="s">
        <v>50</v>
      </c>
      <c r="D2457" s="3" t="s">
        <v>158</v>
      </c>
      <c r="E2457" s="3" t="n">
        <v>3</v>
      </c>
      <c r="F2457" s="1" t="n">
        <f aca="false">Y2457-X2457</f>
        <v>5</v>
      </c>
      <c r="G2457" s="1" t="n">
        <v>5</v>
      </c>
      <c r="H2457" s="3" t="s">
        <v>36</v>
      </c>
      <c r="I2457" s="3" t="s">
        <v>131</v>
      </c>
      <c r="J2457" s="3" t="s">
        <v>133</v>
      </c>
      <c r="K2457" s="2" t="str">
        <f aca="false">CONCATENATE(I2457," ",J2457)</f>
        <v>Xysticus luctuosus</v>
      </c>
      <c r="L2457" s="3" t="n">
        <f aca="false">SUM(P2457:U2457)</f>
        <v>1</v>
      </c>
      <c r="M2457" s="11" t="n">
        <f aca="false">(L2457/(F2457*G2457)*25)*4</f>
        <v>4</v>
      </c>
      <c r="N2457" s="1" t="s">
        <v>30</v>
      </c>
      <c r="O2457" s="1" t="s">
        <v>31</v>
      </c>
      <c r="P2457" s="3" t="n">
        <v>1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f aca="false">SUM(P2457:Q2457)</f>
        <v>1</v>
      </c>
      <c r="W2457" s="3" t="n">
        <f aca="false">SUM(R2457:T2457)</f>
        <v>0</v>
      </c>
      <c r="X2457" s="22" t="n">
        <v>41793</v>
      </c>
      <c r="Y2457" s="22" t="n">
        <v>41798</v>
      </c>
    </row>
    <row r="2458" customFormat="false" ht="14.25" hidden="false" customHeight="false" outlineLevel="0" collapsed="false">
      <c r="A2458" s="1" t="n">
        <v>2014</v>
      </c>
      <c r="B2458" s="1" t="n">
        <v>1</v>
      </c>
      <c r="C2458" s="2" t="s">
        <v>50</v>
      </c>
      <c r="D2458" s="3" t="s">
        <v>158</v>
      </c>
      <c r="E2458" s="3" t="n">
        <v>3</v>
      </c>
      <c r="F2458" s="1" t="n">
        <f aca="false">Y2458-X2458</f>
        <v>5</v>
      </c>
      <c r="G2458" s="1" t="n">
        <v>5</v>
      </c>
      <c r="H2458" s="3" t="s">
        <v>72</v>
      </c>
      <c r="I2458" s="3" t="s">
        <v>86</v>
      </c>
      <c r="J2458" s="3" t="s">
        <v>87</v>
      </c>
      <c r="K2458" s="2" t="str">
        <f aca="false">CONCATENATE(I2458," ",J2458)</f>
        <v>Haplodrassus soerenseni</v>
      </c>
      <c r="L2458" s="3" t="n">
        <f aca="false">SUM(P2458:U2458)</f>
        <v>1</v>
      </c>
      <c r="M2458" s="11" t="n">
        <f aca="false">(L2458/(F2458*G2458)*25)*4</f>
        <v>4</v>
      </c>
      <c r="N2458" s="1" t="s">
        <v>30</v>
      </c>
      <c r="O2458" s="1" t="s">
        <v>35</v>
      </c>
      <c r="P2458" s="3" t="n">
        <v>0</v>
      </c>
      <c r="Q2458" s="3" t="n">
        <v>1</v>
      </c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f aca="false">SUM(P2458:Q2458)</f>
        <v>1</v>
      </c>
      <c r="W2458" s="3" t="n">
        <f aca="false">SUM(R2458:T2458)</f>
        <v>0</v>
      </c>
      <c r="X2458" s="22" t="n">
        <v>41793</v>
      </c>
      <c r="Y2458" s="22" t="n">
        <v>41798</v>
      </c>
    </row>
    <row r="2459" customFormat="false" ht="14.25" hidden="false" customHeight="false" outlineLevel="0" collapsed="false">
      <c r="A2459" s="1" t="n">
        <v>2014</v>
      </c>
      <c r="B2459" s="1" t="n">
        <v>1</v>
      </c>
      <c r="C2459" s="2" t="s">
        <v>50</v>
      </c>
      <c r="D2459" s="3" t="s">
        <v>158</v>
      </c>
      <c r="E2459" s="3" t="n">
        <v>3</v>
      </c>
      <c r="F2459" s="1" t="n">
        <f aca="false">Y2459-X2459</f>
        <v>5</v>
      </c>
      <c r="G2459" s="1" t="n">
        <v>5</v>
      </c>
      <c r="H2459" s="3" t="s">
        <v>72</v>
      </c>
      <c r="I2459" s="3" t="s">
        <v>73</v>
      </c>
      <c r="J2459" s="3" t="s">
        <v>38</v>
      </c>
      <c r="K2459" s="2" t="str">
        <f aca="false">CONCATENATE(I2459," ",J2459)</f>
        <v>Zelotes sp</v>
      </c>
      <c r="L2459" s="3" t="n">
        <f aca="false">SUM(P2459:U2459)</f>
        <v>1</v>
      </c>
      <c r="M2459" s="11" t="n">
        <f aca="false">(L2459/(F2459*G2459)*25)*4</f>
        <v>4</v>
      </c>
      <c r="N2459" s="1" t="s">
        <v>19</v>
      </c>
      <c r="O2459" s="1" t="s">
        <v>31</v>
      </c>
      <c r="P2459" s="3" t="n">
        <v>0</v>
      </c>
      <c r="Q2459" s="3" t="n">
        <v>0</v>
      </c>
      <c r="R2459" s="3" t="n">
        <v>1</v>
      </c>
      <c r="S2459" s="3" t="n">
        <v>0</v>
      </c>
      <c r="T2459" s="3" t="n">
        <v>0</v>
      </c>
      <c r="U2459" s="3" t="n">
        <v>0</v>
      </c>
      <c r="V2459" s="3" t="n">
        <f aca="false">SUM(P2459:Q2459)</f>
        <v>0</v>
      </c>
      <c r="W2459" s="3" t="n">
        <f aca="false">SUM(R2459:T2459)</f>
        <v>1</v>
      </c>
      <c r="X2459" s="22" t="n">
        <v>41793</v>
      </c>
      <c r="Y2459" s="22" t="n">
        <v>41798</v>
      </c>
    </row>
    <row r="2460" customFormat="false" ht="14.25" hidden="false" customHeight="false" outlineLevel="0" collapsed="false">
      <c r="A2460" s="1" t="n">
        <v>2014</v>
      </c>
      <c r="B2460" s="1" t="n">
        <v>1</v>
      </c>
      <c r="C2460" s="2" t="s">
        <v>50</v>
      </c>
      <c r="D2460" s="3" t="s">
        <v>158</v>
      </c>
      <c r="E2460" s="3" t="n">
        <v>3</v>
      </c>
      <c r="F2460" s="1" t="n">
        <f aca="false">Y2460-X2460</f>
        <v>5</v>
      </c>
      <c r="G2460" s="1" t="n">
        <v>5</v>
      </c>
      <c r="H2460" s="3" t="s">
        <v>48</v>
      </c>
      <c r="I2460" s="3" t="s">
        <v>61</v>
      </c>
      <c r="J2460" s="3" t="s">
        <v>38</v>
      </c>
      <c r="K2460" s="2" t="str">
        <f aca="false">CONCATENATE(I2460," ",J2460)</f>
        <v>Trochosa sp</v>
      </c>
      <c r="L2460" s="3" t="n">
        <f aca="false">SUM(P2460:U2460)</f>
        <v>1</v>
      </c>
      <c r="M2460" s="11" t="n">
        <f aca="false">(L2460/(F2460*G2460)*25)*4</f>
        <v>4</v>
      </c>
      <c r="N2460" s="1" t="s">
        <v>19</v>
      </c>
      <c r="O2460" s="1" t="s">
        <v>54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1</v>
      </c>
      <c r="U2460" s="3" t="n">
        <v>0</v>
      </c>
      <c r="V2460" s="3" t="n">
        <f aca="false">SUM(P2460:Q2460)</f>
        <v>0</v>
      </c>
      <c r="W2460" s="3" t="n">
        <f aca="false">SUM(R2460:T2460)</f>
        <v>1</v>
      </c>
      <c r="X2460" s="22" t="n">
        <v>41793</v>
      </c>
      <c r="Y2460" s="22" t="n">
        <v>41798</v>
      </c>
    </row>
    <row r="2461" customFormat="false" ht="14.25" hidden="false" customHeight="false" outlineLevel="0" collapsed="false">
      <c r="A2461" s="1" t="n">
        <v>2014</v>
      </c>
      <c r="B2461" s="1" t="n">
        <v>1</v>
      </c>
      <c r="C2461" s="2" t="s">
        <v>50</v>
      </c>
      <c r="D2461" s="3" t="s">
        <v>158</v>
      </c>
      <c r="E2461" s="3" t="n">
        <v>3</v>
      </c>
      <c r="F2461" s="1" t="n">
        <f aca="false">Y2461-X2461</f>
        <v>5</v>
      </c>
      <c r="G2461" s="1" t="n">
        <v>5</v>
      </c>
      <c r="H2461" s="3" t="s">
        <v>32</v>
      </c>
      <c r="I2461" s="3" t="s">
        <v>169</v>
      </c>
      <c r="J2461" s="3" t="s">
        <v>170</v>
      </c>
      <c r="K2461" s="2" t="str">
        <f aca="false">CONCATENATE(I2461," ",J2461)</f>
        <v>Abacoproeces saltuum</v>
      </c>
      <c r="L2461" s="3" t="n">
        <f aca="false">SUM(P2461:U2461)</f>
        <v>2</v>
      </c>
      <c r="M2461" s="11" t="n">
        <f aca="false">(L2461/(F2461*G2461)*25)*4</f>
        <v>8</v>
      </c>
      <c r="N2461" s="1" t="s">
        <v>30</v>
      </c>
      <c r="O2461" s="1" t="s">
        <v>31</v>
      </c>
      <c r="P2461" s="3" t="n">
        <v>2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f aca="false">SUM(P2461:Q2461)</f>
        <v>2</v>
      </c>
      <c r="W2461" s="3" t="n">
        <f aca="false">SUM(R2461:T2461)</f>
        <v>0</v>
      </c>
      <c r="X2461" s="22" t="n">
        <v>41793</v>
      </c>
      <c r="Y2461" s="22" t="n">
        <v>41798</v>
      </c>
    </row>
    <row r="2462" customFormat="false" ht="14.25" hidden="false" customHeight="false" outlineLevel="0" collapsed="false">
      <c r="A2462" s="1" t="n">
        <v>2014</v>
      </c>
      <c r="B2462" s="1" t="n">
        <v>1</v>
      </c>
      <c r="C2462" s="2" t="s">
        <v>50</v>
      </c>
      <c r="D2462" s="3" t="s">
        <v>158</v>
      </c>
      <c r="E2462" s="3" t="n">
        <v>3</v>
      </c>
      <c r="F2462" s="1" t="n">
        <f aca="false">Y2462-X2462</f>
        <v>5</v>
      </c>
      <c r="G2462" s="1" t="n">
        <v>5</v>
      </c>
      <c r="H2462" s="3" t="s">
        <v>32</v>
      </c>
      <c r="I2462" s="3" t="s">
        <v>169</v>
      </c>
      <c r="J2462" s="3" t="s">
        <v>170</v>
      </c>
      <c r="K2462" s="2" t="str">
        <f aca="false">CONCATENATE(I2462," ",J2462)</f>
        <v>Abacoproeces saltuum</v>
      </c>
      <c r="L2462" s="3" t="n">
        <f aca="false">SUM(P2462:U2462)</f>
        <v>2</v>
      </c>
      <c r="M2462" s="11" t="n">
        <f aca="false">(L2462/(F2462*G2462)*25)*4</f>
        <v>8</v>
      </c>
      <c r="N2462" s="1" t="s">
        <v>30</v>
      </c>
      <c r="O2462" s="1" t="s">
        <v>35</v>
      </c>
      <c r="P2462" s="3" t="n">
        <v>0</v>
      </c>
      <c r="Q2462" s="3" t="n">
        <v>2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f aca="false">SUM(P2462:Q2462)</f>
        <v>2</v>
      </c>
      <c r="W2462" s="3" t="n">
        <f aca="false">SUM(R2462:T2462)</f>
        <v>0</v>
      </c>
      <c r="X2462" s="22" t="n">
        <v>41793</v>
      </c>
      <c r="Y2462" s="22" t="n">
        <v>41798</v>
      </c>
    </row>
    <row r="2463" customFormat="false" ht="14.25" hidden="false" customHeight="false" outlineLevel="0" collapsed="false">
      <c r="A2463" s="1" t="n">
        <v>2014</v>
      </c>
      <c r="B2463" s="1" t="n">
        <v>1</v>
      </c>
      <c r="C2463" s="2" t="s">
        <v>50</v>
      </c>
      <c r="D2463" s="3" t="s">
        <v>158</v>
      </c>
      <c r="E2463" s="3" t="n">
        <v>3</v>
      </c>
      <c r="F2463" s="1" t="n">
        <f aca="false">Y2463-X2463</f>
        <v>5</v>
      </c>
      <c r="G2463" s="1" t="n">
        <v>5</v>
      </c>
      <c r="H2463" s="3" t="s">
        <v>32</v>
      </c>
      <c r="I2463" s="3" t="s">
        <v>96</v>
      </c>
      <c r="J2463" s="3" t="s">
        <v>97</v>
      </c>
      <c r="K2463" s="2" t="str">
        <f aca="false">CONCATENATE(I2463," ",J2463)</f>
        <v>Diplocephalus picinus</v>
      </c>
      <c r="L2463" s="3" t="n">
        <f aca="false">SUM(P2463:U2463)</f>
        <v>1</v>
      </c>
      <c r="M2463" s="11" t="n">
        <f aca="false">(L2463/(F2463*G2463)*25)*4</f>
        <v>4</v>
      </c>
      <c r="N2463" s="1" t="s">
        <v>30</v>
      </c>
      <c r="O2463" s="1" t="s">
        <v>31</v>
      </c>
      <c r="P2463" s="3" t="n">
        <v>1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f aca="false">SUM(P2463:Q2463)</f>
        <v>1</v>
      </c>
      <c r="W2463" s="3" t="n">
        <f aca="false">SUM(R2463:T2463)</f>
        <v>0</v>
      </c>
      <c r="X2463" s="22" t="n">
        <v>41793</v>
      </c>
      <c r="Y2463" s="22" t="n">
        <v>41798</v>
      </c>
    </row>
    <row r="2464" customFormat="false" ht="14.25" hidden="false" customHeight="false" outlineLevel="0" collapsed="false">
      <c r="A2464" s="1" t="n">
        <v>2014</v>
      </c>
      <c r="B2464" s="1" t="n">
        <v>1</v>
      </c>
      <c r="C2464" s="2" t="s">
        <v>50</v>
      </c>
      <c r="D2464" s="3" t="s">
        <v>158</v>
      </c>
      <c r="E2464" s="3" t="n">
        <v>3</v>
      </c>
      <c r="F2464" s="1" t="n">
        <f aca="false">Y2464-X2464</f>
        <v>5</v>
      </c>
      <c r="G2464" s="1" t="n">
        <v>5</v>
      </c>
      <c r="H2464" s="3" t="s">
        <v>32</v>
      </c>
      <c r="I2464" s="3" t="s">
        <v>55</v>
      </c>
      <c r="J2464" s="3" t="s">
        <v>194</v>
      </c>
      <c r="K2464" s="2" t="str">
        <f aca="false">CONCATENATE(I2464," ",J2464)</f>
        <v>Maro pansibiricus</v>
      </c>
      <c r="L2464" s="3" t="n">
        <f aca="false">SUM(P2464:U2464)</f>
        <v>1</v>
      </c>
      <c r="M2464" s="11" t="n">
        <f aca="false">(L2464/(F2464*G2464)*25)*4</f>
        <v>4</v>
      </c>
      <c r="N2464" s="1" t="s">
        <v>30</v>
      </c>
      <c r="O2464" s="1" t="s">
        <v>31</v>
      </c>
      <c r="P2464" s="3" t="n">
        <v>1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f aca="false">SUM(P2464:Q2464)</f>
        <v>1</v>
      </c>
      <c r="W2464" s="3" t="n">
        <f aca="false">SUM(R2464:T2464)</f>
        <v>0</v>
      </c>
      <c r="X2464" s="22" t="n">
        <v>41793</v>
      </c>
      <c r="Y2464" s="22" t="n">
        <v>41798</v>
      </c>
    </row>
    <row r="2465" customFormat="false" ht="14.25" hidden="false" customHeight="false" outlineLevel="0" collapsed="false">
      <c r="A2465" s="1" t="n">
        <v>2014</v>
      </c>
      <c r="B2465" s="1" t="n">
        <v>1</v>
      </c>
      <c r="C2465" s="2" t="s">
        <v>50</v>
      </c>
      <c r="D2465" s="3" t="s">
        <v>158</v>
      </c>
      <c r="E2465" s="3" t="n">
        <v>3</v>
      </c>
      <c r="F2465" s="1" t="n">
        <f aca="false">Y2465-X2465</f>
        <v>5</v>
      </c>
      <c r="G2465" s="1" t="n">
        <v>5</v>
      </c>
      <c r="H2465" s="3" t="s">
        <v>32</v>
      </c>
      <c r="I2465" s="3" t="s">
        <v>55</v>
      </c>
      <c r="J2465" s="3" t="s">
        <v>56</v>
      </c>
      <c r="K2465" s="2" t="str">
        <f aca="false">CONCATENATE(I2465," ",J2465)</f>
        <v>Maro minutus</v>
      </c>
      <c r="L2465" s="3" t="n">
        <f aca="false">SUM(P2465:U2465)</f>
        <v>2</v>
      </c>
      <c r="M2465" s="11" t="n">
        <f aca="false">(L2465/(F2465*G2465)*25)*4</f>
        <v>8</v>
      </c>
      <c r="N2465" s="1" t="s">
        <v>30</v>
      </c>
      <c r="O2465" s="1" t="s">
        <v>31</v>
      </c>
      <c r="P2465" s="3" t="n">
        <v>2</v>
      </c>
      <c r="Q2465" s="3" t="n">
        <v>0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f aca="false">SUM(P2465:Q2465)</f>
        <v>2</v>
      </c>
      <c r="W2465" s="3" t="n">
        <f aca="false">SUM(R2465:T2465)</f>
        <v>0</v>
      </c>
      <c r="X2465" s="22" t="n">
        <v>41793</v>
      </c>
      <c r="Y2465" s="22" t="n">
        <v>41798</v>
      </c>
    </row>
    <row r="2466" customFormat="false" ht="14.25" hidden="false" customHeight="false" outlineLevel="0" collapsed="false">
      <c r="A2466" s="1" t="n">
        <v>2014</v>
      </c>
      <c r="B2466" s="1" t="n">
        <v>1</v>
      </c>
      <c r="C2466" s="2" t="s">
        <v>50</v>
      </c>
      <c r="D2466" s="3" t="s">
        <v>158</v>
      </c>
      <c r="E2466" s="3" t="n">
        <v>2</v>
      </c>
      <c r="F2466" s="1" t="n">
        <f aca="false">Y2466-X2466</f>
        <v>5</v>
      </c>
      <c r="G2466" s="1" t="n">
        <v>5</v>
      </c>
      <c r="H2466" s="3" t="s">
        <v>48</v>
      </c>
      <c r="I2466" s="3" t="s">
        <v>49</v>
      </c>
      <c r="J2466" s="3" t="s">
        <v>104</v>
      </c>
      <c r="K2466" s="2" t="str">
        <f aca="false">CONCATENATE(I2466," ",J2466)</f>
        <v>Alopecosa taeniata</v>
      </c>
      <c r="L2466" s="3" t="n">
        <f aca="false">SUM(P2466:U2466)</f>
        <v>1</v>
      </c>
      <c r="M2466" s="11" t="n">
        <f aca="false">(L2466/(F2466*G2466)*25)*4</f>
        <v>4</v>
      </c>
      <c r="N2466" s="1" t="s">
        <v>30</v>
      </c>
      <c r="O2466" s="1" t="s">
        <v>31</v>
      </c>
      <c r="P2466" s="3" t="n">
        <v>1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f aca="false">SUM(P2466:Q2466)</f>
        <v>1</v>
      </c>
      <c r="W2466" s="3" t="n">
        <f aca="false">SUM(R2466:T2466)</f>
        <v>0</v>
      </c>
      <c r="X2466" s="22" t="n">
        <v>41793</v>
      </c>
      <c r="Y2466" s="22" t="n">
        <v>41798</v>
      </c>
    </row>
    <row r="2467" customFormat="false" ht="14.25" hidden="false" customHeight="false" outlineLevel="0" collapsed="false">
      <c r="A2467" s="1" t="n">
        <v>2014</v>
      </c>
      <c r="B2467" s="1" t="n">
        <v>1</v>
      </c>
      <c r="C2467" s="2" t="s">
        <v>50</v>
      </c>
      <c r="D2467" s="3" t="s">
        <v>158</v>
      </c>
      <c r="E2467" s="3" t="n">
        <v>2</v>
      </c>
      <c r="F2467" s="1" t="n">
        <f aca="false">Y2467-X2467</f>
        <v>5</v>
      </c>
      <c r="G2467" s="1" t="n">
        <v>5</v>
      </c>
      <c r="H2467" s="3" t="s">
        <v>48</v>
      </c>
      <c r="I2467" s="3" t="s">
        <v>49</v>
      </c>
      <c r="J2467" s="3" t="s">
        <v>104</v>
      </c>
      <c r="K2467" s="2" t="str">
        <f aca="false">CONCATENATE(I2467," ",J2467)</f>
        <v>Alopecosa taeniata</v>
      </c>
      <c r="L2467" s="3" t="n">
        <f aca="false">SUM(P2467:U2467)</f>
        <v>2</v>
      </c>
      <c r="M2467" s="11" t="n">
        <f aca="false">(L2467/(F2467*G2467)*25)*4</f>
        <v>8</v>
      </c>
      <c r="N2467" s="1" t="s">
        <v>30</v>
      </c>
      <c r="O2467" s="1" t="s">
        <v>35</v>
      </c>
      <c r="P2467" s="3" t="n">
        <v>0</v>
      </c>
      <c r="Q2467" s="3" t="n">
        <v>2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f aca="false">SUM(P2467:Q2467)</f>
        <v>2</v>
      </c>
      <c r="W2467" s="3" t="n">
        <f aca="false">SUM(R2467:T2467)</f>
        <v>0</v>
      </c>
      <c r="X2467" s="22" t="n">
        <v>41793</v>
      </c>
      <c r="Y2467" s="22" t="n">
        <v>41798</v>
      </c>
    </row>
    <row r="2468" customFormat="false" ht="14.25" hidden="false" customHeight="false" outlineLevel="0" collapsed="false">
      <c r="A2468" s="1" t="n">
        <v>2014</v>
      </c>
      <c r="B2468" s="1" t="n">
        <v>1</v>
      </c>
      <c r="C2468" s="2" t="s">
        <v>50</v>
      </c>
      <c r="D2468" s="3" t="s">
        <v>158</v>
      </c>
      <c r="E2468" s="3" t="n">
        <v>2</v>
      </c>
      <c r="F2468" s="1" t="n">
        <f aca="false">Y2468-X2468</f>
        <v>5</v>
      </c>
      <c r="G2468" s="1" t="n">
        <v>5</v>
      </c>
      <c r="H2468" s="3" t="s">
        <v>48</v>
      </c>
      <c r="I2468" s="3" t="s">
        <v>49</v>
      </c>
      <c r="J2468" s="3" t="s">
        <v>119</v>
      </c>
      <c r="K2468" s="2" t="str">
        <f aca="false">CONCATENATE(I2468," ",J2468)</f>
        <v>Alopecosa sulzeri</v>
      </c>
      <c r="L2468" s="3" t="n">
        <f aca="false">SUM(P2468:U2468)</f>
        <v>1</v>
      </c>
      <c r="M2468" s="11" t="n">
        <f aca="false">(L2468/(F2468*G2468)*25)*4</f>
        <v>4</v>
      </c>
      <c r="N2468" s="1" t="s">
        <v>30</v>
      </c>
      <c r="O2468" s="1" t="s">
        <v>31</v>
      </c>
      <c r="P2468" s="3" t="n">
        <v>1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f aca="false">SUM(P2468:Q2468)</f>
        <v>1</v>
      </c>
      <c r="W2468" s="3" t="n">
        <f aca="false">SUM(R2468:T2468)</f>
        <v>0</v>
      </c>
      <c r="X2468" s="22" t="n">
        <v>41793</v>
      </c>
      <c r="Y2468" s="22" t="n">
        <v>41798</v>
      </c>
    </row>
    <row r="2469" customFormat="false" ht="14.25" hidden="false" customHeight="false" outlineLevel="0" collapsed="false">
      <c r="A2469" s="1" t="n">
        <v>2014</v>
      </c>
      <c r="B2469" s="1" t="n">
        <v>1</v>
      </c>
      <c r="C2469" s="2" t="s">
        <v>50</v>
      </c>
      <c r="D2469" s="3" t="s">
        <v>158</v>
      </c>
      <c r="E2469" s="3" t="n">
        <v>2</v>
      </c>
      <c r="F2469" s="1" t="n">
        <f aca="false">Y2469-X2469</f>
        <v>5</v>
      </c>
      <c r="G2469" s="1" t="n">
        <v>5</v>
      </c>
      <c r="H2469" s="3" t="s">
        <v>48</v>
      </c>
      <c r="I2469" s="3" t="s">
        <v>67</v>
      </c>
      <c r="J2469" s="3" t="s">
        <v>127</v>
      </c>
      <c r="K2469" s="2" t="str">
        <f aca="false">CONCATENATE(I2469," ",J2469)</f>
        <v>Pardosa lugubris</v>
      </c>
      <c r="L2469" s="3" t="n">
        <f aca="false">SUM(P2469:U2469)</f>
        <v>10</v>
      </c>
      <c r="M2469" s="11" t="n">
        <f aca="false">(L2469/(F2469*G2469)*25)*4</f>
        <v>40</v>
      </c>
      <c r="N2469" s="1" t="s">
        <v>30</v>
      </c>
      <c r="O2469" s="1" t="s">
        <v>31</v>
      </c>
      <c r="P2469" s="3" t="n">
        <v>10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f aca="false">SUM(P2469:Q2469)</f>
        <v>10</v>
      </c>
      <c r="W2469" s="3" t="n">
        <f aca="false">SUM(R2469:T2469)</f>
        <v>0</v>
      </c>
      <c r="X2469" s="22" t="n">
        <v>41793</v>
      </c>
      <c r="Y2469" s="22" t="n">
        <v>41798</v>
      </c>
    </row>
    <row r="2470" customFormat="false" ht="14.25" hidden="false" customHeight="false" outlineLevel="0" collapsed="false">
      <c r="A2470" s="1" t="n">
        <v>2014</v>
      </c>
      <c r="B2470" s="1" t="n">
        <v>1</v>
      </c>
      <c r="C2470" s="2" t="s">
        <v>50</v>
      </c>
      <c r="D2470" s="3" t="s">
        <v>158</v>
      </c>
      <c r="E2470" s="3" t="n">
        <v>2</v>
      </c>
      <c r="F2470" s="1" t="n">
        <f aca="false">Y2470-X2470</f>
        <v>5</v>
      </c>
      <c r="G2470" s="1" t="n">
        <v>5</v>
      </c>
      <c r="H2470" s="3" t="s">
        <v>32</v>
      </c>
      <c r="I2470" s="3" t="s">
        <v>96</v>
      </c>
      <c r="J2470" s="3" t="s">
        <v>97</v>
      </c>
      <c r="K2470" s="2" t="str">
        <f aca="false">CONCATENATE(I2470," ",J2470)</f>
        <v>Diplocephalus picinus</v>
      </c>
      <c r="L2470" s="3" t="n">
        <f aca="false">SUM(P2470:U2470)</f>
        <v>1</v>
      </c>
      <c r="M2470" s="11" t="n">
        <f aca="false">(L2470/(F2470*G2470)*25)*4</f>
        <v>4</v>
      </c>
      <c r="N2470" s="1" t="s">
        <v>30</v>
      </c>
      <c r="O2470" s="1" t="s">
        <v>31</v>
      </c>
      <c r="P2470" s="3" t="n">
        <v>1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f aca="false">SUM(P2470:Q2470)</f>
        <v>1</v>
      </c>
      <c r="W2470" s="3" t="n">
        <f aca="false">SUM(R2470:T2470)</f>
        <v>0</v>
      </c>
      <c r="X2470" s="22" t="n">
        <v>41793</v>
      </c>
      <c r="Y2470" s="22" t="n">
        <v>41798</v>
      </c>
    </row>
    <row r="2471" customFormat="false" ht="14.25" hidden="false" customHeight="false" outlineLevel="0" collapsed="false">
      <c r="A2471" s="1" t="n">
        <v>2014</v>
      </c>
      <c r="B2471" s="1" t="n">
        <v>1</v>
      </c>
      <c r="C2471" s="2" t="s">
        <v>50</v>
      </c>
      <c r="D2471" s="3" t="s">
        <v>158</v>
      </c>
      <c r="E2471" s="3" t="n">
        <v>2</v>
      </c>
      <c r="F2471" s="1" t="n">
        <f aca="false">Y2471-X2471</f>
        <v>5</v>
      </c>
      <c r="G2471" s="1" t="n">
        <v>5</v>
      </c>
      <c r="H2471" s="3" t="s">
        <v>32</v>
      </c>
      <c r="I2471" s="3" t="s">
        <v>169</v>
      </c>
      <c r="J2471" s="3" t="s">
        <v>170</v>
      </c>
      <c r="K2471" s="2" t="str">
        <f aca="false">CONCATENATE(I2471," ",J2471)</f>
        <v>Abacoproeces saltuum</v>
      </c>
      <c r="L2471" s="3" t="n">
        <f aca="false">SUM(P2471:U2471)</f>
        <v>2</v>
      </c>
      <c r="M2471" s="11" t="n">
        <f aca="false">(L2471/(F2471*G2471)*25)*4</f>
        <v>8</v>
      </c>
      <c r="N2471" s="1" t="s">
        <v>30</v>
      </c>
      <c r="O2471" s="1" t="s">
        <v>31</v>
      </c>
      <c r="P2471" s="3" t="n">
        <v>2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f aca="false">SUM(P2471:Q2471)</f>
        <v>2</v>
      </c>
      <c r="W2471" s="3" t="n">
        <f aca="false">SUM(R2471:T2471)</f>
        <v>0</v>
      </c>
      <c r="X2471" s="22" t="n">
        <v>41793</v>
      </c>
      <c r="Y2471" s="22" t="n">
        <v>41798</v>
      </c>
    </row>
    <row r="2472" customFormat="false" ht="14.25" hidden="false" customHeight="false" outlineLevel="0" collapsed="false">
      <c r="A2472" s="1" t="n">
        <v>2014</v>
      </c>
      <c r="B2472" s="1" t="n">
        <v>1</v>
      </c>
      <c r="C2472" s="2" t="s">
        <v>50</v>
      </c>
      <c r="D2472" s="3" t="s">
        <v>158</v>
      </c>
      <c r="E2472" s="3" t="n">
        <v>2</v>
      </c>
      <c r="F2472" s="1" t="n">
        <f aca="false">Y2472-X2472</f>
        <v>5</v>
      </c>
      <c r="G2472" s="1" t="n">
        <v>5</v>
      </c>
      <c r="H2472" s="3" t="s">
        <v>32</v>
      </c>
      <c r="I2472" s="3" t="s">
        <v>169</v>
      </c>
      <c r="J2472" s="3" t="s">
        <v>170</v>
      </c>
      <c r="K2472" s="2" t="str">
        <f aca="false">CONCATENATE(I2472," ",J2472)</f>
        <v>Abacoproeces saltuum</v>
      </c>
      <c r="L2472" s="3" t="n">
        <f aca="false">SUM(P2472:U2472)</f>
        <v>1</v>
      </c>
      <c r="M2472" s="11" t="n">
        <f aca="false">(L2472/(F2472*G2472)*25)*4</f>
        <v>4</v>
      </c>
      <c r="N2472" s="1" t="s">
        <v>30</v>
      </c>
      <c r="O2472" s="1" t="s">
        <v>35</v>
      </c>
      <c r="P2472" s="3" t="n">
        <v>0</v>
      </c>
      <c r="Q2472" s="3" t="n">
        <v>1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f aca="false">SUM(P2472:Q2472)</f>
        <v>1</v>
      </c>
      <c r="W2472" s="3" t="n">
        <f aca="false">SUM(R2472:T2472)</f>
        <v>0</v>
      </c>
      <c r="X2472" s="22" t="n">
        <v>41793</v>
      </c>
      <c r="Y2472" s="22" t="n">
        <v>41798</v>
      </c>
    </row>
    <row r="2473" customFormat="false" ht="14.25" hidden="false" customHeight="false" outlineLevel="0" collapsed="false">
      <c r="A2473" s="1" t="n">
        <v>2014</v>
      </c>
      <c r="B2473" s="1" t="n">
        <v>1</v>
      </c>
      <c r="C2473" s="2" t="s">
        <v>50</v>
      </c>
      <c r="D2473" s="3" t="s">
        <v>158</v>
      </c>
      <c r="E2473" s="3" t="n">
        <v>2</v>
      </c>
      <c r="F2473" s="1" t="n">
        <f aca="false">Y2473-X2473</f>
        <v>5</v>
      </c>
      <c r="G2473" s="1" t="n">
        <v>5</v>
      </c>
      <c r="H2473" s="3" t="s">
        <v>32</v>
      </c>
      <c r="I2473" s="3" t="s">
        <v>102</v>
      </c>
      <c r="J2473" s="3" t="s">
        <v>192</v>
      </c>
      <c r="K2473" s="2" t="str">
        <f aca="false">CONCATENATE(I2473," ",J2473)</f>
        <v>Agyneta allosubtilis</v>
      </c>
      <c r="L2473" s="3" t="n">
        <f aca="false">SUM(P2473:U2473)</f>
        <v>2</v>
      </c>
      <c r="M2473" s="11" t="n">
        <f aca="false">(L2473/(F2473*G2473)*25)*4</f>
        <v>8</v>
      </c>
      <c r="N2473" s="1" t="s">
        <v>30</v>
      </c>
      <c r="O2473" s="1" t="s">
        <v>31</v>
      </c>
      <c r="P2473" s="3" t="n">
        <v>2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f aca="false">SUM(P2473:Q2473)</f>
        <v>2</v>
      </c>
      <c r="W2473" s="3" t="n">
        <f aca="false">SUM(R2473:T2473)</f>
        <v>0</v>
      </c>
      <c r="X2473" s="22" t="n">
        <v>41793</v>
      </c>
      <c r="Y2473" s="22" t="n">
        <v>41798</v>
      </c>
    </row>
    <row r="2474" customFormat="false" ht="14.25" hidden="false" customHeight="false" outlineLevel="0" collapsed="false">
      <c r="A2474" s="1" t="n">
        <v>2014</v>
      </c>
      <c r="B2474" s="1" t="n">
        <v>1</v>
      </c>
      <c r="C2474" s="2" t="s">
        <v>50</v>
      </c>
      <c r="D2474" s="3" t="s">
        <v>158</v>
      </c>
      <c r="E2474" s="3" t="n">
        <v>2</v>
      </c>
      <c r="F2474" s="1" t="n">
        <f aca="false">Y2474-X2474</f>
        <v>5</v>
      </c>
      <c r="G2474" s="1" t="n">
        <v>5</v>
      </c>
      <c r="H2474" s="3" t="s">
        <v>32</v>
      </c>
      <c r="I2474" s="3" t="s">
        <v>57</v>
      </c>
      <c r="J2474" s="3" t="s">
        <v>38</v>
      </c>
      <c r="K2474" s="2" t="str">
        <f aca="false">CONCATENATE(I2474," ",J2474)</f>
        <v>Gen sp</v>
      </c>
      <c r="L2474" s="3" t="n">
        <f aca="false">SUM(P2474:U2474)</f>
        <v>1</v>
      </c>
      <c r="M2474" s="11" t="n">
        <f aca="false">(L2474/(F2474*G2474)*25)*4</f>
        <v>4</v>
      </c>
      <c r="N2474" s="1" t="s">
        <v>19</v>
      </c>
      <c r="O2474" s="1" t="s">
        <v>54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1</v>
      </c>
      <c r="U2474" s="3" t="n">
        <v>0</v>
      </c>
      <c r="V2474" s="3" t="n">
        <f aca="false">SUM(P2474:Q2474)</f>
        <v>0</v>
      </c>
      <c r="W2474" s="3" t="n">
        <f aca="false">SUM(R2474:T2474)</f>
        <v>1</v>
      </c>
      <c r="X2474" s="22" t="n">
        <v>41793</v>
      </c>
      <c r="Y2474" s="22" t="n">
        <v>41798</v>
      </c>
    </row>
    <row r="2475" customFormat="false" ht="14.25" hidden="false" customHeight="false" outlineLevel="0" collapsed="false">
      <c r="A2475" s="1" t="n">
        <v>2014</v>
      </c>
      <c r="B2475" s="1" t="n">
        <v>1</v>
      </c>
      <c r="C2475" s="2" t="s">
        <v>50</v>
      </c>
      <c r="D2475" s="3" t="s">
        <v>158</v>
      </c>
      <c r="E2475" s="3" t="n">
        <v>3</v>
      </c>
      <c r="F2475" s="1" t="n">
        <f aca="false">Y2475-X2475</f>
        <v>5</v>
      </c>
      <c r="G2475" s="1" t="n">
        <v>5</v>
      </c>
      <c r="H2475" s="3" t="s">
        <v>36</v>
      </c>
      <c r="I2475" s="3" t="s">
        <v>131</v>
      </c>
      <c r="J2475" s="3" t="s">
        <v>229</v>
      </c>
      <c r="K2475" s="2" t="str">
        <f aca="false">CONCATENATE(I2475," ",J2475)</f>
        <v>Xysticus emertoni</v>
      </c>
      <c r="L2475" s="3" t="n">
        <f aca="false">SUM(P2475:U2475)</f>
        <v>1</v>
      </c>
      <c r="M2475" s="11" t="n">
        <f aca="false">(L2475/(F2475*G2475)*25)*4</f>
        <v>4</v>
      </c>
      <c r="N2475" s="1" t="s">
        <v>30</v>
      </c>
      <c r="O2475" s="1" t="s">
        <v>31</v>
      </c>
      <c r="P2475" s="3" t="n">
        <v>1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f aca="false">SUM(P2475:Q2475)</f>
        <v>1</v>
      </c>
      <c r="W2475" s="3" t="n">
        <f aca="false">SUM(R2475:T2475)</f>
        <v>0</v>
      </c>
      <c r="X2475" s="22" t="n">
        <v>41793</v>
      </c>
      <c r="Y2475" s="22" t="n">
        <v>41798</v>
      </c>
    </row>
    <row r="2476" customFormat="false" ht="14.25" hidden="false" customHeight="false" outlineLevel="0" collapsed="false">
      <c r="A2476" s="1" t="n">
        <v>2014</v>
      </c>
      <c r="B2476" s="1" t="n">
        <v>1</v>
      </c>
      <c r="C2476" s="2" t="s">
        <v>50</v>
      </c>
      <c r="D2476" s="3" t="s">
        <v>158</v>
      </c>
      <c r="E2476" s="3" t="n">
        <v>3</v>
      </c>
      <c r="F2476" s="1" t="n">
        <f aca="false">Y2476-X2476</f>
        <v>5</v>
      </c>
      <c r="G2476" s="1" t="n">
        <v>5</v>
      </c>
      <c r="H2476" s="3" t="s">
        <v>36</v>
      </c>
      <c r="I2476" s="3" t="s">
        <v>131</v>
      </c>
      <c r="J2476" s="3" t="s">
        <v>133</v>
      </c>
      <c r="K2476" s="2" t="str">
        <f aca="false">CONCATENATE(I2476," ",J2476)</f>
        <v>Xysticus luctuosus</v>
      </c>
      <c r="L2476" s="3" t="n">
        <f aca="false">SUM(P2476:U2476)</f>
        <v>1</v>
      </c>
      <c r="M2476" s="11" t="n">
        <f aca="false">(L2476/(F2476*G2476)*25)*4</f>
        <v>4</v>
      </c>
      <c r="N2476" s="1" t="s">
        <v>30</v>
      </c>
      <c r="O2476" s="1" t="s">
        <v>31</v>
      </c>
      <c r="P2476" s="3" t="n">
        <v>1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f aca="false">SUM(P2476:Q2476)</f>
        <v>1</v>
      </c>
      <c r="W2476" s="3" t="n">
        <f aca="false">SUM(R2476:T2476)</f>
        <v>0</v>
      </c>
      <c r="X2476" s="22" t="n">
        <v>41793</v>
      </c>
      <c r="Y2476" s="22" t="n">
        <v>41798</v>
      </c>
    </row>
    <row r="2477" customFormat="false" ht="14.25" hidden="false" customHeight="false" outlineLevel="0" collapsed="false">
      <c r="A2477" s="1" t="n">
        <v>2014</v>
      </c>
      <c r="B2477" s="1" t="n">
        <v>1</v>
      </c>
      <c r="C2477" s="2" t="s">
        <v>50</v>
      </c>
      <c r="D2477" s="3" t="s">
        <v>158</v>
      </c>
      <c r="E2477" s="3" t="n">
        <v>3</v>
      </c>
      <c r="F2477" s="1" t="n">
        <f aca="false">Y2477-X2477</f>
        <v>5</v>
      </c>
      <c r="G2477" s="1" t="n">
        <v>5</v>
      </c>
      <c r="H2477" s="3" t="s">
        <v>36</v>
      </c>
      <c r="I2477" s="3" t="s">
        <v>37</v>
      </c>
      <c r="J2477" s="3" t="s">
        <v>75</v>
      </c>
      <c r="K2477" s="2" t="str">
        <f aca="false">CONCATENATE(I2477," ",J2477)</f>
        <v>Ozyptila praticola</v>
      </c>
      <c r="L2477" s="3" t="n">
        <f aca="false">SUM(P2477:U2477)</f>
        <v>1</v>
      </c>
      <c r="M2477" s="11" t="n">
        <f aca="false">(L2477/(F2477*G2477)*25)*4</f>
        <v>4</v>
      </c>
      <c r="N2477" s="1" t="s">
        <v>30</v>
      </c>
      <c r="O2477" s="1" t="s">
        <v>31</v>
      </c>
      <c r="P2477" s="3" t="n">
        <v>1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f aca="false">SUM(P2477:Q2477)</f>
        <v>1</v>
      </c>
      <c r="W2477" s="3" t="n">
        <f aca="false">SUM(R2477:T2477)</f>
        <v>0</v>
      </c>
      <c r="X2477" s="22" t="n">
        <v>41793</v>
      </c>
      <c r="Y2477" s="22" t="n">
        <v>41798</v>
      </c>
    </row>
    <row r="2478" customFormat="false" ht="14.25" hidden="false" customHeight="false" outlineLevel="0" collapsed="false">
      <c r="A2478" s="1" t="n">
        <v>2014</v>
      </c>
      <c r="B2478" s="1" t="n">
        <v>1</v>
      </c>
      <c r="C2478" s="2" t="s">
        <v>50</v>
      </c>
      <c r="D2478" s="3" t="s">
        <v>158</v>
      </c>
      <c r="E2478" s="3" t="n">
        <v>3</v>
      </c>
      <c r="F2478" s="1" t="n">
        <f aca="false">Y2478-X2478</f>
        <v>5</v>
      </c>
      <c r="G2478" s="1" t="n">
        <v>5</v>
      </c>
      <c r="H2478" s="3" t="s">
        <v>36</v>
      </c>
      <c r="I2478" s="3" t="s">
        <v>37</v>
      </c>
      <c r="J2478" s="3" t="s">
        <v>75</v>
      </c>
      <c r="K2478" s="2" t="str">
        <f aca="false">CONCATENATE(I2478," ",J2478)</f>
        <v>Ozyptila praticola</v>
      </c>
      <c r="L2478" s="3" t="n">
        <f aca="false">SUM(P2478:U2478)</f>
        <v>1</v>
      </c>
      <c r="M2478" s="11" t="n">
        <f aca="false">(L2478/(F2478*G2478)*25)*4</f>
        <v>4</v>
      </c>
      <c r="N2478" s="1" t="s">
        <v>30</v>
      </c>
      <c r="O2478" s="1" t="s">
        <v>35</v>
      </c>
      <c r="P2478" s="3" t="n">
        <v>0</v>
      </c>
      <c r="Q2478" s="3" t="n">
        <v>1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f aca="false">SUM(P2478:Q2478)</f>
        <v>1</v>
      </c>
      <c r="W2478" s="3" t="n">
        <f aca="false">SUM(R2478:T2478)</f>
        <v>0</v>
      </c>
      <c r="X2478" s="22" t="n">
        <v>41793</v>
      </c>
      <c r="Y2478" s="22" t="n">
        <v>41798</v>
      </c>
    </row>
    <row r="2479" customFormat="false" ht="14.25" hidden="false" customHeight="false" outlineLevel="0" collapsed="false">
      <c r="A2479" s="1" t="n">
        <v>2014</v>
      </c>
      <c r="B2479" s="1" t="n">
        <v>1</v>
      </c>
      <c r="C2479" s="2" t="s">
        <v>50</v>
      </c>
      <c r="D2479" s="3" t="s">
        <v>158</v>
      </c>
      <c r="E2479" s="3" t="n">
        <v>3</v>
      </c>
      <c r="F2479" s="1" t="n">
        <f aca="false">Y2479-X2479</f>
        <v>5</v>
      </c>
      <c r="G2479" s="1" t="n">
        <v>5</v>
      </c>
      <c r="H2479" s="3" t="s">
        <v>48</v>
      </c>
      <c r="I2479" s="3" t="s">
        <v>67</v>
      </c>
      <c r="J2479" s="3" t="s">
        <v>127</v>
      </c>
      <c r="K2479" s="2" t="str">
        <f aca="false">CONCATENATE(I2479," ",J2479)</f>
        <v>Pardosa lugubris</v>
      </c>
      <c r="L2479" s="3" t="n">
        <f aca="false">SUM(P2479:U2479)</f>
        <v>3</v>
      </c>
      <c r="M2479" s="11" t="n">
        <f aca="false">(L2479/(F2479*G2479)*25)*4</f>
        <v>12</v>
      </c>
      <c r="N2479" s="1" t="s">
        <v>30</v>
      </c>
      <c r="O2479" s="1" t="s">
        <v>31</v>
      </c>
      <c r="P2479" s="3" t="n">
        <v>3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f aca="false">SUM(P2479:Q2479)</f>
        <v>3</v>
      </c>
      <c r="W2479" s="3" t="n">
        <f aca="false">SUM(R2479:T2479)</f>
        <v>0</v>
      </c>
      <c r="X2479" s="22" t="n">
        <v>41793</v>
      </c>
      <c r="Y2479" s="22" t="n">
        <v>41798</v>
      </c>
    </row>
    <row r="2480" customFormat="false" ht="14.25" hidden="false" customHeight="false" outlineLevel="0" collapsed="false">
      <c r="A2480" s="1" t="n">
        <v>2014</v>
      </c>
      <c r="B2480" s="1" t="n">
        <v>1</v>
      </c>
      <c r="C2480" s="2" t="s">
        <v>50</v>
      </c>
      <c r="D2480" s="3" t="s">
        <v>158</v>
      </c>
      <c r="E2480" s="3" t="n">
        <v>3</v>
      </c>
      <c r="F2480" s="1" t="n">
        <f aca="false">Y2480-X2480</f>
        <v>5</v>
      </c>
      <c r="G2480" s="1" t="n">
        <v>5</v>
      </c>
      <c r="H2480" s="3" t="s">
        <v>48</v>
      </c>
      <c r="I2480" s="3" t="s">
        <v>67</v>
      </c>
      <c r="J2480" s="3" t="s">
        <v>127</v>
      </c>
      <c r="K2480" s="2" t="str">
        <f aca="false">CONCATENATE(I2480," ",J2480)</f>
        <v>Pardosa lugubris</v>
      </c>
      <c r="L2480" s="3" t="n">
        <f aca="false">SUM(P2480:U2480)</f>
        <v>4</v>
      </c>
      <c r="M2480" s="11" t="n">
        <f aca="false">(L2480/(F2480*G2480)*25)*4</f>
        <v>16</v>
      </c>
      <c r="N2480" s="1" t="s">
        <v>30</v>
      </c>
      <c r="O2480" s="1" t="s">
        <v>35</v>
      </c>
      <c r="P2480" s="3" t="n">
        <v>0</v>
      </c>
      <c r="Q2480" s="3" t="n">
        <v>4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f aca="false">SUM(P2480:Q2480)</f>
        <v>4</v>
      </c>
      <c r="W2480" s="3" t="n">
        <f aca="false">SUM(R2480:T2480)</f>
        <v>0</v>
      </c>
      <c r="X2480" s="22" t="n">
        <v>41793</v>
      </c>
      <c r="Y2480" s="22" t="n">
        <v>41798</v>
      </c>
    </row>
    <row r="2481" customFormat="false" ht="14.25" hidden="false" customHeight="false" outlineLevel="0" collapsed="false">
      <c r="A2481" s="1" t="n">
        <v>2014</v>
      </c>
      <c r="B2481" s="1" t="n">
        <v>1</v>
      </c>
      <c r="C2481" s="2" t="s">
        <v>50</v>
      </c>
      <c r="D2481" s="3" t="s">
        <v>158</v>
      </c>
      <c r="E2481" s="3" t="n">
        <v>3</v>
      </c>
      <c r="F2481" s="1" t="n">
        <f aca="false">Y2481-X2481</f>
        <v>5</v>
      </c>
      <c r="G2481" s="1" t="n">
        <v>5</v>
      </c>
      <c r="H2481" s="3" t="s">
        <v>48</v>
      </c>
      <c r="I2481" s="3" t="s">
        <v>49</v>
      </c>
      <c r="J2481" s="3" t="s">
        <v>130</v>
      </c>
      <c r="K2481" s="2" t="str">
        <f aca="false">CONCATENATE(I2481," ",J2481)</f>
        <v>Alopecosa aculeata</v>
      </c>
      <c r="L2481" s="3" t="n">
        <f aca="false">SUM(P2481:U2481)</f>
        <v>1</v>
      </c>
      <c r="M2481" s="11" t="n">
        <f aca="false">(L2481/(F2481*G2481)*25)*4</f>
        <v>4</v>
      </c>
      <c r="N2481" s="1" t="s">
        <v>30</v>
      </c>
      <c r="O2481" s="1" t="s">
        <v>31</v>
      </c>
      <c r="P2481" s="3" t="n">
        <v>1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f aca="false">SUM(P2481:Q2481)</f>
        <v>1</v>
      </c>
      <c r="W2481" s="3" t="n">
        <f aca="false">SUM(R2481:T2481)</f>
        <v>0</v>
      </c>
      <c r="X2481" s="22" t="n">
        <v>41793</v>
      </c>
      <c r="Y2481" s="22" t="n">
        <v>41798</v>
      </c>
    </row>
    <row r="2482" customFormat="false" ht="14.25" hidden="false" customHeight="false" outlineLevel="0" collapsed="false">
      <c r="A2482" s="1" t="n">
        <v>2014</v>
      </c>
      <c r="B2482" s="1" t="n">
        <v>1</v>
      </c>
      <c r="C2482" s="2" t="s">
        <v>50</v>
      </c>
      <c r="D2482" s="3" t="s">
        <v>158</v>
      </c>
      <c r="E2482" s="3" t="n">
        <v>3</v>
      </c>
      <c r="F2482" s="1" t="n">
        <f aca="false">Y2482-X2482</f>
        <v>5</v>
      </c>
      <c r="G2482" s="1" t="n">
        <v>5</v>
      </c>
      <c r="H2482" s="3" t="s">
        <v>48</v>
      </c>
      <c r="I2482" s="3" t="s">
        <v>49</v>
      </c>
      <c r="J2482" s="3" t="s">
        <v>104</v>
      </c>
      <c r="K2482" s="2" t="str">
        <f aca="false">CONCATENATE(I2482," ",J2482)</f>
        <v>Alopecosa taeniata</v>
      </c>
      <c r="L2482" s="3" t="n">
        <f aca="false">SUM(P2482:U2482)</f>
        <v>1</v>
      </c>
      <c r="M2482" s="11" t="n">
        <f aca="false">(L2482/(F2482*G2482)*25)*4</f>
        <v>4</v>
      </c>
      <c r="N2482" s="1" t="s">
        <v>30</v>
      </c>
      <c r="O2482" s="1" t="s">
        <v>35</v>
      </c>
      <c r="P2482" s="3" t="n">
        <v>0</v>
      </c>
      <c r="Q2482" s="3" t="n">
        <v>1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f aca="false">SUM(P2482:Q2482)</f>
        <v>1</v>
      </c>
      <c r="W2482" s="3" t="n">
        <f aca="false">SUM(R2482:T2482)</f>
        <v>0</v>
      </c>
      <c r="X2482" s="22" t="n">
        <v>41793</v>
      </c>
      <c r="Y2482" s="22" t="n">
        <v>41798</v>
      </c>
    </row>
    <row r="2483" customFormat="false" ht="14.25" hidden="false" customHeight="false" outlineLevel="0" collapsed="false">
      <c r="A2483" s="1" t="n">
        <v>2014</v>
      </c>
      <c r="B2483" s="1" t="n">
        <v>1</v>
      </c>
      <c r="C2483" s="2" t="s">
        <v>50</v>
      </c>
      <c r="D2483" s="3" t="s">
        <v>158</v>
      </c>
      <c r="E2483" s="3" t="n">
        <v>3</v>
      </c>
      <c r="F2483" s="1" t="n">
        <f aca="false">Y2483-X2483</f>
        <v>5</v>
      </c>
      <c r="G2483" s="1" t="n">
        <v>5</v>
      </c>
      <c r="H2483" s="3" t="s">
        <v>48</v>
      </c>
      <c r="I2483" s="3" t="s">
        <v>49</v>
      </c>
      <c r="J2483" s="3" t="s">
        <v>38</v>
      </c>
      <c r="K2483" s="2" t="str">
        <f aca="false">CONCATENATE(I2483," ",J2483)</f>
        <v>Alopecosa sp</v>
      </c>
      <c r="L2483" s="3" t="n">
        <f aca="false">SUM(P2483:U2483)</f>
        <v>2</v>
      </c>
      <c r="M2483" s="11" t="n">
        <f aca="false">(L2483/(F2483*G2483)*25)*4</f>
        <v>8</v>
      </c>
      <c r="N2483" s="1" t="s">
        <v>19</v>
      </c>
      <c r="O2483" s="1" t="s">
        <v>54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2</v>
      </c>
      <c r="U2483" s="3" t="n">
        <v>0</v>
      </c>
      <c r="V2483" s="3" t="n">
        <f aca="false">SUM(P2483:Q2483)</f>
        <v>0</v>
      </c>
      <c r="W2483" s="3" t="n">
        <f aca="false">SUM(R2483:T2483)</f>
        <v>2</v>
      </c>
      <c r="X2483" s="22" t="n">
        <v>41793</v>
      </c>
      <c r="Y2483" s="22" t="n">
        <v>41798</v>
      </c>
    </row>
    <row r="2484" customFormat="false" ht="14.25" hidden="false" customHeight="false" outlineLevel="0" collapsed="false">
      <c r="A2484" s="1" t="n">
        <v>2014</v>
      </c>
      <c r="B2484" s="1" t="n">
        <v>1</v>
      </c>
      <c r="C2484" s="2" t="s">
        <v>50</v>
      </c>
      <c r="D2484" s="3" t="s">
        <v>158</v>
      </c>
      <c r="E2484" s="3" t="n">
        <v>3</v>
      </c>
      <c r="F2484" s="1" t="n">
        <f aca="false">Y2484-X2484</f>
        <v>5</v>
      </c>
      <c r="G2484" s="1" t="n">
        <v>5</v>
      </c>
      <c r="H2484" s="3" t="s">
        <v>48</v>
      </c>
      <c r="I2484" s="3" t="s">
        <v>61</v>
      </c>
      <c r="J2484" s="3" t="s">
        <v>82</v>
      </c>
      <c r="K2484" s="2" t="str">
        <f aca="false">CONCATENATE(I2484," ",J2484)</f>
        <v>Trochosa terricola</v>
      </c>
      <c r="L2484" s="3" t="n">
        <f aca="false">SUM(P2484:U2484)</f>
        <v>1</v>
      </c>
      <c r="M2484" s="11" t="n">
        <f aca="false">(L2484/(F2484*G2484)*25)*4</f>
        <v>4</v>
      </c>
      <c r="N2484" s="1" t="s">
        <v>30</v>
      </c>
      <c r="O2484" s="1" t="s">
        <v>35</v>
      </c>
      <c r="P2484" s="3" t="n">
        <v>0</v>
      </c>
      <c r="Q2484" s="3" t="n">
        <v>1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f aca="false">SUM(P2484:Q2484)</f>
        <v>1</v>
      </c>
      <c r="W2484" s="3" t="n">
        <f aca="false">SUM(R2484:T2484)</f>
        <v>0</v>
      </c>
      <c r="X2484" s="22" t="n">
        <v>41793</v>
      </c>
      <c r="Y2484" s="22" t="n">
        <v>41798</v>
      </c>
    </row>
    <row r="2485" customFormat="false" ht="14.25" hidden="false" customHeight="false" outlineLevel="0" collapsed="false">
      <c r="A2485" s="1" t="n">
        <v>2014</v>
      </c>
      <c r="B2485" s="1" t="n">
        <v>1</v>
      </c>
      <c r="C2485" s="2" t="s">
        <v>50</v>
      </c>
      <c r="D2485" s="3" t="s">
        <v>158</v>
      </c>
      <c r="E2485" s="3" t="n">
        <v>3</v>
      </c>
      <c r="F2485" s="1" t="n">
        <f aca="false">Y2485-X2485</f>
        <v>5</v>
      </c>
      <c r="G2485" s="1" t="n">
        <v>5</v>
      </c>
      <c r="H2485" s="3" t="s">
        <v>72</v>
      </c>
      <c r="I2485" s="3" t="s">
        <v>86</v>
      </c>
      <c r="J2485" s="3" t="s">
        <v>87</v>
      </c>
      <c r="K2485" s="2" t="str">
        <f aca="false">CONCATENATE(I2485," ",J2485)</f>
        <v>Haplodrassus soerenseni</v>
      </c>
      <c r="L2485" s="3" t="n">
        <f aca="false">SUM(P2485:U2485)</f>
        <v>1</v>
      </c>
      <c r="M2485" s="11" t="n">
        <f aca="false">(L2485/(F2485*G2485)*25)*4</f>
        <v>4</v>
      </c>
      <c r="N2485" s="1" t="s">
        <v>30</v>
      </c>
      <c r="O2485" s="1" t="s">
        <v>35</v>
      </c>
      <c r="P2485" s="3" t="n">
        <v>0</v>
      </c>
      <c r="Q2485" s="3" t="n">
        <v>1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f aca="false">SUM(P2485:Q2485)</f>
        <v>1</v>
      </c>
      <c r="W2485" s="3" t="n">
        <f aca="false">SUM(R2485:T2485)</f>
        <v>0</v>
      </c>
      <c r="X2485" s="22" t="n">
        <v>41793</v>
      </c>
      <c r="Y2485" s="22" t="n">
        <v>41798</v>
      </c>
    </row>
    <row r="2486" customFormat="false" ht="14.25" hidden="false" customHeight="false" outlineLevel="0" collapsed="false">
      <c r="A2486" s="1" t="n">
        <v>2014</v>
      </c>
      <c r="B2486" s="1" t="n">
        <v>1</v>
      </c>
      <c r="C2486" s="2" t="s">
        <v>50</v>
      </c>
      <c r="D2486" s="3" t="s">
        <v>158</v>
      </c>
      <c r="E2486" s="3" t="n">
        <v>3</v>
      </c>
      <c r="F2486" s="1" t="n">
        <f aca="false">Y2486-X2486</f>
        <v>5</v>
      </c>
      <c r="G2486" s="1" t="n">
        <v>5</v>
      </c>
      <c r="H2486" s="3" t="s">
        <v>72</v>
      </c>
      <c r="I2486" s="3" t="s">
        <v>73</v>
      </c>
      <c r="J2486" s="3" t="s">
        <v>74</v>
      </c>
      <c r="K2486" s="2" t="str">
        <f aca="false">CONCATENATE(I2486," ",J2486)</f>
        <v>Zelotes subterraneus</v>
      </c>
      <c r="L2486" s="3" t="n">
        <f aca="false">SUM(P2486:U2486)</f>
        <v>1</v>
      </c>
      <c r="M2486" s="11" t="n">
        <f aca="false">(L2486/(F2486*G2486)*25)*4</f>
        <v>4</v>
      </c>
      <c r="N2486" s="1" t="s">
        <v>30</v>
      </c>
      <c r="O2486" s="1" t="s">
        <v>31</v>
      </c>
      <c r="P2486" s="3" t="n">
        <v>1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f aca="false">SUM(P2486:Q2486)</f>
        <v>1</v>
      </c>
      <c r="W2486" s="3" t="n">
        <f aca="false">SUM(R2486:T2486)</f>
        <v>0</v>
      </c>
      <c r="X2486" s="22" t="n">
        <v>41793</v>
      </c>
      <c r="Y2486" s="22" t="n">
        <v>41798</v>
      </c>
    </row>
    <row r="2487" customFormat="false" ht="14.25" hidden="false" customHeight="false" outlineLevel="0" collapsed="false">
      <c r="A2487" s="1" t="n">
        <v>2014</v>
      </c>
      <c r="B2487" s="1" t="n">
        <v>1</v>
      </c>
      <c r="C2487" s="2" t="s">
        <v>50</v>
      </c>
      <c r="D2487" s="3" t="s">
        <v>158</v>
      </c>
      <c r="E2487" s="3" t="n">
        <v>3</v>
      </c>
      <c r="F2487" s="1" t="n">
        <f aca="false">Y2487-X2487</f>
        <v>5</v>
      </c>
      <c r="G2487" s="1" t="n">
        <v>5</v>
      </c>
      <c r="H2487" s="3" t="s">
        <v>72</v>
      </c>
      <c r="I2487" s="3" t="s">
        <v>73</v>
      </c>
      <c r="J2487" s="3" t="s">
        <v>38</v>
      </c>
      <c r="K2487" s="2" t="str">
        <f aca="false">CONCATENATE(I2487," ",J2487)</f>
        <v>Zelotes sp</v>
      </c>
      <c r="L2487" s="3" t="n">
        <f aca="false">SUM(P2487:U2487)</f>
        <v>1</v>
      </c>
      <c r="M2487" s="11" t="n">
        <f aca="false">(L2487/(F2487*G2487)*25)*4</f>
        <v>4</v>
      </c>
      <c r="N2487" s="1" t="s">
        <v>19</v>
      </c>
      <c r="O2487" s="1" t="s">
        <v>31</v>
      </c>
      <c r="P2487" s="3" t="n">
        <v>0</v>
      </c>
      <c r="Q2487" s="3" t="n">
        <v>0</v>
      </c>
      <c r="R2487" s="3" t="n">
        <v>1</v>
      </c>
      <c r="S2487" s="3" t="n">
        <v>0</v>
      </c>
      <c r="T2487" s="3" t="n">
        <v>0</v>
      </c>
      <c r="U2487" s="3" t="n">
        <v>0</v>
      </c>
      <c r="V2487" s="3" t="n">
        <f aca="false">SUM(P2487:Q2487)</f>
        <v>0</v>
      </c>
      <c r="W2487" s="3" t="n">
        <f aca="false">SUM(R2487:T2487)</f>
        <v>1</v>
      </c>
      <c r="X2487" s="22" t="n">
        <v>41793</v>
      </c>
      <c r="Y2487" s="22" t="n">
        <v>41798</v>
      </c>
    </row>
    <row r="2488" customFormat="false" ht="14.25" hidden="false" customHeight="false" outlineLevel="0" collapsed="false">
      <c r="A2488" s="1" t="n">
        <v>2014</v>
      </c>
      <c r="B2488" s="1" t="n">
        <v>1</v>
      </c>
      <c r="C2488" s="2" t="s">
        <v>50</v>
      </c>
      <c r="D2488" s="3" t="s">
        <v>158</v>
      </c>
      <c r="E2488" s="3" t="n">
        <v>3</v>
      </c>
      <c r="F2488" s="1" t="n">
        <f aca="false">Y2488-X2488</f>
        <v>5</v>
      </c>
      <c r="G2488" s="1" t="n">
        <v>5</v>
      </c>
      <c r="H2488" s="3" t="s">
        <v>72</v>
      </c>
      <c r="I2488" s="3" t="s">
        <v>73</v>
      </c>
      <c r="J2488" s="3" t="s">
        <v>38</v>
      </c>
      <c r="K2488" s="2" t="str">
        <f aca="false">CONCATENATE(I2488," ",J2488)</f>
        <v>Zelotes sp</v>
      </c>
      <c r="L2488" s="3" t="n">
        <f aca="false">SUM(P2488:U2488)</f>
        <v>1</v>
      </c>
      <c r="M2488" s="11" t="n">
        <f aca="false">(L2488/(F2488*G2488)*25)*4</f>
        <v>4</v>
      </c>
      <c r="N2488" s="1" t="s">
        <v>19</v>
      </c>
      <c r="O2488" s="1" t="s">
        <v>54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1</v>
      </c>
      <c r="U2488" s="3" t="n">
        <v>0</v>
      </c>
      <c r="V2488" s="3" t="n">
        <f aca="false">SUM(P2488:Q2488)</f>
        <v>0</v>
      </c>
      <c r="W2488" s="3" t="n">
        <f aca="false">SUM(R2488:T2488)</f>
        <v>1</v>
      </c>
      <c r="X2488" s="22" t="n">
        <v>41793</v>
      </c>
      <c r="Y2488" s="22" t="n">
        <v>41798</v>
      </c>
    </row>
    <row r="2489" customFormat="false" ht="14.25" hidden="false" customHeight="false" outlineLevel="0" collapsed="false">
      <c r="A2489" s="1" t="n">
        <v>2014</v>
      </c>
      <c r="B2489" s="1" t="n">
        <v>1</v>
      </c>
      <c r="C2489" s="2" t="s">
        <v>50</v>
      </c>
      <c r="D2489" s="3" t="s">
        <v>158</v>
      </c>
      <c r="E2489" s="3" t="n">
        <v>3</v>
      </c>
      <c r="F2489" s="1" t="n">
        <f aca="false">Y2489-X2489</f>
        <v>5</v>
      </c>
      <c r="G2489" s="1" t="n">
        <v>5</v>
      </c>
      <c r="H2489" s="3" t="s">
        <v>32</v>
      </c>
      <c r="I2489" s="3" t="s">
        <v>169</v>
      </c>
      <c r="J2489" s="3" t="s">
        <v>170</v>
      </c>
      <c r="K2489" s="2" t="str">
        <f aca="false">CONCATENATE(I2489," ",J2489)</f>
        <v>Abacoproeces saltuum</v>
      </c>
      <c r="L2489" s="3" t="n">
        <f aca="false">SUM(P2489:U2489)</f>
        <v>1</v>
      </c>
      <c r="M2489" s="11" t="n">
        <f aca="false">(L2489/(F2489*G2489)*25)*4</f>
        <v>4</v>
      </c>
      <c r="N2489" s="1" t="s">
        <v>30</v>
      </c>
      <c r="O2489" s="1" t="s">
        <v>31</v>
      </c>
      <c r="P2489" s="3" t="n">
        <v>1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f aca="false">SUM(P2489:Q2489)</f>
        <v>1</v>
      </c>
      <c r="W2489" s="3" t="n">
        <f aca="false">SUM(R2489:T2489)</f>
        <v>0</v>
      </c>
      <c r="X2489" s="22" t="n">
        <v>41793</v>
      </c>
      <c r="Y2489" s="22" t="n">
        <v>41798</v>
      </c>
    </row>
    <row r="2490" customFormat="false" ht="14.25" hidden="false" customHeight="false" outlineLevel="0" collapsed="false">
      <c r="A2490" s="1" t="n">
        <v>2014</v>
      </c>
      <c r="B2490" s="1" t="n">
        <v>1</v>
      </c>
      <c r="C2490" s="2" t="s">
        <v>50</v>
      </c>
      <c r="D2490" s="3" t="s">
        <v>158</v>
      </c>
      <c r="E2490" s="3" t="n">
        <v>3</v>
      </c>
      <c r="F2490" s="1" t="n">
        <f aca="false">Y2490-X2490</f>
        <v>5</v>
      </c>
      <c r="G2490" s="1" t="n">
        <v>5</v>
      </c>
      <c r="H2490" s="3" t="s">
        <v>32</v>
      </c>
      <c r="I2490" s="3" t="s">
        <v>169</v>
      </c>
      <c r="J2490" s="3" t="s">
        <v>170</v>
      </c>
      <c r="K2490" s="2" t="str">
        <f aca="false">CONCATENATE(I2490," ",J2490)</f>
        <v>Abacoproeces saltuum</v>
      </c>
      <c r="L2490" s="3" t="n">
        <f aca="false">SUM(P2490:U2490)</f>
        <v>2</v>
      </c>
      <c r="M2490" s="11" t="n">
        <f aca="false">(L2490/(F2490*G2490)*25)*4</f>
        <v>8</v>
      </c>
      <c r="N2490" s="1" t="s">
        <v>30</v>
      </c>
      <c r="O2490" s="1" t="s">
        <v>35</v>
      </c>
      <c r="P2490" s="3" t="n">
        <v>0</v>
      </c>
      <c r="Q2490" s="3" t="n">
        <v>2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f aca="false">SUM(P2490:Q2490)</f>
        <v>2</v>
      </c>
      <c r="W2490" s="3" t="n">
        <f aca="false">SUM(R2490:T2490)</f>
        <v>0</v>
      </c>
      <c r="X2490" s="22" t="n">
        <v>41793</v>
      </c>
      <c r="Y2490" s="22" t="n">
        <v>41798</v>
      </c>
    </row>
    <row r="2491" customFormat="false" ht="14.25" hidden="false" customHeight="false" outlineLevel="0" collapsed="false">
      <c r="A2491" s="1" t="n">
        <v>2014</v>
      </c>
      <c r="B2491" s="1" t="n">
        <v>1</v>
      </c>
      <c r="C2491" s="2" t="s">
        <v>50</v>
      </c>
      <c r="D2491" s="3" t="s">
        <v>158</v>
      </c>
      <c r="E2491" s="3" t="n">
        <v>3</v>
      </c>
      <c r="F2491" s="1" t="n">
        <f aca="false">Y2491-X2491</f>
        <v>5</v>
      </c>
      <c r="G2491" s="1" t="n">
        <v>5</v>
      </c>
      <c r="H2491" s="3" t="s">
        <v>32</v>
      </c>
      <c r="I2491" s="3" t="s">
        <v>102</v>
      </c>
      <c r="J2491" s="3" t="s">
        <v>192</v>
      </c>
      <c r="K2491" s="2" t="str">
        <f aca="false">CONCATENATE(I2491," ",J2491)</f>
        <v>Agyneta allosubtilis</v>
      </c>
      <c r="L2491" s="3" t="n">
        <f aca="false">SUM(P2491:U2491)</f>
        <v>1</v>
      </c>
      <c r="M2491" s="11" t="n">
        <f aca="false">(L2491/(F2491*G2491)*25)*4</f>
        <v>4</v>
      </c>
      <c r="N2491" s="1" t="s">
        <v>30</v>
      </c>
      <c r="O2491" s="1" t="s">
        <v>31</v>
      </c>
      <c r="P2491" s="3" t="n">
        <v>1</v>
      </c>
      <c r="Q2491" s="3" t="n">
        <v>0</v>
      </c>
      <c r="R2491" s="3" t="n">
        <v>0</v>
      </c>
      <c r="S2491" s="3" t="n">
        <v>0</v>
      </c>
      <c r="T2491" s="3" t="n">
        <v>0</v>
      </c>
      <c r="U2491" s="3" t="n">
        <v>0</v>
      </c>
      <c r="V2491" s="3" t="n">
        <f aca="false">SUM(P2491:Q2491)</f>
        <v>1</v>
      </c>
      <c r="W2491" s="3" t="n">
        <f aca="false">SUM(R2491:T2491)</f>
        <v>0</v>
      </c>
      <c r="X2491" s="22" t="n">
        <v>41793</v>
      </c>
      <c r="Y2491" s="22" t="n">
        <v>41798</v>
      </c>
    </row>
    <row r="2492" customFormat="false" ht="14.25" hidden="false" customHeight="false" outlineLevel="0" collapsed="false">
      <c r="A2492" s="1" t="n">
        <v>2014</v>
      </c>
      <c r="B2492" s="1" t="n">
        <v>1</v>
      </c>
      <c r="C2492" s="2" t="s">
        <v>50</v>
      </c>
      <c r="D2492" s="3" t="s">
        <v>158</v>
      </c>
      <c r="E2492" s="3" t="n">
        <v>3</v>
      </c>
      <c r="F2492" s="1" t="n">
        <f aca="false">Y2492-X2492</f>
        <v>5</v>
      </c>
      <c r="G2492" s="1" t="n">
        <v>5</v>
      </c>
      <c r="H2492" s="3" t="s">
        <v>32</v>
      </c>
      <c r="I2492" s="3" t="s">
        <v>96</v>
      </c>
      <c r="J2492" s="3" t="s">
        <v>97</v>
      </c>
      <c r="K2492" s="2" t="str">
        <f aca="false">CONCATENATE(I2492," ",J2492)</f>
        <v>Diplocephalus picinus</v>
      </c>
      <c r="L2492" s="3" t="n">
        <f aca="false">SUM(P2492:U2492)</f>
        <v>1</v>
      </c>
      <c r="M2492" s="11" t="n">
        <f aca="false">(L2492/(F2492*G2492)*25)*4</f>
        <v>4</v>
      </c>
      <c r="N2492" s="1" t="s">
        <v>30</v>
      </c>
      <c r="O2492" s="1" t="s">
        <v>31</v>
      </c>
      <c r="P2492" s="3" t="n">
        <v>1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f aca="false">SUM(P2492:Q2492)</f>
        <v>1</v>
      </c>
      <c r="W2492" s="3" t="n">
        <f aca="false">SUM(R2492:T2492)</f>
        <v>0</v>
      </c>
      <c r="X2492" s="22" t="n">
        <v>41793</v>
      </c>
      <c r="Y2492" s="22" t="n">
        <v>41798</v>
      </c>
    </row>
    <row r="2493" customFormat="false" ht="14.25" hidden="false" customHeight="false" outlineLevel="0" collapsed="false">
      <c r="A2493" s="1" t="n">
        <v>2014</v>
      </c>
      <c r="B2493" s="1" t="n">
        <v>1</v>
      </c>
      <c r="C2493" s="2" t="s">
        <v>50</v>
      </c>
      <c r="D2493" s="3" t="s">
        <v>158</v>
      </c>
      <c r="E2493" s="3" t="n">
        <v>3</v>
      </c>
      <c r="F2493" s="1" t="n">
        <f aca="false">Y2493-X2493</f>
        <v>5</v>
      </c>
      <c r="G2493" s="1" t="n">
        <v>5</v>
      </c>
      <c r="H2493" s="3" t="s">
        <v>32</v>
      </c>
      <c r="I2493" s="3" t="s">
        <v>57</v>
      </c>
      <c r="J2493" s="3" t="s">
        <v>38</v>
      </c>
      <c r="K2493" s="2" t="str">
        <f aca="false">CONCATENATE(I2493," ",J2493)</f>
        <v>Gen sp</v>
      </c>
      <c r="L2493" s="3" t="n">
        <f aca="false">SUM(P2493:U2493)</f>
        <v>1</v>
      </c>
      <c r="M2493" s="11" t="n">
        <f aca="false">(L2493/(F2493*G2493)*25)*4</f>
        <v>4</v>
      </c>
      <c r="N2493" s="1" t="s">
        <v>19</v>
      </c>
      <c r="O2493" s="1" t="s">
        <v>31</v>
      </c>
      <c r="P2493" s="3" t="n">
        <v>0</v>
      </c>
      <c r="Q2493" s="3" t="n">
        <v>0</v>
      </c>
      <c r="R2493" s="3" t="n">
        <v>1</v>
      </c>
      <c r="S2493" s="3" t="n">
        <v>0</v>
      </c>
      <c r="T2493" s="3" t="n">
        <v>0</v>
      </c>
      <c r="U2493" s="3" t="n">
        <v>0</v>
      </c>
      <c r="V2493" s="3" t="n">
        <f aca="false">SUM(P2493:Q2493)</f>
        <v>0</v>
      </c>
      <c r="W2493" s="3" t="n">
        <f aca="false">SUM(R2493:T2493)</f>
        <v>1</v>
      </c>
      <c r="X2493" s="22" t="n">
        <v>41793</v>
      </c>
      <c r="Y2493" s="22" t="n">
        <v>41798</v>
      </c>
    </row>
    <row r="2494" customFormat="false" ht="14.25" hidden="false" customHeight="false" outlineLevel="0" collapsed="false">
      <c r="A2494" s="1" t="n">
        <v>2014</v>
      </c>
      <c r="B2494" s="1" t="n">
        <v>1</v>
      </c>
      <c r="C2494" s="2" t="s">
        <v>50</v>
      </c>
      <c r="D2494" s="3" t="s">
        <v>158</v>
      </c>
      <c r="E2494" s="3" t="n">
        <v>2</v>
      </c>
      <c r="F2494" s="1" t="n">
        <f aca="false">Y2494-X2494</f>
        <v>5</v>
      </c>
      <c r="G2494" s="1" t="n">
        <v>5</v>
      </c>
      <c r="H2494" s="3" t="s">
        <v>48</v>
      </c>
      <c r="I2494" s="3" t="s">
        <v>49</v>
      </c>
      <c r="J2494" s="3" t="s">
        <v>119</v>
      </c>
      <c r="K2494" s="2" t="str">
        <f aca="false">CONCATENATE(I2494," ",J2494)</f>
        <v>Alopecosa sulzeri</v>
      </c>
      <c r="L2494" s="3" t="n">
        <f aca="false">SUM(P2494:U2494)</f>
        <v>1</v>
      </c>
      <c r="M2494" s="11" t="n">
        <f aca="false">(L2494/(F2494*G2494)*25)*4</f>
        <v>4</v>
      </c>
      <c r="N2494" s="1" t="s">
        <v>30</v>
      </c>
      <c r="O2494" s="1" t="s">
        <v>31</v>
      </c>
      <c r="P2494" s="3" t="n">
        <v>1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f aca="false">SUM(P2494:Q2494)</f>
        <v>1</v>
      </c>
      <c r="W2494" s="3" t="n">
        <f aca="false">SUM(R2494:T2494)</f>
        <v>0</v>
      </c>
      <c r="X2494" s="22" t="n">
        <v>41793</v>
      </c>
      <c r="Y2494" s="22" t="n">
        <v>41798</v>
      </c>
    </row>
    <row r="2495" customFormat="false" ht="14.25" hidden="false" customHeight="false" outlineLevel="0" collapsed="false">
      <c r="A2495" s="1" t="n">
        <v>2014</v>
      </c>
      <c r="B2495" s="1" t="n">
        <v>1</v>
      </c>
      <c r="C2495" s="2" t="s">
        <v>50</v>
      </c>
      <c r="D2495" s="3" t="s">
        <v>158</v>
      </c>
      <c r="E2495" s="3" t="n">
        <v>2</v>
      </c>
      <c r="F2495" s="1" t="n">
        <f aca="false">Y2495-X2495</f>
        <v>5</v>
      </c>
      <c r="G2495" s="1" t="n">
        <v>5</v>
      </c>
      <c r="H2495" s="3" t="s">
        <v>48</v>
      </c>
      <c r="I2495" s="3" t="s">
        <v>49</v>
      </c>
      <c r="J2495" s="3" t="s">
        <v>130</v>
      </c>
      <c r="K2495" s="2" t="str">
        <f aca="false">CONCATENATE(I2495," ",J2495)</f>
        <v>Alopecosa aculeata</v>
      </c>
      <c r="L2495" s="3" t="n">
        <f aca="false">SUM(P2495:U2495)</f>
        <v>1</v>
      </c>
      <c r="M2495" s="11" t="n">
        <f aca="false">(L2495/(F2495*G2495)*25)*4</f>
        <v>4</v>
      </c>
      <c r="N2495" s="1" t="s">
        <v>30</v>
      </c>
      <c r="O2495" s="1" t="s">
        <v>31</v>
      </c>
      <c r="P2495" s="3" t="n">
        <v>1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f aca="false">SUM(P2495:Q2495)</f>
        <v>1</v>
      </c>
      <c r="W2495" s="3" t="n">
        <f aca="false">SUM(R2495:T2495)</f>
        <v>0</v>
      </c>
      <c r="X2495" s="22" t="n">
        <v>41793</v>
      </c>
      <c r="Y2495" s="22" t="n">
        <v>41798</v>
      </c>
    </row>
    <row r="2496" customFormat="false" ht="14.25" hidden="false" customHeight="false" outlineLevel="0" collapsed="false">
      <c r="A2496" s="1" t="n">
        <v>2014</v>
      </c>
      <c r="B2496" s="1" t="n">
        <v>1</v>
      </c>
      <c r="C2496" s="2" t="s">
        <v>50</v>
      </c>
      <c r="D2496" s="3" t="s">
        <v>158</v>
      </c>
      <c r="E2496" s="3" t="n">
        <v>2</v>
      </c>
      <c r="F2496" s="1" t="n">
        <f aca="false">Y2496-X2496</f>
        <v>5</v>
      </c>
      <c r="G2496" s="1" t="n">
        <v>5</v>
      </c>
      <c r="H2496" s="3" t="s">
        <v>48</v>
      </c>
      <c r="I2496" s="3" t="s">
        <v>49</v>
      </c>
      <c r="J2496" s="3" t="s">
        <v>104</v>
      </c>
      <c r="K2496" s="2" t="str">
        <f aca="false">CONCATENATE(I2496," ",J2496)</f>
        <v>Alopecosa taeniata</v>
      </c>
      <c r="L2496" s="3" t="n">
        <f aca="false">SUM(P2496:U2496)</f>
        <v>3</v>
      </c>
      <c r="M2496" s="11" t="n">
        <f aca="false">(L2496/(F2496*G2496)*25)*4</f>
        <v>12</v>
      </c>
      <c r="N2496" s="1" t="s">
        <v>30</v>
      </c>
      <c r="O2496" s="1" t="s">
        <v>31</v>
      </c>
      <c r="P2496" s="3" t="n">
        <v>3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f aca="false">SUM(P2496:Q2496)</f>
        <v>3</v>
      </c>
      <c r="W2496" s="3" t="n">
        <f aca="false">SUM(R2496:T2496)</f>
        <v>0</v>
      </c>
      <c r="X2496" s="22" t="n">
        <v>41793</v>
      </c>
      <c r="Y2496" s="22" t="n">
        <v>41798</v>
      </c>
    </row>
    <row r="2497" customFormat="false" ht="14.25" hidden="false" customHeight="false" outlineLevel="0" collapsed="false">
      <c r="A2497" s="1" t="n">
        <v>2014</v>
      </c>
      <c r="B2497" s="1" t="n">
        <v>1</v>
      </c>
      <c r="C2497" s="2" t="s">
        <v>50</v>
      </c>
      <c r="D2497" s="3" t="s">
        <v>158</v>
      </c>
      <c r="E2497" s="3" t="n">
        <v>2</v>
      </c>
      <c r="F2497" s="1" t="n">
        <f aca="false">Y2497-X2497</f>
        <v>5</v>
      </c>
      <c r="G2497" s="1" t="n">
        <v>5</v>
      </c>
      <c r="H2497" s="3" t="s">
        <v>48</v>
      </c>
      <c r="I2497" s="3" t="s">
        <v>49</v>
      </c>
      <c r="J2497" s="3" t="s">
        <v>104</v>
      </c>
      <c r="K2497" s="2" t="str">
        <f aca="false">CONCATENATE(I2497," ",J2497)</f>
        <v>Alopecosa taeniata</v>
      </c>
      <c r="L2497" s="3" t="n">
        <f aca="false">SUM(P2497:U2497)</f>
        <v>1</v>
      </c>
      <c r="M2497" s="11" t="n">
        <f aca="false">(L2497/(F2497*G2497)*25)*4</f>
        <v>4</v>
      </c>
      <c r="N2497" s="1" t="s">
        <v>30</v>
      </c>
      <c r="O2497" s="1" t="s">
        <v>35</v>
      </c>
      <c r="P2497" s="3" t="n">
        <v>0</v>
      </c>
      <c r="Q2497" s="3" t="n">
        <v>1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f aca="false">SUM(P2497:Q2497)</f>
        <v>1</v>
      </c>
      <c r="W2497" s="3" t="n">
        <f aca="false">SUM(R2497:T2497)</f>
        <v>0</v>
      </c>
      <c r="X2497" s="22" t="n">
        <v>41793</v>
      </c>
      <c r="Y2497" s="22" t="n">
        <v>41798</v>
      </c>
    </row>
    <row r="2498" customFormat="false" ht="14.25" hidden="false" customHeight="false" outlineLevel="0" collapsed="false">
      <c r="A2498" s="1" t="n">
        <v>2014</v>
      </c>
      <c r="B2498" s="1" t="n">
        <v>1</v>
      </c>
      <c r="C2498" s="2" t="s">
        <v>50</v>
      </c>
      <c r="D2498" s="3" t="s">
        <v>158</v>
      </c>
      <c r="E2498" s="3" t="n">
        <v>2</v>
      </c>
      <c r="F2498" s="1" t="n">
        <f aca="false">Y2498-X2498</f>
        <v>5</v>
      </c>
      <c r="G2498" s="1" t="n">
        <v>5</v>
      </c>
      <c r="H2498" s="3" t="s">
        <v>48</v>
      </c>
      <c r="I2498" s="3" t="s">
        <v>61</v>
      </c>
      <c r="J2498" s="3" t="s">
        <v>82</v>
      </c>
      <c r="K2498" s="2" t="str">
        <f aca="false">CONCATENATE(I2498," ",J2498)</f>
        <v>Trochosa terricola</v>
      </c>
      <c r="L2498" s="3" t="n">
        <f aca="false">SUM(P2498:U2498)</f>
        <v>1</v>
      </c>
      <c r="M2498" s="11" t="n">
        <f aca="false">(L2498/(F2498*G2498)*25)*4</f>
        <v>4</v>
      </c>
      <c r="N2498" s="1" t="s">
        <v>19</v>
      </c>
      <c r="O2498" s="1" t="s">
        <v>35</v>
      </c>
      <c r="P2498" s="3" t="n">
        <v>0</v>
      </c>
      <c r="Q2498" s="3" t="n">
        <v>0</v>
      </c>
      <c r="R2498" s="3" t="n">
        <v>0</v>
      </c>
      <c r="S2498" s="3" t="n">
        <v>1</v>
      </c>
      <c r="T2498" s="3" t="n">
        <v>0</v>
      </c>
      <c r="U2498" s="3" t="n">
        <v>0</v>
      </c>
      <c r="V2498" s="3" t="n">
        <f aca="false">SUM(P2498:Q2498)</f>
        <v>0</v>
      </c>
      <c r="W2498" s="3" t="n">
        <f aca="false">SUM(R2498:T2498)</f>
        <v>1</v>
      </c>
      <c r="X2498" s="22" t="n">
        <v>41793</v>
      </c>
      <c r="Y2498" s="22" t="n">
        <v>41798</v>
      </c>
    </row>
    <row r="2499" customFormat="false" ht="14.25" hidden="false" customHeight="false" outlineLevel="0" collapsed="false">
      <c r="A2499" s="1" t="n">
        <v>2014</v>
      </c>
      <c r="B2499" s="1" t="n">
        <v>1</v>
      </c>
      <c r="C2499" s="2" t="s">
        <v>50</v>
      </c>
      <c r="D2499" s="3" t="s">
        <v>158</v>
      </c>
      <c r="E2499" s="3" t="n">
        <v>2</v>
      </c>
      <c r="F2499" s="1" t="n">
        <f aca="false">Y2499-X2499</f>
        <v>5</v>
      </c>
      <c r="G2499" s="1" t="n">
        <v>5</v>
      </c>
      <c r="H2499" s="3" t="s">
        <v>48</v>
      </c>
      <c r="I2499" s="3" t="s">
        <v>57</v>
      </c>
      <c r="J2499" s="3" t="s">
        <v>38</v>
      </c>
      <c r="K2499" s="2" t="str">
        <f aca="false">CONCATENATE(I2499," ",J2499)</f>
        <v>Gen sp</v>
      </c>
      <c r="L2499" s="3" t="n">
        <f aca="false">SUM(P2499:U2499)</f>
        <v>1</v>
      </c>
      <c r="M2499" s="11" t="n">
        <f aca="false">(L2499/(F2499*G2499)*25)*4</f>
        <v>4</v>
      </c>
      <c r="N2499" s="1" t="s">
        <v>19</v>
      </c>
      <c r="O2499" s="1" t="s">
        <v>31</v>
      </c>
      <c r="P2499" s="3" t="n">
        <v>0</v>
      </c>
      <c r="Q2499" s="3" t="n">
        <v>0</v>
      </c>
      <c r="R2499" s="3" t="n">
        <v>1</v>
      </c>
      <c r="S2499" s="3" t="n">
        <v>0</v>
      </c>
      <c r="T2499" s="3" t="n">
        <v>0</v>
      </c>
      <c r="U2499" s="3" t="n">
        <v>0</v>
      </c>
      <c r="V2499" s="3" t="n">
        <f aca="false">SUM(P2499:Q2499)</f>
        <v>0</v>
      </c>
      <c r="W2499" s="3" t="n">
        <f aca="false">SUM(R2499:T2499)</f>
        <v>1</v>
      </c>
      <c r="X2499" s="22" t="n">
        <v>41793</v>
      </c>
      <c r="Y2499" s="22" t="n">
        <v>41798</v>
      </c>
    </row>
    <row r="2500" customFormat="false" ht="14.25" hidden="false" customHeight="false" outlineLevel="0" collapsed="false">
      <c r="A2500" s="1" t="n">
        <v>2014</v>
      </c>
      <c r="B2500" s="1" t="n">
        <v>1</v>
      </c>
      <c r="C2500" s="2" t="s">
        <v>50</v>
      </c>
      <c r="D2500" s="3" t="s">
        <v>158</v>
      </c>
      <c r="E2500" s="3" t="n">
        <v>2</v>
      </c>
      <c r="F2500" s="1" t="n">
        <f aca="false">Y2500-X2500</f>
        <v>5</v>
      </c>
      <c r="G2500" s="1" t="n">
        <v>5</v>
      </c>
      <c r="H2500" s="3" t="s">
        <v>72</v>
      </c>
      <c r="I2500" s="3" t="s">
        <v>73</v>
      </c>
      <c r="J2500" s="3" t="s">
        <v>74</v>
      </c>
      <c r="K2500" s="2" t="str">
        <f aca="false">CONCATENATE(I2500," ",J2500)</f>
        <v>Zelotes subterraneus</v>
      </c>
      <c r="L2500" s="3" t="n">
        <f aca="false">SUM(P2500:U2500)</f>
        <v>1</v>
      </c>
      <c r="M2500" s="11" t="n">
        <f aca="false">(L2500/(F2500*G2500)*25)*4</f>
        <v>4</v>
      </c>
      <c r="N2500" s="1" t="s">
        <v>30</v>
      </c>
      <c r="O2500" s="1" t="s">
        <v>31</v>
      </c>
      <c r="P2500" s="3" t="n">
        <v>1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f aca="false">SUM(P2500:Q2500)</f>
        <v>1</v>
      </c>
      <c r="W2500" s="3" t="n">
        <f aca="false">SUM(R2500:T2500)</f>
        <v>0</v>
      </c>
      <c r="X2500" s="22" t="n">
        <v>41793</v>
      </c>
      <c r="Y2500" s="22" t="n">
        <v>41798</v>
      </c>
    </row>
    <row r="2501" customFormat="false" ht="14.25" hidden="false" customHeight="false" outlineLevel="0" collapsed="false">
      <c r="A2501" s="1" t="n">
        <v>2014</v>
      </c>
      <c r="B2501" s="1" t="n">
        <v>1</v>
      </c>
      <c r="C2501" s="2" t="s">
        <v>50</v>
      </c>
      <c r="D2501" s="3" t="s">
        <v>158</v>
      </c>
      <c r="E2501" s="3" t="n">
        <v>2</v>
      </c>
      <c r="F2501" s="1" t="n">
        <f aca="false">Y2501-X2501</f>
        <v>5</v>
      </c>
      <c r="G2501" s="1" t="n">
        <v>5</v>
      </c>
      <c r="H2501" s="3" t="s">
        <v>48</v>
      </c>
      <c r="I2501" s="3" t="s">
        <v>67</v>
      </c>
      <c r="J2501" s="3" t="s">
        <v>127</v>
      </c>
      <c r="K2501" s="2" t="str">
        <f aca="false">CONCATENATE(I2501," ",J2501)</f>
        <v>Pardosa lugubris</v>
      </c>
      <c r="L2501" s="3" t="n">
        <f aca="false">SUM(P2501:U2501)</f>
        <v>5</v>
      </c>
      <c r="M2501" s="11" t="n">
        <f aca="false">(L2501/(F2501*G2501)*25)*4</f>
        <v>20</v>
      </c>
      <c r="N2501" s="1" t="s">
        <v>30</v>
      </c>
      <c r="O2501" s="1" t="s">
        <v>31</v>
      </c>
      <c r="P2501" s="3" t="n">
        <v>5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f aca="false">SUM(P2501:Q2501)</f>
        <v>5</v>
      </c>
      <c r="W2501" s="3" t="n">
        <f aca="false">SUM(R2501:T2501)</f>
        <v>0</v>
      </c>
      <c r="X2501" s="22" t="n">
        <v>41793</v>
      </c>
      <c r="Y2501" s="22" t="n">
        <v>41798</v>
      </c>
    </row>
    <row r="2502" customFormat="false" ht="14.25" hidden="false" customHeight="false" outlineLevel="0" collapsed="false">
      <c r="A2502" s="1" t="n">
        <v>2014</v>
      </c>
      <c r="B2502" s="1" t="n">
        <v>1</v>
      </c>
      <c r="C2502" s="2" t="s">
        <v>50</v>
      </c>
      <c r="D2502" s="3" t="s">
        <v>158</v>
      </c>
      <c r="E2502" s="3" t="n">
        <v>2</v>
      </c>
      <c r="F2502" s="1" t="n">
        <f aca="false">Y2502-X2502</f>
        <v>5</v>
      </c>
      <c r="G2502" s="1" t="n">
        <v>5</v>
      </c>
      <c r="H2502" s="3" t="s">
        <v>48</v>
      </c>
      <c r="I2502" s="3" t="s">
        <v>67</v>
      </c>
      <c r="J2502" s="3" t="s">
        <v>127</v>
      </c>
      <c r="K2502" s="2" t="str">
        <f aca="false">CONCATENATE(I2502," ",J2502)</f>
        <v>Pardosa lugubris</v>
      </c>
      <c r="L2502" s="3" t="n">
        <f aca="false">SUM(P2502:U2502)</f>
        <v>1</v>
      </c>
      <c r="M2502" s="11" t="n">
        <f aca="false">(L2502/(F2502*G2502)*25)*4</f>
        <v>4</v>
      </c>
      <c r="N2502" s="1" t="s">
        <v>30</v>
      </c>
      <c r="O2502" s="1" t="s">
        <v>35</v>
      </c>
      <c r="P2502" s="3" t="n">
        <v>0</v>
      </c>
      <c r="Q2502" s="3" t="n">
        <v>1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f aca="false">SUM(P2502:Q2502)</f>
        <v>1</v>
      </c>
      <c r="W2502" s="3" t="n">
        <f aca="false">SUM(R2502:T2502)</f>
        <v>0</v>
      </c>
      <c r="X2502" s="22" t="n">
        <v>41793</v>
      </c>
      <c r="Y2502" s="22" t="n">
        <v>41798</v>
      </c>
    </row>
    <row r="2503" customFormat="false" ht="14.25" hidden="false" customHeight="false" outlineLevel="0" collapsed="false">
      <c r="A2503" s="1" t="n">
        <v>2014</v>
      </c>
      <c r="B2503" s="1" t="n">
        <v>1</v>
      </c>
      <c r="C2503" s="2" t="s">
        <v>50</v>
      </c>
      <c r="D2503" s="3" t="s">
        <v>158</v>
      </c>
      <c r="E2503" s="3" t="n">
        <v>2</v>
      </c>
      <c r="F2503" s="1" t="n">
        <f aca="false">Y2503-X2503</f>
        <v>5</v>
      </c>
      <c r="G2503" s="1" t="n">
        <v>5</v>
      </c>
      <c r="H2503" s="3" t="s">
        <v>48</v>
      </c>
      <c r="I2503" s="3" t="s">
        <v>61</v>
      </c>
      <c r="J2503" s="3" t="s">
        <v>38</v>
      </c>
      <c r="K2503" s="2" t="str">
        <f aca="false">CONCATENATE(I2503," ",J2503)</f>
        <v>Trochosa sp</v>
      </c>
      <c r="L2503" s="3" t="n">
        <f aca="false">SUM(P2503:U2503)</f>
        <v>1</v>
      </c>
      <c r="M2503" s="11" t="n">
        <f aca="false">(L2503/(F2503*G2503)*25)*4</f>
        <v>4</v>
      </c>
      <c r="N2503" s="1" t="s">
        <v>19</v>
      </c>
      <c r="O2503" s="1" t="s">
        <v>54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1</v>
      </c>
      <c r="U2503" s="3" t="n">
        <v>0</v>
      </c>
      <c r="V2503" s="3" t="n">
        <f aca="false">SUM(P2503:Q2503)</f>
        <v>0</v>
      </c>
      <c r="W2503" s="3" t="n">
        <f aca="false">SUM(R2503:T2503)</f>
        <v>1</v>
      </c>
      <c r="X2503" s="22" t="n">
        <v>41793</v>
      </c>
      <c r="Y2503" s="22" t="n">
        <v>41798</v>
      </c>
    </row>
    <row r="2504" customFormat="false" ht="14.25" hidden="false" customHeight="false" outlineLevel="0" collapsed="false">
      <c r="A2504" s="1" t="n">
        <v>2014</v>
      </c>
      <c r="B2504" s="1" t="n">
        <v>1</v>
      </c>
      <c r="C2504" s="2" t="s">
        <v>50</v>
      </c>
      <c r="D2504" s="3" t="s">
        <v>158</v>
      </c>
      <c r="E2504" s="3" t="n">
        <v>2</v>
      </c>
      <c r="F2504" s="1" t="n">
        <f aca="false">Y2504-X2504</f>
        <v>5</v>
      </c>
      <c r="G2504" s="1" t="n">
        <v>5</v>
      </c>
      <c r="H2504" s="3" t="s">
        <v>36</v>
      </c>
      <c r="I2504" s="3" t="s">
        <v>131</v>
      </c>
      <c r="J2504" s="3" t="s">
        <v>38</v>
      </c>
      <c r="K2504" s="2" t="str">
        <f aca="false">CONCATENATE(I2504," ",J2504)</f>
        <v>Xysticus sp</v>
      </c>
      <c r="L2504" s="3" t="n">
        <f aca="false">SUM(P2504:U2504)</f>
        <v>1</v>
      </c>
      <c r="M2504" s="11" t="n">
        <f aca="false">(L2504/(F2504*G2504)*25)*4</f>
        <v>4</v>
      </c>
      <c r="N2504" s="1" t="s">
        <v>19</v>
      </c>
      <c r="O2504" s="1" t="s">
        <v>54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1</v>
      </c>
      <c r="U2504" s="3" t="n">
        <v>0</v>
      </c>
      <c r="V2504" s="3" t="n">
        <f aca="false">SUM(P2504:Q2504)</f>
        <v>0</v>
      </c>
      <c r="W2504" s="3" t="n">
        <f aca="false">SUM(R2504:T2504)</f>
        <v>1</v>
      </c>
      <c r="X2504" s="22" t="n">
        <v>41793</v>
      </c>
      <c r="Y2504" s="22" t="n">
        <v>41798</v>
      </c>
    </row>
    <row r="2505" customFormat="false" ht="14.25" hidden="false" customHeight="false" outlineLevel="0" collapsed="false">
      <c r="A2505" s="1" t="n">
        <v>2014</v>
      </c>
      <c r="B2505" s="1" t="n">
        <v>1</v>
      </c>
      <c r="C2505" s="2" t="s">
        <v>50</v>
      </c>
      <c r="D2505" s="3" t="s">
        <v>158</v>
      </c>
      <c r="E2505" s="3" t="n">
        <v>2</v>
      </c>
      <c r="F2505" s="1" t="n">
        <f aca="false">Y2505-X2505</f>
        <v>5</v>
      </c>
      <c r="G2505" s="1" t="n">
        <v>5</v>
      </c>
      <c r="H2505" s="3" t="s">
        <v>48</v>
      </c>
      <c r="I2505" s="3" t="s">
        <v>67</v>
      </c>
      <c r="J2505" s="3" t="s">
        <v>38</v>
      </c>
      <c r="K2505" s="2" t="str">
        <f aca="false">CONCATENATE(I2505," ",J2505)</f>
        <v>Pardosa sp</v>
      </c>
      <c r="L2505" s="3" t="n">
        <f aca="false">SUM(P2505:U2505)</f>
        <v>1</v>
      </c>
      <c r="M2505" s="11" t="n">
        <f aca="false">(L2505/(F2505*G2505)*25)*4</f>
        <v>4</v>
      </c>
      <c r="N2505" s="1" t="s">
        <v>19</v>
      </c>
      <c r="O2505" s="1" t="s">
        <v>54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1</v>
      </c>
      <c r="U2505" s="3" t="n">
        <v>0</v>
      </c>
      <c r="V2505" s="3" t="n">
        <f aca="false">SUM(P2505:Q2505)</f>
        <v>0</v>
      </c>
      <c r="W2505" s="3" t="n">
        <f aca="false">SUM(R2505:T2505)</f>
        <v>1</v>
      </c>
      <c r="X2505" s="22" t="n">
        <v>41793</v>
      </c>
      <c r="Y2505" s="22" t="n">
        <v>41798</v>
      </c>
    </row>
    <row r="2506" customFormat="false" ht="14.25" hidden="false" customHeight="false" outlineLevel="0" collapsed="false">
      <c r="A2506" s="1" t="n">
        <v>2014</v>
      </c>
      <c r="B2506" s="1" t="n">
        <v>1</v>
      </c>
      <c r="C2506" s="2" t="s">
        <v>50</v>
      </c>
      <c r="D2506" s="3" t="s">
        <v>158</v>
      </c>
      <c r="E2506" s="3" t="n">
        <v>2</v>
      </c>
      <c r="F2506" s="1" t="n">
        <f aca="false">Y2506-X2506</f>
        <v>5</v>
      </c>
      <c r="G2506" s="1" t="n">
        <v>5</v>
      </c>
      <c r="H2506" s="3" t="s">
        <v>27</v>
      </c>
      <c r="I2506" s="3" t="s">
        <v>28</v>
      </c>
      <c r="J2506" s="3" t="s">
        <v>29</v>
      </c>
      <c r="K2506" s="2" t="str">
        <f aca="false">CONCATENATE(I2506," ",J2506)</f>
        <v>Robertus lividus</v>
      </c>
      <c r="L2506" s="3" t="n">
        <f aca="false">SUM(P2506:U2506)</f>
        <v>1</v>
      </c>
      <c r="M2506" s="11" t="n">
        <f aca="false">(L2506/(F2506*G2506)*25)*4</f>
        <v>4</v>
      </c>
      <c r="N2506" s="1" t="s">
        <v>30</v>
      </c>
      <c r="O2506" s="1" t="s">
        <v>31</v>
      </c>
      <c r="P2506" s="3" t="n">
        <v>1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f aca="false">SUM(P2506:Q2506)</f>
        <v>1</v>
      </c>
      <c r="W2506" s="3" t="n">
        <f aca="false">SUM(R2506:T2506)</f>
        <v>0</v>
      </c>
      <c r="X2506" s="22" t="n">
        <v>41793</v>
      </c>
      <c r="Y2506" s="22" t="n">
        <v>41798</v>
      </c>
    </row>
    <row r="2507" customFormat="false" ht="14.25" hidden="false" customHeight="false" outlineLevel="0" collapsed="false">
      <c r="A2507" s="1" t="n">
        <v>2014</v>
      </c>
      <c r="B2507" s="1" t="n">
        <v>1</v>
      </c>
      <c r="C2507" s="2" t="s">
        <v>50</v>
      </c>
      <c r="D2507" s="3" t="s">
        <v>158</v>
      </c>
      <c r="E2507" s="3" t="n">
        <v>2</v>
      </c>
      <c r="F2507" s="1" t="n">
        <f aca="false">Y2507-X2507</f>
        <v>5</v>
      </c>
      <c r="G2507" s="1" t="n">
        <v>5</v>
      </c>
      <c r="H2507" s="3" t="s">
        <v>32</v>
      </c>
      <c r="I2507" s="3" t="s">
        <v>169</v>
      </c>
      <c r="J2507" s="3" t="s">
        <v>170</v>
      </c>
      <c r="K2507" s="2" t="str">
        <f aca="false">CONCATENATE(I2507," ",J2507)</f>
        <v>Abacoproeces saltuum</v>
      </c>
      <c r="L2507" s="3" t="n">
        <f aca="false">SUM(P2507:U2507)</f>
        <v>1</v>
      </c>
      <c r="M2507" s="11" t="n">
        <f aca="false">(L2507/(F2507*G2507)*25)*4</f>
        <v>4</v>
      </c>
      <c r="N2507" s="1" t="s">
        <v>30</v>
      </c>
      <c r="O2507" s="1" t="s">
        <v>31</v>
      </c>
      <c r="P2507" s="3" t="n">
        <v>1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f aca="false">SUM(P2507:Q2507)</f>
        <v>1</v>
      </c>
      <c r="W2507" s="3" t="n">
        <f aca="false">SUM(R2507:T2507)</f>
        <v>0</v>
      </c>
      <c r="X2507" s="22" t="n">
        <v>41793</v>
      </c>
      <c r="Y2507" s="22" t="n">
        <v>41798</v>
      </c>
    </row>
    <row r="2508" customFormat="false" ht="14.25" hidden="false" customHeight="false" outlineLevel="0" collapsed="false">
      <c r="A2508" s="1" t="n">
        <v>2014</v>
      </c>
      <c r="B2508" s="1" t="n">
        <v>1</v>
      </c>
      <c r="C2508" s="2" t="s">
        <v>50</v>
      </c>
      <c r="D2508" s="3" t="s">
        <v>158</v>
      </c>
      <c r="E2508" s="3" t="n">
        <v>2</v>
      </c>
      <c r="F2508" s="1" t="n">
        <f aca="false">Y2508-X2508</f>
        <v>5</v>
      </c>
      <c r="G2508" s="1" t="n">
        <v>5</v>
      </c>
      <c r="H2508" s="3" t="s">
        <v>32</v>
      </c>
      <c r="I2508" s="3" t="s">
        <v>169</v>
      </c>
      <c r="J2508" s="3" t="s">
        <v>170</v>
      </c>
      <c r="K2508" s="2" t="str">
        <f aca="false">CONCATENATE(I2508," ",J2508)</f>
        <v>Abacoproeces saltuum</v>
      </c>
      <c r="L2508" s="3" t="n">
        <f aca="false">SUM(P2508:U2508)</f>
        <v>1</v>
      </c>
      <c r="M2508" s="11" t="n">
        <f aca="false">(L2508/(F2508*G2508)*25)*4</f>
        <v>4</v>
      </c>
      <c r="N2508" s="1" t="s">
        <v>30</v>
      </c>
      <c r="O2508" s="1" t="s">
        <v>35</v>
      </c>
      <c r="P2508" s="3" t="n">
        <v>0</v>
      </c>
      <c r="Q2508" s="3" t="n">
        <v>1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f aca="false">SUM(P2508:Q2508)</f>
        <v>1</v>
      </c>
      <c r="W2508" s="3" t="n">
        <f aca="false">SUM(R2508:T2508)</f>
        <v>0</v>
      </c>
      <c r="X2508" s="22" t="n">
        <v>41793</v>
      </c>
      <c r="Y2508" s="22" t="n">
        <v>41798</v>
      </c>
    </row>
    <row r="2509" customFormat="false" ht="14.25" hidden="false" customHeight="false" outlineLevel="0" collapsed="false">
      <c r="A2509" s="1" t="n">
        <v>2014</v>
      </c>
      <c r="B2509" s="1" t="n">
        <v>1</v>
      </c>
      <c r="C2509" s="2" t="s">
        <v>50</v>
      </c>
      <c r="D2509" s="3" t="s">
        <v>158</v>
      </c>
      <c r="E2509" s="3" t="n">
        <v>2</v>
      </c>
      <c r="F2509" s="1" t="n">
        <f aca="false">Y2509-X2509</f>
        <v>5</v>
      </c>
      <c r="G2509" s="1" t="n">
        <v>5</v>
      </c>
      <c r="H2509" s="3" t="s">
        <v>32</v>
      </c>
      <c r="I2509" s="3" t="s">
        <v>96</v>
      </c>
      <c r="J2509" s="3" t="s">
        <v>97</v>
      </c>
      <c r="K2509" s="2" t="str">
        <f aca="false">CONCATENATE(I2509," ",J2509)</f>
        <v>Diplocephalus picinus</v>
      </c>
      <c r="L2509" s="3" t="n">
        <f aca="false">SUM(P2509:U2509)</f>
        <v>3</v>
      </c>
      <c r="M2509" s="11" t="n">
        <f aca="false">(L2509/(F2509*G2509)*25)*4</f>
        <v>12</v>
      </c>
      <c r="N2509" s="1" t="s">
        <v>30</v>
      </c>
      <c r="O2509" s="1" t="s">
        <v>31</v>
      </c>
      <c r="P2509" s="3" t="n">
        <v>3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f aca="false">SUM(P2509:Q2509)</f>
        <v>3</v>
      </c>
      <c r="W2509" s="3" t="n">
        <f aca="false">SUM(R2509:T2509)</f>
        <v>0</v>
      </c>
      <c r="X2509" s="22" t="n">
        <v>41793</v>
      </c>
      <c r="Y2509" s="22" t="n">
        <v>41798</v>
      </c>
    </row>
    <row r="2510" customFormat="false" ht="14.25" hidden="false" customHeight="false" outlineLevel="0" collapsed="false">
      <c r="A2510" s="1" t="n">
        <v>2014</v>
      </c>
      <c r="B2510" s="1" t="n">
        <v>1</v>
      </c>
      <c r="C2510" s="2" t="s">
        <v>50</v>
      </c>
      <c r="D2510" s="3" t="s">
        <v>158</v>
      </c>
      <c r="E2510" s="3" t="n">
        <v>2</v>
      </c>
      <c r="F2510" s="1" t="n">
        <f aca="false">Y2510-X2510</f>
        <v>5</v>
      </c>
      <c r="G2510" s="1" t="n">
        <v>5</v>
      </c>
      <c r="H2510" s="3" t="s">
        <v>32</v>
      </c>
      <c r="I2510" s="3" t="s">
        <v>55</v>
      </c>
      <c r="J2510" s="3" t="s">
        <v>56</v>
      </c>
      <c r="K2510" s="2" t="str">
        <f aca="false">CONCATENATE(I2510," ",J2510)</f>
        <v>Maro minutus</v>
      </c>
      <c r="L2510" s="3" t="n">
        <f aca="false">SUM(P2510:U2510)</f>
        <v>1</v>
      </c>
      <c r="M2510" s="11" t="n">
        <f aca="false">(L2510/(F2510*G2510)*25)*4</f>
        <v>4</v>
      </c>
      <c r="N2510" s="1" t="s">
        <v>30</v>
      </c>
      <c r="O2510" s="1" t="s">
        <v>31</v>
      </c>
      <c r="P2510" s="3" t="n">
        <v>1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f aca="false">SUM(P2510:Q2510)</f>
        <v>1</v>
      </c>
      <c r="W2510" s="3" t="n">
        <f aca="false">SUM(R2510:T2510)</f>
        <v>0</v>
      </c>
      <c r="X2510" s="22" t="n">
        <v>41793</v>
      </c>
      <c r="Y2510" s="22" t="n">
        <v>41798</v>
      </c>
    </row>
    <row r="2511" customFormat="false" ht="14.25" hidden="false" customHeight="false" outlineLevel="0" collapsed="false">
      <c r="A2511" s="1" t="n">
        <v>2014</v>
      </c>
      <c r="B2511" s="1" t="n">
        <v>1</v>
      </c>
      <c r="C2511" s="2" t="s">
        <v>50</v>
      </c>
      <c r="D2511" s="3" t="s">
        <v>158</v>
      </c>
      <c r="E2511" s="3" t="n">
        <v>2</v>
      </c>
      <c r="F2511" s="1" t="n">
        <f aca="false">Y2511-X2511</f>
        <v>5</v>
      </c>
      <c r="G2511" s="1" t="n">
        <v>5</v>
      </c>
      <c r="H2511" s="3" t="s">
        <v>244</v>
      </c>
      <c r="I2511" s="3" t="s">
        <v>245</v>
      </c>
      <c r="J2511" s="3" t="s">
        <v>246</v>
      </c>
      <c r="K2511" s="2" t="str">
        <f aca="false">CONCATENATE(I2511," ",J2511)</f>
        <v>Titanoeca Spominima</v>
      </c>
      <c r="L2511" s="3" t="n">
        <f aca="false">SUM(P2511:U2511)</f>
        <v>1</v>
      </c>
      <c r="M2511" s="11" t="n">
        <f aca="false">(L2511/(F2511*G2511)*25)*4</f>
        <v>4</v>
      </c>
      <c r="N2511" s="1" t="s">
        <v>30</v>
      </c>
      <c r="O2511" s="1" t="s">
        <v>31</v>
      </c>
      <c r="P2511" s="3" t="n">
        <v>1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f aca="false">SUM(P2511:Q2511)</f>
        <v>1</v>
      </c>
      <c r="W2511" s="3" t="n">
        <f aca="false">SUM(R2511:T2511)</f>
        <v>0</v>
      </c>
      <c r="X2511" s="22" t="n">
        <v>41793</v>
      </c>
      <c r="Y2511" s="22" t="n">
        <v>41798</v>
      </c>
    </row>
    <row r="2512" customFormat="false" ht="14.25" hidden="false" customHeight="false" outlineLevel="0" collapsed="false">
      <c r="A2512" s="1" t="n">
        <v>2014</v>
      </c>
      <c r="B2512" s="1" t="n">
        <v>1</v>
      </c>
      <c r="C2512" s="2" t="s">
        <v>50</v>
      </c>
      <c r="D2512" s="3" t="s">
        <v>158</v>
      </c>
      <c r="E2512" s="3" t="n">
        <v>2</v>
      </c>
      <c r="F2512" s="1" t="n">
        <f aca="false">Y2512-X2512</f>
        <v>5</v>
      </c>
      <c r="G2512" s="1" t="n">
        <v>5</v>
      </c>
      <c r="H2512" s="3" t="s">
        <v>48</v>
      </c>
      <c r="I2512" s="3" t="s">
        <v>67</v>
      </c>
      <c r="J2512" s="3" t="s">
        <v>127</v>
      </c>
      <c r="K2512" s="2" t="str">
        <f aca="false">CONCATENATE(I2512," ",J2512)</f>
        <v>Pardosa lugubris</v>
      </c>
      <c r="L2512" s="3" t="n">
        <f aca="false">SUM(P2512:U2512)</f>
        <v>7</v>
      </c>
      <c r="M2512" s="11" t="n">
        <f aca="false">(L2512/(F2512*G2512)*25)*4</f>
        <v>28</v>
      </c>
      <c r="N2512" s="1" t="s">
        <v>30</v>
      </c>
      <c r="O2512" s="1" t="s">
        <v>31</v>
      </c>
      <c r="P2512" s="3" t="n">
        <v>7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f aca="false">SUM(P2512:Q2512)</f>
        <v>7</v>
      </c>
      <c r="W2512" s="3" t="n">
        <f aca="false">SUM(R2512:T2512)</f>
        <v>0</v>
      </c>
      <c r="X2512" s="22" t="n">
        <v>41793</v>
      </c>
      <c r="Y2512" s="22" t="n">
        <v>41798</v>
      </c>
    </row>
    <row r="2513" customFormat="false" ht="14.25" hidden="false" customHeight="false" outlineLevel="0" collapsed="false">
      <c r="A2513" s="1" t="n">
        <v>2014</v>
      </c>
      <c r="B2513" s="1" t="n">
        <v>1</v>
      </c>
      <c r="C2513" s="2" t="s">
        <v>50</v>
      </c>
      <c r="D2513" s="3" t="s">
        <v>158</v>
      </c>
      <c r="E2513" s="3" t="n">
        <v>2</v>
      </c>
      <c r="F2513" s="1" t="n">
        <f aca="false">Y2513-X2513</f>
        <v>5</v>
      </c>
      <c r="G2513" s="1" t="n">
        <v>5</v>
      </c>
      <c r="H2513" s="3" t="s">
        <v>48</v>
      </c>
      <c r="I2513" s="3" t="s">
        <v>67</v>
      </c>
      <c r="J2513" s="3" t="s">
        <v>127</v>
      </c>
      <c r="K2513" s="2" t="str">
        <f aca="false">CONCATENATE(I2513," ",J2513)</f>
        <v>Pardosa lugubris</v>
      </c>
      <c r="L2513" s="3" t="n">
        <f aca="false">SUM(P2513:U2513)</f>
        <v>1</v>
      </c>
      <c r="M2513" s="11" t="n">
        <f aca="false">(L2513/(F2513*G2513)*25)*4</f>
        <v>4</v>
      </c>
      <c r="N2513" s="1" t="s">
        <v>30</v>
      </c>
      <c r="O2513" s="1" t="s">
        <v>35</v>
      </c>
      <c r="P2513" s="3" t="n">
        <v>0</v>
      </c>
      <c r="Q2513" s="3" t="n">
        <v>1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f aca="false">SUM(P2513:Q2513)</f>
        <v>1</v>
      </c>
      <c r="W2513" s="3" t="n">
        <f aca="false">SUM(R2513:T2513)</f>
        <v>0</v>
      </c>
      <c r="X2513" s="22" t="n">
        <v>41793</v>
      </c>
      <c r="Y2513" s="22" t="n">
        <v>41798</v>
      </c>
    </row>
    <row r="2514" customFormat="false" ht="14.25" hidden="false" customHeight="false" outlineLevel="0" collapsed="false">
      <c r="A2514" s="1" t="n">
        <v>2014</v>
      </c>
      <c r="B2514" s="1" t="n">
        <v>1</v>
      </c>
      <c r="C2514" s="2" t="s">
        <v>50</v>
      </c>
      <c r="D2514" s="3" t="s">
        <v>158</v>
      </c>
      <c r="E2514" s="3" t="n">
        <v>2</v>
      </c>
      <c r="F2514" s="1" t="n">
        <f aca="false">Y2514-X2514</f>
        <v>5</v>
      </c>
      <c r="G2514" s="1" t="n">
        <v>5</v>
      </c>
      <c r="H2514" s="3" t="s">
        <v>72</v>
      </c>
      <c r="I2514" s="3" t="s">
        <v>73</v>
      </c>
      <c r="J2514" s="3" t="s">
        <v>38</v>
      </c>
      <c r="K2514" s="2" t="str">
        <f aca="false">CONCATENATE(I2514," ",J2514)</f>
        <v>Zelotes sp</v>
      </c>
      <c r="L2514" s="3" t="n">
        <f aca="false">SUM(P2514:U2514)</f>
        <v>1</v>
      </c>
      <c r="M2514" s="11" t="n">
        <f aca="false">(L2514/(F2514*G2514)*25)*4</f>
        <v>4</v>
      </c>
      <c r="N2514" s="1" t="s">
        <v>19</v>
      </c>
      <c r="O2514" s="1" t="s">
        <v>35</v>
      </c>
      <c r="P2514" s="3" t="n">
        <v>0</v>
      </c>
      <c r="Q2514" s="3" t="n">
        <v>0</v>
      </c>
      <c r="R2514" s="3" t="n">
        <v>0</v>
      </c>
      <c r="S2514" s="3" t="n">
        <v>1</v>
      </c>
      <c r="T2514" s="3" t="n">
        <v>0</v>
      </c>
      <c r="U2514" s="3" t="n">
        <v>0</v>
      </c>
      <c r="V2514" s="3" t="n">
        <f aca="false">SUM(P2514:Q2514)</f>
        <v>0</v>
      </c>
      <c r="W2514" s="3" t="n">
        <f aca="false">SUM(R2514:T2514)</f>
        <v>1</v>
      </c>
      <c r="X2514" s="22" t="n">
        <v>41793</v>
      </c>
      <c r="Y2514" s="22" t="n">
        <v>41798</v>
      </c>
    </row>
    <row r="2515" customFormat="false" ht="14.25" hidden="false" customHeight="false" outlineLevel="0" collapsed="false">
      <c r="A2515" s="1" t="n">
        <v>2014</v>
      </c>
      <c r="B2515" s="1" t="n">
        <v>1</v>
      </c>
      <c r="C2515" s="2" t="s">
        <v>50</v>
      </c>
      <c r="D2515" s="3" t="s">
        <v>158</v>
      </c>
      <c r="E2515" s="3" t="n">
        <v>2</v>
      </c>
      <c r="F2515" s="1" t="n">
        <f aca="false">Y2515-X2515</f>
        <v>5</v>
      </c>
      <c r="G2515" s="1" t="n">
        <v>5</v>
      </c>
      <c r="H2515" s="3" t="s">
        <v>48</v>
      </c>
      <c r="I2515" s="3" t="s">
        <v>49</v>
      </c>
      <c r="J2515" s="3" t="s">
        <v>104</v>
      </c>
      <c r="K2515" s="2" t="str">
        <f aca="false">CONCATENATE(I2515," ",J2515)</f>
        <v>Alopecosa taeniata</v>
      </c>
      <c r="L2515" s="3" t="n">
        <f aca="false">SUM(P2515:U2515)</f>
        <v>2</v>
      </c>
      <c r="M2515" s="11" t="n">
        <f aca="false">(L2515/(F2515*G2515)*25)*4</f>
        <v>8</v>
      </c>
      <c r="N2515" s="1" t="s">
        <v>30</v>
      </c>
      <c r="O2515" s="1" t="s">
        <v>31</v>
      </c>
      <c r="P2515" s="3" t="n">
        <v>2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f aca="false">SUM(P2515:Q2515)</f>
        <v>2</v>
      </c>
      <c r="W2515" s="3" t="n">
        <f aca="false">SUM(R2515:T2515)</f>
        <v>0</v>
      </c>
      <c r="X2515" s="22" t="n">
        <v>41793</v>
      </c>
      <c r="Y2515" s="22" t="n">
        <v>41798</v>
      </c>
    </row>
    <row r="2516" customFormat="false" ht="14.25" hidden="false" customHeight="false" outlineLevel="0" collapsed="false">
      <c r="A2516" s="1" t="n">
        <v>2014</v>
      </c>
      <c r="B2516" s="1" t="n">
        <v>1</v>
      </c>
      <c r="C2516" s="2" t="s">
        <v>50</v>
      </c>
      <c r="D2516" s="3" t="s">
        <v>158</v>
      </c>
      <c r="E2516" s="3" t="n">
        <v>2</v>
      </c>
      <c r="F2516" s="1" t="n">
        <f aca="false">Y2516-X2516</f>
        <v>5</v>
      </c>
      <c r="G2516" s="1" t="n">
        <v>5</v>
      </c>
      <c r="H2516" s="3" t="s">
        <v>36</v>
      </c>
      <c r="I2516" s="3" t="s">
        <v>131</v>
      </c>
      <c r="J2516" s="3" t="s">
        <v>133</v>
      </c>
      <c r="K2516" s="2" t="str">
        <f aca="false">CONCATENATE(I2516," ",J2516)</f>
        <v>Xysticus luctuosus</v>
      </c>
      <c r="L2516" s="3" t="n">
        <f aca="false">SUM(P2516:U2516)</f>
        <v>2</v>
      </c>
      <c r="M2516" s="11" t="n">
        <f aca="false">(L2516/(F2516*G2516)*25)*4</f>
        <v>8</v>
      </c>
      <c r="N2516" s="1" t="s">
        <v>30</v>
      </c>
      <c r="O2516" s="1" t="s">
        <v>31</v>
      </c>
      <c r="P2516" s="3" t="n">
        <v>2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f aca="false">SUM(P2516:Q2516)</f>
        <v>2</v>
      </c>
      <c r="W2516" s="3" t="n">
        <f aca="false">SUM(R2516:T2516)</f>
        <v>0</v>
      </c>
      <c r="X2516" s="22" t="n">
        <v>41793</v>
      </c>
      <c r="Y2516" s="22" t="n">
        <v>41798</v>
      </c>
    </row>
    <row r="2517" customFormat="false" ht="14.25" hidden="false" customHeight="false" outlineLevel="0" collapsed="false">
      <c r="A2517" s="1" t="n">
        <v>2014</v>
      </c>
      <c r="B2517" s="1" t="n">
        <v>1</v>
      </c>
      <c r="C2517" s="2" t="s">
        <v>50</v>
      </c>
      <c r="D2517" s="3" t="s">
        <v>158</v>
      </c>
      <c r="E2517" s="3" t="n">
        <v>2</v>
      </c>
      <c r="F2517" s="1" t="n">
        <f aca="false">Y2517-X2517</f>
        <v>5</v>
      </c>
      <c r="G2517" s="1" t="n">
        <v>5</v>
      </c>
      <c r="H2517" s="3" t="s">
        <v>27</v>
      </c>
      <c r="I2517" s="3" t="s">
        <v>28</v>
      </c>
      <c r="J2517" s="3" t="s">
        <v>29</v>
      </c>
      <c r="K2517" s="2" t="str">
        <f aca="false">CONCATENATE(I2517," ",J2517)</f>
        <v>Robertus lividus</v>
      </c>
      <c r="L2517" s="3" t="n">
        <f aca="false">SUM(P2517:U2517)</f>
        <v>1</v>
      </c>
      <c r="M2517" s="11" t="n">
        <f aca="false">(L2517/(F2517*G2517)*25)*4</f>
        <v>4</v>
      </c>
      <c r="N2517" s="1" t="s">
        <v>30</v>
      </c>
      <c r="O2517" s="1" t="s">
        <v>35</v>
      </c>
      <c r="P2517" s="3" t="n">
        <v>0</v>
      </c>
      <c r="Q2517" s="3" t="n">
        <v>1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f aca="false">SUM(P2517:Q2517)</f>
        <v>1</v>
      </c>
      <c r="W2517" s="3" t="n">
        <f aca="false">SUM(R2517:T2517)</f>
        <v>0</v>
      </c>
      <c r="X2517" s="22" t="n">
        <v>41793</v>
      </c>
      <c r="Y2517" s="22" t="n">
        <v>41798</v>
      </c>
    </row>
    <row r="2518" customFormat="false" ht="14.25" hidden="false" customHeight="false" outlineLevel="0" collapsed="false">
      <c r="A2518" s="1" t="n">
        <v>2014</v>
      </c>
      <c r="B2518" s="1" t="n">
        <v>1</v>
      </c>
      <c r="C2518" s="2" t="s">
        <v>50</v>
      </c>
      <c r="D2518" s="3" t="s">
        <v>158</v>
      </c>
      <c r="E2518" s="3" t="n">
        <v>2</v>
      </c>
      <c r="F2518" s="1" t="n">
        <f aca="false">Y2518-X2518</f>
        <v>5</v>
      </c>
      <c r="G2518" s="1" t="n">
        <v>5</v>
      </c>
      <c r="H2518" s="3" t="s">
        <v>32</v>
      </c>
      <c r="I2518" s="3" t="s">
        <v>96</v>
      </c>
      <c r="J2518" s="3" t="s">
        <v>97</v>
      </c>
      <c r="K2518" s="2" t="str">
        <f aca="false">CONCATENATE(I2518," ",J2518)</f>
        <v>Diplocephalus picinus</v>
      </c>
      <c r="L2518" s="3" t="n">
        <f aca="false">SUM(P2518:U2518)</f>
        <v>1</v>
      </c>
      <c r="M2518" s="11" t="n">
        <f aca="false">(L2518/(F2518*G2518)*25)*4</f>
        <v>4</v>
      </c>
      <c r="N2518" s="1" t="s">
        <v>30</v>
      </c>
      <c r="O2518" s="1" t="s">
        <v>31</v>
      </c>
      <c r="P2518" s="3" t="n">
        <v>1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f aca="false">SUM(P2518:Q2518)</f>
        <v>1</v>
      </c>
      <c r="W2518" s="3" t="n">
        <f aca="false">SUM(R2518:T2518)</f>
        <v>0</v>
      </c>
      <c r="X2518" s="22" t="n">
        <v>41793</v>
      </c>
      <c r="Y2518" s="22" t="n">
        <v>41798</v>
      </c>
    </row>
    <row r="2519" customFormat="false" ht="14.25" hidden="false" customHeight="false" outlineLevel="0" collapsed="false">
      <c r="A2519" s="1" t="n">
        <v>2014</v>
      </c>
      <c r="B2519" s="1" t="n">
        <v>1</v>
      </c>
      <c r="C2519" s="2" t="s">
        <v>50</v>
      </c>
      <c r="D2519" s="3" t="s">
        <v>158</v>
      </c>
      <c r="E2519" s="3" t="n">
        <v>2</v>
      </c>
      <c r="F2519" s="1" t="n">
        <f aca="false">Y2519-X2519</f>
        <v>5</v>
      </c>
      <c r="G2519" s="1" t="n">
        <v>5</v>
      </c>
      <c r="H2519" s="3" t="s">
        <v>32</v>
      </c>
      <c r="I2519" s="3" t="s">
        <v>154</v>
      </c>
      <c r="J2519" s="3" t="s">
        <v>155</v>
      </c>
      <c r="K2519" s="2" t="str">
        <f aca="false">CONCATENATE(I2519," ",J2519)</f>
        <v>Pocadicnemis pumila</v>
      </c>
      <c r="L2519" s="3" t="n">
        <f aca="false">SUM(P2519:U2519)</f>
        <v>1</v>
      </c>
      <c r="M2519" s="11" t="n">
        <f aca="false">(L2519/(F2519*G2519)*25)*4</f>
        <v>4</v>
      </c>
      <c r="N2519" s="1" t="s">
        <v>30</v>
      </c>
      <c r="O2519" s="1" t="s">
        <v>31</v>
      </c>
      <c r="P2519" s="3" t="n">
        <v>1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f aca="false">SUM(P2519:Q2519)</f>
        <v>1</v>
      </c>
      <c r="W2519" s="3" t="n">
        <f aca="false">SUM(R2519:T2519)</f>
        <v>0</v>
      </c>
      <c r="X2519" s="22" t="n">
        <v>41793</v>
      </c>
      <c r="Y2519" s="22" t="n">
        <v>41798</v>
      </c>
    </row>
    <row r="2520" customFormat="false" ht="14.25" hidden="false" customHeight="false" outlineLevel="0" collapsed="false">
      <c r="A2520" s="1" t="n">
        <v>2014</v>
      </c>
      <c r="B2520" s="1" t="n">
        <v>1</v>
      </c>
      <c r="C2520" s="2" t="s">
        <v>50</v>
      </c>
      <c r="D2520" s="3" t="s">
        <v>158</v>
      </c>
      <c r="E2520" s="3" t="n">
        <v>2</v>
      </c>
      <c r="F2520" s="1" t="n">
        <f aca="false">Y2520-X2520</f>
        <v>5</v>
      </c>
      <c r="G2520" s="1" t="n">
        <v>5</v>
      </c>
      <c r="H2520" s="3" t="s">
        <v>32</v>
      </c>
      <c r="I2520" s="3" t="s">
        <v>55</v>
      </c>
      <c r="J2520" s="3" t="s">
        <v>56</v>
      </c>
      <c r="K2520" s="2" t="str">
        <f aca="false">CONCATENATE(I2520," ",J2520)</f>
        <v>Maro minutus</v>
      </c>
      <c r="L2520" s="3" t="n">
        <f aca="false">SUM(P2520:U2520)</f>
        <v>1</v>
      </c>
      <c r="M2520" s="11" t="n">
        <f aca="false">(L2520/(F2520*G2520)*25)*4</f>
        <v>4</v>
      </c>
      <c r="N2520" s="1" t="s">
        <v>30</v>
      </c>
      <c r="O2520" s="1" t="s">
        <v>31</v>
      </c>
      <c r="P2520" s="3" t="n">
        <v>1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f aca="false">SUM(P2520:Q2520)</f>
        <v>1</v>
      </c>
      <c r="W2520" s="3" t="n">
        <f aca="false">SUM(R2520:T2520)</f>
        <v>0</v>
      </c>
      <c r="X2520" s="22" t="n">
        <v>41793</v>
      </c>
      <c r="Y2520" s="22" t="n">
        <v>41798</v>
      </c>
    </row>
    <row r="2521" customFormat="false" ht="14.25" hidden="false" customHeight="false" outlineLevel="0" collapsed="false">
      <c r="A2521" s="1" t="n">
        <v>2014</v>
      </c>
      <c r="B2521" s="1" t="n">
        <v>1</v>
      </c>
      <c r="C2521" s="2" t="s">
        <v>50</v>
      </c>
      <c r="D2521" s="3" t="s">
        <v>158</v>
      </c>
      <c r="E2521" s="3" t="n">
        <v>2</v>
      </c>
      <c r="F2521" s="1" t="n">
        <f aca="false">Y2521-X2521</f>
        <v>5</v>
      </c>
      <c r="G2521" s="1" t="n">
        <v>5</v>
      </c>
      <c r="H2521" s="3" t="s">
        <v>32</v>
      </c>
      <c r="I2521" s="3" t="s">
        <v>169</v>
      </c>
      <c r="J2521" s="3" t="s">
        <v>170</v>
      </c>
      <c r="K2521" s="2" t="str">
        <f aca="false">CONCATENATE(I2521," ",J2521)</f>
        <v>Abacoproeces saltuum</v>
      </c>
      <c r="L2521" s="3" t="n">
        <f aca="false">SUM(P2521:U2521)</f>
        <v>3</v>
      </c>
      <c r="M2521" s="11" t="n">
        <f aca="false">(L2521/(F2521*G2521)*25)*4</f>
        <v>12</v>
      </c>
      <c r="N2521" s="1" t="s">
        <v>30</v>
      </c>
      <c r="O2521" s="1" t="s">
        <v>31</v>
      </c>
      <c r="P2521" s="3" t="n">
        <v>3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f aca="false">SUM(P2521:Q2521)</f>
        <v>3</v>
      </c>
      <c r="W2521" s="3" t="n">
        <f aca="false">SUM(R2521:T2521)</f>
        <v>0</v>
      </c>
      <c r="X2521" s="22" t="n">
        <v>41793</v>
      </c>
      <c r="Y2521" s="22" t="n">
        <v>41798</v>
      </c>
    </row>
    <row r="2522" customFormat="false" ht="14.25" hidden="false" customHeight="false" outlineLevel="0" collapsed="false">
      <c r="A2522" s="1" t="n">
        <v>2014</v>
      </c>
      <c r="B2522" s="1" t="n">
        <v>1</v>
      </c>
      <c r="C2522" s="2" t="s">
        <v>50</v>
      </c>
      <c r="D2522" s="3" t="s">
        <v>158</v>
      </c>
      <c r="E2522" s="3" t="n">
        <v>2</v>
      </c>
      <c r="F2522" s="1" t="n">
        <f aca="false">Y2522-X2522</f>
        <v>5</v>
      </c>
      <c r="G2522" s="1" t="n">
        <v>5</v>
      </c>
      <c r="H2522" s="3" t="s">
        <v>32</v>
      </c>
      <c r="I2522" s="3" t="s">
        <v>169</v>
      </c>
      <c r="J2522" s="3" t="s">
        <v>170</v>
      </c>
      <c r="K2522" s="2" t="str">
        <f aca="false">CONCATENATE(I2522," ",J2522)</f>
        <v>Abacoproeces saltuum</v>
      </c>
      <c r="L2522" s="3" t="n">
        <f aca="false">SUM(P2522:U2522)</f>
        <v>3</v>
      </c>
      <c r="M2522" s="11" t="n">
        <f aca="false">(L2522/(F2522*G2522)*25)*4</f>
        <v>12</v>
      </c>
      <c r="N2522" s="1" t="s">
        <v>30</v>
      </c>
      <c r="O2522" s="1" t="s">
        <v>35</v>
      </c>
      <c r="P2522" s="3" t="n">
        <v>0</v>
      </c>
      <c r="Q2522" s="3" t="n">
        <v>3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f aca="false">SUM(P2522:Q2522)</f>
        <v>3</v>
      </c>
      <c r="W2522" s="3" t="n">
        <f aca="false">SUM(R2522:T2522)</f>
        <v>0</v>
      </c>
      <c r="X2522" s="22" t="n">
        <v>41793</v>
      </c>
      <c r="Y2522" s="22" t="n">
        <v>41798</v>
      </c>
    </row>
    <row r="2523" customFormat="false" ht="14.25" hidden="false" customHeight="false" outlineLevel="0" collapsed="false">
      <c r="A2523" s="1" t="n">
        <v>2014</v>
      </c>
      <c r="B2523" s="1" t="n">
        <v>1</v>
      </c>
      <c r="C2523" s="2" t="s">
        <v>50</v>
      </c>
      <c r="D2523" s="3" t="s">
        <v>158</v>
      </c>
      <c r="E2523" s="3" t="n">
        <v>1</v>
      </c>
      <c r="F2523" s="1" t="n">
        <f aca="false">Y2523-X2523</f>
        <v>5</v>
      </c>
      <c r="G2523" s="1" t="n">
        <v>5</v>
      </c>
      <c r="H2523" s="3" t="s">
        <v>72</v>
      </c>
      <c r="I2523" s="3" t="s">
        <v>86</v>
      </c>
      <c r="J2523" s="3" t="s">
        <v>247</v>
      </c>
      <c r="K2523" s="2" t="str">
        <f aca="false">CONCATENATE(I2523," ",J2523)</f>
        <v>Haplodrassus silvestris</v>
      </c>
      <c r="L2523" s="3" t="n">
        <f aca="false">SUM(P2523:U2523)</f>
        <v>1</v>
      </c>
      <c r="M2523" s="11" t="n">
        <f aca="false">(L2523/(F2523*G2523)*25)*4</f>
        <v>4</v>
      </c>
      <c r="N2523" s="1" t="s">
        <v>30</v>
      </c>
      <c r="O2523" s="1" t="s">
        <v>31</v>
      </c>
      <c r="P2523" s="3" t="n">
        <v>1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f aca="false">SUM(P2523:Q2523)</f>
        <v>1</v>
      </c>
      <c r="W2523" s="3" t="n">
        <f aca="false">SUM(R2523:T2523)</f>
        <v>0</v>
      </c>
      <c r="X2523" s="22" t="n">
        <v>41793</v>
      </c>
      <c r="Y2523" s="22" t="n">
        <v>41798</v>
      </c>
    </row>
    <row r="2524" customFormat="false" ht="14.25" hidden="false" customHeight="false" outlineLevel="0" collapsed="false">
      <c r="A2524" s="1" t="n">
        <v>2014</v>
      </c>
      <c r="B2524" s="1" t="n">
        <v>1</v>
      </c>
      <c r="C2524" s="2" t="s">
        <v>50</v>
      </c>
      <c r="D2524" s="3" t="s">
        <v>158</v>
      </c>
      <c r="E2524" s="3" t="n">
        <v>1</v>
      </c>
      <c r="F2524" s="1" t="n">
        <f aca="false">Y2524-X2524</f>
        <v>5</v>
      </c>
      <c r="G2524" s="1" t="n">
        <v>5</v>
      </c>
      <c r="H2524" s="3" t="s">
        <v>72</v>
      </c>
      <c r="I2524" s="3" t="s">
        <v>73</v>
      </c>
      <c r="J2524" s="3" t="s">
        <v>74</v>
      </c>
      <c r="K2524" s="2" t="str">
        <f aca="false">CONCATENATE(I2524," ",J2524)</f>
        <v>Zelotes subterraneus</v>
      </c>
      <c r="L2524" s="3" t="n">
        <f aca="false">SUM(P2524:U2524)</f>
        <v>1</v>
      </c>
      <c r="M2524" s="11" t="n">
        <f aca="false">(L2524/(F2524*G2524)*25)*4</f>
        <v>4</v>
      </c>
      <c r="N2524" s="1" t="s">
        <v>30</v>
      </c>
      <c r="O2524" s="1" t="s">
        <v>35</v>
      </c>
      <c r="P2524" s="3" t="n">
        <v>0</v>
      </c>
      <c r="Q2524" s="3" t="n">
        <v>1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f aca="false">SUM(P2524:Q2524)</f>
        <v>1</v>
      </c>
      <c r="W2524" s="3" t="n">
        <f aca="false">SUM(R2524:T2524)</f>
        <v>0</v>
      </c>
      <c r="X2524" s="22" t="n">
        <v>41793</v>
      </c>
      <c r="Y2524" s="22" t="n">
        <v>41798</v>
      </c>
    </row>
    <row r="2525" customFormat="false" ht="14.25" hidden="false" customHeight="false" outlineLevel="0" collapsed="false">
      <c r="A2525" s="1" t="n">
        <v>2014</v>
      </c>
      <c r="B2525" s="1" t="n">
        <v>1</v>
      </c>
      <c r="C2525" s="2" t="s">
        <v>50</v>
      </c>
      <c r="D2525" s="3" t="s">
        <v>158</v>
      </c>
      <c r="E2525" s="3" t="n">
        <v>1</v>
      </c>
      <c r="F2525" s="1" t="n">
        <f aca="false">Y2525-X2525</f>
        <v>5</v>
      </c>
      <c r="G2525" s="1" t="n">
        <v>5</v>
      </c>
      <c r="H2525" s="3" t="s">
        <v>36</v>
      </c>
      <c r="I2525" s="3" t="s">
        <v>131</v>
      </c>
      <c r="J2525" s="3" t="s">
        <v>229</v>
      </c>
      <c r="K2525" s="2" t="str">
        <f aca="false">CONCATENATE(I2525," ",J2525)</f>
        <v>Xysticus emertoni</v>
      </c>
      <c r="L2525" s="3" t="n">
        <f aca="false">SUM(P2525:U2525)</f>
        <v>1</v>
      </c>
      <c r="M2525" s="11" t="n">
        <f aca="false">(L2525/(F2525*G2525)*25)*4</f>
        <v>4</v>
      </c>
      <c r="N2525" s="1" t="s">
        <v>30</v>
      </c>
      <c r="O2525" s="1" t="s">
        <v>35</v>
      </c>
      <c r="P2525" s="3" t="n">
        <v>0</v>
      </c>
      <c r="Q2525" s="3" t="n">
        <v>1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f aca="false">SUM(P2525:Q2525)</f>
        <v>1</v>
      </c>
      <c r="W2525" s="3" t="n">
        <f aca="false">SUM(R2525:T2525)</f>
        <v>0</v>
      </c>
      <c r="X2525" s="22" t="n">
        <v>41793</v>
      </c>
      <c r="Y2525" s="22" t="n">
        <v>41798</v>
      </c>
    </row>
    <row r="2526" customFormat="false" ht="14.25" hidden="false" customHeight="false" outlineLevel="0" collapsed="false">
      <c r="A2526" s="1" t="n">
        <v>2014</v>
      </c>
      <c r="B2526" s="1" t="n">
        <v>1</v>
      </c>
      <c r="C2526" s="2" t="s">
        <v>50</v>
      </c>
      <c r="D2526" s="3" t="s">
        <v>158</v>
      </c>
      <c r="E2526" s="3" t="n">
        <v>1</v>
      </c>
      <c r="F2526" s="1" t="n">
        <f aca="false">Y2526-X2526</f>
        <v>5</v>
      </c>
      <c r="G2526" s="1" t="n">
        <v>5</v>
      </c>
      <c r="H2526" s="3" t="s">
        <v>36</v>
      </c>
      <c r="I2526" s="3" t="s">
        <v>131</v>
      </c>
      <c r="J2526" s="3" t="s">
        <v>133</v>
      </c>
      <c r="K2526" s="2" t="str">
        <f aca="false">CONCATENATE(I2526," ",J2526)</f>
        <v>Xysticus luctuosus</v>
      </c>
      <c r="L2526" s="3" t="n">
        <f aca="false">SUM(P2526:U2526)</f>
        <v>1</v>
      </c>
      <c r="M2526" s="11" t="n">
        <f aca="false">(L2526/(F2526*G2526)*25)*4</f>
        <v>4</v>
      </c>
      <c r="N2526" s="1" t="s">
        <v>30</v>
      </c>
      <c r="O2526" s="1" t="s">
        <v>31</v>
      </c>
      <c r="P2526" s="3" t="n">
        <v>1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f aca="false">SUM(P2526:Q2526)</f>
        <v>1</v>
      </c>
      <c r="W2526" s="3" t="n">
        <f aca="false">SUM(R2526:T2526)</f>
        <v>0</v>
      </c>
      <c r="X2526" s="22" t="n">
        <v>41793</v>
      </c>
      <c r="Y2526" s="22" t="n">
        <v>41798</v>
      </c>
    </row>
    <row r="2527" customFormat="false" ht="14.25" hidden="false" customHeight="false" outlineLevel="0" collapsed="false">
      <c r="A2527" s="1" t="n">
        <v>2014</v>
      </c>
      <c r="B2527" s="1" t="n">
        <v>1</v>
      </c>
      <c r="C2527" s="2" t="s">
        <v>50</v>
      </c>
      <c r="D2527" s="3" t="s">
        <v>158</v>
      </c>
      <c r="E2527" s="3" t="n">
        <v>1</v>
      </c>
      <c r="F2527" s="1" t="n">
        <f aca="false">Y2527-X2527</f>
        <v>5</v>
      </c>
      <c r="G2527" s="1" t="n">
        <v>5</v>
      </c>
      <c r="H2527" s="3" t="s">
        <v>48</v>
      </c>
      <c r="I2527" s="3" t="s">
        <v>49</v>
      </c>
      <c r="J2527" s="3" t="s">
        <v>104</v>
      </c>
      <c r="K2527" s="2" t="str">
        <f aca="false">CONCATENATE(I2527," ",J2527)</f>
        <v>Alopecosa taeniata</v>
      </c>
      <c r="L2527" s="3" t="n">
        <f aca="false">SUM(P2527:U2527)</f>
        <v>1</v>
      </c>
      <c r="M2527" s="11" t="n">
        <f aca="false">(L2527/(F2527*G2527)*25)*4</f>
        <v>4</v>
      </c>
      <c r="N2527" s="1" t="s">
        <v>30</v>
      </c>
      <c r="O2527" s="1" t="s">
        <v>31</v>
      </c>
      <c r="P2527" s="3" t="n">
        <v>1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f aca="false">SUM(P2527:Q2527)</f>
        <v>1</v>
      </c>
      <c r="W2527" s="3" t="n">
        <f aca="false">SUM(R2527:T2527)</f>
        <v>0</v>
      </c>
      <c r="X2527" s="22" t="n">
        <v>41793</v>
      </c>
      <c r="Y2527" s="22" t="n">
        <v>41798</v>
      </c>
    </row>
    <row r="2528" customFormat="false" ht="14.25" hidden="false" customHeight="false" outlineLevel="0" collapsed="false">
      <c r="A2528" s="1" t="n">
        <v>2014</v>
      </c>
      <c r="B2528" s="1" t="n">
        <v>1</v>
      </c>
      <c r="C2528" s="2" t="s">
        <v>50</v>
      </c>
      <c r="D2528" s="3" t="s">
        <v>158</v>
      </c>
      <c r="E2528" s="3" t="n">
        <v>1</v>
      </c>
      <c r="F2528" s="1" t="n">
        <f aca="false">Y2528-X2528</f>
        <v>5</v>
      </c>
      <c r="G2528" s="1" t="n">
        <v>5</v>
      </c>
      <c r="H2528" s="3" t="s">
        <v>48</v>
      </c>
      <c r="I2528" s="3" t="s">
        <v>49</v>
      </c>
      <c r="J2528" s="3" t="s">
        <v>104</v>
      </c>
      <c r="K2528" s="2" t="str">
        <f aca="false">CONCATENATE(I2528," ",J2528)</f>
        <v>Alopecosa taeniata</v>
      </c>
      <c r="L2528" s="3" t="n">
        <f aca="false">SUM(P2528:U2528)</f>
        <v>2</v>
      </c>
      <c r="M2528" s="11" t="n">
        <f aca="false">(L2528/(F2528*G2528)*25)*4</f>
        <v>8</v>
      </c>
      <c r="N2528" s="1" t="s">
        <v>30</v>
      </c>
      <c r="O2528" s="1" t="s">
        <v>35</v>
      </c>
      <c r="P2528" s="3" t="n">
        <v>0</v>
      </c>
      <c r="Q2528" s="3" t="n">
        <v>2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f aca="false">SUM(P2528:Q2528)</f>
        <v>2</v>
      </c>
      <c r="W2528" s="3" t="n">
        <f aca="false">SUM(R2528:T2528)</f>
        <v>0</v>
      </c>
      <c r="X2528" s="22" t="n">
        <v>41793</v>
      </c>
      <c r="Y2528" s="22" t="n">
        <v>41798</v>
      </c>
    </row>
    <row r="2529" customFormat="false" ht="14.25" hidden="false" customHeight="false" outlineLevel="0" collapsed="false">
      <c r="A2529" s="1" t="n">
        <v>2014</v>
      </c>
      <c r="B2529" s="1" t="n">
        <v>1</v>
      </c>
      <c r="C2529" s="2" t="s">
        <v>50</v>
      </c>
      <c r="D2529" s="3" t="s">
        <v>158</v>
      </c>
      <c r="E2529" s="3" t="n">
        <v>1</v>
      </c>
      <c r="F2529" s="1" t="n">
        <f aca="false">Y2529-X2529</f>
        <v>5</v>
      </c>
      <c r="G2529" s="1" t="n">
        <v>5</v>
      </c>
      <c r="H2529" s="3" t="s">
        <v>48</v>
      </c>
      <c r="I2529" s="3" t="s">
        <v>67</v>
      </c>
      <c r="J2529" s="3" t="s">
        <v>127</v>
      </c>
      <c r="K2529" s="2" t="str">
        <f aca="false">CONCATENATE(I2529," ",J2529)</f>
        <v>Pardosa lugubris</v>
      </c>
      <c r="L2529" s="3" t="n">
        <f aca="false">SUM(P2529:U2529)</f>
        <v>3</v>
      </c>
      <c r="M2529" s="11" t="n">
        <f aca="false">(L2529/(F2529*G2529)*25)*4</f>
        <v>12</v>
      </c>
      <c r="N2529" s="1" t="s">
        <v>30</v>
      </c>
      <c r="O2529" s="1" t="s">
        <v>31</v>
      </c>
      <c r="P2529" s="3" t="n">
        <v>3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f aca="false">SUM(P2529:Q2529)</f>
        <v>3</v>
      </c>
      <c r="W2529" s="3" t="n">
        <f aca="false">SUM(R2529:T2529)</f>
        <v>0</v>
      </c>
      <c r="X2529" s="22" t="n">
        <v>41793</v>
      </c>
      <c r="Y2529" s="22" t="n">
        <v>41798</v>
      </c>
    </row>
    <row r="2530" customFormat="false" ht="14.25" hidden="false" customHeight="false" outlineLevel="0" collapsed="false">
      <c r="A2530" s="1" t="n">
        <v>2014</v>
      </c>
      <c r="B2530" s="1" t="n">
        <v>1</v>
      </c>
      <c r="C2530" s="2" t="s">
        <v>50</v>
      </c>
      <c r="D2530" s="3" t="s">
        <v>158</v>
      </c>
      <c r="E2530" s="3" t="n">
        <v>1</v>
      </c>
      <c r="F2530" s="1" t="n">
        <f aca="false">Y2530-X2530</f>
        <v>5</v>
      </c>
      <c r="G2530" s="1" t="n">
        <v>5</v>
      </c>
      <c r="H2530" s="3" t="s">
        <v>32</v>
      </c>
      <c r="I2530" s="3" t="s">
        <v>84</v>
      </c>
      <c r="J2530" s="3" t="s">
        <v>168</v>
      </c>
      <c r="K2530" s="2" t="str">
        <f aca="false">CONCATENATE(I2530," ",J2530)</f>
        <v>Walckenaeria atrotibialis</v>
      </c>
      <c r="L2530" s="3" t="n">
        <f aca="false">SUM(P2530:U2530)</f>
        <v>1</v>
      </c>
      <c r="M2530" s="11" t="n">
        <f aca="false">(L2530/(F2530*G2530)*25)*4</f>
        <v>4</v>
      </c>
      <c r="N2530" s="1" t="s">
        <v>30</v>
      </c>
      <c r="O2530" s="1" t="s">
        <v>31</v>
      </c>
      <c r="P2530" s="3" t="n">
        <v>1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f aca="false">SUM(P2530:Q2530)</f>
        <v>1</v>
      </c>
      <c r="W2530" s="3" t="n">
        <f aca="false">SUM(R2530:T2530)</f>
        <v>0</v>
      </c>
      <c r="X2530" s="22" t="n">
        <v>41793</v>
      </c>
      <c r="Y2530" s="22" t="n">
        <v>41798</v>
      </c>
    </row>
    <row r="2531" customFormat="false" ht="14.25" hidden="false" customHeight="false" outlineLevel="0" collapsed="false">
      <c r="A2531" s="1" t="n">
        <v>2014</v>
      </c>
      <c r="B2531" s="1" t="n">
        <v>1</v>
      </c>
      <c r="C2531" s="2" t="s">
        <v>50</v>
      </c>
      <c r="D2531" s="3" t="s">
        <v>158</v>
      </c>
      <c r="E2531" s="3" t="n">
        <v>1</v>
      </c>
      <c r="F2531" s="1" t="n">
        <f aca="false">Y2531-X2531</f>
        <v>5</v>
      </c>
      <c r="G2531" s="1" t="n">
        <v>5</v>
      </c>
      <c r="H2531" s="3" t="s">
        <v>32</v>
      </c>
      <c r="I2531" s="3" t="s">
        <v>169</v>
      </c>
      <c r="J2531" s="3" t="s">
        <v>170</v>
      </c>
      <c r="K2531" s="2" t="str">
        <f aca="false">CONCATENATE(I2531," ",J2531)</f>
        <v>Abacoproeces saltuum</v>
      </c>
      <c r="L2531" s="3" t="n">
        <f aca="false">SUM(P2531:U2531)</f>
        <v>1</v>
      </c>
      <c r="M2531" s="11" t="n">
        <f aca="false">(L2531/(F2531*G2531)*25)*4</f>
        <v>4</v>
      </c>
      <c r="N2531" s="1" t="s">
        <v>30</v>
      </c>
      <c r="O2531" s="1" t="s">
        <v>31</v>
      </c>
      <c r="P2531" s="3" t="n">
        <v>1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f aca="false">SUM(P2531:Q2531)</f>
        <v>1</v>
      </c>
      <c r="W2531" s="3" t="n">
        <f aca="false">SUM(R2531:T2531)</f>
        <v>0</v>
      </c>
      <c r="X2531" s="22" t="n">
        <v>41793</v>
      </c>
      <c r="Y2531" s="22" t="n">
        <v>41798</v>
      </c>
    </row>
    <row r="2532" customFormat="false" ht="14.25" hidden="false" customHeight="false" outlineLevel="0" collapsed="false">
      <c r="A2532" s="1" t="n">
        <v>2014</v>
      </c>
      <c r="B2532" s="1" t="n">
        <v>1</v>
      </c>
      <c r="C2532" s="2" t="s">
        <v>50</v>
      </c>
      <c r="D2532" s="3" t="s">
        <v>158</v>
      </c>
      <c r="E2532" s="3" t="n">
        <v>1</v>
      </c>
      <c r="F2532" s="1" t="n">
        <f aca="false">Y2532-X2532</f>
        <v>5</v>
      </c>
      <c r="G2532" s="1" t="n">
        <v>5</v>
      </c>
      <c r="H2532" s="3" t="s">
        <v>48</v>
      </c>
      <c r="I2532" s="3" t="s">
        <v>57</v>
      </c>
      <c r="J2532" s="3" t="s">
        <v>38</v>
      </c>
      <c r="K2532" s="2" t="str">
        <f aca="false">CONCATENATE(I2532," ",J2532)</f>
        <v>Gen sp</v>
      </c>
      <c r="L2532" s="3" t="n">
        <f aca="false">SUM(P2532:U2532)</f>
        <v>1</v>
      </c>
      <c r="M2532" s="11" t="n">
        <f aca="false">(L2532/(F2532*G2532)*25)*4</f>
        <v>4</v>
      </c>
      <c r="N2532" s="1" t="s">
        <v>19</v>
      </c>
      <c r="O2532" s="1" t="s">
        <v>54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1</v>
      </c>
      <c r="U2532" s="3" t="n">
        <v>0</v>
      </c>
      <c r="V2532" s="3" t="n">
        <f aca="false">SUM(P2532:Q2532)</f>
        <v>0</v>
      </c>
      <c r="W2532" s="3" t="n">
        <f aca="false">SUM(R2532:T2532)</f>
        <v>1</v>
      </c>
      <c r="X2532" s="22" t="n">
        <v>41793</v>
      </c>
      <c r="Y2532" s="22" t="n">
        <v>41798</v>
      </c>
    </row>
    <row r="2533" customFormat="false" ht="14.25" hidden="false" customHeight="false" outlineLevel="0" collapsed="false">
      <c r="A2533" s="1" t="n">
        <v>2014</v>
      </c>
      <c r="B2533" s="1" t="n">
        <v>1</v>
      </c>
      <c r="C2533" s="2" t="s">
        <v>50</v>
      </c>
      <c r="D2533" s="3" t="s">
        <v>158</v>
      </c>
      <c r="E2533" s="3" t="n">
        <v>2</v>
      </c>
      <c r="F2533" s="1" t="n">
        <f aca="false">Y2533-X2533</f>
        <v>5</v>
      </c>
      <c r="G2533" s="1" t="n">
        <v>5</v>
      </c>
      <c r="H2533" s="3" t="s">
        <v>92</v>
      </c>
      <c r="I2533" s="3" t="s">
        <v>171</v>
      </c>
      <c r="J2533" s="3" t="s">
        <v>172</v>
      </c>
      <c r="K2533" s="2" t="str">
        <f aca="false">CONCATENATE(I2533," ",J2533)</f>
        <v>Euophrys frontalis</v>
      </c>
      <c r="L2533" s="3" t="n">
        <f aca="false">SUM(P2533:U2533)</f>
        <v>1</v>
      </c>
      <c r="M2533" s="11" t="n">
        <f aca="false">(L2533/(F2533*G2533)*25)*4</f>
        <v>4</v>
      </c>
      <c r="N2533" s="1" t="s">
        <v>30</v>
      </c>
      <c r="O2533" s="1" t="s">
        <v>31</v>
      </c>
      <c r="P2533" s="3" t="n">
        <v>1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f aca="false">SUM(P2533:Q2533)</f>
        <v>1</v>
      </c>
      <c r="W2533" s="3" t="n">
        <f aca="false">SUM(R2533:T2533)</f>
        <v>0</v>
      </c>
      <c r="X2533" s="22" t="n">
        <v>41793</v>
      </c>
      <c r="Y2533" s="22" t="n">
        <v>41798</v>
      </c>
    </row>
    <row r="2534" customFormat="false" ht="14.25" hidden="false" customHeight="false" outlineLevel="0" collapsed="false">
      <c r="A2534" s="1" t="n">
        <v>2014</v>
      </c>
      <c r="B2534" s="1" t="n">
        <v>1</v>
      </c>
      <c r="C2534" s="2" t="s">
        <v>50</v>
      </c>
      <c r="D2534" s="3" t="s">
        <v>158</v>
      </c>
      <c r="E2534" s="3" t="n">
        <v>2</v>
      </c>
      <c r="F2534" s="1" t="n">
        <f aca="false">Y2534-X2534</f>
        <v>5</v>
      </c>
      <c r="G2534" s="1" t="n">
        <v>5</v>
      </c>
      <c r="H2534" s="3" t="s">
        <v>36</v>
      </c>
      <c r="I2534" s="3" t="s">
        <v>131</v>
      </c>
      <c r="J2534" s="3" t="s">
        <v>133</v>
      </c>
      <c r="K2534" s="2" t="str">
        <f aca="false">CONCATENATE(I2534," ",J2534)</f>
        <v>Xysticus luctuosus</v>
      </c>
      <c r="L2534" s="3" t="n">
        <f aca="false">SUM(P2534:U2534)</f>
        <v>1</v>
      </c>
      <c r="M2534" s="11" t="n">
        <f aca="false">(L2534/(F2534*G2534)*25)*4</f>
        <v>4</v>
      </c>
      <c r="N2534" s="1" t="s">
        <v>30</v>
      </c>
      <c r="O2534" s="1" t="s">
        <v>31</v>
      </c>
      <c r="P2534" s="3" t="n">
        <v>1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f aca="false">SUM(P2534:Q2534)</f>
        <v>1</v>
      </c>
      <c r="W2534" s="3" t="n">
        <f aca="false">SUM(R2534:T2534)</f>
        <v>0</v>
      </c>
      <c r="X2534" s="22" t="n">
        <v>41793</v>
      </c>
      <c r="Y2534" s="22" t="n">
        <v>41798</v>
      </c>
    </row>
    <row r="2535" customFormat="false" ht="14.25" hidden="false" customHeight="false" outlineLevel="0" collapsed="false">
      <c r="A2535" s="1" t="n">
        <v>2014</v>
      </c>
      <c r="B2535" s="1" t="n">
        <v>1</v>
      </c>
      <c r="C2535" s="2" t="s">
        <v>50</v>
      </c>
      <c r="D2535" s="3" t="s">
        <v>158</v>
      </c>
      <c r="E2535" s="3" t="n">
        <v>2</v>
      </c>
      <c r="F2535" s="1" t="n">
        <f aca="false">Y2535-X2535</f>
        <v>5</v>
      </c>
      <c r="G2535" s="1" t="n">
        <v>5</v>
      </c>
      <c r="H2535" s="3" t="s">
        <v>36</v>
      </c>
      <c r="I2535" s="3" t="s">
        <v>37</v>
      </c>
      <c r="J2535" s="3" t="s">
        <v>75</v>
      </c>
      <c r="K2535" s="2" t="str">
        <f aca="false">CONCATENATE(I2535," ",J2535)</f>
        <v>Ozyptila praticola</v>
      </c>
      <c r="L2535" s="3" t="n">
        <f aca="false">SUM(P2535:U2535)</f>
        <v>1</v>
      </c>
      <c r="M2535" s="11" t="n">
        <f aca="false">(L2535/(F2535*G2535)*25)*4</f>
        <v>4</v>
      </c>
      <c r="N2535" s="1" t="s">
        <v>30</v>
      </c>
      <c r="O2535" s="1" t="s">
        <v>31</v>
      </c>
      <c r="P2535" s="3" t="n">
        <v>1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f aca="false">SUM(P2535:Q2535)</f>
        <v>1</v>
      </c>
      <c r="W2535" s="3" t="n">
        <f aca="false">SUM(R2535:T2535)</f>
        <v>0</v>
      </c>
      <c r="X2535" s="22" t="n">
        <v>41793</v>
      </c>
      <c r="Y2535" s="22" t="n">
        <v>41798</v>
      </c>
    </row>
    <row r="2536" customFormat="false" ht="14.25" hidden="false" customHeight="false" outlineLevel="0" collapsed="false">
      <c r="A2536" s="1" t="n">
        <v>2014</v>
      </c>
      <c r="B2536" s="1" t="n">
        <v>1</v>
      </c>
      <c r="C2536" s="2" t="s">
        <v>50</v>
      </c>
      <c r="D2536" s="3" t="s">
        <v>158</v>
      </c>
      <c r="E2536" s="3" t="n">
        <v>2</v>
      </c>
      <c r="F2536" s="1" t="n">
        <f aca="false">Y2536-X2536</f>
        <v>5</v>
      </c>
      <c r="G2536" s="1" t="n">
        <v>5</v>
      </c>
      <c r="H2536" s="3" t="s">
        <v>48</v>
      </c>
      <c r="I2536" s="3" t="s">
        <v>67</v>
      </c>
      <c r="J2536" s="3" t="s">
        <v>127</v>
      </c>
      <c r="K2536" s="2" t="str">
        <f aca="false">CONCATENATE(I2536," ",J2536)</f>
        <v>Pardosa lugubris</v>
      </c>
      <c r="L2536" s="3" t="n">
        <f aca="false">SUM(P2536:U2536)</f>
        <v>11</v>
      </c>
      <c r="M2536" s="11" t="n">
        <f aca="false">(L2536/(F2536*G2536)*25)*4</f>
        <v>44</v>
      </c>
      <c r="N2536" s="1" t="s">
        <v>30</v>
      </c>
      <c r="O2536" s="1" t="s">
        <v>31</v>
      </c>
      <c r="P2536" s="3" t="n">
        <v>11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f aca="false">SUM(P2536:Q2536)</f>
        <v>11</v>
      </c>
      <c r="W2536" s="3" t="n">
        <f aca="false">SUM(R2536:T2536)</f>
        <v>0</v>
      </c>
      <c r="X2536" s="22" t="n">
        <v>41793</v>
      </c>
      <c r="Y2536" s="22" t="n">
        <v>41798</v>
      </c>
    </row>
    <row r="2537" customFormat="false" ht="14.25" hidden="false" customHeight="false" outlineLevel="0" collapsed="false">
      <c r="A2537" s="1" t="n">
        <v>2014</v>
      </c>
      <c r="B2537" s="1" t="n">
        <v>1</v>
      </c>
      <c r="C2537" s="2" t="s">
        <v>50</v>
      </c>
      <c r="D2537" s="3" t="s">
        <v>158</v>
      </c>
      <c r="E2537" s="3" t="n">
        <v>2</v>
      </c>
      <c r="F2537" s="1" t="n">
        <f aca="false">Y2537-X2537</f>
        <v>5</v>
      </c>
      <c r="G2537" s="1" t="n">
        <v>5</v>
      </c>
      <c r="H2537" s="3" t="s">
        <v>48</v>
      </c>
      <c r="I2537" s="3" t="s">
        <v>61</v>
      </c>
      <c r="J2537" s="3" t="s">
        <v>38</v>
      </c>
      <c r="K2537" s="2" t="str">
        <f aca="false">CONCATENATE(I2537," ",J2537)</f>
        <v>Trochosa sp</v>
      </c>
      <c r="L2537" s="3" t="n">
        <f aca="false">SUM(P2537:U2537)</f>
        <v>1</v>
      </c>
      <c r="M2537" s="11" t="n">
        <f aca="false">(L2537/(F2537*G2537)*25)*4</f>
        <v>4</v>
      </c>
      <c r="N2537" s="1" t="s">
        <v>19</v>
      </c>
      <c r="O2537" s="1" t="s">
        <v>54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1</v>
      </c>
      <c r="U2537" s="3" t="n">
        <v>0</v>
      </c>
      <c r="V2537" s="3" t="n">
        <f aca="false">SUM(P2537:Q2537)</f>
        <v>0</v>
      </c>
      <c r="W2537" s="3" t="n">
        <f aca="false">SUM(R2537:T2537)</f>
        <v>1</v>
      </c>
      <c r="X2537" s="22" t="n">
        <v>41793</v>
      </c>
      <c r="Y2537" s="22" t="n">
        <v>41798</v>
      </c>
    </row>
    <row r="2538" customFormat="false" ht="14.25" hidden="false" customHeight="false" outlineLevel="0" collapsed="false">
      <c r="A2538" s="1" t="n">
        <v>2014</v>
      </c>
      <c r="B2538" s="1" t="n">
        <v>1</v>
      </c>
      <c r="C2538" s="2" t="s">
        <v>50</v>
      </c>
      <c r="D2538" s="3" t="s">
        <v>158</v>
      </c>
      <c r="E2538" s="3" t="n">
        <v>2</v>
      </c>
      <c r="F2538" s="1" t="n">
        <f aca="false">Y2538-X2538</f>
        <v>5</v>
      </c>
      <c r="G2538" s="1" t="n">
        <v>5</v>
      </c>
      <c r="H2538" s="3" t="s">
        <v>48</v>
      </c>
      <c r="I2538" s="3" t="s">
        <v>49</v>
      </c>
      <c r="J2538" s="3" t="s">
        <v>104</v>
      </c>
      <c r="K2538" s="2" t="str">
        <f aca="false">CONCATENATE(I2538," ",J2538)</f>
        <v>Alopecosa taeniata</v>
      </c>
      <c r="L2538" s="3" t="n">
        <f aca="false">SUM(P2538:U2538)</f>
        <v>2</v>
      </c>
      <c r="M2538" s="11" t="n">
        <f aca="false">(L2538/(F2538*G2538)*25)*4</f>
        <v>8</v>
      </c>
      <c r="N2538" s="1" t="s">
        <v>30</v>
      </c>
      <c r="O2538" s="1" t="s">
        <v>31</v>
      </c>
      <c r="P2538" s="3" t="n">
        <v>2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f aca="false">SUM(P2538:Q2538)</f>
        <v>2</v>
      </c>
      <c r="W2538" s="3" t="n">
        <f aca="false">SUM(R2538:T2538)</f>
        <v>0</v>
      </c>
      <c r="X2538" s="22" t="n">
        <v>41793</v>
      </c>
      <c r="Y2538" s="22" t="n">
        <v>41798</v>
      </c>
    </row>
    <row r="2539" customFormat="false" ht="14.25" hidden="false" customHeight="false" outlineLevel="0" collapsed="false">
      <c r="A2539" s="1" t="n">
        <v>2014</v>
      </c>
      <c r="B2539" s="1" t="n">
        <v>1</v>
      </c>
      <c r="C2539" s="2" t="s">
        <v>50</v>
      </c>
      <c r="D2539" s="3" t="s">
        <v>158</v>
      </c>
      <c r="E2539" s="3" t="n">
        <v>2</v>
      </c>
      <c r="F2539" s="1" t="n">
        <f aca="false">Y2539-X2539</f>
        <v>5</v>
      </c>
      <c r="G2539" s="1" t="n">
        <v>5</v>
      </c>
      <c r="H2539" s="3" t="s">
        <v>48</v>
      </c>
      <c r="I2539" s="3" t="s">
        <v>49</v>
      </c>
      <c r="J2539" s="3" t="s">
        <v>104</v>
      </c>
      <c r="K2539" s="2" t="str">
        <f aca="false">CONCATENATE(I2539," ",J2539)</f>
        <v>Alopecosa taeniata</v>
      </c>
      <c r="L2539" s="3" t="n">
        <f aca="false">SUM(P2539:U2539)</f>
        <v>1</v>
      </c>
      <c r="M2539" s="11" t="n">
        <f aca="false">(L2539/(F2539*G2539)*25)*4</f>
        <v>4</v>
      </c>
      <c r="N2539" s="1" t="s">
        <v>30</v>
      </c>
      <c r="O2539" s="1" t="s">
        <v>35</v>
      </c>
      <c r="P2539" s="3" t="n">
        <v>0</v>
      </c>
      <c r="Q2539" s="3" t="n">
        <v>1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f aca="false">SUM(P2539:Q2539)</f>
        <v>1</v>
      </c>
      <c r="W2539" s="3" t="n">
        <f aca="false">SUM(R2539:T2539)</f>
        <v>0</v>
      </c>
      <c r="X2539" s="22" t="n">
        <v>41793</v>
      </c>
      <c r="Y2539" s="22" t="n">
        <v>41798</v>
      </c>
    </row>
    <row r="2540" customFormat="false" ht="14.25" hidden="false" customHeight="false" outlineLevel="0" collapsed="false">
      <c r="A2540" s="1" t="n">
        <v>2014</v>
      </c>
      <c r="B2540" s="1" t="n">
        <v>1</v>
      </c>
      <c r="C2540" s="2" t="s">
        <v>50</v>
      </c>
      <c r="D2540" s="3" t="s">
        <v>158</v>
      </c>
      <c r="E2540" s="3" t="n">
        <v>2</v>
      </c>
      <c r="F2540" s="1" t="n">
        <f aca="false">Y2540-X2540</f>
        <v>5</v>
      </c>
      <c r="G2540" s="1" t="n">
        <v>5</v>
      </c>
      <c r="H2540" s="3" t="s">
        <v>72</v>
      </c>
      <c r="I2540" s="3" t="s">
        <v>57</v>
      </c>
      <c r="J2540" s="3" t="s">
        <v>38</v>
      </c>
      <c r="K2540" s="2" t="str">
        <f aca="false">CONCATENATE(I2540," ",J2540)</f>
        <v>Gen sp</v>
      </c>
      <c r="L2540" s="3" t="n">
        <f aca="false">SUM(P2540:U2540)</f>
        <v>0</v>
      </c>
      <c r="M2540" s="11" t="n">
        <f aca="false">(L2540/(F2540*G2540)*25)*4</f>
        <v>0</v>
      </c>
      <c r="N2540" s="1" t="s">
        <v>19</v>
      </c>
      <c r="O2540" s="1" t="s">
        <v>54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f aca="false">SUM(P2540:Q2540)</f>
        <v>0</v>
      </c>
      <c r="W2540" s="3" t="n">
        <f aca="false">SUM(R2540:T2540)</f>
        <v>0</v>
      </c>
      <c r="X2540" s="22" t="n">
        <v>41793</v>
      </c>
      <c r="Y2540" s="22" t="n">
        <v>41798</v>
      </c>
    </row>
    <row r="2541" customFormat="false" ht="14.25" hidden="false" customHeight="false" outlineLevel="0" collapsed="false">
      <c r="A2541" s="1" t="n">
        <v>2014</v>
      </c>
      <c r="B2541" s="1" t="n">
        <v>1</v>
      </c>
      <c r="C2541" s="2" t="s">
        <v>50</v>
      </c>
      <c r="D2541" s="3" t="s">
        <v>158</v>
      </c>
      <c r="E2541" s="3" t="n">
        <v>3</v>
      </c>
      <c r="F2541" s="1" t="n">
        <f aca="false">Y2541-X2541</f>
        <v>5</v>
      </c>
      <c r="G2541" s="1" t="n">
        <v>5</v>
      </c>
      <c r="H2541" s="3" t="s">
        <v>48</v>
      </c>
      <c r="I2541" s="3" t="s">
        <v>67</v>
      </c>
      <c r="J2541" s="3" t="s">
        <v>127</v>
      </c>
      <c r="K2541" s="2" t="str">
        <f aca="false">CONCATENATE(I2541," ",J2541)</f>
        <v>Pardosa lugubris</v>
      </c>
      <c r="L2541" s="3" t="n">
        <f aca="false">SUM(P2541:U2541)</f>
        <v>12</v>
      </c>
      <c r="M2541" s="11" t="n">
        <f aca="false">(L2541/(F2541*G2541)*25)*4</f>
        <v>48</v>
      </c>
      <c r="N2541" s="1" t="s">
        <v>30</v>
      </c>
      <c r="O2541" s="1" t="s">
        <v>31</v>
      </c>
      <c r="P2541" s="3" t="n">
        <v>12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f aca="false">SUM(P2541:Q2541)</f>
        <v>12</v>
      </c>
      <c r="W2541" s="3" t="n">
        <f aca="false">SUM(R2541:T2541)</f>
        <v>0</v>
      </c>
      <c r="X2541" s="22" t="n">
        <v>41793</v>
      </c>
      <c r="Y2541" s="22" t="n">
        <v>41798</v>
      </c>
    </row>
    <row r="2542" customFormat="false" ht="14.25" hidden="false" customHeight="false" outlineLevel="0" collapsed="false">
      <c r="A2542" s="1" t="n">
        <v>2014</v>
      </c>
      <c r="B2542" s="1" t="n">
        <v>1</v>
      </c>
      <c r="C2542" s="2" t="s">
        <v>50</v>
      </c>
      <c r="D2542" s="3" t="s">
        <v>158</v>
      </c>
      <c r="E2542" s="3" t="n">
        <v>3</v>
      </c>
      <c r="F2542" s="1" t="n">
        <f aca="false">Y2542-X2542</f>
        <v>5</v>
      </c>
      <c r="G2542" s="1" t="n">
        <v>5</v>
      </c>
      <c r="H2542" s="3" t="s">
        <v>48</v>
      </c>
      <c r="I2542" s="3" t="s">
        <v>67</v>
      </c>
      <c r="J2542" s="3" t="s">
        <v>127</v>
      </c>
      <c r="K2542" s="2" t="str">
        <f aca="false">CONCATENATE(I2542," ",J2542)</f>
        <v>Pardosa lugubris</v>
      </c>
      <c r="L2542" s="3" t="n">
        <f aca="false">SUM(P2542:U2542)</f>
        <v>2</v>
      </c>
      <c r="M2542" s="11" t="n">
        <f aca="false">(L2542/(F2542*G2542)*25)*4</f>
        <v>8</v>
      </c>
      <c r="N2542" s="1" t="s">
        <v>30</v>
      </c>
      <c r="O2542" s="1" t="s">
        <v>35</v>
      </c>
      <c r="P2542" s="3" t="n">
        <v>0</v>
      </c>
      <c r="Q2542" s="3" t="n">
        <v>2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f aca="false">SUM(P2542:Q2542)</f>
        <v>2</v>
      </c>
      <c r="W2542" s="3" t="n">
        <f aca="false">SUM(R2542:T2542)</f>
        <v>0</v>
      </c>
      <c r="X2542" s="22" t="n">
        <v>41793</v>
      </c>
      <c r="Y2542" s="22" t="n">
        <v>41798</v>
      </c>
    </row>
    <row r="2543" customFormat="false" ht="14.25" hidden="false" customHeight="false" outlineLevel="0" collapsed="false">
      <c r="A2543" s="1" t="n">
        <v>2014</v>
      </c>
      <c r="B2543" s="1" t="n">
        <v>1</v>
      </c>
      <c r="C2543" s="2" t="s">
        <v>50</v>
      </c>
      <c r="D2543" s="3" t="s">
        <v>158</v>
      </c>
      <c r="E2543" s="3" t="n">
        <v>3</v>
      </c>
      <c r="F2543" s="1" t="n">
        <f aca="false">Y2543-X2543</f>
        <v>5</v>
      </c>
      <c r="G2543" s="1" t="n">
        <v>5</v>
      </c>
      <c r="H2543" s="3" t="s">
        <v>48</v>
      </c>
      <c r="I2543" s="3" t="s">
        <v>61</v>
      </c>
      <c r="J2543" s="3" t="s">
        <v>38</v>
      </c>
      <c r="K2543" s="2" t="str">
        <f aca="false">CONCATENATE(I2543," ",J2543)</f>
        <v>Trochosa sp</v>
      </c>
      <c r="L2543" s="3" t="n">
        <f aca="false">SUM(P2543:U2543)</f>
        <v>1</v>
      </c>
      <c r="M2543" s="11" t="n">
        <f aca="false">(L2543/(F2543*G2543)*25)*4</f>
        <v>4</v>
      </c>
      <c r="N2543" s="1" t="s">
        <v>19</v>
      </c>
      <c r="O2543" s="1" t="s">
        <v>35</v>
      </c>
      <c r="P2543" s="3" t="n">
        <v>0</v>
      </c>
      <c r="Q2543" s="3" t="n">
        <v>0</v>
      </c>
      <c r="R2543" s="3" t="n">
        <v>0</v>
      </c>
      <c r="S2543" s="3" t="n">
        <v>1</v>
      </c>
      <c r="T2543" s="3" t="n">
        <v>0</v>
      </c>
      <c r="U2543" s="3" t="n">
        <v>0</v>
      </c>
      <c r="V2543" s="3" t="n">
        <f aca="false">SUM(P2543:Q2543)</f>
        <v>0</v>
      </c>
      <c r="W2543" s="3" t="n">
        <f aca="false">SUM(R2543:T2543)</f>
        <v>1</v>
      </c>
      <c r="X2543" s="22" t="n">
        <v>41793</v>
      </c>
      <c r="Y2543" s="22" t="n">
        <v>41798</v>
      </c>
    </row>
    <row r="2544" customFormat="false" ht="14.25" hidden="false" customHeight="false" outlineLevel="0" collapsed="false">
      <c r="A2544" s="1" t="n">
        <v>2014</v>
      </c>
      <c r="B2544" s="1" t="n">
        <v>1</v>
      </c>
      <c r="C2544" s="2" t="s">
        <v>50</v>
      </c>
      <c r="D2544" s="3" t="s">
        <v>158</v>
      </c>
      <c r="E2544" s="3" t="n">
        <v>3</v>
      </c>
      <c r="F2544" s="1" t="n">
        <f aca="false">Y2544-X2544</f>
        <v>5</v>
      </c>
      <c r="G2544" s="1" t="n">
        <v>5</v>
      </c>
      <c r="H2544" s="3" t="s">
        <v>48</v>
      </c>
      <c r="I2544" s="3" t="s">
        <v>49</v>
      </c>
      <c r="J2544" s="3" t="s">
        <v>104</v>
      </c>
      <c r="K2544" s="2" t="str">
        <f aca="false">CONCATENATE(I2544," ",J2544)</f>
        <v>Alopecosa taeniata</v>
      </c>
      <c r="L2544" s="3" t="n">
        <f aca="false">SUM(P2544:U2544)</f>
        <v>1</v>
      </c>
      <c r="M2544" s="11" t="n">
        <f aca="false">(L2544/(F2544*G2544)*25)*4</f>
        <v>4</v>
      </c>
      <c r="N2544" s="1" t="s">
        <v>30</v>
      </c>
      <c r="O2544" s="1" t="s">
        <v>31</v>
      </c>
      <c r="P2544" s="3" t="n">
        <v>1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f aca="false">SUM(P2544:Q2544)</f>
        <v>1</v>
      </c>
      <c r="W2544" s="3" t="n">
        <f aca="false">SUM(R2544:T2544)</f>
        <v>0</v>
      </c>
      <c r="X2544" s="22" t="n">
        <v>41793</v>
      </c>
      <c r="Y2544" s="22" t="n">
        <v>41798</v>
      </c>
    </row>
    <row r="2545" customFormat="false" ht="14.25" hidden="false" customHeight="false" outlineLevel="0" collapsed="false">
      <c r="A2545" s="1" t="n">
        <v>2014</v>
      </c>
      <c r="B2545" s="1" t="n">
        <v>1</v>
      </c>
      <c r="C2545" s="2" t="s">
        <v>50</v>
      </c>
      <c r="D2545" s="3" t="s">
        <v>158</v>
      </c>
      <c r="E2545" s="3" t="n">
        <v>3</v>
      </c>
      <c r="F2545" s="1" t="n">
        <f aca="false">Y2545-X2545</f>
        <v>5</v>
      </c>
      <c r="G2545" s="1" t="n">
        <v>5</v>
      </c>
      <c r="H2545" s="3" t="s">
        <v>48</v>
      </c>
      <c r="I2545" s="3" t="s">
        <v>49</v>
      </c>
      <c r="J2545" s="3" t="s">
        <v>104</v>
      </c>
      <c r="K2545" s="2" t="str">
        <f aca="false">CONCATENATE(I2545," ",J2545)</f>
        <v>Alopecosa taeniata</v>
      </c>
      <c r="L2545" s="3" t="n">
        <f aca="false">SUM(P2545:U2545)</f>
        <v>2</v>
      </c>
      <c r="M2545" s="11" t="n">
        <f aca="false">(L2545/(F2545*G2545)*25)*4</f>
        <v>8</v>
      </c>
      <c r="N2545" s="1" t="s">
        <v>30</v>
      </c>
      <c r="O2545" s="1" t="s">
        <v>35</v>
      </c>
      <c r="P2545" s="3" t="n">
        <v>0</v>
      </c>
      <c r="Q2545" s="3" t="n">
        <v>2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f aca="false">SUM(P2545:Q2545)</f>
        <v>2</v>
      </c>
      <c r="W2545" s="3" t="n">
        <f aca="false">SUM(R2545:T2545)</f>
        <v>0</v>
      </c>
      <c r="X2545" s="22" t="n">
        <v>41793</v>
      </c>
      <c r="Y2545" s="22" t="n">
        <v>41798</v>
      </c>
    </row>
    <row r="2546" customFormat="false" ht="14.25" hidden="false" customHeight="false" outlineLevel="0" collapsed="false">
      <c r="A2546" s="1" t="n">
        <v>2014</v>
      </c>
      <c r="B2546" s="1" t="n">
        <v>1</v>
      </c>
      <c r="C2546" s="2" t="s">
        <v>50</v>
      </c>
      <c r="D2546" s="3" t="s">
        <v>158</v>
      </c>
      <c r="E2546" s="3" t="n">
        <v>3</v>
      </c>
      <c r="F2546" s="1" t="n">
        <f aca="false">Y2546-X2546</f>
        <v>5</v>
      </c>
      <c r="G2546" s="1" t="n">
        <v>5</v>
      </c>
      <c r="H2546" s="3" t="s">
        <v>48</v>
      </c>
      <c r="I2546" s="3" t="s">
        <v>49</v>
      </c>
      <c r="J2546" s="3" t="s">
        <v>119</v>
      </c>
      <c r="K2546" s="2" t="str">
        <f aca="false">CONCATENATE(I2546," ",J2546)</f>
        <v>Alopecosa sulzeri</v>
      </c>
      <c r="L2546" s="3" t="n">
        <f aca="false">SUM(P2546:U2546)</f>
        <v>1</v>
      </c>
      <c r="M2546" s="11" t="n">
        <f aca="false">(L2546/(F2546*G2546)*25)*4</f>
        <v>4</v>
      </c>
      <c r="N2546" s="1" t="s">
        <v>30</v>
      </c>
      <c r="O2546" s="1" t="s">
        <v>31</v>
      </c>
      <c r="P2546" s="3" t="n">
        <v>1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f aca="false">SUM(P2546:Q2546)</f>
        <v>1</v>
      </c>
      <c r="W2546" s="3" t="n">
        <f aca="false">SUM(R2546:T2546)</f>
        <v>0</v>
      </c>
      <c r="X2546" s="22" t="n">
        <v>41793</v>
      </c>
      <c r="Y2546" s="22" t="n">
        <v>41798</v>
      </c>
    </row>
    <row r="2547" customFormat="false" ht="14.25" hidden="false" customHeight="false" outlineLevel="0" collapsed="false">
      <c r="A2547" s="1" t="n">
        <v>2014</v>
      </c>
      <c r="B2547" s="1" t="n">
        <v>1</v>
      </c>
      <c r="C2547" s="2" t="s">
        <v>50</v>
      </c>
      <c r="D2547" s="3" t="s">
        <v>158</v>
      </c>
      <c r="E2547" s="3" t="n">
        <v>3</v>
      </c>
      <c r="F2547" s="1" t="n">
        <f aca="false">Y2547-X2547</f>
        <v>5</v>
      </c>
      <c r="G2547" s="1" t="n">
        <v>5</v>
      </c>
      <c r="H2547" s="3" t="s">
        <v>32</v>
      </c>
      <c r="I2547" s="3" t="s">
        <v>102</v>
      </c>
      <c r="J2547" s="3" t="s">
        <v>103</v>
      </c>
      <c r="K2547" s="2" t="str">
        <f aca="false">CONCATENATE(I2547," ",J2547)</f>
        <v>Agyneta olivacea</v>
      </c>
      <c r="L2547" s="3" t="n">
        <f aca="false">SUM(P2547:U2547)</f>
        <v>1</v>
      </c>
      <c r="M2547" s="11" t="n">
        <f aca="false">(L2547/(F2547*G2547)*25)*4</f>
        <v>4</v>
      </c>
      <c r="N2547" s="1" t="s">
        <v>30</v>
      </c>
      <c r="O2547" s="1" t="s">
        <v>31</v>
      </c>
      <c r="P2547" s="3" t="n">
        <v>1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f aca="false">SUM(P2547:Q2547)</f>
        <v>1</v>
      </c>
      <c r="W2547" s="3" t="n">
        <f aca="false">SUM(R2547:T2547)</f>
        <v>0</v>
      </c>
      <c r="X2547" s="22" t="n">
        <v>41793</v>
      </c>
      <c r="Y2547" s="22" t="n">
        <v>41798</v>
      </c>
    </row>
    <row r="2548" customFormat="false" ht="14.25" hidden="false" customHeight="false" outlineLevel="0" collapsed="false">
      <c r="A2548" s="1" t="n">
        <v>2014</v>
      </c>
      <c r="B2548" s="1" t="n">
        <v>1</v>
      </c>
      <c r="C2548" s="2" t="s">
        <v>50</v>
      </c>
      <c r="D2548" s="3" t="s">
        <v>158</v>
      </c>
      <c r="E2548" s="3" t="n">
        <v>3</v>
      </c>
      <c r="F2548" s="1" t="n">
        <f aca="false">Y2548-X2548</f>
        <v>5</v>
      </c>
      <c r="G2548" s="1" t="n">
        <v>5</v>
      </c>
      <c r="H2548" s="3" t="s">
        <v>32</v>
      </c>
      <c r="I2548" s="3" t="s">
        <v>84</v>
      </c>
      <c r="J2548" s="3" t="s">
        <v>168</v>
      </c>
      <c r="K2548" s="2" t="str">
        <f aca="false">CONCATENATE(I2548," ",J2548)</f>
        <v>Walckenaeria atrotibialis</v>
      </c>
      <c r="L2548" s="3" t="n">
        <f aca="false">SUM(P2548:U2548)</f>
        <v>1</v>
      </c>
      <c r="M2548" s="11" t="n">
        <f aca="false">(L2548/(F2548*G2548)*25)*4</f>
        <v>4</v>
      </c>
      <c r="N2548" s="1" t="s">
        <v>30</v>
      </c>
      <c r="O2548" s="1" t="s">
        <v>35</v>
      </c>
      <c r="P2548" s="3" t="n">
        <v>0</v>
      </c>
      <c r="Q2548" s="3" t="n">
        <v>1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f aca="false">SUM(P2548:Q2548)</f>
        <v>1</v>
      </c>
      <c r="W2548" s="3" t="n">
        <f aca="false">SUM(R2548:T2548)</f>
        <v>0</v>
      </c>
      <c r="X2548" s="22" t="n">
        <v>41793</v>
      </c>
      <c r="Y2548" s="22" t="n">
        <v>41798</v>
      </c>
    </row>
    <row r="2549" customFormat="false" ht="14.25" hidden="false" customHeight="false" outlineLevel="0" collapsed="false">
      <c r="A2549" s="1" t="n">
        <v>2014</v>
      </c>
      <c r="B2549" s="1" t="n">
        <v>1</v>
      </c>
      <c r="C2549" s="2" t="s">
        <v>50</v>
      </c>
      <c r="D2549" s="3" t="s">
        <v>158</v>
      </c>
      <c r="E2549" s="3" t="n">
        <v>3</v>
      </c>
      <c r="F2549" s="1" t="n">
        <f aca="false">Y2549-X2549</f>
        <v>5</v>
      </c>
      <c r="G2549" s="1" t="n">
        <v>5</v>
      </c>
      <c r="H2549" s="3" t="s">
        <v>32</v>
      </c>
      <c r="I2549" s="3" t="s">
        <v>96</v>
      </c>
      <c r="J2549" s="3" t="s">
        <v>97</v>
      </c>
      <c r="K2549" s="2" t="str">
        <f aca="false">CONCATENATE(I2549," ",J2549)</f>
        <v>Diplocephalus picinus</v>
      </c>
      <c r="L2549" s="3" t="n">
        <f aca="false">SUM(P2549:U2549)</f>
        <v>1</v>
      </c>
      <c r="M2549" s="11" t="n">
        <f aca="false">(L2549/(F2549*G2549)*25)*4</f>
        <v>4</v>
      </c>
      <c r="N2549" s="1" t="s">
        <v>30</v>
      </c>
      <c r="O2549" s="1" t="s">
        <v>31</v>
      </c>
      <c r="P2549" s="3" t="n">
        <v>1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f aca="false">SUM(P2549:Q2549)</f>
        <v>1</v>
      </c>
      <c r="W2549" s="3" t="n">
        <f aca="false">SUM(R2549:T2549)</f>
        <v>0</v>
      </c>
      <c r="X2549" s="22" t="n">
        <v>41793</v>
      </c>
      <c r="Y2549" s="22" t="n">
        <v>41798</v>
      </c>
    </row>
    <row r="2550" customFormat="false" ht="14.25" hidden="false" customHeight="false" outlineLevel="0" collapsed="false">
      <c r="A2550" s="1" t="n">
        <v>2014</v>
      </c>
      <c r="B2550" s="1" t="n">
        <v>1</v>
      </c>
      <c r="C2550" s="2" t="s">
        <v>50</v>
      </c>
      <c r="D2550" s="3" t="s">
        <v>158</v>
      </c>
      <c r="E2550" s="3" t="n">
        <v>3</v>
      </c>
      <c r="F2550" s="1" t="n">
        <f aca="false">Y2550-X2550</f>
        <v>5</v>
      </c>
      <c r="G2550" s="1" t="n">
        <v>5</v>
      </c>
      <c r="H2550" s="3" t="s">
        <v>36</v>
      </c>
      <c r="I2550" s="3" t="s">
        <v>131</v>
      </c>
      <c r="J2550" s="3" t="s">
        <v>229</v>
      </c>
      <c r="K2550" s="2" t="str">
        <f aca="false">CONCATENATE(I2550," ",J2550)</f>
        <v>Xysticus emertoni</v>
      </c>
      <c r="L2550" s="3" t="n">
        <f aca="false">SUM(P2550:U2550)</f>
        <v>2</v>
      </c>
      <c r="M2550" s="11" t="n">
        <f aca="false">(L2550/(F2550*G2550)*25)*4</f>
        <v>8</v>
      </c>
      <c r="N2550" s="1" t="s">
        <v>30</v>
      </c>
      <c r="O2550" s="1" t="s">
        <v>31</v>
      </c>
      <c r="P2550" s="3" t="n">
        <v>2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f aca="false">SUM(P2550:Q2550)</f>
        <v>2</v>
      </c>
      <c r="W2550" s="3" t="n">
        <f aca="false">SUM(R2550:T2550)</f>
        <v>0</v>
      </c>
      <c r="X2550" s="22" t="n">
        <v>41793</v>
      </c>
      <c r="Y2550" s="22" t="n">
        <v>41798</v>
      </c>
    </row>
    <row r="2551" customFormat="false" ht="14.25" hidden="false" customHeight="false" outlineLevel="0" collapsed="false">
      <c r="A2551" s="1" t="n">
        <v>2014</v>
      </c>
      <c r="B2551" s="1" t="n">
        <v>1</v>
      </c>
      <c r="C2551" s="2" t="s">
        <v>50</v>
      </c>
      <c r="D2551" s="3" t="s">
        <v>158</v>
      </c>
      <c r="E2551" s="3" t="n">
        <v>3</v>
      </c>
      <c r="F2551" s="1" t="n">
        <f aca="false">Y2551-X2551</f>
        <v>5</v>
      </c>
      <c r="G2551" s="1" t="n">
        <v>5</v>
      </c>
      <c r="H2551" s="3" t="s">
        <v>36</v>
      </c>
      <c r="I2551" s="3" t="s">
        <v>131</v>
      </c>
      <c r="J2551" s="3" t="s">
        <v>133</v>
      </c>
      <c r="K2551" s="2" t="str">
        <f aca="false">CONCATENATE(I2551," ",J2551)</f>
        <v>Xysticus luctuosus</v>
      </c>
      <c r="L2551" s="3" t="n">
        <f aca="false">SUM(P2551:U2551)</f>
        <v>2</v>
      </c>
      <c r="M2551" s="11" t="n">
        <f aca="false">(L2551/(F2551*G2551)*25)*4</f>
        <v>8</v>
      </c>
      <c r="N2551" s="1" t="s">
        <v>30</v>
      </c>
      <c r="O2551" s="1" t="s">
        <v>31</v>
      </c>
      <c r="P2551" s="3" t="n">
        <v>2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f aca="false">SUM(P2551:Q2551)</f>
        <v>2</v>
      </c>
      <c r="W2551" s="3" t="n">
        <f aca="false">SUM(R2551:T2551)</f>
        <v>0</v>
      </c>
      <c r="X2551" s="22" t="n">
        <v>41793</v>
      </c>
      <c r="Y2551" s="22" t="n">
        <v>41798</v>
      </c>
    </row>
    <row r="2552" customFormat="false" ht="14.25" hidden="false" customHeight="false" outlineLevel="0" collapsed="false">
      <c r="A2552" s="1" t="n">
        <v>2014</v>
      </c>
      <c r="B2552" s="1" t="n">
        <v>1</v>
      </c>
      <c r="C2552" s="2" t="s">
        <v>50</v>
      </c>
      <c r="D2552" s="3" t="s">
        <v>158</v>
      </c>
      <c r="E2552" s="3" t="n">
        <v>3</v>
      </c>
      <c r="F2552" s="1" t="n">
        <f aca="false">Y2552-X2552</f>
        <v>5</v>
      </c>
      <c r="G2552" s="1" t="n">
        <v>5</v>
      </c>
      <c r="H2552" s="3" t="s">
        <v>135</v>
      </c>
      <c r="I2552" s="3" t="s">
        <v>136</v>
      </c>
      <c r="J2552" s="3" t="s">
        <v>137</v>
      </c>
      <c r="K2552" s="2" t="str">
        <f aca="false">CONCATENATE(I2552," ",J2552)</f>
        <v>Thanatus sabulosus</v>
      </c>
      <c r="L2552" s="3" t="n">
        <f aca="false">SUM(P2552:U2552)</f>
        <v>1</v>
      </c>
      <c r="M2552" s="11" t="n">
        <f aca="false">(L2552/(F2552*G2552)*25)*4</f>
        <v>4</v>
      </c>
      <c r="N2552" s="1" t="s">
        <v>30</v>
      </c>
      <c r="O2552" s="1" t="s">
        <v>31</v>
      </c>
      <c r="P2552" s="3" t="n">
        <v>1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f aca="false">SUM(P2552:Q2552)</f>
        <v>1</v>
      </c>
      <c r="W2552" s="3" t="n">
        <f aca="false">SUM(R2552:T2552)</f>
        <v>0</v>
      </c>
      <c r="X2552" s="22" t="n">
        <v>41793</v>
      </c>
      <c r="Y2552" s="22" t="n">
        <v>41798</v>
      </c>
    </row>
    <row r="2553" customFormat="false" ht="14.25" hidden="false" customHeight="false" outlineLevel="0" collapsed="false">
      <c r="A2553" s="1" t="n">
        <v>2014</v>
      </c>
      <c r="B2553" s="1" t="n">
        <v>1</v>
      </c>
      <c r="C2553" s="2" t="s">
        <v>50</v>
      </c>
      <c r="D2553" s="3" t="s">
        <v>158</v>
      </c>
      <c r="E2553" s="3" t="n">
        <v>3</v>
      </c>
      <c r="F2553" s="1" t="n">
        <f aca="false">Y2553-X2553</f>
        <v>5</v>
      </c>
      <c r="G2553" s="1" t="n">
        <v>5</v>
      </c>
      <c r="H2553" s="3" t="s">
        <v>72</v>
      </c>
      <c r="I2553" s="3" t="s">
        <v>73</v>
      </c>
      <c r="J2553" s="3" t="s">
        <v>38</v>
      </c>
      <c r="K2553" s="2" t="str">
        <f aca="false">CONCATENATE(I2553," ",J2553)</f>
        <v>Zelotes sp</v>
      </c>
      <c r="L2553" s="3" t="n">
        <f aca="false">SUM(P2553:U2553)</f>
        <v>1</v>
      </c>
      <c r="M2553" s="11" t="n">
        <f aca="false">(L2553/(F2553*G2553)*25)*4</f>
        <v>4</v>
      </c>
      <c r="N2553" s="1" t="s">
        <v>19</v>
      </c>
      <c r="O2553" s="1" t="s">
        <v>31</v>
      </c>
      <c r="P2553" s="3" t="n">
        <v>0</v>
      </c>
      <c r="Q2553" s="3" t="n">
        <v>0</v>
      </c>
      <c r="R2553" s="3" t="n">
        <v>1</v>
      </c>
      <c r="S2553" s="3" t="n">
        <v>0</v>
      </c>
      <c r="T2553" s="3" t="n">
        <v>0</v>
      </c>
      <c r="U2553" s="3" t="n">
        <v>0</v>
      </c>
      <c r="V2553" s="3" t="n">
        <f aca="false">SUM(P2553:Q2553)</f>
        <v>0</v>
      </c>
      <c r="W2553" s="3" t="n">
        <f aca="false">SUM(R2553:T2553)</f>
        <v>1</v>
      </c>
      <c r="X2553" s="22" t="n">
        <v>41793</v>
      </c>
      <c r="Y2553" s="22" t="n">
        <v>41798</v>
      </c>
    </row>
    <row r="2554" customFormat="false" ht="14.25" hidden="false" customHeight="false" outlineLevel="0" collapsed="false">
      <c r="A2554" s="1" t="n">
        <v>2014</v>
      </c>
      <c r="B2554" s="1" t="n">
        <v>1</v>
      </c>
      <c r="C2554" s="2" t="s">
        <v>50</v>
      </c>
      <c r="D2554" s="3" t="s">
        <v>158</v>
      </c>
      <c r="E2554" s="3" t="n">
        <v>3</v>
      </c>
      <c r="F2554" s="1" t="n">
        <f aca="false">Y2554-X2554</f>
        <v>5</v>
      </c>
      <c r="G2554" s="1" t="n">
        <v>5</v>
      </c>
      <c r="H2554" s="3" t="s">
        <v>48</v>
      </c>
      <c r="I2554" s="3" t="s">
        <v>61</v>
      </c>
      <c r="J2554" s="3" t="s">
        <v>38</v>
      </c>
      <c r="K2554" s="2" t="str">
        <f aca="false">CONCATENATE(I2554," ",J2554)</f>
        <v>Trochosa sp</v>
      </c>
      <c r="L2554" s="3" t="n">
        <f aca="false">SUM(P2554:U2554)</f>
        <v>1</v>
      </c>
      <c r="M2554" s="11" t="n">
        <f aca="false">(L2554/(F2554*G2554)*25)*4</f>
        <v>4</v>
      </c>
      <c r="N2554" s="1" t="s">
        <v>19</v>
      </c>
      <c r="O2554" s="1" t="s">
        <v>54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1</v>
      </c>
      <c r="U2554" s="3" t="n">
        <v>0</v>
      </c>
      <c r="V2554" s="3" t="n">
        <f aca="false">SUM(P2554:Q2554)</f>
        <v>0</v>
      </c>
      <c r="W2554" s="3" t="n">
        <f aca="false">SUM(R2554:T2554)</f>
        <v>1</v>
      </c>
      <c r="X2554" s="22" t="n">
        <v>41793</v>
      </c>
      <c r="Y2554" s="22" t="n">
        <v>41798</v>
      </c>
    </row>
    <row r="2555" customFormat="false" ht="14.25" hidden="false" customHeight="false" outlineLevel="0" collapsed="false">
      <c r="A2555" s="1" t="n">
        <v>2014</v>
      </c>
      <c r="B2555" s="1" t="n">
        <v>1</v>
      </c>
      <c r="C2555" s="2" t="s">
        <v>50</v>
      </c>
      <c r="D2555" s="3" t="s">
        <v>158</v>
      </c>
      <c r="E2555" s="3" t="n">
        <v>3</v>
      </c>
      <c r="F2555" s="1" t="n">
        <f aca="false">Y2555-X2555</f>
        <v>5</v>
      </c>
      <c r="G2555" s="1" t="n">
        <v>5</v>
      </c>
      <c r="H2555" s="3" t="s">
        <v>48</v>
      </c>
      <c r="I2555" s="3" t="s">
        <v>67</v>
      </c>
      <c r="J2555" s="3" t="s">
        <v>127</v>
      </c>
      <c r="K2555" s="2" t="str">
        <f aca="false">CONCATENATE(I2555," ",J2555)</f>
        <v>Pardosa lugubris</v>
      </c>
      <c r="L2555" s="3" t="n">
        <f aca="false">SUM(P2555:U2555)</f>
        <v>3</v>
      </c>
      <c r="M2555" s="11" t="n">
        <f aca="false">(L2555/(F2555*G2555)*25)*4</f>
        <v>12</v>
      </c>
      <c r="N2555" s="1" t="s">
        <v>30</v>
      </c>
      <c r="O2555" s="1" t="s">
        <v>31</v>
      </c>
      <c r="P2555" s="3" t="n">
        <v>3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f aca="false">SUM(P2555:Q2555)</f>
        <v>3</v>
      </c>
      <c r="W2555" s="3" t="n">
        <f aca="false">SUM(R2555:T2555)</f>
        <v>0</v>
      </c>
      <c r="X2555" s="22" t="n">
        <v>41793</v>
      </c>
      <c r="Y2555" s="22" t="n">
        <v>41798</v>
      </c>
    </row>
    <row r="2556" customFormat="false" ht="14.25" hidden="false" customHeight="false" outlineLevel="0" collapsed="false">
      <c r="A2556" s="1" t="n">
        <v>2014</v>
      </c>
      <c r="B2556" s="1" t="n">
        <v>1</v>
      </c>
      <c r="C2556" s="2" t="s">
        <v>50</v>
      </c>
      <c r="D2556" s="3" t="s">
        <v>158</v>
      </c>
      <c r="E2556" s="3" t="n">
        <v>3</v>
      </c>
      <c r="F2556" s="1" t="n">
        <f aca="false">Y2556-X2556</f>
        <v>5</v>
      </c>
      <c r="G2556" s="1" t="n">
        <v>5</v>
      </c>
      <c r="H2556" s="3" t="s">
        <v>48</v>
      </c>
      <c r="I2556" s="3" t="s">
        <v>49</v>
      </c>
      <c r="J2556" s="3" t="s">
        <v>104</v>
      </c>
      <c r="K2556" s="2" t="str">
        <f aca="false">CONCATENATE(I2556," ",J2556)</f>
        <v>Alopecosa taeniata</v>
      </c>
      <c r="L2556" s="3" t="n">
        <f aca="false">SUM(P2556:U2556)</f>
        <v>1</v>
      </c>
      <c r="M2556" s="11" t="n">
        <f aca="false">(L2556/(F2556*G2556)*25)*4</f>
        <v>4</v>
      </c>
      <c r="N2556" s="1" t="s">
        <v>30</v>
      </c>
      <c r="O2556" s="1" t="s">
        <v>31</v>
      </c>
      <c r="P2556" s="3" t="n">
        <v>1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f aca="false">SUM(P2556:Q2556)</f>
        <v>1</v>
      </c>
      <c r="W2556" s="3" t="n">
        <f aca="false">SUM(R2556:T2556)</f>
        <v>0</v>
      </c>
      <c r="X2556" s="22" t="n">
        <v>41793</v>
      </c>
      <c r="Y2556" s="22" t="n">
        <v>41798</v>
      </c>
    </row>
    <row r="2557" customFormat="false" ht="14.25" hidden="false" customHeight="false" outlineLevel="0" collapsed="false">
      <c r="A2557" s="1" t="n">
        <v>2014</v>
      </c>
      <c r="B2557" s="1" t="n">
        <v>1</v>
      </c>
      <c r="C2557" s="2" t="s">
        <v>50</v>
      </c>
      <c r="D2557" s="3" t="s">
        <v>158</v>
      </c>
      <c r="E2557" s="3" t="n">
        <v>3</v>
      </c>
      <c r="F2557" s="1" t="n">
        <f aca="false">Y2557-X2557</f>
        <v>5</v>
      </c>
      <c r="G2557" s="1" t="n">
        <v>5</v>
      </c>
      <c r="H2557" s="3" t="s">
        <v>32</v>
      </c>
      <c r="I2557" s="3" t="s">
        <v>169</v>
      </c>
      <c r="J2557" s="3" t="s">
        <v>170</v>
      </c>
      <c r="K2557" s="2" t="str">
        <f aca="false">CONCATENATE(I2557," ",J2557)</f>
        <v>Abacoproeces saltuum</v>
      </c>
      <c r="L2557" s="3" t="n">
        <f aca="false">SUM(P2557:U2557)</f>
        <v>3</v>
      </c>
      <c r="M2557" s="11" t="n">
        <f aca="false">(L2557/(F2557*G2557)*25)*4</f>
        <v>12</v>
      </c>
      <c r="N2557" s="1" t="s">
        <v>30</v>
      </c>
      <c r="O2557" s="1" t="s">
        <v>31</v>
      </c>
      <c r="P2557" s="3" t="n">
        <v>3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f aca="false">SUM(P2557:Q2557)</f>
        <v>3</v>
      </c>
      <c r="W2557" s="3" t="n">
        <f aca="false">SUM(R2557:T2557)</f>
        <v>0</v>
      </c>
      <c r="X2557" s="22" t="n">
        <v>41793</v>
      </c>
      <c r="Y2557" s="22" t="n">
        <v>41798</v>
      </c>
    </row>
    <row r="2558" customFormat="false" ht="14.25" hidden="false" customHeight="false" outlineLevel="0" collapsed="false">
      <c r="A2558" s="1" t="n">
        <v>2014</v>
      </c>
      <c r="B2558" s="1" t="n">
        <v>1</v>
      </c>
      <c r="C2558" s="2" t="s">
        <v>50</v>
      </c>
      <c r="D2558" s="3" t="s">
        <v>158</v>
      </c>
      <c r="E2558" s="3" t="n">
        <v>3</v>
      </c>
      <c r="F2558" s="1" t="n">
        <f aca="false">Y2558-X2558</f>
        <v>5</v>
      </c>
      <c r="G2558" s="1" t="n">
        <v>5</v>
      </c>
      <c r="H2558" s="3" t="s">
        <v>32</v>
      </c>
      <c r="I2558" s="3" t="s">
        <v>62</v>
      </c>
      <c r="J2558" s="3" t="s">
        <v>63</v>
      </c>
      <c r="K2558" s="2" t="str">
        <f aca="false">CONCATENATE(I2558," ",J2558)</f>
        <v>Microneta viaria</v>
      </c>
      <c r="L2558" s="3" t="n">
        <f aca="false">SUM(P2558:U2558)</f>
        <v>1</v>
      </c>
      <c r="M2558" s="11" t="n">
        <f aca="false">(L2558/(F2558*G2558)*25)*4</f>
        <v>4</v>
      </c>
      <c r="N2558" s="1" t="s">
        <v>30</v>
      </c>
      <c r="O2558" s="1" t="s">
        <v>35</v>
      </c>
      <c r="P2558" s="3" t="n">
        <v>0</v>
      </c>
      <c r="Q2558" s="3" t="n">
        <v>1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f aca="false">SUM(P2558:Q2558)</f>
        <v>1</v>
      </c>
      <c r="W2558" s="3" t="n">
        <f aca="false">SUM(R2558:T2558)</f>
        <v>0</v>
      </c>
      <c r="X2558" s="22" t="n">
        <v>41793</v>
      </c>
      <c r="Y2558" s="22" t="n">
        <v>41798</v>
      </c>
    </row>
    <row r="2559" customFormat="false" ht="14.25" hidden="false" customHeight="false" outlineLevel="0" collapsed="false">
      <c r="A2559" s="1" t="n">
        <v>2014</v>
      </c>
      <c r="B2559" s="1" t="n">
        <v>1</v>
      </c>
      <c r="C2559" s="2" t="s">
        <v>50</v>
      </c>
      <c r="D2559" s="3" t="s">
        <v>158</v>
      </c>
      <c r="E2559" s="3" t="n">
        <v>3</v>
      </c>
      <c r="F2559" s="1" t="n">
        <f aca="false">Y2559-X2559</f>
        <v>5</v>
      </c>
      <c r="G2559" s="1" t="n">
        <v>5</v>
      </c>
      <c r="H2559" s="3" t="s">
        <v>32</v>
      </c>
      <c r="I2559" s="3" t="s">
        <v>84</v>
      </c>
      <c r="J2559" s="3" t="s">
        <v>248</v>
      </c>
      <c r="K2559" s="2" t="str">
        <f aca="false">CONCATENATE(I2559," ",J2559)</f>
        <v>Walckenaeria furcillata</v>
      </c>
      <c r="L2559" s="3" t="n">
        <f aca="false">SUM(P2559:U2559)</f>
        <v>1</v>
      </c>
      <c r="M2559" s="11" t="n">
        <f aca="false">(L2559/(F2559*G2559)*25)*4</f>
        <v>4</v>
      </c>
      <c r="N2559" s="1" t="s">
        <v>30</v>
      </c>
      <c r="O2559" s="1" t="s">
        <v>35</v>
      </c>
      <c r="P2559" s="3" t="n">
        <v>0</v>
      </c>
      <c r="Q2559" s="3" t="n">
        <v>1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f aca="false">SUM(P2559:Q2559)</f>
        <v>1</v>
      </c>
      <c r="W2559" s="3" t="n">
        <f aca="false">SUM(R2559:T2559)</f>
        <v>0</v>
      </c>
      <c r="X2559" s="22" t="n">
        <v>41793</v>
      </c>
      <c r="Y2559" s="22" t="n">
        <v>41798</v>
      </c>
    </row>
    <row r="2560" customFormat="false" ht="14.25" hidden="false" customHeight="false" outlineLevel="0" collapsed="false">
      <c r="A2560" s="1" t="n">
        <v>2014</v>
      </c>
      <c r="B2560" s="1" t="n">
        <v>1</v>
      </c>
      <c r="C2560" s="2" t="s">
        <v>50</v>
      </c>
      <c r="D2560" s="3" t="s">
        <v>158</v>
      </c>
      <c r="E2560" s="3" t="n">
        <v>3</v>
      </c>
      <c r="F2560" s="1" t="n">
        <f aca="false">Y2560-X2560</f>
        <v>5</v>
      </c>
      <c r="G2560" s="1" t="n">
        <v>5</v>
      </c>
      <c r="H2560" s="3" t="s">
        <v>32</v>
      </c>
      <c r="I2560" s="3" t="s">
        <v>55</v>
      </c>
      <c r="J2560" s="3" t="s">
        <v>56</v>
      </c>
      <c r="K2560" s="2" t="str">
        <f aca="false">CONCATENATE(I2560," ",J2560)</f>
        <v>Maro minutus</v>
      </c>
      <c r="L2560" s="3" t="n">
        <f aca="false">SUM(P2560:U2560)</f>
        <v>1</v>
      </c>
      <c r="M2560" s="11" t="n">
        <f aca="false">(L2560/(F2560*G2560)*25)*4</f>
        <v>4</v>
      </c>
      <c r="N2560" s="1" t="s">
        <v>30</v>
      </c>
      <c r="O2560" s="1" t="s">
        <v>31</v>
      </c>
      <c r="P2560" s="3" t="n">
        <v>1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f aca="false">SUM(P2560:Q2560)</f>
        <v>1</v>
      </c>
      <c r="W2560" s="3" t="n">
        <f aca="false">SUM(R2560:T2560)</f>
        <v>0</v>
      </c>
      <c r="X2560" s="22" t="n">
        <v>41793</v>
      </c>
      <c r="Y2560" s="22" t="n">
        <v>41798</v>
      </c>
    </row>
    <row r="2561" customFormat="false" ht="14.25" hidden="false" customHeight="false" outlineLevel="0" collapsed="false">
      <c r="A2561" s="1" t="n">
        <v>2014</v>
      </c>
      <c r="B2561" s="1" t="n">
        <v>1</v>
      </c>
      <c r="C2561" s="2" t="s">
        <v>50</v>
      </c>
      <c r="D2561" s="3" t="s">
        <v>158</v>
      </c>
      <c r="E2561" s="3" t="n">
        <v>3</v>
      </c>
      <c r="F2561" s="1" t="n">
        <f aca="false">Y2561-X2561</f>
        <v>5</v>
      </c>
      <c r="G2561" s="1" t="n">
        <v>5</v>
      </c>
      <c r="H2561" s="3" t="s">
        <v>36</v>
      </c>
      <c r="I2561" s="3" t="s">
        <v>131</v>
      </c>
      <c r="J2561" s="3" t="s">
        <v>229</v>
      </c>
      <c r="K2561" s="2" t="str">
        <f aca="false">CONCATENATE(I2561," ",J2561)</f>
        <v>Xysticus emertoni</v>
      </c>
      <c r="L2561" s="3" t="n">
        <f aca="false">SUM(P2561:U2561)</f>
        <v>3</v>
      </c>
      <c r="M2561" s="11" t="n">
        <f aca="false">(L2561/(F2561*G2561)*25)*4</f>
        <v>12</v>
      </c>
      <c r="N2561" s="1" t="s">
        <v>30</v>
      </c>
      <c r="O2561" s="1" t="s">
        <v>31</v>
      </c>
      <c r="P2561" s="3" t="n">
        <v>3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f aca="false">SUM(P2561:Q2561)</f>
        <v>3</v>
      </c>
      <c r="W2561" s="3" t="n">
        <f aca="false">SUM(R2561:T2561)</f>
        <v>0</v>
      </c>
      <c r="X2561" s="22" t="n">
        <v>41793</v>
      </c>
      <c r="Y2561" s="22" t="n">
        <v>41798</v>
      </c>
    </row>
    <row r="2562" customFormat="false" ht="14.25" hidden="false" customHeight="false" outlineLevel="0" collapsed="false">
      <c r="A2562" s="1" t="n">
        <v>2014</v>
      </c>
      <c r="B2562" s="1" t="n">
        <v>1</v>
      </c>
      <c r="C2562" s="2" t="s">
        <v>50</v>
      </c>
      <c r="D2562" s="3" t="s">
        <v>158</v>
      </c>
      <c r="E2562" s="3" t="n">
        <v>3</v>
      </c>
      <c r="F2562" s="1" t="n">
        <f aca="false">Y2562-X2562</f>
        <v>5</v>
      </c>
      <c r="G2562" s="1" t="n">
        <v>5</v>
      </c>
      <c r="H2562" s="3" t="s">
        <v>36</v>
      </c>
      <c r="I2562" s="3" t="s">
        <v>131</v>
      </c>
      <c r="J2562" s="3" t="s">
        <v>133</v>
      </c>
      <c r="K2562" s="2" t="str">
        <f aca="false">CONCATENATE(I2562," ",J2562)</f>
        <v>Xysticus luctuosus</v>
      </c>
      <c r="L2562" s="3" t="n">
        <f aca="false">SUM(P2562:U2562)</f>
        <v>1</v>
      </c>
      <c r="M2562" s="11" t="n">
        <f aca="false">(L2562/(F2562*G2562)*25)*4</f>
        <v>4</v>
      </c>
      <c r="N2562" s="1" t="s">
        <v>30</v>
      </c>
      <c r="O2562" s="1" t="s">
        <v>31</v>
      </c>
      <c r="P2562" s="3" t="n">
        <v>1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f aca="false">SUM(P2562:Q2562)</f>
        <v>1</v>
      </c>
      <c r="W2562" s="3" t="n">
        <f aca="false">SUM(R2562:T2562)</f>
        <v>0</v>
      </c>
      <c r="X2562" s="22" t="n">
        <v>41793</v>
      </c>
      <c r="Y2562" s="22" t="n">
        <v>41798</v>
      </c>
    </row>
    <row r="2563" customFormat="false" ht="14.25" hidden="false" customHeight="false" outlineLevel="0" collapsed="false">
      <c r="A2563" s="1" t="n">
        <v>2014</v>
      </c>
      <c r="B2563" s="1" t="n">
        <v>1</v>
      </c>
      <c r="C2563" s="2" t="s">
        <v>50</v>
      </c>
      <c r="D2563" s="3" t="s">
        <v>158</v>
      </c>
      <c r="E2563" s="3" t="n">
        <v>3</v>
      </c>
      <c r="F2563" s="1" t="n">
        <f aca="false">Y2563-X2563</f>
        <v>5</v>
      </c>
      <c r="G2563" s="1" t="n">
        <v>5</v>
      </c>
      <c r="H2563" s="3" t="s">
        <v>72</v>
      </c>
      <c r="I2563" s="3" t="s">
        <v>86</v>
      </c>
      <c r="J2563" s="3" t="s">
        <v>87</v>
      </c>
      <c r="K2563" s="2" t="str">
        <f aca="false">CONCATENATE(I2563," ",J2563)</f>
        <v>Haplodrassus soerenseni</v>
      </c>
      <c r="L2563" s="3" t="n">
        <f aca="false">SUM(P2563:U2563)</f>
        <v>1</v>
      </c>
      <c r="M2563" s="11" t="n">
        <f aca="false">(L2563/(F2563*G2563)*25)*4</f>
        <v>4</v>
      </c>
      <c r="N2563" s="1" t="s">
        <v>30</v>
      </c>
      <c r="O2563" s="1" t="s">
        <v>35</v>
      </c>
      <c r="P2563" s="3" t="n">
        <v>0</v>
      </c>
      <c r="Q2563" s="3" t="n">
        <v>1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f aca="false">SUM(P2563:Q2563)</f>
        <v>1</v>
      </c>
      <c r="W2563" s="3" t="n">
        <f aca="false">SUM(R2563:T2563)</f>
        <v>0</v>
      </c>
      <c r="X2563" s="22" t="n">
        <v>41793</v>
      </c>
      <c r="Y2563" s="22" t="n">
        <v>41798</v>
      </c>
    </row>
    <row r="2564" customFormat="false" ht="14.25" hidden="false" customHeight="false" outlineLevel="0" collapsed="false">
      <c r="A2564" s="1" t="n">
        <v>2014</v>
      </c>
      <c r="B2564" s="1" t="n">
        <v>1</v>
      </c>
      <c r="C2564" s="2" t="s">
        <v>50</v>
      </c>
      <c r="D2564" s="3" t="s">
        <v>158</v>
      </c>
      <c r="E2564" s="3" t="n">
        <v>3</v>
      </c>
      <c r="F2564" s="1" t="n">
        <f aca="false">Y2564-X2564</f>
        <v>5</v>
      </c>
      <c r="G2564" s="1" t="n">
        <v>5</v>
      </c>
      <c r="H2564" s="3" t="s">
        <v>72</v>
      </c>
      <c r="I2564" s="3" t="s">
        <v>73</v>
      </c>
      <c r="J2564" s="3" t="s">
        <v>74</v>
      </c>
      <c r="K2564" s="2" t="str">
        <f aca="false">CONCATENATE(I2564," ",J2564)</f>
        <v>Zelotes subterraneus</v>
      </c>
      <c r="L2564" s="3" t="n">
        <f aca="false">SUM(P2564:U2564)</f>
        <v>1</v>
      </c>
      <c r="M2564" s="11" t="n">
        <f aca="false">(L2564/(F2564*G2564)*25)*4</f>
        <v>4</v>
      </c>
      <c r="N2564" s="1" t="s">
        <v>30</v>
      </c>
      <c r="O2564" s="1" t="s">
        <v>31</v>
      </c>
      <c r="P2564" s="3" t="n">
        <v>1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f aca="false">SUM(P2564:Q2564)</f>
        <v>1</v>
      </c>
      <c r="W2564" s="3" t="n">
        <f aca="false">SUM(R2564:T2564)</f>
        <v>0</v>
      </c>
      <c r="X2564" s="22" t="n">
        <v>41793</v>
      </c>
      <c r="Y2564" s="22" t="n">
        <v>41798</v>
      </c>
    </row>
    <row r="2565" customFormat="false" ht="14.25" hidden="false" customHeight="false" outlineLevel="0" collapsed="false">
      <c r="A2565" s="1" t="n">
        <v>2014</v>
      </c>
      <c r="B2565" s="1" t="n">
        <v>1</v>
      </c>
      <c r="C2565" s="2" t="s">
        <v>50</v>
      </c>
      <c r="D2565" s="3" t="s">
        <v>158</v>
      </c>
      <c r="E2565" s="3" t="n">
        <v>3</v>
      </c>
      <c r="F2565" s="1" t="n">
        <f aca="false">Y2565-X2565</f>
        <v>5</v>
      </c>
      <c r="G2565" s="1" t="n">
        <v>5</v>
      </c>
      <c r="H2565" s="3" t="s">
        <v>48</v>
      </c>
      <c r="I2565" s="3" t="s">
        <v>49</v>
      </c>
      <c r="J2565" s="3" t="s">
        <v>104</v>
      </c>
      <c r="K2565" s="2" t="str">
        <f aca="false">CONCATENATE(I2565," ",J2565)</f>
        <v>Alopecosa taeniata</v>
      </c>
      <c r="L2565" s="3" t="n">
        <f aca="false">SUM(P2565:U2565)</f>
        <v>2</v>
      </c>
      <c r="M2565" s="11" t="n">
        <f aca="false">(L2565/(F2565*G2565)*25)*4</f>
        <v>8</v>
      </c>
      <c r="N2565" s="1" t="s">
        <v>30</v>
      </c>
      <c r="O2565" s="1" t="s">
        <v>35</v>
      </c>
      <c r="P2565" s="3" t="n">
        <v>0</v>
      </c>
      <c r="Q2565" s="3" t="n">
        <v>2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f aca="false">SUM(P2565:Q2565)</f>
        <v>2</v>
      </c>
      <c r="W2565" s="3" t="n">
        <f aca="false">SUM(R2565:T2565)</f>
        <v>0</v>
      </c>
      <c r="X2565" s="22" t="n">
        <v>41793</v>
      </c>
      <c r="Y2565" s="22" t="n">
        <v>41798</v>
      </c>
    </row>
    <row r="2566" customFormat="false" ht="14.25" hidden="false" customHeight="false" outlineLevel="0" collapsed="false">
      <c r="A2566" s="1" t="n">
        <v>2014</v>
      </c>
      <c r="B2566" s="1" t="n">
        <v>1</v>
      </c>
      <c r="C2566" s="2" t="s">
        <v>50</v>
      </c>
      <c r="D2566" s="3" t="s">
        <v>158</v>
      </c>
      <c r="E2566" s="3" t="n">
        <v>3</v>
      </c>
      <c r="F2566" s="1" t="n">
        <f aca="false">Y2566-X2566</f>
        <v>5</v>
      </c>
      <c r="G2566" s="1" t="n">
        <v>5</v>
      </c>
      <c r="H2566" s="3" t="s">
        <v>48</v>
      </c>
      <c r="I2566" s="3" t="s">
        <v>67</v>
      </c>
      <c r="J2566" s="3" t="s">
        <v>127</v>
      </c>
      <c r="K2566" s="2" t="str">
        <f aca="false">CONCATENATE(I2566," ",J2566)</f>
        <v>Pardosa lugubris</v>
      </c>
      <c r="L2566" s="3" t="n">
        <f aca="false">SUM(P2566:U2566)</f>
        <v>4</v>
      </c>
      <c r="M2566" s="11" t="n">
        <f aca="false">(L2566/(F2566*G2566)*25)*4</f>
        <v>16</v>
      </c>
      <c r="N2566" s="1" t="s">
        <v>30</v>
      </c>
      <c r="O2566" s="1" t="s">
        <v>31</v>
      </c>
      <c r="P2566" s="3" t="n">
        <v>4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f aca="false">SUM(P2566:Q2566)</f>
        <v>4</v>
      </c>
      <c r="W2566" s="3" t="n">
        <f aca="false">SUM(R2566:T2566)</f>
        <v>0</v>
      </c>
      <c r="X2566" s="22" t="n">
        <v>41793</v>
      </c>
      <c r="Y2566" s="22" t="n">
        <v>41798</v>
      </c>
    </row>
    <row r="2567" customFormat="false" ht="14.25" hidden="false" customHeight="false" outlineLevel="0" collapsed="false">
      <c r="A2567" s="1" t="n">
        <v>2014</v>
      </c>
      <c r="B2567" s="1" t="n">
        <v>1</v>
      </c>
      <c r="C2567" s="2" t="s">
        <v>50</v>
      </c>
      <c r="D2567" s="3" t="s">
        <v>158</v>
      </c>
      <c r="E2567" s="3" t="n">
        <v>3</v>
      </c>
      <c r="F2567" s="1" t="n">
        <f aca="false">Y2567-X2567</f>
        <v>5</v>
      </c>
      <c r="G2567" s="1" t="n">
        <v>5</v>
      </c>
      <c r="H2567" s="3" t="s">
        <v>48</v>
      </c>
      <c r="I2567" s="3" t="s">
        <v>67</v>
      </c>
      <c r="J2567" s="3" t="s">
        <v>127</v>
      </c>
      <c r="K2567" s="2" t="str">
        <f aca="false">CONCATENATE(I2567," ",J2567)</f>
        <v>Pardosa lugubris</v>
      </c>
      <c r="L2567" s="3" t="n">
        <f aca="false">SUM(P2567:U2567)</f>
        <v>1</v>
      </c>
      <c r="M2567" s="11" t="n">
        <f aca="false">(L2567/(F2567*G2567)*25)*4</f>
        <v>4</v>
      </c>
      <c r="N2567" s="1" t="s">
        <v>30</v>
      </c>
      <c r="O2567" s="1" t="s">
        <v>35</v>
      </c>
      <c r="P2567" s="3" t="n">
        <v>0</v>
      </c>
      <c r="Q2567" s="3" t="n">
        <v>1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f aca="false">SUM(P2567:Q2567)</f>
        <v>1</v>
      </c>
      <c r="W2567" s="3" t="n">
        <f aca="false">SUM(R2567:T2567)</f>
        <v>0</v>
      </c>
      <c r="X2567" s="22" t="n">
        <v>41793</v>
      </c>
      <c r="Y2567" s="22" t="n">
        <v>41798</v>
      </c>
    </row>
    <row r="2568" customFormat="false" ht="14.25" hidden="false" customHeight="false" outlineLevel="0" collapsed="false">
      <c r="A2568" s="1" t="n">
        <v>2014</v>
      </c>
      <c r="B2568" s="1" t="n">
        <v>1</v>
      </c>
      <c r="C2568" s="2" t="s">
        <v>50</v>
      </c>
      <c r="D2568" s="3" t="s">
        <v>158</v>
      </c>
      <c r="E2568" s="3" t="n">
        <v>3</v>
      </c>
      <c r="F2568" s="1" t="n">
        <f aca="false">Y2568-X2568</f>
        <v>5</v>
      </c>
      <c r="G2568" s="1" t="n">
        <v>5</v>
      </c>
      <c r="H2568" s="3" t="s">
        <v>48</v>
      </c>
      <c r="I2568" s="3" t="s">
        <v>49</v>
      </c>
      <c r="J2568" s="3" t="s">
        <v>38</v>
      </c>
      <c r="K2568" s="2" t="str">
        <f aca="false">CONCATENATE(I2568," ",J2568)</f>
        <v>Alopecosa sp</v>
      </c>
      <c r="L2568" s="3" t="n">
        <f aca="false">SUM(P2568:U2568)</f>
        <v>1</v>
      </c>
      <c r="M2568" s="11" t="n">
        <f aca="false">(L2568/(F2568*G2568)*25)*4</f>
        <v>4</v>
      </c>
      <c r="N2568" s="1" t="s">
        <v>19</v>
      </c>
      <c r="O2568" s="1" t="s">
        <v>54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1</v>
      </c>
      <c r="U2568" s="3" t="n">
        <v>0</v>
      </c>
      <c r="V2568" s="3" t="n">
        <f aca="false">SUM(P2568:Q2568)</f>
        <v>0</v>
      </c>
      <c r="W2568" s="3" t="n">
        <f aca="false">SUM(R2568:T2568)</f>
        <v>1</v>
      </c>
      <c r="X2568" s="22" t="n">
        <v>41793</v>
      </c>
      <c r="Y2568" s="22" t="n">
        <v>41798</v>
      </c>
    </row>
    <row r="2569" customFormat="false" ht="14.25" hidden="false" customHeight="false" outlineLevel="0" collapsed="false">
      <c r="A2569" s="1" t="n">
        <v>2014</v>
      </c>
      <c r="B2569" s="1" t="n">
        <v>1</v>
      </c>
      <c r="C2569" s="2" t="s">
        <v>50</v>
      </c>
      <c r="D2569" s="3" t="s">
        <v>158</v>
      </c>
      <c r="E2569" s="3" t="n">
        <v>3</v>
      </c>
      <c r="F2569" s="1" t="n">
        <f aca="false">Y2569-X2569</f>
        <v>5</v>
      </c>
      <c r="G2569" s="1" t="n">
        <v>5</v>
      </c>
      <c r="H2569" s="3" t="s">
        <v>48</v>
      </c>
      <c r="I2569" s="3" t="s">
        <v>61</v>
      </c>
      <c r="J2569" s="3" t="s">
        <v>38</v>
      </c>
      <c r="K2569" s="2" t="str">
        <f aca="false">CONCATENATE(I2569," ",J2569)</f>
        <v>Trochosa sp</v>
      </c>
      <c r="L2569" s="3" t="n">
        <f aca="false">SUM(P2569:U2569)</f>
        <v>1</v>
      </c>
      <c r="M2569" s="11" t="n">
        <f aca="false">(L2569/(F2569*G2569)*25)*4</f>
        <v>4</v>
      </c>
      <c r="N2569" s="1" t="s">
        <v>19</v>
      </c>
      <c r="O2569" s="1" t="s">
        <v>54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1</v>
      </c>
      <c r="U2569" s="3" t="n">
        <v>0</v>
      </c>
      <c r="V2569" s="3" t="n">
        <f aca="false">SUM(P2569:Q2569)</f>
        <v>0</v>
      </c>
      <c r="W2569" s="3" t="n">
        <f aca="false">SUM(R2569:T2569)</f>
        <v>1</v>
      </c>
      <c r="X2569" s="22" t="n">
        <v>41793</v>
      </c>
      <c r="Y2569" s="22" t="n">
        <v>41798</v>
      </c>
    </row>
    <row r="2570" customFormat="false" ht="14.25" hidden="false" customHeight="false" outlineLevel="0" collapsed="false">
      <c r="A2570" s="1" t="n">
        <v>2014</v>
      </c>
      <c r="B2570" s="1" t="n">
        <v>1</v>
      </c>
      <c r="C2570" s="2" t="s">
        <v>50</v>
      </c>
      <c r="D2570" s="3" t="s">
        <v>158</v>
      </c>
      <c r="E2570" s="3" t="n">
        <v>3</v>
      </c>
      <c r="F2570" s="1" t="n">
        <f aca="false">Y2570-X2570</f>
        <v>5</v>
      </c>
      <c r="G2570" s="1" t="n">
        <v>5</v>
      </c>
      <c r="H2570" s="3" t="s">
        <v>48</v>
      </c>
      <c r="I2570" s="3" t="s">
        <v>67</v>
      </c>
      <c r="J2570" s="3" t="s">
        <v>38</v>
      </c>
      <c r="K2570" s="2" t="str">
        <f aca="false">CONCATENATE(I2570," ",J2570)</f>
        <v>Pardosa sp</v>
      </c>
      <c r="L2570" s="3" t="n">
        <f aca="false">SUM(P2570:U2570)</f>
        <v>2</v>
      </c>
      <c r="M2570" s="11" t="n">
        <f aca="false">(L2570/(F2570*G2570)*25)*4</f>
        <v>8</v>
      </c>
      <c r="N2570" s="1" t="s">
        <v>19</v>
      </c>
      <c r="O2570" s="1" t="s">
        <v>54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2</v>
      </c>
      <c r="U2570" s="3" t="n">
        <v>0</v>
      </c>
      <c r="V2570" s="3" t="n">
        <f aca="false">SUM(P2570:Q2570)</f>
        <v>0</v>
      </c>
      <c r="W2570" s="3" t="n">
        <f aca="false">SUM(R2570:T2570)</f>
        <v>2</v>
      </c>
      <c r="X2570" s="22" t="n">
        <v>41793</v>
      </c>
      <c r="Y2570" s="22" t="n">
        <v>41798</v>
      </c>
    </row>
    <row r="2571" customFormat="false" ht="14.25" hidden="false" customHeight="false" outlineLevel="0" collapsed="false">
      <c r="A2571" s="1" t="n">
        <v>2014</v>
      </c>
      <c r="B2571" s="1" t="n">
        <v>1</v>
      </c>
      <c r="C2571" s="2" t="s">
        <v>50</v>
      </c>
      <c r="D2571" s="3" t="s">
        <v>158</v>
      </c>
      <c r="E2571" s="3" t="n">
        <v>3</v>
      </c>
      <c r="F2571" s="1" t="n">
        <f aca="false">Y2571-X2571</f>
        <v>5</v>
      </c>
      <c r="G2571" s="1" t="n">
        <v>5</v>
      </c>
      <c r="H2571" s="3" t="s">
        <v>32</v>
      </c>
      <c r="I2571" s="3" t="s">
        <v>55</v>
      </c>
      <c r="J2571" s="3" t="s">
        <v>56</v>
      </c>
      <c r="K2571" s="2" t="str">
        <f aca="false">CONCATENATE(I2571," ",J2571)</f>
        <v>Maro minutus</v>
      </c>
      <c r="L2571" s="3" t="n">
        <f aca="false">SUM(P2571:U2571)</f>
        <v>1</v>
      </c>
      <c r="M2571" s="11" t="n">
        <f aca="false">(L2571/(F2571*G2571)*25)*4</f>
        <v>4</v>
      </c>
      <c r="N2571" s="1" t="s">
        <v>30</v>
      </c>
      <c r="O2571" s="1" t="s">
        <v>31</v>
      </c>
      <c r="P2571" s="3" t="n">
        <v>1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f aca="false">SUM(P2571:Q2571)</f>
        <v>1</v>
      </c>
      <c r="W2571" s="3" t="n">
        <f aca="false">SUM(R2571:T2571)</f>
        <v>0</v>
      </c>
      <c r="X2571" s="22" t="n">
        <v>41793</v>
      </c>
      <c r="Y2571" s="22" t="n">
        <v>41798</v>
      </c>
    </row>
    <row r="2572" customFormat="false" ht="14.25" hidden="false" customHeight="false" outlineLevel="0" collapsed="false">
      <c r="A2572" s="1" t="n">
        <v>2014</v>
      </c>
      <c r="B2572" s="1" t="n">
        <v>1</v>
      </c>
      <c r="C2572" s="2" t="s">
        <v>50</v>
      </c>
      <c r="D2572" s="3" t="s">
        <v>158</v>
      </c>
      <c r="E2572" s="3" t="n">
        <v>3</v>
      </c>
      <c r="F2572" s="1" t="n">
        <f aca="false">Y2572-X2572</f>
        <v>5</v>
      </c>
      <c r="G2572" s="1" t="n">
        <v>5</v>
      </c>
      <c r="H2572" s="3" t="s">
        <v>32</v>
      </c>
      <c r="I2572" s="3" t="s">
        <v>96</v>
      </c>
      <c r="J2572" s="3" t="s">
        <v>97</v>
      </c>
      <c r="K2572" s="2" t="str">
        <f aca="false">CONCATENATE(I2572," ",J2572)</f>
        <v>Diplocephalus picinus</v>
      </c>
      <c r="L2572" s="3" t="n">
        <f aca="false">SUM(P2572:U2572)</f>
        <v>2</v>
      </c>
      <c r="M2572" s="11" t="n">
        <f aca="false">(L2572/(F2572*G2572)*25)*4</f>
        <v>8</v>
      </c>
      <c r="N2572" s="1" t="s">
        <v>30</v>
      </c>
      <c r="O2572" s="1" t="s">
        <v>31</v>
      </c>
      <c r="P2572" s="3" t="n">
        <v>2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f aca="false">SUM(P2572:Q2572)</f>
        <v>2</v>
      </c>
      <c r="W2572" s="3" t="n">
        <f aca="false">SUM(R2572:T2572)</f>
        <v>0</v>
      </c>
      <c r="X2572" s="22" t="n">
        <v>41793</v>
      </c>
      <c r="Y2572" s="22" t="n">
        <v>41798</v>
      </c>
    </row>
    <row r="2573" customFormat="false" ht="14.25" hidden="false" customHeight="false" outlineLevel="0" collapsed="false">
      <c r="A2573" s="1" t="n">
        <v>2014</v>
      </c>
      <c r="B2573" s="1" t="n">
        <v>1</v>
      </c>
      <c r="C2573" s="2" t="s">
        <v>50</v>
      </c>
      <c r="D2573" s="3" t="s">
        <v>158</v>
      </c>
      <c r="E2573" s="3" t="n">
        <v>3</v>
      </c>
      <c r="F2573" s="1" t="n">
        <f aca="false">Y2573-X2573</f>
        <v>5</v>
      </c>
      <c r="G2573" s="1" t="n">
        <v>5</v>
      </c>
      <c r="H2573" s="3" t="s">
        <v>32</v>
      </c>
      <c r="I2573" s="3" t="s">
        <v>169</v>
      </c>
      <c r="J2573" s="3" t="s">
        <v>170</v>
      </c>
      <c r="K2573" s="2" t="str">
        <f aca="false">CONCATENATE(I2573," ",J2573)</f>
        <v>Abacoproeces saltuum</v>
      </c>
      <c r="L2573" s="3" t="n">
        <f aca="false">SUM(P2573:U2573)</f>
        <v>2</v>
      </c>
      <c r="M2573" s="11" t="n">
        <f aca="false">(L2573/(F2573*G2573)*25)*4</f>
        <v>8</v>
      </c>
      <c r="N2573" s="1" t="s">
        <v>30</v>
      </c>
      <c r="O2573" s="1" t="s">
        <v>31</v>
      </c>
      <c r="P2573" s="3" t="n">
        <v>2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f aca="false">SUM(P2573:Q2573)</f>
        <v>2</v>
      </c>
      <c r="W2573" s="3" t="n">
        <f aca="false">SUM(R2573:T2573)</f>
        <v>0</v>
      </c>
      <c r="X2573" s="22" t="n">
        <v>41793</v>
      </c>
      <c r="Y2573" s="22" t="n">
        <v>41798</v>
      </c>
    </row>
    <row r="2574" customFormat="false" ht="14.25" hidden="false" customHeight="false" outlineLevel="0" collapsed="false">
      <c r="A2574" s="1" t="n">
        <v>2014</v>
      </c>
      <c r="B2574" s="1" t="n">
        <v>1</v>
      </c>
      <c r="C2574" s="2" t="s">
        <v>50</v>
      </c>
      <c r="D2574" s="3" t="s">
        <v>158</v>
      </c>
      <c r="E2574" s="3" t="n">
        <v>3</v>
      </c>
      <c r="F2574" s="1" t="n">
        <f aca="false">Y2574-X2574</f>
        <v>5</v>
      </c>
      <c r="G2574" s="1" t="n">
        <v>5</v>
      </c>
      <c r="H2574" s="3" t="s">
        <v>32</v>
      </c>
      <c r="I2574" s="3" t="s">
        <v>169</v>
      </c>
      <c r="J2574" s="3" t="s">
        <v>170</v>
      </c>
      <c r="K2574" s="2" t="str">
        <f aca="false">CONCATENATE(I2574," ",J2574)</f>
        <v>Abacoproeces saltuum</v>
      </c>
      <c r="L2574" s="3" t="n">
        <f aca="false">SUM(P2574:U2574)</f>
        <v>1</v>
      </c>
      <c r="M2574" s="11" t="n">
        <f aca="false">(L2574/(F2574*G2574)*25)*4</f>
        <v>4</v>
      </c>
      <c r="N2574" s="1" t="s">
        <v>30</v>
      </c>
      <c r="O2574" s="1" t="s">
        <v>35</v>
      </c>
      <c r="P2574" s="3" t="n">
        <v>0</v>
      </c>
      <c r="Q2574" s="3" t="n">
        <v>1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f aca="false">SUM(P2574:Q2574)</f>
        <v>1</v>
      </c>
      <c r="W2574" s="3" t="n">
        <f aca="false">SUM(R2574:T2574)</f>
        <v>0</v>
      </c>
      <c r="X2574" s="22" t="n">
        <v>41793</v>
      </c>
      <c r="Y2574" s="22" t="n">
        <v>41798</v>
      </c>
    </row>
    <row r="2575" customFormat="false" ht="14.25" hidden="false" customHeight="false" outlineLevel="0" collapsed="false">
      <c r="A2575" s="1" t="n">
        <v>2014</v>
      </c>
      <c r="B2575" s="1" t="n">
        <v>1</v>
      </c>
      <c r="C2575" s="2" t="s">
        <v>50</v>
      </c>
      <c r="D2575" s="3" t="s">
        <v>158</v>
      </c>
      <c r="E2575" s="3" t="n">
        <v>1</v>
      </c>
      <c r="F2575" s="1" t="n">
        <f aca="false">Y2575-X2575</f>
        <v>5</v>
      </c>
      <c r="G2575" s="1" t="n">
        <v>5</v>
      </c>
      <c r="H2575" s="3" t="s">
        <v>48</v>
      </c>
      <c r="I2575" s="3" t="s">
        <v>67</v>
      </c>
      <c r="J2575" s="3" t="s">
        <v>127</v>
      </c>
      <c r="K2575" s="2" t="str">
        <f aca="false">CONCATENATE(I2575," ",J2575)</f>
        <v>Pardosa lugubris</v>
      </c>
      <c r="L2575" s="3" t="n">
        <f aca="false">SUM(P2575:U2575)</f>
        <v>4</v>
      </c>
      <c r="M2575" s="11" t="n">
        <f aca="false">(L2575/(F2575*G2575)*25)*4</f>
        <v>16</v>
      </c>
      <c r="N2575" s="1" t="s">
        <v>30</v>
      </c>
      <c r="O2575" s="1" t="s">
        <v>31</v>
      </c>
      <c r="P2575" s="3" t="n">
        <v>4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f aca="false">SUM(P2575:Q2575)</f>
        <v>4</v>
      </c>
      <c r="W2575" s="3" t="n">
        <f aca="false">SUM(R2575:T2575)</f>
        <v>0</v>
      </c>
      <c r="X2575" s="22" t="n">
        <v>41793</v>
      </c>
      <c r="Y2575" s="22" t="n">
        <v>41798</v>
      </c>
    </row>
    <row r="2576" customFormat="false" ht="14.25" hidden="false" customHeight="false" outlineLevel="0" collapsed="false">
      <c r="A2576" s="1" t="n">
        <v>2014</v>
      </c>
      <c r="B2576" s="1" t="n">
        <v>1</v>
      </c>
      <c r="C2576" s="2" t="s">
        <v>50</v>
      </c>
      <c r="D2576" s="3" t="s">
        <v>158</v>
      </c>
      <c r="E2576" s="3" t="n">
        <v>1</v>
      </c>
      <c r="F2576" s="1" t="n">
        <f aca="false">Y2576-X2576</f>
        <v>5</v>
      </c>
      <c r="G2576" s="1" t="n">
        <v>5</v>
      </c>
      <c r="H2576" s="3" t="s">
        <v>48</v>
      </c>
      <c r="I2576" s="3" t="s">
        <v>49</v>
      </c>
      <c r="J2576" s="3" t="s">
        <v>119</v>
      </c>
      <c r="K2576" s="2" t="str">
        <f aca="false">CONCATENATE(I2576," ",J2576)</f>
        <v>Alopecosa sulzeri</v>
      </c>
      <c r="L2576" s="3" t="n">
        <f aca="false">SUM(P2576:U2576)</f>
        <v>3</v>
      </c>
      <c r="M2576" s="11" t="n">
        <f aca="false">(L2576/(F2576*G2576)*25)*4</f>
        <v>12</v>
      </c>
      <c r="N2576" s="1" t="s">
        <v>30</v>
      </c>
      <c r="O2576" s="1" t="s">
        <v>31</v>
      </c>
      <c r="P2576" s="3" t="n">
        <v>3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f aca="false">SUM(P2576:Q2576)</f>
        <v>3</v>
      </c>
      <c r="W2576" s="3" t="n">
        <f aca="false">SUM(R2576:T2576)</f>
        <v>0</v>
      </c>
      <c r="X2576" s="22" t="n">
        <v>41793</v>
      </c>
      <c r="Y2576" s="22" t="n">
        <v>41798</v>
      </c>
    </row>
    <row r="2577" customFormat="false" ht="14.25" hidden="false" customHeight="false" outlineLevel="0" collapsed="false">
      <c r="A2577" s="1" t="n">
        <v>2014</v>
      </c>
      <c r="B2577" s="1" t="n">
        <v>1</v>
      </c>
      <c r="C2577" s="2" t="s">
        <v>50</v>
      </c>
      <c r="D2577" s="3" t="s">
        <v>158</v>
      </c>
      <c r="E2577" s="3" t="n">
        <v>1</v>
      </c>
      <c r="F2577" s="1" t="n">
        <f aca="false">Y2577-X2577</f>
        <v>5</v>
      </c>
      <c r="G2577" s="1" t="n">
        <v>5</v>
      </c>
      <c r="H2577" s="3" t="s">
        <v>48</v>
      </c>
      <c r="I2577" s="3" t="s">
        <v>49</v>
      </c>
      <c r="J2577" s="3" t="s">
        <v>104</v>
      </c>
      <c r="K2577" s="2" t="str">
        <f aca="false">CONCATENATE(I2577," ",J2577)</f>
        <v>Alopecosa taeniata</v>
      </c>
      <c r="L2577" s="3" t="n">
        <f aca="false">SUM(P2577:U2577)</f>
        <v>3</v>
      </c>
      <c r="M2577" s="11" t="n">
        <f aca="false">(L2577/(F2577*G2577)*25)*4</f>
        <v>12</v>
      </c>
      <c r="N2577" s="1" t="s">
        <v>30</v>
      </c>
      <c r="O2577" s="1" t="s">
        <v>31</v>
      </c>
      <c r="P2577" s="3" t="n">
        <v>3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f aca="false">SUM(P2577:Q2577)</f>
        <v>3</v>
      </c>
      <c r="W2577" s="3" t="n">
        <f aca="false">SUM(R2577:T2577)</f>
        <v>0</v>
      </c>
      <c r="X2577" s="22" t="n">
        <v>41793</v>
      </c>
      <c r="Y2577" s="22" t="n">
        <v>41798</v>
      </c>
    </row>
    <row r="2578" customFormat="false" ht="14.25" hidden="false" customHeight="false" outlineLevel="0" collapsed="false">
      <c r="A2578" s="1" t="n">
        <v>2014</v>
      </c>
      <c r="B2578" s="1" t="n">
        <v>1</v>
      </c>
      <c r="C2578" s="2" t="s">
        <v>50</v>
      </c>
      <c r="D2578" s="3" t="s">
        <v>158</v>
      </c>
      <c r="E2578" s="3" t="n">
        <v>1</v>
      </c>
      <c r="F2578" s="1" t="n">
        <f aca="false">Y2578-X2578</f>
        <v>5</v>
      </c>
      <c r="G2578" s="1" t="n">
        <v>5</v>
      </c>
      <c r="H2578" s="3" t="s">
        <v>48</v>
      </c>
      <c r="I2578" s="3" t="s">
        <v>49</v>
      </c>
      <c r="J2578" s="3" t="s">
        <v>104</v>
      </c>
      <c r="K2578" s="2" t="str">
        <f aca="false">CONCATENATE(I2578," ",J2578)</f>
        <v>Alopecosa taeniata</v>
      </c>
      <c r="L2578" s="3" t="n">
        <f aca="false">SUM(P2578:U2578)</f>
        <v>2</v>
      </c>
      <c r="M2578" s="11" t="n">
        <f aca="false">(L2578/(F2578*G2578)*25)*4</f>
        <v>8</v>
      </c>
      <c r="N2578" s="1" t="s">
        <v>30</v>
      </c>
      <c r="O2578" s="1" t="s">
        <v>35</v>
      </c>
      <c r="P2578" s="3" t="n">
        <v>0</v>
      </c>
      <c r="Q2578" s="3" t="n">
        <v>2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f aca="false">SUM(P2578:Q2578)</f>
        <v>2</v>
      </c>
      <c r="W2578" s="3" t="n">
        <f aca="false">SUM(R2578:T2578)</f>
        <v>0</v>
      </c>
      <c r="X2578" s="22" t="n">
        <v>41793</v>
      </c>
      <c r="Y2578" s="22" t="n">
        <v>41798</v>
      </c>
    </row>
    <row r="2579" customFormat="false" ht="14.25" hidden="false" customHeight="false" outlineLevel="0" collapsed="false">
      <c r="A2579" s="1" t="n">
        <v>2014</v>
      </c>
      <c r="B2579" s="1" t="n">
        <v>1</v>
      </c>
      <c r="C2579" s="2" t="s">
        <v>50</v>
      </c>
      <c r="D2579" s="3" t="s">
        <v>158</v>
      </c>
      <c r="E2579" s="3" t="n">
        <v>1</v>
      </c>
      <c r="F2579" s="1" t="n">
        <f aca="false">Y2579-X2579</f>
        <v>5</v>
      </c>
      <c r="G2579" s="1" t="n">
        <v>5</v>
      </c>
      <c r="H2579" s="3" t="s">
        <v>36</v>
      </c>
      <c r="I2579" s="3" t="s">
        <v>131</v>
      </c>
      <c r="J2579" s="3" t="s">
        <v>133</v>
      </c>
      <c r="K2579" s="2" t="str">
        <f aca="false">CONCATENATE(I2579," ",J2579)</f>
        <v>Xysticus luctuosus</v>
      </c>
      <c r="L2579" s="3" t="n">
        <f aca="false">SUM(P2579:U2579)</f>
        <v>1</v>
      </c>
      <c r="M2579" s="11" t="n">
        <f aca="false">(L2579/(F2579*G2579)*25)*4</f>
        <v>4</v>
      </c>
      <c r="N2579" s="1" t="s">
        <v>30</v>
      </c>
      <c r="O2579" s="1" t="s">
        <v>31</v>
      </c>
      <c r="P2579" s="3" t="n">
        <v>1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f aca="false">SUM(P2579:Q2579)</f>
        <v>1</v>
      </c>
      <c r="W2579" s="3" t="n">
        <f aca="false">SUM(R2579:T2579)</f>
        <v>0</v>
      </c>
      <c r="X2579" s="22" t="n">
        <v>41793</v>
      </c>
      <c r="Y2579" s="22" t="n">
        <v>41798</v>
      </c>
    </row>
    <row r="2580" customFormat="false" ht="14.25" hidden="false" customHeight="false" outlineLevel="0" collapsed="false">
      <c r="A2580" s="1" t="n">
        <v>2014</v>
      </c>
      <c r="B2580" s="1" t="n">
        <v>1</v>
      </c>
      <c r="C2580" s="2" t="s">
        <v>50</v>
      </c>
      <c r="D2580" s="3" t="s">
        <v>158</v>
      </c>
      <c r="E2580" s="3" t="n">
        <v>1</v>
      </c>
      <c r="F2580" s="1" t="n">
        <f aca="false">Y2580-X2580</f>
        <v>5</v>
      </c>
      <c r="G2580" s="1" t="n">
        <v>5</v>
      </c>
      <c r="H2580" s="3" t="s">
        <v>226</v>
      </c>
      <c r="I2580" s="3" t="s">
        <v>65</v>
      </c>
      <c r="J2580" s="3" t="s">
        <v>123</v>
      </c>
      <c r="K2580" s="2" t="str">
        <f aca="false">CONCATENATE(I2580," ",J2580)</f>
        <v>Zora nemoralis</v>
      </c>
      <c r="L2580" s="3" t="n">
        <f aca="false">SUM(P2580:U2580)</f>
        <v>1</v>
      </c>
      <c r="M2580" s="11" t="n">
        <f aca="false">(L2580/(F2580*G2580)*25)*4</f>
        <v>4</v>
      </c>
      <c r="N2580" s="1" t="s">
        <v>30</v>
      </c>
      <c r="O2580" s="1" t="s">
        <v>31</v>
      </c>
      <c r="P2580" s="3" t="n">
        <v>1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f aca="false">SUM(P2580:Q2580)</f>
        <v>1</v>
      </c>
      <c r="W2580" s="3" t="n">
        <f aca="false">SUM(R2580:T2580)</f>
        <v>0</v>
      </c>
      <c r="X2580" s="22" t="n">
        <v>41793</v>
      </c>
      <c r="Y2580" s="22" t="n">
        <v>41798</v>
      </c>
    </row>
    <row r="2581" customFormat="false" ht="14.25" hidden="false" customHeight="false" outlineLevel="0" collapsed="false">
      <c r="A2581" s="1" t="n">
        <v>2014</v>
      </c>
      <c r="B2581" s="1" t="n">
        <v>1</v>
      </c>
      <c r="C2581" s="2" t="s">
        <v>50</v>
      </c>
      <c r="D2581" s="3" t="s">
        <v>158</v>
      </c>
      <c r="E2581" s="3" t="n">
        <v>1</v>
      </c>
      <c r="F2581" s="1" t="n">
        <f aca="false">Y2581-X2581</f>
        <v>5</v>
      </c>
      <c r="G2581" s="1" t="n">
        <v>5</v>
      </c>
      <c r="H2581" s="3" t="s">
        <v>72</v>
      </c>
      <c r="I2581" s="3" t="s">
        <v>73</v>
      </c>
      <c r="J2581" s="3" t="s">
        <v>38</v>
      </c>
      <c r="K2581" s="2" t="str">
        <f aca="false">CONCATENATE(I2581," ",J2581)</f>
        <v>Zelotes sp</v>
      </c>
      <c r="L2581" s="3" t="n">
        <f aca="false">SUM(P2581:U2581)</f>
        <v>1</v>
      </c>
      <c r="M2581" s="11" t="n">
        <f aca="false">(L2581/(F2581*G2581)*25)*4</f>
        <v>4</v>
      </c>
      <c r="N2581" s="1" t="s">
        <v>19</v>
      </c>
      <c r="O2581" s="1" t="s">
        <v>31</v>
      </c>
      <c r="P2581" s="3" t="n">
        <v>0</v>
      </c>
      <c r="Q2581" s="3" t="n">
        <v>0</v>
      </c>
      <c r="R2581" s="3" t="n">
        <v>1</v>
      </c>
      <c r="S2581" s="3" t="n">
        <v>0</v>
      </c>
      <c r="T2581" s="3" t="n">
        <v>0</v>
      </c>
      <c r="U2581" s="3" t="n">
        <v>0</v>
      </c>
      <c r="V2581" s="3" t="n">
        <f aca="false">SUM(P2581:Q2581)</f>
        <v>0</v>
      </c>
      <c r="W2581" s="3" t="n">
        <f aca="false">SUM(R2581:T2581)</f>
        <v>1</v>
      </c>
      <c r="X2581" s="22" t="n">
        <v>41793</v>
      </c>
      <c r="Y2581" s="22" t="n">
        <v>41798</v>
      </c>
    </row>
    <row r="2582" customFormat="false" ht="14.25" hidden="false" customHeight="false" outlineLevel="0" collapsed="false">
      <c r="A2582" s="1" t="n">
        <v>2014</v>
      </c>
      <c r="B2582" s="1" t="n">
        <v>1</v>
      </c>
      <c r="C2582" s="2" t="s">
        <v>50</v>
      </c>
      <c r="D2582" s="3" t="s">
        <v>158</v>
      </c>
      <c r="E2582" s="3" t="n">
        <v>1</v>
      </c>
      <c r="F2582" s="1" t="n">
        <f aca="false">Y2582-X2582</f>
        <v>5</v>
      </c>
      <c r="G2582" s="1" t="n">
        <v>5</v>
      </c>
      <c r="H2582" s="3" t="s">
        <v>48</v>
      </c>
      <c r="I2582" s="3" t="s">
        <v>61</v>
      </c>
      <c r="J2582" s="3" t="s">
        <v>38</v>
      </c>
      <c r="K2582" s="2" t="str">
        <f aca="false">CONCATENATE(I2582," ",J2582)</f>
        <v>Trochosa sp</v>
      </c>
      <c r="L2582" s="3" t="n">
        <f aca="false">SUM(P2582:U2582)</f>
        <v>2</v>
      </c>
      <c r="M2582" s="11" t="n">
        <f aca="false">(L2582/(F2582*G2582)*25)*4</f>
        <v>8</v>
      </c>
      <c r="N2582" s="1" t="s">
        <v>19</v>
      </c>
      <c r="O2582" s="1" t="s">
        <v>54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2</v>
      </c>
      <c r="U2582" s="3" t="n">
        <v>0</v>
      </c>
      <c r="V2582" s="3" t="n">
        <f aca="false">SUM(P2582:Q2582)</f>
        <v>0</v>
      </c>
      <c r="W2582" s="3" t="n">
        <f aca="false">SUM(R2582:T2582)</f>
        <v>2</v>
      </c>
      <c r="X2582" s="22" t="n">
        <v>41793</v>
      </c>
      <c r="Y2582" s="22" t="n">
        <v>41798</v>
      </c>
    </row>
    <row r="2583" customFormat="false" ht="14.25" hidden="false" customHeight="false" outlineLevel="0" collapsed="false">
      <c r="A2583" s="1" t="n">
        <v>2014</v>
      </c>
      <c r="B2583" s="1" t="n">
        <v>1</v>
      </c>
      <c r="C2583" s="2" t="s">
        <v>50</v>
      </c>
      <c r="D2583" s="3" t="s">
        <v>158</v>
      </c>
      <c r="E2583" s="3" t="n">
        <v>1</v>
      </c>
      <c r="F2583" s="1" t="n">
        <f aca="false">Y2583-X2583</f>
        <v>5</v>
      </c>
      <c r="G2583" s="1" t="n">
        <v>5</v>
      </c>
      <c r="H2583" s="3" t="s">
        <v>48</v>
      </c>
      <c r="I2583" s="3" t="s">
        <v>49</v>
      </c>
      <c r="J2583" s="3" t="s">
        <v>38</v>
      </c>
      <c r="K2583" s="2" t="str">
        <f aca="false">CONCATENATE(I2583," ",J2583)</f>
        <v>Alopecosa sp</v>
      </c>
      <c r="L2583" s="3" t="n">
        <f aca="false">SUM(P2583:U2583)</f>
        <v>1</v>
      </c>
      <c r="M2583" s="11" t="n">
        <f aca="false">(L2583/(F2583*G2583)*25)*4</f>
        <v>4</v>
      </c>
      <c r="N2583" s="1" t="s">
        <v>19</v>
      </c>
      <c r="O2583" s="1" t="s">
        <v>54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1</v>
      </c>
      <c r="U2583" s="3" t="n">
        <v>0</v>
      </c>
      <c r="V2583" s="3" t="n">
        <f aca="false">SUM(P2583:Q2583)</f>
        <v>0</v>
      </c>
      <c r="W2583" s="3" t="n">
        <f aca="false">SUM(R2583:T2583)</f>
        <v>1</v>
      </c>
      <c r="X2583" s="22" t="n">
        <v>41793</v>
      </c>
      <c r="Y2583" s="22" t="n">
        <v>41798</v>
      </c>
    </row>
    <row r="2584" customFormat="false" ht="14.25" hidden="false" customHeight="false" outlineLevel="0" collapsed="false">
      <c r="A2584" s="1" t="n">
        <v>2014</v>
      </c>
      <c r="B2584" s="1" t="n">
        <v>1</v>
      </c>
      <c r="C2584" s="2" t="s">
        <v>50</v>
      </c>
      <c r="D2584" s="3" t="s">
        <v>158</v>
      </c>
      <c r="E2584" s="3" t="n">
        <v>1</v>
      </c>
      <c r="F2584" s="1" t="n">
        <f aca="false">Y2584-X2584</f>
        <v>5</v>
      </c>
      <c r="G2584" s="1" t="n">
        <v>5</v>
      </c>
      <c r="H2584" s="3" t="s">
        <v>32</v>
      </c>
      <c r="I2584" s="3" t="s">
        <v>169</v>
      </c>
      <c r="J2584" s="3" t="s">
        <v>170</v>
      </c>
      <c r="K2584" s="2" t="str">
        <f aca="false">CONCATENATE(I2584," ",J2584)</f>
        <v>Abacoproeces saltuum</v>
      </c>
      <c r="L2584" s="3" t="n">
        <f aca="false">SUM(P2584:U2584)</f>
        <v>1</v>
      </c>
      <c r="M2584" s="11" t="n">
        <f aca="false">(L2584/(F2584*G2584)*25)*4</f>
        <v>4</v>
      </c>
      <c r="N2584" s="1" t="s">
        <v>30</v>
      </c>
      <c r="O2584" s="1" t="s">
        <v>31</v>
      </c>
      <c r="P2584" s="3" t="n">
        <v>1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f aca="false">SUM(P2584:Q2584)</f>
        <v>1</v>
      </c>
      <c r="W2584" s="3" t="n">
        <f aca="false">SUM(R2584:T2584)</f>
        <v>0</v>
      </c>
      <c r="X2584" s="22" t="n">
        <v>41793</v>
      </c>
      <c r="Y2584" s="22" t="n">
        <v>41798</v>
      </c>
    </row>
    <row r="2585" customFormat="false" ht="14.25" hidden="false" customHeight="false" outlineLevel="0" collapsed="false">
      <c r="A2585" s="1" t="n">
        <v>2014</v>
      </c>
      <c r="B2585" s="1" t="n">
        <v>1</v>
      </c>
      <c r="C2585" s="2" t="s">
        <v>50</v>
      </c>
      <c r="D2585" s="3" t="s">
        <v>158</v>
      </c>
      <c r="E2585" s="3" t="n">
        <v>1</v>
      </c>
      <c r="F2585" s="1" t="n">
        <f aca="false">Y2585-X2585</f>
        <v>5</v>
      </c>
      <c r="G2585" s="1" t="n">
        <v>5</v>
      </c>
      <c r="H2585" s="3" t="s">
        <v>32</v>
      </c>
      <c r="I2585" s="3" t="s">
        <v>169</v>
      </c>
      <c r="J2585" s="3" t="s">
        <v>170</v>
      </c>
      <c r="K2585" s="2" t="str">
        <f aca="false">CONCATENATE(I2585," ",J2585)</f>
        <v>Abacoproeces saltuum</v>
      </c>
      <c r="L2585" s="3" t="n">
        <f aca="false">SUM(P2585:U2585)</f>
        <v>4</v>
      </c>
      <c r="M2585" s="11" t="n">
        <f aca="false">(L2585/(F2585*G2585)*25)*4</f>
        <v>16</v>
      </c>
      <c r="N2585" s="1" t="s">
        <v>30</v>
      </c>
      <c r="O2585" s="1" t="s">
        <v>35</v>
      </c>
      <c r="P2585" s="3" t="n">
        <v>0</v>
      </c>
      <c r="Q2585" s="3" t="n">
        <v>4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f aca="false">SUM(P2585:Q2585)</f>
        <v>4</v>
      </c>
      <c r="W2585" s="3" t="n">
        <f aca="false">SUM(R2585:T2585)</f>
        <v>0</v>
      </c>
      <c r="X2585" s="22" t="n">
        <v>41793</v>
      </c>
      <c r="Y2585" s="22" t="n">
        <v>41798</v>
      </c>
    </row>
    <row r="2586" customFormat="false" ht="14.25" hidden="false" customHeight="false" outlineLevel="0" collapsed="false">
      <c r="A2586" s="1" t="n">
        <v>2014</v>
      </c>
      <c r="B2586" s="1" t="n">
        <v>1</v>
      </c>
      <c r="C2586" s="2" t="s">
        <v>50</v>
      </c>
      <c r="D2586" s="3" t="s">
        <v>158</v>
      </c>
      <c r="E2586" s="3" t="n">
        <v>1</v>
      </c>
      <c r="F2586" s="1" t="n">
        <f aca="false">Y2586-X2586</f>
        <v>5</v>
      </c>
      <c r="G2586" s="1" t="n">
        <v>5</v>
      </c>
      <c r="H2586" s="3" t="s">
        <v>32</v>
      </c>
      <c r="I2586" s="3" t="s">
        <v>84</v>
      </c>
      <c r="J2586" s="3" t="s">
        <v>77</v>
      </c>
      <c r="K2586" s="2" t="str">
        <f aca="false">CONCATENATE(I2586," ",J2586)</f>
        <v>Walckenaeria alticeps</v>
      </c>
      <c r="L2586" s="3" t="n">
        <f aca="false">SUM(P2586:U2586)</f>
        <v>1</v>
      </c>
      <c r="M2586" s="11" t="n">
        <f aca="false">(L2586/(F2586*G2586)*25)*4</f>
        <v>4</v>
      </c>
      <c r="N2586" s="1" t="s">
        <v>30</v>
      </c>
      <c r="O2586" s="1" t="s">
        <v>35</v>
      </c>
      <c r="P2586" s="3" t="n">
        <v>0</v>
      </c>
      <c r="Q2586" s="3" t="n">
        <v>1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f aca="false">SUM(P2586:Q2586)</f>
        <v>1</v>
      </c>
      <c r="W2586" s="3" t="n">
        <f aca="false">SUM(R2586:T2586)</f>
        <v>0</v>
      </c>
      <c r="X2586" s="22" t="n">
        <v>41793</v>
      </c>
      <c r="Y2586" s="22" t="n">
        <v>41798</v>
      </c>
    </row>
    <row r="2587" customFormat="false" ht="14.25" hidden="false" customHeight="false" outlineLevel="0" collapsed="false">
      <c r="A2587" s="1" t="n">
        <v>2014</v>
      </c>
      <c r="B2587" s="1" t="n">
        <v>1</v>
      </c>
      <c r="C2587" s="2" t="s">
        <v>50</v>
      </c>
      <c r="D2587" s="3" t="s">
        <v>158</v>
      </c>
      <c r="E2587" s="3" t="n">
        <v>1</v>
      </c>
      <c r="F2587" s="1" t="n">
        <f aca="false">Y2587-X2587</f>
        <v>5</v>
      </c>
      <c r="G2587" s="1" t="n">
        <v>5</v>
      </c>
      <c r="H2587" s="3" t="s">
        <v>32</v>
      </c>
      <c r="I2587" s="3" t="s">
        <v>57</v>
      </c>
      <c r="J2587" s="3" t="s">
        <v>38</v>
      </c>
      <c r="K2587" s="2" t="str">
        <f aca="false">CONCATENATE(I2587," ",J2587)</f>
        <v>Gen sp</v>
      </c>
      <c r="L2587" s="3" t="n">
        <f aca="false">SUM(P2587:U2587)</f>
        <v>1</v>
      </c>
      <c r="M2587" s="11" t="n">
        <f aca="false">(L2587/(F2587*G2587)*25)*4</f>
        <v>4</v>
      </c>
      <c r="N2587" s="1" t="s">
        <v>19</v>
      </c>
      <c r="O2587" s="1" t="s">
        <v>31</v>
      </c>
      <c r="P2587" s="3" t="n">
        <v>0</v>
      </c>
      <c r="Q2587" s="3" t="n">
        <v>0</v>
      </c>
      <c r="R2587" s="3" t="n">
        <v>1</v>
      </c>
      <c r="S2587" s="3" t="n">
        <v>0</v>
      </c>
      <c r="T2587" s="3" t="n">
        <v>0</v>
      </c>
      <c r="U2587" s="3" t="n">
        <v>0</v>
      </c>
      <c r="V2587" s="3" t="n">
        <f aca="false">SUM(P2587:Q2587)</f>
        <v>0</v>
      </c>
      <c r="W2587" s="3" t="n">
        <f aca="false">SUM(R2587:T2587)</f>
        <v>1</v>
      </c>
      <c r="X2587" s="22" t="n">
        <v>41793</v>
      </c>
      <c r="Y2587" s="22" t="n">
        <v>41798</v>
      </c>
    </row>
    <row r="2588" customFormat="false" ht="14.25" hidden="false" customHeight="false" outlineLevel="0" collapsed="false">
      <c r="A2588" s="1" t="n">
        <v>2014</v>
      </c>
      <c r="B2588" s="1" t="n">
        <v>1</v>
      </c>
      <c r="C2588" s="2" t="s">
        <v>50</v>
      </c>
      <c r="D2588" s="3" t="s">
        <v>83</v>
      </c>
      <c r="E2588" s="3" t="n">
        <v>1</v>
      </c>
      <c r="F2588" s="1" t="n">
        <f aca="false">Y2588-X2588</f>
        <v>5</v>
      </c>
      <c r="G2588" s="1" t="n">
        <v>5</v>
      </c>
      <c r="H2588" s="3" t="s">
        <v>36</v>
      </c>
      <c r="I2588" s="3" t="s">
        <v>37</v>
      </c>
      <c r="J2588" s="3" t="s">
        <v>75</v>
      </c>
      <c r="K2588" s="2" t="str">
        <f aca="false">CONCATENATE(I2588," ",J2588)</f>
        <v>Ozyptila praticola</v>
      </c>
      <c r="L2588" s="3" t="n">
        <f aca="false">SUM(P2588:U2588)</f>
        <v>2</v>
      </c>
      <c r="M2588" s="11" t="n">
        <f aca="false">(L2588/(F2588*G2588)*25)*4</f>
        <v>8</v>
      </c>
      <c r="N2588" s="1" t="s">
        <v>30</v>
      </c>
      <c r="O2588" s="1" t="s">
        <v>31</v>
      </c>
      <c r="P2588" s="3" t="n">
        <v>2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f aca="false">SUM(P2588:Q2588)</f>
        <v>2</v>
      </c>
      <c r="W2588" s="3" t="n">
        <f aca="false">SUM(R2588:T2588)</f>
        <v>0</v>
      </c>
      <c r="X2588" s="22" t="n">
        <v>41794</v>
      </c>
      <c r="Y2588" s="22" t="n">
        <v>41799</v>
      </c>
    </row>
    <row r="2589" customFormat="false" ht="14.25" hidden="false" customHeight="false" outlineLevel="0" collapsed="false">
      <c r="A2589" s="1" t="n">
        <v>2014</v>
      </c>
      <c r="B2589" s="1" t="n">
        <v>1</v>
      </c>
      <c r="C2589" s="2" t="s">
        <v>50</v>
      </c>
      <c r="D2589" s="3" t="s">
        <v>83</v>
      </c>
      <c r="E2589" s="3" t="n">
        <v>1</v>
      </c>
      <c r="F2589" s="1" t="n">
        <f aca="false">Y2589-X2589</f>
        <v>5</v>
      </c>
      <c r="G2589" s="1" t="n">
        <v>5</v>
      </c>
      <c r="H2589" s="3" t="s">
        <v>36</v>
      </c>
      <c r="I2589" s="3" t="s">
        <v>131</v>
      </c>
      <c r="J2589" s="3" t="s">
        <v>133</v>
      </c>
      <c r="K2589" s="2" t="str">
        <f aca="false">CONCATENATE(I2589," ",J2589)</f>
        <v>Xysticus luctuosus</v>
      </c>
      <c r="L2589" s="3" t="n">
        <f aca="false">SUM(P2589:U2589)</f>
        <v>1</v>
      </c>
      <c r="M2589" s="11" t="n">
        <f aca="false">(L2589/(F2589*G2589)*25)*4</f>
        <v>4</v>
      </c>
      <c r="N2589" s="1" t="s">
        <v>30</v>
      </c>
      <c r="O2589" s="1" t="s">
        <v>31</v>
      </c>
      <c r="P2589" s="3" t="n">
        <v>1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f aca="false">SUM(P2589:Q2589)</f>
        <v>1</v>
      </c>
      <c r="W2589" s="3" t="n">
        <f aca="false">SUM(R2589:T2589)</f>
        <v>0</v>
      </c>
      <c r="X2589" s="22" t="n">
        <v>41794</v>
      </c>
      <c r="Y2589" s="22" t="n">
        <v>41799</v>
      </c>
    </row>
    <row r="2590" customFormat="false" ht="14.25" hidden="false" customHeight="false" outlineLevel="0" collapsed="false">
      <c r="A2590" s="1" t="n">
        <v>2014</v>
      </c>
      <c r="B2590" s="1" t="n">
        <v>1</v>
      </c>
      <c r="C2590" s="2" t="s">
        <v>50</v>
      </c>
      <c r="D2590" s="3" t="s">
        <v>83</v>
      </c>
      <c r="E2590" s="3" t="n">
        <v>1</v>
      </c>
      <c r="F2590" s="1" t="n">
        <f aca="false">Y2590-X2590</f>
        <v>5</v>
      </c>
      <c r="G2590" s="1" t="n">
        <v>5</v>
      </c>
      <c r="H2590" s="3" t="s">
        <v>48</v>
      </c>
      <c r="I2590" s="3" t="s">
        <v>67</v>
      </c>
      <c r="J2590" s="3" t="s">
        <v>127</v>
      </c>
      <c r="K2590" s="2" t="str">
        <f aca="false">CONCATENATE(I2590," ",J2590)</f>
        <v>Pardosa lugubris</v>
      </c>
      <c r="L2590" s="3" t="n">
        <f aca="false">SUM(P2590:U2590)</f>
        <v>9</v>
      </c>
      <c r="M2590" s="11" t="n">
        <f aca="false">(L2590/(F2590*G2590)*25)*4</f>
        <v>36</v>
      </c>
      <c r="N2590" s="1" t="s">
        <v>30</v>
      </c>
      <c r="O2590" s="1" t="s">
        <v>31</v>
      </c>
      <c r="P2590" s="3" t="n">
        <v>9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f aca="false">SUM(P2590:Q2590)</f>
        <v>9</v>
      </c>
      <c r="W2590" s="3" t="n">
        <f aca="false">SUM(R2590:T2590)</f>
        <v>0</v>
      </c>
      <c r="X2590" s="22" t="n">
        <v>41794</v>
      </c>
      <c r="Y2590" s="22" t="n">
        <v>41799</v>
      </c>
    </row>
    <row r="2591" customFormat="false" ht="14.25" hidden="false" customHeight="false" outlineLevel="0" collapsed="false">
      <c r="A2591" s="1" t="n">
        <v>2014</v>
      </c>
      <c r="B2591" s="1" t="n">
        <v>1</v>
      </c>
      <c r="C2591" s="2" t="s">
        <v>50</v>
      </c>
      <c r="D2591" s="3" t="s">
        <v>83</v>
      </c>
      <c r="E2591" s="3" t="n">
        <v>1</v>
      </c>
      <c r="F2591" s="1" t="n">
        <f aca="false">Y2591-X2591</f>
        <v>5</v>
      </c>
      <c r="G2591" s="1" t="n">
        <v>5</v>
      </c>
      <c r="H2591" s="3" t="s">
        <v>48</v>
      </c>
      <c r="I2591" s="3" t="s">
        <v>67</v>
      </c>
      <c r="J2591" s="3" t="s">
        <v>127</v>
      </c>
      <c r="K2591" s="2" t="str">
        <f aca="false">CONCATENATE(I2591," ",J2591)</f>
        <v>Pardosa lugubris</v>
      </c>
      <c r="L2591" s="3" t="n">
        <f aca="false">SUM(P2591:U2591)</f>
        <v>2</v>
      </c>
      <c r="M2591" s="11" t="n">
        <f aca="false">(L2591/(F2591*G2591)*25)*4</f>
        <v>8</v>
      </c>
      <c r="N2591" s="1" t="s">
        <v>30</v>
      </c>
      <c r="O2591" s="1" t="s">
        <v>35</v>
      </c>
      <c r="P2591" s="3" t="n">
        <v>0</v>
      </c>
      <c r="Q2591" s="3" t="n">
        <v>2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f aca="false">SUM(P2591:Q2591)</f>
        <v>2</v>
      </c>
      <c r="W2591" s="3" t="n">
        <f aca="false">SUM(R2591:T2591)</f>
        <v>0</v>
      </c>
      <c r="X2591" s="22" t="n">
        <v>41794</v>
      </c>
      <c r="Y2591" s="22" t="n">
        <v>41799</v>
      </c>
    </row>
    <row r="2592" customFormat="false" ht="14.25" hidden="false" customHeight="false" outlineLevel="0" collapsed="false">
      <c r="A2592" s="1" t="n">
        <v>2014</v>
      </c>
      <c r="B2592" s="1" t="n">
        <v>1</v>
      </c>
      <c r="C2592" s="2" t="s">
        <v>50</v>
      </c>
      <c r="D2592" s="3" t="s">
        <v>83</v>
      </c>
      <c r="E2592" s="3" t="n">
        <v>1</v>
      </c>
      <c r="F2592" s="1" t="n">
        <f aca="false">Y2592-X2592</f>
        <v>5</v>
      </c>
      <c r="G2592" s="1" t="n">
        <v>5</v>
      </c>
      <c r="H2592" s="3" t="s">
        <v>48</v>
      </c>
      <c r="I2592" s="3" t="s">
        <v>49</v>
      </c>
      <c r="J2592" s="3" t="s">
        <v>104</v>
      </c>
      <c r="K2592" s="2" t="str">
        <f aca="false">CONCATENATE(I2592," ",J2592)</f>
        <v>Alopecosa taeniata</v>
      </c>
      <c r="L2592" s="3" t="n">
        <f aca="false">SUM(P2592:U2592)</f>
        <v>4</v>
      </c>
      <c r="M2592" s="11" t="n">
        <f aca="false">(L2592/(F2592*G2592)*25)*4</f>
        <v>16</v>
      </c>
      <c r="N2592" s="1" t="s">
        <v>30</v>
      </c>
      <c r="O2592" s="1" t="s">
        <v>31</v>
      </c>
      <c r="P2592" s="3" t="n">
        <v>4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f aca="false">SUM(P2592:Q2592)</f>
        <v>4</v>
      </c>
      <c r="W2592" s="3" t="n">
        <f aca="false">SUM(R2592:T2592)</f>
        <v>0</v>
      </c>
      <c r="X2592" s="22" t="n">
        <v>41794</v>
      </c>
      <c r="Y2592" s="22" t="n">
        <v>41799</v>
      </c>
    </row>
    <row r="2593" customFormat="false" ht="14.25" hidden="false" customHeight="false" outlineLevel="0" collapsed="false">
      <c r="A2593" s="1" t="n">
        <v>2014</v>
      </c>
      <c r="B2593" s="1" t="n">
        <v>1</v>
      </c>
      <c r="C2593" s="2" t="s">
        <v>50</v>
      </c>
      <c r="D2593" s="3" t="s">
        <v>83</v>
      </c>
      <c r="E2593" s="3" t="n">
        <v>1</v>
      </c>
      <c r="F2593" s="1" t="n">
        <f aca="false">Y2593-X2593</f>
        <v>5</v>
      </c>
      <c r="G2593" s="1" t="n">
        <v>5</v>
      </c>
      <c r="H2593" s="3" t="s">
        <v>72</v>
      </c>
      <c r="I2593" s="3" t="s">
        <v>73</v>
      </c>
      <c r="J2593" s="3" t="s">
        <v>38</v>
      </c>
      <c r="K2593" s="2" t="str">
        <f aca="false">CONCATENATE(I2593," ",J2593)</f>
        <v>Zelotes sp</v>
      </c>
      <c r="L2593" s="3" t="n">
        <f aca="false">SUM(P2593:U2593)</f>
        <v>1</v>
      </c>
      <c r="M2593" s="11" t="n">
        <f aca="false">(L2593/(F2593*G2593)*25)*4</f>
        <v>4</v>
      </c>
      <c r="N2593" s="1" t="s">
        <v>19</v>
      </c>
      <c r="O2593" s="1" t="s">
        <v>35</v>
      </c>
      <c r="P2593" s="3" t="n">
        <v>0</v>
      </c>
      <c r="Q2593" s="3" t="n">
        <v>0</v>
      </c>
      <c r="R2593" s="3" t="n">
        <v>0</v>
      </c>
      <c r="S2593" s="3" t="n">
        <v>1</v>
      </c>
      <c r="T2593" s="3" t="n">
        <v>0</v>
      </c>
      <c r="U2593" s="3" t="n">
        <v>0</v>
      </c>
      <c r="V2593" s="3" t="n">
        <f aca="false">SUM(P2593:Q2593)</f>
        <v>0</v>
      </c>
      <c r="W2593" s="3" t="n">
        <f aca="false">SUM(R2593:T2593)</f>
        <v>1</v>
      </c>
      <c r="X2593" s="22" t="n">
        <v>41794</v>
      </c>
      <c r="Y2593" s="22" t="n">
        <v>41799</v>
      </c>
    </row>
    <row r="2594" customFormat="false" ht="14.25" hidden="false" customHeight="false" outlineLevel="0" collapsed="false">
      <c r="A2594" s="1" t="n">
        <v>2014</v>
      </c>
      <c r="B2594" s="1" t="n">
        <v>1</v>
      </c>
      <c r="C2594" s="2" t="s">
        <v>50</v>
      </c>
      <c r="D2594" s="3" t="s">
        <v>83</v>
      </c>
      <c r="E2594" s="3" t="n">
        <v>1</v>
      </c>
      <c r="F2594" s="1" t="n">
        <f aca="false">Y2594-X2594</f>
        <v>5</v>
      </c>
      <c r="G2594" s="1" t="n">
        <v>5</v>
      </c>
      <c r="H2594" s="3" t="s">
        <v>226</v>
      </c>
      <c r="I2594" s="3" t="s">
        <v>65</v>
      </c>
      <c r="J2594" s="3" t="s">
        <v>123</v>
      </c>
      <c r="K2594" s="2" t="str">
        <f aca="false">CONCATENATE(I2594," ",J2594)</f>
        <v>Zora nemoralis</v>
      </c>
      <c r="L2594" s="3" t="n">
        <f aca="false">SUM(P2594:U2594)</f>
        <v>2</v>
      </c>
      <c r="M2594" s="11" t="n">
        <f aca="false">(L2594/(F2594*G2594)*25)*4</f>
        <v>8</v>
      </c>
      <c r="N2594" s="1" t="s">
        <v>30</v>
      </c>
      <c r="O2594" s="1" t="s">
        <v>31</v>
      </c>
      <c r="P2594" s="3" t="n">
        <v>2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f aca="false">SUM(P2594:Q2594)</f>
        <v>2</v>
      </c>
      <c r="W2594" s="3" t="n">
        <f aca="false">SUM(R2594:T2594)</f>
        <v>0</v>
      </c>
      <c r="X2594" s="22" t="n">
        <v>41794</v>
      </c>
      <c r="Y2594" s="22" t="n">
        <v>41799</v>
      </c>
    </row>
    <row r="2595" customFormat="false" ht="14.25" hidden="false" customHeight="false" outlineLevel="0" collapsed="false">
      <c r="A2595" s="1" t="n">
        <v>2014</v>
      </c>
      <c r="B2595" s="1" t="n">
        <v>1</v>
      </c>
      <c r="C2595" s="2" t="s">
        <v>50</v>
      </c>
      <c r="D2595" s="3" t="s">
        <v>83</v>
      </c>
      <c r="E2595" s="3" t="n">
        <v>1</v>
      </c>
      <c r="F2595" s="1" t="n">
        <f aca="false">Y2595-X2595</f>
        <v>5</v>
      </c>
      <c r="G2595" s="1" t="n">
        <v>5</v>
      </c>
      <c r="H2595" s="3" t="s">
        <v>27</v>
      </c>
      <c r="I2595" s="3" t="s">
        <v>46</v>
      </c>
      <c r="J2595" s="3" t="s">
        <v>47</v>
      </c>
      <c r="K2595" s="2" t="str">
        <f aca="false">CONCATENATE(I2595," ",J2595)</f>
        <v>Euryopis flavomaculata</v>
      </c>
      <c r="L2595" s="3" t="n">
        <f aca="false">SUM(P2595:U2595)</f>
        <v>1</v>
      </c>
      <c r="M2595" s="11" t="n">
        <f aca="false">(L2595/(F2595*G2595)*25)*4</f>
        <v>4</v>
      </c>
      <c r="N2595" s="1" t="s">
        <v>30</v>
      </c>
      <c r="O2595" s="1" t="s">
        <v>31</v>
      </c>
      <c r="P2595" s="3" t="n">
        <v>1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f aca="false">SUM(P2595:Q2595)</f>
        <v>1</v>
      </c>
      <c r="W2595" s="3" t="n">
        <f aca="false">SUM(R2595:T2595)</f>
        <v>0</v>
      </c>
      <c r="X2595" s="22" t="n">
        <v>41794</v>
      </c>
      <c r="Y2595" s="22" t="n">
        <v>41799</v>
      </c>
    </row>
    <row r="2596" customFormat="false" ht="14.25" hidden="false" customHeight="false" outlineLevel="0" collapsed="false">
      <c r="A2596" s="1" t="n">
        <v>2014</v>
      </c>
      <c r="B2596" s="1" t="n">
        <v>1</v>
      </c>
      <c r="C2596" s="2" t="s">
        <v>50</v>
      </c>
      <c r="D2596" s="3" t="s">
        <v>83</v>
      </c>
      <c r="E2596" s="3" t="n">
        <v>1</v>
      </c>
      <c r="F2596" s="1" t="n">
        <f aca="false">Y2596-X2596</f>
        <v>5</v>
      </c>
      <c r="G2596" s="1" t="n">
        <v>5</v>
      </c>
      <c r="H2596" s="3" t="s">
        <v>32</v>
      </c>
      <c r="I2596" s="3" t="s">
        <v>102</v>
      </c>
      <c r="J2596" s="3" t="s">
        <v>192</v>
      </c>
      <c r="K2596" s="2" t="str">
        <f aca="false">CONCATENATE(I2596," ",J2596)</f>
        <v>Agyneta allosubtilis</v>
      </c>
      <c r="L2596" s="3" t="n">
        <f aca="false">SUM(P2596:U2596)</f>
        <v>1</v>
      </c>
      <c r="M2596" s="11" t="n">
        <f aca="false">(L2596/(F2596*G2596)*25)*4</f>
        <v>4</v>
      </c>
      <c r="N2596" s="1" t="s">
        <v>30</v>
      </c>
      <c r="O2596" s="1" t="s">
        <v>31</v>
      </c>
      <c r="P2596" s="3" t="n">
        <v>1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f aca="false">SUM(P2596:Q2596)</f>
        <v>1</v>
      </c>
      <c r="W2596" s="3" t="n">
        <f aca="false">SUM(R2596:T2596)</f>
        <v>0</v>
      </c>
      <c r="X2596" s="22" t="n">
        <v>41794</v>
      </c>
      <c r="Y2596" s="22" t="n">
        <v>41799</v>
      </c>
    </row>
    <row r="2597" customFormat="false" ht="14.25" hidden="false" customHeight="false" outlineLevel="0" collapsed="false">
      <c r="A2597" s="1" t="n">
        <v>2014</v>
      </c>
      <c r="B2597" s="1" t="n">
        <v>1</v>
      </c>
      <c r="C2597" s="2" t="s">
        <v>50</v>
      </c>
      <c r="D2597" s="3" t="s">
        <v>83</v>
      </c>
      <c r="E2597" s="3" t="n">
        <v>1</v>
      </c>
      <c r="F2597" s="1" t="n">
        <f aca="false">Y2597-X2597</f>
        <v>5</v>
      </c>
      <c r="G2597" s="1" t="n">
        <v>5</v>
      </c>
      <c r="H2597" s="3" t="s">
        <v>32</v>
      </c>
      <c r="I2597" s="3" t="s">
        <v>169</v>
      </c>
      <c r="J2597" s="3" t="s">
        <v>170</v>
      </c>
      <c r="K2597" s="2" t="str">
        <f aca="false">CONCATENATE(I2597," ",J2597)</f>
        <v>Abacoproeces saltuum</v>
      </c>
      <c r="L2597" s="3" t="n">
        <f aca="false">SUM(P2597:U2597)</f>
        <v>1</v>
      </c>
      <c r="M2597" s="11" t="n">
        <f aca="false">(L2597/(F2597*G2597)*25)*4</f>
        <v>4</v>
      </c>
      <c r="N2597" s="1" t="s">
        <v>30</v>
      </c>
      <c r="O2597" s="1" t="s">
        <v>31</v>
      </c>
      <c r="P2597" s="3" t="n">
        <v>1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f aca="false">SUM(P2597:Q2597)</f>
        <v>1</v>
      </c>
      <c r="W2597" s="3" t="n">
        <f aca="false">SUM(R2597:T2597)</f>
        <v>0</v>
      </c>
      <c r="X2597" s="22" t="n">
        <v>41794</v>
      </c>
      <c r="Y2597" s="22" t="n">
        <v>41799</v>
      </c>
    </row>
    <row r="2598" customFormat="false" ht="14.25" hidden="false" customHeight="false" outlineLevel="0" collapsed="false">
      <c r="A2598" s="1" t="n">
        <v>2014</v>
      </c>
      <c r="B2598" s="1" t="n">
        <v>1</v>
      </c>
      <c r="C2598" s="2" t="s">
        <v>50</v>
      </c>
      <c r="D2598" s="3" t="s">
        <v>83</v>
      </c>
      <c r="E2598" s="3" t="n">
        <v>1</v>
      </c>
      <c r="F2598" s="1" t="n">
        <f aca="false">Y2598-X2598</f>
        <v>5</v>
      </c>
      <c r="G2598" s="1" t="n">
        <v>5</v>
      </c>
      <c r="H2598" s="3" t="s">
        <v>32</v>
      </c>
      <c r="I2598" s="3" t="s">
        <v>169</v>
      </c>
      <c r="J2598" s="3" t="s">
        <v>170</v>
      </c>
      <c r="K2598" s="2" t="str">
        <f aca="false">CONCATENATE(I2598," ",J2598)</f>
        <v>Abacoproeces saltuum</v>
      </c>
      <c r="L2598" s="3" t="n">
        <f aca="false">SUM(P2598:U2598)</f>
        <v>1</v>
      </c>
      <c r="M2598" s="11" t="n">
        <f aca="false">(L2598/(F2598*G2598)*25)*4</f>
        <v>4</v>
      </c>
      <c r="N2598" s="1" t="s">
        <v>30</v>
      </c>
      <c r="O2598" s="1" t="s">
        <v>35</v>
      </c>
      <c r="P2598" s="3" t="n">
        <v>0</v>
      </c>
      <c r="Q2598" s="3" t="n">
        <v>1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f aca="false">SUM(P2598:Q2598)</f>
        <v>1</v>
      </c>
      <c r="W2598" s="3" t="n">
        <f aca="false">SUM(R2598:T2598)</f>
        <v>0</v>
      </c>
      <c r="X2598" s="22" t="n">
        <v>41794</v>
      </c>
      <c r="Y2598" s="22" t="n">
        <v>41799</v>
      </c>
    </row>
    <row r="2599" customFormat="false" ht="14.25" hidden="false" customHeight="false" outlineLevel="0" collapsed="false">
      <c r="A2599" s="1" t="n">
        <v>2014</v>
      </c>
      <c r="B2599" s="1" t="n">
        <v>1</v>
      </c>
      <c r="C2599" s="2" t="s">
        <v>50</v>
      </c>
      <c r="D2599" s="3" t="s">
        <v>83</v>
      </c>
      <c r="E2599" s="3" t="n">
        <v>1</v>
      </c>
      <c r="F2599" s="1" t="n">
        <f aca="false">Y2599-X2599</f>
        <v>5</v>
      </c>
      <c r="G2599" s="1" t="n">
        <v>5</v>
      </c>
      <c r="H2599" s="3" t="s">
        <v>32</v>
      </c>
      <c r="I2599" s="3" t="s">
        <v>249</v>
      </c>
      <c r="J2599" s="3" t="s">
        <v>250</v>
      </c>
      <c r="K2599" s="2" t="str">
        <f aca="false">CONCATENATE(I2599," ",J2599)</f>
        <v>Trichoncus vasconicus</v>
      </c>
      <c r="L2599" s="3" t="n">
        <f aca="false">SUM(P2599:U2599)</f>
        <v>1</v>
      </c>
      <c r="M2599" s="11" t="n">
        <f aca="false">(L2599/(F2599*G2599)*25)*4</f>
        <v>4</v>
      </c>
      <c r="N2599" s="1" t="s">
        <v>30</v>
      </c>
      <c r="O2599" s="1" t="s">
        <v>31</v>
      </c>
      <c r="P2599" s="3" t="n">
        <v>1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f aca="false">SUM(P2599:Q2599)</f>
        <v>1</v>
      </c>
      <c r="W2599" s="3" t="n">
        <f aca="false">SUM(R2599:T2599)</f>
        <v>0</v>
      </c>
      <c r="X2599" s="22" t="n">
        <v>41794</v>
      </c>
      <c r="Y2599" s="22" t="n">
        <v>41799</v>
      </c>
    </row>
    <row r="2600" customFormat="false" ht="14.25" hidden="false" customHeight="false" outlineLevel="0" collapsed="false">
      <c r="A2600" s="1" t="n">
        <v>2014</v>
      </c>
      <c r="B2600" s="1" t="n">
        <v>1</v>
      </c>
      <c r="C2600" s="2" t="s">
        <v>50</v>
      </c>
      <c r="D2600" s="3" t="s">
        <v>83</v>
      </c>
      <c r="E2600" s="3" t="n">
        <v>3</v>
      </c>
      <c r="F2600" s="1" t="n">
        <f aca="false">Y2600-X2600</f>
        <v>5</v>
      </c>
      <c r="G2600" s="1" t="n">
        <v>5</v>
      </c>
      <c r="H2600" s="3" t="s">
        <v>48</v>
      </c>
      <c r="I2600" s="3" t="s">
        <v>67</v>
      </c>
      <c r="J2600" s="3" t="s">
        <v>127</v>
      </c>
      <c r="K2600" s="2" t="str">
        <f aca="false">CONCATENATE(I2600," ",J2600)</f>
        <v>Pardosa lugubris</v>
      </c>
      <c r="L2600" s="3" t="n">
        <f aca="false">SUM(P2600:U2600)</f>
        <v>7</v>
      </c>
      <c r="M2600" s="11" t="n">
        <f aca="false">(L2600/(F2600*G2600)*25)*4</f>
        <v>28</v>
      </c>
      <c r="N2600" s="1" t="s">
        <v>30</v>
      </c>
      <c r="O2600" s="1" t="s">
        <v>31</v>
      </c>
      <c r="P2600" s="3" t="n">
        <v>7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f aca="false">SUM(P2600:Q2600)</f>
        <v>7</v>
      </c>
      <c r="W2600" s="3" t="n">
        <f aca="false">SUM(R2600:T2600)</f>
        <v>0</v>
      </c>
      <c r="X2600" s="22" t="n">
        <v>41794</v>
      </c>
      <c r="Y2600" s="22" t="n">
        <v>41799</v>
      </c>
    </row>
    <row r="2601" customFormat="false" ht="14.25" hidden="false" customHeight="false" outlineLevel="0" collapsed="false">
      <c r="A2601" s="1" t="n">
        <v>2014</v>
      </c>
      <c r="B2601" s="1" t="n">
        <v>1</v>
      </c>
      <c r="C2601" s="2" t="s">
        <v>50</v>
      </c>
      <c r="D2601" s="3" t="s">
        <v>83</v>
      </c>
      <c r="E2601" s="3" t="n">
        <v>3</v>
      </c>
      <c r="F2601" s="1" t="n">
        <f aca="false">Y2601-X2601</f>
        <v>5</v>
      </c>
      <c r="G2601" s="1" t="n">
        <v>5</v>
      </c>
      <c r="H2601" s="3" t="s">
        <v>48</v>
      </c>
      <c r="I2601" s="3" t="s">
        <v>67</v>
      </c>
      <c r="J2601" s="3" t="s">
        <v>127</v>
      </c>
      <c r="K2601" s="2" t="str">
        <f aca="false">CONCATENATE(I2601," ",J2601)</f>
        <v>Pardosa lugubris</v>
      </c>
      <c r="L2601" s="3" t="n">
        <f aca="false">SUM(P2601:U2601)</f>
        <v>2</v>
      </c>
      <c r="M2601" s="11" t="n">
        <f aca="false">(L2601/(F2601*G2601)*25)*4</f>
        <v>8</v>
      </c>
      <c r="N2601" s="1" t="s">
        <v>30</v>
      </c>
      <c r="O2601" s="1" t="s">
        <v>35</v>
      </c>
      <c r="P2601" s="3" t="n">
        <v>0</v>
      </c>
      <c r="Q2601" s="3" t="n">
        <v>2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f aca="false">SUM(P2601:Q2601)</f>
        <v>2</v>
      </c>
      <c r="W2601" s="3" t="n">
        <f aca="false">SUM(R2601:T2601)</f>
        <v>0</v>
      </c>
      <c r="X2601" s="22" t="n">
        <v>41794</v>
      </c>
      <c r="Y2601" s="22" t="n">
        <v>41799</v>
      </c>
    </row>
    <row r="2602" customFormat="false" ht="14.25" hidden="false" customHeight="false" outlineLevel="0" collapsed="false">
      <c r="A2602" s="1" t="n">
        <v>2014</v>
      </c>
      <c r="B2602" s="1" t="n">
        <v>1</v>
      </c>
      <c r="C2602" s="2" t="s">
        <v>50</v>
      </c>
      <c r="D2602" s="3" t="s">
        <v>83</v>
      </c>
      <c r="E2602" s="3" t="n">
        <v>3</v>
      </c>
      <c r="F2602" s="1" t="n">
        <f aca="false">Y2602-X2602</f>
        <v>5</v>
      </c>
      <c r="G2602" s="1" t="n">
        <v>5</v>
      </c>
      <c r="H2602" s="3" t="s">
        <v>48</v>
      </c>
      <c r="I2602" s="3" t="s">
        <v>61</v>
      </c>
      <c r="J2602" s="3" t="s">
        <v>82</v>
      </c>
      <c r="K2602" s="2" t="str">
        <f aca="false">CONCATENATE(I2602," ",J2602)</f>
        <v>Trochosa terricola</v>
      </c>
      <c r="L2602" s="3" t="n">
        <f aca="false">SUM(P2602:U2602)</f>
        <v>1</v>
      </c>
      <c r="M2602" s="11" t="n">
        <f aca="false">(L2602/(F2602*G2602)*25)*4</f>
        <v>4</v>
      </c>
      <c r="N2602" s="1" t="s">
        <v>30</v>
      </c>
      <c r="O2602" s="1" t="s">
        <v>35</v>
      </c>
      <c r="P2602" s="3" t="n">
        <v>0</v>
      </c>
      <c r="Q2602" s="3" t="n">
        <v>1</v>
      </c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f aca="false">SUM(P2602:Q2602)</f>
        <v>1</v>
      </c>
      <c r="W2602" s="3" t="n">
        <f aca="false">SUM(R2602:T2602)</f>
        <v>0</v>
      </c>
      <c r="X2602" s="22" t="n">
        <v>41794</v>
      </c>
      <c r="Y2602" s="22" t="n">
        <v>41799</v>
      </c>
    </row>
    <row r="2603" customFormat="false" ht="14.25" hidden="false" customHeight="false" outlineLevel="0" collapsed="false">
      <c r="A2603" s="1" t="n">
        <v>2014</v>
      </c>
      <c r="B2603" s="1" t="n">
        <v>1</v>
      </c>
      <c r="C2603" s="2" t="s">
        <v>50</v>
      </c>
      <c r="D2603" s="3" t="s">
        <v>83</v>
      </c>
      <c r="E2603" s="3" t="n">
        <v>3</v>
      </c>
      <c r="F2603" s="1" t="n">
        <f aca="false">Y2603-X2603</f>
        <v>5</v>
      </c>
      <c r="G2603" s="1" t="n">
        <v>5</v>
      </c>
      <c r="H2603" s="3" t="s">
        <v>48</v>
      </c>
      <c r="I2603" s="3" t="s">
        <v>49</v>
      </c>
      <c r="J2603" s="3" t="s">
        <v>104</v>
      </c>
      <c r="K2603" s="2" t="str">
        <f aca="false">CONCATENATE(I2603," ",J2603)</f>
        <v>Alopecosa taeniata</v>
      </c>
      <c r="L2603" s="3" t="n">
        <f aca="false">SUM(P2603:U2603)</f>
        <v>1</v>
      </c>
      <c r="M2603" s="11" t="n">
        <f aca="false">(L2603/(F2603*G2603)*25)*4</f>
        <v>4</v>
      </c>
      <c r="N2603" s="1" t="s">
        <v>30</v>
      </c>
      <c r="O2603" s="1" t="s">
        <v>35</v>
      </c>
      <c r="P2603" s="3" t="n">
        <v>0</v>
      </c>
      <c r="Q2603" s="3" t="n">
        <v>1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f aca="false">SUM(P2603:Q2603)</f>
        <v>1</v>
      </c>
      <c r="W2603" s="3" t="n">
        <f aca="false">SUM(R2603:T2603)</f>
        <v>0</v>
      </c>
      <c r="X2603" s="22" t="n">
        <v>41794</v>
      </c>
      <c r="Y2603" s="22" t="n">
        <v>41799</v>
      </c>
    </row>
    <row r="2604" customFormat="false" ht="14.25" hidden="false" customHeight="false" outlineLevel="0" collapsed="false">
      <c r="A2604" s="1" t="n">
        <v>2014</v>
      </c>
      <c r="B2604" s="1" t="n">
        <v>1</v>
      </c>
      <c r="C2604" s="2" t="s">
        <v>50</v>
      </c>
      <c r="D2604" s="3" t="s">
        <v>83</v>
      </c>
      <c r="E2604" s="3" t="n">
        <v>3</v>
      </c>
      <c r="F2604" s="1" t="n">
        <f aca="false">Y2604-X2604</f>
        <v>5</v>
      </c>
      <c r="G2604" s="1" t="n">
        <v>5</v>
      </c>
      <c r="H2604" s="3" t="s">
        <v>72</v>
      </c>
      <c r="I2604" s="3" t="s">
        <v>73</v>
      </c>
      <c r="J2604" s="3" t="s">
        <v>38</v>
      </c>
      <c r="K2604" s="2" t="str">
        <f aca="false">CONCATENATE(I2604," ",J2604)</f>
        <v>Zelotes sp</v>
      </c>
      <c r="L2604" s="3" t="n">
        <f aca="false">SUM(P2604:U2604)</f>
        <v>1</v>
      </c>
      <c r="M2604" s="11" t="n">
        <f aca="false">(L2604/(F2604*G2604)*25)*4</f>
        <v>4</v>
      </c>
      <c r="N2604" s="1" t="s">
        <v>19</v>
      </c>
      <c r="O2604" s="1" t="s">
        <v>31</v>
      </c>
      <c r="P2604" s="3" t="n">
        <v>0</v>
      </c>
      <c r="Q2604" s="3" t="n">
        <v>0</v>
      </c>
      <c r="R2604" s="3" t="n">
        <v>1</v>
      </c>
      <c r="S2604" s="3" t="n">
        <v>0</v>
      </c>
      <c r="T2604" s="3" t="n">
        <v>0</v>
      </c>
      <c r="U2604" s="3" t="n">
        <v>0</v>
      </c>
      <c r="V2604" s="3" t="n">
        <f aca="false">SUM(P2604:Q2604)</f>
        <v>0</v>
      </c>
      <c r="W2604" s="3" t="n">
        <f aca="false">SUM(R2604:T2604)</f>
        <v>1</v>
      </c>
      <c r="X2604" s="22" t="n">
        <v>41794</v>
      </c>
      <c r="Y2604" s="22" t="n">
        <v>41799</v>
      </c>
    </row>
    <row r="2605" customFormat="false" ht="14.25" hidden="false" customHeight="false" outlineLevel="0" collapsed="false">
      <c r="A2605" s="1" t="n">
        <v>2014</v>
      </c>
      <c r="B2605" s="1" t="n">
        <v>1</v>
      </c>
      <c r="C2605" s="2" t="s">
        <v>50</v>
      </c>
      <c r="D2605" s="3" t="s">
        <v>83</v>
      </c>
      <c r="E2605" s="3" t="n">
        <v>3</v>
      </c>
      <c r="F2605" s="1" t="n">
        <f aca="false">Y2605-X2605</f>
        <v>5</v>
      </c>
      <c r="G2605" s="1" t="n">
        <v>5</v>
      </c>
      <c r="H2605" s="3" t="s">
        <v>72</v>
      </c>
      <c r="I2605" s="3" t="s">
        <v>73</v>
      </c>
      <c r="J2605" s="3" t="s">
        <v>38</v>
      </c>
      <c r="K2605" s="2" t="str">
        <f aca="false">CONCATENATE(I2605," ",J2605)</f>
        <v>Zelotes sp</v>
      </c>
      <c r="L2605" s="3" t="n">
        <f aca="false">SUM(P2605:U2605)</f>
        <v>1</v>
      </c>
      <c r="M2605" s="11" t="n">
        <f aca="false">(L2605/(F2605*G2605)*25)*4</f>
        <v>4</v>
      </c>
      <c r="N2605" s="1" t="s">
        <v>19</v>
      </c>
      <c r="O2605" s="1" t="s">
        <v>35</v>
      </c>
      <c r="P2605" s="3" t="n">
        <v>0</v>
      </c>
      <c r="Q2605" s="3" t="n">
        <v>0</v>
      </c>
      <c r="R2605" s="3" t="n">
        <v>0</v>
      </c>
      <c r="S2605" s="3" t="n">
        <v>1</v>
      </c>
      <c r="T2605" s="3" t="n">
        <v>0</v>
      </c>
      <c r="U2605" s="3" t="n">
        <v>0</v>
      </c>
      <c r="V2605" s="3" t="n">
        <f aca="false">SUM(P2605:Q2605)</f>
        <v>0</v>
      </c>
      <c r="W2605" s="3" t="n">
        <f aca="false">SUM(R2605:T2605)</f>
        <v>1</v>
      </c>
      <c r="X2605" s="22" t="n">
        <v>41794</v>
      </c>
      <c r="Y2605" s="22" t="n">
        <v>41799</v>
      </c>
    </row>
    <row r="2606" customFormat="false" ht="14.25" hidden="false" customHeight="false" outlineLevel="0" collapsed="false">
      <c r="A2606" s="1" t="n">
        <v>2014</v>
      </c>
      <c r="B2606" s="1" t="n">
        <v>1</v>
      </c>
      <c r="C2606" s="2" t="s">
        <v>50</v>
      </c>
      <c r="D2606" s="3" t="s">
        <v>83</v>
      </c>
      <c r="E2606" s="3" t="n">
        <v>3</v>
      </c>
      <c r="F2606" s="1" t="n">
        <f aca="false">Y2606-X2606</f>
        <v>5</v>
      </c>
      <c r="G2606" s="1" t="n">
        <v>5</v>
      </c>
      <c r="H2606" s="3" t="s">
        <v>72</v>
      </c>
      <c r="I2606" s="3" t="s">
        <v>86</v>
      </c>
      <c r="J2606" s="3" t="s">
        <v>87</v>
      </c>
      <c r="K2606" s="2" t="str">
        <f aca="false">CONCATENATE(I2606," ",J2606)</f>
        <v>Haplodrassus soerenseni</v>
      </c>
      <c r="L2606" s="3" t="n">
        <f aca="false">SUM(P2606:U2606)</f>
        <v>1</v>
      </c>
      <c r="M2606" s="11" t="n">
        <f aca="false">(L2606/(F2606*G2606)*25)*4</f>
        <v>4</v>
      </c>
      <c r="N2606" s="1" t="s">
        <v>30</v>
      </c>
      <c r="O2606" s="1" t="s">
        <v>31</v>
      </c>
      <c r="P2606" s="3" t="n">
        <v>1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f aca="false">SUM(P2606:Q2606)</f>
        <v>1</v>
      </c>
      <c r="W2606" s="3" t="n">
        <f aca="false">SUM(R2606:T2606)</f>
        <v>0</v>
      </c>
      <c r="X2606" s="22" t="n">
        <v>41794</v>
      </c>
      <c r="Y2606" s="22" t="n">
        <v>41799</v>
      </c>
    </row>
    <row r="2607" customFormat="false" ht="14.25" hidden="false" customHeight="false" outlineLevel="0" collapsed="false">
      <c r="A2607" s="1" t="n">
        <v>2014</v>
      </c>
      <c r="B2607" s="1" t="n">
        <v>1</v>
      </c>
      <c r="C2607" s="2" t="s">
        <v>50</v>
      </c>
      <c r="D2607" s="3" t="s">
        <v>83</v>
      </c>
      <c r="E2607" s="3" t="n">
        <v>3</v>
      </c>
      <c r="F2607" s="1" t="n">
        <f aca="false">Y2607-X2607</f>
        <v>5</v>
      </c>
      <c r="G2607" s="1" t="n">
        <v>5</v>
      </c>
      <c r="H2607" s="3" t="s">
        <v>36</v>
      </c>
      <c r="I2607" s="3" t="s">
        <v>131</v>
      </c>
      <c r="J2607" s="3" t="s">
        <v>133</v>
      </c>
      <c r="K2607" s="2" t="str">
        <f aca="false">CONCATENATE(I2607," ",J2607)</f>
        <v>Xysticus luctuosus</v>
      </c>
      <c r="L2607" s="3" t="n">
        <f aca="false">SUM(P2607:U2607)</f>
        <v>1</v>
      </c>
      <c r="M2607" s="11" t="n">
        <f aca="false">(L2607/(F2607*G2607)*25)*4</f>
        <v>4</v>
      </c>
      <c r="N2607" s="1" t="s">
        <v>30</v>
      </c>
      <c r="O2607" s="1" t="s">
        <v>31</v>
      </c>
      <c r="P2607" s="3" t="n">
        <v>1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f aca="false">SUM(P2607:Q2607)</f>
        <v>1</v>
      </c>
      <c r="W2607" s="3" t="n">
        <f aca="false">SUM(R2607:T2607)</f>
        <v>0</v>
      </c>
      <c r="X2607" s="22" t="n">
        <v>41794</v>
      </c>
      <c r="Y2607" s="22" t="n">
        <v>41799</v>
      </c>
    </row>
    <row r="2608" customFormat="false" ht="14.25" hidden="false" customHeight="false" outlineLevel="0" collapsed="false">
      <c r="A2608" s="1" t="n">
        <v>2014</v>
      </c>
      <c r="B2608" s="1" t="n">
        <v>1</v>
      </c>
      <c r="C2608" s="2" t="s">
        <v>50</v>
      </c>
      <c r="D2608" s="3" t="s">
        <v>83</v>
      </c>
      <c r="E2608" s="3" t="n">
        <v>3</v>
      </c>
      <c r="F2608" s="1" t="n">
        <f aca="false">Y2608-X2608</f>
        <v>5</v>
      </c>
      <c r="G2608" s="1" t="n">
        <v>5</v>
      </c>
      <c r="H2608" s="3" t="s">
        <v>135</v>
      </c>
      <c r="I2608" s="3" t="s">
        <v>136</v>
      </c>
      <c r="J2608" s="3" t="s">
        <v>137</v>
      </c>
      <c r="K2608" s="2" t="str">
        <f aca="false">CONCATENATE(I2608," ",J2608)</f>
        <v>Thanatus sabulosus</v>
      </c>
      <c r="L2608" s="3" t="n">
        <f aca="false">SUM(P2608:U2608)</f>
        <v>2</v>
      </c>
      <c r="M2608" s="11" t="n">
        <f aca="false">(L2608/(F2608*G2608)*25)*4</f>
        <v>8</v>
      </c>
      <c r="N2608" s="1" t="s">
        <v>30</v>
      </c>
      <c r="O2608" s="1" t="s">
        <v>31</v>
      </c>
      <c r="P2608" s="3" t="n">
        <v>2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f aca="false">SUM(P2608:Q2608)</f>
        <v>2</v>
      </c>
      <c r="W2608" s="3" t="n">
        <f aca="false">SUM(R2608:T2608)</f>
        <v>0</v>
      </c>
      <c r="X2608" s="22" t="n">
        <v>41794</v>
      </c>
      <c r="Y2608" s="22" t="n">
        <v>41799</v>
      </c>
    </row>
    <row r="2609" customFormat="false" ht="14.25" hidden="false" customHeight="false" outlineLevel="0" collapsed="false">
      <c r="A2609" s="1" t="n">
        <v>2014</v>
      </c>
      <c r="B2609" s="1" t="n">
        <v>1</v>
      </c>
      <c r="C2609" s="2" t="s">
        <v>50</v>
      </c>
      <c r="D2609" s="3" t="s">
        <v>83</v>
      </c>
      <c r="E2609" s="3" t="n">
        <v>3</v>
      </c>
      <c r="F2609" s="1" t="n">
        <f aca="false">Y2609-X2609</f>
        <v>5</v>
      </c>
      <c r="G2609" s="1" t="n">
        <v>5</v>
      </c>
      <c r="H2609" s="3" t="s">
        <v>92</v>
      </c>
      <c r="I2609" s="3" t="s">
        <v>171</v>
      </c>
      <c r="J2609" s="3" t="s">
        <v>172</v>
      </c>
      <c r="K2609" s="2" t="str">
        <f aca="false">CONCATENATE(I2609," ",J2609)</f>
        <v>Euophrys frontalis</v>
      </c>
      <c r="L2609" s="3" t="n">
        <f aca="false">SUM(P2609:U2609)</f>
        <v>1</v>
      </c>
      <c r="M2609" s="11" t="n">
        <f aca="false">(L2609/(F2609*G2609)*25)*4</f>
        <v>4</v>
      </c>
      <c r="N2609" s="1" t="s">
        <v>30</v>
      </c>
      <c r="O2609" s="1" t="s">
        <v>35</v>
      </c>
      <c r="P2609" s="3" t="n">
        <v>0</v>
      </c>
      <c r="Q2609" s="3" t="n">
        <v>1</v>
      </c>
      <c r="R2609" s="3" t="n">
        <v>0</v>
      </c>
      <c r="S2609" s="3" t="n">
        <v>0</v>
      </c>
      <c r="T2609" s="3" t="n">
        <v>0</v>
      </c>
      <c r="U2609" s="3" t="n">
        <v>0</v>
      </c>
      <c r="V2609" s="3" t="n">
        <f aca="false">SUM(P2609:Q2609)</f>
        <v>1</v>
      </c>
      <c r="W2609" s="3" t="n">
        <f aca="false">SUM(R2609:T2609)</f>
        <v>0</v>
      </c>
      <c r="X2609" s="22" t="n">
        <v>41794</v>
      </c>
      <c r="Y2609" s="22" t="n">
        <v>41799</v>
      </c>
    </row>
    <row r="2610" customFormat="false" ht="14.25" hidden="false" customHeight="false" outlineLevel="0" collapsed="false">
      <c r="A2610" s="1" t="n">
        <v>2014</v>
      </c>
      <c r="B2610" s="1" t="n">
        <v>1</v>
      </c>
      <c r="C2610" s="2" t="s">
        <v>50</v>
      </c>
      <c r="D2610" s="3" t="s">
        <v>83</v>
      </c>
      <c r="E2610" s="3" t="n">
        <v>2</v>
      </c>
      <c r="F2610" s="1" t="n">
        <f aca="false">Y2610-X2610</f>
        <v>5</v>
      </c>
      <c r="G2610" s="1" t="n">
        <v>5</v>
      </c>
      <c r="H2610" s="3" t="s">
        <v>48</v>
      </c>
      <c r="I2610" s="3" t="s">
        <v>67</v>
      </c>
      <c r="J2610" s="3" t="s">
        <v>127</v>
      </c>
      <c r="K2610" s="2" t="str">
        <f aca="false">CONCATENATE(I2610," ",J2610)</f>
        <v>Pardosa lugubris</v>
      </c>
      <c r="L2610" s="3" t="n">
        <f aca="false">SUM(P2610:U2610)</f>
        <v>9</v>
      </c>
      <c r="M2610" s="11" t="n">
        <f aca="false">(L2610/(F2610*G2610)*25)*4</f>
        <v>36</v>
      </c>
      <c r="N2610" s="1" t="s">
        <v>30</v>
      </c>
      <c r="O2610" s="1" t="s">
        <v>31</v>
      </c>
      <c r="P2610" s="3" t="n">
        <v>9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f aca="false">SUM(P2610:Q2610)</f>
        <v>9</v>
      </c>
      <c r="W2610" s="3" t="n">
        <f aca="false">SUM(R2610:T2610)</f>
        <v>0</v>
      </c>
      <c r="X2610" s="22" t="n">
        <v>41794</v>
      </c>
      <c r="Y2610" s="22" t="n">
        <v>41799</v>
      </c>
    </row>
    <row r="2611" customFormat="false" ht="14.25" hidden="false" customHeight="false" outlineLevel="0" collapsed="false">
      <c r="A2611" s="1" t="n">
        <v>2014</v>
      </c>
      <c r="B2611" s="1" t="n">
        <v>1</v>
      </c>
      <c r="C2611" s="2" t="s">
        <v>50</v>
      </c>
      <c r="D2611" s="3" t="s">
        <v>83</v>
      </c>
      <c r="E2611" s="3" t="n">
        <v>2</v>
      </c>
      <c r="F2611" s="1" t="n">
        <f aca="false">Y2611-X2611</f>
        <v>5</v>
      </c>
      <c r="G2611" s="1" t="n">
        <v>5</v>
      </c>
      <c r="H2611" s="3" t="s">
        <v>27</v>
      </c>
      <c r="I2611" s="3" t="s">
        <v>46</v>
      </c>
      <c r="J2611" s="3" t="s">
        <v>47</v>
      </c>
      <c r="K2611" s="2" t="str">
        <f aca="false">CONCATENATE(I2611," ",J2611)</f>
        <v>Euryopis flavomaculata</v>
      </c>
      <c r="L2611" s="3" t="n">
        <f aca="false">SUM(P2611:U2611)</f>
        <v>2</v>
      </c>
      <c r="M2611" s="11" t="n">
        <f aca="false">(L2611/(F2611*G2611)*25)*4</f>
        <v>8</v>
      </c>
      <c r="N2611" s="1" t="s">
        <v>30</v>
      </c>
      <c r="O2611" s="1" t="s">
        <v>31</v>
      </c>
      <c r="P2611" s="3" t="n">
        <v>2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f aca="false">SUM(P2611:Q2611)</f>
        <v>2</v>
      </c>
      <c r="W2611" s="3" t="n">
        <f aca="false">SUM(R2611:T2611)</f>
        <v>0</v>
      </c>
      <c r="X2611" s="22" t="n">
        <v>41794</v>
      </c>
      <c r="Y2611" s="22" t="n">
        <v>41799</v>
      </c>
    </row>
    <row r="2612" customFormat="false" ht="14.25" hidden="false" customHeight="false" outlineLevel="0" collapsed="false">
      <c r="A2612" s="1" t="n">
        <v>2014</v>
      </c>
      <c r="B2612" s="1" t="n">
        <v>1</v>
      </c>
      <c r="C2612" s="2" t="s">
        <v>50</v>
      </c>
      <c r="D2612" s="3" t="s">
        <v>83</v>
      </c>
      <c r="E2612" s="3" t="n">
        <v>2</v>
      </c>
      <c r="F2612" s="1" t="n">
        <f aca="false">Y2612-X2612</f>
        <v>5</v>
      </c>
      <c r="G2612" s="1" t="n">
        <v>5</v>
      </c>
      <c r="H2612" s="3" t="s">
        <v>36</v>
      </c>
      <c r="I2612" s="3" t="s">
        <v>131</v>
      </c>
      <c r="J2612" s="3" t="s">
        <v>133</v>
      </c>
      <c r="K2612" s="2" t="str">
        <f aca="false">CONCATENATE(I2612," ",J2612)</f>
        <v>Xysticus luctuosus</v>
      </c>
      <c r="L2612" s="3" t="n">
        <f aca="false">SUM(P2612:U2612)</f>
        <v>2</v>
      </c>
      <c r="M2612" s="11" t="n">
        <f aca="false">(L2612/(F2612*G2612)*25)*4</f>
        <v>8</v>
      </c>
      <c r="N2612" s="1" t="s">
        <v>30</v>
      </c>
      <c r="O2612" s="1" t="s">
        <v>31</v>
      </c>
      <c r="P2612" s="3" t="n">
        <v>2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  <c r="V2612" s="3" t="n">
        <f aca="false">SUM(P2612:Q2612)</f>
        <v>2</v>
      </c>
      <c r="W2612" s="3" t="n">
        <f aca="false">SUM(R2612:T2612)</f>
        <v>0</v>
      </c>
      <c r="X2612" s="22" t="n">
        <v>41794</v>
      </c>
      <c r="Y2612" s="22" t="n">
        <v>41799</v>
      </c>
    </row>
    <row r="2613" customFormat="false" ht="14.25" hidden="false" customHeight="false" outlineLevel="0" collapsed="false">
      <c r="A2613" s="1" t="n">
        <v>2014</v>
      </c>
      <c r="B2613" s="1" t="n">
        <v>1</v>
      </c>
      <c r="C2613" s="2" t="s">
        <v>50</v>
      </c>
      <c r="D2613" s="3" t="s">
        <v>83</v>
      </c>
      <c r="E2613" s="3" t="n">
        <v>2</v>
      </c>
      <c r="F2613" s="1" t="n">
        <f aca="false">Y2613-X2613</f>
        <v>5</v>
      </c>
      <c r="G2613" s="1" t="n">
        <v>5</v>
      </c>
      <c r="H2613" s="3" t="s">
        <v>72</v>
      </c>
      <c r="I2613" s="3" t="s">
        <v>73</v>
      </c>
      <c r="J2613" s="3" t="s">
        <v>74</v>
      </c>
      <c r="K2613" s="2" t="str">
        <f aca="false">CONCATENATE(I2613," ",J2613)</f>
        <v>Zelotes subterraneus</v>
      </c>
      <c r="L2613" s="3" t="n">
        <f aca="false">SUM(P2613:U2613)</f>
        <v>1</v>
      </c>
      <c r="M2613" s="11" t="n">
        <f aca="false">(L2613/(F2613*G2613)*25)*4</f>
        <v>4</v>
      </c>
      <c r="N2613" s="1" t="s">
        <v>30</v>
      </c>
      <c r="O2613" s="1" t="s">
        <v>31</v>
      </c>
      <c r="P2613" s="3" t="n">
        <v>1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f aca="false">SUM(P2613:Q2613)</f>
        <v>1</v>
      </c>
      <c r="W2613" s="3" t="n">
        <f aca="false">SUM(R2613:T2613)</f>
        <v>0</v>
      </c>
      <c r="X2613" s="22" t="n">
        <v>41794</v>
      </c>
      <c r="Y2613" s="22" t="n">
        <v>41799</v>
      </c>
    </row>
    <row r="2614" customFormat="false" ht="14.25" hidden="false" customHeight="false" outlineLevel="0" collapsed="false">
      <c r="A2614" s="1" t="n">
        <v>2014</v>
      </c>
      <c r="B2614" s="1" t="n">
        <v>1</v>
      </c>
      <c r="C2614" s="2" t="s">
        <v>50</v>
      </c>
      <c r="D2614" s="3" t="s">
        <v>83</v>
      </c>
      <c r="E2614" s="3" t="n">
        <v>2</v>
      </c>
      <c r="F2614" s="1" t="n">
        <f aca="false">Y2614-X2614</f>
        <v>5</v>
      </c>
      <c r="G2614" s="1" t="n">
        <v>5</v>
      </c>
      <c r="H2614" s="3" t="s">
        <v>72</v>
      </c>
      <c r="I2614" s="3" t="s">
        <v>73</v>
      </c>
      <c r="J2614" s="3" t="s">
        <v>38</v>
      </c>
      <c r="K2614" s="2" t="str">
        <f aca="false">CONCATENATE(I2614," ",J2614)</f>
        <v>Zelotes sp</v>
      </c>
      <c r="L2614" s="3" t="n">
        <f aca="false">SUM(P2614:U2614)</f>
        <v>1</v>
      </c>
      <c r="M2614" s="11" t="n">
        <f aca="false">(L2614/(F2614*G2614)*25)*4</f>
        <v>4</v>
      </c>
      <c r="N2614" s="1" t="s">
        <v>19</v>
      </c>
      <c r="O2614" s="1" t="s">
        <v>54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1</v>
      </c>
      <c r="U2614" s="3" t="n">
        <v>0</v>
      </c>
      <c r="V2614" s="3" t="n">
        <f aca="false">SUM(P2614:Q2614)</f>
        <v>0</v>
      </c>
      <c r="W2614" s="3" t="n">
        <f aca="false">SUM(R2614:T2614)</f>
        <v>1</v>
      </c>
      <c r="X2614" s="22" t="n">
        <v>41794</v>
      </c>
      <c r="Y2614" s="22" t="n">
        <v>41799</v>
      </c>
    </row>
    <row r="2615" customFormat="false" ht="14.25" hidden="false" customHeight="false" outlineLevel="0" collapsed="false">
      <c r="A2615" s="1" t="n">
        <v>2014</v>
      </c>
      <c r="B2615" s="1" t="n">
        <v>1</v>
      </c>
      <c r="C2615" s="2" t="s">
        <v>50</v>
      </c>
      <c r="D2615" s="3" t="s">
        <v>83</v>
      </c>
      <c r="E2615" s="3" t="n">
        <v>2</v>
      </c>
      <c r="F2615" s="1" t="n">
        <f aca="false">Y2615-X2615</f>
        <v>5</v>
      </c>
      <c r="G2615" s="1" t="n">
        <v>5</v>
      </c>
      <c r="H2615" s="3" t="s">
        <v>48</v>
      </c>
      <c r="I2615" s="3" t="s">
        <v>61</v>
      </c>
      <c r="J2615" s="3" t="s">
        <v>38</v>
      </c>
      <c r="K2615" s="2" t="str">
        <f aca="false">CONCATENATE(I2615," ",J2615)</f>
        <v>Trochosa sp</v>
      </c>
      <c r="L2615" s="3" t="n">
        <f aca="false">SUM(P2615:U2615)</f>
        <v>1</v>
      </c>
      <c r="M2615" s="11" t="n">
        <f aca="false">(L2615/(F2615*G2615)*25)*4</f>
        <v>4</v>
      </c>
      <c r="N2615" s="1" t="s">
        <v>19</v>
      </c>
      <c r="O2615" s="1" t="s">
        <v>31</v>
      </c>
      <c r="P2615" s="3" t="n">
        <v>0</v>
      </c>
      <c r="Q2615" s="3" t="n">
        <v>0</v>
      </c>
      <c r="R2615" s="3" t="n">
        <v>1</v>
      </c>
      <c r="S2615" s="3" t="n">
        <v>0</v>
      </c>
      <c r="T2615" s="3" t="n">
        <v>0</v>
      </c>
      <c r="U2615" s="3" t="n">
        <v>0</v>
      </c>
      <c r="V2615" s="3" t="n">
        <f aca="false">SUM(P2615:Q2615)</f>
        <v>0</v>
      </c>
      <c r="W2615" s="3" t="n">
        <f aca="false">SUM(R2615:T2615)</f>
        <v>1</v>
      </c>
      <c r="X2615" s="22" t="n">
        <v>41794</v>
      </c>
      <c r="Y2615" s="22" t="n">
        <v>41799</v>
      </c>
    </row>
    <row r="2616" customFormat="false" ht="14.25" hidden="false" customHeight="false" outlineLevel="0" collapsed="false">
      <c r="A2616" s="1" t="n">
        <v>2014</v>
      </c>
      <c r="B2616" s="1" t="n">
        <v>1</v>
      </c>
      <c r="C2616" s="2" t="s">
        <v>50</v>
      </c>
      <c r="D2616" s="3" t="s">
        <v>83</v>
      </c>
      <c r="E2616" s="3" t="n">
        <v>2</v>
      </c>
      <c r="F2616" s="1" t="n">
        <f aca="false">Y2616-X2616</f>
        <v>5</v>
      </c>
      <c r="G2616" s="1" t="n">
        <v>5</v>
      </c>
      <c r="H2616" s="3" t="s">
        <v>48</v>
      </c>
      <c r="I2616" s="3" t="s">
        <v>61</v>
      </c>
      <c r="J2616" s="3" t="s">
        <v>38</v>
      </c>
      <c r="K2616" s="2" t="str">
        <f aca="false">CONCATENATE(I2616," ",J2616)</f>
        <v>Trochosa sp</v>
      </c>
      <c r="L2616" s="3" t="n">
        <f aca="false">SUM(P2616:U2616)</f>
        <v>1</v>
      </c>
      <c r="M2616" s="11" t="n">
        <f aca="false">(L2616/(F2616*G2616)*25)*4</f>
        <v>4</v>
      </c>
      <c r="N2616" s="1" t="s">
        <v>19</v>
      </c>
      <c r="O2616" s="1" t="s">
        <v>35</v>
      </c>
      <c r="P2616" s="3" t="n">
        <v>0</v>
      </c>
      <c r="Q2616" s="3" t="n">
        <v>0</v>
      </c>
      <c r="R2616" s="3" t="n">
        <v>0</v>
      </c>
      <c r="S2616" s="3" t="n">
        <v>1</v>
      </c>
      <c r="T2616" s="3" t="n">
        <v>0</v>
      </c>
      <c r="U2616" s="3" t="n">
        <v>0</v>
      </c>
      <c r="V2616" s="3" t="n">
        <f aca="false">SUM(P2616:Q2616)</f>
        <v>0</v>
      </c>
      <c r="W2616" s="3" t="n">
        <f aca="false">SUM(R2616:T2616)</f>
        <v>1</v>
      </c>
      <c r="X2616" s="22" t="n">
        <v>41794</v>
      </c>
      <c r="Y2616" s="22" t="n">
        <v>41799</v>
      </c>
    </row>
    <row r="2617" customFormat="false" ht="14.25" hidden="false" customHeight="false" outlineLevel="0" collapsed="false">
      <c r="A2617" s="1" t="n">
        <v>2014</v>
      </c>
      <c r="B2617" s="1" t="n">
        <v>1</v>
      </c>
      <c r="C2617" s="2" t="s">
        <v>50</v>
      </c>
      <c r="D2617" s="3" t="s">
        <v>83</v>
      </c>
      <c r="E2617" s="3" t="n">
        <v>2</v>
      </c>
      <c r="F2617" s="1" t="n">
        <f aca="false">Y2617-X2617</f>
        <v>5</v>
      </c>
      <c r="G2617" s="1" t="n">
        <v>5</v>
      </c>
      <c r="H2617" s="3" t="s">
        <v>48</v>
      </c>
      <c r="I2617" s="3" t="s">
        <v>49</v>
      </c>
      <c r="J2617" s="3" t="s">
        <v>38</v>
      </c>
      <c r="K2617" s="2" t="str">
        <f aca="false">CONCATENATE(I2617," ",J2617)</f>
        <v>Alopecosa sp</v>
      </c>
      <c r="L2617" s="3" t="n">
        <f aca="false">SUM(P2617:U2617)</f>
        <v>1</v>
      </c>
      <c r="M2617" s="11" t="n">
        <f aca="false">(L2617/(F2617*G2617)*25)*4</f>
        <v>4</v>
      </c>
      <c r="N2617" s="1" t="s">
        <v>19</v>
      </c>
      <c r="O2617" s="1" t="s">
        <v>54</v>
      </c>
      <c r="P2617" s="3" t="n">
        <v>0</v>
      </c>
      <c r="Q2617" s="3" t="n">
        <v>0</v>
      </c>
      <c r="R2617" s="3" t="n">
        <v>0</v>
      </c>
      <c r="S2617" s="3" t="n">
        <v>0</v>
      </c>
      <c r="T2617" s="3" t="n">
        <v>1</v>
      </c>
      <c r="U2617" s="3" t="n">
        <v>0</v>
      </c>
      <c r="V2617" s="3" t="n">
        <f aca="false">SUM(P2617:Q2617)</f>
        <v>0</v>
      </c>
      <c r="W2617" s="3" t="n">
        <f aca="false">SUM(R2617:T2617)</f>
        <v>1</v>
      </c>
      <c r="X2617" s="22" t="n">
        <v>41794</v>
      </c>
      <c r="Y2617" s="22" t="n">
        <v>41799</v>
      </c>
    </row>
    <row r="2618" customFormat="false" ht="14.25" hidden="false" customHeight="false" outlineLevel="0" collapsed="false">
      <c r="A2618" s="1" t="n">
        <v>2014</v>
      </c>
      <c r="B2618" s="1" t="n">
        <v>1</v>
      </c>
      <c r="C2618" s="2" t="s">
        <v>50</v>
      </c>
      <c r="D2618" s="3" t="s">
        <v>83</v>
      </c>
      <c r="E2618" s="3" t="n">
        <v>2</v>
      </c>
      <c r="F2618" s="1" t="n">
        <f aca="false">Y2618-X2618</f>
        <v>5</v>
      </c>
      <c r="G2618" s="1" t="n">
        <v>5</v>
      </c>
      <c r="H2618" s="3" t="s">
        <v>32</v>
      </c>
      <c r="I2618" s="3" t="s">
        <v>55</v>
      </c>
      <c r="J2618" s="3" t="s">
        <v>194</v>
      </c>
      <c r="K2618" s="2" t="str">
        <f aca="false">CONCATENATE(I2618," ",J2618)</f>
        <v>Maro pansibiricus</v>
      </c>
      <c r="L2618" s="3" t="n">
        <f aca="false">SUM(P2618:U2618)</f>
        <v>1</v>
      </c>
      <c r="M2618" s="11" t="n">
        <f aca="false">(L2618/(F2618*G2618)*25)*4</f>
        <v>4</v>
      </c>
      <c r="N2618" s="1" t="s">
        <v>30</v>
      </c>
      <c r="O2618" s="1" t="s">
        <v>31</v>
      </c>
      <c r="P2618" s="3" t="n">
        <v>1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f aca="false">SUM(P2618:Q2618)</f>
        <v>1</v>
      </c>
      <c r="W2618" s="3" t="n">
        <f aca="false">SUM(R2618:T2618)</f>
        <v>0</v>
      </c>
      <c r="X2618" s="22" t="n">
        <v>41794</v>
      </c>
      <c r="Y2618" s="22" t="n">
        <v>41799</v>
      </c>
    </row>
    <row r="2619" customFormat="false" ht="14.25" hidden="false" customHeight="false" outlineLevel="0" collapsed="false">
      <c r="A2619" s="1" t="n">
        <v>2014</v>
      </c>
      <c r="B2619" s="1" t="n">
        <v>1</v>
      </c>
      <c r="C2619" s="2" t="s">
        <v>50</v>
      </c>
      <c r="D2619" s="3" t="s">
        <v>83</v>
      </c>
      <c r="E2619" s="3" t="n">
        <v>2</v>
      </c>
      <c r="F2619" s="1" t="n">
        <f aca="false">Y2619-X2619</f>
        <v>5</v>
      </c>
      <c r="G2619" s="1" t="n">
        <v>5</v>
      </c>
      <c r="H2619" s="3" t="s">
        <v>48</v>
      </c>
      <c r="I2619" s="3" t="s">
        <v>49</v>
      </c>
      <c r="J2619" s="3" t="s">
        <v>104</v>
      </c>
      <c r="K2619" s="2" t="str">
        <f aca="false">CONCATENATE(I2619," ",J2619)</f>
        <v>Alopecosa taeniata</v>
      </c>
      <c r="L2619" s="3" t="n">
        <f aca="false">SUM(P2619:U2619)</f>
        <v>7</v>
      </c>
      <c r="M2619" s="11" t="n">
        <f aca="false">(L2619/(F2619*G2619)*25)*4</f>
        <v>28</v>
      </c>
      <c r="N2619" s="1" t="s">
        <v>30</v>
      </c>
      <c r="O2619" s="1" t="s">
        <v>31</v>
      </c>
      <c r="P2619" s="3" t="n">
        <v>7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0</v>
      </c>
      <c r="V2619" s="3" t="n">
        <f aca="false">SUM(P2619:Q2619)</f>
        <v>7</v>
      </c>
      <c r="W2619" s="3" t="n">
        <f aca="false">SUM(R2619:T2619)</f>
        <v>0</v>
      </c>
      <c r="X2619" s="22" t="n">
        <v>41794</v>
      </c>
      <c r="Y2619" s="22" t="n">
        <v>41799</v>
      </c>
    </row>
    <row r="2620" customFormat="false" ht="14.25" hidden="false" customHeight="false" outlineLevel="0" collapsed="false">
      <c r="A2620" s="1" t="n">
        <v>2014</v>
      </c>
      <c r="B2620" s="1" t="n">
        <v>1</v>
      </c>
      <c r="C2620" s="2" t="s">
        <v>50</v>
      </c>
      <c r="D2620" s="3" t="s">
        <v>83</v>
      </c>
      <c r="E2620" s="3" t="n">
        <v>2</v>
      </c>
      <c r="F2620" s="1" t="n">
        <f aca="false">Y2620-X2620</f>
        <v>5</v>
      </c>
      <c r="G2620" s="1" t="n">
        <v>5</v>
      </c>
      <c r="H2620" s="3" t="s">
        <v>48</v>
      </c>
      <c r="I2620" s="3" t="s">
        <v>67</v>
      </c>
      <c r="J2620" s="3" t="s">
        <v>127</v>
      </c>
      <c r="K2620" s="2" t="str">
        <f aca="false">CONCATENATE(I2620," ",J2620)</f>
        <v>Pardosa lugubris</v>
      </c>
      <c r="L2620" s="3" t="n">
        <f aca="false">SUM(P2620:U2620)</f>
        <v>13</v>
      </c>
      <c r="M2620" s="11" t="n">
        <f aca="false">(L2620/(F2620*G2620)*25)*4</f>
        <v>52</v>
      </c>
      <c r="N2620" s="1" t="s">
        <v>30</v>
      </c>
      <c r="O2620" s="1" t="s">
        <v>31</v>
      </c>
      <c r="P2620" s="3" t="n">
        <v>13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f aca="false">SUM(P2620:Q2620)</f>
        <v>13</v>
      </c>
      <c r="W2620" s="3" t="n">
        <f aca="false">SUM(R2620:T2620)</f>
        <v>0</v>
      </c>
      <c r="X2620" s="22" t="n">
        <v>41794</v>
      </c>
      <c r="Y2620" s="22" t="n">
        <v>41799</v>
      </c>
    </row>
    <row r="2621" customFormat="false" ht="14.25" hidden="false" customHeight="false" outlineLevel="0" collapsed="false">
      <c r="A2621" s="1" t="n">
        <v>2014</v>
      </c>
      <c r="B2621" s="1" t="n">
        <v>1</v>
      </c>
      <c r="C2621" s="2" t="s">
        <v>50</v>
      </c>
      <c r="D2621" s="3" t="s">
        <v>83</v>
      </c>
      <c r="E2621" s="3" t="n">
        <v>2</v>
      </c>
      <c r="F2621" s="1" t="n">
        <f aca="false">Y2621-X2621</f>
        <v>5</v>
      </c>
      <c r="G2621" s="1" t="n">
        <v>5</v>
      </c>
      <c r="H2621" s="3" t="s">
        <v>48</v>
      </c>
      <c r="I2621" s="3" t="s">
        <v>67</v>
      </c>
      <c r="J2621" s="3" t="s">
        <v>127</v>
      </c>
      <c r="K2621" s="2" t="str">
        <f aca="false">CONCATENATE(I2621," ",J2621)</f>
        <v>Pardosa lugubris</v>
      </c>
      <c r="L2621" s="3" t="n">
        <f aca="false">SUM(P2621:U2621)</f>
        <v>1</v>
      </c>
      <c r="M2621" s="11" t="n">
        <f aca="false">(L2621/(F2621*G2621)*25)*4</f>
        <v>4</v>
      </c>
      <c r="N2621" s="1" t="s">
        <v>30</v>
      </c>
      <c r="O2621" s="1" t="s">
        <v>35</v>
      </c>
      <c r="P2621" s="3" t="n">
        <v>0</v>
      </c>
      <c r="Q2621" s="3" t="n">
        <v>1</v>
      </c>
      <c r="R2621" s="3" t="n">
        <v>0</v>
      </c>
      <c r="S2621" s="3" t="n">
        <v>0</v>
      </c>
      <c r="T2621" s="3" t="n">
        <v>0</v>
      </c>
      <c r="U2621" s="3" t="n">
        <v>0</v>
      </c>
      <c r="V2621" s="3" t="n">
        <f aca="false">SUM(P2621:Q2621)</f>
        <v>1</v>
      </c>
      <c r="W2621" s="3" t="n">
        <f aca="false">SUM(R2621:T2621)</f>
        <v>0</v>
      </c>
      <c r="X2621" s="22" t="n">
        <v>41794</v>
      </c>
      <c r="Y2621" s="22" t="n">
        <v>41799</v>
      </c>
    </row>
    <row r="2622" customFormat="false" ht="14.25" hidden="false" customHeight="false" outlineLevel="0" collapsed="false">
      <c r="A2622" s="1" t="n">
        <v>2014</v>
      </c>
      <c r="B2622" s="1" t="n">
        <v>1</v>
      </c>
      <c r="C2622" s="2" t="s">
        <v>50</v>
      </c>
      <c r="D2622" s="3" t="s">
        <v>83</v>
      </c>
      <c r="E2622" s="3" t="n">
        <v>2</v>
      </c>
      <c r="F2622" s="1" t="n">
        <f aca="false">Y2622-X2622</f>
        <v>5</v>
      </c>
      <c r="G2622" s="1" t="n">
        <v>5</v>
      </c>
      <c r="H2622" s="3" t="s">
        <v>92</v>
      </c>
      <c r="I2622" s="3" t="s">
        <v>111</v>
      </c>
      <c r="J2622" s="3" t="s">
        <v>112</v>
      </c>
      <c r="K2622" s="2" t="str">
        <f aca="false">CONCATENATE(I2622," ",J2622)</f>
        <v>Evarcha falcata</v>
      </c>
      <c r="L2622" s="3" t="n">
        <f aca="false">SUM(P2622:U2622)</f>
        <v>1</v>
      </c>
      <c r="M2622" s="11" t="n">
        <f aca="false">(L2622/(F2622*G2622)*25)*4</f>
        <v>4</v>
      </c>
      <c r="N2622" s="1" t="s">
        <v>30</v>
      </c>
      <c r="O2622" s="1" t="s">
        <v>35</v>
      </c>
      <c r="P2622" s="3" t="n">
        <v>0</v>
      </c>
      <c r="Q2622" s="3" t="n">
        <v>1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f aca="false">SUM(P2622:Q2622)</f>
        <v>1</v>
      </c>
      <c r="W2622" s="3" t="n">
        <f aca="false">SUM(R2622:T2622)</f>
        <v>0</v>
      </c>
      <c r="X2622" s="22" t="n">
        <v>41794</v>
      </c>
      <c r="Y2622" s="22" t="n">
        <v>41799</v>
      </c>
    </row>
    <row r="2623" customFormat="false" ht="14.25" hidden="false" customHeight="false" outlineLevel="0" collapsed="false">
      <c r="A2623" s="1" t="n">
        <v>2014</v>
      </c>
      <c r="B2623" s="1" t="n">
        <v>1</v>
      </c>
      <c r="C2623" s="2" t="s">
        <v>50</v>
      </c>
      <c r="D2623" s="3" t="s">
        <v>83</v>
      </c>
      <c r="E2623" s="3" t="n">
        <v>2</v>
      </c>
      <c r="F2623" s="1" t="n">
        <f aca="false">Y2623-X2623</f>
        <v>5</v>
      </c>
      <c r="G2623" s="1" t="n">
        <v>5</v>
      </c>
      <c r="H2623" s="3" t="s">
        <v>48</v>
      </c>
      <c r="I2623" s="3" t="s">
        <v>49</v>
      </c>
      <c r="J2623" s="3" t="s">
        <v>38</v>
      </c>
      <c r="K2623" s="2" t="str">
        <f aca="false">CONCATENATE(I2623," ",J2623)</f>
        <v>Alopecosa sp</v>
      </c>
      <c r="L2623" s="3" t="n">
        <f aca="false">SUM(P2623:U2623)</f>
        <v>1</v>
      </c>
      <c r="M2623" s="11" t="n">
        <f aca="false">(L2623/(F2623*G2623)*25)*4</f>
        <v>4</v>
      </c>
      <c r="N2623" s="1" t="s">
        <v>19</v>
      </c>
      <c r="O2623" s="1" t="s">
        <v>54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1</v>
      </c>
      <c r="U2623" s="3" t="n">
        <v>0</v>
      </c>
      <c r="V2623" s="3" t="n">
        <f aca="false">SUM(P2623:Q2623)</f>
        <v>0</v>
      </c>
      <c r="W2623" s="3" t="n">
        <f aca="false">SUM(R2623:T2623)</f>
        <v>1</v>
      </c>
      <c r="X2623" s="22" t="n">
        <v>41794</v>
      </c>
      <c r="Y2623" s="22" t="n">
        <v>41799</v>
      </c>
    </row>
    <row r="2624" customFormat="false" ht="14.25" hidden="false" customHeight="false" outlineLevel="0" collapsed="false">
      <c r="A2624" s="1" t="n">
        <v>2014</v>
      </c>
      <c r="B2624" s="1" t="n">
        <v>1</v>
      </c>
      <c r="C2624" s="2" t="s">
        <v>50</v>
      </c>
      <c r="D2624" s="3" t="s">
        <v>83</v>
      </c>
      <c r="E2624" s="3" t="n">
        <v>2</v>
      </c>
      <c r="F2624" s="1" t="n">
        <f aca="false">Y2624-X2624</f>
        <v>5</v>
      </c>
      <c r="G2624" s="1" t="n">
        <v>5</v>
      </c>
      <c r="H2624" s="3" t="s">
        <v>48</v>
      </c>
      <c r="I2624" s="3" t="s">
        <v>49</v>
      </c>
      <c r="J2624" s="3" t="s">
        <v>104</v>
      </c>
      <c r="K2624" s="2" t="str">
        <f aca="false">CONCATENATE(I2624," ",J2624)</f>
        <v>Alopecosa taeniata</v>
      </c>
      <c r="L2624" s="3" t="n">
        <f aca="false">SUM(P2624:U2624)</f>
        <v>1</v>
      </c>
      <c r="M2624" s="11" t="n">
        <f aca="false">(L2624/(F2624*G2624)*25)*4</f>
        <v>4</v>
      </c>
      <c r="N2624" s="1" t="s">
        <v>30</v>
      </c>
      <c r="O2624" s="1" t="s">
        <v>31</v>
      </c>
      <c r="P2624" s="3" t="n">
        <v>1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f aca="false">SUM(P2624:Q2624)</f>
        <v>1</v>
      </c>
      <c r="W2624" s="3" t="n">
        <f aca="false">SUM(R2624:T2624)</f>
        <v>0</v>
      </c>
      <c r="X2624" s="22" t="n">
        <v>41794</v>
      </c>
      <c r="Y2624" s="22" t="n">
        <v>41799</v>
      </c>
    </row>
    <row r="2625" customFormat="false" ht="14.25" hidden="false" customHeight="false" outlineLevel="0" collapsed="false">
      <c r="A2625" s="1" t="n">
        <v>2014</v>
      </c>
      <c r="B2625" s="1" t="n">
        <v>1</v>
      </c>
      <c r="C2625" s="2" t="s">
        <v>50</v>
      </c>
      <c r="D2625" s="3" t="s">
        <v>83</v>
      </c>
      <c r="E2625" s="3" t="n">
        <v>2</v>
      </c>
      <c r="F2625" s="1" t="n">
        <f aca="false">Y2625-X2625</f>
        <v>5</v>
      </c>
      <c r="G2625" s="1" t="n">
        <v>5</v>
      </c>
      <c r="H2625" s="3" t="s">
        <v>72</v>
      </c>
      <c r="I2625" s="3" t="s">
        <v>73</v>
      </c>
      <c r="J2625" s="3" t="s">
        <v>38</v>
      </c>
      <c r="K2625" s="2" t="str">
        <f aca="false">CONCATENATE(I2625," ",J2625)</f>
        <v>Zelotes sp</v>
      </c>
      <c r="L2625" s="3" t="n">
        <f aca="false">SUM(P2625:U2625)</f>
        <v>1</v>
      </c>
      <c r="M2625" s="11" t="n">
        <f aca="false">(L2625/(F2625*G2625)*25)*4</f>
        <v>4</v>
      </c>
      <c r="N2625" s="1" t="s">
        <v>19</v>
      </c>
      <c r="O2625" s="1" t="s">
        <v>35</v>
      </c>
      <c r="P2625" s="3" t="n">
        <v>0</v>
      </c>
      <c r="Q2625" s="3" t="n">
        <v>0</v>
      </c>
      <c r="R2625" s="3" t="n">
        <v>0</v>
      </c>
      <c r="S2625" s="3" t="n">
        <v>1</v>
      </c>
      <c r="T2625" s="3" t="n">
        <v>0</v>
      </c>
      <c r="U2625" s="3" t="n">
        <v>0</v>
      </c>
      <c r="V2625" s="3" t="n">
        <f aca="false">SUM(P2625:Q2625)</f>
        <v>0</v>
      </c>
      <c r="W2625" s="3" t="n">
        <f aca="false">SUM(R2625:T2625)</f>
        <v>1</v>
      </c>
      <c r="X2625" s="22" t="n">
        <v>41794</v>
      </c>
      <c r="Y2625" s="22" t="n">
        <v>41799</v>
      </c>
    </row>
    <row r="2626" customFormat="false" ht="14.25" hidden="false" customHeight="false" outlineLevel="0" collapsed="false">
      <c r="A2626" s="1" t="n">
        <v>2014</v>
      </c>
      <c r="B2626" s="1" t="n">
        <v>1</v>
      </c>
      <c r="C2626" s="2" t="s">
        <v>50</v>
      </c>
      <c r="D2626" s="3" t="s">
        <v>83</v>
      </c>
      <c r="E2626" s="3" t="n">
        <v>2</v>
      </c>
      <c r="F2626" s="1" t="n">
        <f aca="false">Y2626-X2626</f>
        <v>5</v>
      </c>
      <c r="G2626" s="1" t="n">
        <v>5</v>
      </c>
      <c r="H2626" s="3" t="s">
        <v>72</v>
      </c>
      <c r="I2626" s="3" t="s">
        <v>86</v>
      </c>
      <c r="J2626" s="3" t="s">
        <v>87</v>
      </c>
      <c r="K2626" s="2" t="str">
        <f aca="false">CONCATENATE(I2626," ",J2626)</f>
        <v>Haplodrassus soerenseni</v>
      </c>
      <c r="L2626" s="3" t="n">
        <f aca="false">SUM(P2626:U2626)</f>
        <v>1</v>
      </c>
      <c r="M2626" s="11" t="n">
        <f aca="false">(L2626/(F2626*G2626)*25)*4</f>
        <v>4</v>
      </c>
      <c r="N2626" s="1" t="s">
        <v>30</v>
      </c>
      <c r="O2626" s="1" t="s">
        <v>31</v>
      </c>
      <c r="P2626" s="3" t="n">
        <v>1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  <c r="V2626" s="3" t="n">
        <f aca="false">SUM(P2626:Q2626)</f>
        <v>1</v>
      </c>
      <c r="W2626" s="3" t="n">
        <f aca="false">SUM(R2626:T2626)</f>
        <v>0</v>
      </c>
      <c r="X2626" s="22" t="n">
        <v>41794</v>
      </c>
      <c r="Y2626" s="22" t="n">
        <v>41799</v>
      </c>
    </row>
    <row r="2627" customFormat="false" ht="14.25" hidden="false" customHeight="false" outlineLevel="0" collapsed="false">
      <c r="A2627" s="1" t="n">
        <v>2014</v>
      </c>
      <c r="B2627" s="1" t="n">
        <v>1</v>
      </c>
      <c r="C2627" s="2" t="s">
        <v>50</v>
      </c>
      <c r="D2627" s="3" t="s">
        <v>83</v>
      </c>
      <c r="E2627" s="3" t="n">
        <v>2</v>
      </c>
      <c r="F2627" s="1" t="n">
        <f aca="false">Y2627-X2627</f>
        <v>5</v>
      </c>
      <c r="G2627" s="1" t="n">
        <v>5</v>
      </c>
      <c r="H2627" s="3" t="s">
        <v>36</v>
      </c>
      <c r="I2627" s="3" t="s">
        <v>131</v>
      </c>
      <c r="J2627" s="3" t="s">
        <v>133</v>
      </c>
      <c r="K2627" s="2" t="str">
        <f aca="false">CONCATENATE(I2627," ",J2627)</f>
        <v>Xysticus luctuosus</v>
      </c>
      <c r="L2627" s="3" t="n">
        <f aca="false">SUM(P2627:U2627)</f>
        <v>1</v>
      </c>
      <c r="M2627" s="11" t="n">
        <f aca="false">(L2627/(F2627*G2627)*25)*4</f>
        <v>4</v>
      </c>
      <c r="N2627" s="1" t="s">
        <v>30</v>
      </c>
      <c r="O2627" s="1" t="s">
        <v>31</v>
      </c>
      <c r="P2627" s="3" t="n">
        <v>1</v>
      </c>
      <c r="Q2627" s="3" t="n">
        <v>0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f aca="false">SUM(P2627:Q2627)</f>
        <v>1</v>
      </c>
      <c r="W2627" s="3" t="n">
        <f aca="false">SUM(R2627:T2627)</f>
        <v>0</v>
      </c>
      <c r="X2627" s="22" t="n">
        <v>41794</v>
      </c>
      <c r="Y2627" s="22" t="n">
        <v>41799</v>
      </c>
    </row>
    <row r="2628" customFormat="false" ht="14.25" hidden="false" customHeight="false" outlineLevel="0" collapsed="false">
      <c r="A2628" s="1" t="n">
        <v>2014</v>
      </c>
      <c r="B2628" s="1" t="n">
        <v>1</v>
      </c>
      <c r="C2628" s="2" t="s">
        <v>50</v>
      </c>
      <c r="D2628" s="3" t="s">
        <v>83</v>
      </c>
      <c r="E2628" s="3" t="n">
        <v>2</v>
      </c>
      <c r="F2628" s="1" t="n">
        <f aca="false">Y2628-X2628</f>
        <v>5</v>
      </c>
      <c r="G2628" s="1" t="n">
        <v>5</v>
      </c>
      <c r="H2628" s="3" t="s">
        <v>36</v>
      </c>
      <c r="I2628" s="3" t="s">
        <v>37</v>
      </c>
      <c r="J2628" s="3" t="s">
        <v>75</v>
      </c>
      <c r="K2628" s="2" t="str">
        <f aca="false">CONCATENATE(I2628," ",J2628)</f>
        <v>Ozyptila praticola</v>
      </c>
      <c r="L2628" s="3" t="n">
        <f aca="false">SUM(P2628:U2628)</f>
        <v>1</v>
      </c>
      <c r="M2628" s="11" t="n">
        <f aca="false">(L2628/(F2628*G2628)*25)*4</f>
        <v>4</v>
      </c>
      <c r="N2628" s="1" t="s">
        <v>30</v>
      </c>
      <c r="O2628" s="1" t="s">
        <v>31</v>
      </c>
      <c r="P2628" s="3" t="n">
        <v>1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f aca="false">SUM(P2628:Q2628)</f>
        <v>1</v>
      </c>
      <c r="W2628" s="3" t="n">
        <f aca="false">SUM(R2628:T2628)</f>
        <v>0</v>
      </c>
      <c r="X2628" s="22" t="n">
        <v>41794</v>
      </c>
      <c r="Y2628" s="22" t="n">
        <v>41799</v>
      </c>
    </row>
    <row r="2629" customFormat="false" ht="14.25" hidden="false" customHeight="false" outlineLevel="0" collapsed="false">
      <c r="A2629" s="1" t="n">
        <v>2014</v>
      </c>
      <c r="B2629" s="1" t="n">
        <v>1</v>
      </c>
      <c r="C2629" s="2" t="s">
        <v>50</v>
      </c>
      <c r="D2629" s="3" t="s">
        <v>83</v>
      </c>
      <c r="E2629" s="3" t="n">
        <v>2</v>
      </c>
      <c r="F2629" s="1" t="n">
        <f aca="false">Y2629-X2629</f>
        <v>5</v>
      </c>
      <c r="G2629" s="1" t="n">
        <v>5</v>
      </c>
      <c r="H2629" s="3" t="s">
        <v>32</v>
      </c>
      <c r="I2629" s="3" t="s">
        <v>169</v>
      </c>
      <c r="J2629" s="3" t="s">
        <v>170</v>
      </c>
      <c r="K2629" s="2" t="str">
        <f aca="false">CONCATENATE(I2629," ",J2629)</f>
        <v>Abacoproeces saltuum</v>
      </c>
      <c r="L2629" s="3" t="n">
        <f aca="false">SUM(P2629:U2629)</f>
        <v>1</v>
      </c>
      <c r="M2629" s="11" t="n">
        <f aca="false">(L2629/(F2629*G2629)*25)*4</f>
        <v>4</v>
      </c>
      <c r="N2629" s="1" t="s">
        <v>30</v>
      </c>
      <c r="O2629" s="1" t="s">
        <v>31</v>
      </c>
      <c r="P2629" s="3" t="n">
        <v>1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f aca="false">SUM(P2629:Q2629)</f>
        <v>1</v>
      </c>
      <c r="W2629" s="3" t="n">
        <f aca="false">SUM(R2629:T2629)</f>
        <v>0</v>
      </c>
      <c r="X2629" s="22" t="n">
        <v>41794</v>
      </c>
      <c r="Y2629" s="22" t="n">
        <v>41799</v>
      </c>
    </row>
    <row r="2630" customFormat="false" ht="14.25" hidden="false" customHeight="false" outlineLevel="0" collapsed="false">
      <c r="A2630" s="1" t="n">
        <v>2014</v>
      </c>
      <c r="B2630" s="1" t="n">
        <v>1</v>
      </c>
      <c r="C2630" s="2" t="s">
        <v>50</v>
      </c>
      <c r="D2630" s="3" t="s">
        <v>83</v>
      </c>
      <c r="E2630" s="3" t="n">
        <v>2</v>
      </c>
      <c r="F2630" s="1" t="n">
        <f aca="false">Y2630-X2630</f>
        <v>5</v>
      </c>
      <c r="G2630" s="1" t="n">
        <v>5</v>
      </c>
      <c r="H2630" s="3" t="s">
        <v>32</v>
      </c>
      <c r="I2630" s="3" t="s">
        <v>169</v>
      </c>
      <c r="J2630" s="3" t="s">
        <v>170</v>
      </c>
      <c r="K2630" s="2" t="str">
        <f aca="false">CONCATENATE(I2630," ",J2630)</f>
        <v>Abacoproeces saltuum</v>
      </c>
      <c r="L2630" s="3" t="n">
        <f aca="false">SUM(P2630:U2630)</f>
        <v>2</v>
      </c>
      <c r="M2630" s="11" t="n">
        <f aca="false">(L2630/(F2630*G2630)*25)*4</f>
        <v>8</v>
      </c>
      <c r="N2630" s="1" t="s">
        <v>30</v>
      </c>
      <c r="O2630" s="1" t="s">
        <v>35</v>
      </c>
      <c r="P2630" s="3" t="n">
        <v>0</v>
      </c>
      <c r="Q2630" s="3" t="n">
        <v>2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f aca="false">SUM(P2630:Q2630)</f>
        <v>2</v>
      </c>
      <c r="W2630" s="3" t="n">
        <f aca="false">SUM(R2630:T2630)</f>
        <v>0</v>
      </c>
      <c r="X2630" s="22" t="n">
        <v>41794</v>
      </c>
      <c r="Y2630" s="22" t="n">
        <v>41799</v>
      </c>
    </row>
    <row r="2631" customFormat="false" ht="14.25" hidden="false" customHeight="false" outlineLevel="0" collapsed="false">
      <c r="A2631" s="1" t="n">
        <v>2014</v>
      </c>
      <c r="B2631" s="1" t="n">
        <v>1</v>
      </c>
      <c r="C2631" s="2" t="s">
        <v>50</v>
      </c>
      <c r="D2631" s="3" t="s">
        <v>83</v>
      </c>
      <c r="E2631" s="3" t="n">
        <v>3</v>
      </c>
      <c r="F2631" s="1" t="n">
        <f aca="false">Y2631-X2631</f>
        <v>5</v>
      </c>
      <c r="G2631" s="1" t="n">
        <v>5</v>
      </c>
      <c r="H2631" s="3" t="s">
        <v>48</v>
      </c>
      <c r="I2631" s="3" t="s">
        <v>251</v>
      </c>
      <c r="J2631" s="3" t="s">
        <v>252</v>
      </c>
      <c r="K2631" s="2" t="str">
        <f aca="false">CONCATENATE(I2631," ",J2631)</f>
        <v>Acantholycosa lignaria</v>
      </c>
      <c r="L2631" s="3" t="n">
        <f aca="false">SUM(P2631:U2631)</f>
        <v>1</v>
      </c>
      <c r="M2631" s="11" t="n">
        <f aca="false">(L2631/(F2631*G2631)*25)*4</f>
        <v>4</v>
      </c>
      <c r="N2631" s="1" t="s">
        <v>30</v>
      </c>
      <c r="O2631" s="1" t="s">
        <v>31</v>
      </c>
      <c r="P2631" s="3" t="n">
        <v>1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f aca="false">SUM(P2631:Q2631)</f>
        <v>1</v>
      </c>
      <c r="W2631" s="3" t="n">
        <f aca="false">SUM(R2631:T2631)</f>
        <v>0</v>
      </c>
      <c r="X2631" s="22" t="n">
        <v>41794</v>
      </c>
      <c r="Y2631" s="22" t="n">
        <v>41799</v>
      </c>
    </row>
    <row r="2632" customFormat="false" ht="14.25" hidden="false" customHeight="false" outlineLevel="0" collapsed="false">
      <c r="A2632" s="1" t="n">
        <v>2014</v>
      </c>
      <c r="B2632" s="1" t="n">
        <v>1</v>
      </c>
      <c r="C2632" s="2" t="s">
        <v>50</v>
      </c>
      <c r="D2632" s="3" t="s">
        <v>83</v>
      </c>
      <c r="E2632" s="3" t="n">
        <v>3</v>
      </c>
      <c r="F2632" s="1" t="n">
        <f aca="false">Y2632-X2632</f>
        <v>5</v>
      </c>
      <c r="G2632" s="1" t="n">
        <v>5</v>
      </c>
      <c r="H2632" s="3" t="s">
        <v>48</v>
      </c>
      <c r="I2632" s="3" t="s">
        <v>67</v>
      </c>
      <c r="J2632" s="3" t="s">
        <v>127</v>
      </c>
      <c r="K2632" s="2" t="str">
        <f aca="false">CONCATENATE(I2632," ",J2632)</f>
        <v>Pardosa lugubris</v>
      </c>
      <c r="L2632" s="3" t="n">
        <f aca="false">SUM(P2632:U2632)</f>
        <v>6</v>
      </c>
      <c r="M2632" s="11" t="n">
        <f aca="false">(L2632/(F2632*G2632)*25)*4</f>
        <v>24</v>
      </c>
      <c r="N2632" s="1" t="s">
        <v>30</v>
      </c>
      <c r="O2632" s="1" t="s">
        <v>31</v>
      </c>
      <c r="P2632" s="3" t="n">
        <v>6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f aca="false">SUM(P2632:Q2632)</f>
        <v>6</v>
      </c>
      <c r="W2632" s="3" t="n">
        <f aca="false">SUM(R2632:T2632)</f>
        <v>0</v>
      </c>
      <c r="X2632" s="22" t="n">
        <v>41794</v>
      </c>
      <c r="Y2632" s="22" t="n">
        <v>41799</v>
      </c>
    </row>
    <row r="2633" customFormat="false" ht="14.25" hidden="false" customHeight="false" outlineLevel="0" collapsed="false">
      <c r="A2633" s="1" t="n">
        <v>2014</v>
      </c>
      <c r="B2633" s="1" t="n">
        <v>1</v>
      </c>
      <c r="C2633" s="2" t="s">
        <v>50</v>
      </c>
      <c r="D2633" s="3" t="s">
        <v>83</v>
      </c>
      <c r="E2633" s="3" t="n">
        <v>3</v>
      </c>
      <c r="F2633" s="1" t="n">
        <f aca="false">Y2633-X2633</f>
        <v>5</v>
      </c>
      <c r="G2633" s="1" t="n">
        <v>5</v>
      </c>
      <c r="H2633" s="3" t="s">
        <v>48</v>
      </c>
      <c r="I2633" s="3" t="s">
        <v>122</v>
      </c>
      <c r="J2633" s="3" t="s">
        <v>123</v>
      </c>
      <c r="K2633" s="2" t="str">
        <f aca="false">CONCATENATE(I2633," ",J2633)</f>
        <v>Xerolycosa nemoralis</v>
      </c>
      <c r="L2633" s="3" t="n">
        <f aca="false">SUM(P2633:U2633)</f>
        <v>1</v>
      </c>
      <c r="M2633" s="11" t="n">
        <f aca="false">(L2633/(F2633*G2633)*25)*4</f>
        <v>4</v>
      </c>
      <c r="N2633" s="1" t="s">
        <v>30</v>
      </c>
      <c r="O2633" s="1" t="s">
        <v>31</v>
      </c>
      <c r="P2633" s="3" t="n">
        <v>1</v>
      </c>
      <c r="Q2633" s="3" t="n">
        <v>0</v>
      </c>
      <c r="R2633" s="3" t="n">
        <v>0</v>
      </c>
      <c r="S2633" s="3" t="n">
        <v>0</v>
      </c>
      <c r="T2633" s="3" t="n">
        <v>0</v>
      </c>
      <c r="U2633" s="3" t="n">
        <v>0</v>
      </c>
      <c r="V2633" s="3" t="n">
        <f aca="false">SUM(P2633:Q2633)</f>
        <v>1</v>
      </c>
      <c r="W2633" s="3" t="n">
        <f aca="false">SUM(R2633:T2633)</f>
        <v>0</v>
      </c>
      <c r="X2633" s="22" t="n">
        <v>41794</v>
      </c>
      <c r="Y2633" s="22" t="n">
        <v>41799</v>
      </c>
    </row>
    <row r="2634" customFormat="false" ht="14.25" hidden="false" customHeight="false" outlineLevel="0" collapsed="false">
      <c r="A2634" s="1" t="n">
        <v>2014</v>
      </c>
      <c r="B2634" s="1" t="n">
        <v>1</v>
      </c>
      <c r="C2634" s="2" t="s">
        <v>50</v>
      </c>
      <c r="D2634" s="3" t="s">
        <v>83</v>
      </c>
      <c r="E2634" s="3" t="n">
        <v>3</v>
      </c>
      <c r="F2634" s="1" t="n">
        <f aca="false">Y2634-X2634</f>
        <v>5</v>
      </c>
      <c r="G2634" s="1" t="n">
        <v>5</v>
      </c>
      <c r="H2634" s="3" t="s">
        <v>48</v>
      </c>
      <c r="I2634" s="3" t="s">
        <v>122</v>
      </c>
      <c r="J2634" s="3" t="s">
        <v>123</v>
      </c>
      <c r="K2634" s="2" t="str">
        <f aca="false">CONCATENATE(I2634," ",J2634)</f>
        <v>Xerolycosa nemoralis</v>
      </c>
      <c r="L2634" s="3" t="n">
        <f aca="false">SUM(P2634:U2634)</f>
        <v>1</v>
      </c>
      <c r="M2634" s="11" t="n">
        <f aca="false">(L2634/(F2634*G2634)*25)*4</f>
        <v>4</v>
      </c>
      <c r="N2634" s="1" t="s">
        <v>30</v>
      </c>
      <c r="O2634" s="1" t="s">
        <v>35</v>
      </c>
      <c r="P2634" s="3" t="n">
        <v>0</v>
      </c>
      <c r="Q2634" s="3" t="n">
        <v>1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f aca="false">SUM(P2634:Q2634)</f>
        <v>1</v>
      </c>
      <c r="W2634" s="3" t="n">
        <f aca="false">SUM(R2634:T2634)</f>
        <v>0</v>
      </c>
      <c r="X2634" s="22" t="n">
        <v>41794</v>
      </c>
      <c r="Y2634" s="22" t="n">
        <v>41799</v>
      </c>
    </row>
    <row r="2635" customFormat="false" ht="14.25" hidden="false" customHeight="false" outlineLevel="0" collapsed="false">
      <c r="A2635" s="1" t="n">
        <v>2014</v>
      </c>
      <c r="B2635" s="1" t="n">
        <v>1</v>
      </c>
      <c r="C2635" s="2" t="s">
        <v>50</v>
      </c>
      <c r="D2635" s="3" t="s">
        <v>83</v>
      </c>
      <c r="E2635" s="3" t="n">
        <v>3</v>
      </c>
      <c r="F2635" s="1" t="n">
        <f aca="false">Y2635-X2635</f>
        <v>5</v>
      </c>
      <c r="G2635" s="1" t="n">
        <v>5</v>
      </c>
      <c r="H2635" s="3" t="s">
        <v>48</v>
      </c>
      <c r="I2635" s="3" t="s">
        <v>49</v>
      </c>
      <c r="J2635" s="3" t="s">
        <v>223</v>
      </c>
      <c r="K2635" s="2" t="str">
        <f aca="false">CONCATENATE(I2635," ",J2635)</f>
        <v>Alopecosa pulverulenta</v>
      </c>
      <c r="L2635" s="3" t="n">
        <f aca="false">SUM(P2635:U2635)</f>
        <v>1</v>
      </c>
      <c r="M2635" s="11" t="n">
        <f aca="false">(L2635/(F2635*G2635)*25)*4</f>
        <v>4</v>
      </c>
      <c r="N2635" s="1" t="s">
        <v>30</v>
      </c>
      <c r="O2635" s="1" t="s">
        <v>31</v>
      </c>
      <c r="P2635" s="3" t="n">
        <v>1</v>
      </c>
      <c r="Q2635" s="3" t="n">
        <v>0</v>
      </c>
      <c r="R2635" s="3" t="n">
        <v>0</v>
      </c>
      <c r="S2635" s="3" t="n">
        <v>0</v>
      </c>
      <c r="T2635" s="3" t="n">
        <v>0</v>
      </c>
      <c r="U2635" s="3" t="n">
        <v>0</v>
      </c>
      <c r="V2635" s="3" t="n">
        <f aca="false">SUM(P2635:Q2635)</f>
        <v>1</v>
      </c>
      <c r="W2635" s="3" t="n">
        <f aca="false">SUM(R2635:T2635)</f>
        <v>0</v>
      </c>
      <c r="X2635" s="22" t="n">
        <v>41794</v>
      </c>
      <c r="Y2635" s="22" t="n">
        <v>41799</v>
      </c>
    </row>
    <row r="2636" customFormat="false" ht="14.25" hidden="false" customHeight="false" outlineLevel="0" collapsed="false">
      <c r="A2636" s="1" t="n">
        <v>2014</v>
      </c>
      <c r="B2636" s="1" t="n">
        <v>1</v>
      </c>
      <c r="C2636" s="2" t="s">
        <v>50</v>
      </c>
      <c r="D2636" s="3" t="s">
        <v>83</v>
      </c>
      <c r="E2636" s="3" t="n">
        <v>3</v>
      </c>
      <c r="F2636" s="1" t="n">
        <f aca="false">Y2636-X2636</f>
        <v>5</v>
      </c>
      <c r="G2636" s="1" t="n">
        <v>5</v>
      </c>
      <c r="H2636" s="3" t="s">
        <v>48</v>
      </c>
      <c r="I2636" s="3" t="s">
        <v>49</v>
      </c>
      <c r="J2636" s="3" t="s">
        <v>104</v>
      </c>
      <c r="K2636" s="2" t="str">
        <f aca="false">CONCATENATE(I2636," ",J2636)</f>
        <v>Alopecosa taeniata</v>
      </c>
      <c r="L2636" s="3" t="n">
        <f aca="false">SUM(P2636:U2636)</f>
        <v>1</v>
      </c>
      <c r="M2636" s="11" t="n">
        <f aca="false">(L2636/(F2636*G2636)*25)*4</f>
        <v>4</v>
      </c>
      <c r="N2636" s="1" t="s">
        <v>30</v>
      </c>
      <c r="O2636" s="1" t="s">
        <v>31</v>
      </c>
      <c r="P2636" s="3" t="n">
        <v>1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f aca="false">SUM(P2636:Q2636)</f>
        <v>1</v>
      </c>
      <c r="W2636" s="3" t="n">
        <f aca="false">SUM(R2636:T2636)</f>
        <v>0</v>
      </c>
      <c r="X2636" s="22" t="n">
        <v>41794</v>
      </c>
      <c r="Y2636" s="22" t="n">
        <v>41799</v>
      </c>
    </row>
    <row r="2637" customFormat="false" ht="14.25" hidden="false" customHeight="false" outlineLevel="0" collapsed="false">
      <c r="A2637" s="1" t="n">
        <v>2014</v>
      </c>
      <c r="B2637" s="1" t="n">
        <v>1</v>
      </c>
      <c r="C2637" s="2" t="s">
        <v>50</v>
      </c>
      <c r="D2637" s="3" t="s">
        <v>83</v>
      </c>
      <c r="E2637" s="3" t="n">
        <v>3</v>
      </c>
      <c r="F2637" s="1" t="n">
        <f aca="false">Y2637-X2637</f>
        <v>5</v>
      </c>
      <c r="G2637" s="1" t="n">
        <v>5</v>
      </c>
      <c r="H2637" s="3" t="s">
        <v>48</v>
      </c>
      <c r="I2637" s="3" t="s">
        <v>49</v>
      </c>
      <c r="J2637" s="3" t="s">
        <v>104</v>
      </c>
      <c r="K2637" s="2" t="str">
        <f aca="false">CONCATENATE(I2637," ",J2637)</f>
        <v>Alopecosa taeniata</v>
      </c>
      <c r="L2637" s="3" t="n">
        <f aca="false">SUM(P2637:U2637)</f>
        <v>1</v>
      </c>
      <c r="M2637" s="11" t="n">
        <f aca="false">(L2637/(F2637*G2637)*25)*4</f>
        <v>4</v>
      </c>
      <c r="N2637" s="1" t="s">
        <v>30</v>
      </c>
      <c r="O2637" s="1" t="s">
        <v>35</v>
      </c>
      <c r="P2637" s="3" t="n">
        <v>0</v>
      </c>
      <c r="Q2637" s="3" t="n">
        <v>1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f aca="false">SUM(P2637:Q2637)</f>
        <v>1</v>
      </c>
      <c r="W2637" s="3" t="n">
        <f aca="false">SUM(R2637:T2637)</f>
        <v>0</v>
      </c>
      <c r="X2637" s="22" t="n">
        <v>41794</v>
      </c>
      <c r="Y2637" s="22" t="n">
        <v>41799</v>
      </c>
    </row>
    <row r="2638" customFormat="false" ht="14.25" hidden="false" customHeight="false" outlineLevel="0" collapsed="false">
      <c r="A2638" s="1" t="n">
        <v>2014</v>
      </c>
      <c r="B2638" s="1" t="n">
        <v>1</v>
      </c>
      <c r="C2638" s="2" t="s">
        <v>50</v>
      </c>
      <c r="D2638" s="3" t="s">
        <v>83</v>
      </c>
      <c r="E2638" s="3" t="n">
        <v>3</v>
      </c>
      <c r="F2638" s="1" t="n">
        <f aca="false">Y2638-X2638</f>
        <v>5</v>
      </c>
      <c r="G2638" s="1" t="n">
        <v>5</v>
      </c>
      <c r="H2638" s="3" t="s">
        <v>135</v>
      </c>
      <c r="I2638" s="3" t="s">
        <v>136</v>
      </c>
      <c r="J2638" s="3" t="s">
        <v>137</v>
      </c>
      <c r="K2638" s="2" t="str">
        <f aca="false">CONCATENATE(I2638," ",J2638)</f>
        <v>Thanatus sabulosus</v>
      </c>
      <c r="L2638" s="3" t="n">
        <f aca="false">SUM(P2638:U2638)</f>
        <v>1</v>
      </c>
      <c r="M2638" s="11" t="n">
        <f aca="false">(L2638/(F2638*G2638)*25)*4</f>
        <v>4</v>
      </c>
      <c r="N2638" s="1" t="s">
        <v>30</v>
      </c>
      <c r="O2638" s="1" t="s">
        <v>31</v>
      </c>
      <c r="P2638" s="3" t="n">
        <v>1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f aca="false">SUM(P2638:Q2638)</f>
        <v>1</v>
      </c>
      <c r="W2638" s="3" t="n">
        <f aca="false">SUM(R2638:T2638)</f>
        <v>0</v>
      </c>
      <c r="X2638" s="22" t="n">
        <v>41794</v>
      </c>
      <c r="Y2638" s="22" t="n">
        <v>41799</v>
      </c>
    </row>
    <row r="2639" customFormat="false" ht="14.25" hidden="false" customHeight="false" outlineLevel="0" collapsed="false">
      <c r="A2639" s="1" t="n">
        <v>2014</v>
      </c>
      <c r="B2639" s="1" t="n">
        <v>1</v>
      </c>
      <c r="C2639" s="2" t="s">
        <v>50</v>
      </c>
      <c r="D2639" s="3" t="s">
        <v>83</v>
      </c>
      <c r="E2639" s="3" t="n">
        <v>3</v>
      </c>
      <c r="F2639" s="1" t="n">
        <f aca="false">Y2639-X2639</f>
        <v>5</v>
      </c>
      <c r="G2639" s="1" t="n">
        <v>5</v>
      </c>
      <c r="H2639" s="3" t="s">
        <v>72</v>
      </c>
      <c r="I2639" s="3" t="s">
        <v>86</v>
      </c>
      <c r="J2639" s="3" t="s">
        <v>87</v>
      </c>
      <c r="K2639" s="2" t="str">
        <f aca="false">CONCATENATE(I2639," ",J2639)</f>
        <v>Haplodrassus soerenseni</v>
      </c>
      <c r="L2639" s="3" t="n">
        <f aca="false">SUM(P2639:U2639)</f>
        <v>1</v>
      </c>
      <c r="M2639" s="11" t="n">
        <f aca="false">(L2639/(F2639*G2639)*25)*4</f>
        <v>4</v>
      </c>
      <c r="N2639" s="1" t="s">
        <v>30</v>
      </c>
      <c r="O2639" s="1" t="s">
        <v>31</v>
      </c>
      <c r="P2639" s="3" t="n">
        <v>1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f aca="false">SUM(P2639:Q2639)</f>
        <v>1</v>
      </c>
      <c r="W2639" s="3" t="n">
        <f aca="false">SUM(R2639:T2639)</f>
        <v>0</v>
      </c>
      <c r="X2639" s="22" t="n">
        <v>41794</v>
      </c>
      <c r="Y2639" s="22" t="n">
        <v>41799</v>
      </c>
    </row>
    <row r="2640" customFormat="false" ht="14.25" hidden="false" customHeight="false" outlineLevel="0" collapsed="false">
      <c r="A2640" s="1" t="n">
        <v>2014</v>
      </c>
      <c r="B2640" s="1" t="n">
        <v>1</v>
      </c>
      <c r="C2640" s="2" t="s">
        <v>50</v>
      </c>
      <c r="D2640" s="3" t="s">
        <v>83</v>
      </c>
      <c r="E2640" s="3" t="n">
        <v>3</v>
      </c>
      <c r="F2640" s="1" t="n">
        <f aca="false">Y2640-X2640</f>
        <v>5</v>
      </c>
      <c r="G2640" s="1" t="n">
        <v>5</v>
      </c>
      <c r="H2640" s="3" t="s">
        <v>226</v>
      </c>
      <c r="I2640" s="3" t="s">
        <v>65</v>
      </c>
      <c r="J2640" s="3" t="s">
        <v>123</v>
      </c>
      <c r="K2640" s="2" t="str">
        <f aca="false">CONCATENATE(I2640," ",J2640)</f>
        <v>Zora nemoralis</v>
      </c>
      <c r="L2640" s="3" t="n">
        <f aca="false">SUM(P2640:U2640)</f>
        <v>3</v>
      </c>
      <c r="M2640" s="11" t="n">
        <f aca="false">(L2640/(F2640*G2640)*25)*4</f>
        <v>12</v>
      </c>
      <c r="N2640" s="1" t="s">
        <v>30</v>
      </c>
      <c r="O2640" s="1" t="s">
        <v>31</v>
      </c>
      <c r="P2640" s="3" t="n">
        <v>3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f aca="false">SUM(P2640:Q2640)</f>
        <v>3</v>
      </c>
      <c r="W2640" s="3" t="n">
        <f aca="false">SUM(R2640:T2640)</f>
        <v>0</v>
      </c>
      <c r="X2640" s="22" t="n">
        <v>41794</v>
      </c>
      <c r="Y2640" s="22" t="n">
        <v>41799</v>
      </c>
    </row>
    <row r="2641" customFormat="false" ht="14.25" hidden="false" customHeight="false" outlineLevel="0" collapsed="false">
      <c r="A2641" s="1" t="n">
        <v>2014</v>
      </c>
      <c r="B2641" s="1" t="n">
        <v>1</v>
      </c>
      <c r="C2641" s="2" t="s">
        <v>50</v>
      </c>
      <c r="D2641" s="3" t="s">
        <v>83</v>
      </c>
      <c r="E2641" s="3" t="n">
        <v>3</v>
      </c>
      <c r="F2641" s="1" t="n">
        <f aca="false">Y2641-X2641</f>
        <v>5</v>
      </c>
      <c r="G2641" s="1" t="n">
        <v>5</v>
      </c>
      <c r="H2641" s="3" t="s">
        <v>226</v>
      </c>
      <c r="I2641" s="3" t="s">
        <v>65</v>
      </c>
      <c r="J2641" s="3" t="s">
        <v>66</v>
      </c>
      <c r="K2641" s="2" t="str">
        <f aca="false">CONCATENATE(I2641," ",J2641)</f>
        <v>Zora Spinimana</v>
      </c>
      <c r="L2641" s="3" t="n">
        <f aca="false">SUM(P2641:U2641)</f>
        <v>1</v>
      </c>
      <c r="M2641" s="11" t="n">
        <f aca="false">(L2641/(F2641*G2641)*25)*4</f>
        <v>4</v>
      </c>
      <c r="N2641" s="1" t="s">
        <v>30</v>
      </c>
      <c r="O2641" s="1" t="s">
        <v>31</v>
      </c>
      <c r="P2641" s="3" t="n">
        <v>1</v>
      </c>
      <c r="Q2641" s="3" t="n">
        <v>0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f aca="false">SUM(P2641:Q2641)</f>
        <v>1</v>
      </c>
      <c r="W2641" s="3" t="n">
        <f aca="false">SUM(R2641:T2641)</f>
        <v>0</v>
      </c>
      <c r="X2641" s="22" t="n">
        <v>41794</v>
      </c>
      <c r="Y2641" s="22" t="n">
        <v>41799</v>
      </c>
    </row>
    <row r="2642" customFormat="false" ht="14.25" hidden="false" customHeight="false" outlineLevel="0" collapsed="false">
      <c r="A2642" s="1" t="n">
        <v>2014</v>
      </c>
      <c r="B2642" s="1" t="n">
        <v>1</v>
      </c>
      <c r="C2642" s="2" t="s">
        <v>50</v>
      </c>
      <c r="D2642" s="3" t="s">
        <v>83</v>
      </c>
      <c r="E2642" s="3" t="n">
        <v>3</v>
      </c>
      <c r="F2642" s="1" t="n">
        <f aca="false">Y2642-X2642</f>
        <v>5</v>
      </c>
      <c r="G2642" s="1" t="n">
        <v>5</v>
      </c>
      <c r="H2642" s="3" t="s">
        <v>226</v>
      </c>
      <c r="I2642" s="3" t="s">
        <v>65</v>
      </c>
      <c r="J2642" s="3" t="s">
        <v>66</v>
      </c>
      <c r="K2642" s="2" t="str">
        <f aca="false">CONCATENATE(I2642," ",J2642)</f>
        <v>Zora Spinimana</v>
      </c>
      <c r="L2642" s="3" t="n">
        <f aca="false">SUM(P2642:U2642)</f>
        <v>1</v>
      </c>
      <c r="M2642" s="11" t="n">
        <f aca="false">(L2642/(F2642*G2642)*25)*4</f>
        <v>4</v>
      </c>
      <c r="N2642" s="1" t="s">
        <v>30</v>
      </c>
      <c r="O2642" s="1" t="s">
        <v>35</v>
      </c>
      <c r="P2642" s="3" t="n">
        <v>0</v>
      </c>
      <c r="Q2642" s="3" t="n">
        <v>1</v>
      </c>
      <c r="R2642" s="3" t="n">
        <v>0</v>
      </c>
      <c r="S2642" s="3" t="n">
        <v>0</v>
      </c>
      <c r="T2642" s="3" t="n">
        <v>0</v>
      </c>
      <c r="U2642" s="3" t="n">
        <v>0</v>
      </c>
      <c r="V2642" s="3" t="n">
        <f aca="false">SUM(P2642:Q2642)</f>
        <v>1</v>
      </c>
      <c r="W2642" s="3" t="n">
        <f aca="false">SUM(R2642:T2642)</f>
        <v>0</v>
      </c>
      <c r="X2642" s="22" t="n">
        <v>41794</v>
      </c>
      <c r="Y2642" s="22" t="n">
        <v>41799</v>
      </c>
    </row>
    <row r="2643" customFormat="false" ht="14.25" hidden="false" customHeight="false" outlineLevel="0" collapsed="false">
      <c r="A2643" s="1" t="n">
        <v>2014</v>
      </c>
      <c r="B2643" s="1" t="n">
        <v>1</v>
      </c>
      <c r="C2643" s="2" t="s">
        <v>50</v>
      </c>
      <c r="D2643" s="3" t="s">
        <v>83</v>
      </c>
      <c r="E2643" s="3" t="n">
        <v>3</v>
      </c>
      <c r="F2643" s="1" t="n">
        <f aca="false">Y2643-X2643</f>
        <v>5</v>
      </c>
      <c r="G2643" s="1" t="n">
        <v>5</v>
      </c>
      <c r="H2643" s="3" t="s">
        <v>36</v>
      </c>
      <c r="I2643" s="3" t="s">
        <v>37</v>
      </c>
      <c r="J2643" s="3" t="s">
        <v>75</v>
      </c>
      <c r="K2643" s="2" t="str">
        <f aca="false">CONCATENATE(I2643," ",J2643)</f>
        <v>Ozyptila praticola</v>
      </c>
      <c r="L2643" s="3" t="n">
        <f aca="false">SUM(P2643:U2643)</f>
        <v>2</v>
      </c>
      <c r="M2643" s="11" t="n">
        <f aca="false">(L2643/(F2643*G2643)*25)*4</f>
        <v>8</v>
      </c>
      <c r="N2643" s="1" t="s">
        <v>30</v>
      </c>
      <c r="O2643" s="1" t="s">
        <v>31</v>
      </c>
      <c r="P2643" s="3" t="n">
        <v>2</v>
      </c>
      <c r="Q2643" s="3" t="n">
        <v>0</v>
      </c>
      <c r="R2643" s="3" t="n">
        <v>0</v>
      </c>
      <c r="S2643" s="3" t="n">
        <v>0</v>
      </c>
      <c r="T2643" s="3" t="n">
        <v>0</v>
      </c>
      <c r="U2643" s="3" t="n">
        <v>0</v>
      </c>
      <c r="V2643" s="3" t="n">
        <f aca="false">SUM(P2643:Q2643)</f>
        <v>2</v>
      </c>
      <c r="W2643" s="3" t="n">
        <f aca="false">SUM(R2643:T2643)</f>
        <v>0</v>
      </c>
      <c r="X2643" s="22" t="n">
        <v>41794</v>
      </c>
      <c r="Y2643" s="22" t="n">
        <v>41799</v>
      </c>
    </row>
    <row r="2644" customFormat="false" ht="14.25" hidden="false" customHeight="false" outlineLevel="0" collapsed="false">
      <c r="A2644" s="1" t="n">
        <v>2014</v>
      </c>
      <c r="B2644" s="1" t="n">
        <v>1</v>
      </c>
      <c r="C2644" s="2" t="s">
        <v>50</v>
      </c>
      <c r="D2644" s="3" t="s">
        <v>83</v>
      </c>
      <c r="E2644" s="3" t="n">
        <v>3</v>
      </c>
      <c r="F2644" s="1" t="n">
        <f aca="false">Y2644-X2644</f>
        <v>5</v>
      </c>
      <c r="G2644" s="1" t="n">
        <v>5</v>
      </c>
      <c r="H2644" s="3" t="s">
        <v>36</v>
      </c>
      <c r="I2644" s="3" t="s">
        <v>131</v>
      </c>
      <c r="J2644" s="3" t="s">
        <v>38</v>
      </c>
      <c r="K2644" s="2" t="str">
        <f aca="false">CONCATENATE(I2644," ",J2644)</f>
        <v>Xysticus sp</v>
      </c>
      <c r="L2644" s="3" t="n">
        <f aca="false">SUM(P2644:U2644)</f>
        <v>1</v>
      </c>
      <c r="M2644" s="11" t="n">
        <f aca="false">(L2644/(F2644*G2644)*25)*4</f>
        <v>4</v>
      </c>
      <c r="N2644" s="1" t="s">
        <v>19</v>
      </c>
      <c r="O2644" s="1" t="s">
        <v>54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1</v>
      </c>
      <c r="U2644" s="3" t="n">
        <v>0</v>
      </c>
      <c r="V2644" s="3" t="n">
        <f aca="false">SUM(P2644:Q2644)</f>
        <v>0</v>
      </c>
      <c r="W2644" s="3" t="n">
        <f aca="false">SUM(R2644:T2644)</f>
        <v>1</v>
      </c>
      <c r="X2644" s="22" t="n">
        <v>41794</v>
      </c>
      <c r="Y2644" s="22" t="n">
        <v>41799</v>
      </c>
    </row>
    <row r="2645" customFormat="false" ht="14.25" hidden="false" customHeight="false" outlineLevel="0" collapsed="false">
      <c r="A2645" s="1" t="n">
        <v>2014</v>
      </c>
      <c r="B2645" s="1" t="n">
        <v>1</v>
      </c>
      <c r="C2645" s="2" t="s">
        <v>50</v>
      </c>
      <c r="D2645" s="3" t="s">
        <v>83</v>
      </c>
      <c r="E2645" s="3" t="n">
        <v>3</v>
      </c>
      <c r="F2645" s="1" t="n">
        <f aca="false">Y2645-X2645</f>
        <v>5</v>
      </c>
      <c r="G2645" s="1" t="n">
        <v>5</v>
      </c>
      <c r="H2645" s="3" t="s">
        <v>32</v>
      </c>
      <c r="I2645" s="3" t="s">
        <v>169</v>
      </c>
      <c r="J2645" s="3" t="s">
        <v>170</v>
      </c>
      <c r="K2645" s="2" t="str">
        <f aca="false">CONCATENATE(I2645," ",J2645)</f>
        <v>Abacoproeces saltuum</v>
      </c>
      <c r="L2645" s="3" t="n">
        <f aca="false">SUM(P2645:U2645)</f>
        <v>1</v>
      </c>
      <c r="M2645" s="11" t="n">
        <f aca="false">(L2645/(F2645*G2645)*25)*4</f>
        <v>4</v>
      </c>
      <c r="N2645" s="1" t="s">
        <v>30</v>
      </c>
      <c r="O2645" s="1" t="s">
        <v>31</v>
      </c>
      <c r="P2645" s="3" t="n">
        <v>1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f aca="false">SUM(P2645:Q2645)</f>
        <v>1</v>
      </c>
      <c r="W2645" s="3" t="n">
        <f aca="false">SUM(R2645:T2645)</f>
        <v>0</v>
      </c>
      <c r="X2645" s="22" t="n">
        <v>41794</v>
      </c>
      <c r="Y2645" s="22" t="n">
        <v>41799</v>
      </c>
    </row>
    <row r="2646" customFormat="false" ht="14.25" hidden="false" customHeight="false" outlineLevel="0" collapsed="false">
      <c r="A2646" s="1" t="n">
        <v>2014</v>
      </c>
      <c r="B2646" s="1" t="n">
        <v>1</v>
      </c>
      <c r="C2646" s="2" t="s">
        <v>50</v>
      </c>
      <c r="D2646" s="3" t="s">
        <v>83</v>
      </c>
      <c r="E2646" s="3" t="n">
        <v>2</v>
      </c>
      <c r="F2646" s="1" t="n">
        <f aca="false">Y2646-X2646</f>
        <v>5</v>
      </c>
      <c r="G2646" s="1" t="n">
        <v>5</v>
      </c>
      <c r="H2646" s="3" t="s">
        <v>48</v>
      </c>
      <c r="I2646" s="3" t="s">
        <v>67</v>
      </c>
      <c r="J2646" s="3" t="s">
        <v>127</v>
      </c>
      <c r="K2646" s="2" t="str">
        <f aca="false">CONCATENATE(I2646," ",J2646)</f>
        <v>Pardosa lugubris</v>
      </c>
      <c r="L2646" s="3" t="n">
        <f aca="false">SUM(P2646:U2646)</f>
        <v>12</v>
      </c>
      <c r="M2646" s="11" t="n">
        <f aca="false">(L2646/(F2646*G2646)*25)*4</f>
        <v>48</v>
      </c>
      <c r="N2646" s="1" t="s">
        <v>30</v>
      </c>
      <c r="O2646" s="1" t="s">
        <v>31</v>
      </c>
      <c r="P2646" s="3" t="n">
        <v>12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f aca="false">SUM(P2646:Q2646)</f>
        <v>12</v>
      </c>
      <c r="W2646" s="3" t="n">
        <f aca="false">SUM(R2646:T2646)</f>
        <v>0</v>
      </c>
      <c r="X2646" s="22" t="n">
        <v>41794</v>
      </c>
      <c r="Y2646" s="22" t="n">
        <v>41799</v>
      </c>
    </row>
    <row r="2647" customFormat="false" ht="14.25" hidden="false" customHeight="false" outlineLevel="0" collapsed="false">
      <c r="A2647" s="1" t="n">
        <v>2014</v>
      </c>
      <c r="B2647" s="1" t="n">
        <v>1</v>
      </c>
      <c r="C2647" s="2" t="s">
        <v>50</v>
      </c>
      <c r="D2647" s="3" t="s">
        <v>83</v>
      </c>
      <c r="E2647" s="3" t="n">
        <v>2</v>
      </c>
      <c r="F2647" s="1" t="n">
        <f aca="false">Y2647-X2647</f>
        <v>5</v>
      </c>
      <c r="G2647" s="1" t="n">
        <v>5</v>
      </c>
      <c r="H2647" s="3" t="s">
        <v>48</v>
      </c>
      <c r="I2647" s="3" t="s">
        <v>67</v>
      </c>
      <c r="J2647" s="3" t="s">
        <v>127</v>
      </c>
      <c r="K2647" s="2" t="str">
        <f aca="false">CONCATENATE(I2647," ",J2647)</f>
        <v>Pardosa lugubris</v>
      </c>
      <c r="L2647" s="3" t="n">
        <f aca="false">SUM(P2647:U2647)</f>
        <v>1</v>
      </c>
      <c r="M2647" s="11" t="n">
        <f aca="false">(L2647/(F2647*G2647)*25)*4</f>
        <v>4</v>
      </c>
      <c r="N2647" s="1" t="s">
        <v>30</v>
      </c>
      <c r="O2647" s="1" t="s">
        <v>35</v>
      </c>
      <c r="P2647" s="3" t="n">
        <v>0</v>
      </c>
      <c r="Q2647" s="3" t="n">
        <v>1</v>
      </c>
      <c r="R2647" s="3" t="n">
        <v>0</v>
      </c>
      <c r="S2647" s="3" t="n">
        <v>0</v>
      </c>
      <c r="T2647" s="3" t="n">
        <v>0</v>
      </c>
      <c r="U2647" s="3" t="n">
        <v>0</v>
      </c>
      <c r="V2647" s="3" t="n">
        <f aca="false">SUM(P2647:Q2647)</f>
        <v>1</v>
      </c>
      <c r="W2647" s="3" t="n">
        <f aca="false">SUM(R2647:T2647)</f>
        <v>0</v>
      </c>
      <c r="X2647" s="22" t="n">
        <v>41794</v>
      </c>
      <c r="Y2647" s="22" t="n">
        <v>41799</v>
      </c>
    </row>
    <row r="2648" customFormat="false" ht="14.25" hidden="false" customHeight="false" outlineLevel="0" collapsed="false">
      <c r="A2648" s="1" t="n">
        <v>2014</v>
      </c>
      <c r="B2648" s="1" t="n">
        <v>1</v>
      </c>
      <c r="C2648" s="2" t="s">
        <v>50</v>
      </c>
      <c r="D2648" s="3" t="s">
        <v>83</v>
      </c>
      <c r="E2648" s="3" t="n">
        <v>2</v>
      </c>
      <c r="F2648" s="1" t="n">
        <f aca="false">Y2648-X2648</f>
        <v>5</v>
      </c>
      <c r="G2648" s="1" t="n">
        <v>5</v>
      </c>
      <c r="H2648" s="3" t="s">
        <v>48</v>
      </c>
      <c r="I2648" s="3" t="s">
        <v>49</v>
      </c>
      <c r="J2648" s="3" t="s">
        <v>104</v>
      </c>
      <c r="K2648" s="2" t="str">
        <f aca="false">CONCATENATE(I2648," ",J2648)</f>
        <v>Alopecosa taeniata</v>
      </c>
      <c r="L2648" s="3" t="n">
        <f aca="false">SUM(P2648:U2648)</f>
        <v>2</v>
      </c>
      <c r="M2648" s="11" t="n">
        <f aca="false">(L2648/(F2648*G2648)*25)*4</f>
        <v>8</v>
      </c>
      <c r="N2648" s="1" t="s">
        <v>30</v>
      </c>
      <c r="O2648" s="1" t="s">
        <v>31</v>
      </c>
      <c r="P2648" s="3" t="n">
        <v>2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f aca="false">SUM(P2648:Q2648)</f>
        <v>2</v>
      </c>
      <c r="W2648" s="3" t="n">
        <f aca="false">SUM(R2648:T2648)</f>
        <v>0</v>
      </c>
      <c r="X2648" s="22" t="n">
        <v>41794</v>
      </c>
      <c r="Y2648" s="22" t="n">
        <v>41799</v>
      </c>
    </row>
    <row r="2649" customFormat="false" ht="14.25" hidden="false" customHeight="false" outlineLevel="0" collapsed="false">
      <c r="A2649" s="1" t="n">
        <v>2014</v>
      </c>
      <c r="B2649" s="1" t="n">
        <v>1</v>
      </c>
      <c r="C2649" s="2" t="s">
        <v>50</v>
      </c>
      <c r="D2649" s="3" t="s">
        <v>83</v>
      </c>
      <c r="E2649" s="3" t="n">
        <v>2</v>
      </c>
      <c r="F2649" s="1" t="n">
        <f aca="false">Y2649-X2649</f>
        <v>5</v>
      </c>
      <c r="G2649" s="1" t="n">
        <v>5</v>
      </c>
      <c r="H2649" s="3" t="s">
        <v>48</v>
      </c>
      <c r="I2649" s="3" t="s">
        <v>49</v>
      </c>
      <c r="J2649" s="3" t="s">
        <v>104</v>
      </c>
      <c r="K2649" s="2" t="str">
        <f aca="false">CONCATENATE(I2649," ",J2649)</f>
        <v>Alopecosa taeniata</v>
      </c>
      <c r="L2649" s="3" t="n">
        <f aca="false">SUM(P2649:U2649)</f>
        <v>1</v>
      </c>
      <c r="M2649" s="11" t="n">
        <f aca="false">(L2649/(F2649*G2649)*25)*4</f>
        <v>4</v>
      </c>
      <c r="N2649" s="1" t="s">
        <v>30</v>
      </c>
      <c r="O2649" s="1" t="s">
        <v>35</v>
      </c>
      <c r="P2649" s="3" t="n">
        <v>0</v>
      </c>
      <c r="Q2649" s="3" t="n">
        <v>1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f aca="false">SUM(P2649:Q2649)</f>
        <v>1</v>
      </c>
      <c r="W2649" s="3" t="n">
        <f aca="false">SUM(R2649:T2649)</f>
        <v>0</v>
      </c>
      <c r="X2649" s="22" t="n">
        <v>41794</v>
      </c>
      <c r="Y2649" s="22" t="n">
        <v>41799</v>
      </c>
    </row>
    <row r="2650" customFormat="false" ht="14.25" hidden="false" customHeight="false" outlineLevel="0" collapsed="false">
      <c r="A2650" s="1" t="n">
        <v>2014</v>
      </c>
      <c r="B2650" s="1" t="n">
        <v>1</v>
      </c>
      <c r="C2650" s="2" t="s">
        <v>50</v>
      </c>
      <c r="D2650" s="3" t="s">
        <v>83</v>
      </c>
      <c r="E2650" s="3" t="n">
        <v>2</v>
      </c>
      <c r="F2650" s="1" t="n">
        <f aca="false">Y2650-X2650</f>
        <v>5</v>
      </c>
      <c r="G2650" s="1" t="n">
        <v>5</v>
      </c>
      <c r="H2650" s="3" t="s">
        <v>36</v>
      </c>
      <c r="I2650" s="3" t="s">
        <v>37</v>
      </c>
      <c r="J2650" s="3" t="s">
        <v>75</v>
      </c>
      <c r="K2650" s="2" t="str">
        <f aca="false">CONCATENATE(I2650," ",J2650)</f>
        <v>Ozyptila praticola</v>
      </c>
      <c r="L2650" s="3" t="n">
        <f aca="false">SUM(P2650:U2650)</f>
        <v>1</v>
      </c>
      <c r="M2650" s="11" t="n">
        <f aca="false">(L2650/(F2650*G2650)*25)*4</f>
        <v>4</v>
      </c>
      <c r="N2650" s="1" t="s">
        <v>30</v>
      </c>
      <c r="O2650" s="1" t="s">
        <v>31</v>
      </c>
      <c r="P2650" s="3" t="n">
        <v>1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f aca="false">SUM(P2650:Q2650)</f>
        <v>1</v>
      </c>
      <c r="W2650" s="3" t="n">
        <f aca="false">SUM(R2650:T2650)</f>
        <v>0</v>
      </c>
      <c r="X2650" s="22" t="n">
        <v>41794</v>
      </c>
      <c r="Y2650" s="22" t="n">
        <v>41799</v>
      </c>
    </row>
    <row r="2651" customFormat="false" ht="14.25" hidden="false" customHeight="false" outlineLevel="0" collapsed="false">
      <c r="A2651" s="1" t="n">
        <v>2014</v>
      </c>
      <c r="B2651" s="1" t="n">
        <v>1</v>
      </c>
      <c r="C2651" s="2" t="s">
        <v>50</v>
      </c>
      <c r="D2651" s="3" t="s">
        <v>83</v>
      </c>
      <c r="E2651" s="3" t="n">
        <v>2</v>
      </c>
      <c r="F2651" s="1" t="n">
        <f aca="false">Y2651-X2651</f>
        <v>5</v>
      </c>
      <c r="G2651" s="1" t="n">
        <v>5</v>
      </c>
      <c r="H2651" s="3" t="s">
        <v>32</v>
      </c>
      <c r="I2651" s="3" t="s">
        <v>102</v>
      </c>
      <c r="J2651" s="3" t="s">
        <v>38</v>
      </c>
      <c r="K2651" s="2" t="str">
        <f aca="false">CONCATENATE(I2651," ",J2651)</f>
        <v>Agyneta sp</v>
      </c>
      <c r="L2651" s="3" t="n">
        <f aca="false">SUM(P2651:U2651)</f>
        <v>1</v>
      </c>
      <c r="M2651" s="11" t="n">
        <f aca="false">(L2651/(F2651*G2651)*25)*4</f>
        <v>4</v>
      </c>
      <c r="N2651" s="1" t="s">
        <v>30</v>
      </c>
      <c r="O2651" s="1" t="s">
        <v>31</v>
      </c>
      <c r="P2651" s="3" t="n">
        <v>0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1</v>
      </c>
      <c r="V2651" s="3" t="n">
        <f aca="false">SUM(P2651:Q2651)</f>
        <v>0</v>
      </c>
      <c r="W2651" s="3" t="n">
        <f aca="false">SUM(R2651:T2651)</f>
        <v>0</v>
      </c>
      <c r="X2651" s="22" t="n">
        <v>41794</v>
      </c>
      <c r="Y2651" s="22" t="n">
        <v>41799</v>
      </c>
    </row>
    <row r="2652" customFormat="false" ht="14.25" hidden="false" customHeight="false" outlineLevel="0" collapsed="false">
      <c r="A2652" s="1" t="n">
        <v>2014</v>
      </c>
      <c r="B2652" s="1" t="n">
        <v>1</v>
      </c>
      <c r="C2652" s="2" t="s">
        <v>50</v>
      </c>
      <c r="D2652" s="3" t="s">
        <v>83</v>
      </c>
      <c r="E2652" s="3" t="n">
        <v>1</v>
      </c>
      <c r="F2652" s="1" t="n">
        <f aca="false">Y2652-X2652</f>
        <v>5</v>
      </c>
      <c r="G2652" s="1" t="n">
        <v>5</v>
      </c>
      <c r="H2652" s="3" t="s">
        <v>48</v>
      </c>
      <c r="I2652" s="3" t="s">
        <v>67</v>
      </c>
      <c r="J2652" s="3" t="s">
        <v>127</v>
      </c>
      <c r="K2652" s="2" t="str">
        <f aca="false">CONCATENATE(I2652," ",J2652)</f>
        <v>Pardosa lugubris</v>
      </c>
      <c r="L2652" s="3" t="n">
        <f aca="false">SUM(P2652:U2652)</f>
        <v>5</v>
      </c>
      <c r="M2652" s="11" t="n">
        <f aca="false">(L2652/(F2652*G2652)*25)*4</f>
        <v>20</v>
      </c>
      <c r="N2652" s="1" t="s">
        <v>30</v>
      </c>
      <c r="O2652" s="1" t="s">
        <v>31</v>
      </c>
      <c r="P2652" s="3" t="n">
        <v>5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f aca="false">SUM(P2652:Q2652)</f>
        <v>5</v>
      </c>
      <c r="W2652" s="3" t="n">
        <f aca="false">SUM(R2652:T2652)</f>
        <v>0</v>
      </c>
      <c r="X2652" s="22" t="n">
        <v>41794</v>
      </c>
      <c r="Y2652" s="22" t="n">
        <v>41799</v>
      </c>
    </row>
    <row r="2653" customFormat="false" ht="14.25" hidden="false" customHeight="false" outlineLevel="0" collapsed="false">
      <c r="A2653" s="1" t="n">
        <v>2014</v>
      </c>
      <c r="B2653" s="1" t="n">
        <v>1</v>
      </c>
      <c r="C2653" s="2" t="s">
        <v>50</v>
      </c>
      <c r="D2653" s="3" t="s">
        <v>83</v>
      </c>
      <c r="E2653" s="3" t="n">
        <v>1</v>
      </c>
      <c r="F2653" s="1" t="n">
        <f aca="false">Y2653-X2653</f>
        <v>5</v>
      </c>
      <c r="G2653" s="1" t="n">
        <v>5</v>
      </c>
      <c r="H2653" s="3" t="s">
        <v>48</v>
      </c>
      <c r="I2653" s="3" t="s">
        <v>67</v>
      </c>
      <c r="J2653" s="3" t="s">
        <v>127</v>
      </c>
      <c r="K2653" s="2" t="str">
        <f aca="false">CONCATENATE(I2653," ",J2653)</f>
        <v>Pardosa lugubris</v>
      </c>
      <c r="L2653" s="3" t="n">
        <f aca="false">SUM(P2653:U2653)</f>
        <v>2</v>
      </c>
      <c r="M2653" s="11" t="n">
        <f aca="false">(L2653/(F2653*G2653)*25)*4</f>
        <v>8</v>
      </c>
      <c r="N2653" s="1" t="s">
        <v>30</v>
      </c>
      <c r="O2653" s="1" t="s">
        <v>35</v>
      </c>
      <c r="P2653" s="3" t="n">
        <v>0</v>
      </c>
      <c r="Q2653" s="3" t="n">
        <v>2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f aca="false">SUM(P2653:Q2653)</f>
        <v>2</v>
      </c>
      <c r="W2653" s="3" t="n">
        <f aca="false">SUM(R2653:T2653)</f>
        <v>0</v>
      </c>
      <c r="X2653" s="22" t="n">
        <v>41794</v>
      </c>
      <c r="Y2653" s="22" t="n">
        <v>41799</v>
      </c>
    </row>
    <row r="2654" customFormat="false" ht="14.25" hidden="false" customHeight="false" outlineLevel="0" collapsed="false">
      <c r="A2654" s="1" t="n">
        <v>2014</v>
      </c>
      <c r="B2654" s="1" t="n">
        <v>1</v>
      </c>
      <c r="C2654" s="2" t="s">
        <v>50</v>
      </c>
      <c r="D2654" s="3" t="s">
        <v>83</v>
      </c>
      <c r="E2654" s="3" t="n">
        <v>1</v>
      </c>
      <c r="F2654" s="1" t="n">
        <f aca="false">Y2654-X2654</f>
        <v>5</v>
      </c>
      <c r="G2654" s="1" t="n">
        <v>5</v>
      </c>
      <c r="H2654" s="3" t="s">
        <v>36</v>
      </c>
      <c r="I2654" s="3" t="s">
        <v>131</v>
      </c>
      <c r="J2654" s="3" t="s">
        <v>133</v>
      </c>
      <c r="K2654" s="2" t="str">
        <f aca="false">CONCATENATE(I2654," ",J2654)</f>
        <v>Xysticus luctuosus</v>
      </c>
      <c r="L2654" s="3" t="n">
        <f aca="false">SUM(P2654:U2654)</f>
        <v>1</v>
      </c>
      <c r="M2654" s="11" t="n">
        <f aca="false">(L2654/(F2654*G2654)*25)*4</f>
        <v>4</v>
      </c>
      <c r="N2654" s="1" t="s">
        <v>30</v>
      </c>
      <c r="O2654" s="1" t="s">
        <v>31</v>
      </c>
      <c r="P2654" s="3" t="n">
        <v>1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f aca="false">SUM(P2654:Q2654)</f>
        <v>1</v>
      </c>
      <c r="W2654" s="3" t="n">
        <f aca="false">SUM(R2654:T2654)</f>
        <v>0</v>
      </c>
      <c r="X2654" s="22" t="n">
        <v>41794</v>
      </c>
      <c r="Y2654" s="22" t="n">
        <v>41799</v>
      </c>
    </row>
    <row r="2655" customFormat="false" ht="14.25" hidden="false" customHeight="false" outlineLevel="0" collapsed="false">
      <c r="A2655" s="1" t="n">
        <v>2014</v>
      </c>
      <c r="B2655" s="1" t="n">
        <v>1</v>
      </c>
      <c r="C2655" s="2" t="s">
        <v>50</v>
      </c>
      <c r="D2655" s="3" t="s">
        <v>83</v>
      </c>
      <c r="E2655" s="3" t="n">
        <v>1</v>
      </c>
      <c r="F2655" s="1" t="n">
        <f aca="false">Y2655-X2655</f>
        <v>5</v>
      </c>
      <c r="G2655" s="1" t="n">
        <v>5</v>
      </c>
      <c r="H2655" s="3" t="s">
        <v>36</v>
      </c>
      <c r="I2655" s="3" t="s">
        <v>37</v>
      </c>
      <c r="J2655" s="3" t="s">
        <v>75</v>
      </c>
      <c r="K2655" s="2" t="str">
        <f aca="false">CONCATENATE(I2655," ",J2655)</f>
        <v>Ozyptila praticola</v>
      </c>
      <c r="L2655" s="3" t="n">
        <f aca="false">SUM(P2655:U2655)</f>
        <v>1</v>
      </c>
      <c r="M2655" s="11" t="n">
        <f aca="false">(L2655/(F2655*G2655)*25)*4</f>
        <v>4</v>
      </c>
      <c r="N2655" s="1" t="s">
        <v>30</v>
      </c>
      <c r="O2655" s="1" t="s">
        <v>31</v>
      </c>
      <c r="P2655" s="3" t="n">
        <v>1</v>
      </c>
      <c r="Q2655" s="3" t="n">
        <v>0</v>
      </c>
      <c r="R2655" s="3" t="n">
        <v>0</v>
      </c>
      <c r="S2655" s="3" t="n">
        <v>0</v>
      </c>
      <c r="T2655" s="3" t="n">
        <v>0</v>
      </c>
      <c r="U2655" s="3" t="n">
        <v>0</v>
      </c>
      <c r="V2655" s="3" t="n">
        <f aca="false">SUM(P2655:Q2655)</f>
        <v>1</v>
      </c>
      <c r="W2655" s="3" t="n">
        <f aca="false">SUM(R2655:T2655)</f>
        <v>0</v>
      </c>
      <c r="X2655" s="22" t="n">
        <v>41794</v>
      </c>
      <c r="Y2655" s="22" t="n">
        <v>41799</v>
      </c>
    </row>
    <row r="2656" customFormat="false" ht="14.25" hidden="false" customHeight="false" outlineLevel="0" collapsed="false">
      <c r="A2656" s="1" t="n">
        <v>2014</v>
      </c>
      <c r="B2656" s="1" t="n">
        <v>1</v>
      </c>
      <c r="C2656" s="2" t="s">
        <v>50</v>
      </c>
      <c r="D2656" s="3" t="s">
        <v>83</v>
      </c>
      <c r="E2656" s="3" t="n">
        <v>1</v>
      </c>
      <c r="F2656" s="1" t="n">
        <f aca="false">Y2656-X2656</f>
        <v>5</v>
      </c>
      <c r="G2656" s="1" t="n">
        <v>5</v>
      </c>
      <c r="H2656" s="3" t="s">
        <v>226</v>
      </c>
      <c r="I2656" s="3" t="s">
        <v>65</v>
      </c>
      <c r="J2656" s="3" t="s">
        <v>123</v>
      </c>
      <c r="K2656" s="2" t="str">
        <f aca="false">CONCATENATE(I2656," ",J2656)</f>
        <v>Zora nemoralis</v>
      </c>
      <c r="L2656" s="3" t="n">
        <f aca="false">SUM(P2656:U2656)</f>
        <v>1</v>
      </c>
      <c r="M2656" s="11" t="n">
        <f aca="false">(L2656/(F2656*G2656)*25)*4</f>
        <v>4</v>
      </c>
      <c r="N2656" s="1" t="s">
        <v>30</v>
      </c>
      <c r="O2656" s="1" t="s">
        <v>31</v>
      </c>
      <c r="P2656" s="3" t="n">
        <v>1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f aca="false">SUM(P2656:Q2656)</f>
        <v>1</v>
      </c>
      <c r="W2656" s="3" t="n">
        <f aca="false">SUM(R2656:T2656)</f>
        <v>0</v>
      </c>
      <c r="X2656" s="22" t="n">
        <v>41794</v>
      </c>
      <c r="Y2656" s="22" t="n">
        <v>41799</v>
      </c>
    </row>
    <row r="2657" customFormat="false" ht="14.25" hidden="false" customHeight="false" outlineLevel="0" collapsed="false">
      <c r="A2657" s="1" t="n">
        <v>2014</v>
      </c>
      <c r="B2657" s="1" t="n">
        <v>1</v>
      </c>
      <c r="C2657" s="2" t="s">
        <v>50</v>
      </c>
      <c r="D2657" s="3" t="s">
        <v>83</v>
      </c>
      <c r="E2657" s="3" t="n">
        <v>1</v>
      </c>
      <c r="F2657" s="1" t="n">
        <f aca="false">Y2657-X2657</f>
        <v>5</v>
      </c>
      <c r="G2657" s="1" t="n">
        <v>5</v>
      </c>
      <c r="H2657" s="3" t="s">
        <v>72</v>
      </c>
      <c r="I2657" s="3" t="s">
        <v>86</v>
      </c>
      <c r="J2657" s="3" t="s">
        <v>87</v>
      </c>
      <c r="K2657" s="2" t="str">
        <f aca="false">CONCATENATE(I2657," ",J2657)</f>
        <v>Haplodrassus soerenseni</v>
      </c>
      <c r="L2657" s="3" t="n">
        <f aca="false">SUM(P2657:U2657)</f>
        <v>1</v>
      </c>
      <c r="M2657" s="11" t="n">
        <f aca="false">(L2657/(F2657*G2657)*25)*4</f>
        <v>4</v>
      </c>
      <c r="N2657" s="1" t="s">
        <v>30</v>
      </c>
      <c r="O2657" s="1" t="s">
        <v>31</v>
      </c>
      <c r="P2657" s="3" t="n">
        <v>1</v>
      </c>
      <c r="Q2657" s="3" t="n">
        <v>0</v>
      </c>
      <c r="R2657" s="3" t="n">
        <v>0</v>
      </c>
      <c r="S2657" s="3" t="n">
        <v>0</v>
      </c>
      <c r="T2657" s="3" t="n">
        <v>0</v>
      </c>
      <c r="U2657" s="3" t="n">
        <v>0</v>
      </c>
      <c r="V2657" s="3" t="n">
        <f aca="false">SUM(P2657:Q2657)</f>
        <v>1</v>
      </c>
      <c r="W2657" s="3" t="n">
        <f aca="false">SUM(R2657:T2657)</f>
        <v>0</v>
      </c>
      <c r="X2657" s="22" t="n">
        <v>41794</v>
      </c>
      <c r="Y2657" s="22" t="n">
        <v>41799</v>
      </c>
    </row>
    <row r="2658" customFormat="false" ht="14.25" hidden="false" customHeight="false" outlineLevel="0" collapsed="false">
      <c r="A2658" s="1" t="n">
        <v>2014</v>
      </c>
      <c r="B2658" s="1" t="n">
        <v>1</v>
      </c>
      <c r="C2658" s="2" t="s">
        <v>50</v>
      </c>
      <c r="D2658" s="3" t="s">
        <v>83</v>
      </c>
      <c r="E2658" s="3" t="n">
        <v>1</v>
      </c>
      <c r="F2658" s="1" t="n">
        <f aca="false">Y2658-X2658</f>
        <v>5</v>
      </c>
      <c r="G2658" s="1" t="n">
        <v>5</v>
      </c>
      <c r="H2658" s="3" t="s">
        <v>72</v>
      </c>
      <c r="I2658" s="3" t="s">
        <v>73</v>
      </c>
      <c r="J2658" s="3" t="s">
        <v>38</v>
      </c>
      <c r="K2658" s="2" t="str">
        <f aca="false">CONCATENATE(I2658," ",J2658)</f>
        <v>Zelotes sp</v>
      </c>
      <c r="L2658" s="3" t="n">
        <f aca="false">SUM(P2658:U2658)</f>
        <v>1</v>
      </c>
      <c r="M2658" s="11" t="n">
        <f aca="false">(L2658/(F2658*G2658)*25)*4</f>
        <v>4</v>
      </c>
      <c r="N2658" s="1" t="s">
        <v>19</v>
      </c>
      <c r="O2658" s="1" t="s">
        <v>35</v>
      </c>
      <c r="P2658" s="3" t="n">
        <v>0</v>
      </c>
      <c r="Q2658" s="3" t="n">
        <v>0</v>
      </c>
      <c r="R2658" s="3" t="n">
        <v>0</v>
      </c>
      <c r="S2658" s="3" t="n">
        <v>1</v>
      </c>
      <c r="T2658" s="3" t="n">
        <v>0</v>
      </c>
      <c r="U2658" s="3" t="n">
        <v>0</v>
      </c>
      <c r="V2658" s="3" t="n">
        <f aca="false">SUM(P2658:Q2658)</f>
        <v>0</v>
      </c>
      <c r="W2658" s="3" t="n">
        <f aca="false">SUM(R2658:T2658)</f>
        <v>1</v>
      </c>
      <c r="X2658" s="22" t="n">
        <v>41794</v>
      </c>
      <c r="Y2658" s="22" t="n">
        <v>41799</v>
      </c>
    </row>
    <row r="2659" customFormat="false" ht="14.25" hidden="false" customHeight="false" outlineLevel="0" collapsed="false">
      <c r="A2659" s="1" t="n">
        <v>2014</v>
      </c>
      <c r="B2659" s="1" t="n">
        <v>1</v>
      </c>
      <c r="C2659" s="2" t="s">
        <v>50</v>
      </c>
      <c r="D2659" s="3" t="s">
        <v>83</v>
      </c>
      <c r="E2659" s="3" t="n">
        <v>1</v>
      </c>
      <c r="F2659" s="1" t="n">
        <f aca="false">Y2659-X2659</f>
        <v>5</v>
      </c>
      <c r="G2659" s="1" t="n">
        <v>5</v>
      </c>
      <c r="H2659" s="3" t="s">
        <v>135</v>
      </c>
      <c r="I2659" s="3" t="s">
        <v>136</v>
      </c>
      <c r="J2659" s="3" t="s">
        <v>137</v>
      </c>
      <c r="K2659" s="2" t="str">
        <f aca="false">CONCATENATE(I2659," ",J2659)</f>
        <v>Thanatus sabulosus</v>
      </c>
      <c r="L2659" s="3" t="n">
        <f aca="false">SUM(P2659:U2659)</f>
        <v>1</v>
      </c>
      <c r="M2659" s="11" t="n">
        <f aca="false">(L2659/(F2659*G2659)*25)*4</f>
        <v>4</v>
      </c>
      <c r="N2659" s="1" t="s">
        <v>30</v>
      </c>
      <c r="O2659" s="1" t="s">
        <v>31</v>
      </c>
      <c r="P2659" s="3" t="n">
        <v>1</v>
      </c>
      <c r="Q2659" s="3" t="n">
        <v>0</v>
      </c>
      <c r="R2659" s="3" t="n">
        <v>0</v>
      </c>
      <c r="S2659" s="3" t="n">
        <v>0</v>
      </c>
      <c r="T2659" s="3" t="n">
        <v>0</v>
      </c>
      <c r="U2659" s="3" t="n">
        <v>0</v>
      </c>
      <c r="V2659" s="3" t="n">
        <f aca="false">SUM(P2659:Q2659)</f>
        <v>1</v>
      </c>
      <c r="W2659" s="3" t="n">
        <f aca="false">SUM(R2659:T2659)</f>
        <v>0</v>
      </c>
      <c r="X2659" s="22" t="n">
        <v>41794</v>
      </c>
      <c r="Y2659" s="22" t="n">
        <v>41799</v>
      </c>
    </row>
    <row r="2660" customFormat="false" ht="14.25" hidden="false" customHeight="false" outlineLevel="0" collapsed="false">
      <c r="A2660" s="1" t="n">
        <v>2014</v>
      </c>
      <c r="B2660" s="1" t="n">
        <v>1</v>
      </c>
      <c r="C2660" s="2" t="s">
        <v>50</v>
      </c>
      <c r="D2660" s="3" t="s">
        <v>83</v>
      </c>
      <c r="E2660" s="3" t="n">
        <v>1</v>
      </c>
      <c r="F2660" s="1" t="n">
        <f aca="false">Y2660-X2660</f>
        <v>5</v>
      </c>
      <c r="G2660" s="1" t="n">
        <v>5</v>
      </c>
      <c r="H2660" s="3" t="s">
        <v>48</v>
      </c>
      <c r="I2660" s="3" t="s">
        <v>49</v>
      </c>
      <c r="J2660" s="3" t="s">
        <v>104</v>
      </c>
      <c r="K2660" s="2" t="str">
        <f aca="false">CONCATENATE(I2660," ",J2660)</f>
        <v>Alopecosa taeniata</v>
      </c>
      <c r="L2660" s="3" t="n">
        <f aca="false">SUM(P2660:U2660)</f>
        <v>3</v>
      </c>
      <c r="M2660" s="11" t="n">
        <f aca="false">(L2660/(F2660*G2660)*25)*4</f>
        <v>12</v>
      </c>
      <c r="N2660" s="1" t="s">
        <v>30</v>
      </c>
      <c r="O2660" s="1" t="s">
        <v>31</v>
      </c>
      <c r="P2660" s="3" t="n">
        <v>3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f aca="false">SUM(P2660:Q2660)</f>
        <v>3</v>
      </c>
      <c r="W2660" s="3" t="n">
        <f aca="false">SUM(R2660:T2660)</f>
        <v>0</v>
      </c>
      <c r="X2660" s="22" t="n">
        <v>41794</v>
      </c>
      <c r="Y2660" s="22" t="n">
        <v>41799</v>
      </c>
    </row>
    <row r="2661" customFormat="false" ht="14.25" hidden="false" customHeight="false" outlineLevel="0" collapsed="false">
      <c r="A2661" s="1" t="n">
        <v>2014</v>
      </c>
      <c r="B2661" s="1" t="n">
        <v>1</v>
      </c>
      <c r="C2661" s="2" t="s">
        <v>50</v>
      </c>
      <c r="D2661" s="3" t="s">
        <v>83</v>
      </c>
      <c r="E2661" s="3" t="n">
        <v>1</v>
      </c>
      <c r="F2661" s="1" t="n">
        <f aca="false">Y2661-X2661</f>
        <v>5</v>
      </c>
      <c r="G2661" s="1" t="n">
        <v>5</v>
      </c>
      <c r="H2661" s="3" t="s">
        <v>48</v>
      </c>
      <c r="I2661" s="3" t="s">
        <v>49</v>
      </c>
      <c r="J2661" s="3" t="s">
        <v>104</v>
      </c>
      <c r="K2661" s="2" t="str">
        <f aca="false">CONCATENATE(I2661," ",J2661)</f>
        <v>Alopecosa taeniata</v>
      </c>
      <c r="L2661" s="3" t="n">
        <f aca="false">SUM(P2661:U2661)</f>
        <v>1</v>
      </c>
      <c r="M2661" s="11" t="n">
        <f aca="false">(L2661/(F2661*G2661)*25)*4</f>
        <v>4</v>
      </c>
      <c r="N2661" s="1" t="s">
        <v>30</v>
      </c>
      <c r="O2661" s="1" t="s">
        <v>35</v>
      </c>
      <c r="P2661" s="3" t="n">
        <v>0</v>
      </c>
      <c r="Q2661" s="3" t="n">
        <v>1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f aca="false">SUM(P2661:Q2661)</f>
        <v>1</v>
      </c>
      <c r="W2661" s="3" t="n">
        <f aca="false">SUM(R2661:T2661)</f>
        <v>0</v>
      </c>
      <c r="X2661" s="22" t="n">
        <v>41794</v>
      </c>
      <c r="Y2661" s="22" t="n">
        <v>41799</v>
      </c>
    </row>
    <row r="2662" customFormat="false" ht="14.25" hidden="false" customHeight="false" outlineLevel="0" collapsed="false">
      <c r="A2662" s="1" t="n">
        <v>2014</v>
      </c>
      <c r="B2662" s="1" t="n">
        <v>1</v>
      </c>
      <c r="C2662" s="2" t="s">
        <v>50</v>
      </c>
      <c r="D2662" s="3" t="s">
        <v>83</v>
      </c>
      <c r="E2662" s="3" t="n">
        <v>1</v>
      </c>
      <c r="F2662" s="1" t="n">
        <f aca="false">Y2662-X2662</f>
        <v>5</v>
      </c>
      <c r="G2662" s="1" t="n">
        <v>5</v>
      </c>
      <c r="H2662" s="3" t="s">
        <v>48</v>
      </c>
      <c r="I2662" s="3" t="s">
        <v>49</v>
      </c>
      <c r="J2662" s="3" t="s">
        <v>38</v>
      </c>
      <c r="K2662" s="2" t="str">
        <f aca="false">CONCATENATE(I2662," ",J2662)</f>
        <v>Alopecosa sp</v>
      </c>
      <c r="L2662" s="3" t="n">
        <f aca="false">SUM(P2662:U2662)</f>
        <v>1</v>
      </c>
      <c r="M2662" s="11" t="n">
        <f aca="false">(L2662/(F2662*G2662)*25)*4</f>
        <v>4</v>
      </c>
      <c r="N2662" s="1" t="s">
        <v>19</v>
      </c>
      <c r="O2662" s="1" t="s">
        <v>54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1</v>
      </c>
      <c r="U2662" s="3" t="n">
        <v>0</v>
      </c>
      <c r="V2662" s="3" t="n">
        <f aca="false">SUM(P2662:Q2662)</f>
        <v>0</v>
      </c>
      <c r="W2662" s="3" t="n">
        <f aca="false">SUM(R2662:T2662)</f>
        <v>1</v>
      </c>
      <c r="X2662" s="22" t="n">
        <v>41794</v>
      </c>
      <c r="Y2662" s="22" t="n">
        <v>41799</v>
      </c>
    </row>
    <row r="2663" customFormat="false" ht="14.25" hidden="false" customHeight="false" outlineLevel="0" collapsed="false">
      <c r="A2663" s="1" t="n">
        <v>2014</v>
      </c>
      <c r="B2663" s="1" t="n">
        <v>1</v>
      </c>
      <c r="C2663" s="2" t="s">
        <v>50</v>
      </c>
      <c r="D2663" s="3" t="s">
        <v>83</v>
      </c>
      <c r="E2663" s="3" t="n">
        <v>1</v>
      </c>
      <c r="F2663" s="1" t="n">
        <f aca="false">Y2663-X2663</f>
        <v>5</v>
      </c>
      <c r="G2663" s="1" t="n">
        <v>5</v>
      </c>
      <c r="H2663" s="3" t="s">
        <v>144</v>
      </c>
      <c r="I2663" s="3" t="s">
        <v>145</v>
      </c>
      <c r="J2663" s="3" t="s">
        <v>146</v>
      </c>
      <c r="K2663" s="2" t="str">
        <f aca="false">CONCATENATE(I2663," ",J2663)</f>
        <v>Phrurolithus festivus</v>
      </c>
      <c r="L2663" s="3" t="n">
        <f aca="false">SUM(P2663:U2663)</f>
        <v>1</v>
      </c>
      <c r="M2663" s="11" t="n">
        <f aca="false">(L2663/(F2663*G2663)*25)*4</f>
        <v>4</v>
      </c>
      <c r="N2663" s="1" t="s">
        <v>30</v>
      </c>
      <c r="O2663" s="1" t="s">
        <v>31</v>
      </c>
      <c r="P2663" s="3" t="n">
        <v>1</v>
      </c>
      <c r="Q2663" s="3" t="n">
        <v>0</v>
      </c>
      <c r="R2663" s="3" t="n">
        <v>0</v>
      </c>
      <c r="S2663" s="3" t="n">
        <v>0</v>
      </c>
      <c r="T2663" s="3" t="n">
        <v>0</v>
      </c>
      <c r="U2663" s="3" t="n">
        <v>0</v>
      </c>
      <c r="V2663" s="3" t="n">
        <f aca="false">SUM(P2663:Q2663)</f>
        <v>1</v>
      </c>
      <c r="W2663" s="3" t="n">
        <f aca="false">SUM(R2663:T2663)</f>
        <v>0</v>
      </c>
      <c r="X2663" s="22" t="n">
        <v>41794</v>
      </c>
      <c r="Y2663" s="22" t="n">
        <v>41799</v>
      </c>
    </row>
    <row r="2664" customFormat="false" ht="14.25" hidden="false" customHeight="false" outlineLevel="0" collapsed="false">
      <c r="A2664" s="1" t="n">
        <v>2014</v>
      </c>
      <c r="B2664" s="1" t="n">
        <v>1</v>
      </c>
      <c r="C2664" s="2" t="s">
        <v>50</v>
      </c>
      <c r="D2664" s="3" t="s">
        <v>83</v>
      </c>
      <c r="E2664" s="3" t="n">
        <v>1</v>
      </c>
      <c r="F2664" s="1" t="n">
        <f aca="false">Y2664-X2664</f>
        <v>5</v>
      </c>
      <c r="G2664" s="1" t="n">
        <v>5</v>
      </c>
      <c r="H2664" s="3" t="s">
        <v>32</v>
      </c>
      <c r="I2664" s="3" t="s">
        <v>169</v>
      </c>
      <c r="J2664" s="3" t="s">
        <v>170</v>
      </c>
      <c r="K2664" s="2" t="str">
        <f aca="false">CONCATENATE(I2664," ",J2664)</f>
        <v>Abacoproeces saltuum</v>
      </c>
      <c r="L2664" s="3" t="n">
        <f aca="false">SUM(P2664:U2664)</f>
        <v>1</v>
      </c>
      <c r="M2664" s="11" t="n">
        <f aca="false">(L2664/(F2664*G2664)*25)*4</f>
        <v>4</v>
      </c>
      <c r="N2664" s="1" t="s">
        <v>30</v>
      </c>
      <c r="O2664" s="1" t="s">
        <v>31</v>
      </c>
      <c r="P2664" s="3" t="n">
        <v>1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f aca="false">SUM(P2664:Q2664)</f>
        <v>1</v>
      </c>
      <c r="W2664" s="3" t="n">
        <f aca="false">SUM(R2664:T2664)</f>
        <v>0</v>
      </c>
      <c r="X2664" s="22" t="n">
        <v>41794</v>
      </c>
      <c r="Y2664" s="22" t="n">
        <v>41799</v>
      </c>
    </row>
    <row r="2665" customFormat="false" ht="14.25" hidden="false" customHeight="false" outlineLevel="0" collapsed="false">
      <c r="A2665" s="1" t="n">
        <v>2014</v>
      </c>
      <c r="B2665" s="1" t="n">
        <v>1</v>
      </c>
      <c r="C2665" s="2" t="s">
        <v>50</v>
      </c>
      <c r="D2665" s="3" t="s">
        <v>83</v>
      </c>
      <c r="E2665" s="3" t="n">
        <v>1</v>
      </c>
      <c r="F2665" s="1" t="n">
        <f aca="false">Y2665-X2665</f>
        <v>5</v>
      </c>
      <c r="G2665" s="1" t="n">
        <v>5</v>
      </c>
      <c r="H2665" s="3" t="s">
        <v>32</v>
      </c>
      <c r="I2665" s="3" t="s">
        <v>169</v>
      </c>
      <c r="J2665" s="3" t="s">
        <v>170</v>
      </c>
      <c r="K2665" s="2" t="str">
        <f aca="false">CONCATENATE(I2665," ",J2665)</f>
        <v>Abacoproeces saltuum</v>
      </c>
      <c r="L2665" s="3" t="n">
        <f aca="false">SUM(P2665:U2665)</f>
        <v>1</v>
      </c>
      <c r="M2665" s="11" t="n">
        <f aca="false">(L2665/(F2665*G2665)*25)*4</f>
        <v>4</v>
      </c>
      <c r="N2665" s="1" t="s">
        <v>30</v>
      </c>
      <c r="O2665" s="1" t="s">
        <v>35</v>
      </c>
      <c r="P2665" s="3" t="n">
        <v>0</v>
      </c>
      <c r="Q2665" s="3" t="n">
        <v>1</v>
      </c>
      <c r="R2665" s="3" t="n">
        <v>0</v>
      </c>
      <c r="S2665" s="3" t="n">
        <v>0</v>
      </c>
      <c r="T2665" s="3" t="n">
        <v>0</v>
      </c>
      <c r="U2665" s="3" t="n">
        <v>0</v>
      </c>
      <c r="V2665" s="3" t="n">
        <f aca="false">SUM(P2665:Q2665)</f>
        <v>1</v>
      </c>
      <c r="W2665" s="3" t="n">
        <f aca="false">SUM(R2665:T2665)</f>
        <v>0</v>
      </c>
      <c r="X2665" s="22" t="n">
        <v>41794</v>
      </c>
      <c r="Y2665" s="22" t="n">
        <v>41799</v>
      </c>
    </row>
    <row r="2666" customFormat="false" ht="14.25" hidden="false" customHeight="false" outlineLevel="0" collapsed="false">
      <c r="A2666" s="1" t="n">
        <v>2014</v>
      </c>
      <c r="B2666" s="1" t="n">
        <v>1</v>
      </c>
      <c r="C2666" s="2" t="s">
        <v>50</v>
      </c>
      <c r="D2666" s="3" t="s">
        <v>83</v>
      </c>
      <c r="E2666" s="3" t="n">
        <v>1</v>
      </c>
      <c r="F2666" s="1" t="n">
        <f aca="false">Y2666-X2666</f>
        <v>5</v>
      </c>
      <c r="G2666" s="1" t="n">
        <v>5</v>
      </c>
      <c r="H2666" s="3" t="s">
        <v>48</v>
      </c>
      <c r="I2666" s="3" t="s">
        <v>61</v>
      </c>
      <c r="J2666" s="3" t="s">
        <v>82</v>
      </c>
      <c r="K2666" s="2" t="str">
        <f aca="false">CONCATENATE(I2666," ",J2666)</f>
        <v>Trochosa terricola</v>
      </c>
      <c r="L2666" s="3" t="n">
        <f aca="false">SUM(P2666:U2666)</f>
        <v>1</v>
      </c>
      <c r="M2666" s="11" t="n">
        <f aca="false">(L2666/(F2666*G2666)*25)*4</f>
        <v>4</v>
      </c>
      <c r="N2666" s="1" t="s">
        <v>30</v>
      </c>
      <c r="O2666" s="1" t="s">
        <v>35</v>
      </c>
      <c r="P2666" s="3" t="n">
        <v>0</v>
      </c>
      <c r="Q2666" s="3" t="n">
        <v>1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f aca="false">SUM(P2666:Q2666)</f>
        <v>1</v>
      </c>
      <c r="W2666" s="3" t="n">
        <f aca="false">SUM(R2666:T2666)</f>
        <v>0</v>
      </c>
      <c r="X2666" s="22" t="n">
        <v>41794</v>
      </c>
      <c r="Y2666" s="22" t="n">
        <v>41799</v>
      </c>
    </row>
    <row r="2667" customFormat="false" ht="14.25" hidden="false" customHeight="false" outlineLevel="0" collapsed="false">
      <c r="A2667" s="1" t="n">
        <v>2014</v>
      </c>
      <c r="B2667" s="1" t="n">
        <v>1</v>
      </c>
      <c r="C2667" s="2" t="s">
        <v>50</v>
      </c>
      <c r="D2667" s="3" t="s">
        <v>83</v>
      </c>
      <c r="E2667" s="3" t="n">
        <v>1</v>
      </c>
      <c r="F2667" s="1" t="n">
        <f aca="false">Y2667-X2667</f>
        <v>5</v>
      </c>
      <c r="G2667" s="1" t="n">
        <v>5</v>
      </c>
      <c r="H2667" s="3" t="s">
        <v>48</v>
      </c>
      <c r="I2667" s="3" t="s">
        <v>67</v>
      </c>
      <c r="J2667" s="3" t="s">
        <v>127</v>
      </c>
      <c r="K2667" s="2" t="str">
        <f aca="false">CONCATENATE(I2667," ",J2667)</f>
        <v>Pardosa lugubris</v>
      </c>
      <c r="L2667" s="3" t="n">
        <f aca="false">SUM(P2667:U2667)</f>
        <v>2</v>
      </c>
      <c r="M2667" s="11" t="n">
        <f aca="false">(L2667/(F2667*G2667)*25)*4</f>
        <v>8</v>
      </c>
      <c r="N2667" s="1" t="s">
        <v>30</v>
      </c>
      <c r="O2667" s="1" t="s">
        <v>31</v>
      </c>
      <c r="P2667" s="3" t="n">
        <v>2</v>
      </c>
      <c r="Q2667" s="3" t="n">
        <v>0</v>
      </c>
      <c r="R2667" s="3" t="n">
        <v>0</v>
      </c>
      <c r="S2667" s="3" t="n">
        <v>0</v>
      </c>
      <c r="T2667" s="3" t="n">
        <v>0</v>
      </c>
      <c r="U2667" s="3" t="n">
        <v>0</v>
      </c>
      <c r="V2667" s="3" t="n">
        <f aca="false">SUM(P2667:Q2667)</f>
        <v>2</v>
      </c>
      <c r="W2667" s="3" t="n">
        <f aca="false">SUM(R2667:T2667)</f>
        <v>0</v>
      </c>
      <c r="X2667" s="22" t="n">
        <v>41794</v>
      </c>
      <c r="Y2667" s="22" t="n">
        <v>41799</v>
      </c>
    </row>
    <row r="2668" customFormat="false" ht="14.25" hidden="false" customHeight="false" outlineLevel="0" collapsed="false">
      <c r="A2668" s="1" t="n">
        <v>2014</v>
      </c>
      <c r="B2668" s="1" t="n">
        <v>1</v>
      </c>
      <c r="C2668" s="2" t="s">
        <v>50</v>
      </c>
      <c r="D2668" s="3" t="s">
        <v>83</v>
      </c>
      <c r="E2668" s="3" t="n">
        <v>1</v>
      </c>
      <c r="F2668" s="1" t="n">
        <f aca="false">Y2668-X2668</f>
        <v>5</v>
      </c>
      <c r="G2668" s="1" t="n">
        <v>5</v>
      </c>
      <c r="H2668" s="3" t="s">
        <v>48</v>
      </c>
      <c r="I2668" s="3" t="s">
        <v>67</v>
      </c>
      <c r="J2668" s="3" t="s">
        <v>127</v>
      </c>
      <c r="K2668" s="2" t="str">
        <f aca="false">CONCATENATE(I2668," ",J2668)</f>
        <v>Pardosa lugubris</v>
      </c>
      <c r="L2668" s="3" t="n">
        <f aca="false">SUM(P2668:U2668)</f>
        <v>1</v>
      </c>
      <c r="M2668" s="11" t="n">
        <f aca="false">(L2668/(F2668*G2668)*25)*4</f>
        <v>4</v>
      </c>
      <c r="N2668" s="1" t="s">
        <v>30</v>
      </c>
      <c r="O2668" s="1" t="s">
        <v>35</v>
      </c>
      <c r="P2668" s="3" t="n">
        <v>0</v>
      </c>
      <c r="Q2668" s="3" t="n">
        <v>1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f aca="false">SUM(P2668:Q2668)</f>
        <v>1</v>
      </c>
      <c r="W2668" s="3" t="n">
        <f aca="false">SUM(R2668:T2668)</f>
        <v>0</v>
      </c>
      <c r="X2668" s="22" t="n">
        <v>41794</v>
      </c>
      <c r="Y2668" s="22" t="n">
        <v>41799</v>
      </c>
    </row>
    <row r="2669" customFormat="false" ht="14.25" hidden="false" customHeight="false" outlineLevel="0" collapsed="false">
      <c r="A2669" s="1" t="n">
        <v>2014</v>
      </c>
      <c r="B2669" s="1" t="n">
        <v>1</v>
      </c>
      <c r="C2669" s="2" t="s">
        <v>50</v>
      </c>
      <c r="D2669" s="3" t="s">
        <v>83</v>
      </c>
      <c r="E2669" s="3" t="n">
        <v>1</v>
      </c>
      <c r="F2669" s="1" t="n">
        <f aca="false">Y2669-X2669</f>
        <v>5</v>
      </c>
      <c r="G2669" s="1" t="n">
        <v>5</v>
      </c>
      <c r="H2669" s="3" t="s">
        <v>48</v>
      </c>
      <c r="I2669" s="3" t="s">
        <v>49</v>
      </c>
      <c r="J2669" s="3" t="s">
        <v>104</v>
      </c>
      <c r="K2669" s="2" t="str">
        <f aca="false">CONCATENATE(I2669," ",J2669)</f>
        <v>Alopecosa taeniata</v>
      </c>
      <c r="L2669" s="3" t="n">
        <f aca="false">SUM(P2669:U2669)</f>
        <v>2</v>
      </c>
      <c r="M2669" s="11" t="n">
        <f aca="false">(L2669/(F2669*G2669)*25)*4</f>
        <v>8</v>
      </c>
      <c r="N2669" s="1" t="s">
        <v>30</v>
      </c>
      <c r="O2669" s="1" t="s">
        <v>31</v>
      </c>
      <c r="P2669" s="3" t="n">
        <v>2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f aca="false">SUM(P2669:Q2669)</f>
        <v>2</v>
      </c>
      <c r="W2669" s="3" t="n">
        <f aca="false">SUM(R2669:T2669)</f>
        <v>0</v>
      </c>
      <c r="X2669" s="22" t="n">
        <v>41794</v>
      </c>
      <c r="Y2669" s="22" t="n">
        <v>41799</v>
      </c>
    </row>
    <row r="2670" customFormat="false" ht="14.25" hidden="false" customHeight="false" outlineLevel="0" collapsed="false">
      <c r="A2670" s="1" t="n">
        <v>2014</v>
      </c>
      <c r="B2670" s="1" t="n">
        <v>1</v>
      </c>
      <c r="C2670" s="2" t="s">
        <v>50</v>
      </c>
      <c r="D2670" s="3" t="s">
        <v>83</v>
      </c>
      <c r="E2670" s="3" t="n">
        <v>1</v>
      </c>
      <c r="F2670" s="1" t="n">
        <f aca="false">Y2670-X2670</f>
        <v>5</v>
      </c>
      <c r="G2670" s="1" t="n">
        <v>5</v>
      </c>
      <c r="H2670" s="3" t="s">
        <v>48</v>
      </c>
      <c r="I2670" s="3" t="s">
        <v>49</v>
      </c>
      <c r="J2670" s="3" t="s">
        <v>223</v>
      </c>
      <c r="K2670" s="2" t="str">
        <f aca="false">CONCATENATE(I2670," ",J2670)</f>
        <v>Alopecosa pulverulenta</v>
      </c>
      <c r="L2670" s="3" t="n">
        <f aca="false">SUM(P2670:U2670)</f>
        <v>1</v>
      </c>
      <c r="M2670" s="11" t="n">
        <f aca="false">(L2670/(F2670*G2670)*25)*4</f>
        <v>4</v>
      </c>
      <c r="N2670" s="1" t="s">
        <v>30</v>
      </c>
      <c r="O2670" s="1" t="s">
        <v>31</v>
      </c>
      <c r="P2670" s="3" t="n">
        <v>1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f aca="false">SUM(P2670:Q2670)</f>
        <v>1</v>
      </c>
      <c r="W2670" s="3" t="n">
        <f aca="false">SUM(R2670:T2670)</f>
        <v>0</v>
      </c>
      <c r="X2670" s="22" t="n">
        <v>41794</v>
      </c>
      <c r="Y2670" s="22" t="n">
        <v>41799</v>
      </c>
    </row>
    <row r="2671" customFormat="false" ht="14.25" hidden="false" customHeight="false" outlineLevel="0" collapsed="false">
      <c r="A2671" s="1" t="n">
        <v>2014</v>
      </c>
      <c r="B2671" s="1" t="n">
        <v>1</v>
      </c>
      <c r="C2671" s="2" t="s">
        <v>50</v>
      </c>
      <c r="D2671" s="3" t="s">
        <v>83</v>
      </c>
      <c r="E2671" s="3" t="n">
        <v>1</v>
      </c>
      <c r="F2671" s="1" t="n">
        <f aca="false">Y2671-X2671</f>
        <v>5</v>
      </c>
      <c r="G2671" s="1" t="n">
        <v>5</v>
      </c>
      <c r="H2671" s="3" t="s">
        <v>72</v>
      </c>
      <c r="I2671" s="3" t="s">
        <v>73</v>
      </c>
      <c r="J2671" s="3" t="s">
        <v>38</v>
      </c>
      <c r="K2671" s="2" t="str">
        <f aca="false">CONCATENATE(I2671," ",J2671)</f>
        <v>Zelotes sp</v>
      </c>
      <c r="L2671" s="3" t="n">
        <f aca="false">SUM(P2671:U2671)</f>
        <v>1</v>
      </c>
      <c r="M2671" s="11" t="n">
        <f aca="false">(L2671/(F2671*G2671)*25)*4</f>
        <v>4</v>
      </c>
      <c r="N2671" s="1" t="s">
        <v>19</v>
      </c>
      <c r="O2671" s="1" t="s">
        <v>31</v>
      </c>
      <c r="P2671" s="3" t="n">
        <v>0</v>
      </c>
      <c r="Q2671" s="3" t="n">
        <v>0</v>
      </c>
      <c r="R2671" s="3" t="n">
        <v>1</v>
      </c>
      <c r="S2671" s="3" t="n">
        <v>0</v>
      </c>
      <c r="T2671" s="3" t="n">
        <v>0</v>
      </c>
      <c r="U2671" s="3" t="n">
        <v>0</v>
      </c>
      <c r="V2671" s="3" t="n">
        <f aca="false">SUM(P2671:Q2671)</f>
        <v>0</v>
      </c>
      <c r="W2671" s="3" t="n">
        <f aca="false">SUM(R2671:T2671)</f>
        <v>1</v>
      </c>
      <c r="X2671" s="22" t="n">
        <v>41794</v>
      </c>
      <c r="Y2671" s="22" t="n">
        <v>41799</v>
      </c>
    </row>
    <row r="2672" customFormat="false" ht="14.25" hidden="false" customHeight="false" outlineLevel="0" collapsed="false">
      <c r="A2672" s="1" t="n">
        <v>2014</v>
      </c>
      <c r="B2672" s="1" t="n">
        <v>1</v>
      </c>
      <c r="C2672" s="2" t="s">
        <v>50</v>
      </c>
      <c r="D2672" s="3" t="s">
        <v>83</v>
      </c>
      <c r="E2672" s="3" t="n">
        <v>1</v>
      </c>
      <c r="F2672" s="1" t="n">
        <f aca="false">Y2672-X2672</f>
        <v>5</v>
      </c>
      <c r="G2672" s="1" t="n">
        <v>5</v>
      </c>
      <c r="H2672" s="3" t="s">
        <v>48</v>
      </c>
      <c r="I2672" s="3" t="s">
        <v>61</v>
      </c>
      <c r="J2672" s="3" t="s">
        <v>38</v>
      </c>
      <c r="K2672" s="2" t="str">
        <f aca="false">CONCATENATE(I2672," ",J2672)</f>
        <v>Trochosa sp</v>
      </c>
      <c r="L2672" s="3" t="n">
        <f aca="false">SUM(P2672:U2672)</f>
        <v>1</v>
      </c>
      <c r="M2672" s="11" t="n">
        <f aca="false">(L2672/(F2672*G2672)*25)*4</f>
        <v>4</v>
      </c>
      <c r="N2672" s="1" t="s">
        <v>19</v>
      </c>
      <c r="O2672" s="1" t="s">
        <v>54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1</v>
      </c>
      <c r="U2672" s="3" t="n">
        <v>0</v>
      </c>
      <c r="V2672" s="3" t="n">
        <f aca="false">SUM(P2672:Q2672)</f>
        <v>0</v>
      </c>
      <c r="W2672" s="3" t="n">
        <f aca="false">SUM(R2672:T2672)</f>
        <v>1</v>
      </c>
      <c r="X2672" s="22" t="n">
        <v>41794</v>
      </c>
      <c r="Y2672" s="22" t="n">
        <v>41799</v>
      </c>
    </row>
    <row r="2673" customFormat="false" ht="14.25" hidden="false" customHeight="false" outlineLevel="0" collapsed="false">
      <c r="A2673" s="1" t="n">
        <v>2014</v>
      </c>
      <c r="B2673" s="1" t="n">
        <v>1</v>
      </c>
      <c r="C2673" s="2" t="s">
        <v>50</v>
      </c>
      <c r="D2673" s="3" t="s">
        <v>83</v>
      </c>
      <c r="E2673" s="3" t="n">
        <v>1</v>
      </c>
      <c r="F2673" s="1" t="n">
        <f aca="false">Y2673-X2673</f>
        <v>5</v>
      </c>
      <c r="G2673" s="1" t="n">
        <v>5</v>
      </c>
      <c r="H2673" s="3" t="s">
        <v>32</v>
      </c>
      <c r="I2673" s="3" t="s">
        <v>169</v>
      </c>
      <c r="J2673" s="3" t="s">
        <v>170</v>
      </c>
      <c r="K2673" s="2" t="str">
        <f aca="false">CONCATENATE(I2673," ",J2673)</f>
        <v>Abacoproeces saltuum</v>
      </c>
      <c r="L2673" s="3" t="n">
        <f aca="false">SUM(P2673:U2673)</f>
        <v>1</v>
      </c>
      <c r="M2673" s="11" t="n">
        <f aca="false">(L2673/(F2673*G2673)*25)*4</f>
        <v>4</v>
      </c>
      <c r="N2673" s="1" t="s">
        <v>30</v>
      </c>
      <c r="O2673" s="1" t="s">
        <v>35</v>
      </c>
      <c r="P2673" s="3" t="n">
        <v>0</v>
      </c>
      <c r="Q2673" s="3" t="n">
        <v>1</v>
      </c>
      <c r="R2673" s="3" t="n">
        <v>0</v>
      </c>
      <c r="S2673" s="3" t="n">
        <v>0</v>
      </c>
      <c r="T2673" s="3" t="n">
        <v>0</v>
      </c>
      <c r="U2673" s="3" t="n">
        <v>0</v>
      </c>
      <c r="V2673" s="3" t="n">
        <f aca="false">SUM(P2673:Q2673)</f>
        <v>1</v>
      </c>
      <c r="W2673" s="3" t="n">
        <f aca="false">SUM(R2673:T2673)</f>
        <v>0</v>
      </c>
      <c r="X2673" s="22" t="n">
        <v>41794</v>
      </c>
      <c r="Y2673" s="22" t="n">
        <v>41799</v>
      </c>
    </row>
    <row r="2674" customFormat="false" ht="14.25" hidden="false" customHeight="false" outlineLevel="0" collapsed="false">
      <c r="A2674" s="1" t="n">
        <v>2014</v>
      </c>
      <c r="B2674" s="1" t="n">
        <v>1</v>
      </c>
      <c r="C2674" s="2" t="s">
        <v>50</v>
      </c>
      <c r="D2674" s="3" t="s">
        <v>83</v>
      </c>
      <c r="E2674" s="3" t="n">
        <v>2</v>
      </c>
      <c r="F2674" s="1" t="n">
        <f aca="false">Y2674-X2674</f>
        <v>5</v>
      </c>
      <c r="G2674" s="1" t="n">
        <v>5</v>
      </c>
      <c r="H2674" s="3" t="s">
        <v>48</v>
      </c>
      <c r="I2674" s="3" t="s">
        <v>67</v>
      </c>
      <c r="J2674" s="3" t="s">
        <v>127</v>
      </c>
      <c r="K2674" s="2" t="str">
        <f aca="false">CONCATENATE(I2674," ",J2674)</f>
        <v>Pardosa lugubris</v>
      </c>
      <c r="L2674" s="3" t="n">
        <f aca="false">SUM(P2674:U2674)</f>
        <v>10</v>
      </c>
      <c r="M2674" s="11" t="n">
        <f aca="false">(L2674/(F2674*G2674)*25)*4</f>
        <v>40</v>
      </c>
      <c r="N2674" s="1" t="s">
        <v>30</v>
      </c>
      <c r="O2674" s="1" t="s">
        <v>31</v>
      </c>
      <c r="P2674" s="3" t="n">
        <v>10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f aca="false">SUM(P2674:Q2674)</f>
        <v>10</v>
      </c>
      <c r="W2674" s="3" t="n">
        <f aca="false">SUM(R2674:T2674)</f>
        <v>0</v>
      </c>
      <c r="X2674" s="22" t="n">
        <v>41794</v>
      </c>
      <c r="Y2674" s="22" t="n">
        <v>41799</v>
      </c>
    </row>
    <row r="2675" customFormat="false" ht="14.25" hidden="false" customHeight="false" outlineLevel="0" collapsed="false">
      <c r="A2675" s="1" t="n">
        <v>2014</v>
      </c>
      <c r="B2675" s="1" t="n">
        <v>1</v>
      </c>
      <c r="C2675" s="2" t="s">
        <v>50</v>
      </c>
      <c r="D2675" s="3" t="s">
        <v>83</v>
      </c>
      <c r="E2675" s="3" t="n">
        <v>2</v>
      </c>
      <c r="F2675" s="1" t="n">
        <f aca="false">Y2675-X2675</f>
        <v>5</v>
      </c>
      <c r="G2675" s="1" t="n">
        <v>5</v>
      </c>
      <c r="H2675" s="3" t="s">
        <v>48</v>
      </c>
      <c r="I2675" s="3" t="s">
        <v>49</v>
      </c>
      <c r="J2675" s="3" t="s">
        <v>38</v>
      </c>
      <c r="K2675" s="2" t="str">
        <f aca="false">CONCATENATE(I2675," ",J2675)</f>
        <v>Alopecosa sp</v>
      </c>
      <c r="L2675" s="3" t="n">
        <f aca="false">SUM(P2675:U2675)</f>
        <v>1</v>
      </c>
      <c r="M2675" s="11" t="n">
        <f aca="false">(L2675/(F2675*G2675)*25)*4</f>
        <v>4</v>
      </c>
      <c r="N2675" s="1" t="s">
        <v>19</v>
      </c>
      <c r="O2675" s="1" t="s">
        <v>54</v>
      </c>
      <c r="P2675" s="3" t="n">
        <v>0</v>
      </c>
      <c r="Q2675" s="3" t="n">
        <v>0</v>
      </c>
      <c r="R2675" s="3" t="n">
        <v>0</v>
      </c>
      <c r="S2675" s="3" t="n">
        <v>0</v>
      </c>
      <c r="T2675" s="3" t="n">
        <v>1</v>
      </c>
      <c r="U2675" s="3" t="n">
        <v>0</v>
      </c>
      <c r="V2675" s="3" t="n">
        <f aca="false">SUM(P2675:Q2675)</f>
        <v>0</v>
      </c>
      <c r="W2675" s="3" t="n">
        <f aca="false">SUM(R2675:T2675)</f>
        <v>1</v>
      </c>
      <c r="X2675" s="22" t="n">
        <v>41794</v>
      </c>
      <c r="Y2675" s="22" t="n">
        <v>41799</v>
      </c>
    </row>
    <row r="2676" customFormat="false" ht="14.25" hidden="false" customHeight="false" outlineLevel="0" collapsed="false">
      <c r="A2676" s="1" t="n">
        <v>2014</v>
      </c>
      <c r="B2676" s="1" t="n">
        <v>1</v>
      </c>
      <c r="C2676" s="2" t="s">
        <v>50</v>
      </c>
      <c r="D2676" s="3" t="s">
        <v>83</v>
      </c>
      <c r="E2676" s="3" t="n">
        <v>2</v>
      </c>
      <c r="F2676" s="1" t="n">
        <f aca="false">Y2676-X2676</f>
        <v>5</v>
      </c>
      <c r="G2676" s="1" t="n">
        <v>5</v>
      </c>
      <c r="H2676" s="3" t="s">
        <v>36</v>
      </c>
      <c r="I2676" s="3" t="s">
        <v>131</v>
      </c>
      <c r="J2676" s="3" t="s">
        <v>133</v>
      </c>
      <c r="K2676" s="2" t="str">
        <f aca="false">CONCATENATE(I2676," ",J2676)</f>
        <v>Xysticus luctuosus</v>
      </c>
      <c r="L2676" s="3" t="n">
        <f aca="false">SUM(P2676:U2676)</f>
        <v>2</v>
      </c>
      <c r="M2676" s="11" t="n">
        <f aca="false">(L2676/(F2676*G2676)*25)*4</f>
        <v>8</v>
      </c>
      <c r="N2676" s="1" t="s">
        <v>30</v>
      </c>
      <c r="O2676" s="1" t="s">
        <v>31</v>
      </c>
      <c r="P2676" s="3" t="n">
        <v>2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f aca="false">SUM(P2676:Q2676)</f>
        <v>2</v>
      </c>
      <c r="W2676" s="3" t="n">
        <f aca="false">SUM(R2676:T2676)</f>
        <v>0</v>
      </c>
      <c r="X2676" s="22" t="n">
        <v>41794</v>
      </c>
      <c r="Y2676" s="22" t="n">
        <v>41799</v>
      </c>
    </row>
    <row r="2677" customFormat="false" ht="14.25" hidden="false" customHeight="false" outlineLevel="0" collapsed="false">
      <c r="A2677" s="1" t="n">
        <v>2014</v>
      </c>
      <c r="B2677" s="1" t="n">
        <v>1</v>
      </c>
      <c r="C2677" s="2" t="s">
        <v>50</v>
      </c>
      <c r="D2677" s="3" t="s">
        <v>83</v>
      </c>
      <c r="E2677" s="3" t="n">
        <v>2</v>
      </c>
      <c r="F2677" s="1" t="n">
        <f aca="false">Y2677-X2677</f>
        <v>5</v>
      </c>
      <c r="G2677" s="1" t="n">
        <v>5</v>
      </c>
      <c r="H2677" s="3" t="s">
        <v>36</v>
      </c>
      <c r="I2677" s="3" t="s">
        <v>37</v>
      </c>
      <c r="J2677" s="3" t="s">
        <v>75</v>
      </c>
      <c r="K2677" s="2" t="str">
        <f aca="false">CONCATENATE(I2677," ",J2677)</f>
        <v>Ozyptila praticola</v>
      </c>
      <c r="L2677" s="3" t="n">
        <f aca="false">SUM(P2677:U2677)</f>
        <v>3</v>
      </c>
      <c r="M2677" s="11" t="n">
        <f aca="false">(L2677/(F2677*G2677)*25)*4</f>
        <v>12</v>
      </c>
      <c r="N2677" s="1" t="s">
        <v>30</v>
      </c>
      <c r="O2677" s="1" t="s">
        <v>31</v>
      </c>
      <c r="P2677" s="3" t="n">
        <v>3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f aca="false">SUM(P2677:Q2677)</f>
        <v>3</v>
      </c>
      <c r="W2677" s="3" t="n">
        <f aca="false">SUM(R2677:T2677)</f>
        <v>0</v>
      </c>
      <c r="X2677" s="22" t="n">
        <v>41794</v>
      </c>
      <c r="Y2677" s="22" t="n">
        <v>41799</v>
      </c>
    </row>
    <row r="2678" customFormat="false" ht="14.25" hidden="false" customHeight="false" outlineLevel="0" collapsed="false">
      <c r="A2678" s="1" t="n">
        <v>2014</v>
      </c>
      <c r="B2678" s="1" t="n">
        <v>1</v>
      </c>
      <c r="C2678" s="2" t="s">
        <v>50</v>
      </c>
      <c r="D2678" s="3" t="s">
        <v>83</v>
      </c>
      <c r="E2678" s="3" t="n">
        <v>2</v>
      </c>
      <c r="F2678" s="1" t="n">
        <f aca="false">Y2678-X2678</f>
        <v>5</v>
      </c>
      <c r="G2678" s="1" t="n">
        <v>5</v>
      </c>
      <c r="H2678" s="3" t="s">
        <v>36</v>
      </c>
      <c r="I2678" s="3" t="s">
        <v>37</v>
      </c>
      <c r="J2678" s="3" t="s">
        <v>75</v>
      </c>
      <c r="K2678" s="2" t="str">
        <f aca="false">CONCATENATE(I2678," ",J2678)</f>
        <v>Ozyptila praticola</v>
      </c>
      <c r="L2678" s="3" t="n">
        <f aca="false">SUM(P2678:U2678)</f>
        <v>1</v>
      </c>
      <c r="M2678" s="11" t="n">
        <f aca="false">(L2678/(F2678*G2678)*25)*4</f>
        <v>4</v>
      </c>
      <c r="N2678" s="1" t="s">
        <v>30</v>
      </c>
      <c r="O2678" s="1" t="s">
        <v>35</v>
      </c>
      <c r="P2678" s="3" t="n">
        <v>0</v>
      </c>
      <c r="Q2678" s="3" t="n">
        <v>1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f aca="false">SUM(P2678:Q2678)</f>
        <v>1</v>
      </c>
      <c r="W2678" s="3" t="n">
        <f aca="false">SUM(R2678:T2678)</f>
        <v>0</v>
      </c>
      <c r="X2678" s="22" t="n">
        <v>41794</v>
      </c>
      <c r="Y2678" s="22" t="n">
        <v>41799</v>
      </c>
    </row>
    <row r="2679" customFormat="false" ht="14.25" hidden="false" customHeight="false" outlineLevel="0" collapsed="false">
      <c r="A2679" s="1" t="n">
        <v>2014</v>
      </c>
      <c r="B2679" s="1" t="n">
        <v>1</v>
      </c>
      <c r="C2679" s="2" t="s">
        <v>50</v>
      </c>
      <c r="D2679" s="3" t="s">
        <v>83</v>
      </c>
      <c r="E2679" s="3" t="n">
        <v>2</v>
      </c>
      <c r="F2679" s="1" t="n">
        <f aca="false">Y2679-X2679</f>
        <v>5</v>
      </c>
      <c r="G2679" s="1" t="n">
        <v>5</v>
      </c>
      <c r="H2679" s="3" t="s">
        <v>226</v>
      </c>
      <c r="I2679" s="3" t="s">
        <v>65</v>
      </c>
      <c r="J2679" s="3" t="s">
        <v>66</v>
      </c>
      <c r="K2679" s="2" t="str">
        <f aca="false">CONCATENATE(I2679," ",J2679)</f>
        <v>Zora Spinimana</v>
      </c>
      <c r="L2679" s="3" t="n">
        <f aca="false">SUM(P2679:U2679)</f>
        <v>1</v>
      </c>
      <c r="M2679" s="11" t="n">
        <f aca="false">(L2679/(F2679*G2679)*25)*4</f>
        <v>4</v>
      </c>
      <c r="N2679" s="1" t="s">
        <v>30</v>
      </c>
      <c r="O2679" s="1" t="s">
        <v>31</v>
      </c>
      <c r="P2679" s="3" t="n">
        <v>1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f aca="false">SUM(P2679:Q2679)</f>
        <v>1</v>
      </c>
      <c r="W2679" s="3" t="n">
        <f aca="false">SUM(R2679:T2679)</f>
        <v>0</v>
      </c>
      <c r="X2679" s="22" t="n">
        <v>41794</v>
      </c>
      <c r="Y2679" s="22" t="n">
        <v>41799</v>
      </c>
    </row>
    <row r="2680" customFormat="false" ht="14.25" hidden="false" customHeight="false" outlineLevel="0" collapsed="false">
      <c r="A2680" s="1" t="n">
        <v>2014</v>
      </c>
      <c r="B2680" s="1" t="n">
        <v>1</v>
      </c>
      <c r="C2680" s="2" t="s">
        <v>50</v>
      </c>
      <c r="D2680" s="3" t="s">
        <v>83</v>
      </c>
      <c r="E2680" s="3" t="n">
        <v>2</v>
      </c>
      <c r="F2680" s="1" t="n">
        <f aca="false">Y2680-X2680</f>
        <v>5</v>
      </c>
      <c r="G2680" s="1" t="n">
        <v>5</v>
      </c>
      <c r="H2680" s="3" t="s">
        <v>72</v>
      </c>
      <c r="I2680" s="3" t="s">
        <v>73</v>
      </c>
      <c r="J2680" s="3" t="s">
        <v>38</v>
      </c>
      <c r="K2680" s="2" t="str">
        <f aca="false">CONCATENATE(I2680," ",J2680)</f>
        <v>Zelotes sp</v>
      </c>
      <c r="L2680" s="3" t="n">
        <f aca="false">SUM(P2680:U2680)</f>
        <v>1</v>
      </c>
      <c r="M2680" s="11" t="n">
        <f aca="false">(L2680/(F2680*G2680)*25)*4</f>
        <v>4</v>
      </c>
      <c r="N2680" s="1" t="s">
        <v>19</v>
      </c>
      <c r="O2680" s="1" t="s">
        <v>35</v>
      </c>
      <c r="P2680" s="3" t="n">
        <v>0</v>
      </c>
      <c r="Q2680" s="3" t="n">
        <v>0</v>
      </c>
      <c r="R2680" s="3" t="n">
        <v>0</v>
      </c>
      <c r="S2680" s="3" t="n">
        <v>1</v>
      </c>
      <c r="T2680" s="3" t="n">
        <v>0</v>
      </c>
      <c r="U2680" s="3" t="n">
        <v>0</v>
      </c>
      <c r="V2680" s="3" t="n">
        <f aca="false">SUM(P2680:Q2680)</f>
        <v>0</v>
      </c>
      <c r="W2680" s="3" t="n">
        <f aca="false">SUM(R2680:T2680)</f>
        <v>1</v>
      </c>
      <c r="X2680" s="22" t="n">
        <v>41794</v>
      </c>
      <c r="Y2680" s="22" t="n">
        <v>41799</v>
      </c>
    </row>
    <row r="2681" customFormat="false" ht="14.25" hidden="false" customHeight="false" outlineLevel="0" collapsed="false">
      <c r="A2681" s="1" t="n">
        <v>2014</v>
      </c>
      <c r="B2681" s="1" t="n">
        <v>1</v>
      </c>
      <c r="C2681" s="2" t="s">
        <v>50</v>
      </c>
      <c r="D2681" s="3" t="s">
        <v>83</v>
      </c>
      <c r="E2681" s="3" t="n">
        <v>2</v>
      </c>
      <c r="F2681" s="1" t="n">
        <f aca="false">Y2681-X2681</f>
        <v>5</v>
      </c>
      <c r="G2681" s="1" t="n">
        <v>5</v>
      </c>
      <c r="H2681" s="3" t="s">
        <v>48</v>
      </c>
      <c r="I2681" s="3" t="s">
        <v>61</v>
      </c>
      <c r="J2681" s="3" t="s">
        <v>38</v>
      </c>
      <c r="K2681" s="2" t="str">
        <f aca="false">CONCATENATE(I2681," ",J2681)</f>
        <v>Trochosa sp</v>
      </c>
      <c r="L2681" s="3" t="n">
        <f aca="false">SUM(P2681:U2681)</f>
        <v>1</v>
      </c>
      <c r="M2681" s="11" t="n">
        <f aca="false">(L2681/(F2681*G2681)*25)*4</f>
        <v>4</v>
      </c>
      <c r="N2681" s="1" t="s">
        <v>19</v>
      </c>
      <c r="O2681" s="1" t="s">
        <v>54</v>
      </c>
      <c r="P2681" s="3" t="n">
        <v>0</v>
      </c>
      <c r="Q2681" s="3" t="n">
        <v>0</v>
      </c>
      <c r="R2681" s="3" t="n">
        <v>0</v>
      </c>
      <c r="S2681" s="3" t="n">
        <v>0</v>
      </c>
      <c r="T2681" s="3" t="n">
        <v>1</v>
      </c>
      <c r="U2681" s="3" t="n">
        <v>0</v>
      </c>
      <c r="V2681" s="3" t="n">
        <f aca="false">SUM(P2681:Q2681)</f>
        <v>0</v>
      </c>
      <c r="W2681" s="3" t="n">
        <f aca="false">SUM(R2681:T2681)</f>
        <v>1</v>
      </c>
      <c r="X2681" s="22" t="n">
        <v>41794</v>
      </c>
      <c r="Y2681" s="22" t="n">
        <v>41799</v>
      </c>
    </row>
    <row r="2682" customFormat="false" ht="14.25" hidden="false" customHeight="false" outlineLevel="0" collapsed="false">
      <c r="A2682" s="1" t="n">
        <v>2014</v>
      </c>
      <c r="B2682" s="1" t="n">
        <v>1</v>
      </c>
      <c r="C2682" s="2" t="s">
        <v>50</v>
      </c>
      <c r="D2682" s="3" t="s">
        <v>83</v>
      </c>
      <c r="E2682" s="3" t="n">
        <v>2</v>
      </c>
      <c r="F2682" s="1" t="n">
        <f aca="false">Y2682-X2682</f>
        <v>5</v>
      </c>
      <c r="G2682" s="1" t="n">
        <v>5</v>
      </c>
      <c r="H2682" s="3" t="s">
        <v>32</v>
      </c>
      <c r="I2682" s="3" t="s">
        <v>169</v>
      </c>
      <c r="J2682" s="3" t="s">
        <v>170</v>
      </c>
      <c r="K2682" s="2" t="str">
        <f aca="false">CONCATENATE(I2682," ",J2682)</f>
        <v>Abacoproeces saltuum</v>
      </c>
      <c r="L2682" s="3" t="n">
        <f aca="false">SUM(P2682:U2682)</f>
        <v>1</v>
      </c>
      <c r="M2682" s="11" t="n">
        <f aca="false">(L2682/(F2682*G2682)*25)*4</f>
        <v>4</v>
      </c>
      <c r="N2682" s="1" t="s">
        <v>30</v>
      </c>
      <c r="O2682" s="1" t="s">
        <v>31</v>
      </c>
      <c r="P2682" s="3" t="n">
        <v>1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f aca="false">SUM(P2682:Q2682)</f>
        <v>1</v>
      </c>
      <c r="W2682" s="3" t="n">
        <f aca="false">SUM(R2682:T2682)</f>
        <v>0</v>
      </c>
      <c r="X2682" s="22" t="n">
        <v>41794</v>
      </c>
      <c r="Y2682" s="22" t="n">
        <v>41799</v>
      </c>
    </row>
    <row r="2683" customFormat="false" ht="14.25" hidden="false" customHeight="false" outlineLevel="0" collapsed="false">
      <c r="A2683" s="1" t="n">
        <v>2014</v>
      </c>
      <c r="B2683" s="1" t="n">
        <v>1</v>
      </c>
      <c r="C2683" s="2" t="s">
        <v>50</v>
      </c>
      <c r="D2683" s="3" t="s">
        <v>83</v>
      </c>
      <c r="E2683" s="3" t="n">
        <v>2</v>
      </c>
      <c r="F2683" s="1" t="n">
        <f aca="false">Y2683-X2683</f>
        <v>5</v>
      </c>
      <c r="G2683" s="1" t="n">
        <v>5</v>
      </c>
      <c r="H2683" s="3" t="s">
        <v>32</v>
      </c>
      <c r="I2683" s="3" t="s">
        <v>169</v>
      </c>
      <c r="J2683" s="3" t="s">
        <v>170</v>
      </c>
      <c r="K2683" s="2" t="str">
        <f aca="false">CONCATENATE(I2683," ",J2683)</f>
        <v>Abacoproeces saltuum</v>
      </c>
      <c r="L2683" s="3" t="n">
        <f aca="false">SUM(P2683:U2683)</f>
        <v>1</v>
      </c>
      <c r="M2683" s="11" t="n">
        <f aca="false">(L2683/(F2683*G2683)*25)*4</f>
        <v>4</v>
      </c>
      <c r="N2683" s="1" t="s">
        <v>30</v>
      </c>
      <c r="O2683" s="1" t="s">
        <v>35</v>
      </c>
      <c r="P2683" s="3" t="n">
        <v>0</v>
      </c>
      <c r="Q2683" s="3" t="n">
        <v>1</v>
      </c>
      <c r="R2683" s="3" t="n">
        <v>0</v>
      </c>
      <c r="S2683" s="3" t="n">
        <v>0</v>
      </c>
      <c r="T2683" s="3" t="n">
        <v>0</v>
      </c>
      <c r="U2683" s="3" t="n">
        <v>0</v>
      </c>
      <c r="V2683" s="3" t="n">
        <f aca="false">SUM(P2683:Q2683)</f>
        <v>1</v>
      </c>
      <c r="W2683" s="3" t="n">
        <f aca="false">SUM(R2683:T2683)</f>
        <v>0</v>
      </c>
      <c r="X2683" s="22" t="n">
        <v>41794</v>
      </c>
      <c r="Y2683" s="22" t="n">
        <v>41799</v>
      </c>
    </row>
    <row r="2684" customFormat="false" ht="14.25" hidden="false" customHeight="false" outlineLevel="0" collapsed="false">
      <c r="A2684" s="1" t="n">
        <v>2014</v>
      </c>
      <c r="B2684" s="1" t="n">
        <v>1</v>
      </c>
      <c r="C2684" s="2" t="s">
        <v>50</v>
      </c>
      <c r="D2684" s="3" t="s">
        <v>83</v>
      </c>
      <c r="E2684" s="3" t="n">
        <v>1</v>
      </c>
      <c r="F2684" s="1" t="n">
        <f aca="false">Y2684-X2684</f>
        <v>5</v>
      </c>
      <c r="G2684" s="1" t="n">
        <v>5</v>
      </c>
      <c r="H2684" s="3" t="s">
        <v>48</v>
      </c>
      <c r="I2684" s="3" t="s">
        <v>67</v>
      </c>
      <c r="J2684" s="3" t="s">
        <v>127</v>
      </c>
      <c r="K2684" s="2" t="str">
        <f aca="false">CONCATENATE(I2684," ",J2684)</f>
        <v>Pardosa lugubris</v>
      </c>
      <c r="L2684" s="3" t="n">
        <f aca="false">SUM(P2684:U2684)</f>
        <v>10</v>
      </c>
      <c r="M2684" s="11" t="n">
        <f aca="false">(L2684/(F2684*G2684)*25)*4</f>
        <v>40</v>
      </c>
      <c r="N2684" s="1" t="s">
        <v>30</v>
      </c>
      <c r="O2684" s="1" t="s">
        <v>31</v>
      </c>
      <c r="P2684" s="3" t="n">
        <v>10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f aca="false">SUM(P2684:Q2684)</f>
        <v>10</v>
      </c>
      <c r="W2684" s="3" t="n">
        <f aca="false">SUM(R2684:T2684)</f>
        <v>0</v>
      </c>
      <c r="X2684" s="22" t="n">
        <v>41794</v>
      </c>
      <c r="Y2684" s="22" t="n">
        <v>41799</v>
      </c>
    </row>
    <row r="2685" customFormat="false" ht="14.25" hidden="false" customHeight="false" outlineLevel="0" collapsed="false">
      <c r="A2685" s="1" t="n">
        <v>2014</v>
      </c>
      <c r="B2685" s="1" t="n">
        <v>1</v>
      </c>
      <c r="C2685" s="2" t="s">
        <v>50</v>
      </c>
      <c r="D2685" s="3" t="s">
        <v>83</v>
      </c>
      <c r="E2685" s="3" t="n">
        <v>1</v>
      </c>
      <c r="F2685" s="1" t="n">
        <f aca="false">Y2685-X2685</f>
        <v>5</v>
      </c>
      <c r="G2685" s="1" t="n">
        <v>5</v>
      </c>
      <c r="H2685" s="3" t="s">
        <v>48</v>
      </c>
      <c r="I2685" s="3" t="s">
        <v>61</v>
      </c>
      <c r="J2685" s="3" t="s">
        <v>38</v>
      </c>
      <c r="K2685" s="2" t="str">
        <f aca="false">CONCATENATE(I2685," ",J2685)</f>
        <v>Trochosa sp</v>
      </c>
      <c r="L2685" s="3" t="n">
        <f aca="false">SUM(P2685:U2685)</f>
        <v>3</v>
      </c>
      <c r="M2685" s="11" t="n">
        <f aca="false">(L2685/(F2685*G2685)*25)*4</f>
        <v>12</v>
      </c>
      <c r="N2685" s="1" t="s">
        <v>19</v>
      </c>
      <c r="O2685" s="1" t="s">
        <v>35</v>
      </c>
      <c r="P2685" s="3" t="n">
        <v>0</v>
      </c>
      <c r="Q2685" s="3" t="n">
        <v>0</v>
      </c>
      <c r="R2685" s="3" t="n">
        <v>0</v>
      </c>
      <c r="S2685" s="3" t="n">
        <v>3</v>
      </c>
      <c r="T2685" s="3" t="n">
        <v>0</v>
      </c>
      <c r="U2685" s="3" t="n">
        <v>0</v>
      </c>
      <c r="V2685" s="3" t="n">
        <f aca="false">SUM(P2685:Q2685)</f>
        <v>0</v>
      </c>
      <c r="W2685" s="3" t="n">
        <f aca="false">SUM(R2685:T2685)</f>
        <v>3</v>
      </c>
      <c r="X2685" s="22" t="n">
        <v>41794</v>
      </c>
      <c r="Y2685" s="22" t="n">
        <v>41799</v>
      </c>
    </row>
    <row r="2686" customFormat="false" ht="14.25" hidden="false" customHeight="false" outlineLevel="0" collapsed="false">
      <c r="A2686" s="1" t="n">
        <v>2014</v>
      </c>
      <c r="B2686" s="1" t="n">
        <v>1</v>
      </c>
      <c r="C2686" s="2" t="s">
        <v>50</v>
      </c>
      <c r="D2686" s="3" t="s">
        <v>83</v>
      </c>
      <c r="E2686" s="3" t="n">
        <v>1</v>
      </c>
      <c r="F2686" s="1" t="n">
        <f aca="false">Y2686-X2686</f>
        <v>5</v>
      </c>
      <c r="G2686" s="1" t="n">
        <v>5</v>
      </c>
      <c r="H2686" s="3" t="s">
        <v>48</v>
      </c>
      <c r="I2686" s="3" t="s">
        <v>49</v>
      </c>
      <c r="J2686" s="3" t="s">
        <v>104</v>
      </c>
      <c r="K2686" s="2" t="str">
        <f aca="false">CONCATENATE(I2686," ",J2686)</f>
        <v>Alopecosa taeniata</v>
      </c>
      <c r="L2686" s="3" t="n">
        <f aca="false">SUM(P2686:U2686)</f>
        <v>2</v>
      </c>
      <c r="M2686" s="11" t="n">
        <f aca="false">(L2686/(F2686*G2686)*25)*4</f>
        <v>8</v>
      </c>
      <c r="N2686" s="1" t="s">
        <v>30</v>
      </c>
      <c r="O2686" s="1" t="s">
        <v>31</v>
      </c>
      <c r="P2686" s="3" t="n">
        <v>2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f aca="false">SUM(P2686:Q2686)</f>
        <v>2</v>
      </c>
      <c r="W2686" s="3" t="n">
        <f aca="false">SUM(R2686:T2686)</f>
        <v>0</v>
      </c>
      <c r="X2686" s="22" t="n">
        <v>41794</v>
      </c>
      <c r="Y2686" s="22" t="n">
        <v>41799</v>
      </c>
    </row>
    <row r="2687" customFormat="false" ht="14.25" hidden="false" customHeight="false" outlineLevel="0" collapsed="false">
      <c r="A2687" s="1" t="n">
        <v>2014</v>
      </c>
      <c r="B2687" s="1" t="n">
        <v>1</v>
      </c>
      <c r="C2687" s="2" t="s">
        <v>50</v>
      </c>
      <c r="D2687" s="3" t="s">
        <v>83</v>
      </c>
      <c r="E2687" s="3" t="n">
        <v>1</v>
      </c>
      <c r="F2687" s="1" t="n">
        <f aca="false">Y2687-X2687</f>
        <v>5</v>
      </c>
      <c r="G2687" s="1" t="n">
        <v>5</v>
      </c>
      <c r="H2687" s="3" t="s">
        <v>48</v>
      </c>
      <c r="I2687" s="3" t="s">
        <v>49</v>
      </c>
      <c r="J2687" s="3" t="s">
        <v>104</v>
      </c>
      <c r="K2687" s="2" t="str">
        <f aca="false">CONCATENATE(I2687," ",J2687)</f>
        <v>Alopecosa taeniata</v>
      </c>
      <c r="L2687" s="3" t="n">
        <f aca="false">SUM(P2687:U2687)</f>
        <v>1</v>
      </c>
      <c r="M2687" s="11" t="n">
        <f aca="false">(L2687/(F2687*G2687)*25)*4</f>
        <v>4</v>
      </c>
      <c r="N2687" s="1" t="s">
        <v>30</v>
      </c>
      <c r="O2687" s="1" t="s">
        <v>35</v>
      </c>
      <c r="P2687" s="3" t="n">
        <v>0</v>
      </c>
      <c r="Q2687" s="3" t="n">
        <v>1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f aca="false">SUM(P2687:Q2687)</f>
        <v>1</v>
      </c>
      <c r="W2687" s="3" t="n">
        <f aca="false">SUM(R2687:T2687)</f>
        <v>0</v>
      </c>
      <c r="X2687" s="22" t="n">
        <v>41794</v>
      </c>
      <c r="Y2687" s="22" t="n">
        <v>41799</v>
      </c>
    </row>
    <row r="2688" customFormat="false" ht="14.25" hidden="false" customHeight="false" outlineLevel="0" collapsed="false">
      <c r="A2688" s="1" t="n">
        <v>2014</v>
      </c>
      <c r="B2688" s="1" t="n">
        <v>1</v>
      </c>
      <c r="C2688" s="2" t="s">
        <v>50</v>
      </c>
      <c r="D2688" s="3" t="s">
        <v>83</v>
      </c>
      <c r="E2688" s="3" t="n">
        <v>1</v>
      </c>
      <c r="F2688" s="1" t="n">
        <f aca="false">Y2688-X2688</f>
        <v>5</v>
      </c>
      <c r="G2688" s="1" t="n">
        <v>5</v>
      </c>
      <c r="H2688" s="3" t="s">
        <v>92</v>
      </c>
      <c r="I2688" s="3" t="s">
        <v>171</v>
      </c>
      <c r="J2688" s="3" t="s">
        <v>172</v>
      </c>
      <c r="K2688" s="2" t="str">
        <f aca="false">CONCATENATE(I2688," ",J2688)</f>
        <v>Euophrys frontalis</v>
      </c>
      <c r="L2688" s="3" t="n">
        <f aca="false">SUM(P2688:U2688)</f>
        <v>1</v>
      </c>
      <c r="M2688" s="11" t="n">
        <f aca="false">(L2688/(F2688*G2688)*25)*4</f>
        <v>4</v>
      </c>
      <c r="N2688" s="1" t="s">
        <v>30</v>
      </c>
      <c r="O2688" s="1" t="s">
        <v>35</v>
      </c>
      <c r="P2688" s="3" t="n">
        <v>0</v>
      </c>
      <c r="Q2688" s="3" t="n">
        <v>1</v>
      </c>
      <c r="R2688" s="3" t="n">
        <v>0</v>
      </c>
      <c r="S2688" s="3" t="n">
        <v>0</v>
      </c>
      <c r="T2688" s="3" t="n">
        <v>0</v>
      </c>
      <c r="U2688" s="3" t="n">
        <v>0</v>
      </c>
      <c r="V2688" s="3" t="n">
        <f aca="false">SUM(P2688:Q2688)</f>
        <v>1</v>
      </c>
      <c r="W2688" s="3" t="n">
        <f aca="false">SUM(R2688:T2688)</f>
        <v>0</v>
      </c>
      <c r="X2688" s="22" t="n">
        <v>41794</v>
      </c>
      <c r="Y2688" s="22" t="n">
        <v>41799</v>
      </c>
    </row>
    <row r="2689" customFormat="false" ht="14.25" hidden="false" customHeight="false" outlineLevel="0" collapsed="false">
      <c r="A2689" s="1" t="n">
        <v>2014</v>
      </c>
      <c r="B2689" s="1" t="n">
        <v>1</v>
      </c>
      <c r="C2689" s="2" t="s">
        <v>50</v>
      </c>
      <c r="D2689" s="3" t="s">
        <v>83</v>
      </c>
      <c r="E2689" s="3" t="n">
        <v>1</v>
      </c>
      <c r="F2689" s="1" t="n">
        <f aca="false">Y2689-X2689</f>
        <v>5</v>
      </c>
      <c r="G2689" s="1" t="n">
        <v>5</v>
      </c>
      <c r="H2689" s="3" t="s">
        <v>72</v>
      </c>
      <c r="I2689" s="3" t="s">
        <v>86</v>
      </c>
      <c r="J2689" s="3" t="s">
        <v>87</v>
      </c>
      <c r="K2689" s="2" t="str">
        <f aca="false">CONCATENATE(I2689," ",J2689)</f>
        <v>Haplodrassus soerenseni</v>
      </c>
      <c r="L2689" s="3" t="n">
        <f aca="false">SUM(P2689:U2689)</f>
        <v>1</v>
      </c>
      <c r="M2689" s="11" t="n">
        <f aca="false">(L2689/(F2689*G2689)*25)*4</f>
        <v>4</v>
      </c>
      <c r="N2689" s="1" t="s">
        <v>30</v>
      </c>
      <c r="O2689" s="1" t="s">
        <v>31</v>
      </c>
      <c r="P2689" s="3" t="n">
        <v>1</v>
      </c>
      <c r="Q2689" s="3" t="n">
        <v>0</v>
      </c>
      <c r="R2689" s="3" t="n">
        <v>0</v>
      </c>
      <c r="S2689" s="3" t="n">
        <v>0</v>
      </c>
      <c r="T2689" s="3" t="n">
        <v>0</v>
      </c>
      <c r="U2689" s="3" t="n">
        <v>0</v>
      </c>
      <c r="V2689" s="3" t="n">
        <f aca="false">SUM(P2689:Q2689)</f>
        <v>1</v>
      </c>
      <c r="W2689" s="3" t="n">
        <f aca="false">SUM(R2689:T2689)</f>
        <v>0</v>
      </c>
      <c r="X2689" s="22" t="n">
        <v>41794</v>
      </c>
      <c r="Y2689" s="22" t="n">
        <v>41799</v>
      </c>
    </row>
    <row r="2690" customFormat="false" ht="14.25" hidden="false" customHeight="false" outlineLevel="0" collapsed="false">
      <c r="A2690" s="1" t="n">
        <v>2014</v>
      </c>
      <c r="B2690" s="1" t="n">
        <v>1</v>
      </c>
      <c r="C2690" s="2" t="s">
        <v>50</v>
      </c>
      <c r="D2690" s="3" t="s">
        <v>83</v>
      </c>
      <c r="E2690" s="3" t="n">
        <v>1</v>
      </c>
      <c r="F2690" s="1" t="n">
        <f aca="false">Y2690-X2690</f>
        <v>5</v>
      </c>
      <c r="G2690" s="1" t="n">
        <v>5</v>
      </c>
      <c r="H2690" s="3" t="s">
        <v>72</v>
      </c>
      <c r="I2690" s="3" t="s">
        <v>73</v>
      </c>
      <c r="J2690" s="3" t="s">
        <v>74</v>
      </c>
      <c r="K2690" s="2" t="str">
        <f aca="false">CONCATENATE(I2690," ",J2690)</f>
        <v>Zelotes subterraneus</v>
      </c>
      <c r="L2690" s="3" t="n">
        <f aca="false">SUM(P2690:U2690)</f>
        <v>1</v>
      </c>
      <c r="M2690" s="11" t="n">
        <f aca="false">(L2690/(F2690*G2690)*25)*4</f>
        <v>4</v>
      </c>
      <c r="N2690" s="1" t="s">
        <v>30</v>
      </c>
      <c r="O2690" s="1" t="s">
        <v>35</v>
      </c>
      <c r="P2690" s="3" t="n">
        <v>0</v>
      </c>
      <c r="Q2690" s="3" t="n">
        <v>1</v>
      </c>
      <c r="R2690" s="3" t="n">
        <v>0</v>
      </c>
      <c r="S2690" s="3" t="n">
        <v>0</v>
      </c>
      <c r="T2690" s="3" t="n">
        <v>0</v>
      </c>
      <c r="U2690" s="3" t="n">
        <v>0</v>
      </c>
      <c r="V2690" s="3" t="n">
        <f aca="false">SUM(P2690:Q2690)</f>
        <v>1</v>
      </c>
      <c r="W2690" s="3" t="n">
        <f aca="false">SUM(R2690:T2690)</f>
        <v>0</v>
      </c>
      <c r="X2690" s="22" t="n">
        <v>41794</v>
      </c>
      <c r="Y2690" s="22" t="n">
        <v>41799</v>
      </c>
    </row>
    <row r="2691" customFormat="false" ht="14.25" hidden="false" customHeight="false" outlineLevel="0" collapsed="false">
      <c r="A2691" s="1" t="n">
        <v>2014</v>
      </c>
      <c r="B2691" s="1" t="n">
        <v>1</v>
      </c>
      <c r="C2691" s="2" t="s">
        <v>50</v>
      </c>
      <c r="D2691" s="3" t="s">
        <v>83</v>
      </c>
      <c r="E2691" s="3" t="n">
        <v>1</v>
      </c>
      <c r="F2691" s="1" t="n">
        <f aca="false">Y2691-X2691</f>
        <v>5</v>
      </c>
      <c r="G2691" s="1" t="n">
        <v>5</v>
      </c>
      <c r="H2691" s="3" t="s">
        <v>36</v>
      </c>
      <c r="I2691" s="3" t="s">
        <v>131</v>
      </c>
      <c r="J2691" s="3" t="s">
        <v>133</v>
      </c>
      <c r="K2691" s="2" t="str">
        <f aca="false">CONCATENATE(I2691," ",J2691)</f>
        <v>Xysticus luctuosus</v>
      </c>
      <c r="L2691" s="3" t="n">
        <f aca="false">SUM(P2691:U2691)</f>
        <v>2</v>
      </c>
      <c r="M2691" s="11" t="n">
        <f aca="false">(L2691/(F2691*G2691)*25)*4</f>
        <v>8</v>
      </c>
      <c r="N2691" s="1" t="s">
        <v>30</v>
      </c>
      <c r="O2691" s="1" t="s">
        <v>31</v>
      </c>
      <c r="P2691" s="3" t="n">
        <v>2</v>
      </c>
      <c r="Q2691" s="3" t="n">
        <v>0</v>
      </c>
      <c r="R2691" s="3" t="n">
        <v>0</v>
      </c>
      <c r="S2691" s="3" t="n">
        <v>0</v>
      </c>
      <c r="T2691" s="3" t="n">
        <v>0</v>
      </c>
      <c r="U2691" s="3" t="n">
        <v>0</v>
      </c>
      <c r="V2691" s="3" t="n">
        <f aca="false">SUM(P2691:Q2691)</f>
        <v>2</v>
      </c>
      <c r="W2691" s="3" t="n">
        <f aca="false">SUM(R2691:T2691)</f>
        <v>0</v>
      </c>
      <c r="X2691" s="22" t="n">
        <v>41794</v>
      </c>
      <c r="Y2691" s="22" t="n">
        <v>41799</v>
      </c>
    </row>
    <row r="2692" customFormat="false" ht="14.25" hidden="false" customHeight="false" outlineLevel="0" collapsed="false">
      <c r="A2692" s="1" t="n">
        <v>2014</v>
      </c>
      <c r="B2692" s="1" t="n">
        <v>1</v>
      </c>
      <c r="C2692" s="2" t="s">
        <v>50</v>
      </c>
      <c r="D2692" s="3" t="s">
        <v>83</v>
      </c>
      <c r="E2692" s="3" t="n">
        <v>1</v>
      </c>
      <c r="F2692" s="1" t="n">
        <f aca="false">Y2692-X2692</f>
        <v>5</v>
      </c>
      <c r="G2692" s="1" t="n">
        <v>5</v>
      </c>
      <c r="H2692" s="3" t="s">
        <v>144</v>
      </c>
      <c r="I2692" s="3" t="s">
        <v>145</v>
      </c>
      <c r="J2692" s="3" t="s">
        <v>146</v>
      </c>
      <c r="K2692" s="2" t="str">
        <f aca="false">CONCATENATE(I2692," ",J2692)</f>
        <v>Phrurolithus festivus</v>
      </c>
      <c r="L2692" s="3" t="n">
        <f aca="false">SUM(P2692:U2692)</f>
        <v>1</v>
      </c>
      <c r="M2692" s="11" t="n">
        <f aca="false">(L2692/(F2692*G2692)*25)*4</f>
        <v>4</v>
      </c>
      <c r="N2692" s="1" t="s">
        <v>30</v>
      </c>
      <c r="O2692" s="1" t="s">
        <v>35</v>
      </c>
      <c r="P2692" s="3" t="n">
        <v>0</v>
      </c>
      <c r="Q2692" s="3" t="n">
        <v>1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f aca="false">SUM(P2692:Q2692)</f>
        <v>1</v>
      </c>
      <c r="W2692" s="3" t="n">
        <f aca="false">SUM(R2692:T2692)</f>
        <v>0</v>
      </c>
      <c r="X2692" s="22" t="n">
        <v>41794</v>
      </c>
      <c r="Y2692" s="22" t="n">
        <v>41799</v>
      </c>
    </row>
    <row r="2693" customFormat="false" ht="14.25" hidden="false" customHeight="false" outlineLevel="0" collapsed="false">
      <c r="A2693" s="1" t="n">
        <v>2014</v>
      </c>
      <c r="B2693" s="1" t="n">
        <v>1</v>
      </c>
      <c r="C2693" s="2" t="s">
        <v>50</v>
      </c>
      <c r="D2693" s="3" t="s">
        <v>83</v>
      </c>
      <c r="E2693" s="3" t="n">
        <v>1</v>
      </c>
      <c r="F2693" s="1" t="n">
        <f aca="false">Y2693-X2693</f>
        <v>5</v>
      </c>
      <c r="G2693" s="1" t="n">
        <v>5</v>
      </c>
      <c r="H2693" s="3" t="s">
        <v>226</v>
      </c>
      <c r="I2693" s="3" t="s">
        <v>65</v>
      </c>
      <c r="J2693" s="3" t="s">
        <v>123</v>
      </c>
      <c r="K2693" s="2" t="str">
        <f aca="false">CONCATENATE(I2693," ",J2693)</f>
        <v>Zora nemoralis</v>
      </c>
      <c r="L2693" s="3" t="n">
        <f aca="false">SUM(P2693:U2693)</f>
        <v>1</v>
      </c>
      <c r="M2693" s="11" t="n">
        <f aca="false">(L2693/(F2693*G2693)*25)*4</f>
        <v>4</v>
      </c>
      <c r="N2693" s="1" t="s">
        <v>30</v>
      </c>
      <c r="O2693" s="1" t="s">
        <v>31</v>
      </c>
      <c r="P2693" s="3" t="n">
        <v>1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f aca="false">SUM(P2693:Q2693)</f>
        <v>1</v>
      </c>
      <c r="W2693" s="3" t="n">
        <f aca="false">SUM(R2693:T2693)</f>
        <v>0</v>
      </c>
      <c r="X2693" s="22" t="n">
        <v>41794</v>
      </c>
      <c r="Y2693" s="22" t="n">
        <v>41799</v>
      </c>
    </row>
    <row r="2694" customFormat="false" ht="14.25" hidden="false" customHeight="false" outlineLevel="0" collapsed="false">
      <c r="A2694" s="1" t="n">
        <v>2014</v>
      </c>
      <c r="B2694" s="1" t="n">
        <v>1</v>
      </c>
      <c r="C2694" s="2" t="s">
        <v>50</v>
      </c>
      <c r="D2694" s="3" t="s">
        <v>83</v>
      </c>
      <c r="E2694" s="3" t="n">
        <v>1</v>
      </c>
      <c r="F2694" s="1" t="n">
        <f aca="false">Y2694-X2694</f>
        <v>5</v>
      </c>
      <c r="G2694" s="1" t="n">
        <v>5</v>
      </c>
      <c r="H2694" s="3" t="s">
        <v>32</v>
      </c>
      <c r="I2694" s="3" t="s">
        <v>102</v>
      </c>
      <c r="J2694" s="3" t="s">
        <v>192</v>
      </c>
      <c r="K2694" s="2" t="str">
        <f aca="false">CONCATENATE(I2694," ",J2694)</f>
        <v>Agyneta allosubtilis</v>
      </c>
      <c r="L2694" s="3" t="n">
        <f aca="false">SUM(P2694:U2694)</f>
        <v>1</v>
      </c>
      <c r="M2694" s="11" t="n">
        <f aca="false">(L2694/(F2694*G2694)*25)*4</f>
        <v>4</v>
      </c>
      <c r="N2694" s="1" t="s">
        <v>30</v>
      </c>
      <c r="O2694" s="1" t="s">
        <v>31</v>
      </c>
      <c r="P2694" s="3" t="n">
        <v>1</v>
      </c>
      <c r="Q2694" s="3" t="n">
        <v>0</v>
      </c>
      <c r="R2694" s="3" t="n">
        <v>0</v>
      </c>
      <c r="S2694" s="3" t="n">
        <v>0</v>
      </c>
      <c r="T2694" s="3" t="n">
        <v>0</v>
      </c>
      <c r="U2694" s="3" t="n">
        <v>0</v>
      </c>
      <c r="V2694" s="3" t="n">
        <f aca="false">SUM(P2694:Q2694)</f>
        <v>1</v>
      </c>
      <c r="W2694" s="3" t="n">
        <f aca="false">SUM(R2694:T2694)</f>
        <v>0</v>
      </c>
      <c r="X2694" s="22" t="n">
        <v>41794</v>
      </c>
      <c r="Y2694" s="22" t="n">
        <v>41799</v>
      </c>
    </row>
    <row r="2695" customFormat="false" ht="14.25" hidden="false" customHeight="false" outlineLevel="0" collapsed="false">
      <c r="A2695" s="1" t="n">
        <v>2014</v>
      </c>
      <c r="B2695" s="1" t="n">
        <v>1</v>
      </c>
      <c r="C2695" s="2" t="s">
        <v>50</v>
      </c>
      <c r="D2695" s="3" t="s">
        <v>83</v>
      </c>
      <c r="E2695" s="3" t="n">
        <v>1</v>
      </c>
      <c r="F2695" s="1" t="n">
        <f aca="false">Y2695-X2695</f>
        <v>5</v>
      </c>
      <c r="G2695" s="1" t="n">
        <v>5</v>
      </c>
      <c r="H2695" s="3" t="s">
        <v>32</v>
      </c>
      <c r="I2695" s="3" t="s">
        <v>169</v>
      </c>
      <c r="J2695" s="3" t="s">
        <v>170</v>
      </c>
      <c r="K2695" s="2" t="str">
        <f aca="false">CONCATENATE(I2695," ",J2695)</f>
        <v>Abacoproeces saltuum</v>
      </c>
      <c r="L2695" s="3" t="n">
        <f aca="false">SUM(P2695:U2695)</f>
        <v>1</v>
      </c>
      <c r="M2695" s="11" t="n">
        <f aca="false">(L2695/(F2695*G2695)*25)*4</f>
        <v>4</v>
      </c>
      <c r="N2695" s="1" t="s">
        <v>30</v>
      </c>
      <c r="O2695" s="1" t="s">
        <v>31</v>
      </c>
      <c r="P2695" s="3" t="n">
        <v>1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f aca="false">SUM(P2695:Q2695)</f>
        <v>1</v>
      </c>
      <c r="W2695" s="3" t="n">
        <f aca="false">SUM(R2695:T2695)</f>
        <v>0</v>
      </c>
      <c r="X2695" s="22" t="n">
        <v>41794</v>
      </c>
      <c r="Y2695" s="22" t="n">
        <v>41799</v>
      </c>
    </row>
    <row r="2696" customFormat="false" ht="14.25" hidden="false" customHeight="false" outlineLevel="0" collapsed="false">
      <c r="A2696" s="1" t="n">
        <v>2014</v>
      </c>
      <c r="B2696" s="1" t="n">
        <v>1</v>
      </c>
      <c r="C2696" s="2" t="s">
        <v>50</v>
      </c>
      <c r="D2696" s="3" t="s">
        <v>83</v>
      </c>
      <c r="E2696" s="3" t="n">
        <v>1</v>
      </c>
      <c r="F2696" s="1" t="n">
        <f aca="false">Y2696-X2696</f>
        <v>5</v>
      </c>
      <c r="G2696" s="1" t="n">
        <v>5</v>
      </c>
      <c r="H2696" s="3" t="s">
        <v>48</v>
      </c>
      <c r="I2696" s="3" t="s">
        <v>67</v>
      </c>
      <c r="J2696" s="3" t="s">
        <v>127</v>
      </c>
      <c r="K2696" s="2" t="str">
        <f aca="false">CONCATENATE(I2696," ",J2696)</f>
        <v>Pardosa lugubris</v>
      </c>
      <c r="L2696" s="3" t="n">
        <f aca="false">SUM(P2696:U2696)</f>
        <v>5</v>
      </c>
      <c r="M2696" s="11" t="n">
        <f aca="false">(L2696/(F2696*G2696)*25)*4</f>
        <v>20</v>
      </c>
      <c r="N2696" s="1" t="s">
        <v>30</v>
      </c>
      <c r="O2696" s="1" t="s">
        <v>31</v>
      </c>
      <c r="P2696" s="3" t="n">
        <v>5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f aca="false">SUM(P2696:Q2696)</f>
        <v>5</v>
      </c>
      <c r="W2696" s="3" t="n">
        <f aca="false">SUM(R2696:T2696)</f>
        <v>0</v>
      </c>
      <c r="X2696" s="22" t="n">
        <v>41794</v>
      </c>
      <c r="Y2696" s="22" t="n">
        <v>41799</v>
      </c>
    </row>
    <row r="2697" customFormat="false" ht="14.25" hidden="false" customHeight="false" outlineLevel="0" collapsed="false">
      <c r="A2697" s="1" t="n">
        <v>2014</v>
      </c>
      <c r="B2697" s="1" t="n">
        <v>1</v>
      </c>
      <c r="C2697" s="2" t="s">
        <v>50</v>
      </c>
      <c r="D2697" s="3" t="s">
        <v>83</v>
      </c>
      <c r="E2697" s="3" t="n">
        <v>1</v>
      </c>
      <c r="F2697" s="1" t="n">
        <f aca="false">Y2697-X2697</f>
        <v>5</v>
      </c>
      <c r="G2697" s="1" t="n">
        <v>5</v>
      </c>
      <c r="H2697" s="3" t="s">
        <v>48</v>
      </c>
      <c r="I2697" s="3" t="s">
        <v>67</v>
      </c>
      <c r="J2697" s="3" t="s">
        <v>127</v>
      </c>
      <c r="K2697" s="2" t="str">
        <f aca="false">CONCATENATE(I2697," ",J2697)</f>
        <v>Pardosa lugubris</v>
      </c>
      <c r="L2697" s="3" t="n">
        <f aca="false">SUM(P2697:U2697)</f>
        <v>1</v>
      </c>
      <c r="M2697" s="11" t="n">
        <f aca="false">(L2697/(F2697*G2697)*25)*4</f>
        <v>4</v>
      </c>
      <c r="N2697" s="1" t="s">
        <v>30</v>
      </c>
      <c r="O2697" s="1" t="s">
        <v>35</v>
      </c>
      <c r="P2697" s="3" t="n">
        <v>0</v>
      </c>
      <c r="Q2697" s="3" t="n">
        <v>1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f aca="false">SUM(P2697:Q2697)</f>
        <v>1</v>
      </c>
      <c r="W2697" s="3" t="n">
        <f aca="false">SUM(R2697:T2697)</f>
        <v>0</v>
      </c>
      <c r="X2697" s="22" t="n">
        <v>41794</v>
      </c>
      <c r="Y2697" s="22" t="n">
        <v>41799</v>
      </c>
    </row>
    <row r="2698" customFormat="false" ht="14.25" hidden="false" customHeight="false" outlineLevel="0" collapsed="false">
      <c r="A2698" s="1" t="n">
        <v>2014</v>
      </c>
      <c r="B2698" s="1" t="n">
        <v>1</v>
      </c>
      <c r="C2698" s="2" t="s">
        <v>50</v>
      </c>
      <c r="D2698" s="3" t="s">
        <v>83</v>
      </c>
      <c r="E2698" s="3" t="n">
        <v>1</v>
      </c>
      <c r="F2698" s="1" t="n">
        <f aca="false">Y2698-X2698</f>
        <v>5</v>
      </c>
      <c r="G2698" s="1" t="n">
        <v>5</v>
      </c>
      <c r="H2698" s="3" t="s">
        <v>48</v>
      </c>
      <c r="I2698" s="3" t="s">
        <v>49</v>
      </c>
      <c r="J2698" s="3" t="s">
        <v>104</v>
      </c>
      <c r="K2698" s="2" t="str">
        <f aca="false">CONCATENATE(I2698," ",J2698)</f>
        <v>Alopecosa taeniata</v>
      </c>
      <c r="L2698" s="3" t="n">
        <f aca="false">SUM(P2698:U2698)</f>
        <v>1</v>
      </c>
      <c r="M2698" s="11" t="n">
        <f aca="false">(L2698/(F2698*G2698)*25)*4</f>
        <v>4</v>
      </c>
      <c r="N2698" s="1" t="s">
        <v>30</v>
      </c>
      <c r="O2698" s="1" t="s">
        <v>31</v>
      </c>
      <c r="P2698" s="3" t="n">
        <v>1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f aca="false">SUM(P2698:Q2698)</f>
        <v>1</v>
      </c>
      <c r="W2698" s="3" t="n">
        <f aca="false">SUM(R2698:T2698)</f>
        <v>0</v>
      </c>
      <c r="X2698" s="22" t="n">
        <v>41794</v>
      </c>
      <c r="Y2698" s="22" t="n">
        <v>41799</v>
      </c>
    </row>
    <row r="2699" customFormat="false" ht="14.25" hidden="false" customHeight="false" outlineLevel="0" collapsed="false">
      <c r="A2699" s="1" t="n">
        <v>2014</v>
      </c>
      <c r="B2699" s="1" t="n">
        <v>1</v>
      </c>
      <c r="C2699" s="2" t="s">
        <v>50</v>
      </c>
      <c r="D2699" s="3" t="s">
        <v>83</v>
      </c>
      <c r="E2699" s="3" t="n">
        <v>1</v>
      </c>
      <c r="F2699" s="1" t="n">
        <f aca="false">Y2699-X2699</f>
        <v>5</v>
      </c>
      <c r="G2699" s="1" t="n">
        <v>5</v>
      </c>
      <c r="H2699" s="3" t="s">
        <v>48</v>
      </c>
      <c r="I2699" s="3" t="s">
        <v>49</v>
      </c>
      <c r="J2699" s="3" t="s">
        <v>104</v>
      </c>
      <c r="K2699" s="2" t="str">
        <f aca="false">CONCATENATE(I2699," ",J2699)</f>
        <v>Alopecosa taeniata</v>
      </c>
      <c r="L2699" s="3" t="n">
        <f aca="false">SUM(P2699:U2699)</f>
        <v>1</v>
      </c>
      <c r="M2699" s="11" t="n">
        <f aca="false">(L2699/(F2699*G2699)*25)*4</f>
        <v>4</v>
      </c>
      <c r="N2699" s="1" t="s">
        <v>30</v>
      </c>
      <c r="O2699" s="1" t="s">
        <v>35</v>
      </c>
      <c r="P2699" s="3" t="n">
        <v>0</v>
      </c>
      <c r="Q2699" s="3" t="n">
        <v>1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f aca="false">SUM(P2699:Q2699)</f>
        <v>1</v>
      </c>
      <c r="W2699" s="3" t="n">
        <f aca="false">SUM(R2699:T2699)</f>
        <v>0</v>
      </c>
      <c r="X2699" s="22" t="n">
        <v>41794</v>
      </c>
      <c r="Y2699" s="22" t="n">
        <v>41799</v>
      </c>
    </row>
    <row r="2700" customFormat="false" ht="14.25" hidden="false" customHeight="false" outlineLevel="0" collapsed="false">
      <c r="A2700" s="1" t="n">
        <v>2014</v>
      </c>
      <c r="B2700" s="1" t="n">
        <v>1</v>
      </c>
      <c r="C2700" s="2" t="s">
        <v>50</v>
      </c>
      <c r="D2700" s="3" t="s">
        <v>83</v>
      </c>
      <c r="E2700" s="3" t="n">
        <v>1</v>
      </c>
      <c r="F2700" s="1" t="n">
        <f aca="false">Y2700-X2700</f>
        <v>5</v>
      </c>
      <c r="G2700" s="1" t="n">
        <v>5</v>
      </c>
      <c r="H2700" s="3" t="s">
        <v>72</v>
      </c>
      <c r="I2700" s="3" t="s">
        <v>73</v>
      </c>
      <c r="J2700" s="3" t="s">
        <v>74</v>
      </c>
      <c r="K2700" s="2" t="str">
        <f aca="false">CONCATENATE(I2700," ",J2700)</f>
        <v>Zelotes subterraneus</v>
      </c>
      <c r="L2700" s="3" t="n">
        <f aca="false">SUM(P2700:U2700)</f>
        <v>1</v>
      </c>
      <c r="M2700" s="11" t="n">
        <f aca="false">(L2700/(F2700*G2700)*25)*4</f>
        <v>4</v>
      </c>
      <c r="N2700" s="1" t="s">
        <v>30</v>
      </c>
      <c r="O2700" s="1" t="s">
        <v>31</v>
      </c>
      <c r="P2700" s="3" t="n">
        <v>1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  <c r="V2700" s="3" t="n">
        <f aca="false">SUM(P2700:Q2700)</f>
        <v>1</v>
      </c>
      <c r="W2700" s="3" t="n">
        <f aca="false">SUM(R2700:T2700)</f>
        <v>0</v>
      </c>
      <c r="X2700" s="22" t="n">
        <v>41794</v>
      </c>
      <c r="Y2700" s="22" t="n">
        <v>41799</v>
      </c>
    </row>
    <row r="2701" customFormat="false" ht="14.25" hidden="false" customHeight="false" outlineLevel="0" collapsed="false">
      <c r="A2701" s="1" t="n">
        <v>2014</v>
      </c>
      <c r="B2701" s="1" t="n">
        <v>1</v>
      </c>
      <c r="C2701" s="2" t="s">
        <v>50</v>
      </c>
      <c r="D2701" s="3" t="s">
        <v>83</v>
      </c>
      <c r="E2701" s="3" t="n">
        <v>1</v>
      </c>
      <c r="F2701" s="1" t="n">
        <f aca="false">Y2701-X2701</f>
        <v>5</v>
      </c>
      <c r="G2701" s="1" t="n">
        <v>5</v>
      </c>
      <c r="H2701" s="3" t="s">
        <v>72</v>
      </c>
      <c r="I2701" s="3" t="s">
        <v>73</v>
      </c>
      <c r="J2701" s="3" t="s">
        <v>38</v>
      </c>
      <c r="K2701" s="2" t="str">
        <f aca="false">CONCATENATE(I2701," ",J2701)</f>
        <v>Zelotes sp</v>
      </c>
      <c r="L2701" s="3" t="n">
        <f aca="false">SUM(P2701:U2701)</f>
        <v>1</v>
      </c>
      <c r="M2701" s="11" t="n">
        <f aca="false">(L2701/(F2701*G2701)*25)*4</f>
        <v>4</v>
      </c>
      <c r="N2701" s="1" t="s">
        <v>19</v>
      </c>
      <c r="O2701" s="1" t="s">
        <v>54</v>
      </c>
      <c r="P2701" s="3" t="n">
        <v>0</v>
      </c>
      <c r="Q2701" s="3" t="n">
        <v>0</v>
      </c>
      <c r="R2701" s="3" t="n">
        <v>0</v>
      </c>
      <c r="S2701" s="3" t="n">
        <v>0</v>
      </c>
      <c r="T2701" s="3" t="n">
        <v>1</v>
      </c>
      <c r="U2701" s="3" t="n">
        <v>0</v>
      </c>
      <c r="V2701" s="3" t="n">
        <f aca="false">SUM(P2701:Q2701)</f>
        <v>0</v>
      </c>
      <c r="W2701" s="3" t="n">
        <f aca="false">SUM(R2701:T2701)</f>
        <v>1</v>
      </c>
      <c r="X2701" s="22" t="n">
        <v>41794</v>
      </c>
      <c r="Y2701" s="22" t="n">
        <v>41799</v>
      </c>
    </row>
    <row r="2702" customFormat="false" ht="14.25" hidden="false" customHeight="false" outlineLevel="0" collapsed="false">
      <c r="A2702" s="1" t="n">
        <v>2014</v>
      </c>
      <c r="B2702" s="1" t="n">
        <v>1</v>
      </c>
      <c r="C2702" s="2" t="s">
        <v>50</v>
      </c>
      <c r="D2702" s="3" t="s">
        <v>83</v>
      </c>
      <c r="E2702" s="3" t="n">
        <v>1</v>
      </c>
      <c r="F2702" s="1" t="n">
        <f aca="false">Y2702-X2702</f>
        <v>5</v>
      </c>
      <c r="G2702" s="1" t="n">
        <v>5</v>
      </c>
      <c r="H2702" s="3" t="s">
        <v>27</v>
      </c>
      <c r="I2702" s="3" t="s">
        <v>46</v>
      </c>
      <c r="J2702" s="3" t="s">
        <v>47</v>
      </c>
      <c r="K2702" s="2" t="str">
        <f aca="false">CONCATENATE(I2702," ",J2702)</f>
        <v>Euryopis flavomaculata</v>
      </c>
      <c r="L2702" s="3" t="n">
        <f aca="false">SUM(P2702:U2702)</f>
        <v>1</v>
      </c>
      <c r="M2702" s="11" t="n">
        <f aca="false">(L2702/(F2702*G2702)*25)*4</f>
        <v>4</v>
      </c>
      <c r="N2702" s="1" t="s">
        <v>30</v>
      </c>
      <c r="O2702" s="1" t="s">
        <v>31</v>
      </c>
      <c r="P2702" s="3" t="n">
        <v>1</v>
      </c>
      <c r="Q2702" s="3" t="n">
        <v>0</v>
      </c>
      <c r="R2702" s="3" t="n">
        <v>0</v>
      </c>
      <c r="S2702" s="3" t="n">
        <v>0</v>
      </c>
      <c r="T2702" s="3" t="n">
        <v>0</v>
      </c>
      <c r="U2702" s="3" t="n">
        <v>0</v>
      </c>
      <c r="V2702" s="3" t="n">
        <f aca="false">SUM(P2702:Q2702)</f>
        <v>1</v>
      </c>
      <c r="W2702" s="3" t="n">
        <f aca="false">SUM(R2702:T2702)</f>
        <v>0</v>
      </c>
      <c r="X2702" s="22" t="n">
        <v>41794</v>
      </c>
      <c r="Y2702" s="22" t="n">
        <v>41799</v>
      </c>
    </row>
    <row r="2703" customFormat="false" ht="14.25" hidden="false" customHeight="false" outlineLevel="0" collapsed="false">
      <c r="A2703" s="1" t="n">
        <v>2014</v>
      </c>
      <c r="B2703" s="1" t="n">
        <v>1</v>
      </c>
      <c r="C2703" s="2" t="s">
        <v>50</v>
      </c>
      <c r="D2703" s="3" t="s">
        <v>83</v>
      </c>
      <c r="E2703" s="3" t="n">
        <v>1</v>
      </c>
      <c r="F2703" s="1" t="n">
        <f aca="false">Y2703-X2703</f>
        <v>5</v>
      </c>
      <c r="G2703" s="1" t="n">
        <v>5</v>
      </c>
      <c r="H2703" s="3" t="s">
        <v>32</v>
      </c>
      <c r="I2703" s="3" t="s">
        <v>55</v>
      </c>
      <c r="J2703" s="3" t="s">
        <v>194</v>
      </c>
      <c r="K2703" s="2" t="str">
        <f aca="false">CONCATENATE(I2703," ",J2703)</f>
        <v>Maro pansibiricus</v>
      </c>
      <c r="L2703" s="3" t="n">
        <f aca="false">SUM(P2703:U2703)</f>
        <v>1</v>
      </c>
      <c r="M2703" s="11" t="n">
        <f aca="false">(L2703/(F2703*G2703)*25)*4</f>
        <v>4</v>
      </c>
      <c r="N2703" s="1" t="s">
        <v>30</v>
      </c>
      <c r="O2703" s="1" t="s">
        <v>31</v>
      </c>
      <c r="P2703" s="3" t="n">
        <v>1</v>
      </c>
      <c r="Q2703" s="3" t="n">
        <v>0</v>
      </c>
      <c r="R2703" s="3" t="n">
        <v>0</v>
      </c>
      <c r="S2703" s="3" t="n">
        <v>0</v>
      </c>
      <c r="T2703" s="3" t="n">
        <v>0</v>
      </c>
      <c r="U2703" s="3" t="n">
        <v>0</v>
      </c>
      <c r="V2703" s="3" t="n">
        <f aca="false">SUM(P2703:Q2703)</f>
        <v>1</v>
      </c>
      <c r="W2703" s="3" t="n">
        <f aca="false">SUM(R2703:T2703)</f>
        <v>0</v>
      </c>
      <c r="X2703" s="22" t="n">
        <v>41794</v>
      </c>
      <c r="Y2703" s="22" t="n">
        <v>41799</v>
      </c>
    </row>
    <row r="2704" customFormat="false" ht="14.25" hidden="false" customHeight="false" outlineLevel="0" collapsed="false">
      <c r="A2704" s="1" t="n">
        <v>2014</v>
      </c>
      <c r="B2704" s="1" t="n">
        <v>1</v>
      </c>
      <c r="C2704" s="2" t="s">
        <v>50</v>
      </c>
      <c r="D2704" s="3" t="s">
        <v>83</v>
      </c>
      <c r="E2704" s="3" t="n">
        <v>1</v>
      </c>
      <c r="F2704" s="1" t="n">
        <f aca="false">Y2704-X2704</f>
        <v>5</v>
      </c>
      <c r="G2704" s="1" t="n">
        <v>5</v>
      </c>
      <c r="H2704" s="3" t="s">
        <v>32</v>
      </c>
      <c r="I2704" s="3" t="s">
        <v>96</v>
      </c>
      <c r="J2704" s="3" t="s">
        <v>97</v>
      </c>
      <c r="K2704" s="2" t="str">
        <f aca="false">CONCATENATE(I2704," ",J2704)</f>
        <v>Diplocephalus picinus</v>
      </c>
      <c r="L2704" s="3" t="n">
        <f aca="false">SUM(P2704:U2704)</f>
        <v>3</v>
      </c>
      <c r="M2704" s="11" t="n">
        <f aca="false">(L2704/(F2704*G2704)*25)*4</f>
        <v>12</v>
      </c>
      <c r="N2704" s="1" t="s">
        <v>30</v>
      </c>
      <c r="O2704" s="1" t="s">
        <v>31</v>
      </c>
      <c r="P2704" s="3" t="n">
        <v>3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f aca="false">SUM(P2704:Q2704)</f>
        <v>3</v>
      </c>
      <c r="W2704" s="3" t="n">
        <f aca="false">SUM(R2704:T2704)</f>
        <v>0</v>
      </c>
      <c r="X2704" s="22" t="n">
        <v>41794</v>
      </c>
      <c r="Y2704" s="22" t="n">
        <v>41799</v>
      </c>
    </row>
    <row r="2705" customFormat="false" ht="14.25" hidden="false" customHeight="false" outlineLevel="0" collapsed="false">
      <c r="A2705" s="1" t="n">
        <v>2014</v>
      </c>
      <c r="B2705" s="1" t="n">
        <v>1</v>
      </c>
      <c r="C2705" s="2" t="s">
        <v>50</v>
      </c>
      <c r="D2705" s="3" t="s">
        <v>83</v>
      </c>
      <c r="E2705" s="3" t="n">
        <v>3</v>
      </c>
      <c r="F2705" s="1" t="n">
        <f aca="false">Y2705-X2705</f>
        <v>5</v>
      </c>
      <c r="G2705" s="1" t="n">
        <v>5</v>
      </c>
      <c r="H2705" s="3" t="s">
        <v>48</v>
      </c>
      <c r="I2705" s="3" t="s">
        <v>49</v>
      </c>
      <c r="J2705" s="3" t="s">
        <v>223</v>
      </c>
      <c r="K2705" s="2" t="str">
        <f aca="false">CONCATENATE(I2705," ",J2705)</f>
        <v>Alopecosa pulverulenta</v>
      </c>
      <c r="L2705" s="3" t="n">
        <f aca="false">SUM(P2705:U2705)</f>
        <v>1</v>
      </c>
      <c r="M2705" s="11" t="n">
        <f aca="false">(L2705/(F2705*G2705)*25)*4</f>
        <v>4</v>
      </c>
      <c r="N2705" s="1" t="s">
        <v>30</v>
      </c>
      <c r="O2705" s="1" t="s">
        <v>31</v>
      </c>
      <c r="P2705" s="3" t="n">
        <v>1</v>
      </c>
      <c r="Q2705" s="3" t="n">
        <v>0</v>
      </c>
      <c r="R2705" s="3" t="n">
        <v>0</v>
      </c>
      <c r="S2705" s="3" t="n">
        <v>0</v>
      </c>
      <c r="T2705" s="3" t="n">
        <v>0</v>
      </c>
      <c r="U2705" s="3" t="n">
        <v>0</v>
      </c>
      <c r="V2705" s="3" t="n">
        <f aca="false">SUM(P2705:Q2705)</f>
        <v>1</v>
      </c>
      <c r="W2705" s="3" t="n">
        <f aca="false">SUM(R2705:T2705)</f>
        <v>0</v>
      </c>
      <c r="X2705" s="22" t="n">
        <v>41794</v>
      </c>
      <c r="Y2705" s="22" t="n">
        <v>41799</v>
      </c>
    </row>
    <row r="2706" customFormat="false" ht="14.25" hidden="false" customHeight="false" outlineLevel="0" collapsed="false">
      <c r="A2706" s="1" t="n">
        <v>2014</v>
      </c>
      <c r="B2706" s="1" t="n">
        <v>1</v>
      </c>
      <c r="C2706" s="2" t="s">
        <v>50</v>
      </c>
      <c r="D2706" s="3" t="s">
        <v>83</v>
      </c>
      <c r="E2706" s="3" t="n">
        <v>3</v>
      </c>
      <c r="F2706" s="1" t="n">
        <f aca="false">Y2706-X2706</f>
        <v>5</v>
      </c>
      <c r="G2706" s="1" t="n">
        <v>5</v>
      </c>
      <c r="H2706" s="3" t="s">
        <v>48</v>
      </c>
      <c r="I2706" s="3" t="s">
        <v>49</v>
      </c>
      <c r="J2706" s="3" t="s">
        <v>104</v>
      </c>
      <c r="K2706" s="2" t="str">
        <f aca="false">CONCATENATE(I2706," ",J2706)</f>
        <v>Alopecosa taeniata</v>
      </c>
      <c r="L2706" s="3" t="n">
        <f aca="false">SUM(P2706:U2706)</f>
        <v>1</v>
      </c>
      <c r="M2706" s="11" t="n">
        <f aca="false">(L2706/(F2706*G2706)*25)*4</f>
        <v>4</v>
      </c>
      <c r="N2706" s="1" t="s">
        <v>30</v>
      </c>
      <c r="O2706" s="1" t="s">
        <v>35</v>
      </c>
      <c r="P2706" s="3" t="n">
        <v>0</v>
      </c>
      <c r="Q2706" s="3" t="n">
        <v>1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f aca="false">SUM(P2706:Q2706)</f>
        <v>1</v>
      </c>
      <c r="W2706" s="3" t="n">
        <f aca="false">SUM(R2706:T2706)</f>
        <v>0</v>
      </c>
      <c r="X2706" s="22" t="n">
        <v>41794</v>
      </c>
      <c r="Y2706" s="22" t="n">
        <v>41799</v>
      </c>
    </row>
    <row r="2707" customFormat="false" ht="14.25" hidden="false" customHeight="false" outlineLevel="0" collapsed="false">
      <c r="A2707" s="1" t="n">
        <v>2014</v>
      </c>
      <c r="B2707" s="1" t="n">
        <v>1</v>
      </c>
      <c r="C2707" s="2" t="s">
        <v>50</v>
      </c>
      <c r="D2707" s="3" t="s">
        <v>83</v>
      </c>
      <c r="E2707" s="3" t="n">
        <v>3</v>
      </c>
      <c r="F2707" s="1" t="n">
        <f aca="false">Y2707-X2707</f>
        <v>5</v>
      </c>
      <c r="G2707" s="1" t="n">
        <v>5</v>
      </c>
      <c r="H2707" s="3" t="s">
        <v>48</v>
      </c>
      <c r="I2707" s="3" t="s">
        <v>67</v>
      </c>
      <c r="J2707" s="3" t="s">
        <v>127</v>
      </c>
      <c r="K2707" s="2" t="str">
        <f aca="false">CONCATENATE(I2707," ",J2707)</f>
        <v>Pardosa lugubris</v>
      </c>
      <c r="L2707" s="3" t="n">
        <f aca="false">SUM(P2707:U2707)</f>
        <v>3</v>
      </c>
      <c r="M2707" s="11" t="n">
        <f aca="false">(L2707/(F2707*G2707)*25)*4</f>
        <v>12</v>
      </c>
      <c r="N2707" s="1" t="s">
        <v>30</v>
      </c>
      <c r="O2707" s="1" t="s">
        <v>31</v>
      </c>
      <c r="P2707" s="3" t="n">
        <v>3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f aca="false">SUM(P2707:Q2707)</f>
        <v>3</v>
      </c>
      <c r="W2707" s="3" t="n">
        <f aca="false">SUM(R2707:T2707)</f>
        <v>0</v>
      </c>
      <c r="X2707" s="22" t="n">
        <v>41794</v>
      </c>
      <c r="Y2707" s="22" t="n">
        <v>41799</v>
      </c>
    </row>
    <row r="2708" customFormat="false" ht="14.25" hidden="false" customHeight="false" outlineLevel="0" collapsed="false">
      <c r="A2708" s="1" t="n">
        <v>2014</v>
      </c>
      <c r="B2708" s="1" t="n">
        <v>1</v>
      </c>
      <c r="C2708" s="2" t="s">
        <v>50</v>
      </c>
      <c r="D2708" s="3" t="s">
        <v>83</v>
      </c>
      <c r="E2708" s="3" t="n">
        <v>3</v>
      </c>
      <c r="F2708" s="1" t="n">
        <f aca="false">Y2708-X2708</f>
        <v>5</v>
      </c>
      <c r="G2708" s="1" t="n">
        <v>5</v>
      </c>
      <c r="H2708" s="3" t="s">
        <v>48</v>
      </c>
      <c r="I2708" s="3" t="s">
        <v>61</v>
      </c>
      <c r="J2708" s="3" t="s">
        <v>38</v>
      </c>
      <c r="K2708" s="2" t="str">
        <f aca="false">CONCATENATE(I2708," ",J2708)</f>
        <v>Trochosa sp</v>
      </c>
      <c r="L2708" s="3" t="n">
        <f aca="false">SUM(P2708:U2708)</f>
        <v>1</v>
      </c>
      <c r="M2708" s="11" t="n">
        <f aca="false">(L2708/(F2708*G2708)*25)*4</f>
        <v>4</v>
      </c>
      <c r="N2708" s="1" t="s">
        <v>19</v>
      </c>
      <c r="O2708" s="1" t="s">
        <v>54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1</v>
      </c>
      <c r="U2708" s="3" t="n">
        <v>0</v>
      </c>
      <c r="V2708" s="3" t="n">
        <f aca="false">SUM(P2708:Q2708)</f>
        <v>0</v>
      </c>
      <c r="W2708" s="3" t="n">
        <f aca="false">SUM(R2708:T2708)</f>
        <v>1</v>
      </c>
      <c r="X2708" s="22" t="n">
        <v>41794</v>
      </c>
      <c r="Y2708" s="22" t="n">
        <v>41799</v>
      </c>
    </row>
    <row r="2709" customFormat="false" ht="14.25" hidden="false" customHeight="false" outlineLevel="0" collapsed="false">
      <c r="A2709" s="1" t="n">
        <v>2014</v>
      </c>
      <c r="B2709" s="1" t="n">
        <v>1</v>
      </c>
      <c r="C2709" s="2" t="s">
        <v>50</v>
      </c>
      <c r="D2709" s="3" t="s">
        <v>83</v>
      </c>
      <c r="E2709" s="3" t="n">
        <v>3</v>
      </c>
      <c r="F2709" s="1" t="n">
        <f aca="false">Y2709-X2709</f>
        <v>5</v>
      </c>
      <c r="G2709" s="1" t="n">
        <v>5</v>
      </c>
      <c r="H2709" s="3" t="s">
        <v>48</v>
      </c>
      <c r="I2709" s="3" t="s">
        <v>49</v>
      </c>
      <c r="J2709" s="3" t="s">
        <v>38</v>
      </c>
      <c r="K2709" s="2" t="str">
        <f aca="false">CONCATENATE(I2709," ",J2709)</f>
        <v>Alopecosa sp</v>
      </c>
      <c r="L2709" s="3" t="n">
        <f aca="false">SUM(P2709:U2709)</f>
        <v>2</v>
      </c>
      <c r="M2709" s="11" t="n">
        <f aca="false">(L2709/(F2709*G2709)*25)*4</f>
        <v>8</v>
      </c>
      <c r="N2709" s="1" t="s">
        <v>19</v>
      </c>
      <c r="O2709" s="1" t="s">
        <v>54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2</v>
      </c>
      <c r="U2709" s="3" t="n">
        <v>0</v>
      </c>
      <c r="V2709" s="3" t="n">
        <f aca="false">SUM(P2709:Q2709)</f>
        <v>0</v>
      </c>
      <c r="W2709" s="3" t="n">
        <f aca="false">SUM(R2709:T2709)</f>
        <v>2</v>
      </c>
      <c r="X2709" s="22" t="n">
        <v>41794</v>
      </c>
      <c r="Y2709" s="22" t="n">
        <v>41799</v>
      </c>
    </row>
    <row r="2710" customFormat="false" ht="14.25" hidden="false" customHeight="false" outlineLevel="0" collapsed="false">
      <c r="A2710" s="1" t="n">
        <v>2014</v>
      </c>
      <c r="B2710" s="1" t="n">
        <v>1</v>
      </c>
      <c r="C2710" s="2" t="s">
        <v>50</v>
      </c>
      <c r="D2710" s="3" t="s">
        <v>83</v>
      </c>
      <c r="E2710" s="3" t="n">
        <v>3</v>
      </c>
      <c r="F2710" s="1" t="n">
        <f aca="false">Y2710-X2710</f>
        <v>5</v>
      </c>
      <c r="G2710" s="1" t="n">
        <v>5</v>
      </c>
      <c r="H2710" s="3" t="s">
        <v>72</v>
      </c>
      <c r="I2710" s="3" t="s">
        <v>73</v>
      </c>
      <c r="J2710" s="3" t="s">
        <v>38</v>
      </c>
      <c r="K2710" s="2" t="str">
        <f aca="false">CONCATENATE(I2710," ",J2710)</f>
        <v>Zelotes sp</v>
      </c>
      <c r="L2710" s="3" t="n">
        <f aca="false">SUM(P2710:U2710)</f>
        <v>1</v>
      </c>
      <c r="M2710" s="11" t="n">
        <f aca="false">(L2710/(F2710*G2710)*25)*4</f>
        <v>4</v>
      </c>
      <c r="N2710" s="1" t="s">
        <v>19</v>
      </c>
      <c r="O2710" s="1" t="s">
        <v>31</v>
      </c>
      <c r="P2710" s="3" t="n">
        <v>0</v>
      </c>
      <c r="Q2710" s="3" t="n">
        <v>0</v>
      </c>
      <c r="R2710" s="3" t="n">
        <v>1</v>
      </c>
      <c r="S2710" s="3" t="n">
        <v>0</v>
      </c>
      <c r="T2710" s="3" t="n">
        <v>0</v>
      </c>
      <c r="U2710" s="3" t="n">
        <v>0</v>
      </c>
      <c r="V2710" s="3" t="n">
        <f aca="false">SUM(P2710:Q2710)</f>
        <v>0</v>
      </c>
      <c r="W2710" s="3" t="n">
        <f aca="false">SUM(R2710:T2710)</f>
        <v>1</v>
      </c>
      <c r="X2710" s="22" t="n">
        <v>41794</v>
      </c>
      <c r="Y2710" s="22" t="n">
        <v>41799</v>
      </c>
    </row>
    <row r="2711" customFormat="false" ht="14.25" hidden="false" customHeight="false" outlineLevel="0" collapsed="false">
      <c r="A2711" s="1" t="n">
        <v>2014</v>
      </c>
      <c r="B2711" s="1" t="n">
        <v>1</v>
      </c>
      <c r="C2711" s="2" t="s">
        <v>50</v>
      </c>
      <c r="D2711" s="3" t="s">
        <v>83</v>
      </c>
      <c r="E2711" s="3" t="n">
        <v>3</v>
      </c>
      <c r="F2711" s="1" t="n">
        <f aca="false">Y2711-X2711</f>
        <v>5</v>
      </c>
      <c r="G2711" s="1" t="n">
        <v>5</v>
      </c>
      <c r="H2711" s="3" t="s">
        <v>36</v>
      </c>
      <c r="I2711" s="3" t="s">
        <v>131</v>
      </c>
      <c r="J2711" s="3" t="s">
        <v>133</v>
      </c>
      <c r="K2711" s="2" t="str">
        <f aca="false">CONCATENATE(I2711," ",J2711)</f>
        <v>Xysticus luctuosus</v>
      </c>
      <c r="L2711" s="3" t="n">
        <f aca="false">SUM(P2711:U2711)</f>
        <v>1</v>
      </c>
      <c r="M2711" s="11" t="n">
        <f aca="false">(L2711/(F2711*G2711)*25)*4</f>
        <v>4</v>
      </c>
      <c r="N2711" s="1" t="s">
        <v>30</v>
      </c>
      <c r="O2711" s="1" t="s">
        <v>31</v>
      </c>
      <c r="P2711" s="3" t="n">
        <v>1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f aca="false">SUM(P2711:Q2711)</f>
        <v>1</v>
      </c>
      <c r="W2711" s="3" t="n">
        <f aca="false">SUM(R2711:T2711)</f>
        <v>0</v>
      </c>
      <c r="X2711" s="22" t="n">
        <v>41794</v>
      </c>
      <c r="Y2711" s="22" t="n">
        <v>41799</v>
      </c>
    </row>
    <row r="2712" customFormat="false" ht="14.25" hidden="false" customHeight="false" outlineLevel="0" collapsed="false">
      <c r="A2712" s="1" t="n">
        <v>2014</v>
      </c>
      <c r="B2712" s="1" t="n">
        <v>1</v>
      </c>
      <c r="C2712" s="2" t="s">
        <v>50</v>
      </c>
      <c r="D2712" s="3" t="s">
        <v>83</v>
      </c>
      <c r="E2712" s="3" t="n">
        <v>3</v>
      </c>
      <c r="F2712" s="1" t="n">
        <f aca="false">Y2712-X2712</f>
        <v>5</v>
      </c>
      <c r="G2712" s="1" t="n">
        <v>5</v>
      </c>
      <c r="H2712" s="3" t="s">
        <v>32</v>
      </c>
      <c r="I2712" s="3" t="s">
        <v>169</v>
      </c>
      <c r="J2712" s="3" t="s">
        <v>170</v>
      </c>
      <c r="K2712" s="2" t="str">
        <f aca="false">CONCATENATE(I2712," ",J2712)</f>
        <v>Abacoproeces saltuum</v>
      </c>
      <c r="L2712" s="3" t="n">
        <f aca="false">SUM(P2712:U2712)</f>
        <v>2</v>
      </c>
      <c r="M2712" s="11" t="n">
        <f aca="false">(L2712/(F2712*G2712)*25)*4</f>
        <v>8</v>
      </c>
      <c r="N2712" s="1" t="s">
        <v>30</v>
      </c>
      <c r="O2712" s="1" t="s">
        <v>31</v>
      </c>
      <c r="P2712" s="3" t="n">
        <v>2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f aca="false">SUM(P2712:Q2712)</f>
        <v>2</v>
      </c>
      <c r="W2712" s="3" t="n">
        <f aca="false">SUM(R2712:T2712)</f>
        <v>0</v>
      </c>
      <c r="X2712" s="22" t="n">
        <v>41794</v>
      </c>
      <c r="Y2712" s="22" t="n">
        <v>41799</v>
      </c>
    </row>
    <row r="2713" customFormat="false" ht="14.25" hidden="false" customHeight="false" outlineLevel="0" collapsed="false">
      <c r="A2713" s="1" t="n">
        <v>2014</v>
      </c>
      <c r="B2713" s="1" t="n">
        <v>1</v>
      </c>
      <c r="C2713" s="2" t="s">
        <v>50</v>
      </c>
      <c r="D2713" s="3" t="s">
        <v>83</v>
      </c>
      <c r="E2713" s="3" t="n">
        <v>3</v>
      </c>
      <c r="F2713" s="1" t="n">
        <f aca="false">Y2713-X2713</f>
        <v>5</v>
      </c>
      <c r="G2713" s="1" t="n">
        <v>5</v>
      </c>
      <c r="H2713" s="3" t="s">
        <v>32</v>
      </c>
      <c r="I2713" s="3" t="s">
        <v>57</v>
      </c>
      <c r="J2713" s="3" t="s">
        <v>38</v>
      </c>
      <c r="K2713" s="2" t="str">
        <f aca="false">CONCATENATE(I2713," ",J2713)</f>
        <v>Gen sp</v>
      </c>
      <c r="L2713" s="3" t="n">
        <f aca="false">SUM(P2713:U2713)</f>
        <v>1</v>
      </c>
      <c r="M2713" s="11" t="n">
        <f aca="false">(L2713/(F2713*G2713)*25)*4</f>
        <v>4</v>
      </c>
      <c r="N2713" s="1" t="s">
        <v>19</v>
      </c>
      <c r="O2713" s="1" t="s">
        <v>31</v>
      </c>
      <c r="P2713" s="3" t="n">
        <v>0</v>
      </c>
      <c r="Q2713" s="3" t="n">
        <v>0</v>
      </c>
      <c r="R2713" s="3" t="n">
        <v>1</v>
      </c>
      <c r="S2713" s="3" t="n">
        <v>0</v>
      </c>
      <c r="T2713" s="3" t="n">
        <v>0</v>
      </c>
      <c r="U2713" s="3" t="n">
        <v>0</v>
      </c>
      <c r="V2713" s="3" t="n">
        <f aca="false">SUM(P2713:Q2713)</f>
        <v>0</v>
      </c>
      <c r="W2713" s="3" t="n">
        <f aca="false">SUM(R2713:T2713)</f>
        <v>1</v>
      </c>
      <c r="X2713" s="22" t="n">
        <v>41794</v>
      </c>
      <c r="Y2713" s="22" t="n">
        <v>41799</v>
      </c>
    </row>
    <row r="2714" customFormat="false" ht="14.25" hidden="false" customHeight="false" outlineLevel="0" collapsed="false">
      <c r="A2714" s="1" t="n">
        <v>2014</v>
      </c>
      <c r="B2714" s="1" t="n">
        <v>1</v>
      </c>
      <c r="C2714" s="2" t="s">
        <v>50</v>
      </c>
      <c r="D2714" s="3" t="s">
        <v>83</v>
      </c>
      <c r="E2714" s="3" t="n">
        <v>3</v>
      </c>
      <c r="F2714" s="1" t="n">
        <f aca="false">Y2714-X2714</f>
        <v>5</v>
      </c>
      <c r="G2714" s="1" t="n">
        <v>5</v>
      </c>
      <c r="H2714" s="3" t="s">
        <v>48</v>
      </c>
      <c r="I2714" s="3" t="s">
        <v>67</v>
      </c>
      <c r="J2714" s="3" t="s">
        <v>127</v>
      </c>
      <c r="K2714" s="2" t="str">
        <f aca="false">CONCATENATE(I2714," ",J2714)</f>
        <v>Pardosa lugubris</v>
      </c>
      <c r="L2714" s="3" t="n">
        <f aca="false">SUM(P2714:U2714)</f>
        <v>4</v>
      </c>
      <c r="M2714" s="11" t="n">
        <f aca="false">(L2714/(F2714*G2714)*25)*4</f>
        <v>16</v>
      </c>
      <c r="N2714" s="1" t="s">
        <v>30</v>
      </c>
      <c r="O2714" s="1" t="s">
        <v>31</v>
      </c>
      <c r="P2714" s="3" t="n">
        <v>4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f aca="false">SUM(P2714:Q2714)</f>
        <v>4</v>
      </c>
      <c r="W2714" s="3" t="n">
        <f aca="false">SUM(R2714:T2714)</f>
        <v>0</v>
      </c>
      <c r="X2714" s="22" t="n">
        <v>41794</v>
      </c>
      <c r="Y2714" s="22" t="n">
        <v>41799</v>
      </c>
    </row>
    <row r="2715" customFormat="false" ht="14.25" hidden="false" customHeight="false" outlineLevel="0" collapsed="false">
      <c r="A2715" s="1" t="n">
        <v>2014</v>
      </c>
      <c r="B2715" s="1" t="n">
        <v>1</v>
      </c>
      <c r="C2715" s="2" t="s">
        <v>50</v>
      </c>
      <c r="D2715" s="3" t="s">
        <v>83</v>
      </c>
      <c r="E2715" s="3" t="n">
        <v>3</v>
      </c>
      <c r="F2715" s="1" t="n">
        <f aca="false">Y2715-X2715</f>
        <v>5</v>
      </c>
      <c r="G2715" s="1" t="n">
        <v>5</v>
      </c>
      <c r="H2715" s="3" t="s">
        <v>48</v>
      </c>
      <c r="I2715" s="3" t="s">
        <v>122</v>
      </c>
      <c r="J2715" s="3" t="s">
        <v>123</v>
      </c>
      <c r="K2715" s="2" t="str">
        <f aca="false">CONCATENATE(I2715," ",J2715)</f>
        <v>Xerolycosa nemoralis</v>
      </c>
      <c r="L2715" s="3" t="n">
        <f aca="false">SUM(P2715:U2715)</f>
        <v>1</v>
      </c>
      <c r="M2715" s="11" t="n">
        <f aca="false">(L2715/(F2715*G2715)*25)*4</f>
        <v>4</v>
      </c>
      <c r="N2715" s="1" t="s">
        <v>30</v>
      </c>
      <c r="O2715" s="1" t="s">
        <v>31</v>
      </c>
      <c r="P2715" s="3" t="n">
        <v>1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f aca="false">SUM(P2715:Q2715)</f>
        <v>1</v>
      </c>
      <c r="W2715" s="3" t="n">
        <f aca="false">SUM(R2715:T2715)</f>
        <v>0</v>
      </c>
      <c r="X2715" s="22" t="n">
        <v>41794</v>
      </c>
      <c r="Y2715" s="22" t="n">
        <v>41799</v>
      </c>
    </row>
    <row r="2716" customFormat="false" ht="14.25" hidden="false" customHeight="false" outlineLevel="0" collapsed="false">
      <c r="A2716" s="1" t="n">
        <v>2014</v>
      </c>
      <c r="B2716" s="1" t="n">
        <v>1</v>
      </c>
      <c r="C2716" s="2" t="s">
        <v>50</v>
      </c>
      <c r="D2716" s="3" t="s">
        <v>83</v>
      </c>
      <c r="E2716" s="3" t="n">
        <v>3</v>
      </c>
      <c r="F2716" s="1" t="n">
        <f aca="false">Y2716-X2716</f>
        <v>5</v>
      </c>
      <c r="G2716" s="1" t="n">
        <v>5</v>
      </c>
      <c r="H2716" s="3" t="s">
        <v>48</v>
      </c>
      <c r="I2716" s="3" t="s">
        <v>49</v>
      </c>
      <c r="J2716" s="3" t="s">
        <v>104</v>
      </c>
      <c r="K2716" s="2" t="str">
        <f aca="false">CONCATENATE(I2716," ",J2716)</f>
        <v>Alopecosa taeniata</v>
      </c>
      <c r="L2716" s="3" t="n">
        <f aca="false">SUM(P2716:U2716)</f>
        <v>5</v>
      </c>
      <c r="M2716" s="11" t="n">
        <f aca="false">(L2716/(F2716*G2716)*25)*4</f>
        <v>20</v>
      </c>
      <c r="N2716" s="1" t="s">
        <v>30</v>
      </c>
      <c r="O2716" s="1" t="s">
        <v>31</v>
      </c>
      <c r="P2716" s="3" t="n">
        <v>5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f aca="false">SUM(P2716:Q2716)</f>
        <v>5</v>
      </c>
      <c r="W2716" s="3" t="n">
        <f aca="false">SUM(R2716:T2716)</f>
        <v>0</v>
      </c>
      <c r="X2716" s="22" t="n">
        <v>41794</v>
      </c>
      <c r="Y2716" s="22" t="n">
        <v>41799</v>
      </c>
    </row>
    <row r="2717" customFormat="false" ht="14.25" hidden="false" customHeight="false" outlineLevel="0" collapsed="false">
      <c r="A2717" s="1" t="n">
        <v>2014</v>
      </c>
      <c r="B2717" s="1" t="n">
        <v>1</v>
      </c>
      <c r="C2717" s="2" t="s">
        <v>50</v>
      </c>
      <c r="D2717" s="3" t="s">
        <v>83</v>
      </c>
      <c r="E2717" s="3" t="n">
        <v>3</v>
      </c>
      <c r="F2717" s="1" t="n">
        <f aca="false">Y2717-X2717</f>
        <v>5</v>
      </c>
      <c r="G2717" s="1" t="n">
        <v>5</v>
      </c>
      <c r="H2717" s="3" t="s">
        <v>48</v>
      </c>
      <c r="I2717" s="3" t="s">
        <v>49</v>
      </c>
      <c r="J2717" s="3" t="s">
        <v>104</v>
      </c>
      <c r="K2717" s="2" t="str">
        <f aca="false">CONCATENATE(I2717," ",J2717)</f>
        <v>Alopecosa taeniata</v>
      </c>
      <c r="L2717" s="3" t="n">
        <f aca="false">SUM(P2717:U2717)</f>
        <v>1</v>
      </c>
      <c r="M2717" s="11" t="n">
        <f aca="false">(L2717/(F2717*G2717)*25)*4</f>
        <v>4</v>
      </c>
      <c r="N2717" s="1" t="s">
        <v>30</v>
      </c>
      <c r="O2717" s="1" t="s">
        <v>35</v>
      </c>
      <c r="P2717" s="3" t="n">
        <v>0</v>
      </c>
      <c r="Q2717" s="3" t="n">
        <v>1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f aca="false">SUM(P2717:Q2717)</f>
        <v>1</v>
      </c>
      <c r="W2717" s="3" t="n">
        <f aca="false">SUM(R2717:T2717)</f>
        <v>0</v>
      </c>
      <c r="X2717" s="22" t="n">
        <v>41794</v>
      </c>
      <c r="Y2717" s="22" t="n">
        <v>41799</v>
      </c>
    </row>
    <row r="2718" customFormat="false" ht="14.25" hidden="false" customHeight="false" outlineLevel="0" collapsed="false">
      <c r="A2718" s="1" t="n">
        <v>2014</v>
      </c>
      <c r="B2718" s="1" t="n">
        <v>1</v>
      </c>
      <c r="C2718" s="2" t="s">
        <v>50</v>
      </c>
      <c r="D2718" s="3" t="s">
        <v>83</v>
      </c>
      <c r="E2718" s="3" t="n">
        <v>3</v>
      </c>
      <c r="F2718" s="1" t="n">
        <f aca="false">Y2718-X2718</f>
        <v>5</v>
      </c>
      <c r="G2718" s="1" t="n">
        <v>5</v>
      </c>
      <c r="H2718" s="3" t="s">
        <v>48</v>
      </c>
      <c r="I2718" s="3" t="s">
        <v>49</v>
      </c>
      <c r="J2718" s="3" t="s">
        <v>130</v>
      </c>
      <c r="K2718" s="2" t="str">
        <f aca="false">CONCATENATE(I2718," ",J2718)</f>
        <v>Alopecosa aculeata</v>
      </c>
      <c r="L2718" s="3" t="n">
        <f aca="false">SUM(P2718:U2718)</f>
        <v>1</v>
      </c>
      <c r="M2718" s="11" t="n">
        <f aca="false">(L2718/(F2718*G2718)*25)*4</f>
        <v>4</v>
      </c>
      <c r="N2718" s="1" t="s">
        <v>30</v>
      </c>
      <c r="O2718" s="1" t="s">
        <v>31</v>
      </c>
      <c r="P2718" s="3" t="n">
        <v>1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f aca="false">SUM(P2718:Q2718)</f>
        <v>1</v>
      </c>
      <c r="W2718" s="3" t="n">
        <f aca="false">SUM(R2718:T2718)</f>
        <v>0</v>
      </c>
      <c r="X2718" s="22" t="n">
        <v>41794</v>
      </c>
      <c r="Y2718" s="22" t="n">
        <v>41799</v>
      </c>
    </row>
    <row r="2719" customFormat="false" ht="14.25" hidden="false" customHeight="false" outlineLevel="0" collapsed="false">
      <c r="A2719" s="1" t="n">
        <v>2014</v>
      </c>
      <c r="B2719" s="1" t="n">
        <v>1</v>
      </c>
      <c r="C2719" s="2" t="s">
        <v>50</v>
      </c>
      <c r="D2719" s="3" t="s">
        <v>83</v>
      </c>
      <c r="E2719" s="3" t="n">
        <v>3</v>
      </c>
      <c r="F2719" s="1" t="n">
        <f aca="false">Y2719-X2719</f>
        <v>5</v>
      </c>
      <c r="G2719" s="1" t="n">
        <v>5</v>
      </c>
      <c r="H2719" s="3" t="s">
        <v>48</v>
      </c>
      <c r="I2719" s="3" t="s">
        <v>49</v>
      </c>
      <c r="J2719" s="3" t="s">
        <v>130</v>
      </c>
      <c r="K2719" s="2" t="str">
        <f aca="false">CONCATENATE(I2719," ",J2719)</f>
        <v>Alopecosa aculeata</v>
      </c>
      <c r="L2719" s="3" t="n">
        <f aca="false">SUM(P2719:U2719)</f>
        <v>1</v>
      </c>
      <c r="M2719" s="11" t="n">
        <f aca="false">(L2719/(F2719*G2719)*25)*4</f>
        <v>4</v>
      </c>
      <c r="N2719" s="1" t="s">
        <v>30</v>
      </c>
      <c r="O2719" s="1" t="s">
        <v>35</v>
      </c>
      <c r="P2719" s="3" t="n">
        <v>0</v>
      </c>
      <c r="Q2719" s="3" t="n">
        <v>1</v>
      </c>
      <c r="R2719" s="3" t="n">
        <v>0</v>
      </c>
      <c r="S2719" s="3" t="n">
        <v>0</v>
      </c>
      <c r="T2719" s="3" t="n">
        <v>0</v>
      </c>
      <c r="U2719" s="3" t="n">
        <v>0</v>
      </c>
      <c r="V2719" s="3" t="n">
        <f aca="false">SUM(P2719:Q2719)</f>
        <v>1</v>
      </c>
      <c r="W2719" s="3" t="n">
        <f aca="false">SUM(R2719:T2719)</f>
        <v>0</v>
      </c>
      <c r="X2719" s="22" t="n">
        <v>41794</v>
      </c>
      <c r="Y2719" s="22" t="n">
        <v>41799</v>
      </c>
    </row>
    <row r="2720" customFormat="false" ht="14.25" hidden="false" customHeight="false" outlineLevel="0" collapsed="false">
      <c r="A2720" s="1" t="n">
        <v>2014</v>
      </c>
      <c r="B2720" s="1" t="n">
        <v>1</v>
      </c>
      <c r="C2720" s="2" t="s">
        <v>50</v>
      </c>
      <c r="D2720" s="3" t="s">
        <v>83</v>
      </c>
      <c r="E2720" s="3" t="n">
        <v>3</v>
      </c>
      <c r="F2720" s="1" t="n">
        <f aca="false">Y2720-X2720</f>
        <v>5</v>
      </c>
      <c r="G2720" s="1" t="n">
        <v>5</v>
      </c>
      <c r="H2720" s="3" t="s">
        <v>72</v>
      </c>
      <c r="I2720" s="3" t="s">
        <v>73</v>
      </c>
      <c r="J2720" s="3" t="s">
        <v>74</v>
      </c>
      <c r="K2720" s="2" t="str">
        <f aca="false">CONCATENATE(I2720," ",J2720)</f>
        <v>Zelotes subterraneus</v>
      </c>
      <c r="L2720" s="3" t="n">
        <f aca="false">SUM(P2720:U2720)</f>
        <v>1</v>
      </c>
      <c r="M2720" s="11" t="n">
        <f aca="false">(L2720/(F2720*G2720)*25)*4</f>
        <v>4</v>
      </c>
      <c r="N2720" s="1" t="s">
        <v>30</v>
      </c>
      <c r="O2720" s="1" t="s">
        <v>31</v>
      </c>
      <c r="P2720" s="3" t="n">
        <v>1</v>
      </c>
      <c r="Q2720" s="3" t="n">
        <v>0</v>
      </c>
      <c r="R2720" s="3" t="n">
        <v>0</v>
      </c>
      <c r="S2720" s="3" t="n">
        <v>0</v>
      </c>
      <c r="T2720" s="3" t="n">
        <v>0</v>
      </c>
      <c r="U2720" s="3" t="n">
        <v>0</v>
      </c>
      <c r="V2720" s="3" t="n">
        <f aca="false">SUM(P2720:Q2720)</f>
        <v>1</v>
      </c>
      <c r="W2720" s="3" t="n">
        <f aca="false">SUM(R2720:T2720)</f>
        <v>0</v>
      </c>
      <c r="X2720" s="22" t="n">
        <v>41794</v>
      </c>
      <c r="Y2720" s="22" t="n">
        <v>41799</v>
      </c>
    </row>
    <row r="2721" customFormat="false" ht="14.25" hidden="false" customHeight="false" outlineLevel="0" collapsed="false">
      <c r="A2721" s="1" t="n">
        <v>2014</v>
      </c>
      <c r="B2721" s="1" t="n">
        <v>1</v>
      </c>
      <c r="C2721" s="2" t="s">
        <v>50</v>
      </c>
      <c r="D2721" s="3" t="s">
        <v>83</v>
      </c>
      <c r="E2721" s="3" t="n">
        <v>3</v>
      </c>
      <c r="F2721" s="1" t="n">
        <f aca="false">Y2721-X2721</f>
        <v>5</v>
      </c>
      <c r="G2721" s="1" t="n">
        <v>5</v>
      </c>
      <c r="H2721" s="3" t="s">
        <v>135</v>
      </c>
      <c r="I2721" s="3" t="s">
        <v>136</v>
      </c>
      <c r="J2721" s="3" t="s">
        <v>137</v>
      </c>
      <c r="K2721" s="2" t="str">
        <f aca="false">CONCATENATE(I2721," ",J2721)</f>
        <v>Thanatus sabulosus</v>
      </c>
      <c r="L2721" s="3" t="n">
        <f aca="false">SUM(P2721:U2721)</f>
        <v>1</v>
      </c>
      <c r="M2721" s="11" t="n">
        <f aca="false">(L2721/(F2721*G2721)*25)*4</f>
        <v>4</v>
      </c>
      <c r="N2721" s="1" t="s">
        <v>30</v>
      </c>
      <c r="O2721" s="1" t="s">
        <v>31</v>
      </c>
      <c r="P2721" s="3" t="n">
        <v>1</v>
      </c>
      <c r="Q2721" s="3" t="n">
        <v>0</v>
      </c>
      <c r="R2721" s="3" t="n">
        <v>0</v>
      </c>
      <c r="S2721" s="3" t="n">
        <v>0</v>
      </c>
      <c r="T2721" s="3" t="n">
        <v>0</v>
      </c>
      <c r="U2721" s="3" t="n">
        <v>0</v>
      </c>
      <c r="V2721" s="3" t="n">
        <f aca="false">SUM(P2721:Q2721)</f>
        <v>1</v>
      </c>
      <c r="W2721" s="3" t="n">
        <f aca="false">SUM(R2721:T2721)</f>
        <v>0</v>
      </c>
      <c r="X2721" s="22" t="n">
        <v>41794</v>
      </c>
      <c r="Y2721" s="22" t="n">
        <v>41799</v>
      </c>
    </row>
    <row r="2722" customFormat="false" ht="14.25" hidden="false" customHeight="false" outlineLevel="0" collapsed="false">
      <c r="A2722" s="1" t="n">
        <v>2014</v>
      </c>
      <c r="B2722" s="1" t="n">
        <v>1</v>
      </c>
      <c r="C2722" s="2" t="s">
        <v>50</v>
      </c>
      <c r="D2722" s="3" t="s">
        <v>83</v>
      </c>
      <c r="E2722" s="3" t="n">
        <v>3</v>
      </c>
      <c r="F2722" s="1" t="n">
        <f aca="false">Y2722-X2722</f>
        <v>5</v>
      </c>
      <c r="G2722" s="1" t="n">
        <v>5</v>
      </c>
      <c r="H2722" s="3" t="s">
        <v>36</v>
      </c>
      <c r="I2722" s="3" t="s">
        <v>131</v>
      </c>
      <c r="J2722" s="3" t="s">
        <v>133</v>
      </c>
      <c r="K2722" s="2" t="str">
        <f aca="false">CONCATENATE(I2722," ",J2722)</f>
        <v>Xysticus luctuosus</v>
      </c>
      <c r="L2722" s="3" t="n">
        <f aca="false">SUM(P2722:U2722)</f>
        <v>2</v>
      </c>
      <c r="M2722" s="11" t="n">
        <f aca="false">(L2722/(F2722*G2722)*25)*4</f>
        <v>8</v>
      </c>
      <c r="N2722" s="1" t="s">
        <v>30</v>
      </c>
      <c r="O2722" s="1" t="s">
        <v>31</v>
      </c>
      <c r="P2722" s="3" t="n">
        <v>0</v>
      </c>
      <c r="Q2722" s="3" t="n">
        <v>2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f aca="false">SUM(P2722:Q2722)</f>
        <v>2</v>
      </c>
      <c r="W2722" s="3" t="n">
        <f aca="false">SUM(R2722:T2722)</f>
        <v>0</v>
      </c>
      <c r="X2722" s="22" t="n">
        <v>41794</v>
      </c>
      <c r="Y2722" s="22" t="n">
        <v>41799</v>
      </c>
    </row>
    <row r="2723" customFormat="false" ht="14.25" hidden="false" customHeight="false" outlineLevel="0" collapsed="false">
      <c r="A2723" s="1" t="n">
        <v>2014</v>
      </c>
      <c r="B2723" s="1" t="n">
        <v>1</v>
      </c>
      <c r="C2723" s="2" t="s">
        <v>50</v>
      </c>
      <c r="D2723" s="3" t="s">
        <v>83</v>
      </c>
      <c r="E2723" s="3" t="n">
        <v>3</v>
      </c>
      <c r="F2723" s="1" t="n">
        <f aca="false">Y2723-X2723</f>
        <v>5</v>
      </c>
      <c r="G2723" s="1" t="n">
        <v>5</v>
      </c>
      <c r="H2723" s="3" t="s">
        <v>32</v>
      </c>
      <c r="I2723" s="3" t="s">
        <v>169</v>
      </c>
      <c r="J2723" s="3" t="s">
        <v>170</v>
      </c>
      <c r="K2723" s="2" t="str">
        <f aca="false">CONCATENATE(I2723," ",J2723)</f>
        <v>Abacoproeces saltuum</v>
      </c>
      <c r="L2723" s="3" t="n">
        <f aca="false">SUM(P2723:U2723)</f>
        <v>3</v>
      </c>
      <c r="M2723" s="11" t="n">
        <f aca="false">(L2723/(F2723*G2723)*25)*4</f>
        <v>12</v>
      </c>
      <c r="N2723" s="1" t="s">
        <v>30</v>
      </c>
      <c r="O2723" s="1" t="s">
        <v>31</v>
      </c>
      <c r="P2723" s="3" t="n">
        <v>3</v>
      </c>
      <c r="Q2723" s="3" t="n">
        <v>0</v>
      </c>
      <c r="R2723" s="3" t="n">
        <v>0</v>
      </c>
      <c r="S2723" s="3" t="n">
        <v>0</v>
      </c>
      <c r="T2723" s="3" t="n">
        <v>0</v>
      </c>
      <c r="U2723" s="3" t="n">
        <v>0</v>
      </c>
      <c r="V2723" s="3" t="n">
        <f aca="false">SUM(P2723:Q2723)</f>
        <v>3</v>
      </c>
      <c r="W2723" s="3" t="n">
        <f aca="false">SUM(R2723:T2723)</f>
        <v>0</v>
      </c>
      <c r="X2723" s="22" t="n">
        <v>41794</v>
      </c>
      <c r="Y2723" s="22" t="n">
        <v>41799</v>
      </c>
    </row>
    <row r="2724" customFormat="false" ht="14.25" hidden="false" customHeight="false" outlineLevel="0" collapsed="false">
      <c r="A2724" s="1" t="n">
        <v>2014</v>
      </c>
      <c r="B2724" s="1" t="n">
        <v>1</v>
      </c>
      <c r="C2724" s="2" t="s">
        <v>50</v>
      </c>
      <c r="D2724" s="3" t="s">
        <v>83</v>
      </c>
      <c r="E2724" s="3" t="n">
        <v>3</v>
      </c>
      <c r="F2724" s="1" t="n">
        <f aca="false">Y2724-X2724</f>
        <v>5</v>
      </c>
      <c r="G2724" s="1" t="n">
        <v>5</v>
      </c>
      <c r="H2724" s="3" t="s">
        <v>32</v>
      </c>
      <c r="I2724" s="3" t="s">
        <v>90</v>
      </c>
      <c r="J2724" s="3" t="s">
        <v>91</v>
      </c>
      <c r="K2724" s="2" t="str">
        <f aca="false">CONCATENATE(I2724," ",J2724)</f>
        <v>Tapinocyba insecta</v>
      </c>
      <c r="L2724" s="3" t="n">
        <f aca="false">SUM(P2724:U2724)</f>
        <v>1</v>
      </c>
      <c r="M2724" s="11" t="n">
        <f aca="false">(L2724/(F2724*G2724)*25)*4</f>
        <v>4</v>
      </c>
      <c r="N2724" s="1" t="s">
        <v>30</v>
      </c>
      <c r="O2724" s="1" t="s">
        <v>31</v>
      </c>
      <c r="P2724" s="3" t="n">
        <v>1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f aca="false">SUM(P2724:Q2724)</f>
        <v>1</v>
      </c>
      <c r="W2724" s="3" t="n">
        <f aca="false">SUM(R2724:T2724)</f>
        <v>0</v>
      </c>
      <c r="X2724" s="22" t="n">
        <v>41794</v>
      </c>
      <c r="Y2724" s="22" t="n">
        <v>41799</v>
      </c>
    </row>
    <row r="2725" customFormat="false" ht="14.25" hidden="false" customHeight="false" outlineLevel="0" collapsed="false">
      <c r="A2725" s="1" t="n">
        <v>2014</v>
      </c>
      <c r="B2725" s="1" t="n">
        <v>1</v>
      </c>
      <c r="C2725" s="2" t="s">
        <v>50</v>
      </c>
      <c r="D2725" s="3" t="s">
        <v>83</v>
      </c>
      <c r="E2725" s="3" t="n">
        <v>2</v>
      </c>
      <c r="F2725" s="1" t="n">
        <f aca="false">Y2725-X2725</f>
        <v>5</v>
      </c>
      <c r="G2725" s="1" t="n">
        <v>5</v>
      </c>
      <c r="H2725" s="3" t="s">
        <v>48</v>
      </c>
      <c r="I2725" s="3" t="s">
        <v>67</v>
      </c>
      <c r="J2725" s="3" t="s">
        <v>127</v>
      </c>
      <c r="K2725" s="2" t="str">
        <f aca="false">CONCATENATE(I2725," ",J2725)</f>
        <v>Pardosa lugubris</v>
      </c>
      <c r="L2725" s="3" t="n">
        <f aca="false">SUM(P2725:U2725)</f>
        <v>16</v>
      </c>
      <c r="M2725" s="11" t="n">
        <f aca="false">(L2725/(F2725*G2725)*25)*4</f>
        <v>64</v>
      </c>
      <c r="N2725" s="1" t="s">
        <v>30</v>
      </c>
      <c r="O2725" s="1" t="s">
        <v>31</v>
      </c>
      <c r="P2725" s="3" t="n">
        <v>16</v>
      </c>
      <c r="Q2725" s="3" t="n">
        <v>0</v>
      </c>
      <c r="R2725" s="3" t="n">
        <v>0</v>
      </c>
      <c r="S2725" s="3" t="n">
        <v>0</v>
      </c>
      <c r="T2725" s="3" t="n">
        <v>0</v>
      </c>
      <c r="U2725" s="3" t="n">
        <v>0</v>
      </c>
      <c r="V2725" s="3" t="n">
        <f aca="false">SUM(P2725:Q2725)</f>
        <v>16</v>
      </c>
      <c r="W2725" s="3" t="n">
        <f aca="false">SUM(R2725:T2725)</f>
        <v>0</v>
      </c>
      <c r="X2725" s="22" t="n">
        <v>41794</v>
      </c>
      <c r="Y2725" s="22" t="n">
        <v>41799</v>
      </c>
    </row>
    <row r="2726" customFormat="false" ht="14.25" hidden="false" customHeight="false" outlineLevel="0" collapsed="false">
      <c r="A2726" s="1" t="n">
        <v>2014</v>
      </c>
      <c r="B2726" s="1" t="n">
        <v>1</v>
      </c>
      <c r="C2726" s="2" t="s">
        <v>50</v>
      </c>
      <c r="D2726" s="3" t="s">
        <v>83</v>
      </c>
      <c r="E2726" s="3" t="n">
        <v>2</v>
      </c>
      <c r="F2726" s="1" t="n">
        <f aca="false">Y2726-X2726</f>
        <v>5</v>
      </c>
      <c r="G2726" s="1" t="n">
        <v>5</v>
      </c>
      <c r="H2726" s="3" t="s">
        <v>48</v>
      </c>
      <c r="I2726" s="3" t="s">
        <v>67</v>
      </c>
      <c r="J2726" s="3" t="s">
        <v>127</v>
      </c>
      <c r="K2726" s="2" t="str">
        <f aca="false">CONCATENATE(I2726," ",J2726)</f>
        <v>Pardosa lugubris</v>
      </c>
      <c r="L2726" s="3" t="n">
        <f aca="false">SUM(P2726:U2726)</f>
        <v>1</v>
      </c>
      <c r="M2726" s="11" t="n">
        <f aca="false">(L2726/(F2726*G2726)*25)*4</f>
        <v>4</v>
      </c>
      <c r="N2726" s="1" t="s">
        <v>30</v>
      </c>
      <c r="O2726" s="1" t="s">
        <v>35</v>
      </c>
      <c r="P2726" s="3" t="n">
        <v>0</v>
      </c>
      <c r="Q2726" s="3" t="n">
        <v>1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f aca="false">SUM(P2726:Q2726)</f>
        <v>1</v>
      </c>
      <c r="W2726" s="3" t="n">
        <f aca="false">SUM(R2726:T2726)</f>
        <v>0</v>
      </c>
      <c r="X2726" s="22" t="n">
        <v>41794</v>
      </c>
      <c r="Y2726" s="22" t="n">
        <v>41799</v>
      </c>
    </row>
    <row r="2727" customFormat="false" ht="14.25" hidden="false" customHeight="false" outlineLevel="0" collapsed="false">
      <c r="A2727" s="1" t="n">
        <v>2014</v>
      </c>
      <c r="B2727" s="1" t="n">
        <v>1</v>
      </c>
      <c r="C2727" s="2" t="s">
        <v>50</v>
      </c>
      <c r="D2727" s="3" t="s">
        <v>83</v>
      </c>
      <c r="E2727" s="3" t="n">
        <v>2</v>
      </c>
      <c r="F2727" s="1" t="n">
        <f aca="false">Y2727-X2727</f>
        <v>5</v>
      </c>
      <c r="G2727" s="1" t="n">
        <v>5</v>
      </c>
      <c r="H2727" s="3" t="s">
        <v>48</v>
      </c>
      <c r="I2727" s="3" t="s">
        <v>122</v>
      </c>
      <c r="J2727" s="3" t="s">
        <v>123</v>
      </c>
      <c r="K2727" s="2" t="str">
        <f aca="false">CONCATENATE(I2727," ",J2727)</f>
        <v>Xerolycosa nemoralis</v>
      </c>
      <c r="L2727" s="3" t="n">
        <f aca="false">SUM(P2727:U2727)</f>
        <v>1</v>
      </c>
      <c r="M2727" s="11" t="n">
        <f aca="false">(L2727/(F2727*G2727)*25)*4</f>
        <v>4</v>
      </c>
      <c r="N2727" s="1" t="s">
        <v>19</v>
      </c>
      <c r="O2727" s="1" t="s">
        <v>31</v>
      </c>
      <c r="P2727" s="3" t="n">
        <v>0</v>
      </c>
      <c r="Q2727" s="3" t="n">
        <v>0</v>
      </c>
      <c r="R2727" s="3" t="n">
        <v>1</v>
      </c>
      <c r="S2727" s="3" t="n">
        <v>0</v>
      </c>
      <c r="T2727" s="3" t="n">
        <v>0</v>
      </c>
      <c r="U2727" s="3" t="n">
        <v>0</v>
      </c>
      <c r="V2727" s="3" t="n">
        <f aca="false">SUM(P2727:Q2727)</f>
        <v>0</v>
      </c>
      <c r="W2727" s="3" t="n">
        <f aca="false">SUM(R2727:T2727)</f>
        <v>1</v>
      </c>
      <c r="X2727" s="22" t="n">
        <v>41794</v>
      </c>
      <c r="Y2727" s="22" t="n">
        <v>41799</v>
      </c>
    </row>
    <row r="2728" customFormat="false" ht="14.25" hidden="false" customHeight="false" outlineLevel="0" collapsed="false">
      <c r="A2728" s="1" t="n">
        <v>2014</v>
      </c>
      <c r="B2728" s="1" t="n">
        <v>1</v>
      </c>
      <c r="C2728" s="2" t="s">
        <v>50</v>
      </c>
      <c r="D2728" s="3" t="s">
        <v>83</v>
      </c>
      <c r="E2728" s="3" t="n">
        <v>2</v>
      </c>
      <c r="F2728" s="1" t="n">
        <f aca="false">Y2728-X2728</f>
        <v>5</v>
      </c>
      <c r="G2728" s="1" t="n">
        <v>5</v>
      </c>
      <c r="H2728" s="3" t="s">
        <v>48</v>
      </c>
      <c r="I2728" s="3" t="s">
        <v>49</v>
      </c>
      <c r="J2728" s="3" t="s">
        <v>104</v>
      </c>
      <c r="K2728" s="2" t="str">
        <f aca="false">CONCATENATE(I2728," ",J2728)</f>
        <v>Alopecosa taeniata</v>
      </c>
      <c r="L2728" s="3" t="n">
        <f aca="false">SUM(P2728:U2728)</f>
        <v>1</v>
      </c>
      <c r="M2728" s="11" t="n">
        <f aca="false">(L2728/(F2728*G2728)*25)*4</f>
        <v>4</v>
      </c>
      <c r="N2728" s="1" t="s">
        <v>30</v>
      </c>
      <c r="O2728" s="1" t="s">
        <v>35</v>
      </c>
      <c r="P2728" s="3" t="n">
        <v>0</v>
      </c>
      <c r="Q2728" s="3" t="n">
        <v>1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f aca="false">SUM(P2728:Q2728)</f>
        <v>1</v>
      </c>
      <c r="W2728" s="3" t="n">
        <f aca="false">SUM(R2728:T2728)</f>
        <v>0</v>
      </c>
      <c r="X2728" s="22" t="n">
        <v>41794</v>
      </c>
      <c r="Y2728" s="22" t="n">
        <v>41799</v>
      </c>
    </row>
    <row r="2729" customFormat="false" ht="14.25" hidden="false" customHeight="false" outlineLevel="0" collapsed="false">
      <c r="A2729" s="1" t="n">
        <v>2014</v>
      </c>
      <c r="B2729" s="1" t="n">
        <v>1</v>
      </c>
      <c r="C2729" s="2" t="s">
        <v>50</v>
      </c>
      <c r="D2729" s="3" t="s">
        <v>83</v>
      </c>
      <c r="E2729" s="3" t="n">
        <v>2</v>
      </c>
      <c r="F2729" s="1" t="n">
        <f aca="false">Y2729-X2729</f>
        <v>5</v>
      </c>
      <c r="G2729" s="1" t="n">
        <v>5</v>
      </c>
      <c r="H2729" s="3" t="s">
        <v>48</v>
      </c>
      <c r="I2729" s="3" t="s">
        <v>49</v>
      </c>
      <c r="J2729" s="3" t="s">
        <v>38</v>
      </c>
      <c r="K2729" s="2" t="str">
        <f aca="false">CONCATENATE(I2729," ",J2729)</f>
        <v>Alopecosa sp</v>
      </c>
      <c r="L2729" s="3" t="n">
        <f aca="false">SUM(P2729:U2729)</f>
        <v>1</v>
      </c>
      <c r="M2729" s="11" t="n">
        <f aca="false">(L2729/(F2729*G2729)*25)*4</f>
        <v>4</v>
      </c>
      <c r="N2729" s="1" t="s">
        <v>19</v>
      </c>
      <c r="O2729" s="1" t="s">
        <v>54</v>
      </c>
      <c r="P2729" s="3" t="n">
        <v>0</v>
      </c>
      <c r="Q2729" s="3" t="n">
        <v>0</v>
      </c>
      <c r="R2729" s="3" t="n">
        <v>0</v>
      </c>
      <c r="S2729" s="3" t="n">
        <v>0</v>
      </c>
      <c r="T2729" s="3" t="n">
        <v>1</v>
      </c>
      <c r="U2729" s="3" t="n">
        <v>0</v>
      </c>
      <c r="V2729" s="3" t="n">
        <f aca="false">SUM(P2729:Q2729)</f>
        <v>0</v>
      </c>
      <c r="W2729" s="3" t="n">
        <f aca="false">SUM(R2729:T2729)</f>
        <v>1</v>
      </c>
      <c r="X2729" s="22" t="n">
        <v>41794</v>
      </c>
      <c r="Y2729" s="22" t="n">
        <v>41799</v>
      </c>
    </row>
    <row r="2730" customFormat="false" ht="14.25" hidden="false" customHeight="false" outlineLevel="0" collapsed="false">
      <c r="A2730" s="1" t="n">
        <v>2014</v>
      </c>
      <c r="B2730" s="1" t="n">
        <v>1</v>
      </c>
      <c r="C2730" s="2" t="s">
        <v>50</v>
      </c>
      <c r="D2730" s="3" t="s">
        <v>83</v>
      </c>
      <c r="E2730" s="3" t="n">
        <v>2</v>
      </c>
      <c r="F2730" s="1" t="n">
        <f aca="false">Y2730-X2730</f>
        <v>5</v>
      </c>
      <c r="G2730" s="1" t="n">
        <v>5</v>
      </c>
      <c r="H2730" s="3" t="s">
        <v>36</v>
      </c>
      <c r="I2730" s="3" t="s">
        <v>131</v>
      </c>
      <c r="J2730" s="3" t="s">
        <v>133</v>
      </c>
      <c r="K2730" s="2" t="str">
        <f aca="false">CONCATENATE(I2730," ",J2730)</f>
        <v>Xysticus luctuosus</v>
      </c>
      <c r="L2730" s="3" t="n">
        <f aca="false">SUM(P2730:U2730)</f>
        <v>3</v>
      </c>
      <c r="M2730" s="11" t="n">
        <f aca="false">(L2730/(F2730*G2730)*25)*4</f>
        <v>12</v>
      </c>
      <c r="N2730" s="1" t="s">
        <v>30</v>
      </c>
      <c r="O2730" s="1" t="s">
        <v>31</v>
      </c>
      <c r="P2730" s="3" t="n">
        <v>3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f aca="false">SUM(P2730:Q2730)</f>
        <v>3</v>
      </c>
      <c r="W2730" s="3" t="n">
        <f aca="false">SUM(R2730:T2730)</f>
        <v>0</v>
      </c>
      <c r="X2730" s="22" t="n">
        <v>41794</v>
      </c>
      <c r="Y2730" s="22" t="n">
        <v>41799</v>
      </c>
    </row>
    <row r="2731" customFormat="false" ht="14.25" hidden="false" customHeight="false" outlineLevel="0" collapsed="false">
      <c r="A2731" s="1" t="n">
        <v>2014</v>
      </c>
      <c r="B2731" s="1" t="n">
        <v>1</v>
      </c>
      <c r="C2731" s="2" t="s">
        <v>50</v>
      </c>
      <c r="D2731" s="3" t="s">
        <v>83</v>
      </c>
      <c r="E2731" s="3" t="n">
        <v>2</v>
      </c>
      <c r="F2731" s="1" t="n">
        <f aca="false">Y2731-X2731</f>
        <v>5</v>
      </c>
      <c r="G2731" s="1" t="n">
        <v>5</v>
      </c>
      <c r="H2731" s="3" t="s">
        <v>226</v>
      </c>
      <c r="I2731" s="3" t="s">
        <v>65</v>
      </c>
      <c r="J2731" s="3" t="s">
        <v>123</v>
      </c>
      <c r="K2731" s="2" t="str">
        <f aca="false">CONCATENATE(I2731," ",J2731)</f>
        <v>Zora nemoralis</v>
      </c>
      <c r="L2731" s="3" t="n">
        <f aca="false">SUM(P2731:U2731)</f>
        <v>1</v>
      </c>
      <c r="M2731" s="11" t="n">
        <f aca="false">(L2731/(F2731*G2731)*25)*4</f>
        <v>4</v>
      </c>
      <c r="N2731" s="1" t="s">
        <v>30</v>
      </c>
      <c r="O2731" s="1" t="s">
        <v>31</v>
      </c>
      <c r="P2731" s="3" t="n">
        <v>1</v>
      </c>
      <c r="Q2731" s="3" t="n">
        <v>0</v>
      </c>
      <c r="R2731" s="3" t="n">
        <v>0</v>
      </c>
      <c r="S2731" s="3" t="n">
        <v>0</v>
      </c>
      <c r="T2731" s="3" t="n">
        <v>0</v>
      </c>
      <c r="U2731" s="3" t="n">
        <v>0</v>
      </c>
      <c r="V2731" s="3" t="n">
        <f aca="false">SUM(P2731:Q2731)</f>
        <v>1</v>
      </c>
      <c r="W2731" s="3" t="n">
        <f aca="false">SUM(R2731:T2731)</f>
        <v>0</v>
      </c>
      <c r="X2731" s="22" t="n">
        <v>41794</v>
      </c>
      <c r="Y2731" s="22" t="n">
        <v>41799</v>
      </c>
    </row>
    <row r="2732" customFormat="false" ht="14.25" hidden="false" customHeight="false" outlineLevel="0" collapsed="false">
      <c r="A2732" s="1" t="n">
        <v>2014</v>
      </c>
      <c r="B2732" s="1" t="n">
        <v>1</v>
      </c>
      <c r="C2732" s="2" t="s">
        <v>50</v>
      </c>
      <c r="D2732" s="3" t="s">
        <v>83</v>
      </c>
      <c r="E2732" s="3" t="n">
        <v>2</v>
      </c>
      <c r="F2732" s="1" t="n">
        <f aca="false">Y2732-X2732</f>
        <v>5</v>
      </c>
      <c r="G2732" s="1" t="n">
        <v>5</v>
      </c>
      <c r="H2732" s="3" t="s">
        <v>27</v>
      </c>
      <c r="I2732" s="3" t="s">
        <v>46</v>
      </c>
      <c r="J2732" s="3" t="s">
        <v>47</v>
      </c>
      <c r="K2732" s="2" t="str">
        <f aca="false">CONCATENATE(I2732," ",J2732)</f>
        <v>Euryopis flavomaculata</v>
      </c>
      <c r="L2732" s="3" t="n">
        <f aca="false">SUM(P2732:U2732)</f>
        <v>1</v>
      </c>
      <c r="M2732" s="11" t="n">
        <f aca="false">(L2732/(F2732*G2732)*25)*4</f>
        <v>4</v>
      </c>
      <c r="N2732" s="1" t="s">
        <v>30</v>
      </c>
      <c r="O2732" s="1" t="s">
        <v>31</v>
      </c>
      <c r="P2732" s="3" t="n">
        <v>1</v>
      </c>
      <c r="Q2732" s="3" t="n">
        <v>0</v>
      </c>
      <c r="R2732" s="3" t="n">
        <v>0</v>
      </c>
      <c r="S2732" s="3" t="n">
        <v>0</v>
      </c>
      <c r="T2732" s="3" t="n">
        <v>0</v>
      </c>
      <c r="U2732" s="3" t="n">
        <v>0</v>
      </c>
      <c r="V2732" s="3" t="n">
        <f aca="false">SUM(P2732:Q2732)</f>
        <v>1</v>
      </c>
      <c r="W2732" s="3" t="n">
        <f aca="false">SUM(R2732:T2732)</f>
        <v>0</v>
      </c>
      <c r="X2732" s="22" t="n">
        <v>41794</v>
      </c>
      <c r="Y2732" s="22" t="n">
        <v>41799</v>
      </c>
    </row>
    <row r="2733" customFormat="false" ht="14.25" hidden="false" customHeight="false" outlineLevel="0" collapsed="false">
      <c r="A2733" s="1" t="n">
        <v>2014</v>
      </c>
      <c r="B2733" s="1" t="n">
        <v>1</v>
      </c>
      <c r="C2733" s="2" t="s">
        <v>50</v>
      </c>
      <c r="D2733" s="3" t="s">
        <v>83</v>
      </c>
      <c r="E2733" s="3" t="n">
        <v>2</v>
      </c>
      <c r="F2733" s="1" t="n">
        <f aca="false">Y2733-X2733</f>
        <v>5</v>
      </c>
      <c r="G2733" s="1" t="n">
        <v>5</v>
      </c>
      <c r="H2733" s="3" t="s">
        <v>72</v>
      </c>
      <c r="I2733" s="3" t="s">
        <v>73</v>
      </c>
      <c r="J2733" s="3" t="s">
        <v>74</v>
      </c>
      <c r="K2733" s="2" t="str">
        <f aca="false">CONCATENATE(I2733," ",J2733)</f>
        <v>Zelotes subterraneus</v>
      </c>
      <c r="L2733" s="3" t="n">
        <f aca="false">SUM(P2733:U2733)</f>
        <v>1</v>
      </c>
      <c r="M2733" s="11" t="n">
        <f aca="false">(L2733/(F2733*G2733)*25)*4</f>
        <v>4</v>
      </c>
      <c r="N2733" s="1" t="s">
        <v>30</v>
      </c>
      <c r="O2733" s="1" t="s">
        <v>31</v>
      </c>
      <c r="P2733" s="3" t="n">
        <v>1</v>
      </c>
      <c r="Q2733" s="3" t="n">
        <v>0</v>
      </c>
      <c r="R2733" s="3" t="n">
        <v>0</v>
      </c>
      <c r="S2733" s="3" t="n">
        <v>0</v>
      </c>
      <c r="T2733" s="3" t="n">
        <v>0</v>
      </c>
      <c r="U2733" s="3" t="n">
        <v>0</v>
      </c>
      <c r="V2733" s="3" t="n">
        <f aca="false">SUM(P2733:Q2733)</f>
        <v>1</v>
      </c>
      <c r="W2733" s="3" t="n">
        <f aca="false">SUM(R2733:T2733)</f>
        <v>0</v>
      </c>
      <c r="X2733" s="22" t="n">
        <v>41794</v>
      </c>
      <c r="Y2733" s="22" t="n">
        <v>41799</v>
      </c>
    </row>
    <row r="2734" customFormat="false" ht="14.25" hidden="false" customHeight="false" outlineLevel="0" collapsed="false">
      <c r="A2734" s="1" t="n">
        <v>2014</v>
      </c>
      <c r="B2734" s="1" t="n">
        <v>1</v>
      </c>
      <c r="C2734" s="2" t="s">
        <v>50</v>
      </c>
      <c r="D2734" s="3" t="s">
        <v>83</v>
      </c>
      <c r="E2734" s="3" t="n">
        <v>2</v>
      </c>
      <c r="F2734" s="1" t="n">
        <f aca="false">Y2734-X2734</f>
        <v>5</v>
      </c>
      <c r="G2734" s="1" t="n">
        <v>5</v>
      </c>
      <c r="H2734" s="3" t="s">
        <v>72</v>
      </c>
      <c r="I2734" s="3" t="s">
        <v>73</v>
      </c>
      <c r="J2734" s="3" t="s">
        <v>74</v>
      </c>
      <c r="K2734" s="2" t="str">
        <f aca="false">CONCATENATE(I2734," ",J2734)</f>
        <v>Zelotes subterraneus</v>
      </c>
      <c r="L2734" s="3" t="n">
        <f aca="false">SUM(P2734:U2734)</f>
        <v>1</v>
      </c>
      <c r="M2734" s="11" t="n">
        <f aca="false">(L2734/(F2734*G2734)*25)*4</f>
        <v>4</v>
      </c>
      <c r="N2734" s="1" t="s">
        <v>30</v>
      </c>
      <c r="O2734" s="1" t="s">
        <v>35</v>
      </c>
      <c r="P2734" s="3" t="n">
        <v>0</v>
      </c>
      <c r="Q2734" s="3" t="n">
        <v>1</v>
      </c>
      <c r="R2734" s="3" t="n">
        <v>0</v>
      </c>
      <c r="S2734" s="3" t="n">
        <v>0</v>
      </c>
      <c r="T2734" s="3" t="n">
        <v>0</v>
      </c>
      <c r="U2734" s="3" t="n">
        <v>0</v>
      </c>
      <c r="V2734" s="3" t="n">
        <f aca="false">SUM(P2734:Q2734)</f>
        <v>1</v>
      </c>
      <c r="W2734" s="3" t="n">
        <f aca="false">SUM(R2734:T2734)</f>
        <v>0</v>
      </c>
      <c r="X2734" s="22" t="n">
        <v>41794</v>
      </c>
      <c r="Y2734" s="22" t="n">
        <v>41799</v>
      </c>
    </row>
    <row r="2735" customFormat="false" ht="14.25" hidden="false" customHeight="false" outlineLevel="0" collapsed="false">
      <c r="A2735" s="1" t="n">
        <v>2014</v>
      </c>
      <c r="B2735" s="1" t="n">
        <v>1</v>
      </c>
      <c r="C2735" s="2" t="s">
        <v>50</v>
      </c>
      <c r="D2735" s="3" t="s">
        <v>83</v>
      </c>
      <c r="E2735" s="3" t="n">
        <v>2</v>
      </c>
      <c r="F2735" s="1" t="n">
        <f aca="false">Y2735-X2735</f>
        <v>5</v>
      </c>
      <c r="G2735" s="1" t="n">
        <v>5</v>
      </c>
      <c r="H2735" s="3" t="s">
        <v>32</v>
      </c>
      <c r="I2735" s="3" t="s">
        <v>169</v>
      </c>
      <c r="J2735" s="3" t="s">
        <v>170</v>
      </c>
      <c r="K2735" s="2" t="str">
        <f aca="false">CONCATENATE(I2735," ",J2735)</f>
        <v>Abacoproeces saltuum</v>
      </c>
      <c r="L2735" s="3" t="n">
        <f aca="false">SUM(P2735:U2735)</f>
        <v>1</v>
      </c>
      <c r="M2735" s="11" t="n">
        <f aca="false">(L2735/(F2735*G2735)*25)*4</f>
        <v>4</v>
      </c>
      <c r="N2735" s="1" t="s">
        <v>30</v>
      </c>
      <c r="O2735" s="1" t="s">
        <v>35</v>
      </c>
      <c r="P2735" s="3" t="n">
        <v>0</v>
      </c>
      <c r="Q2735" s="3" t="n">
        <v>1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f aca="false">SUM(P2735:Q2735)</f>
        <v>1</v>
      </c>
      <c r="W2735" s="3" t="n">
        <f aca="false">SUM(R2735:T2735)</f>
        <v>0</v>
      </c>
      <c r="X2735" s="22" t="n">
        <v>41794</v>
      </c>
      <c r="Y2735" s="22" t="n">
        <v>41799</v>
      </c>
    </row>
    <row r="2736" customFormat="false" ht="14.25" hidden="false" customHeight="false" outlineLevel="0" collapsed="false">
      <c r="A2736" s="1" t="n">
        <v>2014</v>
      </c>
      <c r="B2736" s="1" t="n">
        <v>1</v>
      </c>
      <c r="C2736" s="2" t="s">
        <v>50</v>
      </c>
      <c r="D2736" s="3" t="s">
        <v>83</v>
      </c>
      <c r="E2736" s="3" t="n">
        <v>3</v>
      </c>
      <c r="F2736" s="1" t="n">
        <f aca="false">Y2736-X2736</f>
        <v>5</v>
      </c>
      <c r="G2736" s="1" t="n">
        <v>5</v>
      </c>
      <c r="H2736" s="3" t="s">
        <v>32</v>
      </c>
      <c r="I2736" s="3" t="s">
        <v>249</v>
      </c>
      <c r="J2736" s="3" t="s">
        <v>250</v>
      </c>
      <c r="K2736" s="2" t="str">
        <f aca="false">CONCATENATE(I2736," ",J2736)</f>
        <v>Trichoncus vasconicus</v>
      </c>
      <c r="L2736" s="3" t="n">
        <f aca="false">SUM(P2736:U2736)</f>
        <v>1</v>
      </c>
      <c r="M2736" s="11" t="n">
        <f aca="false">(L2736/(F2736*G2736)*25)*4</f>
        <v>4</v>
      </c>
      <c r="N2736" s="1" t="s">
        <v>30</v>
      </c>
      <c r="O2736" s="1" t="s">
        <v>35</v>
      </c>
      <c r="P2736" s="3" t="n">
        <v>0</v>
      </c>
      <c r="Q2736" s="3" t="n">
        <v>1</v>
      </c>
      <c r="R2736" s="3" t="n">
        <v>0</v>
      </c>
      <c r="S2736" s="3" t="n">
        <v>0</v>
      </c>
      <c r="T2736" s="3" t="n">
        <v>0</v>
      </c>
      <c r="U2736" s="3" t="n">
        <v>0</v>
      </c>
      <c r="V2736" s="3" t="n">
        <f aca="false">SUM(P2736:Q2736)</f>
        <v>1</v>
      </c>
      <c r="W2736" s="3" t="n">
        <f aca="false">SUM(R2736:T2736)</f>
        <v>0</v>
      </c>
      <c r="X2736" s="22" t="n">
        <v>41794</v>
      </c>
      <c r="Y2736" s="22" t="n">
        <v>41799</v>
      </c>
    </row>
    <row r="2737" customFormat="false" ht="14.25" hidden="false" customHeight="false" outlineLevel="0" collapsed="false">
      <c r="A2737" s="1" t="n">
        <v>2014</v>
      </c>
      <c r="B2737" s="1" t="n">
        <v>1</v>
      </c>
      <c r="C2737" s="2" t="s">
        <v>50</v>
      </c>
      <c r="D2737" s="3" t="s">
        <v>83</v>
      </c>
      <c r="E2737" s="3" t="n">
        <v>3</v>
      </c>
      <c r="F2737" s="1" t="n">
        <f aca="false">Y2737-X2737</f>
        <v>5</v>
      </c>
      <c r="G2737" s="1" t="n">
        <v>5</v>
      </c>
      <c r="H2737" s="3" t="s">
        <v>72</v>
      </c>
      <c r="I2737" s="3" t="s">
        <v>86</v>
      </c>
      <c r="J2737" s="3" t="s">
        <v>87</v>
      </c>
      <c r="K2737" s="2" t="str">
        <f aca="false">CONCATENATE(I2737," ",J2737)</f>
        <v>Haplodrassus soerenseni</v>
      </c>
      <c r="L2737" s="3" t="n">
        <f aca="false">SUM(P2737:U2737)</f>
        <v>1</v>
      </c>
      <c r="M2737" s="11" t="n">
        <f aca="false">(L2737/(F2737*G2737)*25)*4</f>
        <v>4</v>
      </c>
      <c r="N2737" s="1" t="s">
        <v>30</v>
      </c>
      <c r="O2737" s="1" t="s">
        <v>35</v>
      </c>
      <c r="P2737" s="3" t="n">
        <v>0</v>
      </c>
      <c r="Q2737" s="3" t="n">
        <v>1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f aca="false">SUM(P2737:Q2737)</f>
        <v>1</v>
      </c>
      <c r="W2737" s="3" t="n">
        <f aca="false">SUM(R2737:T2737)</f>
        <v>0</v>
      </c>
      <c r="X2737" s="22" t="n">
        <v>41794</v>
      </c>
      <c r="Y2737" s="22" t="n">
        <v>41799</v>
      </c>
    </row>
    <row r="2738" customFormat="false" ht="14.25" hidden="false" customHeight="false" outlineLevel="0" collapsed="false">
      <c r="A2738" s="1" t="n">
        <v>2014</v>
      </c>
      <c r="B2738" s="1" t="n">
        <v>1</v>
      </c>
      <c r="C2738" s="2" t="s">
        <v>50</v>
      </c>
      <c r="D2738" s="3" t="s">
        <v>83</v>
      </c>
      <c r="E2738" s="3" t="n">
        <v>3</v>
      </c>
      <c r="F2738" s="1" t="n">
        <f aca="false">Y2738-X2738</f>
        <v>5</v>
      </c>
      <c r="G2738" s="1" t="n">
        <v>5</v>
      </c>
      <c r="H2738" s="3" t="s">
        <v>72</v>
      </c>
      <c r="I2738" s="3" t="s">
        <v>73</v>
      </c>
      <c r="J2738" s="3" t="s">
        <v>38</v>
      </c>
      <c r="K2738" s="2" t="str">
        <f aca="false">CONCATENATE(I2738," ",J2738)</f>
        <v>Zelotes sp</v>
      </c>
      <c r="L2738" s="3" t="n">
        <f aca="false">SUM(P2738:U2738)</f>
        <v>1</v>
      </c>
      <c r="M2738" s="11" t="n">
        <f aca="false">(L2738/(F2738*G2738)*25)*4</f>
        <v>4</v>
      </c>
      <c r="N2738" s="1" t="s">
        <v>19</v>
      </c>
      <c r="O2738" s="1" t="s">
        <v>35</v>
      </c>
      <c r="P2738" s="3" t="n">
        <v>0</v>
      </c>
      <c r="Q2738" s="3" t="n">
        <v>0</v>
      </c>
      <c r="R2738" s="3" t="n">
        <v>0</v>
      </c>
      <c r="S2738" s="3" t="n">
        <v>1</v>
      </c>
      <c r="T2738" s="3" t="n">
        <v>0</v>
      </c>
      <c r="U2738" s="3" t="n">
        <v>0</v>
      </c>
      <c r="V2738" s="3" t="n">
        <f aca="false">SUM(P2738:Q2738)</f>
        <v>0</v>
      </c>
      <c r="W2738" s="3" t="n">
        <f aca="false">SUM(R2738:T2738)</f>
        <v>1</v>
      </c>
      <c r="X2738" s="22" t="n">
        <v>41794</v>
      </c>
      <c r="Y2738" s="22" t="n">
        <v>41799</v>
      </c>
    </row>
    <row r="2739" customFormat="false" ht="14.25" hidden="false" customHeight="false" outlineLevel="0" collapsed="false">
      <c r="A2739" s="1" t="n">
        <v>2014</v>
      </c>
      <c r="B2739" s="1" t="n">
        <v>1</v>
      </c>
      <c r="C2739" s="2" t="s">
        <v>50</v>
      </c>
      <c r="D2739" s="3" t="s">
        <v>83</v>
      </c>
      <c r="E2739" s="3" t="n">
        <v>3</v>
      </c>
      <c r="F2739" s="1" t="n">
        <f aca="false">Y2739-X2739</f>
        <v>5</v>
      </c>
      <c r="G2739" s="1" t="n">
        <v>5</v>
      </c>
      <c r="H2739" s="3" t="s">
        <v>72</v>
      </c>
      <c r="I2739" s="3" t="s">
        <v>86</v>
      </c>
      <c r="J2739" s="3" t="s">
        <v>38</v>
      </c>
      <c r="K2739" s="2" t="str">
        <f aca="false">CONCATENATE(I2739," ",J2739)</f>
        <v>Haplodrassus sp</v>
      </c>
      <c r="L2739" s="3" t="n">
        <f aca="false">SUM(P2739:U2739)</f>
        <v>1</v>
      </c>
      <c r="M2739" s="11" t="n">
        <f aca="false">(L2739/(F2739*G2739)*25)*4</f>
        <v>4</v>
      </c>
      <c r="N2739" s="1" t="s">
        <v>19</v>
      </c>
      <c r="O2739" s="1" t="s">
        <v>31</v>
      </c>
      <c r="P2739" s="3" t="n">
        <v>0</v>
      </c>
      <c r="Q2739" s="3" t="n">
        <v>0</v>
      </c>
      <c r="R2739" s="3" t="n">
        <v>1</v>
      </c>
      <c r="S2739" s="3" t="n">
        <v>0</v>
      </c>
      <c r="T2739" s="3" t="n">
        <v>0</v>
      </c>
      <c r="U2739" s="3" t="n">
        <v>0</v>
      </c>
      <c r="V2739" s="3" t="n">
        <f aca="false">SUM(P2739:Q2739)</f>
        <v>0</v>
      </c>
      <c r="W2739" s="3" t="n">
        <f aca="false">SUM(R2739:T2739)</f>
        <v>1</v>
      </c>
      <c r="X2739" s="22" t="n">
        <v>41794</v>
      </c>
      <c r="Y2739" s="22" t="n">
        <v>41799</v>
      </c>
    </row>
    <row r="2740" customFormat="false" ht="14.25" hidden="false" customHeight="false" outlineLevel="0" collapsed="false">
      <c r="A2740" s="1" t="n">
        <v>2014</v>
      </c>
      <c r="B2740" s="1" t="n">
        <v>1</v>
      </c>
      <c r="C2740" s="2" t="s">
        <v>50</v>
      </c>
      <c r="D2740" s="3" t="s">
        <v>83</v>
      </c>
      <c r="E2740" s="3" t="n">
        <v>3</v>
      </c>
      <c r="F2740" s="1" t="n">
        <f aca="false">Y2740-X2740</f>
        <v>5</v>
      </c>
      <c r="G2740" s="1" t="n">
        <v>5</v>
      </c>
      <c r="H2740" s="3" t="s">
        <v>36</v>
      </c>
      <c r="I2740" s="3" t="s">
        <v>131</v>
      </c>
      <c r="J2740" s="3" t="s">
        <v>133</v>
      </c>
      <c r="K2740" s="2" t="str">
        <f aca="false">CONCATENATE(I2740," ",J2740)</f>
        <v>Xysticus luctuosus</v>
      </c>
      <c r="L2740" s="3" t="n">
        <f aca="false">SUM(P2740:U2740)</f>
        <v>2</v>
      </c>
      <c r="M2740" s="11" t="n">
        <f aca="false">(L2740/(F2740*G2740)*25)*4</f>
        <v>8</v>
      </c>
      <c r="N2740" s="1" t="s">
        <v>30</v>
      </c>
      <c r="O2740" s="1" t="s">
        <v>31</v>
      </c>
      <c r="P2740" s="3" t="n">
        <v>2</v>
      </c>
      <c r="Q2740" s="3" t="n">
        <v>0</v>
      </c>
      <c r="R2740" s="3" t="n">
        <v>0</v>
      </c>
      <c r="S2740" s="3" t="n">
        <v>0</v>
      </c>
      <c r="T2740" s="3" t="n">
        <v>0</v>
      </c>
      <c r="U2740" s="3" t="n">
        <v>0</v>
      </c>
      <c r="V2740" s="3" t="n">
        <f aca="false">SUM(P2740:Q2740)</f>
        <v>2</v>
      </c>
      <c r="W2740" s="3" t="n">
        <f aca="false">SUM(R2740:T2740)</f>
        <v>0</v>
      </c>
      <c r="X2740" s="22" t="n">
        <v>41794</v>
      </c>
      <c r="Y2740" s="22" t="n">
        <v>41799</v>
      </c>
    </row>
    <row r="2741" customFormat="false" ht="14.25" hidden="false" customHeight="false" outlineLevel="0" collapsed="false">
      <c r="A2741" s="1" t="n">
        <v>2014</v>
      </c>
      <c r="B2741" s="1" t="n">
        <v>1</v>
      </c>
      <c r="C2741" s="2" t="s">
        <v>50</v>
      </c>
      <c r="D2741" s="3" t="s">
        <v>83</v>
      </c>
      <c r="E2741" s="3" t="n">
        <v>3</v>
      </c>
      <c r="F2741" s="1" t="n">
        <f aca="false">Y2741-X2741</f>
        <v>5</v>
      </c>
      <c r="G2741" s="1" t="n">
        <v>5</v>
      </c>
      <c r="H2741" s="3" t="s">
        <v>48</v>
      </c>
      <c r="I2741" s="3" t="s">
        <v>67</v>
      </c>
      <c r="J2741" s="3" t="s">
        <v>127</v>
      </c>
      <c r="K2741" s="2" t="str">
        <f aca="false">CONCATENATE(I2741," ",J2741)</f>
        <v>Pardosa lugubris</v>
      </c>
      <c r="L2741" s="3" t="n">
        <f aca="false">SUM(P2741:U2741)</f>
        <v>3</v>
      </c>
      <c r="M2741" s="11" t="n">
        <f aca="false">(L2741/(F2741*G2741)*25)*4</f>
        <v>12</v>
      </c>
      <c r="N2741" s="1" t="s">
        <v>30</v>
      </c>
      <c r="O2741" s="1" t="s">
        <v>31</v>
      </c>
      <c r="P2741" s="3" t="n">
        <v>3</v>
      </c>
      <c r="Q2741" s="3" t="n">
        <v>0</v>
      </c>
      <c r="R2741" s="3" t="n">
        <v>0</v>
      </c>
      <c r="S2741" s="3" t="n">
        <v>0</v>
      </c>
      <c r="T2741" s="3" t="n">
        <v>0</v>
      </c>
      <c r="U2741" s="3" t="n">
        <v>0</v>
      </c>
      <c r="V2741" s="3" t="n">
        <f aca="false">SUM(P2741:Q2741)</f>
        <v>3</v>
      </c>
      <c r="W2741" s="3" t="n">
        <f aca="false">SUM(R2741:T2741)</f>
        <v>0</v>
      </c>
      <c r="X2741" s="22" t="n">
        <v>41794</v>
      </c>
      <c r="Y2741" s="22" t="n">
        <v>41799</v>
      </c>
    </row>
    <row r="2742" customFormat="false" ht="14.25" hidden="false" customHeight="false" outlineLevel="0" collapsed="false">
      <c r="A2742" s="1" t="n">
        <v>2014</v>
      </c>
      <c r="B2742" s="1" t="n">
        <v>1</v>
      </c>
      <c r="C2742" s="2" t="s">
        <v>50</v>
      </c>
      <c r="D2742" s="3" t="s">
        <v>83</v>
      </c>
      <c r="E2742" s="3" t="n">
        <v>3</v>
      </c>
      <c r="F2742" s="1" t="n">
        <f aca="false">Y2742-X2742</f>
        <v>5</v>
      </c>
      <c r="G2742" s="1" t="n">
        <v>5</v>
      </c>
      <c r="H2742" s="3" t="s">
        <v>48</v>
      </c>
      <c r="I2742" s="3" t="s">
        <v>49</v>
      </c>
      <c r="J2742" s="3" t="s">
        <v>104</v>
      </c>
      <c r="K2742" s="2" t="str">
        <f aca="false">CONCATENATE(I2742," ",J2742)</f>
        <v>Alopecosa taeniata</v>
      </c>
      <c r="L2742" s="3" t="n">
        <f aca="false">SUM(P2742:U2742)</f>
        <v>3</v>
      </c>
      <c r="M2742" s="11" t="n">
        <f aca="false">(L2742/(F2742*G2742)*25)*4</f>
        <v>12</v>
      </c>
      <c r="N2742" s="1" t="s">
        <v>30</v>
      </c>
      <c r="O2742" s="1" t="s">
        <v>31</v>
      </c>
      <c r="P2742" s="3" t="n">
        <v>3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f aca="false">SUM(P2742:Q2742)</f>
        <v>3</v>
      </c>
      <c r="W2742" s="3" t="n">
        <f aca="false">SUM(R2742:T2742)</f>
        <v>0</v>
      </c>
      <c r="X2742" s="22" t="n">
        <v>41794</v>
      </c>
      <c r="Y2742" s="22" t="n">
        <v>41799</v>
      </c>
    </row>
    <row r="2743" customFormat="false" ht="14.25" hidden="false" customHeight="false" outlineLevel="0" collapsed="false">
      <c r="A2743" s="1" t="n">
        <v>2014</v>
      </c>
      <c r="B2743" s="1" t="n">
        <v>1</v>
      </c>
      <c r="C2743" s="2" t="s">
        <v>50</v>
      </c>
      <c r="D2743" s="3" t="s">
        <v>83</v>
      </c>
      <c r="E2743" s="3" t="n">
        <v>3</v>
      </c>
      <c r="F2743" s="1" t="n">
        <f aca="false">Y2743-X2743</f>
        <v>5</v>
      </c>
      <c r="G2743" s="1" t="n">
        <v>5</v>
      </c>
      <c r="H2743" s="3" t="s">
        <v>48</v>
      </c>
      <c r="I2743" s="3" t="s">
        <v>49</v>
      </c>
      <c r="J2743" s="3" t="s">
        <v>130</v>
      </c>
      <c r="K2743" s="2" t="str">
        <f aca="false">CONCATENATE(I2743," ",J2743)</f>
        <v>Alopecosa aculeata</v>
      </c>
      <c r="L2743" s="3" t="n">
        <f aca="false">SUM(P2743:U2743)</f>
        <v>2</v>
      </c>
      <c r="M2743" s="11" t="n">
        <f aca="false">(L2743/(F2743*G2743)*25)*4</f>
        <v>8</v>
      </c>
      <c r="N2743" s="1" t="s">
        <v>30</v>
      </c>
      <c r="O2743" s="1" t="s">
        <v>31</v>
      </c>
      <c r="P2743" s="3" t="n">
        <v>2</v>
      </c>
      <c r="Q2743" s="3" t="n">
        <v>0</v>
      </c>
      <c r="R2743" s="3" t="n">
        <v>0</v>
      </c>
      <c r="S2743" s="3" t="n">
        <v>0</v>
      </c>
      <c r="T2743" s="3" t="n">
        <v>0</v>
      </c>
      <c r="U2743" s="3" t="n">
        <v>0</v>
      </c>
      <c r="V2743" s="3" t="n">
        <f aca="false">SUM(P2743:Q2743)</f>
        <v>2</v>
      </c>
      <c r="W2743" s="3" t="n">
        <f aca="false">SUM(R2743:T2743)</f>
        <v>0</v>
      </c>
      <c r="X2743" s="22" t="n">
        <v>41794</v>
      </c>
      <c r="Y2743" s="22" t="n">
        <v>41799</v>
      </c>
    </row>
    <row r="2744" customFormat="false" ht="14.25" hidden="false" customHeight="false" outlineLevel="0" collapsed="false">
      <c r="A2744" s="1" t="n">
        <v>2014</v>
      </c>
      <c r="B2744" s="1" t="n">
        <v>1</v>
      </c>
      <c r="C2744" s="2" t="s">
        <v>25</v>
      </c>
      <c r="D2744" s="3" t="s">
        <v>26</v>
      </c>
      <c r="E2744" s="3" t="n">
        <v>2</v>
      </c>
      <c r="F2744" s="1" t="n">
        <f aca="false">Y2744-X2744</f>
        <v>5</v>
      </c>
      <c r="G2744" s="1" t="n">
        <v>5</v>
      </c>
      <c r="H2744" s="3" t="s">
        <v>92</v>
      </c>
      <c r="I2744" s="3" t="s">
        <v>171</v>
      </c>
      <c r="J2744" s="3" t="s">
        <v>172</v>
      </c>
      <c r="K2744" s="2" t="str">
        <f aca="false">CONCATENATE(I2744," ",J2744)</f>
        <v>Euophrys frontalis</v>
      </c>
      <c r="L2744" s="3" t="n">
        <f aca="false">SUM(P2744:U2744)</f>
        <v>1</v>
      </c>
      <c r="M2744" s="11" t="n">
        <f aca="false">(L2744/(F2744*G2744)*25)*4</f>
        <v>4</v>
      </c>
      <c r="N2744" s="1" t="s">
        <v>30</v>
      </c>
      <c r="O2744" s="1" t="s">
        <v>31</v>
      </c>
      <c r="P2744" s="3" t="n">
        <v>1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f aca="false">SUM(P2744:Q2744)</f>
        <v>1</v>
      </c>
      <c r="W2744" s="3" t="n">
        <f aca="false">SUM(R2744:T2744)</f>
        <v>0</v>
      </c>
      <c r="X2744" s="22" t="n">
        <v>41793</v>
      </c>
      <c r="Y2744" s="22" t="n">
        <v>41798</v>
      </c>
    </row>
    <row r="2745" customFormat="false" ht="14.25" hidden="false" customHeight="false" outlineLevel="0" collapsed="false">
      <c r="A2745" s="1" t="n">
        <v>2014</v>
      </c>
      <c r="B2745" s="1" t="n">
        <v>1</v>
      </c>
      <c r="C2745" s="2" t="s">
        <v>25</v>
      </c>
      <c r="D2745" s="3" t="s">
        <v>26</v>
      </c>
      <c r="E2745" s="3" t="n">
        <v>2</v>
      </c>
      <c r="F2745" s="1" t="n">
        <f aca="false">Y2745-X2745</f>
        <v>5</v>
      </c>
      <c r="G2745" s="1" t="n">
        <v>5</v>
      </c>
      <c r="H2745" s="3" t="s">
        <v>72</v>
      </c>
      <c r="I2745" s="3" t="s">
        <v>86</v>
      </c>
      <c r="J2745" s="3" t="s">
        <v>87</v>
      </c>
      <c r="K2745" s="2" t="str">
        <f aca="false">CONCATENATE(I2745," ",J2745)</f>
        <v>Haplodrassus soerenseni</v>
      </c>
      <c r="L2745" s="3" t="n">
        <f aca="false">SUM(P2745:U2745)</f>
        <v>1</v>
      </c>
      <c r="M2745" s="11" t="n">
        <f aca="false">(L2745/(F2745*G2745)*25)*4</f>
        <v>4</v>
      </c>
      <c r="N2745" s="1" t="s">
        <v>30</v>
      </c>
      <c r="O2745" s="1" t="s">
        <v>31</v>
      </c>
      <c r="P2745" s="3" t="n">
        <v>1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0</v>
      </c>
      <c r="V2745" s="3" t="n">
        <f aca="false">SUM(P2745:Q2745)</f>
        <v>1</v>
      </c>
      <c r="W2745" s="3" t="n">
        <f aca="false">SUM(R2745:T2745)</f>
        <v>0</v>
      </c>
      <c r="X2745" s="22" t="n">
        <v>41793</v>
      </c>
      <c r="Y2745" s="22" t="n">
        <v>41798</v>
      </c>
    </row>
    <row r="2746" customFormat="false" ht="14.25" hidden="false" customHeight="false" outlineLevel="0" collapsed="false">
      <c r="A2746" s="1" t="n">
        <v>2014</v>
      </c>
      <c r="B2746" s="1" t="n">
        <v>1</v>
      </c>
      <c r="C2746" s="2" t="s">
        <v>25</v>
      </c>
      <c r="D2746" s="3" t="s">
        <v>26</v>
      </c>
      <c r="E2746" s="3" t="n">
        <v>2</v>
      </c>
      <c r="F2746" s="1" t="n">
        <f aca="false">Y2746-X2746</f>
        <v>5</v>
      </c>
      <c r="G2746" s="1" t="n">
        <v>5</v>
      </c>
      <c r="H2746" s="3" t="s">
        <v>36</v>
      </c>
      <c r="I2746" s="3" t="s">
        <v>131</v>
      </c>
      <c r="J2746" s="3" t="s">
        <v>133</v>
      </c>
      <c r="K2746" s="2" t="str">
        <f aca="false">CONCATENATE(I2746," ",J2746)</f>
        <v>Xysticus luctuosus</v>
      </c>
      <c r="L2746" s="3" t="n">
        <f aca="false">SUM(P2746:U2746)</f>
        <v>2</v>
      </c>
      <c r="M2746" s="11" t="n">
        <f aca="false">(L2746/(F2746*G2746)*25)*4</f>
        <v>8</v>
      </c>
      <c r="N2746" s="1" t="s">
        <v>30</v>
      </c>
      <c r="O2746" s="1" t="s">
        <v>31</v>
      </c>
      <c r="P2746" s="3" t="n">
        <v>2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f aca="false">SUM(P2746:Q2746)</f>
        <v>2</v>
      </c>
      <c r="W2746" s="3" t="n">
        <f aca="false">SUM(R2746:T2746)</f>
        <v>0</v>
      </c>
      <c r="X2746" s="22" t="n">
        <v>41793</v>
      </c>
      <c r="Y2746" s="22" t="n">
        <v>41798</v>
      </c>
    </row>
    <row r="2747" customFormat="false" ht="14.25" hidden="false" customHeight="false" outlineLevel="0" collapsed="false">
      <c r="A2747" s="1" t="n">
        <v>2014</v>
      </c>
      <c r="B2747" s="1" t="n">
        <v>1</v>
      </c>
      <c r="C2747" s="2" t="s">
        <v>25</v>
      </c>
      <c r="D2747" s="3" t="s">
        <v>26</v>
      </c>
      <c r="E2747" s="3" t="n">
        <v>2</v>
      </c>
      <c r="F2747" s="1" t="n">
        <f aca="false">Y2747-X2747</f>
        <v>5</v>
      </c>
      <c r="G2747" s="1" t="n">
        <v>5</v>
      </c>
      <c r="H2747" s="3" t="s">
        <v>36</v>
      </c>
      <c r="I2747" s="3" t="s">
        <v>37</v>
      </c>
      <c r="J2747" s="3" t="s">
        <v>75</v>
      </c>
      <c r="K2747" s="2" t="str">
        <f aca="false">CONCATENATE(I2747," ",J2747)</f>
        <v>Ozyptila praticola</v>
      </c>
      <c r="L2747" s="3" t="n">
        <f aca="false">SUM(P2747:U2747)</f>
        <v>1</v>
      </c>
      <c r="M2747" s="11" t="n">
        <f aca="false">(L2747/(F2747*G2747)*25)*4</f>
        <v>4</v>
      </c>
      <c r="N2747" s="1" t="s">
        <v>30</v>
      </c>
      <c r="O2747" s="1" t="s">
        <v>31</v>
      </c>
      <c r="P2747" s="3" t="n">
        <v>1</v>
      </c>
      <c r="Q2747" s="3" t="n">
        <v>0</v>
      </c>
      <c r="R2747" s="3" t="n">
        <v>0</v>
      </c>
      <c r="S2747" s="3" t="n">
        <v>0</v>
      </c>
      <c r="T2747" s="3" t="n">
        <v>0</v>
      </c>
      <c r="U2747" s="3" t="n">
        <v>0</v>
      </c>
      <c r="V2747" s="3" t="n">
        <f aca="false">SUM(P2747:Q2747)</f>
        <v>1</v>
      </c>
      <c r="W2747" s="3" t="n">
        <f aca="false">SUM(R2747:T2747)</f>
        <v>0</v>
      </c>
      <c r="X2747" s="22" t="n">
        <v>41793</v>
      </c>
      <c r="Y2747" s="22" t="n">
        <v>41798</v>
      </c>
    </row>
    <row r="2748" customFormat="false" ht="14.25" hidden="false" customHeight="false" outlineLevel="0" collapsed="false">
      <c r="A2748" s="1" t="n">
        <v>2014</v>
      </c>
      <c r="B2748" s="1" t="n">
        <v>1</v>
      </c>
      <c r="C2748" s="2" t="s">
        <v>25</v>
      </c>
      <c r="D2748" s="3" t="s">
        <v>26</v>
      </c>
      <c r="E2748" s="3" t="n">
        <v>2</v>
      </c>
      <c r="F2748" s="1" t="n">
        <f aca="false">Y2748-X2748</f>
        <v>5</v>
      </c>
      <c r="G2748" s="1" t="n">
        <v>5</v>
      </c>
      <c r="H2748" s="3" t="s">
        <v>32</v>
      </c>
      <c r="I2748" s="3" t="s">
        <v>169</v>
      </c>
      <c r="J2748" s="3" t="s">
        <v>170</v>
      </c>
      <c r="K2748" s="2" t="str">
        <f aca="false">CONCATENATE(I2748," ",J2748)</f>
        <v>Abacoproeces saltuum</v>
      </c>
      <c r="L2748" s="3" t="n">
        <f aca="false">SUM(P2748:U2748)</f>
        <v>1</v>
      </c>
      <c r="M2748" s="11" t="n">
        <f aca="false">(L2748/(F2748*G2748)*25)*4</f>
        <v>4</v>
      </c>
      <c r="N2748" s="1" t="s">
        <v>30</v>
      </c>
      <c r="O2748" s="1" t="s">
        <v>35</v>
      </c>
      <c r="P2748" s="3" t="n">
        <v>0</v>
      </c>
      <c r="Q2748" s="3" t="n">
        <v>1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f aca="false">SUM(P2748:Q2748)</f>
        <v>1</v>
      </c>
      <c r="W2748" s="3" t="n">
        <f aca="false">SUM(R2748:T2748)</f>
        <v>0</v>
      </c>
      <c r="X2748" s="22" t="n">
        <v>41793</v>
      </c>
      <c r="Y2748" s="22" t="n">
        <v>41798</v>
      </c>
    </row>
    <row r="2749" customFormat="false" ht="14.25" hidden="false" customHeight="false" outlineLevel="0" collapsed="false">
      <c r="A2749" s="1" t="n">
        <v>2014</v>
      </c>
      <c r="B2749" s="1" t="n">
        <v>1</v>
      </c>
      <c r="C2749" s="2" t="s">
        <v>25</v>
      </c>
      <c r="D2749" s="3" t="s">
        <v>26</v>
      </c>
      <c r="E2749" s="3" t="n">
        <v>2</v>
      </c>
      <c r="F2749" s="1" t="n">
        <f aca="false">Y2749-X2749</f>
        <v>5</v>
      </c>
      <c r="G2749" s="1" t="n">
        <v>5</v>
      </c>
      <c r="H2749" s="3" t="s">
        <v>32</v>
      </c>
      <c r="I2749" s="3" t="s">
        <v>90</v>
      </c>
      <c r="J2749" s="3" t="s">
        <v>91</v>
      </c>
      <c r="K2749" s="2" t="str">
        <f aca="false">CONCATENATE(I2749," ",J2749)</f>
        <v>Tapinocyba insecta</v>
      </c>
      <c r="L2749" s="3" t="n">
        <f aca="false">SUM(P2749:U2749)</f>
        <v>1</v>
      </c>
      <c r="M2749" s="11" t="n">
        <f aca="false">(L2749/(F2749*G2749)*25)*4</f>
        <v>4</v>
      </c>
      <c r="N2749" s="1" t="s">
        <v>30</v>
      </c>
      <c r="O2749" s="1" t="s">
        <v>31</v>
      </c>
      <c r="P2749" s="3" t="n">
        <v>1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0</v>
      </c>
      <c r="V2749" s="3" t="n">
        <f aca="false">SUM(P2749:Q2749)</f>
        <v>1</v>
      </c>
      <c r="W2749" s="3" t="n">
        <f aca="false">SUM(R2749:T2749)</f>
        <v>0</v>
      </c>
      <c r="X2749" s="22" t="n">
        <v>41793</v>
      </c>
      <c r="Y2749" s="22" t="n">
        <v>41798</v>
      </c>
    </row>
    <row r="2750" customFormat="false" ht="14.25" hidden="false" customHeight="false" outlineLevel="0" collapsed="false">
      <c r="A2750" s="1" t="n">
        <v>2014</v>
      </c>
      <c r="B2750" s="1" t="n">
        <v>1</v>
      </c>
      <c r="C2750" s="2" t="s">
        <v>25</v>
      </c>
      <c r="D2750" s="3" t="s">
        <v>26</v>
      </c>
      <c r="E2750" s="3" t="n">
        <v>2</v>
      </c>
      <c r="F2750" s="1" t="n">
        <f aca="false">Y2750-X2750</f>
        <v>5</v>
      </c>
      <c r="G2750" s="1" t="n">
        <v>5</v>
      </c>
      <c r="H2750" s="3" t="s">
        <v>48</v>
      </c>
      <c r="I2750" s="3" t="s">
        <v>67</v>
      </c>
      <c r="J2750" s="3" t="s">
        <v>127</v>
      </c>
      <c r="K2750" s="2" t="str">
        <f aca="false">CONCATENATE(I2750," ",J2750)</f>
        <v>Pardosa lugubris</v>
      </c>
      <c r="L2750" s="3" t="n">
        <f aca="false">SUM(P2750:U2750)</f>
        <v>3</v>
      </c>
      <c r="M2750" s="11" t="n">
        <f aca="false">(L2750/(F2750*G2750)*25)*4</f>
        <v>12</v>
      </c>
      <c r="N2750" s="1" t="s">
        <v>30</v>
      </c>
      <c r="O2750" s="1" t="s">
        <v>31</v>
      </c>
      <c r="P2750" s="3" t="n">
        <v>3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f aca="false">SUM(P2750:Q2750)</f>
        <v>3</v>
      </c>
      <c r="W2750" s="3" t="n">
        <f aca="false">SUM(R2750:T2750)</f>
        <v>0</v>
      </c>
      <c r="X2750" s="22" t="n">
        <v>41793</v>
      </c>
      <c r="Y2750" s="22" t="n">
        <v>41798</v>
      </c>
    </row>
    <row r="2751" customFormat="false" ht="14.25" hidden="false" customHeight="false" outlineLevel="0" collapsed="false">
      <c r="A2751" s="1" t="n">
        <v>2014</v>
      </c>
      <c r="B2751" s="1" t="n">
        <v>1</v>
      </c>
      <c r="C2751" s="2" t="s">
        <v>25</v>
      </c>
      <c r="D2751" s="3" t="s">
        <v>26</v>
      </c>
      <c r="E2751" s="3" t="n">
        <v>2</v>
      </c>
      <c r="F2751" s="1" t="n">
        <f aca="false">Y2751-X2751</f>
        <v>5</v>
      </c>
      <c r="G2751" s="1" t="n">
        <v>5</v>
      </c>
      <c r="H2751" s="3" t="s">
        <v>48</v>
      </c>
      <c r="I2751" s="3" t="s">
        <v>49</v>
      </c>
      <c r="J2751" s="3" t="s">
        <v>38</v>
      </c>
      <c r="K2751" s="2" t="str">
        <f aca="false">CONCATENATE(I2751," ",J2751)</f>
        <v>Alopecosa sp</v>
      </c>
      <c r="L2751" s="3" t="n">
        <f aca="false">SUM(P2751:U2751)</f>
        <v>2</v>
      </c>
      <c r="M2751" s="11" t="n">
        <f aca="false">(L2751/(F2751*G2751)*25)*4</f>
        <v>8</v>
      </c>
      <c r="N2751" s="1" t="s">
        <v>19</v>
      </c>
      <c r="O2751" s="1" t="s">
        <v>54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2</v>
      </c>
      <c r="U2751" s="3" t="n">
        <v>0</v>
      </c>
      <c r="V2751" s="3" t="n">
        <f aca="false">SUM(P2751:Q2751)</f>
        <v>0</v>
      </c>
      <c r="W2751" s="3" t="n">
        <f aca="false">SUM(R2751:T2751)</f>
        <v>2</v>
      </c>
      <c r="X2751" s="22" t="n">
        <v>41793</v>
      </c>
      <c r="Y2751" s="22" t="n">
        <v>41798</v>
      </c>
    </row>
    <row r="2752" customFormat="false" ht="14.25" hidden="false" customHeight="false" outlineLevel="0" collapsed="false">
      <c r="A2752" s="1" t="n">
        <v>2014</v>
      </c>
      <c r="B2752" s="1" t="n">
        <v>1</v>
      </c>
      <c r="C2752" s="2" t="s">
        <v>25</v>
      </c>
      <c r="D2752" s="3" t="s">
        <v>26</v>
      </c>
      <c r="E2752" s="3" t="n">
        <v>2</v>
      </c>
      <c r="F2752" s="1" t="n">
        <f aca="false">Y2752-X2752</f>
        <v>5</v>
      </c>
      <c r="G2752" s="1" t="n">
        <v>5</v>
      </c>
      <c r="H2752" s="3" t="s">
        <v>48</v>
      </c>
      <c r="I2752" s="3" t="s">
        <v>49</v>
      </c>
      <c r="J2752" s="3" t="s">
        <v>104</v>
      </c>
      <c r="K2752" s="2" t="str">
        <f aca="false">CONCATENATE(I2752," ",J2752)</f>
        <v>Alopecosa taeniata</v>
      </c>
      <c r="L2752" s="3" t="n">
        <f aca="false">SUM(P2752:U2752)</f>
        <v>5</v>
      </c>
      <c r="M2752" s="11" t="n">
        <f aca="false">(L2752/(F2752*G2752)*25)*4</f>
        <v>20</v>
      </c>
      <c r="N2752" s="1" t="s">
        <v>30</v>
      </c>
      <c r="O2752" s="1" t="s">
        <v>31</v>
      </c>
      <c r="P2752" s="3" t="n">
        <v>5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f aca="false">SUM(P2752:Q2752)</f>
        <v>5</v>
      </c>
      <c r="W2752" s="3" t="n">
        <f aca="false">SUM(R2752:T2752)</f>
        <v>0</v>
      </c>
      <c r="X2752" s="22" t="n">
        <v>41793</v>
      </c>
      <c r="Y2752" s="22" t="n">
        <v>41798</v>
      </c>
    </row>
    <row r="2753" customFormat="false" ht="14.25" hidden="false" customHeight="false" outlineLevel="0" collapsed="false">
      <c r="A2753" s="1" t="n">
        <v>2014</v>
      </c>
      <c r="B2753" s="1" t="n">
        <v>1</v>
      </c>
      <c r="C2753" s="2" t="s">
        <v>25</v>
      </c>
      <c r="D2753" s="3" t="s">
        <v>26</v>
      </c>
      <c r="E2753" s="3" t="n">
        <v>2</v>
      </c>
      <c r="F2753" s="1" t="n">
        <f aca="false">Y2753-X2753</f>
        <v>5</v>
      </c>
      <c r="G2753" s="1" t="n">
        <v>5</v>
      </c>
      <c r="H2753" s="3" t="s">
        <v>48</v>
      </c>
      <c r="I2753" s="3" t="s">
        <v>49</v>
      </c>
      <c r="J2753" s="3" t="s">
        <v>104</v>
      </c>
      <c r="K2753" s="2" t="str">
        <f aca="false">CONCATENATE(I2753," ",J2753)</f>
        <v>Alopecosa taeniata</v>
      </c>
      <c r="L2753" s="3" t="n">
        <f aca="false">SUM(P2753:U2753)</f>
        <v>1</v>
      </c>
      <c r="M2753" s="11" t="n">
        <f aca="false">(L2753/(F2753*G2753)*25)*4</f>
        <v>4</v>
      </c>
      <c r="N2753" s="1" t="s">
        <v>30</v>
      </c>
      <c r="O2753" s="1" t="s">
        <v>35</v>
      </c>
      <c r="P2753" s="3" t="n">
        <v>0</v>
      </c>
      <c r="Q2753" s="3" t="n">
        <v>1</v>
      </c>
      <c r="R2753" s="3" t="n">
        <v>0</v>
      </c>
      <c r="S2753" s="3" t="n">
        <v>0</v>
      </c>
      <c r="T2753" s="3" t="n">
        <v>0</v>
      </c>
      <c r="U2753" s="3" t="n">
        <v>0</v>
      </c>
      <c r="V2753" s="3" t="n">
        <f aca="false">SUM(P2753:Q2753)</f>
        <v>1</v>
      </c>
      <c r="W2753" s="3" t="n">
        <f aca="false">SUM(R2753:T2753)</f>
        <v>0</v>
      </c>
      <c r="X2753" s="22" t="n">
        <v>41793</v>
      </c>
      <c r="Y2753" s="22" t="n">
        <v>41798</v>
      </c>
    </row>
    <row r="2754" customFormat="false" ht="14.25" hidden="false" customHeight="false" outlineLevel="0" collapsed="false">
      <c r="A2754" s="1" t="n">
        <v>2014</v>
      </c>
      <c r="B2754" s="1" t="n">
        <v>1</v>
      </c>
      <c r="C2754" s="2" t="s">
        <v>25</v>
      </c>
      <c r="D2754" s="3" t="s">
        <v>26</v>
      </c>
      <c r="E2754" s="3" t="n">
        <v>2</v>
      </c>
      <c r="F2754" s="1" t="n">
        <f aca="false">Y2754-X2754</f>
        <v>5</v>
      </c>
      <c r="G2754" s="1" t="n">
        <v>5</v>
      </c>
      <c r="H2754" s="3" t="s">
        <v>48</v>
      </c>
      <c r="I2754" s="3" t="s">
        <v>61</v>
      </c>
      <c r="J2754" s="3" t="s">
        <v>38</v>
      </c>
      <c r="K2754" s="2" t="str">
        <f aca="false">CONCATENATE(I2754," ",J2754)</f>
        <v>Trochosa sp</v>
      </c>
      <c r="L2754" s="3" t="n">
        <f aca="false">SUM(P2754:U2754)</f>
        <v>1</v>
      </c>
      <c r="M2754" s="11" t="n">
        <f aca="false">(L2754/(F2754*G2754)*25)*4</f>
        <v>4</v>
      </c>
      <c r="N2754" s="1" t="s">
        <v>19</v>
      </c>
      <c r="O2754" s="1" t="s">
        <v>35</v>
      </c>
      <c r="P2754" s="3" t="n">
        <v>0</v>
      </c>
      <c r="Q2754" s="3" t="n">
        <v>0</v>
      </c>
      <c r="R2754" s="3" t="n">
        <v>0</v>
      </c>
      <c r="S2754" s="3" t="n">
        <v>1</v>
      </c>
      <c r="T2754" s="3" t="n">
        <v>0</v>
      </c>
      <c r="U2754" s="3" t="n">
        <v>0</v>
      </c>
      <c r="V2754" s="3" t="n">
        <f aca="false">SUM(P2754:Q2754)</f>
        <v>0</v>
      </c>
      <c r="W2754" s="3" t="n">
        <f aca="false">SUM(R2754:T2754)</f>
        <v>1</v>
      </c>
      <c r="X2754" s="22" t="n">
        <v>41793</v>
      </c>
      <c r="Y2754" s="22" t="n">
        <v>41798</v>
      </c>
    </row>
    <row r="2755" customFormat="false" ht="14.25" hidden="false" customHeight="false" outlineLevel="0" collapsed="false">
      <c r="A2755" s="1" t="n">
        <v>2014</v>
      </c>
      <c r="B2755" s="1" t="n">
        <v>1</v>
      </c>
      <c r="C2755" s="2" t="s">
        <v>25</v>
      </c>
      <c r="D2755" s="3" t="s">
        <v>26</v>
      </c>
      <c r="E2755" s="3" t="n">
        <v>2</v>
      </c>
      <c r="F2755" s="1" t="n">
        <f aca="false">Y2755-X2755</f>
        <v>5</v>
      </c>
      <c r="G2755" s="1" t="n">
        <v>5</v>
      </c>
      <c r="H2755" s="3" t="s">
        <v>48</v>
      </c>
      <c r="I2755" s="3" t="s">
        <v>61</v>
      </c>
      <c r="J2755" s="3" t="s">
        <v>38</v>
      </c>
      <c r="K2755" s="2" t="str">
        <f aca="false">CONCATENATE(I2755," ",J2755)</f>
        <v>Trochosa sp</v>
      </c>
      <c r="L2755" s="3" t="n">
        <f aca="false">SUM(P2755:U2755)</f>
        <v>1</v>
      </c>
      <c r="M2755" s="11" t="n">
        <f aca="false">(L2755/(F2755*G2755)*25)*4</f>
        <v>4</v>
      </c>
      <c r="N2755" s="1" t="s">
        <v>19</v>
      </c>
      <c r="O2755" s="1" t="s">
        <v>54</v>
      </c>
      <c r="P2755" s="3" t="n">
        <v>0</v>
      </c>
      <c r="Q2755" s="3" t="n">
        <v>0</v>
      </c>
      <c r="R2755" s="3" t="n">
        <v>0</v>
      </c>
      <c r="S2755" s="3" t="n">
        <v>0</v>
      </c>
      <c r="T2755" s="3" t="n">
        <v>1</v>
      </c>
      <c r="U2755" s="3" t="n">
        <v>0</v>
      </c>
      <c r="V2755" s="3" t="n">
        <f aca="false">SUM(P2755:Q2755)</f>
        <v>0</v>
      </c>
      <c r="W2755" s="3" t="n">
        <f aca="false">SUM(R2755:T2755)</f>
        <v>1</v>
      </c>
      <c r="X2755" s="22" t="n">
        <v>41793</v>
      </c>
      <c r="Y2755" s="22" t="n">
        <v>41798</v>
      </c>
    </row>
    <row r="2756" customFormat="false" ht="14.25" hidden="false" customHeight="false" outlineLevel="0" collapsed="false">
      <c r="A2756" s="1" t="n">
        <v>2014</v>
      </c>
      <c r="B2756" s="1" t="n">
        <v>1</v>
      </c>
      <c r="C2756" s="2" t="s">
        <v>25</v>
      </c>
      <c r="D2756" s="3" t="s">
        <v>26</v>
      </c>
      <c r="E2756" s="3" t="n">
        <v>2</v>
      </c>
      <c r="F2756" s="1" t="n">
        <f aca="false">Y2756-X2756</f>
        <v>5</v>
      </c>
      <c r="G2756" s="1" t="n">
        <v>5</v>
      </c>
      <c r="H2756" s="3" t="s">
        <v>48</v>
      </c>
      <c r="I2756" s="3" t="s">
        <v>67</v>
      </c>
      <c r="J2756" s="3" t="s">
        <v>127</v>
      </c>
      <c r="K2756" s="2" t="str">
        <f aca="false">CONCATENATE(I2756," ",J2756)</f>
        <v>Pardosa lugubris</v>
      </c>
      <c r="L2756" s="3" t="n">
        <f aca="false">SUM(P2756:U2756)</f>
        <v>2</v>
      </c>
      <c r="M2756" s="11" t="n">
        <f aca="false">(L2756/(F2756*G2756)*25)*4</f>
        <v>8</v>
      </c>
      <c r="N2756" s="1" t="s">
        <v>30</v>
      </c>
      <c r="O2756" s="1" t="s">
        <v>31</v>
      </c>
      <c r="P2756" s="3" t="n">
        <v>2</v>
      </c>
      <c r="Q2756" s="3" t="n">
        <v>0</v>
      </c>
      <c r="R2756" s="3" t="n">
        <v>0</v>
      </c>
      <c r="S2756" s="3" t="n">
        <v>0</v>
      </c>
      <c r="T2756" s="3" t="n">
        <v>0</v>
      </c>
      <c r="U2756" s="3" t="n">
        <v>0</v>
      </c>
      <c r="V2756" s="3" t="n">
        <f aca="false">SUM(P2756:Q2756)</f>
        <v>2</v>
      </c>
      <c r="W2756" s="3" t="n">
        <f aca="false">SUM(R2756:T2756)</f>
        <v>0</v>
      </c>
      <c r="X2756" s="22" t="n">
        <v>41793</v>
      </c>
      <c r="Y2756" s="22" t="n">
        <v>41798</v>
      </c>
    </row>
    <row r="2757" customFormat="false" ht="14.25" hidden="false" customHeight="false" outlineLevel="0" collapsed="false">
      <c r="A2757" s="1" t="n">
        <v>2014</v>
      </c>
      <c r="B2757" s="1" t="n">
        <v>1</v>
      </c>
      <c r="C2757" s="2" t="s">
        <v>25</v>
      </c>
      <c r="D2757" s="3" t="s">
        <v>26</v>
      </c>
      <c r="E2757" s="3" t="n">
        <v>2</v>
      </c>
      <c r="F2757" s="1" t="n">
        <f aca="false">Y2757-X2757</f>
        <v>5</v>
      </c>
      <c r="G2757" s="1" t="n">
        <v>5</v>
      </c>
      <c r="H2757" s="3" t="s">
        <v>48</v>
      </c>
      <c r="I2757" s="3" t="s">
        <v>49</v>
      </c>
      <c r="J2757" s="3" t="s">
        <v>104</v>
      </c>
      <c r="K2757" s="2" t="str">
        <f aca="false">CONCATENATE(I2757," ",J2757)</f>
        <v>Alopecosa taeniata</v>
      </c>
      <c r="L2757" s="3" t="n">
        <f aca="false">SUM(P2757:U2757)</f>
        <v>1</v>
      </c>
      <c r="M2757" s="11" t="n">
        <f aca="false">(L2757/(F2757*G2757)*25)*4</f>
        <v>4</v>
      </c>
      <c r="N2757" s="1" t="s">
        <v>30</v>
      </c>
      <c r="O2757" s="1" t="s">
        <v>31</v>
      </c>
      <c r="P2757" s="3" t="n">
        <v>1</v>
      </c>
      <c r="Q2757" s="3" t="n">
        <v>0</v>
      </c>
      <c r="R2757" s="3" t="n">
        <v>0</v>
      </c>
      <c r="S2757" s="3" t="n">
        <v>0</v>
      </c>
      <c r="T2757" s="3" t="n">
        <v>0</v>
      </c>
      <c r="U2757" s="3" t="n">
        <v>0</v>
      </c>
      <c r="V2757" s="3" t="n">
        <f aca="false">SUM(P2757:Q2757)</f>
        <v>1</v>
      </c>
      <c r="W2757" s="3" t="n">
        <f aca="false">SUM(R2757:T2757)</f>
        <v>0</v>
      </c>
      <c r="X2757" s="22" t="n">
        <v>41793</v>
      </c>
      <c r="Y2757" s="22" t="n">
        <v>41798</v>
      </c>
    </row>
    <row r="2758" customFormat="false" ht="14.25" hidden="false" customHeight="false" outlineLevel="0" collapsed="false">
      <c r="A2758" s="1" t="n">
        <v>2014</v>
      </c>
      <c r="B2758" s="1" t="n">
        <v>1</v>
      </c>
      <c r="C2758" s="2" t="s">
        <v>25</v>
      </c>
      <c r="D2758" s="3" t="s">
        <v>26</v>
      </c>
      <c r="E2758" s="3" t="n">
        <v>2</v>
      </c>
      <c r="F2758" s="1" t="n">
        <f aca="false">Y2758-X2758</f>
        <v>5</v>
      </c>
      <c r="G2758" s="1" t="n">
        <v>5</v>
      </c>
      <c r="H2758" s="3" t="s">
        <v>48</v>
      </c>
      <c r="I2758" s="3" t="s">
        <v>49</v>
      </c>
      <c r="J2758" s="3" t="s">
        <v>104</v>
      </c>
      <c r="K2758" s="2" t="str">
        <f aca="false">CONCATENATE(I2758," ",J2758)</f>
        <v>Alopecosa taeniata</v>
      </c>
      <c r="L2758" s="3" t="n">
        <f aca="false">SUM(P2758:U2758)</f>
        <v>1</v>
      </c>
      <c r="M2758" s="11" t="n">
        <f aca="false">(L2758/(F2758*G2758)*25)*4</f>
        <v>4</v>
      </c>
      <c r="N2758" s="1" t="s">
        <v>30</v>
      </c>
      <c r="O2758" s="1" t="s">
        <v>35</v>
      </c>
      <c r="P2758" s="3" t="n">
        <v>0</v>
      </c>
      <c r="Q2758" s="3" t="n">
        <v>1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f aca="false">SUM(P2758:Q2758)</f>
        <v>1</v>
      </c>
      <c r="W2758" s="3" t="n">
        <f aca="false">SUM(R2758:T2758)</f>
        <v>0</v>
      </c>
      <c r="X2758" s="22" t="n">
        <v>41793</v>
      </c>
      <c r="Y2758" s="22" t="n">
        <v>41798</v>
      </c>
    </row>
    <row r="2759" customFormat="false" ht="14.25" hidden="false" customHeight="false" outlineLevel="0" collapsed="false">
      <c r="A2759" s="1" t="n">
        <v>2014</v>
      </c>
      <c r="B2759" s="1" t="n">
        <v>1</v>
      </c>
      <c r="C2759" s="2" t="s">
        <v>25</v>
      </c>
      <c r="D2759" s="3" t="s">
        <v>26</v>
      </c>
      <c r="E2759" s="3" t="n">
        <v>2</v>
      </c>
      <c r="F2759" s="1" t="n">
        <f aca="false">Y2759-X2759</f>
        <v>5</v>
      </c>
      <c r="G2759" s="1" t="n">
        <v>5</v>
      </c>
      <c r="H2759" s="3" t="s">
        <v>36</v>
      </c>
      <c r="I2759" s="3" t="s">
        <v>131</v>
      </c>
      <c r="J2759" s="3" t="s">
        <v>133</v>
      </c>
      <c r="K2759" s="2" t="str">
        <f aca="false">CONCATENATE(I2759," ",J2759)</f>
        <v>Xysticus luctuosus</v>
      </c>
      <c r="L2759" s="3" t="n">
        <f aca="false">SUM(P2759:U2759)</f>
        <v>1</v>
      </c>
      <c r="M2759" s="11" t="n">
        <f aca="false">(L2759/(F2759*G2759)*25)*4</f>
        <v>4</v>
      </c>
      <c r="N2759" s="1" t="s">
        <v>30</v>
      </c>
      <c r="O2759" s="1" t="s">
        <v>31</v>
      </c>
      <c r="P2759" s="3" t="n">
        <v>1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f aca="false">SUM(P2759:Q2759)</f>
        <v>1</v>
      </c>
      <c r="W2759" s="3" t="n">
        <f aca="false">SUM(R2759:T2759)</f>
        <v>0</v>
      </c>
      <c r="X2759" s="22" t="n">
        <v>41793</v>
      </c>
      <c r="Y2759" s="22" t="n">
        <v>41798</v>
      </c>
    </row>
    <row r="2760" customFormat="false" ht="14.25" hidden="false" customHeight="false" outlineLevel="0" collapsed="false">
      <c r="A2760" s="1" t="n">
        <v>2014</v>
      </c>
      <c r="B2760" s="1" t="n">
        <v>1</v>
      </c>
      <c r="C2760" s="2" t="s">
        <v>25</v>
      </c>
      <c r="D2760" s="3" t="s">
        <v>26</v>
      </c>
      <c r="E2760" s="3" t="n">
        <v>2</v>
      </c>
      <c r="F2760" s="1" t="n">
        <f aca="false">Y2760-X2760</f>
        <v>5</v>
      </c>
      <c r="G2760" s="1" t="n">
        <v>5</v>
      </c>
      <c r="H2760" s="3" t="s">
        <v>36</v>
      </c>
      <c r="I2760" s="3" t="s">
        <v>37</v>
      </c>
      <c r="J2760" s="3" t="s">
        <v>75</v>
      </c>
      <c r="K2760" s="2" t="str">
        <f aca="false">CONCATENATE(I2760," ",J2760)</f>
        <v>Ozyptila praticola</v>
      </c>
      <c r="L2760" s="3" t="n">
        <f aca="false">SUM(P2760:U2760)</f>
        <v>1</v>
      </c>
      <c r="M2760" s="11" t="n">
        <f aca="false">(L2760/(F2760*G2760)*25)*4</f>
        <v>4</v>
      </c>
      <c r="N2760" s="1" t="s">
        <v>30</v>
      </c>
      <c r="O2760" s="1" t="s">
        <v>31</v>
      </c>
      <c r="P2760" s="3" t="n">
        <v>1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f aca="false">SUM(P2760:Q2760)</f>
        <v>1</v>
      </c>
      <c r="W2760" s="3" t="n">
        <f aca="false">SUM(R2760:T2760)</f>
        <v>0</v>
      </c>
      <c r="X2760" s="22" t="n">
        <v>41793</v>
      </c>
      <c r="Y2760" s="22" t="n">
        <v>41798</v>
      </c>
    </row>
    <row r="2761" customFormat="false" ht="14.25" hidden="false" customHeight="false" outlineLevel="0" collapsed="false">
      <c r="A2761" s="1" t="n">
        <v>2014</v>
      </c>
      <c r="B2761" s="1" t="n">
        <v>1</v>
      </c>
      <c r="C2761" s="2" t="s">
        <v>25</v>
      </c>
      <c r="D2761" s="3" t="s">
        <v>26</v>
      </c>
      <c r="E2761" s="3" t="n">
        <v>2</v>
      </c>
      <c r="F2761" s="1" t="n">
        <f aca="false">Y2761-X2761</f>
        <v>5</v>
      </c>
      <c r="G2761" s="1" t="n">
        <v>5</v>
      </c>
      <c r="H2761" s="3" t="s">
        <v>32</v>
      </c>
      <c r="I2761" s="3" t="s">
        <v>96</v>
      </c>
      <c r="J2761" s="3" t="s">
        <v>97</v>
      </c>
      <c r="K2761" s="2" t="str">
        <f aca="false">CONCATENATE(I2761," ",J2761)</f>
        <v>Diplocephalus picinus</v>
      </c>
      <c r="L2761" s="3" t="n">
        <f aca="false">SUM(P2761:U2761)</f>
        <v>1</v>
      </c>
      <c r="M2761" s="11" t="n">
        <f aca="false">(L2761/(F2761*G2761)*25)*4</f>
        <v>4</v>
      </c>
      <c r="N2761" s="1" t="s">
        <v>30</v>
      </c>
      <c r="O2761" s="1" t="s">
        <v>31</v>
      </c>
      <c r="P2761" s="3" t="n">
        <v>1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f aca="false">SUM(P2761:Q2761)</f>
        <v>1</v>
      </c>
      <c r="W2761" s="3" t="n">
        <f aca="false">SUM(R2761:T2761)</f>
        <v>0</v>
      </c>
      <c r="X2761" s="22" t="n">
        <v>41793</v>
      </c>
      <c r="Y2761" s="22" t="n">
        <v>41798</v>
      </c>
    </row>
    <row r="2762" customFormat="false" ht="14.25" hidden="false" customHeight="false" outlineLevel="0" collapsed="false">
      <c r="A2762" s="1" t="n">
        <v>2014</v>
      </c>
      <c r="B2762" s="1" t="n">
        <v>1</v>
      </c>
      <c r="C2762" s="2" t="s">
        <v>25</v>
      </c>
      <c r="D2762" s="3" t="s">
        <v>26</v>
      </c>
      <c r="E2762" s="3" t="n">
        <v>2</v>
      </c>
      <c r="F2762" s="1" t="n">
        <f aca="false">Y2762-X2762</f>
        <v>5</v>
      </c>
      <c r="G2762" s="1" t="n">
        <v>5</v>
      </c>
      <c r="H2762" s="3" t="s">
        <v>32</v>
      </c>
      <c r="I2762" s="3" t="s">
        <v>93</v>
      </c>
      <c r="J2762" s="3" t="s">
        <v>94</v>
      </c>
      <c r="K2762" s="2" t="str">
        <f aca="false">CONCATENATE(I2762," ",J2762)</f>
        <v>Anguliphantes angulipalpis</v>
      </c>
      <c r="L2762" s="3" t="n">
        <f aca="false">SUM(P2762:U2762)</f>
        <v>1</v>
      </c>
      <c r="M2762" s="11" t="n">
        <f aca="false">(L2762/(F2762*G2762)*25)*4</f>
        <v>4</v>
      </c>
      <c r="N2762" s="1" t="s">
        <v>30</v>
      </c>
      <c r="O2762" s="1" t="s">
        <v>35</v>
      </c>
      <c r="P2762" s="3" t="n">
        <v>0</v>
      </c>
      <c r="Q2762" s="3" t="n">
        <v>1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f aca="false">SUM(P2762:Q2762)</f>
        <v>1</v>
      </c>
      <c r="W2762" s="3" t="n">
        <f aca="false">SUM(R2762:T2762)</f>
        <v>0</v>
      </c>
      <c r="X2762" s="22" t="n">
        <v>41793</v>
      </c>
      <c r="Y2762" s="22" t="n">
        <v>41798</v>
      </c>
    </row>
    <row r="2763" customFormat="false" ht="14.25" hidden="false" customHeight="false" outlineLevel="0" collapsed="false">
      <c r="A2763" s="1" t="n">
        <v>2014</v>
      </c>
      <c r="B2763" s="1" t="n">
        <v>1</v>
      </c>
      <c r="C2763" s="2" t="s">
        <v>25</v>
      </c>
      <c r="D2763" s="3" t="s">
        <v>26</v>
      </c>
      <c r="E2763" s="3" t="n">
        <v>2</v>
      </c>
      <c r="F2763" s="1" t="n">
        <f aca="false">Y2763-X2763</f>
        <v>5</v>
      </c>
      <c r="G2763" s="1" t="n">
        <v>5</v>
      </c>
      <c r="H2763" s="3" t="s">
        <v>32</v>
      </c>
      <c r="I2763" s="3" t="s">
        <v>102</v>
      </c>
      <c r="J2763" s="3" t="s">
        <v>182</v>
      </c>
      <c r="K2763" s="2" t="str">
        <f aca="false">CONCATENATE(I2763," ",J2763)</f>
        <v>Agyneta ramosa</v>
      </c>
      <c r="L2763" s="3" t="n">
        <f aca="false">SUM(P2763:U2763)</f>
        <v>1</v>
      </c>
      <c r="M2763" s="11" t="n">
        <f aca="false">(L2763/(F2763*G2763)*25)*4</f>
        <v>4</v>
      </c>
      <c r="N2763" s="1" t="s">
        <v>30</v>
      </c>
      <c r="O2763" s="1" t="s">
        <v>31</v>
      </c>
      <c r="P2763" s="3" t="n">
        <v>1</v>
      </c>
      <c r="Q2763" s="3" t="n">
        <v>0</v>
      </c>
      <c r="R2763" s="3" t="n">
        <v>0</v>
      </c>
      <c r="S2763" s="3" t="n">
        <v>0</v>
      </c>
      <c r="T2763" s="3" t="n">
        <v>0</v>
      </c>
      <c r="U2763" s="3" t="n">
        <v>0</v>
      </c>
      <c r="V2763" s="3" t="n">
        <f aca="false">SUM(P2763:Q2763)</f>
        <v>1</v>
      </c>
      <c r="W2763" s="3" t="n">
        <f aca="false">SUM(R2763:T2763)</f>
        <v>0</v>
      </c>
      <c r="X2763" s="22" t="n">
        <v>41793</v>
      </c>
      <c r="Y2763" s="22" t="n">
        <v>41798</v>
      </c>
    </row>
    <row r="2764" customFormat="false" ht="14.25" hidden="false" customHeight="false" outlineLevel="0" collapsed="false">
      <c r="A2764" s="1" t="n">
        <v>2014</v>
      </c>
      <c r="B2764" s="1" t="n">
        <v>1</v>
      </c>
      <c r="C2764" s="2" t="s">
        <v>44</v>
      </c>
      <c r="D2764" s="3" t="s">
        <v>45</v>
      </c>
      <c r="E2764" s="3" t="n">
        <v>1</v>
      </c>
      <c r="F2764" s="1" t="n">
        <f aca="false">Y2764-X2764</f>
        <v>5</v>
      </c>
      <c r="G2764" s="1" t="n">
        <v>5</v>
      </c>
      <c r="H2764" s="3" t="s">
        <v>48</v>
      </c>
      <c r="I2764" s="3" t="s">
        <v>122</v>
      </c>
      <c r="J2764" s="3" t="s">
        <v>123</v>
      </c>
      <c r="K2764" s="2" t="str">
        <f aca="false">CONCATENATE(I2764," ",J2764)</f>
        <v>Xerolycosa nemoralis</v>
      </c>
      <c r="L2764" s="3" t="n">
        <f aca="false">SUM(P2764:U2764)</f>
        <v>10</v>
      </c>
      <c r="M2764" s="11" t="n">
        <f aca="false">(L2764/(F2764*G2764)*25)*4</f>
        <v>40</v>
      </c>
      <c r="N2764" s="1" t="s">
        <v>30</v>
      </c>
      <c r="O2764" s="1" t="s">
        <v>31</v>
      </c>
      <c r="P2764" s="3" t="n">
        <v>10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f aca="false">SUM(P2764:Q2764)</f>
        <v>10</v>
      </c>
      <c r="W2764" s="3" t="n">
        <f aca="false">SUM(R2764:T2764)</f>
        <v>0</v>
      </c>
      <c r="X2764" s="22" t="n">
        <v>41794</v>
      </c>
      <c r="Y2764" s="22" t="n">
        <v>41799</v>
      </c>
    </row>
    <row r="2765" customFormat="false" ht="14.25" hidden="false" customHeight="false" outlineLevel="0" collapsed="false">
      <c r="A2765" s="1" t="n">
        <v>2014</v>
      </c>
      <c r="B2765" s="1" t="n">
        <v>1</v>
      </c>
      <c r="C2765" s="2" t="s">
        <v>44</v>
      </c>
      <c r="D2765" s="3" t="s">
        <v>45</v>
      </c>
      <c r="E2765" s="3" t="n">
        <v>1</v>
      </c>
      <c r="F2765" s="1" t="n">
        <f aca="false">Y2765-X2765</f>
        <v>5</v>
      </c>
      <c r="G2765" s="1" t="n">
        <v>5</v>
      </c>
      <c r="H2765" s="3" t="s">
        <v>48</v>
      </c>
      <c r="I2765" s="3" t="s">
        <v>122</v>
      </c>
      <c r="J2765" s="3" t="s">
        <v>123</v>
      </c>
      <c r="K2765" s="2" t="str">
        <f aca="false">CONCATENATE(I2765," ",J2765)</f>
        <v>Xerolycosa nemoralis</v>
      </c>
      <c r="L2765" s="3" t="n">
        <f aca="false">SUM(P2765:U2765)</f>
        <v>3</v>
      </c>
      <c r="M2765" s="11" t="n">
        <f aca="false">(L2765/(F2765*G2765)*25)*4</f>
        <v>12</v>
      </c>
      <c r="N2765" s="1" t="s">
        <v>30</v>
      </c>
      <c r="O2765" s="1" t="s">
        <v>35</v>
      </c>
      <c r="P2765" s="3" t="n">
        <v>0</v>
      </c>
      <c r="Q2765" s="3" t="n">
        <v>3</v>
      </c>
      <c r="R2765" s="3" t="n">
        <v>0</v>
      </c>
      <c r="S2765" s="3" t="n">
        <v>0</v>
      </c>
      <c r="T2765" s="3" t="n">
        <v>0</v>
      </c>
      <c r="U2765" s="3" t="n">
        <v>0</v>
      </c>
      <c r="V2765" s="3" t="n">
        <f aca="false">SUM(P2765:Q2765)</f>
        <v>3</v>
      </c>
      <c r="W2765" s="3" t="n">
        <f aca="false">SUM(R2765:T2765)</f>
        <v>0</v>
      </c>
      <c r="X2765" s="22" t="n">
        <v>41794</v>
      </c>
      <c r="Y2765" s="22" t="n">
        <v>41799</v>
      </c>
    </row>
    <row r="2766" customFormat="false" ht="14.25" hidden="false" customHeight="false" outlineLevel="0" collapsed="false">
      <c r="A2766" s="1" t="n">
        <v>2014</v>
      </c>
      <c r="B2766" s="1" t="n">
        <v>1</v>
      </c>
      <c r="C2766" s="2" t="s">
        <v>44</v>
      </c>
      <c r="D2766" s="3" t="s">
        <v>45</v>
      </c>
      <c r="E2766" s="3" t="n">
        <v>1</v>
      </c>
      <c r="F2766" s="1" t="n">
        <f aca="false">Y2766-X2766</f>
        <v>5</v>
      </c>
      <c r="G2766" s="1" t="n">
        <v>5</v>
      </c>
      <c r="H2766" s="3" t="s">
        <v>48</v>
      </c>
      <c r="I2766" s="3" t="s">
        <v>49</v>
      </c>
      <c r="J2766" s="3" t="s">
        <v>130</v>
      </c>
      <c r="K2766" s="2" t="str">
        <f aca="false">CONCATENATE(I2766," ",J2766)</f>
        <v>Alopecosa aculeata</v>
      </c>
      <c r="L2766" s="3" t="n">
        <f aca="false">SUM(P2766:U2766)</f>
        <v>1</v>
      </c>
      <c r="M2766" s="11" t="n">
        <f aca="false">(L2766/(F2766*G2766)*25)*4</f>
        <v>4</v>
      </c>
      <c r="N2766" s="1" t="s">
        <v>30</v>
      </c>
      <c r="O2766" s="1" t="s">
        <v>31</v>
      </c>
      <c r="P2766" s="3" t="n">
        <v>1</v>
      </c>
      <c r="Q2766" s="3" t="n">
        <v>0</v>
      </c>
      <c r="R2766" s="3" t="n">
        <v>0</v>
      </c>
      <c r="S2766" s="3" t="n">
        <v>0</v>
      </c>
      <c r="T2766" s="3" t="n">
        <v>0</v>
      </c>
      <c r="U2766" s="3" t="n">
        <v>0</v>
      </c>
      <c r="V2766" s="3" t="n">
        <f aca="false">SUM(P2766:Q2766)</f>
        <v>1</v>
      </c>
      <c r="W2766" s="3" t="n">
        <f aca="false">SUM(R2766:T2766)</f>
        <v>0</v>
      </c>
      <c r="X2766" s="22" t="n">
        <v>41794</v>
      </c>
      <c r="Y2766" s="22" t="n">
        <v>41799</v>
      </c>
    </row>
    <row r="2767" customFormat="false" ht="14.25" hidden="false" customHeight="false" outlineLevel="0" collapsed="false">
      <c r="A2767" s="1" t="n">
        <v>2014</v>
      </c>
      <c r="B2767" s="1" t="n">
        <v>1</v>
      </c>
      <c r="C2767" s="2" t="s">
        <v>44</v>
      </c>
      <c r="D2767" s="3" t="s">
        <v>45</v>
      </c>
      <c r="E2767" s="3" t="n">
        <v>1</v>
      </c>
      <c r="F2767" s="1" t="n">
        <f aca="false">Y2767-X2767</f>
        <v>5</v>
      </c>
      <c r="G2767" s="1" t="n">
        <v>5</v>
      </c>
      <c r="H2767" s="3" t="s">
        <v>48</v>
      </c>
      <c r="I2767" s="3" t="s">
        <v>49</v>
      </c>
      <c r="J2767" s="3" t="s">
        <v>130</v>
      </c>
      <c r="K2767" s="2" t="str">
        <f aca="false">CONCATENATE(I2767," ",J2767)</f>
        <v>Alopecosa aculeata</v>
      </c>
      <c r="L2767" s="3" t="n">
        <f aca="false">SUM(P2767:U2767)</f>
        <v>1</v>
      </c>
      <c r="M2767" s="11" t="n">
        <f aca="false">(L2767/(F2767*G2767)*25)*4</f>
        <v>4</v>
      </c>
      <c r="N2767" s="1" t="s">
        <v>30</v>
      </c>
      <c r="O2767" s="1" t="s">
        <v>35</v>
      </c>
      <c r="P2767" s="3" t="n">
        <v>0</v>
      </c>
      <c r="Q2767" s="3" t="n">
        <v>1</v>
      </c>
      <c r="R2767" s="3" t="n">
        <v>0</v>
      </c>
      <c r="S2767" s="3" t="n">
        <v>0</v>
      </c>
      <c r="T2767" s="3" t="n">
        <v>0</v>
      </c>
      <c r="U2767" s="3" t="n">
        <v>0</v>
      </c>
      <c r="V2767" s="3" t="n">
        <f aca="false">SUM(P2767:Q2767)</f>
        <v>1</v>
      </c>
      <c r="W2767" s="3" t="n">
        <f aca="false">SUM(R2767:T2767)</f>
        <v>0</v>
      </c>
      <c r="X2767" s="22" t="n">
        <v>41794</v>
      </c>
      <c r="Y2767" s="22" t="n">
        <v>41799</v>
      </c>
    </row>
    <row r="2768" customFormat="false" ht="14.25" hidden="false" customHeight="false" outlineLevel="0" collapsed="false">
      <c r="A2768" s="1" t="n">
        <v>2014</v>
      </c>
      <c r="B2768" s="1" t="n">
        <v>1</v>
      </c>
      <c r="C2768" s="2" t="s">
        <v>44</v>
      </c>
      <c r="D2768" s="3" t="s">
        <v>45</v>
      </c>
      <c r="E2768" s="3" t="n">
        <v>1</v>
      </c>
      <c r="F2768" s="1" t="n">
        <f aca="false">Y2768-X2768</f>
        <v>5</v>
      </c>
      <c r="G2768" s="1" t="n">
        <v>5</v>
      </c>
      <c r="H2768" s="3" t="s">
        <v>48</v>
      </c>
      <c r="I2768" s="3" t="s">
        <v>61</v>
      </c>
      <c r="J2768" s="3" t="s">
        <v>38</v>
      </c>
      <c r="K2768" s="2" t="str">
        <f aca="false">CONCATENATE(I2768," ",J2768)</f>
        <v>Trochosa sp</v>
      </c>
      <c r="L2768" s="3" t="n">
        <f aca="false">SUM(P2768:U2768)</f>
        <v>1</v>
      </c>
      <c r="M2768" s="11" t="n">
        <f aca="false">(L2768/(F2768*G2768)*25)*4</f>
        <v>4</v>
      </c>
      <c r="N2768" s="1" t="s">
        <v>19</v>
      </c>
      <c r="O2768" s="1" t="s">
        <v>35</v>
      </c>
      <c r="P2768" s="3" t="n">
        <v>0</v>
      </c>
      <c r="Q2768" s="3" t="n">
        <v>0</v>
      </c>
      <c r="R2768" s="3" t="n">
        <v>0</v>
      </c>
      <c r="S2768" s="3" t="n">
        <v>1</v>
      </c>
      <c r="T2768" s="3" t="n">
        <v>0</v>
      </c>
      <c r="U2768" s="3" t="n">
        <v>0</v>
      </c>
      <c r="V2768" s="3" t="n">
        <f aca="false">SUM(P2768:Q2768)</f>
        <v>0</v>
      </c>
      <c r="W2768" s="3" t="n">
        <f aca="false">SUM(R2768:T2768)</f>
        <v>1</v>
      </c>
      <c r="X2768" s="22" t="n">
        <v>41794</v>
      </c>
      <c r="Y2768" s="22" t="n">
        <v>41799</v>
      </c>
    </row>
    <row r="2769" customFormat="false" ht="14.25" hidden="false" customHeight="false" outlineLevel="0" collapsed="false">
      <c r="A2769" s="1" t="n">
        <v>2014</v>
      </c>
      <c r="B2769" s="1" t="n">
        <v>1</v>
      </c>
      <c r="C2769" s="2" t="s">
        <v>44</v>
      </c>
      <c r="D2769" s="3" t="s">
        <v>45</v>
      </c>
      <c r="E2769" s="3" t="n">
        <v>1</v>
      </c>
      <c r="F2769" s="1" t="n">
        <f aca="false">Y2769-X2769</f>
        <v>5</v>
      </c>
      <c r="G2769" s="1" t="n">
        <v>5</v>
      </c>
      <c r="H2769" s="3" t="s">
        <v>72</v>
      </c>
      <c r="I2769" s="3" t="s">
        <v>73</v>
      </c>
      <c r="J2769" s="3" t="s">
        <v>74</v>
      </c>
      <c r="K2769" s="2" t="str">
        <f aca="false">CONCATENATE(I2769," ",J2769)</f>
        <v>Zelotes subterraneus</v>
      </c>
      <c r="L2769" s="3" t="n">
        <f aca="false">SUM(P2769:U2769)</f>
        <v>1</v>
      </c>
      <c r="M2769" s="11" t="n">
        <f aca="false">(L2769/(F2769*G2769)*25)*4</f>
        <v>4</v>
      </c>
      <c r="N2769" s="1" t="s">
        <v>30</v>
      </c>
      <c r="O2769" s="1" t="s">
        <v>35</v>
      </c>
      <c r="P2769" s="3" t="n">
        <v>0</v>
      </c>
      <c r="Q2769" s="3" t="n">
        <v>1</v>
      </c>
      <c r="R2769" s="3" t="n">
        <v>0</v>
      </c>
      <c r="S2769" s="3" t="n">
        <v>0</v>
      </c>
      <c r="T2769" s="3" t="n">
        <v>0</v>
      </c>
      <c r="U2769" s="3" t="n">
        <v>0</v>
      </c>
      <c r="V2769" s="3" t="n">
        <f aca="false">SUM(P2769:Q2769)</f>
        <v>1</v>
      </c>
      <c r="W2769" s="3" t="n">
        <f aca="false">SUM(R2769:T2769)</f>
        <v>0</v>
      </c>
      <c r="X2769" s="22" t="n">
        <v>41794</v>
      </c>
      <c r="Y2769" s="22" t="n">
        <v>41799</v>
      </c>
    </row>
    <row r="2770" customFormat="false" ht="14.25" hidden="false" customHeight="false" outlineLevel="0" collapsed="false">
      <c r="A2770" s="1" t="n">
        <v>2014</v>
      </c>
      <c r="B2770" s="1" t="n">
        <v>1</v>
      </c>
      <c r="C2770" s="2" t="s">
        <v>44</v>
      </c>
      <c r="D2770" s="3" t="s">
        <v>45</v>
      </c>
      <c r="E2770" s="3" t="n">
        <v>1</v>
      </c>
      <c r="F2770" s="1" t="n">
        <f aca="false">Y2770-X2770</f>
        <v>5</v>
      </c>
      <c r="G2770" s="1" t="n">
        <v>5</v>
      </c>
      <c r="H2770" s="3" t="s">
        <v>72</v>
      </c>
      <c r="I2770" s="3" t="s">
        <v>152</v>
      </c>
      <c r="J2770" s="3" t="s">
        <v>153</v>
      </c>
      <c r="K2770" s="2" t="str">
        <f aca="false">CONCATENATE(I2770," ",J2770)</f>
        <v>Callilepis nocturna</v>
      </c>
      <c r="L2770" s="3" t="n">
        <f aca="false">SUM(P2770:U2770)</f>
        <v>1</v>
      </c>
      <c r="M2770" s="11" t="n">
        <f aca="false">(L2770/(F2770*G2770)*25)*4</f>
        <v>4</v>
      </c>
      <c r="N2770" s="1" t="s">
        <v>30</v>
      </c>
      <c r="O2770" s="1" t="s">
        <v>31</v>
      </c>
      <c r="P2770" s="3" t="n">
        <v>1</v>
      </c>
      <c r="Q2770" s="3" t="n">
        <v>0</v>
      </c>
      <c r="R2770" s="3" t="n">
        <v>0</v>
      </c>
      <c r="S2770" s="3" t="n">
        <v>0</v>
      </c>
      <c r="T2770" s="3" t="n">
        <v>0</v>
      </c>
      <c r="U2770" s="3" t="n">
        <v>0</v>
      </c>
      <c r="V2770" s="3" t="n">
        <f aca="false">SUM(P2770:Q2770)</f>
        <v>1</v>
      </c>
      <c r="W2770" s="3" t="n">
        <f aca="false">SUM(R2770:T2770)</f>
        <v>0</v>
      </c>
      <c r="X2770" s="22" t="n">
        <v>41794</v>
      </c>
      <c r="Y2770" s="22" t="n">
        <v>41799</v>
      </c>
    </row>
    <row r="2771" customFormat="false" ht="14.25" hidden="false" customHeight="false" outlineLevel="0" collapsed="false">
      <c r="A2771" s="1" t="n">
        <v>2014</v>
      </c>
      <c r="B2771" s="1" t="n">
        <v>1</v>
      </c>
      <c r="C2771" s="2" t="s">
        <v>25</v>
      </c>
      <c r="D2771" s="3" t="s">
        <v>26</v>
      </c>
      <c r="E2771" s="3" t="n">
        <v>1</v>
      </c>
      <c r="F2771" s="1" t="n">
        <f aca="false">Y2771-X2771</f>
        <v>5</v>
      </c>
      <c r="G2771" s="1" t="n">
        <v>5</v>
      </c>
      <c r="H2771" s="3" t="s">
        <v>48</v>
      </c>
      <c r="I2771" s="3" t="s">
        <v>49</v>
      </c>
      <c r="J2771" s="3" t="s">
        <v>104</v>
      </c>
      <c r="K2771" s="2" t="str">
        <f aca="false">CONCATENATE(I2771," ",J2771)</f>
        <v>Alopecosa taeniata</v>
      </c>
      <c r="L2771" s="3" t="n">
        <f aca="false">SUM(P2771:U2771)</f>
        <v>4</v>
      </c>
      <c r="M2771" s="11" t="n">
        <f aca="false">(L2771/(F2771*G2771)*25)*4</f>
        <v>16</v>
      </c>
      <c r="N2771" s="1" t="s">
        <v>30</v>
      </c>
      <c r="O2771" s="1" t="s">
        <v>35</v>
      </c>
      <c r="P2771" s="3" t="n">
        <v>0</v>
      </c>
      <c r="Q2771" s="3" t="n">
        <v>4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f aca="false">SUM(P2771:Q2771)</f>
        <v>4</v>
      </c>
      <c r="W2771" s="3" t="n">
        <f aca="false">SUM(R2771:T2771)</f>
        <v>0</v>
      </c>
      <c r="X2771" s="22" t="n">
        <v>41793</v>
      </c>
      <c r="Y2771" s="22" t="n">
        <v>41798</v>
      </c>
    </row>
    <row r="2772" customFormat="false" ht="14.25" hidden="false" customHeight="false" outlineLevel="0" collapsed="false">
      <c r="A2772" s="1" t="n">
        <v>2014</v>
      </c>
      <c r="B2772" s="1" t="n">
        <v>1</v>
      </c>
      <c r="C2772" s="2" t="s">
        <v>25</v>
      </c>
      <c r="D2772" s="3" t="s">
        <v>26</v>
      </c>
      <c r="E2772" s="3" t="n">
        <v>1</v>
      </c>
      <c r="F2772" s="1" t="n">
        <f aca="false">Y2772-X2772</f>
        <v>5</v>
      </c>
      <c r="G2772" s="1" t="n">
        <v>5</v>
      </c>
      <c r="H2772" s="3" t="s">
        <v>48</v>
      </c>
      <c r="I2772" s="3" t="s">
        <v>67</v>
      </c>
      <c r="J2772" s="3" t="s">
        <v>127</v>
      </c>
      <c r="K2772" s="2" t="str">
        <f aca="false">CONCATENATE(I2772," ",J2772)</f>
        <v>Pardosa lugubris</v>
      </c>
      <c r="L2772" s="3" t="n">
        <f aca="false">SUM(P2772:U2772)</f>
        <v>4</v>
      </c>
      <c r="M2772" s="11" t="n">
        <f aca="false">(L2772/(F2772*G2772)*25)*4</f>
        <v>16</v>
      </c>
      <c r="N2772" s="1" t="s">
        <v>30</v>
      </c>
      <c r="O2772" s="1" t="s">
        <v>31</v>
      </c>
      <c r="P2772" s="3" t="n">
        <v>4</v>
      </c>
      <c r="Q2772" s="3" t="n">
        <v>0</v>
      </c>
      <c r="R2772" s="3" t="n">
        <v>0</v>
      </c>
      <c r="S2772" s="3" t="n">
        <v>0</v>
      </c>
      <c r="T2772" s="3" t="n">
        <v>0</v>
      </c>
      <c r="U2772" s="3" t="n">
        <v>0</v>
      </c>
      <c r="V2772" s="3" t="n">
        <f aca="false">SUM(P2772:Q2772)</f>
        <v>4</v>
      </c>
      <c r="W2772" s="3" t="n">
        <f aca="false">SUM(R2772:T2772)</f>
        <v>0</v>
      </c>
      <c r="X2772" s="22" t="n">
        <v>41793</v>
      </c>
      <c r="Y2772" s="22" t="n">
        <v>41798</v>
      </c>
    </row>
    <row r="2773" customFormat="false" ht="14.25" hidden="false" customHeight="false" outlineLevel="0" collapsed="false">
      <c r="A2773" s="1" t="n">
        <v>2014</v>
      </c>
      <c r="B2773" s="1" t="n">
        <v>1</v>
      </c>
      <c r="C2773" s="2" t="s">
        <v>25</v>
      </c>
      <c r="D2773" s="3" t="s">
        <v>26</v>
      </c>
      <c r="E2773" s="3" t="n">
        <v>1</v>
      </c>
      <c r="F2773" s="1" t="n">
        <f aca="false">Y2773-X2773</f>
        <v>5</v>
      </c>
      <c r="G2773" s="1" t="n">
        <v>5</v>
      </c>
      <c r="H2773" s="3" t="s">
        <v>48</v>
      </c>
      <c r="I2773" s="3" t="s">
        <v>67</v>
      </c>
      <c r="J2773" s="3" t="s">
        <v>38</v>
      </c>
      <c r="K2773" s="2" t="str">
        <f aca="false">CONCATENATE(I2773," ",J2773)</f>
        <v>Pardosa sp</v>
      </c>
      <c r="L2773" s="3" t="n">
        <f aca="false">SUM(P2773:U2773)</f>
        <v>1</v>
      </c>
      <c r="M2773" s="11" t="n">
        <f aca="false">(L2773/(F2773*G2773)*25)*4</f>
        <v>4</v>
      </c>
      <c r="N2773" s="1" t="s">
        <v>19</v>
      </c>
      <c r="O2773" s="1" t="s">
        <v>54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1</v>
      </c>
      <c r="U2773" s="3" t="n">
        <v>0</v>
      </c>
      <c r="V2773" s="3" t="n">
        <f aca="false">SUM(P2773:Q2773)</f>
        <v>0</v>
      </c>
      <c r="W2773" s="3" t="n">
        <f aca="false">SUM(R2773:T2773)</f>
        <v>1</v>
      </c>
      <c r="X2773" s="22" t="n">
        <v>41793</v>
      </c>
      <c r="Y2773" s="22" t="n">
        <v>41798</v>
      </c>
    </row>
    <row r="2774" customFormat="false" ht="14.25" hidden="false" customHeight="false" outlineLevel="0" collapsed="false">
      <c r="A2774" s="1" t="n">
        <v>2014</v>
      </c>
      <c r="B2774" s="1" t="n">
        <v>1</v>
      </c>
      <c r="C2774" s="2" t="s">
        <v>25</v>
      </c>
      <c r="D2774" s="3" t="s">
        <v>26</v>
      </c>
      <c r="E2774" s="3" t="n">
        <v>1</v>
      </c>
      <c r="F2774" s="1" t="n">
        <f aca="false">Y2774-X2774</f>
        <v>5</v>
      </c>
      <c r="G2774" s="1" t="n">
        <v>5</v>
      </c>
      <c r="H2774" s="3" t="s">
        <v>48</v>
      </c>
      <c r="I2774" s="3" t="s">
        <v>61</v>
      </c>
      <c r="J2774" s="3" t="s">
        <v>38</v>
      </c>
      <c r="K2774" s="2" t="str">
        <f aca="false">CONCATENATE(I2774," ",J2774)</f>
        <v>Trochosa sp</v>
      </c>
      <c r="L2774" s="3" t="n">
        <f aca="false">SUM(P2774:U2774)</f>
        <v>1</v>
      </c>
      <c r="M2774" s="11" t="n">
        <f aca="false">(L2774/(F2774*G2774)*25)*4</f>
        <v>4</v>
      </c>
      <c r="N2774" s="1" t="s">
        <v>19</v>
      </c>
      <c r="O2774" s="1" t="s">
        <v>54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1</v>
      </c>
      <c r="U2774" s="3" t="n">
        <v>0</v>
      </c>
      <c r="V2774" s="3" t="n">
        <f aca="false">SUM(P2774:Q2774)</f>
        <v>0</v>
      </c>
      <c r="W2774" s="3" t="n">
        <f aca="false">SUM(R2774:T2774)</f>
        <v>1</v>
      </c>
      <c r="X2774" s="22" t="n">
        <v>41793</v>
      </c>
      <c r="Y2774" s="22" t="n">
        <v>41798</v>
      </c>
    </row>
    <row r="2775" customFormat="false" ht="14.25" hidden="false" customHeight="false" outlineLevel="0" collapsed="false">
      <c r="A2775" s="1" t="n">
        <v>2014</v>
      </c>
      <c r="B2775" s="1" t="n">
        <v>1</v>
      </c>
      <c r="C2775" s="2" t="s">
        <v>25</v>
      </c>
      <c r="D2775" s="3" t="s">
        <v>26</v>
      </c>
      <c r="E2775" s="3" t="n">
        <v>1</v>
      </c>
      <c r="F2775" s="1" t="n">
        <f aca="false">Y2775-X2775</f>
        <v>5</v>
      </c>
      <c r="G2775" s="1" t="n">
        <v>5</v>
      </c>
      <c r="H2775" s="3" t="s">
        <v>41</v>
      </c>
      <c r="I2775" s="3" t="s">
        <v>42</v>
      </c>
      <c r="J2775" s="3" t="s">
        <v>38</v>
      </c>
      <c r="K2775" s="2" t="str">
        <f aca="false">CONCATENATE(I2775," ",J2775)</f>
        <v>Agroeca sp</v>
      </c>
      <c r="L2775" s="3" t="n">
        <f aca="false">SUM(P2775:U2775)</f>
        <v>1</v>
      </c>
      <c r="M2775" s="11" t="n">
        <f aca="false">(L2775/(F2775*G2775)*25)*4</f>
        <v>4</v>
      </c>
      <c r="N2775" s="1" t="s">
        <v>19</v>
      </c>
      <c r="O2775" s="1" t="s">
        <v>54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1</v>
      </c>
      <c r="U2775" s="3" t="n">
        <v>0</v>
      </c>
      <c r="V2775" s="3" t="n">
        <f aca="false">SUM(P2775:Q2775)</f>
        <v>0</v>
      </c>
      <c r="W2775" s="3" t="n">
        <f aca="false">SUM(R2775:T2775)</f>
        <v>1</v>
      </c>
      <c r="X2775" s="22" t="n">
        <v>41793</v>
      </c>
      <c r="Y2775" s="22" t="n">
        <v>41798</v>
      </c>
    </row>
    <row r="2776" customFormat="false" ht="14.25" hidden="false" customHeight="false" outlineLevel="0" collapsed="false">
      <c r="A2776" s="1" t="n">
        <v>2014</v>
      </c>
      <c r="B2776" s="1" t="n">
        <v>1</v>
      </c>
      <c r="C2776" s="2" t="s">
        <v>25</v>
      </c>
      <c r="D2776" s="3" t="s">
        <v>26</v>
      </c>
      <c r="E2776" s="3" t="n">
        <v>1</v>
      </c>
      <c r="F2776" s="1" t="n">
        <f aca="false">Y2776-X2776</f>
        <v>5</v>
      </c>
      <c r="G2776" s="1" t="n">
        <v>5</v>
      </c>
      <c r="H2776" s="3" t="s">
        <v>72</v>
      </c>
      <c r="I2776" s="3" t="s">
        <v>73</v>
      </c>
      <c r="J2776" s="3" t="s">
        <v>74</v>
      </c>
      <c r="K2776" s="2" t="str">
        <f aca="false">CONCATENATE(I2776," ",J2776)</f>
        <v>Zelotes subterraneus</v>
      </c>
      <c r="L2776" s="3" t="n">
        <f aca="false">SUM(P2776:U2776)</f>
        <v>1</v>
      </c>
      <c r="M2776" s="11" t="n">
        <f aca="false">(L2776/(F2776*G2776)*25)*4</f>
        <v>4</v>
      </c>
      <c r="N2776" s="1" t="s">
        <v>30</v>
      </c>
      <c r="O2776" s="1" t="s">
        <v>31</v>
      </c>
      <c r="P2776" s="3" t="n">
        <v>1</v>
      </c>
      <c r="Q2776" s="3" t="n">
        <v>0</v>
      </c>
      <c r="R2776" s="3" t="n">
        <v>0</v>
      </c>
      <c r="S2776" s="3" t="n">
        <v>0</v>
      </c>
      <c r="T2776" s="3" t="n">
        <v>0</v>
      </c>
      <c r="U2776" s="3" t="n">
        <v>0</v>
      </c>
      <c r="V2776" s="3" t="n">
        <f aca="false">SUM(P2776:Q2776)</f>
        <v>1</v>
      </c>
      <c r="W2776" s="3" t="n">
        <f aca="false">SUM(R2776:T2776)</f>
        <v>0</v>
      </c>
      <c r="X2776" s="22" t="n">
        <v>41793</v>
      </c>
      <c r="Y2776" s="22" t="n">
        <v>41798</v>
      </c>
    </row>
    <row r="2777" customFormat="false" ht="14.25" hidden="false" customHeight="false" outlineLevel="0" collapsed="false">
      <c r="A2777" s="1" t="n">
        <v>2014</v>
      </c>
      <c r="B2777" s="1" t="n">
        <v>1</v>
      </c>
      <c r="C2777" s="2" t="s">
        <v>25</v>
      </c>
      <c r="D2777" s="3" t="s">
        <v>26</v>
      </c>
      <c r="E2777" s="3" t="n">
        <v>1</v>
      </c>
      <c r="F2777" s="1" t="n">
        <f aca="false">Y2777-X2777</f>
        <v>5</v>
      </c>
      <c r="G2777" s="1" t="n">
        <v>5</v>
      </c>
      <c r="H2777" s="3" t="s">
        <v>72</v>
      </c>
      <c r="I2777" s="3" t="s">
        <v>73</v>
      </c>
      <c r="J2777" s="3" t="s">
        <v>253</v>
      </c>
      <c r="K2777" s="2" t="str">
        <f aca="false">CONCATENATE(I2777," ",J2777)</f>
        <v>Zelotes clivicola</v>
      </c>
      <c r="L2777" s="3" t="n">
        <f aca="false">SUM(P2777:U2777)</f>
        <v>1</v>
      </c>
      <c r="M2777" s="11" t="n">
        <f aca="false">(L2777/(F2777*G2777)*25)*4</f>
        <v>4</v>
      </c>
      <c r="N2777" s="1" t="s">
        <v>30</v>
      </c>
      <c r="O2777" s="1" t="s">
        <v>31</v>
      </c>
      <c r="P2777" s="3" t="n">
        <v>1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f aca="false">SUM(P2777:Q2777)</f>
        <v>1</v>
      </c>
      <c r="W2777" s="3" t="n">
        <f aca="false">SUM(R2777:T2777)</f>
        <v>0</v>
      </c>
      <c r="X2777" s="22" t="n">
        <v>41793</v>
      </c>
      <c r="Y2777" s="22" t="n">
        <v>41798</v>
      </c>
    </row>
    <row r="2778" customFormat="false" ht="14.25" hidden="false" customHeight="false" outlineLevel="0" collapsed="false">
      <c r="A2778" s="1" t="n">
        <v>2014</v>
      </c>
      <c r="B2778" s="1" t="n">
        <v>1</v>
      </c>
      <c r="C2778" s="2" t="s">
        <v>25</v>
      </c>
      <c r="D2778" s="3" t="s">
        <v>26</v>
      </c>
      <c r="E2778" s="3" t="n">
        <v>1</v>
      </c>
      <c r="F2778" s="1" t="n">
        <f aca="false">Y2778-X2778</f>
        <v>5</v>
      </c>
      <c r="G2778" s="1" t="n">
        <v>5</v>
      </c>
      <c r="H2778" s="3" t="s">
        <v>72</v>
      </c>
      <c r="I2778" s="3" t="s">
        <v>73</v>
      </c>
      <c r="J2778" s="3" t="s">
        <v>38</v>
      </c>
      <c r="K2778" s="2" t="str">
        <f aca="false">CONCATENATE(I2778," ",J2778)</f>
        <v>Zelotes sp</v>
      </c>
      <c r="L2778" s="3" t="n">
        <f aca="false">SUM(P2778:U2778)</f>
        <v>2</v>
      </c>
      <c r="M2778" s="11" t="n">
        <f aca="false">(L2778/(F2778*G2778)*25)*4</f>
        <v>8</v>
      </c>
      <c r="N2778" s="1" t="s">
        <v>19</v>
      </c>
      <c r="O2778" s="1" t="s">
        <v>35</v>
      </c>
      <c r="P2778" s="3" t="n">
        <v>0</v>
      </c>
      <c r="Q2778" s="3" t="n">
        <v>0</v>
      </c>
      <c r="R2778" s="3" t="n">
        <v>0</v>
      </c>
      <c r="S2778" s="3" t="n">
        <v>2</v>
      </c>
      <c r="T2778" s="3" t="n">
        <v>0</v>
      </c>
      <c r="U2778" s="3" t="n">
        <v>0</v>
      </c>
      <c r="V2778" s="3" t="n">
        <f aca="false">SUM(P2778:Q2778)</f>
        <v>0</v>
      </c>
      <c r="W2778" s="3" t="n">
        <f aca="false">SUM(R2778:T2778)</f>
        <v>2</v>
      </c>
      <c r="X2778" s="22" t="n">
        <v>41793</v>
      </c>
      <c r="Y2778" s="22" t="n">
        <v>41798</v>
      </c>
    </row>
    <row r="2779" customFormat="false" ht="14.25" hidden="false" customHeight="false" outlineLevel="0" collapsed="false">
      <c r="A2779" s="1" t="n">
        <v>2014</v>
      </c>
      <c r="B2779" s="1" t="n">
        <v>1</v>
      </c>
      <c r="C2779" s="2" t="s">
        <v>25</v>
      </c>
      <c r="D2779" s="3" t="s">
        <v>26</v>
      </c>
      <c r="E2779" s="3" t="n">
        <v>1</v>
      </c>
      <c r="F2779" s="1" t="n">
        <f aca="false">Y2779-X2779</f>
        <v>5</v>
      </c>
      <c r="G2779" s="1" t="n">
        <v>5</v>
      </c>
      <c r="H2779" s="3" t="s">
        <v>226</v>
      </c>
      <c r="I2779" s="3" t="s">
        <v>65</v>
      </c>
      <c r="J2779" s="3" t="s">
        <v>123</v>
      </c>
      <c r="K2779" s="2" t="str">
        <f aca="false">CONCATENATE(I2779," ",J2779)</f>
        <v>Zora nemoralis</v>
      </c>
      <c r="L2779" s="3" t="n">
        <f aca="false">SUM(P2779:U2779)</f>
        <v>1</v>
      </c>
      <c r="M2779" s="11" t="n">
        <f aca="false">(L2779/(F2779*G2779)*25)*4</f>
        <v>4</v>
      </c>
      <c r="N2779" s="1" t="s">
        <v>30</v>
      </c>
      <c r="O2779" s="1" t="s">
        <v>31</v>
      </c>
      <c r="P2779" s="3" t="n">
        <v>1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f aca="false">SUM(P2779:Q2779)</f>
        <v>1</v>
      </c>
      <c r="W2779" s="3" t="n">
        <f aca="false">SUM(R2779:T2779)</f>
        <v>0</v>
      </c>
      <c r="X2779" s="22" t="n">
        <v>41793</v>
      </c>
      <c r="Y2779" s="22" t="n">
        <v>41798</v>
      </c>
    </row>
    <row r="2780" customFormat="false" ht="14.25" hidden="false" customHeight="false" outlineLevel="0" collapsed="false">
      <c r="A2780" s="1" t="n">
        <v>2014</v>
      </c>
      <c r="B2780" s="1" t="n">
        <v>1</v>
      </c>
      <c r="C2780" s="2" t="s">
        <v>25</v>
      </c>
      <c r="D2780" s="3" t="s">
        <v>26</v>
      </c>
      <c r="E2780" s="3" t="n">
        <v>1</v>
      </c>
      <c r="F2780" s="1" t="n">
        <f aca="false">Y2780-X2780</f>
        <v>5</v>
      </c>
      <c r="G2780" s="1" t="n">
        <v>5</v>
      </c>
      <c r="H2780" s="3" t="s">
        <v>226</v>
      </c>
      <c r="I2780" s="3" t="s">
        <v>65</v>
      </c>
      <c r="J2780" s="3" t="s">
        <v>123</v>
      </c>
      <c r="K2780" s="2" t="str">
        <f aca="false">CONCATENATE(I2780," ",J2780)</f>
        <v>Zora nemoralis</v>
      </c>
      <c r="L2780" s="3" t="n">
        <f aca="false">SUM(P2780:U2780)</f>
        <v>1</v>
      </c>
      <c r="M2780" s="11" t="n">
        <f aca="false">(L2780/(F2780*G2780)*25)*4</f>
        <v>4</v>
      </c>
      <c r="N2780" s="1" t="s">
        <v>19</v>
      </c>
      <c r="O2780" s="1" t="s">
        <v>54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1</v>
      </c>
      <c r="U2780" s="3" t="n">
        <v>0</v>
      </c>
      <c r="V2780" s="3" t="n">
        <f aca="false">SUM(P2780:Q2780)</f>
        <v>0</v>
      </c>
      <c r="W2780" s="3" t="n">
        <f aca="false">SUM(R2780:T2780)</f>
        <v>1</v>
      </c>
      <c r="X2780" s="22" t="n">
        <v>41793</v>
      </c>
      <c r="Y2780" s="22" t="n">
        <v>41798</v>
      </c>
    </row>
    <row r="2781" customFormat="false" ht="14.25" hidden="false" customHeight="false" outlineLevel="0" collapsed="false">
      <c r="A2781" s="1" t="n">
        <v>2014</v>
      </c>
      <c r="B2781" s="1" t="n">
        <v>1</v>
      </c>
      <c r="C2781" s="2" t="s">
        <v>25</v>
      </c>
      <c r="D2781" s="3" t="s">
        <v>26</v>
      </c>
      <c r="E2781" s="3" t="n">
        <v>1</v>
      </c>
      <c r="F2781" s="1" t="n">
        <f aca="false">Y2781-X2781</f>
        <v>5</v>
      </c>
      <c r="G2781" s="1" t="n">
        <v>5</v>
      </c>
      <c r="H2781" s="3" t="s">
        <v>32</v>
      </c>
      <c r="I2781" s="3" t="s">
        <v>102</v>
      </c>
      <c r="J2781" s="3" t="s">
        <v>182</v>
      </c>
      <c r="K2781" s="2" t="str">
        <f aca="false">CONCATENATE(I2781," ",J2781)</f>
        <v>Agyneta ramosa</v>
      </c>
      <c r="L2781" s="3" t="n">
        <f aca="false">SUM(P2781:U2781)</f>
        <v>1</v>
      </c>
      <c r="M2781" s="11" t="n">
        <f aca="false">(L2781/(F2781*G2781)*25)*4</f>
        <v>4</v>
      </c>
      <c r="N2781" s="1" t="s">
        <v>30</v>
      </c>
      <c r="O2781" s="1" t="s">
        <v>31</v>
      </c>
      <c r="P2781" s="3" t="n">
        <v>1</v>
      </c>
      <c r="Q2781" s="3" t="n">
        <v>0</v>
      </c>
      <c r="R2781" s="3" t="n">
        <v>0</v>
      </c>
      <c r="S2781" s="3" t="n">
        <v>0</v>
      </c>
      <c r="T2781" s="3" t="n">
        <v>0</v>
      </c>
      <c r="U2781" s="3" t="n">
        <v>0</v>
      </c>
      <c r="V2781" s="3" t="n">
        <f aca="false">SUM(P2781:Q2781)</f>
        <v>1</v>
      </c>
      <c r="W2781" s="3" t="n">
        <f aca="false">SUM(R2781:T2781)</f>
        <v>0</v>
      </c>
      <c r="X2781" s="22" t="n">
        <v>41793</v>
      </c>
      <c r="Y2781" s="22" t="n">
        <v>41798</v>
      </c>
    </row>
    <row r="2782" customFormat="false" ht="14.25" hidden="false" customHeight="false" outlineLevel="0" collapsed="false">
      <c r="A2782" s="1" t="n">
        <v>2014</v>
      </c>
      <c r="B2782" s="1" t="n">
        <v>1</v>
      </c>
      <c r="C2782" s="2" t="s">
        <v>25</v>
      </c>
      <c r="D2782" s="3" t="s">
        <v>26</v>
      </c>
      <c r="E2782" s="3" t="n">
        <v>1</v>
      </c>
      <c r="F2782" s="1" t="n">
        <f aca="false">Y2782-X2782</f>
        <v>5</v>
      </c>
      <c r="G2782" s="1" t="n">
        <v>5</v>
      </c>
      <c r="H2782" s="3" t="s">
        <v>36</v>
      </c>
      <c r="I2782" s="3" t="s">
        <v>37</v>
      </c>
      <c r="J2782" s="3" t="s">
        <v>75</v>
      </c>
      <c r="K2782" s="2" t="str">
        <f aca="false">CONCATENATE(I2782," ",J2782)</f>
        <v>Ozyptila praticola</v>
      </c>
      <c r="L2782" s="3" t="n">
        <f aca="false">SUM(P2782:U2782)</f>
        <v>1</v>
      </c>
      <c r="M2782" s="11" t="n">
        <f aca="false">(L2782/(F2782*G2782)*25)*4</f>
        <v>4</v>
      </c>
      <c r="N2782" s="1" t="s">
        <v>30</v>
      </c>
      <c r="O2782" s="1" t="s">
        <v>31</v>
      </c>
      <c r="P2782" s="3" t="n">
        <v>1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f aca="false">SUM(P2782:Q2782)</f>
        <v>1</v>
      </c>
      <c r="W2782" s="3" t="n">
        <f aca="false">SUM(R2782:T2782)</f>
        <v>0</v>
      </c>
      <c r="X2782" s="22" t="n">
        <v>41793</v>
      </c>
      <c r="Y2782" s="22" t="n">
        <v>41798</v>
      </c>
    </row>
    <row r="2783" customFormat="false" ht="14.25" hidden="false" customHeight="false" outlineLevel="0" collapsed="false">
      <c r="A2783" s="1" t="n">
        <v>2014</v>
      </c>
      <c r="B2783" s="1" t="n">
        <v>1</v>
      </c>
      <c r="C2783" s="2" t="s">
        <v>25</v>
      </c>
      <c r="D2783" s="3" t="s">
        <v>26</v>
      </c>
      <c r="E2783" s="3" t="n">
        <v>2</v>
      </c>
      <c r="F2783" s="1" t="n">
        <f aca="false">Y2783-X2783</f>
        <v>5</v>
      </c>
      <c r="G2783" s="1" t="n">
        <v>5</v>
      </c>
      <c r="H2783" s="3" t="s">
        <v>48</v>
      </c>
      <c r="I2783" s="3" t="s">
        <v>67</v>
      </c>
      <c r="J2783" s="3" t="s">
        <v>127</v>
      </c>
      <c r="K2783" s="2" t="str">
        <f aca="false">CONCATENATE(I2783," ",J2783)</f>
        <v>Pardosa lugubris</v>
      </c>
      <c r="L2783" s="3" t="n">
        <f aca="false">SUM(P2783:U2783)</f>
        <v>3</v>
      </c>
      <c r="M2783" s="11" t="n">
        <f aca="false">(L2783/(F2783*G2783)*25)*4</f>
        <v>12</v>
      </c>
      <c r="N2783" s="1" t="s">
        <v>30</v>
      </c>
      <c r="O2783" s="1" t="s">
        <v>31</v>
      </c>
      <c r="P2783" s="3" t="n">
        <v>3</v>
      </c>
      <c r="Q2783" s="3" t="n">
        <v>0</v>
      </c>
      <c r="R2783" s="3" t="n">
        <v>0</v>
      </c>
      <c r="S2783" s="3" t="n">
        <v>0</v>
      </c>
      <c r="T2783" s="3" t="n">
        <v>0</v>
      </c>
      <c r="U2783" s="3" t="n">
        <v>0</v>
      </c>
      <c r="V2783" s="3" t="n">
        <f aca="false">SUM(P2783:Q2783)</f>
        <v>3</v>
      </c>
      <c r="W2783" s="3" t="n">
        <f aca="false">SUM(R2783:T2783)</f>
        <v>0</v>
      </c>
      <c r="X2783" s="22" t="n">
        <v>41793</v>
      </c>
      <c r="Y2783" s="22" t="n">
        <v>41798</v>
      </c>
    </row>
    <row r="2784" customFormat="false" ht="14.25" hidden="false" customHeight="false" outlineLevel="0" collapsed="false">
      <c r="A2784" s="1" t="n">
        <v>2014</v>
      </c>
      <c r="B2784" s="1" t="n">
        <v>1</v>
      </c>
      <c r="C2784" s="2" t="s">
        <v>25</v>
      </c>
      <c r="D2784" s="3" t="s">
        <v>26</v>
      </c>
      <c r="E2784" s="3" t="n">
        <v>2</v>
      </c>
      <c r="F2784" s="1" t="n">
        <f aca="false">Y2784-X2784</f>
        <v>5</v>
      </c>
      <c r="G2784" s="1" t="n">
        <v>5</v>
      </c>
      <c r="H2784" s="3" t="s">
        <v>48</v>
      </c>
      <c r="I2784" s="3" t="s">
        <v>67</v>
      </c>
      <c r="J2784" s="3" t="s">
        <v>127</v>
      </c>
      <c r="K2784" s="2" t="str">
        <f aca="false">CONCATENATE(I2784," ",J2784)</f>
        <v>Pardosa lugubris</v>
      </c>
      <c r="L2784" s="3" t="n">
        <f aca="false">SUM(P2784:U2784)</f>
        <v>1</v>
      </c>
      <c r="M2784" s="11" t="n">
        <f aca="false">(L2784/(F2784*G2784)*25)*4</f>
        <v>4</v>
      </c>
      <c r="N2784" s="1" t="s">
        <v>30</v>
      </c>
      <c r="O2784" s="1" t="s">
        <v>35</v>
      </c>
      <c r="P2784" s="3" t="n">
        <v>0</v>
      </c>
      <c r="Q2784" s="3" t="n">
        <v>1</v>
      </c>
      <c r="R2784" s="3" t="n">
        <v>0</v>
      </c>
      <c r="S2784" s="3" t="n">
        <v>0</v>
      </c>
      <c r="T2784" s="3" t="n">
        <v>0</v>
      </c>
      <c r="U2784" s="3" t="n">
        <v>0</v>
      </c>
      <c r="V2784" s="3" t="n">
        <f aca="false">SUM(P2784:Q2784)</f>
        <v>1</v>
      </c>
      <c r="W2784" s="3" t="n">
        <f aca="false">SUM(R2784:T2784)</f>
        <v>0</v>
      </c>
      <c r="X2784" s="22" t="n">
        <v>41793</v>
      </c>
      <c r="Y2784" s="22" t="n">
        <v>41798</v>
      </c>
    </row>
    <row r="2785" customFormat="false" ht="14.25" hidden="false" customHeight="false" outlineLevel="0" collapsed="false">
      <c r="A2785" s="1" t="n">
        <v>2014</v>
      </c>
      <c r="B2785" s="1" t="n">
        <v>1</v>
      </c>
      <c r="C2785" s="2" t="s">
        <v>25</v>
      </c>
      <c r="D2785" s="3" t="s">
        <v>26</v>
      </c>
      <c r="E2785" s="3" t="n">
        <v>2</v>
      </c>
      <c r="F2785" s="1" t="n">
        <f aca="false">Y2785-X2785</f>
        <v>5</v>
      </c>
      <c r="G2785" s="1" t="n">
        <v>5</v>
      </c>
      <c r="H2785" s="3" t="s">
        <v>36</v>
      </c>
      <c r="I2785" s="3" t="s">
        <v>37</v>
      </c>
      <c r="J2785" s="3" t="s">
        <v>75</v>
      </c>
      <c r="K2785" s="2" t="str">
        <f aca="false">CONCATENATE(I2785," ",J2785)</f>
        <v>Ozyptila praticola</v>
      </c>
      <c r="L2785" s="3" t="n">
        <f aca="false">SUM(P2785:U2785)</f>
        <v>3</v>
      </c>
      <c r="M2785" s="11" t="n">
        <f aca="false">(L2785/(F2785*G2785)*25)*4</f>
        <v>12</v>
      </c>
      <c r="N2785" s="1" t="s">
        <v>30</v>
      </c>
      <c r="O2785" s="1" t="s">
        <v>31</v>
      </c>
      <c r="P2785" s="3" t="n">
        <v>3</v>
      </c>
      <c r="Q2785" s="3" t="n">
        <v>0</v>
      </c>
      <c r="R2785" s="3" t="n">
        <v>0</v>
      </c>
      <c r="S2785" s="3" t="n">
        <v>0</v>
      </c>
      <c r="T2785" s="3" t="n">
        <v>0</v>
      </c>
      <c r="U2785" s="3" t="n">
        <v>0</v>
      </c>
      <c r="V2785" s="3" t="n">
        <f aca="false">SUM(P2785:Q2785)</f>
        <v>3</v>
      </c>
      <c r="W2785" s="3" t="n">
        <f aca="false">SUM(R2785:T2785)</f>
        <v>0</v>
      </c>
      <c r="X2785" s="22" t="n">
        <v>41793</v>
      </c>
      <c r="Y2785" s="22" t="n">
        <v>41798</v>
      </c>
    </row>
    <row r="2786" customFormat="false" ht="14.25" hidden="false" customHeight="false" outlineLevel="0" collapsed="false">
      <c r="A2786" s="1" t="n">
        <v>2014</v>
      </c>
      <c r="B2786" s="1" t="n">
        <v>1</v>
      </c>
      <c r="C2786" s="2" t="s">
        <v>25</v>
      </c>
      <c r="D2786" s="3" t="s">
        <v>26</v>
      </c>
      <c r="E2786" s="3" t="n">
        <v>2</v>
      </c>
      <c r="F2786" s="1" t="n">
        <f aca="false">Y2786-X2786</f>
        <v>5</v>
      </c>
      <c r="G2786" s="1" t="n">
        <v>5</v>
      </c>
      <c r="H2786" s="3" t="s">
        <v>72</v>
      </c>
      <c r="I2786" s="3" t="s">
        <v>73</v>
      </c>
      <c r="J2786" s="3" t="s">
        <v>74</v>
      </c>
      <c r="K2786" s="2" t="str">
        <f aca="false">CONCATENATE(I2786," ",J2786)</f>
        <v>Zelotes subterraneus</v>
      </c>
      <c r="L2786" s="3" t="n">
        <f aca="false">SUM(P2786:U2786)</f>
        <v>1</v>
      </c>
      <c r="M2786" s="11" t="n">
        <f aca="false">(L2786/(F2786*G2786)*25)*4</f>
        <v>4</v>
      </c>
      <c r="N2786" s="1" t="s">
        <v>30</v>
      </c>
      <c r="O2786" s="1" t="s">
        <v>31</v>
      </c>
      <c r="P2786" s="3" t="n">
        <v>1</v>
      </c>
      <c r="Q2786" s="3" t="n">
        <v>0</v>
      </c>
      <c r="R2786" s="3" t="n">
        <v>0</v>
      </c>
      <c r="S2786" s="3" t="n">
        <v>0</v>
      </c>
      <c r="T2786" s="3" t="n">
        <v>0</v>
      </c>
      <c r="U2786" s="3" t="n">
        <v>0</v>
      </c>
      <c r="V2786" s="3" t="n">
        <f aca="false">SUM(P2786:Q2786)</f>
        <v>1</v>
      </c>
      <c r="W2786" s="3" t="n">
        <f aca="false">SUM(R2786:T2786)</f>
        <v>0</v>
      </c>
      <c r="X2786" s="22" t="n">
        <v>41793</v>
      </c>
      <c r="Y2786" s="22" t="n">
        <v>41798</v>
      </c>
    </row>
    <row r="2787" customFormat="false" ht="14.25" hidden="false" customHeight="false" outlineLevel="0" collapsed="false">
      <c r="A2787" s="1" t="n">
        <v>2014</v>
      </c>
      <c r="B2787" s="1" t="n">
        <v>1</v>
      </c>
      <c r="C2787" s="2" t="s">
        <v>25</v>
      </c>
      <c r="D2787" s="3" t="s">
        <v>26</v>
      </c>
      <c r="E2787" s="3" t="n">
        <v>2</v>
      </c>
      <c r="F2787" s="1" t="n">
        <f aca="false">Y2787-X2787</f>
        <v>5</v>
      </c>
      <c r="G2787" s="1" t="n">
        <v>5</v>
      </c>
      <c r="H2787" s="3" t="s">
        <v>48</v>
      </c>
      <c r="I2787" s="3" t="s">
        <v>67</v>
      </c>
      <c r="J2787" s="3" t="s">
        <v>38</v>
      </c>
      <c r="K2787" s="2" t="str">
        <f aca="false">CONCATENATE(I2787," ",J2787)</f>
        <v>Pardosa sp</v>
      </c>
      <c r="L2787" s="3" t="n">
        <f aca="false">SUM(P2787:U2787)</f>
        <v>1</v>
      </c>
      <c r="M2787" s="11" t="n">
        <f aca="false">(L2787/(F2787*G2787)*25)*4</f>
        <v>4</v>
      </c>
      <c r="N2787" s="1" t="s">
        <v>19</v>
      </c>
      <c r="O2787" s="1" t="s">
        <v>31</v>
      </c>
      <c r="P2787" s="3" t="n">
        <v>0</v>
      </c>
      <c r="Q2787" s="3" t="n">
        <v>0</v>
      </c>
      <c r="R2787" s="3" t="n">
        <v>1</v>
      </c>
      <c r="S2787" s="3" t="n">
        <v>0</v>
      </c>
      <c r="T2787" s="3" t="n">
        <v>0</v>
      </c>
      <c r="U2787" s="3" t="n">
        <v>0</v>
      </c>
      <c r="V2787" s="3" t="n">
        <f aca="false">SUM(P2787:Q2787)</f>
        <v>0</v>
      </c>
      <c r="W2787" s="3" t="n">
        <f aca="false">SUM(R2787:T2787)</f>
        <v>1</v>
      </c>
      <c r="X2787" s="22" t="n">
        <v>41793</v>
      </c>
      <c r="Y2787" s="22" t="n">
        <v>41798</v>
      </c>
    </row>
    <row r="2788" customFormat="false" ht="14.25" hidden="false" customHeight="false" outlineLevel="0" collapsed="false">
      <c r="A2788" s="1" t="n">
        <v>2014</v>
      </c>
      <c r="B2788" s="1" t="n">
        <v>1</v>
      </c>
      <c r="C2788" s="2" t="s">
        <v>25</v>
      </c>
      <c r="D2788" s="3" t="s">
        <v>26</v>
      </c>
      <c r="E2788" s="3" t="n">
        <v>2</v>
      </c>
      <c r="F2788" s="1" t="n">
        <f aca="false">Y2788-X2788</f>
        <v>5</v>
      </c>
      <c r="G2788" s="1" t="n">
        <v>5</v>
      </c>
      <c r="H2788" s="3" t="s">
        <v>226</v>
      </c>
      <c r="I2788" s="3" t="s">
        <v>65</v>
      </c>
      <c r="J2788" s="3" t="s">
        <v>66</v>
      </c>
      <c r="K2788" s="2" t="str">
        <f aca="false">CONCATENATE(I2788," ",J2788)</f>
        <v>Zora Spinimana</v>
      </c>
      <c r="L2788" s="3" t="n">
        <f aca="false">SUM(P2788:U2788)</f>
        <v>1</v>
      </c>
      <c r="M2788" s="11" t="n">
        <f aca="false">(L2788/(F2788*G2788)*25)*4</f>
        <v>4</v>
      </c>
      <c r="N2788" s="1" t="s">
        <v>19</v>
      </c>
      <c r="O2788" s="1" t="s">
        <v>54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1</v>
      </c>
      <c r="U2788" s="3" t="n">
        <v>0</v>
      </c>
      <c r="V2788" s="3" t="n">
        <f aca="false">SUM(P2788:Q2788)</f>
        <v>0</v>
      </c>
      <c r="W2788" s="3" t="n">
        <f aca="false">SUM(R2788:T2788)</f>
        <v>1</v>
      </c>
      <c r="X2788" s="22" t="n">
        <v>41793</v>
      </c>
      <c r="Y2788" s="22" t="n">
        <v>41798</v>
      </c>
    </row>
    <row r="2789" customFormat="false" ht="14.25" hidden="false" customHeight="false" outlineLevel="0" collapsed="false">
      <c r="A2789" s="1" t="n">
        <v>2014</v>
      </c>
      <c r="B2789" s="1" t="n">
        <v>1</v>
      </c>
      <c r="C2789" s="2" t="s">
        <v>25</v>
      </c>
      <c r="D2789" s="3" t="s">
        <v>26</v>
      </c>
      <c r="E2789" s="3" t="n">
        <v>2</v>
      </c>
      <c r="F2789" s="1" t="n">
        <f aca="false">Y2789-X2789</f>
        <v>5</v>
      </c>
      <c r="G2789" s="1" t="n">
        <v>5</v>
      </c>
      <c r="H2789" s="3" t="s">
        <v>48</v>
      </c>
      <c r="I2789" s="3" t="s">
        <v>49</v>
      </c>
      <c r="J2789" s="3" t="s">
        <v>104</v>
      </c>
      <c r="K2789" s="2" t="str">
        <f aca="false">CONCATENATE(I2789," ",J2789)</f>
        <v>Alopecosa taeniata</v>
      </c>
      <c r="L2789" s="3" t="n">
        <f aca="false">SUM(P2789:U2789)</f>
        <v>2</v>
      </c>
      <c r="M2789" s="11" t="n">
        <f aca="false">(L2789/(F2789*G2789)*25)*4</f>
        <v>8</v>
      </c>
      <c r="N2789" s="1" t="s">
        <v>30</v>
      </c>
      <c r="O2789" s="1" t="s">
        <v>31</v>
      </c>
      <c r="P2789" s="3" t="n">
        <v>2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f aca="false">SUM(P2789:Q2789)</f>
        <v>2</v>
      </c>
      <c r="W2789" s="3" t="n">
        <f aca="false">SUM(R2789:T2789)</f>
        <v>0</v>
      </c>
      <c r="X2789" s="22" t="n">
        <v>41793</v>
      </c>
      <c r="Y2789" s="22" t="n">
        <v>41798</v>
      </c>
    </row>
    <row r="2790" customFormat="false" ht="14.25" hidden="false" customHeight="false" outlineLevel="0" collapsed="false">
      <c r="A2790" s="1" t="n">
        <v>2014</v>
      </c>
      <c r="B2790" s="1" t="n">
        <v>1</v>
      </c>
      <c r="C2790" s="2" t="s">
        <v>25</v>
      </c>
      <c r="D2790" s="3" t="s">
        <v>26</v>
      </c>
      <c r="E2790" s="3" t="n">
        <v>2</v>
      </c>
      <c r="F2790" s="1" t="n">
        <f aca="false">Y2790-X2790</f>
        <v>5</v>
      </c>
      <c r="G2790" s="1" t="n">
        <v>5</v>
      </c>
      <c r="H2790" s="3" t="s">
        <v>32</v>
      </c>
      <c r="I2790" s="3" t="s">
        <v>169</v>
      </c>
      <c r="J2790" s="3" t="s">
        <v>170</v>
      </c>
      <c r="K2790" s="2" t="str">
        <f aca="false">CONCATENATE(I2790," ",J2790)</f>
        <v>Abacoproeces saltuum</v>
      </c>
      <c r="L2790" s="3" t="n">
        <f aca="false">SUM(P2790:U2790)</f>
        <v>1</v>
      </c>
      <c r="M2790" s="11" t="n">
        <f aca="false">(L2790/(F2790*G2790)*25)*4</f>
        <v>4</v>
      </c>
      <c r="N2790" s="1" t="s">
        <v>30</v>
      </c>
      <c r="O2790" s="1" t="s">
        <v>31</v>
      </c>
      <c r="P2790" s="3" t="n">
        <v>1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f aca="false">SUM(P2790:Q2790)</f>
        <v>1</v>
      </c>
      <c r="W2790" s="3" t="n">
        <f aca="false">SUM(R2790:T2790)</f>
        <v>0</v>
      </c>
      <c r="X2790" s="22" t="n">
        <v>41793</v>
      </c>
      <c r="Y2790" s="22" t="n">
        <v>41798</v>
      </c>
    </row>
    <row r="2791" customFormat="false" ht="14.25" hidden="false" customHeight="false" outlineLevel="0" collapsed="false">
      <c r="A2791" s="1" t="n">
        <v>2014</v>
      </c>
      <c r="B2791" s="1" t="n">
        <v>1</v>
      </c>
      <c r="C2791" s="2" t="s">
        <v>25</v>
      </c>
      <c r="D2791" s="3" t="s">
        <v>26</v>
      </c>
      <c r="E2791" s="3" t="n">
        <v>2</v>
      </c>
      <c r="F2791" s="1" t="n">
        <f aca="false">Y2791-X2791</f>
        <v>5</v>
      </c>
      <c r="G2791" s="1" t="n">
        <v>5</v>
      </c>
      <c r="H2791" s="3" t="s">
        <v>32</v>
      </c>
      <c r="I2791" s="3" t="s">
        <v>96</v>
      </c>
      <c r="J2791" s="3" t="s">
        <v>97</v>
      </c>
      <c r="K2791" s="2" t="str">
        <f aca="false">CONCATENATE(I2791," ",J2791)</f>
        <v>Diplocephalus picinus</v>
      </c>
      <c r="L2791" s="3" t="n">
        <f aca="false">SUM(P2791:U2791)</f>
        <v>1</v>
      </c>
      <c r="M2791" s="11" t="n">
        <f aca="false">(L2791/(F2791*G2791)*25)*4</f>
        <v>4</v>
      </c>
      <c r="N2791" s="1" t="s">
        <v>30</v>
      </c>
      <c r="O2791" s="1" t="s">
        <v>31</v>
      </c>
      <c r="P2791" s="3" t="n">
        <v>1</v>
      </c>
      <c r="Q2791" s="3" t="n">
        <v>0</v>
      </c>
      <c r="R2791" s="3" t="n">
        <v>0</v>
      </c>
      <c r="S2791" s="3" t="n">
        <v>0</v>
      </c>
      <c r="T2791" s="3" t="n">
        <v>0</v>
      </c>
      <c r="U2791" s="3" t="n">
        <v>0</v>
      </c>
      <c r="V2791" s="3" t="n">
        <f aca="false">SUM(P2791:Q2791)</f>
        <v>1</v>
      </c>
      <c r="W2791" s="3" t="n">
        <f aca="false">SUM(R2791:T2791)</f>
        <v>0</v>
      </c>
      <c r="X2791" s="22" t="n">
        <v>41793</v>
      </c>
      <c r="Y2791" s="22" t="n">
        <v>41798</v>
      </c>
    </row>
    <row r="2792" customFormat="false" ht="14.25" hidden="false" customHeight="false" outlineLevel="0" collapsed="false">
      <c r="A2792" s="1" t="n">
        <v>2014</v>
      </c>
      <c r="B2792" s="1" t="n">
        <v>1</v>
      </c>
      <c r="C2792" s="2" t="s">
        <v>25</v>
      </c>
      <c r="D2792" s="3" t="s">
        <v>26</v>
      </c>
      <c r="E2792" s="3" t="n">
        <v>3</v>
      </c>
      <c r="F2792" s="1" t="n">
        <f aca="false">Y2792-X2792</f>
        <v>5</v>
      </c>
      <c r="G2792" s="1" t="n">
        <v>5</v>
      </c>
      <c r="H2792" s="3" t="s">
        <v>48</v>
      </c>
      <c r="I2792" s="3" t="s">
        <v>67</v>
      </c>
      <c r="J2792" s="3" t="s">
        <v>127</v>
      </c>
      <c r="K2792" s="2" t="str">
        <f aca="false">CONCATENATE(I2792," ",J2792)</f>
        <v>Pardosa lugubris</v>
      </c>
      <c r="L2792" s="3" t="n">
        <f aca="false">SUM(P2792:U2792)</f>
        <v>5</v>
      </c>
      <c r="M2792" s="11" t="n">
        <f aca="false">(L2792/(F2792*G2792)*25)*4</f>
        <v>20</v>
      </c>
      <c r="N2792" s="1" t="s">
        <v>30</v>
      </c>
      <c r="O2792" s="1" t="s">
        <v>31</v>
      </c>
      <c r="P2792" s="3" t="n">
        <v>5</v>
      </c>
      <c r="Q2792" s="3" t="n">
        <v>0</v>
      </c>
      <c r="R2792" s="3" t="n">
        <v>0</v>
      </c>
      <c r="S2792" s="3" t="n">
        <v>0</v>
      </c>
      <c r="T2792" s="3" t="n">
        <v>0</v>
      </c>
      <c r="U2792" s="3" t="n">
        <v>0</v>
      </c>
      <c r="V2792" s="3" t="n">
        <f aca="false">SUM(P2792:Q2792)</f>
        <v>5</v>
      </c>
      <c r="W2792" s="3" t="n">
        <f aca="false">SUM(R2792:T2792)</f>
        <v>0</v>
      </c>
      <c r="X2792" s="22" t="n">
        <v>41793</v>
      </c>
      <c r="Y2792" s="22" t="n">
        <v>41798</v>
      </c>
    </row>
    <row r="2793" customFormat="false" ht="14.25" hidden="false" customHeight="false" outlineLevel="0" collapsed="false">
      <c r="A2793" s="1" t="n">
        <v>2014</v>
      </c>
      <c r="B2793" s="1" t="n">
        <v>1</v>
      </c>
      <c r="C2793" s="2" t="s">
        <v>25</v>
      </c>
      <c r="D2793" s="3" t="s">
        <v>26</v>
      </c>
      <c r="E2793" s="3" t="n">
        <v>3</v>
      </c>
      <c r="F2793" s="1" t="n">
        <f aca="false">Y2793-X2793</f>
        <v>5</v>
      </c>
      <c r="G2793" s="1" t="n">
        <v>5</v>
      </c>
      <c r="H2793" s="3" t="s">
        <v>48</v>
      </c>
      <c r="I2793" s="3" t="s">
        <v>49</v>
      </c>
      <c r="J2793" s="3" t="s">
        <v>104</v>
      </c>
      <c r="K2793" s="2" t="str">
        <f aca="false">CONCATENATE(I2793," ",J2793)</f>
        <v>Alopecosa taeniata</v>
      </c>
      <c r="L2793" s="3" t="n">
        <f aca="false">SUM(P2793:U2793)</f>
        <v>2</v>
      </c>
      <c r="M2793" s="11" t="n">
        <f aca="false">(L2793/(F2793*G2793)*25)*4</f>
        <v>8</v>
      </c>
      <c r="N2793" s="1" t="s">
        <v>30</v>
      </c>
      <c r="O2793" s="1" t="s">
        <v>31</v>
      </c>
      <c r="P2793" s="3" t="n">
        <v>2</v>
      </c>
      <c r="Q2793" s="3" t="n">
        <v>0</v>
      </c>
      <c r="R2793" s="3" t="n">
        <v>0</v>
      </c>
      <c r="S2793" s="3" t="n">
        <v>0</v>
      </c>
      <c r="T2793" s="3" t="n">
        <v>0</v>
      </c>
      <c r="U2793" s="3" t="n">
        <v>0</v>
      </c>
      <c r="V2793" s="3" t="n">
        <f aca="false">SUM(P2793:Q2793)</f>
        <v>2</v>
      </c>
      <c r="W2793" s="3" t="n">
        <f aca="false">SUM(R2793:T2793)</f>
        <v>0</v>
      </c>
      <c r="X2793" s="22" t="n">
        <v>41793</v>
      </c>
      <c r="Y2793" s="22" t="n">
        <v>41798</v>
      </c>
    </row>
    <row r="2794" customFormat="false" ht="14.25" hidden="false" customHeight="false" outlineLevel="0" collapsed="false">
      <c r="A2794" s="1" t="n">
        <v>2014</v>
      </c>
      <c r="B2794" s="1" t="n">
        <v>1</v>
      </c>
      <c r="C2794" s="2" t="s">
        <v>25</v>
      </c>
      <c r="D2794" s="3" t="s">
        <v>26</v>
      </c>
      <c r="E2794" s="3" t="n">
        <v>3</v>
      </c>
      <c r="F2794" s="1" t="n">
        <f aca="false">Y2794-X2794</f>
        <v>5</v>
      </c>
      <c r="G2794" s="1" t="n">
        <v>5</v>
      </c>
      <c r="H2794" s="3" t="s">
        <v>72</v>
      </c>
      <c r="I2794" s="3" t="s">
        <v>73</v>
      </c>
      <c r="J2794" s="3" t="s">
        <v>38</v>
      </c>
      <c r="K2794" s="2" t="str">
        <f aca="false">CONCATENATE(I2794," ",J2794)</f>
        <v>Zelotes sp</v>
      </c>
      <c r="L2794" s="3" t="n">
        <f aca="false">SUM(P2794:U2794)</f>
        <v>1</v>
      </c>
      <c r="M2794" s="11" t="n">
        <f aca="false">(L2794/(F2794*G2794)*25)*4</f>
        <v>4</v>
      </c>
      <c r="N2794" s="1" t="s">
        <v>19</v>
      </c>
      <c r="O2794" s="1" t="s">
        <v>31</v>
      </c>
      <c r="P2794" s="3" t="n">
        <v>0</v>
      </c>
      <c r="Q2794" s="3" t="n">
        <v>0</v>
      </c>
      <c r="R2794" s="3" t="n">
        <v>1</v>
      </c>
      <c r="S2794" s="3" t="n">
        <v>0</v>
      </c>
      <c r="T2794" s="3" t="n">
        <v>0</v>
      </c>
      <c r="U2794" s="3" t="n">
        <v>0</v>
      </c>
      <c r="V2794" s="3" t="n">
        <f aca="false">SUM(P2794:Q2794)</f>
        <v>0</v>
      </c>
      <c r="W2794" s="3" t="n">
        <f aca="false">SUM(R2794:T2794)</f>
        <v>1</v>
      </c>
      <c r="X2794" s="22" t="n">
        <v>41793</v>
      </c>
      <c r="Y2794" s="22" t="n">
        <v>41798</v>
      </c>
    </row>
    <row r="2795" customFormat="false" ht="14.25" hidden="false" customHeight="false" outlineLevel="0" collapsed="false">
      <c r="A2795" s="1" t="n">
        <v>2014</v>
      </c>
      <c r="B2795" s="1" t="n">
        <v>1</v>
      </c>
      <c r="C2795" s="2" t="s">
        <v>25</v>
      </c>
      <c r="D2795" s="3" t="s">
        <v>26</v>
      </c>
      <c r="E2795" s="3" t="n">
        <v>3</v>
      </c>
      <c r="F2795" s="1" t="n">
        <f aca="false">Y2795-X2795</f>
        <v>5</v>
      </c>
      <c r="G2795" s="1" t="n">
        <v>5</v>
      </c>
      <c r="H2795" s="3" t="s">
        <v>92</v>
      </c>
      <c r="I2795" s="3" t="s">
        <v>171</v>
      </c>
      <c r="J2795" s="3" t="s">
        <v>172</v>
      </c>
      <c r="K2795" s="2" t="str">
        <f aca="false">CONCATENATE(I2795," ",J2795)</f>
        <v>Euophrys frontalis</v>
      </c>
      <c r="L2795" s="3" t="n">
        <f aca="false">SUM(P2795:U2795)</f>
        <v>1</v>
      </c>
      <c r="M2795" s="11" t="n">
        <f aca="false">(L2795/(F2795*G2795)*25)*4</f>
        <v>4</v>
      </c>
      <c r="N2795" s="1" t="s">
        <v>30</v>
      </c>
      <c r="O2795" s="1" t="s">
        <v>31</v>
      </c>
      <c r="P2795" s="3" t="n">
        <v>1</v>
      </c>
      <c r="Q2795" s="3" t="n">
        <v>0</v>
      </c>
      <c r="R2795" s="3" t="n">
        <v>0</v>
      </c>
      <c r="S2795" s="3" t="n">
        <v>0</v>
      </c>
      <c r="T2795" s="3" t="n">
        <v>0</v>
      </c>
      <c r="U2795" s="3" t="n">
        <v>0</v>
      </c>
      <c r="V2795" s="3" t="n">
        <f aca="false">SUM(P2795:Q2795)</f>
        <v>1</v>
      </c>
      <c r="W2795" s="3" t="n">
        <f aca="false">SUM(R2795:T2795)</f>
        <v>0</v>
      </c>
      <c r="X2795" s="22" t="n">
        <v>41793</v>
      </c>
      <c r="Y2795" s="22" t="n">
        <v>41798</v>
      </c>
    </row>
    <row r="2796" customFormat="false" ht="14.25" hidden="false" customHeight="false" outlineLevel="0" collapsed="false">
      <c r="A2796" s="1" t="n">
        <v>2014</v>
      </c>
      <c r="B2796" s="1" t="n">
        <v>1</v>
      </c>
      <c r="C2796" s="2" t="s">
        <v>25</v>
      </c>
      <c r="D2796" s="3" t="s">
        <v>26</v>
      </c>
      <c r="E2796" s="3" t="n">
        <v>3</v>
      </c>
      <c r="F2796" s="1" t="n">
        <f aca="false">Y2796-X2796</f>
        <v>5</v>
      </c>
      <c r="G2796" s="1" t="n">
        <v>5</v>
      </c>
      <c r="H2796" s="3" t="s">
        <v>36</v>
      </c>
      <c r="I2796" s="3" t="s">
        <v>37</v>
      </c>
      <c r="J2796" s="3" t="s">
        <v>75</v>
      </c>
      <c r="K2796" s="2" t="str">
        <f aca="false">CONCATENATE(I2796," ",J2796)</f>
        <v>Ozyptila praticola</v>
      </c>
      <c r="L2796" s="3" t="n">
        <f aca="false">SUM(P2796:U2796)</f>
        <v>1</v>
      </c>
      <c r="M2796" s="11" t="n">
        <f aca="false">(L2796/(F2796*G2796)*25)*4</f>
        <v>4</v>
      </c>
      <c r="N2796" s="1" t="s">
        <v>30</v>
      </c>
      <c r="O2796" s="1" t="s">
        <v>31</v>
      </c>
      <c r="P2796" s="3" t="n">
        <v>1</v>
      </c>
      <c r="Q2796" s="3" t="n">
        <v>0</v>
      </c>
      <c r="R2796" s="3" t="n">
        <v>0</v>
      </c>
      <c r="S2796" s="3" t="n">
        <v>0</v>
      </c>
      <c r="T2796" s="3" t="n">
        <v>0</v>
      </c>
      <c r="U2796" s="3" t="n">
        <v>0</v>
      </c>
      <c r="V2796" s="3" t="n">
        <f aca="false">SUM(P2796:Q2796)</f>
        <v>1</v>
      </c>
      <c r="W2796" s="3" t="n">
        <f aca="false">SUM(R2796:T2796)</f>
        <v>0</v>
      </c>
      <c r="X2796" s="22" t="n">
        <v>41793</v>
      </c>
      <c r="Y2796" s="22" t="n">
        <v>41798</v>
      </c>
    </row>
    <row r="2797" customFormat="false" ht="14.25" hidden="false" customHeight="false" outlineLevel="0" collapsed="false">
      <c r="A2797" s="1" t="n">
        <v>2014</v>
      </c>
      <c r="B2797" s="1" t="n">
        <v>1</v>
      </c>
      <c r="C2797" s="2" t="s">
        <v>25</v>
      </c>
      <c r="D2797" s="3" t="s">
        <v>26</v>
      </c>
      <c r="E2797" s="3" t="n">
        <v>3</v>
      </c>
      <c r="F2797" s="1" t="n">
        <f aca="false">Y2797-X2797</f>
        <v>5</v>
      </c>
      <c r="G2797" s="1" t="n">
        <v>5</v>
      </c>
      <c r="H2797" s="3" t="s">
        <v>226</v>
      </c>
      <c r="I2797" s="3" t="s">
        <v>65</v>
      </c>
      <c r="J2797" s="3" t="s">
        <v>123</v>
      </c>
      <c r="K2797" s="2" t="str">
        <f aca="false">CONCATENATE(I2797," ",J2797)</f>
        <v>Zora nemoralis</v>
      </c>
      <c r="L2797" s="3" t="n">
        <f aca="false">SUM(P2797:U2797)</f>
        <v>1</v>
      </c>
      <c r="M2797" s="11" t="n">
        <f aca="false">(L2797/(F2797*G2797)*25)*4</f>
        <v>4</v>
      </c>
      <c r="N2797" s="1" t="s">
        <v>30</v>
      </c>
      <c r="O2797" s="1" t="s">
        <v>31</v>
      </c>
      <c r="P2797" s="3" t="n">
        <v>1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0</v>
      </c>
      <c r="V2797" s="3" t="n">
        <f aca="false">SUM(P2797:Q2797)</f>
        <v>1</v>
      </c>
      <c r="W2797" s="3" t="n">
        <f aca="false">SUM(R2797:T2797)</f>
        <v>0</v>
      </c>
      <c r="X2797" s="22" t="n">
        <v>41793</v>
      </c>
      <c r="Y2797" s="22" t="n">
        <v>41798</v>
      </c>
    </row>
    <row r="2798" customFormat="false" ht="14.25" hidden="false" customHeight="false" outlineLevel="0" collapsed="false">
      <c r="A2798" s="1" t="n">
        <v>2014</v>
      </c>
      <c r="B2798" s="1" t="n">
        <v>1</v>
      </c>
      <c r="C2798" s="2" t="s">
        <v>25</v>
      </c>
      <c r="D2798" s="3" t="s">
        <v>26</v>
      </c>
      <c r="E2798" s="3" t="n">
        <v>3</v>
      </c>
      <c r="F2798" s="1" t="n">
        <f aca="false">Y2798-X2798</f>
        <v>5</v>
      </c>
      <c r="G2798" s="1" t="n">
        <v>5</v>
      </c>
      <c r="H2798" s="3" t="s">
        <v>48</v>
      </c>
      <c r="I2798" s="3" t="s">
        <v>67</v>
      </c>
      <c r="J2798" s="3" t="s">
        <v>127</v>
      </c>
      <c r="K2798" s="2" t="str">
        <f aca="false">CONCATENATE(I2798," ",J2798)</f>
        <v>Pardosa lugubris</v>
      </c>
      <c r="L2798" s="3" t="n">
        <f aca="false">SUM(P2798:U2798)</f>
        <v>5</v>
      </c>
      <c r="M2798" s="11" t="n">
        <f aca="false">(L2798/(F2798*G2798)*25)*4</f>
        <v>20</v>
      </c>
      <c r="N2798" s="1" t="s">
        <v>30</v>
      </c>
      <c r="O2798" s="1" t="s">
        <v>31</v>
      </c>
      <c r="P2798" s="3" t="n">
        <v>5</v>
      </c>
      <c r="Q2798" s="3" t="n">
        <v>0</v>
      </c>
      <c r="R2798" s="3" t="n">
        <v>0</v>
      </c>
      <c r="S2798" s="3" t="n">
        <v>0</v>
      </c>
      <c r="T2798" s="3" t="n">
        <v>0</v>
      </c>
      <c r="U2798" s="3" t="n">
        <v>0</v>
      </c>
      <c r="V2798" s="3" t="n">
        <f aca="false">SUM(P2798:Q2798)</f>
        <v>5</v>
      </c>
      <c r="W2798" s="3" t="n">
        <f aca="false">SUM(R2798:T2798)</f>
        <v>0</v>
      </c>
      <c r="X2798" s="22" t="n">
        <v>41793</v>
      </c>
      <c r="Y2798" s="22" t="n">
        <v>41798</v>
      </c>
    </row>
    <row r="2799" customFormat="false" ht="14.25" hidden="false" customHeight="false" outlineLevel="0" collapsed="false">
      <c r="A2799" s="1" t="n">
        <v>2014</v>
      </c>
      <c r="B2799" s="1" t="n">
        <v>1</v>
      </c>
      <c r="C2799" s="2" t="s">
        <v>25</v>
      </c>
      <c r="D2799" s="3" t="s">
        <v>26</v>
      </c>
      <c r="E2799" s="3" t="n">
        <v>3</v>
      </c>
      <c r="F2799" s="1" t="n">
        <f aca="false">Y2799-X2799</f>
        <v>5</v>
      </c>
      <c r="G2799" s="1" t="n">
        <v>5</v>
      </c>
      <c r="H2799" s="3" t="s">
        <v>48</v>
      </c>
      <c r="I2799" s="3" t="s">
        <v>67</v>
      </c>
      <c r="J2799" s="3" t="s">
        <v>127</v>
      </c>
      <c r="K2799" s="2" t="str">
        <f aca="false">CONCATENATE(I2799," ",J2799)</f>
        <v>Pardosa lugubris</v>
      </c>
      <c r="L2799" s="3" t="n">
        <f aca="false">SUM(P2799:U2799)</f>
        <v>1</v>
      </c>
      <c r="M2799" s="11" t="n">
        <f aca="false">(L2799/(F2799*G2799)*25)*4</f>
        <v>4</v>
      </c>
      <c r="N2799" s="1" t="s">
        <v>30</v>
      </c>
      <c r="O2799" s="1" t="s">
        <v>35</v>
      </c>
      <c r="P2799" s="3" t="n">
        <v>0</v>
      </c>
      <c r="Q2799" s="3" t="n">
        <v>1</v>
      </c>
      <c r="R2799" s="3" t="n">
        <v>0</v>
      </c>
      <c r="S2799" s="3" t="n">
        <v>0</v>
      </c>
      <c r="T2799" s="3" t="n">
        <v>0</v>
      </c>
      <c r="U2799" s="3" t="n">
        <v>0</v>
      </c>
      <c r="V2799" s="3" t="n">
        <f aca="false">SUM(P2799:Q2799)</f>
        <v>1</v>
      </c>
      <c r="W2799" s="3" t="n">
        <f aca="false">SUM(R2799:T2799)</f>
        <v>0</v>
      </c>
      <c r="X2799" s="22" t="n">
        <v>41793</v>
      </c>
      <c r="Y2799" s="22" t="n">
        <v>41798</v>
      </c>
    </row>
    <row r="2800" customFormat="false" ht="14.25" hidden="false" customHeight="false" outlineLevel="0" collapsed="false">
      <c r="A2800" s="1" t="n">
        <v>2014</v>
      </c>
      <c r="B2800" s="1" t="n">
        <v>1</v>
      </c>
      <c r="C2800" s="2" t="s">
        <v>25</v>
      </c>
      <c r="D2800" s="3" t="s">
        <v>26</v>
      </c>
      <c r="E2800" s="3" t="n">
        <v>3</v>
      </c>
      <c r="F2800" s="1" t="n">
        <f aca="false">Y2800-X2800</f>
        <v>5</v>
      </c>
      <c r="G2800" s="1" t="n">
        <v>5</v>
      </c>
      <c r="H2800" s="3" t="s">
        <v>48</v>
      </c>
      <c r="I2800" s="3" t="s">
        <v>49</v>
      </c>
      <c r="J2800" s="3" t="s">
        <v>104</v>
      </c>
      <c r="K2800" s="2" t="str">
        <f aca="false">CONCATENATE(I2800," ",J2800)</f>
        <v>Alopecosa taeniata</v>
      </c>
      <c r="L2800" s="3" t="n">
        <f aca="false">SUM(P2800:U2800)</f>
        <v>3</v>
      </c>
      <c r="M2800" s="11" t="n">
        <f aca="false">(L2800/(F2800*G2800)*25)*4</f>
        <v>12</v>
      </c>
      <c r="N2800" s="1" t="s">
        <v>30</v>
      </c>
      <c r="O2800" s="1" t="s">
        <v>31</v>
      </c>
      <c r="P2800" s="3" t="n">
        <v>3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f aca="false">SUM(P2800:Q2800)</f>
        <v>3</v>
      </c>
      <c r="W2800" s="3" t="n">
        <f aca="false">SUM(R2800:T2800)</f>
        <v>0</v>
      </c>
      <c r="X2800" s="22" t="n">
        <v>41793</v>
      </c>
      <c r="Y2800" s="22" t="n">
        <v>41798</v>
      </c>
    </row>
    <row r="2801" customFormat="false" ht="14.25" hidden="false" customHeight="false" outlineLevel="0" collapsed="false">
      <c r="A2801" s="1" t="n">
        <v>2014</v>
      </c>
      <c r="B2801" s="1" t="n">
        <v>1</v>
      </c>
      <c r="C2801" s="2" t="s">
        <v>25</v>
      </c>
      <c r="D2801" s="3" t="s">
        <v>26</v>
      </c>
      <c r="E2801" s="3" t="n">
        <v>3</v>
      </c>
      <c r="F2801" s="1" t="n">
        <f aca="false">Y2801-X2801</f>
        <v>5</v>
      </c>
      <c r="G2801" s="1" t="n">
        <v>5</v>
      </c>
      <c r="H2801" s="3" t="s">
        <v>48</v>
      </c>
      <c r="I2801" s="3" t="s">
        <v>49</v>
      </c>
      <c r="J2801" s="3" t="s">
        <v>38</v>
      </c>
      <c r="K2801" s="2" t="str">
        <f aca="false">CONCATENATE(I2801," ",J2801)</f>
        <v>Alopecosa sp</v>
      </c>
      <c r="L2801" s="3" t="n">
        <f aca="false">SUM(P2801:U2801)</f>
        <v>2</v>
      </c>
      <c r="M2801" s="11" t="n">
        <f aca="false">(L2801/(F2801*G2801)*25)*4</f>
        <v>8</v>
      </c>
      <c r="N2801" s="1" t="s">
        <v>19</v>
      </c>
      <c r="O2801" s="1" t="s">
        <v>54</v>
      </c>
      <c r="P2801" s="3" t="n">
        <v>0</v>
      </c>
      <c r="Q2801" s="3" t="n">
        <v>0</v>
      </c>
      <c r="R2801" s="3" t="n">
        <v>0</v>
      </c>
      <c r="S2801" s="3" t="n">
        <v>0</v>
      </c>
      <c r="T2801" s="3" t="n">
        <v>2</v>
      </c>
      <c r="U2801" s="3" t="n">
        <v>0</v>
      </c>
      <c r="V2801" s="3" t="n">
        <f aca="false">SUM(P2801:Q2801)</f>
        <v>0</v>
      </c>
      <c r="W2801" s="3" t="n">
        <f aca="false">SUM(R2801:T2801)</f>
        <v>2</v>
      </c>
      <c r="X2801" s="22" t="n">
        <v>41793</v>
      </c>
      <c r="Y2801" s="22" t="n">
        <v>41798</v>
      </c>
    </row>
    <row r="2802" customFormat="false" ht="14.25" hidden="false" customHeight="false" outlineLevel="0" collapsed="false">
      <c r="A2802" s="1" t="n">
        <v>2014</v>
      </c>
      <c r="B2802" s="1" t="n">
        <v>1</v>
      </c>
      <c r="C2802" s="2" t="s">
        <v>25</v>
      </c>
      <c r="D2802" s="3" t="s">
        <v>26</v>
      </c>
      <c r="E2802" s="3" t="n">
        <v>3</v>
      </c>
      <c r="F2802" s="1" t="n">
        <f aca="false">Y2802-X2802</f>
        <v>5</v>
      </c>
      <c r="G2802" s="1" t="n">
        <v>5</v>
      </c>
      <c r="H2802" s="3" t="s">
        <v>48</v>
      </c>
      <c r="I2802" s="3" t="s">
        <v>61</v>
      </c>
      <c r="J2802" s="3" t="s">
        <v>82</v>
      </c>
      <c r="K2802" s="2" t="str">
        <f aca="false">CONCATENATE(I2802," ",J2802)</f>
        <v>Trochosa terricola</v>
      </c>
      <c r="L2802" s="3" t="n">
        <f aca="false">SUM(P2802:U2802)</f>
        <v>1</v>
      </c>
      <c r="M2802" s="11" t="n">
        <f aca="false">(L2802/(F2802*G2802)*25)*4</f>
        <v>4</v>
      </c>
      <c r="N2802" s="1" t="s">
        <v>30</v>
      </c>
      <c r="O2802" s="1" t="s">
        <v>35</v>
      </c>
      <c r="P2802" s="3" t="n">
        <v>0</v>
      </c>
      <c r="Q2802" s="3" t="n">
        <v>1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f aca="false">SUM(P2802:Q2802)</f>
        <v>1</v>
      </c>
      <c r="W2802" s="3" t="n">
        <f aca="false">SUM(R2802:T2802)</f>
        <v>0</v>
      </c>
      <c r="X2802" s="22" t="n">
        <v>41793</v>
      </c>
      <c r="Y2802" s="22" t="n">
        <v>41798</v>
      </c>
    </row>
    <row r="2803" customFormat="false" ht="14.25" hidden="false" customHeight="false" outlineLevel="0" collapsed="false">
      <c r="A2803" s="1" t="n">
        <v>2014</v>
      </c>
      <c r="B2803" s="1" t="n">
        <v>1</v>
      </c>
      <c r="C2803" s="2" t="s">
        <v>25</v>
      </c>
      <c r="D2803" s="3" t="s">
        <v>26</v>
      </c>
      <c r="E2803" s="3" t="n">
        <v>3</v>
      </c>
      <c r="F2803" s="1" t="n">
        <f aca="false">Y2803-X2803</f>
        <v>5</v>
      </c>
      <c r="G2803" s="1" t="n">
        <v>5</v>
      </c>
      <c r="H2803" s="3" t="s">
        <v>36</v>
      </c>
      <c r="I2803" s="3" t="s">
        <v>37</v>
      </c>
      <c r="J2803" s="3" t="s">
        <v>75</v>
      </c>
      <c r="K2803" s="2" t="str">
        <f aca="false">CONCATENATE(I2803," ",J2803)</f>
        <v>Ozyptila praticola</v>
      </c>
      <c r="L2803" s="3" t="n">
        <f aca="false">SUM(P2803:U2803)</f>
        <v>1</v>
      </c>
      <c r="M2803" s="11" t="n">
        <f aca="false">(L2803/(F2803*G2803)*25)*4</f>
        <v>4</v>
      </c>
      <c r="N2803" s="1" t="s">
        <v>30</v>
      </c>
      <c r="O2803" s="1" t="s">
        <v>31</v>
      </c>
      <c r="P2803" s="3" t="n">
        <v>1</v>
      </c>
      <c r="Q2803" s="3" t="n">
        <v>0</v>
      </c>
      <c r="R2803" s="3" t="n">
        <v>0</v>
      </c>
      <c r="S2803" s="3" t="n">
        <v>0</v>
      </c>
      <c r="T2803" s="3" t="n">
        <v>0</v>
      </c>
      <c r="U2803" s="3" t="n">
        <v>0</v>
      </c>
      <c r="V2803" s="3" t="n">
        <f aca="false">SUM(P2803:Q2803)</f>
        <v>1</v>
      </c>
      <c r="W2803" s="3" t="n">
        <f aca="false">SUM(R2803:T2803)</f>
        <v>0</v>
      </c>
      <c r="X2803" s="22" t="n">
        <v>41793</v>
      </c>
      <c r="Y2803" s="22" t="n">
        <v>41798</v>
      </c>
    </row>
    <row r="2804" customFormat="false" ht="14.25" hidden="false" customHeight="false" outlineLevel="0" collapsed="false">
      <c r="A2804" s="1" t="n">
        <v>2014</v>
      </c>
      <c r="B2804" s="1" t="n">
        <v>1</v>
      </c>
      <c r="C2804" s="2" t="s">
        <v>25</v>
      </c>
      <c r="D2804" s="3" t="s">
        <v>26</v>
      </c>
      <c r="E2804" s="3" t="n">
        <v>3</v>
      </c>
      <c r="F2804" s="1" t="n">
        <f aca="false">Y2804-X2804</f>
        <v>5</v>
      </c>
      <c r="G2804" s="1" t="n">
        <v>5</v>
      </c>
      <c r="H2804" s="3" t="s">
        <v>32</v>
      </c>
      <c r="I2804" s="3" t="s">
        <v>169</v>
      </c>
      <c r="J2804" s="3" t="s">
        <v>170</v>
      </c>
      <c r="K2804" s="2" t="str">
        <f aca="false">CONCATENATE(I2804," ",J2804)</f>
        <v>Abacoproeces saltuum</v>
      </c>
      <c r="L2804" s="3" t="n">
        <f aca="false">SUM(P2804:U2804)</f>
        <v>1</v>
      </c>
      <c r="M2804" s="11" t="n">
        <f aca="false">(L2804/(F2804*G2804)*25)*4</f>
        <v>4</v>
      </c>
      <c r="N2804" s="1" t="s">
        <v>30</v>
      </c>
      <c r="O2804" s="1" t="s">
        <v>31</v>
      </c>
      <c r="P2804" s="3" t="n">
        <v>1</v>
      </c>
      <c r="Q2804" s="3" t="n">
        <v>0</v>
      </c>
      <c r="R2804" s="3" t="n">
        <v>0</v>
      </c>
      <c r="S2804" s="3" t="n">
        <v>0</v>
      </c>
      <c r="T2804" s="3" t="n">
        <v>0</v>
      </c>
      <c r="U2804" s="3" t="n">
        <v>0</v>
      </c>
      <c r="V2804" s="3" t="n">
        <f aca="false">SUM(P2804:Q2804)</f>
        <v>1</v>
      </c>
      <c r="W2804" s="3" t="n">
        <f aca="false">SUM(R2804:T2804)</f>
        <v>0</v>
      </c>
      <c r="X2804" s="22" t="n">
        <v>41793</v>
      </c>
      <c r="Y2804" s="22" t="n">
        <v>41798</v>
      </c>
    </row>
    <row r="2805" customFormat="false" ht="14.25" hidden="false" customHeight="false" outlineLevel="0" collapsed="false">
      <c r="A2805" s="1" t="n">
        <v>2014</v>
      </c>
      <c r="B2805" s="1" t="n">
        <v>1</v>
      </c>
      <c r="C2805" s="2" t="s">
        <v>25</v>
      </c>
      <c r="D2805" s="3" t="s">
        <v>26</v>
      </c>
      <c r="E2805" s="3" t="n">
        <v>1</v>
      </c>
      <c r="F2805" s="1" t="n">
        <f aca="false">Y2805-X2805</f>
        <v>5</v>
      </c>
      <c r="G2805" s="1" t="n">
        <v>5</v>
      </c>
      <c r="H2805" s="3" t="s">
        <v>48</v>
      </c>
      <c r="I2805" s="3" t="s">
        <v>67</v>
      </c>
      <c r="J2805" s="3" t="s">
        <v>127</v>
      </c>
      <c r="K2805" s="2" t="str">
        <f aca="false">CONCATENATE(I2805," ",J2805)</f>
        <v>Pardosa lugubris</v>
      </c>
      <c r="L2805" s="3" t="n">
        <f aca="false">SUM(P2805:U2805)</f>
        <v>7</v>
      </c>
      <c r="M2805" s="11" t="n">
        <f aca="false">(L2805/(F2805*G2805)*25)*4</f>
        <v>28</v>
      </c>
      <c r="N2805" s="1" t="s">
        <v>30</v>
      </c>
      <c r="O2805" s="1" t="s">
        <v>31</v>
      </c>
      <c r="P2805" s="3" t="n">
        <v>7</v>
      </c>
      <c r="Q2805" s="3" t="n">
        <v>0</v>
      </c>
      <c r="R2805" s="3" t="n">
        <v>0</v>
      </c>
      <c r="S2805" s="3" t="n">
        <v>0</v>
      </c>
      <c r="T2805" s="3" t="n">
        <v>0</v>
      </c>
      <c r="U2805" s="3" t="n">
        <v>0</v>
      </c>
      <c r="V2805" s="3" t="n">
        <f aca="false">SUM(P2805:Q2805)</f>
        <v>7</v>
      </c>
      <c r="W2805" s="3" t="n">
        <f aca="false">SUM(R2805:T2805)</f>
        <v>0</v>
      </c>
      <c r="X2805" s="22" t="n">
        <v>41793</v>
      </c>
      <c r="Y2805" s="22" t="n">
        <v>41798</v>
      </c>
    </row>
    <row r="2806" customFormat="false" ht="14.25" hidden="false" customHeight="false" outlineLevel="0" collapsed="false">
      <c r="A2806" s="1" t="n">
        <v>2014</v>
      </c>
      <c r="B2806" s="1" t="n">
        <v>1</v>
      </c>
      <c r="C2806" s="2" t="s">
        <v>25</v>
      </c>
      <c r="D2806" s="3" t="s">
        <v>26</v>
      </c>
      <c r="E2806" s="3" t="n">
        <v>1</v>
      </c>
      <c r="F2806" s="1" t="n">
        <f aca="false">Y2806-X2806</f>
        <v>5</v>
      </c>
      <c r="G2806" s="1" t="n">
        <v>5</v>
      </c>
      <c r="H2806" s="3" t="s">
        <v>48</v>
      </c>
      <c r="I2806" s="3" t="s">
        <v>49</v>
      </c>
      <c r="J2806" s="3" t="s">
        <v>104</v>
      </c>
      <c r="K2806" s="2" t="str">
        <f aca="false">CONCATENATE(I2806," ",J2806)</f>
        <v>Alopecosa taeniata</v>
      </c>
      <c r="L2806" s="3" t="n">
        <f aca="false">SUM(P2806:U2806)</f>
        <v>1</v>
      </c>
      <c r="M2806" s="11" t="n">
        <f aca="false">(L2806/(F2806*G2806)*25)*4</f>
        <v>4</v>
      </c>
      <c r="N2806" s="1" t="s">
        <v>30</v>
      </c>
      <c r="O2806" s="1" t="s">
        <v>31</v>
      </c>
      <c r="P2806" s="3" t="n">
        <v>1</v>
      </c>
      <c r="Q2806" s="3" t="n">
        <v>0</v>
      </c>
      <c r="R2806" s="3" t="n">
        <v>0</v>
      </c>
      <c r="S2806" s="3" t="n">
        <v>0</v>
      </c>
      <c r="T2806" s="3" t="n">
        <v>0</v>
      </c>
      <c r="U2806" s="3" t="n">
        <v>0</v>
      </c>
      <c r="V2806" s="3" t="n">
        <f aca="false">SUM(P2806:Q2806)</f>
        <v>1</v>
      </c>
      <c r="W2806" s="3" t="n">
        <f aca="false">SUM(R2806:T2806)</f>
        <v>0</v>
      </c>
      <c r="X2806" s="22" t="n">
        <v>41793</v>
      </c>
      <c r="Y2806" s="22" t="n">
        <v>41798</v>
      </c>
    </row>
    <row r="2807" customFormat="false" ht="14.25" hidden="false" customHeight="false" outlineLevel="0" collapsed="false">
      <c r="A2807" s="1" t="n">
        <v>2014</v>
      </c>
      <c r="B2807" s="1" t="n">
        <v>1</v>
      </c>
      <c r="C2807" s="2" t="s">
        <v>25</v>
      </c>
      <c r="D2807" s="3" t="s">
        <v>26</v>
      </c>
      <c r="E2807" s="3" t="n">
        <v>1</v>
      </c>
      <c r="F2807" s="1" t="n">
        <f aca="false">Y2807-X2807</f>
        <v>5</v>
      </c>
      <c r="G2807" s="1" t="n">
        <v>5</v>
      </c>
      <c r="H2807" s="3" t="s">
        <v>48</v>
      </c>
      <c r="I2807" s="3" t="s">
        <v>61</v>
      </c>
      <c r="J2807" s="3" t="s">
        <v>38</v>
      </c>
      <c r="K2807" s="2" t="str">
        <f aca="false">CONCATENATE(I2807," ",J2807)</f>
        <v>Trochosa sp</v>
      </c>
      <c r="L2807" s="3" t="n">
        <f aca="false">SUM(P2807:U2807)</f>
        <v>1</v>
      </c>
      <c r="M2807" s="11" t="n">
        <f aca="false">(L2807/(F2807*G2807)*25)*4</f>
        <v>4</v>
      </c>
      <c r="N2807" s="1" t="s">
        <v>19</v>
      </c>
      <c r="O2807" s="1" t="s">
        <v>35</v>
      </c>
      <c r="P2807" s="3" t="n">
        <v>0</v>
      </c>
      <c r="Q2807" s="3" t="n">
        <v>0</v>
      </c>
      <c r="R2807" s="3" t="n">
        <v>0</v>
      </c>
      <c r="S2807" s="3" t="n">
        <v>1</v>
      </c>
      <c r="T2807" s="3" t="n">
        <v>0</v>
      </c>
      <c r="U2807" s="3" t="n">
        <v>0</v>
      </c>
      <c r="V2807" s="3" t="n">
        <f aca="false">SUM(P2807:Q2807)</f>
        <v>0</v>
      </c>
      <c r="W2807" s="3" t="n">
        <f aca="false">SUM(R2807:T2807)</f>
        <v>1</v>
      </c>
      <c r="X2807" s="22" t="n">
        <v>41793</v>
      </c>
      <c r="Y2807" s="22" t="n">
        <v>41798</v>
      </c>
    </row>
    <row r="2808" customFormat="false" ht="14.25" hidden="false" customHeight="false" outlineLevel="0" collapsed="false">
      <c r="A2808" s="1" t="n">
        <v>2014</v>
      </c>
      <c r="B2808" s="1" t="n">
        <v>1</v>
      </c>
      <c r="C2808" s="2" t="s">
        <v>25</v>
      </c>
      <c r="D2808" s="3" t="s">
        <v>26</v>
      </c>
      <c r="E2808" s="3" t="n">
        <v>1</v>
      </c>
      <c r="F2808" s="1" t="n">
        <f aca="false">Y2808-X2808</f>
        <v>5</v>
      </c>
      <c r="G2808" s="1" t="n">
        <v>5</v>
      </c>
      <c r="H2808" s="3" t="s">
        <v>36</v>
      </c>
      <c r="I2808" s="3" t="s">
        <v>37</v>
      </c>
      <c r="J2808" s="3" t="s">
        <v>75</v>
      </c>
      <c r="K2808" s="2" t="str">
        <f aca="false">CONCATENATE(I2808," ",J2808)</f>
        <v>Ozyptila praticola</v>
      </c>
      <c r="L2808" s="3" t="n">
        <f aca="false">SUM(P2808:U2808)</f>
        <v>1</v>
      </c>
      <c r="M2808" s="11" t="n">
        <f aca="false">(L2808/(F2808*G2808)*25)*4</f>
        <v>4</v>
      </c>
      <c r="N2808" s="1" t="s">
        <v>30</v>
      </c>
      <c r="O2808" s="1" t="s">
        <v>31</v>
      </c>
      <c r="P2808" s="3" t="n">
        <v>1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f aca="false">SUM(P2808:Q2808)</f>
        <v>1</v>
      </c>
      <c r="W2808" s="3" t="n">
        <f aca="false">SUM(R2808:T2808)</f>
        <v>0</v>
      </c>
      <c r="X2808" s="22" t="n">
        <v>41793</v>
      </c>
      <c r="Y2808" s="22" t="n">
        <v>41798</v>
      </c>
    </row>
    <row r="2809" customFormat="false" ht="14.25" hidden="false" customHeight="false" outlineLevel="0" collapsed="false">
      <c r="A2809" s="1" t="n">
        <v>2014</v>
      </c>
      <c r="B2809" s="1" t="n">
        <v>1</v>
      </c>
      <c r="C2809" s="2" t="s">
        <v>25</v>
      </c>
      <c r="D2809" s="3" t="s">
        <v>26</v>
      </c>
      <c r="E2809" s="3" t="n">
        <v>1</v>
      </c>
      <c r="F2809" s="1" t="n">
        <f aca="false">Y2809-X2809</f>
        <v>5</v>
      </c>
      <c r="G2809" s="1" t="n">
        <v>5</v>
      </c>
      <c r="H2809" s="3" t="s">
        <v>226</v>
      </c>
      <c r="I2809" s="3" t="s">
        <v>65</v>
      </c>
      <c r="J2809" s="3" t="s">
        <v>123</v>
      </c>
      <c r="K2809" s="2" t="str">
        <f aca="false">CONCATENATE(I2809," ",J2809)</f>
        <v>Zora nemoralis</v>
      </c>
      <c r="L2809" s="3" t="n">
        <f aca="false">SUM(P2809:U2809)</f>
        <v>2</v>
      </c>
      <c r="M2809" s="11" t="n">
        <f aca="false">(L2809/(F2809*G2809)*25)*4</f>
        <v>8</v>
      </c>
      <c r="N2809" s="1" t="s">
        <v>30</v>
      </c>
      <c r="O2809" s="1" t="s">
        <v>31</v>
      </c>
      <c r="P2809" s="3" t="n">
        <v>2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f aca="false">SUM(P2809:Q2809)</f>
        <v>2</v>
      </c>
      <c r="W2809" s="3" t="n">
        <f aca="false">SUM(R2809:T2809)</f>
        <v>0</v>
      </c>
      <c r="X2809" s="22" t="n">
        <v>41793</v>
      </c>
      <c r="Y2809" s="22" t="n">
        <v>41798</v>
      </c>
    </row>
    <row r="2810" customFormat="false" ht="14.25" hidden="false" customHeight="false" outlineLevel="0" collapsed="false">
      <c r="A2810" s="1" t="n">
        <v>2014</v>
      </c>
      <c r="B2810" s="1" t="n">
        <v>1</v>
      </c>
      <c r="C2810" s="2" t="s">
        <v>25</v>
      </c>
      <c r="D2810" s="3" t="s">
        <v>26</v>
      </c>
      <c r="E2810" s="3" t="n">
        <v>1</v>
      </c>
      <c r="F2810" s="1" t="n">
        <f aca="false">Y2810-X2810</f>
        <v>5</v>
      </c>
      <c r="G2810" s="1" t="n">
        <v>5</v>
      </c>
      <c r="H2810" s="3" t="s">
        <v>32</v>
      </c>
      <c r="I2810" s="3" t="s">
        <v>169</v>
      </c>
      <c r="J2810" s="3" t="s">
        <v>170</v>
      </c>
      <c r="K2810" s="2" t="str">
        <f aca="false">CONCATENATE(I2810," ",J2810)</f>
        <v>Abacoproeces saltuum</v>
      </c>
      <c r="L2810" s="3" t="n">
        <f aca="false">SUM(P2810:U2810)</f>
        <v>1</v>
      </c>
      <c r="M2810" s="11" t="n">
        <f aca="false">(L2810/(F2810*G2810)*25)*4</f>
        <v>4</v>
      </c>
      <c r="N2810" s="1" t="s">
        <v>30</v>
      </c>
      <c r="O2810" s="1" t="s">
        <v>31</v>
      </c>
      <c r="P2810" s="3" t="n">
        <v>1</v>
      </c>
      <c r="Q2810" s="3" t="n">
        <v>0</v>
      </c>
      <c r="R2810" s="3" t="n">
        <v>0</v>
      </c>
      <c r="S2810" s="3" t="n">
        <v>0</v>
      </c>
      <c r="T2810" s="3" t="n">
        <v>0</v>
      </c>
      <c r="U2810" s="3" t="n">
        <v>0</v>
      </c>
      <c r="V2810" s="3" t="n">
        <f aca="false">SUM(P2810:Q2810)</f>
        <v>1</v>
      </c>
      <c r="W2810" s="3" t="n">
        <f aca="false">SUM(R2810:T2810)</f>
        <v>0</v>
      </c>
      <c r="X2810" s="22" t="n">
        <v>41793</v>
      </c>
      <c r="Y2810" s="22" t="n">
        <v>41798</v>
      </c>
    </row>
    <row r="2811" customFormat="false" ht="14.25" hidden="false" customHeight="false" outlineLevel="0" collapsed="false">
      <c r="A2811" s="1" t="n">
        <v>2014</v>
      </c>
      <c r="B2811" s="1" t="n">
        <v>1</v>
      </c>
      <c r="C2811" s="2" t="s">
        <v>25</v>
      </c>
      <c r="D2811" s="3" t="s">
        <v>26</v>
      </c>
      <c r="E2811" s="3" t="n">
        <v>3</v>
      </c>
      <c r="F2811" s="1" t="n">
        <f aca="false">Y2811-X2811</f>
        <v>5</v>
      </c>
      <c r="G2811" s="1" t="n">
        <v>5</v>
      </c>
      <c r="H2811" s="3" t="s">
        <v>48</v>
      </c>
      <c r="I2811" s="3" t="s">
        <v>67</v>
      </c>
      <c r="J2811" s="3" t="s">
        <v>127</v>
      </c>
      <c r="K2811" s="2" t="str">
        <f aca="false">CONCATENATE(I2811," ",J2811)</f>
        <v>Pardosa lugubris</v>
      </c>
      <c r="L2811" s="3" t="n">
        <f aca="false">SUM(P2811:U2811)</f>
        <v>9</v>
      </c>
      <c r="M2811" s="11" t="n">
        <f aca="false">(L2811/(F2811*G2811)*25)*4</f>
        <v>36</v>
      </c>
      <c r="N2811" s="1" t="s">
        <v>30</v>
      </c>
      <c r="O2811" s="1" t="s">
        <v>31</v>
      </c>
      <c r="P2811" s="3" t="n">
        <v>9</v>
      </c>
      <c r="Q2811" s="3" t="n">
        <v>0</v>
      </c>
      <c r="R2811" s="3" t="n">
        <v>0</v>
      </c>
      <c r="S2811" s="3" t="n">
        <v>0</v>
      </c>
      <c r="T2811" s="3" t="n">
        <v>0</v>
      </c>
      <c r="U2811" s="3" t="n">
        <v>0</v>
      </c>
      <c r="V2811" s="3" t="n">
        <f aca="false">SUM(P2811:Q2811)</f>
        <v>9</v>
      </c>
      <c r="W2811" s="3" t="n">
        <f aca="false">SUM(R2811:T2811)</f>
        <v>0</v>
      </c>
      <c r="X2811" s="22" t="n">
        <v>41793</v>
      </c>
      <c r="Y2811" s="22" t="n">
        <v>41798</v>
      </c>
    </row>
    <row r="2812" customFormat="false" ht="14.25" hidden="false" customHeight="false" outlineLevel="0" collapsed="false">
      <c r="A2812" s="1" t="n">
        <v>2014</v>
      </c>
      <c r="B2812" s="1" t="n">
        <v>1</v>
      </c>
      <c r="C2812" s="2" t="s">
        <v>25</v>
      </c>
      <c r="D2812" s="3" t="s">
        <v>26</v>
      </c>
      <c r="E2812" s="3" t="n">
        <v>3</v>
      </c>
      <c r="F2812" s="1" t="n">
        <f aca="false">Y2812-X2812</f>
        <v>5</v>
      </c>
      <c r="G2812" s="1" t="n">
        <v>5</v>
      </c>
      <c r="H2812" s="3" t="s">
        <v>48</v>
      </c>
      <c r="I2812" s="3" t="s">
        <v>67</v>
      </c>
      <c r="J2812" s="3" t="s">
        <v>127</v>
      </c>
      <c r="K2812" s="2" t="str">
        <f aca="false">CONCATENATE(I2812," ",J2812)</f>
        <v>Pardosa lugubris</v>
      </c>
      <c r="L2812" s="3" t="n">
        <f aca="false">SUM(P2812:U2812)</f>
        <v>2</v>
      </c>
      <c r="M2812" s="11" t="n">
        <f aca="false">(L2812/(F2812*G2812)*25)*4</f>
        <v>8</v>
      </c>
      <c r="N2812" s="1" t="s">
        <v>30</v>
      </c>
      <c r="O2812" s="1" t="s">
        <v>35</v>
      </c>
      <c r="P2812" s="3" t="n">
        <v>0</v>
      </c>
      <c r="Q2812" s="3" t="n">
        <v>2</v>
      </c>
      <c r="R2812" s="3" t="n">
        <v>0</v>
      </c>
      <c r="S2812" s="3" t="n">
        <v>0</v>
      </c>
      <c r="T2812" s="3" t="n">
        <v>0</v>
      </c>
      <c r="U2812" s="3" t="n">
        <v>0</v>
      </c>
      <c r="V2812" s="3" t="n">
        <f aca="false">SUM(P2812:Q2812)</f>
        <v>2</v>
      </c>
      <c r="W2812" s="3" t="n">
        <f aca="false">SUM(R2812:T2812)</f>
        <v>0</v>
      </c>
      <c r="X2812" s="22" t="n">
        <v>41793</v>
      </c>
      <c r="Y2812" s="22" t="n">
        <v>41798</v>
      </c>
    </row>
    <row r="2813" customFormat="false" ht="14.25" hidden="false" customHeight="false" outlineLevel="0" collapsed="false">
      <c r="A2813" s="1" t="n">
        <v>2014</v>
      </c>
      <c r="B2813" s="1" t="n">
        <v>1</v>
      </c>
      <c r="C2813" s="2" t="s">
        <v>25</v>
      </c>
      <c r="D2813" s="3" t="s">
        <v>26</v>
      </c>
      <c r="E2813" s="3" t="n">
        <v>3</v>
      </c>
      <c r="F2813" s="1" t="n">
        <f aca="false">Y2813-X2813</f>
        <v>5</v>
      </c>
      <c r="G2813" s="1" t="n">
        <v>5</v>
      </c>
      <c r="H2813" s="3" t="s">
        <v>48</v>
      </c>
      <c r="I2813" s="3" t="s">
        <v>61</v>
      </c>
      <c r="J2813" s="3" t="s">
        <v>82</v>
      </c>
      <c r="K2813" s="2" t="str">
        <f aca="false">CONCATENATE(I2813," ",J2813)</f>
        <v>Trochosa terricola</v>
      </c>
      <c r="L2813" s="3" t="n">
        <f aca="false">SUM(P2813:U2813)</f>
        <v>1</v>
      </c>
      <c r="M2813" s="11" t="n">
        <f aca="false">(L2813/(F2813*G2813)*25)*4</f>
        <v>4</v>
      </c>
      <c r="N2813" s="1" t="s">
        <v>30</v>
      </c>
      <c r="O2813" s="1" t="s">
        <v>35</v>
      </c>
      <c r="P2813" s="3" t="n">
        <v>0</v>
      </c>
      <c r="Q2813" s="3" t="n">
        <v>1</v>
      </c>
      <c r="R2813" s="3" t="n">
        <v>0</v>
      </c>
      <c r="S2813" s="3" t="n">
        <v>0</v>
      </c>
      <c r="T2813" s="3" t="n">
        <v>0</v>
      </c>
      <c r="U2813" s="3" t="n">
        <v>0</v>
      </c>
      <c r="V2813" s="3" t="n">
        <f aca="false">SUM(P2813:Q2813)</f>
        <v>1</v>
      </c>
      <c r="W2813" s="3" t="n">
        <f aca="false">SUM(R2813:T2813)</f>
        <v>0</v>
      </c>
      <c r="X2813" s="22" t="n">
        <v>41793</v>
      </c>
      <c r="Y2813" s="22" t="n">
        <v>41798</v>
      </c>
    </row>
    <row r="2814" customFormat="false" ht="14.25" hidden="false" customHeight="false" outlineLevel="0" collapsed="false">
      <c r="A2814" s="1" t="n">
        <v>2014</v>
      </c>
      <c r="B2814" s="1" t="n">
        <v>1</v>
      </c>
      <c r="C2814" s="2" t="s">
        <v>25</v>
      </c>
      <c r="D2814" s="3" t="s">
        <v>26</v>
      </c>
      <c r="E2814" s="3" t="n">
        <v>3</v>
      </c>
      <c r="F2814" s="1" t="n">
        <f aca="false">Y2814-X2814</f>
        <v>5</v>
      </c>
      <c r="G2814" s="1" t="n">
        <v>5</v>
      </c>
      <c r="H2814" s="3" t="s">
        <v>48</v>
      </c>
      <c r="I2814" s="3" t="s">
        <v>61</v>
      </c>
      <c r="J2814" s="3" t="s">
        <v>38</v>
      </c>
      <c r="K2814" s="2" t="str">
        <f aca="false">CONCATENATE(I2814," ",J2814)</f>
        <v>Trochosa sp</v>
      </c>
      <c r="L2814" s="3" t="n">
        <f aca="false">SUM(P2814:U2814)</f>
        <v>1</v>
      </c>
      <c r="M2814" s="11" t="n">
        <f aca="false">(L2814/(F2814*G2814)*25)*4</f>
        <v>4</v>
      </c>
      <c r="N2814" s="1" t="s">
        <v>19</v>
      </c>
      <c r="O2814" s="1" t="s">
        <v>31</v>
      </c>
      <c r="P2814" s="3" t="n">
        <v>0</v>
      </c>
      <c r="Q2814" s="3" t="n">
        <v>0</v>
      </c>
      <c r="R2814" s="3" t="n">
        <v>1</v>
      </c>
      <c r="S2814" s="3" t="n">
        <v>0</v>
      </c>
      <c r="T2814" s="3" t="n">
        <v>0</v>
      </c>
      <c r="U2814" s="3" t="n">
        <v>0</v>
      </c>
      <c r="V2814" s="3" t="n">
        <f aca="false">SUM(P2814:Q2814)</f>
        <v>0</v>
      </c>
      <c r="W2814" s="3" t="n">
        <f aca="false">SUM(R2814:T2814)</f>
        <v>1</v>
      </c>
      <c r="X2814" s="22" t="n">
        <v>41793</v>
      </c>
      <c r="Y2814" s="22" t="n">
        <v>41798</v>
      </c>
    </row>
    <row r="2815" customFormat="false" ht="14.25" hidden="false" customHeight="false" outlineLevel="0" collapsed="false">
      <c r="A2815" s="1" t="n">
        <v>2014</v>
      </c>
      <c r="B2815" s="1" t="n">
        <v>1</v>
      </c>
      <c r="C2815" s="2" t="s">
        <v>25</v>
      </c>
      <c r="D2815" s="3" t="s">
        <v>26</v>
      </c>
      <c r="E2815" s="3" t="n">
        <v>3</v>
      </c>
      <c r="F2815" s="1" t="n">
        <f aca="false">Y2815-X2815</f>
        <v>5</v>
      </c>
      <c r="G2815" s="1" t="n">
        <v>5</v>
      </c>
      <c r="H2815" s="3" t="s">
        <v>48</v>
      </c>
      <c r="I2815" s="3" t="s">
        <v>61</v>
      </c>
      <c r="J2815" s="3" t="s">
        <v>38</v>
      </c>
      <c r="K2815" s="2" t="str">
        <f aca="false">CONCATENATE(I2815," ",J2815)</f>
        <v>Trochosa sp</v>
      </c>
      <c r="L2815" s="3" t="n">
        <f aca="false">SUM(P2815:U2815)</f>
        <v>1</v>
      </c>
      <c r="M2815" s="11" t="n">
        <f aca="false">(L2815/(F2815*G2815)*25)*4</f>
        <v>4</v>
      </c>
      <c r="N2815" s="1" t="s">
        <v>19</v>
      </c>
      <c r="O2815" s="1" t="s">
        <v>35</v>
      </c>
      <c r="P2815" s="3" t="n">
        <v>0</v>
      </c>
      <c r="Q2815" s="3" t="n">
        <v>0</v>
      </c>
      <c r="R2815" s="3" t="n">
        <v>0</v>
      </c>
      <c r="S2815" s="3" t="n">
        <v>1</v>
      </c>
      <c r="T2815" s="3" t="n">
        <v>0</v>
      </c>
      <c r="U2815" s="3" t="n">
        <v>0</v>
      </c>
      <c r="V2815" s="3" t="n">
        <f aca="false">SUM(P2815:Q2815)</f>
        <v>0</v>
      </c>
      <c r="W2815" s="3" t="n">
        <f aca="false">SUM(R2815:T2815)</f>
        <v>1</v>
      </c>
      <c r="X2815" s="22" t="n">
        <v>41793</v>
      </c>
      <c r="Y2815" s="22" t="n">
        <v>41798</v>
      </c>
    </row>
    <row r="2816" customFormat="false" ht="14.25" hidden="false" customHeight="false" outlineLevel="0" collapsed="false">
      <c r="A2816" s="1" t="n">
        <v>2014</v>
      </c>
      <c r="B2816" s="1" t="n">
        <v>1</v>
      </c>
      <c r="C2816" s="2" t="s">
        <v>25</v>
      </c>
      <c r="D2816" s="3" t="s">
        <v>26</v>
      </c>
      <c r="E2816" s="3" t="n">
        <v>3</v>
      </c>
      <c r="F2816" s="1" t="n">
        <f aca="false">Y2816-X2816</f>
        <v>5</v>
      </c>
      <c r="G2816" s="1" t="n">
        <v>5</v>
      </c>
      <c r="H2816" s="3" t="s">
        <v>48</v>
      </c>
      <c r="I2816" s="3" t="s">
        <v>49</v>
      </c>
      <c r="J2816" s="3" t="s">
        <v>104</v>
      </c>
      <c r="K2816" s="2" t="str">
        <f aca="false">CONCATENATE(I2816," ",J2816)</f>
        <v>Alopecosa taeniata</v>
      </c>
      <c r="L2816" s="3" t="n">
        <f aca="false">SUM(P2816:U2816)</f>
        <v>3</v>
      </c>
      <c r="M2816" s="11" t="n">
        <f aca="false">(L2816/(F2816*G2816)*25)*4</f>
        <v>12</v>
      </c>
      <c r="N2816" s="1" t="s">
        <v>30</v>
      </c>
      <c r="O2816" s="1" t="s">
        <v>31</v>
      </c>
      <c r="P2816" s="3" t="n">
        <v>3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f aca="false">SUM(P2816:Q2816)</f>
        <v>3</v>
      </c>
      <c r="W2816" s="3" t="n">
        <f aca="false">SUM(R2816:T2816)</f>
        <v>0</v>
      </c>
      <c r="X2816" s="22" t="n">
        <v>41793</v>
      </c>
      <c r="Y2816" s="22" t="n">
        <v>41798</v>
      </c>
    </row>
    <row r="2817" customFormat="false" ht="14.25" hidden="false" customHeight="false" outlineLevel="0" collapsed="false">
      <c r="A2817" s="1" t="n">
        <v>2014</v>
      </c>
      <c r="B2817" s="1" t="n">
        <v>1</v>
      </c>
      <c r="C2817" s="2" t="s">
        <v>25</v>
      </c>
      <c r="D2817" s="3" t="s">
        <v>26</v>
      </c>
      <c r="E2817" s="3" t="n">
        <v>3</v>
      </c>
      <c r="F2817" s="1" t="n">
        <f aca="false">Y2817-X2817</f>
        <v>5</v>
      </c>
      <c r="G2817" s="1" t="n">
        <v>5</v>
      </c>
      <c r="H2817" s="3" t="s">
        <v>36</v>
      </c>
      <c r="I2817" s="3" t="s">
        <v>37</v>
      </c>
      <c r="J2817" s="3" t="s">
        <v>75</v>
      </c>
      <c r="K2817" s="2" t="str">
        <f aca="false">CONCATENATE(I2817," ",J2817)</f>
        <v>Ozyptila praticola</v>
      </c>
      <c r="L2817" s="3" t="n">
        <f aca="false">SUM(P2817:U2817)</f>
        <v>1</v>
      </c>
      <c r="M2817" s="11" t="n">
        <f aca="false">(L2817/(F2817*G2817)*25)*4</f>
        <v>4</v>
      </c>
      <c r="N2817" s="1" t="s">
        <v>30</v>
      </c>
      <c r="O2817" s="1" t="s">
        <v>35</v>
      </c>
      <c r="P2817" s="3" t="n">
        <v>0</v>
      </c>
      <c r="Q2817" s="3" t="n">
        <v>1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f aca="false">SUM(P2817:Q2817)</f>
        <v>1</v>
      </c>
      <c r="W2817" s="3" t="n">
        <f aca="false">SUM(R2817:T2817)</f>
        <v>0</v>
      </c>
      <c r="X2817" s="22" t="n">
        <v>41793</v>
      </c>
      <c r="Y2817" s="22" t="n">
        <v>41798</v>
      </c>
    </row>
    <row r="2818" customFormat="false" ht="14.25" hidden="false" customHeight="false" outlineLevel="0" collapsed="false">
      <c r="A2818" s="1" t="n">
        <v>2014</v>
      </c>
      <c r="B2818" s="1" t="n">
        <v>1</v>
      </c>
      <c r="C2818" s="2" t="s">
        <v>25</v>
      </c>
      <c r="D2818" s="3" t="s">
        <v>26</v>
      </c>
      <c r="E2818" s="3" t="n">
        <v>3</v>
      </c>
      <c r="F2818" s="1" t="n">
        <f aca="false">Y2818-X2818</f>
        <v>5</v>
      </c>
      <c r="G2818" s="1" t="n">
        <v>5</v>
      </c>
      <c r="H2818" s="3" t="s">
        <v>32</v>
      </c>
      <c r="I2818" s="3" t="s">
        <v>169</v>
      </c>
      <c r="J2818" s="3" t="s">
        <v>170</v>
      </c>
      <c r="K2818" s="2" t="str">
        <f aca="false">CONCATENATE(I2818," ",J2818)</f>
        <v>Abacoproeces saltuum</v>
      </c>
      <c r="L2818" s="3" t="n">
        <f aca="false">SUM(P2818:U2818)</f>
        <v>1</v>
      </c>
      <c r="M2818" s="11" t="n">
        <f aca="false">(L2818/(F2818*G2818)*25)*4</f>
        <v>4</v>
      </c>
      <c r="N2818" s="1" t="s">
        <v>30</v>
      </c>
      <c r="O2818" s="1" t="s">
        <v>31</v>
      </c>
      <c r="P2818" s="3" t="n">
        <v>1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f aca="false">SUM(P2818:Q2818)</f>
        <v>1</v>
      </c>
      <c r="W2818" s="3" t="n">
        <f aca="false">SUM(R2818:T2818)</f>
        <v>0</v>
      </c>
      <c r="X2818" s="22" t="n">
        <v>41793</v>
      </c>
      <c r="Y2818" s="22" t="n">
        <v>41798</v>
      </c>
    </row>
    <row r="2819" customFormat="false" ht="14.25" hidden="false" customHeight="false" outlineLevel="0" collapsed="false">
      <c r="A2819" s="1" t="n">
        <v>2014</v>
      </c>
      <c r="B2819" s="1" t="n">
        <v>1</v>
      </c>
      <c r="C2819" s="2" t="s">
        <v>25</v>
      </c>
      <c r="D2819" s="3" t="s">
        <v>26</v>
      </c>
      <c r="E2819" s="3" t="n">
        <v>3</v>
      </c>
      <c r="F2819" s="1" t="n">
        <f aca="false">Y2819-X2819</f>
        <v>5</v>
      </c>
      <c r="G2819" s="1" t="n">
        <v>5</v>
      </c>
      <c r="H2819" s="3" t="s">
        <v>32</v>
      </c>
      <c r="I2819" s="3" t="s">
        <v>57</v>
      </c>
      <c r="J2819" s="3" t="s">
        <v>38</v>
      </c>
      <c r="K2819" s="2" t="str">
        <f aca="false">CONCATENATE(I2819," ",J2819)</f>
        <v>Gen sp</v>
      </c>
      <c r="L2819" s="3" t="n">
        <f aca="false">SUM(P2819:U2819)</f>
        <v>1</v>
      </c>
      <c r="M2819" s="11" t="n">
        <f aca="false">(L2819/(F2819*G2819)*25)*4</f>
        <v>4</v>
      </c>
      <c r="N2819" s="1" t="s">
        <v>19</v>
      </c>
      <c r="O2819" s="1" t="s">
        <v>54</v>
      </c>
      <c r="P2819" s="3" t="n">
        <v>0</v>
      </c>
      <c r="Q2819" s="3" t="n">
        <v>0</v>
      </c>
      <c r="R2819" s="3" t="n">
        <v>0</v>
      </c>
      <c r="S2819" s="3" t="n">
        <v>0</v>
      </c>
      <c r="T2819" s="3" t="n">
        <v>1</v>
      </c>
      <c r="U2819" s="3" t="n">
        <v>0</v>
      </c>
      <c r="V2819" s="3" t="n">
        <f aca="false">SUM(P2819:Q2819)</f>
        <v>0</v>
      </c>
      <c r="W2819" s="3" t="n">
        <f aca="false">SUM(R2819:T2819)</f>
        <v>1</v>
      </c>
      <c r="X2819" s="22" t="n">
        <v>41793</v>
      </c>
      <c r="Y2819" s="22" t="n">
        <v>41798</v>
      </c>
    </row>
    <row r="2820" customFormat="false" ht="14.25" hidden="false" customHeight="false" outlineLevel="0" collapsed="false">
      <c r="A2820" s="1" t="n">
        <v>2014</v>
      </c>
      <c r="B2820" s="1" t="n">
        <v>1</v>
      </c>
      <c r="C2820" s="2" t="s">
        <v>25</v>
      </c>
      <c r="D2820" s="3" t="s">
        <v>26</v>
      </c>
      <c r="E2820" s="3" t="n">
        <v>3</v>
      </c>
      <c r="F2820" s="1" t="n">
        <f aca="false">Y2820-X2820</f>
        <v>5</v>
      </c>
      <c r="G2820" s="1" t="n">
        <v>5</v>
      </c>
      <c r="H2820" s="3" t="s">
        <v>48</v>
      </c>
      <c r="I2820" s="3" t="s">
        <v>67</v>
      </c>
      <c r="J2820" s="3" t="s">
        <v>127</v>
      </c>
      <c r="K2820" s="2" t="str">
        <f aca="false">CONCATENATE(I2820," ",J2820)</f>
        <v>Pardosa lugubris</v>
      </c>
      <c r="L2820" s="3" t="n">
        <f aca="false">SUM(P2820:U2820)</f>
        <v>2</v>
      </c>
      <c r="M2820" s="11" t="n">
        <f aca="false">(L2820/(F2820*G2820)*25)*4</f>
        <v>8</v>
      </c>
      <c r="N2820" s="1" t="s">
        <v>30</v>
      </c>
      <c r="O2820" s="1" t="s">
        <v>31</v>
      </c>
      <c r="P2820" s="3" t="n">
        <v>2</v>
      </c>
      <c r="Q2820" s="3" t="n">
        <v>0</v>
      </c>
      <c r="R2820" s="3" t="n">
        <v>0</v>
      </c>
      <c r="S2820" s="3" t="n">
        <v>0</v>
      </c>
      <c r="T2820" s="3" t="n">
        <v>0</v>
      </c>
      <c r="U2820" s="3" t="n">
        <v>0</v>
      </c>
      <c r="V2820" s="3" t="n">
        <f aca="false">SUM(P2820:Q2820)</f>
        <v>2</v>
      </c>
      <c r="W2820" s="3" t="n">
        <f aca="false">SUM(R2820:T2820)</f>
        <v>0</v>
      </c>
      <c r="X2820" s="22" t="n">
        <v>41793</v>
      </c>
      <c r="Y2820" s="22" t="n">
        <v>41798</v>
      </c>
    </row>
    <row r="2821" customFormat="false" ht="14.25" hidden="false" customHeight="false" outlineLevel="0" collapsed="false">
      <c r="A2821" s="1" t="n">
        <v>2014</v>
      </c>
      <c r="B2821" s="1" t="n">
        <v>1</v>
      </c>
      <c r="C2821" s="2" t="s">
        <v>25</v>
      </c>
      <c r="D2821" s="3" t="s">
        <v>26</v>
      </c>
      <c r="E2821" s="3" t="n">
        <v>3</v>
      </c>
      <c r="F2821" s="1" t="n">
        <f aca="false">Y2821-X2821</f>
        <v>5</v>
      </c>
      <c r="G2821" s="1" t="n">
        <v>5</v>
      </c>
      <c r="H2821" s="3" t="s">
        <v>48</v>
      </c>
      <c r="I2821" s="3" t="s">
        <v>67</v>
      </c>
      <c r="J2821" s="3" t="s">
        <v>127</v>
      </c>
      <c r="K2821" s="2" t="str">
        <f aca="false">CONCATENATE(I2821," ",J2821)</f>
        <v>Pardosa lugubris</v>
      </c>
      <c r="L2821" s="3" t="n">
        <f aca="false">SUM(P2821:U2821)</f>
        <v>2</v>
      </c>
      <c r="M2821" s="11" t="n">
        <f aca="false">(L2821/(F2821*G2821)*25)*4</f>
        <v>8</v>
      </c>
      <c r="N2821" s="1" t="s">
        <v>30</v>
      </c>
      <c r="O2821" s="1" t="s">
        <v>35</v>
      </c>
      <c r="P2821" s="3" t="n">
        <v>0</v>
      </c>
      <c r="Q2821" s="3" t="n">
        <v>2</v>
      </c>
      <c r="R2821" s="3" t="n">
        <v>0</v>
      </c>
      <c r="S2821" s="3" t="n">
        <v>0</v>
      </c>
      <c r="T2821" s="3" t="n">
        <v>0</v>
      </c>
      <c r="U2821" s="3" t="n">
        <v>0</v>
      </c>
      <c r="V2821" s="3" t="n">
        <f aca="false">SUM(P2821:Q2821)</f>
        <v>2</v>
      </c>
      <c r="W2821" s="3" t="n">
        <f aca="false">SUM(R2821:T2821)</f>
        <v>0</v>
      </c>
      <c r="X2821" s="22" t="n">
        <v>41793</v>
      </c>
      <c r="Y2821" s="22" t="n">
        <v>41798</v>
      </c>
    </row>
    <row r="2822" customFormat="false" ht="14.25" hidden="false" customHeight="false" outlineLevel="0" collapsed="false">
      <c r="A2822" s="1" t="n">
        <v>2014</v>
      </c>
      <c r="B2822" s="1" t="n">
        <v>1</v>
      </c>
      <c r="C2822" s="2" t="s">
        <v>25</v>
      </c>
      <c r="D2822" s="3" t="s">
        <v>26</v>
      </c>
      <c r="E2822" s="3" t="n">
        <v>3</v>
      </c>
      <c r="F2822" s="1" t="n">
        <f aca="false">Y2822-X2822</f>
        <v>5</v>
      </c>
      <c r="G2822" s="1" t="n">
        <v>5</v>
      </c>
      <c r="H2822" s="3" t="s">
        <v>48</v>
      </c>
      <c r="I2822" s="3" t="s">
        <v>49</v>
      </c>
      <c r="J2822" s="3" t="s">
        <v>104</v>
      </c>
      <c r="K2822" s="2" t="str">
        <f aca="false">CONCATENATE(I2822," ",J2822)</f>
        <v>Alopecosa taeniata</v>
      </c>
      <c r="L2822" s="3" t="n">
        <f aca="false">SUM(P2822:U2822)</f>
        <v>1</v>
      </c>
      <c r="M2822" s="11" t="n">
        <f aca="false">(L2822/(F2822*G2822)*25)*4</f>
        <v>4</v>
      </c>
      <c r="N2822" s="1" t="s">
        <v>30</v>
      </c>
      <c r="O2822" s="1" t="s">
        <v>31</v>
      </c>
      <c r="P2822" s="3" t="n">
        <v>1</v>
      </c>
      <c r="Q2822" s="3" t="n">
        <v>0</v>
      </c>
      <c r="R2822" s="3" t="n">
        <v>0</v>
      </c>
      <c r="S2822" s="3" t="n">
        <v>0</v>
      </c>
      <c r="T2822" s="3" t="n">
        <v>0</v>
      </c>
      <c r="U2822" s="3" t="n">
        <v>0</v>
      </c>
      <c r="V2822" s="3" t="n">
        <f aca="false">SUM(P2822:Q2822)</f>
        <v>1</v>
      </c>
      <c r="W2822" s="3" t="n">
        <f aca="false">SUM(R2822:T2822)</f>
        <v>0</v>
      </c>
      <c r="X2822" s="22" t="n">
        <v>41793</v>
      </c>
      <c r="Y2822" s="22" t="n">
        <v>41798</v>
      </c>
    </row>
    <row r="2823" customFormat="false" ht="14.25" hidden="false" customHeight="false" outlineLevel="0" collapsed="false">
      <c r="A2823" s="1" t="n">
        <v>2014</v>
      </c>
      <c r="B2823" s="1" t="n">
        <v>1</v>
      </c>
      <c r="C2823" s="2" t="s">
        <v>25</v>
      </c>
      <c r="D2823" s="3" t="s">
        <v>26</v>
      </c>
      <c r="E2823" s="3" t="n">
        <v>3</v>
      </c>
      <c r="F2823" s="1" t="n">
        <f aca="false">Y2823-X2823</f>
        <v>5</v>
      </c>
      <c r="G2823" s="1" t="n">
        <v>5</v>
      </c>
      <c r="H2823" s="3" t="s">
        <v>226</v>
      </c>
      <c r="I2823" s="3" t="s">
        <v>65</v>
      </c>
      <c r="J2823" s="3" t="s">
        <v>66</v>
      </c>
      <c r="K2823" s="2" t="str">
        <f aca="false">CONCATENATE(I2823," ",J2823)</f>
        <v>Zora Spinimana</v>
      </c>
      <c r="L2823" s="3" t="n">
        <f aca="false">SUM(P2823:U2823)</f>
        <v>1</v>
      </c>
      <c r="M2823" s="11" t="n">
        <f aca="false">(L2823/(F2823*G2823)*25)*4</f>
        <v>4</v>
      </c>
      <c r="N2823" s="1" t="s">
        <v>30</v>
      </c>
      <c r="O2823" s="1" t="s">
        <v>35</v>
      </c>
      <c r="P2823" s="3" t="n">
        <v>0</v>
      </c>
      <c r="Q2823" s="3" t="n">
        <v>1</v>
      </c>
      <c r="R2823" s="3" t="n">
        <v>0</v>
      </c>
      <c r="S2823" s="3" t="n">
        <v>0</v>
      </c>
      <c r="T2823" s="3" t="n">
        <v>0</v>
      </c>
      <c r="U2823" s="3" t="n">
        <v>0</v>
      </c>
      <c r="V2823" s="3" t="n">
        <f aca="false">SUM(P2823:Q2823)</f>
        <v>1</v>
      </c>
      <c r="W2823" s="3" t="n">
        <f aca="false">SUM(R2823:T2823)</f>
        <v>0</v>
      </c>
      <c r="X2823" s="22" t="n">
        <v>41793</v>
      </c>
      <c r="Y2823" s="22" t="n">
        <v>41798</v>
      </c>
    </row>
    <row r="2824" customFormat="false" ht="14.25" hidden="false" customHeight="false" outlineLevel="0" collapsed="false">
      <c r="A2824" s="1" t="n">
        <v>2014</v>
      </c>
      <c r="B2824" s="1" t="n">
        <v>1</v>
      </c>
      <c r="C2824" s="2" t="s">
        <v>25</v>
      </c>
      <c r="D2824" s="3" t="s">
        <v>26</v>
      </c>
      <c r="E2824" s="3" t="n">
        <v>3</v>
      </c>
      <c r="F2824" s="1" t="n">
        <f aca="false">Y2824-X2824</f>
        <v>5</v>
      </c>
      <c r="G2824" s="1" t="n">
        <v>5</v>
      </c>
      <c r="H2824" s="3" t="s">
        <v>72</v>
      </c>
      <c r="I2824" s="3" t="s">
        <v>86</v>
      </c>
      <c r="J2824" s="3" t="s">
        <v>87</v>
      </c>
      <c r="K2824" s="2" t="str">
        <f aca="false">CONCATENATE(I2824," ",J2824)</f>
        <v>Haplodrassus soerenseni</v>
      </c>
      <c r="L2824" s="3" t="n">
        <f aca="false">SUM(P2824:U2824)</f>
        <v>1</v>
      </c>
      <c r="M2824" s="11" t="n">
        <f aca="false">(L2824/(F2824*G2824)*25)*4</f>
        <v>4</v>
      </c>
      <c r="N2824" s="1" t="s">
        <v>30</v>
      </c>
      <c r="O2824" s="1" t="s">
        <v>31</v>
      </c>
      <c r="P2824" s="3" t="n">
        <v>1</v>
      </c>
      <c r="Q2824" s="3" t="n">
        <v>0</v>
      </c>
      <c r="R2824" s="3" t="n">
        <v>0</v>
      </c>
      <c r="S2824" s="3" t="n">
        <v>0</v>
      </c>
      <c r="T2824" s="3" t="n">
        <v>0</v>
      </c>
      <c r="U2824" s="3" t="n">
        <v>0</v>
      </c>
      <c r="V2824" s="3" t="n">
        <f aca="false">SUM(P2824:Q2824)</f>
        <v>1</v>
      </c>
      <c r="W2824" s="3" t="n">
        <f aca="false">SUM(R2824:T2824)</f>
        <v>0</v>
      </c>
      <c r="X2824" s="22" t="n">
        <v>41793</v>
      </c>
      <c r="Y2824" s="22" t="n">
        <v>41798</v>
      </c>
    </row>
    <row r="2825" customFormat="false" ht="14.25" hidden="false" customHeight="false" outlineLevel="0" collapsed="false">
      <c r="A2825" s="1" t="n">
        <v>2014</v>
      </c>
      <c r="B2825" s="1" t="n">
        <v>1</v>
      </c>
      <c r="C2825" s="2" t="s">
        <v>25</v>
      </c>
      <c r="D2825" s="3" t="s">
        <v>26</v>
      </c>
      <c r="E2825" s="3" t="n">
        <v>3</v>
      </c>
      <c r="F2825" s="1" t="n">
        <f aca="false">Y2825-X2825</f>
        <v>5</v>
      </c>
      <c r="G2825" s="1" t="n">
        <v>5</v>
      </c>
      <c r="H2825" s="3" t="s">
        <v>72</v>
      </c>
      <c r="I2825" s="3" t="s">
        <v>73</v>
      </c>
      <c r="J2825" s="3" t="s">
        <v>38</v>
      </c>
      <c r="K2825" s="2" t="str">
        <f aca="false">CONCATENATE(I2825," ",J2825)</f>
        <v>Zelotes sp</v>
      </c>
      <c r="L2825" s="3" t="n">
        <f aca="false">SUM(P2825:U2825)</f>
        <v>1</v>
      </c>
      <c r="M2825" s="11" t="n">
        <f aca="false">(L2825/(F2825*G2825)*25)*4</f>
        <v>4</v>
      </c>
      <c r="N2825" s="1" t="s">
        <v>19</v>
      </c>
      <c r="O2825" s="1" t="s">
        <v>54</v>
      </c>
      <c r="P2825" s="3" t="n">
        <v>0</v>
      </c>
      <c r="Q2825" s="3" t="n">
        <v>0</v>
      </c>
      <c r="R2825" s="3" t="n">
        <v>0</v>
      </c>
      <c r="S2825" s="3" t="n">
        <v>0</v>
      </c>
      <c r="T2825" s="3" t="n">
        <v>1</v>
      </c>
      <c r="U2825" s="3" t="n">
        <v>0</v>
      </c>
      <c r="V2825" s="3" t="n">
        <f aca="false">SUM(P2825:Q2825)</f>
        <v>0</v>
      </c>
      <c r="W2825" s="3" t="n">
        <f aca="false">SUM(R2825:T2825)</f>
        <v>1</v>
      </c>
      <c r="X2825" s="22" t="n">
        <v>41793</v>
      </c>
      <c r="Y2825" s="22" t="n">
        <v>41798</v>
      </c>
    </row>
    <row r="2826" customFormat="false" ht="14.25" hidden="false" customHeight="false" outlineLevel="0" collapsed="false">
      <c r="A2826" s="1" t="n">
        <v>2014</v>
      </c>
      <c r="B2826" s="1" t="n">
        <v>1</v>
      </c>
      <c r="C2826" s="2" t="s">
        <v>25</v>
      </c>
      <c r="D2826" s="3" t="s">
        <v>26</v>
      </c>
      <c r="E2826" s="3" t="n">
        <v>3</v>
      </c>
      <c r="F2826" s="1" t="n">
        <f aca="false">Y2826-X2826</f>
        <v>5</v>
      </c>
      <c r="G2826" s="1" t="n">
        <v>5</v>
      </c>
      <c r="H2826" s="3" t="s">
        <v>32</v>
      </c>
      <c r="I2826" s="3" t="s">
        <v>102</v>
      </c>
      <c r="J2826" s="3" t="s">
        <v>143</v>
      </c>
      <c r="K2826" s="2" t="str">
        <f aca="false">CONCATENATE(I2826," ",J2826)</f>
        <v>Agyneta saaristoi</v>
      </c>
      <c r="L2826" s="3" t="n">
        <f aca="false">SUM(P2826:U2826)</f>
        <v>1</v>
      </c>
      <c r="M2826" s="11" t="n">
        <f aca="false">(L2826/(F2826*G2826)*25)*4</f>
        <v>4</v>
      </c>
      <c r="N2826" s="1" t="s">
        <v>30</v>
      </c>
      <c r="O2826" s="1" t="s">
        <v>35</v>
      </c>
      <c r="P2826" s="3" t="n">
        <v>0</v>
      </c>
      <c r="Q2826" s="3" t="n">
        <v>1</v>
      </c>
      <c r="R2826" s="3" t="n">
        <v>0</v>
      </c>
      <c r="S2826" s="3" t="n">
        <v>0</v>
      </c>
      <c r="T2826" s="3" t="n">
        <v>0</v>
      </c>
      <c r="U2826" s="3" t="n">
        <v>0</v>
      </c>
      <c r="V2826" s="3" t="n">
        <f aca="false">SUM(P2826:Q2826)</f>
        <v>1</v>
      </c>
      <c r="W2826" s="3" t="n">
        <f aca="false">SUM(R2826:T2826)</f>
        <v>0</v>
      </c>
      <c r="X2826" s="22" t="n">
        <v>41793</v>
      </c>
      <c r="Y2826" s="22" t="n">
        <v>41798</v>
      </c>
    </row>
    <row r="2827" customFormat="false" ht="14.25" hidden="false" customHeight="false" outlineLevel="0" collapsed="false">
      <c r="A2827" s="1" t="n">
        <v>2014</v>
      </c>
      <c r="B2827" s="1" t="n">
        <v>1</v>
      </c>
      <c r="C2827" s="2" t="s">
        <v>25</v>
      </c>
      <c r="D2827" s="3" t="s">
        <v>26</v>
      </c>
      <c r="E2827" s="3" t="n">
        <v>3</v>
      </c>
      <c r="F2827" s="1" t="n">
        <f aca="false">Y2827-X2827</f>
        <v>5</v>
      </c>
      <c r="G2827" s="1" t="n">
        <v>5</v>
      </c>
      <c r="H2827" s="3" t="s">
        <v>32</v>
      </c>
      <c r="I2827" s="3" t="s">
        <v>84</v>
      </c>
      <c r="J2827" s="3" t="s">
        <v>85</v>
      </c>
      <c r="K2827" s="2" t="str">
        <f aca="false">CONCATENATE(I2827," ",J2827)</f>
        <v>Walckenaeria antica</v>
      </c>
      <c r="L2827" s="3" t="n">
        <f aca="false">SUM(P2827:U2827)</f>
        <v>1</v>
      </c>
      <c r="M2827" s="11" t="n">
        <f aca="false">(L2827/(F2827*G2827)*25)*4</f>
        <v>4</v>
      </c>
      <c r="N2827" s="1" t="s">
        <v>30</v>
      </c>
      <c r="O2827" s="1" t="s">
        <v>35</v>
      </c>
      <c r="P2827" s="3" t="n">
        <v>0</v>
      </c>
      <c r="Q2827" s="3" t="n">
        <v>1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f aca="false">SUM(P2827:Q2827)</f>
        <v>1</v>
      </c>
      <c r="W2827" s="3" t="n">
        <f aca="false">SUM(R2827:T2827)</f>
        <v>0</v>
      </c>
      <c r="X2827" s="22" t="n">
        <v>41793</v>
      </c>
      <c r="Y2827" s="22" t="n">
        <v>41798</v>
      </c>
    </row>
    <row r="2828" customFormat="false" ht="14.25" hidden="false" customHeight="false" outlineLevel="0" collapsed="false">
      <c r="A2828" s="1" t="n">
        <v>2014</v>
      </c>
      <c r="B2828" s="1" t="n">
        <v>1</v>
      </c>
      <c r="C2828" s="2" t="s">
        <v>44</v>
      </c>
      <c r="D2828" s="3" t="s">
        <v>45</v>
      </c>
      <c r="E2828" s="3" t="n">
        <v>1</v>
      </c>
      <c r="F2828" s="1" t="n">
        <f aca="false">Y2828-X2828</f>
        <v>5</v>
      </c>
      <c r="G2828" s="1" t="n">
        <v>5</v>
      </c>
      <c r="H2828" s="3" t="s">
        <v>48</v>
      </c>
      <c r="I2828" s="3" t="s">
        <v>122</v>
      </c>
      <c r="J2828" s="3" t="s">
        <v>123</v>
      </c>
      <c r="K2828" s="2" t="str">
        <f aca="false">CONCATENATE(I2828," ",J2828)</f>
        <v>Xerolycosa nemoralis</v>
      </c>
      <c r="L2828" s="3" t="n">
        <f aca="false">SUM(P2828:U2828)</f>
        <v>14</v>
      </c>
      <c r="M2828" s="11" t="n">
        <f aca="false">(L2828/(F2828*G2828)*25)*4</f>
        <v>56</v>
      </c>
      <c r="N2828" s="1" t="s">
        <v>30</v>
      </c>
      <c r="O2828" s="1" t="s">
        <v>31</v>
      </c>
      <c r="P2828" s="3" t="n">
        <v>14</v>
      </c>
      <c r="Q2828" s="3" t="n">
        <v>0</v>
      </c>
      <c r="R2828" s="3" t="n">
        <v>0</v>
      </c>
      <c r="S2828" s="3" t="n">
        <v>0</v>
      </c>
      <c r="T2828" s="3" t="n">
        <v>0</v>
      </c>
      <c r="U2828" s="3" t="n">
        <v>0</v>
      </c>
      <c r="V2828" s="3" t="n">
        <f aca="false">SUM(P2828:Q2828)</f>
        <v>14</v>
      </c>
      <c r="W2828" s="3" t="n">
        <f aca="false">SUM(R2828:T2828)</f>
        <v>0</v>
      </c>
      <c r="X2828" s="22" t="n">
        <v>41794</v>
      </c>
      <c r="Y2828" s="22" t="n">
        <v>41799</v>
      </c>
    </row>
    <row r="2829" customFormat="false" ht="14.25" hidden="false" customHeight="false" outlineLevel="0" collapsed="false">
      <c r="A2829" s="1" t="n">
        <v>2014</v>
      </c>
      <c r="B2829" s="1" t="n">
        <v>1</v>
      </c>
      <c r="C2829" s="2" t="s">
        <v>44</v>
      </c>
      <c r="D2829" s="3" t="s">
        <v>45</v>
      </c>
      <c r="E2829" s="3" t="n">
        <v>1</v>
      </c>
      <c r="F2829" s="1" t="n">
        <f aca="false">Y2829-X2829</f>
        <v>5</v>
      </c>
      <c r="G2829" s="1" t="n">
        <v>5</v>
      </c>
      <c r="H2829" s="3" t="s">
        <v>48</v>
      </c>
      <c r="I2829" s="3" t="s">
        <v>122</v>
      </c>
      <c r="J2829" s="3" t="s">
        <v>123</v>
      </c>
      <c r="K2829" s="2" t="str">
        <f aca="false">CONCATENATE(I2829," ",J2829)</f>
        <v>Xerolycosa nemoralis</v>
      </c>
      <c r="L2829" s="3" t="n">
        <f aca="false">SUM(P2829:U2829)</f>
        <v>2</v>
      </c>
      <c r="M2829" s="11" t="n">
        <f aca="false">(L2829/(F2829*G2829)*25)*4</f>
        <v>8</v>
      </c>
      <c r="N2829" s="1" t="s">
        <v>30</v>
      </c>
      <c r="O2829" s="1" t="s">
        <v>35</v>
      </c>
      <c r="P2829" s="3" t="n">
        <v>0</v>
      </c>
      <c r="Q2829" s="3" t="n">
        <v>2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f aca="false">SUM(P2829:Q2829)</f>
        <v>2</v>
      </c>
      <c r="W2829" s="3" t="n">
        <f aca="false">SUM(R2829:T2829)</f>
        <v>0</v>
      </c>
      <c r="X2829" s="22" t="n">
        <v>41794</v>
      </c>
      <c r="Y2829" s="22" t="n">
        <v>41799</v>
      </c>
    </row>
    <row r="2830" customFormat="false" ht="14.25" hidden="false" customHeight="false" outlineLevel="0" collapsed="false">
      <c r="A2830" s="1" t="n">
        <v>2014</v>
      </c>
      <c r="B2830" s="1" t="n">
        <v>1</v>
      </c>
      <c r="C2830" s="2" t="s">
        <v>44</v>
      </c>
      <c r="D2830" s="3" t="s">
        <v>45</v>
      </c>
      <c r="E2830" s="3" t="n">
        <v>1</v>
      </c>
      <c r="F2830" s="1" t="n">
        <f aca="false">Y2830-X2830</f>
        <v>5</v>
      </c>
      <c r="G2830" s="1" t="n">
        <v>5</v>
      </c>
      <c r="H2830" s="3" t="s">
        <v>48</v>
      </c>
      <c r="I2830" s="3" t="s">
        <v>122</v>
      </c>
      <c r="J2830" s="3" t="s">
        <v>123</v>
      </c>
      <c r="K2830" s="2" t="str">
        <f aca="false">CONCATENATE(I2830," ",J2830)</f>
        <v>Xerolycosa nemoralis</v>
      </c>
      <c r="L2830" s="3" t="n">
        <f aca="false">SUM(P2830:U2830)</f>
        <v>1</v>
      </c>
      <c r="M2830" s="11" t="n">
        <f aca="false">(L2830/(F2830*G2830)*25)*4</f>
        <v>4</v>
      </c>
      <c r="N2830" s="1" t="s">
        <v>19</v>
      </c>
      <c r="O2830" s="1" t="s">
        <v>54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1</v>
      </c>
      <c r="U2830" s="3" t="n">
        <v>0</v>
      </c>
      <c r="V2830" s="3" t="n">
        <f aca="false">SUM(P2830:Q2830)</f>
        <v>0</v>
      </c>
      <c r="W2830" s="3" t="n">
        <f aca="false">SUM(R2830:T2830)</f>
        <v>1</v>
      </c>
      <c r="X2830" s="22" t="n">
        <v>41794</v>
      </c>
      <c r="Y2830" s="22" t="n">
        <v>41799</v>
      </c>
    </row>
    <row r="2831" customFormat="false" ht="14.25" hidden="false" customHeight="false" outlineLevel="0" collapsed="false">
      <c r="A2831" s="1" t="n">
        <v>2014</v>
      </c>
      <c r="B2831" s="1" t="n">
        <v>1</v>
      </c>
      <c r="C2831" s="2" t="s">
        <v>44</v>
      </c>
      <c r="D2831" s="3" t="s">
        <v>45</v>
      </c>
      <c r="E2831" s="3" t="n">
        <v>1</v>
      </c>
      <c r="F2831" s="1" t="n">
        <f aca="false">Y2831-X2831</f>
        <v>5</v>
      </c>
      <c r="G2831" s="1" t="n">
        <v>5</v>
      </c>
      <c r="H2831" s="3" t="s">
        <v>27</v>
      </c>
      <c r="I2831" s="3" t="s">
        <v>46</v>
      </c>
      <c r="J2831" s="3" t="s">
        <v>47</v>
      </c>
      <c r="K2831" s="2" t="str">
        <f aca="false">CONCATENATE(I2831," ",J2831)</f>
        <v>Euryopis flavomaculata</v>
      </c>
      <c r="L2831" s="3" t="n">
        <f aca="false">SUM(P2831:U2831)</f>
        <v>1</v>
      </c>
      <c r="M2831" s="11" t="n">
        <f aca="false">(L2831/(F2831*G2831)*25)*4</f>
        <v>4</v>
      </c>
      <c r="N2831" s="1" t="s">
        <v>30</v>
      </c>
      <c r="O2831" s="1" t="s">
        <v>31</v>
      </c>
      <c r="P2831" s="3" t="n">
        <v>1</v>
      </c>
      <c r="Q2831" s="3" t="n">
        <v>0</v>
      </c>
      <c r="R2831" s="3" t="n">
        <v>0</v>
      </c>
      <c r="S2831" s="3" t="n">
        <v>0</v>
      </c>
      <c r="T2831" s="3" t="n">
        <v>0</v>
      </c>
      <c r="U2831" s="3" t="n">
        <v>0</v>
      </c>
      <c r="V2831" s="3" t="n">
        <f aca="false">SUM(P2831:Q2831)</f>
        <v>1</v>
      </c>
      <c r="W2831" s="3" t="n">
        <f aca="false">SUM(R2831:T2831)</f>
        <v>0</v>
      </c>
      <c r="X2831" s="22" t="n">
        <v>41794</v>
      </c>
      <c r="Y2831" s="22" t="n">
        <v>41799</v>
      </c>
    </row>
    <row r="2832" customFormat="false" ht="14.25" hidden="false" customHeight="false" outlineLevel="0" collapsed="false">
      <c r="A2832" s="1" t="n">
        <v>2014</v>
      </c>
      <c r="B2832" s="1" t="n">
        <v>1</v>
      </c>
      <c r="C2832" s="2" t="s">
        <v>44</v>
      </c>
      <c r="D2832" s="3" t="s">
        <v>45</v>
      </c>
      <c r="E2832" s="3" t="n">
        <v>1</v>
      </c>
      <c r="F2832" s="1" t="n">
        <f aca="false">Y2832-X2832</f>
        <v>5</v>
      </c>
      <c r="G2832" s="1" t="n">
        <v>5</v>
      </c>
      <c r="H2832" s="3" t="s">
        <v>27</v>
      </c>
      <c r="I2832" s="3" t="s">
        <v>46</v>
      </c>
      <c r="J2832" s="3" t="s">
        <v>47</v>
      </c>
      <c r="K2832" s="2" t="str">
        <f aca="false">CONCATENATE(I2832," ",J2832)</f>
        <v>Euryopis flavomaculata</v>
      </c>
      <c r="L2832" s="3" t="n">
        <f aca="false">SUM(P2832:U2832)</f>
        <v>1</v>
      </c>
      <c r="M2832" s="11" t="n">
        <f aca="false">(L2832/(F2832*G2832)*25)*4</f>
        <v>4</v>
      </c>
      <c r="N2832" s="1" t="s">
        <v>30</v>
      </c>
      <c r="O2832" s="1" t="s">
        <v>35</v>
      </c>
      <c r="P2832" s="3" t="n">
        <v>0</v>
      </c>
      <c r="Q2832" s="3" t="n">
        <v>1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f aca="false">SUM(P2832:Q2832)</f>
        <v>1</v>
      </c>
      <c r="W2832" s="3" t="n">
        <f aca="false">SUM(R2832:T2832)</f>
        <v>0</v>
      </c>
      <c r="X2832" s="22" t="n">
        <v>41794</v>
      </c>
      <c r="Y2832" s="22" t="n">
        <v>41799</v>
      </c>
    </row>
    <row r="2833" customFormat="false" ht="14.25" hidden="false" customHeight="false" outlineLevel="0" collapsed="false">
      <c r="A2833" s="1" t="n">
        <v>2014</v>
      </c>
      <c r="B2833" s="1" t="n">
        <v>1</v>
      </c>
      <c r="C2833" s="2" t="s">
        <v>25</v>
      </c>
      <c r="D2833" s="3" t="s">
        <v>26</v>
      </c>
      <c r="E2833" s="3" t="n">
        <v>1</v>
      </c>
      <c r="F2833" s="1" t="n">
        <f aca="false">Y2833-X2833</f>
        <v>5</v>
      </c>
      <c r="G2833" s="1" t="n">
        <v>5</v>
      </c>
      <c r="H2833" s="3" t="s">
        <v>48</v>
      </c>
      <c r="I2833" s="3" t="s">
        <v>67</v>
      </c>
      <c r="J2833" s="3" t="s">
        <v>127</v>
      </c>
      <c r="K2833" s="2" t="str">
        <f aca="false">CONCATENATE(I2833," ",J2833)</f>
        <v>Pardosa lugubris</v>
      </c>
      <c r="L2833" s="3" t="n">
        <f aca="false">SUM(P2833:U2833)</f>
        <v>9</v>
      </c>
      <c r="M2833" s="11" t="n">
        <f aca="false">(L2833/(F2833*G2833)*25)*4</f>
        <v>36</v>
      </c>
      <c r="N2833" s="1" t="s">
        <v>30</v>
      </c>
      <c r="O2833" s="1" t="s">
        <v>31</v>
      </c>
      <c r="P2833" s="3" t="n">
        <v>9</v>
      </c>
      <c r="Q2833" s="3" t="n">
        <v>0</v>
      </c>
      <c r="R2833" s="3" t="n">
        <v>0</v>
      </c>
      <c r="S2833" s="3" t="n">
        <v>0</v>
      </c>
      <c r="T2833" s="3" t="n">
        <v>0</v>
      </c>
      <c r="U2833" s="3" t="n">
        <v>0</v>
      </c>
      <c r="V2833" s="3" t="n">
        <f aca="false">SUM(P2833:Q2833)</f>
        <v>9</v>
      </c>
      <c r="W2833" s="3" t="n">
        <f aca="false">SUM(R2833:T2833)</f>
        <v>0</v>
      </c>
      <c r="X2833" s="22" t="n">
        <v>41793</v>
      </c>
      <c r="Y2833" s="22" t="n">
        <v>41798</v>
      </c>
    </row>
    <row r="2834" customFormat="false" ht="14.25" hidden="false" customHeight="false" outlineLevel="0" collapsed="false">
      <c r="A2834" s="1" t="n">
        <v>2014</v>
      </c>
      <c r="B2834" s="1" t="n">
        <v>1</v>
      </c>
      <c r="C2834" s="2" t="s">
        <v>25</v>
      </c>
      <c r="D2834" s="3" t="s">
        <v>26</v>
      </c>
      <c r="E2834" s="3" t="n">
        <v>1</v>
      </c>
      <c r="F2834" s="1" t="n">
        <f aca="false">Y2834-X2834</f>
        <v>5</v>
      </c>
      <c r="G2834" s="1" t="n">
        <v>5</v>
      </c>
      <c r="H2834" s="3" t="s">
        <v>48</v>
      </c>
      <c r="I2834" s="3" t="s">
        <v>67</v>
      </c>
      <c r="J2834" s="3" t="s">
        <v>127</v>
      </c>
      <c r="K2834" s="2" t="str">
        <f aca="false">CONCATENATE(I2834," ",J2834)</f>
        <v>Pardosa lugubris</v>
      </c>
      <c r="L2834" s="3" t="n">
        <f aca="false">SUM(P2834:U2834)</f>
        <v>1</v>
      </c>
      <c r="M2834" s="11" t="n">
        <f aca="false">(L2834/(F2834*G2834)*25)*4</f>
        <v>4</v>
      </c>
      <c r="N2834" s="1" t="s">
        <v>30</v>
      </c>
      <c r="O2834" s="1" t="s">
        <v>35</v>
      </c>
      <c r="P2834" s="3" t="n">
        <v>0</v>
      </c>
      <c r="Q2834" s="3" t="n">
        <v>1</v>
      </c>
      <c r="R2834" s="3" t="n">
        <v>0</v>
      </c>
      <c r="S2834" s="3" t="n">
        <v>0</v>
      </c>
      <c r="T2834" s="3" t="n">
        <v>0</v>
      </c>
      <c r="U2834" s="3" t="n">
        <v>0</v>
      </c>
      <c r="V2834" s="3" t="n">
        <f aca="false">SUM(P2834:Q2834)</f>
        <v>1</v>
      </c>
      <c r="W2834" s="3" t="n">
        <f aca="false">SUM(R2834:T2834)</f>
        <v>0</v>
      </c>
      <c r="X2834" s="22" t="n">
        <v>41793</v>
      </c>
      <c r="Y2834" s="22" t="n">
        <v>41798</v>
      </c>
    </row>
    <row r="2835" customFormat="false" ht="14.25" hidden="false" customHeight="false" outlineLevel="0" collapsed="false">
      <c r="A2835" s="1" t="n">
        <v>2014</v>
      </c>
      <c r="B2835" s="1" t="n">
        <v>1</v>
      </c>
      <c r="C2835" s="2" t="s">
        <v>25</v>
      </c>
      <c r="D2835" s="3" t="s">
        <v>26</v>
      </c>
      <c r="E2835" s="3" t="n">
        <v>1</v>
      </c>
      <c r="F2835" s="1" t="n">
        <f aca="false">Y2835-X2835</f>
        <v>5</v>
      </c>
      <c r="G2835" s="1" t="n">
        <v>5</v>
      </c>
      <c r="H2835" s="3" t="s">
        <v>48</v>
      </c>
      <c r="I2835" s="3" t="s">
        <v>61</v>
      </c>
      <c r="J2835" s="3" t="s">
        <v>82</v>
      </c>
      <c r="K2835" s="2" t="str">
        <f aca="false">CONCATENATE(I2835," ",J2835)</f>
        <v>Trochosa terricola</v>
      </c>
      <c r="L2835" s="3" t="n">
        <f aca="false">SUM(P2835:U2835)</f>
        <v>1</v>
      </c>
      <c r="M2835" s="11" t="n">
        <f aca="false">(L2835/(F2835*G2835)*25)*4</f>
        <v>4</v>
      </c>
      <c r="N2835" s="1" t="s">
        <v>30</v>
      </c>
      <c r="O2835" s="1" t="s">
        <v>31</v>
      </c>
      <c r="P2835" s="3" t="n">
        <v>1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f aca="false">SUM(P2835:Q2835)</f>
        <v>1</v>
      </c>
      <c r="W2835" s="3" t="n">
        <f aca="false">SUM(R2835:T2835)</f>
        <v>0</v>
      </c>
      <c r="X2835" s="22" t="n">
        <v>41793</v>
      </c>
      <c r="Y2835" s="22" t="n">
        <v>41798</v>
      </c>
    </row>
    <row r="2836" customFormat="false" ht="14.25" hidden="false" customHeight="false" outlineLevel="0" collapsed="false">
      <c r="A2836" s="1" t="n">
        <v>2014</v>
      </c>
      <c r="B2836" s="1" t="n">
        <v>1</v>
      </c>
      <c r="C2836" s="2" t="s">
        <v>25</v>
      </c>
      <c r="D2836" s="3" t="s">
        <v>26</v>
      </c>
      <c r="E2836" s="3" t="n">
        <v>1</v>
      </c>
      <c r="F2836" s="1" t="n">
        <f aca="false">Y2836-X2836</f>
        <v>5</v>
      </c>
      <c r="G2836" s="1" t="n">
        <v>5</v>
      </c>
      <c r="H2836" s="3" t="s">
        <v>48</v>
      </c>
      <c r="I2836" s="3" t="s">
        <v>61</v>
      </c>
      <c r="J2836" s="3" t="s">
        <v>82</v>
      </c>
      <c r="K2836" s="2" t="str">
        <f aca="false">CONCATENATE(I2836," ",J2836)</f>
        <v>Trochosa terricola</v>
      </c>
      <c r="L2836" s="3" t="n">
        <f aca="false">SUM(P2836:U2836)</f>
        <v>1</v>
      </c>
      <c r="M2836" s="11" t="n">
        <f aca="false">(L2836/(F2836*G2836)*25)*4</f>
        <v>4</v>
      </c>
      <c r="N2836" s="1" t="s">
        <v>30</v>
      </c>
      <c r="O2836" s="1" t="s">
        <v>35</v>
      </c>
      <c r="P2836" s="3" t="n">
        <v>0</v>
      </c>
      <c r="Q2836" s="3" t="n">
        <v>1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f aca="false">SUM(P2836:Q2836)</f>
        <v>1</v>
      </c>
      <c r="W2836" s="3" t="n">
        <f aca="false">SUM(R2836:T2836)</f>
        <v>0</v>
      </c>
      <c r="X2836" s="22" t="n">
        <v>41793</v>
      </c>
      <c r="Y2836" s="22" t="n">
        <v>41798</v>
      </c>
    </row>
    <row r="2837" customFormat="false" ht="14.25" hidden="false" customHeight="false" outlineLevel="0" collapsed="false">
      <c r="A2837" s="1" t="n">
        <v>2014</v>
      </c>
      <c r="B2837" s="1" t="n">
        <v>1</v>
      </c>
      <c r="C2837" s="2" t="s">
        <v>25</v>
      </c>
      <c r="D2837" s="3" t="s">
        <v>26</v>
      </c>
      <c r="E2837" s="3" t="n">
        <v>1</v>
      </c>
      <c r="F2837" s="1" t="n">
        <f aca="false">Y2837-X2837</f>
        <v>5</v>
      </c>
      <c r="G2837" s="1" t="n">
        <v>5</v>
      </c>
      <c r="H2837" s="3" t="s">
        <v>48</v>
      </c>
      <c r="I2837" s="3" t="s">
        <v>61</v>
      </c>
      <c r="J2837" s="3" t="s">
        <v>38</v>
      </c>
      <c r="K2837" s="2" t="str">
        <f aca="false">CONCATENATE(I2837," ",J2837)</f>
        <v>Trochosa sp</v>
      </c>
      <c r="L2837" s="3" t="n">
        <f aca="false">SUM(P2837:U2837)</f>
        <v>2</v>
      </c>
      <c r="M2837" s="11" t="n">
        <f aca="false">(L2837/(F2837*G2837)*25)*4</f>
        <v>8</v>
      </c>
      <c r="N2837" s="1" t="s">
        <v>19</v>
      </c>
      <c r="O2837" s="1" t="s">
        <v>31</v>
      </c>
      <c r="P2837" s="3" t="n">
        <v>0</v>
      </c>
      <c r="Q2837" s="3" t="n">
        <v>0</v>
      </c>
      <c r="R2837" s="3" t="n">
        <v>2</v>
      </c>
      <c r="S2837" s="3" t="n">
        <v>0</v>
      </c>
      <c r="T2837" s="3" t="n">
        <v>0</v>
      </c>
      <c r="U2837" s="3" t="n">
        <v>0</v>
      </c>
      <c r="V2837" s="3" t="n">
        <f aca="false">SUM(P2837:Q2837)</f>
        <v>0</v>
      </c>
      <c r="W2837" s="3" t="n">
        <f aca="false">SUM(R2837:T2837)</f>
        <v>2</v>
      </c>
      <c r="X2837" s="22" t="n">
        <v>41793</v>
      </c>
      <c r="Y2837" s="22" t="n">
        <v>41798</v>
      </c>
    </row>
    <row r="2838" customFormat="false" ht="14.25" hidden="false" customHeight="false" outlineLevel="0" collapsed="false">
      <c r="A2838" s="1" t="n">
        <v>2014</v>
      </c>
      <c r="B2838" s="1" t="n">
        <v>1</v>
      </c>
      <c r="C2838" s="2" t="s">
        <v>25</v>
      </c>
      <c r="D2838" s="3" t="s">
        <v>26</v>
      </c>
      <c r="E2838" s="3" t="n">
        <v>1</v>
      </c>
      <c r="F2838" s="1" t="n">
        <f aca="false">Y2838-X2838</f>
        <v>5</v>
      </c>
      <c r="G2838" s="1" t="n">
        <v>5</v>
      </c>
      <c r="H2838" s="3" t="s">
        <v>48</v>
      </c>
      <c r="I2838" s="3" t="s">
        <v>49</v>
      </c>
      <c r="J2838" s="3" t="s">
        <v>104</v>
      </c>
      <c r="K2838" s="2" t="str">
        <f aca="false">CONCATENATE(I2838," ",J2838)</f>
        <v>Alopecosa taeniata</v>
      </c>
      <c r="L2838" s="3" t="n">
        <f aca="false">SUM(P2838:U2838)</f>
        <v>1</v>
      </c>
      <c r="M2838" s="11" t="n">
        <f aca="false">(L2838/(F2838*G2838)*25)*4</f>
        <v>4</v>
      </c>
      <c r="N2838" s="1" t="s">
        <v>30</v>
      </c>
      <c r="O2838" s="1" t="s">
        <v>35</v>
      </c>
      <c r="P2838" s="3" t="n">
        <v>0</v>
      </c>
      <c r="Q2838" s="3" t="n">
        <v>1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f aca="false">SUM(P2838:Q2838)</f>
        <v>1</v>
      </c>
      <c r="W2838" s="3" t="n">
        <f aca="false">SUM(R2838:T2838)</f>
        <v>0</v>
      </c>
      <c r="X2838" s="22" t="n">
        <v>41793</v>
      </c>
      <c r="Y2838" s="22" t="n">
        <v>41798</v>
      </c>
    </row>
    <row r="2839" customFormat="false" ht="14.25" hidden="false" customHeight="false" outlineLevel="0" collapsed="false">
      <c r="A2839" s="1" t="n">
        <v>2014</v>
      </c>
      <c r="B2839" s="1" t="n">
        <v>1</v>
      </c>
      <c r="C2839" s="2" t="s">
        <v>25</v>
      </c>
      <c r="D2839" s="3" t="s">
        <v>26</v>
      </c>
      <c r="E2839" s="3" t="n">
        <v>1</v>
      </c>
      <c r="F2839" s="1" t="n">
        <f aca="false">Y2839-X2839</f>
        <v>5</v>
      </c>
      <c r="G2839" s="1" t="n">
        <v>5</v>
      </c>
      <c r="H2839" s="3" t="s">
        <v>36</v>
      </c>
      <c r="I2839" s="3" t="s">
        <v>37</v>
      </c>
      <c r="J2839" s="3" t="s">
        <v>75</v>
      </c>
      <c r="K2839" s="2" t="str">
        <f aca="false">CONCATENATE(I2839," ",J2839)</f>
        <v>Ozyptila praticola</v>
      </c>
      <c r="L2839" s="3" t="n">
        <f aca="false">SUM(P2839:U2839)</f>
        <v>1</v>
      </c>
      <c r="M2839" s="11" t="n">
        <f aca="false">(L2839/(F2839*G2839)*25)*4</f>
        <v>4</v>
      </c>
      <c r="N2839" s="1" t="s">
        <v>30</v>
      </c>
      <c r="O2839" s="1" t="s">
        <v>31</v>
      </c>
      <c r="P2839" s="3" t="n">
        <v>1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f aca="false">SUM(P2839:Q2839)</f>
        <v>1</v>
      </c>
      <c r="W2839" s="3" t="n">
        <f aca="false">SUM(R2839:T2839)</f>
        <v>0</v>
      </c>
      <c r="X2839" s="22" t="n">
        <v>41793</v>
      </c>
      <c r="Y2839" s="22" t="n">
        <v>41798</v>
      </c>
    </row>
    <row r="2840" customFormat="false" ht="14.25" hidden="false" customHeight="false" outlineLevel="0" collapsed="false">
      <c r="A2840" s="1" t="n">
        <v>2014</v>
      </c>
      <c r="B2840" s="1" t="n">
        <v>1</v>
      </c>
      <c r="C2840" s="2" t="s">
        <v>25</v>
      </c>
      <c r="D2840" s="3" t="s">
        <v>26</v>
      </c>
      <c r="E2840" s="3" t="n">
        <v>1</v>
      </c>
      <c r="F2840" s="1" t="n">
        <f aca="false">Y2840-X2840</f>
        <v>5</v>
      </c>
      <c r="G2840" s="1" t="n">
        <v>5</v>
      </c>
      <c r="H2840" s="3" t="s">
        <v>226</v>
      </c>
      <c r="I2840" s="3" t="s">
        <v>65</v>
      </c>
      <c r="J2840" s="3" t="s">
        <v>123</v>
      </c>
      <c r="K2840" s="2" t="str">
        <f aca="false">CONCATENATE(I2840," ",J2840)</f>
        <v>Zora nemoralis</v>
      </c>
      <c r="L2840" s="3" t="n">
        <f aca="false">SUM(P2840:U2840)</f>
        <v>2</v>
      </c>
      <c r="M2840" s="11" t="n">
        <f aca="false">(L2840/(F2840*G2840)*25)*4</f>
        <v>8</v>
      </c>
      <c r="N2840" s="1" t="s">
        <v>30</v>
      </c>
      <c r="O2840" s="1" t="s">
        <v>31</v>
      </c>
      <c r="P2840" s="3" t="n">
        <v>2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f aca="false">SUM(P2840:Q2840)</f>
        <v>2</v>
      </c>
      <c r="W2840" s="3" t="n">
        <f aca="false">SUM(R2840:T2840)</f>
        <v>0</v>
      </c>
      <c r="X2840" s="22" t="n">
        <v>41793</v>
      </c>
      <c r="Y2840" s="22" t="n">
        <v>41798</v>
      </c>
    </row>
    <row r="2841" customFormat="false" ht="14.25" hidden="false" customHeight="false" outlineLevel="0" collapsed="false">
      <c r="A2841" s="1" t="n">
        <v>2014</v>
      </c>
      <c r="B2841" s="1" t="n">
        <v>1</v>
      </c>
      <c r="C2841" s="2" t="s">
        <v>25</v>
      </c>
      <c r="D2841" s="3" t="s">
        <v>26</v>
      </c>
      <c r="E2841" s="3" t="n">
        <v>1</v>
      </c>
      <c r="F2841" s="1" t="n">
        <f aca="false">Y2841-X2841</f>
        <v>5</v>
      </c>
      <c r="G2841" s="1" t="n">
        <v>5</v>
      </c>
      <c r="H2841" s="3" t="s">
        <v>72</v>
      </c>
      <c r="I2841" s="3" t="s">
        <v>86</v>
      </c>
      <c r="J2841" s="3" t="s">
        <v>87</v>
      </c>
      <c r="K2841" s="2" t="str">
        <f aca="false">CONCATENATE(I2841," ",J2841)</f>
        <v>Haplodrassus soerenseni</v>
      </c>
      <c r="L2841" s="3" t="n">
        <f aca="false">SUM(P2841:U2841)</f>
        <v>1</v>
      </c>
      <c r="M2841" s="11" t="n">
        <f aca="false">(L2841/(F2841*G2841)*25)*4</f>
        <v>4</v>
      </c>
      <c r="N2841" s="1" t="s">
        <v>30</v>
      </c>
      <c r="O2841" s="1" t="s">
        <v>31</v>
      </c>
      <c r="P2841" s="3" t="n">
        <v>1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f aca="false">SUM(P2841:Q2841)</f>
        <v>1</v>
      </c>
      <c r="W2841" s="3" t="n">
        <f aca="false">SUM(R2841:T2841)</f>
        <v>0</v>
      </c>
      <c r="X2841" s="22" t="n">
        <v>41793</v>
      </c>
      <c r="Y2841" s="22" t="n">
        <v>41798</v>
      </c>
    </row>
    <row r="2842" customFormat="false" ht="14.25" hidden="false" customHeight="false" outlineLevel="0" collapsed="false">
      <c r="A2842" s="1" t="n">
        <v>2014</v>
      </c>
      <c r="B2842" s="1" t="n">
        <v>1</v>
      </c>
      <c r="C2842" s="2" t="s">
        <v>25</v>
      </c>
      <c r="D2842" s="3" t="s">
        <v>26</v>
      </c>
      <c r="E2842" s="3" t="n">
        <v>1</v>
      </c>
      <c r="F2842" s="1" t="n">
        <f aca="false">Y2842-X2842</f>
        <v>5</v>
      </c>
      <c r="G2842" s="1" t="n">
        <v>5</v>
      </c>
      <c r="H2842" s="3" t="s">
        <v>32</v>
      </c>
      <c r="I2842" s="3" t="s">
        <v>62</v>
      </c>
      <c r="J2842" s="3" t="s">
        <v>63</v>
      </c>
      <c r="K2842" s="2" t="str">
        <f aca="false">CONCATENATE(I2842," ",J2842)</f>
        <v>Microneta viaria</v>
      </c>
      <c r="L2842" s="3" t="n">
        <f aca="false">SUM(P2842:U2842)</f>
        <v>1</v>
      </c>
      <c r="M2842" s="11" t="n">
        <f aca="false">(L2842/(F2842*G2842)*25)*4</f>
        <v>4</v>
      </c>
      <c r="N2842" s="1" t="s">
        <v>30</v>
      </c>
      <c r="O2842" s="1" t="s">
        <v>31</v>
      </c>
      <c r="P2842" s="3" t="n">
        <v>1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f aca="false">SUM(P2842:Q2842)</f>
        <v>1</v>
      </c>
      <c r="W2842" s="3" t="n">
        <f aca="false">SUM(R2842:T2842)</f>
        <v>0</v>
      </c>
      <c r="X2842" s="22" t="n">
        <v>41793</v>
      </c>
      <c r="Y2842" s="22" t="n">
        <v>41798</v>
      </c>
    </row>
    <row r="2843" customFormat="false" ht="14.25" hidden="false" customHeight="false" outlineLevel="0" collapsed="false">
      <c r="A2843" s="1" t="n">
        <v>2014</v>
      </c>
      <c r="B2843" s="1" t="n">
        <v>1</v>
      </c>
      <c r="C2843" s="2" t="s">
        <v>25</v>
      </c>
      <c r="D2843" s="3" t="s">
        <v>26</v>
      </c>
      <c r="E2843" s="3" t="n">
        <v>1</v>
      </c>
      <c r="F2843" s="1" t="n">
        <f aca="false">Y2843-X2843</f>
        <v>5</v>
      </c>
      <c r="G2843" s="1" t="n">
        <v>5</v>
      </c>
      <c r="H2843" s="3" t="s">
        <v>92</v>
      </c>
      <c r="I2843" s="3" t="s">
        <v>171</v>
      </c>
      <c r="J2843" s="3" t="s">
        <v>172</v>
      </c>
      <c r="K2843" s="2" t="str">
        <f aca="false">CONCATENATE(I2843," ",J2843)</f>
        <v>Euophrys frontalis</v>
      </c>
      <c r="L2843" s="3" t="n">
        <f aca="false">SUM(P2843:U2843)</f>
        <v>1</v>
      </c>
      <c r="M2843" s="11" t="n">
        <f aca="false">(L2843/(F2843*G2843)*25)*4</f>
        <v>4</v>
      </c>
      <c r="N2843" s="1" t="s">
        <v>30</v>
      </c>
      <c r="O2843" s="1" t="s">
        <v>31</v>
      </c>
      <c r="P2843" s="3" t="n">
        <v>1</v>
      </c>
      <c r="Q2843" s="3" t="n">
        <v>0</v>
      </c>
      <c r="R2843" s="3" t="n">
        <v>0</v>
      </c>
      <c r="S2843" s="3" t="n">
        <v>0</v>
      </c>
      <c r="T2843" s="3" t="n">
        <v>0</v>
      </c>
      <c r="U2843" s="3" t="n">
        <v>0</v>
      </c>
      <c r="V2843" s="3" t="n">
        <f aca="false">SUM(P2843:Q2843)</f>
        <v>1</v>
      </c>
      <c r="W2843" s="3" t="n">
        <f aca="false">SUM(R2843:T2843)</f>
        <v>0</v>
      </c>
      <c r="X2843" s="22" t="n">
        <v>41793</v>
      </c>
      <c r="Y2843" s="22" t="n">
        <v>41798</v>
      </c>
    </row>
    <row r="2844" customFormat="false" ht="14.25" hidden="false" customHeight="false" outlineLevel="0" collapsed="false">
      <c r="A2844" s="1" t="n">
        <v>2014</v>
      </c>
      <c r="B2844" s="1" t="n">
        <v>1</v>
      </c>
      <c r="C2844" s="2" t="s">
        <v>25</v>
      </c>
      <c r="D2844" s="3" t="s">
        <v>26</v>
      </c>
      <c r="E2844" s="3" t="n">
        <v>1</v>
      </c>
      <c r="F2844" s="1" t="n">
        <f aca="false">Y2844-X2844</f>
        <v>5</v>
      </c>
      <c r="G2844" s="1" t="n">
        <v>5</v>
      </c>
      <c r="H2844" s="3" t="s">
        <v>92</v>
      </c>
      <c r="I2844" s="3" t="s">
        <v>235</v>
      </c>
      <c r="J2844" s="3" t="s">
        <v>236</v>
      </c>
      <c r="K2844" s="2" t="str">
        <f aca="false">CONCATENATE(I2844," ",J2844)</f>
        <v>Neon reticulatus</v>
      </c>
      <c r="L2844" s="3" t="n">
        <f aca="false">SUM(P2844:U2844)</f>
        <v>1</v>
      </c>
      <c r="M2844" s="11" t="n">
        <f aca="false">(L2844/(F2844*G2844)*25)*4</f>
        <v>4</v>
      </c>
      <c r="N2844" s="1" t="s">
        <v>30</v>
      </c>
      <c r="O2844" s="1" t="s">
        <v>31</v>
      </c>
      <c r="P2844" s="3" t="n">
        <v>1</v>
      </c>
      <c r="Q2844" s="3" t="n">
        <v>0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f aca="false">SUM(P2844:Q2844)</f>
        <v>1</v>
      </c>
      <c r="W2844" s="3" t="n">
        <f aca="false">SUM(R2844:T2844)</f>
        <v>0</v>
      </c>
      <c r="X2844" s="22" t="n">
        <v>41793</v>
      </c>
      <c r="Y2844" s="22" t="n">
        <v>41798</v>
      </c>
    </row>
    <row r="2845" customFormat="false" ht="14.25" hidden="false" customHeight="false" outlineLevel="0" collapsed="false">
      <c r="A2845" s="1" t="n">
        <v>2014</v>
      </c>
      <c r="B2845" s="1" t="n">
        <v>1</v>
      </c>
      <c r="C2845" s="2" t="s">
        <v>25</v>
      </c>
      <c r="D2845" s="3" t="s">
        <v>26</v>
      </c>
      <c r="E2845" s="3" t="n">
        <v>3</v>
      </c>
      <c r="F2845" s="1" t="n">
        <f aca="false">Y2845-X2845</f>
        <v>5</v>
      </c>
      <c r="G2845" s="1" t="n">
        <v>5</v>
      </c>
      <c r="H2845" s="3" t="s">
        <v>48</v>
      </c>
      <c r="I2845" s="3" t="s">
        <v>67</v>
      </c>
      <c r="J2845" s="3" t="s">
        <v>127</v>
      </c>
      <c r="K2845" s="2" t="str">
        <f aca="false">CONCATENATE(I2845," ",J2845)</f>
        <v>Pardosa lugubris</v>
      </c>
      <c r="L2845" s="3" t="n">
        <f aca="false">SUM(P2845:U2845)</f>
        <v>5</v>
      </c>
      <c r="M2845" s="11" t="n">
        <f aca="false">(L2845/(F2845*G2845)*25)*4</f>
        <v>20</v>
      </c>
      <c r="N2845" s="1" t="s">
        <v>30</v>
      </c>
      <c r="O2845" s="1" t="s">
        <v>31</v>
      </c>
      <c r="P2845" s="3" t="n">
        <v>5</v>
      </c>
      <c r="Q2845" s="3" t="n">
        <v>0</v>
      </c>
      <c r="R2845" s="3" t="n">
        <v>0</v>
      </c>
      <c r="S2845" s="3" t="n">
        <v>0</v>
      </c>
      <c r="T2845" s="3" t="n">
        <v>0</v>
      </c>
      <c r="U2845" s="3" t="n">
        <v>0</v>
      </c>
      <c r="V2845" s="3" t="n">
        <f aca="false">SUM(P2845:Q2845)</f>
        <v>5</v>
      </c>
      <c r="W2845" s="3" t="n">
        <f aca="false">SUM(R2845:T2845)</f>
        <v>0</v>
      </c>
      <c r="X2845" s="22" t="n">
        <v>41793</v>
      </c>
      <c r="Y2845" s="22" t="n">
        <v>41798</v>
      </c>
    </row>
    <row r="2846" customFormat="false" ht="14.25" hidden="false" customHeight="false" outlineLevel="0" collapsed="false">
      <c r="A2846" s="1" t="n">
        <v>2014</v>
      </c>
      <c r="B2846" s="1" t="n">
        <v>1</v>
      </c>
      <c r="C2846" s="2" t="s">
        <v>25</v>
      </c>
      <c r="D2846" s="3" t="s">
        <v>26</v>
      </c>
      <c r="E2846" s="3" t="n">
        <v>3</v>
      </c>
      <c r="F2846" s="1" t="n">
        <f aca="false">Y2846-X2846</f>
        <v>5</v>
      </c>
      <c r="G2846" s="1" t="n">
        <v>5</v>
      </c>
      <c r="H2846" s="3" t="s">
        <v>48</v>
      </c>
      <c r="I2846" s="3" t="s">
        <v>67</v>
      </c>
      <c r="J2846" s="3" t="s">
        <v>127</v>
      </c>
      <c r="K2846" s="2" t="str">
        <f aca="false">CONCATENATE(I2846," ",J2846)</f>
        <v>Pardosa lugubris</v>
      </c>
      <c r="L2846" s="3" t="n">
        <f aca="false">SUM(P2846:U2846)</f>
        <v>1</v>
      </c>
      <c r="M2846" s="11" t="n">
        <f aca="false">(L2846/(F2846*G2846)*25)*4</f>
        <v>4</v>
      </c>
      <c r="N2846" s="1" t="s">
        <v>30</v>
      </c>
      <c r="O2846" s="1" t="s">
        <v>35</v>
      </c>
      <c r="P2846" s="3" t="n">
        <v>0</v>
      </c>
      <c r="Q2846" s="3" t="n">
        <v>1</v>
      </c>
      <c r="R2846" s="3" t="n">
        <v>0</v>
      </c>
      <c r="S2846" s="3" t="n">
        <v>0</v>
      </c>
      <c r="T2846" s="3" t="n">
        <v>0</v>
      </c>
      <c r="U2846" s="3" t="n">
        <v>0</v>
      </c>
      <c r="V2846" s="3" t="n">
        <f aca="false">SUM(P2846:Q2846)</f>
        <v>1</v>
      </c>
      <c r="W2846" s="3" t="n">
        <f aca="false">SUM(R2846:T2846)</f>
        <v>0</v>
      </c>
      <c r="X2846" s="22" t="n">
        <v>41793</v>
      </c>
      <c r="Y2846" s="22" t="n">
        <v>41798</v>
      </c>
    </row>
    <row r="2847" customFormat="false" ht="14.25" hidden="false" customHeight="false" outlineLevel="0" collapsed="false">
      <c r="A2847" s="1" t="n">
        <v>2014</v>
      </c>
      <c r="B2847" s="1" t="n">
        <v>1</v>
      </c>
      <c r="C2847" s="2" t="s">
        <v>25</v>
      </c>
      <c r="D2847" s="3" t="s">
        <v>26</v>
      </c>
      <c r="E2847" s="3" t="n">
        <v>3</v>
      </c>
      <c r="F2847" s="1" t="n">
        <f aca="false">Y2847-X2847</f>
        <v>5</v>
      </c>
      <c r="G2847" s="1" t="n">
        <v>5</v>
      </c>
      <c r="H2847" s="3" t="s">
        <v>48</v>
      </c>
      <c r="I2847" s="3" t="s">
        <v>49</v>
      </c>
      <c r="J2847" s="3" t="s">
        <v>104</v>
      </c>
      <c r="K2847" s="2" t="str">
        <f aca="false">CONCATENATE(I2847," ",J2847)</f>
        <v>Alopecosa taeniata</v>
      </c>
      <c r="L2847" s="3" t="n">
        <f aca="false">SUM(P2847:U2847)</f>
        <v>1</v>
      </c>
      <c r="M2847" s="11" t="n">
        <f aca="false">(L2847/(F2847*G2847)*25)*4</f>
        <v>4</v>
      </c>
      <c r="N2847" s="1" t="s">
        <v>30</v>
      </c>
      <c r="O2847" s="1" t="s">
        <v>31</v>
      </c>
      <c r="P2847" s="3" t="n">
        <v>1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f aca="false">SUM(P2847:Q2847)</f>
        <v>1</v>
      </c>
      <c r="W2847" s="3" t="n">
        <f aca="false">SUM(R2847:T2847)</f>
        <v>0</v>
      </c>
      <c r="X2847" s="22" t="n">
        <v>41793</v>
      </c>
      <c r="Y2847" s="22" t="n">
        <v>41798</v>
      </c>
    </row>
    <row r="2848" customFormat="false" ht="14.25" hidden="false" customHeight="false" outlineLevel="0" collapsed="false">
      <c r="A2848" s="1" t="n">
        <v>2014</v>
      </c>
      <c r="B2848" s="1" t="n">
        <v>1</v>
      </c>
      <c r="C2848" s="2" t="s">
        <v>25</v>
      </c>
      <c r="D2848" s="3" t="s">
        <v>26</v>
      </c>
      <c r="E2848" s="3" t="n">
        <v>3</v>
      </c>
      <c r="F2848" s="1" t="n">
        <f aca="false">Y2848-X2848</f>
        <v>5</v>
      </c>
      <c r="G2848" s="1" t="n">
        <v>5</v>
      </c>
      <c r="H2848" s="3" t="s">
        <v>48</v>
      </c>
      <c r="I2848" s="3" t="s">
        <v>61</v>
      </c>
      <c r="J2848" s="3" t="s">
        <v>82</v>
      </c>
      <c r="K2848" s="2" t="str">
        <f aca="false">CONCATENATE(I2848," ",J2848)</f>
        <v>Trochosa terricola</v>
      </c>
      <c r="L2848" s="3" t="n">
        <f aca="false">SUM(P2848:U2848)</f>
        <v>1</v>
      </c>
      <c r="M2848" s="11" t="n">
        <f aca="false">(L2848/(F2848*G2848)*25)*4</f>
        <v>4</v>
      </c>
      <c r="N2848" s="1" t="s">
        <v>30</v>
      </c>
      <c r="O2848" s="1" t="s">
        <v>35</v>
      </c>
      <c r="P2848" s="3" t="n">
        <v>0</v>
      </c>
      <c r="Q2848" s="3" t="n">
        <v>1</v>
      </c>
      <c r="R2848" s="3" t="n">
        <v>0</v>
      </c>
      <c r="S2848" s="3" t="n">
        <v>0</v>
      </c>
      <c r="T2848" s="3" t="n">
        <v>0</v>
      </c>
      <c r="U2848" s="3" t="n">
        <v>0</v>
      </c>
      <c r="V2848" s="3" t="n">
        <f aca="false">SUM(P2848:Q2848)</f>
        <v>1</v>
      </c>
      <c r="W2848" s="3" t="n">
        <f aca="false">SUM(R2848:T2848)</f>
        <v>0</v>
      </c>
      <c r="X2848" s="22" t="n">
        <v>41793</v>
      </c>
      <c r="Y2848" s="22" t="n">
        <v>41798</v>
      </c>
    </row>
    <row r="2849" customFormat="false" ht="14.25" hidden="false" customHeight="false" outlineLevel="0" collapsed="false">
      <c r="A2849" s="1" t="n">
        <v>2014</v>
      </c>
      <c r="B2849" s="1" t="n">
        <v>1</v>
      </c>
      <c r="C2849" s="2" t="s">
        <v>25</v>
      </c>
      <c r="D2849" s="3" t="s">
        <v>26</v>
      </c>
      <c r="E2849" s="3" t="n">
        <v>3</v>
      </c>
      <c r="F2849" s="1" t="n">
        <f aca="false">Y2849-X2849</f>
        <v>5</v>
      </c>
      <c r="G2849" s="1" t="n">
        <v>5</v>
      </c>
      <c r="H2849" s="3" t="s">
        <v>226</v>
      </c>
      <c r="I2849" s="3" t="s">
        <v>65</v>
      </c>
      <c r="J2849" s="3" t="s">
        <v>123</v>
      </c>
      <c r="K2849" s="2" t="str">
        <f aca="false">CONCATENATE(I2849," ",J2849)</f>
        <v>Zora nemoralis</v>
      </c>
      <c r="L2849" s="3" t="n">
        <f aca="false">SUM(P2849:U2849)</f>
        <v>1</v>
      </c>
      <c r="M2849" s="11" t="n">
        <f aca="false">(L2849/(F2849*G2849)*25)*4</f>
        <v>4</v>
      </c>
      <c r="N2849" s="1" t="s">
        <v>30</v>
      </c>
      <c r="O2849" s="1" t="s">
        <v>31</v>
      </c>
      <c r="P2849" s="3" t="n">
        <v>1</v>
      </c>
      <c r="Q2849" s="3" t="n">
        <v>0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f aca="false">SUM(P2849:Q2849)</f>
        <v>1</v>
      </c>
      <c r="W2849" s="3" t="n">
        <f aca="false">SUM(R2849:T2849)</f>
        <v>0</v>
      </c>
      <c r="X2849" s="22" t="n">
        <v>41793</v>
      </c>
      <c r="Y2849" s="22" t="n">
        <v>41798</v>
      </c>
    </row>
    <row r="2850" customFormat="false" ht="14.25" hidden="false" customHeight="false" outlineLevel="0" collapsed="false">
      <c r="A2850" s="1" t="n">
        <v>2014</v>
      </c>
      <c r="B2850" s="1" t="n">
        <v>1</v>
      </c>
      <c r="C2850" s="2" t="s">
        <v>25</v>
      </c>
      <c r="D2850" s="3" t="s">
        <v>26</v>
      </c>
      <c r="E2850" s="3" t="n">
        <v>3</v>
      </c>
      <c r="F2850" s="1" t="n">
        <f aca="false">Y2850-X2850</f>
        <v>5</v>
      </c>
      <c r="G2850" s="1" t="n">
        <v>5</v>
      </c>
      <c r="H2850" s="3" t="s">
        <v>135</v>
      </c>
      <c r="I2850" s="3" t="s">
        <v>136</v>
      </c>
      <c r="J2850" s="3" t="s">
        <v>137</v>
      </c>
      <c r="K2850" s="2" t="str">
        <f aca="false">CONCATENATE(I2850," ",J2850)</f>
        <v>Thanatus sabulosus</v>
      </c>
      <c r="L2850" s="3" t="n">
        <f aca="false">SUM(P2850:U2850)</f>
        <v>1</v>
      </c>
      <c r="M2850" s="11" t="n">
        <f aca="false">(L2850/(F2850*G2850)*25)*4</f>
        <v>4</v>
      </c>
      <c r="N2850" s="1" t="s">
        <v>30</v>
      </c>
      <c r="O2850" s="1" t="s">
        <v>31</v>
      </c>
      <c r="P2850" s="3" t="n">
        <v>1</v>
      </c>
      <c r="Q2850" s="3" t="n">
        <v>0</v>
      </c>
      <c r="R2850" s="3" t="n">
        <v>0</v>
      </c>
      <c r="S2850" s="3" t="n">
        <v>0</v>
      </c>
      <c r="T2850" s="3" t="n">
        <v>0</v>
      </c>
      <c r="U2850" s="3" t="n">
        <v>0</v>
      </c>
      <c r="V2850" s="3" t="n">
        <f aca="false">SUM(P2850:Q2850)</f>
        <v>1</v>
      </c>
      <c r="W2850" s="3" t="n">
        <f aca="false">SUM(R2850:T2850)</f>
        <v>0</v>
      </c>
      <c r="X2850" s="22" t="n">
        <v>41793</v>
      </c>
      <c r="Y2850" s="22" t="n">
        <v>41798</v>
      </c>
    </row>
    <row r="2851" customFormat="false" ht="14.25" hidden="false" customHeight="false" outlineLevel="0" collapsed="false">
      <c r="A2851" s="1" t="n">
        <v>2014</v>
      </c>
      <c r="B2851" s="1" t="n">
        <v>1</v>
      </c>
      <c r="C2851" s="2" t="s">
        <v>25</v>
      </c>
      <c r="D2851" s="3" t="s">
        <v>26</v>
      </c>
      <c r="E2851" s="3" t="n">
        <v>3</v>
      </c>
      <c r="F2851" s="1" t="n">
        <f aca="false">Y2851-X2851</f>
        <v>5</v>
      </c>
      <c r="G2851" s="1" t="n">
        <v>5</v>
      </c>
      <c r="H2851" s="3" t="s">
        <v>92</v>
      </c>
      <c r="I2851" s="3" t="s">
        <v>171</v>
      </c>
      <c r="J2851" s="3" t="s">
        <v>172</v>
      </c>
      <c r="K2851" s="2" t="str">
        <f aca="false">CONCATENATE(I2851," ",J2851)</f>
        <v>Euophrys frontalis</v>
      </c>
      <c r="L2851" s="3" t="n">
        <f aca="false">SUM(P2851:U2851)</f>
        <v>1</v>
      </c>
      <c r="M2851" s="11" t="n">
        <f aca="false">(L2851/(F2851*G2851)*25)*4</f>
        <v>4</v>
      </c>
      <c r="N2851" s="1" t="s">
        <v>30</v>
      </c>
      <c r="O2851" s="1" t="s">
        <v>35</v>
      </c>
      <c r="P2851" s="3" t="n">
        <v>0</v>
      </c>
      <c r="Q2851" s="3" t="n">
        <v>1</v>
      </c>
      <c r="R2851" s="3" t="n">
        <v>0</v>
      </c>
      <c r="S2851" s="3" t="n">
        <v>0</v>
      </c>
      <c r="T2851" s="3" t="n">
        <v>0</v>
      </c>
      <c r="U2851" s="3" t="n">
        <v>0</v>
      </c>
      <c r="V2851" s="3" t="n">
        <f aca="false">SUM(P2851:Q2851)</f>
        <v>1</v>
      </c>
      <c r="W2851" s="3" t="n">
        <f aca="false">SUM(R2851:T2851)</f>
        <v>0</v>
      </c>
      <c r="X2851" s="22" t="n">
        <v>41793</v>
      </c>
      <c r="Y2851" s="22" t="n">
        <v>41798</v>
      </c>
    </row>
    <row r="2852" customFormat="false" ht="14.25" hidden="false" customHeight="false" outlineLevel="0" collapsed="false">
      <c r="A2852" s="1" t="n">
        <v>2014</v>
      </c>
      <c r="B2852" s="1" t="n">
        <v>1</v>
      </c>
      <c r="C2852" s="2" t="s">
        <v>25</v>
      </c>
      <c r="D2852" s="3" t="s">
        <v>26</v>
      </c>
      <c r="E2852" s="3" t="n">
        <v>3</v>
      </c>
      <c r="F2852" s="1" t="n">
        <f aca="false">Y2852-X2852</f>
        <v>5</v>
      </c>
      <c r="G2852" s="1" t="n">
        <v>5</v>
      </c>
      <c r="H2852" s="3" t="s">
        <v>72</v>
      </c>
      <c r="I2852" s="3" t="s">
        <v>73</v>
      </c>
      <c r="J2852" s="3" t="s">
        <v>74</v>
      </c>
      <c r="K2852" s="2" t="str">
        <f aca="false">CONCATENATE(I2852," ",J2852)</f>
        <v>Zelotes subterraneus</v>
      </c>
      <c r="L2852" s="3" t="n">
        <f aca="false">SUM(P2852:U2852)</f>
        <v>1</v>
      </c>
      <c r="M2852" s="11" t="n">
        <f aca="false">(L2852/(F2852*G2852)*25)*4</f>
        <v>4</v>
      </c>
      <c r="N2852" s="1" t="s">
        <v>30</v>
      </c>
      <c r="O2852" s="1" t="s">
        <v>31</v>
      </c>
      <c r="P2852" s="3" t="n">
        <v>1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f aca="false">SUM(P2852:Q2852)</f>
        <v>1</v>
      </c>
      <c r="W2852" s="3" t="n">
        <f aca="false">SUM(R2852:T2852)</f>
        <v>0</v>
      </c>
      <c r="X2852" s="22" t="n">
        <v>41793</v>
      </c>
      <c r="Y2852" s="22" t="n">
        <v>41798</v>
      </c>
    </row>
    <row r="2853" customFormat="false" ht="14.25" hidden="false" customHeight="false" outlineLevel="0" collapsed="false">
      <c r="A2853" s="1" t="n">
        <v>2014</v>
      </c>
      <c r="B2853" s="1" t="n">
        <v>1</v>
      </c>
      <c r="C2853" s="2" t="s">
        <v>25</v>
      </c>
      <c r="D2853" s="3" t="s">
        <v>26</v>
      </c>
      <c r="E2853" s="3" t="n">
        <v>3</v>
      </c>
      <c r="F2853" s="1" t="n">
        <f aca="false">Y2853-X2853</f>
        <v>5</v>
      </c>
      <c r="G2853" s="1" t="n">
        <v>5</v>
      </c>
      <c r="H2853" s="3" t="s">
        <v>72</v>
      </c>
      <c r="I2853" s="3" t="s">
        <v>73</v>
      </c>
      <c r="J2853" s="3" t="s">
        <v>38</v>
      </c>
      <c r="K2853" s="2" t="str">
        <f aca="false">CONCATENATE(I2853," ",J2853)</f>
        <v>Zelotes sp</v>
      </c>
      <c r="L2853" s="3" t="n">
        <f aca="false">SUM(P2853:U2853)</f>
        <v>1</v>
      </c>
      <c r="M2853" s="11" t="n">
        <f aca="false">(L2853/(F2853*G2853)*25)*4</f>
        <v>4</v>
      </c>
      <c r="N2853" s="1" t="s">
        <v>19</v>
      </c>
      <c r="O2853" s="1" t="s">
        <v>35</v>
      </c>
      <c r="P2853" s="3" t="n">
        <v>0</v>
      </c>
      <c r="Q2853" s="3" t="n">
        <v>0</v>
      </c>
      <c r="R2853" s="3" t="n">
        <v>0</v>
      </c>
      <c r="S2853" s="3" t="n">
        <v>1</v>
      </c>
      <c r="T2853" s="3" t="n">
        <v>0</v>
      </c>
      <c r="U2853" s="3" t="n">
        <v>0</v>
      </c>
      <c r="V2853" s="3" t="n">
        <f aca="false">SUM(P2853:Q2853)</f>
        <v>0</v>
      </c>
      <c r="W2853" s="3" t="n">
        <f aca="false">SUM(R2853:T2853)</f>
        <v>1</v>
      </c>
      <c r="X2853" s="22" t="n">
        <v>41793</v>
      </c>
      <c r="Y2853" s="22" t="n">
        <v>41798</v>
      </c>
    </row>
    <row r="2854" customFormat="false" ht="14.25" hidden="false" customHeight="false" outlineLevel="0" collapsed="false">
      <c r="A2854" s="1" t="n">
        <v>2014</v>
      </c>
      <c r="B2854" s="1" t="n">
        <v>1</v>
      </c>
      <c r="C2854" s="2" t="s">
        <v>25</v>
      </c>
      <c r="D2854" s="3" t="s">
        <v>26</v>
      </c>
      <c r="E2854" s="3" t="n">
        <v>3</v>
      </c>
      <c r="F2854" s="1" t="n">
        <f aca="false">Y2854-X2854</f>
        <v>5</v>
      </c>
      <c r="G2854" s="1" t="n">
        <v>5</v>
      </c>
      <c r="H2854" s="3" t="s">
        <v>32</v>
      </c>
      <c r="I2854" s="3" t="s">
        <v>169</v>
      </c>
      <c r="J2854" s="3" t="s">
        <v>170</v>
      </c>
      <c r="K2854" s="2" t="str">
        <f aca="false">CONCATENATE(I2854," ",J2854)</f>
        <v>Abacoproeces saltuum</v>
      </c>
      <c r="L2854" s="3" t="n">
        <f aca="false">SUM(P2854:U2854)</f>
        <v>1</v>
      </c>
      <c r="M2854" s="11" t="n">
        <f aca="false">(L2854/(F2854*G2854)*25)*4</f>
        <v>4</v>
      </c>
      <c r="N2854" s="1" t="s">
        <v>30</v>
      </c>
      <c r="O2854" s="1" t="s">
        <v>31</v>
      </c>
      <c r="P2854" s="3" t="n">
        <v>1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f aca="false">SUM(P2854:Q2854)</f>
        <v>1</v>
      </c>
      <c r="W2854" s="3" t="n">
        <f aca="false">SUM(R2854:T2854)</f>
        <v>0</v>
      </c>
      <c r="X2854" s="22" t="n">
        <v>41793</v>
      </c>
      <c r="Y2854" s="22" t="n">
        <v>41798</v>
      </c>
    </row>
    <row r="2855" customFormat="false" ht="14.25" hidden="false" customHeight="false" outlineLevel="0" collapsed="false">
      <c r="A2855" s="1" t="n">
        <v>2014</v>
      </c>
      <c r="B2855" s="1" t="n">
        <v>1</v>
      </c>
      <c r="C2855" s="2" t="s">
        <v>25</v>
      </c>
      <c r="D2855" s="3" t="s">
        <v>26</v>
      </c>
      <c r="E2855" s="3" t="n">
        <v>3</v>
      </c>
      <c r="F2855" s="1" t="n">
        <f aca="false">Y2855-X2855</f>
        <v>5</v>
      </c>
      <c r="G2855" s="1" t="n">
        <v>5</v>
      </c>
      <c r="H2855" s="3" t="s">
        <v>32</v>
      </c>
      <c r="I2855" s="3" t="s">
        <v>154</v>
      </c>
      <c r="J2855" s="3" t="s">
        <v>155</v>
      </c>
      <c r="K2855" s="2" t="str">
        <f aca="false">CONCATENATE(I2855," ",J2855)</f>
        <v>Pocadicnemis pumila</v>
      </c>
      <c r="L2855" s="3" t="n">
        <f aca="false">SUM(P2855:U2855)</f>
        <v>2</v>
      </c>
      <c r="M2855" s="11" t="n">
        <f aca="false">(L2855/(F2855*G2855)*25)*4</f>
        <v>8</v>
      </c>
      <c r="N2855" s="1" t="s">
        <v>30</v>
      </c>
      <c r="O2855" s="1" t="s">
        <v>31</v>
      </c>
      <c r="P2855" s="3" t="n">
        <v>2</v>
      </c>
      <c r="Q2855" s="3" t="n">
        <v>0</v>
      </c>
      <c r="R2855" s="3" t="n">
        <v>0</v>
      </c>
      <c r="S2855" s="3" t="n">
        <v>0</v>
      </c>
      <c r="T2855" s="3" t="n">
        <v>0</v>
      </c>
      <c r="U2855" s="3" t="n">
        <v>0</v>
      </c>
      <c r="V2855" s="3" t="n">
        <f aca="false">SUM(P2855:Q2855)</f>
        <v>2</v>
      </c>
      <c r="W2855" s="3" t="n">
        <f aca="false">SUM(R2855:T2855)</f>
        <v>0</v>
      </c>
      <c r="X2855" s="22" t="n">
        <v>41793</v>
      </c>
      <c r="Y2855" s="22" t="n">
        <v>41798</v>
      </c>
    </row>
    <row r="2856" customFormat="false" ht="14.25" hidden="false" customHeight="false" outlineLevel="0" collapsed="false">
      <c r="A2856" s="1" t="n">
        <v>2014</v>
      </c>
      <c r="B2856" s="1" t="n">
        <v>1</v>
      </c>
      <c r="C2856" s="2" t="s">
        <v>25</v>
      </c>
      <c r="D2856" s="3" t="s">
        <v>26</v>
      </c>
      <c r="E2856" s="3" t="n">
        <v>3</v>
      </c>
      <c r="F2856" s="1" t="n">
        <f aca="false">Y2856-X2856</f>
        <v>5</v>
      </c>
      <c r="G2856" s="1" t="n">
        <v>5</v>
      </c>
      <c r="H2856" s="3" t="s">
        <v>32</v>
      </c>
      <c r="I2856" s="3" t="s">
        <v>57</v>
      </c>
      <c r="J2856" s="3" t="s">
        <v>38</v>
      </c>
      <c r="K2856" s="2" t="str">
        <f aca="false">CONCATENATE(I2856," ",J2856)</f>
        <v>Gen sp</v>
      </c>
      <c r="L2856" s="3" t="n">
        <f aca="false">SUM(P2856:U2856)</f>
        <v>1</v>
      </c>
      <c r="M2856" s="11" t="n">
        <f aca="false">(L2856/(F2856*G2856)*25)*4</f>
        <v>4</v>
      </c>
      <c r="N2856" s="1" t="s">
        <v>19</v>
      </c>
      <c r="O2856" s="1" t="s">
        <v>54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1</v>
      </c>
      <c r="U2856" s="3" t="n">
        <v>0</v>
      </c>
      <c r="V2856" s="3" t="n">
        <f aca="false">SUM(P2856:Q2856)</f>
        <v>0</v>
      </c>
      <c r="W2856" s="3" t="n">
        <f aca="false">SUM(R2856:T2856)</f>
        <v>1</v>
      </c>
      <c r="X2856" s="22" t="n">
        <v>41793</v>
      </c>
      <c r="Y2856" s="22" t="n">
        <v>41798</v>
      </c>
    </row>
    <row r="2857" customFormat="false" ht="14.25" hidden="false" customHeight="false" outlineLevel="0" collapsed="false">
      <c r="A2857" s="1" t="n">
        <v>2014</v>
      </c>
      <c r="B2857" s="1" t="n">
        <v>1</v>
      </c>
      <c r="C2857" s="2" t="s">
        <v>25</v>
      </c>
      <c r="D2857" s="3" t="s">
        <v>26</v>
      </c>
      <c r="E2857" s="3" t="n">
        <v>2</v>
      </c>
      <c r="F2857" s="1" t="n">
        <f aca="false">Y2857-X2857</f>
        <v>5</v>
      </c>
      <c r="G2857" s="1" t="n">
        <v>5</v>
      </c>
      <c r="H2857" s="3" t="s">
        <v>48</v>
      </c>
      <c r="I2857" s="3" t="s">
        <v>67</v>
      </c>
      <c r="J2857" s="3" t="s">
        <v>127</v>
      </c>
      <c r="K2857" s="2" t="str">
        <f aca="false">CONCATENATE(I2857," ",J2857)</f>
        <v>Pardosa lugubris</v>
      </c>
      <c r="L2857" s="3" t="n">
        <f aca="false">SUM(P2857:U2857)</f>
        <v>3</v>
      </c>
      <c r="M2857" s="11" t="n">
        <f aca="false">(L2857/(F2857*G2857)*25)*4</f>
        <v>12</v>
      </c>
      <c r="N2857" s="1" t="s">
        <v>30</v>
      </c>
      <c r="O2857" s="1" t="s">
        <v>31</v>
      </c>
      <c r="P2857" s="3" t="n">
        <v>3</v>
      </c>
      <c r="Q2857" s="3" t="n">
        <v>0</v>
      </c>
      <c r="R2857" s="3" t="n">
        <v>0</v>
      </c>
      <c r="S2857" s="3" t="n">
        <v>0</v>
      </c>
      <c r="T2857" s="3" t="n">
        <v>0</v>
      </c>
      <c r="U2857" s="3" t="n">
        <v>0</v>
      </c>
      <c r="V2857" s="3" t="n">
        <f aca="false">SUM(P2857:Q2857)</f>
        <v>3</v>
      </c>
      <c r="W2857" s="3" t="n">
        <f aca="false">SUM(R2857:T2857)</f>
        <v>0</v>
      </c>
      <c r="X2857" s="22" t="n">
        <v>41793</v>
      </c>
      <c r="Y2857" s="22" t="n">
        <v>41798</v>
      </c>
    </row>
    <row r="2858" customFormat="false" ht="14.25" hidden="false" customHeight="false" outlineLevel="0" collapsed="false">
      <c r="A2858" s="1" t="n">
        <v>2014</v>
      </c>
      <c r="B2858" s="1" t="n">
        <v>1</v>
      </c>
      <c r="C2858" s="2" t="s">
        <v>25</v>
      </c>
      <c r="D2858" s="3" t="s">
        <v>26</v>
      </c>
      <c r="E2858" s="3" t="n">
        <v>2</v>
      </c>
      <c r="F2858" s="1" t="n">
        <f aca="false">Y2858-X2858</f>
        <v>5</v>
      </c>
      <c r="G2858" s="1" t="n">
        <v>5</v>
      </c>
      <c r="H2858" s="3" t="s">
        <v>138</v>
      </c>
      <c r="I2858" s="3" t="s">
        <v>205</v>
      </c>
      <c r="J2858" s="3" t="s">
        <v>206</v>
      </c>
      <c r="K2858" s="2" t="str">
        <f aca="false">CONCATENATE(I2858," ",J2858)</f>
        <v>Clubiona caerulescens</v>
      </c>
      <c r="L2858" s="3" t="n">
        <f aca="false">SUM(P2858:U2858)</f>
        <v>1</v>
      </c>
      <c r="M2858" s="11" t="n">
        <f aca="false">(L2858/(F2858*G2858)*25)*4</f>
        <v>4</v>
      </c>
      <c r="N2858" s="1" t="s">
        <v>30</v>
      </c>
      <c r="O2858" s="1" t="s">
        <v>31</v>
      </c>
      <c r="P2858" s="3" t="n">
        <v>1</v>
      </c>
      <c r="Q2858" s="3" t="n">
        <v>0</v>
      </c>
      <c r="R2858" s="3" t="n">
        <v>0</v>
      </c>
      <c r="S2858" s="3" t="n">
        <v>0</v>
      </c>
      <c r="T2858" s="3" t="n">
        <v>0</v>
      </c>
      <c r="U2858" s="3" t="n">
        <v>0</v>
      </c>
      <c r="V2858" s="3" t="n">
        <f aca="false">SUM(P2858:Q2858)</f>
        <v>1</v>
      </c>
      <c r="W2858" s="3" t="n">
        <f aca="false">SUM(R2858:T2858)</f>
        <v>0</v>
      </c>
      <c r="X2858" s="22" t="n">
        <v>41793</v>
      </c>
      <c r="Y2858" s="22" t="n">
        <v>41798</v>
      </c>
    </row>
    <row r="2859" customFormat="false" ht="14.25" hidden="false" customHeight="false" outlineLevel="0" collapsed="false">
      <c r="A2859" s="1" t="n">
        <v>2014</v>
      </c>
      <c r="B2859" s="1" t="n">
        <v>1</v>
      </c>
      <c r="C2859" s="2" t="s">
        <v>25</v>
      </c>
      <c r="D2859" s="3" t="s">
        <v>26</v>
      </c>
      <c r="E2859" s="3" t="n">
        <v>2</v>
      </c>
      <c r="F2859" s="1" t="n">
        <f aca="false">Y2859-X2859</f>
        <v>5</v>
      </c>
      <c r="G2859" s="1" t="n">
        <v>5</v>
      </c>
      <c r="H2859" s="3" t="s">
        <v>72</v>
      </c>
      <c r="I2859" s="3" t="s">
        <v>86</v>
      </c>
      <c r="J2859" s="3" t="s">
        <v>87</v>
      </c>
      <c r="K2859" s="2" t="str">
        <f aca="false">CONCATENATE(I2859," ",J2859)</f>
        <v>Haplodrassus soerenseni</v>
      </c>
      <c r="L2859" s="3" t="n">
        <f aca="false">SUM(P2859:U2859)</f>
        <v>1</v>
      </c>
      <c r="M2859" s="11" t="n">
        <f aca="false">(L2859/(F2859*G2859)*25)*4</f>
        <v>4</v>
      </c>
      <c r="N2859" s="1" t="s">
        <v>30</v>
      </c>
      <c r="O2859" s="1" t="s">
        <v>31</v>
      </c>
      <c r="P2859" s="3" t="n">
        <v>1</v>
      </c>
      <c r="Q2859" s="3" t="n">
        <v>0</v>
      </c>
      <c r="R2859" s="3" t="n">
        <v>0</v>
      </c>
      <c r="S2859" s="3" t="n">
        <v>0</v>
      </c>
      <c r="T2859" s="3" t="n">
        <v>0</v>
      </c>
      <c r="U2859" s="3" t="n">
        <v>0</v>
      </c>
      <c r="V2859" s="3" t="n">
        <f aca="false">SUM(P2859:Q2859)</f>
        <v>1</v>
      </c>
      <c r="W2859" s="3" t="n">
        <f aca="false">SUM(R2859:T2859)</f>
        <v>0</v>
      </c>
      <c r="X2859" s="22" t="n">
        <v>41793</v>
      </c>
      <c r="Y2859" s="22" t="n">
        <v>41798</v>
      </c>
    </row>
    <row r="2860" customFormat="false" ht="14.25" hidden="false" customHeight="false" outlineLevel="0" collapsed="false">
      <c r="A2860" s="1" t="n">
        <v>2014</v>
      </c>
      <c r="B2860" s="1" t="n">
        <v>1</v>
      </c>
      <c r="C2860" s="2" t="s">
        <v>25</v>
      </c>
      <c r="D2860" s="3" t="s">
        <v>26</v>
      </c>
      <c r="E2860" s="3" t="n">
        <v>2</v>
      </c>
      <c r="F2860" s="1" t="n">
        <f aca="false">Y2860-X2860</f>
        <v>5</v>
      </c>
      <c r="G2860" s="1" t="n">
        <v>5</v>
      </c>
      <c r="H2860" s="3" t="s">
        <v>48</v>
      </c>
      <c r="I2860" s="3" t="s">
        <v>49</v>
      </c>
      <c r="J2860" s="3" t="s">
        <v>104</v>
      </c>
      <c r="K2860" s="2" t="str">
        <f aca="false">CONCATENATE(I2860," ",J2860)</f>
        <v>Alopecosa taeniata</v>
      </c>
      <c r="L2860" s="3" t="n">
        <f aca="false">SUM(P2860:U2860)</f>
        <v>1</v>
      </c>
      <c r="M2860" s="11" t="n">
        <f aca="false">(L2860/(F2860*G2860)*25)*4</f>
        <v>4</v>
      </c>
      <c r="N2860" s="1" t="s">
        <v>30</v>
      </c>
      <c r="O2860" s="1" t="s">
        <v>31</v>
      </c>
      <c r="P2860" s="3" t="n">
        <v>1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f aca="false">SUM(P2860:Q2860)</f>
        <v>1</v>
      </c>
      <c r="W2860" s="3" t="n">
        <f aca="false">SUM(R2860:T2860)</f>
        <v>0</v>
      </c>
      <c r="X2860" s="22" t="n">
        <v>41793</v>
      </c>
      <c r="Y2860" s="22" t="n">
        <v>41798</v>
      </c>
    </row>
    <row r="2861" customFormat="false" ht="14.25" hidden="false" customHeight="false" outlineLevel="0" collapsed="false">
      <c r="A2861" s="1" t="n">
        <v>2014</v>
      </c>
      <c r="B2861" s="1" t="n">
        <v>1</v>
      </c>
      <c r="C2861" s="2" t="s">
        <v>25</v>
      </c>
      <c r="D2861" s="3" t="s">
        <v>26</v>
      </c>
      <c r="E2861" s="3" t="n">
        <v>2</v>
      </c>
      <c r="F2861" s="1" t="n">
        <f aca="false">Y2861-X2861</f>
        <v>5</v>
      </c>
      <c r="G2861" s="1" t="n">
        <v>5</v>
      </c>
      <c r="H2861" s="3" t="s">
        <v>48</v>
      </c>
      <c r="I2861" s="3" t="s">
        <v>49</v>
      </c>
      <c r="J2861" s="3" t="s">
        <v>104</v>
      </c>
      <c r="K2861" s="2" t="str">
        <f aca="false">CONCATENATE(I2861," ",J2861)</f>
        <v>Alopecosa taeniata</v>
      </c>
      <c r="L2861" s="3" t="n">
        <f aca="false">SUM(P2861:U2861)</f>
        <v>1</v>
      </c>
      <c r="M2861" s="11" t="n">
        <f aca="false">(L2861/(F2861*G2861)*25)*4</f>
        <v>4</v>
      </c>
      <c r="N2861" s="1" t="s">
        <v>30</v>
      </c>
      <c r="O2861" s="1" t="s">
        <v>35</v>
      </c>
      <c r="P2861" s="3" t="n">
        <v>0</v>
      </c>
      <c r="Q2861" s="3" t="n">
        <v>1</v>
      </c>
      <c r="R2861" s="3" t="n">
        <v>0</v>
      </c>
      <c r="S2861" s="3" t="n">
        <v>0</v>
      </c>
      <c r="T2861" s="3" t="n">
        <v>0</v>
      </c>
      <c r="U2861" s="3" t="n">
        <v>0</v>
      </c>
      <c r="V2861" s="3" t="n">
        <f aca="false">SUM(P2861:Q2861)</f>
        <v>1</v>
      </c>
      <c r="W2861" s="3" t="n">
        <f aca="false">SUM(R2861:T2861)</f>
        <v>0</v>
      </c>
      <c r="X2861" s="22" t="n">
        <v>41793</v>
      </c>
      <c r="Y2861" s="22" t="n">
        <v>41798</v>
      </c>
    </row>
    <row r="2862" customFormat="false" ht="14.25" hidden="false" customHeight="false" outlineLevel="0" collapsed="false">
      <c r="A2862" s="1" t="n">
        <v>2014</v>
      </c>
      <c r="B2862" s="1" t="n">
        <v>1</v>
      </c>
      <c r="C2862" s="2" t="s">
        <v>25</v>
      </c>
      <c r="D2862" s="3" t="s">
        <v>26</v>
      </c>
      <c r="E2862" s="3" t="n">
        <v>2</v>
      </c>
      <c r="F2862" s="1" t="n">
        <f aca="false">Y2862-X2862</f>
        <v>5</v>
      </c>
      <c r="G2862" s="1" t="n">
        <v>5</v>
      </c>
      <c r="H2862" s="3" t="s">
        <v>48</v>
      </c>
      <c r="I2862" s="3" t="s">
        <v>67</v>
      </c>
      <c r="J2862" s="3" t="s">
        <v>127</v>
      </c>
      <c r="K2862" s="2" t="str">
        <f aca="false">CONCATENATE(I2862," ",J2862)</f>
        <v>Pardosa lugubris</v>
      </c>
      <c r="L2862" s="3" t="n">
        <f aca="false">SUM(P2862:U2862)</f>
        <v>5</v>
      </c>
      <c r="M2862" s="11" t="n">
        <f aca="false">(L2862/(F2862*G2862)*25)*4</f>
        <v>20</v>
      </c>
      <c r="N2862" s="1" t="s">
        <v>30</v>
      </c>
      <c r="O2862" s="1" t="s">
        <v>31</v>
      </c>
      <c r="P2862" s="3" t="n">
        <v>5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f aca="false">SUM(P2862:Q2862)</f>
        <v>5</v>
      </c>
      <c r="W2862" s="3" t="n">
        <f aca="false">SUM(R2862:T2862)</f>
        <v>0</v>
      </c>
      <c r="X2862" s="22" t="n">
        <v>41793</v>
      </c>
      <c r="Y2862" s="22" t="n">
        <v>41798</v>
      </c>
    </row>
    <row r="2863" customFormat="false" ht="14.25" hidden="false" customHeight="false" outlineLevel="0" collapsed="false">
      <c r="A2863" s="1" t="n">
        <v>2014</v>
      </c>
      <c r="B2863" s="1" t="n">
        <v>1</v>
      </c>
      <c r="C2863" s="2" t="s">
        <v>25</v>
      </c>
      <c r="D2863" s="3" t="s">
        <v>26</v>
      </c>
      <c r="E2863" s="3" t="n">
        <v>2</v>
      </c>
      <c r="F2863" s="1" t="n">
        <f aca="false">Y2863-X2863</f>
        <v>5</v>
      </c>
      <c r="G2863" s="1" t="n">
        <v>5</v>
      </c>
      <c r="H2863" s="3" t="s">
        <v>32</v>
      </c>
      <c r="I2863" s="3" t="s">
        <v>169</v>
      </c>
      <c r="J2863" s="3" t="s">
        <v>170</v>
      </c>
      <c r="K2863" s="2" t="str">
        <f aca="false">CONCATENATE(I2863," ",J2863)</f>
        <v>Abacoproeces saltuum</v>
      </c>
      <c r="L2863" s="3" t="n">
        <f aca="false">SUM(P2863:U2863)</f>
        <v>2</v>
      </c>
      <c r="M2863" s="11" t="n">
        <f aca="false">(L2863/(F2863*G2863)*25)*4</f>
        <v>8</v>
      </c>
      <c r="N2863" s="1" t="s">
        <v>30</v>
      </c>
      <c r="O2863" s="1" t="s">
        <v>31</v>
      </c>
      <c r="P2863" s="3" t="n">
        <v>2</v>
      </c>
      <c r="Q2863" s="3" t="n">
        <v>0</v>
      </c>
      <c r="R2863" s="3" t="n">
        <v>0</v>
      </c>
      <c r="S2863" s="3" t="n">
        <v>0</v>
      </c>
      <c r="T2863" s="3" t="n">
        <v>0</v>
      </c>
      <c r="U2863" s="3" t="n">
        <v>0</v>
      </c>
      <c r="V2863" s="3" t="n">
        <f aca="false">SUM(P2863:Q2863)</f>
        <v>2</v>
      </c>
      <c r="W2863" s="3" t="n">
        <f aca="false">SUM(R2863:T2863)</f>
        <v>0</v>
      </c>
      <c r="X2863" s="22" t="n">
        <v>41793</v>
      </c>
      <c r="Y2863" s="22" t="n">
        <v>41798</v>
      </c>
    </row>
    <row r="2864" customFormat="false" ht="14.25" hidden="false" customHeight="false" outlineLevel="0" collapsed="false">
      <c r="A2864" s="1" t="n">
        <v>2014</v>
      </c>
      <c r="B2864" s="1" t="n">
        <v>1</v>
      </c>
      <c r="C2864" s="2" t="s">
        <v>25</v>
      </c>
      <c r="D2864" s="3" t="s">
        <v>26</v>
      </c>
      <c r="E2864" s="3" t="n">
        <v>1</v>
      </c>
      <c r="F2864" s="1" t="n">
        <f aca="false">Y2864-X2864</f>
        <v>5</v>
      </c>
      <c r="G2864" s="1" t="n">
        <v>5</v>
      </c>
      <c r="H2864" s="3" t="s">
        <v>48</v>
      </c>
      <c r="I2864" s="3" t="s">
        <v>67</v>
      </c>
      <c r="J2864" s="3" t="s">
        <v>127</v>
      </c>
      <c r="K2864" s="2" t="str">
        <f aca="false">CONCATENATE(I2864," ",J2864)</f>
        <v>Pardosa lugubris</v>
      </c>
      <c r="L2864" s="3" t="n">
        <f aca="false">SUM(P2864:U2864)</f>
        <v>3</v>
      </c>
      <c r="M2864" s="11" t="n">
        <f aca="false">(L2864/(F2864*G2864)*25)*4</f>
        <v>12</v>
      </c>
      <c r="N2864" s="1" t="s">
        <v>30</v>
      </c>
      <c r="O2864" s="1" t="s">
        <v>31</v>
      </c>
      <c r="P2864" s="3" t="n">
        <v>3</v>
      </c>
      <c r="Q2864" s="3" t="n">
        <v>0</v>
      </c>
      <c r="R2864" s="3" t="n">
        <v>0</v>
      </c>
      <c r="S2864" s="3" t="n">
        <v>0</v>
      </c>
      <c r="T2864" s="3" t="n">
        <v>0</v>
      </c>
      <c r="U2864" s="3" t="n">
        <v>0</v>
      </c>
      <c r="V2864" s="3" t="n">
        <f aca="false">SUM(P2864:Q2864)</f>
        <v>3</v>
      </c>
      <c r="W2864" s="3" t="n">
        <f aca="false">SUM(R2864:T2864)</f>
        <v>0</v>
      </c>
      <c r="X2864" s="22" t="n">
        <v>41793</v>
      </c>
      <c r="Y2864" s="22" t="n">
        <v>41798</v>
      </c>
    </row>
    <row r="2865" customFormat="false" ht="14.25" hidden="false" customHeight="false" outlineLevel="0" collapsed="false">
      <c r="A2865" s="1" t="n">
        <v>2014</v>
      </c>
      <c r="B2865" s="1" t="n">
        <v>1</v>
      </c>
      <c r="C2865" s="2" t="s">
        <v>25</v>
      </c>
      <c r="D2865" s="3" t="s">
        <v>26</v>
      </c>
      <c r="E2865" s="3" t="n">
        <v>1</v>
      </c>
      <c r="F2865" s="1" t="n">
        <f aca="false">Y2865-X2865</f>
        <v>5</v>
      </c>
      <c r="G2865" s="1" t="n">
        <v>5</v>
      </c>
      <c r="H2865" s="3" t="s">
        <v>48</v>
      </c>
      <c r="I2865" s="3" t="s">
        <v>67</v>
      </c>
      <c r="J2865" s="3" t="s">
        <v>127</v>
      </c>
      <c r="K2865" s="2" t="str">
        <f aca="false">CONCATENATE(I2865," ",J2865)</f>
        <v>Pardosa lugubris</v>
      </c>
      <c r="L2865" s="3" t="n">
        <f aca="false">SUM(P2865:U2865)</f>
        <v>1</v>
      </c>
      <c r="M2865" s="11" t="n">
        <f aca="false">(L2865/(F2865*G2865)*25)*4</f>
        <v>4</v>
      </c>
      <c r="N2865" s="1" t="s">
        <v>30</v>
      </c>
      <c r="O2865" s="1" t="s">
        <v>35</v>
      </c>
      <c r="P2865" s="3" t="n">
        <v>0</v>
      </c>
      <c r="Q2865" s="3" t="n">
        <v>1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f aca="false">SUM(P2865:Q2865)</f>
        <v>1</v>
      </c>
      <c r="W2865" s="3" t="n">
        <f aca="false">SUM(R2865:T2865)</f>
        <v>0</v>
      </c>
      <c r="X2865" s="22" t="n">
        <v>41793</v>
      </c>
      <c r="Y2865" s="22" t="n">
        <v>41798</v>
      </c>
    </row>
    <row r="2866" customFormat="false" ht="14.25" hidden="false" customHeight="false" outlineLevel="0" collapsed="false">
      <c r="A2866" s="1" t="n">
        <v>2014</v>
      </c>
      <c r="B2866" s="1" t="n">
        <v>1</v>
      </c>
      <c r="C2866" s="2" t="s">
        <v>25</v>
      </c>
      <c r="D2866" s="3" t="s">
        <v>26</v>
      </c>
      <c r="E2866" s="3" t="n">
        <v>1</v>
      </c>
      <c r="F2866" s="1" t="n">
        <f aca="false">Y2866-X2866</f>
        <v>5</v>
      </c>
      <c r="G2866" s="1" t="n">
        <v>5</v>
      </c>
      <c r="H2866" s="3" t="s">
        <v>48</v>
      </c>
      <c r="I2866" s="3" t="s">
        <v>49</v>
      </c>
      <c r="J2866" s="3" t="s">
        <v>104</v>
      </c>
      <c r="K2866" s="2" t="str">
        <f aca="false">CONCATENATE(I2866," ",J2866)</f>
        <v>Alopecosa taeniata</v>
      </c>
      <c r="L2866" s="3" t="n">
        <f aca="false">SUM(P2866:U2866)</f>
        <v>2</v>
      </c>
      <c r="M2866" s="11" t="n">
        <f aca="false">(L2866/(F2866*G2866)*25)*4</f>
        <v>8</v>
      </c>
      <c r="N2866" s="1" t="s">
        <v>30</v>
      </c>
      <c r="O2866" s="1" t="s">
        <v>31</v>
      </c>
      <c r="P2866" s="3" t="n">
        <v>2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0</v>
      </c>
      <c r="V2866" s="3" t="n">
        <f aca="false">SUM(P2866:Q2866)</f>
        <v>2</v>
      </c>
      <c r="W2866" s="3" t="n">
        <f aca="false">SUM(R2866:T2866)</f>
        <v>0</v>
      </c>
      <c r="X2866" s="22" t="n">
        <v>41793</v>
      </c>
      <c r="Y2866" s="22" t="n">
        <v>41798</v>
      </c>
    </row>
    <row r="2867" customFormat="false" ht="14.25" hidden="false" customHeight="false" outlineLevel="0" collapsed="false">
      <c r="A2867" s="1" t="n">
        <v>2014</v>
      </c>
      <c r="B2867" s="1" t="n">
        <v>1</v>
      </c>
      <c r="C2867" s="2" t="s">
        <v>25</v>
      </c>
      <c r="D2867" s="3" t="s">
        <v>26</v>
      </c>
      <c r="E2867" s="3" t="n">
        <v>1</v>
      </c>
      <c r="F2867" s="1" t="n">
        <f aca="false">Y2867-X2867</f>
        <v>5</v>
      </c>
      <c r="G2867" s="1" t="n">
        <v>5</v>
      </c>
      <c r="H2867" s="3" t="s">
        <v>48</v>
      </c>
      <c r="I2867" s="3" t="s">
        <v>49</v>
      </c>
      <c r="J2867" s="3" t="s">
        <v>104</v>
      </c>
      <c r="K2867" s="2" t="str">
        <f aca="false">CONCATENATE(I2867," ",J2867)</f>
        <v>Alopecosa taeniata</v>
      </c>
      <c r="L2867" s="3" t="n">
        <f aca="false">SUM(P2867:U2867)</f>
        <v>1</v>
      </c>
      <c r="M2867" s="11" t="n">
        <f aca="false">(L2867/(F2867*G2867)*25)*4</f>
        <v>4</v>
      </c>
      <c r="N2867" s="1" t="s">
        <v>30</v>
      </c>
      <c r="O2867" s="1" t="s">
        <v>35</v>
      </c>
      <c r="P2867" s="3" t="n">
        <v>0</v>
      </c>
      <c r="Q2867" s="3" t="n">
        <v>1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f aca="false">SUM(P2867:Q2867)</f>
        <v>1</v>
      </c>
      <c r="W2867" s="3" t="n">
        <f aca="false">SUM(R2867:T2867)</f>
        <v>0</v>
      </c>
      <c r="X2867" s="22" t="n">
        <v>41793</v>
      </c>
      <c r="Y2867" s="22" t="n">
        <v>41798</v>
      </c>
    </row>
    <row r="2868" customFormat="false" ht="14.25" hidden="false" customHeight="false" outlineLevel="0" collapsed="false">
      <c r="A2868" s="1" t="n">
        <v>2014</v>
      </c>
      <c r="B2868" s="1" t="n">
        <v>1</v>
      </c>
      <c r="C2868" s="2" t="s">
        <v>25</v>
      </c>
      <c r="D2868" s="3" t="s">
        <v>26</v>
      </c>
      <c r="E2868" s="3" t="n">
        <v>1</v>
      </c>
      <c r="F2868" s="1" t="n">
        <f aca="false">Y2868-X2868</f>
        <v>5</v>
      </c>
      <c r="G2868" s="1" t="n">
        <v>5</v>
      </c>
      <c r="H2868" s="3" t="s">
        <v>36</v>
      </c>
      <c r="I2868" s="3" t="s">
        <v>131</v>
      </c>
      <c r="J2868" s="3" t="s">
        <v>133</v>
      </c>
      <c r="K2868" s="2" t="str">
        <f aca="false">CONCATENATE(I2868," ",J2868)</f>
        <v>Xysticus luctuosus</v>
      </c>
      <c r="L2868" s="3" t="n">
        <f aca="false">SUM(P2868:U2868)</f>
        <v>1</v>
      </c>
      <c r="M2868" s="11" t="n">
        <f aca="false">(L2868/(F2868*G2868)*25)*4</f>
        <v>4</v>
      </c>
      <c r="N2868" s="1" t="s">
        <v>30</v>
      </c>
      <c r="O2868" s="1" t="s">
        <v>31</v>
      </c>
      <c r="P2868" s="3" t="n">
        <v>1</v>
      </c>
      <c r="Q2868" s="3" t="n">
        <v>0</v>
      </c>
      <c r="R2868" s="3" t="n">
        <v>0</v>
      </c>
      <c r="S2868" s="3" t="n">
        <v>0</v>
      </c>
      <c r="T2868" s="3" t="n">
        <v>0</v>
      </c>
      <c r="U2868" s="3" t="n">
        <v>0</v>
      </c>
      <c r="V2868" s="3" t="n">
        <f aca="false">SUM(P2868:Q2868)</f>
        <v>1</v>
      </c>
      <c r="W2868" s="3" t="n">
        <f aca="false">SUM(R2868:T2868)</f>
        <v>0</v>
      </c>
      <c r="X2868" s="22" t="n">
        <v>41793</v>
      </c>
      <c r="Y2868" s="22" t="n">
        <v>41798</v>
      </c>
    </row>
    <row r="2869" customFormat="false" ht="14.25" hidden="false" customHeight="false" outlineLevel="0" collapsed="false">
      <c r="A2869" s="1" t="n">
        <v>2014</v>
      </c>
      <c r="B2869" s="1" t="n">
        <v>1</v>
      </c>
      <c r="C2869" s="2" t="s">
        <v>25</v>
      </c>
      <c r="D2869" s="3" t="s">
        <v>26</v>
      </c>
      <c r="E2869" s="3" t="n">
        <v>1</v>
      </c>
      <c r="F2869" s="1" t="n">
        <f aca="false">Y2869-X2869</f>
        <v>5</v>
      </c>
      <c r="G2869" s="1" t="n">
        <v>5</v>
      </c>
      <c r="H2869" s="3" t="s">
        <v>32</v>
      </c>
      <c r="I2869" s="3" t="s">
        <v>169</v>
      </c>
      <c r="J2869" s="3" t="s">
        <v>170</v>
      </c>
      <c r="K2869" s="2" t="str">
        <f aca="false">CONCATENATE(I2869," ",J2869)</f>
        <v>Abacoproeces saltuum</v>
      </c>
      <c r="L2869" s="3" t="n">
        <f aca="false">SUM(P2869:U2869)</f>
        <v>1</v>
      </c>
      <c r="M2869" s="11" t="n">
        <f aca="false">(L2869/(F2869*G2869)*25)*4</f>
        <v>4</v>
      </c>
      <c r="N2869" s="1" t="s">
        <v>30</v>
      </c>
      <c r="O2869" s="1" t="s">
        <v>31</v>
      </c>
      <c r="P2869" s="3" t="n">
        <v>1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f aca="false">SUM(P2869:Q2869)</f>
        <v>1</v>
      </c>
      <c r="W2869" s="3" t="n">
        <f aca="false">SUM(R2869:T2869)</f>
        <v>0</v>
      </c>
      <c r="X2869" s="22" t="n">
        <v>41793</v>
      </c>
      <c r="Y2869" s="22" t="n">
        <v>41798</v>
      </c>
    </row>
    <row r="2870" customFormat="false" ht="14.25" hidden="false" customHeight="false" outlineLevel="0" collapsed="false">
      <c r="A2870" s="1" t="n">
        <v>2014</v>
      </c>
      <c r="B2870" s="1" t="n">
        <v>1</v>
      </c>
      <c r="C2870" s="2" t="s">
        <v>25</v>
      </c>
      <c r="D2870" s="3" t="s">
        <v>26</v>
      </c>
      <c r="E2870" s="3" t="n">
        <v>2</v>
      </c>
      <c r="F2870" s="1" t="n">
        <f aca="false">Y2870-X2870</f>
        <v>5</v>
      </c>
      <c r="G2870" s="1" t="n">
        <v>5</v>
      </c>
      <c r="H2870" s="3" t="s">
        <v>48</v>
      </c>
      <c r="I2870" s="3" t="s">
        <v>67</v>
      </c>
      <c r="J2870" s="3" t="s">
        <v>127</v>
      </c>
      <c r="K2870" s="2" t="str">
        <f aca="false">CONCATENATE(I2870," ",J2870)</f>
        <v>Pardosa lugubris</v>
      </c>
      <c r="L2870" s="3" t="n">
        <f aca="false">SUM(P2870:U2870)</f>
        <v>3</v>
      </c>
      <c r="M2870" s="11" t="n">
        <f aca="false">(L2870/(F2870*G2870)*25)*4</f>
        <v>12</v>
      </c>
      <c r="N2870" s="1" t="s">
        <v>30</v>
      </c>
      <c r="O2870" s="1" t="s">
        <v>31</v>
      </c>
      <c r="P2870" s="3" t="n">
        <v>3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f aca="false">SUM(P2870:Q2870)</f>
        <v>3</v>
      </c>
      <c r="W2870" s="3" t="n">
        <f aca="false">SUM(R2870:T2870)</f>
        <v>0</v>
      </c>
      <c r="X2870" s="22" t="n">
        <v>41793</v>
      </c>
      <c r="Y2870" s="22" t="n">
        <v>41798</v>
      </c>
    </row>
    <row r="2871" customFormat="false" ht="14.25" hidden="false" customHeight="false" outlineLevel="0" collapsed="false">
      <c r="A2871" s="1" t="n">
        <v>2014</v>
      </c>
      <c r="B2871" s="1" t="n">
        <v>1</v>
      </c>
      <c r="C2871" s="2" t="s">
        <v>25</v>
      </c>
      <c r="D2871" s="3" t="s">
        <v>26</v>
      </c>
      <c r="E2871" s="3" t="n">
        <v>2</v>
      </c>
      <c r="F2871" s="1" t="n">
        <f aca="false">Y2871-X2871</f>
        <v>5</v>
      </c>
      <c r="G2871" s="1" t="n">
        <v>5</v>
      </c>
      <c r="H2871" s="3" t="s">
        <v>48</v>
      </c>
      <c r="I2871" s="3" t="s">
        <v>49</v>
      </c>
      <c r="J2871" s="3" t="s">
        <v>104</v>
      </c>
      <c r="K2871" s="2" t="str">
        <f aca="false">CONCATENATE(I2871," ",J2871)</f>
        <v>Alopecosa taeniata</v>
      </c>
      <c r="L2871" s="3" t="n">
        <f aca="false">SUM(P2871:U2871)</f>
        <v>2</v>
      </c>
      <c r="M2871" s="11" t="n">
        <f aca="false">(L2871/(F2871*G2871)*25)*4</f>
        <v>8</v>
      </c>
      <c r="N2871" s="1" t="s">
        <v>30</v>
      </c>
      <c r="O2871" s="1" t="s">
        <v>31</v>
      </c>
      <c r="P2871" s="3" t="n">
        <v>2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f aca="false">SUM(P2871:Q2871)</f>
        <v>2</v>
      </c>
      <c r="W2871" s="3" t="n">
        <f aca="false">SUM(R2871:T2871)</f>
        <v>0</v>
      </c>
      <c r="X2871" s="22" t="n">
        <v>41793</v>
      </c>
      <c r="Y2871" s="22" t="n">
        <v>41798</v>
      </c>
    </row>
    <row r="2872" customFormat="false" ht="14.25" hidden="false" customHeight="false" outlineLevel="0" collapsed="false">
      <c r="A2872" s="1" t="n">
        <v>2014</v>
      </c>
      <c r="B2872" s="1" t="n">
        <v>1</v>
      </c>
      <c r="C2872" s="2" t="s">
        <v>25</v>
      </c>
      <c r="D2872" s="3" t="s">
        <v>26</v>
      </c>
      <c r="E2872" s="3" t="n">
        <v>2</v>
      </c>
      <c r="F2872" s="1" t="n">
        <f aca="false">Y2872-X2872</f>
        <v>5</v>
      </c>
      <c r="G2872" s="1" t="n">
        <v>5</v>
      </c>
      <c r="H2872" s="3" t="s">
        <v>48</v>
      </c>
      <c r="I2872" s="3" t="s">
        <v>61</v>
      </c>
      <c r="J2872" s="3" t="s">
        <v>38</v>
      </c>
      <c r="K2872" s="2" t="str">
        <f aca="false">CONCATENATE(I2872," ",J2872)</f>
        <v>Trochosa sp</v>
      </c>
      <c r="L2872" s="3" t="n">
        <f aca="false">SUM(P2872:U2872)</f>
        <v>1</v>
      </c>
      <c r="M2872" s="11" t="n">
        <f aca="false">(L2872/(F2872*G2872)*25)*4</f>
        <v>4</v>
      </c>
      <c r="N2872" s="1" t="s">
        <v>19</v>
      </c>
      <c r="O2872" s="1" t="s">
        <v>35</v>
      </c>
      <c r="P2872" s="3" t="n">
        <v>0</v>
      </c>
      <c r="Q2872" s="3" t="n">
        <v>0</v>
      </c>
      <c r="R2872" s="3" t="n">
        <v>0</v>
      </c>
      <c r="S2872" s="3" t="n">
        <v>1</v>
      </c>
      <c r="T2872" s="3" t="n">
        <v>0</v>
      </c>
      <c r="U2872" s="3" t="n">
        <v>0</v>
      </c>
      <c r="V2872" s="3" t="n">
        <f aca="false">SUM(P2872:Q2872)</f>
        <v>0</v>
      </c>
      <c r="W2872" s="3" t="n">
        <f aca="false">SUM(R2872:T2872)</f>
        <v>1</v>
      </c>
      <c r="X2872" s="22" t="n">
        <v>41793</v>
      </c>
      <c r="Y2872" s="22" t="n">
        <v>41798</v>
      </c>
    </row>
    <row r="2873" customFormat="false" ht="14.25" hidden="false" customHeight="false" outlineLevel="0" collapsed="false">
      <c r="A2873" s="1" t="n">
        <v>2014</v>
      </c>
      <c r="B2873" s="1" t="n">
        <v>1</v>
      </c>
      <c r="C2873" s="2" t="s">
        <v>25</v>
      </c>
      <c r="D2873" s="3" t="s">
        <v>26</v>
      </c>
      <c r="E2873" s="3" t="n">
        <v>2</v>
      </c>
      <c r="F2873" s="1" t="n">
        <f aca="false">Y2873-X2873</f>
        <v>5</v>
      </c>
      <c r="G2873" s="1" t="n">
        <v>5</v>
      </c>
      <c r="H2873" s="3" t="s">
        <v>32</v>
      </c>
      <c r="I2873" s="3" t="s">
        <v>107</v>
      </c>
      <c r="J2873" s="3" t="s">
        <v>108</v>
      </c>
      <c r="K2873" s="2" t="str">
        <f aca="false">CONCATENATE(I2873," ",J2873)</f>
        <v>Macrargus rufus</v>
      </c>
      <c r="L2873" s="3" t="n">
        <f aca="false">SUM(P2873:U2873)</f>
        <v>1</v>
      </c>
      <c r="M2873" s="11" t="n">
        <f aca="false">(L2873/(F2873*G2873)*25)*4</f>
        <v>4</v>
      </c>
      <c r="N2873" s="1" t="s">
        <v>30</v>
      </c>
      <c r="O2873" s="1" t="s">
        <v>35</v>
      </c>
      <c r="P2873" s="3" t="n">
        <v>0</v>
      </c>
      <c r="Q2873" s="3" t="n">
        <v>1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f aca="false">SUM(P2873:Q2873)</f>
        <v>1</v>
      </c>
      <c r="W2873" s="3" t="n">
        <f aca="false">SUM(R2873:T2873)</f>
        <v>0</v>
      </c>
      <c r="X2873" s="22" t="n">
        <v>41793</v>
      </c>
      <c r="Y2873" s="22" t="n">
        <v>41798</v>
      </c>
    </row>
    <row r="2874" customFormat="false" ht="14.25" hidden="false" customHeight="false" outlineLevel="0" collapsed="false">
      <c r="A2874" s="1" t="n">
        <v>2014</v>
      </c>
      <c r="B2874" s="1" t="n">
        <v>1</v>
      </c>
      <c r="C2874" s="2" t="s">
        <v>25</v>
      </c>
      <c r="D2874" s="3" t="s">
        <v>26</v>
      </c>
      <c r="E2874" s="3" t="n">
        <v>2</v>
      </c>
      <c r="F2874" s="1" t="n">
        <f aca="false">Y2874-X2874</f>
        <v>5</v>
      </c>
      <c r="G2874" s="1" t="n">
        <v>5</v>
      </c>
      <c r="H2874" s="3" t="s">
        <v>32</v>
      </c>
      <c r="I2874" s="3" t="s">
        <v>96</v>
      </c>
      <c r="J2874" s="3" t="s">
        <v>97</v>
      </c>
      <c r="K2874" s="2" t="str">
        <f aca="false">CONCATENATE(I2874," ",J2874)</f>
        <v>Diplocephalus picinus</v>
      </c>
      <c r="L2874" s="3" t="n">
        <f aca="false">SUM(P2874:U2874)</f>
        <v>1</v>
      </c>
      <c r="M2874" s="11" t="n">
        <f aca="false">(L2874/(F2874*G2874)*25)*4</f>
        <v>4</v>
      </c>
      <c r="N2874" s="1" t="s">
        <v>30</v>
      </c>
      <c r="O2874" s="1" t="s">
        <v>31</v>
      </c>
      <c r="P2874" s="3" t="n">
        <v>1</v>
      </c>
      <c r="Q2874" s="3" t="n">
        <v>0</v>
      </c>
      <c r="R2874" s="3" t="n">
        <v>0</v>
      </c>
      <c r="S2874" s="3" t="n">
        <v>0</v>
      </c>
      <c r="T2874" s="3" t="n">
        <v>0</v>
      </c>
      <c r="U2874" s="3" t="n">
        <v>0</v>
      </c>
      <c r="V2874" s="3" t="n">
        <f aca="false">SUM(P2874:Q2874)</f>
        <v>1</v>
      </c>
      <c r="W2874" s="3" t="n">
        <f aca="false">SUM(R2874:T2874)</f>
        <v>0</v>
      </c>
      <c r="X2874" s="22" t="n">
        <v>41793</v>
      </c>
      <c r="Y2874" s="22" t="n">
        <v>41798</v>
      </c>
    </row>
    <row r="2875" customFormat="false" ht="14.25" hidden="false" customHeight="false" outlineLevel="0" collapsed="false">
      <c r="A2875" s="1" t="n">
        <v>2014</v>
      </c>
      <c r="B2875" s="1" t="n">
        <v>1</v>
      </c>
      <c r="C2875" s="2" t="s">
        <v>44</v>
      </c>
      <c r="D2875" s="3" t="s">
        <v>118</v>
      </c>
      <c r="E2875" s="3" t="n">
        <v>3</v>
      </c>
      <c r="F2875" s="1" t="n">
        <f aca="false">Y2875-X2875</f>
        <v>5</v>
      </c>
      <c r="G2875" s="1" t="n">
        <v>5</v>
      </c>
      <c r="H2875" s="3" t="s">
        <v>48</v>
      </c>
      <c r="I2875" s="3" t="s">
        <v>122</v>
      </c>
      <c r="J2875" s="3" t="s">
        <v>123</v>
      </c>
      <c r="K2875" s="2" t="str">
        <f aca="false">CONCATENATE(I2875," ",J2875)</f>
        <v>Xerolycosa nemoralis</v>
      </c>
      <c r="L2875" s="3" t="n">
        <f aca="false">SUM(P2875:U2875)</f>
        <v>8</v>
      </c>
      <c r="M2875" s="11" t="n">
        <f aca="false">(L2875/(F2875*G2875)*25)*4</f>
        <v>32</v>
      </c>
      <c r="N2875" s="1" t="s">
        <v>30</v>
      </c>
      <c r="O2875" s="1" t="s">
        <v>31</v>
      </c>
      <c r="P2875" s="3" t="n">
        <v>8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0</v>
      </c>
      <c r="V2875" s="3" t="n">
        <f aca="false">SUM(P2875:Q2875)</f>
        <v>8</v>
      </c>
      <c r="W2875" s="3" t="n">
        <f aca="false">SUM(R2875:T2875)</f>
        <v>0</v>
      </c>
      <c r="X2875" s="22" t="n">
        <v>41793</v>
      </c>
      <c r="Y2875" s="22" t="n">
        <v>41798</v>
      </c>
    </row>
    <row r="2876" customFormat="false" ht="14.25" hidden="false" customHeight="false" outlineLevel="0" collapsed="false">
      <c r="A2876" s="1" t="n">
        <v>2014</v>
      </c>
      <c r="B2876" s="1" t="n">
        <v>1</v>
      </c>
      <c r="C2876" s="2" t="s">
        <v>44</v>
      </c>
      <c r="D2876" s="3" t="s">
        <v>118</v>
      </c>
      <c r="E2876" s="3" t="n">
        <v>3</v>
      </c>
      <c r="F2876" s="1" t="n">
        <f aca="false">Y2876-X2876</f>
        <v>5</v>
      </c>
      <c r="G2876" s="1" t="n">
        <v>5</v>
      </c>
      <c r="H2876" s="3" t="s">
        <v>48</v>
      </c>
      <c r="I2876" s="3" t="s">
        <v>122</v>
      </c>
      <c r="J2876" s="3" t="s">
        <v>123</v>
      </c>
      <c r="K2876" s="2" t="str">
        <f aca="false">CONCATENATE(I2876," ",J2876)</f>
        <v>Xerolycosa nemoralis</v>
      </c>
      <c r="L2876" s="3" t="n">
        <f aca="false">SUM(P2876:U2876)</f>
        <v>1</v>
      </c>
      <c r="M2876" s="11" t="n">
        <f aca="false">(L2876/(F2876*G2876)*25)*4</f>
        <v>4</v>
      </c>
      <c r="N2876" s="1" t="s">
        <v>30</v>
      </c>
      <c r="O2876" s="1" t="s">
        <v>35</v>
      </c>
      <c r="P2876" s="3" t="n">
        <v>0</v>
      </c>
      <c r="Q2876" s="3" t="n">
        <v>1</v>
      </c>
      <c r="R2876" s="3" t="n">
        <v>0</v>
      </c>
      <c r="S2876" s="3" t="n">
        <v>0</v>
      </c>
      <c r="T2876" s="3" t="n">
        <v>0</v>
      </c>
      <c r="U2876" s="3" t="n">
        <v>0</v>
      </c>
      <c r="V2876" s="3" t="n">
        <f aca="false">SUM(P2876:Q2876)</f>
        <v>1</v>
      </c>
      <c r="W2876" s="3" t="n">
        <f aca="false">SUM(R2876:T2876)</f>
        <v>0</v>
      </c>
      <c r="X2876" s="22" t="n">
        <v>41793</v>
      </c>
      <c r="Y2876" s="22" t="n">
        <v>41798</v>
      </c>
    </row>
    <row r="2877" customFormat="false" ht="14.25" hidden="false" customHeight="false" outlineLevel="0" collapsed="false">
      <c r="A2877" s="1" t="n">
        <v>2014</v>
      </c>
      <c r="B2877" s="1" t="n">
        <v>1</v>
      </c>
      <c r="C2877" s="2" t="s">
        <v>44</v>
      </c>
      <c r="D2877" s="3" t="s">
        <v>118</v>
      </c>
      <c r="E2877" s="3" t="n">
        <v>3</v>
      </c>
      <c r="F2877" s="1" t="n">
        <f aca="false">Y2877-X2877</f>
        <v>5</v>
      </c>
      <c r="G2877" s="1" t="n">
        <v>5</v>
      </c>
      <c r="H2877" s="3" t="s">
        <v>48</v>
      </c>
      <c r="I2877" s="3" t="s">
        <v>122</v>
      </c>
      <c r="J2877" s="3" t="s">
        <v>123</v>
      </c>
      <c r="K2877" s="2" t="str">
        <f aca="false">CONCATENATE(I2877," ",J2877)</f>
        <v>Xerolycosa nemoralis</v>
      </c>
      <c r="L2877" s="3" t="n">
        <f aca="false">SUM(P2877:U2877)</f>
        <v>2</v>
      </c>
      <c r="M2877" s="11" t="n">
        <f aca="false">(L2877/(F2877*G2877)*25)*4</f>
        <v>8</v>
      </c>
      <c r="N2877" s="1" t="s">
        <v>19</v>
      </c>
      <c r="O2877" s="1" t="s">
        <v>54</v>
      </c>
      <c r="P2877" s="3" t="n">
        <v>0</v>
      </c>
      <c r="Q2877" s="3" t="n">
        <v>0</v>
      </c>
      <c r="R2877" s="3" t="n">
        <v>0</v>
      </c>
      <c r="S2877" s="3" t="n">
        <v>0</v>
      </c>
      <c r="T2877" s="3" t="n">
        <v>2</v>
      </c>
      <c r="U2877" s="3" t="n">
        <v>0</v>
      </c>
      <c r="V2877" s="3" t="n">
        <f aca="false">SUM(P2877:Q2877)</f>
        <v>0</v>
      </c>
      <c r="W2877" s="3" t="n">
        <f aca="false">SUM(R2877:T2877)</f>
        <v>2</v>
      </c>
      <c r="X2877" s="22" t="n">
        <v>41793</v>
      </c>
      <c r="Y2877" s="22" t="n">
        <v>41798</v>
      </c>
    </row>
    <row r="2878" customFormat="false" ht="14.25" hidden="false" customHeight="false" outlineLevel="0" collapsed="false">
      <c r="A2878" s="1" t="n">
        <v>2014</v>
      </c>
      <c r="B2878" s="1" t="n">
        <v>1</v>
      </c>
      <c r="C2878" s="2" t="s">
        <v>44</v>
      </c>
      <c r="D2878" s="3" t="s">
        <v>118</v>
      </c>
      <c r="E2878" s="3" t="n">
        <v>3</v>
      </c>
      <c r="F2878" s="1" t="n">
        <f aca="false">Y2878-X2878</f>
        <v>5</v>
      </c>
      <c r="G2878" s="1" t="n">
        <v>5</v>
      </c>
      <c r="H2878" s="3" t="s">
        <v>48</v>
      </c>
      <c r="I2878" s="3" t="s">
        <v>49</v>
      </c>
      <c r="J2878" s="3" t="s">
        <v>130</v>
      </c>
      <c r="K2878" s="2" t="str">
        <f aca="false">CONCATENATE(I2878," ",J2878)</f>
        <v>Alopecosa aculeata</v>
      </c>
      <c r="L2878" s="3" t="n">
        <f aca="false">SUM(P2878:U2878)</f>
        <v>5</v>
      </c>
      <c r="M2878" s="11" t="n">
        <f aca="false">(L2878/(F2878*G2878)*25)*4</f>
        <v>20</v>
      </c>
      <c r="N2878" s="1" t="s">
        <v>30</v>
      </c>
      <c r="O2878" s="1" t="s">
        <v>31</v>
      </c>
      <c r="P2878" s="3" t="n">
        <v>5</v>
      </c>
      <c r="Q2878" s="3" t="n">
        <v>0</v>
      </c>
      <c r="R2878" s="3" t="n">
        <v>0</v>
      </c>
      <c r="S2878" s="3" t="n">
        <v>0</v>
      </c>
      <c r="T2878" s="3" t="n">
        <v>0</v>
      </c>
      <c r="U2878" s="3" t="n">
        <v>0</v>
      </c>
      <c r="V2878" s="3" t="n">
        <f aca="false">SUM(P2878:Q2878)</f>
        <v>5</v>
      </c>
      <c r="W2878" s="3" t="n">
        <f aca="false">SUM(R2878:T2878)</f>
        <v>0</v>
      </c>
      <c r="X2878" s="22" t="n">
        <v>41793</v>
      </c>
      <c r="Y2878" s="22" t="n">
        <v>41798</v>
      </c>
    </row>
    <row r="2879" customFormat="false" ht="14.25" hidden="false" customHeight="false" outlineLevel="0" collapsed="false">
      <c r="A2879" s="1" t="n">
        <v>2014</v>
      </c>
      <c r="B2879" s="1" t="n">
        <v>1</v>
      </c>
      <c r="C2879" s="2" t="s">
        <v>44</v>
      </c>
      <c r="D2879" s="3" t="s">
        <v>118</v>
      </c>
      <c r="E2879" s="3" t="n">
        <v>3</v>
      </c>
      <c r="F2879" s="1" t="n">
        <f aca="false">Y2879-X2879</f>
        <v>5</v>
      </c>
      <c r="G2879" s="1" t="n">
        <v>5</v>
      </c>
      <c r="H2879" s="3" t="s">
        <v>48</v>
      </c>
      <c r="I2879" s="3" t="s">
        <v>49</v>
      </c>
      <c r="J2879" s="3" t="s">
        <v>130</v>
      </c>
      <c r="K2879" s="2" t="str">
        <f aca="false">CONCATENATE(I2879," ",J2879)</f>
        <v>Alopecosa aculeata</v>
      </c>
      <c r="L2879" s="3" t="n">
        <f aca="false">SUM(P2879:U2879)</f>
        <v>1</v>
      </c>
      <c r="M2879" s="11" t="n">
        <f aca="false">(L2879/(F2879*G2879)*25)*4</f>
        <v>4</v>
      </c>
      <c r="N2879" s="1" t="s">
        <v>30</v>
      </c>
      <c r="O2879" s="1" t="s">
        <v>35</v>
      </c>
      <c r="P2879" s="3" t="n">
        <v>0</v>
      </c>
      <c r="Q2879" s="3" t="n">
        <v>1</v>
      </c>
      <c r="R2879" s="3" t="n">
        <v>0</v>
      </c>
      <c r="S2879" s="3" t="n">
        <v>0</v>
      </c>
      <c r="T2879" s="3" t="n">
        <v>0</v>
      </c>
      <c r="U2879" s="3" t="n">
        <v>0</v>
      </c>
      <c r="V2879" s="3" t="n">
        <f aca="false">SUM(P2879:Q2879)</f>
        <v>1</v>
      </c>
      <c r="W2879" s="3" t="n">
        <f aca="false">SUM(R2879:T2879)</f>
        <v>0</v>
      </c>
      <c r="X2879" s="22" t="n">
        <v>41793</v>
      </c>
      <c r="Y2879" s="22" t="n">
        <v>41798</v>
      </c>
    </row>
    <row r="2880" customFormat="false" ht="14.25" hidden="false" customHeight="false" outlineLevel="0" collapsed="false">
      <c r="A2880" s="1" t="n">
        <v>2014</v>
      </c>
      <c r="B2880" s="1" t="n">
        <v>1</v>
      </c>
      <c r="C2880" s="2" t="s">
        <v>44</v>
      </c>
      <c r="D2880" s="3" t="s">
        <v>118</v>
      </c>
      <c r="E2880" s="3" t="n">
        <v>3</v>
      </c>
      <c r="F2880" s="1" t="n">
        <f aca="false">Y2880-X2880</f>
        <v>5</v>
      </c>
      <c r="G2880" s="1" t="n">
        <v>5</v>
      </c>
      <c r="H2880" s="3" t="s">
        <v>48</v>
      </c>
      <c r="I2880" s="3" t="s">
        <v>67</v>
      </c>
      <c r="J2880" s="3" t="s">
        <v>127</v>
      </c>
      <c r="K2880" s="2" t="str">
        <f aca="false">CONCATENATE(I2880," ",J2880)</f>
        <v>Pardosa lugubris</v>
      </c>
      <c r="L2880" s="3" t="n">
        <f aca="false">SUM(P2880:U2880)</f>
        <v>1</v>
      </c>
      <c r="M2880" s="11" t="n">
        <f aca="false">(L2880/(F2880*G2880)*25)*4</f>
        <v>4</v>
      </c>
      <c r="N2880" s="1" t="s">
        <v>30</v>
      </c>
      <c r="O2880" s="1" t="s">
        <v>31</v>
      </c>
      <c r="P2880" s="3" t="n">
        <v>1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f aca="false">SUM(P2880:Q2880)</f>
        <v>1</v>
      </c>
      <c r="W2880" s="3" t="n">
        <f aca="false">SUM(R2880:T2880)</f>
        <v>0</v>
      </c>
      <c r="X2880" s="22" t="n">
        <v>41793</v>
      </c>
      <c r="Y2880" s="22" t="n">
        <v>41798</v>
      </c>
    </row>
    <row r="2881" customFormat="false" ht="14.25" hidden="false" customHeight="false" outlineLevel="0" collapsed="false">
      <c r="A2881" s="1" t="n">
        <v>2014</v>
      </c>
      <c r="B2881" s="1" t="n">
        <v>1</v>
      </c>
      <c r="C2881" s="2" t="s">
        <v>44</v>
      </c>
      <c r="D2881" s="3" t="s">
        <v>118</v>
      </c>
      <c r="E2881" s="3" t="n">
        <v>3</v>
      </c>
      <c r="F2881" s="1" t="n">
        <f aca="false">Y2881-X2881</f>
        <v>5</v>
      </c>
      <c r="G2881" s="1" t="n">
        <v>5</v>
      </c>
      <c r="H2881" s="3" t="s">
        <v>48</v>
      </c>
      <c r="I2881" s="3" t="s">
        <v>67</v>
      </c>
      <c r="J2881" s="3" t="s">
        <v>127</v>
      </c>
      <c r="K2881" s="2" t="str">
        <f aca="false">CONCATENATE(I2881," ",J2881)</f>
        <v>Pardosa lugubris</v>
      </c>
      <c r="L2881" s="3" t="n">
        <f aca="false">SUM(P2881:U2881)</f>
        <v>1</v>
      </c>
      <c r="M2881" s="11" t="n">
        <f aca="false">(L2881/(F2881*G2881)*25)*4</f>
        <v>4</v>
      </c>
      <c r="N2881" s="1" t="s">
        <v>30</v>
      </c>
      <c r="O2881" s="1" t="s">
        <v>35</v>
      </c>
      <c r="P2881" s="3" t="n">
        <v>0</v>
      </c>
      <c r="Q2881" s="3" t="n">
        <v>1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f aca="false">SUM(P2881:Q2881)</f>
        <v>1</v>
      </c>
      <c r="W2881" s="3" t="n">
        <f aca="false">SUM(R2881:T2881)</f>
        <v>0</v>
      </c>
      <c r="X2881" s="22" t="n">
        <v>41793</v>
      </c>
      <c r="Y2881" s="22" t="n">
        <v>41798</v>
      </c>
    </row>
    <row r="2882" customFormat="false" ht="14.25" hidden="false" customHeight="false" outlineLevel="0" collapsed="false">
      <c r="A2882" s="1" t="n">
        <v>2014</v>
      </c>
      <c r="B2882" s="1" t="n">
        <v>1</v>
      </c>
      <c r="C2882" s="2" t="s">
        <v>44</v>
      </c>
      <c r="D2882" s="3" t="s">
        <v>118</v>
      </c>
      <c r="E2882" s="3" t="n">
        <v>3</v>
      </c>
      <c r="F2882" s="1" t="n">
        <f aca="false">Y2882-X2882</f>
        <v>5</v>
      </c>
      <c r="G2882" s="1" t="n">
        <v>5</v>
      </c>
      <c r="H2882" s="3" t="s">
        <v>135</v>
      </c>
      <c r="I2882" s="3" t="s">
        <v>136</v>
      </c>
      <c r="J2882" s="3" t="s">
        <v>137</v>
      </c>
      <c r="K2882" s="2" t="str">
        <f aca="false">CONCATENATE(I2882," ",J2882)</f>
        <v>Thanatus sabulosus</v>
      </c>
      <c r="L2882" s="3" t="n">
        <f aca="false">SUM(P2882:U2882)</f>
        <v>1</v>
      </c>
      <c r="M2882" s="11" t="n">
        <f aca="false">(L2882/(F2882*G2882)*25)*4</f>
        <v>4</v>
      </c>
      <c r="N2882" s="1" t="s">
        <v>30</v>
      </c>
      <c r="O2882" s="1" t="s">
        <v>31</v>
      </c>
      <c r="P2882" s="3" t="n">
        <v>1</v>
      </c>
      <c r="Q2882" s="3" t="n">
        <v>0</v>
      </c>
      <c r="R2882" s="3" t="n">
        <v>0</v>
      </c>
      <c r="S2882" s="3" t="n">
        <v>0</v>
      </c>
      <c r="T2882" s="3" t="n">
        <v>0</v>
      </c>
      <c r="U2882" s="3" t="n">
        <v>0</v>
      </c>
      <c r="V2882" s="3" t="n">
        <f aca="false">SUM(P2882:Q2882)</f>
        <v>1</v>
      </c>
      <c r="W2882" s="3" t="n">
        <f aca="false">SUM(R2882:T2882)</f>
        <v>0</v>
      </c>
      <c r="X2882" s="22" t="n">
        <v>41793</v>
      </c>
      <c r="Y2882" s="22" t="n">
        <v>41798</v>
      </c>
    </row>
    <row r="2883" customFormat="false" ht="14.25" hidden="false" customHeight="false" outlineLevel="0" collapsed="false">
      <c r="A2883" s="1" t="n">
        <v>2014</v>
      </c>
      <c r="B2883" s="1" t="n">
        <v>1</v>
      </c>
      <c r="C2883" s="2" t="s">
        <v>44</v>
      </c>
      <c r="D2883" s="3" t="s">
        <v>118</v>
      </c>
      <c r="E2883" s="3" t="n">
        <v>3</v>
      </c>
      <c r="F2883" s="1" t="n">
        <f aca="false">Y2883-X2883</f>
        <v>5</v>
      </c>
      <c r="G2883" s="1" t="n">
        <v>5</v>
      </c>
      <c r="H2883" s="3" t="s">
        <v>72</v>
      </c>
      <c r="I2883" s="3" t="s">
        <v>86</v>
      </c>
      <c r="J2883" s="3" t="s">
        <v>87</v>
      </c>
      <c r="K2883" s="2" t="str">
        <f aca="false">CONCATENATE(I2883," ",J2883)</f>
        <v>Haplodrassus soerenseni</v>
      </c>
      <c r="L2883" s="3" t="n">
        <f aca="false">SUM(P2883:U2883)</f>
        <v>1</v>
      </c>
      <c r="M2883" s="11" t="n">
        <f aca="false">(L2883/(F2883*G2883)*25)*4</f>
        <v>4</v>
      </c>
      <c r="N2883" s="1" t="s">
        <v>30</v>
      </c>
      <c r="O2883" s="1" t="s">
        <v>35</v>
      </c>
      <c r="P2883" s="3" t="n">
        <v>0</v>
      </c>
      <c r="Q2883" s="3" t="n">
        <v>1</v>
      </c>
      <c r="R2883" s="3" t="n">
        <v>0</v>
      </c>
      <c r="S2883" s="3" t="n">
        <v>0</v>
      </c>
      <c r="T2883" s="3" t="n">
        <v>0</v>
      </c>
      <c r="U2883" s="3" t="n">
        <v>0</v>
      </c>
      <c r="V2883" s="3" t="n">
        <f aca="false">SUM(P2883:Q2883)</f>
        <v>1</v>
      </c>
      <c r="W2883" s="3" t="n">
        <f aca="false">SUM(R2883:T2883)</f>
        <v>0</v>
      </c>
      <c r="X2883" s="22" t="n">
        <v>41793</v>
      </c>
      <c r="Y2883" s="22" t="n">
        <v>41798</v>
      </c>
    </row>
    <row r="2884" customFormat="false" ht="14.25" hidden="false" customHeight="false" outlineLevel="0" collapsed="false">
      <c r="A2884" s="1" t="n">
        <v>2014</v>
      </c>
      <c r="B2884" s="1" t="n">
        <v>1</v>
      </c>
      <c r="C2884" s="2" t="s">
        <v>44</v>
      </c>
      <c r="D2884" s="3" t="s">
        <v>118</v>
      </c>
      <c r="E2884" s="3" t="n">
        <v>3</v>
      </c>
      <c r="F2884" s="1" t="n">
        <f aca="false">Y2884-X2884</f>
        <v>5</v>
      </c>
      <c r="G2884" s="1" t="n">
        <v>5</v>
      </c>
      <c r="H2884" s="3" t="s">
        <v>72</v>
      </c>
      <c r="I2884" s="3" t="s">
        <v>73</v>
      </c>
      <c r="J2884" s="3" t="s">
        <v>38</v>
      </c>
      <c r="K2884" s="2" t="str">
        <f aca="false">CONCATENATE(I2884," ",J2884)</f>
        <v>Zelotes sp</v>
      </c>
      <c r="L2884" s="3" t="n">
        <f aca="false">SUM(P2884:U2884)</f>
        <v>1</v>
      </c>
      <c r="M2884" s="11" t="n">
        <f aca="false">(L2884/(F2884*G2884)*25)*4</f>
        <v>4</v>
      </c>
      <c r="N2884" s="1" t="s">
        <v>19</v>
      </c>
      <c r="O2884" s="1" t="s">
        <v>31</v>
      </c>
      <c r="P2884" s="3" t="n">
        <v>0</v>
      </c>
      <c r="Q2884" s="3" t="n">
        <v>0</v>
      </c>
      <c r="R2884" s="3" t="n">
        <v>1</v>
      </c>
      <c r="S2884" s="3" t="n">
        <v>0</v>
      </c>
      <c r="T2884" s="3" t="n">
        <v>0</v>
      </c>
      <c r="U2884" s="3" t="n">
        <v>0</v>
      </c>
      <c r="V2884" s="3" t="n">
        <f aca="false">SUM(P2884:Q2884)</f>
        <v>0</v>
      </c>
      <c r="W2884" s="3" t="n">
        <f aca="false">SUM(R2884:T2884)</f>
        <v>1</v>
      </c>
      <c r="X2884" s="22" t="n">
        <v>41793</v>
      </c>
      <c r="Y2884" s="22" t="n">
        <v>41798</v>
      </c>
    </row>
    <row r="2885" customFormat="false" ht="14.25" hidden="false" customHeight="false" outlineLevel="0" collapsed="false">
      <c r="A2885" s="1" t="n">
        <v>2014</v>
      </c>
      <c r="B2885" s="1" t="n">
        <v>1</v>
      </c>
      <c r="C2885" s="2" t="s">
        <v>44</v>
      </c>
      <c r="D2885" s="3" t="s">
        <v>118</v>
      </c>
      <c r="E2885" s="3" t="n">
        <v>3</v>
      </c>
      <c r="F2885" s="1" t="n">
        <f aca="false">Y2885-X2885</f>
        <v>5</v>
      </c>
      <c r="G2885" s="1" t="n">
        <v>5</v>
      </c>
      <c r="H2885" s="3" t="s">
        <v>36</v>
      </c>
      <c r="I2885" s="3" t="s">
        <v>37</v>
      </c>
      <c r="J2885" s="3" t="s">
        <v>75</v>
      </c>
      <c r="K2885" s="2" t="str">
        <f aca="false">CONCATENATE(I2885," ",J2885)</f>
        <v>Ozyptila praticola</v>
      </c>
      <c r="L2885" s="3" t="n">
        <f aca="false">SUM(P2885:U2885)</f>
        <v>1</v>
      </c>
      <c r="M2885" s="11" t="n">
        <f aca="false">(L2885/(F2885*G2885)*25)*4</f>
        <v>4</v>
      </c>
      <c r="N2885" s="1" t="s">
        <v>30</v>
      </c>
      <c r="O2885" s="1" t="s">
        <v>35</v>
      </c>
      <c r="P2885" s="3" t="n">
        <v>0</v>
      </c>
      <c r="Q2885" s="3" t="n">
        <v>1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f aca="false">SUM(P2885:Q2885)</f>
        <v>1</v>
      </c>
      <c r="W2885" s="3" t="n">
        <f aca="false">SUM(R2885:T2885)</f>
        <v>0</v>
      </c>
      <c r="X2885" s="22" t="n">
        <v>41793</v>
      </c>
      <c r="Y2885" s="22" t="n">
        <v>41798</v>
      </c>
    </row>
    <row r="2886" customFormat="false" ht="14.25" hidden="false" customHeight="false" outlineLevel="0" collapsed="false">
      <c r="A2886" s="1" t="n">
        <v>2014</v>
      </c>
      <c r="B2886" s="1" t="n">
        <v>1</v>
      </c>
      <c r="C2886" s="2" t="s">
        <v>44</v>
      </c>
      <c r="D2886" s="3" t="s">
        <v>118</v>
      </c>
      <c r="E2886" s="3" t="n">
        <v>3</v>
      </c>
      <c r="F2886" s="1" t="n">
        <f aca="false">Y2886-X2886</f>
        <v>5</v>
      </c>
      <c r="G2886" s="1" t="n">
        <v>5</v>
      </c>
      <c r="H2886" s="3" t="s">
        <v>32</v>
      </c>
      <c r="I2886" s="3" t="s">
        <v>93</v>
      </c>
      <c r="J2886" s="3" t="s">
        <v>94</v>
      </c>
      <c r="K2886" s="2" t="str">
        <f aca="false">CONCATENATE(I2886," ",J2886)</f>
        <v>Anguliphantes angulipalpis</v>
      </c>
      <c r="L2886" s="3" t="n">
        <f aca="false">SUM(P2886:U2886)</f>
        <v>1</v>
      </c>
      <c r="M2886" s="11" t="n">
        <f aca="false">(L2886/(F2886*G2886)*25)*4</f>
        <v>4</v>
      </c>
      <c r="N2886" s="1" t="s">
        <v>30</v>
      </c>
      <c r="O2886" s="1" t="s">
        <v>35</v>
      </c>
      <c r="P2886" s="3" t="n">
        <v>0</v>
      </c>
      <c r="Q2886" s="3" t="n">
        <v>1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f aca="false">SUM(P2886:Q2886)</f>
        <v>1</v>
      </c>
      <c r="W2886" s="3" t="n">
        <f aca="false">SUM(R2886:T2886)</f>
        <v>0</v>
      </c>
      <c r="X2886" s="22" t="n">
        <v>41793</v>
      </c>
      <c r="Y2886" s="22" t="n">
        <v>41798</v>
      </c>
    </row>
    <row r="2887" customFormat="false" ht="14.25" hidden="false" customHeight="false" outlineLevel="0" collapsed="false">
      <c r="A2887" s="1" t="n">
        <v>2014</v>
      </c>
      <c r="B2887" s="1" t="n">
        <v>1</v>
      </c>
      <c r="C2887" s="2" t="s">
        <v>44</v>
      </c>
      <c r="D2887" s="3" t="s">
        <v>118</v>
      </c>
      <c r="E2887" s="3" t="n">
        <v>2</v>
      </c>
      <c r="F2887" s="1" t="n">
        <f aca="false">Y2887-X2887</f>
        <v>5</v>
      </c>
      <c r="G2887" s="1" t="n">
        <v>5</v>
      </c>
      <c r="H2887" s="3" t="s">
        <v>48</v>
      </c>
      <c r="I2887" s="3" t="s">
        <v>122</v>
      </c>
      <c r="J2887" s="3" t="s">
        <v>123</v>
      </c>
      <c r="K2887" s="2" t="str">
        <f aca="false">CONCATENATE(I2887," ",J2887)</f>
        <v>Xerolycosa nemoralis</v>
      </c>
      <c r="L2887" s="3" t="n">
        <f aca="false">SUM(P2887:U2887)</f>
        <v>10</v>
      </c>
      <c r="M2887" s="11" t="n">
        <f aca="false">(L2887/(F2887*G2887)*25)*4</f>
        <v>40</v>
      </c>
      <c r="N2887" s="1" t="s">
        <v>30</v>
      </c>
      <c r="O2887" s="1" t="s">
        <v>31</v>
      </c>
      <c r="P2887" s="3" t="n">
        <v>10</v>
      </c>
      <c r="Q2887" s="3" t="n">
        <v>0</v>
      </c>
      <c r="R2887" s="3" t="n">
        <v>0</v>
      </c>
      <c r="S2887" s="3" t="n">
        <v>0</v>
      </c>
      <c r="T2887" s="3" t="n">
        <v>0</v>
      </c>
      <c r="U2887" s="3" t="n">
        <v>0</v>
      </c>
      <c r="V2887" s="3" t="n">
        <f aca="false">SUM(P2887:Q2887)</f>
        <v>10</v>
      </c>
      <c r="W2887" s="3" t="n">
        <f aca="false">SUM(R2887:T2887)</f>
        <v>0</v>
      </c>
      <c r="X2887" s="22" t="n">
        <v>41793</v>
      </c>
      <c r="Y2887" s="22" t="n">
        <v>41798</v>
      </c>
    </row>
    <row r="2888" customFormat="false" ht="14.25" hidden="false" customHeight="false" outlineLevel="0" collapsed="false">
      <c r="A2888" s="1" t="n">
        <v>2014</v>
      </c>
      <c r="B2888" s="1" t="n">
        <v>1</v>
      </c>
      <c r="C2888" s="2" t="s">
        <v>44</v>
      </c>
      <c r="D2888" s="3" t="s">
        <v>118</v>
      </c>
      <c r="E2888" s="3" t="n">
        <v>2</v>
      </c>
      <c r="F2888" s="1" t="n">
        <f aca="false">Y2888-X2888</f>
        <v>5</v>
      </c>
      <c r="G2888" s="1" t="n">
        <v>5</v>
      </c>
      <c r="H2888" s="3" t="s">
        <v>48</v>
      </c>
      <c r="I2888" s="3" t="s">
        <v>122</v>
      </c>
      <c r="J2888" s="3" t="s">
        <v>123</v>
      </c>
      <c r="K2888" s="2" t="str">
        <f aca="false">CONCATENATE(I2888," ",J2888)</f>
        <v>Xerolycosa nemoralis</v>
      </c>
      <c r="L2888" s="3" t="n">
        <f aca="false">SUM(P2888:U2888)</f>
        <v>3</v>
      </c>
      <c r="M2888" s="11" t="n">
        <f aca="false">(L2888/(F2888*G2888)*25)*4</f>
        <v>12</v>
      </c>
      <c r="N2888" s="1" t="s">
        <v>30</v>
      </c>
      <c r="O2888" s="1" t="s">
        <v>35</v>
      </c>
      <c r="P2888" s="3" t="n">
        <v>0</v>
      </c>
      <c r="Q2888" s="3" t="n">
        <v>3</v>
      </c>
      <c r="R2888" s="3" t="n">
        <v>0</v>
      </c>
      <c r="S2888" s="3" t="n">
        <v>0</v>
      </c>
      <c r="T2888" s="3" t="n">
        <v>0</v>
      </c>
      <c r="U2888" s="3" t="n">
        <v>0</v>
      </c>
      <c r="V2888" s="3" t="n">
        <f aca="false">SUM(P2888:Q2888)</f>
        <v>3</v>
      </c>
      <c r="W2888" s="3" t="n">
        <f aca="false">SUM(R2888:T2888)</f>
        <v>0</v>
      </c>
      <c r="X2888" s="22" t="n">
        <v>41793</v>
      </c>
      <c r="Y2888" s="22" t="n">
        <v>41798</v>
      </c>
    </row>
    <row r="2889" customFormat="false" ht="14.25" hidden="false" customHeight="false" outlineLevel="0" collapsed="false">
      <c r="A2889" s="1" t="n">
        <v>2014</v>
      </c>
      <c r="B2889" s="1" t="n">
        <v>1</v>
      </c>
      <c r="C2889" s="2" t="s">
        <v>44</v>
      </c>
      <c r="D2889" s="3" t="s">
        <v>118</v>
      </c>
      <c r="E2889" s="3" t="n">
        <v>2</v>
      </c>
      <c r="F2889" s="1" t="n">
        <f aca="false">Y2889-X2889</f>
        <v>5</v>
      </c>
      <c r="G2889" s="1" t="n">
        <v>5</v>
      </c>
      <c r="H2889" s="3" t="s">
        <v>48</v>
      </c>
      <c r="I2889" s="3" t="s">
        <v>49</v>
      </c>
      <c r="J2889" s="3" t="s">
        <v>130</v>
      </c>
      <c r="K2889" s="2" t="str">
        <f aca="false">CONCATENATE(I2889," ",J2889)</f>
        <v>Alopecosa aculeata</v>
      </c>
      <c r="L2889" s="3" t="n">
        <f aca="false">SUM(P2889:U2889)</f>
        <v>4</v>
      </c>
      <c r="M2889" s="11" t="n">
        <f aca="false">(L2889/(F2889*G2889)*25)*4</f>
        <v>16</v>
      </c>
      <c r="N2889" s="1" t="s">
        <v>30</v>
      </c>
      <c r="O2889" s="1" t="s">
        <v>31</v>
      </c>
      <c r="P2889" s="3" t="n">
        <v>4</v>
      </c>
      <c r="Q2889" s="3" t="n">
        <v>0</v>
      </c>
      <c r="R2889" s="3" t="n">
        <v>0</v>
      </c>
      <c r="S2889" s="3" t="n">
        <v>0</v>
      </c>
      <c r="T2889" s="3" t="n">
        <v>0</v>
      </c>
      <c r="U2889" s="3" t="n">
        <v>0</v>
      </c>
      <c r="V2889" s="3" t="n">
        <f aca="false">SUM(P2889:Q2889)</f>
        <v>4</v>
      </c>
      <c r="W2889" s="3" t="n">
        <f aca="false">SUM(R2889:T2889)</f>
        <v>0</v>
      </c>
      <c r="X2889" s="22" t="n">
        <v>41793</v>
      </c>
      <c r="Y2889" s="22" t="n">
        <v>41798</v>
      </c>
    </row>
    <row r="2890" customFormat="false" ht="14.25" hidden="false" customHeight="false" outlineLevel="0" collapsed="false">
      <c r="A2890" s="1" t="n">
        <v>2014</v>
      </c>
      <c r="B2890" s="1" t="n">
        <v>1</v>
      </c>
      <c r="C2890" s="2" t="s">
        <v>44</v>
      </c>
      <c r="D2890" s="3" t="s">
        <v>118</v>
      </c>
      <c r="E2890" s="3" t="n">
        <v>2</v>
      </c>
      <c r="F2890" s="1" t="n">
        <f aca="false">Y2890-X2890</f>
        <v>5</v>
      </c>
      <c r="G2890" s="1" t="n">
        <v>5</v>
      </c>
      <c r="H2890" s="3" t="s">
        <v>48</v>
      </c>
      <c r="I2890" s="3" t="s">
        <v>67</v>
      </c>
      <c r="J2890" s="3" t="s">
        <v>127</v>
      </c>
      <c r="K2890" s="2" t="str">
        <f aca="false">CONCATENATE(I2890," ",J2890)</f>
        <v>Pardosa lugubris</v>
      </c>
      <c r="L2890" s="3" t="n">
        <f aca="false">SUM(P2890:U2890)</f>
        <v>1</v>
      </c>
      <c r="M2890" s="11" t="n">
        <f aca="false">(L2890/(F2890*G2890)*25)*4</f>
        <v>4</v>
      </c>
      <c r="N2890" s="1" t="s">
        <v>30</v>
      </c>
      <c r="O2890" s="1" t="s">
        <v>35</v>
      </c>
      <c r="P2890" s="3" t="n">
        <v>0</v>
      </c>
      <c r="Q2890" s="3" t="n">
        <v>1</v>
      </c>
      <c r="R2890" s="3" t="n">
        <v>0</v>
      </c>
      <c r="S2890" s="3" t="n">
        <v>0</v>
      </c>
      <c r="T2890" s="3" t="n">
        <v>0</v>
      </c>
      <c r="U2890" s="3" t="n">
        <v>0</v>
      </c>
      <c r="V2890" s="3" t="n">
        <f aca="false">SUM(P2890:Q2890)</f>
        <v>1</v>
      </c>
      <c r="W2890" s="3" t="n">
        <f aca="false">SUM(R2890:T2890)</f>
        <v>0</v>
      </c>
      <c r="X2890" s="22" t="n">
        <v>41793</v>
      </c>
      <c r="Y2890" s="22" t="n">
        <v>41798</v>
      </c>
    </row>
    <row r="2891" customFormat="false" ht="14.25" hidden="false" customHeight="false" outlineLevel="0" collapsed="false">
      <c r="A2891" s="1" t="n">
        <v>2014</v>
      </c>
      <c r="B2891" s="1" t="n">
        <v>1</v>
      </c>
      <c r="C2891" s="2" t="s">
        <v>44</v>
      </c>
      <c r="D2891" s="3" t="s">
        <v>118</v>
      </c>
      <c r="E2891" s="3" t="n">
        <v>2</v>
      </c>
      <c r="F2891" s="1" t="n">
        <f aca="false">Y2891-X2891</f>
        <v>5</v>
      </c>
      <c r="G2891" s="1" t="n">
        <v>5</v>
      </c>
      <c r="H2891" s="3" t="s">
        <v>72</v>
      </c>
      <c r="I2891" s="3" t="s">
        <v>139</v>
      </c>
      <c r="J2891" s="3" t="s">
        <v>38</v>
      </c>
      <c r="K2891" s="2" t="str">
        <f aca="false">CONCATENATE(I2891," ",J2891)</f>
        <v>Gnaphosa sp</v>
      </c>
      <c r="L2891" s="3" t="n">
        <f aca="false">SUM(P2891:U2891)</f>
        <v>1</v>
      </c>
      <c r="M2891" s="11" t="n">
        <f aca="false">(L2891/(F2891*G2891)*25)*4</f>
        <v>4</v>
      </c>
      <c r="N2891" s="1" t="s">
        <v>19</v>
      </c>
      <c r="O2891" s="1" t="s">
        <v>31</v>
      </c>
      <c r="P2891" s="3" t="n">
        <v>0</v>
      </c>
      <c r="Q2891" s="3" t="n">
        <v>0</v>
      </c>
      <c r="R2891" s="3" t="n">
        <v>1</v>
      </c>
      <c r="S2891" s="3" t="n">
        <v>0</v>
      </c>
      <c r="T2891" s="3" t="n">
        <v>0</v>
      </c>
      <c r="U2891" s="3" t="n">
        <v>0</v>
      </c>
      <c r="V2891" s="3" t="n">
        <f aca="false">SUM(P2891:Q2891)</f>
        <v>0</v>
      </c>
      <c r="W2891" s="3" t="n">
        <f aca="false">SUM(R2891:T2891)</f>
        <v>1</v>
      </c>
      <c r="X2891" s="22" t="n">
        <v>41793</v>
      </c>
      <c r="Y2891" s="22" t="n">
        <v>41798</v>
      </c>
    </row>
    <row r="2892" customFormat="false" ht="14.25" hidden="false" customHeight="false" outlineLevel="0" collapsed="false">
      <c r="A2892" s="1" t="n">
        <v>2014</v>
      </c>
      <c r="B2892" s="1" t="n">
        <v>1</v>
      </c>
      <c r="C2892" s="2" t="s">
        <v>44</v>
      </c>
      <c r="D2892" s="3" t="s">
        <v>118</v>
      </c>
      <c r="E2892" s="3" t="n">
        <v>2</v>
      </c>
      <c r="F2892" s="1" t="n">
        <f aca="false">Y2892-X2892</f>
        <v>5</v>
      </c>
      <c r="G2892" s="1" t="n">
        <v>5</v>
      </c>
      <c r="H2892" s="3" t="s">
        <v>72</v>
      </c>
      <c r="I2892" s="3" t="s">
        <v>139</v>
      </c>
      <c r="J2892" s="3" t="s">
        <v>38</v>
      </c>
      <c r="K2892" s="2" t="str">
        <f aca="false">CONCATENATE(I2892," ",J2892)</f>
        <v>Gnaphosa sp</v>
      </c>
      <c r="L2892" s="3" t="n">
        <f aca="false">SUM(P2892:U2892)</f>
        <v>1</v>
      </c>
      <c r="M2892" s="11" t="n">
        <f aca="false">(L2892/(F2892*G2892)*25)*4</f>
        <v>4</v>
      </c>
      <c r="N2892" s="1" t="s">
        <v>19</v>
      </c>
      <c r="O2892" s="1" t="s">
        <v>35</v>
      </c>
      <c r="P2892" s="3" t="n">
        <v>0</v>
      </c>
      <c r="Q2892" s="3" t="n">
        <v>0</v>
      </c>
      <c r="R2892" s="3" t="n">
        <v>0</v>
      </c>
      <c r="S2892" s="3" t="n">
        <v>1</v>
      </c>
      <c r="T2892" s="3" t="n">
        <v>0</v>
      </c>
      <c r="U2892" s="3" t="n">
        <v>0</v>
      </c>
      <c r="V2892" s="3" t="n">
        <f aca="false">SUM(P2892:Q2892)</f>
        <v>0</v>
      </c>
      <c r="W2892" s="3" t="n">
        <f aca="false">SUM(R2892:T2892)</f>
        <v>1</v>
      </c>
      <c r="X2892" s="22" t="n">
        <v>41793</v>
      </c>
      <c r="Y2892" s="22" t="n">
        <v>41798</v>
      </c>
    </row>
    <row r="2893" customFormat="false" ht="14.25" hidden="false" customHeight="false" outlineLevel="0" collapsed="false">
      <c r="A2893" s="1" t="n">
        <v>2014</v>
      </c>
      <c r="B2893" s="1" t="n">
        <v>1</v>
      </c>
      <c r="C2893" s="2" t="s">
        <v>44</v>
      </c>
      <c r="D2893" s="3" t="s">
        <v>118</v>
      </c>
      <c r="E2893" s="3" t="n">
        <v>2</v>
      </c>
      <c r="F2893" s="1" t="n">
        <f aca="false">Y2893-X2893</f>
        <v>5</v>
      </c>
      <c r="G2893" s="1" t="n">
        <v>5</v>
      </c>
      <c r="H2893" s="3" t="s">
        <v>72</v>
      </c>
      <c r="I2893" s="3" t="s">
        <v>242</v>
      </c>
      <c r="J2893" s="3" t="s">
        <v>254</v>
      </c>
      <c r="K2893" s="2" t="str">
        <f aca="false">CONCATENATE(I2893," ",J2893)</f>
        <v>Drassyllus praeficus</v>
      </c>
      <c r="L2893" s="3" t="n">
        <f aca="false">SUM(P2893:U2893)</f>
        <v>1</v>
      </c>
      <c r="M2893" s="11" t="n">
        <f aca="false">(L2893/(F2893*G2893)*25)*4</f>
        <v>4</v>
      </c>
      <c r="N2893" s="1" t="s">
        <v>30</v>
      </c>
      <c r="O2893" s="1" t="s">
        <v>35</v>
      </c>
      <c r="P2893" s="3" t="n">
        <v>0</v>
      </c>
      <c r="Q2893" s="3" t="n">
        <v>1</v>
      </c>
      <c r="R2893" s="3" t="n">
        <v>0</v>
      </c>
      <c r="S2893" s="3" t="n">
        <v>0</v>
      </c>
      <c r="T2893" s="3" t="n">
        <v>0</v>
      </c>
      <c r="U2893" s="3" t="n">
        <v>0</v>
      </c>
      <c r="V2893" s="3" t="n">
        <f aca="false">SUM(P2893:Q2893)</f>
        <v>1</v>
      </c>
      <c r="W2893" s="3" t="n">
        <f aca="false">SUM(R2893:T2893)</f>
        <v>0</v>
      </c>
      <c r="X2893" s="22" t="n">
        <v>41793</v>
      </c>
      <c r="Y2893" s="22" t="n">
        <v>41798</v>
      </c>
    </row>
    <row r="2894" customFormat="false" ht="14.25" hidden="false" customHeight="false" outlineLevel="0" collapsed="false">
      <c r="A2894" s="1" t="n">
        <v>2014</v>
      </c>
      <c r="B2894" s="1" t="n">
        <v>1</v>
      </c>
      <c r="C2894" s="2" t="s">
        <v>44</v>
      </c>
      <c r="D2894" s="3" t="s">
        <v>118</v>
      </c>
      <c r="E2894" s="3" t="n">
        <v>2</v>
      </c>
      <c r="F2894" s="1" t="n">
        <f aca="false">Y2894-X2894</f>
        <v>5</v>
      </c>
      <c r="G2894" s="1" t="n">
        <v>5</v>
      </c>
      <c r="H2894" s="3" t="s">
        <v>72</v>
      </c>
      <c r="I2894" s="3" t="s">
        <v>73</v>
      </c>
      <c r="J2894" s="3" t="s">
        <v>38</v>
      </c>
      <c r="K2894" s="2" t="str">
        <f aca="false">CONCATENATE(I2894," ",J2894)</f>
        <v>Zelotes sp</v>
      </c>
      <c r="L2894" s="3" t="n">
        <f aca="false">SUM(P2894:U2894)</f>
        <v>1</v>
      </c>
      <c r="M2894" s="11" t="n">
        <f aca="false">(L2894/(F2894*G2894)*25)*4</f>
        <v>4</v>
      </c>
      <c r="N2894" s="1" t="s">
        <v>19</v>
      </c>
      <c r="O2894" s="1" t="s">
        <v>35</v>
      </c>
      <c r="P2894" s="3" t="n">
        <v>0</v>
      </c>
      <c r="Q2894" s="3" t="n">
        <v>0</v>
      </c>
      <c r="R2894" s="3" t="n">
        <v>0</v>
      </c>
      <c r="S2894" s="3" t="n">
        <v>1</v>
      </c>
      <c r="T2894" s="3" t="n">
        <v>0</v>
      </c>
      <c r="U2894" s="3" t="n">
        <v>0</v>
      </c>
      <c r="V2894" s="3" t="n">
        <f aca="false">SUM(P2894:Q2894)</f>
        <v>0</v>
      </c>
      <c r="W2894" s="3" t="n">
        <f aca="false">SUM(R2894:T2894)</f>
        <v>1</v>
      </c>
      <c r="X2894" s="22" t="n">
        <v>41793</v>
      </c>
      <c r="Y2894" s="22" t="n">
        <v>41798</v>
      </c>
    </row>
    <row r="2895" customFormat="false" ht="14.25" hidden="false" customHeight="false" outlineLevel="0" collapsed="false">
      <c r="A2895" s="1" t="n">
        <v>2014</v>
      </c>
      <c r="B2895" s="1" t="n">
        <v>1</v>
      </c>
      <c r="C2895" s="2" t="s">
        <v>44</v>
      </c>
      <c r="D2895" s="3" t="s">
        <v>118</v>
      </c>
      <c r="E2895" s="3" t="n">
        <v>3</v>
      </c>
      <c r="F2895" s="1" t="n">
        <f aca="false">Y2895-X2895</f>
        <v>5</v>
      </c>
      <c r="G2895" s="1" t="n">
        <v>5</v>
      </c>
      <c r="H2895" s="3" t="s">
        <v>48</v>
      </c>
      <c r="I2895" s="3" t="s">
        <v>67</v>
      </c>
      <c r="J2895" s="3" t="s">
        <v>127</v>
      </c>
      <c r="K2895" s="2" t="str">
        <f aca="false">CONCATENATE(I2895," ",J2895)</f>
        <v>Pardosa lugubris</v>
      </c>
      <c r="L2895" s="3" t="n">
        <f aca="false">SUM(P2895:U2895)</f>
        <v>2</v>
      </c>
      <c r="M2895" s="11" t="n">
        <f aca="false">(L2895/(F2895*G2895)*25)*4</f>
        <v>8</v>
      </c>
      <c r="N2895" s="1" t="s">
        <v>30</v>
      </c>
      <c r="O2895" s="1" t="s">
        <v>31</v>
      </c>
      <c r="P2895" s="3" t="n">
        <v>2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0</v>
      </c>
      <c r="V2895" s="3" t="n">
        <f aca="false">SUM(P2895:Q2895)</f>
        <v>2</v>
      </c>
      <c r="W2895" s="3" t="n">
        <f aca="false">SUM(R2895:T2895)</f>
        <v>0</v>
      </c>
      <c r="X2895" s="22" t="n">
        <v>41793</v>
      </c>
      <c r="Y2895" s="22" t="n">
        <v>41798</v>
      </c>
    </row>
    <row r="2896" customFormat="false" ht="14.25" hidden="false" customHeight="false" outlineLevel="0" collapsed="false">
      <c r="A2896" s="1" t="n">
        <v>2014</v>
      </c>
      <c r="B2896" s="1" t="n">
        <v>1</v>
      </c>
      <c r="C2896" s="2" t="s">
        <v>44</v>
      </c>
      <c r="D2896" s="3" t="s">
        <v>118</v>
      </c>
      <c r="E2896" s="3" t="n">
        <v>3</v>
      </c>
      <c r="F2896" s="1" t="n">
        <f aca="false">Y2896-X2896</f>
        <v>5</v>
      </c>
      <c r="G2896" s="1" t="n">
        <v>5</v>
      </c>
      <c r="H2896" s="3" t="s">
        <v>48</v>
      </c>
      <c r="I2896" s="3" t="s">
        <v>122</v>
      </c>
      <c r="J2896" s="3" t="s">
        <v>123</v>
      </c>
      <c r="K2896" s="2" t="str">
        <f aca="false">CONCATENATE(I2896," ",J2896)</f>
        <v>Xerolycosa nemoralis</v>
      </c>
      <c r="L2896" s="3" t="n">
        <f aca="false">SUM(P2896:U2896)</f>
        <v>3</v>
      </c>
      <c r="M2896" s="11" t="n">
        <f aca="false">(L2896/(F2896*G2896)*25)*4</f>
        <v>12</v>
      </c>
      <c r="N2896" s="1" t="s">
        <v>30</v>
      </c>
      <c r="O2896" s="1" t="s">
        <v>31</v>
      </c>
      <c r="P2896" s="3" t="n">
        <v>3</v>
      </c>
      <c r="Q2896" s="3" t="n">
        <v>0</v>
      </c>
      <c r="R2896" s="3" t="n">
        <v>0</v>
      </c>
      <c r="S2896" s="3" t="n">
        <v>0</v>
      </c>
      <c r="T2896" s="3" t="n">
        <v>0</v>
      </c>
      <c r="U2896" s="3" t="n">
        <v>0</v>
      </c>
      <c r="V2896" s="3" t="n">
        <f aca="false">SUM(P2896:Q2896)</f>
        <v>3</v>
      </c>
      <c r="W2896" s="3" t="n">
        <f aca="false">SUM(R2896:T2896)</f>
        <v>0</v>
      </c>
      <c r="X2896" s="22" t="n">
        <v>41793</v>
      </c>
      <c r="Y2896" s="22" t="n">
        <v>41798</v>
      </c>
    </row>
    <row r="2897" customFormat="false" ht="14.25" hidden="false" customHeight="false" outlineLevel="0" collapsed="false">
      <c r="A2897" s="1" t="n">
        <v>2014</v>
      </c>
      <c r="B2897" s="1" t="n">
        <v>1</v>
      </c>
      <c r="C2897" s="2" t="s">
        <v>44</v>
      </c>
      <c r="D2897" s="3" t="s">
        <v>118</v>
      </c>
      <c r="E2897" s="3" t="n">
        <v>3</v>
      </c>
      <c r="F2897" s="1" t="n">
        <f aca="false">Y2897-X2897</f>
        <v>5</v>
      </c>
      <c r="G2897" s="1" t="n">
        <v>5</v>
      </c>
      <c r="H2897" s="3" t="s">
        <v>48</v>
      </c>
      <c r="I2897" s="3" t="s">
        <v>122</v>
      </c>
      <c r="J2897" s="3" t="s">
        <v>123</v>
      </c>
      <c r="K2897" s="2" t="str">
        <f aca="false">CONCATENATE(I2897," ",J2897)</f>
        <v>Xerolycosa nemoralis</v>
      </c>
      <c r="L2897" s="3" t="n">
        <f aca="false">SUM(P2897:U2897)</f>
        <v>1</v>
      </c>
      <c r="M2897" s="11" t="n">
        <f aca="false">(L2897/(F2897*G2897)*25)*4</f>
        <v>4</v>
      </c>
      <c r="N2897" s="1" t="s">
        <v>19</v>
      </c>
      <c r="O2897" s="1" t="s">
        <v>54</v>
      </c>
      <c r="P2897" s="3" t="n">
        <v>0</v>
      </c>
      <c r="Q2897" s="3" t="n">
        <v>0</v>
      </c>
      <c r="R2897" s="3" t="n">
        <v>0</v>
      </c>
      <c r="S2897" s="3" t="n">
        <v>0</v>
      </c>
      <c r="T2897" s="3" t="n">
        <v>1</v>
      </c>
      <c r="U2897" s="3" t="n">
        <v>0</v>
      </c>
      <c r="V2897" s="3" t="n">
        <f aca="false">SUM(P2897:Q2897)</f>
        <v>0</v>
      </c>
      <c r="W2897" s="3" t="n">
        <f aca="false">SUM(R2897:T2897)</f>
        <v>1</v>
      </c>
      <c r="X2897" s="22" t="n">
        <v>41793</v>
      </c>
      <c r="Y2897" s="22" t="n">
        <v>41798</v>
      </c>
    </row>
    <row r="2898" customFormat="false" ht="14.25" hidden="false" customHeight="false" outlineLevel="0" collapsed="false">
      <c r="A2898" s="1" t="n">
        <v>2014</v>
      </c>
      <c r="B2898" s="1" t="n">
        <v>1</v>
      </c>
      <c r="C2898" s="2" t="s">
        <v>44</v>
      </c>
      <c r="D2898" s="3" t="s">
        <v>118</v>
      </c>
      <c r="E2898" s="3" t="n">
        <v>3</v>
      </c>
      <c r="F2898" s="1" t="n">
        <f aca="false">Y2898-X2898</f>
        <v>5</v>
      </c>
      <c r="G2898" s="1" t="n">
        <v>5</v>
      </c>
      <c r="H2898" s="3" t="s">
        <v>48</v>
      </c>
      <c r="I2898" s="3" t="s">
        <v>49</v>
      </c>
      <c r="J2898" s="3" t="s">
        <v>130</v>
      </c>
      <c r="K2898" s="2" t="str">
        <f aca="false">CONCATENATE(I2898," ",J2898)</f>
        <v>Alopecosa aculeata</v>
      </c>
      <c r="L2898" s="3" t="n">
        <f aca="false">SUM(P2898:U2898)</f>
        <v>3</v>
      </c>
      <c r="M2898" s="11" t="n">
        <f aca="false">(L2898/(F2898*G2898)*25)*4</f>
        <v>12</v>
      </c>
      <c r="N2898" s="1" t="s">
        <v>30</v>
      </c>
      <c r="O2898" s="1" t="s">
        <v>31</v>
      </c>
      <c r="P2898" s="3" t="n">
        <v>3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f aca="false">SUM(P2898:Q2898)</f>
        <v>3</v>
      </c>
      <c r="W2898" s="3" t="n">
        <f aca="false">SUM(R2898:T2898)</f>
        <v>0</v>
      </c>
      <c r="X2898" s="22" t="n">
        <v>41793</v>
      </c>
      <c r="Y2898" s="22" t="n">
        <v>41798</v>
      </c>
    </row>
    <row r="2899" customFormat="false" ht="14.25" hidden="false" customHeight="false" outlineLevel="0" collapsed="false">
      <c r="A2899" s="1" t="n">
        <v>2014</v>
      </c>
      <c r="B2899" s="1" t="n">
        <v>1</v>
      </c>
      <c r="C2899" s="2" t="s">
        <v>44</v>
      </c>
      <c r="D2899" s="3" t="s">
        <v>118</v>
      </c>
      <c r="E2899" s="3" t="n">
        <v>3</v>
      </c>
      <c r="F2899" s="1" t="n">
        <f aca="false">Y2899-X2899</f>
        <v>5</v>
      </c>
      <c r="G2899" s="1" t="n">
        <v>5</v>
      </c>
      <c r="H2899" s="3" t="s">
        <v>48</v>
      </c>
      <c r="I2899" s="3" t="s">
        <v>49</v>
      </c>
      <c r="J2899" s="3" t="s">
        <v>130</v>
      </c>
      <c r="K2899" s="2" t="str">
        <f aca="false">CONCATENATE(I2899," ",J2899)</f>
        <v>Alopecosa aculeata</v>
      </c>
      <c r="L2899" s="3" t="n">
        <f aca="false">SUM(P2899:U2899)</f>
        <v>2</v>
      </c>
      <c r="M2899" s="11" t="n">
        <f aca="false">(L2899/(F2899*G2899)*25)*4</f>
        <v>8</v>
      </c>
      <c r="N2899" s="1" t="s">
        <v>30</v>
      </c>
      <c r="O2899" s="1" t="s">
        <v>35</v>
      </c>
      <c r="P2899" s="3" t="n">
        <v>0</v>
      </c>
      <c r="Q2899" s="3" t="n">
        <v>2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f aca="false">SUM(P2899:Q2899)</f>
        <v>2</v>
      </c>
      <c r="W2899" s="3" t="n">
        <f aca="false">SUM(R2899:T2899)</f>
        <v>0</v>
      </c>
      <c r="X2899" s="22" t="n">
        <v>41793</v>
      </c>
      <c r="Y2899" s="22" t="n">
        <v>41798</v>
      </c>
    </row>
    <row r="2900" customFormat="false" ht="14.25" hidden="false" customHeight="false" outlineLevel="0" collapsed="false">
      <c r="A2900" s="1" t="n">
        <v>2014</v>
      </c>
      <c r="B2900" s="1" t="n">
        <v>1</v>
      </c>
      <c r="C2900" s="2" t="s">
        <v>44</v>
      </c>
      <c r="D2900" s="3" t="s">
        <v>118</v>
      </c>
      <c r="E2900" s="3" t="n">
        <v>3</v>
      </c>
      <c r="F2900" s="1" t="n">
        <f aca="false">Y2900-X2900</f>
        <v>5</v>
      </c>
      <c r="G2900" s="1" t="n">
        <v>5</v>
      </c>
      <c r="H2900" s="3" t="s">
        <v>48</v>
      </c>
      <c r="I2900" s="3" t="s">
        <v>49</v>
      </c>
      <c r="J2900" s="3" t="s">
        <v>119</v>
      </c>
      <c r="K2900" s="2" t="str">
        <f aca="false">CONCATENATE(I2900," ",J2900)</f>
        <v>Alopecosa sulzeri</v>
      </c>
      <c r="L2900" s="3" t="n">
        <f aca="false">SUM(P2900:U2900)</f>
        <v>1</v>
      </c>
      <c r="M2900" s="11" t="n">
        <f aca="false">(L2900/(F2900*G2900)*25)*4</f>
        <v>4</v>
      </c>
      <c r="N2900" s="1" t="s">
        <v>30</v>
      </c>
      <c r="O2900" s="1" t="s">
        <v>31</v>
      </c>
      <c r="P2900" s="3" t="n">
        <v>1</v>
      </c>
      <c r="Q2900" s="3" t="n">
        <v>0</v>
      </c>
      <c r="R2900" s="3" t="n">
        <v>0</v>
      </c>
      <c r="S2900" s="3" t="n">
        <v>0</v>
      </c>
      <c r="T2900" s="3" t="n">
        <v>0</v>
      </c>
      <c r="U2900" s="3" t="n">
        <v>0</v>
      </c>
      <c r="V2900" s="3" t="n">
        <f aca="false">SUM(P2900:Q2900)</f>
        <v>1</v>
      </c>
      <c r="W2900" s="3" t="n">
        <f aca="false">SUM(R2900:T2900)</f>
        <v>0</v>
      </c>
      <c r="X2900" s="22" t="n">
        <v>41793</v>
      </c>
      <c r="Y2900" s="22" t="n">
        <v>41798</v>
      </c>
    </row>
    <row r="2901" customFormat="false" ht="14.25" hidden="false" customHeight="false" outlineLevel="0" collapsed="false">
      <c r="A2901" s="1" t="n">
        <v>2014</v>
      </c>
      <c r="B2901" s="1" t="n">
        <v>1</v>
      </c>
      <c r="C2901" s="2" t="s">
        <v>44</v>
      </c>
      <c r="D2901" s="3" t="s">
        <v>118</v>
      </c>
      <c r="E2901" s="3" t="n">
        <v>3</v>
      </c>
      <c r="F2901" s="1" t="n">
        <f aca="false">Y2901-X2901</f>
        <v>5</v>
      </c>
      <c r="G2901" s="1" t="n">
        <v>5</v>
      </c>
      <c r="H2901" s="3" t="s">
        <v>72</v>
      </c>
      <c r="I2901" s="3" t="s">
        <v>73</v>
      </c>
      <c r="J2901" s="3" t="s">
        <v>38</v>
      </c>
      <c r="K2901" s="2" t="str">
        <f aca="false">CONCATENATE(I2901," ",J2901)</f>
        <v>Zelotes sp</v>
      </c>
      <c r="L2901" s="3" t="n">
        <f aca="false">SUM(P2901:U2901)</f>
        <v>1</v>
      </c>
      <c r="M2901" s="11" t="n">
        <f aca="false">(L2901/(F2901*G2901)*25)*4</f>
        <v>4</v>
      </c>
      <c r="N2901" s="1" t="s">
        <v>19</v>
      </c>
      <c r="O2901" s="1" t="s">
        <v>35</v>
      </c>
      <c r="P2901" s="3" t="n">
        <v>0</v>
      </c>
      <c r="Q2901" s="3" t="n">
        <v>0</v>
      </c>
      <c r="R2901" s="3" t="n">
        <v>0</v>
      </c>
      <c r="S2901" s="3" t="n">
        <v>1</v>
      </c>
      <c r="T2901" s="3" t="n">
        <v>0</v>
      </c>
      <c r="U2901" s="3" t="n">
        <v>0</v>
      </c>
      <c r="V2901" s="3" t="n">
        <f aca="false">SUM(P2901:Q2901)</f>
        <v>0</v>
      </c>
      <c r="W2901" s="3" t="n">
        <f aca="false">SUM(R2901:T2901)</f>
        <v>1</v>
      </c>
      <c r="X2901" s="22" t="n">
        <v>41793</v>
      </c>
      <c r="Y2901" s="22" t="n">
        <v>41798</v>
      </c>
    </row>
    <row r="2902" customFormat="false" ht="14.25" hidden="false" customHeight="false" outlineLevel="0" collapsed="false">
      <c r="A2902" s="1" t="n">
        <v>2014</v>
      </c>
      <c r="B2902" s="1" t="n">
        <v>1</v>
      </c>
      <c r="C2902" s="2" t="s">
        <v>44</v>
      </c>
      <c r="D2902" s="3" t="s">
        <v>118</v>
      </c>
      <c r="E2902" s="3" t="n">
        <v>3</v>
      </c>
      <c r="F2902" s="1" t="n">
        <f aca="false">Y2902-X2902</f>
        <v>5</v>
      </c>
      <c r="G2902" s="1" t="n">
        <v>5</v>
      </c>
      <c r="H2902" s="3" t="s">
        <v>72</v>
      </c>
      <c r="I2902" s="3" t="s">
        <v>57</v>
      </c>
      <c r="J2902" s="3" t="s">
        <v>38</v>
      </c>
      <c r="K2902" s="2" t="str">
        <f aca="false">CONCATENATE(I2902," ",J2902)</f>
        <v>Gen sp</v>
      </c>
      <c r="L2902" s="3" t="n">
        <f aca="false">SUM(P2902:U2902)</f>
        <v>1</v>
      </c>
      <c r="M2902" s="11" t="n">
        <f aca="false">(L2902/(F2902*G2902)*25)*4</f>
        <v>4</v>
      </c>
      <c r="N2902" s="1" t="s">
        <v>19</v>
      </c>
      <c r="O2902" s="1" t="s">
        <v>54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1</v>
      </c>
      <c r="U2902" s="3" t="n">
        <v>0</v>
      </c>
      <c r="V2902" s="3" t="n">
        <f aca="false">SUM(P2902:Q2902)</f>
        <v>0</v>
      </c>
      <c r="W2902" s="3" t="n">
        <f aca="false">SUM(R2902:T2902)</f>
        <v>1</v>
      </c>
      <c r="X2902" s="22" t="n">
        <v>41793</v>
      </c>
      <c r="Y2902" s="22" t="n">
        <v>41798</v>
      </c>
    </row>
    <row r="2903" customFormat="false" ht="14.25" hidden="false" customHeight="false" outlineLevel="0" collapsed="false">
      <c r="A2903" s="1" t="n">
        <v>2014</v>
      </c>
      <c r="B2903" s="1" t="n">
        <v>1</v>
      </c>
      <c r="C2903" s="2" t="s">
        <v>44</v>
      </c>
      <c r="D2903" s="3" t="s">
        <v>118</v>
      </c>
      <c r="E2903" s="3" t="n">
        <v>1</v>
      </c>
      <c r="F2903" s="1" t="n">
        <f aca="false">Y2903-X2903</f>
        <v>5</v>
      </c>
      <c r="G2903" s="1" t="n">
        <v>5</v>
      </c>
      <c r="H2903" s="3" t="s">
        <v>48</v>
      </c>
      <c r="I2903" s="3" t="s">
        <v>67</v>
      </c>
      <c r="J2903" s="3" t="s">
        <v>127</v>
      </c>
      <c r="K2903" s="2" t="str">
        <f aca="false">CONCATENATE(I2903," ",J2903)</f>
        <v>Pardosa lugubris</v>
      </c>
      <c r="L2903" s="3" t="n">
        <f aca="false">SUM(P2903:U2903)</f>
        <v>1</v>
      </c>
      <c r="M2903" s="11" t="n">
        <f aca="false">(L2903/(F2903*G2903)*25)*4</f>
        <v>4</v>
      </c>
      <c r="N2903" s="1" t="s">
        <v>30</v>
      </c>
      <c r="O2903" s="1" t="s">
        <v>31</v>
      </c>
      <c r="P2903" s="3" t="n">
        <v>1</v>
      </c>
      <c r="Q2903" s="3" t="n">
        <v>0</v>
      </c>
      <c r="R2903" s="3" t="n">
        <v>0</v>
      </c>
      <c r="S2903" s="3" t="n">
        <v>0</v>
      </c>
      <c r="T2903" s="3" t="n">
        <v>0</v>
      </c>
      <c r="U2903" s="3" t="n">
        <v>0</v>
      </c>
      <c r="V2903" s="3" t="n">
        <f aca="false">SUM(P2903:Q2903)</f>
        <v>1</v>
      </c>
      <c r="W2903" s="3" t="n">
        <f aca="false">SUM(R2903:T2903)</f>
        <v>0</v>
      </c>
      <c r="X2903" s="22" t="n">
        <v>41793</v>
      </c>
      <c r="Y2903" s="22" t="n">
        <v>41798</v>
      </c>
    </row>
    <row r="2904" customFormat="false" ht="14.25" hidden="false" customHeight="false" outlineLevel="0" collapsed="false">
      <c r="A2904" s="1" t="n">
        <v>2014</v>
      </c>
      <c r="B2904" s="1" t="n">
        <v>1</v>
      </c>
      <c r="C2904" s="2" t="s">
        <v>44</v>
      </c>
      <c r="D2904" s="3" t="s">
        <v>118</v>
      </c>
      <c r="E2904" s="3" t="n">
        <v>1</v>
      </c>
      <c r="F2904" s="1" t="n">
        <f aca="false">Y2904-X2904</f>
        <v>5</v>
      </c>
      <c r="G2904" s="1" t="n">
        <v>5</v>
      </c>
      <c r="H2904" s="3" t="s">
        <v>48</v>
      </c>
      <c r="I2904" s="3" t="s">
        <v>122</v>
      </c>
      <c r="J2904" s="3" t="s">
        <v>123</v>
      </c>
      <c r="K2904" s="2" t="str">
        <f aca="false">CONCATENATE(I2904," ",J2904)</f>
        <v>Xerolycosa nemoralis</v>
      </c>
      <c r="L2904" s="3" t="n">
        <f aca="false">SUM(P2904:U2904)</f>
        <v>3</v>
      </c>
      <c r="M2904" s="11" t="n">
        <f aca="false">(L2904/(F2904*G2904)*25)*4</f>
        <v>12</v>
      </c>
      <c r="N2904" s="1" t="s">
        <v>30</v>
      </c>
      <c r="O2904" s="1" t="s">
        <v>31</v>
      </c>
      <c r="P2904" s="3" t="n">
        <v>3</v>
      </c>
      <c r="Q2904" s="3" t="n">
        <v>0</v>
      </c>
      <c r="R2904" s="3" t="n">
        <v>0</v>
      </c>
      <c r="S2904" s="3" t="n">
        <v>0</v>
      </c>
      <c r="T2904" s="3" t="n">
        <v>0</v>
      </c>
      <c r="U2904" s="3" t="n">
        <v>0</v>
      </c>
      <c r="V2904" s="3" t="n">
        <f aca="false">SUM(P2904:Q2904)</f>
        <v>3</v>
      </c>
      <c r="W2904" s="3" t="n">
        <f aca="false">SUM(R2904:T2904)</f>
        <v>0</v>
      </c>
      <c r="X2904" s="22" t="n">
        <v>41793</v>
      </c>
      <c r="Y2904" s="22" t="n">
        <v>41798</v>
      </c>
    </row>
    <row r="2905" customFormat="false" ht="14.25" hidden="false" customHeight="false" outlineLevel="0" collapsed="false">
      <c r="A2905" s="1" t="n">
        <v>2014</v>
      </c>
      <c r="B2905" s="1" t="n">
        <v>1</v>
      </c>
      <c r="C2905" s="2" t="s">
        <v>44</v>
      </c>
      <c r="D2905" s="3" t="s">
        <v>118</v>
      </c>
      <c r="E2905" s="3" t="n">
        <v>1</v>
      </c>
      <c r="F2905" s="1" t="n">
        <f aca="false">Y2905-X2905</f>
        <v>5</v>
      </c>
      <c r="G2905" s="1" t="n">
        <v>5</v>
      </c>
      <c r="H2905" s="3" t="s">
        <v>48</v>
      </c>
      <c r="I2905" s="3" t="s">
        <v>49</v>
      </c>
      <c r="J2905" s="3" t="s">
        <v>119</v>
      </c>
      <c r="K2905" s="2" t="str">
        <f aca="false">CONCATENATE(I2905," ",J2905)</f>
        <v>Alopecosa sulzeri</v>
      </c>
      <c r="L2905" s="3" t="n">
        <f aca="false">SUM(P2905:U2905)</f>
        <v>3</v>
      </c>
      <c r="M2905" s="11" t="n">
        <f aca="false">(L2905/(F2905*G2905)*25)*4</f>
        <v>12</v>
      </c>
      <c r="N2905" s="1" t="s">
        <v>30</v>
      </c>
      <c r="O2905" s="1" t="s">
        <v>31</v>
      </c>
      <c r="P2905" s="3" t="n">
        <v>3</v>
      </c>
      <c r="Q2905" s="3" t="n">
        <v>0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f aca="false">SUM(P2905:Q2905)</f>
        <v>3</v>
      </c>
      <c r="W2905" s="3" t="n">
        <f aca="false">SUM(R2905:T2905)</f>
        <v>0</v>
      </c>
      <c r="X2905" s="22" t="n">
        <v>41793</v>
      </c>
      <c r="Y2905" s="22" t="n">
        <v>41798</v>
      </c>
    </row>
    <row r="2906" customFormat="false" ht="14.25" hidden="false" customHeight="false" outlineLevel="0" collapsed="false">
      <c r="A2906" s="1" t="n">
        <v>2014</v>
      </c>
      <c r="B2906" s="1" t="n">
        <v>1</v>
      </c>
      <c r="C2906" s="2" t="s">
        <v>44</v>
      </c>
      <c r="D2906" s="3" t="s">
        <v>118</v>
      </c>
      <c r="E2906" s="3" t="n">
        <v>1</v>
      </c>
      <c r="F2906" s="1" t="n">
        <f aca="false">Y2906-X2906</f>
        <v>5</v>
      </c>
      <c r="G2906" s="1" t="n">
        <v>5</v>
      </c>
      <c r="H2906" s="3" t="s">
        <v>48</v>
      </c>
      <c r="I2906" s="3" t="s">
        <v>49</v>
      </c>
      <c r="J2906" s="3" t="s">
        <v>130</v>
      </c>
      <c r="K2906" s="2" t="str">
        <f aca="false">CONCATENATE(I2906," ",J2906)</f>
        <v>Alopecosa aculeata</v>
      </c>
      <c r="L2906" s="3" t="n">
        <f aca="false">SUM(P2906:U2906)</f>
        <v>1</v>
      </c>
      <c r="M2906" s="11" t="n">
        <f aca="false">(L2906/(F2906*G2906)*25)*4</f>
        <v>4</v>
      </c>
      <c r="N2906" s="1" t="s">
        <v>30</v>
      </c>
      <c r="O2906" s="1" t="s">
        <v>31</v>
      </c>
      <c r="P2906" s="3" t="n">
        <v>1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f aca="false">SUM(P2906:Q2906)</f>
        <v>1</v>
      </c>
      <c r="W2906" s="3" t="n">
        <f aca="false">SUM(R2906:T2906)</f>
        <v>0</v>
      </c>
      <c r="X2906" s="22" t="n">
        <v>41793</v>
      </c>
      <c r="Y2906" s="22" t="n">
        <v>41798</v>
      </c>
    </row>
    <row r="2907" customFormat="false" ht="14.25" hidden="false" customHeight="false" outlineLevel="0" collapsed="false">
      <c r="A2907" s="1" t="n">
        <v>2014</v>
      </c>
      <c r="B2907" s="1" t="n">
        <v>1</v>
      </c>
      <c r="C2907" s="2" t="s">
        <v>44</v>
      </c>
      <c r="D2907" s="3" t="s">
        <v>118</v>
      </c>
      <c r="E2907" s="3" t="n">
        <v>1</v>
      </c>
      <c r="F2907" s="1" t="n">
        <f aca="false">Y2907-X2907</f>
        <v>5</v>
      </c>
      <c r="G2907" s="1" t="n">
        <v>5</v>
      </c>
      <c r="H2907" s="3" t="s">
        <v>72</v>
      </c>
      <c r="I2907" s="3" t="s">
        <v>139</v>
      </c>
      <c r="J2907" s="3" t="s">
        <v>140</v>
      </c>
      <c r="K2907" s="2" t="str">
        <f aca="false">CONCATENATE(I2907," ",J2907)</f>
        <v>Gnaphosa muscorum</v>
      </c>
      <c r="L2907" s="3" t="n">
        <f aca="false">SUM(P2907:U2907)</f>
        <v>3</v>
      </c>
      <c r="M2907" s="11" t="n">
        <f aca="false">(L2907/(F2907*G2907)*25)*4</f>
        <v>12</v>
      </c>
      <c r="N2907" s="1" t="s">
        <v>30</v>
      </c>
      <c r="O2907" s="1" t="s">
        <v>31</v>
      </c>
      <c r="P2907" s="3" t="n">
        <v>3</v>
      </c>
      <c r="Q2907" s="3" t="n">
        <v>0</v>
      </c>
      <c r="R2907" s="3" t="n">
        <v>0</v>
      </c>
      <c r="S2907" s="3" t="n">
        <v>0</v>
      </c>
      <c r="T2907" s="3" t="n">
        <v>0</v>
      </c>
      <c r="U2907" s="3" t="n">
        <v>0</v>
      </c>
      <c r="V2907" s="3" t="n">
        <f aca="false">SUM(P2907:Q2907)</f>
        <v>3</v>
      </c>
      <c r="W2907" s="3" t="n">
        <f aca="false">SUM(R2907:T2907)</f>
        <v>0</v>
      </c>
      <c r="X2907" s="22" t="n">
        <v>41793</v>
      </c>
      <c r="Y2907" s="22" t="n">
        <v>41798</v>
      </c>
    </row>
    <row r="2908" customFormat="false" ht="14.25" hidden="false" customHeight="false" outlineLevel="0" collapsed="false">
      <c r="A2908" s="1" t="n">
        <v>2014</v>
      </c>
      <c r="B2908" s="1" t="n">
        <v>1</v>
      </c>
      <c r="C2908" s="2" t="s">
        <v>44</v>
      </c>
      <c r="D2908" s="3" t="s">
        <v>118</v>
      </c>
      <c r="E2908" s="3" t="n">
        <v>2</v>
      </c>
      <c r="F2908" s="1" t="n">
        <f aca="false">Y2908-X2908</f>
        <v>5</v>
      </c>
      <c r="G2908" s="1" t="n">
        <v>5</v>
      </c>
      <c r="H2908" s="3" t="s">
        <v>48</v>
      </c>
      <c r="I2908" s="3" t="s">
        <v>122</v>
      </c>
      <c r="J2908" s="3" t="s">
        <v>123</v>
      </c>
      <c r="K2908" s="2" t="str">
        <f aca="false">CONCATENATE(I2908," ",J2908)</f>
        <v>Xerolycosa nemoralis</v>
      </c>
      <c r="L2908" s="3" t="n">
        <f aca="false">SUM(P2908:U2908)</f>
        <v>4</v>
      </c>
      <c r="M2908" s="11" t="n">
        <f aca="false">(L2908/(F2908*G2908)*25)*4</f>
        <v>16</v>
      </c>
      <c r="N2908" s="1" t="s">
        <v>30</v>
      </c>
      <c r="O2908" s="1" t="s">
        <v>31</v>
      </c>
      <c r="P2908" s="3" t="n">
        <v>4</v>
      </c>
      <c r="Q2908" s="3" t="n">
        <v>0</v>
      </c>
      <c r="R2908" s="3" t="n">
        <v>0</v>
      </c>
      <c r="S2908" s="3" t="n">
        <v>0</v>
      </c>
      <c r="T2908" s="3" t="n">
        <v>0</v>
      </c>
      <c r="U2908" s="3" t="n">
        <v>0</v>
      </c>
      <c r="V2908" s="3" t="n">
        <f aca="false">SUM(P2908:Q2908)</f>
        <v>4</v>
      </c>
      <c r="W2908" s="3" t="n">
        <f aca="false">SUM(R2908:T2908)</f>
        <v>0</v>
      </c>
      <c r="X2908" s="22" t="n">
        <v>41793</v>
      </c>
      <c r="Y2908" s="22" t="n">
        <v>41798</v>
      </c>
    </row>
    <row r="2909" customFormat="false" ht="14.25" hidden="false" customHeight="false" outlineLevel="0" collapsed="false">
      <c r="A2909" s="1" t="n">
        <v>2014</v>
      </c>
      <c r="B2909" s="1" t="n">
        <v>1</v>
      </c>
      <c r="C2909" s="2" t="s">
        <v>44</v>
      </c>
      <c r="D2909" s="3" t="s">
        <v>118</v>
      </c>
      <c r="E2909" s="3" t="n">
        <v>2</v>
      </c>
      <c r="F2909" s="1" t="n">
        <f aca="false">Y2909-X2909</f>
        <v>5</v>
      </c>
      <c r="G2909" s="1" t="n">
        <v>5</v>
      </c>
      <c r="H2909" s="3" t="s">
        <v>48</v>
      </c>
      <c r="I2909" s="3" t="s">
        <v>122</v>
      </c>
      <c r="J2909" s="3" t="s">
        <v>123</v>
      </c>
      <c r="K2909" s="2" t="str">
        <f aca="false">CONCATENATE(I2909," ",J2909)</f>
        <v>Xerolycosa nemoralis</v>
      </c>
      <c r="L2909" s="3" t="n">
        <f aca="false">SUM(P2909:U2909)</f>
        <v>1</v>
      </c>
      <c r="M2909" s="11" t="n">
        <f aca="false">(L2909/(F2909*G2909)*25)*4</f>
        <v>4</v>
      </c>
      <c r="N2909" s="1" t="s">
        <v>30</v>
      </c>
      <c r="O2909" s="1" t="s">
        <v>35</v>
      </c>
      <c r="P2909" s="3" t="n">
        <v>0</v>
      </c>
      <c r="Q2909" s="3" t="n">
        <v>1</v>
      </c>
      <c r="R2909" s="3" t="n">
        <v>0</v>
      </c>
      <c r="S2909" s="3" t="n">
        <v>0</v>
      </c>
      <c r="T2909" s="3" t="n">
        <v>0</v>
      </c>
      <c r="U2909" s="3" t="n">
        <v>0</v>
      </c>
      <c r="V2909" s="3" t="n">
        <f aca="false">SUM(P2909:Q2909)</f>
        <v>1</v>
      </c>
      <c r="W2909" s="3" t="n">
        <f aca="false">SUM(R2909:T2909)</f>
        <v>0</v>
      </c>
      <c r="X2909" s="22" t="n">
        <v>41793</v>
      </c>
      <c r="Y2909" s="22" t="n">
        <v>41798</v>
      </c>
    </row>
    <row r="2910" customFormat="false" ht="14.25" hidden="false" customHeight="false" outlineLevel="0" collapsed="false">
      <c r="A2910" s="1" t="n">
        <v>2014</v>
      </c>
      <c r="B2910" s="1" t="n">
        <v>1</v>
      </c>
      <c r="C2910" s="2" t="s">
        <v>44</v>
      </c>
      <c r="D2910" s="3" t="s">
        <v>118</v>
      </c>
      <c r="E2910" s="3" t="n">
        <v>2</v>
      </c>
      <c r="F2910" s="1" t="n">
        <f aca="false">Y2910-X2910</f>
        <v>5</v>
      </c>
      <c r="G2910" s="1" t="n">
        <v>5</v>
      </c>
      <c r="H2910" s="3" t="s">
        <v>48</v>
      </c>
      <c r="I2910" s="3" t="s">
        <v>49</v>
      </c>
      <c r="J2910" s="3" t="s">
        <v>130</v>
      </c>
      <c r="K2910" s="2" t="str">
        <f aca="false">CONCATENATE(I2910," ",J2910)</f>
        <v>Alopecosa aculeata</v>
      </c>
      <c r="L2910" s="3" t="n">
        <f aca="false">SUM(P2910:U2910)</f>
        <v>1</v>
      </c>
      <c r="M2910" s="11" t="n">
        <f aca="false">(L2910/(F2910*G2910)*25)*4</f>
        <v>4</v>
      </c>
      <c r="N2910" s="1" t="s">
        <v>30</v>
      </c>
      <c r="O2910" s="1" t="s">
        <v>31</v>
      </c>
      <c r="P2910" s="3" t="n">
        <v>1</v>
      </c>
      <c r="Q2910" s="3" t="n">
        <v>0</v>
      </c>
      <c r="R2910" s="3" t="n">
        <v>0</v>
      </c>
      <c r="S2910" s="3" t="n">
        <v>0</v>
      </c>
      <c r="T2910" s="3" t="n">
        <v>0</v>
      </c>
      <c r="U2910" s="3" t="n">
        <v>0</v>
      </c>
      <c r="V2910" s="3" t="n">
        <f aca="false">SUM(P2910:Q2910)</f>
        <v>1</v>
      </c>
      <c r="W2910" s="3" t="n">
        <f aca="false">SUM(R2910:T2910)</f>
        <v>0</v>
      </c>
      <c r="X2910" s="22" t="n">
        <v>41793</v>
      </c>
      <c r="Y2910" s="22" t="n">
        <v>41798</v>
      </c>
    </row>
    <row r="2911" customFormat="false" ht="14.25" hidden="false" customHeight="false" outlineLevel="0" collapsed="false">
      <c r="A2911" s="1" t="n">
        <v>2014</v>
      </c>
      <c r="B2911" s="1" t="n">
        <v>1</v>
      </c>
      <c r="C2911" s="2" t="s">
        <v>44</v>
      </c>
      <c r="D2911" s="3" t="s">
        <v>118</v>
      </c>
      <c r="E2911" s="3" t="n">
        <v>2</v>
      </c>
      <c r="F2911" s="1" t="n">
        <f aca="false">Y2911-X2911</f>
        <v>5</v>
      </c>
      <c r="G2911" s="1" t="n">
        <v>5</v>
      </c>
      <c r="H2911" s="3" t="s">
        <v>48</v>
      </c>
      <c r="I2911" s="3" t="s">
        <v>67</v>
      </c>
      <c r="J2911" s="3" t="s">
        <v>38</v>
      </c>
      <c r="K2911" s="2" t="str">
        <f aca="false">CONCATENATE(I2911," ",J2911)</f>
        <v>Pardosa sp</v>
      </c>
      <c r="L2911" s="3" t="n">
        <f aca="false">SUM(P2911:U2911)</f>
        <v>1</v>
      </c>
      <c r="M2911" s="11" t="n">
        <f aca="false">(L2911/(F2911*G2911)*25)*4</f>
        <v>4</v>
      </c>
      <c r="N2911" s="1" t="s">
        <v>19</v>
      </c>
      <c r="O2911" s="1" t="s">
        <v>31</v>
      </c>
      <c r="P2911" s="3" t="n">
        <v>0</v>
      </c>
      <c r="Q2911" s="3" t="n">
        <v>0</v>
      </c>
      <c r="R2911" s="3" t="n">
        <v>1</v>
      </c>
      <c r="S2911" s="3" t="n">
        <v>0</v>
      </c>
      <c r="T2911" s="3" t="n">
        <v>0</v>
      </c>
      <c r="U2911" s="3" t="n">
        <v>0</v>
      </c>
      <c r="V2911" s="3" t="n">
        <f aca="false">SUM(P2911:Q2911)</f>
        <v>0</v>
      </c>
      <c r="W2911" s="3" t="n">
        <f aca="false">SUM(R2911:T2911)</f>
        <v>1</v>
      </c>
      <c r="X2911" s="22" t="n">
        <v>41793</v>
      </c>
      <c r="Y2911" s="22" t="n">
        <v>41798</v>
      </c>
    </row>
    <row r="2912" customFormat="false" ht="14.25" hidden="false" customHeight="false" outlineLevel="0" collapsed="false">
      <c r="A2912" s="1" t="n">
        <v>2014</v>
      </c>
      <c r="B2912" s="1" t="n">
        <v>1</v>
      </c>
      <c r="C2912" s="2" t="s">
        <v>44</v>
      </c>
      <c r="D2912" s="3" t="s">
        <v>118</v>
      </c>
      <c r="E2912" s="3" t="n">
        <v>2</v>
      </c>
      <c r="F2912" s="1" t="n">
        <f aca="false">Y2912-X2912</f>
        <v>5</v>
      </c>
      <c r="G2912" s="1" t="n">
        <v>5</v>
      </c>
      <c r="H2912" s="3" t="s">
        <v>36</v>
      </c>
      <c r="I2912" s="3" t="s">
        <v>131</v>
      </c>
      <c r="J2912" s="3" t="s">
        <v>255</v>
      </c>
      <c r="K2912" s="2" t="str">
        <f aca="false">CONCATENATE(I2912," ",J2912)</f>
        <v>Xysticus audax</v>
      </c>
      <c r="L2912" s="3" t="n">
        <f aca="false">SUM(P2912:U2912)</f>
        <v>1</v>
      </c>
      <c r="M2912" s="11" t="n">
        <f aca="false">(L2912/(F2912*G2912)*25)*4</f>
        <v>4</v>
      </c>
      <c r="N2912" s="1" t="s">
        <v>30</v>
      </c>
      <c r="O2912" s="1" t="s">
        <v>31</v>
      </c>
      <c r="P2912" s="3" t="n">
        <v>1</v>
      </c>
      <c r="Q2912" s="3" t="n">
        <v>0</v>
      </c>
      <c r="R2912" s="3" t="n">
        <v>0</v>
      </c>
      <c r="S2912" s="3" t="n">
        <v>0</v>
      </c>
      <c r="T2912" s="3" t="n">
        <v>0</v>
      </c>
      <c r="U2912" s="3" t="n">
        <v>0</v>
      </c>
      <c r="V2912" s="3" t="n">
        <f aca="false">SUM(P2912:Q2912)</f>
        <v>1</v>
      </c>
      <c r="W2912" s="3" t="n">
        <f aca="false">SUM(R2912:T2912)</f>
        <v>0</v>
      </c>
      <c r="X2912" s="22" t="n">
        <v>41793</v>
      </c>
      <c r="Y2912" s="22" t="n">
        <v>41798</v>
      </c>
    </row>
    <row r="2913" customFormat="false" ht="14.25" hidden="false" customHeight="false" outlineLevel="0" collapsed="false">
      <c r="A2913" s="1" t="n">
        <v>2014</v>
      </c>
      <c r="B2913" s="1" t="n">
        <v>1</v>
      </c>
      <c r="C2913" s="2" t="s">
        <v>44</v>
      </c>
      <c r="D2913" s="3" t="s">
        <v>118</v>
      </c>
      <c r="E2913" s="3" t="n">
        <v>2</v>
      </c>
      <c r="F2913" s="1" t="n">
        <f aca="false">Y2913-X2913</f>
        <v>5</v>
      </c>
      <c r="G2913" s="1" t="n">
        <v>5</v>
      </c>
      <c r="H2913" s="3" t="s">
        <v>72</v>
      </c>
      <c r="I2913" s="3" t="s">
        <v>139</v>
      </c>
      <c r="J2913" s="3" t="s">
        <v>140</v>
      </c>
      <c r="K2913" s="2" t="str">
        <f aca="false">CONCATENATE(I2913," ",J2913)</f>
        <v>Gnaphosa muscorum</v>
      </c>
      <c r="L2913" s="3" t="n">
        <f aca="false">SUM(P2913:U2913)</f>
        <v>1</v>
      </c>
      <c r="M2913" s="11" t="n">
        <f aca="false">(L2913/(F2913*G2913)*25)*4</f>
        <v>4</v>
      </c>
      <c r="N2913" s="1" t="s">
        <v>30</v>
      </c>
      <c r="O2913" s="1" t="s">
        <v>31</v>
      </c>
      <c r="P2913" s="3" t="n">
        <v>1</v>
      </c>
      <c r="Q2913" s="3" t="n">
        <v>0</v>
      </c>
      <c r="R2913" s="3" t="n">
        <v>0</v>
      </c>
      <c r="S2913" s="3" t="n">
        <v>0</v>
      </c>
      <c r="T2913" s="3" t="n">
        <v>0</v>
      </c>
      <c r="U2913" s="3" t="n">
        <v>0</v>
      </c>
      <c r="V2913" s="3" t="n">
        <f aca="false">SUM(P2913:Q2913)</f>
        <v>1</v>
      </c>
      <c r="W2913" s="3" t="n">
        <f aca="false">SUM(R2913:T2913)</f>
        <v>0</v>
      </c>
      <c r="X2913" s="22" t="n">
        <v>41793</v>
      </c>
      <c r="Y2913" s="22" t="n">
        <v>41798</v>
      </c>
    </row>
    <row r="2914" customFormat="false" ht="14.25" hidden="false" customHeight="false" outlineLevel="0" collapsed="false">
      <c r="A2914" s="1" t="n">
        <v>2014</v>
      </c>
      <c r="B2914" s="1" t="n">
        <v>1</v>
      </c>
      <c r="C2914" s="2" t="s">
        <v>44</v>
      </c>
      <c r="D2914" s="3" t="s">
        <v>118</v>
      </c>
      <c r="E2914" s="3" t="n">
        <v>2</v>
      </c>
      <c r="F2914" s="1" t="n">
        <f aca="false">Y2914-X2914</f>
        <v>5</v>
      </c>
      <c r="G2914" s="1" t="n">
        <v>5</v>
      </c>
      <c r="H2914" s="3" t="s">
        <v>72</v>
      </c>
      <c r="I2914" s="3" t="s">
        <v>152</v>
      </c>
      <c r="J2914" s="3" t="s">
        <v>153</v>
      </c>
      <c r="K2914" s="2" t="str">
        <f aca="false">CONCATENATE(I2914," ",J2914)</f>
        <v>Callilepis nocturna</v>
      </c>
      <c r="L2914" s="3" t="n">
        <f aca="false">SUM(P2914:U2914)</f>
        <v>1</v>
      </c>
      <c r="M2914" s="11" t="n">
        <f aca="false">(L2914/(F2914*G2914)*25)*4</f>
        <v>4</v>
      </c>
      <c r="N2914" s="1" t="s">
        <v>30</v>
      </c>
      <c r="O2914" s="1" t="s">
        <v>31</v>
      </c>
      <c r="P2914" s="3" t="n">
        <v>1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f aca="false">SUM(P2914:Q2914)</f>
        <v>1</v>
      </c>
      <c r="W2914" s="3" t="n">
        <f aca="false">SUM(R2914:T2914)</f>
        <v>0</v>
      </c>
      <c r="X2914" s="22" t="n">
        <v>41793</v>
      </c>
      <c r="Y2914" s="22" t="n">
        <v>41798</v>
      </c>
    </row>
    <row r="2915" customFormat="false" ht="14.25" hidden="false" customHeight="false" outlineLevel="0" collapsed="false">
      <c r="A2915" s="1" t="n">
        <v>2014</v>
      </c>
      <c r="B2915" s="1" t="n">
        <v>1</v>
      </c>
      <c r="C2915" s="2" t="s">
        <v>44</v>
      </c>
      <c r="D2915" s="3" t="s">
        <v>118</v>
      </c>
      <c r="E2915" s="3" t="n">
        <v>1</v>
      </c>
      <c r="F2915" s="1" t="n">
        <f aca="false">Y2915-X2915</f>
        <v>5</v>
      </c>
      <c r="G2915" s="1" t="n">
        <v>5</v>
      </c>
      <c r="H2915" s="3" t="s">
        <v>48</v>
      </c>
      <c r="I2915" s="3" t="s">
        <v>49</v>
      </c>
      <c r="J2915" s="3" t="s">
        <v>130</v>
      </c>
      <c r="K2915" s="2" t="str">
        <f aca="false">CONCATENATE(I2915," ",J2915)</f>
        <v>Alopecosa aculeata</v>
      </c>
      <c r="L2915" s="3" t="n">
        <f aca="false">SUM(P2915:U2915)</f>
        <v>2</v>
      </c>
      <c r="M2915" s="11" t="n">
        <f aca="false">(L2915/(F2915*G2915)*25)*4</f>
        <v>8</v>
      </c>
      <c r="N2915" s="1" t="s">
        <v>30</v>
      </c>
      <c r="O2915" s="1" t="s">
        <v>31</v>
      </c>
      <c r="P2915" s="3" t="n">
        <v>2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f aca="false">SUM(P2915:Q2915)</f>
        <v>2</v>
      </c>
      <c r="W2915" s="3" t="n">
        <f aca="false">SUM(R2915:T2915)</f>
        <v>0</v>
      </c>
      <c r="X2915" s="22" t="n">
        <v>41793</v>
      </c>
      <c r="Y2915" s="22" t="n">
        <v>41798</v>
      </c>
    </row>
    <row r="2916" customFormat="false" ht="14.25" hidden="false" customHeight="false" outlineLevel="0" collapsed="false">
      <c r="A2916" s="1" t="n">
        <v>2014</v>
      </c>
      <c r="B2916" s="1" t="n">
        <v>1</v>
      </c>
      <c r="C2916" s="2" t="s">
        <v>44</v>
      </c>
      <c r="D2916" s="3" t="s">
        <v>118</v>
      </c>
      <c r="E2916" s="3" t="n">
        <v>1</v>
      </c>
      <c r="F2916" s="1" t="n">
        <f aca="false">Y2916-X2916</f>
        <v>5</v>
      </c>
      <c r="G2916" s="1" t="n">
        <v>5</v>
      </c>
      <c r="H2916" s="3" t="s">
        <v>48</v>
      </c>
      <c r="I2916" s="3" t="s">
        <v>49</v>
      </c>
      <c r="J2916" s="3" t="s">
        <v>130</v>
      </c>
      <c r="K2916" s="2" t="str">
        <f aca="false">CONCATENATE(I2916," ",J2916)</f>
        <v>Alopecosa aculeata</v>
      </c>
      <c r="L2916" s="3" t="n">
        <f aca="false">SUM(P2916:U2916)</f>
        <v>1</v>
      </c>
      <c r="M2916" s="11" t="n">
        <f aca="false">(L2916/(F2916*G2916)*25)*4</f>
        <v>4</v>
      </c>
      <c r="N2916" s="1" t="s">
        <v>30</v>
      </c>
      <c r="O2916" s="1" t="s">
        <v>35</v>
      </c>
      <c r="P2916" s="3" t="n">
        <v>0</v>
      </c>
      <c r="Q2916" s="3" t="n">
        <v>1</v>
      </c>
      <c r="R2916" s="3" t="n">
        <v>0</v>
      </c>
      <c r="S2916" s="3" t="n">
        <v>0</v>
      </c>
      <c r="T2916" s="3" t="n">
        <v>0</v>
      </c>
      <c r="U2916" s="3" t="n">
        <v>0</v>
      </c>
      <c r="V2916" s="3" t="n">
        <f aca="false">SUM(P2916:Q2916)</f>
        <v>1</v>
      </c>
      <c r="W2916" s="3" t="n">
        <f aca="false">SUM(R2916:T2916)</f>
        <v>0</v>
      </c>
      <c r="X2916" s="22" t="n">
        <v>41793</v>
      </c>
      <c r="Y2916" s="22" t="n">
        <v>41798</v>
      </c>
    </row>
    <row r="2917" customFormat="false" ht="14.25" hidden="false" customHeight="false" outlineLevel="0" collapsed="false">
      <c r="A2917" s="1" t="n">
        <v>2014</v>
      </c>
      <c r="B2917" s="1" t="n">
        <v>1</v>
      </c>
      <c r="C2917" s="2" t="s">
        <v>44</v>
      </c>
      <c r="D2917" s="3" t="s">
        <v>118</v>
      </c>
      <c r="E2917" s="3" t="n">
        <v>1</v>
      </c>
      <c r="F2917" s="1" t="n">
        <f aca="false">Y2917-X2917</f>
        <v>5</v>
      </c>
      <c r="G2917" s="1" t="n">
        <v>5</v>
      </c>
      <c r="H2917" s="3" t="s">
        <v>48</v>
      </c>
      <c r="I2917" s="3" t="s">
        <v>49</v>
      </c>
      <c r="J2917" s="3" t="s">
        <v>119</v>
      </c>
      <c r="K2917" s="2" t="str">
        <f aca="false">CONCATENATE(I2917," ",J2917)</f>
        <v>Alopecosa sulzeri</v>
      </c>
      <c r="L2917" s="3" t="n">
        <f aca="false">SUM(P2917:U2917)</f>
        <v>3</v>
      </c>
      <c r="M2917" s="11" t="n">
        <f aca="false">(L2917/(F2917*G2917)*25)*4</f>
        <v>12</v>
      </c>
      <c r="N2917" s="1" t="s">
        <v>30</v>
      </c>
      <c r="O2917" s="1" t="s">
        <v>31</v>
      </c>
      <c r="P2917" s="3" t="n">
        <v>3</v>
      </c>
      <c r="Q2917" s="3" t="n">
        <v>0</v>
      </c>
      <c r="R2917" s="3" t="n">
        <v>0</v>
      </c>
      <c r="S2917" s="3" t="n">
        <v>0</v>
      </c>
      <c r="T2917" s="3" t="n">
        <v>0</v>
      </c>
      <c r="U2917" s="3" t="n">
        <v>0</v>
      </c>
      <c r="V2917" s="3" t="n">
        <f aca="false">SUM(P2917:Q2917)</f>
        <v>3</v>
      </c>
      <c r="W2917" s="3" t="n">
        <f aca="false">SUM(R2917:T2917)</f>
        <v>0</v>
      </c>
      <c r="X2917" s="22" t="n">
        <v>41793</v>
      </c>
      <c r="Y2917" s="22" t="n">
        <v>41798</v>
      </c>
    </row>
    <row r="2918" customFormat="false" ht="14.25" hidden="false" customHeight="false" outlineLevel="0" collapsed="false">
      <c r="A2918" s="1" t="n">
        <v>2014</v>
      </c>
      <c r="B2918" s="1" t="n">
        <v>1</v>
      </c>
      <c r="C2918" s="2" t="s">
        <v>44</v>
      </c>
      <c r="D2918" s="3" t="s">
        <v>118</v>
      </c>
      <c r="E2918" s="3" t="n">
        <v>1</v>
      </c>
      <c r="F2918" s="1" t="n">
        <f aca="false">Y2918-X2918</f>
        <v>5</v>
      </c>
      <c r="G2918" s="1" t="n">
        <v>5</v>
      </c>
      <c r="H2918" s="3" t="s">
        <v>72</v>
      </c>
      <c r="I2918" s="3" t="s">
        <v>139</v>
      </c>
      <c r="J2918" s="3" t="s">
        <v>140</v>
      </c>
      <c r="K2918" s="2" t="str">
        <f aca="false">CONCATENATE(I2918," ",J2918)</f>
        <v>Gnaphosa muscorum</v>
      </c>
      <c r="L2918" s="3" t="n">
        <f aca="false">SUM(P2918:U2918)</f>
        <v>2</v>
      </c>
      <c r="M2918" s="11" t="n">
        <f aca="false">(L2918/(F2918*G2918)*25)*4</f>
        <v>8</v>
      </c>
      <c r="N2918" s="1" t="s">
        <v>30</v>
      </c>
      <c r="O2918" s="1" t="s">
        <v>31</v>
      </c>
      <c r="P2918" s="3" t="n">
        <v>2</v>
      </c>
      <c r="Q2918" s="3" t="n">
        <v>0</v>
      </c>
      <c r="R2918" s="3" t="n">
        <v>0</v>
      </c>
      <c r="S2918" s="3" t="n">
        <v>0</v>
      </c>
      <c r="T2918" s="3" t="n">
        <v>0</v>
      </c>
      <c r="U2918" s="3" t="n">
        <v>0</v>
      </c>
      <c r="V2918" s="3" t="n">
        <f aca="false">SUM(P2918:Q2918)</f>
        <v>2</v>
      </c>
      <c r="W2918" s="3" t="n">
        <f aca="false">SUM(R2918:T2918)</f>
        <v>0</v>
      </c>
      <c r="X2918" s="22" t="n">
        <v>41793</v>
      </c>
      <c r="Y2918" s="22" t="n">
        <v>41798</v>
      </c>
    </row>
    <row r="2919" customFormat="false" ht="14.25" hidden="false" customHeight="false" outlineLevel="0" collapsed="false">
      <c r="A2919" s="1" t="n">
        <v>2014</v>
      </c>
      <c r="B2919" s="1" t="n">
        <v>1</v>
      </c>
      <c r="C2919" s="2" t="s">
        <v>44</v>
      </c>
      <c r="D2919" s="3" t="s">
        <v>118</v>
      </c>
      <c r="E2919" s="3" t="n">
        <v>1</v>
      </c>
      <c r="F2919" s="1" t="n">
        <f aca="false">Y2919-X2919</f>
        <v>5</v>
      </c>
      <c r="G2919" s="1" t="n">
        <v>5</v>
      </c>
      <c r="H2919" s="3" t="s">
        <v>48</v>
      </c>
      <c r="I2919" s="3" t="s">
        <v>49</v>
      </c>
      <c r="J2919" s="3" t="s">
        <v>130</v>
      </c>
      <c r="K2919" s="2" t="str">
        <f aca="false">CONCATENATE(I2919," ",J2919)</f>
        <v>Alopecosa aculeata</v>
      </c>
      <c r="L2919" s="3" t="n">
        <f aca="false">SUM(P2919:U2919)</f>
        <v>2</v>
      </c>
      <c r="M2919" s="11" t="n">
        <f aca="false">(L2919/(F2919*G2919)*25)*4</f>
        <v>8</v>
      </c>
      <c r="N2919" s="1" t="s">
        <v>30</v>
      </c>
      <c r="O2919" s="1" t="s">
        <v>31</v>
      </c>
      <c r="P2919" s="3" t="n">
        <v>2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f aca="false">SUM(P2919:Q2919)</f>
        <v>2</v>
      </c>
      <c r="W2919" s="3" t="n">
        <f aca="false">SUM(R2919:T2919)</f>
        <v>0</v>
      </c>
      <c r="X2919" s="22" t="n">
        <v>41793</v>
      </c>
      <c r="Y2919" s="22" t="n">
        <v>41798</v>
      </c>
    </row>
    <row r="2920" customFormat="false" ht="14.25" hidden="false" customHeight="false" outlineLevel="0" collapsed="false">
      <c r="A2920" s="1" t="n">
        <v>2014</v>
      </c>
      <c r="B2920" s="1" t="n">
        <v>1</v>
      </c>
      <c r="C2920" s="2" t="s">
        <v>44</v>
      </c>
      <c r="D2920" s="3" t="s">
        <v>118</v>
      </c>
      <c r="E2920" s="3" t="n">
        <v>1</v>
      </c>
      <c r="F2920" s="1" t="n">
        <f aca="false">Y2920-X2920</f>
        <v>5</v>
      </c>
      <c r="G2920" s="1" t="n">
        <v>5</v>
      </c>
      <c r="H2920" s="3" t="s">
        <v>48</v>
      </c>
      <c r="I2920" s="3" t="s">
        <v>49</v>
      </c>
      <c r="J2920" s="3" t="s">
        <v>119</v>
      </c>
      <c r="K2920" s="2" t="str">
        <f aca="false">CONCATENATE(I2920," ",J2920)</f>
        <v>Alopecosa sulzeri</v>
      </c>
      <c r="L2920" s="3" t="n">
        <f aca="false">SUM(P2920:U2920)</f>
        <v>1</v>
      </c>
      <c r="M2920" s="11" t="n">
        <f aca="false">(L2920/(F2920*G2920)*25)*4</f>
        <v>4</v>
      </c>
      <c r="N2920" s="1" t="s">
        <v>30</v>
      </c>
      <c r="O2920" s="1" t="s">
        <v>31</v>
      </c>
      <c r="P2920" s="3" t="n">
        <v>1</v>
      </c>
      <c r="Q2920" s="3" t="n">
        <v>0</v>
      </c>
      <c r="R2920" s="3" t="n">
        <v>0</v>
      </c>
      <c r="S2920" s="3" t="n">
        <v>0</v>
      </c>
      <c r="T2920" s="3" t="n">
        <v>0</v>
      </c>
      <c r="U2920" s="3" t="n">
        <v>0</v>
      </c>
      <c r="V2920" s="3" t="n">
        <f aca="false">SUM(P2920:Q2920)</f>
        <v>1</v>
      </c>
      <c r="W2920" s="3" t="n">
        <f aca="false">SUM(R2920:T2920)</f>
        <v>0</v>
      </c>
      <c r="X2920" s="22" t="n">
        <v>41793</v>
      </c>
      <c r="Y2920" s="22" t="n">
        <v>41798</v>
      </c>
    </row>
    <row r="2921" customFormat="false" ht="14.25" hidden="false" customHeight="false" outlineLevel="0" collapsed="false">
      <c r="A2921" s="1" t="n">
        <v>2014</v>
      </c>
      <c r="B2921" s="1" t="n">
        <v>1</v>
      </c>
      <c r="C2921" s="2" t="s">
        <v>44</v>
      </c>
      <c r="D2921" s="3" t="s">
        <v>118</v>
      </c>
      <c r="E2921" s="3" t="n">
        <v>1</v>
      </c>
      <c r="F2921" s="1" t="n">
        <f aca="false">Y2921-X2921</f>
        <v>5</v>
      </c>
      <c r="G2921" s="1" t="n">
        <v>5</v>
      </c>
      <c r="H2921" s="3" t="s">
        <v>48</v>
      </c>
      <c r="I2921" s="3" t="s">
        <v>122</v>
      </c>
      <c r="J2921" s="3" t="s">
        <v>123</v>
      </c>
      <c r="K2921" s="2" t="str">
        <f aca="false">CONCATENATE(I2921," ",J2921)</f>
        <v>Xerolycosa nemoralis</v>
      </c>
      <c r="L2921" s="3" t="n">
        <f aca="false">SUM(P2921:U2921)</f>
        <v>7</v>
      </c>
      <c r="M2921" s="11" t="n">
        <f aca="false">(L2921/(F2921*G2921)*25)*4</f>
        <v>28</v>
      </c>
      <c r="N2921" s="1" t="s">
        <v>30</v>
      </c>
      <c r="O2921" s="1" t="s">
        <v>31</v>
      </c>
      <c r="P2921" s="3" t="n">
        <v>7</v>
      </c>
      <c r="Q2921" s="3" t="n">
        <v>0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f aca="false">SUM(P2921:Q2921)</f>
        <v>7</v>
      </c>
      <c r="W2921" s="3" t="n">
        <f aca="false">SUM(R2921:T2921)</f>
        <v>0</v>
      </c>
      <c r="X2921" s="22" t="n">
        <v>41793</v>
      </c>
      <c r="Y2921" s="22" t="n">
        <v>41798</v>
      </c>
    </row>
    <row r="2922" customFormat="false" ht="14.25" hidden="false" customHeight="false" outlineLevel="0" collapsed="false">
      <c r="A2922" s="1" t="n">
        <v>2014</v>
      </c>
      <c r="B2922" s="1" t="n">
        <v>1</v>
      </c>
      <c r="C2922" s="2" t="s">
        <v>44</v>
      </c>
      <c r="D2922" s="3" t="s">
        <v>118</v>
      </c>
      <c r="E2922" s="3" t="n">
        <v>1</v>
      </c>
      <c r="F2922" s="1" t="n">
        <f aca="false">Y2922-X2922</f>
        <v>5</v>
      </c>
      <c r="G2922" s="1" t="n">
        <v>5</v>
      </c>
      <c r="H2922" s="3" t="s">
        <v>48</v>
      </c>
      <c r="I2922" s="3" t="s">
        <v>122</v>
      </c>
      <c r="J2922" s="3" t="s">
        <v>123</v>
      </c>
      <c r="K2922" s="2" t="str">
        <f aca="false">CONCATENATE(I2922," ",J2922)</f>
        <v>Xerolycosa nemoralis</v>
      </c>
      <c r="L2922" s="3" t="n">
        <f aca="false">SUM(P2922:U2922)</f>
        <v>2</v>
      </c>
      <c r="M2922" s="11" t="n">
        <f aca="false">(L2922/(F2922*G2922)*25)*4</f>
        <v>8</v>
      </c>
      <c r="N2922" s="1" t="s">
        <v>30</v>
      </c>
      <c r="O2922" s="1" t="s">
        <v>35</v>
      </c>
      <c r="P2922" s="3" t="n">
        <v>0</v>
      </c>
      <c r="Q2922" s="3" t="n">
        <v>2</v>
      </c>
      <c r="R2922" s="3" t="n">
        <v>0</v>
      </c>
      <c r="S2922" s="3" t="n">
        <v>0</v>
      </c>
      <c r="T2922" s="3" t="n">
        <v>0</v>
      </c>
      <c r="U2922" s="3" t="n">
        <v>0</v>
      </c>
      <c r="V2922" s="3" t="n">
        <f aca="false">SUM(P2922:Q2922)</f>
        <v>2</v>
      </c>
      <c r="W2922" s="3" t="n">
        <f aca="false">SUM(R2922:T2922)</f>
        <v>0</v>
      </c>
      <c r="X2922" s="22" t="n">
        <v>41793</v>
      </c>
      <c r="Y2922" s="22" t="n">
        <v>41798</v>
      </c>
    </row>
    <row r="2923" customFormat="false" ht="14.25" hidden="false" customHeight="false" outlineLevel="0" collapsed="false">
      <c r="A2923" s="1" t="n">
        <v>2014</v>
      </c>
      <c r="B2923" s="1" t="n">
        <v>1</v>
      </c>
      <c r="C2923" s="2" t="s">
        <v>44</v>
      </c>
      <c r="D2923" s="3" t="s">
        <v>118</v>
      </c>
      <c r="E2923" s="3" t="n">
        <v>1</v>
      </c>
      <c r="F2923" s="1" t="n">
        <f aca="false">Y2923-X2923</f>
        <v>5</v>
      </c>
      <c r="G2923" s="1" t="n">
        <v>5</v>
      </c>
      <c r="H2923" s="3" t="s">
        <v>36</v>
      </c>
      <c r="I2923" s="3" t="s">
        <v>256</v>
      </c>
      <c r="J2923" s="3" t="s">
        <v>257</v>
      </c>
      <c r="K2923" s="2" t="str">
        <f aca="false">CONCATENATE(I2923," ",J2923)</f>
        <v>Bassaniodes robustus</v>
      </c>
      <c r="L2923" s="3" t="n">
        <f aca="false">SUM(P2923:U2923)</f>
        <v>1</v>
      </c>
      <c r="M2923" s="11" t="n">
        <f aca="false">(L2923/(F2923*G2923)*25)*4</f>
        <v>4</v>
      </c>
      <c r="N2923" s="1" t="s">
        <v>30</v>
      </c>
      <c r="O2923" s="1" t="s">
        <v>35</v>
      </c>
      <c r="P2923" s="3" t="n">
        <v>0</v>
      </c>
      <c r="Q2923" s="3" t="n">
        <v>1</v>
      </c>
      <c r="R2923" s="3" t="n">
        <v>0</v>
      </c>
      <c r="S2923" s="3" t="n">
        <v>0</v>
      </c>
      <c r="T2923" s="3" t="n">
        <v>0</v>
      </c>
      <c r="U2923" s="3" t="n">
        <v>0</v>
      </c>
      <c r="V2923" s="3" t="n">
        <f aca="false">SUM(P2923:Q2923)</f>
        <v>1</v>
      </c>
      <c r="W2923" s="3" t="n">
        <f aca="false">SUM(R2923:T2923)</f>
        <v>0</v>
      </c>
      <c r="X2923" s="22" t="n">
        <v>41793</v>
      </c>
      <c r="Y2923" s="22" t="n">
        <v>41798</v>
      </c>
    </row>
    <row r="2924" customFormat="false" ht="14.25" hidden="false" customHeight="false" outlineLevel="0" collapsed="false">
      <c r="A2924" s="1" t="n">
        <v>2014</v>
      </c>
      <c r="B2924" s="1" t="n">
        <v>1</v>
      </c>
      <c r="C2924" s="2" t="s">
        <v>44</v>
      </c>
      <c r="D2924" s="3" t="s">
        <v>118</v>
      </c>
      <c r="E2924" s="3" t="n">
        <v>3</v>
      </c>
      <c r="F2924" s="1" t="n">
        <f aca="false">Y2924-X2924</f>
        <v>5</v>
      </c>
      <c r="G2924" s="1" t="n">
        <v>5</v>
      </c>
      <c r="H2924" s="3" t="s">
        <v>48</v>
      </c>
      <c r="I2924" s="3" t="s">
        <v>122</v>
      </c>
      <c r="J2924" s="3" t="s">
        <v>123</v>
      </c>
      <c r="K2924" s="2" t="str">
        <f aca="false">CONCATENATE(I2924," ",J2924)</f>
        <v>Xerolycosa nemoralis</v>
      </c>
      <c r="L2924" s="3" t="n">
        <f aca="false">SUM(P2924:U2924)</f>
        <v>14</v>
      </c>
      <c r="M2924" s="11" t="n">
        <f aca="false">(L2924/(F2924*G2924)*25)*4</f>
        <v>56</v>
      </c>
      <c r="N2924" s="1" t="s">
        <v>30</v>
      </c>
      <c r="O2924" s="1" t="s">
        <v>31</v>
      </c>
      <c r="P2924" s="3" t="n">
        <v>14</v>
      </c>
      <c r="Q2924" s="3" t="n">
        <v>0</v>
      </c>
      <c r="R2924" s="3" t="n">
        <v>0</v>
      </c>
      <c r="S2924" s="3" t="n">
        <v>0</v>
      </c>
      <c r="T2924" s="3" t="n">
        <v>0</v>
      </c>
      <c r="U2924" s="3" t="n">
        <v>0</v>
      </c>
      <c r="V2924" s="3" t="n">
        <f aca="false">SUM(P2924:Q2924)</f>
        <v>14</v>
      </c>
      <c r="W2924" s="3" t="n">
        <f aca="false">SUM(R2924:T2924)</f>
        <v>0</v>
      </c>
      <c r="X2924" s="22" t="n">
        <v>41793</v>
      </c>
      <c r="Y2924" s="22" t="n">
        <v>41798</v>
      </c>
    </row>
    <row r="2925" customFormat="false" ht="14.25" hidden="false" customHeight="false" outlineLevel="0" collapsed="false">
      <c r="A2925" s="1" t="n">
        <v>2014</v>
      </c>
      <c r="B2925" s="1" t="n">
        <v>1</v>
      </c>
      <c r="C2925" s="2" t="s">
        <v>44</v>
      </c>
      <c r="D2925" s="3" t="s">
        <v>118</v>
      </c>
      <c r="E2925" s="3" t="n">
        <v>3</v>
      </c>
      <c r="F2925" s="1" t="n">
        <f aca="false">Y2925-X2925</f>
        <v>5</v>
      </c>
      <c r="G2925" s="1" t="n">
        <v>5</v>
      </c>
      <c r="H2925" s="3" t="s">
        <v>48</v>
      </c>
      <c r="I2925" s="3" t="s">
        <v>122</v>
      </c>
      <c r="J2925" s="3" t="s">
        <v>123</v>
      </c>
      <c r="K2925" s="2" t="str">
        <f aca="false">CONCATENATE(I2925," ",J2925)</f>
        <v>Xerolycosa nemoralis</v>
      </c>
      <c r="L2925" s="3" t="n">
        <f aca="false">SUM(P2925:U2925)</f>
        <v>3</v>
      </c>
      <c r="M2925" s="11" t="n">
        <f aca="false">(L2925/(F2925*G2925)*25)*4</f>
        <v>12</v>
      </c>
      <c r="N2925" s="1" t="s">
        <v>30</v>
      </c>
      <c r="O2925" s="1" t="s">
        <v>35</v>
      </c>
      <c r="P2925" s="3" t="n">
        <v>0</v>
      </c>
      <c r="Q2925" s="3" t="n">
        <v>3</v>
      </c>
      <c r="R2925" s="3" t="n">
        <v>0</v>
      </c>
      <c r="S2925" s="3" t="n">
        <v>0</v>
      </c>
      <c r="T2925" s="3" t="n">
        <v>0</v>
      </c>
      <c r="U2925" s="3" t="n">
        <v>0</v>
      </c>
      <c r="V2925" s="3" t="n">
        <f aca="false">SUM(P2925:Q2925)</f>
        <v>3</v>
      </c>
      <c r="W2925" s="3" t="n">
        <f aca="false">SUM(R2925:T2925)</f>
        <v>0</v>
      </c>
      <c r="X2925" s="22" t="n">
        <v>41793</v>
      </c>
      <c r="Y2925" s="22" t="n">
        <v>41798</v>
      </c>
    </row>
    <row r="2926" customFormat="false" ht="14.25" hidden="false" customHeight="false" outlineLevel="0" collapsed="false">
      <c r="A2926" s="1" t="n">
        <v>2014</v>
      </c>
      <c r="B2926" s="1" t="n">
        <v>1</v>
      </c>
      <c r="C2926" s="2" t="s">
        <v>44</v>
      </c>
      <c r="D2926" s="3" t="s">
        <v>118</v>
      </c>
      <c r="E2926" s="3" t="n">
        <v>3</v>
      </c>
      <c r="F2926" s="1" t="n">
        <f aca="false">Y2926-X2926</f>
        <v>5</v>
      </c>
      <c r="G2926" s="1" t="n">
        <v>5</v>
      </c>
      <c r="H2926" s="3" t="s">
        <v>48</v>
      </c>
      <c r="I2926" s="3" t="s">
        <v>67</v>
      </c>
      <c r="J2926" s="3" t="s">
        <v>127</v>
      </c>
      <c r="K2926" s="2" t="str">
        <f aca="false">CONCATENATE(I2926," ",J2926)</f>
        <v>Pardosa lugubris</v>
      </c>
      <c r="L2926" s="3" t="n">
        <f aca="false">SUM(P2926:U2926)</f>
        <v>1</v>
      </c>
      <c r="M2926" s="11" t="n">
        <f aca="false">(L2926/(F2926*G2926)*25)*4</f>
        <v>4</v>
      </c>
      <c r="N2926" s="1" t="s">
        <v>30</v>
      </c>
      <c r="O2926" s="1" t="s">
        <v>31</v>
      </c>
      <c r="P2926" s="3" t="n">
        <v>1</v>
      </c>
      <c r="Q2926" s="3" t="n">
        <v>0</v>
      </c>
      <c r="R2926" s="3" t="n">
        <v>0</v>
      </c>
      <c r="S2926" s="3" t="n">
        <v>0</v>
      </c>
      <c r="T2926" s="3" t="n">
        <v>0</v>
      </c>
      <c r="U2926" s="3" t="n">
        <v>0</v>
      </c>
      <c r="V2926" s="3" t="n">
        <f aca="false">SUM(P2926:Q2926)</f>
        <v>1</v>
      </c>
      <c r="W2926" s="3" t="n">
        <f aca="false">SUM(R2926:T2926)</f>
        <v>0</v>
      </c>
      <c r="X2926" s="22" t="n">
        <v>41793</v>
      </c>
      <c r="Y2926" s="22" t="n">
        <v>41798</v>
      </c>
    </row>
    <row r="2927" customFormat="false" ht="14.25" hidden="false" customHeight="false" outlineLevel="0" collapsed="false">
      <c r="A2927" s="1" t="n">
        <v>2014</v>
      </c>
      <c r="B2927" s="1" t="n">
        <v>1</v>
      </c>
      <c r="C2927" s="2" t="s">
        <v>44</v>
      </c>
      <c r="D2927" s="3" t="s">
        <v>118</v>
      </c>
      <c r="E2927" s="3" t="n">
        <v>3</v>
      </c>
      <c r="F2927" s="1" t="n">
        <f aca="false">Y2927-X2927</f>
        <v>5</v>
      </c>
      <c r="G2927" s="1" t="n">
        <v>5</v>
      </c>
      <c r="H2927" s="3" t="s">
        <v>48</v>
      </c>
      <c r="I2927" s="3" t="s">
        <v>49</v>
      </c>
      <c r="J2927" s="3" t="s">
        <v>130</v>
      </c>
      <c r="K2927" s="2" t="str">
        <f aca="false">CONCATENATE(I2927," ",J2927)</f>
        <v>Alopecosa aculeata</v>
      </c>
      <c r="L2927" s="3" t="n">
        <f aca="false">SUM(P2927:U2927)</f>
        <v>1</v>
      </c>
      <c r="M2927" s="11" t="n">
        <f aca="false">(L2927/(F2927*G2927)*25)*4</f>
        <v>4</v>
      </c>
      <c r="N2927" s="1" t="s">
        <v>30</v>
      </c>
      <c r="O2927" s="1" t="s">
        <v>31</v>
      </c>
      <c r="P2927" s="3" t="n">
        <v>1</v>
      </c>
      <c r="Q2927" s="3" t="n">
        <v>0</v>
      </c>
      <c r="R2927" s="3" t="n">
        <v>0</v>
      </c>
      <c r="S2927" s="3" t="n">
        <v>0</v>
      </c>
      <c r="T2927" s="3" t="n">
        <v>0</v>
      </c>
      <c r="U2927" s="3" t="n">
        <v>0</v>
      </c>
      <c r="V2927" s="3" t="n">
        <f aca="false">SUM(P2927:Q2927)</f>
        <v>1</v>
      </c>
      <c r="W2927" s="3" t="n">
        <f aca="false">SUM(R2927:T2927)</f>
        <v>0</v>
      </c>
      <c r="X2927" s="22" t="n">
        <v>41793</v>
      </c>
      <c r="Y2927" s="22" t="n">
        <v>41798</v>
      </c>
    </row>
    <row r="2928" customFormat="false" ht="14.25" hidden="false" customHeight="false" outlineLevel="0" collapsed="false">
      <c r="A2928" s="1" t="n">
        <v>2014</v>
      </c>
      <c r="B2928" s="1" t="n">
        <v>1</v>
      </c>
      <c r="C2928" s="2" t="s">
        <v>44</v>
      </c>
      <c r="D2928" s="3" t="s">
        <v>118</v>
      </c>
      <c r="E2928" s="3" t="n">
        <v>3</v>
      </c>
      <c r="F2928" s="1" t="n">
        <f aca="false">Y2928-X2928</f>
        <v>5</v>
      </c>
      <c r="G2928" s="1" t="n">
        <v>5</v>
      </c>
      <c r="H2928" s="3" t="s">
        <v>48</v>
      </c>
      <c r="I2928" s="3" t="s">
        <v>49</v>
      </c>
      <c r="J2928" s="3" t="s">
        <v>130</v>
      </c>
      <c r="K2928" s="2" t="str">
        <f aca="false">CONCATENATE(I2928," ",J2928)</f>
        <v>Alopecosa aculeata</v>
      </c>
      <c r="L2928" s="3" t="n">
        <f aca="false">SUM(P2928:U2928)</f>
        <v>2</v>
      </c>
      <c r="M2928" s="11" t="n">
        <f aca="false">(L2928/(F2928*G2928)*25)*4</f>
        <v>8</v>
      </c>
      <c r="N2928" s="1" t="s">
        <v>30</v>
      </c>
      <c r="O2928" s="1" t="s">
        <v>35</v>
      </c>
      <c r="P2928" s="3" t="n">
        <v>0</v>
      </c>
      <c r="Q2928" s="3" t="n">
        <v>2</v>
      </c>
      <c r="R2928" s="3" t="n">
        <v>0</v>
      </c>
      <c r="S2928" s="3" t="n">
        <v>0</v>
      </c>
      <c r="T2928" s="3" t="n">
        <v>0</v>
      </c>
      <c r="U2928" s="3" t="n">
        <v>0</v>
      </c>
      <c r="V2928" s="3" t="n">
        <f aca="false">SUM(P2928:Q2928)</f>
        <v>2</v>
      </c>
      <c r="W2928" s="3" t="n">
        <f aca="false">SUM(R2928:T2928)</f>
        <v>0</v>
      </c>
      <c r="X2928" s="22" t="n">
        <v>41793</v>
      </c>
      <c r="Y2928" s="22" t="n">
        <v>41798</v>
      </c>
    </row>
    <row r="2929" customFormat="false" ht="14.25" hidden="false" customHeight="false" outlineLevel="0" collapsed="false">
      <c r="A2929" s="1" t="n">
        <v>2014</v>
      </c>
      <c r="B2929" s="1" t="n">
        <v>1</v>
      </c>
      <c r="C2929" s="2" t="s">
        <v>44</v>
      </c>
      <c r="D2929" s="3" t="s">
        <v>118</v>
      </c>
      <c r="E2929" s="3" t="n">
        <v>3</v>
      </c>
      <c r="F2929" s="1" t="n">
        <f aca="false">Y2929-X2929</f>
        <v>5</v>
      </c>
      <c r="G2929" s="1" t="n">
        <v>5</v>
      </c>
      <c r="H2929" s="3" t="s">
        <v>48</v>
      </c>
      <c r="I2929" s="3" t="s">
        <v>49</v>
      </c>
      <c r="J2929" s="3" t="s">
        <v>38</v>
      </c>
      <c r="K2929" s="2" t="str">
        <f aca="false">CONCATENATE(I2929," ",J2929)</f>
        <v>Alopecosa sp</v>
      </c>
      <c r="L2929" s="3" t="n">
        <f aca="false">SUM(P2929:U2929)</f>
        <v>1</v>
      </c>
      <c r="M2929" s="11" t="n">
        <f aca="false">(L2929/(F2929*G2929)*25)*4</f>
        <v>4</v>
      </c>
      <c r="N2929" s="1" t="s">
        <v>19</v>
      </c>
      <c r="O2929" s="1" t="s">
        <v>54</v>
      </c>
      <c r="P2929" s="3" t="n">
        <v>0</v>
      </c>
      <c r="Q2929" s="3" t="n">
        <v>0</v>
      </c>
      <c r="R2929" s="3" t="n">
        <v>0</v>
      </c>
      <c r="S2929" s="3" t="n">
        <v>0</v>
      </c>
      <c r="T2929" s="3" t="n">
        <v>1</v>
      </c>
      <c r="U2929" s="3" t="n">
        <v>0</v>
      </c>
      <c r="V2929" s="3" t="n">
        <f aca="false">SUM(P2929:Q2929)</f>
        <v>0</v>
      </c>
      <c r="W2929" s="3" t="n">
        <f aca="false">SUM(R2929:T2929)</f>
        <v>1</v>
      </c>
      <c r="X2929" s="22" t="n">
        <v>41793</v>
      </c>
      <c r="Y2929" s="22" t="n">
        <v>41798</v>
      </c>
    </row>
    <row r="2930" customFormat="false" ht="14.25" hidden="false" customHeight="false" outlineLevel="0" collapsed="false">
      <c r="A2930" s="1" t="n">
        <v>2014</v>
      </c>
      <c r="B2930" s="1" t="n">
        <v>1</v>
      </c>
      <c r="C2930" s="2" t="s">
        <v>44</v>
      </c>
      <c r="D2930" s="3" t="s">
        <v>118</v>
      </c>
      <c r="E2930" s="3" t="n">
        <v>3</v>
      </c>
      <c r="F2930" s="1" t="n">
        <f aca="false">Y2930-X2930</f>
        <v>5</v>
      </c>
      <c r="G2930" s="1" t="n">
        <v>5</v>
      </c>
      <c r="H2930" s="3" t="s">
        <v>135</v>
      </c>
      <c r="I2930" s="3" t="s">
        <v>136</v>
      </c>
      <c r="J2930" s="3" t="s">
        <v>137</v>
      </c>
      <c r="K2930" s="2" t="str">
        <f aca="false">CONCATENATE(I2930," ",J2930)</f>
        <v>Thanatus sabulosus</v>
      </c>
      <c r="L2930" s="3" t="n">
        <f aca="false">SUM(P2930:U2930)</f>
        <v>1</v>
      </c>
      <c r="M2930" s="11" t="n">
        <f aca="false">(L2930/(F2930*G2930)*25)*4</f>
        <v>4</v>
      </c>
      <c r="N2930" s="1" t="s">
        <v>30</v>
      </c>
      <c r="O2930" s="1" t="s">
        <v>31</v>
      </c>
      <c r="P2930" s="3" t="n">
        <v>1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f aca="false">SUM(P2930:Q2930)</f>
        <v>1</v>
      </c>
      <c r="W2930" s="3" t="n">
        <f aca="false">SUM(R2930:T2930)</f>
        <v>0</v>
      </c>
      <c r="X2930" s="22" t="n">
        <v>41793</v>
      </c>
      <c r="Y2930" s="22" t="n">
        <v>41798</v>
      </c>
    </row>
    <row r="2931" customFormat="false" ht="14.25" hidden="false" customHeight="false" outlineLevel="0" collapsed="false">
      <c r="A2931" s="1" t="n">
        <v>2014</v>
      </c>
      <c r="B2931" s="1" t="n">
        <v>1</v>
      </c>
      <c r="C2931" s="2" t="s">
        <v>44</v>
      </c>
      <c r="D2931" s="3" t="s">
        <v>118</v>
      </c>
      <c r="E2931" s="3" t="n">
        <v>3</v>
      </c>
      <c r="F2931" s="1" t="n">
        <f aca="false">Y2931-X2931</f>
        <v>5</v>
      </c>
      <c r="G2931" s="1" t="n">
        <v>5</v>
      </c>
      <c r="H2931" s="3" t="s">
        <v>72</v>
      </c>
      <c r="I2931" s="3" t="s">
        <v>73</v>
      </c>
      <c r="J2931" s="3" t="s">
        <v>38</v>
      </c>
      <c r="K2931" s="2" t="str">
        <f aca="false">CONCATENATE(I2931," ",J2931)</f>
        <v>Zelotes sp</v>
      </c>
      <c r="L2931" s="3" t="n">
        <f aca="false">SUM(P2931:U2931)</f>
        <v>1</v>
      </c>
      <c r="M2931" s="11" t="n">
        <f aca="false">(L2931/(F2931*G2931)*25)*4</f>
        <v>4</v>
      </c>
      <c r="N2931" s="1" t="s">
        <v>19</v>
      </c>
      <c r="O2931" s="1" t="s">
        <v>31</v>
      </c>
      <c r="P2931" s="3" t="n">
        <v>0</v>
      </c>
      <c r="Q2931" s="3" t="n">
        <v>0</v>
      </c>
      <c r="R2931" s="3" t="n">
        <v>1</v>
      </c>
      <c r="S2931" s="3" t="n">
        <v>0</v>
      </c>
      <c r="T2931" s="3" t="n">
        <v>0</v>
      </c>
      <c r="U2931" s="3" t="n">
        <v>0</v>
      </c>
      <c r="V2931" s="3" t="n">
        <f aca="false">SUM(P2931:Q2931)</f>
        <v>0</v>
      </c>
      <c r="W2931" s="3" t="n">
        <f aca="false">SUM(R2931:T2931)</f>
        <v>1</v>
      </c>
      <c r="X2931" s="22" t="n">
        <v>41793</v>
      </c>
      <c r="Y2931" s="22" t="n">
        <v>41798</v>
      </c>
    </row>
    <row r="2932" customFormat="false" ht="14.25" hidden="false" customHeight="false" outlineLevel="0" collapsed="false">
      <c r="A2932" s="1" t="n">
        <v>2014</v>
      </c>
      <c r="B2932" s="1" t="n">
        <v>1</v>
      </c>
      <c r="C2932" s="2" t="s">
        <v>44</v>
      </c>
      <c r="D2932" s="3" t="s">
        <v>118</v>
      </c>
      <c r="E2932" s="3" t="n">
        <v>3</v>
      </c>
      <c r="F2932" s="1" t="n">
        <f aca="false">Y2932-X2932</f>
        <v>5</v>
      </c>
      <c r="G2932" s="1" t="n">
        <v>5</v>
      </c>
      <c r="H2932" s="3" t="s">
        <v>48</v>
      </c>
      <c r="I2932" s="3" t="s">
        <v>49</v>
      </c>
      <c r="J2932" s="3" t="s">
        <v>130</v>
      </c>
      <c r="K2932" s="2" t="str">
        <f aca="false">CONCATENATE(I2932," ",J2932)</f>
        <v>Alopecosa aculeata</v>
      </c>
      <c r="L2932" s="3" t="n">
        <f aca="false">SUM(P2932:U2932)</f>
        <v>5</v>
      </c>
      <c r="M2932" s="11" t="n">
        <f aca="false">(L2932/(F2932*G2932)*25)*4</f>
        <v>20</v>
      </c>
      <c r="N2932" s="1" t="s">
        <v>30</v>
      </c>
      <c r="O2932" s="1" t="s">
        <v>31</v>
      </c>
      <c r="P2932" s="3" t="n">
        <v>5</v>
      </c>
      <c r="Q2932" s="3" t="n">
        <v>0</v>
      </c>
      <c r="R2932" s="3" t="n">
        <v>0</v>
      </c>
      <c r="S2932" s="3" t="n">
        <v>0</v>
      </c>
      <c r="T2932" s="3" t="n">
        <v>0</v>
      </c>
      <c r="U2932" s="3" t="n">
        <v>0</v>
      </c>
      <c r="V2932" s="3" t="n">
        <f aca="false">SUM(P2932:Q2932)</f>
        <v>5</v>
      </c>
      <c r="W2932" s="3" t="n">
        <f aca="false">SUM(R2932:T2932)</f>
        <v>0</v>
      </c>
      <c r="X2932" s="22" t="n">
        <v>41793</v>
      </c>
      <c r="Y2932" s="22" t="n">
        <v>41798</v>
      </c>
    </row>
    <row r="2933" customFormat="false" ht="14.25" hidden="false" customHeight="false" outlineLevel="0" collapsed="false">
      <c r="A2933" s="1" t="n">
        <v>2014</v>
      </c>
      <c r="B2933" s="1" t="n">
        <v>1</v>
      </c>
      <c r="C2933" s="2" t="s">
        <v>44</v>
      </c>
      <c r="D2933" s="3" t="s">
        <v>118</v>
      </c>
      <c r="E2933" s="3" t="n">
        <v>3</v>
      </c>
      <c r="F2933" s="1" t="n">
        <f aca="false">Y2933-X2933</f>
        <v>5</v>
      </c>
      <c r="G2933" s="1" t="n">
        <v>5</v>
      </c>
      <c r="H2933" s="3" t="s">
        <v>48</v>
      </c>
      <c r="I2933" s="3" t="s">
        <v>49</v>
      </c>
      <c r="J2933" s="3" t="s">
        <v>130</v>
      </c>
      <c r="K2933" s="2" t="str">
        <f aca="false">CONCATENATE(I2933," ",J2933)</f>
        <v>Alopecosa aculeata</v>
      </c>
      <c r="L2933" s="3" t="n">
        <f aca="false">SUM(P2933:U2933)</f>
        <v>3</v>
      </c>
      <c r="M2933" s="11" t="n">
        <f aca="false">(L2933/(F2933*G2933)*25)*4</f>
        <v>12</v>
      </c>
      <c r="N2933" s="1" t="s">
        <v>30</v>
      </c>
      <c r="O2933" s="1" t="s">
        <v>35</v>
      </c>
      <c r="P2933" s="3" t="n">
        <v>0</v>
      </c>
      <c r="Q2933" s="3" t="n">
        <v>3</v>
      </c>
      <c r="R2933" s="3" t="n">
        <v>0</v>
      </c>
      <c r="S2933" s="3" t="n">
        <v>0</v>
      </c>
      <c r="T2933" s="3" t="n">
        <v>0</v>
      </c>
      <c r="U2933" s="3" t="n">
        <v>0</v>
      </c>
      <c r="V2933" s="3" t="n">
        <f aca="false">SUM(P2933:Q2933)</f>
        <v>3</v>
      </c>
      <c r="W2933" s="3" t="n">
        <f aca="false">SUM(R2933:T2933)</f>
        <v>0</v>
      </c>
      <c r="X2933" s="22" t="n">
        <v>41793</v>
      </c>
      <c r="Y2933" s="22" t="n">
        <v>41798</v>
      </c>
    </row>
    <row r="2934" customFormat="false" ht="14.25" hidden="false" customHeight="false" outlineLevel="0" collapsed="false">
      <c r="A2934" s="1" t="n">
        <v>2014</v>
      </c>
      <c r="B2934" s="1" t="n">
        <v>1</v>
      </c>
      <c r="C2934" s="2" t="s">
        <v>44</v>
      </c>
      <c r="D2934" s="3" t="s">
        <v>118</v>
      </c>
      <c r="E2934" s="3" t="n">
        <v>3</v>
      </c>
      <c r="F2934" s="1" t="n">
        <f aca="false">Y2934-X2934</f>
        <v>5</v>
      </c>
      <c r="G2934" s="1" t="n">
        <v>5</v>
      </c>
      <c r="H2934" s="3" t="s">
        <v>48</v>
      </c>
      <c r="I2934" s="3" t="s">
        <v>67</v>
      </c>
      <c r="J2934" s="3" t="s">
        <v>127</v>
      </c>
      <c r="K2934" s="2" t="str">
        <f aca="false">CONCATENATE(I2934," ",J2934)</f>
        <v>Pardosa lugubris</v>
      </c>
      <c r="L2934" s="3" t="n">
        <f aca="false">SUM(P2934:U2934)</f>
        <v>1</v>
      </c>
      <c r="M2934" s="11" t="n">
        <f aca="false">(L2934/(F2934*G2934)*25)*4</f>
        <v>4</v>
      </c>
      <c r="N2934" s="1" t="s">
        <v>30</v>
      </c>
      <c r="O2934" s="1" t="s">
        <v>35</v>
      </c>
      <c r="P2934" s="3" t="n">
        <v>0</v>
      </c>
      <c r="Q2934" s="3" t="n">
        <v>1</v>
      </c>
      <c r="R2934" s="3" t="n">
        <v>0</v>
      </c>
      <c r="S2934" s="3" t="n">
        <v>0</v>
      </c>
      <c r="T2934" s="3" t="n">
        <v>0</v>
      </c>
      <c r="U2934" s="3" t="n">
        <v>0</v>
      </c>
      <c r="V2934" s="3" t="n">
        <f aca="false">SUM(P2934:Q2934)</f>
        <v>1</v>
      </c>
      <c r="W2934" s="3" t="n">
        <f aca="false">SUM(R2934:T2934)</f>
        <v>0</v>
      </c>
      <c r="X2934" s="22" t="n">
        <v>41793</v>
      </c>
      <c r="Y2934" s="22" t="n">
        <v>41798</v>
      </c>
    </row>
    <row r="2935" customFormat="false" ht="14.25" hidden="false" customHeight="false" outlineLevel="0" collapsed="false">
      <c r="A2935" s="1" t="n">
        <v>2014</v>
      </c>
      <c r="B2935" s="1" t="n">
        <v>1</v>
      </c>
      <c r="C2935" s="2" t="s">
        <v>44</v>
      </c>
      <c r="D2935" s="3" t="s">
        <v>118</v>
      </c>
      <c r="E2935" s="3" t="n">
        <v>3</v>
      </c>
      <c r="F2935" s="1" t="n">
        <f aca="false">Y2935-X2935</f>
        <v>5</v>
      </c>
      <c r="G2935" s="1" t="n">
        <v>5</v>
      </c>
      <c r="H2935" s="3" t="s">
        <v>48</v>
      </c>
      <c r="I2935" s="3" t="s">
        <v>122</v>
      </c>
      <c r="J2935" s="3" t="s">
        <v>123</v>
      </c>
      <c r="K2935" s="2" t="str">
        <f aca="false">CONCATENATE(I2935," ",J2935)</f>
        <v>Xerolycosa nemoralis</v>
      </c>
      <c r="L2935" s="3" t="n">
        <f aca="false">SUM(P2935:U2935)</f>
        <v>3</v>
      </c>
      <c r="M2935" s="11" t="n">
        <f aca="false">(L2935/(F2935*G2935)*25)*4</f>
        <v>12</v>
      </c>
      <c r="N2935" s="1" t="s">
        <v>30</v>
      </c>
      <c r="O2935" s="1" t="s">
        <v>31</v>
      </c>
      <c r="P2935" s="3" t="n">
        <v>3</v>
      </c>
      <c r="Q2935" s="3" t="n">
        <v>0</v>
      </c>
      <c r="R2935" s="3" t="n">
        <v>0</v>
      </c>
      <c r="S2935" s="3" t="n">
        <v>0</v>
      </c>
      <c r="T2935" s="3" t="n">
        <v>0</v>
      </c>
      <c r="U2935" s="3" t="n">
        <v>0</v>
      </c>
      <c r="V2935" s="3" t="n">
        <f aca="false">SUM(P2935:Q2935)</f>
        <v>3</v>
      </c>
      <c r="W2935" s="3" t="n">
        <f aca="false">SUM(R2935:T2935)</f>
        <v>0</v>
      </c>
      <c r="X2935" s="22" t="n">
        <v>41793</v>
      </c>
      <c r="Y2935" s="22" t="n">
        <v>41798</v>
      </c>
    </row>
    <row r="2936" customFormat="false" ht="14.25" hidden="false" customHeight="false" outlineLevel="0" collapsed="false">
      <c r="A2936" s="1" t="n">
        <v>2014</v>
      </c>
      <c r="B2936" s="1" t="n">
        <v>1</v>
      </c>
      <c r="C2936" s="2" t="s">
        <v>44</v>
      </c>
      <c r="D2936" s="3" t="s">
        <v>118</v>
      </c>
      <c r="E2936" s="3" t="n">
        <v>3</v>
      </c>
      <c r="F2936" s="1" t="n">
        <f aca="false">Y2936-X2936</f>
        <v>5</v>
      </c>
      <c r="G2936" s="1" t="n">
        <v>5</v>
      </c>
      <c r="H2936" s="3" t="s">
        <v>72</v>
      </c>
      <c r="I2936" s="3" t="s">
        <v>73</v>
      </c>
      <c r="J2936" s="3" t="s">
        <v>38</v>
      </c>
      <c r="K2936" s="2" t="str">
        <f aca="false">CONCATENATE(I2936," ",J2936)</f>
        <v>Zelotes sp</v>
      </c>
      <c r="L2936" s="3" t="n">
        <f aca="false">SUM(P2936:U2936)</f>
        <v>1</v>
      </c>
      <c r="M2936" s="11" t="n">
        <f aca="false">(L2936/(F2936*G2936)*25)*4</f>
        <v>4</v>
      </c>
      <c r="N2936" s="1" t="s">
        <v>19</v>
      </c>
      <c r="O2936" s="1" t="s">
        <v>31</v>
      </c>
      <c r="P2936" s="3" t="n">
        <v>0</v>
      </c>
      <c r="Q2936" s="3" t="n">
        <v>0</v>
      </c>
      <c r="R2936" s="3" t="n">
        <v>1</v>
      </c>
      <c r="S2936" s="3" t="n">
        <v>0</v>
      </c>
      <c r="T2936" s="3" t="n">
        <v>0</v>
      </c>
      <c r="U2936" s="3" t="n">
        <v>0</v>
      </c>
      <c r="V2936" s="3" t="n">
        <f aca="false">SUM(P2936:Q2936)</f>
        <v>0</v>
      </c>
      <c r="W2936" s="3" t="n">
        <f aca="false">SUM(R2936:T2936)</f>
        <v>1</v>
      </c>
      <c r="X2936" s="22" t="n">
        <v>41793</v>
      </c>
      <c r="Y2936" s="22" t="n">
        <v>41798</v>
      </c>
    </row>
    <row r="2937" customFormat="false" ht="14.25" hidden="false" customHeight="false" outlineLevel="0" collapsed="false">
      <c r="A2937" s="1" t="n">
        <v>2014</v>
      </c>
      <c r="B2937" s="1" t="n">
        <v>1</v>
      </c>
      <c r="C2937" s="2" t="s">
        <v>44</v>
      </c>
      <c r="D2937" s="3" t="s">
        <v>118</v>
      </c>
      <c r="E2937" s="3" t="n">
        <v>3</v>
      </c>
      <c r="F2937" s="1" t="n">
        <f aca="false">Y2937-X2937</f>
        <v>5</v>
      </c>
      <c r="G2937" s="1" t="n">
        <v>5</v>
      </c>
      <c r="H2937" s="3" t="s">
        <v>135</v>
      </c>
      <c r="I2937" s="3" t="s">
        <v>136</v>
      </c>
      <c r="J2937" s="3" t="s">
        <v>38</v>
      </c>
      <c r="K2937" s="2" t="str">
        <f aca="false">CONCATENATE(I2937," ",J2937)</f>
        <v>Thanatus sp</v>
      </c>
      <c r="L2937" s="3" t="n">
        <f aca="false">SUM(P2937:U2937)</f>
        <v>1</v>
      </c>
      <c r="M2937" s="11" t="n">
        <f aca="false">(L2937/(F2937*G2937)*25)*4</f>
        <v>4</v>
      </c>
      <c r="N2937" s="1" t="s">
        <v>19</v>
      </c>
      <c r="O2937" s="1" t="s">
        <v>54</v>
      </c>
      <c r="P2937" s="3" t="n">
        <v>0</v>
      </c>
      <c r="Q2937" s="3" t="n">
        <v>0</v>
      </c>
      <c r="R2937" s="3" t="n">
        <v>0</v>
      </c>
      <c r="S2937" s="3" t="n">
        <v>0</v>
      </c>
      <c r="T2937" s="3" t="n">
        <v>1</v>
      </c>
      <c r="U2937" s="3" t="n">
        <v>0</v>
      </c>
      <c r="V2937" s="3" t="n">
        <f aca="false">SUM(P2937:Q2937)</f>
        <v>0</v>
      </c>
      <c r="W2937" s="3" t="n">
        <f aca="false">SUM(R2937:T2937)</f>
        <v>1</v>
      </c>
      <c r="X2937" s="22" t="n">
        <v>41793</v>
      </c>
      <c r="Y2937" s="22" t="n">
        <v>41798</v>
      </c>
    </row>
    <row r="2938" customFormat="false" ht="14.25" hidden="false" customHeight="false" outlineLevel="0" collapsed="false">
      <c r="A2938" s="1" t="n">
        <v>2014</v>
      </c>
      <c r="B2938" s="1" t="n">
        <v>1</v>
      </c>
      <c r="C2938" s="2" t="s">
        <v>44</v>
      </c>
      <c r="D2938" s="3" t="s">
        <v>118</v>
      </c>
      <c r="E2938" s="3" t="n">
        <v>3</v>
      </c>
      <c r="F2938" s="1" t="n">
        <f aca="false">Y2938-X2938</f>
        <v>5</v>
      </c>
      <c r="G2938" s="1" t="n">
        <v>5</v>
      </c>
      <c r="H2938" s="3" t="s">
        <v>48</v>
      </c>
      <c r="I2938" s="3" t="s">
        <v>49</v>
      </c>
      <c r="J2938" s="3" t="s">
        <v>130</v>
      </c>
      <c r="K2938" s="2" t="str">
        <f aca="false">CONCATENATE(I2938," ",J2938)</f>
        <v>Alopecosa aculeata</v>
      </c>
      <c r="L2938" s="3" t="n">
        <f aca="false">SUM(P2938:U2938)</f>
        <v>4</v>
      </c>
      <c r="M2938" s="11" t="n">
        <f aca="false">(L2938/(F2938*G2938)*25)*4</f>
        <v>16</v>
      </c>
      <c r="N2938" s="1" t="s">
        <v>30</v>
      </c>
      <c r="O2938" s="1" t="s">
        <v>31</v>
      </c>
      <c r="P2938" s="3" t="n">
        <v>4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f aca="false">SUM(P2938:Q2938)</f>
        <v>4</v>
      </c>
      <c r="W2938" s="3" t="n">
        <f aca="false">SUM(R2938:T2938)</f>
        <v>0</v>
      </c>
      <c r="X2938" s="22" t="n">
        <v>41793</v>
      </c>
      <c r="Y2938" s="22" t="n">
        <v>41798</v>
      </c>
    </row>
    <row r="2939" customFormat="false" ht="14.25" hidden="false" customHeight="false" outlineLevel="0" collapsed="false">
      <c r="A2939" s="1" t="n">
        <v>2014</v>
      </c>
      <c r="B2939" s="1" t="n">
        <v>1</v>
      </c>
      <c r="C2939" s="2" t="s">
        <v>44</v>
      </c>
      <c r="D2939" s="3" t="s">
        <v>118</v>
      </c>
      <c r="E2939" s="3" t="n">
        <v>3</v>
      </c>
      <c r="F2939" s="1" t="n">
        <f aca="false">Y2939-X2939</f>
        <v>5</v>
      </c>
      <c r="G2939" s="1" t="n">
        <v>5</v>
      </c>
      <c r="H2939" s="3" t="s">
        <v>48</v>
      </c>
      <c r="I2939" s="3" t="s">
        <v>49</v>
      </c>
      <c r="J2939" s="3" t="s">
        <v>130</v>
      </c>
      <c r="K2939" s="2" t="str">
        <f aca="false">CONCATENATE(I2939," ",J2939)</f>
        <v>Alopecosa aculeata</v>
      </c>
      <c r="L2939" s="3" t="n">
        <f aca="false">SUM(P2939:U2939)</f>
        <v>1</v>
      </c>
      <c r="M2939" s="11" t="n">
        <f aca="false">(L2939/(F2939*G2939)*25)*4</f>
        <v>4</v>
      </c>
      <c r="N2939" s="1" t="s">
        <v>30</v>
      </c>
      <c r="O2939" s="1" t="s">
        <v>35</v>
      </c>
      <c r="P2939" s="3" t="n">
        <v>0</v>
      </c>
      <c r="Q2939" s="3" t="n">
        <v>1</v>
      </c>
      <c r="R2939" s="3" t="n">
        <v>0</v>
      </c>
      <c r="S2939" s="3" t="n">
        <v>0</v>
      </c>
      <c r="T2939" s="3" t="n">
        <v>0</v>
      </c>
      <c r="U2939" s="3" t="n">
        <v>0</v>
      </c>
      <c r="V2939" s="3" t="n">
        <f aca="false">SUM(P2939:Q2939)</f>
        <v>1</v>
      </c>
      <c r="W2939" s="3" t="n">
        <f aca="false">SUM(R2939:T2939)</f>
        <v>0</v>
      </c>
      <c r="X2939" s="22" t="n">
        <v>41793</v>
      </c>
      <c r="Y2939" s="22" t="n">
        <v>41798</v>
      </c>
    </row>
    <row r="2940" customFormat="false" ht="14.25" hidden="false" customHeight="false" outlineLevel="0" collapsed="false">
      <c r="A2940" s="1" t="n">
        <v>2014</v>
      </c>
      <c r="B2940" s="1" t="n">
        <v>1</v>
      </c>
      <c r="C2940" s="2" t="s">
        <v>44</v>
      </c>
      <c r="D2940" s="3" t="s">
        <v>118</v>
      </c>
      <c r="E2940" s="3" t="n">
        <v>3</v>
      </c>
      <c r="F2940" s="1" t="n">
        <f aca="false">Y2940-X2940</f>
        <v>5</v>
      </c>
      <c r="G2940" s="1" t="n">
        <v>5</v>
      </c>
      <c r="H2940" s="3" t="s">
        <v>48</v>
      </c>
      <c r="I2940" s="3" t="s">
        <v>122</v>
      </c>
      <c r="J2940" s="3" t="s">
        <v>123</v>
      </c>
      <c r="K2940" s="2" t="str">
        <f aca="false">CONCATENATE(I2940," ",J2940)</f>
        <v>Xerolycosa nemoralis</v>
      </c>
      <c r="L2940" s="3" t="n">
        <f aca="false">SUM(P2940:U2940)</f>
        <v>7</v>
      </c>
      <c r="M2940" s="11" t="n">
        <f aca="false">(L2940/(F2940*G2940)*25)*4</f>
        <v>28</v>
      </c>
      <c r="N2940" s="1" t="s">
        <v>30</v>
      </c>
      <c r="O2940" s="1" t="s">
        <v>31</v>
      </c>
      <c r="P2940" s="3" t="n">
        <v>7</v>
      </c>
      <c r="Q2940" s="3" t="n">
        <v>0</v>
      </c>
      <c r="R2940" s="3" t="n">
        <v>0</v>
      </c>
      <c r="S2940" s="3" t="n">
        <v>0</v>
      </c>
      <c r="T2940" s="3" t="n">
        <v>0</v>
      </c>
      <c r="U2940" s="3" t="n">
        <v>0</v>
      </c>
      <c r="V2940" s="3" t="n">
        <f aca="false">SUM(P2940:Q2940)</f>
        <v>7</v>
      </c>
      <c r="W2940" s="3" t="n">
        <f aca="false">SUM(R2940:T2940)</f>
        <v>0</v>
      </c>
      <c r="X2940" s="22" t="n">
        <v>41793</v>
      </c>
      <c r="Y2940" s="22" t="n">
        <v>41798</v>
      </c>
    </row>
    <row r="2941" customFormat="false" ht="14.25" hidden="false" customHeight="false" outlineLevel="0" collapsed="false">
      <c r="A2941" s="1" t="n">
        <v>2014</v>
      </c>
      <c r="B2941" s="1" t="n">
        <v>1</v>
      </c>
      <c r="C2941" s="2" t="s">
        <v>44</v>
      </c>
      <c r="D2941" s="3" t="s">
        <v>118</v>
      </c>
      <c r="E2941" s="3" t="n">
        <v>3</v>
      </c>
      <c r="F2941" s="1" t="n">
        <f aca="false">Y2941-X2941</f>
        <v>5</v>
      </c>
      <c r="G2941" s="1" t="n">
        <v>5</v>
      </c>
      <c r="H2941" s="3" t="s">
        <v>48</v>
      </c>
      <c r="I2941" s="3" t="s">
        <v>67</v>
      </c>
      <c r="J2941" s="3" t="s">
        <v>127</v>
      </c>
      <c r="K2941" s="2" t="str">
        <f aca="false">CONCATENATE(I2941," ",J2941)</f>
        <v>Pardosa lugubris</v>
      </c>
      <c r="L2941" s="3" t="n">
        <f aca="false">SUM(P2941:U2941)</f>
        <v>2</v>
      </c>
      <c r="M2941" s="11" t="n">
        <f aca="false">(L2941/(F2941*G2941)*25)*4</f>
        <v>8</v>
      </c>
      <c r="N2941" s="1" t="s">
        <v>30</v>
      </c>
      <c r="O2941" s="1" t="s">
        <v>31</v>
      </c>
      <c r="P2941" s="3" t="n">
        <v>2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0</v>
      </c>
      <c r="V2941" s="3" t="n">
        <f aca="false">SUM(P2941:Q2941)</f>
        <v>2</v>
      </c>
      <c r="W2941" s="3" t="n">
        <f aca="false">SUM(R2941:T2941)</f>
        <v>0</v>
      </c>
      <c r="X2941" s="22" t="n">
        <v>41793</v>
      </c>
      <c r="Y2941" s="22" t="n">
        <v>41798</v>
      </c>
    </row>
    <row r="2942" customFormat="false" ht="14.25" hidden="false" customHeight="false" outlineLevel="0" collapsed="false">
      <c r="A2942" s="1" t="n">
        <v>2014</v>
      </c>
      <c r="B2942" s="1" t="n">
        <v>1</v>
      </c>
      <c r="C2942" s="2" t="s">
        <v>44</v>
      </c>
      <c r="D2942" s="3" t="s">
        <v>118</v>
      </c>
      <c r="E2942" s="3" t="n">
        <v>3</v>
      </c>
      <c r="F2942" s="1" t="n">
        <f aca="false">Y2942-X2942</f>
        <v>5</v>
      </c>
      <c r="G2942" s="1" t="n">
        <v>5</v>
      </c>
      <c r="H2942" s="3" t="s">
        <v>72</v>
      </c>
      <c r="I2942" s="3" t="s">
        <v>73</v>
      </c>
      <c r="J2942" s="3" t="s">
        <v>74</v>
      </c>
      <c r="K2942" s="2" t="str">
        <f aca="false">CONCATENATE(I2942," ",J2942)</f>
        <v>Zelotes subterraneus</v>
      </c>
      <c r="L2942" s="3" t="n">
        <f aca="false">SUM(P2942:U2942)</f>
        <v>1</v>
      </c>
      <c r="M2942" s="11" t="n">
        <f aca="false">(L2942/(F2942*G2942)*25)*4</f>
        <v>4</v>
      </c>
      <c r="N2942" s="1" t="s">
        <v>30</v>
      </c>
      <c r="O2942" s="1" t="s">
        <v>31</v>
      </c>
      <c r="P2942" s="3" t="n">
        <v>1</v>
      </c>
      <c r="Q2942" s="3" t="n">
        <v>0</v>
      </c>
      <c r="R2942" s="3" t="n">
        <v>0</v>
      </c>
      <c r="S2942" s="3" t="n">
        <v>0</v>
      </c>
      <c r="T2942" s="3" t="n">
        <v>0</v>
      </c>
      <c r="U2942" s="3" t="n">
        <v>0</v>
      </c>
      <c r="V2942" s="3" t="n">
        <f aca="false">SUM(P2942:Q2942)</f>
        <v>1</v>
      </c>
      <c r="W2942" s="3" t="n">
        <f aca="false">SUM(R2942:T2942)</f>
        <v>0</v>
      </c>
      <c r="X2942" s="22" t="n">
        <v>41793</v>
      </c>
      <c r="Y2942" s="22" t="n">
        <v>41798</v>
      </c>
    </row>
    <row r="2943" customFormat="false" ht="14.25" hidden="false" customHeight="false" outlineLevel="0" collapsed="false">
      <c r="A2943" s="1" t="n">
        <v>2014</v>
      </c>
      <c r="B2943" s="1" t="n">
        <v>1</v>
      </c>
      <c r="C2943" s="2" t="s">
        <v>44</v>
      </c>
      <c r="D2943" s="3" t="s">
        <v>118</v>
      </c>
      <c r="E2943" s="3" t="n">
        <v>2</v>
      </c>
      <c r="F2943" s="1" t="n">
        <f aca="false">Y2943-X2943</f>
        <v>5</v>
      </c>
      <c r="G2943" s="1" t="n">
        <v>5</v>
      </c>
      <c r="H2943" s="3" t="s">
        <v>48</v>
      </c>
      <c r="I2943" s="3" t="s">
        <v>49</v>
      </c>
      <c r="J2943" s="3" t="s">
        <v>119</v>
      </c>
      <c r="K2943" s="2" t="str">
        <f aca="false">CONCATENATE(I2943," ",J2943)</f>
        <v>Alopecosa sulzeri</v>
      </c>
      <c r="L2943" s="3" t="n">
        <f aca="false">SUM(P2943:U2943)</f>
        <v>1</v>
      </c>
      <c r="M2943" s="11" t="n">
        <f aca="false">(L2943/(F2943*G2943)*25)*4</f>
        <v>4</v>
      </c>
      <c r="N2943" s="1" t="s">
        <v>30</v>
      </c>
      <c r="O2943" s="1" t="s">
        <v>31</v>
      </c>
      <c r="P2943" s="3" t="n">
        <v>1</v>
      </c>
      <c r="Q2943" s="3" t="n">
        <v>0</v>
      </c>
      <c r="R2943" s="3" t="n">
        <v>0</v>
      </c>
      <c r="S2943" s="3" t="n">
        <v>0</v>
      </c>
      <c r="T2943" s="3" t="n">
        <v>0</v>
      </c>
      <c r="U2943" s="3" t="n">
        <v>0</v>
      </c>
      <c r="V2943" s="3" t="n">
        <f aca="false">SUM(P2943:Q2943)</f>
        <v>1</v>
      </c>
      <c r="W2943" s="3" t="n">
        <f aca="false">SUM(R2943:T2943)</f>
        <v>0</v>
      </c>
      <c r="X2943" s="22" t="n">
        <v>41793</v>
      </c>
      <c r="Y2943" s="22" t="n">
        <v>41798</v>
      </c>
    </row>
    <row r="2944" customFormat="false" ht="14.25" hidden="false" customHeight="false" outlineLevel="0" collapsed="false">
      <c r="A2944" s="1" t="n">
        <v>2014</v>
      </c>
      <c r="B2944" s="1" t="n">
        <v>1</v>
      </c>
      <c r="C2944" s="2" t="s">
        <v>44</v>
      </c>
      <c r="D2944" s="3" t="s">
        <v>118</v>
      </c>
      <c r="E2944" s="3" t="n">
        <v>2</v>
      </c>
      <c r="F2944" s="1" t="n">
        <f aca="false">Y2944-X2944</f>
        <v>5</v>
      </c>
      <c r="G2944" s="1" t="n">
        <v>5</v>
      </c>
      <c r="H2944" s="3" t="s">
        <v>48</v>
      </c>
      <c r="I2944" s="3" t="s">
        <v>49</v>
      </c>
      <c r="J2944" s="3" t="s">
        <v>130</v>
      </c>
      <c r="K2944" s="2" t="str">
        <f aca="false">CONCATENATE(I2944," ",J2944)</f>
        <v>Alopecosa aculeata</v>
      </c>
      <c r="L2944" s="3" t="n">
        <f aca="false">SUM(P2944:U2944)</f>
        <v>1</v>
      </c>
      <c r="M2944" s="11" t="n">
        <f aca="false">(L2944/(F2944*G2944)*25)*4</f>
        <v>4</v>
      </c>
      <c r="N2944" s="1" t="s">
        <v>30</v>
      </c>
      <c r="O2944" s="1" t="s">
        <v>31</v>
      </c>
      <c r="P2944" s="3" t="n">
        <v>1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f aca="false">SUM(P2944:Q2944)</f>
        <v>1</v>
      </c>
      <c r="W2944" s="3" t="n">
        <f aca="false">SUM(R2944:T2944)</f>
        <v>0</v>
      </c>
      <c r="X2944" s="22" t="n">
        <v>41793</v>
      </c>
      <c r="Y2944" s="22" t="n">
        <v>41798</v>
      </c>
    </row>
    <row r="2945" customFormat="false" ht="14.25" hidden="false" customHeight="false" outlineLevel="0" collapsed="false">
      <c r="A2945" s="1" t="n">
        <v>2014</v>
      </c>
      <c r="B2945" s="1" t="n">
        <v>1</v>
      </c>
      <c r="C2945" s="2" t="s">
        <v>44</v>
      </c>
      <c r="D2945" s="3" t="s">
        <v>118</v>
      </c>
      <c r="E2945" s="3" t="n">
        <v>2</v>
      </c>
      <c r="F2945" s="1" t="n">
        <f aca="false">Y2945-X2945</f>
        <v>5</v>
      </c>
      <c r="G2945" s="1" t="n">
        <v>5</v>
      </c>
      <c r="H2945" s="3" t="s">
        <v>48</v>
      </c>
      <c r="I2945" s="3" t="s">
        <v>122</v>
      </c>
      <c r="J2945" s="3" t="s">
        <v>123</v>
      </c>
      <c r="K2945" s="2" t="str">
        <f aca="false">CONCATENATE(I2945," ",J2945)</f>
        <v>Xerolycosa nemoralis</v>
      </c>
      <c r="L2945" s="3" t="n">
        <f aca="false">SUM(P2945:U2945)</f>
        <v>6</v>
      </c>
      <c r="M2945" s="11" t="n">
        <f aca="false">(L2945/(F2945*G2945)*25)*4</f>
        <v>24</v>
      </c>
      <c r="N2945" s="1" t="s">
        <v>30</v>
      </c>
      <c r="O2945" s="1" t="s">
        <v>31</v>
      </c>
      <c r="P2945" s="3" t="n">
        <v>6</v>
      </c>
      <c r="Q2945" s="3" t="n">
        <v>0</v>
      </c>
      <c r="R2945" s="3" t="n">
        <v>0</v>
      </c>
      <c r="S2945" s="3" t="n">
        <v>0</v>
      </c>
      <c r="T2945" s="3" t="n">
        <v>0</v>
      </c>
      <c r="U2945" s="3" t="n">
        <v>0</v>
      </c>
      <c r="V2945" s="3" t="n">
        <f aca="false">SUM(P2945:Q2945)</f>
        <v>6</v>
      </c>
      <c r="W2945" s="3" t="n">
        <f aca="false">SUM(R2945:T2945)</f>
        <v>0</v>
      </c>
      <c r="X2945" s="22" t="n">
        <v>41793</v>
      </c>
      <c r="Y2945" s="22" t="n">
        <v>41798</v>
      </c>
    </row>
    <row r="2946" customFormat="false" ht="14.25" hidden="false" customHeight="false" outlineLevel="0" collapsed="false">
      <c r="A2946" s="1" t="n">
        <v>2014</v>
      </c>
      <c r="B2946" s="1" t="n">
        <v>1</v>
      </c>
      <c r="C2946" s="2" t="s">
        <v>44</v>
      </c>
      <c r="D2946" s="3" t="s">
        <v>118</v>
      </c>
      <c r="E2946" s="3" t="n">
        <v>2</v>
      </c>
      <c r="F2946" s="1" t="n">
        <f aca="false">Y2946-X2946</f>
        <v>5</v>
      </c>
      <c r="G2946" s="1" t="n">
        <v>5</v>
      </c>
      <c r="H2946" s="3" t="s">
        <v>48</v>
      </c>
      <c r="I2946" s="3" t="s">
        <v>122</v>
      </c>
      <c r="J2946" s="3" t="s">
        <v>123</v>
      </c>
      <c r="K2946" s="2" t="str">
        <f aca="false">CONCATENATE(I2946," ",J2946)</f>
        <v>Xerolycosa nemoralis</v>
      </c>
      <c r="L2946" s="3" t="n">
        <f aca="false">SUM(P2946:U2946)</f>
        <v>1</v>
      </c>
      <c r="M2946" s="11" t="n">
        <f aca="false">(L2946/(F2946*G2946)*25)*4</f>
        <v>4</v>
      </c>
      <c r="N2946" s="1" t="s">
        <v>30</v>
      </c>
      <c r="O2946" s="1" t="s">
        <v>35</v>
      </c>
      <c r="P2946" s="3" t="n">
        <v>0</v>
      </c>
      <c r="Q2946" s="3" t="n">
        <v>1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f aca="false">SUM(P2946:Q2946)</f>
        <v>1</v>
      </c>
      <c r="W2946" s="3" t="n">
        <f aca="false">SUM(R2946:T2946)</f>
        <v>0</v>
      </c>
      <c r="X2946" s="22" t="n">
        <v>41793</v>
      </c>
      <c r="Y2946" s="22" t="n">
        <v>41798</v>
      </c>
    </row>
    <row r="2947" customFormat="false" ht="14.25" hidden="false" customHeight="false" outlineLevel="0" collapsed="false">
      <c r="A2947" s="1" t="n">
        <v>2014</v>
      </c>
      <c r="B2947" s="1" t="n">
        <v>1</v>
      </c>
      <c r="C2947" s="2" t="s">
        <v>44</v>
      </c>
      <c r="D2947" s="3" t="s">
        <v>118</v>
      </c>
      <c r="E2947" s="3" t="n">
        <v>2</v>
      </c>
      <c r="F2947" s="1" t="n">
        <f aca="false">Y2947-X2947</f>
        <v>5</v>
      </c>
      <c r="G2947" s="1" t="n">
        <v>5</v>
      </c>
      <c r="H2947" s="3" t="s">
        <v>48</v>
      </c>
      <c r="I2947" s="3" t="s">
        <v>67</v>
      </c>
      <c r="J2947" s="3" t="s">
        <v>127</v>
      </c>
      <c r="K2947" s="2" t="str">
        <f aca="false">CONCATENATE(I2947," ",J2947)</f>
        <v>Pardosa lugubris</v>
      </c>
      <c r="L2947" s="3" t="n">
        <f aca="false">SUM(P2947:U2947)</f>
        <v>1</v>
      </c>
      <c r="M2947" s="11" t="n">
        <f aca="false">(L2947/(F2947*G2947)*25)*4</f>
        <v>4</v>
      </c>
      <c r="N2947" s="1" t="s">
        <v>30</v>
      </c>
      <c r="O2947" s="1" t="s">
        <v>31</v>
      </c>
      <c r="P2947" s="3" t="n">
        <v>1</v>
      </c>
      <c r="Q2947" s="3" t="n">
        <v>0</v>
      </c>
      <c r="R2947" s="3" t="n">
        <v>0</v>
      </c>
      <c r="S2947" s="3" t="n">
        <v>0</v>
      </c>
      <c r="T2947" s="3" t="n">
        <v>0</v>
      </c>
      <c r="U2947" s="3" t="n">
        <v>0</v>
      </c>
      <c r="V2947" s="3" t="n">
        <f aca="false">SUM(P2947:Q2947)</f>
        <v>1</v>
      </c>
      <c r="W2947" s="3" t="n">
        <f aca="false">SUM(R2947:T2947)</f>
        <v>0</v>
      </c>
      <c r="X2947" s="22" t="n">
        <v>41793</v>
      </c>
      <c r="Y2947" s="22" t="n">
        <v>41798</v>
      </c>
    </row>
    <row r="2948" customFormat="false" ht="14.25" hidden="false" customHeight="false" outlineLevel="0" collapsed="false">
      <c r="A2948" s="1" t="n">
        <v>2014</v>
      </c>
      <c r="B2948" s="1" t="n">
        <v>1</v>
      </c>
      <c r="C2948" s="2" t="s">
        <v>44</v>
      </c>
      <c r="D2948" s="3" t="s">
        <v>118</v>
      </c>
      <c r="E2948" s="3" t="n">
        <v>2</v>
      </c>
      <c r="F2948" s="1" t="n">
        <f aca="false">Y2948-X2948</f>
        <v>5</v>
      </c>
      <c r="G2948" s="1" t="n">
        <v>5</v>
      </c>
      <c r="H2948" s="3" t="s">
        <v>72</v>
      </c>
      <c r="I2948" s="3" t="s">
        <v>73</v>
      </c>
      <c r="J2948" s="3" t="s">
        <v>74</v>
      </c>
      <c r="K2948" s="2" t="str">
        <f aca="false">CONCATENATE(I2948," ",J2948)</f>
        <v>Zelotes subterraneus</v>
      </c>
      <c r="L2948" s="3" t="n">
        <f aca="false">SUM(P2948:U2948)</f>
        <v>1</v>
      </c>
      <c r="M2948" s="11" t="n">
        <f aca="false">(L2948/(F2948*G2948)*25)*4</f>
        <v>4</v>
      </c>
      <c r="N2948" s="1" t="s">
        <v>30</v>
      </c>
      <c r="O2948" s="1" t="s">
        <v>31</v>
      </c>
      <c r="P2948" s="3" t="n">
        <v>1</v>
      </c>
      <c r="Q2948" s="3" t="n">
        <v>0</v>
      </c>
      <c r="R2948" s="3" t="n">
        <v>0</v>
      </c>
      <c r="S2948" s="3" t="n">
        <v>0</v>
      </c>
      <c r="T2948" s="3" t="n">
        <v>0</v>
      </c>
      <c r="U2948" s="3" t="n">
        <v>0</v>
      </c>
      <c r="V2948" s="3" t="n">
        <f aca="false">SUM(P2948:Q2948)</f>
        <v>1</v>
      </c>
      <c r="W2948" s="3" t="n">
        <f aca="false">SUM(R2948:T2948)</f>
        <v>0</v>
      </c>
      <c r="X2948" s="22" t="n">
        <v>41793</v>
      </c>
      <c r="Y2948" s="22" t="n">
        <v>41798</v>
      </c>
    </row>
    <row r="2949" customFormat="false" ht="14.25" hidden="false" customHeight="false" outlineLevel="0" collapsed="false">
      <c r="A2949" s="1" t="n">
        <v>2014</v>
      </c>
      <c r="B2949" s="1" t="n">
        <v>1</v>
      </c>
      <c r="C2949" s="2" t="s">
        <v>44</v>
      </c>
      <c r="D2949" s="3" t="s">
        <v>118</v>
      </c>
      <c r="E2949" s="3" t="n">
        <v>2</v>
      </c>
      <c r="F2949" s="1" t="n">
        <f aca="false">Y2949-X2949</f>
        <v>5</v>
      </c>
      <c r="G2949" s="1" t="n">
        <v>5</v>
      </c>
      <c r="H2949" s="3" t="s">
        <v>52</v>
      </c>
      <c r="I2949" s="3" t="s">
        <v>53</v>
      </c>
      <c r="J2949" s="3" t="s">
        <v>38</v>
      </c>
      <c r="K2949" s="2" t="str">
        <f aca="false">CONCATENATE(I2949," ",J2949)</f>
        <v>Araneus sp</v>
      </c>
      <c r="L2949" s="3" t="n">
        <f aca="false">SUM(P2949:U2949)</f>
        <v>1</v>
      </c>
      <c r="M2949" s="11" t="n">
        <f aca="false">(L2949/(F2949*G2949)*25)*4</f>
        <v>4</v>
      </c>
      <c r="N2949" s="1" t="s">
        <v>19</v>
      </c>
      <c r="O2949" s="1" t="s">
        <v>54</v>
      </c>
      <c r="P2949" s="3" t="n">
        <v>0</v>
      </c>
      <c r="Q2949" s="3" t="n">
        <v>0</v>
      </c>
      <c r="R2949" s="3" t="n">
        <v>0</v>
      </c>
      <c r="S2949" s="3" t="n">
        <v>0</v>
      </c>
      <c r="T2949" s="3" t="n">
        <v>1</v>
      </c>
      <c r="U2949" s="3" t="n">
        <v>0</v>
      </c>
      <c r="V2949" s="3" t="n">
        <f aca="false">SUM(P2949:Q2949)</f>
        <v>0</v>
      </c>
      <c r="W2949" s="3" t="n">
        <f aca="false">SUM(R2949:T2949)</f>
        <v>1</v>
      </c>
      <c r="X2949" s="22" t="n">
        <v>41793</v>
      </c>
      <c r="Y2949" s="22" t="n">
        <v>41798</v>
      </c>
    </row>
    <row r="2950" customFormat="false" ht="14.25" hidden="false" customHeight="false" outlineLevel="0" collapsed="false">
      <c r="A2950" s="1" t="n">
        <v>2014</v>
      </c>
      <c r="B2950" s="1" t="n">
        <v>1</v>
      </c>
      <c r="C2950" s="2" t="s">
        <v>44</v>
      </c>
      <c r="D2950" s="3" t="s">
        <v>118</v>
      </c>
      <c r="E2950" s="3" t="n">
        <v>2</v>
      </c>
      <c r="F2950" s="1" t="n">
        <f aca="false">Y2950-X2950</f>
        <v>5</v>
      </c>
      <c r="G2950" s="1" t="n">
        <v>5</v>
      </c>
      <c r="H2950" s="3" t="s">
        <v>135</v>
      </c>
      <c r="I2950" s="3" t="s">
        <v>216</v>
      </c>
      <c r="J2950" s="3" t="s">
        <v>38</v>
      </c>
      <c r="K2950" s="2" t="str">
        <f aca="false">CONCATENATE(I2950," ",J2950)</f>
        <v>Philodromus sp</v>
      </c>
      <c r="L2950" s="3" t="n">
        <f aca="false">SUM(P2950:U2950)</f>
        <v>1</v>
      </c>
      <c r="M2950" s="11" t="n">
        <f aca="false">(L2950/(F2950*G2950)*25)*4</f>
        <v>4</v>
      </c>
      <c r="N2950" s="1" t="s">
        <v>54</v>
      </c>
      <c r="O2950" s="1" t="s">
        <v>54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0</v>
      </c>
      <c r="U2950" s="3" t="n">
        <v>1</v>
      </c>
      <c r="V2950" s="3" t="n">
        <f aca="false">SUM(P2950:Q2950)</f>
        <v>0</v>
      </c>
      <c r="W2950" s="3" t="n">
        <f aca="false">SUM(R2950:T2950)</f>
        <v>0</v>
      </c>
      <c r="X2950" s="22" t="n">
        <v>41793</v>
      </c>
      <c r="Y2950" s="22" t="n">
        <v>41798</v>
      </c>
    </row>
    <row r="2951" customFormat="false" ht="14.25" hidden="false" customHeight="false" outlineLevel="0" collapsed="false">
      <c r="A2951" s="1" t="n">
        <v>2014</v>
      </c>
      <c r="B2951" s="1" t="n">
        <v>1</v>
      </c>
      <c r="C2951" s="2" t="s">
        <v>44</v>
      </c>
      <c r="D2951" s="3" t="s">
        <v>118</v>
      </c>
      <c r="E2951" s="3" t="n">
        <v>1</v>
      </c>
      <c r="F2951" s="1" t="n">
        <f aca="false">Y2951-X2951</f>
        <v>5</v>
      </c>
      <c r="G2951" s="1" t="n">
        <v>5</v>
      </c>
      <c r="H2951" s="3" t="s">
        <v>48</v>
      </c>
      <c r="I2951" s="3" t="s">
        <v>49</v>
      </c>
      <c r="J2951" s="3" t="s">
        <v>130</v>
      </c>
      <c r="K2951" s="2" t="str">
        <f aca="false">CONCATENATE(I2951," ",J2951)</f>
        <v>Alopecosa aculeata</v>
      </c>
      <c r="L2951" s="3" t="n">
        <f aca="false">SUM(P2951:U2951)</f>
        <v>1</v>
      </c>
      <c r="M2951" s="11" t="n">
        <f aca="false">(L2951/(F2951*G2951)*25)*4</f>
        <v>4</v>
      </c>
      <c r="N2951" s="1" t="s">
        <v>30</v>
      </c>
      <c r="O2951" s="1" t="s">
        <v>35</v>
      </c>
      <c r="P2951" s="3" t="n">
        <v>0</v>
      </c>
      <c r="Q2951" s="3" t="n">
        <v>1</v>
      </c>
      <c r="R2951" s="3" t="n">
        <v>0</v>
      </c>
      <c r="S2951" s="3" t="n">
        <v>0</v>
      </c>
      <c r="T2951" s="3" t="n">
        <v>0</v>
      </c>
      <c r="U2951" s="3" t="n">
        <v>0</v>
      </c>
      <c r="V2951" s="3" t="n">
        <f aca="false">SUM(P2951:Q2951)</f>
        <v>1</v>
      </c>
      <c r="W2951" s="3" t="n">
        <f aca="false">SUM(R2951:T2951)</f>
        <v>0</v>
      </c>
      <c r="X2951" s="22" t="n">
        <v>41793</v>
      </c>
      <c r="Y2951" s="22" t="n">
        <v>41798</v>
      </c>
    </row>
    <row r="2952" customFormat="false" ht="14.25" hidden="false" customHeight="false" outlineLevel="0" collapsed="false">
      <c r="A2952" s="1" t="n">
        <v>2014</v>
      </c>
      <c r="B2952" s="1" t="n">
        <v>1</v>
      </c>
      <c r="C2952" s="2" t="s">
        <v>44</v>
      </c>
      <c r="D2952" s="3" t="s">
        <v>118</v>
      </c>
      <c r="E2952" s="3" t="n">
        <v>1</v>
      </c>
      <c r="F2952" s="1" t="n">
        <f aca="false">Y2952-X2952</f>
        <v>5</v>
      </c>
      <c r="G2952" s="1" t="n">
        <v>5</v>
      </c>
      <c r="H2952" s="3" t="s">
        <v>48</v>
      </c>
      <c r="I2952" s="3" t="s">
        <v>49</v>
      </c>
      <c r="J2952" s="3" t="s">
        <v>119</v>
      </c>
      <c r="K2952" s="2" t="str">
        <f aca="false">CONCATENATE(I2952," ",J2952)</f>
        <v>Alopecosa sulzeri</v>
      </c>
      <c r="L2952" s="3" t="n">
        <f aca="false">SUM(P2952:U2952)</f>
        <v>1</v>
      </c>
      <c r="M2952" s="11" t="n">
        <f aca="false">(L2952/(F2952*G2952)*25)*4</f>
        <v>4</v>
      </c>
      <c r="N2952" s="1" t="s">
        <v>30</v>
      </c>
      <c r="O2952" s="1" t="s">
        <v>31</v>
      </c>
      <c r="P2952" s="3" t="n">
        <v>1</v>
      </c>
      <c r="Q2952" s="3" t="n">
        <v>0</v>
      </c>
      <c r="R2952" s="3" t="n">
        <v>0</v>
      </c>
      <c r="S2952" s="3" t="n">
        <v>0</v>
      </c>
      <c r="T2952" s="3" t="n">
        <v>0</v>
      </c>
      <c r="U2952" s="3" t="n">
        <v>0</v>
      </c>
      <c r="V2952" s="3" t="n">
        <f aca="false">SUM(P2952:Q2952)</f>
        <v>1</v>
      </c>
      <c r="W2952" s="3" t="n">
        <f aca="false">SUM(R2952:T2952)</f>
        <v>0</v>
      </c>
      <c r="X2952" s="22" t="n">
        <v>41793</v>
      </c>
      <c r="Y2952" s="22" t="n">
        <v>41798</v>
      </c>
    </row>
    <row r="2953" customFormat="false" ht="14.25" hidden="false" customHeight="false" outlineLevel="0" collapsed="false">
      <c r="A2953" s="1" t="n">
        <v>2014</v>
      </c>
      <c r="B2953" s="1" t="n">
        <v>1</v>
      </c>
      <c r="C2953" s="2" t="s">
        <v>44</v>
      </c>
      <c r="D2953" s="3" t="s">
        <v>118</v>
      </c>
      <c r="E2953" s="3" t="n">
        <v>1</v>
      </c>
      <c r="F2953" s="1" t="n">
        <f aca="false">Y2953-X2953</f>
        <v>5</v>
      </c>
      <c r="G2953" s="1" t="n">
        <v>5</v>
      </c>
      <c r="H2953" s="3" t="s">
        <v>48</v>
      </c>
      <c r="I2953" s="3" t="s">
        <v>122</v>
      </c>
      <c r="J2953" s="3" t="s">
        <v>123</v>
      </c>
      <c r="K2953" s="2" t="str">
        <f aca="false">CONCATENATE(I2953," ",J2953)</f>
        <v>Xerolycosa nemoralis</v>
      </c>
      <c r="L2953" s="3" t="n">
        <f aca="false">SUM(P2953:U2953)</f>
        <v>1</v>
      </c>
      <c r="M2953" s="11" t="n">
        <f aca="false">(L2953/(F2953*G2953)*25)*4</f>
        <v>4</v>
      </c>
      <c r="N2953" s="1" t="s">
        <v>30</v>
      </c>
      <c r="O2953" s="1" t="s">
        <v>31</v>
      </c>
      <c r="P2953" s="3" t="n">
        <v>1</v>
      </c>
      <c r="Q2953" s="3" t="n">
        <v>0</v>
      </c>
      <c r="R2953" s="3" t="n">
        <v>0</v>
      </c>
      <c r="S2953" s="3" t="n">
        <v>0</v>
      </c>
      <c r="T2953" s="3" t="n">
        <v>0</v>
      </c>
      <c r="U2953" s="3" t="n">
        <v>0</v>
      </c>
      <c r="V2953" s="3" t="n">
        <f aca="false">SUM(P2953:Q2953)</f>
        <v>1</v>
      </c>
      <c r="W2953" s="3" t="n">
        <f aca="false">SUM(R2953:T2953)</f>
        <v>0</v>
      </c>
      <c r="X2953" s="22" t="n">
        <v>41793</v>
      </c>
      <c r="Y2953" s="22" t="n">
        <v>41798</v>
      </c>
    </row>
    <row r="2954" customFormat="false" ht="14.25" hidden="false" customHeight="false" outlineLevel="0" collapsed="false">
      <c r="A2954" s="1" t="n">
        <v>2014</v>
      </c>
      <c r="B2954" s="1" t="n">
        <v>1</v>
      </c>
      <c r="C2954" s="2" t="s">
        <v>44</v>
      </c>
      <c r="D2954" s="3" t="s">
        <v>118</v>
      </c>
      <c r="E2954" s="3" t="n">
        <v>1</v>
      </c>
      <c r="F2954" s="1" t="n">
        <f aca="false">Y2954-X2954</f>
        <v>5</v>
      </c>
      <c r="G2954" s="1" t="n">
        <v>5</v>
      </c>
      <c r="H2954" s="3" t="s">
        <v>72</v>
      </c>
      <c r="I2954" s="3" t="s">
        <v>139</v>
      </c>
      <c r="J2954" s="3" t="s">
        <v>140</v>
      </c>
      <c r="K2954" s="2" t="str">
        <f aca="false">CONCATENATE(I2954," ",J2954)</f>
        <v>Gnaphosa muscorum</v>
      </c>
      <c r="L2954" s="3" t="n">
        <f aca="false">SUM(P2954:U2954)</f>
        <v>2</v>
      </c>
      <c r="M2954" s="11" t="n">
        <f aca="false">(L2954/(F2954*G2954)*25)*4</f>
        <v>8</v>
      </c>
      <c r="N2954" s="1" t="s">
        <v>30</v>
      </c>
      <c r="O2954" s="1" t="s">
        <v>31</v>
      </c>
      <c r="P2954" s="3" t="n">
        <v>2</v>
      </c>
      <c r="Q2954" s="3" t="n">
        <v>0</v>
      </c>
      <c r="R2954" s="3" t="n">
        <v>0</v>
      </c>
      <c r="S2954" s="3" t="n">
        <v>0</v>
      </c>
      <c r="T2954" s="3" t="n">
        <v>0</v>
      </c>
      <c r="U2954" s="3" t="n">
        <v>0</v>
      </c>
      <c r="V2954" s="3" t="n">
        <f aca="false">SUM(P2954:Q2954)</f>
        <v>2</v>
      </c>
      <c r="W2954" s="3" t="n">
        <f aca="false">SUM(R2954:T2954)</f>
        <v>0</v>
      </c>
      <c r="X2954" s="22" t="n">
        <v>41793</v>
      </c>
      <c r="Y2954" s="22" t="n">
        <v>41798</v>
      </c>
    </row>
    <row r="2955" customFormat="false" ht="14.25" hidden="false" customHeight="false" outlineLevel="0" collapsed="false">
      <c r="A2955" s="1" t="n">
        <v>2014</v>
      </c>
      <c r="B2955" s="1" t="n">
        <v>1</v>
      </c>
      <c r="C2955" s="2" t="s">
        <v>44</v>
      </c>
      <c r="D2955" s="3" t="s">
        <v>118</v>
      </c>
      <c r="E2955" s="3" t="n">
        <v>1</v>
      </c>
      <c r="F2955" s="1" t="n">
        <f aca="false">Y2955-X2955</f>
        <v>5</v>
      </c>
      <c r="G2955" s="1" t="n">
        <v>5</v>
      </c>
      <c r="H2955" s="3" t="s">
        <v>72</v>
      </c>
      <c r="I2955" s="3" t="s">
        <v>139</v>
      </c>
      <c r="J2955" s="3" t="s">
        <v>140</v>
      </c>
      <c r="K2955" s="2" t="str">
        <f aca="false">CONCATENATE(I2955," ",J2955)</f>
        <v>Gnaphosa muscorum</v>
      </c>
      <c r="L2955" s="3" t="n">
        <f aca="false">SUM(P2955:U2955)</f>
        <v>1</v>
      </c>
      <c r="M2955" s="11" t="n">
        <f aca="false">(L2955/(F2955*G2955)*25)*4</f>
        <v>4</v>
      </c>
      <c r="N2955" s="1" t="s">
        <v>30</v>
      </c>
      <c r="O2955" s="1" t="s">
        <v>35</v>
      </c>
      <c r="P2955" s="3" t="n">
        <v>0</v>
      </c>
      <c r="Q2955" s="3" t="n">
        <v>1</v>
      </c>
      <c r="R2955" s="3" t="n">
        <v>0</v>
      </c>
      <c r="S2955" s="3" t="n">
        <v>0</v>
      </c>
      <c r="T2955" s="3" t="n">
        <v>0</v>
      </c>
      <c r="U2955" s="3" t="n">
        <v>0</v>
      </c>
      <c r="V2955" s="3" t="n">
        <f aca="false">SUM(P2955:Q2955)</f>
        <v>1</v>
      </c>
      <c r="W2955" s="3" t="n">
        <f aca="false">SUM(R2955:T2955)</f>
        <v>0</v>
      </c>
      <c r="X2955" s="22" t="n">
        <v>41793</v>
      </c>
      <c r="Y2955" s="22" t="n">
        <v>41798</v>
      </c>
    </row>
    <row r="2956" customFormat="false" ht="14.25" hidden="false" customHeight="false" outlineLevel="0" collapsed="false">
      <c r="A2956" s="1" t="n">
        <v>2014</v>
      </c>
      <c r="B2956" s="1" t="n">
        <v>1</v>
      </c>
      <c r="C2956" s="2" t="s">
        <v>44</v>
      </c>
      <c r="D2956" s="3" t="s">
        <v>118</v>
      </c>
      <c r="E2956" s="3" t="n">
        <v>1</v>
      </c>
      <c r="F2956" s="1" t="n">
        <f aca="false">Y2956-X2956</f>
        <v>5</v>
      </c>
      <c r="G2956" s="1" t="n">
        <v>5</v>
      </c>
      <c r="H2956" s="3" t="s">
        <v>72</v>
      </c>
      <c r="I2956" s="3" t="s">
        <v>242</v>
      </c>
      <c r="J2956" s="3" t="s">
        <v>38</v>
      </c>
      <c r="K2956" s="2" t="str">
        <f aca="false">CONCATENATE(I2956," ",J2956)</f>
        <v>Drassyllus sp</v>
      </c>
      <c r="L2956" s="3" t="n">
        <f aca="false">SUM(P2956:U2956)</f>
        <v>1</v>
      </c>
      <c r="M2956" s="11" t="n">
        <f aca="false">(L2956/(F2956*G2956)*25)*4</f>
        <v>4</v>
      </c>
      <c r="N2956" s="1" t="s">
        <v>19</v>
      </c>
      <c r="O2956" s="1" t="s">
        <v>54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1</v>
      </c>
      <c r="U2956" s="3" t="n">
        <v>0</v>
      </c>
      <c r="V2956" s="3" t="n">
        <f aca="false">SUM(P2956:Q2956)</f>
        <v>0</v>
      </c>
      <c r="W2956" s="3" t="n">
        <f aca="false">SUM(R2956:T2956)</f>
        <v>1</v>
      </c>
      <c r="X2956" s="22" t="n">
        <v>41793</v>
      </c>
      <c r="Y2956" s="22" t="n">
        <v>41798</v>
      </c>
    </row>
    <row r="2957" customFormat="false" ht="14.25" hidden="false" customHeight="false" outlineLevel="0" collapsed="false">
      <c r="A2957" s="1" t="n">
        <v>2014</v>
      </c>
      <c r="B2957" s="1" t="n">
        <v>1</v>
      </c>
      <c r="C2957" s="2" t="s">
        <v>44</v>
      </c>
      <c r="D2957" s="3" t="s">
        <v>118</v>
      </c>
      <c r="E2957" s="3" t="n">
        <v>1</v>
      </c>
      <c r="F2957" s="1" t="n">
        <f aca="false">Y2957-X2957</f>
        <v>5</v>
      </c>
      <c r="G2957" s="1" t="n">
        <v>5</v>
      </c>
      <c r="H2957" s="3" t="s">
        <v>72</v>
      </c>
      <c r="I2957" s="3" t="s">
        <v>73</v>
      </c>
      <c r="J2957" s="3" t="s">
        <v>38</v>
      </c>
      <c r="K2957" s="2" t="str">
        <f aca="false">CONCATENATE(I2957," ",J2957)</f>
        <v>Zelotes sp</v>
      </c>
      <c r="L2957" s="3" t="n">
        <f aca="false">SUM(P2957:U2957)</f>
        <v>2</v>
      </c>
      <c r="M2957" s="11" t="n">
        <f aca="false">(L2957/(F2957*G2957)*25)*4</f>
        <v>8</v>
      </c>
      <c r="N2957" s="1" t="s">
        <v>19</v>
      </c>
      <c r="O2957" s="1" t="s">
        <v>31</v>
      </c>
      <c r="P2957" s="3" t="n">
        <v>0</v>
      </c>
      <c r="Q2957" s="3" t="n">
        <v>0</v>
      </c>
      <c r="R2957" s="3" t="n">
        <v>2</v>
      </c>
      <c r="S2957" s="3" t="n">
        <v>0</v>
      </c>
      <c r="T2957" s="3" t="n">
        <v>0</v>
      </c>
      <c r="U2957" s="3" t="n">
        <v>0</v>
      </c>
      <c r="V2957" s="3" t="n">
        <f aca="false">SUM(P2957:Q2957)</f>
        <v>0</v>
      </c>
      <c r="W2957" s="3" t="n">
        <f aca="false">SUM(R2957:T2957)</f>
        <v>2</v>
      </c>
      <c r="X2957" s="22" t="n">
        <v>41793</v>
      </c>
      <c r="Y2957" s="22" t="n">
        <v>41798</v>
      </c>
    </row>
    <row r="2958" customFormat="false" ht="14.25" hidden="false" customHeight="false" outlineLevel="0" collapsed="false">
      <c r="A2958" s="1" t="n">
        <v>2014</v>
      </c>
      <c r="B2958" s="1" t="n">
        <v>1</v>
      </c>
      <c r="C2958" s="2" t="s">
        <v>44</v>
      </c>
      <c r="D2958" s="3" t="s">
        <v>118</v>
      </c>
      <c r="E2958" s="3" t="n">
        <v>1</v>
      </c>
      <c r="F2958" s="1" t="n">
        <f aca="false">Y2958-X2958</f>
        <v>5</v>
      </c>
      <c r="G2958" s="1" t="n">
        <v>5</v>
      </c>
      <c r="H2958" s="3" t="s">
        <v>72</v>
      </c>
      <c r="I2958" s="3" t="s">
        <v>73</v>
      </c>
      <c r="J2958" s="3" t="s">
        <v>38</v>
      </c>
      <c r="K2958" s="2" t="str">
        <f aca="false">CONCATENATE(I2958," ",J2958)</f>
        <v>Zelotes sp</v>
      </c>
      <c r="L2958" s="3" t="n">
        <f aca="false">SUM(P2958:U2958)</f>
        <v>1</v>
      </c>
      <c r="M2958" s="11" t="n">
        <f aca="false">(L2958/(F2958*G2958)*25)*4</f>
        <v>4</v>
      </c>
      <c r="N2958" s="1" t="s">
        <v>19</v>
      </c>
      <c r="O2958" s="1" t="s">
        <v>35</v>
      </c>
      <c r="P2958" s="3" t="n">
        <v>0</v>
      </c>
      <c r="Q2958" s="3" t="n">
        <v>0</v>
      </c>
      <c r="R2958" s="3" t="n">
        <v>0</v>
      </c>
      <c r="S2958" s="3" t="n">
        <v>1</v>
      </c>
      <c r="T2958" s="3" t="n">
        <v>0</v>
      </c>
      <c r="U2958" s="3" t="n">
        <v>0</v>
      </c>
      <c r="V2958" s="3" t="n">
        <f aca="false">SUM(P2958:Q2958)</f>
        <v>0</v>
      </c>
      <c r="W2958" s="3" t="n">
        <f aca="false">SUM(R2958:T2958)</f>
        <v>1</v>
      </c>
      <c r="X2958" s="22" t="n">
        <v>41793</v>
      </c>
      <c r="Y2958" s="22" t="n">
        <v>41798</v>
      </c>
    </row>
    <row r="2959" customFormat="false" ht="14.25" hidden="false" customHeight="false" outlineLevel="0" collapsed="false">
      <c r="A2959" s="1" t="n">
        <v>2014</v>
      </c>
      <c r="B2959" s="1" t="n">
        <v>1</v>
      </c>
      <c r="C2959" s="2" t="s">
        <v>44</v>
      </c>
      <c r="D2959" s="3" t="s">
        <v>118</v>
      </c>
      <c r="E2959" s="3" t="n">
        <v>1</v>
      </c>
      <c r="F2959" s="1" t="n">
        <f aca="false">Y2959-X2959</f>
        <v>5</v>
      </c>
      <c r="G2959" s="1" t="n">
        <v>5</v>
      </c>
      <c r="H2959" s="3" t="s">
        <v>72</v>
      </c>
      <c r="I2959" s="3" t="s">
        <v>73</v>
      </c>
      <c r="J2959" s="3" t="s">
        <v>38</v>
      </c>
      <c r="K2959" s="2" t="str">
        <f aca="false">CONCATENATE(I2959," ",J2959)</f>
        <v>Zelotes sp</v>
      </c>
      <c r="L2959" s="3" t="n">
        <f aca="false">SUM(P2959:U2959)</f>
        <v>1</v>
      </c>
      <c r="M2959" s="11" t="n">
        <f aca="false">(L2959/(F2959*G2959)*25)*4</f>
        <v>4</v>
      </c>
      <c r="N2959" s="1" t="s">
        <v>19</v>
      </c>
      <c r="O2959" s="1" t="s">
        <v>54</v>
      </c>
      <c r="P2959" s="3" t="n">
        <v>0</v>
      </c>
      <c r="Q2959" s="3" t="n">
        <v>0</v>
      </c>
      <c r="R2959" s="3" t="n">
        <v>0</v>
      </c>
      <c r="S2959" s="3" t="n">
        <v>0</v>
      </c>
      <c r="T2959" s="3" t="n">
        <v>1</v>
      </c>
      <c r="U2959" s="3" t="n">
        <v>0</v>
      </c>
      <c r="V2959" s="3" t="n">
        <f aca="false">SUM(P2959:Q2959)</f>
        <v>0</v>
      </c>
      <c r="W2959" s="3" t="n">
        <f aca="false">SUM(R2959:T2959)</f>
        <v>1</v>
      </c>
      <c r="X2959" s="22" t="n">
        <v>41793</v>
      </c>
      <c r="Y2959" s="22" t="n">
        <v>41798</v>
      </c>
    </row>
    <row r="2960" customFormat="false" ht="14.25" hidden="false" customHeight="false" outlineLevel="0" collapsed="false">
      <c r="A2960" s="1" t="n">
        <v>2014</v>
      </c>
      <c r="B2960" s="1" t="n">
        <v>1</v>
      </c>
      <c r="C2960" s="2" t="s">
        <v>44</v>
      </c>
      <c r="D2960" s="3" t="s">
        <v>118</v>
      </c>
      <c r="E2960" s="3" t="n">
        <v>1</v>
      </c>
      <c r="F2960" s="1" t="n">
        <f aca="false">Y2960-X2960</f>
        <v>5</v>
      </c>
      <c r="G2960" s="1" t="n">
        <v>5</v>
      </c>
      <c r="H2960" s="3" t="s">
        <v>48</v>
      </c>
      <c r="I2960" s="3" t="s">
        <v>49</v>
      </c>
      <c r="J2960" s="3" t="s">
        <v>130</v>
      </c>
      <c r="K2960" s="2" t="str">
        <f aca="false">CONCATENATE(I2960," ",J2960)</f>
        <v>Alopecosa aculeata</v>
      </c>
      <c r="L2960" s="3" t="n">
        <f aca="false">SUM(P2960:U2960)</f>
        <v>2</v>
      </c>
      <c r="M2960" s="11" t="n">
        <f aca="false">(L2960/(F2960*G2960)*25)*4</f>
        <v>8</v>
      </c>
      <c r="N2960" s="1" t="s">
        <v>30</v>
      </c>
      <c r="O2960" s="1" t="s">
        <v>31</v>
      </c>
      <c r="P2960" s="3" t="n">
        <v>2</v>
      </c>
      <c r="Q2960" s="3" t="n">
        <v>0</v>
      </c>
      <c r="R2960" s="3" t="n">
        <v>0</v>
      </c>
      <c r="S2960" s="3" t="n">
        <v>0</v>
      </c>
      <c r="T2960" s="3" t="n">
        <v>0</v>
      </c>
      <c r="U2960" s="3" t="n">
        <v>0</v>
      </c>
      <c r="V2960" s="3" t="n">
        <f aca="false">SUM(P2960:Q2960)</f>
        <v>2</v>
      </c>
      <c r="W2960" s="3" t="n">
        <f aca="false">SUM(R2960:T2960)</f>
        <v>0</v>
      </c>
      <c r="X2960" s="22" t="n">
        <v>41793</v>
      </c>
      <c r="Y2960" s="22" t="n">
        <v>41798</v>
      </c>
    </row>
    <row r="2961" customFormat="false" ht="14.25" hidden="false" customHeight="false" outlineLevel="0" collapsed="false">
      <c r="A2961" s="1" t="n">
        <v>2014</v>
      </c>
      <c r="B2961" s="1" t="n">
        <v>1</v>
      </c>
      <c r="C2961" s="2" t="s">
        <v>44</v>
      </c>
      <c r="D2961" s="3" t="s">
        <v>118</v>
      </c>
      <c r="E2961" s="3" t="n">
        <v>1</v>
      </c>
      <c r="F2961" s="1" t="n">
        <f aca="false">Y2961-X2961</f>
        <v>5</v>
      </c>
      <c r="G2961" s="1" t="n">
        <v>5</v>
      </c>
      <c r="H2961" s="3" t="s">
        <v>48</v>
      </c>
      <c r="I2961" s="3" t="s">
        <v>49</v>
      </c>
      <c r="J2961" s="3" t="s">
        <v>130</v>
      </c>
      <c r="K2961" s="2" t="str">
        <f aca="false">CONCATENATE(I2961," ",J2961)</f>
        <v>Alopecosa aculeata</v>
      </c>
      <c r="L2961" s="3" t="n">
        <f aca="false">SUM(P2961:U2961)</f>
        <v>1</v>
      </c>
      <c r="M2961" s="11" t="n">
        <f aca="false">(L2961/(F2961*G2961)*25)*4</f>
        <v>4</v>
      </c>
      <c r="N2961" s="1" t="s">
        <v>30</v>
      </c>
      <c r="O2961" s="1" t="s">
        <v>35</v>
      </c>
      <c r="P2961" s="3" t="n">
        <v>0</v>
      </c>
      <c r="Q2961" s="3" t="n">
        <v>1</v>
      </c>
      <c r="R2961" s="3" t="n">
        <v>0</v>
      </c>
      <c r="S2961" s="3" t="n">
        <v>0</v>
      </c>
      <c r="T2961" s="3" t="n">
        <v>0</v>
      </c>
      <c r="U2961" s="3" t="n">
        <v>0</v>
      </c>
      <c r="V2961" s="3" t="n">
        <f aca="false">SUM(P2961:Q2961)</f>
        <v>1</v>
      </c>
      <c r="W2961" s="3" t="n">
        <f aca="false">SUM(R2961:T2961)</f>
        <v>0</v>
      </c>
      <c r="X2961" s="22" t="n">
        <v>41793</v>
      </c>
      <c r="Y2961" s="22" t="n">
        <v>41798</v>
      </c>
    </row>
    <row r="2962" customFormat="false" ht="14.25" hidden="false" customHeight="false" outlineLevel="0" collapsed="false">
      <c r="A2962" s="1" t="n">
        <v>2014</v>
      </c>
      <c r="B2962" s="1" t="n">
        <v>1</v>
      </c>
      <c r="C2962" s="2" t="s">
        <v>44</v>
      </c>
      <c r="D2962" s="3" t="s">
        <v>118</v>
      </c>
      <c r="E2962" s="3" t="n">
        <v>1</v>
      </c>
      <c r="F2962" s="1" t="n">
        <f aca="false">Y2962-X2962</f>
        <v>5</v>
      </c>
      <c r="G2962" s="1" t="n">
        <v>5</v>
      </c>
      <c r="H2962" s="3" t="s">
        <v>48</v>
      </c>
      <c r="I2962" s="3" t="s">
        <v>49</v>
      </c>
      <c r="J2962" s="3" t="s">
        <v>38</v>
      </c>
      <c r="K2962" s="2" t="str">
        <f aca="false">CONCATENATE(I2962," ",J2962)</f>
        <v>Alopecosa sp</v>
      </c>
      <c r="L2962" s="3" t="n">
        <f aca="false">SUM(P2962:U2962)</f>
        <v>1</v>
      </c>
      <c r="M2962" s="11" t="n">
        <f aca="false">(L2962/(F2962*G2962)*25)*4</f>
        <v>4</v>
      </c>
      <c r="N2962" s="1" t="s">
        <v>19</v>
      </c>
      <c r="O2962" s="1" t="s">
        <v>54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1</v>
      </c>
      <c r="U2962" s="3" t="n">
        <v>0</v>
      </c>
      <c r="V2962" s="3" t="n">
        <f aca="false">SUM(P2962:Q2962)</f>
        <v>0</v>
      </c>
      <c r="W2962" s="3" t="n">
        <f aca="false">SUM(R2962:T2962)</f>
        <v>1</v>
      </c>
      <c r="X2962" s="22" t="n">
        <v>41793</v>
      </c>
      <c r="Y2962" s="22" t="n">
        <v>41798</v>
      </c>
    </row>
    <row r="2963" customFormat="false" ht="14.25" hidden="false" customHeight="false" outlineLevel="0" collapsed="false">
      <c r="A2963" s="1" t="n">
        <v>2014</v>
      </c>
      <c r="B2963" s="1" t="n">
        <v>1</v>
      </c>
      <c r="C2963" s="2" t="s">
        <v>44</v>
      </c>
      <c r="D2963" s="3" t="s">
        <v>118</v>
      </c>
      <c r="E2963" s="3" t="n">
        <v>1</v>
      </c>
      <c r="F2963" s="1" t="n">
        <f aca="false">Y2963-X2963</f>
        <v>5</v>
      </c>
      <c r="G2963" s="1" t="n">
        <v>5</v>
      </c>
      <c r="H2963" s="3" t="s">
        <v>48</v>
      </c>
      <c r="I2963" s="3" t="s">
        <v>49</v>
      </c>
      <c r="J2963" s="3" t="s">
        <v>119</v>
      </c>
      <c r="K2963" s="2" t="str">
        <f aca="false">CONCATENATE(I2963," ",J2963)</f>
        <v>Alopecosa sulzeri</v>
      </c>
      <c r="L2963" s="3" t="n">
        <f aca="false">SUM(P2963:U2963)</f>
        <v>1</v>
      </c>
      <c r="M2963" s="11" t="n">
        <f aca="false">(L2963/(F2963*G2963)*25)*4</f>
        <v>4</v>
      </c>
      <c r="N2963" s="1" t="s">
        <v>30</v>
      </c>
      <c r="O2963" s="1" t="s">
        <v>31</v>
      </c>
      <c r="P2963" s="3" t="n">
        <v>1</v>
      </c>
      <c r="Q2963" s="3" t="n">
        <v>0</v>
      </c>
      <c r="R2963" s="3" t="n">
        <v>0</v>
      </c>
      <c r="S2963" s="3" t="n">
        <v>0</v>
      </c>
      <c r="T2963" s="3" t="n">
        <v>0</v>
      </c>
      <c r="U2963" s="3" t="n">
        <v>0</v>
      </c>
      <c r="V2963" s="3" t="n">
        <f aca="false">SUM(P2963:Q2963)</f>
        <v>1</v>
      </c>
      <c r="W2963" s="3" t="n">
        <f aca="false">SUM(R2963:T2963)</f>
        <v>0</v>
      </c>
      <c r="X2963" s="22" t="n">
        <v>41793</v>
      </c>
      <c r="Y2963" s="22" t="n">
        <v>41798</v>
      </c>
    </row>
    <row r="2964" customFormat="false" ht="14.25" hidden="false" customHeight="false" outlineLevel="0" collapsed="false">
      <c r="A2964" s="1" t="n">
        <v>2014</v>
      </c>
      <c r="B2964" s="1" t="n">
        <v>1</v>
      </c>
      <c r="C2964" s="2" t="s">
        <v>44</v>
      </c>
      <c r="D2964" s="3" t="s">
        <v>118</v>
      </c>
      <c r="E2964" s="3" t="n">
        <v>1</v>
      </c>
      <c r="F2964" s="1" t="n">
        <f aca="false">Y2964-X2964</f>
        <v>5</v>
      </c>
      <c r="G2964" s="1" t="n">
        <v>5</v>
      </c>
      <c r="H2964" s="3" t="s">
        <v>48</v>
      </c>
      <c r="I2964" s="3" t="s">
        <v>67</v>
      </c>
      <c r="J2964" s="3" t="s">
        <v>127</v>
      </c>
      <c r="K2964" s="2" t="str">
        <f aca="false">CONCATENATE(I2964," ",J2964)</f>
        <v>Pardosa lugubris</v>
      </c>
      <c r="L2964" s="3" t="n">
        <f aca="false">SUM(P2964:U2964)</f>
        <v>2</v>
      </c>
      <c r="M2964" s="11" t="n">
        <f aca="false">(L2964/(F2964*G2964)*25)*4</f>
        <v>8</v>
      </c>
      <c r="N2964" s="1" t="s">
        <v>30</v>
      </c>
      <c r="O2964" s="1" t="s">
        <v>31</v>
      </c>
      <c r="P2964" s="3" t="n">
        <v>2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f aca="false">SUM(P2964:Q2964)</f>
        <v>2</v>
      </c>
      <c r="W2964" s="3" t="n">
        <f aca="false">SUM(R2964:T2964)</f>
        <v>0</v>
      </c>
      <c r="X2964" s="22" t="n">
        <v>41793</v>
      </c>
      <c r="Y2964" s="22" t="n">
        <v>41798</v>
      </c>
    </row>
    <row r="2965" customFormat="false" ht="14.25" hidden="false" customHeight="false" outlineLevel="0" collapsed="false">
      <c r="A2965" s="1" t="n">
        <v>2014</v>
      </c>
      <c r="B2965" s="1" t="n">
        <v>1</v>
      </c>
      <c r="C2965" s="2" t="s">
        <v>44</v>
      </c>
      <c r="D2965" s="3" t="s">
        <v>118</v>
      </c>
      <c r="E2965" s="3" t="n">
        <v>1</v>
      </c>
      <c r="F2965" s="1" t="n">
        <f aca="false">Y2965-X2965</f>
        <v>5</v>
      </c>
      <c r="G2965" s="1" t="n">
        <v>5</v>
      </c>
      <c r="H2965" s="3" t="s">
        <v>48</v>
      </c>
      <c r="I2965" s="3" t="s">
        <v>122</v>
      </c>
      <c r="J2965" s="3" t="s">
        <v>123</v>
      </c>
      <c r="K2965" s="2" t="str">
        <f aca="false">CONCATENATE(I2965," ",J2965)</f>
        <v>Xerolycosa nemoralis</v>
      </c>
      <c r="L2965" s="3" t="n">
        <f aca="false">SUM(P2965:U2965)</f>
        <v>2</v>
      </c>
      <c r="M2965" s="11" t="n">
        <f aca="false">(L2965/(F2965*G2965)*25)*4</f>
        <v>8</v>
      </c>
      <c r="N2965" s="1" t="s">
        <v>30</v>
      </c>
      <c r="O2965" s="1" t="s">
        <v>31</v>
      </c>
      <c r="P2965" s="3" t="n">
        <v>2</v>
      </c>
      <c r="Q2965" s="3" t="n">
        <v>0</v>
      </c>
      <c r="R2965" s="3" t="n">
        <v>0</v>
      </c>
      <c r="S2965" s="3" t="n">
        <v>0</v>
      </c>
      <c r="T2965" s="3" t="n">
        <v>0</v>
      </c>
      <c r="U2965" s="3" t="n">
        <v>0</v>
      </c>
      <c r="V2965" s="3" t="n">
        <f aca="false">SUM(P2965:Q2965)</f>
        <v>2</v>
      </c>
      <c r="W2965" s="3" t="n">
        <f aca="false">SUM(R2965:T2965)</f>
        <v>0</v>
      </c>
      <c r="X2965" s="22" t="n">
        <v>41793</v>
      </c>
      <c r="Y2965" s="22" t="n">
        <v>41798</v>
      </c>
    </row>
    <row r="2966" customFormat="false" ht="14.25" hidden="false" customHeight="false" outlineLevel="0" collapsed="false">
      <c r="A2966" s="1" t="n">
        <v>2014</v>
      </c>
      <c r="B2966" s="1" t="n">
        <v>1</v>
      </c>
      <c r="C2966" s="2" t="s">
        <v>44</v>
      </c>
      <c r="D2966" s="3" t="s">
        <v>118</v>
      </c>
      <c r="E2966" s="3" t="n">
        <v>1</v>
      </c>
      <c r="F2966" s="1" t="n">
        <f aca="false">Y2966-X2966</f>
        <v>5</v>
      </c>
      <c r="G2966" s="1" t="n">
        <v>5</v>
      </c>
      <c r="H2966" s="3" t="s">
        <v>48</v>
      </c>
      <c r="I2966" s="3" t="s">
        <v>122</v>
      </c>
      <c r="J2966" s="3" t="s">
        <v>123</v>
      </c>
      <c r="K2966" s="2" t="str">
        <f aca="false">CONCATENATE(I2966," ",J2966)</f>
        <v>Xerolycosa nemoralis</v>
      </c>
      <c r="L2966" s="3" t="n">
        <f aca="false">SUM(P2966:U2966)</f>
        <v>1</v>
      </c>
      <c r="M2966" s="11" t="n">
        <f aca="false">(L2966/(F2966*G2966)*25)*4</f>
        <v>4</v>
      </c>
      <c r="N2966" s="1" t="s">
        <v>19</v>
      </c>
      <c r="O2966" s="1" t="s">
        <v>54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1</v>
      </c>
      <c r="U2966" s="3" t="n">
        <v>0</v>
      </c>
      <c r="V2966" s="3" t="n">
        <f aca="false">SUM(P2966:Q2966)</f>
        <v>0</v>
      </c>
      <c r="W2966" s="3" t="n">
        <f aca="false">SUM(R2966:T2966)</f>
        <v>1</v>
      </c>
      <c r="X2966" s="22" t="n">
        <v>41793</v>
      </c>
      <c r="Y2966" s="22" t="n">
        <v>41798</v>
      </c>
    </row>
    <row r="2967" customFormat="false" ht="14.25" hidden="false" customHeight="false" outlineLevel="0" collapsed="false">
      <c r="A2967" s="1" t="n">
        <v>2014</v>
      </c>
      <c r="B2967" s="1" t="n">
        <v>1</v>
      </c>
      <c r="C2967" s="2" t="s">
        <v>44</v>
      </c>
      <c r="D2967" s="3" t="s">
        <v>118</v>
      </c>
      <c r="E2967" s="3" t="n">
        <v>1</v>
      </c>
      <c r="F2967" s="1" t="n">
        <f aca="false">Y2967-X2967</f>
        <v>5</v>
      </c>
      <c r="G2967" s="1" t="n">
        <v>5</v>
      </c>
      <c r="H2967" s="3" t="s">
        <v>72</v>
      </c>
      <c r="I2967" s="3" t="s">
        <v>139</v>
      </c>
      <c r="J2967" s="3" t="s">
        <v>140</v>
      </c>
      <c r="K2967" s="2" t="str">
        <f aca="false">CONCATENATE(I2967," ",J2967)</f>
        <v>Gnaphosa muscorum</v>
      </c>
      <c r="L2967" s="3" t="n">
        <f aca="false">SUM(P2967:U2967)</f>
        <v>2</v>
      </c>
      <c r="M2967" s="11" t="n">
        <f aca="false">(L2967/(F2967*G2967)*25)*4</f>
        <v>8</v>
      </c>
      <c r="N2967" s="1" t="s">
        <v>30</v>
      </c>
      <c r="O2967" s="1" t="s">
        <v>31</v>
      </c>
      <c r="P2967" s="3" t="n">
        <v>2</v>
      </c>
      <c r="Q2967" s="3" t="n">
        <v>0</v>
      </c>
      <c r="R2967" s="3" t="n">
        <v>0</v>
      </c>
      <c r="S2967" s="3" t="n">
        <v>0</v>
      </c>
      <c r="T2967" s="3" t="n">
        <v>0</v>
      </c>
      <c r="U2967" s="3" t="n">
        <v>0</v>
      </c>
      <c r="V2967" s="3" t="n">
        <f aca="false">SUM(P2967:Q2967)</f>
        <v>2</v>
      </c>
      <c r="W2967" s="3" t="n">
        <f aca="false">SUM(R2967:T2967)</f>
        <v>0</v>
      </c>
      <c r="X2967" s="22" t="n">
        <v>41793</v>
      </c>
      <c r="Y2967" s="22" t="n">
        <v>41798</v>
      </c>
    </row>
    <row r="2968" customFormat="false" ht="14.25" hidden="false" customHeight="false" outlineLevel="0" collapsed="false">
      <c r="A2968" s="1" t="n">
        <v>2014</v>
      </c>
      <c r="B2968" s="1" t="n">
        <v>1</v>
      </c>
      <c r="C2968" s="2" t="s">
        <v>44</v>
      </c>
      <c r="D2968" s="3" t="s">
        <v>118</v>
      </c>
      <c r="E2968" s="3" t="n">
        <v>1</v>
      </c>
      <c r="F2968" s="1" t="n">
        <f aca="false">Y2968-X2968</f>
        <v>5</v>
      </c>
      <c r="G2968" s="1" t="n">
        <v>5</v>
      </c>
      <c r="H2968" s="3" t="s">
        <v>72</v>
      </c>
      <c r="I2968" s="3" t="s">
        <v>139</v>
      </c>
      <c r="J2968" s="3" t="s">
        <v>140</v>
      </c>
      <c r="K2968" s="2" t="str">
        <f aca="false">CONCATENATE(I2968," ",J2968)</f>
        <v>Gnaphosa muscorum</v>
      </c>
      <c r="L2968" s="3" t="n">
        <f aca="false">SUM(P2968:U2968)</f>
        <v>1</v>
      </c>
      <c r="M2968" s="11" t="n">
        <f aca="false">(L2968/(F2968*G2968)*25)*4</f>
        <v>4</v>
      </c>
      <c r="N2968" s="1" t="s">
        <v>30</v>
      </c>
      <c r="O2968" s="1" t="s">
        <v>35</v>
      </c>
      <c r="P2968" s="3" t="n">
        <v>0</v>
      </c>
      <c r="Q2968" s="3" t="n">
        <v>1</v>
      </c>
      <c r="R2968" s="3" t="n">
        <v>0</v>
      </c>
      <c r="S2968" s="3" t="n">
        <v>0</v>
      </c>
      <c r="T2968" s="3" t="n">
        <v>0</v>
      </c>
      <c r="U2968" s="3" t="n">
        <v>0</v>
      </c>
      <c r="V2968" s="3" t="n">
        <f aca="false">SUM(P2968:Q2968)</f>
        <v>1</v>
      </c>
      <c r="W2968" s="3" t="n">
        <f aca="false">SUM(R2968:T2968)</f>
        <v>0</v>
      </c>
      <c r="X2968" s="22" t="n">
        <v>41793</v>
      </c>
      <c r="Y2968" s="22" t="n">
        <v>41798</v>
      </c>
    </row>
    <row r="2969" customFormat="false" ht="14.25" hidden="false" customHeight="false" outlineLevel="0" collapsed="false">
      <c r="A2969" s="1" t="n">
        <v>2014</v>
      </c>
      <c r="B2969" s="1" t="n">
        <v>1</v>
      </c>
      <c r="C2969" s="2" t="s">
        <v>44</v>
      </c>
      <c r="D2969" s="3" t="s">
        <v>118</v>
      </c>
      <c r="E2969" s="3" t="n">
        <v>1</v>
      </c>
      <c r="F2969" s="1" t="n">
        <f aca="false">Y2969-X2969</f>
        <v>5</v>
      </c>
      <c r="G2969" s="1" t="n">
        <v>5</v>
      </c>
      <c r="H2969" s="3" t="s">
        <v>226</v>
      </c>
      <c r="I2969" s="3" t="s">
        <v>65</v>
      </c>
      <c r="J2969" s="3" t="s">
        <v>123</v>
      </c>
      <c r="K2969" s="2" t="str">
        <f aca="false">CONCATENATE(I2969," ",J2969)</f>
        <v>Zora nemoralis</v>
      </c>
      <c r="L2969" s="3" t="n">
        <f aca="false">SUM(P2969:U2969)</f>
        <v>2</v>
      </c>
      <c r="M2969" s="11" t="n">
        <f aca="false">(L2969/(F2969*G2969)*25)*4</f>
        <v>8</v>
      </c>
      <c r="N2969" s="1" t="s">
        <v>30</v>
      </c>
      <c r="O2969" s="1" t="s">
        <v>31</v>
      </c>
      <c r="P2969" s="3" t="n">
        <v>2</v>
      </c>
      <c r="Q2969" s="3" t="n">
        <v>0</v>
      </c>
      <c r="R2969" s="3" t="n">
        <v>0</v>
      </c>
      <c r="S2969" s="3" t="n">
        <v>0</v>
      </c>
      <c r="T2969" s="3" t="n">
        <v>0</v>
      </c>
      <c r="U2969" s="3" t="n">
        <v>0</v>
      </c>
      <c r="V2969" s="3" t="n">
        <f aca="false">SUM(P2969:Q2969)</f>
        <v>2</v>
      </c>
      <c r="W2969" s="3" t="n">
        <f aca="false">SUM(R2969:T2969)</f>
        <v>0</v>
      </c>
      <c r="X2969" s="22" t="n">
        <v>41793</v>
      </c>
      <c r="Y2969" s="22" t="n">
        <v>41798</v>
      </c>
    </row>
    <row r="2970" customFormat="false" ht="14.25" hidden="false" customHeight="false" outlineLevel="0" collapsed="false">
      <c r="A2970" s="1" t="n">
        <v>2014</v>
      </c>
      <c r="B2970" s="1" t="n">
        <v>1</v>
      </c>
      <c r="C2970" s="2" t="s">
        <v>44</v>
      </c>
      <c r="D2970" s="3" t="s">
        <v>118</v>
      </c>
      <c r="E2970" s="3" t="n">
        <v>1</v>
      </c>
      <c r="F2970" s="1" t="n">
        <f aca="false">Y2970-X2970</f>
        <v>5</v>
      </c>
      <c r="G2970" s="1" t="n">
        <v>5</v>
      </c>
      <c r="H2970" s="3" t="s">
        <v>36</v>
      </c>
      <c r="I2970" s="3" t="s">
        <v>37</v>
      </c>
      <c r="J2970" s="3" t="s">
        <v>75</v>
      </c>
      <c r="K2970" s="2" t="str">
        <f aca="false">CONCATENATE(I2970," ",J2970)</f>
        <v>Ozyptila praticola</v>
      </c>
      <c r="L2970" s="3" t="n">
        <f aca="false">SUM(P2970:U2970)</f>
        <v>1</v>
      </c>
      <c r="M2970" s="11" t="n">
        <f aca="false">(L2970/(F2970*G2970)*25)*4</f>
        <v>4</v>
      </c>
      <c r="N2970" s="1" t="s">
        <v>30</v>
      </c>
      <c r="O2970" s="1" t="s">
        <v>35</v>
      </c>
      <c r="P2970" s="3" t="n">
        <v>0</v>
      </c>
      <c r="Q2970" s="3" t="n">
        <v>1</v>
      </c>
      <c r="R2970" s="3" t="n">
        <v>0</v>
      </c>
      <c r="S2970" s="3" t="n">
        <v>0</v>
      </c>
      <c r="T2970" s="3" t="n">
        <v>0</v>
      </c>
      <c r="U2970" s="3" t="n">
        <v>0</v>
      </c>
      <c r="V2970" s="3" t="n">
        <f aca="false">SUM(P2970:Q2970)</f>
        <v>1</v>
      </c>
      <c r="W2970" s="3" t="n">
        <f aca="false">SUM(R2970:T2970)</f>
        <v>0</v>
      </c>
      <c r="X2970" s="22" t="n">
        <v>41793</v>
      </c>
      <c r="Y2970" s="22" t="n">
        <v>41798</v>
      </c>
    </row>
    <row r="2971" customFormat="false" ht="14.25" hidden="false" customHeight="false" outlineLevel="0" collapsed="false">
      <c r="A2971" s="1" t="n">
        <v>2014</v>
      </c>
      <c r="B2971" s="1" t="n">
        <v>1</v>
      </c>
      <c r="C2971" s="2" t="s">
        <v>44</v>
      </c>
      <c r="D2971" s="3" t="s">
        <v>118</v>
      </c>
      <c r="E2971" s="3" t="n">
        <v>2</v>
      </c>
      <c r="F2971" s="1" t="n">
        <f aca="false">Y2971-X2971</f>
        <v>5</v>
      </c>
      <c r="G2971" s="1" t="n">
        <v>5</v>
      </c>
      <c r="H2971" s="3" t="s">
        <v>48</v>
      </c>
      <c r="I2971" s="3" t="s">
        <v>49</v>
      </c>
      <c r="J2971" s="3" t="s">
        <v>130</v>
      </c>
      <c r="K2971" s="2" t="str">
        <f aca="false">CONCATENATE(I2971," ",J2971)</f>
        <v>Alopecosa aculeata</v>
      </c>
      <c r="L2971" s="3" t="n">
        <f aca="false">SUM(P2971:U2971)</f>
        <v>2</v>
      </c>
      <c r="M2971" s="11" t="n">
        <f aca="false">(L2971/(F2971*G2971)*25)*4</f>
        <v>8</v>
      </c>
      <c r="N2971" s="1" t="s">
        <v>30</v>
      </c>
      <c r="O2971" s="1" t="s">
        <v>31</v>
      </c>
      <c r="P2971" s="3" t="n">
        <v>2</v>
      </c>
      <c r="Q2971" s="3" t="n">
        <v>0</v>
      </c>
      <c r="R2971" s="3" t="n">
        <v>0</v>
      </c>
      <c r="S2971" s="3" t="n">
        <v>0</v>
      </c>
      <c r="T2971" s="3" t="n">
        <v>0</v>
      </c>
      <c r="U2971" s="3" t="n">
        <v>0</v>
      </c>
      <c r="V2971" s="3" t="n">
        <f aca="false">SUM(P2971:Q2971)</f>
        <v>2</v>
      </c>
      <c r="W2971" s="3" t="n">
        <f aca="false">SUM(R2971:T2971)</f>
        <v>0</v>
      </c>
      <c r="X2971" s="22" t="n">
        <v>41793</v>
      </c>
      <c r="Y2971" s="22" t="n">
        <v>41798</v>
      </c>
    </row>
    <row r="2972" customFormat="false" ht="14.25" hidden="false" customHeight="false" outlineLevel="0" collapsed="false">
      <c r="A2972" s="1" t="n">
        <v>2014</v>
      </c>
      <c r="B2972" s="1" t="n">
        <v>1</v>
      </c>
      <c r="C2972" s="2" t="s">
        <v>44</v>
      </c>
      <c r="D2972" s="3" t="s">
        <v>118</v>
      </c>
      <c r="E2972" s="3" t="n">
        <v>2</v>
      </c>
      <c r="F2972" s="1" t="n">
        <f aca="false">Y2972-X2972</f>
        <v>5</v>
      </c>
      <c r="G2972" s="1" t="n">
        <v>5</v>
      </c>
      <c r="H2972" s="3" t="s">
        <v>48</v>
      </c>
      <c r="I2972" s="3" t="s">
        <v>49</v>
      </c>
      <c r="J2972" s="3" t="s">
        <v>130</v>
      </c>
      <c r="K2972" s="2" t="str">
        <f aca="false">CONCATENATE(I2972," ",J2972)</f>
        <v>Alopecosa aculeata</v>
      </c>
      <c r="L2972" s="3" t="n">
        <f aca="false">SUM(P2972:U2972)</f>
        <v>1</v>
      </c>
      <c r="M2972" s="11" t="n">
        <f aca="false">(L2972/(F2972*G2972)*25)*4</f>
        <v>4</v>
      </c>
      <c r="N2972" s="1" t="s">
        <v>30</v>
      </c>
      <c r="O2972" s="1" t="s">
        <v>35</v>
      </c>
      <c r="P2972" s="3" t="n">
        <v>0</v>
      </c>
      <c r="Q2972" s="3" t="n">
        <v>1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f aca="false">SUM(P2972:Q2972)</f>
        <v>1</v>
      </c>
      <c r="W2972" s="3" t="n">
        <f aca="false">SUM(R2972:T2972)</f>
        <v>0</v>
      </c>
      <c r="X2972" s="22" t="n">
        <v>41793</v>
      </c>
      <c r="Y2972" s="22" t="n">
        <v>41798</v>
      </c>
    </row>
    <row r="2973" customFormat="false" ht="14.25" hidden="false" customHeight="false" outlineLevel="0" collapsed="false">
      <c r="A2973" s="1" t="n">
        <v>2014</v>
      </c>
      <c r="B2973" s="1" t="n">
        <v>1</v>
      </c>
      <c r="C2973" s="2" t="s">
        <v>44</v>
      </c>
      <c r="D2973" s="3" t="s">
        <v>118</v>
      </c>
      <c r="E2973" s="3" t="n">
        <v>2</v>
      </c>
      <c r="F2973" s="1" t="n">
        <f aca="false">Y2973-X2973</f>
        <v>5</v>
      </c>
      <c r="G2973" s="1" t="n">
        <v>5</v>
      </c>
      <c r="H2973" s="3" t="s">
        <v>48</v>
      </c>
      <c r="I2973" s="3" t="s">
        <v>122</v>
      </c>
      <c r="J2973" s="3" t="s">
        <v>123</v>
      </c>
      <c r="K2973" s="2" t="str">
        <f aca="false">CONCATENATE(I2973," ",J2973)</f>
        <v>Xerolycosa nemoralis</v>
      </c>
      <c r="L2973" s="3" t="n">
        <f aca="false">SUM(P2973:U2973)</f>
        <v>2</v>
      </c>
      <c r="M2973" s="11" t="n">
        <f aca="false">(L2973/(F2973*G2973)*25)*4</f>
        <v>8</v>
      </c>
      <c r="N2973" s="1" t="s">
        <v>30</v>
      </c>
      <c r="O2973" s="1" t="s">
        <v>31</v>
      </c>
      <c r="P2973" s="3" t="n">
        <v>2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f aca="false">SUM(P2973:Q2973)</f>
        <v>2</v>
      </c>
      <c r="W2973" s="3" t="n">
        <f aca="false">SUM(R2973:T2973)</f>
        <v>0</v>
      </c>
      <c r="X2973" s="22" t="n">
        <v>41793</v>
      </c>
      <c r="Y2973" s="22" t="n">
        <v>41798</v>
      </c>
    </row>
    <row r="2974" customFormat="false" ht="14.25" hidden="false" customHeight="false" outlineLevel="0" collapsed="false">
      <c r="A2974" s="1" t="n">
        <v>2014</v>
      </c>
      <c r="B2974" s="1" t="n">
        <v>1</v>
      </c>
      <c r="C2974" s="2" t="s">
        <v>44</v>
      </c>
      <c r="D2974" s="3" t="s">
        <v>118</v>
      </c>
      <c r="E2974" s="3" t="n">
        <v>2</v>
      </c>
      <c r="F2974" s="1" t="n">
        <f aca="false">Y2974-X2974</f>
        <v>5</v>
      </c>
      <c r="G2974" s="1" t="n">
        <v>5</v>
      </c>
      <c r="H2974" s="3" t="s">
        <v>48</v>
      </c>
      <c r="I2974" s="3" t="s">
        <v>61</v>
      </c>
      <c r="J2974" s="3" t="s">
        <v>38</v>
      </c>
      <c r="K2974" s="2" t="str">
        <f aca="false">CONCATENATE(I2974," ",J2974)</f>
        <v>Trochosa sp</v>
      </c>
      <c r="L2974" s="3" t="n">
        <f aca="false">SUM(P2974:U2974)</f>
        <v>2</v>
      </c>
      <c r="M2974" s="11" t="n">
        <f aca="false">(L2974/(F2974*G2974)*25)*4</f>
        <v>8</v>
      </c>
      <c r="N2974" s="1" t="s">
        <v>19</v>
      </c>
      <c r="O2974" s="1" t="s">
        <v>54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2</v>
      </c>
      <c r="U2974" s="3" t="n">
        <v>0</v>
      </c>
      <c r="V2974" s="3" t="n">
        <f aca="false">SUM(P2974:Q2974)</f>
        <v>0</v>
      </c>
      <c r="W2974" s="3" t="n">
        <f aca="false">SUM(R2974:T2974)</f>
        <v>2</v>
      </c>
      <c r="X2974" s="22" t="n">
        <v>41793</v>
      </c>
      <c r="Y2974" s="22" t="n">
        <v>41798</v>
      </c>
    </row>
    <row r="2975" customFormat="false" ht="14.25" hidden="false" customHeight="false" outlineLevel="0" collapsed="false">
      <c r="A2975" s="1" t="n">
        <v>2014</v>
      </c>
      <c r="B2975" s="1" t="n">
        <v>1</v>
      </c>
      <c r="C2975" s="2" t="s">
        <v>44</v>
      </c>
      <c r="D2975" s="3" t="s">
        <v>118</v>
      </c>
      <c r="E2975" s="3" t="n">
        <v>2</v>
      </c>
      <c r="F2975" s="1" t="n">
        <f aca="false">Y2975-X2975</f>
        <v>5</v>
      </c>
      <c r="G2975" s="1" t="n">
        <v>5</v>
      </c>
      <c r="H2975" s="3" t="s">
        <v>48</v>
      </c>
      <c r="I2975" s="3" t="s">
        <v>49</v>
      </c>
      <c r="J2975" s="3" t="s">
        <v>38</v>
      </c>
      <c r="K2975" s="2" t="str">
        <f aca="false">CONCATENATE(I2975," ",J2975)</f>
        <v>Alopecosa sp</v>
      </c>
      <c r="L2975" s="3" t="n">
        <f aca="false">SUM(P2975:U2975)</f>
        <v>1</v>
      </c>
      <c r="M2975" s="11" t="n">
        <f aca="false">(L2975/(F2975*G2975)*25)*4</f>
        <v>4</v>
      </c>
      <c r="N2975" s="1" t="s">
        <v>19</v>
      </c>
      <c r="O2975" s="1" t="s">
        <v>54</v>
      </c>
      <c r="P2975" s="3" t="n">
        <v>0</v>
      </c>
      <c r="Q2975" s="3" t="n">
        <v>0</v>
      </c>
      <c r="R2975" s="3" t="n">
        <v>0</v>
      </c>
      <c r="S2975" s="3" t="n">
        <v>0</v>
      </c>
      <c r="T2975" s="3" t="n">
        <v>1</v>
      </c>
      <c r="U2975" s="3" t="n">
        <v>0</v>
      </c>
      <c r="V2975" s="3" t="n">
        <f aca="false">SUM(P2975:Q2975)</f>
        <v>0</v>
      </c>
      <c r="W2975" s="3" t="n">
        <f aca="false">SUM(R2975:T2975)</f>
        <v>1</v>
      </c>
      <c r="X2975" s="22" t="n">
        <v>41793</v>
      </c>
      <c r="Y2975" s="22" t="n">
        <v>41798</v>
      </c>
    </row>
    <row r="2976" customFormat="false" ht="14.25" hidden="false" customHeight="false" outlineLevel="0" collapsed="false">
      <c r="A2976" s="1" t="n">
        <v>2014</v>
      </c>
      <c r="B2976" s="1" t="n">
        <v>1</v>
      </c>
      <c r="C2976" s="2" t="s">
        <v>44</v>
      </c>
      <c r="D2976" s="3" t="s">
        <v>118</v>
      </c>
      <c r="E2976" s="3" t="n">
        <v>2</v>
      </c>
      <c r="F2976" s="1" t="n">
        <f aca="false">Y2976-X2976</f>
        <v>5</v>
      </c>
      <c r="G2976" s="1" t="n">
        <v>5</v>
      </c>
      <c r="H2976" s="3" t="s">
        <v>72</v>
      </c>
      <c r="I2976" s="3" t="s">
        <v>73</v>
      </c>
      <c r="J2976" s="3" t="s">
        <v>38</v>
      </c>
      <c r="K2976" s="2" t="str">
        <f aca="false">CONCATENATE(I2976," ",J2976)</f>
        <v>Zelotes sp</v>
      </c>
      <c r="L2976" s="3" t="n">
        <f aca="false">SUM(P2976:U2976)</f>
        <v>1</v>
      </c>
      <c r="M2976" s="11" t="n">
        <f aca="false">(L2976/(F2976*G2976)*25)*4</f>
        <v>4</v>
      </c>
      <c r="N2976" s="1" t="s">
        <v>19</v>
      </c>
      <c r="O2976" s="1" t="s">
        <v>54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1</v>
      </c>
      <c r="U2976" s="3" t="n">
        <v>0</v>
      </c>
      <c r="V2976" s="3" t="n">
        <f aca="false">SUM(P2976:Q2976)</f>
        <v>0</v>
      </c>
      <c r="W2976" s="3" t="n">
        <f aca="false">SUM(R2976:T2976)</f>
        <v>1</v>
      </c>
      <c r="X2976" s="22" t="n">
        <v>41793</v>
      </c>
      <c r="Y2976" s="22" t="n">
        <v>41798</v>
      </c>
    </row>
    <row r="2977" customFormat="false" ht="14.25" hidden="false" customHeight="false" outlineLevel="0" collapsed="false">
      <c r="A2977" s="1" t="n">
        <v>2014</v>
      </c>
      <c r="B2977" s="1" t="n">
        <v>1</v>
      </c>
      <c r="C2977" s="2" t="s">
        <v>44</v>
      </c>
      <c r="D2977" s="3" t="s">
        <v>118</v>
      </c>
      <c r="E2977" s="3" t="n">
        <v>2</v>
      </c>
      <c r="F2977" s="1" t="n">
        <f aca="false">Y2977-X2977</f>
        <v>5</v>
      </c>
      <c r="G2977" s="1" t="n">
        <v>5</v>
      </c>
      <c r="H2977" s="3" t="s">
        <v>72</v>
      </c>
      <c r="I2977" s="3" t="s">
        <v>139</v>
      </c>
      <c r="J2977" s="3" t="s">
        <v>38</v>
      </c>
      <c r="K2977" s="2" t="str">
        <f aca="false">CONCATENATE(I2977," ",J2977)</f>
        <v>Gnaphosa sp</v>
      </c>
      <c r="L2977" s="3" t="n">
        <f aca="false">SUM(P2977:U2977)</f>
        <v>1</v>
      </c>
      <c r="M2977" s="11" t="n">
        <f aca="false">(L2977/(F2977*G2977)*25)*4</f>
        <v>4</v>
      </c>
      <c r="N2977" s="1" t="s">
        <v>19</v>
      </c>
      <c r="O2977" s="1" t="s">
        <v>31</v>
      </c>
      <c r="P2977" s="3" t="n">
        <v>0</v>
      </c>
      <c r="Q2977" s="3" t="n">
        <v>0</v>
      </c>
      <c r="R2977" s="3" t="n">
        <v>1</v>
      </c>
      <c r="S2977" s="3" t="n">
        <v>0</v>
      </c>
      <c r="T2977" s="3" t="n">
        <v>0</v>
      </c>
      <c r="U2977" s="3" t="n">
        <v>0</v>
      </c>
      <c r="V2977" s="3" t="n">
        <f aca="false">SUM(P2977:Q2977)</f>
        <v>0</v>
      </c>
      <c r="W2977" s="3" t="n">
        <f aca="false">SUM(R2977:T2977)</f>
        <v>1</v>
      </c>
      <c r="X2977" s="22" t="n">
        <v>41793</v>
      </c>
      <c r="Y2977" s="22" t="n">
        <v>41798</v>
      </c>
    </row>
    <row r="2978" customFormat="false" ht="14.25" hidden="false" customHeight="false" outlineLevel="0" collapsed="false">
      <c r="A2978" s="1" t="n">
        <v>2014</v>
      </c>
      <c r="B2978" s="1" t="n">
        <v>1</v>
      </c>
      <c r="C2978" s="2" t="s">
        <v>44</v>
      </c>
      <c r="D2978" s="3" t="s">
        <v>118</v>
      </c>
      <c r="E2978" s="3" t="n">
        <v>2</v>
      </c>
      <c r="F2978" s="1" t="n">
        <f aca="false">Y2978-X2978</f>
        <v>5</v>
      </c>
      <c r="G2978" s="1" t="n">
        <v>5</v>
      </c>
      <c r="H2978" s="3" t="s">
        <v>72</v>
      </c>
      <c r="I2978" s="3" t="s">
        <v>139</v>
      </c>
      <c r="J2978" s="3" t="s">
        <v>38</v>
      </c>
      <c r="K2978" s="2" t="str">
        <f aca="false">CONCATENATE(I2978," ",J2978)</f>
        <v>Gnaphosa sp</v>
      </c>
      <c r="L2978" s="3" t="n">
        <f aca="false">SUM(P2978:U2978)</f>
        <v>1</v>
      </c>
      <c r="M2978" s="11" t="n">
        <f aca="false">(L2978/(F2978*G2978)*25)*4</f>
        <v>4</v>
      </c>
      <c r="N2978" s="1" t="s">
        <v>19</v>
      </c>
      <c r="O2978" s="1" t="s">
        <v>35</v>
      </c>
      <c r="P2978" s="3" t="n">
        <v>0</v>
      </c>
      <c r="Q2978" s="3" t="n">
        <v>0</v>
      </c>
      <c r="R2978" s="3" t="n">
        <v>0</v>
      </c>
      <c r="S2978" s="3" t="n">
        <v>1</v>
      </c>
      <c r="T2978" s="3" t="n">
        <v>0</v>
      </c>
      <c r="U2978" s="3" t="n">
        <v>0</v>
      </c>
      <c r="V2978" s="3" t="n">
        <f aca="false">SUM(P2978:Q2978)</f>
        <v>0</v>
      </c>
      <c r="W2978" s="3" t="n">
        <f aca="false">SUM(R2978:T2978)</f>
        <v>1</v>
      </c>
      <c r="X2978" s="22" t="n">
        <v>41793</v>
      </c>
      <c r="Y2978" s="22" t="n">
        <v>41798</v>
      </c>
    </row>
    <row r="2979" customFormat="false" ht="14.25" hidden="false" customHeight="false" outlineLevel="0" collapsed="false">
      <c r="A2979" s="1" t="n">
        <v>2014</v>
      </c>
      <c r="B2979" s="1" t="n">
        <v>1</v>
      </c>
      <c r="C2979" s="2" t="s">
        <v>44</v>
      </c>
      <c r="D2979" s="3" t="s">
        <v>118</v>
      </c>
      <c r="E2979" s="3" t="n">
        <v>2</v>
      </c>
      <c r="F2979" s="1" t="n">
        <f aca="false">Y2979-X2979</f>
        <v>5</v>
      </c>
      <c r="G2979" s="1" t="n">
        <v>5</v>
      </c>
      <c r="H2979" s="3" t="s">
        <v>36</v>
      </c>
      <c r="I2979" s="3" t="s">
        <v>37</v>
      </c>
      <c r="J2979" s="3" t="s">
        <v>75</v>
      </c>
      <c r="K2979" s="2" t="str">
        <f aca="false">CONCATENATE(I2979," ",J2979)</f>
        <v>Ozyptila praticola</v>
      </c>
      <c r="L2979" s="3" t="n">
        <f aca="false">SUM(P2979:U2979)</f>
        <v>1</v>
      </c>
      <c r="M2979" s="11" t="n">
        <f aca="false">(L2979/(F2979*G2979)*25)*4</f>
        <v>4</v>
      </c>
      <c r="N2979" s="1" t="s">
        <v>30</v>
      </c>
      <c r="O2979" s="1" t="s">
        <v>31</v>
      </c>
      <c r="P2979" s="3" t="n">
        <v>1</v>
      </c>
      <c r="Q2979" s="3" t="n">
        <v>0</v>
      </c>
      <c r="R2979" s="3" t="n">
        <v>0</v>
      </c>
      <c r="S2979" s="3" t="n">
        <v>0</v>
      </c>
      <c r="T2979" s="3" t="n">
        <v>0</v>
      </c>
      <c r="U2979" s="3" t="n">
        <v>0</v>
      </c>
      <c r="V2979" s="3" t="n">
        <f aca="false">SUM(P2979:Q2979)</f>
        <v>1</v>
      </c>
      <c r="W2979" s="3" t="n">
        <f aca="false">SUM(R2979:T2979)</f>
        <v>0</v>
      </c>
      <c r="X2979" s="22" t="n">
        <v>41793</v>
      </c>
      <c r="Y2979" s="22" t="n">
        <v>41798</v>
      </c>
    </row>
    <row r="2980" customFormat="false" ht="14.25" hidden="false" customHeight="false" outlineLevel="0" collapsed="false">
      <c r="A2980" s="1" t="n">
        <v>2014</v>
      </c>
      <c r="B2980" s="1" t="n">
        <v>1</v>
      </c>
      <c r="C2980" s="2" t="s">
        <v>44</v>
      </c>
      <c r="D2980" s="3" t="s">
        <v>118</v>
      </c>
      <c r="E2980" s="3" t="n">
        <v>2</v>
      </c>
      <c r="F2980" s="1" t="n">
        <f aca="false">Y2980-X2980</f>
        <v>5</v>
      </c>
      <c r="G2980" s="1" t="n">
        <v>5</v>
      </c>
      <c r="H2980" s="3" t="s">
        <v>135</v>
      </c>
      <c r="I2980" s="3" t="s">
        <v>136</v>
      </c>
      <c r="J2980" s="3" t="s">
        <v>137</v>
      </c>
      <c r="K2980" s="2" t="str">
        <f aca="false">CONCATENATE(I2980," ",J2980)</f>
        <v>Thanatus sabulosus</v>
      </c>
      <c r="L2980" s="3" t="n">
        <f aca="false">SUM(P2980:U2980)</f>
        <v>1</v>
      </c>
      <c r="M2980" s="11" t="n">
        <f aca="false">(L2980/(F2980*G2980)*25)*4</f>
        <v>4</v>
      </c>
      <c r="N2980" s="1" t="s">
        <v>30</v>
      </c>
      <c r="O2980" s="1" t="s">
        <v>31</v>
      </c>
      <c r="P2980" s="3" t="n">
        <v>1</v>
      </c>
      <c r="Q2980" s="3" t="n">
        <v>0</v>
      </c>
      <c r="R2980" s="3" t="n">
        <v>0</v>
      </c>
      <c r="S2980" s="3" t="n">
        <v>0</v>
      </c>
      <c r="T2980" s="3" t="n">
        <v>0</v>
      </c>
      <c r="U2980" s="3" t="n">
        <v>0</v>
      </c>
      <c r="V2980" s="3" t="n">
        <f aca="false">SUM(P2980:Q2980)</f>
        <v>1</v>
      </c>
      <c r="W2980" s="3" t="n">
        <f aca="false">SUM(R2980:T2980)</f>
        <v>0</v>
      </c>
      <c r="X2980" s="22" t="n">
        <v>41793</v>
      </c>
      <c r="Y2980" s="22" t="n">
        <v>41798</v>
      </c>
    </row>
    <row r="2981" customFormat="false" ht="14.25" hidden="false" customHeight="false" outlineLevel="0" collapsed="false">
      <c r="A2981" s="1" t="n">
        <v>2014</v>
      </c>
      <c r="B2981" s="1" t="n">
        <v>1</v>
      </c>
      <c r="C2981" s="2" t="s">
        <v>44</v>
      </c>
      <c r="D2981" s="3" t="s">
        <v>118</v>
      </c>
      <c r="E2981" s="3" t="n">
        <v>2</v>
      </c>
      <c r="F2981" s="1" t="n">
        <f aca="false">Y2981-X2981</f>
        <v>5</v>
      </c>
      <c r="G2981" s="1" t="n">
        <v>5</v>
      </c>
      <c r="H2981" s="3" t="s">
        <v>48</v>
      </c>
      <c r="I2981" s="3" t="s">
        <v>49</v>
      </c>
      <c r="J2981" s="3" t="s">
        <v>130</v>
      </c>
      <c r="K2981" s="2" t="str">
        <f aca="false">CONCATENATE(I2981," ",J2981)</f>
        <v>Alopecosa aculeata</v>
      </c>
      <c r="L2981" s="3" t="n">
        <f aca="false">SUM(P2981:U2981)</f>
        <v>1</v>
      </c>
      <c r="M2981" s="11" t="n">
        <f aca="false">(L2981/(F2981*G2981)*25)*4</f>
        <v>4</v>
      </c>
      <c r="N2981" s="1" t="s">
        <v>30</v>
      </c>
      <c r="O2981" s="1" t="s">
        <v>35</v>
      </c>
      <c r="P2981" s="3" t="n">
        <v>0</v>
      </c>
      <c r="Q2981" s="3" t="n">
        <v>1</v>
      </c>
      <c r="R2981" s="3" t="n">
        <v>0</v>
      </c>
      <c r="S2981" s="3" t="n">
        <v>0</v>
      </c>
      <c r="T2981" s="3" t="n">
        <v>0</v>
      </c>
      <c r="U2981" s="3" t="n">
        <v>0</v>
      </c>
      <c r="V2981" s="3" t="n">
        <f aca="false">SUM(P2981:Q2981)</f>
        <v>1</v>
      </c>
      <c r="W2981" s="3" t="n">
        <f aca="false">SUM(R2981:T2981)</f>
        <v>0</v>
      </c>
      <c r="X2981" s="22" t="n">
        <v>41793</v>
      </c>
      <c r="Y2981" s="22" t="n">
        <v>41798</v>
      </c>
    </row>
    <row r="2982" customFormat="false" ht="14.25" hidden="false" customHeight="false" outlineLevel="0" collapsed="false">
      <c r="A2982" s="1" t="n">
        <v>2014</v>
      </c>
      <c r="B2982" s="1" t="n">
        <v>1</v>
      </c>
      <c r="C2982" s="2" t="s">
        <v>44</v>
      </c>
      <c r="D2982" s="3" t="s">
        <v>118</v>
      </c>
      <c r="E2982" s="3" t="n">
        <v>2</v>
      </c>
      <c r="F2982" s="1" t="n">
        <f aca="false">Y2982-X2982</f>
        <v>5</v>
      </c>
      <c r="G2982" s="1" t="n">
        <v>5</v>
      </c>
      <c r="H2982" s="3" t="s">
        <v>48</v>
      </c>
      <c r="I2982" s="3" t="s">
        <v>49</v>
      </c>
      <c r="J2982" s="3" t="s">
        <v>119</v>
      </c>
      <c r="K2982" s="2" t="str">
        <f aca="false">CONCATENATE(I2982," ",J2982)</f>
        <v>Alopecosa sulzeri</v>
      </c>
      <c r="L2982" s="3" t="n">
        <f aca="false">SUM(P2982:U2982)</f>
        <v>1</v>
      </c>
      <c r="M2982" s="11" t="n">
        <f aca="false">(L2982/(F2982*G2982)*25)*4</f>
        <v>4</v>
      </c>
      <c r="N2982" s="1" t="s">
        <v>30</v>
      </c>
      <c r="O2982" s="1" t="s">
        <v>31</v>
      </c>
      <c r="P2982" s="3" t="n">
        <v>1</v>
      </c>
      <c r="Q2982" s="3" t="n">
        <v>0</v>
      </c>
      <c r="R2982" s="3" t="n">
        <v>0</v>
      </c>
      <c r="S2982" s="3" t="n">
        <v>0</v>
      </c>
      <c r="T2982" s="3" t="n">
        <v>0</v>
      </c>
      <c r="U2982" s="3" t="n">
        <v>0</v>
      </c>
      <c r="V2982" s="3" t="n">
        <f aca="false">SUM(P2982:Q2982)</f>
        <v>1</v>
      </c>
      <c r="W2982" s="3" t="n">
        <f aca="false">SUM(R2982:T2982)</f>
        <v>0</v>
      </c>
      <c r="X2982" s="22" t="n">
        <v>41793</v>
      </c>
      <c r="Y2982" s="22" t="n">
        <v>41798</v>
      </c>
    </row>
    <row r="2983" customFormat="false" ht="14.25" hidden="false" customHeight="false" outlineLevel="0" collapsed="false">
      <c r="A2983" s="1" t="n">
        <v>2014</v>
      </c>
      <c r="B2983" s="1" t="n">
        <v>1</v>
      </c>
      <c r="C2983" s="2" t="s">
        <v>44</v>
      </c>
      <c r="D2983" s="3" t="s">
        <v>118</v>
      </c>
      <c r="E2983" s="3" t="n">
        <v>2</v>
      </c>
      <c r="F2983" s="1" t="n">
        <f aca="false">Y2983-X2983</f>
        <v>5</v>
      </c>
      <c r="G2983" s="1" t="n">
        <v>5</v>
      </c>
      <c r="H2983" s="3" t="s">
        <v>48</v>
      </c>
      <c r="I2983" s="3" t="s">
        <v>122</v>
      </c>
      <c r="J2983" s="3" t="s">
        <v>123</v>
      </c>
      <c r="K2983" s="2" t="str">
        <f aca="false">CONCATENATE(I2983," ",J2983)</f>
        <v>Xerolycosa nemoralis</v>
      </c>
      <c r="L2983" s="3" t="n">
        <f aca="false">SUM(P2983:U2983)</f>
        <v>1</v>
      </c>
      <c r="M2983" s="11" t="n">
        <f aca="false">(L2983/(F2983*G2983)*25)*4</f>
        <v>4</v>
      </c>
      <c r="N2983" s="1" t="s">
        <v>30</v>
      </c>
      <c r="O2983" s="1" t="s">
        <v>31</v>
      </c>
      <c r="P2983" s="3" t="n">
        <v>1</v>
      </c>
      <c r="Q2983" s="3" t="n">
        <v>0</v>
      </c>
      <c r="R2983" s="3" t="n">
        <v>0</v>
      </c>
      <c r="S2983" s="3" t="n">
        <v>0</v>
      </c>
      <c r="T2983" s="3" t="n">
        <v>0</v>
      </c>
      <c r="U2983" s="3" t="n">
        <v>0</v>
      </c>
      <c r="V2983" s="3" t="n">
        <f aca="false">SUM(P2983:Q2983)</f>
        <v>1</v>
      </c>
      <c r="W2983" s="3" t="n">
        <f aca="false">SUM(R2983:T2983)</f>
        <v>0</v>
      </c>
      <c r="X2983" s="22" t="n">
        <v>41793</v>
      </c>
      <c r="Y2983" s="22" t="n">
        <v>41798</v>
      </c>
    </row>
    <row r="2984" customFormat="false" ht="14.25" hidden="false" customHeight="false" outlineLevel="0" collapsed="false">
      <c r="A2984" s="1" t="n">
        <v>2014</v>
      </c>
      <c r="B2984" s="1" t="n">
        <v>1</v>
      </c>
      <c r="C2984" s="2" t="s">
        <v>44</v>
      </c>
      <c r="D2984" s="3" t="s">
        <v>118</v>
      </c>
      <c r="E2984" s="3" t="n">
        <v>2</v>
      </c>
      <c r="F2984" s="1" t="n">
        <f aca="false">Y2984-X2984</f>
        <v>5</v>
      </c>
      <c r="G2984" s="1" t="n">
        <v>5</v>
      </c>
      <c r="H2984" s="3" t="s">
        <v>48</v>
      </c>
      <c r="I2984" s="3" t="s">
        <v>49</v>
      </c>
      <c r="J2984" s="3" t="s">
        <v>38</v>
      </c>
      <c r="K2984" s="2" t="str">
        <f aca="false">CONCATENATE(I2984," ",J2984)</f>
        <v>Alopecosa sp</v>
      </c>
      <c r="L2984" s="3" t="n">
        <f aca="false">SUM(P2984:U2984)</f>
        <v>2</v>
      </c>
      <c r="M2984" s="11" t="n">
        <f aca="false">(L2984/(F2984*G2984)*25)*4</f>
        <v>8</v>
      </c>
      <c r="N2984" s="1" t="s">
        <v>19</v>
      </c>
      <c r="O2984" s="1" t="s">
        <v>54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2</v>
      </c>
      <c r="U2984" s="3" t="n">
        <v>0</v>
      </c>
      <c r="V2984" s="3" t="n">
        <f aca="false">SUM(P2984:Q2984)</f>
        <v>0</v>
      </c>
      <c r="W2984" s="3" t="n">
        <f aca="false">SUM(R2984:T2984)</f>
        <v>2</v>
      </c>
      <c r="X2984" s="22" t="n">
        <v>41793</v>
      </c>
      <c r="Y2984" s="22" t="n">
        <v>41798</v>
      </c>
    </row>
    <row r="2985" customFormat="false" ht="14.25" hidden="false" customHeight="false" outlineLevel="0" collapsed="false">
      <c r="A2985" s="1" t="n">
        <v>2014</v>
      </c>
      <c r="B2985" s="1" t="n">
        <v>1</v>
      </c>
      <c r="C2985" s="2" t="s">
        <v>44</v>
      </c>
      <c r="D2985" s="3" t="s">
        <v>118</v>
      </c>
      <c r="E2985" s="3" t="n">
        <v>2</v>
      </c>
      <c r="F2985" s="1" t="n">
        <f aca="false">Y2985-X2985</f>
        <v>5</v>
      </c>
      <c r="G2985" s="1" t="n">
        <v>5</v>
      </c>
      <c r="H2985" s="3" t="s">
        <v>48</v>
      </c>
      <c r="I2985" s="3" t="s">
        <v>67</v>
      </c>
      <c r="J2985" s="3" t="s">
        <v>127</v>
      </c>
      <c r="K2985" s="2" t="str">
        <f aca="false">CONCATENATE(I2985," ",J2985)</f>
        <v>Pardosa lugubris</v>
      </c>
      <c r="L2985" s="3" t="n">
        <f aca="false">SUM(P2985:U2985)</f>
        <v>1</v>
      </c>
      <c r="M2985" s="11" t="n">
        <f aca="false">(L2985/(F2985*G2985)*25)*4</f>
        <v>4</v>
      </c>
      <c r="N2985" s="1" t="s">
        <v>30</v>
      </c>
      <c r="O2985" s="1" t="s">
        <v>31</v>
      </c>
      <c r="P2985" s="3" t="n">
        <v>1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f aca="false">SUM(P2985:Q2985)</f>
        <v>1</v>
      </c>
      <c r="W2985" s="3" t="n">
        <f aca="false">SUM(R2985:T2985)</f>
        <v>0</v>
      </c>
      <c r="X2985" s="22" t="n">
        <v>41793</v>
      </c>
      <c r="Y2985" s="22" t="n">
        <v>41798</v>
      </c>
    </row>
    <row r="2986" customFormat="false" ht="14.25" hidden="false" customHeight="false" outlineLevel="0" collapsed="false">
      <c r="A2986" s="1" t="n">
        <v>2014</v>
      </c>
      <c r="B2986" s="1" t="n">
        <v>1</v>
      </c>
      <c r="C2986" s="2" t="s">
        <v>44</v>
      </c>
      <c r="D2986" s="3" t="s">
        <v>118</v>
      </c>
      <c r="E2986" s="3" t="n">
        <v>2</v>
      </c>
      <c r="F2986" s="1" t="n">
        <f aca="false">Y2986-X2986</f>
        <v>5</v>
      </c>
      <c r="G2986" s="1" t="n">
        <v>5</v>
      </c>
      <c r="H2986" s="3" t="s">
        <v>52</v>
      </c>
      <c r="I2986" s="3" t="s">
        <v>57</v>
      </c>
      <c r="J2986" s="3" t="s">
        <v>38</v>
      </c>
      <c r="K2986" s="2" t="str">
        <f aca="false">CONCATENATE(I2986," ",J2986)</f>
        <v>Gen sp</v>
      </c>
      <c r="L2986" s="3" t="n">
        <f aca="false">SUM(P2986:U2986)</f>
        <v>1</v>
      </c>
      <c r="M2986" s="11" t="n">
        <f aca="false">(L2986/(F2986*G2986)*25)*4</f>
        <v>4</v>
      </c>
      <c r="N2986" s="1" t="s">
        <v>19</v>
      </c>
      <c r="O2986" s="1" t="s">
        <v>54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1</v>
      </c>
      <c r="U2986" s="3" t="n">
        <v>0</v>
      </c>
      <c r="V2986" s="3" t="n">
        <f aca="false">SUM(P2986:Q2986)</f>
        <v>0</v>
      </c>
      <c r="W2986" s="3" t="n">
        <f aca="false">SUM(R2986:T2986)</f>
        <v>1</v>
      </c>
      <c r="X2986" s="22" t="n">
        <v>41793</v>
      </c>
      <c r="Y2986" s="22" t="n">
        <v>41798</v>
      </c>
    </row>
    <row r="2987" customFormat="false" ht="14.25" hidden="false" customHeight="false" outlineLevel="0" collapsed="false">
      <c r="A2987" s="1" t="n">
        <v>2014</v>
      </c>
      <c r="B2987" s="1" t="n">
        <v>1</v>
      </c>
      <c r="C2987" s="2" t="s">
        <v>50</v>
      </c>
      <c r="D2987" s="3" t="s">
        <v>98</v>
      </c>
      <c r="E2987" s="3" t="n">
        <v>1</v>
      </c>
      <c r="F2987" s="1" t="n">
        <f aca="false">Y2987-X2987</f>
        <v>5</v>
      </c>
      <c r="G2987" s="1" t="n">
        <v>5</v>
      </c>
      <c r="H2987" s="3" t="s">
        <v>48</v>
      </c>
      <c r="I2987" s="3" t="s">
        <v>67</v>
      </c>
      <c r="J2987" s="3" t="s">
        <v>127</v>
      </c>
      <c r="K2987" s="2" t="str">
        <f aca="false">CONCATENATE(I2987," ",J2987)</f>
        <v>Pardosa lugubris</v>
      </c>
      <c r="L2987" s="3" t="n">
        <f aca="false">SUM(P2987:U2987)</f>
        <v>2</v>
      </c>
      <c r="M2987" s="11" t="n">
        <f aca="false">(L2987/(F2987*G2987)*25)*4</f>
        <v>8</v>
      </c>
      <c r="N2987" s="1" t="s">
        <v>30</v>
      </c>
      <c r="O2987" s="1" t="s">
        <v>31</v>
      </c>
      <c r="P2987" s="3" t="n">
        <v>2</v>
      </c>
      <c r="Q2987" s="3" t="n">
        <v>0</v>
      </c>
      <c r="R2987" s="3" t="n">
        <v>0</v>
      </c>
      <c r="S2987" s="3" t="n">
        <v>0</v>
      </c>
      <c r="T2987" s="3" t="n">
        <v>0</v>
      </c>
      <c r="U2987" s="3" t="n">
        <v>0</v>
      </c>
      <c r="V2987" s="3" t="n">
        <f aca="false">SUM(P2987:Q2987)</f>
        <v>2</v>
      </c>
      <c r="W2987" s="3" t="n">
        <f aca="false">SUM(R2987:T2987)</f>
        <v>0</v>
      </c>
      <c r="X2987" s="22" t="n">
        <v>41793</v>
      </c>
      <c r="Y2987" s="22" t="n">
        <v>41798</v>
      </c>
    </row>
    <row r="2988" customFormat="false" ht="14.25" hidden="false" customHeight="false" outlineLevel="0" collapsed="false">
      <c r="A2988" s="1" t="n">
        <v>2014</v>
      </c>
      <c r="B2988" s="1" t="n">
        <v>1</v>
      </c>
      <c r="C2988" s="2" t="s">
        <v>50</v>
      </c>
      <c r="D2988" s="3" t="s">
        <v>98</v>
      </c>
      <c r="E2988" s="3" t="n">
        <v>1</v>
      </c>
      <c r="F2988" s="1" t="n">
        <f aca="false">Y2988-X2988</f>
        <v>5</v>
      </c>
      <c r="G2988" s="1" t="n">
        <v>5</v>
      </c>
      <c r="H2988" s="3" t="s">
        <v>48</v>
      </c>
      <c r="I2988" s="3" t="s">
        <v>49</v>
      </c>
      <c r="J2988" s="3" t="s">
        <v>130</v>
      </c>
      <c r="K2988" s="2" t="str">
        <f aca="false">CONCATENATE(I2988," ",J2988)</f>
        <v>Alopecosa aculeata</v>
      </c>
      <c r="L2988" s="3" t="n">
        <f aca="false">SUM(P2988:U2988)</f>
        <v>2</v>
      </c>
      <c r="M2988" s="11" t="n">
        <f aca="false">(L2988/(F2988*G2988)*25)*4</f>
        <v>8</v>
      </c>
      <c r="N2988" s="1" t="s">
        <v>30</v>
      </c>
      <c r="O2988" s="1" t="s">
        <v>31</v>
      </c>
      <c r="P2988" s="3" t="n">
        <v>2</v>
      </c>
      <c r="Q2988" s="3" t="n">
        <v>0</v>
      </c>
      <c r="R2988" s="3" t="n">
        <v>0</v>
      </c>
      <c r="S2988" s="3" t="n">
        <v>0</v>
      </c>
      <c r="T2988" s="3" t="n">
        <v>0</v>
      </c>
      <c r="U2988" s="3" t="n">
        <v>0</v>
      </c>
      <c r="V2988" s="3" t="n">
        <f aca="false">SUM(P2988:Q2988)</f>
        <v>2</v>
      </c>
      <c r="W2988" s="3" t="n">
        <f aca="false">SUM(R2988:T2988)</f>
        <v>0</v>
      </c>
      <c r="X2988" s="22" t="n">
        <v>41793</v>
      </c>
      <c r="Y2988" s="22" t="n">
        <v>41798</v>
      </c>
    </row>
    <row r="2989" customFormat="false" ht="14.25" hidden="false" customHeight="false" outlineLevel="0" collapsed="false">
      <c r="A2989" s="1" t="n">
        <v>2014</v>
      </c>
      <c r="B2989" s="1" t="n">
        <v>1</v>
      </c>
      <c r="C2989" s="2" t="s">
        <v>50</v>
      </c>
      <c r="D2989" s="3" t="s">
        <v>98</v>
      </c>
      <c r="E2989" s="3" t="n">
        <v>1</v>
      </c>
      <c r="F2989" s="1" t="n">
        <f aca="false">Y2989-X2989</f>
        <v>5</v>
      </c>
      <c r="G2989" s="1" t="n">
        <v>5</v>
      </c>
      <c r="H2989" s="3" t="s">
        <v>36</v>
      </c>
      <c r="I2989" s="3" t="s">
        <v>131</v>
      </c>
      <c r="J2989" s="3" t="s">
        <v>133</v>
      </c>
      <c r="K2989" s="2" t="str">
        <f aca="false">CONCATENATE(I2989," ",J2989)</f>
        <v>Xysticus luctuosus</v>
      </c>
      <c r="L2989" s="3" t="n">
        <f aca="false">SUM(P2989:U2989)</f>
        <v>3</v>
      </c>
      <c r="M2989" s="11" t="n">
        <f aca="false">(L2989/(F2989*G2989)*25)*4</f>
        <v>12</v>
      </c>
      <c r="N2989" s="1" t="s">
        <v>30</v>
      </c>
      <c r="O2989" s="1" t="s">
        <v>31</v>
      </c>
      <c r="P2989" s="3" t="n">
        <v>3</v>
      </c>
      <c r="Q2989" s="3" t="n">
        <v>0</v>
      </c>
      <c r="R2989" s="3" t="n">
        <v>0</v>
      </c>
      <c r="S2989" s="3" t="n">
        <v>0</v>
      </c>
      <c r="T2989" s="3" t="n">
        <v>0</v>
      </c>
      <c r="U2989" s="3" t="n">
        <v>0</v>
      </c>
      <c r="V2989" s="3" t="n">
        <f aca="false">SUM(P2989:Q2989)</f>
        <v>3</v>
      </c>
      <c r="W2989" s="3" t="n">
        <f aca="false">SUM(R2989:T2989)</f>
        <v>0</v>
      </c>
      <c r="X2989" s="22" t="n">
        <v>41793</v>
      </c>
      <c r="Y2989" s="22" t="n">
        <v>41798</v>
      </c>
    </row>
    <row r="2990" customFormat="false" ht="14.25" hidden="false" customHeight="false" outlineLevel="0" collapsed="false">
      <c r="A2990" s="1" t="n">
        <v>2014</v>
      </c>
      <c r="B2990" s="1" t="n">
        <v>1</v>
      </c>
      <c r="C2990" s="2" t="s">
        <v>50</v>
      </c>
      <c r="D2990" s="3" t="s">
        <v>98</v>
      </c>
      <c r="E2990" s="3" t="n">
        <v>1</v>
      </c>
      <c r="F2990" s="1" t="n">
        <f aca="false">Y2990-X2990</f>
        <v>5</v>
      </c>
      <c r="G2990" s="1" t="n">
        <v>5</v>
      </c>
      <c r="H2990" s="3" t="s">
        <v>72</v>
      </c>
      <c r="I2990" s="3" t="s">
        <v>73</v>
      </c>
      <c r="J2990" s="3" t="s">
        <v>38</v>
      </c>
      <c r="K2990" s="2" t="str">
        <f aca="false">CONCATENATE(I2990," ",J2990)</f>
        <v>Zelotes sp</v>
      </c>
      <c r="L2990" s="3" t="n">
        <f aca="false">SUM(P2990:U2990)</f>
        <v>1</v>
      </c>
      <c r="M2990" s="11" t="n">
        <f aca="false">(L2990/(F2990*G2990)*25)*4</f>
        <v>4</v>
      </c>
      <c r="N2990" s="1" t="s">
        <v>19</v>
      </c>
      <c r="O2990" s="1" t="s">
        <v>54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1</v>
      </c>
      <c r="U2990" s="3" t="n">
        <v>0</v>
      </c>
      <c r="V2990" s="3" t="n">
        <f aca="false">SUM(P2990:Q2990)</f>
        <v>0</v>
      </c>
      <c r="W2990" s="3" t="n">
        <f aca="false">SUM(R2990:T2990)</f>
        <v>1</v>
      </c>
      <c r="X2990" s="22" t="n">
        <v>41793</v>
      </c>
      <c r="Y2990" s="22" t="n">
        <v>41798</v>
      </c>
    </row>
    <row r="2991" customFormat="false" ht="14.25" hidden="false" customHeight="false" outlineLevel="0" collapsed="false">
      <c r="A2991" s="1" t="n">
        <v>2014</v>
      </c>
      <c r="B2991" s="1" t="n">
        <v>1</v>
      </c>
      <c r="C2991" s="2" t="s">
        <v>50</v>
      </c>
      <c r="D2991" s="3" t="s">
        <v>98</v>
      </c>
      <c r="E2991" s="3" t="n">
        <v>1</v>
      </c>
      <c r="F2991" s="1" t="n">
        <f aca="false">Y2991-X2991</f>
        <v>5</v>
      </c>
      <c r="G2991" s="1" t="n">
        <v>5</v>
      </c>
      <c r="H2991" s="3" t="s">
        <v>48</v>
      </c>
      <c r="I2991" s="3" t="s">
        <v>49</v>
      </c>
      <c r="J2991" s="3" t="s">
        <v>38</v>
      </c>
      <c r="K2991" s="2" t="str">
        <f aca="false">CONCATENATE(I2991," ",J2991)</f>
        <v>Alopecosa sp</v>
      </c>
      <c r="L2991" s="3" t="n">
        <f aca="false">SUM(P2991:U2991)</f>
        <v>1</v>
      </c>
      <c r="M2991" s="11" t="n">
        <f aca="false">(L2991/(F2991*G2991)*25)*4</f>
        <v>4</v>
      </c>
      <c r="N2991" s="1" t="s">
        <v>19</v>
      </c>
      <c r="O2991" s="1" t="s">
        <v>54</v>
      </c>
      <c r="P2991" s="3" t="n">
        <v>0</v>
      </c>
      <c r="Q2991" s="3" t="n">
        <v>0</v>
      </c>
      <c r="R2991" s="3" t="n">
        <v>0</v>
      </c>
      <c r="S2991" s="3" t="n">
        <v>0</v>
      </c>
      <c r="T2991" s="3" t="n">
        <v>1</v>
      </c>
      <c r="U2991" s="3" t="n">
        <v>0</v>
      </c>
      <c r="V2991" s="3" t="n">
        <f aca="false">SUM(P2991:Q2991)</f>
        <v>0</v>
      </c>
      <c r="W2991" s="3" t="n">
        <f aca="false">SUM(R2991:T2991)</f>
        <v>1</v>
      </c>
      <c r="X2991" s="22" t="n">
        <v>41793</v>
      </c>
      <c r="Y2991" s="22" t="n">
        <v>41798</v>
      </c>
    </row>
    <row r="2992" customFormat="false" ht="14.25" hidden="false" customHeight="false" outlineLevel="0" collapsed="false">
      <c r="A2992" s="1" t="n">
        <v>2014</v>
      </c>
      <c r="B2992" s="1" t="n">
        <v>1</v>
      </c>
      <c r="C2992" s="2" t="s">
        <v>50</v>
      </c>
      <c r="D2992" s="3" t="s">
        <v>98</v>
      </c>
      <c r="E2992" s="3" t="n">
        <v>2</v>
      </c>
      <c r="F2992" s="1" t="n">
        <f aca="false">Y2992-X2992</f>
        <v>5</v>
      </c>
      <c r="G2992" s="1" t="n">
        <v>5</v>
      </c>
      <c r="H2992" s="3" t="s">
        <v>48</v>
      </c>
      <c r="I2992" s="3" t="s">
        <v>49</v>
      </c>
      <c r="J2992" s="3" t="s">
        <v>119</v>
      </c>
      <c r="K2992" s="2" t="str">
        <f aca="false">CONCATENATE(I2992," ",J2992)</f>
        <v>Alopecosa sulzeri</v>
      </c>
      <c r="L2992" s="3" t="n">
        <f aca="false">SUM(P2992:U2992)</f>
        <v>1</v>
      </c>
      <c r="M2992" s="11" t="n">
        <f aca="false">(L2992/(F2992*G2992)*25)*4</f>
        <v>4</v>
      </c>
      <c r="N2992" s="1" t="s">
        <v>30</v>
      </c>
      <c r="O2992" s="1" t="s">
        <v>31</v>
      </c>
      <c r="P2992" s="3" t="n">
        <v>1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f aca="false">SUM(P2992:Q2992)</f>
        <v>1</v>
      </c>
      <c r="W2992" s="3" t="n">
        <f aca="false">SUM(R2992:T2992)</f>
        <v>0</v>
      </c>
      <c r="X2992" s="22" t="n">
        <v>41793</v>
      </c>
      <c r="Y2992" s="22" t="n">
        <v>41798</v>
      </c>
    </row>
    <row r="2993" customFormat="false" ht="14.25" hidden="false" customHeight="false" outlineLevel="0" collapsed="false">
      <c r="A2993" s="1" t="n">
        <v>2014</v>
      </c>
      <c r="B2993" s="1" t="n">
        <v>1</v>
      </c>
      <c r="C2993" s="2" t="s">
        <v>50</v>
      </c>
      <c r="D2993" s="3" t="s">
        <v>98</v>
      </c>
      <c r="E2993" s="3" t="n">
        <v>2</v>
      </c>
      <c r="F2993" s="1" t="n">
        <f aca="false">Y2993-X2993</f>
        <v>5</v>
      </c>
      <c r="G2993" s="1" t="n">
        <v>5</v>
      </c>
      <c r="H2993" s="3" t="s">
        <v>48</v>
      </c>
      <c r="I2993" s="3" t="s">
        <v>67</v>
      </c>
      <c r="J2993" s="3" t="s">
        <v>127</v>
      </c>
      <c r="K2993" s="2" t="str">
        <f aca="false">CONCATENATE(I2993," ",J2993)</f>
        <v>Pardosa lugubris</v>
      </c>
      <c r="L2993" s="3" t="n">
        <f aca="false">SUM(P2993:U2993)</f>
        <v>1</v>
      </c>
      <c r="M2993" s="11" t="n">
        <f aca="false">(L2993/(F2993*G2993)*25)*4</f>
        <v>4</v>
      </c>
      <c r="N2993" s="1" t="s">
        <v>30</v>
      </c>
      <c r="O2993" s="1" t="s">
        <v>31</v>
      </c>
      <c r="P2993" s="3" t="n">
        <v>1</v>
      </c>
      <c r="Q2993" s="3" t="n">
        <v>0</v>
      </c>
      <c r="R2993" s="3" t="n">
        <v>0</v>
      </c>
      <c r="S2993" s="3" t="n">
        <v>0</v>
      </c>
      <c r="T2993" s="3" t="n">
        <v>0</v>
      </c>
      <c r="U2993" s="3" t="n">
        <v>0</v>
      </c>
      <c r="V2993" s="3" t="n">
        <f aca="false">SUM(P2993:Q2993)</f>
        <v>1</v>
      </c>
      <c r="W2993" s="3" t="n">
        <f aca="false">SUM(R2993:T2993)</f>
        <v>0</v>
      </c>
      <c r="X2993" s="22" t="n">
        <v>41793</v>
      </c>
      <c r="Y2993" s="22" t="n">
        <v>41798</v>
      </c>
    </row>
    <row r="2994" customFormat="false" ht="14.25" hidden="false" customHeight="false" outlineLevel="0" collapsed="false">
      <c r="A2994" s="1" t="n">
        <v>2014</v>
      </c>
      <c r="B2994" s="1" t="n">
        <v>1</v>
      </c>
      <c r="C2994" s="2" t="s">
        <v>50</v>
      </c>
      <c r="D2994" s="3" t="s">
        <v>98</v>
      </c>
      <c r="E2994" s="3" t="n">
        <v>2</v>
      </c>
      <c r="F2994" s="1" t="n">
        <f aca="false">Y2994-X2994</f>
        <v>5</v>
      </c>
      <c r="G2994" s="1" t="n">
        <v>5</v>
      </c>
      <c r="H2994" s="3" t="s">
        <v>36</v>
      </c>
      <c r="I2994" s="3" t="s">
        <v>37</v>
      </c>
      <c r="J2994" s="3" t="s">
        <v>75</v>
      </c>
      <c r="K2994" s="2" t="str">
        <f aca="false">CONCATENATE(I2994," ",J2994)</f>
        <v>Ozyptila praticola</v>
      </c>
      <c r="L2994" s="3" t="n">
        <f aca="false">SUM(P2994:U2994)</f>
        <v>1</v>
      </c>
      <c r="M2994" s="11" t="n">
        <f aca="false">(L2994/(F2994*G2994)*25)*4</f>
        <v>4</v>
      </c>
      <c r="N2994" s="1" t="s">
        <v>30</v>
      </c>
      <c r="O2994" s="1" t="s">
        <v>31</v>
      </c>
      <c r="P2994" s="3" t="n">
        <v>1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f aca="false">SUM(P2994:Q2994)</f>
        <v>1</v>
      </c>
      <c r="W2994" s="3" t="n">
        <f aca="false">SUM(R2994:T2994)</f>
        <v>0</v>
      </c>
      <c r="X2994" s="22" t="n">
        <v>41793</v>
      </c>
      <c r="Y2994" s="22" t="n">
        <v>41798</v>
      </c>
    </row>
    <row r="2995" customFormat="false" ht="14.25" hidden="false" customHeight="false" outlineLevel="0" collapsed="false">
      <c r="A2995" s="1" t="n">
        <v>2014</v>
      </c>
      <c r="B2995" s="1" t="n">
        <v>1</v>
      </c>
      <c r="C2995" s="2" t="s">
        <v>50</v>
      </c>
      <c r="D2995" s="3" t="s">
        <v>98</v>
      </c>
      <c r="E2995" s="3" t="n">
        <v>2</v>
      </c>
      <c r="F2995" s="1" t="n">
        <f aca="false">Y2995-X2995</f>
        <v>5</v>
      </c>
      <c r="G2995" s="1" t="n">
        <v>5</v>
      </c>
      <c r="H2995" s="3" t="s">
        <v>32</v>
      </c>
      <c r="I2995" s="3" t="s">
        <v>96</v>
      </c>
      <c r="J2995" s="3" t="s">
        <v>97</v>
      </c>
      <c r="K2995" s="2" t="str">
        <f aca="false">CONCATENATE(I2995," ",J2995)</f>
        <v>Diplocephalus picinus</v>
      </c>
      <c r="L2995" s="3" t="n">
        <f aca="false">SUM(P2995:U2995)</f>
        <v>1</v>
      </c>
      <c r="M2995" s="11" t="n">
        <f aca="false">(L2995/(F2995*G2995)*25)*4</f>
        <v>4</v>
      </c>
      <c r="N2995" s="1" t="s">
        <v>30</v>
      </c>
      <c r="O2995" s="1" t="s">
        <v>31</v>
      </c>
      <c r="P2995" s="3" t="n">
        <v>1</v>
      </c>
      <c r="Q2995" s="3" t="n">
        <v>0</v>
      </c>
      <c r="R2995" s="3" t="n">
        <v>0</v>
      </c>
      <c r="S2995" s="3" t="n">
        <v>0</v>
      </c>
      <c r="T2995" s="3" t="n">
        <v>0</v>
      </c>
      <c r="U2995" s="3" t="n">
        <v>0</v>
      </c>
      <c r="V2995" s="3" t="n">
        <f aca="false">SUM(P2995:Q2995)</f>
        <v>1</v>
      </c>
      <c r="W2995" s="3" t="n">
        <f aca="false">SUM(R2995:T2995)</f>
        <v>0</v>
      </c>
      <c r="X2995" s="22" t="n">
        <v>41793</v>
      </c>
      <c r="Y2995" s="22" t="n">
        <v>41798</v>
      </c>
    </row>
    <row r="2996" customFormat="false" ht="14.25" hidden="false" customHeight="false" outlineLevel="0" collapsed="false">
      <c r="A2996" s="1" t="n">
        <v>2014</v>
      </c>
      <c r="B2996" s="1" t="n">
        <v>1</v>
      </c>
      <c r="C2996" s="2" t="s">
        <v>50</v>
      </c>
      <c r="D2996" s="3" t="s">
        <v>98</v>
      </c>
      <c r="E2996" s="3" t="n">
        <v>2</v>
      </c>
      <c r="F2996" s="1" t="n">
        <f aca="false">Y2996-X2996</f>
        <v>5</v>
      </c>
      <c r="G2996" s="1" t="n">
        <v>5</v>
      </c>
      <c r="H2996" s="3" t="s">
        <v>32</v>
      </c>
      <c r="I2996" s="3" t="s">
        <v>169</v>
      </c>
      <c r="J2996" s="3" t="s">
        <v>170</v>
      </c>
      <c r="K2996" s="2" t="str">
        <f aca="false">CONCATENATE(I2996," ",J2996)</f>
        <v>Abacoproeces saltuum</v>
      </c>
      <c r="L2996" s="3" t="n">
        <f aca="false">SUM(P2996:U2996)</f>
        <v>2</v>
      </c>
      <c r="M2996" s="11" t="n">
        <f aca="false">(L2996/(F2996*G2996)*25)*4</f>
        <v>8</v>
      </c>
      <c r="N2996" s="1" t="s">
        <v>30</v>
      </c>
      <c r="O2996" s="1" t="s">
        <v>31</v>
      </c>
      <c r="P2996" s="3" t="n">
        <v>2</v>
      </c>
      <c r="Q2996" s="3" t="n">
        <v>0</v>
      </c>
      <c r="R2996" s="3" t="n">
        <v>0</v>
      </c>
      <c r="S2996" s="3" t="n">
        <v>0</v>
      </c>
      <c r="T2996" s="3" t="n">
        <v>0</v>
      </c>
      <c r="U2996" s="3" t="n">
        <v>0</v>
      </c>
      <c r="V2996" s="3" t="n">
        <f aca="false">SUM(P2996:Q2996)</f>
        <v>2</v>
      </c>
      <c r="W2996" s="3" t="n">
        <f aca="false">SUM(R2996:T2996)</f>
        <v>0</v>
      </c>
      <c r="X2996" s="22" t="n">
        <v>41793</v>
      </c>
      <c r="Y2996" s="22" t="n">
        <v>41798</v>
      </c>
    </row>
    <row r="2997" customFormat="false" ht="14.25" hidden="false" customHeight="false" outlineLevel="0" collapsed="false">
      <c r="A2997" s="1" t="n">
        <v>2014</v>
      </c>
      <c r="B2997" s="1" t="n">
        <v>1</v>
      </c>
      <c r="C2997" s="2" t="s">
        <v>50</v>
      </c>
      <c r="D2997" s="3" t="s">
        <v>98</v>
      </c>
      <c r="E2997" s="3" t="n">
        <v>2</v>
      </c>
      <c r="F2997" s="1" t="n">
        <f aca="false">Y2997-X2997</f>
        <v>5</v>
      </c>
      <c r="G2997" s="1" t="n">
        <v>5</v>
      </c>
      <c r="H2997" s="3" t="s">
        <v>48</v>
      </c>
      <c r="I2997" s="3" t="s">
        <v>49</v>
      </c>
      <c r="J2997" s="3" t="s">
        <v>119</v>
      </c>
      <c r="K2997" s="2" t="str">
        <f aca="false">CONCATENATE(I2997," ",J2997)</f>
        <v>Alopecosa sulzeri</v>
      </c>
      <c r="L2997" s="3" t="n">
        <f aca="false">SUM(P2997:U2997)</f>
        <v>3</v>
      </c>
      <c r="M2997" s="11" t="n">
        <f aca="false">(L2997/(F2997*G2997)*25)*4</f>
        <v>12</v>
      </c>
      <c r="N2997" s="1" t="s">
        <v>30</v>
      </c>
      <c r="O2997" s="1" t="s">
        <v>31</v>
      </c>
      <c r="P2997" s="3" t="n">
        <v>3</v>
      </c>
      <c r="Q2997" s="3" t="n">
        <v>0</v>
      </c>
      <c r="R2997" s="3" t="n">
        <v>0</v>
      </c>
      <c r="S2997" s="3" t="n">
        <v>0</v>
      </c>
      <c r="T2997" s="3" t="n">
        <v>0</v>
      </c>
      <c r="U2997" s="3" t="n">
        <v>0</v>
      </c>
      <c r="V2997" s="3" t="n">
        <f aca="false">SUM(P2997:Q2997)</f>
        <v>3</v>
      </c>
      <c r="W2997" s="3" t="n">
        <f aca="false">SUM(R2997:T2997)</f>
        <v>0</v>
      </c>
      <c r="X2997" s="22" t="n">
        <v>41793</v>
      </c>
      <c r="Y2997" s="22" t="n">
        <v>41798</v>
      </c>
    </row>
    <row r="2998" customFormat="false" ht="14.25" hidden="false" customHeight="false" outlineLevel="0" collapsed="false">
      <c r="A2998" s="1" t="n">
        <v>2014</v>
      </c>
      <c r="B2998" s="1" t="n">
        <v>1</v>
      </c>
      <c r="C2998" s="2" t="s">
        <v>50</v>
      </c>
      <c r="D2998" s="3" t="s">
        <v>98</v>
      </c>
      <c r="E2998" s="3" t="n">
        <v>2</v>
      </c>
      <c r="F2998" s="1" t="n">
        <f aca="false">Y2998-X2998</f>
        <v>5</v>
      </c>
      <c r="G2998" s="1" t="n">
        <v>5</v>
      </c>
      <c r="H2998" s="3" t="s">
        <v>48</v>
      </c>
      <c r="I2998" s="3" t="s">
        <v>67</v>
      </c>
      <c r="J2998" s="3" t="s">
        <v>127</v>
      </c>
      <c r="K2998" s="2" t="str">
        <f aca="false">CONCATENATE(I2998," ",J2998)</f>
        <v>Pardosa lugubris</v>
      </c>
      <c r="L2998" s="3" t="n">
        <f aca="false">SUM(P2998:U2998)</f>
        <v>3</v>
      </c>
      <c r="M2998" s="11" t="n">
        <f aca="false">(L2998/(F2998*G2998)*25)*4</f>
        <v>12</v>
      </c>
      <c r="N2998" s="1" t="s">
        <v>30</v>
      </c>
      <c r="O2998" s="1" t="s">
        <v>31</v>
      </c>
      <c r="P2998" s="3" t="n">
        <v>3</v>
      </c>
      <c r="Q2998" s="3" t="n">
        <v>0</v>
      </c>
      <c r="R2998" s="3" t="n">
        <v>0</v>
      </c>
      <c r="S2998" s="3" t="n">
        <v>0</v>
      </c>
      <c r="T2998" s="3" t="n">
        <v>0</v>
      </c>
      <c r="U2998" s="3" t="n">
        <v>0</v>
      </c>
      <c r="V2998" s="3" t="n">
        <f aca="false">SUM(P2998:Q2998)</f>
        <v>3</v>
      </c>
      <c r="W2998" s="3" t="n">
        <f aca="false">SUM(R2998:T2998)</f>
        <v>0</v>
      </c>
      <c r="X2998" s="22" t="n">
        <v>41793</v>
      </c>
      <c r="Y2998" s="22" t="n">
        <v>41798</v>
      </c>
    </row>
    <row r="2999" customFormat="false" ht="14.25" hidden="false" customHeight="false" outlineLevel="0" collapsed="false">
      <c r="A2999" s="1" t="n">
        <v>2014</v>
      </c>
      <c r="B2999" s="1" t="n">
        <v>1</v>
      </c>
      <c r="C2999" s="2" t="s">
        <v>50</v>
      </c>
      <c r="D2999" s="3" t="s">
        <v>98</v>
      </c>
      <c r="E2999" s="3" t="n">
        <v>2</v>
      </c>
      <c r="F2999" s="1" t="n">
        <f aca="false">Y2999-X2999</f>
        <v>5</v>
      </c>
      <c r="G2999" s="1" t="n">
        <v>5</v>
      </c>
      <c r="H2999" s="3" t="s">
        <v>48</v>
      </c>
      <c r="I2999" s="3" t="s">
        <v>49</v>
      </c>
      <c r="J2999" s="3" t="s">
        <v>104</v>
      </c>
      <c r="K2999" s="2" t="str">
        <f aca="false">CONCATENATE(I2999," ",J2999)</f>
        <v>Alopecosa taeniata</v>
      </c>
      <c r="L2999" s="3" t="n">
        <f aca="false">SUM(P2999:U2999)</f>
        <v>1</v>
      </c>
      <c r="M2999" s="11" t="n">
        <f aca="false">(L2999/(F2999*G2999)*25)*4</f>
        <v>4</v>
      </c>
      <c r="N2999" s="1" t="s">
        <v>30</v>
      </c>
      <c r="O2999" s="1" t="s">
        <v>31</v>
      </c>
      <c r="P2999" s="3" t="n">
        <v>1</v>
      </c>
      <c r="Q2999" s="3" t="n">
        <v>0</v>
      </c>
      <c r="R2999" s="3" t="n">
        <v>0</v>
      </c>
      <c r="S2999" s="3" t="n">
        <v>0</v>
      </c>
      <c r="T2999" s="3" t="n">
        <v>0</v>
      </c>
      <c r="U2999" s="3" t="n">
        <v>0</v>
      </c>
      <c r="V2999" s="3" t="n">
        <f aca="false">SUM(P2999:Q2999)</f>
        <v>1</v>
      </c>
      <c r="W2999" s="3" t="n">
        <f aca="false">SUM(R2999:T2999)</f>
        <v>0</v>
      </c>
      <c r="X2999" s="22" t="n">
        <v>41793</v>
      </c>
      <c r="Y2999" s="22" t="n">
        <v>41798</v>
      </c>
    </row>
    <row r="3000" customFormat="false" ht="14.25" hidden="false" customHeight="false" outlineLevel="0" collapsed="false">
      <c r="A3000" s="1" t="n">
        <v>2014</v>
      </c>
      <c r="B3000" s="1" t="n">
        <v>1</v>
      </c>
      <c r="C3000" s="2" t="s">
        <v>50</v>
      </c>
      <c r="D3000" s="3" t="s">
        <v>98</v>
      </c>
      <c r="E3000" s="3" t="n">
        <v>2</v>
      </c>
      <c r="F3000" s="1" t="n">
        <f aca="false">Y3000-X3000</f>
        <v>5</v>
      </c>
      <c r="G3000" s="1" t="n">
        <v>5</v>
      </c>
      <c r="H3000" s="3" t="s">
        <v>72</v>
      </c>
      <c r="I3000" s="3" t="s">
        <v>73</v>
      </c>
      <c r="J3000" s="3" t="s">
        <v>74</v>
      </c>
      <c r="K3000" s="2" t="str">
        <f aca="false">CONCATENATE(I3000," ",J3000)</f>
        <v>Zelotes subterraneus</v>
      </c>
      <c r="L3000" s="3" t="n">
        <f aca="false">SUM(P3000:U3000)</f>
        <v>1</v>
      </c>
      <c r="M3000" s="11" t="n">
        <f aca="false">(L3000/(F3000*G3000)*25)*4</f>
        <v>4</v>
      </c>
      <c r="N3000" s="1" t="s">
        <v>30</v>
      </c>
      <c r="O3000" s="1" t="s">
        <v>35</v>
      </c>
      <c r="P3000" s="3" t="n">
        <v>0</v>
      </c>
      <c r="Q3000" s="3" t="n">
        <v>1</v>
      </c>
      <c r="R3000" s="3" t="n">
        <v>0</v>
      </c>
      <c r="S3000" s="3" t="n">
        <v>0</v>
      </c>
      <c r="T3000" s="3" t="n">
        <v>0</v>
      </c>
      <c r="U3000" s="3" t="n">
        <v>0</v>
      </c>
      <c r="V3000" s="3" t="n">
        <f aca="false">SUM(P3000:Q3000)</f>
        <v>1</v>
      </c>
      <c r="W3000" s="3" t="n">
        <f aca="false">SUM(R3000:T3000)</f>
        <v>0</v>
      </c>
      <c r="X3000" s="22" t="n">
        <v>41793</v>
      </c>
      <c r="Y3000" s="22" t="n">
        <v>41798</v>
      </c>
    </row>
    <row r="3001" customFormat="false" ht="14.25" hidden="false" customHeight="false" outlineLevel="0" collapsed="false">
      <c r="A3001" s="1" t="n">
        <v>2014</v>
      </c>
      <c r="B3001" s="1" t="n">
        <v>1</v>
      </c>
      <c r="C3001" s="2" t="s">
        <v>50</v>
      </c>
      <c r="D3001" s="3" t="s">
        <v>98</v>
      </c>
      <c r="E3001" s="3" t="n">
        <v>2</v>
      </c>
      <c r="F3001" s="1" t="n">
        <f aca="false">Y3001-X3001</f>
        <v>5</v>
      </c>
      <c r="G3001" s="1" t="n">
        <v>5</v>
      </c>
      <c r="H3001" s="3" t="s">
        <v>72</v>
      </c>
      <c r="I3001" s="3" t="s">
        <v>57</v>
      </c>
      <c r="J3001" s="3" t="s">
        <v>38</v>
      </c>
      <c r="K3001" s="2" t="str">
        <f aca="false">CONCATENATE(I3001," ",J3001)</f>
        <v>Gen sp</v>
      </c>
      <c r="L3001" s="3" t="n">
        <f aca="false">SUM(P3001:U3001)</f>
        <v>1</v>
      </c>
      <c r="M3001" s="11" t="n">
        <f aca="false">(L3001/(F3001*G3001)*25)*4</f>
        <v>4</v>
      </c>
      <c r="N3001" s="1" t="s">
        <v>19</v>
      </c>
      <c r="O3001" s="1" t="s">
        <v>54</v>
      </c>
      <c r="P3001" s="3" t="n">
        <v>0</v>
      </c>
      <c r="Q3001" s="3" t="n">
        <v>0</v>
      </c>
      <c r="R3001" s="3" t="n">
        <v>0</v>
      </c>
      <c r="S3001" s="3" t="n">
        <v>0</v>
      </c>
      <c r="T3001" s="3" t="n">
        <v>1</v>
      </c>
      <c r="U3001" s="3" t="n">
        <v>0</v>
      </c>
      <c r="V3001" s="3" t="n">
        <f aca="false">SUM(P3001:Q3001)</f>
        <v>0</v>
      </c>
      <c r="W3001" s="3" t="n">
        <f aca="false">SUM(R3001:T3001)</f>
        <v>1</v>
      </c>
      <c r="X3001" s="22" t="n">
        <v>41793</v>
      </c>
      <c r="Y3001" s="22" t="n">
        <v>41798</v>
      </c>
    </row>
    <row r="3002" customFormat="false" ht="14.25" hidden="false" customHeight="false" outlineLevel="0" collapsed="false">
      <c r="A3002" s="1" t="n">
        <v>2014</v>
      </c>
      <c r="B3002" s="1" t="n">
        <v>1</v>
      </c>
      <c r="C3002" s="2" t="s">
        <v>50</v>
      </c>
      <c r="D3002" s="3" t="s">
        <v>98</v>
      </c>
      <c r="E3002" s="3" t="n">
        <v>2</v>
      </c>
      <c r="F3002" s="1" t="n">
        <f aca="false">Y3002-X3002</f>
        <v>5</v>
      </c>
      <c r="G3002" s="1" t="n">
        <v>5</v>
      </c>
      <c r="H3002" s="3" t="s">
        <v>72</v>
      </c>
      <c r="I3002" s="3" t="s">
        <v>86</v>
      </c>
      <c r="J3002" s="3" t="s">
        <v>87</v>
      </c>
      <c r="K3002" s="2" t="str">
        <f aca="false">CONCATENATE(I3002," ",J3002)</f>
        <v>Haplodrassus soerenseni</v>
      </c>
      <c r="L3002" s="3" t="n">
        <f aca="false">SUM(P3002:U3002)</f>
        <v>1</v>
      </c>
      <c r="M3002" s="11" t="n">
        <f aca="false">(L3002/(F3002*G3002)*25)*4</f>
        <v>4</v>
      </c>
      <c r="N3002" s="1" t="s">
        <v>30</v>
      </c>
      <c r="O3002" s="1" t="s">
        <v>35</v>
      </c>
      <c r="P3002" s="3" t="n">
        <v>0</v>
      </c>
      <c r="Q3002" s="3" t="n">
        <v>1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f aca="false">SUM(P3002:Q3002)</f>
        <v>1</v>
      </c>
      <c r="W3002" s="3" t="n">
        <f aca="false">SUM(R3002:T3002)</f>
        <v>0</v>
      </c>
      <c r="X3002" s="22" t="n">
        <v>41793</v>
      </c>
      <c r="Y3002" s="22" t="n">
        <v>41798</v>
      </c>
    </row>
    <row r="3003" customFormat="false" ht="14.25" hidden="false" customHeight="false" outlineLevel="0" collapsed="false">
      <c r="A3003" s="1" t="n">
        <v>2014</v>
      </c>
      <c r="B3003" s="1" t="n">
        <v>1</v>
      </c>
      <c r="C3003" s="2" t="s">
        <v>50</v>
      </c>
      <c r="D3003" s="3" t="s">
        <v>98</v>
      </c>
      <c r="E3003" s="3" t="n">
        <v>2</v>
      </c>
      <c r="F3003" s="1" t="n">
        <f aca="false">Y3003-X3003</f>
        <v>5</v>
      </c>
      <c r="G3003" s="1" t="n">
        <v>5</v>
      </c>
      <c r="H3003" s="3" t="s">
        <v>36</v>
      </c>
      <c r="I3003" s="3" t="s">
        <v>37</v>
      </c>
      <c r="J3003" s="3" t="s">
        <v>75</v>
      </c>
      <c r="K3003" s="2" t="str">
        <f aca="false">CONCATENATE(I3003," ",J3003)</f>
        <v>Ozyptila praticola</v>
      </c>
      <c r="L3003" s="3" t="n">
        <f aca="false">SUM(P3003:U3003)</f>
        <v>2</v>
      </c>
      <c r="M3003" s="11" t="n">
        <f aca="false">(L3003/(F3003*G3003)*25)*4</f>
        <v>8</v>
      </c>
      <c r="N3003" s="1" t="s">
        <v>30</v>
      </c>
      <c r="O3003" s="1" t="s">
        <v>31</v>
      </c>
      <c r="P3003" s="3" t="n">
        <v>2</v>
      </c>
      <c r="Q3003" s="3" t="n">
        <v>0</v>
      </c>
      <c r="R3003" s="3" t="n">
        <v>0</v>
      </c>
      <c r="S3003" s="3" t="n">
        <v>0</v>
      </c>
      <c r="T3003" s="3" t="n">
        <v>0</v>
      </c>
      <c r="U3003" s="3" t="n">
        <v>0</v>
      </c>
      <c r="V3003" s="3" t="n">
        <f aca="false">SUM(P3003:Q3003)</f>
        <v>2</v>
      </c>
      <c r="W3003" s="3" t="n">
        <f aca="false">SUM(R3003:T3003)</f>
        <v>0</v>
      </c>
      <c r="X3003" s="22" t="n">
        <v>41793</v>
      </c>
      <c r="Y3003" s="22" t="n">
        <v>41798</v>
      </c>
    </row>
    <row r="3004" customFormat="false" ht="14.25" hidden="false" customHeight="false" outlineLevel="0" collapsed="false">
      <c r="A3004" s="1" t="n">
        <v>2014</v>
      </c>
      <c r="B3004" s="1" t="n">
        <v>1</v>
      </c>
      <c r="C3004" s="2" t="s">
        <v>50</v>
      </c>
      <c r="D3004" s="3" t="s">
        <v>98</v>
      </c>
      <c r="E3004" s="3" t="n">
        <v>2</v>
      </c>
      <c r="F3004" s="1" t="n">
        <f aca="false">Y3004-X3004</f>
        <v>5</v>
      </c>
      <c r="G3004" s="1" t="n">
        <v>5</v>
      </c>
      <c r="H3004" s="3" t="s">
        <v>36</v>
      </c>
      <c r="I3004" s="3" t="s">
        <v>37</v>
      </c>
      <c r="J3004" s="3" t="s">
        <v>38</v>
      </c>
      <c r="K3004" s="2" t="str">
        <f aca="false">CONCATENATE(I3004," ",J3004)</f>
        <v>Ozyptila sp</v>
      </c>
      <c r="L3004" s="3" t="n">
        <f aca="false">SUM(P3004:U3004)</f>
        <v>1</v>
      </c>
      <c r="M3004" s="11" t="n">
        <f aca="false">(L3004/(F3004*G3004)*25)*4</f>
        <v>4</v>
      </c>
      <c r="N3004" s="1" t="s">
        <v>19</v>
      </c>
      <c r="O3004" s="1" t="s">
        <v>54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1</v>
      </c>
      <c r="U3004" s="3" t="n">
        <v>0</v>
      </c>
      <c r="V3004" s="3" t="n">
        <f aca="false">SUM(P3004:Q3004)</f>
        <v>0</v>
      </c>
      <c r="W3004" s="3" t="n">
        <f aca="false">SUM(R3004:T3004)</f>
        <v>1</v>
      </c>
      <c r="X3004" s="22" t="n">
        <v>41793</v>
      </c>
      <c r="Y3004" s="22" t="n">
        <v>41798</v>
      </c>
    </row>
    <row r="3005" customFormat="false" ht="14.25" hidden="false" customHeight="false" outlineLevel="0" collapsed="false">
      <c r="A3005" s="1" t="n">
        <v>2014</v>
      </c>
      <c r="B3005" s="1" t="n">
        <v>1</v>
      </c>
      <c r="C3005" s="2" t="s">
        <v>50</v>
      </c>
      <c r="D3005" s="3" t="s">
        <v>98</v>
      </c>
      <c r="E3005" s="3" t="n">
        <v>2</v>
      </c>
      <c r="F3005" s="1" t="n">
        <f aca="false">Y3005-X3005</f>
        <v>5</v>
      </c>
      <c r="G3005" s="1" t="n">
        <v>5</v>
      </c>
      <c r="H3005" s="3" t="s">
        <v>36</v>
      </c>
      <c r="I3005" s="3" t="s">
        <v>131</v>
      </c>
      <c r="J3005" s="3" t="s">
        <v>133</v>
      </c>
      <c r="K3005" s="2" t="str">
        <f aca="false">CONCATENATE(I3005," ",J3005)</f>
        <v>Xysticus luctuosus</v>
      </c>
      <c r="L3005" s="3" t="n">
        <f aca="false">SUM(P3005:U3005)</f>
        <v>1</v>
      </c>
      <c r="M3005" s="11" t="n">
        <f aca="false">(L3005/(F3005*G3005)*25)*4</f>
        <v>4</v>
      </c>
      <c r="N3005" s="1" t="s">
        <v>30</v>
      </c>
      <c r="O3005" s="1" t="s">
        <v>31</v>
      </c>
      <c r="P3005" s="3" t="n">
        <v>1</v>
      </c>
      <c r="Q3005" s="3" t="n">
        <v>0</v>
      </c>
      <c r="R3005" s="3" t="n">
        <v>0</v>
      </c>
      <c r="S3005" s="3" t="n">
        <v>0</v>
      </c>
      <c r="T3005" s="3" t="n">
        <v>0</v>
      </c>
      <c r="U3005" s="3" t="n">
        <v>0</v>
      </c>
      <c r="V3005" s="3" t="n">
        <f aca="false">SUM(P3005:Q3005)</f>
        <v>1</v>
      </c>
      <c r="W3005" s="3" t="n">
        <f aca="false">SUM(R3005:T3005)</f>
        <v>0</v>
      </c>
      <c r="X3005" s="22" t="n">
        <v>41793</v>
      </c>
      <c r="Y3005" s="22" t="n">
        <v>41798</v>
      </c>
    </row>
    <row r="3006" customFormat="false" ht="14.25" hidden="false" customHeight="false" outlineLevel="0" collapsed="false">
      <c r="A3006" s="1" t="n">
        <v>2014</v>
      </c>
      <c r="B3006" s="1" t="n">
        <v>1</v>
      </c>
      <c r="C3006" s="2" t="s">
        <v>50</v>
      </c>
      <c r="D3006" s="3" t="s">
        <v>98</v>
      </c>
      <c r="E3006" s="3" t="n">
        <v>2</v>
      </c>
      <c r="F3006" s="1" t="n">
        <f aca="false">Y3006-X3006</f>
        <v>5</v>
      </c>
      <c r="G3006" s="1" t="n">
        <v>5</v>
      </c>
      <c r="H3006" s="3" t="s">
        <v>135</v>
      </c>
      <c r="I3006" s="3" t="s">
        <v>136</v>
      </c>
      <c r="J3006" s="3" t="s">
        <v>137</v>
      </c>
      <c r="K3006" s="2" t="str">
        <f aca="false">CONCATENATE(I3006," ",J3006)</f>
        <v>Thanatus sabulosus</v>
      </c>
      <c r="L3006" s="3" t="n">
        <f aca="false">SUM(P3006:U3006)</f>
        <v>1</v>
      </c>
      <c r="M3006" s="11" t="n">
        <f aca="false">(L3006/(F3006*G3006)*25)*4</f>
        <v>4</v>
      </c>
      <c r="N3006" s="1" t="s">
        <v>30</v>
      </c>
      <c r="O3006" s="1" t="s">
        <v>31</v>
      </c>
      <c r="P3006" s="3" t="n">
        <v>1</v>
      </c>
      <c r="Q3006" s="3" t="n">
        <v>0</v>
      </c>
      <c r="R3006" s="3" t="n">
        <v>0</v>
      </c>
      <c r="S3006" s="3" t="n">
        <v>0</v>
      </c>
      <c r="T3006" s="3" t="n">
        <v>0</v>
      </c>
      <c r="U3006" s="3" t="n">
        <v>0</v>
      </c>
      <c r="V3006" s="3" t="n">
        <f aca="false">SUM(P3006:Q3006)</f>
        <v>1</v>
      </c>
      <c r="W3006" s="3" t="n">
        <f aca="false">SUM(R3006:T3006)</f>
        <v>0</v>
      </c>
      <c r="X3006" s="22" t="n">
        <v>41793</v>
      </c>
      <c r="Y3006" s="22" t="n">
        <v>41798</v>
      </c>
    </row>
    <row r="3007" customFormat="false" ht="14.25" hidden="false" customHeight="false" outlineLevel="0" collapsed="false">
      <c r="A3007" s="1" t="n">
        <v>2014</v>
      </c>
      <c r="B3007" s="1" t="n">
        <v>1</v>
      </c>
      <c r="C3007" s="2" t="s">
        <v>50</v>
      </c>
      <c r="D3007" s="3" t="s">
        <v>98</v>
      </c>
      <c r="E3007" s="3" t="n">
        <v>2</v>
      </c>
      <c r="F3007" s="1" t="n">
        <f aca="false">Y3007-X3007</f>
        <v>5</v>
      </c>
      <c r="G3007" s="1" t="n">
        <v>5</v>
      </c>
      <c r="H3007" s="3" t="s">
        <v>32</v>
      </c>
      <c r="I3007" s="3" t="s">
        <v>96</v>
      </c>
      <c r="J3007" s="3" t="s">
        <v>97</v>
      </c>
      <c r="K3007" s="2" t="str">
        <f aca="false">CONCATENATE(I3007," ",J3007)</f>
        <v>Diplocephalus picinus</v>
      </c>
      <c r="L3007" s="3" t="n">
        <f aca="false">SUM(P3007:U3007)</f>
        <v>1</v>
      </c>
      <c r="M3007" s="11" t="n">
        <f aca="false">(L3007/(F3007*G3007)*25)*4</f>
        <v>4</v>
      </c>
      <c r="N3007" s="1" t="s">
        <v>30</v>
      </c>
      <c r="O3007" s="1" t="s">
        <v>31</v>
      </c>
      <c r="P3007" s="3" t="n">
        <v>1</v>
      </c>
      <c r="Q3007" s="3" t="n">
        <v>0</v>
      </c>
      <c r="R3007" s="3" t="n">
        <v>0</v>
      </c>
      <c r="S3007" s="3" t="n">
        <v>0</v>
      </c>
      <c r="T3007" s="3" t="n">
        <v>0</v>
      </c>
      <c r="U3007" s="3" t="n">
        <v>0</v>
      </c>
      <c r="V3007" s="3" t="n">
        <f aca="false">SUM(P3007:Q3007)</f>
        <v>1</v>
      </c>
      <c r="W3007" s="3" t="n">
        <f aca="false">SUM(R3007:T3007)</f>
        <v>0</v>
      </c>
      <c r="X3007" s="22" t="n">
        <v>41793</v>
      </c>
      <c r="Y3007" s="22" t="n">
        <v>41798</v>
      </c>
    </row>
    <row r="3008" customFormat="false" ht="14.25" hidden="false" customHeight="false" outlineLevel="0" collapsed="false">
      <c r="A3008" s="1" t="n">
        <v>2014</v>
      </c>
      <c r="B3008" s="1" t="n">
        <v>1</v>
      </c>
      <c r="C3008" s="2" t="s">
        <v>50</v>
      </c>
      <c r="D3008" s="3" t="s">
        <v>98</v>
      </c>
      <c r="E3008" s="3" t="n">
        <v>2</v>
      </c>
      <c r="F3008" s="1" t="n">
        <f aca="false">Y3008-X3008</f>
        <v>5</v>
      </c>
      <c r="G3008" s="1" t="n">
        <v>5</v>
      </c>
      <c r="H3008" s="3" t="s">
        <v>32</v>
      </c>
      <c r="I3008" s="3" t="s">
        <v>258</v>
      </c>
      <c r="J3008" s="3" t="s">
        <v>259</v>
      </c>
      <c r="K3008" s="2" t="str">
        <f aca="false">CONCATENATE(I3008," ",J3008)</f>
        <v>Stemonyphantes lineatus</v>
      </c>
      <c r="L3008" s="3" t="n">
        <f aca="false">SUM(P3008:U3008)</f>
        <v>1</v>
      </c>
      <c r="M3008" s="11" t="n">
        <f aca="false">(L3008/(F3008*G3008)*25)*4</f>
        <v>4</v>
      </c>
      <c r="N3008" s="1" t="s">
        <v>30</v>
      </c>
      <c r="O3008" s="1" t="s">
        <v>35</v>
      </c>
      <c r="P3008" s="3" t="n">
        <v>0</v>
      </c>
      <c r="Q3008" s="3" t="n">
        <v>1</v>
      </c>
      <c r="R3008" s="3" t="n">
        <v>0</v>
      </c>
      <c r="S3008" s="3" t="n">
        <v>0</v>
      </c>
      <c r="T3008" s="3" t="n">
        <v>0</v>
      </c>
      <c r="U3008" s="3" t="n">
        <v>0</v>
      </c>
      <c r="V3008" s="3" t="n">
        <f aca="false">SUM(P3008:Q3008)</f>
        <v>1</v>
      </c>
      <c r="W3008" s="3" t="n">
        <f aca="false">SUM(R3008:T3008)</f>
        <v>0</v>
      </c>
      <c r="X3008" s="22" t="n">
        <v>41793</v>
      </c>
      <c r="Y3008" s="22" t="n">
        <v>41798</v>
      </c>
    </row>
    <row r="3009" customFormat="false" ht="14.25" hidden="false" customHeight="false" outlineLevel="0" collapsed="false">
      <c r="A3009" s="1" t="n">
        <v>2014</v>
      </c>
      <c r="B3009" s="1" t="n">
        <v>1</v>
      </c>
      <c r="C3009" s="2" t="s">
        <v>50</v>
      </c>
      <c r="D3009" s="3" t="s">
        <v>98</v>
      </c>
      <c r="E3009" s="3" t="n">
        <v>3</v>
      </c>
      <c r="F3009" s="1" t="n">
        <f aca="false">Y3009-X3009</f>
        <v>5</v>
      </c>
      <c r="G3009" s="1" t="n">
        <v>5</v>
      </c>
      <c r="H3009" s="3" t="s">
        <v>48</v>
      </c>
      <c r="I3009" s="3" t="s">
        <v>49</v>
      </c>
      <c r="J3009" s="3" t="s">
        <v>130</v>
      </c>
      <c r="K3009" s="2" t="str">
        <f aca="false">CONCATENATE(I3009," ",J3009)</f>
        <v>Alopecosa aculeata</v>
      </c>
      <c r="L3009" s="3" t="n">
        <f aca="false">SUM(P3009:U3009)</f>
        <v>1</v>
      </c>
      <c r="M3009" s="11" t="n">
        <f aca="false">(L3009/(F3009*G3009)*25)*4</f>
        <v>4</v>
      </c>
      <c r="N3009" s="1" t="s">
        <v>30</v>
      </c>
      <c r="O3009" s="1" t="s">
        <v>31</v>
      </c>
      <c r="P3009" s="3" t="n">
        <v>1</v>
      </c>
      <c r="Q3009" s="3" t="n">
        <v>0</v>
      </c>
      <c r="R3009" s="3" t="n">
        <v>0</v>
      </c>
      <c r="S3009" s="3" t="n">
        <v>0</v>
      </c>
      <c r="T3009" s="3" t="n">
        <v>0</v>
      </c>
      <c r="U3009" s="3" t="n">
        <v>0</v>
      </c>
      <c r="V3009" s="3" t="n">
        <f aca="false">SUM(P3009:Q3009)</f>
        <v>1</v>
      </c>
      <c r="W3009" s="3" t="n">
        <f aca="false">SUM(R3009:T3009)</f>
        <v>0</v>
      </c>
      <c r="X3009" s="22" t="n">
        <v>41793</v>
      </c>
      <c r="Y3009" s="22" t="n">
        <v>41798</v>
      </c>
    </row>
    <row r="3010" customFormat="false" ht="14.25" hidden="false" customHeight="false" outlineLevel="0" collapsed="false">
      <c r="A3010" s="1" t="n">
        <v>2014</v>
      </c>
      <c r="B3010" s="1" t="n">
        <v>1</v>
      </c>
      <c r="C3010" s="2" t="s">
        <v>50</v>
      </c>
      <c r="D3010" s="3" t="s">
        <v>98</v>
      </c>
      <c r="E3010" s="3" t="n">
        <v>3</v>
      </c>
      <c r="F3010" s="1" t="n">
        <f aca="false">Y3010-X3010</f>
        <v>5</v>
      </c>
      <c r="G3010" s="1" t="n">
        <v>5</v>
      </c>
      <c r="H3010" s="3" t="s">
        <v>48</v>
      </c>
      <c r="I3010" s="3" t="s">
        <v>49</v>
      </c>
      <c r="J3010" s="3" t="s">
        <v>104</v>
      </c>
      <c r="K3010" s="2" t="str">
        <f aca="false">CONCATENATE(I3010," ",J3010)</f>
        <v>Alopecosa taeniata</v>
      </c>
      <c r="L3010" s="3" t="n">
        <f aca="false">SUM(P3010:U3010)</f>
        <v>2</v>
      </c>
      <c r="M3010" s="11" t="n">
        <f aca="false">(L3010/(F3010*G3010)*25)*4</f>
        <v>8</v>
      </c>
      <c r="N3010" s="1" t="s">
        <v>30</v>
      </c>
      <c r="O3010" s="1" t="s">
        <v>35</v>
      </c>
      <c r="P3010" s="3" t="n">
        <v>0</v>
      </c>
      <c r="Q3010" s="3" t="n">
        <v>2</v>
      </c>
      <c r="R3010" s="3" t="n">
        <v>0</v>
      </c>
      <c r="S3010" s="3" t="n">
        <v>0</v>
      </c>
      <c r="T3010" s="3" t="n">
        <v>0</v>
      </c>
      <c r="U3010" s="3" t="n">
        <v>0</v>
      </c>
      <c r="V3010" s="3" t="n">
        <f aca="false">SUM(P3010:Q3010)</f>
        <v>2</v>
      </c>
      <c r="W3010" s="3" t="n">
        <f aca="false">SUM(R3010:T3010)</f>
        <v>0</v>
      </c>
      <c r="X3010" s="22" t="n">
        <v>41793</v>
      </c>
      <c r="Y3010" s="22" t="n">
        <v>41798</v>
      </c>
    </row>
    <row r="3011" customFormat="false" ht="14.25" hidden="false" customHeight="false" outlineLevel="0" collapsed="false">
      <c r="A3011" s="1" t="n">
        <v>2014</v>
      </c>
      <c r="B3011" s="1" t="n">
        <v>1</v>
      </c>
      <c r="C3011" s="2" t="s">
        <v>50</v>
      </c>
      <c r="D3011" s="3" t="s">
        <v>98</v>
      </c>
      <c r="E3011" s="3" t="n">
        <v>3</v>
      </c>
      <c r="F3011" s="1" t="n">
        <f aca="false">Y3011-X3011</f>
        <v>5</v>
      </c>
      <c r="G3011" s="1" t="n">
        <v>5</v>
      </c>
      <c r="H3011" s="3" t="s">
        <v>48</v>
      </c>
      <c r="I3011" s="3" t="s">
        <v>49</v>
      </c>
      <c r="J3011" s="3" t="s">
        <v>119</v>
      </c>
      <c r="K3011" s="2" t="str">
        <f aca="false">CONCATENATE(I3011," ",J3011)</f>
        <v>Alopecosa sulzeri</v>
      </c>
      <c r="L3011" s="3" t="n">
        <f aca="false">SUM(P3011:U3011)</f>
        <v>2</v>
      </c>
      <c r="M3011" s="11" t="n">
        <f aca="false">(L3011/(F3011*G3011)*25)*4</f>
        <v>8</v>
      </c>
      <c r="N3011" s="1" t="s">
        <v>30</v>
      </c>
      <c r="O3011" s="1" t="s">
        <v>31</v>
      </c>
      <c r="P3011" s="3" t="n">
        <v>2</v>
      </c>
      <c r="Q3011" s="3" t="n">
        <v>0</v>
      </c>
      <c r="R3011" s="3" t="n">
        <v>0</v>
      </c>
      <c r="S3011" s="3" t="n">
        <v>0</v>
      </c>
      <c r="T3011" s="3" t="n">
        <v>0</v>
      </c>
      <c r="U3011" s="3" t="n">
        <v>0</v>
      </c>
      <c r="V3011" s="3" t="n">
        <f aca="false">SUM(P3011:Q3011)</f>
        <v>2</v>
      </c>
      <c r="W3011" s="3" t="n">
        <f aca="false">SUM(R3011:T3011)</f>
        <v>0</v>
      </c>
      <c r="X3011" s="22" t="n">
        <v>41793</v>
      </c>
      <c r="Y3011" s="22" t="n">
        <v>41798</v>
      </c>
    </row>
    <row r="3012" customFormat="false" ht="14.25" hidden="false" customHeight="false" outlineLevel="0" collapsed="false">
      <c r="A3012" s="1" t="n">
        <v>2014</v>
      </c>
      <c r="B3012" s="1" t="n">
        <v>1</v>
      </c>
      <c r="C3012" s="2" t="s">
        <v>50</v>
      </c>
      <c r="D3012" s="3" t="s">
        <v>98</v>
      </c>
      <c r="E3012" s="3" t="n">
        <v>3</v>
      </c>
      <c r="F3012" s="1" t="n">
        <f aca="false">Y3012-X3012</f>
        <v>5</v>
      </c>
      <c r="G3012" s="1" t="n">
        <v>5</v>
      </c>
      <c r="H3012" s="3" t="s">
        <v>48</v>
      </c>
      <c r="I3012" s="3" t="s">
        <v>67</v>
      </c>
      <c r="J3012" s="3" t="s">
        <v>127</v>
      </c>
      <c r="K3012" s="2" t="str">
        <f aca="false">CONCATENATE(I3012," ",J3012)</f>
        <v>Pardosa lugubris</v>
      </c>
      <c r="L3012" s="3" t="n">
        <f aca="false">SUM(P3012:U3012)</f>
        <v>6</v>
      </c>
      <c r="M3012" s="11" t="n">
        <f aca="false">(L3012/(F3012*G3012)*25)*4</f>
        <v>24</v>
      </c>
      <c r="N3012" s="1" t="s">
        <v>30</v>
      </c>
      <c r="O3012" s="1" t="s">
        <v>31</v>
      </c>
      <c r="P3012" s="3" t="n">
        <v>6</v>
      </c>
      <c r="Q3012" s="3" t="n">
        <v>0</v>
      </c>
      <c r="R3012" s="3" t="n">
        <v>0</v>
      </c>
      <c r="S3012" s="3" t="n">
        <v>0</v>
      </c>
      <c r="T3012" s="3" t="n">
        <v>0</v>
      </c>
      <c r="U3012" s="3" t="n">
        <v>0</v>
      </c>
      <c r="V3012" s="3" t="n">
        <f aca="false">SUM(P3012:Q3012)</f>
        <v>6</v>
      </c>
      <c r="W3012" s="3" t="n">
        <f aca="false">SUM(R3012:T3012)</f>
        <v>0</v>
      </c>
      <c r="X3012" s="22" t="n">
        <v>41793</v>
      </c>
      <c r="Y3012" s="22" t="n">
        <v>41798</v>
      </c>
    </row>
    <row r="3013" customFormat="false" ht="14.25" hidden="false" customHeight="false" outlineLevel="0" collapsed="false">
      <c r="A3013" s="1" t="n">
        <v>2014</v>
      </c>
      <c r="B3013" s="1" t="n">
        <v>1</v>
      </c>
      <c r="C3013" s="2" t="s">
        <v>50</v>
      </c>
      <c r="D3013" s="3" t="s">
        <v>98</v>
      </c>
      <c r="E3013" s="3" t="n">
        <v>3</v>
      </c>
      <c r="F3013" s="1" t="n">
        <f aca="false">Y3013-X3013</f>
        <v>5</v>
      </c>
      <c r="G3013" s="1" t="n">
        <v>5</v>
      </c>
      <c r="H3013" s="3" t="s">
        <v>72</v>
      </c>
      <c r="I3013" s="3" t="s">
        <v>73</v>
      </c>
      <c r="J3013" s="3" t="s">
        <v>74</v>
      </c>
      <c r="K3013" s="2" t="str">
        <f aca="false">CONCATENATE(I3013," ",J3013)</f>
        <v>Zelotes subterraneus</v>
      </c>
      <c r="L3013" s="3" t="n">
        <f aca="false">SUM(P3013:U3013)</f>
        <v>1</v>
      </c>
      <c r="M3013" s="11" t="n">
        <f aca="false">(L3013/(F3013*G3013)*25)*4</f>
        <v>4</v>
      </c>
      <c r="N3013" s="1" t="s">
        <v>30</v>
      </c>
      <c r="O3013" s="1" t="s">
        <v>31</v>
      </c>
      <c r="P3013" s="3" t="n">
        <v>1</v>
      </c>
      <c r="Q3013" s="3" t="n">
        <v>0</v>
      </c>
      <c r="R3013" s="3" t="n">
        <v>0</v>
      </c>
      <c r="S3013" s="3" t="n">
        <v>0</v>
      </c>
      <c r="T3013" s="3" t="n">
        <v>0</v>
      </c>
      <c r="U3013" s="3" t="n">
        <v>0</v>
      </c>
      <c r="V3013" s="3" t="n">
        <f aca="false">SUM(P3013:Q3013)</f>
        <v>1</v>
      </c>
      <c r="W3013" s="3" t="n">
        <f aca="false">SUM(R3013:T3013)</f>
        <v>0</v>
      </c>
      <c r="X3013" s="22" t="n">
        <v>41793</v>
      </c>
      <c r="Y3013" s="22" t="n">
        <v>41798</v>
      </c>
    </row>
    <row r="3014" customFormat="false" ht="14.25" hidden="false" customHeight="false" outlineLevel="0" collapsed="false">
      <c r="A3014" s="1" t="n">
        <v>2014</v>
      </c>
      <c r="B3014" s="1" t="n">
        <v>1</v>
      </c>
      <c r="C3014" s="2" t="s">
        <v>50</v>
      </c>
      <c r="D3014" s="3" t="s">
        <v>98</v>
      </c>
      <c r="E3014" s="3" t="n">
        <v>3</v>
      </c>
      <c r="F3014" s="1" t="n">
        <f aca="false">Y3014-X3014</f>
        <v>5</v>
      </c>
      <c r="G3014" s="1" t="n">
        <v>5</v>
      </c>
      <c r="H3014" s="3" t="s">
        <v>36</v>
      </c>
      <c r="I3014" s="3" t="s">
        <v>131</v>
      </c>
      <c r="J3014" s="3" t="s">
        <v>229</v>
      </c>
      <c r="K3014" s="2" t="str">
        <f aca="false">CONCATENATE(I3014," ",J3014)</f>
        <v>Xysticus emertoni</v>
      </c>
      <c r="L3014" s="3" t="n">
        <f aca="false">SUM(P3014:U3014)</f>
        <v>1</v>
      </c>
      <c r="M3014" s="11" t="n">
        <f aca="false">(L3014/(F3014*G3014)*25)*4</f>
        <v>4</v>
      </c>
      <c r="N3014" s="1" t="s">
        <v>30</v>
      </c>
      <c r="O3014" s="1" t="s">
        <v>31</v>
      </c>
      <c r="P3014" s="3" t="n">
        <v>1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f aca="false">SUM(P3014:Q3014)</f>
        <v>1</v>
      </c>
      <c r="W3014" s="3" t="n">
        <f aca="false">SUM(R3014:T3014)</f>
        <v>0</v>
      </c>
      <c r="X3014" s="22" t="n">
        <v>41793</v>
      </c>
      <c r="Y3014" s="22" t="n">
        <v>41798</v>
      </c>
    </row>
    <row r="3015" customFormat="false" ht="14.25" hidden="false" customHeight="false" outlineLevel="0" collapsed="false">
      <c r="A3015" s="1" t="n">
        <v>2014</v>
      </c>
      <c r="B3015" s="1" t="n">
        <v>1</v>
      </c>
      <c r="C3015" s="2" t="s">
        <v>50</v>
      </c>
      <c r="D3015" s="3" t="s">
        <v>98</v>
      </c>
      <c r="E3015" s="3" t="n">
        <v>3</v>
      </c>
      <c r="F3015" s="1" t="n">
        <f aca="false">Y3015-X3015</f>
        <v>5</v>
      </c>
      <c r="G3015" s="1" t="n">
        <v>5</v>
      </c>
      <c r="H3015" s="3" t="s">
        <v>36</v>
      </c>
      <c r="I3015" s="3" t="s">
        <v>131</v>
      </c>
      <c r="J3015" s="3" t="s">
        <v>133</v>
      </c>
      <c r="K3015" s="2" t="str">
        <f aca="false">CONCATENATE(I3015," ",J3015)</f>
        <v>Xysticus luctuosus</v>
      </c>
      <c r="L3015" s="3" t="n">
        <f aca="false">SUM(P3015:U3015)</f>
        <v>1</v>
      </c>
      <c r="M3015" s="11" t="n">
        <f aca="false">(L3015/(F3015*G3015)*25)*4</f>
        <v>4</v>
      </c>
      <c r="N3015" s="1" t="s">
        <v>30</v>
      </c>
      <c r="O3015" s="1" t="s">
        <v>31</v>
      </c>
      <c r="P3015" s="3" t="n">
        <v>1</v>
      </c>
      <c r="Q3015" s="3" t="n">
        <v>0</v>
      </c>
      <c r="R3015" s="3" t="n">
        <v>0</v>
      </c>
      <c r="S3015" s="3" t="n">
        <v>0</v>
      </c>
      <c r="T3015" s="3" t="n">
        <v>0</v>
      </c>
      <c r="U3015" s="3" t="n">
        <v>0</v>
      </c>
      <c r="V3015" s="3" t="n">
        <f aca="false">SUM(P3015:Q3015)</f>
        <v>1</v>
      </c>
      <c r="W3015" s="3" t="n">
        <f aca="false">SUM(R3015:T3015)</f>
        <v>0</v>
      </c>
      <c r="X3015" s="22" t="n">
        <v>41793</v>
      </c>
      <c r="Y3015" s="22" t="n">
        <v>41798</v>
      </c>
    </row>
    <row r="3016" customFormat="false" ht="14.25" hidden="false" customHeight="false" outlineLevel="0" collapsed="false">
      <c r="A3016" s="1" t="n">
        <v>2014</v>
      </c>
      <c r="B3016" s="1" t="n">
        <v>1</v>
      </c>
      <c r="C3016" s="2" t="s">
        <v>50</v>
      </c>
      <c r="D3016" s="3" t="s">
        <v>98</v>
      </c>
      <c r="E3016" s="3" t="n">
        <v>3</v>
      </c>
      <c r="F3016" s="1" t="n">
        <f aca="false">Y3016-X3016</f>
        <v>5</v>
      </c>
      <c r="G3016" s="1" t="n">
        <v>5</v>
      </c>
      <c r="H3016" s="3" t="s">
        <v>135</v>
      </c>
      <c r="I3016" s="3" t="s">
        <v>136</v>
      </c>
      <c r="J3016" s="3" t="s">
        <v>137</v>
      </c>
      <c r="K3016" s="2" t="str">
        <f aca="false">CONCATENATE(I3016," ",J3016)</f>
        <v>Thanatus sabulosus</v>
      </c>
      <c r="L3016" s="3" t="n">
        <f aca="false">SUM(P3016:U3016)</f>
        <v>2</v>
      </c>
      <c r="M3016" s="11" t="n">
        <f aca="false">(L3016/(F3016*G3016)*25)*4</f>
        <v>8</v>
      </c>
      <c r="N3016" s="1" t="s">
        <v>30</v>
      </c>
      <c r="O3016" s="1" t="s">
        <v>31</v>
      </c>
      <c r="P3016" s="3" t="n">
        <v>2</v>
      </c>
      <c r="Q3016" s="3" t="n">
        <v>0</v>
      </c>
      <c r="R3016" s="3" t="n">
        <v>0</v>
      </c>
      <c r="S3016" s="3" t="n">
        <v>0</v>
      </c>
      <c r="T3016" s="3" t="n">
        <v>0</v>
      </c>
      <c r="U3016" s="3" t="n">
        <v>0</v>
      </c>
      <c r="V3016" s="3" t="n">
        <f aca="false">SUM(P3016:Q3016)</f>
        <v>2</v>
      </c>
      <c r="W3016" s="3" t="n">
        <f aca="false">SUM(R3016:T3016)</f>
        <v>0</v>
      </c>
      <c r="X3016" s="22" t="n">
        <v>41793</v>
      </c>
      <c r="Y3016" s="22" t="n">
        <v>41798</v>
      </c>
    </row>
    <row r="3017" customFormat="false" ht="14.25" hidden="false" customHeight="false" outlineLevel="0" collapsed="false">
      <c r="A3017" s="1" t="n">
        <v>2014</v>
      </c>
      <c r="B3017" s="1" t="n">
        <v>1</v>
      </c>
      <c r="C3017" s="2" t="s">
        <v>50</v>
      </c>
      <c r="D3017" s="3" t="s">
        <v>98</v>
      </c>
      <c r="E3017" s="3" t="n">
        <v>3</v>
      </c>
      <c r="F3017" s="1" t="n">
        <f aca="false">Y3017-X3017</f>
        <v>5</v>
      </c>
      <c r="G3017" s="1" t="n">
        <v>5</v>
      </c>
      <c r="H3017" s="3" t="s">
        <v>32</v>
      </c>
      <c r="I3017" s="3" t="s">
        <v>55</v>
      </c>
      <c r="J3017" s="3" t="s">
        <v>194</v>
      </c>
      <c r="K3017" s="2" t="str">
        <f aca="false">CONCATENATE(I3017," ",J3017)</f>
        <v>Maro pansibiricus</v>
      </c>
      <c r="L3017" s="3" t="n">
        <f aca="false">SUM(P3017:U3017)</f>
        <v>1</v>
      </c>
      <c r="M3017" s="11" t="n">
        <f aca="false">(L3017/(F3017*G3017)*25)*4</f>
        <v>4</v>
      </c>
      <c r="N3017" s="1" t="s">
        <v>30</v>
      </c>
      <c r="O3017" s="1" t="s">
        <v>31</v>
      </c>
      <c r="P3017" s="3" t="n">
        <v>1</v>
      </c>
      <c r="Q3017" s="3" t="n">
        <v>0</v>
      </c>
      <c r="R3017" s="3" t="n">
        <v>0</v>
      </c>
      <c r="S3017" s="3" t="n">
        <v>0</v>
      </c>
      <c r="T3017" s="3" t="n">
        <v>0</v>
      </c>
      <c r="U3017" s="3" t="n">
        <v>0</v>
      </c>
      <c r="V3017" s="3" t="n">
        <f aca="false">SUM(P3017:Q3017)</f>
        <v>1</v>
      </c>
      <c r="W3017" s="3" t="n">
        <f aca="false">SUM(R3017:T3017)</f>
        <v>0</v>
      </c>
      <c r="X3017" s="22" t="n">
        <v>41793</v>
      </c>
      <c r="Y3017" s="22" t="n">
        <v>41798</v>
      </c>
    </row>
    <row r="3018" customFormat="false" ht="14.25" hidden="false" customHeight="false" outlineLevel="0" collapsed="false">
      <c r="A3018" s="1" t="n">
        <v>2014</v>
      </c>
      <c r="B3018" s="1" t="n">
        <v>1</v>
      </c>
      <c r="C3018" s="2" t="s">
        <v>50</v>
      </c>
      <c r="D3018" s="3" t="s">
        <v>98</v>
      </c>
      <c r="E3018" s="3" t="n">
        <v>3</v>
      </c>
      <c r="F3018" s="1" t="n">
        <f aca="false">Y3018-X3018</f>
        <v>5</v>
      </c>
      <c r="G3018" s="1" t="n">
        <v>5</v>
      </c>
      <c r="H3018" s="3" t="s">
        <v>32</v>
      </c>
      <c r="I3018" s="3" t="s">
        <v>169</v>
      </c>
      <c r="J3018" s="3" t="s">
        <v>170</v>
      </c>
      <c r="K3018" s="2" t="str">
        <f aca="false">CONCATENATE(I3018," ",J3018)</f>
        <v>Abacoproeces saltuum</v>
      </c>
      <c r="L3018" s="3" t="n">
        <f aca="false">SUM(P3018:U3018)</f>
        <v>1</v>
      </c>
      <c r="M3018" s="11" t="n">
        <f aca="false">(L3018/(F3018*G3018)*25)*4</f>
        <v>4</v>
      </c>
      <c r="N3018" s="1" t="s">
        <v>30</v>
      </c>
      <c r="O3018" s="1" t="s">
        <v>31</v>
      </c>
      <c r="P3018" s="3" t="n">
        <v>1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f aca="false">SUM(P3018:Q3018)</f>
        <v>1</v>
      </c>
      <c r="W3018" s="3" t="n">
        <f aca="false">SUM(R3018:T3018)</f>
        <v>0</v>
      </c>
      <c r="X3018" s="22" t="n">
        <v>41793</v>
      </c>
      <c r="Y3018" s="22" t="n">
        <v>41798</v>
      </c>
    </row>
    <row r="3019" customFormat="false" ht="14.25" hidden="false" customHeight="false" outlineLevel="0" collapsed="false">
      <c r="A3019" s="1" t="n">
        <v>2014</v>
      </c>
      <c r="B3019" s="1" t="n">
        <v>1</v>
      </c>
      <c r="C3019" s="2" t="s">
        <v>50</v>
      </c>
      <c r="D3019" s="3" t="s">
        <v>98</v>
      </c>
      <c r="E3019" s="3" t="n">
        <v>3</v>
      </c>
      <c r="F3019" s="1" t="n">
        <f aca="false">Y3019-X3019</f>
        <v>5</v>
      </c>
      <c r="G3019" s="1" t="n">
        <v>5</v>
      </c>
      <c r="H3019" s="3" t="s">
        <v>32</v>
      </c>
      <c r="I3019" s="3" t="s">
        <v>90</v>
      </c>
      <c r="J3019" s="3" t="s">
        <v>91</v>
      </c>
      <c r="K3019" s="2" t="str">
        <f aca="false">CONCATENATE(I3019," ",J3019)</f>
        <v>Tapinocyba insecta</v>
      </c>
      <c r="L3019" s="3" t="n">
        <f aca="false">SUM(P3019:U3019)</f>
        <v>1</v>
      </c>
      <c r="M3019" s="11" t="n">
        <f aca="false">(L3019/(F3019*G3019)*25)*4</f>
        <v>4</v>
      </c>
      <c r="N3019" s="1" t="s">
        <v>30</v>
      </c>
      <c r="O3019" s="1" t="s">
        <v>35</v>
      </c>
      <c r="P3019" s="3" t="n">
        <v>0</v>
      </c>
      <c r="Q3019" s="3" t="n">
        <v>1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f aca="false">SUM(P3019:Q3019)</f>
        <v>1</v>
      </c>
      <c r="W3019" s="3" t="n">
        <f aca="false">SUM(R3019:T3019)</f>
        <v>0</v>
      </c>
      <c r="X3019" s="22" t="n">
        <v>41793</v>
      </c>
      <c r="Y3019" s="22" t="n">
        <v>41798</v>
      </c>
    </row>
    <row r="3020" customFormat="false" ht="14.25" hidden="false" customHeight="false" outlineLevel="0" collapsed="false">
      <c r="A3020" s="1" t="n">
        <v>2014</v>
      </c>
      <c r="B3020" s="1" t="n">
        <v>1</v>
      </c>
      <c r="C3020" s="2" t="s">
        <v>50</v>
      </c>
      <c r="D3020" s="3" t="s">
        <v>98</v>
      </c>
      <c r="E3020" s="3" t="n">
        <v>3</v>
      </c>
      <c r="F3020" s="1" t="n">
        <f aca="false">Y3020-X3020</f>
        <v>5</v>
      </c>
      <c r="G3020" s="1" t="n">
        <v>5</v>
      </c>
      <c r="H3020" s="3" t="s">
        <v>32</v>
      </c>
      <c r="I3020" s="3" t="s">
        <v>57</v>
      </c>
      <c r="J3020" s="3" t="s">
        <v>38</v>
      </c>
      <c r="K3020" s="2" t="str">
        <f aca="false">CONCATENATE(I3020," ",J3020)</f>
        <v>Gen sp</v>
      </c>
      <c r="L3020" s="3" t="n">
        <f aca="false">SUM(P3020:U3020)</f>
        <v>1</v>
      </c>
      <c r="M3020" s="11" t="n">
        <f aca="false">(L3020/(F3020*G3020)*25)*4</f>
        <v>4</v>
      </c>
      <c r="N3020" s="1" t="s">
        <v>19</v>
      </c>
      <c r="O3020" s="1" t="s">
        <v>54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1</v>
      </c>
      <c r="U3020" s="3" t="n">
        <v>0</v>
      </c>
      <c r="V3020" s="3" t="n">
        <f aca="false">SUM(P3020:Q3020)</f>
        <v>0</v>
      </c>
      <c r="W3020" s="3" t="n">
        <f aca="false">SUM(R3020:T3020)</f>
        <v>1</v>
      </c>
      <c r="X3020" s="22" t="n">
        <v>41793</v>
      </c>
      <c r="Y3020" s="22" t="n">
        <v>41798</v>
      </c>
    </row>
    <row r="3021" customFormat="false" ht="14.25" hidden="false" customHeight="false" outlineLevel="0" collapsed="false">
      <c r="A3021" s="1" t="n">
        <v>2014</v>
      </c>
      <c r="B3021" s="1" t="n">
        <v>1</v>
      </c>
      <c r="C3021" s="2" t="s">
        <v>50</v>
      </c>
      <c r="D3021" s="3" t="s">
        <v>98</v>
      </c>
      <c r="E3021" s="3" t="n">
        <v>2</v>
      </c>
      <c r="F3021" s="1" t="n">
        <f aca="false">Y3021-X3021</f>
        <v>5</v>
      </c>
      <c r="G3021" s="1" t="n">
        <v>5</v>
      </c>
      <c r="H3021" s="3" t="s">
        <v>48</v>
      </c>
      <c r="I3021" s="3" t="s">
        <v>49</v>
      </c>
      <c r="J3021" s="3" t="s">
        <v>104</v>
      </c>
      <c r="K3021" s="2" t="str">
        <f aca="false">CONCATENATE(I3021," ",J3021)</f>
        <v>Alopecosa taeniata</v>
      </c>
      <c r="L3021" s="3" t="n">
        <f aca="false">SUM(P3021:U3021)</f>
        <v>1</v>
      </c>
      <c r="M3021" s="11" t="n">
        <f aca="false">(L3021/(F3021*G3021)*25)*4</f>
        <v>4</v>
      </c>
      <c r="N3021" s="1" t="s">
        <v>30</v>
      </c>
      <c r="O3021" s="1" t="s">
        <v>31</v>
      </c>
      <c r="P3021" s="3" t="n">
        <v>1</v>
      </c>
      <c r="Q3021" s="3" t="n">
        <v>0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f aca="false">SUM(P3021:Q3021)</f>
        <v>1</v>
      </c>
      <c r="W3021" s="3" t="n">
        <f aca="false">SUM(R3021:T3021)</f>
        <v>0</v>
      </c>
      <c r="X3021" s="22" t="n">
        <v>41793</v>
      </c>
      <c r="Y3021" s="22" t="n">
        <v>41798</v>
      </c>
    </row>
    <row r="3022" customFormat="false" ht="14.25" hidden="false" customHeight="false" outlineLevel="0" collapsed="false">
      <c r="A3022" s="1" t="n">
        <v>2014</v>
      </c>
      <c r="B3022" s="1" t="n">
        <v>1</v>
      </c>
      <c r="C3022" s="2" t="s">
        <v>50</v>
      </c>
      <c r="D3022" s="3" t="s">
        <v>98</v>
      </c>
      <c r="E3022" s="3" t="n">
        <v>2</v>
      </c>
      <c r="F3022" s="1" t="n">
        <f aca="false">Y3022-X3022</f>
        <v>5</v>
      </c>
      <c r="G3022" s="1" t="n">
        <v>5</v>
      </c>
      <c r="H3022" s="3" t="s">
        <v>48</v>
      </c>
      <c r="I3022" s="3" t="s">
        <v>49</v>
      </c>
      <c r="J3022" s="3" t="s">
        <v>119</v>
      </c>
      <c r="K3022" s="2" t="str">
        <f aca="false">CONCATENATE(I3022," ",J3022)</f>
        <v>Alopecosa sulzeri</v>
      </c>
      <c r="L3022" s="3" t="n">
        <f aca="false">SUM(P3022:U3022)</f>
        <v>1</v>
      </c>
      <c r="M3022" s="11" t="n">
        <f aca="false">(L3022/(F3022*G3022)*25)*4</f>
        <v>4</v>
      </c>
      <c r="N3022" s="1" t="s">
        <v>30</v>
      </c>
      <c r="O3022" s="1" t="s">
        <v>31</v>
      </c>
      <c r="P3022" s="3" t="n">
        <v>1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f aca="false">SUM(P3022:Q3022)</f>
        <v>1</v>
      </c>
      <c r="W3022" s="3" t="n">
        <f aca="false">SUM(R3022:T3022)</f>
        <v>0</v>
      </c>
      <c r="X3022" s="22" t="n">
        <v>41793</v>
      </c>
      <c r="Y3022" s="22" t="n">
        <v>41798</v>
      </c>
    </row>
    <row r="3023" customFormat="false" ht="14.25" hidden="false" customHeight="false" outlineLevel="0" collapsed="false">
      <c r="A3023" s="1" t="n">
        <v>2014</v>
      </c>
      <c r="B3023" s="1" t="n">
        <v>1</v>
      </c>
      <c r="C3023" s="2" t="s">
        <v>50</v>
      </c>
      <c r="D3023" s="3" t="s">
        <v>98</v>
      </c>
      <c r="E3023" s="3" t="n">
        <v>2</v>
      </c>
      <c r="F3023" s="1" t="n">
        <f aca="false">Y3023-X3023</f>
        <v>5</v>
      </c>
      <c r="G3023" s="1" t="n">
        <v>5</v>
      </c>
      <c r="H3023" s="3" t="s">
        <v>48</v>
      </c>
      <c r="I3023" s="3" t="s">
        <v>49</v>
      </c>
      <c r="J3023" s="3" t="s">
        <v>38</v>
      </c>
      <c r="K3023" s="2" t="str">
        <f aca="false">CONCATENATE(I3023," ",J3023)</f>
        <v>Alopecosa sp</v>
      </c>
      <c r="L3023" s="3" t="n">
        <f aca="false">SUM(P3023:U3023)</f>
        <v>2</v>
      </c>
      <c r="M3023" s="11" t="n">
        <f aca="false">(L3023/(F3023*G3023)*25)*4</f>
        <v>8</v>
      </c>
      <c r="N3023" s="1" t="s">
        <v>19</v>
      </c>
      <c r="O3023" s="1" t="s">
        <v>54</v>
      </c>
      <c r="P3023" s="3" t="n">
        <v>0</v>
      </c>
      <c r="Q3023" s="3" t="n">
        <v>0</v>
      </c>
      <c r="R3023" s="3" t="n">
        <v>0</v>
      </c>
      <c r="S3023" s="3" t="n">
        <v>0</v>
      </c>
      <c r="T3023" s="3" t="n">
        <v>2</v>
      </c>
      <c r="U3023" s="3" t="n">
        <v>0</v>
      </c>
      <c r="V3023" s="3" t="n">
        <f aca="false">SUM(P3023:Q3023)</f>
        <v>0</v>
      </c>
      <c r="W3023" s="3" t="n">
        <f aca="false">SUM(R3023:T3023)</f>
        <v>2</v>
      </c>
      <c r="X3023" s="22" t="n">
        <v>41793</v>
      </c>
      <c r="Y3023" s="22" t="n">
        <v>41798</v>
      </c>
    </row>
    <row r="3024" customFormat="false" ht="14.25" hidden="false" customHeight="false" outlineLevel="0" collapsed="false">
      <c r="A3024" s="1" t="n">
        <v>2014</v>
      </c>
      <c r="B3024" s="1" t="n">
        <v>1</v>
      </c>
      <c r="C3024" s="2" t="s">
        <v>50</v>
      </c>
      <c r="D3024" s="3" t="s">
        <v>98</v>
      </c>
      <c r="E3024" s="3" t="n">
        <v>2</v>
      </c>
      <c r="F3024" s="1" t="n">
        <f aca="false">Y3024-X3024</f>
        <v>5</v>
      </c>
      <c r="G3024" s="1" t="n">
        <v>5</v>
      </c>
      <c r="H3024" s="3" t="s">
        <v>48</v>
      </c>
      <c r="I3024" s="3" t="s">
        <v>67</v>
      </c>
      <c r="J3024" s="3" t="s">
        <v>127</v>
      </c>
      <c r="K3024" s="2" t="str">
        <f aca="false">CONCATENATE(I3024," ",J3024)</f>
        <v>Pardosa lugubris</v>
      </c>
      <c r="L3024" s="3" t="n">
        <f aca="false">SUM(P3024:U3024)</f>
        <v>8</v>
      </c>
      <c r="M3024" s="11" t="n">
        <f aca="false">(L3024/(F3024*G3024)*25)*4</f>
        <v>32</v>
      </c>
      <c r="N3024" s="1" t="s">
        <v>30</v>
      </c>
      <c r="O3024" s="1" t="s">
        <v>31</v>
      </c>
      <c r="P3024" s="3" t="n">
        <v>8</v>
      </c>
      <c r="Q3024" s="3" t="n">
        <v>0</v>
      </c>
      <c r="R3024" s="3" t="n">
        <v>0</v>
      </c>
      <c r="S3024" s="3" t="n">
        <v>0</v>
      </c>
      <c r="T3024" s="3" t="n">
        <v>0</v>
      </c>
      <c r="U3024" s="3" t="n">
        <v>0</v>
      </c>
      <c r="V3024" s="3" t="n">
        <f aca="false">SUM(P3024:Q3024)</f>
        <v>8</v>
      </c>
      <c r="W3024" s="3" t="n">
        <f aca="false">SUM(R3024:T3024)</f>
        <v>0</v>
      </c>
      <c r="X3024" s="22" t="n">
        <v>41793</v>
      </c>
      <c r="Y3024" s="22" t="n">
        <v>41798</v>
      </c>
    </row>
    <row r="3025" customFormat="false" ht="14.25" hidden="false" customHeight="false" outlineLevel="0" collapsed="false">
      <c r="A3025" s="1" t="n">
        <v>2014</v>
      </c>
      <c r="B3025" s="1" t="n">
        <v>1</v>
      </c>
      <c r="C3025" s="2" t="s">
        <v>50</v>
      </c>
      <c r="D3025" s="3" t="s">
        <v>98</v>
      </c>
      <c r="E3025" s="3" t="n">
        <v>2</v>
      </c>
      <c r="F3025" s="1" t="n">
        <f aca="false">Y3025-X3025</f>
        <v>5</v>
      </c>
      <c r="G3025" s="1" t="n">
        <v>5</v>
      </c>
      <c r="H3025" s="3" t="s">
        <v>72</v>
      </c>
      <c r="I3025" s="3" t="s">
        <v>86</v>
      </c>
      <c r="J3025" s="3" t="s">
        <v>87</v>
      </c>
      <c r="K3025" s="2" t="str">
        <f aca="false">CONCATENATE(I3025," ",J3025)</f>
        <v>Haplodrassus soerenseni</v>
      </c>
      <c r="L3025" s="3" t="n">
        <f aca="false">SUM(P3025:U3025)</f>
        <v>1</v>
      </c>
      <c r="M3025" s="11" t="n">
        <f aca="false">(L3025/(F3025*G3025)*25)*4</f>
        <v>4</v>
      </c>
      <c r="N3025" s="1" t="s">
        <v>30</v>
      </c>
      <c r="O3025" s="1" t="s">
        <v>35</v>
      </c>
      <c r="P3025" s="3" t="n">
        <v>0</v>
      </c>
      <c r="Q3025" s="3" t="n">
        <v>1</v>
      </c>
      <c r="R3025" s="3" t="n">
        <v>0</v>
      </c>
      <c r="S3025" s="3" t="n">
        <v>0</v>
      </c>
      <c r="T3025" s="3" t="n">
        <v>0</v>
      </c>
      <c r="U3025" s="3" t="n">
        <v>0</v>
      </c>
      <c r="V3025" s="3" t="n">
        <f aca="false">SUM(P3025:Q3025)</f>
        <v>1</v>
      </c>
      <c r="W3025" s="3" t="n">
        <f aca="false">SUM(R3025:T3025)</f>
        <v>0</v>
      </c>
      <c r="X3025" s="22" t="n">
        <v>41793</v>
      </c>
      <c r="Y3025" s="22" t="n">
        <v>41798</v>
      </c>
    </row>
    <row r="3026" customFormat="false" ht="14.25" hidden="false" customHeight="false" outlineLevel="0" collapsed="false">
      <c r="A3026" s="1" t="n">
        <v>2014</v>
      </c>
      <c r="B3026" s="1" t="n">
        <v>1</v>
      </c>
      <c r="C3026" s="2" t="s">
        <v>50</v>
      </c>
      <c r="D3026" s="3" t="s">
        <v>98</v>
      </c>
      <c r="E3026" s="3" t="n">
        <v>2</v>
      </c>
      <c r="F3026" s="1" t="n">
        <f aca="false">Y3026-X3026</f>
        <v>5</v>
      </c>
      <c r="G3026" s="1" t="n">
        <v>5</v>
      </c>
      <c r="H3026" s="3" t="s">
        <v>72</v>
      </c>
      <c r="I3026" s="3" t="s">
        <v>73</v>
      </c>
      <c r="J3026" s="3" t="s">
        <v>74</v>
      </c>
      <c r="K3026" s="2" t="str">
        <f aca="false">CONCATENATE(I3026," ",J3026)</f>
        <v>Zelotes subterraneus</v>
      </c>
      <c r="L3026" s="3" t="n">
        <f aca="false">SUM(P3026:U3026)</f>
        <v>1</v>
      </c>
      <c r="M3026" s="11" t="n">
        <f aca="false">(L3026/(F3026*G3026)*25)*4</f>
        <v>4</v>
      </c>
      <c r="N3026" s="1" t="s">
        <v>30</v>
      </c>
      <c r="O3026" s="1" t="s">
        <v>31</v>
      </c>
      <c r="P3026" s="3" t="n">
        <v>1</v>
      </c>
      <c r="Q3026" s="3" t="n">
        <v>0</v>
      </c>
      <c r="R3026" s="3" t="n">
        <v>0</v>
      </c>
      <c r="S3026" s="3" t="n">
        <v>0</v>
      </c>
      <c r="T3026" s="3" t="n">
        <v>0</v>
      </c>
      <c r="U3026" s="3" t="n">
        <v>0</v>
      </c>
      <c r="V3026" s="3" t="n">
        <f aca="false">SUM(P3026:Q3026)</f>
        <v>1</v>
      </c>
      <c r="W3026" s="3" t="n">
        <f aca="false">SUM(R3026:T3026)</f>
        <v>0</v>
      </c>
      <c r="X3026" s="22" t="n">
        <v>41793</v>
      </c>
      <c r="Y3026" s="22" t="n">
        <v>41798</v>
      </c>
    </row>
    <row r="3027" customFormat="false" ht="14.25" hidden="false" customHeight="false" outlineLevel="0" collapsed="false">
      <c r="A3027" s="1" t="n">
        <v>2014</v>
      </c>
      <c r="B3027" s="1" t="n">
        <v>1</v>
      </c>
      <c r="C3027" s="2" t="s">
        <v>50</v>
      </c>
      <c r="D3027" s="3" t="s">
        <v>98</v>
      </c>
      <c r="E3027" s="3" t="n">
        <v>2</v>
      </c>
      <c r="F3027" s="1" t="n">
        <f aca="false">Y3027-X3027</f>
        <v>5</v>
      </c>
      <c r="G3027" s="1" t="n">
        <v>5</v>
      </c>
      <c r="H3027" s="3" t="s">
        <v>72</v>
      </c>
      <c r="I3027" s="3" t="s">
        <v>73</v>
      </c>
      <c r="J3027" s="3" t="s">
        <v>38</v>
      </c>
      <c r="K3027" s="2" t="str">
        <f aca="false">CONCATENATE(I3027," ",J3027)</f>
        <v>Zelotes sp</v>
      </c>
      <c r="L3027" s="3" t="n">
        <f aca="false">SUM(P3027:U3027)</f>
        <v>1</v>
      </c>
      <c r="M3027" s="11" t="n">
        <f aca="false">(L3027/(F3027*G3027)*25)*4</f>
        <v>4</v>
      </c>
      <c r="N3027" s="1" t="s">
        <v>19</v>
      </c>
      <c r="O3027" s="1" t="s">
        <v>35</v>
      </c>
      <c r="P3027" s="3" t="n">
        <v>0</v>
      </c>
      <c r="Q3027" s="3" t="n">
        <v>0</v>
      </c>
      <c r="R3027" s="3" t="n">
        <v>0</v>
      </c>
      <c r="S3027" s="3" t="n">
        <v>1</v>
      </c>
      <c r="T3027" s="3" t="n">
        <v>0</v>
      </c>
      <c r="U3027" s="3" t="n">
        <v>0</v>
      </c>
      <c r="V3027" s="3" t="n">
        <f aca="false">SUM(P3027:Q3027)</f>
        <v>0</v>
      </c>
      <c r="W3027" s="3" t="n">
        <f aca="false">SUM(R3027:T3027)</f>
        <v>1</v>
      </c>
      <c r="X3027" s="22" t="n">
        <v>41793</v>
      </c>
      <c r="Y3027" s="22" t="n">
        <v>41798</v>
      </c>
    </row>
    <row r="3028" customFormat="false" ht="14.25" hidden="false" customHeight="false" outlineLevel="0" collapsed="false">
      <c r="A3028" s="1" t="n">
        <v>2014</v>
      </c>
      <c r="B3028" s="1" t="n">
        <v>1</v>
      </c>
      <c r="C3028" s="2" t="s">
        <v>50</v>
      </c>
      <c r="D3028" s="3" t="s">
        <v>98</v>
      </c>
      <c r="E3028" s="3" t="n">
        <v>2</v>
      </c>
      <c r="F3028" s="1" t="n">
        <f aca="false">Y3028-X3028</f>
        <v>5</v>
      </c>
      <c r="G3028" s="1" t="n">
        <v>5</v>
      </c>
      <c r="H3028" s="3" t="s">
        <v>135</v>
      </c>
      <c r="I3028" s="3" t="s">
        <v>136</v>
      </c>
      <c r="J3028" s="3" t="s">
        <v>137</v>
      </c>
      <c r="K3028" s="2" t="str">
        <f aca="false">CONCATENATE(I3028," ",J3028)</f>
        <v>Thanatus sabulosus</v>
      </c>
      <c r="L3028" s="3" t="n">
        <f aca="false">SUM(P3028:U3028)</f>
        <v>1</v>
      </c>
      <c r="M3028" s="11" t="n">
        <f aca="false">(L3028/(F3028*G3028)*25)*4</f>
        <v>4</v>
      </c>
      <c r="N3028" s="1" t="s">
        <v>30</v>
      </c>
      <c r="O3028" s="1" t="s">
        <v>35</v>
      </c>
      <c r="P3028" s="3" t="n">
        <v>0</v>
      </c>
      <c r="Q3028" s="3" t="n">
        <v>1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f aca="false">SUM(P3028:Q3028)</f>
        <v>1</v>
      </c>
      <c r="W3028" s="3" t="n">
        <f aca="false">SUM(R3028:T3028)</f>
        <v>0</v>
      </c>
      <c r="X3028" s="22" t="n">
        <v>41793</v>
      </c>
      <c r="Y3028" s="22" t="n">
        <v>41798</v>
      </c>
    </row>
    <row r="3029" customFormat="false" ht="14.25" hidden="false" customHeight="false" outlineLevel="0" collapsed="false">
      <c r="A3029" s="1" t="n">
        <v>2014</v>
      </c>
      <c r="B3029" s="1" t="n">
        <v>1</v>
      </c>
      <c r="C3029" s="2" t="s">
        <v>50</v>
      </c>
      <c r="D3029" s="3" t="s">
        <v>98</v>
      </c>
      <c r="E3029" s="3" t="n">
        <v>2</v>
      </c>
      <c r="F3029" s="1" t="n">
        <f aca="false">Y3029-X3029</f>
        <v>5</v>
      </c>
      <c r="G3029" s="1" t="n">
        <v>5</v>
      </c>
      <c r="H3029" s="3" t="s">
        <v>36</v>
      </c>
      <c r="I3029" s="3" t="s">
        <v>131</v>
      </c>
      <c r="J3029" s="3" t="s">
        <v>133</v>
      </c>
      <c r="K3029" s="2" t="str">
        <f aca="false">CONCATENATE(I3029," ",J3029)</f>
        <v>Xysticus luctuosus</v>
      </c>
      <c r="L3029" s="3" t="n">
        <f aca="false">SUM(P3029:U3029)</f>
        <v>1</v>
      </c>
      <c r="M3029" s="11" t="n">
        <f aca="false">(L3029/(F3029*G3029)*25)*4</f>
        <v>4</v>
      </c>
      <c r="N3029" s="1" t="s">
        <v>30</v>
      </c>
      <c r="O3029" s="1" t="s">
        <v>31</v>
      </c>
      <c r="P3029" s="3" t="n">
        <v>1</v>
      </c>
      <c r="Q3029" s="3" t="n">
        <v>0</v>
      </c>
      <c r="R3029" s="3" t="n">
        <v>0</v>
      </c>
      <c r="S3029" s="3" t="n">
        <v>0</v>
      </c>
      <c r="T3029" s="3" t="n">
        <v>0</v>
      </c>
      <c r="U3029" s="3" t="n">
        <v>0</v>
      </c>
      <c r="V3029" s="3" t="n">
        <f aca="false">SUM(P3029:Q3029)</f>
        <v>1</v>
      </c>
      <c r="W3029" s="3" t="n">
        <f aca="false">SUM(R3029:T3029)</f>
        <v>0</v>
      </c>
      <c r="X3029" s="22" t="n">
        <v>41793</v>
      </c>
      <c r="Y3029" s="22" t="n">
        <v>41798</v>
      </c>
    </row>
    <row r="3030" customFormat="false" ht="14.25" hidden="false" customHeight="false" outlineLevel="0" collapsed="false">
      <c r="A3030" s="1" t="n">
        <v>2014</v>
      </c>
      <c r="B3030" s="1" t="n">
        <v>1</v>
      </c>
      <c r="C3030" s="2" t="s">
        <v>50</v>
      </c>
      <c r="D3030" s="3" t="s">
        <v>98</v>
      </c>
      <c r="E3030" s="3" t="n">
        <v>2</v>
      </c>
      <c r="F3030" s="1" t="n">
        <f aca="false">Y3030-X3030</f>
        <v>5</v>
      </c>
      <c r="G3030" s="1" t="n">
        <v>5</v>
      </c>
      <c r="H3030" s="3" t="s">
        <v>36</v>
      </c>
      <c r="I3030" s="3" t="s">
        <v>131</v>
      </c>
      <c r="J3030" s="3" t="s">
        <v>133</v>
      </c>
      <c r="K3030" s="2" t="str">
        <f aca="false">CONCATENATE(I3030," ",J3030)</f>
        <v>Xysticus luctuosus</v>
      </c>
      <c r="L3030" s="3" t="n">
        <f aca="false">SUM(P3030:U3030)</f>
        <v>1</v>
      </c>
      <c r="M3030" s="11" t="n">
        <f aca="false">(L3030/(F3030*G3030)*25)*4</f>
        <v>4</v>
      </c>
      <c r="N3030" s="1" t="s">
        <v>30</v>
      </c>
      <c r="O3030" s="1" t="s">
        <v>35</v>
      </c>
      <c r="P3030" s="3" t="n">
        <v>0</v>
      </c>
      <c r="Q3030" s="3" t="n">
        <v>1</v>
      </c>
      <c r="R3030" s="3" t="n">
        <v>0</v>
      </c>
      <c r="S3030" s="3" t="n">
        <v>0</v>
      </c>
      <c r="T3030" s="3" t="n">
        <v>0</v>
      </c>
      <c r="U3030" s="3" t="n">
        <v>0</v>
      </c>
      <c r="V3030" s="3" t="n">
        <f aca="false">SUM(P3030:Q3030)</f>
        <v>1</v>
      </c>
      <c r="W3030" s="3" t="n">
        <f aca="false">SUM(R3030:T3030)</f>
        <v>0</v>
      </c>
      <c r="X3030" s="22" t="n">
        <v>41793</v>
      </c>
      <c r="Y3030" s="22" t="n">
        <v>41798</v>
      </c>
    </row>
    <row r="3031" customFormat="false" ht="14.25" hidden="false" customHeight="false" outlineLevel="0" collapsed="false">
      <c r="A3031" s="1" t="n">
        <v>2014</v>
      </c>
      <c r="B3031" s="1" t="n">
        <v>1</v>
      </c>
      <c r="C3031" s="2" t="s">
        <v>50</v>
      </c>
      <c r="D3031" s="3" t="s">
        <v>98</v>
      </c>
      <c r="E3031" s="3" t="n">
        <v>2</v>
      </c>
      <c r="F3031" s="1" t="n">
        <f aca="false">Y3031-X3031</f>
        <v>5</v>
      </c>
      <c r="G3031" s="1" t="n">
        <v>5</v>
      </c>
      <c r="H3031" s="3" t="s">
        <v>36</v>
      </c>
      <c r="I3031" s="3" t="s">
        <v>131</v>
      </c>
      <c r="J3031" s="3" t="s">
        <v>229</v>
      </c>
      <c r="K3031" s="2" t="str">
        <f aca="false">CONCATENATE(I3031," ",J3031)</f>
        <v>Xysticus emertoni</v>
      </c>
      <c r="L3031" s="3" t="n">
        <f aca="false">SUM(P3031:U3031)</f>
        <v>1</v>
      </c>
      <c r="M3031" s="11" t="n">
        <f aca="false">(L3031/(F3031*G3031)*25)*4</f>
        <v>4</v>
      </c>
      <c r="N3031" s="1" t="s">
        <v>30</v>
      </c>
      <c r="O3031" s="1" t="s">
        <v>31</v>
      </c>
      <c r="P3031" s="3" t="n">
        <v>1</v>
      </c>
      <c r="Q3031" s="3" t="n">
        <v>0</v>
      </c>
      <c r="R3031" s="3" t="n">
        <v>0</v>
      </c>
      <c r="S3031" s="3" t="n">
        <v>0</v>
      </c>
      <c r="T3031" s="3" t="n">
        <v>0</v>
      </c>
      <c r="U3031" s="3" t="n">
        <v>0</v>
      </c>
      <c r="V3031" s="3" t="n">
        <f aca="false">SUM(P3031:Q3031)</f>
        <v>1</v>
      </c>
      <c r="W3031" s="3" t="n">
        <f aca="false">SUM(R3031:T3031)</f>
        <v>0</v>
      </c>
      <c r="X3031" s="22" t="n">
        <v>41793</v>
      </c>
      <c r="Y3031" s="22" t="n">
        <v>41798</v>
      </c>
    </row>
    <row r="3032" customFormat="false" ht="14.25" hidden="false" customHeight="false" outlineLevel="0" collapsed="false">
      <c r="A3032" s="1" t="n">
        <v>2014</v>
      </c>
      <c r="B3032" s="1" t="n">
        <v>1</v>
      </c>
      <c r="C3032" s="2" t="s">
        <v>50</v>
      </c>
      <c r="D3032" s="3" t="s">
        <v>98</v>
      </c>
      <c r="E3032" s="3" t="n">
        <v>2</v>
      </c>
      <c r="F3032" s="1" t="n">
        <f aca="false">Y3032-X3032</f>
        <v>5</v>
      </c>
      <c r="G3032" s="1" t="n">
        <v>5</v>
      </c>
      <c r="H3032" s="3" t="s">
        <v>36</v>
      </c>
      <c r="I3032" s="3" t="s">
        <v>37</v>
      </c>
      <c r="J3032" s="3" t="s">
        <v>75</v>
      </c>
      <c r="K3032" s="2" t="str">
        <f aca="false">CONCATENATE(I3032," ",J3032)</f>
        <v>Ozyptila praticola</v>
      </c>
      <c r="L3032" s="3" t="n">
        <f aca="false">SUM(P3032:U3032)</f>
        <v>1</v>
      </c>
      <c r="M3032" s="11" t="n">
        <f aca="false">(L3032/(F3032*G3032)*25)*4</f>
        <v>4</v>
      </c>
      <c r="N3032" s="1" t="s">
        <v>30</v>
      </c>
      <c r="O3032" s="1" t="s">
        <v>31</v>
      </c>
      <c r="P3032" s="3" t="n">
        <v>1</v>
      </c>
      <c r="Q3032" s="3" t="n">
        <v>0</v>
      </c>
      <c r="R3032" s="3" t="n">
        <v>0</v>
      </c>
      <c r="S3032" s="3" t="n">
        <v>0</v>
      </c>
      <c r="T3032" s="3" t="n">
        <v>0</v>
      </c>
      <c r="U3032" s="3" t="n">
        <v>0</v>
      </c>
      <c r="V3032" s="3" t="n">
        <f aca="false">SUM(P3032:Q3032)</f>
        <v>1</v>
      </c>
      <c r="W3032" s="3" t="n">
        <f aca="false">SUM(R3032:T3032)</f>
        <v>0</v>
      </c>
      <c r="X3032" s="22" t="n">
        <v>41793</v>
      </c>
      <c r="Y3032" s="22" t="n">
        <v>41798</v>
      </c>
    </row>
    <row r="3033" customFormat="false" ht="14.25" hidden="false" customHeight="false" outlineLevel="0" collapsed="false">
      <c r="A3033" s="1" t="n">
        <v>2014</v>
      </c>
      <c r="B3033" s="1" t="n">
        <v>1</v>
      </c>
      <c r="C3033" s="2" t="s">
        <v>50</v>
      </c>
      <c r="D3033" s="3" t="s">
        <v>98</v>
      </c>
      <c r="E3033" s="3" t="n">
        <v>2</v>
      </c>
      <c r="F3033" s="1" t="n">
        <f aca="false">Y3033-X3033</f>
        <v>5</v>
      </c>
      <c r="G3033" s="1" t="n">
        <v>5</v>
      </c>
      <c r="H3033" s="3" t="s">
        <v>36</v>
      </c>
      <c r="I3033" s="3" t="s">
        <v>37</v>
      </c>
      <c r="J3033" s="3" t="s">
        <v>38</v>
      </c>
      <c r="K3033" s="2" t="str">
        <f aca="false">CONCATENATE(I3033," ",J3033)</f>
        <v>Ozyptila sp</v>
      </c>
      <c r="L3033" s="3" t="n">
        <f aca="false">SUM(P3033:U3033)</f>
        <v>1</v>
      </c>
      <c r="M3033" s="11" t="n">
        <f aca="false">(L3033/(F3033*G3033)*25)*4</f>
        <v>4</v>
      </c>
      <c r="N3033" s="1" t="s">
        <v>19</v>
      </c>
      <c r="O3033" s="1" t="s">
        <v>54</v>
      </c>
      <c r="P3033" s="3" t="n">
        <v>0</v>
      </c>
      <c r="Q3033" s="3" t="n">
        <v>0</v>
      </c>
      <c r="R3033" s="3" t="n">
        <v>0</v>
      </c>
      <c r="S3033" s="3" t="n">
        <v>0</v>
      </c>
      <c r="T3033" s="3" t="n">
        <v>1</v>
      </c>
      <c r="U3033" s="3" t="n">
        <v>0</v>
      </c>
      <c r="V3033" s="3" t="n">
        <f aca="false">SUM(P3033:Q3033)</f>
        <v>0</v>
      </c>
      <c r="W3033" s="3" t="n">
        <f aca="false">SUM(R3033:T3033)</f>
        <v>1</v>
      </c>
      <c r="X3033" s="22" t="n">
        <v>41793</v>
      </c>
      <c r="Y3033" s="22" t="n">
        <v>41798</v>
      </c>
    </row>
    <row r="3034" customFormat="false" ht="14.25" hidden="false" customHeight="false" outlineLevel="0" collapsed="false">
      <c r="A3034" s="1" t="n">
        <v>2014</v>
      </c>
      <c r="B3034" s="1" t="n">
        <v>1</v>
      </c>
      <c r="C3034" s="2" t="s">
        <v>50</v>
      </c>
      <c r="D3034" s="3" t="s">
        <v>98</v>
      </c>
      <c r="E3034" s="3" t="n">
        <v>1</v>
      </c>
      <c r="F3034" s="1" t="n">
        <f aca="false">Y3034-X3034</f>
        <v>5</v>
      </c>
      <c r="G3034" s="1" t="n">
        <v>5</v>
      </c>
      <c r="H3034" s="3" t="s">
        <v>36</v>
      </c>
      <c r="I3034" s="3" t="s">
        <v>131</v>
      </c>
      <c r="J3034" s="3" t="s">
        <v>229</v>
      </c>
      <c r="K3034" s="2" t="str">
        <f aca="false">CONCATENATE(I3034," ",J3034)</f>
        <v>Xysticus emertoni</v>
      </c>
      <c r="L3034" s="3" t="n">
        <f aca="false">SUM(P3034:U3034)</f>
        <v>4</v>
      </c>
      <c r="M3034" s="11" t="n">
        <f aca="false">(L3034/(F3034*G3034)*25)*4</f>
        <v>16</v>
      </c>
      <c r="N3034" s="1" t="s">
        <v>30</v>
      </c>
      <c r="O3034" s="1" t="s">
        <v>31</v>
      </c>
      <c r="P3034" s="3" t="n">
        <v>4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f aca="false">SUM(P3034:Q3034)</f>
        <v>4</v>
      </c>
      <c r="W3034" s="3" t="n">
        <f aca="false">SUM(R3034:T3034)</f>
        <v>0</v>
      </c>
      <c r="X3034" s="22" t="n">
        <v>41793</v>
      </c>
      <c r="Y3034" s="22" t="n">
        <v>41798</v>
      </c>
    </row>
    <row r="3035" customFormat="false" ht="14.25" hidden="false" customHeight="false" outlineLevel="0" collapsed="false">
      <c r="A3035" s="1" t="n">
        <v>2014</v>
      </c>
      <c r="B3035" s="1" t="n">
        <v>1</v>
      </c>
      <c r="C3035" s="2" t="s">
        <v>50</v>
      </c>
      <c r="D3035" s="3" t="s">
        <v>98</v>
      </c>
      <c r="E3035" s="3" t="n">
        <v>1</v>
      </c>
      <c r="F3035" s="1" t="n">
        <f aca="false">Y3035-X3035</f>
        <v>5</v>
      </c>
      <c r="G3035" s="1" t="n">
        <v>5</v>
      </c>
      <c r="H3035" s="3" t="s">
        <v>36</v>
      </c>
      <c r="I3035" s="3" t="s">
        <v>131</v>
      </c>
      <c r="J3035" s="3" t="s">
        <v>133</v>
      </c>
      <c r="K3035" s="2" t="str">
        <f aca="false">CONCATENATE(I3035," ",J3035)</f>
        <v>Xysticus luctuosus</v>
      </c>
      <c r="L3035" s="3" t="n">
        <f aca="false">SUM(P3035:U3035)</f>
        <v>2</v>
      </c>
      <c r="M3035" s="11" t="n">
        <f aca="false">(L3035/(F3035*G3035)*25)*4</f>
        <v>8</v>
      </c>
      <c r="N3035" s="1" t="s">
        <v>30</v>
      </c>
      <c r="O3035" s="1" t="s">
        <v>31</v>
      </c>
      <c r="P3035" s="3" t="n">
        <v>2</v>
      </c>
      <c r="Q3035" s="3" t="n">
        <v>0</v>
      </c>
      <c r="R3035" s="3" t="n">
        <v>0</v>
      </c>
      <c r="S3035" s="3" t="n">
        <v>0</v>
      </c>
      <c r="T3035" s="3" t="n">
        <v>0</v>
      </c>
      <c r="U3035" s="3" t="n">
        <v>0</v>
      </c>
      <c r="V3035" s="3" t="n">
        <f aca="false">SUM(P3035:Q3035)</f>
        <v>2</v>
      </c>
      <c r="W3035" s="3" t="n">
        <f aca="false">SUM(R3035:T3035)</f>
        <v>0</v>
      </c>
      <c r="X3035" s="22" t="n">
        <v>41793</v>
      </c>
      <c r="Y3035" s="22" t="n">
        <v>41798</v>
      </c>
    </row>
    <row r="3036" customFormat="false" ht="14.25" hidden="false" customHeight="false" outlineLevel="0" collapsed="false">
      <c r="A3036" s="1" t="n">
        <v>2014</v>
      </c>
      <c r="B3036" s="1" t="n">
        <v>1</v>
      </c>
      <c r="C3036" s="2" t="s">
        <v>50</v>
      </c>
      <c r="D3036" s="3" t="s">
        <v>98</v>
      </c>
      <c r="E3036" s="3" t="n">
        <v>1</v>
      </c>
      <c r="F3036" s="1" t="n">
        <f aca="false">Y3036-X3036</f>
        <v>5</v>
      </c>
      <c r="G3036" s="1" t="n">
        <v>5</v>
      </c>
      <c r="H3036" s="3" t="s">
        <v>226</v>
      </c>
      <c r="I3036" s="3" t="s">
        <v>65</v>
      </c>
      <c r="J3036" s="3" t="s">
        <v>123</v>
      </c>
      <c r="K3036" s="2" t="str">
        <f aca="false">CONCATENATE(I3036," ",J3036)</f>
        <v>Zora nemoralis</v>
      </c>
      <c r="L3036" s="3" t="n">
        <f aca="false">SUM(P3036:U3036)</f>
        <v>1</v>
      </c>
      <c r="M3036" s="11" t="n">
        <f aca="false">(L3036/(F3036*G3036)*25)*4</f>
        <v>4</v>
      </c>
      <c r="N3036" s="1" t="s">
        <v>30</v>
      </c>
      <c r="O3036" s="1" t="s">
        <v>31</v>
      </c>
      <c r="P3036" s="3" t="n">
        <v>1</v>
      </c>
      <c r="Q3036" s="3" t="n">
        <v>0</v>
      </c>
      <c r="R3036" s="3" t="n">
        <v>0</v>
      </c>
      <c r="S3036" s="3" t="n">
        <v>0</v>
      </c>
      <c r="T3036" s="3" t="n">
        <v>0</v>
      </c>
      <c r="U3036" s="3" t="n">
        <v>0</v>
      </c>
      <c r="V3036" s="3" t="n">
        <f aca="false">SUM(P3036:Q3036)</f>
        <v>1</v>
      </c>
      <c r="W3036" s="3" t="n">
        <f aca="false">SUM(R3036:T3036)</f>
        <v>0</v>
      </c>
      <c r="X3036" s="22" t="n">
        <v>41793</v>
      </c>
      <c r="Y3036" s="22" t="n">
        <v>41798</v>
      </c>
    </row>
    <row r="3037" customFormat="false" ht="14.25" hidden="false" customHeight="false" outlineLevel="0" collapsed="false">
      <c r="A3037" s="1" t="n">
        <v>2014</v>
      </c>
      <c r="B3037" s="1" t="n">
        <v>1</v>
      </c>
      <c r="C3037" s="2" t="s">
        <v>50</v>
      </c>
      <c r="D3037" s="3" t="s">
        <v>98</v>
      </c>
      <c r="E3037" s="3" t="n">
        <v>1</v>
      </c>
      <c r="F3037" s="1" t="n">
        <f aca="false">Y3037-X3037</f>
        <v>5</v>
      </c>
      <c r="G3037" s="1" t="n">
        <v>5</v>
      </c>
      <c r="H3037" s="3" t="s">
        <v>135</v>
      </c>
      <c r="I3037" s="3" t="s">
        <v>136</v>
      </c>
      <c r="J3037" s="3" t="s">
        <v>137</v>
      </c>
      <c r="K3037" s="2" t="str">
        <f aca="false">CONCATENATE(I3037," ",J3037)</f>
        <v>Thanatus sabulosus</v>
      </c>
      <c r="L3037" s="3" t="n">
        <f aca="false">SUM(P3037:U3037)</f>
        <v>1</v>
      </c>
      <c r="M3037" s="11" t="n">
        <f aca="false">(L3037/(F3037*G3037)*25)*4</f>
        <v>4</v>
      </c>
      <c r="N3037" s="1" t="s">
        <v>30</v>
      </c>
      <c r="O3037" s="1" t="s">
        <v>35</v>
      </c>
      <c r="P3037" s="3" t="n">
        <v>0</v>
      </c>
      <c r="Q3037" s="3" t="n">
        <v>1</v>
      </c>
      <c r="R3037" s="3" t="n">
        <v>0</v>
      </c>
      <c r="S3037" s="3" t="n">
        <v>0</v>
      </c>
      <c r="T3037" s="3" t="n">
        <v>0</v>
      </c>
      <c r="U3037" s="3" t="n">
        <v>0</v>
      </c>
      <c r="V3037" s="3" t="n">
        <f aca="false">SUM(P3037:Q3037)</f>
        <v>1</v>
      </c>
      <c r="W3037" s="3" t="n">
        <f aca="false">SUM(R3037:T3037)</f>
        <v>0</v>
      </c>
      <c r="X3037" s="22" t="n">
        <v>41793</v>
      </c>
      <c r="Y3037" s="22" t="n">
        <v>41798</v>
      </c>
    </row>
    <row r="3038" customFormat="false" ht="14.25" hidden="false" customHeight="false" outlineLevel="0" collapsed="false">
      <c r="A3038" s="1" t="n">
        <v>2014</v>
      </c>
      <c r="B3038" s="1" t="n">
        <v>1</v>
      </c>
      <c r="C3038" s="2" t="s">
        <v>50</v>
      </c>
      <c r="D3038" s="3" t="s">
        <v>98</v>
      </c>
      <c r="E3038" s="3" t="n">
        <v>1</v>
      </c>
      <c r="F3038" s="1" t="n">
        <f aca="false">Y3038-X3038</f>
        <v>5</v>
      </c>
      <c r="G3038" s="1" t="n">
        <v>5</v>
      </c>
      <c r="H3038" s="3" t="s">
        <v>48</v>
      </c>
      <c r="I3038" s="3" t="s">
        <v>61</v>
      </c>
      <c r="J3038" s="3" t="s">
        <v>38</v>
      </c>
      <c r="K3038" s="2" t="str">
        <f aca="false">CONCATENATE(I3038," ",J3038)</f>
        <v>Trochosa sp</v>
      </c>
      <c r="L3038" s="3" t="n">
        <f aca="false">SUM(P3038:U3038)</f>
        <v>1</v>
      </c>
      <c r="M3038" s="11" t="n">
        <f aca="false">(L3038/(F3038*G3038)*25)*4</f>
        <v>4</v>
      </c>
      <c r="N3038" s="1" t="s">
        <v>19</v>
      </c>
      <c r="O3038" s="1" t="s">
        <v>35</v>
      </c>
      <c r="P3038" s="3" t="n">
        <v>0</v>
      </c>
      <c r="Q3038" s="3" t="n">
        <v>0</v>
      </c>
      <c r="R3038" s="3" t="n">
        <v>0</v>
      </c>
      <c r="S3038" s="3" t="n">
        <v>1</v>
      </c>
      <c r="T3038" s="3" t="n">
        <v>0</v>
      </c>
      <c r="U3038" s="3" t="n">
        <v>0</v>
      </c>
      <c r="V3038" s="3" t="n">
        <f aca="false">SUM(P3038:Q3038)</f>
        <v>0</v>
      </c>
      <c r="W3038" s="3" t="n">
        <f aca="false">SUM(R3038:T3038)</f>
        <v>1</v>
      </c>
      <c r="X3038" s="22" t="n">
        <v>41793</v>
      </c>
      <c r="Y3038" s="22" t="n">
        <v>41798</v>
      </c>
    </row>
    <row r="3039" customFormat="false" ht="14.25" hidden="false" customHeight="false" outlineLevel="0" collapsed="false">
      <c r="A3039" s="1" t="n">
        <v>2014</v>
      </c>
      <c r="B3039" s="1" t="n">
        <v>1</v>
      </c>
      <c r="C3039" s="2" t="s">
        <v>50</v>
      </c>
      <c r="D3039" s="3" t="s">
        <v>98</v>
      </c>
      <c r="E3039" s="3" t="n">
        <v>1</v>
      </c>
      <c r="F3039" s="1" t="n">
        <f aca="false">Y3039-X3039</f>
        <v>5</v>
      </c>
      <c r="G3039" s="1" t="n">
        <v>5</v>
      </c>
      <c r="H3039" s="3" t="s">
        <v>48</v>
      </c>
      <c r="I3039" s="3" t="s">
        <v>49</v>
      </c>
      <c r="J3039" s="3" t="s">
        <v>104</v>
      </c>
      <c r="K3039" s="2" t="str">
        <f aca="false">CONCATENATE(I3039," ",J3039)</f>
        <v>Alopecosa taeniata</v>
      </c>
      <c r="L3039" s="3" t="n">
        <f aca="false">SUM(P3039:U3039)</f>
        <v>3</v>
      </c>
      <c r="M3039" s="11" t="n">
        <f aca="false">(L3039/(F3039*G3039)*25)*4</f>
        <v>12</v>
      </c>
      <c r="N3039" s="1" t="s">
        <v>30</v>
      </c>
      <c r="O3039" s="1" t="s">
        <v>31</v>
      </c>
      <c r="P3039" s="3" t="n">
        <v>3</v>
      </c>
      <c r="Q3039" s="3" t="n">
        <v>0</v>
      </c>
      <c r="R3039" s="3" t="n">
        <v>0</v>
      </c>
      <c r="S3039" s="3" t="n">
        <v>0</v>
      </c>
      <c r="T3039" s="3" t="n">
        <v>0</v>
      </c>
      <c r="U3039" s="3" t="n">
        <v>0</v>
      </c>
      <c r="V3039" s="3" t="n">
        <f aca="false">SUM(P3039:Q3039)</f>
        <v>3</v>
      </c>
      <c r="W3039" s="3" t="n">
        <f aca="false">SUM(R3039:T3039)</f>
        <v>0</v>
      </c>
      <c r="X3039" s="22" t="n">
        <v>41793</v>
      </c>
      <c r="Y3039" s="22" t="n">
        <v>41798</v>
      </c>
    </row>
    <row r="3040" customFormat="false" ht="14.25" hidden="false" customHeight="false" outlineLevel="0" collapsed="false">
      <c r="A3040" s="1" t="n">
        <v>2014</v>
      </c>
      <c r="B3040" s="1" t="n">
        <v>1</v>
      </c>
      <c r="C3040" s="2" t="s">
        <v>50</v>
      </c>
      <c r="D3040" s="3" t="s">
        <v>98</v>
      </c>
      <c r="E3040" s="3" t="n">
        <v>1</v>
      </c>
      <c r="F3040" s="1" t="n">
        <f aca="false">Y3040-X3040</f>
        <v>5</v>
      </c>
      <c r="G3040" s="1" t="n">
        <v>5</v>
      </c>
      <c r="H3040" s="3" t="s">
        <v>36</v>
      </c>
      <c r="I3040" s="3" t="s">
        <v>37</v>
      </c>
      <c r="J3040" s="3" t="s">
        <v>75</v>
      </c>
      <c r="K3040" s="2" t="str">
        <f aca="false">CONCATENATE(I3040," ",J3040)</f>
        <v>Ozyptila praticola</v>
      </c>
      <c r="L3040" s="3" t="n">
        <f aca="false">SUM(P3040:U3040)</f>
        <v>3</v>
      </c>
      <c r="M3040" s="11" t="n">
        <f aca="false">(L3040/(F3040*G3040)*25)*4</f>
        <v>12</v>
      </c>
      <c r="N3040" s="1" t="s">
        <v>30</v>
      </c>
      <c r="O3040" s="1" t="s">
        <v>31</v>
      </c>
      <c r="P3040" s="3" t="n">
        <v>3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f aca="false">SUM(P3040:Q3040)</f>
        <v>3</v>
      </c>
      <c r="W3040" s="3" t="n">
        <f aca="false">SUM(R3040:T3040)</f>
        <v>0</v>
      </c>
      <c r="X3040" s="22" t="n">
        <v>41793</v>
      </c>
      <c r="Y3040" s="22" t="n">
        <v>41798</v>
      </c>
    </row>
    <row r="3041" customFormat="false" ht="14.25" hidden="false" customHeight="false" outlineLevel="0" collapsed="false">
      <c r="A3041" s="1" t="n">
        <v>2014</v>
      </c>
      <c r="B3041" s="1" t="n">
        <v>1</v>
      </c>
      <c r="C3041" s="2" t="s">
        <v>50</v>
      </c>
      <c r="D3041" s="3" t="s">
        <v>98</v>
      </c>
      <c r="E3041" s="3" t="n">
        <v>1</v>
      </c>
      <c r="F3041" s="1" t="n">
        <f aca="false">Y3041-X3041</f>
        <v>5</v>
      </c>
      <c r="G3041" s="1" t="n">
        <v>5</v>
      </c>
      <c r="H3041" s="3" t="s">
        <v>36</v>
      </c>
      <c r="I3041" s="3" t="s">
        <v>131</v>
      </c>
      <c r="J3041" s="3" t="s">
        <v>38</v>
      </c>
      <c r="K3041" s="2" t="str">
        <f aca="false">CONCATENATE(I3041," ",J3041)</f>
        <v>Xysticus sp</v>
      </c>
      <c r="L3041" s="3" t="n">
        <f aca="false">SUM(P3041:U3041)</f>
        <v>1</v>
      </c>
      <c r="M3041" s="11" t="n">
        <f aca="false">(L3041/(F3041*G3041)*25)*4</f>
        <v>4</v>
      </c>
      <c r="N3041" s="1" t="s">
        <v>19</v>
      </c>
      <c r="O3041" s="1" t="s">
        <v>54</v>
      </c>
      <c r="P3041" s="3" t="n">
        <v>0</v>
      </c>
      <c r="Q3041" s="3" t="n">
        <v>0</v>
      </c>
      <c r="R3041" s="3" t="n">
        <v>0</v>
      </c>
      <c r="S3041" s="3" t="n">
        <v>0</v>
      </c>
      <c r="T3041" s="3" t="n">
        <v>1</v>
      </c>
      <c r="U3041" s="3" t="n">
        <v>0</v>
      </c>
      <c r="V3041" s="3" t="n">
        <f aca="false">SUM(P3041:Q3041)</f>
        <v>0</v>
      </c>
      <c r="W3041" s="3" t="n">
        <f aca="false">SUM(R3041:T3041)</f>
        <v>1</v>
      </c>
      <c r="X3041" s="22" t="n">
        <v>41793</v>
      </c>
      <c r="Y3041" s="22" t="n">
        <v>41798</v>
      </c>
    </row>
    <row r="3042" customFormat="false" ht="14.25" hidden="false" customHeight="false" outlineLevel="0" collapsed="false">
      <c r="A3042" s="1" t="n">
        <v>2014</v>
      </c>
      <c r="B3042" s="1" t="n">
        <v>1</v>
      </c>
      <c r="C3042" s="2" t="s">
        <v>50</v>
      </c>
      <c r="D3042" s="3" t="s">
        <v>98</v>
      </c>
      <c r="E3042" s="3" t="n">
        <v>1</v>
      </c>
      <c r="F3042" s="1" t="n">
        <f aca="false">Y3042-X3042</f>
        <v>5</v>
      </c>
      <c r="G3042" s="1" t="n">
        <v>5</v>
      </c>
      <c r="H3042" s="3" t="s">
        <v>48</v>
      </c>
      <c r="I3042" s="3" t="s">
        <v>49</v>
      </c>
      <c r="J3042" s="3" t="s">
        <v>38</v>
      </c>
      <c r="K3042" s="2" t="str">
        <f aca="false">CONCATENATE(I3042," ",J3042)</f>
        <v>Alopecosa sp</v>
      </c>
      <c r="L3042" s="3" t="n">
        <f aca="false">SUM(P3042:U3042)</f>
        <v>1</v>
      </c>
      <c r="M3042" s="11" t="n">
        <f aca="false">(L3042/(F3042*G3042)*25)*4</f>
        <v>4</v>
      </c>
      <c r="N3042" s="1" t="s">
        <v>19</v>
      </c>
      <c r="O3042" s="1" t="s">
        <v>35</v>
      </c>
      <c r="P3042" s="3" t="n">
        <v>0</v>
      </c>
      <c r="Q3042" s="3" t="n">
        <v>0</v>
      </c>
      <c r="R3042" s="3" t="n">
        <v>0</v>
      </c>
      <c r="S3042" s="3" t="n">
        <v>1</v>
      </c>
      <c r="T3042" s="3" t="n">
        <v>0</v>
      </c>
      <c r="U3042" s="3" t="n">
        <v>0</v>
      </c>
      <c r="V3042" s="3" t="n">
        <f aca="false">SUM(P3042:Q3042)</f>
        <v>0</v>
      </c>
      <c r="W3042" s="3" t="n">
        <f aca="false">SUM(R3042:T3042)</f>
        <v>1</v>
      </c>
      <c r="X3042" s="22" t="n">
        <v>41793</v>
      </c>
      <c r="Y3042" s="22" t="n">
        <v>41798</v>
      </c>
    </row>
    <row r="3043" customFormat="false" ht="14.25" hidden="false" customHeight="false" outlineLevel="0" collapsed="false">
      <c r="A3043" s="1" t="n">
        <v>2014</v>
      </c>
      <c r="B3043" s="1" t="n">
        <v>1</v>
      </c>
      <c r="C3043" s="2" t="s">
        <v>50</v>
      </c>
      <c r="D3043" s="3" t="s">
        <v>98</v>
      </c>
      <c r="E3043" s="3" t="n">
        <v>1</v>
      </c>
      <c r="F3043" s="1" t="n">
        <f aca="false">Y3043-X3043</f>
        <v>5</v>
      </c>
      <c r="G3043" s="1" t="n">
        <v>5</v>
      </c>
      <c r="H3043" s="3" t="s">
        <v>48</v>
      </c>
      <c r="I3043" s="3" t="s">
        <v>67</v>
      </c>
      <c r="J3043" s="3" t="s">
        <v>127</v>
      </c>
      <c r="K3043" s="2" t="str">
        <f aca="false">CONCATENATE(I3043," ",J3043)</f>
        <v>Pardosa lugubris</v>
      </c>
      <c r="L3043" s="3" t="n">
        <f aca="false">SUM(P3043:U3043)</f>
        <v>5</v>
      </c>
      <c r="M3043" s="11" t="n">
        <f aca="false">(L3043/(F3043*G3043)*25)*4</f>
        <v>20</v>
      </c>
      <c r="N3043" s="1" t="s">
        <v>30</v>
      </c>
      <c r="O3043" s="1" t="s">
        <v>31</v>
      </c>
      <c r="P3043" s="3" t="n">
        <v>5</v>
      </c>
      <c r="Q3043" s="3" t="n">
        <v>0</v>
      </c>
      <c r="R3043" s="3" t="n">
        <v>0</v>
      </c>
      <c r="S3043" s="3" t="n">
        <v>0</v>
      </c>
      <c r="T3043" s="3" t="n">
        <v>0</v>
      </c>
      <c r="U3043" s="3" t="n">
        <v>0</v>
      </c>
      <c r="V3043" s="3" t="n">
        <f aca="false">SUM(P3043:Q3043)</f>
        <v>5</v>
      </c>
      <c r="W3043" s="3" t="n">
        <f aca="false">SUM(R3043:T3043)</f>
        <v>0</v>
      </c>
      <c r="X3043" s="22" t="n">
        <v>41793</v>
      </c>
      <c r="Y3043" s="22" t="n">
        <v>41798</v>
      </c>
    </row>
    <row r="3044" customFormat="false" ht="14.25" hidden="false" customHeight="false" outlineLevel="0" collapsed="false">
      <c r="A3044" s="1" t="n">
        <v>2014</v>
      </c>
      <c r="B3044" s="1" t="n">
        <v>1</v>
      </c>
      <c r="C3044" s="2" t="s">
        <v>50</v>
      </c>
      <c r="D3044" s="3" t="s">
        <v>98</v>
      </c>
      <c r="E3044" s="3" t="n">
        <v>1</v>
      </c>
      <c r="F3044" s="1" t="n">
        <f aca="false">Y3044-X3044</f>
        <v>5</v>
      </c>
      <c r="G3044" s="1" t="n">
        <v>5</v>
      </c>
      <c r="H3044" s="3" t="s">
        <v>32</v>
      </c>
      <c r="I3044" s="3" t="s">
        <v>169</v>
      </c>
      <c r="J3044" s="3" t="s">
        <v>170</v>
      </c>
      <c r="K3044" s="2" t="str">
        <f aca="false">CONCATENATE(I3044," ",J3044)</f>
        <v>Abacoproeces saltuum</v>
      </c>
      <c r="L3044" s="3" t="n">
        <f aca="false">SUM(P3044:U3044)</f>
        <v>1</v>
      </c>
      <c r="M3044" s="11" t="n">
        <f aca="false">(L3044/(F3044*G3044)*25)*4</f>
        <v>4</v>
      </c>
      <c r="N3044" s="1" t="s">
        <v>30</v>
      </c>
      <c r="O3044" s="1" t="s">
        <v>31</v>
      </c>
      <c r="P3044" s="3" t="n">
        <v>1</v>
      </c>
      <c r="Q3044" s="3" t="n">
        <v>0</v>
      </c>
      <c r="R3044" s="3" t="n">
        <v>0</v>
      </c>
      <c r="S3044" s="3" t="n">
        <v>0</v>
      </c>
      <c r="T3044" s="3" t="n">
        <v>0</v>
      </c>
      <c r="U3044" s="3" t="n">
        <v>0</v>
      </c>
      <c r="V3044" s="3" t="n">
        <f aca="false">SUM(P3044:Q3044)</f>
        <v>1</v>
      </c>
      <c r="W3044" s="3" t="n">
        <f aca="false">SUM(R3044:T3044)</f>
        <v>0</v>
      </c>
      <c r="X3044" s="22" t="n">
        <v>41793</v>
      </c>
      <c r="Y3044" s="22" t="n">
        <v>41798</v>
      </c>
    </row>
    <row r="3045" customFormat="false" ht="14.25" hidden="false" customHeight="false" outlineLevel="0" collapsed="false">
      <c r="A3045" s="1" t="n">
        <v>2014</v>
      </c>
      <c r="B3045" s="1" t="n">
        <v>1</v>
      </c>
      <c r="C3045" s="2" t="s">
        <v>50</v>
      </c>
      <c r="D3045" s="3" t="s">
        <v>98</v>
      </c>
      <c r="E3045" s="3" t="n">
        <v>1</v>
      </c>
      <c r="F3045" s="1" t="n">
        <f aca="false">Y3045-X3045</f>
        <v>5</v>
      </c>
      <c r="G3045" s="1" t="n">
        <v>5</v>
      </c>
      <c r="H3045" s="3" t="s">
        <v>32</v>
      </c>
      <c r="I3045" s="3" t="s">
        <v>96</v>
      </c>
      <c r="J3045" s="3" t="s">
        <v>97</v>
      </c>
      <c r="K3045" s="2" t="str">
        <f aca="false">CONCATENATE(I3045," ",J3045)</f>
        <v>Diplocephalus picinus</v>
      </c>
      <c r="L3045" s="3" t="n">
        <f aca="false">SUM(P3045:U3045)</f>
        <v>6</v>
      </c>
      <c r="M3045" s="11" t="n">
        <f aca="false">(L3045/(F3045*G3045)*25)*4</f>
        <v>24</v>
      </c>
      <c r="N3045" s="1" t="s">
        <v>30</v>
      </c>
      <c r="O3045" s="1" t="s">
        <v>31</v>
      </c>
      <c r="P3045" s="3" t="n">
        <v>6</v>
      </c>
      <c r="Q3045" s="3" t="n">
        <v>0</v>
      </c>
      <c r="R3045" s="3" t="n">
        <v>0</v>
      </c>
      <c r="S3045" s="3" t="n">
        <v>0</v>
      </c>
      <c r="T3045" s="3" t="n">
        <v>0</v>
      </c>
      <c r="U3045" s="3" t="n">
        <v>0</v>
      </c>
      <c r="V3045" s="3" t="n">
        <f aca="false">SUM(P3045:Q3045)</f>
        <v>6</v>
      </c>
      <c r="W3045" s="3" t="n">
        <f aca="false">SUM(R3045:T3045)</f>
        <v>0</v>
      </c>
      <c r="X3045" s="22" t="n">
        <v>41793</v>
      </c>
      <c r="Y3045" s="22" t="n">
        <v>41798</v>
      </c>
    </row>
    <row r="3046" customFormat="false" ht="14.25" hidden="false" customHeight="false" outlineLevel="0" collapsed="false">
      <c r="A3046" s="1" t="n">
        <v>2014</v>
      </c>
      <c r="B3046" s="1" t="n">
        <v>1</v>
      </c>
      <c r="C3046" s="2" t="s">
        <v>50</v>
      </c>
      <c r="D3046" s="3" t="s">
        <v>98</v>
      </c>
      <c r="E3046" s="3" t="n">
        <v>1</v>
      </c>
      <c r="F3046" s="1" t="n">
        <f aca="false">Y3046-X3046</f>
        <v>5</v>
      </c>
      <c r="G3046" s="1" t="n">
        <v>5</v>
      </c>
      <c r="H3046" s="3" t="s">
        <v>32</v>
      </c>
      <c r="I3046" s="3" t="s">
        <v>55</v>
      </c>
      <c r="J3046" s="3" t="s">
        <v>194</v>
      </c>
      <c r="K3046" s="2" t="str">
        <f aca="false">CONCATENATE(I3046," ",J3046)</f>
        <v>Maro pansibiricus</v>
      </c>
      <c r="L3046" s="3" t="n">
        <f aca="false">SUM(P3046:U3046)</f>
        <v>1</v>
      </c>
      <c r="M3046" s="11" t="n">
        <f aca="false">(L3046/(F3046*G3046)*25)*4</f>
        <v>4</v>
      </c>
      <c r="N3046" s="1" t="s">
        <v>30</v>
      </c>
      <c r="O3046" s="1" t="s">
        <v>31</v>
      </c>
      <c r="P3046" s="3" t="n">
        <v>1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f aca="false">SUM(P3046:Q3046)</f>
        <v>1</v>
      </c>
      <c r="W3046" s="3" t="n">
        <f aca="false">SUM(R3046:T3046)</f>
        <v>0</v>
      </c>
      <c r="X3046" s="22" t="n">
        <v>41793</v>
      </c>
      <c r="Y3046" s="22" t="n">
        <v>41798</v>
      </c>
    </row>
    <row r="3047" customFormat="false" ht="14.25" hidden="false" customHeight="false" outlineLevel="0" collapsed="false">
      <c r="A3047" s="1" t="n">
        <v>2014</v>
      </c>
      <c r="B3047" s="1" t="n">
        <v>1</v>
      </c>
      <c r="C3047" s="2" t="s">
        <v>50</v>
      </c>
      <c r="D3047" s="3" t="s">
        <v>98</v>
      </c>
      <c r="E3047" s="3" t="n">
        <v>2</v>
      </c>
      <c r="F3047" s="1" t="n">
        <f aca="false">Y3047-X3047</f>
        <v>5</v>
      </c>
      <c r="G3047" s="1" t="n">
        <v>5</v>
      </c>
      <c r="H3047" s="3" t="s">
        <v>48</v>
      </c>
      <c r="I3047" s="3" t="s">
        <v>67</v>
      </c>
      <c r="J3047" s="3" t="s">
        <v>127</v>
      </c>
      <c r="K3047" s="2" t="str">
        <f aca="false">CONCATENATE(I3047," ",J3047)</f>
        <v>Pardosa lugubris</v>
      </c>
      <c r="L3047" s="3" t="n">
        <f aca="false">SUM(P3047:U3047)</f>
        <v>2</v>
      </c>
      <c r="M3047" s="11" t="n">
        <f aca="false">(L3047/(F3047*G3047)*25)*4</f>
        <v>8</v>
      </c>
      <c r="N3047" s="1" t="s">
        <v>30</v>
      </c>
      <c r="O3047" s="1" t="s">
        <v>31</v>
      </c>
      <c r="P3047" s="3" t="n">
        <v>2</v>
      </c>
      <c r="Q3047" s="3" t="n">
        <v>0</v>
      </c>
      <c r="R3047" s="3" t="n">
        <v>0</v>
      </c>
      <c r="S3047" s="3" t="n">
        <v>0</v>
      </c>
      <c r="T3047" s="3" t="n">
        <v>0</v>
      </c>
      <c r="U3047" s="3" t="n">
        <v>0</v>
      </c>
      <c r="V3047" s="3" t="n">
        <f aca="false">SUM(P3047:Q3047)</f>
        <v>2</v>
      </c>
      <c r="W3047" s="3" t="n">
        <f aca="false">SUM(R3047:T3047)</f>
        <v>0</v>
      </c>
      <c r="X3047" s="22" t="n">
        <v>41793</v>
      </c>
      <c r="Y3047" s="22" t="n">
        <v>41798</v>
      </c>
    </row>
    <row r="3048" customFormat="false" ht="14.25" hidden="false" customHeight="false" outlineLevel="0" collapsed="false">
      <c r="A3048" s="1" t="n">
        <v>2014</v>
      </c>
      <c r="B3048" s="1" t="n">
        <v>1</v>
      </c>
      <c r="C3048" s="2" t="s">
        <v>50</v>
      </c>
      <c r="D3048" s="3" t="s">
        <v>98</v>
      </c>
      <c r="E3048" s="3" t="n">
        <v>2</v>
      </c>
      <c r="F3048" s="1" t="n">
        <f aca="false">Y3048-X3048</f>
        <v>5</v>
      </c>
      <c r="G3048" s="1" t="n">
        <v>5</v>
      </c>
      <c r="H3048" s="3" t="s">
        <v>48</v>
      </c>
      <c r="I3048" s="3" t="s">
        <v>67</v>
      </c>
      <c r="J3048" s="3" t="s">
        <v>127</v>
      </c>
      <c r="K3048" s="2" t="str">
        <f aca="false">CONCATENATE(I3048," ",J3048)</f>
        <v>Pardosa lugubris</v>
      </c>
      <c r="L3048" s="3" t="n">
        <f aca="false">SUM(P3048:U3048)</f>
        <v>1</v>
      </c>
      <c r="M3048" s="11" t="n">
        <f aca="false">(L3048/(F3048*G3048)*25)*4</f>
        <v>4</v>
      </c>
      <c r="N3048" s="1" t="s">
        <v>30</v>
      </c>
      <c r="O3048" s="1" t="s">
        <v>35</v>
      </c>
      <c r="P3048" s="3" t="n">
        <v>0</v>
      </c>
      <c r="Q3048" s="3" t="n">
        <v>1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f aca="false">SUM(P3048:Q3048)</f>
        <v>1</v>
      </c>
      <c r="W3048" s="3" t="n">
        <f aca="false">SUM(R3048:T3048)</f>
        <v>0</v>
      </c>
      <c r="X3048" s="22" t="n">
        <v>41793</v>
      </c>
      <c r="Y3048" s="22" t="n">
        <v>41798</v>
      </c>
    </row>
    <row r="3049" customFormat="false" ht="14.25" hidden="false" customHeight="false" outlineLevel="0" collapsed="false">
      <c r="A3049" s="1" t="n">
        <v>2014</v>
      </c>
      <c r="B3049" s="1" t="n">
        <v>1</v>
      </c>
      <c r="C3049" s="2" t="s">
        <v>50</v>
      </c>
      <c r="D3049" s="3" t="s">
        <v>98</v>
      </c>
      <c r="E3049" s="3" t="n">
        <v>2</v>
      </c>
      <c r="F3049" s="1" t="n">
        <f aca="false">Y3049-X3049</f>
        <v>5</v>
      </c>
      <c r="G3049" s="1" t="n">
        <v>5</v>
      </c>
      <c r="H3049" s="3" t="s">
        <v>48</v>
      </c>
      <c r="I3049" s="3" t="s">
        <v>49</v>
      </c>
      <c r="J3049" s="3" t="s">
        <v>130</v>
      </c>
      <c r="K3049" s="2" t="str">
        <f aca="false">CONCATENATE(I3049," ",J3049)</f>
        <v>Alopecosa aculeata</v>
      </c>
      <c r="L3049" s="3" t="n">
        <f aca="false">SUM(P3049:U3049)</f>
        <v>2</v>
      </c>
      <c r="M3049" s="11" t="n">
        <f aca="false">(L3049/(F3049*G3049)*25)*4</f>
        <v>8</v>
      </c>
      <c r="N3049" s="1" t="s">
        <v>30</v>
      </c>
      <c r="O3049" s="1" t="s">
        <v>31</v>
      </c>
      <c r="P3049" s="3" t="n">
        <v>2</v>
      </c>
      <c r="Q3049" s="3" t="n">
        <v>0</v>
      </c>
      <c r="R3049" s="3" t="n">
        <v>0</v>
      </c>
      <c r="S3049" s="3" t="n">
        <v>0</v>
      </c>
      <c r="T3049" s="3" t="n">
        <v>0</v>
      </c>
      <c r="U3049" s="3" t="n">
        <v>0</v>
      </c>
      <c r="V3049" s="3" t="n">
        <f aca="false">SUM(P3049:Q3049)</f>
        <v>2</v>
      </c>
      <c r="W3049" s="3" t="n">
        <f aca="false">SUM(R3049:T3049)</f>
        <v>0</v>
      </c>
      <c r="X3049" s="22" t="n">
        <v>41793</v>
      </c>
      <c r="Y3049" s="22" t="n">
        <v>41798</v>
      </c>
    </row>
    <row r="3050" customFormat="false" ht="14.25" hidden="false" customHeight="false" outlineLevel="0" collapsed="false">
      <c r="A3050" s="1" t="n">
        <v>2014</v>
      </c>
      <c r="B3050" s="1" t="n">
        <v>1</v>
      </c>
      <c r="C3050" s="2" t="s">
        <v>50</v>
      </c>
      <c r="D3050" s="3" t="s">
        <v>98</v>
      </c>
      <c r="E3050" s="3" t="n">
        <v>2</v>
      </c>
      <c r="F3050" s="1" t="n">
        <f aca="false">Y3050-X3050</f>
        <v>5</v>
      </c>
      <c r="G3050" s="1" t="n">
        <v>5</v>
      </c>
      <c r="H3050" s="3" t="s">
        <v>36</v>
      </c>
      <c r="I3050" s="3" t="s">
        <v>37</v>
      </c>
      <c r="J3050" s="3" t="s">
        <v>75</v>
      </c>
      <c r="K3050" s="2" t="str">
        <f aca="false">CONCATENATE(I3050," ",J3050)</f>
        <v>Ozyptila praticola</v>
      </c>
      <c r="L3050" s="3" t="n">
        <f aca="false">SUM(P3050:U3050)</f>
        <v>2</v>
      </c>
      <c r="M3050" s="11" t="n">
        <f aca="false">(L3050/(F3050*G3050)*25)*4</f>
        <v>8</v>
      </c>
      <c r="N3050" s="1" t="s">
        <v>30</v>
      </c>
      <c r="O3050" s="1" t="s">
        <v>31</v>
      </c>
      <c r="P3050" s="3" t="n">
        <v>2</v>
      </c>
      <c r="Q3050" s="3" t="n">
        <v>0</v>
      </c>
      <c r="R3050" s="3" t="n">
        <v>0</v>
      </c>
      <c r="S3050" s="3" t="n">
        <v>0</v>
      </c>
      <c r="T3050" s="3" t="n">
        <v>0</v>
      </c>
      <c r="U3050" s="3" t="n">
        <v>0</v>
      </c>
      <c r="V3050" s="3" t="n">
        <f aca="false">SUM(P3050:Q3050)</f>
        <v>2</v>
      </c>
      <c r="W3050" s="3" t="n">
        <f aca="false">SUM(R3050:T3050)</f>
        <v>0</v>
      </c>
      <c r="X3050" s="22" t="n">
        <v>41793</v>
      </c>
      <c r="Y3050" s="22" t="n">
        <v>41798</v>
      </c>
    </row>
    <row r="3051" customFormat="false" ht="14.25" hidden="false" customHeight="false" outlineLevel="0" collapsed="false">
      <c r="A3051" s="1" t="n">
        <v>2014</v>
      </c>
      <c r="B3051" s="1" t="n">
        <v>1</v>
      </c>
      <c r="C3051" s="2" t="s">
        <v>50</v>
      </c>
      <c r="D3051" s="3" t="s">
        <v>98</v>
      </c>
      <c r="E3051" s="3" t="n">
        <v>2</v>
      </c>
      <c r="F3051" s="1" t="n">
        <f aca="false">Y3051-X3051</f>
        <v>5</v>
      </c>
      <c r="G3051" s="1" t="n">
        <v>5</v>
      </c>
      <c r="H3051" s="3" t="s">
        <v>36</v>
      </c>
      <c r="I3051" s="3" t="s">
        <v>37</v>
      </c>
      <c r="J3051" s="3" t="s">
        <v>75</v>
      </c>
      <c r="K3051" s="2" t="str">
        <f aca="false">CONCATENATE(I3051," ",J3051)</f>
        <v>Ozyptila praticola</v>
      </c>
      <c r="L3051" s="3" t="n">
        <f aca="false">SUM(P3051:U3051)</f>
        <v>1</v>
      </c>
      <c r="M3051" s="11" t="n">
        <f aca="false">(L3051/(F3051*G3051)*25)*4</f>
        <v>4</v>
      </c>
      <c r="N3051" s="1" t="s">
        <v>19</v>
      </c>
      <c r="O3051" s="1" t="s">
        <v>54</v>
      </c>
      <c r="P3051" s="3" t="n">
        <v>0</v>
      </c>
      <c r="Q3051" s="3" t="n">
        <v>0</v>
      </c>
      <c r="R3051" s="3" t="n">
        <v>0</v>
      </c>
      <c r="S3051" s="3" t="n">
        <v>0</v>
      </c>
      <c r="T3051" s="3" t="n">
        <v>1</v>
      </c>
      <c r="U3051" s="3" t="n">
        <v>0</v>
      </c>
      <c r="V3051" s="3" t="n">
        <f aca="false">SUM(P3051:Q3051)</f>
        <v>0</v>
      </c>
      <c r="W3051" s="3" t="n">
        <f aca="false">SUM(R3051:T3051)</f>
        <v>1</v>
      </c>
      <c r="X3051" s="22" t="n">
        <v>41793</v>
      </c>
      <c r="Y3051" s="22" t="n">
        <v>41798</v>
      </c>
    </row>
    <row r="3052" customFormat="false" ht="14.25" hidden="false" customHeight="false" outlineLevel="0" collapsed="false">
      <c r="A3052" s="1" t="n">
        <v>2014</v>
      </c>
      <c r="B3052" s="1" t="n">
        <v>1</v>
      </c>
      <c r="C3052" s="2" t="s">
        <v>50</v>
      </c>
      <c r="D3052" s="3" t="s">
        <v>98</v>
      </c>
      <c r="E3052" s="3" t="n">
        <v>2</v>
      </c>
      <c r="F3052" s="1" t="n">
        <f aca="false">Y3052-X3052</f>
        <v>5</v>
      </c>
      <c r="G3052" s="1" t="n">
        <v>5</v>
      </c>
      <c r="H3052" s="3" t="s">
        <v>36</v>
      </c>
      <c r="I3052" s="3" t="s">
        <v>131</v>
      </c>
      <c r="J3052" s="3" t="s">
        <v>133</v>
      </c>
      <c r="K3052" s="2" t="str">
        <f aca="false">CONCATENATE(I3052," ",J3052)</f>
        <v>Xysticus luctuosus</v>
      </c>
      <c r="L3052" s="3" t="n">
        <f aca="false">SUM(P3052:U3052)</f>
        <v>2</v>
      </c>
      <c r="M3052" s="11" t="n">
        <f aca="false">(L3052/(F3052*G3052)*25)*4</f>
        <v>8</v>
      </c>
      <c r="N3052" s="1" t="s">
        <v>30</v>
      </c>
      <c r="O3052" s="1" t="s">
        <v>31</v>
      </c>
      <c r="P3052" s="3" t="n">
        <v>2</v>
      </c>
      <c r="Q3052" s="3" t="n">
        <v>0</v>
      </c>
      <c r="R3052" s="3" t="n">
        <v>0</v>
      </c>
      <c r="S3052" s="3" t="n">
        <v>0</v>
      </c>
      <c r="T3052" s="3" t="n">
        <v>0</v>
      </c>
      <c r="U3052" s="3" t="n">
        <v>0</v>
      </c>
      <c r="V3052" s="3" t="n">
        <f aca="false">SUM(P3052:Q3052)</f>
        <v>2</v>
      </c>
      <c r="W3052" s="3" t="n">
        <f aca="false">SUM(R3052:T3052)</f>
        <v>0</v>
      </c>
      <c r="X3052" s="22" t="n">
        <v>41793</v>
      </c>
      <c r="Y3052" s="22" t="n">
        <v>41798</v>
      </c>
    </row>
    <row r="3053" customFormat="false" ht="14.25" hidden="false" customHeight="false" outlineLevel="0" collapsed="false">
      <c r="A3053" s="1" t="n">
        <v>2014</v>
      </c>
      <c r="B3053" s="1" t="n">
        <v>1</v>
      </c>
      <c r="C3053" s="2" t="s">
        <v>50</v>
      </c>
      <c r="D3053" s="3" t="s">
        <v>98</v>
      </c>
      <c r="E3053" s="3" t="n">
        <v>2</v>
      </c>
      <c r="F3053" s="1" t="n">
        <f aca="false">Y3053-X3053</f>
        <v>5</v>
      </c>
      <c r="G3053" s="1" t="n">
        <v>5</v>
      </c>
      <c r="H3053" s="3" t="s">
        <v>36</v>
      </c>
      <c r="I3053" s="3" t="s">
        <v>131</v>
      </c>
      <c r="J3053" s="3" t="s">
        <v>133</v>
      </c>
      <c r="K3053" s="2" t="str">
        <f aca="false">CONCATENATE(I3053," ",J3053)</f>
        <v>Xysticus luctuosus</v>
      </c>
      <c r="L3053" s="3" t="n">
        <f aca="false">SUM(P3053:U3053)</f>
        <v>1</v>
      </c>
      <c r="M3053" s="11" t="n">
        <f aca="false">(L3053/(F3053*G3053)*25)*4</f>
        <v>4</v>
      </c>
      <c r="N3053" s="1" t="s">
        <v>30</v>
      </c>
      <c r="O3053" s="1" t="s">
        <v>35</v>
      </c>
      <c r="P3053" s="3" t="n">
        <v>0</v>
      </c>
      <c r="Q3053" s="3" t="n">
        <v>1</v>
      </c>
      <c r="R3053" s="3" t="n">
        <v>0</v>
      </c>
      <c r="S3053" s="3" t="n">
        <v>0</v>
      </c>
      <c r="T3053" s="3" t="n">
        <v>0</v>
      </c>
      <c r="U3053" s="3" t="n">
        <v>0</v>
      </c>
      <c r="V3053" s="3" t="n">
        <f aca="false">SUM(P3053:Q3053)</f>
        <v>1</v>
      </c>
      <c r="W3053" s="3" t="n">
        <f aca="false">SUM(R3053:T3053)</f>
        <v>0</v>
      </c>
      <c r="X3053" s="22" t="n">
        <v>41793</v>
      </c>
      <c r="Y3053" s="22" t="n">
        <v>41798</v>
      </c>
    </row>
    <row r="3054" customFormat="false" ht="14.25" hidden="false" customHeight="false" outlineLevel="0" collapsed="false">
      <c r="A3054" s="1" t="n">
        <v>2014</v>
      </c>
      <c r="B3054" s="1" t="n">
        <v>1</v>
      </c>
      <c r="C3054" s="2" t="s">
        <v>50</v>
      </c>
      <c r="D3054" s="3" t="s">
        <v>98</v>
      </c>
      <c r="E3054" s="3" t="n">
        <v>2</v>
      </c>
      <c r="F3054" s="1" t="n">
        <f aca="false">Y3054-X3054</f>
        <v>5</v>
      </c>
      <c r="G3054" s="1" t="n">
        <v>5</v>
      </c>
      <c r="H3054" s="3" t="s">
        <v>36</v>
      </c>
      <c r="I3054" s="3" t="s">
        <v>131</v>
      </c>
      <c r="J3054" s="3" t="s">
        <v>229</v>
      </c>
      <c r="K3054" s="2" t="str">
        <f aca="false">CONCATENATE(I3054," ",J3054)</f>
        <v>Xysticus emertoni</v>
      </c>
      <c r="L3054" s="3" t="n">
        <f aca="false">SUM(P3054:U3054)</f>
        <v>1</v>
      </c>
      <c r="M3054" s="11" t="n">
        <f aca="false">(L3054/(F3054*G3054)*25)*4</f>
        <v>4</v>
      </c>
      <c r="N3054" s="1" t="s">
        <v>30</v>
      </c>
      <c r="O3054" s="1" t="s">
        <v>31</v>
      </c>
      <c r="P3054" s="3" t="n">
        <v>1</v>
      </c>
      <c r="Q3054" s="3" t="n">
        <v>0</v>
      </c>
      <c r="R3054" s="3" t="n">
        <v>0</v>
      </c>
      <c r="S3054" s="3" t="n">
        <v>0</v>
      </c>
      <c r="T3054" s="3" t="n">
        <v>0</v>
      </c>
      <c r="U3054" s="3" t="n">
        <v>0</v>
      </c>
      <c r="V3054" s="3" t="n">
        <f aca="false">SUM(P3054:Q3054)</f>
        <v>1</v>
      </c>
      <c r="W3054" s="3" t="n">
        <f aca="false">SUM(R3054:T3054)</f>
        <v>0</v>
      </c>
      <c r="X3054" s="22" t="n">
        <v>41793</v>
      </c>
      <c r="Y3054" s="22" t="n">
        <v>41798</v>
      </c>
    </row>
    <row r="3055" customFormat="false" ht="14.25" hidden="false" customHeight="false" outlineLevel="0" collapsed="false">
      <c r="A3055" s="1" t="n">
        <v>2014</v>
      </c>
      <c r="B3055" s="1" t="n">
        <v>1</v>
      </c>
      <c r="C3055" s="2" t="s">
        <v>50</v>
      </c>
      <c r="D3055" s="3" t="s">
        <v>98</v>
      </c>
      <c r="E3055" s="3" t="n">
        <v>2</v>
      </c>
      <c r="F3055" s="1" t="n">
        <f aca="false">Y3055-X3055</f>
        <v>5</v>
      </c>
      <c r="G3055" s="1" t="n">
        <v>5</v>
      </c>
      <c r="H3055" s="3" t="s">
        <v>72</v>
      </c>
      <c r="I3055" s="3" t="s">
        <v>73</v>
      </c>
      <c r="J3055" s="3" t="s">
        <v>74</v>
      </c>
      <c r="K3055" s="2" t="str">
        <f aca="false">CONCATENATE(I3055," ",J3055)</f>
        <v>Zelotes subterraneus</v>
      </c>
      <c r="L3055" s="3" t="n">
        <f aca="false">SUM(P3055:U3055)</f>
        <v>1</v>
      </c>
      <c r="M3055" s="11" t="n">
        <f aca="false">(L3055/(F3055*G3055)*25)*4</f>
        <v>4</v>
      </c>
      <c r="N3055" s="1" t="s">
        <v>30</v>
      </c>
      <c r="O3055" s="1" t="s">
        <v>35</v>
      </c>
      <c r="P3055" s="3" t="n">
        <v>0</v>
      </c>
      <c r="Q3055" s="3" t="n">
        <v>1</v>
      </c>
      <c r="R3055" s="3" t="n">
        <v>0</v>
      </c>
      <c r="S3055" s="3" t="n">
        <v>0</v>
      </c>
      <c r="T3055" s="3" t="n">
        <v>0</v>
      </c>
      <c r="U3055" s="3" t="n">
        <v>0</v>
      </c>
      <c r="V3055" s="3" t="n">
        <f aca="false">SUM(P3055:Q3055)</f>
        <v>1</v>
      </c>
      <c r="W3055" s="3" t="n">
        <f aca="false">SUM(R3055:T3055)</f>
        <v>0</v>
      </c>
      <c r="X3055" s="22" t="n">
        <v>41793</v>
      </c>
      <c r="Y3055" s="22" t="n">
        <v>41798</v>
      </c>
    </row>
    <row r="3056" customFormat="false" ht="14.25" hidden="false" customHeight="false" outlineLevel="0" collapsed="false">
      <c r="A3056" s="1" t="n">
        <v>2014</v>
      </c>
      <c r="B3056" s="1" t="n">
        <v>1</v>
      </c>
      <c r="C3056" s="2" t="s">
        <v>50</v>
      </c>
      <c r="D3056" s="3" t="s">
        <v>98</v>
      </c>
      <c r="E3056" s="3" t="n">
        <v>2</v>
      </c>
      <c r="F3056" s="1" t="n">
        <f aca="false">Y3056-X3056</f>
        <v>5</v>
      </c>
      <c r="G3056" s="1" t="n">
        <v>5</v>
      </c>
      <c r="H3056" s="3" t="s">
        <v>27</v>
      </c>
      <c r="I3056" s="3" t="s">
        <v>46</v>
      </c>
      <c r="J3056" s="3" t="s">
        <v>47</v>
      </c>
      <c r="K3056" s="2" t="str">
        <f aca="false">CONCATENATE(I3056," ",J3056)</f>
        <v>Euryopis flavomaculata</v>
      </c>
      <c r="L3056" s="3" t="n">
        <f aca="false">SUM(P3056:U3056)</f>
        <v>1</v>
      </c>
      <c r="M3056" s="11" t="n">
        <f aca="false">(L3056/(F3056*G3056)*25)*4</f>
        <v>4</v>
      </c>
      <c r="N3056" s="1" t="s">
        <v>30</v>
      </c>
      <c r="O3056" s="1" t="s">
        <v>35</v>
      </c>
      <c r="P3056" s="3" t="n">
        <v>0</v>
      </c>
      <c r="Q3056" s="3" t="n">
        <v>1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f aca="false">SUM(P3056:Q3056)</f>
        <v>1</v>
      </c>
      <c r="W3056" s="3" t="n">
        <f aca="false">SUM(R3056:T3056)</f>
        <v>0</v>
      </c>
      <c r="X3056" s="22" t="n">
        <v>41793</v>
      </c>
      <c r="Y3056" s="22" t="n">
        <v>41798</v>
      </c>
    </row>
    <row r="3057" customFormat="false" ht="14.25" hidden="false" customHeight="false" outlineLevel="0" collapsed="false">
      <c r="A3057" s="1" t="n">
        <v>2014</v>
      </c>
      <c r="B3057" s="1" t="n">
        <v>1</v>
      </c>
      <c r="C3057" s="2" t="s">
        <v>50</v>
      </c>
      <c r="D3057" s="3" t="s">
        <v>98</v>
      </c>
      <c r="E3057" s="3" t="n">
        <v>2</v>
      </c>
      <c r="F3057" s="1" t="n">
        <f aca="false">Y3057-X3057</f>
        <v>5</v>
      </c>
      <c r="G3057" s="1" t="n">
        <v>5</v>
      </c>
      <c r="H3057" s="3" t="s">
        <v>32</v>
      </c>
      <c r="I3057" s="3" t="s">
        <v>93</v>
      </c>
      <c r="J3057" s="3" t="s">
        <v>94</v>
      </c>
      <c r="K3057" s="2" t="str">
        <f aca="false">CONCATENATE(I3057," ",J3057)</f>
        <v>Anguliphantes angulipalpis</v>
      </c>
      <c r="L3057" s="3" t="n">
        <f aca="false">SUM(P3057:U3057)</f>
        <v>1</v>
      </c>
      <c r="M3057" s="11" t="n">
        <f aca="false">(L3057/(F3057*G3057)*25)*4</f>
        <v>4</v>
      </c>
      <c r="N3057" s="1" t="s">
        <v>30</v>
      </c>
      <c r="O3057" s="1" t="s">
        <v>35</v>
      </c>
      <c r="P3057" s="3" t="n">
        <v>0</v>
      </c>
      <c r="Q3057" s="3" t="n">
        <v>1</v>
      </c>
      <c r="R3057" s="3" t="n">
        <v>0</v>
      </c>
      <c r="S3057" s="3" t="n">
        <v>0</v>
      </c>
      <c r="T3057" s="3" t="n">
        <v>0</v>
      </c>
      <c r="U3057" s="3" t="n">
        <v>0</v>
      </c>
      <c r="V3057" s="3" t="n">
        <f aca="false">SUM(P3057:Q3057)</f>
        <v>1</v>
      </c>
      <c r="W3057" s="3" t="n">
        <f aca="false">SUM(R3057:T3057)</f>
        <v>0</v>
      </c>
      <c r="X3057" s="22" t="n">
        <v>41793</v>
      </c>
      <c r="Y3057" s="22" t="n">
        <v>41798</v>
      </c>
    </row>
    <row r="3058" customFormat="false" ht="14.25" hidden="false" customHeight="false" outlineLevel="0" collapsed="false">
      <c r="A3058" s="1" t="n">
        <v>2014</v>
      </c>
      <c r="B3058" s="1" t="n">
        <v>1</v>
      </c>
      <c r="C3058" s="2" t="s">
        <v>50</v>
      </c>
      <c r="D3058" s="3" t="s">
        <v>98</v>
      </c>
      <c r="E3058" s="3" t="n">
        <v>2</v>
      </c>
      <c r="F3058" s="1" t="n">
        <f aca="false">Y3058-X3058</f>
        <v>5</v>
      </c>
      <c r="G3058" s="1" t="n">
        <v>5</v>
      </c>
      <c r="H3058" s="3" t="s">
        <v>32</v>
      </c>
      <c r="I3058" s="3" t="s">
        <v>96</v>
      </c>
      <c r="J3058" s="3" t="s">
        <v>97</v>
      </c>
      <c r="K3058" s="2" t="str">
        <f aca="false">CONCATENATE(I3058," ",J3058)</f>
        <v>Diplocephalus picinus</v>
      </c>
      <c r="L3058" s="3" t="n">
        <f aca="false">SUM(P3058:U3058)</f>
        <v>1</v>
      </c>
      <c r="M3058" s="11" t="n">
        <f aca="false">(L3058/(F3058*G3058)*25)*4</f>
        <v>4</v>
      </c>
      <c r="N3058" s="1" t="s">
        <v>30</v>
      </c>
      <c r="O3058" s="1" t="s">
        <v>31</v>
      </c>
      <c r="P3058" s="3" t="n">
        <v>1</v>
      </c>
      <c r="Q3058" s="3" t="n">
        <v>0</v>
      </c>
      <c r="R3058" s="3" t="n">
        <v>0</v>
      </c>
      <c r="S3058" s="3" t="n">
        <v>0</v>
      </c>
      <c r="T3058" s="3" t="n">
        <v>0</v>
      </c>
      <c r="U3058" s="3" t="n">
        <v>0</v>
      </c>
      <c r="V3058" s="3" t="n">
        <f aca="false">SUM(P3058:Q3058)</f>
        <v>1</v>
      </c>
      <c r="W3058" s="3" t="n">
        <f aca="false">SUM(R3058:T3058)</f>
        <v>0</v>
      </c>
      <c r="X3058" s="22" t="n">
        <v>41793</v>
      </c>
      <c r="Y3058" s="22" t="n">
        <v>41798</v>
      </c>
    </row>
    <row r="3059" customFormat="false" ht="14.25" hidden="false" customHeight="false" outlineLevel="0" collapsed="false">
      <c r="A3059" s="1" t="n">
        <v>2014</v>
      </c>
      <c r="B3059" s="1" t="n">
        <v>1</v>
      </c>
      <c r="C3059" s="2" t="s">
        <v>50</v>
      </c>
      <c r="D3059" s="3" t="s">
        <v>98</v>
      </c>
      <c r="E3059" s="3" t="n">
        <v>1</v>
      </c>
      <c r="F3059" s="1" t="n">
        <f aca="false">Y3059-X3059</f>
        <v>5</v>
      </c>
      <c r="G3059" s="1" t="n">
        <v>5</v>
      </c>
      <c r="H3059" s="3" t="s">
        <v>48</v>
      </c>
      <c r="I3059" s="3" t="s">
        <v>67</v>
      </c>
      <c r="J3059" s="3" t="s">
        <v>127</v>
      </c>
      <c r="K3059" s="2" t="str">
        <f aca="false">CONCATENATE(I3059," ",J3059)</f>
        <v>Pardosa lugubris</v>
      </c>
      <c r="L3059" s="3" t="n">
        <f aca="false">SUM(P3059:U3059)</f>
        <v>5</v>
      </c>
      <c r="M3059" s="11" t="n">
        <f aca="false">(L3059/(F3059*G3059)*25)*4</f>
        <v>20</v>
      </c>
      <c r="N3059" s="1" t="s">
        <v>30</v>
      </c>
      <c r="O3059" s="1" t="s">
        <v>31</v>
      </c>
      <c r="P3059" s="3" t="n">
        <v>5</v>
      </c>
      <c r="Q3059" s="3" t="n">
        <v>0</v>
      </c>
      <c r="R3059" s="3" t="n">
        <v>0</v>
      </c>
      <c r="S3059" s="3" t="n">
        <v>0</v>
      </c>
      <c r="T3059" s="3" t="n">
        <v>0</v>
      </c>
      <c r="U3059" s="3" t="n">
        <v>0</v>
      </c>
      <c r="V3059" s="3" t="n">
        <f aca="false">SUM(P3059:Q3059)</f>
        <v>5</v>
      </c>
      <c r="W3059" s="3" t="n">
        <f aca="false">SUM(R3059:T3059)</f>
        <v>0</v>
      </c>
      <c r="X3059" s="22" t="n">
        <v>41793</v>
      </c>
      <c r="Y3059" s="22" t="n">
        <v>41798</v>
      </c>
    </row>
    <row r="3060" customFormat="false" ht="14.25" hidden="false" customHeight="false" outlineLevel="0" collapsed="false">
      <c r="A3060" s="1" t="n">
        <v>2014</v>
      </c>
      <c r="B3060" s="1" t="n">
        <v>1</v>
      </c>
      <c r="C3060" s="2" t="s">
        <v>50</v>
      </c>
      <c r="D3060" s="3" t="s">
        <v>98</v>
      </c>
      <c r="E3060" s="3" t="n">
        <v>1</v>
      </c>
      <c r="F3060" s="1" t="n">
        <f aca="false">Y3060-X3060</f>
        <v>5</v>
      </c>
      <c r="G3060" s="1" t="n">
        <v>5</v>
      </c>
      <c r="H3060" s="3" t="s">
        <v>48</v>
      </c>
      <c r="I3060" s="3" t="s">
        <v>49</v>
      </c>
      <c r="J3060" s="3" t="s">
        <v>223</v>
      </c>
      <c r="K3060" s="2" t="str">
        <f aca="false">CONCATENATE(I3060," ",J3060)</f>
        <v>Alopecosa pulverulenta</v>
      </c>
      <c r="L3060" s="3" t="n">
        <f aca="false">SUM(P3060:U3060)</f>
        <v>1</v>
      </c>
      <c r="M3060" s="11" t="n">
        <f aca="false">(L3060/(F3060*G3060)*25)*4</f>
        <v>4</v>
      </c>
      <c r="N3060" s="1" t="s">
        <v>30</v>
      </c>
      <c r="O3060" s="1" t="s">
        <v>31</v>
      </c>
      <c r="P3060" s="3" t="n">
        <v>1</v>
      </c>
      <c r="Q3060" s="3" t="n">
        <v>0</v>
      </c>
      <c r="R3060" s="3" t="n">
        <v>0</v>
      </c>
      <c r="S3060" s="3" t="n">
        <v>0</v>
      </c>
      <c r="T3060" s="3" t="n">
        <v>0</v>
      </c>
      <c r="U3060" s="3" t="n">
        <v>0</v>
      </c>
      <c r="V3060" s="3" t="n">
        <f aca="false">SUM(P3060:Q3060)</f>
        <v>1</v>
      </c>
      <c r="W3060" s="3" t="n">
        <f aca="false">SUM(R3060:T3060)</f>
        <v>0</v>
      </c>
      <c r="X3060" s="22" t="n">
        <v>41793</v>
      </c>
      <c r="Y3060" s="22" t="n">
        <v>41798</v>
      </c>
    </row>
    <row r="3061" customFormat="false" ht="14.25" hidden="false" customHeight="false" outlineLevel="0" collapsed="false">
      <c r="A3061" s="1" t="n">
        <v>2014</v>
      </c>
      <c r="B3061" s="1" t="n">
        <v>1</v>
      </c>
      <c r="C3061" s="2" t="s">
        <v>50</v>
      </c>
      <c r="D3061" s="3" t="s">
        <v>98</v>
      </c>
      <c r="E3061" s="3" t="n">
        <v>1</v>
      </c>
      <c r="F3061" s="1" t="n">
        <f aca="false">Y3061-X3061</f>
        <v>5</v>
      </c>
      <c r="G3061" s="1" t="n">
        <v>5</v>
      </c>
      <c r="H3061" s="3" t="s">
        <v>48</v>
      </c>
      <c r="I3061" s="3" t="s">
        <v>49</v>
      </c>
      <c r="J3061" s="3" t="s">
        <v>38</v>
      </c>
      <c r="K3061" s="2" t="str">
        <f aca="false">CONCATENATE(I3061," ",J3061)</f>
        <v>Alopecosa sp</v>
      </c>
      <c r="L3061" s="3" t="n">
        <f aca="false">SUM(P3061:U3061)</f>
        <v>1</v>
      </c>
      <c r="M3061" s="11" t="n">
        <f aca="false">(L3061/(F3061*G3061)*25)*4</f>
        <v>4</v>
      </c>
      <c r="N3061" s="1" t="s">
        <v>19</v>
      </c>
      <c r="O3061" s="1" t="s">
        <v>54</v>
      </c>
      <c r="P3061" s="3" t="n">
        <v>0</v>
      </c>
      <c r="Q3061" s="3" t="n">
        <v>0</v>
      </c>
      <c r="R3061" s="3" t="n">
        <v>0</v>
      </c>
      <c r="S3061" s="3" t="n">
        <v>0</v>
      </c>
      <c r="T3061" s="3" t="n">
        <v>1</v>
      </c>
      <c r="U3061" s="3" t="n">
        <v>0</v>
      </c>
      <c r="V3061" s="3" t="n">
        <f aca="false">SUM(P3061:Q3061)</f>
        <v>0</v>
      </c>
      <c r="W3061" s="3" t="n">
        <f aca="false">SUM(R3061:T3061)</f>
        <v>1</v>
      </c>
      <c r="X3061" s="22" t="n">
        <v>41793</v>
      </c>
      <c r="Y3061" s="22" t="n">
        <v>41798</v>
      </c>
    </row>
    <row r="3062" customFormat="false" ht="14.25" hidden="false" customHeight="false" outlineLevel="0" collapsed="false">
      <c r="A3062" s="1" t="n">
        <v>2014</v>
      </c>
      <c r="B3062" s="1" t="n">
        <v>1</v>
      </c>
      <c r="C3062" s="2" t="s">
        <v>50</v>
      </c>
      <c r="D3062" s="3" t="s">
        <v>98</v>
      </c>
      <c r="E3062" s="3" t="n">
        <v>1</v>
      </c>
      <c r="F3062" s="1" t="n">
        <f aca="false">Y3062-X3062</f>
        <v>5</v>
      </c>
      <c r="G3062" s="1" t="n">
        <v>5</v>
      </c>
      <c r="H3062" s="3" t="s">
        <v>36</v>
      </c>
      <c r="I3062" s="3" t="s">
        <v>131</v>
      </c>
      <c r="J3062" s="3" t="s">
        <v>133</v>
      </c>
      <c r="K3062" s="2" t="str">
        <f aca="false">CONCATENATE(I3062," ",J3062)</f>
        <v>Xysticus luctuosus</v>
      </c>
      <c r="L3062" s="3" t="n">
        <f aca="false">SUM(P3062:U3062)</f>
        <v>4</v>
      </c>
      <c r="M3062" s="11" t="n">
        <f aca="false">(L3062/(F3062*G3062)*25)*4</f>
        <v>16</v>
      </c>
      <c r="N3062" s="1" t="s">
        <v>30</v>
      </c>
      <c r="O3062" s="1" t="s">
        <v>31</v>
      </c>
      <c r="P3062" s="3" t="n">
        <v>4</v>
      </c>
      <c r="Q3062" s="3" t="n">
        <v>0</v>
      </c>
      <c r="R3062" s="3" t="n">
        <v>0</v>
      </c>
      <c r="S3062" s="3" t="n">
        <v>0</v>
      </c>
      <c r="T3062" s="3" t="n">
        <v>0</v>
      </c>
      <c r="U3062" s="3" t="n">
        <v>0</v>
      </c>
      <c r="V3062" s="3" t="n">
        <f aca="false">SUM(P3062:Q3062)</f>
        <v>4</v>
      </c>
      <c r="W3062" s="3" t="n">
        <f aca="false">SUM(R3062:T3062)</f>
        <v>0</v>
      </c>
      <c r="X3062" s="22" t="n">
        <v>41793</v>
      </c>
      <c r="Y3062" s="22" t="n">
        <v>41798</v>
      </c>
    </row>
    <row r="3063" customFormat="false" ht="14.25" hidden="false" customHeight="false" outlineLevel="0" collapsed="false">
      <c r="A3063" s="1" t="n">
        <v>2014</v>
      </c>
      <c r="B3063" s="1" t="n">
        <v>1</v>
      </c>
      <c r="C3063" s="2" t="s">
        <v>50</v>
      </c>
      <c r="D3063" s="3" t="s">
        <v>98</v>
      </c>
      <c r="E3063" s="3" t="n">
        <v>1</v>
      </c>
      <c r="F3063" s="1" t="n">
        <f aca="false">Y3063-X3063</f>
        <v>5</v>
      </c>
      <c r="G3063" s="1" t="n">
        <v>5</v>
      </c>
      <c r="H3063" s="3" t="s">
        <v>32</v>
      </c>
      <c r="I3063" s="3" t="s">
        <v>62</v>
      </c>
      <c r="J3063" s="3" t="s">
        <v>63</v>
      </c>
      <c r="K3063" s="2" t="str">
        <f aca="false">CONCATENATE(I3063," ",J3063)</f>
        <v>Microneta viaria</v>
      </c>
      <c r="L3063" s="3" t="n">
        <f aca="false">SUM(P3063:U3063)</f>
        <v>1</v>
      </c>
      <c r="M3063" s="11" t="n">
        <f aca="false">(L3063/(F3063*G3063)*25)*4</f>
        <v>4</v>
      </c>
      <c r="N3063" s="1" t="s">
        <v>30</v>
      </c>
      <c r="O3063" s="1" t="s">
        <v>35</v>
      </c>
      <c r="P3063" s="3" t="n">
        <v>0</v>
      </c>
      <c r="Q3063" s="3" t="n">
        <v>1</v>
      </c>
      <c r="R3063" s="3" t="n">
        <v>0</v>
      </c>
      <c r="S3063" s="3" t="n">
        <v>0</v>
      </c>
      <c r="T3063" s="3" t="n">
        <v>0</v>
      </c>
      <c r="U3063" s="3" t="n">
        <v>0</v>
      </c>
      <c r="V3063" s="3" t="n">
        <f aca="false">SUM(P3063:Q3063)</f>
        <v>1</v>
      </c>
      <c r="W3063" s="3" t="n">
        <f aca="false">SUM(R3063:T3063)</f>
        <v>0</v>
      </c>
      <c r="X3063" s="22" t="n">
        <v>41793</v>
      </c>
      <c r="Y3063" s="22" t="n">
        <v>41798</v>
      </c>
    </row>
    <row r="3064" customFormat="false" ht="14.25" hidden="false" customHeight="false" outlineLevel="0" collapsed="false">
      <c r="A3064" s="1" t="n">
        <v>2014</v>
      </c>
      <c r="B3064" s="1" t="n">
        <v>1</v>
      </c>
      <c r="C3064" s="2" t="s">
        <v>50</v>
      </c>
      <c r="D3064" s="3" t="s">
        <v>98</v>
      </c>
      <c r="E3064" s="3" t="n">
        <v>1</v>
      </c>
      <c r="F3064" s="1" t="n">
        <f aca="false">Y3064-X3064</f>
        <v>5</v>
      </c>
      <c r="G3064" s="1" t="n">
        <v>5</v>
      </c>
      <c r="H3064" s="3" t="s">
        <v>32</v>
      </c>
      <c r="I3064" s="3" t="s">
        <v>159</v>
      </c>
      <c r="J3064" s="3" t="s">
        <v>160</v>
      </c>
      <c r="K3064" s="2" t="str">
        <f aca="false">CONCATENATE(I3064," ",J3064)</f>
        <v>Metopobactrus prominulus</v>
      </c>
      <c r="L3064" s="3" t="n">
        <f aca="false">SUM(P3064:U3064)</f>
        <v>1</v>
      </c>
      <c r="M3064" s="11" t="n">
        <f aca="false">(L3064/(F3064*G3064)*25)*4</f>
        <v>4</v>
      </c>
      <c r="N3064" s="1" t="s">
        <v>30</v>
      </c>
      <c r="O3064" s="1" t="s">
        <v>35</v>
      </c>
      <c r="P3064" s="3" t="n">
        <v>0</v>
      </c>
      <c r="Q3064" s="3" t="n">
        <v>1</v>
      </c>
      <c r="R3064" s="3" t="n">
        <v>0</v>
      </c>
      <c r="S3064" s="3" t="n">
        <v>0</v>
      </c>
      <c r="T3064" s="3" t="n">
        <v>0</v>
      </c>
      <c r="U3064" s="3" t="n">
        <v>0</v>
      </c>
      <c r="V3064" s="3" t="n">
        <f aca="false">SUM(P3064:Q3064)</f>
        <v>1</v>
      </c>
      <c r="W3064" s="3" t="n">
        <f aca="false">SUM(R3064:T3064)</f>
        <v>0</v>
      </c>
      <c r="X3064" s="22" t="n">
        <v>41793</v>
      </c>
      <c r="Y3064" s="22" t="n">
        <v>41798</v>
      </c>
    </row>
    <row r="3065" customFormat="false" ht="14.25" hidden="false" customHeight="false" outlineLevel="0" collapsed="false">
      <c r="A3065" s="1" t="n">
        <v>2014</v>
      </c>
      <c r="B3065" s="1" t="n">
        <v>1</v>
      </c>
      <c r="C3065" s="2" t="s">
        <v>50</v>
      </c>
      <c r="D3065" s="3" t="s">
        <v>98</v>
      </c>
      <c r="E3065" s="3" t="n">
        <v>3</v>
      </c>
      <c r="F3065" s="1" t="n">
        <f aca="false">Y3065-X3065</f>
        <v>5</v>
      </c>
      <c r="G3065" s="1" t="n">
        <v>5</v>
      </c>
      <c r="H3065" s="3" t="s">
        <v>32</v>
      </c>
      <c r="I3065" s="3" t="s">
        <v>107</v>
      </c>
      <c r="J3065" s="3" t="s">
        <v>260</v>
      </c>
      <c r="K3065" s="2" t="str">
        <f aca="false">CONCATENATE(I3065," ",J3065)</f>
        <v>Macrargus multesimus</v>
      </c>
      <c r="L3065" s="3" t="n">
        <f aca="false">SUM(P3065:U3065)</f>
        <v>1</v>
      </c>
      <c r="M3065" s="11" t="n">
        <f aca="false">(L3065/(F3065*G3065)*25)*4</f>
        <v>4</v>
      </c>
      <c r="N3065" s="1" t="s">
        <v>30</v>
      </c>
      <c r="O3065" s="1" t="s">
        <v>35</v>
      </c>
      <c r="P3065" s="3" t="n">
        <v>0</v>
      </c>
      <c r="Q3065" s="3" t="n">
        <v>1</v>
      </c>
      <c r="R3065" s="3" t="n">
        <v>0</v>
      </c>
      <c r="S3065" s="3" t="n">
        <v>0</v>
      </c>
      <c r="T3065" s="3" t="n">
        <v>0</v>
      </c>
      <c r="U3065" s="3" t="n">
        <v>0</v>
      </c>
      <c r="V3065" s="3" t="n">
        <f aca="false">SUM(P3065:Q3065)</f>
        <v>1</v>
      </c>
      <c r="W3065" s="3" t="n">
        <f aca="false">SUM(R3065:T3065)</f>
        <v>0</v>
      </c>
      <c r="X3065" s="22" t="n">
        <v>41793</v>
      </c>
      <c r="Y3065" s="22" t="n">
        <v>41798</v>
      </c>
    </row>
    <row r="3066" customFormat="false" ht="14.25" hidden="false" customHeight="false" outlineLevel="0" collapsed="false">
      <c r="A3066" s="1" t="n">
        <v>2014</v>
      </c>
      <c r="B3066" s="1" t="n">
        <v>1</v>
      </c>
      <c r="C3066" s="2" t="s">
        <v>50</v>
      </c>
      <c r="D3066" s="3" t="s">
        <v>98</v>
      </c>
      <c r="E3066" s="3" t="n">
        <v>3</v>
      </c>
      <c r="F3066" s="1" t="n">
        <f aca="false">Y3066-X3066</f>
        <v>5</v>
      </c>
      <c r="G3066" s="1" t="n">
        <v>5</v>
      </c>
      <c r="H3066" s="3" t="s">
        <v>48</v>
      </c>
      <c r="I3066" s="3" t="s">
        <v>49</v>
      </c>
      <c r="J3066" s="3" t="s">
        <v>104</v>
      </c>
      <c r="K3066" s="2" t="str">
        <f aca="false">CONCATENATE(I3066," ",J3066)</f>
        <v>Alopecosa taeniata</v>
      </c>
      <c r="L3066" s="3" t="n">
        <f aca="false">SUM(P3066:U3066)</f>
        <v>1</v>
      </c>
      <c r="M3066" s="11" t="n">
        <f aca="false">(L3066/(F3066*G3066)*25)*4</f>
        <v>4</v>
      </c>
      <c r="N3066" s="1" t="s">
        <v>30</v>
      </c>
      <c r="O3066" s="1" t="s">
        <v>35</v>
      </c>
      <c r="P3066" s="3" t="n">
        <v>0</v>
      </c>
      <c r="Q3066" s="3" t="n">
        <v>1</v>
      </c>
      <c r="R3066" s="3" t="n">
        <v>0</v>
      </c>
      <c r="S3066" s="3" t="n">
        <v>0</v>
      </c>
      <c r="T3066" s="3" t="n">
        <v>0</v>
      </c>
      <c r="U3066" s="3" t="n">
        <v>0</v>
      </c>
      <c r="V3066" s="3" t="n">
        <f aca="false">SUM(P3066:Q3066)</f>
        <v>1</v>
      </c>
      <c r="W3066" s="3" t="n">
        <f aca="false">SUM(R3066:T3066)</f>
        <v>0</v>
      </c>
      <c r="X3066" s="22" t="n">
        <v>41793</v>
      </c>
      <c r="Y3066" s="22" t="n">
        <v>41798</v>
      </c>
    </row>
    <row r="3067" customFormat="false" ht="14.25" hidden="false" customHeight="false" outlineLevel="0" collapsed="false">
      <c r="A3067" s="1" t="n">
        <v>2014</v>
      </c>
      <c r="B3067" s="1" t="n">
        <v>1</v>
      </c>
      <c r="C3067" s="2" t="s">
        <v>50</v>
      </c>
      <c r="D3067" s="3" t="s">
        <v>98</v>
      </c>
      <c r="E3067" s="3" t="n">
        <v>3</v>
      </c>
      <c r="F3067" s="1" t="n">
        <f aca="false">Y3067-X3067</f>
        <v>5</v>
      </c>
      <c r="G3067" s="1" t="n">
        <v>5</v>
      </c>
      <c r="H3067" s="3" t="s">
        <v>48</v>
      </c>
      <c r="I3067" s="3" t="s">
        <v>67</v>
      </c>
      <c r="J3067" s="3" t="s">
        <v>127</v>
      </c>
      <c r="K3067" s="2" t="str">
        <f aca="false">CONCATENATE(I3067," ",J3067)</f>
        <v>Pardosa lugubris</v>
      </c>
      <c r="L3067" s="3" t="n">
        <f aca="false">SUM(P3067:U3067)</f>
        <v>4</v>
      </c>
      <c r="M3067" s="11" t="n">
        <f aca="false">(L3067/(F3067*G3067)*25)*4</f>
        <v>16</v>
      </c>
      <c r="N3067" s="1" t="s">
        <v>30</v>
      </c>
      <c r="O3067" s="1" t="s">
        <v>31</v>
      </c>
      <c r="P3067" s="3" t="n">
        <v>4</v>
      </c>
      <c r="Q3067" s="3" t="n">
        <v>0</v>
      </c>
      <c r="R3067" s="3" t="n">
        <v>0</v>
      </c>
      <c r="S3067" s="3" t="n">
        <v>0</v>
      </c>
      <c r="T3067" s="3" t="n">
        <v>0</v>
      </c>
      <c r="U3067" s="3" t="n">
        <v>0</v>
      </c>
      <c r="V3067" s="3" t="n">
        <f aca="false">SUM(P3067:Q3067)</f>
        <v>4</v>
      </c>
      <c r="W3067" s="3" t="n">
        <f aca="false">SUM(R3067:T3067)</f>
        <v>0</v>
      </c>
      <c r="X3067" s="22" t="n">
        <v>41793</v>
      </c>
      <c r="Y3067" s="22" t="n">
        <v>41798</v>
      </c>
    </row>
    <row r="3068" customFormat="false" ht="14.25" hidden="false" customHeight="false" outlineLevel="0" collapsed="false">
      <c r="A3068" s="1" t="n">
        <v>2014</v>
      </c>
      <c r="B3068" s="1" t="n">
        <v>1</v>
      </c>
      <c r="C3068" s="2" t="s">
        <v>50</v>
      </c>
      <c r="D3068" s="3" t="s">
        <v>98</v>
      </c>
      <c r="E3068" s="3" t="n">
        <v>3</v>
      </c>
      <c r="F3068" s="1" t="n">
        <f aca="false">Y3068-X3068</f>
        <v>5</v>
      </c>
      <c r="G3068" s="1" t="n">
        <v>5</v>
      </c>
      <c r="H3068" s="3" t="s">
        <v>48</v>
      </c>
      <c r="I3068" s="3" t="s">
        <v>57</v>
      </c>
      <c r="J3068" s="3" t="s">
        <v>38</v>
      </c>
      <c r="K3068" s="2" t="str">
        <f aca="false">CONCATENATE(I3068," ",J3068)</f>
        <v>Gen sp</v>
      </c>
      <c r="L3068" s="3" t="n">
        <f aca="false">SUM(P3068:U3068)</f>
        <v>1</v>
      </c>
      <c r="M3068" s="11" t="n">
        <f aca="false">(L3068/(F3068*G3068)*25)*4</f>
        <v>4</v>
      </c>
      <c r="N3068" s="1" t="s">
        <v>19</v>
      </c>
      <c r="O3068" s="1" t="s">
        <v>54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1</v>
      </c>
      <c r="U3068" s="3" t="n">
        <v>0</v>
      </c>
      <c r="V3068" s="3" t="n">
        <f aca="false">SUM(P3068:Q3068)</f>
        <v>0</v>
      </c>
      <c r="W3068" s="3" t="n">
        <f aca="false">SUM(R3068:T3068)</f>
        <v>1</v>
      </c>
      <c r="X3068" s="22" t="n">
        <v>41793</v>
      </c>
      <c r="Y3068" s="22" t="n">
        <v>41798</v>
      </c>
    </row>
    <row r="3069" customFormat="false" ht="14.25" hidden="false" customHeight="false" outlineLevel="0" collapsed="false">
      <c r="A3069" s="1" t="n">
        <v>2014</v>
      </c>
      <c r="B3069" s="1" t="n">
        <v>1</v>
      </c>
      <c r="C3069" s="2" t="s">
        <v>50</v>
      </c>
      <c r="D3069" s="3" t="s">
        <v>98</v>
      </c>
      <c r="E3069" s="3" t="n">
        <v>3</v>
      </c>
      <c r="F3069" s="1" t="n">
        <f aca="false">Y3069-X3069</f>
        <v>5</v>
      </c>
      <c r="G3069" s="1" t="n">
        <v>5</v>
      </c>
      <c r="H3069" s="3" t="s">
        <v>72</v>
      </c>
      <c r="I3069" s="3" t="s">
        <v>73</v>
      </c>
      <c r="J3069" s="3" t="s">
        <v>38</v>
      </c>
      <c r="K3069" s="2" t="str">
        <f aca="false">CONCATENATE(I3069," ",J3069)</f>
        <v>Zelotes sp</v>
      </c>
      <c r="L3069" s="3" t="n">
        <f aca="false">SUM(P3069:U3069)</f>
        <v>1</v>
      </c>
      <c r="M3069" s="11" t="n">
        <f aca="false">(L3069/(F3069*G3069)*25)*4</f>
        <v>4</v>
      </c>
      <c r="N3069" s="1" t="s">
        <v>19</v>
      </c>
      <c r="O3069" s="1" t="s">
        <v>31</v>
      </c>
      <c r="P3069" s="3" t="n">
        <v>0</v>
      </c>
      <c r="Q3069" s="3" t="n">
        <v>0</v>
      </c>
      <c r="R3069" s="3" t="n">
        <v>1</v>
      </c>
      <c r="S3069" s="3" t="n">
        <v>0</v>
      </c>
      <c r="T3069" s="3" t="n">
        <v>0</v>
      </c>
      <c r="U3069" s="3" t="n">
        <v>0</v>
      </c>
      <c r="V3069" s="3" t="n">
        <f aca="false">SUM(P3069:Q3069)</f>
        <v>0</v>
      </c>
      <c r="W3069" s="3" t="n">
        <f aca="false">SUM(R3069:T3069)</f>
        <v>1</v>
      </c>
      <c r="X3069" s="22" t="n">
        <v>41793</v>
      </c>
      <c r="Y3069" s="22" t="n">
        <v>41798</v>
      </c>
    </row>
    <row r="3070" customFormat="false" ht="14.25" hidden="false" customHeight="false" outlineLevel="0" collapsed="false">
      <c r="A3070" s="1" t="n">
        <v>2014</v>
      </c>
      <c r="B3070" s="1" t="n">
        <v>1</v>
      </c>
      <c r="C3070" s="2" t="s">
        <v>50</v>
      </c>
      <c r="D3070" s="3" t="s">
        <v>98</v>
      </c>
      <c r="E3070" s="3" t="n">
        <v>3</v>
      </c>
      <c r="F3070" s="1" t="n">
        <f aca="false">Y3070-X3070</f>
        <v>5</v>
      </c>
      <c r="G3070" s="1" t="n">
        <v>5</v>
      </c>
      <c r="H3070" s="3" t="s">
        <v>72</v>
      </c>
      <c r="I3070" s="3" t="s">
        <v>86</v>
      </c>
      <c r="J3070" s="3" t="s">
        <v>38</v>
      </c>
      <c r="K3070" s="2" t="str">
        <f aca="false">CONCATENATE(I3070," ",J3070)</f>
        <v>Haplodrassus sp</v>
      </c>
      <c r="L3070" s="3" t="n">
        <f aca="false">SUM(P3070:U3070)</f>
        <v>1</v>
      </c>
      <c r="M3070" s="11" t="n">
        <f aca="false">(L3070/(F3070*G3070)*25)*4</f>
        <v>4</v>
      </c>
      <c r="N3070" s="1" t="s">
        <v>19</v>
      </c>
      <c r="O3070" s="1" t="s">
        <v>31</v>
      </c>
      <c r="P3070" s="3" t="n">
        <v>0</v>
      </c>
      <c r="Q3070" s="3" t="n">
        <v>0</v>
      </c>
      <c r="R3070" s="3" t="n">
        <v>1</v>
      </c>
      <c r="S3070" s="3" t="n">
        <v>0</v>
      </c>
      <c r="T3070" s="3" t="n">
        <v>0</v>
      </c>
      <c r="U3070" s="3" t="n">
        <v>0</v>
      </c>
      <c r="V3070" s="3" t="n">
        <f aca="false">SUM(P3070:Q3070)</f>
        <v>0</v>
      </c>
      <c r="W3070" s="3" t="n">
        <f aca="false">SUM(R3070:T3070)</f>
        <v>1</v>
      </c>
      <c r="X3070" s="22" t="n">
        <v>41793</v>
      </c>
      <c r="Y3070" s="22" t="n">
        <v>41798</v>
      </c>
    </row>
    <row r="3071" customFormat="false" ht="14.25" hidden="false" customHeight="false" outlineLevel="0" collapsed="false">
      <c r="A3071" s="1" t="n">
        <v>2014</v>
      </c>
      <c r="B3071" s="1" t="n">
        <v>1</v>
      </c>
      <c r="C3071" s="2" t="s">
        <v>50</v>
      </c>
      <c r="D3071" s="3" t="s">
        <v>98</v>
      </c>
      <c r="E3071" s="3" t="n">
        <v>3</v>
      </c>
      <c r="F3071" s="1" t="n">
        <f aca="false">Y3071-X3071</f>
        <v>5</v>
      </c>
      <c r="G3071" s="1" t="n">
        <v>5</v>
      </c>
      <c r="H3071" s="3" t="s">
        <v>32</v>
      </c>
      <c r="I3071" s="3" t="s">
        <v>169</v>
      </c>
      <c r="J3071" s="3" t="s">
        <v>170</v>
      </c>
      <c r="K3071" s="2" t="str">
        <f aca="false">CONCATENATE(I3071," ",J3071)</f>
        <v>Abacoproeces saltuum</v>
      </c>
      <c r="L3071" s="3" t="n">
        <f aca="false">SUM(P3071:U3071)</f>
        <v>1</v>
      </c>
      <c r="M3071" s="11" t="n">
        <f aca="false">(L3071/(F3071*G3071)*25)*4</f>
        <v>4</v>
      </c>
      <c r="N3071" s="1" t="s">
        <v>30</v>
      </c>
      <c r="O3071" s="1" t="s">
        <v>31</v>
      </c>
      <c r="P3071" s="3" t="n">
        <v>1</v>
      </c>
      <c r="Q3071" s="3" t="n">
        <v>0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f aca="false">SUM(P3071:Q3071)</f>
        <v>1</v>
      </c>
      <c r="W3071" s="3" t="n">
        <f aca="false">SUM(R3071:T3071)</f>
        <v>0</v>
      </c>
      <c r="X3071" s="22" t="n">
        <v>41793</v>
      </c>
      <c r="Y3071" s="22" t="n">
        <v>41798</v>
      </c>
    </row>
    <row r="3072" customFormat="false" ht="14.25" hidden="false" customHeight="false" outlineLevel="0" collapsed="false">
      <c r="A3072" s="1" t="n">
        <v>2014</v>
      </c>
      <c r="B3072" s="1" t="n">
        <v>1</v>
      </c>
      <c r="C3072" s="2" t="s">
        <v>50</v>
      </c>
      <c r="D3072" s="3" t="s">
        <v>98</v>
      </c>
      <c r="E3072" s="3" t="n">
        <v>3</v>
      </c>
      <c r="F3072" s="1" t="n">
        <f aca="false">Y3072-X3072</f>
        <v>5</v>
      </c>
      <c r="G3072" s="1" t="n">
        <v>5</v>
      </c>
      <c r="H3072" s="3" t="s">
        <v>36</v>
      </c>
      <c r="I3072" s="3" t="s">
        <v>131</v>
      </c>
      <c r="J3072" s="3" t="s">
        <v>133</v>
      </c>
      <c r="K3072" s="2" t="str">
        <f aca="false">CONCATENATE(I3072," ",J3072)</f>
        <v>Xysticus luctuosus</v>
      </c>
      <c r="L3072" s="3" t="n">
        <f aca="false">SUM(P3072:U3072)</f>
        <v>1</v>
      </c>
      <c r="M3072" s="11" t="n">
        <f aca="false">(L3072/(F3072*G3072)*25)*4</f>
        <v>4</v>
      </c>
      <c r="N3072" s="1" t="s">
        <v>30</v>
      </c>
      <c r="O3072" s="1" t="s">
        <v>31</v>
      </c>
      <c r="P3072" s="3" t="n">
        <v>1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f aca="false">SUM(P3072:Q3072)</f>
        <v>1</v>
      </c>
      <c r="W3072" s="3" t="n">
        <f aca="false">SUM(R3072:T3072)</f>
        <v>0</v>
      </c>
      <c r="X3072" s="22" t="n">
        <v>41793</v>
      </c>
      <c r="Y3072" s="22" t="n">
        <v>41798</v>
      </c>
    </row>
    <row r="3073" customFormat="false" ht="14.25" hidden="false" customHeight="false" outlineLevel="0" collapsed="false">
      <c r="A3073" s="1" t="n">
        <v>2014</v>
      </c>
      <c r="B3073" s="1" t="n">
        <v>1</v>
      </c>
      <c r="C3073" s="2" t="s">
        <v>50</v>
      </c>
      <c r="D3073" s="3" t="s">
        <v>98</v>
      </c>
      <c r="E3073" s="3" t="n">
        <v>3</v>
      </c>
      <c r="F3073" s="1" t="n">
        <f aca="false">Y3073-X3073</f>
        <v>5</v>
      </c>
      <c r="G3073" s="1" t="n">
        <v>5</v>
      </c>
      <c r="H3073" s="3" t="s">
        <v>48</v>
      </c>
      <c r="I3073" s="3" t="s">
        <v>49</v>
      </c>
      <c r="J3073" s="3" t="s">
        <v>119</v>
      </c>
      <c r="K3073" s="2" t="str">
        <f aca="false">CONCATENATE(I3073," ",J3073)</f>
        <v>Alopecosa sulzeri</v>
      </c>
      <c r="L3073" s="3" t="n">
        <f aca="false">SUM(P3073:U3073)</f>
        <v>1</v>
      </c>
      <c r="M3073" s="11" t="n">
        <f aca="false">(L3073/(F3073*G3073)*25)*4</f>
        <v>4</v>
      </c>
      <c r="N3073" s="1" t="s">
        <v>30</v>
      </c>
      <c r="O3073" s="1" t="s">
        <v>31</v>
      </c>
      <c r="P3073" s="3" t="n">
        <v>1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f aca="false">SUM(P3073:Q3073)</f>
        <v>1</v>
      </c>
      <c r="W3073" s="3" t="n">
        <f aca="false">SUM(R3073:T3073)</f>
        <v>0</v>
      </c>
      <c r="X3073" s="22" t="n">
        <v>41793</v>
      </c>
      <c r="Y3073" s="22" t="n">
        <v>41798</v>
      </c>
    </row>
    <row r="3074" customFormat="false" ht="14.25" hidden="false" customHeight="false" outlineLevel="0" collapsed="false">
      <c r="A3074" s="1" t="n">
        <v>2014</v>
      </c>
      <c r="B3074" s="1" t="n">
        <v>1</v>
      </c>
      <c r="C3074" s="2" t="s">
        <v>50</v>
      </c>
      <c r="D3074" s="3" t="s">
        <v>98</v>
      </c>
      <c r="E3074" s="3" t="n">
        <v>3</v>
      </c>
      <c r="F3074" s="1" t="n">
        <f aca="false">Y3074-X3074</f>
        <v>5</v>
      </c>
      <c r="G3074" s="1" t="n">
        <v>5</v>
      </c>
      <c r="H3074" s="3" t="s">
        <v>48</v>
      </c>
      <c r="I3074" s="3" t="s">
        <v>67</v>
      </c>
      <c r="J3074" s="3" t="s">
        <v>127</v>
      </c>
      <c r="K3074" s="2" t="str">
        <f aca="false">CONCATENATE(I3074," ",J3074)</f>
        <v>Pardosa lugubris</v>
      </c>
      <c r="L3074" s="3" t="n">
        <f aca="false">SUM(P3074:U3074)</f>
        <v>2</v>
      </c>
      <c r="M3074" s="11" t="n">
        <f aca="false">(L3074/(F3074*G3074)*25)*4</f>
        <v>8</v>
      </c>
      <c r="N3074" s="1" t="s">
        <v>30</v>
      </c>
      <c r="O3074" s="1" t="s">
        <v>35</v>
      </c>
      <c r="P3074" s="3" t="n">
        <v>0</v>
      </c>
      <c r="Q3074" s="3" t="n">
        <v>2</v>
      </c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f aca="false">SUM(P3074:Q3074)</f>
        <v>2</v>
      </c>
      <c r="W3074" s="3" t="n">
        <f aca="false">SUM(R3074:T3074)</f>
        <v>0</v>
      </c>
      <c r="X3074" s="22" t="n">
        <v>41793</v>
      </c>
      <c r="Y3074" s="22" t="n">
        <v>41798</v>
      </c>
    </row>
    <row r="3075" customFormat="false" ht="14.25" hidden="false" customHeight="false" outlineLevel="0" collapsed="false">
      <c r="A3075" s="1" t="n">
        <v>2014</v>
      </c>
      <c r="B3075" s="1" t="n">
        <v>1</v>
      </c>
      <c r="C3075" s="2" t="s">
        <v>50</v>
      </c>
      <c r="D3075" s="3" t="s">
        <v>98</v>
      </c>
      <c r="E3075" s="3" t="n">
        <v>3</v>
      </c>
      <c r="F3075" s="1" t="n">
        <f aca="false">Y3075-X3075</f>
        <v>5</v>
      </c>
      <c r="G3075" s="1" t="n">
        <v>5</v>
      </c>
      <c r="H3075" s="3" t="s">
        <v>48</v>
      </c>
      <c r="I3075" s="3" t="s">
        <v>67</v>
      </c>
      <c r="J3075" s="3" t="s">
        <v>127</v>
      </c>
      <c r="K3075" s="2" t="str">
        <f aca="false">CONCATENATE(I3075," ",J3075)</f>
        <v>Pardosa lugubris</v>
      </c>
      <c r="L3075" s="3" t="n">
        <f aca="false">SUM(P3075:U3075)</f>
        <v>3</v>
      </c>
      <c r="M3075" s="11" t="n">
        <f aca="false">(L3075/(F3075*G3075)*25)*4</f>
        <v>12</v>
      </c>
      <c r="N3075" s="1" t="s">
        <v>30</v>
      </c>
      <c r="O3075" s="1" t="s">
        <v>31</v>
      </c>
      <c r="P3075" s="3" t="n">
        <v>3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f aca="false">SUM(P3075:Q3075)</f>
        <v>3</v>
      </c>
      <c r="W3075" s="3" t="n">
        <f aca="false">SUM(R3075:T3075)</f>
        <v>0</v>
      </c>
      <c r="X3075" s="22" t="n">
        <v>41793</v>
      </c>
      <c r="Y3075" s="22" t="n">
        <v>41798</v>
      </c>
    </row>
    <row r="3076" customFormat="false" ht="14.25" hidden="false" customHeight="false" outlineLevel="0" collapsed="false">
      <c r="A3076" s="1" t="n">
        <v>2014</v>
      </c>
      <c r="B3076" s="1" t="n">
        <v>1</v>
      </c>
      <c r="C3076" s="2" t="s">
        <v>50</v>
      </c>
      <c r="D3076" s="3" t="s">
        <v>98</v>
      </c>
      <c r="E3076" s="3" t="n">
        <v>3</v>
      </c>
      <c r="F3076" s="1" t="n">
        <f aca="false">Y3076-X3076</f>
        <v>5</v>
      </c>
      <c r="G3076" s="1" t="n">
        <v>5</v>
      </c>
      <c r="H3076" s="3" t="s">
        <v>48</v>
      </c>
      <c r="I3076" s="3" t="s">
        <v>57</v>
      </c>
      <c r="J3076" s="3" t="s">
        <v>38</v>
      </c>
      <c r="K3076" s="2" t="str">
        <f aca="false">CONCATENATE(I3076," ",J3076)</f>
        <v>Gen sp</v>
      </c>
      <c r="L3076" s="3" t="n">
        <f aca="false">SUM(P3076:U3076)</f>
        <v>2</v>
      </c>
      <c r="M3076" s="11" t="n">
        <f aca="false">(L3076/(F3076*G3076)*25)*4</f>
        <v>8</v>
      </c>
      <c r="N3076" s="1" t="s">
        <v>19</v>
      </c>
      <c r="O3076" s="1" t="s">
        <v>54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2</v>
      </c>
      <c r="U3076" s="3" t="n">
        <v>0</v>
      </c>
      <c r="V3076" s="3" t="n">
        <f aca="false">SUM(P3076:Q3076)</f>
        <v>0</v>
      </c>
      <c r="W3076" s="3" t="n">
        <f aca="false">SUM(R3076:T3076)</f>
        <v>2</v>
      </c>
      <c r="X3076" s="22" t="n">
        <v>41793</v>
      </c>
      <c r="Y3076" s="22" t="n">
        <v>41798</v>
      </c>
    </row>
    <row r="3077" customFormat="false" ht="14.25" hidden="false" customHeight="false" outlineLevel="0" collapsed="false">
      <c r="A3077" s="1" t="n">
        <v>2014</v>
      </c>
      <c r="B3077" s="1" t="n">
        <v>1</v>
      </c>
      <c r="C3077" s="2" t="s">
        <v>50</v>
      </c>
      <c r="D3077" s="3" t="s">
        <v>98</v>
      </c>
      <c r="E3077" s="3" t="n">
        <v>3</v>
      </c>
      <c r="F3077" s="1" t="n">
        <f aca="false">Y3077-X3077</f>
        <v>5</v>
      </c>
      <c r="G3077" s="1" t="n">
        <v>5</v>
      </c>
      <c r="H3077" s="3" t="s">
        <v>36</v>
      </c>
      <c r="I3077" s="3" t="s">
        <v>131</v>
      </c>
      <c r="J3077" s="3" t="s">
        <v>133</v>
      </c>
      <c r="K3077" s="2" t="str">
        <f aca="false">CONCATENATE(I3077," ",J3077)</f>
        <v>Xysticus luctuosus</v>
      </c>
      <c r="L3077" s="3" t="n">
        <f aca="false">SUM(P3077:U3077)</f>
        <v>2</v>
      </c>
      <c r="M3077" s="11" t="n">
        <f aca="false">(L3077/(F3077*G3077)*25)*4</f>
        <v>8</v>
      </c>
      <c r="N3077" s="1" t="s">
        <v>30</v>
      </c>
      <c r="O3077" s="1" t="s">
        <v>31</v>
      </c>
      <c r="P3077" s="3" t="n">
        <v>2</v>
      </c>
      <c r="Q3077" s="3" t="n">
        <v>0</v>
      </c>
      <c r="R3077" s="3" t="n">
        <v>0</v>
      </c>
      <c r="S3077" s="3" t="n">
        <v>0</v>
      </c>
      <c r="T3077" s="3" t="n">
        <v>0</v>
      </c>
      <c r="U3077" s="3" t="n">
        <v>0</v>
      </c>
      <c r="V3077" s="3" t="n">
        <f aca="false">SUM(P3077:Q3077)</f>
        <v>2</v>
      </c>
      <c r="W3077" s="3" t="n">
        <f aca="false">SUM(R3077:T3077)</f>
        <v>0</v>
      </c>
      <c r="X3077" s="22" t="n">
        <v>41793</v>
      </c>
      <c r="Y3077" s="22" t="n">
        <v>41798</v>
      </c>
    </row>
    <row r="3078" customFormat="false" ht="14.25" hidden="false" customHeight="false" outlineLevel="0" collapsed="false">
      <c r="A3078" s="1" t="n">
        <v>2014</v>
      </c>
      <c r="B3078" s="1" t="n">
        <v>1</v>
      </c>
      <c r="C3078" s="2" t="s">
        <v>50</v>
      </c>
      <c r="D3078" s="3" t="s">
        <v>98</v>
      </c>
      <c r="E3078" s="3" t="n">
        <v>3</v>
      </c>
      <c r="F3078" s="1" t="n">
        <f aca="false">Y3078-X3078</f>
        <v>5</v>
      </c>
      <c r="G3078" s="1" t="n">
        <v>5</v>
      </c>
      <c r="H3078" s="3" t="s">
        <v>226</v>
      </c>
      <c r="I3078" s="3" t="s">
        <v>65</v>
      </c>
      <c r="J3078" s="3" t="s">
        <v>66</v>
      </c>
      <c r="K3078" s="2" t="str">
        <f aca="false">CONCATENATE(I3078," ",J3078)</f>
        <v>Zora Spinimana</v>
      </c>
      <c r="L3078" s="3" t="n">
        <f aca="false">SUM(P3078:U3078)</f>
        <v>1</v>
      </c>
      <c r="M3078" s="11" t="n">
        <f aca="false">(L3078/(F3078*G3078)*25)*4</f>
        <v>4</v>
      </c>
      <c r="N3078" s="1" t="s">
        <v>30</v>
      </c>
      <c r="O3078" s="1" t="s">
        <v>35</v>
      </c>
      <c r="P3078" s="3" t="n">
        <v>0</v>
      </c>
      <c r="Q3078" s="3" t="n">
        <v>1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f aca="false">SUM(P3078:Q3078)</f>
        <v>1</v>
      </c>
      <c r="W3078" s="3" t="n">
        <f aca="false">SUM(R3078:T3078)</f>
        <v>0</v>
      </c>
      <c r="X3078" s="22" t="n">
        <v>41793</v>
      </c>
      <c r="Y3078" s="22" t="n">
        <v>41798</v>
      </c>
    </row>
    <row r="3079" customFormat="false" ht="14.25" hidden="false" customHeight="false" outlineLevel="0" collapsed="false">
      <c r="A3079" s="1" t="n">
        <v>2014</v>
      </c>
      <c r="B3079" s="1" t="n">
        <v>1</v>
      </c>
      <c r="C3079" s="2" t="s">
        <v>50</v>
      </c>
      <c r="D3079" s="3" t="s">
        <v>98</v>
      </c>
      <c r="E3079" s="3" t="n">
        <v>3</v>
      </c>
      <c r="F3079" s="1" t="n">
        <f aca="false">Y3079-X3079</f>
        <v>5</v>
      </c>
      <c r="G3079" s="1" t="n">
        <v>5</v>
      </c>
      <c r="H3079" s="3" t="s">
        <v>27</v>
      </c>
      <c r="I3079" s="3" t="s">
        <v>46</v>
      </c>
      <c r="J3079" s="3" t="s">
        <v>47</v>
      </c>
      <c r="K3079" s="2" t="str">
        <f aca="false">CONCATENATE(I3079," ",J3079)</f>
        <v>Euryopis flavomaculata</v>
      </c>
      <c r="L3079" s="3" t="n">
        <f aca="false">SUM(P3079:U3079)</f>
        <v>1</v>
      </c>
      <c r="M3079" s="11" t="n">
        <f aca="false">(L3079/(F3079*G3079)*25)*4</f>
        <v>4</v>
      </c>
      <c r="N3079" s="1" t="s">
        <v>30</v>
      </c>
      <c r="O3079" s="1" t="s">
        <v>35</v>
      </c>
      <c r="P3079" s="3" t="n">
        <v>0</v>
      </c>
      <c r="Q3079" s="3" t="n">
        <v>1</v>
      </c>
      <c r="R3079" s="3" t="n">
        <v>0</v>
      </c>
      <c r="S3079" s="3" t="n">
        <v>0</v>
      </c>
      <c r="T3079" s="3" t="n">
        <v>0</v>
      </c>
      <c r="U3079" s="3" t="n">
        <v>0</v>
      </c>
      <c r="V3079" s="3" t="n">
        <f aca="false">SUM(P3079:Q3079)</f>
        <v>1</v>
      </c>
      <c r="W3079" s="3" t="n">
        <f aca="false">SUM(R3079:T3079)</f>
        <v>0</v>
      </c>
      <c r="X3079" s="22" t="n">
        <v>41793</v>
      </c>
      <c r="Y3079" s="22" t="n">
        <v>41798</v>
      </c>
    </row>
    <row r="3080" customFormat="false" ht="14.25" hidden="false" customHeight="false" outlineLevel="0" collapsed="false">
      <c r="A3080" s="1" t="n">
        <v>2014</v>
      </c>
      <c r="B3080" s="1" t="n">
        <v>1</v>
      </c>
      <c r="C3080" s="2" t="s">
        <v>50</v>
      </c>
      <c r="D3080" s="3" t="s">
        <v>98</v>
      </c>
      <c r="E3080" s="3" t="n">
        <v>3</v>
      </c>
      <c r="F3080" s="1" t="n">
        <f aca="false">Y3080-X3080</f>
        <v>5</v>
      </c>
      <c r="G3080" s="1" t="n">
        <v>5</v>
      </c>
      <c r="H3080" s="3" t="s">
        <v>48</v>
      </c>
      <c r="I3080" s="3" t="s">
        <v>67</v>
      </c>
      <c r="J3080" s="3" t="s">
        <v>127</v>
      </c>
      <c r="K3080" s="2" t="str">
        <f aca="false">CONCATENATE(I3080," ",J3080)</f>
        <v>Pardosa lugubris</v>
      </c>
      <c r="L3080" s="3" t="n">
        <f aca="false">SUM(P3080:U3080)</f>
        <v>6</v>
      </c>
      <c r="M3080" s="11" t="n">
        <f aca="false">(L3080/(F3080*G3080)*25)*4</f>
        <v>24</v>
      </c>
      <c r="N3080" s="1" t="s">
        <v>30</v>
      </c>
      <c r="O3080" s="1" t="s">
        <v>31</v>
      </c>
      <c r="P3080" s="3" t="n">
        <v>6</v>
      </c>
      <c r="Q3080" s="3" t="n">
        <v>0</v>
      </c>
      <c r="R3080" s="3" t="n">
        <v>0</v>
      </c>
      <c r="S3080" s="3" t="n">
        <v>0</v>
      </c>
      <c r="T3080" s="3" t="n">
        <v>0</v>
      </c>
      <c r="U3080" s="3" t="n">
        <v>0</v>
      </c>
      <c r="V3080" s="3" t="n">
        <f aca="false">SUM(P3080:Q3080)</f>
        <v>6</v>
      </c>
      <c r="W3080" s="3" t="n">
        <f aca="false">SUM(R3080:T3080)</f>
        <v>0</v>
      </c>
      <c r="X3080" s="22" t="n">
        <v>41793</v>
      </c>
      <c r="Y3080" s="22" t="n">
        <v>41798</v>
      </c>
    </row>
    <row r="3081" customFormat="false" ht="14.25" hidden="false" customHeight="false" outlineLevel="0" collapsed="false">
      <c r="A3081" s="1" t="n">
        <v>2014</v>
      </c>
      <c r="B3081" s="1" t="n">
        <v>1</v>
      </c>
      <c r="C3081" s="2" t="s">
        <v>50</v>
      </c>
      <c r="D3081" s="3" t="s">
        <v>98</v>
      </c>
      <c r="E3081" s="3" t="n">
        <v>3</v>
      </c>
      <c r="F3081" s="1" t="n">
        <f aca="false">Y3081-X3081</f>
        <v>5</v>
      </c>
      <c r="G3081" s="1" t="n">
        <v>5</v>
      </c>
      <c r="H3081" s="3" t="s">
        <v>48</v>
      </c>
      <c r="I3081" s="3" t="s">
        <v>49</v>
      </c>
      <c r="J3081" s="3" t="s">
        <v>104</v>
      </c>
      <c r="K3081" s="2" t="str">
        <f aca="false">CONCATENATE(I3081," ",J3081)</f>
        <v>Alopecosa taeniata</v>
      </c>
      <c r="L3081" s="3" t="n">
        <f aca="false">SUM(P3081:U3081)</f>
        <v>1</v>
      </c>
      <c r="M3081" s="11" t="n">
        <f aca="false">(L3081/(F3081*G3081)*25)*4</f>
        <v>4</v>
      </c>
      <c r="N3081" s="1" t="s">
        <v>30</v>
      </c>
      <c r="O3081" s="1" t="s">
        <v>31</v>
      </c>
      <c r="P3081" s="3" t="n">
        <v>1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0</v>
      </c>
      <c r="V3081" s="3" t="n">
        <f aca="false">SUM(P3081:Q3081)</f>
        <v>1</v>
      </c>
      <c r="W3081" s="3" t="n">
        <f aca="false">SUM(R3081:T3081)</f>
        <v>0</v>
      </c>
      <c r="X3081" s="22" t="n">
        <v>41793</v>
      </c>
      <c r="Y3081" s="22" t="n">
        <v>41798</v>
      </c>
    </row>
    <row r="3082" customFormat="false" ht="14.25" hidden="false" customHeight="false" outlineLevel="0" collapsed="false">
      <c r="A3082" s="1" t="n">
        <v>2014</v>
      </c>
      <c r="B3082" s="1" t="n">
        <v>1</v>
      </c>
      <c r="C3082" s="2" t="s">
        <v>50</v>
      </c>
      <c r="D3082" s="3" t="s">
        <v>98</v>
      </c>
      <c r="E3082" s="3" t="n">
        <v>3</v>
      </c>
      <c r="F3082" s="1" t="n">
        <f aca="false">Y3082-X3082</f>
        <v>5</v>
      </c>
      <c r="G3082" s="1" t="n">
        <v>5</v>
      </c>
      <c r="H3082" s="3" t="s">
        <v>48</v>
      </c>
      <c r="I3082" s="3" t="s">
        <v>61</v>
      </c>
      <c r="J3082" s="3" t="s">
        <v>38</v>
      </c>
      <c r="K3082" s="2" t="str">
        <f aca="false">CONCATENATE(I3082," ",J3082)</f>
        <v>Trochosa sp</v>
      </c>
      <c r="L3082" s="3" t="n">
        <f aca="false">SUM(P3082:U3082)</f>
        <v>1</v>
      </c>
      <c r="M3082" s="11" t="n">
        <f aca="false">(L3082/(F3082*G3082)*25)*4</f>
        <v>4</v>
      </c>
      <c r="N3082" s="1" t="s">
        <v>19</v>
      </c>
      <c r="O3082" s="1" t="s">
        <v>54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1</v>
      </c>
      <c r="U3082" s="3" t="n">
        <v>0</v>
      </c>
      <c r="V3082" s="3" t="n">
        <f aca="false">SUM(P3082:Q3082)</f>
        <v>0</v>
      </c>
      <c r="W3082" s="3" t="n">
        <f aca="false">SUM(R3082:T3082)</f>
        <v>1</v>
      </c>
      <c r="X3082" s="22" t="n">
        <v>41793</v>
      </c>
      <c r="Y3082" s="22" t="n">
        <v>41798</v>
      </c>
    </row>
    <row r="3083" customFormat="false" ht="14.25" hidden="false" customHeight="false" outlineLevel="0" collapsed="false">
      <c r="A3083" s="1" t="n">
        <v>2014</v>
      </c>
      <c r="B3083" s="1" t="n">
        <v>1</v>
      </c>
      <c r="C3083" s="2" t="s">
        <v>50</v>
      </c>
      <c r="D3083" s="3" t="s">
        <v>98</v>
      </c>
      <c r="E3083" s="3" t="n">
        <v>3</v>
      </c>
      <c r="F3083" s="1" t="n">
        <f aca="false">Y3083-X3083</f>
        <v>5</v>
      </c>
      <c r="G3083" s="1" t="n">
        <v>5</v>
      </c>
      <c r="H3083" s="3" t="s">
        <v>135</v>
      </c>
      <c r="I3083" s="3" t="s">
        <v>136</v>
      </c>
      <c r="J3083" s="3" t="s">
        <v>137</v>
      </c>
      <c r="K3083" s="2" t="str">
        <f aca="false">CONCATENATE(I3083," ",J3083)</f>
        <v>Thanatus sabulosus</v>
      </c>
      <c r="L3083" s="3" t="n">
        <f aca="false">SUM(P3083:U3083)</f>
        <v>1</v>
      </c>
      <c r="M3083" s="11" t="n">
        <f aca="false">(L3083/(F3083*G3083)*25)*4</f>
        <v>4</v>
      </c>
      <c r="N3083" s="1" t="s">
        <v>30</v>
      </c>
      <c r="O3083" s="1" t="s">
        <v>35</v>
      </c>
      <c r="P3083" s="3" t="n">
        <v>0</v>
      </c>
      <c r="Q3083" s="3" t="n">
        <v>1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f aca="false">SUM(P3083:Q3083)</f>
        <v>1</v>
      </c>
      <c r="W3083" s="3" t="n">
        <f aca="false">SUM(R3083:T3083)</f>
        <v>0</v>
      </c>
      <c r="X3083" s="22" t="n">
        <v>41793</v>
      </c>
      <c r="Y3083" s="22" t="n">
        <v>41798</v>
      </c>
    </row>
    <row r="3084" customFormat="false" ht="14.25" hidden="false" customHeight="false" outlineLevel="0" collapsed="false">
      <c r="A3084" s="1" t="n">
        <v>2014</v>
      </c>
      <c r="B3084" s="1" t="n">
        <v>1</v>
      </c>
      <c r="C3084" s="2" t="s">
        <v>50</v>
      </c>
      <c r="D3084" s="3" t="s">
        <v>98</v>
      </c>
      <c r="E3084" s="3" t="n">
        <v>3</v>
      </c>
      <c r="F3084" s="1" t="n">
        <f aca="false">Y3084-X3084</f>
        <v>5</v>
      </c>
      <c r="G3084" s="1" t="n">
        <v>5</v>
      </c>
      <c r="H3084" s="3" t="s">
        <v>226</v>
      </c>
      <c r="I3084" s="3" t="s">
        <v>65</v>
      </c>
      <c r="J3084" s="3" t="s">
        <v>123</v>
      </c>
      <c r="K3084" s="2" t="str">
        <f aca="false">CONCATENATE(I3084," ",J3084)</f>
        <v>Zora nemoralis</v>
      </c>
      <c r="L3084" s="3" t="n">
        <f aca="false">SUM(P3084:U3084)</f>
        <v>1</v>
      </c>
      <c r="M3084" s="11" t="n">
        <f aca="false">(L3084/(F3084*G3084)*25)*4</f>
        <v>4</v>
      </c>
      <c r="N3084" s="1" t="s">
        <v>30</v>
      </c>
      <c r="O3084" s="1" t="s">
        <v>31</v>
      </c>
      <c r="P3084" s="3" t="n">
        <v>1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f aca="false">SUM(P3084:Q3084)</f>
        <v>1</v>
      </c>
      <c r="W3084" s="3" t="n">
        <f aca="false">SUM(R3084:T3084)</f>
        <v>0</v>
      </c>
      <c r="X3084" s="22" t="n">
        <v>41793</v>
      </c>
      <c r="Y3084" s="22" t="n">
        <v>41798</v>
      </c>
    </row>
    <row r="3085" customFormat="false" ht="14.25" hidden="false" customHeight="false" outlineLevel="0" collapsed="false">
      <c r="A3085" s="1" t="n">
        <v>2014</v>
      </c>
      <c r="B3085" s="1" t="n">
        <v>1</v>
      </c>
      <c r="C3085" s="2" t="s">
        <v>50</v>
      </c>
      <c r="D3085" s="3" t="s">
        <v>98</v>
      </c>
      <c r="E3085" s="3" t="n">
        <v>3</v>
      </c>
      <c r="F3085" s="1" t="n">
        <f aca="false">Y3085-X3085</f>
        <v>5</v>
      </c>
      <c r="G3085" s="1" t="n">
        <v>5</v>
      </c>
      <c r="H3085" s="3" t="s">
        <v>72</v>
      </c>
      <c r="I3085" s="3" t="s">
        <v>73</v>
      </c>
      <c r="J3085" s="3" t="s">
        <v>38</v>
      </c>
      <c r="K3085" s="2" t="str">
        <f aca="false">CONCATENATE(I3085," ",J3085)</f>
        <v>Zelotes sp</v>
      </c>
      <c r="L3085" s="3" t="n">
        <f aca="false">SUM(P3085:U3085)</f>
        <v>1</v>
      </c>
      <c r="M3085" s="11" t="n">
        <f aca="false">(L3085/(F3085*G3085)*25)*4</f>
        <v>4</v>
      </c>
      <c r="N3085" s="1" t="s">
        <v>19</v>
      </c>
      <c r="O3085" s="1" t="s">
        <v>35</v>
      </c>
      <c r="P3085" s="3" t="n">
        <v>0</v>
      </c>
      <c r="Q3085" s="3" t="n">
        <v>0</v>
      </c>
      <c r="R3085" s="3" t="n">
        <v>0</v>
      </c>
      <c r="S3085" s="3" t="n">
        <v>1</v>
      </c>
      <c r="T3085" s="3" t="n">
        <v>0</v>
      </c>
      <c r="U3085" s="3" t="n">
        <v>0</v>
      </c>
      <c r="V3085" s="3" t="n">
        <f aca="false">SUM(P3085:Q3085)</f>
        <v>0</v>
      </c>
      <c r="W3085" s="3" t="n">
        <f aca="false">SUM(R3085:T3085)</f>
        <v>1</v>
      </c>
      <c r="X3085" s="22" t="n">
        <v>41793</v>
      </c>
      <c r="Y3085" s="22" t="n">
        <v>41798</v>
      </c>
    </row>
    <row r="3086" customFormat="false" ht="14.25" hidden="false" customHeight="false" outlineLevel="0" collapsed="false">
      <c r="A3086" s="1" t="n">
        <v>2014</v>
      </c>
      <c r="B3086" s="1" t="n">
        <v>1</v>
      </c>
      <c r="C3086" s="2" t="s">
        <v>50</v>
      </c>
      <c r="D3086" s="3" t="s">
        <v>98</v>
      </c>
      <c r="E3086" s="3" t="n">
        <v>3</v>
      </c>
      <c r="F3086" s="1" t="n">
        <f aca="false">Y3086-X3086</f>
        <v>5</v>
      </c>
      <c r="G3086" s="1" t="n">
        <v>5</v>
      </c>
      <c r="H3086" s="3" t="s">
        <v>36</v>
      </c>
      <c r="I3086" s="3" t="s">
        <v>131</v>
      </c>
      <c r="J3086" s="3" t="s">
        <v>133</v>
      </c>
      <c r="K3086" s="2" t="str">
        <f aca="false">CONCATENATE(I3086," ",J3086)</f>
        <v>Xysticus luctuosus</v>
      </c>
      <c r="L3086" s="3" t="n">
        <f aca="false">SUM(P3086:U3086)</f>
        <v>1</v>
      </c>
      <c r="M3086" s="11" t="n">
        <f aca="false">(L3086/(F3086*G3086)*25)*4</f>
        <v>4</v>
      </c>
      <c r="N3086" s="1" t="s">
        <v>30</v>
      </c>
      <c r="O3086" s="1" t="s">
        <v>31</v>
      </c>
      <c r="P3086" s="3" t="n">
        <v>1</v>
      </c>
      <c r="Q3086" s="3" t="n">
        <v>0</v>
      </c>
      <c r="R3086" s="3" t="n">
        <v>0</v>
      </c>
      <c r="S3086" s="3" t="n">
        <v>0</v>
      </c>
      <c r="T3086" s="3" t="n">
        <v>0</v>
      </c>
      <c r="U3086" s="3" t="n">
        <v>0</v>
      </c>
      <c r="V3086" s="3" t="n">
        <f aca="false">SUM(P3086:Q3086)</f>
        <v>1</v>
      </c>
      <c r="W3086" s="3" t="n">
        <f aca="false">SUM(R3086:T3086)</f>
        <v>0</v>
      </c>
      <c r="X3086" s="22" t="n">
        <v>41793</v>
      </c>
      <c r="Y3086" s="22" t="n">
        <v>41798</v>
      </c>
    </row>
    <row r="3087" customFormat="false" ht="14.25" hidden="false" customHeight="false" outlineLevel="0" collapsed="false">
      <c r="A3087" s="1" t="n">
        <v>2014</v>
      </c>
      <c r="B3087" s="1" t="n">
        <v>1</v>
      </c>
      <c r="C3087" s="2" t="s">
        <v>50</v>
      </c>
      <c r="D3087" s="3" t="s">
        <v>98</v>
      </c>
      <c r="E3087" s="3" t="n">
        <v>3</v>
      </c>
      <c r="F3087" s="1" t="n">
        <f aca="false">Y3087-X3087</f>
        <v>5</v>
      </c>
      <c r="G3087" s="1" t="n">
        <v>5</v>
      </c>
      <c r="H3087" s="3" t="s">
        <v>32</v>
      </c>
      <c r="I3087" s="3" t="s">
        <v>96</v>
      </c>
      <c r="J3087" s="3" t="s">
        <v>97</v>
      </c>
      <c r="K3087" s="2" t="str">
        <f aca="false">CONCATENATE(I3087," ",J3087)</f>
        <v>Diplocephalus picinus</v>
      </c>
      <c r="L3087" s="3" t="n">
        <f aca="false">SUM(P3087:U3087)</f>
        <v>2</v>
      </c>
      <c r="M3087" s="11" t="n">
        <f aca="false">(L3087/(F3087*G3087)*25)*4</f>
        <v>8</v>
      </c>
      <c r="N3087" s="1" t="s">
        <v>30</v>
      </c>
      <c r="O3087" s="1" t="s">
        <v>31</v>
      </c>
      <c r="P3087" s="3" t="n">
        <v>2</v>
      </c>
      <c r="Q3087" s="3" t="n">
        <v>0</v>
      </c>
      <c r="R3087" s="3" t="n">
        <v>0</v>
      </c>
      <c r="S3087" s="3" t="n">
        <v>0</v>
      </c>
      <c r="T3087" s="3" t="n">
        <v>0</v>
      </c>
      <c r="U3087" s="3" t="n">
        <v>0</v>
      </c>
      <c r="V3087" s="3" t="n">
        <f aca="false">SUM(P3087:Q3087)</f>
        <v>2</v>
      </c>
      <c r="W3087" s="3" t="n">
        <f aca="false">SUM(R3087:T3087)</f>
        <v>0</v>
      </c>
      <c r="X3087" s="22" t="n">
        <v>41793</v>
      </c>
      <c r="Y3087" s="22" t="n">
        <v>41798</v>
      </c>
    </row>
    <row r="3088" customFormat="false" ht="14.25" hidden="false" customHeight="false" outlineLevel="0" collapsed="false">
      <c r="A3088" s="1" t="n">
        <v>2014</v>
      </c>
      <c r="B3088" s="1" t="n">
        <v>1</v>
      </c>
      <c r="C3088" s="2" t="s">
        <v>50</v>
      </c>
      <c r="D3088" s="3" t="s">
        <v>98</v>
      </c>
      <c r="E3088" s="3" t="n">
        <v>3</v>
      </c>
      <c r="F3088" s="1" t="n">
        <f aca="false">Y3088-X3088</f>
        <v>5</v>
      </c>
      <c r="G3088" s="1" t="n">
        <v>5</v>
      </c>
      <c r="H3088" s="3" t="s">
        <v>32</v>
      </c>
      <c r="I3088" s="3" t="s">
        <v>169</v>
      </c>
      <c r="J3088" s="3" t="s">
        <v>170</v>
      </c>
      <c r="K3088" s="2" t="str">
        <f aca="false">CONCATENATE(I3088," ",J3088)</f>
        <v>Abacoproeces saltuum</v>
      </c>
      <c r="L3088" s="3" t="n">
        <f aca="false">SUM(P3088:U3088)</f>
        <v>2</v>
      </c>
      <c r="M3088" s="11" t="n">
        <f aca="false">(L3088/(F3088*G3088)*25)*4</f>
        <v>8</v>
      </c>
      <c r="N3088" s="1" t="s">
        <v>30</v>
      </c>
      <c r="O3088" s="1" t="s">
        <v>35</v>
      </c>
      <c r="P3088" s="3" t="n">
        <v>0</v>
      </c>
      <c r="Q3088" s="3" t="n">
        <v>2</v>
      </c>
      <c r="R3088" s="3" t="n">
        <v>0</v>
      </c>
      <c r="S3088" s="3" t="n">
        <v>0</v>
      </c>
      <c r="T3088" s="3" t="n">
        <v>0</v>
      </c>
      <c r="U3088" s="3" t="n">
        <v>0</v>
      </c>
      <c r="V3088" s="3" t="n">
        <f aca="false">SUM(P3088:Q3088)</f>
        <v>2</v>
      </c>
      <c r="W3088" s="3" t="n">
        <f aca="false">SUM(R3088:T3088)</f>
        <v>0</v>
      </c>
      <c r="X3088" s="22" t="n">
        <v>41793</v>
      </c>
      <c r="Y3088" s="22" t="n">
        <v>41798</v>
      </c>
    </row>
    <row r="3089" customFormat="false" ht="14.25" hidden="false" customHeight="false" outlineLevel="0" collapsed="false">
      <c r="A3089" s="1" t="n">
        <v>2014</v>
      </c>
      <c r="B3089" s="1" t="n">
        <v>1</v>
      </c>
      <c r="C3089" s="2" t="s">
        <v>50</v>
      </c>
      <c r="D3089" s="3" t="s">
        <v>98</v>
      </c>
      <c r="E3089" s="3" t="n">
        <v>3</v>
      </c>
      <c r="F3089" s="1" t="n">
        <f aca="false">Y3089-X3089</f>
        <v>5</v>
      </c>
      <c r="G3089" s="1" t="n">
        <v>5</v>
      </c>
      <c r="H3089" s="3" t="s">
        <v>32</v>
      </c>
      <c r="I3089" s="3" t="s">
        <v>57</v>
      </c>
      <c r="J3089" s="3" t="s">
        <v>38</v>
      </c>
      <c r="K3089" s="2" t="str">
        <f aca="false">CONCATENATE(I3089," ",J3089)</f>
        <v>Gen sp</v>
      </c>
      <c r="L3089" s="3" t="n">
        <f aca="false">SUM(P3089:U3089)</f>
        <v>1</v>
      </c>
      <c r="M3089" s="11" t="n">
        <f aca="false">(L3089/(F3089*G3089)*25)*4</f>
        <v>4</v>
      </c>
      <c r="N3089" s="1" t="s">
        <v>30</v>
      </c>
      <c r="O3089" s="1" t="s">
        <v>35</v>
      </c>
      <c r="P3089" s="3" t="n">
        <v>0</v>
      </c>
      <c r="Q3089" s="3" t="n">
        <v>0</v>
      </c>
      <c r="R3089" s="3" t="n">
        <v>0</v>
      </c>
      <c r="S3089" s="3" t="n">
        <v>0</v>
      </c>
      <c r="T3089" s="3" t="n">
        <v>0</v>
      </c>
      <c r="U3089" s="3" t="n">
        <v>1</v>
      </c>
      <c r="V3089" s="3" t="n">
        <f aca="false">SUM(P3089:Q3089)</f>
        <v>0</v>
      </c>
      <c r="W3089" s="3" t="n">
        <f aca="false">SUM(R3089:T3089)</f>
        <v>0</v>
      </c>
      <c r="X3089" s="22" t="n">
        <v>41793</v>
      </c>
      <c r="Y3089" s="22" t="n">
        <v>41798</v>
      </c>
    </row>
    <row r="3090" customFormat="false" ht="14.25" hidden="false" customHeight="false" outlineLevel="0" collapsed="false">
      <c r="A3090" s="1" t="n">
        <v>2014</v>
      </c>
      <c r="B3090" s="1" t="n">
        <v>1</v>
      </c>
      <c r="C3090" s="2" t="s">
        <v>50</v>
      </c>
      <c r="D3090" s="3" t="s">
        <v>98</v>
      </c>
      <c r="E3090" s="3" t="n">
        <v>3</v>
      </c>
      <c r="F3090" s="1" t="n">
        <f aca="false">Y3090-X3090</f>
        <v>5</v>
      </c>
      <c r="G3090" s="1" t="n">
        <v>5</v>
      </c>
      <c r="H3090" s="3" t="s">
        <v>36</v>
      </c>
      <c r="I3090" s="3" t="s">
        <v>37</v>
      </c>
      <c r="J3090" s="3" t="s">
        <v>75</v>
      </c>
      <c r="K3090" s="2" t="str">
        <f aca="false">CONCATENATE(I3090," ",J3090)</f>
        <v>Ozyptila praticola</v>
      </c>
      <c r="L3090" s="3" t="n">
        <f aca="false">SUM(P3090:U3090)</f>
        <v>1</v>
      </c>
      <c r="M3090" s="11" t="n">
        <f aca="false">(L3090/(F3090*G3090)*25)*4</f>
        <v>4</v>
      </c>
      <c r="N3090" s="1" t="s">
        <v>30</v>
      </c>
      <c r="O3090" s="1" t="s">
        <v>31</v>
      </c>
      <c r="P3090" s="3" t="n">
        <v>1</v>
      </c>
      <c r="Q3090" s="3" t="n">
        <v>0</v>
      </c>
      <c r="R3090" s="3" t="n">
        <v>0</v>
      </c>
      <c r="S3090" s="3" t="n">
        <v>0</v>
      </c>
      <c r="T3090" s="3" t="n">
        <v>0</v>
      </c>
      <c r="U3090" s="3" t="n">
        <v>0</v>
      </c>
      <c r="V3090" s="3" t="n">
        <f aca="false">SUM(P3090:Q3090)</f>
        <v>1</v>
      </c>
      <c r="W3090" s="3" t="n">
        <f aca="false">SUM(R3090:T3090)</f>
        <v>0</v>
      </c>
      <c r="X3090" s="22" t="n">
        <v>41793</v>
      </c>
      <c r="Y3090" s="22" t="n">
        <v>41798</v>
      </c>
    </row>
    <row r="3091" customFormat="false" ht="14.25" hidden="false" customHeight="false" outlineLevel="0" collapsed="false">
      <c r="A3091" s="1" t="n">
        <v>2014</v>
      </c>
      <c r="B3091" s="1" t="n">
        <v>1</v>
      </c>
      <c r="C3091" s="2" t="s">
        <v>50</v>
      </c>
      <c r="D3091" s="3" t="s">
        <v>98</v>
      </c>
      <c r="E3091" s="3" t="n">
        <v>1</v>
      </c>
      <c r="F3091" s="1" t="n">
        <f aca="false">Y3091-X3091</f>
        <v>5</v>
      </c>
      <c r="G3091" s="1" t="n">
        <v>5</v>
      </c>
      <c r="H3091" s="3" t="s">
        <v>48</v>
      </c>
      <c r="I3091" s="3" t="s">
        <v>49</v>
      </c>
      <c r="J3091" s="3" t="s">
        <v>119</v>
      </c>
      <c r="K3091" s="2" t="str">
        <f aca="false">CONCATENATE(I3091," ",J3091)</f>
        <v>Alopecosa sulzeri</v>
      </c>
      <c r="L3091" s="3" t="n">
        <f aca="false">SUM(P3091:U3091)</f>
        <v>1</v>
      </c>
      <c r="M3091" s="11" t="n">
        <f aca="false">(L3091/(F3091*G3091)*25)*4</f>
        <v>4</v>
      </c>
      <c r="N3091" s="1" t="s">
        <v>30</v>
      </c>
      <c r="O3091" s="1" t="s">
        <v>31</v>
      </c>
      <c r="P3091" s="3" t="n">
        <v>1</v>
      </c>
      <c r="Q3091" s="3" t="n">
        <v>0</v>
      </c>
      <c r="R3091" s="3" t="n">
        <v>0</v>
      </c>
      <c r="S3091" s="3" t="n">
        <v>0</v>
      </c>
      <c r="T3091" s="3" t="n">
        <v>0</v>
      </c>
      <c r="U3091" s="3" t="n">
        <v>0</v>
      </c>
      <c r="V3091" s="3" t="n">
        <f aca="false">SUM(P3091:Q3091)</f>
        <v>1</v>
      </c>
      <c r="W3091" s="3" t="n">
        <f aca="false">SUM(R3091:T3091)</f>
        <v>0</v>
      </c>
      <c r="X3091" s="22" t="n">
        <v>41793</v>
      </c>
      <c r="Y3091" s="22" t="n">
        <v>41798</v>
      </c>
    </row>
    <row r="3092" customFormat="false" ht="14.25" hidden="false" customHeight="false" outlineLevel="0" collapsed="false">
      <c r="A3092" s="1" t="n">
        <v>2014</v>
      </c>
      <c r="B3092" s="1" t="n">
        <v>1</v>
      </c>
      <c r="C3092" s="2" t="s">
        <v>50</v>
      </c>
      <c r="D3092" s="3" t="s">
        <v>98</v>
      </c>
      <c r="E3092" s="3" t="n">
        <v>1</v>
      </c>
      <c r="F3092" s="1" t="n">
        <f aca="false">Y3092-X3092</f>
        <v>5</v>
      </c>
      <c r="G3092" s="1" t="n">
        <v>5</v>
      </c>
      <c r="H3092" s="3" t="s">
        <v>48</v>
      </c>
      <c r="I3092" s="3" t="s">
        <v>49</v>
      </c>
      <c r="J3092" s="3" t="s">
        <v>104</v>
      </c>
      <c r="K3092" s="2" t="str">
        <f aca="false">CONCATENATE(I3092," ",J3092)</f>
        <v>Alopecosa taeniata</v>
      </c>
      <c r="L3092" s="3" t="n">
        <f aca="false">SUM(P3092:U3092)</f>
        <v>1</v>
      </c>
      <c r="M3092" s="11" t="n">
        <f aca="false">(L3092/(F3092*G3092)*25)*4</f>
        <v>4</v>
      </c>
      <c r="N3092" s="1" t="s">
        <v>30</v>
      </c>
      <c r="O3092" s="1" t="s">
        <v>31</v>
      </c>
      <c r="P3092" s="3" t="n">
        <v>1</v>
      </c>
      <c r="Q3092" s="3" t="n">
        <v>0</v>
      </c>
      <c r="R3092" s="3" t="n">
        <v>0</v>
      </c>
      <c r="S3092" s="3" t="n">
        <v>0</v>
      </c>
      <c r="T3092" s="3" t="n">
        <v>0</v>
      </c>
      <c r="U3092" s="3" t="n">
        <v>0</v>
      </c>
      <c r="V3092" s="3" t="n">
        <f aca="false">SUM(P3092:Q3092)</f>
        <v>1</v>
      </c>
      <c r="W3092" s="3" t="n">
        <f aca="false">SUM(R3092:T3092)</f>
        <v>0</v>
      </c>
      <c r="X3092" s="22" t="n">
        <v>41793</v>
      </c>
      <c r="Y3092" s="22" t="n">
        <v>41798</v>
      </c>
    </row>
    <row r="3093" customFormat="false" ht="14.25" hidden="false" customHeight="false" outlineLevel="0" collapsed="false">
      <c r="A3093" s="1" t="n">
        <v>2014</v>
      </c>
      <c r="B3093" s="1" t="n">
        <v>1</v>
      </c>
      <c r="C3093" s="2" t="s">
        <v>50</v>
      </c>
      <c r="D3093" s="3" t="s">
        <v>98</v>
      </c>
      <c r="E3093" s="3" t="n">
        <v>1</v>
      </c>
      <c r="F3093" s="1" t="n">
        <f aca="false">Y3093-X3093</f>
        <v>5</v>
      </c>
      <c r="G3093" s="1" t="n">
        <v>5</v>
      </c>
      <c r="H3093" s="3" t="s">
        <v>48</v>
      </c>
      <c r="I3093" s="3" t="s">
        <v>67</v>
      </c>
      <c r="J3093" s="3" t="s">
        <v>127</v>
      </c>
      <c r="K3093" s="2" t="str">
        <f aca="false">CONCATENATE(I3093," ",J3093)</f>
        <v>Pardosa lugubris</v>
      </c>
      <c r="L3093" s="3" t="n">
        <f aca="false">SUM(P3093:U3093)</f>
        <v>3</v>
      </c>
      <c r="M3093" s="11" t="n">
        <f aca="false">(L3093/(F3093*G3093)*25)*4</f>
        <v>12</v>
      </c>
      <c r="N3093" s="1" t="s">
        <v>30</v>
      </c>
      <c r="O3093" s="1" t="s">
        <v>31</v>
      </c>
      <c r="P3093" s="3" t="n">
        <v>3</v>
      </c>
      <c r="Q3093" s="3" t="n">
        <v>0</v>
      </c>
      <c r="R3093" s="3" t="n">
        <v>0</v>
      </c>
      <c r="S3093" s="3" t="n">
        <v>0</v>
      </c>
      <c r="T3093" s="3" t="n">
        <v>0</v>
      </c>
      <c r="U3093" s="3" t="n">
        <v>0</v>
      </c>
      <c r="V3093" s="3" t="n">
        <f aca="false">SUM(P3093:Q3093)</f>
        <v>3</v>
      </c>
      <c r="W3093" s="3" t="n">
        <f aca="false">SUM(R3093:T3093)</f>
        <v>0</v>
      </c>
      <c r="X3093" s="22" t="n">
        <v>41793</v>
      </c>
      <c r="Y3093" s="22" t="n">
        <v>41798</v>
      </c>
    </row>
    <row r="3094" customFormat="false" ht="14.25" hidden="false" customHeight="false" outlineLevel="0" collapsed="false">
      <c r="A3094" s="1" t="n">
        <v>2014</v>
      </c>
      <c r="B3094" s="1" t="n">
        <v>1</v>
      </c>
      <c r="C3094" s="2" t="s">
        <v>50</v>
      </c>
      <c r="D3094" s="3" t="s">
        <v>98</v>
      </c>
      <c r="E3094" s="3" t="n">
        <v>1</v>
      </c>
      <c r="F3094" s="1" t="n">
        <f aca="false">Y3094-X3094</f>
        <v>5</v>
      </c>
      <c r="G3094" s="1" t="n">
        <v>5</v>
      </c>
      <c r="H3094" s="3" t="s">
        <v>48</v>
      </c>
      <c r="I3094" s="3" t="s">
        <v>61</v>
      </c>
      <c r="J3094" s="3" t="s">
        <v>38</v>
      </c>
      <c r="K3094" s="2" t="str">
        <f aca="false">CONCATENATE(I3094," ",J3094)</f>
        <v>Trochosa sp</v>
      </c>
      <c r="L3094" s="3" t="n">
        <f aca="false">SUM(P3094:U3094)</f>
        <v>2</v>
      </c>
      <c r="M3094" s="11" t="n">
        <f aca="false">(L3094/(F3094*G3094)*25)*4</f>
        <v>8</v>
      </c>
      <c r="N3094" s="1" t="s">
        <v>19</v>
      </c>
      <c r="O3094" s="1" t="s">
        <v>54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2</v>
      </c>
      <c r="U3094" s="3" t="n">
        <v>0</v>
      </c>
      <c r="V3094" s="3" t="n">
        <f aca="false">SUM(P3094:Q3094)</f>
        <v>0</v>
      </c>
      <c r="W3094" s="3" t="n">
        <f aca="false">SUM(R3094:T3094)</f>
        <v>2</v>
      </c>
      <c r="X3094" s="22" t="n">
        <v>41793</v>
      </c>
      <c r="Y3094" s="22" t="n">
        <v>41798</v>
      </c>
    </row>
    <row r="3095" customFormat="false" ht="14.25" hidden="false" customHeight="false" outlineLevel="0" collapsed="false">
      <c r="A3095" s="1" t="n">
        <v>2014</v>
      </c>
      <c r="B3095" s="1" t="n">
        <v>1</v>
      </c>
      <c r="C3095" s="2" t="s">
        <v>50</v>
      </c>
      <c r="D3095" s="3" t="s">
        <v>98</v>
      </c>
      <c r="E3095" s="3" t="n">
        <v>1</v>
      </c>
      <c r="F3095" s="1" t="n">
        <f aca="false">Y3095-X3095</f>
        <v>5</v>
      </c>
      <c r="G3095" s="1" t="n">
        <v>5</v>
      </c>
      <c r="H3095" s="3" t="s">
        <v>36</v>
      </c>
      <c r="I3095" s="3" t="s">
        <v>131</v>
      </c>
      <c r="J3095" s="3" t="s">
        <v>133</v>
      </c>
      <c r="K3095" s="2" t="str">
        <f aca="false">CONCATENATE(I3095," ",J3095)</f>
        <v>Xysticus luctuosus</v>
      </c>
      <c r="L3095" s="3" t="n">
        <f aca="false">SUM(P3095:U3095)</f>
        <v>2</v>
      </c>
      <c r="M3095" s="11" t="n">
        <f aca="false">(L3095/(F3095*G3095)*25)*4</f>
        <v>8</v>
      </c>
      <c r="N3095" s="1" t="s">
        <v>30</v>
      </c>
      <c r="O3095" s="1" t="s">
        <v>31</v>
      </c>
      <c r="P3095" s="3" t="n">
        <v>2</v>
      </c>
      <c r="Q3095" s="3" t="n">
        <v>0</v>
      </c>
      <c r="R3095" s="3" t="n">
        <v>0</v>
      </c>
      <c r="S3095" s="3" t="n">
        <v>0</v>
      </c>
      <c r="T3095" s="3" t="n">
        <v>0</v>
      </c>
      <c r="U3095" s="3" t="n">
        <v>0</v>
      </c>
      <c r="V3095" s="3" t="n">
        <f aca="false">SUM(P3095:Q3095)</f>
        <v>2</v>
      </c>
      <c r="W3095" s="3" t="n">
        <f aca="false">SUM(R3095:T3095)</f>
        <v>0</v>
      </c>
      <c r="X3095" s="22" t="n">
        <v>41793</v>
      </c>
      <c r="Y3095" s="22" t="n">
        <v>41798</v>
      </c>
    </row>
    <row r="3096" customFormat="false" ht="14.25" hidden="false" customHeight="false" outlineLevel="0" collapsed="false">
      <c r="A3096" s="1" t="n">
        <v>2014</v>
      </c>
      <c r="B3096" s="1" t="n">
        <v>1</v>
      </c>
      <c r="C3096" s="2" t="s">
        <v>50</v>
      </c>
      <c r="D3096" s="3" t="s">
        <v>98</v>
      </c>
      <c r="E3096" s="3" t="n">
        <v>1</v>
      </c>
      <c r="F3096" s="1" t="n">
        <f aca="false">Y3096-X3096</f>
        <v>5</v>
      </c>
      <c r="G3096" s="1" t="n">
        <v>5</v>
      </c>
      <c r="H3096" s="3" t="s">
        <v>72</v>
      </c>
      <c r="I3096" s="3" t="s">
        <v>73</v>
      </c>
      <c r="J3096" s="3" t="s">
        <v>74</v>
      </c>
      <c r="K3096" s="2" t="str">
        <f aca="false">CONCATENATE(I3096," ",J3096)</f>
        <v>Zelotes subterraneus</v>
      </c>
      <c r="L3096" s="3" t="n">
        <f aca="false">SUM(P3096:U3096)</f>
        <v>1</v>
      </c>
      <c r="M3096" s="11" t="n">
        <f aca="false">(L3096/(F3096*G3096)*25)*4</f>
        <v>4</v>
      </c>
      <c r="N3096" s="1" t="s">
        <v>30</v>
      </c>
      <c r="O3096" s="1" t="s">
        <v>35</v>
      </c>
      <c r="P3096" s="3" t="n">
        <v>0</v>
      </c>
      <c r="Q3096" s="3" t="n">
        <v>1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f aca="false">SUM(P3096:Q3096)</f>
        <v>1</v>
      </c>
      <c r="W3096" s="3" t="n">
        <f aca="false">SUM(R3096:T3096)</f>
        <v>0</v>
      </c>
      <c r="X3096" s="22" t="n">
        <v>41793</v>
      </c>
      <c r="Y3096" s="22" t="n">
        <v>41798</v>
      </c>
    </row>
    <row r="3097" customFormat="false" ht="14.25" hidden="false" customHeight="false" outlineLevel="0" collapsed="false">
      <c r="A3097" s="1" t="n">
        <v>2014</v>
      </c>
      <c r="B3097" s="1" t="n">
        <v>1</v>
      </c>
      <c r="C3097" s="2" t="s">
        <v>50</v>
      </c>
      <c r="D3097" s="3" t="s">
        <v>98</v>
      </c>
      <c r="E3097" s="3" t="n">
        <v>1</v>
      </c>
      <c r="F3097" s="1" t="n">
        <f aca="false">Y3097-X3097</f>
        <v>5</v>
      </c>
      <c r="G3097" s="1" t="n">
        <v>5</v>
      </c>
      <c r="H3097" s="3" t="s">
        <v>72</v>
      </c>
      <c r="I3097" s="3" t="s">
        <v>86</v>
      </c>
      <c r="J3097" s="3" t="s">
        <v>87</v>
      </c>
      <c r="K3097" s="2" t="str">
        <f aca="false">CONCATENATE(I3097," ",J3097)</f>
        <v>Haplodrassus soerenseni</v>
      </c>
      <c r="L3097" s="3" t="n">
        <f aca="false">SUM(P3097:U3097)</f>
        <v>1</v>
      </c>
      <c r="M3097" s="11" t="n">
        <f aca="false">(L3097/(F3097*G3097)*25)*4</f>
        <v>4</v>
      </c>
      <c r="N3097" s="1" t="s">
        <v>30</v>
      </c>
      <c r="O3097" s="1" t="s">
        <v>31</v>
      </c>
      <c r="P3097" s="3" t="n">
        <v>1</v>
      </c>
      <c r="Q3097" s="3" t="n">
        <v>0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f aca="false">SUM(P3097:Q3097)</f>
        <v>1</v>
      </c>
      <c r="W3097" s="3" t="n">
        <f aca="false">SUM(R3097:T3097)</f>
        <v>0</v>
      </c>
      <c r="X3097" s="22" t="n">
        <v>41793</v>
      </c>
      <c r="Y3097" s="22" t="n">
        <v>41798</v>
      </c>
    </row>
    <row r="3098" customFormat="false" ht="14.25" hidden="false" customHeight="false" outlineLevel="0" collapsed="false">
      <c r="A3098" s="1" t="n">
        <v>2014</v>
      </c>
      <c r="B3098" s="1" t="n">
        <v>1</v>
      </c>
      <c r="C3098" s="2" t="s">
        <v>50</v>
      </c>
      <c r="D3098" s="3" t="s">
        <v>98</v>
      </c>
      <c r="E3098" s="3" t="n">
        <v>1</v>
      </c>
      <c r="F3098" s="1" t="n">
        <f aca="false">Y3098-X3098</f>
        <v>5</v>
      </c>
      <c r="G3098" s="1" t="n">
        <v>5</v>
      </c>
      <c r="H3098" s="3" t="s">
        <v>32</v>
      </c>
      <c r="I3098" s="3" t="s">
        <v>57</v>
      </c>
      <c r="J3098" s="3" t="s">
        <v>38</v>
      </c>
      <c r="K3098" s="2" t="str">
        <f aca="false">CONCATENATE(I3098," ",J3098)</f>
        <v>Gen sp</v>
      </c>
      <c r="L3098" s="3" t="n">
        <f aca="false">SUM(P3098:U3098)</f>
        <v>1</v>
      </c>
      <c r="M3098" s="11" t="n">
        <f aca="false">(L3098/(F3098*G3098)*25)*4</f>
        <v>4</v>
      </c>
      <c r="N3098" s="1" t="s">
        <v>19</v>
      </c>
      <c r="O3098" s="1" t="s">
        <v>54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1</v>
      </c>
      <c r="U3098" s="3" t="n">
        <v>0</v>
      </c>
      <c r="V3098" s="3" t="n">
        <f aca="false">SUM(P3098:Q3098)</f>
        <v>0</v>
      </c>
      <c r="W3098" s="3" t="n">
        <f aca="false">SUM(R3098:T3098)</f>
        <v>1</v>
      </c>
      <c r="X3098" s="22" t="n">
        <v>41793</v>
      </c>
      <c r="Y3098" s="22" t="n">
        <v>41798</v>
      </c>
    </row>
    <row r="3099" customFormat="false" ht="14.25" hidden="false" customHeight="false" outlineLevel="0" collapsed="false">
      <c r="A3099" s="1" t="n">
        <v>2014</v>
      </c>
      <c r="B3099" s="1" t="n">
        <v>1</v>
      </c>
      <c r="C3099" s="2" t="s">
        <v>50</v>
      </c>
      <c r="D3099" s="3" t="s">
        <v>98</v>
      </c>
      <c r="E3099" s="3" t="n">
        <v>1</v>
      </c>
      <c r="F3099" s="1" t="n">
        <f aca="false">Y3099-X3099</f>
        <v>5</v>
      </c>
      <c r="G3099" s="1" t="n">
        <v>5</v>
      </c>
      <c r="H3099" s="3" t="s">
        <v>32</v>
      </c>
      <c r="I3099" s="3" t="s">
        <v>261</v>
      </c>
      <c r="J3099" s="3" t="s">
        <v>262</v>
      </c>
      <c r="K3099" s="2" t="str">
        <f aca="false">CONCATENATE(I3099," ",J3099)</f>
        <v>Maso sundevalli</v>
      </c>
      <c r="L3099" s="3" t="n">
        <f aca="false">SUM(P3099:U3099)</f>
        <v>1</v>
      </c>
      <c r="M3099" s="11" t="n">
        <f aca="false">(L3099/(F3099*G3099)*25)*4</f>
        <v>4</v>
      </c>
      <c r="N3099" s="1" t="s">
        <v>30</v>
      </c>
      <c r="O3099" s="1" t="s">
        <v>35</v>
      </c>
      <c r="P3099" s="3" t="n">
        <v>0</v>
      </c>
      <c r="Q3099" s="3" t="n">
        <v>1</v>
      </c>
      <c r="R3099" s="3" t="n">
        <v>0</v>
      </c>
      <c r="S3099" s="3" t="n">
        <v>0</v>
      </c>
      <c r="T3099" s="3" t="n">
        <v>0</v>
      </c>
      <c r="U3099" s="3" t="n">
        <v>0</v>
      </c>
      <c r="V3099" s="3" t="n">
        <f aca="false">SUM(P3099:Q3099)</f>
        <v>1</v>
      </c>
      <c r="W3099" s="3" t="n">
        <f aca="false">SUM(R3099:T3099)</f>
        <v>0</v>
      </c>
      <c r="X3099" s="22" t="n">
        <v>41793</v>
      </c>
      <c r="Y3099" s="22" t="n">
        <v>41798</v>
      </c>
    </row>
    <row r="3100" customFormat="false" ht="14.25" hidden="false" customHeight="false" outlineLevel="0" collapsed="false">
      <c r="A3100" s="1" t="n">
        <v>2014</v>
      </c>
      <c r="B3100" s="1" t="n">
        <v>1</v>
      </c>
      <c r="C3100" s="2" t="s">
        <v>50</v>
      </c>
      <c r="D3100" s="3" t="s">
        <v>98</v>
      </c>
      <c r="E3100" s="3" t="n">
        <v>3</v>
      </c>
      <c r="F3100" s="1" t="n">
        <f aca="false">Y3100-X3100</f>
        <v>5</v>
      </c>
      <c r="G3100" s="1" t="n">
        <v>5</v>
      </c>
      <c r="H3100" s="3" t="s">
        <v>48</v>
      </c>
      <c r="I3100" s="3" t="s">
        <v>49</v>
      </c>
      <c r="J3100" s="3" t="s">
        <v>130</v>
      </c>
      <c r="K3100" s="2" t="str">
        <f aca="false">CONCATENATE(I3100," ",J3100)</f>
        <v>Alopecosa aculeata</v>
      </c>
      <c r="L3100" s="3" t="n">
        <f aca="false">SUM(P3100:U3100)</f>
        <v>1</v>
      </c>
      <c r="M3100" s="11" t="n">
        <f aca="false">(L3100/(F3100*G3100)*25)*4</f>
        <v>4</v>
      </c>
      <c r="N3100" s="1" t="s">
        <v>30</v>
      </c>
      <c r="O3100" s="1" t="s">
        <v>31</v>
      </c>
      <c r="P3100" s="3" t="n">
        <v>1</v>
      </c>
      <c r="Q3100" s="3" t="n">
        <v>0</v>
      </c>
      <c r="R3100" s="3" t="n">
        <v>0</v>
      </c>
      <c r="S3100" s="3" t="n">
        <v>0</v>
      </c>
      <c r="T3100" s="3" t="n">
        <v>0</v>
      </c>
      <c r="U3100" s="3" t="n">
        <v>0</v>
      </c>
      <c r="V3100" s="3" t="n">
        <f aca="false">SUM(P3100:Q3100)</f>
        <v>1</v>
      </c>
      <c r="W3100" s="3" t="n">
        <f aca="false">SUM(R3100:T3100)</f>
        <v>0</v>
      </c>
      <c r="X3100" s="22" t="n">
        <v>41793</v>
      </c>
      <c r="Y3100" s="22" t="n">
        <v>41798</v>
      </c>
    </row>
    <row r="3101" customFormat="false" ht="14.25" hidden="false" customHeight="false" outlineLevel="0" collapsed="false">
      <c r="A3101" s="1" t="n">
        <v>2014</v>
      </c>
      <c r="B3101" s="1" t="n">
        <v>1</v>
      </c>
      <c r="C3101" s="2" t="s">
        <v>50</v>
      </c>
      <c r="D3101" s="3" t="s">
        <v>98</v>
      </c>
      <c r="E3101" s="3" t="n">
        <v>3</v>
      </c>
      <c r="F3101" s="1" t="n">
        <f aca="false">Y3101-X3101</f>
        <v>5</v>
      </c>
      <c r="G3101" s="1" t="n">
        <v>5</v>
      </c>
      <c r="H3101" s="3" t="s">
        <v>48</v>
      </c>
      <c r="I3101" s="3" t="s">
        <v>49</v>
      </c>
      <c r="J3101" s="3" t="s">
        <v>130</v>
      </c>
      <c r="K3101" s="2" t="str">
        <f aca="false">CONCATENATE(I3101," ",J3101)</f>
        <v>Alopecosa aculeata</v>
      </c>
      <c r="L3101" s="3" t="n">
        <f aca="false">SUM(P3101:U3101)</f>
        <v>1</v>
      </c>
      <c r="M3101" s="11" t="n">
        <f aca="false">(L3101/(F3101*G3101)*25)*4</f>
        <v>4</v>
      </c>
      <c r="N3101" s="1" t="s">
        <v>30</v>
      </c>
      <c r="O3101" s="1" t="s">
        <v>35</v>
      </c>
      <c r="P3101" s="3" t="n">
        <v>0</v>
      </c>
      <c r="Q3101" s="3" t="n">
        <v>1</v>
      </c>
      <c r="R3101" s="3" t="n">
        <v>0</v>
      </c>
      <c r="S3101" s="3" t="n">
        <v>0</v>
      </c>
      <c r="T3101" s="3" t="n">
        <v>0</v>
      </c>
      <c r="U3101" s="3" t="n">
        <v>0</v>
      </c>
      <c r="V3101" s="3" t="n">
        <f aca="false">SUM(P3101:Q3101)</f>
        <v>1</v>
      </c>
      <c r="W3101" s="3" t="n">
        <f aca="false">SUM(R3101:T3101)</f>
        <v>0</v>
      </c>
      <c r="X3101" s="22" t="n">
        <v>41793</v>
      </c>
      <c r="Y3101" s="22" t="n">
        <v>41798</v>
      </c>
    </row>
    <row r="3102" customFormat="false" ht="14.25" hidden="false" customHeight="false" outlineLevel="0" collapsed="false">
      <c r="A3102" s="1" t="n">
        <v>2014</v>
      </c>
      <c r="B3102" s="1" t="n">
        <v>1</v>
      </c>
      <c r="C3102" s="2" t="s">
        <v>50</v>
      </c>
      <c r="D3102" s="3" t="s">
        <v>98</v>
      </c>
      <c r="E3102" s="3" t="n">
        <v>3</v>
      </c>
      <c r="F3102" s="1" t="n">
        <f aca="false">Y3102-X3102</f>
        <v>5</v>
      </c>
      <c r="G3102" s="1" t="n">
        <v>5</v>
      </c>
      <c r="H3102" s="3" t="s">
        <v>48</v>
      </c>
      <c r="I3102" s="3" t="s">
        <v>67</v>
      </c>
      <c r="J3102" s="3" t="s">
        <v>127</v>
      </c>
      <c r="K3102" s="2" t="str">
        <f aca="false">CONCATENATE(I3102," ",J3102)</f>
        <v>Pardosa lugubris</v>
      </c>
      <c r="L3102" s="3" t="n">
        <f aca="false">SUM(P3102:U3102)</f>
        <v>3</v>
      </c>
      <c r="M3102" s="11" t="n">
        <f aca="false">(L3102/(F3102*G3102)*25)*4</f>
        <v>12</v>
      </c>
      <c r="N3102" s="1" t="s">
        <v>30</v>
      </c>
      <c r="O3102" s="1" t="s">
        <v>31</v>
      </c>
      <c r="P3102" s="3" t="n">
        <v>3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f aca="false">SUM(P3102:Q3102)</f>
        <v>3</v>
      </c>
      <c r="W3102" s="3" t="n">
        <f aca="false">SUM(R3102:T3102)</f>
        <v>0</v>
      </c>
      <c r="X3102" s="22" t="n">
        <v>41793</v>
      </c>
      <c r="Y3102" s="22" t="n">
        <v>41798</v>
      </c>
    </row>
    <row r="3103" customFormat="false" ht="14.25" hidden="false" customHeight="false" outlineLevel="0" collapsed="false">
      <c r="A3103" s="1" t="n">
        <v>2014</v>
      </c>
      <c r="B3103" s="1" t="n">
        <v>1</v>
      </c>
      <c r="C3103" s="2" t="s">
        <v>50</v>
      </c>
      <c r="D3103" s="3" t="s">
        <v>98</v>
      </c>
      <c r="E3103" s="3" t="n">
        <v>3</v>
      </c>
      <c r="F3103" s="1" t="n">
        <f aca="false">Y3103-X3103</f>
        <v>5</v>
      </c>
      <c r="G3103" s="1" t="n">
        <v>5</v>
      </c>
      <c r="H3103" s="3" t="s">
        <v>72</v>
      </c>
      <c r="I3103" s="3" t="s">
        <v>73</v>
      </c>
      <c r="J3103" s="3" t="s">
        <v>38</v>
      </c>
      <c r="K3103" s="2" t="str">
        <f aca="false">CONCATENATE(I3103," ",J3103)</f>
        <v>Zelotes sp</v>
      </c>
      <c r="L3103" s="3" t="n">
        <f aca="false">SUM(P3103:U3103)</f>
        <v>1</v>
      </c>
      <c r="M3103" s="11" t="n">
        <f aca="false">(L3103/(F3103*G3103)*25)*4</f>
        <v>4</v>
      </c>
      <c r="N3103" s="1" t="s">
        <v>19</v>
      </c>
      <c r="O3103" s="1" t="s">
        <v>31</v>
      </c>
      <c r="P3103" s="3" t="n">
        <v>0</v>
      </c>
      <c r="Q3103" s="3" t="n">
        <v>0</v>
      </c>
      <c r="R3103" s="3" t="n">
        <v>1</v>
      </c>
      <c r="S3103" s="3" t="n">
        <v>0</v>
      </c>
      <c r="T3103" s="3" t="n">
        <v>0</v>
      </c>
      <c r="U3103" s="3" t="n">
        <v>0</v>
      </c>
      <c r="V3103" s="3" t="n">
        <f aca="false">SUM(P3103:Q3103)</f>
        <v>0</v>
      </c>
      <c r="W3103" s="3" t="n">
        <f aca="false">SUM(R3103:T3103)</f>
        <v>1</v>
      </c>
      <c r="X3103" s="22" t="n">
        <v>41793</v>
      </c>
      <c r="Y3103" s="22" t="n">
        <v>41798</v>
      </c>
    </row>
    <row r="3104" customFormat="false" ht="14.25" hidden="false" customHeight="false" outlineLevel="0" collapsed="false">
      <c r="A3104" s="1" t="n">
        <v>2014</v>
      </c>
      <c r="B3104" s="1" t="n">
        <v>1</v>
      </c>
      <c r="C3104" s="2" t="s">
        <v>50</v>
      </c>
      <c r="D3104" s="3" t="s">
        <v>98</v>
      </c>
      <c r="E3104" s="3" t="n">
        <v>3</v>
      </c>
      <c r="F3104" s="1" t="n">
        <f aca="false">Y3104-X3104</f>
        <v>5</v>
      </c>
      <c r="G3104" s="1" t="n">
        <v>5</v>
      </c>
      <c r="H3104" s="3" t="s">
        <v>135</v>
      </c>
      <c r="I3104" s="3" t="s">
        <v>136</v>
      </c>
      <c r="J3104" s="3" t="s">
        <v>137</v>
      </c>
      <c r="K3104" s="2" t="str">
        <f aca="false">CONCATENATE(I3104," ",J3104)</f>
        <v>Thanatus sabulosus</v>
      </c>
      <c r="L3104" s="3" t="n">
        <f aca="false">SUM(P3104:U3104)</f>
        <v>1</v>
      </c>
      <c r="M3104" s="11" t="n">
        <f aca="false">(L3104/(F3104*G3104)*25)*4</f>
        <v>4</v>
      </c>
      <c r="N3104" s="1" t="s">
        <v>30</v>
      </c>
      <c r="O3104" s="1" t="s">
        <v>31</v>
      </c>
      <c r="P3104" s="3" t="n">
        <v>1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0</v>
      </c>
      <c r="V3104" s="3" t="n">
        <f aca="false">SUM(P3104:Q3104)</f>
        <v>1</v>
      </c>
      <c r="W3104" s="3" t="n">
        <f aca="false">SUM(R3104:T3104)</f>
        <v>0</v>
      </c>
      <c r="X3104" s="22" t="n">
        <v>41793</v>
      </c>
      <c r="Y3104" s="22" t="n">
        <v>41798</v>
      </c>
    </row>
    <row r="3105" customFormat="false" ht="14.25" hidden="false" customHeight="false" outlineLevel="0" collapsed="false">
      <c r="A3105" s="1" t="n">
        <v>2014</v>
      </c>
      <c r="B3105" s="1" t="n">
        <v>1</v>
      </c>
      <c r="C3105" s="2" t="s">
        <v>50</v>
      </c>
      <c r="D3105" s="3" t="s">
        <v>98</v>
      </c>
      <c r="E3105" s="3" t="n">
        <v>3</v>
      </c>
      <c r="F3105" s="1" t="n">
        <f aca="false">Y3105-X3105</f>
        <v>5</v>
      </c>
      <c r="G3105" s="1" t="n">
        <v>5</v>
      </c>
      <c r="H3105" s="3" t="s">
        <v>92</v>
      </c>
      <c r="I3105" s="3" t="s">
        <v>111</v>
      </c>
      <c r="J3105" s="3" t="s">
        <v>112</v>
      </c>
      <c r="K3105" s="2" t="str">
        <f aca="false">CONCATENATE(I3105," ",J3105)</f>
        <v>Evarcha falcata</v>
      </c>
      <c r="L3105" s="3" t="n">
        <f aca="false">SUM(P3105:U3105)</f>
        <v>1</v>
      </c>
      <c r="M3105" s="11" t="n">
        <f aca="false">(L3105/(F3105*G3105)*25)*4</f>
        <v>4</v>
      </c>
      <c r="N3105" s="1" t="s">
        <v>30</v>
      </c>
      <c r="O3105" s="1" t="s">
        <v>35</v>
      </c>
      <c r="P3105" s="3" t="n">
        <v>0</v>
      </c>
      <c r="Q3105" s="3" t="n">
        <v>1</v>
      </c>
      <c r="R3105" s="3" t="n">
        <v>0</v>
      </c>
      <c r="S3105" s="3" t="n">
        <v>0</v>
      </c>
      <c r="T3105" s="3" t="n">
        <v>0</v>
      </c>
      <c r="U3105" s="3" t="n">
        <v>0</v>
      </c>
      <c r="V3105" s="3" t="n">
        <f aca="false">SUM(P3105:Q3105)</f>
        <v>1</v>
      </c>
      <c r="W3105" s="3" t="n">
        <f aca="false">SUM(R3105:T3105)</f>
        <v>0</v>
      </c>
      <c r="X3105" s="22" t="n">
        <v>41793</v>
      </c>
      <c r="Y3105" s="22" t="n">
        <v>41798</v>
      </c>
    </row>
    <row r="3106" customFormat="false" ht="14.25" hidden="false" customHeight="false" outlineLevel="0" collapsed="false">
      <c r="A3106" s="1" t="n">
        <v>2014</v>
      </c>
      <c r="B3106" s="1" t="n">
        <v>1</v>
      </c>
      <c r="C3106" s="2" t="s">
        <v>50</v>
      </c>
      <c r="D3106" s="3" t="s">
        <v>98</v>
      </c>
      <c r="E3106" s="3" t="n">
        <v>3</v>
      </c>
      <c r="F3106" s="1" t="n">
        <f aca="false">Y3106-X3106</f>
        <v>5</v>
      </c>
      <c r="G3106" s="1" t="n">
        <v>5</v>
      </c>
      <c r="H3106" s="3" t="s">
        <v>32</v>
      </c>
      <c r="I3106" s="3" t="s">
        <v>96</v>
      </c>
      <c r="J3106" s="3" t="s">
        <v>97</v>
      </c>
      <c r="K3106" s="2" t="str">
        <f aca="false">CONCATENATE(I3106," ",J3106)</f>
        <v>Diplocephalus picinus</v>
      </c>
      <c r="L3106" s="3" t="n">
        <f aca="false">SUM(P3106:U3106)</f>
        <v>1</v>
      </c>
      <c r="M3106" s="11" t="n">
        <f aca="false">(L3106/(F3106*G3106)*25)*4</f>
        <v>4</v>
      </c>
      <c r="N3106" s="1" t="s">
        <v>30</v>
      </c>
      <c r="O3106" s="1" t="s">
        <v>31</v>
      </c>
      <c r="P3106" s="3" t="n">
        <v>1</v>
      </c>
      <c r="Q3106" s="3" t="n">
        <v>0</v>
      </c>
      <c r="R3106" s="3" t="n">
        <v>0</v>
      </c>
      <c r="S3106" s="3" t="n">
        <v>0</v>
      </c>
      <c r="T3106" s="3" t="n">
        <v>0</v>
      </c>
      <c r="U3106" s="3" t="n">
        <v>0</v>
      </c>
      <c r="V3106" s="3" t="n">
        <f aca="false">SUM(P3106:Q3106)</f>
        <v>1</v>
      </c>
      <c r="W3106" s="3" t="n">
        <f aca="false">SUM(R3106:T3106)</f>
        <v>0</v>
      </c>
      <c r="X3106" s="22" t="n">
        <v>41793</v>
      </c>
      <c r="Y3106" s="22" t="n">
        <v>41798</v>
      </c>
    </row>
    <row r="3107" customFormat="false" ht="14.25" hidden="false" customHeight="false" outlineLevel="0" collapsed="false">
      <c r="A3107" s="1" t="n">
        <v>2014</v>
      </c>
      <c r="B3107" s="1" t="n">
        <v>1</v>
      </c>
      <c r="C3107" s="2" t="s">
        <v>50</v>
      </c>
      <c r="D3107" s="3" t="s">
        <v>98</v>
      </c>
      <c r="E3107" s="3" t="n">
        <v>3</v>
      </c>
      <c r="F3107" s="1" t="n">
        <f aca="false">Y3107-X3107</f>
        <v>5</v>
      </c>
      <c r="G3107" s="1" t="n">
        <v>5</v>
      </c>
      <c r="H3107" s="3" t="s">
        <v>32</v>
      </c>
      <c r="I3107" s="3" t="s">
        <v>102</v>
      </c>
      <c r="J3107" s="3" t="s">
        <v>38</v>
      </c>
      <c r="K3107" s="2" t="str">
        <f aca="false">CONCATENATE(I3107," ",J3107)</f>
        <v>Agyneta sp</v>
      </c>
      <c r="L3107" s="3" t="n">
        <f aca="false">SUM(P3107:U3107)</f>
        <v>1</v>
      </c>
      <c r="M3107" s="11" t="n">
        <f aca="false">(L3107/(F3107*G3107)*25)*4</f>
        <v>4</v>
      </c>
      <c r="N3107" s="1" t="s">
        <v>30</v>
      </c>
      <c r="O3107" s="1" t="s">
        <v>31</v>
      </c>
      <c r="P3107" s="3" t="n">
        <v>1</v>
      </c>
      <c r="Q3107" s="3" t="n">
        <v>0</v>
      </c>
      <c r="R3107" s="3" t="n">
        <v>0</v>
      </c>
      <c r="S3107" s="3" t="n">
        <v>0</v>
      </c>
      <c r="T3107" s="3" t="n">
        <v>0</v>
      </c>
      <c r="U3107" s="3" t="n">
        <v>0</v>
      </c>
      <c r="V3107" s="3" t="n">
        <f aca="false">SUM(P3107:Q3107)</f>
        <v>1</v>
      </c>
      <c r="W3107" s="3" t="n">
        <f aca="false">SUM(R3107:T3107)</f>
        <v>0</v>
      </c>
      <c r="X3107" s="22" t="n">
        <v>41793</v>
      </c>
      <c r="Y3107" s="22" t="n">
        <v>41798</v>
      </c>
    </row>
    <row r="3108" customFormat="false" ht="14.25" hidden="false" customHeight="false" outlineLevel="0" collapsed="false">
      <c r="A3108" s="1" t="n">
        <v>2014</v>
      </c>
      <c r="B3108" s="1" t="n">
        <v>1</v>
      </c>
      <c r="C3108" s="2" t="s">
        <v>50</v>
      </c>
      <c r="D3108" s="3" t="s">
        <v>98</v>
      </c>
      <c r="E3108" s="3" t="n">
        <v>3</v>
      </c>
      <c r="F3108" s="1" t="n">
        <f aca="false">Y3108-X3108</f>
        <v>5</v>
      </c>
      <c r="G3108" s="1" t="n">
        <v>5</v>
      </c>
      <c r="H3108" s="3" t="s">
        <v>32</v>
      </c>
      <c r="I3108" s="3" t="s">
        <v>263</v>
      </c>
      <c r="J3108" s="3" t="s">
        <v>264</v>
      </c>
      <c r="K3108" s="2" t="str">
        <f aca="false">CONCATENATE(I3108," ",J3108)</f>
        <v>Incestophantes crucifer</v>
      </c>
      <c r="L3108" s="3" t="n">
        <f aca="false">SUM(P3108:U3108)</f>
        <v>1</v>
      </c>
      <c r="M3108" s="11" t="n">
        <f aca="false">(L3108/(F3108*G3108)*25)*4</f>
        <v>4</v>
      </c>
      <c r="N3108" s="1" t="s">
        <v>30</v>
      </c>
      <c r="O3108" s="1" t="s">
        <v>35</v>
      </c>
      <c r="P3108" s="3" t="n">
        <v>0</v>
      </c>
      <c r="Q3108" s="3" t="n">
        <v>1</v>
      </c>
      <c r="R3108" s="3" t="n">
        <v>0</v>
      </c>
      <c r="S3108" s="3" t="n">
        <v>0</v>
      </c>
      <c r="T3108" s="3" t="n">
        <v>0</v>
      </c>
      <c r="U3108" s="3" t="n">
        <v>0</v>
      </c>
      <c r="V3108" s="3" t="n">
        <f aca="false">SUM(P3108:Q3108)</f>
        <v>1</v>
      </c>
      <c r="W3108" s="3" t="n">
        <f aca="false">SUM(R3108:T3108)</f>
        <v>0</v>
      </c>
      <c r="X3108" s="22" t="n">
        <v>41793</v>
      </c>
      <c r="Y3108" s="22" t="n">
        <v>41798</v>
      </c>
    </row>
    <row r="3109" customFormat="false" ht="14.25" hidden="false" customHeight="false" outlineLevel="0" collapsed="false">
      <c r="A3109" s="1" t="n">
        <v>2014</v>
      </c>
      <c r="B3109" s="1" t="n">
        <v>1</v>
      </c>
      <c r="C3109" s="2" t="s">
        <v>50</v>
      </c>
      <c r="D3109" s="3" t="s">
        <v>98</v>
      </c>
      <c r="E3109" s="3" t="n">
        <v>1</v>
      </c>
      <c r="F3109" s="1" t="n">
        <f aca="false">Y3109-X3109</f>
        <v>5</v>
      </c>
      <c r="G3109" s="1" t="n">
        <v>5</v>
      </c>
      <c r="H3109" s="3" t="s">
        <v>36</v>
      </c>
      <c r="I3109" s="3" t="s">
        <v>131</v>
      </c>
      <c r="J3109" s="3" t="s">
        <v>229</v>
      </c>
      <c r="K3109" s="2" t="str">
        <f aca="false">CONCATENATE(I3109," ",J3109)</f>
        <v>Xysticus emertoni</v>
      </c>
      <c r="L3109" s="3" t="n">
        <f aca="false">SUM(P3109:U3109)</f>
        <v>2</v>
      </c>
      <c r="M3109" s="11" t="n">
        <f aca="false">(L3109/(F3109*G3109)*25)*4</f>
        <v>8</v>
      </c>
      <c r="N3109" s="1" t="s">
        <v>30</v>
      </c>
      <c r="O3109" s="1" t="s">
        <v>31</v>
      </c>
      <c r="P3109" s="3" t="n">
        <v>2</v>
      </c>
      <c r="Q3109" s="3" t="n">
        <v>0</v>
      </c>
      <c r="R3109" s="3" t="n">
        <v>0</v>
      </c>
      <c r="S3109" s="3" t="n">
        <v>0</v>
      </c>
      <c r="T3109" s="3" t="n">
        <v>0</v>
      </c>
      <c r="U3109" s="3" t="n">
        <v>0</v>
      </c>
      <c r="V3109" s="3" t="n">
        <f aca="false">SUM(P3109:Q3109)</f>
        <v>2</v>
      </c>
      <c r="W3109" s="3" t="n">
        <f aca="false">SUM(R3109:T3109)</f>
        <v>0</v>
      </c>
      <c r="X3109" s="22" t="n">
        <v>41793</v>
      </c>
      <c r="Y3109" s="22" t="n">
        <v>41798</v>
      </c>
    </row>
    <row r="3110" customFormat="false" ht="14.25" hidden="false" customHeight="false" outlineLevel="0" collapsed="false">
      <c r="A3110" s="1" t="n">
        <v>2014</v>
      </c>
      <c r="B3110" s="1" t="n">
        <v>1</v>
      </c>
      <c r="C3110" s="2" t="s">
        <v>50</v>
      </c>
      <c r="D3110" s="3" t="s">
        <v>98</v>
      </c>
      <c r="E3110" s="3" t="n">
        <v>1</v>
      </c>
      <c r="F3110" s="1" t="n">
        <f aca="false">Y3110-X3110</f>
        <v>5</v>
      </c>
      <c r="G3110" s="1" t="n">
        <v>5</v>
      </c>
      <c r="H3110" s="3" t="s">
        <v>36</v>
      </c>
      <c r="I3110" s="3" t="s">
        <v>131</v>
      </c>
      <c r="J3110" s="3" t="s">
        <v>133</v>
      </c>
      <c r="K3110" s="2" t="str">
        <f aca="false">CONCATENATE(I3110," ",J3110)</f>
        <v>Xysticus luctuosus</v>
      </c>
      <c r="L3110" s="3" t="n">
        <f aca="false">SUM(P3110:U3110)</f>
        <v>1</v>
      </c>
      <c r="M3110" s="11" t="n">
        <f aca="false">(L3110/(F3110*G3110)*25)*4</f>
        <v>4</v>
      </c>
      <c r="N3110" s="1" t="s">
        <v>30</v>
      </c>
      <c r="O3110" s="1" t="s">
        <v>31</v>
      </c>
      <c r="P3110" s="3" t="n">
        <v>1</v>
      </c>
      <c r="Q3110" s="3" t="n">
        <v>0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f aca="false">SUM(P3110:Q3110)</f>
        <v>1</v>
      </c>
      <c r="W3110" s="3" t="n">
        <f aca="false">SUM(R3110:T3110)</f>
        <v>0</v>
      </c>
      <c r="X3110" s="22" t="n">
        <v>41793</v>
      </c>
      <c r="Y3110" s="22" t="n">
        <v>41798</v>
      </c>
    </row>
    <row r="3111" customFormat="false" ht="14.25" hidden="false" customHeight="false" outlineLevel="0" collapsed="false">
      <c r="A3111" s="1" t="n">
        <v>2014</v>
      </c>
      <c r="B3111" s="1" t="n">
        <v>1</v>
      </c>
      <c r="C3111" s="2" t="s">
        <v>50</v>
      </c>
      <c r="D3111" s="3" t="s">
        <v>98</v>
      </c>
      <c r="E3111" s="3" t="n">
        <v>1</v>
      </c>
      <c r="F3111" s="1" t="n">
        <f aca="false">Y3111-X3111</f>
        <v>5</v>
      </c>
      <c r="G3111" s="1" t="n">
        <v>5</v>
      </c>
      <c r="H3111" s="3" t="s">
        <v>36</v>
      </c>
      <c r="I3111" s="3" t="s">
        <v>37</v>
      </c>
      <c r="J3111" s="3" t="s">
        <v>75</v>
      </c>
      <c r="K3111" s="2" t="str">
        <f aca="false">CONCATENATE(I3111," ",J3111)</f>
        <v>Ozyptila praticola</v>
      </c>
      <c r="L3111" s="3" t="n">
        <f aca="false">SUM(P3111:U3111)</f>
        <v>2</v>
      </c>
      <c r="M3111" s="11" t="n">
        <f aca="false">(L3111/(F3111*G3111)*25)*4</f>
        <v>8</v>
      </c>
      <c r="N3111" s="1" t="s">
        <v>30</v>
      </c>
      <c r="O3111" s="1" t="s">
        <v>31</v>
      </c>
      <c r="P3111" s="3" t="n">
        <v>2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0</v>
      </c>
      <c r="V3111" s="3" t="n">
        <f aca="false">SUM(P3111:Q3111)</f>
        <v>2</v>
      </c>
      <c r="W3111" s="3" t="n">
        <f aca="false">SUM(R3111:T3111)</f>
        <v>0</v>
      </c>
      <c r="X3111" s="22" t="n">
        <v>41793</v>
      </c>
      <c r="Y3111" s="22" t="n">
        <v>41798</v>
      </c>
    </row>
    <row r="3112" customFormat="false" ht="14.25" hidden="false" customHeight="false" outlineLevel="0" collapsed="false">
      <c r="A3112" s="1" t="n">
        <v>2014</v>
      </c>
      <c r="B3112" s="1" t="n">
        <v>1</v>
      </c>
      <c r="C3112" s="2" t="s">
        <v>50</v>
      </c>
      <c r="D3112" s="3" t="s">
        <v>98</v>
      </c>
      <c r="E3112" s="3" t="n">
        <v>1</v>
      </c>
      <c r="F3112" s="1" t="n">
        <f aca="false">Y3112-X3112</f>
        <v>5</v>
      </c>
      <c r="G3112" s="1" t="n">
        <v>5</v>
      </c>
      <c r="H3112" s="3" t="s">
        <v>36</v>
      </c>
      <c r="I3112" s="3" t="s">
        <v>37</v>
      </c>
      <c r="J3112" s="3" t="s">
        <v>75</v>
      </c>
      <c r="K3112" s="2" t="str">
        <f aca="false">CONCATENATE(I3112," ",J3112)</f>
        <v>Ozyptila praticola</v>
      </c>
      <c r="L3112" s="3" t="n">
        <f aca="false">SUM(P3112:U3112)</f>
        <v>1</v>
      </c>
      <c r="M3112" s="11" t="n">
        <f aca="false">(L3112/(F3112*G3112)*25)*4</f>
        <v>4</v>
      </c>
      <c r="N3112" s="1" t="s">
        <v>19</v>
      </c>
      <c r="O3112" s="1" t="s">
        <v>54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1</v>
      </c>
      <c r="U3112" s="3" t="n">
        <v>0</v>
      </c>
      <c r="V3112" s="3" t="n">
        <f aca="false">SUM(P3112:Q3112)</f>
        <v>0</v>
      </c>
      <c r="W3112" s="3" t="n">
        <f aca="false">SUM(R3112:T3112)</f>
        <v>1</v>
      </c>
      <c r="X3112" s="22" t="n">
        <v>41793</v>
      </c>
      <c r="Y3112" s="22" t="n">
        <v>41798</v>
      </c>
    </row>
    <row r="3113" customFormat="false" ht="14.25" hidden="false" customHeight="false" outlineLevel="0" collapsed="false">
      <c r="A3113" s="1" t="n">
        <v>2014</v>
      </c>
      <c r="B3113" s="1" t="n">
        <v>1</v>
      </c>
      <c r="C3113" s="2" t="s">
        <v>50</v>
      </c>
      <c r="D3113" s="3" t="s">
        <v>98</v>
      </c>
      <c r="E3113" s="3" t="n">
        <v>1</v>
      </c>
      <c r="F3113" s="1" t="n">
        <f aca="false">Y3113-X3113</f>
        <v>5</v>
      </c>
      <c r="G3113" s="1" t="n">
        <v>5</v>
      </c>
      <c r="H3113" s="3" t="s">
        <v>72</v>
      </c>
      <c r="I3113" s="3" t="s">
        <v>73</v>
      </c>
      <c r="J3113" s="3" t="s">
        <v>38</v>
      </c>
      <c r="K3113" s="2" t="str">
        <f aca="false">CONCATENATE(I3113," ",J3113)</f>
        <v>Zelotes sp</v>
      </c>
      <c r="L3113" s="3" t="n">
        <f aca="false">SUM(P3113:U3113)</f>
        <v>1</v>
      </c>
      <c r="M3113" s="11" t="n">
        <f aca="false">(L3113/(F3113*G3113)*25)*4</f>
        <v>4</v>
      </c>
      <c r="N3113" s="1" t="s">
        <v>19</v>
      </c>
      <c r="O3113" s="1" t="s">
        <v>31</v>
      </c>
      <c r="P3113" s="3" t="n">
        <v>0</v>
      </c>
      <c r="Q3113" s="3" t="n">
        <v>0</v>
      </c>
      <c r="R3113" s="3" t="n">
        <v>1</v>
      </c>
      <c r="S3113" s="3" t="n">
        <v>0</v>
      </c>
      <c r="T3113" s="3" t="n">
        <v>0</v>
      </c>
      <c r="U3113" s="3" t="n">
        <v>0</v>
      </c>
      <c r="V3113" s="3" t="n">
        <f aca="false">SUM(P3113:Q3113)</f>
        <v>0</v>
      </c>
      <c r="W3113" s="3" t="n">
        <f aca="false">SUM(R3113:T3113)</f>
        <v>1</v>
      </c>
      <c r="X3113" s="22" t="n">
        <v>41793</v>
      </c>
      <c r="Y3113" s="22" t="n">
        <v>41798</v>
      </c>
    </row>
    <row r="3114" customFormat="false" ht="14.25" hidden="false" customHeight="false" outlineLevel="0" collapsed="false">
      <c r="A3114" s="1" t="n">
        <v>2014</v>
      </c>
      <c r="B3114" s="1" t="n">
        <v>1</v>
      </c>
      <c r="C3114" s="2" t="s">
        <v>50</v>
      </c>
      <c r="D3114" s="3" t="s">
        <v>98</v>
      </c>
      <c r="E3114" s="3" t="n">
        <v>1</v>
      </c>
      <c r="F3114" s="1" t="n">
        <f aca="false">Y3114-X3114</f>
        <v>5</v>
      </c>
      <c r="G3114" s="1" t="n">
        <v>5</v>
      </c>
      <c r="H3114" s="3" t="s">
        <v>48</v>
      </c>
      <c r="I3114" s="3" t="s">
        <v>61</v>
      </c>
      <c r="J3114" s="3" t="s">
        <v>38</v>
      </c>
      <c r="K3114" s="2" t="str">
        <f aca="false">CONCATENATE(I3114," ",J3114)</f>
        <v>Trochosa sp</v>
      </c>
      <c r="L3114" s="3" t="n">
        <f aca="false">SUM(P3114:U3114)</f>
        <v>1</v>
      </c>
      <c r="M3114" s="11" t="n">
        <f aca="false">(L3114/(F3114*G3114)*25)*4</f>
        <v>4</v>
      </c>
      <c r="N3114" s="1" t="s">
        <v>19</v>
      </c>
      <c r="O3114" s="1" t="s">
        <v>54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1</v>
      </c>
      <c r="U3114" s="3" t="n">
        <v>0</v>
      </c>
      <c r="V3114" s="3" t="n">
        <f aca="false">SUM(P3114:Q3114)</f>
        <v>0</v>
      </c>
      <c r="W3114" s="3" t="n">
        <f aca="false">SUM(R3114:T3114)</f>
        <v>1</v>
      </c>
      <c r="X3114" s="22" t="n">
        <v>41793</v>
      </c>
      <c r="Y3114" s="22" t="n">
        <v>41798</v>
      </c>
    </row>
    <row r="3115" customFormat="false" ht="14.25" hidden="false" customHeight="false" outlineLevel="0" collapsed="false">
      <c r="A3115" s="1" t="n">
        <v>2014</v>
      </c>
      <c r="B3115" s="1" t="n">
        <v>1</v>
      </c>
      <c r="C3115" s="2" t="s">
        <v>50</v>
      </c>
      <c r="D3115" s="3" t="s">
        <v>98</v>
      </c>
      <c r="E3115" s="3" t="n">
        <v>1</v>
      </c>
      <c r="F3115" s="1" t="n">
        <f aca="false">Y3115-X3115</f>
        <v>5</v>
      </c>
      <c r="G3115" s="1" t="n">
        <v>5</v>
      </c>
      <c r="H3115" s="3" t="s">
        <v>48</v>
      </c>
      <c r="I3115" s="3" t="s">
        <v>67</v>
      </c>
      <c r="J3115" s="3" t="s">
        <v>127</v>
      </c>
      <c r="K3115" s="2" t="str">
        <f aca="false">CONCATENATE(I3115," ",J3115)</f>
        <v>Pardosa lugubris</v>
      </c>
      <c r="L3115" s="3" t="n">
        <f aca="false">SUM(P3115:U3115)</f>
        <v>3</v>
      </c>
      <c r="M3115" s="11" t="n">
        <f aca="false">(L3115/(F3115*G3115)*25)*4</f>
        <v>12</v>
      </c>
      <c r="N3115" s="1" t="s">
        <v>30</v>
      </c>
      <c r="O3115" s="1" t="s">
        <v>31</v>
      </c>
      <c r="P3115" s="3" t="n">
        <v>3</v>
      </c>
      <c r="Q3115" s="3" t="n">
        <v>0</v>
      </c>
      <c r="R3115" s="3" t="n">
        <v>0</v>
      </c>
      <c r="S3115" s="3" t="n">
        <v>0</v>
      </c>
      <c r="T3115" s="3" t="n">
        <v>0</v>
      </c>
      <c r="U3115" s="3" t="n">
        <v>0</v>
      </c>
      <c r="V3115" s="3" t="n">
        <f aca="false">SUM(P3115:Q3115)</f>
        <v>3</v>
      </c>
      <c r="W3115" s="3" t="n">
        <f aca="false">SUM(R3115:T3115)</f>
        <v>0</v>
      </c>
      <c r="X3115" s="22" t="n">
        <v>41793</v>
      </c>
      <c r="Y3115" s="22" t="n">
        <v>41798</v>
      </c>
    </row>
    <row r="3116" customFormat="false" ht="14.25" hidden="false" customHeight="false" outlineLevel="0" collapsed="false">
      <c r="A3116" s="1" t="n">
        <v>2014</v>
      </c>
      <c r="B3116" s="1" t="n">
        <v>1</v>
      </c>
      <c r="C3116" s="2" t="s">
        <v>50</v>
      </c>
      <c r="D3116" s="3" t="s">
        <v>98</v>
      </c>
      <c r="E3116" s="3" t="n">
        <v>1</v>
      </c>
      <c r="F3116" s="1" t="n">
        <f aca="false">Y3116-X3116</f>
        <v>5</v>
      </c>
      <c r="G3116" s="1" t="n">
        <v>5</v>
      </c>
      <c r="H3116" s="3" t="s">
        <v>48</v>
      </c>
      <c r="I3116" s="3" t="s">
        <v>49</v>
      </c>
      <c r="J3116" s="3" t="s">
        <v>104</v>
      </c>
      <c r="K3116" s="2" t="str">
        <f aca="false">CONCATENATE(I3116," ",J3116)</f>
        <v>Alopecosa taeniata</v>
      </c>
      <c r="L3116" s="3" t="n">
        <f aca="false">SUM(P3116:U3116)</f>
        <v>2</v>
      </c>
      <c r="M3116" s="11" t="n">
        <f aca="false">(L3116/(F3116*G3116)*25)*4</f>
        <v>8</v>
      </c>
      <c r="N3116" s="1" t="s">
        <v>30</v>
      </c>
      <c r="O3116" s="1" t="s">
        <v>31</v>
      </c>
      <c r="P3116" s="3" t="n">
        <v>2</v>
      </c>
      <c r="Q3116" s="3" t="n">
        <v>0</v>
      </c>
      <c r="R3116" s="3" t="n">
        <v>0</v>
      </c>
      <c r="S3116" s="3" t="n">
        <v>0</v>
      </c>
      <c r="T3116" s="3" t="n">
        <v>0</v>
      </c>
      <c r="U3116" s="3" t="n">
        <v>0</v>
      </c>
      <c r="V3116" s="3" t="n">
        <f aca="false">SUM(P3116:Q3116)</f>
        <v>2</v>
      </c>
      <c r="W3116" s="3" t="n">
        <f aca="false">SUM(R3116:T3116)</f>
        <v>0</v>
      </c>
      <c r="X3116" s="22" t="n">
        <v>41793</v>
      </c>
      <c r="Y3116" s="22" t="n">
        <v>41798</v>
      </c>
    </row>
    <row r="3117" customFormat="false" ht="14.25" hidden="false" customHeight="false" outlineLevel="0" collapsed="false">
      <c r="A3117" s="1" t="n">
        <v>2014</v>
      </c>
      <c r="B3117" s="1" t="n">
        <v>1</v>
      </c>
      <c r="C3117" s="2" t="s">
        <v>50</v>
      </c>
      <c r="D3117" s="3" t="s">
        <v>98</v>
      </c>
      <c r="E3117" s="3" t="n">
        <v>1</v>
      </c>
      <c r="F3117" s="1" t="n">
        <f aca="false">Y3117-X3117</f>
        <v>5</v>
      </c>
      <c r="G3117" s="1" t="n">
        <v>5</v>
      </c>
      <c r="H3117" s="3" t="s">
        <v>48</v>
      </c>
      <c r="I3117" s="3" t="s">
        <v>49</v>
      </c>
      <c r="J3117" s="3" t="s">
        <v>223</v>
      </c>
      <c r="K3117" s="2" t="str">
        <f aca="false">CONCATENATE(I3117," ",J3117)</f>
        <v>Alopecosa pulverulenta</v>
      </c>
      <c r="L3117" s="3" t="n">
        <f aca="false">SUM(P3117:U3117)</f>
        <v>1</v>
      </c>
      <c r="M3117" s="11" t="n">
        <f aca="false">(L3117/(F3117*G3117)*25)*4</f>
        <v>4</v>
      </c>
      <c r="N3117" s="1" t="s">
        <v>30</v>
      </c>
      <c r="O3117" s="1" t="s">
        <v>31</v>
      </c>
      <c r="P3117" s="3" t="n">
        <v>1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f aca="false">SUM(P3117:Q3117)</f>
        <v>1</v>
      </c>
      <c r="W3117" s="3" t="n">
        <f aca="false">SUM(R3117:T3117)</f>
        <v>0</v>
      </c>
      <c r="X3117" s="22" t="n">
        <v>41793</v>
      </c>
      <c r="Y3117" s="22" t="n">
        <v>41798</v>
      </c>
    </row>
    <row r="3118" customFormat="false" ht="14.25" hidden="false" customHeight="false" outlineLevel="0" collapsed="false">
      <c r="A3118" s="1" t="n">
        <v>2014</v>
      </c>
      <c r="B3118" s="1" t="n">
        <v>1</v>
      </c>
      <c r="C3118" s="2" t="s">
        <v>50</v>
      </c>
      <c r="D3118" s="3" t="s">
        <v>98</v>
      </c>
      <c r="E3118" s="3" t="n">
        <v>2</v>
      </c>
      <c r="F3118" s="1" t="n">
        <f aca="false">Y3118-X3118</f>
        <v>5</v>
      </c>
      <c r="G3118" s="1" t="n">
        <v>5</v>
      </c>
      <c r="H3118" s="3" t="s">
        <v>36</v>
      </c>
      <c r="I3118" s="3" t="s">
        <v>131</v>
      </c>
      <c r="J3118" s="3" t="s">
        <v>229</v>
      </c>
      <c r="K3118" s="2" t="str">
        <f aca="false">CONCATENATE(I3118," ",J3118)</f>
        <v>Xysticus emertoni</v>
      </c>
      <c r="L3118" s="3" t="n">
        <f aca="false">SUM(P3118:U3118)</f>
        <v>2</v>
      </c>
      <c r="M3118" s="11" t="n">
        <f aca="false">(L3118/(F3118*G3118)*25)*4</f>
        <v>8</v>
      </c>
      <c r="N3118" s="1" t="s">
        <v>30</v>
      </c>
      <c r="O3118" s="1" t="s">
        <v>31</v>
      </c>
      <c r="P3118" s="3" t="n">
        <v>2</v>
      </c>
      <c r="Q3118" s="3" t="n">
        <v>0</v>
      </c>
      <c r="R3118" s="3" t="n">
        <v>0</v>
      </c>
      <c r="S3118" s="3" t="n">
        <v>0</v>
      </c>
      <c r="T3118" s="3" t="n">
        <v>0</v>
      </c>
      <c r="U3118" s="3" t="n">
        <v>0</v>
      </c>
      <c r="V3118" s="3" t="n">
        <f aca="false">SUM(P3118:Q3118)</f>
        <v>2</v>
      </c>
      <c r="W3118" s="3" t="n">
        <f aca="false">SUM(R3118:T3118)</f>
        <v>0</v>
      </c>
      <c r="X3118" s="22" t="n">
        <v>41793</v>
      </c>
      <c r="Y3118" s="22" t="n">
        <v>41798</v>
      </c>
    </row>
    <row r="3119" customFormat="false" ht="14.25" hidden="false" customHeight="false" outlineLevel="0" collapsed="false">
      <c r="A3119" s="1" t="n">
        <v>2014</v>
      </c>
      <c r="B3119" s="1" t="n">
        <v>1</v>
      </c>
      <c r="C3119" s="2" t="s">
        <v>50</v>
      </c>
      <c r="D3119" s="3" t="s">
        <v>98</v>
      </c>
      <c r="E3119" s="3" t="n">
        <v>2</v>
      </c>
      <c r="F3119" s="1" t="n">
        <f aca="false">Y3119-X3119</f>
        <v>5</v>
      </c>
      <c r="G3119" s="1" t="n">
        <v>5</v>
      </c>
      <c r="H3119" s="3" t="s">
        <v>36</v>
      </c>
      <c r="I3119" s="3" t="s">
        <v>131</v>
      </c>
      <c r="J3119" s="3" t="s">
        <v>133</v>
      </c>
      <c r="K3119" s="2" t="str">
        <f aca="false">CONCATENATE(I3119," ",J3119)</f>
        <v>Xysticus luctuosus</v>
      </c>
      <c r="L3119" s="3" t="n">
        <f aca="false">SUM(P3119:U3119)</f>
        <v>4</v>
      </c>
      <c r="M3119" s="11" t="n">
        <f aca="false">(L3119/(F3119*G3119)*25)*4</f>
        <v>16</v>
      </c>
      <c r="N3119" s="1" t="s">
        <v>30</v>
      </c>
      <c r="O3119" s="1" t="s">
        <v>31</v>
      </c>
      <c r="P3119" s="3" t="n">
        <v>4</v>
      </c>
      <c r="Q3119" s="3" t="n">
        <v>0</v>
      </c>
      <c r="R3119" s="3" t="n">
        <v>0</v>
      </c>
      <c r="S3119" s="3" t="n">
        <v>0</v>
      </c>
      <c r="T3119" s="3" t="n">
        <v>0</v>
      </c>
      <c r="U3119" s="3" t="n">
        <v>0</v>
      </c>
      <c r="V3119" s="3" t="n">
        <f aca="false">SUM(P3119:Q3119)</f>
        <v>4</v>
      </c>
      <c r="W3119" s="3" t="n">
        <f aca="false">SUM(R3119:T3119)</f>
        <v>0</v>
      </c>
      <c r="X3119" s="22" t="n">
        <v>41793</v>
      </c>
      <c r="Y3119" s="22" t="n">
        <v>41798</v>
      </c>
    </row>
    <row r="3120" customFormat="false" ht="14.25" hidden="false" customHeight="false" outlineLevel="0" collapsed="false">
      <c r="A3120" s="1" t="n">
        <v>2014</v>
      </c>
      <c r="B3120" s="1" t="n">
        <v>1</v>
      </c>
      <c r="C3120" s="2" t="s">
        <v>50</v>
      </c>
      <c r="D3120" s="3" t="s">
        <v>98</v>
      </c>
      <c r="E3120" s="3" t="n">
        <v>2</v>
      </c>
      <c r="F3120" s="1" t="n">
        <f aca="false">Y3120-X3120</f>
        <v>5</v>
      </c>
      <c r="G3120" s="1" t="n">
        <v>5</v>
      </c>
      <c r="H3120" s="3" t="s">
        <v>48</v>
      </c>
      <c r="I3120" s="3" t="s">
        <v>49</v>
      </c>
      <c r="J3120" s="3" t="s">
        <v>119</v>
      </c>
      <c r="K3120" s="2" t="str">
        <f aca="false">CONCATENATE(I3120," ",J3120)</f>
        <v>Alopecosa sulzeri</v>
      </c>
      <c r="L3120" s="3" t="n">
        <f aca="false">SUM(P3120:U3120)</f>
        <v>2</v>
      </c>
      <c r="M3120" s="11" t="n">
        <f aca="false">(L3120/(F3120*G3120)*25)*4</f>
        <v>8</v>
      </c>
      <c r="N3120" s="1" t="s">
        <v>30</v>
      </c>
      <c r="O3120" s="1" t="s">
        <v>31</v>
      </c>
      <c r="P3120" s="3" t="n">
        <v>2</v>
      </c>
      <c r="Q3120" s="3" t="n">
        <v>0</v>
      </c>
      <c r="R3120" s="3" t="n">
        <v>0</v>
      </c>
      <c r="S3120" s="3" t="n">
        <v>0</v>
      </c>
      <c r="T3120" s="3" t="n">
        <v>0</v>
      </c>
      <c r="U3120" s="3" t="n">
        <v>0</v>
      </c>
      <c r="V3120" s="3" t="n">
        <f aca="false">SUM(P3120:Q3120)</f>
        <v>2</v>
      </c>
      <c r="W3120" s="3" t="n">
        <f aca="false">SUM(R3120:T3120)</f>
        <v>0</v>
      </c>
      <c r="X3120" s="22" t="n">
        <v>41793</v>
      </c>
      <c r="Y3120" s="22" t="n">
        <v>41798</v>
      </c>
    </row>
    <row r="3121" customFormat="false" ht="14.25" hidden="false" customHeight="false" outlineLevel="0" collapsed="false">
      <c r="A3121" s="1" t="n">
        <v>2014</v>
      </c>
      <c r="B3121" s="1" t="n">
        <v>1</v>
      </c>
      <c r="C3121" s="2" t="s">
        <v>50</v>
      </c>
      <c r="D3121" s="3" t="s">
        <v>98</v>
      </c>
      <c r="E3121" s="3" t="n">
        <v>2</v>
      </c>
      <c r="F3121" s="1" t="n">
        <f aca="false">Y3121-X3121</f>
        <v>5</v>
      </c>
      <c r="G3121" s="1" t="n">
        <v>5</v>
      </c>
      <c r="H3121" s="3" t="s">
        <v>48</v>
      </c>
      <c r="I3121" s="3" t="s">
        <v>67</v>
      </c>
      <c r="J3121" s="3" t="s">
        <v>127</v>
      </c>
      <c r="K3121" s="2" t="str">
        <f aca="false">CONCATENATE(I3121," ",J3121)</f>
        <v>Pardosa lugubris</v>
      </c>
      <c r="L3121" s="3" t="n">
        <f aca="false">SUM(P3121:U3121)</f>
        <v>2</v>
      </c>
      <c r="M3121" s="11" t="n">
        <f aca="false">(L3121/(F3121*G3121)*25)*4</f>
        <v>8</v>
      </c>
      <c r="N3121" s="1" t="s">
        <v>30</v>
      </c>
      <c r="O3121" s="1" t="s">
        <v>31</v>
      </c>
      <c r="P3121" s="3" t="n">
        <v>2</v>
      </c>
      <c r="Q3121" s="3" t="n">
        <v>0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f aca="false">SUM(P3121:Q3121)</f>
        <v>2</v>
      </c>
      <c r="W3121" s="3" t="n">
        <f aca="false">SUM(R3121:T3121)</f>
        <v>0</v>
      </c>
      <c r="X3121" s="22" t="n">
        <v>41793</v>
      </c>
      <c r="Y3121" s="22" t="n">
        <v>41798</v>
      </c>
    </row>
    <row r="3122" customFormat="false" ht="14.25" hidden="false" customHeight="false" outlineLevel="0" collapsed="false">
      <c r="A3122" s="1" t="n">
        <v>2014</v>
      </c>
      <c r="B3122" s="1" t="n">
        <v>1</v>
      </c>
      <c r="C3122" s="2" t="s">
        <v>50</v>
      </c>
      <c r="D3122" s="3" t="s">
        <v>98</v>
      </c>
      <c r="E3122" s="3" t="n">
        <v>2</v>
      </c>
      <c r="F3122" s="1" t="n">
        <f aca="false">Y3122-X3122</f>
        <v>5</v>
      </c>
      <c r="G3122" s="1" t="n">
        <v>5</v>
      </c>
      <c r="H3122" s="3" t="s">
        <v>48</v>
      </c>
      <c r="I3122" s="3" t="s">
        <v>67</v>
      </c>
      <c r="J3122" s="3" t="s">
        <v>127</v>
      </c>
      <c r="K3122" s="2" t="str">
        <f aca="false">CONCATENATE(I3122," ",J3122)</f>
        <v>Pardosa lugubris</v>
      </c>
      <c r="L3122" s="3" t="n">
        <f aca="false">SUM(P3122:U3122)</f>
        <v>1</v>
      </c>
      <c r="M3122" s="11" t="n">
        <f aca="false">(L3122/(F3122*G3122)*25)*4</f>
        <v>4</v>
      </c>
      <c r="N3122" s="1" t="s">
        <v>30</v>
      </c>
      <c r="O3122" s="1" t="s">
        <v>35</v>
      </c>
      <c r="P3122" s="3" t="n">
        <v>0</v>
      </c>
      <c r="Q3122" s="3" t="n">
        <v>1</v>
      </c>
      <c r="R3122" s="3" t="n">
        <v>0</v>
      </c>
      <c r="S3122" s="3" t="n">
        <v>0</v>
      </c>
      <c r="T3122" s="3" t="n">
        <v>0</v>
      </c>
      <c r="U3122" s="3" t="n">
        <v>0</v>
      </c>
      <c r="V3122" s="3" t="n">
        <f aca="false">SUM(P3122:Q3122)</f>
        <v>1</v>
      </c>
      <c r="W3122" s="3" t="n">
        <f aca="false">SUM(R3122:T3122)</f>
        <v>0</v>
      </c>
      <c r="X3122" s="22" t="n">
        <v>41793</v>
      </c>
      <c r="Y3122" s="22" t="n">
        <v>41798</v>
      </c>
    </row>
    <row r="3123" customFormat="false" ht="14.25" hidden="false" customHeight="false" outlineLevel="0" collapsed="false">
      <c r="A3123" s="1" t="n">
        <v>2014</v>
      </c>
      <c r="B3123" s="1" t="n">
        <v>1</v>
      </c>
      <c r="C3123" s="2" t="s">
        <v>50</v>
      </c>
      <c r="D3123" s="3" t="s">
        <v>98</v>
      </c>
      <c r="E3123" s="3" t="n">
        <v>2</v>
      </c>
      <c r="F3123" s="1" t="n">
        <f aca="false">Y3123-X3123</f>
        <v>5</v>
      </c>
      <c r="G3123" s="1" t="n">
        <v>5</v>
      </c>
      <c r="H3123" s="3" t="s">
        <v>72</v>
      </c>
      <c r="I3123" s="3" t="s">
        <v>86</v>
      </c>
      <c r="J3123" s="3" t="s">
        <v>38</v>
      </c>
      <c r="K3123" s="2" t="str">
        <f aca="false">CONCATENATE(I3123," ",J3123)</f>
        <v>Haplodrassus sp</v>
      </c>
      <c r="L3123" s="3" t="n">
        <f aca="false">SUM(P3123:U3123)</f>
        <v>1</v>
      </c>
      <c r="M3123" s="11" t="n">
        <f aca="false">(L3123/(F3123*G3123)*25)*4</f>
        <v>4</v>
      </c>
      <c r="N3123" s="1" t="s">
        <v>19</v>
      </c>
      <c r="O3123" s="1" t="s">
        <v>54</v>
      </c>
      <c r="P3123" s="3" t="n">
        <v>0</v>
      </c>
      <c r="Q3123" s="3" t="n">
        <v>0</v>
      </c>
      <c r="R3123" s="3" t="n">
        <v>0</v>
      </c>
      <c r="S3123" s="3" t="n">
        <v>0</v>
      </c>
      <c r="T3123" s="3" t="n">
        <v>1</v>
      </c>
      <c r="U3123" s="3" t="n">
        <v>0</v>
      </c>
      <c r="V3123" s="3" t="n">
        <f aca="false">SUM(P3123:Q3123)</f>
        <v>0</v>
      </c>
      <c r="W3123" s="3" t="n">
        <f aca="false">SUM(R3123:T3123)</f>
        <v>1</v>
      </c>
      <c r="X3123" s="22" t="n">
        <v>41793</v>
      </c>
      <c r="Y3123" s="22" t="n">
        <v>41798</v>
      </c>
    </row>
    <row r="3124" customFormat="false" ht="14.25" hidden="false" customHeight="false" outlineLevel="0" collapsed="false">
      <c r="A3124" s="1" t="n">
        <v>2014</v>
      </c>
      <c r="B3124" s="1" t="n">
        <v>1</v>
      </c>
      <c r="C3124" s="2" t="s">
        <v>50</v>
      </c>
      <c r="D3124" s="3" t="s">
        <v>98</v>
      </c>
      <c r="E3124" s="3" t="n">
        <v>2</v>
      </c>
      <c r="F3124" s="1" t="n">
        <f aca="false">Y3124-X3124</f>
        <v>5</v>
      </c>
      <c r="G3124" s="1" t="n">
        <v>5</v>
      </c>
      <c r="H3124" s="3" t="s">
        <v>32</v>
      </c>
      <c r="I3124" s="3" t="s">
        <v>96</v>
      </c>
      <c r="J3124" s="3" t="s">
        <v>97</v>
      </c>
      <c r="K3124" s="2" t="str">
        <f aca="false">CONCATENATE(I3124," ",J3124)</f>
        <v>Diplocephalus picinus</v>
      </c>
      <c r="L3124" s="3" t="n">
        <f aca="false">SUM(P3124:U3124)</f>
        <v>1</v>
      </c>
      <c r="M3124" s="11" t="n">
        <f aca="false">(L3124/(F3124*G3124)*25)*4</f>
        <v>4</v>
      </c>
      <c r="N3124" s="1" t="s">
        <v>30</v>
      </c>
      <c r="O3124" s="1" t="s">
        <v>31</v>
      </c>
      <c r="P3124" s="3" t="n">
        <v>1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f aca="false">SUM(P3124:Q3124)</f>
        <v>1</v>
      </c>
      <c r="W3124" s="3" t="n">
        <f aca="false">SUM(R3124:T3124)</f>
        <v>0</v>
      </c>
      <c r="X3124" s="22" t="n">
        <v>41793</v>
      </c>
      <c r="Y3124" s="22" t="n">
        <v>41798</v>
      </c>
    </row>
    <row r="3125" customFormat="false" ht="14.25" hidden="false" customHeight="false" outlineLevel="0" collapsed="false">
      <c r="A3125" s="1" t="n">
        <v>2014</v>
      </c>
      <c r="B3125" s="1" t="n">
        <v>1</v>
      </c>
      <c r="C3125" s="2" t="s">
        <v>50</v>
      </c>
      <c r="D3125" s="3" t="s">
        <v>51</v>
      </c>
      <c r="E3125" s="3" t="n">
        <v>2</v>
      </c>
      <c r="F3125" s="1" t="n">
        <f aca="false">Y3125-X3125</f>
        <v>5</v>
      </c>
      <c r="G3125" s="1" t="n">
        <v>5</v>
      </c>
      <c r="H3125" s="3" t="s">
        <v>48</v>
      </c>
      <c r="I3125" s="3" t="s">
        <v>67</v>
      </c>
      <c r="J3125" s="3" t="s">
        <v>127</v>
      </c>
      <c r="K3125" s="2" t="str">
        <f aca="false">CONCATENATE(I3125," ",J3125)</f>
        <v>Pardosa lugubris</v>
      </c>
      <c r="L3125" s="3" t="n">
        <f aca="false">SUM(P3125:U3125)</f>
        <v>10</v>
      </c>
      <c r="M3125" s="11" t="n">
        <f aca="false">(L3125/(F3125*G3125)*25)*4</f>
        <v>40</v>
      </c>
      <c r="N3125" s="1" t="s">
        <v>30</v>
      </c>
      <c r="O3125" s="1" t="s">
        <v>31</v>
      </c>
      <c r="P3125" s="3" t="n">
        <v>10</v>
      </c>
      <c r="Q3125" s="3" t="n">
        <v>0</v>
      </c>
      <c r="R3125" s="3" t="n">
        <v>0</v>
      </c>
      <c r="S3125" s="3" t="n">
        <v>0</v>
      </c>
      <c r="T3125" s="3" t="n">
        <v>0</v>
      </c>
      <c r="U3125" s="3" t="n">
        <v>0</v>
      </c>
      <c r="V3125" s="3" t="n">
        <f aca="false">SUM(P3125:Q3125)</f>
        <v>10</v>
      </c>
      <c r="W3125" s="3" t="n">
        <f aca="false">SUM(R3125:T3125)</f>
        <v>0</v>
      </c>
      <c r="X3125" s="22" t="n">
        <v>41794</v>
      </c>
      <c r="Y3125" s="22" t="n">
        <v>41799</v>
      </c>
    </row>
    <row r="3126" customFormat="false" ht="14.25" hidden="false" customHeight="false" outlineLevel="0" collapsed="false">
      <c r="A3126" s="1" t="n">
        <v>2014</v>
      </c>
      <c r="B3126" s="1" t="n">
        <v>1</v>
      </c>
      <c r="C3126" s="2" t="s">
        <v>50</v>
      </c>
      <c r="D3126" s="3" t="s">
        <v>51</v>
      </c>
      <c r="E3126" s="3" t="n">
        <v>2</v>
      </c>
      <c r="F3126" s="1" t="n">
        <f aca="false">Y3126-X3126</f>
        <v>5</v>
      </c>
      <c r="G3126" s="1" t="n">
        <v>5</v>
      </c>
      <c r="H3126" s="3" t="s">
        <v>48</v>
      </c>
      <c r="I3126" s="3" t="s">
        <v>49</v>
      </c>
      <c r="J3126" s="3" t="s">
        <v>104</v>
      </c>
      <c r="K3126" s="2" t="str">
        <f aca="false">CONCATENATE(I3126," ",J3126)</f>
        <v>Alopecosa taeniata</v>
      </c>
      <c r="L3126" s="3" t="n">
        <f aca="false">SUM(P3126:U3126)</f>
        <v>1</v>
      </c>
      <c r="M3126" s="11" t="n">
        <f aca="false">(L3126/(F3126*G3126)*25)*4</f>
        <v>4</v>
      </c>
      <c r="N3126" s="1" t="s">
        <v>30</v>
      </c>
      <c r="O3126" s="1" t="s">
        <v>31</v>
      </c>
      <c r="P3126" s="3" t="n">
        <v>1</v>
      </c>
      <c r="Q3126" s="3" t="n">
        <v>0</v>
      </c>
      <c r="R3126" s="3" t="n">
        <v>0</v>
      </c>
      <c r="S3126" s="3" t="n">
        <v>0</v>
      </c>
      <c r="T3126" s="3" t="n">
        <v>0</v>
      </c>
      <c r="U3126" s="3" t="n">
        <v>0</v>
      </c>
      <c r="V3126" s="3" t="n">
        <f aca="false">SUM(P3126:Q3126)</f>
        <v>1</v>
      </c>
      <c r="W3126" s="3" t="n">
        <f aca="false">SUM(R3126:T3126)</f>
        <v>0</v>
      </c>
      <c r="X3126" s="22" t="n">
        <v>41794</v>
      </c>
      <c r="Y3126" s="22" t="n">
        <v>41799</v>
      </c>
    </row>
    <row r="3127" customFormat="false" ht="14.25" hidden="false" customHeight="false" outlineLevel="0" collapsed="false">
      <c r="A3127" s="1" t="n">
        <v>2014</v>
      </c>
      <c r="B3127" s="1" t="n">
        <v>1</v>
      </c>
      <c r="C3127" s="2" t="s">
        <v>50</v>
      </c>
      <c r="D3127" s="3" t="s">
        <v>51</v>
      </c>
      <c r="E3127" s="3" t="n">
        <v>2</v>
      </c>
      <c r="F3127" s="1" t="n">
        <f aca="false">Y3127-X3127</f>
        <v>5</v>
      </c>
      <c r="G3127" s="1" t="n">
        <v>5</v>
      </c>
      <c r="H3127" s="3" t="s">
        <v>72</v>
      </c>
      <c r="I3127" s="3" t="s">
        <v>73</v>
      </c>
      <c r="J3127" s="3" t="s">
        <v>74</v>
      </c>
      <c r="K3127" s="2" t="str">
        <f aca="false">CONCATENATE(I3127," ",J3127)</f>
        <v>Zelotes subterraneus</v>
      </c>
      <c r="L3127" s="3" t="n">
        <f aca="false">SUM(P3127:U3127)</f>
        <v>1</v>
      </c>
      <c r="M3127" s="11" t="n">
        <f aca="false">(L3127/(F3127*G3127)*25)*4</f>
        <v>4</v>
      </c>
      <c r="N3127" s="1" t="s">
        <v>30</v>
      </c>
      <c r="O3127" s="1" t="s">
        <v>31</v>
      </c>
      <c r="P3127" s="3" t="n">
        <v>1</v>
      </c>
      <c r="Q3127" s="3" t="n">
        <v>0</v>
      </c>
      <c r="R3127" s="3" t="n">
        <v>0</v>
      </c>
      <c r="S3127" s="3" t="n">
        <v>0</v>
      </c>
      <c r="T3127" s="3" t="n">
        <v>0</v>
      </c>
      <c r="U3127" s="3" t="n">
        <v>0</v>
      </c>
      <c r="V3127" s="3" t="n">
        <f aca="false">SUM(P3127:Q3127)</f>
        <v>1</v>
      </c>
      <c r="W3127" s="3" t="n">
        <f aca="false">SUM(R3127:T3127)</f>
        <v>0</v>
      </c>
      <c r="X3127" s="22" t="n">
        <v>41794</v>
      </c>
      <c r="Y3127" s="22" t="n">
        <v>41799</v>
      </c>
    </row>
    <row r="3128" customFormat="false" ht="14.25" hidden="false" customHeight="false" outlineLevel="0" collapsed="false">
      <c r="A3128" s="1" t="n">
        <v>2014</v>
      </c>
      <c r="B3128" s="1" t="n">
        <v>1</v>
      </c>
      <c r="C3128" s="2" t="s">
        <v>50</v>
      </c>
      <c r="D3128" s="3" t="s">
        <v>51</v>
      </c>
      <c r="E3128" s="3" t="n">
        <v>2</v>
      </c>
      <c r="F3128" s="1" t="n">
        <f aca="false">Y3128-X3128</f>
        <v>5</v>
      </c>
      <c r="G3128" s="1" t="n">
        <v>5</v>
      </c>
      <c r="H3128" s="3" t="s">
        <v>72</v>
      </c>
      <c r="I3128" s="3" t="s">
        <v>73</v>
      </c>
      <c r="J3128" s="3" t="s">
        <v>38</v>
      </c>
      <c r="K3128" s="2" t="str">
        <f aca="false">CONCATENATE(I3128," ",J3128)</f>
        <v>Zelotes sp</v>
      </c>
      <c r="L3128" s="3" t="n">
        <f aca="false">SUM(P3128:U3128)</f>
        <v>1</v>
      </c>
      <c r="M3128" s="11" t="n">
        <f aca="false">(L3128/(F3128*G3128)*25)*4</f>
        <v>4</v>
      </c>
      <c r="N3128" s="1" t="s">
        <v>19</v>
      </c>
      <c r="O3128" s="1" t="s">
        <v>54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1</v>
      </c>
      <c r="U3128" s="3" t="n">
        <v>0</v>
      </c>
      <c r="V3128" s="3" t="n">
        <f aca="false">SUM(P3128:Q3128)</f>
        <v>0</v>
      </c>
      <c r="W3128" s="3" t="n">
        <f aca="false">SUM(R3128:T3128)</f>
        <v>1</v>
      </c>
      <c r="X3128" s="22" t="n">
        <v>41794</v>
      </c>
      <c r="Y3128" s="22" t="n">
        <v>41799</v>
      </c>
    </row>
    <row r="3129" customFormat="false" ht="14.25" hidden="false" customHeight="false" outlineLevel="0" collapsed="false">
      <c r="A3129" s="1" t="n">
        <v>2014</v>
      </c>
      <c r="B3129" s="1" t="n">
        <v>1</v>
      </c>
      <c r="C3129" s="2" t="s">
        <v>50</v>
      </c>
      <c r="D3129" s="3" t="s">
        <v>51</v>
      </c>
      <c r="E3129" s="3" t="n">
        <v>2</v>
      </c>
      <c r="F3129" s="1" t="n">
        <f aca="false">Y3129-X3129</f>
        <v>5</v>
      </c>
      <c r="G3129" s="1" t="n">
        <v>5</v>
      </c>
      <c r="H3129" s="3" t="s">
        <v>72</v>
      </c>
      <c r="I3129" s="3" t="s">
        <v>86</v>
      </c>
      <c r="J3129" s="3" t="s">
        <v>87</v>
      </c>
      <c r="K3129" s="2" t="str">
        <f aca="false">CONCATENATE(I3129," ",J3129)</f>
        <v>Haplodrassus soerenseni</v>
      </c>
      <c r="L3129" s="3" t="n">
        <f aca="false">SUM(P3129:U3129)</f>
        <v>1</v>
      </c>
      <c r="M3129" s="11" t="n">
        <f aca="false">(L3129/(F3129*G3129)*25)*4</f>
        <v>4</v>
      </c>
      <c r="N3129" s="1" t="s">
        <v>30</v>
      </c>
      <c r="O3129" s="1" t="s">
        <v>31</v>
      </c>
      <c r="P3129" s="3" t="n">
        <v>1</v>
      </c>
      <c r="Q3129" s="3" t="n">
        <v>0</v>
      </c>
      <c r="R3129" s="3" t="n">
        <v>0</v>
      </c>
      <c r="S3129" s="3" t="n">
        <v>0</v>
      </c>
      <c r="T3129" s="3" t="n">
        <v>0</v>
      </c>
      <c r="U3129" s="3" t="n">
        <v>0</v>
      </c>
      <c r="V3129" s="3" t="n">
        <f aca="false">SUM(P3129:Q3129)</f>
        <v>1</v>
      </c>
      <c r="W3129" s="3" t="n">
        <f aca="false">SUM(R3129:T3129)</f>
        <v>0</v>
      </c>
      <c r="X3129" s="22" t="n">
        <v>41794</v>
      </c>
      <c r="Y3129" s="22" t="n">
        <v>41799</v>
      </c>
    </row>
    <row r="3130" customFormat="false" ht="14.25" hidden="false" customHeight="false" outlineLevel="0" collapsed="false">
      <c r="A3130" s="1" t="n">
        <v>2014</v>
      </c>
      <c r="B3130" s="1" t="n">
        <v>1</v>
      </c>
      <c r="C3130" s="2" t="s">
        <v>50</v>
      </c>
      <c r="D3130" s="3" t="s">
        <v>51</v>
      </c>
      <c r="E3130" s="3" t="n">
        <v>2</v>
      </c>
      <c r="F3130" s="1" t="n">
        <f aca="false">Y3130-X3130</f>
        <v>5</v>
      </c>
      <c r="G3130" s="1" t="n">
        <v>5</v>
      </c>
      <c r="H3130" s="3" t="s">
        <v>72</v>
      </c>
      <c r="I3130" s="3" t="s">
        <v>86</v>
      </c>
      <c r="J3130" s="3" t="s">
        <v>87</v>
      </c>
      <c r="K3130" s="2" t="str">
        <f aca="false">CONCATENATE(I3130," ",J3130)</f>
        <v>Haplodrassus soerenseni</v>
      </c>
      <c r="L3130" s="3" t="n">
        <f aca="false">SUM(P3130:U3130)</f>
        <v>1</v>
      </c>
      <c r="M3130" s="11" t="n">
        <f aca="false">(L3130/(F3130*G3130)*25)*4</f>
        <v>4</v>
      </c>
      <c r="N3130" s="1" t="s">
        <v>30</v>
      </c>
      <c r="O3130" s="1" t="s">
        <v>35</v>
      </c>
      <c r="P3130" s="3" t="n">
        <v>0</v>
      </c>
      <c r="Q3130" s="3" t="n">
        <v>1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f aca="false">SUM(P3130:Q3130)</f>
        <v>1</v>
      </c>
      <c r="W3130" s="3" t="n">
        <f aca="false">SUM(R3130:T3130)</f>
        <v>0</v>
      </c>
      <c r="X3130" s="22" t="n">
        <v>41794</v>
      </c>
      <c r="Y3130" s="22" t="n">
        <v>41799</v>
      </c>
    </row>
    <row r="3131" customFormat="false" ht="14.25" hidden="false" customHeight="false" outlineLevel="0" collapsed="false">
      <c r="A3131" s="1" t="n">
        <v>2014</v>
      </c>
      <c r="B3131" s="1" t="n">
        <v>1</v>
      </c>
      <c r="C3131" s="2" t="s">
        <v>50</v>
      </c>
      <c r="D3131" s="3" t="s">
        <v>51</v>
      </c>
      <c r="E3131" s="3" t="n">
        <v>2</v>
      </c>
      <c r="F3131" s="1" t="n">
        <f aca="false">Y3131-X3131</f>
        <v>5</v>
      </c>
      <c r="G3131" s="1" t="n">
        <v>5</v>
      </c>
      <c r="H3131" s="3" t="s">
        <v>36</v>
      </c>
      <c r="I3131" s="3" t="s">
        <v>37</v>
      </c>
      <c r="J3131" s="3" t="s">
        <v>75</v>
      </c>
      <c r="K3131" s="2" t="str">
        <f aca="false">CONCATENATE(I3131," ",J3131)</f>
        <v>Ozyptila praticola</v>
      </c>
      <c r="L3131" s="3" t="n">
        <f aca="false">SUM(P3131:U3131)</f>
        <v>1</v>
      </c>
      <c r="M3131" s="11" t="n">
        <f aca="false">(L3131/(F3131*G3131)*25)*4</f>
        <v>4</v>
      </c>
      <c r="N3131" s="1" t="s">
        <v>30</v>
      </c>
      <c r="O3131" s="1" t="s">
        <v>31</v>
      </c>
      <c r="P3131" s="3" t="n">
        <v>1</v>
      </c>
      <c r="Q3131" s="3" t="n">
        <v>0</v>
      </c>
      <c r="R3131" s="3" t="n">
        <v>0</v>
      </c>
      <c r="S3131" s="3" t="n">
        <v>0</v>
      </c>
      <c r="T3131" s="3" t="n">
        <v>0</v>
      </c>
      <c r="U3131" s="3" t="n">
        <v>0</v>
      </c>
      <c r="V3131" s="3" t="n">
        <f aca="false">SUM(P3131:Q3131)</f>
        <v>1</v>
      </c>
      <c r="W3131" s="3" t="n">
        <f aca="false">SUM(R3131:T3131)</f>
        <v>0</v>
      </c>
      <c r="X3131" s="22" t="n">
        <v>41794</v>
      </c>
      <c r="Y3131" s="22" t="n">
        <v>41799</v>
      </c>
    </row>
    <row r="3132" customFormat="false" ht="14.25" hidden="false" customHeight="false" outlineLevel="0" collapsed="false">
      <c r="A3132" s="1" t="n">
        <v>2014</v>
      </c>
      <c r="B3132" s="1" t="n">
        <v>1</v>
      </c>
      <c r="C3132" s="2" t="s">
        <v>50</v>
      </c>
      <c r="D3132" s="3" t="s">
        <v>51</v>
      </c>
      <c r="E3132" s="3" t="n">
        <v>2</v>
      </c>
      <c r="F3132" s="1" t="n">
        <f aca="false">Y3132-X3132</f>
        <v>5</v>
      </c>
      <c r="G3132" s="1" t="n">
        <v>5</v>
      </c>
      <c r="H3132" s="3" t="s">
        <v>32</v>
      </c>
      <c r="I3132" s="3" t="s">
        <v>154</v>
      </c>
      <c r="J3132" s="3" t="s">
        <v>155</v>
      </c>
      <c r="K3132" s="2" t="str">
        <f aca="false">CONCATENATE(I3132," ",J3132)</f>
        <v>Pocadicnemis pumila</v>
      </c>
      <c r="L3132" s="3" t="n">
        <f aca="false">SUM(P3132:U3132)</f>
        <v>2</v>
      </c>
      <c r="M3132" s="11" t="n">
        <f aca="false">(L3132/(F3132*G3132)*25)*4</f>
        <v>8</v>
      </c>
      <c r="N3132" s="1" t="s">
        <v>30</v>
      </c>
      <c r="O3132" s="1" t="s">
        <v>31</v>
      </c>
      <c r="P3132" s="3" t="n">
        <v>2</v>
      </c>
      <c r="Q3132" s="3" t="n">
        <v>0</v>
      </c>
      <c r="R3132" s="3" t="n">
        <v>0</v>
      </c>
      <c r="S3132" s="3" t="n">
        <v>0</v>
      </c>
      <c r="T3132" s="3" t="n">
        <v>0</v>
      </c>
      <c r="U3132" s="3" t="n">
        <v>0</v>
      </c>
      <c r="V3132" s="3" t="n">
        <f aca="false">SUM(P3132:Q3132)</f>
        <v>2</v>
      </c>
      <c r="W3132" s="3" t="n">
        <f aca="false">SUM(R3132:T3132)</f>
        <v>0</v>
      </c>
      <c r="X3132" s="22" t="n">
        <v>41794</v>
      </c>
      <c r="Y3132" s="22" t="n">
        <v>41799</v>
      </c>
    </row>
    <row r="3133" customFormat="false" ht="14.25" hidden="false" customHeight="false" outlineLevel="0" collapsed="false">
      <c r="A3133" s="1" t="n">
        <v>2014</v>
      </c>
      <c r="B3133" s="1" t="n">
        <v>1</v>
      </c>
      <c r="C3133" s="2" t="s">
        <v>50</v>
      </c>
      <c r="D3133" s="3" t="s">
        <v>51</v>
      </c>
      <c r="E3133" s="3" t="n">
        <v>1</v>
      </c>
      <c r="F3133" s="1" t="n">
        <f aca="false">Y3133-X3133</f>
        <v>5</v>
      </c>
      <c r="G3133" s="1" t="n">
        <v>5</v>
      </c>
      <c r="H3133" s="3" t="s">
        <v>48</v>
      </c>
      <c r="I3133" s="3" t="s">
        <v>67</v>
      </c>
      <c r="J3133" s="3" t="s">
        <v>127</v>
      </c>
      <c r="K3133" s="2" t="str">
        <f aca="false">CONCATENATE(I3133," ",J3133)</f>
        <v>Pardosa lugubris</v>
      </c>
      <c r="L3133" s="3" t="n">
        <f aca="false">SUM(P3133:U3133)</f>
        <v>7</v>
      </c>
      <c r="M3133" s="11" t="n">
        <f aca="false">(L3133/(F3133*G3133)*25)*4</f>
        <v>28</v>
      </c>
      <c r="N3133" s="1" t="s">
        <v>30</v>
      </c>
      <c r="O3133" s="1" t="s">
        <v>31</v>
      </c>
      <c r="P3133" s="3" t="n">
        <v>7</v>
      </c>
      <c r="Q3133" s="3" t="n">
        <v>0</v>
      </c>
      <c r="R3133" s="3" t="n">
        <v>0</v>
      </c>
      <c r="S3133" s="3" t="n">
        <v>0</v>
      </c>
      <c r="T3133" s="3" t="n">
        <v>0</v>
      </c>
      <c r="U3133" s="3" t="n">
        <v>0</v>
      </c>
      <c r="V3133" s="3" t="n">
        <f aca="false">SUM(P3133:Q3133)</f>
        <v>7</v>
      </c>
      <c r="W3133" s="3" t="n">
        <f aca="false">SUM(R3133:T3133)</f>
        <v>0</v>
      </c>
      <c r="X3133" s="22" t="n">
        <v>41794</v>
      </c>
      <c r="Y3133" s="22" t="n">
        <v>41799</v>
      </c>
    </row>
    <row r="3134" customFormat="false" ht="14.25" hidden="false" customHeight="false" outlineLevel="0" collapsed="false">
      <c r="A3134" s="1" t="n">
        <v>2014</v>
      </c>
      <c r="B3134" s="1" t="n">
        <v>1</v>
      </c>
      <c r="C3134" s="2" t="s">
        <v>50</v>
      </c>
      <c r="D3134" s="3" t="s">
        <v>51</v>
      </c>
      <c r="E3134" s="3" t="n">
        <v>1</v>
      </c>
      <c r="F3134" s="1" t="n">
        <f aca="false">Y3134-X3134</f>
        <v>5</v>
      </c>
      <c r="G3134" s="1" t="n">
        <v>5</v>
      </c>
      <c r="H3134" s="3" t="s">
        <v>48</v>
      </c>
      <c r="I3134" s="3" t="s">
        <v>49</v>
      </c>
      <c r="J3134" s="3" t="s">
        <v>104</v>
      </c>
      <c r="K3134" s="2" t="str">
        <f aca="false">CONCATENATE(I3134," ",J3134)</f>
        <v>Alopecosa taeniata</v>
      </c>
      <c r="L3134" s="3" t="n">
        <f aca="false">SUM(P3134:U3134)</f>
        <v>1</v>
      </c>
      <c r="M3134" s="11" t="n">
        <f aca="false">(L3134/(F3134*G3134)*25)*4</f>
        <v>4</v>
      </c>
      <c r="N3134" s="1" t="s">
        <v>30</v>
      </c>
      <c r="O3134" s="1" t="s">
        <v>31</v>
      </c>
      <c r="P3134" s="3" t="n">
        <v>1</v>
      </c>
      <c r="Q3134" s="3" t="n">
        <v>0</v>
      </c>
      <c r="R3134" s="3" t="n">
        <v>0</v>
      </c>
      <c r="S3134" s="3" t="n">
        <v>0</v>
      </c>
      <c r="T3134" s="3" t="n">
        <v>0</v>
      </c>
      <c r="U3134" s="3" t="n">
        <v>0</v>
      </c>
      <c r="V3134" s="3" t="n">
        <f aca="false">SUM(P3134:Q3134)</f>
        <v>1</v>
      </c>
      <c r="W3134" s="3" t="n">
        <f aca="false">SUM(R3134:T3134)</f>
        <v>0</v>
      </c>
      <c r="X3134" s="22" t="n">
        <v>41794</v>
      </c>
      <c r="Y3134" s="22" t="n">
        <v>41799</v>
      </c>
    </row>
    <row r="3135" customFormat="false" ht="14.25" hidden="false" customHeight="false" outlineLevel="0" collapsed="false">
      <c r="A3135" s="1" t="n">
        <v>2014</v>
      </c>
      <c r="B3135" s="1" t="n">
        <v>1</v>
      </c>
      <c r="C3135" s="2" t="s">
        <v>50</v>
      </c>
      <c r="D3135" s="3" t="s">
        <v>51</v>
      </c>
      <c r="E3135" s="3" t="n">
        <v>1</v>
      </c>
      <c r="F3135" s="1" t="n">
        <f aca="false">Y3135-X3135</f>
        <v>5</v>
      </c>
      <c r="G3135" s="1" t="n">
        <v>5</v>
      </c>
      <c r="H3135" s="3" t="s">
        <v>48</v>
      </c>
      <c r="I3135" s="3" t="s">
        <v>49</v>
      </c>
      <c r="J3135" s="3" t="s">
        <v>104</v>
      </c>
      <c r="K3135" s="2" t="str">
        <f aca="false">CONCATENATE(I3135," ",J3135)</f>
        <v>Alopecosa taeniata</v>
      </c>
      <c r="L3135" s="3" t="n">
        <f aca="false">SUM(P3135:U3135)</f>
        <v>1</v>
      </c>
      <c r="M3135" s="11" t="n">
        <f aca="false">(L3135/(F3135*G3135)*25)*4</f>
        <v>4</v>
      </c>
      <c r="N3135" s="1" t="s">
        <v>30</v>
      </c>
      <c r="O3135" s="1" t="s">
        <v>35</v>
      </c>
      <c r="P3135" s="3" t="n">
        <v>0</v>
      </c>
      <c r="Q3135" s="3" t="n">
        <v>1</v>
      </c>
      <c r="R3135" s="3" t="n">
        <v>0</v>
      </c>
      <c r="S3135" s="3" t="n">
        <v>0</v>
      </c>
      <c r="T3135" s="3" t="n">
        <v>0</v>
      </c>
      <c r="U3135" s="3" t="n">
        <v>0</v>
      </c>
      <c r="V3135" s="3" t="n">
        <f aca="false">SUM(P3135:Q3135)</f>
        <v>1</v>
      </c>
      <c r="W3135" s="3" t="n">
        <f aca="false">SUM(R3135:T3135)</f>
        <v>0</v>
      </c>
      <c r="X3135" s="22" t="n">
        <v>41794</v>
      </c>
      <c r="Y3135" s="22" t="n">
        <v>41799</v>
      </c>
    </row>
    <row r="3136" customFormat="false" ht="14.25" hidden="false" customHeight="false" outlineLevel="0" collapsed="false">
      <c r="A3136" s="1" t="n">
        <v>2014</v>
      </c>
      <c r="B3136" s="1" t="n">
        <v>1</v>
      </c>
      <c r="C3136" s="2" t="s">
        <v>50</v>
      </c>
      <c r="D3136" s="3" t="s">
        <v>51</v>
      </c>
      <c r="E3136" s="3" t="n">
        <v>1</v>
      </c>
      <c r="F3136" s="1" t="n">
        <f aca="false">Y3136-X3136</f>
        <v>5</v>
      </c>
      <c r="G3136" s="1" t="n">
        <v>5</v>
      </c>
      <c r="H3136" s="3" t="s">
        <v>48</v>
      </c>
      <c r="I3136" s="3" t="s">
        <v>61</v>
      </c>
      <c r="J3136" s="3" t="s">
        <v>38</v>
      </c>
      <c r="K3136" s="2" t="str">
        <f aca="false">CONCATENATE(I3136," ",J3136)</f>
        <v>Trochosa sp</v>
      </c>
      <c r="L3136" s="3" t="n">
        <f aca="false">SUM(P3136:U3136)</f>
        <v>1</v>
      </c>
      <c r="M3136" s="11" t="n">
        <f aca="false">(L3136/(F3136*G3136)*25)*4</f>
        <v>4</v>
      </c>
      <c r="N3136" s="1" t="s">
        <v>19</v>
      </c>
      <c r="O3136" s="1" t="s">
        <v>35</v>
      </c>
      <c r="P3136" s="3" t="n">
        <v>0</v>
      </c>
      <c r="Q3136" s="3" t="n">
        <v>0</v>
      </c>
      <c r="R3136" s="3" t="n">
        <v>0</v>
      </c>
      <c r="S3136" s="3" t="n">
        <v>1</v>
      </c>
      <c r="T3136" s="3" t="n">
        <v>0</v>
      </c>
      <c r="U3136" s="3" t="n">
        <v>0</v>
      </c>
      <c r="V3136" s="3" t="n">
        <f aca="false">SUM(P3136:Q3136)</f>
        <v>0</v>
      </c>
      <c r="W3136" s="3" t="n">
        <f aca="false">SUM(R3136:T3136)</f>
        <v>1</v>
      </c>
      <c r="X3136" s="22" t="n">
        <v>41794</v>
      </c>
      <c r="Y3136" s="22" t="n">
        <v>41799</v>
      </c>
    </row>
    <row r="3137" customFormat="false" ht="14.25" hidden="false" customHeight="false" outlineLevel="0" collapsed="false">
      <c r="A3137" s="1" t="n">
        <v>2014</v>
      </c>
      <c r="B3137" s="1" t="n">
        <v>1</v>
      </c>
      <c r="C3137" s="2" t="s">
        <v>50</v>
      </c>
      <c r="D3137" s="3" t="s">
        <v>51</v>
      </c>
      <c r="E3137" s="3" t="n">
        <v>1</v>
      </c>
      <c r="F3137" s="1" t="n">
        <f aca="false">Y3137-X3137</f>
        <v>5</v>
      </c>
      <c r="G3137" s="1" t="n">
        <v>5</v>
      </c>
      <c r="H3137" s="3" t="s">
        <v>226</v>
      </c>
      <c r="I3137" s="3" t="s">
        <v>65</v>
      </c>
      <c r="J3137" s="3" t="s">
        <v>123</v>
      </c>
      <c r="K3137" s="2" t="str">
        <f aca="false">CONCATENATE(I3137," ",J3137)</f>
        <v>Zora nemoralis</v>
      </c>
      <c r="L3137" s="3" t="n">
        <f aca="false">SUM(P3137:U3137)</f>
        <v>2</v>
      </c>
      <c r="M3137" s="11" t="n">
        <f aca="false">(L3137/(F3137*G3137)*25)*4</f>
        <v>8</v>
      </c>
      <c r="N3137" s="1" t="s">
        <v>30</v>
      </c>
      <c r="O3137" s="1" t="s">
        <v>31</v>
      </c>
      <c r="P3137" s="3" t="n">
        <v>2</v>
      </c>
      <c r="Q3137" s="3" t="n">
        <v>0</v>
      </c>
      <c r="R3137" s="3" t="n">
        <v>0</v>
      </c>
      <c r="S3137" s="3" t="n">
        <v>0</v>
      </c>
      <c r="T3137" s="3" t="n">
        <v>0</v>
      </c>
      <c r="U3137" s="3" t="n">
        <v>0</v>
      </c>
      <c r="V3137" s="3" t="n">
        <f aca="false">SUM(P3137:Q3137)</f>
        <v>2</v>
      </c>
      <c r="W3137" s="3" t="n">
        <f aca="false">SUM(R3137:T3137)</f>
        <v>0</v>
      </c>
      <c r="X3137" s="22" t="n">
        <v>41794</v>
      </c>
      <c r="Y3137" s="22" t="n">
        <v>41799</v>
      </c>
    </row>
    <row r="3138" customFormat="false" ht="14.25" hidden="false" customHeight="false" outlineLevel="0" collapsed="false">
      <c r="A3138" s="1" t="n">
        <v>2014</v>
      </c>
      <c r="B3138" s="1" t="n">
        <v>1</v>
      </c>
      <c r="C3138" s="2" t="s">
        <v>50</v>
      </c>
      <c r="D3138" s="3" t="s">
        <v>51</v>
      </c>
      <c r="E3138" s="3" t="n">
        <v>1</v>
      </c>
      <c r="F3138" s="1" t="n">
        <f aca="false">Y3138-X3138</f>
        <v>5</v>
      </c>
      <c r="G3138" s="1" t="n">
        <v>5</v>
      </c>
      <c r="H3138" s="3" t="s">
        <v>27</v>
      </c>
      <c r="I3138" s="3" t="s">
        <v>46</v>
      </c>
      <c r="J3138" s="3" t="s">
        <v>47</v>
      </c>
      <c r="K3138" s="2" t="str">
        <f aca="false">CONCATENATE(I3138," ",J3138)</f>
        <v>Euryopis flavomaculata</v>
      </c>
      <c r="L3138" s="3" t="n">
        <f aca="false">SUM(P3138:U3138)</f>
        <v>1</v>
      </c>
      <c r="M3138" s="11" t="n">
        <f aca="false">(L3138/(F3138*G3138)*25)*4</f>
        <v>4</v>
      </c>
      <c r="N3138" s="1" t="s">
        <v>30</v>
      </c>
      <c r="O3138" s="1" t="s">
        <v>31</v>
      </c>
      <c r="P3138" s="3" t="n">
        <v>1</v>
      </c>
      <c r="Q3138" s="3" t="n">
        <v>0</v>
      </c>
      <c r="R3138" s="3" t="n">
        <v>0</v>
      </c>
      <c r="S3138" s="3" t="n">
        <v>0</v>
      </c>
      <c r="T3138" s="3" t="n">
        <v>0</v>
      </c>
      <c r="U3138" s="3" t="n">
        <v>0</v>
      </c>
      <c r="V3138" s="3" t="n">
        <f aca="false">SUM(P3138:Q3138)</f>
        <v>1</v>
      </c>
      <c r="W3138" s="3" t="n">
        <f aca="false">SUM(R3138:T3138)</f>
        <v>0</v>
      </c>
      <c r="X3138" s="22" t="n">
        <v>41794</v>
      </c>
      <c r="Y3138" s="22" t="n">
        <v>41799</v>
      </c>
    </row>
    <row r="3139" customFormat="false" ht="14.25" hidden="false" customHeight="false" outlineLevel="0" collapsed="false">
      <c r="A3139" s="1" t="n">
        <v>2014</v>
      </c>
      <c r="B3139" s="1" t="n">
        <v>1</v>
      </c>
      <c r="C3139" s="2" t="s">
        <v>50</v>
      </c>
      <c r="D3139" s="3" t="s">
        <v>51</v>
      </c>
      <c r="E3139" s="3" t="n">
        <v>1</v>
      </c>
      <c r="F3139" s="1" t="n">
        <f aca="false">Y3139-X3139</f>
        <v>5</v>
      </c>
      <c r="G3139" s="1" t="n">
        <v>5</v>
      </c>
      <c r="H3139" s="3" t="s">
        <v>36</v>
      </c>
      <c r="I3139" s="3" t="s">
        <v>131</v>
      </c>
      <c r="J3139" s="3" t="s">
        <v>133</v>
      </c>
      <c r="K3139" s="2" t="str">
        <f aca="false">CONCATENATE(I3139," ",J3139)</f>
        <v>Xysticus luctuosus</v>
      </c>
      <c r="L3139" s="3" t="n">
        <f aca="false">SUM(P3139:U3139)</f>
        <v>1</v>
      </c>
      <c r="M3139" s="11" t="n">
        <f aca="false">(L3139/(F3139*G3139)*25)*4</f>
        <v>4</v>
      </c>
      <c r="N3139" s="1" t="s">
        <v>30</v>
      </c>
      <c r="O3139" s="1" t="s">
        <v>31</v>
      </c>
      <c r="P3139" s="3" t="n">
        <v>1</v>
      </c>
      <c r="Q3139" s="3" t="n">
        <v>0</v>
      </c>
      <c r="R3139" s="3" t="n">
        <v>0</v>
      </c>
      <c r="S3139" s="3" t="n">
        <v>0</v>
      </c>
      <c r="T3139" s="3" t="n">
        <v>0</v>
      </c>
      <c r="U3139" s="3" t="n">
        <v>0</v>
      </c>
      <c r="V3139" s="3" t="n">
        <f aca="false">SUM(P3139:Q3139)</f>
        <v>1</v>
      </c>
      <c r="W3139" s="3" t="n">
        <f aca="false">SUM(R3139:T3139)</f>
        <v>0</v>
      </c>
      <c r="X3139" s="22" t="n">
        <v>41794</v>
      </c>
      <c r="Y3139" s="22" t="n">
        <v>41799</v>
      </c>
    </row>
    <row r="3140" customFormat="false" ht="14.25" hidden="false" customHeight="false" outlineLevel="0" collapsed="false">
      <c r="A3140" s="1" t="n">
        <v>2014</v>
      </c>
      <c r="B3140" s="1" t="n">
        <v>1</v>
      </c>
      <c r="C3140" s="2" t="s">
        <v>50</v>
      </c>
      <c r="D3140" s="3" t="s">
        <v>51</v>
      </c>
      <c r="E3140" s="3" t="n">
        <v>1</v>
      </c>
      <c r="F3140" s="1" t="n">
        <f aca="false">Y3140-X3140</f>
        <v>5</v>
      </c>
      <c r="G3140" s="1" t="n">
        <v>5</v>
      </c>
      <c r="H3140" s="3" t="s">
        <v>36</v>
      </c>
      <c r="I3140" s="3" t="s">
        <v>37</v>
      </c>
      <c r="J3140" s="3" t="s">
        <v>75</v>
      </c>
      <c r="K3140" s="2" t="str">
        <f aca="false">CONCATENATE(I3140," ",J3140)</f>
        <v>Ozyptila praticola</v>
      </c>
      <c r="L3140" s="3" t="n">
        <f aca="false">SUM(P3140:U3140)</f>
        <v>2</v>
      </c>
      <c r="M3140" s="11" t="n">
        <f aca="false">(L3140/(F3140*G3140)*25)*4</f>
        <v>8</v>
      </c>
      <c r="N3140" s="1" t="s">
        <v>30</v>
      </c>
      <c r="O3140" s="1" t="s">
        <v>31</v>
      </c>
      <c r="P3140" s="3" t="n">
        <v>2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0</v>
      </c>
      <c r="V3140" s="3" t="n">
        <f aca="false">SUM(P3140:Q3140)</f>
        <v>2</v>
      </c>
      <c r="W3140" s="3" t="n">
        <f aca="false">SUM(R3140:T3140)</f>
        <v>0</v>
      </c>
      <c r="X3140" s="22" t="n">
        <v>41794</v>
      </c>
      <c r="Y3140" s="22" t="n">
        <v>41799</v>
      </c>
    </row>
    <row r="3141" customFormat="false" ht="14.25" hidden="false" customHeight="false" outlineLevel="0" collapsed="false">
      <c r="A3141" s="1" t="n">
        <v>2014</v>
      </c>
      <c r="B3141" s="1" t="n">
        <v>1</v>
      </c>
      <c r="C3141" s="2" t="s">
        <v>50</v>
      </c>
      <c r="D3141" s="3" t="s">
        <v>51</v>
      </c>
      <c r="E3141" s="3" t="n">
        <v>1</v>
      </c>
      <c r="F3141" s="1" t="n">
        <f aca="false">Y3141-X3141</f>
        <v>5</v>
      </c>
      <c r="G3141" s="1" t="n">
        <v>5</v>
      </c>
      <c r="H3141" s="3" t="s">
        <v>72</v>
      </c>
      <c r="I3141" s="3" t="s">
        <v>86</v>
      </c>
      <c r="J3141" s="3" t="s">
        <v>87</v>
      </c>
      <c r="K3141" s="2" t="str">
        <f aca="false">CONCATENATE(I3141," ",J3141)</f>
        <v>Haplodrassus soerenseni</v>
      </c>
      <c r="L3141" s="3" t="n">
        <f aca="false">SUM(P3141:U3141)</f>
        <v>1</v>
      </c>
      <c r="M3141" s="11" t="n">
        <f aca="false">(L3141/(F3141*G3141)*25)*4</f>
        <v>4</v>
      </c>
      <c r="N3141" s="1" t="s">
        <v>30</v>
      </c>
      <c r="O3141" s="1" t="s">
        <v>31</v>
      </c>
      <c r="P3141" s="3" t="n">
        <v>1</v>
      </c>
      <c r="Q3141" s="3" t="n">
        <v>0</v>
      </c>
      <c r="R3141" s="3" t="n">
        <v>0</v>
      </c>
      <c r="S3141" s="3" t="n">
        <v>0</v>
      </c>
      <c r="T3141" s="3" t="n">
        <v>0</v>
      </c>
      <c r="U3141" s="3" t="n">
        <v>0</v>
      </c>
      <c r="V3141" s="3" t="n">
        <f aca="false">SUM(P3141:Q3141)</f>
        <v>1</v>
      </c>
      <c r="W3141" s="3" t="n">
        <f aca="false">SUM(R3141:T3141)</f>
        <v>0</v>
      </c>
      <c r="X3141" s="22" t="n">
        <v>41794</v>
      </c>
      <c r="Y3141" s="22" t="n">
        <v>41799</v>
      </c>
    </row>
    <row r="3142" customFormat="false" ht="14.25" hidden="false" customHeight="false" outlineLevel="0" collapsed="false">
      <c r="A3142" s="1" t="n">
        <v>2014</v>
      </c>
      <c r="B3142" s="1" t="n">
        <v>1</v>
      </c>
      <c r="C3142" s="2" t="s">
        <v>50</v>
      </c>
      <c r="D3142" s="3" t="s">
        <v>51</v>
      </c>
      <c r="E3142" s="3" t="n">
        <v>1</v>
      </c>
      <c r="F3142" s="1" t="n">
        <f aca="false">Y3142-X3142</f>
        <v>5</v>
      </c>
      <c r="G3142" s="1" t="n">
        <v>5</v>
      </c>
      <c r="H3142" s="3" t="s">
        <v>72</v>
      </c>
      <c r="I3142" s="3" t="s">
        <v>86</v>
      </c>
      <c r="J3142" s="3" t="s">
        <v>38</v>
      </c>
      <c r="K3142" s="2" t="str">
        <f aca="false">CONCATENATE(I3142," ",J3142)</f>
        <v>Haplodrassus sp</v>
      </c>
      <c r="L3142" s="3" t="n">
        <f aca="false">SUM(P3142:U3142)</f>
        <v>1</v>
      </c>
      <c r="M3142" s="11" t="n">
        <f aca="false">(L3142/(F3142*G3142)*25)*4</f>
        <v>4</v>
      </c>
      <c r="N3142" s="1" t="s">
        <v>19</v>
      </c>
      <c r="O3142" s="1" t="s">
        <v>54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1</v>
      </c>
      <c r="U3142" s="3" t="n">
        <v>0</v>
      </c>
      <c r="V3142" s="3" t="n">
        <f aca="false">SUM(P3142:Q3142)</f>
        <v>0</v>
      </c>
      <c r="W3142" s="3" t="n">
        <f aca="false">SUM(R3142:T3142)</f>
        <v>1</v>
      </c>
      <c r="X3142" s="22" t="n">
        <v>41794</v>
      </c>
      <c r="Y3142" s="22" t="n">
        <v>41799</v>
      </c>
    </row>
    <row r="3143" customFormat="false" ht="14.25" hidden="false" customHeight="false" outlineLevel="0" collapsed="false">
      <c r="A3143" s="1" t="n">
        <v>2014</v>
      </c>
      <c r="B3143" s="1" t="n">
        <v>1</v>
      </c>
      <c r="C3143" s="2" t="s">
        <v>50</v>
      </c>
      <c r="D3143" s="3" t="s">
        <v>51</v>
      </c>
      <c r="E3143" s="3" t="n">
        <v>1</v>
      </c>
      <c r="F3143" s="1" t="n">
        <f aca="false">Y3143-X3143</f>
        <v>5</v>
      </c>
      <c r="G3143" s="1" t="n">
        <v>5</v>
      </c>
      <c r="H3143" s="3" t="s">
        <v>72</v>
      </c>
      <c r="I3143" s="3" t="s">
        <v>147</v>
      </c>
      <c r="J3143" s="3" t="s">
        <v>265</v>
      </c>
      <c r="K3143" s="2" t="str">
        <f aca="false">CONCATENATE(I3143," ",J3143)</f>
        <v>Micaria pulicaria</v>
      </c>
      <c r="L3143" s="3" t="n">
        <f aca="false">SUM(P3143:U3143)</f>
        <v>1</v>
      </c>
      <c r="M3143" s="11" t="n">
        <f aca="false">(L3143/(F3143*G3143)*25)*4</f>
        <v>4</v>
      </c>
      <c r="N3143" s="1" t="s">
        <v>30</v>
      </c>
      <c r="O3143" s="1" t="s">
        <v>31</v>
      </c>
      <c r="P3143" s="3" t="n">
        <v>1</v>
      </c>
      <c r="Q3143" s="3" t="n">
        <v>0</v>
      </c>
      <c r="R3143" s="3" t="n">
        <v>0</v>
      </c>
      <c r="S3143" s="3" t="n">
        <v>0</v>
      </c>
      <c r="T3143" s="3" t="n">
        <v>0</v>
      </c>
      <c r="U3143" s="3" t="n">
        <v>0</v>
      </c>
      <c r="V3143" s="3" t="n">
        <f aca="false">SUM(P3143:Q3143)</f>
        <v>1</v>
      </c>
      <c r="W3143" s="3" t="n">
        <f aca="false">SUM(R3143:T3143)</f>
        <v>0</v>
      </c>
      <c r="X3143" s="22" t="n">
        <v>41794</v>
      </c>
      <c r="Y3143" s="22" t="n">
        <v>41799</v>
      </c>
    </row>
    <row r="3144" customFormat="false" ht="14.25" hidden="false" customHeight="false" outlineLevel="0" collapsed="false">
      <c r="A3144" s="1" t="n">
        <v>2014</v>
      </c>
      <c r="B3144" s="1" t="n">
        <v>1</v>
      </c>
      <c r="C3144" s="2" t="s">
        <v>50</v>
      </c>
      <c r="D3144" s="3" t="s">
        <v>51</v>
      </c>
      <c r="E3144" s="3" t="n">
        <v>2</v>
      </c>
      <c r="F3144" s="1" t="n">
        <f aca="false">Y3144-X3144</f>
        <v>5</v>
      </c>
      <c r="G3144" s="1" t="n">
        <v>5</v>
      </c>
      <c r="H3144" s="3" t="s">
        <v>48</v>
      </c>
      <c r="I3144" s="3" t="s">
        <v>67</v>
      </c>
      <c r="J3144" s="3" t="s">
        <v>127</v>
      </c>
      <c r="K3144" s="2" t="str">
        <f aca="false">CONCATENATE(I3144," ",J3144)</f>
        <v>Pardosa lugubris</v>
      </c>
      <c r="L3144" s="3" t="n">
        <f aca="false">SUM(P3144:U3144)</f>
        <v>17</v>
      </c>
      <c r="M3144" s="11" t="n">
        <f aca="false">(L3144/(F3144*G3144)*25)*4</f>
        <v>68</v>
      </c>
      <c r="N3144" s="1" t="s">
        <v>30</v>
      </c>
      <c r="O3144" s="1" t="s">
        <v>31</v>
      </c>
      <c r="P3144" s="3" t="n">
        <v>17</v>
      </c>
      <c r="Q3144" s="3" t="n">
        <v>0</v>
      </c>
      <c r="R3144" s="3" t="n">
        <v>0</v>
      </c>
      <c r="S3144" s="3" t="n">
        <v>0</v>
      </c>
      <c r="T3144" s="3" t="n">
        <v>0</v>
      </c>
      <c r="U3144" s="3" t="n">
        <v>0</v>
      </c>
      <c r="V3144" s="3" t="n">
        <f aca="false">SUM(P3144:Q3144)</f>
        <v>17</v>
      </c>
      <c r="W3144" s="3" t="n">
        <f aca="false">SUM(R3144:T3144)</f>
        <v>0</v>
      </c>
      <c r="X3144" s="22" t="n">
        <v>41794</v>
      </c>
      <c r="Y3144" s="22" t="n">
        <v>41799</v>
      </c>
    </row>
    <row r="3145" customFormat="false" ht="14.25" hidden="false" customHeight="false" outlineLevel="0" collapsed="false">
      <c r="A3145" s="1" t="n">
        <v>2014</v>
      </c>
      <c r="B3145" s="1" t="n">
        <v>1</v>
      </c>
      <c r="C3145" s="2" t="s">
        <v>50</v>
      </c>
      <c r="D3145" s="3" t="s">
        <v>51</v>
      </c>
      <c r="E3145" s="3" t="n">
        <v>2</v>
      </c>
      <c r="F3145" s="1" t="n">
        <f aca="false">Y3145-X3145</f>
        <v>5</v>
      </c>
      <c r="G3145" s="1" t="n">
        <v>5</v>
      </c>
      <c r="H3145" s="3" t="s">
        <v>48</v>
      </c>
      <c r="I3145" s="3" t="s">
        <v>67</v>
      </c>
      <c r="J3145" s="3" t="s">
        <v>127</v>
      </c>
      <c r="K3145" s="2" t="str">
        <f aca="false">CONCATENATE(I3145," ",J3145)</f>
        <v>Pardosa lugubris</v>
      </c>
      <c r="L3145" s="3" t="n">
        <f aca="false">SUM(P3145:U3145)</f>
        <v>2</v>
      </c>
      <c r="M3145" s="11" t="n">
        <f aca="false">(L3145/(F3145*G3145)*25)*4</f>
        <v>8</v>
      </c>
      <c r="N3145" s="1" t="s">
        <v>30</v>
      </c>
      <c r="O3145" s="1" t="s">
        <v>35</v>
      </c>
      <c r="P3145" s="3" t="n">
        <v>0</v>
      </c>
      <c r="Q3145" s="3" t="n">
        <v>2</v>
      </c>
      <c r="R3145" s="3" t="n">
        <v>0</v>
      </c>
      <c r="S3145" s="3" t="n">
        <v>0</v>
      </c>
      <c r="T3145" s="3" t="n">
        <v>0</v>
      </c>
      <c r="U3145" s="3" t="n">
        <v>0</v>
      </c>
      <c r="V3145" s="3" t="n">
        <f aca="false">SUM(P3145:Q3145)</f>
        <v>2</v>
      </c>
      <c r="W3145" s="3" t="n">
        <f aca="false">SUM(R3145:T3145)</f>
        <v>0</v>
      </c>
      <c r="X3145" s="22" t="n">
        <v>41794</v>
      </c>
      <c r="Y3145" s="22" t="n">
        <v>41799</v>
      </c>
    </row>
    <row r="3146" customFormat="false" ht="14.25" hidden="false" customHeight="false" outlineLevel="0" collapsed="false">
      <c r="A3146" s="1" t="n">
        <v>2014</v>
      </c>
      <c r="B3146" s="1" t="n">
        <v>1</v>
      </c>
      <c r="C3146" s="2" t="s">
        <v>50</v>
      </c>
      <c r="D3146" s="3" t="s">
        <v>51</v>
      </c>
      <c r="E3146" s="3" t="n">
        <v>2</v>
      </c>
      <c r="F3146" s="1" t="n">
        <f aca="false">Y3146-X3146</f>
        <v>5</v>
      </c>
      <c r="G3146" s="1" t="n">
        <v>5</v>
      </c>
      <c r="H3146" s="3" t="s">
        <v>48</v>
      </c>
      <c r="I3146" s="3" t="s">
        <v>49</v>
      </c>
      <c r="J3146" s="3" t="s">
        <v>104</v>
      </c>
      <c r="K3146" s="2" t="str">
        <f aca="false">CONCATENATE(I3146," ",J3146)</f>
        <v>Alopecosa taeniata</v>
      </c>
      <c r="L3146" s="3" t="n">
        <f aca="false">SUM(P3146:U3146)</f>
        <v>3</v>
      </c>
      <c r="M3146" s="11" t="n">
        <f aca="false">(L3146/(F3146*G3146)*25)*4</f>
        <v>12</v>
      </c>
      <c r="N3146" s="1" t="s">
        <v>30</v>
      </c>
      <c r="O3146" s="1" t="s">
        <v>31</v>
      </c>
      <c r="P3146" s="3" t="n">
        <v>3</v>
      </c>
      <c r="Q3146" s="3" t="n">
        <v>0</v>
      </c>
      <c r="R3146" s="3" t="n">
        <v>0</v>
      </c>
      <c r="S3146" s="3" t="n">
        <v>0</v>
      </c>
      <c r="T3146" s="3" t="n">
        <v>0</v>
      </c>
      <c r="U3146" s="3" t="n">
        <v>0</v>
      </c>
      <c r="V3146" s="3" t="n">
        <f aca="false">SUM(P3146:Q3146)</f>
        <v>3</v>
      </c>
      <c r="W3146" s="3" t="n">
        <f aca="false">SUM(R3146:T3146)</f>
        <v>0</v>
      </c>
      <c r="X3146" s="22" t="n">
        <v>41794</v>
      </c>
      <c r="Y3146" s="22" t="n">
        <v>41799</v>
      </c>
    </row>
    <row r="3147" customFormat="false" ht="14.25" hidden="false" customHeight="false" outlineLevel="0" collapsed="false">
      <c r="A3147" s="1" t="n">
        <v>2014</v>
      </c>
      <c r="B3147" s="1" t="n">
        <v>1</v>
      </c>
      <c r="C3147" s="2" t="s">
        <v>50</v>
      </c>
      <c r="D3147" s="3" t="s">
        <v>51</v>
      </c>
      <c r="E3147" s="3" t="n">
        <v>2</v>
      </c>
      <c r="F3147" s="1" t="n">
        <f aca="false">Y3147-X3147</f>
        <v>5</v>
      </c>
      <c r="G3147" s="1" t="n">
        <v>5</v>
      </c>
      <c r="H3147" s="3" t="s">
        <v>48</v>
      </c>
      <c r="I3147" s="3" t="s">
        <v>61</v>
      </c>
      <c r="J3147" s="3" t="s">
        <v>38</v>
      </c>
      <c r="K3147" s="2" t="str">
        <f aca="false">CONCATENATE(I3147," ",J3147)</f>
        <v>Trochosa sp</v>
      </c>
      <c r="L3147" s="3" t="n">
        <f aca="false">SUM(P3147:U3147)</f>
        <v>1</v>
      </c>
      <c r="M3147" s="11" t="n">
        <f aca="false">(L3147/(F3147*G3147)*25)*4</f>
        <v>4</v>
      </c>
      <c r="N3147" s="1" t="s">
        <v>19</v>
      </c>
      <c r="O3147" s="1" t="s">
        <v>35</v>
      </c>
      <c r="P3147" s="3" t="n">
        <v>0</v>
      </c>
      <c r="Q3147" s="3" t="n">
        <v>0</v>
      </c>
      <c r="R3147" s="3" t="n">
        <v>0</v>
      </c>
      <c r="S3147" s="3" t="n">
        <v>1</v>
      </c>
      <c r="T3147" s="3" t="n">
        <v>0</v>
      </c>
      <c r="U3147" s="3" t="n">
        <v>0</v>
      </c>
      <c r="V3147" s="3" t="n">
        <f aca="false">SUM(P3147:Q3147)</f>
        <v>0</v>
      </c>
      <c r="W3147" s="3" t="n">
        <f aca="false">SUM(R3147:T3147)</f>
        <v>1</v>
      </c>
      <c r="X3147" s="22" t="n">
        <v>41794</v>
      </c>
      <c r="Y3147" s="22" t="n">
        <v>41799</v>
      </c>
    </row>
    <row r="3148" customFormat="false" ht="14.25" hidden="false" customHeight="false" outlineLevel="0" collapsed="false">
      <c r="A3148" s="1" t="n">
        <v>2014</v>
      </c>
      <c r="B3148" s="1" t="n">
        <v>1</v>
      </c>
      <c r="C3148" s="2" t="s">
        <v>50</v>
      </c>
      <c r="D3148" s="3" t="s">
        <v>51</v>
      </c>
      <c r="E3148" s="3" t="n">
        <v>2</v>
      </c>
      <c r="F3148" s="1" t="n">
        <f aca="false">Y3148-X3148</f>
        <v>5</v>
      </c>
      <c r="G3148" s="1" t="n">
        <v>5</v>
      </c>
      <c r="H3148" s="3" t="s">
        <v>36</v>
      </c>
      <c r="I3148" s="3" t="s">
        <v>37</v>
      </c>
      <c r="J3148" s="3" t="s">
        <v>75</v>
      </c>
      <c r="K3148" s="2" t="str">
        <f aca="false">CONCATENATE(I3148," ",J3148)</f>
        <v>Ozyptila praticola</v>
      </c>
      <c r="L3148" s="3" t="n">
        <f aca="false">SUM(P3148:U3148)</f>
        <v>1</v>
      </c>
      <c r="M3148" s="11" t="n">
        <f aca="false">(L3148/(F3148*G3148)*25)*4</f>
        <v>4</v>
      </c>
      <c r="N3148" s="1" t="s">
        <v>30</v>
      </c>
      <c r="O3148" s="1" t="s">
        <v>31</v>
      </c>
      <c r="P3148" s="3" t="n">
        <v>1</v>
      </c>
      <c r="Q3148" s="3" t="n">
        <v>0</v>
      </c>
      <c r="R3148" s="3" t="n">
        <v>0</v>
      </c>
      <c r="S3148" s="3" t="n">
        <v>0</v>
      </c>
      <c r="T3148" s="3" t="n">
        <v>0</v>
      </c>
      <c r="U3148" s="3" t="n">
        <v>0</v>
      </c>
      <c r="V3148" s="3" t="n">
        <f aca="false">SUM(P3148:Q3148)</f>
        <v>1</v>
      </c>
      <c r="W3148" s="3" t="n">
        <f aca="false">SUM(R3148:T3148)</f>
        <v>0</v>
      </c>
      <c r="X3148" s="22" t="n">
        <v>41794</v>
      </c>
      <c r="Y3148" s="22" t="n">
        <v>41799</v>
      </c>
    </row>
    <row r="3149" customFormat="false" ht="14.25" hidden="false" customHeight="false" outlineLevel="0" collapsed="false">
      <c r="A3149" s="1" t="n">
        <v>2014</v>
      </c>
      <c r="B3149" s="1" t="n">
        <v>1</v>
      </c>
      <c r="C3149" s="2" t="s">
        <v>50</v>
      </c>
      <c r="D3149" s="3" t="s">
        <v>51</v>
      </c>
      <c r="E3149" s="3" t="n">
        <v>2</v>
      </c>
      <c r="F3149" s="1" t="n">
        <f aca="false">Y3149-X3149</f>
        <v>5</v>
      </c>
      <c r="G3149" s="1" t="n">
        <v>5</v>
      </c>
      <c r="H3149" s="3" t="s">
        <v>135</v>
      </c>
      <c r="I3149" s="3" t="s">
        <v>136</v>
      </c>
      <c r="J3149" s="3" t="s">
        <v>137</v>
      </c>
      <c r="K3149" s="2" t="str">
        <f aca="false">CONCATENATE(I3149," ",J3149)</f>
        <v>Thanatus sabulosus</v>
      </c>
      <c r="L3149" s="3" t="n">
        <f aca="false">SUM(P3149:U3149)</f>
        <v>1</v>
      </c>
      <c r="M3149" s="11" t="n">
        <f aca="false">(L3149/(F3149*G3149)*25)*4</f>
        <v>4</v>
      </c>
      <c r="N3149" s="1" t="s">
        <v>30</v>
      </c>
      <c r="O3149" s="1" t="s">
        <v>35</v>
      </c>
      <c r="P3149" s="3" t="n">
        <v>0</v>
      </c>
      <c r="Q3149" s="3" t="n">
        <v>1</v>
      </c>
      <c r="R3149" s="3" t="n">
        <v>0</v>
      </c>
      <c r="S3149" s="3" t="n">
        <v>0</v>
      </c>
      <c r="T3149" s="3" t="n">
        <v>0</v>
      </c>
      <c r="U3149" s="3" t="n">
        <v>0</v>
      </c>
      <c r="V3149" s="3" t="n">
        <f aca="false">SUM(P3149:Q3149)</f>
        <v>1</v>
      </c>
      <c r="W3149" s="3" t="n">
        <f aca="false">SUM(R3149:T3149)</f>
        <v>0</v>
      </c>
      <c r="X3149" s="22" t="n">
        <v>41794</v>
      </c>
      <c r="Y3149" s="22" t="n">
        <v>41799</v>
      </c>
    </row>
    <row r="3150" customFormat="false" ht="14.25" hidden="false" customHeight="false" outlineLevel="0" collapsed="false">
      <c r="A3150" s="1" t="n">
        <v>2014</v>
      </c>
      <c r="B3150" s="1" t="n">
        <v>1</v>
      </c>
      <c r="C3150" s="2" t="s">
        <v>50</v>
      </c>
      <c r="D3150" s="3" t="s">
        <v>51</v>
      </c>
      <c r="E3150" s="3" t="n">
        <v>2</v>
      </c>
      <c r="F3150" s="1" t="n">
        <f aca="false">Y3150-X3150</f>
        <v>5</v>
      </c>
      <c r="G3150" s="1" t="n">
        <v>5</v>
      </c>
      <c r="H3150" s="3" t="s">
        <v>72</v>
      </c>
      <c r="I3150" s="3" t="s">
        <v>86</v>
      </c>
      <c r="J3150" s="3" t="s">
        <v>87</v>
      </c>
      <c r="K3150" s="2" t="str">
        <f aca="false">CONCATENATE(I3150," ",J3150)</f>
        <v>Haplodrassus soerenseni</v>
      </c>
      <c r="L3150" s="3" t="n">
        <f aca="false">SUM(P3150:U3150)</f>
        <v>1</v>
      </c>
      <c r="M3150" s="11" t="n">
        <f aca="false">(L3150/(F3150*G3150)*25)*4</f>
        <v>4</v>
      </c>
      <c r="N3150" s="1" t="s">
        <v>30</v>
      </c>
      <c r="O3150" s="1" t="s">
        <v>35</v>
      </c>
      <c r="P3150" s="3" t="n">
        <v>0</v>
      </c>
      <c r="Q3150" s="3" t="n">
        <v>1</v>
      </c>
      <c r="R3150" s="3" t="n">
        <v>0</v>
      </c>
      <c r="S3150" s="3" t="n">
        <v>0</v>
      </c>
      <c r="T3150" s="3" t="n">
        <v>0</v>
      </c>
      <c r="U3150" s="3" t="n">
        <v>0</v>
      </c>
      <c r="V3150" s="3" t="n">
        <f aca="false">SUM(P3150:Q3150)</f>
        <v>1</v>
      </c>
      <c r="W3150" s="3" t="n">
        <f aca="false">SUM(R3150:T3150)</f>
        <v>0</v>
      </c>
      <c r="X3150" s="22" t="n">
        <v>41794</v>
      </c>
      <c r="Y3150" s="22" t="n">
        <v>41799</v>
      </c>
    </row>
    <row r="3151" customFormat="false" ht="14.25" hidden="false" customHeight="false" outlineLevel="0" collapsed="false">
      <c r="A3151" s="1" t="n">
        <v>2014</v>
      </c>
      <c r="B3151" s="1" t="n">
        <v>1</v>
      </c>
      <c r="C3151" s="2" t="s">
        <v>50</v>
      </c>
      <c r="D3151" s="3" t="s">
        <v>51</v>
      </c>
      <c r="E3151" s="3" t="n">
        <v>2</v>
      </c>
      <c r="F3151" s="1" t="n">
        <f aca="false">Y3151-X3151</f>
        <v>5</v>
      </c>
      <c r="G3151" s="1" t="n">
        <v>5</v>
      </c>
      <c r="H3151" s="3" t="s">
        <v>32</v>
      </c>
      <c r="I3151" s="3" t="s">
        <v>62</v>
      </c>
      <c r="J3151" s="3" t="s">
        <v>63</v>
      </c>
      <c r="K3151" s="2" t="str">
        <f aca="false">CONCATENATE(I3151," ",J3151)</f>
        <v>Microneta viaria</v>
      </c>
      <c r="L3151" s="3" t="n">
        <f aca="false">SUM(P3151:U3151)</f>
        <v>1</v>
      </c>
      <c r="M3151" s="11" t="n">
        <f aca="false">(L3151/(F3151*G3151)*25)*4</f>
        <v>4</v>
      </c>
      <c r="N3151" s="1" t="s">
        <v>30</v>
      </c>
      <c r="O3151" s="1" t="s">
        <v>31</v>
      </c>
      <c r="P3151" s="3" t="n">
        <v>1</v>
      </c>
      <c r="Q3151" s="3" t="n">
        <v>0</v>
      </c>
      <c r="R3151" s="3" t="n">
        <v>0</v>
      </c>
      <c r="S3151" s="3" t="n">
        <v>0</v>
      </c>
      <c r="T3151" s="3" t="n">
        <v>0</v>
      </c>
      <c r="U3151" s="3" t="n">
        <v>0</v>
      </c>
      <c r="V3151" s="3" t="n">
        <f aca="false">SUM(P3151:Q3151)</f>
        <v>1</v>
      </c>
      <c r="W3151" s="3" t="n">
        <f aca="false">SUM(R3151:T3151)</f>
        <v>0</v>
      </c>
      <c r="X3151" s="22" t="n">
        <v>41794</v>
      </c>
      <c r="Y3151" s="22" t="n">
        <v>41799</v>
      </c>
    </row>
    <row r="3152" customFormat="false" ht="14.25" hidden="false" customHeight="false" outlineLevel="0" collapsed="false">
      <c r="A3152" s="1" t="n">
        <v>2014</v>
      </c>
      <c r="B3152" s="1" t="n">
        <v>1</v>
      </c>
      <c r="C3152" s="2" t="s">
        <v>50</v>
      </c>
      <c r="D3152" s="3" t="s">
        <v>51</v>
      </c>
      <c r="E3152" s="3" t="n">
        <v>2</v>
      </c>
      <c r="F3152" s="1" t="n">
        <f aca="false">Y3152-X3152</f>
        <v>5</v>
      </c>
      <c r="G3152" s="1" t="n">
        <v>5</v>
      </c>
      <c r="H3152" s="3" t="s">
        <v>32</v>
      </c>
      <c r="I3152" s="3" t="s">
        <v>33</v>
      </c>
      <c r="J3152" s="3" t="s">
        <v>60</v>
      </c>
      <c r="K3152" s="2" t="str">
        <f aca="false">CONCATENATE(I3152," ",J3152)</f>
        <v>Tenuiphantes tenebricola</v>
      </c>
      <c r="L3152" s="3" t="n">
        <f aca="false">SUM(P3152:U3152)</f>
        <v>1</v>
      </c>
      <c r="M3152" s="11" t="n">
        <f aca="false">(L3152/(F3152*G3152)*25)*4</f>
        <v>4</v>
      </c>
      <c r="N3152" s="1" t="s">
        <v>30</v>
      </c>
      <c r="O3152" s="1" t="s">
        <v>31</v>
      </c>
      <c r="P3152" s="3" t="n">
        <v>1</v>
      </c>
      <c r="Q3152" s="3" t="n">
        <v>0</v>
      </c>
      <c r="R3152" s="3" t="n">
        <v>0</v>
      </c>
      <c r="S3152" s="3" t="n">
        <v>0</v>
      </c>
      <c r="T3152" s="3" t="n">
        <v>0</v>
      </c>
      <c r="U3152" s="3" t="n">
        <v>0</v>
      </c>
      <c r="V3152" s="3" t="n">
        <f aca="false">SUM(P3152:Q3152)</f>
        <v>1</v>
      </c>
      <c r="W3152" s="3" t="n">
        <f aca="false">SUM(R3152:T3152)</f>
        <v>0</v>
      </c>
      <c r="X3152" s="22" t="n">
        <v>41794</v>
      </c>
      <c r="Y3152" s="22" t="n">
        <v>41799</v>
      </c>
    </row>
    <row r="3153" customFormat="false" ht="14.25" hidden="false" customHeight="false" outlineLevel="0" collapsed="false">
      <c r="A3153" s="1" t="n">
        <v>2014</v>
      </c>
      <c r="B3153" s="1" t="n">
        <v>1</v>
      </c>
      <c r="C3153" s="2" t="s">
        <v>50</v>
      </c>
      <c r="D3153" s="3" t="s">
        <v>51</v>
      </c>
      <c r="E3153" s="3" t="n">
        <v>2</v>
      </c>
      <c r="F3153" s="1" t="n">
        <f aca="false">Y3153-X3153</f>
        <v>5</v>
      </c>
      <c r="G3153" s="1" t="n">
        <v>5</v>
      </c>
      <c r="H3153" s="3" t="s">
        <v>32</v>
      </c>
      <c r="I3153" s="3" t="s">
        <v>96</v>
      </c>
      <c r="J3153" s="3" t="s">
        <v>97</v>
      </c>
      <c r="K3153" s="2" t="str">
        <f aca="false">CONCATENATE(I3153," ",J3153)</f>
        <v>Diplocephalus picinus</v>
      </c>
      <c r="L3153" s="3" t="n">
        <f aca="false">SUM(P3153:U3153)</f>
        <v>1</v>
      </c>
      <c r="M3153" s="11" t="n">
        <f aca="false">(L3153/(F3153*G3153)*25)*4</f>
        <v>4</v>
      </c>
      <c r="N3153" s="1" t="s">
        <v>30</v>
      </c>
      <c r="O3153" s="1" t="s">
        <v>31</v>
      </c>
      <c r="P3153" s="3" t="n">
        <v>1</v>
      </c>
      <c r="Q3153" s="3" t="n">
        <v>0</v>
      </c>
      <c r="R3153" s="3" t="n">
        <v>0</v>
      </c>
      <c r="S3153" s="3" t="n">
        <v>0</v>
      </c>
      <c r="T3153" s="3" t="n">
        <v>0</v>
      </c>
      <c r="U3153" s="3" t="n">
        <v>0</v>
      </c>
      <c r="V3153" s="3" t="n">
        <f aca="false">SUM(P3153:Q3153)</f>
        <v>1</v>
      </c>
      <c r="W3153" s="3" t="n">
        <f aca="false">SUM(R3153:T3153)</f>
        <v>0</v>
      </c>
      <c r="X3153" s="22" t="n">
        <v>41794</v>
      </c>
      <c r="Y3153" s="22" t="n">
        <v>41799</v>
      </c>
    </row>
    <row r="3154" customFormat="false" ht="14.25" hidden="false" customHeight="false" outlineLevel="0" collapsed="false">
      <c r="A3154" s="1" t="n">
        <v>2014</v>
      </c>
      <c r="B3154" s="1" t="n">
        <v>1</v>
      </c>
      <c r="C3154" s="2" t="s">
        <v>50</v>
      </c>
      <c r="D3154" s="3" t="s">
        <v>51</v>
      </c>
      <c r="E3154" s="3" t="n">
        <v>2</v>
      </c>
      <c r="F3154" s="1" t="n">
        <f aca="false">Y3154-X3154</f>
        <v>5</v>
      </c>
      <c r="G3154" s="1" t="n">
        <v>5</v>
      </c>
      <c r="H3154" s="3" t="s">
        <v>48</v>
      </c>
      <c r="I3154" s="3" t="s">
        <v>49</v>
      </c>
      <c r="J3154" s="3" t="s">
        <v>119</v>
      </c>
      <c r="K3154" s="2" t="str">
        <f aca="false">CONCATENATE(I3154," ",J3154)</f>
        <v>Alopecosa sulzeri</v>
      </c>
      <c r="L3154" s="3" t="n">
        <f aca="false">SUM(P3154:U3154)</f>
        <v>1</v>
      </c>
      <c r="M3154" s="11" t="n">
        <f aca="false">(L3154/(F3154*G3154)*25)*4</f>
        <v>4</v>
      </c>
      <c r="N3154" s="1" t="s">
        <v>30</v>
      </c>
      <c r="O3154" s="1" t="s">
        <v>31</v>
      </c>
      <c r="P3154" s="3" t="n">
        <v>1</v>
      </c>
      <c r="Q3154" s="3" t="n">
        <v>0</v>
      </c>
      <c r="R3154" s="3" t="n">
        <v>0</v>
      </c>
      <c r="S3154" s="3" t="n">
        <v>0</v>
      </c>
      <c r="T3154" s="3" t="n">
        <v>0</v>
      </c>
      <c r="U3154" s="3" t="n">
        <v>0</v>
      </c>
      <c r="V3154" s="3" t="n">
        <f aca="false">SUM(P3154:Q3154)</f>
        <v>1</v>
      </c>
      <c r="W3154" s="3" t="n">
        <f aca="false">SUM(R3154:T3154)</f>
        <v>0</v>
      </c>
      <c r="X3154" s="22" t="n">
        <v>41794</v>
      </c>
      <c r="Y3154" s="22" t="n">
        <v>41799</v>
      </c>
    </row>
    <row r="3155" customFormat="false" ht="14.25" hidden="false" customHeight="false" outlineLevel="0" collapsed="false">
      <c r="A3155" s="1" t="n">
        <v>2014</v>
      </c>
      <c r="B3155" s="1" t="n">
        <v>1</v>
      </c>
      <c r="C3155" s="2" t="s">
        <v>50</v>
      </c>
      <c r="D3155" s="3" t="s">
        <v>51</v>
      </c>
      <c r="E3155" s="3" t="n">
        <v>2</v>
      </c>
      <c r="F3155" s="1" t="n">
        <f aca="false">Y3155-X3155</f>
        <v>5</v>
      </c>
      <c r="G3155" s="1" t="n">
        <v>5</v>
      </c>
      <c r="H3155" s="3" t="s">
        <v>48</v>
      </c>
      <c r="I3155" s="3" t="s">
        <v>49</v>
      </c>
      <c r="J3155" s="3" t="s">
        <v>104</v>
      </c>
      <c r="K3155" s="2" t="str">
        <f aca="false">CONCATENATE(I3155," ",J3155)</f>
        <v>Alopecosa taeniata</v>
      </c>
      <c r="L3155" s="3" t="n">
        <f aca="false">SUM(P3155:U3155)</f>
        <v>1</v>
      </c>
      <c r="M3155" s="11" t="n">
        <f aca="false">(L3155/(F3155*G3155)*25)*4</f>
        <v>4</v>
      </c>
      <c r="N3155" s="1" t="s">
        <v>30</v>
      </c>
      <c r="O3155" s="1" t="s">
        <v>31</v>
      </c>
      <c r="P3155" s="3" t="n">
        <v>1</v>
      </c>
      <c r="Q3155" s="3" t="n">
        <v>0</v>
      </c>
      <c r="R3155" s="3" t="n">
        <v>0</v>
      </c>
      <c r="S3155" s="3" t="n">
        <v>0</v>
      </c>
      <c r="T3155" s="3" t="n">
        <v>0</v>
      </c>
      <c r="U3155" s="3" t="n">
        <v>0</v>
      </c>
      <c r="V3155" s="3" t="n">
        <f aca="false">SUM(P3155:Q3155)</f>
        <v>1</v>
      </c>
      <c r="W3155" s="3" t="n">
        <f aca="false">SUM(R3155:T3155)</f>
        <v>0</v>
      </c>
      <c r="X3155" s="22" t="n">
        <v>41794</v>
      </c>
      <c r="Y3155" s="22" t="n">
        <v>41799</v>
      </c>
    </row>
    <row r="3156" customFormat="false" ht="14.25" hidden="false" customHeight="false" outlineLevel="0" collapsed="false">
      <c r="A3156" s="1" t="n">
        <v>2014</v>
      </c>
      <c r="B3156" s="1" t="n">
        <v>1</v>
      </c>
      <c r="C3156" s="2" t="s">
        <v>50</v>
      </c>
      <c r="D3156" s="3" t="s">
        <v>51</v>
      </c>
      <c r="E3156" s="3" t="n">
        <v>2</v>
      </c>
      <c r="F3156" s="1" t="n">
        <f aca="false">Y3156-X3156</f>
        <v>5</v>
      </c>
      <c r="G3156" s="1" t="n">
        <v>5</v>
      </c>
      <c r="H3156" s="3" t="s">
        <v>48</v>
      </c>
      <c r="I3156" s="3" t="s">
        <v>67</v>
      </c>
      <c r="J3156" s="3" t="s">
        <v>127</v>
      </c>
      <c r="K3156" s="2" t="str">
        <f aca="false">CONCATENATE(I3156," ",J3156)</f>
        <v>Pardosa lugubris</v>
      </c>
      <c r="L3156" s="3" t="n">
        <f aca="false">SUM(P3156:U3156)</f>
        <v>16</v>
      </c>
      <c r="M3156" s="11" t="n">
        <f aca="false">(L3156/(F3156*G3156)*25)*4</f>
        <v>64</v>
      </c>
      <c r="N3156" s="1" t="s">
        <v>30</v>
      </c>
      <c r="O3156" s="1" t="s">
        <v>31</v>
      </c>
      <c r="P3156" s="3" t="n">
        <v>16</v>
      </c>
      <c r="Q3156" s="3" t="n">
        <v>0</v>
      </c>
      <c r="R3156" s="3" t="n">
        <v>0</v>
      </c>
      <c r="S3156" s="3" t="n">
        <v>0</v>
      </c>
      <c r="T3156" s="3" t="n">
        <v>0</v>
      </c>
      <c r="U3156" s="3" t="n">
        <v>0</v>
      </c>
      <c r="V3156" s="3" t="n">
        <f aca="false">SUM(P3156:Q3156)</f>
        <v>16</v>
      </c>
      <c r="W3156" s="3" t="n">
        <f aca="false">SUM(R3156:T3156)</f>
        <v>0</v>
      </c>
      <c r="X3156" s="22" t="n">
        <v>41794</v>
      </c>
      <c r="Y3156" s="22" t="n">
        <v>41799</v>
      </c>
    </row>
    <row r="3157" customFormat="false" ht="14.25" hidden="false" customHeight="false" outlineLevel="0" collapsed="false">
      <c r="A3157" s="1" t="n">
        <v>2014</v>
      </c>
      <c r="B3157" s="1" t="n">
        <v>1</v>
      </c>
      <c r="C3157" s="2" t="s">
        <v>50</v>
      </c>
      <c r="D3157" s="3" t="s">
        <v>51</v>
      </c>
      <c r="E3157" s="3" t="n">
        <v>2</v>
      </c>
      <c r="F3157" s="1" t="n">
        <f aca="false">Y3157-X3157</f>
        <v>5</v>
      </c>
      <c r="G3157" s="1" t="n">
        <v>5</v>
      </c>
      <c r="H3157" s="3" t="s">
        <v>48</v>
      </c>
      <c r="I3157" s="3" t="s">
        <v>67</v>
      </c>
      <c r="J3157" s="3" t="s">
        <v>127</v>
      </c>
      <c r="K3157" s="2" t="str">
        <f aca="false">CONCATENATE(I3157," ",J3157)</f>
        <v>Pardosa lugubris</v>
      </c>
      <c r="L3157" s="3" t="n">
        <f aca="false">SUM(P3157:U3157)</f>
        <v>2</v>
      </c>
      <c r="M3157" s="11" t="n">
        <f aca="false">(L3157/(F3157*G3157)*25)*4</f>
        <v>8</v>
      </c>
      <c r="N3157" s="1" t="s">
        <v>30</v>
      </c>
      <c r="O3157" s="1" t="s">
        <v>35</v>
      </c>
      <c r="P3157" s="3" t="n">
        <v>0</v>
      </c>
      <c r="Q3157" s="3" t="n">
        <v>2</v>
      </c>
      <c r="R3157" s="3" t="n">
        <v>0</v>
      </c>
      <c r="S3157" s="3" t="n">
        <v>0</v>
      </c>
      <c r="T3157" s="3" t="n">
        <v>0</v>
      </c>
      <c r="U3157" s="3" t="n">
        <v>0</v>
      </c>
      <c r="V3157" s="3" t="n">
        <f aca="false">SUM(P3157:Q3157)</f>
        <v>2</v>
      </c>
      <c r="W3157" s="3" t="n">
        <f aca="false">SUM(R3157:T3157)</f>
        <v>0</v>
      </c>
      <c r="X3157" s="22" t="n">
        <v>41794</v>
      </c>
      <c r="Y3157" s="22" t="n">
        <v>41799</v>
      </c>
    </row>
    <row r="3158" customFormat="false" ht="14.25" hidden="false" customHeight="false" outlineLevel="0" collapsed="false">
      <c r="A3158" s="1" t="n">
        <v>2014</v>
      </c>
      <c r="B3158" s="1" t="n">
        <v>1</v>
      </c>
      <c r="C3158" s="2" t="s">
        <v>50</v>
      </c>
      <c r="D3158" s="3" t="s">
        <v>51</v>
      </c>
      <c r="E3158" s="3" t="n">
        <v>2</v>
      </c>
      <c r="F3158" s="1" t="n">
        <f aca="false">Y3158-X3158</f>
        <v>5</v>
      </c>
      <c r="G3158" s="1" t="n">
        <v>5</v>
      </c>
      <c r="H3158" s="3" t="s">
        <v>72</v>
      </c>
      <c r="I3158" s="3" t="s">
        <v>73</v>
      </c>
      <c r="J3158" s="3" t="s">
        <v>253</v>
      </c>
      <c r="K3158" s="2" t="str">
        <f aca="false">CONCATENATE(I3158," ",J3158)</f>
        <v>Zelotes clivicola</v>
      </c>
      <c r="L3158" s="3" t="n">
        <f aca="false">SUM(P3158:U3158)</f>
        <v>1</v>
      </c>
      <c r="M3158" s="11" t="n">
        <f aca="false">(L3158/(F3158*G3158)*25)*4</f>
        <v>4</v>
      </c>
      <c r="N3158" s="1" t="s">
        <v>30</v>
      </c>
      <c r="O3158" s="1" t="s">
        <v>31</v>
      </c>
      <c r="P3158" s="3" t="n">
        <v>1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f aca="false">SUM(P3158:Q3158)</f>
        <v>1</v>
      </c>
      <c r="W3158" s="3" t="n">
        <f aca="false">SUM(R3158:T3158)</f>
        <v>0</v>
      </c>
      <c r="X3158" s="22" t="n">
        <v>41794</v>
      </c>
      <c r="Y3158" s="22" t="n">
        <v>41799</v>
      </c>
    </row>
    <row r="3159" customFormat="false" ht="14.25" hidden="false" customHeight="false" outlineLevel="0" collapsed="false">
      <c r="A3159" s="1" t="n">
        <v>2014</v>
      </c>
      <c r="B3159" s="1" t="n">
        <v>1</v>
      </c>
      <c r="C3159" s="2" t="s">
        <v>50</v>
      </c>
      <c r="D3159" s="3" t="s">
        <v>51</v>
      </c>
      <c r="E3159" s="3" t="n">
        <v>2</v>
      </c>
      <c r="F3159" s="1" t="n">
        <f aca="false">Y3159-X3159</f>
        <v>5</v>
      </c>
      <c r="G3159" s="1" t="n">
        <v>5</v>
      </c>
      <c r="H3159" s="3" t="s">
        <v>72</v>
      </c>
      <c r="I3159" s="3" t="s">
        <v>73</v>
      </c>
      <c r="J3159" s="3" t="s">
        <v>74</v>
      </c>
      <c r="K3159" s="2" t="str">
        <f aca="false">CONCATENATE(I3159," ",J3159)</f>
        <v>Zelotes subterraneus</v>
      </c>
      <c r="L3159" s="3" t="n">
        <f aca="false">SUM(P3159:U3159)</f>
        <v>1</v>
      </c>
      <c r="M3159" s="11" t="n">
        <f aca="false">(L3159/(F3159*G3159)*25)*4</f>
        <v>4</v>
      </c>
      <c r="N3159" s="1" t="s">
        <v>30</v>
      </c>
      <c r="O3159" s="1" t="s">
        <v>31</v>
      </c>
      <c r="P3159" s="3" t="n">
        <v>1</v>
      </c>
      <c r="Q3159" s="3" t="n">
        <v>0</v>
      </c>
      <c r="R3159" s="3" t="n">
        <v>0</v>
      </c>
      <c r="S3159" s="3" t="n">
        <v>0</v>
      </c>
      <c r="T3159" s="3" t="n">
        <v>0</v>
      </c>
      <c r="U3159" s="3" t="n">
        <v>0</v>
      </c>
      <c r="V3159" s="3" t="n">
        <f aca="false">SUM(P3159:Q3159)</f>
        <v>1</v>
      </c>
      <c r="W3159" s="3" t="n">
        <f aca="false">SUM(R3159:T3159)</f>
        <v>0</v>
      </c>
      <c r="X3159" s="22" t="n">
        <v>41794</v>
      </c>
      <c r="Y3159" s="22" t="n">
        <v>41799</v>
      </c>
    </row>
    <row r="3160" customFormat="false" ht="14.25" hidden="false" customHeight="false" outlineLevel="0" collapsed="false">
      <c r="A3160" s="1" t="n">
        <v>2014</v>
      </c>
      <c r="B3160" s="1" t="n">
        <v>1</v>
      </c>
      <c r="C3160" s="2" t="s">
        <v>50</v>
      </c>
      <c r="D3160" s="3" t="s">
        <v>51</v>
      </c>
      <c r="E3160" s="3" t="n">
        <v>2</v>
      </c>
      <c r="F3160" s="1" t="n">
        <f aca="false">Y3160-X3160</f>
        <v>5</v>
      </c>
      <c r="G3160" s="1" t="n">
        <v>5</v>
      </c>
      <c r="H3160" s="3" t="s">
        <v>72</v>
      </c>
      <c r="I3160" s="3" t="s">
        <v>73</v>
      </c>
      <c r="J3160" s="3" t="s">
        <v>266</v>
      </c>
      <c r="K3160" s="2" t="str">
        <f aca="false">CONCATENATE(I3160," ",J3160)</f>
        <v>Zelotes latreillei</v>
      </c>
      <c r="L3160" s="3" t="n">
        <f aca="false">SUM(P3160:U3160)</f>
        <v>1</v>
      </c>
      <c r="M3160" s="11" t="n">
        <f aca="false">(L3160/(F3160*G3160)*25)*4</f>
        <v>4</v>
      </c>
      <c r="N3160" s="1" t="s">
        <v>30</v>
      </c>
      <c r="O3160" s="1" t="s">
        <v>35</v>
      </c>
      <c r="P3160" s="3" t="n">
        <v>0</v>
      </c>
      <c r="Q3160" s="3" t="n">
        <v>1</v>
      </c>
      <c r="R3160" s="3" t="n">
        <v>0</v>
      </c>
      <c r="S3160" s="3" t="n">
        <v>0</v>
      </c>
      <c r="T3160" s="3" t="n">
        <v>0</v>
      </c>
      <c r="U3160" s="3" t="n">
        <v>0</v>
      </c>
      <c r="V3160" s="3" t="n">
        <f aca="false">SUM(P3160:Q3160)</f>
        <v>1</v>
      </c>
      <c r="W3160" s="3" t="n">
        <f aca="false">SUM(R3160:T3160)</f>
        <v>0</v>
      </c>
      <c r="X3160" s="22" t="n">
        <v>41794</v>
      </c>
      <c r="Y3160" s="22" t="n">
        <v>41799</v>
      </c>
    </row>
    <row r="3161" customFormat="false" ht="14.25" hidden="false" customHeight="false" outlineLevel="0" collapsed="false">
      <c r="A3161" s="1" t="n">
        <v>2014</v>
      </c>
      <c r="B3161" s="1" t="n">
        <v>1</v>
      </c>
      <c r="C3161" s="2" t="s">
        <v>50</v>
      </c>
      <c r="D3161" s="3" t="s">
        <v>51</v>
      </c>
      <c r="E3161" s="3" t="n">
        <v>2</v>
      </c>
      <c r="F3161" s="1" t="n">
        <f aca="false">Y3161-X3161</f>
        <v>5</v>
      </c>
      <c r="G3161" s="1" t="n">
        <v>5</v>
      </c>
      <c r="H3161" s="3" t="s">
        <v>135</v>
      </c>
      <c r="I3161" s="3" t="s">
        <v>136</v>
      </c>
      <c r="J3161" s="3" t="s">
        <v>137</v>
      </c>
      <c r="K3161" s="2" t="str">
        <f aca="false">CONCATENATE(I3161," ",J3161)</f>
        <v>Thanatus sabulosus</v>
      </c>
      <c r="L3161" s="3" t="n">
        <f aca="false">SUM(P3161:U3161)</f>
        <v>1</v>
      </c>
      <c r="M3161" s="11" t="n">
        <f aca="false">(L3161/(F3161*G3161)*25)*4</f>
        <v>4</v>
      </c>
      <c r="N3161" s="1" t="s">
        <v>30</v>
      </c>
      <c r="O3161" s="1" t="s">
        <v>31</v>
      </c>
      <c r="P3161" s="3" t="n">
        <v>1</v>
      </c>
      <c r="Q3161" s="3" t="n">
        <v>0</v>
      </c>
      <c r="R3161" s="3" t="n">
        <v>0</v>
      </c>
      <c r="S3161" s="3" t="n">
        <v>0</v>
      </c>
      <c r="T3161" s="3" t="n">
        <v>0</v>
      </c>
      <c r="U3161" s="3" t="n">
        <v>0</v>
      </c>
      <c r="V3161" s="3" t="n">
        <f aca="false">SUM(P3161:Q3161)</f>
        <v>1</v>
      </c>
      <c r="W3161" s="3" t="n">
        <f aca="false">SUM(R3161:T3161)</f>
        <v>0</v>
      </c>
      <c r="X3161" s="22" t="n">
        <v>41794</v>
      </c>
      <c r="Y3161" s="22" t="n">
        <v>41799</v>
      </c>
    </row>
    <row r="3162" customFormat="false" ht="14.25" hidden="false" customHeight="false" outlineLevel="0" collapsed="false">
      <c r="A3162" s="1" t="n">
        <v>2014</v>
      </c>
      <c r="B3162" s="1" t="n">
        <v>1</v>
      </c>
      <c r="C3162" s="2" t="s">
        <v>50</v>
      </c>
      <c r="D3162" s="3" t="s">
        <v>51</v>
      </c>
      <c r="E3162" s="3" t="n">
        <v>2</v>
      </c>
      <c r="F3162" s="1" t="n">
        <f aca="false">Y3162-X3162</f>
        <v>5</v>
      </c>
      <c r="G3162" s="1" t="n">
        <v>5</v>
      </c>
      <c r="H3162" s="3" t="s">
        <v>36</v>
      </c>
      <c r="I3162" s="3" t="s">
        <v>37</v>
      </c>
      <c r="J3162" s="3" t="s">
        <v>75</v>
      </c>
      <c r="K3162" s="2" t="str">
        <f aca="false">CONCATENATE(I3162," ",J3162)</f>
        <v>Ozyptila praticola</v>
      </c>
      <c r="L3162" s="3" t="n">
        <f aca="false">SUM(P3162:U3162)</f>
        <v>1</v>
      </c>
      <c r="M3162" s="11" t="n">
        <f aca="false">(L3162/(F3162*G3162)*25)*4</f>
        <v>4</v>
      </c>
      <c r="N3162" s="1" t="s">
        <v>30</v>
      </c>
      <c r="O3162" s="1" t="s">
        <v>31</v>
      </c>
      <c r="P3162" s="3" t="n">
        <v>1</v>
      </c>
      <c r="Q3162" s="3" t="n">
        <v>0</v>
      </c>
      <c r="R3162" s="3" t="n">
        <v>0</v>
      </c>
      <c r="S3162" s="3" t="n">
        <v>0</v>
      </c>
      <c r="T3162" s="3" t="n">
        <v>0</v>
      </c>
      <c r="U3162" s="3" t="n">
        <v>0</v>
      </c>
      <c r="V3162" s="3" t="n">
        <f aca="false">SUM(P3162:Q3162)</f>
        <v>1</v>
      </c>
      <c r="W3162" s="3" t="n">
        <f aca="false">SUM(R3162:T3162)</f>
        <v>0</v>
      </c>
      <c r="X3162" s="22" t="n">
        <v>41794</v>
      </c>
      <c r="Y3162" s="22" t="n">
        <v>41799</v>
      </c>
    </row>
    <row r="3163" customFormat="false" ht="14.25" hidden="false" customHeight="false" outlineLevel="0" collapsed="false">
      <c r="A3163" s="1" t="n">
        <v>2014</v>
      </c>
      <c r="B3163" s="1" t="n">
        <v>1</v>
      </c>
      <c r="C3163" s="2" t="s">
        <v>50</v>
      </c>
      <c r="D3163" s="3" t="s">
        <v>51</v>
      </c>
      <c r="E3163" s="3" t="n">
        <v>2</v>
      </c>
      <c r="F3163" s="1" t="n">
        <f aca="false">Y3163-X3163</f>
        <v>5</v>
      </c>
      <c r="G3163" s="1" t="n">
        <v>5</v>
      </c>
      <c r="H3163" s="3" t="s">
        <v>36</v>
      </c>
      <c r="I3163" s="3" t="s">
        <v>37</v>
      </c>
      <c r="J3163" s="3" t="s">
        <v>75</v>
      </c>
      <c r="K3163" s="2" t="str">
        <f aca="false">CONCATENATE(I3163," ",J3163)</f>
        <v>Ozyptila praticola</v>
      </c>
      <c r="L3163" s="3" t="n">
        <f aca="false">SUM(P3163:U3163)</f>
        <v>1</v>
      </c>
      <c r="M3163" s="11" t="n">
        <f aca="false">(L3163/(F3163*G3163)*25)*4</f>
        <v>4</v>
      </c>
      <c r="N3163" s="1" t="s">
        <v>30</v>
      </c>
      <c r="O3163" s="1" t="s">
        <v>35</v>
      </c>
      <c r="P3163" s="3" t="n">
        <v>0</v>
      </c>
      <c r="Q3163" s="3" t="n">
        <v>1</v>
      </c>
      <c r="R3163" s="3" t="n">
        <v>0</v>
      </c>
      <c r="S3163" s="3" t="n">
        <v>0</v>
      </c>
      <c r="T3163" s="3" t="n">
        <v>0</v>
      </c>
      <c r="U3163" s="3" t="n">
        <v>0</v>
      </c>
      <c r="V3163" s="3" t="n">
        <f aca="false">SUM(P3163:Q3163)</f>
        <v>1</v>
      </c>
      <c r="W3163" s="3" t="n">
        <f aca="false">SUM(R3163:T3163)</f>
        <v>0</v>
      </c>
      <c r="X3163" s="22" t="n">
        <v>41794</v>
      </c>
      <c r="Y3163" s="22" t="n">
        <v>41799</v>
      </c>
    </row>
    <row r="3164" customFormat="false" ht="14.25" hidden="false" customHeight="false" outlineLevel="0" collapsed="false">
      <c r="A3164" s="1" t="n">
        <v>2014</v>
      </c>
      <c r="B3164" s="1" t="n">
        <v>1</v>
      </c>
      <c r="C3164" s="2" t="s">
        <v>50</v>
      </c>
      <c r="D3164" s="3" t="s">
        <v>51</v>
      </c>
      <c r="E3164" s="3" t="n">
        <v>2</v>
      </c>
      <c r="F3164" s="1" t="n">
        <f aca="false">Y3164-X3164</f>
        <v>5</v>
      </c>
      <c r="G3164" s="1" t="n">
        <v>5</v>
      </c>
      <c r="H3164" s="3" t="s">
        <v>36</v>
      </c>
      <c r="I3164" s="3" t="s">
        <v>131</v>
      </c>
      <c r="J3164" s="3" t="s">
        <v>133</v>
      </c>
      <c r="K3164" s="2" t="str">
        <f aca="false">CONCATENATE(I3164," ",J3164)</f>
        <v>Xysticus luctuosus</v>
      </c>
      <c r="L3164" s="3" t="n">
        <f aca="false">SUM(P3164:U3164)</f>
        <v>2</v>
      </c>
      <c r="M3164" s="11" t="n">
        <f aca="false">(L3164/(F3164*G3164)*25)*4</f>
        <v>8</v>
      </c>
      <c r="N3164" s="1" t="s">
        <v>30</v>
      </c>
      <c r="O3164" s="1" t="s">
        <v>31</v>
      </c>
      <c r="P3164" s="3" t="n">
        <v>2</v>
      </c>
      <c r="Q3164" s="3" t="n">
        <v>0</v>
      </c>
      <c r="R3164" s="3" t="n">
        <v>0</v>
      </c>
      <c r="S3164" s="3" t="n">
        <v>0</v>
      </c>
      <c r="T3164" s="3" t="n">
        <v>0</v>
      </c>
      <c r="U3164" s="3" t="n">
        <v>0</v>
      </c>
      <c r="V3164" s="3" t="n">
        <f aca="false">SUM(P3164:Q3164)</f>
        <v>2</v>
      </c>
      <c r="W3164" s="3" t="n">
        <f aca="false">SUM(R3164:T3164)</f>
        <v>0</v>
      </c>
      <c r="X3164" s="22" t="n">
        <v>41794</v>
      </c>
      <c r="Y3164" s="22" t="n">
        <v>41799</v>
      </c>
    </row>
    <row r="3165" customFormat="false" ht="14.25" hidden="false" customHeight="false" outlineLevel="0" collapsed="false">
      <c r="A3165" s="1" t="n">
        <v>2014</v>
      </c>
      <c r="B3165" s="1" t="n">
        <v>1</v>
      </c>
      <c r="C3165" s="2" t="s">
        <v>50</v>
      </c>
      <c r="D3165" s="3" t="s">
        <v>51</v>
      </c>
      <c r="E3165" s="3" t="n">
        <v>2</v>
      </c>
      <c r="F3165" s="1" t="n">
        <f aca="false">Y3165-X3165</f>
        <v>5</v>
      </c>
      <c r="G3165" s="1" t="n">
        <v>5</v>
      </c>
      <c r="H3165" s="3" t="s">
        <v>36</v>
      </c>
      <c r="I3165" s="3" t="s">
        <v>131</v>
      </c>
      <c r="J3165" s="3" t="s">
        <v>38</v>
      </c>
      <c r="K3165" s="2" t="str">
        <f aca="false">CONCATENATE(I3165," ",J3165)</f>
        <v>Xysticus sp</v>
      </c>
      <c r="L3165" s="3" t="n">
        <f aca="false">SUM(P3165:U3165)</f>
        <v>1</v>
      </c>
      <c r="M3165" s="11" t="n">
        <f aca="false">(L3165/(F3165*G3165)*25)*4</f>
        <v>4</v>
      </c>
      <c r="N3165" s="1" t="s">
        <v>19</v>
      </c>
      <c r="O3165" s="1" t="s">
        <v>54</v>
      </c>
      <c r="P3165" s="3" t="n">
        <v>0</v>
      </c>
      <c r="Q3165" s="3" t="n">
        <v>0</v>
      </c>
      <c r="R3165" s="3" t="n">
        <v>0</v>
      </c>
      <c r="S3165" s="3" t="n">
        <v>0</v>
      </c>
      <c r="T3165" s="3" t="n">
        <v>1</v>
      </c>
      <c r="U3165" s="3" t="n">
        <v>0</v>
      </c>
      <c r="V3165" s="3" t="n">
        <f aca="false">SUM(P3165:Q3165)</f>
        <v>0</v>
      </c>
      <c r="W3165" s="3" t="n">
        <f aca="false">SUM(R3165:T3165)</f>
        <v>1</v>
      </c>
      <c r="X3165" s="22" t="n">
        <v>41794</v>
      </c>
      <c r="Y3165" s="22" t="n">
        <v>41799</v>
      </c>
    </row>
    <row r="3166" customFormat="false" ht="14.25" hidden="false" customHeight="false" outlineLevel="0" collapsed="false">
      <c r="A3166" s="1" t="n">
        <v>2014</v>
      </c>
      <c r="B3166" s="1" t="n">
        <v>1</v>
      </c>
      <c r="C3166" s="2" t="s">
        <v>50</v>
      </c>
      <c r="D3166" s="3" t="s">
        <v>51</v>
      </c>
      <c r="E3166" s="3" t="n">
        <v>2</v>
      </c>
      <c r="F3166" s="1" t="n">
        <f aca="false">Y3166-X3166</f>
        <v>5</v>
      </c>
      <c r="G3166" s="1" t="n">
        <v>5</v>
      </c>
      <c r="H3166" s="3" t="s">
        <v>32</v>
      </c>
      <c r="I3166" s="3" t="s">
        <v>163</v>
      </c>
      <c r="J3166" s="3" t="s">
        <v>164</v>
      </c>
      <c r="K3166" s="2" t="str">
        <f aca="false">CONCATENATE(I3166," ",J3166)</f>
        <v>Bathyphantes gracilis</v>
      </c>
      <c r="L3166" s="3" t="n">
        <f aca="false">SUM(P3166:U3166)</f>
        <v>1</v>
      </c>
      <c r="M3166" s="11" t="n">
        <f aca="false">(L3166/(F3166*G3166)*25)*4</f>
        <v>4</v>
      </c>
      <c r="N3166" s="1" t="s">
        <v>30</v>
      </c>
      <c r="O3166" s="1" t="s">
        <v>31</v>
      </c>
      <c r="P3166" s="3" t="n">
        <v>1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f aca="false">SUM(P3166:Q3166)</f>
        <v>1</v>
      </c>
      <c r="W3166" s="3" t="n">
        <f aca="false">SUM(R3166:T3166)</f>
        <v>0</v>
      </c>
      <c r="X3166" s="22" t="n">
        <v>41794</v>
      </c>
      <c r="Y3166" s="22" t="n">
        <v>41799</v>
      </c>
    </row>
    <row r="3167" customFormat="false" ht="14.25" hidden="false" customHeight="false" outlineLevel="0" collapsed="false">
      <c r="A3167" s="1" t="n">
        <v>2014</v>
      </c>
      <c r="B3167" s="1" t="n">
        <v>1</v>
      </c>
      <c r="C3167" s="2" t="s">
        <v>50</v>
      </c>
      <c r="D3167" s="3" t="s">
        <v>51</v>
      </c>
      <c r="E3167" s="3" t="n">
        <v>1</v>
      </c>
      <c r="F3167" s="1" t="n">
        <f aca="false">Y3167-X3167</f>
        <v>5</v>
      </c>
      <c r="G3167" s="1" t="n">
        <v>5</v>
      </c>
      <c r="H3167" s="3" t="s">
        <v>48</v>
      </c>
      <c r="I3167" s="3" t="s">
        <v>49</v>
      </c>
      <c r="J3167" s="3" t="s">
        <v>104</v>
      </c>
      <c r="K3167" s="2" t="str">
        <f aca="false">CONCATENATE(I3167," ",J3167)</f>
        <v>Alopecosa taeniata</v>
      </c>
      <c r="L3167" s="3" t="n">
        <f aca="false">SUM(P3167:U3167)</f>
        <v>3</v>
      </c>
      <c r="M3167" s="11" t="n">
        <f aca="false">(L3167/(F3167*G3167)*25)*4</f>
        <v>12</v>
      </c>
      <c r="N3167" s="1" t="s">
        <v>30</v>
      </c>
      <c r="O3167" s="1" t="s">
        <v>31</v>
      </c>
      <c r="P3167" s="3" t="n">
        <v>3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f aca="false">SUM(P3167:Q3167)</f>
        <v>3</v>
      </c>
      <c r="W3167" s="3" t="n">
        <f aca="false">SUM(R3167:T3167)</f>
        <v>0</v>
      </c>
      <c r="X3167" s="22" t="n">
        <v>41794</v>
      </c>
      <c r="Y3167" s="22" t="n">
        <v>41799</v>
      </c>
    </row>
    <row r="3168" customFormat="false" ht="14.25" hidden="false" customHeight="false" outlineLevel="0" collapsed="false">
      <c r="A3168" s="1" t="n">
        <v>2014</v>
      </c>
      <c r="B3168" s="1" t="n">
        <v>1</v>
      </c>
      <c r="C3168" s="2" t="s">
        <v>50</v>
      </c>
      <c r="D3168" s="3" t="s">
        <v>51</v>
      </c>
      <c r="E3168" s="3" t="n">
        <v>1</v>
      </c>
      <c r="F3168" s="1" t="n">
        <f aca="false">Y3168-X3168</f>
        <v>5</v>
      </c>
      <c r="G3168" s="1" t="n">
        <v>5</v>
      </c>
      <c r="H3168" s="3" t="s">
        <v>48</v>
      </c>
      <c r="I3168" s="3" t="s">
        <v>67</v>
      </c>
      <c r="J3168" s="3" t="s">
        <v>127</v>
      </c>
      <c r="K3168" s="2" t="str">
        <f aca="false">CONCATENATE(I3168," ",J3168)</f>
        <v>Pardosa lugubris</v>
      </c>
      <c r="L3168" s="3" t="n">
        <f aca="false">SUM(P3168:U3168)</f>
        <v>8</v>
      </c>
      <c r="M3168" s="11" t="n">
        <f aca="false">(L3168/(F3168*G3168)*25)*4</f>
        <v>32</v>
      </c>
      <c r="N3168" s="1" t="s">
        <v>30</v>
      </c>
      <c r="O3168" s="1" t="s">
        <v>31</v>
      </c>
      <c r="P3168" s="3" t="n">
        <v>8</v>
      </c>
      <c r="Q3168" s="3" t="n">
        <v>0</v>
      </c>
      <c r="R3168" s="3" t="n">
        <v>0</v>
      </c>
      <c r="S3168" s="3" t="n">
        <v>0</v>
      </c>
      <c r="T3168" s="3" t="n">
        <v>0</v>
      </c>
      <c r="U3168" s="3" t="n">
        <v>0</v>
      </c>
      <c r="V3168" s="3" t="n">
        <f aca="false">SUM(P3168:Q3168)</f>
        <v>8</v>
      </c>
      <c r="W3168" s="3" t="n">
        <f aca="false">SUM(R3168:T3168)</f>
        <v>0</v>
      </c>
      <c r="X3168" s="22" t="n">
        <v>41794</v>
      </c>
      <c r="Y3168" s="22" t="n">
        <v>41799</v>
      </c>
    </row>
    <row r="3169" customFormat="false" ht="14.25" hidden="false" customHeight="false" outlineLevel="0" collapsed="false">
      <c r="A3169" s="1" t="n">
        <v>2014</v>
      </c>
      <c r="B3169" s="1" t="n">
        <v>1</v>
      </c>
      <c r="C3169" s="2" t="s">
        <v>50</v>
      </c>
      <c r="D3169" s="3" t="s">
        <v>51</v>
      </c>
      <c r="E3169" s="3" t="n">
        <v>1</v>
      </c>
      <c r="F3169" s="1" t="n">
        <f aca="false">Y3169-X3169</f>
        <v>5</v>
      </c>
      <c r="G3169" s="1" t="n">
        <v>5</v>
      </c>
      <c r="H3169" s="3" t="s">
        <v>48</v>
      </c>
      <c r="I3169" s="3" t="s">
        <v>67</v>
      </c>
      <c r="J3169" s="3" t="s">
        <v>127</v>
      </c>
      <c r="K3169" s="2" t="str">
        <f aca="false">CONCATENATE(I3169," ",J3169)</f>
        <v>Pardosa lugubris</v>
      </c>
      <c r="L3169" s="3" t="n">
        <f aca="false">SUM(P3169:U3169)</f>
        <v>2</v>
      </c>
      <c r="M3169" s="11" t="n">
        <f aca="false">(L3169/(F3169*G3169)*25)*4</f>
        <v>8</v>
      </c>
      <c r="N3169" s="1" t="s">
        <v>30</v>
      </c>
      <c r="O3169" s="1" t="s">
        <v>35</v>
      </c>
      <c r="P3169" s="3" t="n">
        <v>0</v>
      </c>
      <c r="Q3169" s="3" t="n">
        <v>2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f aca="false">SUM(P3169:Q3169)</f>
        <v>2</v>
      </c>
      <c r="W3169" s="3" t="n">
        <f aca="false">SUM(R3169:T3169)</f>
        <v>0</v>
      </c>
      <c r="X3169" s="22" t="n">
        <v>41794</v>
      </c>
      <c r="Y3169" s="22" t="n">
        <v>41799</v>
      </c>
    </row>
    <row r="3170" customFormat="false" ht="14.25" hidden="false" customHeight="false" outlineLevel="0" collapsed="false">
      <c r="A3170" s="1" t="n">
        <v>2014</v>
      </c>
      <c r="B3170" s="1" t="n">
        <v>1</v>
      </c>
      <c r="C3170" s="2" t="s">
        <v>50</v>
      </c>
      <c r="D3170" s="3" t="s">
        <v>51</v>
      </c>
      <c r="E3170" s="3" t="n">
        <v>1</v>
      </c>
      <c r="F3170" s="1" t="n">
        <f aca="false">Y3170-X3170</f>
        <v>5</v>
      </c>
      <c r="G3170" s="1" t="n">
        <v>5</v>
      </c>
      <c r="H3170" s="3" t="s">
        <v>48</v>
      </c>
      <c r="I3170" s="3" t="s">
        <v>61</v>
      </c>
      <c r="J3170" s="3" t="s">
        <v>38</v>
      </c>
      <c r="K3170" s="2" t="str">
        <f aca="false">CONCATENATE(I3170," ",J3170)</f>
        <v>Trochosa sp</v>
      </c>
      <c r="L3170" s="3" t="n">
        <f aca="false">SUM(P3170:U3170)</f>
        <v>1</v>
      </c>
      <c r="M3170" s="11" t="n">
        <f aca="false">(L3170/(F3170*G3170)*25)*4</f>
        <v>4</v>
      </c>
      <c r="N3170" s="1" t="s">
        <v>19</v>
      </c>
      <c r="O3170" s="1" t="s">
        <v>35</v>
      </c>
      <c r="P3170" s="3" t="n">
        <v>0</v>
      </c>
      <c r="Q3170" s="3" t="n">
        <v>0</v>
      </c>
      <c r="R3170" s="3" t="n">
        <v>0</v>
      </c>
      <c r="S3170" s="3" t="n">
        <v>1</v>
      </c>
      <c r="T3170" s="3" t="n">
        <v>0</v>
      </c>
      <c r="U3170" s="3" t="n">
        <v>0</v>
      </c>
      <c r="V3170" s="3" t="n">
        <f aca="false">SUM(P3170:Q3170)</f>
        <v>0</v>
      </c>
      <c r="W3170" s="3" t="n">
        <f aca="false">SUM(R3170:T3170)</f>
        <v>1</v>
      </c>
      <c r="X3170" s="22" t="n">
        <v>41794</v>
      </c>
      <c r="Y3170" s="22" t="n">
        <v>41799</v>
      </c>
    </row>
    <row r="3171" customFormat="false" ht="14.25" hidden="false" customHeight="false" outlineLevel="0" collapsed="false">
      <c r="A3171" s="1" t="n">
        <v>2014</v>
      </c>
      <c r="B3171" s="1" t="n">
        <v>1</v>
      </c>
      <c r="C3171" s="2" t="s">
        <v>50</v>
      </c>
      <c r="D3171" s="3" t="s">
        <v>51</v>
      </c>
      <c r="E3171" s="3" t="n">
        <v>1</v>
      </c>
      <c r="F3171" s="1" t="n">
        <f aca="false">Y3171-X3171</f>
        <v>5</v>
      </c>
      <c r="G3171" s="1" t="n">
        <v>5</v>
      </c>
      <c r="H3171" s="3" t="s">
        <v>48</v>
      </c>
      <c r="I3171" s="3" t="s">
        <v>57</v>
      </c>
      <c r="J3171" s="3" t="s">
        <v>38</v>
      </c>
      <c r="K3171" s="2" t="str">
        <f aca="false">CONCATENATE(I3171," ",J3171)</f>
        <v>Gen sp</v>
      </c>
      <c r="L3171" s="3" t="n">
        <f aca="false">SUM(P3171:U3171)</f>
        <v>1</v>
      </c>
      <c r="M3171" s="11" t="n">
        <f aca="false">(L3171/(F3171*G3171)*25)*4</f>
        <v>4</v>
      </c>
      <c r="N3171" s="1" t="s">
        <v>19</v>
      </c>
      <c r="O3171" s="1" t="s">
        <v>54</v>
      </c>
      <c r="P3171" s="3" t="n">
        <v>0</v>
      </c>
      <c r="Q3171" s="3" t="n">
        <v>0</v>
      </c>
      <c r="R3171" s="3" t="n">
        <v>0</v>
      </c>
      <c r="S3171" s="3" t="n">
        <v>0</v>
      </c>
      <c r="T3171" s="3" t="n">
        <v>1</v>
      </c>
      <c r="U3171" s="3" t="n">
        <v>0</v>
      </c>
      <c r="V3171" s="3" t="n">
        <f aca="false">SUM(P3171:Q3171)</f>
        <v>0</v>
      </c>
      <c r="W3171" s="3" t="n">
        <f aca="false">SUM(R3171:T3171)</f>
        <v>1</v>
      </c>
      <c r="X3171" s="22" t="n">
        <v>41794</v>
      </c>
      <c r="Y3171" s="22" t="n">
        <v>41799</v>
      </c>
    </row>
    <row r="3172" customFormat="false" ht="14.25" hidden="false" customHeight="false" outlineLevel="0" collapsed="false">
      <c r="A3172" s="1" t="n">
        <v>2014</v>
      </c>
      <c r="B3172" s="1" t="n">
        <v>1</v>
      </c>
      <c r="C3172" s="2" t="s">
        <v>50</v>
      </c>
      <c r="D3172" s="3" t="s">
        <v>51</v>
      </c>
      <c r="E3172" s="3" t="n">
        <v>1</v>
      </c>
      <c r="F3172" s="1" t="n">
        <f aca="false">Y3172-X3172</f>
        <v>5</v>
      </c>
      <c r="G3172" s="1" t="n">
        <v>5</v>
      </c>
      <c r="H3172" s="3" t="s">
        <v>72</v>
      </c>
      <c r="I3172" s="3" t="s">
        <v>86</v>
      </c>
      <c r="J3172" s="3" t="s">
        <v>87</v>
      </c>
      <c r="K3172" s="2" t="str">
        <f aca="false">CONCATENATE(I3172," ",J3172)</f>
        <v>Haplodrassus soerenseni</v>
      </c>
      <c r="L3172" s="3" t="n">
        <f aca="false">SUM(P3172:U3172)</f>
        <v>1</v>
      </c>
      <c r="M3172" s="11" t="n">
        <f aca="false">(L3172/(F3172*G3172)*25)*4</f>
        <v>4</v>
      </c>
      <c r="N3172" s="1" t="s">
        <v>30</v>
      </c>
      <c r="O3172" s="1" t="s">
        <v>31</v>
      </c>
      <c r="P3172" s="3" t="n">
        <v>1</v>
      </c>
      <c r="Q3172" s="3" t="n">
        <v>0</v>
      </c>
      <c r="R3172" s="3" t="n">
        <v>0</v>
      </c>
      <c r="S3172" s="3" t="n">
        <v>0</v>
      </c>
      <c r="T3172" s="3" t="n">
        <v>0</v>
      </c>
      <c r="U3172" s="3" t="n">
        <v>0</v>
      </c>
      <c r="V3172" s="3" t="n">
        <f aca="false">SUM(P3172:Q3172)</f>
        <v>1</v>
      </c>
      <c r="W3172" s="3" t="n">
        <f aca="false">SUM(R3172:T3172)</f>
        <v>0</v>
      </c>
      <c r="X3172" s="22" t="n">
        <v>41794</v>
      </c>
      <c r="Y3172" s="22" t="n">
        <v>41799</v>
      </c>
    </row>
    <row r="3173" customFormat="false" ht="14.25" hidden="false" customHeight="false" outlineLevel="0" collapsed="false">
      <c r="A3173" s="1" t="n">
        <v>2014</v>
      </c>
      <c r="B3173" s="1" t="n">
        <v>1</v>
      </c>
      <c r="C3173" s="2" t="s">
        <v>50</v>
      </c>
      <c r="D3173" s="3" t="s">
        <v>51</v>
      </c>
      <c r="E3173" s="3" t="n">
        <v>1</v>
      </c>
      <c r="F3173" s="1" t="n">
        <f aca="false">Y3173-X3173</f>
        <v>5</v>
      </c>
      <c r="G3173" s="1" t="n">
        <v>5</v>
      </c>
      <c r="H3173" s="3" t="s">
        <v>72</v>
      </c>
      <c r="I3173" s="3" t="s">
        <v>73</v>
      </c>
      <c r="J3173" s="3" t="s">
        <v>74</v>
      </c>
      <c r="K3173" s="2" t="str">
        <f aca="false">CONCATENATE(I3173," ",J3173)</f>
        <v>Zelotes subterraneus</v>
      </c>
      <c r="L3173" s="3" t="n">
        <f aca="false">SUM(P3173:U3173)</f>
        <v>1</v>
      </c>
      <c r="M3173" s="11" t="n">
        <f aca="false">(L3173/(F3173*G3173)*25)*4</f>
        <v>4</v>
      </c>
      <c r="N3173" s="1" t="s">
        <v>30</v>
      </c>
      <c r="O3173" s="1" t="s">
        <v>31</v>
      </c>
      <c r="P3173" s="3" t="n">
        <v>1</v>
      </c>
      <c r="Q3173" s="3" t="n">
        <v>0</v>
      </c>
      <c r="R3173" s="3" t="n">
        <v>0</v>
      </c>
      <c r="S3173" s="3" t="n">
        <v>0</v>
      </c>
      <c r="T3173" s="3" t="n">
        <v>0</v>
      </c>
      <c r="U3173" s="3" t="n">
        <v>0</v>
      </c>
      <c r="V3173" s="3" t="n">
        <f aca="false">SUM(P3173:Q3173)</f>
        <v>1</v>
      </c>
      <c r="W3173" s="3" t="n">
        <f aca="false">SUM(R3173:T3173)</f>
        <v>0</v>
      </c>
      <c r="X3173" s="22" t="n">
        <v>41794</v>
      </c>
      <c r="Y3173" s="22" t="n">
        <v>41799</v>
      </c>
    </row>
    <row r="3174" customFormat="false" ht="14.25" hidden="false" customHeight="false" outlineLevel="0" collapsed="false">
      <c r="A3174" s="1" t="n">
        <v>2014</v>
      </c>
      <c r="B3174" s="1" t="n">
        <v>1</v>
      </c>
      <c r="C3174" s="2" t="s">
        <v>50</v>
      </c>
      <c r="D3174" s="3" t="s">
        <v>51</v>
      </c>
      <c r="E3174" s="3" t="n">
        <v>1</v>
      </c>
      <c r="F3174" s="1" t="n">
        <f aca="false">Y3174-X3174</f>
        <v>5</v>
      </c>
      <c r="G3174" s="1" t="n">
        <v>5</v>
      </c>
      <c r="H3174" s="3" t="s">
        <v>72</v>
      </c>
      <c r="I3174" s="3" t="s">
        <v>73</v>
      </c>
      <c r="J3174" s="3" t="s">
        <v>38</v>
      </c>
      <c r="K3174" s="2" t="str">
        <f aca="false">CONCATENATE(I3174," ",J3174)</f>
        <v>Zelotes sp</v>
      </c>
      <c r="L3174" s="3" t="n">
        <f aca="false">SUM(P3174:U3174)</f>
        <v>1</v>
      </c>
      <c r="M3174" s="11" t="n">
        <f aca="false">(L3174/(F3174*G3174)*25)*4</f>
        <v>4</v>
      </c>
      <c r="N3174" s="1" t="s">
        <v>19</v>
      </c>
      <c r="O3174" s="1" t="s">
        <v>54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1</v>
      </c>
      <c r="U3174" s="3" t="n">
        <v>0</v>
      </c>
      <c r="V3174" s="3" t="n">
        <f aca="false">SUM(P3174:Q3174)</f>
        <v>0</v>
      </c>
      <c r="W3174" s="3" t="n">
        <f aca="false">SUM(R3174:T3174)</f>
        <v>1</v>
      </c>
      <c r="X3174" s="22" t="n">
        <v>41794</v>
      </c>
      <c r="Y3174" s="22" t="n">
        <v>41799</v>
      </c>
    </row>
    <row r="3175" customFormat="false" ht="14.25" hidden="false" customHeight="false" outlineLevel="0" collapsed="false">
      <c r="A3175" s="1" t="n">
        <v>2014</v>
      </c>
      <c r="B3175" s="1" t="n">
        <v>1</v>
      </c>
      <c r="C3175" s="2" t="s">
        <v>50</v>
      </c>
      <c r="D3175" s="3" t="s">
        <v>51</v>
      </c>
      <c r="E3175" s="3" t="n">
        <v>1</v>
      </c>
      <c r="F3175" s="1" t="n">
        <f aca="false">Y3175-X3175</f>
        <v>5</v>
      </c>
      <c r="G3175" s="1" t="n">
        <v>5</v>
      </c>
      <c r="H3175" s="3" t="s">
        <v>226</v>
      </c>
      <c r="I3175" s="3" t="s">
        <v>65</v>
      </c>
      <c r="J3175" s="3" t="s">
        <v>123</v>
      </c>
      <c r="K3175" s="2" t="str">
        <f aca="false">CONCATENATE(I3175," ",J3175)</f>
        <v>Zora nemoralis</v>
      </c>
      <c r="L3175" s="3" t="n">
        <f aca="false">SUM(P3175:U3175)</f>
        <v>4</v>
      </c>
      <c r="M3175" s="11" t="n">
        <f aca="false">(L3175/(F3175*G3175)*25)*4</f>
        <v>16</v>
      </c>
      <c r="N3175" s="1" t="s">
        <v>30</v>
      </c>
      <c r="O3175" s="1" t="s">
        <v>31</v>
      </c>
      <c r="P3175" s="3" t="n">
        <v>4</v>
      </c>
      <c r="Q3175" s="3" t="n">
        <v>0</v>
      </c>
      <c r="R3175" s="3" t="n">
        <v>0</v>
      </c>
      <c r="S3175" s="3" t="n">
        <v>0</v>
      </c>
      <c r="T3175" s="3" t="n">
        <v>0</v>
      </c>
      <c r="U3175" s="3" t="n">
        <v>0</v>
      </c>
      <c r="V3175" s="3" t="n">
        <f aca="false">SUM(P3175:Q3175)</f>
        <v>4</v>
      </c>
      <c r="W3175" s="3" t="n">
        <f aca="false">SUM(R3175:T3175)</f>
        <v>0</v>
      </c>
      <c r="X3175" s="22" t="n">
        <v>41794</v>
      </c>
      <c r="Y3175" s="22" t="n">
        <v>41799</v>
      </c>
    </row>
    <row r="3176" customFormat="false" ht="14.25" hidden="false" customHeight="false" outlineLevel="0" collapsed="false">
      <c r="A3176" s="1" t="n">
        <v>2014</v>
      </c>
      <c r="B3176" s="1" t="n">
        <v>1</v>
      </c>
      <c r="C3176" s="2" t="s">
        <v>50</v>
      </c>
      <c r="D3176" s="3" t="s">
        <v>51</v>
      </c>
      <c r="E3176" s="3" t="n">
        <v>1</v>
      </c>
      <c r="F3176" s="1" t="n">
        <f aca="false">Y3176-X3176</f>
        <v>5</v>
      </c>
      <c r="G3176" s="1" t="n">
        <v>5</v>
      </c>
      <c r="H3176" s="3" t="s">
        <v>36</v>
      </c>
      <c r="I3176" s="3" t="s">
        <v>37</v>
      </c>
      <c r="J3176" s="3" t="s">
        <v>75</v>
      </c>
      <c r="K3176" s="2" t="str">
        <f aca="false">CONCATENATE(I3176," ",J3176)</f>
        <v>Ozyptila praticola</v>
      </c>
      <c r="L3176" s="3" t="n">
        <f aca="false">SUM(P3176:U3176)</f>
        <v>5</v>
      </c>
      <c r="M3176" s="11" t="n">
        <f aca="false">(L3176/(F3176*G3176)*25)*4</f>
        <v>20</v>
      </c>
      <c r="N3176" s="1" t="s">
        <v>30</v>
      </c>
      <c r="O3176" s="1" t="s">
        <v>31</v>
      </c>
      <c r="P3176" s="3" t="n">
        <v>5</v>
      </c>
      <c r="Q3176" s="3" t="n">
        <v>0</v>
      </c>
      <c r="R3176" s="3" t="n">
        <v>0</v>
      </c>
      <c r="S3176" s="3" t="n">
        <v>0</v>
      </c>
      <c r="T3176" s="3" t="n">
        <v>0</v>
      </c>
      <c r="U3176" s="3" t="n">
        <v>0</v>
      </c>
      <c r="V3176" s="3" t="n">
        <f aca="false">SUM(P3176:Q3176)</f>
        <v>5</v>
      </c>
      <c r="W3176" s="3" t="n">
        <f aca="false">SUM(R3176:T3176)</f>
        <v>0</v>
      </c>
      <c r="X3176" s="22" t="n">
        <v>41794</v>
      </c>
      <c r="Y3176" s="22" t="n">
        <v>41799</v>
      </c>
    </row>
    <row r="3177" customFormat="false" ht="14.25" hidden="false" customHeight="false" outlineLevel="0" collapsed="false">
      <c r="A3177" s="1" t="n">
        <v>2014</v>
      </c>
      <c r="B3177" s="1" t="n">
        <v>1</v>
      </c>
      <c r="C3177" s="2" t="s">
        <v>50</v>
      </c>
      <c r="D3177" s="3" t="s">
        <v>51</v>
      </c>
      <c r="E3177" s="3" t="n">
        <v>1</v>
      </c>
      <c r="F3177" s="1" t="n">
        <f aca="false">Y3177-X3177</f>
        <v>5</v>
      </c>
      <c r="G3177" s="1" t="n">
        <v>5</v>
      </c>
      <c r="H3177" s="3" t="s">
        <v>36</v>
      </c>
      <c r="I3177" s="3" t="s">
        <v>131</v>
      </c>
      <c r="J3177" s="3" t="s">
        <v>133</v>
      </c>
      <c r="K3177" s="2" t="str">
        <f aca="false">CONCATENATE(I3177," ",J3177)</f>
        <v>Xysticus luctuosus</v>
      </c>
      <c r="L3177" s="3" t="n">
        <f aca="false">SUM(P3177:U3177)</f>
        <v>1</v>
      </c>
      <c r="M3177" s="11" t="n">
        <f aca="false">(L3177/(F3177*G3177)*25)*4</f>
        <v>4</v>
      </c>
      <c r="N3177" s="1" t="s">
        <v>30</v>
      </c>
      <c r="O3177" s="1" t="s">
        <v>31</v>
      </c>
      <c r="P3177" s="3" t="n">
        <v>1</v>
      </c>
      <c r="Q3177" s="3" t="n">
        <v>0</v>
      </c>
      <c r="R3177" s="3" t="n">
        <v>0</v>
      </c>
      <c r="S3177" s="3" t="n">
        <v>0</v>
      </c>
      <c r="T3177" s="3" t="n">
        <v>0</v>
      </c>
      <c r="U3177" s="3" t="n">
        <v>0</v>
      </c>
      <c r="V3177" s="3" t="n">
        <f aca="false">SUM(P3177:Q3177)</f>
        <v>1</v>
      </c>
      <c r="W3177" s="3" t="n">
        <f aca="false">SUM(R3177:T3177)</f>
        <v>0</v>
      </c>
      <c r="X3177" s="22" t="n">
        <v>41794</v>
      </c>
      <c r="Y3177" s="22" t="n">
        <v>41799</v>
      </c>
    </row>
    <row r="3178" customFormat="false" ht="14.25" hidden="false" customHeight="false" outlineLevel="0" collapsed="false">
      <c r="A3178" s="1" t="n">
        <v>2014</v>
      </c>
      <c r="B3178" s="1" t="n">
        <v>1</v>
      </c>
      <c r="C3178" s="2" t="s">
        <v>50</v>
      </c>
      <c r="D3178" s="3" t="s">
        <v>51</v>
      </c>
      <c r="E3178" s="3" t="n">
        <v>1</v>
      </c>
      <c r="F3178" s="1" t="n">
        <f aca="false">Y3178-X3178</f>
        <v>5</v>
      </c>
      <c r="G3178" s="1" t="n">
        <v>5</v>
      </c>
      <c r="H3178" s="3" t="s">
        <v>135</v>
      </c>
      <c r="I3178" s="3" t="s">
        <v>136</v>
      </c>
      <c r="J3178" s="3" t="s">
        <v>137</v>
      </c>
      <c r="K3178" s="2" t="str">
        <f aca="false">CONCATENATE(I3178," ",J3178)</f>
        <v>Thanatus sabulosus</v>
      </c>
      <c r="L3178" s="3" t="n">
        <f aca="false">SUM(P3178:U3178)</f>
        <v>2</v>
      </c>
      <c r="M3178" s="11" t="n">
        <f aca="false">(L3178/(F3178*G3178)*25)*4</f>
        <v>8</v>
      </c>
      <c r="N3178" s="1" t="s">
        <v>30</v>
      </c>
      <c r="O3178" s="1" t="s">
        <v>31</v>
      </c>
      <c r="P3178" s="3" t="n">
        <v>2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f aca="false">SUM(P3178:Q3178)</f>
        <v>2</v>
      </c>
      <c r="W3178" s="3" t="n">
        <f aca="false">SUM(R3178:T3178)</f>
        <v>0</v>
      </c>
      <c r="X3178" s="22" t="n">
        <v>41794</v>
      </c>
      <c r="Y3178" s="22" t="n">
        <v>41799</v>
      </c>
    </row>
    <row r="3179" customFormat="false" ht="14.25" hidden="false" customHeight="false" outlineLevel="0" collapsed="false">
      <c r="A3179" s="1" t="n">
        <v>2014</v>
      </c>
      <c r="B3179" s="1" t="n">
        <v>1</v>
      </c>
      <c r="C3179" s="2" t="s">
        <v>50</v>
      </c>
      <c r="D3179" s="3" t="s">
        <v>51</v>
      </c>
      <c r="E3179" s="3" t="n">
        <v>1</v>
      </c>
      <c r="F3179" s="1" t="n">
        <f aca="false">Y3179-X3179</f>
        <v>5</v>
      </c>
      <c r="G3179" s="1" t="n">
        <v>5</v>
      </c>
      <c r="H3179" s="3" t="s">
        <v>48</v>
      </c>
      <c r="I3179" s="3" t="s">
        <v>67</v>
      </c>
      <c r="J3179" s="3" t="s">
        <v>127</v>
      </c>
      <c r="K3179" s="2" t="str">
        <f aca="false">CONCATENATE(I3179," ",J3179)</f>
        <v>Pardosa lugubris</v>
      </c>
      <c r="L3179" s="3" t="n">
        <f aca="false">SUM(P3179:U3179)</f>
        <v>16</v>
      </c>
      <c r="M3179" s="11" t="n">
        <f aca="false">(L3179/(F3179*G3179)*25)*4</f>
        <v>64</v>
      </c>
      <c r="N3179" s="1" t="s">
        <v>30</v>
      </c>
      <c r="O3179" s="1" t="s">
        <v>31</v>
      </c>
      <c r="P3179" s="3" t="n">
        <v>16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0</v>
      </c>
      <c r="V3179" s="3" t="n">
        <f aca="false">SUM(P3179:Q3179)</f>
        <v>16</v>
      </c>
      <c r="W3179" s="3" t="n">
        <f aca="false">SUM(R3179:T3179)</f>
        <v>0</v>
      </c>
      <c r="X3179" s="22" t="n">
        <v>41794</v>
      </c>
      <c r="Y3179" s="22" t="n">
        <v>41799</v>
      </c>
    </row>
    <row r="3180" customFormat="false" ht="14.25" hidden="false" customHeight="false" outlineLevel="0" collapsed="false">
      <c r="A3180" s="1" t="n">
        <v>2014</v>
      </c>
      <c r="B3180" s="1" t="n">
        <v>1</v>
      </c>
      <c r="C3180" s="2" t="s">
        <v>50</v>
      </c>
      <c r="D3180" s="3" t="s">
        <v>51</v>
      </c>
      <c r="E3180" s="3" t="n">
        <v>1</v>
      </c>
      <c r="F3180" s="1" t="n">
        <f aca="false">Y3180-X3180</f>
        <v>5</v>
      </c>
      <c r="G3180" s="1" t="n">
        <v>5</v>
      </c>
      <c r="H3180" s="3" t="s">
        <v>48</v>
      </c>
      <c r="I3180" s="3" t="s">
        <v>67</v>
      </c>
      <c r="J3180" s="3" t="s">
        <v>127</v>
      </c>
      <c r="K3180" s="2" t="str">
        <f aca="false">CONCATENATE(I3180," ",J3180)</f>
        <v>Pardosa lugubris</v>
      </c>
      <c r="L3180" s="3" t="n">
        <f aca="false">SUM(P3180:U3180)</f>
        <v>2</v>
      </c>
      <c r="M3180" s="11" t="n">
        <f aca="false">(L3180/(F3180*G3180)*25)*4</f>
        <v>8</v>
      </c>
      <c r="N3180" s="1" t="s">
        <v>30</v>
      </c>
      <c r="O3180" s="1" t="s">
        <v>35</v>
      </c>
      <c r="P3180" s="3" t="n">
        <v>0</v>
      </c>
      <c r="Q3180" s="3" t="n">
        <v>2</v>
      </c>
      <c r="R3180" s="3" t="n">
        <v>0</v>
      </c>
      <c r="S3180" s="3" t="n">
        <v>0</v>
      </c>
      <c r="T3180" s="3" t="n">
        <v>0</v>
      </c>
      <c r="U3180" s="3" t="n">
        <v>0</v>
      </c>
      <c r="V3180" s="3" t="n">
        <f aca="false">SUM(P3180:Q3180)</f>
        <v>2</v>
      </c>
      <c r="W3180" s="3" t="n">
        <f aca="false">SUM(R3180:T3180)</f>
        <v>0</v>
      </c>
      <c r="X3180" s="22" t="n">
        <v>41794</v>
      </c>
      <c r="Y3180" s="22" t="n">
        <v>41799</v>
      </c>
    </row>
    <row r="3181" customFormat="false" ht="14.25" hidden="false" customHeight="false" outlineLevel="0" collapsed="false">
      <c r="A3181" s="1" t="n">
        <v>2014</v>
      </c>
      <c r="B3181" s="1" t="n">
        <v>1</v>
      </c>
      <c r="C3181" s="2" t="s">
        <v>50</v>
      </c>
      <c r="D3181" s="3" t="s">
        <v>51</v>
      </c>
      <c r="E3181" s="3" t="n">
        <v>1</v>
      </c>
      <c r="F3181" s="1" t="n">
        <f aca="false">Y3181-X3181</f>
        <v>5</v>
      </c>
      <c r="G3181" s="1" t="n">
        <v>5</v>
      </c>
      <c r="H3181" s="3" t="s">
        <v>36</v>
      </c>
      <c r="I3181" s="3" t="s">
        <v>37</v>
      </c>
      <c r="J3181" s="3" t="s">
        <v>75</v>
      </c>
      <c r="K3181" s="2" t="str">
        <f aca="false">CONCATENATE(I3181," ",J3181)</f>
        <v>Ozyptila praticola</v>
      </c>
      <c r="L3181" s="3" t="n">
        <f aca="false">SUM(P3181:U3181)</f>
        <v>1</v>
      </c>
      <c r="M3181" s="11" t="n">
        <f aca="false">(L3181/(F3181*G3181)*25)*4</f>
        <v>4</v>
      </c>
      <c r="N3181" s="1" t="s">
        <v>30</v>
      </c>
      <c r="O3181" s="1" t="s">
        <v>31</v>
      </c>
      <c r="P3181" s="3" t="n">
        <v>1</v>
      </c>
      <c r="Q3181" s="3" t="n">
        <v>0</v>
      </c>
      <c r="R3181" s="3" t="n">
        <v>0</v>
      </c>
      <c r="S3181" s="3" t="n">
        <v>0</v>
      </c>
      <c r="T3181" s="3" t="n">
        <v>0</v>
      </c>
      <c r="U3181" s="3" t="n">
        <v>0</v>
      </c>
      <c r="V3181" s="3" t="n">
        <f aca="false">SUM(P3181:Q3181)</f>
        <v>1</v>
      </c>
      <c r="W3181" s="3" t="n">
        <f aca="false">SUM(R3181:T3181)</f>
        <v>0</v>
      </c>
      <c r="X3181" s="22" t="n">
        <v>41794</v>
      </c>
      <c r="Y3181" s="22" t="n">
        <v>41799</v>
      </c>
    </row>
    <row r="3182" customFormat="false" ht="14.25" hidden="false" customHeight="false" outlineLevel="0" collapsed="false">
      <c r="A3182" s="1" t="n">
        <v>2014</v>
      </c>
      <c r="B3182" s="1" t="n">
        <v>1</v>
      </c>
      <c r="C3182" s="2" t="s">
        <v>50</v>
      </c>
      <c r="D3182" s="3" t="s">
        <v>51</v>
      </c>
      <c r="E3182" s="3" t="n">
        <v>1</v>
      </c>
      <c r="F3182" s="1" t="n">
        <f aca="false">Y3182-X3182</f>
        <v>5</v>
      </c>
      <c r="G3182" s="1" t="n">
        <v>5</v>
      </c>
      <c r="H3182" s="3" t="s">
        <v>36</v>
      </c>
      <c r="I3182" s="3" t="s">
        <v>131</v>
      </c>
      <c r="J3182" s="3" t="s">
        <v>38</v>
      </c>
      <c r="K3182" s="2" t="str">
        <f aca="false">CONCATENATE(I3182," ",J3182)</f>
        <v>Xysticus sp</v>
      </c>
      <c r="L3182" s="3" t="n">
        <f aca="false">SUM(P3182:U3182)</f>
        <v>1</v>
      </c>
      <c r="M3182" s="11" t="n">
        <f aca="false">(L3182/(F3182*G3182)*25)*4</f>
        <v>4</v>
      </c>
      <c r="N3182" s="1" t="s">
        <v>19</v>
      </c>
      <c r="O3182" s="1" t="s">
        <v>54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1</v>
      </c>
      <c r="U3182" s="3" t="n">
        <v>0</v>
      </c>
      <c r="V3182" s="3" t="n">
        <f aca="false">SUM(P3182:Q3182)</f>
        <v>0</v>
      </c>
      <c r="W3182" s="3" t="n">
        <f aca="false">SUM(R3182:T3182)</f>
        <v>1</v>
      </c>
      <c r="X3182" s="22" t="n">
        <v>41794</v>
      </c>
      <c r="Y3182" s="22" t="n">
        <v>41799</v>
      </c>
    </row>
    <row r="3183" customFormat="false" ht="14.25" hidden="false" customHeight="false" outlineLevel="0" collapsed="false">
      <c r="A3183" s="1" t="n">
        <v>2014</v>
      </c>
      <c r="B3183" s="1" t="n">
        <v>1</v>
      </c>
      <c r="C3183" s="2" t="s">
        <v>50</v>
      </c>
      <c r="D3183" s="3" t="s">
        <v>51</v>
      </c>
      <c r="E3183" s="3" t="n">
        <v>1</v>
      </c>
      <c r="F3183" s="1" t="n">
        <f aca="false">Y3183-X3183</f>
        <v>5</v>
      </c>
      <c r="G3183" s="1" t="n">
        <v>5</v>
      </c>
      <c r="H3183" s="3" t="s">
        <v>72</v>
      </c>
      <c r="I3183" s="3" t="s">
        <v>73</v>
      </c>
      <c r="J3183" s="3" t="s">
        <v>74</v>
      </c>
      <c r="K3183" s="2" t="str">
        <f aca="false">CONCATENATE(I3183," ",J3183)</f>
        <v>Zelotes subterraneus</v>
      </c>
      <c r="L3183" s="3" t="n">
        <f aca="false">SUM(P3183:U3183)</f>
        <v>1</v>
      </c>
      <c r="M3183" s="11" t="n">
        <f aca="false">(L3183/(F3183*G3183)*25)*4</f>
        <v>4</v>
      </c>
      <c r="N3183" s="1" t="s">
        <v>30</v>
      </c>
      <c r="O3183" s="1" t="s">
        <v>31</v>
      </c>
      <c r="P3183" s="3" t="n">
        <v>1</v>
      </c>
      <c r="Q3183" s="3" t="n">
        <v>0</v>
      </c>
      <c r="R3183" s="3" t="n">
        <v>0</v>
      </c>
      <c r="S3183" s="3" t="n">
        <v>0</v>
      </c>
      <c r="T3183" s="3" t="n">
        <v>0</v>
      </c>
      <c r="U3183" s="3" t="n">
        <v>0</v>
      </c>
      <c r="V3183" s="3" t="n">
        <f aca="false">SUM(P3183:Q3183)</f>
        <v>1</v>
      </c>
      <c r="W3183" s="3" t="n">
        <f aca="false">SUM(R3183:T3183)</f>
        <v>0</v>
      </c>
      <c r="X3183" s="22" t="n">
        <v>41794</v>
      </c>
      <c r="Y3183" s="22" t="n">
        <v>41799</v>
      </c>
    </row>
    <row r="3184" customFormat="false" ht="14.25" hidden="false" customHeight="false" outlineLevel="0" collapsed="false">
      <c r="A3184" s="1" t="n">
        <v>2014</v>
      </c>
      <c r="B3184" s="1" t="n">
        <v>1</v>
      </c>
      <c r="C3184" s="2" t="s">
        <v>50</v>
      </c>
      <c r="D3184" s="3" t="s">
        <v>51</v>
      </c>
      <c r="E3184" s="3" t="n">
        <v>1</v>
      </c>
      <c r="F3184" s="1" t="n">
        <f aca="false">Y3184-X3184</f>
        <v>5</v>
      </c>
      <c r="G3184" s="1" t="n">
        <v>5</v>
      </c>
      <c r="H3184" s="3" t="s">
        <v>72</v>
      </c>
      <c r="I3184" s="3" t="s">
        <v>73</v>
      </c>
      <c r="J3184" s="3" t="s">
        <v>38</v>
      </c>
      <c r="K3184" s="2" t="str">
        <f aca="false">CONCATENATE(I3184," ",J3184)</f>
        <v>Zelotes sp</v>
      </c>
      <c r="L3184" s="3" t="n">
        <f aca="false">SUM(P3184:U3184)</f>
        <v>1</v>
      </c>
      <c r="M3184" s="11" t="n">
        <f aca="false">(L3184/(F3184*G3184)*25)*4</f>
        <v>4</v>
      </c>
      <c r="N3184" s="1" t="s">
        <v>19</v>
      </c>
      <c r="O3184" s="1" t="s">
        <v>35</v>
      </c>
      <c r="P3184" s="3" t="n">
        <v>0</v>
      </c>
      <c r="Q3184" s="3" t="n">
        <v>0</v>
      </c>
      <c r="R3184" s="3" t="n">
        <v>0</v>
      </c>
      <c r="S3184" s="3" t="n">
        <v>1</v>
      </c>
      <c r="T3184" s="3" t="n">
        <v>0</v>
      </c>
      <c r="U3184" s="3" t="n">
        <v>0</v>
      </c>
      <c r="V3184" s="3" t="n">
        <f aca="false">SUM(P3184:Q3184)</f>
        <v>0</v>
      </c>
      <c r="W3184" s="3" t="n">
        <f aca="false">SUM(R3184:T3184)</f>
        <v>1</v>
      </c>
      <c r="X3184" s="22" t="n">
        <v>41794</v>
      </c>
      <c r="Y3184" s="22" t="n">
        <v>41799</v>
      </c>
    </row>
    <row r="3185" customFormat="false" ht="14.25" hidden="false" customHeight="false" outlineLevel="0" collapsed="false">
      <c r="A3185" s="1" t="n">
        <v>2014</v>
      </c>
      <c r="B3185" s="1" t="n">
        <v>1</v>
      </c>
      <c r="C3185" s="2" t="s">
        <v>50</v>
      </c>
      <c r="D3185" s="3" t="s">
        <v>51</v>
      </c>
      <c r="E3185" s="3" t="n">
        <v>1</v>
      </c>
      <c r="F3185" s="1" t="n">
        <f aca="false">Y3185-X3185</f>
        <v>5</v>
      </c>
      <c r="G3185" s="1" t="n">
        <v>5</v>
      </c>
      <c r="H3185" s="3" t="s">
        <v>72</v>
      </c>
      <c r="I3185" s="3" t="s">
        <v>242</v>
      </c>
      <c r="J3185" s="3" t="s">
        <v>38</v>
      </c>
      <c r="K3185" s="2" t="str">
        <f aca="false">CONCATENATE(I3185," ",J3185)</f>
        <v>Drassyllus sp</v>
      </c>
      <c r="L3185" s="3" t="n">
        <f aca="false">SUM(P3185:U3185)</f>
        <v>1</v>
      </c>
      <c r="M3185" s="11" t="n">
        <f aca="false">(L3185/(F3185*G3185)*25)*4</f>
        <v>4</v>
      </c>
      <c r="N3185" s="1" t="s">
        <v>19</v>
      </c>
      <c r="O3185" s="1" t="s">
        <v>54</v>
      </c>
      <c r="P3185" s="3" t="n">
        <v>0</v>
      </c>
      <c r="Q3185" s="3" t="n">
        <v>0</v>
      </c>
      <c r="R3185" s="3" t="n">
        <v>0</v>
      </c>
      <c r="S3185" s="3" t="n">
        <v>0</v>
      </c>
      <c r="T3185" s="3" t="n">
        <v>1</v>
      </c>
      <c r="U3185" s="3" t="n">
        <v>0</v>
      </c>
      <c r="V3185" s="3" t="n">
        <f aca="false">SUM(P3185:Q3185)</f>
        <v>0</v>
      </c>
      <c r="W3185" s="3" t="n">
        <f aca="false">SUM(R3185:T3185)</f>
        <v>1</v>
      </c>
      <c r="X3185" s="22" t="n">
        <v>41794</v>
      </c>
      <c r="Y3185" s="22" t="n">
        <v>41799</v>
      </c>
    </row>
    <row r="3186" customFormat="false" ht="14.25" hidden="false" customHeight="false" outlineLevel="0" collapsed="false">
      <c r="A3186" s="1" t="n">
        <v>2014</v>
      </c>
      <c r="B3186" s="1" t="n">
        <v>1</v>
      </c>
      <c r="C3186" s="2" t="s">
        <v>50</v>
      </c>
      <c r="D3186" s="3" t="s">
        <v>51</v>
      </c>
      <c r="E3186" s="3" t="n">
        <v>1</v>
      </c>
      <c r="F3186" s="1" t="n">
        <f aca="false">Y3186-X3186</f>
        <v>5</v>
      </c>
      <c r="G3186" s="1" t="n">
        <v>5</v>
      </c>
      <c r="H3186" s="3" t="s">
        <v>72</v>
      </c>
      <c r="I3186" s="3" t="s">
        <v>86</v>
      </c>
      <c r="J3186" s="3" t="s">
        <v>87</v>
      </c>
      <c r="K3186" s="2" t="str">
        <f aca="false">CONCATENATE(I3186," ",J3186)</f>
        <v>Haplodrassus soerenseni</v>
      </c>
      <c r="L3186" s="3" t="n">
        <f aca="false">SUM(P3186:U3186)</f>
        <v>2</v>
      </c>
      <c r="M3186" s="11" t="n">
        <f aca="false">(L3186/(F3186*G3186)*25)*4</f>
        <v>8</v>
      </c>
      <c r="N3186" s="1" t="s">
        <v>30</v>
      </c>
      <c r="O3186" s="1" t="s">
        <v>31</v>
      </c>
      <c r="P3186" s="3" t="n">
        <v>2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0</v>
      </c>
      <c r="V3186" s="3" t="n">
        <f aca="false">SUM(P3186:Q3186)</f>
        <v>2</v>
      </c>
      <c r="W3186" s="3" t="n">
        <f aca="false">SUM(R3186:T3186)</f>
        <v>0</v>
      </c>
      <c r="X3186" s="22" t="n">
        <v>41794</v>
      </c>
      <c r="Y3186" s="22" t="n">
        <v>41799</v>
      </c>
    </row>
    <row r="3187" customFormat="false" ht="14.25" hidden="false" customHeight="false" outlineLevel="0" collapsed="false">
      <c r="A3187" s="1" t="n">
        <v>2014</v>
      </c>
      <c r="B3187" s="1" t="n">
        <v>1</v>
      </c>
      <c r="C3187" s="2" t="s">
        <v>50</v>
      </c>
      <c r="D3187" s="3" t="s">
        <v>51</v>
      </c>
      <c r="E3187" s="3" t="n">
        <v>1</v>
      </c>
      <c r="F3187" s="1" t="n">
        <f aca="false">Y3187-X3187</f>
        <v>5</v>
      </c>
      <c r="G3187" s="1" t="n">
        <v>5</v>
      </c>
      <c r="H3187" s="3" t="s">
        <v>32</v>
      </c>
      <c r="I3187" s="3" t="s">
        <v>154</v>
      </c>
      <c r="J3187" s="3" t="s">
        <v>155</v>
      </c>
      <c r="K3187" s="2" t="str">
        <f aca="false">CONCATENATE(I3187," ",J3187)</f>
        <v>Pocadicnemis pumila</v>
      </c>
      <c r="L3187" s="3" t="n">
        <f aca="false">SUM(P3187:U3187)</f>
        <v>1</v>
      </c>
      <c r="M3187" s="11" t="n">
        <f aca="false">(L3187/(F3187*G3187)*25)*4</f>
        <v>4</v>
      </c>
      <c r="N3187" s="1" t="s">
        <v>30</v>
      </c>
      <c r="O3187" s="1" t="s">
        <v>35</v>
      </c>
      <c r="P3187" s="3" t="n">
        <v>0</v>
      </c>
      <c r="Q3187" s="3" t="n">
        <v>1</v>
      </c>
      <c r="R3187" s="3" t="n">
        <v>0</v>
      </c>
      <c r="S3187" s="3" t="n">
        <v>0</v>
      </c>
      <c r="T3187" s="3" t="n">
        <v>0</v>
      </c>
      <c r="U3187" s="3" t="n">
        <v>0</v>
      </c>
      <c r="V3187" s="3" t="n">
        <f aca="false">SUM(P3187:Q3187)</f>
        <v>1</v>
      </c>
      <c r="W3187" s="3" t="n">
        <f aca="false">SUM(R3187:T3187)</f>
        <v>0</v>
      </c>
      <c r="X3187" s="22" t="n">
        <v>41794</v>
      </c>
      <c r="Y3187" s="22" t="n">
        <v>41799</v>
      </c>
    </row>
    <row r="3188" customFormat="false" ht="14.25" hidden="false" customHeight="false" outlineLevel="0" collapsed="false">
      <c r="A3188" s="1" t="n">
        <v>2014</v>
      </c>
      <c r="B3188" s="1" t="n">
        <v>1</v>
      </c>
      <c r="C3188" s="2" t="s">
        <v>50</v>
      </c>
      <c r="D3188" s="3" t="s">
        <v>51</v>
      </c>
      <c r="E3188" s="3" t="n">
        <v>3</v>
      </c>
      <c r="F3188" s="1" t="n">
        <f aca="false">Y3188-X3188</f>
        <v>5</v>
      </c>
      <c r="G3188" s="1" t="n">
        <v>5</v>
      </c>
      <c r="H3188" s="3" t="s">
        <v>48</v>
      </c>
      <c r="I3188" s="3" t="s">
        <v>67</v>
      </c>
      <c r="J3188" s="3" t="s">
        <v>127</v>
      </c>
      <c r="K3188" s="2" t="str">
        <f aca="false">CONCATENATE(I3188," ",J3188)</f>
        <v>Pardosa lugubris</v>
      </c>
      <c r="L3188" s="3" t="n">
        <f aca="false">SUM(P3188:U3188)</f>
        <v>8</v>
      </c>
      <c r="M3188" s="11" t="n">
        <f aca="false">(L3188/(F3188*G3188)*25)*4</f>
        <v>32</v>
      </c>
      <c r="N3188" s="1" t="s">
        <v>30</v>
      </c>
      <c r="O3188" s="1" t="s">
        <v>31</v>
      </c>
      <c r="P3188" s="3" t="n">
        <v>8</v>
      </c>
      <c r="Q3188" s="3" t="n">
        <v>0</v>
      </c>
      <c r="R3188" s="3" t="n">
        <v>0</v>
      </c>
      <c r="S3188" s="3" t="n">
        <v>0</v>
      </c>
      <c r="T3188" s="3" t="n">
        <v>0</v>
      </c>
      <c r="U3188" s="3" t="n">
        <v>0</v>
      </c>
      <c r="V3188" s="3" t="n">
        <f aca="false">SUM(P3188:Q3188)</f>
        <v>8</v>
      </c>
      <c r="W3188" s="3" t="n">
        <f aca="false">SUM(R3188:T3188)</f>
        <v>0</v>
      </c>
      <c r="X3188" s="22" t="n">
        <v>41794</v>
      </c>
      <c r="Y3188" s="22" t="n">
        <v>41799</v>
      </c>
    </row>
    <row r="3189" customFormat="false" ht="14.25" hidden="false" customHeight="false" outlineLevel="0" collapsed="false">
      <c r="A3189" s="1" t="n">
        <v>2014</v>
      </c>
      <c r="B3189" s="1" t="n">
        <v>1</v>
      </c>
      <c r="C3189" s="2" t="s">
        <v>50</v>
      </c>
      <c r="D3189" s="3" t="s">
        <v>51</v>
      </c>
      <c r="E3189" s="3" t="n">
        <v>3</v>
      </c>
      <c r="F3189" s="1" t="n">
        <f aca="false">Y3189-X3189</f>
        <v>5</v>
      </c>
      <c r="G3189" s="1" t="n">
        <v>5</v>
      </c>
      <c r="H3189" s="3" t="s">
        <v>48</v>
      </c>
      <c r="I3189" s="3" t="s">
        <v>67</v>
      </c>
      <c r="J3189" s="3" t="s">
        <v>127</v>
      </c>
      <c r="K3189" s="2" t="str">
        <f aca="false">CONCATENATE(I3189," ",J3189)</f>
        <v>Pardosa lugubris</v>
      </c>
      <c r="L3189" s="3" t="n">
        <f aca="false">SUM(P3189:U3189)</f>
        <v>3</v>
      </c>
      <c r="M3189" s="11" t="n">
        <f aca="false">(L3189/(F3189*G3189)*25)*4</f>
        <v>12</v>
      </c>
      <c r="N3189" s="1" t="s">
        <v>30</v>
      </c>
      <c r="O3189" s="1" t="s">
        <v>35</v>
      </c>
      <c r="P3189" s="3" t="n">
        <v>0</v>
      </c>
      <c r="Q3189" s="3" t="n">
        <v>3</v>
      </c>
      <c r="R3189" s="3" t="n">
        <v>0</v>
      </c>
      <c r="S3189" s="3" t="n">
        <v>0</v>
      </c>
      <c r="T3189" s="3" t="n">
        <v>0</v>
      </c>
      <c r="U3189" s="3" t="n">
        <v>0</v>
      </c>
      <c r="V3189" s="3" t="n">
        <f aca="false">SUM(P3189:Q3189)</f>
        <v>3</v>
      </c>
      <c r="W3189" s="3" t="n">
        <f aca="false">SUM(R3189:T3189)</f>
        <v>0</v>
      </c>
      <c r="X3189" s="22" t="n">
        <v>41794</v>
      </c>
      <c r="Y3189" s="22" t="n">
        <v>41799</v>
      </c>
    </row>
    <row r="3190" customFormat="false" ht="14.25" hidden="false" customHeight="false" outlineLevel="0" collapsed="false">
      <c r="A3190" s="1" t="n">
        <v>2014</v>
      </c>
      <c r="B3190" s="1" t="n">
        <v>1</v>
      </c>
      <c r="C3190" s="2" t="s">
        <v>50</v>
      </c>
      <c r="D3190" s="3" t="s">
        <v>51</v>
      </c>
      <c r="E3190" s="3" t="n">
        <v>3</v>
      </c>
      <c r="F3190" s="1" t="n">
        <f aca="false">Y3190-X3190</f>
        <v>5</v>
      </c>
      <c r="G3190" s="1" t="n">
        <v>5</v>
      </c>
      <c r="H3190" s="3" t="s">
        <v>48</v>
      </c>
      <c r="I3190" s="3" t="s">
        <v>49</v>
      </c>
      <c r="J3190" s="3" t="s">
        <v>104</v>
      </c>
      <c r="K3190" s="2" t="str">
        <f aca="false">CONCATENATE(I3190," ",J3190)</f>
        <v>Alopecosa taeniata</v>
      </c>
      <c r="L3190" s="3" t="n">
        <f aca="false">SUM(P3190:U3190)</f>
        <v>1</v>
      </c>
      <c r="M3190" s="11" t="n">
        <f aca="false">(L3190/(F3190*G3190)*25)*4</f>
        <v>4</v>
      </c>
      <c r="N3190" s="1" t="s">
        <v>30</v>
      </c>
      <c r="O3190" s="1" t="s">
        <v>31</v>
      </c>
      <c r="P3190" s="3" t="n">
        <v>1</v>
      </c>
      <c r="Q3190" s="3" t="n">
        <v>0</v>
      </c>
      <c r="R3190" s="3" t="n">
        <v>0</v>
      </c>
      <c r="S3190" s="3" t="n">
        <v>0</v>
      </c>
      <c r="T3190" s="3" t="n">
        <v>0</v>
      </c>
      <c r="U3190" s="3" t="n">
        <v>0</v>
      </c>
      <c r="V3190" s="3" t="n">
        <f aca="false">SUM(P3190:Q3190)</f>
        <v>1</v>
      </c>
      <c r="W3190" s="3" t="n">
        <f aca="false">SUM(R3190:T3190)</f>
        <v>0</v>
      </c>
      <c r="X3190" s="22" t="n">
        <v>41794</v>
      </c>
      <c r="Y3190" s="22" t="n">
        <v>41799</v>
      </c>
    </row>
    <row r="3191" customFormat="false" ht="14.25" hidden="false" customHeight="false" outlineLevel="0" collapsed="false">
      <c r="A3191" s="1" t="n">
        <v>2014</v>
      </c>
      <c r="B3191" s="1" t="n">
        <v>1</v>
      </c>
      <c r="C3191" s="2" t="s">
        <v>50</v>
      </c>
      <c r="D3191" s="3" t="s">
        <v>51</v>
      </c>
      <c r="E3191" s="3" t="n">
        <v>3</v>
      </c>
      <c r="F3191" s="1" t="n">
        <f aca="false">Y3191-X3191</f>
        <v>5</v>
      </c>
      <c r="G3191" s="1" t="n">
        <v>5</v>
      </c>
      <c r="H3191" s="3" t="s">
        <v>226</v>
      </c>
      <c r="I3191" s="3" t="s">
        <v>65</v>
      </c>
      <c r="J3191" s="3" t="s">
        <v>123</v>
      </c>
      <c r="K3191" s="2" t="str">
        <f aca="false">CONCATENATE(I3191," ",J3191)</f>
        <v>Zora nemoralis</v>
      </c>
      <c r="L3191" s="3" t="n">
        <f aca="false">SUM(P3191:U3191)</f>
        <v>1</v>
      </c>
      <c r="M3191" s="11" t="n">
        <f aca="false">(L3191/(F3191*G3191)*25)*4</f>
        <v>4</v>
      </c>
      <c r="N3191" s="1" t="s">
        <v>30</v>
      </c>
      <c r="O3191" s="1" t="s">
        <v>31</v>
      </c>
      <c r="P3191" s="3" t="n">
        <v>1</v>
      </c>
      <c r="Q3191" s="3" t="n">
        <v>0</v>
      </c>
      <c r="R3191" s="3" t="n">
        <v>0</v>
      </c>
      <c r="S3191" s="3" t="n">
        <v>0</v>
      </c>
      <c r="T3191" s="3" t="n">
        <v>0</v>
      </c>
      <c r="U3191" s="3" t="n">
        <v>0</v>
      </c>
      <c r="V3191" s="3" t="n">
        <f aca="false">SUM(P3191:Q3191)</f>
        <v>1</v>
      </c>
      <c r="W3191" s="3" t="n">
        <f aca="false">SUM(R3191:T3191)</f>
        <v>0</v>
      </c>
      <c r="X3191" s="22" t="n">
        <v>41794</v>
      </c>
      <c r="Y3191" s="22" t="n">
        <v>41799</v>
      </c>
    </row>
    <row r="3192" customFormat="false" ht="14.25" hidden="false" customHeight="false" outlineLevel="0" collapsed="false">
      <c r="A3192" s="1" t="n">
        <v>2014</v>
      </c>
      <c r="B3192" s="1" t="n">
        <v>1</v>
      </c>
      <c r="C3192" s="2" t="s">
        <v>50</v>
      </c>
      <c r="D3192" s="3" t="s">
        <v>51</v>
      </c>
      <c r="E3192" s="3" t="n">
        <v>3</v>
      </c>
      <c r="F3192" s="1" t="n">
        <f aca="false">Y3192-X3192</f>
        <v>5</v>
      </c>
      <c r="G3192" s="1" t="n">
        <v>5</v>
      </c>
      <c r="H3192" s="3" t="s">
        <v>36</v>
      </c>
      <c r="I3192" s="3" t="s">
        <v>131</v>
      </c>
      <c r="J3192" s="3" t="s">
        <v>38</v>
      </c>
      <c r="K3192" s="2" t="str">
        <f aca="false">CONCATENATE(I3192," ",J3192)</f>
        <v>Xysticus sp</v>
      </c>
      <c r="L3192" s="3" t="n">
        <f aca="false">SUM(P3192:U3192)</f>
        <v>1</v>
      </c>
      <c r="M3192" s="11" t="n">
        <f aca="false">(L3192/(F3192*G3192)*25)*4</f>
        <v>4</v>
      </c>
      <c r="N3192" s="1" t="s">
        <v>19</v>
      </c>
      <c r="O3192" s="1" t="s">
        <v>54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1</v>
      </c>
      <c r="U3192" s="3" t="n">
        <v>0</v>
      </c>
      <c r="V3192" s="3" t="n">
        <f aca="false">SUM(P3192:Q3192)</f>
        <v>0</v>
      </c>
      <c r="W3192" s="3" t="n">
        <f aca="false">SUM(R3192:T3192)</f>
        <v>1</v>
      </c>
      <c r="X3192" s="22" t="n">
        <v>41794</v>
      </c>
      <c r="Y3192" s="22" t="n">
        <v>41799</v>
      </c>
    </row>
    <row r="3193" customFormat="false" ht="14.25" hidden="false" customHeight="false" outlineLevel="0" collapsed="false">
      <c r="A3193" s="1" t="n">
        <v>2014</v>
      </c>
      <c r="B3193" s="1" t="n">
        <v>1</v>
      </c>
      <c r="C3193" s="2" t="s">
        <v>50</v>
      </c>
      <c r="D3193" s="3" t="s">
        <v>51</v>
      </c>
      <c r="E3193" s="3" t="n">
        <v>3</v>
      </c>
      <c r="F3193" s="1" t="n">
        <f aca="false">Y3193-X3193</f>
        <v>5</v>
      </c>
      <c r="G3193" s="1" t="n">
        <v>5</v>
      </c>
      <c r="H3193" s="3" t="s">
        <v>36</v>
      </c>
      <c r="I3193" s="3" t="s">
        <v>131</v>
      </c>
      <c r="J3193" s="3" t="s">
        <v>133</v>
      </c>
      <c r="K3193" s="2" t="str">
        <f aca="false">CONCATENATE(I3193," ",J3193)</f>
        <v>Xysticus luctuosus</v>
      </c>
      <c r="L3193" s="3" t="n">
        <f aca="false">SUM(P3193:U3193)</f>
        <v>1</v>
      </c>
      <c r="M3193" s="11" t="n">
        <f aca="false">(L3193/(F3193*G3193)*25)*4</f>
        <v>4</v>
      </c>
      <c r="N3193" s="1" t="s">
        <v>30</v>
      </c>
      <c r="O3193" s="1" t="s">
        <v>31</v>
      </c>
      <c r="P3193" s="3" t="n">
        <v>1</v>
      </c>
      <c r="Q3193" s="3" t="n">
        <v>0</v>
      </c>
      <c r="R3193" s="3" t="n">
        <v>0</v>
      </c>
      <c r="S3193" s="3" t="n">
        <v>0</v>
      </c>
      <c r="T3193" s="3" t="n">
        <v>0</v>
      </c>
      <c r="U3193" s="3" t="n">
        <v>0</v>
      </c>
      <c r="V3193" s="3" t="n">
        <f aca="false">SUM(P3193:Q3193)</f>
        <v>1</v>
      </c>
      <c r="W3193" s="3" t="n">
        <f aca="false">SUM(R3193:T3193)</f>
        <v>0</v>
      </c>
      <c r="X3193" s="22" t="n">
        <v>41794</v>
      </c>
      <c r="Y3193" s="22" t="n">
        <v>41799</v>
      </c>
    </row>
    <row r="3194" customFormat="false" ht="14.25" hidden="false" customHeight="false" outlineLevel="0" collapsed="false">
      <c r="A3194" s="1" t="n">
        <v>2014</v>
      </c>
      <c r="B3194" s="1" t="n">
        <v>1</v>
      </c>
      <c r="C3194" s="2" t="s">
        <v>50</v>
      </c>
      <c r="D3194" s="3" t="s">
        <v>51</v>
      </c>
      <c r="E3194" s="3" t="n">
        <v>3</v>
      </c>
      <c r="F3194" s="1" t="n">
        <f aca="false">Y3194-X3194</f>
        <v>5</v>
      </c>
      <c r="G3194" s="1" t="n">
        <v>5</v>
      </c>
      <c r="H3194" s="3" t="s">
        <v>72</v>
      </c>
      <c r="I3194" s="3" t="s">
        <v>86</v>
      </c>
      <c r="J3194" s="3" t="s">
        <v>87</v>
      </c>
      <c r="K3194" s="2" t="str">
        <f aca="false">CONCATENATE(I3194," ",J3194)</f>
        <v>Haplodrassus soerenseni</v>
      </c>
      <c r="L3194" s="3" t="n">
        <f aca="false">SUM(P3194:U3194)</f>
        <v>2</v>
      </c>
      <c r="M3194" s="11" t="n">
        <f aca="false">(L3194/(F3194*G3194)*25)*4</f>
        <v>8</v>
      </c>
      <c r="N3194" s="1" t="s">
        <v>30</v>
      </c>
      <c r="O3194" s="1" t="s">
        <v>35</v>
      </c>
      <c r="P3194" s="3" t="n">
        <v>0</v>
      </c>
      <c r="Q3194" s="3" t="n">
        <v>2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f aca="false">SUM(P3194:Q3194)</f>
        <v>2</v>
      </c>
      <c r="W3194" s="3" t="n">
        <f aca="false">SUM(R3194:T3194)</f>
        <v>0</v>
      </c>
      <c r="X3194" s="22" t="n">
        <v>41794</v>
      </c>
      <c r="Y3194" s="22" t="n">
        <v>41799</v>
      </c>
    </row>
    <row r="3195" customFormat="false" ht="14.25" hidden="false" customHeight="false" outlineLevel="0" collapsed="false">
      <c r="A3195" s="1" t="n">
        <v>2014</v>
      </c>
      <c r="B3195" s="1" t="n">
        <v>1</v>
      </c>
      <c r="C3195" s="2" t="s">
        <v>50</v>
      </c>
      <c r="D3195" s="3" t="s">
        <v>51</v>
      </c>
      <c r="E3195" s="3" t="n">
        <v>3</v>
      </c>
      <c r="F3195" s="1" t="n">
        <f aca="false">Y3195-X3195</f>
        <v>5</v>
      </c>
      <c r="G3195" s="1" t="n">
        <v>5</v>
      </c>
      <c r="H3195" s="3" t="s">
        <v>72</v>
      </c>
      <c r="I3195" s="3" t="s">
        <v>73</v>
      </c>
      <c r="J3195" s="3" t="s">
        <v>38</v>
      </c>
      <c r="K3195" s="2" t="str">
        <f aca="false">CONCATENATE(I3195," ",J3195)</f>
        <v>Zelotes sp</v>
      </c>
      <c r="L3195" s="3" t="n">
        <f aca="false">SUM(P3195:U3195)</f>
        <v>1</v>
      </c>
      <c r="M3195" s="11" t="n">
        <f aca="false">(L3195/(F3195*G3195)*25)*4</f>
        <v>4</v>
      </c>
      <c r="N3195" s="1" t="s">
        <v>19</v>
      </c>
      <c r="O3195" s="1" t="s">
        <v>35</v>
      </c>
      <c r="P3195" s="3" t="n">
        <v>0</v>
      </c>
      <c r="Q3195" s="3" t="n">
        <v>0</v>
      </c>
      <c r="R3195" s="3" t="n">
        <v>0</v>
      </c>
      <c r="S3195" s="3" t="n">
        <v>1</v>
      </c>
      <c r="T3195" s="3" t="n">
        <v>0</v>
      </c>
      <c r="U3195" s="3" t="n">
        <v>0</v>
      </c>
      <c r="V3195" s="3" t="n">
        <f aca="false">SUM(P3195:Q3195)</f>
        <v>0</v>
      </c>
      <c r="W3195" s="3" t="n">
        <f aca="false">SUM(R3195:T3195)</f>
        <v>1</v>
      </c>
      <c r="X3195" s="22" t="n">
        <v>41794</v>
      </c>
      <c r="Y3195" s="22" t="n">
        <v>41799</v>
      </c>
    </row>
    <row r="3196" customFormat="false" ht="14.25" hidden="false" customHeight="false" outlineLevel="0" collapsed="false">
      <c r="A3196" s="1" t="n">
        <v>2014</v>
      </c>
      <c r="B3196" s="1" t="n">
        <v>1</v>
      </c>
      <c r="C3196" s="2" t="s">
        <v>50</v>
      </c>
      <c r="D3196" s="3" t="s">
        <v>51</v>
      </c>
      <c r="E3196" s="3" t="n">
        <v>3</v>
      </c>
      <c r="F3196" s="1" t="n">
        <f aca="false">Y3196-X3196</f>
        <v>5</v>
      </c>
      <c r="G3196" s="1" t="n">
        <v>5</v>
      </c>
      <c r="H3196" s="3" t="s">
        <v>32</v>
      </c>
      <c r="I3196" s="3" t="s">
        <v>96</v>
      </c>
      <c r="J3196" s="3" t="s">
        <v>97</v>
      </c>
      <c r="K3196" s="2" t="str">
        <f aca="false">CONCATENATE(I3196," ",J3196)</f>
        <v>Diplocephalus picinus</v>
      </c>
      <c r="L3196" s="3" t="n">
        <f aca="false">SUM(P3196:U3196)</f>
        <v>1</v>
      </c>
      <c r="M3196" s="11" t="n">
        <f aca="false">(L3196/(F3196*G3196)*25)*4</f>
        <v>4</v>
      </c>
      <c r="N3196" s="1" t="s">
        <v>30</v>
      </c>
      <c r="O3196" s="1" t="s">
        <v>31</v>
      </c>
      <c r="P3196" s="3" t="n">
        <v>1</v>
      </c>
      <c r="Q3196" s="3" t="n">
        <v>0</v>
      </c>
      <c r="R3196" s="3" t="n">
        <v>0</v>
      </c>
      <c r="S3196" s="3" t="n">
        <v>0</v>
      </c>
      <c r="T3196" s="3" t="n">
        <v>0</v>
      </c>
      <c r="U3196" s="3" t="n">
        <v>0</v>
      </c>
      <c r="V3196" s="3" t="n">
        <f aca="false">SUM(P3196:Q3196)</f>
        <v>1</v>
      </c>
      <c r="W3196" s="3" t="n">
        <f aca="false">SUM(R3196:T3196)</f>
        <v>0</v>
      </c>
      <c r="X3196" s="22" t="n">
        <v>41794</v>
      </c>
      <c r="Y3196" s="22" t="n">
        <v>41799</v>
      </c>
    </row>
    <row r="3197" customFormat="false" ht="14.25" hidden="false" customHeight="false" outlineLevel="0" collapsed="false">
      <c r="A3197" s="1" t="n">
        <v>2014</v>
      </c>
      <c r="B3197" s="1" t="n">
        <v>1</v>
      </c>
      <c r="C3197" s="2" t="s">
        <v>50</v>
      </c>
      <c r="D3197" s="3" t="s">
        <v>51</v>
      </c>
      <c r="E3197" s="3" t="n">
        <v>1</v>
      </c>
      <c r="F3197" s="1" t="n">
        <f aca="false">Y3197-X3197</f>
        <v>5</v>
      </c>
      <c r="G3197" s="1" t="n">
        <v>5</v>
      </c>
      <c r="H3197" s="3" t="s">
        <v>48</v>
      </c>
      <c r="I3197" s="3" t="s">
        <v>67</v>
      </c>
      <c r="J3197" s="3" t="s">
        <v>127</v>
      </c>
      <c r="K3197" s="2" t="str">
        <f aca="false">CONCATENATE(I3197," ",J3197)</f>
        <v>Pardosa lugubris</v>
      </c>
      <c r="L3197" s="3" t="n">
        <f aca="false">SUM(P3197:U3197)</f>
        <v>5</v>
      </c>
      <c r="M3197" s="11" t="n">
        <f aca="false">(L3197/(F3197*G3197)*25)*4</f>
        <v>20</v>
      </c>
      <c r="N3197" s="1" t="s">
        <v>30</v>
      </c>
      <c r="O3197" s="1" t="s">
        <v>31</v>
      </c>
      <c r="P3197" s="3" t="n">
        <v>5</v>
      </c>
      <c r="Q3197" s="3" t="n">
        <v>0</v>
      </c>
      <c r="R3197" s="3" t="n">
        <v>0</v>
      </c>
      <c r="S3197" s="3" t="n">
        <v>0</v>
      </c>
      <c r="T3197" s="3" t="n">
        <v>0</v>
      </c>
      <c r="U3197" s="3" t="n">
        <v>0</v>
      </c>
      <c r="V3197" s="3" t="n">
        <f aca="false">SUM(P3197:Q3197)</f>
        <v>5</v>
      </c>
      <c r="W3197" s="3" t="n">
        <f aca="false">SUM(R3197:T3197)</f>
        <v>0</v>
      </c>
      <c r="X3197" s="22" t="n">
        <v>41794</v>
      </c>
      <c r="Y3197" s="22" t="n">
        <v>41799</v>
      </c>
    </row>
    <row r="3198" customFormat="false" ht="14.25" hidden="false" customHeight="false" outlineLevel="0" collapsed="false">
      <c r="A3198" s="1" t="n">
        <v>2014</v>
      </c>
      <c r="B3198" s="1" t="n">
        <v>1</v>
      </c>
      <c r="C3198" s="2" t="s">
        <v>50</v>
      </c>
      <c r="D3198" s="3" t="s">
        <v>51</v>
      </c>
      <c r="E3198" s="3" t="n">
        <v>1</v>
      </c>
      <c r="F3198" s="1" t="n">
        <f aca="false">Y3198-X3198</f>
        <v>5</v>
      </c>
      <c r="G3198" s="1" t="n">
        <v>5</v>
      </c>
      <c r="H3198" s="3" t="s">
        <v>48</v>
      </c>
      <c r="I3198" s="3" t="s">
        <v>67</v>
      </c>
      <c r="J3198" s="3" t="s">
        <v>127</v>
      </c>
      <c r="K3198" s="2" t="str">
        <f aca="false">CONCATENATE(I3198," ",J3198)</f>
        <v>Pardosa lugubris</v>
      </c>
      <c r="L3198" s="3" t="n">
        <f aca="false">SUM(P3198:U3198)</f>
        <v>2</v>
      </c>
      <c r="M3198" s="11" t="n">
        <f aca="false">(L3198/(F3198*G3198)*25)*4</f>
        <v>8</v>
      </c>
      <c r="N3198" s="1" t="s">
        <v>30</v>
      </c>
      <c r="O3198" s="1" t="s">
        <v>35</v>
      </c>
      <c r="P3198" s="3" t="n">
        <v>0</v>
      </c>
      <c r="Q3198" s="3" t="n">
        <v>2</v>
      </c>
      <c r="R3198" s="3" t="n">
        <v>0</v>
      </c>
      <c r="S3198" s="3" t="n">
        <v>0</v>
      </c>
      <c r="T3198" s="3" t="n">
        <v>0</v>
      </c>
      <c r="U3198" s="3" t="n">
        <v>0</v>
      </c>
      <c r="V3198" s="3" t="n">
        <f aca="false">SUM(P3198:Q3198)</f>
        <v>2</v>
      </c>
      <c r="W3198" s="3" t="n">
        <f aca="false">SUM(R3198:T3198)</f>
        <v>0</v>
      </c>
      <c r="X3198" s="22" t="n">
        <v>41794</v>
      </c>
      <c r="Y3198" s="22" t="n">
        <v>41799</v>
      </c>
    </row>
    <row r="3199" customFormat="false" ht="14.25" hidden="false" customHeight="false" outlineLevel="0" collapsed="false">
      <c r="A3199" s="1" t="n">
        <v>2014</v>
      </c>
      <c r="B3199" s="1" t="n">
        <v>1</v>
      </c>
      <c r="C3199" s="2" t="s">
        <v>50</v>
      </c>
      <c r="D3199" s="3" t="s">
        <v>51</v>
      </c>
      <c r="E3199" s="3" t="n">
        <v>1</v>
      </c>
      <c r="F3199" s="1" t="n">
        <f aca="false">Y3199-X3199</f>
        <v>5</v>
      </c>
      <c r="G3199" s="1" t="n">
        <v>5</v>
      </c>
      <c r="H3199" s="3" t="s">
        <v>72</v>
      </c>
      <c r="I3199" s="3" t="s">
        <v>73</v>
      </c>
      <c r="J3199" s="3" t="s">
        <v>74</v>
      </c>
      <c r="K3199" s="2" t="str">
        <f aca="false">CONCATENATE(I3199," ",J3199)</f>
        <v>Zelotes subterraneus</v>
      </c>
      <c r="L3199" s="3" t="n">
        <f aca="false">SUM(P3199:U3199)</f>
        <v>3</v>
      </c>
      <c r="M3199" s="11" t="n">
        <f aca="false">(L3199/(F3199*G3199)*25)*4</f>
        <v>12</v>
      </c>
      <c r="N3199" s="1" t="s">
        <v>30</v>
      </c>
      <c r="O3199" s="1" t="s">
        <v>31</v>
      </c>
      <c r="P3199" s="3" t="n">
        <v>3</v>
      </c>
      <c r="Q3199" s="3" t="n">
        <v>0</v>
      </c>
      <c r="R3199" s="3" t="n">
        <v>0</v>
      </c>
      <c r="S3199" s="3" t="n">
        <v>0</v>
      </c>
      <c r="T3199" s="3" t="n">
        <v>0</v>
      </c>
      <c r="U3199" s="3" t="n">
        <v>0</v>
      </c>
      <c r="V3199" s="3" t="n">
        <f aca="false">SUM(P3199:Q3199)</f>
        <v>3</v>
      </c>
      <c r="W3199" s="3" t="n">
        <f aca="false">SUM(R3199:T3199)</f>
        <v>0</v>
      </c>
      <c r="X3199" s="22" t="n">
        <v>41794</v>
      </c>
      <c r="Y3199" s="22" t="n">
        <v>41799</v>
      </c>
    </row>
    <row r="3200" customFormat="false" ht="14.25" hidden="false" customHeight="false" outlineLevel="0" collapsed="false">
      <c r="A3200" s="1" t="n">
        <v>2014</v>
      </c>
      <c r="B3200" s="1" t="n">
        <v>1</v>
      </c>
      <c r="C3200" s="2" t="s">
        <v>50</v>
      </c>
      <c r="D3200" s="3" t="s">
        <v>51</v>
      </c>
      <c r="E3200" s="3" t="n">
        <v>1</v>
      </c>
      <c r="F3200" s="1" t="n">
        <f aca="false">Y3200-X3200</f>
        <v>5</v>
      </c>
      <c r="G3200" s="1" t="n">
        <v>5</v>
      </c>
      <c r="H3200" s="3" t="s">
        <v>72</v>
      </c>
      <c r="I3200" s="3" t="s">
        <v>73</v>
      </c>
      <c r="J3200" s="3" t="s">
        <v>38</v>
      </c>
      <c r="K3200" s="2" t="str">
        <f aca="false">CONCATENATE(I3200," ",J3200)</f>
        <v>Zelotes sp</v>
      </c>
      <c r="L3200" s="3" t="n">
        <f aca="false">SUM(P3200:U3200)</f>
        <v>2</v>
      </c>
      <c r="M3200" s="11" t="n">
        <f aca="false">(L3200/(F3200*G3200)*25)*4</f>
        <v>8</v>
      </c>
      <c r="N3200" s="1" t="s">
        <v>19</v>
      </c>
      <c r="O3200" s="1" t="s">
        <v>31</v>
      </c>
      <c r="P3200" s="3" t="n">
        <v>0</v>
      </c>
      <c r="Q3200" s="3" t="n">
        <v>0</v>
      </c>
      <c r="R3200" s="3" t="n">
        <v>2</v>
      </c>
      <c r="S3200" s="3" t="n">
        <v>0</v>
      </c>
      <c r="T3200" s="3" t="n">
        <v>0</v>
      </c>
      <c r="U3200" s="3" t="n">
        <v>0</v>
      </c>
      <c r="V3200" s="3" t="n">
        <f aca="false">SUM(P3200:Q3200)</f>
        <v>0</v>
      </c>
      <c r="W3200" s="3" t="n">
        <f aca="false">SUM(R3200:T3200)</f>
        <v>2</v>
      </c>
      <c r="X3200" s="22" t="n">
        <v>41794</v>
      </c>
      <c r="Y3200" s="22" t="n">
        <v>41799</v>
      </c>
    </row>
    <row r="3201" customFormat="false" ht="14.25" hidden="false" customHeight="false" outlineLevel="0" collapsed="false">
      <c r="A3201" s="1" t="n">
        <v>2014</v>
      </c>
      <c r="B3201" s="1" t="n">
        <v>1</v>
      </c>
      <c r="C3201" s="2" t="s">
        <v>50</v>
      </c>
      <c r="D3201" s="3" t="s">
        <v>51</v>
      </c>
      <c r="E3201" s="3" t="n">
        <v>1</v>
      </c>
      <c r="F3201" s="1" t="n">
        <f aca="false">Y3201-X3201</f>
        <v>5</v>
      </c>
      <c r="G3201" s="1" t="n">
        <v>5</v>
      </c>
      <c r="H3201" s="3" t="s">
        <v>72</v>
      </c>
      <c r="I3201" s="3" t="s">
        <v>86</v>
      </c>
      <c r="J3201" s="3" t="s">
        <v>87</v>
      </c>
      <c r="K3201" s="2" t="str">
        <f aca="false">CONCATENATE(I3201," ",J3201)</f>
        <v>Haplodrassus soerenseni</v>
      </c>
      <c r="L3201" s="3" t="n">
        <f aca="false">SUM(P3201:U3201)</f>
        <v>1</v>
      </c>
      <c r="M3201" s="11" t="n">
        <f aca="false">(L3201/(F3201*G3201)*25)*4</f>
        <v>4</v>
      </c>
      <c r="N3201" s="1" t="s">
        <v>30</v>
      </c>
      <c r="O3201" s="1" t="s">
        <v>31</v>
      </c>
      <c r="P3201" s="3" t="n">
        <v>1</v>
      </c>
      <c r="Q3201" s="3" t="n">
        <v>0</v>
      </c>
      <c r="R3201" s="3" t="n">
        <v>0</v>
      </c>
      <c r="S3201" s="3" t="n">
        <v>0</v>
      </c>
      <c r="T3201" s="3" t="n">
        <v>0</v>
      </c>
      <c r="U3201" s="3" t="n">
        <v>0</v>
      </c>
      <c r="V3201" s="3" t="n">
        <f aca="false">SUM(P3201:Q3201)</f>
        <v>1</v>
      </c>
      <c r="W3201" s="3" t="n">
        <f aca="false">SUM(R3201:T3201)</f>
        <v>0</v>
      </c>
      <c r="X3201" s="22" t="n">
        <v>41794</v>
      </c>
      <c r="Y3201" s="22" t="n">
        <v>41799</v>
      </c>
    </row>
    <row r="3202" customFormat="false" ht="14.25" hidden="false" customHeight="false" outlineLevel="0" collapsed="false">
      <c r="A3202" s="1" t="n">
        <v>2014</v>
      </c>
      <c r="B3202" s="1" t="n">
        <v>1</v>
      </c>
      <c r="C3202" s="2" t="s">
        <v>50</v>
      </c>
      <c r="D3202" s="3" t="s">
        <v>51</v>
      </c>
      <c r="E3202" s="3" t="n">
        <v>1</v>
      </c>
      <c r="F3202" s="1" t="n">
        <f aca="false">Y3202-X3202</f>
        <v>5</v>
      </c>
      <c r="G3202" s="1" t="n">
        <v>5</v>
      </c>
      <c r="H3202" s="3" t="s">
        <v>41</v>
      </c>
      <c r="I3202" s="3" t="s">
        <v>42</v>
      </c>
      <c r="J3202" s="3" t="s">
        <v>38</v>
      </c>
      <c r="K3202" s="2" t="str">
        <f aca="false">CONCATENATE(I3202," ",J3202)</f>
        <v>Agroeca sp</v>
      </c>
      <c r="L3202" s="3" t="n">
        <f aca="false">SUM(P3202:U3202)</f>
        <v>1</v>
      </c>
      <c r="M3202" s="11" t="n">
        <f aca="false">(L3202/(F3202*G3202)*25)*4</f>
        <v>4</v>
      </c>
      <c r="N3202" s="1" t="s">
        <v>19</v>
      </c>
      <c r="O3202" s="1" t="s">
        <v>54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1</v>
      </c>
      <c r="U3202" s="3" t="n">
        <v>0</v>
      </c>
      <c r="V3202" s="3" t="n">
        <f aca="false">SUM(P3202:Q3202)</f>
        <v>0</v>
      </c>
      <c r="W3202" s="3" t="n">
        <f aca="false">SUM(R3202:T3202)</f>
        <v>1</v>
      </c>
      <c r="X3202" s="22" t="n">
        <v>41794</v>
      </c>
      <c r="Y3202" s="22" t="n">
        <v>41799</v>
      </c>
    </row>
    <row r="3203" customFormat="false" ht="14.25" hidden="false" customHeight="false" outlineLevel="0" collapsed="false">
      <c r="A3203" s="1" t="n">
        <v>2014</v>
      </c>
      <c r="B3203" s="1" t="n">
        <v>1</v>
      </c>
      <c r="C3203" s="2" t="s">
        <v>50</v>
      </c>
      <c r="D3203" s="3" t="s">
        <v>51</v>
      </c>
      <c r="E3203" s="3" t="n">
        <v>1</v>
      </c>
      <c r="F3203" s="1" t="n">
        <f aca="false">Y3203-X3203</f>
        <v>5</v>
      </c>
      <c r="G3203" s="1" t="n">
        <v>5</v>
      </c>
      <c r="H3203" s="3" t="s">
        <v>135</v>
      </c>
      <c r="I3203" s="3" t="s">
        <v>136</v>
      </c>
      <c r="J3203" s="3" t="s">
        <v>137</v>
      </c>
      <c r="K3203" s="2" t="str">
        <f aca="false">CONCATENATE(I3203," ",J3203)</f>
        <v>Thanatus sabulosus</v>
      </c>
      <c r="L3203" s="3" t="n">
        <f aca="false">SUM(P3203:U3203)</f>
        <v>1</v>
      </c>
      <c r="M3203" s="11" t="n">
        <f aca="false">(L3203/(F3203*G3203)*25)*4</f>
        <v>4</v>
      </c>
      <c r="N3203" s="1" t="s">
        <v>30</v>
      </c>
      <c r="O3203" s="1" t="s">
        <v>35</v>
      </c>
      <c r="P3203" s="3" t="n">
        <v>0</v>
      </c>
      <c r="Q3203" s="3" t="n">
        <v>1</v>
      </c>
      <c r="R3203" s="3" t="n">
        <v>0</v>
      </c>
      <c r="S3203" s="3" t="n">
        <v>0</v>
      </c>
      <c r="T3203" s="3" t="n">
        <v>0</v>
      </c>
      <c r="U3203" s="3" t="n">
        <v>0</v>
      </c>
      <c r="V3203" s="3" t="n">
        <f aca="false">SUM(P3203:Q3203)</f>
        <v>1</v>
      </c>
      <c r="W3203" s="3" t="n">
        <f aca="false">SUM(R3203:T3203)</f>
        <v>0</v>
      </c>
      <c r="X3203" s="22" t="n">
        <v>41794</v>
      </c>
      <c r="Y3203" s="22" t="n">
        <v>41799</v>
      </c>
    </row>
    <row r="3204" customFormat="false" ht="14.25" hidden="false" customHeight="false" outlineLevel="0" collapsed="false">
      <c r="A3204" s="1" t="n">
        <v>2014</v>
      </c>
      <c r="B3204" s="1" t="n">
        <v>1</v>
      </c>
      <c r="C3204" s="2" t="s">
        <v>50</v>
      </c>
      <c r="D3204" s="3" t="s">
        <v>51</v>
      </c>
      <c r="E3204" s="3" t="n">
        <v>1</v>
      </c>
      <c r="F3204" s="1" t="n">
        <f aca="false">Y3204-X3204</f>
        <v>5</v>
      </c>
      <c r="G3204" s="1" t="n">
        <v>5</v>
      </c>
      <c r="H3204" s="3" t="s">
        <v>226</v>
      </c>
      <c r="I3204" s="3" t="s">
        <v>65</v>
      </c>
      <c r="J3204" s="3" t="s">
        <v>123</v>
      </c>
      <c r="K3204" s="2" t="str">
        <f aca="false">CONCATENATE(I3204," ",J3204)</f>
        <v>Zora nemoralis</v>
      </c>
      <c r="L3204" s="3" t="n">
        <f aca="false">SUM(P3204:U3204)</f>
        <v>1</v>
      </c>
      <c r="M3204" s="11" t="n">
        <f aca="false">(L3204/(F3204*G3204)*25)*4</f>
        <v>4</v>
      </c>
      <c r="N3204" s="1" t="s">
        <v>30</v>
      </c>
      <c r="O3204" s="1" t="s">
        <v>31</v>
      </c>
      <c r="P3204" s="3" t="n">
        <v>1</v>
      </c>
      <c r="Q3204" s="3" t="n">
        <v>0</v>
      </c>
      <c r="R3204" s="3" t="n">
        <v>0</v>
      </c>
      <c r="S3204" s="3" t="n">
        <v>0</v>
      </c>
      <c r="T3204" s="3" t="n">
        <v>0</v>
      </c>
      <c r="U3204" s="3" t="n">
        <v>0</v>
      </c>
      <c r="V3204" s="3" t="n">
        <f aca="false">SUM(P3204:Q3204)</f>
        <v>1</v>
      </c>
      <c r="W3204" s="3" t="n">
        <f aca="false">SUM(R3204:T3204)</f>
        <v>0</v>
      </c>
      <c r="X3204" s="22" t="n">
        <v>41794</v>
      </c>
      <c r="Y3204" s="22" t="n">
        <v>41799</v>
      </c>
    </row>
    <row r="3205" customFormat="false" ht="14.25" hidden="false" customHeight="false" outlineLevel="0" collapsed="false">
      <c r="A3205" s="1" t="n">
        <v>2014</v>
      </c>
      <c r="B3205" s="1" t="n">
        <v>1</v>
      </c>
      <c r="C3205" s="2" t="s">
        <v>50</v>
      </c>
      <c r="D3205" s="3" t="s">
        <v>51</v>
      </c>
      <c r="E3205" s="3" t="n">
        <v>1</v>
      </c>
      <c r="F3205" s="1" t="n">
        <f aca="false">Y3205-X3205</f>
        <v>5</v>
      </c>
      <c r="G3205" s="1" t="n">
        <v>5</v>
      </c>
      <c r="H3205" s="3" t="s">
        <v>36</v>
      </c>
      <c r="I3205" s="3" t="s">
        <v>37</v>
      </c>
      <c r="J3205" s="3" t="s">
        <v>75</v>
      </c>
      <c r="K3205" s="2" t="str">
        <f aca="false">CONCATENATE(I3205," ",J3205)</f>
        <v>Ozyptila praticola</v>
      </c>
      <c r="L3205" s="3" t="n">
        <f aca="false">SUM(P3205:U3205)</f>
        <v>1</v>
      </c>
      <c r="M3205" s="11" t="n">
        <f aca="false">(L3205/(F3205*G3205)*25)*4</f>
        <v>4</v>
      </c>
      <c r="N3205" s="1" t="s">
        <v>30</v>
      </c>
      <c r="O3205" s="1" t="s">
        <v>31</v>
      </c>
      <c r="P3205" s="3" t="n">
        <v>1</v>
      </c>
      <c r="Q3205" s="3" t="n">
        <v>0</v>
      </c>
      <c r="R3205" s="3" t="n">
        <v>0</v>
      </c>
      <c r="S3205" s="3" t="n">
        <v>0</v>
      </c>
      <c r="T3205" s="3" t="n">
        <v>0</v>
      </c>
      <c r="U3205" s="3" t="n">
        <v>0</v>
      </c>
      <c r="V3205" s="3" t="n">
        <f aca="false">SUM(P3205:Q3205)</f>
        <v>1</v>
      </c>
      <c r="W3205" s="3" t="n">
        <f aca="false">SUM(R3205:T3205)</f>
        <v>0</v>
      </c>
      <c r="X3205" s="22" t="n">
        <v>41794</v>
      </c>
      <c r="Y3205" s="22" t="n">
        <v>41799</v>
      </c>
    </row>
    <row r="3206" customFormat="false" ht="14.25" hidden="false" customHeight="false" outlineLevel="0" collapsed="false">
      <c r="A3206" s="1" t="n">
        <v>2014</v>
      </c>
      <c r="B3206" s="1" t="n">
        <v>1</v>
      </c>
      <c r="C3206" s="2" t="s">
        <v>50</v>
      </c>
      <c r="D3206" s="3" t="s">
        <v>51</v>
      </c>
      <c r="E3206" s="3" t="n">
        <v>1</v>
      </c>
      <c r="F3206" s="1" t="n">
        <f aca="false">Y3206-X3206</f>
        <v>5</v>
      </c>
      <c r="G3206" s="1" t="n">
        <v>5</v>
      </c>
      <c r="H3206" s="3" t="s">
        <v>32</v>
      </c>
      <c r="I3206" s="3" t="s">
        <v>154</v>
      </c>
      <c r="J3206" s="3" t="s">
        <v>155</v>
      </c>
      <c r="K3206" s="2" t="str">
        <f aca="false">CONCATENATE(I3206," ",J3206)</f>
        <v>Pocadicnemis pumila</v>
      </c>
      <c r="L3206" s="3" t="n">
        <f aca="false">SUM(P3206:U3206)</f>
        <v>1</v>
      </c>
      <c r="M3206" s="11" t="n">
        <f aca="false">(L3206/(F3206*G3206)*25)*4</f>
        <v>4</v>
      </c>
      <c r="N3206" s="1" t="s">
        <v>30</v>
      </c>
      <c r="O3206" s="1" t="s">
        <v>31</v>
      </c>
      <c r="P3206" s="3" t="n">
        <v>1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f aca="false">SUM(P3206:Q3206)</f>
        <v>1</v>
      </c>
      <c r="W3206" s="3" t="n">
        <f aca="false">SUM(R3206:T3206)</f>
        <v>0</v>
      </c>
      <c r="X3206" s="22" t="n">
        <v>41794</v>
      </c>
      <c r="Y3206" s="22" t="n">
        <v>41799</v>
      </c>
    </row>
    <row r="3207" customFormat="false" ht="14.25" hidden="false" customHeight="false" outlineLevel="0" collapsed="false">
      <c r="A3207" s="1" t="n">
        <v>2014</v>
      </c>
      <c r="B3207" s="1" t="n">
        <v>1</v>
      </c>
      <c r="C3207" s="2" t="s">
        <v>50</v>
      </c>
      <c r="D3207" s="3" t="s">
        <v>51</v>
      </c>
      <c r="E3207" s="3" t="n">
        <v>1</v>
      </c>
      <c r="F3207" s="1" t="n">
        <f aca="false">Y3207-X3207</f>
        <v>5</v>
      </c>
      <c r="G3207" s="1" t="n">
        <v>5</v>
      </c>
      <c r="H3207" s="3" t="s">
        <v>27</v>
      </c>
      <c r="I3207" s="3" t="s">
        <v>46</v>
      </c>
      <c r="J3207" s="3" t="s">
        <v>47</v>
      </c>
      <c r="K3207" s="2" t="str">
        <f aca="false">CONCATENATE(I3207," ",J3207)</f>
        <v>Euryopis flavomaculata</v>
      </c>
      <c r="L3207" s="3" t="n">
        <f aca="false">SUM(P3207:U3207)</f>
        <v>1</v>
      </c>
      <c r="M3207" s="11" t="n">
        <f aca="false">(L3207/(F3207*G3207)*25)*4</f>
        <v>4</v>
      </c>
      <c r="N3207" s="1" t="s">
        <v>19</v>
      </c>
      <c r="O3207" s="1" t="s">
        <v>54</v>
      </c>
      <c r="P3207" s="3" t="n">
        <v>0</v>
      </c>
      <c r="Q3207" s="3" t="n">
        <v>0</v>
      </c>
      <c r="R3207" s="3" t="n">
        <v>0</v>
      </c>
      <c r="S3207" s="3" t="n">
        <v>0</v>
      </c>
      <c r="T3207" s="3" t="n">
        <v>1</v>
      </c>
      <c r="U3207" s="3" t="n">
        <v>0</v>
      </c>
      <c r="V3207" s="3" t="n">
        <f aca="false">SUM(P3207:Q3207)</f>
        <v>0</v>
      </c>
      <c r="W3207" s="3" t="n">
        <f aca="false">SUM(R3207:T3207)</f>
        <v>1</v>
      </c>
      <c r="X3207" s="22" t="n">
        <v>41794</v>
      </c>
      <c r="Y3207" s="22" t="n">
        <v>41799</v>
      </c>
    </row>
    <row r="3208" customFormat="false" ht="14.25" hidden="false" customHeight="false" outlineLevel="0" collapsed="false">
      <c r="A3208" s="1" t="n">
        <v>2014</v>
      </c>
      <c r="B3208" s="1" t="n">
        <v>1</v>
      </c>
      <c r="C3208" s="2" t="s">
        <v>50</v>
      </c>
      <c r="D3208" s="3" t="s">
        <v>51</v>
      </c>
      <c r="E3208" s="3" t="n">
        <v>3</v>
      </c>
      <c r="F3208" s="1" t="n">
        <f aca="false">Y3208-X3208</f>
        <v>5</v>
      </c>
      <c r="G3208" s="1" t="n">
        <v>5</v>
      </c>
      <c r="H3208" s="3" t="s">
        <v>48</v>
      </c>
      <c r="I3208" s="3" t="s">
        <v>67</v>
      </c>
      <c r="J3208" s="3" t="s">
        <v>127</v>
      </c>
      <c r="K3208" s="2" t="str">
        <f aca="false">CONCATENATE(I3208," ",J3208)</f>
        <v>Pardosa lugubris</v>
      </c>
      <c r="L3208" s="3" t="n">
        <f aca="false">SUM(P3208:U3208)</f>
        <v>15</v>
      </c>
      <c r="M3208" s="11" t="n">
        <f aca="false">(L3208/(F3208*G3208)*25)*4</f>
        <v>60</v>
      </c>
      <c r="N3208" s="1" t="s">
        <v>30</v>
      </c>
      <c r="O3208" s="1" t="s">
        <v>31</v>
      </c>
      <c r="P3208" s="3" t="n">
        <v>15</v>
      </c>
      <c r="Q3208" s="3" t="n">
        <v>0</v>
      </c>
      <c r="R3208" s="3" t="n">
        <v>0</v>
      </c>
      <c r="S3208" s="3" t="n">
        <v>0</v>
      </c>
      <c r="T3208" s="3" t="n">
        <v>0</v>
      </c>
      <c r="U3208" s="3" t="n">
        <v>0</v>
      </c>
      <c r="V3208" s="3" t="n">
        <f aca="false">SUM(P3208:Q3208)</f>
        <v>15</v>
      </c>
      <c r="W3208" s="3" t="n">
        <f aca="false">SUM(R3208:T3208)</f>
        <v>0</v>
      </c>
      <c r="X3208" s="22" t="n">
        <v>41794</v>
      </c>
      <c r="Y3208" s="22" t="n">
        <v>41799</v>
      </c>
    </row>
    <row r="3209" customFormat="false" ht="14.25" hidden="false" customHeight="false" outlineLevel="0" collapsed="false">
      <c r="A3209" s="1" t="n">
        <v>2014</v>
      </c>
      <c r="B3209" s="1" t="n">
        <v>1</v>
      </c>
      <c r="C3209" s="2" t="s">
        <v>50</v>
      </c>
      <c r="D3209" s="3" t="s">
        <v>51</v>
      </c>
      <c r="E3209" s="3" t="n">
        <v>3</v>
      </c>
      <c r="F3209" s="1" t="n">
        <f aca="false">Y3209-X3209</f>
        <v>5</v>
      </c>
      <c r="G3209" s="1" t="n">
        <v>5</v>
      </c>
      <c r="H3209" s="3" t="s">
        <v>48</v>
      </c>
      <c r="I3209" s="3" t="s">
        <v>61</v>
      </c>
      <c r="J3209" s="3" t="s">
        <v>38</v>
      </c>
      <c r="K3209" s="2" t="str">
        <f aca="false">CONCATENATE(I3209," ",J3209)</f>
        <v>Trochosa sp</v>
      </c>
      <c r="L3209" s="3" t="n">
        <f aca="false">SUM(P3209:U3209)</f>
        <v>1</v>
      </c>
      <c r="M3209" s="11" t="n">
        <f aca="false">(L3209/(F3209*G3209)*25)*4</f>
        <v>4</v>
      </c>
      <c r="N3209" s="1" t="s">
        <v>19</v>
      </c>
      <c r="O3209" s="1" t="s">
        <v>54</v>
      </c>
      <c r="P3209" s="3" t="n">
        <v>0</v>
      </c>
      <c r="Q3209" s="3" t="n">
        <v>0</v>
      </c>
      <c r="R3209" s="3" t="n">
        <v>0</v>
      </c>
      <c r="S3209" s="3" t="n">
        <v>0</v>
      </c>
      <c r="T3209" s="3" t="n">
        <v>1</v>
      </c>
      <c r="U3209" s="3" t="n">
        <v>0</v>
      </c>
      <c r="V3209" s="3" t="n">
        <f aca="false">SUM(P3209:Q3209)</f>
        <v>0</v>
      </c>
      <c r="W3209" s="3" t="n">
        <f aca="false">SUM(R3209:T3209)</f>
        <v>1</v>
      </c>
      <c r="X3209" s="22" t="n">
        <v>41794</v>
      </c>
      <c r="Y3209" s="22" t="n">
        <v>41799</v>
      </c>
    </row>
    <row r="3210" customFormat="false" ht="14.25" hidden="false" customHeight="false" outlineLevel="0" collapsed="false">
      <c r="A3210" s="1" t="n">
        <v>2014</v>
      </c>
      <c r="B3210" s="1" t="n">
        <v>1</v>
      </c>
      <c r="C3210" s="2" t="s">
        <v>50</v>
      </c>
      <c r="D3210" s="3" t="s">
        <v>51</v>
      </c>
      <c r="E3210" s="3" t="n">
        <v>3</v>
      </c>
      <c r="F3210" s="1" t="n">
        <f aca="false">Y3210-X3210</f>
        <v>5</v>
      </c>
      <c r="G3210" s="1" t="n">
        <v>5</v>
      </c>
      <c r="H3210" s="3" t="s">
        <v>48</v>
      </c>
      <c r="I3210" s="3" t="s">
        <v>49</v>
      </c>
      <c r="J3210" s="3" t="s">
        <v>38</v>
      </c>
      <c r="K3210" s="2" t="str">
        <f aca="false">CONCATENATE(I3210," ",J3210)</f>
        <v>Alopecosa sp</v>
      </c>
      <c r="L3210" s="3" t="n">
        <f aca="false">SUM(P3210:U3210)</f>
        <v>1</v>
      </c>
      <c r="M3210" s="11" t="n">
        <f aca="false">(L3210/(F3210*G3210)*25)*4</f>
        <v>4</v>
      </c>
      <c r="N3210" s="1" t="s">
        <v>19</v>
      </c>
      <c r="O3210" s="1" t="s">
        <v>54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1</v>
      </c>
      <c r="U3210" s="3" t="n">
        <v>0</v>
      </c>
      <c r="V3210" s="3" t="n">
        <f aca="false">SUM(P3210:Q3210)</f>
        <v>0</v>
      </c>
      <c r="W3210" s="3" t="n">
        <f aca="false">SUM(R3210:T3210)</f>
        <v>1</v>
      </c>
      <c r="X3210" s="22" t="n">
        <v>41794</v>
      </c>
      <c r="Y3210" s="22" t="n">
        <v>41799</v>
      </c>
    </row>
    <row r="3211" customFormat="false" ht="14.25" hidden="false" customHeight="false" outlineLevel="0" collapsed="false">
      <c r="A3211" s="1" t="n">
        <v>2014</v>
      </c>
      <c r="B3211" s="1" t="n">
        <v>1</v>
      </c>
      <c r="C3211" s="2" t="s">
        <v>50</v>
      </c>
      <c r="D3211" s="3" t="s">
        <v>51</v>
      </c>
      <c r="E3211" s="3" t="n">
        <v>3</v>
      </c>
      <c r="F3211" s="1" t="n">
        <f aca="false">Y3211-X3211</f>
        <v>5</v>
      </c>
      <c r="G3211" s="1" t="n">
        <v>5</v>
      </c>
      <c r="H3211" s="3" t="s">
        <v>72</v>
      </c>
      <c r="I3211" s="3" t="s">
        <v>73</v>
      </c>
      <c r="J3211" s="3" t="s">
        <v>74</v>
      </c>
      <c r="K3211" s="2" t="str">
        <f aca="false">CONCATENATE(I3211," ",J3211)</f>
        <v>Zelotes subterraneus</v>
      </c>
      <c r="L3211" s="3" t="n">
        <f aca="false">SUM(P3211:U3211)</f>
        <v>1</v>
      </c>
      <c r="M3211" s="11" t="n">
        <f aca="false">(L3211/(F3211*G3211)*25)*4</f>
        <v>4</v>
      </c>
      <c r="N3211" s="1" t="s">
        <v>30</v>
      </c>
      <c r="O3211" s="1" t="s">
        <v>31</v>
      </c>
      <c r="P3211" s="3" t="n">
        <v>1</v>
      </c>
      <c r="Q3211" s="3" t="n">
        <v>0</v>
      </c>
      <c r="R3211" s="3" t="n">
        <v>0</v>
      </c>
      <c r="S3211" s="3" t="n">
        <v>0</v>
      </c>
      <c r="T3211" s="3" t="n">
        <v>0</v>
      </c>
      <c r="U3211" s="3" t="n">
        <v>0</v>
      </c>
      <c r="V3211" s="3" t="n">
        <f aca="false">SUM(P3211:Q3211)</f>
        <v>1</v>
      </c>
      <c r="W3211" s="3" t="n">
        <f aca="false">SUM(R3211:T3211)</f>
        <v>0</v>
      </c>
      <c r="X3211" s="22" t="n">
        <v>41794</v>
      </c>
      <c r="Y3211" s="22" t="n">
        <v>41799</v>
      </c>
    </row>
    <row r="3212" customFormat="false" ht="14.25" hidden="false" customHeight="false" outlineLevel="0" collapsed="false">
      <c r="A3212" s="1" t="n">
        <v>2014</v>
      </c>
      <c r="B3212" s="1" t="n">
        <v>1</v>
      </c>
      <c r="C3212" s="2" t="s">
        <v>50</v>
      </c>
      <c r="D3212" s="3" t="s">
        <v>51</v>
      </c>
      <c r="E3212" s="3" t="n">
        <v>3</v>
      </c>
      <c r="F3212" s="1" t="n">
        <f aca="false">Y3212-X3212</f>
        <v>5</v>
      </c>
      <c r="G3212" s="1" t="n">
        <v>5</v>
      </c>
      <c r="H3212" s="3" t="s">
        <v>72</v>
      </c>
      <c r="I3212" s="3" t="s">
        <v>86</v>
      </c>
      <c r="J3212" s="3" t="s">
        <v>87</v>
      </c>
      <c r="K3212" s="2" t="str">
        <f aca="false">CONCATENATE(I3212," ",J3212)</f>
        <v>Haplodrassus soerenseni</v>
      </c>
      <c r="L3212" s="3" t="n">
        <f aca="false">SUM(P3212:U3212)</f>
        <v>1</v>
      </c>
      <c r="M3212" s="11" t="n">
        <f aca="false">(L3212/(F3212*G3212)*25)*4</f>
        <v>4</v>
      </c>
      <c r="N3212" s="1" t="s">
        <v>30</v>
      </c>
      <c r="O3212" s="1" t="s">
        <v>31</v>
      </c>
      <c r="P3212" s="3" t="n">
        <v>1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f aca="false">SUM(P3212:Q3212)</f>
        <v>1</v>
      </c>
      <c r="W3212" s="3" t="n">
        <f aca="false">SUM(R3212:T3212)</f>
        <v>0</v>
      </c>
      <c r="X3212" s="22" t="n">
        <v>41794</v>
      </c>
      <c r="Y3212" s="22" t="n">
        <v>41799</v>
      </c>
    </row>
    <row r="3213" customFormat="false" ht="14.25" hidden="false" customHeight="false" outlineLevel="0" collapsed="false">
      <c r="A3213" s="1" t="n">
        <v>2014</v>
      </c>
      <c r="B3213" s="1" t="n">
        <v>1</v>
      </c>
      <c r="C3213" s="2" t="s">
        <v>50</v>
      </c>
      <c r="D3213" s="3" t="s">
        <v>51</v>
      </c>
      <c r="E3213" s="3" t="n">
        <v>3</v>
      </c>
      <c r="F3213" s="1" t="n">
        <f aca="false">Y3213-X3213</f>
        <v>5</v>
      </c>
      <c r="G3213" s="1" t="n">
        <v>5</v>
      </c>
      <c r="H3213" s="3" t="s">
        <v>32</v>
      </c>
      <c r="I3213" s="3" t="s">
        <v>96</v>
      </c>
      <c r="J3213" s="3" t="s">
        <v>97</v>
      </c>
      <c r="K3213" s="2" t="str">
        <f aca="false">CONCATENATE(I3213," ",J3213)</f>
        <v>Diplocephalus picinus</v>
      </c>
      <c r="L3213" s="3" t="n">
        <f aca="false">SUM(P3213:U3213)</f>
        <v>1</v>
      </c>
      <c r="M3213" s="11" t="n">
        <f aca="false">(L3213/(F3213*G3213)*25)*4</f>
        <v>4</v>
      </c>
      <c r="N3213" s="1" t="s">
        <v>30</v>
      </c>
      <c r="O3213" s="1" t="s">
        <v>31</v>
      </c>
      <c r="P3213" s="3" t="n">
        <v>1</v>
      </c>
      <c r="Q3213" s="3" t="n">
        <v>0</v>
      </c>
      <c r="R3213" s="3" t="n">
        <v>0</v>
      </c>
      <c r="S3213" s="3" t="n">
        <v>0</v>
      </c>
      <c r="T3213" s="3" t="n">
        <v>0</v>
      </c>
      <c r="U3213" s="3" t="n">
        <v>0</v>
      </c>
      <c r="V3213" s="3" t="n">
        <f aca="false">SUM(P3213:Q3213)</f>
        <v>1</v>
      </c>
      <c r="W3213" s="3" t="n">
        <f aca="false">SUM(R3213:T3213)</f>
        <v>0</v>
      </c>
      <c r="X3213" s="22" t="n">
        <v>41794</v>
      </c>
      <c r="Y3213" s="22" t="n">
        <v>41799</v>
      </c>
    </row>
    <row r="3214" customFormat="false" ht="14.25" hidden="false" customHeight="false" outlineLevel="0" collapsed="false">
      <c r="A3214" s="1" t="n">
        <v>2014</v>
      </c>
      <c r="B3214" s="1" t="n">
        <v>1</v>
      </c>
      <c r="C3214" s="2" t="s">
        <v>50</v>
      </c>
      <c r="D3214" s="3" t="s">
        <v>51</v>
      </c>
      <c r="E3214" s="3" t="n">
        <v>3</v>
      </c>
      <c r="F3214" s="1" t="n">
        <f aca="false">Y3214-X3214</f>
        <v>5</v>
      </c>
      <c r="G3214" s="1" t="n">
        <v>5</v>
      </c>
      <c r="H3214" s="3" t="s">
        <v>32</v>
      </c>
      <c r="I3214" s="3" t="s">
        <v>154</v>
      </c>
      <c r="J3214" s="3" t="s">
        <v>155</v>
      </c>
      <c r="K3214" s="2" t="str">
        <f aca="false">CONCATENATE(I3214," ",J3214)</f>
        <v>Pocadicnemis pumila</v>
      </c>
      <c r="L3214" s="3" t="n">
        <f aca="false">SUM(P3214:U3214)</f>
        <v>2</v>
      </c>
      <c r="M3214" s="11" t="n">
        <f aca="false">(L3214/(F3214*G3214)*25)*4</f>
        <v>8</v>
      </c>
      <c r="N3214" s="1" t="s">
        <v>30</v>
      </c>
      <c r="O3214" s="1" t="s">
        <v>31</v>
      </c>
      <c r="P3214" s="3" t="n">
        <v>2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f aca="false">SUM(P3214:Q3214)</f>
        <v>2</v>
      </c>
      <c r="W3214" s="3" t="n">
        <f aca="false">SUM(R3214:T3214)</f>
        <v>0</v>
      </c>
      <c r="X3214" s="22" t="n">
        <v>41794</v>
      </c>
      <c r="Y3214" s="22" t="n">
        <v>41799</v>
      </c>
    </row>
    <row r="3215" customFormat="false" ht="14.25" hidden="false" customHeight="false" outlineLevel="0" collapsed="false">
      <c r="A3215" s="1" t="n">
        <v>2014</v>
      </c>
      <c r="B3215" s="1" t="n">
        <v>1</v>
      </c>
      <c r="C3215" s="2" t="s">
        <v>50</v>
      </c>
      <c r="D3215" s="3" t="s">
        <v>51</v>
      </c>
      <c r="E3215" s="3" t="n">
        <v>3</v>
      </c>
      <c r="F3215" s="1" t="n">
        <f aca="false">Y3215-X3215</f>
        <v>5</v>
      </c>
      <c r="G3215" s="1" t="n">
        <v>5</v>
      </c>
      <c r="H3215" s="3" t="s">
        <v>32</v>
      </c>
      <c r="I3215" s="3" t="s">
        <v>102</v>
      </c>
      <c r="J3215" s="3" t="s">
        <v>192</v>
      </c>
      <c r="K3215" s="2" t="str">
        <f aca="false">CONCATENATE(I3215," ",J3215)</f>
        <v>Agyneta allosubtilis</v>
      </c>
      <c r="L3215" s="3" t="n">
        <f aca="false">SUM(P3215:U3215)</f>
        <v>1</v>
      </c>
      <c r="M3215" s="11" t="n">
        <f aca="false">(L3215/(F3215*G3215)*25)*4</f>
        <v>4</v>
      </c>
      <c r="N3215" s="1" t="s">
        <v>30</v>
      </c>
      <c r="O3215" s="1" t="s">
        <v>31</v>
      </c>
      <c r="P3215" s="3" t="n">
        <v>1</v>
      </c>
      <c r="Q3215" s="3" t="n">
        <v>0</v>
      </c>
      <c r="R3215" s="3" t="n">
        <v>0</v>
      </c>
      <c r="S3215" s="3" t="n">
        <v>0</v>
      </c>
      <c r="T3215" s="3" t="n">
        <v>0</v>
      </c>
      <c r="U3215" s="3" t="n">
        <v>0</v>
      </c>
      <c r="V3215" s="3" t="n">
        <f aca="false">SUM(P3215:Q3215)</f>
        <v>1</v>
      </c>
      <c r="W3215" s="3" t="n">
        <f aca="false">SUM(R3215:T3215)</f>
        <v>0</v>
      </c>
      <c r="X3215" s="22" t="n">
        <v>41794</v>
      </c>
      <c r="Y3215" s="22" t="n">
        <v>41799</v>
      </c>
    </row>
    <row r="3216" customFormat="false" ht="14.25" hidden="false" customHeight="false" outlineLevel="0" collapsed="false">
      <c r="A3216" s="1" t="n">
        <v>2014</v>
      </c>
      <c r="B3216" s="1" t="n">
        <v>1</v>
      </c>
      <c r="C3216" s="2" t="s">
        <v>50</v>
      </c>
      <c r="D3216" s="3" t="s">
        <v>51</v>
      </c>
      <c r="E3216" s="3" t="n">
        <v>3</v>
      </c>
      <c r="F3216" s="1" t="n">
        <f aca="false">Y3216-X3216</f>
        <v>5</v>
      </c>
      <c r="G3216" s="1" t="n">
        <v>5</v>
      </c>
      <c r="H3216" s="3" t="s">
        <v>32</v>
      </c>
      <c r="I3216" s="3" t="s">
        <v>96</v>
      </c>
      <c r="J3216" s="3" t="s">
        <v>97</v>
      </c>
      <c r="K3216" s="2" t="str">
        <f aca="false">CONCATENATE(I3216," ",J3216)</f>
        <v>Diplocephalus picinus</v>
      </c>
      <c r="L3216" s="3" t="n">
        <f aca="false">SUM(P3216:U3216)</f>
        <v>1</v>
      </c>
      <c r="M3216" s="11" t="n">
        <f aca="false">(L3216/(F3216*G3216)*25)*4</f>
        <v>4</v>
      </c>
      <c r="N3216" s="1" t="s">
        <v>30</v>
      </c>
      <c r="O3216" s="1" t="s">
        <v>31</v>
      </c>
      <c r="P3216" s="3" t="n">
        <v>1</v>
      </c>
      <c r="Q3216" s="3" t="n">
        <v>0</v>
      </c>
      <c r="R3216" s="3" t="n">
        <v>0</v>
      </c>
      <c r="S3216" s="3" t="n">
        <v>0</v>
      </c>
      <c r="T3216" s="3" t="n">
        <v>0</v>
      </c>
      <c r="U3216" s="3" t="n">
        <v>0</v>
      </c>
      <c r="V3216" s="3" t="n">
        <f aca="false">SUM(P3216:Q3216)</f>
        <v>1</v>
      </c>
      <c r="W3216" s="3" t="n">
        <f aca="false">SUM(R3216:T3216)</f>
        <v>0</v>
      </c>
      <c r="X3216" s="22" t="n">
        <v>41794</v>
      </c>
      <c r="Y3216" s="22" t="n">
        <v>41799</v>
      </c>
    </row>
    <row r="3217" customFormat="false" ht="14.25" hidden="false" customHeight="false" outlineLevel="0" collapsed="false">
      <c r="A3217" s="1" t="n">
        <v>2014</v>
      </c>
      <c r="B3217" s="1" t="n">
        <v>1</v>
      </c>
      <c r="C3217" s="2" t="s">
        <v>50</v>
      </c>
      <c r="D3217" s="3" t="s">
        <v>51</v>
      </c>
      <c r="E3217" s="3" t="n">
        <v>3</v>
      </c>
      <c r="F3217" s="1" t="n">
        <f aca="false">Y3217-X3217</f>
        <v>5</v>
      </c>
      <c r="G3217" s="1" t="n">
        <v>5</v>
      </c>
      <c r="H3217" s="3" t="s">
        <v>32</v>
      </c>
      <c r="I3217" s="3" t="s">
        <v>154</v>
      </c>
      <c r="J3217" s="3" t="s">
        <v>155</v>
      </c>
      <c r="K3217" s="2" t="str">
        <f aca="false">CONCATENATE(I3217," ",J3217)</f>
        <v>Pocadicnemis pumila</v>
      </c>
      <c r="L3217" s="3" t="n">
        <f aca="false">SUM(P3217:U3217)</f>
        <v>1</v>
      </c>
      <c r="M3217" s="11" t="n">
        <f aca="false">(L3217/(F3217*G3217)*25)*4</f>
        <v>4</v>
      </c>
      <c r="N3217" s="1" t="s">
        <v>30</v>
      </c>
      <c r="O3217" s="1" t="s">
        <v>31</v>
      </c>
      <c r="P3217" s="3" t="n">
        <v>1</v>
      </c>
      <c r="Q3217" s="3" t="n">
        <v>0</v>
      </c>
      <c r="R3217" s="3" t="n">
        <v>0</v>
      </c>
      <c r="S3217" s="3" t="n">
        <v>0</v>
      </c>
      <c r="T3217" s="3" t="n">
        <v>0</v>
      </c>
      <c r="U3217" s="3" t="n">
        <v>0</v>
      </c>
      <c r="V3217" s="3" t="n">
        <f aca="false">SUM(P3217:Q3217)</f>
        <v>1</v>
      </c>
      <c r="W3217" s="3" t="n">
        <f aca="false">SUM(R3217:T3217)</f>
        <v>0</v>
      </c>
      <c r="X3217" s="22" t="n">
        <v>41794</v>
      </c>
      <c r="Y3217" s="22" t="n">
        <v>41799</v>
      </c>
    </row>
    <row r="3218" customFormat="false" ht="14.25" hidden="false" customHeight="false" outlineLevel="0" collapsed="false">
      <c r="A3218" s="1" t="n">
        <v>2014</v>
      </c>
      <c r="B3218" s="1" t="n">
        <v>1</v>
      </c>
      <c r="C3218" s="2" t="s">
        <v>50</v>
      </c>
      <c r="D3218" s="3" t="s">
        <v>51</v>
      </c>
      <c r="E3218" s="3" t="n">
        <v>3</v>
      </c>
      <c r="F3218" s="1" t="n">
        <f aca="false">Y3218-X3218</f>
        <v>5</v>
      </c>
      <c r="G3218" s="1" t="n">
        <v>5</v>
      </c>
      <c r="H3218" s="3" t="s">
        <v>32</v>
      </c>
      <c r="I3218" s="3" t="s">
        <v>102</v>
      </c>
      <c r="J3218" s="3" t="s">
        <v>192</v>
      </c>
      <c r="K3218" s="2" t="str">
        <f aca="false">CONCATENATE(I3218," ",J3218)</f>
        <v>Agyneta allosubtilis</v>
      </c>
      <c r="L3218" s="3" t="n">
        <f aca="false">SUM(P3218:U3218)</f>
        <v>1</v>
      </c>
      <c r="M3218" s="11" t="n">
        <f aca="false">(L3218/(F3218*G3218)*25)*4</f>
        <v>4</v>
      </c>
      <c r="N3218" s="1" t="s">
        <v>30</v>
      </c>
      <c r="O3218" s="1" t="s">
        <v>31</v>
      </c>
      <c r="P3218" s="3" t="n">
        <v>1</v>
      </c>
      <c r="Q3218" s="3" t="n">
        <v>0</v>
      </c>
      <c r="R3218" s="3" t="n">
        <v>0</v>
      </c>
      <c r="S3218" s="3" t="n">
        <v>0</v>
      </c>
      <c r="T3218" s="3" t="n">
        <v>0</v>
      </c>
      <c r="U3218" s="3" t="n">
        <v>0</v>
      </c>
      <c r="V3218" s="3" t="n">
        <f aca="false">SUM(P3218:Q3218)</f>
        <v>1</v>
      </c>
      <c r="W3218" s="3" t="n">
        <f aca="false">SUM(R3218:T3218)</f>
        <v>0</v>
      </c>
      <c r="X3218" s="22" t="n">
        <v>41794</v>
      </c>
      <c r="Y3218" s="22" t="n">
        <v>41799</v>
      </c>
    </row>
    <row r="3219" customFormat="false" ht="14.25" hidden="false" customHeight="false" outlineLevel="0" collapsed="false">
      <c r="A3219" s="1" t="n">
        <v>2014</v>
      </c>
      <c r="B3219" s="1" t="n">
        <v>1</v>
      </c>
      <c r="C3219" s="2" t="s">
        <v>50</v>
      </c>
      <c r="D3219" s="3" t="s">
        <v>51</v>
      </c>
      <c r="E3219" s="3" t="n">
        <v>3</v>
      </c>
      <c r="F3219" s="1" t="n">
        <f aca="false">Y3219-X3219</f>
        <v>5</v>
      </c>
      <c r="G3219" s="1" t="n">
        <v>5</v>
      </c>
      <c r="H3219" s="3" t="s">
        <v>32</v>
      </c>
      <c r="I3219" s="3" t="s">
        <v>55</v>
      </c>
      <c r="J3219" s="3" t="s">
        <v>194</v>
      </c>
      <c r="K3219" s="2" t="str">
        <f aca="false">CONCATENATE(I3219," ",J3219)</f>
        <v>Maro pansibiricus</v>
      </c>
      <c r="L3219" s="3" t="n">
        <f aca="false">SUM(P3219:U3219)</f>
        <v>1</v>
      </c>
      <c r="M3219" s="11" t="n">
        <f aca="false">(L3219/(F3219*G3219)*25)*4</f>
        <v>4</v>
      </c>
      <c r="N3219" s="1" t="s">
        <v>30</v>
      </c>
      <c r="O3219" s="1" t="s">
        <v>31</v>
      </c>
      <c r="P3219" s="3" t="n">
        <v>1</v>
      </c>
      <c r="Q3219" s="3" t="n">
        <v>0</v>
      </c>
      <c r="R3219" s="3" t="n">
        <v>0</v>
      </c>
      <c r="S3219" s="3" t="n">
        <v>0</v>
      </c>
      <c r="T3219" s="3" t="n">
        <v>0</v>
      </c>
      <c r="U3219" s="3" t="n">
        <v>0</v>
      </c>
      <c r="V3219" s="3" t="n">
        <f aca="false">SUM(P3219:Q3219)</f>
        <v>1</v>
      </c>
      <c r="W3219" s="3" t="n">
        <f aca="false">SUM(R3219:T3219)</f>
        <v>0</v>
      </c>
      <c r="X3219" s="22" t="n">
        <v>41794</v>
      </c>
      <c r="Y3219" s="22" t="n">
        <v>41799</v>
      </c>
    </row>
    <row r="3220" customFormat="false" ht="14.25" hidden="false" customHeight="false" outlineLevel="0" collapsed="false">
      <c r="A3220" s="1" t="n">
        <v>2014</v>
      </c>
      <c r="B3220" s="1" t="n">
        <v>1</v>
      </c>
      <c r="C3220" s="2" t="s">
        <v>50</v>
      </c>
      <c r="D3220" s="3" t="s">
        <v>51</v>
      </c>
      <c r="E3220" s="3" t="n">
        <v>3</v>
      </c>
      <c r="F3220" s="1" t="n">
        <f aca="false">Y3220-X3220</f>
        <v>5</v>
      </c>
      <c r="G3220" s="1" t="n">
        <v>5</v>
      </c>
      <c r="H3220" s="3" t="s">
        <v>48</v>
      </c>
      <c r="I3220" s="3" t="s">
        <v>67</v>
      </c>
      <c r="J3220" s="3" t="s">
        <v>127</v>
      </c>
      <c r="K3220" s="2" t="str">
        <f aca="false">CONCATENATE(I3220," ",J3220)</f>
        <v>Pardosa lugubris</v>
      </c>
      <c r="L3220" s="3" t="n">
        <f aca="false">SUM(P3220:U3220)</f>
        <v>9</v>
      </c>
      <c r="M3220" s="11" t="n">
        <f aca="false">(L3220/(F3220*G3220)*25)*4</f>
        <v>36</v>
      </c>
      <c r="N3220" s="1" t="s">
        <v>30</v>
      </c>
      <c r="O3220" s="1" t="s">
        <v>31</v>
      </c>
      <c r="P3220" s="3" t="n">
        <v>9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f aca="false">SUM(P3220:Q3220)</f>
        <v>9</v>
      </c>
      <c r="W3220" s="3" t="n">
        <f aca="false">SUM(R3220:T3220)</f>
        <v>0</v>
      </c>
      <c r="X3220" s="22" t="n">
        <v>41794</v>
      </c>
      <c r="Y3220" s="22" t="n">
        <v>41799</v>
      </c>
    </row>
    <row r="3221" customFormat="false" ht="14.25" hidden="false" customHeight="false" outlineLevel="0" collapsed="false">
      <c r="A3221" s="1" t="n">
        <v>2014</v>
      </c>
      <c r="B3221" s="1" t="n">
        <v>1</v>
      </c>
      <c r="C3221" s="2" t="s">
        <v>50</v>
      </c>
      <c r="D3221" s="3" t="s">
        <v>51</v>
      </c>
      <c r="E3221" s="3" t="n">
        <v>3</v>
      </c>
      <c r="F3221" s="1" t="n">
        <f aca="false">Y3221-X3221</f>
        <v>5</v>
      </c>
      <c r="G3221" s="1" t="n">
        <v>5</v>
      </c>
      <c r="H3221" s="3" t="s">
        <v>48</v>
      </c>
      <c r="I3221" s="3" t="s">
        <v>67</v>
      </c>
      <c r="J3221" s="3" t="s">
        <v>127</v>
      </c>
      <c r="K3221" s="2" t="str">
        <f aca="false">CONCATENATE(I3221," ",J3221)</f>
        <v>Pardosa lugubris</v>
      </c>
      <c r="L3221" s="3" t="n">
        <f aca="false">SUM(P3221:U3221)</f>
        <v>4</v>
      </c>
      <c r="M3221" s="11" t="n">
        <f aca="false">(L3221/(F3221*G3221)*25)*4</f>
        <v>16</v>
      </c>
      <c r="N3221" s="1" t="s">
        <v>30</v>
      </c>
      <c r="O3221" s="1" t="s">
        <v>35</v>
      </c>
      <c r="P3221" s="3" t="n">
        <v>0</v>
      </c>
      <c r="Q3221" s="3" t="n">
        <v>4</v>
      </c>
      <c r="R3221" s="3" t="n">
        <v>0</v>
      </c>
      <c r="S3221" s="3" t="n">
        <v>0</v>
      </c>
      <c r="T3221" s="3" t="n">
        <v>0</v>
      </c>
      <c r="U3221" s="3" t="n">
        <v>0</v>
      </c>
      <c r="V3221" s="3" t="n">
        <f aca="false">SUM(P3221:Q3221)</f>
        <v>4</v>
      </c>
      <c r="W3221" s="3" t="n">
        <f aca="false">SUM(R3221:T3221)</f>
        <v>0</v>
      </c>
      <c r="X3221" s="22" t="n">
        <v>41794</v>
      </c>
      <c r="Y3221" s="22" t="n">
        <v>41799</v>
      </c>
    </row>
    <row r="3222" customFormat="false" ht="14.25" hidden="false" customHeight="false" outlineLevel="0" collapsed="false">
      <c r="A3222" s="1" t="n">
        <v>2014</v>
      </c>
      <c r="B3222" s="1" t="n">
        <v>1</v>
      </c>
      <c r="C3222" s="2" t="s">
        <v>50</v>
      </c>
      <c r="D3222" s="3" t="s">
        <v>51</v>
      </c>
      <c r="E3222" s="3" t="n">
        <v>3</v>
      </c>
      <c r="F3222" s="1" t="n">
        <f aca="false">Y3222-X3222</f>
        <v>5</v>
      </c>
      <c r="G3222" s="1" t="n">
        <v>5</v>
      </c>
      <c r="H3222" s="3" t="s">
        <v>48</v>
      </c>
      <c r="I3222" s="3" t="s">
        <v>61</v>
      </c>
      <c r="J3222" s="3" t="s">
        <v>82</v>
      </c>
      <c r="K3222" s="2" t="str">
        <f aca="false">CONCATENATE(I3222," ",J3222)</f>
        <v>Trochosa terricola</v>
      </c>
      <c r="L3222" s="3" t="n">
        <f aca="false">SUM(P3222:U3222)</f>
        <v>1</v>
      </c>
      <c r="M3222" s="11" t="n">
        <f aca="false">(L3222/(F3222*G3222)*25)*4</f>
        <v>4</v>
      </c>
      <c r="N3222" s="1" t="s">
        <v>30</v>
      </c>
      <c r="O3222" s="1" t="s">
        <v>31</v>
      </c>
      <c r="P3222" s="3" t="n">
        <v>1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f aca="false">SUM(P3222:Q3222)</f>
        <v>1</v>
      </c>
      <c r="W3222" s="3" t="n">
        <f aca="false">SUM(R3222:T3222)</f>
        <v>0</v>
      </c>
      <c r="X3222" s="22" t="n">
        <v>41794</v>
      </c>
      <c r="Y3222" s="22" t="n">
        <v>41799</v>
      </c>
    </row>
    <row r="3223" customFormat="false" ht="14.25" hidden="false" customHeight="false" outlineLevel="0" collapsed="false">
      <c r="A3223" s="1" t="n">
        <v>2014</v>
      </c>
      <c r="B3223" s="1" t="n">
        <v>1</v>
      </c>
      <c r="C3223" s="2" t="s">
        <v>50</v>
      </c>
      <c r="D3223" s="3" t="s">
        <v>51</v>
      </c>
      <c r="E3223" s="3" t="n">
        <v>3</v>
      </c>
      <c r="F3223" s="1" t="n">
        <f aca="false">Y3223-X3223</f>
        <v>5</v>
      </c>
      <c r="G3223" s="1" t="n">
        <v>5</v>
      </c>
      <c r="H3223" s="3" t="s">
        <v>48</v>
      </c>
      <c r="I3223" s="3" t="s">
        <v>49</v>
      </c>
      <c r="J3223" s="3" t="s">
        <v>38</v>
      </c>
      <c r="K3223" s="2" t="str">
        <f aca="false">CONCATENATE(I3223," ",J3223)</f>
        <v>Alopecosa sp</v>
      </c>
      <c r="L3223" s="3" t="n">
        <f aca="false">SUM(P3223:U3223)</f>
        <v>1</v>
      </c>
      <c r="M3223" s="11" t="n">
        <f aca="false">(L3223/(F3223*G3223)*25)*4</f>
        <v>4</v>
      </c>
      <c r="N3223" s="1" t="s">
        <v>19</v>
      </c>
      <c r="O3223" s="1" t="s">
        <v>54</v>
      </c>
      <c r="P3223" s="3" t="n">
        <v>0</v>
      </c>
      <c r="Q3223" s="3" t="n">
        <v>0</v>
      </c>
      <c r="R3223" s="3" t="n">
        <v>0</v>
      </c>
      <c r="S3223" s="3" t="n">
        <v>0</v>
      </c>
      <c r="T3223" s="3" t="n">
        <v>1</v>
      </c>
      <c r="U3223" s="3" t="n">
        <v>0</v>
      </c>
      <c r="V3223" s="3" t="n">
        <f aca="false">SUM(P3223:Q3223)</f>
        <v>0</v>
      </c>
      <c r="W3223" s="3" t="n">
        <f aca="false">SUM(R3223:T3223)</f>
        <v>1</v>
      </c>
      <c r="X3223" s="22" t="n">
        <v>41794</v>
      </c>
      <c r="Y3223" s="22" t="n">
        <v>41799</v>
      </c>
    </row>
    <row r="3224" customFormat="false" ht="14.25" hidden="false" customHeight="false" outlineLevel="0" collapsed="false">
      <c r="A3224" s="1" t="n">
        <v>2014</v>
      </c>
      <c r="B3224" s="1" t="n">
        <v>1</v>
      </c>
      <c r="C3224" s="2" t="s">
        <v>50</v>
      </c>
      <c r="D3224" s="3" t="s">
        <v>51</v>
      </c>
      <c r="E3224" s="3" t="n">
        <v>3</v>
      </c>
      <c r="F3224" s="1" t="n">
        <f aca="false">Y3224-X3224</f>
        <v>5</v>
      </c>
      <c r="G3224" s="1" t="n">
        <v>5</v>
      </c>
      <c r="H3224" s="3" t="s">
        <v>72</v>
      </c>
      <c r="I3224" s="3" t="s">
        <v>73</v>
      </c>
      <c r="J3224" s="3" t="s">
        <v>74</v>
      </c>
      <c r="K3224" s="2" t="str">
        <f aca="false">CONCATENATE(I3224," ",J3224)</f>
        <v>Zelotes subterraneus</v>
      </c>
      <c r="L3224" s="3" t="n">
        <f aca="false">SUM(P3224:U3224)</f>
        <v>1</v>
      </c>
      <c r="M3224" s="11" t="n">
        <f aca="false">(L3224/(F3224*G3224)*25)*4</f>
        <v>4</v>
      </c>
      <c r="N3224" s="1" t="s">
        <v>30</v>
      </c>
      <c r="O3224" s="1" t="s">
        <v>35</v>
      </c>
      <c r="P3224" s="3" t="n">
        <v>0</v>
      </c>
      <c r="Q3224" s="3" t="n">
        <v>1</v>
      </c>
      <c r="R3224" s="3" t="n">
        <v>0</v>
      </c>
      <c r="S3224" s="3" t="n">
        <v>0</v>
      </c>
      <c r="T3224" s="3" t="n">
        <v>0</v>
      </c>
      <c r="U3224" s="3" t="n">
        <v>0</v>
      </c>
      <c r="V3224" s="3" t="n">
        <f aca="false">SUM(P3224:Q3224)</f>
        <v>1</v>
      </c>
      <c r="W3224" s="3" t="n">
        <f aca="false">SUM(R3224:T3224)</f>
        <v>0</v>
      </c>
      <c r="X3224" s="22" t="n">
        <v>41794</v>
      </c>
      <c r="Y3224" s="22" t="n">
        <v>41799</v>
      </c>
    </row>
    <row r="3225" customFormat="false" ht="14.25" hidden="false" customHeight="false" outlineLevel="0" collapsed="false">
      <c r="A3225" s="1" t="n">
        <v>2014</v>
      </c>
      <c r="B3225" s="1" t="n">
        <v>1</v>
      </c>
      <c r="C3225" s="2" t="s">
        <v>50</v>
      </c>
      <c r="D3225" s="3" t="s">
        <v>51</v>
      </c>
      <c r="E3225" s="3" t="n">
        <v>3</v>
      </c>
      <c r="F3225" s="1" t="n">
        <f aca="false">Y3225-X3225</f>
        <v>5</v>
      </c>
      <c r="G3225" s="1" t="n">
        <v>5</v>
      </c>
      <c r="H3225" s="3" t="s">
        <v>72</v>
      </c>
      <c r="I3225" s="3" t="s">
        <v>86</v>
      </c>
      <c r="J3225" s="3" t="s">
        <v>87</v>
      </c>
      <c r="K3225" s="2" t="str">
        <f aca="false">CONCATENATE(I3225," ",J3225)</f>
        <v>Haplodrassus soerenseni</v>
      </c>
      <c r="L3225" s="3" t="n">
        <f aca="false">SUM(P3225:U3225)</f>
        <v>1</v>
      </c>
      <c r="M3225" s="11" t="n">
        <f aca="false">(L3225/(F3225*G3225)*25)*4</f>
        <v>4</v>
      </c>
      <c r="N3225" s="1" t="s">
        <v>30</v>
      </c>
      <c r="O3225" s="1" t="s">
        <v>31</v>
      </c>
      <c r="P3225" s="3" t="n">
        <v>1</v>
      </c>
      <c r="Q3225" s="3" t="n">
        <v>0</v>
      </c>
      <c r="R3225" s="3" t="n">
        <v>0</v>
      </c>
      <c r="S3225" s="3" t="n">
        <v>0</v>
      </c>
      <c r="T3225" s="3" t="n">
        <v>0</v>
      </c>
      <c r="U3225" s="3" t="n">
        <v>0</v>
      </c>
      <c r="V3225" s="3" t="n">
        <f aca="false">SUM(P3225:Q3225)</f>
        <v>1</v>
      </c>
      <c r="W3225" s="3" t="n">
        <f aca="false">SUM(R3225:T3225)</f>
        <v>0</v>
      </c>
      <c r="X3225" s="22" t="n">
        <v>41794</v>
      </c>
      <c r="Y3225" s="22" t="n">
        <v>41799</v>
      </c>
    </row>
    <row r="3226" customFormat="false" ht="14.25" hidden="false" customHeight="false" outlineLevel="0" collapsed="false">
      <c r="A3226" s="1" t="n">
        <v>2014</v>
      </c>
      <c r="B3226" s="1" t="n">
        <v>1</v>
      </c>
      <c r="C3226" s="2" t="s">
        <v>50</v>
      </c>
      <c r="D3226" s="3" t="s">
        <v>51</v>
      </c>
      <c r="E3226" s="3" t="n">
        <v>3</v>
      </c>
      <c r="F3226" s="1" t="n">
        <f aca="false">Y3226-X3226</f>
        <v>5</v>
      </c>
      <c r="G3226" s="1" t="n">
        <v>5</v>
      </c>
      <c r="H3226" s="3" t="s">
        <v>226</v>
      </c>
      <c r="I3226" s="3" t="s">
        <v>65</v>
      </c>
      <c r="J3226" s="3" t="s">
        <v>66</v>
      </c>
      <c r="K3226" s="2" t="str">
        <f aca="false">CONCATENATE(I3226," ",J3226)</f>
        <v>Zora Spinimana</v>
      </c>
      <c r="L3226" s="3" t="n">
        <f aca="false">SUM(P3226:U3226)</f>
        <v>1</v>
      </c>
      <c r="M3226" s="11" t="n">
        <f aca="false">(L3226/(F3226*G3226)*25)*4</f>
        <v>4</v>
      </c>
      <c r="N3226" s="1" t="s">
        <v>30</v>
      </c>
      <c r="O3226" s="1" t="s">
        <v>31</v>
      </c>
      <c r="P3226" s="3" t="n">
        <v>1</v>
      </c>
      <c r="Q3226" s="3" t="n">
        <v>0</v>
      </c>
      <c r="R3226" s="3" t="n">
        <v>0</v>
      </c>
      <c r="S3226" s="3" t="n">
        <v>0</v>
      </c>
      <c r="T3226" s="3" t="n">
        <v>0</v>
      </c>
      <c r="U3226" s="3" t="n">
        <v>0</v>
      </c>
      <c r="V3226" s="3" t="n">
        <f aca="false">SUM(P3226:Q3226)</f>
        <v>1</v>
      </c>
      <c r="W3226" s="3" t="n">
        <f aca="false">SUM(R3226:T3226)</f>
        <v>0</v>
      </c>
      <c r="X3226" s="22" t="n">
        <v>41794</v>
      </c>
      <c r="Y3226" s="22" t="n">
        <v>41799</v>
      </c>
    </row>
    <row r="3227" customFormat="false" ht="14.25" hidden="false" customHeight="false" outlineLevel="0" collapsed="false">
      <c r="A3227" s="1" t="n">
        <v>2014</v>
      </c>
      <c r="B3227" s="1" t="n">
        <v>1</v>
      </c>
      <c r="C3227" s="2" t="s">
        <v>50</v>
      </c>
      <c r="D3227" s="3" t="s">
        <v>51</v>
      </c>
      <c r="E3227" s="3" t="n">
        <v>3</v>
      </c>
      <c r="F3227" s="1" t="n">
        <f aca="false">Y3227-X3227</f>
        <v>5</v>
      </c>
      <c r="G3227" s="1" t="n">
        <v>5</v>
      </c>
      <c r="H3227" s="3" t="s">
        <v>226</v>
      </c>
      <c r="I3227" s="3" t="s">
        <v>65</v>
      </c>
      <c r="J3227" s="3" t="s">
        <v>123</v>
      </c>
      <c r="K3227" s="2" t="str">
        <f aca="false">CONCATENATE(I3227," ",J3227)</f>
        <v>Zora nemoralis</v>
      </c>
      <c r="L3227" s="3" t="n">
        <f aca="false">SUM(P3227:U3227)</f>
        <v>1</v>
      </c>
      <c r="M3227" s="11" t="n">
        <f aca="false">(L3227/(F3227*G3227)*25)*4</f>
        <v>4</v>
      </c>
      <c r="N3227" s="1" t="s">
        <v>30</v>
      </c>
      <c r="O3227" s="1" t="s">
        <v>31</v>
      </c>
      <c r="P3227" s="3" t="n">
        <v>1</v>
      </c>
      <c r="Q3227" s="3" t="n">
        <v>0</v>
      </c>
      <c r="R3227" s="3" t="n">
        <v>0</v>
      </c>
      <c r="S3227" s="3" t="n">
        <v>0</v>
      </c>
      <c r="T3227" s="3" t="n">
        <v>0</v>
      </c>
      <c r="U3227" s="3" t="n">
        <v>0</v>
      </c>
      <c r="V3227" s="3" t="n">
        <f aca="false">SUM(P3227:Q3227)</f>
        <v>1</v>
      </c>
      <c r="W3227" s="3" t="n">
        <f aca="false">SUM(R3227:T3227)</f>
        <v>0</v>
      </c>
      <c r="X3227" s="22" t="n">
        <v>41794</v>
      </c>
      <c r="Y3227" s="22" t="n">
        <v>41799</v>
      </c>
    </row>
    <row r="3228" customFormat="false" ht="14.25" hidden="false" customHeight="false" outlineLevel="0" collapsed="false">
      <c r="A3228" s="1" t="n">
        <v>2014</v>
      </c>
      <c r="B3228" s="1" t="n">
        <v>1</v>
      </c>
      <c r="C3228" s="2" t="s">
        <v>50</v>
      </c>
      <c r="D3228" s="3" t="s">
        <v>51</v>
      </c>
      <c r="E3228" s="3" t="n">
        <v>3</v>
      </c>
      <c r="F3228" s="1" t="n">
        <f aca="false">Y3228-X3228</f>
        <v>5</v>
      </c>
      <c r="G3228" s="1" t="n">
        <v>5</v>
      </c>
      <c r="H3228" s="3" t="s">
        <v>36</v>
      </c>
      <c r="I3228" s="3" t="s">
        <v>37</v>
      </c>
      <c r="J3228" s="3" t="s">
        <v>75</v>
      </c>
      <c r="K3228" s="2" t="str">
        <f aca="false">CONCATENATE(I3228," ",J3228)</f>
        <v>Ozyptila praticola</v>
      </c>
      <c r="L3228" s="3" t="n">
        <f aca="false">SUM(P3228:U3228)</f>
        <v>1</v>
      </c>
      <c r="M3228" s="11" t="n">
        <f aca="false">(L3228/(F3228*G3228)*25)*4</f>
        <v>4</v>
      </c>
      <c r="N3228" s="1" t="s">
        <v>30</v>
      </c>
      <c r="O3228" s="1" t="s">
        <v>31</v>
      </c>
      <c r="P3228" s="3" t="n">
        <v>1</v>
      </c>
      <c r="Q3228" s="3" t="n">
        <v>0</v>
      </c>
      <c r="R3228" s="3" t="n">
        <v>0</v>
      </c>
      <c r="S3228" s="3" t="n">
        <v>0</v>
      </c>
      <c r="T3228" s="3" t="n">
        <v>0</v>
      </c>
      <c r="U3228" s="3" t="n">
        <v>0</v>
      </c>
      <c r="V3228" s="3" t="n">
        <f aca="false">SUM(P3228:Q3228)</f>
        <v>1</v>
      </c>
      <c r="W3228" s="3" t="n">
        <f aca="false">SUM(R3228:T3228)</f>
        <v>0</v>
      </c>
      <c r="X3228" s="22" t="n">
        <v>41794</v>
      </c>
      <c r="Y3228" s="22" t="n">
        <v>41799</v>
      </c>
    </row>
    <row r="3229" customFormat="false" ht="14.25" hidden="false" customHeight="false" outlineLevel="0" collapsed="false">
      <c r="A3229" s="1" t="n">
        <v>2014</v>
      </c>
      <c r="B3229" s="1" t="n">
        <v>1</v>
      </c>
      <c r="C3229" s="2" t="s">
        <v>50</v>
      </c>
      <c r="D3229" s="3" t="s">
        <v>51</v>
      </c>
      <c r="E3229" s="3" t="n">
        <v>3</v>
      </c>
      <c r="F3229" s="1" t="n">
        <f aca="false">Y3229-X3229</f>
        <v>5</v>
      </c>
      <c r="G3229" s="1" t="n">
        <v>5</v>
      </c>
      <c r="H3229" s="3" t="s">
        <v>48</v>
      </c>
      <c r="I3229" s="3" t="s">
        <v>67</v>
      </c>
      <c r="J3229" s="3" t="s">
        <v>127</v>
      </c>
      <c r="K3229" s="2" t="str">
        <f aca="false">CONCATENATE(I3229," ",J3229)</f>
        <v>Pardosa lugubris</v>
      </c>
      <c r="L3229" s="3" t="n">
        <f aca="false">SUM(P3229:U3229)</f>
        <v>9</v>
      </c>
      <c r="M3229" s="11" t="n">
        <f aca="false">(L3229/(F3229*G3229)*25)*4</f>
        <v>36</v>
      </c>
      <c r="N3229" s="1" t="s">
        <v>30</v>
      </c>
      <c r="O3229" s="1" t="s">
        <v>31</v>
      </c>
      <c r="P3229" s="3" t="n">
        <v>9</v>
      </c>
      <c r="Q3229" s="3" t="n">
        <v>0</v>
      </c>
      <c r="R3229" s="3" t="n">
        <v>0</v>
      </c>
      <c r="S3229" s="3" t="n">
        <v>0</v>
      </c>
      <c r="T3229" s="3" t="n">
        <v>0</v>
      </c>
      <c r="U3229" s="3" t="n">
        <v>0</v>
      </c>
      <c r="V3229" s="3" t="n">
        <f aca="false">SUM(P3229:Q3229)</f>
        <v>9</v>
      </c>
      <c r="W3229" s="3" t="n">
        <f aca="false">SUM(R3229:T3229)</f>
        <v>0</v>
      </c>
      <c r="X3229" s="22" t="n">
        <v>41794</v>
      </c>
      <c r="Y3229" s="22" t="n">
        <v>41799</v>
      </c>
    </row>
    <row r="3230" customFormat="false" ht="14.25" hidden="false" customHeight="false" outlineLevel="0" collapsed="false">
      <c r="A3230" s="1" t="n">
        <v>2014</v>
      </c>
      <c r="B3230" s="1" t="n">
        <v>1</v>
      </c>
      <c r="C3230" s="2" t="s">
        <v>50</v>
      </c>
      <c r="D3230" s="3" t="s">
        <v>51</v>
      </c>
      <c r="E3230" s="3" t="n">
        <v>3</v>
      </c>
      <c r="F3230" s="1" t="n">
        <f aca="false">Y3230-X3230</f>
        <v>5</v>
      </c>
      <c r="G3230" s="1" t="n">
        <v>5</v>
      </c>
      <c r="H3230" s="3" t="s">
        <v>48</v>
      </c>
      <c r="I3230" s="3" t="s">
        <v>49</v>
      </c>
      <c r="J3230" s="3" t="s">
        <v>104</v>
      </c>
      <c r="K3230" s="2" t="str">
        <f aca="false">CONCATENATE(I3230," ",J3230)</f>
        <v>Alopecosa taeniata</v>
      </c>
      <c r="L3230" s="3" t="n">
        <f aca="false">SUM(P3230:U3230)</f>
        <v>1</v>
      </c>
      <c r="M3230" s="11" t="n">
        <f aca="false">(L3230/(F3230*G3230)*25)*4</f>
        <v>4</v>
      </c>
      <c r="N3230" s="1" t="s">
        <v>30</v>
      </c>
      <c r="O3230" s="1" t="s">
        <v>31</v>
      </c>
      <c r="P3230" s="3" t="n">
        <v>1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  <c r="V3230" s="3" t="n">
        <f aca="false">SUM(P3230:Q3230)</f>
        <v>1</v>
      </c>
      <c r="W3230" s="3" t="n">
        <f aca="false">SUM(R3230:T3230)</f>
        <v>0</v>
      </c>
      <c r="X3230" s="22" t="n">
        <v>41794</v>
      </c>
      <c r="Y3230" s="22" t="n">
        <v>41799</v>
      </c>
    </row>
    <row r="3231" customFormat="false" ht="14.25" hidden="false" customHeight="false" outlineLevel="0" collapsed="false">
      <c r="A3231" s="1" t="n">
        <v>2014</v>
      </c>
      <c r="B3231" s="1" t="n">
        <v>1</v>
      </c>
      <c r="C3231" s="2" t="s">
        <v>50</v>
      </c>
      <c r="D3231" s="3" t="s">
        <v>51</v>
      </c>
      <c r="E3231" s="3" t="n">
        <v>3</v>
      </c>
      <c r="F3231" s="1" t="n">
        <f aca="false">Y3231-X3231</f>
        <v>5</v>
      </c>
      <c r="G3231" s="1" t="n">
        <v>5</v>
      </c>
      <c r="H3231" s="3" t="s">
        <v>72</v>
      </c>
      <c r="I3231" s="3" t="s">
        <v>73</v>
      </c>
      <c r="J3231" s="3" t="s">
        <v>74</v>
      </c>
      <c r="K3231" s="2" t="str">
        <f aca="false">CONCATENATE(I3231," ",J3231)</f>
        <v>Zelotes subterraneus</v>
      </c>
      <c r="L3231" s="3" t="n">
        <f aca="false">SUM(P3231:U3231)</f>
        <v>1</v>
      </c>
      <c r="M3231" s="11" t="n">
        <f aca="false">(L3231/(F3231*G3231)*25)*4</f>
        <v>4</v>
      </c>
      <c r="N3231" s="1" t="s">
        <v>30</v>
      </c>
      <c r="O3231" s="1" t="s">
        <v>31</v>
      </c>
      <c r="P3231" s="3" t="n">
        <v>1</v>
      </c>
      <c r="Q3231" s="3" t="n">
        <v>0</v>
      </c>
      <c r="R3231" s="3" t="n">
        <v>0</v>
      </c>
      <c r="S3231" s="3" t="n">
        <v>0</v>
      </c>
      <c r="T3231" s="3" t="n">
        <v>0</v>
      </c>
      <c r="U3231" s="3" t="n">
        <v>0</v>
      </c>
      <c r="V3231" s="3" t="n">
        <f aca="false">SUM(P3231:Q3231)</f>
        <v>1</v>
      </c>
      <c r="W3231" s="3" t="n">
        <f aca="false">SUM(R3231:T3231)</f>
        <v>0</v>
      </c>
      <c r="X3231" s="22" t="n">
        <v>41794</v>
      </c>
      <c r="Y3231" s="22" t="n">
        <v>41799</v>
      </c>
    </row>
    <row r="3232" customFormat="false" ht="14.25" hidden="false" customHeight="false" outlineLevel="0" collapsed="false">
      <c r="A3232" s="1" t="n">
        <v>2014</v>
      </c>
      <c r="B3232" s="1" t="n">
        <v>1</v>
      </c>
      <c r="C3232" s="2" t="s">
        <v>50</v>
      </c>
      <c r="D3232" s="3" t="s">
        <v>51</v>
      </c>
      <c r="E3232" s="3" t="n">
        <v>3</v>
      </c>
      <c r="F3232" s="1" t="n">
        <f aca="false">Y3232-X3232</f>
        <v>5</v>
      </c>
      <c r="G3232" s="1" t="n">
        <v>5</v>
      </c>
      <c r="H3232" s="3" t="s">
        <v>72</v>
      </c>
      <c r="I3232" s="3" t="s">
        <v>73</v>
      </c>
      <c r="J3232" s="3" t="s">
        <v>38</v>
      </c>
      <c r="K3232" s="2" t="str">
        <f aca="false">CONCATENATE(I3232," ",J3232)</f>
        <v>Zelotes sp</v>
      </c>
      <c r="L3232" s="3" t="n">
        <f aca="false">SUM(P3232:U3232)</f>
        <v>1</v>
      </c>
      <c r="M3232" s="11" t="n">
        <f aca="false">(L3232/(F3232*G3232)*25)*4</f>
        <v>4</v>
      </c>
      <c r="N3232" s="1" t="s">
        <v>19</v>
      </c>
      <c r="O3232" s="1" t="s">
        <v>31</v>
      </c>
      <c r="P3232" s="3" t="n">
        <v>0</v>
      </c>
      <c r="Q3232" s="3" t="n">
        <v>0</v>
      </c>
      <c r="R3232" s="3" t="n">
        <v>1</v>
      </c>
      <c r="S3232" s="3" t="n">
        <v>0</v>
      </c>
      <c r="T3232" s="3" t="n">
        <v>0</v>
      </c>
      <c r="U3232" s="3" t="n">
        <v>0</v>
      </c>
      <c r="V3232" s="3" t="n">
        <f aca="false">SUM(P3232:Q3232)</f>
        <v>0</v>
      </c>
      <c r="W3232" s="3" t="n">
        <f aca="false">SUM(R3232:T3232)</f>
        <v>1</v>
      </c>
      <c r="X3232" s="22" t="n">
        <v>41794</v>
      </c>
      <c r="Y3232" s="22" t="n">
        <v>41799</v>
      </c>
    </row>
    <row r="3233" customFormat="false" ht="14.25" hidden="false" customHeight="false" outlineLevel="0" collapsed="false">
      <c r="A3233" s="1" t="n">
        <v>2014</v>
      </c>
      <c r="B3233" s="1" t="n">
        <v>1</v>
      </c>
      <c r="C3233" s="2" t="s">
        <v>50</v>
      </c>
      <c r="D3233" s="3" t="s">
        <v>51</v>
      </c>
      <c r="E3233" s="3" t="n">
        <v>3</v>
      </c>
      <c r="F3233" s="1" t="n">
        <f aca="false">Y3233-X3233</f>
        <v>5</v>
      </c>
      <c r="G3233" s="1" t="n">
        <v>5</v>
      </c>
      <c r="H3233" s="3" t="s">
        <v>72</v>
      </c>
      <c r="I3233" s="3" t="s">
        <v>73</v>
      </c>
      <c r="J3233" s="3" t="s">
        <v>38</v>
      </c>
      <c r="K3233" s="2" t="str">
        <f aca="false">CONCATENATE(I3233," ",J3233)</f>
        <v>Zelotes sp</v>
      </c>
      <c r="L3233" s="3" t="n">
        <f aca="false">SUM(P3233:U3233)</f>
        <v>2</v>
      </c>
      <c r="M3233" s="11" t="n">
        <f aca="false">(L3233/(F3233*G3233)*25)*4</f>
        <v>8</v>
      </c>
      <c r="N3233" s="1" t="s">
        <v>19</v>
      </c>
      <c r="O3233" s="1" t="s">
        <v>54</v>
      </c>
      <c r="P3233" s="3" t="n">
        <v>0</v>
      </c>
      <c r="Q3233" s="3" t="n">
        <v>0</v>
      </c>
      <c r="R3233" s="3" t="n">
        <v>0</v>
      </c>
      <c r="S3233" s="3" t="n">
        <v>0</v>
      </c>
      <c r="T3233" s="3" t="n">
        <v>2</v>
      </c>
      <c r="U3233" s="3" t="n">
        <v>0</v>
      </c>
      <c r="V3233" s="3" t="n">
        <f aca="false">SUM(P3233:Q3233)</f>
        <v>0</v>
      </c>
      <c r="W3233" s="3" t="n">
        <f aca="false">SUM(R3233:T3233)</f>
        <v>2</v>
      </c>
      <c r="X3233" s="22" t="n">
        <v>41794</v>
      </c>
      <c r="Y3233" s="22" t="n">
        <v>41799</v>
      </c>
    </row>
    <row r="3234" customFormat="false" ht="14.25" hidden="false" customHeight="false" outlineLevel="0" collapsed="false">
      <c r="A3234" s="1" t="n">
        <v>2014</v>
      </c>
      <c r="B3234" s="1" t="n">
        <v>1</v>
      </c>
      <c r="C3234" s="2" t="s">
        <v>50</v>
      </c>
      <c r="D3234" s="3" t="s">
        <v>51</v>
      </c>
      <c r="E3234" s="3" t="n">
        <v>3</v>
      </c>
      <c r="F3234" s="1" t="n">
        <f aca="false">Y3234-X3234</f>
        <v>5</v>
      </c>
      <c r="G3234" s="1" t="n">
        <v>5</v>
      </c>
      <c r="H3234" s="3" t="s">
        <v>72</v>
      </c>
      <c r="I3234" s="3" t="s">
        <v>86</v>
      </c>
      <c r="J3234" s="3" t="s">
        <v>87</v>
      </c>
      <c r="K3234" s="2" t="str">
        <f aca="false">CONCATENATE(I3234," ",J3234)</f>
        <v>Haplodrassus soerenseni</v>
      </c>
      <c r="L3234" s="3" t="n">
        <f aca="false">SUM(P3234:U3234)</f>
        <v>2</v>
      </c>
      <c r="M3234" s="11" t="n">
        <f aca="false">(L3234/(F3234*G3234)*25)*4</f>
        <v>8</v>
      </c>
      <c r="N3234" s="1" t="s">
        <v>30</v>
      </c>
      <c r="O3234" s="1" t="s">
        <v>31</v>
      </c>
      <c r="P3234" s="3" t="n">
        <v>2</v>
      </c>
      <c r="Q3234" s="3" t="n">
        <v>0</v>
      </c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f aca="false">SUM(P3234:Q3234)</f>
        <v>2</v>
      </c>
      <c r="W3234" s="3" t="n">
        <f aca="false">SUM(R3234:T3234)</f>
        <v>0</v>
      </c>
      <c r="X3234" s="22" t="n">
        <v>41794</v>
      </c>
      <c r="Y3234" s="22" t="n">
        <v>41799</v>
      </c>
    </row>
    <row r="3235" customFormat="false" ht="14.25" hidden="false" customHeight="false" outlineLevel="0" collapsed="false">
      <c r="A3235" s="1" t="n">
        <v>2014</v>
      </c>
      <c r="B3235" s="1" t="n">
        <v>1</v>
      </c>
      <c r="C3235" s="2" t="s">
        <v>50</v>
      </c>
      <c r="D3235" s="3" t="s">
        <v>51</v>
      </c>
      <c r="E3235" s="3" t="n">
        <v>3</v>
      </c>
      <c r="F3235" s="1" t="n">
        <f aca="false">Y3235-X3235</f>
        <v>5</v>
      </c>
      <c r="G3235" s="1" t="n">
        <v>5</v>
      </c>
      <c r="H3235" s="3" t="s">
        <v>72</v>
      </c>
      <c r="I3235" s="3" t="s">
        <v>86</v>
      </c>
      <c r="J3235" s="3" t="s">
        <v>87</v>
      </c>
      <c r="K3235" s="2" t="str">
        <f aca="false">CONCATENATE(I3235," ",J3235)</f>
        <v>Haplodrassus soerenseni</v>
      </c>
      <c r="L3235" s="3" t="n">
        <f aca="false">SUM(P3235:U3235)</f>
        <v>1</v>
      </c>
      <c r="M3235" s="11" t="n">
        <f aca="false">(L3235/(F3235*G3235)*25)*4</f>
        <v>4</v>
      </c>
      <c r="N3235" s="1" t="s">
        <v>30</v>
      </c>
      <c r="O3235" s="1" t="s">
        <v>35</v>
      </c>
      <c r="P3235" s="3" t="n">
        <v>0</v>
      </c>
      <c r="Q3235" s="3" t="n">
        <v>1</v>
      </c>
      <c r="R3235" s="3" t="n">
        <v>0</v>
      </c>
      <c r="S3235" s="3" t="n">
        <v>0</v>
      </c>
      <c r="T3235" s="3" t="n">
        <v>0</v>
      </c>
      <c r="U3235" s="3" t="n">
        <v>0</v>
      </c>
      <c r="V3235" s="3" t="n">
        <f aca="false">SUM(P3235:Q3235)</f>
        <v>1</v>
      </c>
      <c r="W3235" s="3" t="n">
        <f aca="false">SUM(R3235:T3235)</f>
        <v>0</v>
      </c>
      <c r="X3235" s="22" t="n">
        <v>41794</v>
      </c>
      <c r="Y3235" s="22" t="n">
        <v>41799</v>
      </c>
    </row>
    <row r="3236" customFormat="false" ht="14.25" hidden="false" customHeight="false" outlineLevel="0" collapsed="false">
      <c r="A3236" s="1" t="n">
        <v>2014</v>
      </c>
      <c r="B3236" s="1" t="n">
        <v>1</v>
      </c>
      <c r="C3236" s="2" t="s">
        <v>50</v>
      </c>
      <c r="D3236" s="3" t="s">
        <v>51</v>
      </c>
      <c r="E3236" s="3" t="n">
        <v>3</v>
      </c>
      <c r="F3236" s="1" t="n">
        <f aca="false">Y3236-X3236</f>
        <v>5</v>
      </c>
      <c r="G3236" s="1" t="n">
        <v>5</v>
      </c>
      <c r="H3236" s="3" t="s">
        <v>226</v>
      </c>
      <c r="I3236" s="3" t="s">
        <v>65</v>
      </c>
      <c r="J3236" s="3" t="s">
        <v>123</v>
      </c>
      <c r="K3236" s="2" t="str">
        <f aca="false">CONCATENATE(I3236," ",J3236)</f>
        <v>Zora nemoralis</v>
      </c>
      <c r="L3236" s="3" t="n">
        <f aca="false">SUM(P3236:U3236)</f>
        <v>1</v>
      </c>
      <c r="M3236" s="11" t="n">
        <f aca="false">(L3236/(F3236*G3236)*25)*4</f>
        <v>4</v>
      </c>
      <c r="N3236" s="1" t="s">
        <v>30</v>
      </c>
      <c r="O3236" s="1" t="s">
        <v>31</v>
      </c>
      <c r="P3236" s="3" t="n">
        <v>1</v>
      </c>
      <c r="Q3236" s="3" t="n">
        <v>0</v>
      </c>
      <c r="R3236" s="3" t="n">
        <v>0</v>
      </c>
      <c r="S3236" s="3" t="n">
        <v>0</v>
      </c>
      <c r="T3236" s="3" t="n">
        <v>0</v>
      </c>
      <c r="U3236" s="3" t="n">
        <v>0</v>
      </c>
      <c r="V3236" s="3" t="n">
        <f aca="false">SUM(P3236:Q3236)</f>
        <v>1</v>
      </c>
      <c r="W3236" s="3" t="n">
        <f aca="false">SUM(R3236:T3236)</f>
        <v>0</v>
      </c>
      <c r="X3236" s="22" t="n">
        <v>41794</v>
      </c>
      <c r="Y3236" s="22" t="n">
        <v>41799</v>
      </c>
    </row>
    <row r="3237" customFormat="false" ht="14.25" hidden="false" customHeight="false" outlineLevel="0" collapsed="false">
      <c r="A3237" s="1" t="n">
        <v>2014</v>
      </c>
      <c r="B3237" s="1" t="n">
        <v>1</v>
      </c>
      <c r="C3237" s="2" t="s">
        <v>50</v>
      </c>
      <c r="D3237" s="3" t="s">
        <v>51</v>
      </c>
      <c r="E3237" s="3" t="n">
        <v>3</v>
      </c>
      <c r="F3237" s="1" t="n">
        <f aca="false">Y3237-X3237</f>
        <v>5</v>
      </c>
      <c r="G3237" s="1" t="n">
        <v>5</v>
      </c>
      <c r="H3237" s="3" t="s">
        <v>92</v>
      </c>
      <c r="I3237" s="3" t="s">
        <v>171</v>
      </c>
      <c r="J3237" s="3" t="s">
        <v>172</v>
      </c>
      <c r="K3237" s="2" t="str">
        <f aca="false">CONCATENATE(I3237," ",J3237)</f>
        <v>Euophrys frontalis</v>
      </c>
      <c r="L3237" s="3" t="n">
        <f aca="false">SUM(P3237:U3237)</f>
        <v>1</v>
      </c>
      <c r="M3237" s="11" t="n">
        <f aca="false">(L3237/(F3237*G3237)*25)*4</f>
        <v>4</v>
      </c>
      <c r="N3237" s="1" t="s">
        <v>30</v>
      </c>
      <c r="O3237" s="1" t="s">
        <v>35</v>
      </c>
      <c r="P3237" s="3" t="n">
        <v>0</v>
      </c>
      <c r="Q3237" s="3" t="n">
        <v>1</v>
      </c>
      <c r="R3237" s="3" t="n">
        <v>0</v>
      </c>
      <c r="S3237" s="3" t="n">
        <v>0</v>
      </c>
      <c r="T3237" s="3" t="n">
        <v>0</v>
      </c>
      <c r="U3237" s="3" t="n">
        <v>0</v>
      </c>
      <c r="V3237" s="3" t="n">
        <f aca="false">SUM(P3237:Q3237)</f>
        <v>1</v>
      </c>
      <c r="W3237" s="3" t="n">
        <f aca="false">SUM(R3237:T3237)</f>
        <v>0</v>
      </c>
      <c r="X3237" s="22" t="n">
        <v>41794</v>
      </c>
      <c r="Y3237" s="22" t="n">
        <v>41799</v>
      </c>
    </row>
    <row r="3238" customFormat="false" ht="14.25" hidden="false" customHeight="false" outlineLevel="0" collapsed="false">
      <c r="A3238" s="1" t="n">
        <v>2014</v>
      </c>
      <c r="B3238" s="1" t="n">
        <v>1</v>
      </c>
      <c r="C3238" s="2" t="s">
        <v>50</v>
      </c>
      <c r="D3238" s="3" t="s">
        <v>51</v>
      </c>
      <c r="E3238" s="3" t="n">
        <v>2</v>
      </c>
      <c r="F3238" s="1" t="n">
        <f aca="false">Y3238-X3238</f>
        <v>5</v>
      </c>
      <c r="G3238" s="1" t="n">
        <v>5</v>
      </c>
      <c r="H3238" s="3" t="s">
        <v>48</v>
      </c>
      <c r="I3238" s="3" t="s">
        <v>67</v>
      </c>
      <c r="J3238" s="3" t="s">
        <v>127</v>
      </c>
      <c r="K3238" s="2" t="str">
        <f aca="false">CONCATENATE(I3238," ",J3238)</f>
        <v>Pardosa lugubris</v>
      </c>
      <c r="L3238" s="3" t="n">
        <f aca="false">SUM(P3238:U3238)</f>
        <v>11</v>
      </c>
      <c r="M3238" s="11" t="n">
        <f aca="false">(L3238/(F3238*G3238)*25)*4</f>
        <v>44</v>
      </c>
      <c r="N3238" s="1" t="s">
        <v>30</v>
      </c>
      <c r="O3238" s="1" t="s">
        <v>31</v>
      </c>
      <c r="P3238" s="3" t="n">
        <v>11</v>
      </c>
      <c r="Q3238" s="3" t="n">
        <v>0</v>
      </c>
      <c r="R3238" s="3" t="n">
        <v>0</v>
      </c>
      <c r="S3238" s="3" t="n">
        <v>0</v>
      </c>
      <c r="T3238" s="3" t="n">
        <v>0</v>
      </c>
      <c r="U3238" s="3" t="n">
        <v>0</v>
      </c>
      <c r="V3238" s="3" t="n">
        <f aca="false">SUM(P3238:Q3238)</f>
        <v>11</v>
      </c>
      <c r="W3238" s="3" t="n">
        <f aca="false">SUM(R3238:T3238)</f>
        <v>0</v>
      </c>
      <c r="X3238" s="22" t="n">
        <v>41794</v>
      </c>
      <c r="Y3238" s="22" t="n">
        <v>41799</v>
      </c>
    </row>
    <row r="3239" customFormat="false" ht="14.25" hidden="false" customHeight="false" outlineLevel="0" collapsed="false">
      <c r="A3239" s="1" t="n">
        <v>2014</v>
      </c>
      <c r="B3239" s="1" t="n">
        <v>1</v>
      </c>
      <c r="C3239" s="2" t="s">
        <v>50</v>
      </c>
      <c r="D3239" s="3" t="s">
        <v>51</v>
      </c>
      <c r="E3239" s="3" t="n">
        <v>2</v>
      </c>
      <c r="F3239" s="1" t="n">
        <f aca="false">Y3239-X3239</f>
        <v>5</v>
      </c>
      <c r="G3239" s="1" t="n">
        <v>5</v>
      </c>
      <c r="H3239" s="3" t="s">
        <v>48</v>
      </c>
      <c r="I3239" s="3" t="s">
        <v>67</v>
      </c>
      <c r="J3239" s="3" t="s">
        <v>127</v>
      </c>
      <c r="K3239" s="2" t="str">
        <f aca="false">CONCATENATE(I3239," ",J3239)</f>
        <v>Pardosa lugubris</v>
      </c>
      <c r="L3239" s="3" t="n">
        <f aca="false">SUM(P3239:U3239)</f>
        <v>2</v>
      </c>
      <c r="M3239" s="11" t="n">
        <f aca="false">(L3239/(F3239*G3239)*25)*4</f>
        <v>8</v>
      </c>
      <c r="N3239" s="1" t="s">
        <v>30</v>
      </c>
      <c r="O3239" s="1" t="s">
        <v>35</v>
      </c>
      <c r="P3239" s="3" t="n">
        <v>0</v>
      </c>
      <c r="Q3239" s="3" t="n">
        <v>2</v>
      </c>
      <c r="R3239" s="3" t="n">
        <v>0</v>
      </c>
      <c r="S3239" s="3" t="n">
        <v>0</v>
      </c>
      <c r="T3239" s="3" t="n">
        <v>0</v>
      </c>
      <c r="U3239" s="3" t="n">
        <v>0</v>
      </c>
      <c r="V3239" s="3" t="n">
        <f aca="false">SUM(P3239:Q3239)</f>
        <v>2</v>
      </c>
      <c r="W3239" s="3" t="n">
        <f aca="false">SUM(R3239:T3239)</f>
        <v>0</v>
      </c>
      <c r="X3239" s="22" t="n">
        <v>41794</v>
      </c>
      <c r="Y3239" s="22" t="n">
        <v>41799</v>
      </c>
    </row>
    <row r="3240" customFormat="false" ht="14.25" hidden="false" customHeight="false" outlineLevel="0" collapsed="false">
      <c r="A3240" s="1" t="n">
        <v>2014</v>
      </c>
      <c r="B3240" s="1" t="n">
        <v>1</v>
      </c>
      <c r="C3240" s="2" t="s">
        <v>50</v>
      </c>
      <c r="D3240" s="3" t="s">
        <v>51</v>
      </c>
      <c r="E3240" s="3" t="n">
        <v>2</v>
      </c>
      <c r="F3240" s="1" t="n">
        <f aca="false">Y3240-X3240</f>
        <v>5</v>
      </c>
      <c r="G3240" s="1" t="n">
        <v>5</v>
      </c>
      <c r="H3240" s="3" t="s">
        <v>48</v>
      </c>
      <c r="I3240" s="3" t="s">
        <v>49</v>
      </c>
      <c r="J3240" s="3" t="s">
        <v>104</v>
      </c>
      <c r="K3240" s="2" t="str">
        <f aca="false">CONCATENATE(I3240," ",J3240)</f>
        <v>Alopecosa taeniata</v>
      </c>
      <c r="L3240" s="3" t="n">
        <f aca="false">SUM(P3240:U3240)</f>
        <v>3</v>
      </c>
      <c r="M3240" s="11" t="n">
        <f aca="false">(L3240/(F3240*G3240)*25)*4</f>
        <v>12</v>
      </c>
      <c r="N3240" s="1" t="s">
        <v>30</v>
      </c>
      <c r="O3240" s="1" t="s">
        <v>31</v>
      </c>
      <c r="P3240" s="3" t="n">
        <v>3</v>
      </c>
      <c r="Q3240" s="3" t="n">
        <v>0</v>
      </c>
      <c r="R3240" s="3" t="n">
        <v>0</v>
      </c>
      <c r="S3240" s="3" t="n">
        <v>0</v>
      </c>
      <c r="T3240" s="3" t="n">
        <v>0</v>
      </c>
      <c r="U3240" s="3" t="n">
        <v>0</v>
      </c>
      <c r="V3240" s="3" t="n">
        <f aca="false">SUM(P3240:Q3240)</f>
        <v>3</v>
      </c>
      <c r="W3240" s="3" t="n">
        <f aca="false">SUM(R3240:T3240)</f>
        <v>0</v>
      </c>
      <c r="X3240" s="22" t="n">
        <v>41794</v>
      </c>
      <c r="Y3240" s="22" t="n">
        <v>41799</v>
      </c>
    </row>
    <row r="3241" customFormat="false" ht="14.25" hidden="false" customHeight="false" outlineLevel="0" collapsed="false">
      <c r="A3241" s="1" t="n">
        <v>2014</v>
      </c>
      <c r="B3241" s="1" t="n">
        <v>1</v>
      </c>
      <c r="C3241" s="2" t="s">
        <v>50</v>
      </c>
      <c r="D3241" s="3" t="s">
        <v>51</v>
      </c>
      <c r="E3241" s="3" t="n">
        <v>2</v>
      </c>
      <c r="F3241" s="1" t="n">
        <f aca="false">Y3241-X3241</f>
        <v>5</v>
      </c>
      <c r="G3241" s="1" t="n">
        <v>5</v>
      </c>
      <c r="H3241" s="3" t="s">
        <v>48</v>
      </c>
      <c r="I3241" s="3" t="s">
        <v>49</v>
      </c>
      <c r="J3241" s="3" t="s">
        <v>38</v>
      </c>
      <c r="K3241" s="2" t="str">
        <f aca="false">CONCATENATE(I3241," ",J3241)</f>
        <v>Alopecosa sp</v>
      </c>
      <c r="L3241" s="3" t="n">
        <f aca="false">SUM(P3241:U3241)</f>
        <v>2</v>
      </c>
      <c r="M3241" s="11" t="n">
        <f aca="false">(L3241/(F3241*G3241)*25)*4</f>
        <v>8</v>
      </c>
      <c r="N3241" s="1" t="s">
        <v>19</v>
      </c>
      <c r="O3241" s="1" t="s">
        <v>54</v>
      </c>
      <c r="P3241" s="3" t="n">
        <v>0</v>
      </c>
      <c r="Q3241" s="3" t="n">
        <v>0</v>
      </c>
      <c r="R3241" s="3" t="n">
        <v>0</v>
      </c>
      <c r="S3241" s="3" t="n">
        <v>0</v>
      </c>
      <c r="T3241" s="3" t="n">
        <v>2</v>
      </c>
      <c r="U3241" s="3" t="n">
        <v>0</v>
      </c>
      <c r="V3241" s="3" t="n">
        <f aca="false">SUM(P3241:Q3241)</f>
        <v>0</v>
      </c>
      <c r="W3241" s="3" t="n">
        <f aca="false">SUM(R3241:T3241)</f>
        <v>2</v>
      </c>
      <c r="X3241" s="22" t="n">
        <v>41794</v>
      </c>
      <c r="Y3241" s="22" t="n">
        <v>41799</v>
      </c>
    </row>
    <row r="3242" customFormat="false" ht="14.25" hidden="false" customHeight="false" outlineLevel="0" collapsed="false">
      <c r="A3242" s="1" t="n">
        <v>2014</v>
      </c>
      <c r="B3242" s="1" t="n">
        <v>1</v>
      </c>
      <c r="C3242" s="2" t="s">
        <v>50</v>
      </c>
      <c r="D3242" s="3" t="s">
        <v>51</v>
      </c>
      <c r="E3242" s="3" t="n">
        <v>2</v>
      </c>
      <c r="F3242" s="1" t="n">
        <f aca="false">Y3242-X3242</f>
        <v>5</v>
      </c>
      <c r="G3242" s="1" t="n">
        <v>5</v>
      </c>
      <c r="H3242" s="3" t="s">
        <v>36</v>
      </c>
      <c r="I3242" s="3" t="s">
        <v>37</v>
      </c>
      <c r="J3242" s="3" t="s">
        <v>75</v>
      </c>
      <c r="K3242" s="2" t="str">
        <f aca="false">CONCATENATE(I3242," ",J3242)</f>
        <v>Ozyptila praticola</v>
      </c>
      <c r="L3242" s="3" t="n">
        <f aca="false">SUM(P3242:U3242)</f>
        <v>3</v>
      </c>
      <c r="M3242" s="11" t="n">
        <f aca="false">(L3242/(F3242*G3242)*25)*4</f>
        <v>12</v>
      </c>
      <c r="N3242" s="1" t="s">
        <v>30</v>
      </c>
      <c r="O3242" s="1" t="s">
        <v>31</v>
      </c>
      <c r="P3242" s="3" t="n">
        <v>3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f aca="false">SUM(P3242:Q3242)</f>
        <v>3</v>
      </c>
      <c r="W3242" s="3" t="n">
        <f aca="false">SUM(R3242:T3242)</f>
        <v>0</v>
      </c>
      <c r="X3242" s="22" t="n">
        <v>41794</v>
      </c>
      <c r="Y3242" s="22" t="n">
        <v>41799</v>
      </c>
    </row>
    <row r="3243" customFormat="false" ht="14.25" hidden="false" customHeight="false" outlineLevel="0" collapsed="false">
      <c r="A3243" s="1" t="n">
        <v>2014</v>
      </c>
      <c r="B3243" s="1" t="n">
        <v>1</v>
      </c>
      <c r="C3243" s="2" t="s">
        <v>50</v>
      </c>
      <c r="D3243" s="3" t="s">
        <v>51</v>
      </c>
      <c r="E3243" s="3" t="n">
        <v>2</v>
      </c>
      <c r="F3243" s="1" t="n">
        <f aca="false">Y3243-X3243</f>
        <v>5</v>
      </c>
      <c r="G3243" s="1" t="n">
        <v>5</v>
      </c>
      <c r="H3243" s="3" t="s">
        <v>36</v>
      </c>
      <c r="I3243" s="3" t="s">
        <v>131</v>
      </c>
      <c r="J3243" s="3" t="s">
        <v>133</v>
      </c>
      <c r="K3243" s="2" t="str">
        <f aca="false">CONCATENATE(I3243," ",J3243)</f>
        <v>Xysticus luctuosus</v>
      </c>
      <c r="L3243" s="3" t="n">
        <f aca="false">SUM(P3243:U3243)</f>
        <v>1</v>
      </c>
      <c r="M3243" s="11" t="n">
        <f aca="false">(L3243/(F3243*G3243)*25)*4</f>
        <v>4</v>
      </c>
      <c r="N3243" s="1" t="s">
        <v>30</v>
      </c>
      <c r="O3243" s="1" t="s">
        <v>31</v>
      </c>
      <c r="P3243" s="3" t="n">
        <v>1</v>
      </c>
      <c r="Q3243" s="3" t="n">
        <v>0</v>
      </c>
      <c r="R3243" s="3" t="n">
        <v>0</v>
      </c>
      <c r="S3243" s="3" t="n">
        <v>0</v>
      </c>
      <c r="T3243" s="3" t="n">
        <v>0</v>
      </c>
      <c r="U3243" s="3" t="n">
        <v>0</v>
      </c>
      <c r="V3243" s="3" t="n">
        <f aca="false">SUM(P3243:Q3243)</f>
        <v>1</v>
      </c>
      <c r="W3243" s="3" t="n">
        <f aca="false">SUM(R3243:T3243)</f>
        <v>0</v>
      </c>
      <c r="X3243" s="22" t="n">
        <v>41794</v>
      </c>
      <c r="Y3243" s="22" t="n">
        <v>41799</v>
      </c>
    </row>
    <row r="3244" customFormat="false" ht="14.25" hidden="false" customHeight="false" outlineLevel="0" collapsed="false">
      <c r="A3244" s="1" t="n">
        <v>2014</v>
      </c>
      <c r="B3244" s="1" t="n">
        <v>1</v>
      </c>
      <c r="C3244" s="2" t="s">
        <v>50</v>
      </c>
      <c r="D3244" s="3" t="s">
        <v>51</v>
      </c>
      <c r="E3244" s="3" t="n">
        <v>2</v>
      </c>
      <c r="F3244" s="1" t="n">
        <f aca="false">Y3244-X3244</f>
        <v>5</v>
      </c>
      <c r="G3244" s="1" t="n">
        <v>5</v>
      </c>
      <c r="H3244" s="3" t="s">
        <v>135</v>
      </c>
      <c r="I3244" s="3" t="s">
        <v>136</v>
      </c>
      <c r="J3244" s="3" t="s">
        <v>137</v>
      </c>
      <c r="K3244" s="2" t="str">
        <f aca="false">CONCATENATE(I3244," ",J3244)</f>
        <v>Thanatus sabulosus</v>
      </c>
      <c r="L3244" s="3" t="n">
        <f aca="false">SUM(P3244:U3244)</f>
        <v>1</v>
      </c>
      <c r="M3244" s="11" t="n">
        <f aca="false">(L3244/(F3244*G3244)*25)*4</f>
        <v>4</v>
      </c>
      <c r="N3244" s="1" t="s">
        <v>30</v>
      </c>
      <c r="O3244" s="1" t="s">
        <v>31</v>
      </c>
      <c r="P3244" s="3" t="n">
        <v>1</v>
      </c>
      <c r="Q3244" s="3" t="n">
        <v>0</v>
      </c>
      <c r="R3244" s="3" t="n">
        <v>0</v>
      </c>
      <c r="S3244" s="3" t="n">
        <v>0</v>
      </c>
      <c r="T3244" s="3" t="n">
        <v>0</v>
      </c>
      <c r="U3244" s="3" t="n">
        <v>0</v>
      </c>
      <c r="V3244" s="3" t="n">
        <f aca="false">SUM(P3244:Q3244)</f>
        <v>1</v>
      </c>
      <c r="W3244" s="3" t="n">
        <f aca="false">SUM(R3244:T3244)</f>
        <v>0</v>
      </c>
      <c r="X3244" s="22" t="n">
        <v>41794</v>
      </c>
      <c r="Y3244" s="22" t="n">
        <v>41799</v>
      </c>
    </row>
    <row r="3245" customFormat="false" ht="14.25" hidden="false" customHeight="false" outlineLevel="0" collapsed="false">
      <c r="A3245" s="1" t="n">
        <v>2014</v>
      </c>
      <c r="B3245" s="1" t="n">
        <v>1</v>
      </c>
      <c r="C3245" s="2" t="s">
        <v>50</v>
      </c>
      <c r="D3245" s="3" t="s">
        <v>51</v>
      </c>
      <c r="E3245" s="3" t="n">
        <v>2</v>
      </c>
      <c r="F3245" s="1" t="n">
        <f aca="false">Y3245-X3245</f>
        <v>5</v>
      </c>
      <c r="G3245" s="1" t="n">
        <v>5</v>
      </c>
      <c r="H3245" s="3" t="s">
        <v>135</v>
      </c>
      <c r="I3245" s="3" t="s">
        <v>136</v>
      </c>
      <c r="J3245" s="3" t="s">
        <v>137</v>
      </c>
      <c r="K3245" s="2" t="str">
        <f aca="false">CONCATENATE(I3245," ",J3245)</f>
        <v>Thanatus sabulosus</v>
      </c>
      <c r="L3245" s="3" t="n">
        <f aca="false">SUM(P3245:U3245)</f>
        <v>1</v>
      </c>
      <c r="M3245" s="11" t="n">
        <f aca="false">(L3245/(F3245*G3245)*25)*4</f>
        <v>4</v>
      </c>
      <c r="N3245" s="1" t="s">
        <v>30</v>
      </c>
      <c r="O3245" s="1" t="s">
        <v>35</v>
      </c>
      <c r="P3245" s="3" t="n">
        <v>0</v>
      </c>
      <c r="Q3245" s="3" t="n">
        <v>1</v>
      </c>
      <c r="R3245" s="3" t="n">
        <v>0</v>
      </c>
      <c r="S3245" s="3" t="n">
        <v>0</v>
      </c>
      <c r="T3245" s="3" t="n">
        <v>0</v>
      </c>
      <c r="U3245" s="3" t="n">
        <v>0</v>
      </c>
      <c r="V3245" s="3" t="n">
        <f aca="false">SUM(P3245:Q3245)</f>
        <v>1</v>
      </c>
      <c r="W3245" s="3" t="n">
        <f aca="false">SUM(R3245:T3245)</f>
        <v>0</v>
      </c>
      <c r="X3245" s="22" t="n">
        <v>41794</v>
      </c>
      <c r="Y3245" s="22" t="n">
        <v>41799</v>
      </c>
    </row>
    <row r="3246" customFormat="false" ht="14.25" hidden="false" customHeight="false" outlineLevel="0" collapsed="false">
      <c r="A3246" s="1" t="n">
        <v>2014</v>
      </c>
      <c r="B3246" s="1" t="n">
        <v>1</v>
      </c>
      <c r="C3246" s="2" t="s">
        <v>50</v>
      </c>
      <c r="D3246" s="3" t="s">
        <v>51</v>
      </c>
      <c r="E3246" s="3" t="n">
        <v>2</v>
      </c>
      <c r="F3246" s="1" t="n">
        <f aca="false">Y3246-X3246</f>
        <v>5</v>
      </c>
      <c r="G3246" s="1" t="n">
        <v>5</v>
      </c>
      <c r="H3246" s="3" t="s">
        <v>72</v>
      </c>
      <c r="I3246" s="3" t="s">
        <v>73</v>
      </c>
      <c r="J3246" s="3" t="s">
        <v>38</v>
      </c>
      <c r="K3246" s="2" t="str">
        <f aca="false">CONCATENATE(I3246," ",J3246)</f>
        <v>Zelotes sp</v>
      </c>
      <c r="L3246" s="3" t="n">
        <f aca="false">SUM(P3246:U3246)</f>
        <v>1</v>
      </c>
      <c r="M3246" s="11" t="n">
        <f aca="false">(L3246/(F3246*G3246)*25)*4</f>
        <v>4</v>
      </c>
      <c r="N3246" s="1" t="s">
        <v>19</v>
      </c>
      <c r="O3246" s="1" t="s">
        <v>54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1</v>
      </c>
      <c r="U3246" s="3" t="n">
        <v>0</v>
      </c>
      <c r="V3246" s="3" t="n">
        <f aca="false">SUM(P3246:Q3246)</f>
        <v>0</v>
      </c>
      <c r="W3246" s="3" t="n">
        <f aca="false">SUM(R3246:T3246)</f>
        <v>1</v>
      </c>
      <c r="X3246" s="22" t="n">
        <v>41794</v>
      </c>
      <c r="Y3246" s="22" t="n">
        <v>41799</v>
      </c>
    </row>
    <row r="3247" customFormat="false" ht="14.25" hidden="false" customHeight="false" outlineLevel="0" collapsed="false">
      <c r="A3247" s="1" t="n">
        <v>2014</v>
      </c>
      <c r="B3247" s="1" t="n">
        <v>1</v>
      </c>
      <c r="C3247" s="2" t="s">
        <v>50</v>
      </c>
      <c r="D3247" s="3" t="s">
        <v>51</v>
      </c>
      <c r="E3247" s="3" t="n">
        <v>2</v>
      </c>
      <c r="F3247" s="1" t="n">
        <f aca="false">Y3247-X3247</f>
        <v>5</v>
      </c>
      <c r="G3247" s="1" t="n">
        <v>5</v>
      </c>
      <c r="H3247" s="3" t="s">
        <v>32</v>
      </c>
      <c r="I3247" s="3" t="s">
        <v>154</v>
      </c>
      <c r="J3247" s="3" t="s">
        <v>155</v>
      </c>
      <c r="K3247" s="2" t="str">
        <f aca="false">CONCATENATE(I3247," ",J3247)</f>
        <v>Pocadicnemis pumila</v>
      </c>
      <c r="L3247" s="3" t="n">
        <f aca="false">SUM(P3247:U3247)</f>
        <v>1</v>
      </c>
      <c r="M3247" s="11" t="n">
        <f aca="false">(L3247/(F3247*G3247)*25)*4</f>
        <v>4</v>
      </c>
      <c r="N3247" s="1" t="s">
        <v>30</v>
      </c>
      <c r="O3247" s="1" t="s">
        <v>35</v>
      </c>
      <c r="P3247" s="3" t="n">
        <v>0</v>
      </c>
      <c r="Q3247" s="3" t="n">
        <v>1</v>
      </c>
      <c r="R3247" s="3" t="n">
        <v>0</v>
      </c>
      <c r="S3247" s="3" t="n">
        <v>0</v>
      </c>
      <c r="T3247" s="3" t="n">
        <v>0</v>
      </c>
      <c r="U3247" s="3" t="n">
        <v>0</v>
      </c>
      <c r="V3247" s="3" t="n">
        <f aca="false">SUM(P3247:Q3247)</f>
        <v>1</v>
      </c>
      <c r="W3247" s="3" t="n">
        <f aca="false">SUM(R3247:T3247)</f>
        <v>0</v>
      </c>
      <c r="X3247" s="22" t="n">
        <v>41794</v>
      </c>
      <c r="Y3247" s="22" t="n">
        <v>41799</v>
      </c>
    </row>
    <row r="3248" customFormat="false" ht="14.25" hidden="false" customHeight="false" outlineLevel="0" collapsed="false">
      <c r="A3248" s="1" t="n">
        <v>2014</v>
      </c>
      <c r="B3248" s="1" t="n">
        <v>1</v>
      </c>
      <c r="C3248" s="2" t="s">
        <v>50</v>
      </c>
      <c r="D3248" s="3" t="s">
        <v>51</v>
      </c>
      <c r="E3248" s="3" t="n">
        <v>2</v>
      </c>
      <c r="F3248" s="1" t="n">
        <f aca="false">Y3248-X3248</f>
        <v>5</v>
      </c>
      <c r="G3248" s="1" t="n">
        <v>5</v>
      </c>
      <c r="H3248" s="3" t="s">
        <v>32</v>
      </c>
      <c r="I3248" s="3" t="s">
        <v>57</v>
      </c>
      <c r="J3248" s="3" t="s">
        <v>38</v>
      </c>
      <c r="K3248" s="2" t="str">
        <f aca="false">CONCATENATE(I3248," ",J3248)</f>
        <v>Gen sp</v>
      </c>
      <c r="L3248" s="3" t="n">
        <f aca="false">SUM(P3248:U3248)</f>
        <v>2</v>
      </c>
      <c r="M3248" s="11" t="n">
        <f aca="false">(L3248/(F3248*G3248)*25)*4</f>
        <v>8</v>
      </c>
      <c r="N3248" s="1" t="s">
        <v>19</v>
      </c>
      <c r="O3248" s="1" t="s">
        <v>54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2</v>
      </c>
      <c r="U3248" s="3" t="n">
        <v>0</v>
      </c>
      <c r="V3248" s="3" t="n">
        <f aca="false">SUM(P3248:Q3248)</f>
        <v>0</v>
      </c>
      <c r="W3248" s="3" t="n">
        <f aca="false">SUM(R3248:T3248)</f>
        <v>2</v>
      </c>
      <c r="X3248" s="22" t="n">
        <v>41794</v>
      </c>
      <c r="Y3248" s="22" t="n">
        <v>41799</v>
      </c>
    </row>
    <row r="3249" customFormat="false" ht="14.25" hidden="false" customHeight="false" outlineLevel="0" collapsed="false">
      <c r="A3249" s="1" t="n">
        <v>2014</v>
      </c>
      <c r="B3249" s="1" t="n">
        <v>1</v>
      </c>
      <c r="C3249" s="2" t="s">
        <v>50</v>
      </c>
      <c r="D3249" s="3" t="s">
        <v>51</v>
      </c>
      <c r="E3249" s="3" t="n">
        <v>2</v>
      </c>
      <c r="F3249" s="1" t="n">
        <f aca="false">Y3249-X3249</f>
        <v>5</v>
      </c>
      <c r="G3249" s="1" t="n">
        <v>5</v>
      </c>
      <c r="H3249" s="3" t="s">
        <v>48</v>
      </c>
      <c r="I3249" s="3" t="s">
        <v>67</v>
      </c>
      <c r="J3249" s="3" t="s">
        <v>127</v>
      </c>
      <c r="K3249" s="2" t="str">
        <f aca="false">CONCATENATE(I3249," ",J3249)</f>
        <v>Pardosa lugubris</v>
      </c>
      <c r="L3249" s="3" t="n">
        <f aca="false">SUM(P3249:U3249)</f>
        <v>17</v>
      </c>
      <c r="M3249" s="11" t="n">
        <f aca="false">(L3249/(F3249*G3249)*25)*4</f>
        <v>68</v>
      </c>
      <c r="N3249" s="1" t="s">
        <v>30</v>
      </c>
      <c r="O3249" s="1" t="s">
        <v>31</v>
      </c>
      <c r="P3249" s="3" t="n">
        <v>17</v>
      </c>
      <c r="Q3249" s="3" t="n">
        <v>0</v>
      </c>
      <c r="R3249" s="3" t="n">
        <v>0</v>
      </c>
      <c r="S3249" s="3" t="n">
        <v>0</v>
      </c>
      <c r="T3249" s="3" t="n">
        <v>0</v>
      </c>
      <c r="U3249" s="3" t="n">
        <v>0</v>
      </c>
      <c r="V3249" s="3" t="n">
        <f aca="false">SUM(P3249:Q3249)</f>
        <v>17</v>
      </c>
      <c r="W3249" s="3" t="n">
        <f aca="false">SUM(R3249:T3249)</f>
        <v>0</v>
      </c>
      <c r="X3249" s="22" t="n">
        <v>41794</v>
      </c>
      <c r="Y3249" s="22" t="n">
        <v>41799</v>
      </c>
    </row>
    <row r="3250" customFormat="false" ht="14.25" hidden="false" customHeight="false" outlineLevel="0" collapsed="false">
      <c r="A3250" s="1" t="n">
        <v>2014</v>
      </c>
      <c r="B3250" s="1" t="n">
        <v>1</v>
      </c>
      <c r="C3250" s="2" t="s">
        <v>50</v>
      </c>
      <c r="D3250" s="3" t="s">
        <v>51</v>
      </c>
      <c r="E3250" s="3" t="n">
        <v>2</v>
      </c>
      <c r="F3250" s="1" t="n">
        <f aca="false">Y3250-X3250</f>
        <v>5</v>
      </c>
      <c r="G3250" s="1" t="n">
        <v>5</v>
      </c>
      <c r="H3250" s="3" t="s">
        <v>48</v>
      </c>
      <c r="I3250" s="3" t="s">
        <v>67</v>
      </c>
      <c r="J3250" s="3" t="s">
        <v>127</v>
      </c>
      <c r="K3250" s="2" t="str">
        <f aca="false">CONCATENATE(I3250," ",J3250)</f>
        <v>Pardosa lugubris</v>
      </c>
      <c r="L3250" s="3" t="n">
        <f aca="false">SUM(P3250:U3250)</f>
        <v>1</v>
      </c>
      <c r="M3250" s="11" t="n">
        <f aca="false">(L3250/(F3250*G3250)*25)*4</f>
        <v>4</v>
      </c>
      <c r="N3250" s="1" t="s">
        <v>30</v>
      </c>
      <c r="O3250" s="1" t="s">
        <v>35</v>
      </c>
      <c r="P3250" s="3" t="n">
        <v>0</v>
      </c>
      <c r="Q3250" s="3" t="n">
        <v>1</v>
      </c>
      <c r="R3250" s="3" t="n">
        <v>0</v>
      </c>
      <c r="S3250" s="3" t="n">
        <v>0</v>
      </c>
      <c r="T3250" s="3" t="n">
        <v>0</v>
      </c>
      <c r="U3250" s="3" t="n">
        <v>0</v>
      </c>
      <c r="V3250" s="3" t="n">
        <f aca="false">SUM(P3250:Q3250)</f>
        <v>1</v>
      </c>
      <c r="W3250" s="3" t="n">
        <f aca="false">SUM(R3250:T3250)</f>
        <v>0</v>
      </c>
      <c r="X3250" s="22" t="n">
        <v>41794</v>
      </c>
      <c r="Y3250" s="22" t="n">
        <v>41799</v>
      </c>
    </row>
    <row r="3251" customFormat="false" ht="14.25" hidden="false" customHeight="false" outlineLevel="0" collapsed="false">
      <c r="A3251" s="1" t="n">
        <v>2014</v>
      </c>
      <c r="B3251" s="1" t="n">
        <v>1</v>
      </c>
      <c r="C3251" s="2" t="s">
        <v>50</v>
      </c>
      <c r="D3251" s="3" t="s">
        <v>51</v>
      </c>
      <c r="E3251" s="3" t="n">
        <v>2</v>
      </c>
      <c r="F3251" s="1" t="n">
        <f aca="false">Y3251-X3251</f>
        <v>5</v>
      </c>
      <c r="G3251" s="1" t="n">
        <v>5</v>
      </c>
      <c r="H3251" s="3" t="s">
        <v>36</v>
      </c>
      <c r="I3251" s="3" t="s">
        <v>131</v>
      </c>
      <c r="J3251" s="3" t="s">
        <v>133</v>
      </c>
      <c r="K3251" s="2" t="str">
        <f aca="false">CONCATENATE(I3251," ",J3251)</f>
        <v>Xysticus luctuosus</v>
      </c>
      <c r="L3251" s="3" t="n">
        <f aca="false">SUM(P3251:U3251)</f>
        <v>1</v>
      </c>
      <c r="M3251" s="11" t="n">
        <f aca="false">(L3251/(F3251*G3251)*25)*4</f>
        <v>4</v>
      </c>
      <c r="N3251" s="1" t="s">
        <v>30</v>
      </c>
      <c r="O3251" s="1" t="s">
        <v>31</v>
      </c>
      <c r="P3251" s="3" t="n">
        <v>1</v>
      </c>
      <c r="Q3251" s="3" t="n">
        <v>0</v>
      </c>
      <c r="R3251" s="3" t="n">
        <v>0</v>
      </c>
      <c r="S3251" s="3" t="n">
        <v>0</v>
      </c>
      <c r="T3251" s="3" t="n">
        <v>0</v>
      </c>
      <c r="U3251" s="3" t="n">
        <v>0</v>
      </c>
      <c r="V3251" s="3" t="n">
        <f aca="false">SUM(P3251:Q3251)</f>
        <v>1</v>
      </c>
      <c r="W3251" s="3" t="n">
        <f aca="false">SUM(R3251:T3251)</f>
        <v>0</v>
      </c>
      <c r="X3251" s="22" t="n">
        <v>41794</v>
      </c>
      <c r="Y3251" s="22" t="n">
        <v>41799</v>
      </c>
    </row>
    <row r="3252" customFormat="false" ht="14.25" hidden="false" customHeight="false" outlineLevel="0" collapsed="false">
      <c r="A3252" s="1" t="n">
        <v>2014</v>
      </c>
      <c r="B3252" s="1" t="n">
        <v>1</v>
      </c>
      <c r="C3252" s="2" t="s">
        <v>50</v>
      </c>
      <c r="D3252" s="3" t="s">
        <v>51</v>
      </c>
      <c r="E3252" s="3" t="n">
        <v>2</v>
      </c>
      <c r="F3252" s="1" t="n">
        <f aca="false">Y3252-X3252</f>
        <v>5</v>
      </c>
      <c r="G3252" s="1" t="n">
        <v>5</v>
      </c>
      <c r="H3252" s="3" t="s">
        <v>36</v>
      </c>
      <c r="I3252" s="3" t="s">
        <v>37</v>
      </c>
      <c r="J3252" s="3" t="s">
        <v>75</v>
      </c>
      <c r="K3252" s="2" t="str">
        <f aca="false">CONCATENATE(I3252," ",J3252)</f>
        <v>Ozyptila praticola</v>
      </c>
      <c r="L3252" s="3" t="n">
        <f aca="false">SUM(P3252:U3252)</f>
        <v>1</v>
      </c>
      <c r="M3252" s="11" t="n">
        <f aca="false">(L3252/(F3252*G3252)*25)*4</f>
        <v>4</v>
      </c>
      <c r="N3252" s="1" t="s">
        <v>30</v>
      </c>
      <c r="O3252" s="1" t="s">
        <v>31</v>
      </c>
      <c r="P3252" s="3" t="n">
        <v>1</v>
      </c>
      <c r="Q3252" s="3" t="n">
        <v>0</v>
      </c>
      <c r="R3252" s="3" t="n">
        <v>0</v>
      </c>
      <c r="S3252" s="3" t="n">
        <v>0</v>
      </c>
      <c r="T3252" s="3" t="n">
        <v>0</v>
      </c>
      <c r="U3252" s="3" t="n">
        <v>0</v>
      </c>
      <c r="V3252" s="3" t="n">
        <f aca="false">SUM(P3252:Q3252)</f>
        <v>1</v>
      </c>
      <c r="W3252" s="3" t="n">
        <f aca="false">SUM(R3252:T3252)</f>
        <v>0</v>
      </c>
      <c r="X3252" s="22" t="n">
        <v>41794</v>
      </c>
      <c r="Y3252" s="22" t="n">
        <v>41799</v>
      </c>
    </row>
    <row r="3253" customFormat="false" ht="14.25" hidden="false" customHeight="false" outlineLevel="0" collapsed="false">
      <c r="A3253" s="1" t="n">
        <v>2014</v>
      </c>
      <c r="B3253" s="1" t="n">
        <v>1</v>
      </c>
      <c r="C3253" s="2" t="s">
        <v>50</v>
      </c>
      <c r="D3253" s="3" t="s">
        <v>51</v>
      </c>
      <c r="E3253" s="3" t="n">
        <v>2</v>
      </c>
      <c r="F3253" s="1" t="n">
        <f aca="false">Y3253-X3253</f>
        <v>5</v>
      </c>
      <c r="G3253" s="1" t="n">
        <v>5</v>
      </c>
      <c r="H3253" s="3" t="s">
        <v>36</v>
      </c>
      <c r="I3253" s="3" t="s">
        <v>37</v>
      </c>
      <c r="J3253" s="3" t="s">
        <v>75</v>
      </c>
      <c r="K3253" s="2" t="str">
        <f aca="false">CONCATENATE(I3253," ",J3253)</f>
        <v>Ozyptila praticola</v>
      </c>
      <c r="L3253" s="3" t="n">
        <f aca="false">SUM(P3253:U3253)</f>
        <v>1</v>
      </c>
      <c r="M3253" s="11" t="n">
        <f aca="false">(L3253/(F3253*G3253)*25)*4</f>
        <v>4</v>
      </c>
      <c r="N3253" s="1" t="s">
        <v>30</v>
      </c>
      <c r="O3253" s="1" t="s">
        <v>35</v>
      </c>
      <c r="P3253" s="3" t="n">
        <v>0</v>
      </c>
      <c r="Q3253" s="3" t="n">
        <v>1</v>
      </c>
      <c r="R3253" s="3" t="n">
        <v>0</v>
      </c>
      <c r="S3253" s="3" t="n">
        <v>0</v>
      </c>
      <c r="T3253" s="3" t="n">
        <v>0</v>
      </c>
      <c r="U3253" s="3" t="n">
        <v>0</v>
      </c>
      <c r="V3253" s="3" t="n">
        <f aca="false">SUM(P3253:Q3253)</f>
        <v>1</v>
      </c>
      <c r="W3253" s="3" t="n">
        <f aca="false">SUM(R3253:T3253)</f>
        <v>0</v>
      </c>
      <c r="X3253" s="22" t="n">
        <v>41794</v>
      </c>
      <c r="Y3253" s="22" t="n">
        <v>41799</v>
      </c>
    </row>
    <row r="3254" customFormat="false" ht="14.25" hidden="false" customHeight="false" outlineLevel="0" collapsed="false">
      <c r="A3254" s="1" t="n">
        <v>2014</v>
      </c>
      <c r="B3254" s="1" t="n">
        <v>1</v>
      </c>
      <c r="C3254" s="2" t="s">
        <v>50</v>
      </c>
      <c r="D3254" s="3" t="s">
        <v>51</v>
      </c>
      <c r="E3254" s="3" t="n">
        <v>2</v>
      </c>
      <c r="F3254" s="1" t="n">
        <f aca="false">Y3254-X3254</f>
        <v>5</v>
      </c>
      <c r="G3254" s="1" t="n">
        <v>5</v>
      </c>
      <c r="H3254" s="3" t="s">
        <v>135</v>
      </c>
      <c r="I3254" s="3" t="s">
        <v>136</v>
      </c>
      <c r="J3254" s="3" t="s">
        <v>137</v>
      </c>
      <c r="K3254" s="2" t="str">
        <f aca="false">CONCATENATE(I3254," ",J3254)</f>
        <v>Thanatus sabulosus</v>
      </c>
      <c r="L3254" s="3" t="n">
        <f aca="false">SUM(P3254:U3254)</f>
        <v>1</v>
      </c>
      <c r="M3254" s="11" t="n">
        <f aca="false">(L3254/(F3254*G3254)*25)*4</f>
        <v>4</v>
      </c>
      <c r="N3254" s="1" t="s">
        <v>30</v>
      </c>
      <c r="O3254" s="1" t="s">
        <v>35</v>
      </c>
      <c r="P3254" s="3" t="n">
        <v>0</v>
      </c>
      <c r="Q3254" s="3" t="n">
        <v>1</v>
      </c>
      <c r="R3254" s="3" t="n">
        <v>0</v>
      </c>
      <c r="S3254" s="3" t="n">
        <v>0</v>
      </c>
      <c r="T3254" s="3" t="n">
        <v>0</v>
      </c>
      <c r="U3254" s="3" t="n">
        <v>0</v>
      </c>
      <c r="V3254" s="3" t="n">
        <f aca="false">SUM(P3254:Q3254)</f>
        <v>1</v>
      </c>
      <c r="W3254" s="3" t="n">
        <f aca="false">SUM(R3254:T3254)</f>
        <v>0</v>
      </c>
      <c r="X3254" s="22" t="n">
        <v>41794</v>
      </c>
      <c r="Y3254" s="22" t="n">
        <v>41799</v>
      </c>
    </row>
    <row r="3255" customFormat="false" ht="14.25" hidden="false" customHeight="false" outlineLevel="0" collapsed="false">
      <c r="A3255" s="1" t="n">
        <v>2014</v>
      </c>
      <c r="B3255" s="1" t="n">
        <v>1</v>
      </c>
      <c r="C3255" s="2" t="s">
        <v>50</v>
      </c>
      <c r="D3255" s="3" t="s">
        <v>51</v>
      </c>
      <c r="E3255" s="3" t="n">
        <v>2</v>
      </c>
      <c r="F3255" s="1" t="n">
        <f aca="false">Y3255-X3255</f>
        <v>5</v>
      </c>
      <c r="G3255" s="1" t="n">
        <v>5</v>
      </c>
      <c r="H3255" s="3" t="s">
        <v>72</v>
      </c>
      <c r="I3255" s="3" t="s">
        <v>73</v>
      </c>
      <c r="J3255" s="3" t="s">
        <v>38</v>
      </c>
      <c r="K3255" s="2" t="str">
        <f aca="false">CONCATENATE(I3255," ",J3255)</f>
        <v>Zelotes sp</v>
      </c>
      <c r="L3255" s="3" t="n">
        <f aca="false">SUM(P3255:U3255)</f>
        <v>1</v>
      </c>
      <c r="M3255" s="11" t="n">
        <f aca="false">(L3255/(F3255*G3255)*25)*4</f>
        <v>4</v>
      </c>
      <c r="N3255" s="1" t="s">
        <v>19</v>
      </c>
      <c r="O3255" s="1" t="s">
        <v>54</v>
      </c>
      <c r="P3255" s="3" t="n">
        <v>0</v>
      </c>
      <c r="Q3255" s="3" t="n">
        <v>0</v>
      </c>
      <c r="R3255" s="3" t="n">
        <v>0</v>
      </c>
      <c r="S3255" s="3" t="n">
        <v>0</v>
      </c>
      <c r="T3255" s="3" t="n">
        <v>1</v>
      </c>
      <c r="U3255" s="3" t="n">
        <v>0</v>
      </c>
      <c r="V3255" s="3" t="n">
        <f aca="false">SUM(P3255:Q3255)</f>
        <v>0</v>
      </c>
      <c r="W3255" s="3" t="n">
        <f aca="false">SUM(R3255:T3255)</f>
        <v>1</v>
      </c>
      <c r="X3255" s="22" t="n">
        <v>41794</v>
      </c>
      <c r="Y3255" s="22" t="n">
        <v>41799</v>
      </c>
    </row>
    <row r="3256" customFormat="false" ht="14.25" hidden="false" customHeight="false" outlineLevel="0" collapsed="false">
      <c r="A3256" s="1" t="n">
        <v>2014</v>
      </c>
      <c r="B3256" s="1" t="n">
        <v>1</v>
      </c>
      <c r="C3256" s="2" t="s">
        <v>50</v>
      </c>
      <c r="D3256" s="3" t="s">
        <v>51</v>
      </c>
      <c r="E3256" s="3" t="n">
        <v>2</v>
      </c>
      <c r="F3256" s="1" t="n">
        <f aca="false">Y3256-X3256</f>
        <v>5</v>
      </c>
      <c r="G3256" s="1" t="n">
        <v>5</v>
      </c>
      <c r="H3256" s="3" t="s">
        <v>226</v>
      </c>
      <c r="I3256" s="3" t="s">
        <v>65</v>
      </c>
      <c r="J3256" s="3" t="s">
        <v>66</v>
      </c>
      <c r="K3256" s="2" t="str">
        <f aca="false">CONCATENATE(I3256," ",J3256)</f>
        <v>Zora Spinimana</v>
      </c>
      <c r="L3256" s="3" t="n">
        <f aca="false">SUM(P3256:U3256)</f>
        <v>1</v>
      </c>
      <c r="M3256" s="11" t="n">
        <f aca="false">(L3256/(F3256*G3256)*25)*4</f>
        <v>4</v>
      </c>
      <c r="N3256" s="1" t="s">
        <v>30</v>
      </c>
      <c r="O3256" s="1" t="s">
        <v>31</v>
      </c>
      <c r="P3256" s="3" t="n">
        <v>1</v>
      </c>
      <c r="Q3256" s="3" t="n">
        <v>0</v>
      </c>
      <c r="R3256" s="3" t="n">
        <v>0</v>
      </c>
      <c r="S3256" s="3" t="n">
        <v>0</v>
      </c>
      <c r="T3256" s="3" t="n">
        <v>0</v>
      </c>
      <c r="U3256" s="3" t="n">
        <v>0</v>
      </c>
      <c r="V3256" s="3" t="n">
        <f aca="false">SUM(P3256:Q3256)</f>
        <v>1</v>
      </c>
      <c r="W3256" s="3" t="n">
        <f aca="false">SUM(R3256:T3256)</f>
        <v>0</v>
      </c>
      <c r="X3256" s="22" t="n">
        <v>41794</v>
      </c>
      <c r="Y3256" s="22" t="n">
        <v>41799</v>
      </c>
    </row>
    <row r="3257" customFormat="false" ht="14.25" hidden="false" customHeight="false" outlineLevel="0" collapsed="false">
      <c r="A3257" s="1" t="n">
        <v>2014</v>
      </c>
      <c r="B3257" s="1" t="n">
        <v>1</v>
      </c>
      <c r="C3257" s="2" t="s">
        <v>50</v>
      </c>
      <c r="D3257" s="3" t="s">
        <v>51</v>
      </c>
      <c r="E3257" s="3" t="n">
        <v>2</v>
      </c>
      <c r="F3257" s="1" t="n">
        <f aca="false">Y3257-X3257</f>
        <v>5</v>
      </c>
      <c r="G3257" s="1" t="n">
        <v>5</v>
      </c>
      <c r="H3257" s="3" t="s">
        <v>226</v>
      </c>
      <c r="I3257" s="3" t="s">
        <v>65</v>
      </c>
      <c r="J3257" s="3" t="s">
        <v>123</v>
      </c>
      <c r="K3257" s="2" t="str">
        <f aca="false">CONCATENATE(I3257," ",J3257)</f>
        <v>Zora nemoralis</v>
      </c>
      <c r="L3257" s="3" t="n">
        <f aca="false">SUM(P3257:U3257)</f>
        <v>1</v>
      </c>
      <c r="M3257" s="11" t="n">
        <f aca="false">(L3257/(F3257*G3257)*25)*4</f>
        <v>4</v>
      </c>
      <c r="N3257" s="1" t="s">
        <v>30</v>
      </c>
      <c r="O3257" s="1" t="s">
        <v>31</v>
      </c>
      <c r="P3257" s="3" t="n">
        <v>1</v>
      </c>
      <c r="Q3257" s="3" t="n">
        <v>0</v>
      </c>
      <c r="R3257" s="3" t="n">
        <v>0</v>
      </c>
      <c r="S3257" s="3" t="n">
        <v>0</v>
      </c>
      <c r="T3257" s="3" t="n">
        <v>0</v>
      </c>
      <c r="U3257" s="3" t="n">
        <v>0</v>
      </c>
      <c r="V3257" s="3" t="n">
        <f aca="false">SUM(P3257:Q3257)</f>
        <v>1</v>
      </c>
      <c r="W3257" s="3" t="n">
        <f aca="false">SUM(R3257:T3257)</f>
        <v>0</v>
      </c>
      <c r="X3257" s="22" t="n">
        <v>41794</v>
      </c>
      <c r="Y3257" s="22" t="n">
        <v>41799</v>
      </c>
    </row>
    <row r="3258" customFormat="false" ht="14.25" hidden="false" customHeight="false" outlineLevel="0" collapsed="false">
      <c r="A3258" s="1" t="n">
        <v>2014</v>
      </c>
      <c r="B3258" s="1" t="n">
        <v>1</v>
      </c>
      <c r="C3258" s="2" t="s">
        <v>50</v>
      </c>
      <c r="D3258" s="3" t="s">
        <v>51</v>
      </c>
      <c r="E3258" s="3" t="n">
        <v>1</v>
      </c>
      <c r="F3258" s="1" t="n">
        <f aca="false">Y3258-X3258</f>
        <v>5</v>
      </c>
      <c r="G3258" s="1" t="n">
        <v>5</v>
      </c>
      <c r="H3258" s="3" t="s">
        <v>48</v>
      </c>
      <c r="I3258" s="3" t="s">
        <v>67</v>
      </c>
      <c r="J3258" s="3" t="s">
        <v>127</v>
      </c>
      <c r="K3258" s="2" t="str">
        <f aca="false">CONCATENATE(I3258," ",J3258)</f>
        <v>Pardosa lugubris</v>
      </c>
      <c r="L3258" s="3" t="n">
        <f aca="false">SUM(P3258:U3258)</f>
        <v>15</v>
      </c>
      <c r="M3258" s="11" t="n">
        <f aca="false">(L3258/(F3258*G3258)*25)*4</f>
        <v>60</v>
      </c>
      <c r="N3258" s="1" t="s">
        <v>30</v>
      </c>
      <c r="O3258" s="1" t="s">
        <v>31</v>
      </c>
      <c r="P3258" s="3" t="n">
        <v>15</v>
      </c>
      <c r="Q3258" s="3" t="n">
        <v>0</v>
      </c>
      <c r="R3258" s="3" t="n">
        <v>0</v>
      </c>
      <c r="S3258" s="3" t="n">
        <v>0</v>
      </c>
      <c r="T3258" s="3" t="n">
        <v>0</v>
      </c>
      <c r="U3258" s="3" t="n">
        <v>0</v>
      </c>
      <c r="V3258" s="3" t="n">
        <f aca="false">SUM(P3258:Q3258)</f>
        <v>15</v>
      </c>
      <c r="W3258" s="3" t="n">
        <f aca="false">SUM(R3258:T3258)</f>
        <v>0</v>
      </c>
      <c r="X3258" s="22" t="n">
        <v>41794</v>
      </c>
      <c r="Y3258" s="22" t="n">
        <v>41799</v>
      </c>
    </row>
    <row r="3259" customFormat="false" ht="14.25" hidden="false" customHeight="false" outlineLevel="0" collapsed="false">
      <c r="A3259" s="1" t="n">
        <v>2014</v>
      </c>
      <c r="B3259" s="1" t="n">
        <v>1</v>
      </c>
      <c r="C3259" s="2" t="s">
        <v>50</v>
      </c>
      <c r="D3259" s="3" t="s">
        <v>51</v>
      </c>
      <c r="E3259" s="3" t="n">
        <v>1</v>
      </c>
      <c r="F3259" s="1" t="n">
        <f aca="false">Y3259-X3259</f>
        <v>5</v>
      </c>
      <c r="G3259" s="1" t="n">
        <v>5</v>
      </c>
      <c r="H3259" s="3" t="s">
        <v>48</v>
      </c>
      <c r="I3259" s="3" t="s">
        <v>67</v>
      </c>
      <c r="J3259" s="3" t="s">
        <v>127</v>
      </c>
      <c r="K3259" s="2" t="str">
        <f aca="false">CONCATENATE(I3259," ",J3259)</f>
        <v>Pardosa lugubris</v>
      </c>
      <c r="L3259" s="3" t="n">
        <f aca="false">SUM(P3259:U3259)</f>
        <v>1</v>
      </c>
      <c r="M3259" s="11" t="n">
        <f aca="false">(L3259/(F3259*G3259)*25)*4</f>
        <v>4</v>
      </c>
      <c r="N3259" s="1" t="s">
        <v>30</v>
      </c>
      <c r="O3259" s="1" t="s">
        <v>35</v>
      </c>
      <c r="P3259" s="3" t="n">
        <v>0</v>
      </c>
      <c r="Q3259" s="3" t="n">
        <v>1</v>
      </c>
      <c r="R3259" s="3" t="n">
        <v>0</v>
      </c>
      <c r="S3259" s="3" t="n">
        <v>0</v>
      </c>
      <c r="T3259" s="3" t="n">
        <v>0</v>
      </c>
      <c r="U3259" s="3" t="n">
        <v>0</v>
      </c>
      <c r="V3259" s="3" t="n">
        <f aca="false">SUM(P3259:Q3259)</f>
        <v>1</v>
      </c>
      <c r="W3259" s="3" t="n">
        <f aca="false">SUM(R3259:T3259)</f>
        <v>0</v>
      </c>
      <c r="X3259" s="22" t="n">
        <v>41794</v>
      </c>
      <c r="Y3259" s="22" t="n">
        <v>41799</v>
      </c>
    </row>
    <row r="3260" customFormat="false" ht="14.25" hidden="false" customHeight="false" outlineLevel="0" collapsed="false">
      <c r="A3260" s="1" t="n">
        <v>2014</v>
      </c>
      <c r="B3260" s="1" t="n">
        <v>1</v>
      </c>
      <c r="C3260" s="2" t="s">
        <v>50</v>
      </c>
      <c r="D3260" s="3" t="s">
        <v>51</v>
      </c>
      <c r="E3260" s="3" t="n">
        <v>1</v>
      </c>
      <c r="F3260" s="1" t="n">
        <f aca="false">Y3260-X3260</f>
        <v>5</v>
      </c>
      <c r="G3260" s="1" t="n">
        <v>5</v>
      </c>
      <c r="H3260" s="3" t="s">
        <v>48</v>
      </c>
      <c r="I3260" s="3" t="s">
        <v>49</v>
      </c>
      <c r="J3260" s="3" t="s">
        <v>104</v>
      </c>
      <c r="K3260" s="2" t="str">
        <f aca="false">CONCATENATE(I3260," ",J3260)</f>
        <v>Alopecosa taeniata</v>
      </c>
      <c r="L3260" s="3" t="n">
        <f aca="false">SUM(P3260:U3260)</f>
        <v>1</v>
      </c>
      <c r="M3260" s="11" t="n">
        <f aca="false">(L3260/(F3260*G3260)*25)*4</f>
        <v>4</v>
      </c>
      <c r="N3260" s="1" t="s">
        <v>30</v>
      </c>
      <c r="O3260" s="1" t="s">
        <v>31</v>
      </c>
      <c r="P3260" s="3" t="n">
        <v>1</v>
      </c>
      <c r="Q3260" s="3" t="n">
        <v>0</v>
      </c>
      <c r="R3260" s="3" t="n">
        <v>0</v>
      </c>
      <c r="S3260" s="3" t="n">
        <v>0</v>
      </c>
      <c r="T3260" s="3" t="n">
        <v>0</v>
      </c>
      <c r="U3260" s="3" t="n">
        <v>0</v>
      </c>
      <c r="V3260" s="3" t="n">
        <f aca="false">SUM(P3260:Q3260)</f>
        <v>1</v>
      </c>
      <c r="W3260" s="3" t="n">
        <f aca="false">SUM(R3260:T3260)</f>
        <v>0</v>
      </c>
      <c r="X3260" s="22" t="n">
        <v>41794</v>
      </c>
      <c r="Y3260" s="22" t="n">
        <v>41799</v>
      </c>
    </row>
    <row r="3261" customFormat="false" ht="14.25" hidden="false" customHeight="false" outlineLevel="0" collapsed="false">
      <c r="A3261" s="1" t="n">
        <v>2014</v>
      </c>
      <c r="B3261" s="1" t="n">
        <v>1</v>
      </c>
      <c r="C3261" s="2" t="s">
        <v>50</v>
      </c>
      <c r="D3261" s="3" t="s">
        <v>51</v>
      </c>
      <c r="E3261" s="3" t="n">
        <v>1</v>
      </c>
      <c r="F3261" s="1" t="n">
        <f aca="false">Y3261-X3261</f>
        <v>5</v>
      </c>
      <c r="G3261" s="1" t="n">
        <v>5</v>
      </c>
      <c r="H3261" s="3" t="s">
        <v>72</v>
      </c>
      <c r="I3261" s="3" t="s">
        <v>86</v>
      </c>
      <c r="J3261" s="3" t="s">
        <v>87</v>
      </c>
      <c r="K3261" s="2" t="str">
        <f aca="false">CONCATENATE(I3261," ",J3261)</f>
        <v>Haplodrassus soerenseni</v>
      </c>
      <c r="L3261" s="3" t="n">
        <f aca="false">SUM(P3261:U3261)</f>
        <v>2</v>
      </c>
      <c r="M3261" s="11" t="n">
        <f aca="false">(L3261/(F3261*G3261)*25)*4</f>
        <v>8</v>
      </c>
      <c r="N3261" s="1" t="s">
        <v>30</v>
      </c>
      <c r="O3261" s="1" t="s">
        <v>31</v>
      </c>
      <c r="P3261" s="3" t="n">
        <v>2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f aca="false">SUM(P3261:Q3261)</f>
        <v>2</v>
      </c>
      <c r="W3261" s="3" t="n">
        <f aca="false">SUM(R3261:T3261)</f>
        <v>0</v>
      </c>
      <c r="X3261" s="22" t="n">
        <v>41794</v>
      </c>
      <c r="Y3261" s="22" t="n">
        <v>41799</v>
      </c>
    </row>
    <row r="3262" customFormat="false" ht="14.25" hidden="false" customHeight="false" outlineLevel="0" collapsed="false">
      <c r="A3262" s="1" t="n">
        <v>2014</v>
      </c>
      <c r="B3262" s="1" t="n">
        <v>1</v>
      </c>
      <c r="C3262" s="2" t="s">
        <v>50</v>
      </c>
      <c r="D3262" s="3" t="s">
        <v>51</v>
      </c>
      <c r="E3262" s="3" t="n">
        <v>1</v>
      </c>
      <c r="F3262" s="1" t="n">
        <f aca="false">Y3262-X3262</f>
        <v>5</v>
      </c>
      <c r="G3262" s="1" t="n">
        <v>5</v>
      </c>
      <c r="H3262" s="3" t="s">
        <v>72</v>
      </c>
      <c r="I3262" s="3" t="s">
        <v>73</v>
      </c>
      <c r="J3262" s="3" t="s">
        <v>38</v>
      </c>
      <c r="K3262" s="2" t="str">
        <f aca="false">CONCATENATE(I3262," ",J3262)</f>
        <v>Zelotes sp</v>
      </c>
      <c r="L3262" s="3" t="n">
        <f aca="false">SUM(P3262:U3262)</f>
        <v>1</v>
      </c>
      <c r="M3262" s="11" t="n">
        <f aca="false">(L3262/(F3262*G3262)*25)*4</f>
        <v>4</v>
      </c>
      <c r="N3262" s="1" t="s">
        <v>19</v>
      </c>
      <c r="O3262" s="1" t="s">
        <v>54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1</v>
      </c>
      <c r="U3262" s="3" t="n">
        <v>0</v>
      </c>
      <c r="V3262" s="3" t="n">
        <f aca="false">SUM(P3262:Q3262)</f>
        <v>0</v>
      </c>
      <c r="W3262" s="3" t="n">
        <f aca="false">SUM(R3262:T3262)</f>
        <v>1</v>
      </c>
      <c r="X3262" s="22" t="n">
        <v>41794</v>
      </c>
      <c r="Y3262" s="22" t="n">
        <v>41799</v>
      </c>
    </row>
    <row r="3263" customFormat="false" ht="14.25" hidden="false" customHeight="false" outlineLevel="0" collapsed="false">
      <c r="A3263" s="1" t="n">
        <v>2014</v>
      </c>
      <c r="B3263" s="1" t="n">
        <v>1</v>
      </c>
      <c r="C3263" s="2" t="s">
        <v>50</v>
      </c>
      <c r="D3263" s="3" t="s">
        <v>51</v>
      </c>
      <c r="E3263" s="3" t="n">
        <v>1</v>
      </c>
      <c r="F3263" s="1" t="n">
        <f aca="false">Y3263-X3263</f>
        <v>5</v>
      </c>
      <c r="G3263" s="1" t="n">
        <v>5</v>
      </c>
      <c r="H3263" s="3" t="s">
        <v>226</v>
      </c>
      <c r="I3263" s="3" t="s">
        <v>65</v>
      </c>
      <c r="J3263" s="3" t="s">
        <v>123</v>
      </c>
      <c r="K3263" s="2" t="str">
        <f aca="false">CONCATENATE(I3263," ",J3263)</f>
        <v>Zora nemoralis</v>
      </c>
      <c r="L3263" s="3" t="n">
        <f aca="false">SUM(P3263:U3263)</f>
        <v>1</v>
      </c>
      <c r="M3263" s="11" t="n">
        <f aca="false">(L3263/(F3263*G3263)*25)*4</f>
        <v>4</v>
      </c>
      <c r="N3263" s="1" t="s">
        <v>30</v>
      </c>
      <c r="O3263" s="1" t="s">
        <v>31</v>
      </c>
      <c r="P3263" s="3" t="n">
        <v>1</v>
      </c>
      <c r="Q3263" s="3" t="n">
        <v>0</v>
      </c>
      <c r="R3263" s="3" t="n">
        <v>0</v>
      </c>
      <c r="S3263" s="3" t="n">
        <v>0</v>
      </c>
      <c r="T3263" s="3" t="n">
        <v>0</v>
      </c>
      <c r="U3263" s="3" t="n">
        <v>0</v>
      </c>
      <c r="V3263" s="3" t="n">
        <f aca="false">SUM(P3263:Q3263)</f>
        <v>1</v>
      </c>
      <c r="W3263" s="3" t="n">
        <f aca="false">SUM(R3263:T3263)</f>
        <v>0</v>
      </c>
      <c r="X3263" s="22" t="n">
        <v>41794</v>
      </c>
      <c r="Y3263" s="22" t="n">
        <v>41799</v>
      </c>
    </row>
    <row r="3264" customFormat="false" ht="14.25" hidden="false" customHeight="false" outlineLevel="0" collapsed="false">
      <c r="A3264" s="1" t="n">
        <v>2014</v>
      </c>
      <c r="B3264" s="1" t="n">
        <v>1</v>
      </c>
      <c r="C3264" s="2" t="s">
        <v>50</v>
      </c>
      <c r="D3264" s="3" t="s">
        <v>51</v>
      </c>
      <c r="E3264" s="3" t="n">
        <v>3</v>
      </c>
      <c r="F3264" s="1" t="n">
        <f aca="false">Y3264-X3264</f>
        <v>5</v>
      </c>
      <c r="G3264" s="1" t="n">
        <v>5</v>
      </c>
      <c r="H3264" s="3" t="s">
        <v>48</v>
      </c>
      <c r="I3264" s="3" t="s">
        <v>67</v>
      </c>
      <c r="J3264" s="3" t="s">
        <v>127</v>
      </c>
      <c r="K3264" s="2" t="str">
        <f aca="false">CONCATENATE(I3264," ",J3264)</f>
        <v>Pardosa lugubris</v>
      </c>
      <c r="L3264" s="3" t="n">
        <f aca="false">SUM(P3264:U3264)</f>
        <v>11</v>
      </c>
      <c r="M3264" s="11" t="n">
        <f aca="false">(L3264/(F3264*G3264)*25)*4</f>
        <v>44</v>
      </c>
      <c r="N3264" s="1" t="s">
        <v>30</v>
      </c>
      <c r="O3264" s="1" t="s">
        <v>31</v>
      </c>
      <c r="P3264" s="3" t="n">
        <v>11</v>
      </c>
      <c r="Q3264" s="3" t="n">
        <v>0</v>
      </c>
      <c r="R3264" s="3" t="n">
        <v>0</v>
      </c>
      <c r="S3264" s="3" t="n">
        <v>0</v>
      </c>
      <c r="T3264" s="3" t="n">
        <v>0</v>
      </c>
      <c r="U3264" s="3" t="n">
        <v>0</v>
      </c>
      <c r="V3264" s="3" t="n">
        <f aca="false">SUM(P3264:Q3264)</f>
        <v>11</v>
      </c>
      <c r="W3264" s="3" t="n">
        <f aca="false">SUM(R3264:T3264)</f>
        <v>0</v>
      </c>
      <c r="X3264" s="22" t="n">
        <v>41794</v>
      </c>
      <c r="Y3264" s="22" t="n">
        <v>41799</v>
      </c>
    </row>
    <row r="3265" customFormat="false" ht="14.25" hidden="false" customHeight="false" outlineLevel="0" collapsed="false">
      <c r="A3265" s="1" t="n">
        <v>2014</v>
      </c>
      <c r="B3265" s="1" t="n">
        <v>1</v>
      </c>
      <c r="C3265" s="2" t="s">
        <v>50</v>
      </c>
      <c r="D3265" s="3" t="s">
        <v>51</v>
      </c>
      <c r="E3265" s="3" t="n">
        <v>3</v>
      </c>
      <c r="F3265" s="1" t="n">
        <f aca="false">Y3265-X3265</f>
        <v>5</v>
      </c>
      <c r="G3265" s="1" t="n">
        <v>5</v>
      </c>
      <c r="H3265" s="3" t="s">
        <v>48</v>
      </c>
      <c r="I3265" s="3" t="s">
        <v>67</v>
      </c>
      <c r="J3265" s="3" t="s">
        <v>127</v>
      </c>
      <c r="K3265" s="2" t="str">
        <f aca="false">CONCATENATE(I3265," ",J3265)</f>
        <v>Pardosa lugubris</v>
      </c>
      <c r="L3265" s="3" t="n">
        <f aca="false">SUM(P3265:U3265)</f>
        <v>3</v>
      </c>
      <c r="M3265" s="11" t="n">
        <f aca="false">(L3265/(F3265*G3265)*25)*4</f>
        <v>12</v>
      </c>
      <c r="N3265" s="1" t="s">
        <v>30</v>
      </c>
      <c r="O3265" s="1" t="s">
        <v>35</v>
      </c>
      <c r="P3265" s="3" t="n">
        <v>0</v>
      </c>
      <c r="Q3265" s="3" t="n">
        <v>3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f aca="false">SUM(P3265:Q3265)</f>
        <v>3</v>
      </c>
      <c r="W3265" s="3" t="n">
        <f aca="false">SUM(R3265:T3265)</f>
        <v>0</v>
      </c>
      <c r="X3265" s="22" t="n">
        <v>41794</v>
      </c>
      <c r="Y3265" s="22" t="n">
        <v>41799</v>
      </c>
    </row>
    <row r="3266" customFormat="false" ht="14.25" hidden="false" customHeight="false" outlineLevel="0" collapsed="false">
      <c r="A3266" s="1" t="n">
        <v>2014</v>
      </c>
      <c r="B3266" s="1" t="n">
        <v>1</v>
      </c>
      <c r="C3266" s="2" t="s">
        <v>50</v>
      </c>
      <c r="D3266" s="3" t="s">
        <v>51</v>
      </c>
      <c r="E3266" s="3" t="n">
        <v>3</v>
      </c>
      <c r="F3266" s="1" t="n">
        <f aca="false">Y3266-X3266</f>
        <v>5</v>
      </c>
      <c r="G3266" s="1" t="n">
        <v>5</v>
      </c>
      <c r="H3266" s="3" t="s">
        <v>48</v>
      </c>
      <c r="I3266" s="3" t="s">
        <v>49</v>
      </c>
      <c r="J3266" s="3" t="s">
        <v>104</v>
      </c>
      <c r="K3266" s="2" t="str">
        <f aca="false">CONCATENATE(I3266," ",J3266)</f>
        <v>Alopecosa taeniata</v>
      </c>
      <c r="L3266" s="3" t="n">
        <f aca="false">SUM(P3266:U3266)</f>
        <v>2</v>
      </c>
      <c r="M3266" s="11" t="n">
        <f aca="false">(L3266/(F3266*G3266)*25)*4</f>
        <v>8</v>
      </c>
      <c r="N3266" s="1" t="s">
        <v>30</v>
      </c>
      <c r="O3266" s="1" t="s">
        <v>31</v>
      </c>
      <c r="P3266" s="3" t="n">
        <v>2</v>
      </c>
      <c r="Q3266" s="3" t="n">
        <v>0</v>
      </c>
      <c r="R3266" s="3" t="n">
        <v>0</v>
      </c>
      <c r="S3266" s="3" t="n">
        <v>0</v>
      </c>
      <c r="T3266" s="3" t="n">
        <v>0</v>
      </c>
      <c r="U3266" s="3" t="n">
        <v>0</v>
      </c>
      <c r="V3266" s="3" t="n">
        <f aca="false">SUM(P3266:Q3266)</f>
        <v>2</v>
      </c>
      <c r="W3266" s="3" t="n">
        <f aca="false">SUM(R3266:T3266)</f>
        <v>0</v>
      </c>
      <c r="X3266" s="22" t="n">
        <v>41794</v>
      </c>
      <c r="Y3266" s="22" t="n">
        <v>41799</v>
      </c>
    </row>
    <row r="3267" customFormat="false" ht="14.25" hidden="false" customHeight="false" outlineLevel="0" collapsed="false">
      <c r="A3267" s="1" t="n">
        <v>2014</v>
      </c>
      <c r="B3267" s="1" t="n">
        <v>1</v>
      </c>
      <c r="C3267" s="2" t="s">
        <v>50</v>
      </c>
      <c r="D3267" s="3" t="s">
        <v>51</v>
      </c>
      <c r="E3267" s="3" t="n">
        <v>3</v>
      </c>
      <c r="F3267" s="1" t="n">
        <f aca="false">Y3267-X3267</f>
        <v>5</v>
      </c>
      <c r="G3267" s="1" t="n">
        <v>5</v>
      </c>
      <c r="H3267" s="3" t="s">
        <v>36</v>
      </c>
      <c r="I3267" s="3" t="s">
        <v>131</v>
      </c>
      <c r="J3267" s="3" t="s">
        <v>133</v>
      </c>
      <c r="K3267" s="2" t="str">
        <f aca="false">CONCATENATE(I3267," ",J3267)</f>
        <v>Xysticus luctuosus</v>
      </c>
      <c r="L3267" s="3" t="n">
        <f aca="false">SUM(P3267:U3267)</f>
        <v>1</v>
      </c>
      <c r="M3267" s="11" t="n">
        <f aca="false">(L3267/(F3267*G3267)*25)*4</f>
        <v>4</v>
      </c>
      <c r="N3267" s="1" t="s">
        <v>30</v>
      </c>
      <c r="O3267" s="1" t="s">
        <v>31</v>
      </c>
      <c r="P3267" s="3" t="n">
        <v>1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f aca="false">SUM(P3267:Q3267)</f>
        <v>1</v>
      </c>
      <c r="W3267" s="3" t="n">
        <f aca="false">SUM(R3267:T3267)</f>
        <v>0</v>
      </c>
      <c r="X3267" s="22" t="n">
        <v>41794</v>
      </c>
      <c r="Y3267" s="22" t="n">
        <v>41799</v>
      </c>
    </row>
    <row r="3268" customFormat="false" ht="14.25" hidden="false" customHeight="false" outlineLevel="0" collapsed="false">
      <c r="A3268" s="1" t="n">
        <v>2014</v>
      </c>
      <c r="B3268" s="1" t="n">
        <v>1</v>
      </c>
      <c r="C3268" s="2" t="s">
        <v>50</v>
      </c>
      <c r="D3268" s="3" t="s">
        <v>51</v>
      </c>
      <c r="E3268" s="3" t="n">
        <v>3</v>
      </c>
      <c r="F3268" s="1" t="n">
        <f aca="false">Y3268-X3268</f>
        <v>5</v>
      </c>
      <c r="G3268" s="1" t="n">
        <v>5</v>
      </c>
      <c r="H3268" s="3" t="s">
        <v>36</v>
      </c>
      <c r="I3268" s="3" t="s">
        <v>131</v>
      </c>
      <c r="J3268" s="3" t="s">
        <v>133</v>
      </c>
      <c r="K3268" s="2" t="str">
        <f aca="false">CONCATENATE(I3268," ",J3268)</f>
        <v>Xysticus luctuosus</v>
      </c>
      <c r="L3268" s="3" t="n">
        <f aca="false">SUM(P3268:U3268)</f>
        <v>1</v>
      </c>
      <c r="M3268" s="11" t="n">
        <f aca="false">(L3268/(F3268*G3268)*25)*4</f>
        <v>4</v>
      </c>
      <c r="N3268" s="1" t="s">
        <v>30</v>
      </c>
      <c r="O3268" s="1" t="s">
        <v>35</v>
      </c>
      <c r="P3268" s="3" t="n">
        <v>0</v>
      </c>
      <c r="Q3268" s="3" t="n">
        <v>1</v>
      </c>
      <c r="R3268" s="3" t="n">
        <v>0</v>
      </c>
      <c r="S3268" s="3" t="n">
        <v>0</v>
      </c>
      <c r="T3268" s="3" t="n">
        <v>0</v>
      </c>
      <c r="U3268" s="3" t="n">
        <v>0</v>
      </c>
      <c r="V3268" s="3" t="n">
        <f aca="false">SUM(P3268:Q3268)</f>
        <v>1</v>
      </c>
      <c r="W3268" s="3" t="n">
        <f aca="false">SUM(R3268:T3268)</f>
        <v>0</v>
      </c>
      <c r="X3268" s="22" t="n">
        <v>41794</v>
      </c>
      <c r="Y3268" s="22" t="n">
        <v>41799</v>
      </c>
    </row>
    <row r="3269" customFormat="false" ht="14.25" hidden="false" customHeight="false" outlineLevel="0" collapsed="false">
      <c r="A3269" s="1" t="n">
        <v>2014</v>
      </c>
      <c r="B3269" s="1" t="n">
        <v>1</v>
      </c>
      <c r="C3269" s="2" t="s">
        <v>50</v>
      </c>
      <c r="D3269" s="3" t="s">
        <v>51</v>
      </c>
      <c r="E3269" s="3" t="n">
        <v>3</v>
      </c>
      <c r="F3269" s="1" t="n">
        <f aca="false">Y3269-X3269</f>
        <v>5</v>
      </c>
      <c r="G3269" s="1" t="n">
        <v>5</v>
      </c>
      <c r="H3269" s="3" t="s">
        <v>72</v>
      </c>
      <c r="I3269" s="3" t="s">
        <v>86</v>
      </c>
      <c r="J3269" s="3" t="s">
        <v>87</v>
      </c>
      <c r="K3269" s="2" t="str">
        <f aca="false">CONCATENATE(I3269," ",J3269)</f>
        <v>Haplodrassus soerenseni</v>
      </c>
      <c r="L3269" s="3" t="n">
        <f aca="false">SUM(P3269:U3269)</f>
        <v>3</v>
      </c>
      <c r="M3269" s="11" t="n">
        <f aca="false">(L3269/(F3269*G3269)*25)*4</f>
        <v>12</v>
      </c>
      <c r="N3269" s="1" t="s">
        <v>30</v>
      </c>
      <c r="O3269" s="1" t="s">
        <v>31</v>
      </c>
      <c r="P3269" s="3" t="n">
        <v>3</v>
      </c>
      <c r="Q3269" s="3" t="n">
        <v>0</v>
      </c>
      <c r="R3269" s="3" t="n">
        <v>0</v>
      </c>
      <c r="S3269" s="3" t="n">
        <v>0</v>
      </c>
      <c r="T3269" s="3" t="n">
        <v>0</v>
      </c>
      <c r="U3269" s="3" t="n">
        <v>0</v>
      </c>
      <c r="V3269" s="3" t="n">
        <f aca="false">SUM(P3269:Q3269)</f>
        <v>3</v>
      </c>
      <c r="W3269" s="3" t="n">
        <f aca="false">SUM(R3269:T3269)</f>
        <v>0</v>
      </c>
      <c r="X3269" s="22" t="n">
        <v>41794</v>
      </c>
      <c r="Y3269" s="22" t="n">
        <v>41799</v>
      </c>
    </row>
    <row r="3270" customFormat="false" ht="14.25" hidden="false" customHeight="false" outlineLevel="0" collapsed="false">
      <c r="A3270" s="1" t="n">
        <v>2014</v>
      </c>
      <c r="B3270" s="1" t="n">
        <v>1</v>
      </c>
      <c r="C3270" s="2" t="s">
        <v>50</v>
      </c>
      <c r="D3270" s="3" t="s">
        <v>51</v>
      </c>
      <c r="E3270" s="3" t="n">
        <v>3</v>
      </c>
      <c r="F3270" s="1" t="n">
        <f aca="false">Y3270-X3270</f>
        <v>5</v>
      </c>
      <c r="G3270" s="1" t="n">
        <v>5</v>
      </c>
      <c r="H3270" s="3" t="s">
        <v>226</v>
      </c>
      <c r="I3270" s="3" t="s">
        <v>65</v>
      </c>
      <c r="J3270" s="3" t="s">
        <v>123</v>
      </c>
      <c r="K3270" s="2" t="str">
        <f aca="false">CONCATENATE(I3270," ",J3270)</f>
        <v>Zora nemoralis</v>
      </c>
      <c r="L3270" s="3" t="n">
        <f aca="false">SUM(P3270:U3270)</f>
        <v>1</v>
      </c>
      <c r="M3270" s="11" t="n">
        <f aca="false">(L3270/(F3270*G3270)*25)*4</f>
        <v>4</v>
      </c>
      <c r="N3270" s="1" t="s">
        <v>30</v>
      </c>
      <c r="O3270" s="1" t="s">
        <v>31</v>
      </c>
      <c r="P3270" s="3" t="n">
        <v>1</v>
      </c>
      <c r="Q3270" s="3" t="n">
        <v>0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f aca="false">SUM(P3270:Q3270)</f>
        <v>1</v>
      </c>
      <c r="W3270" s="3" t="n">
        <f aca="false">SUM(R3270:T3270)</f>
        <v>0</v>
      </c>
      <c r="X3270" s="22" t="n">
        <v>41794</v>
      </c>
      <c r="Y3270" s="22" t="n">
        <v>41799</v>
      </c>
    </row>
    <row r="3271" customFormat="false" ht="14.25" hidden="false" customHeight="false" outlineLevel="0" collapsed="false">
      <c r="A3271" s="1" t="n">
        <v>2014</v>
      </c>
      <c r="B3271" s="1" t="n">
        <v>1</v>
      </c>
      <c r="C3271" s="2" t="s">
        <v>44</v>
      </c>
      <c r="D3271" s="3" t="s">
        <v>45</v>
      </c>
      <c r="E3271" s="3" t="n">
        <v>2</v>
      </c>
      <c r="F3271" s="1" t="n">
        <f aca="false">Y3271-X3271</f>
        <v>5</v>
      </c>
      <c r="G3271" s="1" t="n">
        <v>5</v>
      </c>
      <c r="H3271" s="3" t="s">
        <v>48</v>
      </c>
      <c r="I3271" s="3" t="s">
        <v>49</v>
      </c>
      <c r="J3271" s="3" t="s">
        <v>119</v>
      </c>
      <c r="K3271" s="2" t="str">
        <f aca="false">CONCATENATE(I3271," ",J3271)</f>
        <v>Alopecosa sulzeri</v>
      </c>
      <c r="L3271" s="3" t="n">
        <f aca="false">SUM(P3271:U3271)</f>
        <v>1</v>
      </c>
      <c r="M3271" s="11" t="n">
        <f aca="false">(L3271/(F3271*G3271)*25)*4</f>
        <v>4</v>
      </c>
      <c r="N3271" s="1" t="s">
        <v>30</v>
      </c>
      <c r="O3271" s="1" t="s">
        <v>31</v>
      </c>
      <c r="P3271" s="3" t="n">
        <v>1</v>
      </c>
      <c r="Q3271" s="3" t="n">
        <v>0</v>
      </c>
      <c r="R3271" s="3" t="n">
        <v>0</v>
      </c>
      <c r="S3271" s="3" t="n">
        <v>0</v>
      </c>
      <c r="T3271" s="3" t="n">
        <v>0</v>
      </c>
      <c r="U3271" s="3" t="n">
        <v>0</v>
      </c>
      <c r="V3271" s="3" t="n">
        <f aca="false">SUM(P3271:Q3271)</f>
        <v>1</v>
      </c>
      <c r="W3271" s="3" t="n">
        <f aca="false">SUM(R3271:T3271)</f>
        <v>0</v>
      </c>
      <c r="X3271" s="22" t="n">
        <v>41794</v>
      </c>
      <c r="Y3271" s="22" t="n">
        <v>41799</v>
      </c>
    </row>
    <row r="3272" customFormat="false" ht="14.25" hidden="false" customHeight="false" outlineLevel="0" collapsed="false">
      <c r="A3272" s="1" t="n">
        <v>2014</v>
      </c>
      <c r="B3272" s="1" t="n">
        <v>1</v>
      </c>
      <c r="C3272" s="2" t="s">
        <v>44</v>
      </c>
      <c r="D3272" s="3" t="s">
        <v>45</v>
      </c>
      <c r="E3272" s="3" t="n">
        <v>2</v>
      </c>
      <c r="F3272" s="1" t="n">
        <f aca="false">Y3272-X3272</f>
        <v>5</v>
      </c>
      <c r="G3272" s="1" t="n">
        <v>5</v>
      </c>
      <c r="H3272" s="3" t="s">
        <v>48</v>
      </c>
      <c r="I3272" s="3" t="s">
        <v>49</v>
      </c>
      <c r="J3272" s="3" t="s">
        <v>130</v>
      </c>
      <c r="K3272" s="2" t="str">
        <f aca="false">CONCATENATE(I3272," ",J3272)</f>
        <v>Alopecosa aculeata</v>
      </c>
      <c r="L3272" s="3" t="n">
        <f aca="false">SUM(P3272:U3272)</f>
        <v>2</v>
      </c>
      <c r="M3272" s="11" t="n">
        <f aca="false">(L3272/(F3272*G3272)*25)*4</f>
        <v>8</v>
      </c>
      <c r="N3272" s="1" t="s">
        <v>30</v>
      </c>
      <c r="O3272" s="1" t="s">
        <v>35</v>
      </c>
      <c r="P3272" s="3" t="n">
        <v>0</v>
      </c>
      <c r="Q3272" s="3" t="n">
        <v>2</v>
      </c>
      <c r="R3272" s="3" t="n">
        <v>0</v>
      </c>
      <c r="S3272" s="3" t="n">
        <v>0</v>
      </c>
      <c r="T3272" s="3" t="n">
        <v>0</v>
      </c>
      <c r="U3272" s="3" t="n">
        <v>0</v>
      </c>
      <c r="V3272" s="3" t="n">
        <f aca="false">SUM(P3272:Q3272)</f>
        <v>2</v>
      </c>
      <c r="W3272" s="3" t="n">
        <f aca="false">SUM(R3272:T3272)</f>
        <v>0</v>
      </c>
      <c r="X3272" s="22" t="n">
        <v>41794</v>
      </c>
      <c r="Y3272" s="22" t="n">
        <v>41799</v>
      </c>
    </row>
    <row r="3273" customFormat="false" ht="14.25" hidden="false" customHeight="false" outlineLevel="0" collapsed="false">
      <c r="A3273" s="1" t="n">
        <v>2014</v>
      </c>
      <c r="B3273" s="1" t="n">
        <v>1</v>
      </c>
      <c r="C3273" s="2" t="s">
        <v>44</v>
      </c>
      <c r="D3273" s="3" t="s">
        <v>45</v>
      </c>
      <c r="E3273" s="3" t="n">
        <v>2</v>
      </c>
      <c r="F3273" s="1" t="n">
        <f aca="false">Y3273-X3273</f>
        <v>5</v>
      </c>
      <c r="G3273" s="1" t="n">
        <v>5</v>
      </c>
      <c r="H3273" s="3" t="s">
        <v>48</v>
      </c>
      <c r="I3273" s="3" t="s">
        <v>122</v>
      </c>
      <c r="J3273" s="3" t="s">
        <v>123</v>
      </c>
      <c r="K3273" s="2" t="str">
        <f aca="false">CONCATENATE(I3273," ",J3273)</f>
        <v>Xerolycosa nemoralis</v>
      </c>
      <c r="L3273" s="3" t="n">
        <f aca="false">SUM(P3273:U3273)</f>
        <v>4</v>
      </c>
      <c r="M3273" s="11" t="n">
        <f aca="false">(L3273/(F3273*G3273)*25)*4</f>
        <v>16</v>
      </c>
      <c r="N3273" s="1" t="s">
        <v>30</v>
      </c>
      <c r="O3273" s="1" t="s">
        <v>31</v>
      </c>
      <c r="P3273" s="3" t="n">
        <v>4</v>
      </c>
      <c r="Q3273" s="3" t="n">
        <v>0</v>
      </c>
      <c r="R3273" s="3" t="n">
        <v>0</v>
      </c>
      <c r="S3273" s="3" t="n">
        <v>0</v>
      </c>
      <c r="T3273" s="3" t="n">
        <v>0</v>
      </c>
      <c r="U3273" s="3" t="n">
        <v>0</v>
      </c>
      <c r="V3273" s="3" t="n">
        <f aca="false">SUM(P3273:Q3273)</f>
        <v>4</v>
      </c>
      <c r="W3273" s="3" t="n">
        <f aca="false">SUM(R3273:T3273)</f>
        <v>0</v>
      </c>
      <c r="X3273" s="22" t="n">
        <v>41794</v>
      </c>
      <c r="Y3273" s="22" t="n">
        <v>41799</v>
      </c>
    </row>
    <row r="3274" customFormat="false" ht="14.25" hidden="false" customHeight="false" outlineLevel="0" collapsed="false">
      <c r="A3274" s="1" t="n">
        <v>2014</v>
      </c>
      <c r="B3274" s="1" t="n">
        <v>1</v>
      </c>
      <c r="C3274" s="2" t="s">
        <v>44</v>
      </c>
      <c r="D3274" s="3" t="s">
        <v>45</v>
      </c>
      <c r="E3274" s="3" t="n">
        <v>2</v>
      </c>
      <c r="F3274" s="1" t="n">
        <f aca="false">Y3274-X3274</f>
        <v>5</v>
      </c>
      <c r="G3274" s="1" t="n">
        <v>5</v>
      </c>
      <c r="H3274" s="3" t="s">
        <v>72</v>
      </c>
      <c r="I3274" s="3" t="s">
        <v>152</v>
      </c>
      <c r="J3274" s="3" t="s">
        <v>153</v>
      </c>
      <c r="K3274" s="2" t="str">
        <f aca="false">CONCATENATE(I3274," ",J3274)</f>
        <v>Callilepis nocturna</v>
      </c>
      <c r="L3274" s="3" t="n">
        <f aca="false">SUM(P3274:U3274)</f>
        <v>1</v>
      </c>
      <c r="M3274" s="11" t="n">
        <f aca="false">(L3274/(F3274*G3274)*25)*4</f>
        <v>4</v>
      </c>
      <c r="N3274" s="1" t="s">
        <v>30</v>
      </c>
      <c r="O3274" s="1" t="s">
        <v>35</v>
      </c>
      <c r="P3274" s="3" t="n">
        <v>0</v>
      </c>
      <c r="Q3274" s="3" t="n">
        <v>1</v>
      </c>
      <c r="R3274" s="3" t="n">
        <v>0</v>
      </c>
      <c r="S3274" s="3" t="n">
        <v>0</v>
      </c>
      <c r="T3274" s="3" t="n">
        <v>0</v>
      </c>
      <c r="U3274" s="3" t="n">
        <v>0</v>
      </c>
      <c r="V3274" s="3" t="n">
        <f aca="false">SUM(P3274:Q3274)</f>
        <v>1</v>
      </c>
      <c r="W3274" s="3" t="n">
        <f aca="false">SUM(R3274:T3274)</f>
        <v>0</v>
      </c>
      <c r="X3274" s="22" t="n">
        <v>41794</v>
      </c>
      <c r="Y3274" s="22" t="n">
        <v>41799</v>
      </c>
    </row>
    <row r="3275" customFormat="false" ht="14.25" hidden="false" customHeight="false" outlineLevel="0" collapsed="false">
      <c r="A3275" s="1" t="n">
        <v>2014</v>
      </c>
      <c r="B3275" s="1" t="n">
        <v>1</v>
      </c>
      <c r="C3275" s="2" t="s">
        <v>44</v>
      </c>
      <c r="D3275" s="3" t="s">
        <v>45</v>
      </c>
      <c r="E3275" s="3" t="n">
        <v>2</v>
      </c>
      <c r="F3275" s="1" t="n">
        <f aca="false">Y3275-X3275</f>
        <v>5</v>
      </c>
      <c r="G3275" s="1" t="n">
        <v>5</v>
      </c>
      <c r="H3275" s="3" t="s">
        <v>72</v>
      </c>
      <c r="I3275" s="3" t="s">
        <v>57</v>
      </c>
      <c r="J3275" s="3" t="s">
        <v>38</v>
      </c>
      <c r="K3275" s="2" t="str">
        <f aca="false">CONCATENATE(I3275," ",J3275)</f>
        <v>Gen sp</v>
      </c>
      <c r="L3275" s="3" t="n">
        <f aca="false">SUM(P3275:U3275)</f>
        <v>1</v>
      </c>
      <c r="M3275" s="11" t="n">
        <f aca="false">(L3275/(F3275*G3275)*25)*4</f>
        <v>4</v>
      </c>
      <c r="N3275" s="1" t="s">
        <v>19</v>
      </c>
      <c r="O3275" s="1" t="s">
        <v>54</v>
      </c>
      <c r="P3275" s="3" t="n">
        <v>0</v>
      </c>
      <c r="Q3275" s="3" t="n">
        <v>0</v>
      </c>
      <c r="R3275" s="3" t="n">
        <v>0</v>
      </c>
      <c r="S3275" s="3" t="n">
        <v>0</v>
      </c>
      <c r="T3275" s="3" t="n">
        <v>1</v>
      </c>
      <c r="U3275" s="3" t="n">
        <v>0</v>
      </c>
      <c r="V3275" s="3" t="n">
        <f aca="false">SUM(P3275:Q3275)</f>
        <v>0</v>
      </c>
      <c r="W3275" s="3" t="n">
        <f aca="false">SUM(R3275:T3275)</f>
        <v>1</v>
      </c>
      <c r="X3275" s="22" t="n">
        <v>41794</v>
      </c>
      <c r="Y3275" s="22" t="n">
        <v>41799</v>
      </c>
    </row>
    <row r="3276" customFormat="false" ht="14.25" hidden="false" customHeight="false" outlineLevel="0" collapsed="false">
      <c r="A3276" s="1" t="n">
        <v>2014</v>
      </c>
      <c r="B3276" s="1" t="n">
        <v>1</v>
      </c>
      <c r="C3276" s="2" t="s">
        <v>44</v>
      </c>
      <c r="D3276" s="3" t="s">
        <v>45</v>
      </c>
      <c r="E3276" s="3" t="n">
        <v>1</v>
      </c>
      <c r="F3276" s="1" t="n">
        <f aca="false">Y3276-X3276</f>
        <v>5</v>
      </c>
      <c r="G3276" s="1" t="n">
        <v>5</v>
      </c>
      <c r="H3276" s="3" t="s">
        <v>48</v>
      </c>
      <c r="I3276" s="3" t="s">
        <v>122</v>
      </c>
      <c r="J3276" s="3" t="s">
        <v>123</v>
      </c>
      <c r="K3276" s="2" t="str">
        <f aca="false">CONCATENATE(I3276," ",J3276)</f>
        <v>Xerolycosa nemoralis</v>
      </c>
      <c r="L3276" s="3" t="n">
        <f aca="false">SUM(P3276:U3276)</f>
        <v>4</v>
      </c>
      <c r="M3276" s="11" t="n">
        <f aca="false">(L3276/(F3276*G3276)*25)*4</f>
        <v>16</v>
      </c>
      <c r="N3276" s="1" t="s">
        <v>30</v>
      </c>
      <c r="O3276" s="1" t="s">
        <v>31</v>
      </c>
      <c r="P3276" s="3" t="n">
        <v>4</v>
      </c>
      <c r="Q3276" s="3" t="n">
        <v>0</v>
      </c>
      <c r="R3276" s="3" t="n">
        <v>0</v>
      </c>
      <c r="S3276" s="3" t="n">
        <v>0</v>
      </c>
      <c r="T3276" s="3" t="n">
        <v>0</v>
      </c>
      <c r="U3276" s="3" t="n">
        <v>0</v>
      </c>
      <c r="V3276" s="3" t="n">
        <f aca="false">SUM(P3276:Q3276)</f>
        <v>4</v>
      </c>
      <c r="W3276" s="3" t="n">
        <f aca="false">SUM(R3276:T3276)</f>
        <v>0</v>
      </c>
      <c r="X3276" s="22" t="n">
        <v>41794</v>
      </c>
      <c r="Y3276" s="22" t="n">
        <v>41799</v>
      </c>
    </row>
    <row r="3277" customFormat="false" ht="14.25" hidden="false" customHeight="false" outlineLevel="0" collapsed="false">
      <c r="A3277" s="1" t="n">
        <v>2014</v>
      </c>
      <c r="B3277" s="1" t="n">
        <v>1</v>
      </c>
      <c r="C3277" s="2" t="s">
        <v>44</v>
      </c>
      <c r="D3277" s="3" t="s">
        <v>45</v>
      </c>
      <c r="E3277" s="3" t="n">
        <v>1</v>
      </c>
      <c r="F3277" s="1" t="n">
        <f aca="false">Y3277-X3277</f>
        <v>5</v>
      </c>
      <c r="G3277" s="1" t="n">
        <v>5</v>
      </c>
      <c r="H3277" s="3" t="s">
        <v>48</v>
      </c>
      <c r="I3277" s="3" t="s">
        <v>122</v>
      </c>
      <c r="J3277" s="3" t="s">
        <v>123</v>
      </c>
      <c r="K3277" s="2" t="str">
        <f aca="false">CONCATENATE(I3277," ",J3277)</f>
        <v>Xerolycosa nemoralis</v>
      </c>
      <c r="L3277" s="3" t="n">
        <f aca="false">SUM(P3277:U3277)</f>
        <v>1</v>
      </c>
      <c r="M3277" s="11" t="n">
        <f aca="false">(L3277/(F3277*G3277)*25)*4</f>
        <v>4</v>
      </c>
      <c r="N3277" s="1" t="s">
        <v>19</v>
      </c>
      <c r="O3277" s="1" t="s">
        <v>54</v>
      </c>
      <c r="P3277" s="3" t="n">
        <v>0</v>
      </c>
      <c r="Q3277" s="3" t="n">
        <v>0</v>
      </c>
      <c r="R3277" s="3" t="n">
        <v>0</v>
      </c>
      <c r="S3277" s="3" t="n">
        <v>0</v>
      </c>
      <c r="T3277" s="3" t="n">
        <v>1</v>
      </c>
      <c r="U3277" s="3" t="n">
        <v>0</v>
      </c>
      <c r="V3277" s="3" t="n">
        <f aca="false">SUM(P3277:Q3277)</f>
        <v>0</v>
      </c>
      <c r="W3277" s="3" t="n">
        <f aca="false">SUM(R3277:T3277)</f>
        <v>1</v>
      </c>
      <c r="X3277" s="22" t="n">
        <v>41794</v>
      </c>
      <c r="Y3277" s="22" t="n">
        <v>41799</v>
      </c>
    </row>
    <row r="3278" customFormat="false" ht="14.25" hidden="false" customHeight="false" outlineLevel="0" collapsed="false">
      <c r="A3278" s="1" t="n">
        <v>2014</v>
      </c>
      <c r="B3278" s="1" t="n">
        <v>1</v>
      </c>
      <c r="C3278" s="2" t="s">
        <v>44</v>
      </c>
      <c r="D3278" s="3" t="s">
        <v>45</v>
      </c>
      <c r="E3278" s="3" t="n">
        <v>1</v>
      </c>
      <c r="F3278" s="1" t="n">
        <f aca="false">Y3278-X3278</f>
        <v>5</v>
      </c>
      <c r="G3278" s="1" t="n">
        <v>5</v>
      </c>
      <c r="H3278" s="3" t="s">
        <v>72</v>
      </c>
      <c r="I3278" s="3" t="s">
        <v>242</v>
      </c>
      <c r="J3278" s="3" t="s">
        <v>166</v>
      </c>
      <c r="K3278" s="2" t="str">
        <f aca="false">CONCATENATE(I3278," ",J3278)</f>
        <v>Drassyllus pusillus</v>
      </c>
      <c r="L3278" s="3" t="n">
        <f aca="false">SUM(P3278:U3278)</f>
        <v>1</v>
      </c>
      <c r="M3278" s="11" t="n">
        <f aca="false">(L3278/(F3278*G3278)*25)*4</f>
        <v>4</v>
      </c>
      <c r="N3278" s="1" t="s">
        <v>30</v>
      </c>
      <c r="O3278" s="1" t="s">
        <v>31</v>
      </c>
      <c r="P3278" s="3" t="n">
        <v>1</v>
      </c>
      <c r="Q3278" s="3" t="n">
        <v>0</v>
      </c>
      <c r="R3278" s="3" t="n">
        <v>0</v>
      </c>
      <c r="S3278" s="3" t="n">
        <v>0</v>
      </c>
      <c r="T3278" s="3" t="n">
        <v>0</v>
      </c>
      <c r="U3278" s="3" t="n">
        <v>0</v>
      </c>
      <c r="V3278" s="3" t="n">
        <f aca="false">SUM(P3278:Q3278)</f>
        <v>1</v>
      </c>
      <c r="W3278" s="3" t="n">
        <f aca="false">SUM(R3278:T3278)</f>
        <v>0</v>
      </c>
      <c r="X3278" s="22" t="n">
        <v>41794</v>
      </c>
      <c r="Y3278" s="22" t="n">
        <v>41799</v>
      </c>
    </row>
    <row r="3279" customFormat="false" ht="14.25" hidden="false" customHeight="false" outlineLevel="0" collapsed="false">
      <c r="A3279" s="1" t="n">
        <v>2014</v>
      </c>
      <c r="B3279" s="1" t="n">
        <v>1</v>
      </c>
      <c r="C3279" s="2" t="s">
        <v>44</v>
      </c>
      <c r="D3279" s="3" t="s">
        <v>45</v>
      </c>
      <c r="E3279" s="3" t="n">
        <v>3</v>
      </c>
      <c r="F3279" s="1" t="n">
        <f aca="false">Y3279-X3279</f>
        <v>5</v>
      </c>
      <c r="G3279" s="1" t="n">
        <v>5</v>
      </c>
      <c r="H3279" s="3" t="s">
        <v>48</v>
      </c>
      <c r="I3279" s="3" t="s">
        <v>122</v>
      </c>
      <c r="J3279" s="3" t="s">
        <v>123</v>
      </c>
      <c r="K3279" s="2" t="str">
        <f aca="false">CONCATENATE(I3279," ",J3279)</f>
        <v>Xerolycosa nemoralis</v>
      </c>
      <c r="L3279" s="3" t="n">
        <f aca="false">SUM(P3279:U3279)</f>
        <v>11</v>
      </c>
      <c r="M3279" s="11" t="n">
        <f aca="false">(L3279/(F3279*G3279)*25)*4</f>
        <v>44</v>
      </c>
      <c r="N3279" s="1" t="s">
        <v>30</v>
      </c>
      <c r="O3279" s="1" t="s">
        <v>31</v>
      </c>
      <c r="P3279" s="3" t="n">
        <v>11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f aca="false">SUM(P3279:Q3279)</f>
        <v>11</v>
      </c>
      <c r="W3279" s="3" t="n">
        <f aca="false">SUM(R3279:T3279)</f>
        <v>0</v>
      </c>
      <c r="X3279" s="22" t="n">
        <v>41794</v>
      </c>
      <c r="Y3279" s="22" t="n">
        <v>41799</v>
      </c>
    </row>
    <row r="3280" customFormat="false" ht="14.25" hidden="false" customHeight="false" outlineLevel="0" collapsed="false">
      <c r="A3280" s="1" t="n">
        <v>2014</v>
      </c>
      <c r="B3280" s="1" t="n">
        <v>1</v>
      </c>
      <c r="C3280" s="2" t="s">
        <v>44</v>
      </c>
      <c r="D3280" s="3" t="s">
        <v>45</v>
      </c>
      <c r="E3280" s="3" t="n">
        <v>3</v>
      </c>
      <c r="F3280" s="1" t="n">
        <f aca="false">Y3280-X3280</f>
        <v>5</v>
      </c>
      <c r="G3280" s="1" t="n">
        <v>5</v>
      </c>
      <c r="H3280" s="3" t="s">
        <v>48</v>
      </c>
      <c r="I3280" s="3" t="s">
        <v>122</v>
      </c>
      <c r="J3280" s="3" t="s">
        <v>123</v>
      </c>
      <c r="K3280" s="2" t="str">
        <f aca="false">CONCATENATE(I3280," ",J3280)</f>
        <v>Xerolycosa nemoralis</v>
      </c>
      <c r="L3280" s="3" t="n">
        <f aca="false">SUM(P3280:U3280)</f>
        <v>1</v>
      </c>
      <c r="M3280" s="11" t="n">
        <f aca="false">(L3280/(F3280*G3280)*25)*4</f>
        <v>4</v>
      </c>
      <c r="N3280" s="1" t="s">
        <v>30</v>
      </c>
      <c r="O3280" s="1" t="s">
        <v>35</v>
      </c>
      <c r="P3280" s="3" t="n">
        <v>0</v>
      </c>
      <c r="Q3280" s="3" t="n">
        <v>1</v>
      </c>
      <c r="R3280" s="3" t="n">
        <v>0</v>
      </c>
      <c r="S3280" s="3" t="n">
        <v>0</v>
      </c>
      <c r="T3280" s="3" t="n">
        <v>0</v>
      </c>
      <c r="U3280" s="3" t="n">
        <v>0</v>
      </c>
      <c r="V3280" s="3" t="n">
        <f aca="false">SUM(P3280:Q3280)</f>
        <v>1</v>
      </c>
      <c r="W3280" s="3" t="n">
        <f aca="false">SUM(R3280:T3280)</f>
        <v>0</v>
      </c>
      <c r="X3280" s="22" t="n">
        <v>41794</v>
      </c>
      <c r="Y3280" s="22" t="n">
        <v>41799</v>
      </c>
    </row>
    <row r="3281" customFormat="false" ht="14.25" hidden="false" customHeight="false" outlineLevel="0" collapsed="false">
      <c r="A3281" s="1" t="n">
        <v>2014</v>
      </c>
      <c r="B3281" s="1" t="n">
        <v>1</v>
      </c>
      <c r="C3281" s="2" t="s">
        <v>44</v>
      </c>
      <c r="D3281" s="3" t="s">
        <v>45</v>
      </c>
      <c r="E3281" s="3" t="n">
        <v>3</v>
      </c>
      <c r="F3281" s="1" t="n">
        <f aca="false">Y3281-X3281</f>
        <v>5</v>
      </c>
      <c r="G3281" s="1" t="n">
        <v>5</v>
      </c>
      <c r="H3281" s="3" t="s">
        <v>48</v>
      </c>
      <c r="I3281" s="3" t="s">
        <v>122</v>
      </c>
      <c r="J3281" s="3" t="s">
        <v>123</v>
      </c>
      <c r="K3281" s="2" t="str">
        <f aca="false">CONCATENATE(I3281," ",J3281)</f>
        <v>Xerolycosa nemoralis</v>
      </c>
      <c r="L3281" s="3" t="n">
        <f aca="false">SUM(P3281:U3281)</f>
        <v>1</v>
      </c>
      <c r="M3281" s="11" t="n">
        <f aca="false">(L3281/(F3281*G3281)*25)*4</f>
        <v>4</v>
      </c>
      <c r="N3281" s="1" t="s">
        <v>19</v>
      </c>
      <c r="O3281" s="1" t="s">
        <v>54</v>
      </c>
      <c r="P3281" s="3" t="n">
        <v>0</v>
      </c>
      <c r="Q3281" s="3" t="n">
        <v>0</v>
      </c>
      <c r="R3281" s="3" t="n">
        <v>0</v>
      </c>
      <c r="S3281" s="3" t="n">
        <v>0</v>
      </c>
      <c r="T3281" s="3" t="n">
        <v>1</v>
      </c>
      <c r="U3281" s="3" t="n">
        <v>0</v>
      </c>
      <c r="V3281" s="3" t="n">
        <f aca="false">SUM(P3281:Q3281)</f>
        <v>0</v>
      </c>
      <c r="W3281" s="3" t="n">
        <f aca="false">SUM(R3281:T3281)</f>
        <v>1</v>
      </c>
      <c r="X3281" s="22" t="n">
        <v>41794</v>
      </c>
      <c r="Y3281" s="22" t="n">
        <v>41799</v>
      </c>
    </row>
    <row r="3282" customFormat="false" ht="14.25" hidden="false" customHeight="false" outlineLevel="0" collapsed="false">
      <c r="A3282" s="1" t="n">
        <v>2014</v>
      </c>
      <c r="B3282" s="1" t="n">
        <v>1</v>
      </c>
      <c r="C3282" s="2" t="s">
        <v>44</v>
      </c>
      <c r="D3282" s="3" t="s">
        <v>45</v>
      </c>
      <c r="E3282" s="3" t="n">
        <v>3</v>
      </c>
      <c r="F3282" s="1" t="n">
        <f aca="false">Y3282-X3282</f>
        <v>5</v>
      </c>
      <c r="G3282" s="1" t="n">
        <v>5</v>
      </c>
      <c r="H3282" s="3" t="s">
        <v>48</v>
      </c>
      <c r="I3282" s="3" t="s">
        <v>49</v>
      </c>
      <c r="J3282" s="3" t="s">
        <v>130</v>
      </c>
      <c r="K3282" s="2" t="str">
        <f aca="false">CONCATENATE(I3282," ",J3282)</f>
        <v>Alopecosa aculeata</v>
      </c>
      <c r="L3282" s="3" t="n">
        <f aca="false">SUM(P3282:U3282)</f>
        <v>1</v>
      </c>
      <c r="M3282" s="11" t="n">
        <f aca="false">(L3282/(F3282*G3282)*25)*4</f>
        <v>4</v>
      </c>
      <c r="N3282" s="1" t="s">
        <v>30</v>
      </c>
      <c r="O3282" s="1" t="s">
        <v>35</v>
      </c>
      <c r="P3282" s="3" t="n">
        <v>0</v>
      </c>
      <c r="Q3282" s="3" t="n">
        <v>1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f aca="false">SUM(P3282:Q3282)</f>
        <v>1</v>
      </c>
      <c r="W3282" s="3" t="n">
        <f aca="false">SUM(R3282:T3282)</f>
        <v>0</v>
      </c>
      <c r="X3282" s="22" t="n">
        <v>41794</v>
      </c>
      <c r="Y3282" s="22" t="n">
        <v>41799</v>
      </c>
    </row>
    <row r="3283" customFormat="false" ht="14.25" hidden="false" customHeight="false" outlineLevel="0" collapsed="false">
      <c r="A3283" s="1" t="n">
        <v>2014</v>
      </c>
      <c r="B3283" s="1" t="n">
        <v>1</v>
      </c>
      <c r="C3283" s="2" t="s">
        <v>44</v>
      </c>
      <c r="D3283" s="3" t="s">
        <v>45</v>
      </c>
      <c r="E3283" s="3" t="n">
        <v>3</v>
      </c>
      <c r="F3283" s="1" t="n">
        <f aca="false">Y3283-X3283</f>
        <v>5</v>
      </c>
      <c r="G3283" s="1" t="n">
        <v>5</v>
      </c>
      <c r="H3283" s="3" t="s">
        <v>72</v>
      </c>
      <c r="I3283" s="3" t="s">
        <v>152</v>
      </c>
      <c r="J3283" s="3" t="s">
        <v>153</v>
      </c>
      <c r="K3283" s="2" t="str">
        <f aca="false">CONCATENATE(I3283," ",J3283)</f>
        <v>Callilepis nocturna</v>
      </c>
      <c r="L3283" s="3" t="n">
        <f aca="false">SUM(P3283:U3283)</f>
        <v>1</v>
      </c>
      <c r="M3283" s="11" t="n">
        <f aca="false">(L3283/(F3283*G3283)*25)*4</f>
        <v>4</v>
      </c>
      <c r="N3283" s="1" t="s">
        <v>30</v>
      </c>
      <c r="O3283" s="1" t="s">
        <v>35</v>
      </c>
      <c r="P3283" s="3" t="n">
        <v>0</v>
      </c>
      <c r="Q3283" s="3" t="n">
        <v>1</v>
      </c>
      <c r="R3283" s="3" t="n">
        <v>0</v>
      </c>
      <c r="S3283" s="3" t="n">
        <v>0</v>
      </c>
      <c r="T3283" s="3" t="n">
        <v>0</v>
      </c>
      <c r="U3283" s="3" t="n">
        <v>0</v>
      </c>
      <c r="V3283" s="3" t="n">
        <f aca="false">SUM(P3283:Q3283)</f>
        <v>1</v>
      </c>
      <c r="W3283" s="3" t="n">
        <f aca="false">SUM(R3283:T3283)</f>
        <v>0</v>
      </c>
      <c r="X3283" s="22" t="n">
        <v>41794</v>
      </c>
      <c r="Y3283" s="22" t="n">
        <v>41799</v>
      </c>
    </row>
    <row r="3284" customFormat="false" ht="14.25" hidden="false" customHeight="false" outlineLevel="0" collapsed="false">
      <c r="A3284" s="1" t="n">
        <v>2014</v>
      </c>
      <c r="B3284" s="1" t="n">
        <v>1</v>
      </c>
      <c r="C3284" s="2" t="s">
        <v>44</v>
      </c>
      <c r="D3284" s="3" t="s">
        <v>45</v>
      </c>
      <c r="E3284" s="3" t="n">
        <v>3</v>
      </c>
      <c r="F3284" s="1" t="n">
        <f aca="false">Y3284-X3284</f>
        <v>5</v>
      </c>
      <c r="G3284" s="1" t="n">
        <v>5</v>
      </c>
      <c r="H3284" s="3" t="s">
        <v>72</v>
      </c>
      <c r="I3284" s="3" t="s">
        <v>73</v>
      </c>
      <c r="J3284" s="3" t="s">
        <v>74</v>
      </c>
      <c r="K3284" s="2" t="str">
        <f aca="false">CONCATENATE(I3284," ",J3284)</f>
        <v>Zelotes subterraneus</v>
      </c>
      <c r="L3284" s="3" t="n">
        <f aca="false">SUM(P3284:U3284)</f>
        <v>1</v>
      </c>
      <c r="M3284" s="11" t="n">
        <f aca="false">(L3284/(F3284*G3284)*25)*4</f>
        <v>4</v>
      </c>
      <c r="N3284" s="1" t="s">
        <v>30</v>
      </c>
      <c r="O3284" s="1" t="s">
        <v>35</v>
      </c>
      <c r="P3284" s="3" t="n">
        <v>0</v>
      </c>
      <c r="Q3284" s="3" t="n">
        <v>1</v>
      </c>
      <c r="R3284" s="3" t="n">
        <v>0</v>
      </c>
      <c r="S3284" s="3" t="n">
        <v>0</v>
      </c>
      <c r="T3284" s="3" t="n">
        <v>0</v>
      </c>
      <c r="U3284" s="3" t="n">
        <v>0</v>
      </c>
      <c r="V3284" s="3" t="n">
        <f aca="false">SUM(P3284:Q3284)</f>
        <v>1</v>
      </c>
      <c r="W3284" s="3" t="n">
        <f aca="false">SUM(R3284:T3284)</f>
        <v>0</v>
      </c>
      <c r="X3284" s="22" t="n">
        <v>41794</v>
      </c>
      <c r="Y3284" s="22" t="n">
        <v>41799</v>
      </c>
    </row>
    <row r="3285" customFormat="false" ht="14.25" hidden="false" customHeight="false" outlineLevel="0" collapsed="false">
      <c r="A3285" s="1" t="n">
        <v>2014</v>
      </c>
      <c r="B3285" s="1" t="n">
        <v>1</v>
      </c>
      <c r="C3285" s="2" t="s">
        <v>44</v>
      </c>
      <c r="D3285" s="3" t="s">
        <v>45</v>
      </c>
      <c r="E3285" s="3" t="n">
        <v>2</v>
      </c>
      <c r="F3285" s="1" t="n">
        <f aca="false">Y3285-X3285</f>
        <v>5</v>
      </c>
      <c r="G3285" s="1" t="n">
        <v>5</v>
      </c>
      <c r="H3285" s="3" t="s">
        <v>48</v>
      </c>
      <c r="I3285" s="3" t="s">
        <v>122</v>
      </c>
      <c r="J3285" s="3" t="s">
        <v>123</v>
      </c>
      <c r="K3285" s="2" t="str">
        <f aca="false">CONCATENATE(I3285," ",J3285)</f>
        <v>Xerolycosa nemoralis</v>
      </c>
      <c r="L3285" s="3" t="n">
        <f aca="false">SUM(P3285:U3285)</f>
        <v>4</v>
      </c>
      <c r="M3285" s="11" t="n">
        <f aca="false">(L3285/(F3285*G3285)*25)*4</f>
        <v>16</v>
      </c>
      <c r="N3285" s="1" t="s">
        <v>30</v>
      </c>
      <c r="O3285" s="1" t="s">
        <v>31</v>
      </c>
      <c r="P3285" s="3" t="n">
        <v>4</v>
      </c>
      <c r="Q3285" s="3" t="n">
        <v>0</v>
      </c>
      <c r="R3285" s="3" t="n">
        <v>0</v>
      </c>
      <c r="S3285" s="3" t="n">
        <v>0</v>
      </c>
      <c r="T3285" s="3" t="n">
        <v>0</v>
      </c>
      <c r="U3285" s="3" t="n">
        <v>0</v>
      </c>
      <c r="V3285" s="3" t="n">
        <f aca="false">SUM(P3285:Q3285)</f>
        <v>4</v>
      </c>
      <c r="W3285" s="3" t="n">
        <f aca="false">SUM(R3285:T3285)</f>
        <v>0</v>
      </c>
      <c r="X3285" s="22" t="n">
        <v>41794</v>
      </c>
      <c r="Y3285" s="22" t="n">
        <v>41799</v>
      </c>
    </row>
    <row r="3286" customFormat="false" ht="14.25" hidden="false" customHeight="false" outlineLevel="0" collapsed="false">
      <c r="A3286" s="1" t="n">
        <v>2014</v>
      </c>
      <c r="B3286" s="1" t="n">
        <v>1</v>
      </c>
      <c r="C3286" s="2" t="s">
        <v>44</v>
      </c>
      <c r="D3286" s="3" t="s">
        <v>45</v>
      </c>
      <c r="E3286" s="3" t="n">
        <v>2</v>
      </c>
      <c r="F3286" s="1" t="n">
        <f aca="false">Y3286-X3286</f>
        <v>5</v>
      </c>
      <c r="G3286" s="1" t="n">
        <v>5</v>
      </c>
      <c r="H3286" s="3" t="s">
        <v>48</v>
      </c>
      <c r="I3286" s="3" t="s">
        <v>49</v>
      </c>
      <c r="J3286" s="3" t="s">
        <v>119</v>
      </c>
      <c r="K3286" s="2" t="str">
        <f aca="false">CONCATENATE(I3286," ",J3286)</f>
        <v>Alopecosa sulzeri</v>
      </c>
      <c r="L3286" s="3" t="n">
        <f aca="false">SUM(P3286:U3286)</f>
        <v>1</v>
      </c>
      <c r="M3286" s="11" t="n">
        <f aca="false">(L3286/(F3286*G3286)*25)*4</f>
        <v>4</v>
      </c>
      <c r="N3286" s="1" t="s">
        <v>30</v>
      </c>
      <c r="O3286" s="1" t="s">
        <v>31</v>
      </c>
      <c r="P3286" s="3" t="n">
        <v>1</v>
      </c>
      <c r="Q3286" s="3" t="n">
        <v>0</v>
      </c>
      <c r="R3286" s="3" t="n">
        <v>0</v>
      </c>
      <c r="S3286" s="3" t="n">
        <v>0</v>
      </c>
      <c r="T3286" s="3" t="n">
        <v>0</v>
      </c>
      <c r="U3286" s="3" t="n">
        <v>0</v>
      </c>
      <c r="V3286" s="3" t="n">
        <f aca="false">SUM(P3286:Q3286)</f>
        <v>1</v>
      </c>
      <c r="W3286" s="3" t="n">
        <f aca="false">SUM(R3286:T3286)</f>
        <v>0</v>
      </c>
      <c r="X3286" s="22" t="n">
        <v>41794</v>
      </c>
      <c r="Y3286" s="22" t="n">
        <v>41799</v>
      </c>
    </row>
    <row r="3287" customFormat="false" ht="14.25" hidden="false" customHeight="false" outlineLevel="0" collapsed="false">
      <c r="A3287" s="1" t="n">
        <v>2014</v>
      </c>
      <c r="B3287" s="1" t="n">
        <v>1</v>
      </c>
      <c r="C3287" s="2" t="s">
        <v>44</v>
      </c>
      <c r="D3287" s="3" t="s">
        <v>45</v>
      </c>
      <c r="E3287" s="3" t="n">
        <v>2</v>
      </c>
      <c r="F3287" s="1" t="n">
        <f aca="false">Y3287-X3287</f>
        <v>5</v>
      </c>
      <c r="G3287" s="1" t="n">
        <v>5</v>
      </c>
      <c r="H3287" s="3" t="s">
        <v>48</v>
      </c>
      <c r="I3287" s="3" t="s">
        <v>61</v>
      </c>
      <c r="J3287" s="3" t="s">
        <v>38</v>
      </c>
      <c r="K3287" s="2" t="str">
        <f aca="false">CONCATENATE(I3287," ",J3287)</f>
        <v>Trochosa sp</v>
      </c>
      <c r="L3287" s="3" t="n">
        <f aca="false">SUM(P3287:U3287)</f>
        <v>1</v>
      </c>
      <c r="M3287" s="11" t="n">
        <f aca="false">(L3287/(F3287*G3287)*25)*4</f>
        <v>4</v>
      </c>
      <c r="N3287" s="1" t="s">
        <v>19</v>
      </c>
      <c r="O3287" s="1" t="s">
        <v>35</v>
      </c>
      <c r="P3287" s="3" t="n">
        <v>0</v>
      </c>
      <c r="Q3287" s="3" t="n">
        <v>0</v>
      </c>
      <c r="R3287" s="3" t="n">
        <v>0</v>
      </c>
      <c r="S3287" s="3" t="n">
        <v>1</v>
      </c>
      <c r="T3287" s="3" t="n">
        <v>0</v>
      </c>
      <c r="U3287" s="3" t="n">
        <v>0</v>
      </c>
      <c r="V3287" s="3" t="n">
        <f aca="false">SUM(P3287:Q3287)</f>
        <v>0</v>
      </c>
      <c r="W3287" s="3" t="n">
        <f aca="false">SUM(R3287:T3287)</f>
        <v>1</v>
      </c>
      <c r="X3287" s="22" t="n">
        <v>41794</v>
      </c>
      <c r="Y3287" s="22" t="n">
        <v>41799</v>
      </c>
    </row>
    <row r="3288" customFormat="false" ht="14.25" hidden="false" customHeight="false" outlineLevel="0" collapsed="false">
      <c r="A3288" s="1" t="n">
        <v>2014</v>
      </c>
      <c r="B3288" s="1" t="n">
        <v>1</v>
      </c>
      <c r="C3288" s="2" t="s">
        <v>44</v>
      </c>
      <c r="D3288" s="3" t="s">
        <v>45</v>
      </c>
      <c r="E3288" s="3" t="n">
        <v>2</v>
      </c>
      <c r="F3288" s="1" t="n">
        <f aca="false">Y3288-X3288</f>
        <v>5</v>
      </c>
      <c r="G3288" s="1" t="n">
        <v>5</v>
      </c>
      <c r="H3288" s="3" t="s">
        <v>27</v>
      </c>
      <c r="I3288" s="3" t="s">
        <v>46</v>
      </c>
      <c r="J3288" s="3" t="s">
        <v>47</v>
      </c>
      <c r="K3288" s="2" t="str">
        <f aca="false">CONCATENATE(I3288," ",J3288)</f>
        <v>Euryopis flavomaculata</v>
      </c>
      <c r="L3288" s="3" t="n">
        <f aca="false">SUM(P3288:U3288)</f>
        <v>1</v>
      </c>
      <c r="M3288" s="11" t="n">
        <f aca="false">(L3288/(F3288*G3288)*25)*4</f>
        <v>4</v>
      </c>
      <c r="N3288" s="1" t="s">
        <v>30</v>
      </c>
      <c r="O3288" s="1" t="s">
        <v>31</v>
      </c>
      <c r="P3288" s="3" t="n">
        <v>1</v>
      </c>
      <c r="Q3288" s="3" t="n">
        <v>0</v>
      </c>
      <c r="R3288" s="3" t="n">
        <v>0</v>
      </c>
      <c r="S3288" s="3" t="n">
        <v>0</v>
      </c>
      <c r="T3288" s="3" t="n">
        <v>0</v>
      </c>
      <c r="U3288" s="3" t="n">
        <v>0</v>
      </c>
      <c r="V3288" s="3" t="n">
        <f aca="false">SUM(P3288:Q3288)</f>
        <v>1</v>
      </c>
      <c r="W3288" s="3" t="n">
        <f aca="false">SUM(R3288:T3288)</f>
        <v>0</v>
      </c>
      <c r="X3288" s="22" t="n">
        <v>41794</v>
      </c>
      <c r="Y3288" s="22" t="n">
        <v>41799</v>
      </c>
    </row>
    <row r="3289" customFormat="false" ht="14.25" hidden="false" customHeight="false" outlineLevel="0" collapsed="false">
      <c r="A3289" s="1" t="n">
        <v>2014</v>
      </c>
      <c r="B3289" s="1" t="n">
        <v>1</v>
      </c>
      <c r="C3289" s="2" t="s">
        <v>44</v>
      </c>
      <c r="D3289" s="3" t="s">
        <v>45</v>
      </c>
      <c r="E3289" s="3" t="n">
        <v>2</v>
      </c>
      <c r="F3289" s="1" t="n">
        <f aca="false">Y3289-X3289</f>
        <v>5</v>
      </c>
      <c r="G3289" s="1" t="n">
        <v>5</v>
      </c>
      <c r="H3289" s="3" t="s">
        <v>72</v>
      </c>
      <c r="I3289" s="3" t="s">
        <v>73</v>
      </c>
      <c r="J3289" s="3" t="s">
        <v>38</v>
      </c>
      <c r="K3289" s="2" t="str">
        <f aca="false">CONCATENATE(I3289," ",J3289)</f>
        <v>Zelotes sp</v>
      </c>
      <c r="L3289" s="3" t="n">
        <f aca="false">SUM(P3289:U3289)</f>
        <v>1</v>
      </c>
      <c r="M3289" s="11" t="n">
        <f aca="false">(L3289/(F3289*G3289)*25)*4</f>
        <v>4</v>
      </c>
      <c r="N3289" s="1" t="s">
        <v>19</v>
      </c>
      <c r="O3289" s="1" t="s">
        <v>54</v>
      </c>
      <c r="P3289" s="3" t="n">
        <v>0</v>
      </c>
      <c r="Q3289" s="3" t="n">
        <v>0</v>
      </c>
      <c r="R3289" s="3" t="n">
        <v>0</v>
      </c>
      <c r="S3289" s="3" t="n">
        <v>0</v>
      </c>
      <c r="T3289" s="3" t="n">
        <v>1</v>
      </c>
      <c r="U3289" s="3" t="n">
        <v>0</v>
      </c>
      <c r="V3289" s="3" t="n">
        <f aca="false">SUM(P3289:Q3289)</f>
        <v>0</v>
      </c>
      <c r="W3289" s="3" t="n">
        <f aca="false">SUM(R3289:T3289)</f>
        <v>1</v>
      </c>
      <c r="X3289" s="22" t="n">
        <v>41794</v>
      </c>
      <c r="Y3289" s="22" t="n">
        <v>41799</v>
      </c>
    </row>
    <row r="3290" customFormat="false" ht="14.25" hidden="false" customHeight="false" outlineLevel="0" collapsed="false">
      <c r="A3290" s="1" t="n">
        <v>2014</v>
      </c>
      <c r="B3290" s="1" t="n">
        <v>1</v>
      </c>
      <c r="C3290" s="2" t="s">
        <v>44</v>
      </c>
      <c r="D3290" s="3" t="s">
        <v>45</v>
      </c>
      <c r="E3290" s="3" t="n">
        <v>3</v>
      </c>
      <c r="F3290" s="1" t="n">
        <f aca="false">Y3290-X3290</f>
        <v>5</v>
      </c>
      <c r="G3290" s="1" t="n">
        <v>5</v>
      </c>
      <c r="H3290" s="3" t="s">
        <v>36</v>
      </c>
      <c r="I3290" s="3" t="s">
        <v>256</v>
      </c>
      <c r="J3290" s="3" t="s">
        <v>257</v>
      </c>
      <c r="K3290" s="2" t="str">
        <f aca="false">CONCATENATE(I3290," ",J3290)</f>
        <v>Bassaniodes robustus</v>
      </c>
      <c r="L3290" s="3" t="n">
        <f aca="false">SUM(P3290:U3290)</f>
        <v>1</v>
      </c>
      <c r="M3290" s="11" t="n">
        <f aca="false">(L3290/(F3290*G3290)*25)*4</f>
        <v>4</v>
      </c>
      <c r="N3290" s="1" t="s">
        <v>30</v>
      </c>
      <c r="O3290" s="1" t="s">
        <v>31</v>
      </c>
      <c r="P3290" s="3" t="n">
        <v>1</v>
      </c>
      <c r="Q3290" s="3" t="n">
        <v>0</v>
      </c>
      <c r="R3290" s="3" t="n">
        <v>0</v>
      </c>
      <c r="S3290" s="3" t="n">
        <v>0</v>
      </c>
      <c r="T3290" s="3" t="n">
        <v>0</v>
      </c>
      <c r="U3290" s="3" t="n">
        <v>0</v>
      </c>
      <c r="V3290" s="3" t="n">
        <f aca="false">SUM(P3290:Q3290)</f>
        <v>1</v>
      </c>
      <c r="W3290" s="3" t="n">
        <f aca="false">SUM(R3290:T3290)</f>
        <v>0</v>
      </c>
      <c r="X3290" s="22" t="n">
        <v>41794</v>
      </c>
      <c r="Y3290" s="22" t="n">
        <v>41799</v>
      </c>
    </row>
    <row r="3291" customFormat="false" ht="14.25" hidden="false" customHeight="false" outlineLevel="0" collapsed="false">
      <c r="A3291" s="1" t="n">
        <v>2014</v>
      </c>
      <c r="B3291" s="1" t="n">
        <v>1</v>
      </c>
      <c r="C3291" s="2" t="s">
        <v>44</v>
      </c>
      <c r="D3291" s="3" t="s">
        <v>45</v>
      </c>
      <c r="E3291" s="3" t="n">
        <v>3</v>
      </c>
      <c r="F3291" s="1" t="n">
        <f aca="false">Y3291-X3291</f>
        <v>5</v>
      </c>
      <c r="G3291" s="1" t="n">
        <v>5</v>
      </c>
      <c r="H3291" s="3" t="s">
        <v>48</v>
      </c>
      <c r="I3291" s="3" t="s">
        <v>122</v>
      </c>
      <c r="J3291" s="3" t="s">
        <v>123</v>
      </c>
      <c r="K3291" s="2" t="str">
        <f aca="false">CONCATENATE(I3291," ",J3291)</f>
        <v>Xerolycosa nemoralis</v>
      </c>
      <c r="L3291" s="3" t="n">
        <f aca="false">SUM(P3291:U3291)</f>
        <v>3</v>
      </c>
      <c r="M3291" s="11" t="n">
        <f aca="false">(L3291/(F3291*G3291)*25)*4</f>
        <v>12</v>
      </c>
      <c r="N3291" s="1" t="s">
        <v>30</v>
      </c>
      <c r="O3291" s="1" t="s">
        <v>31</v>
      </c>
      <c r="P3291" s="3" t="n">
        <v>3</v>
      </c>
      <c r="Q3291" s="3" t="n">
        <v>0</v>
      </c>
      <c r="R3291" s="3" t="n">
        <v>0</v>
      </c>
      <c r="S3291" s="3" t="n">
        <v>0</v>
      </c>
      <c r="T3291" s="3" t="n">
        <v>0</v>
      </c>
      <c r="U3291" s="3" t="n">
        <v>0</v>
      </c>
      <c r="V3291" s="3" t="n">
        <f aca="false">SUM(P3291:Q3291)</f>
        <v>3</v>
      </c>
      <c r="W3291" s="3" t="n">
        <f aca="false">SUM(R3291:T3291)</f>
        <v>0</v>
      </c>
      <c r="X3291" s="22" t="n">
        <v>41794</v>
      </c>
      <c r="Y3291" s="22" t="n">
        <v>41799</v>
      </c>
    </row>
    <row r="3292" customFormat="false" ht="14.25" hidden="false" customHeight="false" outlineLevel="0" collapsed="false">
      <c r="A3292" s="1" t="n">
        <v>2014</v>
      </c>
      <c r="B3292" s="1" t="n">
        <v>1</v>
      </c>
      <c r="C3292" s="2" t="s">
        <v>44</v>
      </c>
      <c r="D3292" s="3" t="s">
        <v>45</v>
      </c>
      <c r="E3292" s="3" t="n">
        <v>3</v>
      </c>
      <c r="F3292" s="1" t="n">
        <f aca="false">Y3292-X3292</f>
        <v>5</v>
      </c>
      <c r="G3292" s="1" t="n">
        <v>5</v>
      </c>
      <c r="H3292" s="3" t="s">
        <v>48</v>
      </c>
      <c r="I3292" s="3" t="s">
        <v>61</v>
      </c>
      <c r="J3292" s="3" t="s">
        <v>38</v>
      </c>
      <c r="K3292" s="2" t="str">
        <f aca="false">CONCATENATE(I3292," ",J3292)</f>
        <v>Trochosa sp</v>
      </c>
      <c r="L3292" s="3" t="n">
        <f aca="false">SUM(P3292:U3292)</f>
        <v>1</v>
      </c>
      <c r="M3292" s="11" t="n">
        <f aca="false">(L3292/(F3292*G3292)*25)*4</f>
        <v>4</v>
      </c>
      <c r="N3292" s="1" t="s">
        <v>19</v>
      </c>
      <c r="O3292" s="1" t="s">
        <v>54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1</v>
      </c>
      <c r="U3292" s="3" t="n">
        <v>0</v>
      </c>
      <c r="V3292" s="3" t="n">
        <f aca="false">SUM(P3292:Q3292)</f>
        <v>0</v>
      </c>
      <c r="W3292" s="3" t="n">
        <f aca="false">SUM(R3292:T3292)</f>
        <v>1</v>
      </c>
      <c r="X3292" s="22" t="n">
        <v>41794</v>
      </c>
      <c r="Y3292" s="22" t="n">
        <v>41799</v>
      </c>
    </row>
    <row r="3293" customFormat="false" ht="14.25" hidden="false" customHeight="false" outlineLevel="0" collapsed="false">
      <c r="A3293" s="1" t="n">
        <v>2014</v>
      </c>
      <c r="B3293" s="1" t="n">
        <v>1</v>
      </c>
      <c r="C3293" s="2" t="s">
        <v>44</v>
      </c>
      <c r="D3293" s="3" t="s">
        <v>45</v>
      </c>
      <c r="E3293" s="3" t="n">
        <v>3</v>
      </c>
      <c r="F3293" s="1" t="n">
        <f aca="false">Y3293-X3293</f>
        <v>5</v>
      </c>
      <c r="G3293" s="1" t="n">
        <v>5</v>
      </c>
      <c r="H3293" s="3" t="s">
        <v>32</v>
      </c>
      <c r="I3293" s="3" t="s">
        <v>57</v>
      </c>
      <c r="J3293" s="3" t="s">
        <v>38</v>
      </c>
      <c r="K3293" s="2" t="str">
        <f aca="false">CONCATENATE(I3293," ",J3293)</f>
        <v>Gen sp</v>
      </c>
      <c r="L3293" s="3" t="n">
        <f aca="false">SUM(P3293:U3293)</f>
        <v>1</v>
      </c>
      <c r="M3293" s="11" t="n">
        <f aca="false">(L3293/(F3293*G3293)*25)*4</f>
        <v>4</v>
      </c>
      <c r="N3293" s="1" t="s">
        <v>19</v>
      </c>
      <c r="O3293" s="1" t="s">
        <v>54</v>
      </c>
      <c r="P3293" s="3" t="n">
        <v>0</v>
      </c>
      <c r="Q3293" s="3" t="n">
        <v>0</v>
      </c>
      <c r="R3293" s="3" t="n">
        <v>0</v>
      </c>
      <c r="S3293" s="3" t="n">
        <v>0</v>
      </c>
      <c r="T3293" s="3" t="n">
        <v>1</v>
      </c>
      <c r="U3293" s="3" t="n">
        <v>0</v>
      </c>
      <c r="V3293" s="3" t="n">
        <f aca="false">SUM(P3293:Q3293)</f>
        <v>0</v>
      </c>
      <c r="W3293" s="3" t="n">
        <f aca="false">SUM(R3293:T3293)</f>
        <v>1</v>
      </c>
      <c r="X3293" s="22" t="n">
        <v>41794</v>
      </c>
      <c r="Y3293" s="22" t="n">
        <v>41799</v>
      </c>
    </row>
    <row r="3294" customFormat="false" ht="14.25" hidden="false" customHeight="false" outlineLevel="0" collapsed="false">
      <c r="A3294" s="1" t="n">
        <v>2014</v>
      </c>
      <c r="B3294" s="1" t="n">
        <v>1</v>
      </c>
      <c r="C3294" s="2" t="s">
        <v>44</v>
      </c>
      <c r="D3294" s="3" t="s">
        <v>45</v>
      </c>
      <c r="E3294" s="3" t="n">
        <v>2</v>
      </c>
      <c r="F3294" s="1" t="n">
        <f aca="false">Y3294-X3294</f>
        <v>5</v>
      </c>
      <c r="G3294" s="1" t="n">
        <v>5</v>
      </c>
      <c r="H3294" s="3" t="s">
        <v>48</v>
      </c>
      <c r="I3294" s="3" t="s">
        <v>49</v>
      </c>
      <c r="J3294" s="3" t="s">
        <v>119</v>
      </c>
      <c r="K3294" s="2" t="str">
        <f aca="false">CONCATENATE(I3294," ",J3294)</f>
        <v>Alopecosa sulzeri</v>
      </c>
      <c r="L3294" s="3" t="n">
        <f aca="false">SUM(P3294:U3294)</f>
        <v>1</v>
      </c>
      <c r="M3294" s="11" t="n">
        <f aca="false">(L3294/(F3294*G3294)*25)*4</f>
        <v>4</v>
      </c>
      <c r="N3294" s="1" t="s">
        <v>30</v>
      </c>
      <c r="O3294" s="1" t="s">
        <v>31</v>
      </c>
      <c r="P3294" s="3" t="n">
        <v>1</v>
      </c>
      <c r="Q3294" s="3" t="n">
        <v>0</v>
      </c>
      <c r="R3294" s="3" t="n">
        <v>0</v>
      </c>
      <c r="S3294" s="3" t="n">
        <v>0</v>
      </c>
      <c r="T3294" s="3" t="n">
        <v>0</v>
      </c>
      <c r="U3294" s="3" t="n">
        <v>0</v>
      </c>
      <c r="V3294" s="3" t="n">
        <f aca="false">SUM(P3294:Q3294)</f>
        <v>1</v>
      </c>
      <c r="W3294" s="3" t="n">
        <f aca="false">SUM(R3294:T3294)</f>
        <v>0</v>
      </c>
      <c r="X3294" s="22" t="n">
        <v>41794</v>
      </c>
      <c r="Y3294" s="22" t="n">
        <v>41799</v>
      </c>
    </row>
    <row r="3295" customFormat="false" ht="14.25" hidden="false" customHeight="false" outlineLevel="0" collapsed="false">
      <c r="A3295" s="1" t="n">
        <v>2014</v>
      </c>
      <c r="B3295" s="1" t="n">
        <v>1</v>
      </c>
      <c r="C3295" s="2" t="s">
        <v>44</v>
      </c>
      <c r="D3295" s="3" t="s">
        <v>45</v>
      </c>
      <c r="E3295" s="3" t="n">
        <v>2</v>
      </c>
      <c r="F3295" s="1" t="n">
        <f aca="false">Y3295-X3295</f>
        <v>5</v>
      </c>
      <c r="G3295" s="1" t="n">
        <v>5</v>
      </c>
      <c r="H3295" s="3" t="s">
        <v>48</v>
      </c>
      <c r="I3295" s="3" t="s">
        <v>122</v>
      </c>
      <c r="J3295" s="3" t="s">
        <v>123</v>
      </c>
      <c r="K3295" s="2" t="str">
        <f aca="false">CONCATENATE(I3295," ",J3295)</f>
        <v>Xerolycosa nemoralis</v>
      </c>
      <c r="L3295" s="3" t="n">
        <f aca="false">SUM(P3295:U3295)</f>
        <v>4</v>
      </c>
      <c r="M3295" s="11" t="n">
        <f aca="false">(L3295/(F3295*G3295)*25)*4</f>
        <v>16</v>
      </c>
      <c r="N3295" s="1" t="s">
        <v>30</v>
      </c>
      <c r="O3295" s="1" t="s">
        <v>31</v>
      </c>
      <c r="P3295" s="3" t="n">
        <v>4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0</v>
      </c>
      <c r="V3295" s="3" t="n">
        <f aca="false">SUM(P3295:Q3295)</f>
        <v>4</v>
      </c>
      <c r="W3295" s="3" t="n">
        <f aca="false">SUM(R3295:T3295)</f>
        <v>0</v>
      </c>
      <c r="X3295" s="22" t="n">
        <v>41794</v>
      </c>
      <c r="Y3295" s="22" t="n">
        <v>41799</v>
      </c>
    </row>
    <row r="3296" customFormat="false" ht="14.25" hidden="false" customHeight="false" outlineLevel="0" collapsed="false">
      <c r="A3296" s="1" t="n">
        <v>2014</v>
      </c>
      <c r="B3296" s="1" t="n">
        <v>1</v>
      </c>
      <c r="C3296" s="2" t="s">
        <v>44</v>
      </c>
      <c r="D3296" s="3" t="s">
        <v>45</v>
      </c>
      <c r="E3296" s="3" t="n">
        <v>2</v>
      </c>
      <c r="F3296" s="1" t="n">
        <f aca="false">Y3296-X3296</f>
        <v>5</v>
      </c>
      <c r="G3296" s="1" t="n">
        <v>5</v>
      </c>
      <c r="H3296" s="3" t="s">
        <v>72</v>
      </c>
      <c r="I3296" s="3" t="s">
        <v>73</v>
      </c>
      <c r="J3296" s="3" t="s">
        <v>74</v>
      </c>
      <c r="K3296" s="2" t="str">
        <f aca="false">CONCATENATE(I3296," ",J3296)</f>
        <v>Zelotes subterraneus</v>
      </c>
      <c r="L3296" s="3" t="n">
        <f aca="false">SUM(P3296:U3296)</f>
        <v>1</v>
      </c>
      <c r="M3296" s="11" t="n">
        <f aca="false">(L3296/(F3296*G3296)*25)*4</f>
        <v>4</v>
      </c>
      <c r="N3296" s="1" t="s">
        <v>30</v>
      </c>
      <c r="O3296" s="1" t="s">
        <v>35</v>
      </c>
      <c r="P3296" s="3" t="n">
        <v>0</v>
      </c>
      <c r="Q3296" s="3" t="n">
        <v>1</v>
      </c>
      <c r="R3296" s="3" t="n">
        <v>0</v>
      </c>
      <c r="S3296" s="3" t="n">
        <v>0</v>
      </c>
      <c r="T3296" s="3" t="n">
        <v>0</v>
      </c>
      <c r="U3296" s="3" t="n">
        <v>0</v>
      </c>
      <c r="V3296" s="3" t="n">
        <f aca="false">SUM(P3296:Q3296)</f>
        <v>1</v>
      </c>
      <c r="W3296" s="3" t="n">
        <f aca="false">SUM(R3296:T3296)</f>
        <v>0</v>
      </c>
      <c r="X3296" s="22" t="n">
        <v>41794</v>
      </c>
      <c r="Y3296" s="22" t="n">
        <v>41799</v>
      </c>
    </row>
    <row r="3297" customFormat="false" ht="14.25" hidden="false" customHeight="false" outlineLevel="0" collapsed="false">
      <c r="A3297" s="1" t="n">
        <v>2014</v>
      </c>
      <c r="B3297" s="1" t="n">
        <v>1</v>
      </c>
      <c r="C3297" s="2" t="s">
        <v>44</v>
      </c>
      <c r="D3297" s="3" t="s">
        <v>45</v>
      </c>
      <c r="E3297" s="3" t="n">
        <v>3</v>
      </c>
      <c r="F3297" s="1" t="n">
        <f aca="false">Y3297-X3297</f>
        <v>5</v>
      </c>
      <c r="G3297" s="1" t="n">
        <v>5</v>
      </c>
      <c r="H3297" s="3" t="s">
        <v>48</v>
      </c>
      <c r="I3297" s="3" t="s">
        <v>122</v>
      </c>
      <c r="J3297" s="3" t="s">
        <v>123</v>
      </c>
      <c r="K3297" s="2" t="str">
        <f aca="false">CONCATENATE(I3297," ",J3297)</f>
        <v>Xerolycosa nemoralis</v>
      </c>
      <c r="L3297" s="3" t="n">
        <f aca="false">SUM(P3297:U3297)</f>
        <v>11</v>
      </c>
      <c r="M3297" s="11" t="n">
        <f aca="false">(L3297/(F3297*G3297)*25)*4</f>
        <v>44</v>
      </c>
      <c r="N3297" s="1" t="s">
        <v>30</v>
      </c>
      <c r="O3297" s="1" t="s">
        <v>31</v>
      </c>
      <c r="P3297" s="3" t="n">
        <v>11</v>
      </c>
      <c r="Q3297" s="3" t="n">
        <v>0</v>
      </c>
      <c r="R3297" s="3" t="n">
        <v>0</v>
      </c>
      <c r="S3297" s="3" t="n">
        <v>0</v>
      </c>
      <c r="T3297" s="3" t="n">
        <v>0</v>
      </c>
      <c r="U3297" s="3" t="n">
        <v>0</v>
      </c>
      <c r="V3297" s="3" t="n">
        <f aca="false">SUM(P3297:Q3297)</f>
        <v>11</v>
      </c>
      <c r="W3297" s="3" t="n">
        <f aca="false">SUM(R3297:T3297)</f>
        <v>0</v>
      </c>
      <c r="X3297" s="22" t="n">
        <v>41794</v>
      </c>
      <c r="Y3297" s="22" t="n">
        <v>41799</v>
      </c>
    </row>
    <row r="3298" customFormat="false" ht="14.25" hidden="false" customHeight="false" outlineLevel="0" collapsed="false">
      <c r="A3298" s="1" t="n">
        <v>2014</v>
      </c>
      <c r="B3298" s="1" t="n">
        <v>1</v>
      </c>
      <c r="C3298" s="2" t="s">
        <v>44</v>
      </c>
      <c r="D3298" s="3" t="s">
        <v>45</v>
      </c>
      <c r="E3298" s="3" t="n">
        <v>3</v>
      </c>
      <c r="F3298" s="1" t="n">
        <f aca="false">Y3298-X3298</f>
        <v>5</v>
      </c>
      <c r="G3298" s="1" t="n">
        <v>5</v>
      </c>
      <c r="H3298" s="3" t="s">
        <v>48</v>
      </c>
      <c r="I3298" s="3" t="s">
        <v>122</v>
      </c>
      <c r="J3298" s="3" t="s">
        <v>123</v>
      </c>
      <c r="K3298" s="2" t="str">
        <f aca="false">CONCATENATE(I3298," ",J3298)</f>
        <v>Xerolycosa nemoralis</v>
      </c>
      <c r="L3298" s="3" t="n">
        <f aca="false">SUM(P3298:U3298)</f>
        <v>2</v>
      </c>
      <c r="M3298" s="11" t="n">
        <f aca="false">(L3298/(F3298*G3298)*25)*4</f>
        <v>8</v>
      </c>
      <c r="N3298" s="1" t="s">
        <v>30</v>
      </c>
      <c r="O3298" s="1" t="s">
        <v>35</v>
      </c>
      <c r="P3298" s="3" t="n">
        <v>0</v>
      </c>
      <c r="Q3298" s="3" t="n">
        <v>2</v>
      </c>
      <c r="R3298" s="3" t="n">
        <v>0</v>
      </c>
      <c r="S3298" s="3" t="n">
        <v>0</v>
      </c>
      <c r="T3298" s="3" t="n">
        <v>0</v>
      </c>
      <c r="U3298" s="3" t="n">
        <v>0</v>
      </c>
      <c r="V3298" s="3" t="n">
        <f aca="false">SUM(P3298:Q3298)</f>
        <v>2</v>
      </c>
      <c r="W3298" s="3" t="n">
        <f aca="false">SUM(R3298:T3298)</f>
        <v>0</v>
      </c>
      <c r="X3298" s="22" t="n">
        <v>41794</v>
      </c>
      <c r="Y3298" s="22" t="n">
        <v>41799</v>
      </c>
    </row>
    <row r="3299" customFormat="false" ht="14.25" hidden="false" customHeight="false" outlineLevel="0" collapsed="false">
      <c r="A3299" s="1" t="n">
        <v>2014</v>
      </c>
      <c r="B3299" s="1" t="n">
        <v>1</v>
      </c>
      <c r="C3299" s="2" t="s">
        <v>44</v>
      </c>
      <c r="D3299" s="3" t="s">
        <v>45</v>
      </c>
      <c r="E3299" s="3" t="n">
        <v>3</v>
      </c>
      <c r="F3299" s="1" t="n">
        <f aca="false">Y3299-X3299</f>
        <v>5</v>
      </c>
      <c r="G3299" s="1" t="n">
        <v>5</v>
      </c>
      <c r="H3299" s="3" t="s">
        <v>48</v>
      </c>
      <c r="I3299" s="3" t="s">
        <v>49</v>
      </c>
      <c r="J3299" s="3" t="s">
        <v>119</v>
      </c>
      <c r="K3299" s="2" t="str">
        <f aca="false">CONCATENATE(I3299," ",J3299)</f>
        <v>Alopecosa sulzeri</v>
      </c>
      <c r="L3299" s="3" t="n">
        <f aca="false">SUM(P3299:U3299)</f>
        <v>1</v>
      </c>
      <c r="M3299" s="11" t="n">
        <f aca="false">(L3299/(F3299*G3299)*25)*4</f>
        <v>4</v>
      </c>
      <c r="N3299" s="1" t="s">
        <v>30</v>
      </c>
      <c r="O3299" s="1" t="s">
        <v>31</v>
      </c>
      <c r="P3299" s="3" t="n">
        <v>1</v>
      </c>
      <c r="Q3299" s="3" t="n">
        <v>0</v>
      </c>
      <c r="R3299" s="3" t="n">
        <v>0</v>
      </c>
      <c r="S3299" s="3" t="n">
        <v>0</v>
      </c>
      <c r="T3299" s="3" t="n">
        <v>0</v>
      </c>
      <c r="U3299" s="3" t="n">
        <v>0</v>
      </c>
      <c r="V3299" s="3" t="n">
        <f aca="false">SUM(P3299:Q3299)</f>
        <v>1</v>
      </c>
      <c r="W3299" s="3" t="n">
        <f aca="false">SUM(R3299:T3299)</f>
        <v>0</v>
      </c>
      <c r="X3299" s="22" t="n">
        <v>41794</v>
      </c>
      <c r="Y3299" s="22" t="n">
        <v>41799</v>
      </c>
    </row>
    <row r="3300" customFormat="false" ht="14.25" hidden="false" customHeight="false" outlineLevel="0" collapsed="false">
      <c r="A3300" s="1" t="n">
        <v>2014</v>
      </c>
      <c r="B3300" s="1" t="n">
        <v>1</v>
      </c>
      <c r="C3300" s="2" t="s">
        <v>44</v>
      </c>
      <c r="D3300" s="3" t="s">
        <v>45</v>
      </c>
      <c r="E3300" s="3" t="n">
        <v>3</v>
      </c>
      <c r="F3300" s="1" t="n">
        <f aca="false">Y3300-X3300</f>
        <v>5</v>
      </c>
      <c r="G3300" s="1" t="n">
        <v>5</v>
      </c>
      <c r="H3300" s="3" t="s">
        <v>72</v>
      </c>
      <c r="I3300" s="3" t="s">
        <v>139</v>
      </c>
      <c r="J3300" s="3" t="s">
        <v>140</v>
      </c>
      <c r="K3300" s="2" t="str">
        <f aca="false">CONCATENATE(I3300," ",J3300)</f>
        <v>Gnaphosa muscorum</v>
      </c>
      <c r="L3300" s="3" t="n">
        <f aca="false">SUM(P3300:U3300)</f>
        <v>1</v>
      </c>
      <c r="M3300" s="11" t="n">
        <f aca="false">(L3300/(F3300*G3300)*25)*4</f>
        <v>4</v>
      </c>
      <c r="N3300" s="1" t="s">
        <v>30</v>
      </c>
      <c r="O3300" s="1" t="s">
        <v>31</v>
      </c>
      <c r="P3300" s="3" t="n">
        <v>1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0</v>
      </c>
      <c r="V3300" s="3" t="n">
        <f aca="false">SUM(P3300:Q3300)</f>
        <v>1</v>
      </c>
      <c r="W3300" s="3" t="n">
        <f aca="false">SUM(R3300:T3300)</f>
        <v>0</v>
      </c>
      <c r="X3300" s="22" t="n">
        <v>41794</v>
      </c>
      <c r="Y3300" s="22" t="n">
        <v>41799</v>
      </c>
    </row>
    <row r="3301" customFormat="false" ht="14.25" hidden="false" customHeight="false" outlineLevel="0" collapsed="false">
      <c r="A3301" s="1" t="n">
        <v>2014</v>
      </c>
      <c r="B3301" s="1" t="n">
        <v>1</v>
      </c>
      <c r="C3301" s="2" t="s">
        <v>44</v>
      </c>
      <c r="D3301" s="3" t="s">
        <v>45</v>
      </c>
      <c r="E3301" s="3" t="n">
        <v>3</v>
      </c>
      <c r="F3301" s="1" t="n">
        <f aca="false">Y3301-X3301</f>
        <v>5</v>
      </c>
      <c r="G3301" s="1" t="n">
        <v>5</v>
      </c>
      <c r="H3301" s="3" t="s">
        <v>27</v>
      </c>
      <c r="I3301" s="3" t="s">
        <v>46</v>
      </c>
      <c r="J3301" s="3" t="s">
        <v>47</v>
      </c>
      <c r="K3301" s="2" t="str">
        <f aca="false">CONCATENATE(I3301," ",J3301)</f>
        <v>Euryopis flavomaculata</v>
      </c>
      <c r="L3301" s="3" t="n">
        <f aca="false">SUM(P3301:U3301)</f>
        <v>2</v>
      </c>
      <c r="M3301" s="11" t="n">
        <f aca="false">(L3301/(F3301*G3301)*25)*4</f>
        <v>8</v>
      </c>
      <c r="N3301" s="1" t="s">
        <v>30</v>
      </c>
      <c r="O3301" s="1" t="s">
        <v>31</v>
      </c>
      <c r="P3301" s="3" t="n">
        <v>2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f aca="false">SUM(P3301:Q3301)</f>
        <v>2</v>
      </c>
      <c r="W3301" s="3" t="n">
        <f aca="false">SUM(R3301:T3301)</f>
        <v>0</v>
      </c>
      <c r="X3301" s="22" t="n">
        <v>41794</v>
      </c>
      <c r="Y3301" s="22" t="n">
        <v>41799</v>
      </c>
    </row>
    <row r="3302" customFormat="false" ht="14.25" hidden="false" customHeight="false" outlineLevel="0" collapsed="false">
      <c r="A3302" s="1" t="n">
        <v>2014</v>
      </c>
      <c r="B3302" s="1" t="n">
        <v>1</v>
      </c>
      <c r="C3302" s="2" t="s">
        <v>44</v>
      </c>
      <c r="D3302" s="3" t="s">
        <v>45</v>
      </c>
      <c r="E3302" s="3" t="n">
        <v>1</v>
      </c>
      <c r="F3302" s="1" t="n">
        <f aca="false">Y3302-X3302</f>
        <v>5</v>
      </c>
      <c r="G3302" s="1" t="n">
        <v>5</v>
      </c>
      <c r="H3302" s="3" t="s">
        <v>48</v>
      </c>
      <c r="I3302" s="3" t="s">
        <v>49</v>
      </c>
      <c r="J3302" s="3" t="s">
        <v>119</v>
      </c>
      <c r="K3302" s="2" t="str">
        <f aca="false">CONCATENATE(I3302," ",J3302)</f>
        <v>Alopecosa sulzeri</v>
      </c>
      <c r="L3302" s="3" t="n">
        <f aca="false">SUM(P3302:U3302)</f>
        <v>2</v>
      </c>
      <c r="M3302" s="11" t="n">
        <f aca="false">(L3302/(F3302*G3302)*25)*4</f>
        <v>8</v>
      </c>
      <c r="N3302" s="1" t="s">
        <v>30</v>
      </c>
      <c r="O3302" s="1" t="s">
        <v>31</v>
      </c>
      <c r="P3302" s="3" t="n">
        <v>2</v>
      </c>
      <c r="Q3302" s="3" t="n">
        <v>0</v>
      </c>
      <c r="R3302" s="3" t="n">
        <v>0</v>
      </c>
      <c r="S3302" s="3" t="n">
        <v>0</v>
      </c>
      <c r="T3302" s="3" t="n">
        <v>0</v>
      </c>
      <c r="U3302" s="3" t="n">
        <v>0</v>
      </c>
      <c r="V3302" s="3" t="n">
        <f aca="false">SUM(P3302:Q3302)</f>
        <v>2</v>
      </c>
      <c r="W3302" s="3" t="n">
        <f aca="false">SUM(R3302:T3302)</f>
        <v>0</v>
      </c>
      <c r="X3302" s="22" t="n">
        <v>41794</v>
      </c>
      <c r="Y3302" s="22" t="n">
        <v>41799</v>
      </c>
    </row>
    <row r="3303" customFormat="false" ht="14.25" hidden="false" customHeight="false" outlineLevel="0" collapsed="false">
      <c r="A3303" s="1" t="n">
        <v>2014</v>
      </c>
      <c r="B3303" s="1" t="n">
        <v>1</v>
      </c>
      <c r="C3303" s="2" t="s">
        <v>44</v>
      </c>
      <c r="D3303" s="3" t="s">
        <v>45</v>
      </c>
      <c r="E3303" s="3" t="n">
        <v>1</v>
      </c>
      <c r="F3303" s="1" t="n">
        <f aca="false">Y3303-X3303</f>
        <v>5</v>
      </c>
      <c r="G3303" s="1" t="n">
        <v>5</v>
      </c>
      <c r="H3303" s="3" t="s">
        <v>48</v>
      </c>
      <c r="I3303" s="3" t="s">
        <v>122</v>
      </c>
      <c r="J3303" s="3" t="s">
        <v>123</v>
      </c>
      <c r="K3303" s="2" t="str">
        <f aca="false">CONCATENATE(I3303," ",J3303)</f>
        <v>Xerolycosa nemoralis</v>
      </c>
      <c r="L3303" s="3" t="n">
        <f aca="false">SUM(P3303:U3303)</f>
        <v>3</v>
      </c>
      <c r="M3303" s="11" t="n">
        <f aca="false">(L3303/(F3303*G3303)*25)*4</f>
        <v>12</v>
      </c>
      <c r="N3303" s="1" t="s">
        <v>30</v>
      </c>
      <c r="O3303" s="1" t="s">
        <v>31</v>
      </c>
      <c r="P3303" s="3" t="n">
        <v>3</v>
      </c>
      <c r="Q3303" s="3" t="n">
        <v>0</v>
      </c>
      <c r="R3303" s="3" t="n">
        <v>0</v>
      </c>
      <c r="S3303" s="3" t="n">
        <v>0</v>
      </c>
      <c r="T3303" s="3" t="n">
        <v>0</v>
      </c>
      <c r="U3303" s="3" t="n">
        <v>0</v>
      </c>
      <c r="V3303" s="3" t="n">
        <f aca="false">SUM(P3303:Q3303)</f>
        <v>3</v>
      </c>
      <c r="W3303" s="3" t="n">
        <f aca="false">SUM(R3303:T3303)</f>
        <v>0</v>
      </c>
      <c r="X3303" s="22" t="n">
        <v>41794</v>
      </c>
      <c r="Y3303" s="22" t="n">
        <v>41799</v>
      </c>
    </row>
    <row r="3304" customFormat="false" ht="14.25" hidden="false" customHeight="false" outlineLevel="0" collapsed="false">
      <c r="A3304" s="1" t="n">
        <v>2014</v>
      </c>
      <c r="B3304" s="1" t="n">
        <v>1</v>
      </c>
      <c r="C3304" s="2" t="s">
        <v>44</v>
      </c>
      <c r="D3304" s="3" t="s">
        <v>45</v>
      </c>
      <c r="E3304" s="3" t="n">
        <v>1</v>
      </c>
      <c r="F3304" s="1" t="n">
        <f aca="false">Y3304-X3304</f>
        <v>5</v>
      </c>
      <c r="G3304" s="1" t="n">
        <v>5</v>
      </c>
      <c r="H3304" s="3" t="s">
        <v>72</v>
      </c>
      <c r="I3304" s="3" t="s">
        <v>73</v>
      </c>
      <c r="J3304" s="3" t="s">
        <v>74</v>
      </c>
      <c r="K3304" s="2" t="str">
        <f aca="false">CONCATENATE(I3304," ",J3304)</f>
        <v>Zelotes subterraneus</v>
      </c>
      <c r="L3304" s="3" t="n">
        <f aca="false">SUM(P3304:U3304)</f>
        <v>1</v>
      </c>
      <c r="M3304" s="11" t="n">
        <f aca="false">(L3304/(F3304*G3304)*25)*4</f>
        <v>4</v>
      </c>
      <c r="N3304" s="1" t="s">
        <v>30</v>
      </c>
      <c r="O3304" s="1" t="s">
        <v>35</v>
      </c>
      <c r="P3304" s="3" t="n">
        <v>0</v>
      </c>
      <c r="Q3304" s="3" t="n">
        <v>1</v>
      </c>
      <c r="R3304" s="3" t="n">
        <v>0</v>
      </c>
      <c r="S3304" s="3" t="n">
        <v>0</v>
      </c>
      <c r="T3304" s="3" t="n">
        <v>0</v>
      </c>
      <c r="U3304" s="3" t="n">
        <v>0</v>
      </c>
      <c r="V3304" s="3" t="n">
        <f aca="false">SUM(P3304:Q3304)</f>
        <v>1</v>
      </c>
      <c r="W3304" s="3" t="n">
        <f aca="false">SUM(R3304:T3304)</f>
        <v>0</v>
      </c>
      <c r="X3304" s="22" t="n">
        <v>41794</v>
      </c>
      <c r="Y3304" s="22" t="n">
        <v>41799</v>
      </c>
    </row>
    <row r="3305" customFormat="false" ht="14.25" hidden="false" customHeight="false" outlineLevel="0" collapsed="false">
      <c r="A3305" s="1" t="n">
        <v>2014</v>
      </c>
      <c r="B3305" s="1" t="n">
        <v>1</v>
      </c>
      <c r="C3305" s="2" t="s">
        <v>44</v>
      </c>
      <c r="D3305" s="3" t="s">
        <v>45</v>
      </c>
      <c r="E3305" s="3" t="n">
        <v>1</v>
      </c>
      <c r="F3305" s="1" t="n">
        <f aca="false">Y3305-X3305</f>
        <v>5</v>
      </c>
      <c r="G3305" s="1" t="n">
        <v>5</v>
      </c>
      <c r="H3305" s="3" t="s">
        <v>92</v>
      </c>
      <c r="I3305" s="3" t="s">
        <v>111</v>
      </c>
      <c r="J3305" s="3" t="s">
        <v>112</v>
      </c>
      <c r="K3305" s="2" t="str">
        <f aca="false">CONCATENATE(I3305," ",J3305)</f>
        <v>Evarcha falcata</v>
      </c>
      <c r="L3305" s="3" t="n">
        <f aca="false">SUM(P3305:U3305)</f>
        <v>1</v>
      </c>
      <c r="M3305" s="11" t="n">
        <f aca="false">(L3305/(F3305*G3305)*25)*4</f>
        <v>4</v>
      </c>
      <c r="N3305" s="1" t="s">
        <v>30</v>
      </c>
      <c r="O3305" s="1" t="s">
        <v>31</v>
      </c>
      <c r="P3305" s="3" t="n">
        <v>1</v>
      </c>
      <c r="Q3305" s="3" t="n">
        <v>0</v>
      </c>
      <c r="R3305" s="3" t="n">
        <v>0</v>
      </c>
      <c r="S3305" s="3" t="n">
        <v>0</v>
      </c>
      <c r="T3305" s="3" t="n">
        <v>0</v>
      </c>
      <c r="U3305" s="3" t="n">
        <v>0</v>
      </c>
      <c r="V3305" s="3" t="n">
        <f aca="false">SUM(P3305:Q3305)</f>
        <v>1</v>
      </c>
      <c r="W3305" s="3" t="n">
        <f aca="false">SUM(R3305:T3305)</f>
        <v>0</v>
      </c>
      <c r="X3305" s="22" t="n">
        <v>41794</v>
      </c>
      <c r="Y3305" s="22" t="n">
        <v>41799</v>
      </c>
    </row>
    <row r="3306" customFormat="false" ht="14.25" hidden="false" customHeight="false" outlineLevel="0" collapsed="false">
      <c r="A3306" s="1" t="n">
        <v>2014</v>
      </c>
      <c r="B3306" s="1" t="n">
        <v>1</v>
      </c>
      <c r="C3306" s="2" t="s">
        <v>44</v>
      </c>
      <c r="D3306" s="3" t="s">
        <v>45</v>
      </c>
      <c r="E3306" s="3" t="n">
        <v>1</v>
      </c>
      <c r="F3306" s="1" t="n">
        <f aca="false">Y3306-X3306</f>
        <v>5</v>
      </c>
      <c r="G3306" s="1" t="n">
        <v>5</v>
      </c>
      <c r="H3306" s="3" t="s">
        <v>27</v>
      </c>
      <c r="I3306" s="3" t="s">
        <v>46</v>
      </c>
      <c r="J3306" s="3" t="s">
        <v>47</v>
      </c>
      <c r="K3306" s="2" t="str">
        <f aca="false">CONCATENATE(I3306," ",J3306)</f>
        <v>Euryopis flavomaculata</v>
      </c>
      <c r="L3306" s="3" t="n">
        <f aca="false">SUM(P3306:U3306)</f>
        <v>1</v>
      </c>
      <c r="M3306" s="11" t="n">
        <f aca="false">(L3306/(F3306*G3306)*25)*4</f>
        <v>4</v>
      </c>
      <c r="N3306" s="1" t="s">
        <v>30</v>
      </c>
      <c r="O3306" s="1" t="s">
        <v>31</v>
      </c>
      <c r="P3306" s="3" t="n">
        <v>1</v>
      </c>
      <c r="Q3306" s="3" t="n">
        <v>0</v>
      </c>
      <c r="R3306" s="3" t="n">
        <v>0</v>
      </c>
      <c r="S3306" s="3" t="n">
        <v>0</v>
      </c>
      <c r="T3306" s="3" t="n">
        <v>0</v>
      </c>
      <c r="U3306" s="3" t="n">
        <v>0</v>
      </c>
      <c r="V3306" s="3" t="n">
        <f aca="false">SUM(P3306:Q3306)</f>
        <v>1</v>
      </c>
      <c r="W3306" s="3" t="n">
        <f aca="false">SUM(R3306:T3306)</f>
        <v>0</v>
      </c>
      <c r="X3306" s="22" t="n">
        <v>41794</v>
      </c>
      <c r="Y3306" s="22" t="n">
        <v>41799</v>
      </c>
    </row>
    <row r="3307" customFormat="false" ht="14.25" hidden="false" customHeight="false" outlineLevel="0" collapsed="false">
      <c r="A3307" s="1" t="n">
        <v>2014</v>
      </c>
      <c r="B3307" s="1" t="n">
        <v>1</v>
      </c>
      <c r="C3307" s="2" t="s">
        <v>44</v>
      </c>
      <c r="D3307" s="3" t="s">
        <v>45</v>
      </c>
      <c r="E3307" s="3" t="n">
        <v>3</v>
      </c>
      <c r="F3307" s="1" t="n">
        <f aca="false">Y3307-X3307</f>
        <v>5</v>
      </c>
      <c r="G3307" s="1" t="n">
        <v>5</v>
      </c>
      <c r="H3307" s="3" t="s">
        <v>36</v>
      </c>
      <c r="I3307" s="3" t="s">
        <v>256</v>
      </c>
      <c r="J3307" s="3" t="s">
        <v>257</v>
      </c>
      <c r="K3307" s="2" t="str">
        <f aca="false">CONCATENATE(I3307," ",J3307)</f>
        <v>Bassaniodes robustus</v>
      </c>
      <c r="L3307" s="3" t="n">
        <f aca="false">SUM(P3307:U3307)</f>
        <v>1</v>
      </c>
      <c r="M3307" s="11" t="n">
        <f aca="false">(L3307/(F3307*G3307)*25)*4</f>
        <v>4</v>
      </c>
      <c r="N3307" s="1" t="s">
        <v>30</v>
      </c>
      <c r="O3307" s="1" t="s">
        <v>31</v>
      </c>
      <c r="P3307" s="3" t="n">
        <v>1</v>
      </c>
      <c r="Q3307" s="3" t="n">
        <v>0</v>
      </c>
      <c r="R3307" s="3" t="n">
        <v>0</v>
      </c>
      <c r="S3307" s="3" t="n">
        <v>0</v>
      </c>
      <c r="T3307" s="3" t="n">
        <v>0</v>
      </c>
      <c r="U3307" s="3" t="n">
        <v>0</v>
      </c>
      <c r="V3307" s="3" t="n">
        <f aca="false">SUM(P3307:Q3307)</f>
        <v>1</v>
      </c>
      <c r="W3307" s="3" t="n">
        <f aca="false">SUM(R3307:T3307)</f>
        <v>0</v>
      </c>
      <c r="X3307" s="22" t="n">
        <v>41794</v>
      </c>
      <c r="Y3307" s="22" t="n">
        <v>41799</v>
      </c>
    </row>
    <row r="3308" customFormat="false" ht="14.25" hidden="false" customHeight="false" outlineLevel="0" collapsed="false">
      <c r="A3308" s="1" t="n">
        <v>2014</v>
      </c>
      <c r="B3308" s="1" t="n">
        <v>1</v>
      </c>
      <c r="C3308" s="2" t="s">
        <v>44</v>
      </c>
      <c r="D3308" s="3" t="s">
        <v>45</v>
      </c>
      <c r="E3308" s="3" t="n">
        <v>3</v>
      </c>
      <c r="F3308" s="1" t="n">
        <f aca="false">Y3308-X3308</f>
        <v>5</v>
      </c>
      <c r="G3308" s="1" t="n">
        <v>5</v>
      </c>
      <c r="H3308" s="3" t="s">
        <v>72</v>
      </c>
      <c r="I3308" s="3" t="s">
        <v>139</v>
      </c>
      <c r="J3308" s="3" t="s">
        <v>140</v>
      </c>
      <c r="K3308" s="2" t="str">
        <f aca="false">CONCATENATE(I3308," ",J3308)</f>
        <v>Gnaphosa muscorum</v>
      </c>
      <c r="L3308" s="3" t="n">
        <f aca="false">SUM(P3308:U3308)</f>
        <v>2</v>
      </c>
      <c r="M3308" s="11" t="n">
        <f aca="false">(L3308/(F3308*G3308)*25)*4</f>
        <v>8</v>
      </c>
      <c r="N3308" s="1" t="s">
        <v>30</v>
      </c>
      <c r="O3308" s="1" t="s">
        <v>31</v>
      </c>
      <c r="P3308" s="3" t="n">
        <v>2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f aca="false">SUM(P3308:Q3308)</f>
        <v>2</v>
      </c>
      <c r="W3308" s="3" t="n">
        <f aca="false">SUM(R3308:T3308)</f>
        <v>0</v>
      </c>
      <c r="X3308" s="22" t="n">
        <v>41794</v>
      </c>
      <c r="Y3308" s="22" t="n">
        <v>41799</v>
      </c>
    </row>
    <row r="3309" customFormat="false" ht="14.25" hidden="false" customHeight="false" outlineLevel="0" collapsed="false">
      <c r="A3309" s="1" t="n">
        <v>2014</v>
      </c>
      <c r="B3309" s="1" t="n">
        <v>1</v>
      </c>
      <c r="C3309" s="2" t="s">
        <v>44</v>
      </c>
      <c r="D3309" s="3" t="s">
        <v>45</v>
      </c>
      <c r="E3309" s="3" t="n">
        <v>3</v>
      </c>
      <c r="F3309" s="1" t="n">
        <f aca="false">Y3309-X3309</f>
        <v>5</v>
      </c>
      <c r="G3309" s="1" t="n">
        <v>5</v>
      </c>
      <c r="H3309" s="3" t="s">
        <v>72</v>
      </c>
      <c r="I3309" s="3" t="s">
        <v>139</v>
      </c>
      <c r="J3309" s="3" t="s">
        <v>140</v>
      </c>
      <c r="K3309" s="2" t="str">
        <f aca="false">CONCATENATE(I3309," ",J3309)</f>
        <v>Gnaphosa muscorum</v>
      </c>
      <c r="L3309" s="3" t="n">
        <f aca="false">SUM(P3309:U3309)</f>
        <v>1</v>
      </c>
      <c r="M3309" s="11" t="n">
        <f aca="false">(L3309/(F3309*G3309)*25)*4</f>
        <v>4</v>
      </c>
      <c r="N3309" s="1" t="s">
        <v>30</v>
      </c>
      <c r="O3309" s="1" t="s">
        <v>35</v>
      </c>
      <c r="P3309" s="3" t="n">
        <v>0</v>
      </c>
      <c r="Q3309" s="3" t="n">
        <v>1</v>
      </c>
      <c r="R3309" s="3" t="n">
        <v>0</v>
      </c>
      <c r="S3309" s="3" t="n">
        <v>0</v>
      </c>
      <c r="T3309" s="3" t="n">
        <v>0</v>
      </c>
      <c r="U3309" s="3" t="n">
        <v>0</v>
      </c>
      <c r="V3309" s="3" t="n">
        <f aca="false">SUM(P3309:Q3309)</f>
        <v>1</v>
      </c>
      <c r="W3309" s="3" t="n">
        <f aca="false">SUM(R3309:T3309)</f>
        <v>0</v>
      </c>
      <c r="X3309" s="22" t="n">
        <v>41794</v>
      </c>
      <c r="Y3309" s="22" t="n">
        <v>41799</v>
      </c>
    </row>
    <row r="3310" customFormat="false" ht="14.25" hidden="false" customHeight="false" outlineLevel="0" collapsed="false">
      <c r="A3310" s="1" t="n">
        <v>2014</v>
      </c>
      <c r="B3310" s="1" t="n">
        <v>1</v>
      </c>
      <c r="C3310" s="2" t="s">
        <v>44</v>
      </c>
      <c r="D3310" s="3" t="s">
        <v>45</v>
      </c>
      <c r="E3310" s="3" t="n">
        <v>3</v>
      </c>
      <c r="F3310" s="1" t="n">
        <f aca="false">Y3310-X3310</f>
        <v>5</v>
      </c>
      <c r="G3310" s="1" t="n">
        <v>5</v>
      </c>
      <c r="H3310" s="3" t="s">
        <v>72</v>
      </c>
      <c r="I3310" s="3" t="s">
        <v>73</v>
      </c>
      <c r="J3310" s="3" t="s">
        <v>74</v>
      </c>
      <c r="K3310" s="2" t="str">
        <f aca="false">CONCATENATE(I3310," ",J3310)</f>
        <v>Zelotes subterraneus</v>
      </c>
      <c r="L3310" s="3" t="n">
        <f aca="false">SUM(P3310:U3310)</f>
        <v>1</v>
      </c>
      <c r="M3310" s="11" t="n">
        <f aca="false">(L3310/(F3310*G3310)*25)*4</f>
        <v>4</v>
      </c>
      <c r="N3310" s="1" t="s">
        <v>30</v>
      </c>
      <c r="O3310" s="1" t="s">
        <v>31</v>
      </c>
      <c r="P3310" s="3" t="n">
        <v>1</v>
      </c>
      <c r="Q3310" s="3" t="n">
        <v>0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f aca="false">SUM(P3310:Q3310)</f>
        <v>1</v>
      </c>
      <c r="W3310" s="3" t="n">
        <f aca="false">SUM(R3310:T3310)</f>
        <v>0</v>
      </c>
      <c r="X3310" s="22" t="n">
        <v>41794</v>
      </c>
      <c r="Y3310" s="22" t="n">
        <v>41799</v>
      </c>
    </row>
    <row r="3311" customFormat="false" ht="14.25" hidden="false" customHeight="false" outlineLevel="0" collapsed="false">
      <c r="A3311" s="1" t="n">
        <v>2014</v>
      </c>
      <c r="B3311" s="1" t="n">
        <v>1</v>
      </c>
      <c r="C3311" s="2" t="s">
        <v>44</v>
      </c>
      <c r="D3311" s="3" t="s">
        <v>45</v>
      </c>
      <c r="E3311" s="3" t="n">
        <v>3</v>
      </c>
      <c r="F3311" s="1" t="n">
        <f aca="false">Y3311-X3311</f>
        <v>5</v>
      </c>
      <c r="G3311" s="1" t="n">
        <v>5</v>
      </c>
      <c r="H3311" s="3" t="s">
        <v>72</v>
      </c>
      <c r="I3311" s="3" t="s">
        <v>242</v>
      </c>
      <c r="J3311" s="3" t="s">
        <v>254</v>
      </c>
      <c r="K3311" s="2" t="str">
        <f aca="false">CONCATENATE(I3311," ",J3311)</f>
        <v>Drassyllus praeficus</v>
      </c>
      <c r="L3311" s="3" t="n">
        <f aca="false">SUM(P3311:U3311)</f>
        <v>1</v>
      </c>
      <c r="M3311" s="11" t="n">
        <f aca="false">(L3311/(F3311*G3311)*25)*4</f>
        <v>4</v>
      </c>
      <c r="N3311" s="1" t="s">
        <v>30</v>
      </c>
      <c r="O3311" s="1" t="s">
        <v>35</v>
      </c>
      <c r="P3311" s="3" t="n">
        <v>0</v>
      </c>
      <c r="Q3311" s="3" t="n">
        <v>1</v>
      </c>
      <c r="R3311" s="3" t="n">
        <v>0</v>
      </c>
      <c r="S3311" s="3" t="n">
        <v>0</v>
      </c>
      <c r="T3311" s="3" t="n">
        <v>0</v>
      </c>
      <c r="U3311" s="3" t="n">
        <v>0</v>
      </c>
      <c r="V3311" s="3" t="n">
        <f aca="false">SUM(P3311:Q3311)</f>
        <v>1</v>
      </c>
      <c r="W3311" s="3" t="n">
        <f aca="false">SUM(R3311:T3311)</f>
        <v>0</v>
      </c>
      <c r="X3311" s="22" t="n">
        <v>41794</v>
      </c>
      <c r="Y3311" s="22" t="n">
        <v>41799</v>
      </c>
    </row>
    <row r="3312" customFormat="false" ht="14.25" hidden="false" customHeight="false" outlineLevel="0" collapsed="false">
      <c r="A3312" s="1" t="n">
        <v>2014</v>
      </c>
      <c r="B3312" s="1" t="n">
        <v>1</v>
      </c>
      <c r="C3312" s="2" t="s">
        <v>44</v>
      </c>
      <c r="D3312" s="3" t="s">
        <v>45</v>
      </c>
      <c r="E3312" s="3" t="n">
        <v>3</v>
      </c>
      <c r="F3312" s="1" t="n">
        <f aca="false">Y3312-X3312</f>
        <v>5</v>
      </c>
      <c r="G3312" s="1" t="n">
        <v>5</v>
      </c>
      <c r="H3312" s="3" t="s">
        <v>48</v>
      </c>
      <c r="I3312" s="3" t="s">
        <v>122</v>
      </c>
      <c r="J3312" s="3" t="s">
        <v>123</v>
      </c>
      <c r="K3312" s="2" t="str">
        <f aca="false">CONCATENATE(I3312," ",J3312)</f>
        <v>Xerolycosa nemoralis</v>
      </c>
      <c r="L3312" s="3" t="n">
        <f aca="false">SUM(P3312:U3312)</f>
        <v>3</v>
      </c>
      <c r="M3312" s="11" t="n">
        <f aca="false">(L3312/(F3312*G3312)*25)*4</f>
        <v>12</v>
      </c>
      <c r="N3312" s="1" t="s">
        <v>30</v>
      </c>
      <c r="O3312" s="1" t="s">
        <v>31</v>
      </c>
      <c r="P3312" s="3" t="n">
        <v>3</v>
      </c>
      <c r="Q3312" s="3" t="n">
        <v>0</v>
      </c>
      <c r="R3312" s="3" t="n">
        <v>0</v>
      </c>
      <c r="S3312" s="3" t="n">
        <v>0</v>
      </c>
      <c r="T3312" s="3" t="n">
        <v>0</v>
      </c>
      <c r="U3312" s="3" t="n">
        <v>0</v>
      </c>
      <c r="V3312" s="3" t="n">
        <f aca="false">SUM(P3312:Q3312)</f>
        <v>3</v>
      </c>
      <c r="W3312" s="3" t="n">
        <f aca="false">SUM(R3312:T3312)</f>
        <v>0</v>
      </c>
      <c r="X3312" s="22" t="n">
        <v>41794</v>
      </c>
      <c r="Y3312" s="22" t="n">
        <v>41799</v>
      </c>
    </row>
    <row r="3313" customFormat="false" ht="14.25" hidden="false" customHeight="false" outlineLevel="0" collapsed="false">
      <c r="A3313" s="1" t="n">
        <v>2014</v>
      </c>
      <c r="B3313" s="1" t="n">
        <v>1</v>
      </c>
      <c r="C3313" s="2" t="s">
        <v>44</v>
      </c>
      <c r="D3313" s="3" t="s">
        <v>45</v>
      </c>
      <c r="E3313" s="3" t="n">
        <v>3</v>
      </c>
      <c r="F3313" s="1" t="n">
        <f aca="false">Y3313-X3313</f>
        <v>5</v>
      </c>
      <c r="G3313" s="1" t="n">
        <v>5</v>
      </c>
      <c r="H3313" s="3" t="s">
        <v>48</v>
      </c>
      <c r="I3313" s="3" t="s">
        <v>49</v>
      </c>
      <c r="J3313" s="3" t="s">
        <v>119</v>
      </c>
      <c r="K3313" s="2" t="str">
        <f aca="false">CONCATENATE(I3313," ",J3313)</f>
        <v>Alopecosa sulzeri</v>
      </c>
      <c r="L3313" s="3" t="n">
        <f aca="false">SUM(P3313:U3313)</f>
        <v>1</v>
      </c>
      <c r="M3313" s="11" t="n">
        <f aca="false">(L3313/(F3313*G3313)*25)*4</f>
        <v>4</v>
      </c>
      <c r="N3313" s="1" t="s">
        <v>30</v>
      </c>
      <c r="O3313" s="1" t="s">
        <v>31</v>
      </c>
      <c r="P3313" s="3" t="n">
        <v>1</v>
      </c>
      <c r="Q3313" s="3" t="n">
        <v>0</v>
      </c>
      <c r="R3313" s="3" t="n">
        <v>0</v>
      </c>
      <c r="S3313" s="3" t="n">
        <v>0</v>
      </c>
      <c r="T3313" s="3" t="n">
        <v>0</v>
      </c>
      <c r="U3313" s="3" t="n">
        <v>0</v>
      </c>
      <c r="V3313" s="3" t="n">
        <f aca="false">SUM(P3313:Q3313)</f>
        <v>1</v>
      </c>
      <c r="W3313" s="3" t="n">
        <f aca="false">SUM(R3313:T3313)</f>
        <v>0</v>
      </c>
      <c r="X3313" s="22" t="n">
        <v>41794</v>
      </c>
      <c r="Y3313" s="22" t="n">
        <v>41799</v>
      </c>
    </row>
    <row r="3314" customFormat="false" ht="14.25" hidden="false" customHeight="false" outlineLevel="0" collapsed="false">
      <c r="A3314" s="1" t="n">
        <v>2014</v>
      </c>
      <c r="B3314" s="1" t="n">
        <v>1</v>
      </c>
      <c r="C3314" s="2" t="s">
        <v>44</v>
      </c>
      <c r="D3314" s="3" t="s">
        <v>45</v>
      </c>
      <c r="E3314" s="3" t="n">
        <v>3</v>
      </c>
      <c r="F3314" s="1" t="n">
        <f aca="false">Y3314-X3314</f>
        <v>5</v>
      </c>
      <c r="G3314" s="1" t="n">
        <v>5</v>
      </c>
      <c r="H3314" s="3" t="s">
        <v>48</v>
      </c>
      <c r="I3314" s="3" t="s">
        <v>67</v>
      </c>
      <c r="J3314" s="3" t="s">
        <v>127</v>
      </c>
      <c r="K3314" s="2" t="str">
        <f aca="false">CONCATENATE(I3314," ",J3314)</f>
        <v>Pardosa lugubris</v>
      </c>
      <c r="L3314" s="3" t="n">
        <f aca="false">SUM(P3314:U3314)</f>
        <v>1</v>
      </c>
      <c r="M3314" s="11" t="n">
        <f aca="false">(L3314/(F3314*G3314)*25)*4</f>
        <v>4</v>
      </c>
      <c r="N3314" s="1" t="s">
        <v>30</v>
      </c>
      <c r="O3314" s="1" t="s">
        <v>35</v>
      </c>
      <c r="P3314" s="3" t="n">
        <v>0</v>
      </c>
      <c r="Q3314" s="3" t="n">
        <v>1</v>
      </c>
      <c r="R3314" s="3" t="n">
        <v>0</v>
      </c>
      <c r="S3314" s="3" t="n">
        <v>0</v>
      </c>
      <c r="T3314" s="3" t="n">
        <v>0</v>
      </c>
      <c r="U3314" s="3" t="n">
        <v>0</v>
      </c>
      <c r="V3314" s="3" t="n">
        <f aca="false">SUM(P3314:Q3314)</f>
        <v>1</v>
      </c>
      <c r="W3314" s="3" t="n">
        <f aca="false">SUM(R3314:T3314)</f>
        <v>0</v>
      </c>
      <c r="X3314" s="22" t="n">
        <v>41794</v>
      </c>
      <c r="Y3314" s="22" t="n">
        <v>41799</v>
      </c>
    </row>
    <row r="3315" customFormat="false" ht="14.25" hidden="false" customHeight="false" outlineLevel="0" collapsed="false">
      <c r="A3315" s="1" t="n">
        <v>2014</v>
      </c>
      <c r="B3315" s="1" t="n">
        <v>1</v>
      </c>
      <c r="C3315" s="2" t="s">
        <v>44</v>
      </c>
      <c r="D3315" s="3" t="s">
        <v>45</v>
      </c>
      <c r="E3315" s="3" t="n">
        <v>3</v>
      </c>
      <c r="F3315" s="1" t="n">
        <f aca="false">Y3315-X3315</f>
        <v>5</v>
      </c>
      <c r="G3315" s="1" t="n">
        <v>5</v>
      </c>
      <c r="H3315" s="3" t="s">
        <v>226</v>
      </c>
      <c r="I3315" s="3" t="s">
        <v>65</v>
      </c>
      <c r="J3315" s="3" t="s">
        <v>123</v>
      </c>
      <c r="K3315" s="2" t="str">
        <f aca="false">CONCATENATE(I3315," ",J3315)</f>
        <v>Zora nemoralis</v>
      </c>
      <c r="L3315" s="3" t="n">
        <f aca="false">SUM(P3315:U3315)</f>
        <v>1</v>
      </c>
      <c r="M3315" s="11" t="n">
        <f aca="false">(L3315/(F3315*G3315)*25)*4</f>
        <v>4</v>
      </c>
      <c r="N3315" s="1" t="s">
        <v>30</v>
      </c>
      <c r="O3315" s="1" t="s">
        <v>31</v>
      </c>
      <c r="P3315" s="3" t="n">
        <v>1</v>
      </c>
      <c r="Q3315" s="3" t="n">
        <v>0</v>
      </c>
      <c r="R3315" s="3" t="n">
        <v>0</v>
      </c>
      <c r="S3315" s="3" t="n">
        <v>0</v>
      </c>
      <c r="T3315" s="3" t="n">
        <v>0</v>
      </c>
      <c r="U3315" s="3" t="n">
        <v>0</v>
      </c>
      <c r="V3315" s="3" t="n">
        <f aca="false">SUM(P3315:Q3315)</f>
        <v>1</v>
      </c>
      <c r="W3315" s="3" t="n">
        <f aca="false">SUM(R3315:T3315)</f>
        <v>0</v>
      </c>
      <c r="X3315" s="22" t="n">
        <v>41794</v>
      </c>
      <c r="Y3315" s="22" t="n">
        <v>41799</v>
      </c>
    </row>
    <row r="3316" customFormat="false" ht="14.25" hidden="false" customHeight="false" outlineLevel="0" collapsed="false">
      <c r="A3316" s="1" t="n">
        <v>2014</v>
      </c>
      <c r="B3316" s="1" t="n">
        <v>1</v>
      </c>
      <c r="C3316" s="2" t="s">
        <v>44</v>
      </c>
      <c r="D3316" s="3" t="s">
        <v>45</v>
      </c>
      <c r="E3316" s="3" t="n">
        <v>3</v>
      </c>
      <c r="F3316" s="1" t="n">
        <f aca="false">Y3316-X3316</f>
        <v>5</v>
      </c>
      <c r="G3316" s="1" t="n">
        <v>5</v>
      </c>
      <c r="H3316" s="3" t="s">
        <v>226</v>
      </c>
      <c r="I3316" s="3" t="s">
        <v>65</v>
      </c>
      <c r="J3316" s="3" t="s">
        <v>66</v>
      </c>
      <c r="K3316" s="2" t="str">
        <f aca="false">CONCATENATE(I3316," ",J3316)</f>
        <v>Zora Spinimana</v>
      </c>
      <c r="L3316" s="3" t="n">
        <f aca="false">SUM(P3316:U3316)</f>
        <v>1</v>
      </c>
      <c r="M3316" s="11" t="n">
        <f aca="false">(L3316/(F3316*G3316)*25)*4</f>
        <v>4</v>
      </c>
      <c r="N3316" s="1" t="s">
        <v>30</v>
      </c>
      <c r="O3316" s="1" t="s">
        <v>35</v>
      </c>
      <c r="P3316" s="3" t="n">
        <v>0</v>
      </c>
      <c r="Q3316" s="3" t="n">
        <v>1</v>
      </c>
      <c r="R3316" s="3" t="n">
        <v>0</v>
      </c>
      <c r="S3316" s="3" t="n">
        <v>0</v>
      </c>
      <c r="T3316" s="3" t="n">
        <v>0</v>
      </c>
      <c r="U3316" s="3" t="n">
        <v>0</v>
      </c>
      <c r="V3316" s="3" t="n">
        <f aca="false">SUM(P3316:Q3316)</f>
        <v>1</v>
      </c>
      <c r="W3316" s="3" t="n">
        <f aca="false">SUM(R3316:T3316)</f>
        <v>0</v>
      </c>
      <c r="X3316" s="22" t="n">
        <v>41794</v>
      </c>
      <c r="Y3316" s="22" t="n">
        <v>41799</v>
      </c>
    </row>
    <row r="3317" customFormat="false" ht="14.25" hidden="false" customHeight="false" outlineLevel="0" collapsed="false">
      <c r="A3317" s="1" t="n">
        <v>2014</v>
      </c>
      <c r="B3317" s="1" t="n">
        <v>1</v>
      </c>
      <c r="C3317" s="2" t="s">
        <v>44</v>
      </c>
      <c r="D3317" s="3" t="s">
        <v>45</v>
      </c>
      <c r="E3317" s="3" t="n">
        <v>3</v>
      </c>
      <c r="F3317" s="1" t="n">
        <f aca="false">Y3317-X3317</f>
        <v>5</v>
      </c>
      <c r="G3317" s="1" t="n">
        <v>5</v>
      </c>
      <c r="H3317" s="3" t="s">
        <v>27</v>
      </c>
      <c r="I3317" s="3" t="s">
        <v>46</v>
      </c>
      <c r="J3317" s="3" t="s">
        <v>47</v>
      </c>
      <c r="K3317" s="2" t="str">
        <f aca="false">CONCATENATE(I3317," ",J3317)</f>
        <v>Euryopis flavomaculata</v>
      </c>
      <c r="L3317" s="3" t="n">
        <f aca="false">SUM(P3317:U3317)</f>
        <v>1</v>
      </c>
      <c r="M3317" s="11" t="n">
        <f aca="false">(L3317/(F3317*G3317)*25)*4</f>
        <v>4</v>
      </c>
      <c r="N3317" s="1" t="s">
        <v>30</v>
      </c>
      <c r="O3317" s="1" t="s">
        <v>31</v>
      </c>
      <c r="P3317" s="3" t="n">
        <v>1</v>
      </c>
      <c r="Q3317" s="3" t="n">
        <v>0</v>
      </c>
      <c r="R3317" s="3" t="n">
        <v>0</v>
      </c>
      <c r="S3317" s="3" t="n">
        <v>0</v>
      </c>
      <c r="T3317" s="3" t="n">
        <v>0</v>
      </c>
      <c r="U3317" s="3" t="n">
        <v>0</v>
      </c>
      <c r="V3317" s="3" t="n">
        <f aca="false">SUM(P3317:Q3317)</f>
        <v>1</v>
      </c>
      <c r="W3317" s="3" t="n">
        <f aca="false">SUM(R3317:T3317)</f>
        <v>0</v>
      </c>
      <c r="X3317" s="22" t="n">
        <v>41794</v>
      </c>
      <c r="Y3317" s="22" t="n">
        <v>41799</v>
      </c>
    </row>
    <row r="3318" customFormat="false" ht="14.25" hidden="false" customHeight="false" outlineLevel="0" collapsed="false">
      <c r="A3318" s="1" t="n">
        <v>2014</v>
      </c>
      <c r="B3318" s="1" t="n">
        <v>1</v>
      </c>
      <c r="C3318" s="2" t="s">
        <v>44</v>
      </c>
      <c r="D3318" s="3" t="s">
        <v>45</v>
      </c>
      <c r="E3318" s="3" t="n">
        <v>3</v>
      </c>
      <c r="F3318" s="1" t="n">
        <f aca="false">Y3318-X3318</f>
        <v>5</v>
      </c>
      <c r="G3318" s="1" t="n">
        <v>5</v>
      </c>
      <c r="H3318" s="3" t="s">
        <v>32</v>
      </c>
      <c r="I3318" s="3" t="s">
        <v>174</v>
      </c>
      <c r="J3318" s="3" t="s">
        <v>175</v>
      </c>
      <c r="K3318" s="2" t="str">
        <f aca="false">CONCATENATE(I3318," ",J3318)</f>
        <v>Neriene clathrata</v>
      </c>
      <c r="L3318" s="3" t="n">
        <f aca="false">SUM(P3318:U3318)</f>
        <v>1</v>
      </c>
      <c r="M3318" s="11" t="n">
        <f aca="false">(L3318/(F3318*G3318)*25)*4</f>
        <v>4</v>
      </c>
      <c r="N3318" s="1" t="s">
        <v>30</v>
      </c>
      <c r="O3318" s="1" t="s">
        <v>35</v>
      </c>
      <c r="P3318" s="3" t="n">
        <v>0</v>
      </c>
      <c r="Q3318" s="3" t="n">
        <v>1</v>
      </c>
      <c r="R3318" s="3" t="n">
        <v>0</v>
      </c>
      <c r="S3318" s="3" t="n">
        <v>0</v>
      </c>
      <c r="T3318" s="3" t="n">
        <v>0</v>
      </c>
      <c r="U3318" s="3" t="n">
        <v>0</v>
      </c>
      <c r="V3318" s="3" t="n">
        <f aca="false">SUM(P3318:Q3318)</f>
        <v>1</v>
      </c>
      <c r="W3318" s="3" t="n">
        <f aca="false">SUM(R3318:T3318)</f>
        <v>0</v>
      </c>
      <c r="X3318" s="22" t="n">
        <v>41794</v>
      </c>
      <c r="Y3318" s="22" t="n">
        <v>41799</v>
      </c>
    </row>
    <row r="3319" customFormat="false" ht="14.25" hidden="false" customHeight="false" outlineLevel="0" collapsed="false">
      <c r="A3319" s="1" t="n">
        <v>2014</v>
      </c>
      <c r="B3319" s="1" t="n">
        <v>1</v>
      </c>
      <c r="C3319" s="2" t="s">
        <v>44</v>
      </c>
      <c r="D3319" s="3" t="s">
        <v>45</v>
      </c>
      <c r="E3319" s="3" t="n">
        <v>3</v>
      </c>
      <c r="F3319" s="1" t="n">
        <f aca="false">Y3319-X3319</f>
        <v>5</v>
      </c>
      <c r="G3319" s="1" t="n">
        <v>5</v>
      </c>
      <c r="H3319" s="3" t="s">
        <v>92</v>
      </c>
      <c r="I3319" s="3" t="s">
        <v>231</v>
      </c>
      <c r="J3319" s="3" t="s">
        <v>146</v>
      </c>
      <c r="K3319" s="2" t="str">
        <f aca="false">CONCATENATE(I3319," ",J3319)</f>
        <v>Asianellus festivus</v>
      </c>
      <c r="L3319" s="3" t="n">
        <f aca="false">SUM(P3319:U3319)</f>
        <v>1</v>
      </c>
      <c r="M3319" s="11" t="n">
        <f aca="false">(L3319/(F3319*G3319)*25)*4</f>
        <v>4</v>
      </c>
      <c r="N3319" s="1" t="s">
        <v>30</v>
      </c>
      <c r="O3319" s="1" t="s">
        <v>31</v>
      </c>
      <c r="P3319" s="3" t="n">
        <v>1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0</v>
      </c>
      <c r="V3319" s="3" t="n">
        <f aca="false">SUM(P3319:Q3319)</f>
        <v>1</v>
      </c>
      <c r="W3319" s="3" t="n">
        <f aca="false">SUM(R3319:T3319)</f>
        <v>0</v>
      </c>
      <c r="X3319" s="22" t="n">
        <v>41794</v>
      </c>
      <c r="Y3319" s="22" t="n">
        <v>41799</v>
      </c>
    </row>
    <row r="3320" customFormat="false" ht="14.25" hidden="false" customHeight="false" outlineLevel="0" collapsed="false">
      <c r="A3320" s="1" t="n">
        <v>2014</v>
      </c>
      <c r="B3320" s="1" t="n">
        <v>1</v>
      </c>
      <c r="C3320" s="2" t="s">
        <v>44</v>
      </c>
      <c r="D3320" s="3" t="s">
        <v>45</v>
      </c>
      <c r="E3320" s="3" t="n">
        <v>3</v>
      </c>
      <c r="F3320" s="1" t="n">
        <f aca="false">Y3320-X3320</f>
        <v>5</v>
      </c>
      <c r="G3320" s="1" t="n">
        <v>5</v>
      </c>
      <c r="H3320" s="3" t="s">
        <v>48</v>
      </c>
      <c r="I3320" s="3" t="s">
        <v>122</v>
      </c>
      <c r="J3320" s="3" t="s">
        <v>123</v>
      </c>
      <c r="K3320" s="2" t="str">
        <f aca="false">CONCATENATE(I3320," ",J3320)</f>
        <v>Xerolycosa nemoralis</v>
      </c>
      <c r="L3320" s="3" t="n">
        <f aca="false">SUM(P3320:U3320)</f>
        <v>9</v>
      </c>
      <c r="M3320" s="11" t="n">
        <f aca="false">(L3320/(F3320*G3320)*25)*4</f>
        <v>36</v>
      </c>
      <c r="N3320" s="1" t="s">
        <v>30</v>
      </c>
      <c r="O3320" s="1" t="s">
        <v>31</v>
      </c>
      <c r="P3320" s="3" t="n">
        <v>9</v>
      </c>
      <c r="Q3320" s="3" t="n">
        <v>0</v>
      </c>
      <c r="R3320" s="3" t="n">
        <v>0</v>
      </c>
      <c r="S3320" s="3" t="n">
        <v>0</v>
      </c>
      <c r="T3320" s="3" t="n">
        <v>0</v>
      </c>
      <c r="U3320" s="3" t="n">
        <v>0</v>
      </c>
      <c r="V3320" s="3" t="n">
        <f aca="false">SUM(P3320:Q3320)</f>
        <v>9</v>
      </c>
      <c r="W3320" s="3" t="n">
        <f aca="false">SUM(R3320:T3320)</f>
        <v>0</v>
      </c>
      <c r="X3320" s="22" t="n">
        <v>41794</v>
      </c>
      <c r="Y3320" s="22" t="n">
        <v>41799</v>
      </c>
    </row>
    <row r="3321" customFormat="false" ht="14.25" hidden="false" customHeight="false" outlineLevel="0" collapsed="false">
      <c r="A3321" s="1" t="n">
        <v>2014</v>
      </c>
      <c r="B3321" s="1" t="n">
        <v>1</v>
      </c>
      <c r="C3321" s="2" t="s">
        <v>44</v>
      </c>
      <c r="D3321" s="3" t="s">
        <v>45</v>
      </c>
      <c r="E3321" s="3" t="n">
        <v>3</v>
      </c>
      <c r="F3321" s="1" t="n">
        <f aca="false">Y3321-X3321</f>
        <v>5</v>
      </c>
      <c r="G3321" s="1" t="n">
        <v>5</v>
      </c>
      <c r="H3321" s="3" t="s">
        <v>36</v>
      </c>
      <c r="I3321" s="3" t="s">
        <v>256</v>
      </c>
      <c r="J3321" s="3" t="s">
        <v>257</v>
      </c>
      <c r="K3321" s="2" t="str">
        <f aca="false">CONCATENATE(I3321," ",J3321)</f>
        <v>Bassaniodes robustus</v>
      </c>
      <c r="L3321" s="3" t="n">
        <f aca="false">SUM(P3321:U3321)</f>
        <v>1</v>
      </c>
      <c r="M3321" s="11" t="n">
        <f aca="false">(L3321/(F3321*G3321)*25)*4</f>
        <v>4</v>
      </c>
      <c r="N3321" s="1" t="s">
        <v>30</v>
      </c>
      <c r="O3321" s="1" t="s">
        <v>31</v>
      </c>
      <c r="P3321" s="3" t="n">
        <v>1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f aca="false">SUM(P3321:Q3321)</f>
        <v>1</v>
      </c>
      <c r="W3321" s="3" t="n">
        <f aca="false">SUM(R3321:T3321)</f>
        <v>0</v>
      </c>
      <c r="X3321" s="22" t="n">
        <v>41794</v>
      </c>
      <c r="Y3321" s="22" t="n">
        <v>41799</v>
      </c>
    </row>
    <row r="3322" customFormat="false" ht="14.25" hidden="false" customHeight="false" outlineLevel="0" collapsed="false">
      <c r="A3322" s="1" t="n">
        <v>2014</v>
      </c>
      <c r="B3322" s="1" t="n">
        <v>1</v>
      </c>
      <c r="C3322" s="2" t="s">
        <v>44</v>
      </c>
      <c r="D3322" s="3" t="s">
        <v>45</v>
      </c>
      <c r="E3322" s="3" t="n">
        <v>3</v>
      </c>
      <c r="F3322" s="1" t="n">
        <f aca="false">Y3322-X3322</f>
        <v>5</v>
      </c>
      <c r="G3322" s="1" t="n">
        <v>5</v>
      </c>
      <c r="H3322" s="3" t="s">
        <v>135</v>
      </c>
      <c r="I3322" s="3" t="s">
        <v>136</v>
      </c>
      <c r="J3322" s="3" t="s">
        <v>137</v>
      </c>
      <c r="K3322" s="2" t="str">
        <f aca="false">CONCATENATE(I3322," ",J3322)</f>
        <v>Thanatus sabulosus</v>
      </c>
      <c r="L3322" s="3" t="n">
        <f aca="false">SUM(P3322:U3322)</f>
        <v>1</v>
      </c>
      <c r="M3322" s="11" t="n">
        <f aca="false">(L3322/(F3322*G3322)*25)*4</f>
        <v>4</v>
      </c>
      <c r="N3322" s="1" t="s">
        <v>30</v>
      </c>
      <c r="O3322" s="1" t="s">
        <v>31</v>
      </c>
      <c r="P3322" s="3" t="n">
        <v>1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f aca="false">SUM(P3322:Q3322)</f>
        <v>1</v>
      </c>
      <c r="W3322" s="3" t="n">
        <f aca="false">SUM(R3322:T3322)</f>
        <v>0</v>
      </c>
      <c r="X3322" s="22" t="n">
        <v>41794</v>
      </c>
      <c r="Y3322" s="22" t="n">
        <v>41799</v>
      </c>
    </row>
    <row r="3323" customFormat="false" ht="14.25" hidden="false" customHeight="false" outlineLevel="0" collapsed="false">
      <c r="A3323" s="1" t="n">
        <v>2014</v>
      </c>
      <c r="B3323" s="1" t="n">
        <v>1</v>
      </c>
      <c r="C3323" s="2" t="s">
        <v>44</v>
      </c>
      <c r="D3323" s="3" t="s">
        <v>45</v>
      </c>
      <c r="E3323" s="3" t="n">
        <v>3</v>
      </c>
      <c r="F3323" s="1" t="n">
        <f aca="false">Y3323-X3323</f>
        <v>5</v>
      </c>
      <c r="G3323" s="1" t="n">
        <v>5</v>
      </c>
      <c r="H3323" s="3" t="s">
        <v>27</v>
      </c>
      <c r="I3323" s="3" t="s">
        <v>46</v>
      </c>
      <c r="J3323" s="3" t="s">
        <v>47</v>
      </c>
      <c r="K3323" s="2" t="str">
        <f aca="false">CONCATENATE(I3323," ",J3323)</f>
        <v>Euryopis flavomaculata</v>
      </c>
      <c r="L3323" s="3" t="n">
        <f aca="false">SUM(P3323:U3323)</f>
        <v>1</v>
      </c>
      <c r="M3323" s="11" t="n">
        <f aca="false">(L3323/(F3323*G3323)*25)*4</f>
        <v>4</v>
      </c>
      <c r="N3323" s="1" t="s">
        <v>30</v>
      </c>
      <c r="O3323" s="1" t="s">
        <v>31</v>
      </c>
      <c r="P3323" s="3" t="n">
        <v>1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f aca="false">SUM(P3323:Q3323)</f>
        <v>1</v>
      </c>
      <c r="W3323" s="3" t="n">
        <f aca="false">SUM(R3323:T3323)</f>
        <v>0</v>
      </c>
      <c r="X3323" s="22" t="n">
        <v>41794</v>
      </c>
      <c r="Y3323" s="22" t="n">
        <v>41799</v>
      </c>
    </row>
    <row r="3324" customFormat="false" ht="14.25" hidden="false" customHeight="false" outlineLevel="0" collapsed="false">
      <c r="A3324" s="1" t="n">
        <v>2014</v>
      </c>
      <c r="B3324" s="1" t="n">
        <v>1</v>
      </c>
      <c r="C3324" s="2" t="s">
        <v>44</v>
      </c>
      <c r="D3324" s="3" t="s">
        <v>45</v>
      </c>
      <c r="E3324" s="3" t="n">
        <v>3</v>
      </c>
      <c r="F3324" s="1" t="n">
        <f aca="false">Y3324-X3324</f>
        <v>5</v>
      </c>
      <c r="G3324" s="1" t="n">
        <v>5</v>
      </c>
      <c r="H3324" s="3" t="s">
        <v>72</v>
      </c>
      <c r="I3324" s="3" t="s">
        <v>152</v>
      </c>
      <c r="J3324" s="3" t="s">
        <v>153</v>
      </c>
      <c r="K3324" s="2" t="str">
        <f aca="false">CONCATENATE(I3324," ",J3324)</f>
        <v>Callilepis nocturna</v>
      </c>
      <c r="L3324" s="3" t="n">
        <f aca="false">SUM(P3324:U3324)</f>
        <v>1</v>
      </c>
      <c r="M3324" s="11" t="n">
        <f aca="false">(L3324/(F3324*G3324)*25)*4</f>
        <v>4</v>
      </c>
      <c r="N3324" s="1" t="s">
        <v>30</v>
      </c>
      <c r="O3324" s="1" t="s">
        <v>31</v>
      </c>
      <c r="P3324" s="3" t="n">
        <v>1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f aca="false">SUM(P3324:Q3324)</f>
        <v>1</v>
      </c>
      <c r="W3324" s="3" t="n">
        <f aca="false">SUM(R3324:T3324)</f>
        <v>0</v>
      </c>
      <c r="X3324" s="22" t="n">
        <v>41794</v>
      </c>
      <c r="Y3324" s="22" t="n">
        <v>41799</v>
      </c>
    </row>
    <row r="3325" customFormat="false" ht="14.25" hidden="false" customHeight="false" outlineLevel="0" collapsed="false">
      <c r="A3325" s="1" t="n">
        <v>2014</v>
      </c>
      <c r="B3325" s="1" t="n">
        <v>1</v>
      </c>
      <c r="C3325" s="2" t="s">
        <v>44</v>
      </c>
      <c r="D3325" s="3" t="s">
        <v>45</v>
      </c>
      <c r="E3325" s="3" t="n">
        <v>3</v>
      </c>
      <c r="F3325" s="1" t="n">
        <f aca="false">Y3325-X3325</f>
        <v>5</v>
      </c>
      <c r="G3325" s="1" t="n">
        <v>5</v>
      </c>
      <c r="H3325" s="3" t="s">
        <v>72</v>
      </c>
      <c r="I3325" s="3" t="s">
        <v>242</v>
      </c>
      <c r="J3325" s="3" t="s">
        <v>166</v>
      </c>
      <c r="K3325" s="2" t="str">
        <f aca="false">CONCATENATE(I3325," ",J3325)</f>
        <v>Drassyllus pusillus</v>
      </c>
      <c r="L3325" s="3" t="n">
        <f aca="false">SUM(P3325:U3325)</f>
        <v>1</v>
      </c>
      <c r="M3325" s="11" t="n">
        <f aca="false">(L3325/(F3325*G3325)*25)*4</f>
        <v>4</v>
      </c>
      <c r="N3325" s="1" t="s">
        <v>30</v>
      </c>
      <c r="O3325" s="1" t="s">
        <v>31</v>
      </c>
      <c r="P3325" s="3" t="n">
        <v>1</v>
      </c>
      <c r="Q3325" s="3" t="n">
        <v>0</v>
      </c>
      <c r="R3325" s="3" t="n">
        <v>0</v>
      </c>
      <c r="S3325" s="3" t="n">
        <v>0</v>
      </c>
      <c r="T3325" s="3" t="n">
        <v>0</v>
      </c>
      <c r="U3325" s="3" t="n">
        <v>0</v>
      </c>
      <c r="V3325" s="3" t="n">
        <f aca="false">SUM(P3325:Q3325)</f>
        <v>1</v>
      </c>
      <c r="W3325" s="3" t="n">
        <f aca="false">SUM(R3325:T3325)</f>
        <v>0</v>
      </c>
      <c r="X3325" s="22" t="n">
        <v>41794</v>
      </c>
      <c r="Y3325" s="22" t="n">
        <v>41799</v>
      </c>
    </row>
    <row r="3326" customFormat="false" ht="14.25" hidden="false" customHeight="false" outlineLevel="0" collapsed="false">
      <c r="A3326" s="1" t="n">
        <v>2014</v>
      </c>
      <c r="B3326" s="1" t="n">
        <v>1</v>
      </c>
      <c r="C3326" s="2" t="s">
        <v>44</v>
      </c>
      <c r="D3326" s="3" t="s">
        <v>45</v>
      </c>
      <c r="E3326" s="3" t="n">
        <v>2</v>
      </c>
      <c r="F3326" s="1" t="n">
        <f aca="false">Y3326-X3326</f>
        <v>5</v>
      </c>
      <c r="G3326" s="1" t="n">
        <v>5</v>
      </c>
      <c r="H3326" s="3" t="s">
        <v>48</v>
      </c>
      <c r="I3326" s="3" t="s">
        <v>49</v>
      </c>
      <c r="J3326" s="3" t="s">
        <v>130</v>
      </c>
      <c r="K3326" s="2" t="str">
        <f aca="false">CONCATENATE(I3326," ",J3326)</f>
        <v>Alopecosa aculeata</v>
      </c>
      <c r="L3326" s="3" t="n">
        <f aca="false">SUM(P3326:U3326)</f>
        <v>2</v>
      </c>
      <c r="M3326" s="11" t="n">
        <f aca="false">(L3326/(F3326*G3326)*25)*4</f>
        <v>8</v>
      </c>
      <c r="N3326" s="1" t="s">
        <v>30</v>
      </c>
      <c r="O3326" s="1" t="s">
        <v>35</v>
      </c>
      <c r="P3326" s="3" t="n">
        <v>0</v>
      </c>
      <c r="Q3326" s="3" t="n">
        <v>2</v>
      </c>
      <c r="R3326" s="3" t="n">
        <v>0</v>
      </c>
      <c r="S3326" s="3" t="n">
        <v>0</v>
      </c>
      <c r="T3326" s="3" t="n">
        <v>0</v>
      </c>
      <c r="U3326" s="3" t="n">
        <v>0</v>
      </c>
      <c r="V3326" s="3" t="n">
        <f aca="false">SUM(P3326:Q3326)</f>
        <v>2</v>
      </c>
      <c r="W3326" s="3" t="n">
        <f aca="false">SUM(R3326:T3326)</f>
        <v>0</v>
      </c>
      <c r="X3326" s="22" t="n">
        <v>41794</v>
      </c>
      <c r="Y3326" s="22" t="n">
        <v>41799</v>
      </c>
    </row>
    <row r="3327" customFormat="false" ht="14.25" hidden="false" customHeight="false" outlineLevel="0" collapsed="false">
      <c r="A3327" s="1" t="n">
        <v>2014</v>
      </c>
      <c r="B3327" s="1" t="n">
        <v>1</v>
      </c>
      <c r="C3327" s="2" t="s">
        <v>44</v>
      </c>
      <c r="D3327" s="3" t="s">
        <v>45</v>
      </c>
      <c r="E3327" s="3" t="n">
        <v>2</v>
      </c>
      <c r="F3327" s="1" t="n">
        <f aca="false">Y3327-X3327</f>
        <v>5</v>
      </c>
      <c r="G3327" s="1" t="n">
        <v>5</v>
      </c>
      <c r="H3327" s="3" t="s">
        <v>48</v>
      </c>
      <c r="I3327" s="3" t="s">
        <v>122</v>
      </c>
      <c r="J3327" s="3" t="s">
        <v>123</v>
      </c>
      <c r="K3327" s="2" t="str">
        <f aca="false">CONCATENATE(I3327," ",J3327)</f>
        <v>Xerolycosa nemoralis</v>
      </c>
      <c r="L3327" s="3" t="n">
        <f aca="false">SUM(P3327:U3327)</f>
        <v>2</v>
      </c>
      <c r="M3327" s="11" t="n">
        <f aca="false">(L3327/(F3327*G3327)*25)*4</f>
        <v>8</v>
      </c>
      <c r="N3327" s="1" t="s">
        <v>30</v>
      </c>
      <c r="O3327" s="1" t="s">
        <v>31</v>
      </c>
      <c r="P3327" s="3" t="n">
        <v>2</v>
      </c>
      <c r="Q3327" s="3" t="n">
        <v>0</v>
      </c>
      <c r="R3327" s="3" t="n">
        <v>0</v>
      </c>
      <c r="S3327" s="3" t="n">
        <v>0</v>
      </c>
      <c r="T3327" s="3" t="n">
        <v>0</v>
      </c>
      <c r="U3327" s="3" t="n">
        <v>0</v>
      </c>
      <c r="V3327" s="3" t="n">
        <f aca="false">SUM(P3327:Q3327)</f>
        <v>2</v>
      </c>
      <c r="W3327" s="3" t="n">
        <f aca="false">SUM(R3327:T3327)</f>
        <v>0</v>
      </c>
      <c r="X3327" s="22" t="n">
        <v>41794</v>
      </c>
      <c r="Y3327" s="22" t="n">
        <v>41799</v>
      </c>
    </row>
    <row r="3328" customFormat="false" ht="14.25" hidden="false" customHeight="false" outlineLevel="0" collapsed="false">
      <c r="A3328" s="1" t="n">
        <v>2014</v>
      </c>
      <c r="B3328" s="1" t="n">
        <v>1</v>
      </c>
      <c r="C3328" s="2" t="s">
        <v>44</v>
      </c>
      <c r="D3328" s="3" t="s">
        <v>45</v>
      </c>
      <c r="E3328" s="3" t="n">
        <v>2</v>
      </c>
      <c r="F3328" s="1" t="n">
        <f aca="false">Y3328-X3328</f>
        <v>5</v>
      </c>
      <c r="G3328" s="1" t="n">
        <v>5</v>
      </c>
      <c r="H3328" s="3" t="s">
        <v>48</v>
      </c>
      <c r="I3328" s="3" t="s">
        <v>67</v>
      </c>
      <c r="J3328" s="3" t="s">
        <v>267</v>
      </c>
      <c r="K3328" s="2" t="str">
        <f aca="false">CONCATENATE(I3328," ",J3328)</f>
        <v>Pardosa femoralis</v>
      </c>
      <c r="L3328" s="3" t="n">
        <f aca="false">SUM(P3328:U3328)</f>
        <v>1</v>
      </c>
      <c r="M3328" s="11" t="n">
        <f aca="false">(L3328/(F3328*G3328)*25)*4</f>
        <v>4</v>
      </c>
      <c r="N3328" s="1" t="s">
        <v>30</v>
      </c>
      <c r="O3328" s="1" t="s">
        <v>31</v>
      </c>
      <c r="P3328" s="3" t="n">
        <v>1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f aca="false">SUM(P3328:Q3328)</f>
        <v>1</v>
      </c>
      <c r="W3328" s="3" t="n">
        <f aca="false">SUM(R3328:T3328)</f>
        <v>0</v>
      </c>
      <c r="X3328" s="22" t="n">
        <v>41794</v>
      </c>
      <c r="Y3328" s="22" t="n">
        <v>41799</v>
      </c>
    </row>
    <row r="3329" customFormat="false" ht="14.25" hidden="false" customHeight="false" outlineLevel="0" collapsed="false">
      <c r="A3329" s="1" t="n">
        <v>2014</v>
      </c>
      <c r="B3329" s="1" t="n">
        <v>1</v>
      </c>
      <c r="C3329" s="2" t="s">
        <v>44</v>
      </c>
      <c r="D3329" s="3" t="s">
        <v>45</v>
      </c>
      <c r="E3329" s="3" t="n">
        <v>2</v>
      </c>
      <c r="F3329" s="1" t="n">
        <f aca="false">Y3329-X3329</f>
        <v>5</v>
      </c>
      <c r="G3329" s="1" t="n">
        <v>5</v>
      </c>
      <c r="H3329" s="3" t="s">
        <v>135</v>
      </c>
      <c r="I3329" s="3" t="s">
        <v>136</v>
      </c>
      <c r="J3329" s="3" t="s">
        <v>137</v>
      </c>
      <c r="K3329" s="2" t="str">
        <f aca="false">CONCATENATE(I3329," ",J3329)</f>
        <v>Thanatus sabulosus</v>
      </c>
      <c r="L3329" s="3" t="n">
        <f aca="false">SUM(P3329:U3329)</f>
        <v>1</v>
      </c>
      <c r="M3329" s="11" t="n">
        <f aca="false">(L3329/(F3329*G3329)*25)*4</f>
        <v>4</v>
      </c>
      <c r="N3329" s="1" t="s">
        <v>30</v>
      </c>
      <c r="O3329" s="1" t="s">
        <v>31</v>
      </c>
      <c r="P3329" s="3" t="n">
        <v>1</v>
      </c>
      <c r="Q3329" s="3" t="n">
        <v>0</v>
      </c>
      <c r="R3329" s="3" t="n">
        <v>0</v>
      </c>
      <c r="S3329" s="3" t="n">
        <v>0</v>
      </c>
      <c r="T3329" s="3" t="n">
        <v>0</v>
      </c>
      <c r="U3329" s="3" t="n">
        <v>0</v>
      </c>
      <c r="V3329" s="3" t="n">
        <f aca="false">SUM(P3329:Q3329)</f>
        <v>1</v>
      </c>
      <c r="W3329" s="3" t="n">
        <f aca="false">SUM(R3329:T3329)</f>
        <v>0</v>
      </c>
      <c r="X3329" s="22" t="n">
        <v>41794</v>
      </c>
      <c r="Y3329" s="22" t="n">
        <v>41799</v>
      </c>
    </row>
    <row r="3330" customFormat="false" ht="14.25" hidden="false" customHeight="false" outlineLevel="0" collapsed="false">
      <c r="A3330" s="1" t="n">
        <v>2014</v>
      </c>
      <c r="B3330" s="1" t="n">
        <v>1</v>
      </c>
      <c r="C3330" s="2" t="s">
        <v>44</v>
      </c>
      <c r="D3330" s="3" t="s">
        <v>45</v>
      </c>
      <c r="E3330" s="3" t="n">
        <v>2</v>
      </c>
      <c r="F3330" s="1" t="n">
        <f aca="false">Y3330-X3330</f>
        <v>5</v>
      </c>
      <c r="G3330" s="1" t="n">
        <v>5</v>
      </c>
      <c r="H3330" s="3" t="s">
        <v>72</v>
      </c>
      <c r="I3330" s="3" t="s">
        <v>73</v>
      </c>
      <c r="J3330" s="3" t="s">
        <v>38</v>
      </c>
      <c r="K3330" s="2" t="str">
        <f aca="false">CONCATENATE(I3330," ",J3330)</f>
        <v>Zelotes sp</v>
      </c>
      <c r="L3330" s="3" t="n">
        <f aca="false">SUM(P3330:U3330)</f>
        <v>1</v>
      </c>
      <c r="M3330" s="11" t="n">
        <f aca="false">(L3330/(F3330*G3330)*25)*4</f>
        <v>4</v>
      </c>
      <c r="N3330" s="1" t="s">
        <v>19</v>
      </c>
      <c r="O3330" s="1" t="s">
        <v>31</v>
      </c>
      <c r="P3330" s="3" t="n">
        <v>0</v>
      </c>
      <c r="Q3330" s="3" t="n">
        <v>0</v>
      </c>
      <c r="R3330" s="3" t="n">
        <v>1</v>
      </c>
      <c r="S3330" s="3" t="n">
        <v>0</v>
      </c>
      <c r="T3330" s="3" t="n">
        <v>0</v>
      </c>
      <c r="U3330" s="3" t="n">
        <v>0</v>
      </c>
      <c r="V3330" s="3" t="n">
        <f aca="false">SUM(P3330:Q3330)</f>
        <v>0</v>
      </c>
      <c r="W3330" s="3" t="n">
        <f aca="false">SUM(R3330:T3330)</f>
        <v>1</v>
      </c>
      <c r="X3330" s="22" t="n">
        <v>41794</v>
      </c>
      <c r="Y3330" s="22" t="n">
        <v>41799</v>
      </c>
    </row>
    <row r="3331" customFormat="false" ht="14.25" hidden="false" customHeight="false" outlineLevel="0" collapsed="false">
      <c r="A3331" s="1" t="n">
        <v>2014</v>
      </c>
      <c r="B3331" s="1" t="n">
        <v>1</v>
      </c>
      <c r="C3331" s="2" t="s">
        <v>44</v>
      </c>
      <c r="D3331" s="3" t="s">
        <v>45</v>
      </c>
      <c r="E3331" s="3" t="n">
        <v>2</v>
      </c>
      <c r="F3331" s="1" t="n">
        <f aca="false">Y3331-X3331</f>
        <v>5</v>
      </c>
      <c r="G3331" s="1" t="n">
        <v>5</v>
      </c>
      <c r="H3331" s="3" t="s">
        <v>72</v>
      </c>
      <c r="I3331" s="3" t="s">
        <v>73</v>
      </c>
      <c r="J3331" s="3" t="s">
        <v>38</v>
      </c>
      <c r="K3331" s="2" t="str">
        <f aca="false">CONCATENATE(I3331," ",J3331)</f>
        <v>Zelotes sp</v>
      </c>
      <c r="L3331" s="3" t="n">
        <f aca="false">SUM(P3331:U3331)</f>
        <v>2</v>
      </c>
      <c r="M3331" s="11" t="n">
        <f aca="false">(L3331/(F3331*G3331)*25)*4</f>
        <v>8</v>
      </c>
      <c r="N3331" s="1" t="s">
        <v>19</v>
      </c>
      <c r="O3331" s="1" t="s">
        <v>35</v>
      </c>
      <c r="P3331" s="3" t="n">
        <v>0</v>
      </c>
      <c r="Q3331" s="3" t="n">
        <v>0</v>
      </c>
      <c r="R3331" s="3" t="n">
        <v>0</v>
      </c>
      <c r="S3331" s="3" t="n">
        <v>2</v>
      </c>
      <c r="T3331" s="3" t="n">
        <v>0</v>
      </c>
      <c r="U3331" s="3" t="n">
        <v>0</v>
      </c>
      <c r="V3331" s="3" t="n">
        <f aca="false">SUM(P3331:Q3331)</f>
        <v>0</v>
      </c>
      <c r="W3331" s="3" t="n">
        <f aca="false">SUM(R3331:T3331)</f>
        <v>2</v>
      </c>
      <c r="X3331" s="22" t="n">
        <v>41794</v>
      </c>
      <c r="Y3331" s="22" t="n">
        <v>41799</v>
      </c>
    </row>
    <row r="3332" customFormat="false" ht="14.25" hidden="false" customHeight="false" outlineLevel="0" collapsed="false">
      <c r="A3332" s="1" t="n">
        <v>2014</v>
      </c>
      <c r="B3332" s="1" t="n">
        <v>1</v>
      </c>
      <c r="C3332" s="2" t="s">
        <v>44</v>
      </c>
      <c r="D3332" s="3" t="s">
        <v>45</v>
      </c>
      <c r="E3332" s="3" t="n">
        <v>2</v>
      </c>
      <c r="F3332" s="1" t="n">
        <f aca="false">Y3332-X3332</f>
        <v>5</v>
      </c>
      <c r="G3332" s="1" t="n">
        <v>5</v>
      </c>
      <c r="H3332" s="3" t="s">
        <v>72</v>
      </c>
      <c r="I3332" s="3" t="s">
        <v>73</v>
      </c>
      <c r="J3332" s="3" t="s">
        <v>38</v>
      </c>
      <c r="K3332" s="2" t="str">
        <f aca="false">CONCATENATE(I3332," ",J3332)</f>
        <v>Zelotes sp</v>
      </c>
      <c r="L3332" s="3" t="n">
        <f aca="false">SUM(P3332:U3332)</f>
        <v>1</v>
      </c>
      <c r="M3332" s="11" t="n">
        <f aca="false">(L3332/(F3332*G3332)*25)*4</f>
        <v>4</v>
      </c>
      <c r="N3332" s="1" t="s">
        <v>19</v>
      </c>
      <c r="O3332" s="1" t="s">
        <v>54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1</v>
      </c>
      <c r="U3332" s="3" t="n">
        <v>0</v>
      </c>
      <c r="V3332" s="3" t="n">
        <f aca="false">SUM(P3332:Q3332)</f>
        <v>0</v>
      </c>
      <c r="W3332" s="3" t="n">
        <f aca="false">SUM(R3332:T3332)</f>
        <v>1</v>
      </c>
      <c r="X3332" s="22" t="n">
        <v>41794</v>
      </c>
      <c r="Y3332" s="22" t="n">
        <v>41799</v>
      </c>
    </row>
    <row r="3333" customFormat="false" ht="14.25" hidden="false" customHeight="false" outlineLevel="0" collapsed="false">
      <c r="A3333" s="1" t="n">
        <v>2014</v>
      </c>
      <c r="B3333" s="1" t="n">
        <v>1</v>
      </c>
      <c r="C3333" s="2" t="s">
        <v>44</v>
      </c>
      <c r="D3333" s="3" t="s">
        <v>45</v>
      </c>
      <c r="E3333" s="3" t="n">
        <v>2</v>
      </c>
      <c r="F3333" s="1" t="n">
        <f aca="false">Y3333-X3333</f>
        <v>5</v>
      </c>
      <c r="G3333" s="1" t="n">
        <v>5</v>
      </c>
      <c r="H3333" s="3" t="s">
        <v>48</v>
      </c>
      <c r="I3333" s="3" t="s">
        <v>49</v>
      </c>
      <c r="J3333" s="3" t="s">
        <v>130</v>
      </c>
      <c r="K3333" s="2" t="str">
        <f aca="false">CONCATENATE(I3333," ",J3333)</f>
        <v>Alopecosa aculeata</v>
      </c>
      <c r="L3333" s="3" t="n">
        <f aca="false">SUM(P3333:U3333)</f>
        <v>1</v>
      </c>
      <c r="M3333" s="11" t="n">
        <f aca="false">(L3333/(F3333*G3333)*25)*4</f>
        <v>4</v>
      </c>
      <c r="N3333" s="1" t="s">
        <v>30</v>
      </c>
      <c r="O3333" s="1" t="s">
        <v>31</v>
      </c>
      <c r="P3333" s="3" t="n">
        <v>1</v>
      </c>
      <c r="Q3333" s="3" t="n">
        <v>0</v>
      </c>
      <c r="R3333" s="3" t="n">
        <v>0</v>
      </c>
      <c r="S3333" s="3" t="n">
        <v>0</v>
      </c>
      <c r="T3333" s="3" t="n">
        <v>0</v>
      </c>
      <c r="U3333" s="3" t="n">
        <v>0</v>
      </c>
      <c r="V3333" s="3" t="n">
        <f aca="false">SUM(P3333:Q3333)</f>
        <v>1</v>
      </c>
      <c r="W3333" s="3" t="n">
        <f aca="false">SUM(R3333:T3333)</f>
        <v>0</v>
      </c>
      <c r="X3333" s="22" t="n">
        <v>41794</v>
      </c>
      <c r="Y3333" s="22" t="n">
        <v>41799</v>
      </c>
    </row>
    <row r="3334" customFormat="false" ht="14.25" hidden="false" customHeight="false" outlineLevel="0" collapsed="false">
      <c r="A3334" s="1" t="n">
        <v>2014</v>
      </c>
      <c r="B3334" s="1" t="n">
        <v>1</v>
      </c>
      <c r="C3334" s="2" t="s">
        <v>44</v>
      </c>
      <c r="D3334" s="3" t="s">
        <v>45</v>
      </c>
      <c r="E3334" s="3" t="n">
        <v>2</v>
      </c>
      <c r="F3334" s="1" t="n">
        <f aca="false">Y3334-X3334</f>
        <v>5</v>
      </c>
      <c r="G3334" s="1" t="n">
        <v>5</v>
      </c>
      <c r="H3334" s="3" t="s">
        <v>48</v>
      </c>
      <c r="I3334" s="3" t="s">
        <v>122</v>
      </c>
      <c r="J3334" s="3" t="s">
        <v>123</v>
      </c>
      <c r="K3334" s="2" t="str">
        <f aca="false">CONCATENATE(I3334," ",J3334)</f>
        <v>Xerolycosa nemoralis</v>
      </c>
      <c r="L3334" s="3" t="n">
        <f aca="false">SUM(P3334:U3334)</f>
        <v>3</v>
      </c>
      <c r="M3334" s="11" t="n">
        <f aca="false">(L3334/(F3334*G3334)*25)*4</f>
        <v>12</v>
      </c>
      <c r="N3334" s="1" t="s">
        <v>30</v>
      </c>
      <c r="O3334" s="1" t="s">
        <v>31</v>
      </c>
      <c r="P3334" s="3" t="n">
        <v>3</v>
      </c>
      <c r="Q3334" s="3" t="n">
        <v>0</v>
      </c>
      <c r="R3334" s="3" t="n">
        <v>0</v>
      </c>
      <c r="S3334" s="3" t="n">
        <v>0</v>
      </c>
      <c r="T3334" s="3" t="n">
        <v>0</v>
      </c>
      <c r="U3334" s="3" t="n">
        <v>0</v>
      </c>
      <c r="V3334" s="3" t="n">
        <f aca="false">SUM(P3334:Q3334)</f>
        <v>3</v>
      </c>
      <c r="W3334" s="3" t="n">
        <f aca="false">SUM(R3334:T3334)</f>
        <v>0</v>
      </c>
      <c r="X3334" s="22" t="n">
        <v>41794</v>
      </c>
      <c r="Y3334" s="22" t="n">
        <v>41799</v>
      </c>
    </row>
    <row r="3335" customFormat="false" ht="14.25" hidden="false" customHeight="false" outlineLevel="0" collapsed="false">
      <c r="A3335" s="1" t="n">
        <v>2014</v>
      </c>
      <c r="B3335" s="1" t="n">
        <v>1</v>
      </c>
      <c r="C3335" s="2" t="s">
        <v>44</v>
      </c>
      <c r="D3335" s="3" t="s">
        <v>45</v>
      </c>
      <c r="E3335" s="3" t="n">
        <v>2</v>
      </c>
      <c r="F3335" s="1" t="n">
        <f aca="false">Y3335-X3335</f>
        <v>5</v>
      </c>
      <c r="G3335" s="1" t="n">
        <v>5</v>
      </c>
      <c r="H3335" s="3" t="s">
        <v>48</v>
      </c>
      <c r="I3335" s="3" t="s">
        <v>122</v>
      </c>
      <c r="J3335" s="3" t="s">
        <v>123</v>
      </c>
      <c r="K3335" s="2" t="str">
        <f aca="false">CONCATENATE(I3335," ",J3335)</f>
        <v>Xerolycosa nemoralis</v>
      </c>
      <c r="L3335" s="3" t="n">
        <f aca="false">SUM(P3335:U3335)</f>
        <v>1</v>
      </c>
      <c r="M3335" s="11" t="n">
        <f aca="false">(L3335/(F3335*G3335)*25)*4</f>
        <v>4</v>
      </c>
      <c r="N3335" s="1" t="s">
        <v>30</v>
      </c>
      <c r="O3335" s="1" t="s">
        <v>35</v>
      </c>
      <c r="P3335" s="3" t="n">
        <v>0</v>
      </c>
      <c r="Q3335" s="3" t="n">
        <v>1</v>
      </c>
      <c r="R3335" s="3" t="n">
        <v>0</v>
      </c>
      <c r="S3335" s="3" t="n">
        <v>0</v>
      </c>
      <c r="T3335" s="3" t="n">
        <v>0</v>
      </c>
      <c r="U3335" s="3" t="n">
        <v>0</v>
      </c>
      <c r="V3335" s="3" t="n">
        <f aca="false">SUM(P3335:Q3335)</f>
        <v>1</v>
      </c>
      <c r="W3335" s="3" t="n">
        <f aca="false">SUM(R3335:T3335)</f>
        <v>0</v>
      </c>
      <c r="X3335" s="22" t="n">
        <v>41794</v>
      </c>
      <c r="Y3335" s="22" t="n">
        <v>41799</v>
      </c>
    </row>
    <row r="3336" customFormat="false" ht="14.25" hidden="false" customHeight="false" outlineLevel="0" collapsed="false">
      <c r="A3336" s="1" t="n">
        <v>2014</v>
      </c>
      <c r="B3336" s="1" t="n">
        <v>1</v>
      </c>
      <c r="C3336" s="2" t="s">
        <v>44</v>
      </c>
      <c r="D3336" s="3" t="s">
        <v>45</v>
      </c>
      <c r="E3336" s="3" t="n">
        <v>2</v>
      </c>
      <c r="F3336" s="1" t="n">
        <f aca="false">Y3336-X3336</f>
        <v>5</v>
      </c>
      <c r="G3336" s="1" t="n">
        <v>5</v>
      </c>
      <c r="H3336" s="3" t="s">
        <v>72</v>
      </c>
      <c r="I3336" s="3" t="s">
        <v>152</v>
      </c>
      <c r="J3336" s="3" t="s">
        <v>153</v>
      </c>
      <c r="K3336" s="2" t="str">
        <f aca="false">CONCATENATE(I3336," ",J3336)</f>
        <v>Callilepis nocturna</v>
      </c>
      <c r="L3336" s="3" t="n">
        <f aca="false">SUM(P3336:U3336)</f>
        <v>1</v>
      </c>
      <c r="M3336" s="11" t="n">
        <f aca="false">(L3336/(F3336*G3336)*25)*4</f>
        <v>4</v>
      </c>
      <c r="N3336" s="1" t="s">
        <v>30</v>
      </c>
      <c r="O3336" s="1" t="s">
        <v>31</v>
      </c>
      <c r="P3336" s="3" t="n">
        <v>1</v>
      </c>
      <c r="Q3336" s="3" t="n">
        <v>0</v>
      </c>
      <c r="R3336" s="3" t="n">
        <v>0</v>
      </c>
      <c r="S3336" s="3" t="n">
        <v>0</v>
      </c>
      <c r="T3336" s="3" t="n">
        <v>0</v>
      </c>
      <c r="U3336" s="3" t="n">
        <v>0</v>
      </c>
      <c r="V3336" s="3" t="n">
        <f aca="false">SUM(P3336:Q3336)</f>
        <v>1</v>
      </c>
      <c r="W3336" s="3" t="n">
        <f aca="false">SUM(R3336:T3336)</f>
        <v>0</v>
      </c>
      <c r="X3336" s="22" t="n">
        <v>41794</v>
      </c>
      <c r="Y3336" s="22" t="n">
        <v>41799</v>
      </c>
    </row>
    <row r="3337" customFormat="false" ht="14.25" hidden="false" customHeight="false" outlineLevel="0" collapsed="false">
      <c r="A3337" s="1" t="n">
        <v>2014</v>
      </c>
      <c r="B3337" s="1" t="n">
        <v>1</v>
      </c>
      <c r="C3337" s="2" t="s">
        <v>44</v>
      </c>
      <c r="D3337" s="3" t="s">
        <v>45</v>
      </c>
      <c r="E3337" s="3" t="n">
        <v>2</v>
      </c>
      <c r="F3337" s="1" t="n">
        <f aca="false">Y3337-X3337</f>
        <v>5</v>
      </c>
      <c r="G3337" s="1" t="n">
        <v>5</v>
      </c>
      <c r="H3337" s="3" t="s">
        <v>72</v>
      </c>
      <c r="I3337" s="3" t="s">
        <v>73</v>
      </c>
      <c r="J3337" s="3" t="s">
        <v>38</v>
      </c>
      <c r="K3337" s="2" t="str">
        <f aca="false">CONCATENATE(I3337," ",J3337)</f>
        <v>Zelotes sp</v>
      </c>
      <c r="L3337" s="3" t="n">
        <f aca="false">SUM(P3337:U3337)</f>
        <v>1</v>
      </c>
      <c r="M3337" s="11" t="n">
        <f aca="false">(L3337/(F3337*G3337)*25)*4</f>
        <v>4</v>
      </c>
      <c r="N3337" s="1" t="s">
        <v>19</v>
      </c>
      <c r="O3337" s="1" t="s">
        <v>54</v>
      </c>
      <c r="P3337" s="3" t="n">
        <v>0</v>
      </c>
      <c r="Q3337" s="3" t="n">
        <v>0</v>
      </c>
      <c r="R3337" s="3" t="n">
        <v>0</v>
      </c>
      <c r="S3337" s="3" t="n">
        <v>0</v>
      </c>
      <c r="T3337" s="3" t="n">
        <v>1</v>
      </c>
      <c r="U3337" s="3" t="n">
        <v>0</v>
      </c>
      <c r="V3337" s="3" t="n">
        <f aca="false">SUM(P3337:Q3337)</f>
        <v>0</v>
      </c>
      <c r="W3337" s="3" t="n">
        <f aca="false">SUM(R3337:T3337)</f>
        <v>1</v>
      </c>
      <c r="X3337" s="22" t="n">
        <v>41794</v>
      </c>
      <c r="Y3337" s="22" t="n">
        <v>41799</v>
      </c>
    </row>
    <row r="3338" customFormat="false" ht="14.25" hidden="false" customHeight="false" outlineLevel="0" collapsed="false">
      <c r="A3338" s="1" t="n">
        <v>2014</v>
      </c>
      <c r="B3338" s="1" t="n">
        <v>1</v>
      </c>
      <c r="C3338" s="2" t="s">
        <v>44</v>
      </c>
      <c r="D3338" s="3" t="s">
        <v>45</v>
      </c>
      <c r="E3338" s="3" t="n">
        <v>2</v>
      </c>
      <c r="F3338" s="1" t="n">
        <f aca="false">Y3338-X3338</f>
        <v>5</v>
      </c>
      <c r="G3338" s="1" t="n">
        <v>5</v>
      </c>
      <c r="H3338" s="3" t="s">
        <v>135</v>
      </c>
      <c r="I3338" s="3" t="s">
        <v>136</v>
      </c>
      <c r="J3338" s="3" t="s">
        <v>137</v>
      </c>
      <c r="K3338" s="2" t="str">
        <f aca="false">CONCATENATE(I3338," ",J3338)</f>
        <v>Thanatus sabulosus</v>
      </c>
      <c r="L3338" s="3" t="n">
        <f aca="false">SUM(P3338:U3338)</f>
        <v>1</v>
      </c>
      <c r="M3338" s="11" t="n">
        <f aca="false">(L3338/(F3338*G3338)*25)*4</f>
        <v>4</v>
      </c>
      <c r="N3338" s="1" t="s">
        <v>30</v>
      </c>
      <c r="O3338" s="1" t="s">
        <v>31</v>
      </c>
      <c r="P3338" s="3" t="n">
        <v>1</v>
      </c>
      <c r="Q3338" s="3" t="n">
        <v>0</v>
      </c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f aca="false">SUM(P3338:Q3338)</f>
        <v>1</v>
      </c>
      <c r="W3338" s="3" t="n">
        <f aca="false">SUM(R3338:T3338)</f>
        <v>0</v>
      </c>
      <c r="X3338" s="22" t="n">
        <v>41794</v>
      </c>
      <c r="Y3338" s="22" t="n">
        <v>41799</v>
      </c>
    </row>
    <row r="3339" customFormat="false" ht="14.25" hidden="false" customHeight="false" outlineLevel="0" collapsed="false">
      <c r="A3339" s="1" t="n">
        <v>2014</v>
      </c>
      <c r="B3339" s="1" t="n">
        <v>1</v>
      </c>
      <c r="C3339" s="2" t="s">
        <v>44</v>
      </c>
      <c r="D3339" s="3" t="s">
        <v>45</v>
      </c>
      <c r="E3339" s="3" t="n">
        <v>2</v>
      </c>
      <c r="F3339" s="1" t="n">
        <f aca="false">Y3339-X3339</f>
        <v>5</v>
      </c>
      <c r="G3339" s="1" t="n">
        <v>5</v>
      </c>
      <c r="H3339" s="3" t="s">
        <v>48</v>
      </c>
      <c r="I3339" s="3" t="s">
        <v>122</v>
      </c>
      <c r="J3339" s="3" t="s">
        <v>123</v>
      </c>
      <c r="K3339" s="2" t="str">
        <f aca="false">CONCATENATE(I3339," ",J3339)</f>
        <v>Xerolycosa nemoralis</v>
      </c>
      <c r="L3339" s="3" t="n">
        <f aca="false">SUM(P3339:U3339)</f>
        <v>1</v>
      </c>
      <c r="M3339" s="11" t="n">
        <f aca="false">(L3339/(F3339*G3339)*25)*4</f>
        <v>4</v>
      </c>
      <c r="N3339" s="1" t="s">
        <v>30</v>
      </c>
      <c r="O3339" s="1" t="s">
        <v>31</v>
      </c>
      <c r="P3339" s="3" t="n">
        <v>1</v>
      </c>
      <c r="Q3339" s="3" t="n">
        <v>0</v>
      </c>
      <c r="R3339" s="3" t="n">
        <v>0</v>
      </c>
      <c r="S3339" s="3" t="n">
        <v>0</v>
      </c>
      <c r="T3339" s="3" t="n">
        <v>0</v>
      </c>
      <c r="U3339" s="3" t="n">
        <v>0</v>
      </c>
      <c r="V3339" s="3" t="n">
        <f aca="false">SUM(P3339:Q3339)</f>
        <v>1</v>
      </c>
      <c r="W3339" s="3" t="n">
        <f aca="false">SUM(R3339:T3339)</f>
        <v>0</v>
      </c>
      <c r="X3339" s="22" t="n">
        <v>41794</v>
      </c>
      <c r="Y3339" s="22" t="n">
        <v>41799</v>
      </c>
    </row>
    <row r="3340" customFormat="false" ht="14.25" hidden="false" customHeight="false" outlineLevel="0" collapsed="false">
      <c r="A3340" s="1" t="n">
        <v>2014</v>
      </c>
      <c r="B3340" s="1" t="n">
        <v>1</v>
      </c>
      <c r="C3340" s="2" t="s">
        <v>44</v>
      </c>
      <c r="D3340" s="3" t="s">
        <v>45</v>
      </c>
      <c r="E3340" s="3" t="n">
        <v>2</v>
      </c>
      <c r="F3340" s="1" t="n">
        <f aca="false">Y3340-X3340</f>
        <v>5</v>
      </c>
      <c r="G3340" s="1" t="n">
        <v>5</v>
      </c>
      <c r="H3340" s="3" t="s">
        <v>48</v>
      </c>
      <c r="I3340" s="3" t="s">
        <v>122</v>
      </c>
      <c r="J3340" s="3" t="s">
        <v>123</v>
      </c>
      <c r="K3340" s="2" t="str">
        <f aca="false">CONCATENATE(I3340," ",J3340)</f>
        <v>Xerolycosa nemoralis</v>
      </c>
      <c r="L3340" s="3" t="n">
        <f aca="false">SUM(P3340:U3340)</f>
        <v>1</v>
      </c>
      <c r="M3340" s="11" t="n">
        <f aca="false">(L3340/(F3340*G3340)*25)*4</f>
        <v>4</v>
      </c>
      <c r="N3340" s="1" t="s">
        <v>30</v>
      </c>
      <c r="O3340" s="1" t="s">
        <v>35</v>
      </c>
      <c r="P3340" s="3" t="n">
        <v>0</v>
      </c>
      <c r="Q3340" s="3" t="n">
        <v>1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f aca="false">SUM(P3340:Q3340)</f>
        <v>1</v>
      </c>
      <c r="W3340" s="3" t="n">
        <f aca="false">SUM(R3340:T3340)</f>
        <v>0</v>
      </c>
      <c r="X3340" s="22" t="n">
        <v>41794</v>
      </c>
      <c r="Y3340" s="22" t="n">
        <v>41799</v>
      </c>
    </row>
    <row r="3341" customFormat="false" ht="14.25" hidden="false" customHeight="false" outlineLevel="0" collapsed="false">
      <c r="A3341" s="1" t="n">
        <v>2014</v>
      </c>
      <c r="B3341" s="1" t="n">
        <v>1</v>
      </c>
      <c r="C3341" s="2" t="s">
        <v>44</v>
      </c>
      <c r="D3341" s="3" t="s">
        <v>45</v>
      </c>
      <c r="E3341" s="3" t="n">
        <v>2</v>
      </c>
      <c r="F3341" s="1" t="n">
        <f aca="false">Y3341-X3341</f>
        <v>5</v>
      </c>
      <c r="G3341" s="1" t="n">
        <v>5</v>
      </c>
      <c r="H3341" s="3" t="s">
        <v>72</v>
      </c>
      <c r="I3341" s="3" t="s">
        <v>152</v>
      </c>
      <c r="J3341" s="3" t="s">
        <v>153</v>
      </c>
      <c r="K3341" s="2" t="str">
        <f aca="false">CONCATENATE(I3341," ",J3341)</f>
        <v>Callilepis nocturna</v>
      </c>
      <c r="L3341" s="3" t="n">
        <f aca="false">SUM(P3341:U3341)</f>
        <v>1</v>
      </c>
      <c r="M3341" s="11" t="n">
        <f aca="false">(L3341/(F3341*G3341)*25)*4</f>
        <v>4</v>
      </c>
      <c r="N3341" s="1" t="s">
        <v>30</v>
      </c>
      <c r="O3341" s="1" t="s">
        <v>35</v>
      </c>
      <c r="P3341" s="3" t="n">
        <v>0</v>
      </c>
      <c r="Q3341" s="3" t="n">
        <v>1</v>
      </c>
      <c r="R3341" s="3" t="n">
        <v>0</v>
      </c>
      <c r="S3341" s="3" t="n">
        <v>0</v>
      </c>
      <c r="T3341" s="3" t="n">
        <v>0</v>
      </c>
      <c r="U3341" s="3" t="n">
        <v>0</v>
      </c>
      <c r="V3341" s="3" t="n">
        <f aca="false">SUM(P3341:Q3341)</f>
        <v>1</v>
      </c>
      <c r="W3341" s="3" t="n">
        <f aca="false">SUM(R3341:T3341)</f>
        <v>0</v>
      </c>
      <c r="X3341" s="22" t="n">
        <v>41794</v>
      </c>
      <c r="Y3341" s="22" t="n">
        <v>41799</v>
      </c>
    </row>
    <row r="3342" customFormat="false" ht="14.25" hidden="false" customHeight="false" outlineLevel="0" collapsed="false">
      <c r="A3342" s="1" t="n">
        <v>2014</v>
      </c>
      <c r="B3342" s="1" t="n">
        <v>1</v>
      </c>
      <c r="C3342" s="2" t="s">
        <v>44</v>
      </c>
      <c r="D3342" s="3" t="s">
        <v>45</v>
      </c>
      <c r="E3342" s="3" t="n">
        <v>2</v>
      </c>
      <c r="F3342" s="1" t="n">
        <f aca="false">Y3342-X3342</f>
        <v>5</v>
      </c>
      <c r="G3342" s="1" t="n">
        <v>5</v>
      </c>
      <c r="H3342" s="3" t="s">
        <v>48</v>
      </c>
      <c r="I3342" s="3" t="s">
        <v>49</v>
      </c>
      <c r="J3342" s="3" t="s">
        <v>38</v>
      </c>
      <c r="K3342" s="2" t="str">
        <f aca="false">CONCATENATE(I3342," ",J3342)</f>
        <v>Alopecosa sp</v>
      </c>
      <c r="L3342" s="3" t="n">
        <f aca="false">SUM(P3342:U3342)</f>
        <v>3</v>
      </c>
      <c r="M3342" s="11" t="n">
        <f aca="false">(L3342/(F3342*G3342)*25)*4</f>
        <v>12</v>
      </c>
      <c r="N3342" s="1" t="s">
        <v>19</v>
      </c>
      <c r="O3342" s="1" t="s">
        <v>54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3</v>
      </c>
      <c r="U3342" s="3" t="n">
        <v>0</v>
      </c>
      <c r="V3342" s="3" t="n">
        <f aca="false">SUM(P3342:Q3342)</f>
        <v>0</v>
      </c>
      <c r="W3342" s="3" t="n">
        <f aca="false">SUM(R3342:T3342)</f>
        <v>3</v>
      </c>
      <c r="X3342" s="22" t="n">
        <v>41794</v>
      </c>
      <c r="Y3342" s="22" t="n">
        <v>41799</v>
      </c>
    </row>
    <row r="3343" customFormat="false" ht="14.25" hidden="false" customHeight="false" outlineLevel="0" collapsed="false">
      <c r="A3343" s="1" t="n">
        <v>2014</v>
      </c>
      <c r="B3343" s="1" t="n">
        <v>1</v>
      </c>
      <c r="C3343" s="2" t="s">
        <v>44</v>
      </c>
      <c r="D3343" s="3" t="s">
        <v>45</v>
      </c>
      <c r="E3343" s="3" t="n">
        <v>2</v>
      </c>
      <c r="F3343" s="1" t="n">
        <f aca="false">Y3343-X3343</f>
        <v>5</v>
      </c>
      <c r="G3343" s="1" t="n">
        <v>5</v>
      </c>
      <c r="H3343" s="3" t="s">
        <v>48</v>
      </c>
      <c r="I3343" s="3" t="s">
        <v>61</v>
      </c>
      <c r="J3343" s="3" t="s">
        <v>38</v>
      </c>
      <c r="K3343" s="2" t="str">
        <f aca="false">CONCATENATE(I3343," ",J3343)</f>
        <v>Trochosa sp</v>
      </c>
      <c r="L3343" s="3" t="n">
        <f aca="false">SUM(P3343:U3343)</f>
        <v>1</v>
      </c>
      <c r="M3343" s="11" t="n">
        <f aca="false">(L3343/(F3343*G3343)*25)*4</f>
        <v>4</v>
      </c>
      <c r="N3343" s="1" t="s">
        <v>19</v>
      </c>
      <c r="O3343" s="1" t="s">
        <v>54</v>
      </c>
      <c r="P3343" s="3" t="n">
        <v>0</v>
      </c>
      <c r="Q3343" s="3" t="n">
        <v>0</v>
      </c>
      <c r="R3343" s="3" t="n">
        <v>0</v>
      </c>
      <c r="S3343" s="3" t="n">
        <v>0</v>
      </c>
      <c r="T3343" s="3" t="n">
        <v>1</v>
      </c>
      <c r="U3343" s="3" t="n">
        <v>0</v>
      </c>
      <c r="V3343" s="3" t="n">
        <f aca="false">SUM(P3343:Q3343)</f>
        <v>0</v>
      </c>
      <c r="W3343" s="3" t="n">
        <f aca="false">SUM(R3343:T3343)</f>
        <v>1</v>
      </c>
      <c r="X3343" s="22" t="n">
        <v>41794</v>
      </c>
      <c r="Y3343" s="22" t="n">
        <v>41799</v>
      </c>
    </row>
    <row r="3344" customFormat="false" ht="14.25" hidden="false" customHeight="false" outlineLevel="0" collapsed="false">
      <c r="A3344" s="1" t="n">
        <v>2014</v>
      </c>
      <c r="B3344" s="1" t="n">
        <v>1</v>
      </c>
      <c r="C3344" s="3" t="s">
        <v>115</v>
      </c>
      <c r="D3344" s="3" t="s">
        <v>116</v>
      </c>
      <c r="E3344" s="3" t="n">
        <v>2</v>
      </c>
      <c r="F3344" s="1" t="n">
        <f aca="false">Y3344-X3344</f>
        <v>5</v>
      </c>
      <c r="G3344" s="1" t="n">
        <v>5</v>
      </c>
      <c r="H3344" s="3" t="s">
        <v>48</v>
      </c>
      <c r="I3344" s="3" t="s">
        <v>67</v>
      </c>
      <c r="J3344" s="3" t="s">
        <v>167</v>
      </c>
      <c r="K3344" s="2" t="str">
        <f aca="false">CONCATENATE(I3344," ",J3344)</f>
        <v>Pardosa agrestis</v>
      </c>
      <c r="L3344" s="3" t="n">
        <f aca="false">SUM(P3344:U3344)</f>
        <v>1</v>
      </c>
      <c r="M3344" s="11" t="n">
        <f aca="false">(L3344/(F3344*G3344)*25)*4</f>
        <v>4</v>
      </c>
      <c r="N3344" s="1" t="s">
        <v>30</v>
      </c>
      <c r="O3344" s="1" t="s">
        <v>31</v>
      </c>
      <c r="P3344" s="3" t="n">
        <v>1</v>
      </c>
      <c r="Q3344" s="3" t="n">
        <v>0</v>
      </c>
      <c r="R3344" s="3" t="n">
        <v>0</v>
      </c>
      <c r="S3344" s="3" t="n">
        <v>0</v>
      </c>
      <c r="T3344" s="3" t="n">
        <v>0</v>
      </c>
      <c r="U3344" s="3" t="n">
        <v>0</v>
      </c>
      <c r="V3344" s="3" t="n">
        <f aca="false">SUM(P3344:Q3344)</f>
        <v>1</v>
      </c>
      <c r="W3344" s="3" t="n">
        <f aca="false">SUM(R3344:T3344)</f>
        <v>0</v>
      </c>
      <c r="X3344" s="22" t="n">
        <v>41794</v>
      </c>
      <c r="Y3344" s="22" t="n">
        <v>41799</v>
      </c>
    </row>
    <row r="3345" customFormat="false" ht="14.25" hidden="false" customHeight="false" outlineLevel="0" collapsed="false">
      <c r="A3345" s="1" t="n">
        <v>2014</v>
      </c>
      <c r="B3345" s="1" t="n">
        <v>1</v>
      </c>
      <c r="C3345" s="3" t="s">
        <v>115</v>
      </c>
      <c r="D3345" s="3" t="s">
        <v>116</v>
      </c>
      <c r="E3345" s="3" t="n">
        <v>2</v>
      </c>
      <c r="F3345" s="1" t="n">
        <f aca="false">Y3345-X3345</f>
        <v>5</v>
      </c>
      <c r="G3345" s="1" t="n">
        <v>5</v>
      </c>
      <c r="H3345" s="3" t="s">
        <v>48</v>
      </c>
      <c r="I3345" s="3" t="s">
        <v>49</v>
      </c>
      <c r="J3345" s="3" t="s">
        <v>38</v>
      </c>
      <c r="K3345" s="2" t="str">
        <f aca="false">CONCATENATE(I3345," ",J3345)</f>
        <v>Alopecosa sp</v>
      </c>
      <c r="L3345" s="3" t="n">
        <f aca="false">SUM(P3345:U3345)</f>
        <v>1</v>
      </c>
      <c r="M3345" s="11" t="n">
        <f aca="false">(L3345/(F3345*G3345)*25)*4</f>
        <v>4</v>
      </c>
      <c r="N3345" s="1" t="s">
        <v>19</v>
      </c>
      <c r="O3345" s="1" t="s">
        <v>54</v>
      </c>
      <c r="P3345" s="3" t="n">
        <v>0</v>
      </c>
      <c r="Q3345" s="3" t="n">
        <v>0</v>
      </c>
      <c r="R3345" s="3" t="n">
        <v>0</v>
      </c>
      <c r="S3345" s="3" t="n">
        <v>0</v>
      </c>
      <c r="T3345" s="3" t="n">
        <v>1</v>
      </c>
      <c r="U3345" s="3" t="n">
        <v>0</v>
      </c>
      <c r="V3345" s="3" t="n">
        <f aca="false">SUM(P3345:Q3345)</f>
        <v>0</v>
      </c>
      <c r="W3345" s="3" t="n">
        <f aca="false">SUM(R3345:T3345)</f>
        <v>1</v>
      </c>
      <c r="X3345" s="22" t="n">
        <v>41794</v>
      </c>
      <c r="Y3345" s="22" t="n">
        <v>41799</v>
      </c>
    </row>
    <row r="3346" customFormat="false" ht="14.25" hidden="false" customHeight="false" outlineLevel="0" collapsed="false">
      <c r="A3346" s="1" t="n">
        <v>2014</v>
      </c>
      <c r="B3346" s="1" t="n">
        <v>1</v>
      </c>
      <c r="C3346" s="3" t="s">
        <v>115</v>
      </c>
      <c r="D3346" s="3" t="s">
        <v>116</v>
      </c>
      <c r="E3346" s="3" t="n">
        <v>2</v>
      </c>
      <c r="F3346" s="1" t="n">
        <f aca="false">Y3346-X3346</f>
        <v>5</v>
      </c>
      <c r="G3346" s="1" t="n">
        <v>5</v>
      </c>
      <c r="H3346" s="3" t="s">
        <v>48</v>
      </c>
      <c r="I3346" s="3" t="s">
        <v>67</v>
      </c>
      <c r="J3346" s="3" t="s">
        <v>204</v>
      </c>
      <c r="K3346" s="2" t="str">
        <f aca="false">CONCATENATE(I3346," ",J3346)</f>
        <v>Pardosa palustris</v>
      </c>
      <c r="L3346" s="3" t="n">
        <f aca="false">SUM(P3346:U3346)</f>
        <v>1</v>
      </c>
      <c r="M3346" s="11" t="n">
        <f aca="false">(L3346/(F3346*G3346)*25)*4</f>
        <v>4</v>
      </c>
      <c r="N3346" s="1" t="s">
        <v>30</v>
      </c>
      <c r="O3346" s="1" t="s">
        <v>31</v>
      </c>
      <c r="P3346" s="3" t="n">
        <v>1</v>
      </c>
      <c r="Q3346" s="3" t="n">
        <v>0</v>
      </c>
      <c r="R3346" s="3" t="n">
        <v>0</v>
      </c>
      <c r="S3346" s="3" t="n">
        <v>0</v>
      </c>
      <c r="T3346" s="3" t="n">
        <v>0</v>
      </c>
      <c r="U3346" s="3" t="n">
        <v>0</v>
      </c>
      <c r="V3346" s="3" t="n">
        <f aca="false">SUM(P3346:Q3346)</f>
        <v>1</v>
      </c>
      <c r="W3346" s="3" t="n">
        <f aca="false">SUM(R3346:T3346)</f>
        <v>0</v>
      </c>
      <c r="X3346" s="22" t="n">
        <v>41794</v>
      </c>
      <c r="Y3346" s="22" t="n">
        <v>41799</v>
      </c>
    </row>
    <row r="3347" customFormat="false" ht="14.25" hidden="false" customHeight="false" outlineLevel="0" collapsed="false">
      <c r="A3347" s="1" t="n">
        <v>2014</v>
      </c>
      <c r="B3347" s="1" t="n">
        <v>1</v>
      </c>
      <c r="C3347" s="3" t="s">
        <v>115</v>
      </c>
      <c r="D3347" s="3" t="s">
        <v>116</v>
      </c>
      <c r="E3347" s="3" t="n">
        <v>3</v>
      </c>
      <c r="F3347" s="1" t="n">
        <f aca="false">Y3347-X3347</f>
        <v>5</v>
      </c>
      <c r="G3347" s="1" t="n">
        <v>5</v>
      </c>
      <c r="H3347" s="3" t="s">
        <v>72</v>
      </c>
      <c r="I3347" s="3" t="s">
        <v>242</v>
      </c>
      <c r="J3347" s="3" t="s">
        <v>166</v>
      </c>
      <c r="K3347" s="2" t="str">
        <f aca="false">CONCATENATE(I3347," ",J3347)</f>
        <v>Drassyllus pusillus</v>
      </c>
      <c r="L3347" s="3" t="n">
        <f aca="false">SUM(P3347:U3347)</f>
        <v>1</v>
      </c>
      <c r="M3347" s="11" t="n">
        <f aca="false">(L3347/(F3347*G3347)*25)*4</f>
        <v>4</v>
      </c>
      <c r="N3347" s="1" t="s">
        <v>30</v>
      </c>
      <c r="O3347" s="1" t="s">
        <v>31</v>
      </c>
      <c r="P3347" s="3" t="n">
        <v>1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0</v>
      </c>
      <c r="V3347" s="3" t="n">
        <f aca="false">SUM(P3347:Q3347)</f>
        <v>1</v>
      </c>
      <c r="W3347" s="3" t="n">
        <f aca="false">SUM(R3347:T3347)</f>
        <v>0</v>
      </c>
      <c r="X3347" s="22" t="n">
        <v>41794</v>
      </c>
      <c r="Y3347" s="22" t="n">
        <v>41799</v>
      </c>
    </row>
    <row r="3348" customFormat="false" ht="14.25" hidden="false" customHeight="false" outlineLevel="0" collapsed="false">
      <c r="A3348" s="1" t="n">
        <v>2014</v>
      </c>
      <c r="B3348" s="1" t="n">
        <v>1</v>
      </c>
      <c r="C3348" s="3" t="s">
        <v>115</v>
      </c>
      <c r="D3348" s="3" t="s">
        <v>116</v>
      </c>
      <c r="E3348" s="3" t="n">
        <v>3</v>
      </c>
      <c r="F3348" s="1" t="n">
        <f aca="false">Y3348-X3348</f>
        <v>5</v>
      </c>
      <c r="G3348" s="1" t="n">
        <v>5</v>
      </c>
      <c r="H3348" s="3" t="s">
        <v>32</v>
      </c>
      <c r="I3348" s="3" t="s">
        <v>207</v>
      </c>
      <c r="J3348" s="3" t="s">
        <v>268</v>
      </c>
      <c r="K3348" s="2" t="str">
        <f aca="false">CONCATENATE(I3348," ",J3348)</f>
        <v>Oedothorax sp (gibbosus?)</v>
      </c>
      <c r="L3348" s="3" t="n">
        <f aca="false">SUM(P3348:U3348)</f>
        <v>1</v>
      </c>
      <c r="M3348" s="11" t="n">
        <f aca="false">(L3348/(F3348*G3348)*25)*4</f>
        <v>4</v>
      </c>
      <c r="N3348" s="1" t="s">
        <v>30</v>
      </c>
      <c r="O3348" s="1" t="s">
        <v>35</v>
      </c>
      <c r="P3348" s="3" t="n">
        <v>0</v>
      </c>
      <c r="Q3348" s="3" t="n">
        <v>1</v>
      </c>
      <c r="R3348" s="3" t="n">
        <v>0</v>
      </c>
      <c r="S3348" s="3" t="n">
        <v>0</v>
      </c>
      <c r="T3348" s="3" t="n">
        <v>0</v>
      </c>
      <c r="U3348" s="3" t="n">
        <v>0</v>
      </c>
      <c r="V3348" s="3" t="n">
        <f aca="false">SUM(P3348:Q3348)</f>
        <v>1</v>
      </c>
      <c r="W3348" s="3" t="n">
        <f aca="false">SUM(R3348:T3348)</f>
        <v>0</v>
      </c>
      <c r="X3348" s="22" t="n">
        <v>41794</v>
      </c>
      <c r="Y3348" s="22" t="n">
        <v>41799</v>
      </c>
    </row>
    <row r="3349" customFormat="false" ht="14.25" hidden="false" customHeight="false" outlineLevel="0" collapsed="false">
      <c r="A3349" s="1" t="n">
        <v>2014</v>
      </c>
      <c r="B3349" s="1" t="n">
        <v>1</v>
      </c>
      <c r="C3349" s="3" t="s">
        <v>115</v>
      </c>
      <c r="D3349" s="3" t="s">
        <v>116</v>
      </c>
      <c r="E3349" s="3" t="n">
        <v>3</v>
      </c>
      <c r="F3349" s="1" t="n">
        <f aca="false">Y3349-X3349</f>
        <v>5</v>
      </c>
      <c r="G3349" s="1" t="n">
        <v>5</v>
      </c>
      <c r="H3349" s="3" t="s">
        <v>48</v>
      </c>
      <c r="I3349" s="3" t="s">
        <v>122</v>
      </c>
      <c r="J3349" s="3" t="s">
        <v>123</v>
      </c>
      <c r="K3349" s="2" t="str">
        <f aca="false">CONCATENATE(I3349," ",J3349)</f>
        <v>Xerolycosa nemoralis</v>
      </c>
      <c r="L3349" s="3" t="n">
        <f aca="false">SUM(P3349:U3349)</f>
        <v>1</v>
      </c>
      <c r="M3349" s="11" t="n">
        <f aca="false">(L3349/(F3349*G3349)*25)*4</f>
        <v>4</v>
      </c>
      <c r="N3349" s="1" t="s">
        <v>30</v>
      </c>
      <c r="O3349" s="1" t="s">
        <v>31</v>
      </c>
      <c r="P3349" s="3" t="n">
        <v>1</v>
      </c>
      <c r="Q3349" s="3" t="n">
        <v>0</v>
      </c>
      <c r="R3349" s="3" t="n">
        <v>0</v>
      </c>
      <c r="S3349" s="3" t="n">
        <v>0</v>
      </c>
      <c r="T3349" s="3" t="n">
        <v>0</v>
      </c>
      <c r="U3349" s="3" t="n">
        <v>0</v>
      </c>
      <c r="V3349" s="3" t="n">
        <f aca="false">SUM(P3349:Q3349)</f>
        <v>1</v>
      </c>
      <c r="W3349" s="3" t="n">
        <f aca="false">SUM(R3349:T3349)</f>
        <v>0</v>
      </c>
      <c r="X3349" s="22" t="n">
        <v>41794</v>
      </c>
      <c r="Y3349" s="22" t="n">
        <v>41799</v>
      </c>
    </row>
    <row r="3350" customFormat="false" ht="14.25" hidden="false" customHeight="false" outlineLevel="0" collapsed="false">
      <c r="A3350" s="1" t="n">
        <v>2014</v>
      </c>
      <c r="B3350" s="1" t="n">
        <v>1</v>
      </c>
      <c r="C3350" s="3" t="s">
        <v>115</v>
      </c>
      <c r="D3350" s="3" t="s">
        <v>116</v>
      </c>
      <c r="E3350" s="3" t="n">
        <v>2</v>
      </c>
      <c r="F3350" s="1" t="n">
        <f aca="false">Y3350-X3350</f>
        <v>5</v>
      </c>
      <c r="G3350" s="1" t="n">
        <v>5</v>
      </c>
      <c r="H3350" s="3" t="s">
        <v>72</v>
      </c>
      <c r="I3350" s="3" t="s">
        <v>242</v>
      </c>
      <c r="J3350" s="3" t="s">
        <v>166</v>
      </c>
      <c r="K3350" s="2" t="str">
        <f aca="false">CONCATENATE(I3350," ",J3350)</f>
        <v>Drassyllus pusillus</v>
      </c>
      <c r="L3350" s="3" t="n">
        <f aca="false">SUM(P3350:U3350)</f>
        <v>1</v>
      </c>
      <c r="M3350" s="11" t="n">
        <f aca="false">(L3350/(F3350*G3350)*25)*4</f>
        <v>4</v>
      </c>
      <c r="N3350" s="1" t="s">
        <v>30</v>
      </c>
      <c r="O3350" s="1" t="s">
        <v>35</v>
      </c>
      <c r="P3350" s="3" t="n">
        <v>0</v>
      </c>
      <c r="Q3350" s="3" t="n">
        <v>1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f aca="false">SUM(P3350:Q3350)</f>
        <v>1</v>
      </c>
      <c r="W3350" s="3" t="n">
        <f aca="false">SUM(R3350:T3350)</f>
        <v>0</v>
      </c>
      <c r="X3350" s="22" t="n">
        <v>41794</v>
      </c>
      <c r="Y3350" s="22" t="n">
        <v>41799</v>
      </c>
    </row>
    <row r="3351" customFormat="false" ht="14.25" hidden="false" customHeight="false" outlineLevel="0" collapsed="false">
      <c r="A3351" s="1" t="n">
        <v>2014</v>
      </c>
      <c r="B3351" s="1" t="n">
        <v>1</v>
      </c>
      <c r="C3351" s="3" t="s">
        <v>115</v>
      </c>
      <c r="D3351" s="3" t="s">
        <v>116</v>
      </c>
      <c r="E3351" s="3" t="n">
        <v>2</v>
      </c>
      <c r="F3351" s="1" t="n">
        <f aca="false">Y3351-X3351</f>
        <v>5</v>
      </c>
      <c r="G3351" s="1" t="n">
        <v>5</v>
      </c>
      <c r="H3351" s="3" t="s">
        <v>48</v>
      </c>
      <c r="I3351" s="3" t="s">
        <v>67</v>
      </c>
      <c r="J3351" s="3" t="s">
        <v>167</v>
      </c>
      <c r="K3351" s="2" t="str">
        <f aca="false">CONCATENATE(I3351," ",J3351)</f>
        <v>Pardosa agrestis</v>
      </c>
      <c r="L3351" s="3" t="n">
        <f aca="false">SUM(P3351:U3351)</f>
        <v>1</v>
      </c>
      <c r="M3351" s="11" t="n">
        <f aca="false">(L3351/(F3351*G3351)*25)*4</f>
        <v>4</v>
      </c>
      <c r="N3351" s="1" t="s">
        <v>30</v>
      </c>
      <c r="O3351" s="1" t="s">
        <v>31</v>
      </c>
      <c r="P3351" s="3" t="n">
        <v>1</v>
      </c>
      <c r="Q3351" s="3" t="n">
        <v>0</v>
      </c>
      <c r="R3351" s="3" t="n">
        <v>0</v>
      </c>
      <c r="S3351" s="3" t="n">
        <v>0</v>
      </c>
      <c r="T3351" s="3" t="n">
        <v>0</v>
      </c>
      <c r="U3351" s="3" t="n">
        <v>0</v>
      </c>
      <c r="V3351" s="3" t="n">
        <f aca="false">SUM(P3351:Q3351)</f>
        <v>1</v>
      </c>
      <c r="W3351" s="3" t="n">
        <f aca="false">SUM(R3351:T3351)</f>
        <v>0</v>
      </c>
      <c r="X3351" s="22" t="n">
        <v>41794</v>
      </c>
      <c r="Y3351" s="22" t="n">
        <v>41799</v>
      </c>
    </row>
    <row r="3352" customFormat="false" ht="14.25" hidden="false" customHeight="false" outlineLevel="0" collapsed="false">
      <c r="A3352" s="1" t="n">
        <v>2014</v>
      </c>
      <c r="B3352" s="1" t="n">
        <v>1</v>
      </c>
      <c r="C3352" s="3" t="s">
        <v>115</v>
      </c>
      <c r="D3352" s="3" t="s">
        <v>116</v>
      </c>
      <c r="E3352" s="3" t="n">
        <v>1</v>
      </c>
      <c r="F3352" s="1" t="n">
        <f aca="false">Y3352-X3352</f>
        <v>5</v>
      </c>
      <c r="G3352" s="1" t="n">
        <v>5</v>
      </c>
      <c r="H3352" s="3" t="s">
        <v>72</v>
      </c>
      <c r="I3352" s="3" t="s">
        <v>86</v>
      </c>
      <c r="J3352" s="3" t="s">
        <v>87</v>
      </c>
      <c r="K3352" s="2" t="str">
        <f aca="false">CONCATENATE(I3352," ",J3352)</f>
        <v>Haplodrassus soerenseni</v>
      </c>
      <c r="L3352" s="3" t="n">
        <f aca="false">SUM(P3352:U3352)</f>
        <v>1</v>
      </c>
      <c r="M3352" s="11" t="n">
        <f aca="false">(L3352/(F3352*G3352)*25)*4</f>
        <v>4</v>
      </c>
      <c r="N3352" s="1" t="s">
        <v>30</v>
      </c>
      <c r="O3352" s="1" t="s">
        <v>35</v>
      </c>
      <c r="P3352" s="3" t="n">
        <v>0</v>
      </c>
      <c r="Q3352" s="3" t="n">
        <v>1</v>
      </c>
      <c r="R3352" s="3" t="n">
        <v>0</v>
      </c>
      <c r="S3352" s="3" t="n">
        <v>0</v>
      </c>
      <c r="T3352" s="3" t="n">
        <v>0</v>
      </c>
      <c r="U3352" s="3" t="n">
        <v>0</v>
      </c>
      <c r="V3352" s="3" t="n">
        <f aca="false">SUM(P3352:Q3352)</f>
        <v>1</v>
      </c>
      <c r="W3352" s="3" t="n">
        <f aca="false">SUM(R3352:T3352)</f>
        <v>0</v>
      </c>
      <c r="X3352" s="22" t="n">
        <v>41794</v>
      </c>
      <c r="Y3352" s="22" t="n">
        <v>41799</v>
      </c>
    </row>
    <row r="3353" customFormat="false" ht="14.25" hidden="false" customHeight="false" outlineLevel="0" collapsed="false">
      <c r="A3353" s="1" t="n">
        <v>2014</v>
      </c>
      <c r="B3353" s="1" t="n">
        <v>1</v>
      </c>
      <c r="C3353" s="3" t="s">
        <v>115</v>
      </c>
      <c r="D3353" s="3" t="s">
        <v>116</v>
      </c>
      <c r="E3353" s="3" t="n">
        <v>1</v>
      </c>
      <c r="F3353" s="1" t="n">
        <f aca="false">Y3353-X3353</f>
        <v>5</v>
      </c>
      <c r="G3353" s="1" t="n">
        <v>5</v>
      </c>
      <c r="H3353" s="3" t="s">
        <v>72</v>
      </c>
      <c r="I3353" s="3" t="s">
        <v>242</v>
      </c>
      <c r="J3353" s="3" t="s">
        <v>38</v>
      </c>
      <c r="K3353" s="2" t="str">
        <f aca="false">CONCATENATE(I3353," ",J3353)</f>
        <v>Drassyllus sp</v>
      </c>
      <c r="L3353" s="3" t="n">
        <f aca="false">SUM(P3353:U3353)</f>
        <v>1</v>
      </c>
      <c r="M3353" s="11" t="n">
        <f aca="false">(L3353/(F3353*G3353)*25)*4</f>
        <v>4</v>
      </c>
      <c r="N3353" s="1" t="s">
        <v>19</v>
      </c>
      <c r="O3353" s="1" t="s">
        <v>31</v>
      </c>
      <c r="P3353" s="3" t="n">
        <v>0</v>
      </c>
      <c r="Q3353" s="3" t="n">
        <v>0</v>
      </c>
      <c r="R3353" s="3" t="n">
        <v>1</v>
      </c>
      <c r="S3353" s="3" t="n">
        <v>0</v>
      </c>
      <c r="T3353" s="3" t="n">
        <v>0</v>
      </c>
      <c r="U3353" s="3" t="n">
        <v>0</v>
      </c>
      <c r="V3353" s="3" t="n">
        <f aca="false">SUM(P3353:Q3353)</f>
        <v>0</v>
      </c>
      <c r="W3353" s="3" t="n">
        <f aca="false">SUM(R3353:T3353)</f>
        <v>1</v>
      </c>
      <c r="X3353" s="22" t="n">
        <v>41794</v>
      </c>
      <c r="Y3353" s="22" t="n">
        <v>41799</v>
      </c>
    </row>
    <row r="3354" customFormat="false" ht="14.25" hidden="false" customHeight="false" outlineLevel="0" collapsed="false">
      <c r="A3354" s="1" t="n">
        <v>2014</v>
      </c>
      <c r="B3354" s="1" t="n">
        <v>1</v>
      </c>
      <c r="C3354" s="3" t="s">
        <v>115</v>
      </c>
      <c r="D3354" s="3" t="s">
        <v>116</v>
      </c>
      <c r="E3354" s="3" t="n">
        <v>1</v>
      </c>
      <c r="F3354" s="1" t="n">
        <f aca="false">Y3354-X3354</f>
        <v>5</v>
      </c>
      <c r="G3354" s="1" t="n">
        <v>5</v>
      </c>
      <c r="H3354" s="3" t="s">
        <v>48</v>
      </c>
      <c r="I3354" s="3" t="s">
        <v>122</v>
      </c>
      <c r="J3354" s="3" t="s">
        <v>123</v>
      </c>
      <c r="K3354" s="2" t="str">
        <f aca="false">CONCATENATE(I3354," ",J3354)</f>
        <v>Xerolycosa nemoralis</v>
      </c>
      <c r="L3354" s="3" t="n">
        <f aca="false">SUM(P3354:U3354)</f>
        <v>1</v>
      </c>
      <c r="M3354" s="11" t="n">
        <f aca="false">(L3354/(F3354*G3354)*25)*4</f>
        <v>4</v>
      </c>
      <c r="N3354" s="1" t="s">
        <v>30</v>
      </c>
      <c r="O3354" s="1" t="s">
        <v>31</v>
      </c>
      <c r="P3354" s="3" t="n">
        <v>1</v>
      </c>
      <c r="Q3354" s="3" t="n">
        <v>0</v>
      </c>
      <c r="R3354" s="3" t="n">
        <v>0</v>
      </c>
      <c r="S3354" s="3" t="n">
        <v>0</v>
      </c>
      <c r="T3354" s="3" t="n">
        <v>0</v>
      </c>
      <c r="U3354" s="3" t="n">
        <v>0</v>
      </c>
      <c r="V3354" s="3" t="n">
        <f aca="false">SUM(P3354:Q3354)</f>
        <v>1</v>
      </c>
      <c r="W3354" s="3" t="n">
        <f aca="false">SUM(R3354:T3354)</f>
        <v>0</v>
      </c>
      <c r="X3354" s="22" t="n">
        <v>41794</v>
      </c>
      <c r="Y3354" s="22" t="n">
        <v>41799</v>
      </c>
    </row>
    <row r="3355" customFormat="false" ht="14.25" hidden="false" customHeight="false" outlineLevel="0" collapsed="false">
      <c r="A3355" s="1" t="n">
        <v>2014</v>
      </c>
      <c r="B3355" s="1" t="n">
        <v>1</v>
      </c>
      <c r="C3355" s="3" t="s">
        <v>115</v>
      </c>
      <c r="D3355" s="3" t="s">
        <v>116</v>
      </c>
      <c r="E3355" s="3" t="n">
        <v>1</v>
      </c>
      <c r="F3355" s="1" t="n">
        <f aca="false">Y3355-X3355</f>
        <v>5</v>
      </c>
      <c r="G3355" s="1" t="n">
        <v>5</v>
      </c>
      <c r="H3355" s="3" t="s">
        <v>48</v>
      </c>
      <c r="I3355" s="3" t="s">
        <v>49</v>
      </c>
      <c r="J3355" s="3" t="s">
        <v>38</v>
      </c>
      <c r="K3355" s="2" t="str">
        <f aca="false">CONCATENATE(I3355," ",J3355)</f>
        <v>Alopecosa sp</v>
      </c>
      <c r="L3355" s="3" t="n">
        <f aca="false">SUM(P3355:U3355)</f>
        <v>1</v>
      </c>
      <c r="M3355" s="11" t="n">
        <f aca="false">(L3355/(F3355*G3355)*25)*4</f>
        <v>4</v>
      </c>
      <c r="N3355" s="1" t="s">
        <v>19</v>
      </c>
      <c r="O3355" s="1" t="s">
        <v>54</v>
      </c>
      <c r="P3355" s="3" t="n">
        <v>0</v>
      </c>
      <c r="Q3355" s="3" t="n">
        <v>0</v>
      </c>
      <c r="R3355" s="3" t="n">
        <v>0</v>
      </c>
      <c r="S3355" s="3" t="n">
        <v>0</v>
      </c>
      <c r="T3355" s="3" t="n">
        <v>1</v>
      </c>
      <c r="U3355" s="3" t="n">
        <v>0</v>
      </c>
      <c r="V3355" s="3" t="n">
        <f aca="false">SUM(P3355:Q3355)</f>
        <v>0</v>
      </c>
      <c r="W3355" s="3" t="n">
        <f aca="false">SUM(R3355:T3355)</f>
        <v>1</v>
      </c>
      <c r="X3355" s="22" t="n">
        <v>41794</v>
      </c>
      <c r="Y3355" s="22" t="n">
        <v>41799</v>
      </c>
    </row>
    <row r="3356" customFormat="false" ht="14.25" hidden="false" customHeight="false" outlineLevel="0" collapsed="false">
      <c r="A3356" s="1" t="n">
        <v>2014</v>
      </c>
      <c r="B3356" s="1" t="n">
        <v>1</v>
      </c>
      <c r="C3356" s="3" t="s">
        <v>115</v>
      </c>
      <c r="D3356" s="3" t="s">
        <v>116</v>
      </c>
      <c r="E3356" s="3" t="n">
        <v>1</v>
      </c>
      <c r="F3356" s="1" t="n">
        <f aca="false">Y3356-X3356</f>
        <v>5</v>
      </c>
      <c r="G3356" s="1" t="n">
        <v>5</v>
      </c>
      <c r="H3356" s="3" t="s">
        <v>32</v>
      </c>
      <c r="I3356" s="3" t="s">
        <v>102</v>
      </c>
      <c r="J3356" s="3" t="s">
        <v>117</v>
      </c>
      <c r="K3356" s="2" t="str">
        <f aca="false">CONCATENATE(I3356," ",J3356)</f>
        <v>Agyneta affinis</v>
      </c>
      <c r="L3356" s="3" t="n">
        <f aca="false">SUM(P3356:U3356)</f>
        <v>1</v>
      </c>
      <c r="M3356" s="11" t="n">
        <f aca="false">(L3356/(F3356*G3356)*25)*4</f>
        <v>4</v>
      </c>
      <c r="N3356" s="1" t="s">
        <v>30</v>
      </c>
      <c r="O3356" s="1" t="s">
        <v>35</v>
      </c>
      <c r="P3356" s="3" t="n">
        <v>0</v>
      </c>
      <c r="Q3356" s="3" t="n">
        <v>1</v>
      </c>
      <c r="R3356" s="3" t="n">
        <v>0</v>
      </c>
      <c r="S3356" s="3" t="n">
        <v>0</v>
      </c>
      <c r="T3356" s="3" t="n">
        <v>0</v>
      </c>
      <c r="U3356" s="3" t="n">
        <v>0</v>
      </c>
      <c r="V3356" s="3" t="n">
        <f aca="false">SUM(P3356:Q3356)</f>
        <v>1</v>
      </c>
      <c r="W3356" s="3" t="n">
        <f aca="false">SUM(R3356:T3356)</f>
        <v>0</v>
      </c>
      <c r="X3356" s="22" t="n">
        <v>41794</v>
      </c>
      <c r="Y3356" s="22" t="n">
        <v>41799</v>
      </c>
    </row>
    <row r="3357" customFormat="false" ht="14.25" hidden="false" customHeight="false" outlineLevel="0" collapsed="false">
      <c r="A3357" s="1" t="n">
        <v>2014</v>
      </c>
      <c r="B3357" s="1" t="n">
        <v>1</v>
      </c>
      <c r="C3357" s="3" t="s">
        <v>115</v>
      </c>
      <c r="D3357" s="3" t="s">
        <v>116</v>
      </c>
      <c r="E3357" s="3" t="n">
        <v>1</v>
      </c>
      <c r="F3357" s="1" t="n">
        <f aca="false">Y3357-X3357</f>
        <v>5</v>
      </c>
      <c r="G3357" s="1" t="n">
        <v>5</v>
      </c>
      <c r="H3357" s="3" t="s">
        <v>135</v>
      </c>
      <c r="I3357" s="3" t="s">
        <v>136</v>
      </c>
      <c r="J3357" s="3" t="s">
        <v>269</v>
      </c>
      <c r="K3357" s="2" t="str">
        <f aca="false">CONCATENATE(I3357," ",J3357)</f>
        <v>Thanatus striatus</v>
      </c>
      <c r="L3357" s="3" t="n">
        <f aca="false">SUM(P3357:U3357)</f>
        <v>1</v>
      </c>
      <c r="M3357" s="11" t="n">
        <f aca="false">(L3357/(F3357*G3357)*25)*4</f>
        <v>4</v>
      </c>
      <c r="N3357" s="1" t="s">
        <v>30</v>
      </c>
      <c r="O3357" s="1" t="s">
        <v>31</v>
      </c>
      <c r="P3357" s="3" t="n">
        <v>1</v>
      </c>
      <c r="Q3357" s="3" t="n">
        <v>0</v>
      </c>
      <c r="R3357" s="3" t="n">
        <v>0</v>
      </c>
      <c r="S3357" s="3" t="n">
        <v>0</v>
      </c>
      <c r="T3357" s="3" t="n">
        <v>0</v>
      </c>
      <c r="U3357" s="3" t="n">
        <v>0</v>
      </c>
      <c r="V3357" s="3" t="n">
        <f aca="false">SUM(P3357:Q3357)</f>
        <v>1</v>
      </c>
      <c r="W3357" s="3" t="n">
        <f aca="false">SUM(R3357:T3357)</f>
        <v>0</v>
      </c>
      <c r="X3357" s="22" t="n">
        <v>41794</v>
      </c>
      <c r="Y3357" s="22" t="n">
        <v>41799</v>
      </c>
    </row>
    <row r="3358" customFormat="false" ht="14.25" hidden="false" customHeight="false" outlineLevel="0" collapsed="false">
      <c r="A3358" s="1" t="n">
        <v>2014</v>
      </c>
      <c r="B3358" s="1" t="n">
        <v>1</v>
      </c>
      <c r="C3358" s="3" t="s">
        <v>115</v>
      </c>
      <c r="D3358" s="3" t="s">
        <v>116</v>
      </c>
      <c r="E3358" s="3" t="n">
        <v>2</v>
      </c>
      <c r="F3358" s="1" t="n">
        <f aca="false">Y3358-X3358</f>
        <v>5</v>
      </c>
      <c r="G3358" s="1" t="n">
        <v>5</v>
      </c>
      <c r="H3358" s="3" t="s">
        <v>72</v>
      </c>
      <c r="I3358" s="3" t="s">
        <v>86</v>
      </c>
      <c r="J3358" s="3" t="s">
        <v>87</v>
      </c>
      <c r="K3358" s="2" t="str">
        <f aca="false">CONCATENATE(I3358," ",J3358)</f>
        <v>Haplodrassus soerenseni</v>
      </c>
      <c r="L3358" s="3" t="n">
        <f aca="false">SUM(P3358:U3358)</f>
        <v>1</v>
      </c>
      <c r="M3358" s="11" t="n">
        <f aca="false">(L3358/(F3358*G3358)*25)*4</f>
        <v>4</v>
      </c>
      <c r="N3358" s="1" t="s">
        <v>30</v>
      </c>
      <c r="O3358" s="1" t="s">
        <v>35</v>
      </c>
      <c r="P3358" s="3" t="n">
        <v>0</v>
      </c>
      <c r="Q3358" s="3" t="n">
        <v>1</v>
      </c>
      <c r="R3358" s="3" t="n">
        <v>0</v>
      </c>
      <c r="S3358" s="3" t="n">
        <v>0</v>
      </c>
      <c r="T3358" s="3" t="n">
        <v>0</v>
      </c>
      <c r="U3358" s="3" t="n">
        <v>0</v>
      </c>
      <c r="V3358" s="3" t="n">
        <f aca="false">SUM(P3358:Q3358)</f>
        <v>1</v>
      </c>
      <c r="W3358" s="3" t="n">
        <f aca="false">SUM(R3358:T3358)</f>
        <v>0</v>
      </c>
      <c r="X3358" s="22" t="n">
        <v>41794</v>
      </c>
      <c r="Y3358" s="22" t="n">
        <v>41799</v>
      </c>
    </row>
    <row r="3359" customFormat="false" ht="14.25" hidden="false" customHeight="false" outlineLevel="0" collapsed="false">
      <c r="A3359" s="1" t="n">
        <v>2014</v>
      </c>
      <c r="B3359" s="1" t="n">
        <v>1</v>
      </c>
      <c r="C3359" s="3" t="s">
        <v>115</v>
      </c>
      <c r="D3359" s="3" t="s">
        <v>116</v>
      </c>
      <c r="E3359" s="3" t="n">
        <v>2</v>
      </c>
      <c r="F3359" s="1" t="n">
        <f aca="false">Y3359-X3359</f>
        <v>5</v>
      </c>
      <c r="G3359" s="1" t="n">
        <v>5</v>
      </c>
      <c r="H3359" s="3" t="s">
        <v>32</v>
      </c>
      <c r="I3359" s="3" t="s">
        <v>270</v>
      </c>
      <c r="J3359" s="3" t="s">
        <v>271</v>
      </c>
      <c r="K3359" s="2" t="str">
        <f aca="false">CONCATENATE(I3359," ",J3359)</f>
        <v>Porrhomma pygmaeum</v>
      </c>
      <c r="L3359" s="3" t="n">
        <f aca="false">SUM(P3359:U3359)</f>
        <v>1</v>
      </c>
      <c r="M3359" s="11" t="n">
        <f aca="false">(L3359/(F3359*G3359)*25)*4</f>
        <v>4</v>
      </c>
      <c r="N3359" s="1" t="s">
        <v>30</v>
      </c>
      <c r="O3359" s="1" t="s">
        <v>35</v>
      </c>
      <c r="P3359" s="3" t="n">
        <v>0</v>
      </c>
      <c r="Q3359" s="3" t="n">
        <v>1</v>
      </c>
      <c r="R3359" s="3" t="n">
        <v>0</v>
      </c>
      <c r="S3359" s="3" t="n">
        <v>0</v>
      </c>
      <c r="T3359" s="3" t="n">
        <v>0</v>
      </c>
      <c r="U3359" s="3" t="n">
        <v>0</v>
      </c>
      <c r="V3359" s="3" t="n">
        <f aca="false">SUM(P3359:Q3359)</f>
        <v>1</v>
      </c>
      <c r="W3359" s="3" t="n">
        <f aca="false">SUM(R3359:T3359)</f>
        <v>0</v>
      </c>
      <c r="X3359" s="22" t="n">
        <v>41794</v>
      </c>
      <c r="Y3359" s="22" t="n">
        <v>41799</v>
      </c>
    </row>
    <row r="3360" customFormat="false" ht="14.25" hidden="false" customHeight="false" outlineLevel="0" collapsed="false">
      <c r="A3360" s="1" t="n">
        <v>2014</v>
      </c>
      <c r="B3360" s="1" t="n">
        <v>1</v>
      </c>
      <c r="C3360" s="3" t="s">
        <v>115</v>
      </c>
      <c r="D3360" s="3" t="s">
        <v>116</v>
      </c>
      <c r="E3360" s="3" t="n">
        <v>3</v>
      </c>
      <c r="F3360" s="1" t="n">
        <f aca="false">Y3360-X3360</f>
        <v>5</v>
      </c>
      <c r="G3360" s="1" t="n">
        <v>5</v>
      </c>
      <c r="H3360" s="3" t="s">
        <v>226</v>
      </c>
      <c r="I3360" s="3" t="s">
        <v>65</v>
      </c>
      <c r="J3360" s="3" t="s">
        <v>66</v>
      </c>
      <c r="K3360" s="2" t="str">
        <f aca="false">CONCATENATE(I3360," ",J3360)</f>
        <v>Zora Spinimana</v>
      </c>
      <c r="L3360" s="3" t="n">
        <f aca="false">SUM(P3360:U3360)</f>
        <v>1</v>
      </c>
      <c r="M3360" s="11" t="n">
        <f aca="false">(L3360/(F3360*G3360)*25)*4</f>
        <v>4</v>
      </c>
      <c r="N3360" s="1" t="s">
        <v>30</v>
      </c>
      <c r="O3360" s="1" t="s">
        <v>35</v>
      </c>
      <c r="P3360" s="3" t="n">
        <v>0</v>
      </c>
      <c r="Q3360" s="3" t="n">
        <v>1</v>
      </c>
      <c r="R3360" s="3" t="n">
        <v>0</v>
      </c>
      <c r="S3360" s="3" t="n">
        <v>0</v>
      </c>
      <c r="T3360" s="3" t="n">
        <v>0</v>
      </c>
      <c r="U3360" s="3" t="n">
        <v>0</v>
      </c>
      <c r="V3360" s="3" t="n">
        <f aca="false">SUM(P3360:Q3360)</f>
        <v>1</v>
      </c>
      <c r="W3360" s="3" t="n">
        <f aca="false">SUM(R3360:T3360)</f>
        <v>0</v>
      </c>
      <c r="X3360" s="22" t="n">
        <v>41794</v>
      </c>
      <c r="Y3360" s="22" t="n">
        <v>41799</v>
      </c>
    </row>
    <row r="3361" customFormat="false" ht="14.25" hidden="false" customHeight="false" outlineLevel="0" collapsed="false">
      <c r="A3361" s="1" t="n">
        <v>2014</v>
      </c>
      <c r="B3361" s="1" t="n">
        <v>1</v>
      </c>
      <c r="C3361" s="3" t="s">
        <v>115</v>
      </c>
      <c r="D3361" s="3" t="s">
        <v>116</v>
      </c>
      <c r="E3361" s="3" t="n">
        <v>3</v>
      </c>
      <c r="F3361" s="1" t="n">
        <f aca="false">Y3361-X3361</f>
        <v>5</v>
      </c>
      <c r="G3361" s="1" t="n">
        <v>5</v>
      </c>
      <c r="H3361" s="3" t="s">
        <v>32</v>
      </c>
      <c r="I3361" s="3" t="s">
        <v>270</v>
      </c>
      <c r="J3361" s="3" t="s">
        <v>271</v>
      </c>
      <c r="K3361" s="2" t="str">
        <f aca="false">CONCATENATE(I3361," ",J3361)</f>
        <v>Porrhomma pygmaeum</v>
      </c>
      <c r="L3361" s="3" t="n">
        <f aca="false">SUM(P3361:U3361)</f>
        <v>1</v>
      </c>
      <c r="M3361" s="11" t="n">
        <f aca="false">(L3361/(F3361*G3361)*25)*4</f>
        <v>4</v>
      </c>
      <c r="N3361" s="1" t="s">
        <v>30</v>
      </c>
      <c r="O3361" s="1" t="s">
        <v>35</v>
      </c>
      <c r="P3361" s="3" t="n">
        <v>0</v>
      </c>
      <c r="Q3361" s="3" t="n">
        <v>1</v>
      </c>
      <c r="R3361" s="3" t="n">
        <v>0</v>
      </c>
      <c r="S3361" s="3" t="n">
        <v>0</v>
      </c>
      <c r="T3361" s="3" t="n">
        <v>0</v>
      </c>
      <c r="U3361" s="3" t="n">
        <v>0</v>
      </c>
      <c r="V3361" s="3" t="n">
        <f aca="false">SUM(P3361:Q3361)</f>
        <v>1</v>
      </c>
      <c r="W3361" s="3" t="n">
        <f aca="false">SUM(R3361:T3361)</f>
        <v>0</v>
      </c>
      <c r="X3361" s="22" t="n">
        <v>41794</v>
      </c>
      <c r="Y3361" s="22" t="n">
        <v>41799</v>
      </c>
    </row>
    <row r="3362" customFormat="false" ht="14.25" hidden="false" customHeight="false" outlineLevel="0" collapsed="false">
      <c r="A3362" s="1" t="n">
        <v>2014</v>
      </c>
      <c r="B3362" s="1" t="n">
        <v>1</v>
      </c>
      <c r="C3362" s="3" t="s">
        <v>115</v>
      </c>
      <c r="D3362" s="3" t="s">
        <v>116</v>
      </c>
      <c r="E3362" s="3" t="n">
        <v>1</v>
      </c>
      <c r="F3362" s="1" t="n">
        <f aca="false">Y3362-X3362</f>
        <v>5</v>
      </c>
      <c r="G3362" s="1" t="n">
        <v>5</v>
      </c>
      <c r="H3362" s="3" t="s">
        <v>72</v>
      </c>
      <c r="I3362" s="3" t="s">
        <v>150</v>
      </c>
      <c r="J3362" s="3" t="s">
        <v>151</v>
      </c>
      <c r="K3362" s="2" t="str">
        <f aca="false">CONCATENATE(I3362," ",J3362)</f>
        <v>Drassodes villosus</v>
      </c>
      <c r="L3362" s="3" t="n">
        <f aca="false">SUM(P3362:U3362)</f>
        <v>1</v>
      </c>
      <c r="M3362" s="11" t="n">
        <f aca="false">(L3362/(F3362*G3362)*25)*4</f>
        <v>4</v>
      </c>
      <c r="N3362" s="1" t="s">
        <v>30</v>
      </c>
      <c r="O3362" s="1" t="s">
        <v>31</v>
      </c>
      <c r="P3362" s="3" t="n">
        <v>1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f aca="false">SUM(P3362:Q3362)</f>
        <v>1</v>
      </c>
      <c r="W3362" s="3" t="n">
        <f aca="false">SUM(R3362:T3362)</f>
        <v>0</v>
      </c>
      <c r="X3362" s="22" t="n">
        <v>41794</v>
      </c>
      <c r="Y3362" s="22" t="n">
        <v>41799</v>
      </c>
    </row>
    <row r="3363" customFormat="false" ht="14.25" hidden="false" customHeight="false" outlineLevel="0" collapsed="false">
      <c r="A3363" s="1" t="n">
        <v>2014</v>
      </c>
      <c r="B3363" s="1" t="n">
        <v>1</v>
      </c>
      <c r="C3363" s="3" t="s">
        <v>115</v>
      </c>
      <c r="D3363" s="3" t="s">
        <v>116</v>
      </c>
      <c r="E3363" s="3" t="n">
        <v>1</v>
      </c>
      <c r="F3363" s="1" t="n">
        <f aca="false">Y3363-X3363</f>
        <v>5</v>
      </c>
      <c r="G3363" s="1" t="n">
        <v>5</v>
      </c>
      <c r="H3363" s="3" t="s">
        <v>32</v>
      </c>
      <c r="I3363" s="3" t="s">
        <v>102</v>
      </c>
      <c r="J3363" s="3" t="s">
        <v>117</v>
      </c>
      <c r="K3363" s="2" t="str">
        <f aca="false">CONCATENATE(I3363," ",J3363)</f>
        <v>Agyneta affinis</v>
      </c>
      <c r="L3363" s="3" t="n">
        <f aca="false">SUM(P3363:U3363)</f>
        <v>1</v>
      </c>
      <c r="M3363" s="11" t="n">
        <f aca="false">(L3363/(F3363*G3363)*25)*4</f>
        <v>4</v>
      </c>
      <c r="N3363" s="1" t="s">
        <v>30</v>
      </c>
      <c r="O3363" s="1" t="s">
        <v>31</v>
      </c>
      <c r="P3363" s="3" t="n">
        <v>1</v>
      </c>
      <c r="Q3363" s="3" t="n">
        <v>0</v>
      </c>
      <c r="R3363" s="3" t="n">
        <v>0</v>
      </c>
      <c r="S3363" s="3" t="n">
        <v>0</v>
      </c>
      <c r="T3363" s="3" t="n">
        <v>0</v>
      </c>
      <c r="U3363" s="3" t="n">
        <v>0</v>
      </c>
      <c r="V3363" s="3" t="n">
        <f aca="false">SUM(P3363:Q3363)</f>
        <v>1</v>
      </c>
      <c r="W3363" s="3" t="n">
        <f aca="false">SUM(R3363:T3363)</f>
        <v>0</v>
      </c>
      <c r="X3363" s="22" t="n">
        <v>41794</v>
      </c>
      <c r="Y3363" s="22" t="n">
        <v>41799</v>
      </c>
    </row>
    <row r="3364" customFormat="false" ht="14.25" hidden="false" customHeight="false" outlineLevel="0" collapsed="false">
      <c r="A3364" s="1" t="n">
        <v>2014</v>
      </c>
      <c r="B3364" s="1" t="n">
        <v>1</v>
      </c>
      <c r="C3364" s="3" t="s">
        <v>115</v>
      </c>
      <c r="D3364" s="3" t="s">
        <v>116</v>
      </c>
      <c r="E3364" s="3" t="n">
        <v>1</v>
      </c>
      <c r="F3364" s="1" t="n">
        <f aca="false">Y3364-X3364</f>
        <v>5</v>
      </c>
      <c r="G3364" s="1" t="n">
        <v>5</v>
      </c>
      <c r="H3364" s="3" t="s">
        <v>226</v>
      </c>
      <c r="I3364" s="3" t="s">
        <v>65</v>
      </c>
      <c r="J3364" s="3" t="s">
        <v>272</v>
      </c>
      <c r="K3364" s="2" t="str">
        <f aca="false">CONCATENATE(I3364," ",J3364)</f>
        <v>Zora armillata</v>
      </c>
      <c r="L3364" s="3" t="n">
        <f aca="false">SUM(P3364:U3364)</f>
        <v>1</v>
      </c>
      <c r="M3364" s="11" t="n">
        <f aca="false">(L3364/(F3364*G3364)*25)*4</f>
        <v>4</v>
      </c>
      <c r="N3364" s="1" t="s">
        <v>30</v>
      </c>
      <c r="O3364" s="1" t="s">
        <v>35</v>
      </c>
      <c r="P3364" s="3" t="n">
        <v>0</v>
      </c>
      <c r="Q3364" s="3" t="n">
        <v>1</v>
      </c>
      <c r="R3364" s="3" t="n">
        <v>0</v>
      </c>
      <c r="S3364" s="3" t="n">
        <v>0</v>
      </c>
      <c r="T3364" s="3" t="n">
        <v>0</v>
      </c>
      <c r="U3364" s="3" t="n">
        <v>0</v>
      </c>
      <c r="V3364" s="3" t="n">
        <f aca="false">SUM(P3364:Q3364)</f>
        <v>1</v>
      </c>
      <c r="W3364" s="3" t="n">
        <f aca="false">SUM(R3364:T3364)</f>
        <v>0</v>
      </c>
      <c r="X3364" s="22" t="n">
        <v>41794</v>
      </c>
      <c r="Y3364" s="22" t="n">
        <v>41799</v>
      </c>
    </row>
    <row r="3365" customFormat="false" ht="14.25" hidden="false" customHeight="false" outlineLevel="0" collapsed="false">
      <c r="A3365" s="1" t="n">
        <v>2014</v>
      </c>
      <c r="B3365" s="1" t="n">
        <v>1</v>
      </c>
      <c r="C3365" s="3" t="s">
        <v>115</v>
      </c>
      <c r="D3365" s="3" t="s">
        <v>116</v>
      </c>
      <c r="E3365" s="3" t="n">
        <v>1</v>
      </c>
      <c r="F3365" s="1" t="n">
        <f aca="false">Y3365-X3365</f>
        <v>5</v>
      </c>
      <c r="G3365" s="1" t="n">
        <v>5</v>
      </c>
      <c r="H3365" s="3" t="s">
        <v>72</v>
      </c>
      <c r="I3365" s="3" t="s">
        <v>147</v>
      </c>
      <c r="J3365" s="3" t="s">
        <v>218</v>
      </c>
      <c r="K3365" s="2" t="str">
        <f aca="false">CONCATENATE(I3365," ",J3365)</f>
        <v>Micaria silesiaca</v>
      </c>
      <c r="L3365" s="3" t="n">
        <f aca="false">SUM(P3365:U3365)</f>
        <v>1</v>
      </c>
      <c r="M3365" s="11" t="n">
        <f aca="false">(L3365/(F3365*G3365)*25)*4</f>
        <v>4</v>
      </c>
      <c r="N3365" s="1" t="s">
        <v>30</v>
      </c>
      <c r="O3365" s="1" t="s">
        <v>31</v>
      </c>
      <c r="P3365" s="3" t="n">
        <v>1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f aca="false">SUM(P3365:Q3365)</f>
        <v>1</v>
      </c>
      <c r="W3365" s="3" t="n">
        <f aca="false">SUM(R3365:T3365)</f>
        <v>0</v>
      </c>
      <c r="X3365" s="22" t="n">
        <v>41794</v>
      </c>
      <c r="Y3365" s="22" t="n">
        <v>41799</v>
      </c>
    </row>
    <row r="3366" customFormat="false" ht="14.25" hidden="false" customHeight="false" outlineLevel="0" collapsed="false">
      <c r="A3366" s="30" t="n">
        <v>2014</v>
      </c>
      <c r="B3366" s="30" t="n">
        <v>1</v>
      </c>
      <c r="C3366" s="31" t="s">
        <v>115</v>
      </c>
      <c r="D3366" s="32" t="s">
        <v>116</v>
      </c>
      <c r="E3366" s="32" t="n">
        <v>3</v>
      </c>
      <c r="F3366" s="33" t="n">
        <f aca="false">Y3366-X3366</f>
        <v>5</v>
      </c>
      <c r="G3366" s="30" t="n">
        <v>5</v>
      </c>
      <c r="H3366" s="32" t="s">
        <v>72</v>
      </c>
      <c r="I3366" s="32" t="s">
        <v>147</v>
      </c>
      <c r="J3366" s="32" t="s">
        <v>273</v>
      </c>
      <c r="K3366" s="2" t="str">
        <f aca="false">CONCATENATE(I3366," ",J3366)</f>
        <v>Micaria sp (silesiaca?)</v>
      </c>
      <c r="L3366" s="32" t="n">
        <f aca="false">SUM(P3366:U3366)</f>
        <v>1</v>
      </c>
      <c r="M3366" s="34" t="n">
        <f aca="false">(L3366/(F3366*G3366)*25)*4</f>
        <v>4</v>
      </c>
      <c r="N3366" s="1" t="s">
        <v>19</v>
      </c>
      <c r="O3366" s="1" t="s">
        <v>35</v>
      </c>
      <c r="P3366" s="3" t="n">
        <v>0</v>
      </c>
      <c r="Q3366" s="3" t="n">
        <v>0</v>
      </c>
      <c r="R3366" s="3" t="n">
        <v>0</v>
      </c>
      <c r="S3366" s="3" t="n">
        <v>1</v>
      </c>
      <c r="T3366" s="3" t="n">
        <v>0</v>
      </c>
      <c r="U3366" s="32" t="n">
        <v>0</v>
      </c>
      <c r="V3366" s="32" t="n">
        <f aca="false">SUM(P3366:Q3366)</f>
        <v>0</v>
      </c>
      <c r="W3366" s="32" t="n">
        <f aca="false">SUM(R3366:T3366)</f>
        <v>1</v>
      </c>
      <c r="X3366" s="35" t="n">
        <v>41794</v>
      </c>
      <c r="Y3366" s="35" t="n">
        <v>41799</v>
      </c>
    </row>
    <row r="3367" customFormat="false" ht="14.25" hidden="false" customHeight="false" outlineLevel="0" collapsed="false">
      <c r="A3367" s="1" t="n">
        <v>2009</v>
      </c>
      <c r="B3367" s="1" t="n">
        <v>2</v>
      </c>
      <c r="C3367" s="3" t="s">
        <v>115</v>
      </c>
      <c r="D3367" s="7" t="s">
        <v>116</v>
      </c>
      <c r="E3367" s="1" t="n">
        <v>1</v>
      </c>
      <c r="F3367" s="1" t="n">
        <f aca="false">Y3367-X3367</f>
        <v>5</v>
      </c>
      <c r="G3367" s="1" t="n">
        <v>5</v>
      </c>
      <c r="H3367" s="3" t="s">
        <v>274</v>
      </c>
      <c r="I3367" s="3" t="s">
        <v>274</v>
      </c>
      <c r="J3367" s="3" t="s">
        <v>274</v>
      </c>
      <c r="K3367" s="3" t="s">
        <v>274</v>
      </c>
      <c r="L3367" s="3" t="n">
        <v>0</v>
      </c>
      <c r="M3367" s="36" t="n">
        <v>0</v>
      </c>
      <c r="N3367" s="1" t="n">
        <v>0</v>
      </c>
      <c r="O3367" s="1" t="n">
        <v>0</v>
      </c>
      <c r="P3367" s="3" t="n">
        <v>0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0</v>
      </c>
      <c r="W3367" s="3" t="n">
        <v>0</v>
      </c>
      <c r="X3367" s="10" t="n">
        <v>40051</v>
      </c>
      <c r="Y3367" s="10" t="n">
        <v>40056</v>
      </c>
    </row>
    <row r="3368" customFormat="false" ht="14.25" hidden="false" customHeight="false" outlineLevel="0" collapsed="false">
      <c r="A3368" s="1" t="n">
        <v>2009</v>
      </c>
      <c r="B3368" s="1" t="n">
        <v>2</v>
      </c>
      <c r="C3368" s="3" t="s">
        <v>115</v>
      </c>
      <c r="D3368" s="7" t="s">
        <v>116</v>
      </c>
      <c r="E3368" s="1" t="n">
        <v>3</v>
      </c>
      <c r="F3368" s="1" t="n">
        <f aca="false">Y3368-X3368</f>
        <v>5</v>
      </c>
      <c r="G3368" s="1" t="n">
        <v>5</v>
      </c>
      <c r="H3368" s="3" t="s">
        <v>274</v>
      </c>
      <c r="I3368" s="3" t="s">
        <v>274</v>
      </c>
      <c r="J3368" s="3" t="s">
        <v>274</v>
      </c>
      <c r="K3368" s="3" t="s">
        <v>274</v>
      </c>
      <c r="L3368" s="3" t="n">
        <v>0</v>
      </c>
      <c r="M3368" s="37" t="n">
        <v>0</v>
      </c>
      <c r="N3368" s="1" t="n">
        <v>0</v>
      </c>
      <c r="O3368" s="1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  <c r="W3368" s="3" t="n">
        <v>0</v>
      </c>
      <c r="X3368" s="10" t="n">
        <v>40051</v>
      </c>
      <c r="Y3368" s="10" t="n">
        <v>40056</v>
      </c>
    </row>
  </sheetData>
  <autoFilter ref="A1:Y336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10.16015625" defaultRowHeight="12.8" customHeight="false" zeroHeight="false" outlineLevelRow="0" outlineLevelCol="0"/>
  <sheetData>
    <row r="1" s="38" customFormat="true" ht="13.8" hidden="false" customHeight="false" outlineLevel="0" collapsed="false">
      <c r="A1" s="38" t="s">
        <v>0</v>
      </c>
      <c r="B1" s="38" t="s">
        <v>275</v>
      </c>
      <c r="C1" s="38" t="s">
        <v>276</v>
      </c>
      <c r="D1" s="38" t="s">
        <v>277</v>
      </c>
      <c r="E1" s="38" t="s">
        <v>278</v>
      </c>
      <c r="F1" s="38" t="s">
        <v>279</v>
      </c>
    </row>
    <row r="2" customFormat="false" ht="13.8" hidden="false" customHeight="false" outlineLevel="0" collapsed="false">
      <c r="A2" s="39" t="n">
        <v>2009</v>
      </c>
      <c r="B2" s="39" t="n">
        <v>5</v>
      </c>
      <c r="C2" s="39" t="n">
        <v>1</v>
      </c>
      <c r="D2" s="39" t="n">
        <v>7</v>
      </c>
      <c r="E2" s="39" t="n">
        <v>0</v>
      </c>
      <c r="F2" s="39" t="n">
        <v>0</v>
      </c>
    </row>
    <row r="3" customFormat="false" ht="13.8" hidden="false" customHeight="false" outlineLevel="0" collapsed="false">
      <c r="A3" s="39" t="n">
        <v>2009</v>
      </c>
      <c r="B3" s="39" t="n">
        <v>5</v>
      </c>
      <c r="C3" s="39" t="n">
        <v>2</v>
      </c>
      <c r="D3" s="39" t="n">
        <v>1.4</v>
      </c>
      <c r="E3" s="39" t="n">
        <v>8.7</v>
      </c>
      <c r="F3" s="39" t="n">
        <v>2.27212588550934</v>
      </c>
    </row>
    <row r="4" customFormat="false" ht="13.8" hidden="false" customHeight="false" outlineLevel="0" collapsed="false">
      <c r="A4" s="39" t="n">
        <v>2009</v>
      </c>
      <c r="B4" s="39" t="n">
        <v>5</v>
      </c>
      <c r="C4" s="39" t="n">
        <v>3</v>
      </c>
      <c r="D4" s="39" t="n">
        <v>2.3</v>
      </c>
      <c r="E4" s="39" t="n">
        <v>0</v>
      </c>
      <c r="F4" s="39" t="n">
        <v>0</v>
      </c>
    </row>
    <row r="5" customFormat="false" ht="13.8" hidden="false" customHeight="false" outlineLevel="0" collapsed="false">
      <c r="A5" s="39" t="n">
        <v>2009</v>
      </c>
      <c r="B5" s="39" t="n">
        <v>5</v>
      </c>
      <c r="C5" s="39" t="n">
        <v>4</v>
      </c>
      <c r="D5" s="39" t="n">
        <v>3.3</v>
      </c>
      <c r="E5" s="39" t="n">
        <v>0.3</v>
      </c>
      <c r="F5" s="39" t="n">
        <v>0.262364264467491</v>
      </c>
    </row>
    <row r="6" customFormat="false" ht="13.8" hidden="false" customHeight="false" outlineLevel="0" collapsed="false">
      <c r="A6" s="39" t="n">
        <v>2009</v>
      </c>
      <c r="B6" s="39" t="n">
        <v>5</v>
      </c>
      <c r="C6" s="39" t="n">
        <v>5</v>
      </c>
      <c r="D6" s="39" t="n">
        <v>8.7</v>
      </c>
      <c r="E6" s="39" t="n">
        <v>0.3</v>
      </c>
      <c r="F6" s="39" t="n">
        <v>0.262364264467491</v>
      </c>
    </row>
    <row r="7" customFormat="false" ht="13.8" hidden="false" customHeight="false" outlineLevel="0" collapsed="false">
      <c r="A7" s="39" t="n">
        <v>2009</v>
      </c>
      <c r="B7" s="39" t="n">
        <v>5</v>
      </c>
      <c r="C7" s="39" t="n">
        <v>6</v>
      </c>
      <c r="D7" s="39" t="n">
        <v>9.8</v>
      </c>
      <c r="E7" s="39" t="n">
        <v>0</v>
      </c>
      <c r="F7" s="39" t="n">
        <v>0</v>
      </c>
    </row>
    <row r="8" customFormat="false" ht="13.8" hidden="false" customHeight="false" outlineLevel="0" collapsed="false">
      <c r="A8" s="39" t="n">
        <v>2009</v>
      </c>
      <c r="B8" s="39" t="n">
        <v>5</v>
      </c>
      <c r="C8" s="39" t="n">
        <v>7</v>
      </c>
      <c r="D8" s="39" t="n">
        <v>13.8</v>
      </c>
      <c r="E8" s="39" t="n">
        <v>0</v>
      </c>
      <c r="F8" s="39" t="n">
        <v>0</v>
      </c>
    </row>
    <row r="9" customFormat="false" ht="13.8" hidden="false" customHeight="false" outlineLevel="0" collapsed="false">
      <c r="A9" s="39" t="n">
        <v>2009</v>
      </c>
      <c r="B9" s="39" t="n">
        <v>5</v>
      </c>
      <c r="C9" s="39" t="n">
        <v>8</v>
      </c>
      <c r="D9" s="39" t="n">
        <v>15.3</v>
      </c>
      <c r="E9" s="39" t="n">
        <v>0</v>
      </c>
      <c r="F9" s="39" t="n">
        <v>0</v>
      </c>
    </row>
    <row r="10" customFormat="false" ht="13.8" hidden="false" customHeight="false" outlineLevel="0" collapsed="false">
      <c r="A10" s="39" t="n">
        <v>2009</v>
      </c>
      <c r="B10" s="39" t="n">
        <v>5</v>
      </c>
      <c r="C10" s="39" t="n">
        <v>9</v>
      </c>
      <c r="D10" s="39" t="n">
        <v>15.4</v>
      </c>
      <c r="E10" s="39" t="n">
        <v>0</v>
      </c>
      <c r="F10" s="39" t="n">
        <v>0</v>
      </c>
    </row>
    <row r="11" customFormat="false" ht="13.8" hidden="false" customHeight="false" outlineLevel="0" collapsed="false">
      <c r="A11" s="39" t="n">
        <v>2009</v>
      </c>
      <c r="B11" s="39" t="n">
        <v>5</v>
      </c>
      <c r="C11" s="39" t="n">
        <v>10</v>
      </c>
      <c r="D11" s="39" t="n">
        <v>14.4</v>
      </c>
      <c r="E11" s="39" t="n">
        <v>0</v>
      </c>
      <c r="F11" s="39" t="n">
        <v>0</v>
      </c>
    </row>
    <row r="12" customFormat="false" ht="13.8" hidden="false" customHeight="false" outlineLevel="0" collapsed="false">
      <c r="A12" s="39" t="n">
        <v>2009</v>
      </c>
      <c r="B12" s="39" t="n">
        <v>5</v>
      </c>
      <c r="C12" s="39" t="n">
        <v>11</v>
      </c>
      <c r="D12" s="39" t="n">
        <v>12.8</v>
      </c>
      <c r="E12" s="39" t="n">
        <v>0</v>
      </c>
      <c r="F12" s="39" t="n">
        <v>0</v>
      </c>
    </row>
    <row r="13" customFormat="false" ht="13.8" hidden="false" customHeight="false" outlineLevel="0" collapsed="false">
      <c r="A13" s="39" t="n">
        <v>2009</v>
      </c>
      <c r="B13" s="39" t="n">
        <v>5</v>
      </c>
      <c r="C13" s="39" t="n">
        <v>12</v>
      </c>
      <c r="D13" s="39" t="n">
        <v>13.8</v>
      </c>
      <c r="E13" s="39" t="n">
        <v>0</v>
      </c>
      <c r="F13" s="39" t="n">
        <v>0</v>
      </c>
    </row>
    <row r="14" customFormat="false" ht="13.8" hidden="false" customHeight="false" outlineLevel="0" collapsed="false">
      <c r="A14" s="39" t="n">
        <v>2009</v>
      </c>
      <c r="B14" s="39" t="n">
        <v>5</v>
      </c>
      <c r="C14" s="39" t="n">
        <v>13</v>
      </c>
      <c r="D14" s="39" t="n">
        <v>16.6</v>
      </c>
      <c r="E14" s="39" t="n">
        <v>0</v>
      </c>
      <c r="F14" s="39" t="n">
        <v>0</v>
      </c>
    </row>
    <row r="15" customFormat="false" ht="13.8" hidden="false" customHeight="false" outlineLevel="0" collapsed="false">
      <c r="A15" s="39" t="n">
        <v>2009</v>
      </c>
      <c r="B15" s="39" t="n">
        <v>5</v>
      </c>
      <c r="C15" s="39" t="n">
        <v>14</v>
      </c>
      <c r="D15" s="39" t="n">
        <v>17.3</v>
      </c>
      <c r="E15" s="39" t="n">
        <v>0</v>
      </c>
      <c r="F15" s="39" t="n">
        <v>0</v>
      </c>
    </row>
    <row r="16" customFormat="false" ht="13.8" hidden="false" customHeight="false" outlineLevel="0" collapsed="false">
      <c r="A16" s="39" t="n">
        <v>2009</v>
      </c>
      <c r="B16" s="39" t="n">
        <v>5</v>
      </c>
      <c r="C16" s="39" t="n">
        <v>15</v>
      </c>
      <c r="D16" s="39" t="n">
        <v>16.3</v>
      </c>
      <c r="E16" s="39" t="n">
        <v>1.6</v>
      </c>
      <c r="F16" s="39" t="n">
        <v>0.955511445027436</v>
      </c>
    </row>
    <row r="17" customFormat="false" ht="13.8" hidden="false" customHeight="false" outlineLevel="0" collapsed="false">
      <c r="A17" s="39" t="n">
        <v>2009</v>
      </c>
      <c r="B17" s="39" t="n">
        <v>5</v>
      </c>
      <c r="C17" s="39" t="n">
        <v>16</v>
      </c>
      <c r="D17" s="39" t="n">
        <v>11.2</v>
      </c>
      <c r="E17" s="39" t="n">
        <v>2</v>
      </c>
      <c r="F17" s="39" t="n">
        <v>1.09861228866811</v>
      </c>
    </row>
    <row r="18" customFormat="false" ht="13.8" hidden="false" customHeight="false" outlineLevel="0" collapsed="false">
      <c r="A18" s="39" t="n">
        <v>2009</v>
      </c>
      <c r="B18" s="39" t="n">
        <v>5</v>
      </c>
      <c r="C18" s="39" t="n">
        <v>17</v>
      </c>
      <c r="D18" s="39" t="n">
        <v>6.1</v>
      </c>
      <c r="E18" s="39" t="n">
        <v>13.3</v>
      </c>
      <c r="F18" s="39" t="n">
        <v>2.66025953726586</v>
      </c>
    </row>
    <row r="19" customFormat="false" ht="13.8" hidden="false" customHeight="false" outlineLevel="0" collapsed="false">
      <c r="A19" s="39" t="n">
        <v>2009</v>
      </c>
      <c r="B19" s="39" t="n">
        <v>5</v>
      </c>
      <c r="C19" s="39" t="n">
        <v>18</v>
      </c>
      <c r="D19" s="39" t="n">
        <v>3.6</v>
      </c>
      <c r="E19" s="39" t="n">
        <v>2.3</v>
      </c>
      <c r="F19" s="39" t="n">
        <v>1.19392246847243</v>
      </c>
    </row>
    <row r="20" customFormat="false" ht="13.8" hidden="false" customHeight="false" outlineLevel="0" collapsed="false">
      <c r="A20" s="39" t="n">
        <v>2009</v>
      </c>
      <c r="B20" s="39" t="n">
        <v>5</v>
      </c>
      <c r="C20" s="39" t="n">
        <v>19</v>
      </c>
      <c r="D20" s="39" t="n">
        <v>8.4</v>
      </c>
      <c r="E20" s="39" t="n">
        <v>0</v>
      </c>
      <c r="F20" s="39" t="n">
        <v>0</v>
      </c>
    </row>
    <row r="21" customFormat="false" ht="13.8" hidden="false" customHeight="false" outlineLevel="0" collapsed="false">
      <c r="A21" s="39" t="n">
        <v>2009</v>
      </c>
      <c r="B21" s="39" t="n">
        <v>5</v>
      </c>
      <c r="C21" s="39" t="n">
        <v>20</v>
      </c>
      <c r="D21" s="39" t="n">
        <v>8.3</v>
      </c>
      <c r="E21" s="39" t="n">
        <v>0</v>
      </c>
      <c r="F21" s="39" t="n">
        <v>0</v>
      </c>
    </row>
    <row r="22" customFormat="false" ht="13.8" hidden="false" customHeight="false" outlineLevel="0" collapsed="false">
      <c r="A22" s="39" t="n">
        <v>2009</v>
      </c>
      <c r="B22" s="39" t="n">
        <v>5</v>
      </c>
      <c r="C22" s="39" t="n">
        <v>21</v>
      </c>
      <c r="D22" s="39" t="n">
        <v>2.9</v>
      </c>
      <c r="E22" s="39" t="n">
        <v>0</v>
      </c>
      <c r="F22" s="39" t="n">
        <v>0</v>
      </c>
    </row>
    <row r="23" customFormat="false" ht="13.8" hidden="false" customHeight="false" outlineLevel="0" collapsed="false">
      <c r="A23" s="39" t="n">
        <v>2009</v>
      </c>
      <c r="B23" s="39" t="n">
        <v>5</v>
      </c>
      <c r="C23" s="39" t="n">
        <v>22</v>
      </c>
      <c r="D23" s="39" t="n">
        <v>2.5</v>
      </c>
      <c r="E23" s="39" t="n">
        <v>0</v>
      </c>
      <c r="F23" s="39" t="n">
        <v>0</v>
      </c>
    </row>
    <row r="24" customFormat="false" ht="13.8" hidden="false" customHeight="false" outlineLevel="0" collapsed="false">
      <c r="A24" s="39" t="n">
        <v>2009</v>
      </c>
      <c r="B24" s="39" t="n">
        <v>5</v>
      </c>
      <c r="C24" s="39" t="n">
        <v>23</v>
      </c>
      <c r="D24" s="39" t="n">
        <v>4.8</v>
      </c>
      <c r="E24" s="39" t="n">
        <v>0</v>
      </c>
      <c r="F24" s="39" t="n">
        <v>0</v>
      </c>
    </row>
    <row r="25" customFormat="false" ht="13.8" hidden="false" customHeight="false" outlineLevel="0" collapsed="false">
      <c r="A25" s="39" t="n">
        <v>2009</v>
      </c>
      <c r="B25" s="39" t="n">
        <v>5</v>
      </c>
      <c r="C25" s="39" t="n">
        <v>24</v>
      </c>
      <c r="D25" s="39" t="n">
        <v>7.4</v>
      </c>
      <c r="E25" s="39" t="n">
        <v>0</v>
      </c>
      <c r="F25" s="39" t="n">
        <v>0</v>
      </c>
    </row>
    <row r="26" customFormat="false" ht="13.8" hidden="false" customHeight="false" outlineLevel="0" collapsed="false">
      <c r="A26" s="39" t="n">
        <v>2009</v>
      </c>
      <c r="B26" s="39" t="n">
        <v>5</v>
      </c>
      <c r="C26" s="39" t="n">
        <v>25</v>
      </c>
      <c r="D26" s="39" t="n">
        <v>12.9</v>
      </c>
      <c r="E26" s="39" t="n">
        <v>0</v>
      </c>
      <c r="F26" s="39" t="n">
        <v>0</v>
      </c>
    </row>
    <row r="27" customFormat="false" ht="13.8" hidden="false" customHeight="false" outlineLevel="0" collapsed="false">
      <c r="A27" s="39" t="n">
        <v>2009</v>
      </c>
      <c r="B27" s="39" t="n">
        <v>5</v>
      </c>
      <c r="C27" s="39" t="n">
        <v>26</v>
      </c>
      <c r="D27" s="39" t="n">
        <v>13.6</v>
      </c>
      <c r="E27" s="39" t="n">
        <v>0</v>
      </c>
      <c r="F27" s="39" t="n">
        <v>0</v>
      </c>
    </row>
    <row r="28" customFormat="false" ht="13.8" hidden="false" customHeight="false" outlineLevel="0" collapsed="false">
      <c r="A28" s="39" t="n">
        <v>2009</v>
      </c>
      <c r="B28" s="39" t="n">
        <v>5</v>
      </c>
      <c r="C28" s="39" t="n">
        <v>27</v>
      </c>
      <c r="D28" s="39" t="n">
        <v>11.1</v>
      </c>
      <c r="E28" s="39" t="n">
        <v>0.4</v>
      </c>
      <c r="F28" s="39" t="n">
        <v>0.336472236621213</v>
      </c>
    </row>
    <row r="29" customFormat="false" ht="13.8" hidden="false" customHeight="false" outlineLevel="0" collapsed="false">
      <c r="A29" s="39" t="n">
        <v>2009</v>
      </c>
      <c r="B29" s="39" t="n">
        <v>5</v>
      </c>
      <c r="C29" s="39" t="n">
        <v>28</v>
      </c>
      <c r="D29" s="39" t="n">
        <v>13.5</v>
      </c>
      <c r="E29" s="39" t="n">
        <v>0</v>
      </c>
      <c r="F29" s="39" t="n">
        <v>0</v>
      </c>
    </row>
    <row r="30" customFormat="false" ht="13.8" hidden="false" customHeight="false" outlineLevel="0" collapsed="false">
      <c r="A30" s="39" t="n">
        <v>2009</v>
      </c>
      <c r="B30" s="39" t="n">
        <v>5</v>
      </c>
      <c r="C30" s="39" t="n">
        <v>29</v>
      </c>
      <c r="D30" s="39" t="n">
        <v>17.5</v>
      </c>
      <c r="E30" s="39" t="n">
        <v>0</v>
      </c>
      <c r="F30" s="39" t="n">
        <v>0</v>
      </c>
    </row>
    <row r="31" customFormat="false" ht="13.8" hidden="false" customHeight="false" outlineLevel="0" collapsed="false">
      <c r="A31" s="39" t="n">
        <v>2009</v>
      </c>
      <c r="B31" s="39" t="n">
        <v>5</v>
      </c>
      <c r="C31" s="39" t="n">
        <v>30</v>
      </c>
      <c r="D31" s="39" t="n">
        <v>17.7</v>
      </c>
      <c r="E31" s="39" t="n">
        <v>0</v>
      </c>
      <c r="F31" s="39" t="n">
        <v>0</v>
      </c>
    </row>
    <row r="32" customFormat="false" ht="13.8" hidden="false" customHeight="false" outlineLevel="0" collapsed="false">
      <c r="A32" s="39" t="n">
        <v>2009</v>
      </c>
      <c r="B32" s="39" t="n">
        <v>5</v>
      </c>
      <c r="C32" s="39" t="n">
        <v>31</v>
      </c>
      <c r="D32" s="39" t="n">
        <v>12.4</v>
      </c>
      <c r="E32" s="39" t="n">
        <v>0</v>
      </c>
      <c r="F32" s="39" t="n">
        <v>0</v>
      </c>
    </row>
    <row r="33" customFormat="false" ht="13.8" hidden="false" customHeight="false" outlineLevel="0" collapsed="false">
      <c r="A33" s="39" t="n">
        <v>2009</v>
      </c>
      <c r="B33" s="39" t="n">
        <v>6</v>
      </c>
      <c r="C33" s="39" t="n">
        <v>1</v>
      </c>
      <c r="D33" s="39" t="n">
        <v>7.2</v>
      </c>
      <c r="E33" s="39" t="n">
        <v>0.6</v>
      </c>
      <c r="F33" s="39" t="n">
        <v>0.470003629245736</v>
      </c>
    </row>
    <row r="34" customFormat="false" ht="13.8" hidden="false" customHeight="false" outlineLevel="0" collapsed="false">
      <c r="A34" s="39" t="n">
        <v>2009</v>
      </c>
      <c r="B34" s="39" t="n">
        <v>6</v>
      </c>
      <c r="C34" s="39" t="n">
        <v>2</v>
      </c>
      <c r="D34" s="39" t="n">
        <v>13.2</v>
      </c>
      <c r="E34" s="39" t="n">
        <v>0.7</v>
      </c>
      <c r="F34" s="39" t="n">
        <v>0.53062825106217</v>
      </c>
    </row>
    <row r="35" customFormat="false" ht="13.8" hidden="false" customHeight="false" outlineLevel="0" collapsed="false">
      <c r="A35" s="39" t="n">
        <v>2009</v>
      </c>
      <c r="B35" s="39" t="n">
        <v>6</v>
      </c>
      <c r="C35" s="39" t="n">
        <v>3</v>
      </c>
      <c r="D35" s="39" t="n">
        <v>15.1</v>
      </c>
      <c r="E35" s="39" t="n">
        <v>6.1</v>
      </c>
      <c r="F35" s="39" t="n">
        <v>1.96009478404727</v>
      </c>
    </row>
    <row r="36" customFormat="false" ht="13.8" hidden="false" customHeight="false" outlineLevel="0" collapsed="false">
      <c r="A36" s="39" t="n">
        <v>2009</v>
      </c>
      <c r="B36" s="39" t="n">
        <v>6</v>
      </c>
      <c r="C36" s="39" t="n">
        <v>4</v>
      </c>
      <c r="D36" s="39" t="n">
        <v>19.6</v>
      </c>
      <c r="E36" s="39" t="n">
        <v>0</v>
      </c>
      <c r="F36" s="39" t="n">
        <v>0</v>
      </c>
    </row>
    <row r="37" customFormat="false" ht="13.8" hidden="false" customHeight="false" outlineLevel="0" collapsed="false">
      <c r="A37" s="39" t="n">
        <v>2009</v>
      </c>
      <c r="B37" s="39" t="n">
        <v>6</v>
      </c>
      <c r="C37" s="39" t="n">
        <v>5</v>
      </c>
      <c r="D37" s="39" t="n">
        <v>20.2</v>
      </c>
      <c r="E37" s="39" t="n">
        <v>0</v>
      </c>
      <c r="F37" s="39" t="n">
        <v>0</v>
      </c>
    </row>
    <row r="38" customFormat="false" ht="13.8" hidden="false" customHeight="false" outlineLevel="0" collapsed="false">
      <c r="A38" s="39" t="n">
        <v>2009</v>
      </c>
      <c r="B38" s="39" t="n">
        <v>6</v>
      </c>
      <c r="C38" s="39" t="n">
        <v>6</v>
      </c>
      <c r="D38" s="39" t="n">
        <v>20.2</v>
      </c>
      <c r="E38" s="39" t="n">
        <v>5.9</v>
      </c>
      <c r="F38" s="39" t="n">
        <v>1.93152141160321</v>
      </c>
    </row>
    <row r="39" customFormat="false" ht="13.8" hidden="false" customHeight="false" outlineLevel="0" collapsed="false">
      <c r="A39" s="39" t="n">
        <v>2009</v>
      </c>
      <c r="B39" s="39" t="n">
        <v>6</v>
      </c>
      <c r="C39" s="39" t="n">
        <v>7</v>
      </c>
      <c r="D39" s="39" t="n">
        <v>21.5</v>
      </c>
      <c r="E39" s="39" t="n">
        <v>0</v>
      </c>
      <c r="F39" s="39" t="n">
        <v>0</v>
      </c>
    </row>
    <row r="40" customFormat="false" ht="13.8" hidden="false" customHeight="false" outlineLevel="0" collapsed="false">
      <c r="A40" s="39" t="n">
        <v>2009</v>
      </c>
      <c r="B40" s="39" t="n">
        <v>6</v>
      </c>
      <c r="C40" s="39" t="n">
        <v>8</v>
      </c>
      <c r="D40" s="39" t="n">
        <v>17.4</v>
      </c>
      <c r="E40" s="39" t="n">
        <v>1</v>
      </c>
      <c r="F40" s="39" t="n">
        <v>0.693147180559945</v>
      </c>
    </row>
    <row r="41" customFormat="false" ht="13.8" hidden="false" customHeight="false" outlineLevel="0" collapsed="false">
      <c r="A41" s="39" t="n">
        <v>2009</v>
      </c>
      <c r="B41" s="39" t="n">
        <v>6</v>
      </c>
      <c r="C41" s="39" t="n">
        <v>9</v>
      </c>
      <c r="D41" s="39" t="n">
        <v>17.4</v>
      </c>
      <c r="E41" s="39" t="n">
        <v>0</v>
      </c>
      <c r="F41" s="39" t="n">
        <v>0</v>
      </c>
    </row>
    <row r="42" customFormat="false" ht="13.8" hidden="false" customHeight="false" outlineLevel="0" collapsed="false">
      <c r="A42" s="39" t="n">
        <v>2009</v>
      </c>
      <c r="B42" s="39" t="n">
        <v>6</v>
      </c>
      <c r="C42" s="39" t="n">
        <v>10</v>
      </c>
      <c r="D42" s="39" t="n">
        <v>18.1</v>
      </c>
      <c r="E42" s="39" t="n">
        <v>0</v>
      </c>
      <c r="F42" s="39" t="n">
        <v>0</v>
      </c>
    </row>
    <row r="43" customFormat="false" ht="13.8" hidden="false" customHeight="false" outlineLevel="0" collapsed="false">
      <c r="A43" s="39" t="n">
        <v>2009</v>
      </c>
      <c r="B43" s="39" t="n">
        <v>6</v>
      </c>
      <c r="C43" s="39" t="n">
        <v>11</v>
      </c>
      <c r="D43" s="39" t="n">
        <v>14.7</v>
      </c>
      <c r="E43" s="39" t="n">
        <v>0</v>
      </c>
      <c r="F43" s="39" t="n">
        <v>0</v>
      </c>
    </row>
    <row r="44" customFormat="false" ht="13.8" hidden="false" customHeight="false" outlineLevel="0" collapsed="false">
      <c r="A44" s="39" t="n">
        <v>2009</v>
      </c>
      <c r="B44" s="39" t="n">
        <v>6</v>
      </c>
      <c r="C44" s="39" t="n">
        <v>12</v>
      </c>
      <c r="D44" s="39" t="n">
        <v>15.3</v>
      </c>
      <c r="E44" s="39" t="n">
        <v>0</v>
      </c>
      <c r="F44" s="39" t="n">
        <v>0</v>
      </c>
    </row>
    <row r="45" customFormat="false" ht="13.8" hidden="false" customHeight="false" outlineLevel="0" collapsed="false">
      <c r="A45" s="39" t="n">
        <v>2009</v>
      </c>
      <c r="B45" s="39" t="n">
        <v>6</v>
      </c>
      <c r="C45" s="39" t="n">
        <v>13</v>
      </c>
      <c r="D45" s="39" t="n">
        <v>18.9</v>
      </c>
      <c r="E45" s="39" t="n">
        <v>1.8</v>
      </c>
      <c r="F45" s="39" t="n">
        <v>1.02961941718116</v>
      </c>
    </row>
    <row r="46" customFormat="false" ht="13.8" hidden="false" customHeight="false" outlineLevel="0" collapsed="false">
      <c r="A46" s="39" t="n">
        <v>2009</v>
      </c>
      <c r="B46" s="39" t="n">
        <v>6</v>
      </c>
      <c r="C46" s="39" t="n">
        <v>14</v>
      </c>
      <c r="D46" s="39" t="n">
        <v>18.5</v>
      </c>
      <c r="E46" s="39" t="n">
        <v>0</v>
      </c>
      <c r="F46" s="39" t="n">
        <v>0</v>
      </c>
    </row>
    <row r="47" customFormat="false" ht="13.8" hidden="false" customHeight="false" outlineLevel="0" collapsed="false">
      <c r="A47" s="39" t="n">
        <v>2009</v>
      </c>
      <c r="B47" s="39" t="n">
        <v>6</v>
      </c>
      <c r="C47" s="39" t="n">
        <v>15</v>
      </c>
      <c r="D47" s="39" t="n">
        <v>17.2</v>
      </c>
      <c r="E47" s="39" t="n">
        <v>0</v>
      </c>
      <c r="F47" s="39" t="n">
        <v>0</v>
      </c>
    </row>
    <row r="48" customFormat="false" ht="13.8" hidden="false" customHeight="false" outlineLevel="0" collapsed="false">
      <c r="A48" s="39" t="n">
        <v>2009</v>
      </c>
      <c r="B48" s="39" t="n">
        <v>6</v>
      </c>
      <c r="C48" s="39" t="n">
        <v>16</v>
      </c>
      <c r="D48" s="39" t="n">
        <v>17.9</v>
      </c>
      <c r="E48" s="39" t="n">
        <v>0</v>
      </c>
      <c r="F48" s="39" t="n">
        <v>0</v>
      </c>
    </row>
    <row r="49" customFormat="false" ht="13.8" hidden="false" customHeight="false" outlineLevel="0" collapsed="false">
      <c r="A49" s="39" t="n">
        <v>2009</v>
      </c>
      <c r="B49" s="39" t="n">
        <v>6</v>
      </c>
      <c r="C49" s="39" t="n">
        <v>17</v>
      </c>
      <c r="D49" s="39" t="n">
        <v>21.1</v>
      </c>
      <c r="E49" s="39" t="n">
        <v>0</v>
      </c>
      <c r="F49" s="39" t="n">
        <v>0</v>
      </c>
    </row>
    <row r="50" customFormat="false" ht="13.8" hidden="false" customHeight="false" outlineLevel="0" collapsed="false">
      <c r="A50" s="39" t="n">
        <v>2009</v>
      </c>
      <c r="B50" s="39" t="n">
        <v>6</v>
      </c>
      <c r="C50" s="39" t="n">
        <v>18</v>
      </c>
      <c r="D50" s="39" t="n">
        <v>22.5</v>
      </c>
      <c r="E50" s="39" t="n">
        <v>0</v>
      </c>
      <c r="F50" s="39" t="n">
        <v>0</v>
      </c>
    </row>
    <row r="51" customFormat="false" ht="13.8" hidden="false" customHeight="false" outlineLevel="0" collapsed="false">
      <c r="A51" s="39" t="n">
        <v>2009</v>
      </c>
      <c r="B51" s="39" t="n">
        <v>6</v>
      </c>
      <c r="C51" s="39" t="n">
        <v>19</v>
      </c>
      <c r="D51" s="39" t="n">
        <v>20.7</v>
      </c>
      <c r="E51" s="39" t="n">
        <v>0.5</v>
      </c>
      <c r="F51" s="39" t="n">
        <v>0.405465108108164</v>
      </c>
    </row>
    <row r="52" customFormat="false" ht="13.8" hidden="false" customHeight="false" outlineLevel="0" collapsed="false">
      <c r="A52" s="39" t="n">
        <v>2009</v>
      </c>
      <c r="B52" s="39" t="n">
        <v>6</v>
      </c>
      <c r="C52" s="39" t="n">
        <v>20</v>
      </c>
      <c r="D52" s="39" t="n">
        <v>15.3</v>
      </c>
      <c r="E52" s="39" t="n">
        <v>7</v>
      </c>
      <c r="F52" s="39" t="n">
        <v>2.07944154167984</v>
      </c>
    </row>
    <row r="53" customFormat="false" ht="13.8" hidden="false" customHeight="false" outlineLevel="0" collapsed="false">
      <c r="A53" s="39" t="n">
        <v>2009</v>
      </c>
      <c r="B53" s="39" t="n">
        <v>6</v>
      </c>
      <c r="C53" s="39" t="n">
        <v>21</v>
      </c>
      <c r="D53" s="39" t="n">
        <v>14.2</v>
      </c>
      <c r="E53" s="39" t="n">
        <v>0</v>
      </c>
      <c r="F53" s="39" t="n">
        <v>0</v>
      </c>
    </row>
    <row r="54" customFormat="false" ht="13.8" hidden="false" customHeight="false" outlineLevel="0" collapsed="false">
      <c r="A54" s="39" t="n">
        <v>2009</v>
      </c>
      <c r="B54" s="39" t="n">
        <v>6</v>
      </c>
      <c r="C54" s="39" t="n">
        <v>22</v>
      </c>
      <c r="D54" s="39" t="n">
        <v>16.5</v>
      </c>
      <c r="E54" s="39" t="n">
        <v>0</v>
      </c>
      <c r="F54" s="39" t="n">
        <v>0</v>
      </c>
    </row>
    <row r="55" customFormat="false" ht="13.8" hidden="false" customHeight="false" outlineLevel="0" collapsed="false">
      <c r="A55" s="39" t="n">
        <v>2009</v>
      </c>
      <c r="B55" s="39" t="n">
        <v>6</v>
      </c>
      <c r="C55" s="39" t="n">
        <v>23</v>
      </c>
      <c r="D55" s="39" t="n">
        <v>13.8</v>
      </c>
      <c r="E55" s="39" t="n">
        <v>0</v>
      </c>
      <c r="F55" s="39" t="n">
        <v>0</v>
      </c>
    </row>
    <row r="56" customFormat="false" ht="13.8" hidden="false" customHeight="false" outlineLevel="0" collapsed="false">
      <c r="A56" s="39" t="n">
        <v>2009</v>
      </c>
      <c r="B56" s="39" t="n">
        <v>6</v>
      </c>
      <c r="C56" s="39" t="n">
        <v>24</v>
      </c>
      <c r="D56" s="39" t="n">
        <v>9.8</v>
      </c>
      <c r="E56" s="39" t="n">
        <v>0</v>
      </c>
      <c r="F56" s="39" t="n">
        <v>0</v>
      </c>
    </row>
    <row r="57" customFormat="false" ht="13.8" hidden="false" customHeight="false" outlineLevel="0" collapsed="false">
      <c r="A57" s="39" t="n">
        <v>2009</v>
      </c>
      <c r="B57" s="39" t="n">
        <v>6</v>
      </c>
      <c r="C57" s="39" t="n">
        <v>25</v>
      </c>
      <c r="D57" s="39" t="n">
        <v>12.7</v>
      </c>
      <c r="E57" s="39" t="n">
        <v>0</v>
      </c>
      <c r="F57" s="39" t="n">
        <v>0</v>
      </c>
    </row>
    <row r="58" customFormat="false" ht="13.8" hidden="false" customHeight="false" outlineLevel="0" collapsed="false">
      <c r="A58" s="39" t="n">
        <v>2009</v>
      </c>
      <c r="B58" s="39" t="n">
        <v>6</v>
      </c>
      <c r="C58" s="39" t="n">
        <v>26</v>
      </c>
      <c r="D58" s="39" t="n">
        <v>12.4</v>
      </c>
      <c r="E58" s="39" t="n">
        <v>2.4</v>
      </c>
      <c r="F58" s="39" t="n">
        <v>1.22377543162212</v>
      </c>
    </row>
    <row r="59" customFormat="false" ht="13.8" hidden="false" customHeight="false" outlineLevel="0" collapsed="false">
      <c r="A59" s="39" t="n">
        <v>2009</v>
      </c>
      <c r="B59" s="39" t="n">
        <v>6</v>
      </c>
      <c r="C59" s="39" t="n">
        <v>27</v>
      </c>
      <c r="D59" s="39" t="n">
        <v>12.5</v>
      </c>
      <c r="E59" s="39" t="n">
        <v>0</v>
      </c>
      <c r="F59" s="39" t="n">
        <v>0</v>
      </c>
    </row>
    <row r="60" customFormat="false" ht="13.8" hidden="false" customHeight="false" outlineLevel="0" collapsed="false">
      <c r="A60" s="39" t="n">
        <v>2009</v>
      </c>
      <c r="B60" s="39" t="n">
        <v>6</v>
      </c>
      <c r="C60" s="39" t="n">
        <v>28</v>
      </c>
      <c r="D60" s="39" t="n">
        <v>16.2</v>
      </c>
      <c r="E60" s="39" t="n">
        <v>0</v>
      </c>
      <c r="F60" s="39" t="n">
        <v>0</v>
      </c>
    </row>
    <row r="61" customFormat="false" ht="13.8" hidden="false" customHeight="false" outlineLevel="0" collapsed="false">
      <c r="A61" s="39" t="n">
        <v>2009</v>
      </c>
      <c r="B61" s="39" t="n">
        <v>6</v>
      </c>
      <c r="C61" s="39" t="n">
        <v>29</v>
      </c>
      <c r="D61" s="39" t="n">
        <v>16.1</v>
      </c>
      <c r="E61" s="39" t="n">
        <v>2.4</v>
      </c>
      <c r="F61" s="39" t="n">
        <v>1.22377543162212</v>
      </c>
    </row>
    <row r="62" customFormat="false" ht="13.8" hidden="false" customHeight="false" outlineLevel="0" collapsed="false">
      <c r="A62" s="39" t="n">
        <v>2009</v>
      </c>
      <c r="B62" s="39" t="n">
        <v>6</v>
      </c>
      <c r="C62" s="39" t="n">
        <v>30</v>
      </c>
      <c r="D62" s="39" t="n">
        <v>10.7</v>
      </c>
      <c r="E62" s="39" t="n">
        <v>4.8</v>
      </c>
      <c r="F62" s="39" t="n">
        <v>1.75785791755237</v>
      </c>
    </row>
    <row r="63" customFormat="false" ht="13.8" hidden="false" customHeight="false" outlineLevel="0" collapsed="false">
      <c r="A63" s="39" t="n">
        <v>2009</v>
      </c>
      <c r="B63" s="39" t="n">
        <v>7</v>
      </c>
      <c r="C63" s="39" t="n">
        <v>1</v>
      </c>
      <c r="D63" s="39" t="n">
        <v>8.4</v>
      </c>
      <c r="E63" s="39" t="n">
        <v>0</v>
      </c>
      <c r="F63" s="39" t="n">
        <v>0</v>
      </c>
    </row>
    <row r="64" customFormat="false" ht="13.8" hidden="false" customHeight="false" outlineLevel="0" collapsed="false">
      <c r="A64" s="39" t="n">
        <v>2009</v>
      </c>
      <c r="B64" s="39" t="n">
        <v>7</v>
      </c>
      <c r="C64" s="39" t="n">
        <v>2</v>
      </c>
      <c r="D64" s="39" t="n">
        <v>10.8</v>
      </c>
      <c r="E64" s="39" t="n">
        <v>0</v>
      </c>
      <c r="F64" s="39" t="n">
        <v>0</v>
      </c>
    </row>
    <row r="65" customFormat="false" ht="13.8" hidden="false" customHeight="false" outlineLevel="0" collapsed="false">
      <c r="A65" s="39" t="n">
        <v>2009</v>
      </c>
      <c r="B65" s="39" t="n">
        <v>7</v>
      </c>
      <c r="C65" s="39" t="n">
        <v>3</v>
      </c>
      <c r="D65" s="39" t="n">
        <v>16.5</v>
      </c>
      <c r="E65" s="39" t="n">
        <v>0</v>
      </c>
      <c r="F65" s="39" t="n">
        <v>0</v>
      </c>
    </row>
    <row r="66" customFormat="false" ht="13.8" hidden="false" customHeight="false" outlineLevel="0" collapsed="false">
      <c r="A66" s="39" t="n">
        <v>2009</v>
      </c>
      <c r="B66" s="39" t="n">
        <v>7</v>
      </c>
      <c r="C66" s="39" t="n">
        <v>4</v>
      </c>
      <c r="D66" s="39" t="n">
        <v>14.8</v>
      </c>
      <c r="E66" s="39" t="n">
        <v>11.3</v>
      </c>
      <c r="F66" s="39" t="n">
        <v>2.50959926237837</v>
      </c>
    </row>
    <row r="67" customFormat="false" ht="13.8" hidden="false" customHeight="false" outlineLevel="0" collapsed="false">
      <c r="A67" s="39" t="n">
        <v>2009</v>
      </c>
      <c r="B67" s="39" t="n">
        <v>7</v>
      </c>
      <c r="C67" s="39" t="n">
        <v>5</v>
      </c>
      <c r="D67" s="39" t="n">
        <v>14.5</v>
      </c>
      <c r="E67" s="39" t="n">
        <v>1.1</v>
      </c>
      <c r="F67" s="39" t="n">
        <v>0.741937344729377</v>
      </c>
    </row>
    <row r="68" customFormat="false" ht="13.8" hidden="false" customHeight="false" outlineLevel="0" collapsed="false">
      <c r="A68" s="39" t="n">
        <v>2009</v>
      </c>
      <c r="B68" s="39" t="n">
        <v>7</v>
      </c>
      <c r="C68" s="39" t="n">
        <v>6</v>
      </c>
      <c r="D68" s="39" t="n">
        <v>14.2</v>
      </c>
      <c r="E68" s="39" t="n">
        <v>2.2</v>
      </c>
      <c r="F68" s="39" t="n">
        <v>1.16315080980568</v>
      </c>
    </row>
    <row r="69" customFormat="false" ht="13.8" hidden="false" customHeight="false" outlineLevel="0" collapsed="false">
      <c r="A69" s="39" t="n">
        <v>2009</v>
      </c>
      <c r="B69" s="39" t="n">
        <v>7</v>
      </c>
      <c r="C69" s="39" t="n">
        <v>7</v>
      </c>
      <c r="D69" s="39" t="n">
        <v>14.5</v>
      </c>
      <c r="E69" s="39" t="n">
        <v>11.1</v>
      </c>
      <c r="F69" s="39" t="n">
        <v>2.4932054526027</v>
      </c>
    </row>
    <row r="70" customFormat="false" ht="13.8" hidden="false" customHeight="false" outlineLevel="0" collapsed="false">
      <c r="A70" s="39" t="n">
        <v>2009</v>
      </c>
      <c r="B70" s="39" t="n">
        <v>7</v>
      </c>
      <c r="C70" s="39" t="n">
        <v>8</v>
      </c>
      <c r="D70" s="39" t="n">
        <v>12.2</v>
      </c>
      <c r="E70" s="39" t="n">
        <v>5.2</v>
      </c>
      <c r="F70" s="39" t="n">
        <v>1.82454929205105</v>
      </c>
    </row>
    <row r="71" customFormat="false" ht="13.8" hidden="false" customHeight="false" outlineLevel="0" collapsed="false">
      <c r="A71" s="39" t="n">
        <v>2009</v>
      </c>
      <c r="B71" s="39" t="n">
        <v>7</v>
      </c>
      <c r="C71" s="39" t="n">
        <v>9</v>
      </c>
      <c r="D71" s="39" t="n">
        <v>9.7</v>
      </c>
      <c r="E71" s="39" t="n">
        <v>13</v>
      </c>
      <c r="F71" s="39" t="n">
        <v>2.63905732961526</v>
      </c>
    </row>
    <row r="72" customFormat="false" ht="13.8" hidden="false" customHeight="false" outlineLevel="0" collapsed="false">
      <c r="A72" s="39" t="n">
        <v>2009</v>
      </c>
      <c r="B72" s="39" t="n">
        <v>7</v>
      </c>
      <c r="C72" s="39" t="n">
        <v>10</v>
      </c>
      <c r="D72" s="39" t="n">
        <v>10.8</v>
      </c>
      <c r="E72" s="39" t="n">
        <v>15</v>
      </c>
      <c r="F72" s="39" t="n">
        <v>2.77258872223978</v>
      </c>
    </row>
    <row r="73" customFormat="false" ht="13.8" hidden="false" customHeight="false" outlineLevel="0" collapsed="false">
      <c r="A73" s="39" t="n">
        <v>2009</v>
      </c>
      <c r="B73" s="39" t="n">
        <v>7</v>
      </c>
      <c r="C73" s="39" t="n">
        <v>11</v>
      </c>
      <c r="D73" s="39" t="n">
        <v>13.3</v>
      </c>
      <c r="E73" s="39" t="n">
        <v>5.3</v>
      </c>
      <c r="F73" s="39" t="n">
        <v>1.84054963339749</v>
      </c>
    </row>
    <row r="74" customFormat="false" ht="13.8" hidden="false" customHeight="false" outlineLevel="0" collapsed="false">
      <c r="A74" s="39" t="n">
        <v>2009</v>
      </c>
      <c r="B74" s="39" t="n">
        <v>7</v>
      </c>
      <c r="C74" s="39" t="n">
        <v>12</v>
      </c>
      <c r="D74" s="39" t="n">
        <v>18.3</v>
      </c>
      <c r="E74" s="39" t="n">
        <v>0.4</v>
      </c>
      <c r="F74" s="39" t="n">
        <v>0.336472236621213</v>
      </c>
    </row>
    <row r="75" customFormat="false" ht="13.8" hidden="false" customHeight="false" outlineLevel="0" collapsed="false">
      <c r="A75" s="39" t="n">
        <v>2009</v>
      </c>
      <c r="B75" s="39" t="n">
        <v>7</v>
      </c>
      <c r="C75" s="39" t="n">
        <v>13</v>
      </c>
      <c r="D75" s="39" t="n">
        <v>17.6</v>
      </c>
      <c r="E75" s="39" t="n">
        <v>0</v>
      </c>
      <c r="F75" s="39" t="n">
        <v>0</v>
      </c>
    </row>
    <row r="76" customFormat="false" ht="13.8" hidden="false" customHeight="false" outlineLevel="0" collapsed="false">
      <c r="A76" s="39" t="n">
        <v>2009</v>
      </c>
      <c r="B76" s="39" t="n">
        <v>7</v>
      </c>
      <c r="C76" s="39" t="n">
        <v>14</v>
      </c>
      <c r="D76" s="39" t="n">
        <v>16</v>
      </c>
      <c r="E76" s="39" t="n">
        <v>0</v>
      </c>
      <c r="F76" s="39" t="n">
        <v>0</v>
      </c>
    </row>
    <row r="77" customFormat="false" ht="13.8" hidden="false" customHeight="false" outlineLevel="0" collapsed="false">
      <c r="A77" s="39" t="n">
        <v>2009</v>
      </c>
      <c r="B77" s="39" t="n">
        <v>7</v>
      </c>
      <c r="C77" s="39" t="n">
        <v>15</v>
      </c>
      <c r="D77" s="39" t="n">
        <v>19.1</v>
      </c>
      <c r="E77" s="39" t="n">
        <v>0</v>
      </c>
      <c r="F77" s="39" t="n">
        <v>0</v>
      </c>
    </row>
    <row r="78" customFormat="false" ht="13.8" hidden="false" customHeight="false" outlineLevel="0" collapsed="false">
      <c r="A78" s="39" t="n">
        <v>2009</v>
      </c>
      <c r="B78" s="39" t="n">
        <v>7</v>
      </c>
      <c r="C78" s="39" t="n">
        <v>16</v>
      </c>
      <c r="D78" s="39" t="n">
        <v>18.7</v>
      </c>
      <c r="E78" s="39" t="n">
        <v>0.3</v>
      </c>
      <c r="F78" s="39" t="n">
        <v>0.262364264467491</v>
      </c>
    </row>
    <row r="79" customFormat="false" ht="13.8" hidden="false" customHeight="false" outlineLevel="0" collapsed="false">
      <c r="A79" s="39" t="n">
        <v>2009</v>
      </c>
      <c r="B79" s="39" t="n">
        <v>7</v>
      </c>
      <c r="C79" s="39" t="n">
        <v>17</v>
      </c>
      <c r="D79" s="39" t="n">
        <v>17.7</v>
      </c>
      <c r="E79" s="39" t="n">
        <v>0.1</v>
      </c>
      <c r="F79" s="39" t="n">
        <v>0.0953101798043249</v>
      </c>
    </row>
    <row r="80" customFormat="false" ht="13.8" hidden="false" customHeight="false" outlineLevel="0" collapsed="false">
      <c r="A80" s="39" t="n">
        <v>2009</v>
      </c>
      <c r="B80" s="39" t="n">
        <v>7</v>
      </c>
      <c r="C80" s="39" t="n">
        <v>18</v>
      </c>
      <c r="D80" s="39" t="n">
        <v>18.2</v>
      </c>
      <c r="E80" s="39" t="n">
        <v>0</v>
      </c>
      <c r="F80" s="39" t="n">
        <v>0</v>
      </c>
    </row>
    <row r="81" customFormat="false" ht="13.8" hidden="false" customHeight="false" outlineLevel="0" collapsed="false">
      <c r="A81" s="39" t="n">
        <v>2009</v>
      </c>
      <c r="B81" s="39" t="n">
        <v>7</v>
      </c>
      <c r="C81" s="39" t="n">
        <v>19</v>
      </c>
      <c r="D81" s="39" t="n">
        <v>19.5</v>
      </c>
      <c r="E81" s="39" t="n">
        <v>0</v>
      </c>
      <c r="F81" s="39" t="n">
        <v>0</v>
      </c>
    </row>
    <row r="82" customFormat="false" ht="13.8" hidden="false" customHeight="false" outlineLevel="0" collapsed="false">
      <c r="A82" s="39" t="n">
        <v>2009</v>
      </c>
      <c r="B82" s="39" t="n">
        <v>7</v>
      </c>
      <c r="C82" s="39" t="n">
        <v>20</v>
      </c>
      <c r="D82" s="39" t="n">
        <v>13.6</v>
      </c>
      <c r="E82" s="39" t="n">
        <v>5.3</v>
      </c>
      <c r="F82" s="39" t="n">
        <v>1.84054963339749</v>
      </c>
    </row>
    <row r="83" customFormat="false" ht="13.8" hidden="false" customHeight="false" outlineLevel="0" collapsed="false">
      <c r="A83" s="39" t="n">
        <v>2009</v>
      </c>
      <c r="B83" s="39" t="n">
        <v>7</v>
      </c>
      <c r="C83" s="39" t="n">
        <v>21</v>
      </c>
      <c r="D83" s="39" t="n">
        <v>12.1</v>
      </c>
      <c r="E83" s="39" t="n">
        <v>0</v>
      </c>
      <c r="F83" s="39" t="n">
        <v>0</v>
      </c>
    </row>
    <row r="84" customFormat="false" ht="13.8" hidden="false" customHeight="false" outlineLevel="0" collapsed="false">
      <c r="A84" s="39" t="n">
        <v>2009</v>
      </c>
      <c r="B84" s="39" t="n">
        <v>7</v>
      </c>
      <c r="C84" s="39" t="n">
        <v>22</v>
      </c>
      <c r="D84" s="39" t="n">
        <v>15.7</v>
      </c>
      <c r="E84" s="39" t="n">
        <v>0</v>
      </c>
      <c r="F84" s="39" t="n">
        <v>0</v>
      </c>
    </row>
    <row r="85" customFormat="false" ht="13.8" hidden="false" customHeight="false" outlineLevel="0" collapsed="false">
      <c r="A85" s="39" t="n">
        <v>2009</v>
      </c>
      <c r="B85" s="39" t="n">
        <v>7</v>
      </c>
      <c r="C85" s="39" t="n">
        <v>23</v>
      </c>
      <c r="D85" s="39" t="n">
        <v>18.1</v>
      </c>
      <c r="E85" s="39" t="n">
        <v>0</v>
      </c>
      <c r="F85" s="39" t="n">
        <v>0</v>
      </c>
    </row>
    <row r="86" customFormat="false" ht="13.8" hidden="false" customHeight="false" outlineLevel="0" collapsed="false">
      <c r="A86" s="39" t="n">
        <v>2009</v>
      </c>
      <c r="B86" s="39" t="n">
        <v>7</v>
      </c>
      <c r="C86" s="39" t="n">
        <v>24</v>
      </c>
      <c r="D86" s="39" t="n">
        <v>16.5</v>
      </c>
      <c r="E86" s="39" t="n">
        <v>16.9</v>
      </c>
      <c r="F86" s="39" t="n">
        <v>2.88480071284671</v>
      </c>
    </row>
    <row r="87" customFormat="false" ht="13.8" hidden="false" customHeight="false" outlineLevel="0" collapsed="false">
      <c r="A87" s="39" t="n">
        <v>2009</v>
      </c>
      <c r="B87" s="39" t="n">
        <v>7</v>
      </c>
      <c r="C87" s="39" t="n">
        <v>25</v>
      </c>
      <c r="D87" s="39" t="n">
        <v>13.5</v>
      </c>
      <c r="E87" s="39" t="n">
        <v>15.9</v>
      </c>
      <c r="F87" s="39" t="n">
        <v>2.82731362192903</v>
      </c>
    </row>
    <row r="88" customFormat="false" ht="13.8" hidden="false" customHeight="false" outlineLevel="0" collapsed="false">
      <c r="A88" s="39" t="n">
        <v>2009</v>
      </c>
      <c r="B88" s="39" t="n">
        <v>7</v>
      </c>
      <c r="C88" s="39" t="n">
        <v>26</v>
      </c>
      <c r="D88" s="39" t="n">
        <v>13.8</v>
      </c>
      <c r="E88" s="39" t="n">
        <v>10.4</v>
      </c>
      <c r="F88" s="39" t="n">
        <v>2.43361335540045</v>
      </c>
    </row>
    <row r="89" customFormat="false" ht="13.8" hidden="false" customHeight="false" outlineLevel="0" collapsed="false">
      <c r="A89" s="39" t="n">
        <v>2009</v>
      </c>
      <c r="B89" s="39" t="n">
        <v>7</v>
      </c>
      <c r="C89" s="39" t="n">
        <v>27</v>
      </c>
      <c r="D89" s="39" t="n">
        <v>16.7</v>
      </c>
      <c r="E89" s="39" t="n">
        <v>3</v>
      </c>
      <c r="F89" s="39" t="n">
        <v>1.38629436111989</v>
      </c>
    </row>
    <row r="90" customFormat="false" ht="13.8" hidden="false" customHeight="false" outlineLevel="0" collapsed="false">
      <c r="A90" s="39" t="n">
        <v>2009</v>
      </c>
      <c r="B90" s="39" t="n">
        <v>7</v>
      </c>
      <c r="C90" s="39" t="n">
        <v>28</v>
      </c>
      <c r="D90" s="39" t="n">
        <v>17.7</v>
      </c>
      <c r="E90" s="39" t="n">
        <v>0</v>
      </c>
      <c r="F90" s="39" t="n">
        <v>0</v>
      </c>
    </row>
    <row r="91" customFormat="false" ht="13.8" hidden="false" customHeight="false" outlineLevel="0" collapsed="false">
      <c r="A91" s="39" t="n">
        <v>2009</v>
      </c>
      <c r="B91" s="39" t="n">
        <v>7</v>
      </c>
      <c r="C91" s="39" t="n">
        <v>29</v>
      </c>
      <c r="D91" s="39" t="n">
        <v>15.2</v>
      </c>
      <c r="E91" s="39" t="n">
        <v>4.3</v>
      </c>
      <c r="F91" s="39" t="n">
        <v>1.66770682055808</v>
      </c>
    </row>
    <row r="92" customFormat="false" ht="13.8" hidden="false" customHeight="false" outlineLevel="0" collapsed="false">
      <c r="A92" s="39" t="n">
        <v>2009</v>
      </c>
      <c r="B92" s="39" t="n">
        <v>7</v>
      </c>
      <c r="C92" s="39" t="n">
        <v>30</v>
      </c>
      <c r="D92" s="39" t="n">
        <v>13.3</v>
      </c>
      <c r="E92" s="39" t="n">
        <v>0</v>
      </c>
      <c r="F92" s="39" t="n">
        <v>0</v>
      </c>
    </row>
    <row r="93" customFormat="false" ht="13.8" hidden="false" customHeight="false" outlineLevel="0" collapsed="false">
      <c r="A93" s="39" t="n">
        <v>2009</v>
      </c>
      <c r="B93" s="39" t="n">
        <v>7</v>
      </c>
      <c r="C93" s="39" t="n">
        <v>31</v>
      </c>
      <c r="D93" s="39" t="n">
        <v>14.2</v>
      </c>
      <c r="E93" s="39" t="n">
        <v>0</v>
      </c>
      <c r="F93" s="39" t="n">
        <v>0</v>
      </c>
    </row>
    <row r="94" customFormat="false" ht="13.8" hidden="false" customHeight="false" outlineLevel="0" collapsed="false">
      <c r="A94" s="39" t="n">
        <v>2009</v>
      </c>
      <c r="B94" s="39" t="n">
        <v>8</v>
      </c>
      <c r="C94" s="39" t="n">
        <v>1</v>
      </c>
      <c r="D94" s="39" t="n">
        <v>12.2</v>
      </c>
      <c r="E94" s="39" t="n">
        <v>2.9</v>
      </c>
      <c r="F94" s="39" t="n">
        <v>1.3609765531356</v>
      </c>
    </row>
    <row r="95" customFormat="false" ht="13.8" hidden="false" customHeight="false" outlineLevel="0" collapsed="false">
      <c r="A95" s="39" t="n">
        <v>2009</v>
      </c>
      <c r="B95" s="39" t="n">
        <v>8</v>
      </c>
      <c r="C95" s="39" t="n">
        <v>2</v>
      </c>
      <c r="D95" s="39" t="n">
        <v>13.5</v>
      </c>
      <c r="E95" s="39" t="n">
        <v>0.8</v>
      </c>
      <c r="F95" s="39" t="n">
        <v>0.587786664902119</v>
      </c>
    </row>
    <row r="96" customFormat="false" ht="13.8" hidden="false" customHeight="false" outlineLevel="0" collapsed="false">
      <c r="A96" s="39" t="n">
        <v>2009</v>
      </c>
      <c r="B96" s="39" t="n">
        <v>8</v>
      </c>
      <c r="C96" s="39" t="n">
        <v>3</v>
      </c>
      <c r="D96" s="39" t="n">
        <v>13.4</v>
      </c>
      <c r="E96" s="39" t="n">
        <v>1.1</v>
      </c>
      <c r="F96" s="39" t="n">
        <v>0.741937344729377</v>
      </c>
    </row>
    <row r="97" customFormat="false" ht="13.8" hidden="false" customHeight="false" outlineLevel="0" collapsed="false">
      <c r="A97" s="39" t="n">
        <v>2009</v>
      </c>
      <c r="B97" s="39" t="n">
        <v>8</v>
      </c>
      <c r="C97" s="39" t="n">
        <v>4</v>
      </c>
      <c r="D97" s="39" t="n">
        <v>14.4</v>
      </c>
      <c r="E97" s="39" t="n">
        <v>0.3</v>
      </c>
      <c r="F97" s="39" t="n">
        <v>0.262364264467491</v>
      </c>
    </row>
    <row r="98" customFormat="false" ht="13.8" hidden="false" customHeight="false" outlineLevel="0" collapsed="false">
      <c r="A98" s="39" t="n">
        <v>2009</v>
      </c>
      <c r="B98" s="39" t="n">
        <v>8</v>
      </c>
      <c r="C98" s="39" t="n">
        <v>5</v>
      </c>
      <c r="D98" s="39" t="n">
        <v>15.3</v>
      </c>
      <c r="E98" s="39" t="n">
        <v>3.4</v>
      </c>
      <c r="F98" s="39" t="n">
        <v>1.48160454092422</v>
      </c>
    </row>
    <row r="99" customFormat="false" ht="13.8" hidden="false" customHeight="false" outlineLevel="0" collapsed="false">
      <c r="A99" s="39" t="n">
        <v>2009</v>
      </c>
      <c r="B99" s="39" t="n">
        <v>8</v>
      </c>
      <c r="C99" s="39" t="n">
        <v>6</v>
      </c>
      <c r="D99" s="39" t="n">
        <v>14.2</v>
      </c>
      <c r="E99" s="39" t="n">
        <v>22.8</v>
      </c>
      <c r="F99" s="39" t="n">
        <v>3.16968558067743</v>
      </c>
    </row>
    <row r="100" customFormat="false" ht="13.8" hidden="false" customHeight="false" outlineLevel="0" collapsed="false">
      <c r="A100" s="39" t="n">
        <v>2009</v>
      </c>
      <c r="B100" s="39" t="n">
        <v>8</v>
      </c>
      <c r="C100" s="39" t="n">
        <v>7</v>
      </c>
      <c r="D100" s="39" t="n">
        <v>11</v>
      </c>
      <c r="E100" s="39" t="n">
        <v>40</v>
      </c>
      <c r="F100" s="39" t="n">
        <v>3.71357206670431</v>
      </c>
    </row>
    <row r="101" customFormat="false" ht="13.8" hidden="false" customHeight="false" outlineLevel="0" collapsed="false">
      <c r="A101" s="39" t="n">
        <v>2009</v>
      </c>
      <c r="B101" s="39" t="n">
        <v>8</v>
      </c>
      <c r="C101" s="39" t="n">
        <v>8</v>
      </c>
      <c r="D101" s="39" t="n">
        <v>9.1</v>
      </c>
      <c r="E101" s="39" t="n">
        <v>0.6</v>
      </c>
      <c r="F101" s="39" t="n">
        <v>0.470003629245736</v>
      </c>
    </row>
    <row r="102" customFormat="false" ht="13.8" hidden="false" customHeight="false" outlineLevel="0" collapsed="false">
      <c r="A102" s="39" t="n">
        <v>2009</v>
      </c>
      <c r="B102" s="39" t="n">
        <v>8</v>
      </c>
      <c r="C102" s="39" t="n">
        <v>9</v>
      </c>
      <c r="D102" s="39" t="n">
        <v>8.3</v>
      </c>
      <c r="E102" s="39" t="n">
        <v>3.9</v>
      </c>
      <c r="F102" s="39" t="n">
        <v>1.58923520511658</v>
      </c>
    </row>
    <row r="103" customFormat="false" ht="13.8" hidden="false" customHeight="false" outlineLevel="0" collapsed="false">
      <c r="A103" s="39" t="n">
        <v>2009</v>
      </c>
      <c r="B103" s="39" t="n">
        <v>8</v>
      </c>
      <c r="C103" s="39" t="n">
        <v>10</v>
      </c>
      <c r="D103" s="39" t="n">
        <v>8.7</v>
      </c>
      <c r="E103" s="39" t="n">
        <v>0.5</v>
      </c>
      <c r="F103" s="39" t="n">
        <v>0.405465108108164</v>
      </c>
    </row>
    <row r="104" customFormat="false" ht="13.8" hidden="false" customHeight="false" outlineLevel="0" collapsed="false">
      <c r="A104" s="39" t="n">
        <v>2009</v>
      </c>
      <c r="B104" s="39" t="n">
        <v>8</v>
      </c>
      <c r="C104" s="39" t="n">
        <v>11</v>
      </c>
      <c r="D104" s="39" t="n">
        <v>10.6</v>
      </c>
      <c r="E104" s="39" t="n">
        <v>4.7</v>
      </c>
      <c r="F104" s="39" t="n">
        <v>1.7404661748405</v>
      </c>
    </row>
    <row r="105" customFormat="false" ht="13.8" hidden="false" customHeight="false" outlineLevel="0" collapsed="false">
      <c r="A105" s="39" t="n">
        <v>2009</v>
      </c>
      <c r="B105" s="39" t="n">
        <v>8</v>
      </c>
      <c r="C105" s="39" t="n">
        <v>12</v>
      </c>
      <c r="D105" s="39" t="n">
        <v>9.2</v>
      </c>
      <c r="E105" s="39" t="n">
        <v>0</v>
      </c>
      <c r="F105" s="39" t="n">
        <v>0</v>
      </c>
    </row>
    <row r="106" customFormat="false" ht="13.8" hidden="false" customHeight="false" outlineLevel="0" collapsed="false">
      <c r="A106" s="39" t="n">
        <v>2009</v>
      </c>
      <c r="B106" s="39" t="n">
        <v>8</v>
      </c>
      <c r="C106" s="39" t="n">
        <v>13</v>
      </c>
      <c r="D106" s="39" t="n">
        <v>12.8</v>
      </c>
      <c r="E106" s="39" t="n">
        <v>0</v>
      </c>
      <c r="F106" s="39" t="n">
        <v>0</v>
      </c>
    </row>
    <row r="107" customFormat="false" ht="13.8" hidden="false" customHeight="false" outlineLevel="0" collapsed="false">
      <c r="A107" s="39" t="n">
        <v>2009</v>
      </c>
      <c r="B107" s="39" t="n">
        <v>8</v>
      </c>
      <c r="C107" s="39" t="n">
        <v>14</v>
      </c>
      <c r="D107" s="39" t="n">
        <v>15.8</v>
      </c>
      <c r="E107" s="39" t="n">
        <v>0</v>
      </c>
      <c r="F107" s="39" t="n">
        <v>0</v>
      </c>
    </row>
    <row r="108" customFormat="false" ht="13.8" hidden="false" customHeight="false" outlineLevel="0" collapsed="false">
      <c r="A108" s="39" t="n">
        <v>2009</v>
      </c>
      <c r="B108" s="39" t="n">
        <v>8</v>
      </c>
      <c r="C108" s="39" t="n">
        <v>15</v>
      </c>
      <c r="D108" s="39" t="n">
        <v>16.5</v>
      </c>
      <c r="E108" s="39" t="n">
        <v>0</v>
      </c>
      <c r="F108" s="39" t="n">
        <v>0</v>
      </c>
    </row>
    <row r="109" customFormat="false" ht="13.8" hidden="false" customHeight="false" outlineLevel="0" collapsed="false">
      <c r="A109" s="39" t="n">
        <v>2009</v>
      </c>
      <c r="B109" s="39" t="n">
        <v>8</v>
      </c>
      <c r="C109" s="39" t="n">
        <v>16</v>
      </c>
      <c r="D109" s="39" t="n">
        <v>15.2</v>
      </c>
      <c r="E109" s="39" t="n">
        <v>1.1</v>
      </c>
      <c r="F109" s="39" t="n">
        <v>0.741937344729377</v>
      </c>
    </row>
    <row r="110" customFormat="false" ht="13.8" hidden="false" customHeight="false" outlineLevel="0" collapsed="false">
      <c r="A110" s="39" t="n">
        <v>2009</v>
      </c>
      <c r="B110" s="39" t="n">
        <v>8</v>
      </c>
      <c r="C110" s="39" t="n">
        <v>17</v>
      </c>
      <c r="D110" s="39" t="n">
        <v>13.2</v>
      </c>
      <c r="E110" s="39" t="n">
        <v>13.8</v>
      </c>
      <c r="F110" s="39" t="n">
        <v>2.69462718077007</v>
      </c>
    </row>
    <row r="111" customFormat="false" ht="13.8" hidden="false" customHeight="false" outlineLevel="0" collapsed="false">
      <c r="A111" s="39" t="n">
        <v>2009</v>
      </c>
      <c r="B111" s="39" t="n">
        <v>8</v>
      </c>
      <c r="C111" s="39" t="n">
        <v>18</v>
      </c>
      <c r="D111" s="39" t="n">
        <v>14.9</v>
      </c>
      <c r="E111" s="39" t="n">
        <v>3.6</v>
      </c>
      <c r="F111" s="39" t="n">
        <v>1.52605630349505</v>
      </c>
    </row>
    <row r="112" customFormat="false" ht="13.8" hidden="false" customHeight="false" outlineLevel="0" collapsed="false">
      <c r="A112" s="39" t="n">
        <v>2009</v>
      </c>
      <c r="B112" s="39" t="n">
        <v>8</v>
      </c>
      <c r="C112" s="39" t="n">
        <v>19</v>
      </c>
      <c r="D112" s="39" t="n">
        <v>16.3</v>
      </c>
      <c r="E112" s="39" t="n">
        <v>0</v>
      </c>
      <c r="F112" s="39" t="n">
        <v>0</v>
      </c>
    </row>
    <row r="113" customFormat="false" ht="13.8" hidden="false" customHeight="false" outlineLevel="0" collapsed="false">
      <c r="A113" s="39" t="n">
        <v>2009</v>
      </c>
      <c r="B113" s="39" t="n">
        <v>8</v>
      </c>
      <c r="C113" s="39" t="n">
        <v>20</v>
      </c>
      <c r="D113" s="39" t="n">
        <v>17.2</v>
      </c>
      <c r="E113" s="39" t="n">
        <v>0</v>
      </c>
      <c r="F113" s="39" t="n">
        <v>0</v>
      </c>
    </row>
    <row r="114" customFormat="false" ht="13.8" hidden="false" customHeight="false" outlineLevel="0" collapsed="false">
      <c r="A114" s="39" t="n">
        <v>2009</v>
      </c>
      <c r="B114" s="39" t="n">
        <v>8</v>
      </c>
      <c r="C114" s="39" t="n">
        <v>21</v>
      </c>
      <c r="D114" s="39" t="n">
        <v>17.4</v>
      </c>
      <c r="E114" s="39" t="n">
        <v>0</v>
      </c>
      <c r="F114" s="39" t="n">
        <v>0</v>
      </c>
    </row>
    <row r="115" customFormat="false" ht="13.8" hidden="false" customHeight="false" outlineLevel="0" collapsed="false">
      <c r="A115" s="39" t="n">
        <v>2009</v>
      </c>
      <c r="B115" s="39" t="n">
        <v>8</v>
      </c>
      <c r="C115" s="39" t="n">
        <v>22</v>
      </c>
      <c r="D115" s="39" t="n">
        <v>17.3</v>
      </c>
      <c r="E115" s="39" t="n">
        <v>3.5</v>
      </c>
      <c r="F115" s="39" t="n">
        <v>1.50407739677627</v>
      </c>
    </row>
    <row r="116" customFormat="false" ht="13.8" hidden="false" customHeight="false" outlineLevel="0" collapsed="false">
      <c r="A116" s="39" t="n">
        <v>2009</v>
      </c>
      <c r="B116" s="39" t="n">
        <v>8</v>
      </c>
      <c r="C116" s="39" t="n">
        <v>23</v>
      </c>
      <c r="D116" s="39" t="n">
        <v>15.2</v>
      </c>
      <c r="E116" s="39" t="n">
        <v>0.6</v>
      </c>
      <c r="F116" s="39" t="n">
        <v>0.470003629245736</v>
      </c>
    </row>
    <row r="117" customFormat="false" ht="13.8" hidden="false" customHeight="false" outlineLevel="0" collapsed="false">
      <c r="A117" s="39" t="n">
        <v>2009</v>
      </c>
      <c r="B117" s="39" t="n">
        <v>8</v>
      </c>
      <c r="C117" s="39" t="n">
        <v>24</v>
      </c>
      <c r="D117" s="39" t="n">
        <v>15.3</v>
      </c>
      <c r="E117" s="39" t="n">
        <v>0</v>
      </c>
      <c r="F117" s="39" t="n">
        <v>0</v>
      </c>
    </row>
    <row r="118" customFormat="false" ht="13.8" hidden="false" customHeight="false" outlineLevel="0" collapsed="false">
      <c r="A118" s="39" t="n">
        <v>2009</v>
      </c>
      <c r="B118" s="39" t="n">
        <v>8</v>
      </c>
      <c r="C118" s="39" t="n">
        <v>25</v>
      </c>
      <c r="D118" s="39" t="n">
        <v>14.2</v>
      </c>
      <c r="E118" s="39" t="n">
        <v>0.9</v>
      </c>
      <c r="F118" s="39" t="n">
        <v>0.641853886172395</v>
      </c>
    </row>
    <row r="119" customFormat="false" ht="13.8" hidden="false" customHeight="false" outlineLevel="0" collapsed="false">
      <c r="A119" s="39" t="n">
        <v>2009</v>
      </c>
      <c r="B119" s="39" t="n">
        <v>8</v>
      </c>
      <c r="C119" s="39" t="n">
        <v>26</v>
      </c>
      <c r="D119" s="39" t="n">
        <v>16.7</v>
      </c>
      <c r="E119" s="39" t="n">
        <v>0</v>
      </c>
      <c r="F119" s="39" t="n">
        <v>0</v>
      </c>
    </row>
    <row r="120" customFormat="false" ht="13.8" hidden="false" customHeight="false" outlineLevel="0" collapsed="false">
      <c r="A120" s="39" t="n">
        <v>2009</v>
      </c>
      <c r="B120" s="39" t="n">
        <v>8</v>
      </c>
      <c r="C120" s="39" t="n">
        <v>27</v>
      </c>
      <c r="D120" s="39" t="n">
        <v>17.2</v>
      </c>
      <c r="E120" s="39" t="n">
        <v>0</v>
      </c>
      <c r="F120" s="39" t="n">
        <v>0</v>
      </c>
    </row>
    <row r="121" customFormat="false" ht="13.8" hidden="false" customHeight="false" outlineLevel="0" collapsed="false">
      <c r="A121" s="39" t="n">
        <v>2009</v>
      </c>
      <c r="B121" s="39" t="n">
        <v>8</v>
      </c>
      <c r="C121" s="39" t="n">
        <v>28</v>
      </c>
      <c r="D121" s="39" t="n">
        <v>14.5</v>
      </c>
      <c r="E121" s="39" t="n">
        <v>0</v>
      </c>
      <c r="F121" s="39" t="n">
        <v>0</v>
      </c>
    </row>
    <row r="122" customFormat="false" ht="13.8" hidden="false" customHeight="false" outlineLevel="0" collapsed="false">
      <c r="A122" s="39" t="n">
        <v>2009</v>
      </c>
      <c r="B122" s="39" t="n">
        <v>8</v>
      </c>
      <c r="C122" s="39" t="n">
        <v>29</v>
      </c>
      <c r="D122" s="39" t="n">
        <v>12.9</v>
      </c>
      <c r="E122" s="39" t="n">
        <v>2.4</v>
      </c>
      <c r="F122" s="39" t="n">
        <v>1.22377543162212</v>
      </c>
    </row>
    <row r="123" customFormat="false" ht="13.8" hidden="false" customHeight="false" outlineLevel="0" collapsed="false">
      <c r="A123" s="39" t="n">
        <v>2009</v>
      </c>
      <c r="B123" s="39" t="n">
        <v>8</v>
      </c>
      <c r="C123" s="39" t="n">
        <v>30</v>
      </c>
      <c r="D123" s="39" t="n">
        <v>12.8</v>
      </c>
      <c r="E123" s="39" t="n">
        <v>13.7</v>
      </c>
      <c r="F123" s="39" t="n">
        <v>2.68784749378469</v>
      </c>
    </row>
    <row r="124" customFormat="false" ht="13.8" hidden="false" customHeight="false" outlineLevel="0" collapsed="false">
      <c r="A124" s="39" t="n">
        <v>2009</v>
      </c>
      <c r="B124" s="39" t="n">
        <v>8</v>
      </c>
      <c r="C124" s="39" t="n">
        <v>31</v>
      </c>
      <c r="D124" s="39" t="n">
        <v>10.1</v>
      </c>
      <c r="E124" s="39" t="n">
        <v>3.1</v>
      </c>
      <c r="F124" s="39" t="n">
        <v>1.41098697371026</v>
      </c>
    </row>
    <row r="125" customFormat="false" ht="13.8" hidden="false" customHeight="false" outlineLevel="0" collapsed="false">
      <c r="A125" s="39" t="n">
        <v>2014</v>
      </c>
      <c r="B125" s="39" t="n">
        <v>5</v>
      </c>
      <c r="C125" s="39" t="n">
        <v>1</v>
      </c>
      <c r="D125" s="39" t="n">
        <v>9.9</v>
      </c>
      <c r="E125" s="39" t="n">
        <v>0</v>
      </c>
      <c r="F125" s="39" t="n">
        <v>0</v>
      </c>
    </row>
    <row r="126" customFormat="false" ht="13.8" hidden="false" customHeight="false" outlineLevel="0" collapsed="false">
      <c r="A126" s="39" t="n">
        <v>2014</v>
      </c>
      <c r="B126" s="39" t="n">
        <v>5</v>
      </c>
      <c r="C126" s="39" t="n">
        <v>2</v>
      </c>
      <c r="D126" s="39" t="n">
        <v>9.5</v>
      </c>
      <c r="E126" s="39" t="n">
        <v>3</v>
      </c>
      <c r="F126" s="39" t="n">
        <v>1.38629436111989</v>
      </c>
    </row>
    <row r="127" customFormat="false" ht="13.8" hidden="false" customHeight="false" outlineLevel="0" collapsed="false">
      <c r="A127" s="39" t="n">
        <v>2014</v>
      </c>
      <c r="B127" s="39" t="n">
        <v>5</v>
      </c>
      <c r="C127" s="39" t="n">
        <v>3</v>
      </c>
      <c r="D127" s="39" t="n">
        <v>9.5</v>
      </c>
      <c r="E127" s="39" t="n">
        <v>0.7</v>
      </c>
      <c r="F127" s="39" t="n">
        <v>0.53062825106217</v>
      </c>
    </row>
    <row r="128" customFormat="false" ht="13.8" hidden="false" customHeight="false" outlineLevel="0" collapsed="false">
      <c r="A128" s="39" t="n">
        <v>2014</v>
      </c>
      <c r="B128" s="39" t="n">
        <v>5</v>
      </c>
      <c r="C128" s="39" t="n">
        <v>4</v>
      </c>
      <c r="D128" s="39" t="n">
        <v>7.1</v>
      </c>
      <c r="E128" s="39" t="n">
        <v>15</v>
      </c>
      <c r="F128" s="39" t="n">
        <v>2.77258872223978</v>
      </c>
    </row>
    <row r="129" customFormat="false" ht="13.8" hidden="false" customHeight="false" outlineLevel="0" collapsed="false">
      <c r="A129" s="39" t="n">
        <v>2014</v>
      </c>
      <c r="B129" s="39" t="n">
        <v>5</v>
      </c>
      <c r="C129" s="39" t="n">
        <v>5</v>
      </c>
      <c r="D129" s="39" t="n">
        <v>3.5</v>
      </c>
      <c r="E129" s="39" t="n">
        <v>0</v>
      </c>
      <c r="F129" s="39" t="n">
        <v>0</v>
      </c>
    </row>
    <row r="130" customFormat="false" ht="13.8" hidden="false" customHeight="false" outlineLevel="0" collapsed="false">
      <c r="A130" s="39" t="n">
        <v>2014</v>
      </c>
      <c r="B130" s="39" t="n">
        <v>5</v>
      </c>
      <c r="C130" s="39" t="n">
        <v>6</v>
      </c>
      <c r="D130" s="39" t="n">
        <v>10.5</v>
      </c>
      <c r="E130" s="39" t="n">
        <v>0</v>
      </c>
      <c r="F130" s="39" t="n">
        <v>0</v>
      </c>
    </row>
    <row r="131" customFormat="false" ht="13.8" hidden="false" customHeight="false" outlineLevel="0" collapsed="false">
      <c r="A131" s="39" t="n">
        <v>2014</v>
      </c>
      <c r="B131" s="39" t="n">
        <v>5</v>
      </c>
      <c r="C131" s="39" t="n">
        <v>7</v>
      </c>
      <c r="D131" s="39" t="n">
        <v>11.9</v>
      </c>
      <c r="E131" s="39" t="n">
        <v>12.4</v>
      </c>
      <c r="F131" s="39" t="n">
        <v>2.59525470695687</v>
      </c>
    </row>
    <row r="132" customFormat="false" ht="13.8" hidden="false" customHeight="false" outlineLevel="0" collapsed="false">
      <c r="A132" s="39" t="n">
        <v>2014</v>
      </c>
      <c r="B132" s="39" t="n">
        <v>5</v>
      </c>
      <c r="C132" s="39" t="n">
        <v>8</v>
      </c>
      <c r="D132" s="39" t="n">
        <v>6.5</v>
      </c>
      <c r="E132" s="39" t="n">
        <v>0</v>
      </c>
      <c r="F132" s="39" t="n">
        <v>0</v>
      </c>
    </row>
    <row r="133" customFormat="false" ht="13.8" hidden="false" customHeight="false" outlineLevel="0" collapsed="false">
      <c r="A133" s="39" t="n">
        <v>2014</v>
      </c>
      <c r="B133" s="39" t="n">
        <v>5</v>
      </c>
      <c r="C133" s="39" t="n">
        <v>9</v>
      </c>
      <c r="D133" s="39" t="n">
        <v>10.4</v>
      </c>
      <c r="E133" s="39" t="n">
        <v>0</v>
      </c>
      <c r="F133" s="39" t="n">
        <v>0</v>
      </c>
    </row>
    <row r="134" customFormat="false" ht="13.8" hidden="false" customHeight="false" outlineLevel="0" collapsed="false">
      <c r="A134" s="39" t="n">
        <v>2014</v>
      </c>
      <c r="B134" s="39" t="n">
        <v>5</v>
      </c>
      <c r="C134" s="39" t="n">
        <v>10</v>
      </c>
      <c r="D134" s="39" t="n">
        <v>13.8</v>
      </c>
      <c r="E134" s="39" t="n">
        <v>0</v>
      </c>
      <c r="F134" s="39" t="n">
        <v>0</v>
      </c>
    </row>
    <row r="135" customFormat="false" ht="13.8" hidden="false" customHeight="false" outlineLevel="0" collapsed="false">
      <c r="A135" s="39" t="n">
        <v>2014</v>
      </c>
      <c r="B135" s="39" t="n">
        <v>5</v>
      </c>
      <c r="C135" s="39" t="n">
        <v>11</v>
      </c>
      <c r="D135" s="39" t="n">
        <v>13.4</v>
      </c>
      <c r="E135" s="39" t="n">
        <v>0.4</v>
      </c>
      <c r="F135" s="39" t="n">
        <v>0.336472236621213</v>
      </c>
    </row>
    <row r="136" customFormat="false" ht="13.8" hidden="false" customHeight="false" outlineLevel="0" collapsed="false">
      <c r="A136" s="39" t="n">
        <v>2014</v>
      </c>
      <c r="B136" s="39" t="n">
        <v>5</v>
      </c>
      <c r="C136" s="39" t="n">
        <v>12</v>
      </c>
      <c r="D136" s="39" t="n">
        <v>21.5</v>
      </c>
      <c r="E136" s="39" t="n">
        <v>0</v>
      </c>
      <c r="F136" s="39" t="n">
        <v>0</v>
      </c>
    </row>
    <row r="137" customFormat="false" ht="13.8" hidden="false" customHeight="false" outlineLevel="0" collapsed="false">
      <c r="A137" s="39" t="n">
        <v>2014</v>
      </c>
      <c r="B137" s="39" t="n">
        <v>5</v>
      </c>
      <c r="C137" s="39" t="n">
        <v>13</v>
      </c>
      <c r="D137" s="39" t="n">
        <v>22</v>
      </c>
      <c r="E137" s="39" t="n">
        <v>0</v>
      </c>
      <c r="F137" s="39" t="n">
        <v>0</v>
      </c>
    </row>
    <row r="138" customFormat="false" ht="13.8" hidden="false" customHeight="false" outlineLevel="0" collapsed="false">
      <c r="A138" s="39" t="n">
        <v>2014</v>
      </c>
      <c r="B138" s="39" t="n">
        <v>5</v>
      </c>
      <c r="C138" s="39" t="n">
        <v>14</v>
      </c>
      <c r="D138" s="39" t="n">
        <v>21.4</v>
      </c>
      <c r="E138" s="39" t="n">
        <v>0</v>
      </c>
      <c r="F138" s="39" t="n">
        <v>0</v>
      </c>
    </row>
    <row r="139" customFormat="false" ht="13.8" hidden="false" customHeight="false" outlineLevel="0" collapsed="false">
      <c r="A139" s="39" t="n">
        <v>2014</v>
      </c>
      <c r="B139" s="39" t="n">
        <v>5</v>
      </c>
      <c r="C139" s="39" t="n">
        <v>15</v>
      </c>
      <c r="D139" s="39" t="n">
        <v>20.7</v>
      </c>
      <c r="E139" s="39" t="n">
        <v>0.4</v>
      </c>
      <c r="F139" s="39" t="n">
        <v>0.336472236621213</v>
      </c>
    </row>
    <row r="140" customFormat="false" ht="13.8" hidden="false" customHeight="false" outlineLevel="0" collapsed="false">
      <c r="A140" s="39" t="n">
        <v>2014</v>
      </c>
      <c r="B140" s="39" t="n">
        <v>5</v>
      </c>
      <c r="C140" s="39" t="n">
        <v>16</v>
      </c>
      <c r="D140" s="39" t="n">
        <v>20</v>
      </c>
      <c r="E140" s="39" t="n">
        <v>1.8</v>
      </c>
      <c r="F140" s="39" t="n">
        <v>1.02961941718116</v>
      </c>
    </row>
    <row r="141" customFormat="false" ht="13.8" hidden="false" customHeight="false" outlineLevel="0" collapsed="false">
      <c r="A141" s="39" t="n">
        <v>2014</v>
      </c>
      <c r="B141" s="39" t="n">
        <v>5</v>
      </c>
      <c r="C141" s="39" t="n">
        <v>17</v>
      </c>
      <c r="D141" s="39" t="n">
        <v>13.2</v>
      </c>
      <c r="E141" s="39" t="n">
        <v>0</v>
      </c>
      <c r="F141" s="39" t="n">
        <v>0</v>
      </c>
    </row>
    <row r="142" customFormat="false" ht="13.8" hidden="false" customHeight="false" outlineLevel="0" collapsed="false">
      <c r="A142" s="39" t="n">
        <v>2014</v>
      </c>
      <c r="B142" s="39" t="n">
        <v>5</v>
      </c>
      <c r="C142" s="39" t="n">
        <v>18</v>
      </c>
      <c r="D142" s="39" t="n">
        <v>7</v>
      </c>
      <c r="E142" s="39" t="n">
        <v>11.1</v>
      </c>
      <c r="F142" s="39" t="n">
        <v>2.4932054526027</v>
      </c>
    </row>
    <row r="143" customFormat="false" ht="13.8" hidden="false" customHeight="false" outlineLevel="0" collapsed="false">
      <c r="A143" s="39" t="n">
        <v>2014</v>
      </c>
      <c r="B143" s="39" t="n">
        <v>5</v>
      </c>
      <c r="C143" s="39" t="n">
        <v>19</v>
      </c>
      <c r="D143" s="39" t="n">
        <v>7.5</v>
      </c>
      <c r="E143" s="39" t="n">
        <v>0</v>
      </c>
      <c r="F143" s="39" t="n">
        <v>0</v>
      </c>
    </row>
    <row r="144" customFormat="false" ht="13.8" hidden="false" customHeight="false" outlineLevel="0" collapsed="false">
      <c r="A144" s="39" t="n">
        <v>2014</v>
      </c>
      <c r="B144" s="39" t="n">
        <v>5</v>
      </c>
      <c r="C144" s="39" t="n">
        <v>20</v>
      </c>
      <c r="D144" s="39" t="n">
        <v>13.3</v>
      </c>
      <c r="E144" s="39" t="n">
        <v>0</v>
      </c>
      <c r="F144" s="39" t="n">
        <v>0</v>
      </c>
    </row>
    <row r="145" customFormat="false" ht="13.8" hidden="false" customHeight="false" outlineLevel="0" collapsed="false">
      <c r="A145" s="39" t="n">
        <v>2014</v>
      </c>
      <c r="B145" s="39" t="n">
        <v>5</v>
      </c>
      <c r="C145" s="39" t="n">
        <v>21</v>
      </c>
      <c r="D145" s="39" t="n">
        <v>11.6</v>
      </c>
      <c r="E145" s="39" t="n">
        <v>0</v>
      </c>
      <c r="F145" s="39" t="n">
        <v>0</v>
      </c>
    </row>
    <row r="146" customFormat="false" ht="13.8" hidden="false" customHeight="false" outlineLevel="0" collapsed="false">
      <c r="A146" s="39" t="n">
        <v>2014</v>
      </c>
      <c r="B146" s="39" t="n">
        <v>5</v>
      </c>
      <c r="C146" s="39" t="n">
        <v>22</v>
      </c>
      <c r="D146" s="39" t="n">
        <v>21.1</v>
      </c>
      <c r="E146" s="39" t="n">
        <v>0</v>
      </c>
      <c r="F146" s="39" t="n">
        <v>0</v>
      </c>
    </row>
    <row r="147" customFormat="false" ht="13.8" hidden="false" customHeight="false" outlineLevel="0" collapsed="false">
      <c r="A147" s="39" t="n">
        <v>2014</v>
      </c>
      <c r="B147" s="39" t="n">
        <v>5</v>
      </c>
      <c r="C147" s="39" t="n">
        <v>23</v>
      </c>
      <c r="D147" s="39" t="n">
        <v>20.4</v>
      </c>
      <c r="E147" s="39" t="n">
        <v>0.5</v>
      </c>
      <c r="F147" s="39" t="n">
        <v>0.405465108108164</v>
      </c>
    </row>
    <row r="148" customFormat="false" ht="13.8" hidden="false" customHeight="false" outlineLevel="0" collapsed="false">
      <c r="A148" s="39" t="n">
        <v>2014</v>
      </c>
      <c r="B148" s="39" t="n">
        <v>5</v>
      </c>
      <c r="C148" s="39" t="n">
        <v>24</v>
      </c>
      <c r="D148" s="39" t="n">
        <v>16.5</v>
      </c>
      <c r="E148" s="39" t="n">
        <v>3.4</v>
      </c>
      <c r="F148" s="39" t="n">
        <v>1.48160454092422</v>
      </c>
    </row>
    <row r="149" customFormat="false" ht="13.8" hidden="false" customHeight="false" outlineLevel="0" collapsed="false">
      <c r="A149" s="39" t="n">
        <v>2014</v>
      </c>
      <c r="B149" s="39" t="n">
        <v>5</v>
      </c>
      <c r="C149" s="39" t="n">
        <v>25</v>
      </c>
      <c r="D149" s="39" t="n">
        <v>19.9</v>
      </c>
      <c r="E149" s="39" t="n">
        <v>0</v>
      </c>
      <c r="F149" s="39" t="n">
        <v>0</v>
      </c>
    </row>
    <row r="150" customFormat="false" ht="13.8" hidden="false" customHeight="false" outlineLevel="0" collapsed="false">
      <c r="A150" s="39" t="n">
        <v>2014</v>
      </c>
      <c r="B150" s="39" t="n">
        <v>5</v>
      </c>
      <c r="C150" s="39" t="n">
        <v>26</v>
      </c>
      <c r="D150" s="39" t="n">
        <v>18.6</v>
      </c>
      <c r="E150" s="39" t="n">
        <v>3</v>
      </c>
      <c r="F150" s="39" t="n">
        <v>1.38629436111989</v>
      </c>
    </row>
    <row r="151" customFormat="false" ht="13.8" hidden="false" customHeight="false" outlineLevel="0" collapsed="false">
      <c r="A151" s="39" t="n">
        <v>2014</v>
      </c>
      <c r="B151" s="39" t="n">
        <v>5</v>
      </c>
      <c r="C151" s="39" t="n">
        <v>27</v>
      </c>
      <c r="D151" s="39" t="n">
        <v>13.1</v>
      </c>
      <c r="E151" s="39" t="n">
        <v>11.1</v>
      </c>
      <c r="F151" s="39" t="n">
        <v>2.4932054526027</v>
      </c>
    </row>
    <row r="152" customFormat="false" ht="13.8" hidden="false" customHeight="false" outlineLevel="0" collapsed="false">
      <c r="A152" s="39" t="n">
        <v>2014</v>
      </c>
      <c r="B152" s="39" t="n">
        <v>5</v>
      </c>
      <c r="C152" s="39" t="n">
        <v>28</v>
      </c>
      <c r="D152" s="39" t="n">
        <v>10.6</v>
      </c>
      <c r="E152" s="39" t="n">
        <v>0</v>
      </c>
      <c r="F152" s="39" t="n">
        <v>0</v>
      </c>
    </row>
    <row r="153" customFormat="false" ht="13.8" hidden="false" customHeight="false" outlineLevel="0" collapsed="false">
      <c r="A153" s="39" t="n">
        <v>2014</v>
      </c>
      <c r="B153" s="39" t="n">
        <v>5</v>
      </c>
      <c r="C153" s="39" t="n">
        <v>29</v>
      </c>
      <c r="D153" s="39" t="n">
        <v>6.9</v>
      </c>
      <c r="E153" s="39" t="n">
        <v>0</v>
      </c>
      <c r="F153" s="39" t="n">
        <v>0</v>
      </c>
    </row>
    <row r="154" customFormat="false" ht="13.8" hidden="false" customHeight="false" outlineLevel="0" collapsed="false">
      <c r="A154" s="39" t="n">
        <v>2014</v>
      </c>
      <c r="B154" s="39" t="n">
        <v>5</v>
      </c>
      <c r="C154" s="39" t="n">
        <v>30</v>
      </c>
      <c r="D154" s="39" t="n">
        <v>9.3</v>
      </c>
      <c r="E154" s="39" t="n">
        <v>0</v>
      </c>
      <c r="F154" s="39" t="n">
        <v>0</v>
      </c>
    </row>
    <row r="155" customFormat="false" ht="13.8" hidden="false" customHeight="false" outlineLevel="0" collapsed="false">
      <c r="A155" s="39" t="n">
        <v>2014</v>
      </c>
      <c r="B155" s="39" t="n">
        <v>5</v>
      </c>
      <c r="C155" s="39" t="n">
        <v>31</v>
      </c>
      <c r="D155" s="39" t="n">
        <v>13.1</v>
      </c>
      <c r="E155" s="39" t="n">
        <v>0</v>
      </c>
      <c r="F155" s="39" t="n">
        <v>0</v>
      </c>
    </row>
    <row r="156" customFormat="false" ht="13.8" hidden="false" customHeight="false" outlineLevel="0" collapsed="false">
      <c r="A156" s="39" t="n">
        <v>2014</v>
      </c>
      <c r="B156" s="39" t="n">
        <v>6</v>
      </c>
      <c r="C156" s="39" t="n">
        <v>1</v>
      </c>
      <c r="D156" s="39" t="n">
        <v>13.9</v>
      </c>
      <c r="E156" s="39" t="n">
        <v>0</v>
      </c>
      <c r="F156" s="39" t="n">
        <v>0</v>
      </c>
    </row>
    <row r="157" customFormat="false" ht="13.8" hidden="false" customHeight="false" outlineLevel="0" collapsed="false">
      <c r="A157" s="39" t="n">
        <v>2014</v>
      </c>
      <c r="B157" s="39" t="n">
        <v>6</v>
      </c>
      <c r="C157" s="39" t="n">
        <v>2</v>
      </c>
      <c r="D157" s="39" t="n">
        <v>15.7</v>
      </c>
      <c r="E157" s="39" t="n">
        <v>0</v>
      </c>
      <c r="F157" s="39" t="n">
        <v>0</v>
      </c>
    </row>
    <row r="158" customFormat="false" ht="13.8" hidden="false" customHeight="false" outlineLevel="0" collapsed="false">
      <c r="A158" s="39" t="n">
        <v>2014</v>
      </c>
      <c r="B158" s="39" t="n">
        <v>6</v>
      </c>
      <c r="C158" s="39" t="n">
        <v>3</v>
      </c>
      <c r="D158" s="39" t="n">
        <v>18.8</v>
      </c>
      <c r="E158" s="39" t="n">
        <v>0</v>
      </c>
      <c r="F158" s="39" t="n">
        <v>0</v>
      </c>
    </row>
    <row r="159" customFormat="false" ht="13.8" hidden="false" customHeight="false" outlineLevel="0" collapsed="false">
      <c r="A159" s="39" t="n">
        <v>2014</v>
      </c>
      <c r="B159" s="39" t="n">
        <v>6</v>
      </c>
      <c r="C159" s="39" t="n">
        <v>4</v>
      </c>
      <c r="D159" s="39" t="n">
        <v>17.6</v>
      </c>
      <c r="E159" s="39" t="n">
        <v>0</v>
      </c>
      <c r="F159" s="39" t="n">
        <v>0</v>
      </c>
    </row>
    <row r="160" customFormat="false" ht="13.8" hidden="false" customHeight="false" outlineLevel="0" collapsed="false">
      <c r="A160" s="39" t="n">
        <v>2014</v>
      </c>
      <c r="B160" s="39" t="n">
        <v>6</v>
      </c>
      <c r="C160" s="39" t="n">
        <v>5</v>
      </c>
      <c r="D160" s="39" t="n">
        <v>14.6</v>
      </c>
      <c r="E160" s="39" t="n">
        <v>0</v>
      </c>
      <c r="F160" s="39" t="n">
        <v>0</v>
      </c>
    </row>
    <row r="161" customFormat="false" ht="13.8" hidden="false" customHeight="false" outlineLevel="0" collapsed="false">
      <c r="A161" s="39" t="n">
        <v>2014</v>
      </c>
      <c r="B161" s="39" t="n">
        <v>6</v>
      </c>
      <c r="C161" s="39" t="n">
        <v>6</v>
      </c>
      <c r="D161" s="39" t="n">
        <v>15.9</v>
      </c>
      <c r="E161" s="39" t="n">
        <v>5.4</v>
      </c>
      <c r="F161" s="39" t="n">
        <v>1.85629799036563</v>
      </c>
    </row>
    <row r="162" customFormat="false" ht="13.8" hidden="false" customHeight="false" outlineLevel="0" collapsed="false">
      <c r="A162" s="39" t="n">
        <v>2014</v>
      </c>
      <c r="B162" s="39" t="n">
        <v>6</v>
      </c>
      <c r="C162" s="39" t="n">
        <v>7</v>
      </c>
      <c r="D162" s="39" t="n">
        <v>11.6</v>
      </c>
      <c r="E162" s="39" t="n">
        <v>0</v>
      </c>
      <c r="F162" s="39" t="n">
        <v>0</v>
      </c>
    </row>
    <row r="163" customFormat="false" ht="13.8" hidden="false" customHeight="false" outlineLevel="0" collapsed="false">
      <c r="A163" s="39" t="n">
        <v>2014</v>
      </c>
      <c r="B163" s="39" t="n">
        <v>6</v>
      </c>
      <c r="C163" s="39" t="n">
        <v>8</v>
      </c>
      <c r="D163" s="39" t="n">
        <v>10.2</v>
      </c>
      <c r="E163" s="39" t="n">
        <v>0</v>
      </c>
      <c r="F163" s="39" t="n">
        <v>0</v>
      </c>
    </row>
    <row r="164" customFormat="false" ht="13.8" hidden="false" customHeight="false" outlineLevel="0" collapsed="false">
      <c r="A164" s="39" t="n">
        <v>2014</v>
      </c>
      <c r="B164" s="39" t="n">
        <v>6</v>
      </c>
      <c r="C164" s="39" t="n">
        <v>9</v>
      </c>
      <c r="D164" s="39" t="n">
        <v>14.6</v>
      </c>
      <c r="E164" s="39" t="n">
        <v>0.8</v>
      </c>
      <c r="F164" s="39" t="n">
        <v>0.587786664902119</v>
      </c>
    </row>
    <row r="165" customFormat="false" ht="13.8" hidden="false" customHeight="false" outlineLevel="0" collapsed="false">
      <c r="A165" s="39" t="n">
        <v>2014</v>
      </c>
      <c r="B165" s="39" t="n">
        <v>6</v>
      </c>
      <c r="C165" s="39" t="n">
        <v>10</v>
      </c>
      <c r="D165" s="39" t="n">
        <v>16.8</v>
      </c>
      <c r="E165" s="39" t="n">
        <v>2.7</v>
      </c>
      <c r="F165" s="39" t="n">
        <v>1.30833281965018</v>
      </c>
    </row>
    <row r="166" customFormat="false" ht="13.8" hidden="false" customHeight="false" outlineLevel="0" collapsed="false">
      <c r="A166" s="39" t="n">
        <v>2014</v>
      </c>
      <c r="B166" s="39" t="n">
        <v>6</v>
      </c>
      <c r="C166" s="39" t="n">
        <v>11</v>
      </c>
      <c r="D166" s="39" t="n">
        <v>14</v>
      </c>
      <c r="E166" s="39" t="n">
        <v>13.3</v>
      </c>
      <c r="F166" s="39" t="n">
        <v>2.66025953726586</v>
      </c>
    </row>
    <row r="167" customFormat="false" ht="13.8" hidden="false" customHeight="false" outlineLevel="0" collapsed="false">
      <c r="A167" s="39" t="n">
        <v>2014</v>
      </c>
      <c r="B167" s="39" t="n">
        <v>6</v>
      </c>
      <c r="C167" s="39" t="n">
        <v>12</v>
      </c>
      <c r="D167" s="39" t="n">
        <v>13</v>
      </c>
      <c r="E167" s="39" t="n">
        <v>1.8</v>
      </c>
      <c r="F167" s="39" t="n">
        <v>1.02961941718116</v>
      </c>
    </row>
    <row r="168" customFormat="false" ht="13.8" hidden="false" customHeight="false" outlineLevel="0" collapsed="false">
      <c r="A168" s="39" t="n">
        <v>2014</v>
      </c>
      <c r="B168" s="39" t="n">
        <v>6</v>
      </c>
      <c r="C168" s="39" t="n">
        <v>13</v>
      </c>
      <c r="D168" s="39" t="n">
        <v>16.4</v>
      </c>
      <c r="E168" s="39" t="n">
        <v>3.6</v>
      </c>
      <c r="F168" s="39" t="n">
        <v>1.52605630349505</v>
      </c>
    </row>
    <row r="169" customFormat="false" ht="13.8" hidden="false" customHeight="false" outlineLevel="0" collapsed="false">
      <c r="A169" s="39" t="n">
        <v>2014</v>
      </c>
      <c r="B169" s="39" t="n">
        <v>6</v>
      </c>
      <c r="C169" s="39" t="n">
        <v>14</v>
      </c>
      <c r="D169" s="39" t="n">
        <v>17.8</v>
      </c>
      <c r="E169" s="39" t="n">
        <v>14.2</v>
      </c>
      <c r="F169" s="39" t="n">
        <v>2.72129542785223</v>
      </c>
    </row>
    <row r="170" customFormat="false" ht="13.8" hidden="false" customHeight="false" outlineLevel="0" collapsed="false">
      <c r="A170" s="39" t="n">
        <v>2014</v>
      </c>
      <c r="B170" s="39" t="n">
        <v>6</v>
      </c>
      <c r="C170" s="39" t="n">
        <v>15</v>
      </c>
      <c r="D170" s="39" t="n">
        <v>13.9</v>
      </c>
      <c r="E170" s="39" t="n">
        <v>16</v>
      </c>
      <c r="F170" s="39" t="n">
        <v>2.83321334405622</v>
      </c>
    </row>
    <row r="171" customFormat="false" ht="13.8" hidden="false" customHeight="false" outlineLevel="0" collapsed="false">
      <c r="A171" s="39" t="n">
        <v>2014</v>
      </c>
      <c r="B171" s="39" t="n">
        <v>6</v>
      </c>
      <c r="C171" s="39" t="n">
        <v>16</v>
      </c>
      <c r="D171" s="39" t="n">
        <v>11.5</v>
      </c>
      <c r="E171" s="39" t="n">
        <v>2.2</v>
      </c>
      <c r="F171" s="39" t="n">
        <v>1.16315080980568</v>
      </c>
    </row>
    <row r="172" customFormat="false" ht="13.8" hidden="false" customHeight="false" outlineLevel="0" collapsed="false">
      <c r="A172" s="39" t="n">
        <v>2014</v>
      </c>
      <c r="B172" s="39" t="n">
        <v>6</v>
      </c>
      <c r="C172" s="39" t="n">
        <v>17</v>
      </c>
      <c r="D172" s="39" t="n">
        <v>12.5</v>
      </c>
      <c r="E172" s="39" t="n">
        <v>1.2</v>
      </c>
      <c r="F172" s="39" t="n">
        <v>0.78845736036427</v>
      </c>
    </row>
    <row r="173" customFormat="false" ht="13.8" hidden="false" customHeight="false" outlineLevel="0" collapsed="false">
      <c r="A173" s="39" t="n">
        <v>2014</v>
      </c>
      <c r="B173" s="39" t="n">
        <v>6</v>
      </c>
      <c r="C173" s="39" t="n">
        <v>18</v>
      </c>
      <c r="D173" s="39" t="n">
        <v>14.3</v>
      </c>
      <c r="E173" s="39" t="n">
        <v>0</v>
      </c>
      <c r="F173" s="39" t="n">
        <v>0</v>
      </c>
    </row>
    <row r="174" customFormat="false" ht="13.8" hidden="false" customHeight="false" outlineLevel="0" collapsed="false">
      <c r="A174" s="39" t="n">
        <v>2014</v>
      </c>
      <c r="B174" s="39" t="n">
        <v>6</v>
      </c>
      <c r="C174" s="39" t="n">
        <v>19</v>
      </c>
      <c r="D174" s="39" t="n">
        <v>15.3</v>
      </c>
      <c r="E174" s="39" t="n">
        <v>0.3</v>
      </c>
      <c r="F174" s="39" t="n">
        <v>0.262364264467491</v>
      </c>
    </row>
    <row r="175" customFormat="false" ht="13.8" hidden="false" customHeight="false" outlineLevel="0" collapsed="false">
      <c r="A175" s="39" t="n">
        <v>2014</v>
      </c>
      <c r="B175" s="39" t="n">
        <v>6</v>
      </c>
      <c r="C175" s="39" t="n">
        <v>20</v>
      </c>
      <c r="D175" s="39" t="n">
        <v>11.6</v>
      </c>
      <c r="E175" s="39" t="n">
        <v>3.9</v>
      </c>
      <c r="F175" s="39" t="n">
        <v>1.58923520511658</v>
      </c>
    </row>
    <row r="176" customFormat="false" ht="13.8" hidden="false" customHeight="false" outlineLevel="0" collapsed="false">
      <c r="A176" s="39" t="n">
        <v>2014</v>
      </c>
      <c r="B176" s="39" t="n">
        <v>6</v>
      </c>
      <c r="C176" s="39" t="n">
        <v>21</v>
      </c>
      <c r="D176" s="39" t="n">
        <v>13.3</v>
      </c>
      <c r="E176" s="39" t="n">
        <v>0</v>
      </c>
      <c r="F176" s="39" t="n">
        <v>0</v>
      </c>
    </row>
    <row r="177" customFormat="false" ht="13.8" hidden="false" customHeight="false" outlineLevel="0" collapsed="false">
      <c r="A177" s="39" t="n">
        <v>2014</v>
      </c>
      <c r="B177" s="39" t="n">
        <v>6</v>
      </c>
      <c r="C177" s="39" t="n">
        <v>22</v>
      </c>
      <c r="D177" s="39" t="n">
        <v>16.9</v>
      </c>
      <c r="E177" s="39" t="n">
        <v>0</v>
      </c>
      <c r="F177" s="39" t="n">
        <v>0</v>
      </c>
    </row>
    <row r="178" customFormat="false" ht="13.8" hidden="false" customHeight="false" outlineLevel="0" collapsed="false">
      <c r="A178" s="39" t="n">
        <v>2014</v>
      </c>
      <c r="B178" s="39" t="n">
        <v>6</v>
      </c>
      <c r="C178" s="39" t="n">
        <v>23</v>
      </c>
      <c r="D178" s="39" t="n">
        <v>20.6</v>
      </c>
      <c r="E178" s="39" t="n">
        <v>0</v>
      </c>
      <c r="F178" s="39" t="n">
        <v>0</v>
      </c>
    </row>
    <row r="179" customFormat="false" ht="13.8" hidden="false" customHeight="false" outlineLevel="0" collapsed="false">
      <c r="A179" s="39" t="n">
        <v>2014</v>
      </c>
      <c r="B179" s="39" t="n">
        <v>6</v>
      </c>
      <c r="C179" s="39" t="n">
        <v>24</v>
      </c>
      <c r="D179" s="39" t="n">
        <v>18.6</v>
      </c>
      <c r="E179" s="39" t="n">
        <v>16.2</v>
      </c>
      <c r="F179" s="39" t="n">
        <v>2.84490938381941</v>
      </c>
    </row>
    <row r="180" customFormat="false" ht="13.8" hidden="false" customHeight="false" outlineLevel="0" collapsed="false">
      <c r="A180" s="39" t="n">
        <v>2014</v>
      </c>
      <c r="B180" s="39" t="n">
        <v>6</v>
      </c>
      <c r="C180" s="39" t="n">
        <v>25</v>
      </c>
      <c r="D180" s="39" t="n">
        <v>15.4</v>
      </c>
      <c r="E180" s="39" t="n">
        <v>26.3</v>
      </c>
      <c r="F180" s="39" t="n">
        <v>3.30688670219091</v>
      </c>
    </row>
    <row r="181" customFormat="false" ht="13.8" hidden="false" customHeight="false" outlineLevel="0" collapsed="false">
      <c r="A181" s="39" t="n">
        <v>2014</v>
      </c>
      <c r="B181" s="39" t="n">
        <v>6</v>
      </c>
      <c r="C181" s="39" t="n">
        <v>26</v>
      </c>
      <c r="D181" s="39" t="n">
        <v>14.4</v>
      </c>
      <c r="E181" s="39" t="n">
        <v>0.3</v>
      </c>
      <c r="F181" s="39" t="n">
        <v>0.262364264467491</v>
      </c>
    </row>
    <row r="182" customFormat="false" ht="13.8" hidden="false" customHeight="false" outlineLevel="0" collapsed="false">
      <c r="A182" s="39" t="n">
        <v>2014</v>
      </c>
      <c r="B182" s="39" t="n">
        <v>6</v>
      </c>
      <c r="C182" s="39" t="n">
        <v>27</v>
      </c>
      <c r="D182" s="39" t="n">
        <v>15.9</v>
      </c>
      <c r="E182" s="39" t="n">
        <v>1.2</v>
      </c>
      <c r="F182" s="39" t="n">
        <v>0.78845736036427</v>
      </c>
    </row>
    <row r="183" customFormat="false" ht="13.8" hidden="false" customHeight="false" outlineLevel="0" collapsed="false">
      <c r="A183" s="39" t="n">
        <v>2014</v>
      </c>
      <c r="B183" s="39" t="n">
        <v>6</v>
      </c>
      <c r="C183" s="39" t="n">
        <v>28</v>
      </c>
      <c r="D183" s="39" t="n">
        <v>19.2</v>
      </c>
      <c r="E183" s="39" t="n">
        <v>0.6</v>
      </c>
      <c r="F183" s="39" t="n">
        <v>0.470003629245736</v>
      </c>
    </row>
    <row r="184" customFormat="false" ht="13.8" hidden="false" customHeight="false" outlineLevel="0" collapsed="false">
      <c r="A184" s="39" t="n">
        <v>2014</v>
      </c>
      <c r="B184" s="39" t="n">
        <v>6</v>
      </c>
      <c r="C184" s="39" t="n">
        <v>29</v>
      </c>
      <c r="D184" s="39" t="n">
        <v>17.8</v>
      </c>
      <c r="E184" s="39" t="n">
        <v>0</v>
      </c>
      <c r="F184" s="39" t="n">
        <v>0</v>
      </c>
    </row>
    <row r="185" customFormat="false" ht="13.8" hidden="false" customHeight="false" outlineLevel="0" collapsed="false">
      <c r="A185" s="39" t="n">
        <v>2014</v>
      </c>
      <c r="B185" s="39" t="n">
        <v>6</v>
      </c>
      <c r="C185" s="39" t="n">
        <v>30</v>
      </c>
      <c r="D185" s="39" t="n">
        <v>11.4</v>
      </c>
      <c r="E185" s="39" t="n">
        <v>0</v>
      </c>
      <c r="F185" s="39" t="n">
        <v>0</v>
      </c>
    </row>
    <row r="186" customFormat="false" ht="13.8" hidden="false" customHeight="false" outlineLevel="0" collapsed="false">
      <c r="A186" s="39" t="n">
        <v>2014</v>
      </c>
      <c r="B186" s="39" t="n">
        <v>7</v>
      </c>
      <c r="C186" s="39" t="n">
        <v>1</v>
      </c>
      <c r="D186" s="39" t="n">
        <v>9.5</v>
      </c>
      <c r="E186" s="39" t="n">
        <v>1.8</v>
      </c>
      <c r="F186" s="39" t="n">
        <v>1.02961941718116</v>
      </c>
    </row>
    <row r="187" customFormat="false" ht="13.8" hidden="false" customHeight="false" outlineLevel="0" collapsed="false">
      <c r="A187" s="39" t="n">
        <v>2014</v>
      </c>
      <c r="B187" s="39" t="n">
        <v>7</v>
      </c>
      <c r="C187" s="39" t="n">
        <v>2</v>
      </c>
      <c r="D187" s="39" t="n">
        <v>13.8</v>
      </c>
      <c r="E187" s="39" t="n">
        <v>0.3</v>
      </c>
      <c r="F187" s="39" t="n">
        <v>0.262364264467491</v>
      </c>
    </row>
    <row r="188" customFormat="false" ht="13.8" hidden="false" customHeight="false" outlineLevel="0" collapsed="false">
      <c r="A188" s="39" t="n">
        <v>2014</v>
      </c>
      <c r="B188" s="39" t="n">
        <v>7</v>
      </c>
      <c r="C188" s="39" t="n">
        <v>3</v>
      </c>
      <c r="D188" s="39" t="n">
        <v>17.5</v>
      </c>
      <c r="E188" s="39" t="n">
        <v>0</v>
      </c>
      <c r="F188" s="39" t="n">
        <v>0</v>
      </c>
    </row>
    <row r="189" customFormat="false" ht="13.8" hidden="false" customHeight="false" outlineLevel="0" collapsed="false">
      <c r="A189" s="39" t="n">
        <v>2014</v>
      </c>
      <c r="B189" s="39" t="n">
        <v>7</v>
      </c>
      <c r="C189" s="39" t="n">
        <v>4</v>
      </c>
      <c r="D189" s="39" t="n">
        <v>17.8</v>
      </c>
      <c r="E189" s="39" t="n">
        <v>0</v>
      </c>
      <c r="F189" s="39" t="n">
        <v>0</v>
      </c>
    </row>
    <row r="190" customFormat="false" ht="13.8" hidden="false" customHeight="false" outlineLevel="0" collapsed="false">
      <c r="A190" s="39" t="n">
        <v>2014</v>
      </c>
      <c r="B190" s="39" t="n">
        <v>7</v>
      </c>
      <c r="C190" s="39" t="n">
        <v>5</v>
      </c>
      <c r="D190" s="39" t="n">
        <v>19.7</v>
      </c>
      <c r="E190" s="39" t="n">
        <v>0</v>
      </c>
      <c r="F190" s="39" t="n">
        <v>0</v>
      </c>
    </row>
    <row r="191" customFormat="false" ht="13.8" hidden="false" customHeight="false" outlineLevel="0" collapsed="false">
      <c r="A191" s="39" t="n">
        <v>2014</v>
      </c>
      <c r="B191" s="39" t="n">
        <v>7</v>
      </c>
      <c r="C191" s="39" t="n">
        <v>6</v>
      </c>
      <c r="D191" s="39" t="n">
        <v>21.4</v>
      </c>
      <c r="E191" s="39" t="n">
        <v>0</v>
      </c>
      <c r="F191" s="39" t="n">
        <v>0</v>
      </c>
    </row>
    <row r="192" customFormat="false" ht="13.8" hidden="false" customHeight="false" outlineLevel="0" collapsed="false">
      <c r="A192" s="39" t="n">
        <v>2014</v>
      </c>
      <c r="B192" s="39" t="n">
        <v>7</v>
      </c>
      <c r="C192" s="39" t="n">
        <v>7</v>
      </c>
      <c r="D192" s="39" t="n">
        <v>19.5</v>
      </c>
      <c r="E192" s="39" t="n">
        <v>0</v>
      </c>
      <c r="F192" s="39" t="n">
        <v>0</v>
      </c>
    </row>
    <row r="193" customFormat="false" ht="13.8" hidden="false" customHeight="false" outlineLevel="0" collapsed="false">
      <c r="A193" s="39" t="n">
        <v>2014</v>
      </c>
      <c r="B193" s="39" t="n">
        <v>7</v>
      </c>
      <c r="C193" s="39" t="n">
        <v>8</v>
      </c>
      <c r="D193" s="39" t="n">
        <v>16.9</v>
      </c>
      <c r="E193" s="39" t="n">
        <v>0</v>
      </c>
      <c r="F193" s="39" t="n">
        <v>0</v>
      </c>
    </row>
    <row r="194" customFormat="false" ht="13.8" hidden="false" customHeight="false" outlineLevel="0" collapsed="false">
      <c r="A194" s="39" t="n">
        <v>2014</v>
      </c>
      <c r="B194" s="39" t="n">
        <v>7</v>
      </c>
      <c r="C194" s="39" t="n">
        <v>9</v>
      </c>
      <c r="D194" s="39" t="n">
        <v>15.5</v>
      </c>
      <c r="E194" s="39" t="n">
        <v>1.2</v>
      </c>
      <c r="F194" s="39" t="n">
        <v>0.78845736036427</v>
      </c>
    </row>
    <row r="195" customFormat="false" ht="13.8" hidden="false" customHeight="false" outlineLevel="0" collapsed="false">
      <c r="A195" s="39" t="n">
        <v>2014</v>
      </c>
      <c r="B195" s="39" t="n">
        <v>7</v>
      </c>
      <c r="C195" s="39" t="n">
        <v>10</v>
      </c>
      <c r="D195" s="39" t="n">
        <v>15.5</v>
      </c>
      <c r="E195" s="39" t="n">
        <v>0</v>
      </c>
      <c r="F195" s="39" t="n">
        <v>0</v>
      </c>
    </row>
    <row r="196" customFormat="false" ht="13.8" hidden="false" customHeight="false" outlineLevel="0" collapsed="false">
      <c r="A196" s="39" t="n">
        <v>2014</v>
      </c>
      <c r="B196" s="39" t="n">
        <v>7</v>
      </c>
      <c r="C196" s="39" t="n">
        <v>11</v>
      </c>
      <c r="D196" s="39" t="n">
        <v>12</v>
      </c>
      <c r="E196" s="39" t="n">
        <v>1.4</v>
      </c>
      <c r="F196" s="39" t="n">
        <v>0.8754687373539</v>
      </c>
    </row>
    <row r="197" customFormat="false" ht="13.8" hidden="false" customHeight="false" outlineLevel="0" collapsed="false">
      <c r="A197" s="39" t="n">
        <v>2014</v>
      </c>
      <c r="B197" s="39" t="n">
        <v>7</v>
      </c>
      <c r="C197" s="39" t="n">
        <v>12</v>
      </c>
      <c r="D197" s="39" t="n">
        <v>6.2</v>
      </c>
      <c r="E197" s="39" t="n">
        <v>8.4</v>
      </c>
      <c r="F197" s="39" t="n">
        <v>2.24070968927596</v>
      </c>
    </row>
    <row r="198" customFormat="false" ht="13.8" hidden="false" customHeight="false" outlineLevel="0" collapsed="false">
      <c r="A198" s="39" t="n">
        <v>2014</v>
      </c>
      <c r="B198" s="39" t="n">
        <v>7</v>
      </c>
      <c r="C198" s="39" t="n">
        <v>13</v>
      </c>
      <c r="D198" s="39" t="n">
        <v>8.8</v>
      </c>
      <c r="E198" s="39" t="n">
        <v>9.5</v>
      </c>
      <c r="F198" s="39" t="n">
        <v>2.35137525716348</v>
      </c>
    </row>
    <row r="199" customFormat="false" ht="13.8" hidden="false" customHeight="false" outlineLevel="0" collapsed="false">
      <c r="A199" s="39" t="n">
        <v>2014</v>
      </c>
      <c r="B199" s="39" t="n">
        <v>7</v>
      </c>
      <c r="C199" s="39" t="n">
        <v>14</v>
      </c>
      <c r="D199" s="39" t="n">
        <v>10</v>
      </c>
      <c r="E199" s="39" t="n">
        <v>7.9</v>
      </c>
      <c r="F199" s="39" t="n">
        <v>2.18605127673809</v>
      </c>
    </row>
    <row r="200" customFormat="false" ht="13.8" hidden="false" customHeight="false" outlineLevel="0" collapsed="false">
      <c r="A200" s="39" t="n">
        <v>2014</v>
      </c>
      <c r="B200" s="39" t="n">
        <v>7</v>
      </c>
      <c r="C200" s="39" t="n">
        <v>15</v>
      </c>
      <c r="D200" s="39" t="n">
        <v>15.2</v>
      </c>
      <c r="E200" s="39" t="n">
        <v>0</v>
      </c>
      <c r="F200" s="39" t="n">
        <v>0</v>
      </c>
    </row>
    <row r="201" customFormat="false" ht="13.8" hidden="false" customHeight="false" outlineLevel="0" collapsed="false">
      <c r="A201" s="39" t="n">
        <v>2014</v>
      </c>
      <c r="B201" s="39" t="n">
        <v>7</v>
      </c>
      <c r="C201" s="39" t="n">
        <v>16</v>
      </c>
      <c r="D201" s="39" t="n">
        <v>16.8</v>
      </c>
      <c r="E201" s="39" t="n">
        <v>0</v>
      </c>
      <c r="F201" s="39" t="n">
        <v>0</v>
      </c>
    </row>
    <row r="202" customFormat="false" ht="13.8" hidden="false" customHeight="false" outlineLevel="0" collapsed="false">
      <c r="A202" s="39" t="n">
        <v>2014</v>
      </c>
      <c r="B202" s="39" t="n">
        <v>7</v>
      </c>
      <c r="C202" s="39" t="n">
        <v>17</v>
      </c>
      <c r="D202" s="39" t="n">
        <v>16.6</v>
      </c>
      <c r="E202" s="39" t="n">
        <v>15.6</v>
      </c>
      <c r="F202" s="39" t="n">
        <v>2.8094026953625</v>
      </c>
    </row>
    <row r="203" customFormat="false" ht="13.8" hidden="false" customHeight="false" outlineLevel="0" collapsed="false">
      <c r="A203" s="39" t="n">
        <v>2014</v>
      </c>
      <c r="B203" s="39" t="n">
        <v>7</v>
      </c>
      <c r="C203" s="39" t="n">
        <v>18</v>
      </c>
      <c r="D203" s="39" t="n">
        <v>9.8</v>
      </c>
      <c r="E203" s="39" t="n">
        <v>0.3</v>
      </c>
      <c r="F203" s="39" t="n">
        <v>0.262364264467491</v>
      </c>
    </row>
    <row r="204" customFormat="false" ht="13.8" hidden="false" customHeight="false" outlineLevel="0" collapsed="false">
      <c r="A204" s="39" t="n">
        <v>2014</v>
      </c>
      <c r="B204" s="39" t="n">
        <v>7</v>
      </c>
      <c r="C204" s="39" t="n">
        <v>19</v>
      </c>
      <c r="D204" s="39" t="n">
        <v>8.8</v>
      </c>
      <c r="E204" s="39" t="n">
        <v>0</v>
      </c>
      <c r="F204" s="39" t="n">
        <v>0</v>
      </c>
    </row>
    <row r="205" customFormat="false" ht="13.8" hidden="false" customHeight="false" outlineLevel="0" collapsed="false">
      <c r="A205" s="39" t="n">
        <v>2014</v>
      </c>
      <c r="B205" s="39" t="n">
        <v>7</v>
      </c>
      <c r="C205" s="39" t="n">
        <v>20</v>
      </c>
      <c r="D205" s="39" t="n">
        <v>8.2</v>
      </c>
      <c r="E205" s="39" t="n">
        <v>24.3</v>
      </c>
      <c r="F205" s="39" t="n">
        <v>3.23080439573347</v>
      </c>
    </row>
    <row r="206" customFormat="false" ht="13.8" hidden="false" customHeight="false" outlineLevel="0" collapsed="false">
      <c r="A206" s="39" t="n">
        <v>2014</v>
      </c>
      <c r="B206" s="39" t="n">
        <v>7</v>
      </c>
      <c r="C206" s="39" t="n">
        <v>21</v>
      </c>
      <c r="D206" s="39" t="n">
        <v>7.7</v>
      </c>
      <c r="E206" s="39" t="n">
        <v>64.4</v>
      </c>
      <c r="F206" s="39" t="n">
        <v>4.18052225846315</v>
      </c>
    </row>
    <row r="207" customFormat="false" ht="13.8" hidden="false" customHeight="false" outlineLevel="0" collapsed="false">
      <c r="A207" s="39" t="n">
        <v>2014</v>
      </c>
      <c r="B207" s="39" t="n">
        <v>7</v>
      </c>
      <c r="C207" s="39" t="n">
        <v>22</v>
      </c>
      <c r="D207" s="39" t="n">
        <v>9.2</v>
      </c>
      <c r="E207" s="39" t="n">
        <v>23.3</v>
      </c>
      <c r="F207" s="39" t="n">
        <v>3.1904763503465</v>
      </c>
    </row>
    <row r="208" customFormat="false" ht="13.8" hidden="false" customHeight="false" outlineLevel="0" collapsed="false">
      <c r="A208" s="39" t="n">
        <v>2014</v>
      </c>
      <c r="B208" s="39" t="n">
        <v>7</v>
      </c>
      <c r="C208" s="39" t="n">
        <v>23</v>
      </c>
      <c r="D208" s="39" t="n">
        <v>12.4</v>
      </c>
      <c r="E208" s="39" t="n">
        <v>12.4</v>
      </c>
      <c r="F208" s="39" t="n">
        <v>2.59525470695687</v>
      </c>
    </row>
    <row r="209" customFormat="false" ht="13.8" hidden="false" customHeight="false" outlineLevel="0" collapsed="false">
      <c r="A209" s="39" t="n">
        <v>2014</v>
      </c>
      <c r="B209" s="39" t="n">
        <v>7</v>
      </c>
      <c r="C209" s="39" t="n">
        <v>24</v>
      </c>
      <c r="D209" s="39" t="n">
        <v>13.9</v>
      </c>
      <c r="E209" s="39" t="n">
        <v>0.6</v>
      </c>
      <c r="F209" s="39" t="n">
        <v>0.470003629245736</v>
      </c>
    </row>
    <row r="210" customFormat="false" ht="13.8" hidden="false" customHeight="false" outlineLevel="0" collapsed="false">
      <c r="A210" s="39" t="n">
        <v>2014</v>
      </c>
      <c r="B210" s="39" t="n">
        <v>7</v>
      </c>
      <c r="C210" s="39" t="n">
        <v>25</v>
      </c>
      <c r="D210" s="39" t="n">
        <v>9.7</v>
      </c>
      <c r="E210" s="39" t="n">
        <v>7.2</v>
      </c>
      <c r="F210" s="39" t="n">
        <v>2.10413415427021</v>
      </c>
    </row>
    <row r="211" customFormat="false" ht="13.8" hidden="false" customHeight="false" outlineLevel="0" collapsed="false">
      <c r="A211" s="39" t="n">
        <v>2014</v>
      </c>
      <c r="B211" s="39" t="n">
        <v>7</v>
      </c>
      <c r="C211" s="39" t="n">
        <v>26</v>
      </c>
      <c r="D211" s="39" t="n">
        <v>8.9</v>
      </c>
      <c r="E211" s="39" t="n">
        <v>1.3</v>
      </c>
      <c r="F211" s="39" t="n">
        <v>0.832909122935104</v>
      </c>
    </row>
    <row r="212" customFormat="false" ht="13.8" hidden="false" customHeight="false" outlineLevel="0" collapsed="false">
      <c r="A212" s="39" t="n">
        <v>2014</v>
      </c>
      <c r="B212" s="39" t="n">
        <v>7</v>
      </c>
      <c r="C212" s="39" t="n">
        <v>27</v>
      </c>
      <c r="D212" s="39" t="n">
        <v>7.8</v>
      </c>
      <c r="E212" s="39" t="n">
        <v>3.2</v>
      </c>
      <c r="F212" s="39" t="n">
        <v>1.43508452528932</v>
      </c>
    </row>
    <row r="213" customFormat="false" ht="13.8" hidden="false" customHeight="false" outlineLevel="0" collapsed="false">
      <c r="A213" s="39" t="n">
        <v>2014</v>
      </c>
      <c r="B213" s="39" t="n">
        <v>7</v>
      </c>
      <c r="C213" s="39" t="n">
        <v>28</v>
      </c>
      <c r="D213" s="39" t="n">
        <v>8.9</v>
      </c>
      <c r="E213" s="39" t="n">
        <v>3.2</v>
      </c>
      <c r="F213" s="39" t="n">
        <v>1.43508452528932</v>
      </c>
    </row>
    <row r="214" customFormat="false" ht="13.8" hidden="false" customHeight="false" outlineLevel="0" collapsed="false">
      <c r="A214" s="39" t="n">
        <v>2014</v>
      </c>
      <c r="B214" s="39" t="n">
        <v>7</v>
      </c>
      <c r="C214" s="39" t="n">
        <v>29</v>
      </c>
      <c r="D214" s="39" t="n">
        <v>9.7</v>
      </c>
      <c r="E214" s="39" t="n">
        <v>1.4</v>
      </c>
      <c r="F214" s="39" t="n">
        <v>0.8754687373539</v>
      </c>
    </row>
    <row r="215" customFormat="false" ht="13.8" hidden="false" customHeight="false" outlineLevel="0" collapsed="false">
      <c r="A215" s="39" t="n">
        <v>2014</v>
      </c>
      <c r="B215" s="39" t="n">
        <v>7</v>
      </c>
      <c r="C215" s="39" t="n">
        <v>30</v>
      </c>
      <c r="D215" s="39" t="n">
        <v>13.1</v>
      </c>
      <c r="E215" s="39" t="n">
        <v>0</v>
      </c>
      <c r="F215" s="39" t="n">
        <v>0</v>
      </c>
    </row>
    <row r="216" customFormat="false" ht="13.8" hidden="false" customHeight="false" outlineLevel="0" collapsed="false">
      <c r="A216" s="39" t="n">
        <v>2014</v>
      </c>
      <c r="B216" s="39" t="n">
        <v>7</v>
      </c>
      <c r="C216" s="39" t="n">
        <v>31</v>
      </c>
      <c r="D216" s="39" t="n">
        <v>15.9</v>
      </c>
      <c r="E216" s="39" t="n">
        <v>10.2</v>
      </c>
      <c r="F216" s="39" t="n">
        <v>2.41591377830105</v>
      </c>
    </row>
    <row r="217" customFormat="false" ht="13.8" hidden="false" customHeight="false" outlineLevel="0" collapsed="false">
      <c r="A217" s="39" t="n">
        <v>2014</v>
      </c>
      <c r="B217" s="39" t="n">
        <v>8</v>
      </c>
      <c r="C217" s="39" t="n">
        <v>1</v>
      </c>
      <c r="D217" s="39" t="n">
        <v>14.1</v>
      </c>
      <c r="E217" s="39" t="n">
        <v>3.6</v>
      </c>
      <c r="F217" s="39" t="n">
        <v>1.52605630349505</v>
      </c>
    </row>
    <row r="218" customFormat="false" ht="13.8" hidden="false" customHeight="false" outlineLevel="0" collapsed="false">
      <c r="A218" s="39" t="n">
        <v>2014</v>
      </c>
      <c r="B218" s="39" t="n">
        <v>8</v>
      </c>
      <c r="C218" s="39" t="n">
        <v>2</v>
      </c>
      <c r="D218" s="39" t="n">
        <v>12.7</v>
      </c>
      <c r="E218" s="39" t="n">
        <v>0.9</v>
      </c>
      <c r="F218" s="39" t="n">
        <v>0.641853886172395</v>
      </c>
    </row>
    <row r="219" customFormat="false" ht="13.8" hidden="false" customHeight="false" outlineLevel="0" collapsed="false">
      <c r="A219" s="39" t="n">
        <v>2014</v>
      </c>
      <c r="B219" s="39" t="n">
        <v>8</v>
      </c>
      <c r="C219" s="39" t="n">
        <v>3</v>
      </c>
      <c r="D219" s="39" t="n">
        <v>15.5</v>
      </c>
      <c r="E219" s="39" t="n">
        <v>0.3</v>
      </c>
      <c r="F219" s="39" t="n">
        <v>0.262364264467491</v>
      </c>
    </row>
    <row r="220" customFormat="false" ht="13.8" hidden="false" customHeight="false" outlineLevel="0" collapsed="false">
      <c r="A220" s="39" t="n">
        <v>2014</v>
      </c>
      <c r="B220" s="39" t="n">
        <v>8</v>
      </c>
      <c r="C220" s="39" t="n">
        <v>4</v>
      </c>
      <c r="D220" s="39" t="n">
        <v>17.4</v>
      </c>
      <c r="E220" s="39" t="n">
        <v>3.1</v>
      </c>
      <c r="F220" s="39" t="n">
        <v>1.41098697371026</v>
      </c>
    </row>
    <row r="221" customFormat="false" ht="13.8" hidden="false" customHeight="false" outlineLevel="0" collapsed="false">
      <c r="A221" s="39" t="n">
        <v>2014</v>
      </c>
      <c r="B221" s="39" t="n">
        <v>8</v>
      </c>
      <c r="C221" s="39" t="n">
        <v>5</v>
      </c>
      <c r="D221" s="39" t="n">
        <v>18.9</v>
      </c>
      <c r="E221" s="39" t="n">
        <v>2</v>
      </c>
      <c r="F221" s="39" t="n">
        <v>1.09861228866811</v>
      </c>
    </row>
    <row r="222" customFormat="false" ht="13.8" hidden="false" customHeight="false" outlineLevel="0" collapsed="false">
      <c r="A222" s="39" t="n">
        <v>2014</v>
      </c>
      <c r="B222" s="39" t="n">
        <v>8</v>
      </c>
      <c r="C222" s="39" t="n">
        <v>6</v>
      </c>
      <c r="D222" s="39" t="n">
        <v>19.8</v>
      </c>
      <c r="E222" s="39" t="n">
        <v>0</v>
      </c>
      <c r="F222" s="39" t="n">
        <v>0</v>
      </c>
    </row>
    <row r="223" customFormat="false" ht="13.8" hidden="false" customHeight="false" outlineLevel="0" collapsed="false">
      <c r="A223" s="39" t="n">
        <v>2014</v>
      </c>
      <c r="B223" s="39" t="n">
        <v>8</v>
      </c>
      <c r="C223" s="39" t="n">
        <v>7</v>
      </c>
      <c r="D223" s="39" t="n">
        <v>19.1</v>
      </c>
      <c r="E223" s="39" t="n">
        <v>0</v>
      </c>
      <c r="F223" s="39" t="n">
        <v>0</v>
      </c>
    </row>
    <row r="224" customFormat="false" ht="13.8" hidden="false" customHeight="false" outlineLevel="0" collapsed="false">
      <c r="A224" s="39" t="n">
        <v>2014</v>
      </c>
      <c r="B224" s="39" t="n">
        <v>8</v>
      </c>
      <c r="C224" s="39" t="n">
        <v>8</v>
      </c>
      <c r="D224" s="39" t="n">
        <v>19.5</v>
      </c>
      <c r="E224" s="39" t="n">
        <v>0</v>
      </c>
      <c r="F224" s="39" t="n">
        <v>0</v>
      </c>
    </row>
    <row r="225" customFormat="false" ht="13.8" hidden="false" customHeight="false" outlineLevel="0" collapsed="false">
      <c r="A225" s="39" t="n">
        <v>2014</v>
      </c>
      <c r="B225" s="39" t="n">
        <v>8</v>
      </c>
      <c r="C225" s="39" t="n">
        <v>9</v>
      </c>
      <c r="D225" s="39" t="n">
        <v>19.8</v>
      </c>
      <c r="E225" s="39" t="n">
        <v>0.7</v>
      </c>
      <c r="F225" s="39" t="n">
        <v>0.53062825106217</v>
      </c>
    </row>
    <row r="226" customFormat="false" ht="13.8" hidden="false" customHeight="false" outlineLevel="0" collapsed="false">
      <c r="A226" s="39" t="n">
        <v>2014</v>
      </c>
      <c r="B226" s="39" t="n">
        <v>8</v>
      </c>
      <c r="C226" s="39" t="n">
        <v>10</v>
      </c>
      <c r="D226" s="39" t="n">
        <v>20.1</v>
      </c>
      <c r="E226" s="39" t="n">
        <v>0</v>
      </c>
      <c r="F226" s="39" t="n">
        <v>0</v>
      </c>
    </row>
    <row r="227" customFormat="false" ht="13.8" hidden="false" customHeight="false" outlineLevel="0" collapsed="false">
      <c r="A227" s="39" t="n">
        <v>2014</v>
      </c>
      <c r="B227" s="39" t="n">
        <v>8</v>
      </c>
      <c r="C227" s="39" t="n">
        <v>11</v>
      </c>
      <c r="D227" s="39" t="n">
        <v>18.1</v>
      </c>
      <c r="E227" s="39" t="n">
        <v>3.7</v>
      </c>
      <c r="F227" s="39" t="n">
        <v>1.54756250871601</v>
      </c>
    </row>
    <row r="228" customFormat="false" ht="13.8" hidden="false" customHeight="false" outlineLevel="0" collapsed="false">
      <c r="A228" s="39" t="n">
        <v>2014</v>
      </c>
      <c r="B228" s="39" t="n">
        <v>8</v>
      </c>
      <c r="C228" s="39" t="n">
        <v>12</v>
      </c>
      <c r="D228" s="39" t="n">
        <v>14.5</v>
      </c>
      <c r="E228" s="39" t="n">
        <v>6.2</v>
      </c>
      <c r="F228" s="39" t="n">
        <v>1.97408102602201</v>
      </c>
    </row>
    <row r="229" customFormat="false" ht="13.8" hidden="false" customHeight="false" outlineLevel="0" collapsed="false">
      <c r="A229" s="39" t="n">
        <v>2014</v>
      </c>
      <c r="B229" s="39" t="n">
        <v>8</v>
      </c>
      <c r="C229" s="39" t="n">
        <v>13</v>
      </c>
      <c r="D229" s="39" t="n">
        <v>9.7</v>
      </c>
      <c r="E229" s="39" t="n">
        <v>1.1</v>
      </c>
      <c r="F229" s="39" t="n">
        <v>0.741937344729377</v>
      </c>
    </row>
    <row r="230" customFormat="false" ht="13.8" hidden="false" customHeight="false" outlineLevel="0" collapsed="false">
      <c r="A230" s="39" t="n">
        <v>2014</v>
      </c>
      <c r="B230" s="39" t="n">
        <v>8</v>
      </c>
      <c r="C230" s="39" t="n">
        <v>14</v>
      </c>
      <c r="D230" s="39" t="n">
        <v>12.6</v>
      </c>
      <c r="E230" s="39" t="n">
        <v>0.3</v>
      </c>
      <c r="F230" s="39" t="n">
        <v>0.262364264467491</v>
      </c>
    </row>
    <row r="231" customFormat="false" ht="13.8" hidden="false" customHeight="false" outlineLevel="0" collapsed="false">
      <c r="A231" s="39" t="n">
        <v>2014</v>
      </c>
      <c r="B231" s="39" t="n">
        <v>8</v>
      </c>
      <c r="C231" s="39" t="n">
        <v>15</v>
      </c>
      <c r="D231" s="39" t="n">
        <v>13.1</v>
      </c>
      <c r="E231" s="39" t="n">
        <v>0</v>
      </c>
      <c r="F231" s="39" t="n">
        <v>0</v>
      </c>
    </row>
    <row r="232" customFormat="false" ht="13.8" hidden="false" customHeight="false" outlineLevel="0" collapsed="false">
      <c r="A232" s="39" t="n">
        <v>2014</v>
      </c>
      <c r="B232" s="39" t="n">
        <v>8</v>
      </c>
      <c r="C232" s="39" t="n">
        <v>16</v>
      </c>
      <c r="D232" s="39" t="n">
        <v>16.9</v>
      </c>
      <c r="E232" s="39" t="n">
        <v>0</v>
      </c>
      <c r="F232" s="39" t="n">
        <v>0</v>
      </c>
    </row>
    <row r="233" customFormat="false" ht="13.8" hidden="false" customHeight="false" outlineLevel="0" collapsed="false">
      <c r="A233" s="39" t="n">
        <v>2014</v>
      </c>
      <c r="B233" s="39" t="n">
        <v>8</v>
      </c>
      <c r="C233" s="39" t="n">
        <v>17</v>
      </c>
      <c r="D233" s="39" t="n">
        <v>22</v>
      </c>
      <c r="E233" s="39" t="n">
        <v>1.1</v>
      </c>
      <c r="F233" s="39" t="n">
        <v>0.741937344729377</v>
      </c>
    </row>
    <row r="234" customFormat="false" ht="13.8" hidden="false" customHeight="false" outlineLevel="0" collapsed="false">
      <c r="A234" s="39" t="n">
        <v>2014</v>
      </c>
      <c r="B234" s="39" t="n">
        <v>8</v>
      </c>
      <c r="C234" s="39" t="n">
        <v>18</v>
      </c>
      <c r="D234" s="39" t="n">
        <v>22.3</v>
      </c>
      <c r="E234" s="39" t="n">
        <v>1</v>
      </c>
      <c r="F234" s="39" t="n">
        <v>0.693147180559945</v>
      </c>
    </row>
    <row r="235" customFormat="false" ht="13.8" hidden="false" customHeight="false" outlineLevel="0" collapsed="false">
      <c r="A235" s="39" t="n">
        <v>2014</v>
      </c>
      <c r="B235" s="39" t="n">
        <v>8</v>
      </c>
      <c r="C235" s="39" t="n">
        <v>19</v>
      </c>
      <c r="D235" s="39" t="n">
        <v>20.9</v>
      </c>
      <c r="E235" s="39" t="n">
        <v>0</v>
      </c>
      <c r="F235" s="39" t="n">
        <v>0</v>
      </c>
    </row>
    <row r="236" customFormat="false" ht="13.8" hidden="false" customHeight="false" outlineLevel="0" collapsed="false">
      <c r="A236" s="39" t="n">
        <v>2014</v>
      </c>
      <c r="B236" s="39" t="n">
        <v>8</v>
      </c>
      <c r="C236" s="39" t="n">
        <v>20</v>
      </c>
      <c r="D236" s="39" t="n">
        <v>19.7</v>
      </c>
      <c r="E236" s="39" t="n">
        <v>0</v>
      </c>
      <c r="F236" s="39" t="n">
        <v>0</v>
      </c>
    </row>
    <row r="237" customFormat="false" ht="13.8" hidden="false" customHeight="false" outlineLevel="0" collapsed="false">
      <c r="A237" s="39" t="n">
        <v>2014</v>
      </c>
      <c r="B237" s="39" t="n">
        <v>8</v>
      </c>
      <c r="C237" s="39" t="n">
        <v>21</v>
      </c>
      <c r="D237" s="39" t="n">
        <v>22.5</v>
      </c>
      <c r="E237" s="39" t="n">
        <v>0</v>
      </c>
      <c r="F237" s="39" t="n">
        <v>0</v>
      </c>
    </row>
    <row r="238" customFormat="false" ht="13.8" hidden="false" customHeight="false" outlineLevel="0" collapsed="false">
      <c r="A238" s="39" t="n">
        <v>2014</v>
      </c>
      <c r="B238" s="39" t="n">
        <v>8</v>
      </c>
      <c r="C238" s="39" t="n">
        <v>22</v>
      </c>
      <c r="D238" s="39" t="n">
        <v>19.8</v>
      </c>
      <c r="E238" s="39" t="n">
        <v>0.5</v>
      </c>
      <c r="F238" s="39" t="n">
        <v>0.405465108108164</v>
      </c>
    </row>
    <row r="239" customFormat="false" ht="13.8" hidden="false" customHeight="false" outlineLevel="0" collapsed="false">
      <c r="A239" s="39" t="n">
        <v>2014</v>
      </c>
      <c r="B239" s="39" t="n">
        <v>8</v>
      </c>
      <c r="C239" s="39" t="n">
        <v>23</v>
      </c>
      <c r="D239" s="39" t="n">
        <v>17.5</v>
      </c>
      <c r="E239" s="39" t="n">
        <v>2.3</v>
      </c>
      <c r="F239" s="39" t="n">
        <v>1.19392246847243</v>
      </c>
    </row>
    <row r="240" customFormat="false" ht="13.8" hidden="false" customHeight="false" outlineLevel="0" collapsed="false">
      <c r="A240" s="39" t="n">
        <v>2014</v>
      </c>
      <c r="B240" s="39" t="n">
        <v>8</v>
      </c>
      <c r="C240" s="39" t="n">
        <v>24</v>
      </c>
      <c r="D240" s="39" t="n">
        <v>17</v>
      </c>
      <c r="E240" s="39" t="n">
        <v>0.5</v>
      </c>
      <c r="F240" s="39" t="n">
        <v>0.405465108108164</v>
      </c>
    </row>
    <row r="241" customFormat="false" ht="13.8" hidden="false" customHeight="false" outlineLevel="0" collapsed="false">
      <c r="A241" s="39" t="n">
        <v>2014</v>
      </c>
      <c r="B241" s="39" t="n">
        <v>8</v>
      </c>
      <c r="C241" s="39" t="n">
        <v>25</v>
      </c>
      <c r="D241" s="39" t="n">
        <v>12.1</v>
      </c>
      <c r="E241" s="39" t="n">
        <v>0</v>
      </c>
      <c r="F241" s="39" t="n">
        <v>0</v>
      </c>
    </row>
    <row r="242" customFormat="false" ht="13.8" hidden="false" customHeight="false" outlineLevel="0" collapsed="false">
      <c r="A242" s="39" t="n">
        <v>2014</v>
      </c>
      <c r="B242" s="39" t="n">
        <v>8</v>
      </c>
      <c r="C242" s="39" t="n">
        <v>26</v>
      </c>
      <c r="D242" s="39" t="n">
        <v>11.6</v>
      </c>
      <c r="E242" s="39" t="n">
        <v>0</v>
      </c>
      <c r="F242" s="39" t="n">
        <v>0</v>
      </c>
    </row>
    <row r="243" customFormat="false" ht="13.8" hidden="false" customHeight="false" outlineLevel="0" collapsed="false">
      <c r="A243" s="39" t="n">
        <v>2014</v>
      </c>
      <c r="B243" s="39" t="n">
        <v>8</v>
      </c>
      <c r="C243" s="39" t="n">
        <v>27</v>
      </c>
      <c r="D243" s="39" t="n">
        <v>12.6</v>
      </c>
      <c r="E243" s="39" t="n">
        <v>4.8</v>
      </c>
      <c r="F243" s="39" t="n">
        <v>1.75785791755237</v>
      </c>
    </row>
    <row r="244" customFormat="false" ht="13.8" hidden="false" customHeight="false" outlineLevel="0" collapsed="false">
      <c r="A244" s="39" t="n">
        <v>2014</v>
      </c>
      <c r="B244" s="39" t="n">
        <v>8</v>
      </c>
      <c r="C244" s="39" t="n">
        <v>28</v>
      </c>
      <c r="D244" s="39" t="n">
        <v>14.1</v>
      </c>
      <c r="E244" s="39" t="n">
        <v>0</v>
      </c>
      <c r="F244" s="39" t="n">
        <v>0</v>
      </c>
    </row>
    <row r="245" customFormat="false" ht="13.8" hidden="false" customHeight="false" outlineLevel="0" collapsed="false">
      <c r="A245" s="39" t="n">
        <v>2014</v>
      </c>
      <c r="B245" s="39" t="n">
        <v>8</v>
      </c>
      <c r="C245" s="39" t="n">
        <v>29</v>
      </c>
      <c r="D245" s="39" t="n">
        <v>16.1</v>
      </c>
      <c r="E245" s="39" t="n">
        <v>2.9</v>
      </c>
      <c r="F245" s="39" t="n">
        <v>1.3609765531356</v>
      </c>
    </row>
    <row r="246" customFormat="false" ht="13.8" hidden="false" customHeight="false" outlineLevel="0" collapsed="false">
      <c r="A246" s="39" t="n">
        <v>2014</v>
      </c>
      <c r="B246" s="39" t="n">
        <v>8</v>
      </c>
      <c r="C246" s="39" t="n">
        <v>30</v>
      </c>
      <c r="D246" s="39" t="n">
        <v>15</v>
      </c>
      <c r="E246" s="39" t="n">
        <v>0</v>
      </c>
      <c r="F246" s="39" t="n">
        <v>0</v>
      </c>
    </row>
    <row r="247" customFormat="false" ht="13.8" hidden="false" customHeight="false" outlineLevel="0" collapsed="false">
      <c r="A247" s="39" t="n">
        <v>2014</v>
      </c>
      <c r="B247" s="39" t="n">
        <v>8</v>
      </c>
      <c r="C247" s="39" t="n">
        <v>31</v>
      </c>
      <c r="D247" s="39" t="n">
        <v>12.2</v>
      </c>
      <c r="E247" s="39" t="n">
        <v>3</v>
      </c>
      <c r="F247" s="39" t="n">
        <v>1.38629436111989</v>
      </c>
    </row>
  </sheetData>
  <autoFilter ref="A1:F2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AA6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0" activeCellId="0" sqref="B10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39" width="24"/>
    <col collapsed="false" customWidth="true" hidden="false" outlineLevel="0" max="2" min="2" style="39" width="26.73"/>
    <col collapsed="false" customWidth="true" hidden="false" outlineLevel="0" max="10" min="9" style="39" width="10.13"/>
    <col collapsed="false" customWidth="true" hidden="false" outlineLevel="0" max="13" min="13" style="39" width="13"/>
    <col collapsed="false" customWidth="true" hidden="false" outlineLevel="0" max="14" min="14" style="39" width="13.12"/>
    <col collapsed="false" customWidth="true" hidden="false" outlineLevel="0" max="15" min="15" style="39" width="29.73"/>
    <col collapsed="false" customWidth="true" hidden="false" outlineLevel="0" max="16" min="16" style="39" width="37.6"/>
  </cols>
  <sheetData>
    <row r="1" customFormat="false" ht="14.25" hidden="false" customHeight="false" outlineLevel="0" collapsed="false">
      <c r="A1" s="38" t="s">
        <v>280</v>
      </c>
      <c r="B1" s="38" t="s">
        <v>281</v>
      </c>
    </row>
    <row r="2" customFormat="false" ht="16.15" hidden="false" customHeight="false" outlineLevel="0" collapsed="false">
      <c r="A2" s="38" t="s">
        <v>282</v>
      </c>
      <c r="B2" s="38" t="s">
        <v>283</v>
      </c>
    </row>
    <row r="3" customFormat="false" ht="14.25" hidden="false" customHeight="false" outlineLevel="0" collapsed="false">
      <c r="A3" s="40" t="s">
        <v>284</v>
      </c>
      <c r="B3" s="38"/>
    </row>
    <row r="4" customFormat="false" ht="14.25" hidden="false" customHeight="false" outlineLevel="0" collapsed="false">
      <c r="A4" s="41" t="s">
        <v>285</v>
      </c>
      <c r="B4" s="38"/>
    </row>
    <row r="7" customFormat="false" ht="14.25" hidden="false" customHeight="false" outlineLevel="0" collapsed="false">
      <c r="A7" s="39" t="s">
        <v>286</v>
      </c>
    </row>
    <row r="8" customFormat="false" ht="14.25" hidden="false" customHeight="false" outlineLevel="0" collapsed="false">
      <c r="A8" s="39" t="s">
        <v>287</v>
      </c>
      <c r="B8" s="39" t="s">
        <v>288</v>
      </c>
    </row>
    <row r="9" customFormat="false" ht="14.25" hidden="false" customHeight="false" outlineLevel="0" collapsed="false">
      <c r="A9" s="39" t="s">
        <v>289</v>
      </c>
      <c r="B9" s="39" t="s">
        <v>290</v>
      </c>
    </row>
    <row r="10" customFormat="false" ht="14.25" hidden="false" customHeight="false" outlineLevel="0" collapsed="false">
      <c r="A10" s="39" t="s">
        <v>291</v>
      </c>
      <c r="B10" s="39" t="s">
        <v>292</v>
      </c>
    </row>
    <row r="11" customFormat="false" ht="14.25" hidden="false" customHeight="false" outlineLevel="0" collapsed="false">
      <c r="B11" s="39" t="s">
        <v>293</v>
      </c>
    </row>
    <row r="12" customFormat="false" ht="14.25" hidden="false" customHeight="false" outlineLevel="0" collapsed="false">
      <c r="B12" s="39" t="s">
        <v>294</v>
      </c>
    </row>
    <row r="13" customFormat="false" ht="14.25" hidden="false" customHeight="false" outlineLevel="0" collapsed="false">
      <c r="B13" s="39" t="s">
        <v>295</v>
      </c>
    </row>
    <row r="14" customFormat="false" ht="14.25" hidden="false" customHeight="false" outlineLevel="0" collapsed="false">
      <c r="B14" s="39" t="s">
        <v>296</v>
      </c>
    </row>
    <row r="15" customFormat="false" ht="14.25" hidden="false" customHeight="false" outlineLevel="0" collapsed="false">
      <c r="A15" s="39" t="s">
        <v>297</v>
      </c>
      <c r="B15" s="39" t="s">
        <v>298</v>
      </c>
    </row>
    <row r="16" customFormat="false" ht="14.25" hidden="false" customHeight="false" outlineLevel="0" collapsed="false">
      <c r="B16" s="39" t="s">
        <v>293</v>
      </c>
    </row>
    <row r="17" customFormat="false" ht="14.25" hidden="false" customHeight="false" outlineLevel="0" collapsed="false">
      <c r="B17" s="39" t="s">
        <v>294</v>
      </c>
    </row>
    <row r="18" customFormat="false" ht="14.25" hidden="false" customHeight="false" outlineLevel="0" collapsed="false">
      <c r="B18" s="39" t="s">
        <v>295</v>
      </c>
    </row>
    <row r="19" customFormat="false" ht="14.25" hidden="false" customHeight="false" outlineLevel="0" collapsed="false">
      <c r="A19" s="39" t="s">
        <v>299</v>
      </c>
      <c r="B19" s="39" t="s">
        <v>300</v>
      </c>
    </row>
    <row r="20" customFormat="false" ht="14.25" hidden="false" customHeight="false" outlineLevel="0" collapsed="false">
      <c r="A20" s="39" t="s">
        <v>301</v>
      </c>
      <c r="B20" s="39" t="s">
        <v>302</v>
      </c>
    </row>
    <row r="21" customFormat="false" ht="14.25" hidden="false" customHeight="false" outlineLevel="0" collapsed="false">
      <c r="A21" s="39" t="s">
        <v>303</v>
      </c>
    </row>
    <row r="22" customFormat="false" ht="14.25" hidden="false" customHeight="false" outlineLevel="0" collapsed="false">
      <c r="A22" s="39" t="s">
        <v>304</v>
      </c>
    </row>
    <row r="23" customFormat="false" ht="14.25" hidden="false" customHeight="false" outlineLevel="0" collapsed="false">
      <c r="A23" s="39" t="s">
        <v>305</v>
      </c>
    </row>
    <row r="24" customFormat="false" ht="14.25" hidden="false" customHeight="false" outlineLevel="0" collapsed="false">
      <c r="A24" s="39" t="s">
        <v>306</v>
      </c>
    </row>
    <row r="25" customFormat="false" ht="14.25" hidden="false" customHeight="false" outlineLevel="0" collapsed="false">
      <c r="A25" s="39" t="s">
        <v>307</v>
      </c>
    </row>
    <row r="26" customFormat="false" ht="14.25" hidden="false" customHeight="false" outlineLevel="0" collapsed="false">
      <c r="A26" s="39" t="s">
        <v>308</v>
      </c>
    </row>
    <row r="27" customFormat="false" ht="14.25" hidden="false" customHeight="false" outlineLevel="0" collapsed="false">
      <c r="A27" s="39" t="s">
        <v>309</v>
      </c>
    </row>
    <row r="28" customFormat="false" ht="14.25" hidden="false" customHeight="false" outlineLevel="0" collapsed="false">
      <c r="A28" s="39" t="s">
        <v>310</v>
      </c>
    </row>
    <row r="29" customFormat="false" ht="14.25" hidden="false" customHeight="false" outlineLevel="0" collapsed="false">
      <c r="A29" s="39" t="s">
        <v>311</v>
      </c>
    </row>
    <row r="30" customFormat="false" ht="14.25" hidden="false" customHeight="false" outlineLevel="0" collapsed="false">
      <c r="A30" s="39" t="s">
        <v>312</v>
      </c>
    </row>
    <row r="31" customFormat="false" ht="14.25" hidden="false" customHeight="false" outlineLevel="0" collapsed="false">
      <c r="A31" s="39" t="s">
        <v>313</v>
      </c>
    </row>
    <row r="32" customFormat="false" ht="14.25" hidden="false" customHeight="false" outlineLevel="0" collapsed="false">
      <c r="A32" s="39" t="s">
        <v>15</v>
      </c>
    </row>
    <row r="33" customFormat="false" ht="14.25" hidden="false" customHeight="false" outlineLevel="0" collapsed="false">
      <c r="A33" s="39" t="s">
        <v>16</v>
      </c>
    </row>
    <row r="34" customFormat="false" ht="14.25" hidden="false" customHeight="false" outlineLevel="0" collapsed="false">
      <c r="A34" s="39" t="s">
        <v>17</v>
      </c>
    </row>
    <row r="35" customFormat="false" ht="14.25" hidden="false" customHeight="false" outlineLevel="0" collapsed="false">
      <c r="A35" s="39" t="s">
        <v>18</v>
      </c>
    </row>
    <row r="36" customFormat="false" ht="14.25" hidden="false" customHeight="false" outlineLevel="0" collapsed="false">
      <c r="A36" s="39" t="s">
        <v>19</v>
      </c>
    </row>
    <row r="37" customFormat="false" ht="14.25" hidden="false" customHeight="false" outlineLevel="0" collapsed="false">
      <c r="A37" s="39" t="s">
        <v>20</v>
      </c>
    </row>
    <row r="38" customFormat="false" ht="14.25" hidden="false" customHeight="false" outlineLevel="0" collapsed="false">
      <c r="A38" s="39" t="s">
        <v>21</v>
      </c>
    </row>
    <row r="39" customFormat="false" ht="14.25" hidden="false" customHeight="false" outlineLevel="0" collapsed="false">
      <c r="A39" s="39" t="s">
        <v>22</v>
      </c>
    </row>
    <row r="40" customFormat="false" ht="14.25" hidden="false" customHeight="false" outlineLevel="0" collapsed="false">
      <c r="A40" s="39" t="s">
        <v>314</v>
      </c>
      <c r="B40" s="39" t="s">
        <v>315</v>
      </c>
    </row>
    <row r="41" customFormat="false" ht="14.25" hidden="false" customHeight="false" outlineLevel="0" collapsed="false">
      <c r="A41" s="39" t="s">
        <v>316</v>
      </c>
      <c r="B41" s="39" t="s">
        <v>317</v>
      </c>
    </row>
    <row r="42" customFormat="false" ht="14.25" hidden="false" customHeight="false" outlineLevel="0" collapsed="false">
      <c r="A42" s="39" t="s">
        <v>318</v>
      </c>
      <c r="B42" s="39" t="s">
        <v>319</v>
      </c>
    </row>
    <row r="43" customFormat="false" ht="14.25" hidden="false" customHeight="false" outlineLevel="0" collapsed="false">
      <c r="A43" s="39" t="s">
        <v>320</v>
      </c>
    </row>
    <row r="47" customFormat="false" ht="14.25" hidden="false" customHeight="false" outlineLevel="0" collapsed="false">
      <c r="A47" s="42" t="s">
        <v>321</v>
      </c>
    </row>
    <row r="48" customFormat="false" ht="60.15" hidden="false" customHeight="false" outlineLevel="0" collapsed="false">
      <c r="A48" s="4" t="s">
        <v>286</v>
      </c>
      <c r="B48" s="4" t="s">
        <v>287</v>
      </c>
      <c r="C48" s="4" t="s">
        <v>289</v>
      </c>
      <c r="D48" s="4" t="s">
        <v>291</v>
      </c>
      <c r="E48" s="4" t="s">
        <v>297</v>
      </c>
      <c r="F48" s="4" t="s">
        <v>299</v>
      </c>
      <c r="G48" s="4" t="s">
        <v>301</v>
      </c>
      <c r="H48" s="4" t="s">
        <v>303</v>
      </c>
      <c r="I48" s="4" t="s">
        <v>304</v>
      </c>
      <c r="J48" s="4" t="s">
        <v>305</v>
      </c>
      <c r="K48" s="4" t="s">
        <v>306</v>
      </c>
      <c r="L48" s="4" t="s">
        <v>307</v>
      </c>
      <c r="M48" s="4" t="s">
        <v>308</v>
      </c>
      <c r="N48" s="4" t="s">
        <v>309</v>
      </c>
      <c r="O48" s="4" t="s">
        <v>310</v>
      </c>
      <c r="P48" s="4" t="s">
        <v>311</v>
      </c>
      <c r="Q48" s="4" t="s">
        <v>312</v>
      </c>
      <c r="R48" s="4" t="s">
        <v>313</v>
      </c>
      <c r="S48" s="4" t="s">
        <v>15</v>
      </c>
      <c r="T48" s="4" t="s">
        <v>16</v>
      </c>
      <c r="U48" s="4" t="s">
        <v>17</v>
      </c>
      <c r="V48" s="4" t="s">
        <v>18</v>
      </c>
      <c r="W48" s="4" t="s">
        <v>19</v>
      </c>
      <c r="X48" s="4" t="s">
        <v>20</v>
      </c>
      <c r="Y48" s="4" t="s">
        <v>21</v>
      </c>
      <c r="Z48" s="4" t="s">
        <v>22</v>
      </c>
      <c r="AA48" s="4" t="s">
        <v>314</v>
      </c>
    </row>
    <row r="49" customFormat="false" ht="14.25" hidden="false" customHeight="false" outlineLevel="0" collapsed="false">
      <c r="A49" s="1" t="n">
        <v>2009</v>
      </c>
      <c r="B49" s="7" t="s">
        <v>322</v>
      </c>
      <c r="C49" s="7" t="n">
        <v>3</v>
      </c>
      <c r="D49" s="7" t="s">
        <v>293</v>
      </c>
      <c r="E49" s="7" t="s">
        <v>293</v>
      </c>
      <c r="F49" s="7" t="s">
        <v>26</v>
      </c>
      <c r="G49" s="1" t="n">
        <v>1</v>
      </c>
      <c r="H49" s="1" t="n">
        <v>2</v>
      </c>
      <c r="I49" s="10" t="n">
        <v>40052</v>
      </c>
      <c r="J49" s="10" t="n">
        <v>40057</v>
      </c>
      <c r="K49" s="1" t="n">
        <v>5</v>
      </c>
      <c r="L49" s="1" t="n">
        <v>5</v>
      </c>
      <c r="M49" s="3" t="s">
        <v>32</v>
      </c>
      <c r="N49" s="3" t="s">
        <v>57</v>
      </c>
      <c r="O49" s="8" t="s">
        <v>38</v>
      </c>
      <c r="P49" s="2" t="s">
        <v>323</v>
      </c>
      <c r="Q49" s="1" t="s">
        <v>30</v>
      </c>
      <c r="R49" s="1" t="s">
        <v>35</v>
      </c>
      <c r="S49" s="1" t="n">
        <v>0</v>
      </c>
      <c r="T49" s="1" t="n">
        <v>1</v>
      </c>
      <c r="U49" s="1" t="n">
        <v>0</v>
      </c>
      <c r="V49" s="1" t="n">
        <v>0</v>
      </c>
      <c r="W49" s="1" t="n">
        <v>0</v>
      </c>
      <c r="X49" s="1" t="n">
        <v>0</v>
      </c>
      <c r="Y49" s="3" t="n">
        <v>1</v>
      </c>
      <c r="Z49" s="3" t="n">
        <v>0</v>
      </c>
      <c r="AA49" s="3" t="n">
        <v>1</v>
      </c>
    </row>
    <row r="50" customFormat="false" ht="14.25" hidden="false" customHeight="false" outlineLevel="0" collapsed="false">
      <c r="A50" s="1" t="n">
        <v>2009</v>
      </c>
      <c r="B50" s="7" t="s">
        <v>322</v>
      </c>
      <c r="C50" s="7" t="n">
        <v>3</v>
      </c>
      <c r="D50" s="7" t="s">
        <v>293</v>
      </c>
      <c r="E50" s="7" t="s">
        <v>293</v>
      </c>
      <c r="F50" s="7" t="s">
        <v>26</v>
      </c>
      <c r="G50" s="1" t="n">
        <v>1</v>
      </c>
      <c r="H50" s="1" t="n">
        <v>1</v>
      </c>
      <c r="I50" s="10" t="n">
        <v>40052</v>
      </c>
      <c r="J50" s="10" t="n">
        <v>40057</v>
      </c>
      <c r="K50" s="1" t="n">
        <v>5</v>
      </c>
      <c r="L50" s="1" t="n">
        <v>5</v>
      </c>
      <c r="M50" s="3" t="s">
        <v>32</v>
      </c>
      <c r="N50" s="3" t="s">
        <v>57</v>
      </c>
      <c r="O50" s="8" t="s">
        <v>38</v>
      </c>
      <c r="P50" s="2" t="s">
        <v>323</v>
      </c>
      <c r="Q50" s="1" t="s">
        <v>30</v>
      </c>
      <c r="R50" s="1" t="s">
        <v>35</v>
      </c>
      <c r="S50" s="1" t="n">
        <v>0</v>
      </c>
      <c r="T50" s="1" t="n">
        <v>1</v>
      </c>
      <c r="U50" s="1" t="n">
        <v>0</v>
      </c>
      <c r="V50" s="1" t="n">
        <v>0</v>
      </c>
      <c r="W50" s="1" t="n">
        <v>0</v>
      </c>
      <c r="X50" s="1" t="n">
        <v>0</v>
      </c>
      <c r="Y50" s="3" t="n">
        <v>1</v>
      </c>
      <c r="Z50" s="3" t="n">
        <v>0</v>
      </c>
      <c r="AA50" s="3" t="n">
        <v>1</v>
      </c>
    </row>
    <row r="51" customFormat="false" ht="14.25" hidden="false" customHeight="false" outlineLevel="0" collapsed="false">
      <c r="A51" s="1" t="n">
        <v>2009</v>
      </c>
      <c r="B51" s="7" t="s">
        <v>322</v>
      </c>
      <c r="C51" s="7" t="n">
        <v>2</v>
      </c>
      <c r="D51" s="7" t="s">
        <v>295</v>
      </c>
      <c r="E51" s="7" t="s">
        <v>295</v>
      </c>
      <c r="F51" s="7" t="s">
        <v>324</v>
      </c>
      <c r="G51" s="1" t="n">
        <v>1</v>
      </c>
      <c r="H51" s="1" t="n">
        <v>2</v>
      </c>
      <c r="I51" s="10" t="n">
        <v>39970</v>
      </c>
      <c r="J51" s="10" t="n">
        <v>39975</v>
      </c>
      <c r="K51" s="1" t="n">
        <v>5</v>
      </c>
      <c r="L51" s="1" t="n">
        <v>5</v>
      </c>
      <c r="M51" s="3" t="s">
        <v>48</v>
      </c>
      <c r="N51" s="3" t="s">
        <v>49</v>
      </c>
      <c r="O51" s="12" t="s">
        <v>38</v>
      </c>
      <c r="P51" s="2" t="s">
        <v>325</v>
      </c>
      <c r="Q51" s="1" t="s">
        <v>30</v>
      </c>
      <c r="R51" s="1" t="s">
        <v>35</v>
      </c>
      <c r="S51" s="1" t="n">
        <v>0</v>
      </c>
      <c r="T51" s="1" t="n">
        <v>1</v>
      </c>
      <c r="U51" s="1" t="n">
        <v>0</v>
      </c>
      <c r="V51" s="1" t="n">
        <v>0</v>
      </c>
      <c r="W51" s="1" t="n">
        <v>0</v>
      </c>
      <c r="X51" s="1" t="n">
        <v>0</v>
      </c>
      <c r="Y51" s="3" t="n">
        <v>1</v>
      </c>
      <c r="Z51" s="3" t="n">
        <v>0</v>
      </c>
      <c r="AA51" s="3" t="n">
        <v>1</v>
      </c>
    </row>
    <row r="52" customFormat="false" ht="14.25" hidden="false" customHeight="false" outlineLevel="0" collapsed="false">
      <c r="A52" s="1" t="n">
        <v>2009</v>
      </c>
      <c r="B52" s="7" t="s">
        <v>322</v>
      </c>
      <c r="C52" s="7" t="n">
        <v>2</v>
      </c>
      <c r="D52" s="7" t="s">
        <v>294</v>
      </c>
      <c r="E52" s="7" t="s">
        <v>294</v>
      </c>
      <c r="F52" s="7" t="s">
        <v>326</v>
      </c>
      <c r="G52" s="1" t="n">
        <v>2</v>
      </c>
      <c r="H52" s="1" t="n">
        <v>7</v>
      </c>
      <c r="I52" s="10" t="n">
        <v>39970</v>
      </c>
      <c r="J52" s="10" t="n">
        <v>39975</v>
      </c>
      <c r="K52" s="1" t="n">
        <v>5</v>
      </c>
      <c r="L52" s="1" t="n">
        <v>5</v>
      </c>
      <c r="M52" s="3" t="s">
        <v>92</v>
      </c>
      <c r="N52" s="3" t="s">
        <v>171</v>
      </c>
      <c r="O52" s="12" t="s">
        <v>38</v>
      </c>
      <c r="P52" s="2" t="s">
        <v>327</v>
      </c>
      <c r="Q52" s="1" t="s">
        <v>30</v>
      </c>
      <c r="R52" s="1" t="s">
        <v>35</v>
      </c>
      <c r="S52" s="1" t="n">
        <v>0</v>
      </c>
      <c r="T52" s="1" t="n">
        <v>1</v>
      </c>
      <c r="U52" s="1" t="n">
        <v>0</v>
      </c>
      <c r="V52" s="1" t="n">
        <v>0</v>
      </c>
      <c r="W52" s="1" t="n">
        <v>0</v>
      </c>
      <c r="X52" s="1" t="n">
        <v>0</v>
      </c>
      <c r="Y52" s="3" t="n">
        <v>1</v>
      </c>
      <c r="Z52" s="3" t="n">
        <v>0</v>
      </c>
      <c r="AA52" s="3" t="n">
        <v>1</v>
      </c>
    </row>
    <row r="53" customFormat="false" ht="14.25" hidden="false" customHeight="false" outlineLevel="0" collapsed="false">
      <c r="A53" s="1" t="n">
        <v>2009</v>
      </c>
      <c r="B53" s="7" t="s">
        <v>322</v>
      </c>
      <c r="C53" s="7" t="n">
        <v>2</v>
      </c>
      <c r="D53" s="7" t="s">
        <v>294</v>
      </c>
      <c r="E53" s="7" t="s">
        <v>294</v>
      </c>
      <c r="F53" s="7" t="s">
        <v>326</v>
      </c>
      <c r="G53" s="1" t="n">
        <v>2</v>
      </c>
      <c r="H53" s="1" t="n">
        <v>7</v>
      </c>
      <c r="I53" s="10" t="n">
        <v>39970</v>
      </c>
      <c r="J53" s="10" t="n">
        <v>39975</v>
      </c>
      <c r="K53" s="1" t="n">
        <v>5</v>
      </c>
      <c r="L53" s="1" t="n">
        <v>4</v>
      </c>
      <c r="M53" s="3" t="s">
        <v>92</v>
      </c>
      <c r="N53" s="3" t="s">
        <v>171</v>
      </c>
      <c r="O53" s="3" t="s">
        <v>38</v>
      </c>
      <c r="P53" s="2" t="s">
        <v>327</v>
      </c>
      <c r="Q53" s="1" t="s">
        <v>30</v>
      </c>
      <c r="R53" s="1" t="s">
        <v>35</v>
      </c>
      <c r="S53" s="1" t="n">
        <v>0</v>
      </c>
      <c r="T53" s="1" t="n">
        <v>1</v>
      </c>
      <c r="U53" s="1" t="n">
        <v>0</v>
      </c>
      <c r="V53" s="1" t="n">
        <v>0</v>
      </c>
      <c r="W53" s="1" t="n">
        <v>0</v>
      </c>
      <c r="X53" s="1" t="n">
        <v>0</v>
      </c>
      <c r="Y53" s="3" t="n">
        <v>1</v>
      </c>
      <c r="Z53" s="3" t="n">
        <v>0</v>
      </c>
      <c r="AA53" s="3" t="n">
        <v>1</v>
      </c>
    </row>
    <row r="54" customFormat="false" ht="14.25" hidden="false" customHeight="false" outlineLevel="0" collapsed="false">
      <c r="A54" s="1" t="n">
        <v>2009</v>
      </c>
      <c r="B54" s="7" t="s">
        <v>322</v>
      </c>
      <c r="C54" s="7" t="n">
        <v>2</v>
      </c>
      <c r="D54" s="7" t="s">
        <v>294</v>
      </c>
      <c r="E54" s="7" t="s">
        <v>294</v>
      </c>
      <c r="F54" s="7" t="s">
        <v>326</v>
      </c>
      <c r="G54" s="1" t="n">
        <v>2</v>
      </c>
      <c r="H54" s="1" t="n">
        <v>8</v>
      </c>
      <c r="I54" s="10" t="n">
        <v>39970</v>
      </c>
      <c r="J54" s="10" t="n">
        <v>39975</v>
      </c>
      <c r="K54" s="1" t="n">
        <v>5</v>
      </c>
      <c r="L54" s="1" t="n">
        <v>5</v>
      </c>
      <c r="M54" s="3" t="s">
        <v>48</v>
      </c>
      <c r="N54" s="3" t="s">
        <v>61</v>
      </c>
      <c r="O54" s="3" t="s">
        <v>38</v>
      </c>
      <c r="P54" s="2" t="s">
        <v>328</v>
      </c>
      <c r="Q54" s="1" t="s">
        <v>30</v>
      </c>
      <c r="R54" s="1" t="s">
        <v>31</v>
      </c>
      <c r="S54" s="1" t="n">
        <v>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3" t="n">
        <v>1</v>
      </c>
      <c r="Z54" s="3" t="n">
        <v>0</v>
      </c>
      <c r="AA54" s="3" t="n">
        <v>1</v>
      </c>
    </row>
    <row r="55" customFormat="false" ht="14.25" hidden="false" customHeight="false" outlineLevel="0" collapsed="false">
      <c r="A55" s="1" t="n">
        <v>2009</v>
      </c>
      <c r="B55" s="7" t="s">
        <v>322</v>
      </c>
      <c r="C55" s="7" t="n">
        <v>2</v>
      </c>
      <c r="D55" s="7" t="s">
        <v>293</v>
      </c>
      <c r="E55" s="7" t="s">
        <v>293</v>
      </c>
      <c r="F55" s="7" t="s">
        <v>101</v>
      </c>
      <c r="G55" s="1" t="n">
        <v>3</v>
      </c>
      <c r="H55" s="1" t="n">
        <v>15</v>
      </c>
      <c r="I55" s="10" t="n">
        <v>39970</v>
      </c>
      <c r="J55" s="10" t="n">
        <v>39975</v>
      </c>
      <c r="K55" s="1" t="n">
        <v>5</v>
      </c>
      <c r="L55" s="1" t="n">
        <v>5</v>
      </c>
      <c r="M55" s="3" t="s">
        <v>32</v>
      </c>
      <c r="N55" s="3" t="s">
        <v>84</v>
      </c>
      <c r="O55" s="3" t="s">
        <v>38</v>
      </c>
      <c r="P55" s="2" t="s">
        <v>329</v>
      </c>
      <c r="Q55" s="1" t="s">
        <v>30</v>
      </c>
      <c r="R55" s="1" t="s">
        <v>35</v>
      </c>
      <c r="S55" s="1" t="n">
        <v>0</v>
      </c>
      <c r="T55" s="1" t="n">
        <v>1</v>
      </c>
      <c r="U55" s="1" t="n">
        <v>0</v>
      </c>
      <c r="V55" s="1" t="n">
        <v>0</v>
      </c>
      <c r="W55" s="1" t="n">
        <v>0</v>
      </c>
      <c r="X55" s="1" t="n">
        <v>0</v>
      </c>
      <c r="Y55" s="3" t="n">
        <v>1</v>
      </c>
      <c r="Z55" s="3" t="n">
        <v>0</v>
      </c>
      <c r="AA55" s="3" t="n">
        <v>1</v>
      </c>
    </row>
    <row r="56" customFormat="false" ht="14.25" hidden="false" customHeight="false" outlineLevel="0" collapsed="false">
      <c r="A56" s="1" t="n">
        <v>2009</v>
      </c>
      <c r="B56" s="7" t="s">
        <v>322</v>
      </c>
      <c r="C56" s="7" t="n">
        <v>2</v>
      </c>
      <c r="D56" s="7" t="s">
        <v>293</v>
      </c>
      <c r="E56" s="7" t="s">
        <v>293</v>
      </c>
      <c r="F56" s="7" t="s">
        <v>110</v>
      </c>
      <c r="G56" s="1" t="n">
        <v>1</v>
      </c>
      <c r="H56" s="1" t="n">
        <v>1</v>
      </c>
      <c r="I56" s="10" t="n">
        <v>39969</v>
      </c>
      <c r="J56" s="10" t="n">
        <v>39974</v>
      </c>
      <c r="K56" s="1" t="n">
        <v>5</v>
      </c>
      <c r="L56" s="1" t="n">
        <v>5</v>
      </c>
      <c r="M56" s="3" t="s">
        <v>32</v>
      </c>
      <c r="N56" s="3" t="s">
        <v>84</v>
      </c>
      <c r="O56" s="3" t="s">
        <v>38</v>
      </c>
      <c r="P56" s="2" t="s">
        <v>329</v>
      </c>
      <c r="Q56" s="1" t="s">
        <v>30</v>
      </c>
      <c r="R56" s="1" t="s">
        <v>31</v>
      </c>
      <c r="S56" s="1" t="n">
        <v>1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3" t="n">
        <v>1</v>
      </c>
      <c r="Z56" s="3" t="n">
        <v>0</v>
      </c>
      <c r="AA56" s="3" t="n">
        <v>1</v>
      </c>
    </row>
    <row r="57" customFormat="false" ht="14.25" hidden="false" customHeight="false" outlineLevel="0" collapsed="false">
      <c r="A57" s="1" t="n">
        <v>2009</v>
      </c>
      <c r="B57" s="7" t="s">
        <v>322</v>
      </c>
      <c r="C57" s="7" t="n">
        <v>2</v>
      </c>
      <c r="D57" s="7" t="s">
        <v>293</v>
      </c>
      <c r="E57" s="7" t="s">
        <v>293</v>
      </c>
      <c r="F57" s="7" t="s">
        <v>110</v>
      </c>
      <c r="G57" s="1" t="n">
        <v>1</v>
      </c>
      <c r="H57" s="1" t="n">
        <v>4</v>
      </c>
      <c r="I57" s="10" t="n">
        <v>39969</v>
      </c>
      <c r="J57" s="10" t="n">
        <v>39974</v>
      </c>
      <c r="K57" s="1" t="n">
        <v>5</v>
      </c>
      <c r="L57" s="1" t="n">
        <v>5</v>
      </c>
      <c r="M57" s="3" t="s">
        <v>92</v>
      </c>
      <c r="N57" s="3" t="s">
        <v>171</v>
      </c>
      <c r="O57" s="3" t="s">
        <v>38</v>
      </c>
      <c r="P57" s="2" t="s">
        <v>327</v>
      </c>
      <c r="Q57" s="1" t="s">
        <v>30</v>
      </c>
      <c r="R57" s="1" t="s">
        <v>31</v>
      </c>
      <c r="S57" s="1" t="n">
        <v>1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3" t="n">
        <v>1</v>
      </c>
      <c r="Z57" s="3" t="n">
        <v>0</v>
      </c>
      <c r="AA57" s="3" t="n">
        <v>1</v>
      </c>
    </row>
    <row r="58" customFormat="false" ht="14.25" hidden="false" customHeight="false" outlineLevel="0" collapsed="false">
      <c r="A58" s="1" t="n">
        <v>2009</v>
      </c>
      <c r="B58" s="7" t="s">
        <v>322</v>
      </c>
      <c r="C58" s="7" t="n">
        <v>2</v>
      </c>
      <c r="D58" s="7" t="s">
        <v>293</v>
      </c>
      <c r="E58" s="7" t="s">
        <v>293</v>
      </c>
      <c r="F58" s="7" t="s">
        <v>110</v>
      </c>
      <c r="G58" s="1" t="n">
        <v>2</v>
      </c>
      <c r="H58" s="1" t="n">
        <v>8</v>
      </c>
      <c r="I58" s="10" t="n">
        <v>39969</v>
      </c>
      <c r="J58" s="10" t="n">
        <v>39974</v>
      </c>
      <c r="K58" s="1" t="n">
        <v>5</v>
      </c>
      <c r="L58" s="1" t="n">
        <v>5</v>
      </c>
      <c r="M58" s="3" t="s">
        <v>32</v>
      </c>
      <c r="N58" s="3" t="s">
        <v>57</v>
      </c>
      <c r="O58" s="3" t="s">
        <v>38</v>
      </c>
      <c r="P58" s="2" t="s">
        <v>323</v>
      </c>
      <c r="Q58" s="1" t="s">
        <v>30</v>
      </c>
      <c r="R58" s="1" t="s">
        <v>31</v>
      </c>
      <c r="S58" s="1" t="n">
        <v>1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3" t="n">
        <v>1</v>
      </c>
      <c r="Z58" s="3" t="n">
        <v>0</v>
      </c>
      <c r="AA58" s="3" t="n">
        <v>1</v>
      </c>
    </row>
    <row r="59" customFormat="false" ht="14.25" hidden="false" customHeight="false" outlineLevel="0" collapsed="false">
      <c r="A59" s="1" t="n">
        <v>2009</v>
      </c>
      <c r="B59" s="7" t="s">
        <v>322</v>
      </c>
      <c r="C59" s="7" t="n">
        <v>2</v>
      </c>
      <c r="D59" s="7" t="s">
        <v>293</v>
      </c>
      <c r="E59" s="7" t="s">
        <v>293</v>
      </c>
      <c r="F59" s="7" t="s">
        <v>110</v>
      </c>
      <c r="G59" s="1" t="n">
        <v>2</v>
      </c>
      <c r="H59" s="1" t="n">
        <v>9</v>
      </c>
      <c r="I59" s="10" t="n">
        <v>39969</v>
      </c>
      <c r="J59" s="10" t="n">
        <v>39974</v>
      </c>
      <c r="K59" s="1" t="n">
        <v>5</v>
      </c>
      <c r="L59" s="1" t="n">
        <v>5</v>
      </c>
      <c r="M59" s="3" t="s">
        <v>32</v>
      </c>
      <c r="N59" s="3" t="s">
        <v>57</v>
      </c>
      <c r="O59" s="3" t="s">
        <v>38</v>
      </c>
      <c r="P59" s="2" t="s">
        <v>323</v>
      </c>
      <c r="Q59" s="1" t="s">
        <v>30</v>
      </c>
      <c r="R59" s="1" t="s">
        <v>31</v>
      </c>
      <c r="S59" s="1" t="n">
        <v>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3" t="n">
        <v>1</v>
      </c>
      <c r="Z59" s="3" t="n">
        <v>0</v>
      </c>
      <c r="AA59" s="3" t="n">
        <v>1</v>
      </c>
    </row>
    <row r="60" customFormat="false" ht="14.25" hidden="false" customHeight="false" outlineLevel="0" collapsed="false">
      <c r="A60" s="1" t="n">
        <v>2009</v>
      </c>
      <c r="B60" s="7" t="s">
        <v>322</v>
      </c>
      <c r="C60" s="7" t="n">
        <v>2</v>
      </c>
      <c r="D60" s="7" t="s">
        <v>293</v>
      </c>
      <c r="E60" s="7" t="s">
        <v>293</v>
      </c>
      <c r="F60" s="7" t="s">
        <v>110</v>
      </c>
      <c r="G60" s="1" t="n">
        <v>2</v>
      </c>
      <c r="H60" s="1" t="n">
        <v>10</v>
      </c>
      <c r="I60" s="10" t="n">
        <v>39969</v>
      </c>
      <c r="J60" s="10" t="n">
        <v>39974</v>
      </c>
      <c r="K60" s="1" t="n">
        <v>5</v>
      </c>
      <c r="L60" s="1" t="n">
        <v>5</v>
      </c>
      <c r="M60" s="3" t="s">
        <v>32</v>
      </c>
      <c r="N60" s="3" t="s">
        <v>57</v>
      </c>
      <c r="O60" s="3" t="s">
        <v>38</v>
      </c>
      <c r="P60" s="2" t="s">
        <v>323</v>
      </c>
      <c r="Q60" s="1" t="s">
        <v>30</v>
      </c>
      <c r="R60" s="1" t="s">
        <v>31</v>
      </c>
      <c r="S60" s="1" t="n">
        <v>1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3" t="n">
        <v>1</v>
      </c>
      <c r="Z60" s="3" t="n">
        <v>0</v>
      </c>
      <c r="AA60" s="3" t="n">
        <v>1</v>
      </c>
    </row>
    <row r="61" customFormat="false" ht="14.25" hidden="false" customHeight="false" outlineLevel="0" collapsed="false">
      <c r="A61" s="1" t="n">
        <v>2009</v>
      </c>
      <c r="B61" s="7" t="s">
        <v>322</v>
      </c>
      <c r="C61" s="7" t="n">
        <v>2</v>
      </c>
      <c r="D61" s="7" t="s">
        <v>293</v>
      </c>
      <c r="E61" s="7" t="s">
        <v>293</v>
      </c>
      <c r="F61" s="7" t="s">
        <v>110</v>
      </c>
      <c r="G61" s="1" t="n">
        <v>3</v>
      </c>
      <c r="H61" s="1" t="n">
        <v>11</v>
      </c>
      <c r="I61" s="10" t="n">
        <v>39969</v>
      </c>
      <c r="J61" s="10" t="n">
        <v>39974</v>
      </c>
      <c r="K61" s="1" t="n">
        <v>5</v>
      </c>
      <c r="L61" s="1" t="n">
        <v>5</v>
      </c>
      <c r="M61" s="3" t="s">
        <v>32</v>
      </c>
      <c r="N61" s="3" t="s">
        <v>57</v>
      </c>
      <c r="O61" s="3" t="s">
        <v>38</v>
      </c>
      <c r="P61" s="2" t="s">
        <v>323</v>
      </c>
      <c r="Q61" s="1" t="s">
        <v>30</v>
      </c>
      <c r="R61" s="1" t="s">
        <v>35</v>
      </c>
      <c r="S61" s="1" t="n">
        <v>0</v>
      </c>
      <c r="T61" s="1" t="n">
        <v>1</v>
      </c>
      <c r="U61" s="1" t="n">
        <v>0</v>
      </c>
      <c r="V61" s="1" t="n">
        <v>0</v>
      </c>
      <c r="W61" s="1" t="n">
        <v>0</v>
      </c>
      <c r="X61" s="1" t="n">
        <v>0</v>
      </c>
      <c r="Y61" s="3" t="n">
        <v>1</v>
      </c>
      <c r="Z61" s="3" t="n">
        <v>0</v>
      </c>
      <c r="AA61" s="3" t="n">
        <v>1</v>
      </c>
    </row>
    <row r="62" customFormat="false" ht="14.25" hidden="false" customHeight="false" outlineLevel="0" collapsed="false">
      <c r="A62" s="1" t="n">
        <v>2009</v>
      </c>
      <c r="B62" s="7" t="s">
        <v>322</v>
      </c>
      <c r="C62" s="7" t="n">
        <v>2</v>
      </c>
      <c r="D62" s="7" t="s">
        <v>296</v>
      </c>
      <c r="E62" s="7" t="s">
        <v>295</v>
      </c>
      <c r="F62" s="7" t="s">
        <v>330</v>
      </c>
      <c r="G62" s="1" t="n">
        <v>1</v>
      </c>
      <c r="H62" s="1" t="n">
        <v>3</v>
      </c>
      <c r="I62" s="10" t="n">
        <v>39969</v>
      </c>
      <c r="J62" s="10" t="n">
        <v>39974</v>
      </c>
      <c r="K62" s="1" t="n">
        <v>5</v>
      </c>
      <c r="L62" s="1" t="n">
        <v>5</v>
      </c>
      <c r="M62" s="3" t="s">
        <v>32</v>
      </c>
      <c r="N62" s="3" t="s">
        <v>57</v>
      </c>
      <c r="O62" s="3" t="s">
        <v>38</v>
      </c>
      <c r="P62" s="2" t="s">
        <v>323</v>
      </c>
      <c r="Q62" s="1" t="s">
        <v>30</v>
      </c>
      <c r="R62" s="1" t="s">
        <v>35</v>
      </c>
      <c r="S62" s="1" t="n">
        <v>0</v>
      </c>
      <c r="T62" s="1" t="n">
        <v>1</v>
      </c>
      <c r="U62" s="1" t="n">
        <v>0</v>
      </c>
      <c r="V62" s="1" t="n">
        <v>0</v>
      </c>
      <c r="W62" s="1" t="n">
        <v>0</v>
      </c>
      <c r="X62" s="1" t="n">
        <v>0</v>
      </c>
      <c r="Y62" s="3" t="n">
        <v>1</v>
      </c>
      <c r="Z62" s="3" t="n">
        <v>0</v>
      </c>
      <c r="AA62" s="3" t="n">
        <v>1</v>
      </c>
    </row>
    <row r="63" customFormat="false" ht="14.25" hidden="false" customHeight="false" outlineLevel="0" collapsed="false">
      <c r="A63" s="1" t="n">
        <v>2009</v>
      </c>
      <c r="B63" s="7" t="s">
        <v>322</v>
      </c>
      <c r="C63" s="7" t="n">
        <v>2</v>
      </c>
      <c r="D63" s="7" t="s">
        <v>296</v>
      </c>
      <c r="E63" s="7" t="s">
        <v>295</v>
      </c>
      <c r="F63" s="7" t="s">
        <v>330</v>
      </c>
      <c r="G63" s="1" t="n">
        <v>1</v>
      </c>
      <c r="H63" s="1" t="n">
        <v>4</v>
      </c>
      <c r="I63" s="10" t="n">
        <v>39969</v>
      </c>
      <c r="J63" s="10" t="n">
        <v>39974</v>
      </c>
      <c r="K63" s="1" t="n">
        <v>5</v>
      </c>
      <c r="L63" s="1" t="n">
        <v>5</v>
      </c>
      <c r="M63" s="3" t="s">
        <v>32</v>
      </c>
      <c r="N63" s="3" t="s">
        <v>57</v>
      </c>
      <c r="O63" s="3" t="s">
        <v>38</v>
      </c>
      <c r="P63" s="2" t="s">
        <v>323</v>
      </c>
      <c r="Q63" s="1" t="s">
        <v>30</v>
      </c>
      <c r="R63" s="1" t="s">
        <v>35</v>
      </c>
      <c r="S63" s="1" t="n">
        <v>0</v>
      </c>
      <c r="T63" s="1" t="n">
        <v>1</v>
      </c>
      <c r="U63" s="1" t="n">
        <v>0</v>
      </c>
      <c r="V63" s="1" t="n">
        <v>0</v>
      </c>
      <c r="W63" s="1" t="n">
        <v>0</v>
      </c>
      <c r="X63" s="1" t="n">
        <v>0</v>
      </c>
      <c r="Y63" s="3" t="n">
        <v>1</v>
      </c>
      <c r="Z63" s="3" t="n">
        <v>0</v>
      </c>
      <c r="AA63" s="3" t="n">
        <v>1</v>
      </c>
    </row>
    <row r="64" customFormat="false" ht="14.25" hidden="false" customHeight="false" outlineLevel="0" collapsed="false">
      <c r="A64" s="1" t="n">
        <v>2014</v>
      </c>
      <c r="B64" s="7" t="s">
        <v>322</v>
      </c>
      <c r="C64" s="7" t="n">
        <v>2</v>
      </c>
      <c r="D64" s="7" t="s">
        <v>293</v>
      </c>
      <c r="E64" s="7" t="s">
        <v>293</v>
      </c>
      <c r="F64" s="3" t="s">
        <v>26</v>
      </c>
      <c r="G64" s="3" t="n">
        <v>3</v>
      </c>
      <c r="H64" s="3" t="n">
        <v>12</v>
      </c>
      <c r="I64" s="22" t="n">
        <v>41793</v>
      </c>
      <c r="J64" s="22" t="n">
        <v>41798</v>
      </c>
      <c r="K64" s="43" t="n">
        <v>5</v>
      </c>
      <c r="L64" s="1" t="n">
        <v>5</v>
      </c>
      <c r="M64" s="3" t="s">
        <v>32</v>
      </c>
      <c r="N64" s="3" t="s">
        <v>102</v>
      </c>
      <c r="O64" s="3" t="s">
        <v>237</v>
      </c>
      <c r="P64" s="2" t="s">
        <v>331</v>
      </c>
      <c r="Q64" s="1" t="s">
        <v>30</v>
      </c>
      <c r="R64" s="1" t="s">
        <v>35</v>
      </c>
      <c r="S64" s="3" t="n">
        <v>0</v>
      </c>
      <c r="T64" s="3" t="n">
        <v>1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1</v>
      </c>
      <c r="Z64" s="3" t="n">
        <v>0</v>
      </c>
      <c r="AA64" s="3" t="n">
        <v>1</v>
      </c>
    </row>
    <row r="65" customFormat="false" ht="14.25" hidden="false" customHeight="false" outlineLevel="0" collapsed="false">
      <c r="A65" s="1" t="n">
        <v>2014</v>
      </c>
      <c r="B65" s="7" t="s">
        <v>322</v>
      </c>
      <c r="C65" s="7" t="n">
        <v>2</v>
      </c>
      <c r="D65" s="7" t="s">
        <v>294</v>
      </c>
      <c r="E65" s="7" t="s">
        <v>294</v>
      </c>
      <c r="F65" s="3" t="s">
        <v>158</v>
      </c>
      <c r="G65" s="3" t="n">
        <v>2</v>
      </c>
      <c r="H65" s="3" t="n">
        <v>9</v>
      </c>
      <c r="I65" s="22" t="n">
        <v>41793</v>
      </c>
      <c r="J65" s="22" t="n">
        <v>41798</v>
      </c>
      <c r="K65" s="43" t="n">
        <v>5</v>
      </c>
      <c r="L65" s="1" t="n">
        <v>5</v>
      </c>
      <c r="M65" s="3" t="s">
        <v>32</v>
      </c>
      <c r="N65" s="3" t="s">
        <v>102</v>
      </c>
      <c r="O65" s="3" t="s">
        <v>243</v>
      </c>
      <c r="P65" s="2" t="s">
        <v>332</v>
      </c>
      <c r="Q65" s="1" t="s">
        <v>30</v>
      </c>
      <c r="R65" s="1" t="s">
        <v>35</v>
      </c>
      <c r="S65" s="3" t="n">
        <v>0</v>
      </c>
      <c r="T65" s="3" t="n">
        <v>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</v>
      </c>
      <c r="Z65" s="3" t="n">
        <v>0</v>
      </c>
      <c r="AA65" s="3" t="n">
        <v>1</v>
      </c>
    </row>
    <row r="66" customFormat="false" ht="14.25" hidden="false" customHeight="false" outlineLevel="0" collapsed="false">
      <c r="A66" s="1" t="n">
        <v>2014</v>
      </c>
      <c r="B66" s="7" t="s">
        <v>322</v>
      </c>
      <c r="C66" s="7" t="n">
        <v>2</v>
      </c>
      <c r="D66" s="7" t="s">
        <v>294</v>
      </c>
      <c r="E66" s="7" t="s">
        <v>294</v>
      </c>
      <c r="F66" s="3" t="s">
        <v>326</v>
      </c>
      <c r="G66" s="3" t="n">
        <v>3</v>
      </c>
      <c r="H66" s="3" t="n">
        <v>11</v>
      </c>
      <c r="I66" s="22" t="n">
        <v>41793</v>
      </c>
      <c r="J66" s="22" t="n">
        <v>41798</v>
      </c>
      <c r="K66" s="43" t="n">
        <v>5</v>
      </c>
      <c r="L66" s="1" t="n">
        <v>5</v>
      </c>
      <c r="M66" s="3" t="s">
        <v>32</v>
      </c>
      <c r="N66" s="3" t="s">
        <v>102</v>
      </c>
      <c r="O66" s="3" t="s">
        <v>38</v>
      </c>
      <c r="P66" s="2" t="s">
        <v>333</v>
      </c>
      <c r="Q66" s="1" t="s">
        <v>30</v>
      </c>
      <c r="R66" s="1" t="s">
        <v>31</v>
      </c>
      <c r="S66" s="3" t="n">
        <v>1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1</v>
      </c>
    </row>
    <row r="67" customFormat="false" ht="14.25" hidden="false" customHeight="false" outlineLevel="0" collapsed="false">
      <c r="A67" s="1" t="n">
        <v>2014</v>
      </c>
      <c r="B67" s="7" t="s">
        <v>322</v>
      </c>
      <c r="C67" s="7" t="n">
        <v>2</v>
      </c>
      <c r="D67" s="7" t="s">
        <v>296</v>
      </c>
      <c r="E67" s="7" t="s">
        <v>295</v>
      </c>
      <c r="F67" s="3" t="s">
        <v>330</v>
      </c>
      <c r="G67" s="3" t="n">
        <v>3</v>
      </c>
      <c r="H67" s="3" t="n">
        <v>12</v>
      </c>
      <c r="I67" s="22" t="n">
        <v>41794</v>
      </c>
      <c r="J67" s="22" t="n">
        <v>41799</v>
      </c>
      <c r="K67" s="43" t="n">
        <v>5</v>
      </c>
      <c r="L67" s="1" t="n">
        <v>5</v>
      </c>
      <c r="M67" s="3" t="s">
        <v>32</v>
      </c>
      <c r="N67" s="3" t="s">
        <v>207</v>
      </c>
      <c r="O67" s="3" t="s">
        <v>268</v>
      </c>
      <c r="P67" s="2" t="s">
        <v>334</v>
      </c>
      <c r="Q67" s="1" t="s">
        <v>30</v>
      </c>
      <c r="R67" s="1" t="s">
        <v>35</v>
      </c>
      <c r="S67" s="3" t="n">
        <v>0</v>
      </c>
      <c r="T67" s="3" t="n">
        <v>1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1</v>
      </c>
      <c r="Z67" s="3" t="n">
        <v>0</v>
      </c>
      <c r="AA67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D2565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1" topLeftCell="A2542" activePane="bottomLeft" state="frozen"/>
      <selection pane="topLeft" activeCell="L1" activeCellId="0" sqref="L1"/>
      <selection pane="bottomLeft" activeCell="R2555" activeCellId="0" sqref="R2555"/>
    </sheetView>
  </sheetViews>
  <sheetFormatPr defaultColWidth="9.12890625" defaultRowHeight="14.25" customHeight="false" zeroHeight="false" outlineLevelRow="0" outlineLevelCol="0"/>
  <cols>
    <col collapsed="false" customWidth="true" hidden="false" outlineLevel="0" max="1" min="1" style="1" width="8.26"/>
    <col collapsed="false" customWidth="true" hidden="false" outlineLevel="0" max="2" min="2" style="7" width="5.87"/>
    <col collapsed="false" customWidth="true" hidden="false" outlineLevel="0" max="3" min="3" style="7" width="7.15"/>
    <col collapsed="false" customWidth="true" hidden="false" outlineLevel="0" max="5" min="4" style="7" width="6"/>
    <col collapsed="false" customWidth="true" hidden="false" outlineLevel="0" max="6" min="6" style="3" width="8.86"/>
    <col collapsed="false" customWidth="true" hidden="false" outlineLevel="0" max="7" min="7" style="3" width="4.4"/>
    <col collapsed="false" customWidth="false" hidden="false" outlineLevel="0" max="8" min="8" style="3" width="9.12"/>
    <col collapsed="false" customWidth="true" hidden="false" outlineLevel="0" max="10" min="9" style="3" width="11"/>
    <col collapsed="false" customWidth="true" hidden="false" outlineLevel="0" max="12" min="11" style="3" width="8.86"/>
    <col collapsed="false" customWidth="true" hidden="false" outlineLevel="0" max="13" min="13" style="3" width="16.13"/>
    <col collapsed="false" customWidth="true" hidden="false" outlineLevel="0" max="14" min="14" style="3" width="17.26"/>
    <col collapsed="false" customWidth="true" hidden="false" outlineLevel="0" max="15" min="15" style="3" width="18.73"/>
    <col collapsed="false" customWidth="true" hidden="false" outlineLevel="0" max="16" min="16" style="3" width="26.13"/>
    <col collapsed="false" customWidth="true" hidden="false" outlineLevel="0" max="17" min="17" style="1" width="8.4"/>
    <col collapsed="false" customWidth="true" hidden="false" outlineLevel="0" max="18" min="18" style="1" width="6.13"/>
    <col collapsed="false" customWidth="true" hidden="false" outlineLevel="0" max="23" min="19" style="3" width="8"/>
    <col collapsed="false" customWidth="true" hidden="false" outlineLevel="0" max="24" min="24" style="3" width="9.26"/>
    <col collapsed="false" customWidth="true" hidden="false" outlineLevel="0" max="25" min="25" style="3" width="8.4"/>
    <col collapsed="false" customWidth="true" hidden="false" outlineLevel="0" max="26" min="26" style="3" width="6.26"/>
    <col collapsed="false" customWidth="false" hidden="false" outlineLevel="0" max="27" min="27" style="3" width="9.12"/>
    <col collapsed="false" customWidth="true" hidden="false" outlineLevel="0" max="28" min="28" style="3" width="9.6"/>
    <col collapsed="false" customWidth="true" hidden="false" outlineLevel="0" max="29" min="29" style="3" width="11.15"/>
    <col collapsed="false" customWidth="false" hidden="false" outlineLevel="0" max="16384" min="30" style="3" width="9.12"/>
  </cols>
  <sheetData>
    <row r="1" customFormat="false" ht="40.5" hidden="false" customHeight="true" outlineLevel="0" collapsed="false">
      <c r="A1" s="4" t="s">
        <v>286</v>
      </c>
      <c r="B1" s="4" t="s">
        <v>287</v>
      </c>
      <c r="C1" s="4" t="s">
        <v>289</v>
      </c>
      <c r="D1" s="4" t="s">
        <v>291</v>
      </c>
      <c r="E1" s="4" t="s">
        <v>297</v>
      </c>
      <c r="F1" s="4" t="s">
        <v>299</v>
      </c>
      <c r="G1" s="4" t="s">
        <v>301</v>
      </c>
      <c r="H1" s="4" t="s">
        <v>303</v>
      </c>
      <c r="I1" s="4" t="s">
        <v>304</v>
      </c>
      <c r="J1" s="4" t="s">
        <v>305</v>
      </c>
      <c r="K1" s="4" t="s">
        <v>306</v>
      </c>
      <c r="L1" s="4" t="s">
        <v>307</v>
      </c>
      <c r="M1" s="4" t="s">
        <v>308</v>
      </c>
      <c r="N1" s="4" t="s">
        <v>309</v>
      </c>
      <c r="O1" s="4" t="s">
        <v>310</v>
      </c>
      <c r="P1" s="4" t="s">
        <v>311</v>
      </c>
      <c r="Q1" s="4" t="s">
        <v>312</v>
      </c>
      <c r="R1" s="4" t="s">
        <v>313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314</v>
      </c>
      <c r="AB1" s="6" t="s">
        <v>316</v>
      </c>
      <c r="AC1" s="4" t="s">
        <v>318</v>
      </c>
      <c r="AD1" s="4" t="s">
        <v>320</v>
      </c>
    </row>
    <row r="2" customFormat="false" ht="14.25" hidden="false" customHeight="false" outlineLevel="0" collapsed="false">
      <c r="A2" s="1" t="n">
        <v>2009</v>
      </c>
      <c r="B2" s="7" t="s">
        <v>322</v>
      </c>
      <c r="C2" s="7" t="n">
        <v>3</v>
      </c>
      <c r="D2" s="7" t="s">
        <v>293</v>
      </c>
      <c r="E2" s="7" t="s">
        <v>293</v>
      </c>
      <c r="F2" s="7" t="s">
        <v>26</v>
      </c>
      <c r="G2" s="1" t="n">
        <v>2</v>
      </c>
      <c r="H2" s="1" t="n">
        <v>7</v>
      </c>
      <c r="I2" s="10" t="n">
        <v>40052</v>
      </c>
      <c r="J2" s="10" t="n">
        <v>40057</v>
      </c>
      <c r="K2" s="1" t="n">
        <v>5</v>
      </c>
      <c r="L2" s="1" t="n">
        <v>5</v>
      </c>
      <c r="M2" s="3" t="s">
        <v>27</v>
      </c>
      <c r="N2" s="3" t="s">
        <v>28</v>
      </c>
      <c r="O2" s="8" t="s">
        <v>29</v>
      </c>
      <c r="P2" s="2" t="str">
        <f aca="false">CONCATENATE(N2," ",O2)</f>
        <v>Robertus lividus</v>
      </c>
      <c r="Q2" s="1" t="s">
        <v>30</v>
      </c>
      <c r="R2" s="1" t="s">
        <v>31</v>
      </c>
      <c r="S2" s="1" t="n">
        <v>1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3" t="n">
        <f aca="false">SUM(S2:T2)</f>
        <v>1</v>
      </c>
      <c r="Z2" s="3" t="n">
        <f aca="false">SUM(U2:W2)</f>
        <v>0</v>
      </c>
      <c r="AA2" s="3" t="n">
        <f aca="false">SUM(S2:X2)</f>
        <v>1</v>
      </c>
      <c r="AB2" s="9" t="n">
        <f aca="false">(AA2/(K2*L2)*25)*4</f>
        <v>4</v>
      </c>
    </row>
    <row r="3" customFormat="false" ht="14.25" hidden="false" customHeight="false" outlineLevel="0" collapsed="false">
      <c r="A3" s="1" t="n">
        <v>2009</v>
      </c>
      <c r="B3" s="7" t="s">
        <v>322</v>
      </c>
      <c r="C3" s="7" t="n">
        <v>3</v>
      </c>
      <c r="D3" s="7" t="s">
        <v>293</v>
      </c>
      <c r="E3" s="7" t="s">
        <v>293</v>
      </c>
      <c r="F3" s="7" t="s">
        <v>26</v>
      </c>
      <c r="G3" s="1" t="n">
        <v>2</v>
      </c>
      <c r="H3" s="1" t="n">
        <v>7</v>
      </c>
      <c r="I3" s="10" t="n">
        <v>40052</v>
      </c>
      <c r="J3" s="10" t="n">
        <v>40057</v>
      </c>
      <c r="K3" s="1" t="n">
        <v>5</v>
      </c>
      <c r="L3" s="1" t="n">
        <v>5</v>
      </c>
      <c r="M3" s="3" t="s">
        <v>32</v>
      </c>
      <c r="N3" s="3" t="s">
        <v>33</v>
      </c>
      <c r="O3" s="8" t="s">
        <v>34</v>
      </c>
      <c r="P3" s="2" t="str">
        <f aca="false">CONCATENATE(N3," ",O3)</f>
        <v>Tenuiphantes nigriventris</v>
      </c>
      <c r="Q3" s="1" t="s">
        <v>30</v>
      </c>
      <c r="R3" s="1" t="s">
        <v>35</v>
      </c>
      <c r="S3" s="1" t="n">
        <v>0</v>
      </c>
      <c r="T3" s="1" t="n">
        <v>1</v>
      </c>
      <c r="U3" s="1" t="n">
        <v>0</v>
      </c>
      <c r="V3" s="1" t="n">
        <v>0</v>
      </c>
      <c r="W3" s="1" t="n">
        <v>0</v>
      </c>
      <c r="X3" s="1" t="n">
        <v>0</v>
      </c>
      <c r="Y3" s="3" t="n">
        <f aca="false">SUM(S3:T3)</f>
        <v>1</v>
      </c>
      <c r="Z3" s="3" t="n">
        <f aca="false">SUM(U3:W3)</f>
        <v>0</v>
      </c>
      <c r="AA3" s="3" t="n">
        <f aca="false">SUM(S3:X3)</f>
        <v>1</v>
      </c>
      <c r="AB3" s="11" t="n">
        <f aca="false">(AA3/(K3*L3)*25)*4</f>
        <v>4</v>
      </c>
    </row>
    <row r="4" customFormat="false" ht="14.25" hidden="false" customHeight="false" outlineLevel="0" collapsed="false">
      <c r="A4" s="1" t="n">
        <v>2009</v>
      </c>
      <c r="B4" s="7" t="s">
        <v>322</v>
      </c>
      <c r="C4" s="7" t="n">
        <v>3</v>
      </c>
      <c r="D4" s="7" t="s">
        <v>293</v>
      </c>
      <c r="E4" s="7" t="s">
        <v>293</v>
      </c>
      <c r="F4" s="7" t="s">
        <v>26</v>
      </c>
      <c r="G4" s="1" t="n">
        <v>1</v>
      </c>
      <c r="H4" s="1" t="n">
        <v>3</v>
      </c>
      <c r="I4" s="10" t="n">
        <v>40052</v>
      </c>
      <c r="J4" s="10" t="n">
        <v>40057</v>
      </c>
      <c r="K4" s="1" t="n">
        <v>5</v>
      </c>
      <c r="L4" s="1" t="n">
        <v>5</v>
      </c>
      <c r="M4" s="3" t="s">
        <v>27</v>
      </c>
      <c r="N4" s="3" t="s">
        <v>28</v>
      </c>
      <c r="O4" s="8" t="s">
        <v>29</v>
      </c>
      <c r="P4" s="2" t="str">
        <f aca="false">CONCATENATE(N4," ",O4)</f>
        <v>Robertus lividus</v>
      </c>
      <c r="Q4" s="1" t="s">
        <v>30</v>
      </c>
      <c r="R4" s="1" t="s">
        <v>31</v>
      </c>
      <c r="S4" s="1" t="n">
        <v>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3" t="n">
        <f aca="false">SUM(S4:T4)</f>
        <v>1</v>
      </c>
      <c r="Z4" s="3" t="n">
        <f aca="false">SUM(U4:W4)</f>
        <v>0</v>
      </c>
      <c r="AA4" s="3" t="n">
        <f aca="false">SUM(S4:X4)</f>
        <v>1</v>
      </c>
      <c r="AB4" s="11" t="n">
        <f aca="false">(AA4/(K4*L4)*25)*4</f>
        <v>4</v>
      </c>
    </row>
    <row r="5" customFormat="false" ht="14.25" hidden="false" customHeight="false" outlineLevel="0" collapsed="false">
      <c r="A5" s="1" t="n">
        <v>2009</v>
      </c>
      <c r="B5" s="7" t="s">
        <v>322</v>
      </c>
      <c r="C5" s="7" t="n">
        <v>3</v>
      </c>
      <c r="D5" s="7" t="s">
        <v>293</v>
      </c>
      <c r="E5" s="7" t="s">
        <v>293</v>
      </c>
      <c r="F5" s="7" t="s">
        <v>26</v>
      </c>
      <c r="G5" s="1" t="n">
        <v>1</v>
      </c>
      <c r="H5" s="1" t="n">
        <v>3</v>
      </c>
      <c r="I5" s="10" t="n">
        <v>40052</v>
      </c>
      <c r="J5" s="10" t="n">
        <v>40057</v>
      </c>
      <c r="K5" s="1" t="n">
        <v>5</v>
      </c>
      <c r="L5" s="1" t="n">
        <v>5</v>
      </c>
      <c r="M5" s="3" t="s">
        <v>32</v>
      </c>
      <c r="N5" s="3" t="s">
        <v>39</v>
      </c>
      <c r="O5" s="8" t="s">
        <v>40</v>
      </c>
      <c r="P5" s="2" t="str">
        <f aca="false">CONCATENATE(N5," ",O5)</f>
        <v>Helophora insignis</v>
      </c>
      <c r="Q5" s="1" t="s">
        <v>30</v>
      </c>
      <c r="R5" s="1" t="s">
        <v>31</v>
      </c>
      <c r="S5" s="1" t="n">
        <v>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3" t="n">
        <f aca="false">SUM(S5:T5)</f>
        <v>1</v>
      </c>
      <c r="Z5" s="3" t="n">
        <f aca="false">SUM(U5:W5)</f>
        <v>0</v>
      </c>
      <c r="AA5" s="3" t="n">
        <f aca="false">SUM(S5:X5)</f>
        <v>1</v>
      </c>
      <c r="AB5" s="11" t="n">
        <f aca="false">(AA5/(K5*L5)*25)*4</f>
        <v>4</v>
      </c>
    </row>
    <row r="6" customFormat="false" ht="14.25" hidden="false" customHeight="false" outlineLevel="0" collapsed="false">
      <c r="A6" s="1" t="n">
        <v>2009</v>
      </c>
      <c r="B6" s="7" t="s">
        <v>322</v>
      </c>
      <c r="C6" s="7" t="n">
        <v>3</v>
      </c>
      <c r="D6" s="7" t="s">
        <v>293</v>
      </c>
      <c r="E6" s="7" t="s">
        <v>293</v>
      </c>
      <c r="F6" s="7" t="s">
        <v>26</v>
      </c>
      <c r="G6" s="1" t="n">
        <v>3</v>
      </c>
      <c r="H6" s="1" t="n">
        <v>14</v>
      </c>
      <c r="I6" s="10" t="n">
        <v>40052</v>
      </c>
      <c r="J6" s="10" t="n">
        <v>40057</v>
      </c>
      <c r="K6" s="1" t="n">
        <v>5</v>
      </c>
      <c r="L6" s="1" t="n">
        <v>4</v>
      </c>
      <c r="M6" s="3" t="s">
        <v>27</v>
      </c>
      <c r="N6" s="3" t="s">
        <v>28</v>
      </c>
      <c r="O6" s="8" t="s">
        <v>29</v>
      </c>
      <c r="P6" s="2" t="str">
        <f aca="false">CONCATENATE(N6," ",O6)</f>
        <v>Robertus lividus</v>
      </c>
      <c r="Q6" s="1" t="s">
        <v>30</v>
      </c>
      <c r="R6" s="1" t="s">
        <v>31</v>
      </c>
      <c r="S6" s="1" t="n">
        <v>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3" t="n">
        <f aca="false">SUM(S6:T6)</f>
        <v>1</v>
      </c>
      <c r="Z6" s="3" t="n">
        <f aca="false">SUM(U6:W6)</f>
        <v>0</v>
      </c>
      <c r="AA6" s="3" t="n">
        <f aca="false">SUM(S6:X6)</f>
        <v>1</v>
      </c>
      <c r="AB6" s="11" t="n">
        <f aca="false">(AA6/(K6*L6)*25)*4</f>
        <v>5</v>
      </c>
    </row>
    <row r="7" customFormat="false" ht="14.25" hidden="false" customHeight="false" outlineLevel="0" collapsed="false">
      <c r="A7" s="1" t="n">
        <v>2009</v>
      </c>
      <c r="B7" s="7" t="s">
        <v>322</v>
      </c>
      <c r="C7" s="7" t="n">
        <v>3</v>
      </c>
      <c r="D7" s="7" t="s">
        <v>293</v>
      </c>
      <c r="E7" s="7" t="s">
        <v>293</v>
      </c>
      <c r="F7" s="7" t="s">
        <v>26</v>
      </c>
      <c r="G7" s="1" t="n">
        <v>3</v>
      </c>
      <c r="H7" s="1" t="n">
        <v>14</v>
      </c>
      <c r="I7" s="10" t="n">
        <v>40052</v>
      </c>
      <c r="J7" s="10" t="n">
        <v>40057</v>
      </c>
      <c r="K7" s="1" t="n">
        <v>5</v>
      </c>
      <c r="L7" s="1" t="n">
        <v>4</v>
      </c>
      <c r="M7" s="3" t="s">
        <v>32</v>
      </c>
      <c r="N7" s="3" t="s">
        <v>33</v>
      </c>
      <c r="O7" s="8" t="s">
        <v>34</v>
      </c>
      <c r="P7" s="2" t="str">
        <f aca="false">CONCATENATE(N7," ",O7)</f>
        <v>Tenuiphantes nigriventris</v>
      </c>
      <c r="Q7" s="1" t="s">
        <v>30</v>
      </c>
      <c r="R7" s="1" t="s">
        <v>35</v>
      </c>
      <c r="S7" s="1" t="n">
        <v>0</v>
      </c>
      <c r="T7" s="1" t="n">
        <v>1</v>
      </c>
      <c r="U7" s="1" t="n">
        <v>0</v>
      </c>
      <c r="V7" s="1" t="n">
        <v>0</v>
      </c>
      <c r="W7" s="1" t="n">
        <v>0</v>
      </c>
      <c r="X7" s="1" t="n">
        <v>0</v>
      </c>
      <c r="Y7" s="3" t="n">
        <f aca="false">SUM(S7:T7)</f>
        <v>1</v>
      </c>
      <c r="Z7" s="3" t="n">
        <f aca="false">SUM(U7:W7)</f>
        <v>0</v>
      </c>
      <c r="AA7" s="3" t="n">
        <f aca="false">SUM(S7:X7)</f>
        <v>1</v>
      </c>
      <c r="AB7" s="11" t="n">
        <f aca="false">(AA7/(K7*L7)*25)*4</f>
        <v>5</v>
      </c>
    </row>
    <row r="8" customFormat="false" ht="14.25" hidden="false" customHeight="false" outlineLevel="0" collapsed="false">
      <c r="A8" s="1" t="n">
        <v>2009</v>
      </c>
      <c r="B8" s="7" t="s">
        <v>322</v>
      </c>
      <c r="C8" s="7" t="n">
        <v>3</v>
      </c>
      <c r="D8" s="7" t="s">
        <v>293</v>
      </c>
      <c r="E8" s="7" t="s">
        <v>293</v>
      </c>
      <c r="F8" s="7" t="s">
        <v>26</v>
      </c>
      <c r="G8" s="1" t="n">
        <v>3</v>
      </c>
      <c r="H8" s="1" t="n">
        <v>14</v>
      </c>
      <c r="I8" s="10" t="n">
        <v>40052</v>
      </c>
      <c r="J8" s="10" t="n">
        <v>40057</v>
      </c>
      <c r="K8" s="1" t="n">
        <v>5</v>
      </c>
      <c r="L8" s="1" t="n">
        <v>4</v>
      </c>
      <c r="M8" s="3" t="s">
        <v>41</v>
      </c>
      <c r="N8" s="3" t="s">
        <v>42</v>
      </c>
      <c r="O8" s="12" t="s">
        <v>43</v>
      </c>
      <c r="P8" s="2" t="str">
        <f aca="false">CONCATENATE(N8," ",O8)</f>
        <v>Agroeca proxima</v>
      </c>
      <c r="Q8" s="1" t="s">
        <v>30</v>
      </c>
      <c r="R8" s="1" t="s">
        <v>31</v>
      </c>
      <c r="S8" s="1" t="n">
        <v>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3" t="n">
        <f aca="false">SUM(S8:T8)</f>
        <v>1</v>
      </c>
      <c r="Z8" s="3" t="n">
        <f aca="false">SUM(U8:W8)</f>
        <v>0</v>
      </c>
      <c r="AA8" s="3" t="n">
        <f aca="false">SUM(S8:X8)</f>
        <v>1</v>
      </c>
      <c r="AB8" s="11" t="n">
        <f aca="false">(AA8/(K8*L8)*25)*4</f>
        <v>5</v>
      </c>
    </row>
    <row r="9" customFormat="false" ht="14.25" hidden="false" customHeight="false" outlineLevel="0" collapsed="false">
      <c r="A9" s="1" t="n">
        <v>2009</v>
      </c>
      <c r="B9" s="7" t="s">
        <v>322</v>
      </c>
      <c r="C9" s="7" t="n">
        <v>3</v>
      </c>
      <c r="D9" s="7" t="s">
        <v>294</v>
      </c>
      <c r="E9" s="7" t="s">
        <v>294</v>
      </c>
      <c r="F9" s="7" t="s">
        <v>51</v>
      </c>
      <c r="G9" s="1" t="n">
        <v>1</v>
      </c>
      <c r="H9" s="1" t="n">
        <v>5</v>
      </c>
      <c r="I9" s="10" t="n">
        <v>40051</v>
      </c>
      <c r="J9" s="10" t="n">
        <v>40056</v>
      </c>
      <c r="K9" s="1" t="n">
        <v>5</v>
      </c>
      <c r="L9" s="1" t="n">
        <v>5</v>
      </c>
      <c r="M9" s="3" t="s">
        <v>41</v>
      </c>
      <c r="N9" s="3" t="s">
        <v>42</v>
      </c>
      <c r="O9" s="12" t="s">
        <v>43</v>
      </c>
      <c r="P9" s="2" t="str">
        <f aca="false">CONCATENATE(N9," ",O9)</f>
        <v>Agroeca proxima</v>
      </c>
      <c r="Q9" s="1" t="s">
        <v>30</v>
      </c>
      <c r="R9" s="1" t="s">
        <v>31</v>
      </c>
      <c r="S9" s="1" t="n">
        <v>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3" t="n">
        <f aca="false">SUM(S9:T9)</f>
        <v>1</v>
      </c>
      <c r="Z9" s="3" t="n">
        <f aca="false">SUM(U9:W9)</f>
        <v>0</v>
      </c>
      <c r="AA9" s="3" t="n">
        <f aca="false">SUM(S9:X9)</f>
        <v>1</v>
      </c>
      <c r="AB9" s="11" t="n">
        <f aca="false">(AA9/(K9*L9)*25)*4</f>
        <v>4</v>
      </c>
    </row>
    <row r="10" customFormat="false" ht="14.25" hidden="false" customHeight="false" outlineLevel="0" collapsed="false">
      <c r="A10" s="1" t="n">
        <v>2009</v>
      </c>
      <c r="B10" s="7" t="s">
        <v>322</v>
      </c>
      <c r="C10" s="7" t="n">
        <v>3</v>
      </c>
      <c r="D10" s="7" t="s">
        <v>294</v>
      </c>
      <c r="E10" s="7" t="s">
        <v>294</v>
      </c>
      <c r="F10" s="7" t="s">
        <v>51</v>
      </c>
      <c r="G10" s="1" t="n">
        <v>1</v>
      </c>
      <c r="H10" s="1" t="n">
        <v>5</v>
      </c>
      <c r="I10" s="10" t="n">
        <v>40051</v>
      </c>
      <c r="J10" s="10" t="n">
        <v>40056</v>
      </c>
      <c r="K10" s="1" t="n">
        <v>5</v>
      </c>
      <c r="L10" s="1" t="n">
        <v>5</v>
      </c>
      <c r="M10" s="3" t="s">
        <v>41</v>
      </c>
      <c r="N10" s="3" t="s">
        <v>42</v>
      </c>
      <c r="O10" s="12" t="s">
        <v>43</v>
      </c>
      <c r="P10" s="2" t="str">
        <f aca="false">CONCATENATE(N10," ",O10)</f>
        <v>Agroeca proxima</v>
      </c>
      <c r="Q10" s="1" t="s">
        <v>30</v>
      </c>
      <c r="R10" s="1" t="s">
        <v>35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0</v>
      </c>
      <c r="X10" s="1" t="n">
        <v>0</v>
      </c>
      <c r="Y10" s="3" t="n">
        <f aca="false">SUM(S10:T10)</f>
        <v>1</v>
      </c>
      <c r="Z10" s="3" t="n">
        <f aca="false">SUM(U10:W10)</f>
        <v>0</v>
      </c>
      <c r="AA10" s="3" t="n">
        <f aca="false">SUM(S10:X10)</f>
        <v>1</v>
      </c>
      <c r="AB10" s="11" t="n">
        <f aca="false">(AA10/(K10*L10)*25)*4</f>
        <v>4</v>
      </c>
    </row>
    <row r="11" customFormat="false" ht="14.25" hidden="false" customHeight="false" outlineLevel="0" collapsed="false">
      <c r="A11" s="1" t="n">
        <v>2009</v>
      </c>
      <c r="B11" s="7" t="s">
        <v>322</v>
      </c>
      <c r="C11" s="7" t="n">
        <v>3</v>
      </c>
      <c r="D11" s="7" t="s">
        <v>293</v>
      </c>
      <c r="E11" s="7" t="s">
        <v>293</v>
      </c>
      <c r="F11" s="7" t="s">
        <v>26</v>
      </c>
      <c r="G11" s="1" t="n">
        <v>1</v>
      </c>
      <c r="H11" s="1" t="n">
        <v>5</v>
      </c>
      <c r="I11" s="10" t="n">
        <v>40052</v>
      </c>
      <c r="J11" s="10" t="n">
        <v>40057</v>
      </c>
      <c r="K11" s="1" t="n">
        <v>5</v>
      </c>
      <c r="L11" s="1" t="n">
        <v>5</v>
      </c>
      <c r="M11" s="3" t="s">
        <v>27</v>
      </c>
      <c r="N11" s="3" t="s">
        <v>28</v>
      </c>
      <c r="O11" s="8" t="s">
        <v>29</v>
      </c>
      <c r="P11" s="2" t="str">
        <f aca="false">CONCATENATE(N11," ",O11)</f>
        <v>Robertus lividus</v>
      </c>
      <c r="Q11" s="1" t="s">
        <v>30</v>
      </c>
      <c r="R11" s="1" t="s">
        <v>31</v>
      </c>
      <c r="S11" s="1" t="n">
        <v>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3" t="n">
        <f aca="false">SUM(S11:T11)</f>
        <v>1</v>
      </c>
      <c r="Z11" s="3" t="n">
        <f aca="false">SUM(U11:W11)</f>
        <v>0</v>
      </c>
      <c r="AA11" s="3" t="n">
        <f aca="false">SUM(S11:X11)</f>
        <v>1</v>
      </c>
      <c r="AB11" s="11" t="n">
        <f aca="false">(AA11/(K11*L11)*25)*4</f>
        <v>4</v>
      </c>
    </row>
    <row r="12" customFormat="false" ht="14.25" hidden="false" customHeight="false" outlineLevel="0" collapsed="false">
      <c r="A12" s="1" t="n">
        <v>2009</v>
      </c>
      <c r="B12" s="7" t="s">
        <v>322</v>
      </c>
      <c r="C12" s="7" t="n">
        <v>3</v>
      </c>
      <c r="D12" s="7" t="s">
        <v>293</v>
      </c>
      <c r="E12" s="7" t="s">
        <v>293</v>
      </c>
      <c r="F12" s="7" t="s">
        <v>26</v>
      </c>
      <c r="G12" s="1" t="n">
        <v>3</v>
      </c>
      <c r="H12" s="1" t="n">
        <v>11</v>
      </c>
      <c r="I12" s="10" t="n">
        <v>40052</v>
      </c>
      <c r="J12" s="10" t="n">
        <v>40057</v>
      </c>
      <c r="K12" s="1" t="n">
        <v>5</v>
      </c>
      <c r="L12" s="1" t="n">
        <v>4</v>
      </c>
      <c r="M12" s="3" t="s">
        <v>32</v>
      </c>
      <c r="N12" s="3" t="s">
        <v>39</v>
      </c>
      <c r="O12" s="8" t="s">
        <v>40</v>
      </c>
      <c r="P12" s="2" t="str">
        <f aca="false">CONCATENATE(N12," ",O12)</f>
        <v>Helophora insignis</v>
      </c>
      <c r="Q12" s="1" t="s">
        <v>30</v>
      </c>
      <c r="R12" s="1" t="s">
        <v>35</v>
      </c>
      <c r="S12" s="1" t="n">
        <v>0</v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3" t="n">
        <f aca="false">SUM(S12:T12)</f>
        <v>1</v>
      </c>
      <c r="Z12" s="3" t="n">
        <f aca="false">SUM(U12:W12)</f>
        <v>0</v>
      </c>
      <c r="AA12" s="3" t="n">
        <f aca="false">SUM(S12:X12)</f>
        <v>1</v>
      </c>
      <c r="AB12" s="11" t="n">
        <f aca="false">(AA12/(K12*L12)*25)*4</f>
        <v>5</v>
      </c>
    </row>
    <row r="13" customFormat="false" ht="14.25" hidden="false" customHeight="false" outlineLevel="0" collapsed="false">
      <c r="A13" s="1" t="n">
        <v>2009</v>
      </c>
      <c r="B13" s="7" t="s">
        <v>322</v>
      </c>
      <c r="C13" s="7" t="n">
        <v>3</v>
      </c>
      <c r="D13" s="7" t="s">
        <v>293</v>
      </c>
      <c r="E13" s="7" t="s">
        <v>293</v>
      </c>
      <c r="F13" s="7" t="s">
        <v>26</v>
      </c>
      <c r="G13" s="1" t="n">
        <v>1</v>
      </c>
      <c r="H13" s="1" t="n">
        <v>2</v>
      </c>
      <c r="I13" s="10" t="n">
        <v>40052</v>
      </c>
      <c r="J13" s="10" t="n">
        <v>40057</v>
      </c>
      <c r="K13" s="1" t="n">
        <v>5</v>
      </c>
      <c r="L13" s="1" t="n">
        <v>5</v>
      </c>
      <c r="M13" s="3" t="s">
        <v>32</v>
      </c>
      <c r="N13" s="3" t="s">
        <v>55</v>
      </c>
      <c r="O13" s="3" t="s">
        <v>56</v>
      </c>
      <c r="P13" s="2" t="str">
        <f aca="false">CONCATENATE(N13," ",O13)</f>
        <v>Maro minutus</v>
      </c>
      <c r="Q13" s="1" t="s">
        <v>30</v>
      </c>
      <c r="R13" s="1" t="s">
        <v>31</v>
      </c>
      <c r="S13" s="1" t="n">
        <v>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3" t="n">
        <f aca="false">SUM(S13:T13)</f>
        <v>1</v>
      </c>
      <c r="Z13" s="3" t="n">
        <f aca="false">SUM(U13:W13)</f>
        <v>0</v>
      </c>
      <c r="AA13" s="3" t="n">
        <f aca="false">SUM(S13:X13)</f>
        <v>1</v>
      </c>
      <c r="AB13" s="11" t="n">
        <f aca="false">(AA13/(K13*L13)*25)*4</f>
        <v>4</v>
      </c>
    </row>
    <row r="14" customFormat="false" ht="14.25" hidden="false" customHeight="false" outlineLevel="0" collapsed="false">
      <c r="A14" s="1" t="n">
        <v>2009</v>
      </c>
      <c r="B14" s="7" t="s">
        <v>322</v>
      </c>
      <c r="C14" s="7" t="n">
        <v>3</v>
      </c>
      <c r="D14" s="7" t="s">
        <v>293</v>
      </c>
      <c r="E14" s="7" t="s">
        <v>293</v>
      </c>
      <c r="F14" s="7" t="s">
        <v>26</v>
      </c>
      <c r="G14" s="1" t="n">
        <v>2</v>
      </c>
      <c r="H14" s="1" t="n">
        <v>10</v>
      </c>
      <c r="I14" s="10" t="n">
        <v>40052</v>
      </c>
      <c r="J14" s="10" t="n">
        <v>40057</v>
      </c>
      <c r="K14" s="1" t="n">
        <v>5</v>
      </c>
      <c r="L14" s="1" t="n">
        <v>5</v>
      </c>
      <c r="M14" s="13" t="s">
        <v>32</v>
      </c>
      <c r="N14" s="13" t="s">
        <v>58</v>
      </c>
      <c r="O14" s="14" t="s">
        <v>59</v>
      </c>
      <c r="P14" s="2" t="str">
        <f aca="false">CONCATENATE(N14," ",O14)</f>
        <v>Allomengea scopigera</v>
      </c>
      <c r="Q14" s="1" t="s">
        <v>30</v>
      </c>
      <c r="R14" s="1" t="s">
        <v>31</v>
      </c>
      <c r="S14" s="1" t="n">
        <v>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3" t="n">
        <f aca="false">SUM(S14:T14)</f>
        <v>1</v>
      </c>
      <c r="Z14" s="3" t="n">
        <f aca="false">SUM(U14:W14)</f>
        <v>0</v>
      </c>
      <c r="AA14" s="3" t="n">
        <f aca="false">SUM(S14:X14)</f>
        <v>1</v>
      </c>
      <c r="AB14" s="11" t="n">
        <f aca="false">(AA14/(K14*L14)*25)*4</f>
        <v>4</v>
      </c>
    </row>
    <row r="15" customFormat="false" ht="14.25" hidden="false" customHeight="false" outlineLevel="0" collapsed="false">
      <c r="A15" s="1" t="n">
        <v>2009</v>
      </c>
      <c r="B15" s="7" t="s">
        <v>322</v>
      </c>
      <c r="C15" s="7" t="n">
        <v>3</v>
      </c>
      <c r="D15" s="7" t="s">
        <v>293</v>
      </c>
      <c r="E15" s="7" t="s">
        <v>293</v>
      </c>
      <c r="F15" s="7" t="s">
        <v>26</v>
      </c>
      <c r="G15" s="1" t="n">
        <v>2</v>
      </c>
      <c r="H15" s="1" t="n">
        <v>10</v>
      </c>
      <c r="I15" s="10" t="n">
        <v>40052</v>
      </c>
      <c r="J15" s="10" t="n">
        <v>40057</v>
      </c>
      <c r="K15" s="1" t="n">
        <v>5</v>
      </c>
      <c r="L15" s="1" t="n">
        <v>5</v>
      </c>
      <c r="M15" s="3" t="s">
        <v>32</v>
      </c>
      <c r="N15" s="3" t="s">
        <v>33</v>
      </c>
      <c r="O15" s="8" t="s">
        <v>60</v>
      </c>
      <c r="P15" s="2" t="str">
        <f aca="false">CONCATENATE(N15," ",O15)</f>
        <v>Tenuiphantes tenebricola</v>
      </c>
      <c r="Q15" s="1" t="s">
        <v>30</v>
      </c>
      <c r="R15" s="1" t="s">
        <v>31</v>
      </c>
      <c r="S15" s="1" t="n">
        <v>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3" t="n">
        <f aca="false">SUM(S15:T15)</f>
        <v>1</v>
      </c>
      <c r="Z15" s="3" t="n">
        <f aca="false">SUM(U15:W15)</f>
        <v>0</v>
      </c>
      <c r="AA15" s="3" t="n">
        <f aca="false">SUM(S15:X15)</f>
        <v>1</v>
      </c>
      <c r="AB15" s="11" t="n">
        <f aca="false">(AA15/(K15*L15)*25)*4</f>
        <v>4</v>
      </c>
    </row>
    <row r="16" customFormat="false" ht="14.25" hidden="false" customHeight="false" outlineLevel="0" collapsed="false">
      <c r="A16" s="1" t="n">
        <v>2009</v>
      </c>
      <c r="B16" s="7" t="s">
        <v>322</v>
      </c>
      <c r="C16" s="7" t="n">
        <v>3</v>
      </c>
      <c r="D16" s="7" t="s">
        <v>293</v>
      </c>
      <c r="E16" s="7" t="s">
        <v>293</v>
      </c>
      <c r="F16" s="7" t="s">
        <v>26</v>
      </c>
      <c r="G16" s="1" t="n">
        <v>2</v>
      </c>
      <c r="H16" s="1" t="n">
        <v>9</v>
      </c>
      <c r="I16" s="10" t="n">
        <v>40052</v>
      </c>
      <c r="J16" s="10" t="n">
        <v>40057</v>
      </c>
      <c r="K16" s="1" t="n">
        <v>5</v>
      </c>
      <c r="L16" s="1" t="n">
        <v>5</v>
      </c>
      <c r="M16" s="3" t="s">
        <v>27</v>
      </c>
      <c r="N16" s="3" t="s">
        <v>28</v>
      </c>
      <c r="O16" s="8" t="s">
        <v>29</v>
      </c>
      <c r="P16" s="2" t="str">
        <f aca="false">CONCATENATE(N16," ",O16)</f>
        <v>Robertus lividus</v>
      </c>
      <c r="Q16" s="1" t="s">
        <v>30</v>
      </c>
      <c r="R16" s="1" t="s">
        <v>35</v>
      </c>
      <c r="S16" s="1" t="n">
        <v>0</v>
      </c>
      <c r="T16" s="1" t="n">
        <v>1</v>
      </c>
      <c r="U16" s="1" t="n">
        <v>0</v>
      </c>
      <c r="V16" s="1" t="n">
        <v>0</v>
      </c>
      <c r="W16" s="1" t="n">
        <v>0</v>
      </c>
      <c r="X16" s="1" t="n">
        <v>0</v>
      </c>
      <c r="Y16" s="3" t="n">
        <f aca="false">SUM(S16:T16)</f>
        <v>1</v>
      </c>
      <c r="Z16" s="3" t="n">
        <f aca="false">SUM(U16:W16)</f>
        <v>0</v>
      </c>
      <c r="AA16" s="3" t="n">
        <f aca="false">SUM(S16:X16)</f>
        <v>1</v>
      </c>
      <c r="AB16" s="11" t="n">
        <f aca="false">(AA16/(K16*L16)*25)*4</f>
        <v>4</v>
      </c>
    </row>
    <row r="17" customFormat="false" ht="14.25" hidden="false" customHeight="false" outlineLevel="0" collapsed="false">
      <c r="A17" s="1" t="n">
        <v>2009</v>
      </c>
      <c r="B17" s="7" t="s">
        <v>322</v>
      </c>
      <c r="C17" s="7" t="n">
        <v>3</v>
      </c>
      <c r="D17" s="7" t="s">
        <v>293</v>
      </c>
      <c r="E17" s="7" t="s">
        <v>293</v>
      </c>
      <c r="F17" s="7" t="s">
        <v>26</v>
      </c>
      <c r="G17" s="1" t="n">
        <v>1</v>
      </c>
      <c r="H17" s="1" t="n">
        <v>1</v>
      </c>
      <c r="I17" s="10" t="n">
        <v>40052</v>
      </c>
      <c r="J17" s="10" t="n">
        <v>40057</v>
      </c>
      <c r="K17" s="1" t="n">
        <v>5</v>
      </c>
      <c r="L17" s="1" t="n">
        <v>5</v>
      </c>
      <c r="M17" s="3" t="s">
        <v>32</v>
      </c>
      <c r="N17" s="3" t="s">
        <v>33</v>
      </c>
      <c r="O17" s="8" t="s">
        <v>34</v>
      </c>
      <c r="P17" s="2" t="str">
        <f aca="false">CONCATENATE(N17," ",O17)</f>
        <v>Tenuiphantes nigriventris</v>
      </c>
      <c r="Q17" s="1" t="s">
        <v>30</v>
      </c>
      <c r="R17" s="1" t="s">
        <v>31</v>
      </c>
      <c r="S17" s="1" t="n">
        <v>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3" t="n">
        <f aca="false">SUM(S17:T17)</f>
        <v>1</v>
      </c>
      <c r="Z17" s="3" t="n">
        <f aca="false">SUM(U17:W17)</f>
        <v>0</v>
      </c>
      <c r="AA17" s="3" t="n">
        <f aca="false">SUM(S17:X17)</f>
        <v>1</v>
      </c>
      <c r="AB17" s="11" t="n">
        <f aca="false">(AA17/(K17*L17)*25)*4</f>
        <v>4</v>
      </c>
    </row>
    <row r="18" customFormat="false" ht="14.25" hidden="false" customHeight="false" outlineLevel="0" collapsed="false">
      <c r="A18" s="1" t="n">
        <v>2009</v>
      </c>
      <c r="B18" s="7" t="s">
        <v>322</v>
      </c>
      <c r="C18" s="7" t="n">
        <v>3</v>
      </c>
      <c r="D18" s="7" t="s">
        <v>293</v>
      </c>
      <c r="E18" s="7" t="s">
        <v>293</v>
      </c>
      <c r="F18" s="7" t="s">
        <v>26</v>
      </c>
      <c r="G18" s="1" t="n">
        <v>1</v>
      </c>
      <c r="H18" s="1" t="n">
        <v>1</v>
      </c>
      <c r="I18" s="10" t="n">
        <v>40052</v>
      </c>
      <c r="J18" s="10" t="n">
        <v>40057</v>
      </c>
      <c r="K18" s="1" t="n">
        <v>5</v>
      </c>
      <c r="L18" s="1" t="n">
        <v>5</v>
      </c>
      <c r="M18" s="3" t="s">
        <v>32</v>
      </c>
      <c r="N18" s="3" t="s">
        <v>33</v>
      </c>
      <c r="O18" s="8" t="s">
        <v>34</v>
      </c>
      <c r="P18" s="2" t="str">
        <f aca="false">CONCATENATE(N18," ",O18)</f>
        <v>Tenuiphantes nigriventris</v>
      </c>
      <c r="Q18" s="1" t="s">
        <v>30</v>
      </c>
      <c r="R18" s="1" t="s">
        <v>35</v>
      </c>
      <c r="S18" s="1" t="n">
        <v>0</v>
      </c>
      <c r="T18" s="1" t="n">
        <v>2</v>
      </c>
      <c r="U18" s="1" t="n">
        <v>0</v>
      </c>
      <c r="V18" s="1" t="n">
        <v>0</v>
      </c>
      <c r="W18" s="1" t="n">
        <v>0</v>
      </c>
      <c r="X18" s="1" t="n">
        <v>0</v>
      </c>
      <c r="Y18" s="3" t="n">
        <f aca="false">SUM(S18:T18)</f>
        <v>2</v>
      </c>
      <c r="Z18" s="3" t="n">
        <f aca="false">SUM(U18:W18)</f>
        <v>0</v>
      </c>
      <c r="AA18" s="3" t="n">
        <f aca="false">SUM(S18:X18)</f>
        <v>2</v>
      </c>
      <c r="AB18" s="11" t="n">
        <f aca="false">(AA18/(K18*L18)*25)*4</f>
        <v>8</v>
      </c>
    </row>
    <row r="19" customFormat="false" ht="14.25" hidden="false" customHeight="false" outlineLevel="0" collapsed="false">
      <c r="A19" s="1" t="n">
        <v>2009</v>
      </c>
      <c r="B19" s="7" t="s">
        <v>322</v>
      </c>
      <c r="C19" s="7" t="n">
        <v>3</v>
      </c>
      <c r="D19" s="7" t="s">
        <v>293</v>
      </c>
      <c r="E19" s="7" t="s">
        <v>293</v>
      </c>
      <c r="F19" s="7" t="s">
        <v>26</v>
      </c>
      <c r="G19" s="1" t="n">
        <v>1</v>
      </c>
      <c r="H19" s="1" t="n">
        <v>1</v>
      </c>
      <c r="I19" s="10" t="n">
        <v>40052</v>
      </c>
      <c r="J19" s="10" t="n">
        <v>40057</v>
      </c>
      <c r="K19" s="1" t="n">
        <v>5</v>
      </c>
      <c r="L19" s="1" t="n">
        <v>5</v>
      </c>
      <c r="M19" s="13" t="s">
        <v>32</v>
      </c>
      <c r="N19" s="13" t="s">
        <v>58</v>
      </c>
      <c r="O19" s="14" t="s">
        <v>59</v>
      </c>
      <c r="P19" s="2" t="str">
        <f aca="false">CONCATENATE(N19," ",O19)</f>
        <v>Allomengea scopigera</v>
      </c>
      <c r="Q19" s="1" t="s">
        <v>30</v>
      </c>
      <c r="R19" s="1" t="s">
        <v>31</v>
      </c>
      <c r="S19" s="1" t="n">
        <v>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3" t="n">
        <f aca="false">SUM(S19:T19)</f>
        <v>1</v>
      </c>
      <c r="Z19" s="3" t="n">
        <f aca="false">SUM(U19:W19)</f>
        <v>0</v>
      </c>
      <c r="AA19" s="3" t="n">
        <f aca="false">SUM(S19:X19)</f>
        <v>1</v>
      </c>
      <c r="AB19" s="11" t="n">
        <f aca="false">(AA19/(K19*L19)*25)*4</f>
        <v>4</v>
      </c>
    </row>
    <row r="20" customFormat="false" ht="14.25" hidden="false" customHeight="false" outlineLevel="0" collapsed="false">
      <c r="A20" s="1" t="n">
        <v>2009</v>
      </c>
      <c r="B20" s="7" t="s">
        <v>322</v>
      </c>
      <c r="C20" s="7" t="n">
        <v>3</v>
      </c>
      <c r="D20" s="7" t="s">
        <v>293</v>
      </c>
      <c r="E20" s="7" t="s">
        <v>293</v>
      </c>
      <c r="F20" s="7" t="s">
        <v>26</v>
      </c>
      <c r="G20" s="1" t="n">
        <v>1</v>
      </c>
      <c r="H20" s="1" t="n">
        <v>1</v>
      </c>
      <c r="I20" s="10" t="n">
        <v>40052</v>
      </c>
      <c r="J20" s="10" t="n">
        <v>40057</v>
      </c>
      <c r="K20" s="1" t="n">
        <v>5</v>
      </c>
      <c r="L20" s="1" t="n">
        <v>5</v>
      </c>
      <c r="M20" s="3" t="s">
        <v>41</v>
      </c>
      <c r="N20" s="3" t="s">
        <v>42</v>
      </c>
      <c r="O20" s="12" t="s">
        <v>43</v>
      </c>
      <c r="P20" s="2" t="str">
        <f aca="false">CONCATENATE(N20," ",O20)</f>
        <v>Agroeca proxima</v>
      </c>
      <c r="Q20" s="1" t="s">
        <v>30</v>
      </c>
      <c r="R20" s="1" t="s">
        <v>35</v>
      </c>
      <c r="S20" s="1" t="n">
        <v>0</v>
      </c>
      <c r="T20" s="1" t="n">
        <v>1</v>
      </c>
      <c r="U20" s="1" t="n">
        <v>0</v>
      </c>
      <c r="V20" s="1" t="n">
        <v>0</v>
      </c>
      <c r="W20" s="1" t="n">
        <v>0</v>
      </c>
      <c r="X20" s="1" t="n">
        <v>0</v>
      </c>
      <c r="Y20" s="3" t="n">
        <f aca="false">SUM(S20:T20)</f>
        <v>1</v>
      </c>
      <c r="Z20" s="3" t="n">
        <f aca="false">SUM(U20:W20)</f>
        <v>0</v>
      </c>
      <c r="AA20" s="3" t="n">
        <f aca="false">SUM(S20:X20)</f>
        <v>1</v>
      </c>
      <c r="AB20" s="11" t="n">
        <f aca="false">(AA20/(K20*L20)*25)*4</f>
        <v>4</v>
      </c>
    </row>
    <row r="21" customFormat="false" ht="14.25" hidden="false" customHeight="false" outlineLevel="0" collapsed="false">
      <c r="A21" s="1" t="n">
        <v>2009</v>
      </c>
      <c r="B21" s="7" t="s">
        <v>322</v>
      </c>
      <c r="C21" s="7" t="n">
        <v>3</v>
      </c>
      <c r="D21" s="7" t="s">
        <v>293</v>
      </c>
      <c r="E21" s="7" t="s">
        <v>293</v>
      </c>
      <c r="F21" s="7" t="s">
        <v>26</v>
      </c>
      <c r="G21" s="1" t="n">
        <v>2</v>
      </c>
      <c r="H21" s="1" t="n">
        <v>6</v>
      </c>
      <c r="I21" s="10" t="n">
        <v>40052</v>
      </c>
      <c r="J21" s="10" t="n">
        <v>40057</v>
      </c>
      <c r="K21" s="1" t="n">
        <v>5</v>
      </c>
      <c r="L21" s="1" t="n">
        <v>5</v>
      </c>
      <c r="M21" s="3" t="s">
        <v>41</v>
      </c>
      <c r="N21" s="3" t="s">
        <v>42</v>
      </c>
      <c r="O21" s="12" t="s">
        <v>43</v>
      </c>
      <c r="P21" s="2" t="str">
        <f aca="false">CONCATENATE(N21," ",O21)</f>
        <v>Agroeca proxima</v>
      </c>
      <c r="Q21" s="1" t="s">
        <v>30</v>
      </c>
      <c r="R21" s="1" t="s">
        <v>35</v>
      </c>
      <c r="S21" s="1" t="n">
        <v>0</v>
      </c>
      <c r="T21" s="1" t="n">
        <v>1</v>
      </c>
      <c r="U21" s="1" t="n">
        <v>0</v>
      </c>
      <c r="V21" s="1" t="n">
        <v>0</v>
      </c>
      <c r="W21" s="1" t="n">
        <v>0</v>
      </c>
      <c r="X21" s="1" t="n">
        <v>0</v>
      </c>
      <c r="Y21" s="3" t="n">
        <f aca="false">SUM(S21:T21)</f>
        <v>1</v>
      </c>
      <c r="Z21" s="3" t="n">
        <f aca="false">SUM(U21:W21)</f>
        <v>0</v>
      </c>
      <c r="AA21" s="3" t="n">
        <f aca="false">SUM(S21:X21)</f>
        <v>1</v>
      </c>
      <c r="AB21" s="11" t="n">
        <f aca="false">(AA21/(K21*L21)*25)*4</f>
        <v>4</v>
      </c>
    </row>
    <row r="22" customFormat="false" ht="14.25" hidden="false" customHeight="false" outlineLevel="0" collapsed="false">
      <c r="A22" s="1" t="n">
        <v>2009</v>
      </c>
      <c r="B22" s="7" t="s">
        <v>322</v>
      </c>
      <c r="C22" s="7" t="n">
        <v>3</v>
      </c>
      <c r="D22" s="7" t="s">
        <v>293</v>
      </c>
      <c r="E22" s="7" t="s">
        <v>293</v>
      </c>
      <c r="F22" s="7" t="s">
        <v>26</v>
      </c>
      <c r="G22" s="1" t="n">
        <v>2</v>
      </c>
      <c r="H22" s="1" t="n">
        <v>6</v>
      </c>
      <c r="I22" s="10" t="n">
        <v>40052</v>
      </c>
      <c r="J22" s="10" t="n">
        <v>40057</v>
      </c>
      <c r="K22" s="1" t="n">
        <v>5</v>
      </c>
      <c r="L22" s="1" t="n">
        <v>5</v>
      </c>
      <c r="M22" s="3" t="s">
        <v>27</v>
      </c>
      <c r="N22" s="3" t="s">
        <v>28</v>
      </c>
      <c r="O22" s="8" t="s">
        <v>29</v>
      </c>
      <c r="P22" s="2" t="str">
        <f aca="false">CONCATENATE(N22," ",O22)</f>
        <v>Robertus lividus</v>
      </c>
      <c r="Q22" s="1" t="s">
        <v>30</v>
      </c>
      <c r="R22" s="1" t="s">
        <v>35</v>
      </c>
      <c r="S22" s="1" t="n">
        <v>0</v>
      </c>
      <c r="T22" s="1" t="n">
        <v>1</v>
      </c>
      <c r="U22" s="1" t="n">
        <v>0</v>
      </c>
      <c r="V22" s="1" t="n">
        <v>0</v>
      </c>
      <c r="W22" s="1" t="n">
        <v>0</v>
      </c>
      <c r="X22" s="1" t="n">
        <v>0</v>
      </c>
      <c r="Y22" s="3" t="n">
        <f aca="false">SUM(S22:T22)</f>
        <v>1</v>
      </c>
      <c r="Z22" s="3" t="n">
        <f aca="false">SUM(U22:W22)</f>
        <v>0</v>
      </c>
      <c r="AA22" s="3" t="n">
        <f aca="false">SUM(S22:X22)</f>
        <v>1</v>
      </c>
      <c r="AB22" s="11" t="n">
        <f aca="false">(AA22/(K22*L22)*25)*4</f>
        <v>4</v>
      </c>
    </row>
    <row r="23" customFormat="false" ht="14.25" hidden="false" customHeight="false" outlineLevel="0" collapsed="false">
      <c r="A23" s="1" t="n">
        <v>2009</v>
      </c>
      <c r="B23" s="7" t="s">
        <v>322</v>
      </c>
      <c r="C23" s="7" t="n">
        <v>3</v>
      </c>
      <c r="D23" s="7" t="s">
        <v>293</v>
      </c>
      <c r="E23" s="7" t="s">
        <v>293</v>
      </c>
      <c r="F23" s="7" t="s">
        <v>26</v>
      </c>
      <c r="G23" s="1" t="n">
        <v>3</v>
      </c>
      <c r="H23" s="1" t="n">
        <v>13</v>
      </c>
      <c r="I23" s="10" t="n">
        <v>40052</v>
      </c>
      <c r="J23" s="10" t="n">
        <v>40057</v>
      </c>
      <c r="K23" s="1" t="n">
        <v>5</v>
      </c>
      <c r="L23" s="1" t="n">
        <v>4</v>
      </c>
      <c r="M23" s="3" t="s">
        <v>41</v>
      </c>
      <c r="N23" s="3" t="s">
        <v>42</v>
      </c>
      <c r="O23" s="12" t="s">
        <v>43</v>
      </c>
      <c r="P23" s="2" t="str">
        <f aca="false">CONCATENATE(N23," ",O23)</f>
        <v>Agroeca proxima</v>
      </c>
      <c r="Q23" s="1" t="s">
        <v>30</v>
      </c>
      <c r="R23" s="1" t="s">
        <v>31</v>
      </c>
      <c r="S23" s="1" t="n">
        <v>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3" t="n">
        <f aca="false">SUM(S23:T23)</f>
        <v>1</v>
      </c>
      <c r="Z23" s="3" t="n">
        <f aca="false">SUM(U23:W23)</f>
        <v>0</v>
      </c>
      <c r="AA23" s="3" t="n">
        <f aca="false">SUM(S23:X23)</f>
        <v>1</v>
      </c>
      <c r="AB23" s="11" t="n">
        <f aca="false">(AA23/(K23*L23)*25)*4</f>
        <v>5</v>
      </c>
    </row>
    <row r="24" customFormat="false" ht="14.25" hidden="false" customHeight="false" outlineLevel="0" collapsed="false">
      <c r="A24" s="1" t="n">
        <v>2009</v>
      </c>
      <c r="B24" s="7" t="s">
        <v>322</v>
      </c>
      <c r="C24" s="7" t="n">
        <v>3</v>
      </c>
      <c r="D24" s="7" t="s">
        <v>293</v>
      </c>
      <c r="E24" s="7" t="s">
        <v>293</v>
      </c>
      <c r="F24" s="7" t="s">
        <v>26</v>
      </c>
      <c r="G24" s="1" t="n">
        <v>3</v>
      </c>
      <c r="H24" s="1" t="n">
        <v>13</v>
      </c>
      <c r="I24" s="10" t="n">
        <v>40052</v>
      </c>
      <c r="J24" s="10" t="n">
        <v>40057</v>
      </c>
      <c r="K24" s="1" t="n">
        <v>5</v>
      </c>
      <c r="L24" s="1" t="n">
        <v>4</v>
      </c>
      <c r="M24" s="13" t="s">
        <v>32</v>
      </c>
      <c r="N24" s="13" t="s">
        <v>58</v>
      </c>
      <c r="O24" s="14" t="s">
        <v>59</v>
      </c>
      <c r="P24" s="2" t="str">
        <f aca="false">CONCATENATE(N24," ",O24)</f>
        <v>Allomengea scopigera</v>
      </c>
      <c r="Q24" s="1" t="s">
        <v>30</v>
      </c>
      <c r="R24" s="1" t="s">
        <v>31</v>
      </c>
      <c r="S24" s="1" t="n">
        <v>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3" t="n">
        <f aca="false">SUM(S24:T24)</f>
        <v>1</v>
      </c>
      <c r="Z24" s="3" t="n">
        <f aca="false">SUM(U24:W24)</f>
        <v>0</v>
      </c>
      <c r="AA24" s="3" t="n">
        <f aca="false">SUM(S24:X24)</f>
        <v>1</v>
      </c>
      <c r="AB24" s="11" t="n">
        <f aca="false">(AA24/(K24*L24)*25)*4</f>
        <v>5</v>
      </c>
    </row>
    <row r="25" customFormat="false" ht="14.25" hidden="false" customHeight="false" outlineLevel="0" collapsed="false">
      <c r="A25" s="1" t="n">
        <v>2009</v>
      </c>
      <c r="B25" s="7" t="s">
        <v>322</v>
      </c>
      <c r="C25" s="7" t="n">
        <v>3</v>
      </c>
      <c r="D25" s="7" t="s">
        <v>293</v>
      </c>
      <c r="E25" s="7" t="s">
        <v>293</v>
      </c>
      <c r="F25" s="7" t="s">
        <v>26</v>
      </c>
      <c r="G25" s="1" t="n">
        <v>3</v>
      </c>
      <c r="H25" s="1" t="n">
        <v>13</v>
      </c>
      <c r="I25" s="10" t="n">
        <v>40052</v>
      </c>
      <c r="J25" s="10" t="n">
        <v>40057</v>
      </c>
      <c r="K25" s="1" t="n">
        <v>5</v>
      </c>
      <c r="L25" s="1" t="n">
        <v>4</v>
      </c>
      <c r="M25" s="3" t="s">
        <v>32</v>
      </c>
      <c r="N25" s="3" t="s">
        <v>33</v>
      </c>
      <c r="O25" s="8" t="s">
        <v>34</v>
      </c>
      <c r="P25" s="2" t="str">
        <f aca="false">CONCATENATE(N25," ",O25)</f>
        <v>Tenuiphantes nigriventris</v>
      </c>
      <c r="Q25" s="1" t="s">
        <v>30</v>
      </c>
      <c r="R25" s="1" t="s">
        <v>31</v>
      </c>
      <c r="S25" s="1" t="n">
        <v>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3" t="n">
        <f aca="false">SUM(S25:T25)</f>
        <v>1</v>
      </c>
      <c r="Z25" s="3" t="n">
        <f aca="false">SUM(U25:W25)</f>
        <v>0</v>
      </c>
      <c r="AA25" s="3" t="n">
        <f aca="false">SUM(S25:X25)</f>
        <v>1</v>
      </c>
      <c r="AB25" s="11" t="n">
        <f aca="false">(AA25/(K25*L25)*25)*4</f>
        <v>5</v>
      </c>
    </row>
    <row r="26" customFormat="false" ht="14.25" hidden="false" customHeight="false" outlineLevel="0" collapsed="false">
      <c r="A26" s="1" t="n">
        <v>2009</v>
      </c>
      <c r="B26" s="7" t="s">
        <v>322</v>
      </c>
      <c r="C26" s="7" t="n">
        <v>3</v>
      </c>
      <c r="D26" s="7" t="s">
        <v>293</v>
      </c>
      <c r="E26" s="7" t="s">
        <v>293</v>
      </c>
      <c r="F26" s="7" t="s">
        <v>26</v>
      </c>
      <c r="G26" s="1" t="n">
        <v>3</v>
      </c>
      <c r="H26" s="1" t="n">
        <v>13</v>
      </c>
      <c r="I26" s="10" t="n">
        <v>40052</v>
      </c>
      <c r="J26" s="10" t="n">
        <v>40057</v>
      </c>
      <c r="K26" s="1" t="n">
        <v>5</v>
      </c>
      <c r="L26" s="1" t="n">
        <v>4</v>
      </c>
      <c r="M26" s="3" t="s">
        <v>32</v>
      </c>
      <c r="N26" s="3" t="s">
        <v>62</v>
      </c>
      <c r="O26" s="8" t="s">
        <v>63</v>
      </c>
      <c r="P26" s="2" t="str">
        <f aca="false">CONCATENATE(N26," ",O26)</f>
        <v>Microneta viaria</v>
      </c>
      <c r="Q26" s="1" t="s">
        <v>30</v>
      </c>
      <c r="R26" s="1" t="s">
        <v>31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3" t="n">
        <f aca="false">SUM(S26:T26)</f>
        <v>1</v>
      </c>
      <c r="Z26" s="3" t="n">
        <f aca="false">SUM(U26:W26)</f>
        <v>0</v>
      </c>
      <c r="AA26" s="3" t="n">
        <f aca="false">SUM(S26:X26)</f>
        <v>1</v>
      </c>
      <c r="AB26" s="11" t="n">
        <f aca="false">(AA26/(K26*L26)*25)*4</f>
        <v>5</v>
      </c>
    </row>
    <row r="27" customFormat="false" ht="14.25" hidden="false" customHeight="false" outlineLevel="0" collapsed="false">
      <c r="A27" s="1" t="n">
        <v>2009</v>
      </c>
      <c r="B27" s="7" t="s">
        <v>322</v>
      </c>
      <c r="C27" s="7" t="n">
        <v>3</v>
      </c>
      <c r="D27" s="7" t="s">
        <v>294</v>
      </c>
      <c r="E27" s="7" t="s">
        <v>294</v>
      </c>
      <c r="F27" s="7" t="s">
        <v>51</v>
      </c>
      <c r="G27" s="1" t="n">
        <v>1</v>
      </c>
      <c r="H27" s="1" t="n">
        <v>1</v>
      </c>
      <c r="I27" s="10" t="n">
        <v>40051</v>
      </c>
      <c r="J27" s="10" t="n">
        <v>40056</v>
      </c>
      <c r="K27" s="1" t="n">
        <v>5</v>
      </c>
      <c r="L27" s="1" t="n">
        <v>5</v>
      </c>
      <c r="M27" s="3" t="s">
        <v>41</v>
      </c>
      <c r="N27" s="3" t="s">
        <v>42</v>
      </c>
      <c r="O27" s="12" t="s">
        <v>43</v>
      </c>
      <c r="P27" s="2" t="str">
        <f aca="false">CONCATENATE(N27," ",O27)</f>
        <v>Agroeca proxima</v>
      </c>
      <c r="Q27" s="1" t="s">
        <v>30</v>
      </c>
      <c r="R27" s="1" t="s">
        <v>31</v>
      </c>
      <c r="S27" s="1" t="n">
        <v>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3" t="n">
        <f aca="false">SUM(S27:T27)</f>
        <v>2</v>
      </c>
      <c r="Z27" s="3" t="n">
        <f aca="false">SUM(U27:W27)</f>
        <v>0</v>
      </c>
      <c r="AA27" s="3" t="n">
        <f aca="false">SUM(S27:X27)</f>
        <v>2</v>
      </c>
      <c r="AB27" s="11" t="n">
        <f aca="false">(AA27/(K27*L27)*25)*4</f>
        <v>8</v>
      </c>
    </row>
    <row r="28" customFormat="false" ht="14.25" hidden="false" customHeight="false" outlineLevel="0" collapsed="false">
      <c r="A28" s="1" t="n">
        <v>2009</v>
      </c>
      <c r="B28" s="7" t="s">
        <v>322</v>
      </c>
      <c r="C28" s="7" t="n">
        <v>3</v>
      </c>
      <c r="D28" s="7" t="s">
        <v>294</v>
      </c>
      <c r="E28" s="7" t="s">
        <v>294</v>
      </c>
      <c r="F28" s="7" t="s">
        <v>51</v>
      </c>
      <c r="G28" s="1" t="n">
        <v>1</v>
      </c>
      <c r="H28" s="1" t="n">
        <v>1</v>
      </c>
      <c r="I28" s="10" t="n">
        <v>40051</v>
      </c>
      <c r="J28" s="10" t="n">
        <v>40056</v>
      </c>
      <c r="K28" s="1" t="n">
        <v>5</v>
      </c>
      <c r="L28" s="1" t="n">
        <v>5</v>
      </c>
      <c r="M28" s="3" t="s">
        <v>64</v>
      </c>
      <c r="N28" s="3" t="s">
        <v>65</v>
      </c>
      <c r="O28" s="8" t="s">
        <v>335</v>
      </c>
      <c r="P28" s="2" t="str">
        <f aca="false">CONCATENATE(N28," ",O28)</f>
        <v>Zora spinimana</v>
      </c>
      <c r="Q28" s="1" t="s">
        <v>30</v>
      </c>
      <c r="R28" s="1" t="s">
        <v>31</v>
      </c>
      <c r="S28" s="1" t="n">
        <v>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3" t="n">
        <f aca="false">SUM(S28:T28)</f>
        <v>1</v>
      </c>
      <c r="Z28" s="3" t="n">
        <f aca="false">SUM(U28:W28)</f>
        <v>0</v>
      </c>
      <c r="AA28" s="3" t="n">
        <f aca="false">SUM(S28:X28)</f>
        <v>1</v>
      </c>
      <c r="AB28" s="11" t="n">
        <f aca="false">(AA28/(K28*L28)*25)*4</f>
        <v>4</v>
      </c>
    </row>
    <row r="29" customFormat="false" ht="14.25" hidden="false" customHeight="false" outlineLevel="0" collapsed="false">
      <c r="A29" s="1" t="n">
        <v>2009</v>
      </c>
      <c r="B29" s="7" t="s">
        <v>322</v>
      </c>
      <c r="C29" s="7" t="n">
        <v>3</v>
      </c>
      <c r="D29" s="7" t="s">
        <v>294</v>
      </c>
      <c r="E29" s="7" t="s">
        <v>294</v>
      </c>
      <c r="F29" s="7" t="s">
        <v>51</v>
      </c>
      <c r="G29" s="1" t="n">
        <v>3</v>
      </c>
      <c r="H29" s="1" t="n">
        <v>12</v>
      </c>
      <c r="I29" s="10" t="n">
        <v>40051</v>
      </c>
      <c r="J29" s="10" t="n">
        <v>40056</v>
      </c>
      <c r="K29" s="1" t="n">
        <v>5</v>
      </c>
      <c r="L29" s="1" t="n">
        <v>5</v>
      </c>
      <c r="M29" s="3" t="s">
        <v>64</v>
      </c>
      <c r="N29" s="3" t="s">
        <v>65</v>
      </c>
      <c r="O29" s="8" t="s">
        <v>335</v>
      </c>
      <c r="P29" s="2" t="str">
        <f aca="false">CONCATENATE(N29," ",O29)</f>
        <v>Zora spinimana</v>
      </c>
      <c r="Q29" s="1" t="s">
        <v>30</v>
      </c>
      <c r="R29" s="1" t="s">
        <v>35</v>
      </c>
      <c r="S29" s="1" t="n">
        <v>0</v>
      </c>
      <c r="T29" s="1" t="n">
        <v>1</v>
      </c>
      <c r="U29" s="1" t="n">
        <v>0</v>
      </c>
      <c r="V29" s="1" t="n">
        <v>0</v>
      </c>
      <c r="W29" s="1" t="n">
        <v>0</v>
      </c>
      <c r="X29" s="1" t="n">
        <v>0</v>
      </c>
      <c r="Y29" s="3" t="n">
        <f aca="false">SUM(S29:T29)</f>
        <v>1</v>
      </c>
      <c r="Z29" s="3" t="n">
        <f aca="false">SUM(U29:W29)</f>
        <v>0</v>
      </c>
      <c r="AA29" s="3" t="n">
        <f aca="false">SUM(S29:X29)</f>
        <v>1</v>
      </c>
      <c r="AB29" s="11" t="n">
        <f aca="false">(AA29/(K29*L29)*25)*4</f>
        <v>4</v>
      </c>
    </row>
    <row r="30" customFormat="false" ht="14.25" hidden="false" customHeight="false" outlineLevel="0" collapsed="false">
      <c r="A30" s="1" t="n">
        <v>2009</v>
      </c>
      <c r="B30" s="7" t="s">
        <v>322</v>
      </c>
      <c r="C30" s="7" t="n">
        <v>3</v>
      </c>
      <c r="D30" s="7" t="s">
        <v>294</v>
      </c>
      <c r="E30" s="7" t="s">
        <v>294</v>
      </c>
      <c r="F30" s="7" t="s">
        <v>51</v>
      </c>
      <c r="G30" s="1" t="n">
        <v>3</v>
      </c>
      <c r="H30" s="1" t="n">
        <v>12</v>
      </c>
      <c r="I30" s="10" t="n">
        <v>40051</v>
      </c>
      <c r="J30" s="10" t="n">
        <v>40056</v>
      </c>
      <c r="K30" s="1" t="n">
        <v>5</v>
      </c>
      <c r="L30" s="1" t="n">
        <v>5</v>
      </c>
      <c r="M30" s="3" t="s">
        <v>32</v>
      </c>
      <c r="N30" s="3" t="s">
        <v>68</v>
      </c>
      <c r="O30" s="8" t="s">
        <v>69</v>
      </c>
      <c r="P30" s="2" t="str">
        <f aca="false">CONCATENATE(N30," ",O30)</f>
        <v>Centromerus sylvaticus</v>
      </c>
      <c r="Q30" s="1" t="s">
        <v>30</v>
      </c>
      <c r="R30" s="1" t="s">
        <v>35</v>
      </c>
      <c r="S30" s="1" t="n">
        <v>0</v>
      </c>
      <c r="T30" s="1" t="n">
        <v>1</v>
      </c>
      <c r="U30" s="1" t="n">
        <v>0</v>
      </c>
      <c r="V30" s="1" t="n">
        <v>0</v>
      </c>
      <c r="W30" s="1" t="n">
        <v>0</v>
      </c>
      <c r="X30" s="1" t="n">
        <v>0</v>
      </c>
      <c r="Y30" s="3" t="n">
        <f aca="false">SUM(S30:T30)</f>
        <v>1</v>
      </c>
      <c r="Z30" s="3" t="n">
        <f aca="false">SUM(U30:W30)</f>
        <v>0</v>
      </c>
      <c r="AA30" s="3" t="n">
        <f aca="false">SUM(S30:X30)</f>
        <v>1</v>
      </c>
      <c r="AB30" s="11" t="n">
        <f aca="false">(AA30/(K30*L30)*25)*4</f>
        <v>4</v>
      </c>
    </row>
    <row r="31" customFormat="false" ht="14.25" hidden="false" customHeight="false" outlineLevel="0" collapsed="false">
      <c r="A31" s="1" t="n">
        <v>2009</v>
      </c>
      <c r="B31" s="7" t="s">
        <v>322</v>
      </c>
      <c r="C31" s="7" t="n">
        <v>3</v>
      </c>
      <c r="D31" s="7" t="s">
        <v>294</v>
      </c>
      <c r="E31" s="7" t="s">
        <v>294</v>
      </c>
      <c r="F31" s="7" t="s">
        <v>51</v>
      </c>
      <c r="G31" s="1" t="n">
        <v>3</v>
      </c>
      <c r="H31" s="1" t="n">
        <v>12</v>
      </c>
      <c r="I31" s="10" t="n">
        <v>40051</v>
      </c>
      <c r="J31" s="10" t="n">
        <v>40056</v>
      </c>
      <c r="K31" s="1" t="n">
        <v>5</v>
      </c>
      <c r="L31" s="1" t="n">
        <v>5</v>
      </c>
      <c r="M31" s="3" t="s">
        <v>32</v>
      </c>
      <c r="N31" s="8" t="s">
        <v>70</v>
      </c>
      <c r="O31" s="8" t="s">
        <v>71</v>
      </c>
      <c r="P31" s="2" t="str">
        <f aca="false">CONCATENATE(N31," ",O31)</f>
        <v>Palliduphantes alutacius</v>
      </c>
      <c r="Q31" s="1" t="s">
        <v>30</v>
      </c>
      <c r="R31" s="1" t="s">
        <v>31</v>
      </c>
      <c r="S31" s="1" t="n">
        <v>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3" t="n">
        <f aca="false">SUM(S31:T31)</f>
        <v>1</v>
      </c>
      <c r="Z31" s="3" t="n">
        <f aca="false">SUM(U31:W31)</f>
        <v>0</v>
      </c>
      <c r="AA31" s="3" t="n">
        <f aca="false">SUM(S31:X31)</f>
        <v>1</v>
      </c>
      <c r="AB31" s="11" t="n">
        <f aca="false">(AA31/(K31*L31)*25)*4</f>
        <v>4</v>
      </c>
    </row>
    <row r="32" customFormat="false" ht="14.25" hidden="false" customHeight="false" outlineLevel="0" collapsed="false">
      <c r="A32" s="1" t="n">
        <v>2009</v>
      </c>
      <c r="B32" s="7" t="s">
        <v>322</v>
      </c>
      <c r="C32" s="7" t="n">
        <v>3</v>
      </c>
      <c r="D32" s="7" t="s">
        <v>294</v>
      </c>
      <c r="E32" s="7" t="s">
        <v>294</v>
      </c>
      <c r="F32" s="7" t="s">
        <v>51</v>
      </c>
      <c r="G32" s="1" t="n">
        <v>2</v>
      </c>
      <c r="H32" s="1" t="n">
        <v>8</v>
      </c>
      <c r="I32" s="10" t="n">
        <v>40051</v>
      </c>
      <c r="J32" s="10" t="n">
        <v>40056</v>
      </c>
      <c r="K32" s="1" t="n">
        <v>5</v>
      </c>
      <c r="L32" s="1" t="n">
        <v>5</v>
      </c>
      <c r="M32" s="3" t="s">
        <v>72</v>
      </c>
      <c r="N32" s="8" t="s">
        <v>73</v>
      </c>
      <c r="O32" s="8" t="s">
        <v>74</v>
      </c>
      <c r="P32" s="2" t="str">
        <f aca="false">CONCATENATE(N32," ",O32)</f>
        <v>Zelotes subterraneus</v>
      </c>
      <c r="Q32" s="1" t="s">
        <v>30</v>
      </c>
      <c r="R32" s="1" t="s">
        <v>35</v>
      </c>
      <c r="S32" s="1" t="n">
        <v>0</v>
      </c>
      <c r="T32" s="1" t="n">
        <v>1</v>
      </c>
      <c r="U32" s="1" t="n">
        <v>0</v>
      </c>
      <c r="V32" s="1" t="n">
        <v>0</v>
      </c>
      <c r="W32" s="1" t="n">
        <v>0</v>
      </c>
      <c r="X32" s="1" t="n">
        <v>0</v>
      </c>
      <c r="Y32" s="3" t="n">
        <f aca="false">SUM(S32:T32)</f>
        <v>1</v>
      </c>
      <c r="Z32" s="3" t="n">
        <f aca="false">SUM(U32:W32)</f>
        <v>0</v>
      </c>
      <c r="AA32" s="3" t="n">
        <f aca="false">SUM(S32:X32)</f>
        <v>1</v>
      </c>
      <c r="AB32" s="11" t="n">
        <f aca="false">(AA32/(K32*L32)*25)*4</f>
        <v>4</v>
      </c>
    </row>
    <row r="33" customFormat="false" ht="14.25" hidden="false" customHeight="false" outlineLevel="0" collapsed="false">
      <c r="A33" s="1" t="n">
        <v>2009</v>
      </c>
      <c r="B33" s="7" t="s">
        <v>322</v>
      </c>
      <c r="C33" s="7" t="n">
        <v>3</v>
      </c>
      <c r="D33" s="7" t="s">
        <v>293</v>
      </c>
      <c r="E33" s="7" t="s">
        <v>293</v>
      </c>
      <c r="F33" s="7" t="s">
        <v>26</v>
      </c>
      <c r="G33" s="1" t="n">
        <v>3</v>
      </c>
      <c r="H33" s="1" t="n">
        <v>12</v>
      </c>
      <c r="I33" s="10" t="n">
        <v>40052</v>
      </c>
      <c r="J33" s="10" t="n">
        <v>40057</v>
      </c>
      <c r="K33" s="1" t="n">
        <v>5</v>
      </c>
      <c r="L33" s="1" t="n">
        <v>4</v>
      </c>
      <c r="M33" s="3" t="s">
        <v>36</v>
      </c>
      <c r="N33" s="3" t="s">
        <v>37</v>
      </c>
      <c r="O33" s="8" t="s">
        <v>75</v>
      </c>
      <c r="P33" s="2" t="str">
        <f aca="false">CONCATENATE(N33," ",O33)</f>
        <v>Ozyptila praticola</v>
      </c>
      <c r="Q33" s="1" t="s">
        <v>30</v>
      </c>
      <c r="R33" s="1" t="s">
        <v>31</v>
      </c>
      <c r="S33" s="1" t="n">
        <v>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3" t="n">
        <f aca="false">SUM(S33:T33)</f>
        <v>1</v>
      </c>
      <c r="Z33" s="3" t="n">
        <f aca="false">SUM(U33:W33)</f>
        <v>0</v>
      </c>
      <c r="AA33" s="3" t="n">
        <f aca="false">SUM(S33:X33)</f>
        <v>1</v>
      </c>
      <c r="AB33" s="11" t="n">
        <f aca="false">(AA33/(K33*L33)*25)*4</f>
        <v>5</v>
      </c>
    </row>
    <row r="34" customFormat="false" ht="14.25" hidden="false" customHeight="false" outlineLevel="0" collapsed="false">
      <c r="A34" s="1" t="n">
        <v>2009</v>
      </c>
      <c r="B34" s="7" t="s">
        <v>322</v>
      </c>
      <c r="C34" s="7" t="n">
        <v>3</v>
      </c>
      <c r="D34" s="7" t="s">
        <v>293</v>
      </c>
      <c r="E34" s="7" t="s">
        <v>293</v>
      </c>
      <c r="F34" s="7" t="s">
        <v>26</v>
      </c>
      <c r="G34" s="1" t="n">
        <v>3</v>
      </c>
      <c r="H34" s="1" t="n">
        <v>12</v>
      </c>
      <c r="I34" s="10" t="n">
        <v>40052</v>
      </c>
      <c r="J34" s="10" t="n">
        <v>40057</v>
      </c>
      <c r="K34" s="1" t="n">
        <v>5</v>
      </c>
      <c r="L34" s="1" t="n">
        <v>4</v>
      </c>
      <c r="M34" s="3" t="s">
        <v>32</v>
      </c>
      <c r="N34" s="3" t="s">
        <v>76</v>
      </c>
      <c r="O34" s="8" t="s">
        <v>77</v>
      </c>
      <c r="P34" s="2" t="str">
        <f aca="false">CONCATENATE(N34," ",O34)</f>
        <v>Bolyphantes alticeps</v>
      </c>
      <c r="Q34" s="1" t="s">
        <v>30</v>
      </c>
      <c r="R34" s="1" t="s">
        <v>31</v>
      </c>
      <c r="S34" s="1" t="n">
        <v>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3" t="n">
        <f aca="false">SUM(S34:T34)</f>
        <v>1</v>
      </c>
      <c r="Z34" s="3" t="n">
        <f aca="false">SUM(U34:W34)</f>
        <v>0</v>
      </c>
      <c r="AA34" s="3" t="n">
        <f aca="false">SUM(S34:X34)</f>
        <v>1</v>
      </c>
      <c r="AB34" s="11" t="n">
        <f aca="false">(AA34/(K34*L34)*25)*4</f>
        <v>5</v>
      </c>
    </row>
    <row r="35" customFormat="false" ht="14.25" hidden="false" customHeight="false" outlineLevel="0" collapsed="false">
      <c r="A35" s="1" t="n">
        <v>2009</v>
      </c>
      <c r="B35" s="7" t="s">
        <v>322</v>
      </c>
      <c r="C35" s="7" t="n">
        <v>3</v>
      </c>
      <c r="D35" s="7" t="s">
        <v>293</v>
      </c>
      <c r="E35" s="7" t="s">
        <v>293</v>
      </c>
      <c r="F35" s="7" t="s">
        <v>26</v>
      </c>
      <c r="G35" s="1" t="n">
        <v>3</v>
      </c>
      <c r="H35" s="1" t="n">
        <v>12</v>
      </c>
      <c r="I35" s="10" t="n">
        <v>40052</v>
      </c>
      <c r="J35" s="10" t="n">
        <v>40057</v>
      </c>
      <c r="K35" s="1" t="n">
        <v>5</v>
      </c>
      <c r="L35" s="1" t="n">
        <v>4</v>
      </c>
      <c r="M35" s="3" t="s">
        <v>32</v>
      </c>
      <c r="N35" s="8" t="s">
        <v>70</v>
      </c>
      <c r="O35" s="3" t="s">
        <v>71</v>
      </c>
      <c r="P35" s="2" t="str">
        <f aca="false">CONCATENATE(N35," ",O35)</f>
        <v>Palliduphantes alutacius</v>
      </c>
      <c r="Q35" s="1" t="s">
        <v>30</v>
      </c>
      <c r="R35" s="1" t="s">
        <v>31</v>
      </c>
      <c r="S35" s="1" t="n">
        <v>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3" t="n">
        <f aca="false">SUM(S35:T35)</f>
        <v>1</v>
      </c>
      <c r="Z35" s="3" t="n">
        <f aca="false">SUM(U35:W35)</f>
        <v>0</v>
      </c>
      <c r="AA35" s="3" t="n">
        <f aca="false">SUM(S35:X35)</f>
        <v>1</v>
      </c>
      <c r="AB35" s="11" t="n">
        <f aca="false">(AA35/(K35*L35)*25)*4</f>
        <v>5</v>
      </c>
    </row>
    <row r="36" customFormat="false" ht="14.25" hidden="false" customHeight="false" outlineLevel="0" collapsed="false">
      <c r="A36" s="1" t="n">
        <v>2009</v>
      </c>
      <c r="B36" s="7" t="s">
        <v>322</v>
      </c>
      <c r="C36" s="7" t="n">
        <v>3</v>
      </c>
      <c r="D36" s="7" t="s">
        <v>293</v>
      </c>
      <c r="E36" s="7" t="s">
        <v>293</v>
      </c>
      <c r="F36" s="7" t="s">
        <v>26</v>
      </c>
      <c r="G36" s="1" t="n">
        <v>3</v>
      </c>
      <c r="H36" s="1" t="n">
        <v>12</v>
      </c>
      <c r="I36" s="10" t="n">
        <v>40052</v>
      </c>
      <c r="J36" s="10" t="n">
        <v>40057</v>
      </c>
      <c r="K36" s="1" t="n">
        <v>5</v>
      </c>
      <c r="L36" s="1" t="n">
        <v>4</v>
      </c>
      <c r="M36" s="3" t="s">
        <v>32</v>
      </c>
      <c r="N36" s="3" t="s">
        <v>33</v>
      </c>
      <c r="O36" s="8" t="s">
        <v>34</v>
      </c>
      <c r="P36" s="2" t="str">
        <f aca="false">CONCATENATE(N36," ",O36)</f>
        <v>Tenuiphantes nigriventris</v>
      </c>
      <c r="Q36" s="1" t="s">
        <v>30</v>
      </c>
      <c r="R36" s="1" t="s">
        <v>35</v>
      </c>
      <c r="S36" s="1" t="n">
        <v>0</v>
      </c>
      <c r="T36" s="1" t="n">
        <v>1</v>
      </c>
      <c r="U36" s="1" t="n">
        <v>0</v>
      </c>
      <c r="V36" s="1" t="n">
        <v>0</v>
      </c>
      <c r="W36" s="1" t="n">
        <v>0</v>
      </c>
      <c r="X36" s="1" t="n">
        <v>0</v>
      </c>
      <c r="Y36" s="3" t="n">
        <f aca="false">SUM(S36:T36)</f>
        <v>1</v>
      </c>
      <c r="Z36" s="3" t="n">
        <f aca="false">SUM(U36:W36)</f>
        <v>0</v>
      </c>
      <c r="AA36" s="3" t="n">
        <f aca="false">SUM(S36:X36)</f>
        <v>1</v>
      </c>
      <c r="AB36" s="11" t="n">
        <f aca="false">(AA36/(K36*L36)*25)*4</f>
        <v>5</v>
      </c>
    </row>
    <row r="37" customFormat="false" ht="14.25" hidden="false" customHeight="false" outlineLevel="0" collapsed="false">
      <c r="A37" s="1" t="n">
        <v>2009</v>
      </c>
      <c r="B37" s="7" t="s">
        <v>322</v>
      </c>
      <c r="C37" s="7" t="n">
        <v>3</v>
      </c>
      <c r="D37" s="7" t="s">
        <v>294</v>
      </c>
      <c r="E37" s="7" t="s">
        <v>294</v>
      </c>
      <c r="F37" s="7" t="s">
        <v>51</v>
      </c>
      <c r="G37" s="1" t="n">
        <v>2</v>
      </c>
      <c r="H37" s="1" t="n">
        <v>7</v>
      </c>
      <c r="I37" s="10" t="n">
        <v>40051</v>
      </c>
      <c r="J37" s="10" t="n">
        <v>40056</v>
      </c>
      <c r="K37" s="1" t="n">
        <v>5</v>
      </c>
      <c r="L37" s="1" t="n">
        <v>5</v>
      </c>
      <c r="M37" s="3" t="s">
        <v>41</v>
      </c>
      <c r="N37" s="3" t="s">
        <v>42</v>
      </c>
      <c r="O37" s="12" t="s">
        <v>43</v>
      </c>
      <c r="P37" s="2" t="str">
        <f aca="false">CONCATENATE(N37," ",O37)</f>
        <v>Agroeca proxima</v>
      </c>
      <c r="Q37" s="1" t="s">
        <v>30</v>
      </c>
      <c r="R37" s="1" t="s">
        <v>31</v>
      </c>
      <c r="S37" s="1" t="n">
        <v>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3" t="n">
        <f aca="false">SUM(S37:T37)</f>
        <v>1</v>
      </c>
      <c r="Z37" s="3" t="n">
        <f aca="false">SUM(U37:W37)</f>
        <v>0</v>
      </c>
      <c r="AA37" s="3" t="n">
        <f aca="false">SUM(S37:X37)</f>
        <v>1</v>
      </c>
      <c r="AB37" s="11" t="n">
        <f aca="false">(AA37/(K37*L37)*25)*4</f>
        <v>4</v>
      </c>
    </row>
    <row r="38" customFormat="false" ht="14.25" hidden="false" customHeight="false" outlineLevel="0" collapsed="false">
      <c r="A38" s="1" t="n">
        <v>2009</v>
      </c>
      <c r="B38" s="7" t="s">
        <v>322</v>
      </c>
      <c r="C38" s="7" t="n">
        <v>3</v>
      </c>
      <c r="D38" s="7" t="s">
        <v>294</v>
      </c>
      <c r="E38" s="7" t="s">
        <v>294</v>
      </c>
      <c r="F38" s="7" t="s">
        <v>51</v>
      </c>
      <c r="G38" s="1" t="n">
        <v>2</v>
      </c>
      <c r="H38" s="1" t="n">
        <v>6</v>
      </c>
      <c r="I38" s="10" t="n">
        <v>40051</v>
      </c>
      <c r="J38" s="10" t="n">
        <v>40056</v>
      </c>
      <c r="K38" s="1" t="n">
        <v>5</v>
      </c>
      <c r="L38" s="1" t="n">
        <v>5</v>
      </c>
      <c r="M38" s="3" t="s">
        <v>41</v>
      </c>
      <c r="N38" s="3" t="s">
        <v>42</v>
      </c>
      <c r="O38" s="12" t="s">
        <v>43</v>
      </c>
      <c r="P38" s="2" t="str">
        <f aca="false">CONCATENATE(N38," ",O38)</f>
        <v>Agroeca proxima</v>
      </c>
      <c r="Q38" s="1" t="s">
        <v>30</v>
      </c>
      <c r="R38" s="1" t="s">
        <v>31</v>
      </c>
      <c r="S38" s="1" t="n">
        <v>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3" t="n">
        <f aca="false">SUM(S38:T38)</f>
        <v>1</v>
      </c>
      <c r="Z38" s="3" t="n">
        <f aca="false">SUM(U38:W38)</f>
        <v>0</v>
      </c>
      <c r="AA38" s="3" t="n">
        <f aca="false">SUM(S38:X38)</f>
        <v>1</v>
      </c>
      <c r="AB38" s="11" t="n">
        <f aca="false">(AA38/(K38*L38)*25)*4</f>
        <v>4</v>
      </c>
    </row>
    <row r="39" customFormat="false" ht="14.25" hidden="false" customHeight="false" outlineLevel="0" collapsed="false">
      <c r="A39" s="1" t="n">
        <v>2009</v>
      </c>
      <c r="B39" s="7" t="s">
        <v>322</v>
      </c>
      <c r="C39" s="7" t="n">
        <v>3</v>
      </c>
      <c r="D39" s="7" t="s">
        <v>294</v>
      </c>
      <c r="E39" s="7" t="s">
        <v>294</v>
      </c>
      <c r="F39" s="7" t="s">
        <v>51</v>
      </c>
      <c r="G39" s="1" t="n">
        <v>2</v>
      </c>
      <c r="H39" s="1" t="n">
        <v>6</v>
      </c>
      <c r="I39" s="10" t="n">
        <v>40051</v>
      </c>
      <c r="J39" s="10" t="n">
        <v>40056</v>
      </c>
      <c r="K39" s="1" t="n">
        <v>5</v>
      </c>
      <c r="L39" s="1" t="n">
        <v>5</v>
      </c>
      <c r="M39" s="3" t="s">
        <v>36</v>
      </c>
      <c r="N39" s="3" t="s">
        <v>37</v>
      </c>
      <c r="O39" s="8" t="s">
        <v>75</v>
      </c>
      <c r="P39" s="2" t="str">
        <f aca="false">CONCATENATE(N39," ",O39)</f>
        <v>Ozyptila praticola</v>
      </c>
      <c r="Q39" s="1" t="s">
        <v>30</v>
      </c>
      <c r="R39" s="1" t="s">
        <v>31</v>
      </c>
      <c r="S39" s="1" t="n">
        <v>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3" t="n">
        <f aca="false">SUM(S39:T39)</f>
        <v>1</v>
      </c>
      <c r="Z39" s="3" t="n">
        <f aca="false">SUM(U39:W39)</f>
        <v>0</v>
      </c>
      <c r="AA39" s="3" t="n">
        <f aca="false">SUM(S39:X39)</f>
        <v>1</v>
      </c>
      <c r="AB39" s="11" t="n">
        <f aca="false">(AA39/(K39*L39)*25)*4</f>
        <v>4</v>
      </c>
    </row>
    <row r="40" customFormat="false" ht="14.25" hidden="false" customHeight="false" outlineLevel="0" collapsed="false">
      <c r="A40" s="1" t="n">
        <v>2009</v>
      </c>
      <c r="B40" s="7" t="s">
        <v>322</v>
      </c>
      <c r="C40" s="7" t="n">
        <v>3</v>
      </c>
      <c r="D40" s="7" t="s">
        <v>294</v>
      </c>
      <c r="E40" s="7" t="s">
        <v>294</v>
      </c>
      <c r="F40" s="7" t="s">
        <v>51</v>
      </c>
      <c r="G40" s="1" t="n">
        <v>2</v>
      </c>
      <c r="H40" s="1" t="n">
        <v>6</v>
      </c>
      <c r="I40" s="10" t="n">
        <v>40051</v>
      </c>
      <c r="J40" s="10" t="n">
        <v>40056</v>
      </c>
      <c r="K40" s="1" t="n">
        <v>5</v>
      </c>
      <c r="L40" s="1" t="n">
        <v>5</v>
      </c>
      <c r="M40" s="3" t="s">
        <v>78</v>
      </c>
      <c r="N40" s="3" t="s">
        <v>79</v>
      </c>
      <c r="O40" s="3" t="s">
        <v>80</v>
      </c>
      <c r="P40" s="2" t="str">
        <f aca="false">CONCATENATE(N40," ",O40)</f>
        <v>Lathys nielseni</v>
      </c>
      <c r="Q40" s="1" t="s">
        <v>30</v>
      </c>
      <c r="R40" s="1" t="s">
        <v>35</v>
      </c>
      <c r="S40" s="1" t="n">
        <v>0</v>
      </c>
      <c r="T40" s="1" t="n">
        <v>1</v>
      </c>
      <c r="U40" s="1" t="n">
        <v>0</v>
      </c>
      <c r="V40" s="1" t="n">
        <v>0</v>
      </c>
      <c r="W40" s="1" t="n">
        <v>0</v>
      </c>
      <c r="X40" s="1" t="n">
        <v>0</v>
      </c>
      <c r="Y40" s="3" t="n">
        <f aca="false">SUM(S40:T40)</f>
        <v>1</v>
      </c>
      <c r="Z40" s="3" t="n">
        <f aca="false">SUM(U40:W40)</f>
        <v>0</v>
      </c>
      <c r="AA40" s="3" t="n">
        <f aca="false">SUM(S40:X40)</f>
        <v>1</v>
      </c>
      <c r="AB40" s="11" t="n">
        <f aca="false">(AA40/(K40*L40)*25)*4</f>
        <v>4</v>
      </c>
    </row>
    <row r="41" customFormat="false" ht="14.25" hidden="false" customHeight="false" outlineLevel="0" collapsed="false">
      <c r="A41" s="1" t="n">
        <v>2009</v>
      </c>
      <c r="B41" s="7" t="s">
        <v>322</v>
      </c>
      <c r="C41" s="7" t="n">
        <v>3</v>
      </c>
      <c r="D41" s="7" t="s">
        <v>294</v>
      </c>
      <c r="E41" s="7" t="s">
        <v>294</v>
      </c>
      <c r="F41" s="7" t="s">
        <v>51</v>
      </c>
      <c r="G41" s="1" t="n">
        <v>2</v>
      </c>
      <c r="H41" s="1" t="n">
        <v>9</v>
      </c>
      <c r="I41" s="10" t="n">
        <v>40051</v>
      </c>
      <c r="J41" s="10" t="n">
        <v>40056</v>
      </c>
      <c r="K41" s="1" t="n">
        <v>5</v>
      </c>
      <c r="L41" s="1" t="n">
        <v>5</v>
      </c>
      <c r="M41" s="3" t="s">
        <v>32</v>
      </c>
      <c r="N41" s="3" t="s">
        <v>68</v>
      </c>
      <c r="O41" s="8" t="s">
        <v>69</v>
      </c>
      <c r="P41" s="2" t="str">
        <f aca="false">CONCATENATE(N41," ",O41)</f>
        <v>Centromerus sylvaticus</v>
      </c>
      <c r="Q41" s="1" t="s">
        <v>30</v>
      </c>
      <c r="R41" s="1" t="s">
        <v>35</v>
      </c>
      <c r="S41" s="1" t="n">
        <v>0</v>
      </c>
      <c r="T41" s="1" t="n">
        <v>1</v>
      </c>
      <c r="U41" s="1" t="n">
        <v>0</v>
      </c>
      <c r="V41" s="1" t="n">
        <v>0</v>
      </c>
      <c r="W41" s="1" t="n">
        <v>0</v>
      </c>
      <c r="X41" s="1" t="n">
        <v>0</v>
      </c>
      <c r="Y41" s="3" t="n">
        <f aca="false">SUM(S41:T41)</f>
        <v>1</v>
      </c>
      <c r="Z41" s="3" t="n">
        <f aca="false">SUM(U41:W41)</f>
        <v>0</v>
      </c>
      <c r="AA41" s="3" t="n">
        <f aca="false">SUM(S41:X41)</f>
        <v>1</v>
      </c>
      <c r="AB41" s="11" t="n">
        <f aca="false">(AA41/(K41*L41)*25)*4</f>
        <v>4</v>
      </c>
    </row>
    <row r="42" customFormat="false" ht="14.25" hidden="false" customHeight="false" outlineLevel="0" collapsed="false">
      <c r="A42" s="1" t="n">
        <v>2009</v>
      </c>
      <c r="B42" s="7" t="s">
        <v>322</v>
      </c>
      <c r="C42" s="7" t="n">
        <v>3</v>
      </c>
      <c r="D42" s="7" t="s">
        <v>294</v>
      </c>
      <c r="E42" s="7" t="s">
        <v>294</v>
      </c>
      <c r="F42" s="7" t="s">
        <v>51</v>
      </c>
      <c r="G42" s="1" t="n">
        <v>2</v>
      </c>
      <c r="H42" s="1" t="n">
        <v>9</v>
      </c>
      <c r="I42" s="10" t="n">
        <v>40051</v>
      </c>
      <c r="J42" s="10" t="n">
        <v>40056</v>
      </c>
      <c r="K42" s="1" t="n">
        <v>5</v>
      </c>
      <c r="L42" s="1" t="n">
        <v>5</v>
      </c>
      <c r="M42" s="3" t="s">
        <v>41</v>
      </c>
      <c r="N42" s="3" t="s">
        <v>42</v>
      </c>
      <c r="O42" s="12" t="s">
        <v>43</v>
      </c>
      <c r="P42" s="2" t="str">
        <f aca="false">CONCATENATE(N42," ",O42)</f>
        <v>Agroeca proxima</v>
      </c>
      <c r="Q42" s="1" t="s">
        <v>30</v>
      </c>
      <c r="R42" s="1" t="s">
        <v>31</v>
      </c>
      <c r="S42" s="1" t="n">
        <v>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3" t="n">
        <f aca="false">SUM(S42:T42)</f>
        <v>1</v>
      </c>
      <c r="Z42" s="3" t="n">
        <f aca="false">SUM(U42:W42)</f>
        <v>0</v>
      </c>
      <c r="AA42" s="3" t="n">
        <f aca="false">SUM(S42:X42)</f>
        <v>1</v>
      </c>
      <c r="AB42" s="11" t="n">
        <f aca="false">(AA42/(K42*L42)*25)*4</f>
        <v>4</v>
      </c>
    </row>
    <row r="43" customFormat="false" ht="14.25" hidden="false" customHeight="false" outlineLevel="0" collapsed="false">
      <c r="A43" s="1" t="n">
        <v>2009</v>
      </c>
      <c r="B43" s="7" t="s">
        <v>322</v>
      </c>
      <c r="C43" s="7" t="n">
        <v>3</v>
      </c>
      <c r="D43" s="7" t="s">
        <v>294</v>
      </c>
      <c r="E43" s="7" t="s">
        <v>294</v>
      </c>
      <c r="F43" s="7" t="s">
        <v>51</v>
      </c>
      <c r="G43" s="1" t="n">
        <v>3</v>
      </c>
      <c r="H43" s="1" t="n">
        <v>13</v>
      </c>
      <c r="I43" s="10" t="n">
        <v>40051</v>
      </c>
      <c r="J43" s="10" t="n">
        <v>40056</v>
      </c>
      <c r="K43" s="1" t="n">
        <v>5</v>
      </c>
      <c r="L43" s="1" t="n">
        <v>5</v>
      </c>
      <c r="M43" s="3" t="s">
        <v>41</v>
      </c>
      <c r="N43" s="3" t="s">
        <v>42</v>
      </c>
      <c r="O43" s="12" t="s">
        <v>43</v>
      </c>
      <c r="P43" s="2" t="str">
        <f aca="false">CONCATENATE(N43," ",O43)</f>
        <v>Agroeca proxima</v>
      </c>
      <c r="Q43" s="1" t="s">
        <v>30</v>
      </c>
      <c r="R43" s="1" t="s">
        <v>31</v>
      </c>
      <c r="S43" s="1" t="n">
        <v>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3" t="n">
        <f aca="false">SUM(S43:T43)</f>
        <v>1</v>
      </c>
      <c r="Z43" s="3" t="n">
        <f aca="false">SUM(U43:W43)</f>
        <v>0</v>
      </c>
      <c r="AA43" s="3" t="n">
        <f aca="false">SUM(S43:X43)</f>
        <v>1</v>
      </c>
      <c r="AB43" s="11" t="n">
        <f aca="false">(AA43/(K43*L43)*25)*4</f>
        <v>4</v>
      </c>
    </row>
    <row r="44" customFormat="false" ht="14.25" hidden="false" customHeight="false" outlineLevel="0" collapsed="false">
      <c r="A44" s="1" t="n">
        <v>2009</v>
      </c>
      <c r="B44" s="7" t="s">
        <v>322</v>
      </c>
      <c r="C44" s="7" t="n">
        <v>3</v>
      </c>
      <c r="D44" s="7" t="s">
        <v>294</v>
      </c>
      <c r="E44" s="7" t="s">
        <v>294</v>
      </c>
      <c r="F44" s="7" t="s">
        <v>51</v>
      </c>
      <c r="G44" s="1" t="n">
        <v>3</v>
      </c>
      <c r="H44" s="1" t="n">
        <v>13</v>
      </c>
      <c r="I44" s="10" t="n">
        <v>40051</v>
      </c>
      <c r="J44" s="10" t="n">
        <v>40056</v>
      </c>
      <c r="K44" s="1" t="n">
        <v>5</v>
      </c>
      <c r="L44" s="1" t="n">
        <v>5</v>
      </c>
      <c r="M44" s="3" t="s">
        <v>32</v>
      </c>
      <c r="N44" s="3" t="s">
        <v>33</v>
      </c>
      <c r="O44" s="8" t="s">
        <v>81</v>
      </c>
      <c r="P44" s="2" t="str">
        <f aca="false">CONCATENATE(N44," ",O44)</f>
        <v>Tenuiphantes mengei</v>
      </c>
      <c r="Q44" s="1" t="s">
        <v>30</v>
      </c>
      <c r="R44" s="1" t="s">
        <v>35</v>
      </c>
      <c r="S44" s="1" t="n">
        <v>0</v>
      </c>
      <c r="T44" s="1" t="n">
        <v>1</v>
      </c>
      <c r="U44" s="1" t="n">
        <v>0</v>
      </c>
      <c r="V44" s="1" t="n">
        <v>0</v>
      </c>
      <c r="W44" s="1" t="n">
        <v>0</v>
      </c>
      <c r="X44" s="1" t="n">
        <v>0</v>
      </c>
      <c r="Y44" s="3" t="n">
        <f aca="false">SUM(S44:T44)</f>
        <v>1</v>
      </c>
      <c r="Z44" s="3" t="n">
        <f aca="false">SUM(U44:W44)</f>
        <v>0</v>
      </c>
      <c r="AA44" s="3" t="n">
        <f aca="false">SUM(S44:X44)</f>
        <v>1</v>
      </c>
      <c r="AB44" s="11" t="n">
        <f aca="false">(AA44/(K44*L44)*25)*4</f>
        <v>4</v>
      </c>
    </row>
    <row r="45" customFormat="false" ht="14.25" hidden="false" customHeight="false" outlineLevel="0" collapsed="false">
      <c r="A45" s="1" t="n">
        <v>2009</v>
      </c>
      <c r="B45" s="7" t="s">
        <v>322</v>
      </c>
      <c r="C45" s="7" t="n">
        <v>3</v>
      </c>
      <c r="D45" s="7" t="s">
        <v>294</v>
      </c>
      <c r="E45" s="7" t="s">
        <v>294</v>
      </c>
      <c r="F45" s="7" t="s">
        <v>51</v>
      </c>
      <c r="G45" s="1" t="n">
        <v>3</v>
      </c>
      <c r="H45" s="1" t="n">
        <v>14</v>
      </c>
      <c r="I45" s="10" t="n">
        <v>40051</v>
      </c>
      <c r="J45" s="10" t="n">
        <v>40056</v>
      </c>
      <c r="K45" s="1" t="n">
        <v>5</v>
      </c>
      <c r="L45" s="1" t="n">
        <v>5</v>
      </c>
      <c r="M45" s="3" t="s">
        <v>32</v>
      </c>
      <c r="N45" s="3" t="s">
        <v>33</v>
      </c>
      <c r="O45" s="8" t="s">
        <v>81</v>
      </c>
      <c r="P45" s="2" t="str">
        <f aca="false">CONCATENATE(N45," ",O45)</f>
        <v>Tenuiphantes mengei</v>
      </c>
      <c r="Q45" s="1" t="s">
        <v>30</v>
      </c>
      <c r="R45" s="1" t="s">
        <v>35</v>
      </c>
      <c r="S45" s="1" t="n">
        <v>0</v>
      </c>
      <c r="T45" s="1" t="n">
        <v>1</v>
      </c>
      <c r="U45" s="1" t="n">
        <v>0</v>
      </c>
      <c r="V45" s="1" t="n">
        <v>0</v>
      </c>
      <c r="W45" s="1" t="n">
        <v>0</v>
      </c>
      <c r="X45" s="1" t="n">
        <v>0</v>
      </c>
      <c r="Y45" s="3" t="n">
        <f aca="false">SUM(S45:T45)</f>
        <v>1</v>
      </c>
      <c r="Z45" s="3" t="n">
        <f aca="false">SUM(U45:W45)</f>
        <v>0</v>
      </c>
      <c r="AA45" s="3" t="n">
        <f aca="false">SUM(S45:X45)</f>
        <v>1</v>
      </c>
      <c r="AB45" s="11" t="n">
        <f aca="false">(AA45/(K45*L45)*25)*4</f>
        <v>4</v>
      </c>
    </row>
    <row r="46" customFormat="false" ht="14.25" hidden="false" customHeight="false" outlineLevel="0" collapsed="false">
      <c r="A46" s="1" t="n">
        <v>2009</v>
      </c>
      <c r="B46" s="7" t="s">
        <v>322</v>
      </c>
      <c r="C46" s="7" t="n">
        <v>3</v>
      </c>
      <c r="D46" s="7" t="s">
        <v>294</v>
      </c>
      <c r="E46" s="7" t="s">
        <v>294</v>
      </c>
      <c r="F46" s="7" t="s">
        <v>51</v>
      </c>
      <c r="G46" s="1" t="n">
        <v>3</v>
      </c>
      <c r="H46" s="1" t="n">
        <v>14</v>
      </c>
      <c r="I46" s="10" t="n">
        <v>40051</v>
      </c>
      <c r="J46" s="10" t="n">
        <v>40056</v>
      </c>
      <c r="K46" s="1" t="n">
        <v>5</v>
      </c>
      <c r="L46" s="1" t="n">
        <v>5</v>
      </c>
      <c r="M46" s="3" t="s">
        <v>41</v>
      </c>
      <c r="N46" s="3" t="s">
        <v>42</v>
      </c>
      <c r="O46" s="12" t="s">
        <v>43</v>
      </c>
      <c r="P46" s="2" t="str">
        <f aca="false">CONCATENATE(N46," ",O46)</f>
        <v>Agroeca proxima</v>
      </c>
      <c r="Q46" s="1" t="s">
        <v>30</v>
      </c>
      <c r="R46" s="1" t="s">
        <v>31</v>
      </c>
      <c r="S46" s="1" t="n">
        <v>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3" t="n">
        <f aca="false">SUM(S46:T46)</f>
        <v>1</v>
      </c>
      <c r="Z46" s="3" t="n">
        <f aca="false">SUM(U46:W46)</f>
        <v>0</v>
      </c>
      <c r="AA46" s="3" t="n">
        <f aca="false">SUM(S46:X46)</f>
        <v>1</v>
      </c>
      <c r="AB46" s="11" t="n">
        <f aca="false">(AA46/(K46*L46)*25)*4</f>
        <v>4</v>
      </c>
    </row>
    <row r="47" customFormat="false" ht="14.25" hidden="false" customHeight="false" outlineLevel="0" collapsed="false">
      <c r="A47" s="1" t="n">
        <v>2009</v>
      </c>
      <c r="B47" s="7" t="s">
        <v>322</v>
      </c>
      <c r="C47" s="7" t="n">
        <v>3</v>
      </c>
      <c r="D47" s="7" t="s">
        <v>293</v>
      </c>
      <c r="E47" s="7" t="s">
        <v>293</v>
      </c>
      <c r="F47" s="7" t="s">
        <v>26</v>
      </c>
      <c r="G47" s="1" t="n">
        <v>1</v>
      </c>
      <c r="H47" s="1" t="n">
        <v>4</v>
      </c>
      <c r="I47" s="10" t="n">
        <v>40052</v>
      </c>
      <c r="J47" s="10" t="n">
        <v>40057</v>
      </c>
      <c r="K47" s="1" t="n">
        <v>5</v>
      </c>
      <c r="L47" s="1" t="n">
        <v>5</v>
      </c>
      <c r="M47" s="3" t="s">
        <v>32</v>
      </c>
      <c r="N47" s="3" t="s">
        <v>68</v>
      </c>
      <c r="O47" s="8" t="s">
        <v>69</v>
      </c>
      <c r="P47" s="2" t="str">
        <f aca="false">CONCATENATE(N47," ",O47)</f>
        <v>Centromerus sylvaticus</v>
      </c>
      <c r="Q47" s="1" t="s">
        <v>30</v>
      </c>
      <c r="R47" s="1" t="s">
        <v>31</v>
      </c>
      <c r="S47" s="1" t="n">
        <v>1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3" t="n">
        <f aca="false">SUM(S47:T47)</f>
        <v>1</v>
      </c>
      <c r="Z47" s="3" t="n">
        <f aca="false">SUM(U47:W47)</f>
        <v>0</v>
      </c>
      <c r="AA47" s="3" t="n">
        <f aca="false">SUM(S47:X47)</f>
        <v>1</v>
      </c>
      <c r="AB47" s="11" t="n">
        <f aca="false">(AA47/(K47*L47)*25)*4</f>
        <v>4</v>
      </c>
    </row>
    <row r="48" customFormat="false" ht="14.25" hidden="false" customHeight="false" outlineLevel="0" collapsed="false">
      <c r="A48" s="1" t="n">
        <v>2009</v>
      </c>
      <c r="B48" s="7" t="s">
        <v>322</v>
      </c>
      <c r="C48" s="7" t="n">
        <v>3</v>
      </c>
      <c r="D48" s="7" t="s">
        <v>293</v>
      </c>
      <c r="E48" s="7" t="s">
        <v>293</v>
      </c>
      <c r="F48" s="7" t="s">
        <v>26</v>
      </c>
      <c r="G48" s="1" t="n">
        <v>1</v>
      </c>
      <c r="H48" s="1" t="n">
        <v>4</v>
      </c>
      <c r="I48" s="10" t="n">
        <v>40052</v>
      </c>
      <c r="J48" s="10" t="n">
        <v>40057</v>
      </c>
      <c r="K48" s="1" t="n">
        <v>5</v>
      </c>
      <c r="L48" s="1" t="n">
        <v>5</v>
      </c>
      <c r="M48" s="3" t="s">
        <v>41</v>
      </c>
      <c r="N48" s="3" t="s">
        <v>42</v>
      </c>
      <c r="O48" s="12" t="s">
        <v>43</v>
      </c>
      <c r="P48" s="2" t="str">
        <f aca="false">CONCATENATE(N48," ",O48)</f>
        <v>Agroeca proxima</v>
      </c>
      <c r="Q48" s="1" t="s">
        <v>30</v>
      </c>
      <c r="R48" s="1" t="s">
        <v>31</v>
      </c>
      <c r="S48" s="1" t="n">
        <v>1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3" t="n">
        <f aca="false">SUM(S48:T48)</f>
        <v>1</v>
      </c>
      <c r="Z48" s="3" t="n">
        <f aca="false">SUM(U48:W48)</f>
        <v>0</v>
      </c>
      <c r="AA48" s="3" t="n">
        <f aca="false">SUM(S48:X48)</f>
        <v>1</v>
      </c>
      <c r="AB48" s="11" t="n">
        <f aca="false">(AA48/(K48*L48)*25)*4</f>
        <v>4</v>
      </c>
    </row>
    <row r="49" customFormat="false" ht="14.25" hidden="false" customHeight="false" outlineLevel="0" collapsed="false">
      <c r="A49" s="1" t="n">
        <v>2009</v>
      </c>
      <c r="B49" s="7" t="s">
        <v>322</v>
      </c>
      <c r="C49" s="7" t="n">
        <v>3</v>
      </c>
      <c r="D49" s="7" t="s">
        <v>293</v>
      </c>
      <c r="E49" s="7" t="s">
        <v>293</v>
      </c>
      <c r="F49" s="7" t="s">
        <v>26</v>
      </c>
      <c r="G49" s="1" t="n">
        <v>1</v>
      </c>
      <c r="H49" s="1" t="n">
        <v>4</v>
      </c>
      <c r="I49" s="10" t="n">
        <v>40052</v>
      </c>
      <c r="J49" s="10" t="n">
        <v>40057</v>
      </c>
      <c r="K49" s="1" t="n">
        <v>5</v>
      </c>
      <c r="L49" s="1" t="n">
        <v>5</v>
      </c>
      <c r="M49" s="3" t="s">
        <v>27</v>
      </c>
      <c r="N49" s="3" t="s">
        <v>28</v>
      </c>
      <c r="O49" s="8" t="s">
        <v>29</v>
      </c>
      <c r="P49" s="2" t="str">
        <f aca="false">CONCATENATE(N49," ",O49)</f>
        <v>Robertus lividus</v>
      </c>
      <c r="Q49" s="1" t="s">
        <v>30</v>
      </c>
      <c r="R49" s="1" t="s">
        <v>35</v>
      </c>
      <c r="S49" s="1" t="n">
        <v>0</v>
      </c>
      <c r="T49" s="1" t="n">
        <v>1</v>
      </c>
      <c r="U49" s="1" t="n">
        <v>0</v>
      </c>
      <c r="V49" s="1" t="n">
        <v>0</v>
      </c>
      <c r="W49" s="1" t="n">
        <v>0</v>
      </c>
      <c r="X49" s="1" t="n">
        <v>0</v>
      </c>
      <c r="Y49" s="3" t="n">
        <f aca="false">SUM(S49:T49)</f>
        <v>1</v>
      </c>
      <c r="Z49" s="3" t="n">
        <f aca="false">SUM(U49:W49)</f>
        <v>0</v>
      </c>
      <c r="AA49" s="3" t="n">
        <f aca="false">SUM(S49:X49)</f>
        <v>1</v>
      </c>
      <c r="AB49" s="11" t="n">
        <f aca="false">(AA49/(K49*L49)*25)*4</f>
        <v>4</v>
      </c>
    </row>
    <row r="50" customFormat="false" ht="14.25" hidden="false" customHeight="false" outlineLevel="0" collapsed="false">
      <c r="A50" s="1" t="n">
        <v>2009</v>
      </c>
      <c r="B50" s="7" t="s">
        <v>322</v>
      </c>
      <c r="C50" s="7" t="n">
        <v>3</v>
      </c>
      <c r="D50" s="7" t="s">
        <v>293</v>
      </c>
      <c r="E50" s="7" t="s">
        <v>293</v>
      </c>
      <c r="F50" s="7" t="s">
        <v>26</v>
      </c>
      <c r="G50" s="1" t="n">
        <v>1</v>
      </c>
      <c r="H50" s="1" t="n">
        <v>4</v>
      </c>
      <c r="I50" s="10" t="n">
        <v>40052</v>
      </c>
      <c r="J50" s="10" t="n">
        <v>40057</v>
      </c>
      <c r="K50" s="1" t="n">
        <v>5</v>
      </c>
      <c r="L50" s="1" t="n">
        <v>5</v>
      </c>
      <c r="M50" s="3" t="s">
        <v>32</v>
      </c>
      <c r="N50" s="3" t="s">
        <v>33</v>
      </c>
      <c r="O50" s="8" t="s">
        <v>60</v>
      </c>
      <c r="P50" s="2" t="str">
        <f aca="false">CONCATENATE(N50," ",O50)</f>
        <v>Tenuiphantes tenebricola</v>
      </c>
      <c r="Q50" s="1" t="s">
        <v>30</v>
      </c>
      <c r="R50" s="1" t="s">
        <v>31</v>
      </c>
      <c r="S50" s="1" t="n">
        <v>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3" t="n">
        <f aca="false">SUM(S50:T50)</f>
        <v>1</v>
      </c>
      <c r="Z50" s="3" t="n">
        <f aca="false">SUM(U50:W50)</f>
        <v>0</v>
      </c>
      <c r="AA50" s="3" t="n">
        <f aca="false">SUM(S50:X50)</f>
        <v>1</v>
      </c>
      <c r="AB50" s="11" t="n">
        <f aca="false">(AA50/(K50*L50)*25)*4</f>
        <v>4</v>
      </c>
    </row>
    <row r="51" customFormat="false" ht="14.25" hidden="false" customHeight="false" outlineLevel="0" collapsed="false">
      <c r="A51" s="1" t="n">
        <v>2009</v>
      </c>
      <c r="B51" s="7" t="s">
        <v>322</v>
      </c>
      <c r="C51" s="7" t="n">
        <v>3</v>
      </c>
      <c r="D51" s="7" t="s">
        <v>294</v>
      </c>
      <c r="E51" s="7" t="s">
        <v>294</v>
      </c>
      <c r="F51" s="7" t="s">
        <v>51</v>
      </c>
      <c r="G51" s="1" t="n">
        <v>3</v>
      </c>
      <c r="H51" s="1" t="n">
        <v>11</v>
      </c>
      <c r="I51" s="10" t="n">
        <v>40051</v>
      </c>
      <c r="J51" s="10" t="n">
        <v>40056</v>
      </c>
      <c r="K51" s="1" t="n">
        <v>5</v>
      </c>
      <c r="L51" s="1" t="n">
        <v>5</v>
      </c>
      <c r="M51" s="3" t="s">
        <v>48</v>
      </c>
      <c r="N51" s="3" t="s">
        <v>61</v>
      </c>
      <c r="O51" s="8" t="s">
        <v>82</v>
      </c>
      <c r="P51" s="2" t="str">
        <f aca="false">CONCATENATE(N51," ",O51)</f>
        <v>Trochosa terricola</v>
      </c>
      <c r="Q51" s="1" t="s">
        <v>30</v>
      </c>
      <c r="R51" s="1" t="s">
        <v>35</v>
      </c>
      <c r="S51" s="1" t="n">
        <v>0</v>
      </c>
      <c r="T51" s="1" t="n">
        <v>1</v>
      </c>
      <c r="U51" s="1" t="n">
        <v>0</v>
      </c>
      <c r="V51" s="1" t="n">
        <v>0</v>
      </c>
      <c r="W51" s="1" t="n">
        <v>0</v>
      </c>
      <c r="X51" s="1" t="n">
        <v>0</v>
      </c>
      <c r="Y51" s="3" t="n">
        <f aca="false">SUM(S51:T51)</f>
        <v>1</v>
      </c>
      <c r="Z51" s="3" t="n">
        <f aca="false">SUM(U51:W51)</f>
        <v>0</v>
      </c>
      <c r="AA51" s="3" t="n">
        <f aca="false">SUM(S51:X51)</f>
        <v>1</v>
      </c>
      <c r="AB51" s="11" t="n">
        <f aca="false">(AA51/(K51*L51)*25)*4</f>
        <v>4</v>
      </c>
    </row>
    <row r="52" customFormat="false" ht="14.25" hidden="false" customHeight="false" outlineLevel="0" collapsed="false">
      <c r="A52" s="1" t="n">
        <v>2009</v>
      </c>
      <c r="B52" s="7" t="s">
        <v>322</v>
      </c>
      <c r="C52" s="7" t="n">
        <v>3</v>
      </c>
      <c r="D52" s="7" t="s">
        <v>294</v>
      </c>
      <c r="E52" s="7" t="s">
        <v>294</v>
      </c>
      <c r="F52" s="7" t="s">
        <v>51</v>
      </c>
      <c r="G52" s="1" t="n">
        <v>3</v>
      </c>
      <c r="H52" s="1" t="n">
        <v>11</v>
      </c>
      <c r="I52" s="10" t="n">
        <v>40051</v>
      </c>
      <c r="J52" s="10" t="n">
        <v>40056</v>
      </c>
      <c r="K52" s="1" t="n">
        <v>5</v>
      </c>
      <c r="L52" s="1" t="n">
        <v>5</v>
      </c>
      <c r="M52" s="3" t="s">
        <v>27</v>
      </c>
      <c r="N52" s="3" t="s">
        <v>28</v>
      </c>
      <c r="O52" s="8" t="s">
        <v>29</v>
      </c>
      <c r="P52" s="2" t="str">
        <f aca="false">CONCATENATE(N52," ",O52)</f>
        <v>Robertus lividus</v>
      </c>
      <c r="Q52" s="1" t="s">
        <v>30</v>
      </c>
      <c r="R52" s="1" t="s">
        <v>31</v>
      </c>
      <c r="S52" s="1" t="n">
        <v>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3" t="n">
        <f aca="false">SUM(S52:T52)</f>
        <v>2</v>
      </c>
      <c r="Z52" s="3" t="n">
        <f aca="false">SUM(U52:W52)</f>
        <v>0</v>
      </c>
      <c r="AA52" s="3" t="n">
        <f aca="false">SUM(S52:X52)</f>
        <v>2</v>
      </c>
      <c r="AB52" s="11" t="n">
        <f aca="false">(AA52/(K52*L52)*25)*4</f>
        <v>8</v>
      </c>
    </row>
    <row r="53" customFormat="false" ht="14.25" hidden="false" customHeight="false" outlineLevel="0" collapsed="false">
      <c r="A53" s="1" t="n">
        <v>2009</v>
      </c>
      <c r="B53" s="7" t="s">
        <v>322</v>
      </c>
      <c r="C53" s="7" t="n">
        <v>3</v>
      </c>
      <c r="D53" s="7" t="s">
        <v>294</v>
      </c>
      <c r="E53" s="7" t="s">
        <v>294</v>
      </c>
      <c r="F53" s="7" t="s">
        <v>51</v>
      </c>
      <c r="G53" s="1" t="n">
        <v>2</v>
      </c>
      <c r="H53" s="1" t="n">
        <v>10</v>
      </c>
      <c r="I53" s="10" t="n">
        <v>40051</v>
      </c>
      <c r="J53" s="10" t="n">
        <v>40056</v>
      </c>
      <c r="K53" s="1" t="n">
        <v>5</v>
      </c>
      <c r="L53" s="1" t="n">
        <v>5</v>
      </c>
      <c r="M53" s="3" t="s">
        <v>48</v>
      </c>
      <c r="N53" s="3" t="s">
        <v>61</v>
      </c>
      <c r="O53" s="8" t="s">
        <v>82</v>
      </c>
      <c r="P53" s="2" t="str">
        <f aca="false">CONCATENATE(N53," ",O53)</f>
        <v>Trochosa terricola</v>
      </c>
      <c r="Q53" s="1" t="s">
        <v>30</v>
      </c>
      <c r="R53" s="1" t="s">
        <v>31</v>
      </c>
      <c r="S53" s="1" t="n">
        <v>2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3" t="n">
        <f aca="false">SUM(S53:T53)</f>
        <v>2</v>
      </c>
      <c r="Z53" s="3" t="n">
        <f aca="false">SUM(U53:W53)</f>
        <v>0</v>
      </c>
      <c r="AA53" s="3" t="n">
        <f aca="false">SUM(S53:X53)</f>
        <v>2</v>
      </c>
      <c r="AB53" s="11" t="n">
        <f aca="false">(AA53/(K53*L53)*25)*4</f>
        <v>8</v>
      </c>
    </row>
    <row r="54" customFormat="false" ht="14.25" hidden="false" customHeight="false" outlineLevel="0" collapsed="false">
      <c r="A54" s="1" t="n">
        <v>2009</v>
      </c>
      <c r="B54" s="7" t="s">
        <v>322</v>
      </c>
      <c r="C54" s="7" t="n">
        <v>3</v>
      </c>
      <c r="D54" s="7" t="s">
        <v>294</v>
      </c>
      <c r="E54" s="7" t="s">
        <v>294</v>
      </c>
      <c r="F54" s="7" t="s">
        <v>51</v>
      </c>
      <c r="G54" s="1" t="n">
        <v>2</v>
      </c>
      <c r="H54" s="1" t="n">
        <v>10</v>
      </c>
      <c r="I54" s="10" t="n">
        <v>40051</v>
      </c>
      <c r="J54" s="10" t="n">
        <v>40056</v>
      </c>
      <c r="K54" s="1" t="n">
        <v>5</v>
      </c>
      <c r="L54" s="1" t="n">
        <v>5</v>
      </c>
      <c r="M54" s="3" t="s">
        <v>41</v>
      </c>
      <c r="N54" s="3" t="s">
        <v>42</v>
      </c>
      <c r="O54" s="12" t="s">
        <v>43</v>
      </c>
      <c r="P54" s="2" t="str">
        <f aca="false">CONCATENATE(N54," ",O54)</f>
        <v>Agroeca proxima</v>
      </c>
      <c r="Q54" s="1" t="s">
        <v>30</v>
      </c>
      <c r="R54" s="1" t="s">
        <v>31</v>
      </c>
      <c r="S54" s="1" t="n">
        <v>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3" t="n">
        <f aca="false">SUM(S54:T54)</f>
        <v>1</v>
      </c>
      <c r="Z54" s="3" t="n">
        <f aca="false">SUM(U54:W54)</f>
        <v>0</v>
      </c>
      <c r="AA54" s="3" t="n">
        <f aca="false">SUM(S54:X54)</f>
        <v>1</v>
      </c>
      <c r="AB54" s="11" t="n">
        <f aca="false">(AA54/(K54*L54)*25)*4</f>
        <v>4</v>
      </c>
    </row>
    <row r="55" customFormat="false" ht="14.25" hidden="false" customHeight="false" outlineLevel="0" collapsed="false">
      <c r="A55" s="1" t="n">
        <v>2009</v>
      </c>
      <c r="B55" s="7" t="s">
        <v>322</v>
      </c>
      <c r="C55" s="7" t="n">
        <v>3</v>
      </c>
      <c r="D55" s="7" t="s">
        <v>294</v>
      </c>
      <c r="E55" s="7" t="s">
        <v>294</v>
      </c>
      <c r="F55" s="7" t="s">
        <v>51</v>
      </c>
      <c r="G55" s="1" t="n">
        <v>2</v>
      </c>
      <c r="H55" s="1" t="n">
        <v>10</v>
      </c>
      <c r="I55" s="10" t="n">
        <v>40051</v>
      </c>
      <c r="J55" s="10" t="n">
        <v>40056</v>
      </c>
      <c r="K55" s="1" t="n">
        <v>5</v>
      </c>
      <c r="L55" s="1" t="n">
        <v>5</v>
      </c>
      <c r="M55" s="3" t="s">
        <v>36</v>
      </c>
      <c r="N55" s="3" t="s">
        <v>37</v>
      </c>
      <c r="O55" s="8" t="s">
        <v>75</v>
      </c>
      <c r="P55" s="2" t="str">
        <f aca="false">CONCATENATE(N55," ",O55)</f>
        <v>Ozyptila praticola</v>
      </c>
      <c r="Q55" s="1" t="s">
        <v>30</v>
      </c>
      <c r="R55" s="1" t="s">
        <v>31</v>
      </c>
      <c r="S55" s="1" t="n">
        <v>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3" t="n">
        <f aca="false">SUM(S55:T55)</f>
        <v>1</v>
      </c>
      <c r="Z55" s="3" t="n">
        <f aca="false">SUM(U55:W55)</f>
        <v>0</v>
      </c>
      <c r="AA55" s="3" t="n">
        <f aca="false">SUM(S55:X55)</f>
        <v>1</v>
      </c>
      <c r="AB55" s="11" t="n">
        <f aca="false">(AA55/(K55*L55)*25)*4</f>
        <v>4</v>
      </c>
    </row>
    <row r="56" customFormat="false" ht="14.25" hidden="false" customHeight="false" outlineLevel="0" collapsed="false">
      <c r="A56" s="1" t="n">
        <v>2009</v>
      </c>
      <c r="B56" s="7" t="s">
        <v>322</v>
      </c>
      <c r="C56" s="7" t="n">
        <v>3</v>
      </c>
      <c r="D56" s="7" t="s">
        <v>294</v>
      </c>
      <c r="E56" s="7" t="s">
        <v>294</v>
      </c>
      <c r="F56" s="7" t="s">
        <v>51</v>
      </c>
      <c r="G56" s="1" t="n">
        <v>3</v>
      </c>
      <c r="H56" s="1" t="n">
        <v>15</v>
      </c>
      <c r="I56" s="10" t="n">
        <v>40051</v>
      </c>
      <c r="J56" s="10" t="n">
        <v>40056</v>
      </c>
      <c r="K56" s="1" t="n">
        <v>5</v>
      </c>
      <c r="L56" s="1" t="n">
        <v>5</v>
      </c>
      <c r="M56" s="3" t="s">
        <v>36</v>
      </c>
      <c r="N56" s="3" t="s">
        <v>37</v>
      </c>
      <c r="O56" s="8" t="s">
        <v>75</v>
      </c>
      <c r="P56" s="2" t="str">
        <f aca="false">CONCATENATE(N56," ",O56)</f>
        <v>Ozyptila praticola</v>
      </c>
      <c r="Q56" s="1" t="s">
        <v>30</v>
      </c>
      <c r="R56" s="1" t="s">
        <v>31</v>
      </c>
      <c r="S56" s="1" t="n">
        <v>1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3" t="n">
        <f aca="false">SUM(S56:T56)</f>
        <v>1</v>
      </c>
      <c r="Z56" s="3" t="n">
        <f aca="false">SUM(U56:W56)</f>
        <v>0</v>
      </c>
      <c r="AA56" s="3" t="n">
        <f aca="false">SUM(S56:X56)</f>
        <v>1</v>
      </c>
      <c r="AB56" s="11" t="n">
        <f aca="false">(AA56/(K56*L56)*25)*4</f>
        <v>4</v>
      </c>
    </row>
    <row r="57" customFormat="false" ht="14.25" hidden="false" customHeight="false" outlineLevel="0" collapsed="false">
      <c r="A57" s="1" t="n">
        <v>2009</v>
      </c>
      <c r="B57" s="7" t="s">
        <v>322</v>
      </c>
      <c r="C57" s="7" t="n">
        <v>3</v>
      </c>
      <c r="D57" s="7" t="s">
        <v>294</v>
      </c>
      <c r="E57" s="7" t="s">
        <v>294</v>
      </c>
      <c r="F57" s="7" t="s">
        <v>51</v>
      </c>
      <c r="G57" s="1" t="n">
        <v>3</v>
      </c>
      <c r="H57" s="1" t="n">
        <v>15</v>
      </c>
      <c r="I57" s="10" t="n">
        <v>40051</v>
      </c>
      <c r="J57" s="10" t="n">
        <v>40056</v>
      </c>
      <c r="K57" s="1" t="n">
        <v>5</v>
      </c>
      <c r="L57" s="1" t="n">
        <v>5</v>
      </c>
      <c r="M57" s="3" t="s">
        <v>36</v>
      </c>
      <c r="N57" s="3" t="s">
        <v>37</v>
      </c>
      <c r="O57" s="8" t="s">
        <v>75</v>
      </c>
      <c r="P57" s="2" t="str">
        <f aca="false">CONCATENATE(N57," ",O57)</f>
        <v>Ozyptila praticola</v>
      </c>
      <c r="Q57" s="1" t="s">
        <v>30</v>
      </c>
      <c r="R57" s="1" t="s">
        <v>35</v>
      </c>
      <c r="S57" s="1" t="n">
        <v>0</v>
      </c>
      <c r="T57" s="1" t="n">
        <v>1</v>
      </c>
      <c r="U57" s="1" t="n">
        <v>0</v>
      </c>
      <c r="V57" s="1" t="n">
        <v>0</v>
      </c>
      <c r="W57" s="1" t="n">
        <v>0</v>
      </c>
      <c r="X57" s="1" t="n">
        <v>0</v>
      </c>
      <c r="Y57" s="3" t="n">
        <f aca="false">SUM(S57:T57)</f>
        <v>1</v>
      </c>
      <c r="Z57" s="3" t="n">
        <f aca="false">SUM(U57:W57)</f>
        <v>0</v>
      </c>
      <c r="AA57" s="3" t="n">
        <f aca="false">SUM(S57:X57)</f>
        <v>1</v>
      </c>
      <c r="AB57" s="11" t="n">
        <f aca="false">(AA57/(K57*L57)*25)*4</f>
        <v>4</v>
      </c>
    </row>
    <row r="58" customFormat="false" ht="14.25" hidden="false" customHeight="false" outlineLevel="0" collapsed="false">
      <c r="A58" s="1" t="n">
        <v>2009</v>
      </c>
      <c r="B58" s="7" t="s">
        <v>322</v>
      </c>
      <c r="C58" s="7" t="n">
        <v>3</v>
      </c>
      <c r="D58" s="7" t="s">
        <v>294</v>
      </c>
      <c r="E58" s="7" t="s">
        <v>294</v>
      </c>
      <c r="F58" s="7" t="s">
        <v>51</v>
      </c>
      <c r="G58" s="1" t="n">
        <v>3</v>
      </c>
      <c r="H58" s="1" t="n">
        <v>15</v>
      </c>
      <c r="I58" s="10" t="n">
        <v>40051</v>
      </c>
      <c r="J58" s="10" t="n">
        <v>40056</v>
      </c>
      <c r="K58" s="1" t="n">
        <v>5</v>
      </c>
      <c r="L58" s="1" t="n">
        <v>5</v>
      </c>
      <c r="M58" s="3" t="s">
        <v>27</v>
      </c>
      <c r="N58" s="3" t="s">
        <v>28</v>
      </c>
      <c r="O58" s="8" t="s">
        <v>29</v>
      </c>
      <c r="P58" s="2" t="str">
        <f aca="false">CONCATENATE(N58," ",O58)</f>
        <v>Robertus lividus</v>
      </c>
      <c r="Q58" s="1" t="s">
        <v>30</v>
      </c>
      <c r="R58" s="1" t="s">
        <v>31</v>
      </c>
      <c r="S58" s="1" t="n">
        <v>1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3" t="n">
        <f aca="false">SUM(S58:T58)</f>
        <v>1</v>
      </c>
      <c r="Z58" s="3" t="n">
        <f aca="false">SUM(U58:W58)</f>
        <v>0</v>
      </c>
      <c r="AA58" s="3" t="n">
        <f aca="false">SUM(S58:X58)</f>
        <v>1</v>
      </c>
      <c r="AB58" s="11" t="n">
        <f aca="false">(AA58/(K58*L58)*25)*4</f>
        <v>4</v>
      </c>
    </row>
    <row r="59" customFormat="false" ht="14.25" hidden="false" customHeight="false" outlineLevel="0" collapsed="false">
      <c r="A59" s="1" t="n">
        <v>2009</v>
      </c>
      <c r="B59" s="7" t="s">
        <v>322</v>
      </c>
      <c r="C59" s="7" t="n">
        <v>3</v>
      </c>
      <c r="D59" s="7" t="s">
        <v>294</v>
      </c>
      <c r="E59" s="7" t="s">
        <v>294</v>
      </c>
      <c r="F59" s="7" t="s">
        <v>51</v>
      </c>
      <c r="G59" s="1" t="n">
        <v>1</v>
      </c>
      <c r="H59" s="1" t="n">
        <v>4</v>
      </c>
      <c r="I59" s="10" t="n">
        <v>40051</v>
      </c>
      <c r="J59" s="10" t="n">
        <v>40056</v>
      </c>
      <c r="K59" s="1" t="n">
        <v>5</v>
      </c>
      <c r="L59" s="1" t="n">
        <v>5</v>
      </c>
      <c r="M59" s="3" t="s">
        <v>41</v>
      </c>
      <c r="N59" s="3" t="s">
        <v>42</v>
      </c>
      <c r="O59" s="12" t="s">
        <v>43</v>
      </c>
      <c r="P59" s="2" t="str">
        <f aca="false">CONCATENATE(N59," ",O59)</f>
        <v>Agroeca proxima</v>
      </c>
      <c r="Q59" s="1" t="s">
        <v>30</v>
      </c>
      <c r="R59" s="1" t="s">
        <v>31</v>
      </c>
      <c r="S59" s="1" t="n">
        <v>3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3" t="n">
        <f aca="false">SUM(S59:T59)</f>
        <v>3</v>
      </c>
      <c r="Z59" s="3" t="n">
        <f aca="false">SUM(U59:W59)</f>
        <v>0</v>
      </c>
      <c r="AA59" s="3" t="n">
        <f aca="false">SUM(S59:X59)</f>
        <v>3</v>
      </c>
      <c r="AB59" s="11" t="n">
        <f aca="false">(AA59/(K59*L59)*25)*4</f>
        <v>12</v>
      </c>
    </row>
    <row r="60" customFormat="false" ht="14.25" hidden="false" customHeight="false" outlineLevel="0" collapsed="false">
      <c r="A60" s="1" t="n">
        <v>2009</v>
      </c>
      <c r="B60" s="7" t="s">
        <v>322</v>
      </c>
      <c r="C60" s="7" t="n">
        <v>3</v>
      </c>
      <c r="D60" s="7" t="s">
        <v>294</v>
      </c>
      <c r="E60" s="7" t="s">
        <v>294</v>
      </c>
      <c r="F60" s="7" t="s">
        <v>51</v>
      </c>
      <c r="G60" s="1" t="n">
        <v>1</v>
      </c>
      <c r="H60" s="1" t="n">
        <v>4</v>
      </c>
      <c r="I60" s="10" t="n">
        <v>40051</v>
      </c>
      <c r="J60" s="10" t="n">
        <v>40056</v>
      </c>
      <c r="K60" s="1" t="n">
        <v>5</v>
      </c>
      <c r="L60" s="1" t="n">
        <v>5</v>
      </c>
      <c r="M60" s="3" t="s">
        <v>41</v>
      </c>
      <c r="N60" s="3" t="s">
        <v>42</v>
      </c>
      <c r="O60" s="12" t="s">
        <v>43</v>
      </c>
      <c r="P60" s="2" t="str">
        <f aca="false">CONCATENATE(N60," ",O60)</f>
        <v>Agroeca proxima</v>
      </c>
      <c r="Q60" s="1" t="s">
        <v>30</v>
      </c>
      <c r="R60" s="1" t="s">
        <v>35</v>
      </c>
      <c r="S60" s="1" t="n">
        <v>0</v>
      </c>
      <c r="T60" s="1" t="n">
        <v>1</v>
      </c>
      <c r="U60" s="1" t="n">
        <v>0</v>
      </c>
      <c r="V60" s="1" t="n">
        <v>0</v>
      </c>
      <c r="W60" s="1" t="n">
        <v>0</v>
      </c>
      <c r="X60" s="1" t="n">
        <v>0</v>
      </c>
      <c r="Y60" s="3" t="n">
        <f aca="false">SUM(S60:T60)</f>
        <v>1</v>
      </c>
      <c r="Z60" s="3" t="n">
        <f aca="false">SUM(U60:W60)</f>
        <v>0</v>
      </c>
      <c r="AA60" s="3" t="n">
        <f aca="false">SUM(S60:X60)</f>
        <v>1</v>
      </c>
      <c r="AB60" s="11" t="n">
        <f aca="false">(AA60/(K60*L60)*25)*4</f>
        <v>4</v>
      </c>
    </row>
    <row r="61" customFormat="false" ht="14.25" hidden="false" customHeight="false" outlineLevel="0" collapsed="false">
      <c r="A61" s="1" t="n">
        <v>2009</v>
      </c>
      <c r="B61" s="7" t="s">
        <v>322</v>
      </c>
      <c r="C61" s="7" t="n">
        <v>3</v>
      </c>
      <c r="D61" s="7" t="s">
        <v>294</v>
      </c>
      <c r="E61" s="7" t="s">
        <v>294</v>
      </c>
      <c r="F61" s="7" t="s">
        <v>83</v>
      </c>
      <c r="G61" s="1" t="n">
        <v>1</v>
      </c>
      <c r="H61" s="1" t="n">
        <v>5</v>
      </c>
      <c r="I61" s="10" t="n">
        <v>40051</v>
      </c>
      <c r="J61" s="10" t="n">
        <v>40056</v>
      </c>
      <c r="K61" s="1" t="n">
        <v>5</v>
      </c>
      <c r="L61" s="1" t="n">
        <v>5</v>
      </c>
      <c r="M61" s="3" t="s">
        <v>48</v>
      </c>
      <c r="N61" s="3" t="s">
        <v>61</v>
      </c>
      <c r="O61" s="8" t="s">
        <v>82</v>
      </c>
      <c r="P61" s="2" t="str">
        <f aca="false">CONCATENATE(N61," ",O61)</f>
        <v>Trochosa terricola</v>
      </c>
      <c r="Q61" s="1" t="s">
        <v>30</v>
      </c>
      <c r="R61" s="1" t="s">
        <v>35</v>
      </c>
      <c r="S61" s="1" t="n">
        <v>0</v>
      </c>
      <c r="T61" s="1" t="n">
        <v>1</v>
      </c>
      <c r="U61" s="1" t="n">
        <v>0</v>
      </c>
      <c r="V61" s="1" t="n">
        <v>0</v>
      </c>
      <c r="W61" s="1" t="n">
        <v>0</v>
      </c>
      <c r="X61" s="1" t="n">
        <v>0</v>
      </c>
      <c r="Y61" s="3" t="n">
        <f aca="false">SUM(S61:T61)</f>
        <v>1</v>
      </c>
      <c r="Z61" s="3" t="n">
        <f aca="false">SUM(U61:W61)</f>
        <v>0</v>
      </c>
      <c r="AA61" s="3" t="n">
        <f aca="false">SUM(S61:X61)</f>
        <v>1</v>
      </c>
      <c r="AB61" s="11" t="n">
        <f aca="false">(AA61/(K61*L61)*25)*4</f>
        <v>4</v>
      </c>
    </row>
    <row r="62" customFormat="false" ht="14.25" hidden="false" customHeight="false" outlineLevel="0" collapsed="false">
      <c r="A62" s="1" t="n">
        <v>2009</v>
      </c>
      <c r="B62" s="7" t="s">
        <v>322</v>
      </c>
      <c r="C62" s="7" t="n">
        <v>3</v>
      </c>
      <c r="D62" s="7" t="s">
        <v>294</v>
      </c>
      <c r="E62" s="7" t="s">
        <v>294</v>
      </c>
      <c r="F62" s="7" t="s">
        <v>83</v>
      </c>
      <c r="G62" s="1" t="n">
        <v>1</v>
      </c>
      <c r="H62" s="1" t="n">
        <v>5</v>
      </c>
      <c r="I62" s="10" t="n">
        <v>40051</v>
      </c>
      <c r="J62" s="10" t="n">
        <v>40056</v>
      </c>
      <c r="K62" s="1" t="n">
        <v>5</v>
      </c>
      <c r="L62" s="1" t="n">
        <v>5</v>
      </c>
      <c r="M62" s="3" t="s">
        <v>27</v>
      </c>
      <c r="N62" s="3" t="s">
        <v>28</v>
      </c>
      <c r="O62" s="8" t="s">
        <v>29</v>
      </c>
      <c r="P62" s="2" t="str">
        <f aca="false">CONCATENATE(N62," ",O62)</f>
        <v>Robertus lividus</v>
      </c>
      <c r="Q62" s="1" t="s">
        <v>30</v>
      </c>
      <c r="R62" s="1" t="s">
        <v>31</v>
      </c>
      <c r="S62" s="1" t="n">
        <v>1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3" t="n">
        <f aca="false">SUM(S62:T62)</f>
        <v>1</v>
      </c>
      <c r="Z62" s="3" t="n">
        <f aca="false">SUM(U62:W62)</f>
        <v>0</v>
      </c>
      <c r="AA62" s="3" t="n">
        <f aca="false">SUM(S62:X62)</f>
        <v>1</v>
      </c>
      <c r="AB62" s="11" t="n">
        <f aca="false">(AA62/(K62*L62)*25)*4</f>
        <v>4</v>
      </c>
    </row>
    <row r="63" customFormat="false" ht="14.25" hidden="false" customHeight="false" outlineLevel="0" collapsed="false">
      <c r="A63" s="1" t="n">
        <v>2009</v>
      </c>
      <c r="B63" s="7" t="s">
        <v>322</v>
      </c>
      <c r="C63" s="7" t="n">
        <v>3</v>
      </c>
      <c r="D63" s="7" t="s">
        <v>294</v>
      </c>
      <c r="E63" s="7" t="s">
        <v>294</v>
      </c>
      <c r="F63" s="7" t="s">
        <v>83</v>
      </c>
      <c r="G63" s="1" t="n">
        <v>1</v>
      </c>
      <c r="H63" s="1" t="n">
        <v>5</v>
      </c>
      <c r="I63" s="10" t="n">
        <v>40051</v>
      </c>
      <c r="J63" s="10" t="n">
        <v>40056</v>
      </c>
      <c r="K63" s="1" t="n">
        <v>5</v>
      </c>
      <c r="L63" s="1" t="n">
        <v>5</v>
      </c>
      <c r="M63" s="3" t="s">
        <v>41</v>
      </c>
      <c r="N63" s="3" t="s">
        <v>42</v>
      </c>
      <c r="O63" s="12" t="s">
        <v>43</v>
      </c>
      <c r="P63" s="2" t="str">
        <f aca="false">CONCATENATE(N63," ",O63)</f>
        <v>Agroeca proxima</v>
      </c>
      <c r="Q63" s="1" t="s">
        <v>30</v>
      </c>
      <c r="R63" s="1" t="s">
        <v>35</v>
      </c>
      <c r="S63" s="1" t="n">
        <v>0</v>
      </c>
      <c r="T63" s="1" t="n">
        <v>1</v>
      </c>
      <c r="U63" s="1" t="n">
        <v>0</v>
      </c>
      <c r="V63" s="1" t="n">
        <v>0</v>
      </c>
      <c r="W63" s="1" t="n">
        <v>0</v>
      </c>
      <c r="X63" s="1" t="n">
        <v>0</v>
      </c>
      <c r="Y63" s="3" t="n">
        <f aca="false">SUM(S63:T63)</f>
        <v>1</v>
      </c>
      <c r="Z63" s="3" t="n">
        <f aca="false">SUM(U63:W63)</f>
        <v>0</v>
      </c>
      <c r="AA63" s="3" t="n">
        <f aca="false">SUM(S63:X63)</f>
        <v>1</v>
      </c>
      <c r="AB63" s="11" t="n">
        <f aca="false">(AA63/(K63*L63)*25)*4</f>
        <v>4</v>
      </c>
    </row>
    <row r="64" customFormat="false" ht="14.25" hidden="false" customHeight="false" outlineLevel="0" collapsed="false">
      <c r="A64" s="1" t="n">
        <v>2009</v>
      </c>
      <c r="B64" s="7" t="s">
        <v>322</v>
      </c>
      <c r="C64" s="7" t="n">
        <v>3</v>
      </c>
      <c r="D64" s="7" t="s">
        <v>294</v>
      </c>
      <c r="E64" s="7" t="s">
        <v>294</v>
      </c>
      <c r="F64" s="7" t="s">
        <v>83</v>
      </c>
      <c r="G64" s="1" t="n">
        <v>2</v>
      </c>
      <c r="H64" s="1" t="n">
        <v>9</v>
      </c>
      <c r="I64" s="10" t="n">
        <v>40051</v>
      </c>
      <c r="J64" s="10" t="n">
        <v>40056</v>
      </c>
      <c r="K64" s="1" t="n">
        <v>5</v>
      </c>
      <c r="L64" s="1" t="n">
        <v>5</v>
      </c>
      <c r="M64" s="3" t="s">
        <v>32</v>
      </c>
      <c r="N64" s="3" t="s">
        <v>84</v>
      </c>
      <c r="O64" s="12" t="s">
        <v>85</v>
      </c>
      <c r="P64" s="2" t="str">
        <f aca="false">CONCATENATE(N64," ",O64)</f>
        <v>Walckenaeria antica</v>
      </c>
      <c r="Q64" s="1" t="s">
        <v>30</v>
      </c>
      <c r="R64" s="1" t="s">
        <v>31</v>
      </c>
      <c r="S64" s="1" t="n">
        <v>1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3" t="n">
        <f aca="false">SUM(S64:T64)</f>
        <v>1</v>
      </c>
      <c r="Z64" s="3" t="n">
        <f aca="false">SUM(U64:W64)</f>
        <v>0</v>
      </c>
      <c r="AA64" s="3" t="n">
        <f aca="false">SUM(S64:X64)</f>
        <v>1</v>
      </c>
      <c r="AB64" s="11" t="n">
        <f aca="false">(AA64/(K64*L64)*25)*4</f>
        <v>4</v>
      </c>
    </row>
    <row r="65" customFormat="false" ht="14.25" hidden="false" customHeight="false" outlineLevel="0" collapsed="false">
      <c r="A65" s="1" t="n">
        <v>2009</v>
      </c>
      <c r="B65" s="7" t="s">
        <v>322</v>
      </c>
      <c r="C65" s="7" t="n">
        <v>3</v>
      </c>
      <c r="D65" s="7" t="s">
        <v>294</v>
      </c>
      <c r="E65" s="7" t="s">
        <v>294</v>
      </c>
      <c r="F65" s="7" t="s">
        <v>83</v>
      </c>
      <c r="G65" s="1" t="n">
        <v>2</v>
      </c>
      <c r="H65" s="1" t="n">
        <v>9</v>
      </c>
      <c r="I65" s="10" t="n">
        <v>40051</v>
      </c>
      <c r="J65" s="10" t="n">
        <v>40056</v>
      </c>
      <c r="K65" s="1" t="n">
        <v>5</v>
      </c>
      <c r="L65" s="1" t="n">
        <v>5</v>
      </c>
      <c r="M65" s="3" t="s">
        <v>32</v>
      </c>
      <c r="N65" s="3" t="s">
        <v>68</v>
      </c>
      <c r="O65" s="8" t="s">
        <v>69</v>
      </c>
      <c r="P65" s="2" t="str">
        <f aca="false">CONCATENATE(N65," ",O65)</f>
        <v>Centromerus sylvaticus</v>
      </c>
      <c r="Q65" s="1" t="s">
        <v>30</v>
      </c>
      <c r="R65" s="1" t="s">
        <v>35</v>
      </c>
      <c r="S65" s="1" t="n">
        <v>0</v>
      </c>
      <c r="T65" s="1" t="n">
        <v>2</v>
      </c>
      <c r="U65" s="1" t="n">
        <v>0</v>
      </c>
      <c r="V65" s="1" t="n">
        <v>0</v>
      </c>
      <c r="W65" s="1" t="n">
        <v>0</v>
      </c>
      <c r="X65" s="1" t="n">
        <v>0</v>
      </c>
      <c r="Y65" s="3" t="n">
        <f aca="false">SUM(S65:T65)</f>
        <v>2</v>
      </c>
      <c r="Z65" s="3" t="n">
        <f aca="false">SUM(U65:W65)</f>
        <v>0</v>
      </c>
      <c r="AA65" s="3" t="n">
        <f aca="false">SUM(S65:X65)</f>
        <v>2</v>
      </c>
      <c r="AB65" s="11" t="n">
        <f aca="false">(AA65/(K65*L65)*25)*4</f>
        <v>8</v>
      </c>
    </row>
    <row r="66" customFormat="false" ht="14.25" hidden="false" customHeight="false" outlineLevel="0" collapsed="false">
      <c r="A66" s="1" t="n">
        <v>2009</v>
      </c>
      <c r="B66" s="7" t="s">
        <v>322</v>
      </c>
      <c r="C66" s="7" t="n">
        <v>3</v>
      </c>
      <c r="D66" s="7" t="s">
        <v>294</v>
      </c>
      <c r="E66" s="7" t="s">
        <v>294</v>
      </c>
      <c r="F66" s="7" t="s">
        <v>83</v>
      </c>
      <c r="G66" s="1" t="n">
        <v>2</v>
      </c>
      <c r="H66" s="1" t="n">
        <v>8</v>
      </c>
      <c r="I66" s="10" t="n">
        <v>40051</v>
      </c>
      <c r="J66" s="10" t="n">
        <v>40056</v>
      </c>
      <c r="K66" s="1" t="n">
        <v>5</v>
      </c>
      <c r="L66" s="1" t="n">
        <v>5</v>
      </c>
      <c r="M66" s="3" t="s">
        <v>72</v>
      </c>
      <c r="N66" s="3" t="s">
        <v>86</v>
      </c>
      <c r="O66" s="8" t="s">
        <v>87</v>
      </c>
      <c r="P66" s="2" t="str">
        <f aca="false">CONCATENATE(N66," ",O66)</f>
        <v>Haplodrassus soerenseni</v>
      </c>
      <c r="Q66" s="1" t="s">
        <v>30</v>
      </c>
      <c r="R66" s="1" t="s">
        <v>35</v>
      </c>
      <c r="S66" s="1" t="n">
        <v>0</v>
      </c>
      <c r="T66" s="1" t="n">
        <v>1</v>
      </c>
      <c r="U66" s="1" t="n">
        <v>0</v>
      </c>
      <c r="V66" s="1" t="n">
        <v>0</v>
      </c>
      <c r="W66" s="1" t="n">
        <v>0</v>
      </c>
      <c r="X66" s="1" t="n">
        <v>0</v>
      </c>
      <c r="Y66" s="3" t="n">
        <f aca="false">SUM(S66:T66)</f>
        <v>1</v>
      </c>
      <c r="Z66" s="3" t="n">
        <f aca="false">SUM(U66:W66)</f>
        <v>0</v>
      </c>
      <c r="AA66" s="3" t="n">
        <f aca="false">SUM(S66:X66)</f>
        <v>1</v>
      </c>
      <c r="AB66" s="11" t="n">
        <f aca="false">(AA66/(K66*L66)*25)*4</f>
        <v>4</v>
      </c>
    </row>
    <row r="67" customFormat="false" ht="14.25" hidden="false" customHeight="false" outlineLevel="0" collapsed="false">
      <c r="A67" s="1" t="n">
        <v>2009</v>
      </c>
      <c r="B67" s="7" t="s">
        <v>322</v>
      </c>
      <c r="C67" s="7" t="n">
        <v>3</v>
      </c>
      <c r="D67" s="7" t="s">
        <v>294</v>
      </c>
      <c r="E67" s="7" t="s">
        <v>294</v>
      </c>
      <c r="F67" s="7" t="s">
        <v>83</v>
      </c>
      <c r="G67" s="1" t="n">
        <v>2</v>
      </c>
      <c r="H67" s="1" t="n">
        <v>8</v>
      </c>
      <c r="I67" s="10" t="n">
        <v>40051</v>
      </c>
      <c r="J67" s="10" t="n">
        <v>40056</v>
      </c>
      <c r="K67" s="1" t="n">
        <v>5</v>
      </c>
      <c r="L67" s="1" t="n">
        <v>5</v>
      </c>
      <c r="M67" s="3" t="s">
        <v>32</v>
      </c>
      <c r="N67" s="3" t="s">
        <v>39</v>
      </c>
      <c r="O67" s="8" t="s">
        <v>40</v>
      </c>
      <c r="P67" s="2" t="str">
        <f aca="false">CONCATENATE(N67," ",O67)</f>
        <v>Helophora insignis</v>
      </c>
      <c r="Q67" s="1" t="s">
        <v>30</v>
      </c>
      <c r="R67" s="1" t="s">
        <v>35</v>
      </c>
      <c r="S67" s="1" t="n">
        <v>0</v>
      </c>
      <c r="T67" s="1" t="n">
        <v>1</v>
      </c>
      <c r="U67" s="1" t="n">
        <v>0</v>
      </c>
      <c r="V67" s="1" t="n">
        <v>0</v>
      </c>
      <c r="W67" s="1" t="n">
        <v>0</v>
      </c>
      <c r="X67" s="1" t="n">
        <v>0</v>
      </c>
      <c r="Y67" s="3" t="n">
        <f aca="false">SUM(S67:T67)</f>
        <v>1</v>
      </c>
      <c r="Z67" s="3" t="n">
        <f aca="false">SUM(U67:W67)</f>
        <v>0</v>
      </c>
      <c r="AA67" s="3" t="n">
        <f aca="false">SUM(S67:X67)</f>
        <v>1</v>
      </c>
      <c r="AB67" s="11" t="n">
        <f aca="false">(AA67/(K67*L67)*25)*4</f>
        <v>4</v>
      </c>
    </row>
    <row r="68" customFormat="false" ht="14.25" hidden="false" customHeight="false" outlineLevel="0" collapsed="false">
      <c r="A68" s="1" t="n">
        <v>2009</v>
      </c>
      <c r="B68" s="7" t="s">
        <v>322</v>
      </c>
      <c r="C68" s="7" t="n">
        <v>3</v>
      </c>
      <c r="D68" s="7" t="s">
        <v>294</v>
      </c>
      <c r="E68" s="7" t="s">
        <v>294</v>
      </c>
      <c r="F68" s="7" t="s">
        <v>83</v>
      </c>
      <c r="G68" s="1" t="n">
        <v>1</v>
      </c>
      <c r="H68" s="1" t="n">
        <v>1</v>
      </c>
      <c r="I68" s="10" t="n">
        <v>40051</v>
      </c>
      <c r="J68" s="10" t="n">
        <v>40056</v>
      </c>
      <c r="K68" s="1" t="n">
        <v>5</v>
      </c>
      <c r="L68" s="1" t="n">
        <v>5</v>
      </c>
      <c r="M68" s="3" t="s">
        <v>32</v>
      </c>
      <c r="N68" s="3" t="s">
        <v>68</v>
      </c>
      <c r="O68" s="8" t="s">
        <v>69</v>
      </c>
      <c r="P68" s="2" t="str">
        <f aca="false">CONCATENATE(N68," ",O68)</f>
        <v>Centromerus sylvaticus</v>
      </c>
      <c r="Q68" s="1" t="s">
        <v>30</v>
      </c>
      <c r="R68" s="1" t="s">
        <v>35</v>
      </c>
      <c r="S68" s="1" t="n">
        <v>0</v>
      </c>
      <c r="T68" s="1" t="n">
        <v>1</v>
      </c>
      <c r="U68" s="1" t="n">
        <v>0</v>
      </c>
      <c r="V68" s="1" t="n">
        <v>0</v>
      </c>
      <c r="W68" s="1" t="n">
        <v>0</v>
      </c>
      <c r="X68" s="1" t="n">
        <v>0</v>
      </c>
      <c r="Y68" s="3" t="n">
        <f aca="false">SUM(S68:T68)</f>
        <v>1</v>
      </c>
      <c r="Z68" s="3" t="n">
        <f aca="false">SUM(U68:W68)</f>
        <v>0</v>
      </c>
      <c r="AA68" s="3" t="n">
        <f aca="false">SUM(S68:X68)</f>
        <v>1</v>
      </c>
      <c r="AB68" s="11" t="n">
        <f aca="false">(AA68/(K68*L68)*25)*4</f>
        <v>4</v>
      </c>
    </row>
    <row r="69" customFormat="false" ht="14.25" hidden="false" customHeight="false" outlineLevel="0" collapsed="false">
      <c r="A69" s="1" t="n">
        <v>2009</v>
      </c>
      <c r="B69" s="7" t="s">
        <v>322</v>
      </c>
      <c r="C69" s="7" t="n">
        <v>3</v>
      </c>
      <c r="D69" s="7" t="s">
        <v>294</v>
      </c>
      <c r="E69" s="7" t="s">
        <v>294</v>
      </c>
      <c r="F69" s="7" t="s">
        <v>83</v>
      </c>
      <c r="G69" s="1" t="n">
        <v>1</v>
      </c>
      <c r="H69" s="1" t="n">
        <v>1</v>
      </c>
      <c r="I69" s="10" t="n">
        <v>40051</v>
      </c>
      <c r="J69" s="10" t="n">
        <v>40056</v>
      </c>
      <c r="K69" s="1" t="n">
        <v>5</v>
      </c>
      <c r="L69" s="1" t="n">
        <v>5</v>
      </c>
      <c r="M69" s="13" t="s">
        <v>32</v>
      </c>
      <c r="N69" s="13" t="s">
        <v>88</v>
      </c>
      <c r="O69" s="14" t="s">
        <v>89</v>
      </c>
      <c r="P69" s="2" t="str">
        <f aca="false">CONCATENATE(N69," ",O69)</f>
        <v>Tapinopa longidens</v>
      </c>
      <c r="Q69" s="1" t="s">
        <v>30</v>
      </c>
      <c r="R69" s="1" t="s">
        <v>31</v>
      </c>
      <c r="S69" s="1" t="n">
        <v>1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3" t="n">
        <f aca="false">SUM(S69:T69)</f>
        <v>1</v>
      </c>
      <c r="Z69" s="3" t="n">
        <f aca="false">SUM(U69:W69)</f>
        <v>0</v>
      </c>
      <c r="AA69" s="3" t="n">
        <f aca="false">SUM(S69:X69)</f>
        <v>1</v>
      </c>
      <c r="AB69" s="11" t="n">
        <f aca="false">(AA69/(K69*L69)*25)*4</f>
        <v>4</v>
      </c>
    </row>
    <row r="70" customFormat="false" ht="14.25" hidden="false" customHeight="false" outlineLevel="0" collapsed="false">
      <c r="A70" s="1" t="n">
        <v>2009</v>
      </c>
      <c r="B70" s="7" t="s">
        <v>322</v>
      </c>
      <c r="C70" s="7" t="n">
        <v>3</v>
      </c>
      <c r="D70" s="7" t="s">
        <v>294</v>
      </c>
      <c r="E70" s="7" t="s">
        <v>294</v>
      </c>
      <c r="F70" s="7" t="s">
        <v>83</v>
      </c>
      <c r="G70" s="1" t="n">
        <v>2</v>
      </c>
      <c r="H70" s="1" t="n">
        <v>6</v>
      </c>
      <c r="I70" s="10" t="n">
        <v>40051</v>
      </c>
      <c r="J70" s="10" t="n">
        <v>40056</v>
      </c>
      <c r="K70" s="1" t="n">
        <v>5</v>
      </c>
      <c r="L70" s="1" t="n">
        <v>5</v>
      </c>
      <c r="M70" s="3" t="s">
        <v>32</v>
      </c>
      <c r="N70" s="3" t="s">
        <v>68</v>
      </c>
      <c r="O70" s="8" t="s">
        <v>69</v>
      </c>
      <c r="P70" s="2" t="str">
        <f aca="false">CONCATENATE(N70," ",O70)</f>
        <v>Centromerus sylvaticus</v>
      </c>
      <c r="Q70" s="1" t="s">
        <v>30</v>
      </c>
      <c r="R70" s="1" t="s">
        <v>35</v>
      </c>
      <c r="S70" s="1" t="n">
        <v>0</v>
      </c>
      <c r="T70" s="1" t="n">
        <v>1</v>
      </c>
      <c r="U70" s="1" t="n">
        <v>0</v>
      </c>
      <c r="V70" s="1" t="n">
        <v>0</v>
      </c>
      <c r="W70" s="1" t="n">
        <v>0</v>
      </c>
      <c r="X70" s="1" t="n">
        <v>0</v>
      </c>
      <c r="Y70" s="3" t="n">
        <f aca="false">SUM(S70:T70)</f>
        <v>1</v>
      </c>
      <c r="Z70" s="3" t="n">
        <f aca="false">SUM(U70:W70)</f>
        <v>0</v>
      </c>
      <c r="AA70" s="3" t="n">
        <f aca="false">SUM(S70:X70)</f>
        <v>1</v>
      </c>
      <c r="AB70" s="11" t="n">
        <f aca="false">(AA70/(K70*L70)*25)*4</f>
        <v>4</v>
      </c>
    </row>
    <row r="71" customFormat="false" ht="14.25" hidden="false" customHeight="false" outlineLevel="0" collapsed="false">
      <c r="A71" s="1" t="n">
        <v>2009</v>
      </c>
      <c r="B71" s="7" t="s">
        <v>322</v>
      </c>
      <c r="C71" s="7" t="n">
        <v>3</v>
      </c>
      <c r="D71" s="7" t="s">
        <v>294</v>
      </c>
      <c r="E71" s="7" t="s">
        <v>294</v>
      </c>
      <c r="F71" s="7" t="s">
        <v>83</v>
      </c>
      <c r="G71" s="1" t="n">
        <v>3</v>
      </c>
      <c r="H71" s="1" t="n">
        <v>13</v>
      </c>
      <c r="I71" s="10" t="n">
        <v>40051</v>
      </c>
      <c r="J71" s="10" t="n">
        <v>40056</v>
      </c>
      <c r="K71" s="1" t="n">
        <v>5</v>
      </c>
      <c r="L71" s="1" t="n">
        <v>5</v>
      </c>
      <c r="M71" s="3" t="s">
        <v>32</v>
      </c>
      <c r="N71" s="3" t="s">
        <v>90</v>
      </c>
      <c r="O71" s="8" t="s">
        <v>91</v>
      </c>
      <c r="P71" s="2" t="str">
        <f aca="false">CONCATENATE(N71," ",O71)</f>
        <v>Tapinocyba insecta</v>
      </c>
      <c r="Q71" s="1" t="s">
        <v>30</v>
      </c>
      <c r="R71" s="1" t="s">
        <v>35</v>
      </c>
      <c r="S71" s="1" t="n">
        <v>0</v>
      </c>
      <c r="T71" s="1" t="n">
        <v>1</v>
      </c>
      <c r="U71" s="1" t="n">
        <v>0</v>
      </c>
      <c r="V71" s="1" t="n">
        <v>0</v>
      </c>
      <c r="W71" s="1" t="n">
        <v>0</v>
      </c>
      <c r="X71" s="1" t="n">
        <v>0</v>
      </c>
      <c r="Y71" s="3" t="n">
        <f aca="false">SUM(S71:T71)</f>
        <v>1</v>
      </c>
      <c r="Z71" s="3" t="n">
        <f aca="false">SUM(U71:W71)</f>
        <v>0</v>
      </c>
      <c r="AA71" s="3" t="n">
        <f aca="false">SUM(S71:X71)</f>
        <v>1</v>
      </c>
      <c r="AB71" s="11" t="n">
        <f aca="false">(AA71/(K71*L71)*25)*4</f>
        <v>4</v>
      </c>
    </row>
    <row r="72" customFormat="false" ht="14.25" hidden="false" customHeight="false" outlineLevel="0" collapsed="false">
      <c r="A72" s="1" t="n">
        <v>2009</v>
      </c>
      <c r="B72" s="7" t="s">
        <v>322</v>
      </c>
      <c r="C72" s="7" t="n">
        <v>3</v>
      </c>
      <c r="D72" s="7" t="s">
        <v>294</v>
      </c>
      <c r="E72" s="7" t="s">
        <v>294</v>
      </c>
      <c r="F72" s="7" t="s">
        <v>83</v>
      </c>
      <c r="G72" s="1" t="n">
        <v>3</v>
      </c>
      <c r="H72" s="1" t="n">
        <v>13</v>
      </c>
      <c r="I72" s="10" t="n">
        <v>40051</v>
      </c>
      <c r="J72" s="10" t="n">
        <v>40056</v>
      </c>
      <c r="K72" s="1" t="n">
        <v>5</v>
      </c>
      <c r="L72" s="1" t="n">
        <v>5</v>
      </c>
      <c r="M72" s="3" t="s">
        <v>32</v>
      </c>
      <c r="N72" s="3" t="s">
        <v>68</v>
      </c>
      <c r="O72" s="8" t="s">
        <v>69</v>
      </c>
      <c r="P72" s="2" t="str">
        <f aca="false">CONCATENATE(N72," ",O72)</f>
        <v>Centromerus sylvaticus</v>
      </c>
      <c r="Q72" s="1" t="s">
        <v>30</v>
      </c>
      <c r="R72" s="1" t="s">
        <v>35</v>
      </c>
      <c r="S72" s="1" t="n">
        <v>0</v>
      </c>
      <c r="T72" s="1" t="n">
        <v>1</v>
      </c>
      <c r="U72" s="1" t="n">
        <v>0</v>
      </c>
      <c r="V72" s="1" t="n">
        <v>0</v>
      </c>
      <c r="W72" s="1" t="n">
        <v>0</v>
      </c>
      <c r="X72" s="1" t="n">
        <v>0</v>
      </c>
      <c r="Y72" s="3" t="n">
        <f aca="false">SUM(S72:T72)</f>
        <v>1</v>
      </c>
      <c r="Z72" s="3" t="n">
        <f aca="false">SUM(U72:W72)</f>
        <v>0</v>
      </c>
      <c r="AA72" s="3" t="n">
        <f aca="false">SUM(S72:X72)</f>
        <v>1</v>
      </c>
      <c r="AB72" s="11" t="n">
        <f aca="false">(AA72/(K72*L72)*25)*4</f>
        <v>4</v>
      </c>
    </row>
    <row r="73" customFormat="false" ht="14.25" hidden="false" customHeight="false" outlineLevel="0" collapsed="false">
      <c r="A73" s="1" t="n">
        <v>2009</v>
      </c>
      <c r="B73" s="7" t="s">
        <v>322</v>
      </c>
      <c r="C73" s="7" t="n">
        <v>3</v>
      </c>
      <c r="D73" s="7" t="s">
        <v>294</v>
      </c>
      <c r="E73" s="7" t="s">
        <v>294</v>
      </c>
      <c r="F73" s="7" t="s">
        <v>83</v>
      </c>
      <c r="G73" s="1" t="n">
        <v>3</v>
      </c>
      <c r="H73" s="1" t="n">
        <v>13</v>
      </c>
      <c r="I73" s="10" t="n">
        <v>40051</v>
      </c>
      <c r="J73" s="10" t="n">
        <v>40056</v>
      </c>
      <c r="K73" s="1" t="n">
        <v>5</v>
      </c>
      <c r="L73" s="1" t="n">
        <v>5</v>
      </c>
      <c r="M73" s="3" t="s">
        <v>48</v>
      </c>
      <c r="N73" s="3" t="s">
        <v>61</v>
      </c>
      <c r="O73" s="8" t="s">
        <v>82</v>
      </c>
      <c r="P73" s="2" t="str">
        <f aca="false">CONCATENATE(N73," ",O73)</f>
        <v>Trochosa terricola</v>
      </c>
      <c r="Q73" s="1" t="s">
        <v>30</v>
      </c>
      <c r="R73" s="1" t="s">
        <v>35</v>
      </c>
      <c r="S73" s="1" t="n">
        <v>0</v>
      </c>
      <c r="T73" s="1" t="n">
        <v>1</v>
      </c>
      <c r="U73" s="1" t="n">
        <v>0</v>
      </c>
      <c r="V73" s="1" t="n">
        <v>0</v>
      </c>
      <c r="W73" s="1" t="n">
        <v>0</v>
      </c>
      <c r="X73" s="1" t="n">
        <v>0</v>
      </c>
      <c r="Y73" s="3" t="n">
        <f aca="false">SUM(S73:T73)</f>
        <v>1</v>
      </c>
      <c r="Z73" s="3" t="n">
        <f aca="false">SUM(U73:W73)</f>
        <v>0</v>
      </c>
      <c r="AA73" s="3" t="n">
        <f aca="false">SUM(S73:X73)</f>
        <v>1</v>
      </c>
      <c r="AB73" s="11" t="n">
        <f aca="false">(AA73/(K73*L73)*25)*4</f>
        <v>4</v>
      </c>
    </row>
    <row r="74" customFormat="false" ht="14.25" hidden="false" customHeight="false" outlineLevel="0" collapsed="false">
      <c r="A74" s="1" t="n">
        <v>2009</v>
      </c>
      <c r="B74" s="7" t="s">
        <v>322</v>
      </c>
      <c r="C74" s="7" t="n">
        <v>3</v>
      </c>
      <c r="D74" s="7" t="s">
        <v>294</v>
      </c>
      <c r="E74" s="7" t="s">
        <v>294</v>
      </c>
      <c r="F74" s="7" t="s">
        <v>83</v>
      </c>
      <c r="G74" s="1" t="n">
        <v>3</v>
      </c>
      <c r="H74" s="1" t="n">
        <v>11</v>
      </c>
      <c r="I74" s="10" t="n">
        <v>40051</v>
      </c>
      <c r="J74" s="10" t="n">
        <v>40056</v>
      </c>
      <c r="K74" s="1" t="n">
        <v>5</v>
      </c>
      <c r="L74" s="1" t="n">
        <v>5</v>
      </c>
      <c r="M74" s="3" t="s">
        <v>41</v>
      </c>
      <c r="N74" s="3" t="s">
        <v>42</v>
      </c>
      <c r="O74" s="12" t="s">
        <v>43</v>
      </c>
      <c r="P74" s="2" t="str">
        <f aca="false">CONCATENATE(N74," ",O74)</f>
        <v>Agroeca proxima</v>
      </c>
      <c r="Q74" s="1" t="s">
        <v>30</v>
      </c>
      <c r="R74" s="1" t="s">
        <v>31</v>
      </c>
      <c r="S74" s="1" t="n">
        <v>1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3" t="n">
        <f aca="false">SUM(S74:T74)</f>
        <v>1</v>
      </c>
      <c r="Z74" s="3" t="n">
        <f aca="false">SUM(U74:W74)</f>
        <v>0</v>
      </c>
      <c r="AA74" s="3" t="n">
        <f aca="false">SUM(S74:X74)</f>
        <v>1</v>
      </c>
      <c r="AB74" s="11" t="n">
        <f aca="false">(AA74/(K74*L74)*25)*4</f>
        <v>4</v>
      </c>
    </row>
    <row r="75" customFormat="false" ht="14.25" hidden="false" customHeight="false" outlineLevel="0" collapsed="false">
      <c r="A75" s="1" t="n">
        <v>2009</v>
      </c>
      <c r="B75" s="7" t="s">
        <v>322</v>
      </c>
      <c r="C75" s="7" t="n">
        <v>3</v>
      </c>
      <c r="D75" s="7" t="s">
        <v>294</v>
      </c>
      <c r="E75" s="7" t="s">
        <v>294</v>
      </c>
      <c r="F75" s="7" t="s">
        <v>83</v>
      </c>
      <c r="G75" s="1" t="n">
        <v>2</v>
      </c>
      <c r="H75" s="1" t="n">
        <v>10</v>
      </c>
      <c r="I75" s="10" t="n">
        <v>40051</v>
      </c>
      <c r="J75" s="10" t="n">
        <v>40056</v>
      </c>
      <c r="K75" s="1" t="n">
        <v>5</v>
      </c>
      <c r="L75" s="1" t="n">
        <v>5</v>
      </c>
      <c r="M75" s="3" t="s">
        <v>32</v>
      </c>
      <c r="N75" s="3" t="s">
        <v>68</v>
      </c>
      <c r="O75" s="8" t="s">
        <v>69</v>
      </c>
      <c r="P75" s="2" t="str">
        <f aca="false">CONCATENATE(N75," ",O75)</f>
        <v>Centromerus sylvaticus</v>
      </c>
      <c r="Q75" s="1" t="s">
        <v>30</v>
      </c>
      <c r="R75" s="1" t="s">
        <v>35</v>
      </c>
      <c r="S75" s="1" t="n">
        <v>0</v>
      </c>
      <c r="T75" s="1" t="n">
        <v>1</v>
      </c>
      <c r="U75" s="1" t="n">
        <v>0</v>
      </c>
      <c r="V75" s="1" t="n">
        <v>0</v>
      </c>
      <c r="W75" s="1" t="n">
        <v>0</v>
      </c>
      <c r="X75" s="1" t="n">
        <v>0</v>
      </c>
      <c r="Y75" s="3" t="n">
        <f aca="false">SUM(S75:T75)</f>
        <v>1</v>
      </c>
      <c r="Z75" s="3" t="n">
        <f aca="false">SUM(U75:W75)</f>
        <v>0</v>
      </c>
      <c r="AA75" s="3" t="n">
        <f aca="false">SUM(S75:X75)</f>
        <v>1</v>
      </c>
      <c r="AB75" s="11" t="n">
        <f aca="false">(AA75/(K75*L75)*25)*4</f>
        <v>4</v>
      </c>
    </row>
    <row r="76" customFormat="false" ht="14.25" hidden="false" customHeight="false" outlineLevel="0" collapsed="false">
      <c r="A76" s="1" t="n">
        <v>2009</v>
      </c>
      <c r="B76" s="7" t="s">
        <v>322</v>
      </c>
      <c r="C76" s="7" t="n">
        <v>3</v>
      </c>
      <c r="D76" s="7" t="s">
        <v>294</v>
      </c>
      <c r="E76" s="7" t="s">
        <v>294</v>
      </c>
      <c r="F76" s="7" t="s">
        <v>83</v>
      </c>
      <c r="G76" s="1" t="n">
        <v>3</v>
      </c>
      <c r="H76" s="1" t="n">
        <v>15</v>
      </c>
      <c r="I76" s="10" t="n">
        <v>40051</v>
      </c>
      <c r="J76" s="10" t="n">
        <v>40056</v>
      </c>
      <c r="K76" s="1" t="n">
        <v>5</v>
      </c>
      <c r="L76" s="1" t="n">
        <v>5</v>
      </c>
      <c r="M76" s="3" t="s">
        <v>41</v>
      </c>
      <c r="N76" s="3" t="s">
        <v>42</v>
      </c>
      <c r="O76" s="12" t="s">
        <v>43</v>
      </c>
      <c r="P76" s="2" t="str">
        <f aca="false">CONCATENATE(N76," ",O76)</f>
        <v>Agroeca proxima</v>
      </c>
      <c r="Q76" s="1" t="s">
        <v>30</v>
      </c>
      <c r="R76" s="1" t="s">
        <v>35</v>
      </c>
      <c r="S76" s="1" t="n">
        <v>0</v>
      </c>
      <c r="T76" s="1" t="n">
        <v>1</v>
      </c>
      <c r="U76" s="1" t="n">
        <v>0</v>
      </c>
      <c r="V76" s="1" t="n">
        <v>0</v>
      </c>
      <c r="W76" s="1" t="n">
        <v>0</v>
      </c>
      <c r="X76" s="1" t="n">
        <v>0</v>
      </c>
      <c r="Y76" s="3" t="n">
        <f aca="false">SUM(S76:T76)</f>
        <v>1</v>
      </c>
      <c r="Z76" s="3" t="n">
        <f aca="false">SUM(U76:W76)</f>
        <v>0</v>
      </c>
      <c r="AA76" s="3" t="n">
        <f aca="false">SUM(S76:X76)</f>
        <v>1</v>
      </c>
      <c r="AB76" s="11" t="n">
        <f aca="false">(AA76/(K76*L76)*25)*4</f>
        <v>4</v>
      </c>
    </row>
    <row r="77" customFormat="false" ht="14.25" hidden="false" customHeight="false" outlineLevel="0" collapsed="false">
      <c r="A77" s="1" t="n">
        <v>2009</v>
      </c>
      <c r="B77" s="7" t="s">
        <v>322</v>
      </c>
      <c r="C77" s="7" t="n">
        <v>3</v>
      </c>
      <c r="D77" s="7" t="s">
        <v>294</v>
      </c>
      <c r="E77" s="7" t="s">
        <v>294</v>
      </c>
      <c r="F77" s="7" t="s">
        <v>83</v>
      </c>
      <c r="G77" s="1" t="n">
        <v>3</v>
      </c>
      <c r="H77" s="1" t="n">
        <v>15</v>
      </c>
      <c r="I77" s="10" t="n">
        <v>40051</v>
      </c>
      <c r="J77" s="10" t="n">
        <v>40056</v>
      </c>
      <c r="K77" s="1" t="n">
        <v>5</v>
      </c>
      <c r="L77" s="1" t="n">
        <v>5</v>
      </c>
      <c r="M77" s="3" t="s">
        <v>32</v>
      </c>
      <c r="N77" s="3" t="s">
        <v>68</v>
      </c>
      <c r="O77" s="8" t="s">
        <v>69</v>
      </c>
      <c r="P77" s="2" t="str">
        <f aca="false">CONCATENATE(N77," ",O77)</f>
        <v>Centromerus sylvaticus</v>
      </c>
      <c r="Q77" s="1" t="s">
        <v>30</v>
      </c>
      <c r="R77" s="1" t="s">
        <v>35</v>
      </c>
      <c r="S77" s="1" t="n">
        <v>0</v>
      </c>
      <c r="T77" s="1" t="n">
        <v>1</v>
      </c>
      <c r="U77" s="1" t="n">
        <v>0</v>
      </c>
      <c r="V77" s="1" t="n">
        <v>0</v>
      </c>
      <c r="W77" s="1" t="n">
        <v>0</v>
      </c>
      <c r="X77" s="1" t="n">
        <v>0</v>
      </c>
      <c r="Y77" s="3" t="n">
        <f aca="false">SUM(S77:T77)</f>
        <v>1</v>
      </c>
      <c r="Z77" s="3" t="n">
        <f aca="false">SUM(U77:W77)</f>
        <v>0</v>
      </c>
      <c r="AA77" s="3" t="n">
        <f aca="false">SUM(S77:X77)</f>
        <v>1</v>
      </c>
      <c r="AB77" s="11" t="n">
        <f aca="false">(AA77/(K77*L77)*25)*4</f>
        <v>4</v>
      </c>
    </row>
    <row r="78" customFormat="false" ht="14.25" hidden="false" customHeight="false" outlineLevel="0" collapsed="false">
      <c r="A78" s="1" t="n">
        <v>2009</v>
      </c>
      <c r="B78" s="7" t="s">
        <v>322</v>
      </c>
      <c r="C78" s="7" t="n">
        <v>3</v>
      </c>
      <c r="D78" s="7" t="s">
        <v>294</v>
      </c>
      <c r="E78" s="7" t="s">
        <v>294</v>
      </c>
      <c r="F78" s="7" t="s">
        <v>83</v>
      </c>
      <c r="G78" s="1" t="n">
        <v>3</v>
      </c>
      <c r="H78" s="1" t="n">
        <v>15</v>
      </c>
      <c r="I78" s="10" t="n">
        <v>40051</v>
      </c>
      <c r="J78" s="10" t="n">
        <v>40056</v>
      </c>
      <c r="K78" s="1" t="n">
        <v>5</v>
      </c>
      <c r="L78" s="1" t="n">
        <v>5</v>
      </c>
      <c r="M78" s="3" t="s">
        <v>32</v>
      </c>
      <c r="N78" s="3" t="s">
        <v>93</v>
      </c>
      <c r="O78" s="8" t="s">
        <v>94</v>
      </c>
      <c r="P78" s="2" t="str">
        <f aca="false">CONCATENATE(N78," ",O78)</f>
        <v>Anguliphantes angulipalpis</v>
      </c>
      <c r="Q78" s="1" t="s">
        <v>30</v>
      </c>
      <c r="R78" s="1" t="s">
        <v>35</v>
      </c>
      <c r="S78" s="1" t="n">
        <v>0</v>
      </c>
      <c r="T78" s="1" t="n">
        <v>1</v>
      </c>
      <c r="U78" s="1" t="n">
        <v>0</v>
      </c>
      <c r="V78" s="1" t="n">
        <v>0</v>
      </c>
      <c r="W78" s="1" t="n">
        <v>0</v>
      </c>
      <c r="X78" s="1" t="n">
        <v>0</v>
      </c>
      <c r="Y78" s="3" t="n">
        <f aca="false">SUM(S78:T78)</f>
        <v>1</v>
      </c>
      <c r="Z78" s="3" t="n">
        <f aca="false">SUM(U78:W78)</f>
        <v>0</v>
      </c>
      <c r="AA78" s="3" t="n">
        <f aca="false">SUM(S78:X78)</f>
        <v>1</v>
      </c>
      <c r="AB78" s="11" t="n">
        <f aca="false">(AA78/(K78*L78)*25)*4</f>
        <v>4</v>
      </c>
    </row>
    <row r="79" customFormat="false" ht="14.25" hidden="false" customHeight="false" outlineLevel="0" collapsed="false">
      <c r="A79" s="1" t="n">
        <v>2009</v>
      </c>
      <c r="B79" s="7" t="s">
        <v>322</v>
      </c>
      <c r="C79" s="7" t="n">
        <v>3</v>
      </c>
      <c r="D79" s="7" t="s">
        <v>294</v>
      </c>
      <c r="E79" s="7" t="s">
        <v>294</v>
      </c>
      <c r="F79" s="7" t="s">
        <v>83</v>
      </c>
      <c r="G79" s="1" t="n">
        <v>3</v>
      </c>
      <c r="H79" s="1" t="n">
        <v>14</v>
      </c>
      <c r="I79" s="10" t="n">
        <v>40051</v>
      </c>
      <c r="J79" s="10" t="n">
        <v>40056</v>
      </c>
      <c r="K79" s="1" t="n">
        <v>5</v>
      </c>
      <c r="L79" s="1" t="n">
        <v>5</v>
      </c>
      <c r="M79" s="3" t="s">
        <v>48</v>
      </c>
      <c r="N79" s="3" t="s">
        <v>61</v>
      </c>
      <c r="O79" s="8" t="s">
        <v>82</v>
      </c>
      <c r="P79" s="2" t="str">
        <f aca="false">CONCATENATE(N79," ",O79)</f>
        <v>Trochosa terricola</v>
      </c>
      <c r="Q79" s="1" t="s">
        <v>30</v>
      </c>
      <c r="R79" s="1" t="s">
        <v>35</v>
      </c>
      <c r="S79" s="1" t="n">
        <v>0</v>
      </c>
      <c r="T79" s="1" t="n">
        <v>1</v>
      </c>
      <c r="U79" s="1" t="n">
        <v>0</v>
      </c>
      <c r="V79" s="1" t="n">
        <v>0</v>
      </c>
      <c r="W79" s="1" t="n">
        <v>0</v>
      </c>
      <c r="X79" s="1" t="n">
        <v>0</v>
      </c>
      <c r="Y79" s="3" t="n">
        <f aca="false">SUM(S79:T79)</f>
        <v>1</v>
      </c>
      <c r="Z79" s="3" t="n">
        <f aca="false">SUM(U79:W79)</f>
        <v>0</v>
      </c>
      <c r="AA79" s="3" t="n">
        <f aca="false">SUM(S79:X79)</f>
        <v>1</v>
      </c>
      <c r="AB79" s="11" t="n">
        <f aca="false">(AA79/(K79*L79)*25)*4</f>
        <v>4</v>
      </c>
    </row>
    <row r="80" customFormat="false" ht="14.25" hidden="false" customHeight="false" outlineLevel="0" collapsed="false">
      <c r="A80" s="1" t="n">
        <v>2009</v>
      </c>
      <c r="B80" s="7" t="s">
        <v>322</v>
      </c>
      <c r="C80" s="7" t="n">
        <v>3</v>
      </c>
      <c r="D80" s="7" t="s">
        <v>294</v>
      </c>
      <c r="E80" s="7" t="s">
        <v>294</v>
      </c>
      <c r="F80" s="7" t="s">
        <v>83</v>
      </c>
      <c r="G80" s="1" t="n">
        <v>3</v>
      </c>
      <c r="H80" s="1" t="n">
        <v>14</v>
      </c>
      <c r="I80" s="10" t="n">
        <v>40051</v>
      </c>
      <c r="J80" s="10" t="n">
        <v>40056</v>
      </c>
      <c r="K80" s="1" t="n">
        <v>5</v>
      </c>
      <c r="L80" s="1" t="n">
        <v>5</v>
      </c>
      <c r="M80" s="13" t="s">
        <v>48</v>
      </c>
      <c r="N80" s="13" t="s">
        <v>61</v>
      </c>
      <c r="O80" s="14" t="s">
        <v>95</v>
      </c>
      <c r="P80" s="2" t="str">
        <f aca="false">CONCATENATE(N80," ",O80)</f>
        <v>Trochosa ruricola</v>
      </c>
      <c r="Q80" s="1" t="s">
        <v>30</v>
      </c>
      <c r="R80" s="1" t="s">
        <v>35</v>
      </c>
      <c r="S80" s="1" t="n">
        <v>0</v>
      </c>
      <c r="T80" s="1" t="n">
        <v>1</v>
      </c>
      <c r="U80" s="1" t="n">
        <v>0</v>
      </c>
      <c r="V80" s="1" t="n">
        <v>0</v>
      </c>
      <c r="W80" s="1" t="n">
        <v>0</v>
      </c>
      <c r="X80" s="1" t="n">
        <v>0</v>
      </c>
      <c r="Y80" s="3" t="n">
        <f aca="false">SUM(S80:T80)</f>
        <v>1</v>
      </c>
      <c r="Z80" s="3" t="n">
        <f aca="false">SUM(U80:W80)</f>
        <v>0</v>
      </c>
      <c r="AA80" s="3" t="n">
        <f aca="false">SUM(S80:X80)</f>
        <v>1</v>
      </c>
      <c r="AB80" s="11" t="n">
        <f aca="false">(AA80/(K80*L80)*25)*4</f>
        <v>4</v>
      </c>
    </row>
    <row r="81" customFormat="false" ht="14.25" hidden="false" customHeight="false" outlineLevel="0" collapsed="false">
      <c r="A81" s="1" t="n">
        <v>2009</v>
      </c>
      <c r="B81" s="7" t="s">
        <v>322</v>
      </c>
      <c r="C81" s="7" t="n">
        <v>3</v>
      </c>
      <c r="D81" s="7" t="s">
        <v>294</v>
      </c>
      <c r="E81" s="7" t="s">
        <v>294</v>
      </c>
      <c r="F81" s="7" t="s">
        <v>83</v>
      </c>
      <c r="G81" s="1" t="n">
        <v>1</v>
      </c>
      <c r="H81" s="1" t="n">
        <v>2</v>
      </c>
      <c r="I81" s="10" t="n">
        <v>40051</v>
      </c>
      <c r="J81" s="10" t="n">
        <v>40056</v>
      </c>
      <c r="K81" s="1" t="n">
        <v>5</v>
      </c>
      <c r="L81" s="1" t="n">
        <v>5</v>
      </c>
      <c r="M81" s="13" t="s">
        <v>32</v>
      </c>
      <c r="N81" s="13" t="s">
        <v>88</v>
      </c>
      <c r="O81" s="14" t="s">
        <v>89</v>
      </c>
      <c r="P81" s="2" t="str">
        <f aca="false">CONCATENATE(N81," ",O81)</f>
        <v>Tapinopa longidens</v>
      </c>
      <c r="Q81" s="1" t="s">
        <v>30</v>
      </c>
      <c r="R81" s="1" t="s">
        <v>31</v>
      </c>
      <c r="S81" s="1" t="n">
        <v>1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3" t="n">
        <f aca="false">SUM(S81:T81)</f>
        <v>1</v>
      </c>
      <c r="Z81" s="3" t="n">
        <f aca="false">SUM(U81:W81)</f>
        <v>0</v>
      </c>
      <c r="AA81" s="3" t="n">
        <f aca="false">SUM(S81:X81)</f>
        <v>1</v>
      </c>
      <c r="AB81" s="11" t="n">
        <f aca="false">(AA81/(K81*L81)*25)*4</f>
        <v>4</v>
      </c>
    </row>
    <row r="82" customFormat="false" ht="14.25" hidden="false" customHeight="false" outlineLevel="0" collapsed="false">
      <c r="A82" s="1" t="n">
        <v>2009</v>
      </c>
      <c r="B82" s="7" t="s">
        <v>322</v>
      </c>
      <c r="C82" s="7" t="n">
        <v>3</v>
      </c>
      <c r="D82" s="7" t="s">
        <v>294</v>
      </c>
      <c r="E82" s="7" t="s">
        <v>294</v>
      </c>
      <c r="F82" s="7" t="s">
        <v>83</v>
      </c>
      <c r="G82" s="1" t="n">
        <v>1</v>
      </c>
      <c r="H82" s="1" t="n">
        <v>2</v>
      </c>
      <c r="I82" s="10" t="n">
        <v>40051</v>
      </c>
      <c r="J82" s="10" t="n">
        <v>40056</v>
      </c>
      <c r="K82" s="1" t="n">
        <v>5</v>
      </c>
      <c r="L82" s="1" t="n">
        <v>5</v>
      </c>
      <c r="M82" s="3" t="s">
        <v>32</v>
      </c>
      <c r="N82" s="8" t="s">
        <v>70</v>
      </c>
      <c r="O82" s="8" t="s">
        <v>71</v>
      </c>
      <c r="P82" s="2" t="str">
        <f aca="false">CONCATENATE(N82," ",O82)</f>
        <v>Palliduphantes alutacius</v>
      </c>
      <c r="Q82" s="1" t="s">
        <v>30</v>
      </c>
      <c r="R82" s="1" t="s">
        <v>31</v>
      </c>
      <c r="S82" s="1" t="n">
        <v>1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3" t="n">
        <f aca="false">SUM(S82:T82)</f>
        <v>1</v>
      </c>
      <c r="Z82" s="3" t="n">
        <f aca="false">SUM(U82:W82)</f>
        <v>0</v>
      </c>
      <c r="AA82" s="3" t="n">
        <f aca="false">SUM(S82:X82)</f>
        <v>1</v>
      </c>
      <c r="AB82" s="11" t="n">
        <f aca="false">(AA82/(K82*L82)*25)*4</f>
        <v>4</v>
      </c>
    </row>
    <row r="83" customFormat="false" ht="14.25" hidden="false" customHeight="false" outlineLevel="0" collapsed="false">
      <c r="A83" s="1" t="n">
        <v>2009</v>
      </c>
      <c r="B83" s="7" t="s">
        <v>322</v>
      </c>
      <c r="C83" s="7" t="n">
        <v>3</v>
      </c>
      <c r="D83" s="7" t="s">
        <v>294</v>
      </c>
      <c r="E83" s="7" t="s">
        <v>294</v>
      </c>
      <c r="F83" s="7" t="s">
        <v>83</v>
      </c>
      <c r="G83" s="1" t="n">
        <v>1</v>
      </c>
      <c r="H83" s="1" t="n">
        <v>2</v>
      </c>
      <c r="I83" s="10" t="n">
        <v>40051</v>
      </c>
      <c r="J83" s="10" t="n">
        <v>40056</v>
      </c>
      <c r="K83" s="1" t="n">
        <v>5</v>
      </c>
      <c r="L83" s="1" t="n">
        <v>5</v>
      </c>
      <c r="M83" s="13" t="s">
        <v>32</v>
      </c>
      <c r="N83" s="13" t="s">
        <v>96</v>
      </c>
      <c r="O83" s="14" t="s">
        <v>97</v>
      </c>
      <c r="P83" s="2" t="str">
        <f aca="false">CONCATENATE(N83," ",O83)</f>
        <v>Diplocephalus picinus</v>
      </c>
      <c r="Q83" s="1" t="s">
        <v>30</v>
      </c>
      <c r="R83" s="1" t="s">
        <v>35</v>
      </c>
      <c r="S83" s="1" t="n">
        <v>0</v>
      </c>
      <c r="T83" s="1" t="n">
        <v>1</v>
      </c>
      <c r="U83" s="1" t="n">
        <v>0</v>
      </c>
      <c r="V83" s="1" t="n">
        <v>0</v>
      </c>
      <c r="W83" s="1" t="n">
        <v>0</v>
      </c>
      <c r="X83" s="1" t="n">
        <v>0</v>
      </c>
      <c r="Y83" s="3" t="n">
        <f aca="false">SUM(S83:T83)</f>
        <v>1</v>
      </c>
      <c r="Z83" s="3" t="n">
        <f aca="false">SUM(U83:W83)</f>
        <v>0</v>
      </c>
      <c r="AA83" s="3" t="n">
        <f aca="false">SUM(S83:X83)</f>
        <v>1</v>
      </c>
      <c r="AB83" s="11" t="n">
        <f aca="false">(AA83/(K83*L83)*25)*4</f>
        <v>4</v>
      </c>
    </row>
    <row r="84" customFormat="false" ht="14.25" hidden="false" customHeight="false" outlineLevel="0" collapsed="false">
      <c r="A84" s="1" t="n">
        <v>2009</v>
      </c>
      <c r="B84" s="7" t="s">
        <v>322</v>
      </c>
      <c r="C84" s="7" t="n">
        <v>3</v>
      </c>
      <c r="D84" s="7" t="s">
        <v>294</v>
      </c>
      <c r="E84" s="7" t="s">
        <v>294</v>
      </c>
      <c r="F84" s="7" t="s">
        <v>83</v>
      </c>
      <c r="G84" s="1" t="n">
        <v>3</v>
      </c>
      <c r="H84" s="1" t="n">
        <v>12</v>
      </c>
      <c r="I84" s="10" t="n">
        <v>40051</v>
      </c>
      <c r="J84" s="10" t="n">
        <v>40056</v>
      </c>
      <c r="K84" s="1" t="n">
        <v>5</v>
      </c>
      <c r="L84" s="1" t="n">
        <v>5</v>
      </c>
      <c r="M84" s="3" t="s">
        <v>32</v>
      </c>
      <c r="N84" s="3" t="s">
        <v>33</v>
      </c>
      <c r="O84" s="8" t="s">
        <v>81</v>
      </c>
      <c r="P84" s="2" t="str">
        <f aca="false">CONCATENATE(N84," ",O84)</f>
        <v>Tenuiphantes mengei</v>
      </c>
      <c r="Q84" s="1" t="s">
        <v>30</v>
      </c>
      <c r="R84" s="1" t="s">
        <v>31</v>
      </c>
      <c r="S84" s="1" t="n">
        <v>1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3" t="n">
        <f aca="false">SUM(S84:T84)</f>
        <v>1</v>
      </c>
      <c r="Z84" s="3" t="n">
        <f aca="false">SUM(U84:W84)</f>
        <v>0</v>
      </c>
      <c r="AA84" s="3" t="n">
        <f aca="false">SUM(S84:X84)</f>
        <v>1</v>
      </c>
      <c r="AB84" s="11" t="n">
        <f aca="false">(AA84/(K84*L84)*25)*4</f>
        <v>4</v>
      </c>
    </row>
    <row r="85" customFormat="false" ht="14.25" hidden="false" customHeight="false" outlineLevel="0" collapsed="false">
      <c r="A85" s="1" t="n">
        <v>2009</v>
      </c>
      <c r="B85" s="7" t="s">
        <v>322</v>
      </c>
      <c r="C85" s="7" t="n">
        <v>3</v>
      </c>
      <c r="D85" s="7" t="s">
        <v>294</v>
      </c>
      <c r="E85" s="7" t="s">
        <v>294</v>
      </c>
      <c r="F85" s="7" t="s">
        <v>83</v>
      </c>
      <c r="G85" s="1" t="n">
        <v>3</v>
      </c>
      <c r="H85" s="1" t="n">
        <v>12</v>
      </c>
      <c r="I85" s="10" t="n">
        <v>40051</v>
      </c>
      <c r="J85" s="10" t="n">
        <v>40056</v>
      </c>
      <c r="K85" s="1" t="n">
        <v>5</v>
      </c>
      <c r="L85" s="1" t="n">
        <v>5</v>
      </c>
      <c r="M85" s="3" t="s">
        <v>32</v>
      </c>
      <c r="N85" s="3" t="s">
        <v>33</v>
      </c>
      <c r="O85" s="8" t="s">
        <v>81</v>
      </c>
      <c r="P85" s="2" t="str">
        <f aca="false">CONCATENATE(N85," ",O85)</f>
        <v>Tenuiphantes mengei</v>
      </c>
      <c r="Q85" s="1" t="s">
        <v>30</v>
      </c>
      <c r="R85" s="1" t="s">
        <v>35</v>
      </c>
      <c r="S85" s="1" t="n">
        <v>0</v>
      </c>
      <c r="T85" s="1" t="n">
        <v>1</v>
      </c>
      <c r="U85" s="1" t="n">
        <v>0</v>
      </c>
      <c r="V85" s="1" t="n">
        <v>0</v>
      </c>
      <c r="W85" s="1" t="n">
        <v>0</v>
      </c>
      <c r="X85" s="1" t="n">
        <v>0</v>
      </c>
      <c r="Y85" s="3" t="n">
        <f aca="false">SUM(S85:T85)</f>
        <v>1</v>
      </c>
      <c r="Z85" s="3" t="n">
        <f aca="false">SUM(U85:W85)</f>
        <v>0</v>
      </c>
      <c r="AA85" s="3" t="n">
        <f aca="false">SUM(S85:X85)</f>
        <v>1</v>
      </c>
      <c r="AB85" s="11" t="n">
        <f aca="false">(AA85/(K85*L85)*25)*4</f>
        <v>4</v>
      </c>
    </row>
    <row r="86" customFormat="false" ht="14.25" hidden="false" customHeight="false" outlineLevel="0" collapsed="false">
      <c r="A86" s="1" t="n">
        <v>2009</v>
      </c>
      <c r="B86" s="7" t="s">
        <v>322</v>
      </c>
      <c r="C86" s="7" t="n">
        <v>3</v>
      </c>
      <c r="D86" s="7" t="s">
        <v>294</v>
      </c>
      <c r="E86" s="7" t="s">
        <v>294</v>
      </c>
      <c r="F86" s="7" t="s">
        <v>83</v>
      </c>
      <c r="G86" s="1" t="n">
        <v>1</v>
      </c>
      <c r="H86" s="1" t="n">
        <v>3</v>
      </c>
      <c r="I86" s="10" t="n">
        <v>40051</v>
      </c>
      <c r="J86" s="10" t="n">
        <v>40056</v>
      </c>
      <c r="K86" s="1" t="n">
        <v>5</v>
      </c>
      <c r="L86" s="1" t="n">
        <v>5</v>
      </c>
      <c r="M86" s="3" t="s">
        <v>32</v>
      </c>
      <c r="N86" s="3" t="s">
        <v>68</v>
      </c>
      <c r="O86" s="8" t="s">
        <v>69</v>
      </c>
      <c r="P86" s="2" t="str">
        <f aca="false">CONCATENATE(N86," ",O86)</f>
        <v>Centromerus sylvaticus</v>
      </c>
      <c r="Q86" s="1" t="s">
        <v>30</v>
      </c>
      <c r="R86" s="1" t="s">
        <v>31</v>
      </c>
      <c r="S86" s="1" t="n">
        <v>1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3" t="n">
        <f aca="false">SUM(S86:T86)</f>
        <v>1</v>
      </c>
      <c r="Z86" s="3" t="n">
        <f aca="false">SUM(U86:W86)</f>
        <v>0</v>
      </c>
      <c r="AA86" s="3" t="n">
        <f aca="false">SUM(S86:X86)</f>
        <v>1</v>
      </c>
      <c r="AB86" s="11" t="n">
        <f aca="false">(AA86/(K86*L86)*25)*4</f>
        <v>4</v>
      </c>
    </row>
    <row r="87" customFormat="false" ht="14.25" hidden="false" customHeight="false" outlineLevel="0" collapsed="false">
      <c r="A87" s="1" t="n">
        <v>2009</v>
      </c>
      <c r="B87" s="7" t="s">
        <v>322</v>
      </c>
      <c r="C87" s="7" t="n">
        <v>3</v>
      </c>
      <c r="D87" s="7" t="s">
        <v>294</v>
      </c>
      <c r="E87" s="7" t="s">
        <v>294</v>
      </c>
      <c r="F87" s="7" t="s">
        <v>83</v>
      </c>
      <c r="G87" s="1" t="n">
        <v>1</v>
      </c>
      <c r="H87" s="1" t="n">
        <v>3</v>
      </c>
      <c r="I87" s="10" t="n">
        <v>40051</v>
      </c>
      <c r="J87" s="10" t="n">
        <v>40056</v>
      </c>
      <c r="K87" s="1" t="n">
        <v>5</v>
      </c>
      <c r="L87" s="1" t="n">
        <v>5</v>
      </c>
      <c r="M87" s="3" t="s">
        <v>32</v>
      </c>
      <c r="N87" s="3" t="s">
        <v>68</v>
      </c>
      <c r="O87" s="8" t="s">
        <v>69</v>
      </c>
      <c r="P87" s="2" t="str">
        <f aca="false">CONCATENATE(N87," ",O87)</f>
        <v>Centromerus sylvaticus</v>
      </c>
      <c r="Q87" s="1" t="s">
        <v>30</v>
      </c>
      <c r="R87" s="1" t="s">
        <v>35</v>
      </c>
      <c r="S87" s="1" t="n">
        <v>0</v>
      </c>
      <c r="T87" s="1" t="n">
        <v>2</v>
      </c>
      <c r="U87" s="1" t="n">
        <v>0</v>
      </c>
      <c r="V87" s="1" t="n">
        <v>0</v>
      </c>
      <c r="W87" s="1" t="n">
        <v>0</v>
      </c>
      <c r="X87" s="1" t="n">
        <v>0</v>
      </c>
      <c r="Y87" s="3" t="n">
        <f aca="false">SUM(S87:T87)</f>
        <v>2</v>
      </c>
      <c r="Z87" s="3" t="n">
        <f aca="false">SUM(U87:W87)</f>
        <v>0</v>
      </c>
      <c r="AA87" s="3" t="n">
        <f aca="false">SUM(S87:X87)</f>
        <v>2</v>
      </c>
      <c r="AB87" s="11" t="n">
        <f aca="false">(AA87/(K87*L87)*25)*4</f>
        <v>8</v>
      </c>
    </row>
    <row r="88" customFormat="false" ht="14.25" hidden="false" customHeight="false" outlineLevel="0" collapsed="false">
      <c r="A88" s="1" t="n">
        <v>2009</v>
      </c>
      <c r="B88" s="7" t="s">
        <v>322</v>
      </c>
      <c r="C88" s="7" t="n">
        <v>3</v>
      </c>
      <c r="D88" s="7" t="s">
        <v>294</v>
      </c>
      <c r="E88" s="7" t="s">
        <v>294</v>
      </c>
      <c r="F88" s="7" t="s">
        <v>83</v>
      </c>
      <c r="G88" s="1" t="n">
        <v>1</v>
      </c>
      <c r="H88" s="1" t="n">
        <v>3</v>
      </c>
      <c r="I88" s="10" t="n">
        <v>40051</v>
      </c>
      <c r="J88" s="10" t="n">
        <v>40056</v>
      </c>
      <c r="K88" s="1" t="n">
        <v>5</v>
      </c>
      <c r="L88" s="1" t="n">
        <v>5</v>
      </c>
      <c r="M88" s="3" t="s">
        <v>32</v>
      </c>
      <c r="N88" s="3" t="s">
        <v>33</v>
      </c>
      <c r="O88" s="8" t="s">
        <v>81</v>
      </c>
      <c r="P88" s="2" t="str">
        <f aca="false">CONCATENATE(N88," ",O88)</f>
        <v>Tenuiphantes mengei</v>
      </c>
      <c r="Q88" s="1" t="s">
        <v>30</v>
      </c>
      <c r="R88" s="1" t="s">
        <v>31</v>
      </c>
      <c r="S88" s="1" t="n">
        <v>1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3" t="n">
        <f aca="false">SUM(S88:T88)</f>
        <v>1</v>
      </c>
      <c r="Z88" s="3" t="n">
        <f aca="false">SUM(U88:W88)</f>
        <v>0</v>
      </c>
      <c r="AA88" s="3" t="n">
        <f aca="false">SUM(S88:X88)</f>
        <v>1</v>
      </c>
      <c r="AB88" s="11" t="n">
        <f aca="false">(AA88/(K88*L88)*25)*4</f>
        <v>4</v>
      </c>
    </row>
    <row r="89" customFormat="false" ht="14.25" hidden="false" customHeight="false" outlineLevel="0" collapsed="false">
      <c r="A89" s="1" t="n">
        <v>2009</v>
      </c>
      <c r="B89" s="7" t="s">
        <v>322</v>
      </c>
      <c r="C89" s="7" t="n">
        <v>3</v>
      </c>
      <c r="D89" s="7" t="s">
        <v>294</v>
      </c>
      <c r="E89" s="7" t="s">
        <v>294</v>
      </c>
      <c r="F89" s="7" t="s">
        <v>83</v>
      </c>
      <c r="G89" s="1" t="n">
        <v>1</v>
      </c>
      <c r="H89" s="1" t="n">
        <v>3</v>
      </c>
      <c r="I89" s="10" t="n">
        <v>40051</v>
      </c>
      <c r="J89" s="10" t="n">
        <v>40056</v>
      </c>
      <c r="K89" s="1" t="n">
        <v>5</v>
      </c>
      <c r="L89" s="1" t="n">
        <v>5</v>
      </c>
      <c r="M89" s="3" t="s">
        <v>32</v>
      </c>
      <c r="N89" s="3" t="s">
        <v>33</v>
      </c>
      <c r="O89" s="8" t="s">
        <v>81</v>
      </c>
      <c r="P89" s="2" t="str">
        <f aca="false">CONCATENATE(N89," ",O89)</f>
        <v>Tenuiphantes mengei</v>
      </c>
      <c r="Q89" s="1" t="s">
        <v>30</v>
      </c>
      <c r="R89" s="1" t="s">
        <v>35</v>
      </c>
      <c r="S89" s="1" t="n">
        <v>0</v>
      </c>
      <c r="T89" s="1" t="n">
        <v>2</v>
      </c>
      <c r="U89" s="1" t="n">
        <v>0</v>
      </c>
      <c r="V89" s="1" t="n">
        <v>0</v>
      </c>
      <c r="W89" s="1" t="n">
        <v>0</v>
      </c>
      <c r="X89" s="1" t="n">
        <v>0</v>
      </c>
      <c r="Y89" s="3" t="n">
        <f aca="false">SUM(S89:T89)</f>
        <v>2</v>
      </c>
      <c r="Z89" s="3" t="n">
        <f aca="false">SUM(U89:W89)</f>
        <v>0</v>
      </c>
      <c r="AA89" s="3" t="n">
        <f aca="false">SUM(S89:X89)</f>
        <v>2</v>
      </c>
      <c r="AB89" s="11" t="n">
        <f aca="false">(AA89/(K89*L89)*25)*4</f>
        <v>8</v>
      </c>
    </row>
    <row r="90" customFormat="false" ht="14.25" hidden="false" customHeight="false" outlineLevel="0" collapsed="false">
      <c r="A90" s="1" t="n">
        <v>2009</v>
      </c>
      <c r="B90" s="7" t="s">
        <v>322</v>
      </c>
      <c r="C90" s="7" t="n">
        <v>3</v>
      </c>
      <c r="D90" s="7" t="s">
        <v>294</v>
      </c>
      <c r="E90" s="7" t="s">
        <v>294</v>
      </c>
      <c r="F90" s="7" t="s">
        <v>83</v>
      </c>
      <c r="G90" s="1" t="n">
        <v>1</v>
      </c>
      <c r="H90" s="1" t="n">
        <v>4</v>
      </c>
      <c r="I90" s="10" t="n">
        <v>40051</v>
      </c>
      <c r="J90" s="10" t="n">
        <v>40056</v>
      </c>
      <c r="K90" s="1" t="n">
        <v>5</v>
      </c>
      <c r="L90" s="1" t="n">
        <v>5</v>
      </c>
      <c r="M90" s="3" t="s">
        <v>32</v>
      </c>
      <c r="N90" s="3" t="s">
        <v>68</v>
      </c>
      <c r="O90" s="8" t="s">
        <v>69</v>
      </c>
      <c r="P90" s="2" t="str">
        <f aca="false">CONCATENATE(N90," ",O90)</f>
        <v>Centromerus sylvaticus</v>
      </c>
      <c r="Q90" s="1" t="s">
        <v>30</v>
      </c>
      <c r="R90" s="1" t="s">
        <v>35</v>
      </c>
      <c r="S90" s="1" t="n">
        <v>0</v>
      </c>
      <c r="T90" s="1" t="n">
        <v>1</v>
      </c>
      <c r="U90" s="1" t="n">
        <v>0</v>
      </c>
      <c r="V90" s="1" t="n">
        <v>0</v>
      </c>
      <c r="W90" s="1" t="n">
        <v>0</v>
      </c>
      <c r="X90" s="1" t="n">
        <v>0</v>
      </c>
      <c r="Y90" s="3" t="n">
        <f aca="false">SUM(S90:T90)</f>
        <v>1</v>
      </c>
      <c r="Z90" s="3" t="n">
        <f aca="false">SUM(U90:W90)</f>
        <v>0</v>
      </c>
      <c r="AA90" s="3" t="n">
        <f aca="false">SUM(S90:X90)</f>
        <v>1</v>
      </c>
      <c r="AB90" s="11" t="n">
        <f aca="false">(AA90/(K90*L90)*25)*4</f>
        <v>4</v>
      </c>
    </row>
    <row r="91" customFormat="false" ht="14.25" hidden="false" customHeight="false" outlineLevel="0" collapsed="false">
      <c r="A91" s="1" t="n">
        <v>2009</v>
      </c>
      <c r="B91" s="7" t="s">
        <v>322</v>
      </c>
      <c r="C91" s="7" t="n">
        <v>3</v>
      </c>
      <c r="D91" s="7" t="s">
        <v>294</v>
      </c>
      <c r="E91" s="7" t="s">
        <v>294</v>
      </c>
      <c r="F91" s="7" t="s">
        <v>326</v>
      </c>
      <c r="G91" s="1" t="n">
        <v>2</v>
      </c>
      <c r="H91" s="1" t="n">
        <v>7</v>
      </c>
      <c r="I91" s="10" t="n">
        <v>40052</v>
      </c>
      <c r="J91" s="10" t="n">
        <v>40057</v>
      </c>
      <c r="K91" s="1" t="n">
        <v>5</v>
      </c>
      <c r="L91" s="1" t="n">
        <v>5</v>
      </c>
      <c r="M91" s="3" t="s">
        <v>32</v>
      </c>
      <c r="N91" s="3" t="s">
        <v>33</v>
      </c>
      <c r="O91" s="8" t="s">
        <v>81</v>
      </c>
      <c r="P91" s="2" t="str">
        <f aca="false">CONCATENATE(N91," ",O91)</f>
        <v>Tenuiphantes mengei</v>
      </c>
      <c r="Q91" s="1" t="s">
        <v>30</v>
      </c>
      <c r="R91" s="1" t="s">
        <v>31</v>
      </c>
      <c r="S91" s="1" t="n">
        <v>1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3" t="n">
        <f aca="false">SUM(S91:T91)</f>
        <v>1</v>
      </c>
      <c r="Z91" s="3" t="n">
        <f aca="false">SUM(U91:W91)</f>
        <v>0</v>
      </c>
      <c r="AA91" s="3" t="n">
        <f aca="false">SUM(S91:X91)</f>
        <v>1</v>
      </c>
      <c r="AB91" s="11" t="n">
        <f aca="false">(AA91/(K91*L91)*25)*4</f>
        <v>4</v>
      </c>
    </row>
    <row r="92" customFormat="false" ht="14.25" hidden="false" customHeight="false" outlineLevel="0" collapsed="false">
      <c r="A92" s="1" t="n">
        <v>2009</v>
      </c>
      <c r="B92" s="7" t="s">
        <v>322</v>
      </c>
      <c r="C92" s="7" t="n">
        <v>3</v>
      </c>
      <c r="D92" s="7" t="s">
        <v>294</v>
      </c>
      <c r="E92" s="7" t="s">
        <v>294</v>
      </c>
      <c r="F92" s="7" t="s">
        <v>326</v>
      </c>
      <c r="G92" s="1" t="n">
        <v>1</v>
      </c>
      <c r="H92" s="1" t="n">
        <v>2</v>
      </c>
      <c r="I92" s="10" t="n">
        <v>40052</v>
      </c>
      <c r="J92" s="10" t="n">
        <v>40057</v>
      </c>
      <c r="K92" s="1" t="n">
        <v>5</v>
      </c>
      <c r="L92" s="1" t="n">
        <v>5</v>
      </c>
      <c r="M92" s="3" t="s">
        <v>32</v>
      </c>
      <c r="N92" s="3" t="s">
        <v>99</v>
      </c>
      <c r="O92" s="3" t="s">
        <v>100</v>
      </c>
      <c r="P92" s="2" t="str">
        <f aca="false">CONCATENATE(N92," ",O92)</f>
        <v>Linyphia triangularis</v>
      </c>
      <c r="Q92" s="1" t="s">
        <v>30</v>
      </c>
      <c r="R92" s="1" t="s">
        <v>35</v>
      </c>
      <c r="S92" s="1" t="n">
        <v>0</v>
      </c>
      <c r="T92" s="1" t="n">
        <v>1</v>
      </c>
      <c r="U92" s="1" t="n">
        <v>0</v>
      </c>
      <c r="V92" s="1" t="n">
        <v>0</v>
      </c>
      <c r="W92" s="1" t="n">
        <v>0</v>
      </c>
      <c r="X92" s="1" t="n">
        <v>0</v>
      </c>
      <c r="Y92" s="3" t="n">
        <f aca="false">SUM(S92:T92)</f>
        <v>1</v>
      </c>
      <c r="Z92" s="3" t="n">
        <f aca="false">SUM(U92:W92)</f>
        <v>0</v>
      </c>
      <c r="AA92" s="3" t="n">
        <f aca="false">SUM(S92:X92)</f>
        <v>1</v>
      </c>
      <c r="AB92" s="11" t="n">
        <f aca="false">(AA92/(K92*L92)*25)*4</f>
        <v>4</v>
      </c>
    </row>
    <row r="93" customFormat="false" ht="14.25" hidden="false" customHeight="false" outlineLevel="0" collapsed="false">
      <c r="A93" s="1" t="n">
        <v>2009</v>
      </c>
      <c r="B93" s="7" t="s">
        <v>322</v>
      </c>
      <c r="C93" s="7" t="n">
        <v>3</v>
      </c>
      <c r="D93" s="7" t="s">
        <v>294</v>
      </c>
      <c r="E93" s="7" t="s">
        <v>294</v>
      </c>
      <c r="F93" s="7" t="s">
        <v>326</v>
      </c>
      <c r="G93" s="1" t="n">
        <v>1</v>
      </c>
      <c r="H93" s="1" t="n">
        <v>2</v>
      </c>
      <c r="I93" s="10" t="n">
        <v>40052</v>
      </c>
      <c r="J93" s="10" t="n">
        <v>40057</v>
      </c>
      <c r="K93" s="1" t="n">
        <v>5</v>
      </c>
      <c r="L93" s="1" t="n">
        <v>5</v>
      </c>
      <c r="M93" s="3" t="s">
        <v>32</v>
      </c>
      <c r="N93" s="3" t="s">
        <v>62</v>
      </c>
      <c r="O93" s="8" t="s">
        <v>63</v>
      </c>
      <c r="P93" s="2" t="str">
        <f aca="false">CONCATENATE(N93," ",O93)</f>
        <v>Microneta viaria</v>
      </c>
      <c r="Q93" s="1" t="s">
        <v>30</v>
      </c>
      <c r="R93" s="1" t="s">
        <v>31</v>
      </c>
      <c r="S93" s="1" t="n">
        <v>1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3" t="n">
        <f aca="false">SUM(S93:T93)</f>
        <v>1</v>
      </c>
      <c r="Z93" s="3" t="n">
        <f aca="false">SUM(U93:W93)</f>
        <v>0</v>
      </c>
      <c r="AA93" s="3" t="n">
        <f aca="false">SUM(S93:X93)</f>
        <v>1</v>
      </c>
      <c r="AB93" s="11" t="n">
        <f aca="false">(AA93/(K93*L93)*25)*4</f>
        <v>4</v>
      </c>
    </row>
    <row r="94" customFormat="false" ht="14.25" hidden="false" customHeight="false" outlineLevel="0" collapsed="false">
      <c r="A94" s="1" t="n">
        <v>2009</v>
      </c>
      <c r="B94" s="7" t="s">
        <v>322</v>
      </c>
      <c r="C94" s="7" t="n">
        <v>3</v>
      </c>
      <c r="D94" s="7" t="s">
        <v>294</v>
      </c>
      <c r="E94" s="7" t="s">
        <v>294</v>
      </c>
      <c r="F94" s="7" t="s">
        <v>326</v>
      </c>
      <c r="G94" s="1" t="n">
        <v>1</v>
      </c>
      <c r="H94" s="1" t="n">
        <v>2</v>
      </c>
      <c r="I94" s="10" t="n">
        <v>40052</v>
      </c>
      <c r="J94" s="10" t="n">
        <v>40057</v>
      </c>
      <c r="K94" s="1" t="n">
        <v>5</v>
      </c>
      <c r="L94" s="1" t="n">
        <v>5</v>
      </c>
      <c r="M94" s="3" t="s">
        <v>32</v>
      </c>
      <c r="N94" s="3" t="s">
        <v>33</v>
      </c>
      <c r="O94" s="8" t="s">
        <v>81</v>
      </c>
      <c r="P94" s="2" t="str">
        <f aca="false">CONCATENATE(N94," ",O94)</f>
        <v>Tenuiphantes mengei</v>
      </c>
      <c r="Q94" s="1" t="s">
        <v>30</v>
      </c>
      <c r="R94" s="1" t="s">
        <v>35</v>
      </c>
      <c r="S94" s="1" t="n">
        <v>0</v>
      </c>
      <c r="T94" s="1" t="n">
        <v>1</v>
      </c>
      <c r="U94" s="1" t="n">
        <v>0</v>
      </c>
      <c r="V94" s="1" t="n">
        <v>0</v>
      </c>
      <c r="W94" s="1" t="n">
        <v>0</v>
      </c>
      <c r="X94" s="1" t="n">
        <v>0</v>
      </c>
      <c r="Y94" s="3" t="n">
        <f aca="false">SUM(S94:T94)</f>
        <v>1</v>
      </c>
      <c r="Z94" s="3" t="n">
        <f aca="false">SUM(U94:W94)</f>
        <v>0</v>
      </c>
      <c r="AA94" s="3" t="n">
        <f aca="false">SUM(S94:X94)</f>
        <v>1</v>
      </c>
      <c r="AB94" s="11" t="n">
        <f aca="false">(AA94/(K94*L94)*25)*4</f>
        <v>4</v>
      </c>
    </row>
    <row r="95" customFormat="false" ht="14.25" hidden="false" customHeight="false" outlineLevel="0" collapsed="false">
      <c r="A95" s="1" t="n">
        <v>2009</v>
      </c>
      <c r="B95" s="7" t="s">
        <v>322</v>
      </c>
      <c r="C95" s="7" t="n">
        <v>3</v>
      </c>
      <c r="D95" s="7" t="s">
        <v>294</v>
      </c>
      <c r="E95" s="7" t="s">
        <v>294</v>
      </c>
      <c r="F95" s="7" t="s">
        <v>326</v>
      </c>
      <c r="G95" s="1" t="n">
        <v>1</v>
      </c>
      <c r="H95" s="1" t="n">
        <v>2</v>
      </c>
      <c r="I95" s="10" t="n">
        <v>40052</v>
      </c>
      <c r="J95" s="10" t="n">
        <v>40057</v>
      </c>
      <c r="K95" s="1" t="n">
        <v>5</v>
      </c>
      <c r="L95" s="1" t="n">
        <v>5</v>
      </c>
      <c r="M95" s="3" t="s">
        <v>32</v>
      </c>
      <c r="N95" s="3" t="s">
        <v>33</v>
      </c>
      <c r="O95" s="8" t="s">
        <v>60</v>
      </c>
      <c r="P95" s="2" t="str">
        <f aca="false">CONCATENATE(N95," ",O95)</f>
        <v>Tenuiphantes tenebricola</v>
      </c>
      <c r="Q95" s="1" t="s">
        <v>30</v>
      </c>
      <c r="R95" s="1" t="s">
        <v>35</v>
      </c>
      <c r="S95" s="1" t="n">
        <v>0</v>
      </c>
      <c r="T95" s="1" t="n">
        <v>1</v>
      </c>
      <c r="U95" s="1" t="n">
        <v>0</v>
      </c>
      <c r="V95" s="1" t="n">
        <v>0</v>
      </c>
      <c r="W95" s="1" t="n">
        <v>0</v>
      </c>
      <c r="X95" s="1" t="n">
        <v>0</v>
      </c>
      <c r="Y95" s="3" t="n">
        <f aca="false">SUM(S95:T95)</f>
        <v>1</v>
      </c>
      <c r="Z95" s="3" t="n">
        <f aca="false">SUM(U95:W95)</f>
        <v>0</v>
      </c>
      <c r="AA95" s="3" t="n">
        <f aca="false">SUM(S95:X95)</f>
        <v>1</v>
      </c>
      <c r="AB95" s="11" t="n">
        <f aca="false">(AA95/(K95*L95)*25)*4</f>
        <v>4</v>
      </c>
    </row>
    <row r="96" customFormat="false" ht="14.25" hidden="false" customHeight="false" outlineLevel="0" collapsed="false">
      <c r="A96" s="1" t="n">
        <v>2009</v>
      </c>
      <c r="B96" s="7" t="s">
        <v>322</v>
      </c>
      <c r="C96" s="7" t="n">
        <v>3</v>
      </c>
      <c r="D96" s="7" t="s">
        <v>294</v>
      </c>
      <c r="E96" s="7" t="s">
        <v>294</v>
      </c>
      <c r="F96" s="7" t="s">
        <v>326</v>
      </c>
      <c r="G96" s="1" t="n">
        <v>2</v>
      </c>
      <c r="H96" s="1" t="n">
        <v>6</v>
      </c>
      <c r="I96" s="10" t="n">
        <v>40052</v>
      </c>
      <c r="J96" s="10" t="n">
        <v>40057</v>
      </c>
      <c r="K96" s="1" t="n">
        <v>5</v>
      </c>
      <c r="L96" s="1" t="n">
        <v>5</v>
      </c>
      <c r="M96" s="3" t="s">
        <v>32</v>
      </c>
      <c r="N96" s="3" t="s">
        <v>33</v>
      </c>
      <c r="O96" s="8" t="s">
        <v>81</v>
      </c>
      <c r="P96" s="2" t="str">
        <f aca="false">CONCATENATE(N96," ",O96)</f>
        <v>Tenuiphantes mengei</v>
      </c>
      <c r="Q96" s="1" t="s">
        <v>30</v>
      </c>
      <c r="R96" s="1" t="s">
        <v>31</v>
      </c>
      <c r="S96" s="1" t="n">
        <v>1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3" t="n">
        <f aca="false">SUM(S96:T96)</f>
        <v>1</v>
      </c>
      <c r="Z96" s="3" t="n">
        <f aca="false">SUM(U96:W96)</f>
        <v>0</v>
      </c>
      <c r="AA96" s="3" t="n">
        <f aca="false">SUM(S96:X96)</f>
        <v>1</v>
      </c>
      <c r="AB96" s="11" t="n">
        <f aca="false">(AA96/(K96*L96)*25)*4</f>
        <v>4</v>
      </c>
    </row>
    <row r="97" customFormat="false" ht="14.25" hidden="false" customHeight="false" outlineLevel="0" collapsed="false">
      <c r="A97" s="1" t="n">
        <v>2009</v>
      </c>
      <c r="B97" s="7" t="s">
        <v>322</v>
      </c>
      <c r="C97" s="7" t="n">
        <v>3</v>
      </c>
      <c r="D97" s="7" t="s">
        <v>294</v>
      </c>
      <c r="E97" s="7" t="s">
        <v>294</v>
      </c>
      <c r="F97" s="7" t="s">
        <v>326</v>
      </c>
      <c r="G97" s="1" t="n">
        <v>2</v>
      </c>
      <c r="H97" s="1" t="n">
        <v>6</v>
      </c>
      <c r="I97" s="10" t="n">
        <v>40052</v>
      </c>
      <c r="J97" s="10" t="n">
        <v>40057</v>
      </c>
      <c r="K97" s="1" t="n">
        <v>5</v>
      </c>
      <c r="L97" s="1" t="n">
        <v>5</v>
      </c>
      <c r="M97" s="3" t="s">
        <v>32</v>
      </c>
      <c r="N97" s="3" t="s">
        <v>33</v>
      </c>
      <c r="O97" s="8" t="s">
        <v>81</v>
      </c>
      <c r="P97" s="2" t="str">
        <f aca="false">CONCATENATE(N97," ",O97)</f>
        <v>Tenuiphantes mengei</v>
      </c>
      <c r="Q97" s="1" t="s">
        <v>30</v>
      </c>
      <c r="R97" s="1" t="s">
        <v>35</v>
      </c>
      <c r="S97" s="1" t="n">
        <v>0</v>
      </c>
      <c r="T97" s="1" t="n">
        <v>1</v>
      </c>
      <c r="U97" s="1" t="n">
        <v>0</v>
      </c>
      <c r="V97" s="1" t="n">
        <v>0</v>
      </c>
      <c r="W97" s="1" t="n">
        <v>0</v>
      </c>
      <c r="X97" s="1" t="n">
        <v>0</v>
      </c>
      <c r="Y97" s="3" t="n">
        <f aca="false">SUM(S97:T97)</f>
        <v>1</v>
      </c>
      <c r="Z97" s="3" t="n">
        <f aca="false">SUM(U97:W97)</f>
        <v>0</v>
      </c>
      <c r="AA97" s="3" t="n">
        <f aca="false">SUM(S97:X97)</f>
        <v>1</v>
      </c>
      <c r="AB97" s="11" t="n">
        <f aca="false">(AA97/(K97*L97)*25)*4</f>
        <v>4</v>
      </c>
    </row>
    <row r="98" customFormat="false" ht="14.25" hidden="false" customHeight="false" outlineLevel="0" collapsed="false">
      <c r="A98" s="1" t="n">
        <v>2009</v>
      </c>
      <c r="B98" s="7" t="s">
        <v>322</v>
      </c>
      <c r="C98" s="7" t="n">
        <v>3</v>
      </c>
      <c r="D98" s="7" t="s">
        <v>294</v>
      </c>
      <c r="E98" s="7" t="s">
        <v>294</v>
      </c>
      <c r="F98" s="7" t="s">
        <v>326</v>
      </c>
      <c r="G98" s="1" t="n">
        <v>2</v>
      </c>
      <c r="H98" s="1" t="n">
        <v>6</v>
      </c>
      <c r="I98" s="10" t="n">
        <v>40052</v>
      </c>
      <c r="J98" s="10" t="n">
        <v>40057</v>
      </c>
      <c r="K98" s="1" t="n">
        <v>5</v>
      </c>
      <c r="L98" s="1" t="n">
        <v>5</v>
      </c>
      <c r="M98" s="3" t="s">
        <v>36</v>
      </c>
      <c r="N98" s="3" t="s">
        <v>37</v>
      </c>
      <c r="O98" s="8" t="s">
        <v>75</v>
      </c>
      <c r="P98" s="2" t="str">
        <f aca="false">CONCATENATE(N98," ",O98)</f>
        <v>Ozyptila praticola</v>
      </c>
      <c r="Q98" s="1" t="s">
        <v>30</v>
      </c>
      <c r="R98" s="1" t="s">
        <v>35</v>
      </c>
      <c r="S98" s="1" t="n">
        <v>0</v>
      </c>
      <c r="T98" s="1" t="n">
        <v>1</v>
      </c>
      <c r="U98" s="1" t="n">
        <v>0</v>
      </c>
      <c r="V98" s="1" t="n">
        <v>0</v>
      </c>
      <c r="W98" s="1" t="n">
        <v>0</v>
      </c>
      <c r="X98" s="1" t="n">
        <v>0</v>
      </c>
      <c r="Y98" s="3" t="n">
        <f aca="false">SUM(S98:T98)</f>
        <v>1</v>
      </c>
      <c r="Z98" s="3" t="n">
        <f aca="false">SUM(U98:W98)</f>
        <v>0</v>
      </c>
      <c r="AA98" s="3" t="n">
        <f aca="false">SUM(S98:X98)</f>
        <v>1</v>
      </c>
      <c r="AB98" s="11" t="n">
        <f aca="false">(AA98/(K98*L98)*25)*4</f>
        <v>4</v>
      </c>
    </row>
    <row r="99" customFormat="false" ht="14.25" hidden="false" customHeight="false" outlineLevel="0" collapsed="false">
      <c r="A99" s="1" t="n">
        <v>2009</v>
      </c>
      <c r="B99" s="7" t="s">
        <v>322</v>
      </c>
      <c r="C99" s="7" t="n">
        <v>3</v>
      </c>
      <c r="D99" s="7" t="s">
        <v>294</v>
      </c>
      <c r="E99" s="7" t="s">
        <v>294</v>
      </c>
      <c r="F99" s="7" t="s">
        <v>326</v>
      </c>
      <c r="G99" s="1" t="n">
        <v>3</v>
      </c>
      <c r="H99" s="1" t="n">
        <v>14</v>
      </c>
      <c r="I99" s="10" t="n">
        <v>40052</v>
      </c>
      <c r="J99" s="10" t="n">
        <v>40057</v>
      </c>
      <c r="K99" s="1" t="n">
        <v>5</v>
      </c>
      <c r="L99" s="1" t="n">
        <v>5</v>
      </c>
      <c r="M99" s="3" t="s">
        <v>36</v>
      </c>
      <c r="N99" s="3" t="s">
        <v>37</v>
      </c>
      <c r="O99" s="8" t="s">
        <v>75</v>
      </c>
      <c r="P99" s="2" t="str">
        <f aca="false">CONCATENATE(N99," ",O99)</f>
        <v>Ozyptila praticola</v>
      </c>
      <c r="Q99" s="1" t="s">
        <v>30</v>
      </c>
      <c r="R99" s="1" t="s">
        <v>31</v>
      </c>
      <c r="S99" s="1" t="n">
        <v>1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3" t="n">
        <f aca="false">SUM(S99:T99)</f>
        <v>1</v>
      </c>
      <c r="Z99" s="3" t="n">
        <f aca="false">SUM(U99:W99)</f>
        <v>0</v>
      </c>
      <c r="AA99" s="3" t="n">
        <f aca="false">SUM(S99:X99)</f>
        <v>1</v>
      </c>
      <c r="AB99" s="11" t="n">
        <f aca="false">(AA99/(K99*L99)*25)*4</f>
        <v>4</v>
      </c>
    </row>
    <row r="100" customFormat="false" ht="14.25" hidden="false" customHeight="false" outlineLevel="0" collapsed="false">
      <c r="A100" s="1" t="n">
        <v>2009</v>
      </c>
      <c r="B100" s="7" t="s">
        <v>322</v>
      </c>
      <c r="C100" s="7" t="n">
        <v>3</v>
      </c>
      <c r="D100" s="7" t="s">
        <v>294</v>
      </c>
      <c r="E100" s="7" t="s">
        <v>294</v>
      </c>
      <c r="F100" s="7" t="s">
        <v>326</v>
      </c>
      <c r="G100" s="1" t="n">
        <v>2</v>
      </c>
      <c r="H100" s="1" t="n">
        <v>8</v>
      </c>
      <c r="I100" s="10" t="n">
        <v>40052</v>
      </c>
      <c r="J100" s="10" t="n">
        <v>40057</v>
      </c>
      <c r="K100" s="1" t="n">
        <v>5</v>
      </c>
      <c r="L100" s="1" t="n">
        <v>5</v>
      </c>
      <c r="M100" s="3" t="s">
        <v>72</v>
      </c>
      <c r="N100" s="3" t="s">
        <v>73</v>
      </c>
      <c r="O100" s="8" t="s">
        <v>74</v>
      </c>
      <c r="P100" s="2" t="str">
        <f aca="false">CONCATENATE(N100," ",O100)</f>
        <v>Zelotes subterraneus</v>
      </c>
      <c r="Q100" s="1" t="s">
        <v>30</v>
      </c>
      <c r="R100" s="1" t="s">
        <v>35</v>
      </c>
      <c r="S100" s="1" t="n">
        <v>0</v>
      </c>
      <c r="T100" s="1" t="n">
        <v>1</v>
      </c>
      <c r="U100" s="1" t="n">
        <v>0</v>
      </c>
      <c r="V100" s="1" t="n">
        <v>0</v>
      </c>
      <c r="W100" s="1" t="n">
        <v>0</v>
      </c>
      <c r="X100" s="1" t="n">
        <v>0</v>
      </c>
      <c r="Y100" s="3" t="n">
        <f aca="false">SUM(S100:T100)</f>
        <v>1</v>
      </c>
      <c r="Z100" s="3" t="n">
        <f aca="false">SUM(U100:W100)</f>
        <v>0</v>
      </c>
      <c r="AA100" s="3" t="n">
        <f aca="false">SUM(S100:X100)</f>
        <v>1</v>
      </c>
      <c r="AB100" s="11" t="n">
        <f aca="false">(AA100/(K100*L100)*25)*4</f>
        <v>4</v>
      </c>
    </row>
    <row r="101" customFormat="false" ht="14.25" hidden="false" customHeight="false" outlineLevel="0" collapsed="false">
      <c r="A101" s="1" t="n">
        <v>2009</v>
      </c>
      <c r="B101" s="7" t="s">
        <v>322</v>
      </c>
      <c r="C101" s="7" t="n">
        <v>3</v>
      </c>
      <c r="D101" s="7" t="s">
        <v>294</v>
      </c>
      <c r="E101" s="7" t="s">
        <v>294</v>
      </c>
      <c r="F101" s="7" t="s">
        <v>326</v>
      </c>
      <c r="G101" s="1" t="n">
        <v>1</v>
      </c>
      <c r="H101" s="1" t="n">
        <v>5</v>
      </c>
      <c r="I101" s="10" t="n">
        <v>40052</v>
      </c>
      <c r="J101" s="10" t="n">
        <v>40057</v>
      </c>
      <c r="K101" s="1" t="n">
        <v>5</v>
      </c>
      <c r="L101" s="1" t="n">
        <v>5</v>
      </c>
      <c r="M101" s="3" t="s">
        <v>32</v>
      </c>
      <c r="N101" s="3" t="s">
        <v>39</v>
      </c>
      <c r="O101" s="8" t="s">
        <v>40</v>
      </c>
      <c r="P101" s="2" t="str">
        <f aca="false">CONCATENATE(N101," ",O101)</f>
        <v>Helophora insignis</v>
      </c>
      <c r="Q101" s="1" t="s">
        <v>30</v>
      </c>
      <c r="R101" s="1" t="s">
        <v>31</v>
      </c>
      <c r="S101" s="1" t="n">
        <v>1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3" t="n">
        <f aca="false">SUM(S101:T101)</f>
        <v>1</v>
      </c>
      <c r="Z101" s="3" t="n">
        <f aca="false">SUM(U101:W101)</f>
        <v>0</v>
      </c>
      <c r="AA101" s="3" t="n">
        <f aca="false">SUM(S101:X101)</f>
        <v>1</v>
      </c>
      <c r="AB101" s="11" t="n">
        <f aca="false">(AA101/(K101*L101)*25)*4</f>
        <v>4</v>
      </c>
    </row>
    <row r="102" customFormat="false" ht="14.25" hidden="false" customHeight="false" outlineLevel="0" collapsed="false">
      <c r="A102" s="1" t="n">
        <v>2009</v>
      </c>
      <c r="B102" s="7" t="s">
        <v>322</v>
      </c>
      <c r="C102" s="7" t="n">
        <v>3</v>
      </c>
      <c r="D102" s="7" t="s">
        <v>294</v>
      </c>
      <c r="E102" s="7" t="s">
        <v>294</v>
      </c>
      <c r="F102" s="7" t="s">
        <v>326</v>
      </c>
      <c r="G102" s="1" t="n">
        <v>3</v>
      </c>
      <c r="H102" s="1" t="n">
        <v>15</v>
      </c>
      <c r="I102" s="10" t="n">
        <v>40052</v>
      </c>
      <c r="J102" s="10" t="n">
        <v>40057</v>
      </c>
      <c r="K102" s="1" t="n">
        <v>5</v>
      </c>
      <c r="L102" s="1" t="n">
        <v>5</v>
      </c>
      <c r="M102" s="3" t="s">
        <v>36</v>
      </c>
      <c r="N102" s="3" t="s">
        <v>37</v>
      </c>
      <c r="O102" s="8" t="s">
        <v>75</v>
      </c>
      <c r="P102" s="2" t="str">
        <f aca="false">CONCATENATE(N102," ",O102)</f>
        <v>Ozyptila praticola</v>
      </c>
      <c r="Q102" s="1" t="s">
        <v>30</v>
      </c>
      <c r="R102" s="1" t="s">
        <v>31</v>
      </c>
      <c r="S102" s="1" t="n">
        <v>1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3" t="n">
        <f aca="false">SUM(S102:T102)</f>
        <v>1</v>
      </c>
      <c r="Z102" s="3" t="n">
        <f aca="false">SUM(U102:W102)</f>
        <v>0</v>
      </c>
      <c r="AA102" s="3" t="n">
        <f aca="false">SUM(S102:X102)</f>
        <v>1</v>
      </c>
      <c r="AB102" s="11" t="n">
        <f aca="false">(AA102/(K102*L102)*25)*4</f>
        <v>4</v>
      </c>
    </row>
    <row r="103" customFormat="false" ht="14.25" hidden="false" customHeight="false" outlineLevel="0" collapsed="false">
      <c r="A103" s="1" t="n">
        <v>2009</v>
      </c>
      <c r="B103" s="7" t="s">
        <v>322</v>
      </c>
      <c r="C103" s="7" t="n">
        <v>3</v>
      </c>
      <c r="D103" s="7" t="s">
        <v>294</v>
      </c>
      <c r="E103" s="7" t="s">
        <v>294</v>
      </c>
      <c r="F103" s="7" t="s">
        <v>326</v>
      </c>
      <c r="G103" s="1" t="n">
        <v>2</v>
      </c>
      <c r="H103" s="1" t="n">
        <v>10</v>
      </c>
      <c r="I103" s="10" t="n">
        <v>40052</v>
      </c>
      <c r="J103" s="10" t="n">
        <v>40057</v>
      </c>
      <c r="K103" s="1" t="n">
        <v>5</v>
      </c>
      <c r="L103" s="1" t="n">
        <v>5</v>
      </c>
      <c r="M103" s="3" t="s">
        <v>32</v>
      </c>
      <c r="N103" s="3" t="s">
        <v>33</v>
      </c>
      <c r="O103" s="3" t="s">
        <v>81</v>
      </c>
      <c r="P103" s="2" t="str">
        <f aca="false">CONCATENATE(N103," ",O103)</f>
        <v>Tenuiphantes mengei</v>
      </c>
      <c r="Q103" s="1" t="s">
        <v>30</v>
      </c>
      <c r="R103" s="1" t="s">
        <v>31</v>
      </c>
      <c r="S103" s="1" t="n">
        <v>1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3" t="n">
        <f aca="false">SUM(S103:T103)</f>
        <v>1</v>
      </c>
      <c r="Z103" s="3" t="n">
        <f aca="false">SUM(U103:W103)</f>
        <v>0</v>
      </c>
      <c r="AA103" s="3" t="n">
        <f aca="false">SUM(S103:X103)</f>
        <v>1</v>
      </c>
      <c r="AB103" s="11" t="n">
        <f aca="false">(AA103/(K103*L103)*25)*4</f>
        <v>4</v>
      </c>
    </row>
    <row r="104" customFormat="false" ht="14.25" hidden="false" customHeight="false" outlineLevel="0" collapsed="false">
      <c r="A104" s="1" t="n">
        <v>2009</v>
      </c>
      <c r="B104" s="7" t="s">
        <v>322</v>
      </c>
      <c r="C104" s="7" t="n">
        <v>3</v>
      </c>
      <c r="D104" s="7" t="s">
        <v>294</v>
      </c>
      <c r="E104" s="7" t="s">
        <v>294</v>
      </c>
      <c r="F104" s="7" t="s">
        <v>326</v>
      </c>
      <c r="G104" s="1" t="n">
        <v>1</v>
      </c>
      <c r="H104" s="1" t="n">
        <v>3</v>
      </c>
      <c r="I104" s="10" t="n">
        <v>40052</v>
      </c>
      <c r="J104" s="10" t="n">
        <v>40057</v>
      </c>
      <c r="K104" s="1" t="n">
        <v>5</v>
      </c>
      <c r="L104" s="1" t="n">
        <v>5</v>
      </c>
      <c r="M104" s="3" t="s">
        <v>41</v>
      </c>
      <c r="N104" s="3" t="s">
        <v>42</v>
      </c>
      <c r="O104" s="12" t="s">
        <v>43</v>
      </c>
      <c r="P104" s="2" t="str">
        <f aca="false">CONCATENATE(N104," ",O104)</f>
        <v>Agroeca proxima</v>
      </c>
      <c r="Q104" s="1" t="s">
        <v>30</v>
      </c>
      <c r="R104" s="1" t="s">
        <v>31</v>
      </c>
      <c r="S104" s="1" t="n">
        <v>1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3" t="n">
        <f aca="false">SUM(S104:T104)</f>
        <v>1</v>
      </c>
      <c r="Z104" s="3" t="n">
        <f aca="false">SUM(U104:W104)</f>
        <v>0</v>
      </c>
      <c r="AA104" s="3" t="n">
        <f aca="false">SUM(S104:X104)</f>
        <v>1</v>
      </c>
      <c r="AB104" s="11" t="n">
        <f aca="false">(AA104/(K104*L104)*25)*4</f>
        <v>4</v>
      </c>
    </row>
    <row r="105" customFormat="false" ht="14.25" hidden="false" customHeight="false" outlineLevel="0" collapsed="false">
      <c r="A105" s="1" t="n">
        <v>2009</v>
      </c>
      <c r="B105" s="7" t="s">
        <v>322</v>
      </c>
      <c r="C105" s="7" t="n">
        <v>3</v>
      </c>
      <c r="D105" s="7" t="s">
        <v>293</v>
      </c>
      <c r="E105" s="7" t="s">
        <v>293</v>
      </c>
      <c r="F105" s="7" t="s">
        <v>101</v>
      </c>
      <c r="G105" s="1" t="n">
        <v>3</v>
      </c>
      <c r="H105" s="1" t="n">
        <v>15</v>
      </c>
      <c r="I105" s="10" t="n">
        <v>40052</v>
      </c>
      <c r="J105" s="10" t="n">
        <v>40057</v>
      </c>
      <c r="K105" s="1" t="n">
        <v>5</v>
      </c>
      <c r="L105" s="1" t="n">
        <v>5</v>
      </c>
      <c r="M105" s="3" t="s">
        <v>41</v>
      </c>
      <c r="N105" s="3" t="s">
        <v>42</v>
      </c>
      <c r="O105" s="12" t="s">
        <v>43</v>
      </c>
      <c r="P105" s="2" t="str">
        <f aca="false">CONCATENATE(N105," ",O105)</f>
        <v>Agroeca proxima</v>
      </c>
      <c r="Q105" s="1" t="s">
        <v>30</v>
      </c>
      <c r="R105" s="1" t="s">
        <v>31</v>
      </c>
      <c r="S105" s="1" t="n">
        <v>1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3" t="n">
        <f aca="false">SUM(S105:T105)</f>
        <v>1</v>
      </c>
      <c r="Z105" s="3" t="n">
        <f aca="false">SUM(U105:W105)</f>
        <v>0</v>
      </c>
      <c r="AA105" s="3" t="n">
        <f aca="false">SUM(S105:X105)</f>
        <v>1</v>
      </c>
      <c r="AB105" s="11" t="n">
        <f aca="false">(AA105/(K105*L105)*25)*4</f>
        <v>4</v>
      </c>
    </row>
    <row r="106" customFormat="false" ht="14.25" hidden="false" customHeight="false" outlineLevel="0" collapsed="false">
      <c r="A106" s="1" t="n">
        <v>2009</v>
      </c>
      <c r="B106" s="7" t="s">
        <v>322</v>
      </c>
      <c r="C106" s="7" t="n">
        <v>3</v>
      </c>
      <c r="D106" s="7" t="s">
        <v>293</v>
      </c>
      <c r="E106" s="7" t="s">
        <v>293</v>
      </c>
      <c r="F106" s="7" t="s">
        <v>101</v>
      </c>
      <c r="G106" s="1" t="n">
        <v>3</v>
      </c>
      <c r="H106" s="1" t="n">
        <v>15</v>
      </c>
      <c r="I106" s="10" t="n">
        <v>40052</v>
      </c>
      <c r="J106" s="10" t="n">
        <v>40057</v>
      </c>
      <c r="K106" s="1" t="n">
        <v>5</v>
      </c>
      <c r="L106" s="1" t="n">
        <v>5</v>
      </c>
      <c r="M106" s="3" t="s">
        <v>27</v>
      </c>
      <c r="N106" s="3" t="s">
        <v>28</v>
      </c>
      <c r="O106" s="8" t="s">
        <v>29</v>
      </c>
      <c r="P106" s="2" t="str">
        <f aca="false">CONCATENATE(N106," ",O106)</f>
        <v>Robertus lividus</v>
      </c>
      <c r="Q106" s="1" t="s">
        <v>30</v>
      </c>
      <c r="R106" s="1" t="s">
        <v>31</v>
      </c>
      <c r="S106" s="1" t="n">
        <v>1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3" t="n">
        <f aca="false">SUM(S106:T106)</f>
        <v>1</v>
      </c>
      <c r="Z106" s="3" t="n">
        <f aca="false">SUM(U106:W106)</f>
        <v>0</v>
      </c>
      <c r="AA106" s="3" t="n">
        <f aca="false">SUM(S106:X106)</f>
        <v>1</v>
      </c>
      <c r="AB106" s="11" t="n">
        <f aca="false">(AA106/(K106*L106)*25)*4</f>
        <v>4</v>
      </c>
    </row>
    <row r="107" customFormat="false" ht="14.25" hidden="false" customHeight="false" outlineLevel="0" collapsed="false">
      <c r="A107" s="1" t="n">
        <v>2009</v>
      </c>
      <c r="B107" s="7" t="s">
        <v>322</v>
      </c>
      <c r="C107" s="7" t="n">
        <v>3</v>
      </c>
      <c r="D107" s="7" t="s">
        <v>293</v>
      </c>
      <c r="E107" s="7" t="s">
        <v>293</v>
      </c>
      <c r="F107" s="7" t="s">
        <v>101</v>
      </c>
      <c r="G107" s="1" t="n">
        <v>3</v>
      </c>
      <c r="H107" s="1" t="n">
        <v>15</v>
      </c>
      <c r="I107" s="10" t="n">
        <v>40052</v>
      </c>
      <c r="J107" s="10" t="n">
        <v>40057</v>
      </c>
      <c r="K107" s="1" t="n">
        <v>5</v>
      </c>
      <c r="L107" s="1" t="n">
        <v>5</v>
      </c>
      <c r="M107" s="3" t="s">
        <v>32</v>
      </c>
      <c r="N107" s="3" t="s">
        <v>102</v>
      </c>
      <c r="O107" s="8" t="s">
        <v>103</v>
      </c>
      <c r="P107" s="2" t="str">
        <f aca="false">CONCATENATE(N107," ",O107)</f>
        <v>Agyneta olivacea</v>
      </c>
      <c r="Q107" s="1" t="s">
        <v>30</v>
      </c>
      <c r="R107" s="1" t="s">
        <v>35</v>
      </c>
      <c r="S107" s="1" t="n">
        <v>0</v>
      </c>
      <c r="T107" s="1" t="n">
        <v>1</v>
      </c>
      <c r="U107" s="1" t="n">
        <v>0</v>
      </c>
      <c r="V107" s="1" t="n">
        <v>0</v>
      </c>
      <c r="W107" s="1" t="n">
        <v>0</v>
      </c>
      <c r="X107" s="1" t="n">
        <v>0</v>
      </c>
      <c r="Y107" s="3" t="n">
        <f aca="false">SUM(S107:T107)</f>
        <v>1</v>
      </c>
      <c r="Z107" s="3" t="n">
        <f aca="false">SUM(U107:W107)</f>
        <v>0</v>
      </c>
      <c r="AA107" s="3" t="n">
        <f aca="false">SUM(S107:X107)</f>
        <v>1</v>
      </c>
      <c r="AB107" s="11" t="n">
        <f aca="false">(AA107/(K107*L107)*25)*4</f>
        <v>4</v>
      </c>
    </row>
    <row r="108" customFormat="false" ht="14.25" hidden="false" customHeight="false" outlineLevel="0" collapsed="false">
      <c r="A108" s="1" t="n">
        <v>2009</v>
      </c>
      <c r="B108" s="7" t="s">
        <v>322</v>
      </c>
      <c r="C108" s="7" t="n">
        <v>3</v>
      </c>
      <c r="D108" s="7" t="s">
        <v>293</v>
      </c>
      <c r="E108" s="7" t="s">
        <v>293</v>
      </c>
      <c r="F108" s="7" t="s">
        <v>101</v>
      </c>
      <c r="G108" s="1" t="n">
        <v>3</v>
      </c>
      <c r="H108" s="1" t="n">
        <v>14</v>
      </c>
      <c r="I108" s="10" t="n">
        <v>40052</v>
      </c>
      <c r="J108" s="10" t="n">
        <v>40057</v>
      </c>
      <c r="K108" s="1" t="n">
        <v>5</v>
      </c>
      <c r="L108" s="1" t="n">
        <v>5</v>
      </c>
      <c r="M108" s="3" t="s">
        <v>48</v>
      </c>
      <c r="N108" s="3" t="s">
        <v>49</v>
      </c>
      <c r="O108" s="8" t="s">
        <v>104</v>
      </c>
      <c r="P108" s="2" t="str">
        <f aca="false">CONCATENATE(N108," ",O108)</f>
        <v>Alopecosa taeniata</v>
      </c>
      <c r="Q108" s="1" t="s">
        <v>30</v>
      </c>
      <c r="R108" s="1" t="s">
        <v>35</v>
      </c>
      <c r="S108" s="1" t="n">
        <v>0</v>
      </c>
      <c r="T108" s="1" t="n">
        <v>1</v>
      </c>
      <c r="U108" s="1" t="n">
        <v>0</v>
      </c>
      <c r="V108" s="1" t="n">
        <v>0</v>
      </c>
      <c r="W108" s="1" t="n">
        <v>0</v>
      </c>
      <c r="X108" s="1" t="n">
        <v>0</v>
      </c>
      <c r="Y108" s="3" t="n">
        <f aca="false">SUM(S108:T108)</f>
        <v>1</v>
      </c>
      <c r="Z108" s="3" t="n">
        <f aca="false">SUM(U108:W108)</f>
        <v>0</v>
      </c>
      <c r="AA108" s="3" t="n">
        <f aca="false">SUM(S108:X108)</f>
        <v>1</v>
      </c>
      <c r="AB108" s="11" t="n">
        <f aca="false">(AA108/(K108*L108)*25)*4</f>
        <v>4</v>
      </c>
    </row>
    <row r="109" customFormat="false" ht="14.25" hidden="false" customHeight="false" outlineLevel="0" collapsed="false">
      <c r="A109" s="1" t="n">
        <v>2009</v>
      </c>
      <c r="B109" s="7" t="s">
        <v>322</v>
      </c>
      <c r="C109" s="7" t="n">
        <v>3</v>
      </c>
      <c r="D109" s="7" t="s">
        <v>293</v>
      </c>
      <c r="E109" s="7" t="s">
        <v>293</v>
      </c>
      <c r="F109" s="7" t="s">
        <v>101</v>
      </c>
      <c r="G109" s="1" t="n">
        <v>3</v>
      </c>
      <c r="H109" s="1" t="n">
        <v>11</v>
      </c>
      <c r="I109" s="10" t="n">
        <v>40052</v>
      </c>
      <c r="J109" s="10" t="n">
        <v>40057</v>
      </c>
      <c r="K109" s="1" t="n">
        <v>5</v>
      </c>
      <c r="L109" s="1" t="n">
        <v>5</v>
      </c>
      <c r="M109" s="3" t="s">
        <v>48</v>
      </c>
      <c r="N109" s="3" t="s">
        <v>105</v>
      </c>
      <c r="O109" s="8" t="s">
        <v>106</v>
      </c>
      <c r="P109" s="2" t="str">
        <f aca="false">CONCATENATE(N109," ",O109)</f>
        <v>Piratula hygrophila</v>
      </c>
      <c r="Q109" s="1" t="s">
        <v>30</v>
      </c>
      <c r="R109" s="1" t="s">
        <v>35</v>
      </c>
      <c r="S109" s="1" t="n">
        <v>0</v>
      </c>
      <c r="T109" s="1" t="n">
        <v>1</v>
      </c>
      <c r="U109" s="1" t="n">
        <v>0</v>
      </c>
      <c r="V109" s="1" t="n">
        <v>0</v>
      </c>
      <c r="W109" s="1" t="n">
        <v>0</v>
      </c>
      <c r="X109" s="1" t="n">
        <v>0</v>
      </c>
      <c r="Y109" s="3" t="n">
        <f aca="false">SUM(S109:T109)</f>
        <v>1</v>
      </c>
      <c r="Z109" s="3" t="n">
        <f aca="false">SUM(U109:W109)</f>
        <v>0</v>
      </c>
      <c r="AA109" s="3" t="n">
        <f aca="false">SUM(S109:X109)</f>
        <v>1</v>
      </c>
      <c r="AB109" s="11" t="n">
        <f aca="false">(AA109/(K109*L109)*25)*4</f>
        <v>4</v>
      </c>
    </row>
    <row r="110" customFormat="false" ht="14.25" hidden="false" customHeight="false" outlineLevel="0" collapsed="false">
      <c r="A110" s="1" t="n">
        <v>2009</v>
      </c>
      <c r="B110" s="7" t="s">
        <v>322</v>
      </c>
      <c r="C110" s="7" t="n">
        <v>3</v>
      </c>
      <c r="D110" s="7" t="s">
        <v>293</v>
      </c>
      <c r="E110" s="7" t="s">
        <v>293</v>
      </c>
      <c r="F110" s="7" t="s">
        <v>101</v>
      </c>
      <c r="G110" s="1" t="n">
        <v>3</v>
      </c>
      <c r="H110" s="1" t="n">
        <v>11</v>
      </c>
      <c r="I110" s="10" t="n">
        <v>40052</v>
      </c>
      <c r="J110" s="10" t="n">
        <v>40057</v>
      </c>
      <c r="K110" s="1" t="n">
        <v>5</v>
      </c>
      <c r="L110" s="1" t="n">
        <v>5</v>
      </c>
      <c r="M110" s="3" t="s">
        <v>41</v>
      </c>
      <c r="N110" s="3" t="s">
        <v>42</v>
      </c>
      <c r="O110" s="12" t="s">
        <v>43</v>
      </c>
      <c r="P110" s="2" t="str">
        <f aca="false">CONCATENATE(N110," ",O110)</f>
        <v>Agroeca proxima</v>
      </c>
      <c r="Q110" s="1" t="s">
        <v>30</v>
      </c>
      <c r="R110" s="1" t="s">
        <v>31</v>
      </c>
      <c r="S110" s="1" t="n">
        <v>2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3" t="n">
        <f aca="false">SUM(S110:T110)</f>
        <v>2</v>
      </c>
      <c r="Z110" s="3" t="n">
        <f aca="false">SUM(U110:W110)</f>
        <v>0</v>
      </c>
      <c r="AA110" s="3" t="n">
        <f aca="false">SUM(S110:X110)</f>
        <v>2</v>
      </c>
      <c r="AB110" s="11" t="n">
        <f aca="false">(AA110/(K110*L110)*25)*4</f>
        <v>8</v>
      </c>
    </row>
    <row r="111" customFormat="false" ht="14.25" hidden="false" customHeight="false" outlineLevel="0" collapsed="false">
      <c r="A111" s="1" t="n">
        <v>2009</v>
      </c>
      <c r="B111" s="7" t="s">
        <v>322</v>
      </c>
      <c r="C111" s="7" t="n">
        <v>3</v>
      </c>
      <c r="D111" s="7" t="s">
        <v>293</v>
      </c>
      <c r="E111" s="7" t="s">
        <v>293</v>
      </c>
      <c r="F111" s="7" t="s">
        <v>101</v>
      </c>
      <c r="G111" s="1" t="n">
        <v>3</v>
      </c>
      <c r="H111" s="1" t="n">
        <v>11</v>
      </c>
      <c r="I111" s="10" t="n">
        <v>40052</v>
      </c>
      <c r="J111" s="10" t="n">
        <v>40057</v>
      </c>
      <c r="K111" s="1" t="n">
        <v>5</v>
      </c>
      <c r="L111" s="1" t="n">
        <v>5</v>
      </c>
      <c r="M111" s="3" t="s">
        <v>41</v>
      </c>
      <c r="N111" s="3" t="s">
        <v>42</v>
      </c>
      <c r="O111" s="12" t="s">
        <v>43</v>
      </c>
      <c r="P111" s="2" t="str">
        <f aca="false">CONCATENATE(N111," ",O111)</f>
        <v>Agroeca proxima</v>
      </c>
      <c r="Q111" s="1" t="s">
        <v>30</v>
      </c>
      <c r="R111" s="1" t="s">
        <v>35</v>
      </c>
      <c r="S111" s="1" t="n">
        <v>0</v>
      </c>
      <c r="T111" s="1" t="n">
        <v>1</v>
      </c>
      <c r="U111" s="1" t="n">
        <v>0</v>
      </c>
      <c r="V111" s="1" t="n">
        <v>0</v>
      </c>
      <c r="W111" s="1" t="n">
        <v>0</v>
      </c>
      <c r="X111" s="1" t="n">
        <v>0</v>
      </c>
      <c r="Y111" s="3" t="n">
        <f aca="false">SUM(S111:T111)</f>
        <v>1</v>
      </c>
      <c r="Z111" s="3" t="n">
        <f aca="false">SUM(U111:W111)</f>
        <v>0</v>
      </c>
      <c r="AA111" s="3" t="n">
        <f aca="false">SUM(S111:X111)</f>
        <v>1</v>
      </c>
      <c r="AB111" s="11" t="n">
        <f aca="false">(AA111/(K111*L111)*25)*4</f>
        <v>4</v>
      </c>
    </row>
    <row r="112" customFormat="false" ht="14.25" hidden="false" customHeight="false" outlineLevel="0" collapsed="false">
      <c r="A112" s="1" t="n">
        <v>2009</v>
      </c>
      <c r="B112" s="7" t="s">
        <v>322</v>
      </c>
      <c r="C112" s="7" t="n">
        <v>3</v>
      </c>
      <c r="D112" s="7" t="s">
        <v>293</v>
      </c>
      <c r="E112" s="7" t="s">
        <v>293</v>
      </c>
      <c r="F112" s="7" t="s">
        <v>101</v>
      </c>
      <c r="G112" s="1" t="n">
        <v>3</v>
      </c>
      <c r="H112" s="1" t="n">
        <v>11</v>
      </c>
      <c r="I112" s="10" t="n">
        <v>40052</v>
      </c>
      <c r="J112" s="10" t="n">
        <v>40057</v>
      </c>
      <c r="K112" s="1" t="n">
        <v>5</v>
      </c>
      <c r="L112" s="1" t="n">
        <v>5</v>
      </c>
      <c r="M112" s="3" t="s">
        <v>27</v>
      </c>
      <c r="N112" s="3" t="s">
        <v>28</v>
      </c>
      <c r="O112" s="8" t="s">
        <v>29</v>
      </c>
      <c r="P112" s="2" t="str">
        <f aca="false">CONCATENATE(N112," ",O112)</f>
        <v>Robertus lividus</v>
      </c>
      <c r="Q112" s="1" t="s">
        <v>30</v>
      </c>
      <c r="R112" s="1" t="s">
        <v>31</v>
      </c>
      <c r="S112" s="1" t="n">
        <v>1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3" t="n">
        <f aca="false">SUM(S112:T112)</f>
        <v>1</v>
      </c>
      <c r="Z112" s="3" t="n">
        <f aca="false">SUM(U112:W112)</f>
        <v>0</v>
      </c>
      <c r="AA112" s="3" t="n">
        <f aca="false">SUM(S112:X112)</f>
        <v>1</v>
      </c>
      <c r="AB112" s="11" t="n">
        <f aca="false">(AA112/(K112*L112)*25)*4</f>
        <v>4</v>
      </c>
    </row>
    <row r="113" customFormat="false" ht="14.25" hidden="false" customHeight="false" outlineLevel="0" collapsed="false">
      <c r="A113" s="1" t="n">
        <v>2009</v>
      </c>
      <c r="B113" s="7" t="s">
        <v>322</v>
      </c>
      <c r="C113" s="7" t="n">
        <v>3</v>
      </c>
      <c r="D113" s="7" t="s">
        <v>293</v>
      </c>
      <c r="E113" s="7" t="s">
        <v>293</v>
      </c>
      <c r="F113" s="7" t="s">
        <v>101</v>
      </c>
      <c r="G113" s="1" t="n">
        <v>3</v>
      </c>
      <c r="H113" s="1" t="n">
        <v>12</v>
      </c>
      <c r="I113" s="10" t="n">
        <v>40052</v>
      </c>
      <c r="J113" s="10" t="n">
        <v>40057</v>
      </c>
      <c r="K113" s="1" t="n">
        <v>5</v>
      </c>
      <c r="L113" s="1" t="n">
        <v>5</v>
      </c>
      <c r="M113" s="3" t="s">
        <v>41</v>
      </c>
      <c r="N113" s="3" t="s">
        <v>42</v>
      </c>
      <c r="O113" s="12" t="s">
        <v>43</v>
      </c>
      <c r="P113" s="2" t="str">
        <f aca="false">CONCATENATE(N113," ",O113)</f>
        <v>Agroeca proxima</v>
      </c>
      <c r="Q113" s="1" t="s">
        <v>30</v>
      </c>
      <c r="R113" s="1" t="s">
        <v>31</v>
      </c>
      <c r="S113" s="1" t="n">
        <v>2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3" t="n">
        <f aca="false">SUM(S113:T113)</f>
        <v>2</v>
      </c>
      <c r="Z113" s="3" t="n">
        <f aca="false">SUM(U113:W113)</f>
        <v>0</v>
      </c>
      <c r="AA113" s="3" t="n">
        <f aca="false">SUM(S113:X113)</f>
        <v>2</v>
      </c>
      <c r="AB113" s="11" t="n">
        <f aca="false">(AA113/(K113*L113)*25)*4</f>
        <v>8</v>
      </c>
    </row>
    <row r="114" customFormat="false" ht="14.25" hidden="false" customHeight="false" outlineLevel="0" collapsed="false">
      <c r="A114" s="1" t="n">
        <v>2009</v>
      </c>
      <c r="B114" s="7" t="s">
        <v>322</v>
      </c>
      <c r="C114" s="7" t="n">
        <v>3</v>
      </c>
      <c r="D114" s="7" t="s">
        <v>293</v>
      </c>
      <c r="E114" s="7" t="s">
        <v>293</v>
      </c>
      <c r="F114" s="7" t="s">
        <v>101</v>
      </c>
      <c r="G114" s="1" t="n">
        <v>3</v>
      </c>
      <c r="H114" s="1" t="n">
        <v>12</v>
      </c>
      <c r="I114" s="10" t="n">
        <v>40052</v>
      </c>
      <c r="J114" s="10" t="n">
        <v>40057</v>
      </c>
      <c r="K114" s="1" t="n">
        <v>5</v>
      </c>
      <c r="L114" s="1" t="n">
        <v>5</v>
      </c>
      <c r="M114" s="3" t="s">
        <v>36</v>
      </c>
      <c r="N114" s="3" t="s">
        <v>37</v>
      </c>
      <c r="O114" s="8" t="s">
        <v>75</v>
      </c>
      <c r="P114" s="2" t="str">
        <f aca="false">CONCATENATE(N114," ",O114)</f>
        <v>Ozyptila praticola</v>
      </c>
      <c r="Q114" s="1" t="s">
        <v>30</v>
      </c>
      <c r="R114" s="1" t="s">
        <v>35</v>
      </c>
      <c r="S114" s="1" t="n">
        <v>0</v>
      </c>
      <c r="T114" s="1" t="n">
        <v>1</v>
      </c>
      <c r="U114" s="1" t="n">
        <v>0</v>
      </c>
      <c r="V114" s="1" t="n">
        <v>0</v>
      </c>
      <c r="W114" s="1" t="n">
        <v>0</v>
      </c>
      <c r="X114" s="1" t="n">
        <v>0</v>
      </c>
      <c r="Y114" s="3" t="n">
        <f aca="false">SUM(S114:T114)</f>
        <v>1</v>
      </c>
      <c r="Z114" s="3" t="n">
        <f aca="false">SUM(U114:W114)</f>
        <v>0</v>
      </c>
      <c r="AA114" s="3" t="n">
        <f aca="false">SUM(S114:X114)</f>
        <v>1</v>
      </c>
      <c r="AB114" s="11" t="n">
        <f aca="false">(AA114/(K114*L114)*25)*4</f>
        <v>4</v>
      </c>
    </row>
    <row r="115" customFormat="false" ht="14.25" hidden="false" customHeight="false" outlineLevel="0" collapsed="false">
      <c r="A115" s="1" t="n">
        <v>2009</v>
      </c>
      <c r="B115" s="7" t="s">
        <v>322</v>
      </c>
      <c r="C115" s="7" t="n">
        <v>3</v>
      </c>
      <c r="D115" s="7" t="s">
        <v>293</v>
      </c>
      <c r="E115" s="7" t="s">
        <v>293</v>
      </c>
      <c r="F115" s="7" t="s">
        <v>101</v>
      </c>
      <c r="G115" s="1" t="n">
        <v>3</v>
      </c>
      <c r="H115" s="1" t="n">
        <v>13</v>
      </c>
      <c r="I115" s="10" t="n">
        <v>40052</v>
      </c>
      <c r="J115" s="10" t="n">
        <v>40057</v>
      </c>
      <c r="K115" s="1" t="n">
        <v>5</v>
      </c>
      <c r="L115" s="1" t="n">
        <v>5</v>
      </c>
      <c r="M115" s="3" t="s">
        <v>32</v>
      </c>
      <c r="N115" s="3" t="s">
        <v>33</v>
      </c>
      <c r="O115" s="8" t="s">
        <v>34</v>
      </c>
      <c r="P115" s="2" t="str">
        <f aca="false">CONCATENATE(N115," ",O115)</f>
        <v>Tenuiphantes nigriventris</v>
      </c>
      <c r="Q115" s="1" t="s">
        <v>30</v>
      </c>
      <c r="R115" s="1" t="s">
        <v>35</v>
      </c>
      <c r="S115" s="1" t="n">
        <v>0</v>
      </c>
      <c r="T115" s="1" t="n">
        <v>1</v>
      </c>
      <c r="U115" s="1" t="n">
        <v>0</v>
      </c>
      <c r="V115" s="1" t="n">
        <v>0</v>
      </c>
      <c r="W115" s="1" t="n">
        <v>0</v>
      </c>
      <c r="X115" s="1" t="n">
        <v>0</v>
      </c>
      <c r="Y115" s="3" t="n">
        <f aca="false">SUM(S115:T115)</f>
        <v>1</v>
      </c>
      <c r="Z115" s="3" t="n">
        <f aca="false">SUM(U115:W115)</f>
        <v>0</v>
      </c>
      <c r="AA115" s="3" t="n">
        <f aca="false">SUM(S115:X115)</f>
        <v>1</v>
      </c>
      <c r="AB115" s="11" t="n">
        <f aca="false">(AA115/(K115*L115)*25)*4</f>
        <v>4</v>
      </c>
    </row>
    <row r="116" customFormat="false" ht="14.25" hidden="false" customHeight="false" outlineLevel="0" collapsed="false">
      <c r="A116" s="1" t="n">
        <v>2009</v>
      </c>
      <c r="B116" s="7" t="s">
        <v>322</v>
      </c>
      <c r="C116" s="7" t="n">
        <v>3</v>
      </c>
      <c r="D116" s="7" t="s">
        <v>293</v>
      </c>
      <c r="E116" s="7" t="s">
        <v>293</v>
      </c>
      <c r="F116" s="7" t="s">
        <v>101</v>
      </c>
      <c r="G116" s="1" t="n">
        <v>3</v>
      </c>
      <c r="H116" s="1" t="n">
        <v>13</v>
      </c>
      <c r="I116" s="10" t="n">
        <v>40052</v>
      </c>
      <c r="J116" s="10" t="n">
        <v>40057</v>
      </c>
      <c r="K116" s="1" t="n">
        <v>5</v>
      </c>
      <c r="L116" s="1" t="n">
        <v>5</v>
      </c>
      <c r="M116" s="3" t="s">
        <v>41</v>
      </c>
      <c r="N116" s="3" t="s">
        <v>42</v>
      </c>
      <c r="O116" s="12" t="s">
        <v>43</v>
      </c>
      <c r="P116" s="2" t="str">
        <f aca="false">CONCATENATE(N116," ",O116)</f>
        <v>Agroeca proxima</v>
      </c>
      <c r="Q116" s="1" t="s">
        <v>30</v>
      </c>
      <c r="R116" s="1" t="s">
        <v>31</v>
      </c>
      <c r="S116" s="1" t="n">
        <v>1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3" t="n">
        <f aca="false">SUM(S116:T116)</f>
        <v>1</v>
      </c>
      <c r="Z116" s="3" t="n">
        <f aca="false">SUM(U116:W116)</f>
        <v>0</v>
      </c>
      <c r="AA116" s="3" t="n">
        <f aca="false">SUM(S116:X116)</f>
        <v>1</v>
      </c>
      <c r="AB116" s="11" t="n">
        <f aca="false">(AA116/(K116*L116)*25)*4</f>
        <v>4</v>
      </c>
    </row>
    <row r="117" customFormat="false" ht="14.25" hidden="false" customHeight="false" outlineLevel="0" collapsed="false">
      <c r="A117" s="1" t="n">
        <v>2009</v>
      </c>
      <c r="B117" s="7" t="s">
        <v>322</v>
      </c>
      <c r="C117" s="7" t="n">
        <v>3</v>
      </c>
      <c r="D117" s="7" t="s">
        <v>293</v>
      </c>
      <c r="E117" s="7" t="s">
        <v>293</v>
      </c>
      <c r="F117" s="7" t="s">
        <v>101</v>
      </c>
      <c r="G117" s="1" t="n">
        <v>2</v>
      </c>
      <c r="H117" s="1" t="n">
        <v>10</v>
      </c>
      <c r="I117" s="10" t="n">
        <v>40052</v>
      </c>
      <c r="J117" s="10" t="n">
        <v>40057</v>
      </c>
      <c r="K117" s="1" t="n">
        <v>5</v>
      </c>
      <c r="L117" s="1" t="n">
        <v>5</v>
      </c>
      <c r="M117" s="3" t="s">
        <v>36</v>
      </c>
      <c r="N117" s="3" t="s">
        <v>37</v>
      </c>
      <c r="O117" s="8" t="s">
        <v>75</v>
      </c>
      <c r="P117" s="2" t="str">
        <f aca="false">CONCATENATE(N117," ",O117)</f>
        <v>Ozyptila praticola</v>
      </c>
      <c r="Q117" s="1" t="s">
        <v>30</v>
      </c>
      <c r="R117" s="1" t="s">
        <v>31</v>
      </c>
      <c r="S117" s="1" t="n">
        <v>1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3" t="n">
        <f aca="false">SUM(S117:T117)</f>
        <v>1</v>
      </c>
      <c r="Z117" s="3" t="n">
        <f aca="false">SUM(U117:W117)</f>
        <v>0</v>
      </c>
      <c r="AA117" s="3" t="n">
        <f aca="false">SUM(S117:X117)</f>
        <v>1</v>
      </c>
      <c r="AB117" s="11" t="n">
        <f aca="false">(AA117/(K117*L117)*25)*4</f>
        <v>4</v>
      </c>
    </row>
    <row r="118" customFormat="false" ht="14.25" hidden="false" customHeight="false" outlineLevel="0" collapsed="false">
      <c r="A118" s="1" t="n">
        <v>2009</v>
      </c>
      <c r="B118" s="7" t="s">
        <v>322</v>
      </c>
      <c r="C118" s="7" t="n">
        <v>3</v>
      </c>
      <c r="D118" s="7" t="s">
        <v>293</v>
      </c>
      <c r="E118" s="7" t="s">
        <v>293</v>
      </c>
      <c r="F118" s="7" t="s">
        <v>101</v>
      </c>
      <c r="G118" s="1" t="n">
        <v>2</v>
      </c>
      <c r="H118" s="1" t="n">
        <v>10</v>
      </c>
      <c r="I118" s="10" t="n">
        <v>40052</v>
      </c>
      <c r="J118" s="10" t="n">
        <v>40057</v>
      </c>
      <c r="K118" s="1" t="n">
        <v>5</v>
      </c>
      <c r="L118" s="1" t="n">
        <v>5</v>
      </c>
      <c r="M118" s="3" t="s">
        <v>32</v>
      </c>
      <c r="N118" s="3" t="s">
        <v>33</v>
      </c>
      <c r="O118" s="3" t="s">
        <v>34</v>
      </c>
      <c r="P118" s="2" t="str">
        <f aca="false">CONCATENATE(N118," ",O118)</f>
        <v>Tenuiphantes nigriventris</v>
      </c>
      <c r="Q118" s="1" t="s">
        <v>30</v>
      </c>
      <c r="R118" s="1" t="s">
        <v>31</v>
      </c>
      <c r="S118" s="1" t="n">
        <v>1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3" t="n">
        <f aca="false">SUM(S118:T118)</f>
        <v>1</v>
      </c>
      <c r="Z118" s="3" t="n">
        <f aca="false">SUM(U118:W118)</f>
        <v>0</v>
      </c>
      <c r="AA118" s="3" t="n">
        <f aca="false">SUM(S118:X118)</f>
        <v>1</v>
      </c>
      <c r="AB118" s="11" t="n">
        <f aca="false">(AA118/(K118*L118)*25)*4</f>
        <v>4</v>
      </c>
    </row>
    <row r="119" customFormat="false" ht="14.25" hidden="false" customHeight="false" outlineLevel="0" collapsed="false">
      <c r="A119" s="1" t="n">
        <v>2009</v>
      </c>
      <c r="B119" s="7" t="s">
        <v>322</v>
      </c>
      <c r="C119" s="7" t="n">
        <v>3</v>
      </c>
      <c r="D119" s="7" t="s">
        <v>293</v>
      </c>
      <c r="E119" s="7" t="s">
        <v>293</v>
      </c>
      <c r="F119" s="7" t="s">
        <v>101</v>
      </c>
      <c r="G119" s="1" t="n">
        <v>2</v>
      </c>
      <c r="H119" s="1" t="n">
        <v>6</v>
      </c>
      <c r="I119" s="10" t="n">
        <v>40052</v>
      </c>
      <c r="J119" s="10" t="n">
        <v>40057</v>
      </c>
      <c r="K119" s="1" t="n">
        <v>5</v>
      </c>
      <c r="L119" s="1" t="n">
        <v>5</v>
      </c>
      <c r="M119" s="3" t="s">
        <v>41</v>
      </c>
      <c r="N119" s="3" t="s">
        <v>42</v>
      </c>
      <c r="O119" s="12" t="s">
        <v>43</v>
      </c>
      <c r="P119" s="2" t="str">
        <f aca="false">CONCATENATE(N119," ",O119)</f>
        <v>Agroeca proxima</v>
      </c>
      <c r="Q119" s="1" t="s">
        <v>30</v>
      </c>
      <c r="R119" s="1" t="s">
        <v>31</v>
      </c>
      <c r="S119" s="1" t="n">
        <v>1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3" t="n">
        <f aca="false">SUM(S119:T119)</f>
        <v>1</v>
      </c>
      <c r="Z119" s="3" t="n">
        <f aca="false">SUM(U119:W119)</f>
        <v>0</v>
      </c>
      <c r="AA119" s="3" t="n">
        <f aca="false">SUM(S119:X119)</f>
        <v>1</v>
      </c>
      <c r="AB119" s="11" t="n">
        <f aca="false">(AA119/(K119*L119)*25)*4</f>
        <v>4</v>
      </c>
    </row>
    <row r="120" customFormat="false" ht="14.25" hidden="false" customHeight="false" outlineLevel="0" collapsed="false">
      <c r="A120" s="1" t="n">
        <v>2009</v>
      </c>
      <c r="B120" s="7" t="s">
        <v>322</v>
      </c>
      <c r="C120" s="7" t="n">
        <v>3</v>
      </c>
      <c r="D120" s="7" t="s">
        <v>293</v>
      </c>
      <c r="E120" s="7" t="s">
        <v>293</v>
      </c>
      <c r="F120" s="7" t="s">
        <v>101</v>
      </c>
      <c r="G120" s="1" t="n">
        <v>2</v>
      </c>
      <c r="H120" s="1" t="n">
        <v>6</v>
      </c>
      <c r="I120" s="10" t="n">
        <v>40052</v>
      </c>
      <c r="J120" s="10" t="n">
        <v>40057</v>
      </c>
      <c r="K120" s="1" t="n">
        <v>5</v>
      </c>
      <c r="L120" s="1" t="n">
        <v>5</v>
      </c>
      <c r="M120" s="3" t="s">
        <v>32</v>
      </c>
      <c r="N120" s="3" t="s">
        <v>33</v>
      </c>
      <c r="O120" s="8" t="s">
        <v>81</v>
      </c>
      <c r="P120" s="2" t="str">
        <f aca="false">CONCATENATE(N120," ",O120)</f>
        <v>Tenuiphantes mengei</v>
      </c>
      <c r="Q120" s="1" t="s">
        <v>30</v>
      </c>
      <c r="R120" s="1" t="s">
        <v>31</v>
      </c>
      <c r="S120" s="1" t="n">
        <v>1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3" t="n">
        <f aca="false">SUM(S120:T120)</f>
        <v>1</v>
      </c>
      <c r="Z120" s="3" t="n">
        <f aca="false">SUM(U120:W120)</f>
        <v>0</v>
      </c>
      <c r="AA120" s="3" t="n">
        <f aca="false">SUM(S120:X120)</f>
        <v>1</v>
      </c>
      <c r="AB120" s="11" t="n">
        <f aca="false">(AA120/(K120*L120)*25)*4</f>
        <v>4</v>
      </c>
    </row>
    <row r="121" customFormat="false" ht="14.25" hidden="false" customHeight="false" outlineLevel="0" collapsed="false">
      <c r="A121" s="1" t="n">
        <v>2009</v>
      </c>
      <c r="B121" s="7" t="s">
        <v>322</v>
      </c>
      <c r="C121" s="7" t="n">
        <v>3</v>
      </c>
      <c r="D121" s="7" t="s">
        <v>293</v>
      </c>
      <c r="E121" s="7" t="s">
        <v>293</v>
      </c>
      <c r="F121" s="7" t="s">
        <v>101</v>
      </c>
      <c r="G121" s="1" t="n">
        <v>2</v>
      </c>
      <c r="H121" s="1" t="n">
        <v>8</v>
      </c>
      <c r="I121" s="10" t="n">
        <v>40052</v>
      </c>
      <c r="J121" s="10" t="n">
        <v>40057</v>
      </c>
      <c r="K121" s="1" t="n">
        <v>5</v>
      </c>
      <c r="L121" s="1" t="n">
        <v>5</v>
      </c>
      <c r="M121" s="3" t="s">
        <v>32</v>
      </c>
      <c r="N121" s="3" t="s">
        <v>33</v>
      </c>
      <c r="O121" s="8" t="s">
        <v>81</v>
      </c>
      <c r="P121" s="2" t="str">
        <f aca="false">CONCATENATE(N121," ",O121)</f>
        <v>Tenuiphantes mengei</v>
      </c>
      <c r="Q121" s="1" t="s">
        <v>30</v>
      </c>
      <c r="R121" s="1" t="s">
        <v>35</v>
      </c>
      <c r="S121" s="1" t="n">
        <v>0</v>
      </c>
      <c r="T121" s="1" t="n">
        <v>1</v>
      </c>
      <c r="U121" s="1" t="n">
        <v>0</v>
      </c>
      <c r="V121" s="1" t="n">
        <v>0</v>
      </c>
      <c r="W121" s="1" t="n">
        <v>0</v>
      </c>
      <c r="X121" s="1" t="n">
        <v>0</v>
      </c>
      <c r="Y121" s="3" t="n">
        <f aca="false">SUM(S121:T121)</f>
        <v>1</v>
      </c>
      <c r="Z121" s="3" t="n">
        <f aca="false">SUM(U121:W121)</f>
        <v>0</v>
      </c>
      <c r="AA121" s="3" t="n">
        <f aca="false">SUM(S121:X121)</f>
        <v>1</v>
      </c>
      <c r="AB121" s="11" t="n">
        <f aca="false">(AA121/(K121*L121)*25)*4</f>
        <v>4</v>
      </c>
    </row>
    <row r="122" customFormat="false" ht="14.25" hidden="false" customHeight="false" outlineLevel="0" collapsed="false">
      <c r="A122" s="1" t="n">
        <v>2009</v>
      </c>
      <c r="B122" s="7" t="s">
        <v>322</v>
      </c>
      <c r="C122" s="7" t="n">
        <v>3</v>
      </c>
      <c r="D122" s="7" t="s">
        <v>293</v>
      </c>
      <c r="E122" s="7" t="s">
        <v>293</v>
      </c>
      <c r="F122" s="7" t="s">
        <v>101</v>
      </c>
      <c r="G122" s="1" t="n">
        <v>2</v>
      </c>
      <c r="H122" s="1" t="n">
        <v>9</v>
      </c>
      <c r="I122" s="10" t="n">
        <v>40052</v>
      </c>
      <c r="J122" s="10" t="n">
        <v>40057</v>
      </c>
      <c r="K122" s="1" t="n">
        <v>5</v>
      </c>
      <c r="L122" s="1" t="n">
        <v>5</v>
      </c>
      <c r="M122" s="3" t="s">
        <v>32</v>
      </c>
      <c r="N122" s="3" t="s">
        <v>33</v>
      </c>
      <c r="O122" s="8" t="s">
        <v>60</v>
      </c>
      <c r="P122" s="2" t="str">
        <f aca="false">CONCATENATE(N122," ",O122)</f>
        <v>Tenuiphantes tenebricola</v>
      </c>
      <c r="Q122" s="1" t="s">
        <v>30</v>
      </c>
      <c r="R122" s="1" t="s">
        <v>31</v>
      </c>
      <c r="S122" s="1" t="n">
        <v>1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3" t="n">
        <f aca="false">SUM(S122:T122)</f>
        <v>1</v>
      </c>
      <c r="Z122" s="3" t="n">
        <f aca="false">SUM(U122:W122)</f>
        <v>0</v>
      </c>
      <c r="AA122" s="3" t="n">
        <f aca="false">SUM(S122:X122)</f>
        <v>1</v>
      </c>
      <c r="AB122" s="11" t="n">
        <f aca="false">(AA122/(K122*L122)*25)*4</f>
        <v>4</v>
      </c>
    </row>
    <row r="123" customFormat="false" ht="14.25" hidden="false" customHeight="false" outlineLevel="0" collapsed="false">
      <c r="A123" s="1" t="n">
        <v>2009</v>
      </c>
      <c r="B123" s="7" t="s">
        <v>322</v>
      </c>
      <c r="C123" s="7" t="n">
        <v>3</v>
      </c>
      <c r="D123" s="7" t="s">
        <v>293</v>
      </c>
      <c r="E123" s="7" t="s">
        <v>293</v>
      </c>
      <c r="F123" s="7" t="s">
        <v>101</v>
      </c>
      <c r="G123" s="1" t="n">
        <v>2</v>
      </c>
      <c r="H123" s="1" t="n">
        <v>9</v>
      </c>
      <c r="I123" s="10" t="n">
        <v>40052</v>
      </c>
      <c r="J123" s="10" t="n">
        <v>40057</v>
      </c>
      <c r="K123" s="1" t="n">
        <v>5</v>
      </c>
      <c r="L123" s="1" t="n">
        <v>5</v>
      </c>
      <c r="M123" s="3" t="s">
        <v>32</v>
      </c>
      <c r="N123" s="3" t="s">
        <v>68</v>
      </c>
      <c r="O123" s="8" t="s">
        <v>69</v>
      </c>
      <c r="P123" s="2" t="str">
        <f aca="false">CONCATENATE(N123," ",O123)</f>
        <v>Centromerus sylvaticus</v>
      </c>
      <c r="Q123" s="1" t="s">
        <v>30</v>
      </c>
      <c r="R123" s="1" t="s">
        <v>35</v>
      </c>
      <c r="S123" s="1" t="n">
        <v>0</v>
      </c>
      <c r="T123" s="1" t="n">
        <v>1</v>
      </c>
      <c r="U123" s="1" t="n">
        <v>0</v>
      </c>
      <c r="V123" s="1" t="n">
        <v>0</v>
      </c>
      <c r="W123" s="1" t="n">
        <v>0</v>
      </c>
      <c r="X123" s="1" t="n">
        <v>0</v>
      </c>
      <c r="Y123" s="3" t="n">
        <f aca="false">SUM(S123:T123)</f>
        <v>1</v>
      </c>
      <c r="Z123" s="3" t="n">
        <f aca="false">SUM(U123:W123)</f>
        <v>0</v>
      </c>
      <c r="AA123" s="3" t="n">
        <f aca="false">SUM(S123:X123)</f>
        <v>1</v>
      </c>
      <c r="AB123" s="11" t="n">
        <f aca="false">(AA123/(K123*L123)*25)*4</f>
        <v>4</v>
      </c>
    </row>
    <row r="124" customFormat="false" ht="14.25" hidden="false" customHeight="false" outlineLevel="0" collapsed="false">
      <c r="A124" s="1" t="n">
        <v>2009</v>
      </c>
      <c r="B124" s="7" t="s">
        <v>322</v>
      </c>
      <c r="C124" s="7" t="n">
        <v>3</v>
      </c>
      <c r="D124" s="7" t="s">
        <v>293</v>
      </c>
      <c r="E124" s="7" t="s">
        <v>293</v>
      </c>
      <c r="F124" s="7" t="s">
        <v>101</v>
      </c>
      <c r="G124" s="1" t="n">
        <v>2</v>
      </c>
      <c r="H124" s="1" t="n">
        <v>9</v>
      </c>
      <c r="I124" s="10" t="n">
        <v>40052</v>
      </c>
      <c r="J124" s="10" t="n">
        <v>40057</v>
      </c>
      <c r="K124" s="1" t="n">
        <v>5</v>
      </c>
      <c r="L124" s="1" t="n">
        <v>5</v>
      </c>
      <c r="M124" s="13" t="s">
        <v>32</v>
      </c>
      <c r="N124" s="13" t="s">
        <v>88</v>
      </c>
      <c r="O124" s="14" t="s">
        <v>89</v>
      </c>
      <c r="P124" s="2" t="str">
        <f aca="false">CONCATENATE(N124," ",O124)</f>
        <v>Tapinopa longidens</v>
      </c>
      <c r="Q124" s="1" t="s">
        <v>30</v>
      </c>
      <c r="R124" s="1" t="s">
        <v>35</v>
      </c>
      <c r="S124" s="1" t="n">
        <v>0</v>
      </c>
      <c r="T124" s="1" t="n">
        <v>1</v>
      </c>
      <c r="U124" s="1" t="n">
        <v>0</v>
      </c>
      <c r="V124" s="1" t="n">
        <v>0</v>
      </c>
      <c r="W124" s="1" t="n">
        <v>0</v>
      </c>
      <c r="X124" s="1" t="n">
        <v>0</v>
      </c>
      <c r="Y124" s="3" t="n">
        <f aca="false">SUM(S124:T124)</f>
        <v>1</v>
      </c>
      <c r="Z124" s="3" t="n">
        <f aca="false">SUM(U124:W124)</f>
        <v>0</v>
      </c>
      <c r="AA124" s="3" t="n">
        <f aca="false">SUM(S124:X124)</f>
        <v>1</v>
      </c>
      <c r="AB124" s="11" t="n">
        <f aca="false">(AA124/(K124*L124)*25)*4</f>
        <v>4</v>
      </c>
    </row>
    <row r="125" customFormat="false" ht="14.25" hidden="false" customHeight="false" outlineLevel="0" collapsed="false">
      <c r="A125" s="1" t="n">
        <v>2009</v>
      </c>
      <c r="B125" s="7" t="s">
        <v>322</v>
      </c>
      <c r="C125" s="7" t="n">
        <v>3</v>
      </c>
      <c r="D125" s="7" t="s">
        <v>293</v>
      </c>
      <c r="E125" s="7" t="s">
        <v>293</v>
      </c>
      <c r="F125" s="7" t="s">
        <v>101</v>
      </c>
      <c r="G125" s="1" t="n">
        <v>2</v>
      </c>
      <c r="H125" s="1" t="n">
        <v>7</v>
      </c>
      <c r="I125" s="10" t="n">
        <v>40052</v>
      </c>
      <c r="J125" s="10" t="n">
        <v>40057</v>
      </c>
      <c r="K125" s="1" t="n">
        <v>5</v>
      </c>
      <c r="L125" s="1" t="n">
        <v>5</v>
      </c>
      <c r="M125" s="3" t="s">
        <v>41</v>
      </c>
      <c r="N125" s="3" t="s">
        <v>42</v>
      </c>
      <c r="O125" s="12" t="s">
        <v>43</v>
      </c>
      <c r="P125" s="2" t="str">
        <f aca="false">CONCATENATE(N125," ",O125)</f>
        <v>Agroeca proxima</v>
      </c>
      <c r="Q125" s="1" t="s">
        <v>30</v>
      </c>
      <c r="R125" s="1" t="s">
        <v>31</v>
      </c>
      <c r="S125" s="1" t="n">
        <v>2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3" t="n">
        <f aca="false">SUM(S125:T125)</f>
        <v>2</v>
      </c>
      <c r="Z125" s="3" t="n">
        <f aca="false">SUM(U125:W125)</f>
        <v>0</v>
      </c>
      <c r="AA125" s="3" t="n">
        <f aca="false">SUM(S125:X125)</f>
        <v>2</v>
      </c>
      <c r="AB125" s="11" t="n">
        <f aca="false">(AA125/(K125*L125)*25)*4</f>
        <v>8</v>
      </c>
    </row>
    <row r="126" customFormat="false" ht="14.25" hidden="false" customHeight="false" outlineLevel="0" collapsed="false">
      <c r="A126" s="1" t="n">
        <v>2009</v>
      </c>
      <c r="B126" s="7" t="s">
        <v>322</v>
      </c>
      <c r="C126" s="7" t="n">
        <v>3</v>
      </c>
      <c r="D126" s="7" t="s">
        <v>293</v>
      </c>
      <c r="E126" s="7" t="s">
        <v>293</v>
      </c>
      <c r="F126" s="7" t="s">
        <v>101</v>
      </c>
      <c r="G126" s="1" t="n">
        <v>2</v>
      </c>
      <c r="H126" s="1" t="n">
        <v>7</v>
      </c>
      <c r="I126" s="10" t="n">
        <v>40052</v>
      </c>
      <c r="J126" s="10" t="n">
        <v>40057</v>
      </c>
      <c r="K126" s="1" t="n">
        <v>5</v>
      </c>
      <c r="L126" s="1" t="n">
        <v>5</v>
      </c>
      <c r="M126" s="3" t="s">
        <v>32</v>
      </c>
      <c r="N126" s="3" t="s">
        <v>33</v>
      </c>
      <c r="O126" s="8" t="s">
        <v>81</v>
      </c>
      <c r="P126" s="2" t="str">
        <f aca="false">CONCATENATE(N126," ",O126)</f>
        <v>Tenuiphantes mengei</v>
      </c>
      <c r="Q126" s="1" t="s">
        <v>30</v>
      </c>
      <c r="R126" s="1" t="s">
        <v>35</v>
      </c>
      <c r="S126" s="1" t="n">
        <v>0</v>
      </c>
      <c r="T126" s="1" t="n">
        <v>2</v>
      </c>
      <c r="U126" s="1" t="n">
        <v>0</v>
      </c>
      <c r="V126" s="1" t="n">
        <v>0</v>
      </c>
      <c r="W126" s="1" t="n">
        <v>0</v>
      </c>
      <c r="X126" s="1" t="n">
        <v>0</v>
      </c>
      <c r="Y126" s="3" t="n">
        <f aca="false">SUM(S126:T126)</f>
        <v>2</v>
      </c>
      <c r="Z126" s="3" t="n">
        <f aca="false">SUM(U126:W126)</f>
        <v>0</v>
      </c>
      <c r="AA126" s="3" t="n">
        <f aca="false">SUM(S126:X126)</f>
        <v>2</v>
      </c>
      <c r="AB126" s="11" t="n">
        <f aca="false">(AA126/(K126*L126)*25)*4</f>
        <v>8</v>
      </c>
    </row>
    <row r="127" customFormat="false" ht="14.25" hidden="false" customHeight="false" outlineLevel="0" collapsed="false">
      <c r="A127" s="1" t="n">
        <v>2009</v>
      </c>
      <c r="B127" s="7" t="s">
        <v>322</v>
      </c>
      <c r="C127" s="7" t="n">
        <v>3</v>
      </c>
      <c r="D127" s="7" t="s">
        <v>293</v>
      </c>
      <c r="E127" s="7" t="s">
        <v>293</v>
      </c>
      <c r="F127" s="7" t="s">
        <v>101</v>
      </c>
      <c r="G127" s="1" t="n">
        <v>2</v>
      </c>
      <c r="H127" s="1" t="n">
        <v>7</v>
      </c>
      <c r="I127" s="10" t="n">
        <v>40052</v>
      </c>
      <c r="J127" s="10" t="n">
        <v>40057</v>
      </c>
      <c r="K127" s="1" t="n">
        <v>5</v>
      </c>
      <c r="L127" s="1" t="n">
        <v>5</v>
      </c>
      <c r="M127" s="3" t="s">
        <v>32</v>
      </c>
      <c r="N127" s="3" t="s">
        <v>33</v>
      </c>
      <c r="O127" s="8" t="s">
        <v>60</v>
      </c>
      <c r="P127" s="2" t="str">
        <f aca="false">CONCATENATE(N127," ",O127)</f>
        <v>Tenuiphantes tenebricola</v>
      </c>
      <c r="Q127" s="1" t="s">
        <v>30</v>
      </c>
      <c r="R127" s="1" t="s">
        <v>35</v>
      </c>
      <c r="S127" s="1" t="n">
        <v>0</v>
      </c>
      <c r="T127" s="1" t="n">
        <v>1</v>
      </c>
      <c r="U127" s="1" t="n">
        <v>0</v>
      </c>
      <c r="V127" s="1" t="n">
        <v>0</v>
      </c>
      <c r="W127" s="1" t="n">
        <v>0</v>
      </c>
      <c r="X127" s="1" t="n">
        <v>0</v>
      </c>
      <c r="Y127" s="3" t="n">
        <f aca="false">SUM(S127:T127)</f>
        <v>1</v>
      </c>
      <c r="Z127" s="3" t="n">
        <f aca="false">SUM(U127:W127)</f>
        <v>0</v>
      </c>
      <c r="AA127" s="3" t="n">
        <f aca="false">SUM(S127:X127)</f>
        <v>1</v>
      </c>
      <c r="AB127" s="11" t="n">
        <f aca="false">(AA127/(K127*L127)*25)*4</f>
        <v>4</v>
      </c>
    </row>
    <row r="128" customFormat="false" ht="14.25" hidden="false" customHeight="false" outlineLevel="0" collapsed="false">
      <c r="A128" s="1" t="n">
        <v>2009</v>
      </c>
      <c r="B128" s="7" t="s">
        <v>322</v>
      </c>
      <c r="C128" s="7" t="n">
        <v>3</v>
      </c>
      <c r="D128" s="7" t="s">
        <v>293</v>
      </c>
      <c r="E128" s="7" t="s">
        <v>293</v>
      </c>
      <c r="F128" s="7" t="s">
        <v>101</v>
      </c>
      <c r="G128" s="1" t="n">
        <v>2</v>
      </c>
      <c r="H128" s="1" t="n">
        <v>7</v>
      </c>
      <c r="I128" s="10" t="n">
        <v>40052</v>
      </c>
      <c r="J128" s="10" t="n">
        <v>40057</v>
      </c>
      <c r="K128" s="1" t="n">
        <v>5</v>
      </c>
      <c r="L128" s="1" t="n">
        <v>5</v>
      </c>
      <c r="M128" s="3" t="s">
        <v>32</v>
      </c>
      <c r="N128" s="3" t="s">
        <v>107</v>
      </c>
      <c r="O128" s="8" t="s">
        <v>108</v>
      </c>
      <c r="P128" s="2" t="str">
        <f aca="false">CONCATENATE(N128," ",O128)</f>
        <v>Macrargus rufus</v>
      </c>
      <c r="Q128" s="1" t="s">
        <v>30</v>
      </c>
      <c r="R128" s="1" t="s">
        <v>35</v>
      </c>
      <c r="S128" s="1" t="n">
        <v>0</v>
      </c>
      <c r="T128" s="1" t="n">
        <v>1</v>
      </c>
      <c r="U128" s="1" t="n">
        <v>0</v>
      </c>
      <c r="V128" s="1" t="n">
        <v>0</v>
      </c>
      <c r="W128" s="1" t="n">
        <v>0</v>
      </c>
      <c r="X128" s="1" t="n">
        <v>0</v>
      </c>
      <c r="Y128" s="3" t="n">
        <f aca="false">SUM(S128:T128)</f>
        <v>1</v>
      </c>
      <c r="Z128" s="3" t="n">
        <f aca="false">SUM(U128:W128)</f>
        <v>0</v>
      </c>
      <c r="AA128" s="3" t="n">
        <f aca="false">SUM(S128:X128)</f>
        <v>1</v>
      </c>
      <c r="AB128" s="11" t="n">
        <f aca="false">(AA128/(K128*L128)*25)*4</f>
        <v>4</v>
      </c>
    </row>
    <row r="129" customFormat="false" ht="14.25" hidden="false" customHeight="false" outlineLevel="0" collapsed="false">
      <c r="A129" s="1" t="n">
        <v>2009</v>
      </c>
      <c r="B129" s="7" t="s">
        <v>322</v>
      </c>
      <c r="C129" s="7" t="n">
        <v>3</v>
      </c>
      <c r="D129" s="7" t="s">
        <v>293</v>
      </c>
      <c r="E129" s="7" t="s">
        <v>293</v>
      </c>
      <c r="F129" s="7" t="s">
        <v>101</v>
      </c>
      <c r="G129" s="1" t="n">
        <v>1</v>
      </c>
      <c r="H129" s="1" t="n">
        <v>2</v>
      </c>
      <c r="I129" s="10" t="n">
        <v>40052</v>
      </c>
      <c r="J129" s="10" t="n">
        <v>40057</v>
      </c>
      <c r="K129" s="1" t="n">
        <v>5</v>
      </c>
      <c r="L129" s="1" t="n">
        <v>5</v>
      </c>
      <c r="M129" s="3" t="s">
        <v>32</v>
      </c>
      <c r="N129" s="3" t="s">
        <v>33</v>
      </c>
      <c r="O129" s="8" t="s">
        <v>81</v>
      </c>
      <c r="P129" s="2" t="str">
        <f aca="false">CONCATENATE(N129," ",O129)</f>
        <v>Tenuiphantes mengei</v>
      </c>
      <c r="Q129" s="1" t="s">
        <v>30</v>
      </c>
      <c r="R129" s="1" t="s">
        <v>35</v>
      </c>
      <c r="S129" s="1" t="n">
        <v>0</v>
      </c>
      <c r="T129" s="1" t="n">
        <v>1</v>
      </c>
      <c r="U129" s="1" t="n">
        <v>0</v>
      </c>
      <c r="V129" s="1" t="n">
        <v>0</v>
      </c>
      <c r="W129" s="1" t="n">
        <v>0</v>
      </c>
      <c r="X129" s="1" t="n">
        <v>0</v>
      </c>
      <c r="Y129" s="3" t="n">
        <f aca="false">SUM(S129:T129)</f>
        <v>1</v>
      </c>
      <c r="Z129" s="3" t="n">
        <f aca="false">SUM(U129:W129)</f>
        <v>0</v>
      </c>
      <c r="AA129" s="3" t="n">
        <f aca="false">SUM(S129:X129)</f>
        <v>1</v>
      </c>
      <c r="AB129" s="11" t="n">
        <f aca="false">(AA129/(K129*L129)*25)*4</f>
        <v>4</v>
      </c>
    </row>
    <row r="130" customFormat="false" ht="14.25" hidden="false" customHeight="false" outlineLevel="0" collapsed="false">
      <c r="A130" s="1" t="n">
        <v>2009</v>
      </c>
      <c r="B130" s="7" t="s">
        <v>322</v>
      </c>
      <c r="C130" s="7" t="n">
        <v>3</v>
      </c>
      <c r="D130" s="7" t="s">
        <v>293</v>
      </c>
      <c r="E130" s="7" t="s">
        <v>293</v>
      </c>
      <c r="F130" s="7" t="s">
        <v>101</v>
      </c>
      <c r="G130" s="1" t="n">
        <v>1</v>
      </c>
      <c r="H130" s="1" t="n">
        <v>2</v>
      </c>
      <c r="I130" s="10" t="n">
        <v>40052</v>
      </c>
      <c r="J130" s="10" t="n">
        <v>40057</v>
      </c>
      <c r="K130" s="1" t="n">
        <v>5</v>
      </c>
      <c r="L130" s="1" t="n">
        <v>5</v>
      </c>
      <c r="M130" s="3" t="s">
        <v>32</v>
      </c>
      <c r="N130" s="3" t="s">
        <v>33</v>
      </c>
      <c r="O130" s="8" t="s">
        <v>34</v>
      </c>
      <c r="P130" s="2" t="str">
        <f aca="false">CONCATENATE(N130," ",O130)</f>
        <v>Tenuiphantes nigriventris</v>
      </c>
      <c r="Q130" s="1" t="s">
        <v>30</v>
      </c>
      <c r="R130" s="1" t="s">
        <v>35</v>
      </c>
      <c r="S130" s="1" t="n">
        <v>0</v>
      </c>
      <c r="T130" s="1" t="n">
        <v>1</v>
      </c>
      <c r="U130" s="1" t="n">
        <v>0</v>
      </c>
      <c r="V130" s="1" t="n">
        <v>0</v>
      </c>
      <c r="W130" s="1" t="n">
        <v>0</v>
      </c>
      <c r="X130" s="1" t="n">
        <v>0</v>
      </c>
      <c r="Y130" s="3" t="n">
        <f aca="false">SUM(S130:T130)</f>
        <v>1</v>
      </c>
      <c r="Z130" s="3" t="n">
        <f aca="false">SUM(U130:W130)</f>
        <v>0</v>
      </c>
      <c r="AA130" s="3" t="n">
        <f aca="false">SUM(S130:X130)</f>
        <v>1</v>
      </c>
      <c r="AB130" s="11" t="n">
        <f aca="false">(AA130/(K130*L130)*25)*4</f>
        <v>4</v>
      </c>
    </row>
    <row r="131" customFormat="false" ht="14.25" hidden="false" customHeight="false" outlineLevel="0" collapsed="false">
      <c r="A131" s="1" t="n">
        <v>2009</v>
      </c>
      <c r="B131" s="7" t="s">
        <v>322</v>
      </c>
      <c r="C131" s="7" t="n">
        <v>3</v>
      </c>
      <c r="D131" s="7" t="s">
        <v>293</v>
      </c>
      <c r="E131" s="7" t="s">
        <v>293</v>
      </c>
      <c r="F131" s="7" t="s">
        <v>101</v>
      </c>
      <c r="G131" s="1" t="n">
        <v>1</v>
      </c>
      <c r="H131" s="1" t="n">
        <v>3</v>
      </c>
      <c r="I131" s="10" t="n">
        <v>40052</v>
      </c>
      <c r="J131" s="10" t="n">
        <v>40057</v>
      </c>
      <c r="K131" s="1" t="n">
        <v>5</v>
      </c>
      <c r="L131" s="1" t="n">
        <v>5</v>
      </c>
      <c r="M131" s="3" t="s">
        <v>32</v>
      </c>
      <c r="N131" s="3" t="s">
        <v>68</v>
      </c>
      <c r="O131" s="8" t="s">
        <v>69</v>
      </c>
      <c r="P131" s="2" t="str">
        <f aca="false">CONCATENATE(N131," ",O131)</f>
        <v>Centromerus sylvaticus</v>
      </c>
      <c r="Q131" s="1" t="s">
        <v>30</v>
      </c>
      <c r="R131" s="1" t="s">
        <v>35</v>
      </c>
      <c r="S131" s="1" t="n">
        <v>0</v>
      </c>
      <c r="T131" s="1" t="n">
        <v>1</v>
      </c>
      <c r="U131" s="1" t="n">
        <v>0</v>
      </c>
      <c r="V131" s="1" t="n">
        <v>0</v>
      </c>
      <c r="W131" s="1" t="n">
        <v>0</v>
      </c>
      <c r="X131" s="1" t="n">
        <v>0</v>
      </c>
      <c r="Y131" s="3" t="n">
        <f aca="false">SUM(S131:T131)</f>
        <v>1</v>
      </c>
      <c r="Z131" s="3" t="n">
        <f aca="false">SUM(U131:W131)</f>
        <v>0</v>
      </c>
      <c r="AA131" s="3" t="n">
        <f aca="false">SUM(S131:X131)</f>
        <v>1</v>
      </c>
      <c r="AB131" s="11" t="n">
        <f aca="false">(AA131/(K131*L131)*25)*4</f>
        <v>4</v>
      </c>
    </row>
    <row r="132" customFormat="false" ht="14.25" hidden="false" customHeight="false" outlineLevel="0" collapsed="false">
      <c r="A132" s="1" t="n">
        <v>2009</v>
      </c>
      <c r="B132" s="7" t="s">
        <v>322</v>
      </c>
      <c r="C132" s="7" t="n">
        <v>3</v>
      </c>
      <c r="D132" s="7" t="s">
        <v>293</v>
      </c>
      <c r="E132" s="7" t="s">
        <v>293</v>
      </c>
      <c r="F132" s="7" t="s">
        <v>101</v>
      </c>
      <c r="G132" s="1" t="n">
        <v>1</v>
      </c>
      <c r="H132" s="1" t="n">
        <v>3</v>
      </c>
      <c r="I132" s="10" t="n">
        <v>40052</v>
      </c>
      <c r="J132" s="10" t="n">
        <v>40057</v>
      </c>
      <c r="K132" s="1" t="n">
        <v>5</v>
      </c>
      <c r="L132" s="1" t="n">
        <v>5</v>
      </c>
      <c r="M132" s="3" t="s">
        <v>32</v>
      </c>
      <c r="N132" s="3" t="s">
        <v>33</v>
      </c>
      <c r="O132" s="8" t="s">
        <v>34</v>
      </c>
      <c r="P132" s="2" t="str">
        <f aca="false">CONCATENATE(N132," ",O132)</f>
        <v>Tenuiphantes nigriventris</v>
      </c>
      <c r="Q132" s="1" t="s">
        <v>30</v>
      </c>
      <c r="R132" s="1" t="s">
        <v>31</v>
      </c>
      <c r="S132" s="1" t="n">
        <v>1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3" t="n">
        <f aca="false">SUM(S132:T132)</f>
        <v>1</v>
      </c>
      <c r="Z132" s="3" t="n">
        <f aca="false">SUM(U132:W132)</f>
        <v>0</v>
      </c>
      <c r="AA132" s="3" t="n">
        <f aca="false">SUM(S132:X132)</f>
        <v>1</v>
      </c>
      <c r="AB132" s="11" t="n">
        <f aca="false">(AA132/(K132*L132)*25)*4</f>
        <v>4</v>
      </c>
    </row>
    <row r="133" customFormat="false" ht="14.25" hidden="false" customHeight="false" outlineLevel="0" collapsed="false">
      <c r="A133" s="1" t="n">
        <v>2009</v>
      </c>
      <c r="B133" s="7" t="s">
        <v>322</v>
      </c>
      <c r="C133" s="7" t="n">
        <v>3</v>
      </c>
      <c r="D133" s="7" t="s">
        <v>293</v>
      </c>
      <c r="E133" s="7" t="s">
        <v>293</v>
      </c>
      <c r="F133" s="7" t="s">
        <v>101</v>
      </c>
      <c r="G133" s="1" t="n">
        <v>1</v>
      </c>
      <c r="H133" s="1" t="n">
        <v>3</v>
      </c>
      <c r="I133" s="10" t="n">
        <v>40052</v>
      </c>
      <c r="J133" s="10" t="n">
        <v>40057</v>
      </c>
      <c r="K133" s="1" t="n">
        <v>5</v>
      </c>
      <c r="L133" s="1" t="n">
        <v>5</v>
      </c>
      <c r="M133" s="3" t="s">
        <v>32</v>
      </c>
      <c r="N133" s="3" t="s">
        <v>107</v>
      </c>
      <c r="O133" s="8" t="s">
        <v>108</v>
      </c>
      <c r="P133" s="2" t="str">
        <f aca="false">CONCATENATE(N133," ",O133)</f>
        <v>Macrargus rufus</v>
      </c>
      <c r="Q133" s="1" t="s">
        <v>30</v>
      </c>
      <c r="R133" s="1" t="s">
        <v>35</v>
      </c>
      <c r="S133" s="1" t="n">
        <v>0</v>
      </c>
      <c r="T133" s="1" t="n">
        <v>1</v>
      </c>
      <c r="U133" s="1" t="n">
        <v>0</v>
      </c>
      <c r="V133" s="1" t="n">
        <v>0</v>
      </c>
      <c r="W133" s="1" t="n">
        <v>0</v>
      </c>
      <c r="X133" s="1" t="n">
        <v>0</v>
      </c>
      <c r="Y133" s="3" t="n">
        <f aca="false">SUM(S133:T133)</f>
        <v>1</v>
      </c>
      <c r="Z133" s="3" t="n">
        <f aca="false">SUM(U133:W133)</f>
        <v>0</v>
      </c>
      <c r="AA133" s="3" t="n">
        <f aca="false">SUM(S133:X133)</f>
        <v>1</v>
      </c>
      <c r="AB133" s="11" t="n">
        <f aca="false">(AA133/(K133*L133)*25)*4</f>
        <v>4</v>
      </c>
    </row>
    <row r="134" customFormat="false" ht="14.25" hidden="false" customHeight="false" outlineLevel="0" collapsed="false">
      <c r="A134" s="1" t="n">
        <v>2009</v>
      </c>
      <c r="B134" s="7" t="s">
        <v>322</v>
      </c>
      <c r="C134" s="7" t="n">
        <v>3</v>
      </c>
      <c r="D134" s="7" t="s">
        <v>293</v>
      </c>
      <c r="E134" s="7" t="s">
        <v>293</v>
      </c>
      <c r="F134" s="7" t="s">
        <v>101</v>
      </c>
      <c r="G134" s="1" t="n">
        <v>1</v>
      </c>
      <c r="H134" s="1" t="n">
        <v>4</v>
      </c>
      <c r="I134" s="10" t="n">
        <v>40052</v>
      </c>
      <c r="J134" s="10" t="n">
        <v>40057</v>
      </c>
      <c r="K134" s="1" t="n">
        <v>5</v>
      </c>
      <c r="L134" s="1" t="n">
        <v>5</v>
      </c>
      <c r="M134" s="3" t="s">
        <v>32</v>
      </c>
      <c r="N134" s="3" t="s">
        <v>33</v>
      </c>
      <c r="O134" s="8" t="s">
        <v>81</v>
      </c>
      <c r="P134" s="2" t="str">
        <f aca="false">CONCATENATE(N134," ",O134)</f>
        <v>Tenuiphantes mengei</v>
      </c>
      <c r="Q134" s="1" t="s">
        <v>30</v>
      </c>
      <c r="R134" s="1" t="s">
        <v>31</v>
      </c>
      <c r="S134" s="1" t="n">
        <v>1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3" t="n">
        <f aca="false">SUM(S134:T134)</f>
        <v>1</v>
      </c>
      <c r="Z134" s="3" t="n">
        <f aca="false">SUM(U134:W134)</f>
        <v>0</v>
      </c>
      <c r="AA134" s="3" t="n">
        <f aca="false">SUM(S134:X134)</f>
        <v>1</v>
      </c>
      <c r="AB134" s="11" t="n">
        <f aca="false">(AA134/(K134*L134)*25)*4</f>
        <v>4</v>
      </c>
    </row>
    <row r="135" customFormat="false" ht="14.25" hidden="false" customHeight="false" outlineLevel="0" collapsed="false">
      <c r="A135" s="1" t="n">
        <v>2009</v>
      </c>
      <c r="B135" s="7" t="s">
        <v>322</v>
      </c>
      <c r="C135" s="7" t="n">
        <v>3</v>
      </c>
      <c r="D135" s="7" t="s">
        <v>293</v>
      </c>
      <c r="E135" s="7" t="s">
        <v>293</v>
      </c>
      <c r="F135" s="7" t="s">
        <v>101</v>
      </c>
      <c r="G135" s="1" t="n">
        <v>1</v>
      </c>
      <c r="H135" s="1" t="n">
        <v>4</v>
      </c>
      <c r="I135" s="10" t="n">
        <v>40052</v>
      </c>
      <c r="J135" s="10" t="n">
        <v>40057</v>
      </c>
      <c r="K135" s="1" t="n">
        <v>5</v>
      </c>
      <c r="L135" s="1" t="n">
        <v>5</v>
      </c>
      <c r="M135" s="3" t="s">
        <v>32</v>
      </c>
      <c r="N135" s="3" t="s">
        <v>33</v>
      </c>
      <c r="O135" s="8" t="s">
        <v>81</v>
      </c>
      <c r="P135" s="2" t="str">
        <f aca="false">CONCATENATE(N135," ",O135)</f>
        <v>Tenuiphantes mengei</v>
      </c>
      <c r="Q135" s="1" t="s">
        <v>30</v>
      </c>
      <c r="R135" s="1" t="s">
        <v>35</v>
      </c>
      <c r="S135" s="1" t="n">
        <v>0</v>
      </c>
      <c r="T135" s="1" t="n">
        <v>2</v>
      </c>
      <c r="U135" s="1" t="n">
        <v>0</v>
      </c>
      <c r="V135" s="1" t="n">
        <v>0</v>
      </c>
      <c r="W135" s="1" t="n">
        <v>0</v>
      </c>
      <c r="X135" s="1" t="n">
        <v>0</v>
      </c>
      <c r="Y135" s="3" t="n">
        <f aca="false">SUM(S135:T135)</f>
        <v>2</v>
      </c>
      <c r="Z135" s="3" t="n">
        <f aca="false">SUM(U135:W135)</f>
        <v>0</v>
      </c>
      <c r="AA135" s="3" t="n">
        <f aca="false">SUM(S135:X135)</f>
        <v>2</v>
      </c>
      <c r="AB135" s="11" t="n">
        <f aca="false">(AA135/(K135*L135)*25)*4</f>
        <v>8</v>
      </c>
    </row>
    <row r="136" customFormat="false" ht="14.25" hidden="false" customHeight="false" outlineLevel="0" collapsed="false">
      <c r="A136" s="1" t="n">
        <v>2009</v>
      </c>
      <c r="B136" s="7" t="s">
        <v>322</v>
      </c>
      <c r="C136" s="7" t="n">
        <v>3</v>
      </c>
      <c r="D136" s="7" t="s">
        <v>293</v>
      </c>
      <c r="E136" s="7" t="s">
        <v>293</v>
      </c>
      <c r="F136" s="7" t="s">
        <v>101</v>
      </c>
      <c r="G136" s="1" t="n">
        <v>1</v>
      </c>
      <c r="H136" s="1" t="n">
        <v>5</v>
      </c>
      <c r="I136" s="10" t="n">
        <v>40052</v>
      </c>
      <c r="J136" s="10" t="n">
        <v>40057</v>
      </c>
      <c r="K136" s="1" t="n">
        <v>5</v>
      </c>
      <c r="L136" s="1" t="n">
        <v>5</v>
      </c>
      <c r="M136" s="3" t="s">
        <v>41</v>
      </c>
      <c r="N136" s="3" t="s">
        <v>42</v>
      </c>
      <c r="O136" s="12" t="s">
        <v>43</v>
      </c>
      <c r="P136" s="2" t="str">
        <f aca="false">CONCATENATE(N136," ",O136)</f>
        <v>Agroeca proxima</v>
      </c>
      <c r="Q136" s="1" t="s">
        <v>30</v>
      </c>
      <c r="R136" s="1" t="s">
        <v>31</v>
      </c>
      <c r="S136" s="1" t="n">
        <v>2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3" t="n">
        <f aca="false">SUM(S136:T136)</f>
        <v>2</v>
      </c>
      <c r="Z136" s="3" t="n">
        <f aca="false">SUM(U136:W136)</f>
        <v>0</v>
      </c>
      <c r="AA136" s="3" t="n">
        <f aca="false">SUM(S136:X136)</f>
        <v>2</v>
      </c>
      <c r="AB136" s="11" t="n">
        <f aca="false">(AA136/(K136*L136)*25)*4</f>
        <v>8</v>
      </c>
    </row>
    <row r="137" customFormat="false" ht="14.25" hidden="false" customHeight="false" outlineLevel="0" collapsed="false">
      <c r="A137" s="1" t="n">
        <v>2009</v>
      </c>
      <c r="B137" s="7" t="s">
        <v>322</v>
      </c>
      <c r="C137" s="7" t="n">
        <v>3</v>
      </c>
      <c r="D137" s="7" t="s">
        <v>293</v>
      </c>
      <c r="E137" s="7" t="s">
        <v>293</v>
      </c>
      <c r="F137" s="7" t="s">
        <v>101</v>
      </c>
      <c r="G137" s="1" t="n">
        <v>1</v>
      </c>
      <c r="H137" s="1" t="n">
        <v>1</v>
      </c>
      <c r="I137" s="10" t="n">
        <v>40052</v>
      </c>
      <c r="J137" s="10" t="n">
        <v>40057</v>
      </c>
      <c r="K137" s="1" t="n">
        <v>5</v>
      </c>
      <c r="L137" s="1" t="n">
        <v>5</v>
      </c>
      <c r="M137" s="13" t="s">
        <v>36</v>
      </c>
      <c r="N137" s="13" t="s">
        <v>37</v>
      </c>
      <c r="O137" s="14" t="s">
        <v>109</v>
      </c>
      <c r="P137" s="2" t="str">
        <f aca="false">CONCATENATE(N137," ",O137)</f>
        <v>Ozyptila trux</v>
      </c>
      <c r="Q137" s="1" t="s">
        <v>30</v>
      </c>
      <c r="R137" s="1" t="s">
        <v>35</v>
      </c>
      <c r="S137" s="1" t="n">
        <v>0</v>
      </c>
      <c r="T137" s="1" t="n">
        <v>1</v>
      </c>
      <c r="U137" s="1" t="n">
        <v>0</v>
      </c>
      <c r="V137" s="1" t="n">
        <v>0</v>
      </c>
      <c r="W137" s="1" t="n">
        <v>0</v>
      </c>
      <c r="X137" s="1" t="n">
        <v>0</v>
      </c>
      <c r="Y137" s="3" t="n">
        <f aca="false">SUM(S137:T137)</f>
        <v>1</v>
      </c>
      <c r="Z137" s="3" t="n">
        <f aca="false">SUM(U137:W137)</f>
        <v>0</v>
      </c>
      <c r="AA137" s="3" t="n">
        <f aca="false">SUM(S137:X137)</f>
        <v>1</v>
      </c>
      <c r="AB137" s="11" t="n">
        <f aca="false">(AA137/(K137*L137)*25)*4</f>
        <v>4</v>
      </c>
    </row>
    <row r="138" customFormat="false" ht="14.25" hidden="false" customHeight="false" outlineLevel="0" collapsed="false">
      <c r="A138" s="1" t="n">
        <v>2009</v>
      </c>
      <c r="B138" s="7" t="s">
        <v>322</v>
      </c>
      <c r="C138" s="7" t="n">
        <v>3</v>
      </c>
      <c r="D138" s="7" t="s">
        <v>293</v>
      </c>
      <c r="E138" s="7" t="s">
        <v>293</v>
      </c>
      <c r="F138" s="7" t="s">
        <v>110</v>
      </c>
      <c r="G138" s="1" t="n">
        <v>3</v>
      </c>
      <c r="H138" s="1" t="n">
        <v>15</v>
      </c>
      <c r="I138" s="10" t="n">
        <v>40051</v>
      </c>
      <c r="J138" s="10" t="n">
        <v>40056</v>
      </c>
      <c r="K138" s="1" t="n">
        <v>5</v>
      </c>
      <c r="L138" s="1" t="n">
        <v>5</v>
      </c>
      <c r="M138" s="3" t="s">
        <v>48</v>
      </c>
      <c r="N138" s="3" t="s">
        <v>61</v>
      </c>
      <c r="O138" s="8" t="s">
        <v>82</v>
      </c>
      <c r="P138" s="2" t="str">
        <f aca="false">CONCATENATE(N138," ",O138)</f>
        <v>Trochosa terricola</v>
      </c>
      <c r="Q138" s="1" t="s">
        <v>30</v>
      </c>
      <c r="R138" s="1" t="s">
        <v>35</v>
      </c>
      <c r="S138" s="1" t="n">
        <v>0</v>
      </c>
      <c r="T138" s="1" t="n">
        <v>1</v>
      </c>
      <c r="U138" s="1" t="n">
        <v>0</v>
      </c>
      <c r="V138" s="1" t="n">
        <v>0</v>
      </c>
      <c r="W138" s="1" t="n">
        <v>0</v>
      </c>
      <c r="X138" s="1" t="n">
        <v>0</v>
      </c>
      <c r="Y138" s="3" t="n">
        <f aca="false">SUM(S138:T138)</f>
        <v>1</v>
      </c>
      <c r="Z138" s="3" t="n">
        <f aca="false">SUM(U138:W138)</f>
        <v>0</v>
      </c>
      <c r="AA138" s="3" t="n">
        <f aca="false">SUM(S138:X138)</f>
        <v>1</v>
      </c>
      <c r="AB138" s="11" t="n">
        <f aca="false">(AA138/(K138*L138)*25)*4</f>
        <v>4</v>
      </c>
    </row>
    <row r="139" customFormat="false" ht="14.25" hidden="false" customHeight="false" outlineLevel="0" collapsed="false">
      <c r="A139" s="1" t="n">
        <v>2009</v>
      </c>
      <c r="B139" s="7" t="s">
        <v>322</v>
      </c>
      <c r="C139" s="7" t="n">
        <v>3</v>
      </c>
      <c r="D139" s="7" t="s">
        <v>293</v>
      </c>
      <c r="E139" s="7" t="s">
        <v>293</v>
      </c>
      <c r="F139" s="7" t="s">
        <v>110</v>
      </c>
      <c r="G139" s="1" t="n">
        <v>3</v>
      </c>
      <c r="H139" s="1" t="n">
        <v>15</v>
      </c>
      <c r="I139" s="10" t="n">
        <v>40051</v>
      </c>
      <c r="J139" s="10" t="n">
        <v>40056</v>
      </c>
      <c r="K139" s="1" t="n">
        <v>5</v>
      </c>
      <c r="L139" s="1" t="n">
        <v>5</v>
      </c>
      <c r="M139" s="3" t="s">
        <v>72</v>
      </c>
      <c r="N139" s="3" t="s">
        <v>73</v>
      </c>
      <c r="O139" s="8" t="s">
        <v>74</v>
      </c>
      <c r="P139" s="2" t="str">
        <f aca="false">CONCATENATE(N139," ",O139)</f>
        <v>Zelotes subterraneus</v>
      </c>
      <c r="Q139" s="1" t="s">
        <v>30</v>
      </c>
      <c r="R139" s="1" t="s">
        <v>31</v>
      </c>
      <c r="S139" s="1" t="n">
        <v>1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3" t="n">
        <f aca="false">SUM(S139:T139)</f>
        <v>1</v>
      </c>
      <c r="Z139" s="3" t="n">
        <f aca="false">SUM(U139:W139)</f>
        <v>0</v>
      </c>
      <c r="AA139" s="3" t="n">
        <f aca="false">SUM(S139:X139)</f>
        <v>1</v>
      </c>
      <c r="AB139" s="11" t="n">
        <f aca="false">(AA139/(K139*L139)*25)*4</f>
        <v>4</v>
      </c>
    </row>
    <row r="140" customFormat="false" ht="14.25" hidden="false" customHeight="false" outlineLevel="0" collapsed="false">
      <c r="A140" s="1" t="n">
        <v>2009</v>
      </c>
      <c r="B140" s="7" t="s">
        <v>322</v>
      </c>
      <c r="C140" s="7" t="n">
        <v>3</v>
      </c>
      <c r="D140" s="7" t="s">
        <v>293</v>
      </c>
      <c r="E140" s="7" t="s">
        <v>293</v>
      </c>
      <c r="F140" s="7" t="s">
        <v>110</v>
      </c>
      <c r="G140" s="1" t="n">
        <v>3</v>
      </c>
      <c r="H140" s="1" t="n">
        <v>15</v>
      </c>
      <c r="I140" s="10" t="n">
        <v>40051</v>
      </c>
      <c r="J140" s="10" t="n">
        <v>40056</v>
      </c>
      <c r="K140" s="1" t="n">
        <v>5</v>
      </c>
      <c r="L140" s="1" t="n">
        <v>5</v>
      </c>
      <c r="M140" s="3" t="s">
        <v>72</v>
      </c>
      <c r="N140" s="3" t="s">
        <v>73</v>
      </c>
      <c r="O140" s="8" t="s">
        <v>74</v>
      </c>
      <c r="P140" s="2" t="str">
        <f aca="false">CONCATENATE(N140," ",O140)</f>
        <v>Zelotes subterraneus</v>
      </c>
      <c r="Q140" s="1" t="s">
        <v>30</v>
      </c>
      <c r="R140" s="1" t="s">
        <v>35</v>
      </c>
      <c r="S140" s="1" t="n">
        <v>0</v>
      </c>
      <c r="T140" s="1" t="n">
        <v>1</v>
      </c>
      <c r="U140" s="1" t="n">
        <v>0</v>
      </c>
      <c r="V140" s="1" t="n">
        <v>0</v>
      </c>
      <c r="W140" s="1" t="n">
        <v>0</v>
      </c>
      <c r="X140" s="1" t="n">
        <v>0</v>
      </c>
      <c r="Y140" s="3" t="n">
        <f aca="false">SUM(S140:T140)</f>
        <v>1</v>
      </c>
      <c r="Z140" s="3" t="n">
        <f aca="false">SUM(U140:W140)</f>
        <v>0</v>
      </c>
      <c r="AA140" s="3" t="n">
        <f aca="false">SUM(S140:X140)</f>
        <v>1</v>
      </c>
      <c r="AB140" s="11" t="n">
        <f aca="false">(AA140/(K140*L140)*25)*4</f>
        <v>4</v>
      </c>
    </row>
    <row r="141" customFormat="false" ht="14.25" hidden="false" customHeight="false" outlineLevel="0" collapsed="false">
      <c r="A141" s="1" t="n">
        <v>2009</v>
      </c>
      <c r="B141" s="7" t="s">
        <v>322</v>
      </c>
      <c r="C141" s="7" t="n">
        <v>3</v>
      </c>
      <c r="D141" s="7" t="s">
        <v>293</v>
      </c>
      <c r="E141" s="7" t="s">
        <v>293</v>
      </c>
      <c r="F141" s="7" t="s">
        <v>110</v>
      </c>
      <c r="G141" s="1" t="n">
        <v>3</v>
      </c>
      <c r="H141" s="1" t="n">
        <v>14</v>
      </c>
      <c r="I141" s="10" t="n">
        <v>40051</v>
      </c>
      <c r="J141" s="10" t="n">
        <v>40056</v>
      </c>
      <c r="K141" s="1" t="n">
        <v>5</v>
      </c>
      <c r="L141" s="1" t="n">
        <v>5</v>
      </c>
      <c r="M141" s="3" t="s">
        <v>27</v>
      </c>
      <c r="N141" s="3" t="s">
        <v>28</v>
      </c>
      <c r="O141" s="8" t="s">
        <v>29</v>
      </c>
      <c r="P141" s="2" t="str">
        <f aca="false">CONCATENATE(N141," ",O141)</f>
        <v>Robertus lividus</v>
      </c>
      <c r="Q141" s="1" t="s">
        <v>30</v>
      </c>
      <c r="R141" s="1" t="s">
        <v>31</v>
      </c>
      <c r="S141" s="1" t="n">
        <v>1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3" t="n">
        <f aca="false">SUM(S141:T141)</f>
        <v>1</v>
      </c>
      <c r="Z141" s="3" t="n">
        <f aca="false">SUM(U141:W141)</f>
        <v>0</v>
      </c>
      <c r="AA141" s="3" t="n">
        <f aca="false">SUM(S141:X141)</f>
        <v>1</v>
      </c>
      <c r="AB141" s="11" t="n">
        <f aca="false">(AA141/(K141*L141)*25)*4</f>
        <v>4</v>
      </c>
    </row>
    <row r="142" customFormat="false" ht="14.25" hidden="false" customHeight="false" outlineLevel="0" collapsed="false">
      <c r="A142" s="1" t="n">
        <v>2009</v>
      </c>
      <c r="B142" s="7" t="s">
        <v>322</v>
      </c>
      <c r="C142" s="7" t="n">
        <v>3</v>
      </c>
      <c r="D142" s="7" t="s">
        <v>293</v>
      </c>
      <c r="E142" s="7" t="s">
        <v>293</v>
      </c>
      <c r="F142" s="7" t="s">
        <v>110</v>
      </c>
      <c r="G142" s="1" t="n">
        <v>3</v>
      </c>
      <c r="H142" s="1" t="n">
        <v>14</v>
      </c>
      <c r="I142" s="10" t="n">
        <v>40051</v>
      </c>
      <c r="J142" s="10" t="n">
        <v>40056</v>
      </c>
      <c r="K142" s="1" t="n">
        <v>5</v>
      </c>
      <c r="L142" s="1" t="n">
        <v>5</v>
      </c>
      <c r="M142" s="3" t="s">
        <v>41</v>
      </c>
      <c r="N142" s="3" t="s">
        <v>42</v>
      </c>
      <c r="O142" s="12" t="s">
        <v>43</v>
      </c>
      <c r="P142" s="2" t="str">
        <f aca="false">CONCATENATE(N142," ",O142)</f>
        <v>Agroeca proxima</v>
      </c>
      <c r="Q142" s="1" t="s">
        <v>30</v>
      </c>
      <c r="R142" s="1" t="s">
        <v>31</v>
      </c>
      <c r="S142" s="1" t="n">
        <v>1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3" t="n">
        <f aca="false">SUM(S142:T142)</f>
        <v>1</v>
      </c>
      <c r="Z142" s="3" t="n">
        <f aca="false">SUM(U142:W142)</f>
        <v>0</v>
      </c>
      <c r="AA142" s="3" t="n">
        <f aca="false">SUM(S142:X142)</f>
        <v>1</v>
      </c>
      <c r="AB142" s="11" t="n">
        <f aca="false">(AA142/(K142*L142)*25)*4</f>
        <v>4</v>
      </c>
    </row>
    <row r="143" customFormat="false" ht="14.25" hidden="false" customHeight="false" outlineLevel="0" collapsed="false">
      <c r="A143" s="1" t="n">
        <v>2009</v>
      </c>
      <c r="B143" s="7" t="s">
        <v>322</v>
      </c>
      <c r="C143" s="7" t="n">
        <v>3</v>
      </c>
      <c r="D143" s="7" t="s">
        <v>293</v>
      </c>
      <c r="E143" s="7" t="s">
        <v>293</v>
      </c>
      <c r="F143" s="7" t="s">
        <v>110</v>
      </c>
      <c r="G143" s="1" t="n">
        <v>3</v>
      </c>
      <c r="H143" s="1" t="n">
        <v>14</v>
      </c>
      <c r="I143" s="10" t="n">
        <v>40051</v>
      </c>
      <c r="J143" s="10" t="n">
        <v>40056</v>
      </c>
      <c r="K143" s="1" t="n">
        <v>5</v>
      </c>
      <c r="L143" s="1" t="n">
        <v>5</v>
      </c>
      <c r="M143" s="3" t="s">
        <v>36</v>
      </c>
      <c r="N143" s="3" t="s">
        <v>37</v>
      </c>
      <c r="O143" s="8" t="s">
        <v>75</v>
      </c>
      <c r="P143" s="2" t="str">
        <f aca="false">CONCATENATE(N143," ",O143)</f>
        <v>Ozyptila praticola</v>
      </c>
      <c r="Q143" s="1" t="s">
        <v>30</v>
      </c>
      <c r="R143" s="1" t="s">
        <v>31</v>
      </c>
      <c r="S143" s="1" t="n">
        <v>1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3" t="n">
        <f aca="false">SUM(S143:T143)</f>
        <v>1</v>
      </c>
      <c r="Z143" s="3" t="n">
        <f aca="false">SUM(U143:W143)</f>
        <v>0</v>
      </c>
      <c r="AA143" s="3" t="n">
        <f aca="false">SUM(S143:X143)</f>
        <v>1</v>
      </c>
      <c r="AB143" s="11" t="n">
        <f aca="false">(AA143/(K143*L143)*25)*4</f>
        <v>4</v>
      </c>
    </row>
    <row r="144" customFormat="false" ht="14.25" hidden="false" customHeight="false" outlineLevel="0" collapsed="false">
      <c r="A144" s="1" t="n">
        <v>2009</v>
      </c>
      <c r="B144" s="7" t="s">
        <v>322</v>
      </c>
      <c r="C144" s="7" t="n">
        <v>3</v>
      </c>
      <c r="D144" s="7" t="s">
        <v>293</v>
      </c>
      <c r="E144" s="7" t="s">
        <v>293</v>
      </c>
      <c r="F144" s="7" t="s">
        <v>110</v>
      </c>
      <c r="G144" s="1" t="n">
        <v>3</v>
      </c>
      <c r="H144" s="1" t="n">
        <v>14</v>
      </c>
      <c r="I144" s="10" t="n">
        <v>40051</v>
      </c>
      <c r="J144" s="10" t="n">
        <v>40056</v>
      </c>
      <c r="K144" s="1" t="n">
        <v>5</v>
      </c>
      <c r="L144" s="1" t="n">
        <v>5</v>
      </c>
      <c r="M144" s="3" t="s">
        <v>32</v>
      </c>
      <c r="N144" s="3" t="s">
        <v>90</v>
      </c>
      <c r="O144" s="8" t="s">
        <v>91</v>
      </c>
      <c r="P144" s="2" t="str">
        <f aca="false">CONCATENATE(N144," ",O144)</f>
        <v>Tapinocyba insecta</v>
      </c>
      <c r="Q144" s="1" t="s">
        <v>30</v>
      </c>
      <c r="R144" s="1" t="s">
        <v>35</v>
      </c>
      <c r="S144" s="1" t="n">
        <v>0</v>
      </c>
      <c r="T144" s="1" t="n">
        <v>1</v>
      </c>
      <c r="U144" s="1" t="n">
        <v>0</v>
      </c>
      <c r="V144" s="1" t="n">
        <v>0</v>
      </c>
      <c r="W144" s="1" t="n">
        <v>0</v>
      </c>
      <c r="X144" s="1" t="n">
        <v>0</v>
      </c>
      <c r="Y144" s="3" t="n">
        <f aca="false">SUM(S144:T144)</f>
        <v>1</v>
      </c>
      <c r="Z144" s="3" t="n">
        <f aca="false">SUM(U144:W144)</f>
        <v>0</v>
      </c>
      <c r="AA144" s="3" t="n">
        <f aca="false">SUM(S144:X144)</f>
        <v>1</v>
      </c>
      <c r="AB144" s="11" t="n">
        <f aca="false">(AA144/(K144*L144)*25)*4</f>
        <v>4</v>
      </c>
    </row>
    <row r="145" customFormat="false" ht="14.25" hidden="false" customHeight="false" outlineLevel="0" collapsed="false">
      <c r="A145" s="1" t="n">
        <v>2009</v>
      </c>
      <c r="B145" s="7" t="s">
        <v>322</v>
      </c>
      <c r="C145" s="7" t="n">
        <v>3</v>
      </c>
      <c r="D145" s="7" t="s">
        <v>293</v>
      </c>
      <c r="E145" s="7" t="s">
        <v>293</v>
      </c>
      <c r="F145" s="7" t="s">
        <v>110</v>
      </c>
      <c r="G145" s="1" t="n">
        <v>2</v>
      </c>
      <c r="H145" s="1" t="n">
        <v>10</v>
      </c>
      <c r="I145" s="10" t="n">
        <v>40051</v>
      </c>
      <c r="J145" s="10" t="n">
        <v>40056</v>
      </c>
      <c r="K145" s="1" t="n">
        <v>5</v>
      </c>
      <c r="L145" s="1" t="n">
        <v>5</v>
      </c>
      <c r="M145" s="3" t="s">
        <v>36</v>
      </c>
      <c r="N145" s="3" t="s">
        <v>37</v>
      </c>
      <c r="O145" s="8" t="s">
        <v>75</v>
      </c>
      <c r="P145" s="2" t="str">
        <f aca="false">CONCATENATE(N145," ",O145)</f>
        <v>Ozyptila praticola</v>
      </c>
      <c r="Q145" s="1" t="s">
        <v>30</v>
      </c>
      <c r="R145" s="1" t="s">
        <v>31</v>
      </c>
      <c r="S145" s="1" t="n">
        <v>1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3" t="n">
        <f aca="false">SUM(S145:T145)</f>
        <v>1</v>
      </c>
      <c r="Z145" s="3" t="n">
        <f aca="false">SUM(U145:W145)</f>
        <v>0</v>
      </c>
      <c r="AA145" s="3" t="n">
        <f aca="false">SUM(S145:X145)</f>
        <v>1</v>
      </c>
      <c r="AB145" s="11" t="n">
        <f aca="false">(AA145/(K145*L145)*25)*4</f>
        <v>4</v>
      </c>
    </row>
    <row r="146" customFormat="false" ht="14.25" hidden="false" customHeight="false" outlineLevel="0" collapsed="false">
      <c r="A146" s="1" t="n">
        <v>2009</v>
      </c>
      <c r="B146" s="7" t="s">
        <v>322</v>
      </c>
      <c r="C146" s="7" t="n">
        <v>3</v>
      </c>
      <c r="D146" s="7" t="s">
        <v>293</v>
      </c>
      <c r="E146" s="7" t="s">
        <v>293</v>
      </c>
      <c r="F146" s="7" t="s">
        <v>110</v>
      </c>
      <c r="G146" s="1" t="n">
        <v>2</v>
      </c>
      <c r="H146" s="1" t="n">
        <v>10</v>
      </c>
      <c r="I146" s="10" t="n">
        <v>40051</v>
      </c>
      <c r="J146" s="10" t="n">
        <v>40056</v>
      </c>
      <c r="K146" s="1" t="n">
        <v>5</v>
      </c>
      <c r="L146" s="1" t="n">
        <v>5</v>
      </c>
      <c r="M146" s="13" t="s">
        <v>92</v>
      </c>
      <c r="N146" s="13" t="s">
        <v>111</v>
      </c>
      <c r="O146" s="14" t="s">
        <v>112</v>
      </c>
      <c r="P146" s="2" t="str">
        <f aca="false">CONCATENATE(N146," ",O146)</f>
        <v>Evarcha falcata</v>
      </c>
      <c r="Q146" s="1" t="s">
        <v>30</v>
      </c>
      <c r="R146" s="1" t="s">
        <v>35</v>
      </c>
      <c r="S146" s="1" t="n">
        <v>0</v>
      </c>
      <c r="T146" s="1" t="n">
        <v>1</v>
      </c>
      <c r="U146" s="1" t="n">
        <v>0</v>
      </c>
      <c r="V146" s="1" t="n">
        <v>0</v>
      </c>
      <c r="W146" s="1" t="n">
        <v>0</v>
      </c>
      <c r="X146" s="1" t="n">
        <v>0</v>
      </c>
      <c r="Y146" s="3" t="n">
        <f aca="false">SUM(S146:T146)</f>
        <v>1</v>
      </c>
      <c r="Z146" s="3" t="n">
        <f aca="false">SUM(U146:W146)</f>
        <v>0</v>
      </c>
      <c r="AA146" s="3" t="n">
        <f aca="false">SUM(S146:X146)</f>
        <v>1</v>
      </c>
      <c r="AB146" s="11" t="n">
        <f aca="false">(AA146/(K146*L146)*25)*4</f>
        <v>4</v>
      </c>
    </row>
    <row r="147" customFormat="false" ht="14.25" hidden="false" customHeight="false" outlineLevel="0" collapsed="false">
      <c r="A147" s="1" t="n">
        <v>2009</v>
      </c>
      <c r="B147" s="7" t="s">
        <v>322</v>
      </c>
      <c r="C147" s="7" t="n">
        <v>3</v>
      </c>
      <c r="D147" s="7" t="s">
        <v>293</v>
      </c>
      <c r="E147" s="7" t="s">
        <v>293</v>
      </c>
      <c r="F147" s="7" t="s">
        <v>110</v>
      </c>
      <c r="G147" s="1" t="n">
        <v>2</v>
      </c>
      <c r="H147" s="1" t="n">
        <v>10</v>
      </c>
      <c r="I147" s="10" t="n">
        <v>40051</v>
      </c>
      <c r="J147" s="10" t="n">
        <v>40056</v>
      </c>
      <c r="K147" s="1" t="n">
        <v>5</v>
      </c>
      <c r="L147" s="1" t="n">
        <v>5</v>
      </c>
      <c r="M147" s="3" t="s">
        <v>41</v>
      </c>
      <c r="N147" s="3" t="s">
        <v>42</v>
      </c>
      <c r="O147" s="12" t="s">
        <v>43</v>
      </c>
      <c r="P147" s="2" t="str">
        <f aca="false">CONCATENATE(N147," ",O147)</f>
        <v>Agroeca proxima</v>
      </c>
      <c r="Q147" s="1" t="s">
        <v>30</v>
      </c>
      <c r="R147" s="1" t="s">
        <v>31</v>
      </c>
      <c r="S147" s="1" t="n">
        <v>1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3" t="n">
        <f aca="false">SUM(S147:T147)</f>
        <v>1</v>
      </c>
      <c r="Z147" s="3" t="n">
        <f aca="false">SUM(U147:W147)</f>
        <v>0</v>
      </c>
      <c r="AA147" s="3" t="n">
        <f aca="false">SUM(S147:X147)</f>
        <v>1</v>
      </c>
      <c r="AB147" s="11" t="n">
        <f aca="false">(AA147/(K147*L147)*25)*4</f>
        <v>4</v>
      </c>
    </row>
    <row r="148" customFormat="false" ht="14.25" hidden="false" customHeight="false" outlineLevel="0" collapsed="false">
      <c r="A148" s="1" t="n">
        <v>2009</v>
      </c>
      <c r="B148" s="7" t="s">
        <v>322</v>
      </c>
      <c r="C148" s="7" t="n">
        <v>3</v>
      </c>
      <c r="D148" s="7" t="s">
        <v>293</v>
      </c>
      <c r="E148" s="7" t="s">
        <v>293</v>
      </c>
      <c r="F148" s="7" t="s">
        <v>110</v>
      </c>
      <c r="G148" s="1" t="n">
        <v>3</v>
      </c>
      <c r="H148" s="1" t="n">
        <v>13</v>
      </c>
      <c r="I148" s="10" t="n">
        <v>40051</v>
      </c>
      <c r="J148" s="10" t="n">
        <v>40056</v>
      </c>
      <c r="K148" s="1" t="n">
        <v>5</v>
      </c>
      <c r="L148" s="1" t="n">
        <v>5</v>
      </c>
      <c r="M148" s="3" t="s">
        <v>41</v>
      </c>
      <c r="N148" s="3" t="s">
        <v>42</v>
      </c>
      <c r="O148" s="12" t="s">
        <v>43</v>
      </c>
      <c r="P148" s="2" t="str">
        <f aca="false">CONCATENATE(N148," ",O148)</f>
        <v>Agroeca proxima</v>
      </c>
      <c r="Q148" s="1" t="s">
        <v>30</v>
      </c>
      <c r="R148" s="1" t="s">
        <v>35</v>
      </c>
      <c r="S148" s="1" t="n">
        <v>0</v>
      </c>
      <c r="T148" s="1" t="n">
        <v>1</v>
      </c>
      <c r="U148" s="1" t="n">
        <v>0</v>
      </c>
      <c r="V148" s="1" t="n">
        <v>0</v>
      </c>
      <c r="W148" s="1" t="n">
        <v>0</v>
      </c>
      <c r="X148" s="1" t="n">
        <v>0</v>
      </c>
      <c r="Y148" s="3" t="n">
        <f aca="false">SUM(S148:T148)</f>
        <v>1</v>
      </c>
      <c r="Z148" s="3" t="n">
        <f aca="false">SUM(U148:W148)</f>
        <v>0</v>
      </c>
      <c r="AA148" s="3" t="n">
        <f aca="false">SUM(S148:X148)</f>
        <v>1</v>
      </c>
      <c r="AB148" s="11" t="n">
        <f aca="false">(AA148/(K148*L148)*25)*4</f>
        <v>4</v>
      </c>
    </row>
    <row r="149" customFormat="false" ht="14.25" hidden="false" customHeight="false" outlineLevel="0" collapsed="false">
      <c r="A149" s="1" t="n">
        <v>2009</v>
      </c>
      <c r="B149" s="7" t="s">
        <v>322</v>
      </c>
      <c r="C149" s="7" t="n">
        <v>3</v>
      </c>
      <c r="D149" s="7" t="s">
        <v>293</v>
      </c>
      <c r="E149" s="7" t="s">
        <v>293</v>
      </c>
      <c r="F149" s="7" t="s">
        <v>110</v>
      </c>
      <c r="G149" s="1" t="n">
        <v>3</v>
      </c>
      <c r="H149" s="1" t="n">
        <v>11</v>
      </c>
      <c r="I149" s="10" t="n">
        <v>40051</v>
      </c>
      <c r="J149" s="10" t="n">
        <v>40056</v>
      </c>
      <c r="K149" s="1" t="n">
        <v>5</v>
      </c>
      <c r="L149" s="1" t="n">
        <v>5</v>
      </c>
      <c r="M149" s="3" t="s">
        <v>36</v>
      </c>
      <c r="N149" s="3" t="s">
        <v>37</v>
      </c>
      <c r="O149" s="8" t="s">
        <v>75</v>
      </c>
      <c r="P149" s="2" t="str">
        <f aca="false">CONCATENATE(N149," ",O149)</f>
        <v>Ozyptila praticola</v>
      </c>
      <c r="Q149" s="1" t="s">
        <v>30</v>
      </c>
      <c r="R149" s="1" t="s">
        <v>31</v>
      </c>
      <c r="S149" s="1" t="n">
        <v>1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3" t="n">
        <f aca="false">SUM(S149:T149)</f>
        <v>1</v>
      </c>
      <c r="Z149" s="3" t="n">
        <f aca="false">SUM(U149:W149)</f>
        <v>0</v>
      </c>
      <c r="AA149" s="3" t="n">
        <f aca="false">SUM(S149:X149)</f>
        <v>1</v>
      </c>
      <c r="AB149" s="11" t="n">
        <f aca="false">(AA149/(K149*L149)*25)*4</f>
        <v>4</v>
      </c>
    </row>
    <row r="150" customFormat="false" ht="14.25" hidden="false" customHeight="false" outlineLevel="0" collapsed="false">
      <c r="A150" s="1" t="n">
        <v>2009</v>
      </c>
      <c r="B150" s="7" t="s">
        <v>322</v>
      </c>
      <c r="C150" s="7" t="n">
        <v>3</v>
      </c>
      <c r="D150" s="7" t="s">
        <v>293</v>
      </c>
      <c r="E150" s="7" t="s">
        <v>293</v>
      </c>
      <c r="F150" s="7" t="s">
        <v>110</v>
      </c>
      <c r="G150" s="1" t="n">
        <v>2</v>
      </c>
      <c r="H150" s="1" t="n">
        <v>9</v>
      </c>
      <c r="I150" s="10" t="n">
        <v>40051</v>
      </c>
      <c r="J150" s="10" t="n">
        <v>40056</v>
      </c>
      <c r="K150" s="1" t="n">
        <v>5</v>
      </c>
      <c r="L150" s="1" t="n">
        <v>5</v>
      </c>
      <c r="M150" s="3" t="s">
        <v>36</v>
      </c>
      <c r="N150" s="3" t="s">
        <v>37</v>
      </c>
      <c r="O150" s="8" t="s">
        <v>75</v>
      </c>
      <c r="P150" s="2" t="str">
        <f aca="false">CONCATENATE(N150," ",O150)</f>
        <v>Ozyptila praticola</v>
      </c>
      <c r="Q150" s="1" t="s">
        <v>30</v>
      </c>
      <c r="R150" s="1" t="s">
        <v>31</v>
      </c>
      <c r="S150" s="1" t="n">
        <v>1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3" t="n">
        <f aca="false">SUM(S150:T150)</f>
        <v>1</v>
      </c>
      <c r="Z150" s="3" t="n">
        <f aca="false">SUM(U150:W150)</f>
        <v>0</v>
      </c>
      <c r="AA150" s="3" t="n">
        <f aca="false">SUM(S150:X150)</f>
        <v>1</v>
      </c>
      <c r="AB150" s="11" t="n">
        <f aca="false">(AA150/(K150*L150)*25)*4</f>
        <v>4</v>
      </c>
    </row>
    <row r="151" customFormat="false" ht="14.25" hidden="false" customHeight="false" outlineLevel="0" collapsed="false">
      <c r="A151" s="1" t="n">
        <v>2009</v>
      </c>
      <c r="B151" s="7" t="s">
        <v>322</v>
      </c>
      <c r="C151" s="7" t="n">
        <v>3</v>
      </c>
      <c r="D151" s="7" t="s">
        <v>293</v>
      </c>
      <c r="E151" s="7" t="s">
        <v>293</v>
      </c>
      <c r="F151" s="7" t="s">
        <v>110</v>
      </c>
      <c r="G151" s="1" t="n">
        <v>2</v>
      </c>
      <c r="H151" s="1" t="n">
        <v>8</v>
      </c>
      <c r="I151" s="10" t="n">
        <v>40051</v>
      </c>
      <c r="J151" s="10" t="n">
        <v>40056</v>
      </c>
      <c r="K151" s="1" t="n">
        <v>5</v>
      </c>
      <c r="L151" s="1" t="n">
        <v>5</v>
      </c>
      <c r="M151" s="3" t="s">
        <v>41</v>
      </c>
      <c r="N151" s="3" t="s">
        <v>42</v>
      </c>
      <c r="O151" s="12" t="s">
        <v>43</v>
      </c>
      <c r="P151" s="2" t="str">
        <f aca="false">CONCATENATE(N151," ",O151)</f>
        <v>Agroeca proxima</v>
      </c>
      <c r="Q151" s="1" t="s">
        <v>30</v>
      </c>
      <c r="R151" s="1" t="s">
        <v>31</v>
      </c>
      <c r="S151" s="1" t="n">
        <v>1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3" t="n">
        <f aca="false">SUM(S151:T151)</f>
        <v>1</v>
      </c>
      <c r="Z151" s="3" t="n">
        <f aca="false">SUM(U151:W151)</f>
        <v>0</v>
      </c>
      <c r="AA151" s="3" t="n">
        <f aca="false">SUM(S151:X151)</f>
        <v>1</v>
      </c>
      <c r="AB151" s="11" t="n">
        <f aca="false">(AA151/(K151*L151)*25)*4</f>
        <v>4</v>
      </c>
    </row>
    <row r="152" customFormat="false" ht="14.25" hidden="false" customHeight="false" outlineLevel="0" collapsed="false">
      <c r="A152" s="1" t="n">
        <v>2009</v>
      </c>
      <c r="B152" s="7" t="s">
        <v>322</v>
      </c>
      <c r="C152" s="7" t="n">
        <v>3</v>
      </c>
      <c r="D152" s="7" t="s">
        <v>293</v>
      </c>
      <c r="E152" s="7" t="s">
        <v>293</v>
      </c>
      <c r="F152" s="7" t="s">
        <v>110</v>
      </c>
      <c r="G152" s="1" t="n">
        <v>2</v>
      </c>
      <c r="H152" s="1" t="n">
        <v>6</v>
      </c>
      <c r="I152" s="10" t="n">
        <v>40051</v>
      </c>
      <c r="J152" s="10" t="n">
        <v>40056</v>
      </c>
      <c r="K152" s="1" t="n">
        <v>5</v>
      </c>
      <c r="L152" s="1" t="n">
        <v>5</v>
      </c>
      <c r="M152" s="3" t="s">
        <v>32</v>
      </c>
      <c r="N152" s="3" t="s">
        <v>76</v>
      </c>
      <c r="O152" s="8" t="s">
        <v>77</v>
      </c>
      <c r="P152" s="2" t="str">
        <f aca="false">CONCATENATE(N152," ",O152)</f>
        <v>Bolyphantes alticeps</v>
      </c>
      <c r="Q152" s="1" t="s">
        <v>30</v>
      </c>
      <c r="R152" s="1" t="s">
        <v>31</v>
      </c>
      <c r="S152" s="1" t="n">
        <v>1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3" t="n">
        <f aca="false">SUM(S152:T152)</f>
        <v>1</v>
      </c>
      <c r="Z152" s="3" t="n">
        <f aca="false">SUM(U152:W152)</f>
        <v>0</v>
      </c>
      <c r="AA152" s="3" t="n">
        <f aca="false">SUM(S152:X152)</f>
        <v>1</v>
      </c>
      <c r="AB152" s="11" t="n">
        <f aca="false">(AA152/(K152*L152)*25)*4</f>
        <v>4</v>
      </c>
    </row>
    <row r="153" customFormat="false" ht="14.25" hidden="false" customHeight="false" outlineLevel="0" collapsed="false">
      <c r="A153" s="1" t="n">
        <v>2009</v>
      </c>
      <c r="B153" s="7" t="s">
        <v>322</v>
      </c>
      <c r="C153" s="7" t="n">
        <v>3</v>
      </c>
      <c r="D153" s="7" t="s">
        <v>293</v>
      </c>
      <c r="E153" s="7" t="s">
        <v>293</v>
      </c>
      <c r="F153" s="7" t="s">
        <v>110</v>
      </c>
      <c r="G153" s="1" t="n">
        <v>2</v>
      </c>
      <c r="H153" s="1" t="n">
        <v>6</v>
      </c>
      <c r="I153" s="10" t="n">
        <v>40051</v>
      </c>
      <c r="J153" s="10" t="n">
        <v>40056</v>
      </c>
      <c r="K153" s="1" t="n">
        <v>5</v>
      </c>
      <c r="L153" s="1" t="n">
        <v>5</v>
      </c>
      <c r="M153" s="3" t="s">
        <v>32</v>
      </c>
      <c r="N153" s="3" t="s">
        <v>113</v>
      </c>
      <c r="O153" s="8" t="s">
        <v>114</v>
      </c>
      <c r="P153" s="2" t="str">
        <f aca="false">CONCATENATE(N153," ",O153)</f>
        <v>Ceratinella brevipes</v>
      </c>
      <c r="Q153" s="1" t="s">
        <v>30</v>
      </c>
      <c r="R153" s="1" t="s">
        <v>35</v>
      </c>
      <c r="S153" s="1" t="n">
        <v>0</v>
      </c>
      <c r="T153" s="1" t="n">
        <v>1</v>
      </c>
      <c r="U153" s="1" t="n">
        <v>0</v>
      </c>
      <c r="V153" s="1" t="n">
        <v>0</v>
      </c>
      <c r="W153" s="1" t="n">
        <v>0</v>
      </c>
      <c r="X153" s="1" t="n">
        <v>0</v>
      </c>
      <c r="Y153" s="3" t="n">
        <f aca="false">SUM(S153:T153)</f>
        <v>1</v>
      </c>
      <c r="Z153" s="3" t="n">
        <f aca="false">SUM(U153:W153)</f>
        <v>0</v>
      </c>
      <c r="AA153" s="3" t="n">
        <f aca="false">SUM(S153:X153)</f>
        <v>1</v>
      </c>
      <c r="AB153" s="11" t="n">
        <f aca="false">(AA153/(K153*L153)*25)*4</f>
        <v>4</v>
      </c>
    </row>
    <row r="154" customFormat="false" ht="14.25" hidden="false" customHeight="false" outlineLevel="0" collapsed="false">
      <c r="A154" s="1" t="n">
        <v>2009</v>
      </c>
      <c r="B154" s="7" t="s">
        <v>322</v>
      </c>
      <c r="C154" s="7" t="n">
        <v>3</v>
      </c>
      <c r="D154" s="7" t="s">
        <v>293</v>
      </c>
      <c r="E154" s="7" t="s">
        <v>293</v>
      </c>
      <c r="F154" s="7" t="s">
        <v>110</v>
      </c>
      <c r="G154" s="1" t="n">
        <v>1</v>
      </c>
      <c r="H154" s="1" t="n">
        <v>5</v>
      </c>
      <c r="I154" s="10" t="n">
        <v>40051</v>
      </c>
      <c r="J154" s="10" t="n">
        <v>40056</v>
      </c>
      <c r="K154" s="1" t="n">
        <v>5</v>
      </c>
      <c r="L154" s="1" t="n">
        <v>5</v>
      </c>
      <c r="M154" s="3" t="s">
        <v>41</v>
      </c>
      <c r="N154" s="3" t="s">
        <v>42</v>
      </c>
      <c r="O154" s="12" t="s">
        <v>43</v>
      </c>
      <c r="P154" s="2" t="str">
        <f aca="false">CONCATENATE(N154," ",O154)</f>
        <v>Agroeca proxima</v>
      </c>
      <c r="Q154" s="1" t="s">
        <v>30</v>
      </c>
      <c r="R154" s="1" t="s">
        <v>31</v>
      </c>
      <c r="S154" s="1" t="n">
        <v>1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3" t="n">
        <f aca="false">SUM(S154:T154)</f>
        <v>1</v>
      </c>
      <c r="Z154" s="3" t="n">
        <f aca="false">SUM(U154:W154)</f>
        <v>0</v>
      </c>
      <c r="AA154" s="3" t="n">
        <f aca="false">SUM(S154:X154)</f>
        <v>1</v>
      </c>
      <c r="AB154" s="11" t="n">
        <f aca="false">(AA154/(K154*L154)*25)*4</f>
        <v>4</v>
      </c>
    </row>
    <row r="155" customFormat="false" ht="14.25" hidden="false" customHeight="false" outlineLevel="0" collapsed="false">
      <c r="A155" s="1" t="n">
        <v>2009</v>
      </c>
      <c r="B155" s="7" t="s">
        <v>322</v>
      </c>
      <c r="C155" s="7" t="n">
        <v>3</v>
      </c>
      <c r="D155" s="7" t="s">
        <v>293</v>
      </c>
      <c r="E155" s="7" t="s">
        <v>293</v>
      </c>
      <c r="F155" s="7" t="s">
        <v>110</v>
      </c>
      <c r="G155" s="1" t="n">
        <v>1</v>
      </c>
      <c r="H155" s="1" t="n">
        <v>3</v>
      </c>
      <c r="I155" s="10" t="n">
        <v>40051</v>
      </c>
      <c r="J155" s="10" t="n">
        <v>40056</v>
      </c>
      <c r="K155" s="1" t="n">
        <v>5</v>
      </c>
      <c r="L155" s="1" t="n">
        <v>5</v>
      </c>
      <c r="M155" s="3" t="s">
        <v>72</v>
      </c>
      <c r="N155" s="3" t="s">
        <v>73</v>
      </c>
      <c r="O155" s="8" t="s">
        <v>74</v>
      </c>
      <c r="P155" s="2" t="str">
        <f aca="false">CONCATENATE(N155," ",O155)</f>
        <v>Zelotes subterraneus</v>
      </c>
      <c r="Q155" s="1" t="s">
        <v>30</v>
      </c>
      <c r="R155" s="1" t="s">
        <v>35</v>
      </c>
      <c r="S155" s="1" t="n">
        <v>0</v>
      </c>
      <c r="T155" s="1" t="n">
        <v>1</v>
      </c>
      <c r="U155" s="1" t="n">
        <v>0</v>
      </c>
      <c r="V155" s="1" t="n">
        <v>0</v>
      </c>
      <c r="W155" s="1" t="n">
        <v>0</v>
      </c>
      <c r="X155" s="1" t="n">
        <v>0</v>
      </c>
      <c r="Y155" s="3" t="n">
        <f aca="false">SUM(S155:T155)</f>
        <v>1</v>
      </c>
      <c r="Z155" s="3" t="n">
        <f aca="false">SUM(U155:W155)</f>
        <v>0</v>
      </c>
      <c r="AA155" s="3" t="n">
        <f aca="false">SUM(S155:X155)</f>
        <v>1</v>
      </c>
      <c r="AB155" s="11" t="n">
        <f aca="false">(AA155/(K155*L155)*25)*4</f>
        <v>4</v>
      </c>
    </row>
    <row r="156" customFormat="false" ht="14.25" hidden="false" customHeight="false" outlineLevel="0" collapsed="false">
      <c r="A156" s="1" t="n">
        <v>2009</v>
      </c>
      <c r="B156" s="7" t="s">
        <v>322</v>
      </c>
      <c r="C156" s="7" t="n">
        <v>3</v>
      </c>
      <c r="D156" s="7" t="s">
        <v>293</v>
      </c>
      <c r="E156" s="7" t="s">
        <v>293</v>
      </c>
      <c r="F156" s="7" t="s">
        <v>110</v>
      </c>
      <c r="G156" s="1" t="n">
        <v>1</v>
      </c>
      <c r="H156" s="1" t="n">
        <v>3</v>
      </c>
      <c r="I156" s="10" t="n">
        <v>40051</v>
      </c>
      <c r="J156" s="10" t="n">
        <v>40056</v>
      </c>
      <c r="K156" s="1" t="n">
        <v>5</v>
      </c>
      <c r="L156" s="1" t="n">
        <v>5</v>
      </c>
      <c r="M156" s="3" t="s">
        <v>41</v>
      </c>
      <c r="N156" s="3" t="s">
        <v>42</v>
      </c>
      <c r="O156" s="12" t="s">
        <v>43</v>
      </c>
      <c r="P156" s="2" t="str">
        <f aca="false">CONCATENATE(N156," ",O156)</f>
        <v>Agroeca proxima</v>
      </c>
      <c r="Q156" s="1" t="s">
        <v>30</v>
      </c>
      <c r="R156" s="1" t="s">
        <v>31</v>
      </c>
      <c r="S156" s="1" t="n">
        <v>1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3" t="n">
        <f aca="false">SUM(S156:T156)</f>
        <v>1</v>
      </c>
      <c r="Z156" s="3" t="n">
        <f aca="false">SUM(U156:W156)</f>
        <v>0</v>
      </c>
      <c r="AA156" s="3" t="n">
        <f aca="false">SUM(S156:X156)</f>
        <v>1</v>
      </c>
      <c r="AB156" s="11" t="n">
        <f aca="false">(AA156/(K156*L156)*25)*4</f>
        <v>4</v>
      </c>
    </row>
    <row r="157" customFormat="false" ht="14.25" hidden="false" customHeight="false" outlineLevel="0" collapsed="false">
      <c r="A157" s="1" t="n">
        <v>2009</v>
      </c>
      <c r="B157" s="7" t="s">
        <v>322</v>
      </c>
      <c r="C157" s="7" t="n">
        <v>3</v>
      </c>
      <c r="D157" s="7" t="s">
        <v>293</v>
      </c>
      <c r="E157" s="7" t="s">
        <v>293</v>
      </c>
      <c r="F157" s="7" t="s">
        <v>110</v>
      </c>
      <c r="G157" s="1" t="n">
        <v>1</v>
      </c>
      <c r="H157" s="1" t="n">
        <v>3</v>
      </c>
      <c r="I157" s="10" t="n">
        <v>40051</v>
      </c>
      <c r="J157" s="10" t="n">
        <v>40056</v>
      </c>
      <c r="K157" s="1" t="n">
        <v>5</v>
      </c>
      <c r="L157" s="1" t="n">
        <v>5</v>
      </c>
      <c r="M157" s="3" t="s">
        <v>36</v>
      </c>
      <c r="N157" s="3" t="s">
        <v>37</v>
      </c>
      <c r="O157" s="8" t="s">
        <v>75</v>
      </c>
      <c r="P157" s="2" t="str">
        <f aca="false">CONCATENATE(N157," ",O157)</f>
        <v>Ozyptila praticola</v>
      </c>
      <c r="Q157" s="1" t="s">
        <v>30</v>
      </c>
      <c r="R157" s="1" t="s">
        <v>35</v>
      </c>
      <c r="S157" s="1" t="n">
        <v>0</v>
      </c>
      <c r="T157" s="1" t="n">
        <v>1</v>
      </c>
      <c r="U157" s="1" t="n">
        <v>0</v>
      </c>
      <c r="V157" s="1" t="n">
        <v>0</v>
      </c>
      <c r="W157" s="1" t="n">
        <v>0</v>
      </c>
      <c r="X157" s="1" t="n">
        <v>0</v>
      </c>
      <c r="Y157" s="3" t="n">
        <f aca="false">SUM(S157:T157)</f>
        <v>1</v>
      </c>
      <c r="Z157" s="3" t="n">
        <f aca="false">SUM(U157:W157)</f>
        <v>0</v>
      </c>
      <c r="AA157" s="3" t="n">
        <f aca="false">SUM(S157:X157)</f>
        <v>1</v>
      </c>
      <c r="AB157" s="11" t="n">
        <f aca="false">(AA157/(K157*L157)*25)*4</f>
        <v>4</v>
      </c>
    </row>
    <row r="158" customFormat="false" ht="14.25" hidden="false" customHeight="false" outlineLevel="0" collapsed="false">
      <c r="A158" s="1" t="n">
        <v>2009</v>
      </c>
      <c r="B158" s="7" t="s">
        <v>322</v>
      </c>
      <c r="C158" s="7" t="n">
        <v>3</v>
      </c>
      <c r="D158" s="7" t="s">
        <v>293</v>
      </c>
      <c r="E158" s="7" t="s">
        <v>293</v>
      </c>
      <c r="F158" s="7" t="s">
        <v>110</v>
      </c>
      <c r="G158" s="1" t="n">
        <v>1</v>
      </c>
      <c r="H158" s="1" t="n">
        <v>2</v>
      </c>
      <c r="I158" s="10" t="n">
        <v>40051</v>
      </c>
      <c r="J158" s="10" t="n">
        <v>40056</v>
      </c>
      <c r="K158" s="1" t="n">
        <v>5</v>
      </c>
      <c r="L158" s="1" t="n">
        <v>5</v>
      </c>
      <c r="M158" s="3" t="s">
        <v>48</v>
      </c>
      <c r="N158" s="3" t="s">
        <v>61</v>
      </c>
      <c r="O158" s="8" t="s">
        <v>82</v>
      </c>
      <c r="P158" s="2" t="str">
        <f aca="false">CONCATENATE(N158," ",O158)</f>
        <v>Trochosa terricola</v>
      </c>
      <c r="Q158" s="1" t="s">
        <v>30</v>
      </c>
      <c r="R158" s="1" t="s">
        <v>31</v>
      </c>
      <c r="S158" s="1" t="n">
        <v>1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3" t="n">
        <f aca="false">SUM(S158:T158)</f>
        <v>1</v>
      </c>
      <c r="Z158" s="3" t="n">
        <f aca="false">SUM(U158:W158)</f>
        <v>0</v>
      </c>
      <c r="AA158" s="3" t="n">
        <f aca="false">SUM(S158:X158)</f>
        <v>1</v>
      </c>
      <c r="AB158" s="11" t="n">
        <f aca="false">(AA158/(K158*L158)*25)*4</f>
        <v>4</v>
      </c>
    </row>
    <row r="159" customFormat="false" ht="14.25" hidden="false" customHeight="false" outlineLevel="0" collapsed="false">
      <c r="A159" s="1" t="n">
        <v>2009</v>
      </c>
      <c r="B159" s="7" t="s">
        <v>322</v>
      </c>
      <c r="C159" s="7" t="n">
        <v>3</v>
      </c>
      <c r="D159" s="7" t="s">
        <v>293</v>
      </c>
      <c r="E159" s="7" t="s">
        <v>293</v>
      </c>
      <c r="F159" s="7" t="s">
        <v>110</v>
      </c>
      <c r="G159" s="1" t="n">
        <v>1</v>
      </c>
      <c r="H159" s="1" t="n">
        <v>1</v>
      </c>
      <c r="I159" s="10" t="n">
        <v>40051</v>
      </c>
      <c r="J159" s="10" t="n">
        <v>40056</v>
      </c>
      <c r="K159" s="1" t="n">
        <v>5</v>
      </c>
      <c r="L159" s="1" t="n">
        <v>5</v>
      </c>
      <c r="M159" s="3" t="s">
        <v>36</v>
      </c>
      <c r="N159" s="3" t="s">
        <v>37</v>
      </c>
      <c r="O159" s="8" t="s">
        <v>75</v>
      </c>
      <c r="P159" s="2" t="str">
        <f aca="false">CONCATENATE(N159," ",O159)</f>
        <v>Ozyptila praticola</v>
      </c>
      <c r="Q159" s="1" t="s">
        <v>30</v>
      </c>
      <c r="R159" s="1" t="s">
        <v>35</v>
      </c>
      <c r="S159" s="1" t="n">
        <v>0</v>
      </c>
      <c r="T159" s="1" t="n">
        <v>1</v>
      </c>
      <c r="U159" s="1" t="n">
        <v>0</v>
      </c>
      <c r="V159" s="1" t="n">
        <v>0</v>
      </c>
      <c r="W159" s="1" t="n">
        <v>0</v>
      </c>
      <c r="X159" s="1" t="n">
        <v>0</v>
      </c>
      <c r="Y159" s="3" t="n">
        <f aca="false">SUM(S159:T159)</f>
        <v>1</v>
      </c>
      <c r="Z159" s="3" t="n">
        <f aca="false">SUM(U159:W159)</f>
        <v>0</v>
      </c>
      <c r="AA159" s="3" t="n">
        <f aca="false">SUM(S159:X159)</f>
        <v>1</v>
      </c>
      <c r="AB159" s="11" t="n">
        <f aca="false">(AA159/(K159*L159)*25)*4</f>
        <v>4</v>
      </c>
    </row>
    <row r="160" customFormat="false" ht="14.25" hidden="false" customHeight="false" outlineLevel="0" collapsed="false">
      <c r="A160" s="1" t="n">
        <v>2009</v>
      </c>
      <c r="B160" s="7" t="s">
        <v>322</v>
      </c>
      <c r="C160" s="7" t="n">
        <v>3</v>
      </c>
      <c r="D160" s="7" t="s">
        <v>293</v>
      </c>
      <c r="E160" s="7" t="s">
        <v>293</v>
      </c>
      <c r="F160" s="7" t="s">
        <v>110</v>
      </c>
      <c r="G160" s="1" t="n">
        <v>1</v>
      </c>
      <c r="H160" s="1" t="n">
        <v>1</v>
      </c>
      <c r="I160" s="10" t="n">
        <v>40051</v>
      </c>
      <c r="J160" s="10" t="n">
        <v>40056</v>
      </c>
      <c r="K160" s="1" t="n">
        <v>5</v>
      </c>
      <c r="L160" s="1" t="n">
        <v>5</v>
      </c>
      <c r="M160" s="3" t="s">
        <v>72</v>
      </c>
      <c r="N160" s="3" t="s">
        <v>73</v>
      </c>
      <c r="O160" s="8" t="s">
        <v>74</v>
      </c>
      <c r="P160" s="2" t="str">
        <f aca="false">CONCATENATE(N160," ",O160)</f>
        <v>Zelotes subterraneus</v>
      </c>
      <c r="Q160" s="1" t="s">
        <v>30</v>
      </c>
      <c r="R160" s="1" t="s">
        <v>35</v>
      </c>
      <c r="S160" s="1" t="n">
        <v>0</v>
      </c>
      <c r="T160" s="1" t="n">
        <v>1</v>
      </c>
      <c r="U160" s="1" t="n">
        <v>0</v>
      </c>
      <c r="V160" s="1" t="n">
        <v>0</v>
      </c>
      <c r="W160" s="1" t="n">
        <v>0</v>
      </c>
      <c r="X160" s="1" t="n">
        <v>0</v>
      </c>
      <c r="Y160" s="3" t="n">
        <f aca="false">SUM(S160:T160)</f>
        <v>1</v>
      </c>
      <c r="Z160" s="3" t="n">
        <f aca="false">SUM(U160:W160)</f>
        <v>0</v>
      </c>
      <c r="AA160" s="3" t="n">
        <f aca="false">SUM(S160:X160)</f>
        <v>1</v>
      </c>
      <c r="AB160" s="11" t="n">
        <f aca="false">(AA160/(K160*L160)*25)*4</f>
        <v>4</v>
      </c>
    </row>
    <row r="161" customFormat="false" ht="14.25" hidden="false" customHeight="false" outlineLevel="0" collapsed="false">
      <c r="A161" s="1" t="n">
        <v>2009</v>
      </c>
      <c r="B161" s="7" t="s">
        <v>322</v>
      </c>
      <c r="C161" s="7" t="n">
        <v>3</v>
      </c>
      <c r="D161" s="7" t="s">
        <v>296</v>
      </c>
      <c r="E161" s="7" t="s">
        <v>295</v>
      </c>
      <c r="F161" s="7" t="s">
        <v>330</v>
      </c>
      <c r="G161" s="1" t="n">
        <v>2</v>
      </c>
      <c r="H161" s="1" t="n">
        <v>8</v>
      </c>
      <c r="I161" s="10" t="n">
        <v>40051</v>
      </c>
      <c r="J161" s="10" t="n">
        <v>40056</v>
      </c>
      <c r="K161" s="1" t="n">
        <v>5</v>
      </c>
      <c r="L161" s="1" t="n">
        <v>5</v>
      </c>
      <c r="M161" s="3" t="s">
        <v>32</v>
      </c>
      <c r="N161" s="3" t="s">
        <v>102</v>
      </c>
      <c r="O161" s="3" t="s">
        <v>117</v>
      </c>
      <c r="P161" s="2" t="str">
        <f aca="false">CONCATENATE(N161," ",O161)</f>
        <v>Agyneta affinis</v>
      </c>
      <c r="Q161" s="1" t="s">
        <v>30</v>
      </c>
      <c r="R161" s="1" t="s">
        <v>35</v>
      </c>
      <c r="S161" s="1" t="n">
        <v>0</v>
      </c>
      <c r="T161" s="1" t="n">
        <v>1</v>
      </c>
      <c r="U161" s="1" t="n">
        <v>0</v>
      </c>
      <c r="V161" s="1" t="n">
        <v>0</v>
      </c>
      <c r="W161" s="1" t="n">
        <v>0</v>
      </c>
      <c r="X161" s="1" t="n">
        <v>0</v>
      </c>
      <c r="Y161" s="3" t="n">
        <f aca="false">SUM(S161:T161)</f>
        <v>1</v>
      </c>
      <c r="Z161" s="3" t="n">
        <f aca="false">SUM(U161:W161)</f>
        <v>0</v>
      </c>
      <c r="AA161" s="3" t="n">
        <f aca="false">SUM(S161:X161)</f>
        <v>1</v>
      </c>
      <c r="AB161" s="11" t="n">
        <f aca="false">(AA161/(K161*L161)*25)*4</f>
        <v>4</v>
      </c>
    </row>
    <row r="162" customFormat="false" ht="14.25" hidden="false" customHeight="false" outlineLevel="0" collapsed="false">
      <c r="A162" s="1" t="n">
        <v>2009</v>
      </c>
      <c r="B162" s="7" t="s">
        <v>322</v>
      </c>
      <c r="C162" s="7" t="n">
        <v>3</v>
      </c>
      <c r="D162" s="7" t="s">
        <v>295</v>
      </c>
      <c r="E162" s="7" t="s">
        <v>295</v>
      </c>
      <c r="F162" s="7" t="s">
        <v>324</v>
      </c>
      <c r="G162" s="1" t="n">
        <v>1</v>
      </c>
      <c r="H162" s="1" t="n">
        <v>4</v>
      </c>
      <c r="I162" s="10" t="n">
        <v>40052</v>
      </c>
      <c r="J162" s="10" t="n">
        <v>40057</v>
      </c>
      <c r="K162" s="1" t="n">
        <v>5</v>
      </c>
      <c r="L162" s="1" t="n">
        <v>5</v>
      </c>
      <c r="M162" s="3" t="s">
        <v>48</v>
      </c>
      <c r="N162" s="3" t="s">
        <v>49</v>
      </c>
      <c r="O162" s="12" t="s">
        <v>119</v>
      </c>
      <c r="P162" s="2" t="str">
        <f aca="false">CONCATENATE(N162," ",O162)</f>
        <v>Alopecosa sulzeri</v>
      </c>
      <c r="Q162" s="1" t="s">
        <v>30</v>
      </c>
      <c r="R162" s="1" t="s">
        <v>35</v>
      </c>
      <c r="S162" s="1" t="n">
        <v>0</v>
      </c>
      <c r="T162" s="1" t="n">
        <v>1</v>
      </c>
      <c r="U162" s="1" t="n">
        <v>0</v>
      </c>
      <c r="V162" s="1" t="n">
        <v>0</v>
      </c>
      <c r="W162" s="1" t="n">
        <v>0</v>
      </c>
      <c r="X162" s="1" t="n">
        <v>0</v>
      </c>
      <c r="Y162" s="3" t="n">
        <f aca="false">SUM(S162:T162)</f>
        <v>1</v>
      </c>
      <c r="Z162" s="3" t="n">
        <f aca="false">SUM(U162:W162)</f>
        <v>0</v>
      </c>
      <c r="AA162" s="3" t="n">
        <f aca="false">SUM(S162:X162)</f>
        <v>1</v>
      </c>
      <c r="AB162" s="11" t="n">
        <f aca="false">(AA162/(K162*L162)*25)*4</f>
        <v>4</v>
      </c>
    </row>
    <row r="163" customFormat="false" ht="14.25" hidden="false" customHeight="false" outlineLevel="0" collapsed="false">
      <c r="A163" s="1" t="n">
        <v>2009</v>
      </c>
      <c r="B163" s="7" t="s">
        <v>322</v>
      </c>
      <c r="C163" s="7" t="n">
        <v>3</v>
      </c>
      <c r="D163" s="7" t="s">
        <v>295</v>
      </c>
      <c r="E163" s="7" t="s">
        <v>295</v>
      </c>
      <c r="F163" s="7" t="s">
        <v>324</v>
      </c>
      <c r="G163" s="1" t="n">
        <v>2</v>
      </c>
      <c r="H163" s="1" t="n">
        <v>10</v>
      </c>
      <c r="I163" s="10" t="n">
        <v>40052</v>
      </c>
      <c r="J163" s="10" t="n">
        <v>40057</v>
      </c>
      <c r="K163" s="1" t="n">
        <v>5</v>
      </c>
      <c r="L163" s="1" t="n">
        <v>5</v>
      </c>
      <c r="M163" s="3" t="s">
        <v>32</v>
      </c>
      <c r="N163" s="3" t="s">
        <v>68</v>
      </c>
      <c r="O163" s="8" t="s">
        <v>69</v>
      </c>
      <c r="P163" s="2" t="str">
        <f aca="false">CONCATENATE(N163," ",O163)</f>
        <v>Centromerus sylvaticus</v>
      </c>
      <c r="Q163" s="1" t="s">
        <v>30</v>
      </c>
      <c r="R163" s="1" t="s">
        <v>35</v>
      </c>
      <c r="S163" s="1" t="n">
        <v>0</v>
      </c>
      <c r="T163" s="1" t="n">
        <v>1</v>
      </c>
      <c r="U163" s="1" t="n">
        <v>0</v>
      </c>
      <c r="V163" s="1" t="n">
        <v>0</v>
      </c>
      <c r="W163" s="1" t="n">
        <v>0</v>
      </c>
      <c r="X163" s="1" t="n">
        <v>0</v>
      </c>
      <c r="Y163" s="3" t="n">
        <f aca="false">SUM(S163:T163)</f>
        <v>1</v>
      </c>
      <c r="Z163" s="3" t="n">
        <f aca="false">SUM(U163:W163)</f>
        <v>0</v>
      </c>
      <c r="AA163" s="3" t="n">
        <f aca="false">SUM(S163:X163)</f>
        <v>1</v>
      </c>
      <c r="AB163" s="11" t="n">
        <f aca="false">(AA163/(K163*L163)*25)*4</f>
        <v>4</v>
      </c>
    </row>
    <row r="164" customFormat="false" ht="14.25" hidden="false" customHeight="false" outlineLevel="0" collapsed="false">
      <c r="A164" s="1" t="n">
        <v>2009</v>
      </c>
      <c r="B164" s="7" t="s">
        <v>322</v>
      </c>
      <c r="C164" s="7" t="n">
        <v>3</v>
      </c>
      <c r="D164" s="7" t="s">
        <v>295</v>
      </c>
      <c r="E164" s="7" t="s">
        <v>295</v>
      </c>
      <c r="F164" s="7" t="s">
        <v>324</v>
      </c>
      <c r="G164" s="1" t="n">
        <v>2</v>
      </c>
      <c r="H164" s="1" t="n">
        <v>10</v>
      </c>
      <c r="I164" s="10" t="n">
        <v>40052</v>
      </c>
      <c r="J164" s="10" t="n">
        <v>40057</v>
      </c>
      <c r="K164" s="1" t="n">
        <v>5</v>
      </c>
      <c r="L164" s="1" t="n">
        <v>5</v>
      </c>
      <c r="M164" s="3" t="s">
        <v>48</v>
      </c>
      <c r="N164" s="3" t="s">
        <v>61</v>
      </c>
      <c r="O164" s="8" t="s">
        <v>82</v>
      </c>
      <c r="P164" s="2" t="str">
        <f aca="false">CONCATENATE(N164," ",O164)</f>
        <v>Trochosa terricola</v>
      </c>
      <c r="Q164" s="1" t="s">
        <v>30</v>
      </c>
      <c r="R164" s="1" t="s">
        <v>35</v>
      </c>
      <c r="S164" s="1" t="n">
        <v>0</v>
      </c>
      <c r="T164" s="1" t="n">
        <v>1</v>
      </c>
      <c r="U164" s="1" t="n">
        <v>0</v>
      </c>
      <c r="V164" s="1" t="n">
        <v>0</v>
      </c>
      <c r="W164" s="1" t="n">
        <v>0</v>
      </c>
      <c r="X164" s="1" t="n">
        <v>0</v>
      </c>
      <c r="Y164" s="3" t="n">
        <f aca="false">SUM(S164:T164)</f>
        <v>1</v>
      </c>
      <c r="Z164" s="3" t="n">
        <f aca="false">SUM(U164:W164)</f>
        <v>0</v>
      </c>
      <c r="AA164" s="3" t="n">
        <f aca="false">SUM(S164:X164)</f>
        <v>1</v>
      </c>
      <c r="AB164" s="11" t="n">
        <f aca="false">(AA164/(K164*L164)*25)*4</f>
        <v>4</v>
      </c>
    </row>
    <row r="165" customFormat="false" ht="14.25" hidden="false" customHeight="false" outlineLevel="0" collapsed="false">
      <c r="A165" s="1" t="n">
        <v>2009</v>
      </c>
      <c r="B165" s="7" t="s">
        <v>322</v>
      </c>
      <c r="C165" s="7" t="n">
        <v>3</v>
      </c>
      <c r="D165" s="7" t="s">
        <v>295</v>
      </c>
      <c r="E165" s="7" t="s">
        <v>295</v>
      </c>
      <c r="F165" s="7" t="s">
        <v>324</v>
      </c>
      <c r="G165" s="1" t="n">
        <v>3</v>
      </c>
      <c r="H165" s="1" t="n">
        <v>14</v>
      </c>
      <c r="I165" s="10" t="n">
        <v>40052</v>
      </c>
      <c r="J165" s="10" t="n">
        <v>40057</v>
      </c>
      <c r="K165" s="1" t="n">
        <v>5</v>
      </c>
      <c r="L165" s="1" t="n">
        <v>4</v>
      </c>
      <c r="M165" s="13" t="s">
        <v>32</v>
      </c>
      <c r="N165" s="13" t="s">
        <v>120</v>
      </c>
      <c r="O165" s="14" t="s">
        <v>121</v>
      </c>
      <c r="P165" s="2" t="str">
        <f aca="false">CONCATENATE(N165," ",O165)</f>
        <v>Drapetisca socialis</v>
      </c>
      <c r="Q165" s="1" t="s">
        <v>30</v>
      </c>
      <c r="R165" s="1" t="s">
        <v>35</v>
      </c>
      <c r="S165" s="1" t="n">
        <v>0</v>
      </c>
      <c r="T165" s="1" t="n">
        <v>1</v>
      </c>
      <c r="U165" s="1" t="n">
        <v>0</v>
      </c>
      <c r="V165" s="1" t="n">
        <v>0</v>
      </c>
      <c r="W165" s="1" t="n">
        <v>0</v>
      </c>
      <c r="X165" s="1" t="n">
        <v>0</v>
      </c>
      <c r="Y165" s="3" t="n">
        <f aca="false">SUM(S165:T165)</f>
        <v>1</v>
      </c>
      <c r="Z165" s="3" t="n">
        <f aca="false">SUM(U165:W165)</f>
        <v>0</v>
      </c>
      <c r="AA165" s="3" t="n">
        <f aca="false">SUM(S165:X165)</f>
        <v>1</v>
      </c>
      <c r="AB165" s="11" t="n">
        <f aca="false">(AA165/(K165*L165)*25)*4</f>
        <v>5</v>
      </c>
    </row>
    <row r="166" customFormat="false" ht="14.25" hidden="false" customHeight="false" outlineLevel="0" collapsed="false">
      <c r="A166" s="1" t="n">
        <v>2009</v>
      </c>
      <c r="B166" s="7" t="s">
        <v>322</v>
      </c>
      <c r="C166" s="7" t="n">
        <v>3</v>
      </c>
      <c r="D166" s="7" t="s">
        <v>295</v>
      </c>
      <c r="E166" s="7" t="s">
        <v>295</v>
      </c>
      <c r="F166" s="7" t="s">
        <v>324</v>
      </c>
      <c r="G166" s="1" t="n">
        <v>3</v>
      </c>
      <c r="H166" s="1" t="n">
        <v>12</v>
      </c>
      <c r="I166" s="10" t="n">
        <v>40052</v>
      </c>
      <c r="J166" s="10" t="n">
        <v>40057</v>
      </c>
      <c r="K166" s="1" t="n">
        <v>5</v>
      </c>
      <c r="L166" s="1" t="n">
        <v>4</v>
      </c>
      <c r="M166" s="3" t="s">
        <v>32</v>
      </c>
      <c r="N166" s="3" t="s">
        <v>33</v>
      </c>
      <c r="O166" s="8" t="s">
        <v>81</v>
      </c>
      <c r="P166" s="2" t="str">
        <f aca="false">CONCATENATE(N166," ",O166)</f>
        <v>Tenuiphantes mengei</v>
      </c>
      <c r="Q166" s="1" t="s">
        <v>30</v>
      </c>
      <c r="R166" s="1" t="s">
        <v>31</v>
      </c>
      <c r="S166" s="1" t="n">
        <v>1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3" t="n">
        <f aca="false">SUM(S166:T166)</f>
        <v>1</v>
      </c>
      <c r="Z166" s="3" t="n">
        <f aca="false">SUM(U166:W166)</f>
        <v>0</v>
      </c>
      <c r="AA166" s="3" t="n">
        <f aca="false">SUM(S166:X166)</f>
        <v>1</v>
      </c>
      <c r="AB166" s="11" t="n">
        <f aca="false">(AA166/(K166*L166)*25)*4</f>
        <v>5</v>
      </c>
    </row>
    <row r="167" customFormat="false" ht="14.25" hidden="false" customHeight="false" outlineLevel="0" collapsed="false">
      <c r="A167" s="1" t="n">
        <v>2009</v>
      </c>
      <c r="B167" s="7" t="s">
        <v>322</v>
      </c>
      <c r="C167" s="7" t="n">
        <v>3</v>
      </c>
      <c r="D167" s="7" t="s">
        <v>295</v>
      </c>
      <c r="E167" s="7" t="s">
        <v>295</v>
      </c>
      <c r="F167" s="7" t="s">
        <v>324</v>
      </c>
      <c r="G167" s="1" t="n">
        <v>1</v>
      </c>
      <c r="H167" s="1" t="n">
        <v>5</v>
      </c>
      <c r="I167" s="10" t="n">
        <v>40052</v>
      </c>
      <c r="J167" s="10" t="n">
        <v>40057</v>
      </c>
      <c r="K167" s="1" t="n">
        <v>5</v>
      </c>
      <c r="L167" s="1" t="n">
        <v>5</v>
      </c>
      <c r="M167" s="3" t="s">
        <v>124</v>
      </c>
      <c r="N167" s="3" t="s">
        <v>125</v>
      </c>
      <c r="O167" s="8" t="s">
        <v>126</v>
      </c>
      <c r="P167" s="2" t="str">
        <f aca="false">CONCATENATE(N167," ",O167)</f>
        <v>Hahnia ononidum</v>
      </c>
      <c r="Q167" s="1" t="s">
        <v>30</v>
      </c>
      <c r="R167" s="1" t="s">
        <v>31</v>
      </c>
      <c r="S167" s="1" t="n">
        <v>1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3" t="n">
        <f aca="false">SUM(S167:T167)</f>
        <v>1</v>
      </c>
      <c r="Z167" s="3" t="n">
        <f aca="false">SUM(U167:W167)</f>
        <v>0</v>
      </c>
      <c r="AA167" s="3" t="n">
        <f aca="false">SUM(S167:X167)</f>
        <v>1</v>
      </c>
      <c r="AB167" s="11" t="n">
        <f aca="false">(AA167/(K167*L167)*25)*4</f>
        <v>4</v>
      </c>
    </row>
    <row r="168" customFormat="false" ht="14.25" hidden="false" customHeight="false" outlineLevel="0" collapsed="false">
      <c r="A168" s="1" t="n">
        <v>2009</v>
      </c>
      <c r="B168" s="7" t="s">
        <v>322</v>
      </c>
      <c r="C168" s="7" t="n">
        <v>3</v>
      </c>
      <c r="D168" s="7" t="s">
        <v>295</v>
      </c>
      <c r="E168" s="7" t="s">
        <v>295</v>
      </c>
      <c r="F168" s="7" t="s">
        <v>336</v>
      </c>
      <c r="G168" s="1" t="n">
        <v>3</v>
      </c>
      <c r="H168" s="1" t="n">
        <v>15</v>
      </c>
      <c r="I168" s="10" t="n">
        <v>40051</v>
      </c>
      <c r="J168" s="10" t="n">
        <v>40056</v>
      </c>
      <c r="K168" s="1" t="n">
        <v>5</v>
      </c>
      <c r="L168" s="1" t="n">
        <v>5</v>
      </c>
      <c r="M168" s="3" t="s">
        <v>48</v>
      </c>
      <c r="N168" s="3" t="s">
        <v>67</v>
      </c>
      <c r="O168" s="8" t="s">
        <v>127</v>
      </c>
      <c r="P168" s="2" t="str">
        <f aca="false">CONCATENATE(N168," ",O168)</f>
        <v>Pardosa lugubris</v>
      </c>
      <c r="Q168" s="1" t="s">
        <v>30</v>
      </c>
      <c r="R168" s="1" t="s">
        <v>35</v>
      </c>
      <c r="S168" s="1" t="n">
        <v>0</v>
      </c>
      <c r="T168" s="1" t="n">
        <v>1</v>
      </c>
      <c r="U168" s="1" t="n">
        <v>0</v>
      </c>
      <c r="V168" s="1" t="n">
        <v>0</v>
      </c>
      <c r="W168" s="1" t="n">
        <v>0</v>
      </c>
      <c r="X168" s="1" t="n">
        <v>0</v>
      </c>
      <c r="Y168" s="3" t="n">
        <f aca="false">SUM(S168:T168)</f>
        <v>1</v>
      </c>
      <c r="Z168" s="3" t="n">
        <f aca="false">SUM(U168:W168)</f>
        <v>0</v>
      </c>
      <c r="AA168" s="3" t="n">
        <f aca="false">SUM(S168:X168)</f>
        <v>1</v>
      </c>
      <c r="AB168" s="11" t="n">
        <f aca="false">(AA168/(K168*L168)*25)*4</f>
        <v>4</v>
      </c>
    </row>
    <row r="169" customFormat="false" ht="14.25" hidden="false" customHeight="false" outlineLevel="0" collapsed="false">
      <c r="A169" s="1" t="n">
        <v>2009</v>
      </c>
      <c r="B169" s="7" t="s">
        <v>322</v>
      </c>
      <c r="C169" s="7" t="n">
        <v>3</v>
      </c>
      <c r="D169" s="7" t="s">
        <v>295</v>
      </c>
      <c r="E169" s="7" t="s">
        <v>295</v>
      </c>
      <c r="F169" s="7" t="s">
        <v>336</v>
      </c>
      <c r="G169" s="1" t="n">
        <v>3</v>
      </c>
      <c r="H169" s="1" t="n">
        <v>11</v>
      </c>
      <c r="I169" s="10" t="n">
        <v>40051</v>
      </c>
      <c r="J169" s="10" t="n">
        <v>40056</v>
      </c>
      <c r="K169" s="1" t="n">
        <v>5</v>
      </c>
      <c r="L169" s="1" t="n">
        <v>5</v>
      </c>
      <c r="M169" s="3" t="s">
        <v>72</v>
      </c>
      <c r="N169" s="3" t="s">
        <v>73</v>
      </c>
      <c r="O169" s="8" t="s">
        <v>74</v>
      </c>
      <c r="P169" s="2" t="str">
        <f aca="false">CONCATENATE(N169," ",O169)</f>
        <v>Zelotes subterraneus</v>
      </c>
      <c r="Q169" s="1" t="s">
        <v>30</v>
      </c>
      <c r="R169" s="1" t="s">
        <v>35</v>
      </c>
      <c r="S169" s="1" t="n">
        <v>0</v>
      </c>
      <c r="T169" s="1" t="n">
        <v>1</v>
      </c>
      <c r="U169" s="1" t="n">
        <v>0</v>
      </c>
      <c r="V169" s="1" t="n">
        <v>0</v>
      </c>
      <c r="W169" s="1" t="n">
        <v>0</v>
      </c>
      <c r="X169" s="1" t="n">
        <v>0</v>
      </c>
      <c r="Y169" s="3" t="n">
        <f aca="false">SUM(S169:T169)</f>
        <v>1</v>
      </c>
      <c r="Z169" s="3" t="n">
        <f aca="false">SUM(U169:W169)</f>
        <v>0</v>
      </c>
      <c r="AA169" s="3" t="n">
        <f aca="false">SUM(S169:X169)</f>
        <v>1</v>
      </c>
      <c r="AB169" s="11" t="n">
        <f aca="false">(AA169/(K169*L169)*25)*4</f>
        <v>4</v>
      </c>
    </row>
    <row r="170" customFormat="false" ht="14.25" hidden="false" customHeight="false" outlineLevel="0" collapsed="false">
      <c r="A170" s="1" t="n">
        <v>2009</v>
      </c>
      <c r="B170" s="7" t="s">
        <v>322</v>
      </c>
      <c r="C170" s="7" t="n">
        <v>3</v>
      </c>
      <c r="D170" s="7" t="s">
        <v>295</v>
      </c>
      <c r="E170" s="7" t="s">
        <v>295</v>
      </c>
      <c r="F170" s="7" t="s">
        <v>336</v>
      </c>
      <c r="G170" s="1" t="n">
        <v>2</v>
      </c>
      <c r="H170" s="1" t="n">
        <v>7</v>
      </c>
      <c r="I170" s="10" t="n">
        <v>40051</v>
      </c>
      <c r="J170" s="10" t="n">
        <v>40056</v>
      </c>
      <c r="K170" s="1" t="n">
        <v>5</v>
      </c>
      <c r="L170" s="1" t="n">
        <v>5</v>
      </c>
      <c r="M170" s="3" t="s">
        <v>72</v>
      </c>
      <c r="N170" s="3" t="s">
        <v>73</v>
      </c>
      <c r="O170" s="8" t="s">
        <v>74</v>
      </c>
      <c r="P170" s="2" t="str">
        <f aca="false">CONCATENATE(N170," ",O170)</f>
        <v>Zelotes subterraneus</v>
      </c>
      <c r="Q170" s="1" t="s">
        <v>30</v>
      </c>
      <c r="R170" s="1" t="s">
        <v>35</v>
      </c>
      <c r="S170" s="1" t="n">
        <v>0</v>
      </c>
      <c r="T170" s="1" t="n">
        <v>1</v>
      </c>
      <c r="U170" s="1" t="n">
        <v>0</v>
      </c>
      <c r="V170" s="1" t="n">
        <v>0</v>
      </c>
      <c r="W170" s="1" t="n">
        <v>0</v>
      </c>
      <c r="X170" s="1" t="n">
        <v>0</v>
      </c>
      <c r="Y170" s="3" t="n">
        <f aca="false">SUM(S170:T170)</f>
        <v>1</v>
      </c>
      <c r="Z170" s="3" t="n">
        <f aca="false">SUM(U170:W170)</f>
        <v>0</v>
      </c>
      <c r="AA170" s="3" t="n">
        <f aca="false">SUM(S170:X170)</f>
        <v>1</v>
      </c>
      <c r="AB170" s="11" t="n">
        <f aca="false">(AA170/(K170*L170)*25)*4</f>
        <v>4</v>
      </c>
    </row>
    <row r="171" customFormat="false" ht="14.25" hidden="false" customHeight="false" outlineLevel="0" collapsed="false">
      <c r="A171" s="1" t="n">
        <v>2009</v>
      </c>
      <c r="B171" s="7" t="s">
        <v>322</v>
      </c>
      <c r="C171" s="7" t="n">
        <v>3</v>
      </c>
      <c r="D171" s="7" t="s">
        <v>295</v>
      </c>
      <c r="E171" s="7" t="s">
        <v>295</v>
      </c>
      <c r="F171" s="7" t="s">
        <v>336</v>
      </c>
      <c r="G171" s="1" t="n">
        <v>2</v>
      </c>
      <c r="H171" s="1" t="n">
        <v>8</v>
      </c>
      <c r="I171" s="10" t="n">
        <v>40051</v>
      </c>
      <c r="J171" s="10" t="n">
        <v>40056</v>
      </c>
      <c r="K171" s="1" t="n">
        <v>5</v>
      </c>
      <c r="L171" s="1" t="n">
        <v>5</v>
      </c>
      <c r="M171" s="3" t="s">
        <v>48</v>
      </c>
      <c r="N171" s="3" t="s">
        <v>49</v>
      </c>
      <c r="O171" s="8" t="s">
        <v>104</v>
      </c>
      <c r="P171" s="2" t="str">
        <f aca="false">CONCATENATE(N171," ",O171)</f>
        <v>Alopecosa taeniata</v>
      </c>
      <c r="Q171" s="1" t="s">
        <v>30</v>
      </c>
      <c r="R171" s="1" t="s">
        <v>35</v>
      </c>
      <c r="S171" s="1" t="n">
        <v>0</v>
      </c>
      <c r="T171" s="1" t="n">
        <v>1</v>
      </c>
      <c r="U171" s="1" t="n">
        <v>0</v>
      </c>
      <c r="V171" s="1" t="n">
        <v>0</v>
      </c>
      <c r="W171" s="1" t="n">
        <v>0</v>
      </c>
      <c r="X171" s="1" t="n">
        <v>0</v>
      </c>
      <c r="Y171" s="3" t="n">
        <f aca="false">SUM(S171:T171)</f>
        <v>1</v>
      </c>
      <c r="Z171" s="3" t="n">
        <f aca="false">SUM(U171:W171)</f>
        <v>0</v>
      </c>
      <c r="AA171" s="3" t="n">
        <f aca="false">SUM(S171:X171)</f>
        <v>1</v>
      </c>
      <c r="AB171" s="11" t="n">
        <f aca="false">(AA171/(K171*L171)*25)*4</f>
        <v>4</v>
      </c>
    </row>
    <row r="172" customFormat="false" ht="14.25" hidden="false" customHeight="false" outlineLevel="0" collapsed="false">
      <c r="A172" s="1" t="n">
        <v>2009</v>
      </c>
      <c r="B172" s="7" t="s">
        <v>322</v>
      </c>
      <c r="C172" s="7" t="n">
        <v>3</v>
      </c>
      <c r="D172" s="7" t="s">
        <v>295</v>
      </c>
      <c r="E172" s="7" t="s">
        <v>295</v>
      </c>
      <c r="F172" s="7" t="s">
        <v>336</v>
      </c>
      <c r="G172" s="1" t="n">
        <v>2</v>
      </c>
      <c r="H172" s="1" t="n">
        <v>8</v>
      </c>
      <c r="I172" s="10" t="n">
        <v>40051</v>
      </c>
      <c r="J172" s="10" t="n">
        <v>40056</v>
      </c>
      <c r="K172" s="1" t="n">
        <v>5</v>
      </c>
      <c r="L172" s="1" t="n">
        <v>5</v>
      </c>
      <c r="M172" s="3" t="s">
        <v>48</v>
      </c>
      <c r="N172" s="3" t="s">
        <v>122</v>
      </c>
      <c r="O172" s="12" t="s">
        <v>123</v>
      </c>
      <c r="P172" s="2" t="str">
        <f aca="false">CONCATENATE(N172," ",O172)</f>
        <v>Xerolycosa nemoralis</v>
      </c>
      <c r="Q172" s="1" t="s">
        <v>30</v>
      </c>
      <c r="R172" s="1" t="s">
        <v>35</v>
      </c>
      <c r="S172" s="1" t="n">
        <v>0</v>
      </c>
      <c r="T172" s="1" t="n">
        <v>1</v>
      </c>
      <c r="U172" s="1" t="n">
        <v>0</v>
      </c>
      <c r="V172" s="1" t="n">
        <v>0</v>
      </c>
      <c r="W172" s="1" t="n">
        <v>0</v>
      </c>
      <c r="X172" s="1" t="n">
        <v>0</v>
      </c>
      <c r="Y172" s="3" t="n">
        <f aca="false">SUM(S172:T172)</f>
        <v>1</v>
      </c>
      <c r="Z172" s="3" t="n">
        <f aca="false">SUM(U172:W172)</f>
        <v>0</v>
      </c>
      <c r="AA172" s="3" t="n">
        <f aca="false">SUM(S172:X172)</f>
        <v>1</v>
      </c>
      <c r="AB172" s="11" t="n">
        <f aca="false">(AA172/(K172*L172)*25)*4</f>
        <v>4</v>
      </c>
    </row>
    <row r="173" customFormat="false" ht="14.25" hidden="false" customHeight="false" outlineLevel="0" collapsed="false">
      <c r="A173" s="1" t="n">
        <v>2009</v>
      </c>
      <c r="B173" s="7" t="s">
        <v>322</v>
      </c>
      <c r="C173" s="7" t="n">
        <v>3</v>
      </c>
      <c r="D173" s="7" t="s">
        <v>295</v>
      </c>
      <c r="E173" s="7" t="s">
        <v>295</v>
      </c>
      <c r="F173" s="7" t="s">
        <v>336</v>
      </c>
      <c r="G173" s="1" t="n">
        <v>2</v>
      </c>
      <c r="H173" s="1" t="n">
        <v>9</v>
      </c>
      <c r="I173" s="10" t="n">
        <v>40051</v>
      </c>
      <c r="J173" s="10" t="n">
        <v>40056</v>
      </c>
      <c r="K173" s="1" t="n">
        <v>5</v>
      </c>
      <c r="L173" s="1" t="n">
        <v>5</v>
      </c>
      <c r="M173" s="3" t="s">
        <v>48</v>
      </c>
      <c r="N173" s="3" t="s">
        <v>122</v>
      </c>
      <c r="O173" s="12" t="s">
        <v>123</v>
      </c>
      <c r="P173" s="2" t="str">
        <f aca="false">CONCATENATE(N173," ",O173)</f>
        <v>Xerolycosa nemoralis</v>
      </c>
      <c r="Q173" s="1" t="s">
        <v>30</v>
      </c>
      <c r="R173" s="1" t="s">
        <v>35</v>
      </c>
      <c r="S173" s="1" t="n">
        <v>0</v>
      </c>
      <c r="T173" s="1" t="n">
        <v>1</v>
      </c>
      <c r="U173" s="1" t="n">
        <v>0</v>
      </c>
      <c r="V173" s="1" t="n">
        <v>0</v>
      </c>
      <c r="W173" s="1" t="n">
        <v>0</v>
      </c>
      <c r="X173" s="1" t="n">
        <v>0</v>
      </c>
      <c r="Y173" s="3" t="n">
        <f aca="false">SUM(S173:T173)</f>
        <v>1</v>
      </c>
      <c r="Z173" s="3" t="n">
        <f aca="false">SUM(U173:W173)</f>
        <v>0</v>
      </c>
      <c r="AA173" s="3" t="n">
        <f aca="false">SUM(S173:X173)</f>
        <v>1</v>
      </c>
      <c r="AB173" s="11" t="n">
        <f aca="false">(AA173/(K173*L173)*25)*4</f>
        <v>4</v>
      </c>
    </row>
    <row r="174" customFormat="false" ht="14.25" hidden="false" customHeight="false" outlineLevel="0" collapsed="false">
      <c r="A174" s="1" t="n">
        <v>2009</v>
      </c>
      <c r="B174" s="7" t="s">
        <v>322</v>
      </c>
      <c r="C174" s="7" t="n">
        <v>3</v>
      </c>
      <c r="D174" s="7" t="s">
        <v>295</v>
      </c>
      <c r="E174" s="7" t="s">
        <v>295</v>
      </c>
      <c r="F174" s="7" t="s">
        <v>336</v>
      </c>
      <c r="G174" s="1" t="n">
        <v>1</v>
      </c>
      <c r="H174" s="1" t="n">
        <v>4</v>
      </c>
      <c r="I174" s="10" t="n">
        <v>40051</v>
      </c>
      <c r="J174" s="10" t="n">
        <v>40056</v>
      </c>
      <c r="K174" s="1" t="n">
        <v>5</v>
      </c>
      <c r="L174" s="1" t="n">
        <v>5</v>
      </c>
      <c r="M174" s="3" t="s">
        <v>32</v>
      </c>
      <c r="N174" s="3" t="s">
        <v>33</v>
      </c>
      <c r="O174" s="8" t="s">
        <v>81</v>
      </c>
      <c r="P174" s="2" t="str">
        <f aca="false">CONCATENATE(N174," ",O174)</f>
        <v>Tenuiphantes mengei</v>
      </c>
      <c r="Q174" s="1" t="s">
        <v>30</v>
      </c>
      <c r="R174" s="1" t="s">
        <v>31</v>
      </c>
      <c r="S174" s="1" t="n">
        <v>1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3" t="n">
        <f aca="false">SUM(S174:T174)</f>
        <v>1</v>
      </c>
      <c r="Z174" s="3" t="n">
        <f aca="false">SUM(U174:W174)</f>
        <v>0</v>
      </c>
      <c r="AA174" s="3" t="n">
        <f aca="false">SUM(S174:X174)</f>
        <v>1</v>
      </c>
      <c r="AB174" s="11" t="n">
        <f aca="false">(AA174/(K174*L174)*25)*4</f>
        <v>4</v>
      </c>
    </row>
    <row r="175" customFormat="false" ht="14.25" hidden="false" customHeight="false" outlineLevel="0" collapsed="false">
      <c r="A175" s="1" t="n">
        <v>2009</v>
      </c>
      <c r="B175" s="7" t="s">
        <v>322</v>
      </c>
      <c r="C175" s="7" t="n">
        <v>3</v>
      </c>
      <c r="D175" s="7" t="s">
        <v>295</v>
      </c>
      <c r="E175" s="7" t="s">
        <v>295</v>
      </c>
      <c r="F175" s="7" t="s">
        <v>336</v>
      </c>
      <c r="G175" s="1" t="n">
        <v>1</v>
      </c>
      <c r="H175" s="1" t="n">
        <v>4</v>
      </c>
      <c r="I175" s="10" t="n">
        <v>40051</v>
      </c>
      <c r="J175" s="10" t="n">
        <v>40056</v>
      </c>
      <c r="K175" s="1" t="n">
        <v>5</v>
      </c>
      <c r="L175" s="1" t="n">
        <v>5</v>
      </c>
      <c r="M175" s="3" t="s">
        <v>32</v>
      </c>
      <c r="N175" s="3" t="s">
        <v>33</v>
      </c>
      <c r="O175" s="8" t="s">
        <v>81</v>
      </c>
      <c r="P175" s="2" t="str">
        <f aca="false">CONCATENATE(N175," ",O175)</f>
        <v>Tenuiphantes mengei</v>
      </c>
      <c r="Q175" s="1" t="s">
        <v>30</v>
      </c>
      <c r="R175" s="1" t="s">
        <v>35</v>
      </c>
      <c r="S175" s="1" t="n">
        <v>0</v>
      </c>
      <c r="T175" s="1" t="n">
        <v>1</v>
      </c>
      <c r="U175" s="1" t="n">
        <v>0</v>
      </c>
      <c r="V175" s="1" t="n">
        <v>0</v>
      </c>
      <c r="W175" s="1" t="n">
        <v>0</v>
      </c>
      <c r="X175" s="1" t="n">
        <v>0</v>
      </c>
      <c r="Y175" s="3" t="n">
        <f aca="false">SUM(S175:T175)</f>
        <v>1</v>
      </c>
      <c r="Z175" s="3" t="n">
        <f aca="false">SUM(U175:W175)</f>
        <v>0</v>
      </c>
      <c r="AA175" s="3" t="n">
        <f aca="false">SUM(S175:X175)</f>
        <v>1</v>
      </c>
      <c r="AB175" s="11" t="n">
        <f aca="false">(AA175/(K175*L175)*25)*4</f>
        <v>4</v>
      </c>
    </row>
    <row r="176" customFormat="false" ht="14.25" hidden="false" customHeight="false" outlineLevel="0" collapsed="false">
      <c r="A176" s="1" t="n">
        <v>2009</v>
      </c>
      <c r="B176" s="7" t="s">
        <v>322</v>
      </c>
      <c r="C176" s="7" t="n">
        <v>3</v>
      </c>
      <c r="D176" s="7" t="s">
        <v>295</v>
      </c>
      <c r="E176" s="7" t="s">
        <v>295</v>
      </c>
      <c r="F176" s="7" t="s">
        <v>336</v>
      </c>
      <c r="G176" s="1" t="n">
        <v>1</v>
      </c>
      <c r="H176" s="1" t="n">
        <v>4</v>
      </c>
      <c r="I176" s="10" t="n">
        <v>40051</v>
      </c>
      <c r="J176" s="10" t="n">
        <v>40056</v>
      </c>
      <c r="K176" s="1" t="n">
        <v>5</v>
      </c>
      <c r="L176" s="1" t="n">
        <v>5</v>
      </c>
      <c r="M176" s="3" t="s">
        <v>32</v>
      </c>
      <c r="N176" s="3" t="s">
        <v>128</v>
      </c>
      <c r="O176" s="3" t="s">
        <v>129</v>
      </c>
      <c r="P176" s="2" t="str">
        <f aca="false">CONCATENATE(N176," ",O176)</f>
        <v>Megalepthyphantes pseudocollinus</v>
      </c>
      <c r="Q176" s="1" t="s">
        <v>30</v>
      </c>
      <c r="R176" s="1" t="s">
        <v>31</v>
      </c>
      <c r="S176" s="1" t="n">
        <v>1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3" t="n">
        <f aca="false">SUM(S176:T176)</f>
        <v>1</v>
      </c>
      <c r="Z176" s="3" t="n">
        <f aca="false">SUM(U176:W176)</f>
        <v>0</v>
      </c>
      <c r="AA176" s="3" t="n">
        <f aca="false">SUM(S176:X176)</f>
        <v>1</v>
      </c>
      <c r="AB176" s="11" t="n">
        <f aca="false">(AA176/(K176*L176)*25)*4</f>
        <v>4</v>
      </c>
    </row>
    <row r="177" customFormat="false" ht="14.25" hidden="false" customHeight="false" outlineLevel="0" collapsed="false">
      <c r="A177" s="1" t="n">
        <v>2009</v>
      </c>
      <c r="B177" s="7" t="s">
        <v>322</v>
      </c>
      <c r="C177" s="7" t="n">
        <v>3</v>
      </c>
      <c r="D177" s="7" t="s">
        <v>295</v>
      </c>
      <c r="E177" s="7" t="s">
        <v>295</v>
      </c>
      <c r="F177" s="7" t="s">
        <v>336</v>
      </c>
      <c r="G177" s="1" t="n">
        <v>1</v>
      </c>
      <c r="H177" s="1" t="n">
        <v>2</v>
      </c>
      <c r="I177" s="10" t="n">
        <v>40051</v>
      </c>
      <c r="J177" s="10" t="n">
        <v>40056</v>
      </c>
      <c r="K177" s="1" t="n">
        <v>5</v>
      </c>
      <c r="L177" s="1" t="n">
        <v>5</v>
      </c>
      <c r="M177" s="3" t="s">
        <v>72</v>
      </c>
      <c r="N177" s="3" t="s">
        <v>73</v>
      </c>
      <c r="O177" s="8" t="s">
        <v>74</v>
      </c>
      <c r="P177" s="2" t="str">
        <f aca="false">CONCATENATE(N177," ",O177)</f>
        <v>Zelotes subterraneus</v>
      </c>
      <c r="Q177" s="1" t="s">
        <v>30</v>
      </c>
      <c r="R177" s="1" t="s">
        <v>31</v>
      </c>
      <c r="S177" s="1" t="n">
        <v>1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3" t="n">
        <f aca="false">SUM(S177:T177)</f>
        <v>1</v>
      </c>
      <c r="Z177" s="3" t="n">
        <f aca="false">SUM(U177:W177)</f>
        <v>0</v>
      </c>
      <c r="AA177" s="3" t="n">
        <f aca="false">SUM(S177:X177)</f>
        <v>1</v>
      </c>
      <c r="AB177" s="11" t="n">
        <f aca="false">(AA177/(K177*L177)*25)*4</f>
        <v>4</v>
      </c>
    </row>
    <row r="178" customFormat="false" ht="14.25" hidden="false" customHeight="false" outlineLevel="0" collapsed="false">
      <c r="A178" s="1" t="n">
        <v>2009</v>
      </c>
      <c r="B178" s="7" t="s">
        <v>322</v>
      </c>
      <c r="C178" s="7" t="n">
        <v>2</v>
      </c>
      <c r="D178" s="7" t="s">
        <v>295</v>
      </c>
      <c r="E178" s="7" t="s">
        <v>295</v>
      </c>
      <c r="F178" s="7" t="s">
        <v>324</v>
      </c>
      <c r="G178" s="1" t="n">
        <v>2</v>
      </c>
      <c r="H178" s="1" t="n">
        <v>7</v>
      </c>
      <c r="I178" s="10" t="n">
        <v>39970</v>
      </c>
      <c r="J178" s="10" t="n">
        <v>39975</v>
      </c>
      <c r="K178" s="1" t="n">
        <v>5</v>
      </c>
      <c r="L178" s="1" t="n">
        <v>5</v>
      </c>
      <c r="M178" s="3" t="s">
        <v>48</v>
      </c>
      <c r="N178" s="3" t="s">
        <v>49</v>
      </c>
      <c r="O178" s="8" t="s">
        <v>130</v>
      </c>
      <c r="P178" s="2" t="str">
        <f aca="false">CONCATENATE(N178," ",O178)</f>
        <v>Alopecosa aculeata</v>
      </c>
      <c r="Q178" s="1" t="s">
        <v>30</v>
      </c>
      <c r="R178" s="1" t="s">
        <v>31</v>
      </c>
      <c r="S178" s="1" t="n">
        <v>3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3" t="n">
        <f aca="false">SUM(S178:T178)</f>
        <v>3</v>
      </c>
      <c r="Z178" s="3" t="n">
        <f aca="false">SUM(U178:W178)</f>
        <v>0</v>
      </c>
      <c r="AA178" s="3" t="n">
        <f aca="false">SUM(S178:X178)</f>
        <v>3</v>
      </c>
      <c r="AB178" s="11" t="n">
        <f aca="false">(AA178/(K178*L178)*25)*4</f>
        <v>12</v>
      </c>
    </row>
    <row r="179" customFormat="false" ht="14.25" hidden="false" customHeight="false" outlineLevel="0" collapsed="false">
      <c r="A179" s="1" t="n">
        <v>2009</v>
      </c>
      <c r="B179" s="7" t="s">
        <v>322</v>
      </c>
      <c r="C179" s="7" t="n">
        <v>2</v>
      </c>
      <c r="D179" s="7" t="s">
        <v>295</v>
      </c>
      <c r="E179" s="7" t="s">
        <v>295</v>
      </c>
      <c r="F179" s="7" t="s">
        <v>324</v>
      </c>
      <c r="G179" s="1" t="n">
        <v>2</v>
      </c>
      <c r="H179" s="1" t="n">
        <v>7</v>
      </c>
      <c r="I179" s="10" t="n">
        <v>39970</v>
      </c>
      <c r="J179" s="10" t="n">
        <v>39975</v>
      </c>
      <c r="K179" s="1" t="n">
        <v>5</v>
      </c>
      <c r="L179" s="1" t="n">
        <v>5</v>
      </c>
      <c r="M179" s="3" t="s">
        <v>48</v>
      </c>
      <c r="N179" s="3" t="s">
        <v>49</v>
      </c>
      <c r="O179" s="12" t="s">
        <v>119</v>
      </c>
      <c r="P179" s="2" t="str">
        <f aca="false">CONCATENATE(N179," ",O179)</f>
        <v>Alopecosa sulzeri</v>
      </c>
      <c r="Q179" s="1" t="s">
        <v>30</v>
      </c>
      <c r="R179" s="1" t="s">
        <v>31</v>
      </c>
      <c r="S179" s="1" t="n">
        <v>2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3" t="n">
        <f aca="false">SUM(S179:T179)</f>
        <v>2</v>
      </c>
      <c r="Z179" s="3" t="n">
        <f aca="false">SUM(U179:W179)</f>
        <v>0</v>
      </c>
      <c r="AA179" s="3" t="n">
        <f aca="false">SUM(S179:X179)</f>
        <v>2</v>
      </c>
      <c r="AB179" s="11" t="n">
        <f aca="false">(AA179/(K179*L179)*25)*4</f>
        <v>8</v>
      </c>
    </row>
    <row r="180" customFormat="false" ht="14.25" hidden="false" customHeight="false" outlineLevel="0" collapsed="false">
      <c r="A180" s="1" t="n">
        <v>2009</v>
      </c>
      <c r="B180" s="7" t="s">
        <v>322</v>
      </c>
      <c r="C180" s="7" t="n">
        <v>2</v>
      </c>
      <c r="D180" s="7" t="s">
        <v>295</v>
      </c>
      <c r="E180" s="7" t="s">
        <v>295</v>
      </c>
      <c r="F180" s="7" t="s">
        <v>324</v>
      </c>
      <c r="G180" s="1" t="n">
        <v>2</v>
      </c>
      <c r="H180" s="1" t="n">
        <v>7</v>
      </c>
      <c r="I180" s="10" t="n">
        <v>39970</v>
      </c>
      <c r="J180" s="10" t="n">
        <v>39975</v>
      </c>
      <c r="K180" s="1" t="n">
        <v>5</v>
      </c>
      <c r="L180" s="1" t="n">
        <v>5</v>
      </c>
      <c r="M180" s="3" t="s">
        <v>48</v>
      </c>
      <c r="N180" s="3" t="s">
        <v>49</v>
      </c>
      <c r="O180" s="12" t="s">
        <v>119</v>
      </c>
      <c r="P180" s="2" t="str">
        <f aca="false">CONCATENATE(N180," ",O180)</f>
        <v>Alopecosa sulzeri</v>
      </c>
      <c r="Q180" s="1" t="s">
        <v>30</v>
      </c>
      <c r="R180" s="1" t="s">
        <v>35</v>
      </c>
      <c r="S180" s="1" t="n">
        <v>0</v>
      </c>
      <c r="T180" s="1" t="n">
        <v>1</v>
      </c>
      <c r="U180" s="1" t="n">
        <v>0</v>
      </c>
      <c r="V180" s="1" t="n">
        <v>0</v>
      </c>
      <c r="W180" s="1" t="n">
        <v>0</v>
      </c>
      <c r="X180" s="1" t="n">
        <v>0</v>
      </c>
      <c r="Y180" s="3" t="n">
        <f aca="false">SUM(S180:T180)</f>
        <v>1</v>
      </c>
      <c r="Z180" s="3" t="n">
        <f aca="false">SUM(U180:W180)</f>
        <v>0</v>
      </c>
      <c r="AA180" s="3" t="n">
        <f aca="false">SUM(S180:X180)</f>
        <v>1</v>
      </c>
      <c r="AB180" s="11" t="n">
        <f aca="false">(AA180/(K180*L180)*25)*4</f>
        <v>4</v>
      </c>
    </row>
    <row r="181" customFormat="false" ht="14.25" hidden="false" customHeight="false" outlineLevel="0" collapsed="false">
      <c r="A181" s="1" t="n">
        <v>2009</v>
      </c>
      <c r="B181" s="7" t="s">
        <v>322</v>
      </c>
      <c r="C181" s="7" t="n">
        <v>2</v>
      </c>
      <c r="D181" s="7" t="s">
        <v>295</v>
      </c>
      <c r="E181" s="7" t="s">
        <v>295</v>
      </c>
      <c r="F181" s="7" t="s">
        <v>324</v>
      </c>
      <c r="G181" s="1" t="n">
        <v>2</v>
      </c>
      <c r="H181" s="1" t="n">
        <v>7</v>
      </c>
      <c r="I181" s="10" t="n">
        <v>39970</v>
      </c>
      <c r="J181" s="10" t="n">
        <v>39975</v>
      </c>
      <c r="K181" s="1" t="n">
        <v>5</v>
      </c>
      <c r="L181" s="1" t="n">
        <v>5</v>
      </c>
      <c r="M181" s="3" t="s">
        <v>36</v>
      </c>
      <c r="N181" s="3" t="s">
        <v>131</v>
      </c>
      <c r="O181" s="12" t="s">
        <v>132</v>
      </c>
      <c r="P181" s="2" t="str">
        <f aca="false">CONCATENATE(N181," ",O181)</f>
        <v>Xysticus lanio</v>
      </c>
      <c r="Q181" s="1" t="s">
        <v>30</v>
      </c>
      <c r="R181" s="1" t="s">
        <v>31</v>
      </c>
      <c r="S181" s="1" t="n">
        <v>1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3" t="n">
        <f aca="false">SUM(S181:T181)</f>
        <v>1</v>
      </c>
      <c r="Z181" s="3" t="n">
        <f aca="false">SUM(U181:W181)</f>
        <v>0</v>
      </c>
      <c r="AA181" s="3" t="n">
        <f aca="false">SUM(S181:X181)</f>
        <v>1</v>
      </c>
      <c r="AB181" s="11" t="n">
        <f aca="false">(AA181/(K181*L181)*25)*4</f>
        <v>4</v>
      </c>
    </row>
    <row r="182" customFormat="false" ht="14.25" hidden="false" customHeight="false" outlineLevel="0" collapsed="false">
      <c r="A182" s="1" t="n">
        <v>2009</v>
      </c>
      <c r="B182" s="7" t="s">
        <v>322</v>
      </c>
      <c r="C182" s="7" t="n">
        <v>2</v>
      </c>
      <c r="D182" s="7" t="s">
        <v>295</v>
      </c>
      <c r="E182" s="7" t="s">
        <v>295</v>
      </c>
      <c r="F182" s="7" t="s">
        <v>324</v>
      </c>
      <c r="G182" s="1" t="n">
        <v>2</v>
      </c>
      <c r="H182" s="1" t="n">
        <v>7</v>
      </c>
      <c r="I182" s="10" t="n">
        <v>39970</v>
      </c>
      <c r="J182" s="10" t="n">
        <v>39975</v>
      </c>
      <c r="K182" s="1" t="n">
        <v>5</v>
      </c>
      <c r="L182" s="1" t="n">
        <v>5</v>
      </c>
      <c r="M182" s="3" t="s">
        <v>36</v>
      </c>
      <c r="N182" s="3" t="s">
        <v>131</v>
      </c>
      <c r="O182" s="12" t="s">
        <v>133</v>
      </c>
      <c r="P182" s="2" t="str">
        <f aca="false">CONCATENATE(N182," ",O182)</f>
        <v>Xysticus luctuosus</v>
      </c>
      <c r="Q182" s="1" t="s">
        <v>30</v>
      </c>
      <c r="R182" s="1" t="s">
        <v>31</v>
      </c>
      <c r="S182" s="1" t="n">
        <v>2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3" t="n">
        <f aca="false">SUM(S182:T182)</f>
        <v>2</v>
      </c>
      <c r="Z182" s="3" t="n">
        <f aca="false">SUM(U182:W182)</f>
        <v>0</v>
      </c>
      <c r="AA182" s="3" t="n">
        <f aca="false">SUM(S182:X182)</f>
        <v>2</v>
      </c>
      <c r="AB182" s="11" t="n">
        <f aca="false">(AA182/(K182*L182)*25)*4</f>
        <v>8</v>
      </c>
    </row>
    <row r="183" customFormat="false" ht="14.25" hidden="false" customHeight="false" outlineLevel="0" collapsed="false">
      <c r="A183" s="1" t="n">
        <v>2009</v>
      </c>
      <c r="B183" s="7" t="s">
        <v>322</v>
      </c>
      <c r="C183" s="7" t="n">
        <v>2</v>
      </c>
      <c r="D183" s="7" t="s">
        <v>295</v>
      </c>
      <c r="E183" s="7" t="s">
        <v>295</v>
      </c>
      <c r="F183" s="7" t="s">
        <v>324</v>
      </c>
      <c r="G183" s="1" t="n">
        <v>2</v>
      </c>
      <c r="H183" s="1" t="n">
        <v>7</v>
      </c>
      <c r="I183" s="10" t="n">
        <v>39970</v>
      </c>
      <c r="J183" s="10" t="n">
        <v>39975</v>
      </c>
      <c r="K183" s="1" t="n">
        <v>5</v>
      </c>
      <c r="L183" s="1" t="n">
        <v>5</v>
      </c>
      <c r="M183" s="3" t="s">
        <v>72</v>
      </c>
      <c r="N183" s="3" t="s">
        <v>86</v>
      </c>
      <c r="O183" s="12" t="s">
        <v>134</v>
      </c>
      <c r="P183" s="2" t="str">
        <f aca="false">CONCATENATE(N183," ",O183)</f>
        <v>Haplodrassus umbratilis</v>
      </c>
      <c r="Q183" s="1" t="s">
        <v>30</v>
      </c>
      <c r="R183" s="1" t="s">
        <v>31</v>
      </c>
      <c r="S183" s="1" t="n">
        <v>1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3" t="n">
        <f aca="false">SUM(S183:T183)</f>
        <v>1</v>
      </c>
      <c r="Z183" s="3" t="n">
        <f aca="false">SUM(U183:W183)</f>
        <v>0</v>
      </c>
      <c r="AA183" s="3" t="n">
        <f aca="false">SUM(S183:X183)</f>
        <v>1</v>
      </c>
      <c r="AB183" s="11" t="n">
        <f aca="false">(AA183/(K183*L183)*25)*4</f>
        <v>4</v>
      </c>
    </row>
    <row r="184" customFormat="false" ht="14.25" hidden="false" customHeight="false" outlineLevel="0" collapsed="false">
      <c r="A184" s="1" t="n">
        <v>2009</v>
      </c>
      <c r="B184" s="7" t="s">
        <v>322</v>
      </c>
      <c r="C184" s="7" t="n">
        <v>2</v>
      </c>
      <c r="D184" s="7" t="s">
        <v>295</v>
      </c>
      <c r="E184" s="7" t="s">
        <v>295</v>
      </c>
      <c r="F184" s="7" t="s">
        <v>324</v>
      </c>
      <c r="G184" s="1" t="n">
        <v>2</v>
      </c>
      <c r="H184" s="1" t="n">
        <v>7</v>
      </c>
      <c r="I184" s="10" t="n">
        <v>39970</v>
      </c>
      <c r="J184" s="10" t="n">
        <v>39975</v>
      </c>
      <c r="K184" s="1" t="n">
        <v>5</v>
      </c>
      <c r="L184" s="1" t="n">
        <v>5</v>
      </c>
      <c r="M184" s="3" t="s">
        <v>48</v>
      </c>
      <c r="N184" s="3" t="s">
        <v>122</v>
      </c>
      <c r="O184" s="12" t="s">
        <v>123</v>
      </c>
      <c r="P184" s="2" t="str">
        <f aca="false">CONCATENATE(N184," ",O184)</f>
        <v>Xerolycosa nemoralis</v>
      </c>
      <c r="Q184" s="1" t="s">
        <v>30</v>
      </c>
      <c r="R184" s="1" t="s">
        <v>31</v>
      </c>
      <c r="S184" s="1" t="n">
        <v>4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3" t="n">
        <f aca="false">SUM(S184:T184)</f>
        <v>4</v>
      </c>
      <c r="Z184" s="3" t="n">
        <f aca="false">SUM(U184:W184)</f>
        <v>0</v>
      </c>
      <c r="AA184" s="3" t="n">
        <f aca="false">SUM(S184:X184)</f>
        <v>4</v>
      </c>
      <c r="AB184" s="11" t="n">
        <f aca="false">(AA184/(K184*L184)*25)*4</f>
        <v>16</v>
      </c>
    </row>
    <row r="185" customFormat="false" ht="14.25" hidden="false" customHeight="false" outlineLevel="0" collapsed="false">
      <c r="A185" s="1" t="n">
        <v>2009</v>
      </c>
      <c r="B185" s="7" t="s">
        <v>322</v>
      </c>
      <c r="C185" s="7" t="n">
        <v>2</v>
      </c>
      <c r="D185" s="7" t="s">
        <v>295</v>
      </c>
      <c r="E185" s="7" t="s">
        <v>295</v>
      </c>
      <c r="F185" s="7" t="s">
        <v>324</v>
      </c>
      <c r="G185" s="1" t="n">
        <v>2</v>
      </c>
      <c r="H185" s="1" t="n">
        <v>7</v>
      </c>
      <c r="I185" s="10" t="n">
        <v>39970</v>
      </c>
      <c r="J185" s="10" t="n">
        <v>39975</v>
      </c>
      <c r="K185" s="1" t="n">
        <v>5</v>
      </c>
      <c r="L185" s="1" t="n">
        <v>5</v>
      </c>
      <c r="M185" s="3" t="s">
        <v>48</v>
      </c>
      <c r="N185" s="3" t="s">
        <v>122</v>
      </c>
      <c r="O185" s="12" t="s">
        <v>123</v>
      </c>
      <c r="P185" s="2" t="str">
        <f aca="false">CONCATENATE(N185," ",O185)</f>
        <v>Xerolycosa nemoralis</v>
      </c>
      <c r="Q185" s="1" t="s">
        <v>30</v>
      </c>
      <c r="R185" s="1" t="s">
        <v>35</v>
      </c>
      <c r="S185" s="1" t="n">
        <v>0</v>
      </c>
      <c r="T185" s="1" t="n">
        <v>1</v>
      </c>
      <c r="U185" s="1" t="n">
        <v>0</v>
      </c>
      <c r="V185" s="1" t="n">
        <v>0</v>
      </c>
      <c r="W185" s="1" t="n">
        <v>0</v>
      </c>
      <c r="X185" s="1" t="n">
        <v>0</v>
      </c>
      <c r="Y185" s="3" t="n">
        <f aca="false">SUM(S185:T185)</f>
        <v>1</v>
      </c>
      <c r="Z185" s="3" t="n">
        <f aca="false">SUM(U185:W185)</f>
        <v>0</v>
      </c>
      <c r="AA185" s="3" t="n">
        <f aca="false">SUM(S185:X185)</f>
        <v>1</v>
      </c>
      <c r="AB185" s="11" t="n">
        <f aca="false">(AA185/(K185*L185)*25)*4</f>
        <v>4</v>
      </c>
    </row>
    <row r="186" customFormat="false" ht="14.25" hidden="false" customHeight="false" outlineLevel="0" collapsed="false">
      <c r="A186" s="1" t="n">
        <v>2009</v>
      </c>
      <c r="B186" s="7" t="s">
        <v>322</v>
      </c>
      <c r="C186" s="7" t="n">
        <v>2</v>
      </c>
      <c r="D186" s="7" t="s">
        <v>295</v>
      </c>
      <c r="E186" s="7" t="s">
        <v>295</v>
      </c>
      <c r="F186" s="7" t="s">
        <v>324</v>
      </c>
      <c r="G186" s="1" t="n">
        <v>2</v>
      </c>
      <c r="H186" s="1" t="n">
        <v>7</v>
      </c>
      <c r="I186" s="10" t="n">
        <v>39970</v>
      </c>
      <c r="J186" s="10" t="n">
        <v>39975</v>
      </c>
      <c r="K186" s="1" t="n">
        <v>5</v>
      </c>
      <c r="L186" s="1" t="n">
        <v>5</v>
      </c>
      <c r="M186" s="3" t="s">
        <v>48</v>
      </c>
      <c r="N186" s="3" t="s">
        <v>67</v>
      </c>
      <c r="O186" s="12" t="s">
        <v>127</v>
      </c>
      <c r="P186" s="2" t="str">
        <f aca="false">CONCATENATE(N186," ",O186)</f>
        <v>Pardosa lugubris</v>
      </c>
      <c r="Q186" s="1" t="s">
        <v>30</v>
      </c>
      <c r="R186" s="1" t="s">
        <v>31</v>
      </c>
      <c r="S186" s="1" t="n">
        <v>2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3" t="n">
        <f aca="false">SUM(S186:T186)</f>
        <v>2</v>
      </c>
      <c r="Z186" s="3" t="n">
        <f aca="false">SUM(U186:W186)</f>
        <v>0</v>
      </c>
      <c r="AA186" s="3" t="n">
        <f aca="false">SUM(S186:X186)</f>
        <v>2</v>
      </c>
      <c r="AB186" s="11" t="n">
        <f aca="false">(AA186/(K186*L186)*25)*4</f>
        <v>8</v>
      </c>
    </row>
    <row r="187" customFormat="false" ht="14.25" hidden="false" customHeight="false" outlineLevel="0" collapsed="false">
      <c r="A187" s="1" t="n">
        <v>2009</v>
      </c>
      <c r="B187" s="7" t="s">
        <v>322</v>
      </c>
      <c r="C187" s="7" t="n">
        <v>2</v>
      </c>
      <c r="D187" s="7" t="s">
        <v>295</v>
      </c>
      <c r="E187" s="7" t="s">
        <v>295</v>
      </c>
      <c r="F187" s="7" t="s">
        <v>324</v>
      </c>
      <c r="G187" s="1" t="n">
        <v>2</v>
      </c>
      <c r="H187" s="1" t="n">
        <v>9</v>
      </c>
      <c r="I187" s="10" t="n">
        <v>39970</v>
      </c>
      <c r="J187" s="10" t="n">
        <v>39975</v>
      </c>
      <c r="K187" s="1" t="n">
        <v>5</v>
      </c>
      <c r="L187" s="1" t="n">
        <v>5</v>
      </c>
      <c r="M187" s="3" t="s">
        <v>48</v>
      </c>
      <c r="N187" s="3" t="s">
        <v>49</v>
      </c>
      <c r="O187" s="8" t="s">
        <v>130</v>
      </c>
      <c r="P187" s="2" t="str">
        <f aca="false">CONCATENATE(N187," ",O187)</f>
        <v>Alopecosa aculeata</v>
      </c>
      <c r="Q187" s="1" t="s">
        <v>30</v>
      </c>
      <c r="R187" s="1" t="s">
        <v>31</v>
      </c>
      <c r="S187" s="1" t="n">
        <v>9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3" t="n">
        <f aca="false">SUM(S187:T187)</f>
        <v>9</v>
      </c>
      <c r="Z187" s="3" t="n">
        <f aca="false">SUM(U187:W187)</f>
        <v>0</v>
      </c>
      <c r="AA187" s="3" t="n">
        <f aca="false">SUM(S187:X187)</f>
        <v>9</v>
      </c>
      <c r="AB187" s="11" t="n">
        <f aca="false">(AA187/(K187*L187)*25)*4</f>
        <v>36</v>
      </c>
    </row>
    <row r="188" customFormat="false" ht="14.25" hidden="false" customHeight="false" outlineLevel="0" collapsed="false">
      <c r="A188" s="1" t="n">
        <v>2009</v>
      </c>
      <c r="B188" s="7" t="s">
        <v>322</v>
      </c>
      <c r="C188" s="7" t="n">
        <v>2</v>
      </c>
      <c r="D188" s="7" t="s">
        <v>295</v>
      </c>
      <c r="E188" s="7" t="s">
        <v>295</v>
      </c>
      <c r="F188" s="7" t="s">
        <v>324</v>
      </c>
      <c r="G188" s="1" t="n">
        <v>2</v>
      </c>
      <c r="H188" s="1" t="n">
        <v>9</v>
      </c>
      <c r="I188" s="10" t="n">
        <v>39970</v>
      </c>
      <c r="J188" s="10" t="n">
        <v>39975</v>
      </c>
      <c r="K188" s="1" t="n">
        <v>5</v>
      </c>
      <c r="L188" s="1" t="n">
        <v>5</v>
      </c>
      <c r="M188" s="3" t="s">
        <v>48</v>
      </c>
      <c r="N188" s="3" t="s">
        <v>49</v>
      </c>
      <c r="O188" s="8" t="s">
        <v>130</v>
      </c>
      <c r="P188" s="2" t="str">
        <f aca="false">CONCATENATE(N188," ",O188)</f>
        <v>Alopecosa aculeata</v>
      </c>
      <c r="Q188" s="1" t="s">
        <v>30</v>
      </c>
      <c r="R188" s="1" t="s">
        <v>35</v>
      </c>
      <c r="S188" s="1" t="n">
        <v>0</v>
      </c>
      <c r="T188" s="1" t="n">
        <v>4</v>
      </c>
      <c r="U188" s="1" t="n">
        <v>0</v>
      </c>
      <c r="V188" s="1" t="n">
        <v>0</v>
      </c>
      <c r="W188" s="1" t="n">
        <v>0</v>
      </c>
      <c r="X188" s="1" t="n">
        <v>0</v>
      </c>
      <c r="Y188" s="3" t="n">
        <f aca="false">SUM(S188:T188)</f>
        <v>4</v>
      </c>
      <c r="Z188" s="3" t="n">
        <f aca="false">SUM(U188:W188)</f>
        <v>0</v>
      </c>
      <c r="AA188" s="3" t="n">
        <f aca="false">SUM(S188:X188)</f>
        <v>4</v>
      </c>
      <c r="AB188" s="11" t="n">
        <f aca="false">(AA188/(K188*L188)*25)*4</f>
        <v>16</v>
      </c>
    </row>
    <row r="189" customFormat="false" ht="14.25" hidden="false" customHeight="false" outlineLevel="0" collapsed="false">
      <c r="A189" s="1" t="n">
        <v>2009</v>
      </c>
      <c r="B189" s="7" t="s">
        <v>322</v>
      </c>
      <c r="C189" s="7" t="n">
        <v>2</v>
      </c>
      <c r="D189" s="7" t="s">
        <v>295</v>
      </c>
      <c r="E189" s="7" t="s">
        <v>295</v>
      </c>
      <c r="F189" s="7" t="s">
        <v>324</v>
      </c>
      <c r="G189" s="1" t="n">
        <v>2</v>
      </c>
      <c r="H189" s="1" t="n">
        <v>9</v>
      </c>
      <c r="I189" s="10" t="n">
        <v>39970</v>
      </c>
      <c r="J189" s="10" t="n">
        <v>39975</v>
      </c>
      <c r="K189" s="1" t="n">
        <v>5</v>
      </c>
      <c r="L189" s="1" t="n">
        <v>5</v>
      </c>
      <c r="M189" s="3" t="s">
        <v>48</v>
      </c>
      <c r="N189" s="3" t="s">
        <v>67</v>
      </c>
      <c r="O189" s="12" t="s">
        <v>127</v>
      </c>
      <c r="P189" s="2" t="str">
        <f aca="false">CONCATENATE(N189," ",O189)</f>
        <v>Pardosa lugubris</v>
      </c>
      <c r="Q189" s="1" t="s">
        <v>30</v>
      </c>
      <c r="R189" s="1" t="s">
        <v>31</v>
      </c>
      <c r="S189" s="1" t="n">
        <v>4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3" t="n">
        <f aca="false">SUM(S189:T189)</f>
        <v>4</v>
      </c>
      <c r="Z189" s="3" t="n">
        <f aca="false">SUM(U189:W189)</f>
        <v>0</v>
      </c>
      <c r="AA189" s="3" t="n">
        <f aca="false">SUM(S189:X189)</f>
        <v>4</v>
      </c>
      <c r="AB189" s="11" t="n">
        <f aca="false">(AA189/(K189*L189)*25)*4</f>
        <v>16</v>
      </c>
    </row>
    <row r="190" customFormat="false" ht="14.25" hidden="false" customHeight="false" outlineLevel="0" collapsed="false">
      <c r="A190" s="1" t="n">
        <v>2009</v>
      </c>
      <c r="B190" s="7" t="s">
        <v>322</v>
      </c>
      <c r="C190" s="7" t="n">
        <v>2</v>
      </c>
      <c r="D190" s="7" t="s">
        <v>295</v>
      </c>
      <c r="E190" s="7" t="s">
        <v>295</v>
      </c>
      <c r="F190" s="7" t="s">
        <v>324</v>
      </c>
      <c r="G190" s="1" t="n">
        <v>2</v>
      </c>
      <c r="H190" s="1" t="n">
        <v>9</v>
      </c>
      <c r="I190" s="10" t="n">
        <v>39970</v>
      </c>
      <c r="J190" s="10" t="n">
        <v>39975</v>
      </c>
      <c r="K190" s="1" t="n">
        <v>5</v>
      </c>
      <c r="L190" s="1" t="n">
        <v>5</v>
      </c>
      <c r="M190" s="3" t="s">
        <v>48</v>
      </c>
      <c r="N190" s="3" t="s">
        <v>67</v>
      </c>
      <c r="O190" s="12" t="s">
        <v>127</v>
      </c>
      <c r="P190" s="2" t="str">
        <f aca="false">CONCATENATE(N190," ",O190)</f>
        <v>Pardosa lugubris</v>
      </c>
      <c r="Q190" s="1" t="s">
        <v>30</v>
      </c>
      <c r="R190" s="1" t="s">
        <v>35</v>
      </c>
      <c r="S190" s="1" t="n">
        <v>0</v>
      </c>
      <c r="T190" s="1" t="n">
        <v>1</v>
      </c>
      <c r="U190" s="1" t="n">
        <v>0</v>
      </c>
      <c r="V190" s="1" t="n">
        <v>0</v>
      </c>
      <c r="W190" s="1" t="n">
        <v>0</v>
      </c>
      <c r="X190" s="1" t="n">
        <v>0</v>
      </c>
      <c r="Y190" s="3" t="n">
        <f aca="false">SUM(S190:T190)</f>
        <v>1</v>
      </c>
      <c r="Z190" s="3" t="n">
        <f aca="false">SUM(U190:W190)</f>
        <v>0</v>
      </c>
      <c r="AA190" s="3" t="n">
        <f aca="false">SUM(S190:X190)</f>
        <v>1</v>
      </c>
      <c r="AB190" s="11" t="n">
        <f aca="false">(AA190/(K190*L190)*25)*4</f>
        <v>4</v>
      </c>
    </row>
    <row r="191" customFormat="false" ht="14.25" hidden="false" customHeight="false" outlineLevel="0" collapsed="false">
      <c r="A191" s="1" t="n">
        <v>2009</v>
      </c>
      <c r="B191" s="7" t="s">
        <v>322</v>
      </c>
      <c r="C191" s="7" t="n">
        <v>2</v>
      </c>
      <c r="D191" s="7" t="s">
        <v>295</v>
      </c>
      <c r="E191" s="7" t="s">
        <v>295</v>
      </c>
      <c r="F191" s="7" t="s">
        <v>324</v>
      </c>
      <c r="G191" s="1" t="n">
        <v>2</v>
      </c>
      <c r="H191" s="1" t="n">
        <v>9</v>
      </c>
      <c r="I191" s="10" t="n">
        <v>39970</v>
      </c>
      <c r="J191" s="10" t="n">
        <v>39975</v>
      </c>
      <c r="K191" s="1" t="n">
        <v>5</v>
      </c>
      <c r="L191" s="1" t="n">
        <v>5</v>
      </c>
      <c r="M191" s="3" t="s">
        <v>48</v>
      </c>
      <c r="N191" s="3" t="s">
        <v>122</v>
      </c>
      <c r="O191" s="12" t="s">
        <v>123</v>
      </c>
      <c r="P191" s="2" t="str">
        <f aca="false">CONCATENATE(N191," ",O191)</f>
        <v>Xerolycosa nemoralis</v>
      </c>
      <c r="Q191" s="1" t="s">
        <v>30</v>
      </c>
      <c r="R191" s="1" t="s">
        <v>31</v>
      </c>
      <c r="S191" s="1" t="n">
        <v>2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3" t="n">
        <f aca="false">SUM(S191:T191)</f>
        <v>2</v>
      </c>
      <c r="Z191" s="3" t="n">
        <f aca="false">SUM(U191:W191)</f>
        <v>0</v>
      </c>
      <c r="AA191" s="3" t="n">
        <f aca="false">SUM(S191:X191)</f>
        <v>2</v>
      </c>
      <c r="AB191" s="11" t="n">
        <f aca="false">(AA191/(K191*L191)*25)*4</f>
        <v>8</v>
      </c>
    </row>
    <row r="192" customFormat="false" ht="14.25" hidden="false" customHeight="false" outlineLevel="0" collapsed="false">
      <c r="A192" s="1" t="n">
        <v>2009</v>
      </c>
      <c r="B192" s="7" t="s">
        <v>322</v>
      </c>
      <c r="C192" s="7" t="n">
        <v>2</v>
      </c>
      <c r="D192" s="7" t="s">
        <v>295</v>
      </c>
      <c r="E192" s="7" t="s">
        <v>295</v>
      </c>
      <c r="F192" s="7" t="s">
        <v>324</v>
      </c>
      <c r="G192" s="1" t="n">
        <v>2</v>
      </c>
      <c r="H192" s="1" t="n">
        <v>9</v>
      </c>
      <c r="I192" s="10" t="n">
        <v>39970</v>
      </c>
      <c r="J192" s="10" t="n">
        <v>39975</v>
      </c>
      <c r="K192" s="1" t="n">
        <v>5</v>
      </c>
      <c r="L192" s="1" t="n">
        <v>5</v>
      </c>
      <c r="M192" s="3" t="s">
        <v>72</v>
      </c>
      <c r="N192" s="3" t="s">
        <v>73</v>
      </c>
      <c r="O192" s="12" t="s">
        <v>74</v>
      </c>
      <c r="P192" s="2" t="str">
        <f aca="false">CONCATENATE(N192," ",O192)</f>
        <v>Zelotes subterraneus</v>
      </c>
      <c r="Q192" s="1" t="s">
        <v>30</v>
      </c>
      <c r="R192" s="1" t="s">
        <v>35</v>
      </c>
      <c r="S192" s="1" t="n">
        <v>0</v>
      </c>
      <c r="T192" s="1" t="n">
        <v>1</v>
      </c>
      <c r="U192" s="1" t="n">
        <v>0</v>
      </c>
      <c r="V192" s="1" t="n">
        <v>0</v>
      </c>
      <c r="W192" s="1" t="n">
        <v>0</v>
      </c>
      <c r="X192" s="1" t="n">
        <v>0</v>
      </c>
      <c r="Y192" s="3" t="n">
        <f aca="false">SUM(S192:T192)</f>
        <v>1</v>
      </c>
      <c r="Z192" s="3" t="n">
        <f aca="false">SUM(U192:W192)</f>
        <v>0</v>
      </c>
      <c r="AA192" s="3" t="n">
        <f aca="false">SUM(S192:X192)</f>
        <v>1</v>
      </c>
      <c r="AB192" s="11" t="n">
        <f aca="false">(AA192/(K192*L192)*25)*4</f>
        <v>4</v>
      </c>
    </row>
    <row r="193" customFormat="false" ht="14.25" hidden="false" customHeight="false" outlineLevel="0" collapsed="false">
      <c r="A193" s="1" t="n">
        <v>2009</v>
      </c>
      <c r="B193" s="7" t="s">
        <v>322</v>
      </c>
      <c r="C193" s="7" t="n">
        <v>2</v>
      </c>
      <c r="D193" s="7" t="s">
        <v>295</v>
      </c>
      <c r="E193" s="7" t="s">
        <v>295</v>
      </c>
      <c r="F193" s="7" t="s">
        <v>324</v>
      </c>
      <c r="G193" s="1" t="n">
        <v>2</v>
      </c>
      <c r="H193" s="1" t="n">
        <v>9</v>
      </c>
      <c r="I193" s="10" t="n">
        <v>39970</v>
      </c>
      <c r="J193" s="10" t="n">
        <v>39975</v>
      </c>
      <c r="K193" s="1" t="n">
        <v>5</v>
      </c>
      <c r="L193" s="1" t="n">
        <v>5</v>
      </c>
      <c r="M193" s="3" t="s">
        <v>36</v>
      </c>
      <c r="N193" s="3" t="s">
        <v>37</v>
      </c>
      <c r="O193" s="8" t="s">
        <v>75</v>
      </c>
      <c r="P193" s="2" t="str">
        <f aca="false">CONCATENATE(N193," ",O193)</f>
        <v>Ozyptila praticola</v>
      </c>
      <c r="Q193" s="1" t="s">
        <v>30</v>
      </c>
      <c r="R193" s="1" t="s">
        <v>31</v>
      </c>
      <c r="S193" s="1" t="n">
        <v>1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3" t="n">
        <f aca="false">SUM(S193:T193)</f>
        <v>1</v>
      </c>
      <c r="Z193" s="3" t="n">
        <f aca="false">SUM(U193:W193)</f>
        <v>0</v>
      </c>
      <c r="AA193" s="3" t="n">
        <f aca="false">SUM(S193:X193)</f>
        <v>1</v>
      </c>
      <c r="AB193" s="11" t="n">
        <f aca="false">(AA193/(K193*L193)*25)*4</f>
        <v>4</v>
      </c>
    </row>
    <row r="194" customFormat="false" ht="14.25" hidden="false" customHeight="false" outlineLevel="0" collapsed="false">
      <c r="A194" s="1" t="n">
        <v>2009</v>
      </c>
      <c r="B194" s="7" t="s">
        <v>322</v>
      </c>
      <c r="C194" s="7" t="n">
        <v>2</v>
      </c>
      <c r="D194" s="7" t="s">
        <v>295</v>
      </c>
      <c r="E194" s="7" t="s">
        <v>295</v>
      </c>
      <c r="F194" s="7" t="s">
        <v>324</v>
      </c>
      <c r="G194" s="1" t="n">
        <v>2</v>
      </c>
      <c r="H194" s="1" t="n">
        <v>9</v>
      </c>
      <c r="I194" s="10" t="n">
        <v>39970</v>
      </c>
      <c r="J194" s="10" t="n">
        <v>39975</v>
      </c>
      <c r="K194" s="1" t="n">
        <v>5</v>
      </c>
      <c r="L194" s="1" t="n">
        <v>5</v>
      </c>
      <c r="M194" s="3" t="s">
        <v>135</v>
      </c>
      <c r="N194" s="3" t="s">
        <v>136</v>
      </c>
      <c r="O194" s="16" t="s">
        <v>137</v>
      </c>
      <c r="P194" s="2" t="str">
        <f aca="false">CONCATENATE(N194," ",O194)</f>
        <v>Thanatus sabulosus</v>
      </c>
      <c r="Q194" s="1" t="s">
        <v>30</v>
      </c>
      <c r="R194" s="1" t="s">
        <v>31</v>
      </c>
      <c r="S194" s="1" t="n">
        <v>1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3" t="n">
        <f aca="false">SUM(S194:T194)</f>
        <v>1</v>
      </c>
      <c r="Z194" s="3" t="n">
        <f aca="false">SUM(U194:W194)</f>
        <v>0</v>
      </c>
      <c r="AA194" s="3" t="n">
        <f aca="false">SUM(S194:X194)</f>
        <v>1</v>
      </c>
      <c r="AB194" s="11" t="n">
        <f aca="false">(AA194/(K194*L194)*25)*4</f>
        <v>4</v>
      </c>
    </row>
    <row r="195" customFormat="false" ht="14.25" hidden="false" customHeight="false" outlineLevel="0" collapsed="false">
      <c r="A195" s="1" t="n">
        <v>2009</v>
      </c>
      <c r="B195" s="7" t="s">
        <v>322</v>
      </c>
      <c r="C195" s="7" t="n">
        <v>2</v>
      </c>
      <c r="D195" s="7" t="s">
        <v>295</v>
      </c>
      <c r="E195" s="7" t="s">
        <v>295</v>
      </c>
      <c r="F195" s="7" t="s">
        <v>324</v>
      </c>
      <c r="G195" s="1" t="n">
        <v>3</v>
      </c>
      <c r="H195" s="1" t="n">
        <v>12</v>
      </c>
      <c r="I195" s="10" t="n">
        <v>39970</v>
      </c>
      <c r="J195" s="10" t="n">
        <v>39975</v>
      </c>
      <c r="K195" s="1" t="n">
        <v>5</v>
      </c>
      <c r="L195" s="1" t="n">
        <v>5</v>
      </c>
      <c r="M195" s="3" t="s">
        <v>48</v>
      </c>
      <c r="N195" s="3" t="s">
        <v>49</v>
      </c>
      <c r="O195" s="8" t="s">
        <v>130</v>
      </c>
      <c r="P195" s="2" t="str">
        <f aca="false">CONCATENATE(N195," ",O195)</f>
        <v>Alopecosa aculeata</v>
      </c>
      <c r="Q195" s="1" t="s">
        <v>30</v>
      </c>
      <c r="R195" s="1" t="s">
        <v>31</v>
      </c>
      <c r="S195" s="1" t="n">
        <v>2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3" t="n">
        <f aca="false">SUM(S195:T195)</f>
        <v>2</v>
      </c>
      <c r="Z195" s="3" t="n">
        <f aca="false">SUM(U195:W195)</f>
        <v>0</v>
      </c>
      <c r="AA195" s="3" t="n">
        <f aca="false">SUM(S195:X195)</f>
        <v>2</v>
      </c>
      <c r="AB195" s="11" t="n">
        <f aca="false">(AA195/(K195*L195)*25)*4</f>
        <v>8</v>
      </c>
    </row>
    <row r="196" customFormat="false" ht="14.25" hidden="false" customHeight="false" outlineLevel="0" collapsed="false">
      <c r="A196" s="1" t="n">
        <v>2009</v>
      </c>
      <c r="B196" s="7" t="s">
        <v>322</v>
      </c>
      <c r="C196" s="7" t="n">
        <v>2</v>
      </c>
      <c r="D196" s="7" t="s">
        <v>295</v>
      </c>
      <c r="E196" s="7" t="s">
        <v>295</v>
      </c>
      <c r="F196" s="7" t="s">
        <v>324</v>
      </c>
      <c r="G196" s="1" t="n">
        <v>3</v>
      </c>
      <c r="H196" s="1" t="n">
        <v>12</v>
      </c>
      <c r="I196" s="10" t="n">
        <v>39970</v>
      </c>
      <c r="J196" s="10" t="n">
        <v>39975</v>
      </c>
      <c r="K196" s="1" t="n">
        <v>5</v>
      </c>
      <c r="L196" s="1" t="n">
        <v>5</v>
      </c>
      <c r="M196" s="3" t="s">
        <v>48</v>
      </c>
      <c r="N196" s="3" t="s">
        <v>49</v>
      </c>
      <c r="O196" s="12" t="s">
        <v>119</v>
      </c>
      <c r="P196" s="2" t="str">
        <f aca="false">CONCATENATE(N196," ",O196)</f>
        <v>Alopecosa sulzeri</v>
      </c>
      <c r="Q196" s="1" t="s">
        <v>30</v>
      </c>
      <c r="R196" s="1" t="s">
        <v>31</v>
      </c>
      <c r="S196" s="1" t="n">
        <v>1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3" t="n">
        <f aca="false">SUM(S196:T196)</f>
        <v>1</v>
      </c>
      <c r="Z196" s="3" t="n">
        <f aca="false">SUM(U196:W196)</f>
        <v>0</v>
      </c>
      <c r="AA196" s="3" t="n">
        <f aca="false">SUM(S196:X196)</f>
        <v>1</v>
      </c>
      <c r="AB196" s="11" t="n">
        <f aca="false">(AA196/(K196*L196)*25)*4</f>
        <v>4</v>
      </c>
    </row>
    <row r="197" customFormat="false" ht="14.25" hidden="false" customHeight="false" outlineLevel="0" collapsed="false">
      <c r="A197" s="1" t="n">
        <v>2009</v>
      </c>
      <c r="B197" s="7" t="s">
        <v>322</v>
      </c>
      <c r="C197" s="7" t="n">
        <v>2</v>
      </c>
      <c r="D197" s="7" t="s">
        <v>295</v>
      </c>
      <c r="E197" s="7" t="s">
        <v>295</v>
      </c>
      <c r="F197" s="7" t="s">
        <v>324</v>
      </c>
      <c r="G197" s="1" t="n">
        <v>3</v>
      </c>
      <c r="H197" s="1" t="n">
        <v>12</v>
      </c>
      <c r="I197" s="10" t="n">
        <v>39970</v>
      </c>
      <c r="J197" s="10" t="n">
        <v>39975</v>
      </c>
      <c r="K197" s="1" t="n">
        <v>5</v>
      </c>
      <c r="L197" s="1" t="n">
        <v>5</v>
      </c>
      <c r="M197" s="3" t="s">
        <v>36</v>
      </c>
      <c r="N197" s="3" t="s">
        <v>131</v>
      </c>
      <c r="O197" s="12" t="s">
        <v>133</v>
      </c>
      <c r="P197" s="2" t="str">
        <f aca="false">CONCATENATE(N197," ",O197)</f>
        <v>Xysticus luctuosus</v>
      </c>
      <c r="Q197" s="1" t="s">
        <v>30</v>
      </c>
      <c r="R197" s="1" t="s">
        <v>35</v>
      </c>
      <c r="S197" s="1" t="n">
        <v>0</v>
      </c>
      <c r="T197" s="1" t="n">
        <v>1</v>
      </c>
      <c r="U197" s="1" t="n">
        <v>0</v>
      </c>
      <c r="V197" s="1" t="n">
        <v>0</v>
      </c>
      <c r="W197" s="1" t="n">
        <v>0</v>
      </c>
      <c r="X197" s="1" t="n">
        <v>0</v>
      </c>
      <c r="Y197" s="3" t="n">
        <f aca="false">SUM(S197:T197)</f>
        <v>1</v>
      </c>
      <c r="Z197" s="3" t="n">
        <f aca="false">SUM(U197:W197)</f>
        <v>0</v>
      </c>
      <c r="AA197" s="3" t="n">
        <f aca="false">SUM(S197:X197)</f>
        <v>1</v>
      </c>
      <c r="AB197" s="11" t="n">
        <f aca="false">(AA197/(K197*L197)*25)*4</f>
        <v>4</v>
      </c>
    </row>
    <row r="198" customFormat="false" ht="14.25" hidden="false" customHeight="false" outlineLevel="0" collapsed="false">
      <c r="A198" s="1" t="n">
        <v>2009</v>
      </c>
      <c r="B198" s="7" t="s">
        <v>322</v>
      </c>
      <c r="C198" s="7" t="n">
        <v>2</v>
      </c>
      <c r="D198" s="7" t="s">
        <v>295</v>
      </c>
      <c r="E198" s="7" t="s">
        <v>295</v>
      </c>
      <c r="F198" s="7" t="s">
        <v>324</v>
      </c>
      <c r="G198" s="1" t="n">
        <v>3</v>
      </c>
      <c r="H198" s="1" t="n">
        <v>12</v>
      </c>
      <c r="I198" s="10" t="n">
        <v>39970</v>
      </c>
      <c r="J198" s="10" t="n">
        <v>39975</v>
      </c>
      <c r="K198" s="1" t="n">
        <v>5</v>
      </c>
      <c r="L198" s="1" t="n">
        <v>5</v>
      </c>
      <c r="M198" s="3" t="s">
        <v>48</v>
      </c>
      <c r="N198" s="3" t="s">
        <v>122</v>
      </c>
      <c r="O198" s="12" t="s">
        <v>123</v>
      </c>
      <c r="P198" s="2" t="str">
        <f aca="false">CONCATENATE(N198," ",O198)</f>
        <v>Xerolycosa nemoralis</v>
      </c>
      <c r="Q198" s="1" t="s">
        <v>30</v>
      </c>
      <c r="R198" s="1" t="s">
        <v>31</v>
      </c>
      <c r="S198" s="1" t="n">
        <v>13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3" t="n">
        <f aca="false">SUM(S198:T198)</f>
        <v>13</v>
      </c>
      <c r="Z198" s="3" t="n">
        <f aca="false">SUM(U198:W198)</f>
        <v>0</v>
      </c>
      <c r="AA198" s="3" t="n">
        <f aca="false">SUM(S198:X198)</f>
        <v>13</v>
      </c>
      <c r="AB198" s="11" t="n">
        <f aca="false">(AA198/(K198*L198)*25)*4</f>
        <v>52</v>
      </c>
    </row>
    <row r="199" customFormat="false" ht="14.25" hidden="false" customHeight="false" outlineLevel="0" collapsed="false">
      <c r="A199" s="1" t="n">
        <v>2009</v>
      </c>
      <c r="B199" s="7" t="s">
        <v>322</v>
      </c>
      <c r="C199" s="7" t="n">
        <v>2</v>
      </c>
      <c r="D199" s="7" t="s">
        <v>295</v>
      </c>
      <c r="E199" s="7" t="s">
        <v>295</v>
      </c>
      <c r="F199" s="7" t="s">
        <v>324</v>
      </c>
      <c r="G199" s="1" t="n">
        <v>3</v>
      </c>
      <c r="H199" s="1" t="n">
        <v>12</v>
      </c>
      <c r="I199" s="10" t="n">
        <v>39970</v>
      </c>
      <c r="J199" s="10" t="n">
        <v>39975</v>
      </c>
      <c r="K199" s="1" t="n">
        <v>5</v>
      </c>
      <c r="L199" s="1" t="n">
        <v>5</v>
      </c>
      <c r="M199" s="3" t="s">
        <v>48</v>
      </c>
      <c r="N199" s="3" t="s">
        <v>122</v>
      </c>
      <c r="O199" s="12" t="s">
        <v>123</v>
      </c>
      <c r="P199" s="2" t="str">
        <f aca="false">CONCATENATE(N199," ",O199)</f>
        <v>Xerolycosa nemoralis</v>
      </c>
      <c r="Q199" s="1" t="s">
        <v>30</v>
      </c>
      <c r="R199" s="1" t="s">
        <v>35</v>
      </c>
      <c r="S199" s="1" t="n">
        <v>0</v>
      </c>
      <c r="T199" s="1" t="n">
        <v>3</v>
      </c>
      <c r="U199" s="1" t="n">
        <v>0</v>
      </c>
      <c r="V199" s="1" t="n">
        <v>0</v>
      </c>
      <c r="W199" s="1" t="n">
        <v>0</v>
      </c>
      <c r="X199" s="1" t="n">
        <v>0</v>
      </c>
      <c r="Y199" s="3" t="n">
        <f aca="false">SUM(S199:T199)</f>
        <v>3</v>
      </c>
      <c r="Z199" s="3" t="n">
        <f aca="false">SUM(U199:W199)</f>
        <v>0</v>
      </c>
      <c r="AA199" s="3" t="n">
        <f aca="false">SUM(S199:X199)</f>
        <v>3</v>
      </c>
      <c r="AB199" s="11" t="n">
        <f aca="false">(AA199/(K199*L199)*25)*4</f>
        <v>12</v>
      </c>
    </row>
    <row r="200" customFormat="false" ht="14.25" hidden="false" customHeight="false" outlineLevel="0" collapsed="false">
      <c r="A200" s="1" t="n">
        <v>2009</v>
      </c>
      <c r="B200" s="7" t="s">
        <v>322</v>
      </c>
      <c r="C200" s="7" t="n">
        <v>2</v>
      </c>
      <c r="D200" s="7" t="s">
        <v>295</v>
      </c>
      <c r="E200" s="7" t="s">
        <v>295</v>
      </c>
      <c r="F200" s="7" t="s">
        <v>324</v>
      </c>
      <c r="G200" s="1" t="n">
        <v>3</v>
      </c>
      <c r="H200" s="1" t="n">
        <v>12</v>
      </c>
      <c r="I200" s="10" t="n">
        <v>39970</v>
      </c>
      <c r="J200" s="10" t="n">
        <v>39975</v>
      </c>
      <c r="K200" s="1" t="n">
        <v>5</v>
      </c>
      <c r="L200" s="1" t="n">
        <v>5</v>
      </c>
      <c r="M200" s="3" t="s">
        <v>48</v>
      </c>
      <c r="N200" s="3" t="s">
        <v>67</v>
      </c>
      <c r="O200" s="12" t="s">
        <v>127</v>
      </c>
      <c r="P200" s="2" t="str">
        <f aca="false">CONCATENATE(N200," ",O200)</f>
        <v>Pardosa lugubris</v>
      </c>
      <c r="Q200" s="1" t="s">
        <v>30</v>
      </c>
      <c r="R200" s="1" t="s">
        <v>31</v>
      </c>
      <c r="S200" s="1" t="n">
        <v>2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3" t="n">
        <f aca="false">SUM(S200:T200)</f>
        <v>2</v>
      </c>
      <c r="Z200" s="3" t="n">
        <f aca="false">SUM(U200:W200)</f>
        <v>0</v>
      </c>
      <c r="AA200" s="3" t="n">
        <f aca="false">SUM(S200:X200)</f>
        <v>2</v>
      </c>
      <c r="AB200" s="11" t="n">
        <f aca="false">(AA200/(K200*L200)*25)*4</f>
        <v>8</v>
      </c>
    </row>
    <row r="201" customFormat="false" ht="14.25" hidden="false" customHeight="false" outlineLevel="0" collapsed="false">
      <c r="A201" s="1" t="n">
        <v>2009</v>
      </c>
      <c r="B201" s="7" t="s">
        <v>322</v>
      </c>
      <c r="C201" s="7" t="n">
        <v>2</v>
      </c>
      <c r="D201" s="7" t="s">
        <v>295</v>
      </c>
      <c r="E201" s="7" t="s">
        <v>295</v>
      </c>
      <c r="F201" s="7" t="s">
        <v>324</v>
      </c>
      <c r="G201" s="1" t="n">
        <v>3</v>
      </c>
      <c r="H201" s="1" t="n">
        <v>12</v>
      </c>
      <c r="I201" s="10" t="n">
        <v>39970</v>
      </c>
      <c r="J201" s="10" t="n">
        <v>39975</v>
      </c>
      <c r="K201" s="1" t="n">
        <v>5</v>
      </c>
      <c r="L201" s="1" t="n">
        <v>5</v>
      </c>
      <c r="M201" s="3" t="s">
        <v>72</v>
      </c>
      <c r="N201" s="3" t="s">
        <v>86</v>
      </c>
      <c r="O201" s="12" t="s">
        <v>134</v>
      </c>
      <c r="P201" s="2" t="str">
        <f aca="false">CONCATENATE(N201," ",O201)</f>
        <v>Haplodrassus umbratilis</v>
      </c>
      <c r="Q201" s="1" t="s">
        <v>30</v>
      </c>
      <c r="R201" s="1" t="s">
        <v>31</v>
      </c>
      <c r="S201" s="1" t="n">
        <v>1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3" t="n">
        <f aca="false">SUM(S201:T201)</f>
        <v>1</v>
      </c>
      <c r="Z201" s="3" t="n">
        <f aca="false">SUM(U201:W201)</f>
        <v>0</v>
      </c>
      <c r="AA201" s="3" t="n">
        <f aca="false">SUM(S201:X201)</f>
        <v>1</v>
      </c>
      <c r="AB201" s="11" t="n">
        <f aca="false">(AA201/(K201*L201)*25)*4</f>
        <v>4</v>
      </c>
    </row>
    <row r="202" customFormat="false" ht="14.25" hidden="false" customHeight="false" outlineLevel="0" collapsed="false">
      <c r="A202" s="1" t="n">
        <v>2009</v>
      </c>
      <c r="B202" s="7" t="s">
        <v>322</v>
      </c>
      <c r="C202" s="7" t="n">
        <v>2</v>
      </c>
      <c r="D202" s="7" t="s">
        <v>295</v>
      </c>
      <c r="E202" s="7" t="s">
        <v>295</v>
      </c>
      <c r="F202" s="7" t="s">
        <v>324</v>
      </c>
      <c r="G202" s="1" t="n">
        <v>1</v>
      </c>
      <c r="H202" s="1" t="n">
        <v>2</v>
      </c>
      <c r="I202" s="10" t="n">
        <v>39970</v>
      </c>
      <c r="J202" s="10" t="n">
        <v>39975</v>
      </c>
      <c r="K202" s="1" t="n">
        <v>5</v>
      </c>
      <c r="L202" s="1" t="n">
        <v>5</v>
      </c>
      <c r="M202" s="3" t="s">
        <v>124</v>
      </c>
      <c r="N202" s="3" t="s">
        <v>125</v>
      </c>
      <c r="O202" s="12" t="s">
        <v>126</v>
      </c>
      <c r="P202" s="2" t="str">
        <f aca="false">CONCATENATE(N202," ",O202)</f>
        <v>Hahnia ononidum</v>
      </c>
      <c r="Q202" s="1" t="s">
        <v>30</v>
      </c>
      <c r="R202" s="1" t="s">
        <v>31</v>
      </c>
      <c r="S202" s="1" t="n">
        <v>1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3" t="n">
        <f aca="false">SUM(S202:T202)</f>
        <v>1</v>
      </c>
      <c r="Z202" s="3" t="n">
        <f aca="false">SUM(U202:W202)</f>
        <v>0</v>
      </c>
      <c r="AA202" s="3" t="n">
        <f aca="false">SUM(S202:X202)</f>
        <v>1</v>
      </c>
      <c r="AB202" s="11" t="n">
        <f aca="false">(AA202/(K202*L202)*25)*4</f>
        <v>4</v>
      </c>
    </row>
    <row r="203" customFormat="false" ht="14.25" hidden="false" customHeight="false" outlineLevel="0" collapsed="false">
      <c r="A203" s="1" t="n">
        <v>2009</v>
      </c>
      <c r="B203" s="7" t="s">
        <v>322</v>
      </c>
      <c r="C203" s="7" t="n">
        <v>2</v>
      </c>
      <c r="D203" s="7" t="s">
        <v>295</v>
      </c>
      <c r="E203" s="7" t="s">
        <v>295</v>
      </c>
      <c r="F203" s="7" t="s">
        <v>324</v>
      </c>
      <c r="G203" s="1" t="n">
        <v>1</v>
      </c>
      <c r="H203" s="1" t="n">
        <v>2</v>
      </c>
      <c r="I203" s="10" t="n">
        <v>39970</v>
      </c>
      <c r="J203" s="10" t="n">
        <v>39975</v>
      </c>
      <c r="K203" s="1" t="n">
        <v>5</v>
      </c>
      <c r="L203" s="1" t="n">
        <v>5</v>
      </c>
      <c r="M203" s="3" t="s">
        <v>124</v>
      </c>
      <c r="N203" s="3" t="s">
        <v>125</v>
      </c>
      <c r="O203" s="12" t="s">
        <v>126</v>
      </c>
      <c r="P203" s="2" t="str">
        <f aca="false">CONCATENATE(N203," ",O203)</f>
        <v>Hahnia ononidum</v>
      </c>
      <c r="Q203" s="1" t="s">
        <v>30</v>
      </c>
      <c r="R203" s="1" t="s">
        <v>35</v>
      </c>
      <c r="S203" s="1" t="n">
        <v>0</v>
      </c>
      <c r="T203" s="1" t="n">
        <v>1</v>
      </c>
      <c r="U203" s="1" t="n">
        <v>0</v>
      </c>
      <c r="V203" s="1" t="n">
        <v>0</v>
      </c>
      <c r="W203" s="1" t="n">
        <v>0</v>
      </c>
      <c r="X203" s="1" t="n">
        <v>0</v>
      </c>
      <c r="Y203" s="3" t="n">
        <f aca="false">SUM(S203:T203)</f>
        <v>1</v>
      </c>
      <c r="Z203" s="3" t="n">
        <f aca="false">SUM(U203:W203)</f>
        <v>0</v>
      </c>
      <c r="AA203" s="3" t="n">
        <f aca="false">SUM(S203:X203)</f>
        <v>1</v>
      </c>
      <c r="AB203" s="11" t="n">
        <f aca="false">(AA203/(K203*L203)*25)*4</f>
        <v>4</v>
      </c>
    </row>
    <row r="204" customFormat="false" ht="14.25" hidden="false" customHeight="false" outlineLevel="0" collapsed="false">
      <c r="A204" s="1" t="n">
        <v>2009</v>
      </c>
      <c r="B204" s="7" t="s">
        <v>322</v>
      </c>
      <c r="C204" s="7" t="n">
        <v>2</v>
      </c>
      <c r="D204" s="7" t="s">
        <v>295</v>
      </c>
      <c r="E204" s="7" t="s">
        <v>295</v>
      </c>
      <c r="F204" s="7" t="s">
        <v>324</v>
      </c>
      <c r="G204" s="1" t="n">
        <v>1</v>
      </c>
      <c r="H204" s="1" t="n">
        <v>2</v>
      </c>
      <c r="I204" s="10" t="n">
        <v>39970</v>
      </c>
      <c r="J204" s="10" t="n">
        <v>39975</v>
      </c>
      <c r="K204" s="1" t="n">
        <v>5</v>
      </c>
      <c r="L204" s="1" t="n">
        <v>5</v>
      </c>
      <c r="M204" s="3" t="s">
        <v>48</v>
      </c>
      <c r="N204" s="3" t="s">
        <v>49</v>
      </c>
      <c r="O204" s="12" t="s">
        <v>119</v>
      </c>
      <c r="P204" s="2" t="str">
        <f aca="false">CONCATENATE(N204," ",O204)</f>
        <v>Alopecosa sulzeri</v>
      </c>
      <c r="Q204" s="1" t="s">
        <v>30</v>
      </c>
      <c r="R204" s="1" t="s">
        <v>31</v>
      </c>
      <c r="S204" s="1" t="n">
        <v>5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3" t="n">
        <f aca="false">SUM(S204:T204)</f>
        <v>5</v>
      </c>
      <c r="Z204" s="3" t="n">
        <f aca="false">SUM(U204:W204)</f>
        <v>0</v>
      </c>
      <c r="AA204" s="3" t="n">
        <f aca="false">SUM(S204:X204)</f>
        <v>5</v>
      </c>
      <c r="AB204" s="11" t="n">
        <f aca="false">(AA204/(K204*L204)*25)*4</f>
        <v>20</v>
      </c>
    </row>
    <row r="205" customFormat="false" ht="14.25" hidden="false" customHeight="false" outlineLevel="0" collapsed="false">
      <c r="A205" s="1" t="n">
        <v>2009</v>
      </c>
      <c r="B205" s="7" t="s">
        <v>322</v>
      </c>
      <c r="C205" s="7" t="n">
        <v>2</v>
      </c>
      <c r="D205" s="7" t="s">
        <v>295</v>
      </c>
      <c r="E205" s="7" t="s">
        <v>295</v>
      </c>
      <c r="F205" s="7" t="s">
        <v>324</v>
      </c>
      <c r="G205" s="1" t="n">
        <v>1</v>
      </c>
      <c r="H205" s="1" t="n">
        <v>2</v>
      </c>
      <c r="I205" s="10" t="n">
        <v>39970</v>
      </c>
      <c r="J205" s="10" t="n">
        <v>39975</v>
      </c>
      <c r="K205" s="1" t="n">
        <v>5</v>
      </c>
      <c r="L205" s="1" t="n">
        <v>5</v>
      </c>
      <c r="M205" s="3" t="s">
        <v>48</v>
      </c>
      <c r="N205" s="3" t="s">
        <v>49</v>
      </c>
      <c r="O205" s="12" t="s">
        <v>119</v>
      </c>
      <c r="P205" s="2" t="str">
        <f aca="false">CONCATENATE(N205," ",O205)</f>
        <v>Alopecosa sulzeri</v>
      </c>
      <c r="Q205" s="1" t="s">
        <v>30</v>
      </c>
      <c r="R205" s="1" t="s">
        <v>35</v>
      </c>
      <c r="S205" s="1" t="n">
        <v>0</v>
      </c>
      <c r="T205" s="1" t="n">
        <v>1</v>
      </c>
      <c r="U205" s="1" t="n">
        <v>0</v>
      </c>
      <c r="V205" s="1" t="n">
        <v>0</v>
      </c>
      <c r="W205" s="1" t="n">
        <v>0</v>
      </c>
      <c r="X205" s="1" t="n">
        <v>0</v>
      </c>
      <c r="Y205" s="3" t="n">
        <f aca="false">SUM(S205:T205)</f>
        <v>1</v>
      </c>
      <c r="Z205" s="3" t="n">
        <f aca="false">SUM(U205:W205)</f>
        <v>0</v>
      </c>
      <c r="AA205" s="3" t="n">
        <f aca="false">SUM(S205:X205)</f>
        <v>1</v>
      </c>
      <c r="AB205" s="11" t="n">
        <f aca="false">(AA205/(K205*L205)*25)*4</f>
        <v>4</v>
      </c>
    </row>
    <row r="206" customFormat="false" ht="14.25" hidden="false" customHeight="false" outlineLevel="0" collapsed="false">
      <c r="A206" s="1" t="n">
        <v>2009</v>
      </c>
      <c r="B206" s="7" t="s">
        <v>322</v>
      </c>
      <c r="C206" s="7" t="n">
        <v>2</v>
      </c>
      <c r="D206" s="7" t="s">
        <v>295</v>
      </c>
      <c r="E206" s="7" t="s">
        <v>295</v>
      </c>
      <c r="F206" s="7" t="s">
        <v>324</v>
      </c>
      <c r="G206" s="1" t="n">
        <v>1</v>
      </c>
      <c r="H206" s="1" t="n">
        <v>2</v>
      </c>
      <c r="I206" s="10" t="n">
        <v>39970</v>
      </c>
      <c r="J206" s="10" t="n">
        <v>39975</v>
      </c>
      <c r="K206" s="1" t="n">
        <v>5</v>
      </c>
      <c r="L206" s="1" t="n">
        <v>5</v>
      </c>
      <c r="M206" s="3" t="s">
        <v>48</v>
      </c>
      <c r="N206" s="3" t="s">
        <v>49</v>
      </c>
      <c r="O206" s="8" t="s">
        <v>130</v>
      </c>
      <c r="P206" s="2" t="str">
        <f aca="false">CONCATENATE(N206," ",O206)</f>
        <v>Alopecosa aculeata</v>
      </c>
      <c r="Q206" s="1" t="s">
        <v>30</v>
      </c>
      <c r="R206" s="1" t="s">
        <v>31</v>
      </c>
      <c r="S206" s="1" t="n">
        <v>2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3" t="n">
        <f aca="false">SUM(S206:T206)</f>
        <v>2</v>
      </c>
      <c r="Z206" s="3" t="n">
        <f aca="false">SUM(U206:W206)</f>
        <v>0</v>
      </c>
      <c r="AA206" s="3" t="n">
        <f aca="false">SUM(S206:X206)</f>
        <v>2</v>
      </c>
      <c r="AB206" s="11" t="n">
        <f aca="false">(AA206/(K206*L206)*25)*4</f>
        <v>8</v>
      </c>
    </row>
    <row r="207" customFormat="false" ht="14.25" hidden="false" customHeight="false" outlineLevel="0" collapsed="false">
      <c r="A207" s="1" t="n">
        <v>2009</v>
      </c>
      <c r="B207" s="7" t="s">
        <v>322</v>
      </c>
      <c r="C207" s="7" t="n">
        <v>2</v>
      </c>
      <c r="D207" s="7" t="s">
        <v>295</v>
      </c>
      <c r="E207" s="7" t="s">
        <v>295</v>
      </c>
      <c r="F207" s="7" t="s">
        <v>324</v>
      </c>
      <c r="G207" s="1" t="n">
        <v>1</v>
      </c>
      <c r="H207" s="1" t="n">
        <v>2</v>
      </c>
      <c r="I207" s="10" t="n">
        <v>39970</v>
      </c>
      <c r="J207" s="10" t="n">
        <v>39975</v>
      </c>
      <c r="K207" s="1" t="n">
        <v>5</v>
      </c>
      <c r="L207" s="1" t="n">
        <v>5</v>
      </c>
      <c r="M207" s="3" t="s">
        <v>48</v>
      </c>
      <c r="N207" s="3" t="s">
        <v>122</v>
      </c>
      <c r="O207" s="12" t="s">
        <v>123</v>
      </c>
      <c r="P207" s="2" t="str">
        <f aca="false">CONCATENATE(N207," ",O207)</f>
        <v>Xerolycosa nemoralis</v>
      </c>
      <c r="Q207" s="1" t="s">
        <v>30</v>
      </c>
      <c r="R207" s="1" t="s">
        <v>31</v>
      </c>
      <c r="S207" s="1" t="n">
        <v>1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3" t="n">
        <f aca="false">SUM(S207:T207)</f>
        <v>1</v>
      </c>
      <c r="Z207" s="3" t="n">
        <f aca="false">SUM(U207:W207)</f>
        <v>0</v>
      </c>
      <c r="AA207" s="3" t="n">
        <f aca="false">SUM(S207:X207)</f>
        <v>1</v>
      </c>
      <c r="AB207" s="11" t="n">
        <f aca="false">(AA207/(K207*L207)*25)*4</f>
        <v>4</v>
      </c>
    </row>
    <row r="208" customFormat="false" ht="14.25" hidden="false" customHeight="false" outlineLevel="0" collapsed="false">
      <c r="A208" s="1" t="n">
        <v>2009</v>
      </c>
      <c r="B208" s="7" t="s">
        <v>322</v>
      </c>
      <c r="C208" s="7" t="n">
        <v>2</v>
      </c>
      <c r="D208" s="7" t="s">
        <v>295</v>
      </c>
      <c r="E208" s="7" t="s">
        <v>295</v>
      </c>
      <c r="F208" s="7" t="s">
        <v>324</v>
      </c>
      <c r="G208" s="1" t="n">
        <v>1</v>
      </c>
      <c r="H208" s="1" t="n">
        <v>2</v>
      </c>
      <c r="I208" s="10" t="n">
        <v>39970</v>
      </c>
      <c r="J208" s="10" t="n">
        <v>39975</v>
      </c>
      <c r="K208" s="1" t="n">
        <v>5</v>
      </c>
      <c r="L208" s="1" t="n">
        <v>5</v>
      </c>
      <c r="M208" s="3" t="s">
        <v>36</v>
      </c>
      <c r="N208" s="3" t="s">
        <v>131</v>
      </c>
      <c r="O208" s="12" t="s">
        <v>133</v>
      </c>
      <c r="P208" s="2" t="str">
        <f aca="false">CONCATENATE(N208," ",O208)</f>
        <v>Xysticus luctuosus</v>
      </c>
      <c r="Q208" s="1" t="s">
        <v>30</v>
      </c>
      <c r="R208" s="1" t="s">
        <v>31</v>
      </c>
      <c r="S208" s="1" t="n">
        <v>1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3" t="n">
        <f aca="false">SUM(S208:T208)</f>
        <v>1</v>
      </c>
      <c r="Z208" s="3" t="n">
        <f aca="false">SUM(U208:W208)</f>
        <v>0</v>
      </c>
      <c r="AA208" s="3" t="n">
        <f aca="false">SUM(S208:X208)</f>
        <v>1</v>
      </c>
      <c r="AB208" s="11" t="n">
        <f aca="false">(AA208/(K208*L208)*25)*4</f>
        <v>4</v>
      </c>
    </row>
    <row r="209" customFormat="false" ht="14.25" hidden="false" customHeight="false" outlineLevel="0" collapsed="false">
      <c r="A209" s="1" t="n">
        <v>2009</v>
      </c>
      <c r="B209" s="7" t="s">
        <v>322</v>
      </c>
      <c r="C209" s="7" t="n">
        <v>2</v>
      </c>
      <c r="D209" s="7" t="s">
        <v>295</v>
      </c>
      <c r="E209" s="7" t="s">
        <v>295</v>
      </c>
      <c r="F209" s="7" t="s">
        <v>324</v>
      </c>
      <c r="G209" s="1" t="n">
        <v>1</v>
      </c>
      <c r="H209" s="1" t="n">
        <v>2</v>
      </c>
      <c r="I209" s="10" t="n">
        <v>39970</v>
      </c>
      <c r="J209" s="10" t="n">
        <v>39975</v>
      </c>
      <c r="K209" s="1" t="n">
        <v>5</v>
      </c>
      <c r="L209" s="1" t="n">
        <v>5</v>
      </c>
      <c r="M209" s="3" t="s">
        <v>48</v>
      </c>
      <c r="N209" s="3" t="s">
        <v>67</v>
      </c>
      <c r="O209" s="12" t="s">
        <v>127</v>
      </c>
      <c r="P209" s="2" t="str">
        <f aca="false">CONCATENATE(N209," ",O209)</f>
        <v>Pardosa lugubris</v>
      </c>
      <c r="Q209" s="1" t="s">
        <v>30</v>
      </c>
      <c r="R209" s="1" t="s">
        <v>35</v>
      </c>
      <c r="S209" s="1" t="n">
        <v>0</v>
      </c>
      <c r="T209" s="1" t="n">
        <v>1</v>
      </c>
      <c r="U209" s="1" t="n">
        <v>0</v>
      </c>
      <c r="V209" s="1" t="n">
        <v>0</v>
      </c>
      <c r="W209" s="1" t="n">
        <v>0</v>
      </c>
      <c r="X209" s="1" t="n">
        <v>0</v>
      </c>
      <c r="Y209" s="3" t="n">
        <f aca="false">SUM(S209:T209)</f>
        <v>1</v>
      </c>
      <c r="Z209" s="3" t="n">
        <f aca="false">SUM(U209:W209)</f>
        <v>0</v>
      </c>
      <c r="AA209" s="3" t="n">
        <f aca="false">SUM(S209:X209)</f>
        <v>1</v>
      </c>
      <c r="AB209" s="11" t="n">
        <f aca="false">(AA209/(K209*L209)*25)*4</f>
        <v>4</v>
      </c>
    </row>
    <row r="210" customFormat="false" ht="14.25" hidden="false" customHeight="false" outlineLevel="0" collapsed="false">
      <c r="A210" s="1" t="n">
        <v>2009</v>
      </c>
      <c r="B210" s="7" t="s">
        <v>322</v>
      </c>
      <c r="C210" s="7" t="n">
        <v>2</v>
      </c>
      <c r="D210" s="7" t="s">
        <v>295</v>
      </c>
      <c r="E210" s="7" t="s">
        <v>295</v>
      </c>
      <c r="F210" s="7" t="s">
        <v>324</v>
      </c>
      <c r="G210" s="1" t="n">
        <v>1</v>
      </c>
      <c r="H210" s="1" t="n">
        <v>2</v>
      </c>
      <c r="I210" s="10" t="n">
        <v>39970</v>
      </c>
      <c r="J210" s="10" t="n">
        <v>39975</v>
      </c>
      <c r="K210" s="1" t="n">
        <v>5</v>
      </c>
      <c r="L210" s="1" t="n">
        <v>5</v>
      </c>
      <c r="M210" s="3" t="s">
        <v>72</v>
      </c>
      <c r="N210" s="3" t="s">
        <v>139</v>
      </c>
      <c r="O210" s="12" t="s">
        <v>140</v>
      </c>
      <c r="P210" s="2" t="str">
        <f aca="false">CONCATENATE(N210," ",O210)</f>
        <v>Gnaphosa muscorum</v>
      </c>
      <c r="Q210" s="1" t="s">
        <v>30</v>
      </c>
      <c r="R210" s="1" t="s">
        <v>31</v>
      </c>
      <c r="S210" s="1" t="n">
        <v>2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3" t="n">
        <f aca="false">SUM(S210:T210)</f>
        <v>2</v>
      </c>
      <c r="Z210" s="3" t="n">
        <f aca="false">SUM(U210:W210)</f>
        <v>0</v>
      </c>
      <c r="AA210" s="3" t="n">
        <f aca="false">SUM(S210:X210)</f>
        <v>2</v>
      </c>
      <c r="AB210" s="11" t="n">
        <f aca="false">(AA210/(K210*L210)*25)*4</f>
        <v>8</v>
      </c>
    </row>
    <row r="211" customFormat="false" ht="14.25" hidden="false" customHeight="false" outlineLevel="0" collapsed="false">
      <c r="A211" s="1" t="n">
        <v>2009</v>
      </c>
      <c r="B211" s="7" t="s">
        <v>322</v>
      </c>
      <c r="C211" s="7" t="n">
        <v>2</v>
      </c>
      <c r="D211" s="7" t="s">
        <v>295</v>
      </c>
      <c r="E211" s="7" t="s">
        <v>295</v>
      </c>
      <c r="F211" s="7" t="s">
        <v>324</v>
      </c>
      <c r="G211" s="1" t="n">
        <v>1</v>
      </c>
      <c r="H211" s="1" t="n">
        <v>2</v>
      </c>
      <c r="I211" s="10" t="n">
        <v>39970</v>
      </c>
      <c r="J211" s="10" t="n">
        <v>39975</v>
      </c>
      <c r="K211" s="1" t="n">
        <v>5</v>
      </c>
      <c r="L211" s="1" t="n">
        <v>5</v>
      </c>
      <c r="M211" s="3" t="s">
        <v>72</v>
      </c>
      <c r="N211" s="3" t="s">
        <v>139</v>
      </c>
      <c r="O211" s="12" t="s">
        <v>140</v>
      </c>
      <c r="P211" s="2" t="str">
        <f aca="false">CONCATENATE(N211," ",O211)</f>
        <v>Gnaphosa muscorum</v>
      </c>
      <c r="Q211" s="1" t="s">
        <v>30</v>
      </c>
      <c r="R211" s="1" t="s">
        <v>35</v>
      </c>
      <c r="S211" s="1" t="n">
        <v>0</v>
      </c>
      <c r="T211" s="1" t="n">
        <v>1</v>
      </c>
      <c r="U211" s="1" t="n">
        <v>0</v>
      </c>
      <c r="V211" s="1" t="n">
        <v>0</v>
      </c>
      <c r="W211" s="1" t="n">
        <v>0</v>
      </c>
      <c r="X211" s="1" t="n">
        <v>0</v>
      </c>
      <c r="Y211" s="3" t="n">
        <f aca="false">SUM(S211:T211)</f>
        <v>1</v>
      </c>
      <c r="Z211" s="3" t="n">
        <f aca="false">SUM(U211:W211)</f>
        <v>0</v>
      </c>
      <c r="AA211" s="3" t="n">
        <f aca="false">SUM(S211:X211)</f>
        <v>1</v>
      </c>
      <c r="AB211" s="11" t="n">
        <f aca="false">(AA211/(K211*L211)*25)*4</f>
        <v>4</v>
      </c>
    </row>
    <row r="212" customFormat="false" ht="14.25" hidden="false" customHeight="false" outlineLevel="0" collapsed="false">
      <c r="A212" s="1" t="n">
        <v>2009</v>
      </c>
      <c r="B212" s="7" t="s">
        <v>322</v>
      </c>
      <c r="C212" s="7" t="n">
        <v>2</v>
      </c>
      <c r="D212" s="7" t="s">
        <v>295</v>
      </c>
      <c r="E212" s="7" t="s">
        <v>295</v>
      </c>
      <c r="F212" s="7" t="s">
        <v>324</v>
      </c>
      <c r="G212" s="1" t="n">
        <v>1</v>
      </c>
      <c r="H212" s="1" t="n">
        <v>2</v>
      </c>
      <c r="I212" s="10" t="n">
        <v>39970</v>
      </c>
      <c r="J212" s="10" t="n">
        <v>39975</v>
      </c>
      <c r="K212" s="1" t="n">
        <v>5</v>
      </c>
      <c r="L212" s="1" t="n">
        <v>5</v>
      </c>
      <c r="M212" s="3" t="s">
        <v>92</v>
      </c>
      <c r="N212" s="3" t="s">
        <v>141</v>
      </c>
      <c r="O212" s="12" t="s">
        <v>142</v>
      </c>
      <c r="P212" s="2" t="str">
        <f aca="false">CONCATENATE(N212," ",O212)</f>
        <v>Salticus cingulatus</v>
      </c>
      <c r="Q212" s="1" t="s">
        <v>30</v>
      </c>
      <c r="R212" s="1" t="s">
        <v>31</v>
      </c>
      <c r="S212" s="1" t="n">
        <v>1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3" t="n">
        <f aca="false">SUM(S212:T212)</f>
        <v>1</v>
      </c>
      <c r="Z212" s="3" t="n">
        <f aca="false">SUM(U212:W212)</f>
        <v>0</v>
      </c>
      <c r="AA212" s="3" t="n">
        <f aca="false">SUM(S212:X212)</f>
        <v>1</v>
      </c>
      <c r="AB212" s="11" t="n">
        <f aca="false">(AA212/(K212*L212)*25)*4</f>
        <v>4</v>
      </c>
    </row>
    <row r="213" customFormat="false" ht="14.25" hidden="false" customHeight="false" outlineLevel="0" collapsed="false">
      <c r="A213" s="1" t="n">
        <v>2009</v>
      </c>
      <c r="B213" s="7" t="s">
        <v>322</v>
      </c>
      <c r="C213" s="7" t="n">
        <v>2</v>
      </c>
      <c r="D213" s="7" t="s">
        <v>295</v>
      </c>
      <c r="E213" s="7" t="s">
        <v>295</v>
      </c>
      <c r="F213" s="7" t="s">
        <v>324</v>
      </c>
      <c r="G213" s="1" t="n">
        <v>1</v>
      </c>
      <c r="H213" s="1" t="n">
        <v>2</v>
      </c>
      <c r="I213" s="10" t="n">
        <v>39970</v>
      </c>
      <c r="J213" s="10" t="n">
        <v>39975</v>
      </c>
      <c r="K213" s="1" t="n">
        <v>5</v>
      </c>
      <c r="L213" s="1" t="n">
        <v>5</v>
      </c>
      <c r="M213" s="3" t="s">
        <v>32</v>
      </c>
      <c r="N213" s="3" t="s">
        <v>102</v>
      </c>
      <c r="O213" s="12" t="s">
        <v>143</v>
      </c>
      <c r="P213" s="2" t="str">
        <f aca="false">CONCATENATE(N213," ",O213)</f>
        <v>Agyneta saaristoi</v>
      </c>
      <c r="Q213" s="1" t="s">
        <v>30</v>
      </c>
      <c r="R213" s="1" t="s">
        <v>31</v>
      </c>
      <c r="S213" s="1" t="n">
        <v>1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3" t="n">
        <f aca="false">SUM(S213:T213)</f>
        <v>1</v>
      </c>
      <c r="Z213" s="3" t="n">
        <f aca="false">SUM(U213:W213)</f>
        <v>0</v>
      </c>
      <c r="AA213" s="3" t="n">
        <f aca="false">SUM(S213:X213)</f>
        <v>1</v>
      </c>
      <c r="AB213" s="11" t="n">
        <f aca="false">(AA213/(K213*L213)*25)*4</f>
        <v>4</v>
      </c>
    </row>
    <row r="214" customFormat="false" ht="14.25" hidden="false" customHeight="false" outlineLevel="0" collapsed="false">
      <c r="A214" s="1" t="n">
        <v>2009</v>
      </c>
      <c r="B214" s="7" t="s">
        <v>322</v>
      </c>
      <c r="C214" s="7" t="n">
        <v>2</v>
      </c>
      <c r="D214" s="7" t="s">
        <v>295</v>
      </c>
      <c r="E214" s="7" t="s">
        <v>295</v>
      </c>
      <c r="F214" s="7" t="s">
        <v>324</v>
      </c>
      <c r="G214" s="1" t="n">
        <v>2</v>
      </c>
      <c r="H214" s="1" t="n">
        <v>10</v>
      </c>
      <c r="I214" s="10" t="n">
        <v>39970</v>
      </c>
      <c r="J214" s="10" t="n">
        <v>39975</v>
      </c>
      <c r="K214" s="1" t="n">
        <v>5</v>
      </c>
      <c r="L214" s="1" t="n">
        <v>5</v>
      </c>
      <c r="M214" s="3" t="s">
        <v>48</v>
      </c>
      <c r="N214" s="3" t="s">
        <v>49</v>
      </c>
      <c r="O214" s="12" t="s">
        <v>119</v>
      </c>
      <c r="P214" s="2" t="str">
        <f aca="false">CONCATENATE(N214," ",O214)</f>
        <v>Alopecosa sulzeri</v>
      </c>
      <c r="Q214" s="1" t="s">
        <v>30</v>
      </c>
      <c r="R214" s="1" t="s">
        <v>35</v>
      </c>
      <c r="S214" s="1" t="n">
        <v>0</v>
      </c>
      <c r="T214" s="1" t="n">
        <v>1</v>
      </c>
      <c r="U214" s="1" t="n">
        <v>0</v>
      </c>
      <c r="V214" s="1" t="n">
        <v>0</v>
      </c>
      <c r="W214" s="1" t="n">
        <v>0</v>
      </c>
      <c r="X214" s="1" t="n">
        <v>0</v>
      </c>
      <c r="Y214" s="3" t="n">
        <f aca="false">SUM(S214:T214)</f>
        <v>1</v>
      </c>
      <c r="Z214" s="3" t="n">
        <f aca="false">SUM(U214:W214)</f>
        <v>0</v>
      </c>
      <c r="AA214" s="3" t="n">
        <f aca="false">SUM(S214:X214)</f>
        <v>1</v>
      </c>
      <c r="AB214" s="11" t="n">
        <f aca="false">(AA214/(K214*L214)*25)*4</f>
        <v>4</v>
      </c>
    </row>
    <row r="215" customFormat="false" ht="14.25" hidden="false" customHeight="false" outlineLevel="0" collapsed="false">
      <c r="A215" s="1" t="n">
        <v>2009</v>
      </c>
      <c r="B215" s="7" t="s">
        <v>322</v>
      </c>
      <c r="C215" s="7" t="n">
        <v>2</v>
      </c>
      <c r="D215" s="7" t="s">
        <v>295</v>
      </c>
      <c r="E215" s="7" t="s">
        <v>295</v>
      </c>
      <c r="F215" s="7" t="s">
        <v>324</v>
      </c>
      <c r="G215" s="1" t="n">
        <v>2</v>
      </c>
      <c r="H215" s="1" t="n">
        <v>10</v>
      </c>
      <c r="I215" s="10" t="n">
        <v>39970</v>
      </c>
      <c r="J215" s="10" t="n">
        <v>39975</v>
      </c>
      <c r="K215" s="1" t="n">
        <v>5</v>
      </c>
      <c r="L215" s="1" t="n">
        <v>5</v>
      </c>
      <c r="M215" s="3" t="s">
        <v>48</v>
      </c>
      <c r="N215" s="3" t="s">
        <v>49</v>
      </c>
      <c r="O215" s="8" t="s">
        <v>130</v>
      </c>
      <c r="P215" s="2" t="str">
        <f aca="false">CONCATENATE(N215," ",O215)</f>
        <v>Alopecosa aculeata</v>
      </c>
      <c r="Q215" s="1" t="s">
        <v>30</v>
      </c>
      <c r="R215" s="1" t="s">
        <v>31</v>
      </c>
      <c r="S215" s="1" t="n">
        <v>1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3" t="n">
        <f aca="false">SUM(S215:T215)</f>
        <v>1</v>
      </c>
      <c r="Z215" s="3" t="n">
        <f aca="false">SUM(U215:W215)</f>
        <v>0</v>
      </c>
      <c r="AA215" s="3" t="n">
        <f aca="false">SUM(S215:X215)</f>
        <v>1</v>
      </c>
      <c r="AB215" s="11" t="n">
        <f aca="false">(AA215/(K215*L215)*25)*4</f>
        <v>4</v>
      </c>
    </row>
    <row r="216" customFormat="false" ht="14.25" hidden="false" customHeight="false" outlineLevel="0" collapsed="false">
      <c r="A216" s="1" t="n">
        <v>2009</v>
      </c>
      <c r="B216" s="7" t="s">
        <v>322</v>
      </c>
      <c r="C216" s="7" t="n">
        <v>2</v>
      </c>
      <c r="D216" s="7" t="s">
        <v>295</v>
      </c>
      <c r="E216" s="7" t="s">
        <v>295</v>
      </c>
      <c r="F216" s="7" t="s">
        <v>324</v>
      </c>
      <c r="G216" s="1" t="n">
        <v>2</v>
      </c>
      <c r="H216" s="1" t="n">
        <v>10</v>
      </c>
      <c r="I216" s="10" t="n">
        <v>39970</v>
      </c>
      <c r="J216" s="10" t="n">
        <v>39975</v>
      </c>
      <c r="K216" s="1" t="n">
        <v>5</v>
      </c>
      <c r="L216" s="1" t="n">
        <v>5</v>
      </c>
      <c r="M216" s="3" t="s">
        <v>48</v>
      </c>
      <c r="N216" s="3" t="s">
        <v>122</v>
      </c>
      <c r="O216" s="12" t="s">
        <v>123</v>
      </c>
      <c r="P216" s="2" t="str">
        <f aca="false">CONCATENATE(N216," ",O216)</f>
        <v>Xerolycosa nemoralis</v>
      </c>
      <c r="Q216" s="1" t="s">
        <v>30</v>
      </c>
      <c r="R216" s="1" t="s">
        <v>31</v>
      </c>
      <c r="S216" s="1" t="n">
        <v>6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3" t="n">
        <f aca="false">SUM(S216:T216)</f>
        <v>6</v>
      </c>
      <c r="Z216" s="3" t="n">
        <f aca="false">SUM(U216:W216)</f>
        <v>0</v>
      </c>
      <c r="AA216" s="3" t="n">
        <f aca="false">SUM(S216:X216)</f>
        <v>6</v>
      </c>
      <c r="AB216" s="11" t="n">
        <f aca="false">(AA216/(K216*L216)*25)*4</f>
        <v>24</v>
      </c>
    </row>
    <row r="217" customFormat="false" ht="14.25" hidden="false" customHeight="false" outlineLevel="0" collapsed="false">
      <c r="A217" s="1" t="n">
        <v>2009</v>
      </c>
      <c r="B217" s="7" t="s">
        <v>322</v>
      </c>
      <c r="C217" s="7" t="n">
        <v>2</v>
      </c>
      <c r="D217" s="7" t="s">
        <v>295</v>
      </c>
      <c r="E217" s="7" t="s">
        <v>295</v>
      </c>
      <c r="F217" s="7" t="s">
        <v>324</v>
      </c>
      <c r="G217" s="1" t="n">
        <v>2</v>
      </c>
      <c r="H217" s="1" t="n">
        <v>10</v>
      </c>
      <c r="I217" s="10" t="n">
        <v>39970</v>
      </c>
      <c r="J217" s="10" t="n">
        <v>39975</v>
      </c>
      <c r="K217" s="1" t="n">
        <v>5</v>
      </c>
      <c r="L217" s="1" t="n">
        <v>5</v>
      </c>
      <c r="M217" s="3" t="s">
        <v>48</v>
      </c>
      <c r="N217" s="3" t="s">
        <v>122</v>
      </c>
      <c r="O217" s="12" t="s">
        <v>123</v>
      </c>
      <c r="P217" s="2" t="str">
        <f aca="false">CONCATENATE(N217," ",O217)</f>
        <v>Xerolycosa nemoralis</v>
      </c>
      <c r="Q217" s="1" t="s">
        <v>30</v>
      </c>
      <c r="R217" s="1" t="s">
        <v>35</v>
      </c>
      <c r="S217" s="1" t="n">
        <v>0</v>
      </c>
      <c r="T217" s="1" t="n">
        <v>1</v>
      </c>
      <c r="U217" s="1" t="n">
        <v>0</v>
      </c>
      <c r="V217" s="1" t="n">
        <v>0</v>
      </c>
      <c r="W217" s="1" t="n">
        <v>0</v>
      </c>
      <c r="X217" s="1" t="n">
        <v>0</v>
      </c>
      <c r="Y217" s="3" t="n">
        <f aca="false">SUM(S217:T217)</f>
        <v>1</v>
      </c>
      <c r="Z217" s="3" t="n">
        <f aca="false">SUM(U217:W217)</f>
        <v>0</v>
      </c>
      <c r="AA217" s="3" t="n">
        <f aca="false">SUM(S217:X217)</f>
        <v>1</v>
      </c>
      <c r="AB217" s="11" t="n">
        <f aca="false">(AA217/(K217*L217)*25)*4</f>
        <v>4</v>
      </c>
    </row>
    <row r="218" customFormat="false" ht="14.25" hidden="false" customHeight="false" outlineLevel="0" collapsed="false">
      <c r="A218" s="1" t="n">
        <v>2009</v>
      </c>
      <c r="B218" s="7" t="s">
        <v>322</v>
      </c>
      <c r="C218" s="7" t="n">
        <v>2</v>
      </c>
      <c r="D218" s="7" t="s">
        <v>295</v>
      </c>
      <c r="E218" s="7" t="s">
        <v>295</v>
      </c>
      <c r="F218" s="7" t="s">
        <v>324</v>
      </c>
      <c r="G218" s="1" t="n">
        <v>2</v>
      </c>
      <c r="H218" s="1" t="n">
        <v>10</v>
      </c>
      <c r="I218" s="10" t="n">
        <v>39970</v>
      </c>
      <c r="J218" s="10" t="n">
        <v>39975</v>
      </c>
      <c r="K218" s="1" t="n">
        <v>5</v>
      </c>
      <c r="L218" s="1" t="n">
        <v>5</v>
      </c>
      <c r="M218" s="3" t="s">
        <v>72</v>
      </c>
      <c r="N218" s="3" t="s">
        <v>86</v>
      </c>
      <c r="O218" s="12" t="s">
        <v>134</v>
      </c>
      <c r="P218" s="2" t="str">
        <f aca="false">CONCATENATE(N218," ",O218)</f>
        <v>Haplodrassus umbratilis</v>
      </c>
      <c r="Q218" s="1" t="s">
        <v>30</v>
      </c>
      <c r="R218" s="1" t="s">
        <v>31</v>
      </c>
      <c r="S218" s="1" t="n">
        <v>1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3" t="n">
        <f aca="false">SUM(S218:T218)</f>
        <v>1</v>
      </c>
      <c r="Z218" s="3" t="n">
        <f aca="false">SUM(U218:W218)</f>
        <v>0</v>
      </c>
      <c r="AA218" s="3" t="n">
        <f aca="false">SUM(S218:X218)</f>
        <v>1</v>
      </c>
      <c r="AB218" s="11" t="n">
        <f aca="false">(AA218/(K218*L218)*25)*4</f>
        <v>4</v>
      </c>
    </row>
    <row r="219" customFormat="false" ht="14.25" hidden="false" customHeight="false" outlineLevel="0" collapsed="false">
      <c r="A219" s="1" t="n">
        <v>2009</v>
      </c>
      <c r="B219" s="7" t="s">
        <v>322</v>
      </c>
      <c r="C219" s="7" t="n">
        <v>2</v>
      </c>
      <c r="D219" s="7" t="s">
        <v>295</v>
      </c>
      <c r="E219" s="7" t="s">
        <v>295</v>
      </c>
      <c r="F219" s="7" t="s">
        <v>324</v>
      </c>
      <c r="G219" s="1" t="n">
        <v>2</v>
      </c>
      <c r="H219" s="1" t="n">
        <v>10</v>
      </c>
      <c r="I219" s="10" t="n">
        <v>39970</v>
      </c>
      <c r="J219" s="10" t="n">
        <v>39975</v>
      </c>
      <c r="K219" s="1" t="n">
        <v>5</v>
      </c>
      <c r="L219" s="1" t="n">
        <v>5</v>
      </c>
      <c r="M219" s="3" t="s">
        <v>48</v>
      </c>
      <c r="N219" s="3" t="s">
        <v>67</v>
      </c>
      <c r="O219" s="12" t="s">
        <v>127</v>
      </c>
      <c r="P219" s="2" t="str">
        <f aca="false">CONCATENATE(N219," ",O219)</f>
        <v>Pardosa lugubris</v>
      </c>
      <c r="Q219" s="1" t="s">
        <v>30</v>
      </c>
      <c r="R219" s="1" t="s">
        <v>31</v>
      </c>
      <c r="S219" s="1" t="n">
        <v>4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3" t="n">
        <f aca="false">SUM(S219:T219)</f>
        <v>4</v>
      </c>
      <c r="Z219" s="3" t="n">
        <f aca="false">SUM(U219:W219)</f>
        <v>0</v>
      </c>
      <c r="AA219" s="3" t="n">
        <f aca="false">SUM(S219:X219)</f>
        <v>4</v>
      </c>
      <c r="AB219" s="11" t="n">
        <f aca="false">(AA219/(K219*L219)*25)*4</f>
        <v>16</v>
      </c>
    </row>
    <row r="220" customFormat="false" ht="14.25" hidden="false" customHeight="false" outlineLevel="0" collapsed="false">
      <c r="A220" s="1" t="n">
        <v>2009</v>
      </c>
      <c r="B220" s="7" t="s">
        <v>322</v>
      </c>
      <c r="C220" s="7" t="n">
        <v>2</v>
      </c>
      <c r="D220" s="7" t="s">
        <v>295</v>
      </c>
      <c r="E220" s="7" t="s">
        <v>295</v>
      </c>
      <c r="F220" s="7" t="s">
        <v>324</v>
      </c>
      <c r="G220" s="1" t="n">
        <v>2</v>
      </c>
      <c r="H220" s="1" t="n">
        <v>10</v>
      </c>
      <c r="I220" s="10" t="n">
        <v>39970</v>
      </c>
      <c r="J220" s="10" t="n">
        <v>39975</v>
      </c>
      <c r="K220" s="1" t="n">
        <v>5</v>
      </c>
      <c r="L220" s="1" t="n">
        <v>5</v>
      </c>
      <c r="M220" s="3" t="s">
        <v>144</v>
      </c>
      <c r="N220" s="3" t="s">
        <v>145</v>
      </c>
      <c r="O220" s="12" t="s">
        <v>146</v>
      </c>
      <c r="P220" s="2" t="str">
        <f aca="false">CONCATENATE(N220," ",O220)</f>
        <v>Phrurolithus festivus</v>
      </c>
      <c r="Q220" s="1" t="s">
        <v>30</v>
      </c>
      <c r="R220" s="1" t="s">
        <v>31</v>
      </c>
      <c r="S220" s="1" t="n">
        <v>1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3" t="n">
        <f aca="false">SUM(S220:T220)</f>
        <v>1</v>
      </c>
      <c r="Z220" s="3" t="n">
        <f aca="false">SUM(U220:W220)</f>
        <v>0</v>
      </c>
      <c r="AA220" s="3" t="n">
        <f aca="false">SUM(S220:X220)</f>
        <v>1</v>
      </c>
      <c r="AB220" s="11" t="n">
        <f aca="false">(AA220/(K220*L220)*25)*4</f>
        <v>4</v>
      </c>
    </row>
    <row r="221" customFormat="false" ht="14.25" hidden="false" customHeight="false" outlineLevel="0" collapsed="false">
      <c r="A221" s="1" t="n">
        <v>2009</v>
      </c>
      <c r="B221" s="7" t="s">
        <v>322</v>
      </c>
      <c r="C221" s="7" t="n">
        <v>2</v>
      </c>
      <c r="D221" s="7" t="s">
        <v>295</v>
      </c>
      <c r="E221" s="7" t="s">
        <v>295</v>
      </c>
      <c r="F221" s="7" t="s">
        <v>324</v>
      </c>
      <c r="G221" s="1" t="n">
        <v>3</v>
      </c>
      <c r="H221" s="1" t="n">
        <v>14</v>
      </c>
      <c r="I221" s="10" t="n">
        <v>39970</v>
      </c>
      <c r="J221" s="10" t="n">
        <v>39975</v>
      </c>
      <c r="K221" s="1" t="n">
        <v>5</v>
      </c>
      <c r="L221" s="1" t="n">
        <v>5</v>
      </c>
      <c r="M221" s="3" t="s">
        <v>48</v>
      </c>
      <c r="N221" s="3" t="s">
        <v>49</v>
      </c>
      <c r="O221" s="8" t="s">
        <v>130</v>
      </c>
      <c r="P221" s="2" t="str">
        <f aca="false">CONCATENATE(N221," ",O221)</f>
        <v>Alopecosa aculeata</v>
      </c>
      <c r="Q221" s="1" t="s">
        <v>30</v>
      </c>
      <c r="R221" s="1" t="s">
        <v>31</v>
      </c>
      <c r="S221" s="1" t="n">
        <v>5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3" t="n">
        <f aca="false">SUM(S221:T221)</f>
        <v>5</v>
      </c>
      <c r="Z221" s="3" t="n">
        <f aca="false">SUM(U221:W221)</f>
        <v>0</v>
      </c>
      <c r="AA221" s="3" t="n">
        <f aca="false">SUM(S221:X221)</f>
        <v>5</v>
      </c>
      <c r="AB221" s="11" t="n">
        <f aca="false">(AA221/(K221*L221)*25)*4</f>
        <v>20</v>
      </c>
    </row>
    <row r="222" customFormat="false" ht="14.25" hidden="false" customHeight="false" outlineLevel="0" collapsed="false">
      <c r="A222" s="1" t="n">
        <v>2009</v>
      </c>
      <c r="B222" s="7" t="s">
        <v>322</v>
      </c>
      <c r="C222" s="7" t="n">
        <v>2</v>
      </c>
      <c r="D222" s="7" t="s">
        <v>295</v>
      </c>
      <c r="E222" s="7" t="s">
        <v>295</v>
      </c>
      <c r="F222" s="7" t="s">
        <v>324</v>
      </c>
      <c r="G222" s="1" t="n">
        <v>3</v>
      </c>
      <c r="H222" s="1" t="n">
        <v>14</v>
      </c>
      <c r="I222" s="10" t="n">
        <v>39970</v>
      </c>
      <c r="J222" s="10" t="n">
        <v>39975</v>
      </c>
      <c r="K222" s="1" t="n">
        <v>5</v>
      </c>
      <c r="L222" s="1" t="n">
        <v>5</v>
      </c>
      <c r="M222" s="3" t="s">
        <v>48</v>
      </c>
      <c r="N222" s="3" t="s">
        <v>49</v>
      </c>
      <c r="O222" s="8" t="s">
        <v>130</v>
      </c>
      <c r="P222" s="2" t="str">
        <f aca="false">CONCATENATE(N222," ",O222)</f>
        <v>Alopecosa aculeata</v>
      </c>
      <c r="Q222" s="1" t="s">
        <v>30</v>
      </c>
      <c r="R222" s="1" t="s">
        <v>35</v>
      </c>
      <c r="S222" s="1" t="n">
        <v>0</v>
      </c>
      <c r="T222" s="1" t="n">
        <v>1</v>
      </c>
      <c r="U222" s="1" t="n">
        <v>0</v>
      </c>
      <c r="V222" s="1" t="n">
        <v>0</v>
      </c>
      <c r="W222" s="1" t="n">
        <v>0</v>
      </c>
      <c r="X222" s="1" t="n">
        <v>0</v>
      </c>
      <c r="Y222" s="3" t="n">
        <f aca="false">SUM(S222:T222)</f>
        <v>1</v>
      </c>
      <c r="Z222" s="3" t="n">
        <f aca="false">SUM(U222:W222)</f>
        <v>0</v>
      </c>
      <c r="AA222" s="3" t="n">
        <f aca="false">SUM(S222:X222)</f>
        <v>1</v>
      </c>
      <c r="AB222" s="11" t="n">
        <f aca="false">(AA222/(K222*L222)*25)*4</f>
        <v>4</v>
      </c>
    </row>
    <row r="223" customFormat="false" ht="14.25" hidden="false" customHeight="false" outlineLevel="0" collapsed="false">
      <c r="A223" s="1" t="n">
        <v>2009</v>
      </c>
      <c r="B223" s="7" t="s">
        <v>322</v>
      </c>
      <c r="C223" s="7" t="n">
        <v>2</v>
      </c>
      <c r="D223" s="7" t="s">
        <v>295</v>
      </c>
      <c r="E223" s="7" t="s">
        <v>295</v>
      </c>
      <c r="F223" s="7" t="s">
        <v>324</v>
      </c>
      <c r="G223" s="1" t="n">
        <v>3</v>
      </c>
      <c r="H223" s="1" t="n">
        <v>14</v>
      </c>
      <c r="I223" s="10" t="n">
        <v>39970</v>
      </c>
      <c r="J223" s="10" t="n">
        <v>39975</v>
      </c>
      <c r="K223" s="1" t="n">
        <v>5</v>
      </c>
      <c r="L223" s="1" t="n">
        <v>5</v>
      </c>
      <c r="M223" s="3" t="s">
        <v>48</v>
      </c>
      <c r="N223" s="3" t="s">
        <v>122</v>
      </c>
      <c r="O223" s="12" t="s">
        <v>123</v>
      </c>
      <c r="P223" s="2" t="str">
        <f aca="false">CONCATENATE(N223," ",O223)</f>
        <v>Xerolycosa nemoralis</v>
      </c>
      <c r="Q223" s="1" t="s">
        <v>30</v>
      </c>
      <c r="R223" s="1" t="s">
        <v>31</v>
      </c>
      <c r="S223" s="1" t="n">
        <v>4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3" t="n">
        <f aca="false">SUM(S223:T223)</f>
        <v>4</v>
      </c>
      <c r="Z223" s="3" t="n">
        <f aca="false">SUM(U223:W223)</f>
        <v>0</v>
      </c>
      <c r="AA223" s="3" t="n">
        <f aca="false">SUM(S223:X223)</f>
        <v>4</v>
      </c>
      <c r="AB223" s="11" t="n">
        <f aca="false">(AA223/(K223*L223)*25)*4</f>
        <v>16</v>
      </c>
    </row>
    <row r="224" customFormat="false" ht="14.25" hidden="false" customHeight="false" outlineLevel="0" collapsed="false">
      <c r="A224" s="1" t="n">
        <v>2009</v>
      </c>
      <c r="B224" s="7" t="s">
        <v>322</v>
      </c>
      <c r="C224" s="7" t="n">
        <v>2</v>
      </c>
      <c r="D224" s="7" t="s">
        <v>295</v>
      </c>
      <c r="E224" s="7" t="s">
        <v>295</v>
      </c>
      <c r="F224" s="7" t="s">
        <v>324</v>
      </c>
      <c r="G224" s="1" t="n">
        <v>3</v>
      </c>
      <c r="H224" s="1" t="n">
        <v>14</v>
      </c>
      <c r="I224" s="10" t="n">
        <v>39970</v>
      </c>
      <c r="J224" s="10" t="n">
        <v>39975</v>
      </c>
      <c r="K224" s="1" t="n">
        <v>5</v>
      </c>
      <c r="L224" s="1" t="n">
        <v>5</v>
      </c>
      <c r="M224" s="3" t="s">
        <v>48</v>
      </c>
      <c r="N224" s="3" t="s">
        <v>122</v>
      </c>
      <c r="O224" s="12" t="s">
        <v>123</v>
      </c>
      <c r="P224" s="2" t="str">
        <f aca="false">CONCATENATE(N224," ",O224)</f>
        <v>Xerolycosa nemoralis</v>
      </c>
      <c r="Q224" s="1" t="s">
        <v>30</v>
      </c>
      <c r="R224" s="1" t="s">
        <v>35</v>
      </c>
      <c r="S224" s="1" t="n">
        <v>0</v>
      </c>
      <c r="T224" s="1" t="n">
        <v>3</v>
      </c>
      <c r="U224" s="1" t="n">
        <v>0</v>
      </c>
      <c r="V224" s="1" t="n">
        <v>0</v>
      </c>
      <c r="W224" s="1" t="n">
        <v>0</v>
      </c>
      <c r="X224" s="1" t="n">
        <v>0</v>
      </c>
      <c r="Y224" s="3" t="n">
        <f aca="false">SUM(S224:T224)</f>
        <v>3</v>
      </c>
      <c r="Z224" s="3" t="n">
        <f aca="false">SUM(U224:W224)</f>
        <v>0</v>
      </c>
      <c r="AA224" s="3" t="n">
        <f aca="false">SUM(S224:X224)</f>
        <v>3</v>
      </c>
      <c r="AB224" s="11" t="n">
        <f aca="false">(AA224/(K224*L224)*25)*4</f>
        <v>12</v>
      </c>
    </row>
    <row r="225" customFormat="false" ht="14.25" hidden="false" customHeight="false" outlineLevel="0" collapsed="false">
      <c r="A225" s="1" t="n">
        <v>2009</v>
      </c>
      <c r="B225" s="7" t="s">
        <v>322</v>
      </c>
      <c r="C225" s="7" t="n">
        <v>2</v>
      </c>
      <c r="D225" s="7" t="s">
        <v>295</v>
      </c>
      <c r="E225" s="7" t="s">
        <v>295</v>
      </c>
      <c r="F225" s="7" t="s">
        <v>324</v>
      </c>
      <c r="G225" s="1" t="n">
        <v>3</v>
      </c>
      <c r="H225" s="1" t="n">
        <v>14</v>
      </c>
      <c r="I225" s="10" t="n">
        <v>39970</v>
      </c>
      <c r="J225" s="10" t="n">
        <v>39975</v>
      </c>
      <c r="K225" s="1" t="n">
        <v>5</v>
      </c>
      <c r="L225" s="1" t="n">
        <v>5</v>
      </c>
      <c r="M225" s="3" t="s">
        <v>48</v>
      </c>
      <c r="N225" s="3" t="s">
        <v>67</v>
      </c>
      <c r="O225" s="12" t="s">
        <v>127</v>
      </c>
      <c r="P225" s="2" t="str">
        <f aca="false">CONCATENATE(N225," ",O225)</f>
        <v>Pardosa lugubris</v>
      </c>
      <c r="Q225" s="1" t="s">
        <v>30</v>
      </c>
      <c r="R225" s="1" t="s">
        <v>31</v>
      </c>
      <c r="S225" s="1" t="n">
        <v>3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3" t="n">
        <f aca="false">SUM(S225:T225)</f>
        <v>3</v>
      </c>
      <c r="Z225" s="3" t="n">
        <f aca="false">SUM(U225:W225)</f>
        <v>0</v>
      </c>
      <c r="AA225" s="3" t="n">
        <f aca="false">SUM(S225:X225)</f>
        <v>3</v>
      </c>
      <c r="AB225" s="11" t="n">
        <f aca="false">(AA225/(K225*L225)*25)*4</f>
        <v>12</v>
      </c>
    </row>
    <row r="226" customFormat="false" ht="14.25" hidden="false" customHeight="false" outlineLevel="0" collapsed="false">
      <c r="A226" s="1" t="n">
        <v>2009</v>
      </c>
      <c r="B226" s="7" t="s">
        <v>322</v>
      </c>
      <c r="C226" s="7" t="n">
        <v>2</v>
      </c>
      <c r="D226" s="7" t="s">
        <v>295</v>
      </c>
      <c r="E226" s="7" t="s">
        <v>295</v>
      </c>
      <c r="F226" s="7" t="s">
        <v>324</v>
      </c>
      <c r="G226" s="1" t="n">
        <v>3</v>
      </c>
      <c r="H226" s="1" t="n">
        <v>14</v>
      </c>
      <c r="I226" s="10" t="n">
        <v>39970</v>
      </c>
      <c r="J226" s="10" t="n">
        <v>39975</v>
      </c>
      <c r="K226" s="1" t="n">
        <v>5</v>
      </c>
      <c r="L226" s="1" t="n">
        <v>5</v>
      </c>
      <c r="M226" s="3" t="s">
        <v>72</v>
      </c>
      <c r="N226" s="3" t="s">
        <v>147</v>
      </c>
      <c r="O226" s="12" t="s">
        <v>148</v>
      </c>
      <c r="P226" s="2" t="str">
        <f aca="false">CONCATENATE(N226," ",O226)</f>
        <v>Micaria aenea</v>
      </c>
      <c r="Q226" s="1" t="s">
        <v>30</v>
      </c>
      <c r="R226" s="1" t="s">
        <v>31</v>
      </c>
      <c r="S226" s="1" t="n">
        <v>1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3" t="n">
        <f aca="false">SUM(S226:T226)</f>
        <v>1</v>
      </c>
      <c r="Z226" s="3" t="n">
        <f aca="false">SUM(U226:W226)</f>
        <v>0</v>
      </c>
      <c r="AA226" s="3" t="n">
        <f aca="false">SUM(S226:X226)</f>
        <v>1</v>
      </c>
      <c r="AB226" s="11" t="n">
        <f aca="false">(AA226/(K226*L226)*25)*4</f>
        <v>4</v>
      </c>
    </row>
    <row r="227" customFormat="false" ht="14.25" hidden="false" customHeight="false" outlineLevel="0" collapsed="false">
      <c r="A227" s="1" t="n">
        <v>2009</v>
      </c>
      <c r="B227" s="7" t="s">
        <v>322</v>
      </c>
      <c r="C227" s="7" t="n">
        <v>2</v>
      </c>
      <c r="D227" s="7" t="s">
        <v>295</v>
      </c>
      <c r="E227" s="7" t="s">
        <v>295</v>
      </c>
      <c r="F227" s="7" t="s">
        <v>324</v>
      </c>
      <c r="G227" s="1" t="n">
        <v>3</v>
      </c>
      <c r="H227" s="1" t="n">
        <v>14</v>
      </c>
      <c r="I227" s="10" t="n">
        <v>39970</v>
      </c>
      <c r="J227" s="10" t="n">
        <v>39975</v>
      </c>
      <c r="K227" s="1" t="n">
        <v>5</v>
      </c>
      <c r="L227" s="1" t="n">
        <v>5</v>
      </c>
      <c r="M227" s="3" t="s">
        <v>72</v>
      </c>
      <c r="N227" s="3" t="s">
        <v>86</v>
      </c>
      <c r="O227" s="12" t="s">
        <v>134</v>
      </c>
      <c r="P227" s="2" t="str">
        <f aca="false">CONCATENATE(N227," ",O227)</f>
        <v>Haplodrassus umbratilis</v>
      </c>
      <c r="Q227" s="1" t="s">
        <v>30</v>
      </c>
      <c r="R227" s="1" t="s">
        <v>31</v>
      </c>
      <c r="S227" s="1" t="n">
        <v>1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3" t="n">
        <f aca="false">SUM(S227:T227)</f>
        <v>1</v>
      </c>
      <c r="Z227" s="3" t="n">
        <f aca="false">SUM(U227:W227)</f>
        <v>0</v>
      </c>
      <c r="AA227" s="3" t="n">
        <f aca="false">SUM(S227:X227)</f>
        <v>1</v>
      </c>
      <c r="AB227" s="11" t="n">
        <f aca="false">(AA227/(K227*L227)*25)*4</f>
        <v>4</v>
      </c>
    </row>
    <row r="228" customFormat="false" ht="14.25" hidden="false" customHeight="false" outlineLevel="0" collapsed="false">
      <c r="A228" s="1" t="n">
        <v>2009</v>
      </c>
      <c r="B228" s="7" t="s">
        <v>322</v>
      </c>
      <c r="C228" s="7" t="n">
        <v>2</v>
      </c>
      <c r="D228" s="7" t="s">
        <v>295</v>
      </c>
      <c r="E228" s="7" t="s">
        <v>295</v>
      </c>
      <c r="F228" s="7" t="s">
        <v>324</v>
      </c>
      <c r="G228" s="1" t="n">
        <v>3</v>
      </c>
      <c r="H228" s="1" t="n">
        <v>14</v>
      </c>
      <c r="I228" s="10" t="n">
        <v>39970</v>
      </c>
      <c r="J228" s="10" t="n">
        <v>39975</v>
      </c>
      <c r="K228" s="1" t="n">
        <v>5</v>
      </c>
      <c r="L228" s="1" t="n">
        <v>5</v>
      </c>
      <c r="M228" s="13" t="s">
        <v>27</v>
      </c>
      <c r="N228" s="13" t="s">
        <v>46</v>
      </c>
      <c r="O228" s="14" t="s">
        <v>47</v>
      </c>
      <c r="P228" s="2" t="str">
        <f aca="false">CONCATENATE(N228," ",O228)</f>
        <v>Euryopis flavomaculata</v>
      </c>
      <c r="Q228" s="1" t="s">
        <v>30</v>
      </c>
      <c r="R228" s="1" t="s">
        <v>31</v>
      </c>
      <c r="S228" s="1" t="n">
        <v>2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3" t="n">
        <f aca="false">SUM(S228:T228)</f>
        <v>2</v>
      </c>
      <c r="Z228" s="3" t="n">
        <f aca="false">SUM(U228:W228)</f>
        <v>0</v>
      </c>
      <c r="AA228" s="3" t="n">
        <f aca="false">SUM(S228:X228)</f>
        <v>2</v>
      </c>
      <c r="AB228" s="11" t="n">
        <f aca="false">(AA228/(K228*L228)*25)*4</f>
        <v>8</v>
      </c>
    </row>
    <row r="229" customFormat="false" ht="14.25" hidden="false" customHeight="false" outlineLevel="0" collapsed="false">
      <c r="A229" s="1" t="n">
        <v>2009</v>
      </c>
      <c r="B229" s="7" t="s">
        <v>322</v>
      </c>
      <c r="C229" s="7" t="n">
        <v>2</v>
      </c>
      <c r="D229" s="7" t="s">
        <v>295</v>
      </c>
      <c r="E229" s="7" t="s">
        <v>295</v>
      </c>
      <c r="F229" s="7" t="s">
        <v>324</v>
      </c>
      <c r="G229" s="1" t="n">
        <v>1</v>
      </c>
      <c r="H229" s="1" t="n">
        <v>4</v>
      </c>
      <c r="I229" s="10" t="n">
        <v>39970</v>
      </c>
      <c r="J229" s="10" t="n">
        <v>39975</v>
      </c>
      <c r="K229" s="1" t="n">
        <v>5</v>
      </c>
      <c r="L229" s="1" t="n">
        <v>5</v>
      </c>
      <c r="M229" s="3" t="s">
        <v>72</v>
      </c>
      <c r="N229" s="3" t="s">
        <v>139</v>
      </c>
      <c r="O229" s="12" t="s">
        <v>140</v>
      </c>
      <c r="P229" s="2" t="str">
        <f aca="false">CONCATENATE(N229," ",O229)</f>
        <v>Gnaphosa muscorum</v>
      </c>
      <c r="Q229" s="1" t="s">
        <v>30</v>
      </c>
      <c r="R229" s="1" t="s">
        <v>31</v>
      </c>
      <c r="S229" s="1" t="n">
        <v>1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3" t="n">
        <f aca="false">SUM(S229:T229)</f>
        <v>1</v>
      </c>
      <c r="Z229" s="3" t="n">
        <f aca="false">SUM(U229:W229)</f>
        <v>0</v>
      </c>
      <c r="AA229" s="3" t="n">
        <f aca="false">SUM(S229:X229)</f>
        <v>1</v>
      </c>
      <c r="AB229" s="11" t="n">
        <f aca="false">(AA229/(K229*L229)*25)*4</f>
        <v>4</v>
      </c>
    </row>
    <row r="230" customFormat="false" ht="14.25" hidden="false" customHeight="false" outlineLevel="0" collapsed="false">
      <c r="A230" s="1" t="n">
        <v>2009</v>
      </c>
      <c r="B230" s="7" t="s">
        <v>322</v>
      </c>
      <c r="C230" s="7" t="n">
        <v>2</v>
      </c>
      <c r="D230" s="7" t="s">
        <v>295</v>
      </c>
      <c r="E230" s="7" t="s">
        <v>295</v>
      </c>
      <c r="F230" s="7" t="s">
        <v>324</v>
      </c>
      <c r="G230" s="1" t="n">
        <v>1</v>
      </c>
      <c r="H230" s="1" t="n">
        <v>4</v>
      </c>
      <c r="I230" s="10" t="n">
        <v>39970</v>
      </c>
      <c r="J230" s="10" t="n">
        <v>39975</v>
      </c>
      <c r="K230" s="1" t="n">
        <v>5</v>
      </c>
      <c r="L230" s="1" t="n">
        <v>5</v>
      </c>
      <c r="M230" s="3" t="s">
        <v>72</v>
      </c>
      <c r="N230" s="3" t="s">
        <v>139</v>
      </c>
      <c r="O230" s="12" t="s">
        <v>140</v>
      </c>
      <c r="P230" s="2" t="str">
        <f aca="false">CONCATENATE(N230," ",O230)</f>
        <v>Gnaphosa muscorum</v>
      </c>
      <c r="Q230" s="1" t="s">
        <v>30</v>
      </c>
      <c r="R230" s="1" t="s">
        <v>35</v>
      </c>
      <c r="S230" s="1" t="n">
        <v>0</v>
      </c>
      <c r="T230" s="1" t="n">
        <v>1</v>
      </c>
      <c r="U230" s="1" t="n">
        <v>0</v>
      </c>
      <c r="V230" s="1" t="n">
        <v>0</v>
      </c>
      <c r="W230" s="1" t="n">
        <v>0</v>
      </c>
      <c r="X230" s="1" t="n">
        <v>0</v>
      </c>
      <c r="Y230" s="3" t="n">
        <f aca="false">SUM(S230:T230)</f>
        <v>1</v>
      </c>
      <c r="Z230" s="3" t="n">
        <f aca="false">SUM(U230:W230)</f>
        <v>0</v>
      </c>
      <c r="AA230" s="3" t="n">
        <f aca="false">SUM(S230:X230)</f>
        <v>1</v>
      </c>
      <c r="AB230" s="11" t="n">
        <f aca="false">(AA230/(K230*L230)*25)*4</f>
        <v>4</v>
      </c>
    </row>
    <row r="231" customFormat="false" ht="14.25" hidden="false" customHeight="false" outlineLevel="0" collapsed="false">
      <c r="A231" s="1" t="n">
        <v>2009</v>
      </c>
      <c r="B231" s="7" t="s">
        <v>322</v>
      </c>
      <c r="C231" s="7" t="n">
        <v>2</v>
      </c>
      <c r="D231" s="7" t="s">
        <v>295</v>
      </c>
      <c r="E231" s="7" t="s">
        <v>295</v>
      </c>
      <c r="F231" s="7" t="s">
        <v>324</v>
      </c>
      <c r="G231" s="1" t="n">
        <v>1</v>
      </c>
      <c r="H231" s="1" t="n">
        <v>4</v>
      </c>
      <c r="I231" s="10" t="n">
        <v>39970</v>
      </c>
      <c r="J231" s="10" t="n">
        <v>39975</v>
      </c>
      <c r="K231" s="1" t="n">
        <v>5</v>
      </c>
      <c r="L231" s="1" t="n">
        <v>5</v>
      </c>
      <c r="M231" s="3" t="s">
        <v>48</v>
      </c>
      <c r="N231" s="3" t="s">
        <v>49</v>
      </c>
      <c r="O231" s="12" t="s">
        <v>119</v>
      </c>
      <c r="P231" s="2" t="str">
        <f aca="false">CONCATENATE(N231," ",O231)</f>
        <v>Alopecosa sulzeri</v>
      </c>
      <c r="Q231" s="1" t="s">
        <v>30</v>
      </c>
      <c r="R231" s="1" t="s">
        <v>31</v>
      </c>
      <c r="S231" s="1" t="n">
        <v>3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3" t="n">
        <f aca="false">SUM(S231:T231)</f>
        <v>3</v>
      </c>
      <c r="Z231" s="3" t="n">
        <f aca="false">SUM(U231:W231)</f>
        <v>0</v>
      </c>
      <c r="AA231" s="3" t="n">
        <f aca="false">SUM(S231:X231)</f>
        <v>3</v>
      </c>
      <c r="AB231" s="11" t="n">
        <f aca="false">(AA231/(K231*L231)*25)*4</f>
        <v>12</v>
      </c>
    </row>
    <row r="232" customFormat="false" ht="14.25" hidden="false" customHeight="false" outlineLevel="0" collapsed="false">
      <c r="A232" s="1" t="n">
        <v>2009</v>
      </c>
      <c r="B232" s="7" t="s">
        <v>322</v>
      </c>
      <c r="C232" s="7" t="n">
        <v>2</v>
      </c>
      <c r="D232" s="7" t="s">
        <v>295</v>
      </c>
      <c r="E232" s="7" t="s">
        <v>295</v>
      </c>
      <c r="F232" s="7" t="s">
        <v>324</v>
      </c>
      <c r="G232" s="1" t="n">
        <v>1</v>
      </c>
      <c r="H232" s="1" t="n">
        <v>4</v>
      </c>
      <c r="I232" s="10" t="n">
        <v>39970</v>
      </c>
      <c r="J232" s="10" t="n">
        <v>39975</v>
      </c>
      <c r="K232" s="1" t="n">
        <v>5</v>
      </c>
      <c r="L232" s="1" t="n">
        <v>5</v>
      </c>
      <c r="M232" s="3" t="s">
        <v>48</v>
      </c>
      <c r="N232" s="3" t="s">
        <v>49</v>
      </c>
      <c r="O232" s="8" t="s">
        <v>130</v>
      </c>
      <c r="P232" s="2" t="str">
        <f aca="false">CONCATENATE(N232," ",O232)</f>
        <v>Alopecosa aculeata</v>
      </c>
      <c r="Q232" s="1" t="s">
        <v>30</v>
      </c>
      <c r="R232" s="1" t="s">
        <v>31</v>
      </c>
      <c r="S232" s="1" t="n">
        <v>4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3" t="n">
        <f aca="false">SUM(S232:T232)</f>
        <v>4</v>
      </c>
      <c r="Z232" s="3" t="n">
        <f aca="false">SUM(U232:W232)</f>
        <v>0</v>
      </c>
      <c r="AA232" s="3" t="n">
        <f aca="false">SUM(S232:X232)</f>
        <v>4</v>
      </c>
      <c r="AB232" s="11" t="n">
        <f aca="false">(AA232/(K232*L232)*25)*4</f>
        <v>16</v>
      </c>
    </row>
    <row r="233" customFormat="false" ht="14.25" hidden="false" customHeight="false" outlineLevel="0" collapsed="false">
      <c r="A233" s="1" t="n">
        <v>2009</v>
      </c>
      <c r="B233" s="7" t="s">
        <v>322</v>
      </c>
      <c r="C233" s="7" t="n">
        <v>2</v>
      </c>
      <c r="D233" s="7" t="s">
        <v>295</v>
      </c>
      <c r="E233" s="7" t="s">
        <v>295</v>
      </c>
      <c r="F233" s="7" t="s">
        <v>324</v>
      </c>
      <c r="G233" s="1" t="n">
        <v>1</v>
      </c>
      <c r="H233" s="1" t="n">
        <v>4</v>
      </c>
      <c r="I233" s="10" t="n">
        <v>39970</v>
      </c>
      <c r="J233" s="10" t="n">
        <v>39975</v>
      </c>
      <c r="K233" s="1" t="n">
        <v>5</v>
      </c>
      <c r="L233" s="1" t="n">
        <v>5</v>
      </c>
      <c r="M233" s="3" t="s">
        <v>48</v>
      </c>
      <c r="N233" s="3" t="s">
        <v>122</v>
      </c>
      <c r="O233" s="12" t="s">
        <v>123</v>
      </c>
      <c r="P233" s="2" t="str">
        <f aca="false">CONCATENATE(N233," ",O233)</f>
        <v>Xerolycosa nemoralis</v>
      </c>
      <c r="Q233" s="1" t="s">
        <v>30</v>
      </c>
      <c r="R233" s="1" t="s">
        <v>31</v>
      </c>
      <c r="S233" s="1" t="n">
        <v>3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3" t="n">
        <f aca="false">SUM(S233:T233)</f>
        <v>3</v>
      </c>
      <c r="Z233" s="3" t="n">
        <f aca="false">SUM(U233:W233)</f>
        <v>0</v>
      </c>
      <c r="AA233" s="3" t="n">
        <f aca="false">SUM(S233:X233)</f>
        <v>3</v>
      </c>
      <c r="AB233" s="11" t="n">
        <f aca="false">(AA233/(K233*L233)*25)*4</f>
        <v>12</v>
      </c>
    </row>
    <row r="234" customFormat="false" ht="14.25" hidden="false" customHeight="false" outlineLevel="0" collapsed="false">
      <c r="A234" s="1" t="n">
        <v>2009</v>
      </c>
      <c r="B234" s="7" t="s">
        <v>322</v>
      </c>
      <c r="C234" s="7" t="n">
        <v>2</v>
      </c>
      <c r="D234" s="7" t="s">
        <v>295</v>
      </c>
      <c r="E234" s="7" t="s">
        <v>295</v>
      </c>
      <c r="F234" s="7" t="s">
        <v>324</v>
      </c>
      <c r="G234" s="1" t="n">
        <v>1</v>
      </c>
      <c r="H234" s="1" t="n">
        <v>4</v>
      </c>
      <c r="I234" s="10" t="n">
        <v>39970</v>
      </c>
      <c r="J234" s="10" t="n">
        <v>39975</v>
      </c>
      <c r="K234" s="1" t="n">
        <v>5</v>
      </c>
      <c r="L234" s="1" t="n">
        <v>5</v>
      </c>
      <c r="M234" s="3" t="s">
        <v>48</v>
      </c>
      <c r="N234" s="3" t="s">
        <v>67</v>
      </c>
      <c r="O234" s="12" t="s">
        <v>127</v>
      </c>
      <c r="P234" s="2" t="str">
        <f aca="false">CONCATENATE(N234," ",O234)</f>
        <v>Pardosa lugubris</v>
      </c>
      <c r="Q234" s="1" t="s">
        <v>30</v>
      </c>
      <c r="R234" s="1" t="s">
        <v>35</v>
      </c>
      <c r="S234" s="1" t="n">
        <v>0</v>
      </c>
      <c r="T234" s="1" t="n">
        <v>1</v>
      </c>
      <c r="U234" s="1" t="n">
        <v>0</v>
      </c>
      <c r="V234" s="1" t="n">
        <v>0</v>
      </c>
      <c r="W234" s="1" t="n">
        <v>0</v>
      </c>
      <c r="X234" s="1" t="n">
        <v>0</v>
      </c>
      <c r="Y234" s="3" t="n">
        <f aca="false">SUM(S234:T234)</f>
        <v>1</v>
      </c>
      <c r="Z234" s="3" t="n">
        <f aca="false">SUM(U234:W234)</f>
        <v>0</v>
      </c>
      <c r="AA234" s="3" t="n">
        <f aca="false">SUM(S234:X234)</f>
        <v>1</v>
      </c>
      <c r="AB234" s="11" t="n">
        <f aca="false">(AA234/(K234*L234)*25)*4</f>
        <v>4</v>
      </c>
    </row>
    <row r="235" customFormat="false" ht="14.25" hidden="false" customHeight="false" outlineLevel="0" collapsed="false">
      <c r="A235" s="1" t="n">
        <v>2009</v>
      </c>
      <c r="B235" s="7" t="s">
        <v>322</v>
      </c>
      <c r="C235" s="7" t="n">
        <v>2</v>
      </c>
      <c r="D235" s="7" t="s">
        <v>295</v>
      </c>
      <c r="E235" s="7" t="s">
        <v>295</v>
      </c>
      <c r="F235" s="7" t="s">
        <v>324</v>
      </c>
      <c r="G235" s="1" t="n">
        <v>2</v>
      </c>
      <c r="H235" s="1" t="n">
        <v>8</v>
      </c>
      <c r="I235" s="10" t="n">
        <v>39970</v>
      </c>
      <c r="J235" s="10" t="n">
        <v>39975</v>
      </c>
      <c r="K235" s="1" t="n">
        <v>5</v>
      </c>
      <c r="L235" s="1" t="n">
        <v>5</v>
      </c>
      <c r="M235" s="3" t="s">
        <v>48</v>
      </c>
      <c r="N235" s="3" t="s">
        <v>49</v>
      </c>
      <c r="O235" s="8" t="s">
        <v>130</v>
      </c>
      <c r="P235" s="2" t="str">
        <f aca="false">CONCATENATE(N235," ",O235)</f>
        <v>Alopecosa aculeata</v>
      </c>
      <c r="Q235" s="1" t="s">
        <v>30</v>
      </c>
      <c r="R235" s="1" t="s">
        <v>31</v>
      </c>
      <c r="S235" s="1" t="n">
        <v>4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3" t="n">
        <f aca="false">SUM(S235:T235)</f>
        <v>4</v>
      </c>
      <c r="Z235" s="3" t="n">
        <f aca="false">SUM(U235:W235)</f>
        <v>0</v>
      </c>
      <c r="AA235" s="3" t="n">
        <f aca="false">SUM(S235:X235)</f>
        <v>4</v>
      </c>
      <c r="AB235" s="11" t="n">
        <f aca="false">(AA235/(K235*L235)*25)*4</f>
        <v>16</v>
      </c>
    </row>
    <row r="236" customFormat="false" ht="14.25" hidden="false" customHeight="false" outlineLevel="0" collapsed="false">
      <c r="A236" s="1" t="n">
        <v>2009</v>
      </c>
      <c r="B236" s="7" t="s">
        <v>322</v>
      </c>
      <c r="C236" s="7" t="n">
        <v>2</v>
      </c>
      <c r="D236" s="7" t="s">
        <v>295</v>
      </c>
      <c r="E236" s="7" t="s">
        <v>295</v>
      </c>
      <c r="F236" s="7" t="s">
        <v>324</v>
      </c>
      <c r="G236" s="1" t="n">
        <v>2</v>
      </c>
      <c r="H236" s="1" t="n">
        <v>8</v>
      </c>
      <c r="I236" s="10" t="n">
        <v>39970</v>
      </c>
      <c r="J236" s="10" t="n">
        <v>39975</v>
      </c>
      <c r="K236" s="1" t="n">
        <v>5</v>
      </c>
      <c r="L236" s="1" t="n">
        <v>5</v>
      </c>
      <c r="M236" s="3" t="s">
        <v>48</v>
      </c>
      <c r="N236" s="3" t="s">
        <v>49</v>
      </c>
      <c r="O236" s="8" t="s">
        <v>130</v>
      </c>
      <c r="P236" s="2" t="str">
        <f aca="false">CONCATENATE(N236," ",O236)</f>
        <v>Alopecosa aculeata</v>
      </c>
      <c r="Q236" s="1" t="s">
        <v>30</v>
      </c>
      <c r="R236" s="1" t="s">
        <v>35</v>
      </c>
      <c r="S236" s="1" t="n">
        <v>0</v>
      </c>
      <c r="T236" s="1" t="n">
        <v>4</v>
      </c>
      <c r="U236" s="1" t="n">
        <v>0</v>
      </c>
      <c r="V236" s="1" t="n">
        <v>0</v>
      </c>
      <c r="W236" s="1" t="n">
        <v>0</v>
      </c>
      <c r="X236" s="1" t="n">
        <v>0</v>
      </c>
      <c r="Y236" s="3" t="n">
        <f aca="false">SUM(S236:T236)</f>
        <v>4</v>
      </c>
      <c r="Z236" s="3" t="n">
        <f aca="false">SUM(U236:W236)</f>
        <v>0</v>
      </c>
      <c r="AA236" s="3" t="n">
        <f aca="false">SUM(S236:X236)</f>
        <v>4</v>
      </c>
      <c r="AB236" s="11" t="n">
        <f aca="false">(AA236/(K236*L236)*25)*4</f>
        <v>16</v>
      </c>
    </row>
    <row r="237" customFormat="false" ht="14.25" hidden="false" customHeight="false" outlineLevel="0" collapsed="false">
      <c r="A237" s="1" t="n">
        <v>2009</v>
      </c>
      <c r="B237" s="7" t="s">
        <v>322</v>
      </c>
      <c r="C237" s="7" t="n">
        <v>2</v>
      </c>
      <c r="D237" s="7" t="s">
        <v>295</v>
      </c>
      <c r="E237" s="7" t="s">
        <v>295</v>
      </c>
      <c r="F237" s="7" t="s">
        <v>324</v>
      </c>
      <c r="G237" s="1" t="n">
        <v>2</v>
      </c>
      <c r="H237" s="1" t="n">
        <v>8</v>
      </c>
      <c r="I237" s="10" t="n">
        <v>39970</v>
      </c>
      <c r="J237" s="10" t="n">
        <v>39975</v>
      </c>
      <c r="K237" s="1" t="n">
        <v>5</v>
      </c>
      <c r="L237" s="1" t="n">
        <v>5</v>
      </c>
      <c r="M237" s="3" t="s">
        <v>72</v>
      </c>
      <c r="N237" s="3" t="s">
        <v>139</v>
      </c>
      <c r="O237" s="12" t="s">
        <v>140</v>
      </c>
      <c r="P237" s="2" t="str">
        <f aca="false">CONCATENATE(N237," ",O237)</f>
        <v>Gnaphosa muscorum</v>
      </c>
      <c r="Q237" s="1" t="s">
        <v>30</v>
      </c>
      <c r="R237" s="1" t="s">
        <v>31</v>
      </c>
      <c r="S237" s="1" t="n">
        <v>2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3" t="n">
        <f aca="false">SUM(S237:T237)</f>
        <v>2</v>
      </c>
      <c r="Z237" s="3" t="n">
        <f aca="false">SUM(U237:W237)</f>
        <v>0</v>
      </c>
      <c r="AA237" s="3" t="n">
        <f aca="false">SUM(S237:X237)</f>
        <v>2</v>
      </c>
      <c r="AB237" s="11" t="n">
        <f aca="false">(AA237/(K237*L237)*25)*4</f>
        <v>8</v>
      </c>
    </row>
    <row r="238" customFormat="false" ht="14.25" hidden="false" customHeight="false" outlineLevel="0" collapsed="false">
      <c r="A238" s="1" t="n">
        <v>2009</v>
      </c>
      <c r="B238" s="7" t="s">
        <v>322</v>
      </c>
      <c r="C238" s="7" t="n">
        <v>2</v>
      </c>
      <c r="D238" s="7" t="s">
        <v>295</v>
      </c>
      <c r="E238" s="7" t="s">
        <v>295</v>
      </c>
      <c r="F238" s="7" t="s">
        <v>324</v>
      </c>
      <c r="G238" s="1" t="n">
        <v>2</v>
      </c>
      <c r="H238" s="1" t="n">
        <v>8</v>
      </c>
      <c r="I238" s="10" t="n">
        <v>39970</v>
      </c>
      <c r="J238" s="10" t="n">
        <v>39975</v>
      </c>
      <c r="K238" s="1" t="n">
        <v>5</v>
      </c>
      <c r="L238" s="1" t="n">
        <v>5</v>
      </c>
      <c r="M238" s="3" t="s">
        <v>72</v>
      </c>
      <c r="N238" s="3" t="s">
        <v>73</v>
      </c>
      <c r="O238" s="12" t="s">
        <v>149</v>
      </c>
      <c r="P238" s="2" t="str">
        <f aca="false">CONCATENATE(N238," ",O238)</f>
        <v>Zelotes electus</v>
      </c>
      <c r="Q238" s="1" t="s">
        <v>30</v>
      </c>
      <c r="R238" s="1" t="s">
        <v>35</v>
      </c>
      <c r="S238" s="1" t="n">
        <v>0</v>
      </c>
      <c r="T238" s="1" t="n">
        <v>1</v>
      </c>
      <c r="U238" s="1" t="n">
        <v>0</v>
      </c>
      <c r="V238" s="1" t="n">
        <v>0</v>
      </c>
      <c r="W238" s="1" t="n">
        <v>0</v>
      </c>
      <c r="X238" s="1" t="n">
        <v>0</v>
      </c>
      <c r="Y238" s="3" t="n">
        <f aca="false">SUM(S238:T238)</f>
        <v>1</v>
      </c>
      <c r="Z238" s="3" t="n">
        <f aca="false">SUM(U238:W238)</f>
        <v>0</v>
      </c>
      <c r="AA238" s="3" t="n">
        <f aca="false">SUM(S238:X238)</f>
        <v>1</v>
      </c>
      <c r="AB238" s="11" t="n">
        <f aca="false">(AA238/(K238*L238)*25)*4</f>
        <v>4</v>
      </c>
    </row>
    <row r="239" customFormat="false" ht="14.25" hidden="false" customHeight="false" outlineLevel="0" collapsed="false">
      <c r="A239" s="1" t="n">
        <v>2009</v>
      </c>
      <c r="B239" s="7" t="s">
        <v>322</v>
      </c>
      <c r="C239" s="7" t="n">
        <v>2</v>
      </c>
      <c r="D239" s="7" t="s">
        <v>295</v>
      </c>
      <c r="E239" s="7" t="s">
        <v>295</v>
      </c>
      <c r="F239" s="7" t="s">
        <v>324</v>
      </c>
      <c r="G239" s="1" t="n">
        <v>2</v>
      </c>
      <c r="H239" s="1" t="n">
        <v>8</v>
      </c>
      <c r="I239" s="10" t="n">
        <v>39970</v>
      </c>
      <c r="J239" s="10" t="n">
        <v>39975</v>
      </c>
      <c r="K239" s="1" t="n">
        <v>5</v>
      </c>
      <c r="L239" s="1" t="n">
        <v>5</v>
      </c>
      <c r="M239" s="3" t="s">
        <v>48</v>
      </c>
      <c r="N239" s="3" t="s">
        <v>122</v>
      </c>
      <c r="O239" s="12" t="s">
        <v>123</v>
      </c>
      <c r="P239" s="2" t="str">
        <f aca="false">CONCATENATE(N239," ",O239)</f>
        <v>Xerolycosa nemoralis</v>
      </c>
      <c r="Q239" s="1" t="s">
        <v>30</v>
      </c>
      <c r="R239" s="1" t="s">
        <v>31</v>
      </c>
      <c r="S239" s="1" t="n">
        <v>2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3" t="n">
        <f aca="false">SUM(S239:T239)</f>
        <v>2</v>
      </c>
      <c r="Z239" s="3" t="n">
        <f aca="false">SUM(U239:W239)</f>
        <v>0</v>
      </c>
      <c r="AA239" s="3" t="n">
        <f aca="false">SUM(S239:X239)</f>
        <v>2</v>
      </c>
      <c r="AB239" s="11" t="n">
        <f aca="false">(AA239/(K239*L239)*25)*4</f>
        <v>8</v>
      </c>
    </row>
    <row r="240" customFormat="false" ht="14.25" hidden="false" customHeight="false" outlineLevel="0" collapsed="false">
      <c r="A240" s="1" t="n">
        <v>2009</v>
      </c>
      <c r="B240" s="7" t="s">
        <v>322</v>
      </c>
      <c r="C240" s="7" t="n">
        <v>2</v>
      </c>
      <c r="D240" s="7" t="s">
        <v>295</v>
      </c>
      <c r="E240" s="7" t="s">
        <v>295</v>
      </c>
      <c r="F240" s="7" t="s">
        <v>324</v>
      </c>
      <c r="G240" s="1" t="n">
        <v>2</v>
      </c>
      <c r="H240" s="1" t="n">
        <v>8</v>
      </c>
      <c r="I240" s="10" t="n">
        <v>39970</v>
      </c>
      <c r="J240" s="10" t="n">
        <v>39975</v>
      </c>
      <c r="K240" s="1" t="n">
        <v>5</v>
      </c>
      <c r="L240" s="1" t="n">
        <v>5</v>
      </c>
      <c r="M240" s="3" t="s">
        <v>48</v>
      </c>
      <c r="N240" s="3" t="s">
        <v>67</v>
      </c>
      <c r="O240" s="12" t="s">
        <v>127</v>
      </c>
      <c r="P240" s="2" t="str">
        <f aca="false">CONCATENATE(N240," ",O240)</f>
        <v>Pardosa lugubris</v>
      </c>
      <c r="Q240" s="1" t="s">
        <v>30</v>
      </c>
      <c r="R240" s="1" t="s">
        <v>31</v>
      </c>
      <c r="S240" s="1" t="n">
        <v>2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3" t="n">
        <f aca="false">SUM(S240:T240)</f>
        <v>2</v>
      </c>
      <c r="Z240" s="3" t="n">
        <f aca="false">SUM(U240:W240)</f>
        <v>0</v>
      </c>
      <c r="AA240" s="3" t="n">
        <f aca="false">SUM(S240:X240)</f>
        <v>2</v>
      </c>
      <c r="AB240" s="11" t="n">
        <f aca="false">(AA240/(K240*L240)*25)*4</f>
        <v>8</v>
      </c>
    </row>
    <row r="241" customFormat="false" ht="14.25" hidden="false" customHeight="false" outlineLevel="0" collapsed="false">
      <c r="A241" s="1" t="n">
        <v>2009</v>
      </c>
      <c r="B241" s="7" t="s">
        <v>322</v>
      </c>
      <c r="C241" s="7" t="n">
        <v>2</v>
      </c>
      <c r="D241" s="7" t="s">
        <v>295</v>
      </c>
      <c r="E241" s="7" t="s">
        <v>295</v>
      </c>
      <c r="F241" s="7" t="s">
        <v>324</v>
      </c>
      <c r="G241" s="1" t="n">
        <v>2</v>
      </c>
      <c r="H241" s="1" t="n">
        <v>8</v>
      </c>
      <c r="I241" s="10" t="n">
        <v>39970</v>
      </c>
      <c r="J241" s="10" t="n">
        <v>39975</v>
      </c>
      <c r="K241" s="1" t="n">
        <v>5</v>
      </c>
      <c r="L241" s="1" t="n">
        <v>5</v>
      </c>
      <c r="M241" s="3" t="s">
        <v>36</v>
      </c>
      <c r="N241" s="3" t="s">
        <v>131</v>
      </c>
      <c r="O241" s="12" t="s">
        <v>133</v>
      </c>
      <c r="P241" s="2" t="str">
        <f aca="false">CONCATENATE(N241," ",O241)</f>
        <v>Xysticus luctuosus</v>
      </c>
      <c r="Q241" s="1" t="s">
        <v>30</v>
      </c>
      <c r="R241" s="1" t="s">
        <v>31</v>
      </c>
      <c r="S241" s="1" t="n">
        <v>1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3" t="n">
        <f aca="false">SUM(S241:T241)</f>
        <v>1</v>
      </c>
      <c r="Z241" s="3" t="n">
        <f aca="false">SUM(U241:W241)</f>
        <v>0</v>
      </c>
      <c r="AA241" s="3" t="n">
        <f aca="false">SUM(S241:X241)</f>
        <v>1</v>
      </c>
      <c r="AB241" s="11" t="n">
        <f aca="false">(AA241/(K241*L241)*25)*4</f>
        <v>4</v>
      </c>
    </row>
    <row r="242" customFormat="false" ht="14.25" hidden="false" customHeight="false" outlineLevel="0" collapsed="false">
      <c r="A242" s="1" t="n">
        <v>2009</v>
      </c>
      <c r="B242" s="7" t="s">
        <v>322</v>
      </c>
      <c r="C242" s="7" t="n">
        <v>2</v>
      </c>
      <c r="D242" s="7" t="s">
        <v>295</v>
      </c>
      <c r="E242" s="7" t="s">
        <v>295</v>
      </c>
      <c r="F242" s="7" t="s">
        <v>324</v>
      </c>
      <c r="G242" s="1" t="n">
        <v>2</v>
      </c>
      <c r="H242" s="1" t="n">
        <v>8</v>
      </c>
      <c r="I242" s="10" t="n">
        <v>39970</v>
      </c>
      <c r="J242" s="10" t="n">
        <v>39975</v>
      </c>
      <c r="K242" s="1" t="n">
        <v>5</v>
      </c>
      <c r="L242" s="1" t="n">
        <v>5</v>
      </c>
      <c r="M242" s="3" t="s">
        <v>64</v>
      </c>
      <c r="N242" s="3" t="s">
        <v>65</v>
      </c>
      <c r="O242" s="12" t="s">
        <v>123</v>
      </c>
      <c r="P242" s="2" t="str">
        <f aca="false">CONCATENATE(N242," ",O242)</f>
        <v>Zora nemoralis</v>
      </c>
      <c r="Q242" s="1" t="s">
        <v>30</v>
      </c>
      <c r="R242" s="1" t="s">
        <v>31</v>
      </c>
      <c r="S242" s="1" t="n">
        <v>1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3" t="n">
        <f aca="false">SUM(S242:T242)</f>
        <v>1</v>
      </c>
      <c r="Z242" s="3" t="n">
        <f aca="false">SUM(U242:W242)</f>
        <v>0</v>
      </c>
      <c r="AA242" s="3" t="n">
        <f aca="false">SUM(S242:X242)</f>
        <v>1</v>
      </c>
      <c r="AB242" s="11" t="n">
        <f aca="false">(AA242/(K242*L242)*25)*4</f>
        <v>4</v>
      </c>
    </row>
    <row r="243" customFormat="false" ht="14.25" hidden="false" customHeight="false" outlineLevel="0" collapsed="false">
      <c r="A243" s="1" t="n">
        <v>2009</v>
      </c>
      <c r="B243" s="7" t="s">
        <v>322</v>
      </c>
      <c r="C243" s="7" t="n">
        <v>2</v>
      </c>
      <c r="D243" s="7" t="s">
        <v>295</v>
      </c>
      <c r="E243" s="7" t="s">
        <v>295</v>
      </c>
      <c r="F243" s="7" t="s">
        <v>324</v>
      </c>
      <c r="G243" s="1" t="n">
        <v>1</v>
      </c>
      <c r="H243" s="1" t="n">
        <v>1</v>
      </c>
      <c r="I243" s="10" t="n">
        <v>39970</v>
      </c>
      <c r="J243" s="10" t="n">
        <v>39975</v>
      </c>
      <c r="K243" s="1" t="n">
        <v>5</v>
      </c>
      <c r="L243" s="1" t="n">
        <v>5</v>
      </c>
      <c r="M243" s="3" t="s">
        <v>72</v>
      </c>
      <c r="N243" s="3" t="s">
        <v>139</v>
      </c>
      <c r="O243" s="12" t="s">
        <v>140</v>
      </c>
      <c r="P243" s="2" t="str">
        <f aca="false">CONCATENATE(N243," ",O243)</f>
        <v>Gnaphosa muscorum</v>
      </c>
      <c r="Q243" s="1" t="s">
        <v>30</v>
      </c>
      <c r="R243" s="1" t="s">
        <v>31</v>
      </c>
      <c r="S243" s="1" t="n">
        <v>1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3" t="n">
        <f aca="false">SUM(S243:T243)</f>
        <v>1</v>
      </c>
      <c r="Z243" s="3" t="n">
        <f aca="false">SUM(U243:W243)</f>
        <v>0</v>
      </c>
      <c r="AA243" s="3" t="n">
        <f aca="false">SUM(S243:X243)</f>
        <v>1</v>
      </c>
      <c r="AB243" s="11" t="n">
        <f aca="false">(AA243/(K243*L243)*25)*4</f>
        <v>4</v>
      </c>
    </row>
    <row r="244" customFormat="false" ht="14.25" hidden="false" customHeight="false" outlineLevel="0" collapsed="false">
      <c r="A244" s="1" t="n">
        <v>2009</v>
      </c>
      <c r="B244" s="7" t="s">
        <v>322</v>
      </c>
      <c r="C244" s="7" t="n">
        <v>2</v>
      </c>
      <c r="D244" s="7" t="s">
        <v>295</v>
      </c>
      <c r="E244" s="7" t="s">
        <v>295</v>
      </c>
      <c r="F244" s="7" t="s">
        <v>324</v>
      </c>
      <c r="G244" s="1" t="n">
        <v>1</v>
      </c>
      <c r="H244" s="1" t="n">
        <v>1</v>
      </c>
      <c r="I244" s="10" t="n">
        <v>39970</v>
      </c>
      <c r="J244" s="10" t="n">
        <v>39975</v>
      </c>
      <c r="K244" s="1" t="n">
        <v>5</v>
      </c>
      <c r="L244" s="1" t="n">
        <v>5</v>
      </c>
      <c r="M244" s="3" t="s">
        <v>72</v>
      </c>
      <c r="N244" s="3" t="s">
        <v>139</v>
      </c>
      <c r="O244" s="12" t="s">
        <v>140</v>
      </c>
      <c r="P244" s="2" t="str">
        <f aca="false">CONCATENATE(N244," ",O244)</f>
        <v>Gnaphosa muscorum</v>
      </c>
      <c r="Q244" s="1" t="s">
        <v>30</v>
      </c>
      <c r="R244" s="1" t="s">
        <v>35</v>
      </c>
      <c r="S244" s="1" t="n">
        <v>0</v>
      </c>
      <c r="T244" s="1" t="n">
        <v>1</v>
      </c>
      <c r="U244" s="1" t="n">
        <v>0</v>
      </c>
      <c r="V244" s="1" t="n">
        <v>0</v>
      </c>
      <c r="W244" s="1" t="n">
        <v>0</v>
      </c>
      <c r="X244" s="1" t="n">
        <v>0</v>
      </c>
      <c r="Y244" s="3" t="n">
        <f aca="false">SUM(S244:T244)</f>
        <v>1</v>
      </c>
      <c r="Z244" s="3" t="n">
        <f aca="false">SUM(U244:W244)</f>
        <v>0</v>
      </c>
      <c r="AA244" s="3" t="n">
        <f aca="false">SUM(S244:X244)</f>
        <v>1</v>
      </c>
      <c r="AB244" s="11" t="n">
        <f aca="false">(AA244/(K244*L244)*25)*4</f>
        <v>4</v>
      </c>
    </row>
    <row r="245" customFormat="false" ht="14.25" hidden="false" customHeight="false" outlineLevel="0" collapsed="false">
      <c r="A245" s="1" t="n">
        <v>2009</v>
      </c>
      <c r="B245" s="7" t="s">
        <v>322</v>
      </c>
      <c r="C245" s="7" t="n">
        <v>2</v>
      </c>
      <c r="D245" s="7" t="s">
        <v>295</v>
      </c>
      <c r="E245" s="7" t="s">
        <v>295</v>
      </c>
      <c r="F245" s="7" t="s">
        <v>324</v>
      </c>
      <c r="G245" s="1" t="n">
        <v>1</v>
      </c>
      <c r="H245" s="1" t="n">
        <v>1</v>
      </c>
      <c r="I245" s="10" t="n">
        <v>39970</v>
      </c>
      <c r="J245" s="10" t="n">
        <v>39975</v>
      </c>
      <c r="K245" s="1" t="n">
        <v>5</v>
      </c>
      <c r="L245" s="1" t="n">
        <v>5</v>
      </c>
      <c r="M245" s="3" t="s">
        <v>72</v>
      </c>
      <c r="N245" s="3" t="s">
        <v>150</v>
      </c>
      <c r="O245" s="12" t="s">
        <v>151</v>
      </c>
      <c r="P245" s="2" t="str">
        <f aca="false">CONCATENATE(N245," ",O245)</f>
        <v>Drassodes villosus</v>
      </c>
      <c r="Q245" s="1" t="s">
        <v>30</v>
      </c>
      <c r="R245" s="1" t="s">
        <v>31</v>
      </c>
      <c r="S245" s="1" t="n">
        <v>1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3" t="n">
        <f aca="false">SUM(S245:T245)</f>
        <v>1</v>
      </c>
      <c r="Z245" s="3" t="n">
        <f aca="false">SUM(U245:W245)</f>
        <v>0</v>
      </c>
      <c r="AA245" s="3" t="n">
        <f aca="false">SUM(S245:X245)</f>
        <v>1</v>
      </c>
      <c r="AB245" s="11" t="n">
        <f aca="false">(AA245/(K245*L245)*25)*4</f>
        <v>4</v>
      </c>
    </row>
    <row r="246" customFormat="false" ht="14.25" hidden="false" customHeight="false" outlineLevel="0" collapsed="false">
      <c r="A246" s="1" t="n">
        <v>2009</v>
      </c>
      <c r="B246" s="7" t="s">
        <v>322</v>
      </c>
      <c r="C246" s="7" t="n">
        <v>2</v>
      </c>
      <c r="D246" s="7" t="s">
        <v>295</v>
      </c>
      <c r="E246" s="7" t="s">
        <v>295</v>
      </c>
      <c r="F246" s="7" t="s">
        <v>324</v>
      </c>
      <c r="G246" s="1" t="n">
        <v>1</v>
      </c>
      <c r="H246" s="1" t="n">
        <v>1</v>
      </c>
      <c r="I246" s="10" t="n">
        <v>39970</v>
      </c>
      <c r="J246" s="10" t="n">
        <v>39975</v>
      </c>
      <c r="K246" s="1" t="n">
        <v>5</v>
      </c>
      <c r="L246" s="1" t="n">
        <v>5</v>
      </c>
      <c r="M246" s="3" t="s">
        <v>48</v>
      </c>
      <c r="N246" s="3" t="s">
        <v>49</v>
      </c>
      <c r="O246" s="8" t="s">
        <v>130</v>
      </c>
      <c r="P246" s="2" t="str">
        <f aca="false">CONCATENATE(N246," ",O246)</f>
        <v>Alopecosa aculeata</v>
      </c>
      <c r="Q246" s="1" t="s">
        <v>30</v>
      </c>
      <c r="R246" s="1" t="s">
        <v>31</v>
      </c>
      <c r="S246" s="1" t="n">
        <v>3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3" t="n">
        <f aca="false">SUM(S246:T246)</f>
        <v>3</v>
      </c>
      <c r="Z246" s="3" t="n">
        <f aca="false">SUM(U246:W246)</f>
        <v>0</v>
      </c>
      <c r="AA246" s="3" t="n">
        <f aca="false">SUM(S246:X246)</f>
        <v>3</v>
      </c>
      <c r="AB246" s="11" t="n">
        <f aca="false">(AA246/(K246*L246)*25)*4</f>
        <v>12</v>
      </c>
    </row>
    <row r="247" customFormat="false" ht="14.25" hidden="false" customHeight="false" outlineLevel="0" collapsed="false">
      <c r="A247" s="1" t="n">
        <v>2009</v>
      </c>
      <c r="B247" s="7" t="s">
        <v>322</v>
      </c>
      <c r="C247" s="7" t="n">
        <v>2</v>
      </c>
      <c r="D247" s="7" t="s">
        <v>295</v>
      </c>
      <c r="E247" s="7" t="s">
        <v>295</v>
      </c>
      <c r="F247" s="7" t="s">
        <v>324</v>
      </c>
      <c r="G247" s="1" t="n">
        <v>1</v>
      </c>
      <c r="H247" s="1" t="n">
        <v>1</v>
      </c>
      <c r="I247" s="10" t="n">
        <v>39970</v>
      </c>
      <c r="J247" s="10" t="n">
        <v>39975</v>
      </c>
      <c r="K247" s="1" t="n">
        <v>5</v>
      </c>
      <c r="L247" s="1" t="n">
        <v>5</v>
      </c>
      <c r="M247" s="3" t="s">
        <v>48</v>
      </c>
      <c r="N247" s="3" t="s">
        <v>122</v>
      </c>
      <c r="O247" s="12" t="s">
        <v>123</v>
      </c>
      <c r="P247" s="2" t="str">
        <f aca="false">CONCATENATE(N247," ",O247)</f>
        <v>Xerolycosa nemoralis</v>
      </c>
      <c r="Q247" s="1" t="s">
        <v>30</v>
      </c>
      <c r="R247" s="1" t="s">
        <v>31</v>
      </c>
      <c r="S247" s="1" t="n">
        <v>2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3" t="n">
        <f aca="false">SUM(S247:T247)</f>
        <v>2</v>
      </c>
      <c r="Z247" s="3" t="n">
        <f aca="false">SUM(U247:W247)</f>
        <v>0</v>
      </c>
      <c r="AA247" s="3" t="n">
        <f aca="false">SUM(S247:X247)</f>
        <v>2</v>
      </c>
      <c r="AB247" s="11" t="n">
        <f aca="false">(AA247/(K247*L247)*25)*4</f>
        <v>8</v>
      </c>
    </row>
    <row r="248" customFormat="false" ht="14.25" hidden="false" customHeight="false" outlineLevel="0" collapsed="false">
      <c r="A248" s="1" t="n">
        <v>2009</v>
      </c>
      <c r="B248" s="7" t="s">
        <v>322</v>
      </c>
      <c r="C248" s="7" t="n">
        <v>2</v>
      </c>
      <c r="D248" s="7" t="s">
        <v>295</v>
      </c>
      <c r="E248" s="7" t="s">
        <v>295</v>
      </c>
      <c r="F248" s="7" t="s">
        <v>324</v>
      </c>
      <c r="G248" s="1" t="n">
        <v>1</v>
      </c>
      <c r="H248" s="1" t="n">
        <v>1</v>
      </c>
      <c r="I248" s="10" t="n">
        <v>39970</v>
      </c>
      <c r="J248" s="10" t="n">
        <v>39975</v>
      </c>
      <c r="K248" s="1" t="n">
        <v>5</v>
      </c>
      <c r="L248" s="1" t="n">
        <v>5</v>
      </c>
      <c r="M248" s="3" t="s">
        <v>48</v>
      </c>
      <c r="N248" s="3" t="s">
        <v>122</v>
      </c>
      <c r="O248" s="12" t="s">
        <v>123</v>
      </c>
      <c r="P248" s="2" t="str">
        <f aca="false">CONCATENATE(N248," ",O248)</f>
        <v>Xerolycosa nemoralis</v>
      </c>
      <c r="Q248" s="1" t="s">
        <v>30</v>
      </c>
      <c r="R248" s="1" t="s">
        <v>35</v>
      </c>
      <c r="S248" s="1" t="n">
        <v>0</v>
      </c>
      <c r="T248" s="1" t="n">
        <v>1</v>
      </c>
      <c r="U248" s="1" t="n">
        <v>0</v>
      </c>
      <c r="V248" s="1" t="n">
        <v>0</v>
      </c>
      <c r="W248" s="1" t="n">
        <v>0</v>
      </c>
      <c r="X248" s="1" t="n">
        <v>0</v>
      </c>
      <c r="Y248" s="3" t="n">
        <f aca="false">SUM(S248:T248)</f>
        <v>1</v>
      </c>
      <c r="Z248" s="3" t="n">
        <f aca="false">SUM(U248:W248)</f>
        <v>0</v>
      </c>
      <c r="AA248" s="3" t="n">
        <f aca="false">SUM(S248:X248)</f>
        <v>1</v>
      </c>
      <c r="AB248" s="11" t="n">
        <f aca="false">(AA248/(K248*L248)*25)*4</f>
        <v>4</v>
      </c>
    </row>
    <row r="249" customFormat="false" ht="14.25" hidden="false" customHeight="false" outlineLevel="0" collapsed="false">
      <c r="A249" s="1" t="n">
        <v>2009</v>
      </c>
      <c r="B249" s="7" t="s">
        <v>322</v>
      </c>
      <c r="C249" s="7" t="n">
        <v>2</v>
      </c>
      <c r="D249" s="7" t="s">
        <v>295</v>
      </c>
      <c r="E249" s="7" t="s">
        <v>295</v>
      </c>
      <c r="F249" s="7" t="s">
        <v>324</v>
      </c>
      <c r="G249" s="1" t="n">
        <v>1</v>
      </c>
      <c r="H249" s="1" t="n">
        <v>1</v>
      </c>
      <c r="I249" s="10" t="n">
        <v>39970</v>
      </c>
      <c r="J249" s="10" t="n">
        <v>39975</v>
      </c>
      <c r="K249" s="1" t="n">
        <v>5</v>
      </c>
      <c r="L249" s="1" t="n">
        <v>5</v>
      </c>
      <c r="M249" s="3" t="s">
        <v>48</v>
      </c>
      <c r="N249" s="3" t="s">
        <v>67</v>
      </c>
      <c r="O249" s="12" t="s">
        <v>127</v>
      </c>
      <c r="P249" s="2" t="str">
        <f aca="false">CONCATENATE(N249," ",O249)</f>
        <v>Pardosa lugubris</v>
      </c>
      <c r="Q249" s="1" t="s">
        <v>30</v>
      </c>
      <c r="R249" s="1" t="s">
        <v>35</v>
      </c>
      <c r="S249" s="1" t="n">
        <v>0</v>
      </c>
      <c r="T249" s="1" t="n">
        <v>1</v>
      </c>
      <c r="U249" s="1" t="n">
        <v>0</v>
      </c>
      <c r="V249" s="1" t="n">
        <v>0</v>
      </c>
      <c r="W249" s="1" t="n">
        <v>0</v>
      </c>
      <c r="X249" s="1" t="n">
        <v>0</v>
      </c>
      <c r="Y249" s="3" t="n">
        <f aca="false">SUM(S249:T249)</f>
        <v>1</v>
      </c>
      <c r="Z249" s="3" t="n">
        <f aca="false">SUM(U249:W249)</f>
        <v>0</v>
      </c>
      <c r="AA249" s="3" t="n">
        <f aca="false">SUM(S249:X249)</f>
        <v>1</v>
      </c>
      <c r="AB249" s="11" t="n">
        <f aca="false">(AA249/(K249*L249)*25)*4</f>
        <v>4</v>
      </c>
    </row>
    <row r="250" customFormat="false" ht="14.25" hidden="false" customHeight="false" outlineLevel="0" collapsed="false">
      <c r="A250" s="1" t="n">
        <v>2009</v>
      </c>
      <c r="B250" s="7" t="s">
        <v>322</v>
      </c>
      <c r="C250" s="7" t="n">
        <v>2</v>
      </c>
      <c r="D250" s="7" t="s">
        <v>295</v>
      </c>
      <c r="E250" s="7" t="s">
        <v>295</v>
      </c>
      <c r="F250" s="7" t="s">
        <v>324</v>
      </c>
      <c r="G250" s="1" t="n">
        <v>3</v>
      </c>
      <c r="H250" s="1" t="n">
        <v>13</v>
      </c>
      <c r="I250" s="10" t="n">
        <v>39970</v>
      </c>
      <c r="J250" s="10" t="n">
        <v>39975</v>
      </c>
      <c r="K250" s="1" t="n">
        <v>5</v>
      </c>
      <c r="L250" s="1" t="n">
        <v>5</v>
      </c>
      <c r="M250" s="3" t="s">
        <v>48</v>
      </c>
      <c r="N250" s="3" t="s">
        <v>49</v>
      </c>
      <c r="O250" s="8" t="s">
        <v>130</v>
      </c>
      <c r="P250" s="2" t="str">
        <f aca="false">CONCATENATE(N250," ",O250)</f>
        <v>Alopecosa aculeata</v>
      </c>
      <c r="Q250" s="1" t="s">
        <v>30</v>
      </c>
      <c r="R250" s="1" t="s">
        <v>31</v>
      </c>
      <c r="S250" s="1" t="n">
        <v>10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3" t="n">
        <f aca="false">SUM(S250:T250)</f>
        <v>10</v>
      </c>
      <c r="Z250" s="3" t="n">
        <f aca="false">SUM(U250:W250)</f>
        <v>0</v>
      </c>
      <c r="AA250" s="3" t="n">
        <f aca="false">SUM(S250:X250)</f>
        <v>10</v>
      </c>
      <c r="AB250" s="11" t="n">
        <f aca="false">(AA250/(K250*L250)*25)*4</f>
        <v>40</v>
      </c>
    </row>
    <row r="251" customFormat="false" ht="14.25" hidden="false" customHeight="false" outlineLevel="0" collapsed="false">
      <c r="A251" s="1" t="n">
        <v>2009</v>
      </c>
      <c r="B251" s="7" t="s">
        <v>322</v>
      </c>
      <c r="C251" s="7" t="n">
        <v>2</v>
      </c>
      <c r="D251" s="7" t="s">
        <v>295</v>
      </c>
      <c r="E251" s="7" t="s">
        <v>295</v>
      </c>
      <c r="F251" s="7" t="s">
        <v>324</v>
      </c>
      <c r="G251" s="1" t="n">
        <v>3</v>
      </c>
      <c r="H251" s="1" t="n">
        <v>13</v>
      </c>
      <c r="I251" s="10" t="n">
        <v>39970</v>
      </c>
      <c r="J251" s="10" t="n">
        <v>39975</v>
      </c>
      <c r="K251" s="1" t="n">
        <v>5</v>
      </c>
      <c r="L251" s="1" t="n">
        <v>5</v>
      </c>
      <c r="M251" s="3" t="s">
        <v>48</v>
      </c>
      <c r="N251" s="3" t="s">
        <v>49</v>
      </c>
      <c r="O251" s="8" t="s">
        <v>130</v>
      </c>
      <c r="P251" s="2" t="str">
        <f aca="false">CONCATENATE(N251," ",O251)</f>
        <v>Alopecosa aculeata</v>
      </c>
      <c r="Q251" s="1" t="s">
        <v>30</v>
      </c>
      <c r="R251" s="1" t="s">
        <v>35</v>
      </c>
      <c r="S251" s="1" t="n">
        <v>0</v>
      </c>
      <c r="T251" s="1" t="n">
        <v>1</v>
      </c>
      <c r="U251" s="1" t="n">
        <v>0</v>
      </c>
      <c r="V251" s="1" t="n">
        <v>0</v>
      </c>
      <c r="W251" s="1" t="n">
        <v>0</v>
      </c>
      <c r="X251" s="1" t="n">
        <v>0</v>
      </c>
      <c r="Y251" s="3" t="n">
        <f aca="false">SUM(S251:T251)</f>
        <v>1</v>
      </c>
      <c r="Z251" s="3" t="n">
        <f aca="false">SUM(U251:W251)</f>
        <v>0</v>
      </c>
      <c r="AA251" s="3" t="n">
        <f aca="false">SUM(S251:X251)</f>
        <v>1</v>
      </c>
      <c r="AB251" s="11" t="n">
        <f aca="false">(AA251/(K251*L251)*25)*4</f>
        <v>4</v>
      </c>
    </row>
    <row r="252" customFormat="false" ht="14.25" hidden="false" customHeight="false" outlineLevel="0" collapsed="false">
      <c r="A252" s="1" t="n">
        <v>2009</v>
      </c>
      <c r="B252" s="7" t="s">
        <v>322</v>
      </c>
      <c r="C252" s="7" t="n">
        <v>2</v>
      </c>
      <c r="D252" s="7" t="s">
        <v>295</v>
      </c>
      <c r="E252" s="7" t="s">
        <v>295</v>
      </c>
      <c r="F252" s="7" t="s">
        <v>324</v>
      </c>
      <c r="G252" s="1" t="n">
        <v>3</v>
      </c>
      <c r="H252" s="1" t="n">
        <v>13</v>
      </c>
      <c r="I252" s="10" t="n">
        <v>39970</v>
      </c>
      <c r="J252" s="10" t="n">
        <v>39975</v>
      </c>
      <c r="K252" s="1" t="n">
        <v>5</v>
      </c>
      <c r="L252" s="1" t="n">
        <v>5</v>
      </c>
      <c r="M252" s="3" t="s">
        <v>48</v>
      </c>
      <c r="N252" s="3" t="s">
        <v>67</v>
      </c>
      <c r="O252" s="12" t="s">
        <v>127</v>
      </c>
      <c r="P252" s="2" t="str">
        <f aca="false">CONCATENATE(N252," ",O252)</f>
        <v>Pardosa lugubris</v>
      </c>
      <c r="Q252" s="1" t="s">
        <v>30</v>
      </c>
      <c r="R252" s="1" t="s">
        <v>31</v>
      </c>
      <c r="S252" s="1" t="n">
        <v>3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3" t="n">
        <f aca="false">SUM(S252:T252)</f>
        <v>3</v>
      </c>
      <c r="Z252" s="3" t="n">
        <f aca="false">SUM(U252:W252)</f>
        <v>0</v>
      </c>
      <c r="AA252" s="3" t="n">
        <f aca="false">SUM(S252:X252)</f>
        <v>3</v>
      </c>
      <c r="AB252" s="11" t="n">
        <f aca="false">(AA252/(K252*L252)*25)*4</f>
        <v>12</v>
      </c>
    </row>
    <row r="253" customFormat="false" ht="14.25" hidden="false" customHeight="false" outlineLevel="0" collapsed="false">
      <c r="A253" s="1" t="n">
        <v>2009</v>
      </c>
      <c r="B253" s="7" t="s">
        <v>322</v>
      </c>
      <c r="C253" s="7" t="n">
        <v>2</v>
      </c>
      <c r="D253" s="7" t="s">
        <v>295</v>
      </c>
      <c r="E253" s="7" t="s">
        <v>295</v>
      </c>
      <c r="F253" s="7" t="s">
        <v>324</v>
      </c>
      <c r="G253" s="1" t="n">
        <v>3</v>
      </c>
      <c r="H253" s="1" t="n">
        <v>13</v>
      </c>
      <c r="I253" s="10" t="n">
        <v>39970</v>
      </c>
      <c r="J253" s="10" t="n">
        <v>39975</v>
      </c>
      <c r="K253" s="1" t="n">
        <v>5</v>
      </c>
      <c r="L253" s="1" t="n">
        <v>5</v>
      </c>
      <c r="M253" s="3" t="s">
        <v>48</v>
      </c>
      <c r="N253" s="3" t="s">
        <v>67</v>
      </c>
      <c r="O253" s="12" t="s">
        <v>127</v>
      </c>
      <c r="P253" s="2" t="str">
        <f aca="false">CONCATENATE(N253," ",O253)</f>
        <v>Pardosa lugubris</v>
      </c>
      <c r="Q253" s="1" t="s">
        <v>30</v>
      </c>
      <c r="R253" s="1" t="s">
        <v>35</v>
      </c>
      <c r="S253" s="1" t="n">
        <v>0</v>
      </c>
      <c r="T253" s="1" t="n">
        <v>1</v>
      </c>
      <c r="U253" s="1" t="n">
        <v>0</v>
      </c>
      <c r="V253" s="1" t="n">
        <v>0</v>
      </c>
      <c r="W253" s="1" t="n">
        <v>0</v>
      </c>
      <c r="X253" s="1" t="n">
        <v>0</v>
      </c>
      <c r="Y253" s="3" t="n">
        <f aca="false">SUM(S253:T253)</f>
        <v>1</v>
      </c>
      <c r="Z253" s="3" t="n">
        <f aca="false">SUM(U253:W253)</f>
        <v>0</v>
      </c>
      <c r="AA253" s="3" t="n">
        <f aca="false">SUM(S253:X253)</f>
        <v>1</v>
      </c>
      <c r="AB253" s="11" t="n">
        <f aca="false">(AA253/(K253*L253)*25)*4</f>
        <v>4</v>
      </c>
    </row>
    <row r="254" customFormat="false" ht="14.25" hidden="false" customHeight="false" outlineLevel="0" collapsed="false">
      <c r="A254" s="1" t="n">
        <v>2009</v>
      </c>
      <c r="B254" s="7" t="s">
        <v>322</v>
      </c>
      <c r="C254" s="7" t="n">
        <v>2</v>
      </c>
      <c r="D254" s="7" t="s">
        <v>295</v>
      </c>
      <c r="E254" s="7" t="s">
        <v>295</v>
      </c>
      <c r="F254" s="7" t="s">
        <v>324</v>
      </c>
      <c r="G254" s="1" t="n">
        <v>3</v>
      </c>
      <c r="H254" s="1" t="n">
        <v>13</v>
      </c>
      <c r="I254" s="10" t="n">
        <v>39970</v>
      </c>
      <c r="J254" s="10" t="n">
        <v>39975</v>
      </c>
      <c r="K254" s="1" t="n">
        <v>5</v>
      </c>
      <c r="L254" s="1" t="n">
        <v>5</v>
      </c>
      <c r="M254" s="3" t="s">
        <v>48</v>
      </c>
      <c r="N254" s="3" t="s">
        <v>122</v>
      </c>
      <c r="O254" s="12" t="s">
        <v>123</v>
      </c>
      <c r="P254" s="2" t="str">
        <f aca="false">CONCATENATE(N254," ",O254)</f>
        <v>Xerolycosa nemoralis</v>
      </c>
      <c r="Q254" s="1" t="s">
        <v>30</v>
      </c>
      <c r="R254" s="1" t="s">
        <v>31</v>
      </c>
      <c r="S254" s="1" t="n">
        <v>5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3" t="n">
        <f aca="false">SUM(S254:T254)</f>
        <v>5</v>
      </c>
      <c r="Z254" s="3" t="n">
        <f aca="false">SUM(U254:W254)</f>
        <v>0</v>
      </c>
      <c r="AA254" s="3" t="n">
        <f aca="false">SUM(S254:X254)</f>
        <v>5</v>
      </c>
      <c r="AB254" s="11" t="n">
        <f aca="false">(AA254/(K254*L254)*25)*4</f>
        <v>20</v>
      </c>
    </row>
    <row r="255" customFormat="false" ht="14.25" hidden="false" customHeight="false" outlineLevel="0" collapsed="false">
      <c r="A255" s="1" t="n">
        <v>2009</v>
      </c>
      <c r="B255" s="7" t="s">
        <v>322</v>
      </c>
      <c r="C255" s="7" t="n">
        <v>2</v>
      </c>
      <c r="D255" s="7" t="s">
        <v>295</v>
      </c>
      <c r="E255" s="7" t="s">
        <v>295</v>
      </c>
      <c r="F255" s="7" t="s">
        <v>324</v>
      </c>
      <c r="G255" s="1" t="n">
        <v>3</v>
      </c>
      <c r="H255" s="1" t="n">
        <v>13</v>
      </c>
      <c r="I255" s="10" t="n">
        <v>39970</v>
      </c>
      <c r="J255" s="10" t="n">
        <v>39975</v>
      </c>
      <c r="K255" s="1" t="n">
        <v>5</v>
      </c>
      <c r="L255" s="1" t="n">
        <v>5</v>
      </c>
      <c r="M255" s="3" t="s">
        <v>48</v>
      </c>
      <c r="N255" s="3" t="s">
        <v>122</v>
      </c>
      <c r="O255" s="12" t="s">
        <v>123</v>
      </c>
      <c r="P255" s="2" t="str">
        <f aca="false">CONCATENATE(N255," ",O255)</f>
        <v>Xerolycosa nemoralis</v>
      </c>
      <c r="Q255" s="1" t="s">
        <v>30</v>
      </c>
      <c r="R255" s="1" t="s">
        <v>35</v>
      </c>
      <c r="S255" s="1" t="n">
        <v>0</v>
      </c>
      <c r="T255" s="1" t="n">
        <v>1</v>
      </c>
      <c r="U255" s="1" t="n">
        <v>0</v>
      </c>
      <c r="V255" s="1" t="n">
        <v>0</v>
      </c>
      <c r="W255" s="1" t="n">
        <v>0</v>
      </c>
      <c r="X255" s="1" t="n">
        <v>0</v>
      </c>
      <c r="Y255" s="3" t="n">
        <f aca="false">SUM(S255:T255)</f>
        <v>1</v>
      </c>
      <c r="Z255" s="3" t="n">
        <f aca="false">SUM(U255:W255)</f>
        <v>0</v>
      </c>
      <c r="AA255" s="3" t="n">
        <f aca="false">SUM(S255:X255)</f>
        <v>1</v>
      </c>
      <c r="AB255" s="11" t="n">
        <f aca="false">(AA255/(K255*L255)*25)*4</f>
        <v>4</v>
      </c>
    </row>
    <row r="256" customFormat="false" ht="14.25" hidden="false" customHeight="false" outlineLevel="0" collapsed="false">
      <c r="A256" s="1" t="n">
        <v>2009</v>
      </c>
      <c r="B256" s="7" t="s">
        <v>322</v>
      </c>
      <c r="C256" s="7" t="n">
        <v>2</v>
      </c>
      <c r="D256" s="7" t="s">
        <v>295</v>
      </c>
      <c r="E256" s="7" t="s">
        <v>295</v>
      </c>
      <c r="F256" s="7" t="s">
        <v>324</v>
      </c>
      <c r="G256" s="1" t="n">
        <v>3</v>
      </c>
      <c r="H256" s="1" t="n">
        <v>13</v>
      </c>
      <c r="I256" s="10" t="n">
        <v>39970</v>
      </c>
      <c r="J256" s="10" t="n">
        <v>39975</v>
      </c>
      <c r="K256" s="1" t="n">
        <v>5</v>
      </c>
      <c r="L256" s="1" t="n">
        <v>5</v>
      </c>
      <c r="M256" s="3" t="s">
        <v>72</v>
      </c>
      <c r="N256" s="3" t="s">
        <v>86</v>
      </c>
      <c r="O256" s="12" t="s">
        <v>134</v>
      </c>
      <c r="P256" s="2" t="str">
        <f aca="false">CONCATENATE(N256," ",O256)</f>
        <v>Haplodrassus umbratilis</v>
      </c>
      <c r="Q256" s="1" t="s">
        <v>30</v>
      </c>
      <c r="R256" s="1" t="s">
        <v>31</v>
      </c>
      <c r="S256" s="1" t="n">
        <v>1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3" t="n">
        <f aca="false">SUM(S256:T256)</f>
        <v>1</v>
      </c>
      <c r="Z256" s="3" t="n">
        <f aca="false">SUM(U256:W256)</f>
        <v>0</v>
      </c>
      <c r="AA256" s="3" t="n">
        <f aca="false">SUM(S256:X256)</f>
        <v>1</v>
      </c>
      <c r="AB256" s="11" t="n">
        <f aca="false">(AA256/(K256*L256)*25)*4</f>
        <v>4</v>
      </c>
    </row>
    <row r="257" customFormat="false" ht="14.25" hidden="false" customHeight="false" outlineLevel="0" collapsed="false">
      <c r="A257" s="1" t="n">
        <v>2009</v>
      </c>
      <c r="B257" s="7" t="s">
        <v>322</v>
      </c>
      <c r="C257" s="7" t="n">
        <v>2</v>
      </c>
      <c r="D257" s="7" t="s">
        <v>295</v>
      </c>
      <c r="E257" s="7" t="s">
        <v>295</v>
      </c>
      <c r="F257" s="7" t="s">
        <v>324</v>
      </c>
      <c r="G257" s="1" t="n">
        <v>1</v>
      </c>
      <c r="H257" s="1" t="n">
        <v>3</v>
      </c>
      <c r="I257" s="10" t="n">
        <v>39970</v>
      </c>
      <c r="J257" s="10" t="n">
        <v>39975</v>
      </c>
      <c r="K257" s="1" t="n">
        <v>5</v>
      </c>
      <c r="L257" s="1" t="n">
        <v>5</v>
      </c>
      <c r="M257" s="3" t="s">
        <v>124</v>
      </c>
      <c r="N257" s="3" t="s">
        <v>125</v>
      </c>
      <c r="O257" s="12" t="s">
        <v>126</v>
      </c>
      <c r="P257" s="2" t="str">
        <f aca="false">CONCATENATE(N257," ",O257)</f>
        <v>Hahnia ononidum</v>
      </c>
      <c r="Q257" s="1" t="s">
        <v>30</v>
      </c>
      <c r="R257" s="1" t="s">
        <v>31</v>
      </c>
      <c r="S257" s="1" t="n">
        <v>1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3" t="n">
        <f aca="false">SUM(S257:T257)</f>
        <v>1</v>
      </c>
      <c r="Z257" s="3" t="n">
        <f aca="false">SUM(U257:W257)</f>
        <v>0</v>
      </c>
      <c r="AA257" s="3" t="n">
        <f aca="false">SUM(S257:X257)</f>
        <v>1</v>
      </c>
      <c r="AB257" s="11" t="n">
        <f aca="false">(AA257/(K257*L257)*25)*4</f>
        <v>4</v>
      </c>
    </row>
    <row r="258" customFormat="false" ht="14.25" hidden="false" customHeight="false" outlineLevel="0" collapsed="false">
      <c r="A258" s="1" t="n">
        <v>2009</v>
      </c>
      <c r="B258" s="7" t="s">
        <v>322</v>
      </c>
      <c r="C258" s="7" t="n">
        <v>2</v>
      </c>
      <c r="D258" s="7" t="s">
        <v>295</v>
      </c>
      <c r="E258" s="7" t="s">
        <v>295</v>
      </c>
      <c r="F258" s="7" t="s">
        <v>324</v>
      </c>
      <c r="G258" s="1" t="n">
        <v>1</v>
      </c>
      <c r="H258" s="1" t="n">
        <v>3</v>
      </c>
      <c r="I258" s="10" t="n">
        <v>39970</v>
      </c>
      <c r="J258" s="10" t="n">
        <v>39975</v>
      </c>
      <c r="K258" s="1" t="n">
        <v>5</v>
      </c>
      <c r="L258" s="1" t="n">
        <v>5</v>
      </c>
      <c r="M258" s="3" t="s">
        <v>124</v>
      </c>
      <c r="N258" s="3" t="s">
        <v>125</v>
      </c>
      <c r="O258" s="12" t="s">
        <v>126</v>
      </c>
      <c r="P258" s="2" t="str">
        <f aca="false">CONCATENATE(N258," ",O258)</f>
        <v>Hahnia ononidum</v>
      </c>
      <c r="Q258" s="1" t="s">
        <v>30</v>
      </c>
      <c r="R258" s="1" t="s">
        <v>35</v>
      </c>
      <c r="S258" s="1" t="n">
        <v>0</v>
      </c>
      <c r="T258" s="1" t="n">
        <v>1</v>
      </c>
      <c r="U258" s="1" t="n">
        <v>0</v>
      </c>
      <c r="V258" s="1" t="n">
        <v>0</v>
      </c>
      <c r="W258" s="1" t="n">
        <v>0</v>
      </c>
      <c r="X258" s="1" t="n">
        <v>0</v>
      </c>
      <c r="Y258" s="3" t="n">
        <f aca="false">SUM(S258:T258)</f>
        <v>1</v>
      </c>
      <c r="Z258" s="3" t="n">
        <f aca="false">SUM(U258:W258)</f>
        <v>0</v>
      </c>
      <c r="AA258" s="3" t="n">
        <f aca="false">SUM(S258:X258)</f>
        <v>1</v>
      </c>
      <c r="AB258" s="11" t="n">
        <f aca="false">(AA258/(K258*L258)*25)*4</f>
        <v>4</v>
      </c>
    </row>
    <row r="259" customFormat="false" ht="14.25" hidden="false" customHeight="false" outlineLevel="0" collapsed="false">
      <c r="A259" s="1" t="n">
        <v>2009</v>
      </c>
      <c r="B259" s="7" t="s">
        <v>322</v>
      </c>
      <c r="C259" s="7" t="n">
        <v>2</v>
      </c>
      <c r="D259" s="7" t="s">
        <v>295</v>
      </c>
      <c r="E259" s="7" t="s">
        <v>295</v>
      </c>
      <c r="F259" s="7" t="s">
        <v>324</v>
      </c>
      <c r="G259" s="1" t="n">
        <v>1</v>
      </c>
      <c r="H259" s="1" t="n">
        <v>3</v>
      </c>
      <c r="I259" s="10" t="n">
        <v>39970</v>
      </c>
      <c r="J259" s="10" t="n">
        <v>39975</v>
      </c>
      <c r="K259" s="1" t="n">
        <v>5</v>
      </c>
      <c r="L259" s="1" t="n">
        <v>5</v>
      </c>
      <c r="M259" s="3" t="s">
        <v>48</v>
      </c>
      <c r="N259" s="3" t="s">
        <v>49</v>
      </c>
      <c r="O259" s="12" t="s">
        <v>119</v>
      </c>
      <c r="P259" s="2" t="str">
        <f aca="false">CONCATENATE(N259," ",O259)</f>
        <v>Alopecosa sulzeri</v>
      </c>
      <c r="Q259" s="1" t="s">
        <v>30</v>
      </c>
      <c r="R259" s="1" t="s">
        <v>31</v>
      </c>
      <c r="S259" s="1" t="n">
        <v>1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3" t="n">
        <f aca="false">SUM(S259:T259)</f>
        <v>1</v>
      </c>
      <c r="Z259" s="3" t="n">
        <f aca="false">SUM(U259:W259)</f>
        <v>0</v>
      </c>
      <c r="AA259" s="3" t="n">
        <f aca="false">SUM(S259:X259)</f>
        <v>1</v>
      </c>
      <c r="AB259" s="11" t="n">
        <f aca="false">(AA259/(K259*L259)*25)*4</f>
        <v>4</v>
      </c>
    </row>
    <row r="260" customFormat="false" ht="14.25" hidden="false" customHeight="false" outlineLevel="0" collapsed="false">
      <c r="A260" s="1" t="n">
        <v>2009</v>
      </c>
      <c r="B260" s="7" t="s">
        <v>322</v>
      </c>
      <c r="C260" s="7" t="n">
        <v>2</v>
      </c>
      <c r="D260" s="7" t="s">
        <v>295</v>
      </c>
      <c r="E260" s="7" t="s">
        <v>295</v>
      </c>
      <c r="F260" s="7" t="s">
        <v>324</v>
      </c>
      <c r="G260" s="1" t="n">
        <v>1</v>
      </c>
      <c r="H260" s="1" t="n">
        <v>3</v>
      </c>
      <c r="I260" s="10" t="n">
        <v>39970</v>
      </c>
      <c r="J260" s="10" t="n">
        <v>39975</v>
      </c>
      <c r="K260" s="1" t="n">
        <v>5</v>
      </c>
      <c r="L260" s="1" t="n">
        <v>5</v>
      </c>
      <c r="M260" s="3" t="s">
        <v>48</v>
      </c>
      <c r="N260" s="3" t="s">
        <v>49</v>
      </c>
      <c r="O260" s="12" t="s">
        <v>119</v>
      </c>
      <c r="P260" s="2" t="str">
        <f aca="false">CONCATENATE(N260," ",O260)</f>
        <v>Alopecosa sulzeri</v>
      </c>
      <c r="Q260" s="1" t="s">
        <v>30</v>
      </c>
      <c r="R260" s="1" t="s">
        <v>35</v>
      </c>
      <c r="S260" s="1" t="n">
        <v>0</v>
      </c>
      <c r="T260" s="1" t="n">
        <v>2</v>
      </c>
      <c r="U260" s="1" t="n">
        <v>0</v>
      </c>
      <c r="V260" s="1" t="n">
        <v>0</v>
      </c>
      <c r="W260" s="1" t="n">
        <v>0</v>
      </c>
      <c r="X260" s="1" t="n">
        <v>0</v>
      </c>
      <c r="Y260" s="3" t="n">
        <f aca="false">SUM(S260:T260)</f>
        <v>2</v>
      </c>
      <c r="Z260" s="3" t="n">
        <f aca="false">SUM(U260:W260)</f>
        <v>0</v>
      </c>
      <c r="AA260" s="3" t="n">
        <f aca="false">SUM(S260:X260)</f>
        <v>2</v>
      </c>
      <c r="AB260" s="11" t="n">
        <f aca="false">(AA260/(K260*L260)*25)*4</f>
        <v>8</v>
      </c>
    </row>
    <row r="261" customFormat="false" ht="14.25" hidden="false" customHeight="false" outlineLevel="0" collapsed="false">
      <c r="A261" s="1" t="n">
        <v>2009</v>
      </c>
      <c r="B261" s="7" t="s">
        <v>322</v>
      </c>
      <c r="C261" s="7" t="n">
        <v>2</v>
      </c>
      <c r="D261" s="7" t="s">
        <v>295</v>
      </c>
      <c r="E261" s="7" t="s">
        <v>295</v>
      </c>
      <c r="F261" s="7" t="s">
        <v>324</v>
      </c>
      <c r="G261" s="1" t="n">
        <v>1</v>
      </c>
      <c r="H261" s="1" t="n">
        <v>3</v>
      </c>
      <c r="I261" s="10" t="n">
        <v>39970</v>
      </c>
      <c r="J261" s="10" t="n">
        <v>39975</v>
      </c>
      <c r="K261" s="1" t="n">
        <v>5</v>
      </c>
      <c r="L261" s="1" t="n">
        <v>5</v>
      </c>
      <c r="M261" s="3" t="s">
        <v>72</v>
      </c>
      <c r="N261" s="3" t="s">
        <v>139</v>
      </c>
      <c r="O261" s="12" t="s">
        <v>140</v>
      </c>
      <c r="P261" s="2" t="str">
        <f aca="false">CONCATENATE(N261," ",O261)</f>
        <v>Gnaphosa muscorum</v>
      </c>
      <c r="Q261" s="1" t="s">
        <v>30</v>
      </c>
      <c r="R261" s="1" t="s">
        <v>31</v>
      </c>
      <c r="S261" s="1" t="n">
        <v>2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3" t="n">
        <f aca="false">SUM(S261:T261)</f>
        <v>2</v>
      </c>
      <c r="Z261" s="3" t="n">
        <f aca="false">SUM(U261:W261)</f>
        <v>0</v>
      </c>
      <c r="AA261" s="3" t="n">
        <f aca="false">SUM(S261:X261)</f>
        <v>2</v>
      </c>
      <c r="AB261" s="11" t="n">
        <f aca="false">(AA261/(K261*L261)*25)*4</f>
        <v>8</v>
      </c>
    </row>
    <row r="262" customFormat="false" ht="14.25" hidden="false" customHeight="false" outlineLevel="0" collapsed="false">
      <c r="A262" s="1" t="n">
        <v>2009</v>
      </c>
      <c r="B262" s="7" t="s">
        <v>322</v>
      </c>
      <c r="C262" s="7" t="n">
        <v>2</v>
      </c>
      <c r="D262" s="7" t="s">
        <v>295</v>
      </c>
      <c r="E262" s="7" t="s">
        <v>295</v>
      </c>
      <c r="F262" s="7" t="s">
        <v>324</v>
      </c>
      <c r="G262" s="1" t="n">
        <v>1</v>
      </c>
      <c r="H262" s="1" t="n">
        <v>3</v>
      </c>
      <c r="I262" s="10" t="n">
        <v>39970</v>
      </c>
      <c r="J262" s="10" t="n">
        <v>39975</v>
      </c>
      <c r="K262" s="1" t="n">
        <v>5</v>
      </c>
      <c r="L262" s="1" t="n">
        <v>5</v>
      </c>
      <c r="M262" s="3" t="s">
        <v>72</v>
      </c>
      <c r="N262" s="3" t="s">
        <v>139</v>
      </c>
      <c r="O262" s="12" t="s">
        <v>140</v>
      </c>
      <c r="P262" s="2" t="str">
        <f aca="false">CONCATENATE(N262," ",O262)</f>
        <v>Gnaphosa muscorum</v>
      </c>
      <c r="Q262" s="1" t="s">
        <v>30</v>
      </c>
      <c r="R262" s="1" t="s">
        <v>35</v>
      </c>
      <c r="S262" s="1" t="n">
        <v>0</v>
      </c>
      <c r="T262" s="1" t="n">
        <v>1</v>
      </c>
      <c r="U262" s="1" t="n">
        <v>0</v>
      </c>
      <c r="V262" s="1" t="n">
        <v>0</v>
      </c>
      <c r="W262" s="1" t="n">
        <v>0</v>
      </c>
      <c r="X262" s="1" t="n">
        <v>0</v>
      </c>
      <c r="Y262" s="3" t="n">
        <f aca="false">SUM(S262:T262)</f>
        <v>1</v>
      </c>
      <c r="Z262" s="3" t="n">
        <f aca="false">SUM(U262:W262)</f>
        <v>0</v>
      </c>
      <c r="AA262" s="3" t="n">
        <f aca="false">SUM(S262:X262)</f>
        <v>1</v>
      </c>
      <c r="AB262" s="11" t="n">
        <f aca="false">(AA262/(K262*L262)*25)*4</f>
        <v>4</v>
      </c>
    </row>
    <row r="263" customFormat="false" ht="14.25" hidden="false" customHeight="false" outlineLevel="0" collapsed="false">
      <c r="A263" s="1" t="n">
        <v>2009</v>
      </c>
      <c r="B263" s="7" t="s">
        <v>322</v>
      </c>
      <c r="C263" s="7" t="n">
        <v>2</v>
      </c>
      <c r="D263" s="7" t="s">
        <v>295</v>
      </c>
      <c r="E263" s="7" t="s">
        <v>295</v>
      </c>
      <c r="F263" s="7" t="s">
        <v>324</v>
      </c>
      <c r="G263" s="1" t="n">
        <v>1</v>
      </c>
      <c r="H263" s="1" t="n">
        <v>3</v>
      </c>
      <c r="I263" s="10" t="n">
        <v>39970</v>
      </c>
      <c r="J263" s="10" t="n">
        <v>39975</v>
      </c>
      <c r="K263" s="1" t="n">
        <v>5</v>
      </c>
      <c r="L263" s="1" t="n">
        <v>5</v>
      </c>
      <c r="M263" s="3" t="s">
        <v>48</v>
      </c>
      <c r="N263" s="3" t="s">
        <v>49</v>
      </c>
      <c r="O263" s="8" t="s">
        <v>130</v>
      </c>
      <c r="P263" s="2" t="str">
        <f aca="false">CONCATENATE(N263," ",O263)</f>
        <v>Alopecosa aculeata</v>
      </c>
      <c r="Q263" s="1" t="s">
        <v>30</v>
      </c>
      <c r="R263" s="1" t="s">
        <v>31</v>
      </c>
      <c r="S263" s="1" t="n">
        <v>4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3" t="n">
        <f aca="false">SUM(S263:T263)</f>
        <v>4</v>
      </c>
      <c r="Z263" s="3" t="n">
        <f aca="false">SUM(U263:W263)</f>
        <v>0</v>
      </c>
      <c r="AA263" s="3" t="n">
        <f aca="false">SUM(S263:X263)</f>
        <v>4</v>
      </c>
      <c r="AB263" s="11" t="n">
        <f aca="false">(AA263/(K263*L263)*25)*4</f>
        <v>16</v>
      </c>
    </row>
    <row r="264" customFormat="false" ht="14.25" hidden="false" customHeight="false" outlineLevel="0" collapsed="false">
      <c r="A264" s="1" t="n">
        <v>2009</v>
      </c>
      <c r="B264" s="7" t="s">
        <v>322</v>
      </c>
      <c r="C264" s="7" t="n">
        <v>2</v>
      </c>
      <c r="D264" s="7" t="s">
        <v>295</v>
      </c>
      <c r="E264" s="7" t="s">
        <v>295</v>
      </c>
      <c r="F264" s="7" t="s">
        <v>324</v>
      </c>
      <c r="G264" s="1" t="n">
        <v>1</v>
      </c>
      <c r="H264" s="1" t="n">
        <v>3</v>
      </c>
      <c r="I264" s="10" t="n">
        <v>39970</v>
      </c>
      <c r="J264" s="10" t="n">
        <v>39975</v>
      </c>
      <c r="K264" s="1" t="n">
        <v>5</v>
      </c>
      <c r="L264" s="1" t="n">
        <v>5</v>
      </c>
      <c r="M264" s="3" t="s">
        <v>48</v>
      </c>
      <c r="N264" s="3" t="s">
        <v>49</v>
      </c>
      <c r="O264" s="8" t="s">
        <v>130</v>
      </c>
      <c r="P264" s="2" t="str">
        <f aca="false">CONCATENATE(N264," ",O264)</f>
        <v>Alopecosa aculeata</v>
      </c>
      <c r="Q264" s="1" t="s">
        <v>30</v>
      </c>
      <c r="R264" s="1" t="s">
        <v>35</v>
      </c>
      <c r="S264" s="1" t="n">
        <v>0</v>
      </c>
      <c r="T264" s="1" t="n">
        <v>1</v>
      </c>
      <c r="U264" s="1" t="n">
        <v>0</v>
      </c>
      <c r="V264" s="1" t="n">
        <v>0</v>
      </c>
      <c r="W264" s="1" t="n">
        <v>0</v>
      </c>
      <c r="X264" s="1" t="n">
        <v>0</v>
      </c>
      <c r="Y264" s="3" t="n">
        <f aca="false">SUM(S264:T264)</f>
        <v>1</v>
      </c>
      <c r="Z264" s="3" t="n">
        <f aca="false">SUM(U264:W264)</f>
        <v>0</v>
      </c>
      <c r="AA264" s="3" t="n">
        <f aca="false">SUM(S264:X264)</f>
        <v>1</v>
      </c>
      <c r="AB264" s="11" t="n">
        <f aca="false">(AA264/(K264*L264)*25)*4</f>
        <v>4</v>
      </c>
    </row>
    <row r="265" customFormat="false" ht="14.25" hidden="false" customHeight="false" outlineLevel="0" collapsed="false">
      <c r="A265" s="1" t="n">
        <v>2009</v>
      </c>
      <c r="B265" s="7" t="s">
        <v>322</v>
      </c>
      <c r="C265" s="7" t="n">
        <v>2</v>
      </c>
      <c r="D265" s="7" t="s">
        <v>295</v>
      </c>
      <c r="E265" s="7" t="s">
        <v>295</v>
      </c>
      <c r="F265" s="7" t="s">
        <v>324</v>
      </c>
      <c r="G265" s="1" t="n">
        <v>1</v>
      </c>
      <c r="H265" s="1" t="n">
        <v>3</v>
      </c>
      <c r="I265" s="10" t="n">
        <v>39970</v>
      </c>
      <c r="J265" s="10" t="n">
        <v>39975</v>
      </c>
      <c r="K265" s="1" t="n">
        <v>5</v>
      </c>
      <c r="L265" s="1" t="n">
        <v>5</v>
      </c>
      <c r="M265" s="3" t="s">
        <v>48</v>
      </c>
      <c r="N265" s="3" t="s">
        <v>67</v>
      </c>
      <c r="O265" s="12" t="s">
        <v>127</v>
      </c>
      <c r="P265" s="2" t="str">
        <f aca="false">CONCATENATE(N265," ",O265)</f>
        <v>Pardosa lugubris</v>
      </c>
      <c r="Q265" s="1" t="s">
        <v>30</v>
      </c>
      <c r="R265" s="1" t="s">
        <v>31</v>
      </c>
      <c r="S265" s="1" t="n">
        <v>3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3" t="n">
        <f aca="false">SUM(S265:T265)</f>
        <v>3</v>
      </c>
      <c r="Z265" s="3" t="n">
        <f aca="false">SUM(U265:W265)</f>
        <v>0</v>
      </c>
      <c r="AA265" s="3" t="n">
        <f aca="false">SUM(S265:X265)</f>
        <v>3</v>
      </c>
      <c r="AB265" s="11" t="n">
        <f aca="false">(AA265/(K265*L265)*25)*4</f>
        <v>12</v>
      </c>
    </row>
    <row r="266" customFormat="false" ht="14.25" hidden="false" customHeight="false" outlineLevel="0" collapsed="false">
      <c r="A266" s="1" t="n">
        <v>2009</v>
      </c>
      <c r="B266" s="7" t="s">
        <v>322</v>
      </c>
      <c r="C266" s="7" t="n">
        <v>2</v>
      </c>
      <c r="D266" s="7" t="s">
        <v>295</v>
      </c>
      <c r="E266" s="7" t="s">
        <v>295</v>
      </c>
      <c r="F266" s="7" t="s">
        <v>324</v>
      </c>
      <c r="G266" s="1" t="n">
        <v>1</v>
      </c>
      <c r="H266" s="1" t="n">
        <v>3</v>
      </c>
      <c r="I266" s="10" t="n">
        <v>39970</v>
      </c>
      <c r="J266" s="10" t="n">
        <v>39975</v>
      </c>
      <c r="K266" s="1" t="n">
        <v>5</v>
      </c>
      <c r="L266" s="1" t="n">
        <v>5</v>
      </c>
      <c r="M266" s="3" t="s">
        <v>48</v>
      </c>
      <c r="N266" s="3" t="s">
        <v>67</v>
      </c>
      <c r="O266" s="12" t="s">
        <v>127</v>
      </c>
      <c r="P266" s="2" t="str">
        <f aca="false">CONCATENATE(N266," ",O266)</f>
        <v>Pardosa lugubris</v>
      </c>
      <c r="Q266" s="1" t="s">
        <v>30</v>
      </c>
      <c r="R266" s="1" t="s">
        <v>35</v>
      </c>
      <c r="S266" s="1" t="n">
        <v>0</v>
      </c>
      <c r="T266" s="1" t="n">
        <v>2</v>
      </c>
      <c r="U266" s="1" t="n">
        <v>0</v>
      </c>
      <c r="V266" s="1" t="n">
        <v>0</v>
      </c>
      <c r="W266" s="1" t="n">
        <v>0</v>
      </c>
      <c r="X266" s="1" t="n">
        <v>0</v>
      </c>
      <c r="Y266" s="3" t="n">
        <f aca="false">SUM(S266:T266)</f>
        <v>2</v>
      </c>
      <c r="Z266" s="3" t="n">
        <f aca="false">SUM(U266:W266)</f>
        <v>0</v>
      </c>
      <c r="AA266" s="3" t="n">
        <f aca="false">SUM(S266:X266)</f>
        <v>2</v>
      </c>
      <c r="AB266" s="11" t="n">
        <f aca="false">(AA266/(K266*L266)*25)*4</f>
        <v>8</v>
      </c>
    </row>
    <row r="267" customFormat="false" ht="14.25" hidden="false" customHeight="false" outlineLevel="0" collapsed="false">
      <c r="A267" s="1" t="n">
        <v>2009</v>
      </c>
      <c r="B267" s="7" t="s">
        <v>322</v>
      </c>
      <c r="C267" s="7" t="n">
        <v>2</v>
      </c>
      <c r="D267" s="7" t="s">
        <v>295</v>
      </c>
      <c r="E267" s="7" t="s">
        <v>295</v>
      </c>
      <c r="F267" s="7" t="s">
        <v>324</v>
      </c>
      <c r="G267" s="1" t="n">
        <v>1</v>
      </c>
      <c r="H267" s="1" t="n">
        <v>3</v>
      </c>
      <c r="I267" s="10" t="n">
        <v>39970</v>
      </c>
      <c r="J267" s="10" t="n">
        <v>39975</v>
      </c>
      <c r="K267" s="1" t="n">
        <v>5</v>
      </c>
      <c r="L267" s="1" t="n">
        <v>5</v>
      </c>
      <c r="M267" s="3" t="s">
        <v>48</v>
      </c>
      <c r="N267" s="3" t="s">
        <v>122</v>
      </c>
      <c r="O267" s="12" t="s">
        <v>123</v>
      </c>
      <c r="P267" s="2" t="str">
        <f aca="false">CONCATENATE(N267," ",O267)</f>
        <v>Xerolycosa nemoralis</v>
      </c>
      <c r="Q267" s="1" t="s">
        <v>30</v>
      </c>
      <c r="R267" s="1" t="s">
        <v>31</v>
      </c>
      <c r="S267" s="1" t="n">
        <v>2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3" t="n">
        <f aca="false">SUM(S267:T267)</f>
        <v>2</v>
      </c>
      <c r="Z267" s="3" t="n">
        <f aca="false">SUM(U267:W267)</f>
        <v>0</v>
      </c>
      <c r="AA267" s="3" t="n">
        <f aca="false">SUM(S267:X267)</f>
        <v>2</v>
      </c>
      <c r="AB267" s="11" t="n">
        <f aca="false">(AA267/(K267*L267)*25)*4</f>
        <v>8</v>
      </c>
    </row>
    <row r="268" customFormat="false" ht="14.25" hidden="false" customHeight="false" outlineLevel="0" collapsed="false">
      <c r="A268" s="1" t="n">
        <v>2009</v>
      </c>
      <c r="B268" s="7" t="s">
        <v>322</v>
      </c>
      <c r="C268" s="7" t="n">
        <v>2</v>
      </c>
      <c r="D268" s="7" t="s">
        <v>295</v>
      </c>
      <c r="E268" s="7" t="s">
        <v>295</v>
      </c>
      <c r="F268" s="7" t="s">
        <v>324</v>
      </c>
      <c r="G268" s="1" t="n">
        <v>1</v>
      </c>
      <c r="H268" s="1" t="n">
        <v>3</v>
      </c>
      <c r="I268" s="10" t="n">
        <v>39970</v>
      </c>
      <c r="J268" s="10" t="n">
        <v>39975</v>
      </c>
      <c r="K268" s="1" t="n">
        <v>5</v>
      </c>
      <c r="L268" s="1" t="n">
        <v>5</v>
      </c>
      <c r="M268" s="3" t="s">
        <v>48</v>
      </c>
      <c r="N268" s="3" t="s">
        <v>122</v>
      </c>
      <c r="O268" s="12" t="s">
        <v>123</v>
      </c>
      <c r="P268" s="2" t="str">
        <f aca="false">CONCATENATE(N268," ",O268)</f>
        <v>Xerolycosa nemoralis</v>
      </c>
      <c r="Q268" s="1" t="s">
        <v>30</v>
      </c>
      <c r="R268" s="1" t="s">
        <v>35</v>
      </c>
      <c r="S268" s="1" t="n">
        <v>0</v>
      </c>
      <c r="T268" s="1" t="n">
        <v>1</v>
      </c>
      <c r="U268" s="1" t="n">
        <v>0</v>
      </c>
      <c r="V268" s="1" t="n">
        <v>0</v>
      </c>
      <c r="W268" s="1" t="n">
        <v>0</v>
      </c>
      <c r="X268" s="1" t="n">
        <v>0</v>
      </c>
      <c r="Y268" s="3" t="n">
        <f aca="false">SUM(S268:T268)</f>
        <v>1</v>
      </c>
      <c r="Z268" s="3" t="n">
        <f aca="false">SUM(U268:W268)</f>
        <v>0</v>
      </c>
      <c r="AA268" s="3" t="n">
        <f aca="false">SUM(S268:X268)</f>
        <v>1</v>
      </c>
      <c r="AB268" s="11" t="n">
        <f aca="false">(AA268/(K268*L268)*25)*4</f>
        <v>4</v>
      </c>
    </row>
    <row r="269" customFormat="false" ht="14.25" hidden="false" customHeight="false" outlineLevel="0" collapsed="false">
      <c r="A269" s="1" t="n">
        <v>2009</v>
      </c>
      <c r="B269" s="7" t="s">
        <v>322</v>
      </c>
      <c r="C269" s="7" t="n">
        <v>2</v>
      </c>
      <c r="D269" s="7" t="s">
        <v>295</v>
      </c>
      <c r="E269" s="7" t="s">
        <v>295</v>
      </c>
      <c r="F269" s="7" t="s">
        <v>324</v>
      </c>
      <c r="G269" s="1" t="n">
        <v>1</v>
      </c>
      <c r="H269" s="1" t="n">
        <v>3</v>
      </c>
      <c r="I269" s="10" t="n">
        <v>39970</v>
      </c>
      <c r="J269" s="10" t="n">
        <v>39975</v>
      </c>
      <c r="K269" s="1" t="n">
        <v>5</v>
      </c>
      <c r="L269" s="1" t="n">
        <v>5</v>
      </c>
      <c r="M269" s="3" t="s">
        <v>36</v>
      </c>
      <c r="N269" s="3" t="s">
        <v>131</v>
      </c>
      <c r="O269" s="12" t="s">
        <v>133</v>
      </c>
      <c r="P269" s="2" t="str">
        <f aca="false">CONCATENATE(N269," ",O269)</f>
        <v>Xysticus luctuosus</v>
      </c>
      <c r="Q269" s="1" t="s">
        <v>30</v>
      </c>
      <c r="R269" s="1" t="s">
        <v>31</v>
      </c>
      <c r="S269" s="1" t="n">
        <v>1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3" t="n">
        <f aca="false">SUM(S269:T269)</f>
        <v>1</v>
      </c>
      <c r="Z269" s="3" t="n">
        <f aca="false">SUM(U269:W269)</f>
        <v>0</v>
      </c>
      <c r="AA269" s="3" t="n">
        <f aca="false">SUM(S269:X269)</f>
        <v>1</v>
      </c>
      <c r="AB269" s="11" t="n">
        <f aca="false">(AA269/(K269*L269)*25)*4</f>
        <v>4</v>
      </c>
    </row>
    <row r="270" customFormat="false" ht="14.25" hidden="false" customHeight="false" outlineLevel="0" collapsed="false">
      <c r="A270" s="1" t="n">
        <v>2009</v>
      </c>
      <c r="B270" s="7" t="s">
        <v>322</v>
      </c>
      <c r="C270" s="7" t="n">
        <v>2</v>
      </c>
      <c r="D270" s="7" t="s">
        <v>295</v>
      </c>
      <c r="E270" s="7" t="s">
        <v>295</v>
      </c>
      <c r="F270" s="7" t="s">
        <v>324</v>
      </c>
      <c r="G270" s="1" t="n">
        <v>1</v>
      </c>
      <c r="H270" s="1" t="n">
        <v>3</v>
      </c>
      <c r="I270" s="10" t="n">
        <v>39970</v>
      </c>
      <c r="J270" s="10" t="n">
        <v>39975</v>
      </c>
      <c r="K270" s="1" t="n">
        <v>5</v>
      </c>
      <c r="L270" s="1" t="n">
        <v>5</v>
      </c>
      <c r="M270" s="3" t="s">
        <v>72</v>
      </c>
      <c r="N270" s="3" t="s">
        <v>152</v>
      </c>
      <c r="O270" s="8" t="s">
        <v>153</v>
      </c>
      <c r="P270" s="2" t="str">
        <f aca="false">CONCATENATE(N270," ",O270)</f>
        <v>Callilepis nocturna</v>
      </c>
      <c r="Q270" s="1" t="s">
        <v>30</v>
      </c>
      <c r="R270" s="1" t="s">
        <v>31</v>
      </c>
      <c r="S270" s="1" t="n">
        <v>1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3" t="n">
        <f aca="false">SUM(S270:T270)</f>
        <v>1</v>
      </c>
      <c r="Z270" s="3" t="n">
        <f aca="false">SUM(U270:W270)</f>
        <v>0</v>
      </c>
      <c r="AA270" s="3" t="n">
        <f aca="false">SUM(S270:X270)</f>
        <v>1</v>
      </c>
      <c r="AB270" s="11" t="n">
        <f aca="false">(AA270/(K270*L270)*25)*4</f>
        <v>4</v>
      </c>
    </row>
    <row r="271" customFormat="false" ht="14.25" hidden="false" customHeight="false" outlineLevel="0" collapsed="false">
      <c r="A271" s="1" t="n">
        <v>2009</v>
      </c>
      <c r="B271" s="7" t="s">
        <v>322</v>
      </c>
      <c r="C271" s="7" t="n">
        <v>2</v>
      </c>
      <c r="D271" s="7" t="s">
        <v>295</v>
      </c>
      <c r="E271" s="7" t="s">
        <v>295</v>
      </c>
      <c r="F271" s="7" t="s">
        <v>324</v>
      </c>
      <c r="G271" s="1" t="n">
        <v>1</v>
      </c>
      <c r="H271" s="1" t="n">
        <v>3</v>
      </c>
      <c r="I271" s="10" t="n">
        <v>39970</v>
      </c>
      <c r="J271" s="10" t="n">
        <v>39975</v>
      </c>
      <c r="K271" s="1" t="n">
        <v>5</v>
      </c>
      <c r="L271" s="1" t="n">
        <v>5</v>
      </c>
      <c r="M271" s="3" t="s">
        <v>32</v>
      </c>
      <c r="N271" s="3" t="s">
        <v>102</v>
      </c>
      <c r="O271" s="3" t="s">
        <v>117</v>
      </c>
      <c r="P271" s="2" t="str">
        <f aca="false">CONCATENATE(N271," ",O271)</f>
        <v>Agyneta affinis</v>
      </c>
      <c r="Q271" s="1" t="s">
        <v>30</v>
      </c>
      <c r="R271" s="1" t="s">
        <v>35</v>
      </c>
      <c r="S271" s="1" t="n">
        <v>0</v>
      </c>
      <c r="T271" s="1" t="n">
        <v>1</v>
      </c>
      <c r="U271" s="1" t="n">
        <v>0</v>
      </c>
      <c r="V271" s="1" t="n">
        <v>0</v>
      </c>
      <c r="W271" s="1" t="n">
        <v>0</v>
      </c>
      <c r="X271" s="1" t="n">
        <v>0</v>
      </c>
      <c r="Y271" s="3" t="n">
        <f aca="false">SUM(S271:T271)</f>
        <v>1</v>
      </c>
      <c r="Z271" s="3" t="n">
        <f aca="false">SUM(U271:W271)</f>
        <v>0</v>
      </c>
      <c r="AA271" s="3" t="n">
        <f aca="false">SUM(S271:X271)</f>
        <v>1</v>
      </c>
      <c r="AB271" s="11" t="n">
        <f aca="false">(AA271/(K271*L271)*25)*4</f>
        <v>4</v>
      </c>
    </row>
    <row r="272" customFormat="false" ht="14.25" hidden="false" customHeight="false" outlineLevel="0" collapsed="false">
      <c r="A272" s="1" t="n">
        <v>2009</v>
      </c>
      <c r="B272" s="7" t="s">
        <v>322</v>
      </c>
      <c r="C272" s="7" t="n">
        <v>2</v>
      </c>
      <c r="D272" s="7" t="s">
        <v>295</v>
      </c>
      <c r="E272" s="7" t="s">
        <v>295</v>
      </c>
      <c r="F272" s="7" t="s">
        <v>324</v>
      </c>
      <c r="G272" s="1" t="n">
        <v>2</v>
      </c>
      <c r="H272" s="1" t="n">
        <v>6</v>
      </c>
      <c r="I272" s="10" t="n">
        <v>39970</v>
      </c>
      <c r="J272" s="10" t="n">
        <v>39975</v>
      </c>
      <c r="K272" s="1" t="n">
        <v>5</v>
      </c>
      <c r="L272" s="1" t="n">
        <v>5</v>
      </c>
      <c r="M272" s="3" t="s">
        <v>48</v>
      </c>
      <c r="N272" s="3" t="s">
        <v>49</v>
      </c>
      <c r="O272" s="12" t="s">
        <v>119</v>
      </c>
      <c r="P272" s="2" t="str">
        <f aca="false">CONCATENATE(N272," ",O272)</f>
        <v>Alopecosa sulzeri</v>
      </c>
      <c r="Q272" s="1" t="s">
        <v>30</v>
      </c>
      <c r="R272" s="1" t="s">
        <v>31</v>
      </c>
      <c r="S272" s="1" t="n">
        <v>1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3" t="n">
        <f aca="false">SUM(S272:T272)</f>
        <v>1</v>
      </c>
      <c r="Z272" s="3" t="n">
        <f aca="false">SUM(U272:W272)</f>
        <v>0</v>
      </c>
      <c r="AA272" s="3" t="n">
        <f aca="false">SUM(S272:X272)</f>
        <v>1</v>
      </c>
      <c r="AB272" s="11" t="n">
        <f aca="false">(AA272/(K272*L272)*25)*4</f>
        <v>4</v>
      </c>
    </row>
    <row r="273" customFormat="false" ht="14.25" hidden="false" customHeight="false" outlineLevel="0" collapsed="false">
      <c r="A273" s="1" t="n">
        <v>2009</v>
      </c>
      <c r="B273" s="7" t="s">
        <v>322</v>
      </c>
      <c r="C273" s="7" t="n">
        <v>2</v>
      </c>
      <c r="D273" s="7" t="s">
        <v>295</v>
      </c>
      <c r="E273" s="7" t="s">
        <v>295</v>
      </c>
      <c r="F273" s="7" t="s">
        <v>324</v>
      </c>
      <c r="G273" s="1" t="n">
        <v>2</v>
      </c>
      <c r="H273" s="1" t="n">
        <v>6</v>
      </c>
      <c r="I273" s="10" t="n">
        <v>39970</v>
      </c>
      <c r="J273" s="10" t="n">
        <v>39975</v>
      </c>
      <c r="K273" s="1" t="n">
        <v>5</v>
      </c>
      <c r="L273" s="1" t="n">
        <v>5</v>
      </c>
      <c r="M273" s="3" t="s">
        <v>48</v>
      </c>
      <c r="N273" s="3" t="s">
        <v>49</v>
      </c>
      <c r="O273" s="12" t="s">
        <v>119</v>
      </c>
      <c r="P273" s="2" t="str">
        <f aca="false">CONCATENATE(N273," ",O273)</f>
        <v>Alopecosa sulzeri</v>
      </c>
      <c r="Q273" s="1" t="s">
        <v>30</v>
      </c>
      <c r="R273" s="1" t="s">
        <v>35</v>
      </c>
      <c r="S273" s="1" t="n">
        <v>0</v>
      </c>
      <c r="T273" s="1" t="n">
        <v>1</v>
      </c>
      <c r="U273" s="1" t="n">
        <v>0</v>
      </c>
      <c r="V273" s="1" t="n">
        <v>0</v>
      </c>
      <c r="W273" s="1" t="n">
        <v>0</v>
      </c>
      <c r="X273" s="1" t="n">
        <v>0</v>
      </c>
      <c r="Y273" s="3" t="n">
        <f aca="false">SUM(S273:T273)</f>
        <v>1</v>
      </c>
      <c r="Z273" s="3" t="n">
        <f aca="false">SUM(U273:W273)</f>
        <v>0</v>
      </c>
      <c r="AA273" s="3" t="n">
        <f aca="false">SUM(S273:X273)</f>
        <v>1</v>
      </c>
      <c r="AB273" s="11" t="n">
        <f aca="false">(AA273/(K273*L273)*25)*4</f>
        <v>4</v>
      </c>
    </row>
    <row r="274" customFormat="false" ht="14.25" hidden="false" customHeight="false" outlineLevel="0" collapsed="false">
      <c r="A274" s="1" t="n">
        <v>2009</v>
      </c>
      <c r="B274" s="7" t="s">
        <v>322</v>
      </c>
      <c r="C274" s="7" t="n">
        <v>2</v>
      </c>
      <c r="D274" s="7" t="s">
        <v>295</v>
      </c>
      <c r="E274" s="7" t="s">
        <v>295</v>
      </c>
      <c r="F274" s="7" t="s">
        <v>324</v>
      </c>
      <c r="G274" s="1" t="n">
        <v>2</v>
      </c>
      <c r="H274" s="1" t="n">
        <v>6</v>
      </c>
      <c r="I274" s="10" t="n">
        <v>39970</v>
      </c>
      <c r="J274" s="10" t="n">
        <v>39975</v>
      </c>
      <c r="K274" s="1" t="n">
        <v>5</v>
      </c>
      <c r="L274" s="1" t="n">
        <v>5</v>
      </c>
      <c r="M274" s="3" t="s">
        <v>48</v>
      </c>
      <c r="N274" s="3" t="s">
        <v>49</v>
      </c>
      <c r="O274" s="8" t="s">
        <v>130</v>
      </c>
      <c r="P274" s="2" t="str">
        <f aca="false">CONCATENATE(N274," ",O274)</f>
        <v>Alopecosa aculeata</v>
      </c>
      <c r="Q274" s="1" t="s">
        <v>30</v>
      </c>
      <c r="R274" s="1" t="s">
        <v>31</v>
      </c>
      <c r="S274" s="1" t="n">
        <v>9</v>
      </c>
      <c r="T274" s="1" t="n">
        <v>0</v>
      </c>
      <c r="U274" s="1" t="n">
        <v>0</v>
      </c>
      <c r="V274" s="1" t="n">
        <v>0</v>
      </c>
      <c r="W274" s="1" t="n">
        <v>0</v>
      </c>
      <c r="X274" s="1" t="n">
        <v>0</v>
      </c>
      <c r="Y274" s="3" t="n">
        <f aca="false">SUM(S274:T274)</f>
        <v>9</v>
      </c>
      <c r="Z274" s="3" t="n">
        <f aca="false">SUM(U274:W274)</f>
        <v>0</v>
      </c>
      <c r="AA274" s="3" t="n">
        <f aca="false">SUM(S274:X274)</f>
        <v>9</v>
      </c>
      <c r="AB274" s="11" t="n">
        <f aca="false">(AA274/(K274*L274)*25)*4</f>
        <v>36</v>
      </c>
    </row>
    <row r="275" customFormat="false" ht="14.25" hidden="false" customHeight="false" outlineLevel="0" collapsed="false">
      <c r="A275" s="1" t="n">
        <v>2009</v>
      </c>
      <c r="B275" s="7" t="s">
        <v>322</v>
      </c>
      <c r="C275" s="7" t="n">
        <v>2</v>
      </c>
      <c r="D275" s="7" t="s">
        <v>295</v>
      </c>
      <c r="E275" s="7" t="s">
        <v>295</v>
      </c>
      <c r="F275" s="7" t="s">
        <v>324</v>
      </c>
      <c r="G275" s="1" t="n">
        <v>2</v>
      </c>
      <c r="H275" s="1" t="n">
        <v>6</v>
      </c>
      <c r="I275" s="10" t="n">
        <v>39970</v>
      </c>
      <c r="J275" s="10" t="n">
        <v>39975</v>
      </c>
      <c r="K275" s="1" t="n">
        <v>5</v>
      </c>
      <c r="L275" s="1" t="n">
        <v>5</v>
      </c>
      <c r="M275" s="3" t="s">
        <v>48</v>
      </c>
      <c r="N275" s="3" t="s">
        <v>49</v>
      </c>
      <c r="O275" s="8" t="s">
        <v>130</v>
      </c>
      <c r="P275" s="2" t="str">
        <f aca="false">CONCATENATE(N275," ",O275)</f>
        <v>Alopecosa aculeata</v>
      </c>
      <c r="Q275" s="1" t="s">
        <v>30</v>
      </c>
      <c r="R275" s="1" t="s">
        <v>35</v>
      </c>
      <c r="S275" s="1" t="n">
        <v>0</v>
      </c>
      <c r="T275" s="1" t="n">
        <v>1</v>
      </c>
      <c r="U275" s="1" t="n">
        <v>0</v>
      </c>
      <c r="V275" s="1" t="n">
        <v>0</v>
      </c>
      <c r="W275" s="1" t="n">
        <v>0</v>
      </c>
      <c r="X275" s="1" t="n">
        <v>0</v>
      </c>
      <c r="Y275" s="3" t="n">
        <f aca="false">SUM(S275:T275)</f>
        <v>1</v>
      </c>
      <c r="Z275" s="3" t="n">
        <f aca="false">SUM(U275:W275)</f>
        <v>0</v>
      </c>
      <c r="AA275" s="3" t="n">
        <f aca="false">SUM(S275:X275)</f>
        <v>1</v>
      </c>
      <c r="AB275" s="11" t="n">
        <f aca="false">(AA275/(K275*L275)*25)*4</f>
        <v>4</v>
      </c>
    </row>
    <row r="276" customFormat="false" ht="14.25" hidden="false" customHeight="false" outlineLevel="0" collapsed="false">
      <c r="A276" s="1" t="n">
        <v>2009</v>
      </c>
      <c r="B276" s="7" t="s">
        <v>322</v>
      </c>
      <c r="C276" s="7" t="n">
        <v>2</v>
      </c>
      <c r="D276" s="7" t="s">
        <v>295</v>
      </c>
      <c r="E276" s="7" t="s">
        <v>295</v>
      </c>
      <c r="F276" s="7" t="s">
        <v>324</v>
      </c>
      <c r="G276" s="1" t="n">
        <v>2</v>
      </c>
      <c r="H276" s="1" t="n">
        <v>6</v>
      </c>
      <c r="I276" s="10" t="n">
        <v>39970</v>
      </c>
      <c r="J276" s="10" t="n">
        <v>39975</v>
      </c>
      <c r="K276" s="1" t="n">
        <v>5</v>
      </c>
      <c r="L276" s="1" t="n">
        <v>5</v>
      </c>
      <c r="M276" s="3" t="s">
        <v>72</v>
      </c>
      <c r="N276" s="3" t="s">
        <v>73</v>
      </c>
      <c r="O276" s="12" t="s">
        <v>149</v>
      </c>
      <c r="P276" s="2" t="str">
        <f aca="false">CONCATENATE(N276," ",O276)</f>
        <v>Zelotes electus</v>
      </c>
      <c r="Q276" s="1" t="s">
        <v>30</v>
      </c>
      <c r="R276" s="1" t="s">
        <v>35</v>
      </c>
      <c r="S276" s="1" t="n">
        <v>0</v>
      </c>
      <c r="T276" s="1" t="n">
        <v>1</v>
      </c>
      <c r="U276" s="1" t="n">
        <v>0</v>
      </c>
      <c r="V276" s="1" t="n">
        <v>0</v>
      </c>
      <c r="W276" s="1" t="n">
        <v>0</v>
      </c>
      <c r="X276" s="1" t="n">
        <v>0</v>
      </c>
      <c r="Y276" s="3" t="n">
        <f aca="false">SUM(S276:T276)</f>
        <v>1</v>
      </c>
      <c r="Z276" s="3" t="n">
        <f aca="false">SUM(U276:W276)</f>
        <v>0</v>
      </c>
      <c r="AA276" s="3" t="n">
        <f aca="false">SUM(S276:X276)</f>
        <v>1</v>
      </c>
      <c r="AB276" s="11" t="n">
        <f aca="false">(AA276/(K276*L276)*25)*4</f>
        <v>4</v>
      </c>
    </row>
    <row r="277" customFormat="false" ht="14.25" hidden="false" customHeight="false" outlineLevel="0" collapsed="false">
      <c r="A277" s="1" t="n">
        <v>2009</v>
      </c>
      <c r="B277" s="7" t="s">
        <v>322</v>
      </c>
      <c r="C277" s="7" t="n">
        <v>2</v>
      </c>
      <c r="D277" s="7" t="s">
        <v>295</v>
      </c>
      <c r="E277" s="7" t="s">
        <v>295</v>
      </c>
      <c r="F277" s="7" t="s">
        <v>324</v>
      </c>
      <c r="G277" s="1" t="n">
        <v>2</v>
      </c>
      <c r="H277" s="1" t="n">
        <v>6</v>
      </c>
      <c r="I277" s="10" t="n">
        <v>39970</v>
      </c>
      <c r="J277" s="10" t="n">
        <v>39975</v>
      </c>
      <c r="K277" s="1" t="n">
        <v>5</v>
      </c>
      <c r="L277" s="1" t="n">
        <v>5</v>
      </c>
      <c r="M277" s="3" t="s">
        <v>72</v>
      </c>
      <c r="N277" s="3" t="s">
        <v>86</v>
      </c>
      <c r="O277" s="12" t="s">
        <v>134</v>
      </c>
      <c r="P277" s="2" t="str">
        <f aca="false">CONCATENATE(N277," ",O277)</f>
        <v>Haplodrassus umbratilis</v>
      </c>
      <c r="Q277" s="1" t="s">
        <v>30</v>
      </c>
      <c r="R277" s="1" t="s">
        <v>31</v>
      </c>
      <c r="S277" s="1" t="n">
        <v>1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0</v>
      </c>
      <c r="Y277" s="3" t="n">
        <f aca="false">SUM(S277:T277)</f>
        <v>1</v>
      </c>
      <c r="Z277" s="3" t="n">
        <f aca="false">SUM(U277:W277)</f>
        <v>0</v>
      </c>
      <c r="AA277" s="3" t="n">
        <f aca="false">SUM(S277:X277)</f>
        <v>1</v>
      </c>
      <c r="AB277" s="11" t="n">
        <f aca="false">(AA277/(K277*L277)*25)*4</f>
        <v>4</v>
      </c>
    </row>
    <row r="278" customFormat="false" ht="14.25" hidden="false" customHeight="false" outlineLevel="0" collapsed="false">
      <c r="A278" s="1" t="n">
        <v>2009</v>
      </c>
      <c r="B278" s="7" t="s">
        <v>322</v>
      </c>
      <c r="C278" s="7" t="n">
        <v>2</v>
      </c>
      <c r="D278" s="7" t="s">
        <v>295</v>
      </c>
      <c r="E278" s="7" t="s">
        <v>295</v>
      </c>
      <c r="F278" s="7" t="s">
        <v>324</v>
      </c>
      <c r="G278" s="1" t="n">
        <v>2</v>
      </c>
      <c r="H278" s="1" t="n">
        <v>6</v>
      </c>
      <c r="I278" s="10" t="n">
        <v>39970</v>
      </c>
      <c r="J278" s="10" t="n">
        <v>39975</v>
      </c>
      <c r="K278" s="1" t="n">
        <v>5</v>
      </c>
      <c r="L278" s="1" t="n">
        <v>5</v>
      </c>
      <c r="M278" s="3" t="s">
        <v>48</v>
      </c>
      <c r="N278" s="3" t="s">
        <v>122</v>
      </c>
      <c r="O278" s="12" t="s">
        <v>123</v>
      </c>
      <c r="P278" s="2" t="str">
        <f aca="false">CONCATENATE(N278," ",O278)</f>
        <v>Xerolycosa nemoralis</v>
      </c>
      <c r="Q278" s="1" t="s">
        <v>30</v>
      </c>
      <c r="R278" s="1" t="s">
        <v>31</v>
      </c>
      <c r="S278" s="1" t="n">
        <v>1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0</v>
      </c>
      <c r="Y278" s="3" t="n">
        <f aca="false">SUM(S278:T278)</f>
        <v>1</v>
      </c>
      <c r="Z278" s="3" t="n">
        <f aca="false">SUM(U278:W278)</f>
        <v>0</v>
      </c>
      <c r="AA278" s="3" t="n">
        <f aca="false">SUM(S278:X278)</f>
        <v>1</v>
      </c>
      <c r="AB278" s="11" t="n">
        <f aca="false">(AA278/(K278*L278)*25)*4</f>
        <v>4</v>
      </c>
    </row>
    <row r="279" customFormat="false" ht="14.25" hidden="false" customHeight="false" outlineLevel="0" collapsed="false">
      <c r="A279" s="1" t="n">
        <v>2009</v>
      </c>
      <c r="B279" s="7" t="s">
        <v>322</v>
      </c>
      <c r="C279" s="7" t="n">
        <v>2</v>
      </c>
      <c r="D279" s="7" t="s">
        <v>295</v>
      </c>
      <c r="E279" s="7" t="s">
        <v>295</v>
      </c>
      <c r="F279" s="7" t="s">
        <v>324</v>
      </c>
      <c r="G279" s="1" t="n">
        <v>2</v>
      </c>
      <c r="H279" s="1" t="n">
        <v>6</v>
      </c>
      <c r="I279" s="10" t="n">
        <v>39970</v>
      </c>
      <c r="J279" s="10" t="n">
        <v>39975</v>
      </c>
      <c r="K279" s="1" t="n">
        <v>5</v>
      </c>
      <c r="L279" s="1" t="n">
        <v>5</v>
      </c>
      <c r="M279" s="3" t="s">
        <v>48</v>
      </c>
      <c r="N279" s="3" t="s">
        <v>122</v>
      </c>
      <c r="O279" s="12" t="s">
        <v>123</v>
      </c>
      <c r="P279" s="2" t="str">
        <f aca="false">CONCATENATE(N279," ",O279)</f>
        <v>Xerolycosa nemoralis</v>
      </c>
      <c r="Q279" s="1" t="s">
        <v>30</v>
      </c>
      <c r="R279" s="1" t="s">
        <v>35</v>
      </c>
      <c r="S279" s="1" t="n">
        <v>0</v>
      </c>
      <c r="T279" s="1" t="n">
        <v>3</v>
      </c>
      <c r="U279" s="1" t="n">
        <v>0</v>
      </c>
      <c r="V279" s="1" t="n">
        <v>0</v>
      </c>
      <c r="W279" s="1" t="n">
        <v>0</v>
      </c>
      <c r="X279" s="1" t="n">
        <v>0</v>
      </c>
      <c r="Y279" s="3" t="n">
        <f aca="false">SUM(S279:T279)</f>
        <v>3</v>
      </c>
      <c r="Z279" s="3" t="n">
        <f aca="false">SUM(U279:W279)</f>
        <v>0</v>
      </c>
      <c r="AA279" s="3" t="n">
        <f aca="false">SUM(S279:X279)</f>
        <v>3</v>
      </c>
      <c r="AB279" s="11" t="n">
        <f aca="false">(AA279/(K279*L279)*25)*4</f>
        <v>12</v>
      </c>
    </row>
    <row r="280" customFormat="false" ht="14.25" hidden="false" customHeight="false" outlineLevel="0" collapsed="false">
      <c r="A280" s="1" t="n">
        <v>2009</v>
      </c>
      <c r="B280" s="7" t="s">
        <v>322</v>
      </c>
      <c r="C280" s="7" t="n">
        <v>2</v>
      </c>
      <c r="D280" s="7" t="s">
        <v>295</v>
      </c>
      <c r="E280" s="7" t="s">
        <v>295</v>
      </c>
      <c r="F280" s="7" t="s">
        <v>324</v>
      </c>
      <c r="G280" s="1" t="n">
        <v>2</v>
      </c>
      <c r="H280" s="1" t="n">
        <v>6</v>
      </c>
      <c r="I280" s="10" t="n">
        <v>39970</v>
      </c>
      <c r="J280" s="10" t="n">
        <v>39975</v>
      </c>
      <c r="K280" s="1" t="n">
        <v>5</v>
      </c>
      <c r="L280" s="1" t="n">
        <v>5</v>
      </c>
      <c r="M280" s="3" t="s">
        <v>48</v>
      </c>
      <c r="N280" s="3" t="s">
        <v>67</v>
      </c>
      <c r="O280" s="12" t="s">
        <v>127</v>
      </c>
      <c r="P280" s="2" t="str">
        <f aca="false">CONCATENATE(N280," ",O280)</f>
        <v>Pardosa lugubris</v>
      </c>
      <c r="Q280" s="1" t="s">
        <v>30</v>
      </c>
      <c r="R280" s="1" t="s">
        <v>31</v>
      </c>
      <c r="S280" s="1" t="n">
        <v>2</v>
      </c>
      <c r="T280" s="1" t="n">
        <v>0</v>
      </c>
      <c r="U280" s="1" t="n">
        <v>0</v>
      </c>
      <c r="V280" s="1" t="n">
        <v>0</v>
      </c>
      <c r="W280" s="1" t="n">
        <v>0</v>
      </c>
      <c r="X280" s="1" t="n">
        <v>0</v>
      </c>
      <c r="Y280" s="3" t="n">
        <f aca="false">SUM(S280:T280)</f>
        <v>2</v>
      </c>
      <c r="Z280" s="3" t="n">
        <f aca="false">SUM(U280:W280)</f>
        <v>0</v>
      </c>
      <c r="AA280" s="3" t="n">
        <f aca="false">SUM(S280:X280)</f>
        <v>2</v>
      </c>
      <c r="AB280" s="11" t="n">
        <f aca="false">(AA280/(K280*L280)*25)*4</f>
        <v>8</v>
      </c>
    </row>
    <row r="281" customFormat="false" ht="14.25" hidden="false" customHeight="false" outlineLevel="0" collapsed="false">
      <c r="A281" s="1" t="n">
        <v>2009</v>
      </c>
      <c r="B281" s="7" t="s">
        <v>322</v>
      </c>
      <c r="C281" s="7" t="n">
        <v>2</v>
      </c>
      <c r="D281" s="7" t="s">
        <v>295</v>
      </c>
      <c r="E281" s="7" t="s">
        <v>295</v>
      </c>
      <c r="F281" s="7" t="s">
        <v>324</v>
      </c>
      <c r="G281" s="1" t="n">
        <v>2</v>
      </c>
      <c r="H281" s="1" t="n">
        <v>6</v>
      </c>
      <c r="I281" s="10" t="n">
        <v>39970</v>
      </c>
      <c r="J281" s="10" t="n">
        <v>39975</v>
      </c>
      <c r="K281" s="1" t="n">
        <v>5</v>
      </c>
      <c r="L281" s="1" t="n">
        <v>5</v>
      </c>
      <c r="M281" s="3" t="s">
        <v>32</v>
      </c>
      <c r="N281" s="3" t="s">
        <v>154</v>
      </c>
      <c r="O281" s="3" t="s">
        <v>155</v>
      </c>
      <c r="P281" s="2" t="str">
        <f aca="false">CONCATENATE(N281," ",O281)</f>
        <v>Pocadicnemis pumila</v>
      </c>
      <c r="Q281" s="1" t="s">
        <v>30</v>
      </c>
      <c r="R281" s="1" t="s">
        <v>35</v>
      </c>
      <c r="S281" s="1" t="n">
        <v>0</v>
      </c>
      <c r="T281" s="1" t="n">
        <v>1</v>
      </c>
      <c r="U281" s="1" t="n">
        <v>0</v>
      </c>
      <c r="V281" s="1" t="n">
        <v>0</v>
      </c>
      <c r="W281" s="1" t="n">
        <v>0</v>
      </c>
      <c r="X281" s="1" t="n">
        <v>0</v>
      </c>
      <c r="Y281" s="3" t="n">
        <f aca="false">SUM(S281:T281)</f>
        <v>1</v>
      </c>
      <c r="Z281" s="3" t="n">
        <f aca="false">SUM(U281:W281)</f>
        <v>0</v>
      </c>
      <c r="AA281" s="3" t="n">
        <f aca="false">SUM(S281:X281)</f>
        <v>1</v>
      </c>
      <c r="AB281" s="11" t="n">
        <f aca="false">(AA281/(K281*L281)*25)*4</f>
        <v>4</v>
      </c>
    </row>
    <row r="282" customFormat="false" ht="14.25" hidden="false" customHeight="false" outlineLevel="0" collapsed="false">
      <c r="A282" s="1" t="n">
        <v>2009</v>
      </c>
      <c r="B282" s="7" t="s">
        <v>322</v>
      </c>
      <c r="C282" s="7" t="n">
        <v>2</v>
      </c>
      <c r="D282" s="7" t="s">
        <v>295</v>
      </c>
      <c r="E282" s="7" t="s">
        <v>295</v>
      </c>
      <c r="F282" s="7" t="s">
        <v>324</v>
      </c>
      <c r="G282" s="1" t="n">
        <v>3</v>
      </c>
      <c r="H282" s="1" t="n">
        <v>11</v>
      </c>
      <c r="I282" s="10" t="n">
        <v>39970</v>
      </c>
      <c r="J282" s="10" t="n">
        <v>39975</v>
      </c>
      <c r="K282" s="1" t="n">
        <v>5</v>
      </c>
      <c r="L282" s="1" t="n">
        <v>5</v>
      </c>
      <c r="M282" s="3" t="s">
        <v>48</v>
      </c>
      <c r="N282" s="3" t="s">
        <v>49</v>
      </c>
      <c r="O282" s="12" t="s">
        <v>119</v>
      </c>
      <c r="P282" s="2" t="str">
        <f aca="false">CONCATENATE(N282," ",O282)</f>
        <v>Alopecosa sulzeri</v>
      </c>
      <c r="Q282" s="1" t="s">
        <v>30</v>
      </c>
      <c r="R282" s="1" t="s">
        <v>31</v>
      </c>
      <c r="S282" s="1" t="n">
        <v>3</v>
      </c>
      <c r="T282" s="1" t="n">
        <v>0</v>
      </c>
      <c r="U282" s="1" t="n">
        <v>0</v>
      </c>
      <c r="V282" s="1" t="n">
        <v>0</v>
      </c>
      <c r="W282" s="1" t="n">
        <v>0</v>
      </c>
      <c r="X282" s="1" t="n">
        <v>0</v>
      </c>
      <c r="Y282" s="3" t="n">
        <f aca="false">SUM(S282:T282)</f>
        <v>3</v>
      </c>
      <c r="Z282" s="3" t="n">
        <f aca="false">SUM(U282:W282)</f>
        <v>0</v>
      </c>
      <c r="AA282" s="3" t="n">
        <f aca="false">SUM(S282:X282)</f>
        <v>3</v>
      </c>
      <c r="AB282" s="11" t="n">
        <f aca="false">(AA282/(K282*L282)*25)*4</f>
        <v>12</v>
      </c>
    </row>
    <row r="283" customFormat="false" ht="14.25" hidden="false" customHeight="false" outlineLevel="0" collapsed="false">
      <c r="A283" s="1" t="n">
        <v>2009</v>
      </c>
      <c r="B283" s="7" t="s">
        <v>322</v>
      </c>
      <c r="C283" s="7" t="n">
        <v>2</v>
      </c>
      <c r="D283" s="7" t="s">
        <v>295</v>
      </c>
      <c r="E283" s="7" t="s">
        <v>295</v>
      </c>
      <c r="F283" s="7" t="s">
        <v>324</v>
      </c>
      <c r="G283" s="1" t="n">
        <v>3</v>
      </c>
      <c r="H283" s="1" t="n">
        <v>11</v>
      </c>
      <c r="I283" s="10" t="n">
        <v>39970</v>
      </c>
      <c r="J283" s="10" t="n">
        <v>39975</v>
      </c>
      <c r="K283" s="1" t="n">
        <v>5</v>
      </c>
      <c r="L283" s="1" t="n">
        <v>5</v>
      </c>
      <c r="M283" s="3" t="s">
        <v>48</v>
      </c>
      <c r="N283" s="3" t="s">
        <v>49</v>
      </c>
      <c r="O283" s="12" t="s">
        <v>119</v>
      </c>
      <c r="P283" s="2" t="str">
        <f aca="false">CONCATENATE(N283," ",O283)</f>
        <v>Alopecosa sulzeri</v>
      </c>
      <c r="Q283" s="1" t="s">
        <v>30</v>
      </c>
      <c r="R283" s="1" t="s">
        <v>35</v>
      </c>
      <c r="S283" s="1" t="n">
        <v>0</v>
      </c>
      <c r="T283" s="1" t="n">
        <v>1</v>
      </c>
      <c r="U283" s="1" t="n">
        <v>0</v>
      </c>
      <c r="V283" s="1" t="n">
        <v>0</v>
      </c>
      <c r="W283" s="1" t="n">
        <v>0</v>
      </c>
      <c r="X283" s="1" t="n">
        <v>0</v>
      </c>
      <c r="Y283" s="3" t="n">
        <f aca="false">SUM(S283:T283)</f>
        <v>1</v>
      </c>
      <c r="Z283" s="3" t="n">
        <f aca="false">SUM(U283:W283)</f>
        <v>0</v>
      </c>
      <c r="AA283" s="3" t="n">
        <f aca="false">SUM(S283:X283)</f>
        <v>1</v>
      </c>
      <c r="AB283" s="11" t="n">
        <f aca="false">(AA283/(K283*L283)*25)*4</f>
        <v>4</v>
      </c>
    </row>
    <row r="284" customFormat="false" ht="14.25" hidden="false" customHeight="false" outlineLevel="0" collapsed="false">
      <c r="A284" s="1" t="n">
        <v>2009</v>
      </c>
      <c r="B284" s="7" t="s">
        <v>322</v>
      </c>
      <c r="C284" s="7" t="n">
        <v>2</v>
      </c>
      <c r="D284" s="7" t="s">
        <v>295</v>
      </c>
      <c r="E284" s="7" t="s">
        <v>295</v>
      </c>
      <c r="F284" s="7" t="s">
        <v>324</v>
      </c>
      <c r="G284" s="1" t="n">
        <v>3</v>
      </c>
      <c r="H284" s="1" t="n">
        <v>11</v>
      </c>
      <c r="I284" s="10" t="n">
        <v>39970</v>
      </c>
      <c r="J284" s="10" t="n">
        <v>39975</v>
      </c>
      <c r="K284" s="1" t="n">
        <v>5</v>
      </c>
      <c r="L284" s="1" t="n">
        <v>5</v>
      </c>
      <c r="M284" s="3" t="s">
        <v>48</v>
      </c>
      <c r="N284" s="3" t="s">
        <v>49</v>
      </c>
      <c r="O284" s="8" t="s">
        <v>130</v>
      </c>
      <c r="P284" s="2" t="str">
        <f aca="false">CONCATENATE(N284," ",O284)</f>
        <v>Alopecosa aculeata</v>
      </c>
      <c r="Q284" s="1" t="s">
        <v>30</v>
      </c>
      <c r="R284" s="1" t="s">
        <v>31</v>
      </c>
      <c r="S284" s="1" t="n">
        <v>2</v>
      </c>
      <c r="T284" s="1" t="n">
        <v>0</v>
      </c>
      <c r="U284" s="1" t="n">
        <v>0</v>
      </c>
      <c r="V284" s="1" t="n">
        <v>0</v>
      </c>
      <c r="W284" s="1" t="n">
        <v>0</v>
      </c>
      <c r="X284" s="1" t="n">
        <v>0</v>
      </c>
      <c r="Y284" s="3" t="n">
        <f aca="false">SUM(S284:T284)</f>
        <v>2</v>
      </c>
      <c r="Z284" s="3" t="n">
        <f aca="false">SUM(U284:W284)</f>
        <v>0</v>
      </c>
      <c r="AA284" s="3" t="n">
        <f aca="false">SUM(S284:X284)</f>
        <v>2</v>
      </c>
      <c r="AB284" s="11" t="n">
        <f aca="false">(AA284/(K284*L284)*25)*4</f>
        <v>8</v>
      </c>
    </row>
    <row r="285" customFormat="false" ht="14.25" hidden="false" customHeight="false" outlineLevel="0" collapsed="false">
      <c r="A285" s="1" t="n">
        <v>2009</v>
      </c>
      <c r="B285" s="7" t="s">
        <v>322</v>
      </c>
      <c r="C285" s="7" t="n">
        <v>2</v>
      </c>
      <c r="D285" s="7" t="s">
        <v>295</v>
      </c>
      <c r="E285" s="7" t="s">
        <v>295</v>
      </c>
      <c r="F285" s="7" t="s">
        <v>324</v>
      </c>
      <c r="G285" s="1" t="n">
        <v>3</v>
      </c>
      <c r="H285" s="1" t="n">
        <v>11</v>
      </c>
      <c r="I285" s="10" t="n">
        <v>39970</v>
      </c>
      <c r="J285" s="10" t="n">
        <v>39975</v>
      </c>
      <c r="K285" s="1" t="n">
        <v>5</v>
      </c>
      <c r="L285" s="1" t="n">
        <v>5</v>
      </c>
      <c r="M285" s="3" t="s">
        <v>72</v>
      </c>
      <c r="N285" s="3" t="s">
        <v>139</v>
      </c>
      <c r="O285" s="12" t="s">
        <v>140</v>
      </c>
      <c r="P285" s="2" t="str">
        <f aca="false">CONCATENATE(N285," ",O285)</f>
        <v>Gnaphosa muscorum</v>
      </c>
      <c r="Q285" s="1" t="s">
        <v>30</v>
      </c>
      <c r="R285" s="1" t="s">
        <v>31</v>
      </c>
      <c r="S285" s="1" t="n">
        <v>1</v>
      </c>
      <c r="T285" s="1" t="n">
        <v>0</v>
      </c>
      <c r="U285" s="1" t="n">
        <v>0</v>
      </c>
      <c r="V285" s="1" t="n">
        <v>0</v>
      </c>
      <c r="W285" s="1" t="n">
        <v>0</v>
      </c>
      <c r="X285" s="1" t="n">
        <v>0</v>
      </c>
      <c r="Y285" s="3" t="n">
        <f aca="false">SUM(S285:T285)</f>
        <v>1</v>
      </c>
      <c r="Z285" s="3" t="n">
        <f aca="false">SUM(U285:W285)</f>
        <v>0</v>
      </c>
      <c r="AA285" s="3" t="n">
        <f aca="false">SUM(S285:X285)</f>
        <v>1</v>
      </c>
      <c r="AB285" s="11" t="n">
        <f aca="false">(AA285/(K285*L285)*25)*4</f>
        <v>4</v>
      </c>
    </row>
    <row r="286" customFormat="false" ht="14.25" hidden="false" customHeight="false" outlineLevel="0" collapsed="false">
      <c r="A286" s="1" t="n">
        <v>2009</v>
      </c>
      <c r="B286" s="7" t="s">
        <v>322</v>
      </c>
      <c r="C286" s="7" t="n">
        <v>2</v>
      </c>
      <c r="D286" s="7" t="s">
        <v>295</v>
      </c>
      <c r="E286" s="7" t="s">
        <v>295</v>
      </c>
      <c r="F286" s="7" t="s">
        <v>324</v>
      </c>
      <c r="G286" s="1" t="n">
        <v>3</v>
      </c>
      <c r="H286" s="1" t="n">
        <v>11</v>
      </c>
      <c r="I286" s="10" t="n">
        <v>39970</v>
      </c>
      <c r="J286" s="10" t="n">
        <v>39975</v>
      </c>
      <c r="K286" s="1" t="n">
        <v>5</v>
      </c>
      <c r="L286" s="1" t="n">
        <v>5</v>
      </c>
      <c r="M286" s="3" t="s">
        <v>48</v>
      </c>
      <c r="N286" s="3" t="s">
        <v>122</v>
      </c>
      <c r="O286" s="12" t="s">
        <v>123</v>
      </c>
      <c r="P286" s="2" t="str">
        <f aca="false">CONCATENATE(N286," ",O286)</f>
        <v>Xerolycosa nemoralis</v>
      </c>
      <c r="Q286" s="1" t="s">
        <v>30</v>
      </c>
      <c r="R286" s="1" t="s">
        <v>31</v>
      </c>
      <c r="S286" s="1" t="n">
        <v>16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3" t="n">
        <f aca="false">SUM(S286:T286)</f>
        <v>16</v>
      </c>
      <c r="Z286" s="3" t="n">
        <f aca="false">SUM(U286:W286)</f>
        <v>0</v>
      </c>
      <c r="AA286" s="3" t="n">
        <f aca="false">SUM(S286:X286)</f>
        <v>16</v>
      </c>
      <c r="AB286" s="11" t="n">
        <f aca="false">(AA286/(K286*L286)*25)*4</f>
        <v>64</v>
      </c>
    </row>
    <row r="287" customFormat="false" ht="14.25" hidden="false" customHeight="false" outlineLevel="0" collapsed="false">
      <c r="A287" s="1" t="n">
        <v>2009</v>
      </c>
      <c r="B287" s="7" t="s">
        <v>322</v>
      </c>
      <c r="C287" s="7" t="n">
        <v>2</v>
      </c>
      <c r="D287" s="7" t="s">
        <v>295</v>
      </c>
      <c r="E287" s="7" t="s">
        <v>295</v>
      </c>
      <c r="F287" s="7" t="s">
        <v>324</v>
      </c>
      <c r="G287" s="1" t="n">
        <v>3</v>
      </c>
      <c r="H287" s="1" t="n">
        <v>11</v>
      </c>
      <c r="I287" s="10" t="n">
        <v>39970</v>
      </c>
      <c r="J287" s="10" t="n">
        <v>39975</v>
      </c>
      <c r="K287" s="1" t="n">
        <v>5</v>
      </c>
      <c r="L287" s="1" t="n">
        <v>5</v>
      </c>
      <c r="M287" s="3" t="s">
        <v>48</v>
      </c>
      <c r="N287" s="3" t="s">
        <v>122</v>
      </c>
      <c r="O287" s="12" t="s">
        <v>123</v>
      </c>
      <c r="P287" s="2" t="str">
        <f aca="false">CONCATENATE(N287," ",O287)</f>
        <v>Xerolycosa nemoralis</v>
      </c>
      <c r="Q287" s="1" t="s">
        <v>30</v>
      </c>
      <c r="R287" s="1" t="s">
        <v>35</v>
      </c>
      <c r="S287" s="1" t="n">
        <v>0</v>
      </c>
      <c r="T287" s="1" t="n">
        <v>1</v>
      </c>
      <c r="U287" s="1" t="n">
        <v>0</v>
      </c>
      <c r="V287" s="1" t="n">
        <v>0</v>
      </c>
      <c r="W287" s="1" t="n">
        <v>0</v>
      </c>
      <c r="X287" s="1" t="n">
        <v>0</v>
      </c>
      <c r="Y287" s="3" t="n">
        <f aca="false">SUM(S287:T287)</f>
        <v>1</v>
      </c>
      <c r="Z287" s="3" t="n">
        <f aca="false">SUM(U287:W287)</f>
        <v>0</v>
      </c>
      <c r="AA287" s="3" t="n">
        <f aca="false">SUM(S287:X287)</f>
        <v>1</v>
      </c>
      <c r="AB287" s="11" t="n">
        <f aca="false">(AA287/(K287*L287)*25)*4</f>
        <v>4</v>
      </c>
    </row>
    <row r="288" customFormat="false" ht="14.25" hidden="false" customHeight="false" outlineLevel="0" collapsed="false">
      <c r="A288" s="1" t="n">
        <v>2009</v>
      </c>
      <c r="B288" s="7" t="s">
        <v>322</v>
      </c>
      <c r="C288" s="7" t="n">
        <v>2</v>
      </c>
      <c r="D288" s="7" t="s">
        <v>295</v>
      </c>
      <c r="E288" s="7" t="s">
        <v>295</v>
      </c>
      <c r="F288" s="7" t="s">
        <v>324</v>
      </c>
      <c r="G288" s="1" t="n">
        <v>3</v>
      </c>
      <c r="H288" s="1" t="n">
        <v>11</v>
      </c>
      <c r="I288" s="10" t="n">
        <v>39970</v>
      </c>
      <c r="J288" s="10" t="n">
        <v>39975</v>
      </c>
      <c r="K288" s="1" t="n">
        <v>5</v>
      </c>
      <c r="L288" s="1" t="n">
        <v>5</v>
      </c>
      <c r="M288" s="3" t="s">
        <v>48</v>
      </c>
      <c r="N288" s="3" t="s">
        <v>67</v>
      </c>
      <c r="O288" s="12" t="s">
        <v>127</v>
      </c>
      <c r="P288" s="2" t="str">
        <f aca="false">CONCATENATE(N288," ",O288)</f>
        <v>Pardosa lugubris</v>
      </c>
      <c r="Q288" s="1" t="s">
        <v>30</v>
      </c>
      <c r="R288" s="1" t="s">
        <v>31</v>
      </c>
      <c r="S288" s="1" t="n">
        <v>1</v>
      </c>
      <c r="T288" s="1" t="n">
        <v>0</v>
      </c>
      <c r="U288" s="1" t="n">
        <v>0</v>
      </c>
      <c r="V288" s="1" t="n">
        <v>0</v>
      </c>
      <c r="W288" s="1" t="n">
        <v>0</v>
      </c>
      <c r="X288" s="1" t="n">
        <v>0</v>
      </c>
      <c r="Y288" s="3" t="n">
        <f aca="false">SUM(S288:T288)</f>
        <v>1</v>
      </c>
      <c r="Z288" s="3" t="n">
        <f aca="false">SUM(U288:W288)</f>
        <v>0</v>
      </c>
      <c r="AA288" s="3" t="n">
        <f aca="false">SUM(S288:X288)</f>
        <v>1</v>
      </c>
      <c r="AB288" s="11" t="n">
        <f aca="false">(AA288/(K288*L288)*25)*4</f>
        <v>4</v>
      </c>
    </row>
    <row r="289" customFormat="false" ht="14.25" hidden="false" customHeight="false" outlineLevel="0" collapsed="false">
      <c r="A289" s="1" t="n">
        <v>2009</v>
      </c>
      <c r="B289" s="7" t="s">
        <v>322</v>
      </c>
      <c r="C289" s="7" t="n">
        <v>2</v>
      </c>
      <c r="D289" s="7" t="s">
        <v>295</v>
      </c>
      <c r="E289" s="7" t="s">
        <v>295</v>
      </c>
      <c r="F289" s="7" t="s">
        <v>324</v>
      </c>
      <c r="G289" s="1" t="n">
        <v>3</v>
      </c>
      <c r="H289" s="1" t="n">
        <v>11</v>
      </c>
      <c r="I289" s="10" t="n">
        <v>39970</v>
      </c>
      <c r="J289" s="10" t="n">
        <v>39975</v>
      </c>
      <c r="K289" s="1" t="n">
        <v>5</v>
      </c>
      <c r="L289" s="1" t="n">
        <v>5</v>
      </c>
      <c r="M289" s="3" t="s">
        <v>72</v>
      </c>
      <c r="N289" s="3" t="s">
        <v>86</v>
      </c>
      <c r="O289" s="12" t="s">
        <v>134</v>
      </c>
      <c r="P289" s="2" t="str">
        <f aca="false">CONCATENATE(N289," ",O289)</f>
        <v>Haplodrassus umbratilis</v>
      </c>
      <c r="Q289" s="1" t="s">
        <v>30</v>
      </c>
      <c r="R289" s="1" t="s">
        <v>31</v>
      </c>
      <c r="S289" s="1" t="n">
        <v>1</v>
      </c>
      <c r="T289" s="1" t="n">
        <v>0</v>
      </c>
      <c r="U289" s="1" t="n">
        <v>0</v>
      </c>
      <c r="V289" s="1" t="n">
        <v>0</v>
      </c>
      <c r="W289" s="1" t="n">
        <v>0</v>
      </c>
      <c r="X289" s="1" t="n">
        <v>0</v>
      </c>
      <c r="Y289" s="3" t="n">
        <f aca="false">SUM(S289:T289)</f>
        <v>1</v>
      </c>
      <c r="Z289" s="3" t="n">
        <f aca="false">SUM(U289:W289)</f>
        <v>0</v>
      </c>
      <c r="AA289" s="3" t="n">
        <f aca="false">SUM(S289:X289)</f>
        <v>1</v>
      </c>
      <c r="AB289" s="11" t="n">
        <f aca="false">(AA289/(K289*L289)*25)*4</f>
        <v>4</v>
      </c>
    </row>
    <row r="290" customFormat="false" ht="14.25" hidden="false" customHeight="false" outlineLevel="0" collapsed="false">
      <c r="A290" s="1" t="n">
        <v>2009</v>
      </c>
      <c r="B290" s="7" t="s">
        <v>322</v>
      </c>
      <c r="C290" s="7" t="n">
        <v>2</v>
      </c>
      <c r="D290" s="7" t="s">
        <v>295</v>
      </c>
      <c r="E290" s="7" t="s">
        <v>295</v>
      </c>
      <c r="F290" s="7" t="s">
        <v>324</v>
      </c>
      <c r="G290" s="1" t="n">
        <v>1</v>
      </c>
      <c r="H290" s="1" t="n">
        <v>5</v>
      </c>
      <c r="I290" s="10" t="n">
        <v>39970</v>
      </c>
      <c r="J290" s="10" t="n">
        <v>39975</v>
      </c>
      <c r="K290" s="1" t="n">
        <v>5</v>
      </c>
      <c r="L290" s="1" t="n">
        <v>5</v>
      </c>
      <c r="M290" s="3" t="s">
        <v>72</v>
      </c>
      <c r="N290" s="3" t="s">
        <v>139</v>
      </c>
      <c r="O290" s="12" t="s">
        <v>140</v>
      </c>
      <c r="P290" s="2" t="str">
        <f aca="false">CONCATENATE(N290," ",O290)</f>
        <v>Gnaphosa muscorum</v>
      </c>
      <c r="Q290" s="1" t="s">
        <v>30</v>
      </c>
      <c r="R290" s="1" t="s">
        <v>31</v>
      </c>
      <c r="S290" s="1" t="n">
        <v>4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3" t="n">
        <f aca="false">SUM(S290:T290)</f>
        <v>4</v>
      </c>
      <c r="Z290" s="3" t="n">
        <f aca="false">SUM(U290:W290)</f>
        <v>0</v>
      </c>
      <c r="AA290" s="3" t="n">
        <f aca="false">SUM(S290:X290)</f>
        <v>4</v>
      </c>
      <c r="AB290" s="11" t="n">
        <f aca="false">(AA290/(K290*L290)*25)*4</f>
        <v>16</v>
      </c>
    </row>
    <row r="291" customFormat="false" ht="14.25" hidden="false" customHeight="false" outlineLevel="0" collapsed="false">
      <c r="A291" s="1" t="n">
        <v>2009</v>
      </c>
      <c r="B291" s="7" t="s">
        <v>322</v>
      </c>
      <c r="C291" s="7" t="n">
        <v>2</v>
      </c>
      <c r="D291" s="7" t="s">
        <v>295</v>
      </c>
      <c r="E291" s="7" t="s">
        <v>295</v>
      </c>
      <c r="F291" s="7" t="s">
        <v>324</v>
      </c>
      <c r="G291" s="1" t="n">
        <v>1</v>
      </c>
      <c r="H291" s="1" t="n">
        <v>5</v>
      </c>
      <c r="I291" s="10" t="n">
        <v>39970</v>
      </c>
      <c r="J291" s="10" t="n">
        <v>39975</v>
      </c>
      <c r="K291" s="1" t="n">
        <v>5</v>
      </c>
      <c r="L291" s="1" t="n">
        <v>5</v>
      </c>
      <c r="M291" s="3" t="s">
        <v>48</v>
      </c>
      <c r="N291" s="3" t="s">
        <v>49</v>
      </c>
      <c r="O291" s="12" t="s">
        <v>119</v>
      </c>
      <c r="P291" s="2" t="str">
        <f aca="false">CONCATENATE(N291," ",O291)</f>
        <v>Alopecosa sulzeri</v>
      </c>
      <c r="Q291" s="1" t="s">
        <v>30</v>
      </c>
      <c r="R291" s="1" t="s">
        <v>31</v>
      </c>
      <c r="S291" s="1" t="n">
        <v>1</v>
      </c>
      <c r="T291" s="1" t="n">
        <v>0</v>
      </c>
      <c r="U291" s="1" t="n">
        <v>0</v>
      </c>
      <c r="V291" s="1" t="n">
        <v>0</v>
      </c>
      <c r="W291" s="1" t="n">
        <v>0</v>
      </c>
      <c r="X291" s="1" t="n">
        <v>0</v>
      </c>
      <c r="Y291" s="3" t="n">
        <f aca="false">SUM(S291:T291)</f>
        <v>1</v>
      </c>
      <c r="Z291" s="3" t="n">
        <f aca="false">SUM(U291:W291)</f>
        <v>0</v>
      </c>
      <c r="AA291" s="3" t="n">
        <f aca="false">SUM(S291:X291)</f>
        <v>1</v>
      </c>
      <c r="AB291" s="11" t="n">
        <f aca="false">(AA291/(K291*L291)*25)*4</f>
        <v>4</v>
      </c>
    </row>
    <row r="292" customFormat="false" ht="14.25" hidden="false" customHeight="false" outlineLevel="0" collapsed="false">
      <c r="A292" s="1" t="n">
        <v>2009</v>
      </c>
      <c r="B292" s="7" t="s">
        <v>322</v>
      </c>
      <c r="C292" s="7" t="n">
        <v>2</v>
      </c>
      <c r="D292" s="7" t="s">
        <v>295</v>
      </c>
      <c r="E292" s="7" t="s">
        <v>295</v>
      </c>
      <c r="F292" s="7" t="s">
        <v>324</v>
      </c>
      <c r="G292" s="1" t="n">
        <v>1</v>
      </c>
      <c r="H292" s="1" t="n">
        <v>5</v>
      </c>
      <c r="I292" s="10" t="n">
        <v>39970</v>
      </c>
      <c r="J292" s="10" t="n">
        <v>39975</v>
      </c>
      <c r="K292" s="1" t="n">
        <v>5</v>
      </c>
      <c r="L292" s="1" t="n">
        <v>5</v>
      </c>
      <c r="M292" s="3" t="s">
        <v>48</v>
      </c>
      <c r="N292" s="3" t="s">
        <v>49</v>
      </c>
      <c r="O292" s="12" t="s">
        <v>119</v>
      </c>
      <c r="P292" s="2" t="str">
        <f aca="false">CONCATENATE(N292," ",O292)</f>
        <v>Alopecosa sulzeri</v>
      </c>
      <c r="Q292" s="1" t="s">
        <v>30</v>
      </c>
      <c r="R292" s="1" t="s">
        <v>35</v>
      </c>
      <c r="S292" s="1" t="n">
        <v>0</v>
      </c>
      <c r="T292" s="1" t="n">
        <v>1</v>
      </c>
      <c r="U292" s="1" t="n">
        <v>0</v>
      </c>
      <c r="V292" s="1" t="n">
        <v>0</v>
      </c>
      <c r="W292" s="1" t="n">
        <v>0</v>
      </c>
      <c r="X292" s="1" t="n">
        <v>0</v>
      </c>
      <c r="Y292" s="3" t="n">
        <f aca="false">SUM(S292:T292)</f>
        <v>1</v>
      </c>
      <c r="Z292" s="3" t="n">
        <f aca="false">SUM(U292:W292)</f>
        <v>0</v>
      </c>
      <c r="AA292" s="3" t="n">
        <f aca="false">SUM(S292:X292)</f>
        <v>1</v>
      </c>
      <c r="AB292" s="11" t="n">
        <f aca="false">(AA292/(K292*L292)*25)*4</f>
        <v>4</v>
      </c>
    </row>
    <row r="293" customFormat="false" ht="14.25" hidden="false" customHeight="false" outlineLevel="0" collapsed="false">
      <c r="A293" s="1" t="n">
        <v>2009</v>
      </c>
      <c r="B293" s="7" t="s">
        <v>322</v>
      </c>
      <c r="C293" s="7" t="n">
        <v>2</v>
      </c>
      <c r="D293" s="7" t="s">
        <v>295</v>
      </c>
      <c r="E293" s="7" t="s">
        <v>295</v>
      </c>
      <c r="F293" s="7" t="s">
        <v>324</v>
      </c>
      <c r="G293" s="1" t="n">
        <v>1</v>
      </c>
      <c r="H293" s="1" t="n">
        <v>5</v>
      </c>
      <c r="I293" s="10" t="n">
        <v>39970</v>
      </c>
      <c r="J293" s="10" t="n">
        <v>39975</v>
      </c>
      <c r="K293" s="1" t="n">
        <v>5</v>
      </c>
      <c r="L293" s="1" t="n">
        <v>5</v>
      </c>
      <c r="M293" s="3" t="s">
        <v>48</v>
      </c>
      <c r="N293" s="3" t="s">
        <v>49</v>
      </c>
      <c r="O293" s="8" t="s">
        <v>130</v>
      </c>
      <c r="P293" s="2" t="str">
        <f aca="false">CONCATENATE(N293," ",O293)</f>
        <v>Alopecosa aculeata</v>
      </c>
      <c r="Q293" s="1" t="s">
        <v>30</v>
      </c>
      <c r="R293" s="1" t="s">
        <v>31</v>
      </c>
      <c r="S293" s="1" t="n">
        <v>1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3" t="n">
        <f aca="false">SUM(S293:T293)</f>
        <v>1</v>
      </c>
      <c r="Z293" s="3" t="n">
        <f aca="false">SUM(U293:W293)</f>
        <v>0</v>
      </c>
      <c r="AA293" s="3" t="n">
        <f aca="false">SUM(S293:X293)</f>
        <v>1</v>
      </c>
      <c r="AB293" s="11" t="n">
        <f aca="false">(AA293/(K293*L293)*25)*4</f>
        <v>4</v>
      </c>
    </row>
    <row r="294" customFormat="false" ht="14.25" hidden="false" customHeight="false" outlineLevel="0" collapsed="false">
      <c r="A294" s="1" t="n">
        <v>2009</v>
      </c>
      <c r="B294" s="7" t="s">
        <v>322</v>
      </c>
      <c r="C294" s="7" t="n">
        <v>2</v>
      </c>
      <c r="D294" s="7" t="s">
        <v>295</v>
      </c>
      <c r="E294" s="7" t="s">
        <v>295</v>
      </c>
      <c r="F294" s="7" t="s">
        <v>324</v>
      </c>
      <c r="G294" s="1" t="n">
        <v>1</v>
      </c>
      <c r="H294" s="1" t="n">
        <v>5</v>
      </c>
      <c r="I294" s="10" t="n">
        <v>39970</v>
      </c>
      <c r="J294" s="10" t="n">
        <v>39975</v>
      </c>
      <c r="K294" s="1" t="n">
        <v>5</v>
      </c>
      <c r="L294" s="1" t="n">
        <v>5</v>
      </c>
      <c r="M294" s="3" t="s">
        <v>48</v>
      </c>
      <c r="N294" s="3" t="s">
        <v>49</v>
      </c>
      <c r="O294" s="8" t="s">
        <v>130</v>
      </c>
      <c r="P294" s="2" t="str">
        <f aca="false">CONCATENATE(N294," ",O294)</f>
        <v>Alopecosa aculeata</v>
      </c>
      <c r="Q294" s="1" t="s">
        <v>30</v>
      </c>
      <c r="R294" s="1" t="s">
        <v>35</v>
      </c>
      <c r="S294" s="1" t="n">
        <v>0</v>
      </c>
      <c r="T294" s="1" t="n">
        <v>1</v>
      </c>
      <c r="U294" s="1" t="n">
        <v>0</v>
      </c>
      <c r="V294" s="1" t="n">
        <v>0</v>
      </c>
      <c r="W294" s="1" t="n">
        <v>0</v>
      </c>
      <c r="X294" s="1" t="n">
        <v>0</v>
      </c>
      <c r="Y294" s="3" t="n">
        <f aca="false">SUM(S294:T294)</f>
        <v>1</v>
      </c>
      <c r="Z294" s="3" t="n">
        <f aca="false">SUM(U294:W294)</f>
        <v>0</v>
      </c>
      <c r="AA294" s="3" t="n">
        <f aca="false">SUM(S294:X294)</f>
        <v>1</v>
      </c>
      <c r="AB294" s="11" t="n">
        <f aca="false">(AA294/(K294*L294)*25)*4</f>
        <v>4</v>
      </c>
    </row>
    <row r="295" customFormat="false" ht="14.25" hidden="false" customHeight="false" outlineLevel="0" collapsed="false">
      <c r="A295" s="1" t="n">
        <v>2009</v>
      </c>
      <c r="B295" s="7" t="s">
        <v>322</v>
      </c>
      <c r="C295" s="7" t="n">
        <v>2</v>
      </c>
      <c r="D295" s="7" t="s">
        <v>295</v>
      </c>
      <c r="E295" s="7" t="s">
        <v>295</v>
      </c>
      <c r="F295" s="7" t="s">
        <v>324</v>
      </c>
      <c r="G295" s="1" t="n">
        <v>1</v>
      </c>
      <c r="H295" s="1" t="n">
        <v>5</v>
      </c>
      <c r="I295" s="10" t="n">
        <v>39970</v>
      </c>
      <c r="J295" s="10" t="n">
        <v>39975</v>
      </c>
      <c r="K295" s="1" t="n">
        <v>5</v>
      </c>
      <c r="L295" s="1" t="n">
        <v>5</v>
      </c>
      <c r="M295" s="3" t="s">
        <v>48</v>
      </c>
      <c r="N295" s="3" t="s">
        <v>49</v>
      </c>
      <c r="O295" s="12" t="s">
        <v>130</v>
      </c>
      <c r="P295" s="2" t="str">
        <f aca="false">CONCATENATE(N295," ",O295)</f>
        <v>Alopecosa aculeata</v>
      </c>
      <c r="Q295" s="1" t="s">
        <v>30</v>
      </c>
      <c r="R295" s="1" t="s">
        <v>35</v>
      </c>
      <c r="S295" s="1" t="n">
        <v>0</v>
      </c>
      <c r="T295" s="1" t="n">
        <v>1</v>
      </c>
      <c r="U295" s="1" t="n">
        <v>0</v>
      </c>
      <c r="V295" s="1" t="n">
        <v>0</v>
      </c>
      <c r="W295" s="1" t="n">
        <v>0</v>
      </c>
      <c r="X295" s="1" t="n">
        <v>0</v>
      </c>
      <c r="Y295" s="3" t="n">
        <f aca="false">SUM(S295:T295)</f>
        <v>1</v>
      </c>
      <c r="Z295" s="3" t="n">
        <f aca="false">SUM(U295:W295)</f>
        <v>0</v>
      </c>
      <c r="AA295" s="3" t="n">
        <f aca="false">SUM(S295:X295)</f>
        <v>1</v>
      </c>
      <c r="AB295" s="11" t="n">
        <f aca="false">(AA295/(K295*L295)*25)*4</f>
        <v>4</v>
      </c>
    </row>
    <row r="296" customFormat="false" ht="14.25" hidden="false" customHeight="false" outlineLevel="0" collapsed="false">
      <c r="A296" s="1" t="n">
        <v>2009</v>
      </c>
      <c r="B296" s="7" t="s">
        <v>322</v>
      </c>
      <c r="C296" s="7" t="n">
        <v>2</v>
      </c>
      <c r="D296" s="7" t="s">
        <v>295</v>
      </c>
      <c r="E296" s="7" t="s">
        <v>295</v>
      </c>
      <c r="F296" s="7" t="s">
        <v>324</v>
      </c>
      <c r="G296" s="1" t="n">
        <v>1</v>
      </c>
      <c r="H296" s="1" t="n">
        <v>5</v>
      </c>
      <c r="I296" s="10" t="n">
        <v>39970</v>
      </c>
      <c r="J296" s="10" t="n">
        <v>39975</v>
      </c>
      <c r="K296" s="1" t="n">
        <v>5</v>
      </c>
      <c r="L296" s="1" t="n">
        <v>5</v>
      </c>
      <c r="M296" s="3" t="s">
        <v>72</v>
      </c>
      <c r="N296" s="3" t="s">
        <v>152</v>
      </c>
      <c r="O296" s="8" t="s">
        <v>153</v>
      </c>
      <c r="P296" s="2" t="str">
        <f aca="false">CONCATENATE(N296," ",O296)</f>
        <v>Callilepis nocturna</v>
      </c>
      <c r="Q296" s="1" t="s">
        <v>30</v>
      </c>
      <c r="R296" s="1" t="s">
        <v>31</v>
      </c>
      <c r="S296" s="1" t="n">
        <v>1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3" t="n">
        <f aca="false">SUM(S296:T296)</f>
        <v>1</v>
      </c>
      <c r="Z296" s="3" t="n">
        <f aca="false">SUM(U296:W296)</f>
        <v>0</v>
      </c>
      <c r="AA296" s="3" t="n">
        <f aca="false">SUM(S296:X296)</f>
        <v>1</v>
      </c>
      <c r="AB296" s="11" t="n">
        <f aca="false">(AA296/(K296*L296)*25)*4</f>
        <v>4</v>
      </c>
    </row>
    <row r="297" customFormat="false" ht="14.25" hidden="false" customHeight="false" outlineLevel="0" collapsed="false">
      <c r="A297" s="1" t="n">
        <v>2009</v>
      </c>
      <c r="B297" s="7" t="s">
        <v>322</v>
      </c>
      <c r="C297" s="7" t="n">
        <v>2</v>
      </c>
      <c r="D297" s="7" t="s">
        <v>295</v>
      </c>
      <c r="E297" s="7" t="s">
        <v>295</v>
      </c>
      <c r="F297" s="7" t="s">
        <v>324</v>
      </c>
      <c r="G297" s="1" t="n">
        <v>1</v>
      </c>
      <c r="H297" s="1" t="n">
        <v>5</v>
      </c>
      <c r="I297" s="10" t="n">
        <v>39970</v>
      </c>
      <c r="J297" s="10" t="n">
        <v>39975</v>
      </c>
      <c r="K297" s="1" t="n">
        <v>5</v>
      </c>
      <c r="L297" s="1" t="n">
        <v>5</v>
      </c>
      <c r="M297" s="3" t="s">
        <v>48</v>
      </c>
      <c r="N297" s="3" t="s">
        <v>67</v>
      </c>
      <c r="O297" s="12" t="s">
        <v>127</v>
      </c>
      <c r="P297" s="2" t="str">
        <f aca="false">CONCATENATE(N297," ",O297)</f>
        <v>Pardosa lugubris</v>
      </c>
      <c r="Q297" s="1" t="s">
        <v>30</v>
      </c>
      <c r="R297" s="1" t="s">
        <v>31</v>
      </c>
      <c r="S297" s="1" t="n">
        <v>1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3" t="n">
        <f aca="false">SUM(S297:T297)</f>
        <v>1</v>
      </c>
      <c r="Z297" s="3" t="n">
        <f aca="false">SUM(U297:W297)</f>
        <v>0</v>
      </c>
      <c r="AA297" s="3" t="n">
        <f aca="false">SUM(S297:X297)</f>
        <v>1</v>
      </c>
      <c r="AB297" s="11" t="n">
        <f aca="false">(AA297/(K297*L297)*25)*4</f>
        <v>4</v>
      </c>
    </row>
    <row r="298" customFormat="false" ht="14.25" hidden="false" customHeight="false" outlineLevel="0" collapsed="false">
      <c r="A298" s="1" t="n">
        <v>2009</v>
      </c>
      <c r="B298" s="7" t="s">
        <v>322</v>
      </c>
      <c r="C298" s="7" t="n">
        <v>2</v>
      </c>
      <c r="D298" s="7" t="s">
        <v>295</v>
      </c>
      <c r="E298" s="7" t="s">
        <v>295</v>
      </c>
      <c r="F298" s="7" t="s">
        <v>324</v>
      </c>
      <c r="G298" s="1" t="n">
        <v>1</v>
      </c>
      <c r="H298" s="1" t="n">
        <v>5</v>
      </c>
      <c r="I298" s="10" t="n">
        <v>39970</v>
      </c>
      <c r="J298" s="10" t="n">
        <v>39975</v>
      </c>
      <c r="K298" s="1" t="n">
        <v>5</v>
      </c>
      <c r="L298" s="1" t="n">
        <v>5</v>
      </c>
      <c r="M298" s="3" t="s">
        <v>48</v>
      </c>
      <c r="N298" s="3" t="s">
        <v>122</v>
      </c>
      <c r="O298" s="12" t="s">
        <v>123</v>
      </c>
      <c r="P298" s="2" t="str">
        <f aca="false">CONCATENATE(N298," ",O298)</f>
        <v>Xerolycosa nemoralis</v>
      </c>
      <c r="Q298" s="1" t="s">
        <v>30</v>
      </c>
      <c r="R298" s="1" t="s">
        <v>31</v>
      </c>
      <c r="S298" s="1" t="n">
        <v>1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3" t="n">
        <f aca="false">SUM(S298:T298)</f>
        <v>1</v>
      </c>
      <c r="Z298" s="3" t="n">
        <f aca="false">SUM(U298:W298)</f>
        <v>0</v>
      </c>
      <c r="AA298" s="3" t="n">
        <f aca="false">SUM(S298:X298)</f>
        <v>1</v>
      </c>
      <c r="AB298" s="11" t="n">
        <f aca="false">(AA298/(K298*L298)*25)*4</f>
        <v>4</v>
      </c>
    </row>
    <row r="299" customFormat="false" ht="14.25" hidden="false" customHeight="false" outlineLevel="0" collapsed="false">
      <c r="A299" s="1" t="n">
        <v>2009</v>
      </c>
      <c r="B299" s="7" t="s">
        <v>322</v>
      </c>
      <c r="C299" s="7" t="n">
        <v>2</v>
      </c>
      <c r="D299" s="7" t="s">
        <v>295</v>
      </c>
      <c r="E299" s="7" t="s">
        <v>295</v>
      </c>
      <c r="F299" s="7" t="s">
        <v>324</v>
      </c>
      <c r="G299" s="1" t="n">
        <v>1</v>
      </c>
      <c r="H299" s="1" t="n">
        <v>5</v>
      </c>
      <c r="I299" s="10" t="n">
        <v>39970</v>
      </c>
      <c r="J299" s="10" t="n">
        <v>39975</v>
      </c>
      <c r="K299" s="1" t="n">
        <v>5</v>
      </c>
      <c r="L299" s="1" t="n">
        <v>5</v>
      </c>
      <c r="M299" s="13" t="s">
        <v>32</v>
      </c>
      <c r="N299" s="13" t="s">
        <v>156</v>
      </c>
      <c r="O299" s="14" t="s">
        <v>157</v>
      </c>
      <c r="P299" s="2" t="str">
        <f aca="false">CONCATENATE(N299," ",O299)</f>
        <v>Semljicola thaleri</v>
      </c>
      <c r="Q299" s="1" t="s">
        <v>30</v>
      </c>
      <c r="R299" s="1" t="s">
        <v>35</v>
      </c>
      <c r="S299" s="1" t="n">
        <v>0</v>
      </c>
      <c r="T299" s="1" t="n">
        <v>1</v>
      </c>
      <c r="U299" s="1" t="n">
        <v>0</v>
      </c>
      <c r="V299" s="1" t="n">
        <v>0</v>
      </c>
      <c r="W299" s="1" t="n">
        <v>0</v>
      </c>
      <c r="X299" s="1" t="n">
        <v>0</v>
      </c>
      <c r="Y299" s="3" t="n">
        <f aca="false">SUM(S299:T299)</f>
        <v>1</v>
      </c>
      <c r="Z299" s="3" t="n">
        <f aca="false">SUM(U299:W299)</f>
        <v>0</v>
      </c>
      <c r="AA299" s="3" t="n">
        <f aca="false">SUM(S299:X299)</f>
        <v>1</v>
      </c>
      <c r="AB299" s="11" t="n">
        <f aca="false">(AA299/(K299*L299)*25)*4</f>
        <v>4</v>
      </c>
    </row>
    <row r="300" customFormat="false" ht="14.25" hidden="false" customHeight="false" outlineLevel="0" collapsed="false">
      <c r="A300" s="1" t="n">
        <v>2009</v>
      </c>
      <c r="B300" s="7" t="s">
        <v>322</v>
      </c>
      <c r="C300" s="7" t="n">
        <v>2</v>
      </c>
      <c r="D300" s="7" t="s">
        <v>295</v>
      </c>
      <c r="E300" s="7" t="s">
        <v>295</v>
      </c>
      <c r="F300" s="7" t="s">
        <v>324</v>
      </c>
      <c r="G300" s="1" t="n">
        <v>3</v>
      </c>
      <c r="H300" s="1" t="n">
        <v>15</v>
      </c>
      <c r="I300" s="10" t="n">
        <v>39970</v>
      </c>
      <c r="J300" s="10" t="n">
        <v>39975</v>
      </c>
      <c r="K300" s="1" t="n">
        <v>5</v>
      </c>
      <c r="L300" s="1" t="n">
        <v>5</v>
      </c>
      <c r="M300" s="3" t="s">
        <v>48</v>
      </c>
      <c r="N300" s="3" t="s">
        <v>49</v>
      </c>
      <c r="O300" s="12" t="s">
        <v>119</v>
      </c>
      <c r="P300" s="2" t="str">
        <f aca="false">CONCATENATE(N300," ",O300)</f>
        <v>Alopecosa sulzeri</v>
      </c>
      <c r="Q300" s="1" t="s">
        <v>30</v>
      </c>
      <c r="R300" s="1" t="s">
        <v>31</v>
      </c>
      <c r="S300" s="1" t="n">
        <v>3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3" t="n">
        <f aca="false">SUM(S300:T300)</f>
        <v>3</v>
      </c>
      <c r="Z300" s="3" t="n">
        <f aca="false">SUM(U300:W300)</f>
        <v>0</v>
      </c>
      <c r="AA300" s="3" t="n">
        <f aca="false">SUM(S300:X300)</f>
        <v>3</v>
      </c>
      <c r="AB300" s="11" t="n">
        <f aca="false">(AA300/(K300*L300)*25)*4</f>
        <v>12</v>
      </c>
    </row>
    <row r="301" customFormat="false" ht="14.25" hidden="false" customHeight="false" outlineLevel="0" collapsed="false">
      <c r="A301" s="1" t="n">
        <v>2009</v>
      </c>
      <c r="B301" s="7" t="s">
        <v>322</v>
      </c>
      <c r="C301" s="7" t="n">
        <v>2</v>
      </c>
      <c r="D301" s="7" t="s">
        <v>295</v>
      </c>
      <c r="E301" s="7" t="s">
        <v>295</v>
      </c>
      <c r="F301" s="7" t="s">
        <v>324</v>
      </c>
      <c r="G301" s="1" t="n">
        <v>3</v>
      </c>
      <c r="H301" s="1" t="n">
        <v>15</v>
      </c>
      <c r="I301" s="10" t="n">
        <v>39970</v>
      </c>
      <c r="J301" s="10" t="n">
        <v>39975</v>
      </c>
      <c r="K301" s="1" t="n">
        <v>5</v>
      </c>
      <c r="L301" s="1" t="n">
        <v>5</v>
      </c>
      <c r="M301" s="3" t="s">
        <v>48</v>
      </c>
      <c r="N301" s="3" t="s">
        <v>49</v>
      </c>
      <c r="O301" s="12" t="s">
        <v>119</v>
      </c>
      <c r="P301" s="2" t="str">
        <f aca="false">CONCATENATE(N301," ",O301)</f>
        <v>Alopecosa sulzeri</v>
      </c>
      <c r="Q301" s="1" t="s">
        <v>30</v>
      </c>
      <c r="R301" s="1" t="s">
        <v>35</v>
      </c>
      <c r="S301" s="1" t="n">
        <v>0</v>
      </c>
      <c r="T301" s="1" t="n">
        <v>2</v>
      </c>
      <c r="U301" s="1" t="n">
        <v>0</v>
      </c>
      <c r="V301" s="1" t="n">
        <v>0</v>
      </c>
      <c r="W301" s="1" t="n">
        <v>0</v>
      </c>
      <c r="X301" s="1" t="n">
        <v>0</v>
      </c>
      <c r="Y301" s="3" t="n">
        <f aca="false">SUM(S301:T301)</f>
        <v>2</v>
      </c>
      <c r="Z301" s="3" t="n">
        <f aca="false">SUM(U301:W301)</f>
        <v>0</v>
      </c>
      <c r="AA301" s="3" t="n">
        <f aca="false">SUM(S301:X301)</f>
        <v>2</v>
      </c>
      <c r="AB301" s="11" t="n">
        <f aca="false">(AA301/(K301*L301)*25)*4</f>
        <v>8</v>
      </c>
    </row>
    <row r="302" customFormat="false" ht="14.25" hidden="false" customHeight="false" outlineLevel="0" collapsed="false">
      <c r="A302" s="1" t="n">
        <v>2009</v>
      </c>
      <c r="B302" s="7" t="s">
        <v>322</v>
      </c>
      <c r="C302" s="7" t="n">
        <v>2</v>
      </c>
      <c r="D302" s="7" t="s">
        <v>295</v>
      </c>
      <c r="E302" s="7" t="s">
        <v>295</v>
      </c>
      <c r="F302" s="7" t="s">
        <v>324</v>
      </c>
      <c r="G302" s="1" t="n">
        <v>3</v>
      </c>
      <c r="H302" s="1" t="n">
        <v>15</v>
      </c>
      <c r="I302" s="10" t="n">
        <v>39970</v>
      </c>
      <c r="J302" s="10" t="n">
        <v>39975</v>
      </c>
      <c r="K302" s="1" t="n">
        <v>5</v>
      </c>
      <c r="L302" s="1" t="n">
        <v>5</v>
      </c>
      <c r="M302" s="3" t="s">
        <v>48</v>
      </c>
      <c r="N302" s="3" t="s">
        <v>49</v>
      </c>
      <c r="O302" s="8" t="s">
        <v>130</v>
      </c>
      <c r="P302" s="2" t="str">
        <f aca="false">CONCATENATE(N302," ",O302)</f>
        <v>Alopecosa aculeata</v>
      </c>
      <c r="Q302" s="1" t="s">
        <v>30</v>
      </c>
      <c r="R302" s="1" t="s">
        <v>31</v>
      </c>
      <c r="S302" s="1" t="n">
        <v>2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3" t="n">
        <f aca="false">SUM(S302:T302)</f>
        <v>2</v>
      </c>
      <c r="Z302" s="3" t="n">
        <f aca="false">SUM(U302:W302)</f>
        <v>0</v>
      </c>
      <c r="AA302" s="3" t="n">
        <f aca="false">SUM(S302:X302)</f>
        <v>2</v>
      </c>
      <c r="AB302" s="11" t="n">
        <f aca="false">(AA302/(K302*L302)*25)*4</f>
        <v>8</v>
      </c>
    </row>
    <row r="303" customFormat="false" ht="14.25" hidden="false" customHeight="false" outlineLevel="0" collapsed="false">
      <c r="A303" s="1" t="n">
        <v>2009</v>
      </c>
      <c r="B303" s="7" t="s">
        <v>322</v>
      </c>
      <c r="C303" s="7" t="n">
        <v>2</v>
      </c>
      <c r="D303" s="7" t="s">
        <v>295</v>
      </c>
      <c r="E303" s="7" t="s">
        <v>295</v>
      </c>
      <c r="F303" s="7" t="s">
        <v>324</v>
      </c>
      <c r="G303" s="1" t="n">
        <v>3</v>
      </c>
      <c r="H303" s="1" t="n">
        <v>15</v>
      </c>
      <c r="I303" s="10" t="n">
        <v>39970</v>
      </c>
      <c r="J303" s="10" t="n">
        <v>39975</v>
      </c>
      <c r="K303" s="1" t="n">
        <v>5</v>
      </c>
      <c r="L303" s="1" t="n">
        <v>5</v>
      </c>
      <c r="M303" s="3" t="s">
        <v>48</v>
      </c>
      <c r="N303" s="3" t="s">
        <v>49</v>
      </c>
      <c r="O303" s="8" t="s">
        <v>130</v>
      </c>
      <c r="P303" s="2" t="str">
        <f aca="false">CONCATENATE(N303," ",O303)</f>
        <v>Alopecosa aculeata</v>
      </c>
      <c r="Q303" s="1" t="s">
        <v>30</v>
      </c>
      <c r="R303" s="1" t="s">
        <v>35</v>
      </c>
      <c r="S303" s="1" t="n">
        <v>0</v>
      </c>
      <c r="T303" s="1" t="n">
        <v>2</v>
      </c>
      <c r="U303" s="1" t="n">
        <v>0</v>
      </c>
      <c r="V303" s="1" t="n">
        <v>0</v>
      </c>
      <c r="W303" s="1" t="n">
        <v>0</v>
      </c>
      <c r="X303" s="1" t="n">
        <v>0</v>
      </c>
      <c r="Y303" s="3" t="n">
        <f aca="false">SUM(S303:T303)</f>
        <v>2</v>
      </c>
      <c r="Z303" s="3" t="n">
        <f aca="false">SUM(U303:W303)</f>
        <v>0</v>
      </c>
      <c r="AA303" s="3" t="n">
        <f aca="false">SUM(S303:X303)</f>
        <v>2</v>
      </c>
      <c r="AB303" s="11" t="n">
        <f aca="false">(AA303/(K303*L303)*25)*4</f>
        <v>8</v>
      </c>
    </row>
    <row r="304" customFormat="false" ht="14.25" hidden="false" customHeight="false" outlineLevel="0" collapsed="false">
      <c r="A304" s="1" t="n">
        <v>2009</v>
      </c>
      <c r="B304" s="7" t="s">
        <v>322</v>
      </c>
      <c r="C304" s="7" t="n">
        <v>2</v>
      </c>
      <c r="D304" s="7" t="s">
        <v>295</v>
      </c>
      <c r="E304" s="7" t="s">
        <v>295</v>
      </c>
      <c r="F304" s="7" t="s">
        <v>324</v>
      </c>
      <c r="G304" s="1" t="n">
        <v>3</v>
      </c>
      <c r="H304" s="1" t="n">
        <v>15</v>
      </c>
      <c r="I304" s="10" t="n">
        <v>39970</v>
      </c>
      <c r="J304" s="10" t="n">
        <v>39975</v>
      </c>
      <c r="K304" s="1" t="n">
        <v>5</v>
      </c>
      <c r="L304" s="1" t="n">
        <v>5</v>
      </c>
      <c r="M304" s="3" t="s">
        <v>48</v>
      </c>
      <c r="N304" s="3" t="s">
        <v>122</v>
      </c>
      <c r="O304" s="12" t="s">
        <v>123</v>
      </c>
      <c r="P304" s="2" t="str">
        <f aca="false">CONCATENATE(N304," ",O304)</f>
        <v>Xerolycosa nemoralis</v>
      </c>
      <c r="Q304" s="1" t="s">
        <v>30</v>
      </c>
      <c r="R304" s="1" t="s">
        <v>31</v>
      </c>
      <c r="S304" s="1" t="n">
        <v>3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3" t="n">
        <f aca="false">SUM(S304:T304)</f>
        <v>3</v>
      </c>
      <c r="Z304" s="3" t="n">
        <f aca="false">SUM(U304:W304)</f>
        <v>0</v>
      </c>
      <c r="AA304" s="3" t="n">
        <f aca="false">SUM(S304:X304)</f>
        <v>3</v>
      </c>
      <c r="AB304" s="11" t="n">
        <f aca="false">(AA304/(K304*L304)*25)*4</f>
        <v>12</v>
      </c>
    </row>
    <row r="305" customFormat="false" ht="14.25" hidden="false" customHeight="false" outlineLevel="0" collapsed="false">
      <c r="A305" s="1" t="n">
        <v>2009</v>
      </c>
      <c r="B305" s="7" t="s">
        <v>322</v>
      </c>
      <c r="C305" s="7" t="n">
        <v>2</v>
      </c>
      <c r="D305" s="7" t="s">
        <v>295</v>
      </c>
      <c r="E305" s="7" t="s">
        <v>295</v>
      </c>
      <c r="F305" s="7" t="s">
        <v>324</v>
      </c>
      <c r="G305" s="1" t="n">
        <v>3</v>
      </c>
      <c r="H305" s="1" t="n">
        <v>15</v>
      </c>
      <c r="I305" s="10" t="n">
        <v>39970</v>
      </c>
      <c r="J305" s="10" t="n">
        <v>39975</v>
      </c>
      <c r="K305" s="1" t="n">
        <v>5</v>
      </c>
      <c r="L305" s="1" t="n">
        <v>5</v>
      </c>
      <c r="M305" s="3" t="s">
        <v>48</v>
      </c>
      <c r="N305" s="3" t="s">
        <v>122</v>
      </c>
      <c r="O305" s="12" t="s">
        <v>123</v>
      </c>
      <c r="P305" s="2" t="str">
        <f aca="false">CONCATENATE(N305," ",O305)</f>
        <v>Xerolycosa nemoralis</v>
      </c>
      <c r="Q305" s="1" t="s">
        <v>30</v>
      </c>
      <c r="R305" s="1" t="s">
        <v>35</v>
      </c>
      <c r="S305" s="1" t="n">
        <v>0</v>
      </c>
      <c r="T305" s="1" t="n">
        <v>1</v>
      </c>
      <c r="U305" s="1" t="n">
        <v>0</v>
      </c>
      <c r="V305" s="1" t="n">
        <v>0</v>
      </c>
      <c r="W305" s="1" t="n">
        <v>0</v>
      </c>
      <c r="X305" s="1" t="n">
        <v>0</v>
      </c>
      <c r="Y305" s="3" t="n">
        <f aca="false">SUM(S305:T305)</f>
        <v>1</v>
      </c>
      <c r="Z305" s="3" t="n">
        <f aca="false">SUM(U305:W305)</f>
        <v>0</v>
      </c>
      <c r="AA305" s="3" t="n">
        <f aca="false">SUM(S305:X305)</f>
        <v>1</v>
      </c>
      <c r="AB305" s="11" t="n">
        <f aca="false">(AA305/(K305*L305)*25)*4</f>
        <v>4</v>
      </c>
    </row>
    <row r="306" customFormat="false" ht="14.25" hidden="false" customHeight="false" outlineLevel="0" collapsed="false">
      <c r="A306" s="1" t="n">
        <v>2009</v>
      </c>
      <c r="B306" s="7" t="s">
        <v>322</v>
      </c>
      <c r="C306" s="7" t="n">
        <v>2</v>
      </c>
      <c r="D306" s="7" t="s">
        <v>295</v>
      </c>
      <c r="E306" s="7" t="s">
        <v>295</v>
      </c>
      <c r="F306" s="7" t="s">
        <v>324</v>
      </c>
      <c r="G306" s="1" t="n">
        <v>3</v>
      </c>
      <c r="H306" s="1" t="n">
        <v>15</v>
      </c>
      <c r="I306" s="10" t="n">
        <v>39970</v>
      </c>
      <c r="J306" s="10" t="n">
        <v>39975</v>
      </c>
      <c r="K306" s="1" t="n">
        <v>5</v>
      </c>
      <c r="L306" s="1" t="n">
        <v>5</v>
      </c>
      <c r="M306" s="3" t="s">
        <v>48</v>
      </c>
      <c r="N306" s="3" t="s">
        <v>67</v>
      </c>
      <c r="O306" s="12" t="s">
        <v>127</v>
      </c>
      <c r="P306" s="2" t="str">
        <f aca="false">CONCATENATE(N306," ",O306)</f>
        <v>Pardosa lugubris</v>
      </c>
      <c r="Q306" s="1" t="s">
        <v>30</v>
      </c>
      <c r="R306" s="1" t="s">
        <v>31</v>
      </c>
      <c r="S306" s="1" t="n">
        <v>2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3" t="n">
        <f aca="false">SUM(S306:T306)</f>
        <v>2</v>
      </c>
      <c r="Z306" s="3" t="n">
        <f aca="false">SUM(U306:W306)</f>
        <v>0</v>
      </c>
      <c r="AA306" s="3" t="n">
        <f aca="false">SUM(S306:X306)</f>
        <v>2</v>
      </c>
      <c r="AB306" s="11" t="n">
        <f aca="false">(AA306/(K306*L306)*25)*4</f>
        <v>8</v>
      </c>
    </row>
    <row r="307" customFormat="false" ht="14.25" hidden="false" customHeight="false" outlineLevel="0" collapsed="false">
      <c r="A307" s="1" t="n">
        <v>2009</v>
      </c>
      <c r="B307" s="7" t="s">
        <v>322</v>
      </c>
      <c r="C307" s="7" t="n">
        <v>2</v>
      </c>
      <c r="D307" s="7" t="s">
        <v>295</v>
      </c>
      <c r="E307" s="7" t="s">
        <v>295</v>
      </c>
      <c r="F307" s="7" t="s">
        <v>324</v>
      </c>
      <c r="G307" s="1" t="n">
        <v>3</v>
      </c>
      <c r="H307" s="1" t="n">
        <v>15</v>
      </c>
      <c r="I307" s="10" t="n">
        <v>39970</v>
      </c>
      <c r="J307" s="10" t="n">
        <v>39975</v>
      </c>
      <c r="K307" s="1" t="n">
        <v>5</v>
      </c>
      <c r="L307" s="1" t="n">
        <v>5</v>
      </c>
      <c r="M307" s="3" t="s">
        <v>48</v>
      </c>
      <c r="N307" s="3" t="s">
        <v>67</v>
      </c>
      <c r="O307" s="12" t="s">
        <v>127</v>
      </c>
      <c r="P307" s="2" t="str">
        <f aca="false">CONCATENATE(N307," ",O307)</f>
        <v>Pardosa lugubris</v>
      </c>
      <c r="Q307" s="1" t="s">
        <v>30</v>
      </c>
      <c r="R307" s="1" t="s">
        <v>35</v>
      </c>
      <c r="S307" s="1" t="n">
        <v>0</v>
      </c>
      <c r="T307" s="1" t="n">
        <v>1</v>
      </c>
      <c r="U307" s="1" t="n">
        <v>0</v>
      </c>
      <c r="V307" s="1" t="n">
        <v>0</v>
      </c>
      <c r="W307" s="1" t="n">
        <v>0</v>
      </c>
      <c r="X307" s="1" t="n">
        <v>0</v>
      </c>
      <c r="Y307" s="3" t="n">
        <f aca="false">SUM(S307:T307)</f>
        <v>1</v>
      </c>
      <c r="Z307" s="3" t="n">
        <f aca="false">SUM(U307:W307)</f>
        <v>0</v>
      </c>
      <c r="AA307" s="3" t="n">
        <f aca="false">SUM(S307:X307)</f>
        <v>1</v>
      </c>
      <c r="AB307" s="11" t="n">
        <f aca="false">(AA307/(K307*L307)*25)*4</f>
        <v>4</v>
      </c>
    </row>
    <row r="308" customFormat="false" ht="14.25" hidden="false" customHeight="false" outlineLevel="0" collapsed="false">
      <c r="A308" s="1" t="n">
        <v>2009</v>
      </c>
      <c r="B308" s="7" t="s">
        <v>322</v>
      </c>
      <c r="C308" s="7" t="n">
        <v>2</v>
      </c>
      <c r="D308" s="7" t="s">
        <v>295</v>
      </c>
      <c r="E308" s="7" t="s">
        <v>295</v>
      </c>
      <c r="F308" s="7" t="s">
        <v>324</v>
      </c>
      <c r="G308" s="1" t="n">
        <v>3</v>
      </c>
      <c r="H308" s="1" t="n">
        <v>15</v>
      </c>
      <c r="I308" s="10" t="n">
        <v>39970</v>
      </c>
      <c r="J308" s="10" t="n">
        <v>39975</v>
      </c>
      <c r="K308" s="1" t="n">
        <v>5</v>
      </c>
      <c r="L308" s="1" t="n">
        <v>5</v>
      </c>
      <c r="M308" s="3" t="s">
        <v>135</v>
      </c>
      <c r="N308" s="3" t="s">
        <v>136</v>
      </c>
      <c r="O308" s="12" t="s">
        <v>137</v>
      </c>
      <c r="P308" s="2" t="str">
        <f aca="false">CONCATENATE(N308," ",O308)</f>
        <v>Thanatus sabulosus</v>
      </c>
      <c r="Q308" s="1" t="s">
        <v>30</v>
      </c>
      <c r="R308" s="1" t="s">
        <v>31</v>
      </c>
      <c r="S308" s="1" t="n">
        <v>1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3" t="n">
        <f aca="false">SUM(S308:T308)</f>
        <v>1</v>
      </c>
      <c r="Z308" s="3" t="n">
        <f aca="false">SUM(U308:W308)</f>
        <v>0</v>
      </c>
      <c r="AA308" s="3" t="n">
        <f aca="false">SUM(S308:X308)</f>
        <v>1</v>
      </c>
      <c r="AB308" s="11" t="n">
        <f aca="false">(AA308/(K308*L308)*25)*4</f>
        <v>4</v>
      </c>
    </row>
    <row r="309" customFormat="false" ht="14.25" hidden="false" customHeight="false" outlineLevel="0" collapsed="false">
      <c r="A309" s="1" t="n">
        <v>2009</v>
      </c>
      <c r="B309" s="7" t="s">
        <v>322</v>
      </c>
      <c r="C309" s="7" t="n">
        <v>3</v>
      </c>
      <c r="D309" s="7" t="s">
        <v>294</v>
      </c>
      <c r="E309" s="7" t="s">
        <v>294</v>
      </c>
      <c r="F309" s="7" t="s">
        <v>158</v>
      </c>
      <c r="G309" s="1" t="n">
        <v>1</v>
      </c>
      <c r="H309" s="1" t="n">
        <v>4</v>
      </c>
      <c r="I309" s="10" t="n">
        <v>40052</v>
      </c>
      <c r="J309" s="10" t="n">
        <v>40057</v>
      </c>
      <c r="K309" s="1" t="n">
        <v>5</v>
      </c>
      <c r="L309" s="1" t="n">
        <v>5</v>
      </c>
      <c r="M309" s="3" t="s">
        <v>41</v>
      </c>
      <c r="N309" s="3" t="s">
        <v>42</v>
      </c>
      <c r="O309" s="12" t="s">
        <v>43</v>
      </c>
      <c r="P309" s="2" t="str">
        <f aca="false">CONCATENATE(N309," ",O309)</f>
        <v>Agroeca proxima</v>
      </c>
      <c r="Q309" s="1" t="s">
        <v>30</v>
      </c>
      <c r="R309" s="1" t="s">
        <v>35</v>
      </c>
      <c r="S309" s="1" t="n">
        <v>0</v>
      </c>
      <c r="T309" s="1" t="n">
        <v>1</v>
      </c>
      <c r="U309" s="1" t="n">
        <v>0</v>
      </c>
      <c r="V309" s="1" t="n">
        <v>0</v>
      </c>
      <c r="W309" s="1" t="n">
        <v>0</v>
      </c>
      <c r="X309" s="1" t="n">
        <v>0</v>
      </c>
      <c r="Y309" s="3" t="n">
        <f aca="false">SUM(S309:T309)</f>
        <v>1</v>
      </c>
      <c r="Z309" s="3" t="n">
        <f aca="false">SUM(U309:W309)</f>
        <v>0</v>
      </c>
      <c r="AA309" s="3" t="n">
        <f aca="false">SUM(S309:X309)</f>
        <v>1</v>
      </c>
      <c r="AB309" s="11" t="n">
        <f aca="false">(AA309/(K309*L309)*25)*4</f>
        <v>4</v>
      </c>
    </row>
    <row r="310" customFormat="false" ht="14.25" hidden="false" customHeight="false" outlineLevel="0" collapsed="false">
      <c r="A310" s="1" t="n">
        <v>2009</v>
      </c>
      <c r="B310" s="7" t="s">
        <v>322</v>
      </c>
      <c r="C310" s="7" t="n">
        <v>3</v>
      </c>
      <c r="D310" s="7" t="s">
        <v>294</v>
      </c>
      <c r="E310" s="7" t="s">
        <v>294</v>
      </c>
      <c r="F310" s="7" t="s">
        <v>158</v>
      </c>
      <c r="G310" s="1" t="n">
        <v>1</v>
      </c>
      <c r="H310" s="1" t="n">
        <v>4</v>
      </c>
      <c r="I310" s="10" t="n">
        <v>40052</v>
      </c>
      <c r="J310" s="10" t="n">
        <v>40057</v>
      </c>
      <c r="K310" s="1" t="n">
        <v>5</v>
      </c>
      <c r="L310" s="1" t="n">
        <v>5</v>
      </c>
      <c r="M310" s="3" t="s">
        <v>32</v>
      </c>
      <c r="N310" s="3" t="s">
        <v>68</v>
      </c>
      <c r="O310" s="8" t="s">
        <v>69</v>
      </c>
      <c r="P310" s="2" t="str">
        <f aca="false">CONCATENATE(N310," ",O310)</f>
        <v>Centromerus sylvaticus</v>
      </c>
      <c r="Q310" s="1" t="s">
        <v>30</v>
      </c>
      <c r="R310" s="1" t="s">
        <v>35</v>
      </c>
      <c r="S310" s="1" t="n">
        <v>0</v>
      </c>
      <c r="T310" s="1" t="n">
        <v>1</v>
      </c>
      <c r="U310" s="1" t="n">
        <v>0</v>
      </c>
      <c r="V310" s="1" t="n">
        <v>0</v>
      </c>
      <c r="W310" s="1" t="n">
        <v>0</v>
      </c>
      <c r="X310" s="1" t="n">
        <v>0</v>
      </c>
      <c r="Y310" s="3" t="n">
        <f aca="false">SUM(S310:T310)</f>
        <v>1</v>
      </c>
      <c r="Z310" s="3" t="n">
        <f aca="false">SUM(U310:W310)</f>
        <v>0</v>
      </c>
      <c r="AA310" s="3" t="n">
        <f aca="false">SUM(S310:X310)</f>
        <v>1</v>
      </c>
      <c r="AB310" s="11" t="n">
        <f aca="false">(AA310/(K310*L310)*25)*4</f>
        <v>4</v>
      </c>
    </row>
    <row r="311" customFormat="false" ht="14.25" hidden="false" customHeight="false" outlineLevel="0" collapsed="false">
      <c r="A311" s="1" t="n">
        <v>2009</v>
      </c>
      <c r="B311" s="7" t="s">
        <v>322</v>
      </c>
      <c r="C311" s="7" t="n">
        <v>2</v>
      </c>
      <c r="D311" s="7" t="s">
        <v>296</v>
      </c>
      <c r="E311" s="7" t="s">
        <v>295</v>
      </c>
      <c r="F311" s="7" t="s">
        <v>330</v>
      </c>
      <c r="G311" s="1" t="n">
        <v>1</v>
      </c>
      <c r="H311" s="1" t="n">
        <v>4</v>
      </c>
      <c r="I311" s="10" t="n">
        <v>39969</v>
      </c>
      <c r="J311" s="10" t="n">
        <v>39974</v>
      </c>
      <c r="K311" s="1" t="n">
        <v>5</v>
      </c>
      <c r="L311" s="1" t="n">
        <v>5</v>
      </c>
      <c r="M311" s="3" t="s">
        <v>32</v>
      </c>
      <c r="N311" s="3" t="s">
        <v>159</v>
      </c>
      <c r="O311" s="3" t="s">
        <v>160</v>
      </c>
      <c r="P311" s="2" t="str">
        <f aca="false">CONCATENATE(N311," ",O311)</f>
        <v>Metopobactrus prominulus</v>
      </c>
      <c r="Q311" s="1" t="s">
        <v>30</v>
      </c>
      <c r="R311" s="1" t="s">
        <v>35</v>
      </c>
      <c r="S311" s="1" t="n">
        <v>0</v>
      </c>
      <c r="T311" s="1" t="n">
        <v>1</v>
      </c>
      <c r="U311" s="1" t="n">
        <v>0</v>
      </c>
      <c r="V311" s="1" t="n">
        <v>0</v>
      </c>
      <c r="W311" s="1" t="n">
        <v>0</v>
      </c>
      <c r="X311" s="1" t="n">
        <v>0</v>
      </c>
      <c r="Y311" s="3" t="n">
        <f aca="false">SUM(S311:T311)</f>
        <v>1</v>
      </c>
      <c r="Z311" s="3" t="n">
        <f aca="false">SUM(U311:W311)</f>
        <v>0</v>
      </c>
      <c r="AA311" s="3" t="n">
        <f aca="false">SUM(S311:X311)</f>
        <v>1</v>
      </c>
      <c r="AB311" s="11" t="n">
        <f aca="false">(AA311/(K311*L311)*25)*4</f>
        <v>4</v>
      </c>
    </row>
    <row r="312" customFormat="false" ht="14.25" hidden="false" customHeight="false" outlineLevel="0" collapsed="false">
      <c r="A312" s="1" t="n">
        <v>2009</v>
      </c>
      <c r="B312" s="7" t="s">
        <v>322</v>
      </c>
      <c r="C312" s="7" t="n">
        <v>2</v>
      </c>
      <c r="D312" s="7" t="s">
        <v>296</v>
      </c>
      <c r="E312" s="7" t="s">
        <v>295</v>
      </c>
      <c r="F312" s="7" t="s">
        <v>330</v>
      </c>
      <c r="G312" s="1" t="n">
        <v>1</v>
      </c>
      <c r="H312" s="1" t="n">
        <v>1</v>
      </c>
      <c r="I312" s="10" t="n">
        <v>39969</v>
      </c>
      <c r="J312" s="10" t="n">
        <v>39974</v>
      </c>
      <c r="K312" s="1" t="n">
        <v>5</v>
      </c>
      <c r="L312" s="1" t="n">
        <v>5</v>
      </c>
      <c r="M312" s="3" t="s">
        <v>32</v>
      </c>
      <c r="N312" s="3" t="s">
        <v>161</v>
      </c>
      <c r="O312" s="12" t="s">
        <v>162</v>
      </c>
      <c r="P312" s="2" t="str">
        <f aca="false">CONCATENATE(N312," ",O312)</f>
        <v>Entelecara congenera</v>
      </c>
      <c r="Q312" s="1" t="s">
        <v>30</v>
      </c>
      <c r="R312" s="1" t="s">
        <v>31</v>
      </c>
      <c r="S312" s="1" t="n">
        <v>1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0</v>
      </c>
      <c r="Y312" s="3" t="n">
        <f aca="false">SUM(S312:T312)</f>
        <v>1</v>
      </c>
      <c r="Z312" s="3" t="n">
        <f aca="false">SUM(U312:W312)</f>
        <v>0</v>
      </c>
      <c r="AA312" s="3" t="n">
        <f aca="false">SUM(S312:X312)</f>
        <v>1</v>
      </c>
      <c r="AB312" s="11" t="n">
        <f aca="false">(AA312/(K312*L312)*25)*4</f>
        <v>4</v>
      </c>
    </row>
    <row r="313" customFormat="false" ht="14.25" hidden="false" customHeight="false" outlineLevel="0" collapsed="false">
      <c r="A313" s="1" t="n">
        <v>2009</v>
      </c>
      <c r="B313" s="7" t="s">
        <v>322</v>
      </c>
      <c r="C313" s="7" t="n">
        <v>2</v>
      </c>
      <c r="D313" s="7" t="s">
        <v>296</v>
      </c>
      <c r="E313" s="7" t="s">
        <v>295</v>
      </c>
      <c r="F313" s="7" t="s">
        <v>330</v>
      </c>
      <c r="G313" s="1" t="n">
        <v>1</v>
      </c>
      <c r="H313" s="1" t="n">
        <v>3</v>
      </c>
      <c r="I313" s="10" t="n">
        <v>39969</v>
      </c>
      <c r="J313" s="10" t="n">
        <v>39974</v>
      </c>
      <c r="K313" s="1" t="n">
        <v>5</v>
      </c>
      <c r="L313" s="1" t="n">
        <v>5</v>
      </c>
      <c r="M313" s="13" t="s">
        <v>32</v>
      </c>
      <c r="N313" s="13" t="s">
        <v>163</v>
      </c>
      <c r="O313" s="14" t="s">
        <v>164</v>
      </c>
      <c r="P313" s="2" t="str">
        <f aca="false">CONCATENATE(N313," ",O313)</f>
        <v>Bathyphantes gracilis</v>
      </c>
      <c r="Q313" s="1" t="s">
        <v>30</v>
      </c>
      <c r="R313" s="1" t="s">
        <v>31</v>
      </c>
      <c r="S313" s="1" t="n">
        <v>1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3" t="n">
        <f aca="false">SUM(S313:T313)</f>
        <v>1</v>
      </c>
      <c r="Z313" s="3" t="n">
        <f aca="false">SUM(U313:W313)</f>
        <v>0</v>
      </c>
      <c r="AA313" s="3" t="n">
        <f aca="false">SUM(S313:X313)</f>
        <v>1</v>
      </c>
      <c r="AB313" s="11" t="n">
        <f aca="false">(AA313/(K313*L313)*25)*4</f>
        <v>4</v>
      </c>
    </row>
    <row r="314" customFormat="false" ht="14.25" hidden="false" customHeight="false" outlineLevel="0" collapsed="false">
      <c r="A314" s="1" t="n">
        <v>2009</v>
      </c>
      <c r="B314" s="7" t="s">
        <v>322</v>
      </c>
      <c r="C314" s="7" t="n">
        <v>2</v>
      </c>
      <c r="D314" s="7" t="s">
        <v>296</v>
      </c>
      <c r="E314" s="7" t="s">
        <v>295</v>
      </c>
      <c r="F314" s="7" t="s">
        <v>330</v>
      </c>
      <c r="G314" s="1" t="n">
        <v>1</v>
      </c>
      <c r="H314" s="1" t="n">
        <v>3</v>
      </c>
      <c r="I314" s="10" t="n">
        <v>39969</v>
      </c>
      <c r="J314" s="10" t="n">
        <v>39974</v>
      </c>
      <c r="K314" s="1" t="n">
        <v>5</v>
      </c>
      <c r="L314" s="1" t="n">
        <v>5</v>
      </c>
      <c r="M314" s="13" t="s">
        <v>32</v>
      </c>
      <c r="N314" s="13" t="s">
        <v>165</v>
      </c>
      <c r="O314" s="14" t="s">
        <v>166</v>
      </c>
      <c r="P314" s="2" t="str">
        <f aca="false">CONCATENATE(N314," ",O314)</f>
        <v>Minyriolus pusillus</v>
      </c>
      <c r="Q314" s="1" t="s">
        <v>30</v>
      </c>
      <c r="R314" s="1" t="s">
        <v>35</v>
      </c>
      <c r="S314" s="1" t="n">
        <v>0</v>
      </c>
      <c r="T314" s="1" t="n">
        <v>1</v>
      </c>
      <c r="U314" s="1" t="n">
        <v>0</v>
      </c>
      <c r="V314" s="1" t="n">
        <v>0</v>
      </c>
      <c r="W314" s="1" t="n">
        <v>0</v>
      </c>
      <c r="X314" s="1" t="n">
        <v>0</v>
      </c>
      <c r="Y314" s="3" t="n">
        <f aca="false">SUM(S314:T314)</f>
        <v>1</v>
      </c>
      <c r="Z314" s="3" t="n">
        <f aca="false">SUM(U314:W314)</f>
        <v>0</v>
      </c>
      <c r="AA314" s="3" t="n">
        <f aca="false">SUM(S314:X314)</f>
        <v>1</v>
      </c>
      <c r="AB314" s="11" t="n">
        <f aca="false">(AA314/(K314*L314)*25)*4</f>
        <v>4</v>
      </c>
    </row>
    <row r="315" customFormat="false" ht="14.25" hidden="false" customHeight="false" outlineLevel="0" collapsed="false">
      <c r="A315" s="1" t="n">
        <v>2009</v>
      </c>
      <c r="B315" s="7" t="s">
        <v>322</v>
      </c>
      <c r="C315" s="7" t="n">
        <v>2</v>
      </c>
      <c r="D315" s="7" t="s">
        <v>296</v>
      </c>
      <c r="E315" s="7" t="s">
        <v>295</v>
      </c>
      <c r="F315" s="7" t="s">
        <v>330</v>
      </c>
      <c r="G315" s="1" t="n">
        <v>2</v>
      </c>
      <c r="H315" s="1" t="n">
        <v>10</v>
      </c>
      <c r="I315" s="10" t="n">
        <v>39969</v>
      </c>
      <c r="J315" s="10" t="n">
        <v>39974</v>
      </c>
      <c r="K315" s="1" t="n">
        <v>5</v>
      </c>
      <c r="L315" s="1" t="n">
        <v>5</v>
      </c>
      <c r="M315" s="3" t="s">
        <v>48</v>
      </c>
      <c r="N315" s="3" t="s">
        <v>67</v>
      </c>
      <c r="O315" s="12" t="s">
        <v>167</v>
      </c>
      <c r="P315" s="2" t="str">
        <f aca="false">CONCATENATE(N315," ",O315)</f>
        <v>Pardosa agrestis</v>
      </c>
      <c r="Q315" s="1" t="s">
        <v>30</v>
      </c>
      <c r="R315" s="1" t="s">
        <v>31</v>
      </c>
      <c r="S315" s="1" t="n">
        <v>1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3" t="n">
        <f aca="false">SUM(S315:T315)</f>
        <v>1</v>
      </c>
      <c r="Z315" s="3" t="n">
        <f aca="false">SUM(U315:W315)</f>
        <v>0</v>
      </c>
      <c r="AA315" s="3" t="n">
        <f aca="false">SUM(S315:X315)</f>
        <v>1</v>
      </c>
      <c r="AB315" s="11" t="n">
        <f aca="false">(AA315/(K315*L315)*25)*4</f>
        <v>4</v>
      </c>
    </row>
    <row r="316" customFormat="false" ht="14.25" hidden="false" customHeight="false" outlineLevel="0" collapsed="false">
      <c r="A316" s="1" t="n">
        <v>2009</v>
      </c>
      <c r="B316" s="7" t="s">
        <v>322</v>
      </c>
      <c r="C316" s="7" t="n">
        <v>2</v>
      </c>
      <c r="D316" s="7" t="s">
        <v>296</v>
      </c>
      <c r="E316" s="7" t="s">
        <v>295</v>
      </c>
      <c r="F316" s="7" t="s">
        <v>330</v>
      </c>
      <c r="G316" s="1" t="n">
        <v>2</v>
      </c>
      <c r="H316" s="1" t="n">
        <v>9</v>
      </c>
      <c r="I316" s="10" t="n">
        <v>39969</v>
      </c>
      <c r="J316" s="10" t="n">
        <v>39974</v>
      </c>
      <c r="K316" s="1" t="n">
        <v>5</v>
      </c>
      <c r="L316" s="1" t="n">
        <v>5</v>
      </c>
      <c r="M316" s="3" t="s">
        <v>32</v>
      </c>
      <c r="N316" s="3" t="s">
        <v>102</v>
      </c>
      <c r="O316" s="3" t="s">
        <v>117</v>
      </c>
      <c r="P316" s="2" t="str">
        <f aca="false">CONCATENATE(N316," ",O316)</f>
        <v>Agyneta affinis</v>
      </c>
      <c r="Q316" s="1" t="s">
        <v>30</v>
      </c>
      <c r="R316" s="1" t="s">
        <v>35</v>
      </c>
      <c r="S316" s="1" t="n">
        <v>0</v>
      </c>
      <c r="T316" s="1" t="n">
        <v>1</v>
      </c>
      <c r="U316" s="1" t="n">
        <v>0</v>
      </c>
      <c r="V316" s="1" t="n">
        <v>0</v>
      </c>
      <c r="W316" s="1" t="n">
        <v>0</v>
      </c>
      <c r="X316" s="1" t="n">
        <v>0</v>
      </c>
      <c r="Y316" s="3" t="n">
        <f aca="false">SUM(S316:T316)</f>
        <v>1</v>
      </c>
      <c r="Z316" s="3" t="n">
        <f aca="false">SUM(U316:W316)</f>
        <v>0</v>
      </c>
      <c r="AA316" s="3" t="n">
        <f aca="false">SUM(S316:X316)</f>
        <v>1</v>
      </c>
      <c r="AB316" s="11" t="n">
        <f aca="false">(AA316/(K316*L316)*25)*4</f>
        <v>4</v>
      </c>
    </row>
    <row r="317" customFormat="false" ht="14.25" hidden="false" customHeight="false" outlineLevel="0" collapsed="false">
      <c r="A317" s="1" t="n">
        <v>2009</v>
      </c>
      <c r="B317" s="7" t="s">
        <v>322</v>
      </c>
      <c r="C317" s="7" t="n">
        <v>2</v>
      </c>
      <c r="D317" s="7" t="s">
        <v>293</v>
      </c>
      <c r="E317" s="7" t="s">
        <v>293</v>
      </c>
      <c r="F317" s="7" t="s">
        <v>101</v>
      </c>
      <c r="G317" s="1" t="n">
        <v>2</v>
      </c>
      <c r="H317" s="1" t="n">
        <v>9</v>
      </c>
      <c r="I317" s="10" t="n">
        <v>39970</v>
      </c>
      <c r="J317" s="10" t="n">
        <v>39975</v>
      </c>
      <c r="K317" s="1" t="n">
        <v>5</v>
      </c>
      <c r="L317" s="1" t="n">
        <v>5</v>
      </c>
      <c r="M317" s="3" t="s">
        <v>32</v>
      </c>
      <c r="N317" s="3" t="s">
        <v>102</v>
      </c>
      <c r="O317" s="12" t="s">
        <v>103</v>
      </c>
      <c r="P317" s="2" t="str">
        <f aca="false">CONCATENATE(N317," ",O317)</f>
        <v>Agyneta olivacea</v>
      </c>
      <c r="Q317" s="1" t="s">
        <v>30</v>
      </c>
      <c r="R317" s="1" t="s">
        <v>31</v>
      </c>
      <c r="S317" s="1" t="n">
        <v>1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3" t="n">
        <f aca="false">SUM(S317:T317)</f>
        <v>1</v>
      </c>
      <c r="Z317" s="3" t="n">
        <f aca="false">SUM(U317:W317)</f>
        <v>0</v>
      </c>
      <c r="AA317" s="3" t="n">
        <f aca="false">SUM(S317:X317)</f>
        <v>1</v>
      </c>
      <c r="AB317" s="11" t="n">
        <f aca="false">(AA317/(K317*L317)*25)*4</f>
        <v>4</v>
      </c>
    </row>
    <row r="318" customFormat="false" ht="14.25" hidden="false" customHeight="false" outlineLevel="0" collapsed="false">
      <c r="A318" s="1" t="n">
        <v>2009</v>
      </c>
      <c r="B318" s="7" t="s">
        <v>322</v>
      </c>
      <c r="C318" s="7" t="n">
        <v>2</v>
      </c>
      <c r="D318" s="7" t="s">
        <v>293</v>
      </c>
      <c r="E318" s="7" t="s">
        <v>293</v>
      </c>
      <c r="F318" s="7" t="s">
        <v>101</v>
      </c>
      <c r="G318" s="1" t="n">
        <v>3</v>
      </c>
      <c r="H318" s="1" t="n">
        <v>12</v>
      </c>
      <c r="I318" s="10" t="n">
        <v>39970</v>
      </c>
      <c r="J318" s="10" t="n">
        <v>39975</v>
      </c>
      <c r="K318" s="1" t="n">
        <v>5</v>
      </c>
      <c r="L318" s="1" t="n">
        <v>5</v>
      </c>
      <c r="M318" s="3" t="s">
        <v>32</v>
      </c>
      <c r="N318" s="3" t="s">
        <v>33</v>
      </c>
      <c r="O318" s="12" t="s">
        <v>60</v>
      </c>
      <c r="P318" s="2" t="str">
        <f aca="false">CONCATENATE(N318," ",O318)</f>
        <v>Tenuiphantes tenebricola</v>
      </c>
      <c r="Q318" s="1" t="s">
        <v>30</v>
      </c>
      <c r="R318" s="1" t="s">
        <v>31</v>
      </c>
      <c r="S318" s="1" t="n">
        <v>1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3" t="n">
        <f aca="false">SUM(S318:T318)</f>
        <v>1</v>
      </c>
      <c r="Z318" s="3" t="n">
        <f aca="false">SUM(U318:W318)</f>
        <v>0</v>
      </c>
      <c r="AA318" s="3" t="n">
        <f aca="false">SUM(S318:X318)</f>
        <v>1</v>
      </c>
      <c r="AB318" s="11" t="n">
        <f aca="false">(AA318/(K318*L318)*25)*4</f>
        <v>4</v>
      </c>
    </row>
    <row r="319" customFormat="false" ht="14.25" hidden="false" customHeight="false" outlineLevel="0" collapsed="false">
      <c r="A319" s="1" t="n">
        <v>2009</v>
      </c>
      <c r="B319" s="7" t="s">
        <v>322</v>
      </c>
      <c r="C319" s="7" t="n">
        <v>2</v>
      </c>
      <c r="D319" s="7" t="s">
        <v>293</v>
      </c>
      <c r="E319" s="7" t="s">
        <v>293</v>
      </c>
      <c r="F319" s="7" t="s">
        <v>101</v>
      </c>
      <c r="G319" s="1" t="n">
        <v>3</v>
      </c>
      <c r="H319" s="1" t="n">
        <v>15</v>
      </c>
      <c r="I319" s="10" t="n">
        <v>39970</v>
      </c>
      <c r="J319" s="10" t="n">
        <v>39975</v>
      </c>
      <c r="K319" s="1" t="n">
        <v>5</v>
      </c>
      <c r="L319" s="1" t="n">
        <v>5</v>
      </c>
      <c r="M319" s="3" t="s">
        <v>32</v>
      </c>
      <c r="N319" s="3" t="s">
        <v>84</v>
      </c>
      <c r="O319" s="3" t="s">
        <v>168</v>
      </c>
      <c r="P319" s="2" t="str">
        <f aca="false">CONCATENATE(N319," ",O319)</f>
        <v>Walckenaeria atrotibialis</v>
      </c>
      <c r="Q319" s="1" t="s">
        <v>30</v>
      </c>
      <c r="R319" s="1" t="s">
        <v>35</v>
      </c>
      <c r="S319" s="1" t="n">
        <v>0</v>
      </c>
      <c r="T319" s="1" t="n">
        <v>1</v>
      </c>
      <c r="U319" s="1" t="n">
        <v>0</v>
      </c>
      <c r="V319" s="1" t="n">
        <v>0</v>
      </c>
      <c r="W319" s="1" t="n">
        <v>0</v>
      </c>
      <c r="X319" s="1" t="n">
        <v>0</v>
      </c>
      <c r="Y319" s="3" t="n">
        <f aca="false">SUM(S319:T319)</f>
        <v>1</v>
      </c>
      <c r="Z319" s="3" t="n">
        <f aca="false">SUM(U319:W319)</f>
        <v>0</v>
      </c>
      <c r="AA319" s="3" t="n">
        <f aca="false">SUM(S319:X319)</f>
        <v>1</v>
      </c>
      <c r="AB319" s="11" t="n">
        <f aca="false">(AA319/(K319*L319)*25)*4</f>
        <v>4</v>
      </c>
    </row>
    <row r="320" customFormat="false" ht="14.25" hidden="false" customHeight="false" outlineLevel="0" collapsed="false">
      <c r="A320" s="1" t="n">
        <v>2009</v>
      </c>
      <c r="B320" s="7" t="s">
        <v>322</v>
      </c>
      <c r="C320" s="7" t="n">
        <v>2</v>
      </c>
      <c r="D320" s="7" t="s">
        <v>293</v>
      </c>
      <c r="E320" s="7" t="s">
        <v>293</v>
      </c>
      <c r="F320" s="7" t="s">
        <v>101</v>
      </c>
      <c r="G320" s="1" t="n">
        <v>2</v>
      </c>
      <c r="H320" s="1" t="n">
        <v>7</v>
      </c>
      <c r="I320" s="10" t="n">
        <v>39970</v>
      </c>
      <c r="J320" s="10" t="n">
        <v>39975</v>
      </c>
      <c r="K320" s="1" t="n">
        <v>5</v>
      </c>
      <c r="L320" s="1" t="n">
        <v>5</v>
      </c>
      <c r="M320" s="3" t="s">
        <v>32</v>
      </c>
      <c r="N320" s="3" t="s">
        <v>102</v>
      </c>
      <c r="O320" s="3" t="s">
        <v>103</v>
      </c>
      <c r="P320" s="2" t="str">
        <f aca="false">CONCATENATE(N320," ",O320)</f>
        <v>Agyneta olivacea</v>
      </c>
      <c r="Q320" s="1" t="s">
        <v>30</v>
      </c>
      <c r="R320" s="1" t="s">
        <v>31</v>
      </c>
      <c r="S320" s="1" t="n">
        <v>1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3" t="n">
        <f aca="false">SUM(S320:T320)</f>
        <v>1</v>
      </c>
      <c r="Z320" s="3" t="n">
        <f aca="false">SUM(U320:W320)</f>
        <v>0</v>
      </c>
      <c r="AA320" s="3" t="n">
        <f aca="false">SUM(S320:X320)</f>
        <v>1</v>
      </c>
      <c r="AB320" s="11" t="n">
        <f aca="false">(AA320/(K320*L320)*25)*4</f>
        <v>4</v>
      </c>
    </row>
    <row r="321" customFormat="false" ht="14.25" hidden="false" customHeight="false" outlineLevel="0" collapsed="false">
      <c r="A321" s="1" t="n">
        <v>2009</v>
      </c>
      <c r="B321" s="7" t="s">
        <v>322</v>
      </c>
      <c r="C321" s="7" t="n">
        <v>2</v>
      </c>
      <c r="D321" s="7" t="s">
        <v>293</v>
      </c>
      <c r="E321" s="7" t="s">
        <v>293</v>
      </c>
      <c r="F321" s="7" t="s">
        <v>101</v>
      </c>
      <c r="G321" s="1" t="n">
        <v>2</v>
      </c>
      <c r="H321" s="1" t="n">
        <v>6</v>
      </c>
      <c r="I321" s="10" t="n">
        <v>39970</v>
      </c>
      <c r="J321" s="10" t="n">
        <v>39975</v>
      </c>
      <c r="K321" s="1" t="n">
        <v>5</v>
      </c>
      <c r="L321" s="1" t="n">
        <v>5</v>
      </c>
      <c r="M321" s="3" t="s">
        <v>32</v>
      </c>
      <c r="N321" s="3" t="s">
        <v>107</v>
      </c>
      <c r="O321" s="12" t="s">
        <v>108</v>
      </c>
      <c r="P321" s="2" t="str">
        <f aca="false">CONCATENATE(N321," ",O321)</f>
        <v>Macrargus rufus</v>
      </c>
      <c r="Q321" s="1" t="s">
        <v>30</v>
      </c>
      <c r="R321" s="1" t="s">
        <v>35</v>
      </c>
      <c r="S321" s="1" t="n">
        <v>0</v>
      </c>
      <c r="T321" s="1" t="n">
        <v>1</v>
      </c>
      <c r="U321" s="1" t="n">
        <v>0</v>
      </c>
      <c r="V321" s="1" t="n">
        <v>0</v>
      </c>
      <c r="W321" s="1" t="n">
        <v>0</v>
      </c>
      <c r="X321" s="1" t="n">
        <v>0</v>
      </c>
      <c r="Y321" s="3" t="n">
        <f aca="false">SUM(S321:T321)</f>
        <v>1</v>
      </c>
      <c r="Z321" s="3" t="n">
        <f aca="false">SUM(U321:W321)</f>
        <v>0</v>
      </c>
      <c r="AA321" s="3" t="n">
        <f aca="false">SUM(S321:X321)</f>
        <v>1</v>
      </c>
      <c r="AB321" s="11" t="n">
        <f aca="false">(AA321/(K321*L321)*25)*4</f>
        <v>4</v>
      </c>
    </row>
    <row r="322" customFormat="false" ht="14.25" hidden="false" customHeight="false" outlineLevel="0" collapsed="false">
      <c r="A322" s="1" t="n">
        <v>2009</v>
      </c>
      <c r="B322" s="7" t="s">
        <v>322</v>
      </c>
      <c r="C322" s="7" t="n">
        <v>2</v>
      </c>
      <c r="D322" s="7" t="s">
        <v>293</v>
      </c>
      <c r="E322" s="7" t="s">
        <v>293</v>
      </c>
      <c r="F322" s="7" t="s">
        <v>101</v>
      </c>
      <c r="G322" s="1" t="n">
        <v>2</v>
      </c>
      <c r="H322" s="1" t="n">
        <v>6</v>
      </c>
      <c r="I322" s="10" t="n">
        <v>39970</v>
      </c>
      <c r="J322" s="10" t="n">
        <v>39975</v>
      </c>
      <c r="K322" s="1" t="n">
        <v>5</v>
      </c>
      <c r="L322" s="1" t="n">
        <v>5</v>
      </c>
      <c r="M322" s="3" t="s">
        <v>32</v>
      </c>
      <c r="N322" s="3" t="s">
        <v>169</v>
      </c>
      <c r="O322" s="3" t="s">
        <v>170</v>
      </c>
      <c r="P322" s="2" t="str">
        <f aca="false">CONCATENATE(N322," ",O322)</f>
        <v>Abacoproeces saltuum</v>
      </c>
      <c r="Q322" s="1" t="s">
        <v>30</v>
      </c>
      <c r="R322" s="1" t="s">
        <v>31</v>
      </c>
      <c r="S322" s="1" t="n">
        <v>1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3" t="n">
        <f aca="false">SUM(S322:T322)</f>
        <v>1</v>
      </c>
      <c r="Z322" s="3" t="n">
        <f aca="false">SUM(U322:W322)</f>
        <v>0</v>
      </c>
      <c r="AA322" s="3" t="n">
        <f aca="false">SUM(S322:X322)</f>
        <v>1</v>
      </c>
      <c r="AB322" s="11" t="n">
        <f aca="false">(AA322/(K322*L322)*25)*4</f>
        <v>4</v>
      </c>
    </row>
    <row r="323" customFormat="false" ht="14.25" hidden="false" customHeight="false" outlineLevel="0" collapsed="false">
      <c r="A323" s="1" t="n">
        <v>2009</v>
      </c>
      <c r="B323" s="7" t="s">
        <v>322</v>
      </c>
      <c r="C323" s="7" t="n">
        <v>2</v>
      </c>
      <c r="D323" s="7" t="s">
        <v>293</v>
      </c>
      <c r="E323" s="7" t="s">
        <v>293</v>
      </c>
      <c r="F323" s="7" t="s">
        <v>101</v>
      </c>
      <c r="G323" s="1" t="n">
        <v>1</v>
      </c>
      <c r="H323" s="1" t="n">
        <v>1</v>
      </c>
      <c r="I323" s="10" t="n">
        <v>39970</v>
      </c>
      <c r="J323" s="10" t="n">
        <v>39975</v>
      </c>
      <c r="K323" s="1" t="n">
        <v>5</v>
      </c>
      <c r="L323" s="1" t="n">
        <v>5</v>
      </c>
      <c r="M323" s="3" t="s">
        <v>32</v>
      </c>
      <c r="N323" s="3" t="s">
        <v>33</v>
      </c>
      <c r="O323" s="12" t="s">
        <v>60</v>
      </c>
      <c r="P323" s="2" t="str">
        <f aca="false">CONCATENATE(N323," ",O323)</f>
        <v>Tenuiphantes tenebricola</v>
      </c>
      <c r="Q323" s="1" t="s">
        <v>30</v>
      </c>
      <c r="R323" s="1" t="s">
        <v>31</v>
      </c>
      <c r="S323" s="1" t="n">
        <v>1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0</v>
      </c>
      <c r="Y323" s="3" t="n">
        <f aca="false">SUM(S323:T323)</f>
        <v>1</v>
      </c>
      <c r="Z323" s="3" t="n">
        <f aca="false">SUM(U323:W323)</f>
        <v>0</v>
      </c>
      <c r="AA323" s="3" t="n">
        <f aca="false">SUM(S323:X323)</f>
        <v>1</v>
      </c>
      <c r="AB323" s="11" t="n">
        <f aca="false">(AA323/(K323*L323)*25)*4</f>
        <v>4</v>
      </c>
    </row>
    <row r="324" customFormat="false" ht="14.25" hidden="false" customHeight="false" outlineLevel="0" collapsed="false">
      <c r="A324" s="1" t="n">
        <v>2009</v>
      </c>
      <c r="B324" s="7" t="s">
        <v>322</v>
      </c>
      <c r="C324" s="7" t="n">
        <v>2</v>
      </c>
      <c r="D324" s="7" t="s">
        <v>294</v>
      </c>
      <c r="E324" s="7" t="s">
        <v>294</v>
      </c>
      <c r="F324" s="7" t="s">
        <v>326</v>
      </c>
      <c r="G324" s="1" t="n">
        <v>2</v>
      </c>
      <c r="H324" s="1" t="n">
        <v>7</v>
      </c>
      <c r="I324" s="10" t="n">
        <v>39970</v>
      </c>
      <c r="J324" s="10" t="n">
        <v>39975</v>
      </c>
      <c r="K324" s="1" t="n">
        <v>5</v>
      </c>
      <c r="L324" s="1" t="n">
        <v>5</v>
      </c>
      <c r="M324" s="3" t="s">
        <v>32</v>
      </c>
      <c r="N324" s="3" t="s">
        <v>102</v>
      </c>
      <c r="O324" s="12" t="s">
        <v>103</v>
      </c>
      <c r="P324" s="2" t="str">
        <f aca="false">CONCATENATE(N324," ",O324)</f>
        <v>Agyneta olivacea</v>
      </c>
      <c r="Q324" s="1" t="s">
        <v>30</v>
      </c>
      <c r="R324" s="1" t="s">
        <v>31</v>
      </c>
      <c r="S324" s="1" t="n">
        <v>1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3" t="n">
        <f aca="false">SUM(S324:T324)</f>
        <v>1</v>
      </c>
      <c r="Z324" s="3" t="n">
        <f aca="false">SUM(U324:W324)</f>
        <v>0</v>
      </c>
      <c r="AA324" s="3" t="n">
        <f aca="false">SUM(S324:X324)</f>
        <v>1</v>
      </c>
      <c r="AB324" s="11" t="n">
        <f aca="false">(AA324/(K324*L324)*25)*4</f>
        <v>4</v>
      </c>
    </row>
    <row r="325" customFormat="false" ht="14.25" hidden="false" customHeight="false" outlineLevel="0" collapsed="false">
      <c r="A325" s="1" t="n">
        <v>2009</v>
      </c>
      <c r="B325" s="7" t="s">
        <v>322</v>
      </c>
      <c r="C325" s="7" t="n">
        <v>2</v>
      </c>
      <c r="D325" s="7" t="s">
        <v>294</v>
      </c>
      <c r="E325" s="7" t="s">
        <v>294</v>
      </c>
      <c r="F325" s="7" t="s">
        <v>326</v>
      </c>
      <c r="G325" s="1" t="n">
        <v>1</v>
      </c>
      <c r="H325" s="1" t="n">
        <v>1</v>
      </c>
      <c r="I325" s="10" t="n">
        <v>39970</v>
      </c>
      <c r="J325" s="10" t="n">
        <v>39975</v>
      </c>
      <c r="K325" s="1" t="n">
        <v>5</v>
      </c>
      <c r="L325" s="1" t="n">
        <v>4</v>
      </c>
      <c r="M325" s="3" t="s">
        <v>32</v>
      </c>
      <c r="N325" s="3" t="s">
        <v>107</v>
      </c>
      <c r="O325" s="12" t="s">
        <v>108</v>
      </c>
      <c r="P325" s="2" t="str">
        <f aca="false">CONCATENATE(N325," ",O325)</f>
        <v>Macrargus rufus</v>
      </c>
      <c r="Q325" s="1" t="s">
        <v>30</v>
      </c>
      <c r="R325" s="1" t="s">
        <v>35</v>
      </c>
      <c r="S325" s="1" t="n">
        <v>0</v>
      </c>
      <c r="T325" s="1" t="n">
        <v>1</v>
      </c>
      <c r="U325" s="1" t="n">
        <v>0</v>
      </c>
      <c r="V325" s="1" t="n">
        <v>0</v>
      </c>
      <c r="W325" s="1" t="n">
        <v>0</v>
      </c>
      <c r="X325" s="1" t="n">
        <v>0</v>
      </c>
      <c r="Y325" s="3" t="n">
        <f aca="false">SUM(S325:T325)</f>
        <v>1</v>
      </c>
      <c r="Z325" s="3" t="n">
        <f aca="false">SUM(U325:W325)</f>
        <v>0</v>
      </c>
      <c r="AA325" s="3" t="n">
        <f aca="false">SUM(S325:X325)</f>
        <v>1</v>
      </c>
      <c r="AB325" s="11" t="n">
        <f aca="false">(AA325/(K325*L325)*25)*4</f>
        <v>5</v>
      </c>
    </row>
    <row r="326" customFormat="false" ht="14.25" hidden="false" customHeight="false" outlineLevel="0" collapsed="false">
      <c r="A326" s="1" t="n">
        <v>2009</v>
      </c>
      <c r="B326" s="7" t="s">
        <v>322</v>
      </c>
      <c r="C326" s="7" t="n">
        <v>2</v>
      </c>
      <c r="D326" s="7" t="s">
        <v>294</v>
      </c>
      <c r="E326" s="7" t="s">
        <v>294</v>
      </c>
      <c r="F326" s="7" t="s">
        <v>326</v>
      </c>
      <c r="G326" s="1" t="n">
        <v>1</v>
      </c>
      <c r="H326" s="1" t="n">
        <v>3</v>
      </c>
      <c r="I326" s="10" t="n">
        <v>39970</v>
      </c>
      <c r="J326" s="10" t="n">
        <v>39975</v>
      </c>
      <c r="K326" s="1" t="n">
        <v>5</v>
      </c>
      <c r="L326" s="1" t="n">
        <v>4</v>
      </c>
      <c r="M326" s="3" t="s">
        <v>92</v>
      </c>
      <c r="N326" s="3" t="s">
        <v>171</v>
      </c>
      <c r="O326" s="12" t="s">
        <v>172</v>
      </c>
      <c r="P326" s="2" t="str">
        <f aca="false">CONCATENATE(N326," ",O326)</f>
        <v>Euophrys frontalis</v>
      </c>
      <c r="Q326" s="1" t="s">
        <v>30</v>
      </c>
      <c r="R326" s="1" t="s">
        <v>31</v>
      </c>
      <c r="S326" s="1" t="n">
        <v>1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3" t="n">
        <f aca="false">SUM(S326:T326)</f>
        <v>1</v>
      </c>
      <c r="Z326" s="3" t="n">
        <f aca="false">SUM(U326:W326)</f>
        <v>0</v>
      </c>
      <c r="AA326" s="3" t="n">
        <f aca="false">SUM(S326:X326)</f>
        <v>1</v>
      </c>
      <c r="AB326" s="11" t="n">
        <f aca="false">(AA326/(K326*L326)*25)*4</f>
        <v>5</v>
      </c>
    </row>
    <row r="327" customFormat="false" ht="14.25" hidden="false" customHeight="false" outlineLevel="0" collapsed="false">
      <c r="A327" s="1" t="n">
        <v>2009</v>
      </c>
      <c r="B327" s="7" t="s">
        <v>322</v>
      </c>
      <c r="C327" s="7" t="n">
        <v>2</v>
      </c>
      <c r="D327" s="7" t="s">
        <v>294</v>
      </c>
      <c r="E327" s="7" t="s">
        <v>294</v>
      </c>
      <c r="F327" s="7" t="s">
        <v>51</v>
      </c>
      <c r="G327" s="1" t="n">
        <v>1</v>
      </c>
      <c r="H327" s="1" t="n">
        <v>5</v>
      </c>
      <c r="I327" s="10" t="n">
        <v>39969</v>
      </c>
      <c r="J327" s="10" t="n">
        <v>39974</v>
      </c>
      <c r="K327" s="1" t="n">
        <v>5</v>
      </c>
      <c r="L327" s="1" t="n">
        <v>5</v>
      </c>
      <c r="M327" s="13" t="s">
        <v>32</v>
      </c>
      <c r="N327" s="13" t="s">
        <v>84</v>
      </c>
      <c r="O327" s="14" t="s">
        <v>173</v>
      </c>
      <c r="P327" s="2" t="str">
        <f aca="false">CONCATENATE(N327," ",O327)</f>
        <v>Walckenaeria mitrata</v>
      </c>
      <c r="Q327" s="1" t="s">
        <v>30</v>
      </c>
      <c r="R327" s="1" t="s">
        <v>35</v>
      </c>
      <c r="S327" s="1" t="n">
        <v>0</v>
      </c>
      <c r="T327" s="1" t="n">
        <v>1</v>
      </c>
      <c r="U327" s="1" t="n">
        <v>0</v>
      </c>
      <c r="V327" s="1" t="n">
        <v>0</v>
      </c>
      <c r="W327" s="1" t="n">
        <v>0</v>
      </c>
      <c r="X327" s="1" t="n">
        <v>0</v>
      </c>
      <c r="Y327" s="3" t="n">
        <f aca="false">SUM(S327:T327)</f>
        <v>1</v>
      </c>
      <c r="Z327" s="3" t="n">
        <f aca="false">SUM(U327:W327)</f>
        <v>0</v>
      </c>
      <c r="AA327" s="3" t="n">
        <f aca="false">SUM(S327:X327)</f>
        <v>1</v>
      </c>
      <c r="AB327" s="11" t="n">
        <f aca="false">(AA327/(K327*L327)*25)*4</f>
        <v>4</v>
      </c>
    </row>
    <row r="328" customFormat="false" ht="14.25" hidden="false" customHeight="false" outlineLevel="0" collapsed="false">
      <c r="A328" s="1" t="n">
        <v>2009</v>
      </c>
      <c r="B328" s="7" t="s">
        <v>322</v>
      </c>
      <c r="C328" s="7" t="n">
        <v>2</v>
      </c>
      <c r="D328" s="7" t="s">
        <v>294</v>
      </c>
      <c r="E328" s="7" t="s">
        <v>294</v>
      </c>
      <c r="F328" s="7" t="s">
        <v>51</v>
      </c>
      <c r="G328" s="1" t="n">
        <v>1</v>
      </c>
      <c r="H328" s="1" t="n">
        <v>4</v>
      </c>
      <c r="I328" s="10" t="n">
        <v>39969</v>
      </c>
      <c r="J328" s="10" t="n">
        <v>39974</v>
      </c>
      <c r="K328" s="1" t="n">
        <v>5</v>
      </c>
      <c r="L328" s="1" t="n">
        <v>5</v>
      </c>
      <c r="M328" s="13" t="s">
        <v>32</v>
      </c>
      <c r="N328" s="13" t="s">
        <v>174</v>
      </c>
      <c r="O328" s="14" t="s">
        <v>175</v>
      </c>
      <c r="P328" s="2" t="str">
        <f aca="false">CONCATENATE(N328," ",O328)</f>
        <v>Neriene clathrata</v>
      </c>
      <c r="Q328" s="1" t="s">
        <v>30</v>
      </c>
      <c r="R328" s="1" t="s">
        <v>31</v>
      </c>
      <c r="S328" s="1" t="n">
        <v>1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3" t="n">
        <f aca="false">SUM(S328:T328)</f>
        <v>1</v>
      </c>
      <c r="Z328" s="3" t="n">
        <f aca="false">SUM(U328:W328)</f>
        <v>0</v>
      </c>
      <c r="AA328" s="3" t="n">
        <f aca="false">SUM(S328:X328)</f>
        <v>1</v>
      </c>
      <c r="AB328" s="11" t="n">
        <f aca="false">(AA328/(K328*L328)*25)*4</f>
        <v>4</v>
      </c>
    </row>
    <row r="329" customFormat="false" ht="14.25" hidden="false" customHeight="false" outlineLevel="0" collapsed="false">
      <c r="A329" s="1" t="n">
        <v>2009</v>
      </c>
      <c r="B329" s="7" t="s">
        <v>322</v>
      </c>
      <c r="C329" s="7" t="n">
        <v>2</v>
      </c>
      <c r="D329" s="7" t="s">
        <v>294</v>
      </c>
      <c r="E329" s="7" t="s">
        <v>294</v>
      </c>
      <c r="F329" s="7" t="s">
        <v>51</v>
      </c>
      <c r="G329" s="1" t="n">
        <v>1</v>
      </c>
      <c r="H329" s="1" t="n">
        <v>1</v>
      </c>
      <c r="I329" s="10" t="n">
        <v>39969</v>
      </c>
      <c r="J329" s="10" t="n">
        <v>39974</v>
      </c>
      <c r="K329" s="1" t="n">
        <v>5</v>
      </c>
      <c r="L329" s="1" t="n">
        <v>5</v>
      </c>
      <c r="M329" s="3" t="s">
        <v>32</v>
      </c>
      <c r="N329" s="3" t="s">
        <v>84</v>
      </c>
      <c r="O329" s="12" t="s">
        <v>85</v>
      </c>
      <c r="P329" s="2" t="str">
        <f aca="false">CONCATENATE(N329," ",O329)</f>
        <v>Walckenaeria antica</v>
      </c>
      <c r="Q329" s="1" t="s">
        <v>30</v>
      </c>
      <c r="R329" s="1" t="s">
        <v>35</v>
      </c>
      <c r="S329" s="1" t="n">
        <v>0</v>
      </c>
      <c r="T329" s="1" t="n">
        <v>1</v>
      </c>
      <c r="U329" s="1" t="n">
        <v>0</v>
      </c>
      <c r="V329" s="1" t="n">
        <v>0</v>
      </c>
      <c r="W329" s="1" t="n">
        <v>0</v>
      </c>
      <c r="X329" s="1" t="n">
        <v>0</v>
      </c>
      <c r="Y329" s="3" t="n">
        <f aca="false">SUM(S329:T329)</f>
        <v>1</v>
      </c>
      <c r="Z329" s="3" t="n">
        <f aca="false">SUM(U329:W329)</f>
        <v>0</v>
      </c>
      <c r="AA329" s="3" t="n">
        <f aca="false">SUM(S329:X329)</f>
        <v>1</v>
      </c>
      <c r="AB329" s="11" t="n">
        <f aca="false">(AA329/(K329*L329)*25)*4</f>
        <v>4</v>
      </c>
    </row>
    <row r="330" customFormat="false" ht="14.25" hidden="false" customHeight="false" outlineLevel="0" collapsed="false">
      <c r="A330" s="1" t="n">
        <v>2009</v>
      </c>
      <c r="B330" s="7" t="s">
        <v>322</v>
      </c>
      <c r="C330" s="7" t="n">
        <v>2</v>
      </c>
      <c r="D330" s="7" t="s">
        <v>294</v>
      </c>
      <c r="E330" s="7" t="s">
        <v>294</v>
      </c>
      <c r="F330" s="7" t="s">
        <v>51</v>
      </c>
      <c r="G330" s="1" t="n">
        <v>1</v>
      </c>
      <c r="H330" s="1" t="n">
        <v>4</v>
      </c>
      <c r="I330" s="10" t="n">
        <v>39969</v>
      </c>
      <c r="J330" s="10" t="n">
        <v>39974</v>
      </c>
      <c r="K330" s="1" t="n">
        <v>5</v>
      </c>
      <c r="L330" s="1" t="n">
        <v>5</v>
      </c>
      <c r="M330" s="3" t="s">
        <v>32</v>
      </c>
      <c r="N330" s="3" t="s">
        <v>84</v>
      </c>
      <c r="O330" s="3" t="s">
        <v>176</v>
      </c>
      <c r="P330" s="2" t="str">
        <f aca="false">CONCATENATE(N330," ",O330)</f>
        <v>Walckenaeria dysderoides</v>
      </c>
      <c r="Q330" s="1" t="s">
        <v>30</v>
      </c>
      <c r="R330" s="1" t="s">
        <v>31</v>
      </c>
      <c r="S330" s="1" t="n">
        <v>1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  <c r="Y330" s="3" t="n">
        <f aca="false">SUM(S330:T330)</f>
        <v>1</v>
      </c>
      <c r="Z330" s="3" t="n">
        <f aca="false">SUM(U330:W330)</f>
        <v>0</v>
      </c>
      <c r="AA330" s="3" t="n">
        <f aca="false">SUM(S330:X330)</f>
        <v>1</v>
      </c>
      <c r="AB330" s="11" t="n">
        <f aca="false">(AA330/(K330*L330)*25)*4</f>
        <v>4</v>
      </c>
    </row>
    <row r="331" customFormat="false" ht="14.25" hidden="false" customHeight="false" outlineLevel="0" collapsed="false">
      <c r="A331" s="1" t="n">
        <v>2009</v>
      </c>
      <c r="B331" s="7" t="s">
        <v>322</v>
      </c>
      <c r="C331" s="7" t="n">
        <v>2</v>
      </c>
      <c r="D331" s="7" t="s">
        <v>294</v>
      </c>
      <c r="E331" s="7" t="s">
        <v>294</v>
      </c>
      <c r="F331" s="7" t="s">
        <v>51</v>
      </c>
      <c r="G331" s="1" t="n">
        <v>2</v>
      </c>
      <c r="H331" s="1" t="n">
        <v>7</v>
      </c>
      <c r="I331" s="10" t="n">
        <v>39969</v>
      </c>
      <c r="J331" s="10" t="n">
        <v>39974</v>
      </c>
      <c r="K331" s="1" t="n">
        <v>5</v>
      </c>
      <c r="L331" s="1" t="n">
        <v>5</v>
      </c>
      <c r="M331" s="3" t="s">
        <v>32</v>
      </c>
      <c r="N331" s="3" t="s">
        <v>154</v>
      </c>
      <c r="O331" s="3" t="s">
        <v>155</v>
      </c>
      <c r="P331" s="2" t="str">
        <f aca="false">CONCATENATE(N331," ",O331)</f>
        <v>Pocadicnemis pumila</v>
      </c>
      <c r="Q331" s="1" t="s">
        <v>30</v>
      </c>
      <c r="R331" s="1" t="s">
        <v>35</v>
      </c>
      <c r="S331" s="1" t="n">
        <v>0</v>
      </c>
      <c r="T331" s="1" t="n">
        <v>2</v>
      </c>
      <c r="U331" s="1" t="n">
        <v>0</v>
      </c>
      <c r="V331" s="1" t="n">
        <v>0</v>
      </c>
      <c r="W331" s="1" t="n">
        <v>0</v>
      </c>
      <c r="X331" s="1" t="n">
        <v>0</v>
      </c>
      <c r="Y331" s="3" t="n">
        <f aca="false">SUM(S331:T331)</f>
        <v>2</v>
      </c>
      <c r="Z331" s="3" t="n">
        <f aca="false">SUM(U331:W331)</f>
        <v>0</v>
      </c>
      <c r="AA331" s="3" t="n">
        <f aca="false">SUM(S331:X331)</f>
        <v>2</v>
      </c>
      <c r="AB331" s="11" t="n">
        <f aca="false">(AA331/(K331*L331)*25)*4</f>
        <v>8</v>
      </c>
    </row>
    <row r="332" customFormat="false" ht="14.25" hidden="false" customHeight="false" outlineLevel="0" collapsed="false">
      <c r="A332" s="17" t="n">
        <v>2009</v>
      </c>
      <c r="B332" s="7" t="s">
        <v>322</v>
      </c>
      <c r="C332" s="44" t="n">
        <v>2</v>
      </c>
      <c r="D332" s="7" t="s">
        <v>293</v>
      </c>
      <c r="E332" s="7" t="s">
        <v>293</v>
      </c>
      <c r="F332" s="7" t="s">
        <v>110</v>
      </c>
      <c r="G332" s="1" t="n">
        <v>3</v>
      </c>
      <c r="H332" s="1" t="n">
        <v>11</v>
      </c>
      <c r="I332" s="20" t="n">
        <v>39969</v>
      </c>
      <c r="J332" s="20" t="n">
        <v>39974</v>
      </c>
      <c r="K332" s="17" t="n">
        <v>5</v>
      </c>
      <c r="L332" s="1" t="n">
        <v>5</v>
      </c>
      <c r="M332" s="18" t="s">
        <v>32</v>
      </c>
      <c r="N332" s="18" t="s">
        <v>57</v>
      </c>
      <c r="O332" s="19" t="s">
        <v>177</v>
      </c>
      <c r="P332" s="2" t="str">
        <f aca="false">CONCATENATE(N332," ",O332)</f>
        <v>Gen sp70</v>
      </c>
      <c r="Q332" s="1" t="s">
        <v>30</v>
      </c>
      <c r="R332" s="1" t="s">
        <v>35</v>
      </c>
      <c r="S332" s="17" t="n">
        <v>0</v>
      </c>
      <c r="T332" s="17" t="n">
        <v>1</v>
      </c>
      <c r="U332" s="1" t="n">
        <v>0</v>
      </c>
      <c r="V332" s="1" t="n">
        <v>0</v>
      </c>
      <c r="W332" s="17" t="n">
        <v>0</v>
      </c>
      <c r="X332" s="1" t="n">
        <v>0</v>
      </c>
      <c r="Y332" s="3" t="n">
        <f aca="false">SUM(S332:T332)</f>
        <v>1</v>
      </c>
      <c r="Z332" s="3" t="n">
        <f aca="false">SUM(U332:W332)</f>
        <v>0</v>
      </c>
      <c r="AA332" s="3" t="n">
        <f aca="false">SUM(S332:X332)</f>
        <v>1</v>
      </c>
      <c r="AB332" s="11" t="n">
        <f aca="false">(AA332/(K332*L332)*25)*4</f>
        <v>4</v>
      </c>
    </row>
    <row r="333" customFormat="false" ht="14.25" hidden="false" customHeight="false" outlineLevel="0" collapsed="false">
      <c r="A333" s="1" t="n">
        <v>2009</v>
      </c>
      <c r="B333" s="7" t="s">
        <v>322</v>
      </c>
      <c r="C333" s="7" t="n">
        <v>2</v>
      </c>
      <c r="D333" s="7" t="s">
        <v>293</v>
      </c>
      <c r="E333" s="7" t="s">
        <v>293</v>
      </c>
      <c r="F333" s="7" t="s">
        <v>110</v>
      </c>
      <c r="G333" s="1" t="n">
        <v>1</v>
      </c>
      <c r="H333" s="1" t="n">
        <v>4</v>
      </c>
      <c r="I333" s="10" t="n">
        <v>39969</v>
      </c>
      <c r="J333" s="10" t="n">
        <v>39974</v>
      </c>
      <c r="K333" s="1" t="n">
        <v>5</v>
      </c>
      <c r="L333" s="1" t="n">
        <v>5</v>
      </c>
      <c r="M333" s="3" t="s">
        <v>32</v>
      </c>
      <c r="N333" s="3" t="s">
        <v>68</v>
      </c>
      <c r="O333" s="3" t="s">
        <v>178</v>
      </c>
      <c r="P333" s="2" t="str">
        <f aca="false">CONCATENATE(N333," ",O333)</f>
        <v>Centromerus brevipalpus</v>
      </c>
      <c r="Q333" s="1" t="s">
        <v>30</v>
      </c>
      <c r="R333" s="1" t="s">
        <v>35</v>
      </c>
      <c r="S333" s="1" t="n">
        <v>0</v>
      </c>
      <c r="T333" s="1" t="n">
        <v>1</v>
      </c>
      <c r="U333" s="1" t="n">
        <v>0</v>
      </c>
      <c r="V333" s="1" t="n">
        <v>0</v>
      </c>
      <c r="W333" s="1" t="n">
        <v>0</v>
      </c>
      <c r="X333" s="1" t="n">
        <v>0</v>
      </c>
      <c r="Y333" s="3" t="n">
        <f aca="false">SUM(S333:T333)</f>
        <v>1</v>
      </c>
      <c r="Z333" s="3" t="n">
        <f aca="false">SUM(U333:W333)</f>
        <v>0</v>
      </c>
      <c r="AA333" s="3" t="n">
        <f aca="false">SUM(S333:X333)</f>
        <v>1</v>
      </c>
      <c r="AB333" s="11" t="n">
        <f aca="false">(AA333/(K333*L333)*25)*4</f>
        <v>4</v>
      </c>
    </row>
    <row r="334" customFormat="false" ht="14.25" hidden="false" customHeight="false" outlineLevel="0" collapsed="false">
      <c r="A334" s="1" t="n">
        <v>2009</v>
      </c>
      <c r="B334" s="7" t="s">
        <v>322</v>
      </c>
      <c r="C334" s="7" t="n">
        <v>2</v>
      </c>
      <c r="D334" s="7" t="s">
        <v>293</v>
      </c>
      <c r="E334" s="7" t="s">
        <v>293</v>
      </c>
      <c r="F334" s="7" t="s">
        <v>110</v>
      </c>
      <c r="G334" s="1" t="n">
        <v>2</v>
      </c>
      <c r="H334" s="1" t="n">
        <v>9</v>
      </c>
      <c r="I334" s="10" t="n">
        <v>39969</v>
      </c>
      <c r="J334" s="10" t="n">
        <v>39974</v>
      </c>
      <c r="K334" s="1" t="n">
        <v>5</v>
      </c>
      <c r="L334" s="1" t="n">
        <v>5</v>
      </c>
      <c r="M334" s="3" t="s">
        <v>32</v>
      </c>
      <c r="N334" s="3" t="s">
        <v>169</v>
      </c>
      <c r="O334" s="3" t="s">
        <v>170</v>
      </c>
      <c r="P334" s="2" t="str">
        <f aca="false">CONCATENATE(N334," ",O334)</f>
        <v>Abacoproeces saltuum</v>
      </c>
      <c r="Q334" s="1" t="s">
        <v>30</v>
      </c>
      <c r="R334" s="1" t="s">
        <v>31</v>
      </c>
      <c r="S334" s="1" t="n">
        <v>1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0</v>
      </c>
      <c r="Y334" s="3" t="n">
        <f aca="false">SUM(S334:T334)</f>
        <v>1</v>
      </c>
      <c r="Z334" s="3" t="n">
        <f aca="false">SUM(U334:W334)</f>
        <v>0</v>
      </c>
      <c r="AA334" s="3" t="n">
        <f aca="false">SUM(S334:X334)</f>
        <v>1</v>
      </c>
      <c r="AB334" s="11" t="n">
        <f aca="false">(AA334/(K334*L334)*25)*4</f>
        <v>4</v>
      </c>
    </row>
    <row r="335" customFormat="false" ht="14.25" hidden="false" customHeight="false" outlineLevel="0" collapsed="false">
      <c r="A335" s="1" t="n">
        <v>2009</v>
      </c>
      <c r="B335" s="7" t="s">
        <v>322</v>
      </c>
      <c r="C335" s="7" t="n">
        <v>2</v>
      </c>
      <c r="D335" s="7" t="s">
        <v>293</v>
      </c>
      <c r="E335" s="7" t="s">
        <v>293</v>
      </c>
      <c r="F335" s="7" t="s">
        <v>110</v>
      </c>
      <c r="G335" s="1" t="n">
        <v>2</v>
      </c>
      <c r="H335" s="1" t="n">
        <v>8</v>
      </c>
      <c r="I335" s="10" t="n">
        <v>39969</v>
      </c>
      <c r="J335" s="10" t="n">
        <v>39974</v>
      </c>
      <c r="K335" s="1" t="n">
        <v>5</v>
      </c>
      <c r="L335" s="1" t="n">
        <v>5</v>
      </c>
      <c r="M335" s="3" t="s">
        <v>32</v>
      </c>
      <c r="N335" s="3" t="s">
        <v>169</v>
      </c>
      <c r="O335" s="3" t="s">
        <v>170</v>
      </c>
      <c r="P335" s="2" t="str">
        <f aca="false">CONCATENATE(N335," ",O335)</f>
        <v>Abacoproeces saltuum</v>
      </c>
      <c r="Q335" s="1" t="s">
        <v>30</v>
      </c>
      <c r="R335" s="1" t="s">
        <v>31</v>
      </c>
      <c r="S335" s="1" t="n">
        <v>1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0</v>
      </c>
      <c r="Y335" s="3" t="n">
        <f aca="false">SUM(S335:T335)</f>
        <v>1</v>
      </c>
      <c r="Z335" s="3" t="n">
        <f aca="false">SUM(U335:W335)</f>
        <v>0</v>
      </c>
      <c r="AA335" s="3" t="n">
        <f aca="false">SUM(S335:X335)</f>
        <v>1</v>
      </c>
      <c r="AB335" s="11" t="n">
        <f aca="false">(AA335/(K335*L335)*25)*4</f>
        <v>4</v>
      </c>
    </row>
    <row r="336" customFormat="false" ht="14.25" hidden="false" customHeight="false" outlineLevel="0" collapsed="false">
      <c r="A336" s="1" t="n">
        <v>2009</v>
      </c>
      <c r="B336" s="7" t="s">
        <v>322</v>
      </c>
      <c r="C336" s="7" t="n">
        <v>2</v>
      </c>
      <c r="D336" s="7" t="s">
        <v>293</v>
      </c>
      <c r="E336" s="7" t="s">
        <v>293</v>
      </c>
      <c r="F336" s="7" t="s">
        <v>110</v>
      </c>
      <c r="G336" s="1" t="n">
        <v>2</v>
      </c>
      <c r="H336" s="1" t="n">
        <v>10</v>
      </c>
      <c r="I336" s="10" t="n">
        <v>39969</v>
      </c>
      <c r="J336" s="10" t="n">
        <v>39974</v>
      </c>
      <c r="K336" s="1" t="n">
        <v>5</v>
      </c>
      <c r="L336" s="1" t="n">
        <v>5</v>
      </c>
      <c r="M336" s="3" t="s">
        <v>32</v>
      </c>
      <c r="N336" s="3" t="s">
        <v>84</v>
      </c>
      <c r="O336" s="3" t="s">
        <v>85</v>
      </c>
      <c r="P336" s="2" t="str">
        <f aca="false">CONCATENATE(N336," ",O336)</f>
        <v>Walckenaeria antica</v>
      </c>
      <c r="Q336" s="1" t="s">
        <v>30</v>
      </c>
      <c r="R336" s="1" t="s">
        <v>35</v>
      </c>
      <c r="S336" s="1" t="n">
        <v>0</v>
      </c>
      <c r="T336" s="1" t="n">
        <v>1</v>
      </c>
      <c r="U336" s="1" t="n">
        <v>0</v>
      </c>
      <c r="V336" s="1" t="n">
        <v>0</v>
      </c>
      <c r="W336" s="1" t="n">
        <v>0</v>
      </c>
      <c r="X336" s="1" t="n">
        <v>0</v>
      </c>
      <c r="Y336" s="3" t="n">
        <f aca="false">SUM(S336:T336)</f>
        <v>1</v>
      </c>
      <c r="Z336" s="3" t="n">
        <f aca="false">SUM(U336:W336)</f>
        <v>0</v>
      </c>
      <c r="AA336" s="3" t="n">
        <f aca="false">SUM(S336:X336)</f>
        <v>1</v>
      </c>
      <c r="AB336" s="11" t="n">
        <f aca="false">(AA336/(K336*L336)*25)*4</f>
        <v>4</v>
      </c>
    </row>
    <row r="337" customFormat="false" ht="14.25" hidden="false" customHeight="false" outlineLevel="0" collapsed="false">
      <c r="A337" s="1" t="n">
        <v>2009</v>
      </c>
      <c r="B337" s="7" t="s">
        <v>322</v>
      </c>
      <c r="C337" s="7" t="n">
        <v>2</v>
      </c>
      <c r="D337" s="7" t="s">
        <v>293</v>
      </c>
      <c r="E337" s="7" t="s">
        <v>293</v>
      </c>
      <c r="F337" s="7" t="s">
        <v>110</v>
      </c>
      <c r="G337" s="1" t="n">
        <v>2</v>
      </c>
      <c r="H337" s="1" t="n">
        <v>10</v>
      </c>
      <c r="I337" s="10" t="n">
        <v>39969</v>
      </c>
      <c r="J337" s="10" t="n">
        <v>39974</v>
      </c>
      <c r="K337" s="1" t="n">
        <v>5</v>
      </c>
      <c r="L337" s="1" t="n">
        <v>5</v>
      </c>
      <c r="M337" s="3" t="s">
        <v>32</v>
      </c>
      <c r="N337" s="3" t="s">
        <v>169</v>
      </c>
      <c r="O337" s="3" t="s">
        <v>170</v>
      </c>
      <c r="P337" s="2" t="str">
        <f aca="false">CONCATENATE(N337," ",O337)</f>
        <v>Abacoproeces saltuum</v>
      </c>
      <c r="Q337" s="1" t="s">
        <v>30</v>
      </c>
      <c r="R337" s="1" t="s">
        <v>31</v>
      </c>
      <c r="S337" s="1" t="n">
        <v>1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0</v>
      </c>
      <c r="Y337" s="3" t="n">
        <f aca="false">SUM(S337:T337)</f>
        <v>1</v>
      </c>
      <c r="Z337" s="3" t="n">
        <f aca="false">SUM(U337:W337)</f>
        <v>0</v>
      </c>
      <c r="AA337" s="3" t="n">
        <f aca="false">SUM(S337:X337)</f>
        <v>1</v>
      </c>
      <c r="AB337" s="11" t="n">
        <f aca="false">(AA337/(K337*L337)*25)*4</f>
        <v>4</v>
      </c>
    </row>
    <row r="338" customFormat="false" ht="14.25" hidden="false" customHeight="false" outlineLevel="0" collapsed="false">
      <c r="A338" s="1" t="n">
        <v>2009</v>
      </c>
      <c r="B338" s="7" t="s">
        <v>322</v>
      </c>
      <c r="C338" s="7" t="n">
        <v>2</v>
      </c>
      <c r="D338" s="7" t="s">
        <v>293</v>
      </c>
      <c r="E338" s="7" t="s">
        <v>293</v>
      </c>
      <c r="F338" s="7" t="s">
        <v>110</v>
      </c>
      <c r="G338" s="1" t="n">
        <v>2</v>
      </c>
      <c r="H338" s="1" t="n">
        <v>10</v>
      </c>
      <c r="I338" s="10" t="n">
        <v>39969</v>
      </c>
      <c r="J338" s="10" t="n">
        <v>39974</v>
      </c>
      <c r="K338" s="1" t="n">
        <v>5</v>
      </c>
      <c r="L338" s="1" t="n">
        <v>5</v>
      </c>
      <c r="M338" s="3" t="s">
        <v>27</v>
      </c>
      <c r="N338" s="3" t="s">
        <v>179</v>
      </c>
      <c r="O338" s="12" t="s">
        <v>180</v>
      </c>
      <c r="P338" s="2" t="str">
        <f aca="false">CONCATENATE(N338," ",O338)</f>
        <v>Theridion varians</v>
      </c>
      <c r="Q338" s="1" t="s">
        <v>30</v>
      </c>
      <c r="R338" s="1" t="s">
        <v>35</v>
      </c>
      <c r="S338" s="1" t="n">
        <v>0</v>
      </c>
      <c r="T338" s="1" t="n">
        <v>1</v>
      </c>
      <c r="U338" s="1" t="n">
        <v>0</v>
      </c>
      <c r="V338" s="1" t="n">
        <v>0</v>
      </c>
      <c r="W338" s="1" t="n">
        <v>0</v>
      </c>
      <c r="X338" s="1" t="n">
        <v>0</v>
      </c>
      <c r="Y338" s="3" t="n">
        <f aca="false">SUM(S338:T338)</f>
        <v>1</v>
      </c>
      <c r="Z338" s="3" t="n">
        <f aca="false">SUM(U338:W338)</f>
        <v>0</v>
      </c>
      <c r="AA338" s="3" t="n">
        <f aca="false">SUM(S338:X338)</f>
        <v>1</v>
      </c>
      <c r="AB338" s="11" t="n">
        <f aca="false">(AA338/(K338*L338)*25)*4</f>
        <v>4</v>
      </c>
    </row>
    <row r="339" customFormat="false" ht="14.25" hidden="false" customHeight="false" outlineLevel="0" collapsed="false">
      <c r="A339" s="1" t="n">
        <v>2009</v>
      </c>
      <c r="B339" s="7" t="s">
        <v>322</v>
      </c>
      <c r="C339" s="7" t="n">
        <v>2</v>
      </c>
      <c r="D339" s="7" t="s">
        <v>293</v>
      </c>
      <c r="E339" s="7" t="s">
        <v>293</v>
      </c>
      <c r="F339" s="7" t="s">
        <v>110</v>
      </c>
      <c r="G339" s="1" t="n">
        <v>1</v>
      </c>
      <c r="H339" s="1" t="n">
        <v>1</v>
      </c>
      <c r="I339" s="10" t="n">
        <v>39969</v>
      </c>
      <c r="J339" s="10" t="n">
        <v>39974</v>
      </c>
      <c r="K339" s="1" t="n">
        <v>5</v>
      </c>
      <c r="L339" s="1" t="n">
        <v>5</v>
      </c>
      <c r="M339" s="3" t="s">
        <v>32</v>
      </c>
      <c r="N339" s="3" t="s">
        <v>84</v>
      </c>
      <c r="O339" s="3" t="s">
        <v>176</v>
      </c>
      <c r="P339" s="2" t="str">
        <f aca="false">CONCATENATE(N339," ",O339)</f>
        <v>Walckenaeria dysderoides</v>
      </c>
      <c r="Q339" s="1" t="s">
        <v>30</v>
      </c>
      <c r="R339" s="1" t="s">
        <v>31</v>
      </c>
      <c r="S339" s="1" t="n">
        <v>1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0</v>
      </c>
      <c r="Y339" s="3" t="n">
        <f aca="false">SUM(S339:T339)</f>
        <v>1</v>
      </c>
      <c r="Z339" s="3" t="n">
        <f aca="false">SUM(U339:W339)</f>
        <v>0</v>
      </c>
      <c r="AA339" s="3" t="n">
        <f aca="false">SUM(S339:X339)</f>
        <v>1</v>
      </c>
      <c r="AB339" s="11" t="n">
        <f aca="false">(AA339/(K339*L339)*25)*4</f>
        <v>4</v>
      </c>
    </row>
    <row r="340" customFormat="false" ht="14.25" hidden="false" customHeight="false" outlineLevel="0" collapsed="false">
      <c r="A340" s="1" t="n">
        <v>2009</v>
      </c>
      <c r="B340" s="7" t="s">
        <v>322</v>
      </c>
      <c r="C340" s="7" t="n">
        <v>3</v>
      </c>
      <c r="D340" s="7" t="s">
        <v>294</v>
      </c>
      <c r="E340" s="7" t="s">
        <v>294</v>
      </c>
      <c r="F340" s="7" t="s">
        <v>158</v>
      </c>
      <c r="G340" s="1" t="n">
        <v>1</v>
      </c>
      <c r="H340" s="1" t="n">
        <v>5</v>
      </c>
      <c r="I340" s="10" t="n">
        <v>40052</v>
      </c>
      <c r="J340" s="10" t="n">
        <v>40057</v>
      </c>
      <c r="K340" s="1" t="n">
        <v>5</v>
      </c>
      <c r="L340" s="1" t="n">
        <v>5</v>
      </c>
      <c r="M340" s="3" t="s">
        <v>32</v>
      </c>
      <c r="N340" s="3" t="s">
        <v>33</v>
      </c>
      <c r="O340" s="8" t="s">
        <v>81</v>
      </c>
      <c r="P340" s="2" t="str">
        <f aca="false">CONCATENATE(N340," ",O340)</f>
        <v>Tenuiphantes mengei</v>
      </c>
      <c r="Q340" s="1" t="s">
        <v>30</v>
      </c>
      <c r="R340" s="1" t="s">
        <v>31</v>
      </c>
      <c r="S340" s="1" t="n">
        <v>1</v>
      </c>
      <c r="T340" s="1" t="n">
        <v>0</v>
      </c>
      <c r="U340" s="1" t="n">
        <v>0</v>
      </c>
      <c r="V340" s="1" t="n">
        <v>0</v>
      </c>
      <c r="W340" s="1" t="n">
        <v>0</v>
      </c>
      <c r="X340" s="1" t="n">
        <v>0</v>
      </c>
      <c r="Y340" s="3" t="n">
        <f aca="false">SUM(S340:T340)</f>
        <v>1</v>
      </c>
      <c r="Z340" s="3" t="n">
        <f aca="false">SUM(U340:W340)</f>
        <v>0</v>
      </c>
      <c r="AA340" s="3" t="n">
        <f aca="false">SUM(S340:X340)</f>
        <v>1</v>
      </c>
      <c r="AB340" s="11" t="n">
        <f aca="false">(AA340/(K340*L340)*25)*4</f>
        <v>4</v>
      </c>
    </row>
    <row r="341" customFormat="false" ht="14.25" hidden="false" customHeight="false" outlineLevel="0" collapsed="false">
      <c r="A341" s="1" t="n">
        <v>2009</v>
      </c>
      <c r="B341" s="7" t="s">
        <v>322</v>
      </c>
      <c r="C341" s="7" t="n">
        <v>3</v>
      </c>
      <c r="D341" s="7" t="s">
        <v>294</v>
      </c>
      <c r="E341" s="7" t="s">
        <v>294</v>
      </c>
      <c r="F341" s="7" t="s">
        <v>158</v>
      </c>
      <c r="G341" s="1" t="n">
        <v>1</v>
      </c>
      <c r="H341" s="1" t="n">
        <v>5</v>
      </c>
      <c r="I341" s="10" t="n">
        <v>40052</v>
      </c>
      <c r="J341" s="10" t="n">
        <v>40057</v>
      </c>
      <c r="K341" s="1" t="n">
        <v>5</v>
      </c>
      <c r="L341" s="1" t="n">
        <v>5</v>
      </c>
      <c r="M341" s="3" t="s">
        <v>32</v>
      </c>
      <c r="N341" s="3" t="s">
        <v>33</v>
      </c>
      <c r="O341" s="8" t="s">
        <v>81</v>
      </c>
      <c r="P341" s="2" t="str">
        <f aca="false">CONCATENATE(N341," ",O341)</f>
        <v>Tenuiphantes mengei</v>
      </c>
      <c r="Q341" s="1" t="s">
        <v>30</v>
      </c>
      <c r="R341" s="1" t="s">
        <v>35</v>
      </c>
      <c r="S341" s="1" t="n">
        <v>0</v>
      </c>
      <c r="T341" s="1" t="n">
        <v>1</v>
      </c>
      <c r="U341" s="1" t="n">
        <v>0</v>
      </c>
      <c r="V341" s="1" t="n">
        <v>0</v>
      </c>
      <c r="W341" s="1" t="n">
        <v>0</v>
      </c>
      <c r="X341" s="1" t="n">
        <v>0</v>
      </c>
      <c r="Y341" s="3" t="n">
        <f aca="false">SUM(S341:T341)</f>
        <v>1</v>
      </c>
      <c r="Z341" s="3" t="n">
        <f aca="false">SUM(U341:W341)</f>
        <v>0</v>
      </c>
      <c r="AA341" s="3" t="n">
        <f aca="false">SUM(S341:X341)</f>
        <v>1</v>
      </c>
      <c r="AB341" s="11" t="n">
        <f aca="false">(AA341/(K341*L341)*25)*4</f>
        <v>4</v>
      </c>
    </row>
    <row r="342" customFormat="false" ht="14.25" hidden="false" customHeight="false" outlineLevel="0" collapsed="false">
      <c r="A342" s="1" t="n">
        <v>2009</v>
      </c>
      <c r="B342" s="7" t="s">
        <v>322</v>
      </c>
      <c r="C342" s="7" t="n">
        <v>3</v>
      </c>
      <c r="D342" s="7" t="s">
        <v>294</v>
      </c>
      <c r="E342" s="7" t="s">
        <v>294</v>
      </c>
      <c r="F342" s="7" t="s">
        <v>158</v>
      </c>
      <c r="G342" s="1" t="n">
        <v>2</v>
      </c>
      <c r="H342" s="1" t="n">
        <v>8</v>
      </c>
      <c r="I342" s="10" t="n">
        <v>40052</v>
      </c>
      <c r="J342" s="10" t="n">
        <v>40057</v>
      </c>
      <c r="K342" s="1" t="n">
        <v>5</v>
      </c>
      <c r="L342" s="1" t="n">
        <v>5</v>
      </c>
      <c r="M342" s="3" t="s">
        <v>32</v>
      </c>
      <c r="N342" s="3" t="s">
        <v>33</v>
      </c>
      <c r="O342" s="8" t="s">
        <v>81</v>
      </c>
      <c r="P342" s="2" t="str">
        <f aca="false">CONCATENATE(N342," ",O342)</f>
        <v>Tenuiphantes mengei</v>
      </c>
      <c r="Q342" s="1" t="s">
        <v>30</v>
      </c>
      <c r="R342" s="1" t="s">
        <v>35</v>
      </c>
      <c r="S342" s="1" t="n">
        <v>0</v>
      </c>
      <c r="T342" s="1" t="n">
        <v>1</v>
      </c>
      <c r="U342" s="1" t="n">
        <v>0</v>
      </c>
      <c r="V342" s="1" t="n">
        <v>0</v>
      </c>
      <c r="W342" s="1" t="n">
        <v>0</v>
      </c>
      <c r="X342" s="1" t="n">
        <v>0</v>
      </c>
      <c r="Y342" s="3" t="n">
        <f aca="false">SUM(S342:T342)</f>
        <v>1</v>
      </c>
      <c r="Z342" s="3" t="n">
        <f aca="false">SUM(U342:W342)</f>
        <v>0</v>
      </c>
      <c r="AA342" s="3" t="n">
        <f aca="false">SUM(S342:X342)</f>
        <v>1</v>
      </c>
      <c r="AB342" s="11" t="n">
        <f aca="false">(AA342/(K342*L342)*25)*4</f>
        <v>4</v>
      </c>
    </row>
    <row r="343" customFormat="false" ht="14.25" hidden="false" customHeight="false" outlineLevel="0" collapsed="false">
      <c r="A343" s="1" t="n">
        <v>2009</v>
      </c>
      <c r="B343" s="7" t="s">
        <v>322</v>
      </c>
      <c r="C343" s="7" t="n">
        <v>3</v>
      </c>
      <c r="D343" s="7" t="s">
        <v>294</v>
      </c>
      <c r="E343" s="7" t="s">
        <v>294</v>
      </c>
      <c r="F343" s="7" t="s">
        <v>158</v>
      </c>
      <c r="G343" s="1" t="n">
        <v>2</v>
      </c>
      <c r="H343" s="1" t="n">
        <v>8</v>
      </c>
      <c r="I343" s="10" t="n">
        <v>40052</v>
      </c>
      <c r="J343" s="10" t="n">
        <v>40057</v>
      </c>
      <c r="K343" s="1" t="n">
        <v>5</v>
      </c>
      <c r="L343" s="1" t="n">
        <v>5</v>
      </c>
      <c r="M343" s="3" t="s">
        <v>32</v>
      </c>
      <c r="N343" s="3" t="s">
        <v>39</v>
      </c>
      <c r="O343" s="8" t="s">
        <v>40</v>
      </c>
      <c r="P343" s="2" t="str">
        <f aca="false">CONCATENATE(N343," ",O343)</f>
        <v>Helophora insignis</v>
      </c>
      <c r="Q343" s="1" t="s">
        <v>30</v>
      </c>
      <c r="R343" s="1" t="s">
        <v>31</v>
      </c>
      <c r="S343" s="1" t="n">
        <v>1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3" t="n">
        <f aca="false">SUM(S343:T343)</f>
        <v>1</v>
      </c>
      <c r="Z343" s="3" t="n">
        <f aca="false">SUM(U343:W343)</f>
        <v>0</v>
      </c>
      <c r="AA343" s="3" t="n">
        <f aca="false">SUM(S343:X343)</f>
        <v>1</v>
      </c>
      <c r="AB343" s="11" t="n">
        <f aca="false">(AA343/(K343*L343)*25)*4</f>
        <v>4</v>
      </c>
    </row>
    <row r="344" customFormat="false" ht="14.25" hidden="false" customHeight="false" outlineLevel="0" collapsed="false">
      <c r="A344" s="1" t="n">
        <v>2009</v>
      </c>
      <c r="B344" s="7" t="s">
        <v>322</v>
      </c>
      <c r="C344" s="7" t="n">
        <v>3</v>
      </c>
      <c r="D344" s="7" t="s">
        <v>294</v>
      </c>
      <c r="E344" s="7" t="s">
        <v>294</v>
      </c>
      <c r="F344" s="7" t="s">
        <v>158</v>
      </c>
      <c r="G344" s="1" t="n">
        <v>3</v>
      </c>
      <c r="H344" s="1" t="n">
        <v>12</v>
      </c>
      <c r="I344" s="10" t="n">
        <v>40052</v>
      </c>
      <c r="J344" s="10" t="n">
        <v>40057</v>
      </c>
      <c r="K344" s="1" t="n">
        <v>5</v>
      </c>
      <c r="L344" s="1" t="n">
        <v>5</v>
      </c>
      <c r="M344" s="13" t="s">
        <v>32</v>
      </c>
      <c r="N344" s="13" t="s">
        <v>84</v>
      </c>
      <c r="O344" s="14" t="s">
        <v>181</v>
      </c>
      <c r="P344" s="2" t="str">
        <f aca="false">CONCATENATE(N344," ",O344)</f>
        <v>Walckenaeria cucullata</v>
      </c>
      <c r="Q344" s="1" t="s">
        <v>30</v>
      </c>
      <c r="R344" s="1" t="s">
        <v>35</v>
      </c>
      <c r="S344" s="1" t="n">
        <v>0</v>
      </c>
      <c r="T344" s="1" t="n">
        <v>1</v>
      </c>
      <c r="U344" s="1" t="n">
        <v>0</v>
      </c>
      <c r="V344" s="1" t="n">
        <v>0</v>
      </c>
      <c r="W344" s="1" t="n">
        <v>0</v>
      </c>
      <c r="X344" s="1" t="n">
        <v>0</v>
      </c>
      <c r="Y344" s="3" t="n">
        <f aca="false">SUM(S344:T344)</f>
        <v>1</v>
      </c>
      <c r="Z344" s="3" t="n">
        <f aca="false">SUM(U344:W344)</f>
        <v>0</v>
      </c>
      <c r="AA344" s="3" t="n">
        <f aca="false">SUM(S344:X344)</f>
        <v>1</v>
      </c>
      <c r="AB344" s="11" t="n">
        <f aca="false">(AA344/(K344*L344)*25)*4</f>
        <v>4</v>
      </c>
    </row>
    <row r="345" customFormat="false" ht="14.25" hidden="false" customHeight="false" outlineLevel="0" collapsed="false">
      <c r="A345" s="1" t="n">
        <v>2009</v>
      </c>
      <c r="B345" s="7" t="s">
        <v>322</v>
      </c>
      <c r="C345" s="7" t="n">
        <v>2</v>
      </c>
      <c r="D345" s="7" t="s">
        <v>293</v>
      </c>
      <c r="E345" s="7" t="s">
        <v>293</v>
      </c>
      <c r="F345" s="7" t="s">
        <v>26</v>
      </c>
      <c r="G345" s="1" t="n">
        <v>2</v>
      </c>
      <c r="H345" s="1" t="n">
        <v>7</v>
      </c>
      <c r="I345" s="10" t="n">
        <v>39970</v>
      </c>
      <c r="J345" s="10" t="n">
        <v>39975</v>
      </c>
      <c r="K345" s="1" t="n">
        <v>5</v>
      </c>
      <c r="L345" s="1" t="n">
        <v>5</v>
      </c>
      <c r="M345" s="3" t="s">
        <v>32</v>
      </c>
      <c r="N345" s="3" t="s">
        <v>33</v>
      </c>
      <c r="O345" s="12" t="s">
        <v>60</v>
      </c>
      <c r="P345" s="2" t="str">
        <f aca="false">CONCATENATE(N345," ",O345)</f>
        <v>Tenuiphantes tenebricola</v>
      </c>
      <c r="Q345" s="1" t="s">
        <v>30</v>
      </c>
      <c r="R345" s="1" t="s">
        <v>31</v>
      </c>
      <c r="S345" s="1" t="n">
        <v>2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3" t="n">
        <f aca="false">SUM(S345:T345)</f>
        <v>2</v>
      </c>
      <c r="Z345" s="3" t="n">
        <f aca="false">SUM(U345:W345)</f>
        <v>0</v>
      </c>
      <c r="AA345" s="3" t="n">
        <f aca="false">SUM(S345:X345)</f>
        <v>2</v>
      </c>
      <c r="AB345" s="11" t="n">
        <f aca="false">(AA345/(K345*L345)*25)*4</f>
        <v>8</v>
      </c>
    </row>
    <row r="346" customFormat="false" ht="14.25" hidden="false" customHeight="false" outlineLevel="0" collapsed="false">
      <c r="A346" s="1" t="n">
        <v>2009</v>
      </c>
      <c r="B346" s="7" t="s">
        <v>322</v>
      </c>
      <c r="C346" s="7" t="n">
        <v>2</v>
      </c>
      <c r="D346" s="7" t="s">
        <v>293</v>
      </c>
      <c r="E346" s="7" t="s">
        <v>293</v>
      </c>
      <c r="F346" s="7" t="s">
        <v>26</v>
      </c>
      <c r="G346" s="1" t="n">
        <v>2</v>
      </c>
      <c r="H346" s="1" t="n">
        <v>7</v>
      </c>
      <c r="I346" s="10" t="n">
        <v>39970</v>
      </c>
      <c r="J346" s="10" t="n">
        <v>39975</v>
      </c>
      <c r="K346" s="1" t="n">
        <v>5</v>
      </c>
      <c r="L346" s="1" t="n">
        <v>5</v>
      </c>
      <c r="M346" s="3" t="s">
        <v>32</v>
      </c>
      <c r="N346" s="3" t="s">
        <v>154</v>
      </c>
      <c r="O346" s="3" t="s">
        <v>155</v>
      </c>
      <c r="P346" s="2" t="str">
        <f aca="false">CONCATENATE(N346," ",O346)</f>
        <v>Pocadicnemis pumila</v>
      </c>
      <c r="Q346" s="1" t="s">
        <v>30</v>
      </c>
      <c r="R346" s="1" t="s">
        <v>35</v>
      </c>
      <c r="S346" s="1" t="n">
        <v>0</v>
      </c>
      <c r="T346" s="1" t="n">
        <v>1</v>
      </c>
      <c r="U346" s="1" t="n">
        <v>0</v>
      </c>
      <c r="V346" s="1" t="n">
        <v>0</v>
      </c>
      <c r="W346" s="1" t="n">
        <v>0</v>
      </c>
      <c r="X346" s="1" t="n">
        <v>0</v>
      </c>
      <c r="Y346" s="3" t="n">
        <f aca="false">SUM(S346:T346)</f>
        <v>1</v>
      </c>
      <c r="Z346" s="3" t="n">
        <f aca="false">SUM(U346:W346)</f>
        <v>0</v>
      </c>
      <c r="AA346" s="3" t="n">
        <f aca="false">SUM(S346:X346)</f>
        <v>1</v>
      </c>
      <c r="AB346" s="11" t="n">
        <f aca="false">(AA346/(K346*L346)*25)*4</f>
        <v>4</v>
      </c>
    </row>
    <row r="347" customFormat="false" ht="14.25" hidden="false" customHeight="false" outlineLevel="0" collapsed="false">
      <c r="A347" s="1" t="n">
        <v>2009</v>
      </c>
      <c r="B347" s="7" t="s">
        <v>322</v>
      </c>
      <c r="C347" s="7" t="n">
        <v>2</v>
      </c>
      <c r="D347" s="7" t="s">
        <v>293</v>
      </c>
      <c r="E347" s="7" t="s">
        <v>293</v>
      </c>
      <c r="F347" s="7" t="s">
        <v>26</v>
      </c>
      <c r="G347" s="1" t="n">
        <v>2</v>
      </c>
      <c r="H347" s="1" t="n">
        <v>7</v>
      </c>
      <c r="I347" s="10" t="n">
        <v>39970</v>
      </c>
      <c r="J347" s="10" t="n">
        <v>39975</v>
      </c>
      <c r="K347" s="1" t="n">
        <v>5</v>
      </c>
      <c r="L347" s="1" t="n">
        <v>5</v>
      </c>
      <c r="M347" s="3" t="s">
        <v>32</v>
      </c>
      <c r="N347" s="3" t="s">
        <v>102</v>
      </c>
      <c r="O347" s="12" t="s">
        <v>182</v>
      </c>
      <c r="P347" s="2" t="str">
        <f aca="false">CONCATENATE(N347," ",O347)</f>
        <v>Agyneta ramosa</v>
      </c>
      <c r="Q347" s="1" t="s">
        <v>30</v>
      </c>
      <c r="R347" s="1" t="s">
        <v>31</v>
      </c>
      <c r="S347" s="1" t="n">
        <v>2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0</v>
      </c>
      <c r="Y347" s="3" t="n">
        <f aca="false">SUM(S347:T347)</f>
        <v>2</v>
      </c>
      <c r="Z347" s="3" t="n">
        <f aca="false">SUM(U347:W347)</f>
        <v>0</v>
      </c>
      <c r="AA347" s="3" t="n">
        <f aca="false">SUM(S347:X347)</f>
        <v>2</v>
      </c>
      <c r="AB347" s="11" t="n">
        <f aca="false">(AA347/(K347*L347)*25)*4</f>
        <v>8</v>
      </c>
    </row>
    <row r="348" customFormat="false" ht="14.25" hidden="false" customHeight="false" outlineLevel="0" collapsed="false">
      <c r="A348" s="1" t="n">
        <v>2009</v>
      </c>
      <c r="B348" s="7" t="s">
        <v>322</v>
      </c>
      <c r="C348" s="7" t="n">
        <v>2</v>
      </c>
      <c r="D348" s="7" t="s">
        <v>293</v>
      </c>
      <c r="E348" s="7" t="s">
        <v>293</v>
      </c>
      <c r="F348" s="7" t="s">
        <v>26</v>
      </c>
      <c r="G348" s="1" t="n">
        <v>2</v>
      </c>
      <c r="H348" s="1" t="n">
        <v>7</v>
      </c>
      <c r="I348" s="10" t="n">
        <v>39970</v>
      </c>
      <c r="J348" s="10" t="n">
        <v>39975</v>
      </c>
      <c r="K348" s="1" t="n">
        <v>5</v>
      </c>
      <c r="L348" s="1" t="n">
        <v>5</v>
      </c>
      <c r="M348" s="3" t="s">
        <v>32</v>
      </c>
      <c r="N348" s="3" t="s">
        <v>55</v>
      </c>
      <c r="O348" s="3" t="s">
        <v>56</v>
      </c>
      <c r="P348" s="2" t="str">
        <f aca="false">CONCATENATE(N348," ",O348)</f>
        <v>Maro minutus</v>
      </c>
      <c r="Q348" s="1" t="s">
        <v>30</v>
      </c>
      <c r="R348" s="1" t="s">
        <v>31</v>
      </c>
      <c r="S348" s="1" t="n">
        <v>2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0</v>
      </c>
      <c r="Y348" s="3" t="n">
        <f aca="false">SUM(S348:T348)</f>
        <v>2</v>
      </c>
      <c r="Z348" s="3" t="n">
        <f aca="false">SUM(U348:W348)</f>
        <v>0</v>
      </c>
      <c r="AA348" s="3" t="n">
        <f aca="false">SUM(S348:X348)</f>
        <v>2</v>
      </c>
      <c r="AB348" s="11" t="n">
        <f aca="false">(AA348/(K348*L348)*25)*4</f>
        <v>8</v>
      </c>
    </row>
    <row r="349" customFormat="false" ht="14.25" hidden="false" customHeight="false" outlineLevel="0" collapsed="false">
      <c r="A349" s="1" t="n">
        <v>2009</v>
      </c>
      <c r="B349" s="7" t="s">
        <v>322</v>
      </c>
      <c r="C349" s="7" t="n">
        <v>2</v>
      </c>
      <c r="D349" s="7" t="s">
        <v>293</v>
      </c>
      <c r="E349" s="7" t="s">
        <v>293</v>
      </c>
      <c r="F349" s="7" t="s">
        <v>26</v>
      </c>
      <c r="G349" s="1" t="n">
        <v>3</v>
      </c>
      <c r="H349" s="1" t="n">
        <v>11</v>
      </c>
      <c r="I349" s="10" t="n">
        <v>39970</v>
      </c>
      <c r="J349" s="10" t="n">
        <v>39975</v>
      </c>
      <c r="K349" s="1" t="n">
        <v>5</v>
      </c>
      <c r="L349" s="1" t="n">
        <v>5</v>
      </c>
      <c r="M349" s="3" t="s">
        <v>32</v>
      </c>
      <c r="N349" s="3" t="s">
        <v>102</v>
      </c>
      <c r="O349" s="12" t="s">
        <v>182</v>
      </c>
      <c r="P349" s="2" t="str">
        <f aca="false">CONCATENATE(N349," ",O349)</f>
        <v>Agyneta ramosa</v>
      </c>
      <c r="Q349" s="1" t="s">
        <v>30</v>
      </c>
      <c r="R349" s="1" t="s">
        <v>31</v>
      </c>
      <c r="S349" s="1" t="n">
        <v>2</v>
      </c>
      <c r="T349" s="1" t="n">
        <v>0</v>
      </c>
      <c r="U349" s="1" t="n">
        <v>0</v>
      </c>
      <c r="V349" s="1" t="n">
        <v>0</v>
      </c>
      <c r="W349" s="1" t="n">
        <v>0</v>
      </c>
      <c r="X349" s="1" t="n">
        <v>0</v>
      </c>
      <c r="Y349" s="3" t="n">
        <f aca="false">SUM(S349:T349)</f>
        <v>2</v>
      </c>
      <c r="Z349" s="3" t="n">
        <f aca="false">SUM(U349:W349)</f>
        <v>0</v>
      </c>
      <c r="AA349" s="3" t="n">
        <f aca="false">SUM(S349:X349)</f>
        <v>2</v>
      </c>
      <c r="AB349" s="11" t="n">
        <f aca="false">(AA349/(K349*L349)*25)*4</f>
        <v>8</v>
      </c>
    </row>
    <row r="350" customFormat="false" ht="14.25" hidden="false" customHeight="false" outlineLevel="0" collapsed="false">
      <c r="A350" s="1" t="n">
        <v>2009</v>
      </c>
      <c r="B350" s="7" t="s">
        <v>322</v>
      </c>
      <c r="C350" s="7" t="n">
        <v>2</v>
      </c>
      <c r="D350" s="7" t="s">
        <v>293</v>
      </c>
      <c r="E350" s="7" t="s">
        <v>293</v>
      </c>
      <c r="F350" s="7" t="s">
        <v>26</v>
      </c>
      <c r="G350" s="1" t="n">
        <v>3</v>
      </c>
      <c r="H350" s="1" t="n">
        <v>11</v>
      </c>
      <c r="I350" s="10" t="n">
        <v>39970</v>
      </c>
      <c r="J350" s="10" t="n">
        <v>39975</v>
      </c>
      <c r="K350" s="1" t="n">
        <v>5</v>
      </c>
      <c r="L350" s="1" t="n">
        <v>5</v>
      </c>
      <c r="M350" s="3" t="s">
        <v>32</v>
      </c>
      <c r="N350" s="3" t="s">
        <v>33</v>
      </c>
      <c r="O350" s="12" t="s">
        <v>60</v>
      </c>
      <c r="P350" s="2" t="str">
        <f aca="false">CONCATENATE(N350," ",O350)</f>
        <v>Tenuiphantes tenebricola</v>
      </c>
      <c r="Q350" s="1" t="s">
        <v>30</v>
      </c>
      <c r="R350" s="1" t="s">
        <v>31</v>
      </c>
      <c r="S350" s="1" t="n">
        <v>1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0</v>
      </c>
      <c r="Y350" s="3" t="n">
        <f aca="false">SUM(S350:T350)</f>
        <v>1</v>
      </c>
      <c r="Z350" s="3" t="n">
        <f aca="false">SUM(U350:W350)</f>
        <v>0</v>
      </c>
      <c r="AA350" s="3" t="n">
        <f aca="false">SUM(S350:X350)</f>
        <v>1</v>
      </c>
      <c r="AB350" s="11" t="n">
        <f aca="false">(AA350/(K350*L350)*25)*4</f>
        <v>4</v>
      </c>
    </row>
    <row r="351" customFormat="false" ht="14.25" hidden="false" customHeight="false" outlineLevel="0" collapsed="false">
      <c r="A351" s="1" t="n">
        <v>2009</v>
      </c>
      <c r="B351" s="7" t="s">
        <v>322</v>
      </c>
      <c r="C351" s="7" t="n">
        <v>2</v>
      </c>
      <c r="D351" s="7" t="s">
        <v>293</v>
      </c>
      <c r="E351" s="7" t="s">
        <v>293</v>
      </c>
      <c r="F351" s="7" t="s">
        <v>26</v>
      </c>
      <c r="G351" s="1" t="n">
        <v>1</v>
      </c>
      <c r="H351" s="1" t="n">
        <v>4</v>
      </c>
      <c r="I351" s="10" t="n">
        <v>39970</v>
      </c>
      <c r="J351" s="10" t="n">
        <v>39975</v>
      </c>
      <c r="K351" s="1" t="n">
        <v>5</v>
      </c>
      <c r="L351" s="1" t="n">
        <v>4</v>
      </c>
      <c r="M351" s="3" t="s">
        <v>32</v>
      </c>
      <c r="N351" s="3" t="s">
        <v>102</v>
      </c>
      <c r="O351" s="12" t="s">
        <v>182</v>
      </c>
      <c r="P351" s="2" t="str">
        <f aca="false">CONCATENATE(N351," ",O351)</f>
        <v>Agyneta ramosa</v>
      </c>
      <c r="Q351" s="1" t="s">
        <v>30</v>
      </c>
      <c r="R351" s="1" t="s">
        <v>31</v>
      </c>
      <c r="S351" s="1" t="n">
        <v>2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0</v>
      </c>
      <c r="Y351" s="3" t="n">
        <f aca="false">SUM(S351:T351)</f>
        <v>2</v>
      </c>
      <c r="Z351" s="3" t="n">
        <f aca="false">SUM(U351:W351)</f>
        <v>0</v>
      </c>
      <c r="AA351" s="3" t="n">
        <f aca="false">SUM(S351:X351)</f>
        <v>2</v>
      </c>
      <c r="AB351" s="11" t="n">
        <f aca="false">(AA351/(K351*L351)*25)*4</f>
        <v>10</v>
      </c>
    </row>
    <row r="352" customFormat="false" ht="14.25" hidden="false" customHeight="false" outlineLevel="0" collapsed="false">
      <c r="A352" s="1" t="n">
        <v>2009</v>
      </c>
      <c r="B352" s="7" t="s">
        <v>322</v>
      </c>
      <c r="C352" s="7" t="n">
        <v>2</v>
      </c>
      <c r="D352" s="7" t="s">
        <v>293</v>
      </c>
      <c r="E352" s="7" t="s">
        <v>293</v>
      </c>
      <c r="F352" s="7" t="s">
        <v>26</v>
      </c>
      <c r="G352" s="1" t="n">
        <v>3</v>
      </c>
      <c r="H352" s="1" t="n">
        <v>15</v>
      </c>
      <c r="I352" s="10" t="n">
        <v>39970</v>
      </c>
      <c r="J352" s="10" t="n">
        <v>39975</v>
      </c>
      <c r="K352" s="1" t="n">
        <v>5</v>
      </c>
      <c r="L352" s="1" t="n">
        <v>5</v>
      </c>
      <c r="M352" s="3" t="s">
        <v>32</v>
      </c>
      <c r="N352" s="3" t="s">
        <v>68</v>
      </c>
      <c r="O352" s="12" t="s">
        <v>183</v>
      </c>
      <c r="P352" s="2" t="str">
        <f aca="false">CONCATENATE(N352," ",O352)</f>
        <v>Centromerus clarus</v>
      </c>
      <c r="Q352" s="1" t="s">
        <v>30</v>
      </c>
      <c r="R352" s="1" t="s">
        <v>35</v>
      </c>
      <c r="S352" s="1" t="n">
        <v>0</v>
      </c>
      <c r="T352" s="1" t="n">
        <v>1</v>
      </c>
      <c r="U352" s="1" t="n">
        <v>0</v>
      </c>
      <c r="V352" s="1" t="n">
        <v>0</v>
      </c>
      <c r="W352" s="1" t="n">
        <v>0</v>
      </c>
      <c r="X352" s="1" t="n">
        <v>0</v>
      </c>
      <c r="Y352" s="3" t="n">
        <f aca="false">SUM(S352:T352)</f>
        <v>1</v>
      </c>
      <c r="Z352" s="3" t="n">
        <f aca="false">SUM(U352:W352)</f>
        <v>0</v>
      </c>
      <c r="AA352" s="3" t="n">
        <f aca="false">SUM(S352:X352)</f>
        <v>1</v>
      </c>
      <c r="AB352" s="11" t="n">
        <f aca="false">(AA352/(K352*L352)*25)*4</f>
        <v>4</v>
      </c>
    </row>
    <row r="353" customFormat="false" ht="14.25" hidden="false" customHeight="false" outlineLevel="0" collapsed="false">
      <c r="A353" s="1" t="n">
        <v>2009</v>
      </c>
      <c r="B353" s="7" t="s">
        <v>322</v>
      </c>
      <c r="C353" s="7" t="n">
        <v>2</v>
      </c>
      <c r="D353" s="7" t="s">
        <v>293</v>
      </c>
      <c r="E353" s="7" t="s">
        <v>293</v>
      </c>
      <c r="F353" s="7" t="s">
        <v>26</v>
      </c>
      <c r="G353" s="1" t="n">
        <v>1</v>
      </c>
      <c r="H353" s="1" t="n">
        <v>5</v>
      </c>
      <c r="I353" s="10" t="n">
        <v>39970</v>
      </c>
      <c r="J353" s="10" t="n">
        <v>39975</v>
      </c>
      <c r="K353" s="1" t="n">
        <v>5</v>
      </c>
      <c r="L353" s="1" t="n">
        <v>4</v>
      </c>
      <c r="M353" s="3" t="s">
        <v>32</v>
      </c>
      <c r="N353" s="3" t="s">
        <v>102</v>
      </c>
      <c r="O353" s="12" t="s">
        <v>184</v>
      </c>
      <c r="P353" s="2" t="str">
        <f aca="false">CONCATENATE(N353," ",O353)</f>
        <v>Agyneta conigera</v>
      </c>
      <c r="Q353" s="1" t="s">
        <v>30</v>
      </c>
      <c r="R353" s="1" t="s">
        <v>31</v>
      </c>
      <c r="S353" s="1" t="n">
        <v>1</v>
      </c>
      <c r="T353" s="1" t="n">
        <v>0</v>
      </c>
      <c r="U353" s="1" t="n">
        <v>0</v>
      </c>
      <c r="V353" s="1" t="n">
        <v>0</v>
      </c>
      <c r="W353" s="1" t="n">
        <v>0</v>
      </c>
      <c r="X353" s="1" t="n">
        <v>0</v>
      </c>
      <c r="Y353" s="3" t="n">
        <f aca="false">SUM(S353:T353)</f>
        <v>1</v>
      </c>
      <c r="Z353" s="3" t="n">
        <f aca="false">SUM(U353:W353)</f>
        <v>0</v>
      </c>
      <c r="AA353" s="3" t="n">
        <f aca="false">SUM(S353:X353)</f>
        <v>1</v>
      </c>
      <c r="AB353" s="11" t="n">
        <f aca="false">(AA353/(K353*L353)*25)*4</f>
        <v>5</v>
      </c>
    </row>
    <row r="354" customFormat="false" ht="14.25" hidden="false" customHeight="false" outlineLevel="0" collapsed="false">
      <c r="A354" s="17" t="n">
        <v>2009</v>
      </c>
      <c r="B354" s="7" t="s">
        <v>322</v>
      </c>
      <c r="C354" s="44" t="n">
        <v>2</v>
      </c>
      <c r="D354" s="7" t="s">
        <v>293</v>
      </c>
      <c r="E354" s="7" t="s">
        <v>293</v>
      </c>
      <c r="F354" s="7" t="s">
        <v>26</v>
      </c>
      <c r="G354" s="1" t="n">
        <v>2</v>
      </c>
      <c r="H354" s="1" t="n">
        <v>8</v>
      </c>
      <c r="I354" s="20" t="n">
        <v>39970</v>
      </c>
      <c r="J354" s="20" t="n">
        <v>39975</v>
      </c>
      <c r="K354" s="17" t="n">
        <v>5</v>
      </c>
      <c r="L354" s="1" t="n">
        <v>5</v>
      </c>
      <c r="M354" s="18" t="s">
        <v>32</v>
      </c>
      <c r="N354" s="18" t="s">
        <v>33</v>
      </c>
      <c r="O354" s="19" t="s">
        <v>337</v>
      </c>
      <c r="P354" s="2" t="str">
        <f aca="false">CONCATENATE(N354," ",O354)</f>
        <v>Tenuiphantes sp 75</v>
      </c>
      <c r="Q354" s="1" t="s">
        <v>30</v>
      </c>
      <c r="R354" s="1" t="s">
        <v>31</v>
      </c>
      <c r="S354" s="17" t="n">
        <v>1</v>
      </c>
      <c r="T354" s="17" t="n">
        <v>0</v>
      </c>
      <c r="U354" s="1" t="n">
        <v>0</v>
      </c>
      <c r="V354" s="1" t="n">
        <v>0</v>
      </c>
      <c r="W354" s="17" t="n">
        <v>0</v>
      </c>
      <c r="X354" s="1" t="n">
        <v>0</v>
      </c>
      <c r="Y354" s="3" t="n">
        <f aca="false">SUM(S354:T354)</f>
        <v>1</v>
      </c>
      <c r="Z354" s="3" t="n">
        <f aca="false">SUM(U354:W354)</f>
        <v>0</v>
      </c>
      <c r="AA354" s="3" t="n">
        <f aca="false">SUM(S354:X354)</f>
        <v>1</v>
      </c>
      <c r="AB354" s="11" t="n">
        <f aca="false">(AA354/(K354*L354)*25)*4</f>
        <v>4</v>
      </c>
    </row>
    <row r="355" customFormat="false" ht="14.25" hidden="false" customHeight="false" outlineLevel="0" collapsed="false">
      <c r="A355" s="1" t="n">
        <v>2009</v>
      </c>
      <c r="B355" s="7" t="s">
        <v>322</v>
      </c>
      <c r="C355" s="7" t="n">
        <v>2</v>
      </c>
      <c r="D355" s="7" t="s">
        <v>293</v>
      </c>
      <c r="E355" s="7" t="s">
        <v>293</v>
      </c>
      <c r="F355" s="7" t="s">
        <v>26</v>
      </c>
      <c r="G355" s="1" t="n">
        <v>2</v>
      </c>
      <c r="H355" s="1" t="n">
        <v>8</v>
      </c>
      <c r="I355" s="10" t="n">
        <v>39970</v>
      </c>
      <c r="J355" s="10" t="n">
        <v>39975</v>
      </c>
      <c r="K355" s="1" t="n">
        <v>5</v>
      </c>
      <c r="L355" s="1" t="n">
        <v>5</v>
      </c>
      <c r="M355" s="3" t="s">
        <v>32</v>
      </c>
      <c r="N355" s="3" t="s">
        <v>68</v>
      </c>
      <c r="O355" s="12" t="s">
        <v>183</v>
      </c>
      <c r="P355" s="2" t="str">
        <f aca="false">CONCATENATE(N355," ",O355)</f>
        <v>Centromerus clarus</v>
      </c>
      <c r="Q355" s="1" t="s">
        <v>30</v>
      </c>
      <c r="R355" s="1" t="s">
        <v>35</v>
      </c>
      <c r="S355" s="1" t="n">
        <v>0</v>
      </c>
      <c r="T355" s="1" t="n">
        <v>1</v>
      </c>
      <c r="U355" s="1" t="n">
        <v>0</v>
      </c>
      <c r="V355" s="1" t="n">
        <v>0</v>
      </c>
      <c r="W355" s="1" t="n">
        <v>0</v>
      </c>
      <c r="X355" s="1" t="n">
        <v>0</v>
      </c>
      <c r="Y355" s="3" t="n">
        <f aca="false">SUM(S355:T355)</f>
        <v>1</v>
      </c>
      <c r="Z355" s="3" t="n">
        <f aca="false">SUM(U355:W355)</f>
        <v>0</v>
      </c>
      <c r="AA355" s="3" t="n">
        <f aca="false">SUM(S355:X355)</f>
        <v>1</v>
      </c>
      <c r="AB355" s="11" t="n">
        <f aca="false">(AA355/(K355*L355)*25)*4</f>
        <v>4</v>
      </c>
    </row>
    <row r="356" customFormat="false" ht="14.25" hidden="false" customHeight="false" outlineLevel="0" collapsed="false">
      <c r="A356" s="17" t="n">
        <v>2009</v>
      </c>
      <c r="B356" s="7" t="s">
        <v>322</v>
      </c>
      <c r="C356" s="44" t="n">
        <v>2</v>
      </c>
      <c r="D356" s="7" t="s">
        <v>293</v>
      </c>
      <c r="E356" s="7" t="s">
        <v>293</v>
      </c>
      <c r="F356" s="7" t="s">
        <v>26</v>
      </c>
      <c r="G356" s="1" t="n">
        <v>2</v>
      </c>
      <c r="H356" s="1" t="n">
        <v>9</v>
      </c>
      <c r="I356" s="20" t="n">
        <v>39970</v>
      </c>
      <c r="J356" s="20" t="n">
        <v>39975</v>
      </c>
      <c r="K356" s="17" t="n">
        <v>5</v>
      </c>
      <c r="L356" s="1" t="n">
        <v>5</v>
      </c>
      <c r="M356" s="18" t="s">
        <v>32</v>
      </c>
      <c r="N356" s="18" t="s">
        <v>102</v>
      </c>
      <c r="O356" s="19" t="s">
        <v>186</v>
      </c>
      <c r="P356" s="2" t="str">
        <f aca="false">CONCATENATE(N356," ",O356)</f>
        <v>Agyneta sp72</v>
      </c>
      <c r="Q356" s="1" t="s">
        <v>30</v>
      </c>
      <c r="R356" s="1" t="s">
        <v>31</v>
      </c>
      <c r="S356" s="17" t="n">
        <v>1</v>
      </c>
      <c r="T356" s="17" t="n">
        <v>0</v>
      </c>
      <c r="U356" s="1" t="n">
        <v>0</v>
      </c>
      <c r="V356" s="1" t="n">
        <v>0</v>
      </c>
      <c r="W356" s="17" t="n">
        <v>0</v>
      </c>
      <c r="X356" s="1" t="n">
        <v>0</v>
      </c>
      <c r="Y356" s="3" t="n">
        <f aca="false">SUM(S356:T356)</f>
        <v>1</v>
      </c>
      <c r="Z356" s="3" t="n">
        <f aca="false">SUM(U356:W356)</f>
        <v>0</v>
      </c>
      <c r="AA356" s="3" t="n">
        <f aca="false">SUM(S356:X356)</f>
        <v>1</v>
      </c>
      <c r="AB356" s="11" t="n">
        <f aca="false">(AA356/(K356*L356)*25)*4</f>
        <v>4</v>
      </c>
    </row>
    <row r="357" customFormat="false" ht="14.25" hidden="false" customHeight="false" outlineLevel="0" collapsed="false">
      <c r="A357" s="1" t="n">
        <v>2009</v>
      </c>
      <c r="B357" s="7" t="s">
        <v>322</v>
      </c>
      <c r="C357" s="7" t="n">
        <v>2</v>
      </c>
      <c r="D357" s="7" t="s">
        <v>293</v>
      </c>
      <c r="E357" s="7" t="s">
        <v>293</v>
      </c>
      <c r="F357" s="7" t="s">
        <v>26</v>
      </c>
      <c r="G357" s="1" t="n">
        <v>2</v>
      </c>
      <c r="H357" s="1" t="n">
        <v>6</v>
      </c>
      <c r="I357" s="10" t="n">
        <v>39970</v>
      </c>
      <c r="J357" s="10" t="n">
        <v>39975</v>
      </c>
      <c r="K357" s="1" t="n">
        <v>5</v>
      </c>
      <c r="L357" s="1" t="n">
        <v>5</v>
      </c>
      <c r="M357" s="3" t="s">
        <v>32</v>
      </c>
      <c r="N357" s="3" t="s">
        <v>107</v>
      </c>
      <c r="O357" s="12" t="s">
        <v>108</v>
      </c>
      <c r="P357" s="2" t="str">
        <f aca="false">CONCATENATE(N357," ",O357)</f>
        <v>Macrargus rufus</v>
      </c>
      <c r="Q357" s="1" t="s">
        <v>30</v>
      </c>
      <c r="R357" s="1" t="s">
        <v>35</v>
      </c>
      <c r="S357" s="1" t="n">
        <v>0</v>
      </c>
      <c r="T357" s="1" t="n">
        <v>1</v>
      </c>
      <c r="U357" s="1" t="n">
        <v>0</v>
      </c>
      <c r="V357" s="1" t="n">
        <v>0</v>
      </c>
      <c r="W357" s="1" t="n">
        <v>0</v>
      </c>
      <c r="X357" s="1" t="n">
        <v>0</v>
      </c>
      <c r="Y357" s="3" t="n">
        <f aca="false">SUM(S357:T357)</f>
        <v>1</v>
      </c>
      <c r="Z357" s="3" t="n">
        <f aca="false">SUM(U357:W357)</f>
        <v>0</v>
      </c>
      <c r="AA357" s="3" t="n">
        <f aca="false">SUM(S357:X357)</f>
        <v>1</v>
      </c>
      <c r="AB357" s="11" t="n">
        <f aca="false">(AA357/(K357*L357)*25)*4</f>
        <v>4</v>
      </c>
    </row>
    <row r="358" customFormat="false" ht="14.25" hidden="false" customHeight="false" outlineLevel="0" collapsed="false">
      <c r="A358" s="1" t="n">
        <v>2009</v>
      </c>
      <c r="B358" s="7" t="s">
        <v>322</v>
      </c>
      <c r="C358" s="7" t="n">
        <v>2</v>
      </c>
      <c r="D358" s="7" t="s">
        <v>293</v>
      </c>
      <c r="E358" s="7" t="s">
        <v>293</v>
      </c>
      <c r="F358" s="7" t="s">
        <v>26</v>
      </c>
      <c r="G358" s="1" t="n">
        <v>2</v>
      </c>
      <c r="H358" s="1" t="n">
        <v>6</v>
      </c>
      <c r="I358" s="10" t="n">
        <v>39970</v>
      </c>
      <c r="J358" s="10" t="n">
        <v>39975</v>
      </c>
      <c r="K358" s="1" t="n">
        <v>5</v>
      </c>
      <c r="L358" s="1" t="n">
        <v>5</v>
      </c>
      <c r="M358" s="3" t="s">
        <v>32</v>
      </c>
      <c r="N358" s="3" t="s">
        <v>102</v>
      </c>
      <c r="O358" s="8" t="s">
        <v>103</v>
      </c>
      <c r="P358" s="2" t="str">
        <f aca="false">CONCATENATE(N358," ",O358)</f>
        <v>Agyneta olivacea</v>
      </c>
      <c r="Q358" s="1" t="s">
        <v>30</v>
      </c>
      <c r="R358" s="1" t="s">
        <v>31</v>
      </c>
      <c r="S358" s="1" t="n">
        <v>1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3" t="n">
        <f aca="false">SUM(S358:T358)</f>
        <v>1</v>
      </c>
      <c r="Z358" s="3" t="n">
        <f aca="false">SUM(U358:W358)</f>
        <v>0</v>
      </c>
      <c r="AA358" s="3" t="n">
        <f aca="false">SUM(S358:X358)</f>
        <v>1</v>
      </c>
      <c r="AB358" s="11" t="n">
        <f aca="false">(AA358/(K358*L358)*25)*4</f>
        <v>4</v>
      </c>
    </row>
    <row r="359" customFormat="false" ht="14.25" hidden="false" customHeight="false" outlineLevel="0" collapsed="false">
      <c r="A359" s="1" t="n">
        <v>2009</v>
      </c>
      <c r="B359" s="7" t="s">
        <v>322</v>
      </c>
      <c r="C359" s="7" t="n">
        <v>2</v>
      </c>
      <c r="D359" s="7" t="s">
        <v>293</v>
      </c>
      <c r="E359" s="7" t="s">
        <v>293</v>
      </c>
      <c r="F359" s="7" t="s">
        <v>26</v>
      </c>
      <c r="G359" s="1" t="n">
        <v>2</v>
      </c>
      <c r="H359" s="1" t="n">
        <v>6</v>
      </c>
      <c r="I359" s="10" t="n">
        <v>39970</v>
      </c>
      <c r="J359" s="10" t="n">
        <v>39975</v>
      </c>
      <c r="K359" s="1" t="n">
        <v>5</v>
      </c>
      <c r="L359" s="1" t="n">
        <v>5</v>
      </c>
      <c r="M359" s="3" t="s">
        <v>32</v>
      </c>
      <c r="N359" s="3" t="s">
        <v>102</v>
      </c>
      <c r="O359" s="12" t="s">
        <v>182</v>
      </c>
      <c r="P359" s="2" t="str">
        <f aca="false">CONCATENATE(N359," ",O359)</f>
        <v>Agyneta ramosa</v>
      </c>
      <c r="Q359" s="1" t="s">
        <v>30</v>
      </c>
      <c r="R359" s="1" t="s">
        <v>31</v>
      </c>
      <c r="S359" s="1" t="n">
        <v>1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0</v>
      </c>
      <c r="Y359" s="3" t="n">
        <f aca="false">SUM(S359:T359)</f>
        <v>1</v>
      </c>
      <c r="Z359" s="3" t="n">
        <f aca="false">SUM(U359:W359)</f>
        <v>0</v>
      </c>
      <c r="AA359" s="3" t="n">
        <f aca="false">SUM(S359:X359)</f>
        <v>1</v>
      </c>
      <c r="AB359" s="11" t="n">
        <f aca="false">(AA359/(K359*L359)*25)*4</f>
        <v>4</v>
      </c>
    </row>
    <row r="360" customFormat="false" ht="14.25" hidden="false" customHeight="false" outlineLevel="0" collapsed="false">
      <c r="A360" s="1" t="n">
        <v>2009</v>
      </c>
      <c r="B360" s="7" t="s">
        <v>322</v>
      </c>
      <c r="C360" s="7" t="n">
        <v>2</v>
      </c>
      <c r="D360" s="7" t="s">
        <v>293</v>
      </c>
      <c r="E360" s="7" t="s">
        <v>293</v>
      </c>
      <c r="F360" s="7" t="s">
        <v>26</v>
      </c>
      <c r="G360" s="1" t="n">
        <v>3</v>
      </c>
      <c r="H360" s="1" t="n">
        <v>14</v>
      </c>
      <c r="I360" s="10" t="n">
        <v>39970</v>
      </c>
      <c r="J360" s="10" t="n">
        <v>39975</v>
      </c>
      <c r="K360" s="1" t="n">
        <v>5</v>
      </c>
      <c r="L360" s="1" t="n">
        <v>5</v>
      </c>
      <c r="M360" s="3" t="s">
        <v>32</v>
      </c>
      <c r="N360" s="3" t="s">
        <v>39</v>
      </c>
      <c r="O360" s="12" t="s">
        <v>40</v>
      </c>
      <c r="P360" s="2" t="str">
        <f aca="false">CONCATENATE(N360," ",O360)</f>
        <v>Helophora insignis</v>
      </c>
      <c r="Q360" s="1" t="s">
        <v>30</v>
      </c>
      <c r="R360" s="1" t="s">
        <v>31</v>
      </c>
      <c r="S360" s="1" t="n">
        <v>1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0</v>
      </c>
      <c r="Y360" s="3" t="n">
        <f aca="false">SUM(S360:T360)</f>
        <v>1</v>
      </c>
      <c r="Z360" s="3" t="n">
        <f aca="false">SUM(U360:W360)</f>
        <v>0</v>
      </c>
      <c r="AA360" s="3" t="n">
        <f aca="false">SUM(S360:X360)</f>
        <v>1</v>
      </c>
      <c r="AB360" s="11" t="n">
        <f aca="false">(AA360/(K360*L360)*25)*4</f>
        <v>4</v>
      </c>
    </row>
    <row r="361" customFormat="false" ht="14.25" hidden="false" customHeight="false" outlineLevel="0" collapsed="false">
      <c r="A361" s="1" t="n">
        <v>2009</v>
      </c>
      <c r="B361" s="7" t="s">
        <v>322</v>
      </c>
      <c r="C361" s="7" t="n">
        <v>2</v>
      </c>
      <c r="D361" s="7" t="s">
        <v>293</v>
      </c>
      <c r="E361" s="7" t="s">
        <v>293</v>
      </c>
      <c r="F361" s="7" t="s">
        <v>26</v>
      </c>
      <c r="G361" s="1" t="n">
        <v>3</v>
      </c>
      <c r="H361" s="1" t="n">
        <v>14</v>
      </c>
      <c r="I361" s="10" t="n">
        <v>39970</v>
      </c>
      <c r="J361" s="10" t="n">
        <v>39975</v>
      </c>
      <c r="K361" s="1" t="n">
        <v>5</v>
      </c>
      <c r="L361" s="1" t="n">
        <v>5</v>
      </c>
      <c r="M361" s="3" t="s">
        <v>32</v>
      </c>
      <c r="N361" s="3" t="s">
        <v>102</v>
      </c>
      <c r="O361" s="12" t="s">
        <v>182</v>
      </c>
      <c r="P361" s="2" t="str">
        <f aca="false">CONCATENATE(N361," ",O361)</f>
        <v>Agyneta ramosa</v>
      </c>
      <c r="Q361" s="1" t="s">
        <v>30</v>
      </c>
      <c r="R361" s="1" t="s">
        <v>31</v>
      </c>
      <c r="S361" s="1" t="n">
        <v>1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0</v>
      </c>
      <c r="Y361" s="3" t="n">
        <f aca="false">SUM(S361:T361)</f>
        <v>1</v>
      </c>
      <c r="Z361" s="3" t="n">
        <f aca="false">SUM(U361:W361)</f>
        <v>0</v>
      </c>
      <c r="AA361" s="3" t="n">
        <f aca="false">SUM(S361:X361)</f>
        <v>1</v>
      </c>
      <c r="AB361" s="11" t="n">
        <f aca="false">(AA361/(K361*L361)*25)*4</f>
        <v>4</v>
      </c>
    </row>
    <row r="362" customFormat="false" ht="14.25" hidden="false" customHeight="false" outlineLevel="0" collapsed="false">
      <c r="A362" s="1" t="n">
        <v>2009</v>
      </c>
      <c r="B362" s="7" t="s">
        <v>322</v>
      </c>
      <c r="C362" s="7" t="n">
        <v>2</v>
      </c>
      <c r="D362" s="7" t="s">
        <v>293</v>
      </c>
      <c r="E362" s="7" t="s">
        <v>293</v>
      </c>
      <c r="F362" s="7" t="s">
        <v>26</v>
      </c>
      <c r="G362" s="1" t="n">
        <v>3</v>
      </c>
      <c r="H362" s="1" t="n">
        <v>14</v>
      </c>
      <c r="I362" s="10" t="n">
        <v>39970</v>
      </c>
      <c r="J362" s="10" t="n">
        <v>39975</v>
      </c>
      <c r="K362" s="1" t="n">
        <v>5</v>
      </c>
      <c r="L362" s="1" t="n">
        <v>5</v>
      </c>
      <c r="M362" s="3" t="s">
        <v>32</v>
      </c>
      <c r="N362" s="3" t="s">
        <v>68</v>
      </c>
      <c r="O362" s="12" t="s">
        <v>183</v>
      </c>
      <c r="P362" s="2" t="str">
        <f aca="false">CONCATENATE(N362," ",O362)</f>
        <v>Centromerus clarus</v>
      </c>
      <c r="Q362" s="1" t="s">
        <v>30</v>
      </c>
      <c r="R362" s="1" t="s">
        <v>35</v>
      </c>
      <c r="S362" s="1" t="n">
        <v>0</v>
      </c>
      <c r="T362" s="1" t="n">
        <v>1</v>
      </c>
      <c r="U362" s="1" t="n">
        <v>0</v>
      </c>
      <c r="V362" s="1" t="n">
        <v>0</v>
      </c>
      <c r="W362" s="1" t="n">
        <v>0</v>
      </c>
      <c r="X362" s="1" t="n">
        <v>0</v>
      </c>
      <c r="Y362" s="3" t="n">
        <f aca="false">SUM(S362:T362)</f>
        <v>1</v>
      </c>
      <c r="Z362" s="3" t="n">
        <f aca="false">SUM(U362:W362)</f>
        <v>0</v>
      </c>
      <c r="AA362" s="3" t="n">
        <f aca="false">SUM(S362:X362)</f>
        <v>1</v>
      </c>
      <c r="AB362" s="11" t="n">
        <f aca="false">(AA362/(K362*L362)*25)*4</f>
        <v>4</v>
      </c>
    </row>
    <row r="363" customFormat="false" ht="14.25" hidden="false" customHeight="false" outlineLevel="0" collapsed="false">
      <c r="A363" s="1" t="n">
        <v>2009</v>
      </c>
      <c r="B363" s="7" t="s">
        <v>322</v>
      </c>
      <c r="C363" s="7" t="n">
        <v>2</v>
      </c>
      <c r="D363" s="7" t="s">
        <v>293</v>
      </c>
      <c r="E363" s="7" t="s">
        <v>293</v>
      </c>
      <c r="F363" s="7" t="s">
        <v>26</v>
      </c>
      <c r="G363" s="1" t="n">
        <v>1</v>
      </c>
      <c r="H363" s="1" t="n">
        <v>3</v>
      </c>
      <c r="I363" s="10" t="n">
        <v>39970</v>
      </c>
      <c r="J363" s="10" t="n">
        <v>39975</v>
      </c>
      <c r="K363" s="1" t="n">
        <v>5</v>
      </c>
      <c r="L363" s="1" t="n">
        <v>4</v>
      </c>
      <c r="M363" s="3" t="s">
        <v>32</v>
      </c>
      <c r="N363" s="3" t="s">
        <v>68</v>
      </c>
      <c r="O363" s="12" t="s">
        <v>183</v>
      </c>
      <c r="P363" s="2" t="str">
        <f aca="false">CONCATENATE(N363," ",O363)</f>
        <v>Centromerus clarus</v>
      </c>
      <c r="Q363" s="1" t="s">
        <v>30</v>
      </c>
      <c r="R363" s="1" t="s">
        <v>35</v>
      </c>
      <c r="S363" s="1" t="n">
        <v>0</v>
      </c>
      <c r="T363" s="1" t="n">
        <v>1</v>
      </c>
      <c r="U363" s="1" t="n">
        <v>0</v>
      </c>
      <c r="V363" s="1" t="n">
        <v>0</v>
      </c>
      <c r="W363" s="1" t="n">
        <v>0</v>
      </c>
      <c r="X363" s="1" t="n">
        <v>0</v>
      </c>
      <c r="Y363" s="3" t="n">
        <f aca="false">SUM(S363:T363)</f>
        <v>1</v>
      </c>
      <c r="Z363" s="3" t="n">
        <f aca="false">SUM(U363:W363)</f>
        <v>0</v>
      </c>
      <c r="AA363" s="3" t="n">
        <f aca="false">SUM(S363:X363)</f>
        <v>1</v>
      </c>
      <c r="AB363" s="11" t="n">
        <f aca="false">(AA363/(K363*L363)*25)*4</f>
        <v>5</v>
      </c>
    </row>
    <row r="364" customFormat="false" ht="14.25" hidden="false" customHeight="false" outlineLevel="0" collapsed="false">
      <c r="A364" s="1" t="n">
        <v>2009</v>
      </c>
      <c r="B364" s="7" t="s">
        <v>322</v>
      </c>
      <c r="C364" s="7" t="n">
        <v>2</v>
      </c>
      <c r="D364" s="7" t="s">
        <v>293</v>
      </c>
      <c r="E364" s="7" t="s">
        <v>293</v>
      </c>
      <c r="F364" s="7" t="s">
        <v>26</v>
      </c>
      <c r="G364" s="1" t="n">
        <v>1</v>
      </c>
      <c r="H364" s="1" t="n">
        <v>3</v>
      </c>
      <c r="I364" s="10" t="n">
        <v>39970</v>
      </c>
      <c r="J364" s="10" t="n">
        <v>39975</v>
      </c>
      <c r="K364" s="1" t="n">
        <v>5</v>
      </c>
      <c r="L364" s="1" t="n">
        <v>4</v>
      </c>
      <c r="M364" s="3" t="s">
        <v>32</v>
      </c>
      <c r="N364" s="3" t="s">
        <v>102</v>
      </c>
      <c r="O364" s="12" t="s">
        <v>182</v>
      </c>
      <c r="P364" s="2" t="str">
        <f aca="false">CONCATENATE(N364," ",O364)</f>
        <v>Agyneta ramosa</v>
      </c>
      <c r="Q364" s="1" t="s">
        <v>30</v>
      </c>
      <c r="R364" s="1" t="s">
        <v>31</v>
      </c>
      <c r="S364" s="1" t="n">
        <v>2</v>
      </c>
      <c r="T364" s="1" t="n">
        <v>0</v>
      </c>
      <c r="U364" s="1" t="n">
        <v>0</v>
      </c>
      <c r="V364" s="1" t="n">
        <v>0</v>
      </c>
      <c r="W364" s="1" t="n">
        <v>0</v>
      </c>
      <c r="X364" s="1" t="n">
        <v>0</v>
      </c>
      <c r="Y364" s="3" t="n">
        <f aca="false">SUM(S364:T364)</f>
        <v>2</v>
      </c>
      <c r="Z364" s="3" t="n">
        <f aca="false">SUM(U364:W364)</f>
        <v>0</v>
      </c>
      <c r="AA364" s="3" t="n">
        <f aca="false">SUM(S364:X364)</f>
        <v>2</v>
      </c>
      <c r="AB364" s="11" t="n">
        <f aca="false">(AA364/(K364*L364)*25)*4</f>
        <v>10</v>
      </c>
    </row>
    <row r="365" customFormat="false" ht="14.25" hidden="false" customHeight="false" outlineLevel="0" collapsed="false">
      <c r="A365" s="1" t="n">
        <v>2009</v>
      </c>
      <c r="B365" s="7" t="s">
        <v>322</v>
      </c>
      <c r="C365" s="7" t="n">
        <v>2</v>
      </c>
      <c r="D365" s="7" t="s">
        <v>293</v>
      </c>
      <c r="E365" s="7" t="s">
        <v>293</v>
      </c>
      <c r="F365" s="7" t="s">
        <v>26</v>
      </c>
      <c r="G365" s="1" t="n">
        <v>2</v>
      </c>
      <c r="H365" s="1" t="n">
        <v>10</v>
      </c>
      <c r="I365" s="10" t="n">
        <v>39970</v>
      </c>
      <c r="J365" s="10" t="n">
        <v>39975</v>
      </c>
      <c r="K365" s="1" t="n">
        <v>5</v>
      </c>
      <c r="L365" s="1" t="n">
        <v>5</v>
      </c>
      <c r="M365" s="3" t="s">
        <v>32</v>
      </c>
      <c r="N365" s="3" t="s">
        <v>33</v>
      </c>
      <c r="O365" s="12" t="s">
        <v>60</v>
      </c>
      <c r="P365" s="2" t="str">
        <f aca="false">CONCATENATE(N365," ",O365)</f>
        <v>Tenuiphantes tenebricola</v>
      </c>
      <c r="Q365" s="1" t="s">
        <v>30</v>
      </c>
      <c r="R365" s="1" t="s">
        <v>31</v>
      </c>
      <c r="S365" s="1" t="n">
        <v>1</v>
      </c>
      <c r="T365" s="1" t="n">
        <v>0</v>
      </c>
      <c r="U365" s="1" t="n">
        <v>0</v>
      </c>
      <c r="V365" s="1" t="n">
        <v>0</v>
      </c>
      <c r="W365" s="1" t="n">
        <v>0</v>
      </c>
      <c r="X365" s="1" t="n">
        <v>0</v>
      </c>
      <c r="Y365" s="3" t="n">
        <f aca="false">SUM(S365:T365)</f>
        <v>1</v>
      </c>
      <c r="Z365" s="3" t="n">
        <f aca="false">SUM(U365:W365)</f>
        <v>0</v>
      </c>
      <c r="AA365" s="3" t="n">
        <f aca="false">SUM(S365:X365)</f>
        <v>1</v>
      </c>
      <c r="AB365" s="11" t="n">
        <f aca="false">(AA365/(K365*L365)*25)*4</f>
        <v>4</v>
      </c>
    </row>
    <row r="366" customFormat="false" ht="14.25" hidden="false" customHeight="false" outlineLevel="0" collapsed="false">
      <c r="A366" s="1" t="n">
        <v>2009</v>
      </c>
      <c r="B366" s="7" t="s">
        <v>322</v>
      </c>
      <c r="C366" s="7" t="n">
        <v>2</v>
      </c>
      <c r="D366" s="7" t="s">
        <v>293</v>
      </c>
      <c r="E366" s="7" t="s">
        <v>293</v>
      </c>
      <c r="F366" s="7" t="s">
        <v>26</v>
      </c>
      <c r="G366" s="1" t="n">
        <v>2</v>
      </c>
      <c r="H366" s="1" t="n">
        <v>10</v>
      </c>
      <c r="I366" s="10" t="n">
        <v>39970</v>
      </c>
      <c r="J366" s="10" t="n">
        <v>39975</v>
      </c>
      <c r="K366" s="1" t="n">
        <v>5</v>
      </c>
      <c r="L366" s="1" t="n">
        <v>5</v>
      </c>
      <c r="M366" s="3" t="s">
        <v>32</v>
      </c>
      <c r="N366" s="3" t="s">
        <v>102</v>
      </c>
      <c r="O366" s="12" t="s">
        <v>182</v>
      </c>
      <c r="P366" s="2" t="str">
        <f aca="false">CONCATENATE(N366," ",O366)</f>
        <v>Agyneta ramosa</v>
      </c>
      <c r="Q366" s="1" t="s">
        <v>30</v>
      </c>
      <c r="R366" s="1" t="s">
        <v>31</v>
      </c>
      <c r="S366" s="1" t="n">
        <v>1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0</v>
      </c>
      <c r="Y366" s="3" t="n">
        <f aca="false">SUM(S366:T366)</f>
        <v>1</v>
      </c>
      <c r="Z366" s="3" t="n">
        <f aca="false">SUM(U366:W366)</f>
        <v>0</v>
      </c>
      <c r="AA366" s="3" t="n">
        <f aca="false">SUM(S366:X366)</f>
        <v>1</v>
      </c>
      <c r="AB366" s="11" t="n">
        <f aca="false">(AA366/(K366*L366)*25)*4</f>
        <v>4</v>
      </c>
    </row>
    <row r="367" customFormat="false" ht="14.25" hidden="false" customHeight="false" outlineLevel="0" collapsed="false">
      <c r="A367" s="1" t="n">
        <v>2009</v>
      </c>
      <c r="B367" s="7" t="s">
        <v>322</v>
      </c>
      <c r="C367" s="7" t="n">
        <v>2</v>
      </c>
      <c r="D367" s="7" t="s">
        <v>293</v>
      </c>
      <c r="E367" s="7" t="s">
        <v>293</v>
      </c>
      <c r="F367" s="7" t="s">
        <v>26</v>
      </c>
      <c r="G367" s="1" t="n">
        <v>2</v>
      </c>
      <c r="H367" s="1" t="n">
        <v>10</v>
      </c>
      <c r="I367" s="10" t="n">
        <v>39970</v>
      </c>
      <c r="J367" s="10" t="n">
        <v>39975</v>
      </c>
      <c r="K367" s="1" t="n">
        <v>5</v>
      </c>
      <c r="L367" s="1" t="n">
        <v>5</v>
      </c>
      <c r="M367" s="13" t="s">
        <v>187</v>
      </c>
      <c r="N367" s="13" t="s">
        <v>188</v>
      </c>
      <c r="O367" s="14" t="s">
        <v>189</v>
      </c>
      <c r="P367" s="2" t="str">
        <f aca="false">CONCATENATE(N367," ",O367)</f>
        <v>Ero furcata</v>
      </c>
      <c r="Q367" s="1" t="s">
        <v>30</v>
      </c>
      <c r="R367" s="1" t="s">
        <v>31</v>
      </c>
      <c r="S367" s="1" t="n">
        <v>1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0</v>
      </c>
      <c r="Y367" s="3" t="n">
        <f aca="false">SUM(S367:T367)</f>
        <v>1</v>
      </c>
      <c r="Z367" s="3" t="n">
        <f aca="false">SUM(U367:W367)</f>
        <v>0</v>
      </c>
      <c r="AA367" s="3" t="n">
        <f aca="false">SUM(S367:X367)</f>
        <v>1</v>
      </c>
      <c r="AB367" s="11" t="n">
        <f aca="false">(AA367/(K367*L367)*25)*4</f>
        <v>4</v>
      </c>
    </row>
    <row r="368" customFormat="false" ht="14.25" hidden="false" customHeight="false" outlineLevel="0" collapsed="false">
      <c r="A368" s="1" t="n">
        <v>2009</v>
      </c>
      <c r="B368" s="7" t="s">
        <v>322</v>
      </c>
      <c r="C368" s="7" t="n">
        <v>2</v>
      </c>
      <c r="D368" s="7" t="s">
        <v>293</v>
      </c>
      <c r="E368" s="7" t="s">
        <v>293</v>
      </c>
      <c r="F368" s="7" t="s">
        <v>26</v>
      </c>
      <c r="G368" s="1" t="n">
        <v>2</v>
      </c>
      <c r="H368" s="1" t="n">
        <v>10</v>
      </c>
      <c r="I368" s="10" t="n">
        <v>39970</v>
      </c>
      <c r="J368" s="10" t="n">
        <v>39975</v>
      </c>
      <c r="K368" s="1" t="n">
        <v>5</v>
      </c>
      <c r="L368" s="1" t="n">
        <v>5</v>
      </c>
      <c r="M368" s="3" t="s">
        <v>32</v>
      </c>
      <c r="N368" s="3" t="s">
        <v>107</v>
      </c>
      <c r="O368" s="12" t="s">
        <v>108</v>
      </c>
      <c r="P368" s="2" t="str">
        <f aca="false">CONCATENATE(N368," ",O368)</f>
        <v>Macrargus rufus</v>
      </c>
      <c r="Q368" s="1" t="s">
        <v>30</v>
      </c>
      <c r="R368" s="1" t="s">
        <v>35</v>
      </c>
      <c r="S368" s="1" t="n">
        <v>0</v>
      </c>
      <c r="T368" s="1" t="n">
        <v>1</v>
      </c>
      <c r="U368" s="1" t="n">
        <v>0</v>
      </c>
      <c r="V368" s="1" t="n">
        <v>0</v>
      </c>
      <c r="W368" s="1" t="n">
        <v>0</v>
      </c>
      <c r="X368" s="1" t="n">
        <v>0</v>
      </c>
      <c r="Y368" s="3" t="n">
        <f aca="false">SUM(S368:T368)</f>
        <v>1</v>
      </c>
      <c r="Z368" s="3" t="n">
        <f aca="false">SUM(U368:W368)</f>
        <v>0</v>
      </c>
      <c r="AA368" s="3" t="n">
        <f aca="false">SUM(S368:X368)</f>
        <v>1</v>
      </c>
      <c r="AB368" s="11" t="n">
        <f aca="false">(AA368/(K368*L368)*25)*4</f>
        <v>4</v>
      </c>
    </row>
    <row r="369" customFormat="false" ht="14.25" hidden="false" customHeight="false" outlineLevel="0" collapsed="false">
      <c r="A369" s="1" t="n">
        <v>2009</v>
      </c>
      <c r="B369" s="7" t="s">
        <v>322</v>
      </c>
      <c r="C369" s="7" t="n">
        <v>2</v>
      </c>
      <c r="D369" s="7" t="s">
        <v>293</v>
      </c>
      <c r="E369" s="7" t="s">
        <v>293</v>
      </c>
      <c r="F369" s="7" t="s">
        <v>26</v>
      </c>
      <c r="G369" s="1" t="n">
        <v>3</v>
      </c>
      <c r="H369" s="1" t="n">
        <v>12</v>
      </c>
      <c r="I369" s="10" t="n">
        <v>39970</v>
      </c>
      <c r="J369" s="10" t="n">
        <v>39975</v>
      </c>
      <c r="K369" s="1" t="n">
        <v>5</v>
      </c>
      <c r="L369" s="1" t="n">
        <v>5</v>
      </c>
      <c r="M369" s="3" t="s">
        <v>32</v>
      </c>
      <c r="N369" s="3" t="s">
        <v>102</v>
      </c>
      <c r="O369" s="12" t="s">
        <v>103</v>
      </c>
      <c r="P369" s="2" t="str">
        <f aca="false">CONCATENATE(N369," ",O369)</f>
        <v>Agyneta olivacea</v>
      </c>
      <c r="Q369" s="1" t="s">
        <v>30</v>
      </c>
      <c r="R369" s="1" t="s">
        <v>31</v>
      </c>
      <c r="S369" s="1" t="n">
        <v>1</v>
      </c>
      <c r="T369" s="1" t="n">
        <v>0</v>
      </c>
      <c r="U369" s="1" t="n">
        <v>0</v>
      </c>
      <c r="V369" s="1" t="n">
        <v>0</v>
      </c>
      <c r="W369" s="1" t="n">
        <v>0</v>
      </c>
      <c r="X369" s="1" t="n">
        <v>0</v>
      </c>
      <c r="Y369" s="3" t="n">
        <f aca="false">SUM(S369:T369)</f>
        <v>1</v>
      </c>
      <c r="Z369" s="3" t="n">
        <f aca="false">SUM(U369:W369)</f>
        <v>0</v>
      </c>
      <c r="AA369" s="3" t="n">
        <f aca="false">SUM(S369:X369)</f>
        <v>1</v>
      </c>
      <c r="AB369" s="11" t="n">
        <f aca="false">(AA369/(K369*L369)*25)*4</f>
        <v>4</v>
      </c>
    </row>
    <row r="370" customFormat="false" ht="14.25" hidden="false" customHeight="false" outlineLevel="0" collapsed="false">
      <c r="A370" s="1" t="n">
        <v>2009</v>
      </c>
      <c r="B370" s="7" t="s">
        <v>322</v>
      </c>
      <c r="C370" s="7" t="n">
        <v>2</v>
      </c>
      <c r="D370" s="7" t="s">
        <v>293</v>
      </c>
      <c r="E370" s="7" t="s">
        <v>293</v>
      </c>
      <c r="F370" s="7" t="s">
        <v>26</v>
      </c>
      <c r="G370" s="1" t="n">
        <v>3</v>
      </c>
      <c r="H370" s="1" t="n">
        <v>15</v>
      </c>
      <c r="I370" s="10" t="n">
        <v>39970</v>
      </c>
      <c r="J370" s="10" t="n">
        <v>39975</v>
      </c>
      <c r="K370" s="1" t="n">
        <v>5</v>
      </c>
      <c r="L370" s="1" t="n">
        <v>5</v>
      </c>
      <c r="M370" s="3" t="s">
        <v>48</v>
      </c>
      <c r="N370" s="3" t="s">
        <v>67</v>
      </c>
      <c r="O370" s="12" t="s">
        <v>127</v>
      </c>
      <c r="P370" s="2" t="str">
        <f aca="false">CONCATENATE(N370," ",O370)</f>
        <v>Pardosa lugubris</v>
      </c>
      <c r="Q370" s="1" t="s">
        <v>30</v>
      </c>
      <c r="R370" s="1" t="s">
        <v>31</v>
      </c>
      <c r="S370" s="1" t="n">
        <v>1</v>
      </c>
      <c r="T370" s="1" t="n">
        <v>0</v>
      </c>
      <c r="U370" s="1" t="n">
        <v>0</v>
      </c>
      <c r="V370" s="1" t="n">
        <v>0</v>
      </c>
      <c r="W370" s="1" t="n">
        <v>0</v>
      </c>
      <c r="X370" s="1" t="n">
        <v>0</v>
      </c>
      <c r="Y370" s="3" t="n">
        <f aca="false">SUM(S370:T370)</f>
        <v>1</v>
      </c>
      <c r="Z370" s="3" t="n">
        <f aca="false">SUM(U370:W370)</f>
        <v>0</v>
      </c>
      <c r="AA370" s="3" t="n">
        <f aca="false">SUM(S370:X370)</f>
        <v>1</v>
      </c>
      <c r="AB370" s="11" t="n">
        <f aca="false">(AA370/(K370*L370)*25)*4</f>
        <v>4</v>
      </c>
    </row>
    <row r="371" customFormat="false" ht="14.25" hidden="false" customHeight="false" outlineLevel="0" collapsed="false">
      <c r="A371" s="1" t="n">
        <v>2009</v>
      </c>
      <c r="B371" s="7" t="s">
        <v>322</v>
      </c>
      <c r="C371" s="7" t="n">
        <v>2</v>
      </c>
      <c r="D371" s="7" t="s">
        <v>293</v>
      </c>
      <c r="E371" s="7" t="s">
        <v>293</v>
      </c>
      <c r="F371" s="7" t="s">
        <v>110</v>
      </c>
      <c r="G371" s="1" t="n">
        <v>3</v>
      </c>
      <c r="H371" s="1" t="n">
        <v>12</v>
      </c>
      <c r="I371" s="10" t="n">
        <v>39969</v>
      </c>
      <c r="J371" s="10" t="n">
        <v>39974</v>
      </c>
      <c r="K371" s="1" t="n">
        <v>5</v>
      </c>
      <c r="L371" s="1" t="n">
        <v>5</v>
      </c>
      <c r="M371" s="3" t="s">
        <v>36</v>
      </c>
      <c r="N371" s="3" t="s">
        <v>37</v>
      </c>
      <c r="O371" s="8" t="s">
        <v>75</v>
      </c>
      <c r="P371" s="2" t="str">
        <f aca="false">CONCATENATE(N371," ",O371)</f>
        <v>Ozyptila praticola</v>
      </c>
      <c r="Q371" s="1" t="s">
        <v>30</v>
      </c>
      <c r="R371" s="1" t="s">
        <v>31</v>
      </c>
      <c r="S371" s="1" t="n">
        <v>1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3" t="n">
        <f aca="false">SUM(S371:T371)</f>
        <v>1</v>
      </c>
      <c r="Z371" s="3" t="n">
        <f aca="false">SUM(U371:W371)</f>
        <v>0</v>
      </c>
      <c r="AA371" s="3" t="n">
        <f aca="false">SUM(S371:X371)</f>
        <v>1</v>
      </c>
      <c r="AB371" s="11" t="n">
        <f aca="false">(AA371/(K371*L371)*25)*4</f>
        <v>4</v>
      </c>
    </row>
    <row r="372" customFormat="false" ht="14.25" hidden="false" customHeight="false" outlineLevel="0" collapsed="false">
      <c r="A372" s="1" t="n">
        <v>2009</v>
      </c>
      <c r="B372" s="7" t="s">
        <v>322</v>
      </c>
      <c r="C372" s="7" t="n">
        <v>2</v>
      </c>
      <c r="D372" s="7" t="s">
        <v>294</v>
      </c>
      <c r="E372" s="7" t="s">
        <v>294</v>
      </c>
      <c r="F372" s="7" t="s">
        <v>83</v>
      </c>
      <c r="G372" s="1" t="n">
        <v>2</v>
      </c>
      <c r="H372" s="1" t="n">
        <v>6</v>
      </c>
      <c r="I372" s="10" t="n">
        <v>39969</v>
      </c>
      <c r="J372" s="10" t="n">
        <v>39974</v>
      </c>
      <c r="K372" s="1" t="n">
        <v>5</v>
      </c>
      <c r="L372" s="1" t="n">
        <v>5</v>
      </c>
      <c r="M372" s="3" t="s">
        <v>48</v>
      </c>
      <c r="N372" s="3" t="s">
        <v>49</v>
      </c>
      <c r="O372" s="8" t="s">
        <v>130</v>
      </c>
      <c r="P372" s="2" t="str">
        <f aca="false">CONCATENATE(N372," ",O372)</f>
        <v>Alopecosa aculeata</v>
      </c>
      <c r="Q372" s="1" t="s">
        <v>30</v>
      </c>
      <c r="R372" s="1" t="s">
        <v>31</v>
      </c>
      <c r="S372" s="1" t="n">
        <v>1</v>
      </c>
      <c r="T372" s="1" t="n">
        <v>0</v>
      </c>
      <c r="U372" s="1" t="n">
        <v>0</v>
      </c>
      <c r="V372" s="1" t="n">
        <v>0</v>
      </c>
      <c r="W372" s="1" t="n">
        <v>0</v>
      </c>
      <c r="X372" s="1" t="n">
        <v>0</v>
      </c>
      <c r="Y372" s="3" t="n">
        <f aca="false">SUM(S372:T372)</f>
        <v>1</v>
      </c>
      <c r="Z372" s="3" t="n">
        <f aca="false">SUM(U372:W372)</f>
        <v>0</v>
      </c>
      <c r="AA372" s="3" t="n">
        <f aca="false">SUM(S372:X372)</f>
        <v>1</v>
      </c>
      <c r="AB372" s="11" t="n">
        <f aca="false">(AA372/(K372*L372)*25)*4</f>
        <v>4</v>
      </c>
    </row>
    <row r="373" customFormat="false" ht="14.25" hidden="false" customHeight="false" outlineLevel="0" collapsed="false">
      <c r="A373" s="1" t="n">
        <v>2009</v>
      </c>
      <c r="B373" s="7" t="s">
        <v>322</v>
      </c>
      <c r="C373" s="7" t="n">
        <v>2</v>
      </c>
      <c r="D373" s="7" t="s">
        <v>294</v>
      </c>
      <c r="E373" s="7" t="s">
        <v>294</v>
      </c>
      <c r="F373" s="7" t="s">
        <v>326</v>
      </c>
      <c r="G373" s="1" t="n">
        <v>2</v>
      </c>
      <c r="H373" s="1" t="n">
        <v>9</v>
      </c>
      <c r="I373" s="10" t="n">
        <v>39970</v>
      </c>
      <c r="J373" s="10" t="n">
        <v>39975</v>
      </c>
      <c r="K373" s="1" t="n">
        <v>5</v>
      </c>
      <c r="L373" s="1" t="n">
        <v>5</v>
      </c>
      <c r="M373" s="3" t="s">
        <v>48</v>
      </c>
      <c r="N373" s="3" t="s">
        <v>67</v>
      </c>
      <c r="O373" s="12" t="s">
        <v>127</v>
      </c>
      <c r="P373" s="2" t="str">
        <f aca="false">CONCATENATE(N373," ",O373)</f>
        <v>Pardosa lugubris</v>
      </c>
      <c r="Q373" s="1" t="s">
        <v>30</v>
      </c>
      <c r="R373" s="1" t="s">
        <v>31</v>
      </c>
      <c r="S373" s="1" t="n">
        <v>1</v>
      </c>
      <c r="T373" s="1" t="n">
        <v>0</v>
      </c>
      <c r="U373" s="1" t="n">
        <v>0</v>
      </c>
      <c r="V373" s="1" t="n">
        <v>0</v>
      </c>
      <c r="W373" s="1" t="n">
        <v>0</v>
      </c>
      <c r="X373" s="1" t="n">
        <v>0</v>
      </c>
      <c r="Y373" s="3" t="n">
        <f aca="false">SUM(S373:T373)</f>
        <v>1</v>
      </c>
      <c r="Z373" s="3" t="n">
        <f aca="false">SUM(U373:W373)</f>
        <v>0</v>
      </c>
      <c r="AA373" s="3" t="n">
        <f aca="false">SUM(S373:X373)</f>
        <v>1</v>
      </c>
      <c r="AB373" s="11" t="n">
        <f aca="false">(AA373/(K373*L373)*25)*4</f>
        <v>4</v>
      </c>
    </row>
    <row r="374" customFormat="false" ht="14.25" hidden="false" customHeight="false" outlineLevel="0" collapsed="false">
      <c r="A374" s="1" t="n">
        <v>2009</v>
      </c>
      <c r="B374" s="7" t="s">
        <v>322</v>
      </c>
      <c r="C374" s="7" t="n">
        <v>2</v>
      </c>
      <c r="D374" s="7" t="s">
        <v>294</v>
      </c>
      <c r="E374" s="7" t="s">
        <v>294</v>
      </c>
      <c r="F374" s="7" t="s">
        <v>83</v>
      </c>
      <c r="G374" s="1" t="n">
        <v>1</v>
      </c>
      <c r="H374" s="1" t="n">
        <v>4</v>
      </c>
      <c r="I374" s="10" t="n">
        <v>39969</v>
      </c>
      <c r="J374" s="10" t="n">
        <v>39974</v>
      </c>
      <c r="K374" s="1" t="n">
        <v>5</v>
      </c>
      <c r="L374" s="1" t="n">
        <v>5</v>
      </c>
      <c r="M374" s="3" t="s">
        <v>48</v>
      </c>
      <c r="N374" s="3" t="s">
        <v>49</v>
      </c>
      <c r="O374" s="8" t="s">
        <v>130</v>
      </c>
      <c r="P374" s="2" t="str">
        <f aca="false">CONCATENATE(N374," ",O374)</f>
        <v>Alopecosa aculeata</v>
      </c>
      <c r="Q374" s="1" t="s">
        <v>30</v>
      </c>
      <c r="R374" s="1" t="s">
        <v>31</v>
      </c>
      <c r="S374" s="1" t="n">
        <v>1</v>
      </c>
      <c r="T374" s="1" t="n">
        <v>0</v>
      </c>
      <c r="U374" s="1" t="n">
        <v>0</v>
      </c>
      <c r="V374" s="1" t="n">
        <v>0</v>
      </c>
      <c r="W374" s="1" t="n">
        <v>0</v>
      </c>
      <c r="X374" s="1" t="n">
        <v>0</v>
      </c>
      <c r="Y374" s="3" t="n">
        <f aca="false">SUM(S374:T374)</f>
        <v>1</v>
      </c>
      <c r="Z374" s="3" t="n">
        <f aca="false">SUM(U374:W374)</f>
        <v>0</v>
      </c>
      <c r="AA374" s="3" t="n">
        <f aca="false">SUM(S374:X374)</f>
        <v>1</v>
      </c>
      <c r="AB374" s="11" t="n">
        <f aca="false">(AA374/(K374*L374)*25)*4</f>
        <v>4</v>
      </c>
    </row>
    <row r="375" customFormat="false" ht="14.25" hidden="false" customHeight="false" outlineLevel="0" collapsed="false">
      <c r="A375" s="1" t="n">
        <v>2009</v>
      </c>
      <c r="B375" s="7" t="s">
        <v>322</v>
      </c>
      <c r="C375" s="7" t="n">
        <v>2</v>
      </c>
      <c r="D375" s="7" t="s">
        <v>293</v>
      </c>
      <c r="E375" s="7" t="s">
        <v>293</v>
      </c>
      <c r="F375" s="7" t="s">
        <v>101</v>
      </c>
      <c r="G375" s="1" t="n">
        <v>2</v>
      </c>
      <c r="H375" s="1" t="n">
        <v>7</v>
      </c>
      <c r="I375" s="10" t="n">
        <v>39970</v>
      </c>
      <c r="J375" s="10" t="n">
        <v>39975</v>
      </c>
      <c r="K375" s="1" t="n">
        <v>5</v>
      </c>
      <c r="L375" s="1" t="n">
        <v>5</v>
      </c>
      <c r="M375" s="3" t="s">
        <v>36</v>
      </c>
      <c r="N375" s="3" t="s">
        <v>131</v>
      </c>
      <c r="O375" s="12" t="s">
        <v>133</v>
      </c>
      <c r="P375" s="2" t="str">
        <f aca="false">CONCATENATE(N375," ",O375)</f>
        <v>Xysticus luctuosus</v>
      </c>
      <c r="Q375" s="1" t="s">
        <v>30</v>
      </c>
      <c r="R375" s="1" t="s">
        <v>31</v>
      </c>
      <c r="S375" s="1" t="n">
        <v>1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3" t="n">
        <f aca="false">SUM(S375:T375)</f>
        <v>1</v>
      </c>
      <c r="Z375" s="3" t="n">
        <f aca="false">SUM(U375:W375)</f>
        <v>0</v>
      </c>
      <c r="AA375" s="3" t="n">
        <f aca="false">SUM(S375:X375)</f>
        <v>1</v>
      </c>
      <c r="AB375" s="11" t="n">
        <f aca="false">(AA375/(K375*L375)*25)*4</f>
        <v>4</v>
      </c>
    </row>
    <row r="376" customFormat="false" ht="14.25" hidden="false" customHeight="false" outlineLevel="0" collapsed="false">
      <c r="A376" s="1" t="n">
        <v>2009</v>
      </c>
      <c r="B376" s="7" t="s">
        <v>322</v>
      </c>
      <c r="C376" s="7" t="n">
        <v>2</v>
      </c>
      <c r="D376" s="7" t="s">
        <v>294</v>
      </c>
      <c r="E376" s="7" t="s">
        <v>294</v>
      </c>
      <c r="F376" s="7" t="s">
        <v>158</v>
      </c>
      <c r="G376" s="1" t="n">
        <v>3</v>
      </c>
      <c r="H376" s="1" t="n">
        <v>12</v>
      </c>
      <c r="I376" s="10" t="n">
        <v>39970</v>
      </c>
      <c r="J376" s="10" t="n">
        <v>39975</v>
      </c>
      <c r="K376" s="1" t="n">
        <v>5</v>
      </c>
      <c r="L376" s="1" t="n">
        <v>5</v>
      </c>
      <c r="M376" s="3" t="s">
        <v>48</v>
      </c>
      <c r="N376" s="3" t="s">
        <v>67</v>
      </c>
      <c r="O376" s="12" t="s">
        <v>127</v>
      </c>
      <c r="P376" s="2" t="str">
        <f aca="false">CONCATENATE(N376," ",O376)</f>
        <v>Pardosa lugubris</v>
      </c>
      <c r="Q376" s="1" t="s">
        <v>30</v>
      </c>
      <c r="R376" s="1" t="s">
        <v>31</v>
      </c>
      <c r="S376" s="1" t="n">
        <v>1</v>
      </c>
      <c r="T376" s="1" t="n">
        <v>0</v>
      </c>
      <c r="U376" s="1" t="n">
        <v>0</v>
      </c>
      <c r="V376" s="1" t="n">
        <v>0</v>
      </c>
      <c r="W376" s="1" t="n">
        <v>0</v>
      </c>
      <c r="X376" s="1" t="n">
        <v>0</v>
      </c>
      <c r="Y376" s="3" t="n">
        <f aca="false">SUM(S376:T376)</f>
        <v>1</v>
      </c>
      <c r="Z376" s="3" t="n">
        <f aca="false">SUM(U376:W376)</f>
        <v>0</v>
      </c>
      <c r="AA376" s="3" t="n">
        <f aca="false">SUM(S376:X376)</f>
        <v>1</v>
      </c>
      <c r="AB376" s="11" t="n">
        <f aca="false">(AA376/(K376*L376)*25)*4</f>
        <v>4</v>
      </c>
    </row>
    <row r="377" customFormat="false" ht="14.25" hidden="false" customHeight="false" outlineLevel="0" collapsed="false">
      <c r="A377" s="1" t="n">
        <v>2009</v>
      </c>
      <c r="B377" s="7" t="s">
        <v>322</v>
      </c>
      <c r="C377" s="7" t="n">
        <v>2</v>
      </c>
      <c r="D377" s="7" t="s">
        <v>293</v>
      </c>
      <c r="E377" s="7" t="s">
        <v>293</v>
      </c>
      <c r="F377" s="7" t="s">
        <v>26</v>
      </c>
      <c r="G377" s="1" t="n">
        <v>2</v>
      </c>
      <c r="H377" s="1" t="n">
        <v>10</v>
      </c>
      <c r="I377" s="10" t="n">
        <v>39970</v>
      </c>
      <c r="J377" s="10" t="n">
        <v>39975</v>
      </c>
      <c r="K377" s="1" t="n">
        <v>5</v>
      </c>
      <c r="L377" s="1" t="n">
        <v>5</v>
      </c>
      <c r="M377" s="3" t="s">
        <v>64</v>
      </c>
      <c r="N377" s="3" t="s">
        <v>65</v>
      </c>
      <c r="O377" s="8" t="s">
        <v>335</v>
      </c>
      <c r="P377" s="2" t="str">
        <f aca="false">CONCATENATE(N377," ",O377)</f>
        <v>Zora spinimana</v>
      </c>
      <c r="Q377" s="1" t="s">
        <v>30</v>
      </c>
      <c r="R377" s="1" t="s">
        <v>31</v>
      </c>
      <c r="S377" s="1" t="n">
        <v>1</v>
      </c>
      <c r="T377" s="1" t="n">
        <v>0</v>
      </c>
      <c r="U377" s="1" t="n">
        <v>0</v>
      </c>
      <c r="V377" s="1" t="n">
        <v>0</v>
      </c>
      <c r="W377" s="1" t="n">
        <v>0</v>
      </c>
      <c r="X377" s="1" t="n">
        <v>0</v>
      </c>
      <c r="Y377" s="3" t="n">
        <f aca="false">SUM(S377:T377)</f>
        <v>1</v>
      </c>
      <c r="Z377" s="3" t="n">
        <f aca="false">SUM(U377:W377)</f>
        <v>0</v>
      </c>
      <c r="AA377" s="3" t="n">
        <f aca="false">SUM(S377:X377)</f>
        <v>1</v>
      </c>
      <c r="AB377" s="11" t="n">
        <f aca="false">(AA377/(K377*L377)*25)*4</f>
        <v>4</v>
      </c>
    </row>
    <row r="378" customFormat="false" ht="14.25" hidden="false" customHeight="false" outlineLevel="0" collapsed="false">
      <c r="A378" s="1" t="n">
        <v>2009</v>
      </c>
      <c r="B378" s="7" t="s">
        <v>322</v>
      </c>
      <c r="C378" s="7" t="n">
        <v>2</v>
      </c>
      <c r="D378" s="7" t="s">
        <v>294</v>
      </c>
      <c r="E378" s="7" t="s">
        <v>294</v>
      </c>
      <c r="F378" s="7" t="s">
        <v>158</v>
      </c>
      <c r="G378" s="1" t="n">
        <v>3</v>
      </c>
      <c r="H378" s="1" t="n">
        <v>14</v>
      </c>
      <c r="I378" s="10" t="n">
        <v>39970</v>
      </c>
      <c r="J378" s="10" t="n">
        <v>39975</v>
      </c>
      <c r="K378" s="1" t="n">
        <v>5</v>
      </c>
      <c r="L378" s="1" t="n">
        <v>5</v>
      </c>
      <c r="M378" s="3" t="s">
        <v>48</v>
      </c>
      <c r="N378" s="3" t="s">
        <v>49</v>
      </c>
      <c r="O378" s="8" t="s">
        <v>130</v>
      </c>
      <c r="P378" s="2" t="str">
        <f aca="false">CONCATENATE(N378," ",O378)</f>
        <v>Alopecosa aculeata</v>
      </c>
      <c r="Q378" s="1" t="s">
        <v>30</v>
      </c>
      <c r="R378" s="1" t="s">
        <v>31</v>
      </c>
      <c r="S378" s="1" t="n">
        <v>1</v>
      </c>
      <c r="T378" s="1" t="n">
        <v>0</v>
      </c>
      <c r="U378" s="1" t="n">
        <v>0</v>
      </c>
      <c r="V378" s="1" t="n">
        <v>0</v>
      </c>
      <c r="W378" s="1" t="n">
        <v>0</v>
      </c>
      <c r="X378" s="1" t="n">
        <v>0</v>
      </c>
      <c r="Y378" s="3" t="n">
        <f aca="false">SUM(S378:T378)</f>
        <v>1</v>
      </c>
      <c r="Z378" s="3" t="n">
        <f aca="false">SUM(U378:W378)</f>
        <v>0</v>
      </c>
      <c r="AA378" s="3" t="n">
        <f aca="false">SUM(S378:X378)</f>
        <v>1</v>
      </c>
      <c r="AB378" s="11" t="n">
        <f aca="false">(AA378/(K378*L378)*25)*4</f>
        <v>4</v>
      </c>
    </row>
    <row r="379" customFormat="false" ht="14.25" hidden="false" customHeight="false" outlineLevel="0" collapsed="false">
      <c r="A379" s="1" t="n">
        <v>2009</v>
      </c>
      <c r="B379" s="7" t="s">
        <v>322</v>
      </c>
      <c r="C379" s="7" t="n">
        <v>2</v>
      </c>
      <c r="D379" s="7" t="s">
        <v>294</v>
      </c>
      <c r="E379" s="7" t="s">
        <v>294</v>
      </c>
      <c r="F379" s="7" t="s">
        <v>158</v>
      </c>
      <c r="G379" s="1" t="n">
        <v>3</v>
      </c>
      <c r="H379" s="1" t="n">
        <v>14</v>
      </c>
      <c r="I379" s="10" t="n">
        <v>39970</v>
      </c>
      <c r="J379" s="10" t="n">
        <v>39975</v>
      </c>
      <c r="K379" s="1" t="n">
        <v>5</v>
      </c>
      <c r="L379" s="1" t="n">
        <v>5</v>
      </c>
      <c r="M379" s="3" t="s">
        <v>32</v>
      </c>
      <c r="N379" s="3" t="s">
        <v>190</v>
      </c>
      <c r="O379" s="3" t="s">
        <v>191</v>
      </c>
      <c r="P379" s="2" t="str">
        <f aca="false">CONCATENATE(N379," ",O379)</f>
        <v>Micrargus herbigradus</v>
      </c>
      <c r="Q379" s="1" t="s">
        <v>30</v>
      </c>
      <c r="R379" s="1" t="s">
        <v>35</v>
      </c>
      <c r="S379" s="1" t="n">
        <v>0</v>
      </c>
      <c r="T379" s="1" t="n">
        <v>1</v>
      </c>
      <c r="U379" s="1" t="n">
        <v>0</v>
      </c>
      <c r="V379" s="1" t="n">
        <v>0</v>
      </c>
      <c r="W379" s="1" t="n">
        <v>0</v>
      </c>
      <c r="X379" s="1" t="n">
        <v>0</v>
      </c>
      <c r="Y379" s="3" t="n">
        <f aca="false">SUM(S379:T379)</f>
        <v>1</v>
      </c>
      <c r="Z379" s="3" t="n">
        <f aca="false">SUM(U379:W379)</f>
        <v>0</v>
      </c>
      <c r="AA379" s="3" t="n">
        <f aca="false">SUM(S379:X379)</f>
        <v>1</v>
      </c>
      <c r="AB379" s="11" t="n">
        <f aca="false">(AA379/(K379*L379)*25)*4</f>
        <v>4</v>
      </c>
    </row>
    <row r="380" customFormat="false" ht="14.25" hidden="false" customHeight="false" outlineLevel="0" collapsed="false">
      <c r="A380" s="1" t="n">
        <v>2009</v>
      </c>
      <c r="B380" s="7" t="s">
        <v>322</v>
      </c>
      <c r="C380" s="7" t="n">
        <v>2</v>
      </c>
      <c r="D380" s="7" t="s">
        <v>293</v>
      </c>
      <c r="E380" s="7" t="s">
        <v>293</v>
      </c>
      <c r="F380" s="7" t="s">
        <v>101</v>
      </c>
      <c r="G380" s="1" t="n">
        <v>3</v>
      </c>
      <c r="H380" s="1" t="n">
        <v>14</v>
      </c>
      <c r="I380" s="10" t="n">
        <v>39970</v>
      </c>
      <c r="J380" s="10" t="n">
        <v>39975</v>
      </c>
      <c r="K380" s="1" t="n">
        <v>5</v>
      </c>
      <c r="L380" s="1" t="n">
        <v>5</v>
      </c>
      <c r="M380" s="3" t="s">
        <v>27</v>
      </c>
      <c r="N380" s="3" t="s">
        <v>28</v>
      </c>
      <c r="O380" s="12" t="s">
        <v>29</v>
      </c>
      <c r="P380" s="2" t="str">
        <f aca="false">CONCATENATE(N380," ",O380)</f>
        <v>Robertus lividus</v>
      </c>
      <c r="Q380" s="1" t="s">
        <v>30</v>
      </c>
      <c r="R380" s="1" t="s">
        <v>31</v>
      </c>
      <c r="S380" s="1" t="n">
        <v>1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0</v>
      </c>
      <c r="Y380" s="3" t="n">
        <f aca="false">SUM(S380:T380)</f>
        <v>1</v>
      </c>
      <c r="Z380" s="3" t="n">
        <f aca="false">SUM(U380:W380)</f>
        <v>0</v>
      </c>
      <c r="AA380" s="3" t="n">
        <f aca="false">SUM(S380:X380)</f>
        <v>1</v>
      </c>
      <c r="AB380" s="11" t="n">
        <f aca="false">(AA380/(K380*L380)*25)*4</f>
        <v>4</v>
      </c>
    </row>
    <row r="381" customFormat="false" ht="14.25" hidden="false" customHeight="false" outlineLevel="0" collapsed="false">
      <c r="A381" s="1" t="n">
        <v>2009</v>
      </c>
      <c r="B381" s="7" t="s">
        <v>322</v>
      </c>
      <c r="C381" s="7" t="n">
        <v>2</v>
      </c>
      <c r="D381" s="7" t="s">
        <v>294</v>
      </c>
      <c r="E381" s="7" t="s">
        <v>294</v>
      </c>
      <c r="F381" s="7" t="s">
        <v>326</v>
      </c>
      <c r="G381" s="1" t="n">
        <v>2</v>
      </c>
      <c r="H381" s="1" t="n">
        <v>7</v>
      </c>
      <c r="I381" s="10" t="n">
        <v>39970</v>
      </c>
      <c r="J381" s="10" t="n">
        <v>39975</v>
      </c>
      <c r="K381" s="1" t="n">
        <v>5</v>
      </c>
      <c r="L381" s="1" t="n">
        <v>4</v>
      </c>
      <c r="M381" s="3" t="s">
        <v>32</v>
      </c>
      <c r="N381" s="3" t="s">
        <v>62</v>
      </c>
      <c r="O381" s="8" t="s">
        <v>63</v>
      </c>
      <c r="P381" s="2" t="str">
        <f aca="false">CONCATENATE(N381," ",O381)</f>
        <v>Microneta viaria</v>
      </c>
      <c r="Q381" s="1" t="s">
        <v>30</v>
      </c>
      <c r="R381" s="1" t="s">
        <v>35</v>
      </c>
      <c r="S381" s="1" t="n">
        <v>0</v>
      </c>
      <c r="T381" s="1" t="n">
        <v>1</v>
      </c>
      <c r="U381" s="1" t="n">
        <v>0</v>
      </c>
      <c r="V381" s="1" t="n">
        <v>0</v>
      </c>
      <c r="W381" s="1" t="n">
        <v>0</v>
      </c>
      <c r="X381" s="1" t="n">
        <v>0</v>
      </c>
      <c r="Y381" s="3" t="n">
        <f aca="false">SUM(S381:T381)</f>
        <v>1</v>
      </c>
      <c r="Z381" s="3" t="n">
        <f aca="false">SUM(U381:W381)</f>
        <v>0</v>
      </c>
      <c r="AA381" s="3" t="n">
        <f aca="false">SUM(S381:X381)</f>
        <v>1</v>
      </c>
      <c r="AB381" s="11" t="n">
        <f aca="false">(AA381/(K381*L381)*25)*4</f>
        <v>5</v>
      </c>
      <c r="AC381" s="45"/>
    </row>
    <row r="382" customFormat="false" ht="14.25" hidden="false" customHeight="false" outlineLevel="0" collapsed="false">
      <c r="A382" s="1" t="n">
        <v>2009</v>
      </c>
      <c r="B382" s="7" t="s">
        <v>322</v>
      </c>
      <c r="C382" s="7" t="n">
        <v>2</v>
      </c>
      <c r="D382" s="7" t="s">
        <v>293</v>
      </c>
      <c r="E382" s="7" t="s">
        <v>293</v>
      </c>
      <c r="F382" s="7" t="s">
        <v>101</v>
      </c>
      <c r="G382" s="1" t="n">
        <v>3</v>
      </c>
      <c r="H382" s="1" t="n">
        <v>15</v>
      </c>
      <c r="I382" s="10" t="n">
        <v>39970</v>
      </c>
      <c r="J382" s="10" t="n">
        <v>39975</v>
      </c>
      <c r="K382" s="1" t="n">
        <v>5</v>
      </c>
      <c r="L382" s="1" t="n">
        <v>5</v>
      </c>
      <c r="M382" s="3" t="s">
        <v>32</v>
      </c>
      <c r="N382" s="3" t="s">
        <v>62</v>
      </c>
      <c r="O382" s="8" t="s">
        <v>63</v>
      </c>
      <c r="P382" s="2" t="str">
        <f aca="false">CONCATENATE(N382," ",O382)</f>
        <v>Microneta viaria</v>
      </c>
      <c r="Q382" s="1" t="s">
        <v>30</v>
      </c>
      <c r="R382" s="1" t="s">
        <v>31</v>
      </c>
      <c r="S382" s="1" t="n">
        <v>1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0</v>
      </c>
      <c r="Y382" s="3" t="n">
        <f aca="false">SUM(S382:T382)</f>
        <v>1</v>
      </c>
      <c r="Z382" s="3" t="n">
        <f aca="false">SUM(U382:W382)</f>
        <v>0</v>
      </c>
      <c r="AA382" s="3" t="n">
        <f aca="false">SUM(S382:X382)</f>
        <v>1</v>
      </c>
      <c r="AB382" s="11" t="n">
        <f aca="false">(AA382/(K382*L382)*25)*4</f>
        <v>4</v>
      </c>
    </row>
    <row r="383" customFormat="false" ht="14.25" hidden="false" customHeight="false" outlineLevel="0" collapsed="false">
      <c r="A383" s="1" t="n">
        <v>2009</v>
      </c>
      <c r="B383" s="7" t="s">
        <v>322</v>
      </c>
      <c r="C383" s="7" t="n">
        <v>2</v>
      </c>
      <c r="D383" s="7" t="s">
        <v>294</v>
      </c>
      <c r="E383" s="7" t="s">
        <v>294</v>
      </c>
      <c r="F383" s="7" t="s">
        <v>158</v>
      </c>
      <c r="G383" s="1" t="n">
        <v>1</v>
      </c>
      <c r="H383" s="1" t="n">
        <v>4</v>
      </c>
      <c r="I383" s="10" t="n">
        <v>39970</v>
      </c>
      <c r="J383" s="10" t="n">
        <v>39975</v>
      </c>
      <c r="K383" s="1" t="n">
        <v>5</v>
      </c>
      <c r="L383" s="1" t="n">
        <v>5</v>
      </c>
      <c r="M383" s="3" t="s">
        <v>32</v>
      </c>
      <c r="N383" s="3" t="s">
        <v>107</v>
      </c>
      <c r="O383" s="12" t="s">
        <v>108</v>
      </c>
      <c r="P383" s="2" t="str">
        <f aca="false">CONCATENATE(N383," ",O383)</f>
        <v>Macrargus rufus</v>
      </c>
      <c r="Q383" s="1" t="s">
        <v>30</v>
      </c>
      <c r="R383" s="1" t="s">
        <v>35</v>
      </c>
      <c r="S383" s="1" t="n">
        <v>0</v>
      </c>
      <c r="T383" s="1" t="n">
        <v>1</v>
      </c>
      <c r="U383" s="1" t="n">
        <v>0</v>
      </c>
      <c r="V383" s="1" t="n">
        <v>0</v>
      </c>
      <c r="W383" s="1" t="n">
        <v>0</v>
      </c>
      <c r="X383" s="1" t="n">
        <v>0</v>
      </c>
      <c r="Y383" s="3" t="n">
        <f aca="false">SUM(S383:T383)</f>
        <v>1</v>
      </c>
      <c r="Z383" s="3" t="n">
        <f aca="false">SUM(U383:W383)</f>
        <v>0</v>
      </c>
      <c r="AA383" s="3" t="n">
        <f aca="false">SUM(S383:X383)</f>
        <v>1</v>
      </c>
      <c r="AB383" s="11" t="n">
        <f aca="false">(AA383/(K383*L383)*25)*4</f>
        <v>4</v>
      </c>
    </row>
    <row r="384" customFormat="false" ht="14.25" hidden="false" customHeight="false" outlineLevel="0" collapsed="false">
      <c r="A384" s="1" t="n">
        <v>2009</v>
      </c>
      <c r="B384" s="7" t="s">
        <v>322</v>
      </c>
      <c r="C384" s="7" t="n">
        <v>2</v>
      </c>
      <c r="D384" s="7" t="s">
        <v>294</v>
      </c>
      <c r="E384" s="7" t="s">
        <v>294</v>
      </c>
      <c r="F384" s="7" t="s">
        <v>158</v>
      </c>
      <c r="G384" s="1" t="n">
        <v>1</v>
      </c>
      <c r="H384" s="1" t="n">
        <v>5</v>
      </c>
      <c r="I384" s="10" t="n">
        <v>39970</v>
      </c>
      <c r="J384" s="10" t="n">
        <v>39975</v>
      </c>
      <c r="K384" s="1" t="n">
        <v>5</v>
      </c>
      <c r="L384" s="1" t="n">
        <v>5</v>
      </c>
      <c r="M384" s="3" t="s">
        <v>32</v>
      </c>
      <c r="N384" s="3" t="s">
        <v>102</v>
      </c>
      <c r="O384" s="12" t="s">
        <v>182</v>
      </c>
      <c r="P384" s="2" t="str">
        <f aca="false">CONCATENATE(N384," ",O384)</f>
        <v>Agyneta ramosa</v>
      </c>
      <c r="Q384" s="1" t="s">
        <v>30</v>
      </c>
      <c r="R384" s="1" t="s">
        <v>31</v>
      </c>
      <c r="S384" s="1" t="n">
        <v>1</v>
      </c>
      <c r="T384" s="1" t="n">
        <v>0</v>
      </c>
      <c r="U384" s="1" t="n">
        <v>0</v>
      </c>
      <c r="V384" s="1" t="n">
        <v>0</v>
      </c>
      <c r="W384" s="1" t="n">
        <v>0</v>
      </c>
      <c r="X384" s="1" t="n">
        <v>0</v>
      </c>
      <c r="Y384" s="3" t="n">
        <f aca="false">SUM(S384:T384)</f>
        <v>1</v>
      </c>
      <c r="Z384" s="3" t="n">
        <f aca="false">SUM(U384:W384)</f>
        <v>0</v>
      </c>
      <c r="AA384" s="3" t="n">
        <f aca="false">SUM(S384:X384)</f>
        <v>1</v>
      </c>
      <c r="AB384" s="11" t="n">
        <f aca="false">(AA384/(K384*L384)*25)*4</f>
        <v>4</v>
      </c>
    </row>
    <row r="385" customFormat="false" ht="14.25" hidden="false" customHeight="false" outlineLevel="0" collapsed="false">
      <c r="A385" s="1" t="n">
        <v>2009</v>
      </c>
      <c r="B385" s="7" t="s">
        <v>322</v>
      </c>
      <c r="C385" s="7" t="n">
        <v>2</v>
      </c>
      <c r="D385" s="7" t="s">
        <v>294</v>
      </c>
      <c r="E385" s="7" t="s">
        <v>294</v>
      </c>
      <c r="F385" s="7" t="s">
        <v>83</v>
      </c>
      <c r="G385" s="1" t="n">
        <v>1</v>
      </c>
      <c r="H385" s="1" t="n">
        <v>1</v>
      </c>
      <c r="I385" s="10" t="n">
        <v>39969</v>
      </c>
      <c r="J385" s="10" t="n">
        <v>39974</v>
      </c>
      <c r="K385" s="1" t="n">
        <v>5</v>
      </c>
      <c r="L385" s="1" t="n">
        <v>5</v>
      </c>
      <c r="M385" s="3" t="s">
        <v>48</v>
      </c>
      <c r="N385" s="3" t="s">
        <v>49</v>
      </c>
      <c r="O385" s="3" t="s">
        <v>104</v>
      </c>
      <c r="P385" s="2" t="str">
        <f aca="false">CONCATENATE(N385," ",O385)</f>
        <v>Alopecosa taeniata</v>
      </c>
      <c r="Q385" s="1" t="s">
        <v>30</v>
      </c>
      <c r="R385" s="1" t="s">
        <v>31</v>
      </c>
      <c r="S385" s="1" t="n">
        <v>5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0</v>
      </c>
      <c r="Y385" s="3" t="n">
        <f aca="false">SUM(S385:T385)</f>
        <v>5</v>
      </c>
      <c r="Z385" s="3" t="n">
        <f aca="false">SUM(U385:W385)</f>
        <v>0</v>
      </c>
      <c r="AA385" s="3" t="n">
        <f aca="false">SUM(S385:X385)</f>
        <v>5</v>
      </c>
      <c r="AB385" s="11" t="n">
        <f aca="false">(AA385/(K385*L385)*25)*4</f>
        <v>20</v>
      </c>
    </row>
    <row r="386" customFormat="false" ht="14.25" hidden="false" customHeight="false" outlineLevel="0" collapsed="false">
      <c r="A386" s="1" t="n">
        <v>2009</v>
      </c>
      <c r="B386" s="7" t="s">
        <v>322</v>
      </c>
      <c r="C386" s="7" t="n">
        <v>2</v>
      </c>
      <c r="D386" s="7" t="s">
        <v>294</v>
      </c>
      <c r="E386" s="7" t="s">
        <v>294</v>
      </c>
      <c r="F386" s="7" t="s">
        <v>83</v>
      </c>
      <c r="G386" s="1" t="n">
        <v>1</v>
      </c>
      <c r="H386" s="1" t="n">
        <v>1</v>
      </c>
      <c r="I386" s="10" t="n">
        <v>39969</v>
      </c>
      <c r="J386" s="10" t="n">
        <v>39974</v>
      </c>
      <c r="K386" s="1" t="n">
        <v>5</v>
      </c>
      <c r="L386" s="1" t="n">
        <v>5</v>
      </c>
      <c r="M386" s="3" t="s">
        <v>48</v>
      </c>
      <c r="N386" s="3" t="s">
        <v>67</v>
      </c>
      <c r="O386" s="3" t="s">
        <v>127</v>
      </c>
      <c r="P386" s="2" t="str">
        <f aca="false">CONCATENATE(N386," ",O386)</f>
        <v>Pardosa lugubris</v>
      </c>
      <c r="Q386" s="1" t="s">
        <v>30</v>
      </c>
      <c r="R386" s="1" t="s">
        <v>31</v>
      </c>
      <c r="S386" s="1" t="n">
        <v>1</v>
      </c>
      <c r="T386" s="1" t="n">
        <v>0</v>
      </c>
      <c r="U386" s="1" t="n">
        <v>0</v>
      </c>
      <c r="V386" s="1" t="n">
        <v>0</v>
      </c>
      <c r="W386" s="1" t="n">
        <v>0</v>
      </c>
      <c r="X386" s="1" t="n">
        <v>0</v>
      </c>
      <c r="Y386" s="3" t="n">
        <f aca="false">SUM(S386:T386)</f>
        <v>1</v>
      </c>
      <c r="Z386" s="3" t="n">
        <f aca="false">SUM(U386:W386)</f>
        <v>0</v>
      </c>
      <c r="AA386" s="3" t="n">
        <f aca="false">SUM(S386:X386)</f>
        <v>1</v>
      </c>
      <c r="AB386" s="11" t="n">
        <f aca="false">(AA386/(K386*L386)*25)*4</f>
        <v>4</v>
      </c>
    </row>
    <row r="387" customFormat="false" ht="14.25" hidden="false" customHeight="false" outlineLevel="0" collapsed="false">
      <c r="A387" s="1" t="n">
        <v>2009</v>
      </c>
      <c r="B387" s="7" t="s">
        <v>322</v>
      </c>
      <c r="C387" s="7" t="n">
        <v>2</v>
      </c>
      <c r="D387" s="7" t="s">
        <v>294</v>
      </c>
      <c r="E387" s="7" t="s">
        <v>294</v>
      </c>
      <c r="F387" s="7" t="s">
        <v>83</v>
      </c>
      <c r="G387" s="1" t="n">
        <v>1</v>
      </c>
      <c r="H387" s="1" t="n">
        <v>1</v>
      </c>
      <c r="I387" s="10" t="n">
        <v>39969</v>
      </c>
      <c r="J387" s="10" t="n">
        <v>39974</v>
      </c>
      <c r="K387" s="1" t="n">
        <v>5</v>
      </c>
      <c r="L387" s="1" t="n">
        <v>5</v>
      </c>
      <c r="M387" s="3" t="s">
        <v>48</v>
      </c>
      <c r="N387" s="3" t="s">
        <v>67</v>
      </c>
      <c r="O387" s="3" t="s">
        <v>127</v>
      </c>
      <c r="P387" s="2" t="str">
        <f aca="false">CONCATENATE(N387," ",O387)</f>
        <v>Pardosa lugubris</v>
      </c>
      <c r="Q387" s="1" t="s">
        <v>30</v>
      </c>
      <c r="R387" s="1" t="s">
        <v>35</v>
      </c>
      <c r="S387" s="1" t="n">
        <v>0</v>
      </c>
      <c r="T387" s="1" t="n">
        <v>1</v>
      </c>
      <c r="U387" s="1" t="n">
        <v>0</v>
      </c>
      <c r="V387" s="1" t="n">
        <v>0</v>
      </c>
      <c r="W387" s="1" t="n">
        <v>0</v>
      </c>
      <c r="X387" s="1" t="n">
        <v>0</v>
      </c>
      <c r="Y387" s="3" t="n">
        <f aca="false">SUM(S387:T387)</f>
        <v>1</v>
      </c>
      <c r="Z387" s="3" t="n">
        <f aca="false">SUM(U387:W387)</f>
        <v>0</v>
      </c>
      <c r="AA387" s="3" t="n">
        <f aca="false">SUM(S387:X387)</f>
        <v>1</v>
      </c>
      <c r="AB387" s="11" t="n">
        <f aca="false">(AA387/(K387*L387)*25)*4</f>
        <v>4</v>
      </c>
    </row>
    <row r="388" customFormat="false" ht="14.25" hidden="false" customHeight="false" outlineLevel="0" collapsed="false">
      <c r="A388" s="1" t="n">
        <v>2009</v>
      </c>
      <c r="B388" s="7" t="s">
        <v>322</v>
      </c>
      <c r="C388" s="7" t="n">
        <v>2</v>
      </c>
      <c r="D388" s="7" t="s">
        <v>294</v>
      </c>
      <c r="E388" s="7" t="s">
        <v>294</v>
      </c>
      <c r="F388" s="7" t="s">
        <v>83</v>
      </c>
      <c r="G388" s="1" t="n">
        <v>1</v>
      </c>
      <c r="H388" s="1" t="n">
        <v>1</v>
      </c>
      <c r="I388" s="10" t="n">
        <v>39969</v>
      </c>
      <c r="J388" s="10" t="n">
        <v>39974</v>
      </c>
      <c r="K388" s="1" t="n">
        <v>5</v>
      </c>
      <c r="L388" s="1" t="n">
        <v>5</v>
      </c>
      <c r="M388" s="3" t="s">
        <v>48</v>
      </c>
      <c r="N388" s="3" t="s">
        <v>61</v>
      </c>
      <c r="O388" s="3" t="s">
        <v>82</v>
      </c>
      <c r="P388" s="2" t="str">
        <f aca="false">CONCATENATE(N388," ",O388)</f>
        <v>Trochosa terricola</v>
      </c>
      <c r="Q388" s="1" t="s">
        <v>30</v>
      </c>
      <c r="R388" s="1" t="s">
        <v>31</v>
      </c>
      <c r="S388" s="1" t="n">
        <v>1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0</v>
      </c>
      <c r="Y388" s="3" t="n">
        <f aca="false">SUM(S388:T388)</f>
        <v>1</v>
      </c>
      <c r="Z388" s="3" t="n">
        <f aca="false">SUM(U388:W388)</f>
        <v>0</v>
      </c>
      <c r="AA388" s="3" t="n">
        <f aca="false">SUM(S388:X388)</f>
        <v>1</v>
      </c>
      <c r="AB388" s="11" t="n">
        <f aca="false">(AA388/(K388*L388)*25)*4</f>
        <v>4</v>
      </c>
    </row>
    <row r="389" customFormat="false" ht="14.25" hidden="false" customHeight="false" outlineLevel="0" collapsed="false">
      <c r="A389" s="1" t="n">
        <v>2009</v>
      </c>
      <c r="B389" s="7" t="s">
        <v>322</v>
      </c>
      <c r="C389" s="7" t="n">
        <v>2</v>
      </c>
      <c r="D389" s="7" t="s">
        <v>294</v>
      </c>
      <c r="E389" s="7" t="s">
        <v>294</v>
      </c>
      <c r="F389" s="7" t="s">
        <v>83</v>
      </c>
      <c r="G389" s="1" t="n">
        <v>1</v>
      </c>
      <c r="H389" s="1" t="n">
        <v>1</v>
      </c>
      <c r="I389" s="10" t="n">
        <v>39969</v>
      </c>
      <c r="J389" s="10" t="n">
        <v>39974</v>
      </c>
      <c r="K389" s="1" t="n">
        <v>5</v>
      </c>
      <c r="L389" s="1" t="n">
        <v>5</v>
      </c>
      <c r="M389" s="3" t="s">
        <v>72</v>
      </c>
      <c r="N389" s="3" t="s">
        <v>86</v>
      </c>
      <c r="O389" s="8" t="s">
        <v>87</v>
      </c>
      <c r="P389" s="2" t="str">
        <f aca="false">CONCATENATE(N389," ",O389)</f>
        <v>Haplodrassus soerenseni</v>
      </c>
      <c r="Q389" s="1" t="s">
        <v>30</v>
      </c>
      <c r="R389" s="1" t="s">
        <v>31</v>
      </c>
      <c r="S389" s="1" t="n">
        <v>1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3" t="n">
        <f aca="false">SUM(S389:T389)</f>
        <v>1</v>
      </c>
      <c r="Z389" s="3" t="n">
        <f aca="false">SUM(U389:W389)</f>
        <v>0</v>
      </c>
      <c r="AA389" s="3" t="n">
        <f aca="false">SUM(S389:X389)</f>
        <v>1</v>
      </c>
      <c r="AB389" s="11" t="n">
        <f aca="false">(AA389/(K389*L389)*25)*4</f>
        <v>4</v>
      </c>
    </row>
    <row r="390" customFormat="false" ht="14.25" hidden="false" customHeight="false" outlineLevel="0" collapsed="false">
      <c r="A390" s="1" t="n">
        <v>2009</v>
      </c>
      <c r="B390" s="7" t="s">
        <v>322</v>
      </c>
      <c r="C390" s="7" t="n">
        <v>2</v>
      </c>
      <c r="D390" s="7" t="s">
        <v>294</v>
      </c>
      <c r="E390" s="7" t="s">
        <v>294</v>
      </c>
      <c r="F390" s="7" t="s">
        <v>83</v>
      </c>
      <c r="G390" s="1" t="n">
        <v>1</v>
      </c>
      <c r="H390" s="1" t="n">
        <v>1</v>
      </c>
      <c r="I390" s="10" t="n">
        <v>39969</v>
      </c>
      <c r="J390" s="10" t="n">
        <v>39974</v>
      </c>
      <c r="K390" s="1" t="n">
        <v>5</v>
      </c>
      <c r="L390" s="1" t="n">
        <v>5</v>
      </c>
      <c r="M390" s="3" t="s">
        <v>72</v>
      </c>
      <c r="N390" s="3" t="s">
        <v>73</v>
      </c>
      <c r="O390" s="3" t="s">
        <v>74</v>
      </c>
      <c r="P390" s="2" t="str">
        <f aca="false">CONCATENATE(N390," ",O390)</f>
        <v>Zelotes subterraneus</v>
      </c>
      <c r="Q390" s="1" t="s">
        <v>30</v>
      </c>
      <c r="R390" s="1" t="s">
        <v>31</v>
      </c>
      <c r="S390" s="1" t="n">
        <v>1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3" t="n">
        <f aca="false">SUM(S390:T390)</f>
        <v>1</v>
      </c>
      <c r="Z390" s="3" t="n">
        <f aca="false">SUM(U390:W390)</f>
        <v>0</v>
      </c>
      <c r="AA390" s="3" t="n">
        <f aca="false">SUM(S390:X390)</f>
        <v>1</v>
      </c>
      <c r="AB390" s="11" t="n">
        <f aca="false">(AA390/(K390*L390)*25)*4</f>
        <v>4</v>
      </c>
    </row>
    <row r="391" customFormat="false" ht="14.25" hidden="false" customHeight="false" outlineLevel="0" collapsed="false">
      <c r="A391" s="1" t="n">
        <v>2009</v>
      </c>
      <c r="B391" s="7" t="s">
        <v>322</v>
      </c>
      <c r="C391" s="7" t="n">
        <v>2</v>
      </c>
      <c r="D391" s="7" t="s">
        <v>294</v>
      </c>
      <c r="E391" s="7" t="s">
        <v>294</v>
      </c>
      <c r="F391" s="7" t="s">
        <v>83</v>
      </c>
      <c r="G391" s="1" t="n">
        <v>1</v>
      </c>
      <c r="H391" s="1" t="n">
        <v>1</v>
      </c>
      <c r="I391" s="10" t="n">
        <v>39969</v>
      </c>
      <c r="J391" s="10" t="n">
        <v>39974</v>
      </c>
      <c r="K391" s="1" t="n">
        <v>5</v>
      </c>
      <c r="L391" s="1" t="n">
        <v>5</v>
      </c>
      <c r="M391" s="3" t="s">
        <v>36</v>
      </c>
      <c r="N391" s="3" t="s">
        <v>131</v>
      </c>
      <c r="O391" s="3" t="s">
        <v>133</v>
      </c>
      <c r="P391" s="2" t="str">
        <f aca="false">CONCATENATE(N391," ",O391)</f>
        <v>Xysticus luctuosus</v>
      </c>
      <c r="Q391" s="1" t="s">
        <v>30</v>
      </c>
      <c r="R391" s="1" t="s">
        <v>31</v>
      </c>
      <c r="S391" s="1" t="n">
        <v>1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0</v>
      </c>
      <c r="Y391" s="3" t="n">
        <f aca="false">SUM(S391:T391)</f>
        <v>1</v>
      </c>
      <c r="Z391" s="3" t="n">
        <f aca="false">SUM(U391:W391)</f>
        <v>0</v>
      </c>
      <c r="AA391" s="3" t="n">
        <f aca="false">SUM(S391:X391)</f>
        <v>1</v>
      </c>
      <c r="AB391" s="11" t="n">
        <f aca="false">(AA391/(K391*L391)*25)*4</f>
        <v>4</v>
      </c>
    </row>
    <row r="392" customFormat="false" ht="14.25" hidden="false" customHeight="false" outlineLevel="0" collapsed="false">
      <c r="A392" s="1" t="n">
        <v>2009</v>
      </c>
      <c r="B392" s="7" t="s">
        <v>322</v>
      </c>
      <c r="C392" s="7" t="n">
        <v>2</v>
      </c>
      <c r="D392" s="7" t="s">
        <v>294</v>
      </c>
      <c r="E392" s="7" t="s">
        <v>294</v>
      </c>
      <c r="F392" s="7" t="s">
        <v>83</v>
      </c>
      <c r="G392" s="1" t="n">
        <v>1</v>
      </c>
      <c r="H392" s="1" t="n">
        <v>1</v>
      </c>
      <c r="I392" s="10" t="n">
        <v>39969</v>
      </c>
      <c r="J392" s="10" t="n">
        <v>39974</v>
      </c>
      <c r="K392" s="1" t="n">
        <v>5</v>
      </c>
      <c r="L392" s="1" t="n">
        <v>5</v>
      </c>
      <c r="M392" s="3" t="s">
        <v>144</v>
      </c>
      <c r="N392" s="3" t="s">
        <v>145</v>
      </c>
      <c r="O392" s="3" t="s">
        <v>146</v>
      </c>
      <c r="P392" s="2" t="str">
        <f aca="false">CONCATENATE(N392," ",O392)</f>
        <v>Phrurolithus festivus</v>
      </c>
      <c r="Q392" s="1" t="s">
        <v>30</v>
      </c>
      <c r="R392" s="1" t="s">
        <v>31</v>
      </c>
      <c r="S392" s="1" t="n">
        <v>1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0</v>
      </c>
      <c r="Y392" s="3" t="n">
        <f aca="false">SUM(S392:T392)</f>
        <v>1</v>
      </c>
      <c r="Z392" s="3" t="n">
        <f aca="false">SUM(U392:W392)</f>
        <v>0</v>
      </c>
      <c r="AA392" s="3" t="n">
        <f aca="false">SUM(S392:X392)</f>
        <v>1</v>
      </c>
      <c r="AB392" s="11" t="n">
        <f aca="false">(AA392/(K392*L392)*25)*4</f>
        <v>4</v>
      </c>
    </row>
    <row r="393" customFormat="false" ht="14.25" hidden="false" customHeight="false" outlineLevel="0" collapsed="false">
      <c r="A393" s="1" t="n">
        <v>2009</v>
      </c>
      <c r="B393" s="7" t="s">
        <v>322</v>
      </c>
      <c r="C393" s="7" t="n">
        <v>2</v>
      </c>
      <c r="D393" s="7" t="s">
        <v>294</v>
      </c>
      <c r="E393" s="7" t="s">
        <v>294</v>
      </c>
      <c r="F393" s="7" t="s">
        <v>83</v>
      </c>
      <c r="G393" s="1" t="n">
        <v>1</v>
      </c>
      <c r="H393" s="1" t="n">
        <v>1</v>
      </c>
      <c r="I393" s="10" t="n">
        <v>39969</v>
      </c>
      <c r="J393" s="10" t="n">
        <v>39974</v>
      </c>
      <c r="K393" s="1" t="n">
        <v>5</v>
      </c>
      <c r="L393" s="1" t="n">
        <v>5</v>
      </c>
      <c r="M393" s="3" t="s">
        <v>32</v>
      </c>
      <c r="N393" s="3" t="s">
        <v>102</v>
      </c>
      <c r="O393" s="3" t="s">
        <v>192</v>
      </c>
      <c r="P393" s="2" t="str">
        <f aca="false">CONCATENATE(N393," ",O393)</f>
        <v>Agyneta allosubtilis</v>
      </c>
      <c r="Q393" s="1" t="s">
        <v>30</v>
      </c>
      <c r="R393" s="1" t="s">
        <v>31</v>
      </c>
      <c r="S393" s="1" t="n">
        <v>1</v>
      </c>
      <c r="T393" s="1" t="n">
        <v>0</v>
      </c>
      <c r="U393" s="1" t="n">
        <v>0</v>
      </c>
      <c r="V393" s="1" t="n">
        <v>0</v>
      </c>
      <c r="W393" s="1" t="n">
        <v>0</v>
      </c>
      <c r="X393" s="1" t="n">
        <v>0</v>
      </c>
      <c r="Y393" s="3" t="n">
        <f aca="false">SUM(S393:T393)</f>
        <v>1</v>
      </c>
      <c r="Z393" s="3" t="n">
        <f aca="false">SUM(U393:W393)</f>
        <v>0</v>
      </c>
      <c r="AA393" s="3" t="n">
        <f aca="false">SUM(S393:X393)</f>
        <v>1</v>
      </c>
      <c r="AB393" s="11" t="n">
        <f aca="false">(AA393/(K393*L393)*25)*4</f>
        <v>4</v>
      </c>
    </row>
    <row r="394" customFormat="false" ht="14.25" hidden="false" customHeight="false" outlineLevel="0" collapsed="false">
      <c r="A394" s="1" t="n">
        <v>2009</v>
      </c>
      <c r="B394" s="7" t="s">
        <v>322</v>
      </c>
      <c r="C394" s="7" t="n">
        <v>2</v>
      </c>
      <c r="D394" s="7" t="s">
        <v>294</v>
      </c>
      <c r="E394" s="7" t="s">
        <v>294</v>
      </c>
      <c r="F394" s="7" t="s">
        <v>83</v>
      </c>
      <c r="G394" s="1" t="n">
        <v>1</v>
      </c>
      <c r="H394" s="1" t="n">
        <v>1</v>
      </c>
      <c r="I394" s="10" t="n">
        <v>39969</v>
      </c>
      <c r="J394" s="10" t="n">
        <v>39974</v>
      </c>
      <c r="K394" s="1" t="n">
        <v>5</v>
      </c>
      <c r="L394" s="1" t="n">
        <v>5</v>
      </c>
      <c r="M394" s="3" t="s">
        <v>32</v>
      </c>
      <c r="N394" s="3" t="s">
        <v>55</v>
      </c>
      <c r="O394" s="3" t="s">
        <v>56</v>
      </c>
      <c r="P394" s="2" t="str">
        <f aca="false">CONCATENATE(N394," ",O394)</f>
        <v>Maro minutus</v>
      </c>
      <c r="Q394" s="1" t="s">
        <v>30</v>
      </c>
      <c r="R394" s="1" t="s">
        <v>31</v>
      </c>
      <c r="S394" s="1" t="n">
        <v>1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  <c r="Y394" s="3" t="n">
        <f aca="false">SUM(S394:T394)</f>
        <v>1</v>
      </c>
      <c r="Z394" s="3" t="n">
        <f aca="false">SUM(U394:W394)</f>
        <v>0</v>
      </c>
      <c r="AA394" s="3" t="n">
        <f aca="false">SUM(S394:X394)</f>
        <v>1</v>
      </c>
      <c r="AB394" s="11" t="n">
        <f aca="false">(AA394/(K394*L394)*25)*4</f>
        <v>4</v>
      </c>
    </row>
    <row r="395" customFormat="false" ht="14.25" hidden="false" customHeight="false" outlineLevel="0" collapsed="false">
      <c r="A395" s="1" t="n">
        <v>2009</v>
      </c>
      <c r="B395" s="7" t="s">
        <v>322</v>
      </c>
      <c r="C395" s="7" t="n">
        <v>2</v>
      </c>
      <c r="D395" s="7" t="s">
        <v>294</v>
      </c>
      <c r="E395" s="7" t="s">
        <v>294</v>
      </c>
      <c r="F395" s="7" t="s">
        <v>83</v>
      </c>
      <c r="G395" s="1" t="n">
        <v>1</v>
      </c>
      <c r="H395" s="1" t="n">
        <v>2</v>
      </c>
      <c r="I395" s="10" t="n">
        <v>39969</v>
      </c>
      <c r="J395" s="10" t="n">
        <v>39974</v>
      </c>
      <c r="K395" s="1" t="n">
        <v>5</v>
      </c>
      <c r="L395" s="1" t="n">
        <v>5</v>
      </c>
      <c r="M395" s="3" t="s">
        <v>48</v>
      </c>
      <c r="N395" s="3" t="s">
        <v>49</v>
      </c>
      <c r="O395" s="3" t="s">
        <v>104</v>
      </c>
      <c r="P395" s="2" t="str">
        <f aca="false">CONCATENATE(N395," ",O395)</f>
        <v>Alopecosa taeniata</v>
      </c>
      <c r="Q395" s="1" t="s">
        <v>30</v>
      </c>
      <c r="R395" s="1" t="s">
        <v>31</v>
      </c>
      <c r="S395" s="1" t="n">
        <v>4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3" t="n">
        <f aca="false">SUM(S395:T395)</f>
        <v>4</v>
      </c>
      <c r="Z395" s="3" t="n">
        <f aca="false">SUM(U395:W395)</f>
        <v>0</v>
      </c>
      <c r="AA395" s="3" t="n">
        <f aca="false">SUM(S395:X395)</f>
        <v>4</v>
      </c>
      <c r="AB395" s="11" t="n">
        <f aca="false">(AA395/(K395*L395)*25)*4</f>
        <v>16</v>
      </c>
    </row>
    <row r="396" customFormat="false" ht="14.25" hidden="false" customHeight="false" outlineLevel="0" collapsed="false">
      <c r="A396" s="1" t="n">
        <v>2009</v>
      </c>
      <c r="B396" s="7" t="s">
        <v>322</v>
      </c>
      <c r="C396" s="7" t="n">
        <v>2</v>
      </c>
      <c r="D396" s="7" t="s">
        <v>294</v>
      </c>
      <c r="E396" s="7" t="s">
        <v>294</v>
      </c>
      <c r="F396" s="7" t="s">
        <v>83</v>
      </c>
      <c r="G396" s="1" t="n">
        <v>1</v>
      </c>
      <c r="H396" s="1" t="n">
        <v>2</v>
      </c>
      <c r="I396" s="10" t="n">
        <v>39969</v>
      </c>
      <c r="J396" s="10" t="n">
        <v>39974</v>
      </c>
      <c r="K396" s="1" t="n">
        <v>5</v>
      </c>
      <c r="L396" s="1" t="n">
        <v>5</v>
      </c>
      <c r="M396" s="3" t="s">
        <v>48</v>
      </c>
      <c r="N396" s="3" t="s">
        <v>67</v>
      </c>
      <c r="O396" s="3" t="s">
        <v>127</v>
      </c>
      <c r="P396" s="2" t="str">
        <f aca="false">CONCATENATE(N396," ",O396)</f>
        <v>Pardosa lugubris</v>
      </c>
      <c r="Q396" s="1" t="s">
        <v>30</v>
      </c>
      <c r="R396" s="1" t="s">
        <v>31</v>
      </c>
      <c r="S396" s="1" t="n">
        <v>8</v>
      </c>
      <c r="T396" s="1" t="n">
        <v>0</v>
      </c>
      <c r="U396" s="1" t="n">
        <v>0</v>
      </c>
      <c r="V396" s="1" t="n">
        <v>0</v>
      </c>
      <c r="W396" s="1" t="n">
        <v>0</v>
      </c>
      <c r="X396" s="1" t="n">
        <v>0</v>
      </c>
      <c r="Y396" s="3" t="n">
        <f aca="false">SUM(S396:T396)</f>
        <v>8</v>
      </c>
      <c r="Z396" s="3" t="n">
        <f aca="false">SUM(U396:W396)</f>
        <v>0</v>
      </c>
      <c r="AA396" s="3" t="n">
        <f aca="false">SUM(S396:X396)</f>
        <v>8</v>
      </c>
      <c r="AB396" s="11" t="n">
        <f aca="false">(AA396/(K396*L396)*25)*4</f>
        <v>32</v>
      </c>
    </row>
    <row r="397" customFormat="false" ht="14.25" hidden="false" customHeight="false" outlineLevel="0" collapsed="false">
      <c r="A397" s="1" t="n">
        <v>2009</v>
      </c>
      <c r="B397" s="7" t="s">
        <v>322</v>
      </c>
      <c r="C397" s="7" t="n">
        <v>2</v>
      </c>
      <c r="D397" s="7" t="s">
        <v>294</v>
      </c>
      <c r="E397" s="7" t="s">
        <v>294</v>
      </c>
      <c r="F397" s="7" t="s">
        <v>83</v>
      </c>
      <c r="G397" s="1" t="n">
        <v>1</v>
      </c>
      <c r="H397" s="1" t="n">
        <v>2</v>
      </c>
      <c r="I397" s="10" t="n">
        <v>39969</v>
      </c>
      <c r="J397" s="10" t="n">
        <v>39974</v>
      </c>
      <c r="K397" s="1" t="n">
        <v>5</v>
      </c>
      <c r="L397" s="1" t="n">
        <v>5</v>
      </c>
      <c r="M397" s="3" t="s">
        <v>48</v>
      </c>
      <c r="N397" s="3" t="s">
        <v>67</v>
      </c>
      <c r="O397" s="3" t="s">
        <v>127</v>
      </c>
      <c r="P397" s="2" t="str">
        <f aca="false">CONCATENATE(N397," ",O397)</f>
        <v>Pardosa lugubris</v>
      </c>
      <c r="Q397" s="1" t="s">
        <v>30</v>
      </c>
      <c r="R397" s="1" t="s">
        <v>35</v>
      </c>
      <c r="S397" s="1" t="n">
        <v>0</v>
      </c>
      <c r="T397" s="1" t="n">
        <v>1</v>
      </c>
      <c r="U397" s="1" t="n">
        <v>0</v>
      </c>
      <c r="V397" s="1" t="n">
        <v>0</v>
      </c>
      <c r="W397" s="1" t="n">
        <v>0</v>
      </c>
      <c r="X397" s="1" t="n">
        <v>0</v>
      </c>
      <c r="Y397" s="3" t="n">
        <f aca="false">SUM(S397:T397)</f>
        <v>1</v>
      </c>
      <c r="Z397" s="3" t="n">
        <f aca="false">SUM(U397:W397)</f>
        <v>0</v>
      </c>
      <c r="AA397" s="3" t="n">
        <f aca="false">SUM(S397:X397)</f>
        <v>1</v>
      </c>
      <c r="AB397" s="11" t="n">
        <f aca="false">(AA397/(K397*L397)*25)*4</f>
        <v>4</v>
      </c>
    </row>
    <row r="398" customFormat="false" ht="14.25" hidden="false" customHeight="false" outlineLevel="0" collapsed="false">
      <c r="A398" s="1" t="n">
        <v>2009</v>
      </c>
      <c r="B398" s="7" t="s">
        <v>322</v>
      </c>
      <c r="C398" s="7" t="n">
        <v>2</v>
      </c>
      <c r="D398" s="7" t="s">
        <v>294</v>
      </c>
      <c r="E398" s="7" t="s">
        <v>294</v>
      </c>
      <c r="F398" s="7" t="s">
        <v>83</v>
      </c>
      <c r="G398" s="1" t="n">
        <v>1</v>
      </c>
      <c r="H398" s="1" t="n">
        <v>2</v>
      </c>
      <c r="I398" s="10" t="n">
        <v>39969</v>
      </c>
      <c r="J398" s="10" t="n">
        <v>39974</v>
      </c>
      <c r="K398" s="1" t="n">
        <v>5</v>
      </c>
      <c r="L398" s="1" t="n">
        <v>5</v>
      </c>
      <c r="M398" s="3" t="s">
        <v>72</v>
      </c>
      <c r="N398" s="3" t="s">
        <v>73</v>
      </c>
      <c r="O398" s="3" t="s">
        <v>74</v>
      </c>
      <c r="P398" s="2" t="str">
        <f aca="false">CONCATENATE(N398," ",O398)</f>
        <v>Zelotes subterraneus</v>
      </c>
      <c r="Q398" s="1" t="s">
        <v>30</v>
      </c>
      <c r="R398" s="1" t="s">
        <v>31</v>
      </c>
      <c r="S398" s="1" t="n">
        <v>1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3" t="n">
        <f aca="false">SUM(S398:T398)</f>
        <v>1</v>
      </c>
      <c r="Z398" s="3" t="n">
        <f aca="false">SUM(U398:W398)</f>
        <v>0</v>
      </c>
      <c r="AA398" s="3" t="n">
        <f aca="false">SUM(S398:X398)</f>
        <v>1</v>
      </c>
      <c r="AB398" s="11" t="n">
        <f aca="false">(AA398/(K398*L398)*25)*4</f>
        <v>4</v>
      </c>
    </row>
    <row r="399" customFormat="false" ht="14.25" hidden="false" customHeight="false" outlineLevel="0" collapsed="false">
      <c r="A399" s="1" t="n">
        <v>2009</v>
      </c>
      <c r="B399" s="7" t="s">
        <v>322</v>
      </c>
      <c r="C399" s="7" t="n">
        <v>2</v>
      </c>
      <c r="D399" s="7" t="s">
        <v>294</v>
      </c>
      <c r="E399" s="7" t="s">
        <v>294</v>
      </c>
      <c r="F399" s="7" t="s">
        <v>83</v>
      </c>
      <c r="G399" s="1" t="n">
        <v>1</v>
      </c>
      <c r="H399" s="1" t="n">
        <v>2</v>
      </c>
      <c r="I399" s="10" t="n">
        <v>39969</v>
      </c>
      <c r="J399" s="10" t="n">
        <v>39974</v>
      </c>
      <c r="K399" s="1" t="n">
        <v>5</v>
      </c>
      <c r="L399" s="1" t="n">
        <v>5</v>
      </c>
      <c r="M399" s="3" t="s">
        <v>72</v>
      </c>
      <c r="N399" s="3" t="s">
        <v>86</v>
      </c>
      <c r="O399" s="8" t="s">
        <v>87</v>
      </c>
      <c r="P399" s="2" t="str">
        <f aca="false">CONCATENATE(N399," ",O399)</f>
        <v>Haplodrassus soerenseni</v>
      </c>
      <c r="Q399" s="1" t="s">
        <v>30</v>
      </c>
      <c r="R399" s="1" t="s">
        <v>35</v>
      </c>
      <c r="S399" s="1" t="n">
        <v>0</v>
      </c>
      <c r="T399" s="1" t="n">
        <v>1</v>
      </c>
      <c r="U399" s="1" t="n">
        <v>0</v>
      </c>
      <c r="V399" s="1" t="n">
        <v>0</v>
      </c>
      <c r="W399" s="1" t="n">
        <v>0</v>
      </c>
      <c r="X399" s="1" t="n">
        <v>0</v>
      </c>
      <c r="Y399" s="3" t="n">
        <f aca="false">SUM(S399:T399)</f>
        <v>1</v>
      </c>
      <c r="Z399" s="3" t="n">
        <f aca="false">SUM(U399:W399)</f>
        <v>0</v>
      </c>
      <c r="AA399" s="3" t="n">
        <f aca="false">SUM(S399:X399)</f>
        <v>1</v>
      </c>
      <c r="AB399" s="11" t="n">
        <f aca="false">(AA399/(K399*L399)*25)*4</f>
        <v>4</v>
      </c>
    </row>
    <row r="400" customFormat="false" ht="14.25" hidden="false" customHeight="false" outlineLevel="0" collapsed="false">
      <c r="A400" s="1" t="n">
        <v>2009</v>
      </c>
      <c r="B400" s="7" t="s">
        <v>322</v>
      </c>
      <c r="C400" s="7" t="n">
        <v>2</v>
      </c>
      <c r="D400" s="7" t="s">
        <v>294</v>
      </c>
      <c r="E400" s="7" t="s">
        <v>294</v>
      </c>
      <c r="F400" s="7" t="s">
        <v>83</v>
      </c>
      <c r="G400" s="1" t="n">
        <v>1</v>
      </c>
      <c r="H400" s="1" t="n">
        <v>2</v>
      </c>
      <c r="I400" s="10" t="n">
        <v>39969</v>
      </c>
      <c r="J400" s="10" t="n">
        <v>39974</v>
      </c>
      <c r="K400" s="1" t="n">
        <v>5</v>
      </c>
      <c r="L400" s="1" t="n">
        <v>5</v>
      </c>
      <c r="M400" s="3" t="s">
        <v>64</v>
      </c>
      <c r="N400" s="3" t="s">
        <v>65</v>
      </c>
      <c r="O400" s="3" t="s">
        <v>123</v>
      </c>
      <c r="P400" s="2" t="str">
        <f aca="false">CONCATENATE(N400," ",O400)</f>
        <v>Zora nemoralis</v>
      </c>
      <c r="Q400" s="1" t="s">
        <v>30</v>
      </c>
      <c r="R400" s="1" t="s">
        <v>31</v>
      </c>
      <c r="S400" s="1" t="n">
        <v>1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0</v>
      </c>
      <c r="Y400" s="3" t="n">
        <f aca="false">SUM(S400:T400)</f>
        <v>1</v>
      </c>
      <c r="Z400" s="3" t="n">
        <f aca="false">SUM(U400:W400)</f>
        <v>0</v>
      </c>
      <c r="AA400" s="3" t="n">
        <f aca="false">SUM(S400:X400)</f>
        <v>1</v>
      </c>
      <c r="AB400" s="11" t="n">
        <f aca="false">(AA400/(K400*L400)*25)*4</f>
        <v>4</v>
      </c>
    </row>
    <row r="401" customFormat="false" ht="14.25" hidden="false" customHeight="false" outlineLevel="0" collapsed="false">
      <c r="A401" s="1" t="n">
        <v>2009</v>
      </c>
      <c r="B401" s="7" t="s">
        <v>322</v>
      </c>
      <c r="C401" s="7" t="n">
        <v>2</v>
      </c>
      <c r="D401" s="7" t="s">
        <v>294</v>
      </c>
      <c r="E401" s="7" t="s">
        <v>294</v>
      </c>
      <c r="F401" s="7" t="s">
        <v>83</v>
      </c>
      <c r="G401" s="1" t="n">
        <v>1</v>
      </c>
      <c r="H401" s="1" t="n">
        <v>2</v>
      </c>
      <c r="I401" s="10" t="n">
        <v>39969</v>
      </c>
      <c r="J401" s="10" t="n">
        <v>39974</v>
      </c>
      <c r="K401" s="1" t="n">
        <v>5</v>
      </c>
      <c r="L401" s="1" t="n">
        <v>5</v>
      </c>
      <c r="M401" s="3" t="s">
        <v>36</v>
      </c>
      <c r="N401" s="3" t="s">
        <v>131</v>
      </c>
      <c r="O401" s="3" t="s">
        <v>133</v>
      </c>
      <c r="P401" s="2" t="str">
        <f aca="false">CONCATENATE(N401," ",O401)</f>
        <v>Xysticus luctuosus</v>
      </c>
      <c r="Q401" s="1" t="s">
        <v>30</v>
      </c>
      <c r="R401" s="1" t="s">
        <v>31</v>
      </c>
      <c r="S401" s="1" t="n">
        <v>1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3" t="n">
        <f aca="false">SUM(S401:T401)</f>
        <v>1</v>
      </c>
      <c r="Z401" s="3" t="n">
        <f aca="false">SUM(U401:W401)</f>
        <v>0</v>
      </c>
      <c r="AA401" s="3" t="n">
        <f aca="false">SUM(S401:X401)</f>
        <v>1</v>
      </c>
      <c r="AB401" s="11" t="n">
        <f aca="false">(AA401/(K401*L401)*25)*4</f>
        <v>4</v>
      </c>
    </row>
    <row r="402" customFormat="false" ht="14.25" hidden="false" customHeight="false" outlineLevel="0" collapsed="false">
      <c r="A402" s="1" t="n">
        <v>2009</v>
      </c>
      <c r="B402" s="7" t="s">
        <v>322</v>
      </c>
      <c r="C402" s="7" t="n">
        <v>2</v>
      </c>
      <c r="D402" s="7" t="s">
        <v>294</v>
      </c>
      <c r="E402" s="7" t="s">
        <v>294</v>
      </c>
      <c r="F402" s="7" t="s">
        <v>83</v>
      </c>
      <c r="G402" s="1" t="n">
        <v>1</v>
      </c>
      <c r="H402" s="1" t="n">
        <v>2</v>
      </c>
      <c r="I402" s="10" t="n">
        <v>39969</v>
      </c>
      <c r="J402" s="10" t="n">
        <v>39974</v>
      </c>
      <c r="K402" s="1" t="n">
        <v>5</v>
      </c>
      <c r="L402" s="1" t="n">
        <v>5</v>
      </c>
      <c r="M402" s="3" t="s">
        <v>124</v>
      </c>
      <c r="N402" s="3" t="s">
        <v>125</v>
      </c>
      <c r="O402" s="3" t="s">
        <v>126</v>
      </c>
      <c r="P402" s="2" t="str">
        <f aca="false">CONCATENATE(N402," ",O402)</f>
        <v>Hahnia ononidum</v>
      </c>
      <c r="Q402" s="1" t="s">
        <v>30</v>
      </c>
      <c r="R402" s="1" t="s">
        <v>35</v>
      </c>
      <c r="S402" s="1" t="n">
        <v>0</v>
      </c>
      <c r="T402" s="1" t="n">
        <v>1</v>
      </c>
      <c r="U402" s="1" t="n">
        <v>0</v>
      </c>
      <c r="V402" s="1" t="n">
        <v>0</v>
      </c>
      <c r="W402" s="1" t="n">
        <v>0</v>
      </c>
      <c r="X402" s="1" t="n">
        <v>0</v>
      </c>
      <c r="Y402" s="3" t="n">
        <f aca="false">SUM(S402:T402)</f>
        <v>1</v>
      </c>
      <c r="Z402" s="3" t="n">
        <f aca="false">SUM(U402:W402)</f>
        <v>0</v>
      </c>
      <c r="AA402" s="3" t="n">
        <f aca="false">SUM(S402:X402)</f>
        <v>1</v>
      </c>
      <c r="AB402" s="11" t="n">
        <f aca="false">(AA402/(K402*L402)*25)*4</f>
        <v>4</v>
      </c>
    </row>
    <row r="403" customFormat="false" ht="14.25" hidden="false" customHeight="false" outlineLevel="0" collapsed="false">
      <c r="A403" s="1" t="n">
        <v>2009</v>
      </c>
      <c r="B403" s="7" t="s">
        <v>322</v>
      </c>
      <c r="C403" s="7" t="n">
        <v>2</v>
      </c>
      <c r="D403" s="7" t="s">
        <v>294</v>
      </c>
      <c r="E403" s="7" t="s">
        <v>294</v>
      </c>
      <c r="F403" s="7" t="s">
        <v>83</v>
      </c>
      <c r="G403" s="1" t="n">
        <v>1</v>
      </c>
      <c r="H403" s="1" t="n">
        <v>2</v>
      </c>
      <c r="I403" s="10" t="n">
        <v>39969</v>
      </c>
      <c r="J403" s="10" t="n">
        <v>39974</v>
      </c>
      <c r="K403" s="1" t="n">
        <v>5</v>
      </c>
      <c r="L403" s="1" t="n">
        <v>5</v>
      </c>
      <c r="M403" s="3" t="s">
        <v>32</v>
      </c>
      <c r="N403" s="3" t="s">
        <v>113</v>
      </c>
      <c r="O403" s="8" t="s">
        <v>114</v>
      </c>
      <c r="P403" s="2" t="str">
        <f aca="false">CONCATENATE(N403," ",O403)</f>
        <v>Ceratinella brevipes</v>
      </c>
      <c r="Q403" s="1" t="s">
        <v>30</v>
      </c>
      <c r="R403" s="1" t="s">
        <v>35</v>
      </c>
      <c r="S403" s="1" t="n">
        <v>0</v>
      </c>
      <c r="T403" s="1" t="n">
        <v>1</v>
      </c>
      <c r="U403" s="1" t="n">
        <v>0</v>
      </c>
      <c r="V403" s="1" t="n">
        <v>0</v>
      </c>
      <c r="W403" s="1" t="n">
        <v>0</v>
      </c>
      <c r="X403" s="1" t="n">
        <v>0</v>
      </c>
      <c r="Y403" s="3" t="n">
        <f aca="false">SUM(S403:T403)</f>
        <v>1</v>
      </c>
      <c r="Z403" s="3" t="n">
        <f aca="false">SUM(U403:W403)</f>
        <v>0</v>
      </c>
      <c r="AA403" s="3" t="n">
        <f aca="false">SUM(S403:X403)</f>
        <v>1</v>
      </c>
      <c r="AB403" s="11" t="n">
        <f aca="false">(AA403/(K403*L403)*25)*4</f>
        <v>4</v>
      </c>
    </row>
    <row r="404" customFormat="false" ht="14.25" hidden="false" customHeight="false" outlineLevel="0" collapsed="false">
      <c r="A404" s="1" t="n">
        <v>2009</v>
      </c>
      <c r="B404" s="7" t="s">
        <v>322</v>
      </c>
      <c r="C404" s="7" t="n">
        <v>2</v>
      </c>
      <c r="D404" s="7" t="s">
        <v>294</v>
      </c>
      <c r="E404" s="7" t="s">
        <v>294</v>
      </c>
      <c r="F404" s="7" t="s">
        <v>83</v>
      </c>
      <c r="G404" s="1" t="n">
        <v>1</v>
      </c>
      <c r="H404" s="1" t="n">
        <v>3</v>
      </c>
      <c r="I404" s="10" t="n">
        <v>39969</v>
      </c>
      <c r="J404" s="10" t="n">
        <v>39974</v>
      </c>
      <c r="K404" s="1" t="n">
        <v>5</v>
      </c>
      <c r="L404" s="1" t="n">
        <v>5</v>
      </c>
      <c r="M404" s="3" t="s">
        <v>48</v>
      </c>
      <c r="N404" s="3" t="s">
        <v>49</v>
      </c>
      <c r="O404" s="3" t="s">
        <v>104</v>
      </c>
      <c r="P404" s="2" t="str">
        <f aca="false">CONCATENATE(N404," ",O404)</f>
        <v>Alopecosa taeniata</v>
      </c>
      <c r="Q404" s="1" t="s">
        <v>30</v>
      </c>
      <c r="R404" s="1" t="s">
        <v>31</v>
      </c>
      <c r="S404" s="1" t="n">
        <v>6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3" t="n">
        <f aca="false">SUM(S404:T404)</f>
        <v>6</v>
      </c>
      <c r="Z404" s="3" t="n">
        <f aca="false">SUM(U404:W404)</f>
        <v>0</v>
      </c>
      <c r="AA404" s="3" t="n">
        <f aca="false">SUM(S404:X404)</f>
        <v>6</v>
      </c>
      <c r="AB404" s="11" t="n">
        <f aca="false">(AA404/(K404*L404)*25)*4</f>
        <v>24</v>
      </c>
    </row>
    <row r="405" customFormat="false" ht="14.25" hidden="false" customHeight="false" outlineLevel="0" collapsed="false">
      <c r="A405" s="1" t="n">
        <v>2009</v>
      </c>
      <c r="B405" s="7" t="s">
        <v>322</v>
      </c>
      <c r="C405" s="7" t="n">
        <v>2</v>
      </c>
      <c r="D405" s="7" t="s">
        <v>294</v>
      </c>
      <c r="E405" s="7" t="s">
        <v>294</v>
      </c>
      <c r="F405" s="7" t="s">
        <v>83</v>
      </c>
      <c r="G405" s="1" t="n">
        <v>1</v>
      </c>
      <c r="H405" s="1" t="n">
        <v>3</v>
      </c>
      <c r="I405" s="10" t="n">
        <v>39969</v>
      </c>
      <c r="J405" s="10" t="n">
        <v>39974</v>
      </c>
      <c r="K405" s="1" t="n">
        <v>5</v>
      </c>
      <c r="L405" s="1" t="n">
        <v>5</v>
      </c>
      <c r="M405" s="3" t="s">
        <v>48</v>
      </c>
      <c r="N405" s="3" t="s">
        <v>67</v>
      </c>
      <c r="O405" s="3" t="s">
        <v>127</v>
      </c>
      <c r="P405" s="2" t="str">
        <f aca="false">CONCATENATE(N405," ",O405)</f>
        <v>Pardosa lugubris</v>
      </c>
      <c r="Q405" s="1" t="s">
        <v>30</v>
      </c>
      <c r="R405" s="1" t="s">
        <v>31</v>
      </c>
      <c r="S405" s="1" t="n">
        <v>13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0</v>
      </c>
      <c r="Y405" s="3" t="n">
        <f aca="false">SUM(S405:T405)</f>
        <v>13</v>
      </c>
      <c r="Z405" s="3" t="n">
        <f aca="false">SUM(U405:W405)</f>
        <v>0</v>
      </c>
      <c r="AA405" s="3" t="n">
        <f aca="false">SUM(S405:X405)</f>
        <v>13</v>
      </c>
      <c r="AB405" s="11" t="n">
        <f aca="false">(AA405/(K405*L405)*25)*4</f>
        <v>52</v>
      </c>
    </row>
    <row r="406" customFormat="false" ht="14.25" hidden="false" customHeight="false" outlineLevel="0" collapsed="false">
      <c r="A406" s="1" t="n">
        <v>2009</v>
      </c>
      <c r="B406" s="7" t="s">
        <v>322</v>
      </c>
      <c r="C406" s="7" t="n">
        <v>2</v>
      </c>
      <c r="D406" s="7" t="s">
        <v>294</v>
      </c>
      <c r="E406" s="7" t="s">
        <v>294</v>
      </c>
      <c r="F406" s="7" t="s">
        <v>83</v>
      </c>
      <c r="G406" s="1" t="n">
        <v>1</v>
      </c>
      <c r="H406" s="1" t="n">
        <v>3</v>
      </c>
      <c r="I406" s="10" t="n">
        <v>39969</v>
      </c>
      <c r="J406" s="10" t="n">
        <v>39974</v>
      </c>
      <c r="K406" s="1" t="n">
        <v>5</v>
      </c>
      <c r="L406" s="1" t="n">
        <v>5</v>
      </c>
      <c r="M406" s="3" t="s">
        <v>48</v>
      </c>
      <c r="N406" s="3" t="s">
        <v>61</v>
      </c>
      <c r="O406" s="3" t="s">
        <v>82</v>
      </c>
      <c r="P406" s="2" t="str">
        <f aca="false">CONCATENATE(N406," ",O406)</f>
        <v>Trochosa terricola</v>
      </c>
      <c r="Q406" s="1" t="s">
        <v>30</v>
      </c>
      <c r="R406" s="1" t="s">
        <v>31</v>
      </c>
      <c r="S406" s="1" t="n">
        <v>1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0</v>
      </c>
      <c r="Y406" s="3" t="n">
        <f aca="false">SUM(S406:T406)</f>
        <v>1</v>
      </c>
      <c r="Z406" s="3" t="n">
        <f aca="false">SUM(U406:W406)</f>
        <v>0</v>
      </c>
      <c r="AA406" s="3" t="n">
        <f aca="false">SUM(S406:X406)</f>
        <v>1</v>
      </c>
      <c r="AB406" s="11" t="n">
        <f aca="false">(AA406/(K406*L406)*25)*4</f>
        <v>4</v>
      </c>
    </row>
    <row r="407" customFormat="false" ht="14.25" hidden="false" customHeight="false" outlineLevel="0" collapsed="false">
      <c r="A407" s="1" t="n">
        <v>2009</v>
      </c>
      <c r="B407" s="7" t="s">
        <v>322</v>
      </c>
      <c r="C407" s="7" t="n">
        <v>2</v>
      </c>
      <c r="D407" s="7" t="s">
        <v>294</v>
      </c>
      <c r="E407" s="7" t="s">
        <v>294</v>
      </c>
      <c r="F407" s="7" t="s">
        <v>83</v>
      </c>
      <c r="G407" s="1" t="n">
        <v>1</v>
      </c>
      <c r="H407" s="1" t="n">
        <v>3</v>
      </c>
      <c r="I407" s="10" t="n">
        <v>39969</v>
      </c>
      <c r="J407" s="10" t="n">
        <v>39974</v>
      </c>
      <c r="K407" s="1" t="n">
        <v>5</v>
      </c>
      <c r="L407" s="1" t="n">
        <v>5</v>
      </c>
      <c r="M407" s="3" t="s">
        <v>72</v>
      </c>
      <c r="N407" s="3" t="s">
        <v>86</v>
      </c>
      <c r="O407" s="8" t="s">
        <v>87</v>
      </c>
      <c r="P407" s="2" t="str">
        <f aca="false">CONCATENATE(N407," ",O407)</f>
        <v>Haplodrassus soerenseni</v>
      </c>
      <c r="Q407" s="1" t="s">
        <v>30</v>
      </c>
      <c r="R407" s="1" t="s">
        <v>35</v>
      </c>
      <c r="S407" s="1" t="n">
        <v>0</v>
      </c>
      <c r="T407" s="1" t="n">
        <v>1</v>
      </c>
      <c r="U407" s="1" t="n">
        <v>0</v>
      </c>
      <c r="V407" s="1" t="n">
        <v>0</v>
      </c>
      <c r="W407" s="1" t="n">
        <v>0</v>
      </c>
      <c r="X407" s="1" t="n">
        <v>0</v>
      </c>
      <c r="Y407" s="3" t="n">
        <f aca="false">SUM(S407:T407)</f>
        <v>1</v>
      </c>
      <c r="Z407" s="3" t="n">
        <f aca="false">SUM(U407:W407)</f>
        <v>0</v>
      </c>
      <c r="AA407" s="3" t="n">
        <f aca="false">SUM(S407:X407)</f>
        <v>1</v>
      </c>
      <c r="AB407" s="11" t="n">
        <f aca="false">(AA407/(K407*L407)*25)*4</f>
        <v>4</v>
      </c>
    </row>
    <row r="408" customFormat="false" ht="14.25" hidden="false" customHeight="false" outlineLevel="0" collapsed="false">
      <c r="A408" s="1" t="n">
        <v>2009</v>
      </c>
      <c r="B408" s="7" t="s">
        <v>322</v>
      </c>
      <c r="C408" s="7" t="n">
        <v>2</v>
      </c>
      <c r="D408" s="7" t="s">
        <v>294</v>
      </c>
      <c r="E408" s="7" t="s">
        <v>294</v>
      </c>
      <c r="F408" s="7" t="s">
        <v>83</v>
      </c>
      <c r="G408" s="1" t="n">
        <v>1</v>
      </c>
      <c r="H408" s="1" t="n">
        <v>3</v>
      </c>
      <c r="I408" s="10" t="n">
        <v>39969</v>
      </c>
      <c r="J408" s="10" t="n">
        <v>39974</v>
      </c>
      <c r="K408" s="1" t="n">
        <v>5</v>
      </c>
      <c r="L408" s="1" t="n">
        <v>5</v>
      </c>
      <c r="M408" s="3" t="s">
        <v>32</v>
      </c>
      <c r="N408" s="3" t="s">
        <v>62</v>
      </c>
      <c r="O408" s="3" t="s">
        <v>63</v>
      </c>
      <c r="P408" s="2" t="str">
        <f aca="false">CONCATENATE(N408," ",O408)</f>
        <v>Microneta viaria</v>
      </c>
      <c r="Q408" s="1" t="s">
        <v>30</v>
      </c>
      <c r="R408" s="1" t="s">
        <v>31</v>
      </c>
      <c r="S408" s="1" t="n">
        <v>2</v>
      </c>
      <c r="T408" s="1" t="n">
        <v>0</v>
      </c>
      <c r="U408" s="1" t="n">
        <v>0</v>
      </c>
      <c r="V408" s="1" t="n">
        <v>0</v>
      </c>
      <c r="W408" s="1" t="n">
        <v>0</v>
      </c>
      <c r="X408" s="1" t="n">
        <v>0</v>
      </c>
      <c r="Y408" s="3" t="n">
        <f aca="false">SUM(S408:T408)</f>
        <v>2</v>
      </c>
      <c r="Z408" s="3" t="n">
        <f aca="false">SUM(U408:W408)</f>
        <v>0</v>
      </c>
      <c r="AA408" s="3" t="n">
        <f aca="false">SUM(S408:X408)</f>
        <v>2</v>
      </c>
      <c r="AB408" s="11" t="n">
        <f aca="false">(AA408/(K408*L408)*25)*4</f>
        <v>8</v>
      </c>
    </row>
    <row r="409" customFormat="false" ht="14.25" hidden="false" customHeight="false" outlineLevel="0" collapsed="false">
      <c r="A409" s="1" t="n">
        <v>2009</v>
      </c>
      <c r="B409" s="7" t="s">
        <v>322</v>
      </c>
      <c r="C409" s="7" t="n">
        <v>2</v>
      </c>
      <c r="D409" s="7" t="s">
        <v>294</v>
      </c>
      <c r="E409" s="7" t="s">
        <v>294</v>
      </c>
      <c r="F409" s="7" t="s">
        <v>83</v>
      </c>
      <c r="G409" s="1" t="n">
        <v>1</v>
      </c>
      <c r="H409" s="1" t="n">
        <v>3</v>
      </c>
      <c r="I409" s="10" t="n">
        <v>39969</v>
      </c>
      <c r="J409" s="10" t="n">
        <v>39974</v>
      </c>
      <c r="K409" s="1" t="n">
        <v>5</v>
      </c>
      <c r="L409" s="1" t="n">
        <v>5</v>
      </c>
      <c r="M409" s="3" t="s">
        <v>32</v>
      </c>
      <c r="N409" s="3" t="s">
        <v>62</v>
      </c>
      <c r="O409" s="3" t="s">
        <v>63</v>
      </c>
      <c r="P409" s="2" t="str">
        <f aca="false">CONCATENATE(N409," ",O409)</f>
        <v>Microneta viaria</v>
      </c>
      <c r="Q409" s="1" t="s">
        <v>30</v>
      </c>
      <c r="R409" s="1" t="s">
        <v>35</v>
      </c>
      <c r="S409" s="1" t="n">
        <v>0</v>
      </c>
      <c r="T409" s="1" t="n">
        <v>1</v>
      </c>
      <c r="U409" s="1" t="n">
        <v>0</v>
      </c>
      <c r="V409" s="1" t="n">
        <v>0</v>
      </c>
      <c r="W409" s="1" t="n">
        <v>0</v>
      </c>
      <c r="X409" s="1" t="n">
        <v>0</v>
      </c>
      <c r="Y409" s="3" t="n">
        <f aca="false">SUM(S409:T409)</f>
        <v>1</v>
      </c>
      <c r="Z409" s="3" t="n">
        <f aca="false">SUM(U409:W409)</f>
        <v>0</v>
      </c>
      <c r="AA409" s="3" t="n">
        <f aca="false">SUM(S409:X409)</f>
        <v>1</v>
      </c>
      <c r="AB409" s="11" t="n">
        <f aca="false">(AA409/(K409*L409)*25)*4</f>
        <v>4</v>
      </c>
    </row>
    <row r="410" customFormat="false" ht="14.25" hidden="false" customHeight="false" outlineLevel="0" collapsed="false">
      <c r="A410" s="1" t="n">
        <v>2009</v>
      </c>
      <c r="B410" s="7" t="s">
        <v>322</v>
      </c>
      <c r="C410" s="7" t="n">
        <v>2</v>
      </c>
      <c r="D410" s="7" t="s">
        <v>294</v>
      </c>
      <c r="E410" s="7" t="s">
        <v>294</v>
      </c>
      <c r="F410" s="7" t="s">
        <v>83</v>
      </c>
      <c r="G410" s="1" t="n">
        <v>1</v>
      </c>
      <c r="H410" s="1" t="n">
        <v>3</v>
      </c>
      <c r="I410" s="10" t="n">
        <v>39969</v>
      </c>
      <c r="J410" s="10" t="n">
        <v>39974</v>
      </c>
      <c r="K410" s="1" t="n">
        <v>5</v>
      </c>
      <c r="L410" s="1" t="n">
        <v>5</v>
      </c>
      <c r="M410" s="3" t="s">
        <v>32</v>
      </c>
      <c r="N410" s="3" t="s">
        <v>90</v>
      </c>
      <c r="O410" s="3" t="s">
        <v>91</v>
      </c>
      <c r="P410" s="2" t="str">
        <f aca="false">CONCATENATE(N410," ",O410)</f>
        <v>Tapinocyba insecta</v>
      </c>
      <c r="Q410" s="1" t="s">
        <v>30</v>
      </c>
      <c r="R410" s="1" t="s">
        <v>31</v>
      </c>
      <c r="S410" s="1" t="n">
        <v>2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0</v>
      </c>
      <c r="Y410" s="3" t="n">
        <f aca="false">SUM(S410:T410)</f>
        <v>2</v>
      </c>
      <c r="Z410" s="3" t="n">
        <f aca="false">SUM(U410:W410)</f>
        <v>0</v>
      </c>
      <c r="AA410" s="3" t="n">
        <f aca="false">SUM(S410:X410)</f>
        <v>2</v>
      </c>
      <c r="AB410" s="11" t="n">
        <f aca="false">(AA410/(K410*L410)*25)*4</f>
        <v>8</v>
      </c>
    </row>
    <row r="411" customFormat="false" ht="14.25" hidden="false" customHeight="false" outlineLevel="0" collapsed="false">
      <c r="A411" s="1" t="n">
        <v>2009</v>
      </c>
      <c r="B411" s="7" t="s">
        <v>322</v>
      </c>
      <c r="C411" s="7" t="n">
        <v>2</v>
      </c>
      <c r="D411" s="7" t="s">
        <v>294</v>
      </c>
      <c r="E411" s="7" t="s">
        <v>294</v>
      </c>
      <c r="F411" s="7" t="s">
        <v>83</v>
      </c>
      <c r="G411" s="1" t="n">
        <v>1</v>
      </c>
      <c r="H411" s="1" t="n">
        <v>4</v>
      </c>
      <c r="I411" s="10" t="n">
        <v>39969</v>
      </c>
      <c r="J411" s="10" t="n">
        <v>39974</v>
      </c>
      <c r="K411" s="1" t="n">
        <v>5</v>
      </c>
      <c r="L411" s="1" t="n">
        <v>5</v>
      </c>
      <c r="M411" s="3" t="s">
        <v>48</v>
      </c>
      <c r="N411" s="3" t="s">
        <v>49</v>
      </c>
      <c r="O411" s="3" t="s">
        <v>104</v>
      </c>
      <c r="P411" s="2" t="str">
        <f aca="false">CONCATENATE(N411," ",O411)</f>
        <v>Alopecosa taeniata</v>
      </c>
      <c r="Q411" s="1" t="s">
        <v>30</v>
      </c>
      <c r="R411" s="1" t="s">
        <v>31</v>
      </c>
      <c r="S411" s="1" t="n">
        <v>4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0</v>
      </c>
      <c r="Y411" s="3" t="n">
        <f aca="false">SUM(S411:T411)</f>
        <v>4</v>
      </c>
      <c r="Z411" s="3" t="n">
        <f aca="false">SUM(U411:W411)</f>
        <v>0</v>
      </c>
      <c r="AA411" s="3" t="n">
        <f aca="false">SUM(S411:X411)</f>
        <v>4</v>
      </c>
      <c r="AB411" s="11" t="n">
        <f aca="false">(AA411/(K411*L411)*25)*4</f>
        <v>16</v>
      </c>
    </row>
    <row r="412" customFormat="false" ht="14.25" hidden="false" customHeight="false" outlineLevel="0" collapsed="false">
      <c r="A412" s="1" t="n">
        <v>2009</v>
      </c>
      <c r="B412" s="7" t="s">
        <v>322</v>
      </c>
      <c r="C412" s="7" t="n">
        <v>2</v>
      </c>
      <c r="D412" s="7" t="s">
        <v>294</v>
      </c>
      <c r="E412" s="7" t="s">
        <v>294</v>
      </c>
      <c r="F412" s="7" t="s">
        <v>83</v>
      </c>
      <c r="G412" s="1" t="n">
        <v>1</v>
      </c>
      <c r="H412" s="1" t="n">
        <v>4</v>
      </c>
      <c r="I412" s="10" t="n">
        <v>39969</v>
      </c>
      <c r="J412" s="10" t="n">
        <v>39974</v>
      </c>
      <c r="K412" s="1" t="n">
        <v>5</v>
      </c>
      <c r="L412" s="1" t="n">
        <v>5</v>
      </c>
      <c r="M412" s="3" t="s">
        <v>48</v>
      </c>
      <c r="N412" s="3" t="s">
        <v>67</v>
      </c>
      <c r="O412" s="3" t="s">
        <v>127</v>
      </c>
      <c r="P412" s="2" t="str">
        <f aca="false">CONCATENATE(N412," ",O412)</f>
        <v>Pardosa lugubris</v>
      </c>
      <c r="Q412" s="1" t="s">
        <v>30</v>
      </c>
      <c r="R412" s="1" t="s">
        <v>31</v>
      </c>
      <c r="S412" s="1" t="n">
        <v>1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0</v>
      </c>
      <c r="Y412" s="3" t="n">
        <f aca="false">SUM(S412:T412)</f>
        <v>1</v>
      </c>
      <c r="Z412" s="3" t="n">
        <f aca="false">SUM(U412:W412)</f>
        <v>0</v>
      </c>
      <c r="AA412" s="3" t="n">
        <f aca="false">SUM(S412:X412)</f>
        <v>1</v>
      </c>
      <c r="AB412" s="11" t="n">
        <f aca="false">(AA412/(K412*L412)*25)*4</f>
        <v>4</v>
      </c>
    </row>
    <row r="413" customFormat="false" ht="14.25" hidden="false" customHeight="false" outlineLevel="0" collapsed="false">
      <c r="A413" s="1" t="n">
        <v>2009</v>
      </c>
      <c r="B413" s="7" t="s">
        <v>322</v>
      </c>
      <c r="C413" s="7" t="n">
        <v>2</v>
      </c>
      <c r="D413" s="7" t="s">
        <v>294</v>
      </c>
      <c r="E413" s="7" t="s">
        <v>294</v>
      </c>
      <c r="F413" s="7" t="s">
        <v>83</v>
      </c>
      <c r="G413" s="1" t="n">
        <v>1</v>
      </c>
      <c r="H413" s="1" t="n">
        <v>4</v>
      </c>
      <c r="I413" s="10" t="n">
        <v>39969</v>
      </c>
      <c r="J413" s="10" t="n">
        <v>39974</v>
      </c>
      <c r="K413" s="1" t="n">
        <v>5</v>
      </c>
      <c r="L413" s="1" t="n">
        <v>5</v>
      </c>
      <c r="M413" s="3" t="s">
        <v>72</v>
      </c>
      <c r="N413" s="3" t="s">
        <v>86</v>
      </c>
      <c r="O413" s="8" t="s">
        <v>87</v>
      </c>
      <c r="P413" s="2" t="str">
        <f aca="false">CONCATENATE(N413," ",O413)</f>
        <v>Haplodrassus soerenseni</v>
      </c>
      <c r="Q413" s="1" t="s">
        <v>30</v>
      </c>
      <c r="R413" s="1" t="s">
        <v>31</v>
      </c>
      <c r="S413" s="1" t="n">
        <v>2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3" t="n">
        <f aca="false">SUM(S413:T413)</f>
        <v>2</v>
      </c>
      <c r="Z413" s="3" t="n">
        <f aca="false">SUM(U413:W413)</f>
        <v>0</v>
      </c>
      <c r="AA413" s="3" t="n">
        <f aca="false">SUM(S413:X413)</f>
        <v>2</v>
      </c>
      <c r="AB413" s="11" t="n">
        <f aca="false">(AA413/(K413*L413)*25)*4</f>
        <v>8</v>
      </c>
    </row>
    <row r="414" customFormat="false" ht="14.25" hidden="false" customHeight="false" outlineLevel="0" collapsed="false">
      <c r="A414" s="1" t="n">
        <v>2009</v>
      </c>
      <c r="B414" s="7" t="s">
        <v>322</v>
      </c>
      <c r="C414" s="7" t="n">
        <v>2</v>
      </c>
      <c r="D414" s="7" t="s">
        <v>294</v>
      </c>
      <c r="E414" s="7" t="s">
        <v>294</v>
      </c>
      <c r="F414" s="7" t="s">
        <v>83</v>
      </c>
      <c r="G414" s="1" t="n">
        <v>1</v>
      </c>
      <c r="H414" s="1" t="n">
        <v>4</v>
      </c>
      <c r="I414" s="10" t="n">
        <v>39969</v>
      </c>
      <c r="J414" s="10" t="n">
        <v>39974</v>
      </c>
      <c r="K414" s="1" t="n">
        <v>5</v>
      </c>
      <c r="L414" s="1" t="n">
        <v>5</v>
      </c>
      <c r="M414" s="3" t="s">
        <v>32</v>
      </c>
      <c r="N414" s="3" t="s">
        <v>102</v>
      </c>
      <c r="O414" s="3" t="s">
        <v>193</v>
      </c>
      <c r="P414" s="2" t="str">
        <f aca="false">CONCATENATE(N414," ",O414)</f>
        <v>Agyneta subtilis</v>
      </c>
      <c r="Q414" s="1" t="s">
        <v>30</v>
      </c>
      <c r="R414" s="1" t="s">
        <v>31</v>
      </c>
      <c r="S414" s="1" t="n">
        <v>1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3" t="n">
        <f aca="false">SUM(S414:T414)</f>
        <v>1</v>
      </c>
      <c r="Z414" s="3" t="n">
        <f aca="false">SUM(U414:W414)</f>
        <v>0</v>
      </c>
      <c r="AA414" s="3" t="n">
        <f aca="false">SUM(S414:X414)</f>
        <v>1</v>
      </c>
      <c r="AB414" s="11" t="n">
        <f aca="false">(AA414/(K414*L414)*25)*4</f>
        <v>4</v>
      </c>
    </row>
    <row r="415" customFormat="false" ht="14.25" hidden="false" customHeight="false" outlineLevel="0" collapsed="false">
      <c r="A415" s="1" t="n">
        <v>2009</v>
      </c>
      <c r="B415" s="7" t="s">
        <v>322</v>
      </c>
      <c r="C415" s="7" t="n">
        <v>2</v>
      </c>
      <c r="D415" s="7" t="s">
        <v>294</v>
      </c>
      <c r="E415" s="7" t="s">
        <v>294</v>
      </c>
      <c r="F415" s="7" t="s">
        <v>83</v>
      </c>
      <c r="G415" s="1" t="n">
        <v>1</v>
      </c>
      <c r="H415" s="1" t="n">
        <v>4</v>
      </c>
      <c r="I415" s="10" t="n">
        <v>39969</v>
      </c>
      <c r="J415" s="10" t="n">
        <v>39974</v>
      </c>
      <c r="K415" s="1" t="n">
        <v>5</v>
      </c>
      <c r="L415" s="1" t="n">
        <v>5</v>
      </c>
      <c r="M415" s="3" t="s">
        <v>32</v>
      </c>
      <c r="N415" s="3" t="s">
        <v>55</v>
      </c>
      <c r="O415" s="3" t="s">
        <v>194</v>
      </c>
      <c r="P415" s="2" t="str">
        <f aca="false">CONCATENATE(N415," ",O415)</f>
        <v>Maro pansibiricus</v>
      </c>
      <c r="Q415" s="1" t="s">
        <v>30</v>
      </c>
      <c r="R415" s="1" t="s">
        <v>31</v>
      </c>
      <c r="S415" s="1" t="n">
        <v>3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0</v>
      </c>
      <c r="Y415" s="3" t="n">
        <f aca="false">SUM(S415:T415)</f>
        <v>3</v>
      </c>
      <c r="Z415" s="3" t="n">
        <f aca="false">SUM(U415:W415)</f>
        <v>0</v>
      </c>
      <c r="AA415" s="3" t="n">
        <f aca="false">SUM(S415:X415)</f>
        <v>3</v>
      </c>
      <c r="AB415" s="11" t="n">
        <f aca="false">(AA415/(K415*L415)*25)*4</f>
        <v>12</v>
      </c>
    </row>
    <row r="416" customFormat="false" ht="14.25" hidden="false" customHeight="false" outlineLevel="0" collapsed="false">
      <c r="A416" s="1" t="n">
        <v>2009</v>
      </c>
      <c r="B416" s="7" t="s">
        <v>322</v>
      </c>
      <c r="C416" s="7" t="n">
        <v>2</v>
      </c>
      <c r="D416" s="7" t="s">
        <v>294</v>
      </c>
      <c r="E416" s="7" t="s">
        <v>294</v>
      </c>
      <c r="F416" s="7" t="s">
        <v>83</v>
      </c>
      <c r="G416" s="1" t="n">
        <v>1</v>
      </c>
      <c r="H416" s="1" t="n">
        <v>4</v>
      </c>
      <c r="I416" s="10" t="n">
        <v>39969</v>
      </c>
      <c r="J416" s="10" t="n">
        <v>39974</v>
      </c>
      <c r="K416" s="1" t="n">
        <v>5</v>
      </c>
      <c r="L416" s="1" t="n">
        <v>5</v>
      </c>
      <c r="M416" s="3" t="s">
        <v>32</v>
      </c>
      <c r="N416" s="3" t="s">
        <v>62</v>
      </c>
      <c r="O416" s="3" t="s">
        <v>63</v>
      </c>
      <c r="P416" s="2" t="str">
        <f aca="false">CONCATENATE(N416," ",O416)</f>
        <v>Microneta viaria</v>
      </c>
      <c r="Q416" s="1" t="s">
        <v>30</v>
      </c>
      <c r="R416" s="1" t="s">
        <v>35</v>
      </c>
      <c r="S416" s="1" t="n">
        <v>0</v>
      </c>
      <c r="T416" s="1" t="n">
        <v>3</v>
      </c>
      <c r="U416" s="1" t="n">
        <v>0</v>
      </c>
      <c r="V416" s="1" t="n">
        <v>0</v>
      </c>
      <c r="W416" s="1" t="n">
        <v>0</v>
      </c>
      <c r="X416" s="1" t="n">
        <v>0</v>
      </c>
      <c r="Y416" s="3" t="n">
        <f aca="false">SUM(S416:T416)</f>
        <v>3</v>
      </c>
      <c r="Z416" s="3" t="n">
        <f aca="false">SUM(U416:W416)</f>
        <v>0</v>
      </c>
      <c r="AA416" s="3" t="n">
        <f aca="false">SUM(S416:X416)</f>
        <v>3</v>
      </c>
      <c r="AB416" s="11" t="n">
        <f aca="false">(AA416/(K416*L416)*25)*4</f>
        <v>12</v>
      </c>
    </row>
    <row r="417" customFormat="false" ht="14.25" hidden="false" customHeight="false" outlineLevel="0" collapsed="false">
      <c r="A417" s="1" t="n">
        <v>2009</v>
      </c>
      <c r="B417" s="7" t="s">
        <v>322</v>
      </c>
      <c r="C417" s="7" t="n">
        <v>2</v>
      </c>
      <c r="D417" s="7" t="s">
        <v>294</v>
      </c>
      <c r="E417" s="7" t="s">
        <v>294</v>
      </c>
      <c r="F417" s="7" t="s">
        <v>83</v>
      </c>
      <c r="G417" s="1" t="n">
        <v>1</v>
      </c>
      <c r="H417" s="1" t="n">
        <v>4</v>
      </c>
      <c r="I417" s="10" t="n">
        <v>39969</v>
      </c>
      <c r="J417" s="10" t="n">
        <v>39974</v>
      </c>
      <c r="K417" s="1" t="n">
        <v>5</v>
      </c>
      <c r="L417" s="1" t="n">
        <v>5</v>
      </c>
      <c r="M417" s="3" t="s">
        <v>32</v>
      </c>
      <c r="N417" s="3" t="s">
        <v>90</v>
      </c>
      <c r="O417" s="3" t="s">
        <v>91</v>
      </c>
      <c r="P417" s="2" t="str">
        <f aca="false">CONCATENATE(N417," ",O417)</f>
        <v>Tapinocyba insecta</v>
      </c>
      <c r="Q417" s="1" t="s">
        <v>30</v>
      </c>
      <c r="R417" s="1" t="s">
        <v>35</v>
      </c>
      <c r="S417" s="1" t="n">
        <v>0</v>
      </c>
      <c r="T417" s="1" t="n">
        <v>1</v>
      </c>
      <c r="U417" s="1" t="n">
        <v>0</v>
      </c>
      <c r="V417" s="1" t="n">
        <v>0</v>
      </c>
      <c r="W417" s="1" t="n">
        <v>0</v>
      </c>
      <c r="X417" s="1" t="n">
        <v>0</v>
      </c>
      <c r="Y417" s="3" t="n">
        <f aca="false">SUM(S417:T417)</f>
        <v>1</v>
      </c>
      <c r="Z417" s="3" t="n">
        <f aca="false">SUM(U417:W417)</f>
        <v>0</v>
      </c>
      <c r="AA417" s="3" t="n">
        <f aca="false">SUM(S417:X417)</f>
        <v>1</v>
      </c>
      <c r="AB417" s="11" t="n">
        <f aca="false">(AA417/(K417*L417)*25)*4</f>
        <v>4</v>
      </c>
    </row>
    <row r="418" customFormat="false" ht="14.25" hidden="false" customHeight="false" outlineLevel="0" collapsed="false">
      <c r="A418" s="1" t="n">
        <v>2009</v>
      </c>
      <c r="B418" s="7" t="s">
        <v>322</v>
      </c>
      <c r="C418" s="7" t="n">
        <v>2</v>
      </c>
      <c r="D418" s="7" t="s">
        <v>294</v>
      </c>
      <c r="E418" s="7" t="s">
        <v>294</v>
      </c>
      <c r="F418" s="7" t="s">
        <v>83</v>
      </c>
      <c r="G418" s="1" t="n">
        <v>1</v>
      </c>
      <c r="H418" s="1" t="n">
        <v>5</v>
      </c>
      <c r="I418" s="10" t="n">
        <v>39969</v>
      </c>
      <c r="J418" s="10" t="n">
        <v>39974</v>
      </c>
      <c r="K418" s="1" t="n">
        <v>5</v>
      </c>
      <c r="L418" s="1" t="n">
        <v>5</v>
      </c>
      <c r="M418" s="3" t="s">
        <v>48</v>
      </c>
      <c r="N418" s="3" t="s">
        <v>49</v>
      </c>
      <c r="O418" s="3" t="s">
        <v>104</v>
      </c>
      <c r="P418" s="2" t="str">
        <f aca="false">CONCATENATE(N418," ",O418)</f>
        <v>Alopecosa taeniata</v>
      </c>
      <c r="Q418" s="1" t="s">
        <v>30</v>
      </c>
      <c r="R418" s="1" t="s">
        <v>31</v>
      </c>
      <c r="S418" s="1" t="n">
        <v>2</v>
      </c>
      <c r="T418" s="1" t="n">
        <v>0</v>
      </c>
      <c r="U418" s="1" t="n">
        <v>0</v>
      </c>
      <c r="V418" s="1" t="n">
        <v>0</v>
      </c>
      <c r="W418" s="1" t="n">
        <v>0</v>
      </c>
      <c r="X418" s="1" t="n">
        <v>0</v>
      </c>
      <c r="Y418" s="3" t="n">
        <f aca="false">SUM(S418:T418)</f>
        <v>2</v>
      </c>
      <c r="Z418" s="3" t="n">
        <f aca="false">SUM(U418:W418)</f>
        <v>0</v>
      </c>
      <c r="AA418" s="3" t="n">
        <f aca="false">SUM(S418:X418)</f>
        <v>2</v>
      </c>
      <c r="AB418" s="11" t="n">
        <f aca="false">(AA418/(K418*L418)*25)*4</f>
        <v>8</v>
      </c>
    </row>
    <row r="419" customFormat="false" ht="14.25" hidden="false" customHeight="false" outlineLevel="0" collapsed="false">
      <c r="A419" s="1" t="n">
        <v>2009</v>
      </c>
      <c r="B419" s="7" t="s">
        <v>322</v>
      </c>
      <c r="C419" s="7" t="n">
        <v>2</v>
      </c>
      <c r="D419" s="7" t="s">
        <v>294</v>
      </c>
      <c r="E419" s="7" t="s">
        <v>294</v>
      </c>
      <c r="F419" s="7" t="s">
        <v>83</v>
      </c>
      <c r="G419" s="1" t="n">
        <v>1</v>
      </c>
      <c r="H419" s="1" t="n">
        <v>5</v>
      </c>
      <c r="I419" s="10" t="n">
        <v>39969</v>
      </c>
      <c r="J419" s="10" t="n">
        <v>39974</v>
      </c>
      <c r="K419" s="1" t="n">
        <v>5</v>
      </c>
      <c r="L419" s="1" t="n">
        <v>5</v>
      </c>
      <c r="M419" s="3" t="s">
        <v>48</v>
      </c>
      <c r="N419" s="3" t="s">
        <v>67</v>
      </c>
      <c r="O419" s="3" t="s">
        <v>127</v>
      </c>
      <c r="P419" s="2" t="str">
        <f aca="false">CONCATENATE(N419," ",O419)</f>
        <v>Pardosa lugubris</v>
      </c>
      <c r="Q419" s="1" t="s">
        <v>30</v>
      </c>
      <c r="R419" s="1" t="s">
        <v>31</v>
      </c>
      <c r="S419" s="1" t="n">
        <v>6</v>
      </c>
      <c r="T419" s="1" t="n">
        <v>0</v>
      </c>
      <c r="U419" s="1" t="n">
        <v>0</v>
      </c>
      <c r="V419" s="1" t="n">
        <v>0</v>
      </c>
      <c r="W419" s="1" t="n">
        <v>0</v>
      </c>
      <c r="X419" s="1" t="n">
        <v>0</v>
      </c>
      <c r="Y419" s="3" t="n">
        <f aca="false">SUM(S419:T419)</f>
        <v>6</v>
      </c>
      <c r="Z419" s="3" t="n">
        <f aca="false">SUM(U419:W419)</f>
        <v>0</v>
      </c>
      <c r="AA419" s="3" t="n">
        <f aca="false">SUM(S419:X419)</f>
        <v>6</v>
      </c>
      <c r="AB419" s="11" t="n">
        <f aca="false">(AA419/(K419*L419)*25)*4</f>
        <v>24</v>
      </c>
    </row>
    <row r="420" customFormat="false" ht="14.25" hidden="false" customHeight="false" outlineLevel="0" collapsed="false">
      <c r="A420" s="1" t="n">
        <v>2009</v>
      </c>
      <c r="B420" s="7" t="s">
        <v>322</v>
      </c>
      <c r="C420" s="7" t="n">
        <v>2</v>
      </c>
      <c r="D420" s="7" t="s">
        <v>294</v>
      </c>
      <c r="E420" s="7" t="s">
        <v>294</v>
      </c>
      <c r="F420" s="7" t="s">
        <v>83</v>
      </c>
      <c r="G420" s="1" t="n">
        <v>1</v>
      </c>
      <c r="H420" s="1" t="n">
        <v>5</v>
      </c>
      <c r="I420" s="10" t="n">
        <v>39969</v>
      </c>
      <c r="J420" s="10" t="n">
        <v>39974</v>
      </c>
      <c r="K420" s="1" t="n">
        <v>5</v>
      </c>
      <c r="L420" s="1" t="n">
        <v>5</v>
      </c>
      <c r="M420" s="3" t="s">
        <v>48</v>
      </c>
      <c r="N420" s="3" t="s">
        <v>67</v>
      </c>
      <c r="O420" s="3" t="s">
        <v>127</v>
      </c>
      <c r="P420" s="2" t="str">
        <f aca="false">CONCATENATE(N420," ",O420)</f>
        <v>Pardosa lugubris</v>
      </c>
      <c r="Q420" s="1" t="s">
        <v>30</v>
      </c>
      <c r="R420" s="1" t="s">
        <v>35</v>
      </c>
      <c r="S420" s="1" t="n">
        <v>0</v>
      </c>
      <c r="T420" s="1" t="n">
        <v>1</v>
      </c>
      <c r="U420" s="1" t="n">
        <v>0</v>
      </c>
      <c r="V420" s="1" t="n">
        <v>0</v>
      </c>
      <c r="W420" s="1" t="n">
        <v>0</v>
      </c>
      <c r="X420" s="1" t="n">
        <v>0</v>
      </c>
      <c r="Y420" s="3" t="n">
        <f aca="false">SUM(S420:T420)</f>
        <v>1</v>
      </c>
      <c r="Z420" s="3" t="n">
        <f aca="false">SUM(U420:W420)</f>
        <v>0</v>
      </c>
      <c r="AA420" s="3" t="n">
        <f aca="false">SUM(S420:X420)</f>
        <v>1</v>
      </c>
      <c r="AB420" s="11" t="n">
        <f aca="false">(AA420/(K420*L420)*25)*4</f>
        <v>4</v>
      </c>
    </row>
    <row r="421" customFormat="false" ht="14.25" hidden="false" customHeight="false" outlineLevel="0" collapsed="false">
      <c r="A421" s="1" t="n">
        <v>2009</v>
      </c>
      <c r="B421" s="7" t="s">
        <v>322</v>
      </c>
      <c r="C421" s="7" t="n">
        <v>2</v>
      </c>
      <c r="D421" s="7" t="s">
        <v>294</v>
      </c>
      <c r="E421" s="7" t="s">
        <v>294</v>
      </c>
      <c r="F421" s="7" t="s">
        <v>83</v>
      </c>
      <c r="G421" s="1" t="n">
        <v>1</v>
      </c>
      <c r="H421" s="1" t="n">
        <v>5</v>
      </c>
      <c r="I421" s="10" t="n">
        <v>39969</v>
      </c>
      <c r="J421" s="10" t="n">
        <v>39974</v>
      </c>
      <c r="K421" s="1" t="n">
        <v>5</v>
      </c>
      <c r="L421" s="1" t="n">
        <v>5</v>
      </c>
      <c r="M421" s="3" t="s">
        <v>72</v>
      </c>
      <c r="N421" s="3" t="s">
        <v>86</v>
      </c>
      <c r="O421" s="8" t="s">
        <v>87</v>
      </c>
      <c r="P421" s="2" t="str">
        <f aca="false">CONCATENATE(N421," ",O421)</f>
        <v>Haplodrassus soerenseni</v>
      </c>
      <c r="Q421" s="1" t="s">
        <v>30</v>
      </c>
      <c r="R421" s="1" t="s">
        <v>31</v>
      </c>
      <c r="S421" s="1" t="n">
        <v>1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3" t="n">
        <f aca="false">SUM(S421:T421)</f>
        <v>1</v>
      </c>
      <c r="Z421" s="3" t="n">
        <f aca="false">SUM(U421:W421)</f>
        <v>0</v>
      </c>
      <c r="AA421" s="3" t="n">
        <f aca="false">SUM(S421:X421)</f>
        <v>1</v>
      </c>
      <c r="AB421" s="11" t="n">
        <f aca="false">(AA421/(K421*L421)*25)*4</f>
        <v>4</v>
      </c>
    </row>
    <row r="422" customFormat="false" ht="14.25" hidden="false" customHeight="false" outlineLevel="0" collapsed="false">
      <c r="A422" s="1" t="n">
        <v>2009</v>
      </c>
      <c r="B422" s="7" t="s">
        <v>322</v>
      </c>
      <c r="C422" s="7" t="n">
        <v>2</v>
      </c>
      <c r="D422" s="7" t="s">
        <v>294</v>
      </c>
      <c r="E422" s="7" t="s">
        <v>294</v>
      </c>
      <c r="F422" s="7" t="s">
        <v>83</v>
      </c>
      <c r="G422" s="1" t="n">
        <v>1</v>
      </c>
      <c r="H422" s="1" t="n">
        <v>5</v>
      </c>
      <c r="I422" s="10" t="n">
        <v>39969</v>
      </c>
      <c r="J422" s="10" t="n">
        <v>39974</v>
      </c>
      <c r="K422" s="1" t="n">
        <v>5</v>
      </c>
      <c r="L422" s="1" t="n">
        <v>5</v>
      </c>
      <c r="M422" s="3" t="s">
        <v>64</v>
      </c>
      <c r="N422" s="3" t="s">
        <v>65</v>
      </c>
      <c r="O422" s="3" t="s">
        <v>123</v>
      </c>
      <c r="P422" s="2" t="str">
        <f aca="false">CONCATENATE(N422," ",O422)</f>
        <v>Zora nemoralis</v>
      </c>
      <c r="Q422" s="1" t="s">
        <v>30</v>
      </c>
      <c r="R422" s="1" t="s">
        <v>31</v>
      </c>
      <c r="S422" s="1" t="n">
        <v>1</v>
      </c>
      <c r="T422" s="1" t="n">
        <v>0</v>
      </c>
      <c r="U422" s="1" t="n">
        <v>0</v>
      </c>
      <c r="V422" s="1" t="n">
        <v>0</v>
      </c>
      <c r="W422" s="1" t="n">
        <v>0</v>
      </c>
      <c r="X422" s="1" t="n">
        <v>0</v>
      </c>
      <c r="Y422" s="3" t="n">
        <f aca="false">SUM(S422:T422)</f>
        <v>1</v>
      </c>
      <c r="Z422" s="3" t="n">
        <f aca="false">SUM(U422:W422)</f>
        <v>0</v>
      </c>
      <c r="AA422" s="3" t="n">
        <f aca="false">SUM(S422:X422)</f>
        <v>1</v>
      </c>
      <c r="AB422" s="11" t="n">
        <f aca="false">(AA422/(K422*L422)*25)*4</f>
        <v>4</v>
      </c>
    </row>
    <row r="423" customFormat="false" ht="14.25" hidden="false" customHeight="false" outlineLevel="0" collapsed="false">
      <c r="A423" s="1" t="n">
        <v>2009</v>
      </c>
      <c r="B423" s="7" t="s">
        <v>322</v>
      </c>
      <c r="C423" s="7" t="n">
        <v>2</v>
      </c>
      <c r="D423" s="7" t="s">
        <v>294</v>
      </c>
      <c r="E423" s="7" t="s">
        <v>294</v>
      </c>
      <c r="F423" s="7" t="s">
        <v>83</v>
      </c>
      <c r="G423" s="1" t="n">
        <v>1</v>
      </c>
      <c r="H423" s="1" t="n">
        <v>5</v>
      </c>
      <c r="I423" s="10" t="n">
        <v>39969</v>
      </c>
      <c r="J423" s="10" t="n">
        <v>39974</v>
      </c>
      <c r="K423" s="1" t="n">
        <v>5</v>
      </c>
      <c r="L423" s="1" t="n">
        <v>5</v>
      </c>
      <c r="M423" s="3" t="s">
        <v>36</v>
      </c>
      <c r="N423" s="3" t="s">
        <v>37</v>
      </c>
      <c r="O423" s="8" t="s">
        <v>75</v>
      </c>
      <c r="P423" s="2" t="str">
        <f aca="false">CONCATENATE(N423," ",O423)</f>
        <v>Ozyptila praticola</v>
      </c>
      <c r="Q423" s="1" t="s">
        <v>30</v>
      </c>
      <c r="R423" s="1" t="s">
        <v>31</v>
      </c>
      <c r="S423" s="1" t="n">
        <v>1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3" t="n">
        <f aca="false">SUM(S423:T423)</f>
        <v>1</v>
      </c>
      <c r="Z423" s="3" t="n">
        <f aca="false">SUM(U423:W423)</f>
        <v>0</v>
      </c>
      <c r="AA423" s="3" t="n">
        <f aca="false">SUM(S423:X423)</f>
        <v>1</v>
      </c>
      <c r="AB423" s="11" t="n">
        <f aca="false">(AA423/(K423*L423)*25)*4</f>
        <v>4</v>
      </c>
    </row>
    <row r="424" customFormat="false" ht="14.25" hidden="false" customHeight="false" outlineLevel="0" collapsed="false">
      <c r="A424" s="1" t="n">
        <v>2009</v>
      </c>
      <c r="B424" s="7" t="s">
        <v>322</v>
      </c>
      <c r="C424" s="7" t="n">
        <v>2</v>
      </c>
      <c r="D424" s="7" t="s">
        <v>294</v>
      </c>
      <c r="E424" s="7" t="s">
        <v>294</v>
      </c>
      <c r="F424" s="7" t="s">
        <v>83</v>
      </c>
      <c r="G424" s="1" t="n">
        <v>1</v>
      </c>
      <c r="H424" s="1" t="n">
        <v>5</v>
      </c>
      <c r="I424" s="10" t="n">
        <v>39969</v>
      </c>
      <c r="J424" s="10" t="n">
        <v>39974</v>
      </c>
      <c r="K424" s="1" t="n">
        <v>5</v>
      </c>
      <c r="L424" s="1" t="n">
        <v>5</v>
      </c>
      <c r="M424" s="3" t="s">
        <v>124</v>
      </c>
      <c r="N424" s="3" t="s">
        <v>125</v>
      </c>
      <c r="O424" s="3" t="s">
        <v>126</v>
      </c>
      <c r="P424" s="2" t="str">
        <f aca="false">CONCATENATE(N424," ",O424)</f>
        <v>Hahnia ononidum</v>
      </c>
      <c r="Q424" s="1" t="s">
        <v>30</v>
      </c>
      <c r="R424" s="1" t="s">
        <v>35</v>
      </c>
      <c r="S424" s="1" t="n">
        <v>0</v>
      </c>
      <c r="T424" s="1" t="n">
        <v>1</v>
      </c>
      <c r="U424" s="1" t="n">
        <v>0</v>
      </c>
      <c r="V424" s="1" t="n">
        <v>0</v>
      </c>
      <c r="W424" s="1" t="n">
        <v>0</v>
      </c>
      <c r="X424" s="1" t="n">
        <v>0</v>
      </c>
      <c r="Y424" s="3" t="n">
        <f aca="false">SUM(S424:T424)</f>
        <v>1</v>
      </c>
      <c r="Z424" s="3" t="n">
        <f aca="false">SUM(U424:W424)</f>
        <v>0</v>
      </c>
      <c r="AA424" s="3" t="n">
        <f aca="false">SUM(S424:X424)</f>
        <v>1</v>
      </c>
      <c r="AB424" s="11" t="n">
        <f aca="false">(AA424/(K424*L424)*25)*4</f>
        <v>4</v>
      </c>
    </row>
    <row r="425" customFormat="false" ht="14.25" hidden="false" customHeight="false" outlineLevel="0" collapsed="false">
      <c r="A425" s="1" t="n">
        <v>2009</v>
      </c>
      <c r="B425" s="7" t="s">
        <v>322</v>
      </c>
      <c r="C425" s="7" t="n">
        <v>2</v>
      </c>
      <c r="D425" s="7" t="s">
        <v>294</v>
      </c>
      <c r="E425" s="7" t="s">
        <v>294</v>
      </c>
      <c r="F425" s="7" t="s">
        <v>83</v>
      </c>
      <c r="G425" s="1" t="n">
        <v>1</v>
      </c>
      <c r="H425" s="1" t="n">
        <v>5</v>
      </c>
      <c r="I425" s="10" t="n">
        <v>39969</v>
      </c>
      <c r="J425" s="10" t="n">
        <v>39974</v>
      </c>
      <c r="K425" s="1" t="n">
        <v>5</v>
      </c>
      <c r="L425" s="1" t="n">
        <v>5</v>
      </c>
      <c r="M425" s="3" t="s">
        <v>32</v>
      </c>
      <c r="N425" s="3" t="s">
        <v>62</v>
      </c>
      <c r="O425" s="3" t="s">
        <v>63</v>
      </c>
      <c r="P425" s="2" t="str">
        <f aca="false">CONCATENATE(N425," ",O425)</f>
        <v>Microneta viaria</v>
      </c>
      <c r="Q425" s="1" t="s">
        <v>30</v>
      </c>
      <c r="R425" s="1" t="s">
        <v>31</v>
      </c>
      <c r="S425" s="1" t="n">
        <v>1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0</v>
      </c>
      <c r="Y425" s="3" t="n">
        <f aca="false">SUM(S425:T425)</f>
        <v>1</v>
      </c>
      <c r="Z425" s="3" t="n">
        <f aca="false">SUM(U425:W425)</f>
        <v>0</v>
      </c>
      <c r="AA425" s="3" t="n">
        <f aca="false">SUM(S425:X425)</f>
        <v>1</v>
      </c>
      <c r="AB425" s="11" t="n">
        <f aca="false">(AA425/(K425*L425)*25)*4</f>
        <v>4</v>
      </c>
    </row>
    <row r="426" customFormat="false" ht="14.25" hidden="false" customHeight="false" outlineLevel="0" collapsed="false">
      <c r="A426" s="1" t="n">
        <v>2009</v>
      </c>
      <c r="B426" s="7" t="s">
        <v>322</v>
      </c>
      <c r="C426" s="7" t="n">
        <v>2</v>
      </c>
      <c r="D426" s="7" t="s">
        <v>294</v>
      </c>
      <c r="E426" s="7" t="s">
        <v>294</v>
      </c>
      <c r="F426" s="7" t="s">
        <v>83</v>
      </c>
      <c r="G426" s="1" t="n">
        <v>1</v>
      </c>
      <c r="H426" s="1" t="n">
        <v>5</v>
      </c>
      <c r="I426" s="10" t="n">
        <v>39969</v>
      </c>
      <c r="J426" s="10" t="n">
        <v>39974</v>
      </c>
      <c r="K426" s="1" t="n">
        <v>5</v>
      </c>
      <c r="L426" s="1" t="n">
        <v>5</v>
      </c>
      <c r="M426" s="3" t="s">
        <v>32</v>
      </c>
      <c r="N426" s="3" t="s">
        <v>55</v>
      </c>
      <c r="O426" s="3" t="s">
        <v>194</v>
      </c>
      <c r="P426" s="2" t="str">
        <f aca="false">CONCATENATE(N426," ",O426)</f>
        <v>Maro pansibiricus</v>
      </c>
      <c r="Q426" s="1" t="s">
        <v>30</v>
      </c>
      <c r="R426" s="1" t="s">
        <v>31</v>
      </c>
      <c r="S426" s="1" t="n">
        <v>4</v>
      </c>
      <c r="T426" s="1" t="n">
        <v>0</v>
      </c>
      <c r="U426" s="1" t="n">
        <v>0</v>
      </c>
      <c r="V426" s="1" t="n">
        <v>0</v>
      </c>
      <c r="W426" s="1" t="n">
        <v>0</v>
      </c>
      <c r="X426" s="1" t="n">
        <v>0</v>
      </c>
      <c r="Y426" s="3" t="n">
        <f aca="false">SUM(S426:T426)</f>
        <v>4</v>
      </c>
      <c r="Z426" s="3" t="n">
        <f aca="false">SUM(U426:W426)</f>
        <v>0</v>
      </c>
      <c r="AA426" s="3" t="n">
        <f aca="false">SUM(S426:X426)</f>
        <v>4</v>
      </c>
      <c r="AB426" s="11" t="n">
        <f aca="false">(AA426/(K426*L426)*25)*4</f>
        <v>16</v>
      </c>
    </row>
    <row r="427" customFormat="false" ht="14.25" hidden="false" customHeight="false" outlineLevel="0" collapsed="false">
      <c r="A427" s="1" t="n">
        <v>2009</v>
      </c>
      <c r="B427" s="7" t="s">
        <v>322</v>
      </c>
      <c r="C427" s="7" t="n">
        <v>2</v>
      </c>
      <c r="D427" s="7" t="s">
        <v>294</v>
      </c>
      <c r="E427" s="7" t="s">
        <v>294</v>
      </c>
      <c r="F427" s="7" t="s">
        <v>83</v>
      </c>
      <c r="G427" s="1" t="n">
        <v>2</v>
      </c>
      <c r="H427" s="1" t="n">
        <v>6</v>
      </c>
      <c r="I427" s="10" t="n">
        <v>39969</v>
      </c>
      <c r="J427" s="10" t="n">
        <v>39974</v>
      </c>
      <c r="K427" s="1" t="n">
        <v>5</v>
      </c>
      <c r="L427" s="1" t="n">
        <v>5</v>
      </c>
      <c r="M427" s="3" t="s">
        <v>48</v>
      </c>
      <c r="N427" s="3" t="s">
        <v>49</v>
      </c>
      <c r="O427" s="3" t="s">
        <v>104</v>
      </c>
      <c r="P427" s="2" t="str">
        <f aca="false">CONCATENATE(N427," ",O427)</f>
        <v>Alopecosa taeniata</v>
      </c>
      <c r="Q427" s="1" t="s">
        <v>30</v>
      </c>
      <c r="R427" s="1" t="s">
        <v>31</v>
      </c>
      <c r="S427" s="1" t="n">
        <v>5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0</v>
      </c>
      <c r="Y427" s="3" t="n">
        <f aca="false">SUM(S427:T427)</f>
        <v>5</v>
      </c>
      <c r="Z427" s="3" t="n">
        <f aca="false">SUM(U427:W427)</f>
        <v>0</v>
      </c>
      <c r="AA427" s="3" t="n">
        <f aca="false">SUM(S427:X427)</f>
        <v>5</v>
      </c>
      <c r="AB427" s="11" t="n">
        <f aca="false">(AA427/(K427*L427)*25)*4</f>
        <v>20</v>
      </c>
    </row>
    <row r="428" customFormat="false" ht="14.25" hidden="false" customHeight="false" outlineLevel="0" collapsed="false">
      <c r="A428" s="1" t="n">
        <v>2009</v>
      </c>
      <c r="B428" s="7" t="s">
        <v>322</v>
      </c>
      <c r="C428" s="7" t="n">
        <v>2</v>
      </c>
      <c r="D428" s="7" t="s">
        <v>294</v>
      </c>
      <c r="E428" s="7" t="s">
        <v>294</v>
      </c>
      <c r="F428" s="7" t="s">
        <v>83</v>
      </c>
      <c r="G428" s="1" t="n">
        <v>2</v>
      </c>
      <c r="H428" s="1" t="n">
        <v>6</v>
      </c>
      <c r="I428" s="10" t="n">
        <v>39969</v>
      </c>
      <c r="J428" s="10" t="n">
        <v>39974</v>
      </c>
      <c r="K428" s="1" t="n">
        <v>5</v>
      </c>
      <c r="L428" s="1" t="n">
        <v>5</v>
      </c>
      <c r="M428" s="3" t="s">
        <v>48</v>
      </c>
      <c r="N428" s="3" t="s">
        <v>67</v>
      </c>
      <c r="O428" s="3" t="s">
        <v>127</v>
      </c>
      <c r="P428" s="2" t="str">
        <f aca="false">CONCATENATE(N428," ",O428)</f>
        <v>Pardosa lugubris</v>
      </c>
      <c r="Q428" s="1" t="s">
        <v>30</v>
      </c>
      <c r="R428" s="1" t="s">
        <v>31</v>
      </c>
      <c r="S428" s="1" t="n">
        <v>1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0</v>
      </c>
      <c r="Y428" s="3" t="n">
        <f aca="false">SUM(S428:T428)</f>
        <v>1</v>
      </c>
      <c r="Z428" s="3" t="n">
        <f aca="false">SUM(U428:W428)</f>
        <v>0</v>
      </c>
      <c r="AA428" s="3" t="n">
        <f aca="false">SUM(S428:X428)</f>
        <v>1</v>
      </c>
      <c r="AB428" s="11" t="n">
        <f aca="false">(AA428/(K428*L428)*25)*4</f>
        <v>4</v>
      </c>
    </row>
    <row r="429" customFormat="false" ht="14.25" hidden="false" customHeight="false" outlineLevel="0" collapsed="false">
      <c r="A429" s="1" t="n">
        <v>2009</v>
      </c>
      <c r="B429" s="7" t="s">
        <v>322</v>
      </c>
      <c r="C429" s="7" t="n">
        <v>2</v>
      </c>
      <c r="D429" s="7" t="s">
        <v>294</v>
      </c>
      <c r="E429" s="7" t="s">
        <v>294</v>
      </c>
      <c r="F429" s="7" t="s">
        <v>83</v>
      </c>
      <c r="G429" s="1" t="n">
        <v>2</v>
      </c>
      <c r="H429" s="1" t="n">
        <v>6</v>
      </c>
      <c r="I429" s="10" t="n">
        <v>39969</v>
      </c>
      <c r="J429" s="10" t="n">
        <v>39974</v>
      </c>
      <c r="K429" s="1" t="n">
        <v>5</v>
      </c>
      <c r="L429" s="1" t="n">
        <v>5</v>
      </c>
      <c r="M429" s="3" t="s">
        <v>48</v>
      </c>
      <c r="N429" s="3" t="s">
        <v>67</v>
      </c>
      <c r="O429" s="3" t="s">
        <v>127</v>
      </c>
      <c r="P429" s="2" t="str">
        <f aca="false">CONCATENATE(N429," ",O429)</f>
        <v>Pardosa lugubris</v>
      </c>
      <c r="Q429" s="1" t="s">
        <v>30</v>
      </c>
      <c r="R429" s="1" t="s">
        <v>35</v>
      </c>
      <c r="S429" s="1" t="n">
        <v>0</v>
      </c>
      <c r="T429" s="1" t="n">
        <v>1</v>
      </c>
      <c r="U429" s="1" t="n">
        <v>0</v>
      </c>
      <c r="V429" s="1" t="n">
        <v>0</v>
      </c>
      <c r="W429" s="1" t="n">
        <v>0</v>
      </c>
      <c r="X429" s="1" t="n">
        <v>0</v>
      </c>
      <c r="Y429" s="3" t="n">
        <f aca="false">SUM(S429:T429)</f>
        <v>1</v>
      </c>
      <c r="Z429" s="3" t="n">
        <f aca="false">SUM(U429:W429)</f>
        <v>0</v>
      </c>
      <c r="AA429" s="3" t="n">
        <f aca="false">SUM(S429:X429)</f>
        <v>1</v>
      </c>
      <c r="AB429" s="11" t="n">
        <f aca="false">(AA429/(K429*L429)*25)*4</f>
        <v>4</v>
      </c>
    </row>
    <row r="430" customFormat="false" ht="14.25" hidden="false" customHeight="false" outlineLevel="0" collapsed="false">
      <c r="A430" s="1" t="n">
        <v>2009</v>
      </c>
      <c r="B430" s="7" t="s">
        <v>322</v>
      </c>
      <c r="C430" s="7" t="n">
        <v>2</v>
      </c>
      <c r="D430" s="7" t="s">
        <v>294</v>
      </c>
      <c r="E430" s="7" t="s">
        <v>294</v>
      </c>
      <c r="F430" s="7" t="s">
        <v>83</v>
      </c>
      <c r="G430" s="1" t="n">
        <v>2</v>
      </c>
      <c r="H430" s="1" t="n">
        <v>6</v>
      </c>
      <c r="I430" s="10" t="n">
        <v>39969</v>
      </c>
      <c r="J430" s="10" t="n">
        <v>39974</v>
      </c>
      <c r="K430" s="1" t="n">
        <v>5</v>
      </c>
      <c r="L430" s="1" t="n">
        <v>5</v>
      </c>
      <c r="M430" s="13" t="s">
        <v>195</v>
      </c>
      <c r="N430" s="13" t="s">
        <v>196</v>
      </c>
      <c r="O430" s="14" t="s">
        <v>197</v>
      </c>
      <c r="P430" s="2" t="str">
        <f aca="false">CONCATENATE(N430," ",O430)</f>
        <v>Pachygnatha listeri</v>
      </c>
      <c r="Q430" s="1" t="s">
        <v>30</v>
      </c>
      <c r="R430" s="1" t="s">
        <v>35</v>
      </c>
      <c r="S430" s="1" t="n">
        <v>0</v>
      </c>
      <c r="T430" s="1" t="n">
        <v>1</v>
      </c>
      <c r="U430" s="1" t="n">
        <v>0</v>
      </c>
      <c r="V430" s="1" t="n">
        <v>0</v>
      </c>
      <c r="W430" s="1" t="n">
        <v>0</v>
      </c>
      <c r="X430" s="1" t="n">
        <v>0</v>
      </c>
      <c r="Y430" s="3" t="n">
        <f aca="false">SUM(S430:T430)</f>
        <v>1</v>
      </c>
      <c r="Z430" s="3" t="n">
        <f aca="false">SUM(U430:W430)</f>
        <v>0</v>
      </c>
      <c r="AA430" s="3" t="n">
        <f aca="false">SUM(S430:X430)</f>
        <v>1</v>
      </c>
      <c r="AB430" s="11" t="n">
        <f aca="false">(AA430/(K430*L430)*25)*4</f>
        <v>4</v>
      </c>
    </row>
    <row r="431" customFormat="false" ht="14.25" hidden="false" customHeight="false" outlineLevel="0" collapsed="false">
      <c r="A431" s="1" t="n">
        <v>2009</v>
      </c>
      <c r="B431" s="7" t="s">
        <v>322</v>
      </c>
      <c r="C431" s="7" t="n">
        <v>2</v>
      </c>
      <c r="D431" s="7" t="s">
        <v>294</v>
      </c>
      <c r="E431" s="7" t="s">
        <v>294</v>
      </c>
      <c r="F431" s="7" t="s">
        <v>83</v>
      </c>
      <c r="G431" s="1" t="n">
        <v>2</v>
      </c>
      <c r="H431" s="1" t="n">
        <v>6</v>
      </c>
      <c r="I431" s="10" t="n">
        <v>39969</v>
      </c>
      <c r="J431" s="10" t="n">
        <v>39974</v>
      </c>
      <c r="K431" s="1" t="n">
        <v>5</v>
      </c>
      <c r="L431" s="1" t="n">
        <v>5</v>
      </c>
      <c r="M431" s="3" t="s">
        <v>32</v>
      </c>
      <c r="N431" s="3" t="s">
        <v>62</v>
      </c>
      <c r="O431" s="3" t="s">
        <v>63</v>
      </c>
      <c r="P431" s="2" t="str">
        <f aca="false">CONCATENATE(N431," ",O431)</f>
        <v>Microneta viaria</v>
      </c>
      <c r="Q431" s="1" t="s">
        <v>30</v>
      </c>
      <c r="R431" s="1" t="s">
        <v>31</v>
      </c>
      <c r="S431" s="1" t="n">
        <v>1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3" t="n">
        <f aca="false">SUM(S431:T431)</f>
        <v>1</v>
      </c>
      <c r="Z431" s="3" t="n">
        <f aca="false">SUM(U431:W431)</f>
        <v>0</v>
      </c>
      <c r="AA431" s="3" t="n">
        <f aca="false">SUM(S431:X431)</f>
        <v>1</v>
      </c>
      <c r="AB431" s="11" t="n">
        <f aca="false">(AA431/(K431*L431)*25)*4</f>
        <v>4</v>
      </c>
    </row>
    <row r="432" customFormat="false" ht="14.25" hidden="false" customHeight="false" outlineLevel="0" collapsed="false">
      <c r="A432" s="1" t="n">
        <v>2009</v>
      </c>
      <c r="B432" s="7" t="s">
        <v>322</v>
      </c>
      <c r="C432" s="7" t="n">
        <v>2</v>
      </c>
      <c r="D432" s="7" t="s">
        <v>294</v>
      </c>
      <c r="E432" s="7" t="s">
        <v>294</v>
      </c>
      <c r="F432" s="7" t="s">
        <v>83</v>
      </c>
      <c r="G432" s="1" t="n">
        <v>2</v>
      </c>
      <c r="H432" s="1" t="n">
        <v>6</v>
      </c>
      <c r="I432" s="10" t="n">
        <v>39969</v>
      </c>
      <c r="J432" s="10" t="n">
        <v>39974</v>
      </c>
      <c r="K432" s="1" t="n">
        <v>5</v>
      </c>
      <c r="L432" s="1" t="n">
        <v>5</v>
      </c>
      <c r="M432" s="3" t="s">
        <v>32</v>
      </c>
      <c r="N432" s="3" t="s">
        <v>62</v>
      </c>
      <c r="O432" s="3" t="s">
        <v>63</v>
      </c>
      <c r="P432" s="2" t="str">
        <f aca="false">CONCATENATE(N432," ",O432)</f>
        <v>Microneta viaria</v>
      </c>
      <c r="Q432" s="1" t="s">
        <v>30</v>
      </c>
      <c r="R432" s="1" t="s">
        <v>35</v>
      </c>
      <c r="S432" s="1" t="n">
        <v>0</v>
      </c>
      <c r="T432" s="1" t="n">
        <v>1</v>
      </c>
      <c r="U432" s="1" t="n">
        <v>0</v>
      </c>
      <c r="V432" s="1" t="n">
        <v>0</v>
      </c>
      <c r="W432" s="1" t="n">
        <v>0</v>
      </c>
      <c r="X432" s="1" t="n">
        <v>0</v>
      </c>
      <c r="Y432" s="3" t="n">
        <f aca="false">SUM(S432:T432)</f>
        <v>1</v>
      </c>
      <c r="Z432" s="3" t="n">
        <f aca="false">SUM(U432:W432)</f>
        <v>0</v>
      </c>
      <c r="AA432" s="3" t="n">
        <f aca="false">SUM(S432:X432)</f>
        <v>1</v>
      </c>
      <c r="AB432" s="11" t="n">
        <f aca="false">(AA432/(K432*L432)*25)*4</f>
        <v>4</v>
      </c>
    </row>
    <row r="433" customFormat="false" ht="14.25" hidden="false" customHeight="false" outlineLevel="0" collapsed="false">
      <c r="A433" s="1" t="n">
        <v>2009</v>
      </c>
      <c r="B433" s="7" t="s">
        <v>322</v>
      </c>
      <c r="C433" s="7" t="n">
        <v>2</v>
      </c>
      <c r="D433" s="7" t="s">
        <v>294</v>
      </c>
      <c r="E433" s="7" t="s">
        <v>294</v>
      </c>
      <c r="F433" s="7" t="s">
        <v>83</v>
      </c>
      <c r="G433" s="1" t="n">
        <v>2</v>
      </c>
      <c r="H433" s="1" t="n">
        <v>6</v>
      </c>
      <c r="I433" s="10" t="n">
        <v>39969</v>
      </c>
      <c r="J433" s="10" t="n">
        <v>39974</v>
      </c>
      <c r="K433" s="1" t="n">
        <v>5</v>
      </c>
      <c r="L433" s="1" t="n">
        <v>5</v>
      </c>
      <c r="M433" s="13" t="s">
        <v>32</v>
      </c>
      <c r="N433" s="13" t="s">
        <v>96</v>
      </c>
      <c r="O433" s="14" t="s">
        <v>97</v>
      </c>
      <c r="P433" s="2" t="str">
        <f aca="false">CONCATENATE(N433," ",O433)</f>
        <v>Diplocephalus picinus</v>
      </c>
      <c r="Q433" s="1" t="s">
        <v>30</v>
      </c>
      <c r="R433" s="1" t="s">
        <v>31</v>
      </c>
      <c r="S433" s="1" t="n">
        <v>1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  <c r="Y433" s="3" t="n">
        <f aca="false">SUM(S433:T433)</f>
        <v>1</v>
      </c>
      <c r="Z433" s="3" t="n">
        <f aca="false">SUM(U433:W433)</f>
        <v>0</v>
      </c>
      <c r="AA433" s="3" t="n">
        <f aca="false">SUM(S433:X433)</f>
        <v>1</v>
      </c>
      <c r="AB433" s="11" t="n">
        <f aca="false">(AA433/(K433*L433)*25)*4</f>
        <v>4</v>
      </c>
    </row>
    <row r="434" customFormat="false" ht="14.25" hidden="false" customHeight="false" outlineLevel="0" collapsed="false">
      <c r="A434" s="1" t="n">
        <v>2009</v>
      </c>
      <c r="B434" s="7" t="s">
        <v>322</v>
      </c>
      <c r="C434" s="7" t="n">
        <v>2</v>
      </c>
      <c r="D434" s="7" t="s">
        <v>294</v>
      </c>
      <c r="E434" s="7" t="s">
        <v>294</v>
      </c>
      <c r="F434" s="7" t="s">
        <v>83</v>
      </c>
      <c r="G434" s="1" t="n">
        <v>2</v>
      </c>
      <c r="H434" s="1" t="n">
        <v>7</v>
      </c>
      <c r="I434" s="10" t="n">
        <v>39969</v>
      </c>
      <c r="J434" s="10" t="n">
        <v>39974</v>
      </c>
      <c r="K434" s="1" t="n">
        <v>5</v>
      </c>
      <c r="L434" s="1" t="n">
        <v>5</v>
      </c>
      <c r="M434" s="3" t="s">
        <v>48</v>
      </c>
      <c r="N434" s="3" t="s">
        <v>49</v>
      </c>
      <c r="O434" s="3" t="s">
        <v>104</v>
      </c>
      <c r="P434" s="2" t="str">
        <f aca="false">CONCATENATE(N434," ",O434)</f>
        <v>Alopecosa taeniata</v>
      </c>
      <c r="Q434" s="1" t="s">
        <v>30</v>
      </c>
      <c r="R434" s="1" t="s">
        <v>31</v>
      </c>
      <c r="S434" s="1" t="n">
        <v>4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0</v>
      </c>
      <c r="Y434" s="3" t="n">
        <f aca="false">SUM(S434:T434)</f>
        <v>4</v>
      </c>
      <c r="Z434" s="3" t="n">
        <f aca="false">SUM(U434:W434)</f>
        <v>0</v>
      </c>
      <c r="AA434" s="3" t="n">
        <f aca="false">SUM(S434:X434)</f>
        <v>4</v>
      </c>
      <c r="AB434" s="11" t="n">
        <f aca="false">(AA434/(K434*L434)*25)*4</f>
        <v>16</v>
      </c>
    </row>
    <row r="435" customFormat="false" ht="14.25" hidden="false" customHeight="false" outlineLevel="0" collapsed="false">
      <c r="A435" s="1" t="n">
        <v>2009</v>
      </c>
      <c r="B435" s="7" t="s">
        <v>322</v>
      </c>
      <c r="C435" s="7" t="n">
        <v>2</v>
      </c>
      <c r="D435" s="7" t="s">
        <v>294</v>
      </c>
      <c r="E435" s="7" t="s">
        <v>294</v>
      </c>
      <c r="F435" s="7" t="s">
        <v>83</v>
      </c>
      <c r="G435" s="1" t="n">
        <v>2</v>
      </c>
      <c r="H435" s="1" t="n">
        <v>7</v>
      </c>
      <c r="I435" s="10" t="n">
        <v>39969</v>
      </c>
      <c r="J435" s="10" t="n">
        <v>39974</v>
      </c>
      <c r="K435" s="1" t="n">
        <v>5</v>
      </c>
      <c r="L435" s="1" t="n">
        <v>5</v>
      </c>
      <c r="M435" s="3" t="s">
        <v>48</v>
      </c>
      <c r="N435" s="3" t="s">
        <v>49</v>
      </c>
      <c r="O435" s="3" t="s">
        <v>104</v>
      </c>
      <c r="P435" s="2" t="str">
        <f aca="false">CONCATENATE(N435," ",O435)</f>
        <v>Alopecosa taeniata</v>
      </c>
      <c r="Q435" s="1" t="s">
        <v>30</v>
      </c>
      <c r="R435" s="1" t="s">
        <v>35</v>
      </c>
      <c r="S435" s="1" t="n">
        <v>0</v>
      </c>
      <c r="T435" s="1" t="n">
        <v>2</v>
      </c>
      <c r="U435" s="1" t="n">
        <v>0</v>
      </c>
      <c r="V435" s="1" t="n">
        <v>0</v>
      </c>
      <c r="W435" s="1" t="n">
        <v>0</v>
      </c>
      <c r="X435" s="1" t="n">
        <v>0</v>
      </c>
      <c r="Y435" s="3" t="n">
        <f aca="false">SUM(S435:T435)</f>
        <v>2</v>
      </c>
      <c r="Z435" s="3" t="n">
        <f aca="false">SUM(U435:W435)</f>
        <v>0</v>
      </c>
      <c r="AA435" s="3" t="n">
        <f aca="false">SUM(S435:X435)</f>
        <v>2</v>
      </c>
      <c r="AB435" s="11" t="n">
        <f aca="false">(AA435/(K435*L435)*25)*4</f>
        <v>8</v>
      </c>
    </row>
    <row r="436" customFormat="false" ht="14.25" hidden="false" customHeight="false" outlineLevel="0" collapsed="false">
      <c r="A436" s="1" t="n">
        <v>2009</v>
      </c>
      <c r="B436" s="7" t="s">
        <v>322</v>
      </c>
      <c r="C436" s="7" t="n">
        <v>2</v>
      </c>
      <c r="D436" s="7" t="s">
        <v>294</v>
      </c>
      <c r="E436" s="7" t="s">
        <v>294</v>
      </c>
      <c r="F436" s="7" t="s">
        <v>83</v>
      </c>
      <c r="G436" s="1" t="n">
        <v>2</v>
      </c>
      <c r="H436" s="1" t="n">
        <v>7</v>
      </c>
      <c r="I436" s="10" t="n">
        <v>39969</v>
      </c>
      <c r="J436" s="10" t="n">
        <v>39974</v>
      </c>
      <c r="K436" s="1" t="n">
        <v>5</v>
      </c>
      <c r="L436" s="1" t="n">
        <v>5</v>
      </c>
      <c r="M436" s="3" t="s">
        <v>48</v>
      </c>
      <c r="N436" s="3" t="s">
        <v>67</v>
      </c>
      <c r="O436" s="3" t="s">
        <v>127</v>
      </c>
      <c r="P436" s="2" t="str">
        <f aca="false">CONCATENATE(N436," ",O436)</f>
        <v>Pardosa lugubris</v>
      </c>
      <c r="Q436" s="1" t="s">
        <v>30</v>
      </c>
      <c r="R436" s="1" t="s">
        <v>31</v>
      </c>
      <c r="S436" s="1" t="n">
        <v>4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3" t="n">
        <f aca="false">SUM(S436:T436)</f>
        <v>4</v>
      </c>
      <c r="Z436" s="3" t="n">
        <f aca="false">SUM(U436:W436)</f>
        <v>0</v>
      </c>
      <c r="AA436" s="3" t="n">
        <f aca="false">SUM(S436:X436)</f>
        <v>4</v>
      </c>
      <c r="AB436" s="11" t="n">
        <f aca="false">(AA436/(K436*L436)*25)*4</f>
        <v>16</v>
      </c>
    </row>
    <row r="437" customFormat="false" ht="14.25" hidden="false" customHeight="false" outlineLevel="0" collapsed="false">
      <c r="A437" s="1" t="n">
        <v>2009</v>
      </c>
      <c r="B437" s="7" t="s">
        <v>322</v>
      </c>
      <c r="C437" s="7" t="n">
        <v>2</v>
      </c>
      <c r="D437" s="7" t="s">
        <v>294</v>
      </c>
      <c r="E437" s="7" t="s">
        <v>294</v>
      </c>
      <c r="F437" s="7" t="s">
        <v>83</v>
      </c>
      <c r="G437" s="1" t="n">
        <v>2</v>
      </c>
      <c r="H437" s="1" t="n">
        <v>7</v>
      </c>
      <c r="I437" s="10" t="n">
        <v>39969</v>
      </c>
      <c r="J437" s="10" t="n">
        <v>39974</v>
      </c>
      <c r="K437" s="1" t="n">
        <v>5</v>
      </c>
      <c r="L437" s="1" t="n">
        <v>5</v>
      </c>
      <c r="M437" s="3" t="s">
        <v>72</v>
      </c>
      <c r="N437" s="3" t="s">
        <v>86</v>
      </c>
      <c r="O437" s="8" t="s">
        <v>87</v>
      </c>
      <c r="P437" s="2" t="str">
        <f aca="false">CONCATENATE(N437," ",O437)</f>
        <v>Haplodrassus soerenseni</v>
      </c>
      <c r="Q437" s="1" t="s">
        <v>30</v>
      </c>
      <c r="R437" s="1" t="s">
        <v>31</v>
      </c>
      <c r="S437" s="1" t="n">
        <v>2</v>
      </c>
      <c r="T437" s="1" t="n">
        <v>0</v>
      </c>
      <c r="U437" s="1" t="n">
        <v>0</v>
      </c>
      <c r="V437" s="1" t="n">
        <v>0</v>
      </c>
      <c r="W437" s="1" t="n">
        <v>0</v>
      </c>
      <c r="X437" s="1" t="n">
        <v>0</v>
      </c>
      <c r="Y437" s="3" t="n">
        <f aca="false">SUM(S437:T437)</f>
        <v>2</v>
      </c>
      <c r="Z437" s="3" t="n">
        <f aca="false">SUM(U437:W437)</f>
        <v>0</v>
      </c>
      <c r="AA437" s="3" t="n">
        <f aca="false">SUM(S437:X437)</f>
        <v>2</v>
      </c>
      <c r="AB437" s="11" t="n">
        <f aca="false">(AA437/(K437*L437)*25)*4</f>
        <v>8</v>
      </c>
    </row>
    <row r="438" customFormat="false" ht="14.25" hidden="false" customHeight="false" outlineLevel="0" collapsed="false">
      <c r="A438" s="1" t="n">
        <v>2009</v>
      </c>
      <c r="B438" s="7" t="s">
        <v>322</v>
      </c>
      <c r="C438" s="7" t="n">
        <v>2</v>
      </c>
      <c r="D438" s="7" t="s">
        <v>294</v>
      </c>
      <c r="E438" s="7" t="s">
        <v>294</v>
      </c>
      <c r="F438" s="7" t="s">
        <v>83</v>
      </c>
      <c r="G438" s="1" t="n">
        <v>2</v>
      </c>
      <c r="H438" s="1" t="n">
        <v>7</v>
      </c>
      <c r="I438" s="10" t="n">
        <v>39969</v>
      </c>
      <c r="J438" s="10" t="n">
        <v>39974</v>
      </c>
      <c r="K438" s="1" t="n">
        <v>5</v>
      </c>
      <c r="L438" s="1" t="n">
        <v>5</v>
      </c>
      <c r="M438" s="13" t="s">
        <v>195</v>
      </c>
      <c r="N438" s="13" t="s">
        <v>196</v>
      </c>
      <c r="O438" s="14" t="s">
        <v>197</v>
      </c>
      <c r="P438" s="2" t="str">
        <f aca="false">CONCATENATE(N438," ",O438)</f>
        <v>Pachygnatha listeri</v>
      </c>
      <c r="Q438" s="1" t="s">
        <v>30</v>
      </c>
      <c r="R438" s="1" t="s">
        <v>35</v>
      </c>
      <c r="S438" s="1" t="n">
        <v>0</v>
      </c>
      <c r="T438" s="1" t="n">
        <v>1</v>
      </c>
      <c r="U438" s="1" t="n">
        <v>0</v>
      </c>
      <c r="V438" s="1" t="n">
        <v>0</v>
      </c>
      <c r="W438" s="1" t="n">
        <v>0</v>
      </c>
      <c r="X438" s="1" t="n">
        <v>0</v>
      </c>
      <c r="Y438" s="3" t="n">
        <f aca="false">SUM(S438:T438)</f>
        <v>1</v>
      </c>
      <c r="Z438" s="3" t="n">
        <f aca="false">SUM(U438:W438)</f>
        <v>0</v>
      </c>
      <c r="AA438" s="3" t="n">
        <f aca="false">SUM(S438:X438)</f>
        <v>1</v>
      </c>
      <c r="AB438" s="11" t="n">
        <f aca="false">(AA438/(K438*L438)*25)*4</f>
        <v>4</v>
      </c>
    </row>
    <row r="439" customFormat="false" ht="14.25" hidden="false" customHeight="false" outlineLevel="0" collapsed="false">
      <c r="A439" s="1" t="n">
        <v>2009</v>
      </c>
      <c r="B439" s="7" t="s">
        <v>322</v>
      </c>
      <c r="C439" s="7" t="n">
        <v>2</v>
      </c>
      <c r="D439" s="7" t="s">
        <v>294</v>
      </c>
      <c r="E439" s="7" t="s">
        <v>294</v>
      </c>
      <c r="F439" s="7" t="s">
        <v>83</v>
      </c>
      <c r="G439" s="1" t="n">
        <v>2</v>
      </c>
      <c r="H439" s="1" t="n">
        <v>7</v>
      </c>
      <c r="I439" s="10" t="n">
        <v>39969</v>
      </c>
      <c r="J439" s="10" t="n">
        <v>39974</v>
      </c>
      <c r="K439" s="1" t="n">
        <v>5</v>
      </c>
      <c r="L439" s="1" t="n">
        <v>5</v>
      </c>
      <c r="M439" s="3" t="s">
        <v>41</v>
      </c>
      <c r="N439" s="3" t="s">
        <v>42</v>
      </c>
      <c r="O439" s="3" t="s">
        <v>198</v>
      </c>
      <c r="P439" s="2" t="str">
        <f aca="false">CONCATENATE(N439," ",O439)</f>
        <v>Agroeca brunnea</v>
      </c>
      <c r="Q439" s="1" t="s">
        <v>30</v>
      </c>
      <c r="R439" s="1" t="s">
        <v>35</v>
      </c>
      <c r="S439" s="1" t="n">
        <v>0</v>
      </c>
      <c r="T439" s="1" t="n">
        <v>1</v>
      </c>
      <c r="U439" s="1" t="n">
        <v>0</v>
      </c>
      <c r="V439" s="1" t="n">
        <v>0</v>
      </c>
      <c r="W439" s="1" t="n">
        <v>0</v>
      </c>
      <c r="X439" s="1" t="n">
        <v>0</v>
      </c>
      <c r="Y439" s="3" t="n">
        <f aca="false">SUM(S439:T439)</f>
        <v>1</v>
      </c>
      <c r="Z439" s="3" t="n">
        <f aca="false">SUM(U439:W439)</f>
        <v>0</v>
      </c>
      <c r="AA439" s="3" t="n">
        <f aca="false">SUM(S439:X439)</f>
        <v>1</v>
      </c>
      <c r="AB439" s="11" t="n">
        <f aca="false">(AA439/(K439*L439)*25)*4</f>
        <v>4</v>
      </c>
    </row>
    <row r="440" customFormat="false" ht="14.25" hidden="false" customHeight="false" outlineLevel="0" collapsed="false">
      <c r="A440" s="1" t="n">
        <v>2009</v>
      </c>
      <c r="B440" s="7" t="s">
        <v>322</v>
      </c>
      <c r="C440" s="7" t="n">
        <v>2</v>
      </c>
      <c r="D440" s="7" t="s">
        <v>294</v>
      </c>
      <c r="E440" s="7" t="s">
        <v>294</v>
      </c>
      <c r="F440" s="7" t="s">
        <v>83</v>
      </c>
      <c r="G440" s="1" t="n">
        <v>2</v>
      </c>
      <c r="H440" s="1" t="n">
        <v>7</v>
      </c>
      <c r="I440" s="10" t="n">
        <v>39969</v>
      </c>
      <c r="J440" s="10" t="n">
        <v>39974</v>
      </c>
      <c r="K440" s="1" t="n">
        <v>5</v>
      </c>
      <c r="L440" s="1" t="n">
        <v>5</v>
      </c>
      <c r="M440" s="3" t="s">
        <v>144</v>
      </c>
      <c r="N440" s="3" t="s">
        <v>145</v>
      </c>
      <c r="O440" s="3" t="s">
        <v>146</v>
      </c>
      <c r="P440" s="2" t="str">
        <f aca="false">CONCATENATE(N440," ",O440)</f>
        <v>Phrurolithus festivus</v>
      </c>
      <c r="Q440" s="1" t="s">
        <v>30</v>
      </c>
      <c r="R440" s="1" t="s">
        <v>35</v>
      </c>
      <c r="S440" s="1" t="n">
        <v>0</v>
      </c>
      <c r="T440" s="1" t="n">
        <v>1</v>
      </c>
      <c r="U440" s="1" t="n">
        <v>0</v>
      </c>
      <c r="V440" s="1" t="n">
        <v>0</v>
      </c>
      <c r="W440" s="1" t="n">
        <v>0</v>
      </c>
      <c r="X440" s="1" t="n">
        <v>0</v>
      </c>
      <c r="Y440" s="3" t="n">
        <f aca="false">SUM(S440:T440)</f>
        <v>1</v>
      </c>
      <c r="Z440" s="3" t="n">
        <f aca="false">SUM(U440:W440)</f>
        <v>0</v>
      </c>
      <c r="AA440" s="3" t="n">
        <f aca="false">SUM(S440:X440)</f>
        <v>1</v>
      </c>
      <c r="AB440" s="11" t="n">
        <f aca="false">(AA440/(K440*L440)*25)*4</f>
        <v>4</v>
      </c>
    </row>
    <row r="441" customFormat="false" ht="14.25" hidden="false" customHeight="false" outlineLevel="0" collapsed="false">
      <c r="A441" s="1" t="n">
        <v>2009</v>
      </c>
      <c r="B441" s="7" t="s">
        <v>322</v>
      </c>
      <c r="C441" s="7" t="n">
        <v>2</v>
      </c>
      <c r="D441" s="7" t="s">
        <v>294</v>
      </c>
      <c r="E441" s="7" t="s">
        <v>294</v>
      </c>
      <c r="F441" s="7" t="s">
        <v>83</v>
      </c>
      <c r="G441" s="1" t="n">
        <v>2</v>
      </c>
      <c r="H441" s="1" t="n">
        <v>7</v>
      </c>
      <c r="I441" s="10" t="n">
        <v>39969</v>
      </c>
      <c r="J441" s="10" t="n">
        <v>39974</v>
      </c>
      <c r="K441" s="1" t="n">
        <v>5</v>
      </c>
      <c r="L441" s="1" t="n">
        <v>5</v>
      </c>
      <c r="M441" s="3" t="s">
        <v>64</v>
      </c>
      <c r="N441" s="3" t="s">
        <v>65</v>
      </c>
      <c r="O441" s="3" t="s">
        <v>123</v>
      </c>
      <c r="P441" s="2" t="str">
        <f aca="false">CONCATENATE(N441," ",O441)</f>
        <v>Zora nemoralis</v>
      </c>
      <c r="Q441" s="1" t="s">
        <v>30</v>
      </c>
      <c r="R441" s="1" t="s">
        <v>31</v>
      </c>
      <c r="S441" s="1" t="n">
        <v>1</v>
      </c>
      <c r="T441" s="1" t="n">
        <v>0</v>
      </c>
      <c r="U441" s="1" t="n">
        <v>0</v>
      </c>
      <c r="V441" s="1" t="n">
        <v>0</v>
      </c>
      <c r="W441" s="1" t="n">
        <v>0</v>
      </c>
      <c r="X441" s="1" t="n">
        <v>0</v>
      </c>
      <c r="Y441" s="3" t="n">
        <f aca="false">SUM(S441:T441)</f>
        <v>1</v>
      </c>
      <c r="Z441" s="3" t="n">
        <f aca="false">SUM(U441:W441)</f>
        <v>0</v>
      </c>
      <c r="AA441" s="3" t="n">
        <f aca="false">SUM(S441:X441)</f>
        <v>1</v>
      </c>
      <c r="AB441" s="11" t="n">
        <f aca="false">(AA441/(K441*L441)*25)*4</f>
        <v>4</v>
      </c>
    </row>
    <row r="442" customFormat="false" ht="14.25" hidden="false" customHeight="false" outlineLevel="0" collapsed="false">
      <c r="A442" s="1" t="n">
        <v>2009</v>
      </c>
      <c r="B442" s="7" t="s">
        <v>322</v>
      </c>
      <c r="C442" s="7" t="n">
        <v>2</v>
      </c>
      <c r="D442" s="7" t="s">
        <v>294</v>
      </c>
      <c r="E442" s="7" t="s">
        <v>294</v>
      </c>
      <c r="F442" s="7" t="s">
        <v>83</v>
      </c>
      <c r="G442" s="1" t="n">
        <v>2</v>
      </c>
      <c r="H442" s="1" t="n">
        <v>7</v>
      </c>
      <c r="I442" s="10" t="n">
        <v>39969</v>
      </c>
      <c r="J442" s="10" t="n">
        <v>39974</v>
      </c>
      <c r="K442" s="1" t="n">
        <v>5</v>
      </c>
      <c r="L442" s="1" t="n">
        <v>5</v>
      </c>
      <c r="M442" s="3" t="s">
        <v>32</v>
      </c>
      <c r="N442" s="3" t="s">
        <v>62</v>
      </c>
      <c r="O442" s="3" t="s">
        <v>63</v>
      </c>
      <c r="P442" s="2" t="str">
        <f aca="false">CONCATENATE(N442," ",O442)</f>
        <v>Microneta viaria</v>
      </c>
      <c r="Q442" s="1" t="s">
        <v>30</v>
      </c>
      <c r="R442" s="1" t="s">
        <v>31</v>
      </c>
      <c r="S442" s="1" t="n">
        <v>1</v>
      </c>
      <c r="T442" s="1" t="n">
        <v>0</v>
      </c>
      <c r="U442" s="1" t="n">
        <v>0</v>
      </c>
      <c r="V442" s="1" t="n">
        <v>0</v>
      </c>
      <c r="W442" s="1" t="n">
        <v>0</v>
      </c>
      <c r="X442" s="1" t="n">
        <v>0</v>
      </c>
      <c r="Y442" s="3" t="n">
        <f aca="false">SUM(S442:T442)</f>
        <v>1</v>
      </c>
      <c r="Z442" s="3" t="n">
        <f aca="false">SUM(U442:W442)</f>
        <v>0</v>
      </c>
      <c r="AA442" s="3" t="n">
        <f aca="false">SUM(S442:X442)</f>
        <v>1</v>
      </c>
      <c r="AB442" s="11" t="n">
        <f aca="false">(AA442/(K442*L442)*25)*4</f>
        <v>4</v>
      </c>
    </row>
    <row r="443" customFormat="false" ht="14.25" hidden="false" customHeight="false" outlineLevel="0" collapsed="false">
      <c r="A443" s="1" t="n">
        <v>2009</v>
      </c>
      <c r="B443" s="7" t="s">
        <v>322</v>
      </c>
      <c r="C443" s="7" t="n">
        <v>2</v>
      </c>
      <c r="D443" s="7" t="s">
        <v>294</v>
      </c>
      <c r="E443" s="7" t="s">
        <v>294</v>
      </c>
      <c r="F443" s="7" t="s">
        <v>83</v>
      </c>
      <c r="G443" s="1" t="n">
        <v>2</v>
      </c>
      <c r="H443" s="1" t="n">
        <v>7</v>
      </c>
      <c r="I443" s="10" t="n">
        <v>39969</v>
      </c>
      <c r="J443" s="10" t="n">
        <v>39974</v>
      </c>
      <c r="K443" s="1" t="n">
        <v>5</v>
      </c>
      <c r="L443" s="1" t="n">
        <v>5</v>
      </c>
      <c r="M443" s="3" t="s">
        <v>32</v>
      </c>
      <c r="N443" s="3" t="s">
        <v>62</v>
      </c>
      <c r="O443" s="3" t="s">
        <v>63</v>
      </c>
      <c r="P443" s="2" t="str">
        <f aca="false">CONCATENATE(N443," ",O443)</f>
        <v>Microneta viaria</v>
      </c>
      <c r="Q443" s="1" t="s">
        <v>30</v>
      </c>
      <c r="R443" s="1" t="s">
        <v>35</v>
      </c>
      <c r="S443" s="1" t="n">
        <v>0</v>
      </c>
      <c r="T443" s="1" t="n">
        <v>1</v>
      </c>
      <c r="U443" s="1" t="n">
        <v>0</v>
      </c>
      <c r="V443" s="1" t="n">
        <v>0</v>
      </c>
      <c r="W443" s="1" t="n">
        <v>0</v>
      </c>
      <c r="X443" s="1" t="n">
        <v>0</v>
      </c>
      <c r="Y443" s="3" t="n">
        <f aca="false">SUM(S443:T443)</f>
        <v>1</v>
      </c>
      <c r="Z443" s="3" t="n">
        <f aca="false">SUM(U443:W443)</f>
        <v>0</v>
      </c>
      <c r="AA443" s="3" t="n">
        <f aca="false">SUM(S443:X443)</f>
        <v>1</v>
      </c>
      <c r="AB443" s="11" t="n">
        <f aca="false">(AA443/(K443*L443)*25)*4</f>
        <v>4</v>
      </c>
    </row>
    <row r="444" customFormat="false" ht="14.25" hidden="false" customHeight="false" outlineLevel="0" collapsed="false">
      <c r="A444" s="1" t="n">
        <v>2009</v>
      </c>
      <c r="B444" s="7" t="s">
        <v>322</v>
      </c>
      <c r="C444" s="7" t="n">
        <v>2</v>
      </c>
      <c r="D444" s="7" t="s">
        <v>294</v>
      </c>
      <c r="E444" s="7" t="s">
        <v>294</v>
      </c>
      <c r="F444" s="7" t="s">
        <v>83</v>
      </c>
      <c r="G444" s="1" t="n">
        <v>2</v>
      </c>
      <c r="H444" s="1" t="n">
        <v>7</v>
      </c>
      <c r="I444" s="10" t="n">
        <v>39969</v>
      </c>
      <c r="J444" s="10" t="n">
        <v>39974</v>
      </c>
      <c r="K444" s="1" t="n">
        <v>5</v>
      </c>
      <c r="L444" s="1" t="n">
        <v>5</v>
      </c>
      <c r="M444" s="3" t="s">
        <v>32</v>
      </c>
      <c r="N444" s="3" t="s">
        <v>113</v>
      </c>
      <c r="O444" s="8" t="s">
        <v>114</v>
      </c>
      <c r="P444" s="2" t="str">
        <f aca="false">CONCATENATE(N444," ",O444)</f>
        <v>Ceratinella brevipes</v>
      </c>
      <c r="Q444" s="1" t="s">
        <v>30</v>
      </c>
      <c r="R444" s="1" t="s">
        <v>35</v>
      </c>
      <c r="S444" s="1" t="n">
        <v>0</v>
      </c>
      <c r="T444" s="1" t="n">
        <v>1</v>
      </c>
      <c r="U444" s="1" t="n">
        <v>0</v>
      </c>
      <c r="V444" s="1" t="n">
        <v>0</v>
      </c>
      <c r="W444" s="1" t="n">
        <v>0</v>
      </c>
      <c r="X444" s="1" t="n">
        <v>0</v>
      </c>
      <c r="Y444" s="3" t="n">
        <f aca="false">SUM(S444:T444)</f>
        <v>1</v>
      </c>
      <c r="Z444" s="3" t="n">
        <f aca="false">SUM(U444:W444)</f>
        <v>0</v>
      </c>
      <c r="AA444" s="3" t="n">
        <f aca="false">SUM(S444:X444)</f>
        <v>1</v>
      </c>
      <c r="AB444" s="11" t="n">
        <f aca="false">(AA444/(K444*L444)*25)*4</f>
        <v>4</v>
      </c>
    </row>
    <row r="445" customFormat="false" ht="14.25" hidden="false" customHeight="false" outlineLevel="0" collapsed="false">
      <c r="A445" s="1" t="n">
        <v>2009</v>
      </c>
      <c r="B445" s="7" t="s">
        <v>322</v>
      </c>
      <c r="C445" s="7" t="n">
        <v>2</v>
      </c>
      <c r="D445" s="7" t="s">
        <v>294</v>
      </c>
      <c r="E445" s="7" t="s">
        <v>294</v>
      </c>
      <c r="F445" s="7" t="s">
        <v>83</v>
      </c>
      <c r="G445" s="1" t="n">
        <v>2</v>
      </c>
      <c r="H445" s="1" t="n">
        <v>7</v>
      </c>
      <c r="I445" s="10" t="n">
        <v>39969</v>
      </c>
      <c r="J445" s="10" t="n">
        <v>39974</v>
      </c>
      <c r="K445" s="1" t="n">
        <v>5</v>
      </c>
      <c r="L445" s="1" t="n">
        <v>5</v>
      </c>
      <c r="M445" s="3" t="s">
        <v>32</v>
      </c>
      <c r="N445" s="3" t="s">
        <v>90</v>
      </c>
      <c r="O445" s="3" t="s">
        <v>91</v>
      </c>
      <c r="P445" s="2" t="str">
        <f aca="false">CONCATENATE(N445," ",O445)</f>
        <v>Tapinocyba insecta</v>
      </c>
      <c r="Q445" s="1" t="s">
        <v>30</v>
      </c>
      <c r="R445" s="1" t="s">
        <v>31</v>
      </c>
      <c r="S445" s="1" t="n">
        <v>2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3" t="n">
        <f aca="false">SUM(S445:T445)</f>
        <v>2</v>
      </c>
      <c r="Z445" s="3" t="n">
        <f aca="false">SUM(U445:W445)</f>
        <v>0</v>
      </c>
      <c r="AA445" s="3" t="n">
        <f aca="false">SUM(S445:X445)</f>
        <v>2</v>
      </c>
      <c r="AB445" s="11" t="n">
        <f aca="false">(AA445/(K445*L445)*25)*4</f>
        <v>8</v>
      </c>
    </row>
    <row r="446" customFormat="false" ht="14.25" hidden="false" customHeight="false" outlineLevel="0" collapsed="false">
      <c r="A446" s="1" t="n">
        <v>2009</v>
      </c>
      <c r="B446" s="7" t="s">
        <v>322</v>
      </c>
      <c r="C446" s="7" t="n">
        <v>2</v>
      </c>
      <c r="D446" s="7" t="s">
        <v>294</v>
      </c>
      <c r="E446" s="7" t="s">
        <v>294</v>
      </c>
      <c r="F446" s="7" t="s">
        <v>83</v>
      </c>
      <c r="G446" s="1" t="n">
        <v>2</v>
      </c>
      <c r="H446" s="1" t="n">
        <v>7</v>
      </c>
      <c r="I446" s="10" t="n">
        <v>39969</v>
      </c>
      <c r="J446" s="10" t="n">
        <v>39974</v>
      </c>
      <c r="K446" s="1" t="n">
        <v>5</v>
      </c>
      <c r="L446" s="1" t="n">
        <v>5</v>
      </c>
      <c r="M446" s="3" t="s">
        <v>32</v>
      </c>
      <c r="N446" s="3" t="s">
        <v>55</v>
      </c>
      <c r="O446" s="3" t="s">
        <v>194</v>
      </c>
      <c r="P446" s="2" t="str">
        <f aca="false">CONCATENATE(N446," ",O446)</f>
        <v>Maro pansibiricus</v>
      </c>
      <c r="Q446" s="1" t="s">
        <v>30</v>
      </c>
      <c r="R446" s="1" t="s">
        <v>35</v>
      </c>
      <c r="S446" s="1" t="n">
        <v>0</v>
      </c>
      <c r="T446" s="1" t="n">
        <v>1</v>
      </c>
      <c r="U446" s="1" t="n">
        <v>0</v>
      </c>
      <c r="V446" s="1" t="n">
        <v>0</v>
      </c>
      <c r="W446" s="1" t="n">
        <v>0</v>
      </c>
      <c r="X446" s="1" t="n">
        <v>0</v>
      </c>
      <c r="Y446" s="3" t="n">
        <f aca="false">SUM(S446:T446)</f>
        <v>1</v>
      </c>
      <c r="Z446" s="3" t="n">
        <f aca="false">SUM(U446:W446)</f>
        <v>0</v>
      </c>
      <c r="AA446" s="3" t="n">
        <f aca="false">SUM(S446:X446)</f>
        <v>1</v>
      </c>
      <c r="AB446" s="11" t="n">
        <f aca="false">(AA446/(K446*L446)*25)*4</f>
        <v>4</v>
      </c>
    </row>
    <row r="447" customFormat="false" ht="14.25" hidden="false" customHeight="false" outlineLevel="0" collapsed="false">
      <c r="A447" s="1" t="n">
        <v>2009</v>
      </c>
      <c r="B447" s="7" t="s">
        <v>322</v>
      </c>
      <c r="C447" s="7" t="n">
        <v>2</v>
      </c>
      <c r="D447" s="7" t="s">
        <v>294</v>
      </c>
      <c r="E447" s="7" t="s">
        <v>294</v>
      </c>
      <c r="F447" s="7" t="s">
        <v>83</v>
      </c>
      <c r="G447" s="1" t="n">
        <v>2</v>
      </c>
      <c r="H447" s="1" t="n">
        <v>7</v>
      </c>
      <c r="I447" s="10" t="n">
        <v>39969</v>
      </c>
      <c r="J447" s="10" t="n">
        <v>39974</v>
      </c>
      <c r="K447" s="1" t="n">
        <v>5</v>
      </c>
      <c r="L447" s="1" t="n">
        <v>5</v>
      </c>
      <c r="M447" s="3" t="s">
        <v>32</v>
      </c>
      <c r="N447" s="3" t="s">
        <v>84</v>
      </c>
      <c r="O447" s="3" t="s">
        <v>168</v>
      </c>
      <c r="P447" s="2" t="str">
        <f aca="false">CONCATENATE(N447," ",O447)</f>
        <v>Walckenaeria atrotibialis</v>
      </c>
      <c r="Q447" s="1" t="s">
        <v>30</v>
      </c>
      <c r="R447" s="1" t="s">
        <v>35</v>
      </c>
      <c r="S447" s="1" t="n">
        <v>0</v>
      </c>
      <c r="T447" s="1" t="n">
        <v>1</v>
      </c>
      <c r="U447" s="1" t="n">
        <v>0</v>
      </c>
      <c r="V447" s="1" t="n">
        <v>0</v>
      </c>
      <c r="W447" s="1" t="n">
        <v>0</v>
      </c>
      <c r="X447" s="1" t="n">
        <v>0</v>
      </c>
      <c r="Y447" s="3" t="n">
        <f aca="false">SUM(S447:T447)</f>
        <v>1</v>
      </c>
      <c r="Z447" s="3" t="n">
        <f aca="false">SUM(U447:W447)</f>
        <v>0</v>
      </c>
      <c r="AA447" s="3" t="n">
        <f aca="false">SUM(S447:X447)</f>
        <v>1</v>
      </c>
      <c r="AB447" s="11" t="n">
        <f aca="false">(AA447/(K447*L447)*25)*4</f>
        <v>4</v>
      </c>
    </row>
    <row r="448" customFormat="false" ht="14.25" hidden="false" customHeight="false" outlineLevel="0" collapsed="false">
      <c r="A448" s="1" t="n">
        <v>2009</v>
      </c>
      <c r="B448" s="7" t="s">
        <v>322</v>
      </c>
      <c r="C448" s="7" t="n">
        <v>2</v>
      </c>
      <c r="D448" s="7" t="s">
        <v>294</v>
      </c>
      <c r="E448" s="7" t="s">
        <v>294</v>
      </c>
      <c r="F448" s="7" t="s">
        <v>83</v>
      </c>
      <c r="G448" s="1" t="n">
        <v>2</v>
      </c>
      <c r="H448" s="1" t="n">
        <v>8</v>
      </c>
      <c r="I448" s="10" t="n">
        <v>39969</v>
      </c>
      <c r="J448" s="10" t="n">
        <v>39974</v>
      </c>
      <c r="K448" s="1" t="n">
        <v>5</v>
      </c>
      <c r="L448" s="1" t="n">
        <v>5</v>
      </c>
      <c r="M448" s="3" t="s">
        <v>48</v>
      </c>
      <c r="N448" s="3" t="s">
        <v>49</v>
      </c>
      <c r="O448" s="3" t="s">
        <v>104</v>
      </c>
      <c r="P448" s="2" t="str">
        <f aca="false">CONCATENATE(N448," ",O448)</f>
        <v>Alopecosa taeniata</v>
      </c>
      <c r="Q448" s="1" t="s">
        <v>30</v>
      </c>
      <c r="R448" s="1" t="s">
        <v>31</v>
      </c>
      <c r="S448" s="1" t="n">
        <v>3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  <c r="Y448" s="3" t="n">
        <f aca="false">SUM(S448:T448)</f>
        <v>3</v>
      </c>
      <c r="Z448" s="3" t="n">
        <f aca="false">SUM(U448:W448)</f>
        <v>0</v>
      </c>
      <c r="AA448" s="3" t="n">
        <f aca="false">SUM(S448:X448)</f>
        <v>3</v>
      </c>
      <c r="AB448" s="11" t="n">
        <f aca="false">(AA448/(K448*L448)*25)*4</f>
        <v>12</v>
      </c>
    </row>
    <row r="449" customFormat="false" ht="14.25" hidden="false" customHeight="false" outlineLevel="0" collapsed="false">
      <c r="A449" s="1" t="n">
        <v>2009</v>
      </c>
      <c r="B449" s="7" t="s">
        <v>322</v>
      </c>
      <c r="C449" s="7" t="n">
        <v>2</v>
      </c>
      <c r="D449" s="7" t="s">
        <v>294</v>
      </c>
      <c r="E449" s="7" t="s">
        <v>294</v>
      </c>
      <c r="F449" s="7" t="s">
        <v>83</v>
      </c>
      <c r="G449" s="1" t="n">
        <v>2</v>
      </c>
      <c r="H449" s="1" t="n">
        <v>8</v>
      </c>
      <c r="I449" s="10" t="n">
        <v>39969</v>
      </c>
      <c r="J449" s="10" t="n">
        <v>39974</v>
      </c>
      <c r="K449" s="1" t="n">
        <v>5</v>
      </c>
      <c r="L449" s="1" t="n">
        <v>5</v>
      </c>
      <c r="M449" s="3" t="s">
        <v>48</v>
      </c>
      <c r="N449" s="3" t="s">
        <v>49</v>
      </c>
      <c r="O449" s="3" t="s">
        <v>104</v>
      </c>
      <c r="P449" s="2" t="str">
        <f aca="false">CONCATENATE(N449," ",O449)</f>
        <v>Alopecosa taeniata</v>
      </c>
      <c r="Q449" s="1" t="s">
        <v>30</v>
      </c>
      <c r="R449" s="1" t="s">
        <v>35</v>
      </c>
      <c r="S449" s="1" t="n">
        <v>0</v>
      </c>
      <c r="T449" s="1" t="n">
        <v>2</v>
      </c>
      <c r="U449" s="1" t="n">
        <v>0</v>
      </c>
      <c r="V449" s="1" t="n">
        <v>0</v>
      </c>
      <c r="W449" s="1" t="n">
        <v>0</v>
      </c>
      <c r="X449" s="1" t="n">
        <v>0</v>
      </c>
      <c r="Y449" s="3" t="n">
        <f aca="false">SUM(S449:T449)</f>
        <v>2</v>
      </c>
      <c r="Z449" s="3" t="n">
        <f aca="false">SUM(U449:W449)</f>
        <v>0</v>
      </c>
      <c r="AA449" s="3" t="n">
        <f aca="false">SUM(S449:X449)</f>
        <v>2</v>
      </c>
      <c r="AB449" s="11" t="n">
        <f aca="false">(AA449/(K449*L449)*25)*4</f>
        <v>8</v>
      </c>
    </row>
    <row r="450" customFormat="false" ht="14.25" hidden="false" customHeight="false" outlineLevel="0" collapsed="false">
      <c r="A450" s="1" t="n">
        <v>2009</v>
      </c>
      <c r="B450" s="7" t="s">
        <v>322</v>
      </c>
      <c r="C450" s="7" t="n">
        <v>2</v>
      </c>
      <c r="D450" s="7" t="s">
        <v>294</v>
      </c>
      <c r="E450" s="7" t="s">
        <v>294</v>
      </c>
      <c r="F450" s="7" t="s">
        <v>83</v>
      </c>
      <c r="G450" s="1" t="n">
        <v>2</v>
      </c>
      <c r="H450" s="1" t="n">
        <v>8</v>
      </c>
      <c r="I450" s="10" t="n">
        <v>39969</v>
      </c>
      <c r="J450" s="10" t="n">
        <v>39974</v>
      </c>
      <c r="K450" s="1" t="n">
        <v>5</v>
      </c>
      <c r="L450" s="1" t="n">
        <v>5</v>
      </c>
      <c r="M450" s="3" t="s">
        <v>48</v>
      </c>
      <c r="N450" s="3" t="s">
        <v>67</v>
      </c>
      <c r="O450" s="3" t="s">
        <v>127</v>
      </c>
      <c r="P450" s="2" t="str">
        <f aca="false">CONCATENATE(N450," ",O450)</f>
        <v>Pardosa lugubris</v>
      </c>
      <c r="Q450" s="1" t="s">
        <v>30</v>
      </c>
      <c r="R450" s="1" t="s">
        <v>31</v>
      </c>
      <c r="S450" s="1" t="n">
        <v>2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0</v>
      </c>
      <c r="Y450" s="3" t="n">
        <f aca="false">SUM(S450:T450)</f>
        <v>2</v>
      </c>
      <c r="Z450" s="3" t="n">
        <f aca="false">SUM(U450:W450)</f>
        <v>0</v>
      </c>
      <c r="AA450" s="3" t="n">
        <f aca="false">SUM(S450:X450)</f>
        <v>2</v>
      </c>
      <c r="AB450" s="11" t="n">
        <f aca="false">(AA450/(K450*L450)*25)*4</f>
        <v>8</v>
      </c>
    </row>
    <row r="451" customFormat="false" ht="14.25" hidden="false" customHeight="false" outlineLevel="0" collapsed="false">
      <c r="A451" s="1" t="n">
        <v>2009</v>
      </c>
      <c r="B451" s="7" t="s">
        <v>322</v>
      </c>
      <c r="C451" s="7" t="n">
        <v>2</v>
      </c>
      <c r="D451" s="7" t="s">
        <v>294</v>
      </c>
      <c r="E451" s="7" t="s">
        <v>294</v>
      </c>
      <c r="F451" s="7" t="s">
        <v>83</v>
      </c>
      <c r="G451" s="1" t="n">
        <v>2</v>
      </c>
      <c r="H451" s="1" t="n">
        <v>8</v>
      </c>
      <c r="I451" s="10" t="n">
        <v>39969</v>
      </c>
      <c r="J451" s="10" t="n">
        <v>39974</v>
      </c>
      <c r="K451" s="1" t="n">
        <v>5</v>
      </c>
      <c r="L451" s="1" t="n">
        <v>5</v>
      </c>
      <c r="M451" s="3" t="s">
        <v>72</v>
      </c>
      <c r="N451" s="3" t="s">
        <v>86</v>
      </c>
      <c r="O451" s="8" t="s">
        <v>87</v>
      </c>
      <c r="P451" s="2" t="str">
        <f aca="false">CONCATENATE(N451," ",O451)</f>
        <v>Haplodrassus soerenseni</v>
      </c>
      <c r="Q451" s="1" t="s">
        <v>30</v>
      </c>
      <c r="R451" s="1" t="s">
        <v>31</v>
      </c>
      <c r="S451" s="1" t="n">
        <v>2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3" t="n">
        <f aca="false">SUM(S451:T451)</f>
        <v>2</v>
      </c>
      <c r="Z451" s="3" t="n">
        <f aca="false">SUM(U451:W451)</f>
        <v>0</v>
      </c>
      <c r="AA451" s="3" t="n">
        <f aca="false">SUM(S451:X451)</f>
        <v>2</v>
      </c>
      <c r="AB451" s="11" t="n">
        <f aca="false">(AA451/(K451*L451)*25)*4</f>
        <v>8</v>
      </c>
    </row>
    <row r="452" customFormat="false" ht="14.25" hidden="false" customHeight="false" outlineLevel="0" collapsed="false">
      <c r="A452" s="1" t="n">
        <v>2009</v>
      </c>
      <c r="B452" s="7" t="s">
        <v>322</v>
      </c>
      <c r="C452" s="7" t="n">
        <v>2</v>
      </c>
      <c r="D452" s="7" t="s">
        <v>294</v>
      </c>
      <c r="E452" s="7" t="s">
        <v>294</v>
      </c>
      <c r="F452" s="7" t="s">
        <v>83</v>
      </c>
      <c r="G452" s="1" t="n">
        <v>2</v>
      </c>
      <c r="H452" s="1" t="n">
        <v>8</v>
      </c>
      <c r="I452" s="10" t="n">
        <v>39969</v>
      </c>
      <c r="J452" s="10" t="n">
        <v>39974</v>
      </c>
      <c r="K452" s="1" t="n">
        <v>5</v>
      </c>
      <c r="L452" s="1" t="n">
        <v>5</v>
      </c>
      <c r="M452" s="13" t="s">
        <v>195</v>
      </c>
      <c r="N452" s="13" t="s">
        <v>196</v>
      </c>
      <c r="O452" s="14" t="s">
        <v>197</v>
      </c>
      <c r="P452" s="2" t="str">
        <f aca="false">CONCATENATE(N452," ",O452)</f>
        <v>Pachygnatha listeri</v>
      </c>
      <c r="Q452" s="1" t="s">
        <v>30</v>
      </c>
      <c r="R452" s="1" t="s">
        <v>31</v>
      </c>
      <c r="S452" s="1" t="n">
        <v>2</v>
      </c>
      <c r="T452" s="1" t="n">
        <v>0</v>
      </c>
      <c r="U452" s="1" t="n">
        <v>0</v>
      </c>
      <c r="V452" s="1" t="n">
        <v>0</v>
      </c>
      <c r="W452" s="1" t="n">
        <v>0</v>
      </c>
      <c r="X452" s="1" t="n">
        <v>0</v>
      </c>
      <c r="Y452" s="3" t="n">
        <f aca="false">SUM(S452:T452)</f>
        <v>2</v>
      </c>
      <c r="Z452" s="3" t="n">
        <f aca="false">SUM(U452:W452)</f>
        <v>0</v>
      </c>
      <c r="AA452" s="3" t="n">
        <f aca="false">SUM(S452:X452)</f>
        <v>2</v>
      </c>
      <c r="AB452" s="11" t="n">
        <f aca="false">(AA452/(K452*L452)*25)*4</f>
        <v>8</v>
      </c>
    </row>
    <row r="453" customFormat="false" ht="14.25" hidden="false" customHeight="false" outlineLevel="0" collapsed="false">
      <c r="A453" s="1" t="n">
        <v>2009</v>
      </c>
      <c r="B453" s="7" t="s">
        <v>322</v>
      </c>
      <c r="C453" s="7" t="n">
        <v>2</v>
      </c>
      <c r="D453" s="7" t="s">
        <v>294</v>
      </c>
      <c r="E453" s="7" t="s">
        <v>294</v>
      </c>
      <c r="F453" s="7" t="s">
        <v>83</v>
      </c>
      <c r="G453" s="1" t="n">
        <v>2</v>
      </c>
      <c r="H453" s="1" t="n">
        <v>8</v>
      </c>
      <c r="I453" s="10" t="n">
        <v>39969</v>
      </c>
      <c r="J453" s="10" t="n">
        <v>39974</v>
      </c>
      <c r="K453" s="1" t="n">
        <v>5</v>
      </c>
      <c r="L453" s="1" t="n">
        <v>5</v>
      </c>
      <c r="M453" s="3" t="s">
        <v>36</v>
      </c>
      <c r="N453" s="3" t="s">
        <v>37</v>
      </c>
      <c r="O453" s="8" t="s">
        <v>75</v>
      </c>
      <c r="P453" s="2" t="str">
        <f aca="false">CONCATENATE(N453," ",O453)</f>
        <v>Ozyptila praticola</v>
      </c>
      <c r="Q453" s="1" t="s">
        <v>30</v>
      </c>
      <c r="R453" s="1" t="s">
        <v>31</v>
      </c>
      <c r="S453" s="1" t="n">
        <v>1</v>
      </c>
      <c r="T453" s="1" t="n">
        <v>0</v>
      </c>
      <c r="U453" s="1" t="n">
        <v>0</v>
      </c>
      <c r="V453" s="1" t="n">
        <v>0</v>
      </c>
      <c r="W453" s="1" t="n">
        <v>0</v>
      </c>
      <c r="X453" s="1" t="n">
        <v>0</v>
      </c>
      <c r="Y453" s="3" t="n">
        <f aca="false">SUM(S453:T453)</f>
        <v>1</v>
      </c>
      <c r="Z453" s="3" t="n">
        <f aca="false">SUM(U453:W453)</f>
        <v>0</v>
      </c>
      <c r="AA453" s="3" t="n">
        <f aca="false">SUM(S453:X453)</f>
        <v>1</v>
      </c>
      <c r="AB453" s="11" t="n">
        <f aca="false">(AA453/(K453*L453)*25)*4</f>
        <v>4</v>
      </c>
    </row>
    <row r="454" customFormat="false" ht="14.25" hidden="false" customHeight="false" outlineLevel="0" collapsed="false">
      <c r="A454" s="1" t="n">
        <v>2009</v>
      </c>
      <c r="B454" s="7" t="s">
        <v>322</v>
      </c>
      <c r="C454" s="7" t="n">
        <v>2</v>
      </c>
      <c r="D454" s="7" t="s">
        <v>294</v>
      </c>
      <c r="E454" s="7" t="s">
        <v>294</v>
      </c>
      <c r="F454" s="7" t="s">
        <v>83</v>
      </c>
      <c r="G454" s="1" t="n">
        <v>2</v>
      </c>
      <c r="H454" s="1" t="n">
        <v>8</v>
      </c>
      <c r="I454" s="10" t="n">
        <v>39969</v>
      </c>
      <c r="J454" s="10" t="n">
        <v>39974</v>
      </c>
      <c r="K454" s="1" t="n">
        <v>5</v>
      </c>
      <c r="L454" s="1" t="n">
        <v>5</v>
      </c>
      <c r="M454" s="3" t="s">
        <v>36</v>
      </c>
      <c r="N454" s="3" t="s">
        <v>131</v>
      </c>
      <c r="O454" s="3" t="s">
        <v>133</v>
      </c>
      <c r="P454" s="2" t="str">
        <f aca="false">CONCATENATE(N454," ",O454)</f>
        <v>Xysticus luctuosus</v>
      </c>
      <c r="Q454" s="1" t="s">
        <v>30</v>
      </c>
      <c r="R454" s="1" t="s">
        <v>31</v>
      </c>
      <c r="S454" s="1" t="n">
        <v>2</v>
      </c>
      <c r="T454" s="1" t="n">
        <v>0</v>
      </c>
      <c r="U454" s="1" t="n">
        <v>0</v>
      </c>
      <c r="V454" s="1" t="n">
        <v>0</v>
      </c>
      <c r="W454" s="1" t="n">
        <v>0</v>
      </c>
      <c r="X454" s="1" t="n">
        <v>0</v>
      </c>
      <c r="Y454" s="3" t="n">
        <f aca="false">SUM(S454:T454)</f>
        <v>2</v>
      </c>
      <c r="Z454" s="3" t="n">
        <f aca="false">SUM(U454:W454)</f>
        <v>0</v>
      </c>
      <c r="AA454" s="3" t="n">
        <f aca="false">SUM(S454:X454)</f>
        <v>2</v>
      </c>
      <c r="AB454" s="11" t="n">
        <f aca="false">(AA454/(K454*L454)*25)*4</f>
        <v>8</v>
      </c>
    </row>
    <row r="455" customFormat="false" ht="14.25" hidden="false" customHeight="false" outlineLevel="0" collapsed="false">
      <c r="A455" s="1" t="n">
        <v>2009</v>
      </c>
      <c r="B455" s="7" t="s">
        <v>322</v>
      </c>
      <c r="C455" s="7" t="n">
        <v>2</v>
      </c>
      <c r="D455" s="7" t="s">
        <v>294</v>
      </c>
      <c r="E455" s="7" t="s">
        <v>294</v>
      </c>
      <c r="F455" s="7" t="s">
        <v>83</v>
      </c>
      <c r="G455" s="1" t="n">
        <v>2</v>
      </c>
      <c r="H455" s="1" t="n">
        <v>8</v>
      </c>
      <c r="I455" s="10" t="n">
        <v>39969</v>
      </c>
      <c r="J455" s="10" t="n">
        <v>39974</v>
      </c>
      <c r="K455" s="1" t="n">
        <v>5</v>
      </c>
      <c r="L455" s="1" t="n">
        <v>5</v>
      </c>
      <c r="M455" s="13" t="s">
        <v>32</v>
      </c>
      <c r="N455" s="13" t="s">
        <v>96</v>
      </c>
      <c r="O455" s="14" t="s">
        <v>97</v>
      </c>
      <c r="P455" s="2" t="str">
        <f aca="false">CONCATENATE(N455," ",O455)</f>
        <v>Diplocephalus picinus</v>
      </c>
      <c r="Q455" s="1" t="s">
        <v>30</v>
      </c>
      <c r="R455" s="1" t="s">
        <v>31</v>
      </c>
      <c r="S455" s="1" t="n">
        <v>1</v>
      </c>
      <c r="T455" s="1" t="n">
        <v>0</v>
      </c>
      <c r="U455" s="1" t="n">
        <v>0</v>
      </c>
      <c r="V455" s="1" t="n">
        <v>0</v>
      </c>
      <c r="W455" s="1" t="n">
        <v>0</v>
      </c>
      <c r="X455" s="1" t="n">
        <v>0</v>
      </c>
      <c r="Y455" s="3" t="n">
        <f aca="false">SUM(S455:T455)</f>
        <v>1</v>
      </c>
      <c r="Z455" s="3" t="n">
        <f aca="false">SUM(U455:W455)</f>
        <v>0</v>
      </c>
      <c r="AA455" s="3" t="n">
        <f aca="false">SUM(S455:X455)</f>
        <v>1</v>
      </c>
      <c r="AB455" s="11" t="n">
        <f aca="false">(AA455/(K455*L455)*25)*4</f>
        <v>4</v>
      </c>
    </row>
    <row r="456" customFormat="false" ht="14.25" hidden="false" customHeight="false" outlineLevel="0" collapsed="false">
      <c r="A456" s="1" t="n">
        <v>2009</v>
      </c>
      <c r="B456" s="7" t="s">
        <v>322</v>
      </c>
      <c r="C456" s="7" t="n">
        <v>2</v>
      </c>
      <c r="D456" s="7" t="s">
        <v>294</v>
      </c>
      <c r="E456" s="7" t="s">
        <v>294</v>
      </c>
      <c r="F456" s="7" t="s">
        <v>83</v>
      </c>
      <c r="G456" s="1" t="n">
        <v>2</v>
      </c>
      <c r="H456" s="1" t="n">
        <v>8</v>
      </c>
      <c r="I456" s="10" t="n">
        <v>39969</v>
      </c>
      <c r="J456" s="10" t="n">
        <v>39974</v>
      </c>
      <c r="K456" s="1" t="n">
        <v>5</v>
      </c>
      <c r="L456" s="1" t="n">
        <v>5</v>
      </c>
      <c r="M456" s="3" t="s">
        <v>32</v>
      </c>
      <c r="N456" s="3" t="s">
        <v>102</v>
      </c>
      <c r="O456" s="3" t="s">
        <v>193</v>
      </c>
      <c r="P456" s="2" t="str">
        <f aca="false">CONCATENATE(N456," ",O456)</f>
        <v>Agyneta subtilis</v>
      </c>
      <c r="Q456" s="1" t="s">
        <v>30</v>
      </c>
      <c r="R456" s="1" t="s">
        <v>31</v>
      </c>
      <c r="S456" s="1" t="n">
        <v>1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0</v>
      </c>
      <c r="Y456" s="3" t="n">
        <f aca="false">SUM(S456:T456)</f>
        <v>1</v>
      </c>
      <c r="Z456" s="3" t="n">
        <f aca="false">SUM(U456:W456)</f>
        <v>0</v>
      </c>
      <c r="AA456" s="3" t="n">
        <f aca="false">SUM(S456:X456)</f>
        <v>1</v>
      </c>
      <c r="AB456" s="11" t="n">
        <f aca="false">(AA456/(K456*L456)*25)*4</f>
        <v>4</v>
      </c>
    </row>
    <row r="457" customFormat="false" ht="14.25" hidden="false" customHeight="false" outlineLevel="0" collapsed="false">
      <c r="A457" s="1" t="n">
        <v>2009</v>
      </c>
      <c r="B457" s="7" t="s">
        <v>322</v>
      </c>
      <c r="C457" s="7" t="n">
        <v>2</v>
      </c>
      <c r="D457" s="7" t="s">
        <v>294</v>
      </c>
      <c r="E457" s="7" t="s">
        <v>294</v>
      </c>
      <c r="F457" s="7" t="s">
        <v>83</v>
      </c>
      <c r="G457" s="1" t="n">
        <v>2</v>
      </c>
      <c r="H457" s="1" t="n">
        <v>8</v>
      </c>
      <c r="I457" s="10" t="n">
        <v>39969</v>
      </c>
      <c r="J457" s="10" t="n">
        <v>39974</v>
      </c>
      <c r="K457" s="1" t="n">
        <v>5</v>
      </c>
      <c r="L457" s="1" t="n">
        <v>5</v>
      </c>
      <c r="M457" s="3" t="s">
        <v>32</v>
      </c>
      <c r="N457" s="3" t="s">
        <v>55</v>
      </c>
      <c r="O457" s="3" t="s">
        <v>194</v>
      </c>
      <c r="P457" s="2" t="str">
        <f aca="false">CONCATENATE(N457," ",O457)</f>
        <v>Maro pansibiricus</v>
      </c>
      <c r="Q457" s="1" t="s">
        <v>30</v>
      </c>
      <c r="R457" s="1" t="s">
        <v>31</v>
      </c>
      <c r="S457" s="1" t="n">
        <v>1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3" t="n">
        <f aca="false">SUM(S457:T457)</f>
        <v>1</v>
      </c>
      <c r="Z457" s="3" t="n">
        <f aca="false">SUM(U457:W457)</f>
        <v>0</v>
      </c>
      <c r="AA457" s="3" t="n">
        <f aca="false">SUM(S457:X457)</f>
        <v>1</v>
      </c>
      <c r="AB457" s="11" t="n">
        <f aca="false">(AA457/(K457*L457)*25)*4</f>
        <v>4</v>
      </c>
    </row>
    <row r="458" customFormat="false" ht="14.25" hidden="false" customHeight="false" outlineLevel="0" collapsed="false">
      <c r="A458" s="1" t="n">
        <v>2009</v>
      </c>
      <c r="B458" s="7" t="s">
        <v>322</v>
      </c>
      <c r="C458" s="7" t="n">
        <v>2</v>
      </c>
      <c r="D458" s="7" t="s">
        <v>294</v>
      </c>
      <c r="E458" s="7" t="s">
        <v>294</v>
      </c>
      <c r="F458" s="7" t="s">
        <v>83</v>
      </c>
      <c r="G458" s="1" t="n">
        <v>2</v>
      </c>
      <c r="H458" s="1" t="n">
        <v>9</v>
      </c>
      <c r="I458" s="10" t="n">
        <v>39969</v>
      </c>
      <c r="J458" s="10" t="n">
        <v>39974</v>
      </c>
      <c r="K458" s="1" t="n">
        <v>5</v>
      </c>
      <c r="L458" s="1" t="n">
        <v>5</v>
      </c>
      <c r="M458" s="3" t="s">
        <v>48</v>
      </c>
      <c r="N458" s="3" t="s">
        <v>49</v>
      </c>
      <c r="O458" s="3" t="s">
        <v>104</v>
      </c>
      <c r="P458" s="2" t="str">
        <f aca="false">CONCATENATE(N458," ",O458)</f>
        <v>Alopecosa taeniata</v>
      </c>
      <c r="Q458" s="1" t="s">
        <v>30</v>
      </c>
      <c r="R458" s="1" t="s">
        <v>31</v>
      </c>
      <c r="S458" s="1" t="n">
        <v>1</v>
      </c>
      <c r="T458" s="1" t="n">
        <v>0</v>
      </c>
      <c r="U458" s="1" t="n">
        <v>0</v>
      </c>
      <c r="V458" s="1" t="n">
        <v>0</v>
      </c>
      <c r="W458" s="1" t="n">
        <v>0</v>
      </c>
      <c r="X458" s="1" t="n">
        <v>0</v>
      </c>
      <c r="Y458" s="3" t="n">
        <f aca="false">SUM(S458:T458)</f>
        <v>1</v>
      </c>
      <c r="Z458" s="3" t="n">
        <f aca="false">SUM(U458:W458)</f>
        <v>0</v>
      </c>
      <c r="AA458" s="3" t="n">
        <f aca="false">SUM(S458:X458)</f>
        <v>1</v>
      </c>
      <c r="AB458" s="11" t="n">
        <f aca="false">(AA458/(K458*L458)*25)*4</f>
        <v>4</v>
      </c>
    </row>
    <row r="459" customFormat="false" ht="14.25" hidden="false" customHeight="false" outlineLevel="0" collapsed="false">
      <c r="A459" s="1" t="n">
        <v>2009</v>
      </c>
      <c r="B459" s="7" t="s">
        <v>322</v>
      </c>
      <c r="C459" s="7" t="n">
        <v>2</v>
      </c>
      <c r="D459" s="7" t="s">
        <v>294</v>
      </c>
      <c r="E459" s="7" t="s">
        <v>294</v>
      </c>
      <c r="F459" s="7" t="s">
        <v>83</v>
      </c>
      <c r="G459" s="1" t="n">
        <v>2</v>
      </c>
      <c r="H459" s="1" t="n">
        <v>9</v>
      </c>
      <c r="I459" s="10" t="n">
        <v>39969</v>
      </c>
      <c r="J459" s="10" t="n">
        <v>39974</v>
      </c>
      <c r="K459" s="1" t="n">
        <v>5</v>
      </c>
      <c r="L459" s="1" t="n">
        <v>5</v>
      </c>
      <c r="M459" s="3" t="s">
        <v>48</v>
      </c>
      <c r="N459" s="3" t="s">
        <v>49</v>
      </c>
      <c r="O459" s="3" t="s">
        <v>104</v>
      </c>
      <c r="P459" s="2" t="str">
        <f aca="false">CONCATENATE(N459," ",O459)</f>
        <v>Alopecosa taeniata</v>
      </c>
      <c r="Q459" s="1" t="s">
        <v>30</v>
      </c>
      <c r="R459" s="1" t="s">
        <v>35</v>
      </c>
      <c r="S459" s="1" t="n">
        <v>0</v>
      </c>
      <c r="T459" s="1" t="n">
        <v>2</v>
      </c>
      <c r="U459" s="1" t="n">
        <v>0</v>
      </c>
      <c r="V459" s="1" t="n">
        <v>0</v>
      </c>
      <c r="W459" s="1" t="n">
        <v>0</v>
      </c>
      <c r="X459" s="1" t="n">
        <v>0</v>
      </c>
      <c r="Y459" s="3" t="n">
        <f aca="false">SUM(S459:T459)</f>
        <v>2</v>
      </c>
      <c r="Z459" s="3" t="n">
        <f aca="false">SUM(U459:W459)</f>
        <v>0</v>
      </c>
      <c r="AA459" s="3" t="n">
        <f aca="false">SUM(S459:X459)</f>
        <v>2</v>
      </c>
      <c r="AB459" s="11" t="n">
        <f aca="false">(AA459/(K459*L459)*25)*4</f>
        <v>8</v>
      </c>
    </row>
    <row r="460" customFormat="false" ht="14.25" hidden="false" customHeight="false" outlineLevel="0" collapsed="false">
      <c r="A460" s="1" t="n">
        <v>2009</v>
      </c>
      <c r="B460" s="7" t="s">
        <v>322</v>
      </c>
      <c r="C460" s="7" t="n">
        <v>2</v>
      </c>
      <c r="D460" s="7" t="s">
        <v>294</v>
      </c>
      <c r="E460" s="7" t="s">
        <v>294</v>
      </c>
      <c r="F460" s="7" t="s">
        <v>83</v>
      </c>
      <c r="G460" s="1" t="n">
        <v>2</v>
      </c>
      <c r="H460" s="1" t="n">
        <v>9</v>
      </c>
      <c r="I460" s="10" t="n">
        <v>39969</v>
      </c>
      <c r="J460" s="10" t="n">
        <v>39974</v>
      </c>
      <c r="K460" s="1" t="n">
        <v>5</v>
      </c>
      <c r="L460" s="1" t="n">
        <v>5</v>
      </c>
      <c r="M460" s="3" t="s">
        <v>48</v>
      </c>
      <c r="N460" s="3" t="s">
        <v>67</v>
      </c>
      <c r="O460" s="3" t="s">
        <v>127</v>
      </c>
      <c r="P460" s="2" t="str">
        <f aca="false">CONCATENATE(N460," ",O460)</f>
        <v>Pardosa lugubris</v>
      </c>
      <c r="Q460" s="1" t="s">
        <v>30</v>
      </c>
      <c r="R460" s="1" t="s">
        <v>31</v>
      </c>
      <c r="S460" s="1" t="n">
        <v>6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0</v>
      </c>
      <c r="Y460" s="3" t="n">
        <f aca="false">SUM(S460:T460)</f>
        <v>6</v>
      </c>
      <c r="Z460" s="3" t="n">
        <f aca="false">SUM(U460:W460)</f>
        <v>0</v>
      </c>
      <c r="AA460" s="3" t="n">
        <f aca="false">SUM(S460:X460)</f>
        <v>6</v>
      </c>
      <c r="AB460" s="11" t="n">
        <f aca="false">(AA460/(K460*L460)*25)*4</f>
        <v>24</v>
      </c>
    </row>
    <row r="461" customFormat="false" ht="14.25" hidden="false" customHeight="false" outlineLevel="0" collapsed="false">
      <c r="A461" s="1" t="n">
        <v>2009</v>
      </c>
      <c r="B461" s="7" t="s">
        <v>322</v>
      </c>
      <c r="C461" s="7" t="n">
        <v>2</v>
      </c>
      <c r="D461" s="7" t="s">
        <v>294</v>
      </c>
      <c r="E461" s="7" t="s">
        <v>294</v>
      </c>
      <c r="F461" s="7" t="s">
        <v>83</v>
      </c>
      <c r="G461" s="1" t="n">
        <v>2</v>
      </c>
      <c r="H461" s="1" t="n">
        <v>9</v>
      </c>
      <c r="I461" s="10" t="n">
        <v>39969</v>
      </c>
      <c r="J461" s="10" t="n">
        <v>39974</v>
      </c>
      <c r="K461" s="1" t="n">
        <v>5</v>
      </c>
      <c r="L461" s="1" t="n">
        <v>5</v>
      </c>
      <c r="M461" s="3" t="s">
        <v>48</v>
      </c>
      <c r="N461" s="3" t="s">
        <v>67</v>
      </c>
      <c r="O461" s="3" t="s">
        <v>127</v>
      </c>
      <c r="P461" s="2" t="str">
        <f aca="false">CONCATENATE(N461," ",O461)</f>
        <v>Pardosa lugubris</v>
      </c>
      <c r="Q461" s="1" t="s">
        <v>30</v>
      </c>
      <c r="R461" s="1" t="s">
        <v>35</v>
      </c>
      <c r="S461" s="1" t="n">
        <v>0</v>
      </c>
      <c r="T461" s="1" t="n">
        <v>1</v>
      </c>
      <c r="U461" s="1" t="n">
        <v>0</v>
      </c>
      <c r="V461" s="1" t="n">
        <v>0</v>
      </c>
      <c r="W461" s="1" t="n">
        <v>0</v>
      </c>
      <c r="X461" s="1" t="n">
        <v>0</v>
      </c>
      <c r="Y461" s="3" t="n">
        <f aca="false">SUM(S461:T461)</f>
        <v>1</v>
      </c>
      <c r="Z461" s="3" t="n">
        <f aca="false">SUM(U461:W461)</f>
        <v>0</v>
      </c>
      <c r="AA461" s="3" t="n">
        <f aca="false">SUM(S461:X461)</f>
        <v>1</v>
      </c>
      <c r="AB461" s="11" t="n">
        <f aca="false">(AA461/(K461*L461)*25)*4</f>
        <v>4</v>
      </c>
    </row>
    <row r="462" customFormat="false" ht="14.25" hidden="false" customHeight="false" outlineLevel="0" collapsed="false">
      <c r="A462" s="1" t="n">
        <v>2009</v>
      </c>
      <c r="B462" s="7" t="s">
        <v>322</v>
      </c>
      <c r="C462" s="7" t="n">
        <v>2</v>
      </c>
      <c r="D462" s="7" t="s">
        <v>294</v>
      </c>
      <c r="E462" s="7" t="s">
        <v>294</v>
      </c>
      <c r="F462" s="7" t="s">
        <v>83</v>
      </c>
      <c r="G462" s="1" t="n">
        <v>2</v>
      </c>
      <c r="H462" s="1" t="n">
        <v>9</v>
      </c>
      <c r="I462" s="10" t="n">
        <v>39969</v>
      </c>
      <c r="J462" s="10" t="n">
        <v>39974</v>
      </c>
      <c r="K462" s="1" t="n">
        <v>5</v>
      </c>
      <c r="L462" s="1" t="n">
        <v>5</v>
      </c>
      <c r="M462" s="13" t="s">
        <v>195</v>
      </c>
      <c r="N462" s="13" t="s">
        <v>196</v>
      </c>
      <c r="O462" s="14" t="s">
        <v>197</v>
      </c>
      <c r="P462" s="2" t="str">
        <f aca="false">CONCATENATE(N462," ",O462)</f>
        <v>Pachygnatha listeri</v>
      </c>
      <c r="Q462" s="1" t="s">
        <v>30</v>
      </c>
      <c r="R462" s="1" t="s">
        <v>31</v>
      </c>
      <c r="S462" s="1" t="n">
        <v>1</v>
      </c>
      <c r="T462" s="1" t="n">
        <v>0</v>
      </c>
      <c r="U462" s="1" t="n">
        <v>0</v>
      </c>
      <c r="V462" s="1" t="n">
        <v>0</v>
      </c>
      <c r="W462" s="1" t="n">
        <v>0</v>
      </c>
      <c r="X462" s="1" t="n">
        <v>0</v>
      </c>
      <c r="Y462" s="3" t="n">
        <f aca="false">SUM(S462:T462)</f>
        <v>1</v>
      </c>
      <c r="Z462" s="3" t="n">
        <f aca="false">SUM(U462:W462)</f>
        <v>0</v>
      </c>
      <c r="AA462" s="3" t="n">
        <f aca="false">SUM(S462:X462)</f>
        <v>1</v>
      </c>
      <c r="AB462" s="11" t="n">
        <f aca="false">(AA462/(K462*L462)*25)*4</f>
        <v>4</v>
      </c>
    </row>
    <row r="463" customFormat="false" ht="14.25" hidden="false" customHeight="false" outlineLevel="0" collapsed="false">
      <c r="A463" s="1" t="n">
        <v>2009</v>
      </c>
      <c r="B463" s="7" t="s">
        <v>322</v>
      </c>
      <c r="C463" s="7" t="n">
        <v>2</v>
      </c>
      <c r="D463" s="7" t="s">
        <v>294</v>
      </c>
      <c r="E463" s="7" t="s">
        <v>294</v>
      </c>
      <c r="F463" s="7" t="s">
        <v>83</v>
      </c>
      <c r="G463" s="1" t="n">
        <v>2</v>
      </c>
      <c r="H463" s="1" t="n">
        <v>9</v>
      </c>
      <c r="I463" s="10" t="n">
        <v>39969</v>
      </c>
      <c r="J463" s="10" t="n">
        <v>39974</v>
      </c>
      <c r="K463" s="1" t="n">
        <v>5</v>
      </c>
      <c r="L463" s="1" t="n">
        <v>5</v>
      </c>
      <c r="M463" s="13" t="s">
        <v>32</v>
      </c>
      <c r="N463" s="13" t="s">
        <v>96</v>
      </c>
      <c r="O463" s="14" t="s">
        <v>97</v>
      </c>
      <c r="P463" s="2" t="str">
        <f aca="false">CONCATENATE(N463," ",O463)</f>
        <v>Diplocephalus picinus</v>
      </c>
      <c r="Q463" s="1" t="s">
        <v>30</v>
      </c>
      <c r="R463" s="1" t="s">
        <v>35</v>
      </c>
      <c r="S463" s="1" t="n">
        <v>0</v>
      </c>
      <c r="T463" s="1" t="n">
        <v>1</v>
      </c>
      <c r="U463" s="1" t="n">
        <v>0</v>
      </c>
      <c r="V463" s="1" t="n">
        <v>0</v>
      </c>
      <c r="W463" s="1" t="n">
        <v>0</v>
      </c>
      <c r="X463" s="1" t="n">
        <v>0</v>
      </c>
      <c r="Y463" s="3" t="n">
        <f aca="false">SUM(S463:T463)</f>
        <v>1</v>
      </c>
      <c r="Z463" s="3" t="n">
        <f aca="false">SUM(U463:W463)</f>
        <v>0</v>
      </c>
      <c r="AA463" s="3" t="n">
        <f aca="false">SUM(S463:X463)</f>
        <v>1</v>
      </c>
      <c r="AB463" s="11" t="n">
        <f aca="false">(AA463/(K463*L463)*25)*4</f>
        <v>4</v>
      </c>
    </row>
    <row r="464" customFormat="false" ht="14.25" hidden="false" customHeight="false" outlineLevel="0" collapsed="false">
      <c r="A464" s="1" t="n">
        <v>2009</v>
      </c>
      <c r="B464" s="7" t="s">
        <v>322</v>
      </c>
      <c r="C464" s="7" t="n">
        <v>2</v>
      </c>
      <c r="D464" s="7" t="s">
        <v>294</v>
      </c>
      <c r="E464" s="7" t="s">
        <v>294</v>
      </c>
      <c r="F464" s="7" t="s">
        <v>83</v>
      </c>
      <c r="G464" s="1" t="n">
        <v>2</v>
      </c>
      <c r="H464" s="1" t="n">
        <v>9</v>
      </c>
      <c r="I464" s="10" t="n">
        <v>39969</v>
      </c>
      <c r="J464" s="10" t="n">
        <v>39974</v>
      </c>
      <c r="K464" s="1" t="n">
        <v>5</v>
      </c>
      <c r="L464" s="1" t="n">
        <v>5</v>
      </c>
      <c r="M464" s="3" t="s">
        <v>32</v>
      </c>
      <c r="N464" s="3" t="s">
        <v>55</v>
      </c>
      <c r="O464" s="3" t="s">
        <v>194</v>
      </c>
      <c r="P464" s="2" t="str">
        <f aca="false">CONCATENATE(N464," ",O464)</f>
        <v>Maro pansibiricus</v>
      </c>
      <c r="Q464" s="1" t="s">
        <v>30</v>
      </c>
      <c r="R464" s="1" t="s">
        <v>31</v>
      </c>
      <c r="S464" s="1" t="n">
        <v>3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0</v>
      </c>
      <c r="Y464" s="3" t="n">
        <f aca="false">SUM(S464:T464)</f>
        <v>3</v>
      </c>
      <c r="Z464" s="3" t="n">
        <f aca="false">SUM(U464:W464)</f>
        <v>0</v>
      </c>
      <c r="AA464" s="3" t="n">
        <f aca="false">SUM(S464:X464)</f>
        <v>3</v>
      </c>
      <c r="AB464" s="11" t="n">
        <f aca="false">(AA464/(K464*L464)*25)*4</f>
        <v>12</v>
      </c>
    </row>
    <row r="465" customFormat="false" ht="14.25" hidden="false" customHeight="false" outlineLevel="0" collapsed="false">
      <c r="A465" s="1" t="n">
        <v>2009</v>
      </c>
      <c r="B465" s="7" t="s">
        <v>322</v>
      </c>
      <c r="C465" s="7" t="n">
        <v>2</v>
      </c>
      <c r="D465" s="7" t="s">
        <v>294</v>
      </c>
      <c r="E465" s="7" t="s">
        <v>294</v>
      </c>
      <c r="F465" s="7" t="s">
        <v>83</v>
      </c>
      <c r="G465" s="1" t="n">
        <v>2</v>
      </c>
      <c r="H465" s="1" t="n">
        <v>10</v>
      </c>
      <c r="I465" s="10" t="n">
        <v>39969</v>
      </c>
      <c r="J465" s="10" t="n">
        <v>39974</v>
      </c>
      <c r="K465" s="1" t="n">
        <v>5</v>
      </c>
      <c r="L465" s="1" t="n">
        <v>5</v>
      </c>
      <c r="M465" s="3" t="s">
        <v>48</v>
      </c>
      <c r="N465" s="3" t="s">
        <v>49</v>
      </c>
      <c r="O465" s="3" t="s">
        <v>104</v>
      </c>
      <c r="P465" s="2" t="str">
        <f aca="false">CONCATENATE(N465," ",O465)</f>
        <v>Alopecosa taeniata</v>
      </c>
      <c r="Q465" s="1" t="s">
        <v>30</v>
      </c>
      <c r="R465" s="1" t="s">
        <v>31</v>
      </c>
      <c r="S465" s="1" t="n">
        <v>1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3" t="n">
        <f aca="false">SUM(S465:T465)</f>
        <v>1</v>
      </c>
      <c r="Z465" s="3" t="n">
        <f aca="false">SUM(U465:W465)</f>
        <v>0</v>
      </c>
      <c r="AA465" s="3" t="n">
        <f aca="false">SUM(S465:X465)</f>
        <v>1</v>
      </c>
      <c r="AB465" s="11" t="n">
        <f aca="false">(AA465/(K465*L465)*25)*4</f>
        <v>4</v>
      </c>
    </row>
    <row r="466" customFormat="false" ht="14.25" hidden="false" customHeight="false" outlineLevel="0" collapsed="false">
      <c r="A466" s="1" t="n">
        <v>2009</v>
      </c>
      <c r="B466" s="7" t="s">
        <v>322</v>
      </c>
      <c r="C466" s="7" t="n">
        <v>2</v>
      </c>
      <c r="D466" s="7" t="s">
        <v>294</v>
      </c>
      <c r="E466" s="7" t="s">
        <v>294</v>
      </c>
      <c r="F466" s="7" t="s">
        <v>83</v>
      </c>
      <c r="G466" s="1" t="n">
        <v>2</v>
      </c>
      <c r="H466" s="1" t="n">
        <v>10</v>
      </c>
      <c r="I466" s="10" t="n">
        <v>39969</v>
      </c>
      <c r="J466" s="10" t="n">
        <v>39974</v>
      </c>
      <c r="K466" s="1" t="n">
        <v>5</v>
      </c>
      <c r="L466" s="1" t="n">
        <v>5</v>
      </c>
      <c r="M466" s="3" t="s">
        <v>48</v>
      </c>
      <c r="N466" s="3" t="s">
        <v>49</v>
      </c>
      <c r="O466" s="3" t="s">
        <v>104</v>
      </c>
      <c r="P466" s="2" t="str">
        <f aca="false">CONCATENATE(N466," ",O466)</f>
        <v>Alopecosa taeniata</v>
      </c>
      <c r="Q466" s="1" t="s">
        <v>30</v>
      </c>
      <c r="R466" s="1" t="s">
        <v>35</v>
      </c>
      <c r="S466" s="1" t="n">
        <v>0</v>
      </c>
      <c r="T466" s="1" t="n">
        <v>1</v>
      </c>
      <c r="U466" s="1" t="n">
        <v>0</v>
      </c>
      <c r="V466" s="1" t="n">
        <v>0</v>
      </c>
      <c r="W466" s="1" t="n">
        <v>0</v>
      </c>
      <c r="X466" s="1" t="n">
        <v>0</v>
      </c>
      <c r="Y466" s="3" t="n">
        <f aca="false">SUM(S466:T466)</f>
        <v>1</v>
      </c>
      <c r="Z466" s="3" t="n">
        <f aca="false">SUM(U466:W466)</f>
        <v>0</v>
      </c>
      <c r="AA466" s="3" t="n">
        <f aca="false">SUM(S466:X466)</f>
        <v>1</v>
      </c>
      <c r="AB466" s="11" t="n">
        <f aca="false">(AA466/(K466*L466)*25)*4</f>
        <v>4</v>
      </c>
    </row>
    <row r="467" customFormat="false" ht="14.25" hidden="false" customHeight="false" outlineLevel="0" collapsed="false">
      <c r="A467" s="1" t="n">
        <v>2009</v>
      </c>
      <c r="B467" s="7" t="s">
        <v>322</v>
      </c>
      <c r="C467" s="7" t="n">
        <v>2</v>
      </c>
      <c r="D467" s="7" t="s">
        <v>294</v>
      </c>
      <c r="E467" s="7" t="s">
        <v>294</v>
      </c>
      <c r="F467" s="7" t="s">
        <v>83</v>
      </c>
      <c r="G467" s="1" t="n">
        <v>2</v>
      </c>
      <c r="H467" s="1" t="n">
        <v>10</v>
      </c>
      <c r="I467" s="10" t="n">
        <v>39969</v>
      </c>
      <c r="J467" s="10" t="n">
        <v>39974</v>
      </c>
      <c r="K467" s="1" t="n">
        <v>5</v>
      </c>
      <c r="L467" s="1" t="n">
        <v>5</v>
      </c>
      <c r="M467" s="3" t="s">
        <v>48</v>
      </c>
      <c r="N467" s="3" t="s">
        <v>67</v>
      </c>
      <c r="O467" s="3" t="s">
        <v>127</v>
      </c>
      <c r="P467" s="2" t="str">
        <f aca="false">CONCATENATE(N467," ",O467)</f>
        <v>Pardosa lugubris</v>
      </c>
      <c r="Q467" s="1" t="s">
        <v>30</v>
      </c>
      <c r="R467" s="1" t="s">
        <v>31</v>
      </c>
      <c r="S467" s="1" t="n">
        <v>5</v>
      </c>
      <c r="T467" s="1" t="n">
        <v>0</v>
      </c>
      <c r="U467" s="1" t="n">
        <v>0</v>
      </c>
      <c r="V467" s="1" t="n">
        <v>0</v>
      </c>
      <c r="W467" s="1" t="n">
        <v>0</v>
      </c>
      <c r="X467" s="1" t="n">
        <v>0</v>
      </c>
      <c r="Y467" s="3" t="n">
        <f aca="false">SUM(S467:T467)</f>
        <v>5</v>
      </c>
      <c r="Z467" s="3" t="n">
        <f aca="false">SUM(U467:W467)</f>
        <v>0</v>
      </c>
      <c r="AA467" s="3" t="n">
        <f aca="false">SUM(S467:X467)</f>
        <v>5</v>
      </c>
      <c r="AB467" s="11" t="n">
        <f aca="false">(AA467/(K467*L467)*25)*4</f>
        <v>20</v>
      </c>
    </row>
    <row r="468" customFormat="false" ht="14.25" hidden="false" customHeight="false" outlineLevel="0" collapsed="false">
      <c r="A468" s="1" t="n">
        <v>2009</v>
      </c>
      <c r="B468" s="7" t="s">
        <v>322</v>
      </c>
      <c r="C468" s="7" t="n">
        <v>2</v>
      </c>
      <c r="D468" s="7" t="s">
        <v>294</v>
      </c>
      <c r="E468" s="7" t="s">
        <v>294</v>
      </c>
      <c r="F468" s="7" t="s">
        <v>83</v>
      </c>
      <c r="G468" s="1" t="n">
        <v>2</v>
      </c>
      <c r="H468" s="1" t="n">
        <v>10</v>
      </c>
      <c r="I468" s="10" t="n">
        <v>39969</v>
      </c>
      <c r="J468" s="10" t="n">
        <v>39974</v>
      </c>
      <c r="K468" s="1" t="n">
        <v>5</v>
      </c>
      <c r="L468" s="1" t="n">
        <v>5</v>
      </c>
      <c r="M468" s="3" t="s">
        <v>72</v>
      </c>
      <c r="N468" s="3" t="s">
        <v>86</v>
      </c>
      <c r="O468" s="8" t="s">
        <v>87</v>
      </c>
      <c r="P468" s="2" t="str">
        <f aca="false">CONCATENATE(N468," ",O468)</f>
        <v>Haplodrassus soerenseni</v>
      </c>
      <c r="Q468" s="1" t="s">
        <v>30</v>
      </c>
      <c r="R468" s="1" t="s">
        <v>31</v>
      </c>
      <c r="S468" s="1" t="n">
        <v>6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0</v>
      </c>
      <c r="Y468" s="3" t="n">
        <f aca="false">SUM(S468:T468)</f>
        <v>6</v>
      </c>
      <c r="Z468" s="3" t="n">
        <f aca="false">SUM(U468:W468)</f>
        <v>0</v>
      </c>
      <c r="AA468" s="3" t="n">
        <f aca="false">SUM(S468:X468)</f>
        <v>6</v>
      </c>
      <c r="AB468" s="11" t="n">
        <f aca="false">(AA468/(K468*L468)*25)*4</f>
        <v>24</v>
      </c>
    </row>
    <row r="469" customFormat="false" ht="14.25" hidden="false" customHeight="false" outlineLevel="0" collapsed="false">
      <c r="A469" s="1" t="n">
        <v>2009</v>
      </c>
      <c r="B469" s="7" t="s">
        <v>322</v>
      </c>
      <c r="C469" s="7" t="n">
        <v>2</v>
      </c>
      <c r="D469" s="7" t="s">
        <v>294</v>
      </c>
      <c r="E469" s="7" t="s">
        <v>294</v>
      </c>
      <c r="F469" s="7" t="s">
        <v>83</v>
      </c>
      <c r="G469" s="1" t="n">
        <v>2</v>
      </c>
      <c r="H469" s="1" t="n">
        <v>10</v>
      </c>
      <c r="I469" s="10" t="n">
        <v>39969</v>
      </c>
      <c r="J469" s="10" t="n">
        <v>39974</v>
      </c>
      <c r="K469" s="1" t="n">
        <v>5</v>
      </c>
      <c r="L469" s="1" t="n">
        <v>5</v>
      </c>
      <c r="M469" s="13" t="s">
        <v>195</v>
      </c>
      <c r="N469" s="13" t="s">
        <v>196</v>
      </c>
      <c r="O469" s="14" t="s">
        <v>197</v>
      </c>
      <c r="P469" s="2" t="str">
        <f aca="false">CONCATENATE(N469," ",O469)</f>
        <v>Pachygnatha listeri</v>
      </c>
      <c r="Q469" s="1" t="s">
        <v>30</v>
      </c>
      <c r="R469" s="1" t="s">
        <v>31</v>
      </c>
      <c r="S469" s="1" t="n">
        <v>1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3" t="n">
        <f aca="false">SUM(S469:T469)</f>
        <v>1</v>
      </c>
      <c r="Z469" s="3" t="n">
        <f aca="false">SUM(U469:W469)</f>
        <v>0</v>
      </c>
      <c r="AA469" s="3" t="n">
        <f aca="false">SUM(S469:X469)</f>
        <v>1</v>
      </c>
      <c r="AB469" s="11" t="n">
        <f aca="false">(AA469/(K469*L469)*25)*4</f>
        <v>4</v>
      </c>
    </row>
    <row r="470" customFormat="false" ht="14.25" hidden="false" customHeight="false" outlineLevel="0" collapsed="false">
      <c r="A470" s="1" t="n">
        <v>2009</v>
      </c>
      <c r="B470" s="7" t="s">
        <v>322</v>
      </c>
      <c r="C470" s="7" t="n">
        <v>2</v>
      </c>
      <c r="D470" s="7" t="s">
        <v>294</v>
      </c>
      <c r="E470" s="7" t="s">
        <v>294</v>
      </c>
      <c r="F470" s="7" t="s">
        <v>83</v>
      </c>
      <c r="G470" s="1" t="n">
        <v>2</v>
      </c>
      <c r="H470" s="1" t="n">
        <v>10</v>
      </c>
      <c r="I470" s="10" t="n">
        <v>39969</v>
      </c>
      <c r="J470" s="10" t="n">
        <v>39974</v>
      </c>
      <c r="K470" s="1" t="n">
        <v>5</v>
      </c>
      <c r="L470" s="1" t="n">
        <v>5</v>
      </c>
      <c r="M470" s="3" t="s">
        <v>36</v>
      </c>
      <c r="N470" s="3" t="s">
        <v>131</v>
      </c>
      <c r="O470" s="3" t="s">
        <v>199</v>
      </c>
      <c r="P470" s="2" t="str">
        <f aca="false">CONCATENATE(N470," ",O470)</f>
        <v>Xysticus obscurus</v>
      </c>
      <c r="Q470" s="1" t="s">
        <v>30</v>
      </c>
      <c r="R470" s="1" t="s">
        <v>31</v>
      </c>
      <c r="S470" s="1" t="n">
        <v>1</v>
      </c>
      <c r="T470" s="1" t="n">
        <v>0</v>
      </c>
      <c r="U470" s="1" t="n">
        <v>0</v>
      </c>
      <c r="V470" s="1" t="n">
        <v>0</v>
      </c>
      <c r="W470" s="1" t="n">
        <v>0</v>
      </c>
      <c r="X470" s="1" t="n">
        <v>0</v>
      </c>
      <c r="Y470" s="3" t="n">
        <f aca="false">SUM(S470:T470)</f>
        <v>1</v>
      </c>
      <c r="Z470" s="3" t="n">
        <f aca="false">SUM(U470:W470)</f>
        <v>0</v>
      </c>
      <c r="AA470" s="3" t="n">
        <f aca="false">SUM(S470:X470)</f>
        <v>1</v>
      </c>
      <c r="AB470" s="11" t="n">
        <f aca="false">(AA470/(K470*L470)*25)*4</f>
        <v>4</v>
      </c>
    </row>
    <row r="471" customFormat="false" ht="14.25" hidden="false" customHeight="false" outlineLevel="0" collapsed="false">
      <c r="A471" s="1" t="n">
        <v>2009</v>
      </c>
      <c r="B471" s="7" t="s">
        <v>322</v>
      </c>
      <c r="C471" s="7" t="n">
        <v>2</v>
      </c>
      <c r="D471" s="7" t="s">
        <v>294</v>
      </c>
      <c r="E471" s="7" t="s">
        <v>294</v>
      </c>
      <c r="F471" s="7" t="s">
        <v>83</v>
      </c>
      <c r="G471" s="1" t="n">
        <v>2</v>
      </c>
      <c r="H471" s="1" t="n">
        <v>10</v>
      </c>
      <c r="I471" s="10" t="n">
        <v>39969</v>
      </c>
      <c r="J471" s="10" t="n">
        <v>39974</v>
      </c>
      <c r="K471" s="1" t="n">
        <v>5</v>
      </c>
      <c r="L471" s="1" t="n">
        <v>5</v>
      </c>
      <c r="M471" s="3" t="s">
        <v>32</v>
      </c>
      <c r="N471" s="3" t="s">
        <v>90</v>
      </c>
      <c r="O471" s="3" t="s">
        <v>91</v>
      </c>
      <c r="P471" s="2" t="str">
        <f aca="false">CONCATENATE(N471," ",O471)</f>
        <v>Tapinocyba insecta</v>
      </c>
      <c r="Q471" s="1" t="s">
        <v>30</v>
      </c>
      <c r="R471" s="1" t="s">
        <v>31</v>
      </c>
      <c r="S471" s="1" t="n">
        <v>2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3" t="n">
        <f aca="false">SUM(S471:T471)</f>
        <v>2</v>
      </c>
      <c r="Z471" s="3" t="n">
        <f aca="false">SUM(U471:W471)</f>
        <v>0</v>
      </c>
      <c r="AA471" s="3" t="n">
        <f aca="false">SUM(S471:X471)</f>
        <v>2</v>
      </c>
      <c r="AB471" s="11" t="n">
        <f aca="false">(AA471/(K471*L471)*25)*4</f>
        <v>8</v>
      </c>
    </row>
    <row r="472" customFormat="false" ht="14.25" hidden="false" customHeight="false" outlineLevel="0" collapsed="false">
      <c r="A472" s="1" t="n">
        <v>2009</v>
      </c>
      <c r="B472" s="7" t="s">
        <v>322</v>
      </c>
      <c r="C472" s="7" t="n">
        <v>2</v>
      </c>
      <c r="D472" s="7" t="s">
        <v>294</v>
      </c>
      <c r="E472" s="7" t="s">
        <v>294</v>
      </c>
      <c r="F472" s="7" t="s">
        <v>83</v>
      </c>
      <c r="G472" s="1" t="n">
        <v>2</v>
      </c>
      <c r="H472" s="1" t="n">
        <v>10</v>
      </c>
      <c r="I472" s="10" t="n">
        <v>39969</v>
      </c>
      <c r="J472" s="10" t="n">
        <v>39974</v>
      </c>
      <c r="K472" s="1" t="n">
        <v>5</v>
      </c>
      <c r="L472" s="1" t="n">
        <v>5</v>
      </c>
      <c r="M472" s="3" t="s">
        <v>32</v>
      </c>
      <c r="N472" s="3" t="s">
        <v>62</v>
      </c>
      <c r="O472" s="3" t="s">
        <v>63</v>
      </c>
      <c r="P472" s="2" t="str">
        <f aca="false">CONCATENATE(N472," ",O472)</f>
        <v>Microneta viaria</v>
      </c>
      <c r="Q472" s="1" t="s">
        <v>30</v>
      </c>
      <c r="R472" s="1" t="s">
        <v>31</v>
      </c>
      <c r="S472" s="1" t="n">
        <v>1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0</v>
      </c>
      <c r="Y472" s="3" t="n">
        <f aca="false">SUM(S472:T472)</f>
        <v>1</v>
      </c>
      <c r="Z472" s="3" t="n">
        <f aca="false">SUM(U472:W472)</f>
        <v>0</v>
      </c>
      <c r="AA472" s="3" t="n">
        <f aca="false">SUM(S472:X472)</f>
        <v>1</v>
      </c>
      <c r="AB472" s="11" t="n">
        <f aca="false">(AA472/(K472*L472)*25)*4</f>
        <v>4</v>
      </c>
    </row>
    <row r="473" customFormat="false" ht="14.25" hidden="false" customHeight="false" outlineLevel="0" collapsed="false">
      <c r="A473" s="1" t="n">
        <v>2009</v>
      </c>
      <c r="B473" s="7" t="s">
        <v>322</v>
      </c>
      <c r="C473" s="7" t="n">
        <v>2</v>
      </c>
      <c r="D473" s="7" t="s">
        <v>294</v>
      </c>
      <c r="E473" s="7" t="s">
        <v>294</v>
      </c>
      <c r="F473" s="7" t="s">
        <v>83</v>
      </c>
      <c r="G473" s="1" t="n">
        <v>2</v>
      </c>
      <c r="H473" s="1" t="n">
        <v>10</v>
      </c>
      <c r="I473" s="10" t="n">
        <v>39969</v>
      </c>
      <c r="J473" s="10" t="n">
        <v>39974</v>
      </c>
      <c r="K473" s="1" t="n">
        <v>5</v>
      </c>
      <c r="L473" s="1" t="n">
        <v>5</v>
      </c>
      <c r="M473" s="3" t="s">
        <v>32</v>
      </c>
      <c r="N473" s="3" t="s">
        <v>62</v>
      </c>
      <c r="O473" s="3" t="s">
        <v>63</v>
      </c>
      <c r="P473" s="2" t="str">
        <f aca="false">CONCATENATE(N473," ",O473)</f>
        <v>Microneta viaria</v>
      </c>
      <c r="Q473" s="1" t="s">
        <v>30</v>
      </c>
      <c r="R473" s="1" t="s">
        <v>35</v>
      </c>
      <c r="S473" s="1" t="n">
        <v>0</v>
      </c>
      <c r="T473" s="1" t="n">
        <v>1</v>
      </c>
      <c r="U473" s="1" t="n">
        <v>0</v>
      </c>
      <c r="V473" s="1" t="n">
        <v>0</v>
      </c>
      <c r="W473" s="1" t="n">
        <v>0</v>
      </c>
      <c r="X473" s="1" t="n">
        <v>0</v>
      </c>
      <c r="Y473" s="3" t="n">
        <f aca="false">SUM(S473:T473)</f>
        <v>1</v>
      </c>
      <c r="Z473" s="3" t="n">
        <f aca="false">SUM(U473:W473)</f>
        <v>0</v>
      </c>
      <c r="AA473" s="3" t="n">
        <f aca="false">SUM(S473:X473)</f>
        <v>1</v>
      </c>
      <c r="AB473" s="11" t="n">
        <f aca="false">(AA473/(K473*L473)*25)*4</f>
        <v>4</v>
      </c>
    </row>
    <row r="474" customFormat="false" ht="14.25" hidden="false" customHeight="false" outlineLevel="0" collapsed="false">
      <c r="A474" s="1" t="n">
        <v>2009</v>
      </c>
      <c r="B474" s="7" t="s">
        <v>322</v>
      </c>
      <c r="C474" s="7" t="n">
        <v>2</v>
      </c>
      <c r="D474" s="7" t="s">
        <v>294</v>
      </c>
      <c r="E474" s="7" t="s">
        <v>294</v>
      </c>
      <c r="F474" s="7" t="s">
        <v>83</v>
      </c>
      <c r="G474" s="1" t="n">
        <v>3</v>
      </c>
      <c r="H474" s="1" t="n">
        <v>11</v>
      </c>
      <c r="I474" s="10" t="n">
        <v>39969</v>
      </c>
      <c r="J474" s="10" t="n">
        <v>39974</v>
      </c>
      <c r="K474" s="1" t="n">
        <v>5</v>
      </c>
      <c r="L474" s="1" t="n">
        <v>5</v>
      </c>
      <c r="M474" s="3" t="s">
        <v>48</v>
      </c>
      <c r="N474" s="3" t="s">
        <v>49</v>
      </c>
      <c r="O474" s="3" t="s">
        <v>104</v>
      </c>
      <c r="P474" s="2" t="str">
        <f aca="false">CONCATENATE(N474," ",O474)</f>
        <v>Alopecosa taeniata</v>
      </c>
      <c r="Q474" s="1" t="s">
        <v>30</v>
      </c>
      <c r="R474" s="1" t="s">
        <v>31</v>
      </c>
      <c r="S474" s="1" t="n">
        <v>4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3" t="n">
        <f aca="false">SUM(S474:T474)</f>
        <v>4</v>
      </c>
      <c r="Z474" s="3" t="n">
        <f aca="false">SUM(U474:W474)</f>
        <v>0</v>
      </c>
      <c r="AA474" s="3" t="n">
        <f aca="false">SUM(S474:X474)</f>
        <v>4</v>
      </c>
      <c r="AB474" s="11" t="n">
        <f aca="false">(AA474/(K474*L474)*25)*4</f>
        <v>16</v>
      </c>
    </row>
    <row r="475" customFormat="false" ht="14.25" hidden="false" customHeight="false" outlineLevel="0" collapsed="false">
      <c r="A475" s="1" t="n">
        <v>2009</v>
      </c>
      <c r="B475" s="7" t="s">
        <v>322</v>
      </c>
      <c r="C475" s="7" t="n">
        <v>2</v>
      </c>
      <c r="D475" s="7" t="s">
        <v>294</v>
      </c>
      <c r="E475" s="7" t="s">
        <v>294</v>
      </c>
      <c r="F475" s="7" t="s">
        <v>83</v>
      </c>
      <c r="G475" s="1" t="n">
        <v>3</v>
      </c>
      <c r="H475" s="1" t="n">
        <v>11</v>
      </c>
      <c r="I475" s="10" t="n">
        <v>39969</v>
      </c>
      <c r="J475" s="10" t="n">
        <v>39974</v>
      </c>
      <c r="K475" s="1" t="n">
        <v>5</v>
      </c>
      <c r="L475" s="1" t="n">
        <v>5</v>
      </c>
      <c r="M475" s="3" t="s">
        <v>48</v>
      </c>
      <c r="N475" s="3" t="s">
        <v>49</v>
      </c>
      <c r="O475" s="3" t="s">
        <v>104</v>
      </c>
      <c r="P475" s="2" t="str">
        <f aca="false">CONCATENATE(N475," ",O475)</f>
        <v>Alopecosa taeniata</v>
      </c>
      <c r="Q475" s="1" t="s">
        <v>30</v>
      </c>
      <c r="R475" s="1" t="s">
        <v>35</v>
      </c>
      <c r="S475" s="1" t="n">
        <v>0</v>
      </c>
      <c r="T475" s="1" t="n">
        <v>2</v>
      </c>
      <c r="U475" s="1" t="n">
        <v>0</v>
      </c>
      <c r="V475" s="1" t="n">
        <v>0</v>
      </c>
      <c r="W475" s="1" t="n">
        <v>0</v>
      </c>
      <c r="X475" s="1" t="n">
        <v>0</v>
      </c>
      <c r="Y475" s="3" t="n">
        <f aca="false">SUM(S475:T475)</f>
        <v>2</v>
      </c>
      <c r="Z475" s="3" t="n">
        <f aca="false">SUM(U475:W475)</f>
        <v>0</v>
      </c>
      <c r="AA475" s="3" t="n">
        <f aca="false">SUM(S475:X475)</f>
        <v>2</v>
      </c>
      <c r="AB475" s="11" t="n">
        <f aca="false">(AA475/(K475*L475)*25)*4</f>
        <v>8</v>
      </c>
    </row>
    <row r="476" customFormat="false" ht="14.25" hidden="false" customHeight="false" outlineLevel="0" collapsed="false">
      <c r="A476" s="1" t="n">
        <v>2009</v>
      </c>
      <c r="B476" s="7" t="s">
        <v>322</v>
      </c>
      <c r="C476" s="7" t="n">
        <v>2</v>
      </c>
      <c r="D476" s="7" t="s">
        <v>294</v>
      </c>
      <c r="E476" s="7" t="s">
        <v>294</v>
      </c>
      <c r="F476" s="7" t="s">
        <v>83</v>
      </c>
      <c r="G476" s="1" t="n">
        <v>3</v>
      </c>
      <c r="H476" s="1" t="n">
        <v>11</v>
      </c>
      <c r="I476" s="10" t="n">
        <v>39969</v>
      </c>
      <c r="J476" s="10" t="n">
        <v>39974</v>
      </c>
      <c r="K476" s="1" t="n">
        <v>5</v>
      </c>
      <c r="L476" s="1" t="n">
        <v>5</v>
      </c>
      <c r="M476" s="3" t="s">
        <v>72</v>
      </c>
      <c r="N476" s="3" t="s">
        <v>73</v>
      </c>
      <c r="O476" s="3" t="s">
        <v>74</v>
      </c>
      <c r="P476" s="2" t="str">
        <f aca="false">CONCATENATE(N476," ",O476)</f>
        <v>Zelotes subterraneus</v>
      </c>
      <c r="Q476" s="1" t="s">
        <v>30</v>
      </c>
      <c r="R476" s="1" t="s">
        <v>31</v>
      </c>
      <c r="S476" s="1" t="n">
        <v>1</v>
      </c>
      <c r="T476" s="1" t="n">
        <v>0</v>
      </c>
      <c r="U476" s="1" t="n">
        <v>0</v>
      </c>
      <c r="V476" s="1" t="n">
        <v>0</v>
      </c>
      <c r="W476" s="1" t="n">
        <v>0</v>
      </c>
      <c r="X476" s="1" t="n">
        <v>0</v>
      </c>
      <c r="Y476" s="3" t="n">
        <f aca="false">SUM(S476:T476)</f>
        <v>1</v>
      </c>
      <c r="Z476" s="3" t="n">
        <f aca="false">SUM(U476:W476)</f>
        <v>0</v>
      </c>
      <c r="AA476" s="3" t="n">
        <f aca="false">SUM(S476:X476)</f>
        <v>1</v>
      </c>
      <c r="AB476" s="11" t="n">
        <f aca="false">(AA476/(K476*L476)*25)*4</f>
        <v>4</v>
      </c>
    </row>
    <row r="477" customFormat="false" ht="14.25" hidden="false" customHeight="false" outlineLevel="0" collapsed="false">
      <c r="A477" s="1" t="n">
        <v>2009</v>
      </c>
      <c r="B477" s="7" t="s">
        <v>322</v>
      </c>
      <c r="C477" s="7" t="n">
        <v>2</v>
      </c>
      <c r="D477" s="7" t="s">
        <v>294</v>
      </c>
      <c r="E477" s="7" t="s">
        <v>294</v>
      </c>
      <c r="F477" s="7" t="s">
        <v>83</v>
      </c>
      <c r="G477" s="1" t="n">
        <v>3</v>
      </c>
      <c r="H477" s="1" t="n">
        <v>11</v>
      </c>
      <c r="I477" s="10" t="n">
        <v>39969</v>
      </c>
      <c r="J477" s="10" t="n">
        <v>39974</v>
      </c>
      <c r="K477" s="1" t="n">
        <v>5</v>
      </c>
      <c r="L477" s="1" t="n">
        <v>5</v>
      </c>
      <c r="M477" s="13" t="s">
        <v>32</v>
      </c>
      <c r="N477" s="13" t="s">
        <v>96</v>
      </c>
      <c r="O477" s="14" t="s">
        <v>97</v>
      </c>
      <c r="P477" s="2" t="str">
        <f aca="false">CONCATENATE(N477," ",O477)</f>
        <v>Diplocephalus picinus</v>
      </c>
      <c r="Q477" s="1" t="s">
        <v>30</v>
      </c>
      <c r="R477" s="1" t="s">
        <v>31</v>
      </c>
      <c r="S477" s="1" t="n">
        <v>1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3" t="n">
        <f aca="false">SUM(S477:T477)</f>
        <v>1</v>
      </c>
      <c r="Z477" s="3" t="n">
        <f aca="false">SUM(U477:W477)</f>
        <v>0</v>
      </c>
      <c r="AA477" s="3" t="n">
        <f aca="false">SUM(S477:X477)</f>
        <v>1</v>
      </c>
      <c r="AB477" s="11" t="n">
        <f aca="false">(AA477/(K477*L477)*25)*4</f>
        <v>4</v>
      </c>
    </row>
    <row r="478" customFormat="false" ht="14.25" hidden="false" customHeight="false" outlineLevel="0" collapsed="false">
      <c r="A478" s="1" t="n">
        <v>2009</v>
      </c>
      <c r="B478" s="7" t="s">
        <v>322</v>
      </c>
      <c r="C478" s="7" t="n">
        <v>2</v>
      </c>
      <c r="D478" s="7" t="s">
        <v>294</v>
      </c>
      <c r="E478" s="7" t="s">
        <v>294</v>
      </c>
      <c r="F478" s="7" t="s">
        <v>83</v>
      </c>
      <c r="G478" s="1" t="n">
        <v>3</v>
      </c>
      <c r="H478" s="1" t="n">
        <v>11</v>
      </c>
      <c r="I478" s="10" t="n">
        <v>39969</v>
      </c>
      <c r="J478" s="10" t="n">
        <v>39974</v>
      </c>
      <c r="K478" s="1" t="n">
        <v>5</v>
      </c>
      <c r="L478" s="1" t="n">
        <v>5</v>
      </c>
      <c r="M478" s="3" t="s">
        <v>32</v>
      </c>
      <c r="N478" s="3" t="s">
        <v>33</v>
      </c>
      <c r="O478" s="3" t="s">
        <v>34</v>
      </c>
      <c r="P478" s="2" t="str">
        <f aca="false">CONCATENATE(N478," ",O478)</f>
        <v>Tenuiphantes nigriventris</v>
      </c>
      <c r="Q478" s="1" t="s">
        <v>30</v>
      </c>
      <c r="R478" s="1" t="s">
        <v>35</v>
      </c>
      <c r="S478" s="1" t="n">
        <v>0</v>
      </c>
      <c r="T478" s="1" t="n">
        <v>1</v>
      </c>
      <c r="U478" s="1" t="n">
        <v>0</v>
      </c>
      <c r="V478" s="1" t="n">
        <v>0</v>
      </c>
      <c r="W478" s="1" t="n">
        <v>0</v>
      </c>
      <c r="X478" s="1" t="n">
        <v>0</v>
      </c>
      <c r="Y478" s="3" t="n">
        <f aca="false">SUM(S478:T478)</f>
        <v>1</v>
      </c>
      <c r="Z478" s="3" t="n">
        <f aca="false">SUM(U478:W478)</f>
        <v>0</v>
      </c>
      <c r="AA478" s="3" t="n">
        <f aca="false">SUM(S478:X478)</f>
        <v>1</v>
      </c>
      <c r="AB478" s="11" t="n">
        <f aca="false">(AA478/(K478*L478)*25)*4</f>
        <v>4</v>
      </c>
    </row>
    <row r="479" customFormat="false" ht="14.25" hidden="false" customHeight="false" outlineLevel="0" collapsed="false">
      <c r="A479" s="1" t="n">
        <v>2009</v>
      </c>
      <c r="B479" s="7" t="s">
        <v>322</v>
      </c>
      <c r="C479" s="7" t="n">
        <v>2</v>
      </c>
      <c r="D479" s="7" t="s">
        <v>294</v>
      </c>
      <c r="E479" s="7" t="s">
        <v>294</v>
      </c>
      <c r="F479" s="7" t="s">
        <v>83</v>
      </c>
      <c r="G479" s="1" t="n">
        <v>3</v>
      </c>
      <c r="H479" s="1" t="n">
        <v>12</v>
      </c>
      <c r="I479" s="10" t="n">
        <v>39969</v>
      </c>
      <c r="J479" s="10" t="n">
        <v>39974</v>
      </c>
      <c r="K479" s="1" t="n">
        <v>5</v>
      </c>
      <c r="L479" s="1" t="n">
        <v>5</v>
      </c>
      <c r="M479" s="3" t="s">
        <v>48</v>
      </c>
      <c r="N479" s="3" t="s">
        <v>49</v>
      </c>
      <c r="O479" s="3" t="s">
        <v>104</v>
      </c>
      <c r="P479" s="2" t="str">
        <f aca="false">CONCATENATE(N479," ",O479)</f>
        <v>Alopecosa taeniata</v>
      </c>
      <c r="Q479" s="1" t="s">
        <v>30</v>
      </c>
      <c r="R479" s="1" t="s">
        <v>31</v>
      </c>
      <c r="S479" s="1" t="n">
        <v>4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0</v>
      </c>
      <c r="Y479" s="3" t="n">
        <f aca="false">SUM(S479:T479)</f>
        <v>4</v>
      </c>
      <c r="Z479" s="3" t="n">
        <f aca="false">SUM(U479:W479)</f>
        <v>0</v>
      </c>
      <c r="AA479" s="3" t="n">
        <f aca="false">SUM(S479:X479)</f>
        <v>4</v>
      </c>
      <c r="AB479" s="11" t="n">
        <f aca="false">(AA479/(K479*L479)*25)*4</f>
        <v>16</v>
      </c>
    </row>
    <row r="480" customFormat="false" ht="14.25" hidden="false" customHeight="false" outlineLevel="0" collapsed="false">
      <c r="A480" s="1" t="n">
        <v>2009</v>
      </c>
      <c r="B480" s="7" t="s">
        <v>322</v>
      </c>
      <c r="C480" s="7" t="n">
        <v>2</v>
      </c>
      <c r="D480" s="7" t="s">
        <v>294</v>
      </c>
      <c r="E480" s="7" t="s">
        <v>294</v>
      </c>
      <c r="F480" s="7" t="s">
        <v>83</v>
      </c>
      <c r="G480" s="1" t="n">
        <v>3</v>
      </c>
      <c r="H480" s="1" t="n">
        <v>12</v>
      </c>
      <c r="I480" s="10" t="n">
        <v>39969</v>
      </c>
      <c r="J480" s="10" t="n">
        <v>39974</v>
      </c>
      <c r="K480" s="1" t="n">
        <v>5</v>
      </c>
      <c r="L480" s="1" t="n">
        <v>5</v>
      </c>
      <c r="M480" s="3" t="s">
        <v>48</v>
      </c>
      <c r="N480" s="3" t="s">
        <v>49</v>
      </c>
      <c r="O480" s="3" t="s">
        <v>104</v>
      </c>
      <c r="P480" s="2" t="str">
        <f aca="false">CONCATENATE(N480," ",O480)</f>
        <v>Alopecosa taeniata</v>
      </c>
      <c r="Q480" s="1" t="s">
        <v>30</v>
      </c>
      <c r="R480" s="1" t="s">
        <v>35</v>
      </c>
      <c r="S480" s="1" t="n">
        <v>0</v>
      </c>
      <c r="T480" s="1" t="n">
        <v>1</v>
      </c>
      <c r="U480" s="1" t="n">
        <v>0</v>
      </c>
      <c r="V480" s="1" t="n">
        <v>0</v>
      </c>
      <c r="W480" s="1" t="n">
        <v>0</v>
      </c>
      <c r="X480" s="1" t="n">
        <v>0</v>
      </c>
      <c r="Y480" s="3" t="n">
        <f aca="false">SUM(S480:T480)</f>
        <v>1</v>
      </c>
      <c r="Z480" s="3" t="n">
        <f aca="false">SUM(U480:W480)</f>
        <v>0</v>
      </c>
      <c r="AA480" s="3" t="n">
        <f aca="false">SUM(S480:X480)</f>
        <v>1</v>
      </c>
      <c r="AB480" s="11" t="n">
        <f aca="false">(AA480/(K480*L480)*25)*4</f>
        <v>4</v>
      </c>
    </row>
    <row r="481" customFormat="false" ht="14.25" hidden="false" customHeight="false" outlineLevel="0" collapsed="false">
      <c r="A481" s="1" t="n">
        <v>2009</v>
      </c>
      <c r="B481" s="7" t="s">
        <v>322</v>
      </c>
      <c r="C481" s="7" t="n">
        <v>2</v>
      </c>
      <c r="D481" s="7" t="s">
        <v>294</v>
      </c>
      <c r="E481" s="7" t="s">
        <v>294</v>
      </c>
      <c r="F481" s="7" t="s">
        <v>83</v>
      </c>
      <c r="G481" s="1" t="n">
        <v>3</v>
      </c>
      <c r="H481" s="1" t="n">
        <v>12</v>
      </c>
      <c r="I481" s="10" t="n">
        <v>39969</v>
      </c>
      <c r="J481" s="10" t="n">
        <v>39974</v>
      </c>
      <c r="K481" s="1" t="n">
        <v>5</v>
      </c>
      <c r="L481" s="1" t="n">
        <v>5</v>
      </c>
      <c r="M481" s="3" t="s">
        <v>48</v>
      </c>
      <c r="N481" s="3" t="s">
        <v>49</v>
      </c>
      <c r="O481" s="3" t="s">
        <v>104</v>
      </c>
      <c r="P481" s="2" t="str">
        <f aca="false">CONCATENATE(N481," ",O481)</f>
        <v>Alopecosa taeniata</v>
      </c>
      <c r="Q481" s="1" t="s">
        <v>30</v>
      </c>
      <c r="R481" s="1" t="s">
        <v>31</v>
      </c>
      <c r="S481" s="1" t="n">
        <v>1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3" t="n">
        <f aca="false">SUM(S481:T481)</f>
        <v>1</v>
      </c>
      <c r="Z481" s="3" t="n">
        <f aca="false">SUM(U481:W481)</f>
        <v>0</v>
      </c>
      <c r="AA481" s="3" t="n">
        <f aca="false">SUM(S481:X481)</f>
        <v>1</v>
      </c>
      <c r="AB481" s="11" t="n">
        <f aca="false">(AA481/(K481*L481)*25)*4</f>
        <v>4</v>
      </c>
    </row>
    <row r="482" customFormat="false" ht="14.25" hidden="false" customHeight="false" outlineLevel="0" collapsed="false">
      <c r="A482" s="1" t="n">
        <v>2009</v>
      </c>
      <c r="B482" s="7" t="s">
        <v>322</v>
      </c>
      <c r="C482" s="7" t="n">
        <v>2</v>
      </c>
      <c r="D482" s="7" t="s">
        <v>294</v>
      </c>
      <c r="E482" s="7" t="s">
        <v>294</v>
      </c>
      <c r="F482" s="7" t="s">
        <v>83</v>
      </c>
      <c r="G482" s="1" t="n">
        <v>3</v>
      </c>
      <c r="H482" s="1" t="n">
        <v>12</v>
      </c>
      <c r="I482" s="10" t="n">
        <v>39969</v>
      </c>
      <c r="J482" s="10" t="n">
        <v>39974</v>
      </c>
      <c r="K482" s="1" t="n">
        <v>5</v>
      </c>
      <c r="L482" s="1" t="n">
        <v>5</v>
      </c>
      <c r="M482" s="3" t="s">
        <v>48</v>
      </c>
      <c r="N482" s="3" t="s">
        <v>67</v>
      </c>
      <c r="O482" s="3" t="s">
        <v>127</v>
      </c>
      <c r="P482" s="2" t="str">
        <f aca="false">CONCATENATE(N482," ",O482)</f>
        <v>Pardosa lugubris</v>
      </c>
      <c r="Q482" s="1" t="s">
        <v>30</v>
      </c>
      <c r="R482" s="1" t="s">
        <v>31</v>
      </c>
      <c r="S482" s="1" t="n">
        <v>1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0</v>
      </c>
      <c r="Y482" s="3" t="n">
        <f aca="false">SUM(S482:T482)</f>
        <v>1</v>
      </c>
      <c r="Z482" s="3" t="n">
        <f aca="false">SUM(U482:W482)</f>
        <v>0</v>
      </c>
      <c r="AA482" s="3" t="n">
        <f aca="false">SUM(S482:X482)</f>
        <v>1</v>
      </c>
      <c r="AB482" s="11" t="n">
        <f aca="false">(AA482/(K482*L482)*25)*4</f>
        <v>4</v>
      </c>
    </row>
    <row r="483" customFormat="false" ht="14.25" hidden="false" customHeight="false" outlineLevel="0" collapsed="false">
      <c r="A483" s="1" t="n">
        <v>2009</v>
      </c>
      <c r="B483" s="7" t="s">
        <v>322</v>
      </c>
      <c r="C483" s="7" t="n">
        <v>2</v>
      </c>
      <c r="D483" s="7" t="s">
        <v>294</v>
      </c>
      <c r="E483" s="7" t="s">
        <v>294</v>
      </c>
      <c r="F483" s="7" t="s">
        <v>83</v>
      </c>
      <c r="G483" s="1" t="n">
        <v>3</v>
      </c>
      <c r="H483" s="1" t="n">
        <v>12</v>
      </c>
      <c r="I483" s="10" t="n">
        <v>39969</v>
      </c>
      <c r="J483" s="10" t="n">
        <v>39974</v>
      </c>
      <c r="K483" s="1" t="n">
        <v>5</v>
      </c>
      <c r="L483" s="1" t="n">
        <v>5</v>
      </c>
      <c r="M483" s="3" t="s">
        <v>48</v>
      </c>
      <c r="N483" s="3" t="s">
        <v>67</v>
      </c>
      <c r="O483" s="3" t="s">
        <v>127</v>
      </c>
      <c r="P483" s="2" t="str">
        <f aca="false">CONCATENATE(N483," ",O483)</f>
        <v>Pardosa lugubris</v>
      </c>
      <c r="Q483" s="1" t="s">
        <v>30</v>
      </c>
      <c r="R483" s="1" t="s">
        <v>35</v>
      </c>
      <c r="S483" s="1" t="n">
        <v>0</v>
      </c>
      <c r="T483" s="1" t="n">
        <v>1</v>
      </c>
      <c r="U483" s="1" t="n">
        <v>0</v>
      </c>
      <c r="V483" s="1" t="n">
        <v>0</v>
      </c>
      <c r="W483" s="1" t="n">
        <v>0</v>
      </c>
      <c r="X483" s="1" t="n">
        <v>0</v>
      </c>
      <c r="Y483" s="3" t="n">
        <f aca="false">SUM(S483:T483)</f>
        <v>1</v>
      </c>
      <c r="Z483" s="3" t="n">
        <f aca="false">SUM(U483:W483)</f>
        <v>0</v>
      </c>
      <c r="AA483" s="3" t="n">
        <f aca="false">SUM(S483:X483)</f>
        <v>1</v>
      </c>
      <c r="AB483" s="11" t="n">
        <f aca="false">(AA483/(K483*L483)*25)*4</f>
        <v>4</v>
      </c>
    </row>
    <row r="484" customFormat="false" ht="14.25" hidden="false" customHeight="false" outlineLevel="0" collapsed="false">
      <c r="A484" s="1" t="n">
        <v>2009</v>
      </c>
      <c r="B484" s="7" t="s">
        <v>322</v>
      </c>
      <c r="C484" s="7" t="n">
        <v>2</v>
      </c>
      <c r="D484" s="7" t="s">
        <v>294</v>
      </c>
      <c r="E484" s="7" t="s">
        <v>294</v>
      </c>
      <c r="F484" s="7" t="s">
        <v>83</v>
      </c>
      <c r="G484" s="1" t="n">
        <v>3</v>
      </c>
      <c r="H484" s="1" t="n">
        <v>12</v>
      </c>
      <c r="I484" s="10" t="n">
        <v>39969</v>
      </c>
      <c r="J484" s="10" t="n">
        <v>39974</v>
      </c>
      <c r="K484" s="1" t="n">
        <v>5</v>
      </c>
      <c r="L484" s="1" t="n">
        <v>5</v>
      </c>
      <c r="M484" s="3" t="s">
        <v>72</v>
      </c>
      <c r="N484" s="3" t="s">
        <v>86</v>
      </c>
      <c r="O484" s="8" t="s">
        <v>87</v>
      </c>
      <c r="P484" s="2" t="str">
        <f aca="false">CONCATENATE(N484," ",O484)</f>
        <v>Haplodrassus soerenseni</v>
      </c>
      <c r="Q484" s="1" t="s">
        <v>30</v>
      </c>
      <c r="R484" s="1" t="s">
        <v>31</v>
      </c>
      <c r="S484" s="1" t="n">
        <v>1</v>
      </c>
      <c r="T484" s="1" t="n">
        <v>0</v>
      </c>
      <c r="U484" s="1" t="n">
        <v>0</v>
      </c>
      <c r="V484" s="1" t="n">
        <v>0</v>
      </c>
      <c r="W484" s="1" t="n">
        <v>0</v>
      </c>
      <c r="X484" s="1" t="n">
        <v>0</v>
      </c>
      <c r="Y484" s="3" t="n">
        <f aca="false">SUM(S484:T484)</f>
        <v>1</v>
      </c>
      <c r="Z484" s="3" t="n">
        <f aca="false">SUM(U484:W484)</f>
        <v>0</v>
      </c>
      <c r="AA484" s="3" t="n">
        <f aca="false">SUM(S484:X484)</f>
        <v>1</v>
      </c>
      <c r="AB484" s="11" t="n">
        <f aca="false">(AA484/(K484*L484)*25)*4</f>
        <v>4</v>
      </c>
    </row>
    <row r="485" customFormat="false" ht="14.25" hidden="false" customHeight="false" outlineLevel="0" collapsed="false">
      <c r="A485" s="1" t="n">
        <v>2009</v>
      </c>
      <c r="B485" s="7" t="s">
        <v>322</v>
      </c>
      <c r="C485" s="7" t="n">
        <v>2</v>
      </c>
      <c r="D485" s="7" t="s">
        <v>294</v>
      </c>
      <c r="E485" s="7" t="s">
        <v>294</v>
      </c>
      <c r="F485" s="7" t="s">
        <v>83</v>
      </c>
      <c r="G485" s="1" t="n">
        <v>3</v>
      </c>
      <c r="H485" s="1" t="n">
        <v>12</v>
      </c>
      <c r="I485" s="10" t="n">
        <v>39969</v>
      </c>
      <c r="J485" s="10" t="n">
        <v>39974</v>
      </c>
      <c r="K485" s="1" t="n">
        <v>5</v>
      </c>
      <c r="L485" s="1" t="n">
        <v>5</v>
      </c>
      <c r="M485" s="3" t="s">
        <v>72</v>
      </c>
      <c r="N485" s="3" t="s">
        <v>73</v>
      </c>
      <c r="O485" s="3" t="s">
        <v>74</v>
      </c>
      <c r="P485" s="2" t="str">
        <f aca="false">CONCATENATE(N485," ",O485)</f>
        <v>Zelotes subterraneus</v>
      </c>
      <c r="Q485" s="1" t="s">
        <v>30</v>
      </c>
      <c r="R485" s="1" t="s">
        <v>31</v>
      </c>
      <c r="S485" s="1" t="n">
        <v>1</v>
      </c>
      <c r="T485" s="1" t="n">
        <v>0</v>
      </c>
      <c r="U485" s="1" t="n">
        <v>0</v>
      </c>
      <c r="V485" s="1" t="n">
        <v>0</v>
      </c>
      <c r="W485" s="1" t="n">
        <v>0</v>
      </c>
      <c r="X485" s="1" t="n">
        <v>0</v>
      </c>
      <c r="Y485" s="3" t="n">
        <f aca="false">SUM(S485:T485)</f>
        <v>1</v>
      </c>
      <c r="Z485" s="3" t="n">
        <f aca="false">SUM(U485:W485)</f>
        <v>0</v>
      </c>
      <c r="AA485" s="3" t="n">
        <f aca="false">SUM(S485:X485)</f>
        <v>1</v>
      </c>
      <c r="AB485" s="11" t="n">
        <f aca="false">(AA485/(K485*L485)*25)*4</f>
        <v>4</v>
      </c>
    </row>
    <row r="486" customFormat="false" ht="14.25" hidden="false" customHeight="false" outlineLevel="0" collapsed="false">
      <c r="A486" s="1" t="n">
        <v>2009</v>
      </c>
      <c r="B486" s="7" t="s">
        <v>322</v>
      </c>
      <c r="C486" s="7" t="n">
        <v>2</v>
      </c>
      <c r="D486" s="7" t="s">
        <v>294</v>
      </c>
      <c r="E486" s="7" t="s">
        <v>294</v>
      </c>
      <c r="F486" s="7" t="s">
        <v>83</v>
      </c>
      <c r="G486" s="1" t="n">
        <v>3</v>
      </c>
      <c r="H486" s="1" t="n">
        <v>12</v>
      </c>
      <c r="I486" s="10" t="n">
        <v>39969</v>
      </c>
      <c r="J486" s="10" t="n">
        <v>39974</v>
      </c>
      <c r="K486" s="1" t="n">
        <v>5</v>
      </c>
      <c r="L486" s="1" t="n">
        <v>5</v>
      </c>
      <c r="M486" s="3" t="s">
        <v>32</v>
      </c>
      <c r="N486" s="3" t="s">
        <v>113</v>
      </c>
      <c r="O486" s="8" t="s">
        <v>114</v>
      </c>
      <c r="P486" s="2" t="str">
        <f aca="false">CONCATENATE(N486," ",O486)</f>
        <v>Ceratinella brevipes</v>
      </c>
      <c r="Q486" s="1" t="s">
        <v>30</v>
      </c>
      <c r="R486" s="1" t="s">
        <v>35</v>
      </c>
      <c r="S486" s="1" t="n">
        <v>0</v>
      </c>
      <c r="T486" s="1" t="n">
        <v>1</v>
      </c>
      <c r="U486" s="1" t="n">
        <v>0</v>
      </c>
      <c r="V486" s="1" t="n">
        <v>0</v>
      </c>
      <c r="W486" s="1" t="n">
        <v>0</v>
      </c>
      <c r="X486" s="1" t="n">
        <v>0</v>
      </c>
      <c r="Y486" s="3" t="n">
        <f aca="false">SUM(S486:T486)</f>
        <v>1</v>
      </c>
      <c r="Z486" s="3" t="n">
        <f aca="false">SUM(U486:W486)</f>
        <v>0</v>
      </c>
      <c r="AA486" s="3" t="n">
        <f aca="false">SUM(S486:X486)</f>
        <v>1</v>
      </c>
      <c r="AB486" s="11" t="n">
        <f aca="false">(AA486/(K486*L486)*25)*4</f>
        <v>4</v>
      </c>
    </row>
    <row r="487" customFormat="false" ht="14.25" hidden="false" customHeight="false" outlineLevel="0" collapsed="false">
      <c r="A487" s="1" t="n">
        <v>2009</v>
      </c>
      <c r="B487" s="7" t="s">
        <v>322</v>
      </c>
      <c r="C487" s="7" t="n">
        <v>2</v>
      </c>
      <c r="D487" s="7" t="s">
        <v>294</v>
      </c>
      <c r="E487" s="7" t="s">
        <v>294</v>
      </c>
      <c r="F487" s="7" t="s">
        <v>83</v>
      </c>
      <c r="G487" s="1" t="n">
        <v>3</v>
      </c>
      <c r="H487" s="1" t="n">
        <v>12</v>
      </c>
      <c r="I487" s="10" t="n">
        <v>39969</v>
      </c>
      <c r="J487" s="10" t="n">
        <v>39974</v>
      </c>
      <c r="K487" s="1" t="n">
        <v>5</v>
      </c>
      <c r="L487" s="1" t="n">
        <v>5</v>
      </c>
      <c r="M487" s="3" t="s">
        <v>32</v>
      </c>
      <c r="N487" s="3" t="s">
        <v>62</v>
      </c>
      <c r="O487" s="3" t="s">
        <v>63</v>
      </c>
      <c r="P487" s="2" t="str">
        <f aca="false">CONCATENATE(N487," ",O487)</f>
        <v>Microneta viaria</v>
      </c>
      <c r="Q487" s="1" t="s">
        <v>30</v>
      </c>
      <c r="R487" s="1" t="s">
        <v>35</v>
      </c>
      <c r="S487" s="1" t="n">
        <v>0</v>
      </c>
      <c r="T487" s="1" t="n">
        <v>1</v>
      </c>
      <c r="U487" s="1" t="n">
        <v>0</v>
      </c>
      <c r="V487" s="1" t="n">
        <v>0</v>
      </c>
      <c r="W487" s="1" t="n">
        <v>0</v>
      </c>
      <c r="X487" s="1" t="n">
        <v>0</v>
      </c>
      <c r="Y487" s="3" t="n">
        <f aca="false">SUM(S487:T487)</f>
        <v>1</v>
      </c>
      <c r="Z487" s="3" t="n">
        <f aca="false">SUM(U487:W487)</f>
        <v>0</v>
      </c>
      <c r="AA487" s="3" t="n">
        <f aca="false">SUM(S487:X487)</f>
        <v>1</v>
      </c>
      <c r="AB487" s="11" t="n">
        <f aca="false">(AA487/(K487*L487)*25)*4</f>
        <v>4</v>
      </c>
    </row>
    <row r="488" customFormat="false" ht="14.25" hidden="false" customHeight="false" outlineLevel="0" collapsed="false">
      <c r="A488" s="1" t="n">
        <v>2009</v>
      </c>
      <c r="B488" s="7" t="s">
        <v>322</v>
      </c>
      <c r="C488" s="7" t="n">
        <v>2</v>
      </c>
      <c r="D488" s="7" t="s">
        <v>294</v>
      </c>
      <c r="E488" s="7" t="s">
        <v>294</v>
      </c>
      <c r="F488" s="7" t="s">
        <v>83</v>
      </c>
      <c r="G488" s="1" t="n">
        <v>3</v>
      </c>
      <c r="H488" s="1" t="n">
        <v>12</v>
      </c>
      <c r="I488" s="10" t="n">
        <v>39969</v>
      </c>
      <c r="J488" s="10" t="n">
        <v>39974</v>
      </c>
      <c r="K488" s="1" t="n">
        <v>5</v>
      </c>
      <c r="L488" s="1" t="n">
        <v>5</v>
      </c>
      <c r="M488" s="13" t="s">
        <v>32</v>
      </c>
      <c r="N488" s="13" t="s">
        <v>96</v>
      </c>
      <c r="O488" s="14" t="s">
        <v>97</v>
      </c>
      <c r="P488" s="2" t="str">
        <f aca="false">CONCATENATE(N488," ",O488)</f>
        <v>Diplocephalus picinus</v>
      </c>
      <c r="Q488" s="1" t="s">
        <v>30</v>
      </c>
      <c r="R488" s="1" t="s">
        <v>31</v>
      </c>
      <c r="S488" s="1" t="n">
        <v>1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0</v>
      </c>
      <c r="Y488" s="3" t="n">
        <f aca="false">SUM(S488:T488)</f>
        <v>1</v>
      </c>
      <c r="Z488" s="3" t="n">
        <f aca="false">SUM(U488:W488)</f>
        <v>0</v>
      </c>
      <c r="AA488" s="3" t="n">
        <f aca="false">SUM(S488:X488)</f>
        <v>1</v>
      </c>
      <c r="AB488" s="11" t="n">
        <f aca="false">(AA488/(K488*L488)*25)*4</f>
        <v>4</v>
      </c>
    </row>
    <row r="489" customFormat="false" ht="14.25" hidden="false" customHeight="false" outlineLevel="0" collapsed="false">
      <c r="A489" s="1" t="n">
        <v>2009</v>
      </c>
      <c r="B489" s="7" t="s">
        <v>322</v>
      </c>
      <c r="C489" s="7" t="n">
        <v>2</v>
      </c>
      <c r="D489" s="7" t="s">
        <v>294</v>
      </c>
      <c r="E489" s="7" t="s">
        <v>294</v>
      </c>
      <c r="F489" s="7" t="s">
        <v>83</v>
      </c>
      <c r="G489" s="1" t="n">
        <v>3</v>
      </c>
      <c r="H489" s="1" t="n">
        <v>13</v>
      </c>
      <c r="I489" s="10" t="n">
        <v>39969</v>
      </c>
      <c r="J489" s="10" t="n">
        <v>39974</v>
      </c>
      <c r="K489" s="1" t="n">
        <v>5</v>
      </c>
      <c r="L489" s="1" t="n">
        <v>5</v>
      </c>
      <c r="M489" s="3" t="s">
        <v>48</v>
      </c>
      <c r="N489" s="3" t="s">
        <v>67</v>
      </c>
      <c r="O489" s="3" t="s">
        <v>127</v>
      </c>
      <c r="P489" s="2" t="str">
        <f aca="false">CONCATENATE(N489," ",O489)</f>
        <v>Pardosa lugubris</v>
      </c>
      <c r="Q489" s="1" t="s">
        <v>30</v>
      </c>
      <c r="R489" s="1" t="s">
        <v>31</v>
      </c>
      <c r="S489" s="1" t="n">
        <v>4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0</v>
      </c>
      <c r="Y489" s="3" t="n">
        <f aca="false">SUM(S489:T489)</f>
        <v>4</v>
      </c>
      <c r="Z489" s="3" t="n">
        <f aca="false">SUM(U489:W489)</f>
        <v>0</v>
      </c>
      <c r="AA489" s="3" t="n">
        <f aca="false">SUM(S489:X489)</f>
        <v>4</v>
      </c>
      <c r="AB489" s="11" t="n">
        <f aca="false">(AA489/(K489*L489)*25)*4</f>
        <v>16</v>
      </c>
    </row>
    <row r="490" customFormat="false" ht="14.25" hidden="false" customHeight="false" outlineLevel="0" collapsed="false">
      <c r="A490" s="1" t="n">
        <v>2009</v>
      </c>
      <c r="B490" s="7" t="s">
        <v>322</v>
      </c>
      <c r="C490" s="7" t="n">
        <v>2</v>
      </c>
      <c r="D490" s="7" t="s">
        <v>294</v>
      </c>
      <c r="E490" s="7" t="s">
        <v>294</v>
      </c>
      <c r="F490" s="7" t="s">
        <v>83</v>
      </c>
      <c r="G490" s="1" t="n">
        <v>3</v>
      </c>
      <c r="H490" s="1" t="n">
        <v>13</v>
      </c>
      <c r="I490" s="10" t="n">
        <v>39969</v>
      </c>
      <c r="J490" s="10" t="n">
        <v>39974</v>
      </c>
      <c r="K490" s="1" t="n">
        <v>5</v>
      </c>
      <c r="L490" s="1" t="n">
        <v>5</v>
      </c>
      <c r="M490" s="3" t="s">
        <v>48</v>
      </c>
      <c r="N490" s="3" t="s">
        <v>49</v>
      </c>
      <c r="O490" s="3" t="s">
        <v>104</v>
      </c>
      <c r="P490" s="2" t="str">
        <f aca="false">CONCATENATE(N490," ",O490)</f>
        <v>Alopecosa taeniata</v>
      </c>
      <c r="Q490" s="1" t="s">
        <v>30</v>
      </c>
      <c r="R490" s="1" t="s">
        <v>31</v>
      </c>
      <c r="S490" s="1" t="n">
        <v>6</v>
      </c>
      <c r="T490" s="1" t="n">
        <v>0</v>
      </c>
      <c r="U490" s="1" t="n">
        <v>0</v>
      </c>
      <c r="V490" s="1" t="n">
        <v>0</v>
      </c>
      <c r="W490" s="1" t="n">
        <v>0</v>
      </c>
      <c r="X490" s="1" t="n">
        <v>0</v>
      </c>
      <c r="Y490" s="3" t="n">
        <f aca="false">SUM(S490:T490)</f>
        <v>6</v>
      </c>
      <c r="Z490" s="3" t="n">
        <f aca="false">SUM(U490:W490)</f>
        <v>0</v>
      </c>
      <c r="AA490" s="3" t="n">
        <f aca="false">SUM(S490:X490)</f>
        <v>6</v>
      </c>
      <c r="AB490" s="11" t="n">
        <f aca="false">(AA490/(K490*L490)*25)*4</f>
        <v>24</v>
      </c>
    </row>
    <row r="491" customFormat="false" ht="14.25" hidden="false" customHeight="false" outlineLevel="0" collapsed="false">
      <c r="A491" s="1" t="n">
        <v>2009</v>
      </c>
      <c r="B491" s="7" t="s">
        <v>322</v>
      </c>
      <c r="C491" s="7" t="n">
        <v>2</v>
      </c>
      <c r="D491" s="7" t="s">
        <v>294</v>
      </c>
      <c r="E491" s="7" t="s">
        <v>294</v>
      </c>
      <c r="F491" s="7" t="s">
        <v>83</v>
      </c>
      <c r="G491" s="1" t="n">
        <v>3</v>
      </c>
      <c r="H491" s="1" t="n">
        <v>13</v>
      </c>
      <c r="I491" s="10" t="n">
        <v>39969</v>
      </c>
      <c r="J491" s="10" t="n">
        <v>39974</v>
      </c>
      <c r="K491" s="1" t="n">
        <v>5</v>
      </c>
      <c r="L491" s="1" t="n">
        <v>5</v>
      </c>
      <c r="M491" s="3" t="s">
        <v>48</v>
      </c>
      <c r="N491" s="3" t="s">
        <v>49</v>
      </c>
      <c r="O491" s="3" t="s">
        <v>104</v>
      </c>
      <c r="P491" s="2" t="str">
        <f aca="false">CONCATENATE(N491," ",O491)</f>
        <v>Alopecosa taeniata</v>
      </c>
      <c r="Q491" s="1" t="s">
        <v>30</v>
      </c>
      <c r="R491" s="1" t="s">
        <v>35</v>
      </c>
      <c r="S491" s="1" t="n">
        <v>0</v>
      </c>
      <c r="T491" s="1" t="n">
        <v>2</v>
      </c>
      <c r="U491" s="1" t="n">
        <v>0</v>
      </c>
      <c r="V491" s="1" t="n">
        <v>0</v>
      </c>
      <c r="W491" s="1" t="n">
        <v>0</v>
      </c>
      <c r="X491" s="1" t="n">
        <v>0</v>
      </c>
      <c r="Y491" s="3" t="n">
        <f aca="false">SUM(S491:T491)</f>
        <v>2</v>
      </c>
      <c r="Z491" s="3" t="n">
        <f aca="false">SUM(U491:W491)</f>
        <v>0</v>
      </c>
      <c r="AA491" s="3" t="n">
        <f aca="false">SUM(S491:X491)</f>
        <v>2</v>
      </c>
      <c r="AB491" s="11" t="n">
        <f aca="false">(AA491/(K491*L491)*25)*4</f>
        <v>8</v>
      </c>
    </row>
    <row r="492" customFormat="false" ht="14.25" hidden="false" customHeight="false" outlineLevel="0" collapsed="false">
      <c r="A492" s="1" t="n">
        <v>2009</v>
      </c>
      <c r="B492" s="7" t="s">
        <v>322</v>
      </c>
      <c r="C492" s="7" t="n">
        <v>2</v>
      </c>
      <c r="D492" s="7" t="s">
        <v>294</v>
      </c>
      <c r="E492" s="7" t="s">
        <v>294</v>
      </c>
      <c r="F492" s="7" t="s">
        <v>83</v>
      </c>
      <c r="G492" s="1" t="n">
        <v>3</v>
      </c>
      <c r="H492" s="1" t="n">
        <v>13</v>
      </c>
      <c r="I492" s="10" t="n">
        <v>39969</v>
      </c>
      <c r="J492" s="10" t="n">
        <v>39974</v>
      </c>
      <c r="K492" s="1" t="n">
        <v>5</v>
      </c>
      <c r="L492" s="1" t="n">
        <v>5</v>
      </c>
      <c r="M492" s="3" t="s">
        <v>32</v>
      </c>
      <c r="N492" s="3" t="s">
        <v>90</v>
      </c>
      <c r="O492" s="3" t="s">
        <v>91</v>
      </c>
      <c r="P492" s="2" t="str">
        <f aca="false">CONCATENATE(N492," ",O492)</f>
        <v>Tapinocyba insecta</v>
      </c>
      <c r="Q492" s="1" t="s">
        <v>30</v>
      </c>
      <c r="R492" s="1" t="s">
        <v>31</v>
      </c>
      <c r="S492" s="1" t="n">
        <v>1</v>
      </c>
      <c r="T492" s="1" t="n">
        <v>0</v>
      </c>
      <c r="U492" s="1" t="n">
        <v>0</v>
      </c>
      <c r="V492" s="1" t="n">
        <v>0</v>
      </c>
      <c r="W492" s="1" t="n">
        <v>0</v>
      </c>
      <c r="X492" s="1" t="n">
        <v>0</v>
      </c>
      <c r="Y492" s="3" t="n">
        <f aca="false">SUM(S492:T492)</f>
        <v>1</v>
      </c>
      <c r="Z492" s="3" t="n">
        <f aca="false">SUM(U492:W492)</f>
        <v>0</v>
      </c>
      <c r="AA492" s="3" t="n">
        <f aca="false">SUM(S492:X492)</f>
        <v>1</v>
      </c>
      <c r="AB492" s="11" t="n">
        <f aca="false">(AA492/(K492*L492)*25)*4</f>
        <v>4</v>
      </c>
    </row>
    <row r="493" customFormat="false" ht="14.25" hidden="false" customHeight="false" outlineLevel="0" collapsed="false">
      <c r="A493" s="1" t="n">
        <v>2009</v>
      </c>
      <c r="B493" s="7" t="s">
        <v>322</v>
      </c>
      <c r="C493" s="7" t="n">
        <v>2</v>
      </c>
      <c r="D493" s="7" t="s">
        <v>294</v>
      </c>
      <c r="E493" s="7" t="s">
        <v>294</v>
      </c>
      <c r="F493" s="7" t="s">
        <v>83</v>
      </c>
      <c r="G493" s="1" t="n">
        <v>3</v>
      </c>
      <c r="H493" s="1" t="n">
        <v>13</v>
      </c>
      <c r="I493" s="10" t="n">
        <v>39969</v>
      </c>
      <c r="J493" s="10" t="n">
        <v>39974</v>
      </c>
      <c r="K493" s="1" t="n">
        <v>5</v>
      </c>
      <c r="L493" s="1" t="n">
        <v>5</v>
      </c>
      <c r="M493" s="13" t="s">
        <v>32</v>
      </c>
      <c r="N493" s="13" t="s">
        <v>93</v>
      </c>
      <c r="O493" s="14" t="s">
        <v>94</v>
      </c>
      <c r="P493" s="2" t="str">
        <f aca="false">CONCATENATE(N493," ",O493)</f>
        <v>Anguliphantes angulipalpis</v>
      </c>
      <c r="Q493" s="1" t="s">
        <v>30</v>
      </c>
      <c r="R493" s="1" t="s">
        <v>35</v>
      </c>
      <c r="S493" s="1" t="n">
        <v>0</v>
      </c>
      <c r="T493" s="1" t="n">
        <v>1</v>
      </c>
      <c r="U493" s="1" t="n">
        <v>0</v>
      </c>
      <c r="V493" s="1" t="n">
        <v>0</v>
      </c>
      <c r="W493" s="1" t="n">
        <v>0</v>
      </c>
      <c r="X493" s="1" t="n">
        <v>0</v>
      </c>
      <c r="Y493" s="3" t="n">
        <f aca="false">SUM(S493:T493)</f>
        <v>1</v>
      </c>
      <c r="Z493" s="3" t="n">
        <f aca="false">SUM(U493:W493)</f>
        <v>0</v>
      </c>
      <c r="AA493" s="3" t="n">
        <f aca="false">SUM(S493:X493)</f>
        <v>1</v>
      </c>
      <c r="AB493" s="11" t="n">
        <f aca="false">(AA493/(K493*L493)*25)*4</f>
        <v>4</v>
      </c>
    </row>
    <row r="494" customFormat="false" ht="14.25" hidden="false" customHeight="false" outlineLevel="0" collapsed="false">
      <c r="A494" s="1" t="n">
        <v>2009</v>
      </c>
      <c r="B494" s="7" t="s">
        <v>322</v>
      </c>
      <c r="C494" s="7" t="n">
        <v>2</v>
      </c>
      <c r="D494" s="7" t="s">
        <v>294</v>
      </c>
      <c r="E494" s="7" t="s">
        <v>294</v>
      </c>
      <c r="F494" s="7" t="s">
        <v>83</v>
      </c>
      <c r="G494" s="1" t="n">
        <v>3</v>
      </c>
      <c r="H494" s="1" t="n">
        <v>13</v>
      </c>
      <c r="I494" s="10" t="n">
        <v>39969</v>
      </c>
      <c r="J494" s="10" t="n">
        <v>39974</v>
      </c>
      <c r="K494" s="1" t="n">
        <v>5</v>
      </c>
      <c r="L494" s="1" t="n">
        <v>5</v>
      </c>
      <c r="M494" s="3" t="s">
        <v>32</v>
      </c>
      <c r="N494" s="3" t="s">
        <v>102</v>
      </c>
      <c r="O494" s="3" t="s">
        <v>192</v>
      </c>
      <c r="P494" s="2" t="str">
        <f aca="false">CONCATENATE(N494," ",O494)</f>
        <v>Agyneta allosubtilis</v>
      </c>
      <c r="Q494" s="1" t="s">
        <v>30</v>
      </c>
      <c r="R494" s="1" t="s">
        <v>31</v>
      </c>
      <c r="S494" s="1" t="n">
        <v>2</v>
      </c>
      <c r="T494" s="1" t="n">
        <v>0</v>
      </c>
      <c r="U494" s="1" t="n">
        <v>0</v>
      </c>
      <c r="V494" s="1" t="n">
        <v>0</v>
      </c>
      <c r="W494" s="1" t="n">
        <v>0</v>
      </c>
      <c r="X494" s="1" t="n">
        <v>0</v>
      </c>
      <c r="Y494" s="3" t="n">
        <f aca="false">SUM(S494:T494)</f>
        <v>2</v>
      </c>
      <c r="Z494" s="3" t="n">
        <f aca="false">SUM(U494:W494)</f>
        <v>0</v>
      </c>
      <c r="AA494" s="3" t="n">
        <f aca="false">SUM(S494:X494)</f>
        <v>2</v>
      </c>
      <c r="AB494" s="11" t="n">
        <f aca="false">(AA494/(K494*L494)*25)*4</f>
        <v>8</v>
      </c>
    </row>
    <row r="495" customFormat="false" ht="14.25" hidden="false" customHeight="false" outlineLevel="0" collapsed="false">
      <c r="A495" s="1" t="n">
        <v>2009</v>
      </c>
      <c r="B495" s="7" t="s">
        <v>322</v>
      </c>
      <c r="C495" s="7" t="n">
        <v>2</v>
      </c>
      <c r="D495" s="7" t="s">
        <v>294</v>
      </c>
      <c r="E495" s="7" t="s">
        <v>294</v>
      </c>
      <c r="F495" s="7" t="s">
        <v>83</v>
      </c>
      <c r="G495" s="1" t="n">
        <v>3</v>
      </c>
      <c r="H495" s="1" t="n">
        <v>13</v>
      </c>
      <c r="I495" s="10" t="n">
        <v>39969</v>
      </c>
      <c r="J495" s="10" t="n">
        <v>39974</v>
      </c>
      <c r="K495" s="1" t="n">
        <v>5</v>
      </c>
      <c r="L495" s="1" t="n">
        <v>5</v>
      </c>
      <c r="M495" s="3" t="s">
        <v>32</v>
      </c>
      <c r="N495" s="3" t="s">
        <v>102</v>
      </c>
      <c r="O495" s="3" t="s">
        <v>192</v>
      </c>
      <c r="P495" s="2" t="str">
        <f aca="false">CONCATENATE(N495," ",O495)</f>
        <v>Agyneta allosubtilis</v>
      </c>
      <c r="Q495" s="1" t="s">
        <v>30</v>
      </c>
      <c r="R495" s="1" t="s">
        <v>35</v>
      </c>
      <c r="S495" s="1" t="n">
        <v>0</v>
      </c>
      <c r="T495" s="1" t="n">
        <v>1</v>
      </c>
      <c r="U495" s="1" t="n">
        <v>0</v>
      </c>
      <c r="V495" s="1" t="n">
        <v>0</v>
      </c>
      <c r="W495" s="1" t="n">
        <v>0</v>
      </c>
      <c r="X495" s="1" t="n">
        <v>0</v>
      </c>
      <c r="Y495" s="3" t="n">
        <f aca="false">SUM(S495:T495)</f>
        <v>1</v>
      </c>
      <c r="Z495" s="3" t="n">
        <f aca="false">SUM(U495:W495)</f>
        <v>0</v>
      </c>
      <c r="AA495" s="3" t="n">
        <f aca="false">SUM(S495:X495)</f>
        <v>1</v>
      </c>
      <c r="AB495" s="11" t="n">
        <f aca="false">(AA495/(K495*L495)*25)*4</f>
        <v>4</v>
      </c>
    </row>
    <row r="496" customFormat="false" ht="14.25" hidden="false" customHeight="false" outlineLevel="0" collapsed="false">
      <c r="A496" s="1" t="n">
        <v>2009</v>
      </c>
      <c r="B496" s="7" t="s">
        <v>322</v>
      </c>
      <c r="C496" s="7" t="n">
        <v>2</v>
      </c>
      <c r="D496" s="7" t="s">
        <v>294</v>
      </c>
      <c r="E496" s="7" t="s">
        <v>294</v>
      </c>
      <c r="F496" s="7" t="s">
        <v>83</v>
      </c>
      <c r="G496" s="1" t="n">
        <v>3</v>
      </c>
      <c r="H496" s="1" t="n">
        <v>13</v>
      </c>
      <c r="I496" s="10" t="n">
        <v>39969</v>
      </c>
      <c r="J496" s="10" t="n">
        <v>39974</v>
      </c>
      <c r="K496" s="1" t="n">
        <v>5</v>
      </c>
      <c r="L496" s="1" t="n">
        <v>5</v>
      </c>
      <c r="M496" s="3" t="s">
        <v>32</v>
      </c>
      <c r="N496" s="3" t="s">
        <v>55</v>
      </c>
      <c r="O496" s="3" t="s">
        <v>194</v>
      </c>
      <c r="P496" s="2" t="str">
        <f aca="false">CONCATENATE(N496," ",O496)</f>
        <v>Maro pansibiricus</v>
      </c>
      <c r="Q496" s="1" t="s">
        <v>30</v>
      </c>
      <c r="R496" s="1" t="s">
        <v>31</v>
      </c>
      <c r="S496" s="1" t="n">
        <v>1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0</v>
      </c>
      <c r="Y496" s="3" t="n">
        <f aca="false">SUM(S496:T496)</f>
        <v>1</v>
      </c>
      <c r="Z496" s="3" t="n">
        <f aca="false">SUM(U496:W496)</f>
        <v>0</v>
      </c>
      <c r="AA496" s="3" t="n">
        <f aca="false">SUM(S496:X496)</f>
        <v>1</v>
      </c>
      <c r="AB496" s="11" t="n">
        <f aca="false">(AA496/(K496*L496)*25)*4</f>
        <v>4</v>
      </c>
    </row>
    <row r="497" customFormat="false" ht="14.25" hidden="false" customHeight="false" outlineLevel="0" collapsed="false">
      <c r="A497" s="1" t="n">
        <v>2009</v>
      </c>
      <c r="B497" s="7" t="s">
        <v>322</v>
      </c>
      <c r="C497" s="7" t="n">
        <v>2</v>
      </c>
      <c r="D497" s="7" t="s">
        <v>294</v>
      </c>
      <c r="E497" s="7" t="s">
        <v>294</v>
      </c>
      <c r="F497" s="7" t="s">
        <v>83</v>
      </c>
      <c r="G497" s="1" t="n">
        <v>3</v>
      </c>
      <c r="H497" s="1" t="n">
        <v>13</v>
      </c>
      <c r="I497" s="10" t="n">
        <v>39969</v>
      </c>
      <c r="J497" s="10" t="n">
        <v>39974</v>
      </c>
      <c r="K497" s="1" t="n">
        <v>5</v>
      </c>
      <c r="L497" s="1" t="n">
        <v>5</v>
      </c>
      <c r="M497" s="3" t="s">
        <v>64</v>
      </c>
      <c r="N497" s="3" t="s">
        <v>65</v>
      </c>
      <c r="O497" s="3" t="s">
        <v>123</v>
      </c>
      <c r="P497" s="2" t="str">
        <f aca="false">CONCATENATE(N497," ",O497)</f>
        <v>Zora nemoralis</v>
      </c>
      <c r="Q497" s="1" t="s">
        <v>30</v>
      </c>
      <c r="R497" s="1" t="s">
        <v>31</v>
      </c>
      <c r="S497" s="1" t="n">
        <v>1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3" t="n">
        <f aca="false">SUM(S497:T497)</f>
        <v>1</v>
      </c>
      <c r="Z497" s="3" t="n">
        <f aca="false">SUM(U497:W497)</f>
        <v>0</v>
      </c>
      <c r="AA497" s="3" t="n">
        <f aca="false">SUM(S497:X497)</f>
        <v>1</v>
      </c>
      <c r="AB497" s="11" t="n">
        <f aca="false">(AA497/(K497*L497)*25)*4</f>
        <v>4</v>
      </c>
    </row>
    <row r="498" customFormat="false" ht="14.25" hidden="false" customHeight="false" outlineLevel="0" collapsed="false">
      <c r="A498" s="1" t="n">
        <v>2009</v>
      </c>
      <c r="B498" s="7" t="s">
        <v>322</v>
      </c>
      <c r="C498" s="7" t="n">
        <v>2</v>
      </c>
      <c r="D498" s="7" t="s">
        <v>294</v>
      </c>
      <c r="E498" s="7" t="s">
        <v>294</v>
      </c>
      <c r="F498" s="7" t="s">
        <v>83</v>
      </c>
      <c r="G498" s="1" t="n">
        <v>3</v>
      </c>
      <c r="H498" s="1" t="n">
        <v>14</v>
      </c>
      <c r="I498" s="10" t="n">
        <v>39969</v>
      </c>
      <c r="J498" s="10" t="n">
        <v>39974</v>
      </c>
      <c r="K498" s="1" t="n">
        <v>5</v>
      </c>
      <c r="L498" s="1" t="n">
        <v>5</v>
      </c>
      <c r="M498" s="3" t="s">
        <v>48</v>
      </c>
      <c r="N498" s="3" t="s">
        <v>49</v>
      </c>
      <c r="O498" s="3" t="s">
        <v>104</v>
      </c>
      <c r="P498" s="2" t="str">
        <f aca="false">CONCATENATE(N498," ",O498)</f>
        <v>Alopecosa taeniata</v>
      </c>
      <c r="Q498" s="1" t="s">
        <v>30</v>
      </c>
      <c r="R498" s="1" t="s">
        <v>31</v>
      </c>
      <c r="S498" s="1" t="n">
        <v>2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0</v>
      </c>
      <c r="Y498" s="3" t="n">
        <f aca="false">SUM(S498:T498)</f>
        <v>2</v>
      </c>
      <c r="Z498" s="3" t="n">
        <f aca="false">SUM(U498:W498)</f>
        <v>0</v>
      </c>
      <c r="AA498" s="3" t="n">
        <f aca="false">SUM(S498:X498)</f>
        <v>2</v>
      </c>
      <c r="AB498" s="11" t="n">
        <f aca="false">(AA498/(K498*L498)*25)*4</f>
        <v>8</v>
      </c>
    </row>
    <row r="499" customFormat="false" ht="14.25" hidden="false" customHeight="false" outlineLevel="0" collapsed="false">
      <c r="A499" s="1" t="n">
        <v>2009</v>
      </c>
      <c r="B499" s="7" t="s">
        <v>322</v>
      </c>
      <c r="C499" s="7" t="n">
        <v>2</v>
      </c>
      <c r="D499" s="7" t="s">
        <v>294</v>
      </c>
      <c r="E499" s="7" t="s">
        <v>294</v>
      </c>
      <c r="F499" s="7" t="s">
        <v>83</v>
      </c>
      <c r="G499" s="1" t="n">
        <v>3</v>
      </c>
      <c r="H499" s="1" t="n">
        <v>14</v>
      </c>
      <c r="I499" s="10" t="n">
        <v>39969</v>
      </c>
      <c r="J499" s="10" t="n">
        <v>39974</v>
      </c>
      <c r="K499" s="1" t="n">
        <v>5</v>
      </c>
      <c r="L499" s="1" t="n">
        <v>5</v>
      </c>
      <c r="M499" s="3" t="s">
        <v>48</v>
      </c>
      <c r="N499" s="3" t="s">
        <v>49</v>
      </c>
      <c r="O499" s="3" t="s">
        <v>104</v>
      </c>
      <c r="P499" s="2" t="str">
        <f aca="false">CONCATENATE(N499," ",O499)</f>
        <v>Alopecosa taeniata</v>
      </c>
      <c r="Q499" s="1" t="s">
        <v>30</v>
      </c>
      <c r="R499" s="1" t="s">
        <v>35</v>
      </c>
      <c r="S499" s="1" t="n">
        <v>0</v>
      </c>
      <c r="T499" s="1" t="n">
        <v>1</v>
      </c>
      <c r="U499" s="1" t="n">
        <v>0</v>
      </c>
      <c r="V499" s="1" t="n">
        <v>0</v>
      </c>
      <c r="W499" s="1" t="n">
        <v>0</v>
      </c>
      <c r="X499" s="1" t="n">
        <v>0</v>
      </c>
      <c r="Y499" s="3" t="n">
        <f aca="false">SUM(S499:T499)</f>
        <v>1</v>
      </c>
      <c r="Z499" s="3" t="n">
        <f aca="false">SUM(U499:W499)</f>
        <v>0</v>
      </c>
      <c r="AA499" s="3" t="n">
        <f aca="false">SUM(S499:X499)</f>
        <v>1</v>
      </c>
      <c r="AB499" s="11" t="n">
        <f aca="false">(AA499/(K499*L499)*25)*4</f>
        <v>4</v>
      </c>
    </row>
    <row r="500" customFormat="false" ht="14.25" hidden="false" customHeight="false" outlineLevel="0" collapsed="false">
      <c r="A500" s="17" t="n">
        <v>2009</v>
      </c>
      <c r="B500" s="7" t="s">
        <v>322</v>
      </c>
      <c r="C500" s="44" t="n">
        <v>2</v>
      </c>
      <c r="D500" s="44" t="s">
        <v>294</v>
      </c>
      <c r="E500" s="44" t="s">
        <v>294</v>
      </c>
      <c r="F500" s="7" t="s">
        <v>83</v>
      </c>
      <c r="G500" s="1" t="n">
        <v>3</v>
      </c>
      <c r="H500" s="1" t="n">
        <v>14</v>
      </c>
      <c r="I500" s="20" t="n">
        <v>39969</v>
      </c>
      <c r="J500" s="20" t="n">
        <v>39974</v>
      </c>
      <c r="K500" s="17" t="n">
        <v>5</v>
      </c>
      <c r="L500" s="1" t="n">
        <v>5</v>
      </c>
      <c r="M500" s="18" t="s">
        <v>48</v>
      </c>
      <c r="N500" s="18" t="s">
        <v>61</v>
      </c>
      <c r="O500" s="18" t="s">
        <v>82</v>
      </c>
      <c r="P500" s="2" t="str">
        <f aca="false">CONCATENATE(N500," ",O500)</f>
        <v>Trochosa terricola</v>
      </c>
      <c r="Q500" s="1" t="s">
        <v>30</v>
      </c>
      <c r="R500" s="1" t="s">
        <v>35</v>
      </c>
      <c r="S500" s="17" t="n">
        <v>0</v>
      </c>
      <c r="T500" s="17" t="n">
        <v>1</v>
      </c>
      <c r="U500" s="1" t="n">
        <v>0</v>
      </c>
      <c r="V500" s="1" t="n">
        <v>0</v>
      </c>
      <c r="W500" s="17" t="n">
        <v>0</v>
      </c>
      <c r="X500" s="1" t="n">
        <v>0</v>
      </c>
      <c r="Y500" s="3" t="n">
        <f aca="false">SUM(S500:T500)</f>
        <v>1</v>
      </c>
      <c r="Z500" s="3" t="n">
        <f aca="false">SUM(U500:W500)</f>
        <v>0</v>
      </c>
      <c r="AA500" s="3" t="n">
        <f aca="false">SUM(S500:X500)</f>
        <v>1</v>
      </c>
      <c r="AB500" s="11" t="n">
        <f aca="false">(AA500/(K500*L500)*25)*4</f>
        <v>4</v>
      </c>
    </row>
    <row r="501" customFormat="false" ht="14.25" hidden="false" customHeight="false" outlineLevel="0" collapsed="false">
      <c r="A501" s="1" t="n">
        <v>2009</v>
      </c>
      <c r="B501" s="7" t="s">
        <v>322</v>
      </c>
      <c r="C501" s="7" t="n">
        <v>2</v>
      </c>
      <c r="D501" s="7" t="s">
        <v>294</v>
      </c>
      <c r="E501" s="7" t="s">
        <v>294</v>
      </c>
      <c r="F501" s="7" t="s">
        <v>83</v>
      </c>
      <c r="G501" s="1" t="n">
        <v>3</v>
      </c>
      <c r="H501" s="1" t="n">
        <v>14</v>
      </c>
      <c r="I501" s="10" t="n">
        <v>39969</v>
      </c>
      <c r="J501" s="10" t="n">
        <v>39974</v>
      </c>
      <c r="K501" s="1" t="n">
        <v>5</v>
      </c>
      <c r="L501" s="1" t="n">
        <v>5</v>
      </c>
      <c r="M501" s="3" t="s">
        <v>48</v>
      </c>
      <c r="N501" s="3" t="s">
        <v>67</v>
      </c>
      <c r="O501" s="3" t="s">
        <v>127</v>
      </c>
      <c r="P501" s="2" t="str">
        <f aca="false">CONCATENATE(N501," ",O501)</f>
        <v>Pardosa lugubris</v>
      </c>
      <c r="Q501" s="1" t="s">
        <v>30</v>
      </c>
      <c r="R501" s="1" t="s">
        <v>31</v>
      </c>
      <c r="S501" s="1" t="n">
        <v>1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3" t="n">
        <f aca="false">SUM(S501:T501)</f>
        <v>1</v>
      </c>
      <c r="Z501" s="3" t="n">
        <f aca="false">SUM(U501:W501)</f>
        <v>0</v>
      </c>
      <c r="AA501" s="3" t="n">
        <f aca="false">SUM(S501:X501)</f>
        <v>1</v>
      </c>
      <c r="AB501" s="11" t="n">
        <f aca="false">(AA501/(K501*L501)*25)*4</f>
        <v>4</v>
      </c>
    </row>
    <row r="502" customFormat="false" ht="14.25" hidden="false" customHeight="false" outlineLevel="0" collapsed="false">
      <c r="A502" s="1" t="n">
        <v>2009</v>
      </c>
      <c r="B502" s="7" t="s">
        <v>322</v>
      </c>
      <c r="C502" s="7" t="n">
        <v>2</v>
      </c>
      <c r="D502" s="7" t="s">
        <v>294</v>
      </c>
      <c r="E502" s="7" t="s">
        <v>294</v>
      </c>
      <c r="F502" s="7" t="s">
        <v>83</v>
      </c>
      <c r="G502" s="1" t="n">
        <v>3</v>
      </c>
      <c r="H502" s="1" t="n">
        <v>14</v>
      </c>
      <c r="I502" s="10" t="n">
        <v>39969</v>
      </c>
      <c r="J502" s="10" t="n">
        <v>39974</v>
      </c>
      <c r="K502" s="1" t="n">
        <v>5</v>
      </c>
      <c r="L502" s="1" t="n">
        <v>5</v>
      </c>
      <c r="M502" s="3" t="s">
        <v>41</v>
      </c>
      <c r="N502" s="3" t="s">
        <v>42</v>
      </c>
      <c r="O502" s="3" t="s">
        <v>198</v>
      </c>
      <c r="P502" s="2" t="str">
        <f aca="false">CONCATENATE(N502," ",O502)</f>
        <v>Agroeca brunnea</v>
      </c>
      <c r="Q502" s="1" t="s">
        <v>30</v>
      </c>
      <c r="R502" s="1" t="s">
        <v>35</v>
      </c>
      <c r="S502" s="1" t="n">
        <v>0</v>
      </c>
      <c r="T502" s="1" t="n">
        <v>1</v>
      </c>
      <c r="U502" s="1" t="n">
        <v>0</v>
      </c>
      <c r="V502" s="1" t="n">
        <v>0</v>
      </c>
      <c r="W502" s="1" t="n">
        <v>0</v>
      </c>
      <c r="X502" s="1" t="n">
        <v>0</v>
      </c>
      <c r="Y502" s="3" t="n">
        <f aca="false">SUM(S502:T502)</f>
        <v>1</v>
      </c>
      <c r="Z502" s="3" t="n">
        <f aca="false">SUM(U502:W502)</f>
        <v>0</v>
      </c>
      <c r="AA502" s="3" t="n">
        <f aca="false">SUM(S502:X502)</f>
        <v>1</v>
      </c>
      <c r="AB502" s="11" t="n">
        <f aca="false">(AA502/(K502*L502)*25)*4</f>
        <v>4</v>
      </c>
    </row>
    <row r="503" customFormat="false" ht="14.25" hidden="false" customHeight="false" outlineLevel="0" collapsed="false">
      <c r="A503" s="1" t="n">
        <v>2009</v>
      </c>
      <c r="B503" s="7" t="s">
        <v>322</v>
      </c>
      <c r="C503" s="7" t="n">
        <v>2</v>
      </c>
      <c r="D503" s="7" t="s">
        <v>294</v>
      </c>
      <c r="E503" s="7" t="s">
        <v>294</v>
      </c>
      <c r="F503" s="7" t="s">
        <v>83</v>
      </c>
      <c r="G503" s="1" t="n">
        <v>3</v>
      </c>
      <c r="H503" s="1" t="n">
        <v>14</v>
      </c>
      <c r="I503" s="10" t="n">
        <v>39969</v>
      </c>
      <c r="J503" s="10" t="n">
        <v>39974</v>
      </c>
      <c r="K503" s="1" t="n">
        <v>5</v>
      </c>
      <c r="L503" s="1" t="n">
        <v>5</v>
      </c>
      <c r="M503" s="3" t="s">
        <v>36</v>
      </c>
      <c r="N503" s="3" t="s">
        <v>131</v>
      </c>
      <c r="O503" s="3" t="s">
        <v>133</v>
      </c>
      <c r="P503" s="2" t="str">
        <f aca="false">CONCATENATE(N503," ",O503)</f>
        <v>Xysticus luctuosus</v>
      </c>
      <c r="Q503" s="1" t="s">
        <v>30</v>
      </c>
      <c r="R503" s="1" t="s">
        <v>31</v>
      </c>
      <c r="S503" s="1" t="n">
        <v>1</v>
      </c>
      <c r="T503" s="1" t="n">
        <v>0</v>
      </c>
      <c r="U503" s="1" t="n">
        <v>0</v>
      </c>
      <c r="V503" s="1" t="n">
        <v>0</v>
      </c>
      <c r="W503" s="1" t="n">
        <v>0</v>
      </c>
      <c r="X503" s="1" t="n">
        <v>0</v>
      </c>
      <c r="Y503" s="3" t="n">
        <f aca="false">SUM(S503:T503)</f>
        <v>1</v>
      </c>
      <c r="Z503" s="3" t="n">
        <f aca="false">SUM(U503:W503)</f>
        <v>0</v>
      </c>
      <c r="AA503" s="3" t="n">
        <f aca="false">SUM(S503:X503)</f>
        <v>1</v>
      </c>
      <c r="AB503" s="11" t="n">
        <f aca="false">(AA503/(K503*L503)*25)*4</f>
        <v>4</v>
      </c>
    </row>
    <row r="504" customFormat="false" ht="14.25" hidden="false" customHeight="false" outlineLevel="0" collapsed="false">
      <c r="A504" s="1" t="n">
        <v>2009</v>
      </c>
      <c r="B504" s="7" t="s">
        <v>322</v>
      </c>
      <c r="C504" s="7" t="n">
        <v>2</v>
      </c>
      <c r="D504" s="7" t="s">
        <v>294</v>
      </c>
      <c r="E504" s="7" t="s">
        <v>294</v>
      </c>
      <c r="F504" s="7" t="s">
        <v>83</v>
      </c>
      <c r="G504" s="1" t="n">
        <v>3</v>
      </c>
      <c r="H504" s="1" t="n">
        <v>14</v>
      </c>
      <c r="I504" s="10" t="n">
        <v>39969</v>
      </c>
      <c r="J504" s="10" t="n">
        <v>39974</v>
      </c>
      <c r="K504" s="1" t="n">
        <v>5</v>
      </c>
      <c r="L504" s="1" t="n">
        <v>5</v>
      </c>
      <c r="M504" s="13" t="s">
        <v>92</v>
      </c>
      <c r="N504" s="13" t="s">
        <v>111</v>
      </c>
      <c r="O504" s="14" t="s">
        <v>112</v>
      </c>
      <c r="P504" s="2" t="str">
        <f aca="false">CONCATENATE(N504," ",O504)</f>
        <v>Evarcha falcata</v>
      </c>
      <c r="Q504" s="1" t="s">
        <v>30</v>
      </c>
      <c r="R504" s="1" t="s">
        <v>31</v>
      </c>
      <c r="S504" s="1" t="n">
        <v>1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0</v>
      </c>
      <c r="Y504" s="3" t="n">
        <f aca="false">SUM(S504:T504)</f>
        <v>1</v>
      </c>
      <c r="Z504" s="3" t="n">
        <f aca="false">SUM(U504:W504)</f>
        <v>0</v>
      </c>
      <c r="AA504" s="3" t="n">
        <f aca="false">SUM(S504:X504)</f>
        <v>1</v>
      </c>
      <c r="AB504" s="11" t="n">
        <f aca="false">(AA504/(K504*L504)*25)*4</f>
        <v>4</v>
      </c>
    </row>
    <row r="505" customFormat="false" ht="14.25" hidden="false" customHeight="false" outlineLevel="0" collapsed="false">
      <c r="A505" s="1" t="n">
        <v>2009</v>
      </c>
      <c r="B505" s="7" t="s">
        <v>322</v>
      </c>
      <c r="C505" s="7" t="n">
        <v>2</v>
      </c>
      <c r="D505" s="7" t="s">
        <v>294</v>
      </c>
      <c r="E505" s="7" t="s">
        <v>294</v>
      </c>
      <c r="F505" s="7" t="s">
        <v>83</v>
      </c>
      <c r="G505" s="1" t="n">
        <v>3</v>
      </c>
      <c r="H505" s="1" t="n">
        <v>14</v>
      </c>
      <c r="I505" s="10" t="n">
        <v>39969</v>
      </c>
      <c r="J505" s="10" t="n">
        <v>39974</v>
      </c>
      <c r="K505" s="1" t="n">
        <v>5</v>
      </c>
      <c r="L505" s="1" t="n">
        <v>5</v>
      </c>
      <c r="M505" s="3" t="s">
        <v>32</v>
      </c>
      <c r="N505" s="3" t="s">
        <v>62</v>
      </c>
      <c r="O505" s="3" t="s">
        <v>63</v>
      </c>
      <c r="P505" s="2" t="str">
        <f aca="false">CONCATENATE(N505," ",O505)</f>
        <v>Microneta viaria</v>
      </c>
      <c r="Q505" s="1" t="s">
        <v>30</v>
      </c>
      <c r="R505" s="1" t="s">
        <v>35</v>
      </c>
      <c r="S505" s="1" t="n">
        <v>0</v>
      </c>
      <c r="T505" s="1" t="n">
        <v>1</v>
      </c>
      <c r="U505" s="1" t="n">
        <v>0</v>
      </c>
      <c r="V505" s="1" t="n">
        <v>0</v>
      </c>
      <c r="W505" s="1" t="n">
        <v>0</v>
      </c>
      <c r="X505" s="1" t="n">
        <v>0</v>
      </c>
      <c r="Y505" s="3" t="n">
        <f aca="false">SUM(S505:T505)</f>
        <v>1</v>
      </c>
      <c r="Z505" s="3" t="n">
        <f aca="false">SUM(U505:W505)</f>
        <v>0</v>
      </c>
      <c r="AA505" s="3" t="n">
        <f aca="false">SUM(S505:X505)</f>
        <v>1</v>
      </c>
      <c r="AB505" s="11" t="n">
        <f aca="false">(AA505/(K505*L505)*25)*4</f>
        <v>4</v>
      </c>
    </row>
    <row r="506" customFormat="false" ht="14.25" hidden="false" customHeight="false" outlineLevel="0" collapsed="false">
      <c r="A506" s="1" t="n">
        <v>2009</v>
      </c>
      <c r="B506" s="7" t="s">
        <v>322</v>
      </c>
      <c r="C506" s="7" t="n">
        <v>2</v>
      </c>
      <c r="D506" s="7" t="s">
        <v>294</v>
      </c>
      <c r="E506" s="7" t="s">
        <v>294</v>
      </c>
      <c r="F506" s="7" t="s">
        <v>83</v>
      </c>
      <c r="G506" s="1" t="n">
        <v>3</v>
      </c>
      <c r="H506" s="1" t="n">
        <v>14</v>
      </c>
      <c r="I506" s="10" t="n">
        <v>39969</v>
      </c>
      <c r="J506" s="10" t="n">
        <v>39974</v>
      </c>
      <c r="K506" s="1" t="n">
        <v>5</v>
      </c>
      <c r="L506" s="1" t="n">
        <v>5</v>
      </c>
      <c r="M506" s="3" t="s">
        <v>32</v>
      </c>
      <c r="N506" s="3" t="s">
        <v>55</v>
      </c>
      <c r="O506" s="3" t="s">
        <v>194</v>
      </c>
      <c r="P506" s="2" t="str">
        <f aca="false">CONCATENATE(N506," ",O506)</f>
        <v>Maro pansibiricus</v>
      </c>
      <c r="Q506" s="1" t="s">
        <v>30</v>
      </c>
      <c r="R506" s="1" t="s">
        <v>31</v>
      </c>
      <c r="S506" s="1" t="n">
        <v>1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0</v>
      </c>
      <c r="Y506" s="3" t="n">
        <f aca="false">SUM(S506:T506)</f>
        <v>1</v>
      </c>
      <c r="Z506" s="3" t="n">
        <f aca="false">SUM(U506:W506)</f>
        <v>0</v>
      </c>
      <c r="AA506" s="3" t="n">
        <f aca="false">SUM(S506:X506)</f>
        <v>1</v>
      </c>
      <c r="AB506" s="11" t="n">
        <f aca="false">(AA506/(K506*L506)*25)*4</f>
        <v>4</v>
      </c>
    </row>
    <row r="507" customFormat="false" ht="14.25" hidden="false" customHeight="false" outlineLevel="0" collapsed="false">
      <c r="A507" s="1" t="n">
        <v>2009</v>
      </c>
      <c r="B507" s="7" t="s">
        <v>322</v>
      </c>
      <c r="C507" s="7" t="n">
        <v>2</v>
      </c>
      <c r="D507" s="7" t="s">
        <v>294</v>
      </c>
      <c r="E507" s="7" t="s">
        <v>294</v>
      </c>
      <c r="F507" s="7" t="s">
        <v>83</v>
      </c>
      <c r="G507" s="1" t="n">
        <v>3</v>
      </c>
      <c r="H507" s="1" t="n">
        <v>14</v>
      </c>
      <c r="I507" s="10" t="n">
        <v>39969</v>
      </c>
      <c r="J507" s="10" t="n">
        <v>39974</v>
      </c>
      <c r="K507" s="1" t="n">
        <v>5</v>
      </c>
      <c r="L507" s="1" t="n">
        <v>5</v>
      </c>
      <c r="M507" s="13" t="s">
        <v>32</v>
      </c>
      <c r="N507" s="13" t="s">
        <v>96</v>
      </c>
      <c r="O507" s="14" t="s">
        <v>97</v>
      </c>
      <c r="P507" s="2" t="str">
        <f aca="false">CONCATENATE(N507," ",O507)</f>
        <v>Diplocephalus picinus</v>
      </c>
      <c r="Q507" s="1" t="s">
        <v>30</v>
      </c>
      <c r="R507" s="1" t="s">
        <v>31</v>
      </c>
      <c r="S507" s="1" t="n">
        <v>1</v>
      </c>
      <c r="T507" s="1" t="n">
        <v>0</v>
      </c>
      <c r="U507" s="1" t="n">
        <v>0</v>
      </c>
      <c r="V507" s="1" t="n">
        <v>0</v>
      </c>
      <c r="W507" s="1" t="n">
        <v>0</v>
      </c>
      <c r="X507" s="1" t="n">
        <v>0</v>
      </c>
      <c r="Y507" s="3" t="n">
        <f aca="false">SUM(S507:T507)</f>
        <v>1</v>
      </c>
      <c r="Z507" s="3" t="n">
        <f aca="false">SUM(U507:W507)</f>
        <v>0</v>
      </c>
      <c r="AA507" s="3" t="n">
        <f aca="false">SUM(S507:X507)</f>
        <v>1</v>
      </c>
      <c r="AB507" s="11" t="n">
        <f aca="false">(AA507/(K507*L507)*25)*4</f>
        <v>4</v>
      </c>
    </row>
    <row r="508" customFormat="false" ht="14.25" hidden="false" customHeight="false" outlineLevel="0" collapsed="false">
      <c r="A508" s="1" t="n">
        <v>2009</v>
      </c>
      <c r="B508" s="7" t="s">
        <v>322</v>
      </c>
      <c r="C508" s="7" t="n">
        <v>2</v>
      </c>
      <c r="D508" s="7" t="s">
        <v>294</v>
      </c>
      <c r="E508" s="7" t="s">
        <v>294</v>
      </c>
      <c r="F508" s="7" t="s">
        <v>83</v>
      </c>
      <c r="G508" s="1" t="n">
        <v>3</v>
      </c>
      <c r="H508" s="1" t="n">
        <v>14</v>
      </c>
      <c r="I508" s="10" t="n">
        <v>39969</v>
      </c>
      <c r="J508" s="10" t="n">
        <v>39974</v>
      </c>
      <c r="K508" s="1" t="n">
        <v>5</v>
      </c>
      <c r="L508" s="1" t="n">
        <v>5</v>
      </c>
      <c r="M508" s="3" t="s">
        <v>32</v>
      </c>
      <c r="N508" s="3" t="s">
        <v>200</v>
      </c>
      <c r="O508" s="3" t="s">
        <v>201</v>
      </c>
      <c r="P508" s="2" t="str">
        <f aca="false">CONCATENATE(N508," ",O508)</f>
        <v>Trematocephalus cristatus</v>
      </c>
      <c r="Q508" s="1" t="s">
        <v>30</v>
      </c>
      <c r="R508" s="1" t="s">
        <v>31</v>
      </c>
      <c r="S508" s="1" t="n">
        <v>1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0</v>
      </c>
      <c r="Y508" s="3" t="n">
        <f aca="false">SUM(S508:T508)</f>
        <v>1</v>
      </c>
      <c r="Z508" s="3" t="n">
        <f aca="false">SUM(U508:W508)</f>
        <v>0</v>
      </c>
      <c r="AA508" s="3" t="n">
        <f aca="false">SUM(S508:X508)</f>
        <v>1</v>
      </c>
      <c r="AB508" s="11" t="n">
        <f aca="false">(AA508/(K508*L508)*25)*4</f>
        <v>4</v>
      </c>
    </row>
    <row r="509" customFormat="false" ht="14.25" hidden="false" customHeight="false" outlineLevel="0" collapsed="false">
      <c r="A509" s="1" t="n">
        <v>2009</v>
      </c>
      <c r="B509" s="7" t="s">
        <v>322</v>
      </c>
      <c r="C509" s="7" t="n">
        <v>2</v>
      </c>
      <c r="D509" s="7" t="s">
        <v>294</v>
      </c>
      <c r="E509" s="7" t="s">
        <v>294</v>
      </c>
      <c r="F509" s="7" t="s">
        <v>83</v>
      </c>
      <c r="G509" s="1" t="n">
        <v>3</v>
      </c>
      <c r="H509" s="1" t="n">
        <v>15</v>
      </c>
      <c r="I509" s="10" t="n">
        <v>39969</v>
      </c>
      <c r="J509" s="10" t="n">
        <v>39974</v>
      </c>
      <c r="K509" s="1" t="n">
        <v>5</v>
      </c>
      <c r="L509" s="1" t="n">
        <v>5</v>
      </c>
      <c r="M509" s="3" t="s">
        <v>48</v>
      </c>
      <c r="N509" s="3" t="s">
        <v>49</v>
      </c>
      <c r="O509" s="3" t="s">
        <v>104</v>
      </c>
      <c r="P509" s="2" t="str">
        <f aca="false">CONCATENATE(N509," ",O509)</f>
        <v>Alopecosa taeniata</v>
      </c>
      <c r="Q509" s="1" t="s">
        <v>30</v>
      </c>
      <c r="R509" s="1" t="s">
        <v>31</v>
      </c>
      <c r="S509" s="1" t="n">
        <v>3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3" t="n">
        <f aca="false">SUM(S509:T509)</f>
        <v>3</v>
      </c>
      <c r="Z509" s="3" t="n">
        <f aca="false">SUM(U509:W509)</f>
        <v>0</v>
      </c>
      <c r="AA509" s="3" t="n">
        <f aca="false">SUM(S509:X509)</f>
        <v>3</v>
      </c>
      <c r="AB509" s="11" t="n">
        <f aca="false">(AA509/(K509*L509)*25)*4</f>
        <v>12</v>
      </c>
    </row>
    <row r="510" customFormat="false" ht="14.25" hidden="false" customHeight="false" outlineLevel="0" collapsed="false">
      <c r="A510" s="1" t="n">
        <v>2009</v>
      </c>
      <c r="B510" s="7" t="s">
        <v>322</v>
      </c>
      <c r="C510" s="7" t="n">
        <v>2</v>
      </c>
      <c r="D510" s="7" t="s">
        <v>294</v>
      </c>
      <c r="E510" s="7" t="s">
        <v>294</v>
      </c>
      <c r="F510" s="7" t="s">
        <v>83</v>
      </c>
      <c r="G510" s="1" t="n">
        <v>3</v>
      </c>
      <c r="H510" s="1" t="n">
        <v>15</v>
      </c>
      <c r="I510" s="10" t="n">
        <v>39969</v>
      </c>
      <c r="J510" s="10" t="n">
        <v>39974</v>
      </c>
      <c r="K510" s="1" t="n">
        <v>5</v>
      </c>
      <c r="L510" s="1" t="n">
        <v>5</v>
      </c>
      <c r="M510" s="3" t="s">
        <v>48</v>
      </c>
      <c r="N510" s="3" t="s">
        <v>49</v>
      </c>
      <c r="O510" s="3" t="s">
        <v>104</v>
      </c>
      <c r="P510" s="2" t="str">
        <f aca="false">CONCATENATE(N510," ",O510)</f>
        <v>Alopecosa taeniata</v>
      </c>
      <c r="Q510" s="1" t="s">
        <v>30</v>
      </c>
      <c r="R510" s="1" t="s">
        <v>35</v>
      </c>
      <c r="S510" s="1" t="n">
        <v>0</v>
      </c>
      <c r="T510" s="1" t="n">
        <v>4</v>
      </c>
      <c r="U510" s="1" t="n">
        <v>0</v>
      </c>
      <c r="V510" s="1" t="n">
        <v>0</v>
      </c>
      <c r="W510" s="1" t="n">
        <v>0</v>
      </c>
      <c r="X510" s="1" t="n">
        <v>0</v>
      </c>
      <c r="Y510" s="3" t="n">
        <f aca="false">SUM(S510:T510)</f>
        <v>4</v>
      </c>
      <c r="Z510" s="3" t="n">
        <f aca="false">SUM(U510:W510)</f>
        <v>0</v>
      </c>
      <c r="AA510" s="3" t="n">
        <f aca="false">SUM(S510:X510)</f>
        <v>4</v>
      </c>
      <c r="AB510" s="11" t="n">
        <f aca="false">(AA510/(K510*L510)*25)*4</f>
        <v>16</v>
      </c>
    </row>
    <row r="511" customFormat="false" ht="14.25" hidden="false" customHeight="false" outlineLevel="0" collapsed="false">
      <c r="A511" s="1" t="n">
        <v>2009</v>
      </c>
      <c r="B511" s="7" t="s">
        <v>322</v>
      </c>
      <c r="C511" s="7" t="n">
        <v>2</v>
      </c>
      <c r="D511" s="7" t="s">
        <v>294</v>
      </c>
      <c r="E511" s="7" t="s">
        <v>294</v>
      </c>
      <c r="F511" s="7" t="s">
        <v>83</v>
      </c>
      <c r="G511" s="1" t="n">
        <v>3</v>
      </c>
      <c r="H511" s="1" t="n">
        <v>15</v>
      </c>
      <c r="I511" s="10" t="n">
        <v>39969</v>
      </c>
      <c r="J511" s="10" t="n">
        <v>39974</v>
      </c>
      <c r="K511" s="1" t="n">
        <v>5</v>
      </c>
      <c r="L511" s="1" t="n">
        <v>5</v>
      </c>
      <c r="M511" s="3" t="s">
        <v>48</v>
      </c>
      <c r="N511" s="3" t="s">
        <v>67</v>
      </c>
      <c r="O511" s="3" t="s">
        <v>127</v>
      </c>
      <c r="P511" s="2" t="str">
        <f aca="false">CONCATENATE(N511," ",O511)</f>
        <v>Pardosa lugubris</v>
      </c>
      <c r="Q511" s="1" t="s">
        <v>30</v>
      </c>
      <c r="R511" s="1" t="s">
        <v>35</v>
      </c>
      <c r="S511" s="1" t="n">
        <v>0</v>
      </c>
      <c r="T511" s="1" t="n">
        <v>1</v>
      </c>
      <c r="U511" s="1" t="n">
        <v>0</v>
      </c>
      <c r="V511" s="1" t="n">
        <v>0</v>
      </c>
      <c r="W511" s="1" t="n">
        <v>0</v>
      </c>
      <c r="X511" s="1" t="n">
        <v>0</v>
      </c>
      <c r="Y511" s="3" t="n">
        <f aca="false">SUM(S511:T511)</f>
        <v>1</v>
      </c>
      <c r="Z511" s="3" t="n">
        <f aca="false">SUM(U511:W511)</f>
        <v>0</v>
      </c>
      <c r="AA511" s="3" t="n">
        <f aca="false">SUM(S511:X511)</f>
        <v>1</v>
      </c>
      <c r="AB511" s="11" t="n">
        <f aca="false">(AA511/(K511*L511)*25)*4</f>
        <v>4</v>
      </c>
    </row>
    <row r="512" customFormat="false" ht="14.25" hidden="false" customHeight="false" outlineLevel="0" collapsed="false">
      <c r="A512" s="1" t="n">
        <v>2009</v>
      </c>
      <c r="B512" s="7" t="s">
        <v>322</v>
      </c>
      <c r="C512" s="7" t="n">
        <v>2</v>
      </c>
      <c r="D512" s="7" t="s">
        <v>294</v>
      </c>
      <c r="E512" s="7" t="s">
        <v>294</v>
      </c>
      <c r="F512" s="7" t="s">
        <v>83</v>
      </c>
      <c r="G512" s="1" t="n">
        <v>3</v>
      </c>
      <c r="H512" s="1" t="n">
        <v>15</v>
      </c>
      <c r="I512" s="10" t="n">
        <v>39969</v>
      </c>
      <c r="J512" s="10" t="n">
        <v>39974</v>
      </c>
      <c r="K512" s="1" t="n">
        <v>5</v>
      </c>
      <c r="L512" s="1" t="n">
        <v>5</v>
      </c>
      <c r="M512" s="3" t="s">
        <v>72</v>
      </c>
      <c r="N512" s="3" t="s">
        <v>86</v>
      </c>
      <c r="O512" s="8" t="s">
        <v>87</v>
      </c>
      <c r="P512" s="2" t="str">
        <f aca="false">CONCATENATE(N512," ",O512)</f>
        <v>Haplodrassus soerenseni</v>
      </c>
      <c r="Q512" s="1" t="s">
        <v>30</v>
      </c>
      <c r="R512" s="1" t="s">
        <v>31</v>
      </c>
      <c r="S512" s="1" t="n">
        <v>1</v>
      </c>
      <c r="T512" s="1" t="n">
        <v>0</v>
      </c>
      <c r="U512" s="1" t="n">
        <v>0</v>
      </c>
      <c r="V512" s="1" t="n">
        <v>0</v>
      </c>
      <c r="W512" s="1" t="n">
        <v>0</v>
      </c>
      <c r="X512" s="1" t="n">
        <v>0</v>
      </c>
      <c r="Y512" s="3" t="n">
        <f aca="false">SUM(S512:T512)</f>
        <v>1</v>
      </c>
      <c r="Z512" s="3" t="n">
        <f aca="false">SUM(U512:W512)</f>
        <v>0</v>
      </c>
      <c r="AA512" s="3" t="n">
        <f aca="false">SUM(S512:X512)</f>
        <v>1</v>
      </c>
      <c r="AB512" s="11" t="n">
        <f aca="false">(AA512/(K512*L512)*25)*4</f>
        <v>4</v>
      </c>
    </row>
    <row r="513" customFormat="false" ht="14.25" hidden="false" customHeight="false" outlineLevel="0" collapsed="false">
      <c r="A513" s="1" t="n">
        <v>2009</v>
      </c>
      <c r="B513" s="7" t="s">
        <v>322</v>
      </c>
      <c r="C513" s="7" t="n">
        <v>2</v>
      </c>
      <c r="D513" s="7" t="s">
        <v>294</v>
      </c>
      <c r="E513" s="7" t="s">
        <v>294</v>
      </c>
      <c r="F513" s="7" t="s">
        <v>83</v>
      </c>
      <c r="G513" s="1" t="n">
        <v>3</v>
      </c>
      <c r="H513" s="1" t="n">
        <v>15</v>
      </c>
      <c r="I513" s="10" t="n">
        <v>39969</v>
      </c>
      <c r="J513" s="10" t="n">
        <v>39974</v>
      </c>
      <c r="K513" s="1" t="n">
        <v>5</v>
      </c>
      <c r="L513" s="1" t="n">
        <v>5</v>
      </c>
      <c r="M513" s="3" t="s">
        <v>72</v>
      </c>
      <c r="N513" s="3" t="s">
        <v>86</v>
      </c>
      <c r="O513" s="8" t="s">
        <v>87</v>
      </c>
      <c r="P513" s="2" t="str">
        <f aca="false">CONCATENATE(N513," ",O513)</f>
        <v>Haplodrassus soerenseni</v>
      </c>
      <c r="Q513" s="1" t="s">
        <v>30</v>
      </c>
      <c r="R513" s="1" t="s">
        <v>35</v>
      </c>
      <c r="S513" s="1" t="n">
        <v>0</v>
      </c>
      <c r="T513" s="1" t="n">
        <v>1</v>
      </c>
      <c r="U513" s="1" t="n">
        <v>0</v>
      </c>
      <c r="V513" s="1" t="n">
        <v>0</v>
      </c>
      <c r="W513" s="1" t="n">
        <v>0</v>
      </c>
      <c r="X513" s="1" t="n">
        <v>0</v>
      </c>
      <c r="Y513" s="3" t="n">
        <f aca="false">SUM(S513:T513)</f>
        <v>1</v>
      </c>
      <c r="Z513" s="3" t="n">
        <f aca="false">SUM(U513:W513)</f>
        <v>0</v>
      </c>
      <c r="AA513" s="3" t="n">
        <f aca="false">SUM(S513:X513)</f>
        <v>1</v>
      </c>
      <c r="AB513" s="11" t="n">
        <f aca="false">(AA513/(K513*L513)*25)*4</f>
        <v>4</v>
      </c>
    </row>
    <row r="514" customFormat="false" ht="14.25" hidden="false" customHeight="false" outlineLevel="0" collapsed="false">
      <c r="A514" s="1" t="n">
        <v>2009</v>
      </c>
      <c r="B514" s="7" t="s">
        <v>322</v>
      </c>
      <c r="C514" s="7" t="n">
        <v>2</v>
      </c>
      <c r="D514" s="7" t="s">
        <v>294</v>
      </c>
      <c r="E514" s="7" t="s">
        <v>294</v>
      </c>
      <c r="F514" s="7" t="s">
        <v>83</v>
      </c>
      <c r="G514" s="1" t="n">
        <v>3</v>
      </c>
      <c r="H514" s="1" t="n">
        <v>15</v>
      </c>
      <c r="I514" s="10" t="n">
        <v>39969</v>
      </c>
      <c r="J514" s="10" t="n">
        <v>39974</v>
      </c>
      <c r="K514" s="1" t="n">
        <v>5</v>
      </c>
      <c r="L514" s="1" t="n">
        <v>5</v>
      </c>
      <c r="M514" s="3" t="s">
        <v>32</v>
      </c>
      <c r="N514" s="3" t="s">
        <v>62</v>
      </c>
      <c r="O514" s="3" t="s">
        <v>63</v>
      </c>
      <c r="P514" s="2" t="str">
        <f aca="false">CONCATENATE(N514," ",O514)</f>
        <v>Microneta viaria</v>
      </c>
      <c r="Q514" s="1" t="s">
        <v>30</v>
      </c>
      <c r="R514" s="1" t="s">
        <v>35</v>
      </c>
      <c r="S514" s="1" t="n">
        <v>0</v>
      </c>
      <c r="T514" s="1" t="n">
        <v>1</v>
      </c>
      <c r="U514" s="1" t="n">
        <v>0</v>
      </c>
      <c r="V514" s="1" t="n">
        <v>0</v>
      </c>
      <c r="W514" s="1" t="n">
        <v>0</v>
      </c>
      <c r="X514" s="1" t="n">
        <v>0</v>
      </c>
      <c r="Y514" s="3" t="n">
        <f aca="false">SUM(S514:T514)</f>
        <v>1</v>
      </c>
      <c r="Z514" s="3" t="n">
        <f aca="false">SUM(U514:W514)</f>
        <v>0</v>
      </c>
      <c r="AA514" s="3" t="n">
        <f aca="false">SUM(S514:X514)</f>
        <v>1</v>
      </c>
      <c r="AB514" s="11" t="n">
        <f aca="false">(AA514/(K514*L514)*25)*4</f>
        <v>4</v>
      </c>
    </row>
    <row r="515" customFormat="false" ht="14.25" hidden="false" customHeight="false" outlineLevel="0" collapsed="false">
      <c r="A515" s="1" t="n">
        <v>2009</v>
      </c>
      <c r="B515" s="7" t="s">
        <v>322</v>
      </c>
      <c r="C515" s="7" t="n">
        <v>2</v>
      </c>
      <c r="D515" s="7" t="s">
        <v>294</v>
      </c>
      <c r="E515" s="7" t="s">
        <v>294</v>
      </c>
      <c r="F515" s="7" t="s">
        <v>83</v>
      </c>
      <c r="G515" s="1" t="n">
        <v>3</v>
      </c>
      <c r="H515" s="1" t="n">
        <v>15</v>
      </c>
      <c r="I515" s="10" t="n">
        <v>39969</v>
      </c>
      <c r="J515" s="10" t="n">
        <v>39974</v>
      </c>
      <c r="K515" s="1" t="n">
        <v>5</v>
      </c>
      <c r="L515" s="1" t="n">
        <v>5</v>
      </c>
      <c r="M515" s="13" t="s">
        <v>32</v>
      </c>
      <c r="N515" s="13" t="s">
        <v>93</v>
      </c>
      <c r="O515" s="14" t="s">
        <v>94</v>
      </c>
      <c r="P515" s="2" t="str">
        <f aca="false">CONCATENATE(N515," ",O515)</f>
        <v>Anguliphantes angulipalpis</v>
      </c>
      <c r="Q515" s="1" t="s">
        <v>30</v>
      </c>
      <c r="R515" s="1" t="s">
        <v>31</v>
      </c>
      <c r="S515" s="1" t="n">
        <v>1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3" t="n">
        <f aca="false">SUM(S515:T515)</f>
        <v>1</v>
      </c>
      <c r="Z515" s="3" t="n">
        <f aca="false">SUM(U515:W515)</f>
        <v>0</v>
      </c>
      <c r="AA515" s="3" t="n">
        <f aca="false">SUM(S515:X515)</f>
        <v>1</v>
      </c>
      <c r="AB515" s="11" t="n">
        <f aca="false">(AA515/(K515*L515)*25)*4</f>
        <v>4</v>
      </c>
    </row>
    <row r="516" customFormat="false" ht="14.25" hidden="false" customHeight="false" outlineLevel="0" collapsed="false">
      <c r="A516" s="1" t="n">
        <v>2009</v>
      </c>
      <c r="B516" s="7" t="s">
        <v>322</v>
      </c>
      <c r="C516" s="7" t="n">
        <v>2</v>
      </c>
      <c r="D516" s="7" t="s">
        <v>294</v>
      </c>
      <c r="E516" s="7" t="s">
        <v>294</v>
      </c>
      <c r="F516" s="7" t="s">
        <v>158</v>
      </c>
      <c r="G516" s="1" t="n">
        <v>1</v>
      </c>
      <c r="H516" s="1" t="n">
        <v>1</v>
      </c>
      <c r="I516" s="10" t="n">
        <v>39970</v>
      </c>
      <c r="J516" s="10" t="n">
        <v>39975</v>
      </c>
      <c r="K516" s="1" t="n">
        <v>5</v>
      </c>
      <c r="L516" s="1" t="n">
        <v>5</v>
      </c>
      <c r="M516" s="3" t="s">
        <v>48</v>
      </c>
      <c r="N516" s="3" t="s">
        <v>49</v>
      </c>
      <c r="O516" s="3" t="s">
        <v>104</v>
      </c>
      <c r="P516" s="2" t="str">
        <f aca="false">CONCATENATE(N516," ",O516)</f>
        <v>Alopecosa taeniata</v>
      </c>
      <c r="Q516" s="1" t="s">
        <v>30</v>
      </c>
      <c r="R516" s="1" t="s">
        <v>31</v>
      </c>
      <c r="S516" s="1" t="n">
        <v>1</v>
      </c>
      <c r="T516" s="1" t="n">
        <v>0</v>
      </c>
      <c r="U516" s="1" t="n">
        <v>0</v>
      </c>
      <c r="V516" s="1" t="n">
        <v>0</v>
      </c>
      <c r="W516" s="1" t="n">
        <v>0</v>
      </c>
      <c r="X516" s="1" t="n">
        <v>0</v>
      </c>
      <c r="Y516" s="3" t="n">
        <f aca="false">SUM(S516:T516)</f>
        <v>1</v>
      </c>
      <c r="Z516" s="3" t="n">
        <f aca="false">SUM(U516:W516)</f>
        <v>0</v>
      </c>
      <c r="AA516" s="3" t="n">
        <f aca="false">SUM(S516:X516)</f>
        <v>1</v>
      </c>
      <c r="AB516" s="11" t="n">
        <f aca="false">(AA516/(K516*L516)*25)*4</f>
        <v>4</v>
      </c>
    </row>
    <row r="517" customFormat="false" ht="14.25" hidden="false" customHeight="false" outlineLevel="0" collapsed="false">
      <c r="A517" s="1" t="n">
        <v>2009</v>
      </c>
      <c r="B517" s="7" t="s">
        <v>322</v>
      </c>
      <c r="C517" s="7" t="n">
        <v>2</v>
      </c>
      <c r="D517" s="7" t="s">
        <v>294</v>
      </c>
      <c r="E517" s="7" t="s">
        <v>294</v>
      </c>
      <c r="F517" s="7" t="s">
        <v>158</v>
      </c>
      <c r="G517" s="1" t="n">
        <v>1</v>
      </c>
      <c r="H517" s="1" t="n">
        <v>1</v>
      </c>
      <c r="I517" s="10" t="n">
        <v>39970</v>
      </c>
      <c r="J517" s="10" t="n">
        <v>39975</v>
      </c>
      <c r="K517" s="1" t="n">
        <v>5</v>
      </c>
      <c r="L517" s="1" t="n">
        <v>5</v>
      </c>
      <c r="M517" s="3" t="s">
        <v>48</v>
      </c>
      <c r="N517" s="3" t="s">
        <v>67</v>
      </c>
      <c r="O517" s="3" t="s">
        <v>127</v>
      </c>
      <c r="P517" s="2" t="str">
        <f aca="false">CONCATENATE(N517," ",O517)</f>
        <v>Pardosa lugubris</v>
      </c>
      <c r="Q517" s="1" t="s">
        <v>30</v>
      </c>
      <c r="R517" s="1" t="s">
        <v>31</v>
      </c>
      <c r="S517" s="1" t="n">
        <v>6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3" t="n">
        <f aca="false">SUM(S517:T517)</f>
        <v>6</v>
      </c>
      <c r="Z517" s="3" t="n">
        <f aca="false">SUM(U517:W517)</f>
        <v>0</v>
      </c>
      <c r="AA517" s="3" t="n">
        <f aca="false">SUM(S517:X517)</f>
        <v>6</v>
      </c>
      <c r="AB517" s="11" t="n">
        <f aca="false">(AA517/(K517*L517)*25)*4</f>
        <v>24</v>
      </c>
    </row>
    <row r="518" customFormat="false" ht="14.25" hidden="false" customHeight="false" outlineLevel="0" collapsed="false">
      <c r="A518" s="1" t="n">
        <v>2009</v>
      </c>
      <c r="B518" s="7" t="s">
        <v>322</v>
      </c>
      <c r="C518" s="7" t="n">
        <v>2</v>
      </c>
      <c r="D518" s="7" t="s">
        <v>294</v>
      </c>
      <c r="E518" s="7" t="s">
        <v>294</v>
      </c>
      <c r="F518" s="7" t="s">
        <v>158</v>
      </c>
      <c r="G518" s="1" t="n">
        <v>1</v>
      </c>
      <c r="H518" s="1" t="n">
        <v>1</v>
      </c>
      <c r="I518" s="10" t="n">
        <v>39970</v>
      </c>
      <c r="J518" s="10" t="n">
        <v>39975</v>
      </c>
      <c r="K518" s="1" t="n">
        <v>5</v>
      </c>
      <c r="L518" s="1" t="n">
        <v>5</v>
      </c>
      <c r="M518" s="3" t="s">
        <v>48</v>
      </c>
      <c r="N518" s="3" t="s">
        <v>67</v>
      </c>
      <c r="O518" s="3" t="s">
        <v>127</v>
      </c>
      <c r="P518" s="2" t="str">
        <f aca="false">CONCATENATE(N518," ",O518)</f>
        <v>Pardosa lugubris</v>
      </c>
      <c r="Q518" s="1" t="s">
        <v>30</v>
      </c>
      <c r="R518" s="1" t="s">
        <v>35</v>
      </c>
      <c r="S518" s="1" t="n">
        <v>0</v>
      </c>
      <c r="T518" s="1" t="n">
        <v>1</v>
      </c>
      <c r="U518" s="1" t="n">
        <v>0</v>
      </c>
      <c r="V518" s="1" t="n">
        <v>0</v>
      </c>
      <c r="W518" s="1" t="n">
        <v>0</v>
      </c>
      <c r="X518" s="1" t="n">
        <v>0</v>
      </c>
      <c r="Y518" s="3" t="n">
        <f aca="false">SUM(S518:T518)</f>
        <v>1</v>
      </c>
      <c r="Z518" s="3" t="n">
        <f aca="false">SUM(U518:W518)</f>
        <v>0</v>
      </c>
      <c r="AA518" s="3" t="n">
        <f aca="false">SUM(S518:X518)</f>
        <v>1</v>
      </c>
      <c r="AB518" s="11" t="n">
        <f aca="false">(AA518/(K518*L518)*25)*4</f>
        <v>4</v>
      </c>
    </row>
    <row r="519" customFormat="false" ht="14.25" hidden="false" customHeight="false" outlineLevel="0" collapsed="false">
      <c r="A519" s="1" t="n">
        <v>2009</v>
      </c>
      <c r="B519" s="7" t="s">
        <v>322</v>
      </c>
      <c r="C519" s="7" t="n">
        <v>2</v>
      </c>
      <c r="D519" s="7" t="s">
        <v>294</v>
      </c>
      <c r="E519" s="7" t="s">
        <v>294</v>
      </c>
      <c r="F519" s="7" t="s">
        <v>158</v>
      </c>
      <c r="G519" s="1" t="n">
        <v>1</v>
      </c>
      <c r="H519" s="1" t="n">
        <v>1</v>
      </c>
      <c r="I519" s="10" t="n">
        <v>39970</v>
      </c>
      <c r="J519" s="10" t="n">
        <v>39975</v>
      </c>
      <c r="K519" s="1" t="n">
        <v>5</v>
      </c>
      <c r="L519" s="1" t="n">
        <v>5</v>
      </c>
      <c r="M519" s="3" t="s">
        <v>48</v>
      </c>
      <c r="N519" s="3" t="s">
        <v>49</v>
      </c>
      <c r="O519" s="3" t="s">
        <v>119</v>
      </c>
      <c r="P519" s="2" t="str">
        <f aca="false">CONCATENATE(N519," ",O519)</f>
        <v>Alopecosa sulzeri</v>
      </c>
      <c r="Q519" s="1" t="s">
        <v>30</v>
      </c>
      <c r="R519" s="1" t="s">
        <v>31</v>
      </c>
      <c r="S519" s="1" t="n">
        <v>1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3" t="n">
        <f aca="false">SUM(S519:T519)</f>
        <v>1</v>
      </c>
      <c r="Z519" s="3" t="n">
        <f aca="false">SUM(U519:W519)</f>
        <v>0</v>
      </c>
      <c r="AA519" s="3" t="n">
        <f aca="false">SUM(S519:X519)</f>
        <v>1</v>
      </c>
      <c r="AB519" s="11" t="n">
        <f aca="false">(AA519/(K519*L519)*25)*4</f>
        <v>4</v>
      </c>
    </row>
    <row r="520" customFormat="false" ht="14.25" hidden="false" customHeight="false" outlineLevel="0" collapsed="false">
      <c r="A520" s="1" t="n">
        <v>2009</v>
      </c>
      <c r="B520" s="7" t="s">
        <v>322</v>
      </c>
      <c r="C520" s="7" t="n">
        <v>2</v>
      </c>
      <c r="D520" s="7" t="s">
        <v>294</v>
      </c>
      <c r="E520" s="7" t="s">
        <v>294</v>
      </c>
      <c r="F520" s="7" t="s">
        <v>158</v>
      </c>
      <c r="G520" s="1" t="n">
        <v>1</v>
      </c>
      <c r="H520" s="1" t="n">
        <v>1</v>
      </c>
      <c r="I520" s="10" t="n">
        <v>39970</v>
      </c>
      <c r="J520" s="10" t="n">
        <v>39975</v>
      </c>
      <c r="K520" s="1" t="n">
        <v>5</v>
      </c>
      <c r="L520" s="1" t="n">
        <v>5</v>
      </c>
      <c r="M520" s="3" t="s">
        <v>36</v>
      </c>
      <c r="N520" s="3" t="s">
        <v>131</v>
      </c>
      <c r="O520" s="3" t="s">
        <v>133</v>
      </c>
      <c r="P520" s="2" t="str">
        <f aca="false">CONCATENATE(N520," ",O520)</f>
        <v>Xysticus luctuosus</v>
      </c>
      <c r="Q520" s="1" t="s">
        <v>30</v>
      </c>
      <c r="R520" s="1" t="s">
        <v>31</v>
      </c>
      <c r="S520" s="1" t="n">
        <v>1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3" t="n">
        <f aca="false">SUM(S520:T520)</f>
        <v>1</v>
      </c>
      <c r="Z520" s="3" t="n">
        <f aca="false">SUM(U520:W520)</f>
        <v>0</v>
      </c>
      <c r="AA520" s="3" t="n">
        <f aca="false">SUM(S520:X520)</f>
        <v>1</v>
      </c>
      <c r="AB520" s="11" t="n">
        <f aca="false">(AA520/(K520*L520)*25)*4</f>
        <v>4</v>
      </c>
    </row>
    <row r="521" customFormat="false" ht="14.25" hidden="false" customHeight="false" outlineLevel="0" collapsed="false">
      <c r="A521" s="1" t="n">
        <v>2009</v>
      </c>
      <c r="B521" s="7" t="s">
        <v>322</v>
      </c>
      <c r="C521" s="7" t="n">
        <v>2</v>
      </c>
      <c r="D521" s="7" t="s">
        <v>294</v>
      </c>
      <c r="E521" s="7" t="s">
        <v>294</v>
      </c>
      <c r="F521" s="7" t="s">
        <v>158</v>
      </c>
      <c r="G521" s="1" t="n">
        <v>1</v>
      </c>
      <c r="H521" s="1" t="n">
        <v>1</v>
      </c>
      <c r="I521" s="10" t="n">
        <v>39970</v>
      </c>
      <c r="J521" s="10" t="n">
        <v>39975</v>
      </c>
      <c r="K521" s="1" t="n">
        <v>5</v>
      </c>
      <c r="L521" s="1" t="n">
        <v>5</v>
      </c>
      <c r="M521" s="3" t="s">
        <v>32</v>
      </c>
      <c r="N521" s="3" t="s">
        <v>55</v>
      </c>
      <c r="O521" s="3" t="s">
        <v>194</v>
      </c>
      <c r="P521" s="2" t="str">
        <f aca="false">CONCATENATE(N521," ",O521)</f>
        <v>Maro pansibiricus</v>
      </c>
      <c r="Q521" s="1" t="s">
        <v>30</v>
      </c>
      <c r="R521" s="1" t="s">
        <v>31</v>
      </c>
      <c r="S521" s="1" t="n">
        <v>3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3" t="n">
        <f aca="false">SUM(S521:T521)</f>
        <v>3</v>
      </c>
      <c r="Z521" s="3" t="n">
        <f aca="false">SUM(U521:W521)</f>
        <v>0</v>
      </c>
      <c r="AA521" s="3" t="n">
        <f aca="false">SUM(S521:X521)</f>
        <v>3</v>
      </c>
      <c r="AB521" s="11" t="n">
        <f aca="false">(AA521/(K521*L521)*25)*4</f>
        <v>12</v>
      </c>
    </row>
    <row r="522" customFormat="false" ht="14.25" hidden="false" customHeight="false" outlineLevel="0" collapsed="false">
      <c r="A522" s="1" t="n">
        <v>2009</v>
      </c>
      <c r="B522" s="7" t="s">
        <v>322</v>
      </c>
      <c r="C522" s="7" t="n">
        <v>2</v>
      </c>
      <c r="D522" s="7" t="s">
        <v>294</v>
      </c>
      <c r="E522" s="7" t="s">
        <v>294</v>
      </c>
      <c r="F522" s="7" t="s">
        <v>158</v>
      </c>
      <c r="G522" s="1" t="n">
        <v>1</v>
      </c>
      <c r="H522" s="1" t="n">
        <v>1</v>
      </c>
      <c r="I522" s="10" t="n">
        <v>39970</v>
      </c>
      <c r="J522" s="10" t="n">
        <v>39975</v>
      </c>
      <c r="K522" s="1" t="n">
        <v>5</v>
      </c>
      <c r="L522" s="1" t="n">
        <v>5</v>
      </c>
      <c r="M522" s="13" t="s">
        <v>32</v>
      </c>
      <c r="N522" s="13" t="s">
        <v>96</v>
      </c>
      <c r="O522" s="14" t="s">
        <v>97</v>
      </c>
      <c r="P522" s="2" t="str">
        <f aca="false">CONCATENATE(N522," ",O522)</f>
        <v>Diplocephalus picinus</v>
      </c>
      <c r="Q522" s="1" t="s">
        <v>30</v>
      </c>
      <c r="R522" s="1" t="s">
        <v>31</v>
      </c>
      <c r="S522" s="1" t="n">
        <v>1</v>
      </c>
      <c r="T522" s="1" t="n">
        <v>0</v>
      </c>
      <c r="U522" s="1" t="n">
        <v>0</v>
      </c>
      <c r="V522" s="1" t="n">
        <v>0</v>
      </c>
      <c r="W522" s="1" t="n">
        <v>0</v>
      </c>
      <c r="X522" s="1" t="n">
        <v>0</v>
      </c>
      <c r="Y522" s="3" t="n">
        <f aca="false">SUM(S522:T522)</f>
        <v>1</v>
      </c>
      <c r="Z522" s="3" t="n">
        <f aca="false">SUM(U522:W522)</f>
        <v>0</v>
      </c>
      <c r="AA522" s="3" t="n">
        <f aca="false">SUM(S522:X522)</f>
        <v>1</v>
      </c>
      <c r="AB522" s="11" t="n">
        <f aca="false">(AA522/(K522*L522)*25)*4</f>
        <v>4</v>
      </c>
    </row>
    <row r="523" customFormat="false" ht="14.25" hidden="false" customHeight="false" outlineLevel="0" collapsed="false">
      <c r="A523" s="1" t="n">
        <v>2009</v>
      </c>
      <c r="B523" s="7" t="s">
        <v>322</v>
      </c>
      <c r="C523" s="7" t="n">
        <v>2</v>
      </c>
      <c r="D523" s="7" t="s">
        <v>294</v>
      </c>
      <c r="E523" s="7" t="s">
        <v>294</v>
      </c>
      <c r="F523" s="7" t="s">
        <v>158</v>
      </c>
      <c r="G523" s="1" t="n">
        <v>1</v>
      </c>
      <c r="H523" s="1" t="n">
        <v>1</v>
      </c>
      <c r="I523" s="10" t="n">
        <v>39970</v>
      </c>
      <c r="J523" s="10" t="n">
        <v>39975</v>
      </c>
      <c r="K523" s="1" t="n">
        <v>5</v>
      </c>
      <c r="L523" s="1" t="n">
        <v>5</v>
      </c>
      <c r="M523" s="13" t="s">
        <v>32</v>
      </c>
      <c r="N523" s="13" t="s">
        <v>202</v>
      </c>
      <c r="O523" s="14" t="s">
        <v>203</v>
      </c>
      <c r="P523" s="2" t="str">
        <f aca="false">CONCATENATE(N523," ",O523)</f>
        <v>Hypselistes jacksoni</v>
      </c>
      <c r="Q523" s="1" t="s">
        <v>30</v>
      </c>
      <c r="R523" s="1" t="s">
        <v>35</v>
      </c>
      <c r="S523" s="1" t="n">
        <v>0</v>
      </c>
      <c r="T523" s="1" t="n">
        <v>1</v>
      </c>
      <c r="U523" s="1" t="n">
        <v>0</v>
      </c>
      <c r="V523" s="1" t="n">
        <v>0</v>
      </c>
      <c r="W523" s="1" t="n">
        <v>0</v>
      </c>
      <c r="X523" s="1" t="n">
        <v>0</v>
      </c>
      <c r="Y523" s="3" t="n">
        <f aca="false">SUM(S523:T523)</f>
        <v>1</v>
      </c>
      <c r="Z523" s="3" t="n">
        <f aca="false">SUM(U523:W523)</f>
        <v>0</v>
      </c>
      <c r="AA523" s="3" t="n">
        <f aca="false">SUM(S523:X523)</f>
        <v>1</v>
      </c>
      <c r="AB523" s="11" t="n">
        <f aca="false">(AA523/(K523*L523)*25)*4</f>
        <v>4</v>
      </c>
    </row>
    <row r="524" customFormat="false" ht="14.25" hidden="false" customHeight="false" outlineLevel="0" collapsed="false">
      <c r="A524" s="1" t="n">
        <v>2009</v>
      </c>
      <c r="B524" s="7" t="s">
        <v>322</v>
      </c>
      <c r="C524" s="7" t="n">
        <v>2</v>
      </c>
      <c r="D524" s="7" t="s">
        <v>294</v>
      </c>
      <c r="E524" s="7" t="s">
        <v>294</v>
      </c>
      <c r="F524" s="7" t="s">
        <v>158</v>
      </c>
      <c r="G524" s="1" t="n">
        <v>1</v>
      </c>
      <c r="H524" s="1" t="n">
        <v>2</v>
      </c>
      <c r="I524" s="10" t="n">
        <v>39970</v>
      </c>
      <c r="J524" s="10" t="n">
        <v>39975</v>
      </c>
      <c r="K524" s="1" t="n">
        <v>5</v>
      </c>
      <c r="L524" s="1" t="n">
        <v>5</v>
      </c>
      <c r="M524" s="3" t="s">
        <v>48</v>
      </c>
      <c r="N524" s="3" t="s">
        <v>49</v>
      </c>
      <c r="O524" s="3" t="s">
        <v>104</v>
      </c>
      <c r="P524" s="2" t="str">
        <f aca="false">CONCATENATE(N524," ",O524)</f>
        <v>Alopecosa taeniata</v>
      </c>
      <c r="Q524" s="1" t="s">
        <v>30</v>
      </c>
      <c r="R524" s="1" t="s">
        <v>31</v>
      </c>
      <c r="S524" s="1" t="n">
        <v>1</v>
      </c>
      <c r="T524" s="1" t="n">
        <v>0</v>
      </c>
      <c r="U524" s="1" t="n">
        <v>0</v>
      </c>
      <c r="V524" s="1" t="n">
        <v>0</v>
      </c>
      <c r="W524" s="1" t="n">
        <v>0</v>
      </c>
      <c r="X524" s="1" t="n">
        <v>0</v>
      </c>
      <c r="Y524" s="3" t="n">
        <f aca="false">SUM(S524:T524)</f>
        <v>1</v>
      </c>
      <c r="Z524" s="3" t="n">
        <f aca="false">SUM(U524:W524)</f>
        <v>0</v>
      </c>
      <c r="AA524" s="3" t="n">
        <f aca="false">SUM(S524:X524)</f>
        <v>1</v>
      </c>
      <c r="AB524" s="11" t="n">
        <f aca="false">(AA524/(K524*L524)*25)*4</f>
        <v>4</v>
      </c>
    </row>
    <row r="525" customFormat="false" ht="14.25" hidden="false" customHeight="false" outlineLevel="0" collapsed="false">
      <c r="A525" s="1" t="n">
        <v>2009</v>
      </c>
      <c r="B525" s="7" t="s">
        <v>322</v>
      </c>
      <c r="C525" s="7" t="n">
        <v>2</v>
      </c>
      <c r="D525" s="7" t="s">
        <v>294</v>
      </c>
      <c r="E525" s="7" t="s">
        <v>294</v>
      </c>
      <c r="F525" s="7" t="s">
        <v>158</v>
      </c>
      <c r="G525" s="1" t="n">
        <v>1</v>
      </c>
      <c r="H525" s="1" t="n">
        <v>2</v>
      </c>
      <c r="I525" s="10" t="n">
        <v>39970</v>
      </c>
      <c r="J525" s="10" t="n">
        <v>39975</v>
      </c>
      <c r="K525" s="1" t="n">
        <v>5</v>
      </c>
      <c r="L525" s="1" t="n">
        <v>5</v>
      </c>
      <c r="M525" s="3" t="s">
        <v>48</v>
      </c>
      <c r="N525" s="3" t="s">
        <v>67</v>
      </c>
      <c r="O525" s="3" t="s">
        <v>127</v>
      </c>
      <c r="P525" s="2" t="str">
        <f aca="false">CONCATENATE(N525," ",O525)</f>
        <v>Pardosa lugubris</v>
      </c>
      <c r="Q525" s="1" t="s">
        <v>30</v>
      </c>
      <c r="R525" s="1" t="s">
        <v>31</v>
      </c>
      <c r="S525" s="1" t="n">
        <v>4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3" t="n">
        <f aca="false">SUM(S525:T525)</f>
        <v>4</v>
      </c>
      <c r="Z525" s="3" t="n">
        <f aca="false">SUM(U525:W525)</f>
        <v>0</v>
      </c>
      <c r="AA525" s="3" t="n">
        <f aca="false">SUM(S525:X525)</f>
        <v>4</v>
      </c>
      <c r="AB525" s="11" t="n">
        <f aca="false">(AA525/(K525*L525)*25)*4</f>
        <v>16</v>
      </c>
    </row>
    <row r="526" customFormat="false" ht="14.25" hidden="false" customHeight="false" outlineLevel="0" collapsed="false">
      <c r="A526" s="1" t="n">
        <v>2009</v>
      </c>
      <c r="B526" s="7" t="s">
        <v>322</v>
      </c>
      <c r="C526" s="7" t="n">
        <v>2</v>
      </c>
      <c r="D526" s="7" t="s">
        <v>294</v>
      </c>
      <c r="E526" s="7" t="s">
        <v>294</v>
      </c>
      <c r="F526" s="7" t="s">
        <v>158</v>
      </c>
      <c r="G526" s="1" t="n">
        <v>1</v>
      </c>
      <c r="H526" s="1" t="n">
        <v>2</v>
      </c>
      <c r="I526" s="10" t="n">
        <v>39970</v>
      </c>
      <c r="J526" s="10" t="n">
        <v>39975</v>
      </c>
      <c r="K526" s="1" t="n">
        <v>5</v>
      </c>
      <c r="L526" s="1" t="n">
        <v>5</v>
      </c>
      <c r="M526" s="3" t="s">
        <v>48</v>
      </c>
      <c r="N526" s="3" t="s">
        <v>67</v>
      </c>
      <c r="O526" s="3" t="s">
        <v>127</v>
      </c>
      <c r="P526" s="2" t="str">
        <f aca="false">CONCATENATE(N526," ",O526)</f>
        <v>Pardosa lugubris</v>
      </c>
      <c r="Q526" s="1" t="s">
        <v>30</v>
      </c>
      <c r="R526" s="1" t="s">
        <v>35</v>
      </c>
      <c r="S526" s="1" t="n">
        <v>0</v>
      </c>
      <c r="T526" s="1" t="n">
        <v>2</v>
      </c>
      <c r="U526" s="1" t="n">
        <v>0</v>
      </c>
      <c r="V526" s="1" t="n">
        <v>0</v>
      </c>
      <c r="W526" s="1" t="n">
        <v>0</v>
      </c>
      <c r="X526" s="1" t="n">
        <v>0</v>
      </c>
      <c r="Y526" s="3" t="n">
        <f aca="false">SUM(S526:T526)</f>
        <v>2</v>
      </c>
      <c r="Z526" s="3" t="n">
        <f aca="false">SUM(U526:W526)</f>
        <v>0</v>
      </c>
      <c r="AA526" s="3" t="n">
        <f aca="false">SUM(S526:X526)</f>
        <v>2</v>
      </c>
      <c r="AB526" s="11" t="n">
        <f aca="false">(AA526/(K526*L526)*25)*4</f>
        <v>8</v>
      </c>
    </row>
    <row r="527" customFormat="false" ht="14.25" hidden="false" customHeight="false" outlineLevel="0" collapsed="false">
      <c r="A527" s="1" t="n">
        <v>2009</v>
      </c>
      <c r="B527" s="7" t="s">
        <v>322</v>
      </c>
      <c r="C527" s="7" t="n">
        <v>2</v>
      </c>
      <c r="D527" s="7" t="s">
        <v>294</v>
      </c>
      <c r="E527" s="7" t="s">
        <v>294</v>
      </c>
      <c r="F527" s="7" t="s">
        <v>158</v>
      </c>
      <c r="G527" s="1" t="n">
        <v>1</v>
      </c>
      <c r="H527" s="1" t="n">
        <v>3</v>
      </c>
      <c r="I527" s="10" t="n">
        <v>39970</v>
      </c>
      <c r="J527" s="10" t="n">
        <v>39975</v>
      </c>
      <c r="K527" s="1" t="n">
        <v>5</v>
      </c>
      <c r="L527" s="1" t="n">
        <v>5</v>
      </c>
      <c r="M527" s="3" t="s">
        <v>48</v>
      </c>
      <c r="N527" s="3" t="s">
        <v>49</v>
      </c>
      <c r="O527" s="3" t="s">
        <v>104</v>
      </c>
      <c r="P527" s="2" t="str">
        <f aca="false">CONCATENATE(N527," ",O527)</f>
        <v>Alopecosa taeniata</v>
      </c>
      <c r="Q527" s="1" t="s">
        <v>30</v>
      </c>
      <c r="R527" s="1" t="s">
        <v>31</v>
      </c>
      <c r="S527" s="1" t="n">
        <v>4</v>
      </c>
      <c r="T527" s="1" t="n">
        <v>0</v>
      </c>
      <c r="U527" s="1" t="n">
        <v>0</v>
      </c>
      <c r="V527" s="1" t="n">
        <v>0</v>
      </c>
      <c r="W527" s="1" t="n">
        <v>0</v>
      </c>
      <c r="X527" s="1" t="n">
        <v>0</v>
      </c>
      <c r="Y527" s="3" t="n">
        <f aca="false">SUM(S527:T527)</f>
        <v>4</v>
      </c>
      <c r="Z527" s="3" t="n">
        <f aca="false">SUM(U527:W527)</f>
        <v>0</v>
      </c>
      <c r="AA527" s="3" t="n">
        <f aca="false">SUM(S527:X527)</f>
        <v>4</v>
      </c>
      <c r="AB527" s="11" t="n">
        <f aca="false">(AA527/(K527*L527)*25)*4</f>
        <v>16</v>
      </c>
    </row>
    <row r="528" customFormat="false" ht="14.25" hidden="false" customHeight="false" outlineLevel="0" collapsed="false">
      <c r="A528" s="1" t="n">
        <v>2009</v>
      </c>
      <c r="B528" s="7" t="s">
        <v>322</v>
      </c>
      <c r="C528" s="7" t="n">
        <v>2</v>
      </c>
      <c r="D528" s="7" t="s">
        <v>294</v>
      </c>
      <c r="E528" s="7" t="s">
        <v>294</v>
      </c>
      <c r="F528" s="7" t="s">
        <v>158</v>
      </c>
      <c r="G528" s="1" t="n">
        <v>1</v>
      </c>
      <c r="H528" s="1" t="n">
        <v>3</v>
      </c>
      <c r="I528" s="10" t="n">
        <v>39970</v>
      </c>
      <c r="J528" s="10" t="n">
        <v>39975</v>
      </c>
      <c r="K528" s="1" t="n">
        <v>5</v>
      </c>
      <c r="L528" s="1" t="n">
        <v>5</v>
      </c>
      <c r="M528" s="3" t="s">
        <v>48</v>
      </c>
      <c r="N528" s="3" t="s">
        <v>49</v>
      </c>
      <c r="O528" s="3" t="s">
        <v>104</v>
      </c>
      <c r="P528" s="2" t="str">
        <f aca="false">CONCATENATE(N528," ",O528)</f>
        <v>Alopecosa taeniata</v>
      </c>
      <c r="Q528" s="1" t="s">
        <v>30</v>
      </c>
      <c r="R528" s="1" t="s">
        <v>35</v>
      </c>
      <c r="S528" s="1" t="n">
        <v>0</v>
      </c>
      <c r="T528" s="1" t="n">
        <v>2</v>
      </c>
      <c r="U528" s="1" t="n">
        <v>0</v>
      </c>
      <c r="V528" s="1" t="n">
        <v>0</v>
      </c>
      <c r="W528" s="1" t="n">
        <v>0</v>
      </c>
      <c r="X528" s="1" t="n">
        <v>0</v>
      </c>
      <c r="Y528" s="3" t="n">
        <f aca="false">SUM(S528:T528)</f>
        <v>2</v>
      </c>
      <c r="Z528" s="3" t="n">
        <f aca="false">SUM(U528:W528)</f>
        <v>0</v>
      </c>
      <c r="AA528" s="3" t="n">
        <f aca="false">SUM(S528:X528)</f>
        <v>2</v>
      </c>
      <c r="AB528" s="11" t="n">
        <f aca="false">(AA528/(K528*L528)*25)*4</f>
        <v>8</v>
      </c>
    </row>
    <row r="529" customFormat="false" ht="14.25" hidden="false" customHeight="false" outlineLevel="0" collapsed="false">
      <c r="A529" s="1" t="n">
        <v>2009</v>
      </c>
      <c r="B529" s="7" t="s">
        <v>322</v>
      </c>
      <c r="C529" s="7" t="n">
        <v>2</v>
      </c>
      <c r="D529" s="7" t="s">
        <v>294</v>
      </c>
      <c r="E529" s="7" t="s">
        <v>294</v>
      </c>
      <c r="F529" s="7" t="s">
        <v>158</v>
      </c>
      <c r="G529" s="1" t="n">
        <v>1</v>
      </c>
      <c r="H529" s="1" t="n">
        <v>3</v>
      </c>
      <c r="I529" s="10" t="n">
        <v>39970</v>
      </c>
      <c r="J529" s="10" t="n">
        <v>39975</v>
      </c>
      <c r="K529" s="1" t="n">
        <v>5</v>
      </c>
      <c r="L529" s="1" t="n">
        <v>5</v>
      </c>
      <c r="M529" s="3" t="s">
        <v>48</v>
      </c>
      <c r="N529" s="3" t="s">
        <v>67</v>
      </c>
      <c r="O529" s="3" t="s">
        <v>127</v>
      </c>
      <c r="P529" s="2" t="str">
        <f aca="false">CONCATENATE(N529," ",O529)</f>
        <v>Pardosa lugubris</v>
      </c>
      <c r="Q529" s="1" t="s">
        <v>30</v>
      </c>
      <c r="R529" s="1" t="s">
        <v>31</v>
      </c>
      <c r="S529" s="1" t="n">
        <v>3</v>
      </c>
      <c r="T529" s="1" t="n">
        <v>0</v>
      </c>
      <c r="U529" s="1" t="n">
        <v>0</v>
      </c>
      <c r="V529" s="1" t="n">
        <v>0</v>
      </c>
      <c r="W529" s="1" t="n">
        <v>0</v>
      </c>
      <c r="X529" s="1" t="n">
        <v>0</v>
      </c>
      <c r="Y529" s="3" t="n">
        <f aca="false">SUM(S529:T529)</f>
        <v>3</v>
      </c>
      <c r="Z529" s="3" t="n">
        <f aca="false">SUM(U529:W529)</f>
        <v>0</v>
      </c>
      <c r="AA529" s="3" t="n">
        <f aca="false">SUM(S529:X529)</f>
        <v>3</v>
      </c>
      <c r="AB529" s="11" t="n">
        <f aca="false">(AA529/(K529*L529)*25)*4</f>
        <v>12</v>
      </c>
    </row>
    <row r="530" customFormat="false" ht="14.25" hidden="false" customHeight="false" outlineLevel="0" collapsed="false">
      <c r="A530" s="1" t="n">
        <v>2009</v>
      </c>
      <c r="B530" s="7" t="s">
        <v>322</v>
      </c>
      <c r="C530" s="7" t="n">
        <v>2</v>
      </c>
      <c r="D530" s="7" t="s">
        <v>294</v>
      </c>
      <c r="E530" s="7" t="s">
        <v>294</v>
      </c>
      <c r="F530" s="7" t="s">
        <v>158</v>
      </c>
      <c r="G530" s="1" t="n">
        <v>1</v>
      </c>
      <c r="H530" s="1" t="n">
        <v>3</v>
      </c>
      <c r="I530" s="10" t="n">
        <v>39970</v>
      </c>
      <c r="J530" s="10" t="n">
        <v>39975</v>
      </c>
      <c r="K530" s="1" t="n">
        <v>5</v>
      </c>
      <c r="L530" s="1" t="n">
        <v>5</v>
      </c>
      <c r="M530" s="3" t="s">
        <v>48</v>
      </c>
      <c r="N530" s="3" t="s">
        <v>67</v>
      </c>
      <c r="O530" s="3" t="s">
        <v>127</v>
      </c>
      <c r="P530" s="2" t="str">
        <f aca="false">CONCATENATE(N530," ",O530)</f>
        <v>Pardosa lugubris</v>
      </c>
      <c r="Q530" s="1" t="s">
        <v>30</v>
      </c>
      <c r="R530" s="1" t="s">
        <v>35</v>
      </c>
      <c r="S530" s="1" t="n">
        <v>0</v>
      </c>
      <c r="T530" s="1" t="n">
        <v>1</v>
      </c>
      <c r="U530" s="1" t="n">
        <v>0</v>
      </c>
      <c r="V530" s="1" t="n">
        <v>0</v>
      </c>
      <c r="W530" s="1" t="n">
        <v>0</v>
      </c>
      <c r="X530" s="1" t="n">
        <v>0</v>
      </c>
      <c r="Y530" s="3" t="n">
        <f aca="false">SUM(S530:T530)</f>
        <v>1</v>
      </c>
      <c r="Z530" s="3" t="n">
        <f aca="false">SUM(U530:W530)</f>
        <v>0</v>
      </c>
      <c r="AA530" s="3" t="n">
        <f aca="false">SUM(S530:X530)</f>
        <v>1</v>
      </c>
      <c r="AB530" s="11" t="n">
        <f aca="false">(AA530/(K530*L530)*25)*4</f>
        <v>4</v>
      </c>
    </row>
    <row r="531" customFormat="false" ht="14.25" hidden="false" customHeight="false" outlineLevel="0" collapsed="false">
      <c r="A531" s="1" t="n">
        <v>2009</v>
      </c>
      <c r="B531" s="7" t="s">
        <v>322</v>
      </c>
      <c r="C531" s="7" t="n">
        <v>2</v>
      </c>
      <c r="D531" s="7" t="s">
        <v>294</v>
      </c>
      <c r="E531" s="7" t="s">
        <v>294</v>
      </c>
      <c r="F531" s="7" t="s">
        <v>158</v>
      </c>
      <c r="G531" s="1" t="n">
        <v>1</v>
      </c>
      <c r="H531" s="1" t="n">
        <v>3</v>
      </c>
      <c r="I531" s="10" t="n">
        <v>39970</v>
      </c>
      <c r="J531" s="10" t="n">
        <v>39975</v>
      </c>
      <c r="K531" s="1" t="n">
        <v>5</v>
      </c>
      <c r="L531" s="1" t="n">
        <v>5</v>
      </c>
      <c r="M531" s="3" t="s">
        <v>48</v>
      </c>
      <c r="N531" s="3" t="s">
        <v>61</v>
      </c>
      <c r="O531" s="3" t="s">
        <v>82</v>
      </c>
      <c r="P531" s="2" t="str">
        <f aca="false">CONCATENATE(N531," ",O531)</f>
        <v>Trochosa terricola</v>
      </c>
      <c r="Q531" s="1" t="s">
        <v>30</v>
      </c>
      <c r="R531" s="1" t="s">
        <v>31</v>
      </c>
      <c r="S531" s="1" t="n">
        <v>1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0</v>
      </c>
      <c r="Y531" s="3" t="n">
        <f aca="false">SUM(S531:T531)</f>
        <v>1</v>
      </c>
      <c r="Z531" s="3" t="n">
        <f aca="false">SUM(U531:W531)</f>
        <v>0</v>
      </c>
      <c r="AA531" s="3" t="n">
        <f aca="false">SUM(S531:X531)</f>
        <v>1</v>
      </c>
      <c r="AB531" s="11" t="n">
        <f aca="false">(AA531/(K531*L531)*25)*4</f>
        <v>4</v>
      </c>
    </row>
    <row r="532" customFormat="false" ht="14.25" hidden="false" customHeight="false" outlineLevel="0" collapsed="false">
      <c r="A532" s="1" t="n">
        <v>2009</v>
      </c>
      <c r="B532" s="7" t="s">
        <v>322</v>
      </c>
      <c r="C532" s="7" t="n">
        <v>2</v>
      </c>
      <c r="D532" s="7" t="s">
        <v>294</v>
      </c>
      <c r="E532" s="7" t="s">
        <v>294</v>
      </c>
      <c r="F532" s="7" t="s">
        <v>158</v>
      </c>
      <c r="G532" s="1" t="n">
        <v>1</v>
      </c>
      <c r="H532" s="1" t="n">
        <v>3</v>
      </c>
      <c r="I532" s="10" t="n">
        <v>39970</v>
      </c>
      <c r="J532" s="10" t="n">
        <v>39975</v>
      </c>
      <c r="K532" s="1" t="n">
        <v>5</v>
      </c>
      <c r="L532" s="1" t="n">
        <v>5</v>
      </c>
      <c r="M532" s="3" t="s">
        <v>48</v>
      </c>
      <c r="N532" s="3" t="s">
        <v>67</v>
      </c>
      <c r="O532" s="3" t="s">
        <v>204</v>
      </c>
      <c r="P532" s="2" t="str">
        <f aca="false">CONCATENATE(N532," ",O532)</f>
        <v>Pardosa palustris</v>
      </c>
      <c r="Q532" s="1" t="s">
        <v>30</v>
      </c>
      <c r="R532" s="1" t="s">
        <v>31</v>
      </c>
      <c r="S532" s="1" t="n">
        <v>1</v>
      </c>
      <c r="T532" s="1" t="n">
        <v>0</v>
      </c>
      <c r="U532" s="1" t="n">
        <v>0</v>
      </c>
      <c r="V532" s="1" t="n">
        <v>0</v>
      </c>
      <c r="W532" s="1" t="n">
        <v>0</v>
      </c>
      <c r="X532" s="1" t="n">
        <v>0</v>
      </c>
      <c r="Y532" s="3" t="n">
        <f aca="false">SUM(S532:T532)</f>
        <v>1</v>
      </c>
      <c r="Z532" s="3" t="n">
        <f aca="false">SUM(U532:W532)</f>
        <v>0</v>
      </c>
      <c r="AA532" s="3" t="n">
        <f aca="false">SUM(S532:X532)</f>
        <v>1</v>
      </c>
      <c r="AB532" s="11" t="n">
        <f aca="false">(AA532/(K532*L532)*25)*4</f>
        <v>4</v>
      </c>
    </row>
    <row r="533" customFormat="false" ht="14.25" hidden="false" customHeight="false" outlineLevel="0" collapsed="false">
      <c r="A533" s="1" t="n">
        <v>2009</v>
      </c>
      <c r="B533" s="7" t="s">
        <v>322</v>
      </c>
      <c r="C533" s="7" t="n">
        <v>2</v>
      </c>
      <c r="D533" s="7" t="s">
        <v>294</v>
      </c>
      <c r="E533" s="7" t="s">
        <v>294</v>
      </c>
      <c r="F533" s="7" t="s">
        <v>158</v>
      </c>
      <c r="G533" s="1" t="n">
        <v>1</v>
      </c>
      <c r="H533" s="1" t="n">
        <v>3</v>
      </c>
      <c r="I533" s="10" t="n">
        <v>39970</v>
      </c>
      <c r="J533" s="10" t="n">
        <v>39975</v>
      </c>
      <c r="K533" s="1" t="n">
        <v>5</v>
      </c>
      <c r="L533" s="1" t="n">
        <v>5</v>
      </c>
      <c r="M533" s="3" t="s">
        <v>48</v>
      </c>
      <c r="N533" s="3" t="s">
        <v>49</v>
      </c>
      <c r="O533" s="3" t="s">
        <v>119</v>
      </c>
      <c r="P533" s="2" t="str">
        <f aca="false">CONCATENATE(N533," ",O533)</f>
        <v>Alopecosa sulzeri</v>
      </c>
      <c r="Q533" s="1" t="s">
        <v>30</v>
      </c>
      <c r="R533" s="1" t="s">
        <v>31</v>
      </c>
      <c r="S533" s="1" t="n">
        <v>1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  <c r="Y533" s="3" t="n">
        <f aca="false">SUM(S533:T533)</f>
        <v>1</v>
      </c>
      <c r="Z533" s="3" t="n">
        <f aca="false">SUM(U533:W533)</f>
        <v>0</v>
      </c>
      <c r="AA533" s="3" t="n">
        <f aca="false">SUM(S533:X533)</f>
        <v>1</v>
      </c>
      <c r="AB533" s="11" t="n">
        <f aca="false">(AA533/(K533*L533)*25)*4</f>
        <v>4</v>
      </c>
    </row>
    <row r="534" customFormat="false" ht="14.25" hidden="false" customHeight="false" outlineLevel="0" collapsed="false">
      <c r="A534" s="1" t="n">
        <v>2009</v>
      </c>
      <c r="B534" s="7" t="s">
        <v>322</v>
      </c>
      <c r="C534" s="7" t="n">
        <v>2</v>
      </c>
      <c r="D534" s="7" t="s">
        <v>294</v>
      </c>
      <c r="E534" s="7" t="s">
        <v>294</v>
      </c>
      <c r="F534" s="7" t="s">
        <v>158</v>
      </c>
      <c r="G534" s="1" t="n">
        <v>1</v>
      </c>
      <c r="H534" s="1" t="n">
        <v>3</v>
      </c>
      <c r="I534" s="10" t="n">
        <v>39970</v>
      </c>
      <c r="J534" s="10" t="n">
        <v>39975</v>
      </c>
      <c r="K534" s="1" t="n">
        <v>5</v>
      </c>
      <c r="L534" s="1" t="n">
        <v>5</v>
      </c>
      <c r="M534" s="3" t="s">
        <v>48</v>
      </c>
      <c r="N534" s="3" t="s">
        <v>49</v>
      </c>
      <c r="O534" s="3" t="s">
        <v>119</v>
      </c>
      <c r="P534" s="2" t="str">
        <f aca="false">CONCATENATE(N534," ",O534)</f>
        <v>Alopecosa sulzeri</v>
      </c>
      <c r="Q534" s="1" t="s">
        <v>30</v>
      </c>
      <c r="R534" s="1" t="s">
        <v>35</v>
      </c>
      <c r="S534" s="1" t="n">
        <v>0</v>
      </c>
      <c r="T534" s="1" t="n">
        <v>1</v>
      </c>
      <c r="U534" s="1" t="n">
        <v>0</v>
      </c>
      <c r="V534" s="1" t="n">
        <v>0</v>
      </c>
      <c r="W534" s="1" t="n">
        <v>0</v>
      </c>
      <c r="X534" s="1" t="n">
        <v>0</v>
      </c>
      <c r="Y534" s="3" t="n">
        <f aca="false">SUM(S534:T534)</f>
        <v>1</v>
      </c>
      <c r="Z534" s="3" t="n">
        <f aca="false">SUM(U534:W534)</f>
        <v>0</v>
      </c>
      <c r="AA534" s="3" t="n">
        <f aca="false">SUM(S534:X534)</f>
        <v>1</v>
      </c>
      <c r="AB534" s="11" t="n">
        <f aca="false">(AA534/(K534*L534)*25)*4</f>
        <v>4</v>
      </c>
    </row>
    <row r="535" customFormat="false" ht="14.25" hidden="false" customHeight="false" outlineLevel="0" collapsed="false">
      <c r="A535" s="1" t="n">
        <v>2009</v>
      </c>
      <c r="B535" s="7" t="s">
        <v>322</v>
      </c>
      <c r="C535" s="7" t="n">
        <v>2</v>
      </c>
      <c r="D535" s="7" t="s">
        <v>294</v>
      </c>
      <c r="E535" s="7" t="s">
        <v>294</v>
      </c>
      <c r="F535" s="7" t="s">
        <v>158</v>
      </c>
      <c r="G535" s="1" t="n">
        <v>1</v>
      </c>
      <c r="H535" s="1" t="n">
        <v>3</v>
      </c>
      <c r="I535" s="10" t="n">
        <v>39970</v>
      </c>
      <c r="J535" s="10" t="n">
        <v>39975</v>
      </c>
      <c r="K535" s="1" t="n">
        <v>5</v>
      </c>
      <c r="L535" s="1" t="n">
        <v>5</v>
      </c>
      <c r="M535" s="13" t="s">
        <v>195</v>
      </c>
      <c r="N535" s="13" t="s">
        <v>196</v>
      </c>
      <c r="O535" s="14" t="s">
        <v>197</v>
      </c>
      <c r="P535" s="2" t="str">
        <f aca="false">CONCATENATE(N535," ",O535)</f>
        <v>Pachygnatha listeri</v>
      </c>
      <c r="Q535" s="1" t="s">
        <v>30</v>
      </c>
      <c r="R535" s="1" t="s">
        <v>35</v>
      </c>
      <c r="S535" s="1" t="n">
        <v>0</v>
      </c>
      <c r="T535" s="1" t="n">
        <v>1</v>
      </c>
      <c r="U535" s="1" t="n">
        <v>0</v>
      </c>
      <c r="V535" s="1" t="n">
        <v>0</v>
      </c>
      <c r="W535" s="1" t="n">
        <v>0</v>
      </c>
      <c r="X535" s="1" t="n">
        <v>0</v>
      </c>
      <c r="Y535" s="3" t="n">
        <f aca="false">SUM(S535:T535)</f>
        <v>1</v>
      </c>
      <c r="Z535" s="3" t="n">
        <f aca="false">SUM(U535:W535)</f>
        <v>0</v>
      </c>
      <c r="AA535" s="3" t="n">
        <f aca="false">SUM(S535:X535)</f>
        <v>1</v>
      </c>
      <c r="AB535" s="11" t="n">
        <f aca="false">(AA535/(K535*L535)*25)*4</f>
        <v>4</v>
      </c>
    </row>
    <row r="536" customFormat="false" ht="14.25" hidden="false" customHeight="false" outlineLevel="0" collapsed="false">
      <c r="A536" s="1" t="n">
        <v>2009</v>
      </c>
      <c r="B536" s="7" t="s">
        <v>322</v>
      </c>
      <c r="C536" s="7" t="n">
        <v>2</v>
      </c>
      <c r="D536" s="7" t="s">
        <v>294</v>
      </c>
      <c r="E536" s="7" t="s">
        <v>294</v>
      </c>
      <c r="F536" s="7" t="s">
        <v>158</v>
      </c>
      <c r="G536" s="1" t="n">
        <v>1</v>
      </c>
      <c r="H536" s="1" t="n">
        <v>3</v>
      </c>
      <c r="I536" s="10" t="n">
        <v>39970</v>
      </c>
      <c r="J536" s="10" t="n">
        <v>39975</v>
      </c>
      <c r="K536" s="1" t="n">
        <v>5</v>
      </c>
      <c r="L536" s="1" t="n">
        <v>5</v>
      </c>
      <c r="M536" s="3" t="s">
        <v>32</v>
      </c>
      <c r="N536" s="3" t="s">
        <v>102</v>
      </c>
      <c r="O536" s="3" t="s">
        <v>192</v>
      </c>
      <c r="P536" s="2" t="str">
        <f aca="false">CONCATENATE(N536," ",O536)</f>
        <v>Agyneta allosubtilis</v>
      </c>
      <c r="Q536" s="1" t="s">
        <v>30</v>
      </c>
      <c r="R536" s="1" t="s">
        <v>31</v>
      </c>
      <c r="S536" s="1" t="n">
        <v>1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3" t="n">
        <f aca="false">SUM(S536:T536)</f>
        <v>1</v>
      </c>
      <c r="Z536" s="3" t="n">
        <f aca="false">SUM(U536:W536)</f>
        <v>0</v>
      </c>
      <c r="AA536" s="3" t="n">
        <f aca="false">SUM(S536:X536)</f>
        <v>1</v>
      </c>
      <c r="AB536" s="11" t="n">
        <f aca="false">(AA536/(K536*L536)*25)*4</f>
        <v>4</v>
      </c>
    </row>
    <row r="537" customFormat="false" ht="14.25" hidden="false" customHeight="false" outlineLevel="0" collapsed="false">
      <c r="A537" s="1" t="n">
        <v>2009</v>
      </c>
      <c r="B537" s="7" t="s">
        <v>322</v>
      </c>
      <c r="C537" s="7" t="n">
        <v>2</v>
      </c>
      <c r="D537" s="7" t="s">
        <v>294</v>
      </c>
      <c r="E537" s="7" t="s">
        <v>294</v>
      </c>
      <c r="F537" s="7" t="s">
        <v>158</v>
      </c>
      <c r="G537" s="1" t="n">
        <v>1</v>
      </c>
      <c r="H537" s="1" t="n">
        <v>3</v>
      </c>
      <c r="I537" s="10" t="n">
        <v>39970</v>
      </c>
      <c r="J537" s="10" t="n">
        <v>39975</v>
      </c>
      <c r="K537" s="1" t="n">
        <v>5</v>
      </c>
      <c r="L537" s="1" t="n">
        <v>5</v>
      </c>
      <c r="M537" s="3" t="s">
        <v>32</v>
      </c>
      <c r="N537" s="3" t="s">
        <v>55</v>
      </c>
      <c r="O537" s="3" t="s">
        <v>56</v>
      </c>
      <c r="P537" s="2" t="str">
        <f aca="false">CONCATENATE(N537," ",O537)</f>
        <v>Maro minutus</v>
      </c>
      <c r="Q537" s="1" t="s">
        <v>30</v>
      </c>
      <c r="R537" s="1" t="s">
        <v>31</v>
      </c>
      <c r="S537" s="1" t="n">
        <v>1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3" t="n">
        <f aca="false">SUM(S537:T537)</f>
        <v>1</v>
      </c>
      <c r="Z537" s="3" t="n">
        <f aca="false">SUM(U537:W537)</f>
        <v>0</v>
      </c>
      <c r="AA537" s="3" t="n">
        <f aca="false">SUM(S537:X537)</f>
        <v>1</v>
      </c>
      <c r="AB537" s="11" t="n">
        <f aca="false">(AA537/(K537*L537)*25)*4</f>
        <v>4</v>
      </c>
    </row>
    <row r="538" customFormat="false" ht="14.25" hidden="false" customHeight="false" outlineLevel="0" collapsed="false">
      <c r="A538" s="1" t="n">
        <v>2009</v>
      </c>
      <c r="B538" s="7" t="s">
        <v>322</v>
      </c>
      <c r="C538" s="7" t="n">
        <v>2</v>
      </c>
      <c r="D538" s="7" t="s">
        <v>294</v>
      </c>
      <c r="E538" s="7" t="s">
        <v>294</v>
      </c>
      <c r="F538" s="7" t="s">
        <v>158</v>
      </c>
      <c r="G538" s="1" t="n">
        <v>1</v>
      </c>
      <c r="H538" s="1" t="n">
        <v>3</v>
      </c>
      <c r="I538" s="10" t="n">
        <v>39970</v>
      </c>
      <c r="J538" s="10" t="n">
        <v>39975</v>
      </c>
      <c r="K538" s="1" t="n">
        <v>5</v>
      </c>
      <c r="L538" s="1" t="n">
        <v>5</v>
      </c>
      <c r="M538" s="13" t="s">
        <v>32</v>
      </c>
      <c r="N538" s="13" t="s">
        <v>202</v>
      </c>
      <c r="O538" s="14" t="s">
        <v>203</v>
      </c>
      <c r="P538" s="2" t="str">
        <f aca="false">CONCATENATE(N538," ",O538)</f>
        <v>Hypselistes jacksoni</v>
      </c>
      <c r="Q538" s="1" t="s">
        <v>30</v>
      </c>
      <c r="R538" s="1" t="s">
        <v>31</v>
      </c>
      <c r="S538" s="1" t="n">
        <v>1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3" t="n">
        <f aca="false">SUM(S538:T538)</f>
        <v>1</v>
      </c>
      <c r="Z538" s="3" t="n">
        <f aca="false">SUM(U538:W538)</f>
        <v>0</v>
      </c>
      <c r="AA538" s="3" t="n">
        <f aca="false">SUM(S538:X538)</f>
        <v>1</v>
      </c>
      <c r="AB538" s="11" t="n">
        <f aca="false">(AA538/(K538*L538)*25)*4</f>
        <v>4</v>
      </c>
    </row>
    <row r="539" customFormat="false" ht="14.25" hidden="false" customHeight="false" outlineLevel="0" collapsed="false">
      <c r="A539" s="1" t="n">
        <v>2009</v>
      </c>
      <c r="B539" s="7" t="s">
        <v>322</v>
      </c>
      <c r="C539" s="7" t="n">
        <v>2</v>
      </c>
      <c r="D539" s="7" t="s">
        <v>294</v>
      </c>
      <c r="E539" s="7" t="s">
        <v>294</v>
      </c>
      <c r="F539" s="7" t="s">
        <v>158</v>
      </c>
      <c r="G539" s="1" t="n">
        <v>1</v>
      </c>
      <c r="H539" s="1" t="n">
        <v>3</v>
      </c>
      <c r="I539" s="10" t="n">
        <v>39970</v>
      </c>
      <c r="J539" s="10" t="n">
        <v>39975</v>
      </c>
      <c r="K539" s="1" t="n">
        <v>5</v>
      </c>
      <c r="L539" s="1" t="n">
        <v>5</v>
      </c>
      <c r="M539" s="3" t="s">
        <v>48</v>
      </c>
      <c r="N539" s="3" t="s">
        <v>49</v>
      </c>
      <c r="O539" s="3" t="s">
        <v>130</v>
      </c>
      <c r="P539" s="2" t="str">
        <f aca="false">CONCATENATE(N539," ",O539)</f>
        <v>Alopecosa aculeata</v>
      </c>
      <c r="Q539" s="1" t="s">
        <v>30</v>
      </c>
      <c r="R539" s="1" t="s">
        <v>31</v>
      </c>
      <c r="S539" s="1" t="n">
        <v>1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3" t="n">
        <f aca="false">SUM(S539:T539)</f>
        <v>1</v>
      </c>
      <c r="Z539" s="3" t="n">
        <f aca="false">SUM(U539:W539)</f>
        <v>0</v>
      </c>
      <c r="AA539" s="3" t="n">
        <f aca="false">SUM(S539:X539)</f>
        <v>1</v>
      </c>
      <c r="AB539" s="11" t="n">
        <f aca="false">(AA539/(K539*L539)*25)*4</f>
        <v>4</v>
      </c>
    </row>
    <row r="540" customFormat="false" ht="14.25" hidden="false" customHeight="false" outlineLevel="0" collapsed="false">
      <c r="A540" s="1" t="n">
        <v>2009</v>
      </c>
      <c r="B540" s="7" t="s">
        <v>322</v>
      </c>
      <c r="C540" s="7" t="n">
        <v>2</v>
      </c>
      <c r="D540" s="7" t="s">
        <v>294</v>
      </c>
      <c r="E540" s="7" t="s">
        <v>294</v>
      </c>
      <c r="F540" s="7" t="s">
        <v>158</v>
      </c>
      <c r="G540" s="1" t="n">
        <v>1</v>
      </c>
      <c r="H540" s="1" t="n">
        <v>4</v>
      </c>
      <c r="I540" s="10" t="n">
        <v>39970</v>
      </c>
      <c r="J540" s="10" t="n">
        <v>39975</v>
      </c>
      <c r="K540" s="1" t="n">
        <v>5</v>
      </c>
      <c r="L540" s="1" t="n">
        <v>5</v>
      </c>
      <c r="M540" s="3" t="s">
        <v>48</v>
      </c>
      <c r="N540" s="3" t="s">
        <v>49</v>
      </c>
      <c r="O540" s="3" t="s">
        <v>104</v>
      </c>
      <c r="P540" s="2" t="str">
        <f aca="false">CONCATENATE(N540," ",O540)</f>
        <v>Alopecosa taeniata</v>
      </c>
      <c r="Q540" s="1" t="s">
        <v>30</v>
      </c>
      <c r="R540" s="1" t="s">
        <v>31</v>
      </c>
      <c r="S540" s="1" t="n">
        <v>1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0</v>
      </c>
      <c r="Y540" s="3" t="n">
        <f aca="false">SUM(S540:T540)</f>
        <v>1</v>
      </c>
      <c r="Z540" s="3" t="n">
        <f aca="false">SUM(U540:W540)</f>
        <v>0</v>
      </c>
      <c r="AA540" s="3" t="n">
        <f aca="false">SUM(S540:X540)</f>
        <v>1</v>
      </c>
      <c r="AB540" s="11" t="n">
        <f aca="false">(AA540/(K540*L540)*25)*4</f>
        <v>4</v>
      </c>
    </row>
    <row r="541" customFormat="false" ht="14.25" hidden="false" customHeight="false" outlineLevel="0" collapsed="false">
      <c r="A541" s="1" t="n">
        <v>2009</v>
      </c>
      <c r="B541" s="7" t="s">
        <v>322</v>
      </c>
      <c r="C541" s="7" t="n">
        <v>2</v>
      </c>
      <c r="D541" s="7" t="s">
        <v>294</v>
      </c>
      <c r="E541" s="7" t="s">
        <v>294</v>
      </c>
      <c r="F541" s="7" t="s">
        <v>158</v>
      </c>
      <c r="G541" s="1" t="n">
        <v>1</v>
      </c>
      <c r="H541" s="1" t="n">
        <v>4</v>
      </c>
      <c r="I541" s="10" t="n">
        <v>39970</v>
      </c>
      <c r="J541" s="10" t="n">
        <v>39975</v>
      </c>
      <c r="K541" s="1" t="n">
        <v>5</v>
      </c>
      <c r="L541" s="1" t="n">
        <v>5</v>
      </c>
      <c r="M541" s="3" t="s">
        <v>48</v>
      </c>
      <c r="N541" s="3" t="s">
        <v>67</v>
      </c>
      <c r="O541" s="3" t="s">
        <v>127</v>
      </c>
      <c r="P541" s="2" t="str">
        <f aca="false">CONCATENATE(N541," ",O541)</f>
        <v>Pardosa lugubris</v>
      </c>
      <c r="Q541" s="1" t="s">
        <v>30</v>
      </c>
      <c r="R541" s="1" t="s">
        <v>31</v>
      </c>
      <c r="S541" s="1" t="n">
        <v>4</v>
      </c>
      <c r="T541" s="1" t="n">
        <v>0</v>
      </c>
      <c r="U541" s="1" t="n">
        <v>0</v>
      </c>
      <c r="V541" s="1" t="n">
        <v>0</v>
      </c>
      <c r="W541" s="1" t="n">
        <v>0</v>
      </c>
      <c r="X541" s="1" t="n">
        <v>0</v>
      </c>
      <c r="Y541" s="3" t="n">
        <f aca="false">SUM(S541:T541)</f>
        <v>4</v>
      </c>
      <c r="Z541" s="3" t="n">
        <f aca="false">SUM(U541:W541)</f>
        <v>0</v>
      </c>
      <c r="AA541" s="3" t="n">
        <f aca="false">SUM(S541:X541)</f>
        <v>4</v>
      </c>
      <c r="AB541" s="11" t="n">
        <f aca="false">(AA541/(K541*L541)*25)*4</f>
        <v>16</v>
      </c>
    </row>
    <row r="542" customFormat="false" ht="14.25" hidden="false" customHeight="false" outlineLevel="0" collapsed="false">
      <c r="A542" s="1" t="n">
        <v>2009</v>
      </c>
      <c r="B542" s="7" t="s">
        <v>322</v>
      </c>
      <c r="C542" s="7" t="n">
        <v>2</v>
      </c>
      <c r="D542" s="7" t="s">
        <v>294</v>
      </c>
      <c r="E542" s="7" t="s">
        <v>294</v>
      </c>
      <c r="F542" s="7" t="s">
        <v>158</v>
      </c>
      <c r="G542" s="1" t="n">
        <v>1</v>
      </c>
      <c r="H542" s="1" t="n">
        <v>4</v>
      </c>
      <c r="I542" s="10" t="n">
        <v>39970</v>
      </c>
      <c r="J542" s="10" t="n">
        <v>39975</v>
      </c>
      <c r="K542" s="1" t="n">
        <v>5</v>
      </c>
      <c r="L542" s="1" t="n">
        <v>5</v>
      </c>
      <c r="M542" s="3" t="s">
        <v>48</v>
      </c>
      <c r="N542" s="3" t="s">
        <v>67</v>
      </c>
      <c r="O542" s="3" t="s">
        <v>127</v>
      </c>
      <c r="P542" s="2" t="str">
        <f aca="false">CONCATENATE(N542," ",O542)</f>
        <v>Pardosa lugubris</v>
      </c>
      <c r="Q542" s="1" t="s">
        <v>30</v>
      </c>
      <c r="R542" s="1" t="s">
        <v>35</v>
      </c>
      <c r="S542" s="1" t="n">
        <v>0</v>
      </c>
      <c r="T542" s="1" t="n">
        <v>1</v>
      </c>
      <c r="U542" s="1" t="n">
        <v>0</v>
      </c>
      <c r="V542" s="1" t="n">
        <v>0</v>
      </c>
      <c r="W542" s="1" t="n">
        <v>0</v>
      </c>
      <c r="X542" s="1" t="n">
        <v>0</v>
      </c>
      <c r="Y542" s="3" t="n">
        <f aca="false">SUM(S542:T542)</f>
        <v>1</v>
      </c>
      <c r="Z542" s="3" t="n">
        <f aca="false">SUM(U542:W542)</f>
        <v>0</v>
      </c>
      <c r="AA542" s="3" t="n">
        <f aca="false">SUM(S542:X542)</f>
        <v>1</v>
      </c>
      <c r="AB542" s="11" t="n">
        <f aca="false">(AA542/(K542*L542)*25)*4</f>
        <v>4</v>
      </c>
    </row>
    <row r="543" customFormat="false" ht="14.25" hidden="false" customHeight="false" outlineLevel="0" collapsed="false">
      <c r="A543" s="1" t="n">
        <v>2009</v>
      </c>
      <c r="B543" s="7" t="s">
        <v>322</v>
      </c>
      <c r="C543" s="7" t="n">
        <v>2</v>
      </c>
      <c r="D543" s="7" t="s">
        <v>294</v>
      </c>
      <c r="E543" s="7" t="s">
        <v>294</v>
      </c>
      <c r="F543" s="7" t="s">
        <v>158</v>
      </c>
      <c r="G543" s="1" t="n">
        <v>1</v>
      </c>
      <c r="H543" s="1" t="n">
        <v>4</v>
      </c>
      <c r="I543" s="10" t="n">
        <v>39970</v>
      </c>
      <c r="J543" s="10" t="n">
        <v>39975</v>
      </c>
      <c r="K543" s="1" t="n">
        <v>5</v>
      </c>
      <c r="L543" s="1" t="n">
        <v>5</v>
      </c>
      <c r="M543" s="3" t="s">
        <v>72</v>
      </c>
      <c r="N543" s="3" t="s">
        <v>73</v>
      </c>
      <c r="O543" s="3" t="s">
        <v>74</v>
      </c>
      <c r="P543" s="2" t="str">
        <f aca="false">CONCATENATE(N543," ",O543)</f>
        <v>Zelotes subterraneus</v>
      </c>
      <c r="Q543" s="1" t="s">
        <v>30</v>
      </c>
      <c r="R543" s="1" t="s">
        <v>31</v>
      </c>
      <c r="S543" s="1" t="n">
        <v>1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3" t="n">
        <f aca="false">SUM(S543:T543)</f>
        <v>1</v>
      </c>
      <c r="Z543" s="3" t="n">
        <f aca="false">SUM(U543:W543)</f>
        <v>0</v>
      </c>
      <c r="AA543" s="3" t="n">
        <f aca="false">SUM(S543:X543)</f>
        <v>1</v>
      </c>
      <c r="AB543" s="11" t="n">
        <f aca="false">(AA543/(K543*L543)*25)*4</f>
        <v>4</v>
      </c>
    </row>
    <row r="544" customFormat="false" ht="14.25" hidden="false" customHeight="false" outlineLevel="0" collapsed="false">
      <c r="A544" s="1" t="n">
        <v>2009</v>
      </c>
      <c r="B544" s="7" t="s">
        <v>322</v>
      </c>
      <c r="C544" s="7" t="n">
        <v>2</v>
      </c>
      <c r="D544" s="7" t="s">
        <v>294</v>
      </c>
      <c r="E544" s="7" t="s">
        <v>294</v>
      </c>
      <c r="F544" s="7" t="s">
        <v>158</v>
      </c>
      <c r="G544" s="1" t="n">
        <v>1</v>
      </c>
      <c r="H544" s="1" t="n">
        <v>4</v>
      </c>
      <c r="I544" s="10" t="n">
        <v>39970</v>
      </c>
      <c r="J544" s="10" t="n">
        <v>39975</v>
      </c>
      <c r="K544" s="1" t="n">
        <v>5</v>
      </c>
      <c r="L544" s="1" t="n">
        <v>5</v>
      </c>
      <c r="M544" s="3" t="s">
        <v>64</v>
      </c>
      <c r="N544" s="3" t="s">
        <v>65</v>
      </c>
      <c r="O544" s="3" t="s">
        <v>123</v>
      </c>
      <c r="P544" s="2" t="str">
        <f aca="false">CONCATENATE(N544," ",O544)</f>
        <v>Zora nemoralis</v>
      </c>
      <c r="Q544" s="1" t="s">
        <v>30</v>
      </c>
      <c r="R544" s="1" t="s">
        <v>31</v>
      </c>
      <c r="S544" s="1" t="n">
        <v>1</v>
      </c>
      <c r="T544" s="1" t="n">
        <v>0</v>
      </c>
      <c r="U544" s="1" t="n">
        <v>0</v>
      </c>
      <c r="V544" s="1" t="n">
        <v>0</v>
      </c>
      <c r="W544" s="1" t="n">
        <v>0</v>
      </c>
      <c r="X544" s="1" t="n">
        <v>0</v>
      </c>
      <c r="Y544" s="3" t="n">
        <f aca="false">SUM(S544:T544)</f>
        <v>1</v>
      </c>
      <c r="Z544" s="3" t="n">
        <f aca="false">SUM(U544:W544)</f>
        <v>0</v>
      </c>
      <c r="AA544" s="3" t="n">
        <f aca="false">SUM(S544:X544)</f>
        <v>1</v>
      </c>
      <c r="AB544" s="11" t="n">
        <f aca="false">(AA544/(K544*L544)*25)*4</f>
        <v>4</v>
      </c>
    </row>
    <row r="545" customFormat="false" ht="14.25" hidden="false" customHeight="false" outlineLevel="0" collapsed="false">
      <c r="A545" s="1" t="n">
        <v>2009</v>
      </c>
      <c r="B545" s="7" t="s">
        <v>322</v>
      </c>
      <c r="C545" s="7" t="n">
        <v>2</v>
      </c>
      <c r="D545" s="7" t="s">
        <v>294</v>
      </c>
      <c r="E545" s="7" t="s">
        <v>294</v>
      </c>
      <c r="F545" s="7" t="s">
        <v>158</v>
      </c>
      <c r="G545" s="1" t="n">
        <v>1</v>
      </c>
      <c r="H545" s="1" t="n">
        <v>4</v>
      </c>
      <c r="I545" s="10" t="n">
        <v>39970</v>
      </c>
      <c r="J545" s="10" t="n">
        <v>39975</v>
      </c>
      <c r="K545" s="1" t="n">
        <v>5</v>
      </c>
      <c r="L545" s="1" t="n">
        <v>5</v>
      </c>
      <c r="M545" s="3" t="s">
        <v>32</v>
      </c>
      <c r="N545" s="3" t="s">
        <v>62</v>
      </c>
      <c r="O545" s="3" t="s">
        <v>63</v>
      </c>
      <c r="P545" s="2" t="str">
        <f aca="false">CONCATENATE(N545," ",O545)</f>
        <v>Microneta viaria</v>
      </c>
      <c r="Q545" s="1" t="s">
        <v>30</v>
      </c>
      <c r="R545" s="1" t="s">
        <v>31</v>
      </c>
      <c r="S545" s="1" t="n">
        <v>1</v>
      </c>
      <c r="T545" s="1" t="n">
        <v>0</v>
      </c>
      <c r="U545" s="1" t="n">
        <v>0</v>
      </c>
      <c r="V545" s="1" t="n">
        <v>0</v>
      </c>
      <c r="W545" s="1" t="n">
        <v>0</v>
      </c>
      <c r="X545" s="1" t="n">
        <v>0</v>
      </c>
      <c r="Y545" s="3" t="n">
        <f aca="false">SUM(S545:T545)</f>
        <v>1</v>
      </c>
      <c r="Z545" s="3" t="n">
        <f aca="false">SUM(U545:W545)</f>
        <v>0</v>
      </c>
      <c r="AA545" s="3" t="n">
        <f aca="false">SUM(S545:X545)</f>
        <v>1</v>
      </c>
      <c r="AB545" s="11" t="n">
        <f aca="false">(AA545/(K545*L545)*25)*4</f>
        <v>4</v>
      </c>
    </row>
    <row r="546" customFormat="false" ht="14.25" hidden="false" customHeight="false" outlineLevel="0" collapsed="false">
      <c r="A546" s="1" t="n">
        <v>2009</v>
      </c>
      <c r="B546" s="7" t="s">
        <v>322</v>
      </c>
      <c r="C546" s="7" t="n">
        <v>2</v>
      </c>
      <c r="D546" s="7" t="s">
        <v>294</v>
      </c>
      <c r="E546" s="7" t="s">
        <v>294</v>
      </c>
      <c r="F546" s="7" t="s">
        <v>158</v>
      </c>
      <c r="G546" s="1" t="n">
        <v>1</v>
      </c>
      <c r="H546" s="1" t="n">
        <v>4</v>
      </c>
      <c r="I546" s="10" t="n">
        <v>39970</v>
      </c>
      <c r="J546" s="10" t="n">
        <v>39975</v>
      </c>
      <c r="K546" s="1" t="n">
        <v>5</v>
      </c>
      <c r="L546" s="1" t="n">
        <v>5</v>
      </c>
      <c r="M546" s="13" t="s">
        <v>32</v>
      </c>
      <c r="N546" s="13" t="s">
        <v>202</v>
      </c>
      <c r="O546" s="14" t="s">
        <v>203</v>
      </c>
      <c r="P546" s="2" t="str">
        <f aca="false">CONCATENATE(N546," ",O546)</f>
        <v>Hypselistes jacksoni</v>
      </c>
      <c r="Q546" s="1" t="s">
        <v>30</v>
      </c>
      <c r="R546" s="1" t="s">
        <v>35</v>
      </c>
      <c r="S546" s="1" t="n">
        <v>0</v>
      </c>
      <c r="T546" s="1" t="n">
        <v>1</v>
      </c>
      <c r="U546" s="1" t="n">
        <v>0</v>
      </c>
      <c r="V546" s="1" t="n">
        <v>0</v>
      </c>
      <c r="W546" s="1" t="n">
        <v>0</v>
      </c>
      <c r="X546" s="1" t="n">
        <v>0</v>
      </c>
      <c r="Y546" s="3" t="n">
        <f aca="false">SUM(S546:T546)</f>
        <v>1</v>
      </c>
      <c r="Z546" s="3" t="n">
        <f aca="false">SUM(U546:W546)</f>
        <v>0</v>
      </c>
      <c r="AA546" s="3" t="n">
        <f aca="false">SUM(S546:X546)</f>
        <v>1</v>
      </c>
      <c r="AB546" s="11" t="n">
        <f aca="false">(AA546/(K546*L546)*25)*4</f>
        <v>4</v>
      </c>
    </row>
    <row r="547" customFormat="false" ht="14.25" hidden="false" customHeight="false" outlineLevel="0" collapsed="false">
      <c r="A547" s="1" t="n">
        <v>2009</v>
      </c>
      <c r="B547" s="7" t="s">
        <v>322</v>
      </c>
      <c r="C547" s="7" t="n">
        <v>2</v>
      </c>
      <c r="D547" s="7" t="s">
        <v>294</v>
      </c>
      <c r="E547" s="7" t="s">
        <v>294</v>
      </c>
      <c r="F547" s="7" t="s">
        <v>158</v>
      </c>
      <c r="G547" s="1" t="n">
        <v>1</v>
      </c>
      <c r="H547" s="1" t="n">
        <v>5</v>
      </c>
      <c r="I547" s="10" t="n">
        <v>39970</v>
      </c>
      <c r="J547" s="10" t="n">
        <v>39975</v>
      </c>
      <c r="K547" s="1" t="n">
        <v>5</v>
      </c>
      <c r="L547" s="1" t="n">
        <v>5</v>
      </c>
      <c r="M547" s="3" t="s">
        <v>48</v>
      </c>
      <c r="N547" s="3" t="s">
        <v>49</v>
      </c>
      <c r="O547" s="3" t="s">
        <v>104</v>
      </c>
      <c r="P547" s="2" t="str">
        <f aca="false">CONCATENATE(N547," ",O547)</f>
        <v>Alopecosa taeniata</v>
      </c>
      <c r="Q547" s="1" t="s">
        <v>30</v>
      </c>
      <c r="R547" s="1" t="s">
        <v>31</v>
      </c>
      <c r="S547" s="1" t="n">
        <v>4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3" t="n">
        <f aca="false">SUM(S547:T547)</f>
        <v>4</v>
      </c>
      <c r="Z547" s="3" t="n">
        <f aca="false">SUM(U547:W547)</f>
        <v>0</v>
      </c>
      <c r="AA547" s="3" t="n">
        <f aca="false">SUM(S547:X547)</f>
        <v>4</v>
      </c>
      <c r="AB547" s="11" t="n">
        <f aca="false">(AA547/(K547*L547)*25)*4</f>
        <v>16</v>
      </c>
    </row>
    <row r="548" customFormat="false" ht="14.25" hidden="false" customHeight="false" outlineLevel="0" collapsed="false">
      <c r="A548" s="1" t="n">
        <v>2009</v>
      </c>
      <c r="B548" s="7" t="s">
        <v>322</v>
      </c>
      <c r="C548" s="7" t="n">
        <v>2</v>
      </c>
      <c r="D548" s="7" t="s">
        <v>294</v>
      </c>
      <c r="E548" s="7" t="s">
        <v>294</v>
      </c>
      <c r="F548" s="7" t="s">
        <v>158</v>
      </c>
      <c r="G548" s="1" t="n">
        <v>1</v>
      </c>
      <c r="H548" s="1" t="n">
        <v>5</v>
      </c>
      <c r="I548" s="10" t="n">
        <v>39970</v>
      </c>
      <c r="J548" s="10" t="n">
        <v>39975</v>
      </c>
      <c r="K548" s="1" t="n">
        <v>5</v>
      </c>
      <c r="L548" s="1" t="n">
        <v>5</v>
      </c>
      <c r="M548" s="3" t="s">
        <v>48</v>
      </c>
      <c r="N548" s="3" t="s">
        <v>49</v>
      </c>
      <c r="O548" s="3" t="s">
        <v>130</v>
      </c>
      <c r="P548" s="2" t="str">
        <f aca="false">CONCATENATE(N548," ",O548)</f>
        <v>Alopecosa aculeata</v>
      </c>
      <c r="Q548" s="1" t="s">
        <v>30</v>
      </c>
      <c r="R548" s="1" t="s">
        <v>31</v>
      </c>
      <c r="S548" s="1" t="n">
        <v>1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</v>
      </c>
      <c r="Y548" s="3" t="n">
        <f aca="false">SUM(S548:T548)</f>
        <v>1</v>
      </c>
      <c r="Z548" s="3" t="n">
        <f aca="false">SUM(U548:W548)</f>
        <v>0</v>
      </c>
      <c r="AA548" s="3" t="n">
        <f aca="false">SUM(S548:X548)</f>
        <v>1</v>
      </c>
      <c r="AB548" s="11" t="n">
        <f aca="false">(AA548/(K548*L548)*25)*4</f>
        <v>4</v>
      </c>
    </row>
    <row r="549" customFormat="false" ht="14.25" hidden="false" customHeight="false" outlineLevel="0" collapsed="false">
      <c r="A549" s="1" t="n">
        <v>2009</v>
      </c>
      <c r="B549" s="7" t="s">
        <v>322</v>
      </c>
      <c r="C549" s="7" t="n">
        <v>2</v>
      </c>
      <c r="D549" s="7" t="s">
        <v>294</v>
      </c>
      <c r="E549" s="7" t="s">
        <v>294</v>
      </c>
      <c r="F549" s="7" t="s">
        <v>158</v>
      </c>
      <c r="G549" s="1" t="n">
        <v>1</v>
      </c>
      <c r="H549" s="1" t="n">
        <v>5</v>
      </c>
      <c r="I549" s="10" t="n">
        <v>39970</v>
      </c>
      <c r="J549" s="10" t="n">
        <v>39975</v>
      </c>
      <c r="K549" s="1" t="n">
        <v>5</v>
      </c>
      <c r="L549" s="1" t="n">
        <v>5</v>
      </c>
      <c r="M549" s="3" t="s">
        <v>48</v>
      </c>
      <c r="N549" s="3" t="s">
        <v>67</v>
      </c>
      <c r="O549" s="3" t="s">
        <v>127</v>
      </c>
      <c r="P549" s="2" t="str">
        <f aca="false">CONCATENATE(N549," ",O549)</f>
        <v>Pardosa lugubris</v>
      </c>
      <c r="Q549" s="1" t="s">
        <v>30</v>
      </c>
      <c r="R549" s="1" t="s">
        <v>31</v>
      </c>
      <c r="S549" s="1" t="n">
        <v>4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0</v>
      </c>
      <c r="Y549" s="3" t="n">
        <f aca="false">SUM(S549:T549)</f>
        <v>4</v>
      </c>
      <c r="Z549" s="3" t="n">
        <f aca="false">SUM(U549:W549)</f>
        <v>0</v>
      </c>
      <c r="AA549" s="3" t="n">
        <f aca="false">SUM(S549:X549)</f>
        <v>4</v>
      </c>
      <c r="AB549" s="11" t="n">
        <f aca="false">(AA549/(K549*L549)*25)*4</f>
        <v>16</v>
      </c>
    </row>
    <row r="550" customFormat="false" ht="14.25" hidden="false" customHeight="false" outlineLevel="0" collapsed="false">
      <c r="A550" s="1" t="n">
        <v>2009</v>
      </c>
      <c r="B550" s="7" t="s">
        <v>322</v>
      </c>
      <c r="C550" s="7" t="n">
        <v>2</v>
      </c>
      <c r="D550" s="7" t="s">
        <v>294</v>
      </c>
      <c r="E550" s="7" t="s">
        <v>294</v>
      </c>
      <c r="F550" s="7" t="s">
        <v>158</v>
      </c>
      <c r="G550" s="1" t="n">
        <v>1</v>
      </c>
      <c r="H550" s="1" t="n">
        <v>5</v>
      </c>
      <c r="I550" s="10" t="n">
        <v>39970</v>
      </c>
      <c r="J550" s="10" t="n">
        <v>39975</v>
      </c>
      <c r="K550" s="1" t="n">
        <v>5</v>
      </c>
      <c r="L550" s="1" t="n">
        <v>5</v>
      </c>
      <c r="M550" s="3" t="s">
        <v>36</v>
      </c>
      <c r="N550" s="3" t="s">
        <v>131</v>
      </c>
      <c r="O550" s="3" t="s">
        <v>133</v>
      </c>
      <c r="P550" s="2" t="str">
        <f aca="false">CONCATENATE(N550," ",O550)</f>
        <v>Xysticus luctuosus</v>
      </c>
      <c r="Q550" s="1" t="s">
        <v>30</v>
      </c>
      <c r="R550" s="1" t="s">
        <v>31</v>
      </c>
      <c r="S550" s="1" t="n">
        <v>1</v>
      </c>
      <c r="T550" s="1" t="n">
        <v>0</v>
      </c>
      <c r="U550" s="1" t="n">
        <v>0</v>
      </c>
      <c r="V550" s="1" t="n">
        <v>0</v>
      </c>
      <c r="W550" s="1" t="n">
        <v>0</v>
      </c>
      <c r="X550" s="1" t="n">
        <v>0</v>
      </c>
      <c r="Y550" s="3" t="n">
        <f aca="false">SUM(S550:T550)</f>
        <v>1</v>
      </c>
      <c r="Z550" s="3" t="n">
        <f aca="false">SUM(U550:W550)</f>
        <v>0</v>
      </c>
      <c r="AA550" s="3" t="n">
        <f aca="false">SUM(S550:X550)</f>
        <v>1</v>
      </c>
      <c r="AB550" s="11" t="n">
        <f aca="false">(AA550/(K550*L550)*25)*4</f>
        <v>4</v>
      </c>
    </row>
    <row r="551" customFormat="false" ht="14.25" hidden="false" customHeight="false" outlineLevel="0" collapsed="false">
      <c r="A551" s="1" t="n">
        <v>2009</v>
      </c>
      <c r="B551" s="7" t="s">
        <v>322</v>
      </c>
      <c r="C551" s="7" t="n">
        <v>2</v>
      </c>
      <c r="D551" s="7" t="s">
        <v>294</v>
      </c>
      <c r="E551" s="7" t="s">
        <v>294</v>
      </c>
      <c r="F551" s="7" t="s">
        <v>158</v>
      </c>
      <c r="G551" s="1" t="n">
        <v>1</v>
      </c>
      <c r="H551" s="1" t="n">
        <v>5</v>
      </c>
      <c r="I551" s="10" t="n">
        <v>39970</v>
      </c>
      <c r="J551" s="10" t="n">
        <v>39975</v>
      </c>
      <c r="K551" s="1" t="n">
        <v>5</v>
      </c>
      <c r="L551" s="1" t="n">
        <v>5</v>
      </c>
      <c r="M551" s="3" t="s">
        <v>32</v>
      </c>
      <c r="N551" s="3" t="s">
        <v>84</v>
      </c>
      <c r="O551" s="3" t="s">
        <v>168</v>
      </c>
      <c r="P551" s="2" t="str">
        <f aca="false">CONCATENATE(N551," ",O551)</f>
        <v>Walckenaeria atrotibialis</v>
      </c>
      <c r="Q551" s="1" t="s">
        <v>30</v>
      </c>
      <c r="R551" s="1" t="s">
        <v>31</v>
      </c>
      <c r="S551" s="1" t="n">
        <v>1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0</v>
      </c>
      <c r="Y551" s="3" t="n">
        <f aca="false">SUM(S551:T551)</f>
        <v>1</v>
      </c>
      <c r="Z551" s="3" t="n">
        <f aca="false">SUM(U551:W551)</f>
        <v>0</v>
      </c>
      <c r="AA551" s="3" t="n">
        <f aca="false">SUM(S551:X551)</f>
        <v>1</v>
      </c>
      <c r="AB551" s="11" t="n">
        <f aca="false">(AA551/(K551*L551)*25)*4</f>
        <v>4</v>
      </c>
    </row>
    <row r="552" customFormat="false" ht="14.25" hidden="false" customHeight="false" outlineLevel="0" collapsed="false">
      <c r="A552" s="1" t="n">
        <v>2009</v>
      </c>
      <c r="B552" s="7" t="s">
        <v>322</v>
      </c>
      <c r="C552" s="7" t="n">
        <v>2</v>
      </c>
      <c r="D552" s="7" t="s">
        <v>294</v>
      </c>
      <c r="E552" s="7" t="s">
        <v>294</v>
      </c>
      <c r="F552" s="7" t="s">
        <v>158</v>
      </c>
      <c r="G552" s="1" t="n">
        <v>2</v>
      </c>
      <c r="H552" s="1" t="n">
        <v>6</v>
      </c>
      <c r="I552" s="10" t="n">
        <v>39970</v>
      </c>
      <c r="J552" s="10" t="n">
        <v>39975</v>
      </c>
      <c r="K552" s="1" t="n">
        <v>5</v>
      </c>
      <c r="L552" s="1" t="n">
        <v>5</v>
      </c>
      <c r="M552" s="3" t="s">
        <v>48</v>
      </c>
      <c r="N552" s="3" t="s">
        <v>49</v>
      </c>
      <c r="O552" s="3" t="s">
        <v>104</v>
      </c>
      <c r="P552" s="2" t="str">
        <f aca="false">CONCATENATE(N552," ",O552)</f>
        <v>Alopecosa taeniata</v>
      </c>
      <c r="Q552" s="1" t="s">
        <v>30</v>
      </c>
      <c r="R552" s="1" t="s">
        <v>31</v>
      </c>
      <c r="S552" s="1" t="n">
        <v>6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0</v>
      </c>
      <c r="Y552" s="3" t="n">
        <f aca="false">SUM(S552:T552)</f>
        <v>6</v>
      </c>
      <c r="Z552" s="3" t="n">
        <f aca="false">SUM(U552:W552)</f>
        <v>0</v>
      </c>
      <c r="AA552" s="3" t="n">
        <f aca="false">SUM(S552:X552)</f>
        <v>6</v>
      </c>
      <c r="AB552" s="11" t="n">
        <f aca="false">(AA552/(K552*L552)*25)*4</f>
        <v>24</v>
      </c>
    </row>
    <row r="553" customFormat="false" ht="14.25" hidden="false" customHeight="false" outlineLevel="0" collapsed="false">
      <c r="A553" s="1" t="n">
        <v>2009</v>
      </c>
      <c r="B553" s="7" t="s">
        <v>322</v>
      </c>
      <c r="C553" s="7" t="n">
        <v>2</v>
      </c>
      <c r="D553" s="7" t="s">
        <v>294</v>
      </c>
      <c r="E553" s="7" t="s">
        <v>294</v>
      </c>
      <c r="F553" s="7" t="s">
        <v>158</v>
      </c>
      <c r="G553" s="1" t="n">
        <v>2</v>
      </c>
      <c r="H553" s="1" t="n">
        <v>6</v>
      </c>
      <c r="I553" s="10" t="n">
        <v>39970</v>
      </c>
      <c r="J553" s="10" t="n">
        <v>39975</v>
      </c>
      <c r="K553" s="1" t="n">
        <v>5</v>
      </c>
      <c r="L553" s="1" t="n">
        <v>5</v>
      </c>
      <c r="M553" s="3" t="s">
        <v>48</v>
      </c>
      <c r="N553" s="3" t="s">
        <v>49</v>
      </c>
      <c r="O553" s="3" t="s">
        <v>104</v>
      </c>
      <c r="P553" s="2" t="str">
        <f aca="false">CONCATENATE(N553," ",O553)</f>
        <v>Alopecosa taeniata</v>
      </c>
      <c r="Q553" s="1" t="s">
        <v>30</v>
      </c>
      <c r="R553" s="1" t="s">
        <v>35</v>
      </c>
      <c r="S553" s="1" t="n">
        <v>0</v>
      </c>
      <c r="T553" s="1" t="n">
        <v>2</v>
      </c>
      <c r="U553" s="1" t="n">
        <v>0</v>
      </c>
      <c r="V553" s="1" t="n">
        <v>0</v>
      </c>
      <c r="W553" s="1" t="n">
        <v>0</v>
      </c>
      <c r="X553" s="1" t="n">
        <v>0</v>
      </c>
      <c r="Y553" s="3" t="n">
        <f aca="false">SUM(S553:T553)</f>
        <v>2</v>
      </c>
      <c r="Z553" s="3" t="n">
        <f aca="false">SUM(U553:W553)</f>
        <v>0</v>
      </c>
      <c r="AA553" s="3" t="n">
        <f aca="false">SUM(S553:X553)</f>
        <v>2</v>
      </c>
      <c r="AB553" s="11" t="n">
        <f aca="false">(AA553/(K553*L553)*25)*4</f>
        <v>8</v>
      </c>
    </row>
    <row r="554" customFormat="false" ht="14.25" hidden="false" customHeight="false" outlineLevel="0" collapsed="false">
      <c r="A554" s="1" t="n">
        <v>2009</v>
      </c>
      <c r="B554" s="7" t="s">
        <v>322</v>
      </c>
      <c r="C554" s="7" t="n">
        <v>2</v>
      </c>
      <c r="D554" s="7" t="s">
        <v>294</v>
      </c>
      <c r="E554" s="7" t="s">
        <v>294</v>
      </c>
      <c r="F554" s="7" t="s">
        <v>158</v>
      </c>
      <c r="G554" s="1" t="n">
        <v>2</v>
      </c>
      <c r="H554" s="1" t="n">
        <v>6</v>
      </c>
      <c r="I554" s="10" t="n">
        <v>39970</v>
      </c>
      <c r="J554" s="10" t="n">
        <v>39975</v>
      </c>
      <c r="K554" s="1" t="n">
        <v>5</v>
      </c>
      <c r="L554" s="1" t="n">
        <v>5</v>
      </c>
      <c r="M554" s="3" t="s">
        <v>48</v>
      </c>
      <c r="N554" s="3" t="s">
        <v>49</v>
      </c>
      <c r="O554" s="3" t="s">
        <v>130</v>
      </c>
      <c r="P554" s="2" t="str">
        <f aca="false">CONCATENATE(N554," ",O554)</f>
        <v>Alopecosa aculeata</v>
      </c>
      <c r="Q554" s="1" t="s">
        <v>30</v>
      </c>
      <c r="R554" s="1" t="s">
        <v>31</v>
      </c>
      <c r="S554" s="1" t="n">
        <v>1</v>
      </c>
      <c r="T554" s="1" t="n">
        <v>0</v>
      </c>
      <c r="U554" s="1" t="n">
        <v>0</v>
      </c>
      <c r="V554" s="1" t="n">
        <v>0</v>
      </c>
      <c r="W554" s="1" t="n">
        <v>0</v>
      </c>
      <c r="X554" s="1" t="n">
        <v>0</v>
      </c>
      <c r="Y554" s="3" t="n">
        <f aca="false">SUM(S554:T554)</f>
        <v>1</v>
      </c>
      <c r="Z554" s="3" t="n">
        <f aca="false">SUM(U554:W554)</f>
        <v>0</v>
      </c>
      <c r="AA554" s="3" t="n">
        <f aca="false">SUM(S554:X554)</f>
        <v>1</v>
      </c>
      <c r="AB554" s="11" t="n">
        <f aca="false">(AA554/(K554*L554)*25)*4</f>
        <v>4</v>
      </c>
    </row>
    <row r="555" customFormat="false" ht="14.25" hidden="false" customHeight="false" outlineLevel="0" collapsed="false">
      <c r="A555" s="1" t="n">
        <v>2009</v>
      </c>
      <c r="B555" s="7" t="s">
        <v>322</v>
      </c>
      <c r="C555" s="7" t="n">
        <v>2</v>
      </c>
      <c r="D555" s="7" t="s">
        <v>294</v>
      </c>
      <c r="E555" s="7" t="s">
        <v>294</v>
      </c>
      <c r="F555" s="7" t="s">
        <v>158</v>
      </c>
      <c r="G555" s="1" t="n">
        <v>2</v>
      </c>
      <c r="H555" s="1" t="n">
        <v>6</v>
      </c>
      <c r="I555" s="10" t="n">
        <v>39970</v>
      </c>
      <c r="J555" s="10" t="n">
        <v>39975</v>
      </c>
      <c r="K555" s="1" t="n">
        <v>5</v>
      </c>
      <c r="L555" s="1" t="n">
        <v>5</v>
      </c>
      <c r="M555" s="3" t="s">
        <v>48</v>
      </c>
      <c r="N555" s="3" t="s">
        <v>67</v>
      </c>
      <c r="O555" s="3" t="s">
        <v>127</v>
      </c>
      <c r="P555" s="2" t="str">
        <f aca="false">CONCATENATE(N555," ",O555)</f>
        <v>Pardosa lugubris</v>
      </c>
      <c r="Q555" s="1" t="s">
        <v>30</v>
      </c>
      <c r="R555" s="1" t="s">
        <v>31</v>
      </c>
      <c r="S555" s="1" t="n">
        <v>1</v>
      </c>
      <c r="T555" s="1" t="n">
        <v>0</v>
      </c>
      <c r="U555" s="1" t="n">
        <v>0</v>
      </c>
      <c r="V555" s="1" t="n">
        <v>0</v>
      </c>
      <c r="W555" s="1" t="n">
        <v>0</v>
      </c>
      <c r="X555" s="1" t="n">
        <v>0</v>
      </c>
      <c r="Y555" s="3" t="n">
        <f aca="false">SUM(S555:T555)</f>
        <v>1</v>
      </c>
      <c r="Z555" s="3" t="n">
        <f aca="false">SUM(U555:W555)</f>
        <v>0</v>
      </c>
      <c r="AA555" s="3" t="n">
        <f aca="false">SUM(S555:X555)</f>
        <v>1</v>
      </c>
      <c r="AB555" s="11" t="n">
        <f aca="false">(AA555/(K555*L555)*25)*4</f>
        <v>4</v>
      </c>
    </row>
    <row r="556" customFormat="false" ht="14.25" hidden="false" customHeight="false" outlineLevel="0" collapsed="false">
      <c r="A556" s="1" t="n">
        <v>2009</v>
      </c>
      <c r="B556" s="7" t="s">
        <v>322</v>
      </c>
      <c r="C556" s="7" t="n">
        <v>2</v>
      </c>
      <c r="D556" s="7" t="s">
        <v>294</v>
      </c>
      <c r="E556" s="7" t="s">
        <v>294</v>
      </c>
      <c r="F556" s="7" t="s">
        <v>158</v>
      </c>
      <c r="G556" s="1" t="n">
        <v>2</v>
      </c>
      <c r="H556" s="1" t="n">
        <v>6</v>
      </c>
      <c r="I556" s="10" t="n">
        <v>39970</v>
      </c>
      <c r="J556" s="10" t="n">
        <v>39975</v>
      </c>
      <c r="K556" s="1" t="n">
        <v>5</v>
      </c>
      <c r="L556" s="1" t="n">
        <v>5</v>
      </c>
      <c r="M556" s="3" t="s">
        <v>36</v>
      </c>
      <c r="N556" s="3" t="s">
        <v>37</v>
      </c>
      <c r="O556" s="8" t="s">
        <v>75</v>
      </c>
      <c r="P556" s="2" t="str">
        <f aca="false">CONCATENATE(N556," ",O556)</f>
        <v>Ozyptila praticola</v>
      </c>
      <c r="Q556" s="1" t="s">
        <v>30</v>
      </c>
      <c r="R556" s="1" t="s">
        <v>31</v>
      </c>
      <c r="S556" s="1" t="n">
        <v>1</v>
      </c>
      <c r="T556" s="1" t="n">
        <v>0</v>
      </c>
      <c r="U556" s="1" t="n">
        <v>0</v>
      </c>
      <c r="V556" s="1" t="n">
        <v>0</v>
      </c>
      <c r="W556" s="1" t="n">
        <v>0</v>
      </c>
      <c r="X556" s="1" t="n">
        <v>0</v>
      </c>
      <c r="Y556" s="3" t="n">
        <f aca="false">SUM(S556:T556)</f>
        <v>1</v>
      </c>
      <c r="Z556" s="3" t="n">
        <f aca="false">SUM(U556:W556)</f>
        <v>0</v>
      </c>
      <c r="AA556" s="3" t="n">
        <f aca="false">SUM(S556:X556)</f>
        <v>1</v>
      </c>
      <c r="AB556" s="11" t="n">
        <f aca="false">(AA556/(K556*L556)*25)*4</f>
        <v>4</v>
      </c>
    </row>
    <row r="557" customFormat="false" ht="14.25" hidden="false" customHeight="false" outlineLevel="0" collapsed="false">
      <c r="A557" s="1" t="n">
        <v>2009</v>
      </c>
      <c r="B557" s="7" t="s">
        <v>322</v>
      </c>
      <c r="C557" s="7" t="n">
        <v>2</v>
      </c>
      <c r="D557" s="7" t="s">
        <v>294</v>
      </c>
      <c r="E557" s="7" t="s">
        <v>294</v>
      </c>
      <c r="F557" s="7" t="s">
        <v>158</v>
      </c>
      <c r="G557" s="1" t="n">
        <v>2</v>
      </c>
      <c r="H557" s="1" t="n">
        <v>6</v>
      </c>
      <c r="I557" s="10" t="n">
        <v>39970</v>
      </c>
      <c r="J557" s="10" t="n">
        <v>39975</v>
      </c>
      <c r="K557" s="1" t="n">
        <v>5</v>
      </c>
      <c r="L557" s="1" t="n">
        <v>5</v>
      </c>
      <c r="M557" s="3" t="s">
        <v>36</v>
      </c>
      <c r="N557" s="3" t="s">
        <v>131</v>
      </c>
      <c r="O557" s="3" t="s">
        <v>133</v>
      </c>
      <c r="P557" s="2" t="str">
        <f aca="false">CONCATENATE(N557," ",O557)</f>
        <v>Xysticus luctuosus</v>
      </c>
      <c r="Q557" s="1" t="s">
        <v>30</v>
      </c>
      <c r="R557" s="1" t="s">
        <v>31</v>
      </c>
      <c r="S557" s="1" t="n">
        <v>1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0</v>
      </c>
      <c r="Y557" s="3" t="n">
        <f aca="false">SUM(S557:T557)</f>
        <v>1</v>
      </c>
      <c r="Z557" s="3" t="n">
        <f aca="false">SUM(U557:W557)</f>
        <v>0</v>
      </c>
      <c r="AA557" s="3" t="n">
        <f aca="false">SUM(S557:X557)</f>
        <v>1</v>
      </c>
      <c r="AB557" s="11" t="n">
        <f aca="false">(AA557/(K557*L557)*25)*4</f>
        <v>4</v>
      </c>
    </row>
    <row r="558" customFormat="false" ht="14.25" hidden="false" customHeight="false" outlineLevel="0" collapsed="false">
      <c r="A558" s="1" t="n">
        <v>2009</v>
      </c>
      <c r="B558" s="7" t="s">
        <v>322</v>
      </c>
      <c r="C558" s="7" t="n">
        <v>2</v>
      </c>
      <c r="D558" s="7" t="s">
        <v>294</v>
      </c>
      <c r="E558" s="7" t="s">
        <v>294</v>
      </c>
      <c r="F558" s="7" t="s">
        <v>158</v>
      </c>
      <c r="G558" s="1" t="n">
        <v>2</v>
      </c>
      <c r="H558" s="1" t="n">
        <v>6</v>
      </c>
      <c r="I558" s="10" t="n">
        <v>39970</v>
      </c>
      <c r="J558" s="10" t="n">
        <v>39975</v>
      </c>
      <c r="K558" s="1" t="n">
        <v>5</v>
      </c>
      <c r="L558" s="1" t="n">
        <v>5</v>
      </c>
      <c r="M558" s="3" t="s">
        <v>32</v>
      </c>
      <c r="N558" s="3" t="s">
        <v>102</v>
      </c>
      <c r="O558" s="3" t="s">
        <v>192</v>
      </c>
      <c r="P558" s="2" t="str">
        <f aca="false">CONCATENATE(N558," ",O558)</f>
        <v>Agyneta allosubtilis</v>
      </c>
      <c r="Q558" s="1" t="s">
        <v>30</v>
      </c>
      <c r="R558" s="1" t="s">
        <v>35</v>
      </c>
      <c r="S558" s="1" t="n">
        <v>0</v>
      </c>
      <c r="T558" s="1" t="n">
        <v>1</v>
      </c>
      <c r="U558" s="1" t="n">
        <v>0</v>
      </c>
      <c r="V558" s="1" t="n">
        <v>0</v>
      </c>
      <c r="W558" s="1" t="n">
        <v>0</v>
      </c>
      <c r="X558" s="1" t="n">
        <v>0</v>
      </c>
      <c r="Y558" s="3" t="n">
        <f aca="false">SUM(S558:T558)</f>
        <v>1</v>
      </c>
      <c r="Z558" s="3" t="n">
        <f aca="false">SUM(U558:W558)</f>
        <v>0</v>
      </c>
      <c r="AA558" s="3" t="n">
        <f aca="false">SUM(S558:X558)</f>
        <v>1</v>
      </c>
      <c r="AB558" s="11" t="n">
        <f aca="false">(AA558/(K558*L558)*25)*4</f>
        <v>4</v>
      </c>
    </row>
    <row r="559" customFormat="false" ht="14.25" hidden="false" customHeight="false" outlineLevel="0" collapsed="false">
      <c r="A559" s="1" t="n">
        <v>2009</v>
      </c>
      <c r="B559" s="7" t="s">
        <v>322</v>
      </c>
      <c r="C559" s="7" t="n">
        <v>2</v>
      </c>
      <c r="D559" s="7" t="s">
        <v>294</v>
      </c>
      <c r="E559" s="7" t="s">
        <v>294</v>
      </c>
      <c r="F559" s="7" t="s">
        <v>158</v>
      </c>
      <c r="G559" s="1" t="n">
        <v>2</v>
      </c>
      <c r="H559" s="1" t="n">
        <v>7</v>
      </c>
      <c r="I559" s="10" t="n">
        <v>39970</v>
      </c>
      <c r="J559" s="10" t="n">
        <v>39975</v>
      </c>
      <c r="K559" s="1" t="n">
        <v>5</v>
      </c>
      <c r="L559" s="1" t="n">
        <v>5</v>
      </c>
      <c r="M559" s="3" t="s">
        <v>48</v>
      </c>
      <c r="N559" s="3" t="s">
        <v>49</v>
      </c>
      <c r="O559" s="3" t="s">
        <v>104</v>
      </c>
      <c r="P559" s="2" t="str">
        <f aca="false">CONCATENATE(N559," ",O559)</f>
        <v>Alopecosa taeniata</v>
      </c>
      <c r="Q559" s="1" t="s">
        <v>30</v>
      </c>
      <c r="R559" s="1" t="s">
        <v>31</v>
      </c>
      <c r="S559" s="1" t="n">
        <v>5</v>
      </c>
      <c r="T559" s="1" t="n">
        <v>0</v>
      </c>
      <c r="U559" s="1" t="n">
        <v>0</v>
      </c>
      <c r="V559" s="1" t="n">
        <v>0</v>
      </c>
      <c r="W559" s="1" t="n">
        <v>0</v>
      </c>
      <c r="X559" s="1" t="n">
        <v>0</v>
      </c>
      <c r="Y559" s="3" t="n">
        <f aca="false">SUM(S559:T559)</f>
        <v>5</v>
      </c>
      <c r="Z559" s="3" t="n">
        <f aca="false">SUM(U559:W559)</f>
        <v>0</v>
      </c>
      <c r="AA559" s="3" t="n">
        <f aca="false">SUM(S559:X559)</f>
        <v>5</v>
      </c>
      <c r="AB559" s="11" t="n">
        <f aca="false">(AA559/(K559*L559)*25)*4</f>
        <v>20</v>
      </c>
    </row>
    <row r="560" customFormat="false" ht="14.25" hidden="false" customHeight="false" outlineLevel="0" collapsed="false">
      <c r="A560" s="1" t="n">
        <v>2009</v>
      </c>
      <c r="B560" s="7" t="s">
        <v>322</v>
      </c>
      <c r="C560" s="7" t="n">
        <v>2</v>
      </c>
      <c r="D560" s="7" t="s">
        <v>294</v>
      </c>
      <c r="E560" s="7" t="s">
        <v>294</v>
      </c>
      <c r="F560" s="7" t="s">
        <v>158</v>
      </c>
      <c r="G560" s="1" t="n">
        <v>2</v>
      </c>
      <c r="H560" s="1" t="n">
        <v>7</v>
      </c>
      <c r="I560" s="10" t="n">
        <v>39970</v>
      </c>
      <c r="J560" s="10" t="n">
        <v>39975</v>
      </c>
      <c r="K560" s="1" t="n">
        <v>5</v>
      </c>
      <c r="L560" s="1" t="n">
        <v>5</v>
      </c>
      <c r="M560" s="3" t="s">
        <v>48</v>
      </c>
      <c r="N560" s="3" t="s">
        <v>67</v>
      </c>
      <c r="O560" s="3" t="s">
        <v>127</v>
      </c>
      <c r="P560" s="2" t="str">
        <f aca="false">CONCATENATE(N560," ",O560)</f>
        <v>Pardosa lugubris</v>
      </c>
      <c r="Q560" s="1" t="s">
        <v>30</v>
      </c>
      <c r="R560" s="1" t="s">
        <v>31</v>
      </c>
      <c r="S560" s="1" t="n">
        <v>1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0</v>
      </c>
      <c r="Y560" s="3" t="n">
        <f aca="false">SUM(S560:T560)</f>
        <v>1</v>
      </c>
      <c r="Z560" s="3" t="n">
        <f aca="false">SUM(U560:W560)</f>
        <v>0</v>
      </c>
      <c r="AA560" s="3" t="n">
        <f aca="false">SUM(S560:X560)</f>
        <v>1</v>
      </c>
      <c r="AB560" s="11" t="n">
        <f aca="false">(AA560/(K560*L560)*25)*4</f>
        <v>4</v>
      </c>
    </row>
    <row r="561" customFormat="false" ht="14.25" hidden="false" customHeight="false" outlineLevel="0" collapsed="false">
      <c r="A561" s="1" t="n">
        <v>2009</v>
      </c>
      <c r="B561" s="7" t="s">
        <v>322</v>
      </c>
      <c r="C561" s="7" t="n">
        <v>2</v>
      </c>
      <c r="D561" s="7" t="s">
        <v>294</v>
      </c>
      <c r="E561" s="7" t="s">
        <v>294</v>
      </c>
      <c r="F561" s="7" t="s">
        <v>158</v>
      </c>
      <c r="G561" s="1" t="n">
        <v>2</v>
      </c>
      <c r="H561" s="1" t="n">
        <v>7</v>
      </c>
      <c r="I561" s="10" t="n">
        <v>39970</v>
      </c>
      <c r="J561" s="10" t="n">
        <v>39975</v>
      </c>
      <c r="K561" s="1" t="n">
        <v>5</v>
      </c>
      <c r="L561" s="1" t="n">
        <v>5</v>
      </c>
      <c r="M561" s="3" t="s">
        <v>48</v>
      </c>
      <c r="N561" s="3" t="s">
        <v>61</v>
      </c>
      <c r="O561" s="3" t="s">
        <v>82</v>
      </c>
      <c r="P561" s="2" t="str">
        <f aca="false">CONCATENATE(N561," ",O561)</f>
        <v>Trochosa terricola</v>
      </c>
      <c r="Q561" s="1" t="s">
        <v>30</v>
      </c>
      <c r="R561" s="1" t="s">
        <v>35</v>
      </c>
      <c r="S561" s="1" t="n">
        <v>0</v>
      </c>
      <c r="T561" s="1" t="n">
        <v>1</v>
      </c>
      <c r="U561" s="1" t="n">
        <v>0</v>
      </c>
      <c r="V561" s="1" t="n">
        <v>0</v>
      </c>
      <c r="W561" s="1" t="n">
        <v>0</v>
      </c>
      <c r="X561" s="1" t="n">
        <v>0</v>
      </c>
      <c r="Y561" s="3" t="n">
        <f aca="false">SUM(S561:T561)</f>
        <v>1</v>
      </c>
      <c r="Z561" s="3" t="n">
        <f aca="false">SUM(U561:W561)</f>
        <v>0</v>
      </c>
      <c r="AA561" s="3" t="n">
        <f aca="false">SUM(S561:X561)</f>
        <v>1</v>
      </c>
      <c r="AB561" s="11" t="n">
        <f aca="false">(AA561/(K561*L561)*25)*4</f>
        <v>4</v>
      </c>
    </row>
    <row r="562" customFormat="false" ht="14.25" hidden="false" customHeight="false" outlineLevel="0" collapsed="false">
      <c r="A562" s="1" t="n">
        <v>2009</v>
      </c>
      <c r="B562" s="7" t="s">
        <v>322</v>
      </c>
      <c r="C562" s="7" t="n">
        <v>2</v>
      </c>
      <c r="D562" s="7" t="s">
        <v>294</v>
      </c>
      <c r="E562" s="7" t="s">
        <v>294</v>
      </c>
      <c r="F562" s="7" t="s">
        <v>158</v>
      </c>
      <c r="G562" s="1" t="n">
        <v>2</v>
      </c>
      <c r="H562" s="1" t="n">
        <v>7</v>
      </c>
      <c r="I562" s="10" t="n">
        <v>39970</v>
      </c>
      <c r="J562" s="10" t="n">
        <v>39975</v>
      </c>
      <c r="K562" s="1" t="n">
        <v>5</v>
      </c>
      <c r="L562" s="1" t="n">
        <v>5</v>
      </c>
      <c r="M562" s="3" t="s">
        <v>72</v>
      </c>
      <c r="N562" s="3" t="s">
        <v>86</v>
      </c>
      <c r="O562" s="8" t="s">
        <v>87</v>
      </c>
      <c r="P562" s="2" t="str">
        <f aca="false">CONCATENATE(N562," ",O562)</f>
        <v>Haplodrassus soerenseni</v>
      </c>
      <c r="Q562" s="1" t="s">
        <v>30</v>
      </c>
      <c r="R562" s="1" t="s">
        <v>31</v>
      </c>
      <c r="S562" s="1" t="n">
        <v>1</v>
      </c>
      <c r="T562" s="1" t="n">
        <v>0</v>
      </c>
      <c r="U562" s="1" t="n">
        <v>0</v>
      </c>
      <c r="V562" s="1" t="n">
        <v>0</v>
      </c>
      <c r="W562" s="1" t="n">
        <v>0</v>
      </c>
      <c r="X562" s="1" t="n">
        <v>0</v>
      </c>
      <c r="Y562" s="3" t="n">
        <f aca="false">SUM(S562:T562)</f>
        <v>1</v>
      </c>
      <c r="Z562" s="3" t="n">
        <f aca="false">SUM(U562:W562)</f>
        <v>0</v>
      </c>
      <c r="AA562" s="3" t="n">
        <f aca="false">SUM(S562:X562)</f>
        <v>1</v>
      </c>
      <c r="AB562" s="11" t="n">
        <f aca="false">(AA562/(K562*L562)*25)*4</f>
        <v>4</v>
      </c>
    </row>
    <row r="563" customFormat="false" ht="14.25" hidden="false" customHeight="false" outlineLevel="0" collapsed="false">
      <c r="A563" s="1" t="n">
        <v>2009</v>
      </c>
      <c r="B563" s="7" t="s">
        <v>322</v>
      </c>
      <c r="C563" s="7" t="n">
        <v>2</v>
      </c>
      <c r="D563" s="7" t="s">
        <v>294</v>
      </c>
      <c r="E563" s="7" t="s">
        <v>294</v>
      </c>
      <c r="F563" s="7" t="s">
        <v>158</v>
      </c>
      <c r="G563" s="1" t="n">
        <v>2</v>
      </c>
      <c r="H563" s="1" t="n">
        <v>7</v>
      </c>
      <c r="I563" s="10" t="n">
        <v>39970</v>
      </c>
      <c r="J563" s="10" t="n">
        <v>39975</v>
      </c>
      <c r="K563" s="1" t="n">
        <v>5</v>
      </c>
      <c r="L563" s="1" t="n">
        <v>5</v>
      </c>
      <c r="M563" s="3" t="s">
        <v>36</v>
      </c>
      <c r="N563" s="3" t="s">
        <v>131</v>
      </c>
      <c r="O563" s="3" t="s">
        <v>133</v>
      </c>
      <c r="P563" s="2" t="str">
        <f aca="false">CONCATENATE(N563," ",O563)</f>
        <v>Xysticus luctuosus</v>
      </c>
      <c r="Q563" s="1" t="s">
        <v>30</v>
      </c>
      <c r="R563" s="1" t="s">
        <v>31</v>
      </c>
      <c r="S563" s="1" t="n">
        <v>1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0</v>
      </c>
      <c r="Y563" s="3" t="n">
        <f aca="false">SUM(S563:T563)</f>
        <v>1</v>
      </c>
      <c r="Z563" s="3" t="n">
        <f aca="false">SUM(U563:W563)</f>
        <v>0</v>
      </c>
      <c r="AA563" s="3" t="n">
        <f aca="false">SUM(S563:X563)</f>
        <v>1</v>
      </c>
      <c r="AB563" s="11" t="n">
        <f aca="false">(AA563/(K563*L563)*25)*4</f>
        <v>4</v>
      </c>
    </row>
    <row r="564" customFormat="false" ht="14.25" hidden="false" customHeight="false" outlineLevel="0" collapsed="false">
      <c r="A564" s="1" t="n">
        <v>2009</v>
      </c>
      <c r="B564" s="7" t="s">
        <v>322</v>
      </c>
      <c r="C564" s="7" t="n">
        <v>2</v>
      </c>
      <c r="D564" s="7" t="s">
        <v>294</v>
      </c>
      <c r="E564" s="7" t="s">
        <v>294</v>
      </c>
      <c r="F564" s="7" t="s">
        <v>158</v>
      </c>
      <c r="G564" s="1" t="n">
        <v>2</v>
      </c>
      <c r="H564" s="1" t="n">
        <v>7</v>
      </c>
      <c r="I564" s="10" t="n">
        <v>39970</v>
      </c>
      <c r="J564" s="10" t="n">
        <v>39975</v>
      </c>
      <c r="K564" s="1" t="n">
        <v>5</v>
      </c>
      <c r="L564" s="1" t="n">
        <v>5</v>
      </c>
      <c r="M564" s="3" t="s">
        <v>48</v>
      </c>
      <c r="N564" s="3" t="s">
        <v>49</v>
      </c>
      <c r="O564" s="3" t="s">
        <v>130</v>
      </c>
      <c r="P564" s="2" t="str">
        <f aca="false">CONCATENATE(N564," ",O564)</f>
        <v>Alopecosa aculeata</v>
      </c>
      <c r="Q564" s="1" t="s">
        <v>30</v>
      </c>
      <c r="R564" s="1" t="s">
        <v>31</v>
      </c>
      <c r="S564" s="1" t="n">
        <v>1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0</v>
      </c>
      <c r="Y564" s="3" t="n">
        <f aca="false">SUM(S564:T564)</f>
        <v>1</v>
      </c>
      <c r="Z564" s="3" t="n">
        <f aca="false">SUM(U564:W564)</f>
        <v>0</v>
      </c>
      <c r="AA564" s="3" t="n">
        <f aca="false">SUM(S564:X564)</f>
        <v>1</v>
      </c>
      <c r="AB564" s="11" t="n">
        <f aca="false">(AA564/(K564*L564)*25)*4</f>
        <v>4</v>
      </c>
    </row>
    <row r="565" customFormat="false" ht="14.25" hidden="false" customHeight="false" outlineLevel="0" collapsed="false">
      <c r="A565" s="1" t="n">
        <v>2009</v>
      </c>
      <c r="B565" s="7" t="s">
        <v>322</v>
      </c>
      <c r="C565" s="7" t="n">
        <v>2</v>
      </c>
      <c r="D565" s="7" t="s">
        <v>294</v>
      </c>
      <c r="E565" s="7" t="s">
        <v>294</v>
      </c>
      <c r="F565" s="7" t="s">
        <v>158</v>
      </c>
      <c r="G565" s="1" t="n">
        <v>2</v>
      </c>
      <c r="H565" s="1" t="n">
        <v>8</v>
      </c>
      <c r="I565" s="10" t="n">
        <v>39970</v>
      </c>
      <c r="J565" s="10" t="n">
        <v>39975</v>
      </c>
      <c r="K565" s="1" t="n">
        <v>5</v>
      </c>
      <c r="L565" s="1" t="n">
        <v>5</v>
      </c>
      <c r="M565" s="3" t="s">
        <v>48</v>
      </c>
      <c r="N565" s="3" t="s">
        <v>49</v>
      </c>
      <c r="O565" s="3" t="s">
        <v>130</v>
      </c>
      <c r="P565" s="2" t="str">
        <f aca="false">CONCATENATE(N565," ",O565)</f>
        <v>Alopecosa aculeata</v>
      </c>
      <c r="Q565" s="1" t="s">
        <v>30</v>
      </c>
      <c r="R565" s="1" t="s">
        <v>31</v>
      </c>
      <c r="S565" s="1" t="n">
        <v>1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0</v>
      </c>
      <c r="Y565" s="3" t="n">
        <f aca="false">SUM(S565:T565)</f>
        <v>1</v>
      </c>
      <c r="Z565" s="3" t="n">
        <f aca="false">SUM(U565:W565)</f>
        <v>0</v>
      </c>
      <c r="AA565" s="3" t="n">
        <f aca="false">SUM(S565:X565)</f>
        <v>1</v>
      </c>
      <c r="AB565" s="11" t="n">
        <f aca="false">(AA565/(K565*L565)*25)*4</f>
        <v>4</v>
      </c>
    </row>
    <row r="566" customFormat="false" ht="14.25" hidden="false" customHeight="false" outlineLevel="0" collapsed="false">
      <c r="A566" s="1" t="n">
        <v>2009</v>
      </c>
      <c r="B566" s="7" t="s">
        <v>322</v>
      </c>
      <c r="C566" s="7" t="n">
        <v>2</v>
      </c>
      <c r="D566" s="7" t="s">
        <v>294</v>
      </c>
      <c r="E566" s="7" t="s">
        <v>294</v>
      </c>
      <c r="F566" s="7" t="s">
        <v>158</v>
      </c>
      <c r="G566" s="1" t="n">
        <v>2</v>
      </c>
      <c r="H566" s="1" t="n">
        <v>8</v>
      </c>
      <c r="I566" s="10" t="n">
        <v>39970</v>
      </c>
      <c r="J566" s="10" t="n">
        <v>39975</v>
      </c>
      <c r="K566" s="1" t="n">
        <v>5</v>
      </c>
      <c r="L566" s="1" t="n">
        <v>5</v>
      </c>
      <c r="M566" s="3" t="s">
        <v>48</v>
      </c>
      <c r="N566" s="3" t="s">
        <v>67</v>
      </c>
      <c r="O566" s="3" t="s">
        <v>127</v>
      </c>
      <c r="P566" s="2" t="str">
        <f aca="false">CONCATENATE(N566," ",O566)</f>
        <v>Pardosa lugubris</v>
      </c>
      <c r="Q566" s="1" t="s">
        <v>30</v>
      </c>
      <c r="R566" s="1" t="s">
        <v>31</v>
      </c>
      <c r="S566" s="1" t="n">
        <v>4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0</v>
      </c>
      <c r="Y566" s="3" t="n">
        <f aca="false">SUM(S566:T566)</f>
        <v>4</v>
      </c>
      <c r="Z566" s="3" t="n">
        <f aca="false">SUM(U566:W566)</f>
        <v>0</v>
      </c>
      <c r="AA566" s="3" t="n">
        <f aca="false">SUM(S566:X566)</f>
        <v>4</v>
      </c>
      <c r="AB566" s="11" t="n">
        <f aca="false">(AA566/(K566*L566)*25)*4</f>
        <v>16</v>
      </c>
    </row>
    <row r="567" customFormat="false" ht="14.25" hidden="false" customHeight="false" outlineLevel="0" collapsed="false">
      <c r="A567" s="1" t="n">
        <v>2009</v>
      </c>
      <c r="B567" s="7" t="s">
        <v>322</v>
      </c>
      <c r="C567" s="7" t="n">
        <v>2</v>
      </c>
      <c r="D567" s="7" t="s">
        <v>294</v>
      </c>
      <c r="E567" s="7" t="s">
        <v>294</v>
      </c>
      <c r="F567" s="7" t="s">
        <v>158</v>
      </c>
      <c r="G567" s="1" t="n">
        <v>2</v>
      </c>
      <c r="H567" s="1" t="n">
        <v>8</v>
      </c>
      <c r="I567" s="10" t="n">
        <v>39970</v>
      </c>
      <c r="J567" s="10" t="n">
        <v>39975</v>
      </c>
      <c r="K567" s="1" t="n">
        <v>5</v>
      </c>
      <c r="L567" s="1" t="n">
        <v>5</v>
      </c>
      <c r="M567" s="3" t="s">
        <v>48</v>
      </c>
      <c r="N567" s="3" t="s">
        <v>67</v>
      </c>
      <c r="O567" s="3" t="s">
        <v>127</v>
      </c>
      <c r="P567" s="2" t="str">
        <f aca="false">CONCATENATE(N567," ",O567)</f>
        <v>Pardosa lugubris</v>
      </c>
      <c r="Q567" s="1" t="s">
        <v>30</v>
      </c>
      <c r="R567" s="1" t="s">
        <v>35</v>
      </c>
      <c r="S567" s="1" t="n">
        <v>0</v>
      </c>
      <c r="T567" s="1" t="n">
        <v>1</v>
      </c>
      <c r="U567" s="1" t="n">
        <v>0</v>
      </c>
      <c r="V567" s="1" t="n">
        <v>0</v>
      </c>
      <c r="W567" s="1" t="n">
        <v>0</v>
      </c>
      <c r="X567" s="1" t="n">
        <v>0</v>
      </c>
      <c r="Y567" s="3" t="n">
        <f aca="false">SUM(S567:T567)</f>
        <v>1</v>
      </c>
      <c r="Z567" s="3" t="n">
        <f aca="false">SUM(U567:W567)</f>
        <v>0</v>
      </c>
      <c r="AA567" s="3" t="n">
        <f aca="false">SUM(S567:X567)</f>
        <v>1</v>
      </c>
      <c r="AB567" s="11" t="n">
        <f aca="false">(AA567/(K567*L567)*25)*4</f>
        <v>4</v>
      </c>
    </row>
    <row r="568" customFormat="false" ht="14.25" hidden="false" customHeight="false" outlineLevel="0" collapsed="false">
      <c r="A568" s="1" t="n">
        <v>2009</v>
      </c>
      <c r="B568" s="7" t="s">
        <v>322</v>
      </c>
      <c r="C568" s="7" t="n">
        <v>2</v>
      </c>
      <c r="D568" s="7" t="s">
        <v>294</v>
      </c>
      <c r="E568" s="7" t="s">
        <v>294</v>
      </c>
      <c r="F568" s="7" t="s">
        <v>158</v>
      </c>
      <c r="G568" s="1" t="n">
        <v>2</v>
      </c>
      <c r="H568" s="1" t="n">
        <v>8</v>
      </c>
      <c r="I568" s="10" t="n">
        <v>39970</v>
      </c>
      <c r="J568" s="10" t="n">
        <v>39975</v>
      </c>
      <c r="K568" s="1" t="n">
        <v>5</v>
      </c>
      <c r="L568" s="1" t="n">
        <v>5</v>
      </c>
      <c r="M568" s="3" t="s">
        <v>36</v>
      </c>
      <c r="N568" s="3" t="s">
        <v>37</v>
      </c>
      <c r="O568" s="8" t="s">
        <v>75</v>
      </c>
      <c r="P568" s="2" t="str">
        <f aca="false">CONCATENATE(N568," ",O568)</f>
        <v>Ozyptila praticola</v>
      </c>
      <c r="Q568" s="1" t="s">
        <v>30</v>
      </c>
      <c r="R568" s="1" t="s">
        <v>35</v>
      </c>
      <c r="S568" s="1" t="n">
        <v>0</v>
      </c>
      <c r="T568" s="1" t="n">
        <v>1</v>
      </c>
      <c r="U568" s="1" t="n">
        <v>0</v>
      </c>
      <c r="V568" s="1" t="n">
        <v>0</v>
      </c>
      <c r="W568" s="1" t="n">
        <v>0</v>
      </c>
      <c r="X568" s="1" t="n">
        <v>0</v>
      </c>
      <c r="Y568" s="3" t="n">
        <f aca="false">SUM(S568:T568)</f>
        <v>1</v>
      </c>
      <c r="Z568" s="3" t="n">
        <f aca="false">SUM(U568:W568)</f>
        <v>0</v>
      </c>
      <c r="AA568" s="3" t="n">
        <f aca="false">SUM(S568:X568)</f>
        <v>1</v>
      </c>
      <c r="AB568" s="11" t="n">
        <f aca="false">(AA568/(K568*L568)*25)*4</f>
        <v>4</v>
      </c>
    </row>
    <row r="569" customFormat="false" ht="14.25" hidden="false" customHeight="false" outlineLevel="0" collapsed="false">
      <c r="A569" s="1" t="n">
        <v>2009</v>
      </c>
      <c r="B569" s="7" t="s">
        <v>322</v>
      </c>
      <c r="C569" s="7" t="n">
        <v>2</v>
      </c>
      <c r="D569" s="7" t="s">
        <v>294</v>
      </c>
      <c r="E569" s="7" t="s">
        <v>294</v>
      </c>
      <c r="F569" s="7" t="s">
        <v>158</v>
      </c>
      <c r="G569" s="1" t="n">
        <v>2</v>
      </c>
      <c r="H569" s="1" t="n">
        <v>8</v>
      </c>
      <c r="I569" s="10" t="n">
        <v>39970</v>
      </c>
      <c r="J569" s="10" t="n">
        <v>39975</v>
      </c>
      <c r="K569" s="1" t="n">
        <v>5</v>
      </c>
      <c r="L569" s="1" t="n">
        <v>5</v>
      </c>
      <c r="M569" s="3" t="s">
        <v>36</v>
      </c>
      <c r="N569" s="3" t="s">
        <v>131</v>
      </c>
      <c r="O569" s="3" t="s">
        <v>199</v>
      </c>
      <c r="P569" s="2" t="str">
        <f aca="false">CONCATENATE(N569," ",O569)</f>
        <v>Xysticus obscurus</v>
      </c>
      <c r="Q569" s="1" t="s">
        <v>30</v>
      </c>
      <c r="R569" s="1" t="s">
        <v>31</v>
      </c>
      <c r="S569" s="1" t="n">
        <v>1</v>
      </c>
      <c r="T569" s="1" t="n">
        <v>0</v>
      </c>
      <c r="U569" s="1" t="n">
        <v>0</v>
      </c>
      <c r="V569" s="1" t="n">
        <v>0</v>
      </c>
      <c r="W569" s="1" t="n">
        <v>0</v>
      </c>
      <c r="X569" s="1" t="n">
        <v>0</v>
      </c>
      <c r="Y569" s="3" t="n">
        <f aca="false">SUM(S569:T569)</f>
        <v>1</v>
      </c>
      <c r="Z569" s="3" t="n">
        <f aca="false">SUM(U569:W569)</f>
        <v>0</v>
      </c>
      <c r="AA569" s="3" t="n">
        <f aca="false">SUM(S569:X569)</f>
        <v>1</v>
      </c>
      <c r="AB569" s="11" t="n">
        <f aca="false">(AA569/(K569*L569)*25)*4</f>
        <v>4</v>
      </c>
    </row>
    <row r="570" customFormat="false" ht="14.25" hidden="false" customHeight="false" outlineLevel="0" collapsed="false">
      <c r="A570" s="1" t="n">
        <v>2009</v>
      </c>
      <c r="B570" s="7" t="s">
        <v>322</v>
      </c>
      <c r="C570" s="7" t="n">
        <v>2</v>
      </c>
      <c r="D570" s="7" t="s">
        <v>294</v>
      </c>
      <c r="E570" s="7" t="s">
        <v>294</v>
      </c>
      <c r="F570" s="7" t="s">
        <v>158</v>
      </c>
      <c r="G570" s="1" t="n">
        <v>2</v>
      </c>
      <c r="H570" s="1" t="n">
        <v>8</v>
      </c>
      <c r="I570" s="10" t="n">
        <v>39970</v>
      </c>
      <c r="J570" s="10" t="n">
        <v>39975</v>
      </c>
      <c r="K570" s="1" t="n">
        <v>5</v>
      </c>
      <c r="L570" s="1" t="n">
        <v>5</v>
      </c>
      <c r="M570" s="3" t="s">
        <v>64</v>
      </c>
      <c r="N570" s="3" t="s">
        <v>65</v>
      </c>
      <c r="O570" s="3" t="s">
        <v>123</v>
      </c>
      <c r="P570" s="2" t="str">
        <f aca="false">CONCATENATE(N570," ",O570)</f>
        <v>Zora nemoralis</v>
      </c>
      <c r="Q570" s="1" t="s">
        <v>30</v>
      </c>
      <c r="R570" s="1" t="s">
        <v>31</v>
      </c>
      <c r="S570" s="1" t="n">
        <v>1</v>
      </c>
      <c r="T570" s="1" t="n">
        <v>0</v>
      </c>
      <c r="U570" s="1" t="n">
        <v>0</v>
      </c>
      <c r="V570" s="1" t="n">
        <v>0</v>
      </c>
      <c r="W570" s="1" t="n">
        <v>0</v>
      </c>
      <c r="X570" s="1" t="n">
        <v>0</v>
      </c>
      <c r="Y570" s="3" t="n">
        <f aca="false">SUM(S570:T570)</f>
        <v>1</v>
      </c>
      <c r="Z570" s="3" t="n">
        <f aca="false">SUM(U570:W570)</f>
        <v>0</v>
      </c>
      <c r="AA570" s="3" t="n">
        <f aca="false">SUM(S570:X570)</f>
        <v>1</v>
      </c>
      <c r="AB570" s="11" t="n">
        <f aca="false">(AA570/(K570*L570)*25)*4</f>
        <v>4</v>
      </c>
    </row>
    <row r="571" customFormat="false" ht="14.25" hidden="false" customHeight="false" outlineLevel="0" collapsed="false">
      <c r="A571" s="1" t="n">
        <v>2009</v>
      </c>
      <c r="B571" s="7" t="s">
        <v>322</v>
      </c>
      <c r="C571" s="7" t="n">
        <v>2</v>
      </c>
      <c r="D571" s="7" t="s">
        <v>294</v>
      </c>
      <c r="E571" s="7" t="s">
        <v>294</v>
      </c>
      <c r="F571" s="7" t="s">
        <v>158</v>
      </c>
      <c r="G571" s="1" t="n">
        <v>2</v>
      </c>
      <c r="H571" s="1" t="n">
        <v>8</v>
      </c>
      <c r="I571" s="10" t="n">
        <v>39970</v>
      </c>
      <c r="J571" s="10" t="n">
        <v>39975</v>
      </c>
      <c r="K571" s="1" t="n">
        <v>5</v>
      </c>
      <c r="L571" s="1" t="n">
        <v>5</v>
      </c>
      <c r="M571" s="13" t="s">
        <v>138</v>
      </c>
      <c r="N571" s="13" t="s">
        <v>205</v>
      </c>
      <c r="O571" s="14" t="s">
        <v>206</v>
      </c>
      <c r="P571" s="2" t="str">
        <f aca="false">CONCATENATE(N571," ",O571)</f>
        <v>Clubiona caerulescens</v>
      </c>
      <c r="Q571" s="1" t="s">
        <v>30</v>
      </c>
      <c r="R571" s="1" t="s">
        <v>35</v>
      </c>
      <c r="S571" s="1" t="n">
        <v>0</v>
      </c>
      <c r="T571" s="1" t="n">
        <v>1</v>
      </c>
      <c r="U571" s="1" t="n">
        <v>0</v>
      </c>
      <c r="V571" s="1" t="n">
        <v>0</v>
      </c>
      <c r="W571" s="1" t="n">
        <v>0</v>
      </c>
      <c r="X571" s="1" t="n">
        <v>0</v>
      </c>
      <c r="Y571" s="3" t="n">
        <f aca="false">SUM(S571:T571)</f>
        <v>1</v>
      </c>
      <c r="Z571" s="3" t="n">
        <f aca="false">SUM(U571:W571)</f>
        <v>0</v>
      </c>
      <c r="AA571" s="3" t="n">
        <f aca="false">SUM(S571:X571)</f>
        <v>1</v>
      </c>
      <c r="AB571" s="11" t="n">
        <f aca="false">(AA571/(K571*L571)*25)*4</f>
        <v>4</v>
      </c>
    </row>
    <row r="572" customFormat="false" ht="14.25" hidden="false" customHeight="false" outlineLevel="0" collapsed="false">
      <c r="A572" s="1" t="n">
        <v>2009</v>
      </c>
      <c r="B572" s="7" t="s">
        <v>322</v>
      </c>
      <c r="C572" s="7" t="n">
        <v>2</v>
      </c>
      <c r="D572" s="7" t="s">
        <v>294</v>
      </c>
      <c r="E572" s="7" t="s">
        <v>294</v>
      </c>
      <c r="F572" s="7" t="s">
        <v>158</v>
      </c>
      <c r="G572" s="1" t="n">
        <v>2</v>
      </c>
      <c r="H572" s="1" t="n">
        <v>9</v>
      </c>
      <c r="I572" s="10" t="n">
        <v>39970</v>
      </c>
      <c r="J572" s="10" t="n">
        <v>39975</v>
      </c>
      <c r="K572" s="1" t="n">
        <v>5</v>
      </c>
      <c r="L572" s="1" t="n">
        <v>5</v>
      </c>
      <c r="M572" s="3" t="s">
        <v>48</v>
      </c>
      <c r="N572" s="3" t="s">
        <v>67</v>
      </c>
      <c r="O572" s="3" t="s">
        <v>127</v>
      </c>
      <c r="P572" s="2" t="str">
        <f aca="false">CONCATENATE(N572," ",O572)</f>
        <v>Pardosa lugubris</v>
      </c>
      <c r="Q572" s="1" t="s">
        <v>30</v>
      </c>
      <c r="R572" s="1" t="s">
        <v>31</v>
      </c>
      <c r="S572" s="1" t="n">
        <v>3</v>
      </c>
      <c r="T572" s="1" t="n">
        <v>0</v>
      </c>
      <c r="U572" s="1" t="n">
        <v>0</v>
      </c>
      <c r="V572" s="1" t="n">
        <v>0</v>
      </c>
      <c r="W572" s="1" t="n">
        <v>0</v>
      </c>
      <c r="X572" s="1" t="n">
        <v>0</v>
      </c>
      <c r="Y572" s="3" t="n">
        <f aca="false">SUM(S572:T572)</f>
        <v>3</v>
      </c>
      <c r="Z572" s="3" t="n">
        <f aca="false">SUM(U572:W572)</f>
        <v>0</v>
      </c>
      <c r="AA572" s="3" t="n">
        <f aca="false">SUM(S572:X572)</f>
        <v>3</v>
      </c>
      <c r="AB572" s="11" t="n">
        <f aca="false">(AA572/(K572*L572)*25)*4</f>
        <v>12</v>
      </c>
    </row>
    <row r="573" customFormat="false" ht="14.25" hidden="false" customHeight="false" outlineLevel="0" collapsed="false">
      <c r="A573" s="1" t="n">
        <v>2009</v>
      </c>
      <c r="B573" s="7" t="s">
        <v>322</v>
      </c>
      <c r="C573" s="7" t="n">
        <v>2</v>
      </c>
      <c r="D573" s="7" t="s">
        <v>294</v>
      </c>
      <c r="E573" s="7" t="s">
        <v>294</v>
      </c>
      <c r="F573" s="7" t="s">
        <v>158</v>
      </c>
      <c r="G573" s="1" t="n">
        <v>2</v>
      </c>
      <c r="H573" s="1" t="n">
        <v>9</v>
      </c>
      <c r="I573" s="10" t="n">
        <v>39970</v>
      </c>
      <c r="J573" s="10" t="n">
        <v>39975</v>
      </c>
      <c r="K573" s="1" t="n">
        <v>5</v>
      </c>
      <c r="L573" s="1" t="n">
        <v>5</v>
      </c>
      <c r="M573" s="3" t="s">
        <v>48</v>
      </c>
      <c r="N573" s="3" t="s">
        <v>67</v>
      </c>
      <c r="O573" s="3" t="s">
        <v>127</v>
      </c>
      <c r="P573" s="2" t="str">
        <f aca="false">CONCATENATE(N573," ",O573)</f>
        <v>Pardosa lugubris</v>
      </c>
      <c r="Q573" s="1" t="s">
        <v>30</v>
      </c>
      <c r="R573" s="1" t="s">
        <v>35</v>
      </c>
      <c r="S573" s="1" t="n">
        <v>0</v>
      </c>
      <c r="T573" s="1" t="n">
        <v>1</v>
      </c>
      <c r="U573" s="1" t="n">
        <v>0</v>
      </c>
      <c r="V573" s="1" t="n">
        <v>0</v>
      </c>
      <c r="W573" s="1" t="n">
        <v>0</v>
      </c>
      <c r="X573" s="1" t="n">
        <v>0</v>
      </c>
      <c r="Y573" s="3" t="n">
        <f aca="false">SUM(S573:T573)</f>
        <v>1</v>
      </c>
      <c r="Z573" s="3" t="n">
        <f aca="false">SUM(U573:W573)</f>
        <v>0</v>
      </c>
      <c r="AA573" s="3" t="n">
        <f aca="false">SUM(S573:X573)</f>
        <v>1</v>
      </c>
      <c r="AB573" s="11" t="n">
        <f aca="false">(AA573/(K573*L573)*25)*4</f>
        <v>4</v>
      </c>
    </row>
    <row r="574" customFormat="false" ht="14.25" hidden="false" customHeight="false" outlineLevel="0" collapsed="false">
      <c r="A574" s="1" t="n">
        <v>2009</v>
      </c>
      <c r="B574" s="7" t="s">
        <v>322</v>
      </c>
      <c r="C574" s="7" t="n">
        <v>2</v>
      </c>
      <c r="D574" s="7" t="s">
        <v>294</v>
      </c>
      <c r="E574" s="7" t="s">
        <v>294</v>
      </c>
      <c r="F574" s="7" t="s">
        <v>158</v>
      </c>
      <c r="G574" s="1" t="n">
        <v>2</v>
      </c>
      <c r="H574" s="1" t="n">
        <v>9</v>
      </c>
      <c r="I574" s="10" t="n">
        <v>39970</v>
      </c>
      <c r="J574" s="10" t="n">
        <v>39975</v>
      </c>
      <c r="K574" s="1" t="n">
        <v>5</v>
      </c>
      <c r="L574" s="1" t="n">
        <v>5</v>
      </c>
      <c r="M574" s="3" t="s">
        <v>64</v>
      </c>
      <c r="N574" s="3" t="s">
        <v>65</v>
      </c>
      <c r="O574" s="3" t="s">
        <v>123</v>
      </c>
      <c r="P574" s="2" t="str">
        <f aca="false">CONCATENATE(N574," ",O574)</f>
        <v>Zora nemoralis</v>
      </c>
      <c r="Q574" s="1" t="s">
        <v>30</v>
      </c>
      <c r="R574" s="1" t="s">
        <v>31</v>
      </c>
      <c r="S574" s="1" t="n">
        <v>1</v>
      </c>
      <c r="T574" s="1" t="n">
        <v>0</v>
      </c>
      <c r="U574" s="1" t="n">
        <v>0</v>
      </c>
      <c r="V574" s="1" t="n">
        <v>0</v>
      </c>
      <c r="W574" s="1" t="n">
        <v>0</v>
      </c>
      <c r="X574" s="1" t="n">
        <v>0</v>
      </c>
      <c r="Y574" s="3" t="n">
        <f aca="false">SUM(S574:T574)</f>
        <v>1</v>
      </c>
      <c r="Z574" s="3" t="n">
        <f aca="false">SUM(U574:W574)</f>
        <v>0</v>
      </c>
      <c r="AA574" s="3" t="n">
        <f aca="false">SUM(S574:X574)</f>
        <v>1</v>
      </c>
      <c r="AB574" s="11" t="n">
        <f aca="false">(AA574/(K574*L574)*25)*4</f>
        <v>4</v>
      </c>
    </row>
    <row r="575" customFormat="false" ht="14.25" hidden="false" customHeight="false" outlineLevel="0" collapsed="false">
      <c r="A575" s="1" t="n">
        <v>2009</v>
      </c>
      <c r="B575" s="7" t="s">
        <v>322</v>
      </c>
      <c r="C575" s="7" t="n">
        <v>2</v>
      </c>
      <c r="D575" s="7" t="s">
        <v>294</v>
      </c>
      <c r="E575" s="7" t="s">
        <v>294</v>
      </c>
      <c r="F575" s="7" t="s">
        <v>158</v>
      </c>
      <c r="G575" s="1" t="n">
        <v>2</v>
      </c>
      <c r="H575" s="1" t="n">
        <v>9</v>
      </c>
      <c r="I575" s="10" t="n">
        <v>39970</v>
      </c>
      <c r="J575" s="10" t="n">
        <v>39975</v>
      </c>
      <c r="K575" s="1" t="n">
        <v>5</v>
      </c>
      <c r="L575" s="1" t="n">
        <v>5</v>
      </c>
      <c r="M575" s="3" t="s">
        <v>36</v>
      </c>
      <c r="N575" s="3" t="s">
        <v>37</v>
      </c>
      <c r="O575" s="8" t="s">
        <v>75</v>
      </c>
      <c r="P575" s="2" t="str">
        <f aca="false">CONCATENATE(N575," ",O575)</f>
        <v>Ozyptila praticola</v>
      </c>
      <c r="Q575" s="1" t="s">
        <v>30</v>
      </c>
      <c r="R575" s="1" t="s">
        <v>35</v>
      </c>
      <c r="S575" s="1" t="n">
        <v>0</v>
      </c>
      <c r="T575" s="1" t="n">
        <v>1</v>
      </c>
      <c r="U575" s="1" t="n">
        <v>0</v>
      </c>
      <c r="V575" s="1" t="n">
        <v>0</v>
      </c>
      <c r="W575" s="1" t="n">
        <v>0</v>
      </c>
      <c r="X575" s="1" t="n">
        <v>0</v>
      </c>
      <c r="Y575" s="3" t="n">
        <f aca="false">SUM(S575:T575)</f>
        <v>1</v>
      </c>
      <c r="Z575" s="3" t="n">
        <f aca="false">SUM(U575:W575)</f>
        <v>0</v>
      </c>
      <c r="AA575" s="3" t="n">
        <f aca="false">SUM(S575:X575)</f>
        <v>1</v>
      </c>
      <c r="AB575" s="11" t="n">
        <f aca="false">(AA575/(K575*L575)*25)*4</f>
        <v>4</v>
      </c>
    </row>
    <row r="576" customFormat="false" ht="14.25" hidden="false" customHeight="false" outlineLevel="0" collapsed="false">
      <c r="A576" s="1" t="n">
        <v>2009</v>
      </c>
      <c r="B576" s="7" t="s">
        <v>322</v>
      </c>
      <c r="C576" s="7" t="n">
        <v>2</v>
      </c>
      <c r="D576" s="7" t="s">
        <v>294</v>
      </c>
      <c r="E576" s="7" t="s">
        <v>294</v>
      </c>
      <c r="F576" s="7" t="s">
        <v>158</v>
      </c>
      <c r="G576" s="1" t="n">
        <v>2</v>
      </c>
      <c r="H576" s="1" t="n">
        <v>10</v>
      </c>
      <c r="I576" s="10" t="n">
        <v>39970</v>
      </c>
      <c r="J576" s="10" t="n">
        <v>39975</v>
      </c>
      <c r="K576" s="1" t="n">
        <v>5</v>
      </c>
      <c r="L576" s="1" t="n">
        <v>5</v>
      </c>
      <c r="M576" s="3" t="s">
        <v>48</v>
      </c>
      <c r="N576" s="3" t="s">
        <v>49</v>
      </c>
      <c r="O576" s="3" t="s">
        <v>104</v>
      </c>
      <c r="P576" s="2" t="str">
        <f aca="false">CONCATENATE(N576," ",O576)</f>
        <v>Alopecosa taeniata</v>
      </c>
      <c r="Q576" s="1" t="s">
        <v>30</v>
      </c>
      <c r="R576" s="1" t="s">
        <v>31</v>
      </c>
      <c r="S576" s="1" t="n">
        <v>5</v>
      </c>
      <c r="T576" s="1" t="n">
        <v>0</v>
      </c>
      <c r="U576" s="1" t="n">
        <v>0</v>
      </c>
      <c r="V576" s="1" t="n">
        <v>0</v>
      </c>
      <c r="W576" s="1" t="n">
        <v>0</v>
      </c>
      <c r="X576" s="1" t="n">
        <v>0</v>
      </c>
      <c r="Y576" s="3" t="n">
        <f aca="false">SUM(S576:T576)</f>
        <v>5</v>
      </c>
      <c r="Z576" s="3" t="n">
        <f aca="false">SUM(U576:W576)</f>
        <v>0</v>
      </c>
      <c r="AA576" s="3" t="n">
        <f aca="false">SUM(S576:X576)</f>
        <v>5</v>
      </c>
      <c r="AB576" s="11" t="n">
        <f aca="false">(AA576/(K576*L576)*25)*4</f>
        <v>20</v>
      </c>
    </row>
    <row r="577" customFormat="false" ht="14.25" hidden="false" customHeight="false" outlineLevel="0" collapsed="false">
      <c r="A577" s="1" t="n">
        <v>2009</v>
      </c>
      <c r="B577" s="7" t="s">
        <v>322</v>
      </c>
      <c r="C577" s="7" t="n">
        <v>2</v>
      </c>
      <c r="D577" s="7" t="s">
        <v>294</v>
      </c>
      <c r="E577" s="7" t="s">
        <v>294</v>
      </c>
      <c r="F577" s="7" t="s">
        <v>158</v>
      </c>
      <c r="G577" s="1" t="n">
        <v>2</v>
      </c>
      <c r="H577" s="1" t="n">
        <v>10</v>
      </c>
      <c r="I577" s="10" t="n">
        <v>39970</v>
      </c>
      <c r="J577" s="10" t="n">
        <v>39975</v>
      </c>
      <c r="K577" s="1" t="n">
        <v>5</v>
      </c>
      <c r="L577" s="1" t="n">
        <v>5</v>
      </c>
      <c r="M577" s="3" t="s">
        <v>48</v>
      </c>
      <c r="N577" s="3" t="s">
        <v>67</v>
      </c>
      <c r="O577" s="3" t="s">
        <v>127</v>
      </c>
      <c r="P577" s="2" t="str">
        <f aca="false">CONCATENATE(N577," ",O577)</f>
        <v>Pardosa lugubris</v>
      </c>
      <c r="Q577" s="1" t="s">
        <v>30</v>
      </c>
      <c r="R577" s="1" t="s">
        <v>31</v>
      </c>
      <c r="S577" s="1" t="n">
        <v>2</v>
      </c>
      <c r="T577" s="1" t="n">
        <v>0</v>
      </c>
      <c r="U577" s="1" t="n">
        <v>0</v>
      </c>
      <c r="V577" s="1" t="n">
        <v>0</v>
      </c>
      <c r="W577" s="1" t="n">
        <v>0</v>
      </c>
      <c r="X577" s="1" t="n">
        <v>0</v>
      </c>
      <c r="Y577" s="3" t="n">
        <f aca="false">SUM(S577:T577)</f>
        <v>2</v>
      </c>
      <c r="Z577" s="3" t="n">
        <f aca="false">SUM(U577:W577)</f>
        <v>0</v>
      </c>
      <c r="AA577" s="3" t="n">
        <f aca="false">SUM(S577:X577)</f>
        <v>2</v>
      </c>
      <c r="AB577" s="11" t="n">
        <f aca="false">(AA577/(K577*L577)*25)*4</f>
        <v>8</v>
      </c>
    </row>
    <row r="578" customFormat="false" ht="14.25" hidden="false" customHeight="false" outlineLevel="0" collapsed="false">
      <c r="A578" s="1" t="n">
        <v>2009</v>
      </c>
      <c r="B578" s="7" t="s">
        <v>322</v>
      </c>
      <c r="C578" s="7" t="n">
        <v>2</v>
      </c>
      <c r="D578" s="7" t="s">
        <v>294</v>
      </c>
      <c r="E578" s="7" t="s">
        <v>294</v>
      </c>
      <c r="F578" s="7" t="s">
        <v>158</v>
      </c>
      <c r="G578" s="1" t="n">
        <v>3</v>
      </c>
      <c r="H578" s="1" t="n">
        <v>11</v>
      </c>
      <c r="I578" s="10" t="n">
        <v>39970</v>
      </c>
      <c r="J578" s="10" t="n">
        <v>39975</v>
      </c>
      <c r="K578" s="1" t="n">
        <v>5</v>
      </c>
      <c r="L578" s="1" t="n">
        <v>5</v>
      </c>
      <c r="M578" s="3" t="s">
        <v>48</v>
      </c>
      <c r="N578" s="3" t="s">
        <v>49</v>
      </c>
      <c r="O578" s="3" t="s">
        <v>104</v>
      </c>
      <c r="P578" s="2" t="str">
        <f aca="false">CONCATENATE(N578," ",O578)</f>
        <v>Alopecosa taeniata</v>
      </c>
      <c r="Q578" s="1" t="s">
        <v>30</v>
      </c>
      <c r="R578" s="1" t="s">
        <v>31</v>
      </c>
      <c r="S578" s="1" t="n">
        <v>2</v>
      </c>
      <c r="T578" s="1" t="n">
        <v>0</v>
      </c>
      <c r="U578" s="1" t="n">
        <v>0</v>
      </c>
      <c r="V578" s="1" t="n">
        <v>0</v>
      </c>
      <c r="W578" s="1" t="n">
        <v>0</v>
      </c>
      <c r="X578" s="1" t="n">
        <v>0</v>
      </c>
      <c r="Y578" s="3" t="n">
        <f aca="false">SUM(S578:T578)</f>
        <v>2</v>
      </c>
      <c r="Z578" s="3" t="n">
        <f aca="false">SUM(U578:W578)</f>
        <v>0</v>
      </c>
      <c r="AA578" s="3" t="n">
        <f aca="false">SUM(S578:X578)</f>
        <v>2</v>
      </c>
      <c r="AB578" s="11" t="n">
        <f aca="false">(AA578/(K578*L578)*25)*4</f>
        <v>8</v>
      </c>
    </row>
    <row r="579" customFormat="false" ht="14.25" hidden="false" customHeight="false" outlineLevel="0" collapsed="false">
      <c r="A579" s="1" t="n">
        <v>2009</v>
      </c>
      <c r="B579" s="7" t="s">
        <v>322</v>
      </c>
      <c r="C579" s="7" t="n">
        <v>2</v>
      </c>
      <c r="D579" s="7" t="s">
        <v>294</v>
      </c>
      <c r="E579" s="7" t="s">
        <v>294</v>
      </c>
      <c r="F579" s="7" t="s">
        <v>158</v>
      </c>
      <c r="G579" s="1" t="n">
        <v>3</v>
      </c>
      <c r="H579" s="1" t="n">
        <v>11</v>
      </c>
      <c r="I579" s="10" t="n">
        <v>39970</v>
      </c>
      <c r="J579" s="10" t="n">
        <v>39975</v>
      </c>
      <c r="K579" s="1" t="n">
        <v>5</v>
      </c>
      <c r="L579" s="1" t="n">
        <v>5</v>
      </c>
      <c r="M579" s="3" t="s">
        <v>48</v>
      </c>
      <c r="N579" s="3" t="s">
        <v>49</v>
      </c>
      <c r="O579" s="3" t="s">
        <v>104</v>
      </c>
      <c r="P579" s="2" t="str">
        <f aca="false">CONCATENATE(N579," ",O579)</f>
        <v>Alopecosa taeniata</v>
      </c>
      <c r="Q579" s="1" t="s">
        <v>30</v>
      </c>
      <c r="R579" s="1" t="s">
        <v>35</v>
      </c>
      <c r="S579" s="1" t="n">
        <v>0</v>
      </c>
      <c r="T579" s="1" t="n">
        <v>1</v>
      </c>
      <c r="U579" s="1" t="n">
        <v>0</v>
      </c>
      <c r="V579" s="1" t="n">
        <v>0</v>
      </c>
      <c r="W579" s="1" t="n">
        <v>0</v>
      </c>
      <c r="X579" s="1" t="n">
        <v>0</v>
      </c>
      <c r="Y579" s="3" t="n">
        <f aca="false">SUM(S579:T579)</f>
        <v>1</v>
      </c>
      <c r="Z579" s="3" t="n">
        <f aca="false">SUM(U579:W579)</f>
        <v>0</v>
      </c>
      <c r="AA579" s="3" t="n">
        <f aca="false">SUM(S579:X579)</f>
        <v>1</v>
      </c>
      <c r="AB579" s="11" t="n">
        <f aca="false">(AA579/(K579*L579)*25)*4</f>
        <v>4</v>
      </c>
    </row>
    <row r="580" customFormat="false" ht="14.25" hidden="false" customHeight="false" outlineLevel="0" collapsed="false">
      <c r="A580" s="1" t="n">
        <v>2009</v>
      </c>
      <c r="B580" s="7" t="s">
        <v>322</v>
      </c>
      <c r="C580" s="7" t="n">
        <v>2</v>
      </c>
      <c r="D580" s="7" t="s">
        <v>294</v>
      </c>
      <c r="E580" s="7" t="s">
        <v>294</v>
      </c>
      <c r="F580" s="7" t="s">
        <v>158</v>
      </c>
      <c r="G580" s="1" t="n">
        <v>3</v>
      </c>
      <c r="H580" s="1" t="n">
        <v>11</v>
      </c>
      <c r="I580" s="10" t="n">
        <v>39970</v>
      </c>
      <c r="J580" s="10" t="n">
        <v>39975</v>
      </c>
      <c r="K580" s="1" t="n">
        <v>5</v>
      </c>
      <c r="L580" s="1" t="n">
        <v>5</v>
      </c>
      <c r="M580" s="3" t="s">
        <v>48</v>
      </c>
      <c r="N580" s="3" t="s">
        <v>67</v>
      </c>
      <c r="O580" s="3" t="s">
        <v>127</v>
      </c>
      <c r="P580" s="2" t="str">
        <f aca="false">CONCATENATE(N580," ",O580)</f>
        <v>Pardosa lugubris</v>
      </c>
      <c r="Q580" s="1" t="s">
        <v>30</v>
      </c>
      <c r="R580" s="1" t="s">
        <v>31</v>
      </c>
      <c r="S580" s="1" t="n">
        <v>4</v>
      </c>
      <c r="T580" s="1" t="n">
        <v>0</v>
      </c>
      <c r="U580" s="1" t="n">
        <v>0</v>
      </c>
      <c r="V580" s="1" t="n">
        <v>0</v>
      </c>
      <c r="W580" s="1" t="n">
        <v>0</v>
      </c>
      <c r="X580" s="1" t="n">
        <v>0</v>
      </c>
      <c r="Y580" s="3" t="n">
        <f aca="false">SUM(S580:T580)</f>
        <v>4</v>
      </c>
      <c r="Z580" s="3" t="n">
        <f aca="false">SUM(U580:W580)</f>
        <v>0</v>
      </c>
      <c r="AA580" s="3" t="n">
        <f aca="false">SUM(S580:X580)</f>
        <v>4</v>
      </c>
      <c r="AB580" s="11" t="n">
        <f aca="false">(AA580/(K580*L580)*25)*4</f>
        <v>16</v>
      </c>
    </row>
    <row r="581" customFormat="false" ht="14.25" hidden="false" customHeight="false" outlineLevel="0" collapsed="false">
      <c r="A581" s="1" t="n">
        <v>2009</v>
      </c>
      <c r="B581" s="7" t="s">
        <v>322</v>
      </c>
      <c r="C581" s="7" t="n">
        <v>2</v>
      </c>
      <c r="D581" s="7" t="s">
        <v>294</v>
      </c>
      <c r="E581" s="7" t="s">
        <v>294</v>
      </c>
      <c r="F581" s="7" t="s">
        <v>158</v>
      </c>
      <c r="G581" s="1" t="n">
        <v>3</v>
      </c>
      <c r="H581" s="1" t="n">
        <v>11</v>
      </c>
      <c r="I581" s="10" t="n">
        <v>39970</v>
      </c>
      <c r="J581" s="10" t="n">
        <v>39975</v>
      </c>
      <c r="K581" s="1" t="n">
        <v>5</v>
      </c>
      <c r="L581" s="1" t="n">
        <v>5</v>
      </c>
      <c r="M581" s="3" t="s">
        <v>36</v>
      </c>
      <c r="N581" s="3" t="s">
        <v>131</v>
      </c>
      <c r="O581" s="3" t="s">
        <v>133</v>
      </c>
      <c r="P581" s="2" t="str">
        <f aca="false">CONCATENATE(N581," ",O581)</f>
        <v>Xysticus luctuosus</v>
      </c>
      <c r="Q581" s="1" t="s">
        <v>30</v>
      </c>
      <c r="R581" s="1" t="s">
        <v>31</v>
      </c>
      <c r="S581" s="1" t="n">
        <v>2</v>
      </c>
      <c r="T581" s="1" t="n">
        <v>0</v>
      </c>
      <c r="U581" s="1" t="n">
        <v>0</v>
      </c>
      <c r="V581" s="1" t="n">
        <v>0</v>
      </c>
      <c r="W581" s="1" t="n">
        <v>0</v>
      </c>
      <c r="X581" s="1" t="n">
        <v>0</v>
      </c>
      <c r="Y581" s="3" t="n">
        <f aca="false">SUM(S581:T581)</f>
        <v>2</v>
      </c>
      <c r="Z581" s="3" t="n">
        <f aca="false">SUM(U581:W581)</f>
        <v>0</v>
      </c>
      <c r="AA581" s="3" t="n">
        <f aca="false">SUM(S581:X581)</f>
        <v>2</v>
      </c>
      <c r="AB581" s="11" t="n">
        <f aca="false">(AA581/(K581*L581)*25)*4</f>
        <v>8</v>
      </c>
    </row>
    <row r="582" customFormat="false" ht="14.25" hidden="false" customHeight="false" outlineLevel="0" collapsed="false">
      <c r="A582" s="1" t="n">
        <v>2009</v>
      </c>
      <c r="B582" s="7" t="s">
        <v>322</v>
      </c>
      <c r="C582" s="7" t="n">
        <v>2</v>
      </c>
      <c r="D582" s="7" t="s">
        <v>294</v>
      </c>
      <c r="E582" s="7" t="s">
        <v>294</v>
      </c>
      <c r="F582" s="7" t="s">
        <v>158</v>
      </c>
      <c r="G582" s="1" t="n">
        <v>3</v>
      </c>
      <c r="H582" s="1" t="n">
        <v>11</v>
      </c>
      <c r="I582" s="10" t="n">
        <v>39970</v>
      </c>
      <c r="J582" s="10" t="n">
        <v>39975</v>
      </c>
      <c r="K582" s="1" t="n">
        <v>5</v>
      </c>
      <c r="L582" s="1" t="n">
        <v>5</v>
      </c>
      <c r="M582" s="3" t="s">
        <v>135</v>
      </c>
      <c r="N582" s="3" t="s">
        <v>136</v>
      </c>
      <c r="O582" s="3" t="s">
        <v>137</v>
      </c>
      <c r="P582" s="2" t="str">
        <f aca="false">CONCATENATE(N582," ",O582)</f>
        <v>Thanatus sabulosus</v>
      </c>
      <c r="Q582" s="1" t="s">
        <v>30</v>
      </c>
      <c r="R582" s="1" t="s">
        <v>31</v>
      </c>
      <c r="S582" s="1" t="n">
        <v>1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0</v>
      </c>
      <c r="Y582" s="3" t="n">
        <f aca="false">SUM(S582:T582)</f>
        <v>1</v>
      </c>
      <c r="Z582" s="3" t="n">
        <f aca="false">SUM(U582:W582)</f>
        <v>0</v>
      </c>
      <c r="AA582" s="3" t="n">
        <f aca="false">SUM(S582:X582)</f>
        <v>1</v>
      </c>
      <c r="AB582" s="11" t="n">
        <f aca="false">(AA582/(K582*L582)*25)*4</f>
        <v>4</v>
      </c>
    </row>
    <row r="583" customFormat="false" ht="14.25" hidden="false" customHeight="false" outlineLevel="0" collapsed="false">
      <c r="A583" s="1" t="n">
        <v>2009</v>
      </c>
      <c r="B583" s="7" t="s">
        <v>322</v>
      </c>
      <c r="C583" s="7" t="n">
        <v>2</v>
      </c>
      <c r="D583" s="7" t="s">
        <v>294</v>
      </c>
      <c r="E583" s="7" t="s">
        <v>294</v>
      </c>
      <c r="F583" s="7" t="s">
        <v>158</v>
      </c>
      <c r="G583" s="1" t="n">
        <v>3</v>
      </c>
      <c r="H583" s="1" t="n">
        <v>11</v>
      </c>
      <c r="I583" s="10" t="n">
        <v>39970</v>
      </c>
      <c r="J583" s="10" t="n">
        <v>39975</v>
      </c>
      <c r="K583" s="1" t="n">
        <v>5</v>
      </c>
      <c r="L583" s="1" t="n">
        <v>5</v>
      </c>
      <c r="M583" s="3" t="s">
        <v>32</v>
      </c>
      <c r="N583" s="3" t="s">
        <v>102</v>
      </c>
      <c r="O583" s="3" t="s">
        <v>182</v>
      </c>
      <c r="P583" s="2" t="str">
        <f aca="false">CONCATENATE(N583," ",O583)</f>
        <v>Agyneta ramosa</v>
      </c>
      <c r="Q583" s="1" t="s">
        <v>30</v>
      </c>
      <c r="R583" s="1" t="s">
        <v>31</v>
      </c>
      <c r="S583" s="1" t="n">
        <v>1</v>
      </c>
      <c r="T583" s="1" t="n">
        <v>0</v>
      </c>
      <c r="U583" s="1" t="n">
        <v>0</v>
      </c>
      <c r="V583" s="1" t="n">
        <v>0</v>
      </c>
      <c r="W583" s="1" t="n">
        <v>0</v>
      </c>
      <c r="X583" s="1" t="n">
        <v>0</v>
      </c>
      <c r="Y583" s="3" t="n">
        <f aca="false">SUM(S583:T583)</f>
        <v>1</v>
      </c>
      <c r="Z583" s="3" t="n">
        <f aca="false">SUM(U583:W583)</f>
        <v>0</v>
      </c>
      <c r="AA583" s="3" t="n">
        <f aca="false">SUM(S583:X583)</f>
        <v>1</v>
      </c>
      <c r="AB583" s="11" t="n">
        <f aca="false">(AA583/(K583*L583)*25)*4</f>
        <v>4</v>
      </c>
    </row>
    <row r="584" customFormat="false" ht="14.25" hidden="false" customHeight="false" outlineLevel="0" collapsed="false">
      <c r="A584" s="1" t="n">
        <v>2009</v>
      </c>
      <c r="B584" s="7" t="s">
        <v>322</v>
      </c>
      <c r="C584" s="7" t="n">
        <v>2</v>
      </c>
      <c r="D584" s="7" t="s">
        <v>294</v>
      </c>
      <c r="E584" s="7" t="s">
        <v>294</v>
      </c>
      <c r="F584" s="7" t="s">
        <v>158</v>
      </c>
      <c r="G584" s="1" t="n">
        <v>3</v>
      </c>
      <c r="H584" s="1" t="n">
        <v>12</v>
      </c>
      <c r="I584" s="10" t="n">
        <v>39970</v>
      </c>
      <c r="J584" s="10" t="n">
        <v>39975</v>
      </c>
      <c r="K584" s="1" t="n">
        <v>5</v>
      </c>
      <c r="L584" s="1" t="n">
        <v>5</v>
      </c>
      <c r="M584" s="3" t="s">
        <v>48</v>
      </c>
      <c r="N584" s="3" t="s">
        <v>49</v>
      </c>
      <c r="O584" s="3" t="s">
        <v>104</v>
      </c>
      <c r="P584" s="2" t="str">
        <f aca="false">CONCATENATE(N584," ",O584)</f>
        <v>Alopecosa taeniata</v>
      </c>
      <c r="Q584" s="1" t="s">
        <v>30</v>
      </c>
      <c r="R584" s="1" t="s">
        <v>31</v>
      </c>
      <c r="S584" s="1" t="n">
        <v>1</v>
      </c>
      <c r="T584" s="1" t="n">
        <v>0</v>
      </c>
      <c r="U584" s="1" t="n">
        <v>0</v>
      </c>
      <c r="V584" s="1" t="n">
        <v>0</v>
      </c>
      <c r="W584" s="1" t="n">
        <v>0</v>
      </c>
      <c r="X584" s="1" t="n">
        <v>0</v>
      </c>
      <c r="Y584" s="3" t="n">
        <f aca="false">SUM(S584:T584)</f>
        <v>1</v>
      </c>
      <c r="Z584" s="3" t="n">
        <f aca="false">SUM(U584:W584)</f>
        <v>0</v>
      </c>
      <c r="AA584" s="3" t="n">
        <f aca="false">SUM(S584:X584)</f>
        <v>1</v>
      </c>
      <c r="AB584" s="11" t="n">
        <f aca="false">(AA584/(K584*L584)*25)*4</f>
        <v>4</v>
      </c>
    </row>
    <row r="585" customFormat="false" ht="14.25" hidden="false" customHeight="false" outlineLevel="0" collapsed="false">
      <c r="A585" s="1" t="n">
        <v>2009</v>
      </c>
      <c r="B585" s="7" t="s">
        <v>322</v>
      </c>
      <c r="C585" s="7" t="n">
        <v>2</v>
      </c>
      <c r="D585" s="7" t="s">
        <v>294</v>
      </c>
      <c r="E585" s="7" t="s">
        <v>294</v>
      </c>
      <c r="F585" s="7" t="s">
        <v>158</v>
      </c>
      <c r="G585" s="1" t="n">
        <v>3</v>
      </c>
      <c r="H585" s="1" t="n">
        <v>12</v>
      </c>
      <c r="I585" s="10" t="n">
        <v>39970</v>
      </c>
      <c r="J585" s="10" t="n">
        <v>39975</v>
      </c>
      <c r="K585" s="1" t="n">
        <v>5</v>
      </c>
      <c r="L585" s="1" t="n">
        <v>5</v>
      </c>
      <c r="M585" s="3" t="s">
        <v>48</v>
      </c>
      <c r="N585" s="3" t="s">
        <v>49</v>
      </c>
      <c r="O585" s="3" t="s">
        <v>104</v>
      </c>
      <c r="P585" s="2" t="str">
        <f aca="false">CONCATENATE(N585," ",O585)</f>
        <v>Alopecosa taeniata</v>
      </c>
      <c r="Q585" s="1" t="s">
        <v>30</v>
      </c>
      <c r="R585" s="1" t="s">
        <v>35</v>
      </c>
      <c r="S585" s="1" t="n">
        <v>0</v>
      </c>
      <c r="T585" s="1" t="n">
        <v>1</v>
      </c>
      <c r="U585" s="1" t="n">
        <v>0</v>
      </c>
      <c r="V585" s="1" t="n">
        <v>0</v>
      </c>
      <c r="W585" s="1" t="n">
        <v>0</v>
      </c>
      <c r="X585" s="1" t="n">
        <v>0</v>
      </c>
      <c r="Y585" s="3" t="n">
        <f aca="false">SUM(S585:T585)</f>
        <v>1</v>
      </c>
      <c r="Z585" s="3" t="n">
        <f aca="false">SUM(U585:W585)</f>
        <v>0</v>
      </c>
      <c r="AA585" s="3" t="n">
        <f aca="false">SUM(S585:X585)</f>
        <v>1</v>
      </c>
      <c r="AB585" s="11" t="n">
        <f aca="false">(AA585/(K585*L585)*25)*4</f>
        <v>4</v>
      </c>
    </row>
    <row r="586" customFormat="false" ht="14.25" hidden="false" customHeight="false" outlineLevel="0" collapsed="false">
      <c r="A586" s="1" t="n">
        <v>2009</v>
      </c>
      <c r="B586" s="7" t="s">
        <v>322</v>
      </c>
      <c r="C586" s="7" t="n">
        <v>2</v>
      </c>
      <c r="D586" s="7" t="s">
        <v>294</v>
      </c>
      <c r="E586" s="7" t="s">
        <v>294</v>
      </c>
      <c r="F586" s="7" t="s">
        <v>158</v>
      </c>
      <c r="G586" s="1" t="n">
        <v>3</v>
      </c>
      <c r="H586" s="1" t="n">
        <v>12</v>
      </c>
      <c r="I586" s="10" t="n">
        <v>39970</v>
      </c>
      <c r="J586" s="10" t="n">
        <v>39975</v>
      </c>
      <c r="K586" s="1" t="n">
        <v>5</v>
      </c>
      <c r="L586" s="1" t="n">
        <v>5</v>
      </c>
      <c r="M586" s="3" t="s">
        <v>48</v>
      </c>
      <c r="N586" s="3" t="s">
        <v>67</v>
      </c>
      <c r="O586" s="3" t="s">
        <v>127</v>
      </c>
      <c r="P586" s="2" t="str">
        <f aca="false">CONCATENATE(N586," ",O586)</f>
        <v>Pardosa lugubris</v>
      </c>
      <c r="Q586" s="1" t="s">
        <v>30</v>
      </c>
      <c r="R586" s="1" t="s">
        <v>31</v>
      </c>
      <c r="S586" s="1" t="n">
        <v>3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  <c r="Y586" s="3" t="n">
        <f aca="false">SUM(S586:T586)</f>
        <v>3</v>
      </c>
      <c r="Z586" s="3" t="n">
        <f aca="false">SUM(U586:W586)</f>
        <v>0</v>
      </c>
      <c r="AA586" s="3" t="n">
        <f aca="false">SUM(S586:X586)</f>
        <v>3</v>
      </c>
      <c r="AB586" s="11" t="n">
        <f aca="false">(AA586/(K586*L586)*25)*4</f>
        <v>12</v>
      </c>
    </row>
    <row r="587" customFormat="false" ht="14.25" hidden="false" customHeight="false" outlineLevel="0" collapsed="false">
      <c r="A587" s="1" t="n">
        <v>2009</v>
      </c>
      <c r="B587" s="7" t="s">
        <v>322</v>
      </c>
      <c r="C587" s="7" t="n">
        <v>2</v>
      </c>
      <c r="D587" s="7" t="s">
        <v>294</v>
      </c>
      <c r="E587" s="7" t="s">
        <v>294</v>
      </c>
      <c r="F587" s="7" t="s">
        <v>158</v>
      </c>
      <c r="G587" s="1" t="n">
        <v>3</v>
      </c>
      <c r="H587" s="1" t="n">
        <v>12</v>
      </c>
      <c r="I587" s="10" t="n">
        <v>39970</v>
      </c>
      <c r="J587" s="10" t="n">
        <v>39975</v>
      </c>
      <c r="K587" s="1" t="n">
        <v>5</v>
      </c>
      <c r="L587" s="1" t="n">
        <v>5</v>
      </c>
      <c r="M587" s="3" t="s">
        <v>48</v>
      </c>
      <c r="N587" s="3" t="s">
        <v>67</v>
      </c>
      <c r="O587" s="3" t="s">
        <v>127</v>
      </c>
      <c r="P587" s="2" t="str">
        <f aca="false">CONCATENATE(N587," ",O587)</f>
        <v>Pardosa lugubris</v>
      </c>
      <c r="Q587" s="1" t="s">
        <v>30</v>
      </c>
      <c r="R587" s="1" t="s">
        <v>35</v>
      </c>
      <c r="S587" s="1" t="n">
        <v>0</v>
      </c>
      <c r="T587" s="1" t="n">
        <v>1</v>
      </c>
      <c r="U587" s="1" t="n">
        <v>0</v>
      </c>
      <c r="V587" s="1" t="n">
        <v>0</v>
      </c>
      <c r="W587" s="1" t="n">
        <v>0</v>
      </c>
      <c r="X587" s="1" t="n">
        <v>0</v>
      </c>
      <c r="Y587" s="3" t="n">
        <f aca="false">SUM(S587:T587)</f>
        <v>1</v>
      </c>
      <c r="Z587" s="3" t="n">
        <f aca="false">SUM(U587:W587)</f>
        <v>0</v>
      </c>
      <c r="AA587" s="3" t="n">
        <f aca="false">SUM(S587:X587)</f>
        <v>1</v>
      </c>
      <c r="AB587" s="11" t="n">
        <f aca="false">(AA587/(K587*L587)*25)*4</f>
        <v>4</v>
      </c>
    </row>
    <row r="588" customFormat="false" ht="14.25" hidden="false" customHeight="false" outlineLevel="0" collapsed="false">
      <c r="A588" s="1" t="n">
        <v>2009</v>
      </c>
      <c r="B588" s="7" t="s">
        <v>322</v>
      </c>
      <c r="C588" s="7" t="n">
        <v>2</v>
      </c>
      <c r="D588" s="7" t="s">
        <v>294</v>
      </c>
      <c r="E588" s="7" t="s">
        <v>294</v>
      </c>
      <c r="F588" s="7" t="s">
        <v>158</v>
      </c>
      <c r="G588" s="1" t="n">
        <v>3</v>
      </c>
      <c r="H588" s="1" t="n">
        <v>12</v>
      </c>
      <c r="I588" s="10" t="n">
        <v>39970</v>
      </c>
      <c r="J588" s="10" t="n">
        <v>39975</v>
      </c>
      <c r="K588" s="1" t="n">
        <v>5</v>
      </c>
      <c r="L588" s="1" t="n">
        <v>5</v>
      </c>
      <c r="M588" s="3" t="s">
        <v>72</v>
      </c>
      <c r="N588" s="3" t="s">
        <v>86</v>
      </c>
      <c r="O588" s="8" t="s">
        <v>87</v>
      </c>
      <c r="P588" s="2" t="str">
        <f aca="false">CONCATENATE(N588," ",O588)</f>
        <v>Haplodrassus soerenseni</v>
      </c>
      <c r="Q588" s="1" t="s">
        <v>30</v>
      </c>
      <c r="R588" s="1" t="s">
        <v>31</v>
      </c>
      <c r="S588" s="1" t="n">
        <v>1</v>
      </c>
      <c r="T588" s="1" t="n">
        <v>0</v>
      </c>
      <c r="U588" s="1" t="n">
        <v>0</v>
      </c>
      <c r="V588" s="1" t="n">
        <v>0</v>
      </c>
      <c r="W588" s="1" t="n">
        <v>0</v>
      </c>
      <c r="X588" s="1" t="n">
        <v>0</v>
      </c>
      <c r="Y588" s="3" t="n">
        <f aca="false">SUM(S588:T588)</f>
        <v>1</v>
      </c>
      <c r="Z588" s="3" t="n">
        <f aca="false">SUM(U588:W588)</f>
        <v>0</v>
      </c>
      <c r="AA588" s="3" t="n">
        <f aca="false">SUM(S588:X588)</f>
        <v>1</v>
      </c>
      <c r="AB588" s="11" t="n">
        <f aca="false">(AA588/(K588*L588)*25)*4</f>
        <v>4</v>
      </c>
    </row>
    <row r="589" customFormat="false" ht="14.25" hidden="false" customHeight="false" outlineLevel="0" collapsed="false">
      <c r="A589" s="1" t="n">
        <v>2009</v>
      </c>
      <c r="B589" s="7" t="s">
        <v>322</v>
      </c>
      <c r="C589" s="7" t="n">
        <v>2</v>
      </c>
      <c r="D589" s="7" t="s">
        <v>294</v>
      </c>
      <c r="E589" s="7" t="s">
        <v>294</v>
      </c>
      <c r="F589" s="7" t="s">
        <v>158</v>
      </c>
      <c r="G589" s="1" t="n">
        <v>3</v>
      </c>
      <c r="H589" s="1" t="n">
        <v>12</v>
      </c>
      <c r="I589" s="10" t="n">
        <v>39970</v>
      </c>
      <c r="J589" s="10" t="n">
        <v>39975</v>
      </c>
      <c r="K589" s="1" t="n">
        <v>5</v>
      </c>
      <c r="L589" s="1" t="n">
        <v>5</v>
      </c>
      <c r="M589" s="3" t="s">
        <v>64</v>
      </c>
      <c r="N589" s="3" t="s">
        <v>65</v>
      </c>
      <c r="O589" s="3" t="s">
        <v>123</v>
      </c>
      <c r="P589" s="2" t="str">
        <f aca="false">CONCATENATE(N589," ",O589)</f>
        <v>Zora nemoralis</v>
      </c>
      <c r="Q589" s="1" t="s">
        <v>30</v>
      </c>
      <c r="R589" s="1" t="s">
        <v>31</v>
      </c>
      <c r="S589" s="1" t="n">
        <v>1</v>
      </c>
      <c r="T589" s="1" t="n">
        <v>0</v>
      </c>
      <c r="U589" s="1" t="n">
        <v>0</v>
      </c>
      <c r="V589" s="1" t="n">
        <v>0</v>
      </c>
      <c r="W589" s="1" t="n">
        <v>0</v>
      </c>
      <c r="X589" s="1" t="n">
        <v>0</v>
      </c>
      <c r="Y589" s="3" t="n">
        <f aca="false">SUM(S589:T589)</f>
        <v>1</v>
      </c>
      <c r="Z589" s="3" t="n">
        <f aca="false">SUM(U589:W589)</f>
        <v>0</v>
      </c>
      <c r="AA589" s="3" t="n">
        <f aca="false">SUM(S589:X589)</f>
        <v>1</v>
      </c>
      <c r="AB589" s="11" t="n">
        <f aca="false">(AA589/(K589*L589)*25)*4</f>
        <v>4</v>
      </c>
    </row>
    <row r="590" customFormat="false" ht="14.25" hidden="false" customHeight="false" outlineLevel="0" collapsed="false">
      <c r="A590" s="1" t="n">
        <v>2009</v>
      </c>
      <c r="B590" s="7" t="s">
        <v>322</v>
      </c>
      <c r="C590" s="7" t="n">
        <v>2</v>
      </c>
      <c r="D590" s="7" t="s">
        <v>294</v>
      </c>
      <c r="E590" s="7" t="s">
        <v>294</v>
      </c>
      <c r="F590" s="7" t="s">
        <v>158</v>
      </c>
      <c r="G590" s="1" t="n">
        <v>3</v>
      </c>
      <c r="H590" s="1" t="n">
        <v>12</v>
      </c>
      <c r="I590" s="10" t="n">
        <v>39970</v>
      </c>
      <c r="J590" s="10" t="n">
        <v>39975</v>
      </c>
      <c r="K590" s="1" t="n">
        <v>5</v>
      </c>
      <c r="L590" s="1" t="n">
        <v>5</v>
      </c>
      <c r="M590" s="3" t="s">
        <v>135</v>
      </c>
      <c r="N590" s="3" t="s">
        <v>136</v>
      </c>
      <c r="O590" s="3" t="s">
        <v>137</v>
      </c>
      <c r="P590" s="2" t="str">
        <f aca="false">CONCATENATE(N590," ",O590)</f>
        <v>Thanatus sabulosus</v>
      </c>
      <c r="Q590" s="1" t="s">
        <v>30</v>
      </c>
      <c r="R590" s="1" t="s">
        <v>31</v>
      </c>
      <c r="S590" s="1" t="n">
        <v>1</v>
      </c>
      <c r="T590" s="1" t="n">
        <v>0</v>
      </c>
      <c r="U590" s="1" t="n">
        <v>0</v>
      </c>
      <c r="V590" s="1" t="n">
        <v>0</v>
      </c>
      <c r="W590" s="1" t="n">
        <v>0</v>
      </c>
      <c r="X590" s="1" t="n">
        <v>0</v>
      </c>
      <c r="Y590" s="3" t="n">
        <f aca="false">SUM(S590:T590)</f>
        <v>1</v>
      </c>
      <c r="Z590" s="3" t="n">
        <f aca="false">SUM(U590:W590)</f>
        <v>0</v>
      </c>
      <c r="AA590" s="3" t="n">
        <f aca="false">SUM(S590:X590)</f>
        <v>1</v>
      </c>
      <c r="AB590" s="11" t="n">
        <f aca="false">(AA590/(K590*L590)*25)*4</f>
        <v>4</v>
      </c>
    </row>
    <row r="591" customFormat="false" ht="14.25" hidden="false" customHeight="false" outlineLevel="0" collapsed="false">
      <c r="A591" s="1" t="n">
        <v>2009</v>
      </c>
      <c r="B591" s="7" t="s">
        <v>322</v>
      </c>
      <c r="C591" s="7" t="n">
        <v>2</v>
      </c>
      <c r="D591" s="7" t="s">
        <v>294</v>
      </c>
      <c r="E591" s="7" t="s">
        <v>294</v>
      </c>
      <c r="F591" s="7" t="s">
        <v>158</v>
      </c>
      <c r="G591" s="1" t="n">
        <v>3</v>
      </c>
      <c r="H591" s="1" t="n">
        <v>12</v>
      </c>
      <c r="I591" s="10" t="n">
        <v>39970</v>
      </c>
      <c r="J591" s="10" t="n">
        <v>39975</v>
      </c>
      <c r="K591" s="1" t="n">
        <v>5</v>
      </c>
      <c r="L591" s="1" t="n">
        <v>5</v>
      </c>
      <c r="M591" s="3" t="s">
        <v>27</v>
      </c>
      <c r="N591" s="3" t="s">
        <v>28</v>
      </c>
      <c r="O591" s="3" t="s">
        <v>29</v>
      </c>
      <c r="P591" s="2" t="str">
        <f aca="false">CONCATENATE(N591," ",O591)</f>
        <v>Robertus lividus</v>
      </c>
      <c r="Q591" s="1" t="s">
        <v>30</v>
      </c>
      <c r="R591" s="1" t="s">
        <v>31</v>
      </c>
      <c r="S591" s="1" t="n">
        <v>1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0</v>
      </c>
      <c r="Y591" s="3" t="n">
        <f aca="false">SUM(S591:T591)</f>
        <v>1</v>
      </c>
      <c r="Z591" s="3" t="n">
        <f aca="false">SUM(U591:W591)</f>
        <v>0</v>
      </c>
      <c r="AA591" s="3" t="n">
        <f aca="false">SUM(S591:X591)</f>
        <v>1</v>
      </c>
      <c r="AB591" s="11" t="n">
        <f aca="false">(AA591/(K591*L591)*25)*4</f>
        <v>4</v>
      </c>
    </row>
    <row r="592" customFormat="false" ht="14.25" hidden="false" customHeight="false" outlineLevel="0" collapsed="false">
      <c r="A592" s="1" t="n">
        <v>2009</v>
      </c>
      <c r="B592" s="7" t="s">
        <v>322</v>
      </c>
      <c r="C592" s="7" t="n">
        <v>2</v>
      </c>
      <c r="D592" s="7" t="s">
        <v>294</v>
      </c>
      <c r="E592" s="7" t="s">
        <v>294</v>
      </c>
      <c r="F592" s="7" t="s">
        <v>158</v>
      </c>
      <c r="G592" s="1" t="n">
        <v>3</v>
      </c>
      <c r="H592" s="1" t="n">
        <v>13</v>
      </c>
      <c r="I592" s="10" t="n">
        <v>39970</v>
      </c>
      <c r="J592" s="10" t="n">
        <v>39975</v>
      </c>
      <c r="K592" s="1" t="n">
        <v>5</v>
      </c>
      <c r="L592" s="1" t="n">
        <v>5</v>
      </c>
      <c r="M592" s="3" t="s">
        <v>48</v>
      </c>
      <c r="N592" s="3" t="s">
        <v>49</v>
      </c>
      <c r="O592" s="3" t="s">
        <v>104</v>
      </c>
      <c r="P592" s="2" t="str">
        <f aca="false">CONCATENATE(N592," ",O592)</f>
        <v>Alopecosa taeniata</v>
      </c>
      <c r="Q592" s="1" t="s">
        <v>30</v>
      </c>
      <c r="R592" s="1" t="s">
        <v>31</v>
      </c>
      <c r="S592" s="1" t="n">
        <v>3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  <c r="Y592" s="3" t="n">
        <f aca="false">SUM(S592:T592)</f>
        <v>3</v>
      </c>
      <c r="Z592" s="3" t="n">
        <f aca="false">SUM(U592:W592)</f>
        <v>0</v>
      </c>
      <c r="AA592" s="3" t="n">
        <f aca="false">SUM(S592:X592)</f>
        <v>3</v>
      </c>
      <c r="AB592" s="11" t="n">
        <f aca="false">(AA592/(K592*L592)*25)*4</f>
        <v>12</v>
      </c>
    </row>
    <row r="593" customFormat="false" ht="14.25" hidden="false" customHeight="false" outlineLevel="0" collapsed="false">
      <c r="A593" s="1" t="n">
        <v>2009</v>
      </c>
      <c r="B593" s="7" t="s">
        <v>322</v>
      </c>
      <c r="C593" s="7" t="n">
        <v>2</v>
      </c>
      <c r="D593" s="7" t="s">
        <v>294</v>
      </c>
      <c r="E593" s="7" t="s">
        <v>294</v>
      </c>
      <c r="F593" s="7" t="s">
        <v>158</v>
      </c>
      <c r="G593" s="1" t="n">
        <v>3</v>
      </c>
      <c r="H593" s="1" t="n">
        <v>13</v>
      </c>
      <c r="I593" s="10" t="n">
        <v>39970</v>
      </c>
      <c r="J593" s="10" t="n">
        <v>39975</v>
      </c>
      <c r="K593" s="1" t="n">
        <v>5</v>
      </c>
      <c r="L593" s="1" t="n">
        <v>5</v>
      </c>
      <c r="M593" s="3" t="s">
        <v>48</v>
      </c>
      <c r="N593" s="3" t="s">
        <v>67</v>
      </c>
      <c r="O593" s="3" t="s">
        <v>127</v>
      </c>
      <c r="P593" s="2" t="str">
        <f aca="false">CONCATENATE(N593," ",O593)</f>
        <v>Pardosa lugubris</v>
      </c>
      <c r="Q593" s="1" t="s">
        <v>30</v>
      </c>
      <c r="R593" s="1" t="s">
        <v>31</v>
      </c>
      <c r="S593" s="1" t="n">
        <v>1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3" t="n">
        <f aca="false">SUM(S593:T593)</f>
        <v>1</v>
      </c>
      <c r="Z593" s="3" t="n">
        <f aca="false">SUM(U593:W593)</f>
        <v>0</v>
      </c>
      <c r="AA593" s="3" t="n">
        <f aca="false">SUM(S593:X593)</f>
        <v>1</v>
      </c>
      <c r="AB593" s="11" t="n">
        <f aca="false">(AA593/(K593*L593)*25)*4</f>
        <v>4</v>
      </c>
    </row>
    <row r="594" customFormat="false" ht="14.25" hidden="false" customHeight="false" outlineLevel="0" collapsed="false">
      <c r="A594" s="1" t="n">
        <v>2009</v>
      </c>
      <c r="B594" s="7" t="s">
        <v>322</v>
      </c>
      <c r="C594" s="7" t="n">
        <v>2</v>
      </c>
      <c r="D594" s="7" t="s">
        <v>294</v>
      </c>
      <c r="E594" s="7" t="s">
        <v>294</v>
      </c>
      <c r="F594" s="7" t="s">
        <v>158</v>
      </c>
      <c r="G594" s="1" t="n">
        <v>3</v>
      </c>
      <c r="H594" s="1" t="n">
        <v>13</v>
      </c>
      <c r="I594" s="10" t="n">
        <v>39970</v>
      </c>
      <c r="J594" s="10" t="n">
        <v>39975</v>
      </c>
      <c r="K594" s="1" t="n">
        <v>5</v>
      </c>
      <c r="L594" s="1" t="n">
        <v>5</v>
      </c>
      <c r="M594" s="3" t="s">
        <v>36</v>
      </c>
      <c r="N594" s="3" t="s">
        <v>131</v>
      </c>
      <c r="O594" s="3" t="s">
        <v>133</v>
      </c>
      <c r="P594" s="2" t="str">
        <f aca="false">CONCATENATE(N594," ",O594)</f>
        <v>Xysticus luctuosus</v>
      </c>
      <c r="Q594" s="1" t="s">
        <v>30</v>
      </c>
      <c r="R594" s="1" t="s">
        <v>31</v>
      </c>
      <c r="S594" s="1" t="n">
        <v>1</v>
      </c>
      <c r="T594" s="1" t="n">
        <v>0</v>
      </c>
      <c r="U594" s="1" t="n">
        <v>0</v>
      </c>
      <c r="V594" s="1" t="n">
        <v>0</v>
      </c>
      <c r="W594" s="1" t="n">
        <v>0</v>
      </c>
      <c r="X594" s="1" t="n">
        <v>0</v>
      </c>
      <c r="Y594" s="3" t="n">
        <f aca="false">SUM(S594:T594)</f>
        <v>1</v>
      </c>
      <c r="Z594" s="3" t="n">
        <f aca="false">SUM(U594:W594)</f>
        <v>0</v>
      </c>
      <c r="AA594" s="3" t="n">
        <f aca="false">SUM(S594:X594)</f>
        <v>1</v>
      </c>
      <c r="AB594" s="11" t="n">
        <f aca="false">(AA594/(K594*L594)*25)*4</f>
        <v>4</v>
      </c>
    </row>
    <row r="595" customFormat="false" ht="14.25" hidden="false" customHeight="false" outlineLevel="0" collapsed="false">
      <c r="A595" s="1" t="n">
        <v>2009</v>
      </c>
      <c r="B595" s="7" t="s">
        <v>322</v>
      </c>
      <c r="C595" s="7" t="n">
        <v>2</v>
      </c>
      <c r="D595" s="7" t="s">
        <v>294</v>
      </c>
      <c r="E595" s="7" t="s">
        <v>294</v>
      </c>
      <c r="F595" s="7" t="s">
        <v>158</v>
      </c>
      <c r="G595" s="1" t="n">
        <v>3</v>
      </c>
      <c r="H595" s="1" t="n">
        <v>13</v>
      </c>
      <c r="I595" s="10" t="n">
        <v>39970</v>
      </c>
      <c r="J595" s="10" t="n">
        <v>39975</v>
      </c>
      <c r="K595" s="1" t="n">
        <v>5</v>
      </c>
      <c r="L595" s="1" t="n">
        <v>5</v>
      </c>
      <c r="M595" s="13" t="s">
        <v>195</v>
      </c>
      <c r="N595" s="13" t="s">
        <v>196</v>
      </c>
      <c r="O595" s="14" t="s">
        <v>197</v>
      </c>
      <c r="P595" s="2" t="str">
        <f aca="false">CONCATENATE(N595," ",O595)</f>
        <v>Pachygnatha listeri</v>
      </c>
      <c r="Q595" s="1" t="s">
        <v>30</v>
      </c>
      <c r="R595" s="1" t="s">
        <v>35</v>
      </c>
      <c r="S595" s="1" t="n">
        <v>0</v>
      </c>
      <c r="T595" s="1" t="n">
        <v>1</v>
      </c>
      <c r="U595" s="1" t="n">
        <v>0</v>
      </c>
      <c r="V595" s="1" t="n">
        <v>0</v>
      </c>
      <c r="W595" s="1" t="n">
        <v>0</v>
      </c>
      <c r="X595" s="1" t="n">
        <v>0</v>
      </c>
      <c r="Y595" s="3" t="n">
        <f aca="false">SUM(S595:T595)</f>
        <v>1</v>
      </c>
      <c r="Z595" s="3" t="n">
        <f aca="false">SUM(U595:W595)</f>
        <v>0</v>
      </c>
      <c r="AA595" s="3" t="n">
        <f aca="false">SUM(S595:X595)</f>
        <v>1</v>
      </c>
      <c r="AB595" s="11" t="n">
        <f aca="false">(AA595/(K595*L595)*25)*4</f>
        <v>4</v>
      </c>
    </row>
    <row r="596" customFormat="false" ht="14.25" hidden="false" customHeight="false" outlineLevel="0" collapsed="false">
      <c r="A596" s="1" t="n">
        <v>2009</v>
      </c>
      <c r="B596" s="7" t="s">
        <v>322</v>
      </c>
      <c r="C596" s="7" t="n">
        <v>2</v>
      </c>
      <c r="D596" s="7" t="s">
        <v>294</v>
      </c>
      <c r="E596" s="7" t="s">
        <v>294</v>
      </c>
      <c r="F596" s="7" t="s">
        <v>158</v>
      </c>
      <c r="G596" s="1" t="n">
        <v>3</v>
      </c>
      <c r="H596" s="1" t="n">
        <v>14</v>
      </c>
      <c r="I596" s="10" t="n">
        <v>39970</v>
      </c>
      <c r="J596" s="10" t="n">
        <v>39975</v>
      </c>
      <c r="K596" s="1" t="n">
        <v>5</v>
      </c>
      <c r="L596" s="1" t="n">
        <v>5</v>
      </c>
      <c r="M596" s="3" t="s">
        <v>48</v>
      </c>
      <c r="N596" s="3" t="s">
        <v>49</v>
      </c>
      <c r="O596" s="3" t="s">
        <v>104</v>
      </c>
      <c r="P596" s="2" t="str">
        <f aca="false">CONCATENATE(N596," ",O596)</f>
        <v>Alopecosa taeniata</v>
      </c>
      <c r="Q596" s="1" t="s">
        <v>30</v>
      </c>
      <c r="R596" s="1" t="s">
        <v>31</v>
      </c>
      <c r="S596" s="1" t="n">
        <v>1</v>
      </c>
      <c r="T596" s="1" t="n">
        <v>0</v>
      </c>
      <c r="U596" s="1" t="n">
        <v>0</v>
      </c>
      <c r="V596" s="1" t="n">
        <v>0</v>
      </c>
      <c r="W596" s="1" t="n">
        <v>0</v>
      </c>
      <c r="X596" s="1" t="n">
        <v>0</v>
      </c>
      <c r="Y596" s="3" t="n">
        <f aca="false">SUM(S596:T596)</f>
        <v>1</v>
      </c>
      <c r="Z596" s="3" t="n">
        <f aca="false">SUM(U596:W596)</f>
        <v>0</v>
      </c>
      <c r="AA596" s="3" t="n">
        <f aca="false">SUM(S596:X596)</f>
        <v>1</v>
      </c>
      <c r="AB596" s="11" t="n">
        <f aca="false">(AA596/(K596*L596)*25)*4</f>
        <v>4</v>
      </c>
    </row>
    <row r="597" customFormat="false" ht="14.25" hidden="false" customHeight="false" outlineLevel="0" collapsed="false">
      <c r="A597" s="1" t="n">
        <v>2009</v>
      </c>
      <c r="B597" s="7" t="s">
        <v>322</v>
      </c>
      <c r="C597" s="7" t="n">
        <v>2</v>
      </c>
      <c r="D597" s="7" t="s">
        <v>294</v>
      </c>
      <c r="E597" s="7" t="s">
        <v>294</v>
      </c>
      <c r="F597" s="7" t="s">
        <v>158</v>
      </c>
      <c r="G597" s="1" t="n">
        <v>3</v>
      </c>
      <c r="H597" s="1" t="n">
        <v>14</v>
      </c>
      <c r="I597" s="10" t="n">
        <v>39970</v>
      </c>
      <c r="J597" s="10" t="n">
        <v>39975</v>
      </c>
      <c r="K597" s="1" t="n">
        <v>5</v>
      </c>
      <c r="L597" s="1" t="n">
        <v>5</v>
      </c>
      <c r="M597" s="3" t="s">
        <v>48</v>
      </c>
      <c r="N597" s="3" t="s">
        <v>67</v>
      </c>
      <c r="O597" s="3" t="s">
        <v>127</v>
      </c>
      <c r="P597" s="2" t="str">
        <f aca="false">CONCATENATE(N597," ",O597)</f>
        <v>Pardosa lugubris</v>
      </c>
      <c r="Q597" s="1" t="s">
        <v>30</v>
      </c>
      <c r="R597" s="1" t="s">
        <v>31</v>
      </c>
      <c r="S597" s="1" t="n">
        <v>1</v>
      </c>
      <c r="T597" s="1" t="n">
        <v>0</v>
      </c>
      <c r="U597" s="1" t="n">
        <v>0</v>
      </c>
      <c r="V597" s="1" t="n">
        <v>0</v>
      </c>
      <c r="W597" s="1" t="n">
        <v>0</v>
      </c>
      <c r="X597" s="1" t="n">
        <v>0</v>
      </c>
      <c r="Y597" s="3" t="n">
        <f aca="false">SUM(S597:T597)</f>
        <v>1</v>
      </c>
      <c r="Z597" s="3" t="n">
        <f aca="false">SUM(U597:W597)</f>
        <v>0</v>
      </c>
      <c r="AA597" s="3" t="n">
        <f aca="false">SUM(S597:X597)</f>
        <v>1</v>
      </c>
      <c r="AB597" s="11" t="n">
        <f aca="false">(AA597/(K597*L597)*25)*4</f>
        <v>4</v>
      </c>
    </row>
    <row r="598" customFormat="false" ht="14.25" hidden="false" customHeight="false" outlineLevel="0" collapsed="false">
      <c r="A598" s="1" t="n">
        <v>2009</v>
      </c>
      <c r="B598" s="7" t="s">
        <v>322</v>
      </c>
      <c r="C598" s="7" t="n">
        <v>2</v>
      </c>
      <c r="D598" s="7" t="s">
        <v>294</v>
      </c>
      <c r="E598" s="7" t="s">
        <v>294</v>
      </c>
      <c r="F598" s="7" t="s">
        <v>158</v>
      </c>
      <c r="G598" s="1" t="n">
        <v>3</v>
      </c>
      <c r="H598" s="1" t="n">
        <v>14</v>
      </c>
      <c r="I598" s="10" t="n">
        <v>39970</v>
      </c>
      <c r="J598" s="10" t="n">
        <v>39975</v>
      </c>
      <c r="K598" s="1" t="n">
        <v>5</v>
      </c>
      <c r="L598" s="1" t="n">
        <v>5</v>
      </c>
      <c r="M598" s="3" t="s">
        <v>48</v>
      </c>
      <c r="N598" s="3" t="s">
        <v>49</v>
      </c>
      <c r="O598" s="3" t="s">
        <v>119</v>
      </c>
      <c r="P598" s="2" t="str">
        <f aca="false">CONCATENATE(N598," ",O598)</f>
        <v>Alopecosa sulzeri</v>
      </c>
      <c r="Q598" s="1" t="s">
        <v>30</v>
      </c>
      <c r="R598" s="1" t="s">
        <v>31</v>
      </c>
      <c r="S598" s="1" t="n">
        <v>1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0</v>
      </c>
      <c r="Y598" s="3" t="n">
        <f aca="false">SUM(S598:T598)</f>
        <v>1</v>
      </c>
      <c r="Z598" s="3" t="n">
        <f aca="false">SUM(U598:W598)</f>
        <v>0</v>
      </c>
      <c r="AA598" s="3" t="n">
        <f aca="false">SUM(S598:X598)</f>
        <v>1</v>
      </c>
      <c r="AB598" s="11" t="n">
        <f aca="false">(AA598/(K598*L598)*25)*4</f>
        <v>4</v>
      </c>
    </row>
    <row r="599" customFormat="false" ht="14.25" hidden="false" customHeight="false" outlineLevel="0" collapsed="false">
      <c r="A599" s="1" t="n">
        <v>2009</v>
      </c>
      <c r="B599" s="7" t="s">
        <v>322</v>
      </c>
      <c r="C599" s="7" t="n">
        <v>2</v>
      </c>
      <c r="D599" s="7" t="s">
        <v>294</v>
      </c>
      <c r="E599" s="7" t="s">
        <v>294</v>
      </c>
      <c r="F599" s="7" t="s">
        <v>158</v>
      </c>
      <c r="G599" s="1" t="n">
        <v>3</v>
      </c>
      <c r="H599" s="1" t="n">
        <v>14</v>
      </c>
      <c r="I599" s="10" t="n">
        <v>39970</v>
      </c>
      <c r="J599" s="10" t="n">
        <v>39975</v>
      </c>
      <c r="K599" s="1" t="n">
        <v>5</v>
      </c>
      <c r="L599" s="1" t="n">
        <v>5</v>
      </c>
      <c r="M599" s="3" t="s">
        <v>32</v>
      </c>
      <c r="N599" s="3" t="s">
        <v>55</v>
      </c>
      <c r="O599" s="3" t="s">
        <v>194</v>
      </c>
      <c r="P599" s="2" t="str">
        <f aca="false">CONCATENATE(N599," ",O599)</f>
        <v>Maro pansibiricus</v>
      </c>
      <c r="Q599" s="1" t="s">
        <v>30</v>
      </c>
      <c r="R599" s="1" t="s">
        <v>31</v>
      </c>
      <c r="S599" s="1" t="n">
        <v>1</v>
      </c>
      <c r="T599" s="1" t="n">
        <v>0</v>
      </c>
      <c r="U599" s="1" t="n">
        <v>0</v>
      </c>
      <c r="V599" s="1" t="n">
        <v>0</v>
      </c>
      <c r="W599" s="1" t="n">
        <v>0</v>
      </c>
      <c r="X599" s="1" t="n">
        <v>0</v>
      </c>
      <c r="Y599" s="3" t="n">
        <f aca="false">SUM(S599:T599)</f>
        <v>1</v>
      </c>
      <c r="Z599" s="3" t="n">
        <f aca="false">SUM(U599:W599)</f>
        <v>0</v>
      </c>
      <c r="AA599" s="3" t="n">
        <f aca="false">SUM(S599:X599)</f>
        <v>1</v>
      </c>
      <c r="AB599" s="11" t="n">
        <f aca="false">(AA599/(K599*L599)*25)*4</f>
        <v>4</v>
      </c>
    </row>
    <row r="600" customFormat="false" ht="14.25" hidden="false" customHeight="false" outlineLevel="0" collapsed="false">
      <c r="A600" s="1" t="n">
        <v>2009</v>
      </c>
      <c r="B600" s="7" t="s">
        <v>322</v>
      </c>
      <c r="C600" s="7" t="n">
        <v>2</v>
      </c>
      <c r="D600" s="7" t="s">
        <v>294</v>
      </c>
      <c r="E600" s="7" t="s">
        <v>294</v>
      </c>
      <c r="F600" s="7" t="s">
        <v>158</v>
      </c>
      <c r="G600" s="1" t="n">
        <v>3</v>
      </c>
      <c r="H600" s="1" t="n">
        <v>14</v>
      </c>
      <c r="I600" s="10" t="n">
        <v>39970</v>
      </c>
      <c r="J600" s="10" t="n">
        <v>39975</v>
      </c>
      <c r="K600" s="1" t="n">
        <v>5</v>
      </c>
      <c r="L600" s="1" t="n">
        <v>5</v>
      </c>
      <c r="M600" s="3" t="s">
        <v>48</v>
      </c>
      <c r="N600" s="3" t="s">
        <v>49</v>
      </c>
      <c r="O600" s="3" t="s">
        <v>130</v>
      </c>
      <c r="P600" s="2" t="str">
        <f aca="false">CONCATENATE(N600," ",O600)</f>
        <v>Alopecosa aculeata</v>
      </c>
      <c r="Q600" s="1" t="s">
        <v>30</v>
      </c>
      <c r="R600" s="1" t="s">
        <v>31</v>
      </c>
      <c r="S600" s="1" t="n">
        <v>1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0</v>
      </c>
      <c r="Y600" s="3" t="n">
        <f aca="false">SUM(S600:T600)</f>
        <v>1</v>
      </c>
      <c r="Z600" s="3" t="n">
        <f aca="false">SUM(U600:W600)</f>
        <v>0</v>
      </c>
      <c r="AA600" s="3" t="n">
        <f aca="false">SUM(S600:X600)</f>
        <v>1</v>
      </c>
      <c r="AB600" s="11" t="n">
        <f aca="false">(AA600/(K600*L600)*25)*4</f>
        <v>4</v>
      </c>
    </row>
    <row r="601" customFormat="false" ht="14.25" hidden="false" customHeight="false" outlineLevel="0" collapsed="false">
      <c r="A601" s="1" t="n">
        <v>2009</v>
      </c>
      <c r="B601" s="7" t="s">
        <v>322</v>
      </c>
      <c r="C601" s="7" t="n">
        <v>2</v>
      </c>
      <c r="D601" s="7" t="s">
        <v>294</v>
      </c>
      <c r="E601" s="7" t="s">
        <v>294</v>
      </c>
      <c r="F601" s="7" t="s">
        <v>158</v>
      </c>
      <c r="G601" s="1" t="n">
        <v>3</v>
      </c>
      <c r="H601" s="1" t="n">
        <v>15</v>
      </c>
      <c r="I601" s="10" t="n">
        <v>39970</v>
      </c>
      <c r="J601" s="10" t="n">
        <v>39975</v>
      </c>
      <c r="K601" s="1" t="n">
        <v>5</v>
      </c>
      <c r="L601" s="1" t="n">
        <v>5</v>
      </c>
      <c r="M601" s="3" t="s">
        <v>48</v>
      </c>
      <c r="N601" s="3" t="s">
        <v>49</v>
      </c>
      <c r="O601" s="3" t="s">
        <v>104</v>
      </c>
      <c r="P601" s="2" t="str">
        <f aca="false">CONCATENATE(N601," ",O601)</f>
        <v>Alopecosa taeniata</v>
      </c>
      <c r="Q601" s="1" t="s">
        <v>30</v>
      </c>
      <c r="R601" s="1" t="s">
        <v>31</v>
      </c>
      <c r="S601" s="1" t="n">
        <v>5</v>
      </c>
      <c r="T601" s="1" t="n">
        <v>0</v>
      </c>
      <c r="U601" s="1" t="n">
        <v>0</v>
      </c>
      <c r="V601" s="1" t="n">
        <v>0</v>
      </c>
      <c r="W601" s="1" t="n">
        <v>0</v>
      </c>
      <c r="X601" s="1" t="n">
        <v>0</v>
      </c>
      <c r="Y601" s="3" t="n">
        <f aca="false">SUM(S601:T601)</f>
        <v>5</v>
      </c>
      <c r="Z601" s="3" t="n">
        <f aca="false">SUM(U601:W601)</f>
        <v>0</v>
      </c>
      <c r="AA601" s="3" t="n">
        <f aca="false">SUM(S601:X601)</f>
        <v>5</v>
      </c>
      <c r="AB601" s="11" t="n">
        <f aca="false">(AA601/(K601*L601)*25)*4</f>
        <v>20</v>
      </c>
    </row>
    <row r="602" customFormat="false" ht="14.25" hidden="false" customHeight="false" outlineLevel="0" collapsed="false">
      <c r="A602" s="1" t="n">
        <v>2009</v>
      </c>
      <c r="B602" s="7" t="s">
        <v>322</v>
      </c>
      <c r="C602" s="7" t="n">
        <v>2</v>
      </c>
      <c r="D602" s="7" t="s">
        <v>294</v>
      </c>
      <c r="E602" s="7" t="s">
        <v>294</v>
      </c>
      <c r="F602" s="7" t="s">
        <v>158</v>
      </c>
      <c r="G602" s="1" t="n">
        <v>3</v>
      </c>
      <c r="H602" s="1" t="n">
        <v>15</v>
      </c>
      <c r="I602" s="10" t="n">
        <v>39970</v>
      </c>
      <c r="J602" s="10" t="n">
        <v>39975</v>
      </c>
      <c r="K602" s="1" t="n">
        <v>5</v>
      </c>
      <c r="L602" s="1" t="n">
        <v>5</v>
      </c>
      <c r="M602" s="3" t="s">
        <v>48</v>
      </c>
      <c r="N602" s="3" t="s">
        <v>49</v>
      </c>
      <c r="O602" s="3" t="s">
        <v>104</v>
      </c>
      <c r="P602" s="2" t="str">
        <f aca="false">CONCATENATE(N602," ",O602)</f>
        <v>Alopecosa taeniata</v>
      </c>
      <c r="Q602" s="1" t="s">
        <v>30</v>
      </c>
      <c r="R602" s="1" t="s">
        <v>35</v>
      </c>
      <c r="S602" s="1" t="n">
        <v>0</v>
      </c>
      <c r="T602" s="1" t="n">
        <v>1</v>
      </c>
      <c r="U602" s="1" t="n">
        <v>0</v>
      </c>
      <c r="V602" s="1" t="n">
        <v>0</v>
      </c>
      <c r="W602" s="1" t="n">
        <v>0</v>
      </c>
      <c r="X602" s="1" t="n">
        <v>0</v>
      </c>
      <c r="Y602" s="3" t="n">
        <f aca="false">SUM(S602:T602)</f>
        <v>1</v>
      </c>
      <c r="Z602" s="3" t="n">
        <f aca="false">SUM(U602:W602)</f>
        <v>0</v>
      </c>
      <c r="AA602" s="3" t="n">
        <f aca="false">SUM(S602:X602)</f>
        <v>1</v>
      </c>
      <c r="AB602" s="11" t="n">
        <f aca="false">(AA602/(K602*L602)*25)*4</f>
        <v>4</v>
      </c>
    </row>
    <row r="603" customFormat="false" ht="14.25" hidden="false" customHeight="false" outlineLevel="0" collapsed="false">
      <c r="A603" s="1" t="n">
        <v>2009</v>
      </c>
      <c r="B603" s="7" t="s">
        <v>322</v>
      </c>
      <c r="C603" s="7" t="n">
        <v>2</v>
      </c>
      <c r="D603" s="7" t="s">
        <v>294</v>
      </c>
      <c r="E603" s="7" t="s">
        <v>294</v>
      </c>
      <c r="F603" s="7" t="s">
        <v>158</v>
      </c>
      <c r="G603" s="1" t="n">
        <v>3</v>
      </c>
      <c r="H603" s="1" t="n">
        <v>15</v>
      </c>
      <c r="I603" s="10" t="n">
        <v>39970</v>
      </c>
      <c r="J603" s="10" t="n">
        <v>39975</v>
      </c>
      <c r="K603" s="1" t="n">
        <v>5</v>
      </c>
      <c r="L603" s="1" t="n">
        <v>5</v>
      </c>
      <c r="M603" s="3" t="s">
        <v>48</v>
      </c>
      <c r="N603" s="3" t="s">
        <v>67</v>
      </c>
      <c r="O603" s="3" t="s">
        <v>127</v>
      </c>
      <c r="P603" s="2" t="str">
        <f aca="false">CONCATENATE(N603," ",O603)</f>
        <v>Pardosa lugubris</v>
      </c>
      <c r="Q603" s="1" t="s">
        <v>30</v>
      </c>
      <c r="R603" s="1" t="s">
        <v>31</v>
      </c>
      <c r="S603" s="1" t="n">
        <v>4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0</v>
      </c>
      <c r="Y603" s="3" t="n">
        <f aca="false">SUM(S603:T603)</f>
        <v>4</v>
      </c>
      <c r="Z603" s="3" t="n">
        <f aca="false">SUM(U603:W603)</f>
        <v>0</v>
      </c>
      <c r="AA603" s="3" t="n">
        <f aca="false">SUM(S603:X603)</f>
        <v>4</v>
      </c>
      <c r="AB603" s="11" t="n">
        <f aca="false">(AA603/(K603*L603)*25)*4</f>
        <v>16</v>
      </c>
    </row>
    <row r="604" customFormat="false" ht="14.25" hidden="false" customHeight="false" outlineLevel="0" collapsed="false">
      <c r="A604" s="1" t="n">
        <v>2009</v>
      </c>
      <c r="B604" s="7" t="s">
        <v>322</v>
      </c>
      <c r="C604" s="7" t="n">
        <v>2</v>
      </c>
      <c r="D604" s="7" t="s">
        <v>294</v>
      </c>
      <c r="E604" s="7" t="s">
        <v>294</v>
      </c>
      <c r="F604" s="7" t="s">
        <v>158</v>
      </c>
      <c r="G604" s="1" t="n">
        <v>3</v>
      </c>
      <c r="H604" s="1" t="n">
        <v>15</v>
      </c>
      <c r="I604" s="10" t="n">
        <v>39970</v>
      </c>
      <c r="J604" s="10" t="n">
        <v>39975</v>
      </c>
      <c r="K604" s="1" t="n">
        <v>5</v>
      </c>
      <c r="L604" s="1" t="n">
        <v>5</v>
      </c>
      <c r="M604" s="3" t="s">
        <v>48</v>
      </c>
      <c r="N604" s="3" t="s">
        <v>67</v>
      </c>
      <c r="O604" s="3" t="s">
        <v>127</v>
      </c>
      <c r="P604" s="2" t="str">
        <f aca="false">CONCATENATE(N604," ",O604)</f>
        <v>Pardosa lugubris</v>
      </c>
      <c r="Q604" s="1" t="s">
        <v>30</v>
      </c>
      <c r="R604" s="1" t="s">
        <v>35</v>
      </c>
      <c r="S604" s="1" t="n">
        <v>0</v>
      </c>
      <c r="T604" s="1" t="n">
        <v>1</v>
      </c>
      <c r="U604" s="1" t="n">
        <v>0</v>
      </c>
      <c r="V604" s="1" t="n">
        <v>0</v>
      </c>
      <c r="W604" s="1" t="n">
        <v>0</v>
      </c>
      <c r="X604" s="1" t="n">
        <v>0</v>
      </c>
      <c r="Y604" s="3" t="n">
        <f aca="false">SUM(S604:T604)</f>
        <v>1</v>
      </c>
      <c r="Z604" s="3" t="n">
        <f aca="false">SUM(U604:W604)</f>
        <v>0</v>
      </c>
      <c r="AA604" s="3" t="n">
        <f aca="false">SUM(S604:X604)</f>
        <v>1</v>
      </c>
      <c r="AB604" s="11" t="n">
        <f aca="false">(AA604/(K604*L604)*25)*4</f>
        <v>4</v>
      </c>
    </row>
    <row r="605" customFormat="false" ht="14.25" hidden="false" customHeight="false" outlineLevel="0" collapsed="false">
      <c r="A605" s="1" t="n">
        <v>2009</v>
      </c>
      <c r="B605" s="7" t="s">
        <v>322</v>
      </c>
      <c r="C605" s="7" t="n">
        <v>2</v>
      </c>
      <c r="D605" s="7" t="s">
        <v>294</v>
      </c>
      <c r="E605" s="7" t="s">
        <v>294</v>
      </c>
      <c r="F605" s="7" t="s">
        <v>158</v>
      </c>
      <c r="G605" s="1" t="n">
        <v>3</v>
      </c>
      <c r="H605" s="1" t="n">
        <v>15</v>
      </c>
      <c r="I605" s="10" t="n">
        <v>39970</v>
      </c>
      <c r="J605" s="10" t="n">
        <v>39975</v>
      </c>
      <c r="K605" s="1" t="n">
        <v>5</v>
      </c>
      <c r="L605" s="1" t="n">
        <v>5</v>
      </c>
      <c r="M605" s="3" t="s">
        <v>48</v>
      </c>
      <c r="N605" s="3" t="s">
        <v>49</v>
      </c>
      <c r="O605" s="3" t="s">
        <v>119</v>
      </c>
      <c r="P605" s="2" t="str">
        <f aca="false">CONCATENATE(N605," ",O605)</f>
        <v>Alopecosa sulzeri</v>
      </c>
      <c r="Q605" s="1" t="s">
        <v>30</v>
      </c>
      <c r="R605" s="1" t="s">
        <v>31</v>
      </c>
      <c r="S605" s="1" t="n">
        <v>1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0</v>
      </c>
      <c r="Y605" s="3" t="n">
        <f aca="false">SUM(S605:T605)</f>
        <v>1</v>
      </c>
      <c r="Z605" s="3" t="n">
        <f aca="false">SUM(U605:W605)</f>
        <v>0</v>
      </c>
      <c r="AA605" s="3" t="n">
        <f aca="false">SUM(S605:X605)</f>
        <v>1</v>
      </c>
      <c r="AB605" s="11" t="n">
        <f aca="false">(AA605/(K605*L605)*25)*4</f>
        <v>4</v>
      </c>
    </row>
    <row r="606" customFormat="false" ht="14.25" hidden="false" customHeight="false" outlineLevel="0" collapsed="false">
      <c r="A606" s="1" t="n">
        <v>2009</v>
      </c>
      <c r="B606" s="7" t="s">
        <v>322</v>
      </c>
      <c r="C606" s="7" t="n">
        <v>2</v>
      </c>
      <c r="D606" s="7" t="s">
        <v>294</v>
      </c>
      <c r="E606" s="7" t="s">
        <v>294</v>
      </c>
      <c r="F606" s="7" t="s">
        <v>158</v>
      </c>
      <c r="G606" s="1" t="n">
        <v>3</v>
      </c>
      <c r="H606" s="1" t="n">
        <v>15</v>
      </c>
      <c r="I606" s="10" t="n">
        <v>39970</v>
      </c>
      <c r="J606" s="10" t="n">
        <v>39975</v>
      </c>
      <c r="K606" s="1" t="n">
        <v>5</v>
      </c>
      <c r="L606" s="1" t="n">
        <v>5</v>
      </c>
      <c r="M606" s="3" t="s">
        <v>48</v>
      </c>
      <c r="N606" s="3" t="s">
        <v>61</v>
      </c>
      <c r="O606" s="3" t="s">
        <v>82</v>
      </c>
      <c r="P606" s="2" t="str">
        <f aca="false">CONCATENATE(N606," ",O606)</f>
        <v>Trochosa terricola</v>
      </c>
      <c r="Q606" s="1" t="s">
        <v>30</v>
      </c>
      <c r="R606" s="1" t="s">
        <v>31</v>
      </c>
      <c r="S606" s="1" t="n">
        <v>1</v>
      </c>
      <c r="T606" s="1" t="n">
        <v>0</v>
      </c>
      <c r="U606" s="1" t="n">
        <v>0</v>
      </c>
      <c r="V606" s="1" t="n">
        <v>0</v>
      </c>
      <c r="W606" s="1" t="n">
        <v>0</v>
      </c>
      <c r="X606" s="1" t="n">
        <v>0</v>
      </c>
      <c r="Y606" s="3" t="n">
        <f aca="false">SUM(S606:T606)</f>
        <v>1</v>
      </c>
      <c r="Z606" s="3" t="n">
        <f aca="false">SUM(U606:W606)</f>
        <v>0</v>
      </c>
      <c r="AA606" s="3" t="n">
        <f aca="false">SUM(S606:X606)</f>
        <v>1</v>
      </c>
      <c r="AB606" s="11" t="n">
        <f aca="false">(AA606/(K606*L606)*25)*4</f>
        <v>4</v>
      </c>
    </row>
    <row r="607" customFormat="false" ht="14.25" hidden="false" customHeight="false" outlineLevel="0" collapsed="false">
      <c r="A607" s="1" t="n">
        <v>2009</v>
      </c>
      <c r="B607" s="7" t="s">
        <v>322</v>
      </c>
      <c r="C607" s="7" t="n">
        <v>2</v>
      </c>
      <c r="D607" s="7" t="s">
        <v>294</v>
      </c>
      <c r="E607" s="7" t="s">
        <v>294</v>
      </c>
      <c r="F607" s="7" t="s">
        <v>158</v>
      </c>
      <c r="G607" s="1" t="n">
        <v>3</v>
      </c>
      <c r="H607" s="1" t="n">
        <v>15</v>
      </c>
      <c r="I607" s="10" t="n">
        <v>39970</v>
      </c>
      <c r="J607" s="10" t="n">
        <v>39975</v>
      </c>
      <c r="K607" s="1" t="n">
        <v>5</v>
      </c>
      <c r="L607" s="1" t="n">
        <v>5</v>
      </c>
      <c r="M607" s="3" t="s">
        <v>36</v>
      </c>
      <c r="N607" s="3" t="s">
        <v>37</v>
      </c>
      <c r="O607" s="8" t="s">
        <v>75</v>
      </c>
      <c r="P607" s="2" t="str">
        <f aca="false">CONCATENATE(N607," ",O607)</f>
        <v>Ozyptila praticola</v>
      </c>
      <c r="Q607" s="1" t="s">
        <v>30</v>
      </c>
      <c r="R607" s="1" t="s">
        <v>31</v>
      </c>
      <c r="S607" s="1" t="n">
        <v>2</v>
      </c>
      <c r="T607" s="1" t="n">
        <v>0</v>
      </c>
      <c r="U607" s="1" t="n">
        <v>0</v>
      </c>
      <c r="V607" s="1" t="n">
        <v>0</v>
      </c>
      <c r="W607" s="1" t="n">
        <v>0</v>
      </c>
      <c r="X607" s="1" t="n">
        <v>0</v>
      </c>
      <c r="Y607" s="3" t="n">
        <f aca="false">SUM(S607:T607)</f>
        <v>2</v>
      </c>
      <c r="Z607" s="3" t="n">
        <f aca="false">SUM(U607:W607)</f>
        <v>0</v>
      </c>
      <c r="AA607" s="3" t="n">
        <f aca="false">SUM(S607:X607)</f>
        <v>2</v>
      </c>
      <c r="AB607" s="11" t="n">
        <f aca="false">(AA607/(K607*L607)*25)*4</f>
        <v>8</v>
      </c>
    </row>
    <row r="608" customFormat="false" ht="14.25" hidden="false" customHeight="false" outlineLevel="0" collapsed="false">
      <c r="A608" s="1" t="n">
        <v>2009</v>
      </c>
      <c r="B608" s="7" t="s">
        <v>322</v>
      </c>
      <c r="C608" s="7" t="n">
        <v>2</v>
      </c>
      <c r="D608" s="7" t="s">
        <v>294</v>
      </c>
      <c r="E608" s="7" t="s">
        <v>294</v>
      </c>
      <c r="F608" s="7" t="s">
        <v>158</v>
      </c>
      <c r="G608" s="1" t="n">
        <v>3</v>
      </c>
      <c r="H608" s="1" t="n">
        <v>15</v>
      </c>
      <c r="I608" s="10" t="n">
        <v>39970</v>
      </c>
      <c r="J608" s="10" t="n">
        <v>39975</v>
      </c>
      <c r="K608" s="1" t="n">
        <v>5</v>
      </c>
      <c r="L608" s="1" t="n">
        <v>5</v>
      </c>
      <c r="M608" s="3" t="s">
        <v>36</v>
      </c>
      <c r="N608" s="3" t="s">
        <v>131</v>
      </c>
      <c r="O608" s="3" t="s">
        <v>133</v>
      </c>
      <c r="P608" s="2" t="str">
        <f aca="false">CONCATENATE(N608," ",O608)</f>
        <v>Xysticus luctuosus</v>
      </c>
      <c r="Q608" s="1" t="s">
        <v>30</v>
      </c>
      <c r="R608" s="1" t="s">
        <v>31</v>
      </c>
      <c r="S608" s="1" t="n">
        <v>1</v>
      </c>
      <c r="T608" s="1" t="n">
        <v>0</v>
      </c>
      <c r="U608" s="1" t="n">
        <v>0</v>
      </c>
      <c r="V608" s="1" t="n">
        <v>0</v>
      </c>
      <c r="W608" s="1" t="n">
        <v>0</v>
      </c>
      <c r="X608" s="1" t="n">
        <v>0</v>
      </c>
      <c r="Y608" s="3" t="n">
        <f aca="false">SUM(S608:T608)</f>
        <v>1</v>
      </c>
      <c r="Z608" s="3" t="n">
        <f aca="false">SUM(U608:W608)</f>
        <v>0</v>
      </c>
      <c r="AA608" s="3" t="n">
        <f aca="false">SUM(S608:X608)</f>
        <v>1</v>
      </c>
      <c r="AB608" s="11" t="n">
        <f aca="false">(AA608/(K608*L608)*25)*4</f>
        <v>4</v>
      </c>
    </row>
    <row r="609" customFormat="false" ht="14.25" hidden="false" customHeight="false" outlineLevel="0" collapsed="false">
      <c r="A609" s="1" t="n">
        <v>2009</v>
      </c>
      <c r="B609" s="7" t="s">
        <v>322</v>
      </c>
      <c r="C609" s="7" t="n">
        <v>2</v>
      </c>
      <c r="D609" s="7" t="s">
        <v>294</v>
      </c>
      <c r="E609" s="7" t="s">
        <v>294</v>
      </c>
      <c r="F609" s="7" t="s">
        <v>158</v>
      </c>
      <c r="G609" s="1" t="n">
        <v>3</v>
      </c>
      <c r="H609" s="1" t="n">
        <v>15</v>
      </c>
      <c r="I609" s="10" t="n">
        <v>39970</v>
      </c>
      <c r="J609" s="10" t="n">
        <v>39975</v>
      </c>
      <c r="K609" s="1" t="n">
        <v>5</v>
      </c>
      <c r="L609" s="1" t="n">
        <v>5</v>
      </c>
      <c r="M609" s="3" t="s">
        <v>64</v>
      </c>
      <c r="N609" s="3" t="s">
        <v>65</v>
      </c>
      <c r="O609" s="3" t="s">
        <v>123</v>
      </c>
      <c r="P609" s="2" t="str">
        <f aca="false">CONCATENATE(N609," ",O609)</f>
        <v>Zora nemoralis</v>
      </c>
      <c r="Q609" s="1" t="s">
        <v>30</v>
      </c>
      <c r="R609" s="1" t="s">
        <v>31</v>
      </c>
      <c r="S609" s="1" t="n">
        <v>1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0</v>
      </c>
      <c r="Y609" s="3" t="n">
        <f aca="false">SUM(S609:T609)</f>
        <v>1</v>
      </c>
      <c r="Z609" s="3" t="n">
        <f aca="false">SUM(U609:W609)</f>
        <v>0</v>
      </c>
      <c r="AA609" s="3" t="n">
        <f aca="false">SUM(S609:X609)</f>
        <v>1</v>
      </c>
      <c r="AB609" s="11" t="n">
        <f aca="false">(AA609/(K609*L609)*25)*4</f>
        <v>4</v>
      </c>
    </row>
    <row r="610" customFormat="false" ht="14.25" hidden="false" customHeight="false" outlineLevel="0" collapsed="false">
      <c r="A610" s="1" t="n">
        <v>2009</v>
      </c>
      <c r="B610" s="7" t="s">
        <v>322</v>
      </c>
      <c r="C610" s="7" t="n">
        <v>2</v>
      </c>
      <c r="D610" s="7" t="s">
        <v>294</v>
      </c>
      <c r="E610" s="7" t="s">
        <v>294</v>
      </c>
      <c r="F610" s="7" t="s">
        <v>158</v>
      </c>
      <c r="G610" s="1" t="n">
        <v>3</v>
      </c>
      <c r="H610" s="1" t="n">
        <v>15</v>
      </c>
      <c r="I610" s="10" t="n">
        <v>39970</v>
      </c>
      <c r="J610" s="10" t="n">
        <v>39975</v>
      </c>
      <c r="K610" s="1" t="n">
        <v>5</v>
      </c>
      <c r="L610" s="1" t="n">
        <v>5</v>
      </c>
      <c r="M610" s="3" t="s">
        <v>32</v>
      </c>
      <c r="N610" s="3" t="s">
        <v>62</v>
      </c>
      <c r="O610" s="3" t="s">
        <v>63</v>
      </c>
      <c r="P610" s="2" t="str">
        <f aca="false">CONCATENATE(N610," ",O610)</f>
        <v>Microneta viaria</v>
      </c>
      <c r="Q610" s="1" t="s">
        <v>30</v>
      </c>
      <c r="R610" s="1" t="s">
        <v>31</v>
      </c>
      <c r="S610" s="1" t="n">
        <v>1</v>
      </c>
      <c r="T610" s="1" t="n">
        <v>0</v>
      </c>
      <c r="U610" s="1" t="n">
        <v>0</v>
      </c>
      <c r="V610" s="1" t="n">
        <v>0</v>
      </c>
      <c r="W610" s="1" t="n">
        <v>0</v>
      </c>
      <c r="X610" s="1" t="n">
        <v>0</v>
      </c>
      <c r="Y610" s="3" t="n">
        <f aca="false">SUM(S610:T610)</f>
        <v>1</v>
      </c>
      <c r="Z610" s="3" t="n">
        <f aca="false">SUM(U610:W610)</f>
        <v>0</v>
      </c>
      <c r="AA610" s="3" t="n">
        <f aca="false">SUM(S610:X610)</f>
        <v>1</v>
      </c>
      <c r="AB610" s="11" t="n">
        <f aca="false">(AA610/(K610*L610)*25)*4</f>
        <v>4</v>
      </c>
    </row>
    <row r="611" customFormat="false" ht="14.25" hidden="false" customHeight="false" outlineLevel="0" collapsed="false">
      <c r="A611" s="1" t="n">
        <v>2009</v>
      </c>
      <c r="B611" s="7" t="s">
        <v>322</v>
      </c>
      <c r="C611" s="7" t="n">
        <v>2</v>
      </c>
      <c r="D611" s="7" t="s">
        <v>294</v>
      </c>
      <c r="E611" s="7" t="s">
        <v>294</v>
      </c>
      <c r="F611" s="7" t="s">
        <v>158</v>
      </c>
      <c r="G611" s="1" t="n">
        <v>3</v>
      </c>
      <c r="H611" s="1" t="n">
        <v>15</v>
      </c>
      <c r="I611" s="10" t="n">
        <v>39970</v>
      </c>
      <c r="J611" s="10" t="n">
        <v>39975</v>
      </c>
      <c r="K611" s="1" t="n">
        <v>5</v>
      </c>
      <c r="L611" s="1" t="n">
        <v>5</v>
      </c>
      <c r="M611" s="3" t="s">
        <v>32</v>
      </c>
      <c r="N611" s="13" t="s">
        <v>207</v>
      </c>
      <c r="O611" s="3" t="s">
        <v>208</v>
      </c>
      <c r="P611" s="2" t="str">
        <f aca="false">CONCATENATE(N611," ",O611)</f>
        <v>Oedothorax retusus</v>
      </c>
      <c r="Q611" s="1" t="s">
        <v>30</v>
      </c>
      <c r="R611" s="1" t="s">
        <v>35</v>
      </c>
      <c r="S611" s="1" t="n">
        <v>0</v>
      </c>
      <c r="T611" s="1" t="n">
        <v>1</v>
      </c>
      <c r="U611" s="1" t="n">
        <v>0</v>
      </c>
      <c r="V611" s="1" t="n">
        <v>0</v>
      </c>
      <c r="W611" s="1" t="n">
        <v>0</v>
      </c>
      <c r="X611" s="1" t="n">
        <v>0</v>
      </c>
      <c r="Y611" s="3" t="n">
        <f aca="false">SUM(S611:T611)</f>
        <v>1</v>
      </c>
      <c r="Z611" s="3" t="n">
        <f aca="false">SUM(U611:W611)</f>
        <v>0</v>
      </c>
      <c r="AA611" s="3" t="n">
        <f aca="false">SUM(S611:X611)</f>
        <v>1</v>
      </c>
      <c r="AB611" s="11" t="n">
        <f aca="false">(AA611/(K611*L611)*25)*4</f>
        <v>4</v>
      </c>
    </row>
    <row r="612" customFormat="false" ht="14.25" hidden="false" customHeight="false" outlineLevel="0" collapsed="false">
      <c r="A612" s="1" t="n">
        <v>2009</v>
      </c>
      <c r="B612" s="7" t="s">
        <v>322</v>
      </c>
      <c r="C612" s="7" t="n">
        <v>2</v>
      </c>
      <c r="D612" s="7" t="s">
        <v>294</v>
      </c>
      <c r="E612" s="7" t="s">
        <v>294</v>
      </c>
      <c r="F612" s="7" t="s">
        <v>158</v>
      </c>
      <c r="G612" s="1" t="n">
        <v>3</v>
      </c>
      <c r="H612" s="1" t="n">
        <v>15</v>
      </c>
      <c r="I612" s="10" t="n">
        <v>39970</v>
      </c>
      <c r="J612" s="10" t="n">
        <v>39975</v>
      </c>
      <c r="K612" s="1" t="n">
        <v>5</v>
      </c>
      <c r="L612" s="1" t="n">
        <v>5</v>
      </c>
      <c r="M612" s="3" t="s">
        <v>32</v>
      </c>
      <c r="N612" s="3" t="s">
        <v>102</v>
      </c>
      <c r="O612" s="3" t="s">
        <v>103</v>
      </c>
      <c r="P612" s="2" t="str">
        <f aca="false">CONCATENATE(N612," ",O612)</f>
        <v>Agyneta olivacea</v>
      </c>
      <c r="Q612" s="1" t="s">
        <v>30</v>
      </c>
      <c r="R612" s="1" t="s">
        <v>31</v>
      </c>
      <c r="S612" s="1" t="n">
        <v>1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0</v>
      </c>
      <c r="Y612" s="3" t="n">
        <f aca="false">SUM(S612:T612)</f>
        <v>1</v>
      </c>
      <c r="Z612" s="3" t="n">
        <f aca="false">SUM(U612:W612)</f>
        <v>0</v>
      </c>
      <c r="AA612" s="3" t="n">
        <f aca="false">SUM(S612:X612)</f>
        <v>1</v>
      </c>
      <c r="AB612" s="11" t="n">
        <f aca="false">(AA612/(K612*L612)*25)*4</f>
        <v>4</v>
      </c>
    </row>
    <row r="613" customFormat="false" ht="14.25" hidden="false" customHeight="false" outlineLevel="0" collapsed="false">
      <c r="A613" s="1" t="n">
        <v>2009</v>
      </c>
      <c r="B613" s="7" t="s">
        <v>322</v>
      </c>
      <c r="C613" s="7" t="n">
        <v>2</v>
      </c>
      <c r="D613" s="7" t="s">
        <v>294</v>
      </c>
      <c r="E613" s="7" t="s">
        <v>294</v>
      </c>
      <c r="F613" s="7" t="s">
        <v>51</v>
      </c>
      <c r="G613" s="1" t="n">
        <v>1</v>
      </c>
      <c r="H613" s="1" t="n">
        <v>1</v>
      </c>
      <c r="I613" s="10" t="n">
        <v>39969</v>
      </c>
      <c r="J613" s="10" t="n">
        <v>39974</v>
      </c>
      <c r="K613" s="1" t="n">
        <v>5</v>
      </c>
      <c r="L613" s="1" t="n">
        <v>5</v>
      </c>
      <c r="M613" s="3" t="s">
        <v>48</v>
      </c>
      <c r="N613" s="3" t="s">
        <v>49</v>
      </c>
      <c r="O613" s="3" t="s">
        <v>104</v>
      </c>
      <c r="P613" s="2" t="str">
        <f aca="false">CONCATENATE(N613," ",O613)</f>
        <v>Alopecosa taeniata</v>
      </c>
      <c r="Q613" s="1" t="s">
        <v>30</v>
      </c>
      <c r="R613" s="1" t="s">
        <v>31</v>
      </c>
      <c r="S613" s="1" t="n">
        <v>5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0</v>
      </c>
      <c r="Y613" s="3" t="n">
        <f aca="false">SUM(S613:T613)</f>
        <v>5</v>
      </c>
      <c r="Z613" s="3" t="n">
        <f aca="false">SUM(U613:W613)</f>
        <v>0</v>
      </c>
      <c r="AA613" s="3" t="n">
        <f aca="false">SUM(S613:X613)</f>
        <v>5</v>
      </c>
      <c r="AB613" s="11" t="n">
        <f aca="false">(AA613/(K613*L613)*25)*4</f>
        <v>20</v>
      </c>
    </row>
    <row r="614" customFormat="false" ht="14.25" hidden="false" customHeight="false" outlineLevel="0" collapsed="false">
      <c r="A614" s="1" t="n">
        <v>2009</v>
      </c>
      <c r="B614" s="7" t="s">
        <v>322</v>
      </c>
      <c r="C614" s="7" t="n">
        <v>2</v>
      </c>
      <c r="D614" s="7" t="s">
        <v>294</v>
      </c>
      <c r="E614" s="7" t="s">
        <v>294</v>
      </c>
      <c r="F614" s="7" t="s">
        <v>51</v>
      </c>
      <c r="G614" s="1" t="n">
        <v>1</v>
      </c>
      <c r="H614" s="1" t="n">
        <v>1</v>
      </c>
      <c r="I614" s="10" t="n">
        <v>39969</v>
      </c>
      <c r="J614" s="10" t="n">
        <v>39974</v>
      </c>
      <c r="K614" s="1" t="n">
        <v>5</v>
      </c>
      <c r="L614" s="1" t="n">
        <v>5</v>
      </c>
      <c r="M614" s="3" t="s">
        <v>48</v>
      </c>
      <c r="N614" s="3" t="s">
        <v>67</v>
      </c>
      <c r="O614" s="3" t="s">
        <v>127</v>
      </c>
      <c r="P614" s="2" t="str">
        <f aca="false">CONCATENATE(N614," ",O614)</f>
        <v>Pardosa lugubris</v>
      </c>
      <c r="Q614" s="1" t="s">
        <v>30</v>
      </c>
      <c r="R614" s="1" t="s">
        <v>31</v>
      </c>
      <c r="S614" s="1" t="n">
        <v>3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0</v>
      </c>
      <c r="Y614" s="3" t="n">
        <f aca="false">SUM(S614:T614)</f>
        <v>3</v>
      </c>
      <c r="Z614" s="3" t="n">
        <f aca="false">SUM(U614:W614)</f>
        <v>0</v>
      </c>
      <c r="AA614" s="3" t="n">
        <f aca="false">SUM(S614:X614)</f>
        <v>3</v>
      </c>
      <c r="AB614" s="11" t="n">
        <f aca="false">(AA614/(K614*L614)*25)*4</f>
        <v>12</v>
      </c>
    </row>
    <row r="615" customFormat="false" ht="14.25" hidden="false" customHeight="false" outlineLevel="0" collapsed="false">
      <c r="A615" s="1" t="n">
        <v>2009</v>
      </c>
      <c r="B615" s="7" t="s">
        <v>322</v>
      </c>
      <c r="C615" s="7" t="n">
        <v>2</v>
      </c>
      <c r="D615" s="7" t="s">
        <v>294</v>
      </c>
      <c r="E615" s="7" t="s">
        <v>294</v>
      </c>
      <c r="F615" s="7" t="s">
        <v>51</v>
      </c>
      <c r="G615" s="1" t="n">
        <v>1</v>
      </c>
      <c r="H615" s="1" t="n">
        <v>1</v>
      </c>
      <c r="I615" s="10" t="n">
        <v>39969</v>
      </c>
      <c r="J615" s="10" t="n">
        <v>39974</v>
      </c>
      <c r="K615" s="1" t="n">
        <v>5</v>
      </c>
      <c r="L615" s="1" t="n">
        <v>5</v>
      </c>
      <c r="M615" s="3" t="s">
        <v>48</v>
      </c>
      <c r="N615" s="3" t="s">
        <v>67</v>
      </c>
      <c r="O615" s="3" t="s">
        <v>127</v>
      </c>
      <c r="P615" s="2" t="str">
        <f aca="false">CONCATENATE(N615," ",O615)</f>
        <v>Pardosa lugubris</v>
      </c>
      <c r="Q615" s="1" t="s">
        <v>30</v>
      </c>
      <c r="R615" s="1" t="s">
        <v>35</v>
      </c>
      <c r="S615" s="1" t="n">
        <v>0</v>
      </c>
      <c r="T615" s="1" t="n">
        <v>2</v>
      </c>
      <c r="U615" s="1" t="n">
        <v>0</v>
      </c>
      <c r="V615" s="1" t="n">
        <v>0</v>
      </c>
      <c r="W615" s="1" t="n">
        <v>0</v>
      </c>
      <c r="X615" s="1" t="n">
        <v>0</v>
      </c>
      <c r="Y615" s="3" t="n">
        <f aca="false">SUM(S615:T615)</f>
        <v>2</v>
      </c>
      <c r="Z615" s="3" t="n">
        <f aca="false">SUM(U615:W615)</f>
        <v>0</v>
      </c>
      <c r="AA615" s="3" t="n">
        <f aca="false">SUM(S615:X615)</f>
        <v>2</v>
      </c>
      <c r="AB615" s="11" t="n">
        <f aca="false">(AA615/(K615*L615)*25)*4</f>
        <v>8</v>
      </c>
    </row>
    <row r="616" customFormat="false" ht="14.25" hidden="false" customHeight="false" outlineLevel="0" collapsed="false">
      <c r="A616" s="1" t="n">
        <v>2009</v>
      </c>
      <c r="B616" s="7" t="s">
        <v>322</v>
      </c>
      <c r="C616" s="7" t="n">
        <v>2</v>
      </c>
      <c r="D616" s="7" t="s">
        <v>294</v>
      </c>
      <c r="E616" s="7" t="s">
        <v>294</v>
      </c>
      <c r="F616" s="7" t="s">
        <v>51</v>
      </c>
      <c r="G616" s="1" t="n">
        <v>1</v>
      </c>
      <c r="H616" s="1" t="n">
        <v>1</v>
      </c>
      <c r="I616" s="10" t="n">
        <v>39969</v>
      </c>
      <c r="J616" s="10" t="n">
        <v>39974</v>
      </c>
      <c r="K616" s="1" t="n">
        <v>5</v>
      </c>
      <c r="L616" s="1" t="n">
        <v>5</v>
      </c>
      <c r="M616" s="3" t="s">
        <v>72</v>
      </c>
      <c r="N616" s="3" t="s">
        <v>73</v>
      </c>
      <c r="O616" s="3" t="s">
        <v>74</v>
      </c>
      <c r="P616" s="2" t="str">
        <f aca="false">CONCATENATE(N616," ",O616)</f>
        <v>Zelotes subterraneus</v>
      </c>
      <c r="Q616" s="1" t="s">
        <v>30</v>
      </c>
      <c r="R616" s="1" t="s">
        <v>35</v>
      </c>
      <c r="S616" s="1" t="n">
        <v>0</v>
      </c>
      <c r="T616" s="1" t="n">
        <v>2</v>
      </c>
      <c r="U616" s="1" t="n">
        <v>0</v>
      </c>
      <c r="V616" s="1" t="n">
        <v>0</v>
      </c>
      <c r="W616" s="1" t="n">
        <v>0</v>
      </c>
      <c r="X616" s="1" t="n">
        <v>0</v>
      </c>
      <c r="Y616" s="3" t="n">
        <f aca="false">SUM(S616:T616)</f>
        <v>2</v>
      </c>
      <c r="Z616" s="3" t="n">
        <f aca="false">SUM(U616:W616)</f>
        <v>0</v>
      </c>
      <c r="AA616" s="3" t="n">
        <f aca="false">SUM(S616:X616)</f>
        <v>2</v>
      </c>
      <c r="AB616" s="11" t="n">
        <f aca="false">(AA616/(K616*L616)*25)*4</f>
        <v>8</v>
      </c>
    </row>
    <row r="617" customFormat="false" ht="14.25" hidden="false" customHeight="false" outlineLevel="0" collapsed="false">
      <c r="A617" s="1" t="n">
        <v>2009</v>
      </c>
      <c r="B617" s="7" t="s">
        <v>322</v>
      </c>
      <c r="C617" s="7" t="n">
        <v>2</v>
      </c>
      <c r="D617" s="7" t="s">
        <v>294</v>
      </c>
      <c r="E617" s="7" t="s">
        <v>294</v>
      </c>
      <c r="F617" s="7" t="s">
        <v>51</v>
      </c>
      <c r="G617" s="1" t="n">
        <v>1</v>
      </c>
      <c r="H617" s="1" t="n">
        <v>1</v>
      </c>
      <c r="I617" s="10" t="n">
        <v>39969</v>
      </c>
      <c r="J617" s="10" t="n">
        <v>39974</v>
      </c>
      <c r="K617" s="1" t="n">
        <v>5</v>
      </c>
      <c r="L617" s="1" t="n">
        <v>5</v>
      </c>
      <c r="M617" s="3" t="s">
        <v>72</v>
      </c>
      <c r="N617" s="3" t="s">
        <v>86</v>
      </c>
      <c r="O617" s="8" t="s">
        <v>87</v>
      </c>
      <c r="P617" s="2" t="str">
        <f aca="false">CONCATENATE(N617," ",O617)</f>
        <v>Haplodrassus soerenseni</v>
      </c>
      <c r="Q617" s="1" t="s">
        <v>30</v>
      </c>
      <c r="R617" s="1" t="s">
        <v>31</v>
      </c>
      <c r="S617" s="1" t="n">
        <v>1</v>
      </c>
      <c r="T617" s="1" t="n">
        <v>0</v>
      </c>
      <c r="U617" s="1" t="n">
        <v>0</v>
      </c>
      <c r="V617" s="1" t="n">
        <v>0</v>
      </c>
      <c r="W617" s="1" t="n">
        <v>0</v>
      </c>
      <c r="X617" s="1" t="n">
        <v>0</v>
      </c>
      <c r="Y617" s="3" t="n">
        <f aca="false">SUM(S617:T617)</f>
        <v>1</v>
      </c>
      <c r="Z617" s="3" t="n">
        <f aca="false">SUM(U617:W617)</f>
        <v>0</v>
      </c>
      <c r="AA617" s="3" t="n">
        <f aca="false">SUM(S617:X617)</f>
        <v>1</v>
      </c>
      <c r="AB617" s="11" t="n">
        <f aca="false">(AA617/(K617*L617)*25)*4</f>
        <v>4</v>
      </c>
    </row>
    <row r="618" customFormat="false" ht="14.25" hidden="false" customHeight="false" outlineLevel="0" collapsed="false">
      <c r="A618" s="1" t="n">
        <v>2009</v>
      </c>
      <c r="B618" s="7" t="s">
        <v>322</v>
      </c>
      <c r="C618" s="7" t="n">
        <v>2</v>
      </c>
      <c r="D618" s="7" t="s">
        <v>294</v>
      </c>
      <c r="E618" s="7" t="s">
        <v>294</v>
      </c>
      <c r="F618" s="7" t="s">
        <v>51</v>
      </c>
      <c r="G618" s="1" t="n">
        <v>1</v>
      </c>
      <c r="H618" s="1" t="n">
        <v>1</v>
      </c>
      <c r="I618" s="10" t="n">
        <v>39969</v>
      </c>
      <c r="J618" s="10" t="n">
        <v>39974</v>
      </c>
      <c r="K618" s="1" t="n">
        <v>5</v>
      </c>
      <c r="L618" s="1" t="n">
        <v>5</v>
      </c>
      <c r="M618" s="3" t="s">
        <v>64</v>
      </c>
      <c r="N618" s="3" t="s">
        <v>65</v>
      </c>
      <c r="O618" s="3" t="s">
        <v>123</v>
      </c>
      <c r="P618" s="2" t="str">
        <f aca="false">CONCATENATE(N618," ",O618)</f>
        <v>Zora nemoralis</v>
      </c>
      <c r="Q618" s="1" t="s">
        <v>30</v>
      </c>
      <c r="R618" s="1" t="s">
        <v>31</v>
      </c>
      <c r="S618" s="1" t="n">
        <v>1</v>
      </c>
      <c r="T618" s="1" t="n">
        <v>0</v>
      </c>
      <c r="U618" s="1" t="n">
        <v>0</v>
      </c>
      <c r="V618" s="1" t="n">
        <v>0</v>
      </c>
      <c r="W618" s="1" t="n">
        <v>0</v>
      </c>
      <c r="X618" s="1" t="n">
        <v>0</v>
      </c>
      <c r="Y618" s="3" t="n">
        <f aca="false">SUM(S618:T618)</f>
        <v>1</v>
      </c>
      <c r="Z618" s="3" t="n">
        <f aca="false">SUM(U618:W618)</f>
        <v>0</v>
      </c>
      <c r="AA618" s="3" t="n">
        <f aca="false">SUM(S618:X618)</f>
        <v>1</v>
      </c>
      <c r="AB618" s="11" t="n">
        <f aca="false">(AA618/(K618*L618)*25)*4</f>
        <v>4</v>
      </c>
    </row>
    <row r="619" customFormat="false" ht="14.25" hidden="false" customHeight="false" outlineLevel="0" collapsed="false">
      <c r="A619" s="1" t="n">
        <v>2009</v>
      </c>
      <c r="B619" s="7" t="s">
        <v>322</v>
      </c>
      <c r="C619" s="7" t="n">
        <v>2</v>
      </c>
      <c r="D619" s="7" t="s">
        <v>294</v>
      </c>
      <c r="E619" s="7" t="s">
        <v>294</v>
      </c>
      <c r="F619" s="7" t="s">
        <v>51</v>
      </c>
      <c r="G619" s="1" t="n">
        <v>1</v>
      </c>
      <c r="H619" s="1" t="n">
        <v>1</v>
      </c>
      <c r="I619" s="10" t="n">
        <v>39969</v>
      </c>
      <c r="J619" s="10" t="n">
        <v>39974</v>
      </c>
      <c r="K619" s="1" t="n">
        <v>5</v>
      </c>
      <c r="L619" s="1" t="n">
        <v>5</v>
      </c>
      <c r="M619" s="3" t="s">
        <v>135</v>
      </c>
      <c r="N619" s="3" t="s">
        <v>136</v>
      </c>
      <c r="O619" s="3" t="s">
        <v>137</v>
      </c>
      <c r="P619" s="2" t="str">
        <f aca="false">CONCATENATE(N619," ",O619)</f>
        <v>Thanatus sabulosus</v>
      </c>
      <c r="Q619" s="1" t="s">
        <v>30</v>
      </c>
      <c r="R619" s="1" t="s">
        <v>31</v>
      </c>
      <c r="S619" s="1" t="n">
        <v>1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0</v>
      </c>
      <c r="Y619" s="3" t="n">
        <f aca="false">SUM(S619:T619)</f>
        <v>1</v>
      </c>
      <c r="Z619" s="3" t="n">
        <f aca="false">SUM(U619:W619)</f>
        <v>0</v>
      </c>
      <c r="AA619" s="3" t="n">
        <f aca="false">SUM(S619:X619)</f>
        <v>1</v>
      </c>
      <c r="AB619" s="11" t="n">
        <f aca="false">(AA619/(K619*L619)*25)*4</f>
        <v>4</v>
      </c>
    </row>
    <row r="620" customFormat="false" ht="14.25" hidden="false" customHeight="false" outlineLevel="0" collapsed="false">
      <c r="A620" s="1" t="n">
        <v>2009</v>
      </c>
      <c r="B620" s="7" t="s">
        <v>322</v>
      </c>
      <c r="C620" s="7" t="n">
        <v>2</v>
      </c>
      <c r="D620" s="7" t="s">
        <v>294</v>
      </c>
      <c r="E620" s="7" t="s">
        <v>294</v>
      </c>
      <c r="F620" s="7" t="s">
        <v>51</v>
      </c>
      <c r="G620" s="1" t="n">
        <v>1</v>
      </c>
      <c r="H620" s="1" t="n">
        <v>1</v>
      </c>
      <c r="I620" s="10" t="n">
        <v>39969</v>
      </c>
      <c r="J620" s="10" t="n">
        <v>39974</v>
      </c>
      <c r="K620" s="1" t="n">
        <v>5</v>
      </c>
      <c r="L620" s="1" t="n">
        <v>5</v>
      </c>
      <c r="M620" s="3" t="s">
        <v>36</v>
      </c>
      <c r="N620" s="3" t="s">
        <v>131</v>
      </c>
      <c r="O620" s="3" t="s">
        <v>133</v>
      </c>
      <c r="P620" s="2" t="str">
        <f aca="false">CONCATENATE(N620," ",O620)</f>
        <v>Xysticus luctuosus</v>
      </c>
      <c r="Q620" s="1" t="s">
        <v>30</v>
      </c>
      <c r="R620" s="1" t="s">
        <v>31</v>
      </c>
      <c r="S620" s="1" t="n">
        <v>2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0</v>
      </c>
      <c r="Y620" s="3" t="n">
        <f aca="false">SUM(S620:T620)</f>
        <v>2</v>
      </c>
      <c r="Z620" s="3" t="n">
        <f aca="false">SUM(U620:W620)</f>
        <v>0</v>
      </c>
      <c r="AA620" s="3" t="n">
        <f aca="false">SUM(S620:X620)</f>
        <v>2</v>
      </c>
      <c r="AB620" s="11" t="n">
        <f aca="false">(AA620/(K620*L620)*25)*4</f>
        <v>8</v>
      </c>
    </row>
    <row r="621" customFormat="false" ht="14.25" hidden="false" customHeight="false" outlineLevel="0" collapsed="false">
      <c r="A621" s="1" t="n">
        <v>2009</v>
      </c>
      <c r="B621" s="7" t="s">
        <v>322</v>
      </c>
      <c r="C621" s="7" t="n">
        <v>2</v>
      </c>
      <c r="D621" s="7" t="s">
        <v>294</v>
      </c>
      <c r="E621" s="7" t="s">
        <v>294</v>
      </c>
      <c r="F621" s="7" t="s">
        <v>51</v>
      </c>
      <c r="G621" s="1" t="n">
        <v>1</v>
      </c>
      <c r="H621" s="1" t="n">
        <v>1</v>
      </c>
      <c r="I621" s="10" t="n">
        <v>39969</v>
      </c>
      <c r="J621" s="10" t="n">
        <v>39974</v>
      </c>
      <c r="K621" s="1" t="n">
        <v>5</v>
      </c>
      <c r="L621" s="1" t="n">
        <v>5</v>
      </c>
      <c r="M621" s="3" t="s">
        <v>32</v>
      </c>
      <c r="N621" s="3" t="s">
        <v>62</v>
      </c>
      <c r="O621" s="3" t="s">
        <v>63</v>
      </c>
      <c r="P621" s="2" t="str">
        <f aca="false">CONCATENATE(N621," ",O621)</f>
        <v>Microneta viaria</v>
      </c>
      <c r="Q621" s="1" t="s">
        <v>30</v>
      </c>
      <c r="R621" s="1" t="s">
        <v>35</v>
      </c>
      <c r="S621" s="1" t="n">
        <v>0</v>
      </c>
      <c r="T621" s="1" t="n">
        <v>1</v>
      </c>
      <c r="U621" s="1" t="n">
        <v>0</v>
      </c>
      <c r="V621" s="1" t="n">
        <v>0</v>
      </c>
      <c r="W621" s="1" t="n">
        <v>0</v>
      </c>
      <c r="X621" s="1" t="n">
        <v>0</v>
      </c>
      <c r="Y621" s="3" t="n">
        <f aca="false">SUM(S621:T621)</f>
        <v>1</v>
      </c>
      <c r="Z621" s="3" t="n">
        <f aca="false">SUM(U621:W621)</f>
        <v>0</v>
      </c>
      <c r="AA621" s="3" t="n">
        <f aca="false">SUM(S621:X621)</f>
        <v>1</v>
      </c>
      <c r="AB621" s="11" t="n">
        <f aca="false">(AA621/(K621*L621)*25)*4</f>
        <v>4</v>
      </c>
    </row>
    <row r="622" customFormat="false" ht="14.25" hidden="false" customHeight="false" outlineLevel="0" collapsed="false">
      <c r="A622" s="1" t="n">
        <v>2009</v>
      </c>
      <c r="B622" s="7" t="s">
        <v>322</v>
      </c>
      <c r="C622" s="7" t="n">
        <v>2</v>
      </c>
      <c r="D622" s="7" t="s">
        <v>294</v>
      </c>
      <c r="E622" s="7" t="s">
        <v>294</v>
      </c>
      <c r="F622" s="7" t="s">
        <v>51</v>
      </c>
      <c r="G622" s="1" t="n">
        <v>1</v>
      </c>
      <c r="H622" s="1" t="n">
        <v>1</v>
      </c>
      <c r="I622" s="10" t="n">
        <v>39969</v>
      </c>
      <c r="J622" s="10" t="n">
        <v>39974</v>
      </c>
      <c r="K622" s="1" t="n">
        <v>5</v>
      </c>
      <c r="L622" s="1" t="n">
        <v>5</v>
      </c>
      <c r="M622" s="13" t="s">
        <v>32</v>
      </c>
      <c r="N622" s="13" t="s">
        <v>96</v>
      </c>
      <c r="O622" s="14" t="s">
        <v>97</v>
      </c>
      <c r="P622" s="2" t="str">
        <f aca="false">CONCATENATE(N622," ",O622)</f>
        <v>Diplocephalus picinus</v>
      </c>
      <c r="Q622" s="1" t="s">
        <v>30</v>
      </c>
      <c r="R622" s="1" t="s">
        <v>31</v>
      </c>
      <c r="S622" s="1" t="n">
        <v>1</v>
      </c>
      <c r="T622" s="1" t="n">
        <v>0</v>
      </c>
      <c r="U622" s="1" t="n">
        <v>0</v>
      </c>
      <c r="V622" s="1" t="n">
        <v>0</v>
      </c>
      <c r="W622" s="1" t="n">
        <v>0</v>
      </c>
      <c r="X622" s="1" t="n">
        <v>0</v>
      </c>
      <c r="Y622" s="3" t="n">
        <f aca="false">SUM(S622:T622)</f>
        <v>1</v>
      </c>
      <c r="Z622" s="3" t="n">
        <f aca="false">SUM(U622:W622)</f>
        <v>0</v>
      </c>
      <c r="AA622" s="3" t="n">
        <f aca="false">SUM(S622:X622)</f>
        <v>1</v>
      </c>
      <c r="AB622" s="11" t="n">
        <f aca="false">(AA622/(K622*L622)*25)*4</f>
        <v>4</v>
      </c>
    </row>
    <row r="623" customFormat="false" ht="14.25" hidden="false" customHeight="false" outlineLevel="0" collapsed="false">
      <c r="A623" s="1" t="n">
        <v>2009</v>
      </c>
      <c r="B623" s="7" t="s">
        <v>322</v>
      </c>
      <c r="C623" s="7" t="n">
        <v>2</v>
      </c>
      <c r="D623" s="7" t="s">
        <v>294</v>
      </c>
      <c r="E623" s="7" t="s">
        <v>294</v>
      </c>
      <c r="F623" s="7" t="s">
        <v>51</v>
      </c>
      <c r="G623" s="1" t="n">
        <v>1</v>
      </c>
      <c r="H623" s="1" t="n">
        <v>1</v>
      </c>
      <c r="I623" s="10" t="n">
        <v>39969</v>
      </c>
      <c r="J623" s="10" t="n">
        <v>39974</v>
      </c>
      <c r="K623" s="1" t="n">
        <v>5</v>
      </c>
      <c r="L623" s="1" t="n">
        <v>5</v>
      </c>
      <c r="M623" s="13" t="s">
        <v>32</v>
      </c>
      <c r="N623" s="13" t="s">
        <v>96</v>
      </c>
      <c r="O623" s="14" t="s">
        <v>97</v>
      </c>
      <c r="P623" s="2" t="str">
        <f aca="false">CONCATENATE(N623," ",O623)</f>
        <v>Diplocephalus picinus</v>
      </c>
      <c r="Q623" s="1" t="s">
        <v>30</v>
      </c>
      <c r="R623" s="1" t="s">
        <v>35</v>
      </c>
      <c r="S623" s="1" t="n">
        <v>0</v>
      </c>
      <c r="T623" s="1" t="n">
        <v>1</v>
      </c>
      <c r="U623" s="1" t="n">
        <v>0</v>
      </c>
      <c r="V623" s="1" t="n">
        <v>0</v>
      </c>
      <c r="W623" s="1" t="n">
        <v>0</v>
      </c>
      <c r="X623" s="1" t="n">
        <v>0</v>
      </c>
      <c r="Y623" s="3" t="n">
        <f aca="false">SUM(S623:T623)</f>
        <v>1</v>
      </c>
      <c r="Z623" s="3" t="n">
        <f aca="false">SUM(U623:W623)</f>
        <v>0</v>
      </c>
      <c r="AA623" s="3" t="n">
        <f aca="false">SUM(S623:X623)</f>
        <v>1</v>
      </c>
      <c r="AB623" s="11" t="n">
        <f aca="false">(AA623/(K623*L623)*25)*4</f>
        <v>4</v>
      </c>
    </row>
    <row r="624" customFormat="false" ht="14.25" hidden="false" customHeight="false" outlineLevel="0" collapsed="false">
      <c r="A624" s="1" t="n">
        <v>2009</v>
      </c>
      <c r="B624" s="7" t="s">
        <v>322</v>
      </c>
      <c r="C624" s="7" t="n">
        <v>2</v>
      </c>
      <c r="D624" s="7" t="s">
        <v>294</v>
      </c>
      <c r="E624" s="7" t="s">
        <v>294</v>
      </c>
      <c r="F624" s="7" t="s">
        <v>51</v>
      </c>
      <c r="G624" s="1" t="n">
        <v>1</v>
      </c>
      <c r="H624" s="1" t="n">
        <v>1</v>
      </c>
      <c r="I624" s="10" t="n">
        <v>39969</v>
      </c>
      <c r="J624" s="10" t="n">
        <v>39974</v>
      </c>
      <c r="K624" s="1" t="n">
        <v>5</v>
      </c>
      <c r="L624" s="1" t="n">
        <v>5</v>
      </c>
      <c r="M624" s="13" t="s">
        <v>32</v>
      </c>
      <c r="N624" s="13" t="s">
        <v>165</v>
      </c>
      <c r="O624" s="14" t="s">
        <v>166</v>
      </c>
      <c r="P624" s="2" t="str">
        <f aca="false">CONCATENATE(N624," ",O624)</f>
        <v>Minyriolus pusillus</v>
      </c>
      <c r="Q624" s="1" t="s">
        <v>30</v>
      </c>
      <c r="R624" s="1" t="s">
        <v>31</v>
      </c>
      <c r="S624" s="1" t="n">
        <v>1</v>
      </c>
      <c r="T624" s="1" t="n">
        <v>0</v>
      </c>
      <c r="U624" s="1" t="n">
        <v>0</v>
      </c>
      <c r="V624" s="1" t="n">
        <v>0</v>
      </c>
      <c r="W624" s="1" t="n">
        <v>0</v>
      </c>
      <c r="X624" s="1" t="n">
        <v>0</v>
      </c>
      <c r="Y624" s="3" t="n">
        <f aca="false">SUM(S624:T624)</f>
        <v>1</v>
      </c>
      <c r="Z624" s="3" t="n">
        <f aca="false">SUM(U624:W624)</f>
        <v>0</v>
      </c>
      <c r="AA624" s="3" t="n">
        <f aca="false">SUM(S624:X624)</f>
        <v>1</v>
      </c>
      <c r="AB624" s="11" t="n">
        <f aca="false">(AA624/(K624*L624)*25)*4</f>
        <v>4</v>
      </c>
    </row>
    <row r="625" customFormat="false" ht="14.25" hidden="false" customHeight="false" outlineLevel="0" collapsed="false">
      <c r="A625" s="1" t="n">
        <v>2009</v>
      </c>
      <c r="B625" s="7" t="s">
        <v>322</v>
      </c>
      <c r="C625" s="7" t="n">
        <v>2</v>
      </c>
      <c r="D625" s="7" t="s">
        <v>294</v>
      </c>
      <c r="E625" s="7" t="s">
        <v>294</v>
      </c>
      <c r="F625" s="7" t="s">
        <v>51</v>
      </c>
      <c r="G625" s="1" t="n">
        <v>1</v>
      </c>
      <c r="H625" s="1" t="n">
        <v>1</v>
      </c>
      <c r="I625" s="10" t="n">
        <v>39969</v>
      </c>
      <c r="J625" s="10" t="n">
        <v>39974</v>
      </c>
      <c r="K625" s="1" t="n">
        <v>5</v>
      </c>
      <c r="L625" s="1" t="n">
        <v>5</v>
      </c>
      <c r="M625" s="3" t="s">
        <v>32</v>
      </c>
      <c r="N625" s="3" t="s">
        <v>84</v>
      </c>
      <c r="O625" s="3" t="s">
        <v>85</v>
      </c>
      <c r="P625" s="2" t="str">
        <f aca="false">CONCATENATE(N625," ",O625)</f>
        <v>Walckenaeria antica</v>
      </c>
      <c r="Q625" s="1" t="s">
        <v>30</v>
      </c>
      <c r="R625" s="1" t="s">
        <v>35</v>
      </c>
      <c r="S625" s="1" t="n">
        <v>0</v>
      </c>
      <c r="T625" s="1" t="n">
        <v>1</v>
      </c>
      <c r="U625" s="1" t="n">
        <v>0</v>
      </c>
      <c r="V625" s="1" t="n">
        <v>0</v>
      </c>
      <c r="W625" s="1" t="n">
        <v>0</v>
      </c>
      <c r="X625" s="1" t="n">
        <v>0</v>
      </c>
      <c r="Y625" s="3" t="n">
        <f aca="false">SUM(S625:T625)</f>
        <v>1</v>
      </c>
      <c r="Z625" s="3" t="n">
        <f aca="false">SUM(U625:W625)</f>
        <v>0</v>
      </c>
      <c r="AA625" s="3" t="n">
        <f aca="false">SUM(S625:X625)</f>
        <v>1</v>
      </c>
      <c r="AB625" s="11" t="n">
        <f aca="false">(AA625/(K625*L625)*25)*4</f>
        <v>4</v>
      </c>
    </row>
    <row r="626" customFormat="false" ht="14.25" hidden="false" customHeight="false" outlineLevel="0" collapsed="false">
      <c r="A626" s="1" t="n">
        <v>2009</v>
      </c>
      <c r="B626" s="7" t="s">
        <v>322</v>
      </c>
      <c r="C626" s="7" t="n">
        <v>2</v>
      </c>
      <c r="D626" s="7" t="s">
        <v>294</v>
      </c>
      <c r="E626" s="7" t="s">
        <v>294</v>
      </c>
      <c r="F626" s="7" t="s">
        <v>51</v>
      </c>
      <c r="G626" s="1" t="n">
        <v>1</v>
      </c>
      <c r="H626" s="1" t="n">
        <v>2</v>
      </c>
      <c r="I626" s="10" t="n">
        <v>39969</v>
      </c>
      <c r="J626" s="10" t="n">
        <v>39974</v>
      </c>
      <c r="K626" s="1" t="n">
        <v>5</v>
      </c>
      <c r="L626" s="1" t="n">
        <v>5</v>
      </c>
      <c r="M626" s="3" t="s">
        <v>48</v>
      </c>
      <c r="N626" s="3" t="s">
        <v>49</v>
      </c>
      <c r="O626" s="3" t="s">
        <v>104</v>
      </c>
      <c r="P626" s="2" t="str">
        <f aca="false">CONCATENATE(N626," ",O626)</f>
        <v>Alopecosa taeniata</v>
      </c>
      <c r="Q626" s="1" t="s">
        <v>30</v>
      </c>
      <c r="R626" s="1" t="s">
        <v>31</v>
      </c>
      <c r="S626" s="1" t="n">
        <v>4</v>
      </c>
      <c r="T626" s="1" t="n">
        <v>0</v>
      </c>
      <c r="U626" s="1" t="n">
        <v>0</v>
      </c>
      <c r="V626" s="1" t="n">
        <v>0</v>
      </c>
      <c r="W626" s="1" t="n">
        <v>0</v>
      </c>
      <c r="X626" s="1" t="n">
        <v>0</v>
      </c>
      <c r="Y626" s="3" t="n">
        <f aca="false">SUM(S626:T626)</f>
        <v>4</v>
      </c>
      <c r="Z626" s="3" t="n">
        <f aca="false">SUM(U626:W626)</f>
        <v>0</v>
      </c>
      <c r="AA626" s="3" t="n">
        <f aca="false">SUM(S626:X626)</f>
        <v>4</v>
      </c>
      <c r="AB626" s="11" t="n">
        <f aca="false">(AA626/(K626*L626)*25)*4</f>
        <v>16</v>
      </c>
    </row>
    <row r="627" customFormat="false" ht="14.25" hidden="false" customHeight="false" outlineLevel="0" collapsed="false">
      <c r="A627" s="1" t="n">
        <v>2009</v>
      </c>
      <c r="B627" s="7" t="s">
        <v>322</v>
      </c>
      <c r="C627" s="7" t="n">
        <v>2</v>
      </c>
      <c r="D627" s="7" t="s">
        <v>294</v>
      </c>
      <c r="E627" s="7" t="s">
        <v>294</v>
      </c>
      <c r="F627" s="7" t="s">
        <v>51</v>
      </c>
      <c r="G627" s="1" t="n">
        <v>1</v>
      </c>
      <c r="H627" s="1" t="n">
        <v>2</v>
      </c>
      <c r="I627" s="10" t="n">
        <v>39969</v>
      </c>
      <c r="J627" s="10" t="n">
        <v>39974</v>
      </c>
      <c r="K627" s="1" t="n">
        <v>5</v>
      </c>
      <c r="L627" s="1" t="n">
        <v>5</v>
      </c>
      <c r="M627" s="3" t="s">
        <v>48</v>
      </c>
      <c r="N627" s="3" t="s">
        <v>67</v>
      </c>
      <c r="O627" s="3" t="s">
        <v>127</v>
      </c>
      <c r="P627" s="2" t="str">
        <f aca="false">CONCATENATE(N627," ",O627)</f>
        <v>Pardosa lugubris</v>
      </c>
      <c r="Q627" s="1" t="s">
        <v>30</v>
      </c>
      <c r="R627" s="1" t="s">
        <v>31</v>
      </c>
      <c r="S627" s="1" t="n">
        <v>1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  <c r="Y627" s="3" t="n">
        <f aca="false">SUM(S627:T627)</f>
        <v>1</v>
      </c>
      <c r="Z627" s="3" t="n">
        <f aca="false">SUM(U627:W627)</f>
        <v>0</v>
      </c>
      <c r="AA627" s="3" t="n">
        <f aca="false">SUM(S627:X627)</f>
        <v>1</v>
      </c>
      <c r="AB627" s="11" t="n">
        <f aca="false">(AA627/(K627*L627)*25)*4</f>
        <v>4</v>
      </c>
    </row>
    <row r="628" customFormat="false" ht="14.25" hidden="false" customHeight="false" outlineLevel="0" collapsed="false">
      <c r="A628" s="1" t="n">
        <v>2009</v>
      </c>
      <c r="B628" s="7" t="s">
        <v>322</v>
      </c>
      <c r="C628" s="7" t="n">
        <v>2</v>
      </c>
      <c r="D628" s="7" t="s">
        <v>294</v>
      </c>
      <c r="E628" s="7" t="s">
        <v>294</v>
      </c>
      <c r="F628" s="7" t="s">
        <v>51</v>
      </c>
      <c r="G628" s="1" t="n">
        <v>1</v>
      </c>
      <c r="H628" s="1" t="n">
        <v>2</v>
      </c>
      <c r="I628" s="10" t="n">
        <v>39969</v>
      </c>
      <c r="J628" s="10" t="n">
        <v>39974</v>
      </c>
      <c r="K628" s="1" t="n">
        <v>5</v>
      </c>
      <c r="L628" s="1" t="n">
        <v>5</v>
      </c>
      <c r="M628" s="13" t="s">
        <v>195</v>
      </c>
      <c r="N628" s="13" t="s">
        <v>196</v>
      </c>
      <c r="O628" s="14" t="s">
        <v>197</v>
      </c>
      <c r="P628" s="2" t="str">
        <f aca="false">CONCATENATE(N628," ",O628)</f>
        <v>Pachygnatha listeri</v>
      </c>
      <c r="Q628" s="1" t="s">
        <v>30</v>
      </c>
      <c r="R628" s="1" t="s">
        <v>35</v>
      </c>
      <c r="S628" s="1" t="n">
        <v>0</v>
      </c>
      <c r="T628" s="1" t="n">
        <v>2</v>
      </c>
      <c r="U628" s="1" t="n">
        <v>0</v>
      </c>
      <c r="V628" s="1" t="n">
        <v>0</v>
      </c>
      <c r="W628" s="1" t="n">
        <v>0</v>
      </c>
      <c r="X628" s="1" t="n">
        <v>0</v>
      </c>
      <c r="Y628" s="3" t="n">
        <f aca="false">SUM(S628:T628)</f>
        <v>2</v>
      </c>
      <c r="Z628" s="3" t="n">
        <f aca="false">SUM(U628:W628)</f>
        <v>0</v>
      </c>
      <c r="AA628" s="3" t="n">
        <f aca="false">SUM(S628:X628)</f>
        <v>2</v>
      </c>
      <c r="AB628" s="11" t="n">
        <f aca="false">(AA628/(K628*L628)*25)*4</f>
        <v>8</v>
      </c>
    </row>
    <row r="629" customFormat="false" ht="14.25" hidden="false" customHeight="false" outlineLevel="0" collapsed="false">
      <c r="A629" s="1" t="n">
        <v>2009</v>
      </c>
      <c r="B629" s="7" t="s">
        <v>322</v>
      </c>
      <c r="C629" s="7" t="n">
        <v>2</v>
      </c>
      <c r="D629" s="7" t="s">
        <v>294</v>
      </c>
      <c r="E629" s="7" t="s">
        <v>294</v>
      </c>
      <c r="F629" s="7" t="s">
        <v>51</v>
      </c>
      <c r="G629" s="1" t="n">
        <v>1</v>
      </c>
      <c r="H629" s="1" t="n">
        <v>2</v>
      </c>
      <c r="I629" s="10" t="n">
        <v>39969</v>
      </c>
      <c r="J629" s="10" t="n">
        <v>39974</v>
      </c>
      <c r="K629" s="1" t="n">
        <v>5</v>
      </c>
      <c r="L629" s="1" t="n">
        <v>5</v>
      </c>
      <c r="M629" s="3" t="s">
        <v>72</v>
      </c>
      <c r="N629" s="3" t="s">
        <v>86</v>
      </c>
      <c r="O629" s="8" t="s">
        <v>87</v>
      </c>
      <c r="P629" s="2" t="str">
        <f aca="false">CONCATENATE(N629," ",O629)</f>
        <v>Haplodrassus soerenseni</v>
      </c>
      <c r="Q629" s="1" t="s">
        <v>30</v>
      </c>
      <c r="R629" s="1" t="s">
        <v>35</v>
      </c>
      <c r="S629" s="1" t="n">
        <v>0</v>
      </c>
      <c r="T629" s="1" t="n">
        <v>1</v>
      </c>
      <c r="U629" s="1" t="n">
        <v>0</v>
      </c>
      <c r="V629" s="1" t="n">
        <v>0</v>
      </c>
      <c r="W629" s="1" t="n">
        <v>0</v>
      </c>
      <c r="X629" s="1" t="n">
        <v>0</v>
      </c>
      <c r="Y629" s="3" t="n">
        <f aca="false">SUM(S629:T629)</f>
        <v>1</v>
      </c>
      <c r="Z629" s="3" t="n">
        <f aca="false">SUM(U629:W629)</f>
        <v>0</v>
      </c>
      <c r="AA629" s="3" t="n">
        <f aca="false">SUM(S629:X629)</f>
        <v>1</v>
      </c>
      <c r="AB629" s="11" t="n">
        <f aca="false">(AA629/(K629*L629)*25)*4</f>
        <v>4</v>
      </c>
    </row>
    <row r="630" customFormat="false" ht="14.25" hidden="false" customHeight="false" outlineLevel="0" collapsed="false">
      <c r="A630" s="1" t="n">
        <v>2009</v>
      </c>
      <c r="B630" s="7" t="s">
        <v>322</v>
      </c>
      <c r="C630" s="7" t="n">
        <v>2</v>
      </c>
      <c r="D630" s="7" t="s">
        <v>294</v>
      </c>
      <c r="E630" s="7" t="s">
        <v>294</v>
      </c>
      <c r="F630" s="7" t="s">
        <v>51</v>
      </c>
      <c r="G630" s="1" t="n">
        <v>1</v>
      </c>
      <c r="H630" s="1" t="n">
        <v>2</v>
      </c>
      <c r="I630" s="10" t="n">
        <v>39969</v>
      </c>
      <c r="J630" s="10" t="n">
        <v>39974</v>
      </c>
      <c r="K630" s="1" t="n">
        <v>5</v>
      </c>
      <c r="L630" s="1" t="n">
        <v>5</v>
      </c>
      <c r="M630" s="13" t="s">
        <v>32</v>
      </c>
      <c r="N630" s="13" t="s">
        <v>96</v>
      </c>
      <c r="O630" s="14" t="s">
        <v>97</v>
      </c>
      <c r="P630" s="2" t="str">
        <f aca="false">CONCATENATE(N630," ",O630)</f>
        <v>Diplocephalus picinus</v>
      </c>
      <c r="Q630" s="1" t="s">
        <v>30</v>
      </c>
      <c r="R630" s="1" t="s">
        <v>31</v>
      </c>
      <c r="S630" s="1" t="n">
        <v>1</v>
      </c>
      <c r="T630" s="1" t="n">
        <v>0</v>
      </c>
      <c r="U630" s="1" t="n">
        <v>0</v>
      </c>
      <c r="V630" s="1" t="n">
        <v>0</v>
      </c>
      <c r="W630" s="1" t="n">
        <v>0</v>
      </c>
      <c r="X630" s="1" t="n">
        <v>0</v>
      </c>
      <c r="Y630" s="3" t="n">
        <f aca="false">SUM(S630:T630)</f>
        <v>1</v>
      </c>
      <c r="Z630" s="3" t="n">
        <f aca="false">SUM(U630:W630)</f>
        <v>0</v>
      </c>
      <c r="AA630" s="3" t="n">
        <f aca="false">SUM(S630:X630)</f>
        <v>1</v>
      </c>
      <c r="AB630" s="11" t="n">
        <f aca="false">(AA630/(K630*L630)*25)*4</f>
        <v>4</v>
      </c>
    </row>
    <row r="631" customFormat="false" ht="14.25" hidden="false" customHeight="false" outlineLevel="0" collapsed="false">
      <c r="A631" s="1" t="n">
        <v>2009</v>
      </c>
      <c r="B631" s="7" t="s">
        <v>322</v>
      </c>
      <c r="C631" s="7" t="n">
        <v>2</v>
      </c>
      <c r="D631" s="7" t="s">
        <v>294</v>
      </c>
      <c r="E631" s="7" t="s">
        <v>294</v>
      </c>
      <c r="F631" s="7" t="s">
        <v>51</v>
      </c>
      <c r="G631" s="1" t="n">
        <v>1</v>
      </c>
      <c r="H631" s="1" t="n">
        <v>3</v>
      </c>
      <c r="I631" s="10" t="n">
        <v>39969</v>
      </c>
      <c r="J631" s="10" t="n">
        <v>39974</v>
      </c>
      <c r="K631" s="1" t="n">
        <v>5</v>
      </c>
      <c r="L631" s="1" t="n">
        <v>5</v>
      </c>
      <c r="M631" s="3" t="s">
        <v>48</v>
      </c>
      <c r="N631" s="3" t="s">
        <v>49</v>
      </c>
      <c r="O631" s="3" t="s">
        <v>104</v>
      </c>
      <c r="P631" s="2" t="str">
        <f aca="false">CONCATENATE(N631," ",O631)</f>
        <v>Alopecosa taeniata</v>
      </c>
      <c r="Q631" s="1" t="s">
        <v>30</v>
      </c>
      <c r="R631" s="1" t="s">
        <v>31</v>
      </c>
      <c r="S631" s="1" t="n">
        <v>3</v>
      </c>
      <c r="T631" s="1" t="n">
        <v>0</v>
      </c>
      <c r="U631" s="1" t="n">
        <v>0</v>
      </c>
      <c r="V631" s="1" t="n">
        <v>0</v>
      </c>
      <c r="W631" s="1" t="n">
        <v>0</v>
      </c>
      <c r="X631" s="1" t="n">
        <v>0</v>
      </c>
      <c r="Y631" s="3" t="n">
        <f aca="false">SUM(S631:T631)</f>
        <v>3</v>
      </c>
      <c r="Z631" s="3" t="n">
        <f aca="false">SUM(U631:W631)</f>
        <v>0</v>
      </c>
      <c r="AA631" s="3" t="n">
        <f aca="false">SUM(S631:X631)</f>
        <v>3</v>
      </c>
      <c r="AB631" s="11" t="n">
        <f aca="false">(AA631/(K631*L631)*25)*4</f>
        <v>12</v>
      </c>
    </row>
    <row r="632" customFormat="false" ht="14.25" hidden="false" customHeight="false" outlineLevel="0" collapsed="false">
      <c r="A632" s="1" t="n">
        <v>2009</v>
      </c>
      <c r="B632" s="7" t="s">
        <v>322</v>
      </c>
      <c r="C632" s="7" t="n">
        <v>2</v>
      </c>
      <c r="D632" s="7" t="s">
        <v>294</v>
      </c>
      <c r="E632" s="7" t="s">
        <v>294</v>
      </c>
      <c r="F632" s="7" t="s">
        <v>51</v>
      </c>
      <c r="G632" s="1" t="n">
        <v>1</v>
      </c>
      <c r="H632" s="1" t="n">
        <v>3</v>
      </c>
      <c r="I632" s="10" t="n">
        <v>39969</v>
      </c>
      <c r="J632" s="10" t="n">
        <v>39974</v>
      </c>
      <c r="K632" s="1" t="n">
        <v>5</v>
      </c>
      <c r="L632" s="1" t="n">
        <v>5</v>
      </c>
      <c r="M632" s="3" t="s">
        <v>48</v>
      </c>
      <c r="N632" s="3" t="s">
        <v>67</v>
      </c>
      <c r="O632" s="3" t="s">
        <v>127</v>
      </c>
      <c r="P632" s="2" t="str">
        <f aca="false">CONCATENATE(N632," ",O632)</f>
        <v>Pardosa lugubris</v>
      </c>
      <c r="Q632" s="1" t="s">
        <v>30</v>
      </c>
      <c r="R632" s="1" t="s">
        <v>31</v>
      </c>
      <c r="S632" s="1" t="n">
        <v>4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0</v>
      </c>
      <c r="Y632" s="3" t="n">
        <f aca="false">SUM(S632:T632)</f>
        <v>4</v>
      </c>
      <c r="Z632" s="3" t="n">
        <f aca="false">SUM(U632:W632)</f>
        <v>0</v>
      </c>
      <c r="AA632" s="3" t="n">
        <f aca="false">SUM(S632:X632)</f>
        <v>4</v>
      </c>
      <c r="AB632" s="11" t="n">
        <f aca="false">(AA632/(K632*L632)*25)*4</f>
        <v>16</v>
      </c>
    </row>
    <row r="633" customFormat="false" ht="14.25" hidden="false" customHeight="false" outlineLevel="0" collapsed="false">
      <c r="A633" s="1" t="n">
        <v>2009</v>
      </c>
      <c r="B633" s="7" t="s">
        <v>322</v>
      </c>
      <c r="C633" s="7" t="n">
        <v>2</v>
      </c>
      <c r="D633" s="7" t="s">
        <v>294</v>
      </c>
      <c r="E633" s="7" t="s">
        <v>294</v>
      </c>
      <c r="F633" s="7" t="s">
        <v>51</v>
      </c>
      <c r="G633" s="1" t="n">
        <v>1</v>
      </c>
      <c r="H633" s="1" t="n">
        <v>3</v>
      </c>
      <c r="I633" s="10" t="n">
        <v>39969</v>
      </c>
      <c r="J633" s="10" t="n">
        <v>39974</v>
      </c>
      <c r="K633" s="1" t="n">
        <v>5</v>
      </c>
      <c r="L633" s="1" t="n">
        <v>5</v>
      </c>
      <c r="M633" s="3" t="s">
        <v>72</v>
      </c>
      <c r="N633" s="3" t="s">
        <v>73</v>
      </c>
      <c r="O633" s="3" t="s">
        <v>74</v>
      </c>
      <c r="P633" s="2" t="str">
        <f aca="false">CONCATENATE(N633," ",O633)</f>
        <v>Zelotes subterraneus</v>
      </c>
      <c r="Q633" s="1" t="s">
        <v>30</v>
      </c>
      <c r="R633" s="1" t="s">
        <v>31</v>
      </c>
      <c r="S633" s="1" t="n">
        <v>1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0</v>
      </c>
      <c r="Y633" s="3" t="n">
        <f aca="false">SUM(S633:T633)</f>
        <v>1</v>
      </c>
      <c r="Z633" s="3" t="n">
        <f aca="false">SUM(U633:W633)</f>
        <v>0</v>
      </c>
      <c r="AA633" s="3" t="n">
        <f aca="false">SUM(S633:X633)</f>
        <v>1</v>
      </c>
      <c r="AB633" s="11" t="n">
        <f aca="false">(AA633/(K633*L633)*25)*4</f>
        <v>4</v>
      </c>
    </row>
    <row r="634" customFormat="false" ht="14.25" hidden="false" customHeight="false" outlineLevel="0" collapsed="false">
      <c r="A634" s="1" t="n">
        <v>2009</v>
      </c>
      <c r="B634" s="7" t="s">
        <v>322</v>
      </c>
      <c r="C634" s="7" t="n">
        <v>2</v>
      </c>
      <c r="D634" s="7" t="s">
        <v>294</v>
      </c>
      <c r="E634" s="7" t="s">
        <v>294</v>
      </c>
      <c r="F634" s="7" t="s">
        <v>51</v>
      </c>
      <c r="G634" s="1" t="n">
        <v>1</v>
      </c>
      <c r="H634" s="1" t="n">
        <v>3</v>
      </c>
      <c r="I634" s="10" t="n">
        <v>39969</v>
      </c>
      <c r="J634" s="10" t="n">
        <v>39974</v>
      </c>
      <c r="K634" s="1" t="n">
        <v>5</v>
      </c>
      <c r="L634" s="1" t="n">
        <v>5</v>
      </c>
      <c r="M634" s="3" t="s">
        <v>72</v>
      </c>
      <c r="N634" s="3" t="s">
        <v>73</v>
      </c>
      <c r="O634" s="3" t="s">
        <v>74</v>
      </c>
      <c r="P634" s="2" t="str">
        <f aca="false">CONCATENATE(N634," ",O634)</f>
        <v>Zelotes subterraneus</v>
      </c>
      <c r="Q634" s="1" t="s">
        <v>30</v>
      </c>
      <c r="R634" s="1" t="s">
        <v>35</v>
      </c>
      <c r="S634" s="1" t="n">
        <v>0</v>
      </c>
      <c r="T634" s="1" t="n">
        <v>1</v>
      </c>
      <c r="U634" s="1" t="n">
        <v>0</v>
      </c>
      <c r="V634" s="1" t="n">
        <v>0</v>
      </c>
      <c r="W634" s="1" t="n">
        <v>0</v>
      </c>
      <c r="X634" s="1" t="n">
        <v>0</v>
      </c>
      <c r="Y634" s="3" t="n">
        <f aca="false">SUM(S634:T634)</f>
        <v>1</v>
      </c>
      <c r="Z634" s="3" t="n">
        <f aca="false">SUM(U634:W634)</f>
        <v>0</v>
      </c>
      <c r="AA634" s="3" t="n">
        <f aca="false">SUM(S634:X634)</f>
        <v>1</v>
      </c>
      <c r="AB634" s="11" t="n">
        <f aca="false">(AA634/(K634*L634)*25)*4</f>
        <v>4</v>
      </c>
    </row>
    <row r="635" customFormat="false" ht="14.25" hidden="false" customHeight="false" outlineLevel="0" collapsed="false">
      <c r="A635" s="1" t="n">
        <v>2009</v>
      </c>
      <c r="B635" s="7" t="s">
        <v>322</v>
      </c>
      <c r="C635" s="7" t="n">
        <v>2</v>
      </c>
      <c r="D635" s="7" t="s">
        <v>294</v>
      </c>
      <c r="E635" s="7" t="s">
        <v>294</v>
      </c>
      <c r="F635" s="7" t="s">
        <v>51</v>
      </c>
      <c r="G635" s="1" t="n">
        <v>1</v>
      </c>
      <c r="H635" s="1" t="n">
        <v>3</v>
      </c>
      <c r="I635" s="10" t="n">
        <v>39969</v>
      </c>
      <c r="J635" s="10" t="n">
        <v>39974</v>
      </c>
      <c r="K635" s="1" t="n">
        <v>5</v>
      </c>
      <c r="L635" s="1" t="n">
        <v>5</v>
      </c>
      <c r="M635" s="3" t="s">
        <v>72</v>
      </c>
      <c r="N635" s="3" t="s">
        <v>86</v>
      </c>
      <c r="O635" s="8" t="s">
        <v>87</v>
      </c>
      <c r="P635" s="2" t="str">
        <f aca="false">CONCATENATE(N635," ",O635)</f>
        <v>Haplodrassus soerenseni</v>
      </c>
      <c r="Q635" s="1" t="s">
        <v>30</v>
      </c>
      <c r="R635" s="1" t="s">
        <v>31</v>
      </c>
      <c r="S635" s="1" t="n">
        <v>2</v>
      </c>
      <c r="T635" s="1" t="n">
        <v>0</v>
      </c>
      <c r="U635" s="1" t="n">
        <v>0</v>
      </c>
      <c r="V635" s="1" t="n">
        <v>0</v>
      </c>
      <c r="W635" s="1" t="n">
        <v>0</v>
      </c>
      <c r="X635" s="1" t="n">
        <v>0</v>
      </c>
      <c r="Y635" s="3" t="n">
        <f aca="false">SUM(S635:T635)</f>
        <v>2</v>
      </c>
      <c r="Z635" s="3" t="n">
        <f aca="false">SUM(U635:W635)</f>
        <v>0</v>
      </c>
      <c r="AA635" s="3" t="n">
        <f aca="false">SUM(S635:X635)</f>
        <v>2</v>
      </c>
      <c r="AB635" s="11" t="n">
        <f aca="false">(AA635/(K635*L635)*25)*4</f>
        <v>8</v>
      </c>
    </row>
    <row r="636" customFormat="false" ht="14.25" hidden="false" customHeight="false" outlineLevel="0" collapsed="false">
      <c r="A636" s="1" t="n">
        <v>2009</v>
      </c>
      <c r="B636" s="7" t="s">
        <v>322</v>
      </c>
      <c r="C636" s="7" t="n">
        <v>2</v>
      </c>
      <c r="D636" s="7" t="s">
        <v>294</v>
      </c>
      <c r="E636" s="7" t="s">
        <v>294</v>
      </c>
      <c r="F636" s="7" t="s">
        <v>51</v>
      </c>
      <c r="G636" s="1" t="n">
        <v>1</v>
      </c>
      <c r="H636" s="1" t="n">
        <v>3</v>
      </c>
      <c r="I636" s="10" t="n">
        <v>39969</v>
      </c>
      <c r="J636" s="10" t="n">
        <v>39974</v>
      </c>
      <c r="K636" s="1" t="n">
        <v>5</v>
      </c>
      <c r="L636" s="1" t="n">
        <v>5</v>
      </c>
      <c r="M636" s="3" t="s">
        <v>64</v>
      </c>
      <c r="N636" s="3" t="s">
        <v>65</v>
      </c>
      <c r="O636" s="3" t="s">
        <v>123</v>
      </c>
      <c r="P636" s="2" t="str">
        <f aca="false">CONCATENATE(N636," ",O636)</f>
        <v>Zora nemoralis</v>
      </c>
      <c r="Q636" s="1" t="s">
        <v>30</v>
      </c>
      <c r="R636" s="1" t="s">
        <v>31</v>
      </c>
      <c r="S636" s="1" t="n">
        <v>2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3" t="n">
        <f aca="false">SUM(S636:T636)</f>
        <v>2</v>
      </c>
      <c r="Z636" s="3" t="n">
        <f aca="false">SUM(U636:W636)</f>
        <v>0</v>
      </c>
      <c r="AA636" s="3" t="n">
        <f aca="false">SUM(S636:X636)</f>
        <v>2</v>
      </c>
      <c r="AB636" s="11" t="n">
        <f aca="false">(AA636/(K636*L636)*25)*4</f>
        <v>8</v>
      </c>
    </row>
    <row r="637" customFormat="false" ht="14.25" hidden="false" customHeight="false" outlineLevel="0" collapsed="false">
      <c r="A637" s="1" t="n">
        <v>2009</v>
      </c>
      <c r="B637" s="7" t="s">
        <v>322</v>
      </c>
      <c r="C637" s="7" t="n">
        <v>2</v>
      </c>
      <c r="D637" s="7" t="s">
        <v>294</v>
      </c>
      <c r="E637" s="7" t="s">
        <v>294</v>
      </c>
      <c r="F637" s="7" t="s">
        <v>51</v>
      </c>
      <c r="G637" s="1" t="n">
        <v>1</v>
      </c>
      <c r="H637" s="1" t="n">
        <v>3</v>
      </c>
      <c r="I637" s="10" t="n">
        <v>39969</v>
      </c>
      <c r="J637" s="10" t="n">
        <v>39974</v>
      </c>
      <c r="K637" s="1" t="n">
        <v>5</v>
      </c>
      <c r="L637" s="1" t="n">
        <v>5</v>
      </c>
      <c r="M637" s="3" t="s">
        <v>32</v>
      </c>
      <c r="N637" s="3" t="s">
        <v>55</v>
      </c>
      <c r="O637" s="3" t="s">
        <v>194</v>
      </c>
      <c r="P637" s="2" t="str">
        <f aca="false">CONCATENATE(N637," ",O637)</f>
        <v>Maro pansibiricus</v>
      </c>
      <c r="Q637" s="1" t="s">
        <v>30</v>
      </c>
      <c r="R637" s="1" t="s">
        <v>31</v>
      </c>
      <c r="S637" s="1" t="n">
        <v>2</v>
      </c>
      <c r="T637" s="1" t="n">
        <v>0</v>
      </c>
      <c r="U637" s="1" t="n">
        <v>0</v>
      </c>
      <c r="V637" s="1" t="n">
        <v>0</v>
      </c>
      <c r="W637" s="1" t="n">
        <v>0</v>
      </c>
      <c r="X637" s="1" t="n">
        <v>0</v>
      </c>
      <c r="Y637" s="3" t="n">
        <f aca="false">SUM(S637:T637)</f>
        <v>2</v>
      </c>
      <c r="Z637" s="3" t="n">
        <f aca="false">SUM(U637:W637)</f>
        <v>0</v>
      </c>
      <c r="AA637" s="3" t="n">
        <f aca="false">SUM(S637:X637)</f>
        <v>2</v>
      </c>
      <c r="AB637" s="11" t="n">
        <f aca="false">(AA637/(K637*L637)*25)*4</f>
        <v>8</v>
      </c>
    </row>
    <row r="638" customFormat="false" ht="14.25" hidden="false" customHeight="false" outlineLevel="0" collapsed="false">
      <c r="A638" s="1" t="n">
        <v>2009</v>
      </c>
      <c r="B638" s="7" t="s">
        <v>322</v>
      </c>
      <c r="C638" s="7" t="n">
        <v>2</v>
      </c>
      <c r="D638" s="7" t="s">
        <v>294</v>
      </c>
      <c r="E638" s="7" t="s">
        <v>294</v>
      </c>
      <c r="F638" s="7" t="s">
        <v>51</v>
      </c>
      <c r="G638" s="1" t="n">
        <v>1</v>
      </c>
      <c r="H638" s="1" t="n">
        <v>4</v>
      </c>
      <c r="I638" s="10" t="n">
        <v>39969</v>
      </c>
      <c r="J638" s="10" t="n">
        <v>39974</v>
      </c>
      <c r="K638" s="1" t="n">
        <v>5</v>
      </c>
      <c r="L638" s="1" t="n">
        <v>5</v>
      </c>
      <c r="M638" s="3" t="s">
        <v>48</v>
      </c>
      <c r="N638" s="3" t="s">
        <v>49</v>
      </c>
      <c r="O638" s="3" t="s">
        <v>104</v>
      </c>
      <c r="P638" s="2" t="str">
        <f aca="false">CONCATENATE(N638," ",O638)</f>
        <v>Alopecosa taeniata</v>
      </c>
      <c r="Q638" s="1" t="s">
        <v>30</v>
      </c>
      <c r="R638" s="1" t="s">
        <v>31</v>
      </c>
      <c r="S638" s="1" t="n">
        <v>2</v>
      </c>
      <c r="T638" s="1" t="n">
        <v>0</v>
      </c>
      <c r="U638" s="1" t="n">
        <v>0</v>
      </c>
      <c r="V638" s="1" t="n">
        <v>0</v>
      </c>
      <c r="W638" s="1" t="n">
        <v>0</v>
      </c>
      <c r="X638" s="1" t="n">
        <v>0</v>
      </c>
      <c r="Y638" s="3" t="n">
        <f aca="false">SUM(S638:T638)</f>
        <v>2</v>
      </c>
      <c r="Z638" s="3" t="n">
        <f aca="false">SUM(U638:W638)</f>
        <v>0</v>
      </c>
      <c r="AA638" s="3" t="n">
        <f aca="false">SUM(S638:X638)</f>
        <v>2</v>
      </c>
      <c r="AB638" s="11" t="n">
        <f aca="false">(AA638/(K638*L638)*25)*4</f>
        <v>8</v>
      </c>
    </row>
    <row r="639" customFormat="false" ht="14.25" hidden="false" customHeight="false" outlineLevel="0" collapsed="false">
      <c r="A639" s="1" t="n">
        <v>2009</v>
      </c>
      <c r="B639" s="7" t="s">
        <v>322</v>
      </c>
      <c r="C639" s="7" t="n">
        <v>2</v>
      </c>
      <c r="D639" s="7" t="s">
        <v>294</v>
      </c>
      <c r="E639" s="7" t="s">
        <v>294</v>
      </c>
      <c r="F639" s="7" t="s">
        <v>51</v>
      </c>
      <c r="G639" s="1" t="n">
        <v>1</v>
      </c>
      <c r="H639" s="1" t="n">
        <v>4</v>
      </c>
      <c r="I639" s="10" t="n">
        <v>39969</v>
      </c>
      <c r="J639" s="10" t="n">
        <v>39974</v>
      </c>
      <c r="K639" s="1" t="n">
        <v>5</v>
      </c>
      <c r="L639" s="1" t="n">
        <v>5</v>
      </c>
      <c r="M639" s="3" t="s">
        <v>48</v>
      </c>
      <c r="N639" s="3" t="s">
        <v>67</v>
      </c>
      <c r="O639" s="3" t="s">
        <v>127</v>
      </c>
      <c r="P639" s="2" t="str">
        <f aca="false">CONCATENATE(N639," ",O639)</f>
        <v>Pardosa lugubris</v>
      </c>
      <c r="Q639" s="1" t="s">
        <v>30</v>
      </c>
      <c r="R639" s="1" t="s">
        <v>31</v>
      </c>
      <c r="S639" s="1" t="n">
        <v>5</v>
      </c>
      <c r="T639" s="1" t="n">
        <v>0</v>
      </c>
      <c r="U639" s="1" t="n">
        <v>0</v>
      </c>
      <c r="V639" s="1" t="n">
        <v>0</v>
      </c>
      <c r="W639" s="1" t="n">
        <v>0</v>
      </c>
      <c r="X639" s="1" t="n">
        <v>0</v>
      </c>
      <c r="Y639" s="3" t="n">
        <f aca="false">SUM(S639:T639)</f>
        <v>5</v>
      </c>
      <c r="Z639" s="3" t="n">
        <f aca="false">SUM(U639:W639)</f>
        <v>0</v>
      </c>
      <c r="AA639" s="3" t="n">
        <f aca="false">SUM(S639:X639)</f>
        <v>5</v>
      </c>
      <c r="AB639" s="11" t="n">
        <f aca="false">(AA639/(K639*L639)*25)*4</f>
        <v>20</v>
      </c>
    </row>
    <row r="640" customFormat="false" ht="14.25" hidden="false" customHeight="false" outlineLevel="0" collapsed="false">
      <c r="A640" s="1" t="n">
        <v>2009</v>
      </c>
      <c r="B640" s="7" t="s">
        <v>322</v>
      </c>
      <c r="C640" s="7" t="n">
        <v>2</v>
      </c>
      <c r="D640" s="7" t="s">
        <v>294</v>
      </c>
      <c r="E640" s="7" t="s">
        <v>294</v>
      </c>
      <c r="F640" s="7" t="s">
        <v>51</v>
      </c>
      <c r="G640" s="1" t="n">
        <v>1</v>
      </c>
      <c r="H640" s="1" t="n">
        <v>4</v>
      </c>
      <c r="I640" s="10" t="n">
        <v>39969</v>
      </c>
      <c r="J640" s="10" t="n">
        <v>39974</v>
      </c>
      <c r="K640" s="1" t="n">
        <v>5</v>
      </c>
      <c r="L640" s="1" t="n">
        <v>5</v>
      </c>
      <c r="M640" s="3" t="s">
        <v>72</v>
      </c>
      <c r="N640" s="3" t="s">
        <v>86</v>
      </c>
      <c r="O640" s="8" t="s">
        <v>87</v>
      </c>
      <c r="P640" s="2" t="str">
        <f aca="false">CONCATENATE(N640," ",O640)</f>
        <v>Haplodrassus soerenseni</v>
      </c>
      <c r="Q640" s="1" t="s">
        <v>30</v>
      </c>
      <c r="R640" s="1" t="s">
        <v>31</v>
      </c>
      <c r="S640" s="1" t="n">
        <v>1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0</v>
      </c>
      <c r="Y640" s="3" t="n">
        <f aca="false">SUM(S640:T640)</f>
        <v>1</v>
      </c>
      <c r="Z640" s="3" t="n">
        <f aca="false">SUM(U640:W640)</f>
        <v>0</v>
      </c>
      <c r="AA640" s="3" t="n">
        <f aca="false">SUM(S640:X640)</f>
        <v>1</v>
      </c>
      <c r="AB640" s="11" t="n">
        <f aca="false">(AA640/(K640*L640)*25)*4</f>
        <v>4</v>
      </c>
    </row>
    <row r="641" customFormat="false" ht="14.25" hidden="false" customHeight="false" outlineLevel="0" collapsed="false">
      <c r="A641" s="1" t="n">
        <v>2009</v>
      </c>
      <c r="B641" s="7" t="s">
        <v>322</v>
      </c>
      <c r="C641" s="7" t="n">
        <v>2</v>
      </c>
      <c r="D641" s="7" t="s">
        <v>294</v>
      </c>
      <c r="E641" s="7" t="s">
        <v>294</v>
      </c>
      <c r="F641" s="7" t="s">
        <v>51</v>
      </c>
      <c r="G641" s="1" t="n">
        <v>1</v>
      </c>
      <c r="H641" s="1" t="n">
        <v>4</v>
      </c>
      <c r="I641" s="10" t="n">
        <v>39969</v>
      </c>
      <c r="J641" s="10" t="n">
        <v>39974</v>
      </c>
      <c r="K641" s="1" t="n">
        <v>5</v>
      </c>
      <c r="L641" s="1" t="n">
        <v>5</v>
      </c>
      <c r="M641" s="3" t="s">
        <v>72</v>
      </c>
      <c r="N641" s="3" t="s">
        <v>73</v>
      </c>
      <c r="O641" s="3" t="s">
        <v>74</v>
      </c>
      <c r="P641" s="2" t="str">
        <f aca="false">CONCATENATE(N641," ",O641)</f>
        <v>Zelotes subterraneus</v>
      </c>
      <c r="Q641" s="1" t="s">
        <v>30</v>
      </c>
      <c r="R641" s="1" t="s">
        <v>35</v>
      </c>
      <c r="S641" s="1" t="n">
        <v>0</v>
      </c>
      <c r="T641" s="1" t="n">
        <v>1</v>
      </c>
      <c r="U641" s="1" t="n">
        <v>0</v>
      </c>
      <c r="V641" s="1" t="n">
        <v>0</v>
      </c>
      <c r="W641" s="1" t="n">
        <v>0</v>
      </c>
      <c r="X641" s="1" t="n">
        <v>0</v>
      </c>
      <c r="Y641" s="3" t="n">
        <f aca="false">SUM(S641:T641)</f>
        <v>1</v>
      </c>
      <c r="Z641" s="3" t="n">
        <f aca="false">SUM(U641:W641)</f>
        <v>0</v>
      </c>
      <c r="AA641" s="3" t="n">
        <f aca="false">SUM(S641:X641)</f>
        <v>1</v>
      </c>
      <c r="AB641" s="11" t="n">
        <f aca="false">(AA641/(K641*L641)*25)*4</f>
        <v>4</v>
      </c>
    </row>
    <row r="642" customFormat="false" ht="14.25" hidden="false" customHeight="false" outlineLevel="0" collapsed="false">
      <c r="A642" s="1" t="n">
        <v>2009</v>
      </c>
      <c r="B642" s="7" t="s">
        <v>322</v>
      </c>
      <c r="C642" s="7" t="n">
        <v>2</v>
      </c>
      <c r="D642" s="7" t="s">
        <v>294</v>
      </c>
      <c r="E642" s="7" t="s">
        <v>294</v>
      </c>
      <c r="F642" s="7" t="s">
        <v>51</v>
      </c>
      <c r="G642" s="1" t="n">
        <v>1</v>
      </c>
      <c r="H642" s="1" t="n">
        <v>4</v>
      </c>
      <c r="I642" s="10" t="n">
        <v>39969</v>
      </c>
      <c r="J642" s="10" t="n">
        <v>39974</v>
      </c>
      <c r="K642" s="1" t="n">
        <v>5</v>
      </c>
      <c r="L642" s="1" t="n">
        <v>5</v>
      </c>
      <c r="M642" s="3" t="s">
        <v>144</v>
      </c>
      <c r="N642" s="3" t="s">
        <v>145</v>
      </c>
      <c r="O642" s="3" t="s">
        <v>146</v>
      </c>
      <c r="P642" s="2" t="str">
        <f aca="false">CONCATENATE(N642," ",O642)</f>
        <v>Phrurolithus festivus</v>
      </c>
      <c r="Q642" s="1" t="s">
        <v>30</v>
      </c>
      <c r="R642" s="1" t="s">
        <v>31</v>
      </c>
      <c r="S642" s="1" t="n">
        <v>1</v>
      </c>
      <c r="T642" s="1" t="n">
        <v>0</v>
      </c>
      <c r="U642" s="1" t="n">
        <v>0</v>
      </c>
      <c r="V642" s="1" t="n">
        <v>0</v>
      </c>
      <c r="W642" s="1" t="n">
        <v>0</v>
      </c>
      <c r="X642" s="1" t="n">
        <v>0</v>
      </c>
      <c r="Y642" s="3" t="n">
        <f aca="false">SUM(S642:T642)</f>
        <v>1</v>
      </c>
      <c r="Z642" s="3" t="n">
        <f aca="false">SUM(U642:W642)</f>
        <v>0</v>
      </c>
      <c r="AA642" s="3" t="n">
        <f aca="false">SUM(S642:X642)</f>
        <v>1</v>
      </c>
      <c r="AB642" s="11" t="n">
        <f aca="false">(AA642/(K642*L642)*25)*4</f>
        <v>4</v>
      </c>
    </row>
    <row r="643" customFormat="false" ht="14.25" hidden="false" customHeight="false" outlineLevel="0" collapsed="false">
      <c r="A643" s="1" t="n">
        <v>2009</v>
      </c>
      <c r="B643" s="7" t="s">
        <v>322</v>
      </c>
      <c r="C643" s="7" t="n">
        <v>2</v>
      </c>
      <c r="D643" s="7" t="s">
        <v>294</v>
      </c>
      <c r="E643" s="7" t="s">
        <v>294</v>
      </c>
      <c r="F643" s="7" t="s">
        <v>51</v>
      </c>
      <c r="G643" s="1" t="n">
        <v>1</v>
      </c>
      <c r="H643" s="1" t="n">
        <v>4</v>
      </c>
      <c r="I643" s="10" t="n">
        <v>39969</v>
      </c>
      <c r="J643" s="10" t="n">
        <v>39974</v>
      </c>
      <c r="K643" s="1" t="n">
        <v>5</v>
      </c>
      <c r="L643" s="1" t="n">
        <v>5</v>
      </c>
      <c r="M643" s="3" t="s">
        <v>144</v>
      </c>
      <c r="N643" s="3" t="s">
        <v>145</v>
      </c>
      <c r="O643" s="3" t="s">
        <v>146</v>
      </c>
      <c r="P643" s="2" t="str">
        <f aca="false">CONCATENATE(N643," ",O643)</f>
        <v>Phrurolithus festivus</v>
      </c>
      <c r="Q643" s="1" t="s">
        <v>30</v>
      </c>
      <c r="R643" s="1" t="s">
        <v>35</v>
      </c>
      <c r="S643" s="1" t="n">
        <v>0</v>
      </c>
      <c r="T643" s="1" t="n">
        <v>1</v>
      </c>
      <c r="U643" s="1" t="n">
        <v>0</v>
      </c>
      <c r="V643" s="1" t="n">
        <v>0</v>
      </c>
      <c r="W643" s="1" t="n">
        <v>0</v>
      </c>
      <c r="X643" s="1" t="n">
        <v>0</v>
      </c>
      <c r="Y643" s="3" t="n">
        <f aca="false">SUM(S643:T643)</f>
        <v>1</v>
      </c>
      <c r="Z643" s="3" t="n">
        <f aca="false">SUM(U643:W643)</f>
        <v>0</v>
      </c>
      <c r="AA643" s="3" t="n">
        <f aca="false">SUM(S643:X643)</f>
        <v>1</v>
      </c>
      <c r="AB643" s="11" t="n">
        <f aca="false">(AA643/(K643*L643)*25)*4</f>
        <v>4</v>
      </c>
    </row>
    <row r="644" customFormat="false" ht="14.25" hidden="false" customHeight="false" outlineLevel="0" collapsed="false">
      <c r="A644" s="1" t="n">
        <v>2009</v>
      </c>
      <c r="B644" s="7" t="s">
        <v>322</v>
      </c>
      <c r="C644" s="7" t="n">
        <v>2</v>
      </c>
      <c r="D644" s="7" t="s">
        <v>294</v>
      </c>
      <c r="E644" s="7" t="s">
        <v>294</v>
      </c>
      <c r="F644" s="7" t="s">
        <v>51</v>
      </c>
      <c r="G644" s="1" t="n">
        <v>1</v>
      </c>
      <c r="H644" s="1" t="n">
        <v>4</v>
      </c>
      <c r="I644" s="10" t="n">
        <v>39969</v>
      </c>
      <c r="J644" s="10" t="n">
        <v>39974</v>
      </c>
      <c r="K644" s="1" t="n">
        <v>5</v>
      </c>
      <c r="L644" s="1" t="n">
        <v>5</v>
      </c>
      <c r="M644" s="3" t="s">
        <v>135</v>
      </c>
      <c r="N644" s="3" t="s">
        <v>136</v>
      </c>
      <c r="O644" s="3" t="s">
        <v>137</v>
      </c>
      <c r="P644" s="2" t="str">
        <f aca="false">CONCATENATE(N644," ",O644)</f>
        <v>Thanatus sabulosus</v>
      </c>
      <c r="Q644" s="1" t="s">
        <v>30</v>
      </c>
      <c r="R644" s="1" t="s">
        <v>31</v>
      </c>
      <c r="S644" s="1" t="n">
        <v>1</v>
      </c>
      <c r="T644" s="1" t="n">
        <v>0</v>
      </c>
      <c r="U644" s="1" t="n">
        <v>0</v>
      </c>
      <c r="V644" s="1" t="n">
        <v>0</v>
      </c>
      <c r="W644" s="1" t="n">
        <v>0</v>
      </c>
      <c r="X644" s="1" t="n">
        <v>0</v>
      </c>
      <c r="Y644" s="3" t="n">
        <f aca="false">SUM(S644:T644)</f>
        <v>1</v>
      </c>
      <c r="Z644" s="3" t="n">
        <f aca="false">SUM(U644:W644)</f>
        <v>0</v>
      </c>
      <c r="AA644" s="3" t="n">
        <f aca="false">SUM(S644:X644)</f>
        <v>1</v>
      </c>
      <c r="AB644" s="11" t="n">
        <f aca="false">(AA644/(K644*L644)*25)*4</f>
        <v>4</v>
      </c>
    </row>
    <row r="645" customFormat="false" ht="14.25" hidden="false" customHeight="false" outlineLevel="0" collapsed="false">
      <c r="A645" s="1" t="n">
        <v>2009</v>
      </c>
      <c r="B645" s="7" t="s">
        <v>322</v>
      </c>
      <c r="C645" s="7" t="n">
        <v>2</v>
      </c>
      <c r="D645" s="7" t="s">
        <v>294</v>
      </c>
      <c r="E645" s="7" t="s">
        <v>294</v>
      </c>
      <c r="F645" s="7" t="s">
        <v>51</v>
      </c>
      <c r="G645" s="1" t="n">
        <v>1</v>
      </c>
      <c r="H645" s="1" t="n">
        <v>4</v>
      </c>
      <c r="I645" s="10" t="n">
        <v>39969</v>
      </c>
      <c r="J645" s="10" t="n">
        <v>39974</v>
      </c>
      <c r="K645" s="1" t="n">
        <v>5</v>
      </c>
      <c r="L645" s="1" t="n">
        <v>5</v>
      </c>
      <c r="M645" s="13" t="s">
        <v>195</v>
      </c>
      <c r="N645" s="13" t="s">
        <v>196</v>
      </c>
      <c r="O645" s="14" t="s">
        <v>197</v>
      </c>
      <c r="P645" s="2" t="str">
        <f aca="false">CONCATENATE(N645," ",O645)</f>
        <v>Pachygnatha listeri</v>
      </c>
      <c r="Q645" s="1" t="s">
        <v>30</v>
      </c>
      <c r="R645" s="1" t="s">
        <v>35</v>
      </c>
      <c r="S645" s="1" t="n">
        <v>0</v>
      </c>
      <c r="T645" s="1" t="n">
        <v>1</v>
      </c>
      <c r="U645" s="1" t="n">
        <v>0</v>
      </c>
      <c r="V645" s="1" t="n">
        <v>0</v>
      </c>
      <c r="W645" s="1" t="n">
        <v>0</v>
      </c>
      <c r="X645" s="1" t="n">
        <v>0</v>
      </c>
      <c r="Y645" s="3" t="n">
        <f aca="false">SUM(S645:T645)</f>
        <v>1</v>
      </c>
      <c r="Z645" s="3" t="n">
        <f aca="false">SUM(U645:W645)</f>
        <v>0</v>
      </c>
      <c r="AA645" s="3" t="n">
        <f aca="false">SUM(S645:X645)</f>
        <v>1</v>
      </c>
      <c r="AB645" s="11" t="n">
        <f aca="false">(AA645/(K645*L645)*25)*4</f>
        <v>4</v>
      </c>
    </row>
    <row r="646" customFormat="false" ht="14.25" hidden="false" customHeight="false" outlineLevel="0" collapsed="false">
      <c r="A646" s="1" t="n">
        <v>2009</v>
      </c>
      <c r="B646" s="7" t="s">
        <v>322</v>
      </c>
      <c r="C646" s="7" t="n">
        <v>2</v>
      </c>
      <c r="D646" s="7" t="s">
        <v>294</v>
      </c>
      <c r="E646" s="7" t="s">
        <v>294</v>
      </c>
      <c r="F646" s="7" t="s">
        <v>51</v>
      </c>
      <c r="G646" s="1" t="n">
        <v>1</v>
      </c>
      <c r="H646" s="1" t="n">
        <v>4</v>
      </c>
      <c r="I646" s="10" t="n">
        <v>39969</v>
      </c>
      <c r="J646" s="10" t="n">
        <v>39974</v>
      </c>
      <c r="K646" s="1" t="n">
        <v>5</v>
      </c>
      <c r="L646" s="1" t="n">
        <v>5</v>
      </c>
      <c r="M646" s="3" t="s">
        <v>32</v>
      </c>
      <c r="N646" s="3" t="s">
        <v>62</v>
      </c>
      <c r="O646" s="3" t="s">
        <v>63</v>
      </c>
      <c r="P646" s="2" t="str">
        <f aca="false">CONCATENATE(N646," ",O646)</f>
        <v>Microneta viaria</v>
      </c>
      <c r="Q646" s="1" t="s">
        <v>30</v>
      </c>
      <c r="R646" s="1" t="s">
        <v>35</v>
      </c>
      <c r="S646" s="1" t="n">
        <v>0</v>
      </c>
      <c r="T646" s="1" t="n">
        <v>1</v>
      </c>
      <c r="U646" s="1" t="n">
        <v>0</v>
      </c>
      <c r="V646" s="1" t="n">
        <v>0</v>
      </c>
      <c r="W646" s="1" t="n">
        <v>0</v>
      </c>
      <c r="X646" s="1" t="n">
        <v>0</v>
      </c>
      <c r="Y646" s="3" t="n">
        <f aca="false">SUM(S646:T646)</f>
        <v>1</v>
      </c>
      <c r="Z646" s="3" t="n">
        <f aca="false">SUM(U646:W646)</f>
        <v>0</v>
      </c>
      <c r="AA646" s="3" t="n">
        <f aca="false">SUM(S646:X646)</f>
        <v>1</v>
      </c>
      <c r="AB646" s="11" t="n">
        <f aca="false">(AA646/(K646*L646)*25)*4</f>
        <v>4</v>
      </c>
    </row>
    <row r="647" customFormat="false" ht="14.25" hidden="false" customHeight="false" outlineLevel="0" collapsed="false">
      <c r="A647" s="1" t="n">
        <v>2009</v>
      </c>
      <c r="B647" s="7" t="s">
        <v>322</v>
      </c>
      <c r="C647" s="7" t="n">
        <v>2</v>
      </c>
      <c r="D647" s="7" t="s">
        <v>294</v>
      </c>
      <c r="E647" s="7" t="s">
        <v>294</v>
      </c>
      <c r="F647" s="7" t="s">
        <v>51</v>
      </c>
      <c r="G647" s="1" t="n">
        <v>1</v>
      </c>
      <c r="H647" s="1" t="n">
        <v>4</v>
      </c>
      <c r="I647" s="10" t="n">
        <v>39969</v>
      </c>
      <c r="J647" s="10" t="n">
        <v>39974</v>
      </c>
      <c r="K647" s="1" t="n">
        <v>5</v>
      </c>
      <c r="L647" s="1" t="n">
        <v>5</v>
      </c>
      <c r="M647" s="3" t="s">
        <v>32</v>
      </c>
      <c r="N647" s="3" t="s">
        <v>55</v>
      </c>
      <c r="O647" s="3" t="s">
        <v>194</v>
      </c>
      <c r="P647" s="2" t="str">
        <f aca="false">CONCATENATE(N647," ",O647)</f>
        <v>Maro pansibiricus</v>
      </c>
      <c r="Q647" s="1" t="s">
        <v>30</v>
      </c>
      <c r="R647" s="1" t="s">
        <v>31</v>
      </c>
      <c r="S647" s="1" t="n">
        <v>1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0</v>
      </c>
      <c r="Y647" s="3" t="n">
        <f aca="false">SUM(S647:T647)</f>
        <v>1</v>
      </c>
      <c r="Z647" s="3" t="n">
        <f aca="false">SUM(U647:W647)</f>
        <v>0</v>
      </c>
      <c r="AA647" s="3" t="n">
        <f aca="false">SUM(S647:X647)</f>
        <v>1</v>
      </c>
      <c r="AB647" s="11" t="n">
        <f aca="false">(AA647/(K647*L647)*25)*4</f>
        <v>4</v>
      </c>
    </row>
    <row r="648" customFormat="false" ht="14.25" hidden="false" customHeight="false" outlineLevel="0" collapsed="false">
      <c r="A648" s="1" t="n">
        <v>2009</v>
      </c>
      <c r="B648" s="7" t="s">
        <v>322</v>
      </c>
      <c r="C648" s="7" t="n">
        <v>2</v>
      </c>
      <c r="D648" s="7" t="s">
        <v>294</v>
      </c>
      <c r="E648" s="7" t="s">
        <v>294</v>
      </c>
      <c r="F648" s="7" t="s">
        <v>51</v>
      </c>
      <c r="G648" s="1" t="n">
        <v>1</v>
      </c>
      <c r="H648" s="1" t="n">
        <v>4</v>
      </c>
      <c r="I648" s="10" t="n">
        <v>39969</v>
      </c>
      <c r="J648" s="10" t="n">
        <v>39974</v>
      </c>
      <c r="K648" s="1" t="n">
        <v>5</v>
      </c>
      <c r="L648" s="1" t="n">
        <v>5</v>
      </c>
      <c r="M648" s="13" t="s">
        <v>32</v>
      </c>
      <c r="N648" s="13" t="s">
        <v>174</v>
      </c>
      <c r="O648" s="14" t="s">
        <v>175</v>
      </c>
      <c r="P648" s="2" t="str">
        <f aca="false">CONCATENATE(N648," ",O648)</f>
        <v>Neriene clathrata</v>
      </c>
      <c r="Q648" s="1" t="s">
        <v>30</v>
      </c>
      <c r="R648" s="1" t="s">
        <v>31</v>
      </c>
      <c r="S648" s="1" t="n">
        <v>1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0</v>
      </c>
      <c r="Y648" s="3" t="n">
        <f aca="false">SUM(S648:T648)</f>
        <v>1</v>
      </c>
      <c r="Z648" s="3" t="n">
        <f aca="false">SUM(U648:W648)</f>
        <v>0</v>
      </c>
      <c r="AA648" s="3" t="n">
        <f aca="false">SUM(S648:X648)</f>
        <v>1</v>
      </c>
      <c r="AB648" s="11" t="n">
        <f aca="false">(AA648/(K648*L648)*25)*4</f>
        <v>4</v>
      </c>
    </row>
    <row r="649" customFormat="false" ht="14.25" hidden="false" customHeight="false" outlineLevel="0" collapsed="false">
      <c r="A649" s="1" t="n">
        <v>2009</v>
      </c>
      <c r="B649" s="7" t="s">
        <v>322</v>
      </c>
      <c r="C649" s="7" t="n">
        <v>2</v>
      </c>
      <c r="D649" s="7" t="s">
        <v>294</v>
      </c>
      <c r="E649" s="7" t="s">
        <v>294</v>
      </c>
      <c r="F649" s="7" t="s">
        <v>51</v>
      </c>
      <c r="G649" s="1" t="n">
        <v>1</v>
      </c>
      <c r="H649" s="1" t="n">
        <v>5</v>
      </c>
      <c r="I649" s="10" t="n">
        <v>39969</v>
      </c>
      <c r="J649" s="10" t="n">
        <v>39974</v>
      </c>
      <c r="K649" s="1" t="n">
        <v>5</v>
      </c>
      <c r="L649" s="1" t="n">
        <v>5</v>
      </c>
      <c r="M649" s="3" t="s">
        <v>48</v>
      </c>
      <c r="N649" s="3" t="s">
        <v>49</v>
      </c>
      <c r="O649" s="3" t="s">
        <v>104</v>
      </c>
      <c r="P649" s="2" t="str">
        <f aca="false">CONCATENATE(N649," ",O649)</f>
        <v>Alopecosa taeniata</v>
      </c>
      <c r="Q649" s="1" t="s">
        <v>30</v>
      </c>
      <c r="R649" s="1" t="s">
        <v>31</v>
      </c>
      <c r="S649" s="1" t="n">
        <v>3</v>
      </c>
      <c r="T649" s="1" t="n">
        <v>0</v>
      </c>
      <c r="U649" s="1" t="n">
        <v>0</v>
      </c>
      <c r="V649" s="1" t="n">
        <v>0</v>
      </c>
      <c r="W649" s="1" t="n">
        <v>0</v>
      </c>
      <c r="X649" s="1" t="n">
        <v>0</v>
      </c>
      <c r="Y649" s="3" t="n">
        <f aca="false">SUM(S649:T649)</f>
        <v>3</v>
      </c>
      <c r="Z649" s="3" t="n">
        <f aca="false">SUM(U649:W649)</f>
        <v>0</v>
      </c>
      <c r="AA649" s="3" t="n">
        <f aca="false">SUM(S649:X649)</f>
        <v>3</v>
      </c>
      <c r="AB649" s="11" t="n">
        <f aca="false">(AA649/(K649*L649)*25)*4</f>
        <v>12</v>
      </c>
    </row>
    <row r="650" customFormat="false" ht="14.25" hidden="false" customHeight="false" outlineLevel="0" collapsed="false">
      <c r="A650" s="1" t="n">
        <v>2009</v>
      </c>
      <c r="B650" s="7" t="s">
        <v>322</v>
      </c>
      <c r="C650" s="7" t="n">
        <v>2</v>
      </c>
      <c r="D650" s="7" t="s">
        <v>294</v>
      </c>
      <c r="E650" s="7" t="s">
        <v>294</v>
      </c>
      <c r="F650" s="7" t="s">
        <v>51</v>
      </c>
      <c r="G650" s="1" t="n">
        <v>1</v>
      </c>
      <c r="H650" s="1" t="n">
        <v>5</v>
      </c>
      <c r="I650" s="10" t="n">
        <v>39969</v>
      </c>
      <c r="J650" s="10" t="n">
        <v>39974</v>
      </c>
      <c r="K650" s="1" t="n">
        <v>5</v>
      </c>
      <c r="L650" s="1" t="n">
        <v>5</v>
      </c>
      <c r="M650" s="3" t="s">
        <v>48</v>
      </c>
      <c r="N650" s="3" t="s">
        <v>49</v>
      </c>
      <c r="O650" s="3" t="s">
        <v>104</v>
      </c>
      <c r="P650" s="2" t="str">
        <f aca="false">CONCATENATE(N650," ",O650)</f>
        <v>Alopecosa taeniata</v>
      </c>
      <c r="Q650" s="1" t="s">
        <v>30</v>
      </c>
      <c r="R650" s="1" t="s">
        <v>35</v>
      </c>
      <c r="S650" s="1" t="n">
        <v>0</v>
      </c>
      <c r="T650" s="1" t="n">
        <v>1</v>
      </c>
      <c r="U650" s="1" t="n">
        <v>0</v>
      </c>
      <c r="V650" s="1" t="n">
        <v>0</v>
      </c>
      <c r="W650" s="1" t="n">
        <v>0</v>
      </c>
      <c r="X650" s="1" t="n">
        <v>0</v>
      </c>
      <c r="Y650" s="3" t="n">
        <f aca="false">SUM(S650:T650)</f>
        <v>1</v>
      </c>
      <c r="Z650" s="3" t="n">
        <f aca="false">SUM(U650:W650)</f>
        <v>0</v>
      </c>
      <c r="AA650" s="3" t="n">
        <f aca="false">SUM(S650:X650)</f>
        <v>1</v>
      </c>
      <c r="AB650" s="11" t="n">
        <f aca="false">(AA650/(K650*L650)*25)*4</f>
        <v>4</v>
      </c>
    </row>
    <row r="651" customFormat="false" ht="14.25" hidden="false" customHeight="false" outlineLevel="0" collapsed="false">
      <c r="A651" s="1" t="n">
        <v>2009</v>
      </c>
      <c r="B651" s="7" t="s">
        <v>322</v>
      </c>
      <c r="C651" s="7" t="n">
        <v>2</v>
      </c>
      <c r="D651" s="7" t="s">
        <v>294</v>
      </c>
      <c r="E651" s="7" t="s">
        <v>294</v>
      </c>
      <c r="F651" s="7" t="s">
        <v>51</v>
      </c>
      <c r="G651" s="1" t="n">
        <v>1</v>
      </c>
      <c r="H651" s="1" t="n">
        <v>5</v>
      </c>
      <c r="I651" s="10" t="n">
        <v>39969</v>
      </c>
      <c r="J651" s="10" t="n">
        <v>39974</v>
      </c>
      <c r="K651" s="1" t="n">
        <v>5</v>
      </c>
      <c r="L651" s="1" t="n">
        <v>5</v>
      </c>
      <c r="M651" s="3" t="s">
        <v>48</v>
      </c>
      <c r="N651" s="3" t="s">
        <v>67</v>
      </c>
      <c r="O651" s="3" t="s">
        <v>127</v>
      </c>
      <c r="P651" s="2" t="str">
        <f aca="false">CONCATENATE(N651," ",O651)</f>
        <v>Pardosa lugubris</v>
      </c>
      <c r="Q651" s="1" t="s">
        <v>30</v>
      </c>
      <c r="R651" s="1" t="s">
        <v>31</v>
      </c>
      <c r="S651" s="1" t="n">
        <v>6</v>
      </c>
      <c r="T651" s="1" t="n">
        <v>0</v>
      </c>
      <c r="U651" s="1" t="n">
        <v>0</v>
      </c>
      <c r="V651" s="1" t="n">
        <v>0</v>
      </c>
      <c r="W651" s="1" t="n">
        <v>0</v>
      </c>
      <c r="X651" s="1" t="n">
        <v>0</v>
      </c>
      <c r="Y651" s="3" t="n">
        <f aca="false">SUM(S651:T651)</f>
        <v>6</v>
      </c>
      <c r="Z651" s="3" t="n">
        <f aca="false">SUM(U651:W651)</f>
        <v>0</v>
      </c>
      <c r="AA651" s="3" t="n">
        <f aca="false">SUM(S651:X651)</f>
        <v>6</v>
      </c>
      <c r="AB651" s="11" t="n">
        <f aca="false">(AA651/(K651*L651)*25)*4</f>
        <v>24</v>
      </c>
    </row>
    <row r="652" customFormat="false" ht="14.25" hidden="false" customHeight="false" outlineLevel="0" collapsed="false">
      <c r="A652" s="1" t="n">
        <v>2009</v>
      </c>
      <c r="B652" s="7" t="s">
        <v>322</v>
      </c>
      <c r="C652" s="7" t="n">
        <v>2</v>
      </c>
      <c r="D652" s="7" t="s">
        <v>294</v>
      </c>
      <c r="E652" s="7" t="s">
        <v>294</v>
      </c>
      <c r="F652" s="7" t="s">
        <v>51</v>
      </c>
      <c r="G652" s="1" t="n">
        <v>1</v>
      </c>
      <c r="H652" s="1" t="n">
        <v>5</v>
      </c>
      <c r="I652" s="10" t="n">
        <v>39969</v>
      </c>
      <c r="J652" s="10" t="n">
        <v>39974</v>
      </c>
      <c r="K652" s="1" t="n">
        <v>5</v>
      </c>
      <c r="L652" s="1" t="n">
        <v>5</v>
      </c>
      <c r="M652" s="3" t="s">
        <v>48</v>
      </c>
      <c r="N652" s="3" t="s">
        <v>67</v>
      </c>
      <c r="O652" s="3" t="s">
        <v>127</v>
      </c>
      <c r="P652" s="2" t="str">
        <f aca="false">CONCATENATE(N652," ",O652)</f>
        <v>Pardosa lugubris</v>
      </c>
      <c r="Q652" s="1" t="s">
        <v>30</v>
      </c>
      <c r="R652" s="1" t="s">
        <v>35</v>
      </c>
      <c r="S652" s="1" t="n">
        <v>0</v>
      </c>
      <c r="T652" s="1" t="n">
        <v>2</v>
      </c>
      <c r="U652" s="1" t="n">
        <v>0</v>
      </c>
      <c r="V652" s="1" t="n">
        <v>0</v>
      </c>
      <c r="W652" s="1" t="n">
        <v>0</v>
      </c>
      <c r="X652" s="1" t="n">
        <v>0</v>
      </c>
      <c r="Y652" s="3" t="n">
        <f aca="false">SUM(S652:T652)</f>
        <v>2</v>
      </c>
      <c r="Z652" s="3" t="n">
        <f aca="false">SUM(U652:W652)</f>
        <v>0</v>
      </c>
      <c r="AA652" s="3" t="n">
        <f aca="false">SUM(S652:X652)</f>
        <v>2</v>
      </c>
      <c r="AB652" s="11" t="n">
        <f aca="false">(AA652/(K652*L652)*25)*4</f>
        <v>8</v>
      </c>
    </row>
    <row r="653" customFormat="false" ht="14.25" hidden="false" customHeight="false" outlineLevel="0" collapsed="false">
      <c r="A653" s="1" t="n">
        <v>2009</v>
      </c>
      <c r="B653" s="7" t="s">
        <v>322</v>
      </c>
      <c r="C653" s="7" t="n">
        <v>2</v>
      </c>
      <c r="D653" s="7" t="s">
        <v>294</v>
      </c>
      <c r="E653" s="7" t="s">
        <v>294</v>
      </c>
      <c r="F653" s="7" t="s">
        <v>51</v>
      </c>
      <c r="G653" s="1" t="n">
        <v>1</v>
      </c>
      <c r="H653" s="1" t="n">
        <v>5</v>
      </c>
      <c r="I653" s="10" t="n">
        <v>39969</v>
      </c>
      <c r="J653" s="10" t="n">
        <v>39974</v>
      </c>
      <c r="K653" s="1" t="n">
        <v>5</v>
      </c>
      <c r="L653" s="1" t="n">
        <v>5</v>
      </c>
      <c r="M653" s="3" t="s">
        <v>48</v>
      </c>
      <c r="N653" s="3" t="s">
        <v>61</v>
      </c>
      <c r="O653" s="3" t="s">
        <v>82</v>
      </c>
      <c r="P653" s="2" t="str">
        <f aca="false">CONCATENATE(N653," ",O653)</f>
        <v>Trochosa terricola</v>
      </c>
      <c r="Q653" s="1" t="s">
        <v>30</v>
      </c>
      <c r="R653" s="1" t="s">
        <v>35</v>
      </c>
      <c r="S653" s="1" t="n">
        <v>0</v>
      </c>
      <c r="T653" s="1" t="n">
        <v>1</v>
      </c>
      <c r="U653" s="1" t="n">
        <v>0</v>
      </c>
      <c r="V653" s="1" t="n">
        <v>0</v>
      </c>
      <c r="W653" s="1" t="n">
        <v>0</v>
      </c>
      <c r="X653" s="1" t="n">
        <v>0</v>
      </c>
      <c r="Y653" s="3" t="n">
        <f aca="false">SUM(S653:T653)</f>
        <v>1</v>
      </c>
      <c r="Z653" s="3" t="n">
        <f aca="false">SUM(U653:W653)</f>
        <v>0</v>
      </c>
      <c r="AA653" s="3" t="n">
        <f aca="false">SUM(S653:X653)</f>
        <v>1</v>
      </c>
      <c r="AB653" s="11" t="n">
        <f aca="false">(AA653/(K653*L653)*25)*4</f>
        <v>4</v>
      </c>
    </row>
    <row r="654" customFormat="false" ht="14.25" hidden="false" customHeight="false" outlineLevel="0" collapsed="false">
      <c r="A654" s="1" t="n">
        <v>2009</v>
      </c>
      <c r="B654" s="7" t="s">
        <v>322</v>
      </c>
      <c r="C654" s="7" t="n">
        <v>2</v>
      </c>
      <c r="D654" s="7" t="s">
        <v>294</v>
      </c>
      <c r="E654" s="7" t="s">
        <v>294</v>
      </c>
      <c r="F654" s="7" t="s">
        <v>51</v>
      </c>
      <c r="G654" s="1" t="n">
        <v>1</v>
      </c>
      <c r="H654" s="1" t="n">
        <v>5</v>
      </c>
      <c r="I654" s="10" t="n">
        <v>39969</v>
      </c>
      <c r="J654" s="10" t="n">
        <v>39974</v>
      </c>
      <c r="K654" s="1" t="n">
        <v>5</v>
      </c>
      <c r="L654" s="1" t="n">
        <v>5</v>
      </c>
      <c r="M654" s="13" t="s">
        <v>195</v>
      </c>
      <c r="N654" s="13" t="s">
        <v>196</v>
      </c>
      <c r="O654" s="14" t="s">
        <v>197</v>
      </c>
      <c r="P654" s="2" t="str">
        <f aca="false">CONCATENATE(N654," ",O654)</f>
        <v>Pachygnatha listeri</v>
      </c>
      <c r="Q654" s="1" t="s">
        <v>30</v>
      </c>
      <c r="R654" s="1" t="s">
        <v>35</v>
      </c>
      <c r="S654" s="1" t="n">
        <v>0</v>
      </c>
      <c r="T654" s="1" t="n">
        <v>1</v>
      </c>
      <c r="U654" s="1" t="n">
        <v>0</v>
      </c>
      <c r="V654" s="1" t="n">
        <v>0</v>
      </c>
      <c r="W654" s="1" t="n">
        <v>0</v>
      </c>
      <c r="X654" s="1" t="n">
        <v>0</v>
      </c>
      <c r="Y654" s="3" t="n">
        <f aca="false">SUM(S654:T654)</f>
        <v>1</v>
      </c>
      <c r="Z654" s="3" t="n">
        <f aca="false">SUM(U654:W654)</f>
        <v>0</v>
      </c>
      <c r="AA654" s="3" t="n">
        <f aca="false">SUM(S654:X654)</f>
        <v>1</v>
      </c>
      <c r="AB654" s="11" t="n">
        <f aca="false">(AA654/(K654*L654)*25)*4</f>
        <v>4</v>
      </c>
    </row>
    <row r="655" customFormat="false" ht="14.25" hidden="false" customHeight="false" outlineLevel="0" collapsed="false">
      <c r="A655" s="1" t="n">
        <v>2009</v>
      </c>
      <c r="B655" s="7" t="s">
        <v>322</v>
      </c>
      <c r="C655" s="7" t="n">
        <v>2</v>
      </c>
      <c r="D655" s="7" t="s">
        <v>294</v>
      </c>
      <c r="E655" s="7" t="s">
        <v>294</v>
      </c>
      <c r="F655" s="7" t="s">
        <v>51</v>
      </c>
      <c r="G655" s="1" t="n">
        <v>1</v>
      </c>
      <c r="H655" s="1" t="n">
        <v>5</v>
      </c>
      <c r="I655" s="10" t="n">
        <v>39969</v>
      </c>
      <c r="J655" s="10" t="n">
        <v>39974</v>
      </c>
      <c r="K655" s="1" t="n">
        <v>5</v>
      </c>
      <c r="L655" s="1" t="n">
        <v>5</v>
      </c>
      <c r="M655" s="3" t="s">
        <v>32</v>
      </c>
      <c r="N655" s="3" t="s">
        <v>113</v>
      </c>
      <c r="O655" s="8" t="s">
        <v>114</v>
      </c>
      <c r="P655" s="2" t="str">
        <f aca="false">CONCATENATE(N655," ",O655)</f>
        <v>Ceratinella brevipes</v>
      </c>
      <c r="Q655" s="1" t="s">
        <v>30</v>
      </c>
      <c r="R655" s="1" t="s">
        <v>35</v>
      </c>
      <c r="S655" s="1" t="n">
        <v>0</v>
      </c>
      <c r="T655" s="1" t="n">
        <v>1</v>
      </c>
      <c r="U655" s="1" t="n">
        <v>0</v>
      </c>
      <c r="V655" s="1" t="n">
        <v>0</v>
      </c>
      <c r="W655" s="1" t="n">
        <v>0</v>
      </c>
      <c r="X655" s="1" t="n">
        <v>0</v>
      </c>
      <c r="Y655" s="3" t="n">
        <f aca="false">SUM(S655:T655)</f>
        <v>1</v>
      </c>
      <c r="Z655" s="3" t="n">
        <f aca="false">SUM(U655:W655)</f>
        <v>0</v>
      </c>
      <c r="AA655" s="3" t="n">
        <f aca="false">SUM(S655:X655)</f>
        <v>1</v>
      </c>
      <c r="AB655" s="11" t="n">
        <f aca="false">(AA655/(K655*L655)*25)*4</f>
        <v>4</v>
      </c>
    </row>
    <row r="656" customFormat="false" ht="14.25" hidden="false" customHeight="false" outlineLevel="0" collapsed="false">
      <c r="A656" s="1" t="n">
        <v>2009</v>
      </c>
      <c r="B656" s="7" t="s">
        <v>322</v>
      </c>
      <c r="C656" s="7" t="n">
        <v>2</v>
      </c>
      <c r="D656" s="7" t="s">
        <v>294</v>
      </c>
      <c r="E656" s="7" t="s">
        <v>294</v>
      </c>
      <c r="F656" s="7" t="s">
        <v>51</v>
      </c>
      <c r="G656" s="1" t="n">
        <v>1</v>
      </c>
      <c r="H656" s="1" t="n">
        <v>5</v>
      </c>
      <c r="I656" s="10" t="n">
        <v>39969</v>
      </c>
      <c r="J656" s="10" t="n">
        <v>39974</v>
      </c>
      <c r="K656" s="1" t="n">
        <v>5</v>
      </c>
      <c r="L656" s="1" t="n">
        <v>5</v>
      </c>
      <c r="M656" s="13" t="s">
        <v>32</v>
      </c>
      <c r="N656" s="13" t="s">
        <v>96</v>
      </c>
      <c r="O656" s="14" t="s">
        <v>97</v>
      </c>
      <c r="P656" s="2" t="str">
        <f aca="false">CONCATENATE(N656," ",O656)</f>
        <v>Diplocephalus picinus</v>
      </c>
      <c r="Q656" s="1" t="s">
        <v>30</v>
      </c>
      <c r="R656" s="1" t="s">
        <v>31</v>
      </c>
      <c r="S656" s="1" t="n">
        <v>1</v>
      </c>
      <c r="T656" s="1" t="n">
        <v>0</v>
      </c>
      <c r="U656" s="1" t="n">
        <v>0</v>
      </c>
      <c r="V656" s="1" t="n">
        <v>0</v>
      </c>
      <c r="W656" s="1" t="n">
        <v>0</v>
      </c>
      <c r="X656" s="1" t="n">
        <v>0</v>
      </c>
      <c r="Y656" s="3" t="n">
        <f aca="false">SUM(S656:T656)</f>
        <v>1</v>
      </c>
      <c r="Z656" s="3" t="n">
        <f aca="false">SUM(U656:W656)</f>
        <v>0</v>
      </c>
      <c r="AA656" s="3" t="n">
        <f aca="false">SUM(S656:X656)</f>
        <v>1</v>
      </c>
      <c r="AB656" s="11" t="n">
        <f aca="false">(AA656/(K656*L656)*25)*4</f>
        <v>4</v>
      </c>
    </row>
    <row r="657" customFormat="false" ht="14.25" hidden="false" customHeight="false" outlineLevel="0" collapsed="false">
      <c r="A657" s="1" t="n">
        <v>2009</v>
      </c>
      <c r="B657" s="7" t="s">
        <v>322</v>
      </c>
      <c r="C657" s="7" t="n">
        <v>2</v>
      </c>
      <c r="D657" s="7" t="s">
        <v>294</v>
      </c>
      <c r="E657" s="7" t="s">
        <v>294</v>
      </c>
      <c r="F657" s="7" t="s">
        <v>51</v>
      </c>
      <c r="G657" s="1" t="n">
        <v>1</v>
      </c>
      <c r="H657" s="1" t="n">
        <v>5</v>
      </c>
      <c r="I657" s="10" t="n">
        <v>39969</v>
      </c>
      <c r="J657" s="10" t="n">
        <v>39974</v>
      </c>
      <c r="K657" s="1" t="n">
        <v>5</v>
      </c>
      <c r="L657" s="1" t="n">
        <v>5</v>
      </c>
      <c r="M657" s="13" t="s">
        <v>32</v>
      </c>
      <c r="N657" s="13" t="s">
        <v>84</v>
      </c>
      <c r="O657" s="14" t="s">
        <v>173</v>
      </c>
      <c r="P657" s="2" t="str">
        <f aca="false">CONCATENATE(N657," ",O657)</f>
        <v>Walckenaeria mitrata</v>
      </c>
      <c r="Q657" s="1" t="s">
        <v>30</v>
      </c>
      <c r="R657" s="1" t="s">
        <v>35</v>
      </c>
      <c r="S657" s="1" t="n">
        <v>0</v>
      </c>
      <c r="T657" s="1" t="n">
        <v>1</v>
      </c>
      <c r="U657" s="1" t="n">
        <v>0</v>
      </c>
      <c r="V657" s="1" t="n">
        <v>0</v>
      </c>
      <c r="W657" s="1" t="n">
        <v>0</v>
      </c>
      <c r="X657" s="1" t="n">
        <v>0</v>
      </c>
      <c r="Y657" s="3" t="n">
        <f aca="false">SUM(S657:T657)</f>
        <v>1</v>
      </c>
      <c r="Z657" s="3" t="n">
        <f aca="false">SUM(U657:W657)</f>
        <v>0</v>
      </c>
      <c r="AA657" s="3" t="n">
        <f aca="false">SUM(S657:X657)</f>
        <v>1</v>
      </c>
      <c r="AB657" s="11" t="n">
        <f aca="false">(AA657/(K657*L657)*25)*4</f>
        <v>4</v>
      </c>
    </row>
    <row r="658" customFormat="false" ht="14.25" hidden="false" customHeight="false" outlineLevel="0" collapsed="false">
      <c r="A658" s="1" t="n">
        <v>2009</v>
      </c>
      <c r="B658" s="7" t="s">
        <v>322</v>
      </c>
      <c r="C658" s="7" t="n">
        <v>2</v>
      </c>
      <c r="D658" s="7" t="s">
        <v>294</v>
      </c>
      <c r="E658" s="7" t="s">
        <v>294</v>
      </c>
      <c r="F658" s="7" t="s">
        <v>51</v>
      </c>
      <c r="G658" s="1" t="n">
        <v>2</v>
      </c>
      <c r="H658" s="1" t="n">
        <v>6</v>
      </c>
      <c r="I658" s="10" t="n">
        <v>39969</v>
      </c>
      <c r="J658" s="10" t="n">
        <v>39974</v>
      </c>
      <c r="K658" s="1" t="n">
        <v>5</v>
      </c>
      <c r="L658" s="1" t="n">
        <v>5</v>
      </c>
      <c r="M658" s="3" t="s">
        <v>48</v>
      </c>
      <c r="N658" s="3" t="s">
        <v>49</v>
      </c>
      <c r="O658" s="3" t="s">
        <v>104</v>
      </c>
      <c r="P658" s="2" t="str">
        <f aca="false">CONCATENATE(N658," ",O658)</f>
        <v>Alopecosa taeniata</v>
      </c>
      <c r="Q658" s="1" t="s">
        <v>30</v>
      </c>
      <c r="R658" s="1" t="s">
        <v>31</v>
      </c>
      <c r="S658" s="1" t="n">
        <v>1</v>
      </c>
      <c r="T658" s="1" t="n">
        <v>0</v>
      </c>
      <c r="U658" s="1" t="n">
        <v>0</v>
      </c>
      <c r="V658" s="1" t="n">
        <v>0</v>
      </c>
      <c r="W658" s="1" t="n">
        <v>0</v>
      </c>
      <c r="X658" s="1" t="n">
        <v>0</v>
      </c>
      <c r="Y658" s="3" t="n">
        <f aca="false">SUM(S658:T658)</f>
        <v>1</v>
      </c>
      <c r="Z658" s="3" t="n">
        <f aca="false">SUM(U658:W658)</f>
        <v>0</v>
      </c>
      <c r="AA658" s="3" t="n">
        <f aca="false">SUM(S658:X658)</f>
        <v>1</v>
      </c>
      <c r="AB658" s="11" t="n">
        <f aca="false">(AA658/(K658*L658)*25)*4</f>
        <v>4</v>
      </c>
    </row>
    <row r="659" customFormat="false" ht="14.25" hidden="false" customHeight="false" outlineLevel="0" collapsed="false">
      <c r="A659" s="1" t="n">
        <v>2009</v>
      </c>
      <c r="B659" s="7" t="s">
        <v>322</v>
      </c>
      <c r="C659" s="7" t="n">
        <v>2</v>
      </c>
      <c r="D659" s="7" t="s">
        <v>294</v>
      </c>
      <c r="E659" s="7" t="s">
        <v>294</v>
      </c>
      <c r="F659" s="7" t="s">
        <v>51</v>
      </c>
      <c r="G659" s="1" t="n">
        <v>2</v>
      </c>
      <c r="H659" s="1" t="n">
        <v>6</v>
      </c>
      <c r="I659" s="10" t="n">
        <v>39969</v>
      </c>
      <c r="J659" s="10" t="n">
        <v>39974</v>
      </c>
      <c r="K659" s="1" t="n">
        <v>5</v>
      </c>
      <c r="L659" s="1" t="n">
        <v>5</v>
      </c>
      <c r="M659" s="3" t="s">
        <v>48</v>
      </c>
      <c r="N659" s="3" t="s">
        <v>67</v>
      </c>
      <c r="O659" s="3" t="s">
        <v>127</v>
      </c>
      <c r="P659" s="2" t="str">
        <f aca="false">CONCATENATE(N659," ",O659)</f>
        <v>Pardosa lugubris</v>
      </c>
      <c r="Q659" s="1" t="s">
        <v>30</v>
      </c>
      <c r="R659" s="1" t="s">
        <v>31</v>
      </c>
      <c r="S659" s="1" t="n">
        <v>9</v>
      </c>
      <c r="T659" s="1" t="n">
        <v>0</v>
      </c>
      <c r="U659" s="1" t="n">
        <v>0</v>
      </c>
      <c r="V659" s="1" t="n">
        <v>0</v>
      </c>
      <c r="W659" s="1" t="n">
        <v>0</v>
      </c>
      <c r="X659" s="1" t="n">
        <v>0</v>
      </c>
      <c r="Y659" s="3" t="n">
        <f aca="false">SUM(S659:T659)</f>
        <v>9</v>
      </c>
      <c r="Z659" s="3" t="n">
        <f aca="false">SUM(U659:W659)</f>
        <v>0</v>
      </c>
      <c r="AA659" s="3" t="n">
        <f aca="false">SUM(S659:X659)</f>
        <v>9</v>
      </c>
      <c r="AB659" s="11" t="n">
        <f aca="false">(AA659/(K659*L659)*25)*4</f>
        <v>36</v>
      </c>
    </row>
    <row r="660" customFormat="false" ht="14.25" hidden="false" customHeight="false" outlineLevel="0" collapsed="false">
      <c r="A660" s="1" t="n">
        <v>2009</v>
      </c>
      <c r="B660" s="7" t="s">
        <v>322</v>
      </c>
      <c r="C660" s="7" t="n">
        <v>2</v>
      </c>
      <c r="D660" s="7" t="s">
        <v>294</v>
      </c>
      <c r="E660" s="7" t="s">
        <v>294</v>
      </c>
      <c r="F660" s="7" t="s">
        <v>51</v>
      </c>
      <c r="G660" s="1" t="n">
        <v>2</v>
      </c>
      <c r="H660" s="1" t="n">
        <v>6</v>
      </c>
      <c r="I660" s="10" t="n">
        <v>39969</v>
      </c>
      <c r="J660" s="10" t="n">
        <v>39974</v>
      </c>
      <c r="K660" s="1" t="n">
        <v>5</v>
      </c>
      <c r="L660" s="1" t="n">
        <v>5</v>
      </c>
      <c r="M660" s="3" t="s">
        <v>48</v>
      </c>
      <c r="N660" s="3" t="s">
        <v>61</v>
      </c>
      <c r="O660" s="3" t="s">
        <v>82</v>
      </c>
      <c r="P660" s="2" t="str">
        <f aca="false">CONCATENATE(N660," ",O660)</f>
        <v>Trochosa terricola</v>
      </c>
      <c r="Q660" s="1" t="s">
        <v>30</v>
      </c>
      <c r="R660" s="1" t="s">
        <v>35</v>
      </c>
      <c r="S660" s="1" t="n">
        <v>0</v>
      </c>
      <c r="T660" s="1" t="n">
        <v>1</v>
      </c>
      <c r="U660" s="1" t="n">
        <v>0</v>
      </c>
      <c r="V660" s="1" t="n">
        <v>0</v>
      </c>
      <c r="W660" s="1" t="n">
        <v>0</v>
      </c>
      <c r="X660" s="1" t="n">
        <v>0</v>
      </c>
      <c r="Y660" s="3" t="n">
        <f aca="false">SUM(S660:T660)</f>
        <v>1</v>
      </c>
      <c r="Z660" s="3" t="n">
        <f aca="false">SUM(U660:W660)</f>
        <v>0</v>
      </c>
      <c r="AA660" s="3" t="n">
        <f aca="false">SUM(S660:X660)</f>
        <v>1</v>
      </c>
      <c r="AB660" s="11" t="n">
        <f aca="false">(AA660/(K660*L660)*25)*4</f>
        <v>4</v>
      </c>
    </row>
    <row r="661" customFormat="false" ht="14.25" hidden="false" customHeight="false" outlineLevel="0" collapsed="false">
      <c r="A661" s="1" t="n">
        <v>2009</v>
      </c>
      <c r="B661" s="7" t="s">
        <v>322</v>
      </c>
      <c r="C661" s="7" t="n">
        <v>2</v>
      </c>
      <c r="D661" s="7" t="s">
        <v>294</v>
      </c>
      <c r="E661" s="7" t="s">
        <v>294</v>
      </c>
      <c r="F661" s="7" t="s">
        <v>51</v>
      </c>
      <c r="G661" s="1" t="n">
        <v>2</v>
      </c>
      <c r="H661" s="1" t="n">
        <v>6</v>
      </c>
      <c r="I661" s="10" t="n">
        <v>39969</v>
      </c>
      <c r="J661" s="10" t="n">
        <v>39974</v>
      </c>
      <c r="K661" s="1" t="n">
        <v>5</v>
      </c>
      <c r="L661" s="1" t="n">
        <v>5</v>
      </c>
      <c r="M661" s="3" t="s">
        <v>72</v>
      </c>
      <c r="N661" s="3" t="s">
        <v>86</v>
      </c>
      <c r="O661" s="8" t="s">
        <v>87</v>
      </c>
      <c r="P661" s="2" t="str">
        <f aca="false">CONCATENATE(N661," ",O661)</f>
        <v>Haplodrassus soerenseni</v>
      </c>
      <c r="Q661" s="1" t="s">
        <v>30</v>
      </c>
      <c r="R661" s="1" t="s">
        <v>31</v>
      </c>
      <c r="S661" s="1" t="n">
        <v>1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0</v>
      </c>
      <c r="Y661" s="3" t="n">
        <f aca="false">SUM(S661:T661)</f>
        <v>1</v>
      </c>
      <c r="Z661" s="3" t="n">
        <f aca="false">SUM(U661:W661)</f>
        <v>0</v>
      </c>
      <c r="AA661" s="3" t="n">
        <f aca="false">SUM(S661:X661)</f>
        <v>1</v>
      </c>
      <c r="AB661" s="11" t="n">
        <f aca="false">(AA661/(K661*L661)*25)*4</f>
        <v>4</v>
      </c>
    </row>
    <row r="662" customFormat="false" ht="14.25" hidden="false" customHeight="false" outlineLevel="0" collapsed="false">
      <c r="A662" s="1" t="n">
        <v>2009</v>
      </c>
      <c r="B662" s="7" t="s">
        <v>322</v>
      </c>
      <c r="C662" s="7" t="n">
        <v>2</v>
      </c>
      <c r="D662" s="7" t="s">
        <v>294</v>
      </c>
      <c r="E662" s="7" t="s">
        <v>294</v>
      </c>
      <c r="F662" s="7" t="s">
        <v>51</v>
      </c>
      <c r="G662" s="1" t="n">
        <v>2</v>
      </c>
      <c r="H662" s="1" t="n">
        <v>6</v>
      </c>
      <c r="I662" s="10" t="n">
        <v>39969</v>
      </c>
      <c r="J662" s="10" t="n">
        <v>39974</v>
      </c>
      <c r="K662" s="1" t="n">
        <v>5</v>
      </c>
      <c r="L662" s="1" t="n">
        <v>5</v>
      </c>
      <c r="M662" s="3" t="s">
        <v>72</v>
      </c>
      <c r="N662" s="3" t="s">
        <v>86</v>
      </c>
      <c r="O662" s="3" t="s">
        <v>209</v>
      </c>
      <c r="P662" s="2" t="str">
        <f aca="false">CONCATENATE(N662," ",O662)</f>
        <v>Haplodrassus cognatus</v>
      </c>
      <c r="Q662" s="1" t="s">
        <v>30</v>
      </c>
      <c r="R662" s="1" t="s">
        <v>31</v>
      </c>
      <c r="S662" s="1" t="n">
        <v>1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0</v>
      </c>
      <c r="Y662" s="3" t="n">
        <f aca="false">SUM(S662:T662)</f>
        <v>1</v>
      </c>
      <c r="Z662" s="3" t="n">
        <f aca="false">SUM(U662:W662)</f>
        <v>0</v>
      </c>
      <c r="AA662" s="3" t="n">
        <f aca="false">SUM(S662:X662)</f>
        <v>1</v>
      </c>
      <c r="AB662" s="11" t="n">
        <f aca="false">(AA662/(K662*L662)*25)*4</f>
        <v>4</v>
      </c>
    </row>
    <row r="663" customFormat="false" ht="14.25" hidden="false" customHeight="false" outlineLevel="0" collapsed="false">
      <c r="A663" s="1" t="n">
        <v>2009</v>
      </c>
      <c r="B663" s="7" t="s">
        <v>322</v>
      </c>
      <c r="C663" s="7" t="n">
        <v>2</v>
      </c>
      <c r="D663" s="7" t="s">
        <v>294</v>
      </c>
      <c r="E663" s="7" t="s">
        <v>294</v>
      </c>
      <c r="F663" s="7" t="s">
        <v>51</v>
      </c>
      <c r="G663" s="1" t="n">
        <v>2</v>
      </c>
      <c r="H663" s="1" t="n">
        <v>6</v>
      </c>
      <c r="I663" s="10" t="n">
        <v>39969</v>
      </c>
      <c r="J663" s="10" t="n">
        <v>39974</v>
      </c>
      <c r="K663" s="1" t="n">
        <v>5</v>
      </c>
      <c r="L663" s="1" t="n">
        <v>5</v>
      </c>
      <c r="M663" s="3" t="s">
        <v>36</v>
      </c>
      <c r="N663" s="3" t="s">
        <v>37</v>
      </c>
      <c r="O663" s="8" t="s">
        <v>75</v>
      </c>
      <c r="P663" s="2" t="str">
        <f aca="false">CONCATENATE(N663," ",O663)</f>
        <v>Ozyptila praticola</v>
      </c>
      <c r="Q663" s="1" t="s">
        <v>30</v>
      </c>
      <c r="R663" s="1" t="s">
        <v>35</v>
      </c>
      <c r="S663" s="1" t="n">
        <v>0</v>
      </c>
      <c r="T663" s="1" t="n">
        <v>2</v>
      </c>
      <c r="U663" s="1" t="n">
        <v>0</v>
      </c>
      <c r="V663" s="1" t="n">
        <v>0</v>
      </c>
      <c r="W663" s="1" t="n">
        <v>0</v>
      </c>
      <c r="X663" s="1" t="n">
        <v>0</v>
      </c>
      <c r="Y663" s="3" t="n">
        <f aca="false">SUM(S663:T663)</f>
        <v>2</v>
      </c>
      <c r="Z663" s="3" t="n">
        <f aca="false">SUM(U663:W663)</f>
        <v>0</v>
      </c>
      <c r="AA663" s="3" t="n">
        <f aca="false">SUM(S663:X663)</f>
        <v>2</v>
      </c>
      <c r="AB663" s="11" t="n">
        <f aca="false">(AA663/(K663*L663)*25)*4</f>
        <v>8</v>
      </c>
    </row>
    <row r="664" customFormat="false" ht="14.25" hidden="false" customHeight="false" outlineLevel="0" collapsed="false">
      <c r="A664" s="1" t="n">
        <v>2009</v>
      </c>
      <c r="B664" s="7" t="s">
        <v>322</v>
      </c>
      <c r="C664" s="7" t="n">
        <v>2</v>
      </c>
      <c r="D664" s="7" t="s">
        <v>294</v>
      </c>
      <c r="E664" s="7" t="s">
        <v>294</v>
      </c>
      <c r="F664" s="7" t="s">
        <v>51</v>
      </c>
      <c r="G664" s="1" t="n">
        <v>2</v>
      </c>
      <c r="H664" s="1" t="n">
        <v>6</v>
      </c>
      <c r="I664" s="10" t="n">
        <v>39969</v>
      </c>
      <c r="J664" s="10" t="n">
        <v>39974</v>
      </c>
      <c r="K664" s="1" t="n">
        <v>5</v>
      </c>
      <c r="L664" s="1" t="n">
        <v>5</v>
      </c>
      <c r="M664" s="3" t="s">
        <v>36</v>
      </c>
      <c r="N664" s="3" t="s">
        <v>131</v>
      </c>
      <c r="O664" s="3" t="s">
        <v>133</v>
      </c>
      <c r="P664" s="2" t="str">
        <f aca="false">CONCATENATE(N664," ",O664)</f>
        <v>Xysticus luctuosus</v>
      </c>
      <c r="Q664" s="1" t="s">
        <v>30</v>
      </c>
      <c r="R664" s="1" t="s">
        <v>31</v>
      </c>
      <c r="S664" s="1" t="n">
        <v>2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0</v>
      </c>
      <c r="Y664" s="3" t="n">
        <f aca="false">SUM(S664:T664)</f>
        <v>2</v>
      </c>
      <c r="Z664" s="3" t="n">
        <f aca="false">SUM(U664:W664)</f>
        <v>0</v>
      </c>
      <c r="AA664" s="3" t="n">
        <f aca="false">SUM(S664:X664)</f>
        <v>2</v>
      </c>
      <c r="AB664" s="11" t="n">
        <f aca="false">(AA664/(K664*L664)*25)*4</f>
        <v>8</v>
      </c>
    </row>
    <row r="665" customFormat="false" ht="14.25" hidden="false" customHeight="false" outlineLevel="0" collapsed="false">
      <c r="A665" s="1" t="n">
        <v>2009</v>
      </c>
      <c r="B665" s="7" t="s">
        <v>322</v>
      </c>
      <c r="C665" s="7" t="n">
        <v>2</v>
      </c>
      <c r="D665" s="7" t="s">
        <v>294</v>
      </c>
      <c r="E665" s="7" t="s">
        <v>294</v>
      </c>
      <c r="F665" s="7" t="s">
        <v>51</v>
      </c>
      <c r="G665" s="1" t="n">
        <v>2</v>
      </c>
      <c r="H665" s="1" t="n">
        <v>6</v>
      </c>
      <c r="I665" s="10" t="n">
        <v>39969</v>
      </c>
      <c r="J665" s="10" t="n">
        <v>39974</v>
      </c>
      <c r="K665" s="1" t="n">
        <v>5</v>
      </c>
      <c r="L665" s="1" t="n">
        <v>5</v>
      </c>
      <c r="M665" s="3" t="s">
        <v>36</v>
      </c>
      <c r="N665" s="3" t="s">
        <v>131</v>
      </c>
      <c r="O665" s="3" t="s">
        <v>133</v>
      </c>
      <c r="P665" s="2" t="str">
        <f aca="false">CONCATENATE(N665," ",O665)</f>
        <v>Xysticus luctuosus</v>
      </c>
      <c r="Q665" s="1" t="s">
        <v>30</v>
      </c>
      <c r="R665" s="1" t="s">
        <v>35</v>
      </c>
      <c r="S665" s="1" t="n">
        <v>0</v>
      </c>
      <c r="T665" s="1" t="n">
        <v>1</v>
      </c>
      <c r="U665" s="1" t="n">
        <v>0</v>
      </c>
      <c r="V665" s="1" t="n">
        <v>0</v>
      </c>
      <c r="W665" s="1" t="n">
        <v>0</v>
      </c>
      <c r="X665" s="1" t="n">
        <v>0</v>
      </c>
      <c r="Y665" s="3" t="n">
        <f aca="false">SUM(S665:T665)</f>
        <v>1</v>
      </c>
      <c r="Z665" s="3" t="n">
        <f aca="false">SUM(U665:W665)</f>
        <v>0</v>
      </c>
      <c r="AA665" s="3" t="n">
        <f aca="false">SUM(S665:X665)</f>
        <v>1</v>
      </c>
      <c r="AB665" s="11" t="n">
        <f aca="false">(AA665/(K665*L665)*25)*4</f>
        <v>4</v>
      </c>
    </row>
    <row r="666" customFormat="false" ht="14.25" hidden="false" customHeight="false" outlineLevel="0" collapsed="false">
      <c r="A666" s="1" t="n">
        <v>2009</v>
      </c>
      <c r="B666" s="7" t="s">
        <v>322</v>
      </c>
      <c r="C666" s="7" t="n">
        <v>2</v>
      </c>
      <c r="D666" s="7" t="s">
        <v>294</v>
      </c>
      <c r="E666" s="7" t="s">
        <v>294</v>
      </c>
      <c r="F666" s="7" t="s">
        <v>51</v>
      </c>
      <c r="G666" s="1" t="n">
        <v>2</v>
      </c>
      <c r="H666" s="1" t="n">
        <v>6</v>
      </c>
      <c r="I666" s="10" t="n">
        <v>39969</v>
      </c>
      <c r="J666" s="10" t="n">
        <v>39974</v>
      </c>
      <c r="K666" s="1" t="n">
        <v>5</v>
      </c>
      <c r="L666" s="1" t="n">
        <v>5</v>
      </c>
      <c r="M666" s="3" t="s">
        <v>32</v>
      </c>
      <c r="N666" s="3" t="s">
        <v>55</v>
      </c>
      <c r="O666" s="3" t="s">
        <v>194</v>
      </c>
      <c r="P666" s="2" t="str">
        <f aca="false">CONCATENATE(N666," ",O666)</f>
        <v>Maro pansibiricus</v>
      </c>
      <c r="Q666" s="1" t="s">
        <v>30</v>
      </c>
      <c r="R666" s="1" t="s">
        <v>31</v>
      </c>
      <c r="S666" s="1" t="n">
        <v>2</v>
      </c>
      <c r="T666" s="1" t="n">
        <v>0</v>
      </c>
      <c r="U666" s="1" t="n">
        <v>0</v>
      </c>
      <c r="V666" s="1" t="n">
        <v>0</v>
      </c>
      <c r="W666" s="1" t="n">
        <v>0</v>
      </c>
      <c r="X666" s="1" t="n">
        <v>0</v>
      </c>
      <c r="Y666" s="3" t="n">
        <f aca="false">SUM(S666:T666)</f>
        <v>2</v>
      </c>
      <c r="Z666" s="3" t="n">
        <f aca="false">SUM(U666:W666)</f>
        <v>0</v>
      </c>
      <c r="AA666" s="3" t="n">
        <f aca="false">SUM(S666:X666)</f>
        <v>2</v>
      </c>
      <c r="AB666" s="11" t="n">
        <f aca="false">(AA666/(K666*L666)*25)*4</f>
        <v>8</v>
      </c>
    </row>
    <row r="667" customFormat="false" ht="14.25" hidden="false" customHeight="false" outlineLevel="0" collapsed="false">
      <c r="A667" s="1" t="n">
        <v>2009</v>
      </c>
      <c r="B667" s="7" t="s">
        <v>322</v>
      </c>
      <c r="C667" s="7" t="n">
        <v>2</v>
      </c>
      <c r="D667" s="7" t="s">
        <v>294</v>
      </c>
      <c r="E667" s="7" t="s">
        <v>294</v>
      </c>
      <c r="F667" s="7" t="s">
        <v>51</v>
      </c>
      <c r="G667" s="1" t="n">
        <v>2</v>
      </c>
      <c r="H667" s="1" t="n">
        <v>7</v>
      </c>
      <c r="I667" s="10" t="n">
        <v>39969</v>
      </c>
      <c r="J667" s="10" t="n">
        <v>39974</v>
      </c>
      <c r="K667" s="1" t="n">
        <v>5</v>
      </c>
      <c r="L667" s="1" t="n">
        <v>5</v>
      </c>
      <c r="M667" s="3" t="s">
        <v>48</v>
      </c>
      <c r="N667" s="3" t="s">
        <v>49</v>
      </c>
      <c r="O667" s="3" t="s">
        <v>104</v>
      </c>
      <c r="P667" s="2" t="str">
        <f aca="false">CONCATENATE(N667," ",O667)</f>
        <v>Alopecosa taeniata</v>
      </c>
      <c r="Q667" s="1" t="s">
        <v>30</v>
      </c>
      <c r="R667" s="1" t="s">
        <v>31</v>
      </c>
      <c r="S667" s="1" t="n">
        <v>1</v>
      </c>
      <c r="T667" s="1" t="n">
        <v>0</v>
      </c>
      <c r="U667" s="1" t="n">
        <v>0</v>
      </c>
      <c r="V667" s="1" t="n">
        <v>0</v>
      </c>
      <c r="W667" s="1" t="n">
        <v>0</v>
      </c>
      <c r="X667" s="1" t="n">
        <v>0</v>
      </c>
      <c r="Y667" s="3" t="n">
        <f aca="false">SUM(S667:T667)</f>
        <v>1</v>
      </c>
      <c r="Z667" s="3" t="n">
        <f aca="false">SUM(U667:W667)</f>
        <v>0</v>
      </c>
      <c r="AA667" s="3" t="n">
        <f aca="false">SUM(S667:X667)</f>
        <v>1</v>
      </c>
      <c r="AB667" s="11" t="n">
        <f aca="false">(AA667/(K667*L667)*25)*4</f>
        <v>4</v>
      </c>
    </row>
    <row r="668" customFormat="false" ht="14.25" hidden="false" customHeight="false" outlineLevel="0" collapsed="false">
      <c r="A668" s="1" t="n">
        <v>2009</v>
      </c>
      <c r="B668" s="7" t="s">
        <v>322</v>
      </c>
      <c r="C668" s="7" t="n">
        <v>2</v>
      </c>
      <c r="D668" s="7" t="s">
        <v>294</v>
      </c>
      <c r="E668" s="7" t="s">
        <v>294</v>
      </c>
      <c r="F668" s="7" t="s">
        <v>51</v>
      </c>
      <c r="G668" s="1" t="n">
        <v>2</v>
      </c>
      <c r="H668" s="1" t="n">
        <v>7</v>
      </c>
      <c r="I668" s="10" t="n">
        <v>39969</v>
      </c>
      <c r="J668" s="10" t="n">
        <v>39974</v>
      </c>
      <c r="K668" s="1" t="n">
        <v>5</v>
      </c>
      <c r="L668" s="1" t="n">
        <v>5</v>
      </c>
      <c r="M668" s="3" t="s">
        <v>48</v>
      </c>
      <c r="N668" s="3" t="s">
        <v>67</v>
      </c>
      <c r="O668" s="3" t="s">
        <v>127</v>
      </c>
      <c r="P668" s="2" t="str">
        <f aca="false">CONCATENATE(N668," ",O668)</f>
        <v>Pardosa lugubris</v>
      </c>
      <c r="Q668" s="1" t="s">
        <v>30</v>
      </c>
      <c r="R668" s="1" t="s">
        <v>31</v>
      </c>
      <c r="S668" s="1" t="n">
        <v>7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0</v>
      </c>
      <c r="Y668" s="3" t="n">
        <f aca="false">SUM(S668:T668)</f>
        <v>7</v>
      </c>
      <c r="Z668" s="3" t="n">
        <f aca="false">SUM(U668:W668)</f>
        <v>0</v>
      </c>
      <c r="AA668" s="3" t="n">
        <f aca="false">SUM(S668:X668)</f>
        <v>7</v>
      </c>
      <c r="AB668" s="11" t="n">
        <f aca="false">(AA668/(K668*L668)*25)*4</f>
        <v>28</v>
      </c>
    </row>
    <row r="669" customFormat="false" ht="14.25" hidden="false" customHeight="false" outlineLevel="0" collapsed="false">
      <c r="A669" s="1" t="n">
        <v>2009</v>
      </c>
      <c r="B669" s="7" t="s">
        <v>322</v>
      </c>
      <c r="C669" s="7" t="n">
        <v>2</v>
      </c>
      <c r="D669" s="7" t="s">
        <v>294</v>
      </c>
      <c r="E669" s="7" t="s">
        <v>294</v>
      </c>
      <c r="F669" s="7" t="s">
        <v>51</v>
      </c>
      <c r="G669" s="1" t="n">
        <v>2</v>
      </c>
      <c r="H669" s="1" t="n">
        <v>7</v>
      </c>
      <c r="I669" s="10" t="n">
        <v>39969</v>
      </c>
      <c r="J669" s="10" t="n">
        <v>39974</v>
      </c>
      <c r="K669" s="1" t="n">
        <v>5</v>
      </c>
      <c r="L669" s="1" t="n">
        <v>5</v>
      </c>
      <c r="M669" s="3" t="s">
        <v>72</v>
      </c>
      <c r="N669" s="3" t="s">
        <v>86</v>
      </c>
      <c r="O669" s="8" t="s">
        <v>87</v>
      </c>
      <c r="P669" s="2" t="str">
        <f aca="false">CONCATENATE(N669," ",O669)</f>
        <v>Haplodrassus soerenseni</v>
      </c>
      <c r="Q669" s="1" t="s">
        <v>30</v>
      </c>
      <c r="R669" s="1" t="s">
        <v>35</v>
      </c>
      <c r="S669" s="1" t="n">
        <v>0</v>
      </c>
      <c r="T669" s="1" t="n">
        <v>1</v>
      </c>
      <c r="U669" s="1" t="n">
        <v>0</v>
      </c>
      <c r="V669" s="1" t="n">
        <v>0</v>
      </c>
      <c r="W669" s="1" t="n">
        <v>0</v>
      </c>
      <c r="X669" s="1" t="n">
        <v>0</v>
      </c>
      <c r="Y669" s="3" t="n">
        <f aca="false">SUM(S669:T669)</f>
        <v>1</v>
      </c>
      <c r="Z669" s="3" t="n">
        <f aca="false">SUM(U669:W669)</f>
        <v>0</v>
      </c>
      <c r="AA669" s="3" t="n">
        <f aca="false">SUM(S669:X669)</f>
        <v>1</v>
      </c>
      <c r="AB669" s="11" t="n">
        <f aca="false">(AA669/(K669*L669)*25)*4</f>
        <v>4</v>
      </c>
    </row>
    <row r="670" customFormat="false" ht="14.25" hidden="false" customHeight="false" outlineLevel="0" collapsed="false">
      <c r="A670" s="1" t="n">
        <v>2009</v>
      </c>
      <c r="B670" s="7" t="s">
        <v>322</v>
      </c>
      <c r="C670" s="7" t="n">
        <v>2</v>
      </c>
      <c r="D670" s="7" t="s">
        <v>294</v>
      </c>
      <c r="E670" s="7" t="s">
        <v>294</v>
      </c>
      <c r="F670" s="7" t="s">
        <v>51</v>
      </c>
      <c r="G670" s="1" t="n">
        <v>2</v>
      </c>
      <c r="H670" s="1" t="n">
        <v>7</v>
      </c>
      <c r="I670" s="10" t="n">
        <v>39969</v>
      </c>
      <c r="J670" s="10" t="n">
        <v>39974</v>
      </c>
      <c r="K670" s="1" t="n">
        <v>5</v>
      </c>
      <c r="L670" s="1" t="n">
        <v>5</v>
      </c>
      <c r="M670" s="3" t="s">
        <v>72</v>
      </c>
      <c r="N670" s="3" t="s">
        <v>73</v>
      </c>
      <c r="O670" s="3" t="s">
        <v>74</v>
      </c>
      <c r="P670" s="2" t="str">
        <f aca="false">CONCATENATE(N670," ",O670)</f>
        <v>Zelotes subterraneus</v>
      </c>
      <c r="Q670" s="1" t="s">
        <v>30</v>
      </c>
      <c r="R670" s="1" t="s">
        <v>35</v>
      </c>
      <c r="S670" s="1" t="n">
        <v>0</v>
      </c>
      <c r="T670" s="1" t="n">
        <v>1</v>
      </c>
      <c r="U670" s="1" t="n">
        <v>0</v>
      </c>
      <c r="V670" s="1" t="n">
        <v>0</v>
      </c>
      <c r="W670" s="1" t="n">
        <v>0</v>
      </c>
      <c r="X670" s="1" t="n">
        <v>0</v>
      </c>
      <c r="Y670" s="3" t="n">
        <f aca="false">SUM(S670:T670)</f>
        <v>1</v>
      </c>
      <c r="Z670" s="3" t="n">
        <f aca="false">SUM(U670:W670)</f>
        <v>0</v>
      </c>
      <c r="AA670" s="3" t="n">
        <f aca="false">SUM(S670:X670)</f>
        <v>1</v>
      </c>
      <c r="AB670" s="11" t="n">
        <f aca="false">(AA670/(K670*L670)*25)*4</f>
        <v>4</v>
      </c>
    </row>
    <row r="671" customFormat="false" ht="14.25" hidden="false" customHeight="false" outlineLevel="0" collapsed="false">
      <c r="A671" s="1" t="n">
        <v>2009</v>
      </c>
      <c r="B671" s="7" t="s">
        <v>322</v>
      </c>
      <c r="C671" s="7" t="n">
        <v>2</v>
      </c>
      <c r="D671" s="7" t="s">
        <v>294</v>
      </c>
      <c r="E671" s="7" t="s">
        <v>294</v>
      </c>
      <c r="F671" s="7" t="s">
        <v>51</v>
      </c>
      <c r="G671" s="1" t="n">
        <v>2</v>
      </c>
      <c r="H671" s="1" t="n">
        <v>7</v>
      </c>
      <c r="I671" s="10" t="n">
        <v>39969</v>
      </c>
      <c r="J671" s="10" t="n">
        <v>39974</v>
      </c>
      <c r="K671" s="1" t="n">
        <v>5</v>
      </c>
      <c r="L671" s="1" t="n">
        <v>5</v>
      </c>
      <c r="M671" s="3" t="s">
        <v>144</v>
      </c>
      <c r="N671" s="3" t="s">
        <v>145</v>
      </c>
      <c r="O671" s="3" t="s">
        <v>146</v>
      </c>
      <c r="P671" s="2" t="str">
        <f aca="false">CONCATENATE(N671," ",O671)</f>
        <v>Phrurolithus festivus</v>
      </c>
      <c r="Q671" s="1" t="s">
        <v>30</v>
      </c>
      <c r="R671" s="1" t="s">
        <v>31</v>
      </c>
      <c r="S671" s="1" t="n">
        <v>1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0</v>
      </c>
      <c r="Y671" s="3" t="n">
        <f aca="false">SUM(S671:T671)</f>
        <v>1</v>
      </c>
      <c r="Z671" s="3" t="n">
        <f aca="false">SUM(U671:W671)</f>
        <v>0</v>
      </c>
      <c r="AA671" s="3" t="n">
        <f aca="false">SUM(S671:X671)</f>
        <v>1</v>
      </c>
      <c r="AB671" s="11" t="n">
        <f aca="false">(AA671/(K671*L671)*25)*4</f>
        <v>4</v>
      </c>
    </row>
    <row r="672" customFormat="false" ht="14.25" hidden="false" customHeight="false" outlineLevel="0" collapsed="false">
      <c r="A672" s="1" t="n">
        <v>2009</v>
      </c>
      <c r="B672" s="7" t="s">
        <v>322</v>
      </c>
      <c r="C672" s="7" t="n">
        <v>2</v>
      </c>
      <c r="D672" s="7" t="s">
        <v>294</v>
      </c>
      <c r="E672" s="7" t="s">
        <v>294</v>
      </c>
      <c r="F672" s="7" t="s">
        <v>51</v>
      </c>
      <c r="G672" s="1" t="n">
        <v>2</v>
      </c>
      <c r="H672" s="1" t="n">
        <v>7</v>
      </c>
      <c r="I672" s="10" t="n">
        <v>39969</v>
      </c>
      <c r="J672" s="10" t="n">
        <v>39974</v>
      </c>
      <c r="K672" s="1" t="n">
        <v>5</v>
      </c>
      <c r="L672" s="1" t="n">
        <v>5</v>
      </c>
      <c r="M672" s="3" t="s">
        <v>32</v>
      </c>
      <c r="N672" s="3" t="s">
        <v>55</v>
      </c>
      <c r="O672" s="3" t="s">
        <v>194</v>
      </c>
      <c r="P672" s="2" t="str">
        <f aca="false">CONCATENATE(N672," ",O672)</f>
        <v>Maro pansibiricus</v>
      </c>
      <c r="Q672" s="1" t="s">
        <v>30</v>
      </c>
      <c r="R672" s="1" t="s">
        <v>31</v>
      </c>
      <c r="S672" s="1" t="n">
        <v>1</v>
      </c>
      <c r="T672" s="1" t="n">
        <v>0</v>
      </c>
      <c r="U672" s="1" t="n">
        <v>0</v>
      </c>
      <c r="V672" s="1" t="n">
        <v>0</v>
      </c>
      <c r="W672" s="1" t="n">
        <v>0</v>
      </c>
      <c r="X672" s="1" t="n">
        <v>0</v>
      </c>
      <c r="Y672" s="3" t="n">
        <f aca="false">SUM(S672:T672)</f>
        <v>1</v>
      </c>
      <c r="Z672" s="3" t="n">
        <f aca="false">SUM(U672:W672)</f>
        <v>0</v>
      </c>
      <c r="AA672" s="3" t="n">
        <f aca="false">SUM(S672:X672)</f>
        <v>1</v>
      </c>
      <c r="AB672" s="11" t="n">
        <f aca="false">(AA672/(K672*L672)*25)*4</f>
        <v>4</v>
      </c>
    </row>
    <row r="673" customFormat="false" ht="14.25" hidden="false" customHeight="false" outlineLevel="0" collapsed="false">
      <c r="A673" s="1" t="n">
        <v>2009</v>
      </c>
      <c r="B673" s="7" t="s">
        <v>322</v>
      </c>
      <c r="C673" s="7" t="n">
        <v>2</v>
      </c>
      <c r="D673" s="7" t="s">
        <v>294</v>
      </c>
      <c r="E673" s="7" t="s">
        <v>294</v>
      </c>
      <c r="F673" s="7" t="s">
        <v>51</v>
      </c>
      <c r="G673" s="1" t="n">
        <v>2</v>
      </c>
      <c r="H673" s="1" t="n">
        <v>7</v>
      </c>
      <c r="I673" s="10" t="n">
        <v>39969</v>
      </c>
      <c r="J673" s="10" t="n">
        <v>39974</v>
      </c>
      <c r="K673" s="1" t="n">
        <v>5</v>
      </c>
      <c r="L673" s="1" t="n">
        <v>5</v>
      </c>
      <c r="M673" s="3" t="s">
        <v>27</v>
      </c>
      <c r="N673" s="3" t="s">
        <v>28</v>
      </c>
      <c r="O673" s="3" t="s">
        <v>29</v>
      </c>
      <c r="P673" s="2" t="str">
        <f aca="false">CONCATENATE(N673," ",O673)</f>
        <v>Robertus lividus</v>
      </c>
      <c r="Q673" s="1" t="s">
        <v>30</v>
      </c>
      <c r="R673" s="1" t="s">
        <v>31</v>
      </c>
      <c r="S673" s="1" t="n">
        <v>1</v>
      </c>
      <c r="T673" s="1" t="n">
        <v>0</v>
      </c>
      <c r="U673" s="1" t="n">
        <v>0</v>
      </c>
      <c r="V673" s="1" t="n">
        <v>0</v>
      </c>
      <c r="W673" s="1" t="n">
        <v>0</v>
      </c>
      <c r="X673" s="1" t="n">
        <v>0</v>
      </c>
      <c r="Y673" s="3" t="n">
        <f aca="false">SUM(S673:T673)</f>
        <v>1</v>
      </c>
      <c r="Z673" s="3" t="n">
        <f aca="false">SUM(U673:W673)</f>
        <v>0</v>
      </c>
      <c r="AA673" s="3" t="n">
        <f aca="false">SUM(S673:X673)</f>
        <v>1</v>
      </c>
      <c r="AB673" s="11" t="n">
        <f aca="false">(AA673/(K673*L673)*25)*4</f>
        <v>4</v>
      </c>
    </row>
    <row r="674" customFormat="false" ht="14.25" hidden="false" customHeight="false" outlineLevel="0" collapsed="false">
      <c r="A674" s="1" t="n">
        <v>2009</v>
      </c>
      <c r="B674" s="7" t="s">
        <v>322</v>
      </c>
      <c r="C674" s="7" t="n">
        <v>2</v>
      </c>
      <c r="D674" s="7" t="s">
        <v>294</v>
      </c>
      <c r="E674" s="7" t="s">
        <v>294</v>
      </c>
      <c r="F674" s="7" t="s">
        <v>51</v>
      </c>
      <c r="G674" s="1" t="n">
        <v>2</v>
      </c>
      <c r="H674" s="1" t="n">
        <v>8</v>
      </c>
      <c r="I674" s="10" t="n">
        <v>39969</v>
      </c>
      <c r="J674" s="10" t="n">
        <v>39974</v>
      </c>
      <c r="K674" s="1" t="n">
        <v>5</v>
      </c>
      <c r="L674" s="1" t="n">
        <v>5</v>
      </c>
      <c r="M674" s="3" t="s">
        <v>48</v>
      </c>
      <c r="N674" s="3" t="s">
        <v>49</v>
      </c>
      <c r="O674" s="3" t="s">
        <v>104</v>
      </c>
      <c r="P674" s="2" t="str">
        <f aca="false">CONCATENATE(N674," ",O674)</f>
        <v>Alopecosa taeniata</v>
      </c>
      <c r="Q674" s="1" t="s">
        <v>30</v>
      </c>
      <c r="R674" s="1" t="s">
        <v>31</v>
      </c>
      <c r="S674" s="1" t="n">
        <v>3</v>
      </c>
      <c r="T674" s="1" t="n">
        <v>0</v>
      </c>
      <c r="U674" s="1" t="n">
        <v>0</v>
      </c>
      <c r="V674" s="1" t="n">
        <v>0</v>
      </c>
      <c r="W674" s="1" t="n">
        <v>0</v>
      </c>
      <c r="X674" s="1" t="n">
        <v>0</v>
      </c>
      <c r="Y674" s="3" t="n">
        <f aca="false">SUM(S674:T674)</f>
        <v>3</v>
      </c>
      <c r="Z674" s="3" t="n">
        <f aca="false">SUM(U674:W674)</f>
        <v>0</v>
      </c>
      <c r="AA674" s="3" t="n">
        <f aca="false">SUM(S674:X674)</f>
        <v>3</v>
      </c>
      <c r="AB674" s="11" t="n">
        <f aca="false">(AA674/(K674*L674)*25)*4</f>
        <v>12</v>
      </c>
    </row>
    <row r="675" customFormat="false" ht="14.25" hidden="false" customHeight="false" outlineLevel="0" collapsed="false">
      <c r="A675" s="1" t="n">
        <v>2009</v>
      </c>
      <c r="B675" s="7" t="s">
        <v>322</v>
      </c>
      <c r="C675" s="7" t="n">
        <v>2</v>
      </c>
      <c r="D675" s="7" t="s">
        <v>294</v>
      </c>
      <c r="E675" s="7" t="s">
        <v>294</v>
      </c>
      <c r="F675" s="7" t="s">
        <v>51</v>
      </c>
      <c r="G675" s="1" t="n">
        <v>2</v>
      </c>
      <c r="H675" s="1" t="n">
        <v>8</v>
      </c>
      <c r="I675" s="10" t="n">
        <v>39969</v>
      </c>
      <c r="J675" s="10" t="n">
        <v>39974</v>
      </c>
      <c r="K675" s="1" t="n">
        <v>5</v>
      </c>
      <c r="L675" s="1" t="n">
        <v>5</v>
      </c>
      <c r="M675" s="3" t="s">
        <v>48</v>
      </c>
      <c r="N675" s="3" t="s">
        <v>49</v>
      </c>
      <c r="O675" s="3" t="s">
        <v>104</v>
      </c>
      <c r="P675" s="2" t="str">
        <f aca="false">CONCATENATE(N675," ",O675)</f>
        <v>Alopecosa taeniata</v>
      </c>
      <c r="Q675" s="1" t="s">
        <v>30</v>
      </c>
      <c r="R675" s="1" t="s">
        <v>35</v>
      </c>
      <c r="S675" s="1" t="n">
        <v>0</v>
      </c>
      <c r="T675" s="1" t="n">
        <v>1</v>
      </c>
      <c r="U675" s="1" t="n">
        <v>0</v>
      </c>
      <c r="V675" s="1" t="n">
        <v>0</v>
      </c>
      <c r="W675" s="1" t="n">
        <v>0</v>
      </c>
      <c r="X675" s="1" t="n">
        <v>0</v>
      </c>
      <c r="Y675" s="3" t="n">
        <f aca="false">SUM(S675:T675)</f>
        <v>1</v>
      </c>
      <c r="Z675" s="3" t="n">
        <f aca="false">SUM(U675:W675)</f>
        <v>0</v>
      </c>
      <c r="AA675" s="3" t="n">
        <f aca="false">SUM(S675:X675)</f>
        <v>1</v>
      </c>
      <c r="AB675" s="11" t="n">
        <f aca="false">(AA675/(K675*L675)*25)*4</f>
        <v>4</v>
      </c>
    </row>
    <row r="676" customFormat="false" ht="14.25" hidden="false" customHeight="false" outlineLevel="0" collapsed="false">
      <c r="A676" s="1" t="n">
        <v>2009</v>
      </c>
      <c r="B676" s="7" t="s">
        <v>322</v>
      </c>
      <c r="C676" s="7" t="n">
        <v>2</v>
      </c>
      <c r="D676" s="7" t="s">
        <v>294</v>
      </c>
      <c r="E676" s="7" t="s">
        <v>294</v>
      </c>
      <c r="F676" s="7" t="s">
        <v>51</v>
      </c>
      <c r="G676" s="1" t="n">
        <v>2</v>
      </c>
      <c r="H676" s="1" t="n">
        <v>8</v>
      </c>
      <c r="I676" s="10" t="n">
        <v>39969</v>
      </c>
      <c r="J676" s="10" t="n">
        <v>39974</v>
      </c>
      <c r="K676" s="1" t="n">
        <v>5</v>
      </c>
      <c r="L676" s="1" t="n">
        <v>5</v>
      </c>
      <c r="M676" s="3" t="s">
        <v>48</v>
      </c>
      <c r="N676" s="3" t="s">
        <v>67</v>
      </c>
      <c r="O676" s="3" t="s">
        <v>127</v>
      </c>
      <c r="P676" s="2" t="str">
        <f aca="false">CONCATENATE(N676," ",O676)</f>
        <v>Pardosa lugubris</v>
      </c>
      <c r="Q676" s="1" t="s">
        <v>30</v>
      </c>
      <c r="R676" s="1" t="s">
        <v>31</v>
      </c>
      <c r="S676" s="1" t="n">
        <v>7</v>
      </c>
      <c r="T676" s="1" t="n">
        <v>0</v>
      </c>
      <c r="U676" s="1" t="n">
        <v>0</v>
      </c>
      <c r="V676" s="1" t="n">
        <v>0</v>
      </c>
      <c r="W676" s="1" t="n">
        <v>0</v>
      </c>
      <c r="X676" s="1" t="n">
        <v>0</v>
      </c>
      <c r="Y676" s="3" t="n">
        <f aca="false">SUM(S676:T676)</f>
        <v>7</v>
      </c>
      <c r="Z676" s="3" t="n">
        <f aca="false">SUM(U676:W676)</f>
        <v>0</v>
      </c>
      <c r="AA676" s="3" t="n">
        <f aca="false">SUM(S676:X676)</f>
        <v>7</v>
      </c>
      <c r="AB676" s="11" t="n">
        <f aca="false">(AA676/(K676*L676)*25)*4</f>
        <v>28</v>
      </c>
    </row>
    <row r="677" customFormat="false" ht="14.25" hidden="false" customHeight="false" outlineLevel="0" collapsed="false">
      <c r="A677" s="1" t="n">
        <v>2009</v>
      </c>
      <c r="B677" s="7" t="s">
        <v>322</v>
      </c>
      <c r="C677" s="7" t="n">
        <v>2</v>
      </c>
      <c r="D677" s="7" t="s">
        <v>294</v>
      </c>
      <c r="E677" s="7" t="s">
        <v>294</v>
      </c>
      <c r="F677" s="7" t="s">
        <v>51</v>
      </c>
      <c r="G677" s="1" t="n">
        <v>2</v>
      </c>
      <c r="H677" s="1" t="n">
        <v>8</v>
      </c>
      <c r="I677" s="10" t="n">
        <v>39969</v>
      </c>
      <c r="J677" s="10" t="n">
        <v>39974</v>
      </c>
      <c r="K677" s="1" t="n">
        <v>5</v>
      </c>
      <c r="L677" s="1" t="n">
        <v>5</v>
      </c>
      <c r="M677" s="3" t="s">
        <v>72</v>
      </c>
      <c r="N677" s="3" t="s">
        <v>86</v>
      </c>
      <c r="O677" s="8" t="s">
        <v>87</v>
      </c>
      <c r="P677" s="2" t="str">
        <f aca="false">CONCATENATE(N677," ",O677)</f>
        <v>Haplodrassus soerenseni</v>
      </c>
      <c r="Q677" s="1" t="s">
        <v>30</v>
      </c>
      <c r="R677" s="1" t="s">
        <v>31</v>
      </c>
      <c r="S677" s="1" t="n">
        <v>1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0</v>
      </c>
      <c r="Y677" s="3" t="n">
        <f aca="false">SUM(S677:T677)</f>
        <v>1</v>
      </c>
      <c r="Z677" s="3" t="n">
        <f aca="false">SUM(U677:W677)</f>
        <v>0</v>
      </c>
      <c r="AA677" s="3" t="n">
        <f aca="false">SUM(S677:X677)</f>
        <v>1</v>
      </c>
      <c r="AB677" s="11" t="n">
        <f aca="false">(AA677/(K677*L677)*25)*4</f>
        <v>4</v>
      </c>
    </row>
    <row r="678" customFormat="false" ht="14.25" hidden="false" customHeight="false" outlineLevel="0" collapsed="false">
      <c r="A678" s="1" t="n">
        <v>2009</v>
      </c>
      <c r="B678" s="7" t="s">
        <v>322</v>
      </c>
      <c r="C678" s="7" t="n">
        <v>2</v>
      </c>
      <c r="D678" s="7" t="s">
        <v>294</v>
      </c>
      <c r="E678" s="7" t="s">
        <v>294</v>
      </c>
      <c r="F678" s="7" t="s">
        <v>51</v>
      </c>
      <c r="G678" s="1" t="n">
        <v>2</v>
      </c>
      <c r="H678" s="1" t="n">
        <v>8</v>
      </c>
      <c r="I678" s="10" t="n">
        <v>39969</v>
      </c>
      <c r="J678" s="10" t="n">
        <v>39974</v>
      </c>
      <c r="K678" s="1" t="n">
        <v>5</v>
      </c>
      <c r="L678" s="1" t="n">
        <v>5</v>
      </c>
      <c r="M678" s="3" t="s">
        <v>144</v>
      </c>
      <c r="N678" s="3" t="s">
        <v>145</v>
      </c>
      <c r="O678" s="3" t="s">
        <v>146</v>
      </c>
      <c r="P678" s="2" t="str">
        <f aca="false">CONCATENATE(N678," ",O678)</f>
        <v>Phrurolithus festivus</v>
      </c>
      <c r="Q678" s="1" t="s">
        <v>30</v>
      </c>
      <c r="R678" s="1" t="s">
        <v>31</v>
      </c>
      <c r="S678" s="1" t="n">
        <v>2</v>
      </c>
      <c r="T678" s="1" t="n">
        <v>0</v>
      </c>
      <c r="U678" s="1" t="n">
        <v>0</v>
      </c>
      <c r="V678" s="1" t="n">
        <v>0</v>
      </c>
      <c r="W678" s="1" t="n">
        <v>0</v>
      </c>
      <c r="X678" s="1" t="n">
        <v>0</v>
      </c>
      <c r="Y678" s="3" t="n">
        <f aca="false">SUM(S678:T678)</f>
        <v>2</v>
      </c>
      <c r="Z678" s="3" t="n">
        <f aca="false">SUM(U678:W678)</f>
        <v>0</v>
      </c>
      <c r="AA678" s="3" t="n">
        <f aca="false">SUM(S678:X678)</f>
        <v>2</v>
      </c>
      <c r="AB678" s="11" t="n">
        <f aca="false">(AA678/(K678*L678)*25)*4</f>
        <v>8</v>
      </c>
    </row>
    <row r="679" customFormat="false" ht="14.25" hidden="false" customHeight="false" outlineLevel="0" collapsed="false">
      <c r="A679" s="1" t="n">
        <v>2009</v>
      </c>
      <c r="B679" s="7" t="s">
        <v>322</v>
      </c>
      <c r="C679" s="7" t="n">
        <v>2</v>
      </c>
      <c r="D679" s="7" t="s">
        <v>294</v>
      </c>
      <c r="E679" s="7" t="s">
        <v>294</v>
      </c>
      <c r="F679" s="7" t="s">
        <v>51</v>
      </c>
      <c r="G679" s="1" t="n">
        <v>2</v>
      </c>
      <c r="H679" s="1" t="n">
        <v>8</v>
      </c>
      <c r="I679" s="10" t="n">
        <v>39969</v>
      </c>
      <c r="J679" s="10" t="n">
        <v>39974</v>
      </c>
      <c r="K679" s="1" t="n">
        <v>5</v>
      </c>
      <c r="L679" s="1" t="n">
        <v>5</v>
      </c>
      <c r="M679" s="3" t="s">
        <v>36</v>
      </c>
      <c r="N679" s="3" t="s">
        <v>37</v>
      </c>
      <c r="O679" s="8" t="s">
        <v>75</v>
      </c>
      <c r="P679" s="2" t="str">
        <f aca="false">CONCATENATE(N679," ",O679)</f>
        <v>Ozyptila praticola</v>
      </c>
      <c r="Q679" s="1" t="s">
        <v>30</v>
      </c>
      <c r="R679" s="1" t="s">
        <v>31</v>
      </c>
      <c r="S679" s="1" t="n">
        <v>1</v>
      </c>
      <c r="T679" s="1" t="n">
        <v>0</v>
      </c>
      <c r="U679" s="1" t="n">
        <v>0</v>
      </c>
      <c r="V679" s="1" t="n">
        <v>0</v>
      </c>
      <c r="W679" s="1" t="n">
        <v>0</v>
      </c>
      <c r="X679" s="1" t="n">
        <v>0</v>
      </c>
      <c r="Y679" s="3" t="n">
        <f aca="false">SUM(S679:T679)</f>
        <v>1</v>
      </c>
      <c r="Z679" s="3" t="n">
        <f aca="false">SUM(U679:W679)</f>
        <v>0</v>
      </c>
      <c r="AA679" s="3" t="n">
        <f aca="false">SUM(S679:X679)</f>
        <v>1</v>
      </c>
      <c r="AB679" s="11" t="n">
        <f aca="false">(AA679/(K679*L679)*25)*4</f>
        <v>4</v>
      </c>
    </row>
    <row r="680" customFormat="false" ht="14.25" hidden="false" customHeight="false" outlineLevel="0" collapsed="false">
      <c r="A680" s="1" t="n">
        <v>2009</v>
      </c>
      <c r="B680" s="7" t="s">
        <v>322</v>
      </c>
      <c r="C680" s="7" t="n">
        <v>2</v>
      </c>
      <c r="D680" s="7" t="s">
        <v>294</v>
      </c>
      <c r="E680" s="7" t="s">
        <v>294</v>
      </c>
      <c r="F680" s="7" t="s">
        <v>51</v>
      </c>
      <c r="G680" s="1" t="n">
        <v>2</v>
      </c>
      <c r="H680" s="1" t="n">
        <v>8</v>
      </c>
      <c r="I680" s="10" t="n">
        <v>39969</v>
      </c>
      <c r="J680" s="10" t="n">
        <v>39974</v>
      </c>
      <c r="K680" s="1" t="n">
        <v>5</v>
      </c>
      <c r="L680" s="1" t="n">
        <v>5</v>
      </c>
      <c r="M680" s="3" t="s">
        <v>36</v>
      </c>
      <c r="N680" s="3" t="s">
        <v>131</v>
      </c>
      <c r="O680" s="3" t="s">
        <v>133</v>
      </c>
      <c r="P680" s="2" t="str">
        <f aca="false">CONCATENATE(N680," ",O680)</f>
        <v>Xysticus luctuosus</v>
      </c>
      <c r="Q680" s="1" t="s">
        <v>30</v>
      </c>
      <c r="R680" s="1" t="s">
        <v>31</v>
      </c>
      <c r="S680" s="1" t="n">
        <v>2</v>
      </c>
      <c r="T680" s="1" t="n">
        <v>0</v>
      </c>
      <c r="U680" s="1" t="n">
        <v>0</v>
      </c>
      <c r="V680" s="1" t="n">
        <v>0</v>
      </c>
      <c r="W680" s="1" t="n">
        <v>0</v>
      </c>
      <c r="X680" s="1" t="n">
        <v>0</v>
      </c>
      <c r="Y680" s="3" t="n">
        <f aca="false">SUM(S680:T680)</f>
        <v>2</v>
      </c>
      <c r="Z680" s="3" t="n">
        <f aca="false">SUM(U680:W680)</f>
        <v>0</v>
      </c>
      <c r="AA680" s="3" t="n">
        <f aca="false">SUM(S680:X680)</f>
        <v>2</v>
      </c>
      <c r="AB680" s="11" t="n">
        <f aca="false">(AA680/(K680*L680)*25)*4</f>
        <v>8</v>
      </c>
    </row>
    <row r="681" customFormat="false" ht="14.25" hidden="false" customHeight="false" outlineLevel="0" collapsed="false">
      <c r="A681" s="1" t="n">
        <v>2009</v>
      </c>
      <c r="B681" s="7" t="s">
        <v>322</v>
      </c>
      <c r="C681" s="7" t="n">
        <v>2</v>
      </c>
      <c r="D681" s="7" t="s">
        <v>294</v>
      </c>
      <c r="E681" s="7" t="s">
        <v>294</v>
      </c>
      <c r="F681" s="7" t="s">
        <v>51</v>
      </c>
      <c r="G681" s="1" t="n">
        <v>2</v>
      </c>
      <c r="H681" s="1" t="n">
        <v>8</v>
      </c>
      <c r="I681" s="10" t="n">
        <v>39969</v>
      </c>
      <c r="J681" s="10" t="n">
        <v>39974</v>
      </c>
      <c r="K681" s="1" t="n">
        <v>5</v>
      </c>
      <c r="L681" s="1" t="n">
        <v>5</v>
      </c>
      <c r="M681" s="13" t="s">
        <v>195</v>
      </c>
      <c r="N681" s="13" t="s">
        <v>196</v>
      </c>
      <c r="O681" s="14" t="s">
        <v>197</v>
      </c>
      <c r="P681" s="2" t="str">
        <f aca="false">CONCATENATE(N681," ",O681)</f>
        <v>Pachygnatha listeri</v>
      </c>
      <c r="Q681" s="1" t="s">
        <v>30</v>
      </c>
      <c r="R681" s="1" t="s">
        <v>35</v>
      </c>
      <c r="S681" s="1" t="n">
        <v>0</v>
      </c>
      <c r="T681" s="1" t="n">
        <v>1</v>
      </c>
      <c r="U681" s="1" t="n">
        <v>0</v>
      </c>
      <c r="V681" s="1" t="n">
        <v>0</v>
      </c>
      <c r="W681" s="1" t="n">
        <v>0</v>
      </c>
      <c r="X681" s="1" t="n">
        <v>0</v>
      </c>
      <c r="Y681" s="3" t="n">
        <f aca="false">SUM(S681:T681)</f>
        <v>1</v>
      </c>
      <c r="Z681" s="3" t="n">
        <f aca="false">SUM(U681:W681)</f>
        <v>0</v>
      </c>
      <c r="AA681" s="3" t="n">
        <f aca="false">SUM(S681:X681)</f>
        <v>1</v>
      </c>
      <c r="AB681" s="11" t="n">
        <f aca="false">(AA681/(K681*L681)*25)*4</f>
        <v>4</v>
      </c>
    </row>
    <row r="682" customFormat="false" ht="14.25" hidden="false" customHeight="false" outlineLevel="0" collapsed="false">
      <c r="A682" s="1" t="n">
        <v>2009</v>
      </c>
      <c r="B682" s="7" t="s">
        <v>322</v>
      </c>
      <c r="C682" s="7" t="n">
        <v>2</v>
      </c>
      <c r="D682" s="7" t="s">
        <v>294</v>
      </c>
      <c r="E682" s="7" t="s">
        <v>294</v>
      </c>
      <c r="F682" s="7" t="s">
        <v>51</v>
      </c>
      <c r="G682" s="1" t="n">
        <v>2</v>
      </c>
      <c r="H682" s="1" t="n">
        <v>8</v>
      </c>
      <c r="I682" s="10" t="n">
        <v>39969</v>
      </c>
      <c r="J682" s="10" t="n">
        <v>39974</v>
      </c>
      <c r="K682" s="1" t="n">
        <v>5</v>
      </c>
      <c r="L682" s="1" t="n">
        <v>5</v>
      </c>
      <c r="M682" s="3" t="s">
        <v>135</v>
      </c>
      <c r="N682" s="3" t="s">
        <v>136</v>
      </c>
      <c r="O682" s="3" t="s">
        <v>137</v>
      </c>
      <c r="P682" s="2" t="str">
        <f aca="false">CONCATENATE(N682," ",O682)</f>
        <v>Thanatus sabulosus</v>
      </c>
      <c r="Q682" s="1" t="s">
        <v>30</v>
      </c>
      <c r="R682" s="1" t="s">
        <v>31</v>
      </c>
      <c r="S682" s="1" t="n">
        <v>1</v>
      </c>
      <c r="T682" s="1" t="n">
        <v>0</v>
      </c>
      <c r="U682" s="1" t="n">
        <v>0</v>
      </c>
      <c r="V682" s="1" t="n">
        <v>0</v>
      </c>
      <c r="W682" s="1" t="n">
        <v>0</v>
      </c>
      <c r="X682" s="1" t="n">
        <v>0</v>
      </c>
      <c r="Y682" s="3" t="n">
        <f aca="false">SUM(S682:T682)</f>
        <v>1</v>
      </c>
      <c r="Z682" s="3" t="n">
        <f aca="false">SUM(U682:W682)</f>
        <v>0</v>
      </c>
      <c r="AA682" s="3" t="n">
        <f aca="false">SUM(S682:X682)</f>
        <v>1</v>
      </c>
      <c r="AB682" s="11" t="n">
        <f aca="false">(AA682/(K682*L682)*25)*4</f>
        <v>4</v>
      </c>
    </row>
    <row r="683" customFormat="false" ht="14.25" hidden="false" customHeight="false" outlineLevel="0" collapsed="false">
      <c r="A683" s="1" t="n">
        <v>2009</v>
      </c>
      <c r="B683" s="7" t="s">
        <v>322</v>
      </c>
      <c r="C683" s="7" t="n">
        <v>2</v>
      </c>
      <c r="D683" s="7" t="s">
        <v>294</v>
      </c>
      <c r="E683" s="7" t="s">
        <v>294</v>
      </c>
      <c r="F683" s="7" t="s">
        <v>51</v>
      </c>
      <c r="G683" s="1" t="n">
        <v>2</v>
      </c>
      <c r="H683" s="1" t="n">
        <v>8</v>
      </c>
      <c r="I683" s="10" t="n">
        <v>39969</v>
      </c>
      <c r="J683" s="10" t="n">
        <v>39974</v>
      </c>
      <c r="K683" s="1" t="n">
        <v>5</v>
      </c>
      <c r="L683" s="1" t="n">
        <v>5</v>
      </c>
      <c r="M683" s="3" t="s">
        <v>32</v>
      </c>
      <c r="N683" s="3" t="s">
        <v>90</v>
      </c>
      <c r="O683" s="3" t="s">
        <v>91</v>
      </c>
      <c r="P683" s="2" t="str">
        <f aca="false">CONCATENATE(N683," ",O683)</f>
        <v>Tapinocyba insecta</v>
      </c>
      <c r="Q683" s="1" t="s">
        <v>30</v>
      </c>
      <c r="R683" s="1" t="s">
        <v>31</v>
      </c>
      <c r="S683" s="1" t="n">
        <v>1</v>
      </c>
      <c r="T683" s="1" t="n">
        <v>0</v>
      </c>
      <c r="U683" s="1" t="n">
        <v>0</v>
      </c>
      <c r="V683" s="1" t="n">
        <v>0</v>
      </c>
      <c r="W683" s="1" t="n">
        <v>0</v>
      </c>
      <c r="X683" s="1" t="n">
        <v>0</v>
      </c>
      <c r="Y683" s="3" t="n">
        <f aca="false">SUM(S683:T683)</f>
        <v>1</v>
      </c>
      <c r="Z683" s="3" t="n">
        <f aca="false">SUM(U683:W683)</f>
        <v>0</v>
      </c>
      <c r="AA683" s="3" t="n">
        <f aca="false">SUM(S683:X683)</f>
        <v>1</v>
      </c>
      <c r="AB683" s="11" t="n">
        <f aca="false">(AA683/(K683*L683)*25)*4</f>
        <v>4</v>
      </c>
    </row>
    <row r="684" customFormat="false" ht="14.25" hidden="false" customHeight="false" outlineLevel="0" collapsed="false">
      <c r="A684" s="1" t="n">
        <v>2009</v>
      </c>
      <c r="B684" s="7" t="s">
        <v>322</v>
      </c>
      <c r="C684" s="7" t="n">
        <v>2</v>
      </c>
      <c r="D684" s="7" t="s">
        <v>294</v>
      </c>
      <c r="E684" s="7" t="s">
        <v>294</v>
      </c>
      <c r="F684" s="7" t="s">
        <v>51</v>
      </c>
      <c r="G684" s="1" t="n">
        <v>2</v>
      </c>
      <c r="H684" s="1" t="n">
        <v>8</v>
      </c>
      <c r="I684" s="10" t="n">
        <v>39969</v>
      </c>
      <c r="J684" s="10" t="n">
        <v>39974</v>
      </c>
      <c r="K684" s="1" t="n">
        <v>5</v>
      </c>
      <c r="L684" s="1" t="n">
        <v>5</v>
      </c>
      <c r="M684" s="3" t="s">
        <v>32</v>
      </c>
      <c r="N684" s="3" t="s">
        <v>55</v>
      </c>
      <c r="O684" s="3" t="s">
        <v>194</v>
      </c>
      <c r="P684" s="2" t="str">
        <f aca="false">CONCATENATE(N684," ",O684)</f>
        <v>Maro pansibiricus</v>
      </c>
      <c r="Q684" s="1" t="s">
        <v>30</v>
      </c>
      <c r="R684" s="1" t="s">
        <v>31</v>
      </c>
      <c r="S684" s="1" t="n">
        <v>1</v>
      </c>
      <c r="T684" s="1" t="n">
        <v>0</v>
      </c>
      <c r="U684" s="1" t="n">
        <v>0</v>
      </c>
      <c r="V684" s="1" t="n">
        <v>0</v>
      </c>
      <c r="W684" s="1" t="n">
        <v>0</v>
      </c>
      <c r="X684" s="1" t="n">
        <v>0</v>
      </c>
      <c r="Y684" s="3" t="n">
        <f aca="false">SUM(S684:T684)</f>
        <v>1</v>
      </c>
      <c r="Z684" s="3" t="n">
        <f aca="false">SUM(U684:W684)</f>
        <v>0</v>
      </c>
      <c r="AA684" s="3" t="n">
        <f aca="false">SUM(S684:X684)</f>
        <v>1</v>
      </c>
      <c r="AB684" s="11" t="n">
        <f aca="false">(AA684/(K684*L684)*25)*4</f>
        <v>4</v>
      </c>
    </row>
    <row r="685" customFormat="false" ht="14.25" hidden="false" customHeight="false" outlineLevel="0" collapsed="false">
      <c r="A685" s="1" t="n">
        <v>2009</v>
      </c>
      <c r="B685" s="7" t="s">
        <v>322</v>
      </c>
      <c r="C685" s="7" t="n">
        <v>2</v>
      </c>
      <c r="D685" s="7" t="s">
        <v>294</v>
      </c>
      <c r="E685" s="7" t="s">
        <v>294</v>
      </c>
      <c r="F685" s="7" t="s">
        <v>51</v>
      </c>
      <c r="G685" s="1" t="n">
        <v>2</v>
      </c>
      <c r="H685" s="1" t="n">
        <v>9</v>
      </c>
      <c r="I685" s="10" t="n">
        <v>39969</v>
      </c>
      <c r="J685" s="10" t="n">
        <v>39974</v>
      </c>
      <c r="K685" s="1" t="n">
        <v>5</v>
      </c>
      <c r="L685" s="1" t="n">
        <v>5</v>
      </c>
      <c r="M685" s="3" t="s">
        <v>48</v>
      </c>
      <c r="N685" s="3" t="s">
        <v>49</v>
      </c>
      <c r="O685" s="3" t="s">
        <v>104</v>
      </c>
      <c r="P685" s="2" t="str">
        <f aca="false">CONCATENATE(N685," ",O685)</f>
        <v>Alopecosa taeniata</v>
      </c>
      <c r="Q685" s="1" t="s">
        <v>30</v>
      </c>
      <c r="R685" s="1" t="s">
        <v>31</v>
      </c>
      <c r="S685" s="1" t="n">
        <v>2</v>
      </c>
      <c r="T685" s="1" t="n">
        <v>0</v>
      </c>
      <c r="U685" s="1" t="n">
        <v>0</v>
      </c>
      <c r="V685" s="1" t="n">
        <v>0</v>
      </c>
      <c r="W685" s="1" t="n">
        <v>0</v>
      </c>
      <c r="X685" s="1" t="n">
        <v>0</v>
      </c>
      <c r="Y685" s="3" t="n">
        <f aca="false">SUM(S685:T685)</f>
        <v>2</v>
      </c>
      <c r="Z685" s="3" t="n">
        <f aca="false">SUM(U685:W685)</f>
        <v>0</v>
      </c>
      <c r="AA685" s="3" t="n">
        <f aca="false">SUM(S685:X685)</f>
        <v>2</v>
      </c>
      <c r="AB685" s="11" t="n">
        <f aca="false">(AA685/(K685*L685)*25)*4</f>
        <v>8</v>
      </c>
    </row>
    <row r="686" customFormat="false" ht="14.25" hidden="false" customHeight="false" outlineLevel="0" collapsed="false">
      <c r="A686" s="1" t="n">
        <v>2009</v>
      </c>
      <c r="B686" s="7" t="s">
        <v>322</v>
      </c>
      <c r="C686" s="7" t="n">
        <v>2</v>
      </c>
      <c r="D686" s="7" t="s">
        <v>294</v>
      </c>
      <c r="E686" s="7" t="s">
        <v>294</v>
      </c>
      <c r="F686" s="7" t="s">
        <v>51</v>
      </c>
      <c r="G686" s="1" t="n">
        <v>2</v>
      </c>
      <c r="H686" s="1" t="n">
        <v>9</v>
      </c>
      <c r="I686" s="10" t="n">
        <v>39969</v>
      </c>
      <c r="J686" s="10" t="n">
        <v>39974</v>
      </c>
      <c r="K686" s="1" t="n">
        <v>5</v>
      </c>
      <c r="L686" s="1" t="n">
        <v>5</v>
      </c>
      <c r="M686" s="3" t="s">
        <v>48</v>
      </c>
      <c r="N686" s="3" t="s">
        <v>67</v>
      </c>
      <c r="O686" s="3" t="s">
        <v>127</v>
      </c>
      <c r="P686" s="2" t="str">
        <f aca="false">CONCATENATE(N686," ",O686)</f>
        <v>Pardosa lugubris</v>
      </c>
      <c r="Q686" s="1" t="s">
        <v>30</v>
      </c>
      <c r="R686" s="1" t="s">
        <v>31</v>
      </c>
      <c r="S686" s="1" t="n">
        <v>5</v>
      </c>
      <c r="T686" s="1" t="n">
        <v>0</v>
      </c>
      <c r="U686" s="1" t="n">
        <v>0</v>
      </c>
      <c r="V686" s="1" t="n">
        <v>0</v>
      </c>
      <c r="W686" s="1" t="n">
        <v>0</v>
      </c>
      <c r="X686" s="1" t="n">
        <v>0</v>
      </c>
      <c r="Y686" s="3" t="n">
        <f aca="false">SUM(S686:T686)</f>
        <v>5</v>
      </c>
      <c r="Z686" s="3" t="n">
        <f aca="false">SUM(U686:W686)</f>
        <v>0</v>
      </c>
      <c r="AA686" s="3" t="n">
        <f aca="false">SUM(S686:X686)</f>
        <v>5</v>
      </c>
      <c r="AB686" s="11" t="n">
        <f aca="false">(AA686/(K686*L686)*25)*4</f>
        <v>20</v>
      </c>
    </row>
    <row r="687" customFormat="false" ht="14.25" hidden="false" customHeight="false" outlineLevel="0" collapsed="false">
      <c r="A687" s="1" t="n">
        <v>2009</v>
      </c>
      <c r="B687" s="7" t="s">
        <v>322</v>
      </c>
      <c r="C687" s="7" t="n">
        <v>2</v>
      </c>
      <c r="D687" s="7" t="s">
        <v>294</v>
      </c>
      <c r="E687" s="7" t="s">
        <v>294</v>
      </c>
      <c r="F687" s="7" t="s">
        <v>51</v>
      </c>
      <c r="G687" s="1" t="n">
        <v>2</v>
      </c>
      <c r="H687" s="1" t="n">
        <v>9</v>
      </c>
      <c r="I687" s="10" t="n">
        <v>39969</v>
      </c>
      <c r="J687" s="10" t="n">
        <v>39974</v>
      </c>
      <c r="K687" s="1" t="n">
        <v>5</v>
      </c>
      <c r="L687" s="1" t="n">
        <v>5</v>
      </c>
      <c r="M687" s="3" t="s">
        <v>48</v>
      </c>
      <c r="N687" s="3" t="s">
        <v>67</v>
      </c>
      <c r="O687" s="3" t="s">
        <v>127</v>
      </c>
      <c r="P687" s="2" t="str">
        <f aca="false">CONCATENATE(N687," ",O687)</f>
        <v>Pardosa lugubris</v>
      </c>
      <c r="Q687" s="1" t="s">
        <v>30</v>
      </c>
      <c r="R687" s="1" t="s">
        <v>35</v>
      </c>
      <c r="S687" s="1" t="n">
        <v>0</v>
      </c>
      <c r="T687" s="1" t="n">
        <v>1</v>
      </c>
      <c r="U687" s="1" t="n">
        <v>0</v>
      </c>
      <c r="V687" s="1" t="n">
        <v>0</v>
      </c>
      <c r="W687" s="1" t="n">
        <v>0</v>
      </c>
      <c r="X687" s="1" t="n">
        <v>0</v>
      </c>
      <c r="Y687" s="3" t="n">
        <f aca="false">SUM(S687:T687)</f>
        <v>1</v>
      </c>
      <c r="Z687" s="3" t="n">
        <f aca="false">SUM(U687:W687)</f>
        <v>0</v>
      </c>
      <c r="AA687" s="3" t="n">
        <f aca="false">SUM(S687:X687)</f>
        <v>1</v>
      </c>
      <c r="AB687" s="11" t="n">
        <f aca="false">(AA687/(K687*L687)*25)*4</f>
        <v>4</v>
      </c>
    </row>
    <row r="688" customFormat="false" ht="14.25" hidden="false" customHeight="false" outlineLevel="0" collapsed="false">
      <c r="A688" s="1" t="n">
        <v>2009</v>
      </c>
      <c r="B688" s="7" t="s">
        <v>322</v>
      </c>
      <c r="C688" s="7" t="n">
        <v>2</v>
      </c>
      <c r="D688" s="7" t="s">
        <v>294</v>
      </c>
      <c r="E688" s="7" t="s">
        <v>294</v>
      </c>
      <c r="F688" s="7" t="s">
        <v>51</v>
      </c>
      <c r="G688" s="1" t="n">
        <v>2</v>
      </c>
      <c r="H688" s="1" t="n">
        <v>9</v>
      </c>
      <c r="I688" s="10" t="n">
        <v>39969</v>
      </c>
      <c r="J688" s="10" t="n">
        <v>39974</v>
      </c>
      <c r="K688" s="1" t="n">
        <v>5</v>
      </c>
      <c r="L688" s="1" t="n">
        <v>5</v>
      </c>
      <c r="M688" s="3" t="s">
        <v>135</v>
      </c>
      <c r="N688" s="3" t="s">
        <v>136</v>
      </c>
      <c r="O688" s="3" t="s">
        <v>137</v>
      </c>
      <c r="P688" s="2" t="str">
        <f aca="false">CONCATENATE(N688," ",O688)</f>
        <v>Thanatus sabulosus</v>
      </c>
      <c r="Q688" s="1" t="s">
        <v>30</v>
      </c>
      <c r="R688" s="1" t="s">
        <v>31</v>
      </c>
      <c r="S688" s="1" t="n">
        <v>3</v>
      </c>
      <c r="T688" s="1" t="n">
        <v>0</v>
      </c>
      <c r="U688" s="1" t="n">
        <v>0</v>
      </c>
      <c r="V688" s="1" t="n">
        <v>0</v>
      </c>
      <c r="W688" s="1" t="n">
        <v>0</v>
      </c>
      <c r="X688" s="1" t="n">
        <v>0</v>
      </c>
      <c r="Y688" s="3" t="n">
        <f aca="false">SUM(S688:T688)</f>
        <v>3</v>
      </c>
      <c r="Z688" s="3" t="n">
        <f aca="false">SUM(U688:W688)</f>
        <v>0</v>
      </c>
      <c r="AA688" s="3" t="n">
        <f aca="false">SUM(S688:X688)</f>
        <v>3</v>
      </c>
      <c r="AB688" s="11" t="n">
        <f aca="false">(AA688/(K688*L688)*25)*4</f>
        <v>12</v>
      </c>
    </row>
    <row r="689" customFormat="false" ht="14.25" hidden="false" customHeight="false" outlineLevel="0" collapsed="false">
      <c r="A689" s="1" t="n">
        <v>2009</v>
      </c>
      <c r="B689" s="7" t="s">
        <v>322</v>
      </c>
      <c r="C689" s="7" t="n">
        <v>2</v>
      </c>
      <c r="D689" s="7" t="s">
        <v>294</v>
      </c>
      <c r="E689" s="7" t="s">
        <v>294</v>
      </c>
      <c r="F689" s="7" t="s">
        <v>51</v>
      </c>
      <c r="G689" s="1" t="n">
        <v>2</v>
      </c>
      <c r="H689" s="1" t="n">
        <v>9</v>
      </c>
      <c r="I689" s="10" t="n">
        <v>39969</v>
      </c>
      <c r="J689" s="10" t="n">
        <v>39974</v>
      </c>
      <c r="K689" s="1" t="n">
        <v>5</v>
      </c>
      <c r="L689" s="1" t="n">
        <v>5</v>
      </c>
      <c r="M689" s="3" t="s">
        <v>36</v>
      </c>
      <c r="N689" s="3" t="s">
        <v>37</v>
      </c>
      <c r="O689" s="8" t="s">
        <v>75</v>
      </c>
      <c r="P689" s="2" t="str">
        <f aca="false">CONCATENATE(N689," ",O689)</f>
        <v>Ozyptila praticola</v>
      </c>
      <c r="Q689" s="1" t="s">
        <v>30</v>
      </c>
      <c r="R689" s="1" t="s">
        <v>31</v>
      </c>
      <c r="S689" s="1" t="n">
        <v>1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0</v>
      </c>
      <c r="Y689" s="3" t="n">
        <f aca="false">SUM(S689:T689)</f>
        <v>1</v>
      </c>
      <c r="Z689" s="3" t="n">
        <f aca="false">SUM(U689:W689)</f>
        <v>0</v>
      </c>
      <c r="AA689" s="3" t="n">
        <f aca="false">SUM(S689:X689)</f>
        <v>1</v>
      </c>
      <c r="AB689" s="11" t="n">
        <f aca="false">(AA689/(K689*L689)*25)*4</f>
        <v>4</v>
      </c>
    </row>
    <row r="690" customFormat="false" ht="14.25" hidden="false" customHeight="false" outlineLevel="0" collapsed="false">
      <c r="A690" s="1" t="n">
        <v>2009</v>
      </c>
      <c r="B690" s="7" t="s">
        <v>322</v>
      </c>
      <c r="C690" s="7" t="n">
        <v>2</v>
      </c>
      <c r="D690" s="7" t="s">
        <v>294</v>
      </c>
      <c r="E690" s="7" t="s">
        <v>294</v>
      </c>
      <c r="F690" s="7" t="s">
        <v>51</v>
      </c>
      <c r="G690" s="1" t="n">
        <v>2</v>
      </c>
      <c r="H690" s="1" t="n">
        <v>9</v>
      </c>
      <c r="I690" s="10" t="n">
        <v>39969</v>
      </c>
      <c r="J690" s="10" t="n">
        <v>39974</v>
      </c>
      <c r="K690" s="1" t="n">
        <v>5</v>
      </c>
      <c r="L690" s="1" t="n">
        <v>5</v>
      </c>
      <c r="M690" s="3" t="s">
        <v>36</v>
      </c>
      <c r="N690" s="3" t="s">
        <v>131</v>
      </c>
      <c r="O690" s="3" t="s">
        <v>133</v>
      </c>
      <c r="P690" s="2" t="str">
        <f aca="false">CONCATENATE(N690," ",O690)</f>
        <v>Xysticus luctuosus</v>
      </c>
      <c r="Q690" s="1" t="s">
        <v>30</v>
      </c>
      <c r="R690" s="1" t="s">
        <v>31</v>
      </c>
      <c r="S690" s="1" t="n">
        <v>1</v>
      </c>
      <c r="T690" s="1" t="n">
        <v>0</v>
      </c>
      <c r="U690" s="1" t="n">
        <v>0</v>
      </c>
      <c r="V690" s="1" t="n">
        <v>0</v>
      </c>
      <c r="W690" s="1" t="n">
        <v>0</v>
      </c>
      <c r="X690" s="1" t="n">
        <v>0</v>
      </c>
      <c r="Y690" s="3" t="n">
        <f aca="false">SUM(S690:T690)</f>
        <v>1</v>
      </c>
      <c r="Z690" s="3" t="n">
        <f aca="false">SUM(U690:W690)</f>
        <v>0</v>
      </c>
      <c r="AA690" s="3" t="n">
        <f aca="false">SUM(S690:X690)</f>
        <v>1</v>
      </c>
      <c r="AB690" s="11" t="n">
        <f aca="false">(AA690/(K690*L690)*25)*4</f>
        <v>4</v>
      </c>
    </row>
    <row r="691" customFormat="false" ht="14.25" hidden="false" customHeight="false" outlineLevel="0" collapsed="false">
      <c r="A691" s="1" t="n">
        <v>2009</v>
      </c>
      <c r="B691" s="7" t="s">
        <v>322</v>
      </c>
      <c r="C691" s="7" t="n">
        <v>2</v>
      </c>
      <c r="D691" s="7" t="s">
        <v>294</v>
      </c>
      <c r="E691" s="7" t="s">
        <v>294</v>
      </c>
      <c r="F691" s="7" t="s">
        <v>51</v>
      </c>
      <c r="G691" s="1" t="n">
        <v>2</v>
      </c>
      <c r="H691" s="1" t="n">
        <v>9</v>
      </c>
      <c r="I691" s="10" t="n">
        <v>39969</v>
      </c>
      <c r="J691" s="10" t="n">
        <v>39974</v>
      </c>
      <c r="K691" s="1" t="n">
        <v>5</v>
      </c>
      <c r="L691" s="1" t="n">
        <v>5</v>
      </c>
      <c r="M691" s="3" t="s">
        <v>72</v>
      </c>
      <c r="N691" s="3" t="s">
        <v>86</v>
      </c>
      <c r="O691" s="8" t="s">
        <v>87</v>
      </c>
      <c r="P691" s="2" t="str">
        <f aca="false">CONCATENATE(N691," ",O691)</f>
        <v>Haplodrassus soerenseni</v>
      </c>
      <c r="Q691" s="1" t="s">
        <v>30</v>
      </c>
      <c r="R691" s="1" t="s">
        <v>31</v>
      </c>
      <c r="S691" s="1" t="n">
        <v>1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0</v>
      </c>
      <c r="Y691" s="3" t="n">
        <f aca="false">SUM(S691:T691)</f>
        <v>1</v>
      </c>
      <c r="Z691" s="3" t="n">
        <f aca="false">SUM(U691:W691)</f>
        <v>0</v>
      </c>
      <c r="AA691" s="3" t="n">
        <f aca="false">SUM(S691:X691)</f>
        <v>1</v>
      </c>
      <c r="AB691" s="11" t="n">
        <f aca="false">(AA691/(K691*L691)*25)*4</f>
        <v>4</v>
      </c>
    </row>
    <row r="692" customFormat="false" ht="14.25" hidden="false" customHeight="false" outlineLevel="0" collapsed="false">
      <c r="A692" s="1" t="n">
        <v>2009</v>
      </c>
      <c r="B692" s="7" t="s">
        <v>322</v>
      </c>
      <c r="C692" s="7" t="n">
        <v>2</v>
      </c>
      <c r="D692" s="7" t="s">
        <v>294</v>
      </c>
      <c r="E692" s="7" t="s">
        <v>294</v>
      </c>
      <c r="F692" s="7" t="s">
        <v>51</v>
      </c>
      <c r="G692" s="1" t="n">
        <v>2</v>
      </c>
      <c r="H692" s="1" t="n">
        <v>9</v>
      </c>
      <c r="I692" s="10" t="n">
        <v>39969</v>
      </c>
      <c r="J692" s="10" t="n">
        <v>39974</v>
      </c>
      <c r="K692" s="1" t="n">
        <v>5</v>
      </c>
      <c r="L692" s="1" t="n">
        <v>5</v>
      </c>
      <c r="M692" s="3" t="s">
        <v>72</v>
      </c>
      <c r="N692" s="3" t="s">
        <v>73</v>
      </c>
      <c r="O692" s="3" t="s">
        <v>74</v>
      </c>
      <c r="P692" s="2" t="str">
        <f aca="false">CONCATENATE(N692," ",O692)</f>
        <v>Zelotes subterraneus</v>
      </c>
      <c r="Q692" s="1" t="s">
        <v>30</v>
      </c>
      <c r="R692" s="1" t="s">
        <v>31</v>
      </c>
      <c r="S692" s="1" t="n">
        <v>1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0</v>
      </c>
      <c r="Y692" s="3" t="n">
        <f aca="false">SUM(S692:T692)</f>
        <v>1</v>
      </c>
      <c r="Z692" s="3" t="n">
        <f aca="false">SUM(U692:W692)</f>
        <v>0</v>
      </c>
      <c r="AA692" s="3" t="n">
        <f aca="false">SUM(S692:X692)</f>
        <v>1</v>
      </c>
      <c r="AB692" s="11" t="n">
        <f aca="false">(AA692/(K692*L692)*25)*4</f>
        <v>4</v>
      </c>
    </row>
    <row r="693" customFormat="false" ht="14.25" hidden="false" customHeight="false" outlineLevel="0" collapsed="false">
      <c r="A693" s="1" t="n">
        <v>2009</v>
      </c>
      <c r="B693" s="7" t="s">
        <v>322</v>
      </c>
      <c r="C693" s="7" t="n">
        <v>2</v>
      </c>
      <c r="D693" s="7" t="s">
        <v>294</v>
      </c>
      <c r="E693" s="7" t="s">
        <v>294</v>
      </c>
      <c r="F693" s="7" t="s">
        <v>51</v>
      </c>
      <c r="G693" s="1" t="n">
        <v>2</v>
      </c>
      <c r="H693" s="1" t="n">
        <v>9</v>
      </c>
      <c r="I693" s="10" t="n">
        <v>39969</v>
      </c>
      <c r="J693" s="10" t="n">
        <v>39974</v>
      </c>
      <c r="K693" s="1" t="n">
        <v>5</v>
      </c>
      <c r="L693" s="1" t="n">
        <v>5</v>
      </c>
      <c r="M693" s="3" t="s">
        <v>32</v>
      </c>
      <c r="N693" s="3" t="s">
        <v>55</v>
      </c>
      <c r="O693" s="3" t="s">
        <v>194</v>
      </c>
      <c r="P693" s="2" t="str">
        <f aca="false">CONCATENATE(N693," ",O693)</f>
        <v>Maro pansibiricus</v>
      </c>
      <c r="Q693" s="1" t="s">
        <v>30</v>
      </c>
      <c r="R693" s="1" t="s">
        <v>31</v>
      </c>
      <c r="S693" s="1" t="n">
        <v>1</v>
      </c>
      <c r="T693" s="1" t="n">
        <v>0</v>
      </c>
      <c r="U693" s="1" t="n">
        <v>0</v>
      </c>
      <c r="V693" s="1" t="n">
        <v>0</v>
      </c>
      <c r="W693" s="1" t="n">
        <v>0</v>
      </c>
      <c r="X693" s="1" t="n">
        <v>0</v>
      </c>
      <c r="Y693" s="3" t="n">
        <f aca="false">SUM(S693:T693)</f>
        <v>1</v>
      </c>
      <c r="Z693" s="3" t="n">
        <f aca="false">SUM(U693:W693)</f>
        <v>0</v>
      </c>
      <c r="AA693" s="3" t="n">
        <f aca="false">SUM(S693:X693)</f>
        <v>1</v>
      </c>
      <c r="AB693" s="11" t="n">
        <f aca="false">(AA693/(K693*L693)*25)*4</f>
        <v>4</v>
      </c>
    </row>
    <row r="694" customFormat="false" ht="14.25" hidden="false" customHeight="false" outlineLevel="0" collapsed="false">
      <c r="A694" s="1" t="n">
        <v>2009</v>
      </c>
      <c r="B694" s="7" t="s">
        <v>322</v>
      </c>
      <c r="C694" s="7" t="n">
        <v>2</v>
      </c>
      <c r="D694" s="7" t="s">
        <v>294</v>
      </c>
      <c r="E694" s="7" t="s">
        <v>294</v>
      </c>
      <c r="F694" s="7" t="s">
        <v>51</v>
      </c>
      <c r="G694" s="1" t="n">
        <v>2</v>
      </c>
      <c r="H694" s="1" t="n">
        <v>9</v>
      </c>
      <c r="I694" s="10" t="n">
        <v>39969</v>
      </c>
      <c r="J694" s="10" t="n">
        <v>39974</v>
      </c>
      <c r="K694" s="1" t="n">
        <v>5</v>
      </c>
      <c r="L694" s="1" t="n">
        <v>5</v>
      </c>
      <c r="M694" s="13" t="s">
        <v>32</v>
      </c>
      <c r="N694" s="13" t="s">
        <v>202</v>
      </c>
      <c r="O694" s="14" t="s">
        <v>203</v>
      </c>
      <c r="P694" s="2" t="str">
        <f aca="false">CONCATENATE(N694," ",O694)</f>
        <v>Hypselistes jacksoni</v>
      </c>
      <c r="Q694" s="1" t="s">
        <v>30</v>
      </c>
      <c r="R694" s="1" t="s">
        <v>35</v>
      </c>
      <c r="S694" s="1" t="n">
        <v>0</v>
      </c>
      <c r="T694" s="1" t="n">
        <v>1</v>
      </c>
      <c r="U694" s="1" t="n">
        <v>0</v>
      </c>
      <c r="V694" s="1" t="n">
        <v>0</v>
      </c>
      <c r="W694" s="1" t="n">
        <v>0</v>
      </c>
      <c r="X694" s="1" t="n">
        <v>0</v>
      </c>
      <c r="Y694" s="3" t="n">
        <f aca="false">SUM(S694:T694)</f>
        <v>1</v>
      </c>
      <c r="Z694" s="3" t="n">
        <f aca="false">SUM(U694:W694)</f>
        <v>0</v>
      </c>
      <c r="AA694" s="3" t="n">
        <f aca="false">SUM(S694:X694)</f>
        <v>1</v>
      </c>
      <c r="AB694" s="11" t="n">
        <f aca="false">(AA694/(K694*L694)*25)*4</f>
        <v>4</v>
      </c>
    </row>
    <row r="695" customFormat="false" ht="14.25" hidden="false" customHeight="false" outlineLevel="0" collapsed="false">
      <c r="A695" s="1" t="n">
        <v>2009</v>
      </c>
      <c r="B695" s="7" t="s">
        <v>322</v>
      </c>
      <c r="C695" s="7" t="n">
        <v>2</v>
      </c>
      <c r="D695" s="7" t="s">
        <v>294</v>
      </c>
      <c r="E695" s="7" t="s">
        <v>294</v>
      </c>
      <c r="F695" s="7" t="s">
        <v>51</v>
      </c>
      <c r="G695" s="1" t="n">
        <v>2</v>
      </c>
      <c r="H695" s="1" t="n">
        <v>10</v>
      </c>
      <c r="I695" s="10" t="n">
        <v>39969</v>
      </c>
      <c r="J695" s="10" t="n">
        <v>39974</v>
      </c>
      <c r="K695" s="1" t="n">
        <v>5</v>
      </c>
      <c r="L695" s="1" t="n">
        <v>5</v>
      </c>
      <c r="M695" s="3" t="s">
        <v>48</v>
      </c>
      <c r="N695" s="3" t="s">
        <v>49</v>
      </c>
      <c r="O695" s="3" t="s">
        <v>104</v>
      </c>
      <c r="P695" s="2" t="str">
        <f aca="false">CONCATENATE(N695," ",O695)</f>
        <v>Alopecosa taeniata</v>
      </c>
      <c r="Q695" s="1" t="s">
        <v>30</v>
      </c>
      <c r="R695" s="1" t="s">
        <v>31</v>
      </c>
      <c r="S695" s="1" t="n">
        <v>1</v>
      </c>
      <c r="T695" s="1" t="n">
        <v>0</v>
      </c>
      <c r="U695" s="1" t="n">
        <v>0</v>
      </c>
      <c r="V695" s="1" t="n">
        <v>0</v>
      </c>
      <c r="W695" s="1" t="n">
        <v>0</v>
      </c>
      <c r="X695" s="1" t="n">
        <v>0</v>
      </c>
      <c r="Y695" s="3" t="n">
        <f aca="false">SUM(S695:T695)</f>
        <v>1</v>
      </c>
      <c r="Z695" s="3" t="n">
        <f aca="false">SUM(U695:W695)</f>
        <v>0</v>
      </c>
      <c r="AA695" s="3" t="n">
        <f aca="false">SUM(S695:X695)</f>
        <v>1</v>
      </c>
      <c r="AB695" s="11" t="n">
        <f aca="false">(AA695/(K695*L695)*25)*4</f>
        <v>4</v>
      </c>
    </row>
    <row r="696" customFormat="false" ht="14.25" hidden="false" customHeight="false" outlineLevel="0" collapsed="false">
      <c r="A696" s="1" t="n">
        <v>2009</v>
      </c>
      <c r="B696" s="7" t="s">
        <v>322</v>
      </c>
      <c r="C696" s="7" t="n">
        <v>2</v>
      </c>
      <c r="D696" s="7" t="s">
        <v>294</v>
      </c>
      <c r="E696" s="7" t="s">
        <v>294</v>
      </c>
      <c r="F696" s="7" t="s">
        <v>51</v>
      </c>
      <c r="G696" s="1" t="n">
        <v>2</v>
      </c>
      <c r="H696" s="1" t="n">
        <v>10</v>
      </c>
      <c r="I696" s="10" t="n">
        <v>39969</v>
      </c>
      <c r="J696" s="10" t="n">
        <v>39974</v>
      </c>
      <c r="K696" s="1" t="n">
        <v>5</v>
      </c>
      <c r="L696" s="1" t="n">
        <v>5</v>
      </c>
      <c r="M696" s="3" t="s">
        <v>48</v>
      </c>
      <c r="N696" s="3" t="s">
        <v>49</v>
      </c>
      <c r="O696" s="3" t="s">
        <v>130</v>
      </c>
      <c r="P696" s="2" t="str">
        <f aca="false">CONCATENATE(N696," ",O696)</f>
        <v>Alopecosa aculeata</v>
      </c>
      <c r="Q696" s="1" t="s">
        <v>30</v>
      </c>
      <c r="R696" s="1" t="s">
        <v>31</v>
      </c>
      <c r="S696" s="1" t="n">
        <v>1</v>
      </c>
      <c r="T696" s="1" t="n">
        <v>0</v>
      </c>
      <c r="U696" s="1" t="n">
        <v>0</v>
      </c>
      <c r="V696" s="1" t="n">
        <v>0</v>
      </c>
      <c r="W696" s="1" t="n">
        <v>0</v>
      </c>
      <c r="X696" s="1" t="n">
        <v>0</v>
      </c>
      <c r="Y696" s="3" t="n">
        <f aca="false">SUM(S696:T696)</f>
        <v>1</v>
      </c>
      <c r="Z696" s="3" t="n">
        <f aca="false">SUM(U696:W696)</f>
        <v>0</v>
      </c>
      <c r="AA696" s="3" t="n">
        <f aca="false">SUM(S696:X696)</f>
        <v>1</v>
      </c>
      <c r="AB696" s="11" t="n">
        <f aca="false">(AA696/(K696*L696)*25)*4</f>
        <v>4</v>
      </c>
    </row>
    <row r="697" customFormat="false" ht="14.25" hidden="false" customHeight="false" outlineLevel="0" collapsed="false">
      <c r="A697" s="1" t="n">
        <v>2009</v>
      </c>
      <c r="B697" s="7" t="s">
        <v>322</v>
      </c>
      <c r="C697" s="7" t="n">
        <v>2</v>
      </c>
      <c r="D697" s="7" t="s">
        <v>294</v>
      </c>
      <c r="E697" s="7" t="s">
        <v>294</v>
      </c>
      <c r="F697" s="7" t="s">
        <v>51</v>
      </c>
      <c r="G697" s="1" t="n">
        <v>2</v>
      </c>
      <c r="H697" s="1" t="n">
        <v>10</v>
      </c>
      <c r="I697" s="10" t="n">
        <v>39969</v>
      </c>
      <c r="J697" s="10" t="n">
        <v>39974</v>
      </c>
      <c r="K697" s="1" t="n">
        <v>5</v>
      </c>
      <c r="L697" s="1" t="n">
        <v>5</v>
      </c>
      <c r="M697" s="3" t="s">
        <v>48</v>
      </c>
      <c r="N697" s="3" t="s">
        <v>67</v>
      </c>
      <c r="O697" s="3" t="s">
        <v>127</v>
      </c>
      <c r="P697" s="2" t="str">
        <f aca="false">CONCATENATE(N697," ",O697)</f>
        <v>Pardosa lugubris</v>
      </c>
      <c r="Q697" s="1" t="s">
        <v>30</v>
      </c>
      <c r="R697" s="1" t="s">
        <v>31</v>
      </c>
      <c r="S697" s="1" t="n">
        <v>4</v>
      </c>
      <c r="T697" s="1" t="n">
        <v>0</v>
      </c>
      <c r="U697" s="1" t="n">
        <v>0</v>
      </c>
      <c r="V697" s="1" t="n">
        <v>0</v>
      </c>
      <c r="W697" s="1" t="n">
        <v>0</v>
      </c>
      <c r="X697" s="1" t="n">
        <v>0</v>
      </c>
      <c r="Y697" s="3" t="n">
        <f aca="false">SUM(S697:T697)</f>
        <v>4</v>
      </c>
      <c r="Z697" s="3" t="n">
        <f aca="false">SUM(U697:W697)</f>
        <v>0</v>
      </c>
      <c r="AA697" s="3" t="n">
        <f aca="false">SUM(S697:X697)</f>
        <v>4</v>
      </c>
      <c r="AB697" s="11" t="n">
        <f aca="false">(AA697/(K697*L697)*25)*4</f>
        <v>16</v>
      </c>
    </row>
    <row r="698" customFormat="false" ht="14.25" hidden="false" customHeight="false" outlineLevel="0" collapsed="false">
      <c r="A698" s="1" t="n">
        <v>2009</v>
      </c>
      <c r="B698" s="7" t="s">
        <v>322</v>
      </c>
      <c r="C698" s="7" t="n">
        <v>2</v>
      </c>
      <c r="D698" s="7" t="s">
        <v>294</v>
      </c>
      <c r="E698" s="7" t="s">
        <v>294</v>
      </c>
      <c r="F698" s="7" t="s">
        <v>51</v>
      </c>
      <c r="G698" s="1" t="n">
        <v>2</v>
      </c>
      <c r="H698" s="1" t="n">
        <v>10</v>
      </c>
      <c r="I698" s="10" t="n">
        <v>39969</v>
      </c>
      <c r="J698" s="10" t="n">
        <v>39974</v>
      </c>
      <c r="K698" s="1" t="n">
        <v>5</v>
      </c>
      <c r="L698" s="1" t="n">
        <v>5</v>
      </c>
      <c r="M698" s="3" t="s">
        <v>48</v>
      </c>
      <c r="N698" s="3" t="s">
        <v>61</v>
      </c>
      <c r="O698" s="3" t="s">
        <v>82</v>
      </c>
      <c r="P698" s="2" t="str">
        <f aca="false">CONCATENATE(N698," ",O698)</f>
        <v>Trochosa terricola</v>
      </c>
      <c r="Q698" s="1" t="s">
        <v>30</v>
      </c>
      <c r="R698" s="1" t="s">
        <v>35</v>
      </c>
      <c r="S698" s="1" t="n">
        <v>0</v>
      </c>
      <c r="T698" s="1" t="n">
        <v>1</v>
      </c>
      <c r="U698" s="1" t="n">
        <v>0</v>
      </c>
      <c r="V698" s="1" t="n">
        <v>0</v>
      </c>
      <c r="W698" s="1" t="n">
        <v>0</v>
      </c>
      <c r="X698" s="1" t="n">
        <v>0</v>
      </c>
      <c r="Y698" s="3" t="n">
        <f aca="false">SUM(S698:T698)</f>
        <v>1</v>
      </c>
      <c r="Z698" s="3" t="n">
        <f aca="false">SUM(U698:W698)</f>
        <v>0</v>
      </c>
      <c r="AA698" s="3" t="n">
        <f aca="false">SUM(S698:X698)</f>
        <v>1</v>
      </c>
      <c r="AB698" s="11" t="n">
        <f aca="false">(AA698/(K698*L698)*25)*4</f>
        <v>4</v>
      </c>
    </row>
    <row r="699" customFormat="false" ht="14.25" hidden="false" customHeight="false" outlineLevel="0" collapsed="false">
      <c r="A699" s="1" t="n">
        <v>2009</v>
      </c>
      <c r="B699" s="7" t="s">
        <v>322</v>
      </c>
      <c r="C699" s="7" t="n">
        <v>2</v>
      </c>
      <c r="D699" s="7" t="s">
        <v>294</v>
      </c>
      <c r="E699" s="7" t="s">
        <v>294</v>
      </c>
      <c r="F699" s="7" t="s">
        <v>51</v>
      </c>
      <c r="G699" s="1" t="n">
        <v>2</v>
      </c>
      <c r="H699" s="1" t="n">
        <v>10</v>
      </c>
      <c r="I699" s="10" t="n">
        <v>39969</v>
      </c>
      <c r="J699" s="10" t="n">
        <v>39974</v>
      </c>
      <c r="K699" s="1" t="n">
        <v>5</v>
      </c>
      <c r="L699" s="1" t="n">
        <v>5</v>
      </c>
      <c r="M699" s="3" t="s">
        <v>72</v>
      </c>
      <c r="N699" s="3" t="s">
        <v>86</v>
      </c>
      <c r="O699" s="8" t="s">
        <v>87</v>
      </c>
      <c r="P699" s="2" t="str">
        <f aca="false">CONCATENATE(N699," ",O699)</f>
        <v>Haplodrassus soerenseni</v>
      </c>
      <c r="Q699" s="1" t="s">
        <v>30</v>
      </c>
      <c r="R699" s="1" t="s">
        <v>31</v>
      </c>
      <c r="S699" s="1" t="n">
        <v>1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0</v>
      </c>
      <c r="Y699" s="3" t="n">
        <f aca="false">SUM(S699:T699)</f>
        <v>1</v>
      </c>
      <c r="Z699" s="3" t="n">
        <f aca="false">SUM(U699:W699)</f>
        <v>0</v>
      </c>
      <c r="AA699" s="3" t="n">
        <f aca="false">SUM(S699:X699)</f>
        <v>1</v>
      </c>
      <c r="AB699" s="11" t="n">
        <f aca="false">(AA699/(K699*L699)*25)*4</f>
        <v>4</v>
      </c>
    </row>
    <row r="700" customFormat="false" ht="14.25" hidden="false" customHeight="false" outlineLevel="0" collapsed="false">
      <c r="A700" s="1" t="n">
        <v>2009</v>
      </c>
      <c r="B700" s="7" t="s">
        <v>322</v>
      </c>
      <c r="C700" s="7" t="n">
        <v>2</v>
      </c>
      <c r="D700" s="7" t="s">
        <v>294</v>
      </c>
      <c r="E700" s="7" t="s">
        <v>294</v>
      </c>
      <c r="F700" s="7" t="s">
        <v>51</v>
      </c>
      <c r="G700" s="1" t="n">
        <v>2</v>
      </c>
      <c r="H700" s="1" t="n">
        <v>10</v>
      </c>
      <c r="I700" s="10" t="n">
        <v>39969</v>
      </c>
      <c r="J700" s="10" t="n">
        <v>39974</v>
      </c>
      <c r="K700" s="1" t="n">
        <v>5</v>
      </c>
      <c r="L700" s="1" t="n">
        <v>5</v>
      </c>
      <c r="M700" s="3" t="s">
        <v>72</v>
      </c>
      <c r="N700" s="3" t="s">
        <v>86</v>
      </c>
      <c r="O700" s="8" t="s">
        <v>87</v>
      </c>
      <c r="P700" s="2" t="str">
        <f aca="false">CONCATENATE(N700," ",O700)</f>
        <v>Haplodrassus soerenseni</v>
      </c>
      <c r="Q700" s="1" t="s">
        <v>30</v>
      </c>
      <c r="R700" s="1" t="s">
        <v>35</v>
      </c>
      <c r="S700" s="1" t="n">
        <v>0</v>
      </c>
      <c r="T700" s="1" t="n">
        <v>1</v>
      </c>
      <c r="U700" s="1" t="n">
        <v>0</v>
      </c>
      <c r="V700" s="1" t="n">
        <v>0</v>
      </c>
      <c r="W700" s="1" t="n">
        <v>0</v>
      </c>
      <c r="X700" s="1" t="n">
        <v>0</v>
      </c>
      <c r="Y700" s="3" t="n">
        <f aca="false">SUM(S700:T700)</f>
        <v>1</v>
      </c>
      <c r="Z700" s="3" t="n">
        <f aca="false">SUM(U700:W700)</f>
        <v>0</v>
      </c>
      <c r="AA700" s="3" t="n">
        <f aca="false">SUM(S700:X700)</f>
        <v>1</v>
      </c>
      <c r="AB700" s="11" t="n">
        <f aca="false">(AA700/(K700*L700)*25)*4</f>
        <v>4</v>
      </c>
    </row>
    <row r="701" customFormat="false" ht="14.25" hidden="false" customHeight="false" outlineLevel="0" collapsed="false">
      <c r="A701" s="1" t="n">
        <v>2009</v>
      </c>
      <c r="B701" s="7" t="s">
        <v>322</v>
      </c>
      <c r="C701" s="7" t="n">
        <v>2</v>
      </c>
      <c r="D701" s="7" t="s">
        <v>294</v>
      </c>
      <c r="E701" s="7" t="s">
        <v>294</v>
      </c>
      <c r="F701" s="7" t="s">
        <v>51</v>
      </c>
      <c r="G701" s="1" t="n">
        <v>2</v>
      </c>
      <c r="H701" s="1" t="n">
        <v>10</v>
      </c>
      <c r="I701" s="10" t="n">
        <v>39969</v>
      </c>
      <c r="J701" s="10" t="n">
        <v>39974</v>
      </c>
      <c r="K701" s="1" t="n">
        <v>5</v>
      </c>
      <c r="L701" s="1" t="n">
        <v>5</v>
      </c>
      <c r="M701" s="3" t="s">
        <v>64</v>
      </c>
      <c r="N701" s="3" t="s">
        <v>65</v>
      </c>
      <c r="O701" s="3" t="s">
        <v>123</v>
      </c>
      <c r="P701" s="2" t="str">
        <f aca="false">CONCATENATE(N701," ",O701)</f>
        <v>Zora nemoralis</v>
      </c>
      <c r="Q701" s="1" t="s">
        <v>30</v>
      </c>
      <c r="R701" s="1" t="s">
        <v>31</v>
      </c>
      <c r="S701" s="1" t="n">
        <v>1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0</v>
      </c>
      <c r="Y701" s="3" t="n">
        <f aca="false">SUM(S701:T701)</f>
        <v>1</v>
      </c>
      <c r="Z701" s="3" t="n">
        <f aca="false">SUM(U701:W701)</f>
        <v>0</v>
      </c>
      <c r="AA701" s="3" t="n">
        <f aca="false">SUM(S701:X701)</f>
        <v>1</v>
      </c>
      <c r="AB701" s="11" t="n">
        <f aca="false">(AA701/(K701*L701)*25)*4</f>
        <v>4</v>
      </c>
    </row>
    <row r="702" customFormat="false" ht="14.25" hidden="false" customHeight="false" outlineLevel="0" collapsed="false">
      <c r="A702" s="1" t="n">
        <v>2009</v>
      </c>
      <c r="B702" s="7" t="s">
        <v>322</v>
      </c>
      <c r="C702" s="7" t="n">
        <v>2</v>
      </c>
      <c r="D702" s="7" t="s">
        <v>294</v>
      </c>
      <c r="E702" s="7" t="s">
        <v>294</v>
      </c>
      <c r="F702" s="7" t="s">
        <v>51</v>
      </c>
      <c r="G702" s="1" t="n">
        <v>2</v>
      </c>
      <c r="H702" s="1" t="n">
        <v>10</v>
      </c>
      <c r="I702" s="10" t="n">
        <v>39969</v>
      </c>
      <c r="J702" s="10" t="n">
        <v>39974</v>
      </c>
      <c r="K702" s="1" t="n">
        <v>5</v>
      </c>
      <c r="L702" s="1" t="n">
        <v>5</v>
      </c>
      <c r="M702" s="3" t="s">
        <v>32</v>
      </c>
      <c r="N702" s="3" t="s">
        <v>90</v>
      </c>
      <c r="O702" s="3" t="s">
        <v>91</v>
      </c>
      <c r="P702" s="2" t="str">
        <f aca="false">CONCATENATE(N702," ",O702)</f>
        <v>Tapinocyba insecta</v>
      </c>
      <c r="Q702" s="1" t="s">
        <v>30</v>
      </c>
      <c r="R702" s="1" t="s">
        <v>31</v>
      </c>
      <c r="S702" s="1" t="n">
        <v>1</v>
      </c>
      <c r="T702" s="1" t="n">
        <v>0</v>
      </c>
      <c r="U702" s="1" t="n">
        <v>0</v>
      </c>
      <c r="V702" s="1" t="n">
        <v>0</v>
      </c>
      <c r="W702" s="1" t="n">
        <v>0</v>
      </c>
      <c r="X702" s="1" t="n">
        <v>0</v>
      </c>
      <c r="Y702" s="3" t="n">
        <f aca="false">SUM(S702:T702)</f>
        <v>1</v>
      </c>
      <c r="Z702" s="3" t="n">
        <f aca="false">SUM(U702:W702)</f>
        <v>0</v>
      </c>
      <c r="AA702" s="3" t="n">
        <f aca="false">SUM(S702:X702)</f>
        <v>1</v>
      </c>
      <c r="AB702" s="11" t="n">
        <f aca="false">(AA702/(K702*L702)*25)*4</f>
        <v>4</v>
      </c>
    </row>
    <row r="703" customFormat="false" ht="14.25" hidden="false" customHeight="false" outlineLevel="0" collapsed="false">
      <c r="A703" s="1" t="n">
        <v>2009</v>
      </c>
      <c r="B703" s="7" t="s">
        <v>322</v>
      </c>
      <c r="C703" s="7" t="n">
        <v>2</v>
      </c>
      <c r="D703" s="7" t="s">
        <v>294</v>
      </c>
      <c r="E703" s="7" t="s">
        <v>294</v>
      </c>
      <c r="F703" s="7" t="s">
        <v>51</v>
      </c>
      <c r="G703" s="1" t="n">
        <v>2</v>
      </c>
      <c r="H703" s="1" t="n">
        <v>10</v>
      </c>
      <c r="I703" s="10" t="n">
        <v>39969</v>
      </c>
      <c r="J703" s="10" t="n">
        <v>39974</v>
      </c>
      <c r="K703" s="1" t="n">
        <v>5</v>
      </c>
      <c r="L703" s="1" t="n">
        <v>5</v>
      </c>
      <c r="M703" s="13" t="s">
        <v>32</v>
      </c>
      <c r="N703" s="13" t="s">
        <v>202</v>
      </c>
      <c r="O703" s="14" t="s">
        <v>203</v>
      </c>
      <c r="P703" s="2" t="str">
        <f aca="false">CONCATENATE(N703," ",O703)</f>
        <v>Hypselistes jacksoni</v>
      </c>
      <c r="Q703" s="1" t="s">
        <v>30</v>
      </c>
      <c r="R703" s="1" t="s">
        <v>35</v>
      </c>
      <c r="S703" s="1" t="n">
        <v>0</v>
      </c>
      <c r="T703" s="1" t="n">
        <v>1</v>
      </c>
      <c r="U703" s="1" t="n">
        <v>0</v>
      </c>
      <c r="V703" s="1" t="n">
        <v>0</v>
      </c>
      <c r="W703" s="1" t="n">
        <v>0</v>
      </c>
      <c r="X703" s="1" t="n">
        <v>0</v>
      </c>
      <c r="Y703" s="3" t="n">
        <f aca="false">SUM(S703:T703)</f>
        <v>1</v>
      </c>
      <c r="Z703" s="3" t="n">
        <f aca="false">SUM(U703:W703)</f>
        <v>0</v>
      </c>
      <c r="AA703" s="3" t="n">
        <f aca="false">SUM(S703:X703)</f>
        <v>1</v>
      </c>
      <c r="AB703" s="11" t="n">
        <f aca="false">(AA703/(K703*L703)*25)*4</f>
        <v>4</v>
      </c>
    </row>
    <row r="704" customFormat="false" ht="14.25" hidden="false" customHeight="false" outlineLevel="0" collapsed="false">
      <c r="A704" s="1" t="n">
        <v>2009</v>
      </c>
      <c r="B704" s="7" t="s">
        <v>322</v>
      </c>
      <c r="C704" s="7" t="n">
        <v>2</v>
      </c>
      <c r="D704" s="7" t="s">
        <v>294</v>
      </c>
      <c r="E704" s="7" t="s">
        <v>294</v>
      </c>
      <c r="F704" s="7" t="s">
        <v>51</v>
      </c>
      <c r="G704" s="1" t="n">
        <v>3</v>
      </c>
      <c r="H704" s="1" t="n">
        <v>11</v>
      </c>
      <c r="I704" s="10" t="n">
        <v>39969</v>
      </c>
      <c r="J704" s="10" t="n">
        <v>39974</v>
      </c>
      <c r="K704" s="1" t="n">
        <v>5</v>
      </c>
      <c r="L704" s="1" t="n">
        <v>5</v>
      </c>
      <c r="M704" s="3" t="s">
        <v>48</v>
      </c>
      <c r="N704" s="3" t="s">
        <v>49</v>
      </c>
      <c r="O704" s="3" t="s">
        <v>104</v>
      </c>
      <c r="P704" s="2" t="str">
        <f aca="false">CONCATENATE(N704," ",O704)</f>
        <v>Alopecosa taeniata</v>
      </c>
      <c r="Q704" s="1" t="s">
        <v>30</v>
      </c>
      <c r="R704" s="1" t="s">
        <v>31</v>
      </c>
      <c r="S704" s="1" t="n">
        <v>1</v>
      </c>
      <c r="T704" s="1" t="n">
        <v>0</v>
      </c>
      <c r="U704" s="1" t="n">
        <v>0</v>
      </c>
      <c r="V704" s="1" t="n">
        <v>0</v>
      </c>
      <c r="W704" s="1" t="n">
        <v>0</v>
      </c>
      <c r="X704" s="1" t="n">
        <v>0</v>
      </c>
      <c r="Y704" s="3" t="n">
        <f aca="false">SUM(S704:T704)</f>
        <v>1</v>
      </c>
      <c r="Z704" s="3" t="n">
        <f aca="false">SUM(U704:W704)</f>
        <v>0</v>
      </c>
      <c r="AA704" s="3" t="n">
        <f aca="false">SUM(S704:X704)</f>
        <v>1</v>
      </c>
      <c r="AB704" s="11" t="n">
        <f aca="false">(AA704/(K704*L704)*25)*4</f>
        <v>4</v>
      </c>
    </row>
    <row r="705" customFormat="false" ht="14.25" hidden="false" customHeight="false" outlineLevel="0" collapsed="false">
      <c r="A705" s="1" t="n">
        <v>2009</v>
      </c>
      <c r="B705" s="7" t="s">
        <v>322</v>
      </c>
      <c r="C705" s="7" t="n">
        <v>2</v>
      </c>
      <c r="D705" s="7" t="s">
        <v>294</v>
      </c>
      <c r="E705" s="7" t="s">
        <v>294</v>
      </c>
      <c r="F705" s="7" t="s">
        <v>51</v>
      </c>
      <c r="G705" s="1" t="n">
        <v>3</v>
      </c>
      <c r="H705" s="1" t="n">
        <v>11</v>
      </c>
      <c r="I705" s="10" t="n">
        <v>39969</v>
      </c>
      <c r="J705" s="10" t="n">
        <v>39974</v>
      </c>
      <c r="K705" s="1" t="n">
        <v>5</v>
      </c>
      <c r="L705" s="1" t="n">
        <v>5</v>
      </c>
      <c r="M705" s="3" t="s">
        <v>48</v>
      </c>
      <c r="N705" s="3" t="s">
        <v>49</v>
      </c>
      <c r="O705" s="3" t="s">
        <v>104</v>
      </c>
      <c r="P705" s="2" t="str">
        <f aca="false">CONCATENATE(N705," ",O705)</f>
        <v>Alopecosa taeniata</v>
      </c>
      <c r="Q705" s="1" t="s">
        <v>30</v>
      </c>
      <c r="R705" s="1" t="s">
        <v>35</v>
      </c>
      <c r="S705" s="1" t="n">
        <v>0</v>
      </c>
      <c r="T705" s="1" t="n">
        <v>1</v>
      </c>
      <c r="U705" s="1" t="n">
        <v>0</v>
      </c>
      <c r="V705" s="1" t="n">
        <v>0</v>
      </c>
      <c r="W705" s="1" t="n">
        <v>0</v>
      </c>
      <c r="X705" s="1" t="n">
        <v>0</v>
      </c>
      <c r="Y705" s="3" t="n">
        <f aca="false">SUM(S705:T705)</f>
        <v>1</v>
      </c>
      <c r="Z705" s="3" t="n">
        <f aca="false">SUM(U705:W705)</f>
        <v>0</v>
      </c>
      <c r="AA705" s="3" t="n">
        <f aca="false">SUM(S705:X705)</f>
        <v>1</v>
      </c>
      <c r="AB705" s="11" t="n">
        <f aca="false">(AA705/(K705*L705)*25)*4</f>
        <v>4</v>
      </c>
    </row>
    <row r="706" customFormat="false" ht="14.25" hidden="false" customHeight="false" outlineLevel="0" collapsed="false">
      <c r="A706" s="1" t="n">
        <v>2009</v>
      </c>
      <c r="B706" s="7" t="s">
        <v>322</v>
      </c>
      <c r="C706" s="7" t="n">
        <v>2</v>
      </c>
      <c r="D706" s="7" t="s">
        <v>294</v>
      </c>
      <c r="E706" s="7" t="s">
        <v>294</v>
      </c>
      <c r="F706" s="7" t="s">
        <v>51</v>
      </c>
      <c r="G706" s="1" t="n">
        <v>3</v>
      </c>
      <c r="H706" s="1" t="n">
        <v>11</v>
      </c>
      <c r="I706" s="10" t="n">
        <v>39969</v>
      </c>
      <c r="J706" s="10" t="n">
        <v>39974</v>
      </c>
      <c r="K706" s="1" t="n">
        <v>5</v>
      </c>
      <c r="L706" s="1" t="n">
        <v>5</v>
      </c>
      <c r="M706" s="3" t="s">
        <v>48</v>
      </c>
      <c r="N706" s="3" t="s">
        <v>67</v>
      </c>
      <c r="O706" s="3" t="s">
        <v>127</v>
      </c>
      <c r="P706" s="2" t="str">
        <f aca="false">CONCATENATE(N706," ",O706)</f>
        <v>Pardosa lugubris</v>
      </c>
      <c r="Q706" s="1" t="s">
        <v>30</v>
      </c>
      <c r="R706" s="1" t="s">
        <v>31</v>
      </c>
      <c r="S706" s="1" t="n">
        <v>16</v>
      </c>
      <c r="T706" s="1" t="n">
        <v>0</v>
      </c>
      <c r="U706" s="1" t="n">
        <v>0</v>
      </c>
      <c r="V706" s="1" t="n">
        <v>0</v>
      </c>
      <c r="W706" s="1" t="n">
        <v>0</v>
      </c>
      <c r="X706" s="1" t="n">
        <v>0</v>
      </c>
      <c r="Y706" s="3" t="n">
        <f aca="false">SUM(S706:T706)</f>
        <v>16</v>
      </c>
      <c r="Z706" s="3" t="n">
        <f aca="false">SUM(U706:W706)</f>
        <v>0</v>
      </c>
      <c r="AA706" s="3" t="n">
        <f aca="false">SUM(S706:X706)</f>
        <v>16</v>
      </c>
      <c r="AB706" s="11" t="n">
        <f aca="false">(AA706/(K706*L706)*25)*4</f>
        <v>64</v>
      </c>
    </row>
    <row r="707" customFormat="false" ht="14.25" hidden="false" customHeight="false" outlineLevel="0" collapsed="false">
      <c r="A707" s="1" t="n">
        <v>2009</v>
      </c>
      <c r="B707" s="7" t="s">
        <v>322</v>
      </c>
      <c r="C707" s="7" t="n">
        <v>2</v>
      </c>
      <c r="D707" s="7" t="s">
        <v>294</v>
      </c>
      <c r="E707" s="7" t="s">
        <v>294</v>
      </c>
      <c r="F707" s="7" t="s">
        <v>51</v>
      </c>
      <c r="G707" s="1" t="n">
        <v>3</v>
      </c>
      <c r="H707" s="1" t="n">
        <v>11</v>
      </c>
      <c r="I707" s="10" t="n">
        <v>39969</v>
      </c>
      <c r="J707" s="10" t="n">
        <v>39974</v>
      </c>
      <c r="K707" s="1" t="n">
        <v>5</v>
      </c>
      <c r="L707" s="1" t="n">
        <v>5</v>
      </c>
      <c r="M707" s="3" t="s">
        <v>72</v>
      </c>
      <c r="N707" s="3" t="s">
        <v>86</v>
      </c>
      <c r="O707" s="8" t="s">
        <v>87</v>
      </c>
      <c r="P707" s="2" t="str">
        <f aca="false">CONCATENATE(N707," ",O707)</f>
        <v>Haplodrassus soerenseni</v>
      </c>
      <c r="Q707" s="1" t="s">
        <v>30</v>
      </c>
      <c r="R707" s="1" t="s">
        <v>31</v>
      </c>
      <c r="S707" s="1" t="n">
        <v>4</v>
      </c>
      <c r="T707" s="1" t="n">
        <v>0</v>
      </c>
      <c r="U707" s="1" t="n">
        <v>0</v>
      </c>
      <c r="V707" s="1" t="n">
        <v>0</v>
      </c>
      <c r="W707" s="1" t="n">
        <v>0</v>
      </c>
      <c r="X707" s="1" t="n">
        <v>0</v>
      </c>
      <c r="Y707" s="3" t="n">
        <f aca="false">SUM(S707:T707)</f>
        <v>4</v>
      </c>
      <c r="Z707" s="3" t="n">
        <f aca="false">SUM(U707:W707)</f>
        <v>0</v>
      </c>
      <c r="AA707" s="3" t="n">
        <f aca="false">SUM(S707:X707)</f>
        <v>4</v>
      </c>
      <c r="AB707" s="11" t="n">
        <f aca="false">(AA707/(K707*L707)*25)*4</f>
        <v>16</v>
      </c>
    </row>
    <row r="708" customFormat="false" ht="14.25" hidden="false" customHeight="false" outlineLevel="0" collapsed="false">
      <c r="A708" s="1" t="n">
        <v>2009</v>
      </c>
      <c r="B708" s="7" t="s">
        <v>322</v>
      </c>
      <c r="C708" s="7" t="n">
        <v>2</v>
      </c>
      <c r="D708" s="7" t="s">
        <v>294</v>
      </c>
      <c r="E708" s="7" t="s">
        <v>294</v>
      </c>
      <c r="F708" s="7" t="s">
        <v>51</v>
      </c>
      <c r="G708" s="1" t="n">
        <v>3</v>
      </c>
      <c r="H708" s="1" t="n">
        <v>11</v>
      </c>
      <c r="I708" s="10" t="n">
        <v>39969</v>
      </c>
      <c r="J708" s="10" t="n">
        <v>39974</v>
      </c>
      <c r="K708" s="1" t="n">
        <v>5</v>
      </c>
      <c r="L708" s="1" t="n">
        <v>5</v>
      </c>
      <c r="M708" s="3" t="s">
        <v>72</v>
      </c>
      <c r="N708" s="3" t="s">
        <v>86</v>
      </c>
      <c r="O708" s="8" t="s">
        <v>87</v>
      </c>
      <c r="P708" s="2" t="str">
        <f aca="false">CONCATENATE(N708," ",O708)</f>
        <v>Haplodrassus soerenseni</v>
      </c>
      <c r="Q708" s="1" t="s">
        <v>30</v>
      </c>
      <c r="R708" s="1" t="s">
        <v>35</v>
      </c>
      <c r="S708" s="1" t="n">
        <v>0</v>
      </c>
      <c r="T708" s="1" t="n">
        <v>1</v>
      </c>
      <c r="U708" s="1" t="n">
        <v>0</v>
      </c>
      <c r="V708" s="1" t="n">
        <v>0</v>
      </c>
      <c r="W708" s="1" t="n">
        <v>0</v>
      </c>
      <c r="X708" s="1" t="n">
        <v>0</v>
      </c>
      <c r="Y708" s="3" t="n">
        <f aca="false">SUM(S708:T708)</f>
        <v>1</v>
      </c>
      <c r="Z708" s="3" t="n">
        <f aca="false">SUM(U708:W708)</f>
        <v>0</v>
      </c>
      <c r="AA708" s="3" t="n">
        <f aca="false">SUM(S708:X708)</f>
        <v>1</v>
      </c>
      <c r="AB708" s="11" t="n">
        <f aca="false">(AA708/(K708*L708)*25)*4</f>
        <v>4</v>
      </c>
    </row>
    <row r="709" customFormat="false" ht="14.25" hidden="false" customHeight="false" outlineLevel="0" collapsed="false">
      <c r="A709" s="1" t="n">
        <v>2009</v>
      </c>
      <c r="B709" s="7" t="s">
        <v>322</v>
      </c>
      <c r="C709" s="7" t="n">
        <v>2</v>
      </c>
      <c r="D709" s="7" t="s">
        <v>294</v>
      </c>
      <c r="E709" s="7" t="s">
        <v>294</v>
      </c>
      <c r="F709" s="7" t="s">
        <v>51</v>
      </c>
      <c r="G709" s="1" t="n">
        <v>3</v>
      </c>
      <c r="H709" s="1" t="n">
        <v>11</v>
      </c>
      <c r="I709" s="10" t="n">
        <v>39969</v>
      </c>
      <c r="J709" s="10" t="n">
        <v>39974</v>
      </c>
      <c r="K709" s="1" t="n">
        <v>5</v>
      </c>
      <c r="L709" s="1" t="n">
        <v>5</v>
      </c>
      <c r="M709" s="3" t="s">
        <v>36</v>
      </c>
      <c r="N709" s="3" t="s">
        <v>37</v>
      </c>
      <c r="O709" s="8" t="s">
        <v>75</v>
      </c>
      <c r="P709" s="2" t="str">
        <f aca="false">CONCATENATE(N709," ",O709)</f>
        <v>Ozyptila praticola</v>
      </c>
      <c r="Q709" s="1" t="s">
        <v>30</v>
      </c>
      <c r="R709" s="1" t="s">
        <v>31</v>
      </c>
      <c r="S709" s="1" t="n">
        <v>1</v>
      </c>
      <c r="T709" s="1" t="n">
        <v>0</v>
      </c>
      <c r="U709" s="1" t="n">
        <v>0</v>
      </c>
      <c r="V709" s="1" t="n">
        <v>0</v>
      </c>
      <c r="W709" s="1" t="n">
        <v>0</v>
      </c>
      <c r="X709" s="1" t="n">
        <v>0</v>
      </c>
      <c r="Y709" s="3" t="n">
        <f aca="false">SUM(S709:T709)</f>
        <v>1</v>
      </c>
      <c r="Z709" s="3" t="n">
        <f aca="false">SUM(U709:W709)</f>
        <v>0</v>
      </c>
      <c r="AA709" s="3" t="n">
        <f aca="false">SUM(S709:X709)</f>
        <v>1</v>
      </c>
      <c r="AB709" s="11" t="n">
        <f aca="false">(AA709/(K709*L709)*25)*4</f>
        <v>4</v>
      </c>
    </row>
    <row r="710" customFormat="false" ht="14.25" hidden="false" customHeight="false" outlineLevel="0" collapsed="false">
      <c r="A710" s="1" t="n">
        <v>2009</v>
      </c>
      <c r="B710" s="7" t="s">
        <v>322</v>
      </c>
      <c r="C710" s="7" t="n">
        <v>2</v>
      </c>
      <c r="D710" s="7" t="s">
        <v>294</v>
      </c>
      <c r="E710" s="7" t="s">
        <v>294</v>
      </c>
      <c r="F710" s="7" t="s">
        <v>51</v>
      </c>
      <c r="G710" s="1" t="n">
        <v>3</v>
      </c>
      <c r="H710" s="1" t="n">
        <v>11</v>
      </c>
      <c r="I710" s="10" t="n">
        <v>39969</v>
      </c>
      <c r="J710" s="10" t="n">
        <v>39974</v>
      </c>
      <c r="K710" s="1" t="n">
        <v>5</v>
      </c>
      <c r="L710" s="1" t="n">
        <v>5</v>
      </c>
      <c r="M710" s="13" t="s">
        <v>195</v>
      </c>
      <c r="N710" s="13" t="s">
        <v>196</v>
      </c>
      <c r="O710" s="14" t="s">
        <v>197</v>
      </c>
      <c r="P710" s="2" t="str">
        <f aca="false">CONCATENATE(N710," ",O710)</f>
        <v>Pachygnatha listeri</v>
      </c>
      <c r="Q710" s="1" t="s">
        <v>30</v>
      </c>
      <c r="R710" s="1" t="s">
        <v>35</v>
      </c>
      <c r="S710" s="1" t="n">
        <v>0</v>
      </c>
      <c r="T710" s="1" t="n">
        <v>3</v>
      </c>
      <c r="U710" s="1" t="n">
        <v>0</v>
      </c>
      <c r="V710" s="1" t="n">
        <v>0</v>
      </c>
      <c r="W710" s="1" t="n">
        <v>0</v>
      </c>
      <c r="X710" s="1" t="n">
        <v>0</v>
      </c>
      <c r="Y710" s="3" t="n">
        <f aca="false">SUM(S710:T710)</f>
        <v>3</v>
      </c>
      <c r="Z710" s="3" t="n">
        <f aca="false">SUM(U710:W710)</f>
        <v>0</v>
      </c>
      <c r="AA710" s="3" t="n">
        <f aca="false">SUM(S710:X710)</f>
        <v>3</v>
      </c>
      <c r="AB710" s="11" t="n">
        <f aca="false">(AA710/(K710*L710)*25)*4</f>
        <v>12</v>
      </c>
    </row>
    <row r="711" customFormat="false" ht="14.25" hidden="false" customHeight="false" outlineLevel="0" collapsed="false">
      <c r="A711" s="1" t="n">
        <v>2009</v>
      </c>
      <c r="B711" s="7" t="s">
        <v>322</v>
      </c>
      <c r="C711" s="7" t="n">
        <v>2</v>
      </c>
      <c r="D711" s="7" t="s">
        <v>294</v>
      </c>
      <c r="E711" s="7" t="s">
        <v>294</v>
      </c>
      <c r="F711" s="7" t="s">
        <v>51</v>
      </c>
      <c r="G711" s="1" t="n">
        <v>3</v>
      </c>
      <c r="H711" s="1" t="n">
        <v>12</v>
      </c>
      <c r="I711" s="10" t="n">
        <v>39969</v>
      </c>
      <c r="J711" s="10" t="n">
        <v>39974</v>
      </c>
      <c r="K711" s="1" t="n">
        <v>5</v>
      </c>
      <c r="L711" s="1" t="n">
        <v>5</v>
      </c>
      <c r="M711" s="3" t="s">
        <v>48</v>
      </c>
      <c r="N711" s="3" t="s">
        <v>49</v>
      </c>
      <c r="O711" s="3" t="s">
        <v>104</v>
      </c>
      <c r="P711" s="2" t="str">
        <f aca="false">CONCATENATE(N711," ",O711)</f>
        <v>Alopecosa taeniata</v>
      </c>
      <c r="Q711" s="1" t="s">
        <v>30</v>
      </c>
      <c r="R711" s="1" t="s">
        <v>31</v>
      </c>
      <c r="S711" s="1" t="n">
        <v>3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0</v>
      </c>
      <c r="Y711" s="3" t="n">
        <f aca="false">SUM(S711:T711)</f>
        <v>3</v>
      </c>
      <c r="Z711" s="3" t="n">
        <f aca="false">SUM(U711:W711)</f>
        <v>0</v>
      </c>
      <c r="AA711" s="3" t="n">
        <f aca="false">SUM(S711:X711)</f>
        <v>3</v>
      </c>
      <c r="AB711" s="11" t="n">
        <f aca="false">(AA711/(K711*L711)*25)*4</f>
        <v>12</v>
      </c>
    </row>
    <row r="712" customFormat="false" ht="14.25" hidden="false" customHeight="false" outlineLevel="0" collapsed="false">
      <c r="A712" s="1" t="n">
        <v>2009</v>
      </c>
      <c r="B712" s="7" t="s">
        <v>322</v>
      </c>
      <c r="C712" s="7" t="n">
        <v>2</v>
      </c>
      <c r="D712" s="7" t="s">
        <v>294</v>
      </c>
      <c r="E712" s="7" t="s">
        <v>294</v>
      </c>
      <c r="F712" s="7" t="s">
        <v>51</v>
      </c>
      <c r="G712" s="1" t="n">
        <v>3</v>
      </c>
      <c r="H712" s="1" t="n">
        <v>12</v>
      </c>
      <c r="I712" s="10" t="n">
        <v>39969</v>
      </c>
      <c r="J712" s="10" t="n">
        <v>39974</v>
      </c>
      <c r="K712" s="1" t="n">
        <v>5</v>
      </c>
      <c r="L712" s="1" t="n">
        <v>5</v>
      </c>
      <c r="M712" s="3" t="s">
        <v>48</v>
      </c>
      <c r="N712" s="3" t="s">
        <v>67</v>
      </c>
      <c r="O712" s="3" t="s">
        <v>127</v>
      </c>
      <c r="P712" s="2" t="str">
        <f aca="false">CONCATENATE(N712," ",O712)</f>
        <v>Pardosa lugubris</v>
      </c>
      <c r="Q712" s="1" t="s">
        <v>30</v>
      </c>
      <c r="R712" s="1" t="s">
        <v>31</v>
      </c>
      <c r="S712" s="1" t="n">
        <v>19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0</v>
      </c>
      <c r="Y712" s="3" t="n">
        <f aca="false">SUM(S712:T712)</f>
        <v>19</v>
      </c>
      <c r="Z712" s="3" t="n">
        <f aca="false">SUM(U712:W712)</f>
        <v>0</v>
      </c>
      <c r="AA712" s="3" t="n">
        <f aca="false">SUM(S712:X712)</f>
        <v>19</v>
      </c>
      <c r="AB712" s="11" t="n">
        <f aca="false">(AA712/(K712*L712)*25)*4</f>
        <v>76</v>
      </c>
    </row>
    <row r="713" customFormat="false" ht="14.25" hidden="false" customHeight="false" outlineLevel="0" collapsed="false">
      <c r="A713" s="1" t="n">
        <v>2009</v>
      </c>
      <c r="B713" s="7" t="s">
        <v>322</v>
      </c>
      <c r="C713" s="7" t="n">
        <v>2</v>
      </c>
      <c r="D713" s="7" t="s">
        <v>294</v>
      </c>
      <c r="E713" s="7" t="s">
        <v>294</v>
      </c>
      <c r="F713" s="7" t="s">
        <v>51</v>
      </c>
      <c r="G713" s="1" t="n">
        <v>3</v>
      </c>
      <c r="H713" s="1" t="n">
        <v>12</v>
      </c>
      <c r="I713" s="10" t="n">
        <v>39969</v>
      </c>
      <c r="J713" s="10" t="n">
        <v>39974</v>
      </c>
      <c r="K713" s="1" t="n">
        <v>5</v>
      </c>
      <c r="L713" s="1" t="n">
        <v>5</v>
      </c>
      <c r="M713" s="3" t="s">
        <v>48</v>
      </c>
      <c r="N713" s="3" t="s">
        <v>67</v>
      </c>
      <c r="O713" s="3" t="s">
        <v>127</v>
      </c>
      <c r="P713" s="2" t="str">
        <f aca="false">CONCATENATE(N713," ",O713)</f>
        <v>Pardosa lugubris</v>
      </c>
      <c r="Q713" s="1" t="s">
        <v>30</v>
      </c>
      <c r="R713" s="1" t="s">
        <v>35</v>
      </c>
      <c r="S713" s="1" t="n">
        <v>0</v>
      </c>
      <c r="T713" s="1" t="n">
        <v>4</v>
      </c>
      <c r="U713" s="1" t="n">
        <v>0</v>
      </c>
      <c r="V713" s="1" t="n">
        <v>0</v>
      </c>
      <c r="W713" s="1" t="n">
        <v>0</v>
      </c>
      <c r="X713" s="1" t="n">
        <v>0</v>
      </c>
      <c r="Y713" s="3" t="n">
        <f aca="false">SUM(S713:T713)</f>
        <v>4</v>
      </c>
      <c r="Z713" s="3" t="n">
        <f aca="false">SUM(U713:W713)</f>
        <v>0</v>
      </c>
      <c r="AA713" s="3" t="n">
        <f aca="false">SUM(S713:X713)</f>
        <v>4</v>
      </c>
      <c r="AB713" s="11" t="n">
        <f aca="false">(AA713/(K713*L713)*25)*4</f>
        <v>16</v>
      </c>
    </row>
    <row r="714" customFormat="false" ht="14.25" hidden="false" customHeight="false" outlineLevel="0" collapsed="false">
      <c r="A714" s="1" t="n">
        <v>2009</v>
      </c>
      <c r="B714" s="7" t="s">
        <v>322</v>
      </c>
      <c r="C714" s="7" t="n">
        <v>2</v>
      </c>
      <c r="D714" s="7" t="s">
        <v>294</v>
      </c>
      <c r="E714" s="7" t="s">
        <v>294</v>
      </c>
      <c r="F714" s="7" t="s">
        <v>51</v>
      </c>
      <c r="G714" s="1" t="n">
        <v>3</v>
      </c>
      <c r="H714" s="1" t="n">
        <v>12</v>
      </c>
      <c r="I714" s="10" t="n">
        <v>39969</v>
      </c>
      <c r="J714" s="10" t="n">
        <v>39974</v>
      </c>
      <c r="K714" s="1" t="n">
        <v>5</v>
      </c>
      <c r="L714" s="1" t="n">
        <v>5</v>
      </c>
      <c r="M714" s="3" t="s">
        <v>72</v>
      </c>
      <c r="N714" s="3" t="s">
        <v>86</v>
      </c>
      <c r="O714" s="8" t="s">
        <v>87</v>
      </c>
      <c r="P714" s="2" t="str">
        <f aca="false">CONCATENATE(N714," ",O714)</f>
        <v>Haplodrassus soerenseni</v>
      </c>
      <c r="Q714" s="1" t="s">
        <v>30</v>
      </c>
      <c r="R714" s="1" t="s">
        <v>31</v>
      </c>
      <c r="S714" s="1" t="n">
        <v>1</v>
      </c>
      <c r="T714" s="1" t="n">
        <v>0</v>
      </c>
      <c r="U714" s="1" t="n">
        <v>0</v>
      </c>
      <c r="V714" s="1" t="n">
        <v>0</v>
      </c>
      <c r="W714" s="1" t="n">
        <v>0</v>
      </c>
      <c r="X714" s="1" t="n">
        <v>0</v>
      </c>
      <c r="Y714" s="3" t="n">
        <f aca="false">SUM(S714:T714)</f>
        <v>1</v>
      </c>
      <c r="Z714" s="3" t="n">
        <f aca="false">SUM(U714:W714)</f>
        <v>0</v>
      </c>
      <c r="AA714" s="3" t="n">
        <f aca="false">SUM(S714:X714)</f>
        <v>1</v>
      </c>
      <c r="AB714" s="11" t="n">
        <f aca="false">(AA714/(K714*L714)*25)*4</f>
        <v>4</v>
      </c>
    </row>
    <row r="715" customFormat="false" ht="14.25" hidden="false" customHeight="false" outlineLevel="0" collapsed="false">
      <c r="A715" s="1" t="n">
        <v>2009</v>
      </c>
      <c r="B715" s="7" t="s">
        <v>322</v>
      </c>
      <c r="C715" s="7" t="n">
        <v>2</v>
      </c>
      <c r="D715" s="7" t="s">
        <v>294</v>
      </c>
      <c r="E715" s="7" t="s">
        <v>294</v>
      </c>
      <c r="F715" s="7" t="s">
        <v>51</v>
      </c>
      <c r="G715" s="1" t="n">
        <v>3</v>
      </c>
      <c r="H715" s="1" t="n">
        <v>12</v>
      </c>
      <c r="I715" s="10" t="n">
        <v>39969</v>
      </c>
      <c r="J715" s="10" t="n">
        <v>39974</v>
      </c>
      <c r="K715" s="1" t="n">
        <v>5</v>
      </c>
      <c r="L715" s="1" t="n">
        <v>5</v>
      </c>
      <c r="M715" s="3" t="s">
        <v>36</v>
      </c>
      <c r="N715" s="3" t="s">
        <v>131</v>
      </c>
      <c r="O715" s="3" t="s">
        <v>133</v>
      </c>
      <c r="P715" s="2" t="str">
        <f aca="false">CONCATENATE(N715," ",O715)</f>
        <v>Xysticus luctuosus</v>
      </c>
      <c r="Q715" s="1" t="s">
        <v>30</v>
      </c>
      <c r="R715" s="1" t="s">
        <v>31</v>
      </c>
      <c r="S715" s="1" t="n">
        <v>3</v>
      </c>
      <c r="T715" s="1" t="n">
        <v>0</v>
      </c>
      <c r="U715" s="1" t="n">
        <v>0</v>
      </c>
      <c r="V715" s="1" t="n">
        <v>0</v>
      </c>
      <c r="W715" s="1" t="n">
        <v>0</v>
      </c>
      <c r="X715" s="1" t="n">
        <v>0</v>
      </c>
      <c r="Y715" s="3" t="n">
        <f aca="false">SUM(S715:T715)</f>
        <v>3</v>
      </c>
      <c r="Z715" s="3" t="n">
        <f aca="false">SUM(U715:W715)</f>
        <v>0</v>
      </c>
      <c r="AA715" s="3" t="n">
        <f aca="false">SUM(S715:X715)</f>
        <v>3</v>
      </c>
      <c r="AB715" s="11" t="n">
        <f aca="false">(AA715/(K715*L715)*25)*4</f>
        <v>12</v>
      </c>
    </row>
    <row r="716" customFormat="false" ht="14.25" hidden="false" customHeight="false" outlineLevel="0" collapsed="false">
      <c r="A716" s="1" t="n">
        <v>2009</v>
      </c>
      <c r="B716" s="7" t="s">
        <v>322</v>
      </c>
      <c r="C716" s="7" t="n">
        <v>2</v>
      </c>
      <c r="D716" s="7" t="s">
        <v>294</v>
      </c>
      <c r="E716" s="7" t="s">
        <v>294</v>
      </c>
      <c r="F716" s="7" t="s">
        <v>51</v>
      </c>
      <c r="G716" s="1" t="n">
        <v>3</v>
      </c>
      <c r="H716" s="1" t="n">
        <v>12</v>
      </c>
      <c r="I716" s="10" t="n">
        <v>39969</v>
      </c>
      <c r="J716" s="10" t="n">
        <v>39974</v>
      </c>
      <c r="K716" s="1" t="n">
        <v>5</v>
      </c>
      <c r="L716" s="1" t="n">
        <v>5</v>
      </c>
      <c r="M716" s="3" t="s">
        <v>64</v>
      </c>
      <c r="N716" s="3" t="s">
        <v>65</v>
      </c>
      <c r="O716" s="3" t="s">
        <v>123</v>
      </c>
      <c r="P716" s="2" t="str">
        <f aca="false">CONCATENATE(N716," ",O716)</f>
        <v>Zora nemoralis</v>
      </c>
      <c r="Q716" s="1" t="s">
        <v>30</v>
      </c>
      <c r="R716" s="1" t="s">
        <v>31</v>
      </c>
      <c r="S716" s="1" t="n">
        <v>1</v>
      </c>
      <c r="T716" s="1" t="n">
        <v>0</v>
      </c>
      <c r="U716" s="1" t="n">
        <v>0</v>
      </c>
      <c r="V716" s="1" t="n">
        <v>0</v>
      </c>
      <c r="W716" s="1" t="n">
        <v>0</v>
      </c>
      <c r="X716" s="1" t="n">
        <v>0</v>
      </c>
      <c r="Y716" s="3" t="n">
        <f aca="false">SUM(S716:T716)</f>
        <v>1</v>
      </c>
      <c r="Z716" s="3" t="n">
        <f aca="false">SUM(U716:W716)</f>
        <v>0</v>
      </c>
      <c r="AA716" s="3" t="n">
        <f aca="false">SUM(S716:X716)</f>
        <v>1</v>
      </c>
      <c r="AB716" s="11" t="n">
        <f aca="false">(AA716/(K716*L716)*25)*4</f>
        <v>4</v>
      </c>
    </row>
    <row r="717" customFormat="false" ht="14.25" hidden="false" customHeight="false" outlineLevel="0" collapsed="false">
      <c r="A717" s="1" t="n">
        <v>2009</v>
      </c>
      <c r="B717" s="7" t="s">
        <v>322</v>
      </c>
      <c r="C717" s="7" t="n">
        <v>2</v>
      </c>
      <c r="D717" s="7" t="s">
        <v>294</v>
      </c>
      <c r="E717" s="7" t="s">
        <v>294</v>
      </c>
      <c r="F717" s="7" t="s">
        <v>51</v>
      </c>
      <c r="G717" s="1" t="n">
        <v>3</v>
      </c>
      <c r="H717" s="1" t="n">
        <v>12</v>
      </c>
      <c r="I717" s="10" t="n">
        <v>39969</v>
      </c>
      <c r="J717" s="10" t="n">
        <v>39974</v>
      </c>
      <c r="K717" s="1" t="n">
        <v>5</v>
      </c>
      <c r="L717" s="1" t="n">
        <v>5</v>
      </c>
      <c r="M717" s="3" t="s">
        <v>32</v>
      </c>
      <c r="N717" s="3" t="s">
        <v>62</v>
      </c>
      <c r="O717" s="3" t="s">
        <v>63</v>
      </c>
      <c r="P717" s="2" t="str">
        <f aca="false">CONCATENATE(N717," ",O717)</f>
        <v>Microneta viaria</v>
      </c>
      <c r="Q717" s="1" t="s">
        <v>30</v>
      </c>
      <c r="R717" s="1" t="s">
        <v>31</v>
      </c>
      <c r="S717" s="1" t="n">
        <v>1</v>
      </c>
      <c r="T717" s="1" t="n">
        <v>0</v>
      </c>
      <c r="U717" s="1" t="n">
        <v>0</v>
      </c>
      <c r="V717" s="1" t="n">
        <v>0</v>
      </c>
      <c r="W717" s="1" t="n">
        <v>0</v>
      </c>
      <c r="X717" s="1" t="n">
        <v>0</v>
      </c>
      <c r="Y717" s="3" t="n">
        <f aca="false">SUM(S717:T717)</f>
        <v>1</v>
      </c>
      <c r="Z717" s="3" t="n">
        <f aca="false">SUM(U717:W717)</f>
        <v>0</v>
      </c>
      <c r="AA717" s="3" t="n">
        <f aca="false">SUM(S717:X717)</f>
        <v>1</v>
      </c>
      <c r="AB717" s="11" t="n">
        <f aca="false">(AA717/(K717*L717)*25)*4</f>
        <v>4</v>
      </c>
    </row>
    <row r="718" customFormat="false" ht="14.25" hidden="false" customHeight="false" outlineLevel="0" collapsed="false">
      <c r="A718" s="1" t="n">
        <v>2009</v>
      </c>
      <c r="B718" s="7" t="s">
        <v>322</v>
      </c>
      <c r="C718" s="7" t="n">
        <v>2</v>
      </c>
      <c r="D718" s="7" t="s">
        <v>294</v>
      </c>
      <c r="E718" s="7" t="s">
        <v>294</v>
      </c>
      <c r="F718" s="7" t="s">
        <v>51</v>
      </c>
      <c r="G718" s="1" t="n">
        <v>3</v>
      </c>
      <c r="H718" s="1" t="n">
        <v>12</v>
      </c>
      <c r="I718" s="10" t="n">
        <v>39969</v>
      </c>
      <c r="J718" s="10" t="n">
        <v>39974</v>
      </c>
      <c r="K718" s="1" t="n">
        <v>5</v>
      </c>
      <c r="L718" s="1" t="n">
        <v>5</v>
      </c>
      <c r="M718" s="3" t="s">
        <v>32</v>
      </c>
      <c r="N718" s="3" t="s">
        <v>90</v>
      </c>
      <c r="O718" s="3" t="s">
        <v>91</v>
      </c>
      <c r="P718" s="2" t="str">
        <f aca="false">CONCATENATE(N718," ",O718)</f>
        <v>Tapinocyba insecta</v>
      </c>
      <c r="Q718" s="1" t="s">
        <v>30</v>
      </c>
      <c r="R718" s="1" t="s">
        <v>31</v>
      </c>
      <c r="S718" s="1" t="n">
        <v>1</v>
      </c>
      <c r="T718" s="1" t="n">
        <v>0</v>
      </c>
      <c r="U718" s="1" t="n">
        <v>0</v>
      </c>
      <c r="V718" s="1" t="n">
        <v>0</v>
      </c>
      <c r="W718" s="1" t="n">
        <v>0</v>
      </c>
      <c r="X718" s="1" t="n">
        <v>0</v>
      </c>
      <c r="Y718" s="3" t="n">
        <f aca="false">SUM(S718:T718)</f>
        <v>1</v>
      </c>
      <c r="Z718" s="3" t="n">
        <f aca="false">SUM(U718:W718)</f>
        <v>0</v>
      </c>
      <c r="AA718" s="3" t="n">
        <f aca="false">SUM(S718:X718)</f>
        <v>1</v>
      </c>
      <c r="AB718" s="11" t="n">
        <f aca="false">(AA718/(K718*L718)*25)*4</f>
        <v>4</v>
      </c>
    </row>
    <row r="719" customFormat="false" ht="14.25" hidden="false" customHeight="false" outlineLevel="0" collapsed="false">
      <c r="A719" s="1" t="n">
        <v>2009</v>
      </c>
      <c r="B719" s="7" t="s">
        <v>322</v>
      </c>
      <c r="C719" s="7" t="n">
        <v>2</v>
      </c>
      <c r="D719" s="7" t="s">
        <v>294</v>
      </c>
      <c r="E719" s="7" t="s">
        <v>294</v>
      </c>
      <c r="F719" s="7" t="s">
        <v>51</v>
      </c>
      <c r="G719" s="1" t="n">
        <v>3</v>
      </c>
      <c r="H719" s="1" t="n">
        <v>12</v>
      </c>
      <c r="I719" s="10" t="n">
        <v>39969</v>
      </c>
      <c r="J719" s="10" t="n">
        <v>39974</v>
      </c>
      <c r="K719" s="1" t="n">
        <v>5</v>
      </c>
      <c r="L719" s="1" t="n">
        <v>5</v>
      </c>
      <c r="M719" s="3" t="s">
        <v>32</v>
      </c>
      <c r="N719" s="3" t="s">
        <v>90</v>
      </c>
      <c r="O719" s="3" t="s">
        <v>91</v>
      </c>
      <c r="P719" s="2" t="str">
        <f aca="false">CONCATENATE(N719," ",O719)</f>
        <v>Tapinocyba insecta</v>
      </c>
      <c r="Q719" s="1" t="s">
        <v>30</v>
      </c>
      <c r="R719" s="1" t="s">
        <v>35</v>
      </c>
      <c r="S719" s="1" t="n">
        <v>0</v>
      </c>
      <c r="T719" s="1" t="n">
        <v>1</v>
      </c>
      <c r="U719" s="1" t="n">
        <v>0</v>
      </c>
      <c r="V719" s="1" t="n">
        <v>0</v>
      </c>
      <c r="W719" s="1" t="n">
        <v>0</v>
      </c>
      <c r="X719" s="1" t="n">
        <v>0</v>
      </c>
      <c r="Y719" s="3" t="n">
        <f aca="false">SUM(S719:T719)</f>
        <v>1</v>
      </c>
      <c r="Z719" s="3" t="n">
        <f aca="false">SUM(U719:W719)</f>
        <v>0</v>
      </c>
      <c r="AA719" s="3" t="n">
        <f aca="false">SUM(S719:X719)</f>
        <v>1</v>
      </c>
      <c r="AB719" s="11" t="n">
        <f aca="false">(AA719/(K719*L719)*25)*4</f>
        <v>4</v>
      </c>
    </row>
    <row r="720" customFormat="false" ht="14.25" hidden="false" customHeight="false" outlineLevel="0" collapsed="false">
      <c r="A720" s="1" t="n">
        <v>2009</v>
      </c>
      <c r="B720" s="7" t="s">
        <v>322</v>
      </c>
      <c r="C720" s="7" t="n">
        <v>2</v>
      </c>
      <c r="D720" s="7" t="s">
        <v>294</v>
      </c>
      <c r="E720" s="7" t="s">
        <v>294</v>
      </c>
      <c r="F720" s="7" t="s">
        <v>51</v>
      </c>
      <c r="G720" s="1" t="n">
        <v>3</v>
      </c>
      <c r="H720" s="1" t="n">
        <v>12</v>
      </c>
      <c r="I720" s="10" t="n">
        <v>39969</v>
      </c>
      <c r="J720" s="10" t="n">
        <v>39974</v>
      </c>
      <c r="K720" s="1" t="n">
        <v>5</v>
      </c>
      <c r="L720" s="1" t="n">
        <v>5</v>
      </c>
      <c r="M720" s="3" t="s">
        <v>32</v>
      </c>
      <c r="N720" s="3" t="s">
        <v>55</v>
      </c>
      <c r="O720" s="3" t="s">
        <v>194</v>
      </c>
      <c r="P720" s="2" t="str">
        <f aca="false">CONCATENATE(N720," ",O720)</f>
        <v>Maro pansibiricus</v>
      </c>
      <c r="Q720" s="1" t="s">
        <v>30</v>
      </c>
      <c r="R720" s="1" t="s">
        <v>31</v>
      </c>
      <c r="S720" s="1" t="n">
        <v>1</v>
      </c>
      <c r="T720" s="1" t="n">
        <v>0</v>
      </c>
      <c r="U720" s="1" t="n">
        <v>0</v>
      </c>
      <c r="V720" s="1" t="n">
        <v>0</v>
      </c>
      <c r="W720" s="1" t="n">
        <v>0</v>
      </c>
      <c r="X720" s="1" t="n">
        <v>0</v>
      </c>
      <c r="Y720" s="3" t="n">
        <f aca="false">SUM(S720:T720)</f>
        <v>1</v>
      </c>
      <c r="Z720" s="3" t="n">
        <f aca="false">SUM(U720:W720)</f>
        <v>0</v>
      </c>
      <c r="AA720" s="3" t="n">
        <f aca="false">SUM(S720:X720)</f>
        <v>1</v>
      </c>
      <c r="AB720" s="11" t="n">
        <f aca="false">(AA720/(K720*L720)*25)*4</f>
        <v>4</v>
      </c>
    </row>
    <row r="721" customFormat="false" ht="14.25" hidden="false" customHeight="false" outlineLevel="0" collapsed="false">
      <c r="A721" s="1" t="n">
        <v>2009</v>
      </c>
      <c r="B721" s="7" t="s">
        <v>322</v>
      </c>
      <c r="C721" s="7" t="n">
        <v>2</v>
      </c>
      <c r="D721" s="7" t="s">
        <v>294</v>
      </c>
      <c r="E721" s="7" t="s">
        <v>294</v>
      </c>
      <c r="F721" s="7" t="s">
        <v>51</v>
      </c>
      <c r="G721" s="1" t="n">
        <v>3</v>
      </c>
      <c r="H721" s="1" t="n">
        <v>13</v>
      </c>
      <c r="I721" s="10" t="n">
        <v>39969</v>
      </c>
      <c r="J721" s="10" t="n">
        <v>39974</v>
      </c>
      <c r="K721" s="1" t="n">
        <v>5</v>
      </c>
      <c r="L721" s="1" t="n">
        <v>5</v>
      </c>
      <c r="M721" s="3" t="s">
        <v>48</v>
      </c>
      <c r="N721" s="3" t="s">
        <v>49</v>
      </c>
      <c r="O721" s="3" t="s">
        <v>104</v>
      </c>
      <c r="P721" s="2" t="str">
        <f aca="false">CONCATENATE(N721," ",O721)</f>
        <v>Alopecosa taeniata</v>
      </c>
      <c r="Q721" s="1" t="s">
        <v>30</v>
      </c>
      <c r="R721" s="1" t="s">
        <v>31</v>
      </c>
      <c r="S721" s="1" t="n">
        <v>3</v>
      </c>
      <c r="T721" s="1" t="n">
        <v>0</v>
      </c>
      <c r="U721" s="1" t="n">
        <v>0</v>
      </c>
      <c r="V721" s="1" t="n">
        <v>0</v>
      </c>
      <c r="W721" s="1" t="n">
        <v>0</v>
      </c>
      <c r="X721" s="1" t="n">
        <v>0</v>
      </c>
      <c r="Y721" s="3" t="n">
        <f aca="false">SUM(S721:T721)</f>
        <v>3</v>
      </c>
      <c r="Z721" s="3" t="n">
        <f aca="false">SUM(U721:W721)</f>
        <v>0</v>
      </c>
      <c r="AA721" s="3" t="n">
        <f aca="false">SUM(S721:X721)</f>
        <v>3</v>
      </c>
      <c r="AB721" s="11" t="n">
        <f aca="false">(AA721/(K721*L721)*25)*4</f>
        <v>12</v>
      </c>
    </row>
    <row r="722" customFormat="false" ht="14.25" hidden="false" customHeight="false" outlineLevel="0" collapsed="false">
      <c r="A722" s="1" t="n">
        <v>2009</v>
      </c>
      <c r="B722" s="7" t="s">
        <v>322</v>
      </c>
      <c r="C722" s="7" t="n">
        <v>2</v>
      </c>
      <c r="D722" s="7" t="s">
        <v>294</v>
      </c>
      <c r="E722" s="7" t="s">
        <v>294</v>
      </c>
      <c r="F722" s="7" t="s">
        <v>51</v>
      </c>
      <c r="G722" s="1" t="n">
        <v>3</v>
      </c>
      <c r="H722" s="1" t="n">
        <v>13</v>
      </c>
      <c r="I722" s="10" t="n">
        <v>39969</v>
      </c>
      <c r="J722" s="10" t="n">
        <v>39974</v>
      </c>
      <c r="K722" s="1" t="n">
        <v>5</v>
      </c>
      <c r="L722" s="1" t="n">
        <v>5</v>
      </c>
      <c r="M722" s="3" t="s">
        <v>48</v>
      </c>
      <c r="N722" s="3" t="s">
        <v>67</v>
      </c>
      <c r="O722" s="3" t="s">
        <v>127</v>
      </c>
      <c r="P722" s="2" t="str">
        <f aca="false">CONCATENATE(N722," ",O722)</f>
        <v>Pardosa lugubris</v>
      </c>
      <c r="Q722" s="1" t="s">
        <v>30</v>
      </c>
      <c r="R722" s="1" t="s">
        <v>31</v>
      </c>
      <c r="S722" s="1" t="n">
        <v>16</v>
      </c>
      <c r="T722" s="1" t="n">
        <v>0</v>
      </c>
      <c r="U722" s="1" t="n">
        <v>0</v>
      </c>
      <c r="V722" s="1" t="n">
        <v>0</v>
      </c>
      <c r="W722" s="1" t="n">
        <v>0</v>
      </c>
      <c r="X722" s="1" t="n">
        <v>0</v>
      </c>
      <c r="Y722" s="3" t="n">
        <f aca="false">SUM(S722:T722)</f>
        <v>16</v>
      </c>
      <c r="Z722" s="3" t="n">
        <f aca="false">SUM(U722:W722)</f>
        <v>0</v>
      </c>
      <c r="AA722" s="3" t="n">
        <f aca="false">SUM(S722:X722)</f>
        <v>16</v>
      </c>
      <c r="AB722" s="11" t="n">
        <f aca="false">(AA722/(K722*L722)*25)*4</f>
        <v>64</v>
      </c>
    </row>
    <row r="723" customFormat="false" ht="14.25" hidden="false" customHeight="false" outlineLevel="0" collapsed="false">
      <c r="A723" s="1" t="n">
        <v>2009</v>
      </c>
      <c r="B723" s="7" t="s">
        <v>322</v>
      </c>
      <c r="C723" s="7" t="n">
        <v>2</v>
      </c>
      <c r="D723" s="7" t="s">
        <v>294</v>
      </c>
      <c r="E723" s="7" t="s">
        <v>294</v>
      </c>
      <c r="F723" s="7" t="s">
        <v>51</v>
      </c>
      <c r="G723" s="1" t="n">
        <v>3</v>
      </c>
      <c r="H723" s="1" t="n">
        <v>13</v>
      </c>
      <c r="I723" s="10" t="n">
        <v>39969</v>
      </c>
      <c r="J723" s="10" t="n">
        <v>39974</v>
      </c>
      <c r="K723" s="1" t="n">
        <v>5</v>
      </c>
      <c r="L723" s="1" t="n">
        <v>5</v>
      </c>
      <c r="M723" s="3" t="s">
        <v>48</v>
      </c>
      <c r="N723" s="3" t="s">
        <v>67</v>
      </c>
      <c r="O723" s="3" t="s">
        <v>127</v>
      </c>
      <c r="P723" s="2" t="str">
        <f aca="false">CONCATENATE(N723," ",O723)</f>
        <v>Pardosa lugubris</v>
      </c>
      <c r="Q723" s="1" t="s">
        <v>30</v>
      </c>
      <c r="R723" s="1" t="s">
        <v>35</v>
      </c>
      <c r="S723" s="1" t="n">
        <v>0</v>
      </c>
      <c r="T723" s="1" t="n">
        <v>2</v>
      </c>
      <c r="U723" s="1" t="n">
        <v>0</v>
      </c>
      <c r="V723" s="1" t="n">
        <v>0</v>
      </c>
      <c r="W723" s="1" t="n">
        <v>0</v>
      </c>
      <c r="X723" s="1" t="n">
        <v>0</v>
      </c>
      <c r="Y723" s="3" t="n">
        <f aca="false">SUM(S723:T723)</f>
        <v>2</v>
      </c>
      <c r="Z723" s="3" t="n">
        <f aca="false">SUM(U723:W723)</f>
        <v>0</v>
      </c>
      <c r="AA723" s="3" t="n">
        <f aca="false">SUM(S723:X723)</f>
        <v>2</v>
      </c>
      <c r="AB723" s="11" t="n">
        <f aca="false">(AA723/(K723*L723)*25)*4</f>
        <v>8</v>
      </c>
    </row>
    <row r="724" customFormat="false" ht="14.25" hidden="false" customHeight="false" outlineLevel="0" collapsed="false">
      <c r="A724" s="1" t="n">
        <v>2009</v>
      </c>
      <c r="B724" s="7" t="s">
        <v>322</v>
      </c>
      <c r="C724" s="7" t="n">
        <v>2</v>
      </c>
      <c r="D724" s="7" t="s">
        <v>294</v>
      </c>
      <c r="E724" s="7" t="s">
        <v>294</v>
      </c>
      <c r="F724" s="7" t="s">
        <v>51</v>
      </c>
      <c r="G724" s="1" t="n">
        <v>3</v>
      </c>
      <c r="H724" s="1" t="n">
        <v>13</v>
      </c>
      <c r="I724" s="10" t="n">
        <v>39969</v>
      </c>
      <c r="J724" s="10" t="n">
        <v>39974</v>
      </c>
      <c r="K724" s="1" t="n">
        <v>5</v>
      </c>
      <c r="L724" s="1" t="n">
        <v>5</v>
      </c>
      <c r="M724" s="3" t="s">
        <v>48</v>
      </c>
      <c r="N724" s="3" t="s">
        <v>61</v>
      </c>
      <c r="O724" s="3" t="s">
        <v>82</v>
      </c>
      <c r="P724" s="2" t="str">
        <f aca="false">CONCATENATE(N724," ",O724)</f>
        <v>Trochosa terricola</v>
      </c>
      <c r="Q724" s="1" t="s">
        <v>30</v>
      </c>
      <c r="R724" s="1" t="s">
        <v>35</v>
      </c>
      <c r="S724" s="1" t="n">
        <v>0</v>
      </c>
      <c r="T724" s="1" t="n">
        <v>1</v>
      </c>
      <c r="U724" s="1" t="n">
        <v>0</v>
      </c>
      <c r="V724" s="1" t="n">
        <v>0</v>
      </c>
      <c r="W724" s="1" t="n">
        <v>0</v>
      </c>
      <c r="X724" s="1" t="n">
        <v>0</v>
      </c>
      <c r="Y724" s="3" t="n">
        <f aca="false">SUM(S724:T724)</f>
        <v>1</v>
      </c>
      <c r="Z724" s="3" t="n">
        <f aca="false">SUM(U724:W724)</f>
        <v>0</v>
      </c>
      <c r="AA724" s="3" t="n">
        <f aca="false">SUM(S724:X724)</f>
        <v>1</v>
      </c>
      <c r="AB724" s="11" t="n">
        <f aca="false">(AA724/(K724*L724)*25)*4</f>
        <v>4</v>
      </c>
    </row>
    <row r="725" customFormat="false" ht="14.25" hidden="false" customHeight="false" outlineLevel="0" collapsed="false">
      <c r="A725" s="1" t="n">
        <v>2009</v>
      </c>
      <c r="B725" s="7" t="s">
        <v>322</v>
      </c>
      <c r="C725" s="7" t="n">
        <v>2</v>
      </c>
      <c r="D725" s="7" t="s">
        <v>294</v>
      </c>
      <c r="E725" s="7" t="s">
        <v>294</v>
      </c>
      <c r="F725" s="7" t="s">
        <v>51</v>
      </c>
      <c r="G725" s="1" t="n">
        <v>3</v>
      </c>
      <c r="H725" s="1" t="n">
        <v>13</v>
      </c>
      <c r="I725" s="10" t="n">
        <v>39969</v>
      </c>
      <c r="J725" s="10" t="n">
        <v>39974</v>
      </c>
      <c r="K725" s="1" t="n">
        <v>5</v>
      </c>
      <c r="L725" s="1" t="n">
        <v>5</v>
      </c>
      <c r="M725" s="3" t="s">
        <v>36</v>
      </c>
      <c r="N725" s="3" t="s">
        <v>37</v>
      </c>
      <c r="O725" s="8" t="s">
        <v>75</v>
      </c>
      <c r="P725" s="2" t="str">
        <f aca="false">CONCATENATE(N725," ",O725)</f>
        <v>Ozyptila praticola</v>
      </c>
      <c r="Q725" s="1" t="s">
        <v>30</v>
      </c>
      <c r="R725" s="1" t="s">
        <v>35</v>
      </c>
      <c r="S725" s="1" t="n">
        <v>0</v>
      </c>
      <c r="T725" s="1" t="n">
        <v>1</v>
      </c>
      <c r="U725" s="1" t="n">
        <v>0</v>
      </c>
      <c r="V725" s="1" t="n">
        <v>0</v>
      </c>
      <c r="W725" s="1" t="n">
        <v>0</v>
      </c>
      <c r="X725" s="1" t="n">
        <v>0</v>
      </c>
      <c r="Y725" s="3" t="n">
        <f aca="false">SUM(S725:T725)</f>
        <v>1</v>
      </c>
      <c r="Z725" s="3" t="n">
        <f aca="false">SUM(U725:W725)</f>
        <v>0</v>
      </c>
      <c r="AA725" s="3" t="n">
        <f aca="false">SUM(S725:X725)</f>
        <v>1</v>
      </c>
      <c r="AB725" s="11" t="n">
        <f aca="false">(AA725/(K725*L725)*25)*4</f>
        <v>4</v>
      </c>
    </row>
    <row r="726" customFormat="false" ht="14.25" hidden="false" customHeight="false" outlineLevel="0" collapsed="false">
      <c r="A726" s="1" t="n">
        <v>2009</v>
      </c>
      <c r="B726" s="7" t="s">
        <v>322</v>
      </c>
      <c r="C726" s="7" t="n">
        <v>2</v>
      </c>
      <c r="D726" s="7" t="s">
        <v>294</v>
      </c>
      <c r="E726" s="7" t="s">
        <v>294</v>
      </c>
      <c r="F726" s="7" t="s">
        <v>51</v>
      </c>
      <c r="G726" s="1" t="n">
        <v>3</v>
      </c>
      <c r="H726" s="1" t="n">
        <v>13</v>
      </c>
      <c r="I726" s="10" t="n">
        <v>39969</v>
      </c>
      <c r="J726" s="10" t="n">
        <v>39974</v>
      </c>
      <c r="K726" s="1" t="n">
        <v>5</v>
      </c>
      <c r="L726" s="1" t="n">
        <v>5</v>
      </c>
      <c r="M726" s="3" t="s">
        <v>36</v>
      </c>
      <c r="N726" s="3" t="s">
        <v>131</v>
      </c>
      <c r="O726" s="3" t="s">
        <v>133</v>
      </c>
      <c r="P726" s="2" t="str">
        <f aca="false">CONCATENATE(N726," ",O726)</f>
        <v>Xysticus luctuosus</v>
      </c>
      <c r="Q726" s="1" t="s">
        <v>30</v>
      </c>
      <c r="R726" s="1" t="s">
        <v>31</v>
      </c>
      <c r="S726" s="1" t="n">
        <v>1</v>
      </c>
      <c r="T726" s="1" t="n">
        <v>0</v>
      </c>
      <c r="U726" s="1" t="n">
        <v>0</v>
      </c>
      <c r="V726" s="1" t="n">
        <v>0</v>
      </c>
      <c r="W726" s="1" t="n">
        <v>0</v>
      </c>
      <c r="X726" s="1" t="n">
        <v>0</v>
      </c>
      <c r="Y726" s="3" t="n">
        <f aca="false">SUM(S726:T726)</f>
        <v>1</v>
      </c>
      <c r="Z726" s="3" t="n">
        <f aca="false">SUM(U726:W726)</f>
        <v>0</v>
      </c>
      <c r="AA726" s="3" t="n">
        <f aca="false">SUM(S726:X726)</f>
        <v>1</v>
      </c>
      <c r="AB726" s="11" t="n">
        <f aca="false">(AA726/(K726*L726)*25)*4</f>
        <v>4</v>
      </c>
    </row>
    <row r="727" customFormat="false" ht="14.25" hidden="false" customHeight="false" outlineLevel="0" collapsed="false">
      <c r="A727" s="1" t="n">
        <v>2009</v>
      </c>
      <c r="B727" s="7" t="s">
        <v>322</v>
      </c>
      <c r="C727" s="7" t="n">
        <v>2</v>
      </c>
      <c r="D727" s="7" t="s">
        <v>294</v>
      </c>
      <c r="E727" s="7" t="s">
        <v>294</v>
      </c>
      <c r="F727" s="7" t="s">
        <v>51</v>
      </c>
      <c r="G727" s="1" t="n">
        <v>3</v>
      </c>
      <c r="H727" s="1" t="n">
        <v>13</v>
      </c>
      <c r="I727" s="10" t="n">
        <v>39969</v>
      </c>
      <c r="J727" s="10" t="n">
        <v>39974</v>
      </c>
      <c r="K727" s="1" t="n">
        <v>5</v>
      </c>
      <c r="L727" s="1" t="n">
        <v>5</v>
      </c>
      <c r="M727" s="3" t="s">
        <v>72</v>
      </c>
      <c r="N727" s="3" t="s">
        <v>86</v>
      </c>
      <c r="O727" s="8" t="s">
        <v>87</v>
      </c>
      <c r="P727" s="2" t="str">
        <f aca="false">CONCATENATE(N727," ",O727)</f>
        <v>Haplodrassus soerenseni</v>
      </c>
      <c r="Q727" s="1" t="s">
        <v>30</v>
      </c>
      <c r="R727" s="1" t="s">
        <v>31</v>
      </c>
      <c r="S727" s="1" t="n">
        <v>4</v>
      </c>
      <c r="T727" s="1" t="n">
        <v>0</v>
      </c>
      <c r="U727" s="1" t="n">
        <v>0</v>
      </c>
      <c r="V727" s="1" t="n">
        <v>0</v>
      </c>
      <c r="W727" s="1" t="n">
        <v>0</v>
      </c>
      <c r="X727" s="1" t="n">
        <v>0</v>
      </c>
      <c r="Y727" s="3" t="n">
        <f aca="false">SUM(S727:T727)</f>
        <v>4</v>
      </c>
      <c r="Z727" s="3" t="n">
        <f aca="false">SUM(U727:W727)</f>
        <v>0</v>
      </c>
      <c r="AA727" s="3" t="n">
        <f aca="false">SUM(S727:X727)</f>
        <v>4</v>
      </c>
      <c r="AB727" s="11" t="n">
        <f aca="false">(AA727/(K727*L727)*25)*4</f>
        <v>16</v>
      </c>
    </row>
    <row r="728" customFormat="false" ht="14.25" hidden="false" customHeight="false" outlineLevel="0" collapsed="false">
      <c r="A728" s="1" t="n">
        <v>2009</v>
      </c>
      <c r="B728" s="7" t="s">
        <v>322</v>
      </c>
      <c r="C728" s="7" t="n">
        <v>2</v>
      </c>
      <c r="D728" s="7" t="s">
        <v>294</v>
      </c>
      <c r="E728" s="7" t="s">
        <v>294</v>
      </c>
      <c r="F728" s="7" t="s">
        <v>51</v>
      </c>
      <c r="G728" s="1" t="n">
        <v>3</v>
      </c>
      <c r="H728" s="1" t="n">
        <v>13</v>
      </c>
      <c r="I728" s="10" t="n">
        <v>39969</v>
      </c>
      <c r="J728" s="10" t="n">
        <v>39974</v>
      </c>
      <c r="K728" s="1" t="n">
        <v>5</v>
      </c>
      <c r="L728" s="1" t="n">
        <v>5</v>
      </c>
      <c r="M728" s="3" t="s">
        <v>72</v>
      </c>
      <c r="N728" s="3" t="s">
        <v>73</v>
      </c>
      <c r="O728" s="3" t="s">
        <v>74</v>
      </c>
      <c r="P728" s="2" t="str">
        <f aca="false">CONCATENATE(N728," ",O728)</f>
        <v>Zelotes subterraneus</v>
      </c>
      <c r="Q728" s="1" t="s">
        <v>30</v>
      </c>
      <c r="R728" s="1" t="s">
        <v>31</v>
      </c>
      <c r="S728" s="1" t="n">
        <v>1</v>
      </c>
      <c r="T728" s="1" t="n">
        <v>0</v>
      </c>
      <c r="U728" s="1" t="n">
        <v>0</v>
      </c>
      <c r="V728" s="1" t="n">
        <v>0</v>
      </c>
      <c r="W728" s="1" t="n">
        <v>0</v>
      </c>
      <c r="X728" s="1" t="n">
        <v>0</v>
      </c>
      <c r="Y728" s="3" t="n">
        <f aca="false">SUM(S728:T728)</f>
        <v>1</v>
      </c>
      <c r="Z728" s="3" t="n">
        <f aca="false">SUM(U728:W728)</f>
        <v>0</v>
      </c>
      <c r="AA728" s="3" t="n">
        <f aca="false">SUM(S728:X728)</f>
        <v>1</v>
      </c>
      <c r="AB728" s="11" t="n">
        <f aca="false">(AA728/(K728*L728)*25)*4</f>
        <v>4</v>
      </c>
    </row>
    <row r="729" customFormat="false" ht="14.25" hidden="false" customHeight="false" outlineLevel="0" collapsed="false">
      <c r="A729" s="1" t="n">
        <v>2009</v>
      </c>
      <c r="B729" s="7" t="s">
        <v>322</v>
      </c>
      <c r="C729" s="7" t="n">
        <v>2</v>
      </c>
      <c r="D729" s="7" t="s">
        <v>294</v>
      </c>
      <c r="E729" s="7" t="s">
        <v>294</v>
      </c>
      <c r="F729" s="7" t="s">
        <v>51</v>
      </c>
      <c r="G729" s="1" t="n">
        <v>3</v>
      </c>
      <c r="H729" s="1" t="n">
        <v>13</v>
      </c>
      <c r="I729" s="10" t="n">
        <v>39969</v>
      </c>
      <c r="J729" s="10" t="n">
        <v>39974</v>
      </c>
      <c r="K729" s="1" t="n">
        <v>5</v>
      </c>
      <c r="L729" s="1" t="n">
        <v>5</v>
      </c>
      <c r="M729" s="3" t="s">
        <v>32</v>
      </c>
      <c r="N729" s="3" t="s">
        <v>90</v>
      </c>
      <c r="O729" s="3" t="s">
        <v>91</v>
      </c>
      <c r="P729" s="2" t="str">
        <f aca="false">CONCATENATE(N729," ",O729)</f>
        <v>Tapinocyba insecta</v>
      </c>
      <c r="Q729" s="1" t="s">
        <v>30</v>
      </c>
      <c r="R729" s="1" t="s">
        <v>31</v>
      </c>
      <c r="S729" s="1" t="n">
        <v>1</v>
      </c>
      <c r="T729" s="1" t="n">
        <v>0</v>
      </c>
      <c r="U729" s="1" t="n">
        <v>0</v>
      </c>
      <c r="V729" s="1" t="n">
        <v>0</v>
      </c>
      <c r="W729" s="1" t="n">
        <v>0</v>
      </c>
      <c r="X729" s="1" t="n">
        <v>0</v>
      </c>
      <c r="Y729" s="3" t="n">
        <f aca="false">SUM(S729:T729)</f>
        <v>1</v>
      </c>
      <c r="Z729" s="3" t="n">
        <f aca="false">SUM(U729:W729)</f>
        <v>0</v>
      </c>
      <c r="AA729" s="3" t="n">
        <f aca="false">SUM(S729:X729)</f>
        <v>1</v>
      </c>
      <c r="AB729" s="11" t="n">
        <f aca="false">(AA729/(K729*L729)*25)*4</f>
        <v>4</v>
      </c>
    </row>
    <row r="730" customFormat="false" ht="14.25" hidden="false" customHeight="false" outlineLevel="0" collapsed="false">
      <c r="A730" s="1" t="n">
        <v>2009</v>
      </c>
      <c r="B730" s="7" t="s">
        <v>322</v>
      </c>
      <c r="C730" s="7" t="n">
        <v>2</v>
      </c>
      <c r="D730" s="7" t="s">
        <v>294</v>
      </c>
      <c r="E730" s="7" t="s">
        <v>294</v>
      </c>
      <c r="F730" s="7" t="s">
        <v>51</v>
      </c>
      <c r="G730" s="1" t="n">
        <v>3</v>
      </c>
      <c r="H730" s="1" t="n">
        <v>13</v>
      </c>
      <c r="I730" s="10" t="n">
        <v>39969</v>
      </c>
      <c r="J730" s="10" t="n">
        <v>39974</v>
      </c>
      <c r="K730" s="1" t="n">
        <v>5</v>
      </c>
      <c r="L730" s="1" t="n">
        <v>5</v>
      </c>
      <c r="M730" s="3" t="s">
        <v>32</v>
      </c>
      <c r="N730" s="3" t="s">
        <v>55</v>
      </c>
      <c r="O730" s="3" t="s">
        <v>194</v>
      </c>
      <c r="P730" s="2" t="str">
        <f aca="false">CONCATENATE(N730," ",O730)</f>
        <v>Maro pansibiricus</v>
      </c>
      <c r="Q730" s="1" t="s">
        <v>30</v>
      </c>
      <c r="R730" s="1" t="s">
        <v>31</v>
      </c>
      <c r="S730" s="1" t="n">
        <v>2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0</v>
      </c>
      <c r="Y730" s="3" t="n">
        <f aca="false">SUM(S730:T730)</f>
        <v>2</v>
      </c>
      <c r="Z730" s="3" t="n">
        <f aca="false">SUM(U730:W730)</f>
        <v>0</v>
      </c>
      <c r="AA730" s="3" t="n">
        <f aca="false">SUM(S730:X730)</f>
        <v>2</v>
      </c>
      <c r="AB730" s="11" t="n">
        <f aca="false">(AA730/(K730*L730)*25)*4</f>
        <v>8</v>
      </c>
    </row>
    <row r="731" customFormat="false" ht="14.25" hidden="false" customHeight="false" outlineLevel="0" collapsed="false">
      <c r="A731" s="1" t="n">
        <v>2009</v>
      </c>
      <c r="B731" s="7" t="s">
        <v>322</v>
      </c>
      <c r="C731" s="7" t="n">
        <v>2</v>
      </c>
      <c r="D731" s="7" t="s">
        <v>294</v>
      </c>
      <c r="E731" s="7" t="s">
        <v>294</v>
      </c>
      <c r="F731" s="7" t="s">
        <v>51</v>
      </c>
      <c r="G731" s="1" t="n">
        <v>3</v>
      </c>
      <c r="H731" s="1" t="n">
        <v>14</v>
      </c>
      <c r="I731" s="10" t="n">
        <v>39969</v>
      </c>
      <c r="J731" s="10" t="n">
        <v>39974</v>
      </c>
      <c r="K731" s="1" t="n">
        <v>5</v>
      </c>
      <c r="L731" s="1" t="n">
        <v>5</v>
      </c>
      <c r="M731" s="3" t="s">
        <v>48</v>
      </c>
      <c r="N731" s="3" t="s">
        <v>49</v>
      </c>
      <c r="O731" s="3" t="s">
        <v>104</v>
      </c>
      <c r="P731" s="2" t="str">
        <f aca="false">CONCATENATE(N731," ",O731)</f>
        <v>Alopecosa taeniata</v>
      </c>
      <c r="Q731" s="1" t="s">
        <v>30</v>
      </c>
      <c r="R731" s="1" t="s">
        <v>31</v>
      </c>
      <c r="S731" s="1" t="n">
        <v>6</v>
      </c>
      <c r="T731" s="1" t="n">
        <v>0</v>
      </c>
      <c r="U731" s="1" t="n">
        <v>0</v>
      </c>
      <c r="V731" s="1" t="n">
        <v>0</v>
      </c>
      <c r="W731" s="1" t="n">
        <v>0</v>
      </c>
      <c r="X731" s="1" t="n">
        <v>0</v>
      </c>
      <c r="Y731" s="3" t="n">
        <f aca="false">SUM(S731:T731)</f>
        <v>6</v>
      </c>
      <c r="Z731" s="3" t="n">
        <f aca="false">SUM(U731:W731)</f>
        <v>0</v>
      </c>
      <c r="AA731" s="3" t="n">
        <f aca="false">SUM(S731:X731)</f>
        <v>6</v>
      </c>
      <c r="AB731" s="11" t="n">
        <f aca="false">(AA731/(K731*L731)*25)*4</f>
        <v>24</v>
      </c>
    </row>
    <row r="732" customFormat="false" ht="14.25" hidden="false" customHeight="false" outlineLevel="0" collapsed="false">
      <c r="A732" s="1" t="n">
        <v>2009</v>
      </c>
      <c r="B732" s="7" t="s">
        <v>322</v>
      </c>
      <c r="C732" s="7" t="n">
        <v>2</v>
      </c>
      <c r="D732" s="7" t="s">
        <v>294</v>
      </c>
      <c r="E732" s="7" t="s">
        <v>294</v>
      </c>
      <c r="F732" s="7" t="s">
        <v>51</v>
      </c>
      <c r="G732" s="1" t="n">
        <v>3</v>
      </c>
      <c r="H732" s="1" t="n">
        <v>14</v>
      </c>
      <c r="I732" s="10" t="n">
        <v>39969</v>
      </c>
      <c r="J732" s="10" t="n">
        <v>39974</v>
      </c>
      <c r="K732" s="1" t="n">
        <v>5</v>
      </c>
      <c r="L732" s="1" t="n">
        <v>5</v>
      </c>
      <c r="M732" s="3" t="s">
        <v>48</v>
      </c>
      <c r="N732" s="3" t="s">
        <v>67</v>
      </c>
      <c r="O732" s="3" t="s">
        <v>127</v>
      </c>
      <c r="P732" s="2" t="str">
        <f aca="false">CONCATENATE(N732," ",O732)</f>
        <v>Pardosa lugubris</v>
      </c>
      <c r="Q732" s="1" t="s">
        <v>30</v>
      </c>
      <c r="R732" s="1" t="s">
        <v>31</v>
      </c>
      <c r="S732" s="1" t="n">
        <v>18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0</v>
      </c>
      <c r="Y732" s="3" t="n">
        <f aca="false">SUM(S732:T732)</f>
        <v>18</v>
      </c>
      <c r="Z732" s="3" t="n">
        <f aca="false">SUM(U732:W732)</f>
        <v>0</v>
      </c>
      <c r="AA732" s="3" t="n">
        <f aca="false">SUM(S732:X732)</f>
        <v>18</v>
      </c>
      <c r="AB732" s="11" t="n">
        <f aca="false">(AA732/(K732*L732)*25)*4</f>
        <v>72</v>
      </c>
    </row>
    <row r="733" customFormat="false" ht="14.25" hidden="false" customHeight="false" outlineLevel="0" collapsed="false">
      <c r="A733" s="1" t="n">
        <v>2009</v>
      </c>
      <c r="B733" s="7" t="s">
        <v>322</v>
      </c>
      <c r="C733" s="7" t="n">
        <v>2</v>
      </c>
      <c r="D733" s="7" t="s">
        <v>294</v>
      </c>
      <c r="E733" s="7" t="s">
        <v>294</v>
      </c>
      <c r="F733" s="7" t="s">
        <v>51</v>
      </c>
      <c r="G733" s="1" t="n">
        <v>3</v>
      </c>
      <c r="H733" s="1" t="n">
        <v>14</v>
      </c>
      <c r="I733" s="10" t="n">
        <v>39969</v>
      </c>
      <c r="J733" s="10" t="n">
        <v>39974</v>
      </c>
      <c r="K733" s="1" t="n">
        <v>5</v>
      </c>
      <c r="L733" s="1" t="n">
        <v>5</v>
      </c>
      <c r="M733" s="3" t="s">
        <v>48</v>
      </c>
      <c r="N733" s="3" t="s">
        <v>67</v>
      </c>
      <c r="O733" s="3" t="s">
        <v>127</v>
      </c>
      <c r="P733" s="2" t="str">
        <f aca="false">CONCATENATE(N733," ",O733)</f>
        <v>Pardosa lugubris</v>
      </c>
      <c r="Q733" s="1" t="s">
        <v>30</v>
      </c>
      <c r="R733" s="1" t="s">
        <v>35</v>
      </c>
      <c r="S733" s="1" t="n">
        <v>0</v>
      </c>
      <c r="T733" s="1" t="n">
        <v>3</v>
      </c>
      <c r="U733" s="1" t="n">
        <v>0</v>
      </c>
      <c r="V733" s="1" t="n">
        <v>0</v>
      </c>
      <c r="W733" s="1" t="n">
        <v>0</v>
      </c>
      <c r="X733" s="1" t="n">
        <v>0</v>
      </c>
      <c r="Y733" s="3" t="n">
        <f aca="false">SUM(S733:T733)</f>
        <v>3</v>
      </c>
      <c r="Z733" s="3" t="n">
        <f aca="false">SUM(U733:W733)</f>
        <v>0</v>
      </c>
      <c r="AA733" s="3" t="n">
        <f aca="false">SUM(S733:X733)</f>
        <v>3</v>
      </c>
      <c r="AB733" s="11" t="n">
        <f aca="false">(AA733/(K733*L733)*25)*4</f>
        <v>12</v>
      </c>
    </row>
    <row r="734" customFormat="false" ht="14.25" hidden="false" customHeight="false" outlineLevel="0" collapsed="false">
      <c r="A734" s="1" t="n">
        <v>2009</v>
      </c>
      <c r="B734" s="7" t="s">
        <v>322</v>
      </c>
      <c r="C734" s="7" t="n">
        <v>2</v>
      </c>
      <c r="D734" s="7" t="s">
        <v>294</v>
      </c>
      <c r="E734" s="7" t="s">
        <v>294</v>
      </c>
      <c r="F734" s="7" t="s">
        <v>51</v>
      </c>
      <c r="G734" s="1" t="n">
        <v>3</v>
      </c>
      <c r="H734" s="1" t="n">
        <v>14</v>
      </c>
      <c r="I734" s="10" t="n">
        <v>39969</v>
      </c>
      <c r="J734" s="10" t="n">
        <v>39974</v>
      </c>
      <c r="K734" s="1" t="n">
        <v>5</v>
      </c>
      <c r="L734" s="1" t="n">
        <v>5</v>
      </c>
      <c r="M734" s="3" t="s">
        <v>64</v>
      </c>
      <c r="N734" s="3" t="s">
        <v>65</v>
      </c>
      <c r="O734" s="3" t="s">
        <v>123</v>
      </c>
      <c r="P734" s="2" t="str">
        <f aca="false">CONCATENATE(N734," ",O734)</f>
        <v>Zora nemoralis</v>
      </c>
      <c r="Q734" s="1" t="s">
        <v>30</v>
      </c>
      <c r="R734" s="1" t="s">
        <v>31</v>
      </c>
      <c r="S734" s="1" t="n">
        <v>1</v>
      </c>
      <c r="T734" s="1" t="n">
        <v>0</v>
      </c>
      <c r="U734" s="1" t="n">
        <v>0</v>
      </c>
      <c r="V734" s="1" t="n">
        <v>0</v>
      </c>
      <c r="W734" s="1" t="n">
        <v>0</v>
      </c>
      <c r="X734" s="1" t="n">
        <v>0</v>
      </c>
      <c r="Y734" s="3" t="n">
        <f aca="false">SUM(S734:T734)</f>
        <v>1</v>
      </c>
      <c r="Z734" s="3" t="n">
        <f aca="false">SUM(U734:W734)</f>
        <v>0</v>
      </c>
      <c r="AA734" s="3" t="n">
        <f aca="false">SUM(S734:X734)</f>
        <v>1</v>
      </c>
      <c r="AB734" s="11" t="n">
        <f aca="false">(AA734/(K734*L734)*25)*4</f>
        <v>4</v>
      </c>
    </row>
    <row r="735" customFormat="false" ht="14.25" hidden="false" customHeight="false" outlineLevel="0" collapsed="false">
      <c r="A735" s="1" t="n">
        <v>2009</v>
      </c>
      <c r="B735" s="7" t="s">
        <v>322</v>
      </c>
      <c r="C735" s="7" t="n">
        <v>2</v>
      </c>
      <c r="D735" s="7" t="s">
        <v>294</v>
      </c>
      <c r="E735" s="7" t="s">
        <v>294</v>
      </c>
      <c r="F735" s="7" t="s">
        <v>51</v>
      </c>
      <c r="G735" s="1" t="n">
        <v>3</v>
      </c>
      <c r="H735" s="1" t="n">
        <v>14</v>
      </c>
      <c r="I735" s="10" t="n">
        <v>39969</v>
      </c>
      <c r="J735" s="10" t="n">
        <v>39974</v>
      </c>
      <c r="K735" s="1" t="n">
        <v>5</v>
      </c>
      <c r="L735" s="1" t="n">
        <v>5</v>
      </c>
      <c r="M735" s="3" t="s">
        <v>36</v>
      </c>
      <c r="N735" s="3" t="s">
        <v>37</v>
      </c>
      <c r="O735" s="8" t="s">
        <v>75</v>
      </c>
      <c r="P735" s="2" t="str">
        <f aca="false">CONCATENATE(N735," ",O735)</f>
        <v>Ozyptila praticola</v>
      </c>
      <c r="Q735" s="1" t="s">
        <v>30</v>
      </c>
      <c r="R735" s="1" t="s">
        <v>31</v>
      </c>
      <c r="S735" s="1" t="n">
        <v>1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0</v>
      </c>
      <c r="Y735" s="3" t="n">
        <f aca="false">SUM(S735:T735)</f>
        <v>1</v>
      </c>
      <c r="Z735" s="3" t="n">
        <f aca="false">SUM(U735:W735)</f>
        <v>0</v>
      </c>
      <c r="AA735" s="3" t="n">
        <f aca="false">SUM(S735:X735)</f>
        <v>1</v>
      </c>
      <c r="AB735" s="11" t="n">
        <f aca="false">(AA735/(K735*L735)*25)*4</f>
        <v>4</v>
      </c>
    </row>
    <row r="736" customFormat="false" ht="14.25" hidden="false" customHeight="false" outlineLevel="0" collapsed="false">
      <c r="A736" s="1" t="n">
        <v>2009</v>
      </c>
      <c r="B736" s="7" t="s">
        <v>322</v>
      </c>
      <c r="C736" s="7" t="n">
        <v>2</v>
      </c>
      <c r="D736" s="7" t="s">
        <v>294</v>
      </c>
      <c r="E736" s="7" t="s">
        <v>294</v>
      </c>
      <c r="F736" s="7" t="s">
        <v>51</v>
      </c>
      <c r="G736" s="1" t="n">
        <v>3</v>
      </c>
      <c r="H736" s="1" t="n">
        <v>14</v>
      </c>
      <c r="I736" s="10" t="n">
        <v>39969</v>
      </c>
      <c r="J736" s="10" t="n">
        <v>39974</v>
      </c>
      <c r="K736" s="1" t="n">
        <v>5</v>
      </c>
      <c r="L736" s="1" t="n">
        <v>5</v>
      </c>
      <c r="M736" s="13" t="s">
        <v>195</v>
      </c>
      <c r="N736" s="13" t="s">
        <v>196</v>
      </c>
      <c r="O736" s="14" t="s">
        <v>197</v>
      </c>
      <c r="P736" s="2" t="str">
        <f aca="false">CONCATENATE(N736," ",O736)</f>
        <v>Pachygnatha listeri</v>
      </c>
      <c r="Q736" s="1" t="s">
        <v>30</v>
      </c>
      <c r="R736" s="1" t="s">
        <v>31</v>
      </c>
      <c r="S736" s="1" t="n">
        <v>1</v>
      </c>
      <c r="T736" s="1" t="n">
        <v>0</v>
      </c>
      <c r="U736" s="1" t="n">
        <v>0</v>
      </c>
      <c r="V736" s="1" t="n">
        <v>0</v>
      </c>
      <c r="W736" s="1" t="n">
        <v>0</v>
      </c>
      <c r="X736" s="1" t="n">
        <v>0</v>
      </c>
      <c r="Y736" s="3" t="n">
        <f aca="false">SUM(S736:T736)</f>
        <v>1</v>
      </c>
      <c r="Z736" s="3" t="n">
        <f aca="false">SUM(U736:W736)</f>
        <v>0</v>
      </c>
      <c r="AA736" s="3" t="n">
        <f aca="false">SUM(S736:X736)</f>
        <v>1</v>
      </c>
      <c r="AB736" s="11" t="n">
        <f aca="false">(AA736/(K736*L736)*25)*4</f>
        <v>4</v>
      </c>
    </row>
    <row r="737" customFormat="false" ht="14.25" hidden="false" customHeight="false" outlineLevel="0" collapsed="false">
      <c r="A737" s="1" t="n">
        <v>2009</v>
      </c>
      <c r="B737" s="7" t="s">
        <v>322</v>
      </c>
      <c r="C737" s="7" t="n">
        <v>2</v>
      </c>
      <c r="D737" s="7" t="s">
        <v>294</v>
      </c>
      <c r="E737" s="7" t="s">
        <v>294</v>
      </c>
      <c r="F737" s="7" t="s">
        <v>51</v>
      </c>
      <c r="G737" s="1" t="n">
        <v>3</v>
      </c>
      <c r="H737" s="1" t="n">
        <v>14</v>
      </c>
      <c r="I737" s="10" t="n">
        <v>39969</v>
      </c>
      <c r="J737" s="10" t="n">
        <v>39974</v>
      </c>
      <c r="K737" s="1" t="n">
        <v>5</v>
      </c>
      <c r="L737" s="1" t="n">
        <v>5</v>
      </c>
      <c r="M737" s="13" t="s">
        <v>195</v>
      </c>
      <c r="N737" s="13" t="s">
        <v>196</v>
      </c>
      <c r="O737" s="14" t="s">
        <v>197</v>
      </c>
      <c r="P737" s="2" t="str">
        <f aca="false">CONCATENATE(N737," ",O737)</f>
        <v>Pachygnatha listeri</v>
      </c>
      <c r="Q737" s="1" t="s">
        <v>30</v>
      </c>
      <c r="R737" s="1" t="s">
        <v>35</v>
      </c>
      <c r="S737" s="1" t="n">
        <v>0</v>
      </c>
      <c r="T737" s="1" t="n">
        <v>1</v>
      </c>
      <c r="U737" s="1" t="n">
        <v>0</v>
      </c>
      <c r="V737" s="1" t="n">
        <v>0</v>
      </c>
      <c r="W737" s="1" t="n">
        <v>0</v>
      </c>
      <c r="X737" s="1" t="n">
        <v>0</v>
      </c>
      <c r="Y737" s="3" t="n">
        <f aca="false">SUM(S737:T737)</f>
        <v>1</v>
      </c>
      <c r="Z737" s="3" t="n">
        <f aca="false">SUM(U737:W737)</f>
        <v>0</v>
      </c>
      <c r="AA737" s="3" t="n">
        <f aca="false">SUM(S737:X737)</f>
        <v>1</v>
      </c>
      <c r="AB737" s="11" t="n">
        <f aca="false">(AA737/(K737*L737)*25)*4</f>
        <v>4</v>
      </c>
    </row>
    <row r="738" customFormat="false" ht="14.25" hidden="false" customHeight="false" outlineLevel="0" collapsed="false">
      <c r="A738" s="1" t="n">
        <v>2009</v>
      </c>
      <c r="B738" s="7" t="s">
        <v>322</v>
      </c>
      <c r="C738" s="7" t="n">
        <v>2</v>
      </c>
      <c r="D738" s="7" t="s">
        <v>294</v>
      </c>
      <c r="E738" s="7" t="s">
        <v>294</v>
      </c>
      <c r="F738" s="7" t="s">
        <v>51</v>
      </c>
      <c r="G738" s="1" t="n">
        <v>3</v>
      </c>
      <c r="H738" s="1" t="n">
        <v>15</v>
      </c>
      <c r="I738" s="10" t="n">
        <v>39969</v>
      </c>
      <c r="J738" s="10" t="n">
        <v>39974</v>
      </c>
      <c r="K738" s="1" t="n">
        <v>5</v>
      </c>
      <c r="L738" s="1" t="n">
        <v>5</v>
      </c>
      <c r="M738" s="3" t="s">
        <v>48</v>
      </c>
      <c r="N738" s="3" t="s">
        <v>49</v>
      </c>
      <c r="O738" s="3" t="s">
        <v>104</v>
      </c>
      <c r="P738" s="2" t="str">
        <f aca="false">CONCATENATE(N738," ",O738)</f>
        <v>Alopecosa taeniata</v>
      </c>
      <c r="Q738" s="1" t="s">
        <v>30</v>
      </c>
      <c r="R738" s="1" t="s">
        <v>31</v>
      </c>
      <c r="S738" s="1" t="n">
        <v>6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0</v>
      </c>
      <c r="Y738" s="3" t="n">
        <f aca="false">SUM(S738:T738)</f>
        <v>6</v>
      </c>
      <c r="Z738" s="3" t="n">
        <f aca="false">SUM(U738:W738)</f>
        <v>0</v>
      </c>
      <c r="AA738" s="3" t="n">
        <f aca="false">SUM(S738:X738)</f>
        <v>6</v>
      </c>
      <c r="AB738" s="11" t="n">
        <f aca="false">(AA738/(K738*L738)*25)*4</f>
        <v>24</v>
      </c>
    </row>
    <row r="739" customFormat="false" ht="14.25" hidden="false" customHeight="false" outlineLevel="0" collapsed="false">
      <c r="A739" s="1" t="n">
        <v>2009</v>
      </c>
      <c r="B739" s="7" t="s">
        <v>322</v>
      </c>
      <c r="C739" s="7" t="n">
        <v>2</v>
      </c>
      <c r="D739" s="7" t="s">
        <v>294</v>
      </c>
      <c r="E739" s="7" t="s">
        <v>294</v>
      </c>
      <c r="F739" s="7" t="s">
        <v>51</v>
      </c>
      <c r="G739" s="1" t="n">
        <v>3</v>
      </c>
      <c r="H739" s="1" t="n">
        <v>15</v>
      </c>
      <c r="I739" s="10" t="n">
        <v>39969</v>
      </c>
      <c r="J739" s="10" t="n">
        <v>39974</v>
      </c>
      <c r="K739" s="1" t="n">
        <v>5</v>
      </c>
      <c r="L739" s="1" t="n">
        <v>5</v>
      </c>
      <c r="M739" s="3" t="s">
        <v>48</v>
      </c>
      <c r="N739" s="3" t="s">
        <v>67</v>
      </c>
      <c r="O739" s="3" t="s">
        <v>127</v>
      </c>
      <c r="P739" s="2" t="str">
        <f aca="false">CONCATENATE(N739," ",O739)</f>
        <v>Pardosa lugubris</v>
      </c>
      <c r="Q739" s="1" t="s">
        <v>30</v>
      </c>
      <c r="R739" s="1" t="s">
        <v>31</v>
      </c>
      <c r="S739" s="1" t="n">
        <v>13</v>
      </c>
      <c r="T739" s="1" t="n">
        <v>0</v>
      </c>
      <c r="U739" s="1" t="n">
        <v>0</v>
      </c>
      <c r="V739" s="1" t="n">
        <v>0</v>
      </c>
      <c r="W739" s="1" t="n">
        <v>0</v>
      </c>
      <c r="X739" s="1" t="n">
        <v>0</v>
      </c>
      <c r="Y739" s="3" t="n">
        <f aca="false">SUM(S739:T739)</f>
        <v>13</v>
      </c>
      <c r="Z739" s="3" t="n">
        <f aca="false">SUM(U739:W739)</f>
        <v>0</v>
      </c>
      <c r="AA739" s="3" t="n">
        <f aca="false">SUM(S739:X739)</f>
        <v>13</v>
      </c>
      <c r="AB739" s="11" t="n">
        <f aca="false">(AA739/(K739*L739)*25)*4</f>
        <v>52</v>
      </c>
    </row>
    <row r="740" customFormat="false" ht="14.25" hidden="false" customHeight="false" outlineLevel="0" collapsed="false">
      <c r="A740" s="1" t="n">
        <v>2009</v>
      </c>
      <c r="B740" s="7" t="s">
        <v>322</v>
      </c>
      <c r="C740" s="7" t="n">
        <v>2</v>
      </c>
      <c r="D740" s="7" t="s">
        <v>294</v>
      </c>
      <c r="E740" s="7" t="s">
        <v>294</v>
      </c>
      <c r="F740" s="7" t="s">
        <v>51</v>
      </c>
      <c r="G740" s="1" t="n">
        <v>3</v>
      </c>
      <c r="H740" s="1" t="n">
        <v>15</v>
      </c>
      <c r="I740" s="10" t="n">
        <v>39969</v>
      </c>
      <c r="J740" s="10" t="n">
        <v>39974</v>
      </c>
      <c r="K740" s="1" t="n">
        <v>5</v>
      </c>
      <c r="L740" s="1" t="n">
        <v>5</v>
      </c>
      <c r="M740" s="3" t="s">
        <v>48</v>
      </c>
      <c r="N740" s="3" t="s">
        <v>67</v>
      </c>
      <c r="O740" s="3" t="s">
        <v>127</v>
      </c>
      <c r="P740" s="2" t="str">
        <f aca="false">CONCATENATE(N740," ",O740)</f>
        <v>Pardosa lugubris</v>
      </c>
      <c r="Q740" s="1" t="s">
        <v>30</v>
      </c>
      <c r="R740" s="1" t="s">
        <v>35</v>
      </c>
      <c r="S740" s="1" t="n">
        <v>0</v>
      </c>
      <c r="T740" s="1" t="n">
        <v>1</v>
      </c>
      <c r="U740" s="1" t="n">
        <v>0</v>
      </c>
      <c r="V740" s="1" t="n">
        <v>0</v>
      </c>
      <c r="W740" s="1" t="n">
        <v>0</v>
      </c>
      <c r="X740" s="1" t="n">
        <v>0</v>
      </c>
      <c r="Y740" s="3" t="n">
        <f aca="false">SUM(S740:T740)</f>
        <v>1</v>
      </c>
      <c r="Z740" s="3" t="n">
        <f aca="false">SUM(U740:W740)</f>
        <v>0</v>
      </c>
      <c r="AA740" s="3" t="n">
        <f aca="false">SUM(S740:X740)</f>
        <v>1</v>
      </c>
      <c r="AB740" s="11" t="n">
        <f aca="false">(AA740/(K740*L740)*25)*4</f>
        <v>4</v>
      </c>
    </row>
    <row r="741" customFormat="false" ht="14.25" hidden="false" customHeight="false" outlineLevel="0" collapsed="false">
      <c r="A741" s="1" t="n">
        <v>2009</v>
      </c>
      <c r="B741" s="7" t="s">
        <v>322</v>
      </c>
      <c r="C741" s="7" t="n">
        <v>2</v>
      </c>
      <c r="D741" s="7" t="s">
        <v>294</v>
      </c>
      <c r="E741" s="7" t="s">
        <v>294</v>
      </c>
      <c r="F741" s="7" t="s">
        <v>51</v>
      </c>
      <c r="G741" s="1" t="n">
        <v>3</v>
      </c>
      <c r="H741" s="1" t="n">
        <v>15</v>
      </c>
      <c r="I741" s="10" t="n">
        <v>39969</v>
      </c>
      <c r="J741" s="10" t="n">
        <v>39974</v>
      </c>
      <c r="K741" s="1" t="n">
        <v>5</v>
      </c>
      <c r="L741" s="1" t="n">
        <v>5</v>
      </c>
      <c r="M741" s="3" t="s">
        <v>72</v>
      </c>
      <c r="N741" s="3" t="s">
        <v>86</v>
      </c>
      <c r="O741" s="8" t="s">
        <v>87</v>
      </c>
      <c r="P741" s="2" t="str">
        <f aca="false">CONCATENATE(N741," ",O741)</f>
        <v>Haplodrassus soerenseni</v>
      </c>
      <c r="Q741" s="1" t="s">
        <v>30</v>
      </c>
      <c r="R741" s="1" t="s">
        <v>31</v>
      </c>
      <c r="S741" s="1" t="n">
        <v>3</v>
      </c>
      <c r="T741" s="1" t="n">
        <v>0</v>
      </c>
      <c r="U741" s="1" t="n">
        <v>0</v>
      </c>
      <c r="V741" s="1" t="n">
        <v>0</v>
      </c>
      <c r="W741" s="1" t="n">
        <v>0</v>
      </c>
      <c r="X741" s="1" t="n">
        <v>0</v>
      </c>
      <c r="Y741" s="3" t="n">
        <f aca="false">SUM(S741:T741)</f>
        <v>3</v>
      </c>
      <c r="Z741" s="3" t="n">
        <f aca="false">SUM(U741:W741)</f>
        <v>0</v>
      </c>
      <c r="AA741" s="3" t="n">
        <f aca="false">SUM(S741:X741)</f>
        <v>3</v>
      </c>
      <c r="AB741" s="11" t="n">
        <f aca="false">(AA741/(K741*L741)*25)*4</f>
        <v>12</v>
      </c>
    </row>
    <row r="742" customFormat="false" ht="14.25" hidden="false" customHeight="false" outlineLevel="0" collapsed="false">
      <c r="A742" s="1" t="n">
        <v>2009</v>
      </c>
      <c r="B742" s="7" t="s">
        <v>322</v>
      </c>
      <c r="C742" s="7" t="n">
        <v>2</v>
      </c>
      <c r="D742" s="7" t="s">
        <v>294</v>
      </c>
      <c r="E742" s="7" t="s">
        <v>294</v>
      </c>
      <c r="F742" s="7" t="s">
        <v>51</v>
      </c>
      <c r="G742" s="1" t="n">
        <v>3</v>
      </c>
      <c r="H742" s="1" t="n">
        <v>15</v>
      </c>
      <c r="I742" s="10" t="n">
        <v>39969</v>
      </c>
      <c r="J742" s="10" t="n">
        <v>39974</v>
      </c>
      <c r="K742" s="1" t="n">
        <v>5</v>
      </c>
      <c r="L742" s="1" t="n">
        <v>5</v>
      </c>
      <c r="M742" s="3" t="s">
        <v>72</v>
      </c>
      <c r="N742" s="3" t="s">
        <v>86</v>
      </c>
      <c r="O742" s="8" t="s">
        <v>87</v>
      </c>
      <c r="P742" s="2" t="str">
        <f aca="false">CONCATENATE(N742," ",O742)</f>
        <v>Haplodrassus soerenseni</v>
      </c>
      <c r="Q742" s="1" t="s">
        <v>30</v>
      </c>
      <c r="R742" s="1" t="s">
        <v>35</v>
      </c>
      <c r="S742" s="1" t="n">
        <v>0</v>
      </c>
      <c r="T742" s="1" t="n">
        <v>1</v>
      </c>
      <c r="U742" s="1" t="n">
        <v>0</v>
      </c>
      <c r="V742" s="1" t="n">
        <v>0</v>
      </c>
      <c r="W742" s="1" t="n">
        <v>0</v>
      </c>
      <c r="X742" s="1" t="n">
        <v>0</v>
      </c>
      <c r="Y742" s="3" t="n">
        <f aca="false">SUM(S742:T742)</f>
        <v>1</v>
      </c>
      <c r="Z742" s="3" t="n">
        <f aca="false">SUM(U742:W742)</f>
        <v>0</v>
      </c>
      <c r="AA742" s="3" t="n">
        <f aca="false">SUM(S742:X742)</f>
        <v>1</v>
      </c>
      <c r="AB742" s="11" t="n">
        <f aca="false">(AA742/(K742*L742)*25)*4</f>
        <v>4</v>
      </c>
    </row>
    <row r="743" customFormat="false" ht="14.25" hidden="false" customHeight="false" outlineLevel="0" collapsed="false">
      <c r="A743" s="1" t="n">
        <v>2009</v>
      </c>
      <c r="B743" s="7" t="s">
        <v>322</v>
      </c>
      <c r="C743" s="7" t="n">
        <v>2</v>
      </c>
      <c r="D743" s="7" t="s">
        <v>294</v>
      </c>
      <c r="E743" s="7" t="s">
        <v>294</v>
      </c>
      <c r="F743" s="7" t="s">
        <v>51</v>
      </c>
      <c r="G743" s="1" t="n">
        <v>3</v>
      </c>
      <c r="H743" s="1" t="n">
        <v>15</v>
      </c>
      <c r="I743" s="10" t="n">
        <v>39969</v>
      </c>
      <c r="J743" s="10" t="n">
        <v>39974</v>
      </c>
      <c r="K743" s="1" t="n">
        <v>5</v>
      </c>
      <c r="L743" s="1" t="n">
        <v>5</v>
      </c>
      <c r="M743" s="13" t="s">
        <v>195</v>
      </c>
      <c r="N743" s="13" t="s">
        <v>196</v>
      </c>
      <c r="O743" s="14" t="s">
        <v>197</v>
      </c>
      <c r="P743" s="2" t="str">
        <f aca="false">CONCATENATE(N743," ",O743)</f>
        <v>Pachygnatha listeri</v>
      </c>
      <c r="Q743" s="1" t="s">
        <v>30</v>
      </c>
      <c r="R743" s="1" t="s">
        <v>35</v>
      </c>
      <c r="S743" s="1" t="n">
        <v>0</v>
      </c>
      <c r="T743" s="1" t="n">
        <v>3</v>
      </c>
      <c r="U743" s="1" t="n">
        <v>0</v>
      </c>
      <c r="V743" s="1" t="n">
        <v>0</v>
      </c>
      <c r="W743" s="1" t="n">
        <v>0</v>
      </c>
      <c r="X743" s="1" t="n">
        <v>0</v>
      </c>
      <c r="Y743" s="3" t="n">
        <f aca="false">SUM(S743:T743)</f>
        <v>3</v>
      </c>
      <c r="Z743" s="3" t="n">
        <f aca="false">SUM(U743:W743)</f>
        <v>0</v>
      </c>
      <c r="AA743" s="3" t="n">
        <f aca="false">SUM(S743:X743)</f>
        <v>3</v>
      </c>
      <c r="AB743" s="11" t="n">
        <f aca="false">(AA743/(K743*L743)*25)*4</f>
        <v>12</v>
      </c>
    </row>
    <row r="744" customFormat="false" ht="14.25" hidden="false" customHeight="false" outlineLevel="0" collapsed="false">
      <c r="A744" s="1" t="n">
        <v>2009</v>
      </c>
      <c r="B744" s="7" t="s">
        <v>322</v>
      </c>
      <c r="C744" s="7" t="n">
        <v>2</v>
      </c>
      <c r="D744" s="7" t="s">
        <v>294</v>
      </c>
      <c r="E744" s="7" t="s">
        <v>294</v>
      </c>
      <c r="F744" s="7" t="s">
        <v>51</v>
      </c>
      <c r="G744" s="1" t="n">
        <v>3</v>
      </c>
      <c r="H744" s="1" t="n">
        <v>15</v>
      </c>
      <c r="I744" s="10" t="n">
        <v>39969</v>
      </c>
      <c r="J744" s="10" t="n">
        <v>39974</v>
      </c>
      <c r="K744" s="1" t="n">
        <v>5</v>
      </c>
      <c r="L744" s="1" t="n">
        <v>5</v>
      </c>
      <c r="M744" s="3" t="s">
        <v>36</v>
      </c>
      <c r="N744" s="3" t="s">
        <v>131</v>
      </c>
      <c r="O744" s="3" t="s">
        <v>133</v>
      </c>
      <c r="P744" s="2" t="str">
        <f aca="false">CONCATENATE(N744," ",O744)</f>
        <v>Xysticus luctuosus</v>
      </c>
      <c r="Q744" s="1" t="s">
        <v>30</v>
      </c>
      <c r="R744" s="1" t="s">
        <v>31</v>
      </c>
      <c r="S744" s="1" t="n">
        <v>2</v>
      </c>
      <c r="T744" s="1" t="n">
        <v>0</v>
      </c>
      <c r="U744" s="1" t="n">
        <v>0</v>
      </c>
      <c r="V744" s="1" t="n">
        <v>0</v>
      </c>
      <c r="W744" s="1" t="n">
        <v>0</v>
      </c>
      <c r="X744" s="1" t="n">
        <v>0</v>
      </c>
      <c r="Y744" s="3" t="n">
        <f aca="false">SUM(S744:T744)</f>
        <v>2</v>
      </c>
      <c r="Z744" s="3" t="n">
        <f aca="false">SUM(U744:W744)</f>
        <v>0</v>
      </c>
      <c r="AA744" s="3" t="n">
        <f aca="false">SUM(S744:X744)</f>
        <v>2</v>
      </c>
      <c r="AB744" s="11" t="n">
        <f aca="false">(AA744/(K744*L744)*25)*4</f>
        <v>8</v>
      </c>
    </row>
    <row r="745" customFormat="false" ht="14.25" hidden="false" customHeight="false" outlineLevel="0" collapsed="false">
      <c r="A745" s="1" t="n">
        <v>2009</v>
      </c>
      <c r="B745" s="7" t="s">
        <v>322</v>
      </c>
      <c r="C745" s="7" t="n">
        <v>2</v>
      </c>
      <c r="D745" s="7" t="s">
        <v>294</v>
      </c>
      <c r="E745" s="7" t="s">
        <v>294</v>
      </c>
      <c r="F745" s="7" t="s">
        <v>326</v>
      </c>
      <c r="G745" s="1" t="n">
        <v>1</v>
      </c>
      <c r="H745" s="1" t="n">
        <v>1</v>
      </c>
      <c r="I745" s="10" t="n">
        <v>39970</v>
      </c>
      <c r="J745" s="10" t="n">
        <v>39975</v>
      </c>
      <c r="K745" s="1" t="n">
        <v>5</v>
      </c>
      <c r="L745" s="1" t="n">
        <v>4</v>
      </c>
      <c r="M745" s="3" t="s">
        <v>48</v>
      </c>
      <c r="N745" s="3" t="s">
        <v>49</v>
      </c>
      <c r="O745" s="3" t="s">
        <v>104</v>
      </c>
      <c r="P745" s="2" t="str">
        <f aca="false">CONCATENATE(N745," ",O745)</f>
        <v>Alopecosa taeniata</v>
      </c>
      <c r="Q745" s="1" t="s">
        <v>30</v>
      </c>
      <c r="R745" s="1" t="s">
        <v>31</v>
      </c>
      <c r="S745" s="1" t="n">
        <v>4</v>
      </c>
      <c r="T745" s="1" t="n">
        <v>0</v>
      </c>
      <c r="U745" s="1" t="n">
        <v>0</v>
      </c>
      <c r="V745" s="1" t="n">
        <v>0</v>
      </c>
      <c r="W745" s="1" t="n">
        <v>0</v>
      </c>
      <c r="X745" s="1" t="n">
        <v>0</v>
      </c>
      <c r="Y745" s="3" t="n">
        <f aca="false">SUM(S745:T745)</f>
        <v>4</v>
      </c>
      <c r="Z745" s="3" t="n">
        <f aca="false">SUM(U745:W745)</f>
        <v>0</v>
      </c>
      <c r="AA745" s="3" t="n">
        <f aca="false">SUM(S745:X745)</f>
        <v>4</v>
      </c>
      <c r="AB745" s="11" t="n">
        <f aca="false">(AA745/(K745*L745)*25)*4</f>
        <v>20</v>
      </c>
    </row>
    <row r="746" customFormat="false" ht="14.25" hidden="false" customHeight="false" outlineLevel="0" collapsed="false">
      <c r="A746" s="1" t="n">
        <v>2009</v>
      </c>
      <c r="B746" s="7" t="s">
        <v>322</v>
      </c>
      <c r="C746" s="7" t="n">
        <v>2</v>
      </c>
      <c r="D746" s="7" t="s">
        <v>294</v>
      </c>
      <c r="E746" s="7" t="s">
        <v>294</v>
      </c>
      <c r="F746" s="7" t="s">
        <v>326</v>
      </c>
      <c r="G746" s="1" t="n">
        <v>1</v>
      </c>
      <c r="H746" s="1" t="n">
        <v>1</v>
      </c>
      <c r="I746" s="10" t="n">
        <v>39970</v>
      </c>
      <c r="J746" s="10" t="n">
        <v>39975</v>
      </c>
      <c r="K746" s="1" t="n">
        <v>5</v>
      </c>
      <c r="L746" s="1" t="n">
        <v>4</v>
      </c>
      <c r="M746" s="3" t="s">
        <v>48</v>
      </c>
      <c r="N746" s="3" t="s">
        <v>49</v>
      </c>
      <c r="O746" s="3" t="s">
        <v>104</v>
      </c>
      <c r="P746" s="2" t="str">
        <f aca="false">CONCATENATE(N746," ",O746)</f>
        <v>Alopecosa taeniata</v>
      </c>
      <c r="Q746" s="1" t="s">
        <v>30</v>
      </c>
      <c r="R746" s="1" t="s">
        <v>35</v>
      </c>
      <c r="S746" s="1" t="n">
        <v>0</v>
      </c>
      <c r="T746" s="1" t="n">
        <v>1</v>
      </c>
      <c r="U746" s="1" t="n">
        <v>0</v>
      </c>
      <c r="V746" s="1" t="n">
        <v>0</v>
      </c>
      <c r="W746" s="1" t="n">
        <v>0</v>
      </c>
      <c r="X746" s="1" t="n">
        <v>0</v>
      </c>
      <c r="Y746" s="3" t="n">
        <f aca="false">SUM(S746:T746)</f>
        <v>1</v>
      </c>
      <c r="Z746" s="3" t="n">
        <f aca="false">SUM(U746:W746)</f>
        <v>0</v>
      </c>
      <c r="AA746" s="3" t="n">
        <f aca="false">SUM(S746:X746)</f>
        <v>1</v>
      </c>
      <c r="AB746" s="11" t="n">
        <f aca="false">(AA746/(K746*L746)*25)*4</f>
        <v>5</v>
      </c>
    </row>
    <row r="747" customFormat="false" ht="14.25" hidden="false" customHeight="false" outlineLevel="0" collapsed="false">
      <c r="A747" s="1" t="n">
        <v>2009</v>
      </c>
      <c r="B747" s="7" t="s">
        <v>322</v>
      </c>
      <c r="C747" s="7" t="n">
        <v>2</v>
      </c>
      <c r="D747" s="7" t="s">
        <v>294</v>
      </c>
      <c r="E747" s="7" t="s">
        <v>294</v>
      </c>
      <c r="F747" s="7" t="s">
        <v>326</v>
      </c>
      <c r="G747" s="1" t="n">
        <v>1</v>
      </c>
      <c r="H747" s="1" t="n">
        <v>1</v>
      </c>
      <c r="I747" s="10" t="n">
        <v>39970</v>
      </c>
      <c r="J747" s="10" t="n">
        <v>39975</v>
      </c>
      <c r="K747" s="1" t="n">
        <v>5</v>
      </c>
      <c r="L747" s="1" t="n">
        <v>4</v>
      </c>
      <c r="M747" s="3" t="s">
        <v>48</v>
      </c>
      <c r="N747" s="3" t="s">
        <v>67</v>
      </c>
      <c r="O747" s="3" t="s">
        <v>127</v>
      </c>
      <c r="P747" s="2" t="str">
        <f aca="false">CONCATENATE(N747," ",O747)</f>
        <v>Pardosa lugubris</v>
      </c>
      <c r="Q747" s="1" t="s">
        <v>30</v>
      </c>
      <c r="R747" s="1" t="s">
        <v>31</v>
      </c>
      <c r="S747" s="1" t="n">
        <v>7</v>
      </c>
      <c r="T747" s="1" t="n">
        <v>0</v>
      </c>
      <c r="U747" s="1" t="n">
        <v>0</v>
      </c>
      <c r="V747" s="1" t="n">
        <v>0</v>
      </c>
      <c r="W747" s="1" t="n">
        <v>0</v>
      </c>
      <c r="X747" s="1" t="n">
        <v>0</v>
      </c>
      <c r="Y747" s="3" t="n">
        <f aca="false">SUM(S747:T747)</f>
        <v>7</v>
      </c>
      <c r="Z747" s="3" t="n">
        <f aca="false">SUM(U747:W747)</f>
        <v>0</v>
      </c>
      <c r="AA747" s="3" t="n">
        <f aca="false">SUM(S747:X747)</f>
        <v>7</v>
      </c>
      <c r="AB747" s="11" t="n">
        <f aca="false">(AA747/(K747*L747)*25)*4</f>
        <v>35</v>
      </c>
    </row>
    <row r="748" customFormat="false" ht="14.25" hidden="false" customHeight="false" outlineLevel="0" collapsed="false">
      <c r="A748" s="1" t="n">
        <v>2009</v>
      </c>
      <c r="B748" s="7" t="s">
        <v>322</v>
      </c>
      <c r="C748" s="7" t="n">
        <v>2</v>
      </c>
      <c r="D748" s="7" t="s">
        <v>294</v>
      </c>
      <c r="E748" s="7" t="s">
        <v>294</v>
      </c>
      <c r="F748" s="7" t="s">
        <v>326</v>
      </c>
      <c r="G748" s="1" t="n">
        <v>1</v>
      </c>
      <c r="H748" s="1" t="n">
        <v>1</v>
      </c>
      <c r="I748" s="10" t="n">
        <v>39970</v>
      </c>
      <c r="J748" s="10" t="n">
        <v>39975</v>
      </c>
      <c r="K748" s="1" t="n">
        <v>5</v>
      </c>
      <c r="L748" s="1" t="n">
        <v>4</v>
      </c>
      <c r="M748" s="3" t="s">
        <v>72</v>
      </c>
      <c r="N748" s="3" t="s">
        <v>86</v>
      </c>
      <c r="O748" s="8" t="s">
        <v>87</v>
      </c>
      <c r="P748" s="2" t="str">
        <f aca="false">CONCATENATE(N748," ",O748)</f>
        <v>Haplodrassus soerenseni</v>
      </c>
      <c r="Q748" s="1" t="s">
        <v>30</v>
      </c>
      <c r="R748" s="1" t="s">
        <v>31</v>
      </c>
      <c r="S748" s="1" t="n">
        <v>2</v>
      </c>
      <c r="T748" s="1" t="n">
        <v>0</v>
      </c>
      <c r="U748" s="1" t="n">
        <v>0</v>
      </c>
      <c r="V748" s="1" t="n">
        <v>0</v>
      </c>
      <c r="W748" s="1" t="n">
        <v>0</v>
      </c>
      <c r="X748" s="1" t="n">
        <v>0</v>
      </c>
      <c r="Y748" s="3" t="n">
        <f aca="false">SUM(S748:T748)</f>
        <v>2</v>
      </c>
      <c r="Z748" s="3" t="n">
        <f aca="false">SUM(U748:W748)</f>
        <v>0</v>
      </c>
      <c r="AA748" s="3" t="n">
        <f aca="false">SUM(S748:X748)</f>
        <v>2</v>
      </c>
      <c r="AB748" s="11" t="n">
        <f aca="false">(AA748/(K748*L748)*25)*4</f>
        <v>10</v>
      </c>
    </row>
    <row r="749" customFormat="false" ht="14.25" hidden="false" customHeight="false" outlineLevel="0" collapsed="false">
      <c r="A749" s="1" t="n">
        <v>2009</v>
      </c>
      <c r="B749" s="7" t="s">
        <v>322</v>
      </c>
      <c r="C749" s="7" t="n">
        <v>2</v>
      </c>
      <c r="D749" s="7" t="s">
        <v>294</v>
      </c>
      <c r="E749" s="7" t="s">
        <v>294</v>
      </c>
      <c r="F749" s="7" t="s">
        <v>326</v>
      </c>
      <c r="G749" s="1" t="n">
        <v>1</v>
      </c>
      <c r="H749" s="1" t="n">
        <v>1</v>
      </c>
      <c r="I749" s="10" t="n">
        <v>39970</v>
      </c>
      <c r="J749" s="10" t="n">
        <v>39975</v>
      </c>
      <c r="K749" s="1" t="n">
        <v>5</v>
      </c>
      <c r="L749" s="1" t="n">
        <v>4</v>
      </c>
      <c r="M749" s="3" t="s">
        <v>64</v>
      </c>
      <c r="N749" s="3" t="s">
        <v>65</v>
      </c>
      <c r="O749" s="3" t="s">
        <v>123</v>
      </c>
      <c r="P749" s="2" t="str">
        <f aca="false">CONCATENATE(N749," ",O749)</f>
        <v>Zora nemoralis</v>
      </c>
      <c r="Q749" s="1" t="s">
        <v>30</v>
      </c>
      <c r="R749" s="1" t="s">
        <v>31</v>
      </c>
      <c r="S749" s="1" t="n">
        <v>1</v>
      </c>
      <c r="T749" s="1" t="n">
        <v>0</v>
      </c>
      <c r="U749" s="1" t="n">
        <v>0</v>
      </c>
      <c r="V749" s="1" t="n">
        <v>0</v>
      </c>
      <c r="W749" s="1" t="n">
        <v>0</v>
      </c>
      <c r="X749" s="1" t="n">
        <v>0</v>
      </c>
      <c r="Y749" s="3" t="n">
        <f aca="false">SUM(S749:T749)</f>
        <v>1</v>
      </c>
      <c r="Z749" s="3" t="n">
        <f aca="false">SUM(U749:W749)</f>
        <v>0</v>
      </c>
      <c r="AA749" s="3" t="n">
        <f aca="false">SUM(S749:X749)</f>
        <v>1</v>
      </c>
      <c r="AB749" s="11" t="n">
        <f aca="false">(AA749/(K749*L749)*25)*4</f>
        <v>5</v>
      </c>
    </row>
    <row r="750" customFormat="false" ht="14.25" hidden="false" customHeight="false" outlineLevel="0" collapsed="false">
      <c r="A750" s="1" t="n">
        <v>2009</v>
      </c>
      <c r="B750" s="7" t="s">
        <v>322</v>
      </c>
      <c r="C750" s="7" t="n">
        <v>2</v>
      </c>
      <c r="D750" s="7" t="s">
        <v>294</v>
      </c>
      <c r="E750" s="7" t="s">
        <v>294</v>
      </c>
      <c r="F750" s="7" t="s">
        <v>326</v>
      </c>
      <c r="G750" s="1" t="n">
        <v>1</v>
      </c>
      <c r="H750" s="1" t="n">
        <v>1</v>
      </c>
      <c r="I750" s="10" t="n">
        <v>39970</v>
      </c>
      <c r="J750" s="10" t="n">
        <v>39975</v>
      </c>
      <c r="K750" s="1" t="n">
        <v>5</v>
      </c>
      <c r="L750" s="1" t="n">
        <v>4</v>
      </c>
      <c r="M750" s="13" t="s">
        <v>195</v>
      </c>
      <c r="N750" s="13" t="s">
        <v>196</v>
      </c>
      <c r="O750" s="14" t="s">
        <v>197</v>
      </c>
      <c r="P750" s="2" t="str">
        <f aca="false">CONCATENATE(N750," ",O750)</f>
        <v>Pachygnatha listeri</v>
      </c>
      <c r="Q750" s="1" t="s">
        <v>30</v>
      </c>
      <c r="R750" s="1" t="s">
        <v>35</v>
      </c>
      <c r="S750" s="1" t="n">
        <v>0</v>
      </c>
      <c r="T750" s="1" t="n">
        <v>1</v>
      </c>
      <c r="U750" s="1" t="n">
        <v>0</v>
      </c>
      <c r="V750" s="1" t="n">
        <v>0</v>
      </c>
      <c r="W750" s="1" t="n">
        <v>0</v>
      </c>
      <c r="X750" s="1" t="n">
        <v>0</v>
      </c>
      <c r="Y750" s="3" t="n">
        <f aca="false">SUM(S750:T750)</f>
        <v>1</v>
      </c>
      <c r="Z750" s="3" t="n">
        <f aca="false">SUM(U750:W750)</f>
        <v>0</v>
      </c>
      <c r="AA750" s="3" t="n">
        <f aca="false">SUM(S750:X750)</f>
        <v>1</v>
      </c>
      <c r="AB750" s="11" t="n">
        <f aca="false">(AA750/(K750*L750)*25)*4</f>
        <v>5</v>
      </c>
    </row>
    <row r="751" customFormat="false" ht="14.25" hidden="false" customHeight="false" outlineLevel="0" collapsed="false">
      <c r="A751" s="1" t="n">
        <v>2009</v>
      </c>
      <c r="B751" s="7" t="s">
        <v>322</v>
      </c>
      <c r="C751" s="7" t="n">
        <v>2</v>
      </c>
      <c r="D751" s="7" t="s">
        <v>294</v>
      </c>
      <c r="E751" s="7" t="s">
        <v>294</v>
      </c>
      <c r="F751" s="7" t="s">
        <v>326</v>
      </c>
      <c r="G751" s="1" t="n">
        <v>1</v>
      </c>
      <c r="H751" s="1" t="n">
        <v>1</v>
      </c>
      <c r="I751" s="10" t="n">
        <v>39970</v>
      </c>
      <c r="J751" s="10" t="n">
        <v>39975</v>
      </c>
      <c r="K751" s="1" t="n">
        <v>5</v>
      </c>
      <c r="L751" s="1" t="n">
        <v>4</v>
      </c>
      <c r="M751" s="3" t="s">
        <v>36</v>
      </c>
      <c r="N751" s="3" t="s">
        <v>131</v>
      </c>
      <c r="O751" s="3" t="s">
        <v>133</v>
      </c>
      <c r="P751" s="2" t="str">
        <f aca="false">CONCATENATE(N751," ",O751)</f>
        <v>Xysticus luctuosus</v>
      </c>
      <c r="Q751" s="1" t="s">
        <v>30</v>
      </c>
      <c r="R751" s="1" t="s">
        <v>31</v>
      </c>
      <c r="S751" s="1" t="n">
        <v>1</v>
      </c>
      <c r="T751" s="1" t="n">
        <v>0</v>
      </c>
      <c r="U751" s="1" t="n">
        <v>0</v>
      </c>
      <c r="V751" s="1" t="n">
        <v>0</v>
      </c>
      <c r="W751" s="1" t="n">
        <v>0</v>
      </c>
      <c r="X751" s="1" t="n">
        <v>0</v>
      </c>
      <c r="Y751" s="3" t="n">
        <f aca="false">SUM(S751:T751)</f>
        <v>1</v>
      </c>
      <c r="Z751" s="3" t="n">
        <f aca="false">SUM(U751:W751)</f>
        <v>0</v>
      </c>
      <c r="AA751" s="3" t="n">
        <f aca="false">SUM(S751:X751)</f>
        <v>1</v>
      </c>
      <c r="AB751" s="11" t="n">
        <f aca="false">(AA751/(K751*L751)*25)*4</f>
        <v>5</v>
      </c>
    </row>
    <row r="752" customFormat="false" ht="14.25" hidden="false" customHeight="false" outlineLevel="0" collapsed="false">
      <c r="A752" s="1" t="n">
        <v>2009</v>
      </c>
      <c r="B752" s="7" t="s">
        <v>322</v>
      </c>
      <c r="C752" s="7" t="n">
        <v>2</v>
      </c>
      <c r="D752" s="7" t="s">
        <v>294</v>
      </c>
      <c r="E752" s="7" t="s">
        <v>294</v>
      </c>
      <c r="F752" s="7" t="s">
        <v>326</v>
      </c>
      <c r="G752" s="1" t="n">
        <v>1</v>
      </c>
      <c r="H752" s="1" t="n">
        <v>1</v>
      </c>
      <c r="I752" s="10" t="n">
        <v>39970</v>
      </c>
      <c r="J752" s="10" t="n">
        <v>39975</v>
      </c>
      <c r="K752" s="1" t="n">
        <v>5</v>
      </c>
      <c r="L752" s="1" t="n">
        <v>4</v>
      </c>
      <c r="M752" s="3" t="s">
        <v>36</v>
      </c>
      <c r="N752" s="3" t="s">
        <v>131</v>
      </c>
      <c r="O752" s="3" t="s">
        <v>199</v>
      </c>
      <c r="P752" s="2" t="str">
        <f aca="false">CONCATENATE(N752," ",O752)</f>
        <v>Xysticus obscurus</v>
      </c>
      <c r="Q752" s="1" t="s">
        <v>30</v>
      </c>
      <c r="R752" s="1" t="s">
        <v>31</v>
      </c>
      <c r="S752" s="1" t="n">
        <v>1</v>
      </c>
      <c r="T752" s="1" t="n">
        <v>0</v>
      </c>
      <c r="U752" s="1" t="n">
        <v>0</v>
      </c>
      <c r="V752" s="1" t="n">
        <v>0</v>
      </c>
      <c r="W752" s="1" t="n">
        <v>0</v>
      </c>
      <c r="X752" s="1" t="n">
        <v>0</v>
      </c>
      <c r="Y752" s="3" t="n">
        <f aca="false">SUM(S752:T752)</f>
        <v>1</v>
      </c>
      <c r="Z752" s="3" t="n">
        <f aca="false">SUM(U752:W752)</f>
        <v>0</v>
      </c>
      <c r="AA752" s="3" t="n">
        <f aca="false">SUM(S752:X752)</f>
        <v>1</v>
      </c>
      <c r="AB752" s="11" t="n">
        <f aca="false">(AA752/(K752*L752)*25)*4</f>
        <v>5</v>
      </c>
    </row>
    <row r="753" customFormat="false" ht="14.25" hidden="false" customHeight="false" outlineLevel="0" collapsed="false">
      <c r="A753" s="1" t="n">
        <v>2009</v>
      </c>
      <c r="B753" s="7" t="s">
        <v>322</v>
      </c>
      <c r="C753" s="7" t="n">
        <v>2</v>
      </c>
      <c r="D753" s="7" t="s">
        <v>294</v>
      </c>
      <c r="E753" s="7" t="s">
        <v>294</v>
      </c>
      <c r="F753" s="7" t="s">
        <v>326</v>
      </c>
      <c r="G753" s="1" t="n">
        <v>1</v>
      </c>
      <c r="H753" s="1" t="n">
        <v>1</v>
      </c>
      <c r="I753" s="10" t="n">
        <v>39970</v>
      </c>
      <c r="J753" s="10" t="n">
        <v>39975</v>
      </c>
      <c r="K753" s="1" t="n">
        <v>5</v>
      </c>
      <c r="L753" s="1" t="n">
        <v>4</v>
      </c>
      <c r="M753" s="3" t="s">
        <v>32</v>
      </c>
      <c r="N753" s="3" t="s">
        <v>107</v>
      </c>
      <c r="O753" s="3" t="s">
        <v>108</v>
      </c>
      <c r="P753" s="2" t="str">
        <f aca="false">CONCATENATE(N753," ",O753)</f>
        <v>Macrargus rufus</v>
      </c>
      <c r="Q753" s="1" t="s">
        <v>30</v>
      </c>
      <c r="R753" s="1" t="s">
        <v>35</v>
      </c>
      <c r="S753" s="1" t="n">
        <v>0</v>
      </c>
      <c r="T753" s="1" t="n">
        <v>1</v>
      </c>
      <c r="U753" s="1" t="n">
        <v>0</v>
      </c>
      <c r="V753" s="1" t="n">
        <v>0</v>
      </c>
      <c r="W753" s="1" t="n">
        <v>0</v>
      </c>
      <c r="X753" s="1" t="n">
        <v>0</v>
      </c>
      <c r="Y753" s="3" t="n">
        <f aca="false">SUM(S753:T753)</f>
        <v>1</v>
      </c>
      <c r="Z753" s="3" t="n">
        <f aca="false">SUM(U753:W753)</f>
        <v>0</v>
      </c>
      <c r="AA753" s="3" t="n">
        <f aca="false">SUM(S753:X753)</f>
        <v>1</v>
      </c>
      <c r="AB753" s="11" t="n">
        <f aca="false">(AA753/(K753*L753)*25)*4</f>
        <v>5</v>
      </c>
    </row>
    <row r="754" customFormat="false" ht="14.25" hidden="false" customHeight="false" outlineLevel="0" collapsed="false">
      <c r="A754" s="1" t="n">
        <v>2009</v>
      </c>
      <c r="B754" s="7" t="s">
        <v>322</v>
      </c>
      <c r="C754" s="7" t="n">
        <v>2</v>
      </c>
      <c r="D754" s="7" t="s">
        <v>294</v>
      </c>
      <c r="E754" s="7" t="s">
        <v>294</v>
      </c>
      <c r="F754" s="7" t="s">
        <v>326</v>
      </c>
      <c r="G754" s="1" t="n">
        <v>1</v>
      </c>
      <c r="H754" s="1" t="n">
        <v>2</v>
      </c>
      <c r="I754" s="10" t="n">
        <v>39970</v>
      </c>
      <c r="J754" s="10" t="n">
        <v>39975</v>
      </c>
      <c r="K754" s="1" t="n">
        <v>5</v>
      </c>
      <c r="L754" s="1" t="n">
        <v>4</v>
      </c>
      <c r="M754" s="3" t="s">
        <v>48</v>
      </c>
      <c r="N754" s="3" t="s">
        <v>49</v>
      </c>
      <c r="O754" s="3" t="s">
        <v>104</v>
      </c>
      <c r="P754" s="2" t="str">
        <f aca="false">CONCATENATE(N754," ",O754)</f>
        <v>Alopecosa taeniata</v>
      </c>
      <c r="Q754" s="1" t="s">
        <v>30</v>
      </c>
      <c r="R754" s="1" t="s">
        <v>31</v>
      </c>
      <c r="S754" s="1" t="n">
        <v>3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0</v>
      </c>
      <c r="Y754" s="3" t="n">
        <f aca="false">SUM(S754:T754)</f>
        <v>3</v>
      </c>
      <c r="Z754" s="3" t="n">
        <f aca="false">SUM(U754:W754)</f>
        <v>0</v>
      </c>
      <c r="AA754" s="3" t="n">
        <f aca="false">SUM(S754:X754)</f>
        <v>3</v>
      </c>
      <c r="AB754" s="11" t="n">
        <f aca="false">(AA754/(K754*L754)*25)*4</f>
        <v>15</v>
      </c>
    </row>
    <row r="755" customFormat="false" ht="14.25" hidden="false" customHeight="false" outlineLevel="0" collapsed="false">
      <c r="A755" s="1" t="n">
        <v>2009</v>
      </c>
      <c r="B755" s="7" t="s">
        <v>322</v>
      </c>
      <c r="C755" s="7" t="n">
        <v>2</v>
      </c>
      <c r="D755" s="7" t="s">
        <v>294</v>
      </c>
      <c r="E755" s="7" t="s">
        <v>294</v>
      </c>
      <c r="F755" s="7" t="s">
        <v>326</v>
      </c>
      <c r="G755" s="1" t="n">
        <v>1</v>
      </c>
      <c r="H755" s="1" t="n">
        <v>2</v>
      </c>
      <c r="I755" s="10" t="n">
        <v>39970</v>
      </c>
      <c r="J755" s="10" t="n">
        <v>39975</v>
      </c>
      <c r="K755" s="1" t="n">
        <v>5</v>
      </c>
      <c r="L755" s="1" t="n">
        <v>4</v>
      </c>
      <c r="M755" s="3" t="s">
        <v>48</v>
      </c>
      <c r="N755" s="3" t="s">
        <v>49</v>
      </c>
      <c r="O755" s="3" t="s">
        <v>104</v>
      </c>
      <c r="P755" s="2" t="str">
        <f aca="false">CONCATENATE(N755," ",O755)</f>
        <v>Alopecosa taeniata</v>
      </c>
      <c r="Q755" s="1" t="s">
        <v>30</v>
      </c>
      <c r="R755" s="1" t="s">
        <v>35</v>
      </c>
      <c r="S755" s="1" t="n">
        <v>0</v>
      </c>
      <c r="T755" s="1" t="n">
        <v>2</v>
      </c>
      <c r="U755" s="1" t="n">
        <v>0</v>
      </c>
      <c r="V755" s="1" t="n">
        <v>0</v>
      </c>
      <c r="W755" s="1" t="n">
        <v>0</v>
      </c>
      <c r="X755" s="1" t="n">
        <v>0</v>
      </c>
      <c r="Y755" s="3" t="n">
        <f aca="false">SUM(S755:T755)</f>
        <v>2</v>
      </c>
      <c r="Z755" s="3" t="n">
        <f aca="false">SUM(U755:W755)</f>
        <v>0</v>
      </c>
      <c r="AA755" s="3" t="n">
        <f aca="false">SUM(S755:X755)</f>
        <v>2</v>
      </c>
      <c r="AB755" s="11" t="n">
        <f aca="false">(AA755/(K755*L755)*25)*4</f>
        <v>10</v>
      </c>
    </row>
    <row r="756" customFormat="false" ht="14.25" hidden="false" customHeight="false" outlineLevel="0" collapsed="false">
      <c r="A756" s="1" t="n">
        <v>2009</v>
      </c>
      <c r="B756" s="7" t="s">
        <v>322</v>
      </c>
      <c r="C756" s="7" t="n">
        <v>2</v>
      </c>
      <c r="D756" s="7" t="s">
        <v>294</v>
      </c>
      <c r="E756" s="7" t="s">
        <v>294</v>
      </c>
      <c r="F756" s="7" t="s">
        <v>326</v>
      </c>
      <c r="G756" s="1" t="n">
        <v>1</v>
      </c>
      <c r="H756" s="1" t="n">
        <v>2</v>
      </c>
      <c r="I756" s="10" t="n">
        <v>39970</v>
      </c>
      <c r="J756" s="10" t="n">
        <v>39975</v>
      </c>
      <c r="K756" s="1" t="n">
        <v>5</v>
      </c>
      <c r="L756" s="1" t="n">
        <v>4</v>
      </c>
      <c r="M756" s="3" t="s">
        <v>48</v>
      </c>
      <c r="N756" s="3" t="s">
        <v>67</v>
      </c>
      <c r="O756" s="3" t="s">
        <v>127</v>
      </c>
      <c r="P756" s="2" t="str">
        <f aca="false">CONCATENATE(N756," ",O756)</f>
        <v>Pardosa lugubris</v>
      </c>
      <c r="Q756" s="1" t="s">
        <v>30</v>
      </c>
      <c r="R756" s="1" t="s">
        <v>31</v>
      </c>
      <c r="S756" s="1" t="n">
        <v>3</v>
      </c>
      <c r="T756" s="1" t="n">
        <v>0</v>
      </c>
      <c r="U756" s="1" t="n">
        <v>0</v>
      </c>
      <c r="V756" s="1" t="n">
        <v>0</v>
      </c>
      <c r="W756" s="1" t="n">
        <v>0</v>
      </c>
      <c r="X756" s="1" t="n">
        <v>0</v>
      </c>
      <c r="Y756" s="3" t="n">
        <f aca="false">SUM(S756:T756)</f>
        <v>3</v>
      </c>
      <c r="Z756" s="3" t="n">
        <f aca="false">SUM(U756:W756)</f>
        <v>0</v>
      </c>
      <c r="AA756" s="3" t="n">
        <f aca="false">SUM(S756:X756)</f>
        <v>3</v>
      </c>
      <c r="AB756" s="11" t="n">
        <f aca="false">(AA756/(K756*L756)*25)*4</f>
        <v>15</v>
      </c>
    </row>
    <row r="757" customFormat="false" ht="14.25" hidden="false" customHeight="false" outlineLevel="0" collapsed="false">
      <c r="A757" s="1" t="n">
        <v>2009</v>
      </c>
      <c r="B757" s="7" t="s">
        <v>322</v>
      </c>
      <c r="C757" s="7" t="n">
        <v>2</v>
      </c>
      <c r="D757" s="7" t="s">
        <v>294</v>
      </c>
      <c r="E757" s="7" t="s">
        <v>294</v>
      </c>
      <c r="F757" s="7" t="s">
        <v>326</v>
      </c>
      <c r="G757" s="1" t="n">
        <v>1</v>
      </c>
      <c r="H757" s="1" t="n">
        <v>2</v>
      </c>
      <c r="I757" s="10" t="n">
        <v>39970</v>
      </c>
      <c r="J757" s="10" t="n">
        <v>39975</v>
      </c>
      <c r="K757" s="1" t="n">
        <v>5</v>
      </c>
      <c r="L757" s="1" t="n">
        <v>4</v>
      </c>
      <c r="M757" s="3" t="s">
        <v>48</v>
      </c>
      <c r="N757" s="3" t="s">
        <v>67</v>
      </c>
      <c r="O757" s="3" t="s">
        <v>127</v>
      </c>
      <c r="P757" s="2" t="str">
        <f aca="false">CONCATENATE(N757," ",O757)</f>
        <v>Pardosa lugubris</v>
      </c>
      <c r="Q757" s="1" t="s">
        <v>30</v>
      </c>
      <c r="R757" s="1" t="s">
        <v>35</v>
      </c>
      <c r="S757" s="1" t="n">
        <v>0</v>
      </c>
      <c r="T757" s="1" t="n">
        <v>1</v>
      </c>
      <c r="U757" s="1" t="n">
        <v>0</v>
      </c>
      <c r="V757" s="1" t="n">
        <v>0</v>
      </c>
      <c r="W757" s="1" t="n">
        <v>0</v>
      </c>
      <c r="X757" s="1" t="n">
        <v>0</v>
      </c>
      <c r="Y757" s="3" t="n">
        <f aca="false">SUM(S757:T757)</f>
        <v>1</v>
      </c>
      <c r="Z757" s="3" t="n">
        <f aca="false">SUM(U757:W757)</f>
        <v>0</v>
      </c>
      <c r="AA757" s="3" t="n">
        <f aca="false">SUM(S757:X757)</f>
        <v>1</v>
      </c>
      <c r="AB757" s="11" t="n">
        <f aca="false">(AA757/(K757*L757)*25)*4</f>
        <v>5</v>
      </c>
    </row>
    <row r="758" customFormat="false" ht="14.25" hidden="false" customHeight="false" outlineLevel="0" collapsed="false">
      <c r="A758" s="1" t="n">
        <v>2009</v>
      </c>
      <c r="B758" s="7" t="s">
        <v>322</v>
      </c>
      <c r="C758" s="7" t="n">
        <v>2</v>
      </c>
      <c r="D758" s="7" t="s">
        <v>294</v>
      </c>
      <c r="E758" s="7" t="s">
        <v>294</v>
      </c>
      <c r="F758" s="7" t="s">
        <v>326</v>
      </c>
      <c r="G758" s="1" t="n">
        <v>1</v>
      </c>
      <c r="H758" s="1" t="n">
        <v>2</v>
      </c>
      <c r="I758" s="10" t="n">
        <v>39970</v>
      </c>
      <c r="J758" s="10" t="n">
        <v>39975</v>
      </c>
      <c r="K758" s="1" t="n">
        <v>5</v>
      </c>
      <c r="L758" s="1" t="n">
        <v>4</v>
      </c>
      <c r="M758" s="3" t="s">
        <v>36</v>
      </c>
      <c r="N758" s="3" t="s">
        <v>37</v>
      </c>
      <c r="O758" s="8" t="s">
        <v>75</v>
      </c>
      <c r="P758" s="2" t="str">
        <f aca="false">CONCATENATE(N758," ",O758)</f>
        <v>Ozyptila praticola</v>
      </c>
      <c r="Q758" s="1" t="s">
        <v>30</v>
      </c>
      <c r="R758" s="1" t="s">
        <v>31</v>
      </c>
      <c r="S758" s="1" t="n">
        <v>1</v>
      </c>
      <c r="T758" s="1" t="n">
        <v>0</v>
      </c>
      <c r="U758" s="1" t="n">
        <v>0</v>
      </c>
      <c r="V758" s="1" t="n">
        <v>0</v>
      </c>
      <c r="W758" s="1" t="n">
        <v>0</v>
      </c>
      <c r="X758" s="1" t="n">
        <v>0</v>
      </c>
      <c r="Y758" s="3" t="n">
        <f aca="false">SUM(S758:T758)</f>
        <v>1</v>
      </c>
      <c r="Z758" s="3" t="n">
        <f aca="false">SUM(U758:W758)</f>
        <v>0</v>
      </c>
      <c r="AA758" s="3" t="n">
        <f aca="false">SUM(S758:X758)</f>
        <v>1</v>
      </c>
      <c r="AB758" s="11" t="n">
        <f aca="false">(AA758/(K758*L758)*25)*4</f>
        <v>5</v>
      </c>
    </row>
    <row r="759" customFormat="false" ht="14.25" hidden="false" customHeight="false" outlineLevel="0" collapsed="false">
      <c r="A759" s="1" t="n">
        <v>2009</v>
      </c>
      <c r="B759" s="7" t="s">
        <v>322</v>
      </c>
      <c r="C759" s="7" t="n">
        <v>2</v>
      </c>
      <c r="D759" s="7" t="s">
        <v>294</v>
      </c>
      <c r="E759" s="7" t="s">
        <v>294</v>
      </c>
      <c r="F759" s="7" t="s">
        <v>326</v>
      </c>
      <c r="G759" s="1" t="n">
        <v>1</v>
      </c>
      <c r="H759" s="1" t="n">
        <v>2</v>
      </c>
      <c r="I759" s="10" t="n">
        <v>39970</v>
      </c>
      <c r="J759" s="10" t="n">
        <v>39975</v>
      </c>
      <c r="K759" s="1" t="n">
        <v>5</v>
      </c>
      <c r="L759" s="1" t="n">
        <v>4</v>
      </c>
      <c r="M759" s="3" t="s">
        <v>36</v>
      </c>
      <c r="N759" s="3" t="s">
        <v>131</v>
      </c>
      <c r="O759" s="3" t="s">
        <v>133</v>
      </c>
      <c r="P759" s="2" t="str">
        <f aca="false">CONCATENATE(N759," ",O759)</f>
        <v>Xysticus luctuosus</v>
      </c>
      <c r="Q759" s="1" t="s">
        <v>30</v>
      </c>
      <c r="R759" s="1" t="s">
        <v>31</v>
      </c>
      <c r="S759" s="1" t="n">
        <v>1</v>
      </c>
      <c r="T759" s="1" t="n">
        <v>0</v>
      </c>
      <c r="U759" s="1" t="n">
        <v>0</v>
      </c>
      <c r="V759" s="1" t="n">
        <v>0</v>
      </c>
      <c r="W759" s="1" t="n">
        <v>0</v>
      </c>
      <c r="X759" s="1" t="n">
        <v>0</v>
      </c>
      <c r="Y759" s="3" t="n">
        <f aca="false">SUM(S759:T759)</f>
        <v>1</v>
      </c>
      <c r="Z759" s="3" t="n">
        <f aca="false">SUM(U759:W759)</f>
        <v>0</v>
      </c>
      <c r="AA759" s="3" t="n">
        <f aca="false">SUM(S759:X759)</f>
        <v>1</v>
      </c>
      <c r="AB759" s="11" t="n">
        <f aca="false">(AA759/(K759*L759)*25)*4</f>
        <v>5</v>
      </c>
    </row>
    <row r="760" customFormat="false" ht="14.25" hidden="false" customHeight="false" outlineLevel="0" collapsed="false">
      <c r="A760" s="1" t="n">
        <v>2009</v>
      </c>
      <c r="B760" s="7" t="s">
        <v>322</v>
      </c>
      <c r="C760" s="7" t="n">
        <v>2</v>
      </c>
      <c r="D760" s="7" t="s">
        <v>294</v>
      </c>
      <c r="E760" s="7" t="s">
        <v>294</v>
      </c>
      <c r="F760" s="7" t="s">
        <v>326</v>
      </c>
      <c r="G760" s="1" t="n">
        <v>1</v>
      </c>
      <c r="H760" s="1" t="n">
        <v>2</v>
      </c>
      <c r="I760" s="10" t="n">
        <v>39970</v>
      </c>
      <c r="J760" s="10" t="n">
        <v>39975</v>
      </c>
      <c r="K760" s="1" t="n">
        <v>5</v>
      </c>
      <c r="L760" s="1" t="n">
        <v>4</v>
      </c>
      <c r="M760" s="13" t="s">
        <v>195</v>
      </c>
      <c r="N760" s="13" t="s">
        <v>196</v>
      </c>
      <c r="O760" s="14" t="s">
        <v>197</v>
      </c>
      <c r="P760" s="2" t="str">
        <f aca="false">CONCATENATE(N760," ",O760)</f>
        <v>Pachygnatha listeri</v>
      </c>
      <c r="Q760" s="1" t="s">
        <v>30</v>
      </c>
      <c r="R760" s="1" t="s">
        <v>31</v>
      </c>
      <c r="S760" s="1" t="n">
        <v>1</v>
      </c>
      <c r="T760" s="1" t="n">
        <v>0</v>
      </c>
      <c r="U760" s="1" t="n">
        <v>0</v>
      </c>
      <c r="V760" s="1" t="n">
        <v>0</v>
      </c>
      <c r="W760" s="1" t="n">
        <v>0</v>
      </c>
      <c r="X760" s="1" t="n">
        <v>0</v>
      </c>
      <c r="Y760" s="3" t="n">
        <f aca="false">SUM(S760:T760)</f>
        <v>1</v>
      </c>
      <c r="Z760" s="3" t="n">
        <f aca="false">SUM(U760:W760)</f>
        <v>0</v>
      </c>
      <c r="AA760" s="3" t="n">
        <f aca="false">SUM(S760:X760)</f>
        <v>1</v>
      </c>
      <c r="AB760" s="11" t="n">
        <f aca="false">(AA760/(K760*L760)*25)*4</f>
        <v>5</v>
      </c>
    </row>
    <row r="761" customFormat="false" ht="14.25" hidden="false" customHeight="false" outlineLevel="0" collapsed="false">
      <c r="A761" s="1" t="n">
        <v>2009</v>
      </c>
      <c r="B761" s="7" t="s">
        <v>322</v>
      </c>
      <c r="C761" s="7" t="n">
        <v>2</v>
      </c>
      <c r="D761" s="7" t="s">
        <v>294</v>
      </c>
      <c r="E761" s="7" t="s">
        <v>294</v>
      </c>
      <c r="F761" s="7" t="s">
        <v>326</v>
      </c>
      <c r="G761" s="1" t="n">
        <v>1</v>
      </c>
      <c r="H761" s="1" t="n">
        <v>2</v>
      </c>
      <c r="I761" s="10" t="n">
        <v>39970</v>
      </c>
      <c r="J761" s="10" t="n">
        <v>39975</v>
      </c>
      <c r="K761" s="1" t="n">
        <v>5</v>
      </c>
      <c r="L761" s="1" t="n">
        <v>4</v>
      </c>
      <c r="M761" s="3" t="s">
        <v>32</v>
      </c>
      <c r="N761" s="3" t="s">
        <v>55</v>
      </c>
      <c r="O761" s="3" t="s">
        <v>194</v>
      </c>
      <c r="P761" s="2" t="str">
        <f aca="false">CONCATENATE(N761," ",O761)</f>
        <v>Maro pansibiricus</v>
      </c>
      <c r="Q761" s="1" t="s">
        <v>30</v>
      </c>
      <c r="R761" s="1" t="s">
        <v>31</v>
      </c>
      <c r="S761" s="1" t="n">
        <v>3</v>
      </c>
      <c r="T761" s="1" t="n">
        <v>0</v>
      </c>
      <c r="U761" s="1" t="n">
        <v>0</v>
      </c>
      <c r="V761" s="1" t="n">
        <v>0</v>
      </c>
      <c r="W761" s="1" t="n">
        <v>0</v>
      </c>
      <c r="X761" s="1" t="n">
        <v>0</v>
      </c>
      <c r="Y761" s="3" t="n">
        <f aca="false">SUM(S761:T761)</f>
        <v>3</v>
      </c>
      <c r="Z761" s="3" t="n">
        <f aca="false">SUM(U761:W761)</f>
        <v>0</v>
      </c>
      <c r="AA761" s="3" t="n">
        <f aca="false">SUM(S761:X761)</f>
        <v>3</v>
      </c>
      <c r="AB761" s="11" t="n">
        <f aca="false">(AA761/(K761*L761)*25)*4</f>
        <v>15</v>
      </c>
    </row>
    <row r="762" customFormat="false" ht="14.25" hidden="false" customHeight="false" outlineLevel="0" collapsed="false">
      <c r="A762" s="1" t="n">
        <v>2009</v>
      </c>
      <c r="B762" s="7" t="s">
        <v>322</v>
      </c>
      <c r="C762" s="7" t="n">
        <v>2</v>
      </c>
      <c r="D762" s="7" t="s">
        <v>294</v>
      </c>
      <c r="E762" s="7" t="s">
        <v>294</v>
      </c>
      <c r="F762" s="7" t="s">
        <v>326</v>
      </c>
      <c r="G762" s="1" t="n">
        <v>1</v>
      </c>
      <c r="H762" s="1" t="n">
        <v>3</v>
      </c>
      <c r="I762" s="10" t="n">
        <v>39970</v>
      </c>
      <c r="J762" s="10" t="n">
        <v>39975</v>
      </c>
      <c r="K762" s="1" t="n">
        <v>5</v>
      </c>
      <c r="L762" s="1" t="n">
        <v>4</v>
      </c>
      <c r="M762" s="3" t="s">
        <v>48</v>
      </c>
      <c r="N762" s="3" t="s">
        <v>49</v>
      </c>
      <c r="O762" s="3" t="s">
        <v>104</v>
      </c>
      <c r="P762" s="2" t="str">
        <f aca="false">CONCATENATE(N762," ",O762)</f>
        <v>Alopecosa taeniata</v>
      </c>
      <c r="Q762" s="1" t="s">
        <v>30</v>
      </c>
      <c r="R762" s="1" t="s">
        <v>31</v>
      </c>
      <c r="S762" s="1" t="n">
        <v>4</v>
      </c>
      <c r="T762" s="1" t="n">
        <v>0</v>
      </c>
      <c r="U762" s="1" t="n">
        <v>0</v>
      </c>
      <c r="V762" s="1" t="n">
        <v>0</v>
      </c>
      <c r="W762" s="1" t="n">
        <v>0</v>
      </c>
      <c r="X762" s="1" t="n">
        <v>0</v>
      </c>
      <c r="Y762" s="3" t="n">
        <f aca="false">SUM(S762:T762)</f>
        <v>4</v>
      </c>
      <c r="Z762" s="3" t="n">
        <f aca="false">SUM(U762:W762)</f>
        <v>0</v>
      </c>
      <c r="AA762" s="3" t="n">
        <f aca="false">SUM(S762:X762)</f>
        <v>4</v>
      </c>
      <c r="AB762" s="11" t="n">
        <f aca="false">(AA762/(K762*L762)*25)*4</f>
        <v>20</v>
      </c>
    </row>
    <row r="763" customFormat="false" ht="14.25" hidden="false" customHeight="false" outlineLevel="0" collapsed="false">
      <c r="A763" s="1" t="n">
        <v>2009</v>
      </c>
      <c r="B763" s="7" t="s">
        <v>322</v>
      </c>
      <c r="C763" s="7" t="n">
        <v>2</v>
      </c>
      <c r="D763" s="7" t="s">
        <v>294</v>
      </c>
      <c r="E763" s="7" t="s">
        <v>294</v>
      </c>
      <c r="F763" s="7" t="s">
        <v>326</v>
      </c>
      <c r="G763" s="1" t="n">
        <v>1</v>
      </c>
      <c r="H763" s="1" t="n">
        <v>3</v>
      </c>
      <c r="I763" s="10" t="n">
        <v>39970</v>
      </c>
      <c r="J763" s="10" t="n">
        <v>39975</v>
      </c>
      <c r="K763" s="1" t="n">
        <v>5</v>
      </c>
      <c r="L763" s="1" t="n">
        <v>4</v>
      </c>
      <c r="M763" s="3" t="s">
        <v>48</v>
      </c>
      <c r="N763" s="3" t="s">
        <v>67</v>
      </c>
      <c r="O763" s="3" t="s">
        <v>127</v>
      </c>
      <c r="P763" s="2" t="str">
        <f aca="false">CONCATENATE(N763," ",O763)</f>
        <v>Pardosa lugubris</v>
      </c>
      <c r="Q763" s="1" t="s">
        <v>30</v>
      </c>
      <c r="R763" s="1" t="s">
        <v>31</v>
      </c>
      <c r="S763" s="1" t="n">
        <v>1</v>
      </c>
      <c r="T763" s="1" t="n">
        <v>0</v>
      </c>
      <c r="U763" s="1" t="n">
        <v>0</v>
      </c>
      <c r="V763" s="1" t="n">
        <v>0</v>
      </c>
      <c r="W763" s="1" t="n">
        <v>0</v>
      </c>
      <c r="X763" s="1" t="n">
        <v>0</v>
      </c>
      <c r="Y763" s="3" t="n">
        <f aca="false">SUM(S763:T763)</f>
        <v>1</v>
      </c>
      <c r="Z763" s="3" t="n">
        <f aca="false">SUM(U763:W763)</f>
        <v>0</v>
      </c>
      <c r="AA763" s="3" t="n">
        <f aca="false">SUM(S763:X763)</f>
        <v>1</v>
      </c>
      <c r="AB763" s="11" t="n">
        <f aca="false">(AA763/(K763*L763)*25)*4</f>
        <v>5</v>
      </c>
    </row>
    <row r="764" customFormat="false" ht="14.25" hidden="false" customHeight="false" outlineLevel="0" collapsed="false">
      <c r="A764" s="1" t="n">
        <v>2009</v>
      </c>
      <c r="B764" s="7" t="s">
        <v>322</v>
      </c>
      <c r="C764" s="7" t="n">
        <v>2</v>
      </c>
      <c r="D764" s="7" t="s">
        <v>294</v>
      </c>
      <c r="E764" s="7" t="s">
        <v>294</v>
      </c>
      <c r="F764" s="7" t="s">
        <v>326</v>
      </c>
      <c r="G764" s="1" t="n">
        <v>1</v>
      </c>
      <c r="H764" s="1" t="n">
        <v>3</v>
      </c>
      <c r="I764" s="10" t="n">
        <v>39970</v>
      </c>
      <c r="J764" s="10" t="n">
        <v>39975</v>
      </c>
      <c r="K764" s="1" t="n">
        <v>5</v>
      </c>
      <c r="L764" s="1" t="n">
        <v>4</v>
      </c>
      <c r="M764" s="3" t="s">
        <v>36</v>
      </c>
      <c r="N764" s="3" t="s">
        <v>131</v>
      </c>
      <c r="O764" s="3" t="s">
        <v>199</v>
      </c>
      <c r="P764" s="2" t="str">
        <f aca="false">CONCATENATE(N764," ",O764)</f>
        <v>Xysticus obscurus</v>
      </c>
      <c r="Q764" s="1" t="s">
        <v>30</v>
      </c>
      <c r="R764" s="1" t="s">
        <v>31</v>
      </c>
      <c r="S764" s="1" t="n">
        <v>2</v>
      </c>
      <c r="T764" s="1" t="n">
        <v>0</v>
      </c>
      <c r="U764" s="1" t="n">
        <v>0</v>
      </c>
      <c r="V764" s="1" t="n">
        <v>0</v>
      </c>
      <c r="W764" s="1" t="n">
        <v>0</v>
      </c>
      <c r="X764" s="1" t="n">
        <v>0</v>
      </c>
      <c r="Y764" s="3" t="n">
        <f aca="false">SUM(S764:T764)</f>
        <v>2</v>
      </c>
      <c r="Z764" s="3" t="n">
        <f aca="false">SUM(U764:W764)</f>
        <v>0</v>
      </c>
      <c r="AA764" s="3" t="n">
        <f aca="false">SUM(S764:X764)</f>
        <v>2</v>
      </c>
      <c r="AB764" s="11" t="n">
        <f aca="false">(AA764/(K764*L764)*25)*4</f>
        <v>10</v>
      </c>
    </row>
    <row r="765" customFormat="false" ht="14.25" hidden="false" customHeight="false" outlineLevel="0" collapsed="false">
      <c r="A765" s="1" t="n">
        <v>2009</v>
      </c>
      <c r="B765" s="7" t="s">
        <v>322</v>
      </c>
      <c r="C765" s="7" t="n">
        <v>2</v>
      </c>
      <c r="D765" s="7" t="s">
        <v>294</v>
      </c>
      <c r="E765" s="7" t="s">
        <v>294</v>
      </c>
      <c r="F765" s="7" t="s">
        <v>326</v>
      </c>
      <c r="G765" s="1" t="n">
        <v>1</v>
      </c>
      <c r="H765" s="1" t="n">
        <v>3</v>
      </c>
      <c r="I765" s="10" t="n">
        <v>39970</v>
      </c>
      <c r="J765" s="10" t="n">
        <v>39975</v>
      </c>
      <c r="K765" s="1" t="n">
        <v>5</v>
      </c>
      <c r="L765" s="1" t="n">
        <v>4</v>
      </c>
      <c r="M765" s="3" t="s">
        <v>36</v>
      </c>
      <c r="N765" s="3" t="s">
        <v>37</v>
      </c>
      <c r="O765" s="8" t="s">
        <v>75</v>
      </c>
      <c r="P765" s="2" t="str">
        <f aca="false">CONCATENATE(N765," ",O765)</f>
        <v>Ozyptila praticola</v>
      </c>
      <c r="Q765" s="1" t="s">
        <v>30</v>
      </c>
      <c r="R765" s="1" t="s">
        <v>31</v>
      </c>
      <c r="S765" s="1" t="n">
        <v>1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0</v>
      </c>
      <c r="Y765" s="3" t="n">
        <f aca="false">SUM(S765:T765)</f>
        <v>1</v>
      </c>
      <c r="Z765" s="3" t="n">
        <f aca="false">SUM(U765:W765)</f>
        <v>0</v>
      </c>
      <c r="AA765" s="3" t="n">
        <f aca="false">SUM(S765:X765)</f>
        <v>1</v>
      </c>
      <c r="AB765" s="11" t="n">
        <f aca="false">(AA765/(K765*L765)*25)*4</f>
        <v>5</v>
      </c>
    </row>
    <row r="766" customFormat="false" ht="14.25" hidden="false" customHeight="false" outlineLevel="0" collapsed="false">
      <c r="A766" s="1" t="n">
        <v>2009</v>
      </c>
      <c r="B766" s="7" t="s">
        <v>322</v>
      </c>
      <c r="C766" s="7" t="n">
        <v>2</v>
      </c>
      <c r="D766" s="7" t="s">
        <v>294</v>
      </c>
      <c r="E766" s="7" t="s">
        <v>294</v>
      </c>
      <c r="F766" s="7" t="s">
        <v>326</v>
      </c>
      <c r="G766" s="1" t="n">
        <v>1</v>
      </c>
      <c r="H766" s="1" t="n">
        <v>3</v>
      </c>
      <c r="I766" s="10" t="n">
        <v>39970</v>
      </c>
      <c r="J766" s="10" t="n">
        <v>39975</v>
      </c>
      <c r="K766" s="1" t="n">
        <v>5</v>
      </c>
      <c r="L766" s="1" t="n">
        <v>4</v>
      </c>
      <c r="M766" s="3" t="s">
        <v>72</v>
      </c>
      <c r="N766" s="3" t="s">
        <v>86</v>
      </c>
      <c r="O766" s="8" t="s">
        <v>87</v>
      </c>
      <c r="P766" s="2" t="str">
        <f aca="false">CONCATENATE(N766," ",O766)</f>
        <v>Haplodrassus soerenseni</v>
      </c>
      <c r="Q766" s="1" t="s">
        <v>30</v>
      </c>
      <c r="R766" s="1" t="s">
        <v>31</v>
      </c>
      <c r="S766" s="1" t="n">
        <v>1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0</v>
      </c>
      <c r="Y766" s="3" t="n">
        <f aca="false">SUM(S766:T766)</f>
        <v>1</v>
      </c>
      <c r="Z766" s="3" t="n">
        <f aca="false">SUM(U766:W766)</f>
        <v>0</v>
      </c>
      <c r="AA766" s="3" t="n">
        <f aca="false">SUM(S766:X766)</f>
        <v>1</v>
      </c>
      <c r="AB766" s="11" t="n">
        <f aca="false">(AA766/(K766*L766)*25)*4</f>
        <v>5</v>
      </c>
    </row>
    <row r="767" customFormat="false" ht="14.25" hidden="false" customHeight="false" outlineLevel="0" collapsed="false">
      <c r="A767" s="1" t="n">
        <v>2009</v>
      </c>
      <c r="B767" s="7" t="s">
        <v>322</v>
      </c>
      <c r="C767" s="7" t="n">
        <v>2</v>
      </c>
      <c r="D767" s="7" t="s">
        <v>294</v>
      </c>
      <c r="E767" s="7" t="s">
        <v>294</v>
      </c>
      <c r="F767" s="7" t="s">
        <v>326</v>
      </c>
      <c r="G767" s="1" t="n">
        <v>1</v>
      </c>
      <c r="H767" s="1" t="n">
        <v>3</v>
      </c>
      <c r="I767" s="10" t="n">
        <v>39970</v>
      </c>
      <c r="J767" s="10" t="n">
        <v>39975</v>
      </c>
      <c r="K767" s="1" t="n">
        <v>5</v>
      </c>
      <c r="L767" s="1" t="n">
        <v>4</v>
      </c>
      <c r="M767" s="3" t="s">
        <v>72</v>
      </c>
      <c r="N767" s="3" t="s">
        <v>86</v>
      </c>
      <c r="O767" s="8" t="s">
        <v>87</v>
      </c>
      <c r="P767" s="2" t="str">
        <f aca="false">CONCATENATE(N767," ",O767)</f>
        <v>Haplodrassus soerenseni</v>
      </c>
      <c r="Q767" s="1" t="s">
        <v>30</v>
      </c>
      <c r="R767" s="1" t="s">
        <v>35</v>
      </c>
      <c r="S767" s="1" t="n">
        <v>0</v>
      </c>
      <c r="T767" s="1" t="n">
        <v>1</v>
      </c>
      <c r="U767" s="1" t="n">
        <v>0</v>
      </c>
      <c r="V767" s="1" t="n">
        <v>0</v>
      </c>
      <c r="W767" s="1" t="n">
        <v>0</v>
      </c>
      <c r="X767" s="1" t="n">
        <v>0</v>
      </c>
      <c r="Y767" s="3" t="n">
        <f aca="false">SUM(S767:T767)</f>
        <v>1</v>
      </c>
      <c r="Z767" s="3" t="n">
        <f aca="false">SUM(U767:W767)</f>
        <v>0</v>
      </c>
      <c r="AA767" s="3" t="n">
        <f aca="false">SUM(S767:X767)</f>
        <v>1</v>
      </c>
      <c r="AB767" s="11" t="n">
        <f aca="false">(AA767/(K767*L767)*25)*4</f>
        <v>5</v>
      </c>
    </row>
    <row r="768" customFormat="false" ht="14.25" hidden="false" customHeight="false" outlineLevel="0" collapsed="false">
      <c r="A768" s="1" t="n">
        <v>2009</v>
      </c>
      <c r="B768" s="7" t="s">
        <v>322</v>
      </c>
      <c r="C768" s="7" t="n">
        <v>2</v>
      </c>
      <c r="D768" s="7" t="s">
        <v>294</v>
      </c>
      <c r="E768" s="7" t="s">
        <v>294</v>
      </c>
      <c r="F768" s="7" t="s">
        <v>326</v>
      </c>
      <c r="G768" s="1" t="n">
        <v>1</v>
      </c>
      <c r="H768" s="1" t="n">
        <v>3</v>
      </c>
      <c r="I768" s="10" t="n">
        <v>39970</v>
      </c>
      <c r="J768" s="10" t="n">
        <v>39975</v>
      </c>
      <c r="K768" s="1" t="n">
        <v>5</v>
      </c>
      <c r="L768" s="1" t="n">
        <v>4</v>
      </c>
      <c r="M768" s="3" t="s">
        <v>72</v>
      </c>
      <c r="N768" s="3" t="s">
        <v>73</v>
      </c>
      <c r="O768" s="3" t="s">
        <v>74</v>
      </c>
      <c r="P768" s="2" t="str">
        <f aca="false">CONCATENATE(N768," ",O768)</f>
        <v>Zelotes subterraneus</v>
      </c>
      <c r="Q768" s="1" t="s">
        <v>30</v>
      </c>
      <c r="R768" s="1" t="s">
        <v>35</v>
      </c>
      <c r="S768" s="1" t="n">
        <v>0</v>
      </c>
      <c r="T768" s="1" t="n">
        <v>1</v>
      </c>
      <c r="U768" s="1" t="n">
        <v>0</v>
      </c>
      <c r="V768" s="1" t="n">
        <v>0</v>
      </c>
      <c r="W768" s="1" t="n">
        <v>0</v>
      </c>
      <c r="X768" s="1" t="n">
        <v>0</v>
      </c>
      <c r="Y768" s="3" t="n">
        <f aca="false">SUM(S768:T768)</f>
        <v>1</v>
      </c>
      <c r="Z768" s="3" t="n">
        <f aca="false">SUM(U768:W768)</f>
        <v>0</v>
      </c>
      <c r="AA768" s="3" t="n">
        <f aca="false">SUM(S768:X768)</f>
        <v>1</v>
      </c>
      <c r="AB768" s="11" t="n">
        <f aca="false">(AA768/(K768*L768)*25)*4</f>
        <v>5</v>
      </c>
    </row>
    <row r="769" customFormat="false" ht="14.25" hidden="false" customHeight="false" outlineLevel="0" collapsed="false">
      <c r="A769" s="1" t="n">
        <v>2009</v>
      </c>
      <c r="B769" s="7" t="s">
        <v>322</v>
      </c>
      <c r="C769" s="7" t="n">
        <v>2</v>
      </c>
      <c r="D769" s="7" t="s">
        <v>294</v>
      </c>
      <c r="E769" s="7" t="s">
        <v>294</v>
      </c>
      <c r="F769" s="7" t="s">
        <v>326</v>
      </c>
      <c r="G769" s="1" t="n">
        <v>1</v>
      </c>
      <c r="H769" s="1" t="n">
        <v>3</v>
      </c>
      <c r="I769" s="10" t="n">
        <v>39970</v>
      </c>
      <c r="J769" s="10" t="n">
        <v>39975</v>
      </c>
      <c r="K769" s="1" t="n">
        <v>5</v>
      </c>
      <c r="L769" s="1" t="n">
        <v>4</v>
      </c>
      <c r="M769" s="3" t="s">
        <v>92</v>
      </c>
      <c r="N769" s="3" t="s">
        <v>171</v>
      </c>
      <c r="O769" s="3" t="s">
        <v>172</v>
      </c>
      <c r="P769" s="2" t="str">
        <f aca="false">CONCATENATE(N769," ",O769)</f>
        <v>Euophrys frontalis</v>
      </c>
      <c r="Q769" s="1" t="s">
        <v>30</v>
      </c>
      <c r="R769" s="1" t="s">
        <v>31</v>
      </c>
      <c r="S769" s="1" t="n">
        <v>1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  <c r="Y769" s="3" t="n">
        <f aca="false">SUM(S769:T769)</f>
        <v>1</v>
      </c>
      <c r="Z769" s="3" t="n">
        <f aca="false">SUM(U769:W769)</f>
        <v>0</v>
      </c>
      <c r="AA769" s="3" t="n">
        <f aca="false">SUM(S769:X769)</f>
        <v>1</v>
      </c>
      <c r="AB769" s="11" t="n">
        <f aca="false">(AA769/(K769*L769)*25)*4</f>
        <v>5</v>
      </c>
    </row>
    <row r="770" customFormat="false" ht="14.25" hidden="false" customHeight="false" outlineLevel="0" collapsed="false">
      <c r="A770" s="1" t="n">
        <v>2009</v>
      </c>
      <c r="B770" s="7" t="s">
        <v>322</v>
      </c>
      <c r="C770" s="7" t="n">
        <v>2</v>
      </c>
      <c r="D770" s="7" t="s">
        <v>294</v>
      </c>
      <c r="E770" s="7" t="s">
        <v>294</v>
      </c>
      <c r="F770" s="7" t="s">
        <v>326</v>
      </c>
      <c r="G770" s="1" t="n">
        <v>1</v>
      </c>
      <c r="H770" s="1" t="n">
        <v>4</v>
      </c>
      <c r="I770" s="10" t="n">
        <v>39970</v>
      </c>
      <c r="J770" s="10" t="n">
        <v>39975</v>
      </c>
      <c r="K770" s="1" t="n">
        <v>5</v>
      </c>
      <c r="L770" s="1" t="n">
        <v>4</v>
      </c>
      <c r="M770" s="3" t="s">
        <v>48</v>
      </c>
      <c r="N770" s="3" t="s">
        <v>49</v>
      </c>
      <c r="O770" s="3" t="s">
        <v>104</v>
      </c>
      <c r="P770" s="2" t="str">
        <f aca="false">CONCATENATE(N770," ",O770)</f>
        <v>Alopecosa taeniata</v>
      </c>
      <c r="Q770" s="1" t="s">
        <v>30</v>
      </c>
      <c r="R770" s="1" t="s">
        <v>31</v>
      </c>
      <c r="S770" s="1" t="n">
        <v>4</v>
      </c>
      <c r="T770" s="1" t="n">
        <v>0</v>
      </c>
      <c r="U770" s="1" t="n">
        <v>0</v>
      </c>
      <c r="V770" s="1" t="n">
        <v>0</v>
      </c>
      <c r="W770" s="1" t="n">
        <v>0</v>
      </c>
      <c r="X770" s="1" t="n">
        <v>0</v>
      </c>
      <c r="Y770" s="3" t="n">
        <f aca="false">SUM(S770:T770)</f>
        <v>4</v>
      </c>
      <c r="Z770" s="3" t="n">
        <f aca="false">SUM(U770:W770)</f>
        <v>0</v>
      </c>
      <c r="AA770" s="3" t="n">
        <f aca="false">SUM(S770:X770)</f>
        <v>4</v>
      </c>
      <c r="AB770" s="11" t="n">
        <f aca="false">(AA770/(K770*L770)*25)*4</f>
        <v>20</v>
      </c>
    </row>
    <row r="771" customFormat="false" ht="14.25" hidden="false" customHeight="false" outlineLevel="0" collapsed="false">
      <c r="A771" s="1" t="n">
        <v>2009</v>
      </c>
      <c r="B771" s="7" t="s">
        <v>322</v>
      </c>
      <c r="C771" s="7" t="n">
        <v>2</v>
      </c>
      <c r="D771" s="7" t="s">
        <v>294</v>
      </c>
      <c r="E771" s="7" t="s">
        <v>294</v>
      </c>
      <c r="F771" s="7" t="s">
        <v>326</v>
      </c>
      <c r="G771" s="1" t="n">
        <v>1</v>
      </c>
      <c r="H771" s="1" t="n">
        <v>4</v>
      </c>
      <c r="I771" s="10" t="n">
        <v>39970</v>
      </c>
      <c r="J771" s="10" t="n">
        <v>39975</v>
      </c>
      <c r="K771" s="1" t="n">
        <v>5</v>
      </c>
      <c r="L771" s="1" t="n">
        <v>4</v>
      </c>
      <c r="M771" s="3" t="s">
        <v>48</v>
      </c>
      <c r="N771" s="3" t="s">
        <v>49</v>
      </c>
      <c r="O771" s="3" t="s">
        <v>104</v>
      </c>
      <c r="P771" s="2" t="str">
        <f aca="false">CONCATENATE(N771," ",O771)</f>
        <v>Alopecosa taeniata</v>
      </c>
      <c r="Q771" s="1" t="s">
        <v>30</v>
      </c>
      <c r="R771" s="1" t="s">
        <v>35</v>
      </c>
      <c r="S771" s="1" t="n">
        <v>0</v>
      </c>
      <c r="T771" s="1" t="n">
        <v>1</v>
      </c>
      <c r="U771" s="1" t="n">
        <v>0</v>
      </c>
      <c r="V771" s="1" t="n">
        <v>0</v>
      </c>
      <c r="W771" s="1" t="n">
        <v>0</v>
      </c>
      <c r="X771" s="1" t="n">
        <v>0</v>
      </c>
      <c r="Y771" s="3" t="n">
        <f aca="false">SUM(S771:T771)</f>
        <v>1</v>
      </c>
      <c r="Z771" s="3" t="n">
        <f aca="false">SUM(U771:W771)</f>
        <v>0</v>
      </c>
      <c r="AA771" s="3" t="n">
        <f aca="false">SUM(S771:X771)</f>
        <v>1</v>
      </c>
      <c r="AB771" s="11" t="n">
        <f aca="false">(AA771/(K771*L771)*25)*4</f>
        <v>5</v>
      </c>
    </row>
    <row r="772" customFormat="false" ht="14.25" hidden="false" customHeight="false" outlineLevel="0" collapsed="false">
      <c r="A772" s="1" t="n">
        <v>2009</v>
      </c>
      <c r="B772" s="7" t="s">
        <v>322</v>
      </c>
      <c r="C772" s="7" t="n">
        <v>2</v>
      </c>
      <c r="D772" s="7" t="s">
        <v>294</v>
      </c>
      <c r="E772" s="7" t="s">
        <v>294</v>
      </c>
      <c r="F772" s="7" t="s">
        <v>326</v>
      </c>
      <c r="G772" s="1" t="n">
        <v>1</v>
      </c>
      <c r="H772" s="1" t="n">
        <v>4</v>
      </c>
      <c r="I772" s="10" t="n">
        <v>39970</v>
      </c>
      <c r="J772" s="10" t="n">
        <v>39975</v>
      </c>
      <c r="K772" s="1" t="n">
        <v>5</v>
      </c>
      <c r="L772" s="1" t="n">
        <v>4</v>
      </c>
      <c r="M772" s="3" t="s">
        <v>48</v>
      </c>
      <c r="N772" s="3" t="s">
        <v>67</v>
      </c>
      <c r="O772" s="3" t="s">
        <v>127</v>
      </c>
      <c r="P772" s="2" t="str">
        <f aca="false">CONCATENATE(N772," ",O772)</f>
        <v>Pardosa lugubris</v>
      </c>
      <c r="Q772" s="1" t="s">
        <v>30</v>
      </c>
      <c r="R772" s="1" t="s">
        <v>31</v>
      </c>
      <c r="S772" s="1" t="n">
        <v>1</v>
      </c>
      <c r="T772" s="1" t="n">
        <v>0</v>
      </c>
      <c r="U772" s="1" t="n">
        <v>0</v>
      </c>
      <c r="V772" s="1" t="n">
        <v>0</v>
      </c>
      <c r="W772" s="1" t="n">
        <v>0</v>
      </c>
      <c r="X772" s="1" t="n">
        <v>0</v>
      </c>
      <c r="Y772" s="3" t="n">
        <f aca="false">SUM(S772:T772)</f>
        <v>1</v>
      </c>
      <c r="Z772" s="3" t="n">
        <f aca="false">SUM(U772:W772)</f>
        <v>0</v>
      </c>
      <c r="AA772" s="3" t="n">
        <f aca="false">SUM(S772:X772)</f>
        <v>1</v>
      </c>
      <c r="AB772" s="11" t="n">
        <f aca="false">(AA772/(K772*L772)*25)*4</f>
        <v>5</v>
      </c>
    </row>
    <row r="773" customFormat="false" ht="14.25" hidden="false" customHeight="false" outlineLevel="0" collapsed="false">
      <c r="A773" s="1" t="n">
        <v>2009</v>
      </c>
      <c r="B773" s="7" t="s">
        <v>322</v>
      </c>
      <c r="C773" s="7" t="n">
        <v>2</v>
      </c>
      <c r="D773" s="7" t="s">
        <v>294</v>
      </c>
      <c r="E773" s="7" t="s">
        <v>294</v>
      </c>
      <c r="F773" s="7" t="s">
        <v>326</v>
      </c>
      <c r="G773" s="1" t="n">
        <v>1</v>
      </c>
      <c r="H773" s="1" t="n">
        <v>4</v>
      </c>
      <c r="I773" s="10" t="n">
        <v>39970</v>
      </c>
      <c r="J773" s="10" t="n">
        <v>39975</v>
      </c>
      <c r="K773" s="1" t="n">
        <v>5</v>
      </c>
      <c r="L773" s="1" t="n">
        <v>4</v>
      </c>
      <c r="M773" s="3" t="s">
        <v>48</v>
      </c>
      <c r="N773" s="3" t="s">
        <v>61</v>
      </c>
      <c r="O773" s="3" t="s">
        <v>82</v>
      </c>
      <c r="P773" s="2" t="str">
        <f aca="false">CONCATENATE(N773," ",O773)</f>
        <v>Trochosa terricola</v>
      </c>
      <c r="Q773" s="1" t="s">
        <v>30</v>
      </c>
      <c r="R773" s="1" t="s">
        <v>35</v>
      </c>
      <c r="S773" s="1" t="n">
        <v>0</v>
      </c>
      <c r="T773" s="1" t="n">
        <v>1</v>
      </c>
      <c r="U773" s="1" t="n">
        <v>0</v>
      </c>
      <c r="V773" s="1" t="n">
        <v>0</v>
      </c>
      <c r="W773" s="1" t="n">
        <v>0</v>
      </c>
      <c r="X773" s="1" t="n">
        <v>0</v>
      </c>
      <c r="Y773" s="3" t="n">
        <f aca="false">SUM(S773:T773)</f>
        <v>1</v>
      </c>
      <c r="Z773" s="3" t="n">
        <f aca="false">SUM(U773:W773)</f>
        <v>0</v>
      </c>
      <c r="AA773" s="3" t="n">
        <f aca="false">SUM(S773:X773)</f>
        <v>1</v>
      </c>
      <c r="AB773" s="11" t="n">
        <f aca="false">(AA773/(K773*L773)*25)*4</f>
        <v>5</v>
      </c>
    </row>
    <row r="774" customFormat="false" ht="14.25" hidden="false" customHeight="false" outlineLevel="0" collapsed="false">
      <c r="A774" s="1" t="n">
        <v>2009</v>
      </c>
      <c r="B774" s="7" t="s">
        <v>322</v>
      </c>
      <c r="C774" s="7" t="n">
        <v>2</v>
      </c>
      <c r="D774" s="7" t="s">
        <v>294</v>
      </c>
      <c r="E774" s="7" t="s">
        <v>294</v>
      </c>
      <c r="F774" s="7" t="s">
        <v>326</v>
      </c>
      <c r="G774" s="1" t="n">
        <v>1</v>
      </c>
      <c r="H774" s="1" t="n">
        <v>4</v>
      </c>
      <c r="I774" s="10" t="n">
        <v>39970</v>
      </c>
      <c r="J774" s="10" t="n">
        <v>39975</v>
      </c>
      <c r="K774" s="1" t="n">
        <v>5</v>
      </c>
      <c r="L774" s="1" t="n">
        <v>4</v>
      </c>
      <c r="M774" s="3" t="s">
        <v>72</v>
      </c>
      <c r="N774" s="3" t="s">
        <v>73</v>
      </c>
      <c r="O774" s="3" t="s">
        <v>74</v>
      </c>
      <c r="P774" s="2" t="str">
        <f aca="false">CONCATENATE(N774," ",O774)</f>
        <v>Zelotes subterraneus</v>
      </c>
      <c r="Q774" s="1" t="s">
        <v>30</v>
      </c>
      <c r="R774" s="1" t="s">
        <v>35</v>
      </c>
      <c r="S774" s="1" t="n">
        <v>0</v>
      </c>
      <c r="T774" s="1" t="n">
        <v>1</v>
      </c>
      <c r="U774" s="1" t="n">
        <v>0</v>
      </c>
      <c r="V774" s="1" t="n">
        <v>0</v>
      </c>
      <c r="W774" s="1" t="n">
        <v>0</v>
      </c>
      <c r="X774" s="1" t="n">
        <v>0</v>
      </c>
      <c r="Y774" s="3" t="n">
        <f aca="false">SUM(S774:T774)</f>
        <v>1</v>
      </c>
      <c r="Z774" s="3" t="n">
        <f aca="false">SUM(U774:W774)</f>
        <v>0</v>
      </c>
      <c r="AA774" s="3" t="n">
        <f aca="false">SUM(S774:X774)</f>
        <v>1</v>
      </c>
      <c r="AB774" s="11" t="n">
        <f aca="false">(AA774/(K774*L774)*25)*4</f>
        <v>5</v>
      </c>
    </row>
    <row r="775" customFormat="false" ht="14.25" hidden="false" customHeight="false" outlineLevel="0" collapsed="false">
      <c r="A775" s="1" t="n">
        <v>2009</v>
      </c>
      <c r="B775" s="7" t="s">
        <v>322</v>
      </c>
      <c r="C775" s="7" t="n">
        <v>2</v>
      </c>
      <c r="D775" s="7" t="s">
        <v>294</v>
      </c>
      <c r="E775" s="7" t="s">
        <v>294</v>
      </c>
      <c r="F775" s="7" t="s">
        <v>326</v>
      </c>
      <c r="G775" s="1" t="n">
        <v>1</v>
      </c>
      <c r="H775" s="1" t="n">
        <v>4</v>
      </c>
      <c r="I775" s="10" t="n">
        <v>39970</v>
      </c>
      <c r="J775" s="10" t="n">
        <v>39975</v>
      </c>
      <c r="K775" s="1" t="n">
        <v>5</v>
      </c>
      <c r="L775" s="1" t="n">
        <v>4</v>
      </c>
      <c r="M775" s="3" t="s">
        <v>36</v>
      </c>
      <c r="N775" s="3" t="s">
        <v>131</v>
      </c>
      <c r="O775" s="3" t="s">
        <v>133</v>
      </c>
      <c r="P775" s="2" t="str">
        <f aca="false">CONCATENATE(N775," ",O775)</f>
        <v>Xysticus luctuosus</v>
      </c>
      <c r="Q775" s="1" t="s">
        <v>30</v>
      </c>
      <c r="R775" s="1" t="s">
        <v>31</v>
      </c>
      <c r="S775" s="1" t="n">
        <v>2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3" t="n">
        <f aca="false">SUM(S775:T775)</f>
        <v>2</v>
      </c>
      <c r="Z775" s="3" t="n">
        <f aca="false">SUM(U775:W775)</f>
        <v>0</v>
      </c>
      <c r="AA775" s="3" t="n">
        <f aca="false">SUM(S775:X775)</f>
        <v>2</v>
      </c>
      <c r="AB775" s="11" t="n">
        <f aca="false">(AA775/(K775*L775)*25)*4</f>
        <v>10</v>
      </c>
    </row>
    <row r="776" customFormat="false" ht="14.25" hidden="false" customHeight="false" outlineLevel="0" collapsed="false">
      <c r="A776" s="1" t="n">
        <v>2009</v>
      </c>
      <c r="B776" s="7" t="s">
        <v>322</v>
      </c>
      <c r="C776" s="7" t="n">
        <v>2</v>
      </c>
      <c r="D776" s="7" t="s">
        <v>294</v>
      </c>
      <c r="E776" s="7" t="s">
        <v>294</v>
      </c>
      <c r="F776" s="7" t="s">
        <v>326</v>
      </c>
      <c r="G776" s="1" t="n">
        <v>1</v>
      </c>
      <c r="H776" s="1" t="n">
        <v>4</v>
      </c>
      <c r="I776" s="10" t="n">
        <v>39970</v>
      </c>
      <c r="J776" s="10" t="n">
        <v>39975</v>
      </c>
      <c r="K776" s="1" t="n">
        <v>5</v>
      </c>
      <c r="L776" s="1" t="n">
        <v>4</v>
      </c>
      <c r="M776" s="3" t="s">
        <v>36</v>
      </c>
      <c r="N776" s="3" t="s">
        <v>131</v>
      </c>
      <c r="O776" s="3" t="s">
        <v>133</v>
      </c>
      <c r="P776" s="2" t="str">
        <f aca="false">CONCATENATE(N776," ",O776)</f>
        <v>Xysticus luctuosus</v>
      </c>
      <c r="Q776" s="1" t="s">
        <v>30</v>
      </c>
      <c r="R776" s="1" t="s">
        <v>35</v>
      </c>
      <c r="S776" s="1" t="n">
        <v>0</v>
      </c>
      <c r="T776" s="1" t="n">
        <v>1</v>
      </c>
      <c r="U776" s="1" t="n">
        <v>0</v>
      </c>
      <c r="V776" s="1" t="n">
        <v>0</v>
      </c>
      <c r="W776" s="1" t="n">
        <v>0</v>
      </c>
      <c r="X776" s="1" t="n">
        <v>0</v>
      </c>
      <c r="Y776" s="3" t="n">
        <f aca="false">SUM(S776:T776)</f>
        <v>1</v>
      </c>
      <c r="Z776" s="3" t="n">
        <f aca="false">SUM(U776:W776)</f>
        <v>0</v>
      </c>
      <c r="AA776" s="3" t="n">
        <f aca="false">SUM(S776:X776)</f>
        <v>1</v>
      </c>
      <c r="AB776" s="11" t="n">
        <f aca="false">(AA776/(K776*L776)*25)*4</f>
        <v>5</v>
      </c>
    </row>
    <row r="777" customFormat="false" ht="14.25" hidden="false" customHeight="false" outlineLevel="0" collapsed="false">
      <c r="A777" s="1" t="n">
        <v>2009</v>
      </c>
      <c r="B777" s="7" t="s">
        <v>322</v>
      </c>
      <c r="C777" s="7" t="n">
        <v>2</v>
      </c>
      <c r="D777" s="7" t="s">
        <v>294</v>
      </c>
      <c r="E777" s="7" t="s">
        <v>294</v>
      </c>
      <c r="F777" s="7" t="s">
        <v>326</v>
      </c>
      <c r="G777" s="1" t="n">
        <v>1</v>
      </c>
      <c r="H777" s="1" t="n">
        <v>4</v>
      </c>
      <c r="I777" s="10" t="n">
        <v>39970</v>
      </c>
      <c r="J777" s="10" t="n">
        <v>39975</v>
      </c>
      <c r="K777" s="1" t="n">
        <v>5</v>
      </c>
      <c r="L777" s="1" t="n">
        <v>4</v>
      </c>
      <c r="M777" s="13" t="s">
        <v>32</v>
      </c>
      <c r="N777" s="13" t="s">
        <v>96</v>
      </c>
      <c r="O777" s="14" t="s">
        <v>97</v>
      </c>
      <c r="P777" s="2" t="str">
        <f aca="false">CONCATENATE(N777," ",O777)</f>
        <v>Diplocephalus picinus</v>
      </c>
      <c r="Q777" s="1" t="s">
        <v>30</v>
      </c>
      <c r="R777" s="1" t="s">
        <v>31</v>
      </c>
      <c r="S777" s="1" t="n">
        <v>1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  <c r="Y777" s="3" t="n">
        <f aca="false">SUM(S777:T777)</f>
        <v>1</v>
      </c>
      <c r="Z777" s="3" t="n">
        <f aca="false">SUM(U777:W777)</f>
        <v>0</v>
      </c>
      <c r="AA777" s="3" t="n">
        <f aca="false">SUM(S777:X777)</f>
        <v>1</v>
      </c>
      <c r="AB777" s="11" t="n">
        <f aca="false">(AA777/(K777*L777)*25)*4</f>
        <v>5</v>
      </c>
    </row>
    <row r="778" customFormat="false" ht="14.25" hidden="false" customHeight="false" outlineLevel="0" collapsed="false">
      <c r="A778" s="1" t="n">
        <v>2009</v>
      </c>
      <c r="B778" s="7" t="s">
        <v>322</v>
      </c>
      <c r="C778" s="7" t="n">
        <v>2</v>
      </c>
      <c r="D778" s="7" t="s">
        <v>294</v>
      </c>
      <c r="E778" s="7" t="s">
        <v>294</v>
      </c>
      <c r="F778" s="7" t="s">
        <v>326</v>
      </c>
      <c r="G778" s="1" t="n">
        <v>2</v>
      </c>
      <c r="H778" s="1" t="n">
        <v>6</v>
      </c>
      <c r="I778" s="10" t="n">
        <v>39970</v>
      </c>
      <c r="J778" s="10" t="n">
        <v>39975</v>
      </c>
      <c r="K778" s="1" t="n">
        <v>5</v>
      </c>
      <c r="L778" s="1" t="n">
        <v>5</v>
      </c>
      <c r="M778" s="3" t="s">
        <v>48</v>
      </c>
      <c r="N778" s="3" t="s">
        <v>49</v>
      </c>
      <c r="O778" s="3" t="s">
        <v>104</v>
      </c>
      <c r="P778" s="2" t="str">
        <f aca="false">CONCATENATE(N778," ",O778)</f>
        <v>Alopecosa taeniata</v>
      </c>
      <c r="Q778" s="1" t="s">
        <v>30</v>
      </c>
      <c r="R778" s="1" t="s">
        <v>31</v>
      </c>
      <c r="S778" s="1" t="n">
        <v>4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  <c r="Y778" s="3" t="n">
        <f aca="false">SUM(S778:T778)</f>
        <v>4</v>
      </c>
      <c r="Z778" s="3" t="n">
        <f aca="false">SUM(U778:W778)</f>
        <v>0</v>
      </c>
      <c r="AA778" s="3" t="n">
        <f aca="false">SUM(S778:X778)</f>
        <v>4</v>
      </c>
      <c r="AB778" s="11" t="n">
        <f aca="false">(AA778/(K778*L778)*25)*4</f>
        <v>16</v>
      </c>
    </row>
    <row r="779" customFormat="false" ht="14.25" hidden="false" customHeight="false" outlineLevel="0" collapsed="false">
      <c r="A779" s="1" t="n">
        <v>2009</v>
      </c>
      <c r="B779" s="7" t="s">
        <v>322</v>
      </c>
      <c r="C779" s="7" t="n">
        <v>2</v>
      </c>
      <c r="D779" s="7" t="s">
        <v>294</v>
      </c>
      <c r="E779" s="7" t="s">
        <v>294</v>
      </c>
      <c r="F779" s="7" t="s">
        <v>326</v>
      </c>
      <c r="G779" s="1" t="n">
        <v>2</v>
      </c>
      <c r="H779" s="1" t="n">
        <v>6</v>
      </c>
      <c r="I779" s="10" t="n">
        <v>39970</v>
      </c>
      <c r="J779" s="10" t="n">
        <v>39975</v>
      </c>
      <c r="K779" s="1" t="n">
        <v>5</v>
      </c>
      <c r="L779" s="1" t="n">
        <v>5</v>
      </c>
      <c r="M779" s="3" t="s">
        <v>48</v>
      </c>
      <c r="N779" s="3" t="s">
        <v>49</v>
      </c>
      <c r="O779" s="3" t="s">
        <v>104</v>
      </c>
      <c r="P779" s="2" t="str">
        <f aca="false">CONCATENATE(N779," ",O779)</f>
        <v>Alopecosa taeniata</v>
      </c>
      <c r="Q779" s="1" t="s">
        <v>30</v>
      </c>
      <c r="R779" s="1" t="s">
        <v>35</v>
      </c>
      <c r="S779" s="1" t="n">
        <v>0</v>
      </c>
      <c r="T779" s="1" t="n">
        <v>1</v>
      </c>
      <c r="U779" s="1" t="n">
        <v>0</v>
      </c>
      <c r="V779" s="1" t="n">
        <v>0</v>
      </c>
      <c r="W779" s="1" t="n">
        <v>0</v>
      </c>
      <c r="X779" s="1" t="n">
        <v>0</v>
      </c>
      <c r="Y779" s="3" t="n">
        <f aca="false">SUM(S779:T779)</f>
        <v>1</v>
      </c>
      <c r="Z779" s="3" t="n">
        <f aca="false">SUM(U779:W779)</f>
        <v>0</v>
      </c>
      <c r="AA779" s="3" t="n">
        <f aca="false">SUM(S779:X779)</f>
        <v>1</v>
      </c>
      <c r="AB779" s="11" t="n">
        <f aca="false">(AA779/(K779*L779)*25)*4</f>
        <v>4</v>
      </c>
    </row>
    <row r="780" customFormat="false" ht="14.25" hidden="false" customHeight="false" outlineLevel="0" collapsed="false">
      <c r="A780" s="1" t="n">
        <v>2009</v>
      </c>
      <c r="B780" s="7" t="s">
        <v>322</v>
      </c>
      <c r="C780" s="7" t="n">
        <v>2</v>
      </c>
      <c r="D780" s="7" t="s">
        <v>294</v>
      </c>
      <c r="E780" s="7" t="s">
        <v>294</v>
      </c>
      <c r="F780" s="7" t="s">
        <v>326</v>
      </c>
      <c r="G780" s="1" t="n">
        <v>2</v>
      </c>
      <c r="H780" s="1" t="n">
        <v>6</v>
      </c>
      <c r="I780" s="10" t="n">
        <v>39970</v>
      </c>
      <c r="J780" s="10" t="n">
        <v>39975</v>
      </c>
      <c r="K780" s="1" t="n">
        <v>5</v>
      </c>
      <c r="L780" s="1" t="n">
        <v>5</v>
      </c>
      <c r="M780" s="3" t="s">
        <v>48</v>
      </c>
      <c r="N780" s="3" t="s">
        <v>67</v>
      </c>
      <c r="O780" s="3" t="s">
        <v>127</v>
      </c>
      <c r="P780" s="2" t="str">
        <f aca="false">CONCATENATE(N780," ",O780)</f>
        <v>Pardosa lugubris</v>
      </c>
      <c r="Q780" s="1" t="s">
        <v>30</v>
      </c>
      <c r="R780" s="1" t="s">
        <v>31</v>
      </c>
      <c r="S780" s="1" t="n">
        <v>4</v>
      </c>
      <c r="T780" s="1" t="n">
        <v>0</v>
      </c>
      <c r="U780" s="1" t="n">
        <v>0</v>
      </c>
      <c r="V780" s="1" t="n">
        <v>0</v>
      </c>
      <c r="W780" s="1" t="n">
        <v>0</v>
      </c>
      <c r="X780" s="1" t="n">
        <v>0</v>
      </c>
      <c r="Y780" s="3" t="n">
        <f aca="false">SUM(S780:T780)</f>
        <v>4</v>
      </c>
      <c r="Z780" s="3" t="n">
        <f aca="false">SUM(U780:W780)</f>
        <v>0</v>
      </c>
      <c r="AA780" s="3" t="n">
        <f aca="false">SUM(S780:X780)</f>
        <v>4</v>
      </c>
      <c r="AB780" s="11" t="n">
        <f aca="false">(AA780/(K780*L780)*25)*4</f>
        <v>16</v>
      </c>
    </row>
    <row r="781" customFormat="false" ht="14.25" hidden="false" customHeight="false" outlineLevel="0" collapsed="false">
      <c r="A781" s="1" t="n">
        <v>2009</v>
      </c>
      <c r="B781" s="7" t="s">
        <v>322</v>
      </c>
      <c r="C781" s="7" t="n">
        <v>2</v>
      </c>
      <c r="D781" s="7" t="s">
        <v>294</v>
      </c>
      <c r="E781" s="7" t="s">
        <v>294</v>
      </c>
      <c r="F781" s="7" t="s">
        <v>326</v>
      </c>
      <c r="G781" s="1" t="n">
        <v>2</v>
      </c>
      <c r="H781" s="1" t="n">
        <v>6</v>
      </c>
      <c r="I781" s="10" t="n">
        <v>39970</v>
      </c>
      <c r="J781" s="10" t="n">
        <v>39975</v>
      </c>
      <c r="K781" s="1" t="n">
        <v>5</v>
      </c>
      <c r="L781" s="1" t="n">
        <v>5</v>
      </c>
      <c r="M781" s="3" t="s">
        <v>48</v>
      </c>
      <c r="N781" s="3" t="s">
        <v>61</v>
      </c>
      <c r="O781" s="3" t="s">
        <v>82</v>
      </c>
      <c r="P781" s="2" t="str">
        <f aca="false">CONCATENATE(N781," ",O781)</f>
        <v>Trochosa terricola</v>
      </c>
      <c r="Q781" s="1" t="s">
        <v>30</v>
      </c>
      <c r="R781" s="1" t="s">
        <v>35</v>
      </c>
      <c r="S781" s="1" t="n">
        <v>0</v>
      </c>
      <c r="T781" s="1" t="n">
        <v>1</v>
      </c>
      <c r="U781" s="1" t="n">
        <v>0</v>
      </c>
      <c r="V781" s="1" t="n">
        <v>0</v>
      </c>
      <c r="W781" s="1" t="n">
        <v>0</v>
      </c>
      <c r="X781" s="1" t="n">
        <v>0</v>
      </c>
      <c r="Y781" s="3" t="n">
        <f aca="false">SUM(S781:T781)</f>
        <v>1</v>
      </c>
      <c r="Z781" s="3" t="n">
        <f aca="false">SUM(U781:W781)</f>
        <v>0</v>
      </c>
      <c r="AA781" s="3" t="n">
        <f aca="false">SUM(S781:X781)</f>
        <v>1</v>
      </c>
      <c r="AB781" s="11" t="n">
        <f aca="false">(AA781/(K781*L781)*25)*4</f>
        <v>4</v>
      </c>
    </row>
    <row r="782" customFormat="false" ht="14.25" hidden="false" customHeight="false" outlineLevel="0" collapsed="false">
      <c r="A782" s="1" t="n">
        <v>2009</v>
      </c>
      <c r="B782" s="7" t="s">
        <v>322</v>
      </c>
      <c r="C782" s="7" t="n">
        <v>2</v>
      </c>
      <c r="D782" s="7" t="s">
        <v>294</v>
      </c>
      <c r="E782" s="7" t="s">
        <v>294</v>
      </c>
      <c r="F782" s="7" t="s">
        <v>326</v>
      </c>
      <c r="G782" s="1" t="n">
        <v>2</v>
      </c>
      <c r="H782" s="1" t="n">
        <v>6</v>
      </c>
      <c r="I782" s="10" t="n">
        <v>39970</v>
      </c>
      <c r="J782" s="10" t="n">
        <v>39975</v>
      </c>
      <c r="K782" s="1" t="n">
        <v>5</v>
      </c>
      <c r="L782" s="1" t="n">
        <v>5</v>
      </c>
      <c r="M782" s="3" t="s">
        <v>36</v>
      </c>
      <c r="N782" s="3" t="s">
        <v>131</v>
      </c>
      <c r="O782" s="3" t="s">
        <v>133</v>
      </c>
      <c r="P782" s="2" t="str">
        <f aca="false">CONCATENATE(N782," ",O782)</f>
        <v>Xysticus luctuosus</v>
      </c>
      <c r="Q782" s="1" t="s">
        <v>30</v>
      </c>
      <c r="R782" s="1" t="s">
        <v>31</v>
      </c>
      <c r="S782" s="1" t="n">
        <v>4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0</v>
      </c>
      <c r="Y782" s="3" t="n">
        <f aca="false">SUM(S782:T782)</f>
        <v>4</v>
      </c>
      <c r="Z782" s="3" t="n">
        <f aca="false">SUM(U782:W782)</f>
        <v>0</v>
      </c>
      <c r="AA782" s="3" t="n">
        <f aca="false">SUM(S782:X782)</f>
        <v>4</v>
      </c>
      <c r="AB782" s="11" t="n">
        <f aca="false">(AA782/(K782*L782)*25)*4</f>
        <v>16</v>
      </c>
    </row>
    <row r="783" customFormat="false" ht="14.25" hidden="false" customHeight="false" outlineLevel="0" collapsed="false">
      <c r="A783" s="1" t="n">
        <v>2009</v>
      </c>
      <c r="B783" s="7" t="s">
        <v>322</v>
      </c>
      <c r="C783" s="7" t="n">
        <v>2</v>
      </c>
      <c r="D783" s="7" t="s">
        <v>294</v>
      </c>
      <c r="E783" s="7" t="s">
        <v>294</v>
      </c>
      <c r="F783" s="7" t="s">
        <v>326</v>
      </c>
      <c r="G783" s="1" t="n">
        <v>2</v>
      </c>
      <c r="H783" s="1" t="n">
        <v>7</v>
      </c>
      <c r="I783" s="10" t="n">
        <v>39970</v>
      </c>
      <c r="J783" s="10" t="n">
        <v>39975</v>
      </c>
      <c r="K783" s="1" t="n">
        <v>5</v>
      </c>
      <c r="L783" s="1" t="n">
        <v>4</v>
      </c>
      <c r="M783" s="3" t="s">
        <v>48</v>
      </c>
      <c r="N783" s="3" t="s">
        <v>49</v>
      </c>
      <c r="O783" s="3" t="s">
        <v>104</v>
      </c>
      <c r="P783" s="2" t="str">
        <f aca="false">CONCATENATE(N783," ",O783)</f>
        <v>Alopecosa taeniata</v>
      </c>
      <c r="Q783" s="1" t="s">
        <v>30</v>
      </c>
      <c r="R783" s="1" t="s">
        <v>31</v>
      </c>
      <c r="S783" s="1" t="n">
        <v>4</v>
      </c>
      <c r="T783" s="1" t="n">
        <v>0</v>
      </c>
      <c r="U783" s="1" t="n">
        <v>0</v>
      </c>
      <c r="V783" s="1" t="n">
        <v>0</v>
      </c>
      <c r="W783" s="1" t="n">
        <v>0</v>
      </c>
      <c r="X783" s="1" t="n">
        <v>0</v>
      </c>
      <c r="Y783" s="3" t="n">
        <f aca="false">SUM(S783:T783)</f>
        <v>4</v>
      </c>
      <c r="Z783" s="3" t="n">
        <f aca="false">SUM(U783:W783)</f>
        <v>0</v>
      </c>
      <c r="AA783" s="3" t="n">
        <f aca="false">SUM(S783:X783)</f>
        <v>4</v>
      </c>
      <c r="AB783" s="11" t="n">
        <f aca="false">(AA783/(K783*L783)*25)*4</f>
        <v>20</v>
      </c>
      <c r="AC783" s="45"/>
    </row>
    <row r="784" customFormat="false" ht="14.25" hidden="false" customHeight="false" outlineLevel="0" collapsed="false">
      <c r="A784" s="1" t="n">
        <v>2009</v>
      </c>
      <c r="B784" s="7" t="s">
        <v>322</v>
      </c>
      <c r="C784" s="7" t="n">
        <v>2</v>
      </c>
      <c r="D784" s="7" t="s">
        <v>294</v>
      </c>
      <c r="E784" s="7" t="s">
        <v>294</v>
      </c>
      <c r="F784" s="7" t="s">
        <v>326</v>
      </c>
      <c r="G784" s="1" t="n">
        <v>2</v>
      </c>
      <c r="H784" s="1" t="n">
        <v>7</v>
      </c>
      <c r="I784" s="10" t="n">
        <v>39970</v>
      </c>
      <c r="J784" s="10" t="n">
        <v>39975</v>
      </c>
      <c r="K784" s="1" t="n">
        <v>5</v>
      </c>
      <c r="L784" s="1" t="n">
        <v>4</v>
      </c>
      <c r="M784" s="3" t="s">
        <v>48</v>
      </c>
      <c r="N784" s="3" t="s">
        <v>49</v>
      </c>
      <c r="O784" s="3" t="s">
        <v>104</v>
      </c>
      <c r="P784" s="2" t="str">
        <f aca="false">CONCATENATE(N784," ",O784)</f>
        <v>Alopecosa taeniata</v>
      </c>
      <c r="Q784" s="1" t="s">
        <v>30</v>
      </c>
      <c r="R784" s="1" t="s">
        <v>35</v>
      </c>
      <c r="S784" s="1" t="n">
        <v>0</v>
      </c>
      <c r="T784" s="1" t="n">
        <v>1</v>
      </c>
      <c r="U784" s="1" t="n">
        <v>0</v>
      </c>
      <c r="V784" s="1" t="n">
        <v>0</v>
      </c>
      <c r="W784" s="1" t="n">
        <v>0</v>
      </c>
      <c r="X784" s="1" t="n">
        <v>0</v>
      </c>
      <c r="Y784" s="3" t="n">
        <f aca="false">SUM(S784:T784)</f>
        <v>1</v>
      </c>
      <c r="Z784" s="3" t="n">
        <f aca="false">SUM(U784:W784)</f>
        <v>0</v>
      </c>
      <c r="AA784" s="3" t="n">
        <f aca="false">SUM(S784:X784)</f>
        <v>1</v>
      </c>
      <c r="AB784" s="11" t="n">
        <f aca="false">(AA784/(K784*L784)*25)*4</f>
        <v>5</v>
      </c>
      <c r="AC784" s="45"/>
    </row>
    <row r="785" customFormat="false" ht="14.25" hidden="false" customHeight="false" outlineLevel="0" collapsed="false">
      <c r="A785" s="1" t="n">
        <v>2009</v>
      </c>
      <c r="B785" s="7" t="s">
        <v>322</v>
      </c>
      <c r="C785" s="7" t="n">
        <v>2</v>
      </c>
      <c r="D785" s="7" t="s">
        <v>294</v>
      </c>
      <c r="E785" s="7" t="s">
        <v>294</v>
      </c>
      <c r="F785" s="7" t="s">
        <v>326</v>
      </c>
      <c r="G785" s="1" t="n">
        <v>2</v>
      </c>
      <c r="H785" s="1" t="n">
        <v>7</v>
      </c>
      <c r="I785" s="10" t="n">
        <v>39970</v>
      </c>
      <c r="J785" s="10" t="n">
        <v>39975</v>
      </c>
      <c r="K785" s="1" t="n">
        <v>5</v>
      </c>
      <c r="L785" s="1" t="n">
        <v>4</v>
      </c>
      <c r="M785" s="3" t="s">
        <v>48</v>
      </c>
      <c r="N785" s="3" t="s">
        <v>67</v>
      </c>
      <c r="O785" s="3" t="s">
        <v>127</v>
      </c>
      <c r="P785" s="2" t="str">
        <f aca="false">CONCATENATE(N785," ",O785)</f>
        <v>Pardosa lugubris</v>
      </c>
      <c r="Q785" s="1" t="s">
        <v>30</v>
      </c>
      <c r="R785" s="1" t="s">
        <v>31</v>
      </c>
      <c r="S785" s="1" t="n">
        <v>4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0</v>
      </c>
      <c r="Y785" s="3" t="n">
        <f aca="false">SUM(S785:T785)</f>
        <v>4</v>
      </c>
      <c r="Z785" s="3" t="n">
        <f aca="false">SUM(U785:W785)</f>
        <v>0</v>
      </c>
      <c r="AA785" s="3" t="n">
        <f aca="false">SUM(S785:X785)</f>
        <v>4</v>
      </c>
      <c r="AB785" s="11" t="n">
        <f aca="false">(AA785/(K785*L785)*25)*4</f>
        <v>20</v>
      </c>
      <c r="AC785" s="45"/>
    </row>
    <row r="786" customFormat="false" ht="14.25" hidden="false" customHeight="false" outlineLevel="0" collapsed="false">
      <c r="A786" s="1" t="n">
        <v>2009</v>
      </c>
      <c r="B786" s="7" t="s">
        <v>322</v>
      </c>
      <c r="C786" s="7" t="n">
        <v>2</v>
      </c>
      <c r="D786" s="7" t="s">
        <v>294</v>
      </c>
      <c r="E786" s="7" t="s">
        <v>294</v>
      </c>
      <c r="F786" s="7" t="s">
        <v>326</v>
      </c>
      <c r="G786" s="1" t="n">
        <v>2</v>
      </c>
      <c r="H786" s="1" t="n">
        <v>7</v>
      </c>
      <c r="I786" s="10" t="n">
        <v>39970</v>
      </c>
      <c r="J786" s="10" t="n">
        <v>39975</v>
      </c>
      <c r="K786" s="1" t="n">
        <v>5</v>
      </c>
      <c r="L786" s="1" t="n">
        <v>4</v>
      </c>
      <c r="M786" s="3" t="s">
        <v>64</v>
      </c>
      <c r="N786" s="3" t="s">
        <v>65</v>
      </c>
      <c r="O786" s="3" t="s">
        <v>123</v>
      </c>
      <c r="P786" s="2" t="str">
        <f aca="false">CONCATENATE(N786," ",O786)</f>
        <v>Zora nemoralis</v>
      </c>
      <c r="Q786" s="1" t="s">
        <v>30</v>
      </c>
      <c r="R786" s="1" t="s">
        <v>31</v>
      </c>
      <c r="S786" s="1" t="n">
        <v>2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0</v>
      </c>
      <c r="Y786" s="3" t="n">
        <f aca="false">SUM(S786:T786)</f>
        <v>2</v>
      </c>
      <c r="Z786" s="3" t="n">
        <f aca="false">SUM(U786:W786)</f>
        <v>0</v>
      </c>
      <c r="AA786" s="3" t="n">
        <f aca="false">SUM(S786:X786)</f>
        <v>2</v>
      </c>
      <c r="AB786" s="11" t="n">
        <f aca="false">(AA786/(K786*L786)*25)*4</f>
        <v>10</v>
      </c>
      <c r="AC786" s="45"/>
    </row>
    <row r="787" customFormat="false" ht="14.25" hidden="false" customHeight="false" outlineLevel="0" collapsed="false">
      <c r="A787" s="1" t="n">
        <v>2009</v>
      </c>
      <c r="B787" s="7" t="s">
        <v>322</v>
      </c>
      <c r="C787" s="7" t="n">
        <v>2</v>
      </c>
      <c r="D787" s="7" t="s">
        <v>294</v>
      </c>
      <c r="E787" s="7" t="s">
        <v>294</v>
      </c>
      <c r="F787" s="7" t="s">
        <v>326</v>
      </c>
      <c r="G787" s="1" t="n">
        <v>2</v>
      </c>
      <c r="H787" s="1" t="n">
        <v>7</v>
      </c>
      <c r="I787" s="10" t="n">
        <v>39970</v>
      </c>
      <c r="J787" s="10" t="n">
        <v>39975</v>
      </c>
      <c r="K787" s="1" t="n">
        <v>5</v>
      </c>
      <c r="L787" s="1" t="n">
        <v>4</v>
      </c>
      <c r="M787" s="3" t="s">
        <v>32</v>
      </c>
      <c r="N787" s="3" t="s">
        <v>102</v>
      </c>
      <c r="O787" s="3" t="s">
        <v>103</v>
      </c>
      <c r="P787" s="2" t="str">
        <f aca="false">CONCATENATE(N787," ",O787)</f>
        <v>Agyneta olivacea</v>
      </c>
      <c r="Q787" s="1" t="s">
        <v>30</v>
      </c>
      <c r="R787" s="1" t="s">
        <v>31</v>
      </c>
      <c r="S787" s="1" t="n">
        <v>1</v>
      </c>
      <c r="T787" s="1" t="n">
        <v>0</v>
      </c>
      <c r="U787" s="1" t="n">
        <v>0</v>
      </c>
      <c r="V787" s="1" t="n">
        <v>0</v>
      </c>
      <c r="W787" s="1" t="n">
        <v>0</v>
      </c>
      <c r="X787" s="1" t="n">
        <v>0</v>
      </c>
      <c r="Y787" s="3" t="n">
        <f aca="false">SUM(S787:T787)</f>
        <v>1</v>
      </c>
      <c r="Z787" s="3" t="n">
        <f aca="false">SUM(U787:W787)</f>
        <v>0</v>
      </c>
      <c r="AA787" s="3" t="n">
        <f aca="false">SUM(S787:X787)</f>
        <v>1</v>
      </c>
      <c r="AB787" s="11" t="n">
        <f aca="false">(AA787/(K787*L787)*25)*4</f>
        <v>5</v>
      </c>
      <c r="AC787" s="45"/>
    </row>
    <row r="788" customFormat="false" ht="14.25" hidden="false" customHeight="false" outlineLevel="0" collapsed="false">
      <c r="A788" s="1" t="n">
        <v>2009</v>
      </c>
      <c r="B788" s="7" t="s">
        <v>322</v>
      </c>
      <c r="C788" s="7" t="n">
        <v>2</v>
      </c>
      <c r="D788" s="7" t="s">
        <v>294</v>
      </c>
      <c r="E788" s="7" t="s">
        <v>294</v>
      </c>
      <c r="F788" s="7" t="s">
        <v>326</v>
      </c>
      <c r="G788" s="1" t="n">
        <v>2</v>
      </c>
      <c r="H788" s="1" t="n">
        <v>8</v>
      </c>
      <c r="I788" s="10" t="n">
        <v>39970</v>
      </c>
      <c r="J788" s="10" t="n">
        <v>39975</v>
      </c>
      <c r="K788" s="1" t="n">
        <v>5</v>
      </c>
      <c r="L788" s="1" t="n">
        <v>5</v>
      </c>
      <c r="M788" s="3" t="s">
        <v>48</v>
      </c>
      <c r="N788" s="3" t="s">
        <v>49</v>
      </c>
      <c r="O788" s="3" t="s">
        <v>104</v>
      </c>
      <c r="P788" s="2" t="str">
        <f aca="false">CONCATENATE(N788," ",O788)</f>
        <v>Alopecosa taeniata</v>
      </c>
      <c r="Q788" s="1" t="s">
        <v>30</v>
      </c>
      <c r="R788" s="1" t="s">
        <v>31</v>
      </c>
      <c r="S788" s="1" t="n">
        <v>2</v>
      </c>
      <c r="T788" s="1" t="n">
        <v>0</v>
      </c>
      <c r="U788" s="1" t="n">
        <v>0</v>
      </c>
      <c r="V788" s="1" t="n">
        <v>0</v>
      </c>
      <c r="W788" s="1" t="n">
        <v>0</v>
      </c>
      <c r="X788" s="1" t="n">
        <v>0</v>
      </c>
      <c r="Y788" s="3" t="n">
        <f aca="false">SUM(S788:T788)</f>
        <v>2</v>
      </c>
      <c r="Z788" s="3" t="n">
        <f aca="false">SUM(U788:W788)</f>
        <v>0</v>
      </c>
      <c r="AA788" s="3" t="n">
        <f aca="false">SUM(S788:X788)</f>
        <v>2</v>
      </c>
      <c r="AB788" s="11" t="n">
        <f aca="false">(AA788/(K788*L788)*25)*4</f>
        <v>8</v>
      </c>
      <c r="AC788" s="45"/>
    </row>
    <row r="789" customFormat="false" ht="14.25" hidden="false" customHeight="false" outlineLevel="0" collapsed="false">
      <c r="A789" s="1" t="n">
        <v>2009</v>
      </c>
      <c r="B789" s="7" t="s">
        <v>322</v>
      </c>
      <c r="C789" s="7" t="n">
        <v>2</v>
      </c>
      <c r="D789" s="7" t="s">
        <v>294</v>
      </c>
      <c r="E789" s="7" t="s">
        <v>294</v>
      </c>
      <c r="F789" s="7" t="s">
        <v>326</v>
      </c>
      <c r="G789" s="1" t="n">
        <v>2</v>
      </c>
      <c r="H789" s="1" t="n">
        <v>8</v>
      </c>
      <c r="I789" s="10" t="n">
        <v>39970</v>
      </c>
      <c r="J789" s="10" t="n">
        <v>39975</v>
      </c>
      <c r="K789" s="1" t="n">
        <v>5</v>
      </c>
      <c r="L789" s="1" t="n">
        <v>5</v>
      </c>
      <c r="M789" s="3" t="s">
        <v>48</v>
      </c>
      <c r="N789" s="3" t="s">
        <v>67</v>
      </c>
      <c r="O789" s="3" t="s">
        <v>127</v>
      </c>
      <c r="P789" s="2" t="str">
        <f aca="false">CONCATENATE(N789," ",O789)</f>
        <v>Pardosa lugubris</v>
      </c>
      <c r="Q789" s="1" t="s">
        <v>30</v>
      </c>
      <c r="R789" s="1" t="s">
        <v>31</v>
      </c>
      <c r="S789" s="1" t="n">
        <v>4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0</v>
      </c>
      <c r="Y789" s="3" t="n">
        <f aca="false">SUM(S789:T789)</f>
        <v>4</v>
      </c>
      <c r="Z789" s="3" t="n">
        <f aca="false">SUM(U789:W789)</f>
        <v>0</v>
      </c>
      <c r="AA789" s="3" t="n">
        <f aca="false">SUM(S789:X789)</f>
        <v>4</v>
      </c>
      <c r="AB789" s="11" t="n">
        <f aca="false">(AA789/(K789*L789)*25)*4</f>
        <v>16</v>
      </c>
      <c r="AC789" s="45"/>
    </row>
    <row r="790" customFormat="false" ht="14.25" hidden="false" customHeight="false" outlineLevel="0" collapsed="false">
      <c r="A790" s="1" t="n">
        <v>2009</v>
      </c>
      <c r="B790" s="7" t="s">
        <v>322</v>
      </c>
      <c r="C790" s="7" t="n">
        <v>2</v>
      </c>
      <c r="D790" s="7" t="s">
        <v>294</v>
      </c>
      <c r="E790" s="7" t="s">
        <v>294</v>
      </c>
      <c r="F790" s="7" t="s">
        <v>326</v>
      </c>
      <c r="G790" s="1" t="n">
        <v>2</v>
      </c>
      <c r="H790" s="1" t="n">
        <v>8</v>
      </c>
      <c r="I790" s="10" t="n">
        <v>39970</v>
      </c>
      <c r="J790" s="10" t="n">
        <v>39975</v>
      </c>
      <c r="K790" s="1" t="n">
        <v>5</v>
      </c>
      <c r="L790" s="1" t="n">
        <v>5</v>
      </c>
      <c r="M790" s="3" t="s">
        <v>36</v>
      </c>
      <c r="N790" s="3" t="s">
        <v>131</v>
      </c>
      <c r="O790" s="3" t="s">
        <v>133</v>
      </c>
      <c r="P790" s="2" t="str">
        <f aca="false">CONCATENATE(N790," ",O790)</f>
        <v>Xysticus luctuosus</v>
      </c>
      <c r="Q790" s="1" t="s">
        <v>30</v>
      </c>
      <c r="R790" s="1" t="s">
        <v>31</v>
      </c>
      <c r="S790" s="1" t="n">
        <v>3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0</v>
      </c>
      <c r="Y790" s="3" t="n">
        <f aca="false">SUM(S790:T790)</f>
        <v>3</v>
      </c>
      <c r="Z790" s="3" t="n">
        <f aca="false">SUM(U790:W790)</f>
        <v>0</v>
      </c>
      <c r="AA790" s="3" t="n">
        <f aca="false">SUM(S790:X790)</f>
        <v>3</v>
      </c>
      <c r="AB790" s="11" t="n">
        <f aca="false">(AA790/(K790*L790)*25)*4</f>
        <v>12</v>
      </c>
      <c r="AC790" s="45"/>
    </row>
    <row r="791" customFormat="false" ht="14.25" hidden="false" customHeight="false" outlineLevel="0" collapsed="false">
      <c r="A791" s="1" t="n">
        <v>2009</v>
      </c>
      <c r="B791" s="7" t="s">
        <v>322</v>
      </c>
      <c r="C791" s="7" t="n">
        <v>2</v>
      </c>
      <c r="D791" s="7" t="s">
        <v>294</v>
      </c>
      <c r="E791" s="7" t="s">
        <v>294</v>
      </c>
      <c r="F791" s="7" t="s">
        <v>326</v>
      </c>
      <c r="G791" s="1" t="n">
        <v>2</v>
      </c>
      <c r="H791" s="1" t="n">
        <v>8</v>
      </c>
      <c r="I791" s="10" t="n">
        <v>39970</v>
      </c>
      <c r="J791" s="10" t="n">
        <v>39975</v>
      </c>
      <c r="K791" s="1" t="n">
        <v>5</v>
      </c>
      <c r="L791" s="1" t="n">
        <v>5</v>
      </c>
      <c r="M791" s="3" t="s">
        <v>72</v>
      </c>
      <c r="N791" s="3" t="s">
        <v>86</v>
      </c>
      <c r="O791" s="8" t="s">
        <v>87</v>
      </c>
      <c r="P791" s="2" t="str">
        <f aca="false">CONCATENATE(N791," ",O791)</f>
        <v>Haplodrassus soerenseni</v>
      </c>
      <c r="Q791" s="1" t="s">
        <v>30</v>
      </c>
      <c r="R791" s="1" t="s">
        <v>31</v>
      </c>
      <c r="S791" s="1" t="n">
        <v>1</v>
      </c>
      <c r="T791" s="1" t="n">
        <v>0</v>
      </c>
      <c r="U791" s="1" t="n">
        <v>0</v>
      </c>
      <c r="V791" s="1" t="n">
        <v>0</v>
      </c>
      <c r="W791" s="1" t="n">
        <v>0</v>
      </c>
      <c r="X791" s="1" t="n">
        <v>0</v>
      </c>
      <c r="Y791" s="3" t="n">
        <f aca="false">SUM(S791:T791)</f>
        <v>1</v>
      </c>
      <c r="Z791" s="3" t="n">
        <f aca="false">SUM(U791:W791)</f>
        <v>0</v>
      </c>
      <c r="AA791" s="3" t="n">
        <f aca="false">SUM(S791:X791)</f>
        <v>1</v>
      </c>
      <c r="AB791" s="11" t="n">
        <f aca="false">(AA791/(K791*L791)*25)*4</f>
        <v>4</v>
      </c>
      <c r="AC791" s="45"/>
    </row>
    <row r="792" customFormat="false" ht="14.25" hidden="false" customHeight="false" outlineLevel="0" collapsed="false">
      <c r="A792" s="1" t="n">
        <v>2009</v>
      </c>
      <c r="B792" s="7" t="s">
        <v>322</v>
      </c>
      <c r="C792" s="7" t="n">
        <v>2</v>
      </c>
      <c r="D792" s="7" t="s">
        <v>294</v>
      </c>
      <c r="E792" s="7" t="s">
        <v>294</v>
      </c>
      <c r="F792" s="7" t="s">
        <v>326</v>
      </c>
      <c r="G792" s="1" t="n">
        <v>2</v>
      </c>
      <c r="H792" s="1" t="n">
        <v>8</v>
      </c>
      <c r="I792" s="10" t="n">
        <v>39970</v>
      </c>
      <c r="J792" s="10" t="n">
        <v>39975</v>
      </c>
      <c r="K792" s="1" t="n">
        <v>5</v>
      </c>
      <c r="L792" s="1" t="n">
        <v>5</v>
      </c>
      <c r="M792" s="3" t="s">
        <v>72</v>
      </c>
      <c r="N792" s="3" t="s">
        <v>73</v>
      </c>
      <c r="O792" s="3" t="s">
        <v>74</v>
      </c>
      <c r="P792" s="2" t="str">
        <f aca="false">CONCATENATE(N792," ",O792)</f>
        <v>Zelotes subterraneus</v>
      </c>
      <c r="Q792" s="1" t="s">
        <v>30</v>
      </c>
      <c r="R792" s="1" t="s">
        <v>31</v>
      </c>
      <c r="S792" s="1" t="n">
        <v>1</v>
      </c>
      <c r="T792" s="1" t="n">
        <v>0</v>
      </c>
      <c r="U792" s="1" t="n">
        <v>0</v>
      </c>
      <c r="V792" s="1" t="n">
        <v>0</v>
      </c>
      <c r="W792" s="1" t="n">
        <v>0</v>
      </c>
      <c r="X792" s="1" t="n">
        <v>0</v>
      </c>
      <c r="Y792" s="3" t="n">
        <f aca="false">SUM(S792:T792)</f>
        <v>1</v>
      </c>
      <c r="Z792" s="3" t="n">
        <f aca="false">SUM(U792:W792)</f>
        <v>0</v>
      </c>
      <c r="AA792" s="3" t="n">
        <f aca="false">SUM(S792:X792)</f>
        <v>1</v>
      </c>
      <c r="AB792" s="11" t="n">
        <f aca="false">(AA792/(K792*L792)*25)*4</f>
        <v>4</v>
      </c>
      <c r="AC792" s="45"/>
    </row>
    <row r="793" customFormat="false" ht="14.25" hidden="false" customHeight="false" outlineLevel="0" collapsed="false">
      <c r="A793" s="1" t="n">
        <v>2009</v>
      </c>
      <c r="B793" s="7" t="s">
        <v>322</v>
      </c>
      <c r="C793" s="7" t="n">
        <v>2</v>
      </c>
      <c r="D793" s="7" t="s">
        <v>294</v>
      </c>
      <c r="E793" s="7" t="s">
        <v>294</v>
      </c>
      <c r="F793" s="7" t="s">
        <v>326</v>
      </c>
      <c r="G793" s="1" t="n">
        <v>2</v>
      </c>
      <c r="H793" s="1" t="n">
        <v>8</v>
      </c>
      <c r="I793" s="10" t="n">
        <v>39970</v>
      </c>
      <c r="J793" s="10" t="n">
        <v>39975</v>
      </c>
      <c r="K793" s="1" t="n">
        <v>5</v>
      </c>
      <c r="L793" s="1" t="n">
        <v>5</v>
      </c>
      <c r="M793" s="3" t="s">
        <v>72</v>
      </c>
      <c r="N793" s="3" t="s">
        <v>73</v>
      </c>
      <c r="O793" s="3" t="s">
        <v>74</v>
      </c>
      <c r="P793" s="2" t="str">
        <f aca="false">CONCATENATE(N793," ",O793)</f>
        <v>Zelotes subterraneus</v>
      </c>
      <c r="Q793" s="1" t="s">
        <v>30</v>
      </c>
      <c r="R793" s="1" t="s">
        <v>35</v>
      </c>
      <c r="S793" s="1" t="n">
        <v>0</v>
      </c>
      <c r="T793" s="1" t="n">
        <v>1</v>
      </c>
      <c r="U793" s="1" t="n">
        <v>0</v>
      </c>
      <c r="V793" s="1" t="n">
        <v>0</v>
      </c>
      <c r="W793" s="1" t="n">
        <v>0</v>
      </c>
      <c r="X793" s="1" t="n">
        <v>0</v>
      </c>
      <c r="Y793" s="3" t="n">
        <f aca="false">SUM(S793:T793)</f>
        <v>1</v>
      </c>
      <c r="Z793" s="3" t="n">
        <f aca="false">SUM(U793:W793)</f>
        <v>0</v>
      </c>
      <c r="AA793" s="3" t="n">
        <f aca="false">SUM(S793:X793)</f>
        <v>1</v>
      </c>
      <c r="AB793" s="11" t="n">
        <f aca="false">(AA793/(K793*L793)*25)*4</f>
        <v>4</v>
      </c>
      <c r="AC793" s="45"/>
    </row>
    <row r="794" customFormat="false" ht="14.25" hidden="false" customHeight="false" outlineLevel="0" collapsed="false">
      <c r="A794" s="1" t="n">
        <v>2009</v>
      </c>
      <c r="B794" s="7" t="s">
        <v>322</v>
      </c>
      <c r="C794" s="7" t="n">
        <v>2</v>
      </c>
      <c r="D794" s="7" t="s">
        <v>294</v>
      </c>
      <c r="E794" s="7" t="s">
        <v>294</v>
      </c>
      <c r="F794" s="7" t="s">
        <v>326</v>
      </c>
      <c r="G794" s="1" t="n">
        <v>2</v>
      </c>
      <c r="H794" s="1" t="n">
        <v>8</v>
      </c>
      <c r="I794" s="10" t="n">
        <v>39970</v>
      </c>
      <c r="J794" s="10" t="n">
        <v>39975</v>
      </c>
      <c r="K794" s="1" t="n">
        <v>5</v>
      </c>
      <c r="L794" s="1" t="n">
        <v>5</v>
      </c>
      <c r="M794" s="3" t="s">
        <v>64</v>
      </c>
      <c r="N794" s="3" t="s">
        <v>65</v>
      </c>
      <c r="O794" s="3" t="s">
        <v>123</v>
      </c>
      <c r="P794" s="2" t="str">
        <f aca="false">CONCATENATE(N794," ",O794)</f>
        <v>Zora nemoralis</v>
      </c>
      <c r="Q794" s="1" t="s">
        <v>30</v>
      </c>
      <c r="R794" s="1" t="s">
        <v>31</v>
      </c>
      <c r="S794" s="1" t="n">
        <v>1</v>
      </c>
      <c r="T794" s="1" t="n">
        <v>0</v>
      </c>
      <c r="U794" s="1" t="n">
        <v>0</v>
      </c>
      <c r="V794" s="1" t="n">
        <v>0</v>
      </c>
      <c r="W794" s="1" t="n">
        <v>0</v>
      </c>
      <c r="X794" s="1" t="n">
        <v>0</v>
      </c>
      <c r="Y794" s="3" t="n">
        <f aca="false">SUM(S794:T794)</f>
        <v>1</v>
      </c>
      <c r="Z794" s="3" t="n">
        <f aca="false">SUM(U794:W794)</f>
        <v>0</v>
      </c>
      <c r="AA794" s="3" t="n">
        <f aca="false">SUM(S794:X794)</f>
        <v>1</v>
      </c>
      <c r="AB794" s="11" t="n">
        <f aca="false">(AA794/(K794*L794)*25)*4</f>
        <v>4</v>
      </c>
      <c r="AC794" s="45"/>
    </row>
    <row r="795" customFormat="false" ht="14.25" hidden="false" customHeight="false" outlineLevel="0" collapsed="false">
      <c r="A795" s="1" t="n">
        <v>2009</v>
      </c>
      <c r="B795" s="7" t="s">
        <v>322</v>
      </c>
      <c r="C795" s="7" t="n">
        <v>2</v>
      </c>
      <c r="D795" s="7" t="s">
        <v>294</v>
      </c>
      <c r="E795" s="7" t="s">
        <v>294</v>
      </c>
      <c r="F795" s="7" t="s">
        <v>326</v>
      </c>
      <c r="G795" s="1" t="n">
        <v>2</v>
      </c>
      <c r="H795" s="1" t="n">
        <v>8</v>
      </c>
      <c r="I795" s="10" t="n">
        <v>39970</v>
      </c>
      <c r="J795" s="10" t="n">
        <v>39975</v>
      </c>
      <c r="K795" s="1" t="n">
        <v>5</v>
      </c>
      <c r="L795" s="1" t="n">
        <v>5</v>
      </c>
      <c r="M795" s="13" t="s">
        <v>27</v>
      </c>
      <c r="N795" s="13" t="s">
        <v>46</v>
      </c>
      <c r="O795" s="14" t="s">
        <v>47</v>
      </c>
      <c r="P795" s="2" t="str">
        <f aca="false">CONCATENATE(N795," ",O795)</f>
        <v>Euryopis flavomaculata</v>
      </c>
      <c r="Q795" s="1" t="s">
        <v>30</v>
      </c>
      <c r="R795" s="1" t="s">
        <v>31</v>
      </c>
      <c r="S795" s="1" t="n">
        <v>1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0</v>
      </c>
      <c r="Y795" s="3" t="n">
        <f aca="false">SUM(S795:T795)</f>
        <v>1</v>
      </c>
      <c r="Z795" s="3" t="n">
        <f aca="false">SUM(U795:W795)</f>
        <v>0</v>
      </c>
      <c r="AA795" s="3" t="n">
        <f aca="false">SUM(S795:X795)</f>
        <v>1</v>
      </c>
      <c r="AB795" s="11" t="n">
        <f aca="false">(AA795/(K795*L795)*25)*4</f>
        <v>4</v>
      </c>
      <c r="AC795" s="45"/>
    </row>
    <row r="796" customFormat="false" ht="14.25" hidden="false" customHeight="false" outlineLevel="0" collapsed="false">
      <c r="A796" s="1" t="n">
        <v>2009</v>
      </c>
      <c r="B796" s="7" t="s">
        <v>322</v>
      </c>
      <c r="C796" s="7" t="n">
        <v>2</v>
      </c>
      <c r="D796" s="7" t="s">
        <v>294</v>
      </c>
      <c r="E796" s="7" t="s">
        <v>294</v>
      </c>
      <c r="F796" s="7" t="s">
        <v>326</v>
      </c>
      <c r="G796" s="1" t="n">
        <v>2</v>
      </c>
      <c r="H796" s="1" t="n">
        <v>9</v>
      </c>
      <c r="I796" s="10" t="n">
        <v>39970</v>
      </c>
      <c r="J796" s="10" t="n">
        <v>39975</v>
      </c>
      <c r="K796" s="1" t="n">
        <v>5</v>
      </c>
      <c r="L796" s="1" t="n">
        <v>5</v>
      </c>
      <c r="M796" s="3" t="s">
        <v>48</v>
      </c>
      <c r="N796" s="3" t="s">
        <v>49</v>
      </c>
      <c r="O796" s="3" t="s">
        <v>104</v>
      </c>
      <c r="P796" s="2" t="str">
        <f aca="false">CONCATENATE(N796," ",O796)</f>
        <v>Alopecosa taeniata</v>
      </c>
      <c r="Q796" s="1" t="s">
        <v>30</v>
      </c>
      <c r="R796" s="1" t="s">
        <v>31</v>
      </c>
      <c r="S796" s="1" t="n">
        <v>6</v>
      </c>
      <c r="T796" s="1" t="n">
        <v>0</v>
      </c>
      <c r="U796" s="1" t="n">
        <v>0</v>
      </c>
      <c r="V796" s="1" t="n">
        <v>0</v>
      </c>
      <c r="W796" s="1" t="n">
        <v>0</v>
      </c>
      <c r="X796" s="1" t="n">
        <v>0</v>
      </c>
      <c r="Y796" s="3" t="n">
        <f aca="false">SUM(S796:T796)</f>
        <v>6</v>
      </c>
      <c r="Z796" s="3" t="n">
        <f aca="false">SUM(U796:W796)</f>
        <v>0</v>
      </c>
      <c r="AA796" s="3" t="n">
        <f aca="false">SUM(S796:X796)</f>
        <v>6</v>
      </c>
      <c r="AB796" s="11" t="n">
        <f aca="false">(AA796/(K796*L796)*25)*4</f>
        <v>24</v>
      </c>
    </row>
    <row r="797" customFormat="false" ht="14.25" hidden="false" customHeight="false" outlineLevel="0" collapsed="false">
      <c r="A797" s="1" t="n">
        <v>2009</v>
      </c>
      <c r="B797" s="7" t="s">
        <v>322</v>
      </c>
      <c r="C797" s="7" t="n">
        <v>2</v>
      </c>
      <c r="D797" s="7" t="s">
        <v>294</v>
      </c>
      <c r="E797" s="7" t="s">
        <v>294</v>
      </c>
      <c r="F797" s="7" t="s">
        <v>326</v>
      </c>
      <c r="G797" s="1" t="n">
        <v>2</v>
      </c>
      <c r="H797" s="1" t="n">
        <v>9</v>
      </c>
      <c r="I797" s="10" t="n">
        <v>39970</v>
      </c>
      <c r="J797" s="10" t="n">
        <v>39975</v>
      </c>
      <c r="K797" s="1" t="n">
        <v>5</v>
      </c>
      <c r="L797" s="1" t="n">
        <v>5</v>
      </c>
      <c r="M797" s="3" t="s">
        <v>48</v>
      </c>
      <c r="N797" s="3" t="s">
        <v>67</v>
      </c>
      <c r="O797" s="3" t="s">
        <v>127</v>
      </c>
      <c r="P797" s="2" t="str">
        <f aca="false">CONCATENATE(N797," ",O797)</f>
        <v>Pardosa lugubris</v>
      </c>
      <c r="Q797" s="1" t="s">
        <v>30</v>
      </c>
      <c r="R797" s="1" t="s">
        <v>31</v>
      </c>
      <c r="S797" s="1" t="n">
        <v>4</v>
      </c>
      <c r="T797" s="1" t="n">
        <v>0</v>
      </c>
      <c r="U797" s="1" t="n">
        <v>0</v>
      </c>
      <c r="V797" s="1" t="n">
        <v>0</v>
      </c>
      <c r="W797" s="1" t="n">
        <v>0</v>
      </c>
      <c r="X797" s="1" t="n">
        <v>0</v>
      </c>
      <c r="Y797" s="3" t="n">
        <f aca="false">SUM(S797:T797)</f>
        <v>4</v>
      </c>
      <c r="Z797" s="3" t="n">
        <f aca="false">SUM(U797:W797)</f>
        <v>0</v>
      </c>
      <c r="AA797" s="3" t="n">
        <f aca="false">SUM(S797:X797)</f>
        <v>4</v>
      </c>
      <c r="AB797" s="11" t="n">
        <f aca="false">(AA797/(K797*L797)*25)*4</f>
        <v>16</v>
      </c>
    </row>
    <row r="798" customFormat="false" ht="14.25" hidden="false" customHeight="false" outlineLevel="0" collapsed="false">
      <c r="A798" s="1" t="n">
        <v>2009</v>
      </c>
      <c r="B798" s="7" t="s">
        <v>322</v>
      </c>
      <c r="C798" s="7" t="n">
        <v>2</v>
      </c>
      <c r="D798" s="7" t="s">
        <v>294</v>
      </c>
      <c r="E798" s="7" t="s">
        <v>294</v>
      </c>
      <c r="F798" s="7" t="s">
        <v>326</v>
      </c>
      <c r="G798" s="1" t="n">
        <v>2</v>
      </c>
      <c r="H798" s="1" t="n">
        <v>9</v>
      </c>
      <c r="I798" s="10" t="n">
        <v>39970</v>
      </c>
      <c r="J798" s="10" t="n">
        <v>39975</v>
      </c>
      <c r="K798" s="1" t="n">
        <v>5</v>
      </c>
      <c r="L798" s="1" t="n">
        <v>5</v>
      </c>
      <c r="M798" s="3" t="s">
        <v>72</v>
      </c>
      <c r="N798" s="3" t="s">
        <v>86</v>
      </c>
      <c r="O798" s="8" t="s">
        <v>87</v>
      </c>
      <c r="P798" s="2" t="str">
        <f aca="false">CONCATENATE(N798," ",O798)</f>
        <v>Haplodrassus soerenseni</v>
      </c>
      <c r="Q798" s="1" t="s">
        <v>30</v>
      </c>
      <c r="R798" s="1" t="s">
        <v>31</v>
      </c>
      <c r="S798" s="1" t="n">
        <v>1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0</v>
      </c>
      <c r="Y798" s="3" t="n">
        <f aca="false">SUM(S798:T798)</f>
        <v>1</v>
      </c>
      <c r="Z798" s="3" t="n">
        <f aca="false">SUM(U798:W798)</f>
        <v>0</v>
      </c>
      <c r="AA798" s="3" t="n">
        <f aca="false">SUM(S798:X798)</f>
        <v>1</v>
      </c>
      <c r="AB798" s="11" t="n">
        <f aca="false">(AA798/(K798*L798)*25)*4</f>
        <v>4</v>
      </c>
    </row>
    <row r="799" customFormat="false" ht="14.25" hidden="false" customHeight="false" outlineLevel="0" collapsed="false">
      <c r="A799" s="1" t="n">
        <v>2009</v>
      </c>
      <c r="B799" s="7" t="s">
        <v>322</v>
      </c>
      <c r="C799" s="7" t="n">
        <v>2</v>
      </c>
      <c r="D799" s="7" t="s">
        <v>294</v>
      </c>
      <c r="E799" s="7" t="s">
        <v>294</v>
      </c>
      <c r="F799" s="7" t="s">
        <v>326</v>
      </c>
      <c r="G799" s="1" t="n">
        <v>2</v>
      </c>
      <c r="H799" s="1" t="n">
        <v>9</v>
      </c>
      <c r="I799" s="10" t="n">
        <v>39970</v>
      </c>
      <c r="J799" s="10" t="n">
        <v>39975</v>
      </c>
      <c r="K799" s="1" t="n">
        <v>5</v>
      </c>
      <c r="L799" s="1" t="n">
        <v>5</v>
      </c>
      <c r="M799" s="3" t="s">
        <v>210</v>
      </c>
      <c r="N799" s="3" t="s">
        <v>211</v>
      </c>
      <c r="O799" s="3" t="s">
        <v>212</v>
      </c>
      <c r="P799" s="2" t="str">
        <f aca="false">CONCATENATE(N799," ",O799)</f>
        <v>Micrommata virescens</v>
      </c>
      <c r="Q799" s="1" t="s">
        <v>30</v>
      </c>
      <c r="R799" s="1" t="s">
        <v>35</v>
      </c>
      <c r="S799" s="1" t="n">
        <v>0</v>
      </c>
      <c r="T799" s="1" t="n">
        <v>1</v>
      </c>
      <c r="U799" s="1" t="n">
        <v>0</v>
      </c>
      <c r="V799" s="1" t="n">
        <v>0</v>
      </c>
      <c r="W799" s="1" t="n">
        <v>0</v>
      </c>
      <c r="X799" s="1" t="n">
        <v>0</v>
      </c>
      <c r="Y799" s="3" t="n">
        <f aca="false">SUM(S799:T799)</f>
        <v>1</v>
      </c>
      <c r="Z799" s="3" t="n">
        <f aca="false">SUM(U799:W799)</f>
        <v>0</v>
      </c>
      <c r="AA799" s="3" t="n">
        <f aca="false">SUM(S799:X799)</f>
        <v>1</v>
      </c>
      <c r="AB799" s="11" t="n">
        <f aca="false">(AA799/(K799*L799)*25)*4</f>
        <v>4</v>
      </c>
    </row>
    <row r="800" customFormat="false" ht="14.25" hidden="false" customHeight="false" outlineLevel="0" collapsed="false">
      <c r="A800" s="1" t="n">
        <v>2009</v>
      </c>
      <c r="B800" s="7" t="s">
        <v>322</v>
      </c>
      <c r="C800" s="7" t="n">
        <v>2</v>
      </c>
      <c r="D800" s="7" t="s">
        <v>294</v>
      </c>
      <c r="E800" s="7" t="s">
        <v>294</v>
      </c>
      <c r="F800" s="7" t="s">
        <v>326</v>
      </c>
      <c r="G800" s="1" t="n">
        <v>2</v>
      </c>
      <c r="H800" s="1" t="n">
        <v>10</v>
      </c>
      <c r="I800" s="10" t="n">
        <v>39970</v>
      </c>
      <c r="J800" s="10" t="n">
        <v>39975</v>
      </c>
      <c r="K800" s="1" t="n">
        <v>5</v>
      </c>
      <c r="L800" s="1" t="n">
        <v>5</v>
      </c>
      <c r="M800" s="3" t="s">
        <v>48</v>
      </c>
      <c r="N800" s="3" t="s">
        <v>67</v>
      </c>
      <c r="O800" s="3" t="s">
        <v>127</v>
      </c>
      <c r="P800" s="2" t="str">
        <f aca="false">CONCATENATE(N800," ",O800)</f>
        <v>Pardosa lugubris</v>
      </c>
      <c r="Q800" s="1" t="s">
        <v>30</v>
      </c>
      <c r="R800" s="1" t="s">
        <v>31</v>
      </c>
      <c r="S800" s="1" t="n">
        <v>5</v>
      </c>
      <c r="T800" s="1" t="n">
        <v>0</v>
      </c>
      <c r="U800" s="1" t="n">
        <v>0</v>
      </c>
      <c r="V800" s="1" t="n">
        <v>0</v>
      </c>
      <c r="W800" s="1" t="n">
        <v>0</v>
      </c>
      <c r="X800" s="1" t="n">
        <v>0</v>
      </c>
      <c r="Y800" s="3" t="n">
        <f aca="false">SUM(S800:T800)</f>
        <v>5</v>
      </c>
      <c r="Z800" s="3" t="n">
        <f aca="false">SUM(U800:W800)</f>
        <v>0</v>
      </c>
      <c r="AA800" s="3" t="n">
        <f aca="false">SUM(S800:X800)</f>
        <v>5</v>
      </c>
      <c r="AB800" s="11" t="n">
        <f aca="false">(AA800/(K800*L800)*25)*4</f>
        <v>20</v>
      </c>
    </row>
    <row r="801" customFormat="false" ht="14.25" hidden="false" customHeight="false" outlineLevel="0" collapsed="false">
      <c r="A801" s="1" t="n">
        <v>2009</v>
      </c>
      <c r="B801" s="7" t="s">
        <v>322</v>
      </c>
      <c r="C801" s="7" t="n">
        <v>2</v>
      </c>
      <c r="D801" s="7" t="s">
        <v>294</v>
      </c>
      <c r="E801" s="7" t="s">
        <v>294</v>
      </c>
      <c r="F801" s="7" t="s">
        <v>326</v>
      </c>
      <c r="G801" s="1" t="n">
        <v>2</v>
      </c>
      <c r="H801" s="1" t="n">
        <v>10</v>
      </c>
      <c r="I801" s="10" t="n">
        <v>39970</v>
      </c>
      <c r="J801" s="10" t="n">
        <v>39975</v>
      </c>
      <c r="K801" s="1" t="n">
        <v>5</v>
      </c>
      <c r="L801" s="1" t="n">
        <v>5</v>
      </c>
      <c r="M801" s="3" t="s">
        <v>72</v>
      </c>
      <c r="N801" s="3" t="s">
        <v>86</v>
      </c>
      <c r="O801" s="8" t="s">
        <v>87</v>
      </c>
      <c r="P801" s="2" t="str">
        <f aca="false">CONCATENATE(N801," ",O801)</f>
        <v>Haplodrassus soerenseni</v>
      </c>
      <c r="Q801" s="1" t="s">
        <v>30</v>
      </c>
      <c r="R801" s="1" t="s">
        <v>31</v>
      </c>
      <c r="S801" s="1" t="n">
        <v>1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0</v>
      </c>
      <c r="Y801" s="3" t="n">
        <f aca="false">SUM(S801:T801)</f>
        <v>1</v>
      </c>
      <c r="Z801" s="3" t="n">
        <f aca="false">SUM(U801:W801)</f>
        <v>0</v>
      </c>
      <c r="AA801" s="3" t="n">
        <f aca="false">SUM(S801:X801)</f>
        <v>1</v>
      </c>
      <c r="AB801" s="11" t="n">
        <f aca="false">(AA801/(K801*L801)*25)*4</f>
        <v>4</v>
      </c>
    </row>
    <row r="802" customFormat="false" ht="14.25" hidden="false" customHeight="false" outlineLevel="0" collapsed="false">
      <c r="A802" s="1" t="n">
        <v>2009</v>
      </c>
      <c r="B802" s="7" t="s">
        <v>322</v>
      </c>
      <c r="C802" s="7" t="n">
        <v>2</v>
      </c>
      <c r="D802" s="7" t="s">
        <v>294</v>
      </c>
      <c r="E802" s="7" t="s">
        <v>294</v>
      </c>
      <c r="F802" s="7" t="s">
        <v>326</v>
      </c>
      <c r="G802" s="1" t="n">
        <v>2</v>
      </c>
      <c r="H802" s="1" t="n">
        <v>10</v>
      </c>
      <c r="I802" s="10" t="n">
        <v>39970</v>
      </c>
      <c r="J802" s="10" t="n">
        <v>39975</v>
      </c>
      <c r="K802" s="1" t="n">
        <v>5</v>
      </c>
      <c r="L802" s="1" t="n">
        <v>5</v>
      </c>
      <c r="M802" s="3" t="s">
        <v>72</v>
      </c>
      <c r="N802" s="3" t="s">
        <v>86</v>
      </c>
      <c r="O802" s="8" t="s">
        <v>87</v>
      </c>
      <c r="P802" s="2" t="str">
        <f aca="false">CONCATENATE(N802," ",O802)</f>
        <v>Haplodrassus soerenseni</v>
      </c>
      <c r="Q802" s="1" t="s">
        <v>30</v>
      </c>
      <c r="R802" s="1" t="s">
        <v>35</v>
      </c>
      <c r="S802" s="1" t="n">
        <v>0</v>
      </c>
      <c r="T802" s="1" t="n">
        <v>2</v>
      </c>
      <c r="U802" s="1" t="n">
        <v>0</v>
      </c>
      <c r="V802" s="1" t="n">
        <v>0</v>
      </c>
      <c r="W802" s="1" t="n">
        <v>0</v>
      </c>
      <c r="X802" s="1" t="n">
        <v>0</v>
      </c>
      <c r="Y802" s="3" t="n">
        <f aca="false">SUM(S802:T802)</f>
        <v>2</v>
      </c>
      <c r="Z802" s="3" t="n">
        <f aca="false">SUM(U802:W802)</f>
        <v>0</v>
      </c>
      <c r="AA802" s="3" t="n">
        <f aca="false">SUM(S802:X802)</f>
        <v>2</v>
      </c>
      <c r="AB802" s="11" t="n">
        <f aca="false">(AA802/(K802*L802)*25)*4</f>
        <v>8</v>
      </c>
    </row>
    <row r="803" customFormat="false" ht="14.25" hidden="false" customHeight="false" outlineLevel="0" collapsed="false">
      <c r="A803" s="1" t="n">
        <v>2009</v>
      </c>
      <c r="B803" s="7" t="s">
        <v>322</v>
      </c>
      <c r="C803" s="7" t="n">
        <v>2</v>
      </c>
      <c r="D803" s="7" t="s">
        <v>294</v>
      </c>
      <c r="E803" s="7" t="s">
        <v>294</v>
      </c>
      <c r="F803" s="7" t="s">
        <v>326</v>
      </c>
      <c r="G803" s="1" t="n">
        <v>2</v>
      </c>
      <c r="H803" s="1" t="n">
        <v>10</v>
      </c>
      <c r="I803" s="10" t="n">
        <v>39970</v>
      </c>
      <c r="J803" s="10" t="n">
        <v>39975</v>
      </c>
      <c r="K803" s="1" t="n">
        <v>5</v>
      </c>
      <c r="L803" s="1" t="n">
        <v>5</v>
      </c>
      <c r="M803" s="3" t="s">
        <v>72</v>
      </c>
      <c r="N803" s="3" t="s">
        <v>73</v>
      </c>
      <c r="O803" s="3" t="s">
        <v>74</v>
      </c>
      <c r="P803" s="2" t="str">
        <f aca="false">CONCATENATE(N803," ",O803)</f>
        <v>Zelotes subterraneus</v>
      </c>
      <c r="Q803" s="1" t="s">
        <v>30</v>
      </c>
      <c r="R803" s="1" t="s">
        <v>31</v>
      </c>
      <c r="S803" s="1" t="n">
        <v>1</v>
      </c>
      <c r="T803" s="1" t="n">
        <v>0</v>
      </c>
      <c r="U803" s="1" t="n">
        <v>0</v>
      </c>
      <c r="V803" s="1" t="n">
        <v>0</v>
      </c>
      <c r="W803" s="1" t="n">
        <v>0</v>
      </c>
      <c r="X803" s="1" t="n">
        <v>0</v>
      </c>
      <c r="Y803" s="3" t="n">
        <f aca="false">SUM(S803:T803)</f>
        <v>1</v>
      </c>
      <c r="Z803" s="3" t="n">
        <f aca="false">SUM(U803:W803)</f>
        <v>0</v>
      </c>
      <c r="AA803" s="3" t="n">
        <f aca="false">SUM(S803:X803)</f>
        <v>1</v>
      </c>
      <c r="AB803" s="11" t="n">
        <f aca="false">(AA803/(K803*L803)*25)*4</f>
        <v>4</v>
      </c>
    </row>
    <row r="804" customFormat="false" ht="14.25" hidden="false" customHeight="false" outlineLevel="0" collapsed="false">
      <c r="A804" s="1" t="n">
        <v>2009</v>
      </c>
      <c r="B804" s="7" t="s">
        <v>322</v>
      </c>
      <c r="C804" s="7" t="n">
        <v>2</v>
      </c>
      <c r="D804" s="7" t="s">
        <v>294</v>
      </c>
      <c r="E804" s="7" t="s">
        <v>294</v>
      </c>
      <c r="F804" s="7" t="s">
        <v>326</v>
      </c>
      <c r="G804" s="1" t="n">
        <v>2</v>
      </c>
      <c r="H804" s="1" t="n">
        <v>10</v>
      </c>
      <c r="I804" s="10" t="n">
        <v>39970</v>
      </c>
      <c r="J804" s="10" t="n">
        <v>39975</v>
      </c>
      <c r="K804" s="1" t="n">
        <v>5</v>
      </c>
      <c r="L804" s="1" t="n">
        <v>5</v>
      </c>
      <c r="M804" s="3" t="s">
        <v>36</v>
      </c>
      <c r="N804" s="3" t="s">
        <v>37</v>
      </c>
      <c r="O804" s="8" t="s">
        <v>75</v>
      </c>
      <c r="P804" s="2" t="str">
        <f aca="false">CONCATENATE(N804," ",O804)</f>
        <v>Ozyptila praticola</v>
      </c>
      <c r="Q804" s="1" t="s">
        <v>30</v>
      </c>
      <c r="R804" s="1" t="s">
        <v>31</v>
      </c>
      <c r="S804" s="1" t="n">
        <v>1</v>
      </c>
      <c r="T804" s="1" t="n">
        <v>0</v>
      </c>
      <c r="U804" s="1" t="n">
        <v>0</v>
      </c>
      <c r="V804" s="1" t="n">
        <v>0</v>
      </c>
      <c r="W804" s="1" t="n">
        <v>0</v>
      </c>
      <c r="X804" s="1" t="n">
        <v>0</v>
      </c>
      <c r="Y804" s="3" t="n">
        <f aca="false">SUM(S804:T804)</f>
        <v>1</v>
      </c>
      <c r="Z804" s="3" t="n">
        <f aca="false">SUM(U804:W804)</f>
        <v>0</v>
      </c>
      <c r="AA804" s="3" t="n">
        <f aca="false">SUM(S804:X804)</f>
        <v>1</v>
      </c>
      <c r="AB804" s="11" t="n">
        <f aca="false">(AA804/(K804*L804)*25)*4</f>
        <v>4</v>
      </c>
    </row>
    <row r="805" customFormat="false" ht="14.25" hidden="false" customHeight="false" outlineLevel="0" collapsed="false">
      <c r="A805" s="1" t="n">
        <v>2009</v>
      </c>
      <c r="B805" s="7" t="s">
        <v>322</v>
      </c>
      <c r="C805" s="7" t="n">
        <v>2</v>
      </c>
      <c r="D805" s="7" t="s">
        <v>294</v>
      </c>
      <c r="E805" s="7" t="s">
        <v>294</v>
      </c>
      <c r="F805" s="7" t="s">
        <v>326</v>
      </c>
      <c r="G805" s="1" t="n">
        <v>2</v>
      </c>
      <c r="H805" s="1" t="n">
        <v>10</v>
      </c>
      <c r="I805" s="10" t="n">
        <v>39970</v>
      </c>
      <c r="J805" s="10" t="n">
        <v>39975</v>
      </c>
      <c r="K805" s="1" t="n">
        <v>5</v>
      </c>
      <c r="L805" s="1" t="n">
        <v>5</v>
      </c>
      <c r="M805" s="3" t="s">
        <v>36</v>
      </c>
      <c r="N805" s="3" t="s">
        <v>131</v>
      </c>
      <c r="O805" s="3" t="s">
        <v>133</v>
      </c>
      <c r="P805" s="2" t="str">
        <f aca="false">CONCATENATE(N805," ",O805)</f>
        <v>Xysticus luctuosus</v>
      </c>
      <c r="Q805" s="1" t="s">
        <v>30</v>
      </c>
      <c r="R805" s="1" t="s">
        <v>35</v>
      </c>
      <c r="S805" s="1" t="n">
        <v>0</v>
      </c>
      <c r="T805" s="1" t="n">
        <v>1</v>
      </c>
      <c r="U805" s="1" t="n">
        <v>0</v>
      </c>
      <c r="V805" s="1" t="n">
        <v>0</v>
      </c>
      <c r="W805" s="1" t="n">
        <v>0</v>
      </c>
      <c r="X805" s="1" t="n">
        <v>0</v>
      </c>
      <c r="Y805" s="3" t="n">
        <f aca="false">SUM(S805:T805)</f>
        <v>1</v>
      </c>
      <c r="Z805" s="3" t="n">
        <f aca="false">SUM(U805:W805)</f>
        <v>0</v>
      </c>
      <c r="AA805" s="3" t="n">
        <f aca="false">SUM(S805:X805)</f>
        <v>1</v>
      </c>
      <c r="AB805" s="11" t="n">
        <f aca="false">(AA805/(K805*L805)*25)*4</f>
        <v>4</v>
      </c>
    </row>
    <row r="806" customFormat="false" ht="14.25" hidden="false" customHeight="false" outlineLevel="0" collapsed="false">
      <c r="A806" s="1" t="n">
        <v>2009</v>
      </c>
      <c r="B806" s="7" t="s">
        <v>322</v>
      </c>
      <c r="C806" s="7" t="n">
        <v>2</v>
      </c>
      <c r="D806" s="7" t="s">
        <v>294</v>
      </c>
      <c r="E806" s="7" t="s">
        <v>294</v>
      </c>
      <c r="F806" s="7" t="s">
        <v>326</v>
      </c>
      <c r="G806" s="1" t="n">
        <v>2</v>
      </c>
      <c r="H806" s="1" t="n">
        <v>10</v>
      </c>
      <c r="I806" s="10" t="n">
        <v>39970</v>
      </c>
      <c r="J806" s="10" t="n">
        <v>39975</v>
      </c>
      <c r="K806" s="1" t="n">
        <v>5</v>
      </c>
      <c r="L806" s="1" t="n">
        <v>5</v>
      </c>
      <c r="M806" s="3" t="s">
        <v>64</v>
      </c>
      <c r="N806" s="3" t="s">
        <v>65</v>
      </c>
      <c r="O806" s="3" t="s">
        <v>123</v>
      </c>
      <c r="P806" s="2" t="str">
        <f aca="false">CONCATENATE(N806," ",O806)</f>
        <v>Zora nemoralis</v>
      </c>
      <c r="Q806" s="1" t="s">
        <v>30</v>
      </c>
      <c r="R806" s="1" t="s">
        <v>31</v>
      </c>
      <c r="S806" s="1" t="n">
        <v>2</v>
      </c>
      <c r="T806" s="1" t="n">
        <v>0</v>
      </c>
      <c r="U806" s="1" t="n">
        <v>0</v>
      </c>
      <c r="V806" s="1" t="n">
        <v>0</v>
      </c>
      <c r="W806" s="1" t="n">
        <v>0</v>
      </c>
      <c r="X806" s="1" t="n">
        <v>0</v>
      </c>
      <c r="Y806" s="3" t="n">
        <f aca="false">SUM(S806:T806)</f>
        <v>2</v>
      </c>
      <c r="Z806" s="3" t="n">
        <f aca="false">SUM(U806:W806)</f>
        <v>0</v>
      </c>
      <c r="AA806" s="3" t="n">
        <f aca="false">SUM(S806:X806)</f>
        <v>2</v>
      </c>
      <c r="AB806" s="11" t="n">
        <f aca="false">(AA806/(K806*L806)*25)*4</f>
        <v>8</v>
      </c>
    </row>
    <row r="807" customFormat="false" ht="14.25" hidden="false" customHeight="false" outlineLevel="0" collapsed="false">
      <c r="A807" s="1" t="n">
        <v>2009</v>
      </c>
      <c r="B807" s="7" t="s">
        <v>322</v>
      </c>
      <c r="C807" s="7" t="n">
        <v>2</v>
      </c>
      <c r="D807" s="7" t="s">
        <v>294</v>
      </c>
      <c r="E807" s="7" t="s">
        <v>294</v>
      </c>
      <c r="F807" s="7" t="s">
        <v>326</v>
      </c>
      <c r="G807" s="1" t="n">
        <v>2</v>
      </c>
      <c r="H807" s="1" t="n">
        <v>10</v>
      </c>
      <c r="I807" s="10" t="n">
        <v>39970</v>
      </c>
      <c r="J807" s="10" t="n">
        <v>39975</v>
      </c>
      <c r="K807" s="1" t="n">
        <v>5</v>
      </c>
      <c r="L807" s="1" t="n">
        <v>5</v>
      </c>
      <c r="M807" s="3" t="s">
        <v>64</v>
      </c>
      <c r="N807" s="3" t="s">
        <v>65</v>
      </c>
      <c r="O807" s="3" t="s">
        <v>335</v>
      </c>
      <c r="P807" s="2" t="str">
        <f aca="false">CONCATENATE(N807," ",O807)</f>
        <v>Zora spinimana</v>
      </c>
      <c r="Q807" s="1" t="s">
        <v>30</v>
      </c>
      <c r="R807" s="1" t="s">
        <v>31</v>
      </c>
      <c r="S807" s="1" t="n">
        <v>1</v>
      </c>
      <c r="T807" s="1" t="n">
        <v>0</v>
      </c>
      <c r="U807" s="1" t="n">
        <v>0</v>
      </c>
      <c r="V807" s="1" t="n">
        <v>0</v>
      </c>
      <c r="W807" s="1" t="n">
        <v>0</v>
      </c>
      <c r="X807" s="1" t="n">
        <v>0</v>
      </c>
      <c r="Y807" s="3" t="n">
        <f aca="false">SUM(S807:T807)</f>
        <v>1</v>
      </c>
      <c r="Z807" s="3" t="n">
        <f aca="false">SUM(U807:W807)</f>
        <v>0</v>
      </c>
      <c r="AA807" s="3" t="n">
        <f aca="false">SUM(S807:X807)</f>
        <v>1</v>
      </c>
      <c r="AB807" s="11" t="n">
        <f aca="false">(AA807/(K807*L807)*25)*4</f>
        <v>4</v>
      </c>
    </row>
    <row r="808" customFormat="false" ht="14.25" hidden="false" customHeight="false" outlineLevel="0" collapsed="false">
      <c r="A808" s="1" t="n">
        <v>2009</v>
      </c>
      <c r="B808" s="7" t="s">
        <v>322</v>
      </c>
      <c r="C808" s="7" t="n">
        <v>2</v>
      </c>
      <c r="D808" s="7" t="s">
        <v>294</v>
      </c>
      <c r="E808" s="7" t="s">
        <v>294</v>
      </c>
      <c r="F808" s="7" t="s">
        <v>326</v>
      </c>
      <c r="G808" s="1" t="n">
        <v>2</v>
      </c>
      <c r="H808" s="1" t="n">
        <v>10</v>
      </c>
      <c r="I808" s="10" t="n">
        <v>39970</v>
      </c>
      <c r="J808" s="10" t="n">
        <v>39975</v>
      </c>
      <c r="K808" s="1" t="n">
        <v>5</v>
      </c>
      <c r="L808" s="1" t="n">
        <v>5</v>
      </c>
      <c r="M808" s="13" t="s">
        <v>27</v>
      </c>
      <c r="N808" s="13" t="s">
        <v>46</v>
      </c>
      <c r="O808" s="14" t="s">
        <v>47</v>
      </c>
      <c r="P808" s="2" t="str">
        <f aca="false">CONCATENATE(N808," ",O808)</f>
        <v>Euryopis flavomaculata</v>
      </c>
      <c r="Q808" s="1" t="s">
        <v>30</v>
      </c>
      <c r="R808" s="1" t="s">
        <v>31</v>
      </c>
      <c r="S808" s="1" t="n">
        <v>1</v>
      </c>
      <c r="T808" s="1" t="n">
        <v>0</v>
      </c>
      <c r="U808" s="1" t="n">
        <v>0</v>
      </c>
      <c r="V808" s="1" t="n">
        <v>0</v>
      </c>
      <c r="W808" s="1" t="n">
        <v>0</v>
      </c>
      <c r="X808" s="1" t="n">
        <v>0</v>
      </c>
      <c r="Y808" s="3" t="n">
        <f aca="false">SUM(S808:T808)</f>
        <v>1</v>
      </c>
      <c r="Z808" s="3" t="n">
        <f aca="false">SUM(U808:W808)</f>
        <v>0</v>
      </c>
      <c r="AA808" s="3" t="n">
        <f aca="false">SUM(S808:X808)</f>
        <v>1</v>
      </c>
      <c r="AB808" s="11" t="n">
        <f aca="false">(AA808/(K808*L808)*25)*4</f>
        <v>4</v>
      </c>
    </row>
    <row r="809" customFormat="false" ht="14.25" hidden="false" customHeight="false" outlineLevel="0" collapsed="false">
      <c r="A809" s="1" t="n">
        <v>2009</v>
      </c>
      <c r="B809" s="7" t="s">
        <v>322</v>
      </c>
      <c r="C809" s="7" t="n">
        <v>2</v>
      </c>
      <c r="D809" s="7" t="s">
        <v>294</v>
      </c>
      <c r="E809" s="7" t="s">
        <v>294</v>
      </c>
      <c r="F809" s="7" t="s">
        <v>326</v>
      </c>
      <c r="G809" s="1" t="n">
        <v>3</v>
      </c>
      <c r="H809" s="1" t="n">
        <v>11</v>
      </c>
      <c r="I809" s="10" t="n">
        <v>39970</v>
      </c>
      <c r="J809" s="10" t="n">
        <v>39975</v>
      </c>
      <c r="K809" s="1" t="n">
        <v>5</v>
      </c>
      <c r="L809" s="1" t="n">
        <v>3</v>
      </c>
      <c r="M809" s="3" t="s">
        <v>48</v>
      </c>
      <c r="N809" s="3" t="s">
        <v>49</v>
      </c>
      <c r="O809" s="3" t="s">
        <v>104</v>
      </c>
      <c r="P809" s="2" t="str">
        <f aca="false">CONCATENATE(N809," ",O809)</f>
        <v>Alopecosa taeniata</v>
      </c>
      <c r="Q809" s="1" t="s">
        <v>30</v>
      </c>
      <c r="R809" s="1" t="s">
        <v>31</v>
      </c>
      <c r="S809" s="1" t="n">
        <v>1</v>
      </c>
      <c r="T809" s="1" t="n">
        <v>0</v>
      </c>
      <c r="U809" s="1" t="n">
        <v>0</v>
      </c>
      <c r="V809" s="1" t="n">
        <v>0</v>
      </c>
      <c r="W809" s="1" t="n">
        <v>0</v>
      </c>
      <c r="X809" s="1" t="n">
        <v>0</v>
      </c>
      <c r="Y809" s="3" t="n">
        <f aca="false">SUM(S809:T809)</f>
        <v>1</v>
      </c>
      <c r="Z809" s="3" t="n">
        <f aca="false">SUM(U809:W809)</f>
        <v>0</v>
      </c>
      <c r="AA809" s="3" t="n">
        <f aca="false">SUM(S809:X809)</f>
        <v>1</v>
      </c>
      <c r="AB809" s="21" t="n">
        <f aca="false">(AA809/(K809*L809)*25)*4</f>
        <v>6.66666666666667</v>
      </c>
    </row>
    <row r="810" customFormat="false" ht="14.25" hidden="false" customHeight="false" outlineLevel="0" collapsed="false">
      <c r="A810" s="1" t="n">
        <v>2009</v>
      </c>
      <c r="B810" s="7" t="s">
        <v>322</v>
      </c>
      <c r="C810" s="7" t="n">
        <v>2</v>
      </c>
      <c r="D810" s="7" t="s">
        <v>294</v>
      </c>
      <c r="E810" s="7" t="s">
        <v>294</v>
      </c>
      <c r="F810" s="7" t="s">
        <v>326</v>
      </c>
      <c r="G810" s="1" t="n">
        <v>3</v>
      </c>
      <c r="H810" s="1" t="n">
        <v>11</v>
      </c>
      <c r="I810" s="10" t="n">
        <v>39970</v>
      </c>
      <c r="J810" s="10" t="n">
        <v>39975</v>
      </c>
      <c r="K810" s="1" t="n">
        <v>5</v>
      </c>
      <c r="L810" s="1" t="n">
        <v>3</v>
      </c>
      <c r="M810" s="3" t="s">
        <v>48</v>
      </c>
      <c r="N810" s="3" t="s">
        <v>49</v>
      </c>
      <c r="O810" s="3" t="s">
        <v>104</v>
      </c>
      <c r="P810" s="2" t="str">
        <f aca="false">CONCATENATE(N810," ",O810)</f>
        <v>Alopecosa taeniata</v>
      </c>
      <c r="Q810" s="1" t="s">
        <v>30</v>
      </c>
      <c r="R810" s="1" t="s">
        <v>35</v>
      </c>
      <c r="S810" s="1" t="n">
        <v>0</v>
      </c>
      <c r="T810" s="1" t="n">
        <v>1</v>
      </c>
      <c r="U810" s="1" t="n">
        <v>0</v>
      </c>
      <c r="V810" s="1" t="n">
        <v>0</v>
      </c>
      <c r="W810" s="1" t="n">
        <v>0</v>
      </c>
      <c r="X810" s="1" t="n">
        <v>0</v>
      </c>
      <c r="Y810" s="3" t="n">
        <f aca="false">SUM(S810:T810)</f>
        <v>1</v>
      </c>
      <c r="Z810" s="3" t="n">
        <f aca="false">SUM(U810:W810)</f>
        <v>0</v>
      </c>
      <c r="AA810" s="3" t="n">
        <f aca="false">SUM(S810:X810)</f>
        <v>1</v>
      </c>
      <c r="AB810" s="21" t="n">
        <f aca="false">(AA810/15*25)*4</f>
        <v>6.66666666666667</v>
      </c>
    </row>
    <row r="811" customFormat="false" ht="14.25" hidden="false" customHeight="false" outlineLevel="0" collapsed="false">
      <c r="A811" s="1" t="n">
        <v>2009</v>
      </c>
      <c r="B811" s="7" t="s">
        <v>322</v>
      </c>
      <c r="C811" s="7" t="n">
        <v>2</v>
      </c>
      <c r="D811" s="7" t="s">
        <v>294</v>
      </c>
      <c r="E811" s="7" t="s">
        <v>294</v>
      </c>
      <c r="F811" s="7" t="s">
        <v>326</v>
      </c>
      <c r="G811" s="1" t="n">
        <v>3</v>
      </c>
      <c r="H811" s="1" t="n">
        <v>11</v>
      </c>
      <c r="I811" s="10" t="n">
        <v>39970</v>
      </c>
      <c r="J811" s="10" t="n">
        <v>39975</v>
      </c>
      <c r="K811" s="1" t="n">
        <v>5</v>
      </c>
      <c r="L811" s="1" t="n">
        <v>3</v>
      </c>
      <c r="M811" s="3" t="s">
        <v>72</v>
      </c>
      <c r="N811" s="3" t="s">
        <v>86</v>
      </c>
      <c r="O811" s="8" t="s">
        <v>87</v>
      </c>
      <c r="P811" s="2" t="str">
        <f aca="false">CONCATENATE(N811," ",O811)</f>
        <v>Haplodrassus soerenseni</v>
      </c>
      <c r="Q811" s="1" t="s">
        <v>30</v>
      </c>
      <c r="R811" s="1" t="s">
        <v>31</v>
      </c>
      <c r="S811" s="1" t="n">
        <v>1</v>
      </c>
      <c r="T811" s="1" t="n">
        <v>0</v>
      </c>
      <c r="U811" s="1" t="n">
        <v>0</v>
      </c>
      <c r="V811" s="1" t="n">
        <v>0</v>
      </c>
      <c r="W811" s="1" t="n">
        <v>0</v>
      </c>
      <c r="X811" s="1" t="n">
        <v>0</v>
      </c>
      <c r="Y811" s="3" t="n">
        <f aca="false">SUM(S811:T811)</f>
        <v>1</v>
      </c>
      <c r="Z811" s="3" t="n">
        <f aca="false">SUM(U811:W811)</f>
        <v>0</v>
      </c>
      <c r="AA811" s="3" t="n">
        <f aca="false">SUM(S811:X811)</f>
        <v>1</v>
      </c>
      <c r="AB811" s="21" t="n">
        <f aca="false">(AA811/15*25)*4</f>
        <v>6.66666666666667</v>
      </c>
    </row>
    <row r="812" customFormat="false" ht="14.25" hidden="false" customHeight="false" outlineLevel="0" collapsed="false">
      <c r="A812" s="1" t="n">
        <v>2009</v>
      </c>
      <c r="B812" s="7" t="s">
        <v>322</v>
      </c>
      <c r="C812" s="7" t="n">
        <v>2</v>
      </c>
      <c r="D812" s="7" t="s">
        <v>294</v>
      </c>
      <c r="E812" s="7" t="s">
        <v>294</v>
      </c>
      <c r="F812" s="7" t="s">
        <v>326</v>
      </c>
      <c r="G812" s="1" t="n">
        <v>3</v>
      </c>
      <c r="H812" s="1" t="n">
        <v>11</v>
      </c>
      <c r="I812" s="10" t="n">
        <v>39970</v>
      </c>
      <c r="J812" s="10" t="n">
        <v>39975</v>
      </c>
      <c r="K812" s="1" t="n">
        <v>5</v>
      </c>
      <c r="L812" s="1" t="n">
        <v>3</v>
      </c>
      <c r="M812" s="3" t="s">
        <v>64</v>
      </c>
      <c r="N812" s="3" t="s">
        <v>65</v>
      </c>
      <c r="O812" s="3" t="s">
        <v>335</v>
      </c>
      <c r="P812" s="2" t="str">
        <f aca="false">CONCATENATE(N812," ",O812)</f>
        <v>Zora spinimana</v>
      </c>
      <c r="Q812" s="1" t="s">
        <v>30</v>
      </c>
      <c r="R812" s="1" t="s">
        <v>31</v>
      </c>
      <c r="S812" s="1" t="n">
        <v>1</v>
      </c>
      <c r="T812" s="1" t="n">
        <v>0</v>
      </c>
      <c r="U812" s="1" t="n">
        <v>0</v>
      </c>
      <c r="V812" s="1" t="n">
        <v>0</v>
      </c>
      <c r="W812" s="1" t="n">
        <v>0</v>
      </c>
      <c r="X812" s="1" t="n">
        <v>0</v>
      </c>
      <c r="Y812" s="3" t="n">
        <f aca="false">SUM(S812:T812)</f>
        <v>1</v>
      </c>
      <c r="Z812" s="3" t="n">
        <f aca="false">SUM(U812:W812)</f>
        <v>0</v>
      </c>
      <c r="AA812" s="3" t="n">
        <f aca="false">SUM(S812:X812)</f>
        <v>1</v>
      </c>
      <c r="AB812" s="21" t="n">
        <f aca="false">(AA812/15*25)*4</f>
        <v>6.66666666666667</v>
      </c>
    </row>
    <row r="813" customFormat="false" ht="14.25" hidden="false" customHeight="false" outlineLevel="0" collapsed="false">
      <c r="A813" s="1" t="n">
        <v>2009</v>
      </c>
      <c r="B813" s="7" t="s">
        <v>322</v>
      </c>
      <c r="C813" s="7" t="n">
        <v>2</v>
      </c>
      <c r="D813" s="7" t="s">
        <v>294</v>
      </c>
      <c r="E813" s="7" t="s">
        <v>294</v>
      </c>
      <c r="F813" s="7" t="s">
        <v>326</v>
      </c>
      <c r="G813" s="1" t="n">
        <v>3</v>
      </c>
      <c r="H813" s="1" t="n">
        <v>11</v>
      </c>
      <c r="I813" s="10" t="n">
        <v>39970</v>
      </c>
      <c r="J813" s="10" t="n">
        <v>39975</v>
      </c>
      <c r="K813" s="1" t="n">
        <v>5</v>
      </c>
      <c r="L813" s="1" t="n">
        <v>3</v>
      </c>
      <c r="M813" s="13" t="s">
        <v>27</v>
      </c>
      <c r="N813" s="13" t="s">
        <v>46</v>
      </c>
      <c r="O813" s="14" t="s">
        <v>47</v>
      </c>
      <c r="P813" s="2" t="str">
        <f aca="false">CONCATENATE(N813," ",O813)</f>
        <v>Euryopis flavomaculata</v>
      </c>
      <c r="Q813" s="1" t="s">
        <v>30</v>
      </c>
      <c r="R813" s="1" t="s">
        <v>31</v>
      </c>
      <c r="S813" s="1" t="n">
        <v>1</v>
      </c>
      <c r="T813" s="1" t="n">
        <v>0</v>
      </c>
      <c r="U813" s="1" t="n">
        <v>0</v>
      </c>
      <c r="V813" s="1" t="n">
        <v>0</v>
      </c>
      <c r="W813" s="1" t="n">
        <v>0</v>
      </c>
      <c r="X813" s="1" t="n">
        <v>0</v>
      </c>
      <c r="Y813" s="3" t="n">
        <f aca="false">SUM(S813:T813)</f>
        <v>1</v>
      </c>
      <c r="Z813" s="3" t="n">
        <f aca="false">SUM(U813:W813)</f>
        <v>0</v>
      </c>
      <c r="AA813" s="3" t="n">
        <f aca="false">SUM(S813:X813)</f>
        <v>1</v>
      </c>
      <c r="AB813" s="21" t="n">
        <f aca="false">(AA813/15*25)*4</f>
        <v>6.66666666666667</v>
      </c>
    </row>
    <row r="814" customFormat="false" ht="14.25" hidden="false" customHeight="false" outlineLevel="0" collapsed="false">
      <c r="A814" s="1" t="n">
        <v>2009</v>
      </c>
      <c r="B814" s="7" t="s">
        <v>322</v>
      </c>
      <c r="C814" s="7" t="n">
        <v>2</v>
      </c>
      <c r="D814" s="7" t="s">
        <v>294</v>
      </c>
      <c r="E814" s="7" t="s">
        <v>294</v>
      </c>
      <c r="F814" s="7" t="s">
        <v>326</v>
      </c>
      <c r="G814" s="1" t="n">
        <v>3</v>
      </c>
      <c r="H814" s="1" t="n">
        <v>14</v>
      </c>
      <c r="I814" s="10" t="n">
        <v>39970</v>
      </c>
      <c r="J814" s="10" t="n">
        <v>39975</v>
      </c>
      <c r="K814" s="1" t="n">
        <v>5</v>
      </c>
      <c r="L814" s="1" t="n">
        <v>3</v>
      </c>
      <c r="M814" s="3" t="s">
        <v>48</v>
      </c>
      <c r="N814" s="3" t="s">
        <v>49</v>
      </c>
      <c r="O814" s="3" t="s">
        <v>104</v>
      </c>
      <c r="P814" s="2" t="str">
        <f aca="false">CONCATENATE(N814," ",O814)</f>
        <v>Alopecosa taeniata</v>
      </c>
      <c r="Q814" s="1" t="s">
        <v>30</v>
      </c>
      <c r="R814" s="1" t="s">
        <v>31</v>
      </c>
      <c r="S814" s="1" t="n">
        <v>2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0</v>
      </c>
      <c r="Y814" s="3" t="n">
        <f aca="false">SUM(S814:T814)</f>
        <v>2</v>
      </c>
      <c r="Z814" s="3" t="n">
        <f aca="false">SUM(U814:W814)</f>
        <v>0</v>
      </c>
      <c r="AA814" s="3" t="n">
        <f aca="false">SUM(S814:X814)</f>
        <v>2</v>
      </c>
      <c r="AB814" s="21" t="n">
        <f aca="false">(AA814/(K814*L814)*25)*4</f>
        <v>13.3333333333333</v>
      </c>
    </row>
    <row r="815" customFormat="false" ht="14.25" hidden="false" customHeight="false" outlineLevel="0" collapsed="false">
      <c r="A815" s="1" t="n">
        <v>2009</v>
      </c>
      <c r="B815" s="7" t="s">
        <v>322</v>
      </c>
      <c r="C815" s="7" t="n">
        <v>2</v>
      </c>
      <c r="D815" s="7" t="s">
        <v>294</v>
      </c>
      <c r="E815" s="7" t="s">
        <v>294</v>
      </c>
      <c r="F815" s="7" t="s">
        <v>326</v>
      </c>
      <c r="G815" s="1" t="n">
        <v>3</v>
      </c>
      <c r="H815" s="1" t="n">
        <v>14</v>
      </c>
      <c r="I815" s="10" t="n">
        <v>39970</v>
      </c>
      <c r="J815" s="10" t="n">
        <v>39975</v>
      </c>
      <c r="K815" s="1" t="n">
        <v>5</v>
      </c>
      <c r="L815" s="1" t="n">
        <v>3</v>
      </c>
      <c r="M815" s="3" t="s">
        <v>48</v>
      </c>
      <c r="N815" s="3" t="s">
        <v>49</v>
      </c>
      <c r="O815" s="3" t="s">
        <v>104</v>
      </c>
      <c r="P815" s="2" t="str">
        <f aca="false">CONCATENATE(N815," ",O815)</f>
        <v>Alopecosa taeniata</v>
      </c>
      <c r="Q815" s="1" t="s">
        <v>30</v>
      </c>
      <c r="R815" s="1" t="s">
        <v>35</v>
      </c>
      <c r="S815" s="1" t="n">
        <v>0</v>
      </c>
      <c r="T815" s="1" t="n">
        <v>3</v>
      </c>
      <c r="U815" s="1" t="n">
        <v>0</v>
      </c>
      <c r="V815" s="1" t="n">
        <v>0</v>
      </c>
      <c r="W815" s="1" t="n">
        <v>0</v>
      </c>
      <c r="X815" s="1" t="n">
        <v>0</v>
      </c>
      <c r="Y815" s="3" t="n">
        <f aca="false">SUM(S815:T815)</f>
        <v>3</v>
      </c>
      <c r="Z815" s="3" t="n">
        <f aca="false">SUM(U815:W815)</f>
        <v>0</v>
      </c>
      <c r="AA815" s="3" t="n">
        <f aca="false">SUM(S815:X815)</f>
        <v>3</v>
      </c>
      <c r="AB815" s="21" t="n">
        <f aca="false">(AA815/(K815*L815)*25)*4</f>
        <v>20</v>
      </c>
    </row>
    <row r="816" customFormat="false" ht="14.25" hidden="false" customHeight="false" outlineLevel="0" collapsed="false">
      <c r="A816" s="1" t="n">
        <v>2009</v>
      </c>
      <c r="B816" s="7" t="s">
        <v>322</v>
      </c>
      <c r="C816" s="7" t="n">
        <v>2</v>
      </c>
      <c r="D816" s="7" t="s">
        <v>294</v>
      </c>
      <c r="E816" s="7" t="s">
        <v>294</v>
      </c>
      <c r="F816" s="7" t="s">
        <v>326</v>
      </c>
      <c r="G816" s="1" t="n">
        <v>3</v>
      </c>
      <c r="H816" s="1" t="n">
        <v>14</v>
      </c>
      <c r="I816" s="10" t="n">
        <v>39970</v>
      </c>
      <c r="J816" s="10" t="n">
        <v>39975</v>
      </c>
      <c r="K816" s="1" t="n">
        <v>5</v>
      </c>
      <c r="L816" s="1" t="n">
        <v>3</v>
      </c>
      <c r="M816" s="3" t="s">
        <v>48</v>
      </c>
      <c r="N816" s="3" t="s">
        <v>67</v>
      </c>
      <c r="O816" s="3" t="s">
        <v>127</v>
      </c>
      <c r="P816" s="2" t="str">
        <f aca="false">CONCATENATE(N816," ",O816)</f>
        <v>Pardosa lugubris</v>
      </c>
      <c r="Q816" s="1" t="s">
        <v>30</v>
      </c>
      <c r="R816" s="1" t="s">
        <v>31</v>
      </c>
      <c r="S816" s="1" t="n">
        <v>3</v>
      </c>
      <c r="T816" s="1" t="n">
        <v>0</v>
      </c>
      <c r="U816" s="1" t="n">
        <v>0</v>
      </c>
      <c r="V816" s="1" t="n">
        <v>0</v>
      </c>
      <c r="W816" s="1" t="n">
        <v>0</v>
      </c>
      <c r="X816" s="1" t="n">
        <v>0</v>
      </c>
      <c r="Y816" s="3" t="n">
        <f aca="false">SUM(S816:T816)</f>
        <v>3</v>
      </c>
      <c r="Z816" s="3" t="n">
        <f aca="false">SUM(U816:W816)</f>
        <v>0</v>
      </c>
      <c r="AA816" s="3" t="n">
        <f aca="false">SUM(S816:X816)</f>
        <v>3</v>
      </c>
      <c r="AB816" s="21" t="n">
        <f aca="false">(AA816/(K816*L816)*25)*4</f>
        <v>20</v>
      </c>
    </row>
    <row r="817" customFormat="false" ht="14.25" hidden="false" customHeight="false" outlineLevel="0" collapsed="false">
      <c r="A817" s="1" t="n">
        <v>2009</v>
      </c>
      <c r="B817" s="7" t="s">
        <v>322</v>
      </c>
      <c r="C817" s="7" t="n">
        <v>2</v>
      </c>
      <c r="D817" s="7" t="s">
        <v>294</v>
      </c>
      <c r="E817" s="7" t="s">
        <v>294</v>
      </c>
      <c r="F817" s="7" t="s">
        <v>326</v>
      </c>
      <c r="G817" s="1" t="n">
        <v>3</v>
      </c>
      <c r="H817" s="1" t="n">
        <v>14</v>
      </c>
      <c r="I817" s="10" t="n">
        <v>39970</v>
      </c>
      <c r="J817" s="10" t="n">
        <v>39975</v>
      </c>
      <c r="K817" s="1" t="n">
        <v>5</v>
      </c>
      <c r="L817" s="1" t="n">
        <v>3</v>
      </c>
      <c r="M817" s="3" t="s">
        <v>48</v>
      </c>
      <c r="N817" s="3" t="s">
        <v>67</v>
      </c>
      <c r="O817" s="3" t="s">
        <v>127</v>
      </c>
      <c r="P817" s="2" t="str">
        <f aca="false">CONCATENATE(N817," ",O817)</f>
        <v>Pardosa lugubris</v>
      </c>
      <c r="Q817" s="1" t="s">
        <v>30</v>
      </c>
      <c r="R817" s="1" t="s">
        <v>35</v>
      </c>
      <c r="S817" s="1" t="n">
        <v>0</v>
      </c>
      <c r="T817" s="1" t="n">
        <v>1</v>
      </c>
      <c r="U817" s="1" t="n">
        <v>0</v>
      </c>
      <c r="V817" s="1" t="n">
        <v>0</v>
      </c>
      <c r="W817" s="1" t="n">
        <v>0</v>
      </c>
      <c r="X817" s="1" t="n">
        <v>0</v>
      </c>
      <c r="Y817" s="3" t="n">
        <f aca="false">SUM(S817:T817)</f>
        <v>1</v>
      </c>
      <c r="Z817" s="3" t="n">
        <f aca="false">SUM(U817:W817)</f>
        <v>0</v>
      </c>
      <c r="AA817" s="3" t="n">
        <f aca="false">SUM(S817:X817)</f>
        <v>1</v>
      </c>
      <c r="AB817" s="21" t="n">
        <f aca="false">(AA817/(K817*L817)*25)*4</f>
        <v>6.66666666666667</v>
      </c>
    </row>
    <row r="818" customFormat="false" ht="14.25" hidden="false" customHeight="false" outlineLevel="0" collapsed="false">
      <c r="A818" s="1" t="n">
        <v>2009</v>
      </c>
      <c r="B818" s="7" t="s">
        <v>322</v>
      </c>
      <c r="C818" s="7" t="n">
        <v>2</v>
      </c>
      <c r="D818" s="7" t="s">
        <v>294</v>
      </c>
      <c r="E818" s="7" t="s">
        <v>294</v>
      </c>
      <c r="F818" s="7" t="s">
        <v>326</v>
      </c>
      <c r="G818" s="1" t="n">
        <v>3</v>
      </c>
      <c r="H818" s="1" t="n">
        <v>14</v>
      </c>
      <c r="I818" s="10" t="n">
        <v>39970</v>
      </c>
      <c r="J818" s="10" t="n">
        <v>39975</v>
      </c>
      <c r="K818" s="1" t="n">
        <v>5</v>
      </c>
      <c r="L818" s="1" t="n">
        <v>3</v>
      </c>
      <c r="M818" s="3" t="s">
        <v>48</v>
      </c>
      <c r="N818" s="3" t="s">
        <v>61</v>
      </c>
      <c r="O818" s="3" t="s">
        <v>82</v>
      </c>
      <c r="P818" s="2" t="str">
        <f aca="false">CONCATENATE(N818," ",O818)</f>
        <v>Trochosa terricola</v>
      </c>
      <c r="Q818" s="1" t="s">
        <v>30</v>
      </c>
      <c r="R818" s="1" t="s">
        <v>31</v>
      </c>
      <c r="S818" s="1" t="n">
        <v>1</v>
      </c>
      <c r="T818" s="1" t="n">
        <v>0</v>
      </c>
      <c r="U818" s="1" t="n">
        <v>0</v>
      </c>
      <c r="V818" s="1" t="n">
        <v>0</v>
      </c>
      <c r="W818" s="1" t="n">
        <v>0</v>
      </c>
      <c r="X818" s="1" t="n">
        <v>0</v>
      </c>
      <c r="Y818" s="3" t="n">
        <f aca="false">SUM(S818:T818)</f>
        <v>1</v>
      </c>
      <c r="Z818" s="3" t="n">
        <f aca="false">SUM(U818:W818)</f>
        <v>0</v>
      </c>
      <c r="AA818" s="3" t="n">
        <f aca="false">SUM(S818:X818)</f>
        <v>1</v>
      </c>
      <c r="AB818" s="21" t="n">
        <f aca="false">(AA818/(K818*L818)*25)*4</f>
        <v>6.66666666666667</v>
      </c>
    </row>
    <row r="819" customFormat="false" ht="14.25" hidden="false" customHeight="false" outlineLevel="0" collapsed="false">
      <c r="A819" s="1" t="n">
        <v>2009</v>
      </c>
      <c r="B819" s="7" t="s">
        <v>322</v>
      </c>
      <c r="C819" s="7" t="n">
        <v>2</v>
      </c>
      <c r="D819" s="7" t="s">
        <v>294</v>
      </c>
      <c r="E819" s="7" t="s">
        <v>294</v>
      </c>
      <c r="F819" s="7" t="s">
        <v>326</v>
      </c>
      <c r="G819" s="1" t="n">
        <v>3</v>
      </c>
      <c r="H819" s="1" t="n">
        <v>14</v>
      </c>
      <c r="I819" s="10" t="n">
        <v>39970</v>
      </c>
      <c r="J819" s="10" t="n">
        <v>39975</v>
      </c>
      <c r="K819" s="1" t="n">
        <v>5</v>
      </c>
      <c r="L819" s="1" t="n">
        <v>3</v>
      </c>
      <c r="M819" s="3" t="s">
        <v>72</v>
      </c>
      <c r="N819" s="3" t="s">
        <v>86</v>
      </c>
      <c r="O819" s="8" t="s">
        <v>87</v>
      </c>
      <c r="P819" s="2" t="str">
        <f aca="false">CONCATENATE(N819," ",O819)</f>
        <v>Haplodrassus soerenseni</v>
      </c>
      <c r="Q819" s="1" t="s">
        <v>30</v>
      </c>
      <c r="R819" s="1" t="s">
        <v>31</v>
      </c>
      <c r="S819" s="1" t="n">
        <v>1</v>
      </c>
      <c r="T819" s="1" t="n">
        <v>0</v>
      </c>
      <c r="U819" s="1" t="n">
        <v>0</v>
      </c>
      <c r="V819" s="1" t="n">
        <v>0</v>
      </c>
      <c r="W819" s="1" t="n">
        <v>0</v>
      </c>
      <c r="X819" s="1" t="n">
        <v>0</v>
      </c>
      <c r="Y819" s="3" t="n">
        <f aca="false">SUM(S819:T819)</f>
        <v>1</v>
      </c>
      <c r="Z819" s="3" t="n">
        <f aca="false">SUM(U819:W819)</f>
        <v>0</v>
      </c>
      <c r="AA819" s="3" t="n">
        <f aca="false">SUM(S819:X819)</f>
        <v>1</v>
      </c>
      <c r="AB819" s="21" t="n">
        <f aca="false">(AA819/(K819*L819)*25)*4</f>
        <v>6.66666666666667</v>
      </c>
    </row>
    <row r="820" customFormat="false" ht="14.25" hidden="false" customHeight="false" outlineLevel="0" collapsed="false">
      <c r="A820" s="1" t="n">
        <v>2009</v>
      </c>
      <c r="B820" s="7" t="s">
        <v>322</v>
      </c>
      <c r="C820" s="7" t="n">
        <v>2</v>
      </c>
      <c r="D820" s="7" t="s">
        <v>294</v>
      </c>
      <c r="E820" s="7" t="s">
        <v>294</v>
      </c>
      <c r="F820" s="7" t="s">
        <v>326</v>
      </c>
      <c r="G820" s="1" t="n">
        <v>3</v>
      </c>
      <c r="H820" s="1" t="n">
        <v>14</v>
      </c>
      <c r="I820" s="10" t="n">
        <v>39970</v>
      </c>
      <c r="J820" s="10" t="n">
        <v>39975</v>
      </c>
      <c r="K820" s="1" t="n">
        <v>5</v>
      </c>
      <c r="L820" s="1" t="n">
        <v>3</v>
      </c>
      <c r="M820" s="3" t="s">
        <v>72</v>
      </c>
      <c r="N820" s="3" t="s">
        <v>86</v>
      </c>
      <c r="O820" s="8" t="s">
        <v>87</v>
      </c>
      <c r="P820" s="2" t="str">
        <f aca="false">CONCATENATE(N820," ",O820)</f>
        <v>Haplodrassus soerenseni</v>
      </c>
      <c r="Q820" s="1" t="s">
        <v>30</v>
      </c>
      <c r="R820" s="1" t="s">
        <v>35</v>
      </c>
      <c r="S820" s="1" t="n">
        <v>0</v>
      </c>
      <c r="T820" s="1" t="n">
        <v>1</v>
      </c>
      <c r="U820" s="1" t="n">
        <v>0</v>
      </c>
      <c r="V820" s="1" t="n">
        <v>0</v>
      </c>
      <c r="W820" s="1" t="n">
        <v>0</v>
      </c>
      <c r="X820" s="1" t="n">
        <v>0</v>
      </c>
      <c r="Y820" s="3" t="n">
        <f aca="false">SUM(S820:T820)</f>
        <v>1</v>
      </c>
      <c r="Z820" s="3" t="n">
        <f aca="false">SUM(U820:W820)</f>
        <v>0</v>
      </c>
      <c r="AA820" s="3" t="n">
        <f aca="false">SUM(S820:X820)</f>
        <v>1</v>
      </c>
      <c r="AB820" s="21" t="n">
        <f aca="false">(AA820/(K820*L820)*25)*4</f>
        <v>6.66666666666667</v>
      </c>
    </row>
    <row r="821" customFormat="false" ht="14.25" hidden="false" customHeight="false" outlineLevel="0" collapsed="false">
      <c r="A821" s="1" t="n">
        <v>2009</v>
      </c>
      <c r="B821" s="7" t="s">
        <v>322</v>
      </c>
      <c r="C821" s="7" t="n">
        <v>2</v>
      </c>
      <c r="D821" s="7" t="s">
        <v>294</v>
      </c>
      <c r="E821" s="7" t="s">
        <v>294</v>
      </c>
      <c r="F821" s="7" t="s">
        <v>326</v>
      </c>
      <c r="G821" s="1" t="n">
        <v>3</v>
      </c>
      <c r="H821" s="1" t="n">
        <v>14</v>
      </c>
      <c r="I821" s="10" t="n">
        <v>39970</v>
      </c>
      <c r="J821" s="10" t="n">
        <v>39975</v>
      </c>
      <c r="K821" s="1" t="n">
        <v>5</v>
      </c>
      <c r="L821" s="1" t="n">
        <v>3</v>
      </c>
      <c r="M821" s="3" t="s">
        <v>36</v>
      </c>
      <c r="N821" s="3" t="s">
        <v>131</v>
      </c>
      <c r="O821" s="3" t="s">
        <v>133</v>
      </c>
      <c r="P821" s="2" t="str">
        <f aca="false">CONCATENATE(N821," ",O821)</f>
        <v>Xysticus luctuosus</v>
      </c>
      <c r="Q821" s="1" t="s">
        <v>30</v>
      </c>
      <c r="R821" s="1" t="s">
        <v>31</v>
      </c>
      <c r="S821" s="1" t="n">
        <v>2</v>
      </c>
      <c r="T821" s="1" t="n">
        <v>0</v>
      </c>
      <c r="U821" s="1" t="n">
        <v>0</v>
      </c>
      <c r="V821" s="1" t="n">
        <v>0</v>
      </c>
      <c r="W821" s="1" t="n">
        <v>0</v>
      </c>
      <c r="X821" s="1" t="n">
        <v>0</v>
      </c>
      <c r="Y821" s="3" t="n">
        <f aca="false">SUM(S821:T821)</f>
        <v>2</v>
      </c>
      <c r="Z821" s="3" t="n">
        <f aca="false">SUM(U821:W821)</f>
        <v>0</v>
      </c>
      <c r="AA821" s="3" t="n">
        <f aca="false">SUM(S821:X821)</f>
        <v>2</v>
      </c>
      <c r="AB821" s="21" t="n">
        <f aca="false">(AA821/(K821*L821)*25)*4</f>
        <v>13.3333333333333</v>
      </c>
    </row>
    <row r="822" customFormat="false" ht="14.25" hidden="false" customHeight="false" outlineLevel="0" collapsed="false">
      <c r="A822" s="1" t="n">
        <v>2009</v>
      </c>
      <c r="B822" s="7" t="s">
        <v>322</v>
      </c>
      <c r="C822" s="7" t="n">
        <v>2</v>
      </c>
      <c r="D822" s="7" t="s">
        <v>294</v>
      </c>
      <c r="E822" s="7" t="s">
        <v>294</v>
      </c>
      <c r="F822" s="7" t="s">
        <v>326</v>
      </c>
      <c r="G822" s="1" t="n">
        <v>3</v>
      </c>
      <c r="H822" s="1" t="n">
        <v>14</v>
      </c>
      <c r="I822" s="10" t="n">
        <v>39970</v>
      </c>
      <c r="J822" s="10" t="n">
        <v>39975</v>
      </c>
      <c r="K822" s="1" t="n">
        <v>5</v>
      </c>
      <c r="L822" s="1" t="n">
        <v>3</v>
      </c>
      <c r="M822" s="3" t="s">
        <v>32</v>
      </c>
      <c r="N822" s="3" t="s">
        <v>200</v>
      </c>
      <c r="O822" s="3" t="s">
        <v>201</v>
      </c>
      <c r="P822" s="2" t="str">
        <f aca="false">CONCATENATE(N822," ",O822)</f>
        <v>Trematocephalus cristatus</v>
      </c>
      <c r="Q822" s="1" t="s">
        <v>30</v>
      </c>
      <c r="R822" s="1" t="s">
        <v>31</v>
      </c>
      <c r="S822" s="1" t="n">
        <v>1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  <c r="Y822" s="3" t="n">
        <f aca="false">SUM(S822:T822)</f>
        <v>1</v>
      </c>
      <c r="Z822" s="3" t="n">
        <f aca="false">SUM(U822:W822)</f>
        <v>0</v>
      </c>
      <c r="AA822" s="3" t="n">
        <f aca="false">SUM(S822:X822)</f>
        <v>1</v>
      </c>
      <c r="AB822" s="21" t="n">
        <f aca="false">(AA822/(K822*L822)*25)*4</f>
        <v>6.66666666666667</v>
      </c>
    </row>
    <row r="823" customFormat="false" ht="14.25" hidden="false" customHeight="false" outlineLevel="0" collapsed="false">
      <c r="A823" s="1" t="n">
        <v>2009</v>
      </c>
      <c r="B823" s="7" t="s">
        <v>322</v>
      </c>
      <c r="C823" s="7" t="n">
        <v>2</v>
      </c>
      <c r="D823" s="7" t="s">
        <v>294</v>
      </c>
      <c r="E823" s="7" t="s">
        <v>294</v>
      </c>
      <c r="F823" s="7" t="s">
        <v>326</v>
      </c>
      <c r="G823" s="1" t="n">
        <v>3</v>
      </c>
      <c r="H823" s="1" t="n">
        <v>15</v>
      </c>
      <c r="I823" s="10" t="n">
        <v>39970</v>
      </c>
      <c r="J823" s="10" t="n">
        <v>39975</v>
      </c>
      <c r="K823" s="1" t="n">
        <v>5</v>
      </c>
      <c r="L823" s="1" t="n">
        <v>3</v>
      </c>
      <c r="M823" s="3" t="s">
        <v>48</v>
      </c>
      <c r="N823" s="3" t="s">
        <v>49</v>
      </c>
      <c r="O823" s="3" t="s">
        <v>104</v>
      </c>
      <c r="P823" s="2" t="str">
        <f aca="false">CONCATENATE(N823," ",O823)</f>
        <v>Alopecosa taeniata</v>
      </c>
      <c r="Q823" s="1" t="s">
        <v>30</v>
      </c>
      <c r="R823" s="1" t="s">
        <v>31</v>
      </c>
      <c r="S823" s="1" t="n">
        <v>4</v>
      </c>
      <c r="T823" s="1" t="n">
        <v>0</v>
      </c>
      <c r="U823" s="1" t="n">
        <v>0</v>
      </c>
      <c r="V823" s="1" t="n">
        <v>0</v>
      </c>
      <c r="W823" s="1" t="n">
        <v>0</v>
      </c>
      <c r="X823" s="1" t="n">
        <v>0</v>
      </c>
      <c r="Y823" s="3" t="n">
        <f aca="false">SUM(S823:T823)</f>
        <v>4</v>
      </c>
      <c r="Z823" s="3" t="n">
        <f aca="false">SUM(U823:W823)</f>
        <v>0</v>
      </c>
      <c r="AA823" s="3" t="n">
        <f aca="false">SUM(S823:X823)</f>
        <v>4</v>
      </c>
      <c r="AB823" s="21" t="n">
        <f aca="false">(AA823/(K823*L823)*25)*4</f>
        <v>26.6666666666667</v>
      </c>
    </row>
    <row r="824" customFormat="false" ht="14.25" hidden="false" customHeight="false" outlineLevel="0" collapsed="false">
      <c r="A824" s="1" t="n">
        <v>2009</v>
      </c>
      <c r="B824" s="7" t="s">
        <v>322</v>
      </c>
      <c r="C824" s="7" t="n">
        <v>2</v>
      </c>
      <c r="D824" s="7" t="s">
        <v>294</v>
      </c>
      <c r="E824" s="7" t="s">
        <v>294</v>
      </c>
      <c r="F824" s="7" t="s">
        <v>326</v>
      </c>
      <c r="G824" s="1" t="n">
        <v>3</v>
      </c>
      <c r="H824" s="1" t="n">
        <v>15</v>
      </c>
      <c r="I824" s="10" t="n">
        <v>39970</v>
      </c>
      <c r="J824" s="10" t="n">
        <v>39975</v>
      </c>
      <c r="K824" s="1" t="n">
        <v>5</v>
      </c>
      <c r="L824" s="1" t="n">
        <v>3</v>
      </c>
      <c r="M824" s="3" t="s">
        <v>48</v>
      </c>
      <c r="N824" s="3" t="s">
        <v>67</v>
      </c>
      <c r="O824" s="3" t="s">
        <v>127</v>
      </c>
      <c r="P824" s="2" t="str">
        <f aca="false">CONCATENATE(N824," ",O824)</f>
        <v>Pardosa lugubris</v>
      </c>
      <c r="Q824" s="1" t="s">
        <v>30</v>
      </c>
      <c r="R824" s="1" t="s">
        <v>31</v>
      </c>
      <c r="S824" s="1" t="n">
        <v>1</v>
      </c>
      <c r="T824" s="1" t="n">
        <v>0</v>
      </c>
      <c r="U824" s="1" t="n">
        <v>0</v>
      </c>
      <c r="V824" s="1" t="n">
        <v>0</v>
      </c>
      <c r="W824" s="1" t="n">
        <v>0</v>
      </c>
      <c r="X824" s="1" t="n">
        <v>0</v>
      </c>
      <c r="Y824" s="3" t="n">
        <f aca="false">SUM(S824:T824)</f>
        <v>1</v>
      </c>
      <c r="Z824" s="3" t="n">
        <f aca="false">SUM(U824:W824)</f>
        <v>0</v>
      </c>
      <c r="AA824" s="3" t="n">
        <f aca="false">SUM(S824:X824)</f>
        <v>1</v>
      </c>
      <c r="AB824" s="21" t="n">
        <f aca="false">(AA824/(K824*L824)*25)*4</f>
        <v>6.66666666666667</v>
      </c>
    </row>
    <row r="825" customFormat="false" ht="14.25" hidden="false" customHeight="false" outlineLevel="0" collapsed="false">
      <c r="A825" s="1" t="n">
        <v>2009</v>
      </c>
      <c r="B825" s="7" t="s">
        <v>322</v>
      </c>
      <c r="C825" s="7" t="n">
        <v>2</v>
      </c>
      <c r="D825" s="7" t="s">
        <v>294</v>
      </c>
      <c r="E825" s="7" t="s">
        <v>294</v>
      </c>
      <c r="F825" s="7" t="s">
        <v>326</v>
      </c>
      <c r="G825" s="1" t="n">
        <v>3</v>
      </c>
      <c r="H825" s="1" t="n">
        <v>15</v>
      </c>
      <c r="I825" s="10" t="n">
        <v>39970</v>
      </c>
      <c r="J825" s="10" t="n">
        <v>39975</v>
      </c>
      <c r="K825" s="1" t="n">
        <v>5</v>
      </c>
      <c r="L825" s="1" t="n">
        <v>3</v>
      </c>
      <c r="M825" s="3" t="s">
        <v>48</v>
      </c>
      <c r="N825" s="3" t="s">
        <v>67</v>
      </c>
      <c r="O825" s="3" t="s">
        <v>127</v>
      </c>
      <c r="P825" s="2" t="str">
        <f aca="false">CONCATENATE(N825," ",O825)</f>
        <v>Pardosa lugubris</v>
      </c>
      <c r="Q825" s="1" t="s">
        <v>30</v>
      </c>
      <c r="R825" s="1" t="s">
        <v>35</v>
      </c>
      <c r="S825" s="1" t="n">
        <v>0</v>
      </c>
      <c r="T825" s="1" t="n">
        <v>1</v>
      </c>
      <c r="U825" s="1" t="n">
        <v>0</v>
      </c>
      <c r="V825" s="1" t="n">
        <v>0</v>
      </c>
      <c r="W825" s="1" t="n">
        <v>0</v>
      </c>
      <c r="X825" s="1" t="n">
        <v>0</v>
      </c>
      <c r="Y825" s="3" t="n">
        <f aca="false">SUM(S825:T825)</f>
        <v>1</v>
      </c>
      <c r="Z825" s="3" t="n">
        <f aca="false">SUM(U825:W825)</f>
        <v>0</v>
      </c>
      <c r="AA825" s="3" t="n">
        <f aca="false">SUM(S825:X825)</f>
        <v>1</v>
      </c>
      <c r="AB825" s="21" t="n">
        <f aca="false">(AA825/(K825*L825)*25)*4</f>
        <v>6.66666666666667</v>
      </c>
    </row>
    <row r="826" customFormat="false" ht="14.25" hidden="false" customHeight="false" outlineLevel="0" collapsed="false">
      <c r="A826" s="1" t="n">
        <v>2009</v>
      </c>
      <c r="B826" s="7" t="s">
        <v>322</v>
      </c>
      <c r="C826" s="7" t="n">
        <v>2</v>
      </c>
      <c r="D826" s="7" t="s">
        <v>294</v>
      </c>
      <c r="E826" s="7" t="s">
        <v>294</v>
      </c>
      <c r="F826" s="7" t="s">
        <v>326</v>
      </c>
      <c r="G826" s="1" t="n">
        <v>3</v>
      </c>
      <c r="H826" s="1" t="n">
        <v>15</v>
      </c>
      <c r="I826" s="10" t="n">
        <v>39970</v>
      </c>
      <c r="J826" s="10" t="n">
        <v>39975</v>
      </c>
      <c r="K826" s="1" t="n">
        <v>5</v>
      </c>
      <c r="L826" s="1" t="n">
        <v>3</v>
      </c>
      <c r="M826" s="3" t="s">
        <v>36</v>
      </c>
      <c r="N826" s="3" t="s">
        <v>131</v>
      </c>
      <c r="O826" s="3" t="s">
        <v>133</v>
      </c>
      <c r="P826" s="2" t="str">
        <f aca="false">CONCATENATE(N826," ",O826)</f>
        <v>Xysticus luctuosus</v>
      </c>
      <c r="Q826" s="1" t="s">
        <v>30</v>
      </c>
      <c r="R826" s="1" t="s">
        <v>31</v>
      </c>
      <c r="S826" s="1" t="n">
        <v>1</v>
      </c>
      <c r="T826" s="1" t="n">
        <v>0</v>
      </c>
      <c r="U826" s="1" t="n">
        <v>0</v>
      </c>
      <c r="V826" s="1" t="n">
        <v>0</v>
      </c>
      <c r="W826" s="1" t="n">
        <v>0</v>
      </c>
      <c r="X826" s="1" t="n">
        <v>0</v>
      </c>
      <c r="Y826" s="3" t="n">
        <f aca="false">SUM(S826:T826)</f>
        <v>1</v>
      </c>
      <c r="Z826" s="3" t="n">
        <f aca="false">SUM(U826:W826)</f>
        <v>0</v>
      </c>
      <c r="AA826" s="3" t="n">
        <f aca="false">SUM(S826:X826)</f>
        <v>1</v>
      </c>
      <c r="AB826" s="21" t="n">
        <f aca="false">(AA826/(K826*L826)*25)*4</f>
        <v>6.66666666666667</v>
      </c>
    </row>
    <row r="827" customFormat="false" ht="14.25" hidden="false" customHeight="false" outlineLevel="0" collapsed="false">
      <c r="A827" s="1" t="n">
        <v>2009</v>
      </c>
      <c r="B827" s="7" t="s">
        <v>322</v>
      </c>
      <c r="C827" s="7" t="n">
        <v>2</v>
      </c>
      <c r="D827" s="7" t="s">
        <v>294</v>
      </c>
      <c r="E827" s="7" t="s">
        <v>294</v>
      </c>
      <c r="F827" s="7" t="s">
        <v>326</v>
      </c>
      <c r="G827" s="1" t="n">
        <v>3</v>
      </c>
      <c r="H827" s="1" t="n">
        <v>15</v>
      </c>
      <c r="I827" s="10" t="n">
        <v>39970</v>
      </c>
      <c r="J827" s="10" t="n">
        <v>39975</v>
      </c>
      <c r="K827" s="1" t="n">
        <v>5</v>
      </c>
      <c r="L827" s="1" t="n">
        <v>3</v>
      </c>
      <c r="M827" s="3" t="s">
        <v>36</v>
      </c>
      <c r="N827" s="3" t="s">
        <v>131</v>
      </c>
      <c r="O827" s="3" t="s">
        <v>133</v>
      </c>
      <c r="P827" s="2" t="str">
        <f aca="false">CONCATENATE(N827," ",O827)</f>
        <v>Xysticus luctuosus</v>
      </c>
      <c r="Q827" s="1" t="s">
        <v>30</v>
      </c>
      <c r="R827" s="1" t="s">
        <v>35</v>
      </c>
      <c r="S827" s="1" t="n">
        <v>0</v>
      </c>
      <c r="T827" s="1" t="n">
        <v>2</v>
      </c>
      <c r="U827" s="1" t="n">
        <v>0</v>
      </c>
      <c r="V827" s="1" t="n">
        <v>0</v>
      </c>
      <c r="W827" s="1" t="n">
        <v>0</v>
      </c>
      <c r="X827" s="1" t="n">
        <v>0</v>
      </c>
      <c r="Y827" s="3" t="n">
        <f aca="false">SUM(S827:T827)</f>
        <v>2</v>
      </c>
      <c r="Z827" s="3" t="n">
        <f aca="false">SUM(U827:W827)</f>
        <v>0</v>
      </c>
      <c r="AA827" s="3" t="n">
        <f aca="false">SUM(S827:X827)</f>
        <v>2</v>
      </c>
      <c r="AB827" s="21" t="n">
        <f aca="false">(AA827/(K827*L827)*25)*4</f>
        <v>13.3333333333333</v>
      </c>
    </row>
    <row r="828" customFormat="false" ht="14.25" hidden="false" customHeight="false" outlineLevel="0" collapsed="false">
      <c r="A828" s="1" t="n">
        <v>2009</v>
      </c>
      <c r="B828" s="7" t="s">
        <v>322</v>
      </c>
      <c r="C828" s="7" t="n">
        <v>2</v>
      </c>
      <c r="D828" s="7" t="s">
        <v>294</v>
      </c>
      <c r="E828" s="7" t="s">
        <v>294</v>
      </c>
      <c r="F828" s="7" t="s">
        <v>326</v>
      </c>
      <c r="G828" s="1" t="n">
        <v>3</v>
      </c>
      <c r="H828" s="1" t="n">
        <v>15</v>
      </c>
      <c r="I828" s="10" t="n">
        <v>39970</v>
      </c>
      <c r="J828" s="10" t="n">
        <v>39975</v>
      </c>
      <c r="K828" s="1" t="n">
        <v>5</v>
      </c>
      <c r="L828" s="1" t="n">
        <v>3</v>
      </c>
      <c r="M828" s="3" t="s">
        <v>36</v>
      </c>
      <c r="N828" s="3" t="s">
        <v>37</v>
      </c>
      <c r="O828" s="8" t="s">
        <v>75</v>
      </c>
      <c r="P828" s="2" t="str">
        <f aca="false">CONCATENATE(N828," ",O828)</f>
        <v>Ozyptila praticola</v>
      </c>
      <c r="Q828" s="1" t="s">
        <v>30</v>
      </c>
      <c r="R828" s="1" t="s">
        <v>35</v>
      </c>
      <c r="S828" s="1" t="n">
        <v>0</v>
      </c>
      <c r="T828" s="1" t="n">
        <v>2</v>
      </c>
      <c r="U828" s="1" t="n">
        <v>0</v>
      </c>
      <c r="V828" s="1" t="n">
        <v>0</v>
      </c>
      <c r="W828" s="1" t="n">
        <v>0</v>
      </c>
      <c r="X828" s="1" t="n">
        <v>0</v>
      </c>
      <c r="Y828" s="3" t="n">
        <f aca="false">SUM(S828:T828)</f>
        <v>2</v>
      </c>
      <c r="Z828" s="3" t="n">
        <f aca="false">SUM(U828:W828)</f>
        <v>0</v>
      </c>
      <c r="AA828" s="3" t="n">
        <f aca="false">SUM(S828:X828)</f>
        <v>2</v>
      </c>
      <c r="AB828" s="21" t="n">
        <f aca="false">(AA828/(K828*L828)*25)*4</f>
        <v>13.3333333333333</v>
      </c>
    </row>
    <row r="829" customFormat="false" ht="14.25" hidden="false" customHeight="false" outlineLevel="0" collapsed="false">
      <c r="A829" s="1" t="n">
        <v>2009</v>
      </c>
      <c r="B829" s="7" t="s">
        <v>322</v>
      </c>
      <c r="C829" s="7" t="n">
        <v>2</v>
      </c>
      <c r="D829" s="7" t="s">
        <v>293</v>
      </c>
      <c r="E829" s="7" t="s">
        <v>293</v>
      </c>
      <c r="F829" s="7" t="s">
        <v>101</v>
      </c>
      <c r="G829" s="1" t="n">
        <v>1</v>
      </c>
      <c r="H829" s="1" t="n">
        <v>1</v>
      </c>
      <c r="I829" s="10" t="n">
        <v>39970</v>
      </c>
      <c r="J829" s="10" t="n">
        <v>39975</v>
      </c>
      <c r="K829" s="1" t="n">
        <v>5</v>
      </c>
      <c r="L829" s="1" t="n">
        <v>5</v>
      </c>
      <c r="M829" s="3" t="s">
        <v>48</v>
      </c>
      <c r="N829" s="3" t="s">
        <v>49</v>
      </c>
      <c r="O829" s="3" t="s">
        <v>104</v>
      </c>
      <c r="P829" s="2" t="str">
        <f aca="false">CONCATENATE(N829," ",O829)</f>
        <v>Alopecosa taeniata</v>
      </c>
      <c r="Q829" s="1" t="s">
        <v>30</v>
      </c>
      <c r="R829" s="1" t="s">
        <v>31</v>
      </c>
      <c r="S829" s="1" t="n">
        <v>12</v>
      </c>
      <c r="T829" s="1" t="n">
        <v>0</v>
      </c>
      <c r="U829" s="1" t="n">
        <v>0</v>
      </c>
      <c r="V829" s="1" t="n">
        <v>0</v>
      </c>
      <c r="W829" s="1" t="n">
        <v>0</v>
      </c>
      <c r="X829" s="1" t="n">
        <v>0</v>
      </c>
      <c r="Y829" s="3" t="n">
        <f aca="false">SUM(S829:T829)</f>
        <v>12</v>
      </c>
      <c r="Z829" s="3" t="n">
        <f aca="false">SUM(U829:W829)</f>
        <v>0</v>
      </c>
      <c r="AA829" s="3" t="n">
        <f aca="false">SUM(S829:X829)</f>
        <v>12</v>
      </c>
      <c r="AB829" s="11" t="n">
        <f aca="false">(AA829/(K829*L829)*25)*4</f>
        <v>48</v>
      </c>
    </row>
    <row r="830" customFormat="false" ht="14.25" hidden="false" customHeight="false" outlineLevel="0" collapsed="false">
      <c r="A830" s="1" t="n">
        <v>2009</v>
      </c>
      <c r="B830" s="7" t="s">
        <v>322</v>
      </c>
      <c r="C830" s="7" t="n">
        <v>2</v>
      </c>
      <c r="D830" s="7" t="s">
        <v>293</v>
      </c>
      <c r="E830" s="7" t="s">
        <v>293</v>
      </c>
      <c r="F830" s="7" t="s">
        <v>101</v>
      </c>
      <c r="G830" s="1" t="n">
        <v>1</v>
      </c>
      <c r="H830" s="1" t="n">
        <v>1</v>
      </c>
      <c r="I830" s="10" t="n">
        <v>39970</v>
      </c>
      <c r="J830" s="10" t="n">
        <v>39975</v>
      </c>
      <c r="K830" s="1" t="n">
        <v>5</v>
      </c>
      <c r="L830" s="1" t="n">
        <v>5</v>
      </c>
      <c r="M830" s="3" t="s">
        <v>48</v>
      </c>
      <c r="N830" s="3" t="s">
        <v>49</v>
      </c>
      <c r="O830" s="3" t="s">
        <v>104</v>
      </c>
      <c r="P830" s="2" t="str">
        <f aca="false">CONCATENATE(N830," ",O830)</f>
        <v>Alopecosa taeniata</v>
      </c>
      <c r="Q830" s="1" t="s">
        <v>30</v>
      </c>
      <c r="R830" s="1" t="s">
        <v>35</v>
      </c>
      <c r="S830" s="1" t="n">
        <v>0</v>
      </c>
      <c r="T830" s="1" t="n">
        <v>1</v>
      </c>
      <c r="U830" s="1" t="n">
        <v>0</v>
      </c>
      <c r="V830" s="1" t="n">
        <v>0</v>
      </c>
      <c r="W830" s="1" t="n">
        <v>0</v>
      </c>
      <c r="X830" s="1" t="n">
        <v>0</v>
      </c>
      <c r="Y830" s="3" t="n">
        <f aca="false">SUM(S830:T830)</f>
        <v>1</v>
      </c>
      <c r="Z830" s="3" t="n">
        <f aca="false">SUM(U830:W830)</f>
        <v>0</v>
      </c>
      <c r="AA830" s="3" t="n">
        <f aca="false">SUM(S830:X830)</f>
        <v>1</v>
      </c>
      <c r="AB830" s="11" t="n">
        <f aca="false">(AA830/(K830*L830)*25)*4</f>
        <v>4</v>
      </c>
    </row>
    <row r="831" customFormat="false" ht="14.25" hidden="false" customHeight="false" outlineLevel="0" collapsed="false">
      <c r="A831" s="1" t="n">
        <v>2009</v>
      </c>
      <c r="B831" s="7" t="s">
        <v>322</v>
      </c>
      <c r="C831" s="7" t="n">
        <v>2</v>
      </c>
      <c r="D831" s="7" t="s">
        <v>293</v>
      </c>
      <c r="E831" s="7" t="s">
        <v>293</v>
      </c>
      <c r="F831" s="7" t="s">
        <v>101</v>
      </c>
      <c r="G831" s="1" t="n">
        <v>1</v>
      </c>
      <c r="H831" s="1" t="n">
        <v>1</v>
      </c>
      <c r="I831" s="10" t="n">
        <v>39970</v>
      </c>
      <c r="J831" s="10" t="n">
        <v>39975</v>
      </c>
      <c r="K831" s="1" t="n">
        <v>5</v>
      </c>
      <c r="L831" s="1" t="n">
        <v>5</v>
      </c>
      <c r="M831" s="3" t="s">
        <v>48</v>
      </c>
      <c r="N831" s="3" t="s">
        <v>49</v>
      </c>
      <c r="O831" s="3" t="s">
        <v>130</v>
      </c>
      <c r="P831" s="2" t="str">
        <f aca="false">CONCATENATE(N831," ",O831)</f>
        <v>Alopecosa aculeata</v>
      </c>
      <c r="Q831" s="1" t="s">
        <v>30</v>
      </c>
      <c r="R831" s="1" t="s">
        <v>31</v>
      </c>
      <c r="S831" s="1" t="n">
        <v>1</v>
      </c>
      <c r="T831" s="1" t="n">
        <v>0</v>
      </c>
      <c r="U831" s="1" t="n">
        <v>0</v>
      </c>
      <c r="V831" s="1" t="n">
        <v>0</v>
      </c>
      <c r="W831" s="1" t="n">
        <v>0</v>
      </c>
      <c r="X831" s="1" t="n">
        <v>0</v>
      </c>
      <c r="Y831" s="3" t="n">
        <f aca="false">SUM(S831:T831)</f>
        <v>1</v>
      </c>
      <c r="Z831" s="3" t="n">
        <f aca="false">SUM(U831:W831)</f>
        <v>0</v>
      </c>
      <c r="AA831" s="3" t="n">
        <f aca="false">SUM(S831:X831)</f>
        <v>1</v>
      </c>
      <c r="AB831" s="11" t="n">
        <f aca="false">(AA831/(K831*L831)*25)*4</f>
        <v>4</v>
      </c>
    </row>
    <row r="832" customFormat="false" ht="14.25" hidden="false" customHeight="false" outlineLevel="0" collapsed="false">
      <c r="A832" s="1" t="n">
        <v>2009</v>
      </c>
      <c r="B832" s="7" t="s">
        <v>322</v>
      </c>
      <c r="C832" s="7" t="n">
        <v>2</v>
      </c>
      <c r="D832" s="7" t="s">
        <v>293</v>
      </c>
      <c r="E832" s="7" t="s">
        <v>293</v>
      </c>
      <c r="F832" s="7" t="s">
        <v>101</v>
      </c>
      <c r="G832" s="1" t="n">
        <v>1</v>
      </c>
      <c r="H832" s="1" t="n">
        <v>1</v>
      </c>
      <c r="I832" s="10" t="n">
        <v>39970</v>
      </c>
      <c r="J832" s="10" t="n">
        <v>39975</v>
      </c>
      <c r="K832" s="1" t="n">
        <v>5</v>
      </c>
      <c r="L832" s="1" t="n">
        <v>5</v>
      </c>
      <c r="M832" s="3" t="s">
        <v>48</v>
      </c>
      <c r="N832" s="3" t="s">
        <v>49</v>
      </c>
      <c r="O832" s="3" t="s">
        <v>130</v>
      </c>
      <c r="P832" s="2" t="str">
        <f aca="false">CONCATENATE(N832," ",O832)</f>
        <v>Alopecosa aculeata</v>
      </c>
      <c r="Q832" s="1" t="s">
        <v>30</v>
      </c>
      <c r="R832" s="1" t="s">
        <v>35</v>
      </c>
      <c r="S832" s="1" t="n">
        <v>0</v>
      </c>
      <c r="T832" s="1" t="n">
        <v>1</v>
      </c>
      <c r="U832" s="1" t="n">
        <v>0</v>
      </c>
      <c r="V832" s="1" t="n">
        <v>0</v>
      </c>
      <c r="W832" s="1" t="n">
        <v>0</v>
      </c>
      <c r="X832" s="1" t="n">
        <v>0</v>
      </c>
      <c r="Y832" s="3" t="n">
        <f aca="false">SUM(S832:T832)</f>
        <v>1</v>
      </c>
      <c r="Z832" s="3" t="n">
        <f aca="false">SUM(U832:W832)</f>
        <v>0</v>
      </c>
      <c r="AA832" s="3" t="n">
        <f aca="false">SUM(S832:X832)</f>
        <v>1</v>
      </c>
      <c r="AB832" s="11" t="n">
        <f aca="false">(AA832/(K832*L832)*25)*4</f>
        <v>4</v>
      </c>
    </row>
    <row r="833" customFormat="false" ht="14.25" hidden="false" customHeight="false" outlineLevel="0" collapsed="false">
      <c r="A833" s="1" t="n">
        <v>2009</v>
      </c>
      <c r="B833" s="7" t="s">
        <v>322</v>
      </c>
      <c r="C833" s="7" t="n">
        <v>2</v>
      </c>
      <c r="D833" s="7" t="s">
        <v>293</v>
      </c>
      <c r="E833" s="7" t="s">
        <v>293</v>
      </c>
      <c r="F833" s="7" t="s">
        <v>101</v>
      </c>
      <c r="G833" s="1" t="n">
        <v>1</v>
      </c>
      <c r="H833" s="1" t="n">
        <v>1</v>
      </c>
      <c r="I833" s="10" t="n">
        <v>39970</v>
      </c>
      <c r="J833" s="10" t="n">
        <v>39975</v>
      </c>
      <c r="K833" s="1" t="n">
        <v>5</v>
      </c>
      <c r="L833" s="1" t="n">
        <v>5</v>
      </c>
      <c r="M833" s="3" t="s">
        <v>48</v>
      </c>
      <c r="N833" s="3" t="s">
        <v>67</v>
      </c>
      <c r="O833" s="3" t="s">
        <v>127</v>
      </c>
      <c r="P833" s="2" t="str">
        <f aca="false">CONCATENATE(N833," ",O833)</f>
        <v>Pardosa lugubris</v>
      </c>
      <c r="Q833" s="1" t="s">
        <v>30</v>
      </c>
      <c r="R833" s="1" t="s">
        <v>31</v>
      </c>
      <c r="S833" s="1" t="n">
        <v>1</v>
      </c>
      <c r="T833" s="1" t="n">
        <v>0</v>
      </c>
      <c r="U833" s="1" t="n">
        <v>0</v>
      </c>
      <c r="V833" s="1" t="n">
        <v>0</v>
      </c>
      <c r="W833" s="1" t="n">
        <v>0</v>
      </c>
      <c r="X833" s="1" t="n">
        <v>0</v>
      </c>
      <c r="Y833" s="3" t="n">
        <f aca="false">SUM(S833:T833)</f>
        <v>1</v>
      </c>
      <c r="Z833" s="3" t="n">
        <f aca="false">SUM(U833:W833)</f>
        <v>0</v>
      </c>
      <c r="AA833" s="3" t="n">
        <f aca="false">SUM(S833:X833)</f>
        <v>1</v>
      </c>
      <c r="AB833" s="11" t="n">
        <f aca="false">(AA833/(K833*L833)*25)*4</f>
        <v>4</v>
      </c>
    </row>
    <row r="834" customFormat="false" ht="14.25" hidden="false" customHeight="false" outlineLevel="0" collapsed="false">
      <c r="A834" s="1" t="n">
        <v>2009</v>
      </c>
      <c r="B834" s="7" t="s">
        <v>322</v>
      </c>
      <c r="C834" s="7" t="n">
        <v>2</v>
      </c>
      <c r="D834" s="7" t="s">
        <v>293</v>
      </c>
      <c r="E834" s="7" t="s">
        <v>293</v>
      </c>
      <c r="F834" s="7" t="s">
        <v>101</v>
      </c>
      <c r="G834" s="1" t="n">
        <v>1</v>
      </c>
      <c r="H834" s="1" t="n">
        <v>1</v>
      </c>
      <c r="I834" s="10" t="n">
        <v>39970</v>
      </c>
      <c r="J834" s="10" t="n">
        <v>39975</v>
      </c>
      <c r="K834" s="1" t="n">
        <v>5</v>
      </c>
      <c r="L834" s="1" t="n">
        <v>5</v>
      </c>
      <c r="M834" s="3" t="s">
        <v>36</v>
      </c>
      <c r="N834" s="3" t="s">
        <v>131</v>
      </c>
      <c r="O834" s="3" t="s">
        <v>133</v>
      </c>
      <c r="P834" s="2" t="str">
        <f aca="false">CONCATENATE(N834," ",O834)</f>
        <v>Xysticus luctuosus</v>
      </c>
      <c r="Q834" s="1" t="s">
        <v>30</v>
      </c>
      <c r="R834" s="1" t="s">
        <v>31</v>
      </c>
      <c r="S834" s="1" t="n">
        <v>2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0</v>
      </c>
      <c r="Y834" s="3" t="n">
        <f aca="false">SUM(S834:T834)</f>
        <v>2</v>
      </c>
      <c r="Z834" s="3" t="n">
        <f aca="false">SUM(U834:W834)</f>
        <v>0</v>
      </c>
      <c r="AA834" s="3" t="n">
        <f aca="false">SUM(S834:X834)</f>
        <v>2</v>
      </c>
      <c r="AB834" s="11" t="n">
        <f aca="false">(AA834/(K834*L834)*25)*4</f>
        <v>8</v>
      </c>
    </row>
    <row r="835" customFormat="false" ht="14.25" hidden="false" customHeight="false" outlineLevel="0" collapsed="false">
      <c r="A835" s="1" t="n">
        <v>2009</v>
      </c>
      <c r="B835" s="7" t="s">
        <v>322</v>
      </c>
      <c r="C835" s="7" t="n">
        <v>2</v>
      </c>
      <c r="D835" s="7" t="s">
        <v>293</v>
      </c>
      <c r="E835" s="7" t="s">
        <v>293</v>
      </c>
      <c r="F835" s="7" t="s">
        <v>101</v>
      </c>
      <c r="G835" s="1" t="n">
        <v>1</v>
      </c>
      <c r="H835" s="1" t="n">
        <v>1</v>
      </c>
      <c r="I835" s="10" t="n">
        <v>39970</v>
      </c>
      <c r="J835" s="10" t="n">
        <v>39975</v>
      </c>
      <c r="K835" s="1" t="n">
        <v>5</v>
      </c>
      <c r="L835" s="1" t="n">
        <v>5</v>
      </c>
      <c r="M835" s="13" t="s">
        <v>32</v>
      </c>
      <c r="N835" s="13" t="s">
        <v>96</v>
      </c>
      <c r="O835" s="14" t="s">
        <v>97</v>
      </c>
      <c r="P835" s="2" t="str">
        <f aca="false">CONCATENATE(N835," ",O835)</f>
        <v>Diplocephalus picinus</v>
      </c>
      <c r="Q835" s="1" t="s">
        <v>30</v>
      </c>
      <c r="R835" s="1" t="s">
        <v>31</v>
      </c>
      <c r="S835" s="1" t="n">
        <v>1</v>
      </c>
      <c r="T835" s="1" t="n">
        <v>0</v>
      </c>
      <c r="U835" s="1" t="n">
        <v>0</v>
      </c>
      <c r="V835" s="1" t="n">
        <v>0</v>
      </c>
      <c r="W835" s="1" t="n">
        <v>0</v>
      </c>
      <c r="X835" s="1" t="n">
        <v>0</v>
      </c>
      <c r="Y835" s="3" t="n">
        <f aca="false">SUM(S835:T835)</f>
        <v>1</v>
      </c>
      <c r="Z835" s="3" t="n">
        <f aca="false">SUM(U835:W835)</f>
        <v>0</v>
      </c>
      <c r="AA835" s="3" t="n">
        <f aca="false">SUM(S835:X835)</f>
        <v>1</v>
      </c>
      <c r="AB835" s="11" t="n">
        <f aca="false">(AA835/(K835*L835)*25)*4</f>
        <v>4</v>
      </c>
    </row>
    <row r="836" customFormat="false" ht="14.25" hidden="false" customHeight="false" outlineLevel="0" collapsed="false">
      <c r="A836" s="1" t="n">
        <v>2009</v>
      </c>
      <c r="B836" s="7" t="s">
        <v>322</v>
      </c>
      <c r="C836" s="7" t="n">
        <v>2</v>
      </c>
      <c r="D836" s="7" t="s">
        <v>293</v>
      </c>
      <c r="E836" s="7" t="s">
        <v>293</v>
      </c>
      <c r="F836" s="7" t="s">
        <v>101</v>
      </c>
      <c r="G836" s="1" t="n">
        <v>1</v>
      </c>
      <c r="H836" s="1" t="n">
        <v>1</v>
      </c>
      <c r="I836" s="10" t="n">
        <v>39970</v>
      </c>
      <c r="J836" s="10" t="n">
        <v>39975</v>
      </c>
      <c r="K836" s="1" t="n">
        <v>5</v>
      </c>
      <c r="L836" s="1" t="n">
        <v>5</v>
      </c>
      <c r="M836" s="3" t="s">
        <v>32</v>
      </c>
      <c r="N836" s="3" t="s">
        <v>33</v>
      </c>
      <c r="O836" s="3" t="s">
        <v>60</v>
      </c>
      <c r="P836" s="2" t="str">
        <f aca="false">CONCATENATE(N836," ",O836)</f>
        <v>Tenuiphantes tenebricola</v>
      </c>
      <c r="Q836" s="1" t="s">
        <v>30</v>
      </c>
      <c r="R836" s="1" t="s">
        <v>31</v>
      </c>
      <c r="S836" s="1" t="n">
        <v>1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0</v>
      </c>
      <c r="Y836" s="3" t="n">
        <f aca="false">SUM(S836:T836)</f>
        <v>1</v>
      </c>
      <c r="Z836" s="3" t="n">
        <f aca="false">SUM(U836:W836)</f>
        <v>0</v>
      </c>
      <c r="AA836" s="3" t="n">
        <f aca="false">SUM(S836:X836)</f>
        <v>1</v>
      </c>
      <c r="AB836" s="11" t="n">
        <f aca="false">(AA836/(K836*L836)*25)*4</f>
        <v>4</v>
      </c>
    </row>
    <row r="837" customFormat="false" ht="14.25" hidden="false" customHeight="false" outlineLevel="0" collapsed="false">
      <c r="A837" s="1" t="n">
        <v>2009</v>
      </c>
      <c r="B837" s="7" t="s">
        <v>322</v>
      </c>
      <c r="C837" s="7" t="n">
        <v>2</v>
      </c>
      <c r="D837" s="7" t="s">
        <v>293</v>
      </c>
      <c r="E837" s="7" t="s">
        <v>293</v>
      </c>
      <c r="F837" s="7" t="s">
        <v>101</v>
      </c>
      <c r="G837" s="1" t="n">
        <v>1</v>
      </c>
      <c r="H837" s="1" t="n">
        <v>2</v>
      </c>
      <c r="I837" s="10" t="n">
        <v>39970</v>
      </c>
      <c r="J837" s="10" t="n">
        <v>39975</v>
      </c>
      <c r="K837" s="1" t="n">
        <v>5</v>
      </c>
      <c r="L837" s="1" t="n">
        <v>5</v>
      </c>
      <c r="M837" s="3" t="s">
        <v>48</v>
      </c>
      <c r="N837" s="3" t="s">
        <v>49</v>
      </c>
      <c r="O837" s="3" t="s">
        <v>104</v>
      </c>
      <c r="P837" s="2" t="str">
        <f aca="false">CONCATENATE(N837," ",O837)</f>
        <v>Alopecosa taeniata</v>
      </c>
      <c r="Q837" s="1" t="s">
        <v>30</v>
      </c>
      <c r="R837" s="1" t="s">
        <v>31</v>
      </c>
      <c r="S837" s="1" t="n">
        <v>9</v>
      </c>
      <c r="T837" s="1" t="n">
        <v>0</v>
      </c>
      <c r="U837" s="1" t="n">
        <v>0</v>
      </c>
      <c r="V837" s="1" t="n">
        <v>0</v>
      </c>
      <c r="W837" s="1" t="n">
        <v>0</v>
      </c>
      <c r="X837" s="1" t="n">
        <v>0</v>
      </c>
      <c r="Y837" s="3" t="n">
        <f aca="false">SUM(S837:T837)</f>
        <v>9</v>
      </c>
      <c r="Z837" s="3" t="n">
        <f aca="false">SUM(U837:W837)</f>
        <v>0</v>
      </c>
      <c r="AA837" s="3" t="n">
        <f aca="false">SUM(S837:X837)</f>
        <v>9</v>
      </c>
      <c r="AB837" s="11" t="n">
        <f aca="false">(AA837/(K837*L837)*25)*4</f>
        <v>36</v>
      </c>
    </row>
    <row r="838" customFormat="false" ht="14.25" hidden="false" customHeight="false" outlineLevel="0" collapsed="false">
      <c r="A838" s="1" t="n">
        <v>2009</v>
      </c>
      <c r="B838" s="7" t="s">
        <v>322</v>
      </c>
      <c r="C838" s="7" t="n">
        <v>2</v>
      </c>
      <c r="D838" s="7" t="s">
        <v>293</v>
      </c>
      <c r="E838" s="7" t="s">
        <v>293</v>
      </c>
      <c r="F838" s="7" t="s">
        <v>101</v>
      </c>
      <c r="G838" s="1" t="n">
        <v>1</v>
      </c>
      <c r="H838" s="1" t="n">
        <v>2</v>
      </c>
      <c r="I838" s="10" t="n">
        <v>39970</v>
      </c>
      <c r="J838" s="10" t="n">
        <v>39975</v>
      </c>
      <c r="K838" s="1" t="n">
        <v>5</v>
      </c>
      <c r="L838" s="1" t="n">
        <v>5</v>
      </c>
      <c r="M838" s="3" t="s">
        <v>48</v>
      </c>
      <c r="N838" s="3" t="s">
        <v>49</v>
      </c>
      <c r="O838" s="3" t="s">
        <v>104</v>
      </c>
      <c r="P838" s="2" t="str">
        <f aca="false">CONCATENATE(N838," ",O838)</f>
        <v>Alopecosa taeniata</v>
      </c>
      <c r="Q838" s="1" t="s">
        <v>30</v>
      </c>
      <c r="R838" s="1" t="s">
        <v>35</v>
      </c>
      <c r="S838" s="1" t="n">
        <v>0</v>
      </c>
      <c r="T838" s="1" t="n">
        <v>3</v>
      </c>
      <c r="U838" s="1" t="n">
        <v>0</v>
      </c>
      <c r="V838" s="1" t="n">
        <v>0</v>
      </c>
      <c r="W838" s="1" t="n">
        <v>0</v>
      </c>
      <c r="X838" s="1" t="n">
        <v>0</v>
      </c>
      <c r="Y838" s="3" t="n">
        <f aca="false">SUM(S838:T838)</f>
        <v>3</v>
      </c>
      <c r="Z838" s="3" t="n">
        <f aca="false">SUM(U838:W838)</f>
        <v>0</v>
      </c>
      <c r="AA838" s="3" t="n">
        <f aca="false">SUM(S838:X838)</f>
        <v>3</v>
      </c>
      <c r="AB838" s="11" t="n">
        <f aca="false">(AA838/(K838*L838)*25)*4</f>
        <v>12</v>
      </c>
    </row>
    <row r="839" customFormat="false" ht="14.25" hidden="false" customHeight="false" outlineLevel="0" collapsed="false">
      <c r="A839" s="1" t="n">
        <v>2009</v>
      </c>
      <c r="B839" s="7" t="s">
        <v>322</v>
      </c>
      <c r="C839" s="7" t="n">
        <v>2</v>
      </c>
      <c r="D839" s="7" t="s">
        <v>293</v>
      </c>
      <c r="E839" s="7" t="s">
        <v>293</v>
      </c>
      <c r="F839" s="7" t="s">
        <v>101</v>
      </c>
      <c r="G839" s="1" t="n">
        <v>1</v>
      </c>
      <c r="H839" s="1" t="n">
        <v>2</v>
      </c>
      <c r="I839" s="10" t="n">
        <v>39970</v>
      </c>
      <c r="J839" s="10" t="n">
        <v>39975</v>
      </c>
      <c r="K839" s="1" t="n">
        <v>5</v>
      </c>
      <c r="L839" s="1" t="n">
        <v>5</v>
      </c>
      <c r="M839" s="3" t="s">
        <v>48</v>
      </c>
      <c r="N839" s="3" t="s">
        <v>49</v>
      </c>
      <c r="O839" s="3" t="s">
        <v>130</v>
      </c>
      <c r="P839" s="2" t="str">
        <f aca="false">CONCATENATE(N839," ",O839)</f>
        <v>Alopecosa aculeata</v>
      </c>
      <c r="Q839" s="1" t="s">
        <v>30</v>
      </c>
      <c r="R839" s="1" t="s">
        <v>31</v>
      </c>
      <c r="S839" s="1" t="n">
        <v>1</v>
      </c>
      <c r="T839" s="1" t="n">
        <v>0</v>
      </c>
      <c r="U839" s="1" t="n">
        <v>0</v>
      </c>
      <c r="V839" s="1" t="n">
        <v>0</v>
      </c>
      <c r="W839" s="1" t="n">
        <v>0</v>
      </c>
      <c r="X839" s="1" t="n">
        <v>0</v>
      </c>
      <c r="Y839" s="3" t="n">
        <f aca="false">SUM(S839:T839)</f>
        <v>1</v>
      </c>
      <c r="Z839" s="3" t="n">
        <f aca="false">SUM(U839:W839)</f>
        <v>0</v>
      </c>
      <c r="AA839" s="3" t="n">
        <f aca="false">SUM(S839:X839)</f>
        <v>1</v>
      </c>
      <c r="AB839" s="11" t="n">
        <f aca="false">(AA839/(K839*L839)*25)*4</f>
        <v>4</v>
      </c>
    </row>
    <row r="840" customFormat="false" ht="14.25" hidden="false" customHeight="false" outlineLevel="0" collapsed="false">
      <c r="A840" s="1" t="n">
        <v>2009</v>
      </c>
      <c r="B840" s="7" t="s">
        <v>322</v>
      </c>
      <c r="C840" s="7" t="n">
        <v>2</v>
      </c>
      <c r="D840" s="7" t="s">
        <v>293</v>
      </c>
      <c r="E840" s="7" t="s">
        <v>293</v>
      </c>
      <c r="F840" s="7" t="s">
        <v>101</v>
      </c>
      <c r="G840" s="1" t="n">
        <v>1</v>
      </c>
      <c r="H840" s="1" t="n">
        <v>2</v>
      </c>
      <c r="I840" s="10" t="n">
        <v>39970</v>
      </c>
      <c r="J840" s="10" t="n">
        <v>39975</v>
      </c>
      <c r="K840" s="1" t="n">
        <v>5</v>
      </c>
      <c r="L840" s="1" t="n">
        <v>5</v>
      </c>
      <c r="M840" s="3" t="s">
        <v>48</v>
      </c>
      <c r="N840" s="3" t="s">
        <v>49</v>
      </c>
      <c r="O840" s="3" t="s">
        <v>130</v>
      </c>
      <c r="P840" s="2" t="str">
        <f aca="false">CONCATENATE(N840," ",O840)</f>
        <v>Alopecosa aculeata</v>
      </c>
      <c r="Q840" s="1" t="s">
        <v>30</v>
      </c>
      <c r="R840" s="1" t="s">
        <v>35</v>
      </c>
      <c r="S840" s="1" t="n">
        <v>0</v>
      </c>
      <c r="T840" s="1" t="n">
        <v>1</v>
      </c>
      <c r="U840" s="1" t="n">
        <v>0</v>
      </c>
      <c r="V840" s="1" t="n">
        <v>0</v>
      </c>
      <c r="W840" s="1" t="n">
        <v>0</v>
      </c>
      <c r="X840" s="1" t="n">
        <v>0</v>
      </c>
      <c r="Y840" s="3" t="n">
        <f aca="false">SUM(S840:T840)</f>
        <v>1</v>
      </c>
      <c r="Z840" s="3" t="n">
        <f aca="false">SUM(U840:W840)</f>
        <v>0</v>
      </c>
      <c r="AA840" s="3" t="n">
        <f aca="false">SUM(S840:X840)</f>
        <v>1</v>
      </c>
      <c r="AB840" s="11" t="n">
        <f aca="false">(AA840/(K840*L840)*25)*4</f>
        <v>4</v>
      </c>
    </row>
    <row r="841" customFormat="false" ht="14.25" hidden="false" customHeight="false" outlineLevel="0" collapsed="false">
      <c r="A841" s="1" t="n">
        <v>2009</v>
      </c>
      <c r="B841" s="7" t="s">
        <v>322</v>
      </c>
      <c r="C841" s="7" t="n">
        <v>2</v>
      </c>
      <c r="D841" s="7" t="s">
        <v>293</v>
      </c>
      <c r="E841" s="7" t="s">
        <v>293</v>
      </c>
      <c r="F841" s="7" t="s">
        <v>101</v>
      </c>
      <c r="G841" s="1" t="n">
        <v>1</v>
      </c>
      <c r="H841" s="1" t="n">
        <v>2</v>
      </c>
      <c r="I841" s="10" t="n">
        <v>39970</v>
      </c>
      <c r="J841" s="10" t="n">
        <v>39975</v>
      </c>
      <c r="K841" s="1" t="n">
        <v>5</v>
      </c>
      <c r="L841" s="1" t="n">
        <v>5</v>
      </c>
      <c r="M841" s="3" t="s">
        <v>48</v>
      </c>
      <c r="N841" s="3" t="s">
        <v>67</v>
      </c>
      <c r="O841" s="3" t="s">
        <v>127</v>
      </c>
      <c r="P841" s="2" t="str">
        <f aca="false">CONCATENATE(N841," ",O841)</f>
        <v>Pardosa lugubris</v>
      </c>
      <c r="Q841" s="1" t="s">
        <v>30</v>
      </c>
      <c r="R841" s="1" t="s">
        <v>31</v>
      </c>
      <c r="S841" s="1" t="n">
        <v>1</v>
      </c>
      <c r="T841" s="1" t="n">
        <v>0</v>
      </c>
      <c r="U841" s="1" t="n">
        <v>0</v>
      </c>
      <c r="V841" s="1" t="n">
        <v>0</v>
      </c>
      <c r="W841" s="1" t="n">
        <v>0</v>
      </c>
      <c r="X841" s="1" t="n">
        <v>0</v>
      </c>
      <c r="Y841" s="3" t="n">
        <f aca="false">SUM(S841:T841)</f>
        <v>1</v>
      </c>
      <c r="Z841" s="3" t="n">
        <f aca="false">SUM(U841:W841)</f>
        <v>0</v>
      </c>
      <c r="AA841" s="3" t="n">
        <f aca="false">SUM(S841:X841)</f>
        <v>1</v>
      </c>
      <c r="AB841" s="11" t="n">
        <f aca="false">(AA841/(K841*L841)*25)*4</f>
        <v>4</v>
      </c>
    </row>
    <row r="842" customFormat="false" ht="14.25" hidden="false" customHeight="false" outlineLevel="0" collapsed="false">
      <c r="A842" s="1" t="n">
        <v>2009</v>
      </c>
      <c r="B842" s="7" t="s">
        <v>322</v>
      </c>
      <c r="C842" s="7" t="n">
        <v>2</v>
      </c>
      <c r="D842" s="7" t="s">
        <v>293</v>
      </c>
      <c r="E842" s="7" t="s">
        <v>293</v>
      </c>
      <c r="F842" s="7" t="s">
        <v>101</v>
      </c>
      <c r="G842" s="1" t="n">
        <v>1</v>
      </c>
      <c r="H842" s="1" t="n">
        <v>2</v>
      </c>
      <c r="I842" s="10" t="n">
        <v>39970</v>
      </c>
      <c r="J842" s="10" t="n">
        <v>39975</v>
      </c>
      <c r="K842" s="1" t="n">
        <v>5</v>
      </c>
      <c r="L842" s="1" t="n">
        <v>5</v>
      </c>
      <c r="M842" s="3" t="s">
        <v>36</v>
      </c>
      <c r="N842" s="3" t="s">
        <v>131</v>
      </c>
      <c r="O842" s="3" t="s">
        <v>133</v>
      </c>
      <c r="P842" s="2" t="str">
        <f aca="false">CONCATENATE(N842," ",O842)</f>
        <v>Xysticus luctuosus</v>
      </c>
      <c r="Q842" s="1" t="s">
        <v>30</v>
      </c>
      <c r="R842" s="1" t="s">
        <v>31</v>
      </c>
      <c r="S842" s="1" t="n">
        <v>1</v>
      </c>
      <c r="T842" s="1" t="n">
        <v>0</v>
      </c>
      <c r="U842" s="1" t="n">
        <v>0</v>
      </c>
      <c r="V842" s="1" t="n">
        <v>0</v>
      </c>
      <c r="W842" s="1" t="n">
        <v>0</v>
      </c>
      <c r="X842" s="1" t="n">
        <v>0</v>
      </c>
      <c r="Y842" s="3" t="n">
        <f aca="false">SUM(S842:T842)</f>
        <v>1</v>
      </c>
      <c r="Z842" s="3" t="n">
        <f aca="false">SUM(U842:W842)</f>
        <v>0</v>
      </c>
      <c r="AA842" s="3" t="n">
        <f aca="false">SUM(S842:X842)</f>
        <v>1</v>
      </c>
      <c r="AB842" s="11" t="n">
        <f aca="false">(AA842/(K842*L842)*25)*4</f>
        <v>4</v>
      </c>
    </row>
    <row r="843" customFormat="false" ht="14.25" hidden="false" customHeight="false" outlineLevel="0" collapsed="false">
      <c r="A843" s="1" t="n">
        <v>2009</v>
      </c>
      <c r="B843" s="7" t="s">
        <v>322</v>
      </c>
      <c r="C843" s="7" t="n">
        <v>2</v>
      </c>
      <c r="D843" s="7" t="s">
        <v>293</v>
      </c>
      <c r="E843" s="7" t="s">
        <v>293</v>
      </c>
      <c r="F843" s="7" t="s">
        <v>101</v>
      </c>
      <c r="G843" s="1" t="n">
        <v>1</v>
      </c>
      <c r="H843" s="1" t="n">
        <v>2</v>
      </c>
      <c r="I843" s="10" t="n">
        <v>39970</v>
      </c>
      <c r="J843" s="10" t="n">
        <v>39975</v>
      </c>
      <c r="K843" s="1" t="n">
        <v>5</v>
      </c>
      <c r="L843" s="1" t="n">
        <v>5</v>
      </c>
      <c r="M843" s="3" t="s">
        <v>36</v>
      </c>
      <c r="N843" s="3" t="s">
        <v>131</v>
      </c>
      <c r="O843" s="3" t="s">
        <v>133</v>
      </c>
      <c r="P843" s="2" t="str">
        <f aca="false">CONCATENATE(N843," ",O843)</f>
        <v>Xysticus luctuosus</v>
      </c>
      <c r="Q843" s="1" t="s">
        <v>30</v>
      </c>
      <c r="R843" s="1" t="s">
        <v>35</v>
      </c>
      <c r="S843" s="1" t="n">
        <v>0</v>
      </c>
      <c r="T843" s="1" t="n">
        <v>1</v>
      </c>
      <c r="U843" s="1" t="n">
        <v>0</v>
      </c>
      <c r="V843" s="1" t="n">
        <v>0</v>
      </c>
      <c r="W843" s="1" t="n">
        <v>0</v>
      </c>
      <c r="X843" s="1" t="n">
        <v>0</v>
      </c>
      <c r="Y843" s="3" t="n">
        <f aca="false">SUM(S843:T843)</f>
        <v>1</v>
      </c>
      <c r="Z843" s="3" t="n">
        <f aca="false">SUM(U843:W843)</f>
        <v>0</v>
      </c>
      <c r="AA843" s="3" t="n">
        <f aca="false">SUM(S843:X843)</f>
        <v>1</v>
      </c>
      <c r="AB843" s="11" t="n">
        <f aca="false">(AA843/(K843*L843)*25)*4</f>
        <v>4</v>
      </c>
    </row>
    <row r="844" customFormat="false" ht="14.25" hidden="false" customHeight="false" outlineLevel="0" collapsed="false">
      <c r="A844" s="1" t="n">
        <v>2009</v>
      </c>
      <c r="B844" s="7" t="s">
        <v>322</v>
      </c>
      <c r="C844" s="7" t="n">
        <v>2</v>
      </c>
      <c r="D844" s="7" t="s">
        <v>293</v>
      </c>
      <c r="E844" s="7" t="s">
        <v>293</v>
      </c>
      <c r="F844" s="7" t="s">
        <v>101</v>
      </c>
      <c r="G844" s="1" t="n">
        <v>1</v>
      </c>
      <c r="H844" s="1" t="n">
        <v>3</v>
      </c>
      <c r="I844" s="10" t="n">
        <v>39970</v>
      </c>
      <c r="J844" s="10" t="n">
        <v>39975</v>
      </c>
      <c r="K844" s="1" t="n">
        <v>5</v>
      </c>
      <c r="L844" s="1" t="n">
        <v>5</v>
      </c>
      <c r="M844" s="3" t="s">
        <v>48</v>
      </c>
      <c r="N844" s="3" t="s">
        <v>49</v>
      </c>
      <c r="O844" s="3" t="s">
        <v>104</v>
      </c>
      <c r="P844" s="2" t="str">
        <f aca="false">CONCATENATE(N844," ",O844)</f>
        <v>Alopecosa taeniata</v>
      </c>
      <c r="Q844" s="1" t="s">
        <v>30</v>
      </c>
      <c r="R844" s="1" t="s">
        <v>31</v>
      </c>
      <c r="S844" s="1" t="n">
        <v>6</v>
      </c>
      <c r="T844" s="1" t="n">
        <v>0</v>
      </c>
      <c r="U844" s="1" t="n">
        <v>0</v>
      </c>
      <c r="V844" s="1" t="n">
        <v>0</v>
      </c>
      <c r="W844" s="1" t="n">
        <v>0</v>
      </c>
      <c r="X844" s="1" t="n">
        <v>0</v>
      </c>
      <c r="Y844" s="3" t="n">
        <f aca="false">SUM(S844:T844)</f>
        <v>6</v>
      </c>
      <c r="Z844" s="3" t="n">
        <f aca="false">SUM(U844:W844)</f>
        <v>0</v>
      </c>
      <c r="AA844" s="3" t="n">
        <f aca="false">SUM(S844:X844)</f>
        <v>6</v>
      </c>
      <c r="AB844" s="11" t="n">
        <f aca="false">(AA844/(K844*L844)*25)*4</f>
        <v>24</v>
      </c>
    </row>
    <row r="845" customFormat="false" ht="14.25" hidden="false" customHeight="false" outlineLevel="0" collapsed="false">
      <c r="A845" s="1" t="n">
        <v>2009</v>
      </c>
      <c r="B845" s="7" t="s">
        <v>322</v>
      </c>
      <c r="C845" s="7" t="n">
        <v>2</v>
      </c>
      <c r="D845" s="7" t="s">
        <v>293</v>
      </c>
      <c r="E845" s="7" t="s">
        <v>293</v>
      </c>
      <c r="F845" s="7" t="s">
        <v>101</v>
      </c>
      <c r="G845" s="1" t="n">
        <v>1</v>
      </c>
      <c r="H845" s="1" t="n">
        <v>3</v>
      </c>
      <c r="I845" s="10" t="n">
        <v>39970</v>
      </c>
      <c r="J845" s="10" t="n">
        <v>39975</v>
      </c>
      <c r="K845" s="1" t="n">
        <v>5</v>
      </c>
      <c r="L845" s="1" t="n">
        <v>5</v>
      </c>
      <c r="M845" s="3" t="s">
        <v>48</v>
      </c>
      <c r="N845" s="3" t="s">
        <v>49</v>
      </c>
      <c r="O845" s="3" t="s">
        <v>104</v>
      </c>
      <c r="P845" s="2" t="str">
        <f aca="false">CONCATENATE(N845," ",O845)</f>
        <v>Alopecosa taeniata</v>
      </c>
      <c r="Q845" s="1" t="s">
        <v>30</v>
      </c>
      <c r="R845" s="1" t="s">
        <v>35</v>
      </c>
      <c r="S845" s="1" t="n">
        <v>0</v>
      </c>
      <c r="T845" s="1" t="n">
        <v>2</v>
      </c>
      <c r="U845" s="1" t="n">
        <v>0</v>
      </c>
      <c r="V845" s="1" t="n">
        <v>0</v>
      </c>
      <c r="W845" s="1" t="n">
        <v>0</v>
      </c>
      <c r="X845" s="1" t="n">
        <v>0</v>
      </c>
      <c r="Y845" s="3" t="n">
        <f aca="false">SUM(S845:T845)</f>
        <v>2</v>
      </c>
      <c r="Z845" s="3" t="n">
        <f aca="false">SUM(U845:W845)</f>
        <v>0</v>
      </c>
      <c r="AA845" s="3" t="n">
        <f aca="false">SUM(S845:X845)</f>
        <v>2</v>
      </c>
      <c r="AB845" s="11" t="n">
        <f aca="false">(AA845/(K845*L845)*25)*4</f>
        <v>8</v>
      </c>
    </row>
    <row r="846" customFormat="false" ht="14.25" hidden="false" customHeight="false" outlineLevel="0" collapsed="false">
      <c r="A846" s="1" t="n">
        <v>2009</v>
      </c>
      <c r="B846" s="7" t="s">
        <v>322</v>
      </c>
      <c r="C846" s="7" t="n">
        <v>2</v>
      </c>
      <c r="D846" s="7" t="s">
        <v>293</v>
      </c>
      <c r="E846" s="7" t="s">
        <v>293</v>
      </c>
      <c r="F846" s="7" t="s">
        <v>101</v>
      </c>
      <c r="G846" s="1" t="n">
        <v>1</v>
      </c>
      <c r="H846" s="1" t="n">
        <v>3</v>
      </c>
      <c r="I846" s="10" t="n">
        <v>39970</v>
      </c>
      <c r="J846" s="10" t="n">
        <v>39975</v>
      </c>
      <c r="K846" s="1" t="n">
        <v>5</v>
      </c>
      <c r="L846" s="1" t="n">
        <v>5</v>
      </c>
      <c r="M846" s="3" t="s">
        <v>48</v>
      </c>
      <c r="N846" s="3" t="s">
        <v>49</v>
      </c>
      <c r="O846" s="3" t="s">
        <v>130</v>
      </c>
      <c r="P846" s="2" t="str">
        <f aca="false">CONCATENATE(N846," ",O846)</f>
        <v>Alopecosa aculeata</v>
      </c>
      <c r="Q846" s="1" t="s">
        <v>30</v>
      </c>
      <c r="R846" s="1" t="s">
        <v>31</v>
      </c>
      <c r="S846" s="1" t="n">
        <v>1</v>
      </c>
      <c r="T846" s="1" t="n">
        <v>0</v>
      </c>
      <c r="U846" s="1" t="n">
        <v>0</v>
      </c>
      <c r="V846" s="1" t="n">
        <v>0</v>
      </c>
      <c r="W846" s="1" t="n">
        <v>0</v>
      </c>
      <c r="X846" s="1" t="n">
        <v>0</v>
      </c>
      <c r="Y846" s="3" t="n">
        <f aca="false">SUM(S846:T846)</f>
        <v>1</v>
      </c>
      <c r="Z846" s="3" t="n">
        <f aca="false">SUM(U846:W846)</f>
        <v>0</v>
      </c>
      <c r="AA846" s="3" t="n">
        <f aca="false">SUM(S846:X846)</f>
        <v>1</v>
      </c>
      <c r="AB846" s="11" t="n">
        <f aca="false">(AA846/(K846*L846)*25)*4</f>
        <v>4</v>
      </c>
    </row>
    <row r="847" customFormat="false" ht="14.25" hidden="false" customHeight="false" outlineLevel="0" collapsed="false">
      <c r="A847" s="1" t="n">
        <v>2009</v>
      </c>
      <c r="B847" s="7" t="s">
        <v>322</v>
      </c>
      <c r="C847" s="7" t="n">
        <v>2</v>
      </c>
      <c r="D847" s="7" t="s">
        <v>293</v>
      </c>
      <c r="E847" s="7" t="s">
        <v>293</v>
      </c>
      <c r="F847" s="7" t="s">
        <v>101</v>
      </c>
      <c r="G847" s="1" t="n">
        <v>1</v>
      </c>
      <c r="H847" s="1" t="n">
        <v>3</v>
      </c>
      <c r="I847" s="10" t="n">
        <v>39970</v>
      </c>
      <c r="J847" s="10" t="n">
        <v>39975</v>
      </c>
      <c r="K847" s="1" t="n">
        <v>5</v>
      </c>
      <c r="L847" s="1" t="n">
        <v>5</v>
      </c>
      <c r="M847" s="3" t="s">
        <v>48</v>
      </c>
      <c r="N847" s="3" t="s">
        <v>67</v>
      </c>
      <c r="O847" s="3" t="s">
        <v>127</v>
      </c>
      <c r="P847" s="2" t="str">
        <f aca="false">CONCATENATE(N847," ",O847)</f>
        <v>Pardosa lugubris</v>
      </c>
      <c r="Q847" s="1" t="s">
        <v>30</v>
      </c>
      <c r="R847" s="1" t="s">
        <v>31</v>
      </c>
      <c r="S847" s="1" t="n">
        <v>2</v>
      </c>
      <c r="T847" s="1" t="n">
        <v>0</v>
      </c>
      <c r="U847" s="1" t="n">
        <v>0</v>
      </c>
      <c r="V847" s="1" t="n">
        <v>0</v>
      </c>
      <c r="W847" s="1" t="n">
        <v>0</v>
      </c>
      <c r="X847" s="1" t="n">
        <v>0</v>
      </c>
      <c r="Y847" s="3" t="n">
        <f aca="false">SUM(S847:T847)</f>
        <v>2</v>
      </c>
      <c r="Z847" s="3" t="n">
        <f aca="false">SUM(U847:W847)</f>
        <v>0</v>
      </c>
      <c r="AA847" s="3" t="n">
        <f aca="false">SUM(S847:X847)</f>
        <v>2</v>
      </c>
      <c r="AB847" s="11" t="n">
        <f aca="false">(AA847/(K847*L847)*25)*4</f>
        <v>8</v>
      </c>
    </row>
    <row r="848" customFormat="false" ht="14.25" hidden="false" customHeight="false" outlineLevel="0" collapsed="false">
      <c r="A848" s="1" t="n">
        <v>2009</v>
      </c>
      <c r="B848" s="7" t="s">
        <v>322</v>
      </c>
      <c r="C848" s="7" t="n">
        <v>2</v>
      </c>
      <c r="D848" s="7" t="s">
        <v>293</v>
      </c>
      <c r="E848" s="7" t="s">
        <v>293</v>
      </c>
      <c r="F848" s="7" t="s">
        <v>101</v>
      </c>
      <c r="G848" s="1" t="n">
        <v>1</v>
      </c>
      <c r="H848" s="1" t="n">
        <v>3</v>
      </c>
      <c r="I848" s="10" t="n">
        <v>39970</v>
      </c>
      <c r="J848" s="10" t="n">
        <v>39975</v>
      </c>
      <c r="K848" s="1" t="n">
        <v>5</v>
      </c>
      <c r="L848" s="1" t="n">
        <v>5</v>
      </c>
      <c r="M848" s="3" t="s">
        <v>32</v>
      </c>
      <c r="N848" s="3" t="s">
        <v>113</v>
      </c>
      <c r="O848" s="8" t="s">
        <v>114</v>
      </c>
      <c r="P848" s="2" t="str">
        <f aca="false">CONCATENATE(N848," ",O848)</f>
        <v>Ceratinella brevipes</v>
      </c>
      <c r="Q848" s="1" t="s">
        <v>30</v>
      </c>
      <c r="R848" s="1" t="s">
        <v>35</v>
      </c>
      <c r="S848" s="1" t="n">
        <v>0</v>
      </c>
      <c r="T848" s="1" t="n">
        <v>1</v>
      </c>
      <c r="U848" s="1" t="n">
        <v>0</v>
      </c>
      <c r="V848" s="1" t="n">
        <v>0</v>
      </c>
      <c r="W848" s="1" t="n">
        <v>0</v>
      </c>
      <c r="X848" s="1" t="n">
        <v>0</v>
      </c>
      <c r="Y848" s="3" t="n">
        <f aca="false">SUM(S848:T848)</f>
        <v>1</v>
      </c>
      <c r="Z848" s="3" t="n">
        <f aca="false">SUM(U848:W848)</f>
        <v>0</v>
      </c>
      <c r="AA848" s="3" t="n">
        <f aca="false">SUM(S848:X848)</f>
        <v>1</v>
      </c>
      <c r="AB848" s="11" t="n">
        <f aca="false">(AA848/(K848*L848)*25)*4</f>
        <v>4</v>
      </c>
    </row>
    <row r="849" customFormat="false" ht="14.25" hidden="false" customHeight="false" outlineLevel="0" collapsed="false">
      <c r="A849" s="1" t="n">
        <v>2009</v>
      </c>
      <c r="B849" s="7" t="s">
        <v>322</v>
      </c>
      <c r="C849" s="7" t="n">
        <v>2</v>
      </c>
      <c r="D849" s="7" t="s">
        <v>293</v>
      </c>
      <c r="E849" s="7" t="s">
        <v>293</v>
      </c>
      <c r="F849" s="7" t="s">
        <v>101</v>
      </c>
      <c r="G849" s="1" t="n">
        <v>1</v>
      </c>
      <c r="H849" s="1" t="n">
        <v>4</v>
      </c>
      <c r="I849" s="10" t="n">
        <v>39970</v>
      </c>
      <c r="J849" s="10" t="n">
        <v>39975</v>
      </c>
      <c r="K849" s="1" t="n">
        <v>5</v>
      </c>
      <c r="L849" s="1" t="n">
        <v>5</v>
      </c>
      <c r="M849" s="3" t="s">
        <v>48</v>
      </c>
      <c r="N849" s="3" t="s">
        <v>49</v>
      </c>
      <c r="O849" s="3" t="s">
        <v>104</v>
      </c>
      <c r="P849" s="2" t="str">
        <f aca="false">CONCATENATE(N849," ",O849)</f>
        <v>Alopecosa taeniata</v>
      </c>
      <c r="Q849" s="1" t="s">
        <v>30</v>
      </c>
      <c r="R849" s="1" t="s">
        <v>31</v>
      </c>
      <c r="S849" s="1" t="n">
        <v>13</v>
      </c>
      <c r="T849" s="1" t="n">
        <v>0</v>
      </c>
      <c r="U849" s="1" t="n">
        <v>0</v>
      </c>
      <c r="V849" s="1" t="n">
        <v>0</v>
      </c>
      <c r="W849" s="1" t="n">
        <v>0</v>
      </c>
      <c r="X849" s="1" t="n">
        <v>0</v>
      </c>
      <c r="Y849" s="3" t="n">
        <f aca="false">SUM(S849:T849)</f>
        <v>13</v>
      </c>
      <c r="Z849" s="3" t="n">
        <f aca="false">SUM(U849:W849)</f>
        <v>0</v>
      </c>
      <c r="AA849" s="3" t="n">
        <f aca="false">SUM(S849:X849)</f>
        <v>13</v>
      </c>
      <c r="AB849" s="11" t="n">
        <f aca="false">(AA849/(K849*L849)*25)*4</f>
        <v>52</v>
      </c>
    </row>
    <row r="850" customFormat="false" ht="14.25" hidden="false" customHeight="false" outlineLevel="0" collapsed="false">
      <c r="A850" s="1" t="n">
        <v>2009</v>
      </c>
      <c r="B850" s="7" t="s">
        <v>322</v>
      </c>
      <c r="C850" s="7" t="n">
        <v>2</v>
      </c>
      <c r="D850" s="7" t="s">
        <v>293</v>
      </c>
      <c r="E850" s="7" t="s">
        <v>293</v>
      </c>
      <c r="F850" s="7" t="s">
        <v>101</v>
      </c>
      <c r="G850" s="1" t="n">
        <v>1</v>
      </c>
      <c r="H850" s="1" t="n">
        <v>4</v>
      </c>
      <c r="I850" s="10" t="n">
        <v>39970</v>
      </c>
      <c r="J850" s="10" t="n">
        <v>39975</v>
      </c>
      <c r="K850" s="1" t="n">
        <v>5</v>
      </c>
      <c r="L850" s="1" t="n">
        <v>5</v>
      </c>
      <c r="M850" s="3" t="s">
        <v>48</v>
      </c>
      <c r="N850" s="3" t="s">
        <v>49</v>
      </c>
      <c r="O850" s="3" t="s">
        <v>104</v>
      </c>
      <c r="P850" s="2" t="str">
        <f aca="false">CONCATENATE(N850," ",O850)</f>
        <v>Alopecosa taeniata</v>
      </c>
      <c r="Q850" s="1" t="s">
        <v>30</v>
      </c>
      <c r="R850" s="1" t="s">
        <v>35</v>
      </c>
      <c r="S850" s="1" t="n">
        <v>0</v>
      </c>
      <c r="T850" s="1" t="n">
        <v>3</v>
      </c>
      <c r="U850" s="1" t="n">
        <v>0</v>
      </c>
      <c r="V850" s="1" t="n">
        <v>0</v>
      </c>
      <c r="W850" s="1" t="n">
        <v>0</v>
      </c>
      <c r="X850" s="1" t="n">
        <v>0</v>
      </c>
      <c r="Y850" s="3" t="n">
        <f aca="false">SUM(S850:T850)</f>
        <v>3</v>
      </c>
      <c r="Z850" s="3" t="n">
        <f aca="false">SUM(U850:W850)</f>
        <v>0</v>
      </c>
      <c r="AA850" s="3" t="n">
        <f aca="false">SUM(S850:X850)</f>
        <v>3</v>
      </c>
      <c r="AB850" s="11" t="n">
        <f aca="false">(AA850/(K850*L850)*25)*4</f>
        <v>12</v>
      </c>
    </row>
    <row r="851" customFormat="false" ht="14.25" hidden="false" customHeight="false" outlineLevel="0" collapsed="false">
      <c r="A851" s="1" t="n">
        <v>2009</v>
      </c>
      <c r="B851" s="7" t="s">
        <v>322</v>
      </c>
      <c r="C851" s="7" t="n">
        <v>2</v>
      </c>
      <c r="D851" s="7" t="s">
        <v>293</v>
      </c>
      <c r="E851" s="7" t="s">
        <v>293</v>
      </c>
      <c r="F851" s="7" t="s">
        <v>101</v>
      </c>
      <c r="G851" s="1" t="n">
        <v>1</v>
      </c>
      <c r="H851" s="1" t="n">
        <v>4</v>
      </c>
      <c r="I851" s="10" t="n">
        <v>39970</v>
      </c>
      <c r="J851" s="10" t="n">
        <v>39975</v>
      </c>
      <c r="K851" s="1" t="n">
        <v>5</v>
      </c>
      <c r="L851" s="1" t="n">
        <v>5</v>
      </c>
      <c r="M851" s="3" t="s">
        <v>48</v>
      </c>
      <c r="N851" s="3" t="s">
        <v>49</v>
      </c>
      <c r="O851" s="3" t="s">
        <v>130</v>
      </c>
      <c r="P851" s="2" t="str">
        <f aca="false">CONCATENATE(N851," ",O851)</f>
        <v>Alopecosa aculeata</v>
      </c>
      <c r="Q851" s="1" t="s">
        <v>30</v>
      </c>
      <c r="R851" s="1" t="s">
        <v>31</v>
      </c>
      <c r="S851" s="1" t="n">
        <v>1</v>
      </c>
      <c r="T851" s="1" t="n">
        <v>0</v>
      </c>
      <c r="U851" s="1" t="n">
        <v>0</v>
      </c>
      <c r="V851" s="1" t="n">
        <v>0</v>
      </c>
      <c r="W851" s="1" t="n">
        <v>0</v>
      </c>
      <c r="X851" s="1" t="n">
        <v>0</v>
      </c>
      <c r="Y851" s="3" t="n">
        <f aca="false">SUM(S851:T851)</f>
        <v>1</v>
      </c>
      <c r="Z851" s="3" t="n">
        <f aca="false">SUM(U851:W851)</f>
        <v>0</v>
      </c>
      <c r="AA851" s="3" t="n">
        <f aca="false">SUM(S851:X851)</f>
        <v>1</v>
      </c>
      <c r="AB851" s="11" t="n">
        <f aca="false">(AA851/(K851*L851)*25)*4</f>
        <v>4</v>
      </c>
    </row>
    <row r="852" customFormat="false" ht="14.25" hidden="false" customHeight="false" outlineLevel="0" collapsed="false">
      <c r="A852" s="1" t="n">
        <v>2009</v>
      </c>
      <c r="B852" s="7" t="s">
        <v>322</v>
      </c>
      <c r="C852" s="7" t="n">
        <v>2</v>
      </c>
      <c r="D852" s="7" t="s">
        <v>293</v>
      </c>
      <c r="E852" s="7" t="s">
        <v>293</v>
      </c>
      <c r="F852" s="7" t="s">
        <v>101</v>
      </c>
      <c r="G852" s="1" t="n">
        <v>1</v>
      </c>
      <c r="H852" s="1" t="n">
        <v>4</v>
      </c>
      <c r="I852" s="10" t="n">
        <v>39970</v>
      </c>
      <c r="J852" s="10" t="n">
        <v>39975</v>
      </c>
      <c r="K852" s="1" t="n">
        <v>5</v>
      </c>
      <c r="L852" s="1" t="n">
        <v>5</v>
      </c>
      <c r="M852" s="3" t="s">
        <v>48</v>
      </c>
      <c r="N852" s="3" t="s">
        <v>67</v>
      </c>
      <c r="O852" s="3" t="s">
        <v>127</v>
      </c>
      <c r="P852" s="2" t="str">
        <f aca="false">CONCATENATE(N852," ",O852)</f>
        <v>Pardosa lugubris</v>
      </c>
      <c r="Q852" s="1" t="s">
        <v>30</v>
      </c>
      <c r="R852" s="1" t="s">
        <v>31</v>
      </c>
      <c r="S852" s="1" t="n">
        <v>1</v>
      </c>
      <c r="T852" s="1" t="n">
        <v>0</v>
      </c>
      <c r="U852" s="1" t="n">
        <v>0</v>
      </c>
      <c r="V852" s="1" t="n">
        <v>0</v>
      </c>
      <c r="W852" s="1" t="n">
        <v>0</v>
      </c>
      <c r="X852" s="1" t="n">
        <v>0</v>
      </c>
      <c r="Y852" s="3" t="n">
        <f aca="false">SUM(S852:T852)</f>
        <v>1</v>
      </c>
      <c r="Z852" s="3" t="n">
        <f aca="false">SUM(U852:W852)</f>
        <v>0</v>
      </c>
      <c r="AA852" s="3" t="n">
        <f aca="false">SUM(S852:X852)</f>
        <v>1</v>
      </c>
      <c r="AB852" s="11" t="n">
        <f aca="false">(AA852/(K852*L852)*25)*4</f>
        <v>4</v>
      </c>
    </row>
    <row r="853" customFormat="false" ht="14.25" hidden="false" customHeight="false" outlineLevel="0" collapsed="false">
      <c r="A853" s="1" t="n">
        <v>2009</v>
      </c>
      <c r="B853" s="7" t="s">
        <v>322</v>
      </c>
      <c r="C853" s="7" t="n">
        <v>2</v>
      </c>
      <c r="D853" s="7" t="s">
        <v>293</v>
      </c>
      <c r="E853" s="7" t="s">
        <v>293</v>
      </c>
      <c r="F853" s="7" t="s">
        <v>101</v>
      </c>
      <c r="G853" s="1" t="n">
        <v>1</v>
      </c>
      <c r="H853" s="1" t="n">
        <v>4</v>
      </c>
      <c r="I853" s="10" t="n">
        <v>39970</v>
      </c>
      <c r="J853" s="10" t="n">
        <v>39975</v>
      </c>
      <c r="K853" s="1" t="n">
        <v>5</v>
      </c>
      <c r="L853" s="1" t="n">
        <v>5</v>
      </c>
      <c r="M853" s="3" t="s">
        <v>36</v>
      </c>
      <c r="N853" s="3" t="s">
        <v>131</v>
      </c>
      <c r="O853" s="3" t="s">
        <v>133</v>
      </c>
      <c r="P853" s="2" t="str">
        <f aca="false">CONCATENATE(N853," ",O853)</f>
        <v>Xysticus luctuosus</v>
      </c>
      <c r="Q853" s="1" t="s">
        <v>30</v>
      </c>
      <c r="R853" s="1" t="s">
        <v>31</v>
      </c>
      <c r="S853" s="1" t="n">
        <v>2</v>
      </c>
      <c r="T853" s="1" t="n">
        <v>0</v>
      </c>
      <c r="U853" s="1" t="n">
        <v>0</v>
      </c>
      <c r="V853" s="1" t="n">
        <v>0</v>
      </c>
      <c r="W853" s="1" t="n">
        <v>0</v>
      </c>
      <c r="X853" s="1" t="n">
        <v>0</v>
      </c>
      <c r="Y853" s="3" t="n">
        <f aca="false">SUM(S853:T853)</f>
        <v>2</v>
      </c>
      <c r="Z853" s="3" t="n">
        <f aca="false">SUM(U853:W853)</f>
        <v>0</v>
      </c>
      <c r="AA853" s="3" t="n">
        <f aca="false">SUM(S853:X853)</f>
        <v>2</v>
      </c>
      <c r="AB853" s="11" t="n">
        <f aca="false">(AA853/(K853*L853)*25)*4</f>
        <v>8</v>
      </c>
    </row>
    <row r="854" customFormat="false" ht="14.25" hidden="false" customHeight="false" outlineLevel="0" collapsed="false">
      <c r="A854" s="1" t="n">
        <v>2009</v>
      </c>
      <c r="B854" s="7" t="s">
        <v>322</v>
      </c>
      <c r="C854" s="7" t="n">
        <v>2</v>
      </c>
      <c r="D854" s="7" t="s">
        <v>293</v>
      </c>
      <c r="E854" s="7" t="s">
        <v>293</v>
      </c>
      <c r="F854" s="7" t="s">
        <v>101</v>
      </c>
      <c r="G854" s="1" t="n">
        <v>1</v>
      </c>
      <c r="H854" s="1" t="n">
        <v>5</v>
      </c>
      <c r="I854" s="10" t="n">
        <v>39970</v>
      </c>
      <c r="J854" s="10" t="n">
        <v>39975</v>
      </c>
      <c r="K854" s="1" t="n">
        <v>5</v>
      </c>
      <c r="L854" s="1" t="n">
        <v>5</v>
      </c>
      <c r="M854" s="3" t="s">
        <v>48</v>
      </c>
      <c r="N854" s="3" t="s">
        <v>49</v>
      </c>
      <c r="O854" s="3" t="s">
        <v>104</v>
      </c>
      <c r="P854" s="2" t="str">
        <f aca="false">CONCATENATE(N854," ",O854)</f>
        <v>Alopecosa taeniata</v>
      </c>
      <c r="Q854" s="1" t="s">
        <v>30</v>
      </c>
      <c r="R854" s="1" t="s">
        <v>31</v>
      </c>
      <c r="S854" s="1" t="n">
        <v>8</v>
      </c>
      <c r="T854" s="1" t="n">
        <v>0</v>
      </c>
      <c r="U854" s="1" t="n">
        <v>0</v>
      </c>
      <c r="V854" s="1" t="n">
        <v>0</v>
      </c>
      <c r="W854" s="1" t="n">
        <v>0</v>
      </c>
      <c r="X854" s="1" t="n">
        <v>0</v>
      </c>
      <c r="Y854" s="3" t="n">
        <f aca="false">SUM(S854:T854)</f>
        <v>8</v>
      </c>
      <c r="Z854" s="3" t="n">
        <f aca="false">SUM(U854:W854)</f>
        <v>0</v>
      </c>
      <c r="AA854" s="3" t="n">
        <f aca="false">SUM(S854:X854)</f>
        <v>8</v>
      </c>
      <c r="AB854" s="11" t="n">
        <f aca="false">(AA854/(K854*L854)*25)*4</f>
        <v>32</v>
      </c>
    </row>
    <row r="855" customFormat="false" ht="14.25" hidden="false" customHeight="false" outlineLevel="0" collapsed="false">
      <c r="A855" s="1" t="n">
        <v>2009</v>
      </c>
      <c r="B855" s="7" t="s">
        <v>322</v>
      </c>
      <c r="C855" s="7" t="n">
        <v>2</v>
      </c>
      <c r="D855" s="7" t="s">
        <v>293</v>
      </c>
      <c r="E855" s="7" t="s">
        <v>293</v>
      </c>
      <c r="F855" s="7" t="s">
        <v>101</v>
      </c>
      <c r="G855" s="1" t="n">
        <v>1</v>
      </c>
      <c r="H855" s="1" t="n">
        <v>5</v>
      </c>
      <c r="I855" s="10" t="n">
        <v>39970</v>
      </c>
      <c r="J855" s="10" t="n">
        <v>39975</v>
      </c>
      <c r="K855" s="1" t="n">
        <v>5</v>
      </c>
      <c r="L855" s="1" t="n">
        <v>5</v>
      </c>
      <c r="M855" s="3" t="s">
        <v>48</v>
      </c>
      <c r="N855" s="3" t="s">
        <v>49</v>
      </c>
      <c r="O855" s="3" t="s">
        <v>104</v>
      </c>
      <c r="P855" s="2" t="str">
        <f aca="false">CONCATENATE(N855," ",O855)</f>
        <v>Alopecosa taeniata</v>
      </c>
      <c r="Q855" s="1" t="s">
        <v>30</v>
      </c>
      <c r="R855" s="1" t="s">
        <v>35</v>
      </c>
      <c r="S855" s="1" t="n">
        <v>0</v>
      </c>
      <c r="T855" s="1" t="n">
        <v>2</v>
      </c>
      <c r="U855" s="1" t="n">
        <v>0</v>
      </c>
      <c r="V855" s="1" t="n">
        <v>0</v>
      </c>
      <c r="W855" s="1" t="n">
        <v>0</v>
      </c>
      <c r="X855" s="1" t="n">
        <v>0</v>
      </c>
      <c r="Y855" s="3" t="n">
        <f aca="false">SUM(S855:T855)</f>
        <v>2</v>
      </c>
      <c r="Z855" s="3" t="n">
        <f aca="false">SUM(U855:W855)</f>
        <v>0</v>
      </c>
      <c r="AA855" s="3" t="n">
        <f aca="false">SUM(S855:X855)</f>
        <v>2</v>
      </c>
      <c r="AB855" s="11" t="n">
        <f aca="false">(AA855/(K855*L855)*25)*4</f>
        <v>8</v>
      </c>
    </row>
    <row r="856" customFormat="false" ht="14.25" hidden="false" customHeight="false" outlineLevel="0" collapsed="false">
      <c r="A856" s="1" t="n">
        <v>2009</v>
      </c>
      <c r="B856" s="7" t="s">
        <v>322</v>
      </c>
      <c r="C856" s="7" t="n">
        <v>2</v>
      </c>
      <c r="D856" s="7" t="s">
        <v>293</v>
      </c>
      <c r="E856" s="7" t="s">
        <v>293</v>
      </c>
      <c r="F856" s="7" t="s">
        <v>101</v>
      </c>
      <c r="G856" s="1" t="n">
        <v>1</v>
      </c>
      <c r="H856" s="1" t="n">
        <v>5</v>
      </c>
      <c r="I856" s="10" t="n">
        <v>39970</v>
      </c>
      <c r="J856" s="10" t="n">
        <v>39975</v>
      </c>
      <c r="K856" s="1" t="n">
        <v>5</v>
      </c>
      <c r="L856" s="1" t="n">
        <v>5</v>
      </c>
      <c r="M856" s="3" t="s">
        <v>48</v>
      </c>
      <c r="N856" s="3" t="s">
        <v>49</v>
      </c>
      <c r="O856" s="3" t="s">
        <v>130</v>
      </c>
      <c r="P856" s="2" t="str">
        <f aca="false">CONCATENATE(N856," ",O856)</f>
        <v>Alopecosa aculeata</v>
      </c>
      <c r="Q856" s="1" t="s">
        <v>30</v>
      </c>
      <c r="R856" s="1" t="s">
        <v>31</v>
      </c>
      <c r="S856" s="1" t="n">
        <v>1</v>
      </c>
      <c r="T856" s="1" t="n">
        <v>0</v>
      </c>
      <c r="U856" s="1" t="n">
        <v>0</v>
      </c>
      <c r="V856" s="1" t="n">
        <v>0</v>
      </c>
      <c r="W856" s="1" t="n">
        <v>0</v>
      </c>
      <c r="X856" s="1" t="n">
        <v>0</v>
      </c>
      <c r="Y856" s="3" t="n">
        <f aca="false">SUM(S856:T856)</f>
        <v>1</v>
      </c>
      <c r="Z856" s="3" t="n">
        <f aca="false">SUM(U856:W856)</f>
        <v>0</v>
      </c>
      <c r="AA856" s="3" t="n">
        <f aca="false">SUM(S856:X856)</f>
        <v>1</v>
      </c>
      <c r="AB856" s="11" t="n">
        <f aca="false">(AA856/(K856*L856)*25)*4</f>
        <v>4</v>
      </c>
    </row>
    <row r="857" customFormat="false" ht="14.25" hidden="false" customHeight="false" outlineLevel="0" collapsed="false">
      <c r="A857" s="1" t="n">
        <v>2009</v>
      </c>
      <c r="B857" s="7" t="s">
        <v>322</v>
      </c>
      <c r="C857" s="7" t="n">
        <v>2</v>
      </c>
      <c r="D857" s="7" t="s">
        <v>293</v>
      </c>
      <c r="E857" s="7" t="s">
        <v>293</v>
      </c>
      <c r="F857" s="7" t="s">
        <v>101</v>
      </c>
      <c r="G857" s="1" t="n">
        <v>1</v>
      </c>
      <c r="H857" s="1" t="n">
        <v>5</v>
      </c>
      <c r="I857" s="10" t="n">
        <v>39970</v>
      </c>
      <c r="J857" s="10" t="n">
        <v>39975</v>
      </c>
      <c r="K857" s="1" t="n">
        <v>5</v>
      </c>
      <c r="L857" s="1" t="n">
        <v>5</v>
      </c>
      <c r="M857" s="3" t="s">
        <v>72</v>
      </c>
      <c r="N857" s="3" t="s">
        <v>86</v>
      </c>
      <c r="O857" s="8" t="s">
        <v>87</v>
      </c>
      <c r="P857" s="2" t="str">
        <f aca="false">CONCATENATE(N857," ",O857)</f>
        <v>Haplodrassus soerenseni</v>
      </c>
      <c r="Q857" s="1" t="s">
        <v>30</v>
      </c>
      <c r="R857" s="1" t="s">
        <v>31</v>
      </c>
      <c r="S857" s="1" t="n">
        <v>1</v>
      </c>
      <c r="T857" s="1" t="n">
        <v>0</v>
      </c>
      <c r="U857" s="1" t="n">
        <v>0</v>
      </c>
      <c r="V857" s="1" t="n">
        <v>0</v>
      </c>
      <c r="W857" s="1" t="n">
        <v>0</v>
      </c>
      <c r="X857" s="1" t="n">
        <v>0</v>
      </c>
      <c r="Y857" s="3" t="n">
        <f aca="false">SUM(S857:T857)</f>
        <v>1</v>
      </c>
      <c r="Z857" s="3" t="n">
        <f aca="false">SUM(U857:W857)</f>
        <v>0</v>
      </c>
      <c r="AA857" s="3" t="n">
        <f aca="false">SUM(S857:X857)</f>
        <v>1</v>
      </c>
      <c r="AB857" s="11" t="n">
        <f aca="false">(AA857/(K857*L857)*25)*4</f>
        <v>4</v>
      </c>
    </row>
    <row r="858" customFormat="false" ht="14.25" hidden="false" customHeight="false" outlineLevel="0" collapsed="false">
      <c r="A858" s="1" t="n">
        <v>2009</v>
      </c>
      <c r="B858" s="7" t="s">
        <v>322</v>
      </c>
      <c r="C858" s="7" t="n">
        <v>2</v>
      </c>
      <c r="D858" s="7" t="s">
        <v>293</v>
      </c>
      <c r="E858" s="7" t="s">
        <v>293</v>
      </c>
      <c r="F858" s="7" t="s">
        <v>101</v>
      </c>
      <c r="G858" s="1" t="n">
        <v>1</v>
      </c>
      <c r="H858" s="1" t="n">
        <v>5</v>
      </c>
      <c r="I858" s="10" t="n">
        <v>39970</v>
      </c>
      <c r="J858" s="10" t="n">
        <v>39975</v>
      </c>
      <c r="K858" s="1" t="n">
        <v>5</v>
      </c>
      <c r="L858" s="1" t="n">
        <v>5</v>
      </c>
      <c r="M858" s="3" t="s">
        <v>72</v>
      </c>
      <c r="N858" s="3" t="s">
        <v>73</v>
      </c>
      <c r="O858" s="3" t="s">
        <v>74</v>
      </c>
      <c r="P858" s="2" t="str">
        <f aca="false">CONCATENATE(N858," ",O858)</f>
        <v>Zelotes subterraneus</v>
      </c>
      <c r="Q858" s="1" t="s">
        <v>30</v>
      </c>
      <c r="R858" s="1" t="s">
        <v>31</v>
      </c>
      <c r="S858" s="1" t="n">
        <v>1</v>
      </c>
      <c r="T858" s="1" t="n">
        <v>0</v>
      </c>
      <c r="U858" s="1" t="n">
        <v>0</v>
      </c>
      <c r="V858" s="1" t="n">
        <v>0</v>
      </c>
      <c r="W858" s="1" t="n">
        <v>0</v>
      </c>
      <c r="X858" s="1" t="n">
        <v>0</v>
      </c>
      <c r="Y858" s="3" t="n">
        <f aca="false">SUM(S858:T858)</f>
        <v>1</v>
      </c>
      <c r="Z858" s="3" t="n">
        <f aca="false">SUM(U858:W858)</f>
        <v>0</v>
      </c>
      <c r="AA858" s="3" t="n">
        <f aca="false">SUM(S858:X858)</f>
        <v>1</v>
      </c>
      <c r="AB858" s="11" t="n">
        <f aca="false">(AA858/(K858*L858)*25)*4</f>
        <v>4</v>
      </c>
    </row>
    <row r="859" customFormat="false" ht="14.25" hidden="false" customHeight="false" outlineLevel="0" collapsed="false">
      <c r="A859" s="1" t="n">
        <v>2009</v>
      </c>
      <c r="B859" s="7" t="s">
        <v>322</v>
      </c>
      <c r="C859" s="7" t="n">
        <v>2</v>
      </c>
      <c r="D859" s="7" t="s">
        <v>293</v>
      </c>
      <c r="E859" s="7" t="s">
        <v>293</v>
      </c>
      <c r="F859" s="7" t="s">
        <v>101</v>
      </c>
      <c r="G859" s="1" t="n">
        <v>1</v>
      </c>
      <c r="H859" s="1" t="n">
        <v>5</v>
      </c>
      <c r="I859" s="10" t="n">
        <v>39970</v>
      </c>
      <c r="J859" s="10" t="n">
        <v>39975</v>
      </c>
      <c r="K859" s="1" t="n">
        <v>5</v>
      </c>
      <c r="L859" s="1" t="n">
        <v>5</v>
      </c>
      <c r="M859" s="13" t="s">
        <v>36</v>
      </c>
      <c r="N859" s="13" t="s">
        <v>37</v>
      </c>
      <c r="O859" s="14" t="s">
        <v>109</v>
      </c>
      <c r="P859" s="2" t="str">
        <f aca="false">CONCATENATE(N859," ",O859)</f>
        <v>Ozyptila trux</v>
      </c>
      <c r="Q859" s="1" t="s">
        <v>30</v>
      </c>
      <c r="R859" s="1" t="s">
        <v>35</v>
      </c>
      <c r="S859" s="1" t="n">
        <v>0</v>
      </c>
      <c r="T859" s="1" t="n">
        <v>1</v>
      </c>
      <c r="U859" s="1" t="n">
        <v>0</v>
      </c>
      <c r="V859" s="1" t="n">
        <v>0</v>
      </c>
      <c r="W859" s="1" t="n">
        <v>0</v>
      </c>
      <c r="X859" s="1" t="n">
        <v>0</v>
      </c>
      <c r="Y859" s="3" t="n">
        <f aca="false">SUM(S859:T859)</f>
        <v>1</v>
      </c>
      <c r="Z859" s="3" t="n">
        <f aca="false">SUM(U859:W859)</f>
        <v>0</v>
      </c>
      <c r="AA859" s="3" t="n">
        <f aca="false">SUM(S859:X859)</f>
        <v>1</v>
      </c>
      <c r="AB859" s="11" t="n">
        <f aca="false">(AA859/(K859*L859)*25)*4</f>
        <v>4</v>
      </c>
    </row>
    <row r="860" customFormat="false" ht="14.25" hidden="false" customHeight="false" outlineLevel="0" collapsed="false">
      <c r="A860" s="1" t="n">
        <v>2009</v>
      </c>
      <c r="B860" s="7" t="s">
        <v>322</v>
      </c>
      <c r="C860" s="7" t="n">
        <v>2</v>
      </c>
      <c r="D860" s="7" t="s">
        <v>293</v>
      </c>
      <c r="E860" s="7" t="s">
        <v>293</v>
      </c>
      <c r="F860" s="7" t="s">
        <v>101</v>
      </c>
      <c r="G860" s="1" t="n">
        <v>2</v>
      </c>
      <c r="H860" s="1" t="n">
        <v>6</v>
      </c>
      <c r="I860" s="10" t="n">
        <v>39970</v>
      </c>
      <c r="J860" s="10" t="n">
        <v>39975</v>
      </c>
      <c r="K860" s="1" t="n">
        <v>5</v>
      </c>
      <c r="L860" s="1" t="n">
        <v>5</v>
      </c>
      <c r="M860" s="3" t="s">
        <v>48</v>
      </c>
      <c r="N860" s="3" t="s">
        <v>49</v>
      </c>
      <c r="O860" s="3" t="s">
        <v>104</v>
      </c>
      <c r="P860" s="2" t="str">
        <f aca="false">CONCATENATE(N860," ",O860)</f>
        <v>Alopecosa taeniata</v>
      </c>
      <c r="Q860" s="1" t="s">
        <v>30</v>
      </c>
      <c r="R860" s="1" t="s">
        <v>31</v>
      </c>
      <c r="S860" s="1" t="n">
        <v>4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0</v>
      </c>
      <c r="Y860" s="3" t="n">
        <f aca="false">SUM(S860:T860)</f>
        <v>4</v>
      </c>
      <c r="Z860" s="3" t="n">
        <f aca="false">SUM(U860:W860)</f>
        <v>0</v>
      </c>
      <c r="AA860" s="3" t="n">
        <f aca="false">SUM(S860:X860)</f>
        <v>4</v>
      </c>
      <c r="AB860" s="11" t="n">
        <f aca="false">(AA860/(K860*L860)*25)*4</f>
        <v>16</v>
      </c>
    </row>
    <row r="861" customFormat="false" ht="14.25" hidden="false" customHeight="false" outlineLevel="0" collapsed="false">
      <c r="A861" s="1" t="n">
        <v>2009</v>
      </c>
      <c r="B861" s="7" t="s">
        <v>322</v>
      </c>
      <c r="C861" s="7" t="n">
        <v>2</v>
      </c>
      <c r="D861" s="7" t="s">
        <v>293</v>
      </c>
      <c r="E861" s="7" t="s">
        <v>293</v>
      </c>
      <c r="F861" s="7" t="s">
        <v>101</v>
      </c>
      <c r="G861" s="1" t="n">
        <v>2</v>
      </c>
      <c r="H861" s="1" t="n">
        <v>6</v>
      </c>
      <c r="I861" s="10" t="n">
        <v>39970</v>
      </c>
      <c r="J861" s="10" t="n">
        <v>39975</v>
      </c>
      <c r="K861" s="1" t="n">
        <v>5</v>
      </c>
      <c r="L861" s="1" t="n">
        <v>5</v>
      </c>
      <c r="M861" s="3" t="s">
        <v>48</v>
      </c>
      <c r="N861" s="3" t="s">
        <v>49</v>
      </c>
      <c r="O861" s="3" t="s">
        <v>104</v>
      </c>
      <c r="P861" s="2" t="str">
        <f aca="false">CONCATENATE(N861," ",O861)</f>
        <v>Alopecosa taeniata</v>
      </c>
      <c r="Q861" s="1" t="s">
        <v>30</v>
      </c>
      <c r="R861" s="1" t="s">
        <v>35</v>
      </c>
      <c r="S861" s="1" t="n">
        <v>0</v>
      </c>
      <c r="T861" s="1" t="n">
        <v>3</v>
      </c>
      <c r="U861" s="1" t="n">
        <v>0</v>
      </c>
      <c r="V861" s="1" t="n">
        <v>0</v>
      </c>
      <c r="W861" s="1" t="n">
        <v>0</v>
      </c>
      <c r="X861" s="1" t="n">
        <v>0</v>
      </c>
      <c r="Y861" s="3" t="n">
        <f aca="false">SUM(S861:T861)</f>
        <v>3</v>
      </c>
      <c r="Z861" s="3" t="n">
        <f aca="false">SUM(U861:W861)</f>
        <v>0</v>
      </c>
      <c r="AA861" s="3" t="n">
        <f aca="false">SUM(S861:X861)</f>
        <v>3</v>
      </c>
      <c r="AB861" s="11" t="n">
        <f aca="false">(AA861/(K861*L861)*25)*4</f>
        <v>12</v>
      </c>
    </row>
    <row r="862" customFormat="false" ht="14.25" hidden="false" customHeight="false" outlineLevel="0" collapsed="false">
      <c r="A862" s="1" t="n">
        <v>2009</v>
      </c>
      <c r="B862" s="7" t="s">
        <v>322</v>
      </c>
      <c r="C862" s="7" t="n">
        <v>2</v>
      </c>
      <c r="D862" s="7" t="s">
        <v>293</v>
      </c>
      <c r="E862" s="7" t="s">
        <v>293</v>
      </c>
      <c r="F862" s="7" t="s">
        <v>101</v>
      </c>
      <c r="G862" s="1" t="n">
        <v>2</v>
      </c>
      <c r="H862" s="1" t="n">
        <v>6</v>
      </c>
      <c r="I862" s="10" t="n">
        <v>39970</v>
      </c>
      <c r="J862" s="10" t="n">
        <v>39975</v>
      </c>
      <c r="K862" s="1" t="n">
        <v>5</v>
      </c>
      <c r="L862" s="1" t="n">
        <v>5</v>
      </c>
      <c r="M862" s="3" t="s">
        <v>48</v>
      </c>
      <c r="N862" s="3" t="s">
        <v>49</v>
      </c>
      <c r="O862" s="3" t="s">
        <v>130</v>
      </c>
      <c r="P862" s="2" t="str">
        <f aca="false">CONCATENATE(N862," ",O862)</f>
        <v>Alopecosa aculeata</v>
      </c>
      <c r="Q862" s="1" t="s">
        <v>30</v>
      </c>
      <c r="R862" s="1" t="s">
        <v>31</v>
      </c>
      <c r="S862" s="1" t="n">
        <v>1</v>
      </c>
      <c r="T862" s="1" t="n">
        <v>0</v>
      </c>
      <c r="U862" s="1" t="n">
        <v>0</v>
      </c>
      <c r="V862" s="1" t="n">
        <v>0</v>
      </c>
      <c r="W862" s="1" t="n">
        <v>0</v>
      </c>
      <c r="X862" s="1" t="n">
        <v>0</v>
      </c>
      <c r="Y862" s="3" t="n">
        <f aca="false">SUM(S862:T862)</f>
        <v>1</v>
      </c>
      <c r="Z862" s="3" t="n">
        <f aca="false">SUM(U862:W862)</f>
        <v>0</v>
      </c>
      <c r="AA862" s="3" t="n">
        <f aca="false">SUM(S862:X862)</f>
        <v>1</v>
      </c>
      <c r="AB862" s="11" t="n">
        <f aca="false">(AA862/(K862*L862)*25)*4</f>
        <v>4</v>
      </c>
    </row>
    <row r="863" customFormat="false" ht="14.25" hidden="false" customHeight="false" outlineLevel="0" collapsed="false">
      <c r="A863" s="1" t="n">
        <v>2009</v>
      </c>
      <c r="B863" s="7" t="s">
        <v>322</v>
      </c>
      <c r="C863" s="7" t="n">
        <v>2</v>
      </c>
      <c r="D863" s="7" t="s">
        <v>293</v>
      </c>
      <c r="E863" s="7" t="s">
        <v>293</v>
      </c>
      <c r="F863" s="7" t="s">
        <v>101</v>
      </c>
      <c r="G863" s="1" t="n">
        <v>2</v>
      </c>
      <c r="H863" s="1" t="n">
        <v>6</v>
      </c>
      <c r="I863" s="10" t="n">
        <v>39970</v>
      </c>
      <c r="J863" s="10" t="n">
        <v>39975</v>
      </c>
      <c r="K863" s="1" t="n">
        <v>5</v>
      </c>
      <c r="L863" s="1" t="n">
        <v>5</v>
      </c>
      <c r="M863" s="3" t="s">
        <v>48</v>
      </c>
      <c r="N863" s="3" t="s">
        <v>67</v>
      </c>
      <c r="O863" s="3" t="s">
        <v>127</v>
      </c>
      <c r="P863" s="2" t="str">
        <f aca="false">CONCATENATE(N863," ",O863)</f>
        <v>Pardosa lugubris</v>
      </c>
      <c r="Q863" s="1" t="s">
        <v>30</v>
      </c>
      <c r="R863" s="1" t="s">
        <v>31</v>
      </c>
      <c r="S863" s="1" t="n">
        <v>5</v>
      </c>
      <c r="T863" s="1" t="n">
        <v>0</v>
      </c>
      <c r="U863" s="1" t="n">
        <v>0</v>
      </c>
      <c r="V863" s="1" t="n">
        <v>0</v>
      </c>
      <c r="W863" s="1" t="n">
        <v>0</v>
      </c>
      <c r="X863" s="1" t="n">
        <v>0</v>
      </c>
      <c r="Y863" s="3" t="n">
        <f aca="false">SUM(S863:T863)</f>
        <v>5</v>
      </c>
      <c r="Z863" s="3" t="n">
        <f aca="false">SUM(U863:W863)</f>
        <v>0</v>
      </c>
      <c r="AA863" s="3" t="n">
        <f aca="false">SUM(S863:X863)</f>
        <v>5</v>
      </c>
      <c r="AB863" s="11" t="n">
        <f aca="false">(AA863/(K863*L863)*25)*4</f>
        <v>20</v>
      </c>
    </row>
    <row r="864" customFormat="false" ht="14.25" hidden="false" customHeight="false" outlineLevel="0" collapsed="false">
      <c r="A864" s="1" t="n">
        <v>2009</v>
      </c>
      <c r="B864" s="7" t="s">
        <v>322</v>
      </c>
      <c r="C864" s="7" t="n">
        <v>2</v>
      </c>
      <c r="D864" s="7" t="s">
        <v>293</v>
      </c>
      <c r="E864" s="7" t="s">
        <v>293</v>
      </c>
      <c r="F864" s="7" t="s">
        <v>101</v>
      </c>
      <c r="G864" s="1" t="n">
        <v>2</v>
      </c>
      <c r="H864" s="1" t="n">
        <v>6</v>
      </c>
      <c r="I864" s="10" t="n">
        <v>39970</v>
      </c>
      <c r="J864" s="10" t="n">
        <v>39975</v>
      </c>
      <c r="K864" s="1" t="n">
        <v>5</v>
      </c>
      <c r="L864" s="1" t="n">
        <v>5</v>
      </c>
      <c r="M864" s="13" t="s">
        <v>195</v>
      </c>
      <c r="N864" s="13" t="s">
        <v>196</v>
      </c>
      <c r="O864" s="14" t="s">
        <v>197</v>
      </c>
      <c r="P864" s="2" t="str">
        <f aca="false">CONCATENATE(N864," ",O864)</f>
        <v>Pachygnatha listeri</v>
      </c>
      <c r="Q864" s="1" t="s">
        <v>30</v>
      </c>
      <c r="R864" s="1" t="s">
        <v>35</v>
      </c>
      <c r="S864" s="1" t="n">
        <v>0</v>
      </c>
      <c r="T864" s="1" t="n">
        <v>1</v>
      </c>
      <c r="U864" s="1" t="n">
        <v>0</v>
      </c>
      <c r="V864" s="1" t="n">
        <v>0</v>
      </c>
      <c r="W864" s="1" t="n">
        <v>0</v>
      </c>
      <c r="X864" s="1" t="n">
        <v>0</v>
      </c>
      <c r="Y864" s="3" t="n">
        <f aca="false">SUM(S864:T864)</f>
        <v>1</v>
      </c>
      <c r="Z864" s="3" t="n">
        <f aca="false">SUM(U864:W864)</f>
        <v>0</v>
      </c>
      <c r="AA864" s="3" t="n">
        <f aca="false">SUM(S864:X864)</f>
        <v>1</v>
      </c>
      <c r="AB864" s="11" t="n">
        <f aca="false">(AA864/(K864*L864)*25)*4</f>
        <v>4</v>
      </c>
    </row>
    <row r="865" customFormat="false" ht="14.25" hidden="false" customHeight="false" outlineLevel="0" collapsed="false">
      <c r="A865" s="1" t="n">
        <v>2009</v>
      </c>
      <c r="B865" s="7" t="s">
        <v>322</v>
      </c>
      <c r="C865" s="7" t="n">
        <v>2</v>
      </c>
      <c r="D865" s="7" t="s">
        <v>293</v>
      </c>
      <c r="E865" s="7" t="s">
        <v>293</v>
      </c>
      <c r="F865" s="7" t="s">
        <v>101</v>
      </c>
      <c r="G865" s="1" t="n">
        <v>2</v>
      </c>
      <c r="H865" s="1" t="n">
        <v>6</v>
      </c>
      <c r="I865" s="10" t="n">
        <v>39970</v>
      </c>
      <c r="J865" s="10" t="n">
        <v>39975</v>
      </c>
      <c r="K865" s="1" t="n">
        <v>5</v>
      </c>
      <c r="L865" s="1" t="n">
        <v>5</v>
      </c>
      <c r="M865" s="3" t="s">
        <v>36</v>
      </c>
      <c r="N865" s="3" t="s">
        <v>131</v>
      </c>
      <c r="O865" s="3" t="s">
        <v>133</v>
      </c>
      <c r="P865" s="2" t="str">
        <f aca="false">CONCATENATE(N865," ",O865)</f>
        <v>Xysticus luctuosus</v>
      </c>
      <c r="Q865" s="1" t="s">
        <v>30</v>
      </c>
      <c r="R865" s="1" t="s">
        <v>31</v>
      </c>
      <c r="S865" s="1" t="n">
        <v>1</v>
      </c>
      <c r="T865" s="1" t="n">
        <v>0</v>
      </c>
      <c r="U865" s="1" t="n">
        <v>0</v>
      </c>
      <c r="V865" s="1" t="n">
        <v>0</v>
      </c>
      <c r="W865" s="1" t="n">
        <v>0</v>
      </c>
      <c r="X865" s="1" t="n">
        <v>0</v>
      </c>
      <c r="Y865" s="3" t="n">
        <f aca="false">SUM(S865:T865)</f>
        <v>1</v>
      </c>
      <c r="Z865" s="3" t="n">
        <f aca="false">SUM(U865:W865)</f>
        <v>0</v>
      </c>
      <c r="AA865" s="3" t="n">
        <f aca="false">SUM(S865:X865)</f>
        <v>1</v>
      </c>
      <c r="AB865" s="11" t="n">
        <f aca="false">(AA865/(K865*L865)*25)*4</f>
        <v>4</v>
      </c>
    </row>
    <row r="866" customFormat="false" ht="14.25" hidden="false" customHeight="false" outlineLevel="0" collapsed="false">
      <c r="A866" s="1" t="n">
        <v>2009</v>
      </c>
      <c r="B866" s="7" t="s">
        <v>322</v>
      </c>
      <c r="C866" s="7" t="n">
        <v>2</v>
      </c>
      <c r="D866" s="7" t="s">
        <v>293</v>
      </c>
      <c r="E866" s="7" t="s">
        <v>293</v>
      </c>
      <c r="F866" s="7" t="s">
        <v>101</v>
      </c>
      <c r="G866" s="1" t="n">
        <v>2</v>
      </c>
      <c r="H866" s="1" t="n">
        <v>6</v>
      </c>
      <c r="I866" s="10" t="n">
        <v>39970</v>
      </c>
      <c r="J866" s="10" t="n">
        <v>39975</v>
      </c>
      <c r="K866" s="1" t="n">
        <v>5</v>
      </c>
      <c r="L866" s="1" t="n">
        <v>5</v>
      </c>
      <c r="M866" s="3" t="s">
        <v>32</v>
      </c>
      <c r="N866" s="3" t="s">
        <v>107</v>
      </c>
      <c r="O866" s="3" t="s">
        <v>108</v>
      </c>
      <c r="P866" s="2" t="str">
        <f aca="false">CONCATENATE(N866," ",O866)</f>
        <v>Macrargus rufus</v>
      </c>
      <c r="Q866" s="1" t="s">
        <v>30</v>
      </c>
      <c r="R866" s="1" t="s">
        <v>35</v>
      </c>
      <c r="S866" s="1" t="n">
        <v>0</v>
      </c>
      <c r="T866" s="1" t="n">
        <v>1</v>
      </c>
      <c r="U866" s="1" t="n">
        <v>0</v>
      </c>
      <c r="V866" s="1" t="n">
        <v>0</v>
      </c>
      <c r="W866" s="1" t="n">
        <v>0</v>
      </c>
      <c r="X866" s="1" t="n">
        <v>0</v>
      </c>
      <c r="Y866" s="3" t="n">
        <f aca="false">SUM(S866:T866)</f>
        <v>1</v>
      </c>
      <c r="Z866" s="3" t="n">
        <f aca="false">SUM(U866:W866)</f>
        <v>0</v>
      </c>
      <c r="AA866" s="3" t="n">
        <f aca="false">SUM(S866:X866)</f>
        <v>1</v>
      </c>
      <c r="AB866" s="11" t="n">
        <f aca="false">(AA866/(K866*L866)*25)*4</f>
        <v>4</v>
      </c>
    </row>
    <row r="867" customFormat="false" ht="14.25" hidden="false" customHeight="false" outlineLevel="0" collapsed="false">
      <c r="A867" s="1" t="n">
        <v>2009</v>
      </c>
      <c r="B867" s="7" t="s">
        <v>322</v>
      </c>
      <c r="C867" s="7" t="n">
        <v>2</v>
      </c>
      <c r="D867" s="7" t="s">
        <v>293</v>
      </c>
      <c r="E867" s="7" t="s">
        <v>293</v>
      </c>
      <c r="F867" s="7" t="s">
        <v>101</v>
      </c>
      <c r="G867" s="1" t="n">
        <v>2</v>
      </c>
      <c r="H867" s="1" t="n">
        <v>7</v>
      </c>
      <c r="I867" s="10" t="n">
        <v>39970</v>
      </c>
      <c r="J867" s="10" t="n">
        <v>39975</v>
      </c>
      <c r="K867" s="1" t="n">
        <v>5</v>
      </c>
      <c r="L867" s="1" t="n">
        <v>5</v>
      </c>
      <c r="M867" s="3" t="s">
        <v>48</v>
      </c>
      <c r="N867" s="3" t="s">
        <v>49</v>
      </c>
      <c r="O867" s="3" t="s">
        <v>104</v>
      </c>
      <c r="P867" s="2" t="str">
        <f aca="false">CONCATENATE(N867," ",O867)</f>
        <v>Alopecosa taeniata</v>
      </c>
      <c r="Q867" s="1" t="s">
        <v>30</v>
      </c>
      <c r="R867" s="1" t="s">
        <v>31</v>
      </c>
      <c r="S867" s="1" t="n">
        <v>8</v>
      </c>
      <c r="T867" s="1" t="n">
        <v>0</v>
      </c>
      <c r="U867" s="1" t="n">
        <v>0</v>
      </c>
      <c r="V867" s="1" t="n">
        <v>0</v>
      </c>
      <c r="W867" s="1" t="n">
        <v>0</v>
      </c>
      <c r="X867" s="1" t="n">
        <v>0</v>
      </c>
      <c r="Y867" s="3" t="n">
        <f aca="false">SUM(S867:T867)</f>
        <v>8</v>
      </c>
      <c r="Z867" s="3" t="n">
        <f aca="false">SUM(U867:W867)</f>
        <v>0</v>
      </c>
      <c r="AA867" s="3" t="n">
        <f aca="false">SUM(S867:X867)</f>
        <v>8</v>
      </c>
      <c r="AB867" s="11" t="n">
        <f aca="false">(AA867/(K867*L867)*25)*4</f>
        <v>32</v>
      </c>
    </row>
    <row r="868" customFormat="false" ht="14.25" hidden="false" customHeight="false" outlineLevel="0" collapsed="false">
      <c r="A868" s="1" t="n">
        <v>2009</v>
      </c>
      <c r="B868" s="7" t="s">
        <v>322</v>
      </c>
      <c r="C868" s="7" t="n">
        <v>2</v>
      </c>
      <c r="D868" s="7" t="s">
        <v>293</v>
      </c>
      <c r="E868" s="7" t="s">
        <v>293</v>
      </c>
      <c r="F868" s="7" t="s">
        <v>101</v>
      </c>
      <c r="G868" s="1" t="n">
        <v>2</v>
      </c>
      <c r="H868" s="1" t="n">
        <v>7</v>
      </c>
      <c r="I868" s="10" t="n">
        <v>39970</v>
      </c>
      <c r="J868" s="10" t="n">
        <v>39975</v>
      </c>
      <c r="K868" s="1" t="n">
        <v>5</v>
      </c>
      <c r="L868" s="1" t="n">
        <v>5</v>
      </c>
      <c r="M868" s="3" t="s">
        <v>48</v>
      </c>
      <c r="N868" s="3" t="s">
        <v>49</v>
      </c>
      <c r="O868" s="3" t="s">
        <v>130</v>
      </c>
      <c r="P868" s="2" t="str">
        <f aca="false">CONCATENATE(N868," ",O868)</f>
        <v>Alopecosa aculeata</v>
      </c>
      <c r="Q868" s="1" t="s">
        <v>30</v>
      </c>
      <c r="R868" s="1" t="s">
        <v>31</v>
      </c>
      <c r="S868" s="1" t="n">
        <v>1</v>
      </c>
      <c r="T868" s="1" t="n">
        <v>0</v>
      </c>
      <c r="U868" s="1" t="n">
        <v>0</v>
      </c>
      <c r="V868" s="1" t="n">
        <v>0</v>
      </c>
      <c r="W868" s="1" t="n">
        <v>0</v>
      </c>
      <c r="X868" s="1" t="n">
        <v>0</v>
      </c>
      <c r="Y868" s="3" t="n">
        <f aca="false">SUM(S868:T868)</f>
        <v>1</v>
      </c>
      <c r="Z868" s="3" t="n">
        <f aca="false">SUM(U868:W868)</f>
        <v>0</v>
      </c>
      <c r="AA868" s="3" t="n">
        <f aca="false">SUM(S868:X868)</f>
        <v>1</v>
      </c>
      <c r="AB868" s="11" t="n">
        <f aca="false">(AA868/(K868*L868)*25)*4</f>
        <v>4</v>
      </c>
    </row>
    <row r="869" customFormat="false" ht="14.25" hidden="false" customHeight="false" outlineLevel="0" collapsed="false">
      <c r="A869" s="1" t="n">
        <v>2009</v>
      </c>
      <c r="B869" s="7" t="s">
        <v>322</v>
      </c>
      <c r="C869" s="7" t="n">
        <v>2</v>
      </c>
      <c r="D869" s="7" t="s">
        <v>293</v>
      </c>
      <c r="E869" s="7" t="s">
        <v>293</v>
      </c>
      <c r="F869" s="7" t="s">
        <v>101</v>
      </c>
      <c r="G869" s="1" t="n">
        <v>2</v>
      </c>
      <c r="H869" s="1" t="n">
        <v>7</v>
      </c>
      <c r="I869" s="10" t="n">
        <v>39970</v>
      </c>
      <c r="J869" s="10" t="n">
        <v>39975</v>
      </c>
      <c r="K869" s="1" t="n">
        <v>5</v>
      </c>
      <c r="L869" s="1" t="n">
        <v>5</v>
      </c>
      <c r="M869" s="3" t="s">
        <v>48</v>
      </c>
      <c r="N869" s="3" t="s">
        <v>67</v>
      </c>
      <c r="O869" s="3" t="s">
        <v>127</v>
      </c>
      <c r="P869" s="2" t="str">
        <f aca="false">CONCATENATE(N869," ",O869)</f>
        <v>Pardosa lugubris</v>
      </c>
      <c r="Q869" s="1" t="s">
        <v>30</v>
      </c>
      <c r="R869" s="1" t="s">
        <v>31</v>
      </c>
      <c r="S869" s="1" t="n">
        <v>1</v>
      </c>
      <c r="T869" s="1" t="n">
        <v>0</v>
      </c>
      <c r="U869" s="1" t="n">
        <v>0</v>
      </c>
      <c r="V869" s="1" t="n">
        <v>0</v>
      </c>
      <c r="W869" s="1" t="n">
        <v>0</v>
      </c>
      <c r="X869" s="1" t="n">
        <v>0</v>
      </c>
      <c r="Y869" s="3" t="n">
        <f aca="false">SUM(S869:T869)</f>
        <v>1</v>
      </c>
      <c r="Z869" s="3" t="n">
        <f aca="false">SUM(U869:W869)</f>
        <v>0</v>
      </c>
      <c r="AA869" s="3" t="n">
        <f aca="false">SUM(S869:X869)</f>
        <v>1</v>
      </c>
      <c r="AB869" s="11" t="n">
        <f aca="false">(AA869/(K869*L869)*25)*4</f>
        <v>4</v>
      </c>
    </row>
    <row r="870" customFormat="false" ht="14.25" hidden="false" customHeight="false" outlineLevel="0" collapsed="false">
      <c r="A870" s="1" t="n">
        <v>2009</v>
      </c>
      <c r="B870" s="7" t="s">
        <v>322</v>
      </c>
      <c r="C870" s="7" t="n">
        <v>2</v>
      </c>
      <c r="D870" s="7" t="s">
        <v>293</v>
      </c>
      <c r="E870" s="7" t="s">
        <v>293</v>
      </c>
      <c r="F870" s="7" t="s">
        <v>101</v>
      </c>
      <c r="G870" s="1" t="n">
        <v>2</v>
      </c>
      <c r="H870" s="1" t="n">
        <v>7</v>
      </c>
      <c r="I870" s="10" t="n">
        <v>39970</v>
      </c>
      <c r="J870" s="10" t="n">
        <v>39975</v>
      </c>
      <c r="K870" s="1" t="n">
        <v>5</v>
      </c>
      <c r="L870" s="1" t="n">
        <v>5</v>
      </c>
      <c r="M870" s="3" t="s">
        <v>72</v>
      </c>
      <c r="N870" s="3" t="s">
        <v>86</v>
      </c>
      <c r="O870" s="8" t="s">
        <v>87</v>
      </c>
      <c r="P870" s="2" t="str">
        <f aca="false">CONCATENATE(N870," ",O870)</f>
        <v>Haplodrassus soerenseni</v>
      </c>
      <c r="Q870" s="1" t="s">
        <v>30</v>
      </c>
      <c r="R870" s="1" t="s">
        <v>31</v>
      </c>
      <c r="S870" s="1" t="n">
        <v>5</v>
      </c>
      <c r="T870" s="1" t="n">
        <v>0</v>
      </c>
      <c r="U870" s="1" t="n">
        <v>0</v>
      </c>
      <c r="V870" s="1" t="n">
        <v>0</v>
      </c>
      <c r="W870" s="1" t="n">
        <v>0</v>
      </c>
      <c r="X870" s="1" t="n">
        <v>0</v>
      </c>
      <c r="Y870" s="3" t="n">
        <f aca="false">SUM(S870:T870)</f>
        <v>5</v>
      </c>
      <c r="Z870" s="3" t="n">
        <f aca="false">SUM(U870:W870)</f>
        <v>0</v>
      </c>
      <c r="AA870" s="3" t="n">
        <f aca="false">SUM(S870:X870)</f>
        <v>5</v>
      </c>
      <c r="AB870" s="11" t="n">
        <f aca="false">(AA870/(K870*L870)*25)*4</f>
        <v>20</v>
      </c>
    </row>
    <row r="871" customFormat="false" ht="14.25" hidden="false" customHeight="false" outlineLevel="0" collapsed="false">
      <c r="A871" s="1" t="n">
        <v>2009</v>
      </c>
      <c r="B871" s="7" t="s">
        <v>322</v>
      </c>
      <c r="C871" s="7" t="n">
        <v>2</v>
      </c>
      <c r="D871" s="7" t="s">
        <v>293</v>
      </c>
      <c r="E871" s="7" t="s">
        <v>293</v>
      </c>
      <c r="F871" s="7" t="s">
        <v>101</v>
      </c>
      <c r="G871" s="1" t="n">
        <v>2</v>
      </c>
      <c r="H871" s="1" t="n">
        <v>7</v>
      </c>
      <c r="I871" s="10" t="n">
        <v>39970</v>
      </c>
      <c r="J871" s="10" t="n">
        <v>39975</v>
      </c>
      <c r="K871" s="1" t="n">
        <v>5</v>
      </c>
      <c r="L871" s="1" t="n">
        <v>5</v>
      </c>
      <c r="M871" s="3" t="s">
        <v>36</v>
      </c>
      <c r="N871" s="3" t="s">
        <v>37</v>
      </c>
      <c r="O871" s="8" t="s">
        <v>75</v>
      </c>
      <c r="P871" s="2" t="str">
        <f aca="false">CONCATENATE(N871," ",O871)</f>
        <v>Ozyptila praticola</v>
      </c>
      <c r="Q871" s="1" t="s">
        <v>30</v>
      </c>
      <c r="R871" s="1" t="s">
        <v>31</v>
      </c>
      <c r="S871" s="1" t="n">
        <v>1</v>
      </c>
      <c r="T871" s="1" t="n">
        <v>0</v>
      </c>
      <c r="U871" s="1" t="n">
        <v>0</v>
      </c>
      <c r="V871" s="1" t="n">
        <v>0</v>
      </c>
      <c r="W871" s="1" t="n">
        <v>0</v>
      </c>
      <c r="X871" s="1" t="n">
        <v>0</v>
      </c>
      <c r="Y871" s="3" t="n">
        <f aca="false">SUM(S871:T871)</f>
        <v>1</v>
      </c>
      <c r="Z871" s="3" t="n">
        <f aca="false">SUM(U871:W871)</f>
        <v>0</v>
      </c>
      <c r="AA871" s="3" t="n">
        <f aca="false">SUM(S871:X871)</f>
        <v>1</v>
      </c>
      <c r="AB871" s="11" t="n">
        <f aca="false">(AA871/(K871*L871)*25)*4</f>
        <v>4</v>
      </c>
    </row>
    <row r="872" customFormat="false" ht="14.25" hidden="false" customHeight="false" outlineLevel="0" collapsed="false">
      <c r="A872" s="1" t="n">
        <v>2009</v>
      </c>
      <c r="B872" s="7" t="s">
        <v>322</v>
      </c>
      <c r="C872" s="7" t="n">
        <v>2</v>
      </c>
      <c r="D872" s="7" t="s">
        <v>293</v>
      </c>
      <c r="E872" s="7" t="s">
        <v>293</v>
      </c>
      <c r="F872" s="7" t="s">
        <v>101</v>
      </c>
      <c r="G872" s="1" t="n">
        <v>2</v>
      </c>
      <c r="H872" s="1" t="n">
        <v>7</v>
      </c>
      <c r="I872" s="10" t="n">
        <v>39970</v>
      </c>
      <c r="J872" s="10" t="n">
        <v>39975</v>
      </c>
      <c r="K872" s="1" t="n">
        <v>5</v>
      </c>
      <c r="L872" s="1" t="n">
        <v>5</v>
      </c>
      <c r="M872" s="3" t="s">
        <v>36</v>
      </c>
      <c r="N872" s="3" t="s">
        <v>37</v>
      </c>
      <c r="O872" s="8" t="s">
        <v>75</v>
      </c>
      <c r="P872" s="2" t="str">
        <f aca="false">CONCATENATE(N872," ",O872)</f>
        <v>Ozyptila praticola</v>
      </c>
      <c r="Q872" s="1" t="s">
        <v>30</v>
      </c>
      <c r="R872" s="1" t="s">
        <v>35</v>
      </c>
      <c r="S872" s="1" t="n">
        <v>0</v>
      </c>
      <c r="T872" s="1" t="n">
        <v>1</v>
      </c>
      <c r="U872" s="1" t="n">
        <v>0</v>
      </c>
      <c r="V872" s="1" t="n">
        <v>0</v>
      </c>
      <c r="W872" s="1" t="n">
        <v>0</v>
      </c>
      <c r="X872" s="1" t="n">
        <v>0</v>
      </c>
      <c r="Y872" s="3" t="n">
        <f aca="false">SUM(S872:T872)</f>
        <v>1</v>
      </c>
      <c r="Z872" s="3" t="n">
        <f aca="false">SUM(U872:W872)</f>
        <v>0</v>
      </c>
      <c r="AA872" s="3" t="n">
        <f aca="false">SUM(S872:X872)</f>
        <v>1</v>
      </c>
      <c r="AB872" s="11" t="n">
        <f aca="false">(AA872/(K872*L872)*25)*4</f>
        <v>4</v>
      </c>
    </row>
    <row r="873" customFormat="false" ht="14.25" hidden="false" customHeight="false" outlineLevel="0" collapsed="false">
      <c r="A873" s="1" t="n">
        <v>2009</v>
      </c>
      <c r="B873" s="7" t="s">
        <v>322</v>
      </c>
      <c r="C873" s="7" t="n">
        <v>2</v>
      </c>
      <c r="D873" s="7" t="s">
        <v>293</v>
      </c>
      <c r="E873" s="7" t="s">
        <v>293</v>
      </c>
      <c r="F873" s="7" t="s">
        <v>101</v>
      </c>
      <c r="G873" s="1" t="n">
        <v>2</v>
      </c>
      <c r="H873" s="1" t="n">
        <v>7</v>
      </c>
      <c r="I873" s="10" t="n">
        <v>39970</v>
      </c>
      <c r="J873" s="10" t="n">
        <v>39975</v>
      </c>
      <c r="K873" s="1" t="n">
        <v>5</v>
      </c>
      <c r="L873" s="1" t="n">
        <v>5</v>
      </c>
      <c r="M873" s="13" t="s">
        <v>32</v>
      </c>
      <c r="N873" s="13" t="s">
        <v>96</v>
      </c>
      <c r="O873" s="14" t="s">
        <v>97</v>
      </c>
      <c r="P873" s="2" t="str">
        <f aca="false">CONCATENATE(N873," ",O873)</f>
        <v>Diplocephalus picinus</v>
      </c>
      <c r="Q873" s="1" t="s">
        <v>30</v>
      </c>
      <c r="R873" s="1" t="s">
        <v>31</v>
      </c>
      <c r="S873" s="1" t="n">
        <v>1</v>
      </c>
      <c r="T873" s="1" t="n">
        <v>0</v>
      </c>
      <c r="U873" s="1" t="n">
        <v>0</v>
      </c>
      <c r="V873" s="1" t="n">
        <v>0</v>
      </c>
      <c r="W873" s="1" t="n">
        <v>0</v>
      </c>
      <c r="X873" s="1" t="n">
        <v>0</v>
      </c>
      <c r="Y873" s="3" t="n">
        <f aca="false">SUM(S873:T873)</f>
        <v>1</v>
      </c>
      <c r="Z873" s="3" t="n">
        <f aca="false">SUM(U873:W873)</f>
        <v>0</v>
      </c>
      <c r="AA873" s="3" t="n">
        <f aca="false">SUM(S873:X873)</f>
        <v>1</v>
      </c>
      <c r="AB873" s="11" t="n">
        <f aca="false">(AA873/(K873*L873)*25)*4</f>
        <v>4</v>
      </c>
    </row>
    <row r="874" customFormat="false" ht="14.25" hidden="false" customHeight="false" outlineLevel="0" collapsed="false">
      <c r="A874" s="1" t="n">
        <v>2009</v>
      </c>
      <c r="B874" s="7" t="s">
        <v>322</v>
      </c>
      <c r="C874" s="7" t="n">
        <v>2</v>
      </c>
      <c r="D874" s="7" t="s">
        <v>293</v>
      </c>
      <c r="E874" s="7" t="s">
        <v>293</v>
      </c>
      <c r="F874" s="7" t="s">
        <v>101</v>
      </c>
      <c r="G874" s="1" t="n">
        <v>2</v>
      </c>
      <c r="H874" s="1" t="n">
        <v>7</v>
      </c>
      <c r="I874" s="10" t="n">
        <v>39970</v>
      </c>
      <c r="J874" s="10" t="n">
        <v>39975</v>
      </c>
      <c r="K874" s="1" t="n">
        <v>5</v>
      </c>
      <c r="L874" s="1" t="n">
        <v>5</v>
      </c>
      <c r="M874" s="13" t="s">
        <v>32</v>
      </c>
      <c r="N874" s="13" t="s">
        <v>96</v>
      </c>
      <c r="O874" s="14" t="s">
        <v>97</v>
      </c>
      <c r="P874" s="2" t="str">
        <f aca="false">CONCATENATE(N874," ",O874)</f>
        <v>Diplocephalus picinus</v>
      </c>
      <c r="Q874" s="1" t="s">
        <v>30</v>
      </c>
      <c r="R874" s="1" t="s">
        <v>35</v>
      </c>
      <c r="S874" s="1" t="n">
        <v>0</v>
      </c>
      <c r="T874" s="1" t="n">
        <v>1</v>
      </c>
      <c r="U874" s="1" t="n">
        <v>0</v>
      </c>
      <c r="V874" s="1" t="n">
        <v>0</v>
      </c>
      <c r="W874" s="1" t="n">
        <v>0</v>
      </c>
      <c r="X874" s="1" t="n">
        <v>0</v>
      </c>
      <c r="Y874" s="3" t="n">
        <f aca="false">SUM(S874:T874)</f>
        <v>1</v>
      </c>
      <c r="Z874" s="3" t="n">
        <f aca="false">SUM(U874:W874)</f>
        <v>0</v>
      </c>
      <c r="AA874" s="3" t="n">
        <f aca="false">SUM(S874:X874)</f>
        <v>1</v>
      </c>
      <c r="AB874" s="11" t="n">
        <f aca="false">(AA874/(K874*L874)*25)*4</f>
        <v>4</v>
      </c>
    </row>
    <row r="875" customFormat="false" ht="14.25" hidden="false" customHeight="false" outlineLevel="0" collapsed="false">
      <c r="A875" s="1" t="n">
        <v>2009</v>
      </c>
      <c r="B875" s="7" t="s">
        <v>322</v>
      </c>
      <c r="C875" s="7" t="n">
        <v>2</v>
      </c>
      <c r="D875" s="7" t="s">
        <v>293</v>
      </c>
      <c r="E875" s="7" t="s">
        <v>293</v>
      </c>
      <c r="F875" s="7" t="s">
        <v>101</v>
      </c>
      <c r="G875" s="1" t="n">
        <v>2</v>
      </c>
      <c r="H875" s="1" t="n">
        <v>7</v>
      </c>
      <c r="I875" s="10" t="n">
        <v>39970</v>
      </c>
      <c r="J875" s="10" t="n">
        <v>39975</v>
      </c>
      <c r="K875" s="1" t="n">
        <v>5</v>
      </c>
      <c r="L875" s="1" t="n">
        <v>5</v>
      </c>
      <c r="M875" s="3" t="s">
        <v>32</v>
      </c>
      <c r="N875" s="3" t="s">
        <v>102</v>
      </c>
      <c r="O875" s="3" t="s">
        <v>103</v>
      </c>
      <c r="P875" s="2" t="str">
        <f aca="false">CONCATENATE(N875," ",O875)</f>
        <v>Agyneta olivacea</v>
      </c>
      <c r="Q875" s="1" t="s">
        <v>30</v>
      </c>
      <c r="R875" s="1" t="s">
        <v>31</v>
      </c>
      <c r="S875" s="1" t="n">
        <v>1</v>
      </c>
      <c r="T875" s="1" t="n">
        <v>0</v>
      </c>
      <c r="U875" s="1" t="n">
        <v>0</v>
      </c>
      <c r="V875" s="1" t="n">
        <v>0</v>
      </c>
      <c r="W875" s="1" t="n">
        <v>0</v>
      </c>
      <c r="X875" s="1" t="n">
        <v>0</v>
      </c>
      <c r="Y875" s="3" t="n">
        <f aca="false">SUM(S875:T875)</f>
        <v>1</v>
      </c>
      <c r="Z875" s="3" t="n">
        <f aca="false">SUM(U875:W875)</f>
        <v>0</v>
      </c>
      <c r="AA875" s="3" t="n">
        <f aca="false">SUM(S875:X875)</f>
        <v>1</v>
      </c>
      <c r="AB875" s="11" t="n">
        <f aca="false">(AA875/(K875*L875)*25)*4</f>
        <v>4</v>
      </c>
    </row>
    <row r="876" customFormat="false" ht="14.25" hidden="false" customHeight="false" outlineLevel="0" collapsed="false">
      <c r="A876" s="1" t="n">
        <v>2009</v>
      </c>
      <c r="B876" s="7" t="s">
        <v>322</v>
      </c>
      <c r="C876" s="7" t="n">
        <v>2</v>
      </c>
      <c r="D876" s="7" t="s">
        <v>293</v>
      </c>
      <c r="E876" s="7" t="s">
        <v>293</v>
      </c>
      <c r="F876" s="7" t="s">
        <v>101</v>
      </c>
      <c r="G876" s="1" t="n">
        <v>2</v>
      </c>
      <c r="H876" s="1" t="n">
        <v>8</v>
      </c>
      <c r="I876" s="10" t="n">
        <v>39970</v>
      </c>
      <c r="J876" s="10" t="n">
        <v>39975</v>
      </c>
      <c r="K876" s="1" t="n">
        <v>5</v>
      </c>
      <c r="L876" s="1" t="n">
        <v>5</v>
      </c>
      <c r="M876" s="3" t="s">
        <v>48</v>
      </c>
      <c r="N876" s="3" t="s">
        <v>49</v>
      </c>
      <c r="O876" s="3" t="s">
        <v>104</v>
      </c>
      <c r="P876" s="2" t="str">
        <f aca="false">CONCATENATE(N876," ",O876)</f>
        <v>Alopecosa taeniata</v>
      </c>
      <c r="Q876" s="1" t="s">
        <v>30</v>
      </c>
      <c r="R876" s="1" t="s">
        <v>31</v>
      </c>
      <c r="S876" s="1" t="n">
        <v>10</v>
      </c>
      <c r="T876" s="1" t="n">
        <v>0</v>
      </c>
      <c r="U876" s="1" t="n">
        <v>0</v>
      </c>
      <c r="V876" s="1" t="n">
        <v>0</v>
      </c>
      <c r="W876" s="1" t="n">
        <v>0</v>
      </c>
      <c r="X876" s="1" t="n">
        <v>0</v>
      </c>
      <c r="Y876" s="3" t="n">
        <f aca="false">SUM(S876:T876)</f>
        <v>10</v>
      </c>
      <c r="Z876" s="3" t="n">
        <f aca="false">SUM(U876:W876)</f>
        <v>0</v>
      </c>
      <c r="AA876" s="3" t="n">
        <f aca="false">SUM(S876:X876)</f>
        <v>10</v>
      </c>
      <c r="AB876" s="11" t="n">
        <f aca="false">(AA876/(K876*L876)*25)*4</f>
        <v>40</v>
      </c>
    </row>
    <row r="877" customFormat="false" ht="14.25" hidden="false" customHeight="false" outlineLevel="0" collapsed="false">
      <c r="A877" s="1" t="n">
        <v>2009</v>
      </c>
      <c r="B877" s="7" t="s">
        <v>322</v>
      </c>
      <c r="C877" s="7" t="n">
        <v>2</v>
      </c>
      <c r="D877" s="7" t="s">
        <v>293</v>
      </c>
      <c r="E877" s="7" t="s">
        <v>293</v>
      </c>
      <c r="F877" s="7" t="s">
        <v>101</v>
      </c>
      <c r="G877" s="1" t="n">
        <v>2</v>
      </c>
      <c r="H877" s="1" t="n">
        <v>8</v>
      </c>
      <c r="I877" s="10" t="n">
        <v>39970</v>
      </c>
      <c r="J877" s="10" t="n">
        <v>39975</v>
      </c>
      <c r="K877" s="1" t="n">
        <v>5</v>
      </c>
      <c r="L877" s="1" t="n">
        <v>5</v>
      </c>
      <c r="M877" s="3" t="s">
        <v>48</v>
      </c>
      <c r="N877" s="3" t="s">
        <v>49</v>
      </c>
      <c r="O877" s="3" t="s">
        <v>104</v>
      </c>
      <c r="P877" s="2" t="str">
        <f aca="false">CONCATENATE(N877," ",O877)</f>
        <v>Alopecosa taeniata</v>
      </c>
      <c r="Q877" s="1" t="s">
        <v>30</v>
      </c>
      <c r="R877" s="1" t="s">
        <v>35</v>
      </c>
      <c r="S877" s="1" t="n">
        <v>0</v>
      </c>
      <c r="T877" s="1" t="n">
        <v>1</v>
      </c>
      <c r="U877" s="1" t="n">
        <v>0</v>
      </c>
      <c r="V877" s="1" t="n">
        <v>0</v>
      </c>
      <c r="W877" s="1" t="n">
        <v>0</v>
      </c>
      <c r="X877" s="1" t="n">
        <v>0</v>
      </c>
      <c r="Y877" s="3" t="n">
        <f aca="false">SUM(S877:T877)</f>
        <v>1</v>
      </c>
      <c r="Z877" s="3" t="n">
        <f aca="false">SUM(U877:W877)</f>
        <v>0</v>
      </c>
      <c r="AA877" s="3" t="n">
        <f aca="false">SUM(S877:X877)</f>
        <v>1</v>
      </c>
      <c r="AB877" s="11" t="n">
        <f aca="false">(AA877/(K877*L877)*25)*4</f>
        <v>4</v>
      </c>
    </row>
    <row r="878" customFormat="false" ht="14.25" hidden="false" customHeight="false" outlineLevel="0" collapsed="false">
      <c r="A878" s="1" t="n">
        <v>2009</v>
      </c>
      <c r="B878" s="7" t="s">
        <v>322</v>
      </c>
      <c r="C878" s="7" t="n">
        <v>2</v>
      </c>
      <c r="D878" s="7" t="s">
        <v>293</v>
      </c>
      <c r="E878" s="7" t="s">
        <v>293</v>
      </c>
      <c r="F878" s="7" t="s">
        <v>101</v>
      </c>
      <c r="G878" s="1" t="n">
        <v>2</v>
      </c>
      <c r="H878" s="1" t="n">
        <v>8</v>
      </c>
      <c r="I878" s="10" t="n">
        <v>39970</v>
      </c>
      <c r="J878" s="10" t="n">
        <v>39975</v>
      </c>
      <c r="K878" s="1" t="n">
        <v>5</v>
      </c>
      <c r="L878" s="1" t="n">
        <v>5</v>
      </c>
      <c r="M878" s="3" t="s">
        <v>48</v>
      </c>
      <c r="N878" s="3" t="s">
        <v>49</v>
      </c>
      <c r="O878" s="3" t="s">
        <v>130</v>
      </c>
      <c r="P878" s="2" t="str">
        <f aca="false">CONCATENATE(N878," ",O878)</f>
        <v>Alopecosa aculeata</v>
      </c>
      <c r="Q878" s="1" t="s">
        <v>30</v>
      </c>
      <c r="R878" s="1" t="s">
        <v>31</v>
      </c>
      <c r="S878" s="1" t="n">
        <v>1</v>
      </c>
      <c r="T878" s="1" t="n">
        <v>0</v>
      </c>
      <c r="U878" s="1" t="n">
        <v>0</v>
      </c>
      <c r="V878" s="1" t="n">
        <v>0</v>
      </c>
      <c r="W878" s="1" t="n">
        <v>0</v>
      </c>
      <c r="X878" s="1" t="n">
        <v>0</v>
      </c>
      <c r="Y878" s="3" t="n">
        <f aca="false">SUM(S878:T878)</f>
        <v>1</v>
      </c>
      <c r="Z878" s="3" t="n">
        <f aca="false">SUM(U878:W878)</f>
        <v>0</v>
      </c>
      <c r="AA878" s="3" t="n">
        <f aca="false">SUM(S878:X878)</f>
        <v>1</v>
      </c>
      <c r="AB878" s="11" t="n">
        <f aca="false">(AA878/(K878*L878)*25)*4</f>
        <v>4</v>
      </c>
    </row>
    <row r="879" customFormat="false" ht="14.25" hidden="false" customHeight="false" outlineLevel="0" collapsed="false">
      <c r="A879" s="1" t="n">
        <v>2009</v>
      </c>
      <c r="B879" s="7" t="s">
        <v>322</v>
      </c>
      <c r="C879" s="7" t="n">
        <v>2</v>
      </c>
      <c r="D879" s="7" t="s">
        <v>293</v>
      </c>
      <c r="E879" s="7" t="s">
        <v>293</v>
      </c>
      <c r="F879" s="7" t="s">
        <v>101</v>
      </c>
      <c r="G879" s="1" t="n">
        <v>2</v>
      </c>
      <c r="H879" s="1" t="n">
        <v>8</v>
      </c>
      <c r="I879" s="10" t="n">
        <v>39970</v>
      </c>
      <c r="J879" s="10" t="n">
        <v>39975</v>
      </c>
      <c r="K879" s="1" t="n">
        <v>5</v>
      </c>
      <c r="L879" s="1" t="n">
        <v>5</v>
      </c>
      <c r="M879" s="3" t="s">
        <v>48</v>
      </c>
      <c r="N879" s="3" t="s">
        <v>67</v>
      </c>
      <c r="O879" s="3" t="s">
        <v>127</v>
      </c>
      <c r="P879" s="2" t="str">
        <f aca="false">CONCATENATE(N879," ",O879)</f>
        <v>Pardosa lugubris</v>
      </c>
      <c r="Q879" s="1" t="s">
        <v>30</v>
      </c>
      <c r="R879" s="1" t="s">
        <v>31</v>
      </c>
      <c r="S879" s="1" t="n">
        <v>2</v>
      </c>
      <c r="T879" s="1" t="n">
        <v>0</v>
      </c>
      <c r="U879" s="1" t="n">
        <v>0</v>
      </c>
      <c r="V879" s="1" t="n">
        <v>0</v>
      </c>
      <c r="W879" s="1" t="n">
        <v>0</v>
      </c>
      <c r="X879" s="1" t="n">
        <v>0</v>
      </c>
      <c r="Y879" s="3" t="n">
        <f aca="false">SUM(S879:T879)</f>
        <v>2</v>
      </c>
      <c r="Z879" s="3" t="n">
        <f aca="false">SUM(U879:W879)</f>
        <v>0</v>
      </c>
      <c r="AA879" s="3" t="n">
        <f aca="false">SUM(S879:X879)</f>
        <v>2</v>
      </c>
      <c r="AB879" s="11" t="n">
        <f aca="false">(AA879/(K879*L879)*25)*4</f>
        <v>8</v>
      </c>
    </row>
    <row r="880" customFormat="false" ht="14.25" hidden="false" customHeight="false" outlineLevel="0" collapsed="false">
      <c r="A880" s="1" t="n">
        <v>2009</v>
      </c>
      <c r="B880" s="7" t="s">
        <v>322</v>
      </c>
      <c r="C880" s="7" t="n">
        <v>2</v>
      </c>
      <c r="D880" s="7" t="s">
        <v>293</v>
      </c>
      <c r="E880" s="7" t="s">
        <v>293</v>
      </c>
      <c r="F880" s="7" t="s">
        <v>101</v>
      </c>
      <c r="G880" s="1" t="n">
        <v>2</v>
      </c>
      <c r="H880" s="1" t="n">
        <v>8</v>
      </c>
      <c r="I880" s="10" t="n">
        <v>39970</v>
      </c>
      <c r="J880" s="10" t="n">
        <v>39975</v>
      </c>
      <c r="K880" s="1" t="n">
        <v>5</v>
      </c>
      <c r="L880" s="1" t="n">
        <v>5</v>
      </c>
      <c r="M880" s="3" t="s">
        <v>48</v>
      </c>
      <c r="N880" s="3" t="s">
        <v>61</v>
      </c>
      <c r="O880" s="3" t="s">
        <v>82</v>
      </c>
      <c r="P880" s="2" t="str">
        <f aca="false">CONCATENATE(N880," ",O880)</f>
        <v>Trochosa terricola</v>
      </c>
      <c r="Q880" s="1" t="s">
        <v>30</v>
      </c>
      <c r="R880" s="1" t="s">
        <v>35</v>
      </c>
      <c r="S880" s="1" t="n">
        <v>0</v>
      </c>
      <c r="T880" s="1" t="n">
        <v>1</v>
      </c>
      <c r="U880" s="1" t="n">
        <v>0</v>
      </c>
      <c r="V880" s="1" t="n">
        <v>0</v>
      </c>
      <c r="W880" s="1" t="n">
        <v>0</v>
      </c>
      <c r="X880" s="1" t="n">
        <v>0</v>
      </c>
      <c r="Y880" s="3" t="n">
        <f aca="false">SUM(S880:T880)</f>
        <v>1</v>
      </c>
      <c r="Z880" s="3" t="n">
        <f aca="false">SUM(U880:W880)</f>
        <v>0</v>
      </c>
      <c r="AA880" s="3" t="n">
        <f aca="false">SUM(S880:X880)</f>
        <v>1</v>
      </c>
      <c r="AB880" s="11" t="n">
        <f aca="false">(AA880/(K880*L880)*25)*4</f>
        <v>4</v>
      </c>
    </row>
    <row r="881" customFormat="false" ht="14.25" hidden="false" customHeight="false" outlineLevel="0" collapsed="false">
      <c r="A881" s="1" t="n">
        <v>2009</v>
      </c>
      <c r="B881" s="7" t="s">
        <v>322</v>
      </c>
      <c r="C881" s="7" t="n">
        <v>2</v>
      </c>
      <c r="D881" s="7" t="s">
        <v>293</v>
      </c>
      <c r="E881" s="7" t="s">
        <v>293</v>
      </c>
      <c r="F881" s="7" t="s">
        <v>101</v>
      </c>
      <c r="G881" s="1" t="n">
        <v>2</v>
      </c>
      <c r="H881" s="1" t="n">
        <v>8</v>
      </c>
      <c r="I881" s="10" t="n">
        <v>39970</v>
      </c>
      <c r="J881" s="10" t="n">
        <v>39975</v>
      </c>
      <c r="K881" s="1" t="n">
        <v>5</v>
      </c>
      <c r="L881" s="1" t="n">
        <v>5</v>
      </c>
      <c r="M881" s="3" t="s">
        <v>72</v>
      </c>
      <c r="N881" s="3" t="s">
        <v>86</v>
      </c>
      <c r="O881" s="8" t="s">
        <v>87</v>
      </c>
      <c r="P881" s="2" t="str">
        <f aca="false">CONCATENATE(N881," ",O881)</f>
        <v>Haplodrassus soerenseni</v>
      </c>
      <c r="Q881" s="1" t="s">
        <v>30</v>
      </c>
      <c r="R881" s="1" t="s">
        <v>31</v>
      </c>
      <c r="S881" s="1" t="n">
        <v>2</v>
      </c>
      <c r="T881" s="1" t="n">
        <v>0</v>
      </c>
      <c r="U881" s="1" t="n">
        <v>0</v>
      </c>
      <c r="V881" s="1" t="n">
        <v>0</v>
      </c>
      <c r="W881" s="1" t="n">
        <v>0</v>
      </c>
      <c r="X881" s="1" t="n">
        <v>0</v>
      </c>
      <c r="Y881" s="3" t="n">
        <f aca="false">SUM(S881:T881)</f>
        <v>2</v>
      </c>
      <c r="Z881" s="3" t="n">
        <f aca="false">SUM(U881:W881)</f>
        <v>0</v>
      </c>
      <c r="AA881" s="3" t="n">
        <f aca="false">SUM(S881:X881)</f>
        <v>2</v>
      </c>
      <c r="AB881" s="11" t="n">
        <f aca="false">(AA881/(K881*L881)*25)*4</f>
        <v>8</v>
      </c>
    </row>
    <row r="882" customFormat="false" ht="14.25" hidden="false" customHeight="false" outlineLevel="0" collapsed="false">
      <c r="A882" s="1" t="n">
        <v>2009</v>
      </c>
      <c r="B882" s="7" t="s">
        <v>322</v>
      </c>
      <c r="C882" s="7" t="n">
        <v>2</v>
      </c>
      <c r="D882" s="7" t="s">
        <v>293</v>
      </c>
      <c r="E882" s="7" t="s">
        <v>293</v>
      </c>
      <c r="F882" s="7" t="s">
        <v>101</v>
      </c>
      <c r="G882" s="1" t="n">
        <v>2</v>
      </c>
      <c r="H882" s="1" t="n">
        <v>8</v>
      </c>
      <c r="I882" s="10" t="n">
        <v>39970</v>
      </c>
      <c r="J882" s="10" t="n">
        <v>39975</v>
      </c>
      <c r="K882" s="1" t="n">
        <v>5</v>
      </c>
      <c r="L882" s="1" t="n">
        <v>5</v>
      </c>
      <c r="M882" s="3" t="s">
        <v>36</v>
      </c>
      <c r="N882" s="3" t="s">
        <v>131</v>
      </c>
      <c r="O882" s="3" t="s">
        <v>133</v>
      </c>
      <c r="P882" s="2" t="str">
        <f aca="false">CONCATENATE(N882," ",O882)</f>
        <v>Xysticus luctuosus</v>
      </c>
      <c r="Q882" s="1" t="s">
        <v>30</v>
      </c>
      <c r="R882" s="1" t="s">
        <v>31</v>
      </c>
      <c r="S882" s="1" t="n">
        <v>1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0</v>
      </c>
      <c r="Y882" s="3" t="n">
        <f aca="false">SUM(S882:T882)</f>
        <v>1</v>
      </c>
      <c r="Z882" s="3" t="n">
        <f aca="false">SUM(U882:W882)</f>
        <v>0</v>
      </c>
      <c r="AA882" s="3" t="n">
        <f aca="false">SUM(S882:X882)</f>
        <v>1</v>
      </c>
      <c r="AB882" s="11" t="n">
        <f aca="false">(AA882/(K882*L882)*25)*4</f>
        <v>4</v>
      </c>
    </row>
    <row r="883" customFormat="false" ht="14.25" hidden="false" customHeight="false" outlineLevel="0" collapsed="false">
      <c r="A883" s="1" t="n">
        <v>2009</v>
      </c>
      <c r="B883" s="7" t="s">
        <v>322</v>
      </c>
      <c r="C883" s="7" t="n">
        <v>2</v>
      </c>
      <c r="D883" s="7" t="s">
        <v>293</v>
      </c>
      <c r="E883" s="7" t="s">
        <v>293</v>
      </c>
      <c r="F883" s="7" t="s">
        <v>101</v>
      </c>
      <c r="G883" s="1" t="n">
        <v>2</v>
      </c>
      <c r="H883" s="1" t="n">
        <v>8</v>
      </c>
      <c r="I883" s="10" t="n">
        <v>39970</v>
      </c>
      <c r="J883" s="10" t="n">
        <v>39975</v>
      </c>
      <c r="K883" s="1" t="n">
        <v>5</v>
      </c>
      <c r="L883" s="1" t="n">
        <v>5</v>
      </c>
      <c r="M883" s="3" t="s">
        <v>32</v>
      </c>
      <c r="N883" s="3" t="s">
        <v>84</v>
      </c>
      <c r="O883" s="3" t="s">
        <v>168</v>
      </c>
      <c r="P883" s="2" t="str">
        <f aca="false">CONCATENATE(N883," ",O883)</f>
        <v>Walckenaeria atrotibialis</v>
      </c>
      <c r="Q883" s="1" t="s">
        <v>30</v>
      </c>
      <c r="R883" s="1" t="s">
        <v>31</v>
      </c>
      <c r="S883" s="1" t="n">
        <v>1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0</v>
      </c>
      <c r="Y883" s="3" t="n">
        <f aca="false">SUM(S883:T883)</f>
        <v>1</v>
      </c>
      <c r="Z883" s="3" t="n">
        <f aca="false">SUM(U883:W883)</f>
        <v>0</v>
      </c>
      <c r="AA883" s="3" t="n">
        <f aca="false">SUM(S883:X883)</f>
        <v>1</v>
      </c>
      <c r="AB883" s="11" t="n">
        <f aca="false">(AA883/(K883*L883)*25)*4</f>
        <v>4</v>
      </c>
    </row>
    <row r="884" customFormat="false" ht="14.25" hidden="false" customHeight="false" outlineLevel="0" collapsed="false">
      <c r="A884" s="1" t="n">
        <v>2009</v>
      </c>
      <c r="B884" s="7" t="s">
        <v>322</v>
      </c>
      <c r="C884" s="7" t="n">
        <v>2</v>
      </c>
      <c r="D884" s="7" t="s">
        <v>293</v>
      </c>
      <c r="E884" s="7" t="s">
        <v>293</v>
      </c>
      <c r="F884" s="7" t="s">
        <v>101</v>
      </c>
      <c r="G884" s="1" t="n">
        <v>2</v>
      </c>
      <c r="H884" s="1" t="n">
        <v>9</v>
      </c>
      <c r="I884" s="10" t="n">
        <v>39970</v>
      </c>
      <c r="J884" s="10" t="n">
        <v>39975</v>
      </c>
      <c r="K884" s="1" t="n">
        <v>5</v>
      </c>
      <c r="L884" s="1" t="n">
        <v>5</v>
      </c>
      <c r="M884" s="3" t="s">
        <v>48</v>
      </c>
      <c r="N884" s="3" t="s">
        <v>49</v>
      </c>
      <c r="O884" s="3" t="s">
        <v>104</v>
      </c>
      <c r="P884" s="2" t="str">
        <f aca="false">CONCATENATE(N884," ",O884)</f>
        <v>Alopecosa taeniata</v>
      </c>
      <c r="Q884" s="1" t="s">
        <v>30</v>
      </c>
      <c r="R884" s="1" t="s">
        <v>31</v>
      </c>
      <c r="S884" s="1" t="n">
        <v>5</v>
      </c>
      <c r="T884" s="1" t="n">
        <v>0</v>
      </c>
      <c r="U884" s="1" t="n">
        <v>0</v>
      </c>
      <c r="V884" s="1" t="n">
        <v>0</v>
      </c>
      <c r="W884" s="1" t="n">
        <v>0</v>
      </c>
      <c r="X884" s="1" t="n">
        <v>0</v>
      </c>
      <c r="Y884" s="3" t="n">
        <f aca="false">SUM(S884:T884)</f>
        <v>5</v>
      </c>
      <c r="Z884" s="3" t="n">
        <f aca="false">SUM(U884:W884)</f>
        <v>0</v>
      </c>
      <c r="AA884" s="3" t="n">
        <f aca="false">SUM(S884:X884)</f>
        <v>5</v>
      </c>
      <c r="AB884" s="11" t="n">
        <f aca="false">(AA884/(K884*L884)*25)*4</f>
        <v>20</v>
      </c>
    </row>
    <row r="885" customFormat="false" ht="14.25" hidden="false" customHeight="false" outlineLevel="0" collapsed="false">
      <c r="A885" s="1" t="n">
        <v>2009</v>
      </c>
      <c r="B885" s="7" t="s">
        <v>322</v>
      </c>
      <c r="C885" s="7" t="n">
        <v>2</v>
      </c>
      <c r="D885" s="7" t="s">
        <v>293</v>
      </c>
      <c r="E885" s="7" t="s">
        <v>293</v>
      </c>
      <c r="F885" s="7" t="s">
        <v>101</v>
      </c>
      <c r="G885" s="1" t="n">
        <v>2</v>
      </c>
      <c r="H885" s="1" t="n">
        <v>9</v>
      </c>
      <c r="I885" s="10" t="n">
        <v>39970</v>
      </c>
      <c r="J885" s="10" t="n">
        <v>39975</v>
      </c>
      <c r="K885" s="1" t="n">
        <v>5</v>
      </c>
      <c r="L885" s="1" t="n">
        <v>5</v>
      </c>
      <c r="M885" s="3" t="s">
        <v>48</v>
      </c>
      <c r="N885" s="3" t="s">
        <v>49</v>
      </c>
      <c r="O885" s="3" t="s">
        <v>104</v>
      </c>
      <c r="P885" s="2" t="str">
        <f aca="false">CONCATENATE(N885," ",O885)</f>
        <v>Alopecosa taeniata</v>
      </c>
      <c r="Q885" s="1" t="s">
        <v>30</v>
      </c>
      <c r="R885" s="1" t="s">
        <v>35</v>
      </c>
      <c r="S885" s="1" t="n">
        <v>0</v>
      </c>
      <c r="T885" s="1" t="n">
        <v>3</v>
      </c>
      <c r="U885" s="1" t="n">
        <v>0</v>
      </c>
      <c r="V885" s="1" t="n">
        <v>0</v>
      </c>
      <c r="W885" s="1" t="n">
        <v>0</v>
      </c>
      <c r="X885" s="1" t="n">
        <v>0</v>
      </c>
      <c r="Y885" s="3" t="n">
        <f aca="false">SUM(S885:T885)</f>
        <v>3</v>
      </c>
      <c r="Z885" s="3" t="n">
        <f aca="false">SUM(U885:W885)</f>
        <v>0</v>
      </c>
      <c r="AA885" s="3" t="n">
        <f aca="false">SUM(S885:X885)</f>
        <v>3</v>
      </c>
      <c r="AB885" s="11" t="n">
        <f aca="false">(AA885/(K885*L885)*25)*4</f>
        <v>12</v>
      </c>
    </row>
    <row r="886" customFormat="false" ht="14.25" hidden="false" customHeight="false" outlineLevel="0" collapsed="false">
      <c r="A886" s="1" t="n">
        <v>2009</v>
      </c>
      <c r="B886" s="7" t="s">
        <v>322</v>
      </c>
      <c r="C886" s="7" t="n">
        <v>2</v>
      </c>
      <c r="D886" s="7" t="s">
        <v>293</v>
      </c>
      <c r="E886" s="7" t="s">
        <v>293</v>
      </c>
      <c r="F886" s="7" t="s">
        <v>101</v>
      </c>
      <c r="G886" s="1" t="n">
        <v>2</v>
      </c>
      <c r="H886" s="1" t="n">
        <v>9</v>
      </c>
      <c r="I886" s="10" t="n">
        <v>39970</v>
      </c>
      <c r="J886" s="10" t="n">
        <v>39975</v>
      </c>
      <c r="K886" s="1" t="n">
        <v>5</v>
      </c>
      <c r="L886" s="1" t="n">
        <v>5</v>
      </c>
      <c r="M886" s="3" t="s">
        <v>48</v>
      </c>
      <c r="N886" s="3" t="s">
        <v>67</v>
      </c>
      <c r="O886" s="3" t="s">
        <v>127</v>
      </c>
      <c r="P886" s="2" t="str">
        <f aca="false">CONCATENATE(N886," ",O886)</f>
        <v>Pardosa lugubris</v>
      </c>
      <c r="Q886" s="1" t="s">
        <v>30</v>
      </c>
      <c r="R886" s="1" t="s">
        <v>31</v>
      </c>
      <c r="S886" s="1" t="n">
        <v>2</v>
      </c>
      <c r="T886" s="1" t="n">
        <v>0</v>
      </c>
      <c r="U886" s="1" t="n">
        <v>0</v>
      </c>
      <c r="V886" s="1" t="n">
        <v>0</v>
      </c>
      <c r="W886" s="1" t="n">
        <v>0</v>
      </c>
      <c r="X886" s="1" t="n">
        <v>0</v>
      </c>
      <c r="Y886" s="3" t="n">
        <f aca="false">SUM(S886:T886)</f>
        <v>2</v>
      </c>
      <c r="Z886" s="3" t="n">
        <f aca="false">SUM(U886:W886)</f>
        <v>0</v>
      </c>
      <c r="AA886" s="3" t="n">
        <f aca="false">SUM(S886:X886)</f>
        <v>2</v>
      </c>
      <c r="AB886" s="11" t="n">
        <f aca="false">(AA886/(K886*L886)*25)*4</f>
        <v>8</v>
      </c>
    </row>
    <row r="887" customFormat="false" ht="14.25" hidden="false" customHeight="false" outlineLevel="0" collapsed="false">
      <c r="A887" s="1" t="n">
        <v>2009</v>
      </c>
      <c r="B887" s="7" t="s">
        <v>322</v>
      </c>
      <c r="C887" s="7" t="n">
        <v>2</v>
      </c>
      <c r="D887" s="7" t="s">
        <v>293</v>
      </c>
      <c r="E887" s="7" t="s">
        <v>293</v>
      </c>
      <c r="F887" s="7" t="s">
        <v>101</v>
      </c>
      <c r="G887" s="1" t="n">
        <v>2</v>
      </c>
      <c r="H887" s="1" t="n">
        <v>9</v>
      </c>
      <c r="I887" s="10" t="n">
        <v>39970</v>
      </c>
      <c r="J887" s="10" t="n">
        <v>39975</v>
      </c>
      <c r="K887" s="1" t="n">
        <v>5</v>
      </c>
      <c r="L887" s="1" t="n">
        <v>5</v>
      </c>
      <c r="M887" s="3" t="s">
        <v>72</v>
      </c>
      <c r="N887" s="3" t="s">
        <v>86</v>
      </c>
      <c r="O887" s="8" t="s">
        <v>87</v>
      </c>
      <c r="P887" s="2" t="str">
        <f aca="false">CONCATENATE(N887," ",O887)</f>
        <v>Haplodrassus soerenseni</v>
      </c>
      <c r="Q887" s="1" t="s">
        <v>30</v>
      </c>
      <c r="R887" s="1" t="s">
        <v>31</v>
      </c>
      <c r="S887" s="1" t="n">
        <v>2</v>
      </c>
      <c r="T887" s="1" t="n">
        <v>0</v>
      </c>
      <c r="U887" s="1" t="n">
        <v>0</v>
      </c>
      <c r="V887" s="1" t="n">
        <v>0</v>
      </c>
      <c r="W887" s="1" t="n">
        <v>0</v>
      </c>
      <c r="X887" s="1" t="n">
        <v>0</v>
      </c>
      <c r="Y887" s="3" t="n">
        <f aca="false">SUM(S887:T887)</f>
        <v>2</v>
      </c>
      <c r="Z887" s="3" t="n">
        <f aca="false">SUM(U887:W887)</f>
        <v>0</v>
      </c>
      <c r="AA887" s="3" t="n">
        <f aca="false">SUM(S887:X887)</f>
        <v>2</v>
      </c>
      <c r="AB887" s="11" t="n">
        <f aca="false">(AA887/(K887*L887)*25)*4</f>
        <v>8</v>
      </c>
    </row>
    <row r="888" customFormat="false" ht="14.25" hidden="false" customHeight="false" outlineLevel="0" collapsed="false">
      <c r="A888" s="1" t="n">
        <v>2009</v>
      </c>
      <c r="B888" s="7" t="s">
        <v>322</v>
      </c>
      <c r="C888" s="7" t="n">
        <v>2</v>
      </c>
      <c r="D888" s="7" t="s">
        <v>293</v>
      </c>
      <c r="E888" s="7" t="s">
        <v>293</v>
      </c>
      <c r="F888" s="7" t="s">
        <v>101</v>
      </c>
      <c r="G888" s="1" t="n">
        <v>2</v>
      </c>
      <c r="H888" s="1" t="n">
        <v>9</v>
      </c>
      <c r="I888" s="10" t="n">
        <v>39970</v>
      </c>
      <c r="J888" s="10" t="n">
        <v>39975</v>
      </c>
      <c r="K888" s="1" t="n">
        <v>5</v>
      </c>
      <c r="L888" s="1" t="n">
        <v>5</v>
      </c>
      <c r="M888" s="3" t="s">
        <v>36</v>
      </c>
      <c r="N888" s="3" t="s">
        <v>131</v>
      </c>
      <c r="O888" s="3" t="s">
        <v>133</v>
      </c>
      <c r="P888" s="2" t="str">
        <f aca="false">CONCATENATE(N888," ",O888)</f>
        <v>Xysticus luctuosus</v>
      </c>
      <c r="Q888" s="1" t="s">
        <v>30</v>
      </c>
      <c r="R888" s="1" t="s">
        <v>35</v>
      </c>
      <c r="S888" s="1" t="n">
        <v>0</v>
      </c>
      <c r="T888" s="1" t="n">
        <v>2</v>
      </c>
      <c r="U888" s="1" t="n">
        <v>0</v>
      </c>
      <c r="V888" s="1" t="n">
        <v>0</v>
      </c>
      <c r="W888" s="1" t="n">
        <v>0</v>
      </c>
      <c r="X888" s="1" t="n">
        <v>0</v>
      </c>
      <c r="Y888" s="3" t="n">
        <f aca="false">SUM(S888:T888)</f>
        <v>2</v>
      </c>
      <c r="Z888" s="3" t="n">
        <f aca="false">SUM(U888:W888)</f>
        <v>0</v>
      </c>
      <c r="AA888" s="3" t="n">
        <f aca="false">SUM(S888:X888)</f>
        <v>2</v>
      </c>
      <c r="AB888" s="11" t="n">
        <f aca="false">(AA888/(K888*L888)*25)*4</f>
        <v>8</v>
      </c>
    </row>
    <row r="889" customFormat="false" ht="14.25" hidden="false" customHeight="false" outlineLevel="0" collapsed="false">
      <c r="A889" s="1" t="n">
        <v>2009</v>
      </c>
      <c r="B889" s="7" t="s">
        <v>322</v>
      </c>
      <c r="C889" s="7" t="n">
        <v>2</v>
      </c>
      <c r="D889" s="7" t="s">
        <v>293</v>
      </c>
      <c r="E889" s="7" t="s">
        <v>293</v>
      </c>
      <c r="F889" s="7" t="s">
        <v>101</v>
      </c>
      <c r="G889" s="1" t="n">
        <v>2</v>
      </c>
      <c r="H889" s="1" t="n">
        <v>9</v>
      </c>
      <c r="I889" s="10" t="n">
        <v>39970</v>
      </c>
      <c r="J889" s="10" t="n">
        <v>39975</v>
      </c>
      <c r="K889" s="1" t="n">
        <v>5</v>
      </c>
      <c r="L889" s="1" t="n">
        <v>5</v>
      </c>
      <c r="M889" s="3" t="s">
        <v>32</v>
      </c>
      <c r="N889" s="3" t="s">
        <v>62</v>
      </c>
      <c r="O889" s="3" t="s">
        <v>63</v>
      </c>
      <c r="P889" s="2" t="str">
        <f aca="false">CONCATENATE(N889," ",O889)</f>
        <v>Microneta viaria</v>
      </c>
      <c r="Q889" s="1" t="s">
        <v>30</v>
      </c>
      <c r="R889" s="1" t="s">
        <v>31</v>
      </c>
      <c r="S889" s="1" t="n">
        <v>1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0</v>
      </c>
      <c r="Y889" s="3" t="n">
        <f aca="false">SUM(S889:T889)</f>
        <v>1</v>
      </c>
      <c r="Z889" s="3" t="n">
        <f aca="false">SUM(U889:W889)</f>
        <v>0</v>
      </c>
      <c r="AA889" s="3" t="n">
        <f aca="false">SUM(S889:X889)</f>
        <v>1</v>
      </c>
      <c r="AB889" s="11" t="n">
        <f aca="false">(AA889/(K889*L889)*25)*4</f>
        <v>4</v>
      </c>
    </row>
    <row r="890" customFormat="false" ht="14.25" hidden="false" customHeight="false" outlineLevel="0" collapsed="false">
      <c r="A890" s="1" t="n">
        <v>2009</v>
      </c>
      <c r="B890" s="7" t="s">
        <v>322</v>
      </c>
      <c r="C890" s="7" t="n">
        <v>2</v>
      </c>
      <c r="D890" s="7" t="s">
        <v>293</v>
      </c>
      <c r="E890" s="7" t="s">
        <v>293</v>
      </c>
      <c r="F890" s="7" t="s">
        <v>101</v>
      </c>
      <c r="G890" s="1" t="n">
        <v>2</v>
      </c>
      <c r="H890" s="1" t="n">
        <v>9</v>
      </c>
      <c r="I890" s="10" t="n">
        <v>39970</v>
      </c>
      <c r="J890" s="10" t="n">
        <v>39975</v>
      </c>
      <c r="K890" s="1" t="n">
        <v>5</v>
      </c>
      <c r="L890" s="1" t="n">
        <v>5</v>
      </c>
      <c r="M890" s="3" t="s">
        <v>32</v>
      </c>
      <c r="N890" s="3" t="s">
        <v>102</v>
      </c>
      <c r="O890" s="3" t="s">
        <v>103</v>
      </c>
      <c r="P890" s="2" t="str">
        <f aca="false">CONCATENATE(N890," ",O890)</f>
        <v>Agyneta olivacea</v>
      </c>
      <c r="Q890" s="1" t="s">
        <v>30</v>
      </c>
      <c r="R890" s="1" t="s">
        <v>31</v>
      </c>
      <c r="S890" s="1" t="n">
        <v>1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0</v>
      </c>
      <c r="Y890" s="3" t="n">
        <f aca="false">SUM(S890:T890)</f>
        <v>1</v>
      </c>
      <c r="Z890" s="3" t="n">
        <f aca="false">SUM(U890:W890)</f>
        <v>0</v>
      </c>
      <c r="AA890" s="3" t="n">
        <f aca="false">SUM(S890:X890)</f>
        <v>1</v>
      </c>
      <c r="AB890" s="11" t="n">
        <f aca="false">(AA890/(K890*L890)*25)*4</f>
        <v>4</v>
      </c>
    </row>
    <row r="891" customFormat="false" ht="14.25" hidden="false" customHeight="false" outlineLevel="0" collapsed="false">
      <c r="A891" s="1" t="n">
        <v>2009</v>
      </c>
      <c r="B891" s="7" t="s">
        <v>322</v>
      </c>
      <c r="C891" s="7" t="n">
        <v>2</v>
      </c>
      <c r="D891" s="7" t="s">
        <v>293</v>
      </c>
      <c r="E891" s="7" t="s">
        <v>293</v>
      </c>
      <c r="F891" s="7" t="s">
        <v>101</v>
      </c>
      <c r="G891" s="1" t="n">
        <v>2</v>
      </c>
      <c r="H891" s="1" t="n">
        <v>10</v>
      </c>
      <c r="I891" s="10" t="n">
        <v>39970</v>
      </c>
      <c r="J891" s="10" t="n">
        <v>39975</v>
      </c>
      <c r="K891" s="1" t="n">
        <v>5</v>
      </c>
      <c r="L891" s="1" t="n">
        <v>5</v>
      </c>
      <c r="M891" s="3" t="s">
        <v>48</v>
      </c>
      <c r="N891" s="3" t="s">
        <v>49</v>
      </c>
      <c r="O891" s="3" t="s">
        <v>104</v>
      </c>
      <c r="P891" s="2" t="str">
        <f aca="false">CONCATENATE(N891," ",O891)</f>
        <v>Alopecosa taeniata</v>
      </c>
      <c r="Q891" s="1" t="s">
        <v>30</v>
      </c>
      <c r="R891" s="1" t="s">
        <v>31</v>
      </c>
      <c r="S891" s="1" t="n">
        <v>2</v>
      </c>
      <c r="T891" s="1" t="n">
        <v>0</v>
      </c>
      <c r="U891" s="1" t="n">
        <v>0</v>
      </c>
      <c r="V891" s="1" t="n">
        <v>0</v>
      </c>
      <c r="W891" s="1" t="n">
        <v>0</v>
      </c>
      <c r="X891" s="1" t="n">
        <v>0</v>
      </c>
      <c r="Y891" s="3" t="n">
        <f aca="false">SUM(S891:T891)</f>
        <v>2</v>
      </c>
      <c r="Z891" s="3" t="n">
        <f aca="false">SUM(U891:W891)</f>
        <v>0</v>
      </c>
      <c r="AA891" s="3" t="n">
        <f aca="false">SUM(S891:X891)</f>
        <v>2</v>
      </c>
      <c r="AB891" s="11" t="n">
        <f aca="false">(AA891/(K891*L891)*25)*4</f>
        <v>8</v>
      </c>
    </row>
    <row r="892" customFormat="false" ht="14.25" hidden="false" customHeight="false" outlineLevel="0" collapsed="false">
      <c r="A892" s="1" t="n">
        <v>2009</v>
      </c>
      <c r="B892" s="7" t="s">
        <v>322</v>
      </c>
      <c r="C892" s="7" t="n">
        <v>2</v>
      </c>
      <c r="D892" s="7" t="s">
        <v>293</v>
      </c>
      <c r="E892" s="7" t="s">
        <v>293</v>
      </c>
      <c r="F892" s="7" t="s">
        <v>101</v>
      </c>
      <c r="G892" s="1" t="n">
        <v>2</v>
      </c>
      <c r="H892" s="1" t="n">
        <v>10</v>
      </c>
      <c r="I892" s="10" t="n">
        <v>39970</v>
      </c>
      <c r="J892" s="10" t="n">
        <v>39975</v>
      </c>
      <c r="K892" s="1" t="n">
        <v>5</v>
      </c>
      <c r="L892" s="1" t="n">
        <v>5</v>
      </c>
      <c r="M892" s="3" t="s">
        <v>48</v>
      </c>
      <c r="N892" s="3" t="s">
        <v>67</v>
      </c>
      <c r="O892" s="3" t="s">
        <v>127</v>
      </c>
      <c r="P892" s="2" t="str">
        <f aca="false">CONCATENATE(N892," ",O892)</f>
        <v>Pardosa lugubris</v>
      </c>
      <c r="Q892" s="1" t="s">
        <v>30</v>
      </c>
      <c r="R892" s="1" t="s">
        <v>31</v>
      </c>
      <c r="S892" s="1" t="n">
        <v>3</v>
      </c>
      <c r="T892" s="1" t="n">
        <v>0</v>
      </c>
      <c r="U892" s="1" t="n">
        <v>0</v>
      </c>
      <c r="V892" s="1" t="n">
        <v>0</v>
      </c>
      <c r="W892" s="1" t="n">
        <v>0</v>
      </c>
      <c r="X892" s="1" t="n">
        <v>0</v>
      </c>
      <c r="Y892" s="3" t="n">
        <f aca="false">SUM(S892:T892)</f>
        <v>3</v>
      </c>
      <c r="Z892" s="3" t="n">
        <f aca="false">SUM(U892:W892)</f>
        <v>0</v>
      </c>
      <c r="AA892" s="3" t="n">
        <f aca="false">SUM(S892:X892)</f>
        <v>3</v>
      </c>
      <c r="AB892" s="11" t="n">
        <f aca="false">(AA892/(K892*L892)*25)*4</f>
        <v>12</v>
      </c>
    </row>
    <row r="893" customFormat="false" ht="14.25" hidden="false" customHeight="false" outlineLevel="0" collapsed="false">
      <c r="A893" s="1" t="n">
        <v>2009</v>
      </c>
      <c r="B893" s="7" t="s">
        <v>322</v>
      </c>
      <c r="C893" s="7" t="n">
        <v>2</v>
      </c>
      <c r="D893" s="7" t="s">
        <v>293</v>
      </c>
      <c r="E893" s="7" t="s">
        <v>293</v>
      </c>
      <c r="F893" s="7" t="s">
        <v>101</v>
      </c>
      <c r="G893" s="1" t="n">
        <v>3</v>
      </c>
      <c r="H893" s="1" t="n">
        <v>11</v>
      </c>
      <c r="I893" s="10" t="n">
        <v>39970</v>
      </c>
      <c r="J893" s="10" t="n">
        <v>39975</v>
      </c>
      <c r="K893" s="1" t="n">
        <v>5</v>
      </c>
      <c r="L893" s="1" t="n">
        <v>5</v>
      </c>
      <c r="M893" s="3" t="s">
        <v>48</v>
      </c>
      <c r="N893" s="3" t="s">
        <v>49</v>
      </c>
      <c r="O893" s="3" t="s">
        <v>104</v>
      </c>
      <c r="P893" s="2" t="str">
        <f aca="false">CONCATENATE(N893," ",O893)</f>
        <v>Alopecosa taeniata</v>
      </c>
      <c r="Q893" s="1" t="s">
        <v>30</v>
      </c>
      <c r="R893" s="1" t="s">
        <v>35</v>
      </c>
      <c r="S893" s="1" t="n">
        <v>0</v>
      </c>
      <c r="T893" s="1" t="n">
        <v>1</v>
      </c>
      <c r="U893" s="1" t="n">
        <v>0</v>
      </c>
      <c r="V893" s="1" t="n">
        <v>0</v>
      </c>
      <c r="W893" s="1" t="n">
        <v>0</v>
      </c>
      <c r="X893" s="1" t="n">
        <v>0</v>
      </c>
      <c r="Y893" s="3" t="n">
        <f aca="false">SUM(S893:T893)</f>
        <v>1</v>
      </c>
      <c r="Z893" s="3" t="n">
        <f aca="false">SUM(U893:W893)</f>
        <v>0</v>
      </c>
      <c r="AA893" s="3" t="n">
        <f aca="false">SUM(S893:X893)</f>
        <v>1</v>
      </c>
      <c r="AB893" s="11" t="n">
        <f aca="false">(AA893/(K893*L893)*25)*4</f>
        <v>4</v>
      </c>
    </row>
    <row r="894" customFormat="false" ht="14.25" hidden="false" customHeight="false" outlineLevel="0" collapsed="false">
      <c r="A894" s="1" t="n">
        <v>2009</v>
      </c>
      <c r="B894" s="7" t="s">
        <v>322</v>
      </c>
      <c r="C894" s="7" t="n">
        <v>2</v>
      </c>
      <c r="D894" s="7" t="s">
        <v>293</v>
      </c>
      <c r="E894" s="7" t="s">
        <v>293</v>
      </c>
      <c r="F894" s="7" t="s">
        <v>101</v>
      </c>
      <c r="G894" s="1" t="n">
        <v>3</v>
      </c>
      <c r="H894" s="1" t="n">
        <v>11</v>
      </c>
      <c r="I894" s="10" t="n">
        <v>39970</v>
      </c>
      <c r="J894" s="10" t="n">
        <v>39975</v>
      </c>
      <c r="K894" s="1" t="n">
        <v>5</v>
      </c>
      <c r="L894" s="1" t="n">
        <v>5</v>
      </c>
      <c r="M894" s="3" t="s">
        <v>48</v>
      </c>
      <c r="N894" s="3" t="s">
        <v>67</v>
      </c>
      <c r="O894" s="3" t="s">
        <v>127</v>
      </c>
      <c r="P894" s="2" t="str">
        <f aca="false">CONCATENATE(N894," ",O894)</f>
        <v>Pardosa lugubris</v>
      </c>
      <c r="Q894" s="1" t="s">
        <v>30</v>
      </c>
      <c r="R894" s="1" t="s">
        <v>31</v>
      </c>
      <c r="S894" s="1" t="n">
        <v>2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0</v>
      </c>
      <c r="Y894" s="3" t="n">
        <f aca="false">SUM(S894:T894)</f>
        <v>2</v>
      </c>
      <c r="Z894" s="3" t="n">
        <f aca="false">SUM(U894:W894)</f>
        <v>0</v>
      </c>
      <c r="AA894" s="3" t="n">
        <f aca="false">SUM(S894:X894)</f>
        <v>2</v>
      </c>
      <c r="AB894" s="11" t="n">
        <f aca="false">(AA894/(K894*L894)*25)*4</f>
        <v>8</v>
      </c>
    </row>
    <row r="895" customFormat="false" ht="14.25" hidden="false" customHeight="false" outlineLevel="0" collapsed="false">
      <c r="A895" s="1" t="n">
        <v>2009</v>
      </c>
      <c r="B895" s="7" t="s">
        <v>322</v>
      </c>
      <c r="C895" s="7" t="n">
        <v>2</v>
      </c>
      <c r="D895" s="7" t="s">
        <v>293</v>
      </c>
      <c r="E895" s="7" t="s">
        <v>293</v>
      </c>
      <c r="F895" s="7" t="s">
        <v>101</v>
      </c>
      <c r="G895" s="1" t="n">
        <v>3</v>
      </c>
      <c r="H895" s="1" t="n">
        <v>11</v>
      </c>
      <c r="I895" s="10" t="n">
        <v>39970</v>
      </c>
      <c r="J895" s="10" t="n">
        <v>39975</v>
      </c>
      <c r="K895" s="1" t="n">
        <v>5</v>
      </c>
      <c r="L895" s="1" t="n">
        <v>5</v>
      </c>
      <c r="M895" s="3" t="s">
        <v>36</v>
      </c>
      <c r="N895" s="3" t="s">
        <v>37</v>
      </c>
      <c r="O895" s="8" t="s">
        <v>75</v>
      </c>
      <c r="P895" s="2" t="str">
        <f aca="false">CONCATENATE(N895," ",O895)</f>
        <v>Ozyptila praticola</v>
      </c>
      <c r="Q895" s="1" t="s">
        <v>30</v>
      </c>
      <c r="R895" s="1" t="s">
        <v>31</v>
      </c>
      <c r="S895" s="1" t="n">
        <v>1</v>
      </c>
      <c r="T895" s="1" t="n">
        <v>0</v>
      </c>
      <c r="U895" s="1" t="n">
        <v>0</v>
      </c>
      <c r="V895" s="1" t="n">
        <v>0</v>
      </c>
      <c r="W895" s="1" t="n">
        <v>0</v>
      </c>
      <c r="X895" s="1" t="n">
        <v>0</v>
      </c>
      <c r="Y895" s="3" t="n">
        <f aca="false">SUM(S895:T895)</f>
        <v>1</v>
      </c>
      <c r="Z895" s="3" t="n">
        <f aca="false">SUM(U895:W895)</f>
        <v>0</v>
      </c>
      <c r="AA895" s="3" t="n">
        <f aca="false">SUM(S895:X895)</f>
        <v>1</v>
      </c>
      <c r="AB895" s="11" t="n">
        <f aca="false">(AA895/(K895*L895)*25)*4</f>
        <v>4</v>
      </c>
    </row>
    <row r="896" customFormat="false" ht="14.25" hidden="false" customHeight="false" outlineLevel="0" collapsed="false">
      <c r="A896" s="1" t="n">
        <v>2009</v>
      </c>
      <c r="B896" s="7" t="s">
        <v>322</v>
      </c>
      <c r="C896" s="7" t="n">
        <v>2</v>
      </c>
      <c r="D896" s="7" t="s">
        <v>293</v>
      </c>
      <c r="E896" s="7" t="s">
        <v>293</v>
      </c>
      <c r="F896" s="7" t="s">
        <v>101</v>
      </c>
      <c r="G896" s="1" t="n">
        <v>3</v>
      </c>
      <c r="H896" s="1" t="n">
        <v>11</v>
      </c>
      <c r="I896" s="10" t="n">
        <v>39970</v>
      </c>
      <c r="J896" s="10" t="n">
        <v>39975</v>
      </c>
      <c r="K896" s="1" t="n">
        <v>5</v>
      </c>
      <c r="L896" s="1" t="n">
        <v>5</v>
      </c>
      <c r="M896" s="3" t="s">
        <v>72</v>
      </c>
      <c r="N896" s="3" t="s">
        <v>86</v>
      </c>
      <c r="O896" s="8" t="s">
        <v>87</v>
      </c>
      <c r="P896" s="2" t="str">
        <f aca="false">CONCATENATE(N896," ",O896)</f>
        <v>Haplodrassus soerenseni</v>
      </c>
      <c r="Q896" s="1" t="s">
        <v>30</v>
      </c>
      <c r="R896" s="1" t="s">
        <v>31</v>
      </c>
      <c r="S896" s="1" t="n">
        <v>1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0</v>
      </c>
      <c r="Y896" s="3" t="n">
        <f aca="false">SUM(S896:T896)</f>
        <v>1</v>
      </c>
      <c r="Z896" s="3" t="n">
        <f aca="false">SUM(U896:W896)</f>
        <v>0</v>
      </c>
      <c r="AA896" s="3" t="n">
        <f aca="false">SUM(S896:X896)</f>
        <v>1</v>
      </c>
      <c r="AB896" s="11" t="n">
        <f aca="false">(AA896/(K896*L896)*25)*4</f>
        <v>4</v>
      </c>
    </row>
    <row r="897" customFormat="false" ht="14.25" hidden="false" customHeight="false" outlineLevel="0" collapsed="false">
      <c r="A897" s="1" t="n">
        <v>2009</v>
      </c>
      <c r="B897" s="7" t="s">
        <v>322</v>
      </c>
      <c r="C897" s="7" t="n">
        <v>2</v>
      </c>
      <c r="D897" s="7" t="s">
        <v>293</v>
      </c>
      <c r="E897" s="7" t="s">
        <v>293</v>
      </c>
      <c r="F897" s="7" t="s">
        <v>101</v>
      </c>
      <c r="G897" s="1" t="n">
        <v>3</v>
      </c>
      <c r="H897" s="1" t="n">
        <v>11</v>
      </c>
      <c r="I897" s="10" t="n">
        <v>39970</v>
      </c>
      <c r="J897" s="10" t="n">
        <v>39975</v>
      </c>
      <c r="K897" s="1" t="n">
        <v>5</v>
      </c>
      <c r="L897" s="1" t="n">
        <v>5</v>
      </c>
      <c r="M897" s="3" t="s">
        <v>27</v>
      </c>
      <c r="N897" s="3" t="s">
        <v>28</v>
      </c>
      <c r="O897" s="3" t="s">
        <v>29</v>
      </c>
      <c r="P897" s="2" t="str">
        <f aca="false">CONCATENATE(N897," ",O897)</f>
        <v>Robertus lividus</v>
      </c>
      <c r="Q897" s="1" t="s">
        <v>30</v>
      </c>
      <c r="R897" s="1" t="s">
        <v>31</v>
      </c>
      <c r="S897" s="1" t="n">
        <v>1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0</v>
      </c>
      <c r="Y897" s="3" t="n">
        <f aca="false">SUM(S897:T897)</f>
        <v>1</v>
      </c>
      <c r="Z897" s="3" t="n">
        <f aca="false">SUM(U897:W897)</f>
        <v>0</v>
      </c>
      <c r="AA897" s="3" t="n">
        <f aca="false">SUM(S897:X897)</f>
        <v>1</v>
      </c>
      <c r="AB897" s="11" t="n">
        <f aca="false">(AA897/(K897*L897)*25)*4</f>
        <v>4</v>
      </c>
    </row>
    <row r="898" customFormat="false" ht="14.25" hidden="false" customHeight="false" outlineLevel="0" collapsed="false">
      <c r="A898" s="1" t="n">
        <v>2009</v>
      </c>
      <c r="B898" s="7" t="s">
        <v>322</v>
      </c>
      <c r="C898" s="7" t="n">
        <v>2</v>
      </c>
      <c r="D898" s="7" t="s">
        <v>293</v>
      </c>
      <c r="E898" s="7" t="s">
        <v>293</v>
      </c>
      <c r="F898" s="7" t="s">
        <v>101</v>
      </c>
      <c r="G898" s="1" t="n">
        <v>3</v>
      </c>
      <c r="H898" s="1" t="n">
        <v>11</v>
      </c>
      <c r="I898" s="10" t="n">
        <v>39970</v>
      </c>
      <c r="J898" s="10" t="n">
        <v>39975</v>
      </c>
      <c r="K898" s="1" t="n">
        <v>5</v>
      </c>
      <c r="L898" s="1" t="n">
        <v>5</v>
      </c>
      <c r="M898" s="13" t="s">
        <v>32</v>
      </c>
      <c r="N898" s="13" t="s">
        <v>96</v>
      </c>
      <c r="O898" s="14" t="s">
        <v>97</v>
      </c>
      <c r="P898" s="2" t="str">
        <f aca="false">CONCATENATE(N898," ",O898)</f>
        <v>Diplocephalus picinus</v>
      </c>
      <c r="Q898" s="1" t="s">
        <v>30</v>
      </c>
      <c r="R898" s="1" t="s">
        <v>31</v>
      </c>
      <c r="S898" s="1" t="n">
        <v>1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0</v>
      </c>
      <c r="Y898" s="3" t="n">
        <f aca="false">SUM(S898:T898)</f>
        <v>1</v>
      </c>
      <c r="Z898" s="3" t="n">
        <f aca="false">SUM(U898:W898)</f>
        <v>0</v>
      </c>
      <c r="AA898" s="3" t="n">
        <f aca="false">SUM(S898:X898)</f>
        <v>1</v>
      </c>
      <c r="AB898" s="11" t="n">
        <f aca="false">(AA898/(K898*L898)*25)*4</f>
        <v>4</v>
      </c>
    </row>
    <row r="899" customFormat="false" ht="14.25" hidden="false" customHeight="false" outlineLevel="0" collapsed="false">
      <c r="A899" s="1" t="n">
        <v>2009</v>
      </c>
      <c r="B899" s="7" t="s">
        <v>322</v>
      </c>
      <c r="C899" s="7" t="n">
        <v>2</v>
      </c>
      <c r="D899" s="7" t="s">
        <v>293</v>
      </c>
      <c r="E899" s="7" t="s">
        <v>293</v>
      </c>
      <c r="F899" s="7" t="s">
        <v>101</v>
      </c>
      <c r="G899" s="1" t="n">
        <v>3</v>
      </c>
      <c r="H899" s="1" t="n">
        <v>12</v>
      </c>
      <c r="I899" s="10" t="n">
        <v>39970</v>
      </c>
      <c r="J899" s="10" t="n">
        <v>39975</v>
      </c>
      <c r="K899" s="1" t="n">
        <v>5</v>
      </c>
      <c r="L899" s="1" t="n">
        <v>5</v>
      </c>
      <c r="M899" s="3" t="s">
        <v>48</v>
      </c>
      <c r="N899" s="3" t="s">
        <v>49</v>
      </c>
      <c r="O899" s="3" t="s">
        <v>104</v>
      </c>
      <c r="P899" s="2" t="str">
        <f aca="false">CONCATENATE(N899," ",O899)</f>
        <v>Alopecosa taeniata</v>
      </c>
      <c r="Q899" s="1" t="s">
        <v>30</v>
      </c>
      <c r="R899" s="1" t="s">
        <v>31</v>
      </c>
      <c r="S899" s="1" t="n">
        <v>6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0</v>
      </c>
      <c r="Y899" s="3" t="n">
        <f aca="false">SUM(S899:T899)</f>
        <v>6</v>
      </c>
      <c r="Z899" s="3" t="n">
        <f aca="false">SUM(U899:W899)</f>
        <v>0</v>
      </c>
      <c r="AA899" s="3" t="n">
        <f aca="false">SUM(S899:X899)</f>
        <v>6</v>
      </c>
      <c r="AB899" s="11" t="n">
        <f aca="false">(AA899/(K899*L899)*25)*4</f>
        <v>24</v>
      </c>
    </row>
    <row r="900" customFormat="false" ht="14.25" hidden="false" customHeight="false" outlineLevel="0" collapsed="false">
      <c r="A900" s="1" t="n">
        <v>2009</v>
      </c>
      <c r="B900" s="7" t="s">
        <v>322</v>
      </c>
      <c r="C900" s="7" t="n">
        <v>2</v>
      </c>
      <c r="D900" s="7" t="s">
        <v>293</v>
      </c>
      <c r="E900" s="7" t="s">
        <v>293</v>
      </c>
      <c r="F900" s="7" t="s">
        <v>101</v>
      </c>
      <c r="G900" s="1" t="n">
        <v>3</v>
      </c>
      <c r="H900" s="1" t="n">
        <v>12</v>
      </c>
      <c r="I900" s="10" t="n">
        <v>39970</v>
      </c>
      <c r="J900" s="10" t="n">
        <v>39975</v>
      </c>
      <c r="K900" s="1" t="n">
        <v>5</v>
      </c>
      <c r="L900" s="1" t="n">
        <v>5</v>
      </c>
      <c r="M900" s="3" t="s">
        <v>48</v>
      </c>
      <c r="N900" s="3" t="s">
        <v>67</v>
      </c>
      <c r="O900" s="3" t="s">
        <v>127</v>
      </c>
      <c r="P900" s="2" t="str">
        <f aca="false">CONCATENATE(N900," ",O900)</f>
        <v>Pardosa lugubris</v>
      </c>
      <c r="Q900" s="1" t="s">
        <v>30</v>
      </c>
      <c r="R900" s="1" t="s">
        <v>31</v>
      </c>
      <c r="S900" s="1" t="n">
        <v>5</v>
      </c>
      <c r="T900" s="1" t="n">
        <v>0</v>
      </c>
      <c r="U900" s="1" t="n">
        <v>0</v>
      </c>
      <c r="V900" s="1" t="n">
        <v>0</v>
      </c>
      <c r="W900" s="1" t="n">
        <v>0</v>
      </c>
      <c r="X900" s="1" t="n">
        <v>0</v>
      </c>
      <c r="Y900" s="3" t="n">
        <f aca="false">SUM(S900:T900)</f>
        <v>5</v>
      </c>
      <c r="Z900" s="3" t="n">
        <f aca="false">SUM(U900:W900)</f>
        <v>0</v>
      </c>
      <c r="AA900" s="3" t="n">
        <f aca="false">SUM(S900:X900)</f>
        <v>5</v>
      </c>
      <c r="AB900" s="11" t="n">
        <f aca="false">(AA900/(K900*L900)*25)*4</f>
        <v>20</v>
      </c>
    </row>
    <row r="901" customFormat="false" ht="14.25" hidden="false" customHeight="false" outlineLevel="0" collapsed="false">
      <c r="A901" s="1" t="n">
        <v>2009</v>
      </c>
      <c r="B901" s="7" t="s">
        <v>322</v>
      </c>
      <c r="C901" s="7" t="n">
        <v>2</v>
      </c>
      <c r="D901" s="7" t="s">
        <v>293</v>
      </c>
      <c r="E901" s="7" t="s">
        <v>293</v>
      </c>
      <c r="F901" s="7" t="s">
        <v>101</v>
      </c>
      <c r="G901" s="1" t="n">
        <v>3</v>
      </c>
      <c r="H901" s="1" t="n">
        <v>12</v>
      </c>
      <c r="I901" s="10" t="n">
        <v>39970</v>
      </c>
      <c r="J901" s="10" t="n">
        <v>39975</v>
      </c>
      <c r="K901" s="1" t="n">
        <v>5</v>
      </c>
      <c r="L901" s="1" t="n">
        <v>5</v>
      </c>
      <c r="M901" s="3" t="s">
        <v>48</v>
      </c>
      <c r="N901" s="3" t="s">
        <v>61</v>
      </c>
      <c r="O901" s="3" t="s">
        <v>82</v>
      </c>
      <c r="P901" s="2" t="str">
        <f aca="false">CONCATENATE(N901," ",O901)</f>
        <v>Trochosa terricola</v>
      </c>
      <c r="Q901" s="1" t="s">
        <v>30</v>
      </c>
      <c r="R901" s="1" t="s">
        <v>31</v>
      </c>
      <c r="S901" s="1" t="n">
        <v>2</v>
      </c>
      <c r="T901" s="1" t="n">
        <v>0</v>
      </c>
      <c r="U901" s="1" t="n">
        <v>0</v>
      </c>
      <c r="V901" s="1" t="n">
        <v>0</v>
      </c>
      <c r="W901" s="1" t="n">
        <v>0</v>
      </c>
      <c r="X901" s="1" t="n">
        <v>0</v>
      </c>
      <c r="Y901" s="3" t="n">
        <f aca="false">SUM(S901:T901)</f>
        <v>2</v>
      </c>
      <c r="Z901" s="3" t="n">
        <f aca="false">SUM(U901:W901)</f>
        <v>0</v>
      </c>
      <c r="AA901" s="3" t="n">
        <f aca="false">SUM(S901:X901)</f>
        <v>2</v>
      </c>
      <c r="AB901" s="11" t="n">
        <f aca="false">(AA901/(K901*L901)*25)*4</f>
        <v>8</v>
      </c>
    </row>
    <row r="902" customFormat="false" ht="14.25" hidden="false" customHeight="false" outlineLevel="0" collapsed="false">
      <c r="A902" s="1" t="n">
        <v>2009</v>
      </c>
      <c r="B902" s="7" t="s">
        <v>322</v>
      </c>
      <c r="C902" s="7" t="n">
        <v>2</v>
      </c>
      <c r="D902" s="7" t="s">
        <v>293</v>
      </c>
      <c r="E902" s="7" t="s">
        <v>293</v>
      </c>
      <c r="F902" s="7" t="s">
        <v>101</v>
      </c>
      <c r="G902" s="1" t="n">
        <v>3</v>
      </c>
      <c r="H902" s="1" t="n">
        <v>12</v>
      </c>
      <c r="I902" s="10" t="n">
        <v>39970</v>
      </c>
      <c r="J902" s="10" t="n">
        <v>39975</v>
      </c>
      <c r="K902" s="1" t="n">
        <v>5</v>
      </c>
      <c r="L902" s="1" t="n">
        <v>5</v>
      </c>
      <c r="M902" s="3" t="s">
        <v>32</v>
      </c>
      <c r="N902" s="3" t="s">
        <v>90</v>
      </c>
      <c r="O902" s="3" t="s">
        <v>91</v>
      </c>
      <c r="P902" s="2" t="str">
        <f aca="false">CONCATENATE(N902," ",O902)</f>
        <v>Tapinocyba insecta</v>
      </c>
      <c r="Q902" s="1" t="s">
        <v>30</v>
      </c>
      <c r="R902" s="1" t="s">
        <v>31</v>
      </c>
      <c r="S902" s="1" t="n">
        <v>1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0</v>
      </c>
      <c r="Y902" s="3" t="n">
        <f aca="false">SUM(S902:T902)</f>
        <v>1</v>
      </c>
      <c r="Z902" s="3" t="n">
        <f aca="false">SUM(U902:W902)</f>
        <v>0</v>
      </c>
      <c r="AA902" s="3" t="n">
        <f aca="false">SUM(S902:X902)</f>
        <v>1</v>
      </c>
      <c r="AB902" s="11" t="n">
        <f aca="false">(AA902/(K902*L902)*25)*4</f>
        <v>4</v>
      </c>
    </row>
    <row r="903" customFormat="false" ht="14.25" hidden="false" customHeight="false" outlineLevel="0" collapsed="false">
      <c r="A903" s="1" t="n">
        <v>2009</v>
      </c>
      <c r="B903" s="7" t="s">
        <v>322</v>
      </c>
      <c r="C903" s="7" t="n">
        <v>2</v>
      </c>
      <c r="D903" s="7" t="s">
        <v>293</v>
      </c>
      <c r="E903" s="7" t="s">
        <v>293</v>
      </c>
      <c r="F903" s="7" t="s">
        <v>101</v>
      </c>
      <c r="G903" s="1" t="n">
        <v>3</v>
      </c>
      <c r="H903" s="1" t="n">
        <v>12</v>
      </c>
      <c r="I903" s="10" t="n">
        <v>39970</v>
      </c>
      <c r="J903" s="10" t="n">
        <v>39975</v>
      </c>
      <c r="K903" s="1" t="n">
        <v>5</v>
      </c>
      <c r="L903" s="1" t="n">
        <v>5</v>
      </c>
      <c r="M903" s="3" t="s">
        <v>32</v>
      </c>
      <c r="N903" s="3" t="s">
        <v>90</v>
      </c>
      <c r="O903" s="3" t="s">
        <v>91</v>
      </c>
      <c r="P903" s="2" t="str">
        <f aca="false">CONCATENATE(N903," ",O903)</f>
        <v>Tapinocyba insecta</v>
      </c>
      <c r="Q903" s="1" t="s">
        <v>30</v>
      </c>
      <c r="R903" s="1" t="s">
        <v>35</v>
      </c>
      <c r="S903" s="1" t="n">
        <v>0</v>
      </c>
      <c r="T903" s="1" t="n">
        <v>1</v>
      </c>
      <c r="U903" s="1" t="n">
        <v>0</v>
      </c>
      <c r="V903" s="1" t="n">
        <v>0</v>
      </c>
      <c r="W903" s="1" t="n">
        <v>0</v>
      </c>
      <c r="X903" s="1" t="n">
        <v>0</v>
      </c>
      <c r="Y903" s="3" t="n">
        <f aca="false">SUM(S903:T903)</f>
        <v>1</v>
      </c>
      <c r="Z903" s="3" t="n">
        <f aca="false">SUM(U903:W903)</f>
        <v>0</v>
      </c>
      <c r="AA903" s="3" t="n">
        <f aca="false">SUM(S903:X903)</f>
        <v>1</v>
      </c>
      <c r="AB903" s="11" t="n">
        <f aca="false">(AA903/(K903*L903)*25)*4</f>
        <v>4</v>
      </c>
    </row>
    <row r="904" customFormat="false" ht="14.25" hidden="false" customHeight="false" outlineLevel="0" collapsed="false">
      <c r="A904" s="1" t="n">
        <v>2009</v>
      </c>
      <c r="B904" s="7" t="s">
        <v>322</v>
      </c>
      <c r="C904" s="7" t="n">
        <v>2</v>
      </c>
      <c r="D904" s="7" t="s">
        <v>293</v>
      </c>
      <c r="E904" s="7" t="s">
        <v>293</v>
      </c>
      <c r="F904" s="7" t="s">
        <v>101</v>
      </c>
      <c r="G904" s="1" t="n">
        <v>3</v>
      </c>
      <c r="H904" s="1" t="n">
        <v>12</v>
      </c>
      <c r="I904" s="10" t="n">
        <v>39970</v>
      </c>
      <c r="J904" s="10" t="n">
        <v>39975</v>
      </c>
      <c r="K904" s="1" t="n">
        <v>5</v>
      </c>
      <c r="L904" s="1" t="n">
        <v>5</v>
      </c>
      <c r="M904" s="13" t="s">
        <v>32</v>
      </c>
      <c r="N904" s="13" t="s">
        <v>96</v>
      </c>
      <c r="O904" s="14" t="s">
        <v>97</v>
      </c>
      <c r="P904" s="2" t="str">
        <f aca="false">CONCATENATE(N904," ",O904)</f>
        <v>Diplocephalus picinus</v>
      </c>
      <c r="Q904" s="1" t="s">
        <v>30</v>
      </c>
      <c r="R904" s="1" t="s">
        <v>31</v>
      </c>
      <c r="S904" s="1" t="n">
        <v>2</v>
      </c>
      <c r="T904" s="1" t="n">
        <v>0</v>
      </c>
      <c r="U904" s="1" t="n">
        <v>0</v>
      </c>
      <c r="V904" s="1" t="n">
        <v>0</v>
      </c>
      <c r="W904" s="1" t="n">
        <v>0</v>
      </c>
      <c r="X904" s="1" t="n">
        <v>0</v>
      </c>
      <c r="Y904" s="3" t="n">
        <f aca="false">SUM(S904:T904)</f>
        <v>2</v>
      </c>
      <c r="Z904" s="3" t="n">
        <f aca="false">SUM(U904:W904)</f>
        <v>0</v>
      </c>
      <c r="AA904" s="3" t="n">
        <f aca="false">SUM(S904:X904)</f>
        <v>2</v>
      </c>
      <c r="AB904" s="11" t="n">
        <f aca="false">(AA904/(K904*L904)*25)*4</f>
        <v>8</v>
      </c>
    </row>
    <row r="905" customFormat="false" ht="14.25" hidden="false" customHeight="false" outlineLevel="0" collapsed="false">
      <c r="A905" s="1" t="n">
        <v>2009</v>
      </c>
      <c r="B905" s="7" t="s">
        <v>322</v>
      </c>
      <c r="C905" s="7" t="n">
        <v>2</v>
      </c>
      <c r="D905" s="7" t="s">
        <v>293</v>
      </c>
      <c r="E905" s="7" t="s">
        <v>293</v>
      </c>
      <c r="F905" s="7" t="s">
        <v>101</v>
      </c>
      <c r="G905" s="1" t="n">
        <v>3</v>
      </c>
      <c r="H905" s="1" t="n">
        <v>12</v>
      </c>
      <c r="I905" s="10" t="n">
        <v>39970</v>
      </c>
      <c r="J905" s="10" t="n">
        <v>39975</v>
      </c>
      <c r="K905" s="1" t="n">
        <v>5</v>
      </c>
      <c r="L905" s="1" t="n">
        <v>5</v>
      </c>
      <c r="M905" s="3" t="s">
        <v>32</v>
      </c>
      <c r="N905" s="3" t="s">
        <v>55</v>
      </c>
      <c r="O905" s="3" t="s">
        <v>194</v>
      </c>
      <c r="P905" s="2" t="str">
        <f aca="false">CONCATENATE(N905," ",O905)</f>
        <v>Maro pansibiricus</v>
      </c>
      <c r="Q905" s="1" t="s">
        <v>30</v>
      </c>
      <c r="R905" s="1" t="s">
        <v>31</v>
      </c>
      <c r="S905" s="1" t="n">
        <v>1</v>
      </c>
      <c r="T905" s="1" t="n">
        <v>0</v>
      </c>
      <c r="U905" s="1" t="n">
        <v>0</v>
      </c>
      <c r="V905" s="1" t="n">
        <v>0</v>
      </c>
      <c r="W905" s="1" t="n">
        <v>0</v>
      </c>
      <c r="X905" s="1" t="n">
        <v>0</v>
      </c>
      <c r="Y905" s="3" t="n">
        <f aca="false">SUM(S905:T905)</f>
        <v>1</v>
      </c>
      <c r="Z905" s="3" t="n">
        <f aca="false">SUM(U905:W905)</f>
        <v>0</v>
      </c>
      <c r="AA905" s="3" t="n">
        <f aca="false">SUM(S905:X905)</f>
        <v>1</v>
      </c>
      <c r="AB905" s="11" t="n">
        <f aca="false">(AA905/(K905*L905)*25)*4</f>
        <v>4</v>
      </c>
    </row>
    <row r="906" customFormat="false" ht="14.25" hidden="false" customHeight="false" outlineLevel="0" collapsed="false">
      <c r="A906" s="1" t="n">
        <v>2009</v>
      </c>
      <c r="B906" s="7" t="s">
        <v>322</v>
      </c>
      <c r="C906" s="7" t="n">
        <v>2</v>
      </c>
      <c r="D906" s="7" t="s">
        <v>293</v>
      </c>
      <c r="E906" s="7" t="s">
        <v>293</v>
      </c>
      <c r="F906" s="7" t="s">
        <v>101</v>
      </c>
      <c r="G906" s="1" t="n">
        <v>3</v>
      </c>
      <c r="H906" s="1" t="n">
        <v>12</v>
      </c>
      <c r="I906" s="10" t="n">
        <v>39970</v>
      </c>
      <c r="J906" s="10" t="n">
        <v>39975</v>
      </c>
      <c r="K906" s="1" t="n">
        <v>5</v>
      </c>
      <c r="L906" s="1" t="n">
        <v>5</v>
      </c>
      <c r="M906" s="3" t="s">
        <v>32</v>
      </c>
      <c r="N906" s="3" t="s">
        <v>33</v>
      </c>
      <c r="O906" s="3" t="s">
        <v>60</v>
      </c>
      <c r="P906" s="2" t="str">
        <f aca="false">CONCATENATE(N906," ",O906)</f>
        <v>Tenuiphantes tenebricola</v>
      </c>
      <c r="Q906" s="1" t="s">
        <v>30</v>
      </c>
      <c r="R906" s="1" t="s">
        <v>31</v>
      </c>
      <c r="S906" s="1" t="n">
        <v>1</v>
      </c>
      <c r="T906" s="1" t="n">
        <v>0</v>
      </c>
      <c r="U906" s="1" t="n">
        <v>0</v>
      </c>
      <c r="V906" s="1" t="n">
        <v>0</v>
      </c>
      <c r="W906" s="1" t="n">
        <v>0</v>
      </c>
      <c r="X906" s="1" t="n">
        <v>0</v>
      </c>
      <c r="Y906" s="3" t="n">
        <f aca="false">SUM(S906:T906)</f>
        <v>1</v>
      </c>
      <c r="Z906" s="3" t="n">
        <f aca="false">SUM(U906:W906)</f>
        <v>0</v>
      </c>
      <c r="AA906" s="3" t="n">
        <f aca="false">SUM(S906:X906)</f>
        <v>1</v>
      </c>
      <c r="AB906" s="11" t="n">
        <f aca="false">(AA906/(K906*L906)*25)*4</f>
        <v>4</v>
      </c>
    </row>
    <row r="907" customFormat="false" ht="14.25" hidden="false" customHeight="false" outlineLevel="0" collapsed="false">
      <c r="A907" s="1" t="n">
        <v>2009</v>
      </c>
      <c r="B907" s="7" t="s">
        <v>322</v>
      </c>
      <c r="C907" s="7" t="n">
        <v>2</v>
      </c>
      <c r="D907" s="7" t="s">
        <v>293</v>
      </c>
      <c r="E907" s="7" t="s">
        <v>293</v>
      </c>
      <c r="F907" s="7" t="s">
        <v>101</v>
      </c>
      <c r="G907" s="1" t="n">
        <v>3</v>
      </c>
      <c r="H907" s="1" t="n">
        <v>13</v>
      </c>
      <c r="I907" s="10" t="n">
        <v>39970</v>
      </c>
      <c r="J907" s="10" t="n">
        <v>39975</v>
      </c>
      <c r="K907" s="1" t="n">
        <v>5</v>
      </c>
      <c r="L907" s="1" t="n">
        <v>5</v>
      </c>
      <c r="M907" s="3" t="s">
        <v>48</v>
      </c>
      <c r="N907" s="3" t="s">
        <v>49</v>
      </c>
      <c r="O907" s="3" t="s">
        <v>104</v>
      </c>
      <c r="P907" s="2" t="str">
        <f aca="false">CONCATENATE(N907," ",O907)</f>
        <v>Alopecosa taeniata</v>
      </c>
      <c r="Q907" s="1" t="s">
        <v>30</v>
      </c>
      <c r="R907" s="1" t="s">
        <v>31</v>
      </c>
      <c r="S907" s="1" t="n">
        <v>1</v>
      </c>
      <c r="T907" s="1" t="n">
        <v>0</v>
      </c>
      <c r="U907" s="1" t="n">
        <v>0</v>
      </c>
      <c r="V907" s="1" t="n">
        <v>0</v>
      </c>
      <c r="W907" s="1" t="n">
        <v>0</v>
      </c>
      <c r="X907" s="1" t="n">
        <v>0</v>
      </c>
      <c r="Y907" s="3" t="n">
        <f aca="false">SUM(S907:T907)</f>
        <v>1</v>
      </c>
      <c r="Z907" s="3" t="n">
        <f aca="false">SUM(U907:W907)</f>
        <v>0</v>
      </c>
      <c r="AA907" s="3" t="n">
        <f aca="false">SUM(S907:X907)</f>
        <v>1</v>
      </c>
      <c r="AB907" s="11" t="n">
        <f aca="false">(AA907/(K907*L907)*25)*4</f>
        <v>4</v>
      </c>
    </row>
    <row r="908" customFormat="false" ht="14.25" hidden="false" customHeight="false" outlineLevel="0" collapsed="false">
      <c r="A908" s="1" t="n">
        <v>2009</v>
      </c>
      <c r="B908" s="7" t="s">
        <v>322</v>
      </c>
      <c r="C908" s="7" t="n">
        <v>2</v>
      </c>
      <c r="D908" s="7" t="s">
        <v>293</v>
      </c>
      <c r="E908" s="7" t="s">
        <v>293</v>
      </c>
      <c r="F908" s="7" t="s">
        <v>101</v>
      </c>
      <c r="G908" s="1" t="n">
        <v>3</v>
      </c>
      <c r="H908" s="1" t="n">
        <v>13</v>
      </c>
      <c r="I908" s="10" t="n">
        <v>39970</v>
      </c>
      <c r="J908" s="10" t="n">
        <v>39975</v>
      </c>
      <c r="K908" s="1" t="n">
        <v>5</v>
      </c>
      <c r="L908" s="1" t="n">
        <v>5</v>
      </c>
      <c r="M908" s="3" t="s">
        <v>48</v>
      </c>
      <c r="N908" s="3" t="s">
        <v>49</v>
      </c>
      <c r="O908" s="3" t="s">
        <v>104</v>
      </c>
      <c r="P908" s="2" t="str">
        <f aca="false">CONCATENATE(N908," ",O908)</f>
        <v>Alopecosa taeniata</v>
      </c>
      <c r="Q908" s="1" t="s">
        <v>30</v>
      </c>
      <c r="R908" s="1" t="s">
        <v>35</v>
      </c>
      <c r="S908" s="1" t="n">
        <v>0</v>
      </c>
      <c r="T908" s="1" t="n">
        <v>1</v>
      </c>
      <c r="U908" s="1" t="n">
        <v>0</v>
      </c>
      <c r="V908" s="1" t="n">
        <v>0</v>
      </c>
      <c r="W908" s="1" t="n">
        <v>0</v>
      </c>
      <c r="X908" s="1" t="n">
        <v>0</v>
      </c>
      <c r="Y908" s="3" t="n">
        <f aca="false">SUM(S908:T908)</f>
        <v>1</v>
      </c>
      <c r="Z908" s="3" t="n">
        <f aca="false">SUM(U908:W908)</f>
        <v>0</v>
      </c>
      <c r="AA908" s="3" t="n">
        <f aca="false">SUM(S908:X908)</f>
        <v>1</v>
      </c>
      <c r="AB908" s="11" t="n">
        <f aca="false">(AA908/(K908*L908)*25)*4</f>
        <v>4</v>
      </c>
    </row>
    <row r="909" customFormat="false" ht="14.25" hidden="false" customHeight="false" outlineLevel="0" collapsed="false">
      <c r="A909" s="1" t="n">
        <v>2009</v>
      </c>
      <c r="B909" s="7" t="s">
        <v>322</v>
      </c>
      <c r="C909" s="7" t="n">
        <v>2</v>
      </c>
      <c r="D909" s="7" t="s">
        <v>293</v>
      </c>
      <c r="E909" s="7" t="s">
        <v>293</v>
      </c>
      <c r="F909" s="7" t="s">
        <v>101</v>
      </c>
      <c r="G909" s="1" t="n">
        <v>3</v>
      </c>
      <c r="H909" s="1" t="n">
        <v>13</v>
      </c>
      <c r="I909" s="10" t="n">
        <v>39970</v>
      </c>
      <c r="J909" s="10" t="n">
        <v>39975</v>
      </c>
      <c r="K909" s="1" t="n">
        <v>5</v>
      </c>
      <c r="L909" s="1" t="n">
        <v>5</v>
      </c>
      <c r="M909" s="3" t="s">
        <v>48</v>
      </c>
      <c r="N909" s="3" t="s">
        <v>49</v>
      </c>
      <c r="O909" s="3" t="s">
        <v>130</v>
      </c>
      <c r="P909" s="2" t="str">
        <f aca="false">CONCATENATE(N909," ",O909)</f>
        <v>Alopecosa aculeata</v>
      </c>
      <c r="Q909" s="1" t="s">
        <v>30</v>
      </c>
      <c r="R909" s="1" t="s">
        <v>35</v>
      </c>
      <c r="S909" s="1" t="n">
        <v>0</v>
      </c>
      <c r="T909" s="1" t="n">
        <v>1</v>
      </c>
      <c r="U909" s="1" t="n">
        <v>0</v>
      </c>
      <c r="V909" s="1" t="n">
        <v>0</v>
      </c>
      <c r="W909" s="1" t="n">
        <v>0</v>
      </c>
      <c r="X909" s="1" t="n">
        <v>0</v>
      </c>
      <c r="Y909" s="3" t="n">
        <f aca="false">SUM(S909:T909)</f>
        <v>1</v>
      </c>
      <c r="Z909" s="3" t="n">
        <f aca="false">SUM(U909:W909)</f>
        <v>0</v>
      </c>
      <c r="AA909" s="3" t="n">
        <f aca="false">SUM(S909:X909)</f>
        <v>1</v>
      </c>
      <c r="AB909" s="11" t="n">
        <f aca="false">(AA909/(K909*L909)*25)*4</f>
        <v>4</v>
      </c>
    </row>
    <row r="910" customFormat="false" ht="14.25" hidden="false" customHeight="false" outlineLevel="0" collapsed="false">
      <c r="A910" s="1" t="n">
        <v>2009</v>
      </c>
      <c r="B910" s="7" t="s">
        <v>322</v>
      </c>
      <c r="C910" s="7" t="n">
        <v>2</v>
      </c>
      <c r="D910" s="7" t="s">
        <v>293</v>
      </c>
      <c r="E910" s="7" t="s">
        <v>293</v>
      </c>
      <c r="F910" s="7" t="s">
        <v>101</v>
      </c>
      <c r="G910" s="1" t="n">
        <v>3</v>
      </c>
      <c r="H910" s="1" t="n">
        <v>13</v>
      </c>
      <c r="I910" s="10" t="n">
        <v>39970</v>
      </c>
      <c r="J910" s="10" t="n">
        <v>39975</v>
      </c>
      <c r="K910" s="1" t="n">
        <v>5</v>
      </c>
      <c r="L910" s="1" t="n">
        <v>5</v>
      </c>
      <c r="M910" s="3" t="s">
        <v>48</v>
      </c>
      <c r="N910" s="3" t="s">
        <v>67</v>
      </c>
      <c r="O910" s="3" t="s">
        <v>127</v>
      </c>
      <c r="P910" s="2" t="str">
        <f aca="false">CONCATENATE(N910," ",O910)</f>
        <v>Pardosa lugubris</v>
      </c>
      <c r="Q910" s="1" t="s">
        <v>30</v>
      </c>
      <c r="R910" s="1" t="s">
        <v>31</v>
      </c>
      <c r="S910" s="1" t="n">
        <v>2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0</v>
      </c>
      <c r="Y910" s="3" t="n">
        <f aca="false">SUM(S910:T910)</f>
        <v>2</v>
      </c>
      <c r="Z910" s="3" t="n">
        <f aca="false">SUM(U910:W910)</f>
        <v>0</v>
      </c>
      <c r="AA910" s="3" t="n">
        <f aca="false">SUM(S910:X910)</f>
        <v>2</v>
      </c>
      <c r="AB910" s="11" t="n">
        <f aca="false">(AA910/(K910*L910)*25)*4</f>
        <v>8</v>
      </c>
    </row>
    <row r="911" customFormat="false" ht="14.25" hidden="false" customHeight="false" outlineLevel="0" collapsed="false">
      <c r="A911" s="1" t="n">
        <v>2009</v>
      </c>
      <c r="B911" s="7" t="s">
        <v>322</v>
      </c>
      <c r="C911" s="7" t="n">
        <v>2</v>
      </c>
      <c r="D911" s="7" t="s">
        <v>293</v>
      </c>
      <c r="E911" s="7" t="s">
        <v>293</v>
      </c>
      <c r="F911" s="7" t="s">
        <v>101</v>
      </c>
      <c r="G911" s="1" t="n">
        <v>3</v>
      </c>
      <c r="H911" s="1" t="n">
        <v>13</v>
      </c>
      <c r="I911" s="10" t="n">
        <v>39970</v>
      </c>
      <c r="J911" s="10" t="n">
        <v>39975</v>
      </c>
      <c r="K911" s="1" t="n">
        <v>5</v>
      </c>
      <c r="L911" s="1" t="n">
        <v>5</v>
      </c>
      <c r="M911" s="3" t="s">
        <v>36</v>
      </c>
      <c r="N911" s="3" t="s">
        <v>37</v>
      </c>
      <c r="O911" s="8" t="s">
        <v>75</v>
      </c>
      <c r="P911" s="2" t="str">
        <f aca="false">CONCATENATE(N911," ",O911)</f>
        <v>Ozyptila praticola</v>
      </c>
      <c r="Q911" s="1" t="s">
        <v>30</v>
      </c>
      <c r="R911" s="1" t="s">
        <v>31</v>
      </c>
      <c r="S911" s="1" t="n">
        <v>1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0</v>
      </c>
      <c r="Y911" s="3" t="n">
        <f aca="false">SUM(S911:T911)</f>
        <v>1</v>
      </c>
      <c r="Z911" s="3" t="n">
        <f aca="false">SUM(U911:W911)</f>
        <v>0</v>
      </c>
      <c r="AA911" s="3" t="n">
        <f aca="false">SUM(S911:X911)</f>
        <v>1</v>
      </c>
      <c r="AB911" s="11" t="n">
        <f aca="false">(AA911/(K911*L911)*25)*4</f>
        <v>4</v>
      </c>
    </row>
    <row r="912" customFormat="false" ht="14.25" hidden="false" customHeight="false" outlineLevel="0" collapsed="false">
      <c r="A912" s="1" t="n">
        <v>2009</v>
      </c>
      <c r="B912" s="7" t="s">
        <v>322</v>
      </c>
      <c r="C912" s="7" t="n">
        <v>2</v>
      </c>
      <c r="D912" s="7" t="s">
        <v>293</v>
      </c>
      <c r="E912" s="7" t="s">
        <v>293</v>
      </c>
      <c r="F912" s="7" t="s">
        <v>101</v>
      </c>
      <c r="G912" s="1" t="n">
        <v>3</v>
      </c>
      <c r="H912" s="1" t="n">
        <v>13</v>
      </c>
      <c r="I912" s="10" t="n">
        <v>39970</v>
      </c>
      <c r="J912" s="10" t="n">
        <v>39975</v>
      </c>
      <c r="K912" s="1" t="n">
        <v>5</v>
      </c>
      <c r="L912" s="1" t="n">
        <v>5</v>
      </c>
      <c r="M912" s="3" t="s">
        <v>36</v>
      </c>
      <c r="N912" s="3" t="s">
        <v>131</v>
      </c>
      <c r="O912" s="3" t="s">
        <v>133</v>
      </c>
      <c r="P912" s="2" t="str">
        <f aca="false">CONCATENATE(N912," ",O912)</f>
        <v>Xysticus luctuosus</v>
      </c>
      <c r="Q912" s="1" t="s">
        <v>30</v>
      </c>
      <c r="R912" s="1" t="s">
        <v>31</v>
      </c>
      <c r="S912" s="1" t="n">
        <v>1</v>
      </c>
      <c r="T912" s="1" t="n">
        <v>0</v>
      </c>
      <c r="U912" s="1" t="n">
        <v>0</v>
      </c>
      <c r="V912" s="1" t="n">
        <v>0</v>
      </c>
      <c r="W912" s="1" t="n">
        <v>0</v>
      </c>
      <c r="X912" s="1" t="n">
        <v>0</v>
      </c>
      <c r="Y912" s="3" t="n">
        <f aca="false">SUM(S912:T912)</f>
        <v>1</v>
      </c>
      <c r="Z912" s="3" t="n">
        <f aca="false">SUM(U912:W912)</f>
        <v>0</v>
      </c>
      <c r="AA912" s="3" t="n">
        <f aca="false">SUM(S912:X912)</f>
        <v>1</v>
      </c>
      <c r="AB912" s="11" t="n">
        <f aca="false">(AA912/(K912*L912)*25)*4</f>
        <v>4</v>
      </c>
    </row>
    <row r="913" customFormat="false" ht="14.25" hidden="false" customHeight="false" outlineLevel="0" collapsed="false">
      <c r="A913" s="1" t="n">
        <v>2009</v>
      </c>
      <c r="B913" s="7" t="s">
        <v>322</v>
      </c>
      <c r="C913" s="7" t="n">
        <v>2</v>
      </c>
      <c r="D913" s="7" t="s">
        <v>293</v>
      </c>
      <c r="E913" s="7" t="s">
        <v>293</v>
      </c>
      <c r="F913" s="7" t="s">
        <v>101</v>
      </c>
      <c r="G913" s="1" t="n">
        <v>3</v>
      </c>
      <c r="H913" s="1" t="n">
        <v>13</v>
      </c>
      <c r="I913" s="10" t="n">
        <v>39970</v>
      </c>
      <c r="J913" s="10" t="n">
        <v>39975</v>
      </c>
      <c r="K913" s="1" t="n">
        <v>5</v>
      </c>
      <c r="L913" s="1" t="n">
        <v>5</v>
      </c>
      <c r="M913" s="3" t="s">
        <v>41</v>
      </c>
      <c r="N913" s="3" t="s">
        <v>42</v>
      </c>
      <c r="O913" s="3" t="s">
        <v>198</v>
      </c>
      <c r="P913" s="2" t="str">
        <f aca="false">CONCATENATE(N913," ",O913)</f>
        <v>Agroeca brunnea</v>
      </c>
      <c r="Q913" s="1" t="s">
        <v>30</v>
      </c>
      <c r="R913" s="1" t="s">
        <v>35</v>
      </c>
      <c r="S913" s="1" t="n">
        <v>0</v>
      </c>
      <c r="T913" s="1" t="n">
        <v>1</v>
      </c>
      <c r="U913" s="1" t="n">
        <v>0</v>
      </c>
      <c r="V913" s="1" t="n">
        <v>0</v>
      </c>
      <c r="W913" s="1" t="n">
        <v>0</v>
      </c>
      <c r="X913" s="1" t="n">
        <v>0</v>
      </c>
      <c r="Y913" s="3" t="n">
        <f aca="false">SUM(S913:T913)</f>
        <v>1</v>
      </c>
      <c r="Z913" s="3" t="n">
        <f aca="false">SUM(U913:W913)</f>
        <v>0</v>
      </c>
      <c r="AA913" s="3" t="n">
        <f aca="false">SUM(S913:X913)</f>
        <v>1</v>
      </c>
      <c r="AB913" s="11" t="n">
        <f aca="false">(AA913/(K913*L913)*25)*4</f>
        <v>4</v>
      </c>
    </row>
    <row r="914" customFormat="false" ht="14.25" hidden="false" customHeight="false" outlineLevel="0" collapsed="false">
      <c r="A914" s="1" t="n">
        <v>2009</v>
      </c>
      <c r="B914" s="7" t="s">
        <v>322</v>
      </c>
      <c r="C914" s="7" t="n">
        <v>2</v>
      </c>
      <c r="D914" s="7" t="s">
        <v>293</v>
      </c>
      <c r="E914" s="7" t="s">
        <v>293</v>
      </c>
      <c r="F914" s="7" t="s">
        <v>101</v>
      </c>
      <c r="G914" s="1" t="n">
        <v>3</v>
      </c>
      <c r="H914" s="1" t="n">
        <v>13</v>
      </c>
      <c r="I914" s="10" t="n">
        <v>39970</v>
      </c>
      <c r="J914" s="10" t="n">
        <v>39975</v>
      </c>
      <c r="K914" s="1" t="n">
        <v>5</v>
      </c>
      <c r="L914" s="1" t="n">
        <v>5</v>
      </c>
      <c r="M914" s="3" t="s">
        <v>32</v>
      </c>
      <c r="N914" s="3" t="s">
        <v>90</v>
      </c>
      <c r="O914" s="3" t="s">
        <v>91</v>
      </c>
      <c r="P914" s="2" t="str">
        <f aca="false">CONCATENATE(N914," ",O914)</f>
        <v>Tapinocyba insecta</v>
      </c>
      <c r="Q914" s="1" t="s">
        <v>30</v>
      </c>
      <c r="R914" s="1" t="s">
        <v>31</v>
      </c>
      <c r="S914" s="1" t="n">
        <v>2</v>
      </c>
      <c r="T914" s="1" t="n">
        <v>0</v>
      </c>
      <c r="U914" s="1" t="n">
        <v>0</v>
      </c>
      <c r="V914" s="1" t="n">
        <v>0</v>
      </c>
      <c r="W914" s="1" t="n">
        <v>0</v>
      </c>
      <c r="X914" s="1" t="n">
        <v>0</v>
      </c>
      <c r="Y914" s="3" t="n">
        <f aca="false">SUM(S914:T914)</f>
        <v>2</v>
      </c>
      <c r="Z914" s="3" t="n">
        <f aca="false">SUM(U914:W914)</f>
        <v>0</v>
      </c>
      <c r="AA914" s="3" t="n">
        <f aca="false">SUM(S914:X914)</f>
        <v>2</v>
      </c>
      <c r="AB914" s="11" t="n">
        <f aca="false">(AA914/(K914*L914)*25)*4</f>
        <v>8</v>
      </c>
    </row>
    <row r="915" customFormat="false" ht="14.25" hidden="false" customHeight="false" outlineLevel="0" collapsed="false">
      <c r="A915" s="1" t="n">
        <v>2009</v>
      </c>
      <c r="B915" s="7" t="s">
        <v>322</v>
      </c>
      <c r="C915" s="7" t="n">
        <v>2</v>
      </c>
      <c r="D915" s="7" t="s">
        <v>293</v>
      </c>
      <c r="E915" s="7" t="s">
        <v>293</v>
      </c>
      <c r="F915" s="7" t="s">
        <v>101</v>
      </c>
      <c r="G915" s="1" t="n">
        <v>3</v>
      </c>
      <c r="H915" s="1" t="n">
        <v>14</v>
      </c>
      <c r="I915" s="10" t="n">
        <v>39970</v>
      </c>
      <c r="J915" s="10" t="n">
        <v>39975</v>
      </c>
      <c r="K915" s="1" t="n">
        <v>5</v>
      </c>
      <c r="L915" s="1" t="n">
        <v>5</v>
      </c>
      <c r="M915" s="3" t="s">
        <v>48</v>
      </c>
      <c r="N915" s="3" t="s">
        <v>49</v>
      </c>
      <c r="O915" s="3" t="s">
        <v>104</v>
      </c>
      <c r="P915" s="2" t="str">
        <f aca="false">CONCATENATE(N915," ",O915)</f>
        <v>Alopecosa taeniata</v>
      </c>
      <c r="Q915" s="1" t="s">
        <v>30</v>
      </c>
      <c r="R915" s="1" t="s">
        <v>31</v>
      </c>
      <c r="S915" s="1" t="n">
        <v>8</v>
      </c>
      <c r="T915" s="1" t="n">
        <v>0</v>
      </c>
      <c r="U915" s="1" t="n">
        <v>0</v>
      </c>
      <c r="V915" s="1" t="n">
        <v>0</v>
      </c>
      <c r="W915" s="1" t="n">
        <v>0</v>
      </c>
      <c r="X915" s="1" t="n">
        <v>0</v>
      </c>
      <c r="Y915" s="3" t="n">
        <f aca="false">SUM(S915:T915)</f>
        <v>8</v>
      </c>
      <c r="Z915" s="3" t="n">
        <f aca="false">SUM(U915:W915)</f>
        <v>0</v>
      </c>
      <c r="AA915" s="3" t="n">
        <f aca="false">SUM(S915:X915)</f>
        <v>8</v>
      </c>
      <c r="AB915" s="11" t="n">
        <f aca="false">(AA915/(K915*L915)*25)*4</f>
        <v>32</v>
      </c>
    </row>
    <row r="916" customFormat="false" ht="14.25" hidden="false" customHeight="false" outlineLevel="0" collapsed="false">
      <c r="A916" s="1" t="n">
        <v>2009</v>
      </c>
      <c r="B916" s="7" t="s">
        <v>322</v>
      </c>
      <c r="C916" s="7" t="n">
        <v>2</v>
      </c>
      <c r="D916" s="7" t="s">
        <v>293</v>
      </c>
      <c r="E916" s="7" t="s">
        <v>293</v>
      </c>
      <c r="F916" s="7" t="s">
        <v>101</v>
      </c>
      <c r="G916" s="1" t="n">
        <v>3</v>
      </c>
      <c r="H916" s="1" t="n">
        <v>14</v>
      </c>
      <c r="I916" s="10" t="n">
        <v>39970</v>
      </c>
      <c r="J916" s="10" t="n">
        <v>39975</v>
      </c>
      <c r="K916" s="1" t="n">
        <v>5</v>
      </c>
      <c r="L916" s="1" t="n">
        <v>5</v>
      </c>
      <c r="M916" s="13" t="s">
        <v>32</v>
      </c>
      <c r="N916" s="13" t="s">
        <v>96</v>
      </c>
      <c r="O916" s="14" t="s">
        <v>97</v>
      </c>
      <c r="P916" s="2" t="str">
        <f aca="false">CONCATENATE(N916," ",O916)</f>
        <v>Diplocephalus picinus</v>
      </c>
      <c r="Q916" s="1" t="s">
        <v>30</v>
      </c>
      <c r="R916" s="1" t="s">
        <v>31</v>
      </c>
      <c r="S916" s="1" t="n">
        <v>5</v>
      </c>
      <c r="T916" s="1" t="n">
        <v>0</v>
      </c>
      <c r="U916" s="1" t="n">
        <v>0</v>
      </c>
      <c r="V916" s="1" t="n">
        <v>0</v>
      </c>
      <c r="W916" s="1" t="n">
        <v>0</v>
      </c>
      <c r="X916" s="1" t="n">
        <v>0</v>
      </c>
      <c r="Y916" s="3" t="n">
        <f aca="false">SUM(S916:T916)</f>
        <v>5</v>
      </c>
      <c r="Z916" s="3" t="n">
        <f aca="false">SUM(U916:W916)</f>
        <v>0</v>
      </c>
      <c r="AA916" s="3" t="n">
        <f aca="false">SUM(S916:X916)</f>
        <v>5</v>
      </c>
      <c r="AB916" s="11" t="n">
        <f aca="false">(AA916/(K916*L916)*25)*4</f>
        <v>20</v>
      </c>
    </row>
    <row r="917" customFormat="false" ht="14.25" hidden="false" customHeight="false" outlineLevel="0" collapsed="false">
      <c r="A917" s="1" t="n">
        <v>2009</v>
      </c>
      <c r="B917" s="7" t="s">
        <v>322</v>
      </c>
      <c r="C917" s="7" t="n">
        <v>2</v>
      </c>
      <c r="D917" s="7" t="s">
        <v>293</v>
      </c>
      <c r="E917" s="7" t="s">
        <v>293</v>
      </c>
      <c r="F917" s="7" t="s">
        <v>101</v>
      </c>
      <c r="G917" s="1" t="n">
        <v>3</v>
      </c>
      <c r="H917" s="1" t="n">
        <v>15</v>
      </c>
      <c r="I917" s="10" t="n">
        <v>39970</v>
      </c>
      <c r="J917" s="10" t="n">
        <v>39975</v>
      </c>
      <c r="K917" s="1" t="n">
        <v>5</v>
      </c>
      <c r="L917" s="1" t="n">
        <v>5</v>
      </c>
      <c r="M917" s="3" t="s">
        <v>48</v>
      </c>
      <c r="N917" s="3" t="s">
        <v>49</v>
      </c>
      <c r="O917" s="3" t="s">
        <v>104</v>
      </c>
      <c r="P917" s="2" t="str">
        <f aca="false">CONCATENATE(N917," ",O917)</f>
        <v>Alopecosa taeniata</v>
      </c>
      <c r="Q917" s="1" t="s">
        <v>30</v>
      </c>
      <c r="R917" s="1" t="s">
        <v>31</v>
      </c>
      <c r="S917" s="1" t="n">
        <v>3</v>
      </c>
      <c r="T917" s="1" t="n">
        <v>0</v>
      </c>
      <c r="U917" s="1" t="n">
        <v>0</v>
      </c>
      <c r="V917" s="1" t="n">
        <v>0</v>
      </c>
      <c r="W917" s="1" t="n">
        <v>0</v>
      </c>
      <c r="X917" s="1" t="n">
        <v>0</v>
      </c>
      <c r="Y917" s="3" t="n">
        <f aca="false">SUM(S917:T917)</f>
        <v>3</v>
      </c>
      <c r="Z917" s="3" t="n">
        <f aca="false">SUM(U917:W917)</f>
        <v>0</v>
      </c>
      <c r="AA917" s="3" t="n">
        <f aca="false">SUM(S917:X917)</f>
        <v>3</v>
      </c>
      <c r="AB917" s="11" t="n">
        <f aca="false">(AA917/(K917*L917)*25)*4</f>
        <v>12</v>
      </c>
    </row>
    <row r="918" customFormat="false" ht="14.25" hidden="false" customHeight="false" outlineLevel="0" collapsed="false">
      <c r="A918" s="1" t="n">
        <v>2009</v>
      </c>
      <c r="B918" s="7" t="s">
        <v>322</v>
      </c>
      <c r="C918" s="7" t="n">
        <v>2</v>
      </c>
      <c r="D918" s="7" t="s">
        <v>293</v>
      </c>
      <c r="E918" s="7" t="s">
        <v>293</v>
      </c>
      <c r="F918" s="7" t="s">
        <v>101</v>
      </c>
      <c r="G918" s="1" t="n">
        <v>3</v>
      </c>
      <c r="H918" s="1" t="n">
        <v>15</v>
      </c>
      <c r="I918" s="10" t="n">
        <v>39970</v>
      </c>
      <c r="J918" s="10" t="n">
        <v>39975</v>
      </c>
      <c r="K918" s="1" t="n">
        <v>5</v>
      </c>
      <c r="L918" s="1" t="n">
        <v>5</v>
      </c>
      <c r="M918" s="3" t="s">
        <v>48</v>
      </c>
      <c r="N918" s="3" t="s">
        <v>49</v>
      </c>
      <c r="O918" s="3" t="s">
        <v>104</v>
      </c>
      <c r="P918" s="2" t="str">
        <f aca="false">CONCATENATE(N918," ",O918)</f>
        <v>Alopecosa taeniata</v>
      </c>
      <c r="Q918" s="1" t="s">
        <v>30</v>
      </c>
      <c r="R918" s="1" t="s">
        <v>35</v>
      </c>
      <c r="S918" s="1" t="n">
        <v>0</v>
      </c>
      <c r="T918" s="1" t="n">
        <v>1</v>
      </c>
      <c r="U918" s="1" t="n">
        <v>0</v>
      </c>
      <c r="V918" s="1" t="n">
        <v>0</v>
      </c>
      <c r="W918" s="1" t="n">
        <v>0</v>
      </c>
      <c r="X918" s="1" t="n">
        <v>0</v>
      </c>
      <c r="Y918" s="3" t="n">
        <f aca="false">SUM(S918:T918)</f>
        <v>1</v>
      </c>
      <c r="Z918" s="3" t="n">
        <f aca="false">SUM(U918:W918)</f>
        <v>0</v>
      </c>
      <c r="AA918" s="3" t="n">
        <f aca="false">SUM(S918:X918)</f>
        <v>1</v>
      </c>
      <c r="AB918" s="11" t="n">
        <f aca="false">(AA918/(K918*L918)*25)*4</f>
        <v>4</v>
      </c>
    </row>
    <row r="919" customFormat="false" ht="14.25" hidden="false" customHeight="false" outlineLevel="0" collapsed="false">
      <c r="A919" s="1" t="n">
        <v>2009</v>
      </c>
      <c r="B919" s="7" t="s">
        <v>322</v>
      </c>
      <c r="C919" s="7" t="n">
        <v>2</v>
      </c>
      <c r="D919" s="7" t="s">
        <v>293</v>
      </c>
      <c r="E919" s="7" t="s">
        <v>293</v>
      </c>
      <c r="F919" s="7" t="s">
        <v>101</v>
      </c>
      <c r="G919" s="1" t="n">
        <v>3</v>
      </c>
      <c r="H919" s="1" t="n">
        <v>15</v>
      </c>
      <c r="I919" s="10" t="n">
        <v>39970</v>
      </c>
      <c r="J919" s="10" t="n">
        <v>39975</v>
      </c>
      <c r="K919" s="1" t="n">
        <v>5</v>
      </c>
      <c r="L919" s="1" t="n">
        <v>5</v>
      </c>
      <c r="M919" s="3" t="s">
        <v>48</v>
      </c>
      <c r="N919" s="3" t="s">
        <v>67</v>
      </c>
      <c r="O919" s="3" t="s">
        <v>127</v>
      </c>
      <c r="P919" s="2" t="str">
        <f aca="false">CONCATENATE(N919," ",O919)</f>
        <v>Pardosa lugubris</v>
      </c>
      <c r="Q919" s="1" t="s">
        <v>30</v>
      </c>
      <c r="R919" s="1" t="s">
        <v>31</v>
      </c>
      <c r="S919" s="1" t="n">
        <v>2</v>
      </c>
      <c r="T919" s="1" t="n">
        <v>0</v>
      </c>
      <c r="U919" s="1" t="n">
        <v>0</v>
      </c>
      <c r="V919" s="1" t="n">
        <v>0</v>
      </c>
      <c r="W919" s="1" t="n">
        <v>0</v>
      </c>
      <c r="X919" s="1" t="n">
        <v>0</v>
      </c>
      <c r="Y919" s="3" t="n">
        <f aca="false">SUM(S919:T919)</f>
        <v>2</v>
      </c>
      <c r="Z919" s="3" t="n">
        <f aca="false">SUM(U919:W919)</f>
        <v>0</v>
      </c>
      <c r="AA919" s="3" t="n">
        <f aca="false">SUM(S919:X919)</f>
        <v>2</v>
      </c>
      <c r="AB919" s="11" t="n">
        <f aca="false">(AA919/(K919*L919)*25)*4</f>
        <v>8</v>
      </c>
    </row>
    <row r="920" customFormat="false" ht="14.25" hidden="false" customHeight="false" outlineLevel="0" collapsed="false">
      <c r="A920" s="1" t="n">
        <v>2009</v>
      </c>
      <c r="B920" s="7" t="s">
        <v>322</v>
      </c>
      <c r="C920" s="7" t="n">
        <v>2</v>
      </c>
      <c r="D920" s="7" t="s">
        <v>293</v>
      </c>
      <c r="E920" s="7" t="s">
        <v>293</v>
      </c>
      <c r="F920" s="7" t="s">
        <v>101</v>
      </c>
      <c r="G920" s="1" t="n">
        <v>3</v>
      </c>
      <c r="H920" s="1" t="n">
        <v>15</v>
      </c>
      <c r="I920" s="10" t="n">
        <v>39970</v>
      </c>
      <c r="J920" s="10" t="n">
        <v>39975</v>
      </c>
      <c r="K920" s="1" t="n">
        <v>5</v>
      </c>
      <c r="L920" s="1" t="n">
        <v>5</v>
      </c>
      <c r="M920" s="3" t="s">
        <v>36</v>
      </c>
      <c r="N920" s="3" t="s">
        <v>131</v>
      </c>
      <c r="O920" s="3" t="s">
        <v>133</v>
      </c>
      <c r="P920" s="2" t="str">
        <f aca="false">CONCATENATE(N920," ",O920)</f>
        <v>Xysticus luctuosus</v>
      </c>
      <c r="Q920" s="1" t="s">
        <v>30</v>
      </c>
      <c r="R920" s="1" t="s">
        <v>31</v>
      </c>
      <c r="S920" s="1" t="n">
        <v>2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0</v>
      </c>
      <c r="Y920" s="3" t="n">
        <f aca="false">SUM(S920:T920)</f>
        <v>2</v>
      </c>
      <c r="Z920" s="3" t="n">
        <f aca="false">SUM(U920:W920)</f>
        <v>0</v>
      </c>
      <c r="AA920" s="3" t="n">
        <f aca="false">SUM(S920:X920)</f>
        <v>2</v>
      </c>
      <c r="AB920" s="11" t="n">
        <f aca="false">(AA920/(K920*L920)*25)*4</f>
        <v>8</v>
      </c>
    </row>
    <row r="921" customFormat="false" ht="14.25" hidden="false" customHeight="false" outlineLevel="0" collapsed="false">
      <c r="A921" s="1" t="n">
        <v>2009</v>
      </c>
      <c r="B921" s="7" t="s">
        <v>322</v>
      </c>
      <c r="C921" s="7" t="n">
        <v>2</v>
      </c>
      <c r="D921" s="7" t="s">
        <v>293</v>
      </c>
      <c r="E921" s="7" t="s">
        <v>293</v>
      </c>
      <c r="F921" s="7" t="s">
        <v>101</v>
      </c>
      <c r="G921" s="1" t="n">
        <v>3</v>
      </c>
      <c r="H921" s="1" t="n">
        <v>15</v>
      </c>
      <c r="I921" s="10" t="n">
        <v>39970</v>
      </c>
      <c r="J921" s="10" t="n">
        <v>39975</v>
      </c>
      <c r="K921" s="1" t="n">
        <v>5</v>
      </c>
      <c r="L921" s="1" t="n">
        <v>5</v>
      </c>
      <c r="M921" s="3" t="s">
        <v>41</v>
      </c>
      <c r="N921" s="3" t="s">
        <v>42</v>
      </c>
      <c r="O921" s="3" t="s">
        <v>198</v>
      </c>
      <c r="P921" s="2" t="str">
        <f aca="false">CONCATENATE(N921," ",O921)</f>
        <v>Agroeca brunnea</v>
      </c>
      <c r="Q921" s="1" t="s">
        <v>30</v>
      </c>
      <c r="R921" s="1" t="s">
        <v>35</v>
      </c>
      <c r="S921" s="1" t="n">
        <v>0</v>
      </c>
      <c r="T921" s="1" t="n">
        <v>1</v>
      </c>
      <c r="U921" s="1" t="n">
        <v>0</v>
      </c>
      <c r="V921" s="1" t="n">
        <v>0</v>
      </c>
      <c r="W921" s="1" t="n">
        <v>0</v>
      </c>
      <c r="X921" s="1" t="n">
        <v>0</v>
      </c>
      <c r="Y921" s="3" t="n">
        <f aca="false">SUM(S921:T921)</f>
        <v>1</v>
      </c>
      <c r="Z921" s="3" t="n">
        <f aca="false">SUM(U921:W921)</f>
        <v>0</v>
      </c>
      <c r="AA921" s="3" t="n">
        <f aca="false">SUM(S921:X921)</f>
        <v>1</v>
      </c>
      <c r="AB921" s="11" t="n">
        <f aca="false">(AA921/(K921*L921)*25)*4</f>
        <v>4</v>
      </c>
    </row>
    <row r="922" customFormat="false" ht="14.25" hidden="false" customHeight="false" outlineLevel="0" collapsed="false">
      <c r="A922" s="1" t="n">
        <v>2009</v>
      </c>
      <c r="B922" s="7" t="s">
        <v>322</v>
      </c>
      <c r="C922" s="7" t="n">
        <v>2</v>
      </c>
      <c r="D922" s="7" t="s">
        <v>293</v>
      </c>
      <c r="E922" s="7" t="s">
        <v>293</v>
      </c>
      <c r="F922" s="7" t="s">
        <v>101</v>
      </c>
      <c r="G922" s="1" t="n">
        <v>3</v>
      </c>
      <c r="H922" s="1" t="n">
        <v>15</v>
      </c>
      <c r="I922" s="10" t="n">
        <v>39970</v>
      </c>
      <c r="J922" s="10" t="n">
        <v>39975</v>
      </c>
      <c r="K922" s="1" t="n">
        <v>5</v>
      </c>
      <c r="L922" s="1" t="n">
        <v>5</v>
      </c>
      <c r="M922" s="3" t="s">
        <v>32</v>
      </c>
      <c r="N922" s="3" t="s">
        <v>62</v>
      </c>
      <c r="O922" s="3" t="s">
        <v>63</v>
      </c>
      <c r="P922" s="2" t="str">
        <f aca="false">CONCATENATE(N922," ",O922)</f>
        <v>Microneta viaria</v>
      </c>
      <c r="Q922" s="1" t="s">
        <v>30</v>
      </c>
      <c r="R922" s="1" t="s">
        <v>31</v>
      </c>
      <c r="S922" s="1" t="n">
        <v>1</v>
      </c>
      <c r="T922" s="1" t="n">
        <v>0</v>
      </c>
      <c r="U922" s="1" t="n">
        <v>0</v>
      </c>
      <c r="V922" s="1" t="n">
        <v>0</v>
      </c>
      <c r="W922" s="1" t="n">
        <v>0</v>
      </c>
      <c r="X922" s="1" t="n">
        <v>0</v>
      </c>
      <c r="Y922" s="3" t="n">
        <f aca="false">SUM(S922:T922)</f>
        <v>1</v>
      </c>
      <c r="Z922" s="3" t="n">
        <f aca="false">SUM(U922:W922)</f>
        <v>0</v>
      </c>
      <c r="AA922" s="3" t="n">
        <f aca="false">SUM(S922:X922)</f>
        <v>1</v>
      </c>
      <c r="AB922" s="11" t="n">
        <f aca="false">(AA922/(K922*L922)*25)*4</f>
        <v>4</v>
      </c>
    </row>
    <row r="923" customFormat="false" ht="14.25" hidden="false" customHeight="false" outlineLevel="0" collapsed="false">
      <c r="A923" s="1" t="n">
        <v>2009</v>
      </c>
      <c r="B923" s="7" t="s">
        <v>322</v>
      </c>
      <c r="C923" s="7" t="n">
        <v>2</v>
      </c>
      <c r="D923" s="7" t="s">
        <v>293</v>
      </c>
      <c r="E923" s="7" t="s">
        <v>293</v>
      </c>
      <c r="F923" s="7" t="s">
        <v>101</v>
      </c>
      <c r="G923" s="1" t="n">
        <v>3</v>
      </c>
      <c r="H923" s="1" t="n">
        <v>15</v>
      </c>
      <c r="I923" s="10" t="n">
        <v>39970</v>
      </c>
      <c r="J923" s="10" t="n">
        <v>39975</v>
      </c>
      <c r="K923" s="1" t="n">
        <v>5</v>
      </c>
      <c r="L923" s="1" t="n">
        <v>5</v>
      </c>
      <c r="M923" s="3" t="s">
        <v>32</v>
      </c>
      <c r="N923" s="3" t="s">
        <v>62</v>
      </c>
      <c r="O923" s="3" t="s">
        <v>63</v>
      </c>
      <c r="P923" s="2" t="str">
        <f aca="false">CONCATENATE(N923," ",O923)</f>
        <v>Microneta viaria</v>
      </c>
      <c r="Q923" s="1" t="s">
        <v>30</v>
      </c>
      <c r="R923" s="1" t="s">
        <v>35</v>
      </c>
      <c r="S923" s="1" t="n">
        <v>0</v>
      </c>
      <c r="T923" s="1" t="n">
        <v>1</v>
      </c>
      <c r="U923" s="1" t="n">
        <v>0</v>
      </c>
      <c r="V923" s="1" t="n">
        <v>0</v>
      </c>
      <c r="W923" s="1" t="n">
        <v>0</v>
      </c>
      <c r="X923" s="1" t="n">
        <v>0</v>
      </c>
      <c r="Y923" s="3" t="n">
        <f aca="false">SUM(S923:T923)</f>
        <v>1</v>
      </c>
      <c r="Z923" s="3" t="n">
        <f aca="false">SUM(U923:W923)</f>
        <v>0</v>
      </c>
      <c r="AA923" s="3" t="n">
        <f aca="false">SUM(S923:X923)</f>
        <v>1</v>
      </c>
      <c r="AB923" s="11" t="n">
        <f aca="false">(AA923/(K923*L923)*25)*4</f>
        <v>4</v>
      </c>
    </row>
    <row r="924" customFormat="false" ht="14.25" hidden="false" customHeight="false" outlineLevel="0" collapsed="false">
      <c r="A924" s="1" t="n">
        <v>2009</v>
      </c>
      <c r="B924" s="7" t="s">
        <v>322</v>
      </c>
      <c r="C924" s="7" t="n">
        <v>2</v>
      </c>
      <c r="D924" s="7" t="s">
        <v>293</v>
      </c>
      <c r="E924" s="7" t="s">
        <v>293</v>
      </c>
      <c r="F924" s="7" t="s">
        <v>101</v>
      </c>
      <c r="G924" s="1" t="n">
        <v>3</v>
      </c>
      <c r="H924" s="1" t="n">
        <v>15</v>
      </c>
      <c r="I924" s="10" t="n">
        <v>39970</v>
      </c>
      <c r="J924" s="10" t="n">
        <v>39975</v>
      </c>
      <c r="K924" s="1" t="n">
        <v>5</v>
      </c>
      <c r="L924" s="1" t="n">
        <v>5</v>
      </c>
      <c r="M924" s="3" t="s">
        <v>32</v>
      </c>
      <c r="N924" s="3" t="s">
        <v>90</v>
      </c>
      <c r="O924" s="3" t="s">
        <v>91</v>
      </c>
      <c r="P924" s="2" t="str">
        <f aca="false">CONCATENATE(N924," ",O924)</f>
        <v>Tapinocyba insecta</v>
      </c>
      <c r="Q924" s="1" t="s">
        <v>30</v>
      </c>
      <c r="R924" s="1" t="s">
        <v>31</v>
      </c>
      <c r="S924" s="1" t="n">
        <v>2</v>
      </c>
      <c r="T924" s="1" t="n">
        <v>0</v>
      </c>
      <c r="U924" s="1" t="n">
        <v>0</v>
      </c>
      <c r="V924" s="1" t="n">
        <v>0</v>
      </c>
      <c r="W924" s="1" t="n">
        <v>0</v>
      </c>
      <c r="X924" s="1" t="n">
        <v>0</v>
      </c>
      <c r="Y924" s="3" t="n">
        <f aca="false">SUM(S924:T924)</f>
        <v>2</v>
      </c>
      <c r="Z924" s="3" t="n">
        <f aca="false">SUM(U924:W924)</f>
        <v>0</v>
      </c>
      <c r="AA924" s="3" t="n">
        <f aca="false">SUM(S924:X924)</f>
        <v>2</v>
      </c>
      <c r="AB924" s="11" t="n">
        <f aca="false">(AA924/(K924*L924)*25)*4</f>
        <v>8</v>
      </c>
    </row>
    <row r="925" customFormat="false" ht="14.25" hidden="false" customHeight="false" outlineLevel="0" collapsed="false">
      <c r="A925" s="1" t="n">
        <v>2009</v>
      </c>
      <c r="B925" s="7" t="s">
        <v>322</v>
      </c>
      <c r="C925" s="7" t="n">
        <v>2</v>
      </c>
      <c r="D925" s="7" t="s">
        <v>293</v>
      </c>
      <c r="E925" s="7" t="s">
        <v>293</v>
      </c>
      <c r="F925" s="7" t="s">
        <v>101</v>
      </c>
      <c r="G925" s="1" t="n">
        <v>3</v>
      </c>
      <c r="H925" s="1" t="n">
        <v>15</v>
      </c>
      <c r="I925" s="10" t="n">
        <v>39970</v>
      </c>
      <c r="J925" s="10" t="n">
        <v>39975</v>
      </c>
      <c r="K925" s="1" t="n">
        <v>5</v>
      </c>
      <c r="L925" s="1" t="n">
        <v>5</v>
      </c>
      <c r="M925" s="13" t="s">
        <v>32</v>
      </c>
      <c r="N925" s="13" t="s">
        <v>96</v>
      </c>
      <c r="O925" s="14" t="s">
        <v>97</v>
      </c>
      <c r="P925" s="2" t="str">
        <f aca="false">CONCATENATE(N925," ",O925)</f>
        <v>Diplocephalus picinus</v>
      </c>
      <c r="Q925" s="1" t="s">
        <v>30</v>
      </c>
      <c r="R925" s="1" t="s">
        <v>31</v>
      </c>
      <c r="S925" s="1" t="n">
        <v>1</v>
      </c>
      <c r="T925" s="1" t="n">
        <v>0</v>
      </c>
      <c r="U925" s="1" t="n">
        <v>0</v>
      </c>
      <c r="V925" s="1" t="n">
        <v>0</v>
      </c>
      <c r="W925" s="1" t="n">
        <v>0</v>
      </c>
      <c r="X925" s="1" t="n">
        <v>0</v>
      </c>
      <c r="Y925" s="3" t="n">
        <f aca="false">SUM(S925:T925)</f>
        <v>1</v>
      </c>
      <c r="Z925" s="3" t="n">
        <f aca="false">SUM(U925:W925)</f>
        <v>0</v>
      </c>
      <c r="AA925" s="3" t="n">
        <f aca="false">SUM(S925:X925)</f>
        <v>1</v>
      </c>
      <c r="AB925" s="11" t="n">
        <f aca="false">(AA925/(K925*L925)*25)*4</f>
        <v>4</v>
      </c>
    </row>
    <row r="926" customFormat="false" ht="14.25" hidden="false" customHeight="false" outlineLevel="0" collapsed="false">
      <c r="A926" s="1" t="n">
        <v>2009</v>
      </c>
      <c r="B926" s="7" t="s">
        <v>322</v>
      </c>
      <c r="C926" s="7" t="n">
        <v>2</v>
      </c>
      <c r="D926" s="7" t="s">
        <v>293</v>
      </c>
      <c r="E926" s="7" t="s">
        <v>293</v>
      </c>
      <c r="F926" s="7" t="s">
        <v>26</v>
      </c>
      <c r="G926" s="1" t="n">
        <v>1</v>
      </c>
      <c r="H926" s="1" t="n">
        <v>2</v>
      </c>
      <c r="I926" s="10" t="n">
        <v>39970</v>
      </c>
      <c r="J926" s="10" t="n">
        <v>39975</v>
      </c>
      <c r="K926" s="1" t="n">
        <v>5</v>
      </c>
      <c r="L926" s="1" t="n">
        <v>4</v>
      </c>
      <c r="M926" s="3" t="s">
        <v>48</v>
      </c>
      <c r="N926" s="3" t="s">
        <v>67</v>
      </c>
      <c r="O926" s="3" t="s">
        <v>127</v>
      </c>
      <c r="P926" s="2" t="str">
        <f aca="false">CONCATENATE(N926," ",O926)</f>
        <v>Pardosa lugubris</v>
      </c>
      <c r="Q926" s="1" t="s">
        <v>30</v>
      </c>
      <c r="R926" s="1" t="s">
        <v>31</v>
      </c>
      <c r="S926" s="1" t="n">
        <v>4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0</v>
      </c>
      <c r="Y926" s="3" t="n">
        <f aca="false">SUM(S926:T926)</f>
        <v>4</v>
      </c>
      <c r="Z926" s="3" t="n">
        <f aca="false">SUM(U926:W926)</f>
        <v>0</v>
      </c>
      <c r="AA926" s="3" t="n">
        <f aca="false">SUM(S926:X926)</f>
        <v>4</v>
      </c>
      <c r="AB926" s="11" t="n">
        <f aca="false">(AA926/(K926*L926)*25)*4</f>
        <v>20</v>
      </c>
    </row>
    <row r="927" customFormat="false" ht="14.25" hidden="false" customHeight="false" outlineLevel="0" collapsed="false">
      <c r="A927" s="1" t="n">
        <v>2009</v>
      </c>
      <c r="B927" s="7" t="s">
        <v>322</v>
      </c>
      <c r="C927" s="7" t="n">
        <v>2</v>
      </c>
      <c r="D927" s="7" t="s">
        <v>293</v>
      </c>
      <c r="E927" s="7" t="s">
        <v>293</v>
      </c>
      <c r="F927" s="7" t="s">
        <v>26</v>
      </c>
      <c r="G927" s="1" t="n">
        <v>1</v>
      </c>
      <c r="H927" s="1" t="n">
        <v>2</v>
      </c>
      <c r="I927" s="10" t="n">
        <v>39970</v>
      </c>
      <c r="J927" s="10" t="n">
        <v>39975</v>
      </c>
      <c r="K927" s="1" t="n">
        <v>5</v>
      </c>
      <c r="L927" s="1" t="n">
        <v>4</v>
      </c>
      <c r="M927" s="3" t="s">
        <v>36</v>
      </c>
      <c r="N927" s="3" t="s">
        <v>37</v>
      </c>
      <c r="O927" s="8" t="s">
        <v>75</v>
      </c>
      <c r="P927" s="2" t="str">
        <f aca="false">CONCATENATE(N927," ",O927)</f>
        <v>Ozyptila praticola</v>
      </c>
      <c r="Q927" s="1" t="s">
        <v>30</v>
      </c>
      <c r="R927" s="1" t="s">
        <v>31</v>
      </c>
      <c r="S927" s="1" t="n">
        <v>2</v>
      </c>
      <c r="T927" s="1" t="n">
        <v>0</v>
      </c>
      <c r="U927" s="1" t="n">
        <v>0</v>
      </c>
      <c r="V927" s="1" t="n">
        <v>0</v>
      </c>
      <c r="W927" s="1" t="n">
        <v>0</v>
      </c>
      <c r="X927" s="1" t="n">
        <v>0</v>
      </c>
      <c r="Y927" s="3" t="n">
        <f aca="false">SUM(S927:T927)</f>
        <v>2</v>
      </c>
      <c r="Z927" s="3" t="n">
        <f aca="false">SUM(U927:W927)</f>
        <v>0</v>
      </c>
      <c r="AA927" s="3" t="n">
        <f aca="false">SUM(S927:X927)</f>
        <v>2</v>
      </c>
      <c r="AB927" s="11" t="n">
        <f aca="false">(AA927/(K927*L927)*25)*4</f>
        <v>10</v>
      </c>
    </row>
    <row r="928" customFormat="false" ht="14.25" hidden="false" customHeight="false" outlineLevel="0" collapsed="false">
      <c r="A928" s="1" t="n">
        <v>2009</v>
      </c>
      <c r="B928" s="7" t="s">
        <v>322</v>
      </c>
      <c r="C928" s="7" t="n">
        <v>2</v>
      </c>
      <c r="D928" s="7" t="s">
        <v>293</v>
      </c>
      <c r="E928" s="7" t="s">
        <v>293</v>
      </c>
      <c r="F928" s="7" t="s">
        <v>26</v>
      </c>
      <c r="G928" s="1" t="n">
        <v>1</v>
      </c>
      <c r="H928" s="1" t="n">
        <v>2</v>
      </c>
      <c r="I928" s="10" t="n">
        <v>39970</v>
      </c>
      <c r="J928" s="10" t="n">
        <v>39975</v>
      </c>
      <c r="K928" s="1" t="n">
        <v>5</v>
      </c>
      <c r="L928" s="1" t="n">
        <v>4</v>
      </c>
      <c r="M928" s="3" t="s">
        <v>64</v>
      </c>
      <c r="N928" s="3" t="s">
        <v>65</v>
      </c>
      <c r="O928" s="3" t="s">
        <v>123</v>
      </c>
      <c r="P928" s="2" t="str">
        <f aca="false">CONCATENATE(N928," ",O928)</f>
        <v>Zora nemoralis</v>
      </c>
      <c r="Q928" s="1" t="s">
        <v>30</v>
      </c>
      <c r="R928" s="1" t="s">
        <v>31</v>
      </c>
      <c r="S928" s="1" t="n">
        <v>1</v>
      </c>
      <c r="T928" s="1" t="n">
        <v>0</v>
      </c>
      <c r="U928" s="1" t="n">
        <v>0</v>
      </c>
      <c r="V928" s="1" t="n">
        <v>0</v>
      </c>
      <c r="W928" s="1" t="n">
        <v>0</v>
      </c>
      <c r="X928" s="1" t="n">
        <v>0</v>
      </c>
      <c r="Y928" s="3" t="n">
        <f aca="false">SUM(S928:T928)</f>
        <v>1</v>
      </c>
      <c r="Z928" s="3" t="n">
        <f aca="false">SUM(U928:W928)</f>
        <v>0</v>
      </c>
      <c r="AA928" s="3" t="n">
        <f aca="false">SUM(S928:X928)</f>
        <v>1</v>
      </c>
      <c r="AB928" s="11" t="n">
        <f aca="false">(AA928/(K928*L928)*25)*4</f>
        <v>5</v>
      </c>
    </row>
    <row r="929" customFormat="false" ht="14.25" hidden="false" customHeight="false" outlineLevel="0" collapsed="false">
      <c r="A929" s="1" t="n">
        <v>2009</v>
      </c>
      <c r="B929" s="7" t="s">
        <v>322</v>
      </c>
      <c r="C929" s="7" t="n">
        <v>2</v>
      </c>
      <c r="D929" s="7" t="s">
        <v>293</v>
      </c>
      <c r="E929" s="7" t="s">
        <v>293</v>
      </c>
      <c r="F929" s="7" t="s">
        <v>26</v>
      </c>
      <c r="G929" s="1" t="n">
        <v>1</v>
      </c>
      <c r="H929" s="1" t="n">
        <v>2</v>
      </c>
      <c r="I929" s="10" t="n">
        <v>39970</v>
      </c>
      <c r="J929" s="10" t="n">
        <v>39975</v>
      </c>
      <c r="K929" s="1" t="n">
        <v>5</v>
      </c>
      <c r="L929" s="1" t="n">
        <v>4</v>
      </c>
      <c r="M929" s="3" t="s">
        <v>32</v>
      </c>
      <c r="N929" s="3" t="s">
        <v>62</v>
      </c>
      <c r="O929" s="3" t="s">
        <v>63</v>
      </c>
      <c r="P929" s="2" t="str">
        <f aca="false">CONCATENATE(N929," ",O929)</f>
        <v>Microneta viaria</v>
      </c>
      <c r="Q929" s="1" t="s">
        <v>30</v>
      </c>
      <c r="R929" s="1" t="s">
        <v>31</v>
      </c>
      <c r="S929" s="1" t="n">
        <v>3</v>
      </c>
      <c r="T929" s="1" t="n">
        <v>0</v>
      </c>
      <c r="U929" s="1" t="n">
        <v>0</v>
      </c>
      <c r="V929" s="1" t="n">
        <v>0</v>
      </c>
      <c r="W929" s="1" t="n">
        <v>0</v>
      </c>
      <c r="X929" s="1" t="n">
        <v>0</v>
      </c>
      <c r="Y929" s="3" t="n">
        <f aca="false">SUM(S929:T929)</f>
        <v>3</v>
      </c>
      <c r="Z929" s="3" t="n">
        <f aca="false">SUM(U929:W929)</f>
        <v>0</v>
      </c>
      <c r="AA929" s="3" t="n">
        <f aca="false">SUM(S929:X929)</f>
        <v>3</v>
      </c>
      <c r="AB929" s="11" t="n">
        <f aca="false">(AA929/(K929*L929)*25)*4</f>
        <v>15</v>
      </c>
    </row>
    <row r="930" customFormat="false" ht="14.25" hidden="false" customHeight="false" outlineLevel="0" collapsed="false">
      <c r="A930" s="1" t="n">
        <v>2009</v>
      </c>
      <c r="B930" s="7" t="s">
        <v>322</v>
      </c>
      <c r="C930" s="7" t="n">
        <v>2</v>
      </c>
      <c r="D930" s="7" t="s">
        <v>293</v>
      </c>
      <c r="E930" s="7" t="s">
        <v>293</v>
      </c>
      <c r="F930" s="7" t="s">
        <v>26</v>
      </c>
      <c r="G930" s="1" t="n">
        <v>1</v>
      </c>
      <c r="H930" s="1" t="n">
        <v>3</v>
      </c>
      <c r="I930" s="10" t="n">
        <v>39970</v>
      </c>
      <c r="J930" s="10" t="n">
        <v>39975</v>
      </c>
      <c r="K930" s="1" t="n">
        <v>5</v>
      </c>
      <c r="L930" s="1" t="n">
        <v>4</v>
      </c>
      <c r="M930" s="3" t="s">
        <v>48</v>
      </c>
      <c r="N930" s="3" t="s">
        <v>49</v>
      </c>
      <c r="O930" s="3" t="s">
        <v>104</v>
      </c>
      <c r="P930" s="2" t="str">
        <f aca="false">CONCATENATE(N930," ",O930)</f>
        <v>Alopecosa taeniata</v>
      </c>
      <c r="Q930" s="1" t="s">
        <v>30</v>
      </c>
      <c r="R930" s="1" t="s">
        <v>31</v>
      </c>
      <c r="S930" s="1" t="n">
        <v>1</v>
      </c>
      <c r="T930" s="1" t="n">
        <v>0</v>
      </c>
      <c r="U930" s="1" t="n">
        <v>0</v>
      </c>
      <c r="V930" s="1" t="n">
        <v>0</v>
      </c>
      <c r="W930" s="1" t="n">
        <v>0</v>
      </c>
      <c r="X930" s="1" t="n">
        <v>0</v>
      </c>
      <c r="Y930" s="3" t="n">
        <f aca="false">SUM(S930:T930)</f>
        <v>1</v>
      </c>
      <c r="Z930" s="3" t="n">
        <f aca="false">SUM(U930:W930)</f>
        <v>0</v>
      </c>
      <c r="AA930" s="3" t="n">
        <f aca="false">SUM(S930:X930)</f>
        <v>1</v>
      </c>
      <c r="AB930" s="11" t="n">
        <f aca="false">(AA930/(K930*L930)*25)*4</f>
        <v>5</v>
      </c>
    </row>
    <row r="931" customFormat="false" ht="14.25" hidden="false" customHeight="false" outlineLevel="0" collapsed="false">
      <c r="A931" s="1" t="n">
        <v>2009</v>
      </c>
      <c r="B931" s="7" t="s">
        <v>322</v>
      </c>
      <c r="C931" s="7" t="n">
        <v>2</v>
      </c>
      <c r="D931" s="7" t="s">
        <v>293</v>
      </c>
      <c r="E931" s="7" t="s">
        <v>293</v>
      </c>
      <c r="F931" s="7" t="s">
        <v>26</v>
      </c>
      <c r="G931" s="1" t="n">
        <v>1</v>
      </c>
      <c r="H931" s="1" t="n">
        <v>3</v>
      </c>
      <c r="I931" s="10" t="n">
        <v>39970</v>
      </c>
      <c r="J931" s="10" t="n">
        <v>39975</v>
      </c>
      <c r="K931" s="1" t="n">
        <v>5</v>
      </c>
      <c r="L931" s="1" t="n">
        <v>4</v>
      </c>
      <c r="M931" s="3" t="s">
        <v>48</v>
      </c>
      <c r="N931" s="3" t="s">
        <v>67</v>
      </c>
      <c r="O931" s="3" t="s">
        <v>127</v>
      </c>
      <c r="P931" s="2" t="str">
        <f aca="false">CONCATENATE(N931," ",O931)</f>
        <v>Pardosa lugubris</v>
      </c>
      <c r="Q931" s="1" t="s">
        <v>30</v>
      </c>
      <c r="R931" s="1" t="s">
        <v>31</v>
      </c>
      <c r="S931" s="1" t="n">
        <v>5</v>
      </c>
      <c r="T931" s="1" t="n">
        <v>0</v>
      </c>
      <c r="U931" s="1" t="n">
        <v>0</v>
      </c>
      <c r="V931" s="1" t="n">
        <v>0</v>
      </c>
      <c r="W931" s="1" t="n">
        <v>0</v>
      </c>
      <c r="X931" s="1" t="n">
        <v>0</v>
      </c>
      <c r="Y931" s="3" t="n">
        <f aca="false">SUM(S931:T931)</f>
        <v>5</v>
      </c>
      <c r="Z931" s="3" t="n">
        <f aca="false">SUM(U931:W931)</f>
        <v>0</v>
      </c>
      <c r="AA931" s="3" t="n">
        <f aca="false">SUM(S931:X931)</f>
        <v>5</v>
      </c>
      <c r="AB931" s="11" t="n">
        <f aca="false">(AA931/(K931*L931)*25)*4</f>
        <v>25</v>
      </c>
    </row>
    <row r="932" customFormat="false" ht="14.25" hidden="false" customHeight="false" outlineLevel="0" collapsed="false">
      <c r="A932" s="1" t="n">
        <v>2009</v>
      </c>
      <c r="B932" s="7" t="s">
        <v>322</v>
      </c>
      <c r="C932" s="7" t="n">
        <v>2</v>
      </c>
      <c r="D932" s="7" t="s">
        <v>293</v>
      </c>
      <c r="E932" s="7" t="s">
        <v>293</v>
      </c>
      <c r="F932" s="7" t="s">
        <v>26</v>
      </c>
      <c r="G932" s="1" t="n">
        <v>1</v>
      </c>
      <c r="H932" s="1" t="n">
        <v>3</v>
      </c>
      <c r="I932" s="10" t="n">
        <v>39970</v>
      </c>
      <c r="J932" s="10" t="n">
        <v>39975</v>
      </c>
      <c r="K932" s="1" t="n">
        <v>5</v>
      </c>
      <c r="L932" s="1" t="n">
        <v>4</v>
      </c>
      <c r="M932" s="3" t="s">
        <v>48</v>
      </c>
      <c r="N932" s="3" t="s">
        <v>67</v>
      </c>
      <c r="O932" s="3" t="s">
        <v>127</v>
      </c>
      <c r="P932" s="2" t="str">
        <f aca="false">CONCATENATE(N932," ",O932)</f>
        <v>Pardosa lugubris</v>
      </c>
      <c r="Q932" s="1" t="s">
        <v>30</v>
      </c>
      <c r="R932" s="1" t="s">
        <v>35</v>
      </c>
      <c r="S932" s="1" t="n">
        <v>0</v>
      </c>
      <c r="T932" s="1" t="n">
        <v>1</v>
      </c>
      <c r="U932" s="1" t="n">
        <v>0</v>
      </c>
      <c r="V932" s="1" t="n">
        <v>0</v>
      </c>
      <c r="W932" s="1" t="n">
        <v>0</v>
      </c>
      <c r="X932" s="1" t="n">
        <v>0</v>
      </c>
      <c r="Y932" s="3" t="n">
        <f aca="false">SUM(S932:T932)</f>
        <v>1</v>
      </c>
      <c r="Z932" s="3" t="n">
        <f aca="false">SUM(U932:W932)</f>
        <v>0</v>
      </c>
      <c r="AA932" s="3" t="n">
        <f aca="false">SUM(S932:X932)</f>
        <v>1</v>
      </c>
      <c r="AB932" s="11" t="n">
        <f aca="false">(AA932/(K932*L932)*25)*4</f>
        <v>5</v>
      </c>
    </row>
    <row r="933" customFormat="false" ht="14.25" hidden="false" customHeight="false" outlineLevel="0" collapsed="false">
      <c r="A933" s="1" t="n">
        <v>2009</v>
      </c>
      <c r="B933" s="7" t="s">
        <v>322</v>
      </c>
      <c r="C933" s="7" t="n">
        <v>2</v>
      </c>
      <c r="D933" s="7" t="s">
        <v>293</v>
      </c>
      <c r="E933" s="7" t="s">
        <v>293</v>
      </c>
      <c r="F933" s="7" t="s">
        <v>26</v>
      </c>
      <c r="G933" s="1" t="n">
        <v>1</v>
      </c>
      <c r="H933" s="1" t="n">
        <v>3</v>
      </c>
      <c r="I933" s="10" t="n">
        <v>39970</v>
      </c>
      <c r="J933" s="10" t="n">
        <v>39975</v>
      </c>
      <c r="K933" s="1" t="n">
        <v>5</v>
      </c>
      <c r="L933" s="1" t="n">
        <v>4</v>
      </c>
      <c r="M933" s="3" t="s">
        <v>48</v>
      </c>
      <c r="N933" s="3" t="s">
        <v>61</v>
      </c>
      <c r="O933" s="3" t="s">
        <v>82</v>
      </c>
      <c r="P933" s="2" t="str">
        <f aca="false">CONCATENATE(N933," ",O933)</f>
        <v>Trochosa terricola</v>
      </c>
      <c r="Q933" s="1" t="s">
        <v>30</v>
      </c>
      <c r="R933" s="1" t="s">
        <v>35</v>
      </c>
      <c r="S933" s="1" t="n">
        <v>0</v>
      </c>
      <c r="T933" s="1" t="n">
        <v>1</v>
      </c>
      <c r="U933" s="1" t="n">
        <v>0</v>
      </c>
      <c r="V933" s="1" t="n">
        <v>0</v>
      </c>
      <c r="W933" s="1" t="n">
        <v>0</v>
      </c>
      <c r="X933" s="1" t="n">
        <v>0</v>
      </c>
      <c r="Y933" s="3" t="n">
        <f aca="false">SUM(S933:T933)</f>
        <v>1</v>
      </c>
      <c r="Z933" s="3" t="n">
        <f aca="false">SUM(U933:W933)</f>
        <v>0</v>
      </c>
      <c r="AA933" s="3" t="n">
        <f aca="false">SUM(S933:X933)</f>
        <v>1</v>
      </c>
      <c r="AB933" s="11" t="n">
        <f aca="false">(AA933/(K933*L933)*25)*4</f>
        <v>5</v>
      </c>
    </row>
    <row r="934" customFormat="false" ht="14.25" hidden="false" customHeight="false" outlineLevel="0" collapsed="false">
      <c r="A934" s="1" t="n">
        <v>2009</v>
      </c>
      <c r="B934" s="7" t="s">
        <v>322</v>
      </c>
      <c r="C934" s="7" t="n">
        <v>2</v>
      </c>
      <c r="D934" s="7" t="s">
        <v>293</v>
      </c>
      <c r="E934" s="7" t="s">
        <v>293</v>
      </c>
      <c r="F934" s="7" t="s">
        <v>26</v>
      </c>
      <c r="G934" s="1" t="n">
        <v>1</v>
      </c>
      <c r="H934" s="1" t="n">
        <v>3</v>
      </c>
      <c r="I934" s="10" t="n">
        <v>39970</v>
      </c>
      <c r="J934" s="10" t="n">
        <v>39975</v>
      </c>
      <c r="K934" s="1" t="n">
        <v>5</v>
      </c>
      <c r="L934" s="1" t="n">
        <v>4</v>
      </c>
      <c r="M934" s="3" t="s">
        <v>64</v>
      </c>
      <c r="N934" s="3" t="s">
        <v>65</v>
      </c>
      <c r="O934" s="3" t="s">
        <v>123</v>
      </c>
      <c r="P934" s="2" t="str">
        <f aca="false">CONCATENATE(N934," ",O934)</f>
        <v>Zora nemoralis</v>
      </c>
      <c r="Q934" s="1" t="s">
        <v>30</v>
      </c>
      <c r="R934" s="1" t="s">
        <v>31</v>
      </c>
      <c r="S934" s="1" t="n">
        <v>3</v>
      </c>
      <c r="T934" s="1" t="n">
        <v>0</v>
      </c>
      <c r="U934" s="1" t="n">
        <v>0</v>
      </c>
      <c r="V934" s="1" t="n">
        <v>0</v>
      </c>
      <c r="W934" s="1" t="n">
        <v>0</v>
      </c>
      <c r="X934" s="1" t="n">
        <v>0</v>
      </c>
      <c r="Y934" s="3" t="n">
        <f aca="false">SUM(S934:T934)</f>
        <v>3</v>
      </c>
      <c r="Z934" s="3" t="n">
        <f aca="false">SUM(U934:W934)</f>
        <v>0</v>
      </c>
      <c r="AA934" s="3" t="n">
        <f aca="false">SUM(S934:X934)</f>
        <v>3</v>
      </c>
      <c r="AB934" s="11" t="n">
        <f aca="false">(AA934/(K934*L934)*25)*4</f>
        <v>15</v>
      </c>
    </row>
    <row r="935" customFormat="false" ht="14.25" hidden="false" customHeight="false" outlineLevel="0" collapsed="false">
      <c r="A935" s="1" t="n">
        <v>2009</v>
      </c>
      <c r="B935" s="7" t="s">
        <v>322</v>
      </c>
      <c r="C935" s="7" t="n">
        <v>2</v>
      </c>
      <c r="D935" s="7" t="s">
        <v>293</v>
      </c>
      <c r="E935" s="7" t="s">
        <v>293</v>
      </c>
      <c r="F935" s="7" t="s">
        <v>26</v>
      </c>
      <c r="G935" s="1" t="n">
        <v>1</v>
      </c>
      <c r="H935" s="1" t="n">
        <v>3</v>
      </c>
      <c r="I935" s="10" t="n">
        <v>39970</v>
      </c>
      <c r="J935" s="10" t="n">
        <v>39975</v>
      </c>
      <c r="K935" s="1" t="n">
        <v>5</v>
      </c>
      <c r="L935" s="1" t="n">
        <v>4</v>
      </c>
      <c r="M935" s="3" t="s">
        <v>64</v>
      </c>
      <c r="N935" s="3" t="s">
        <v>65</v>
      </c>
      <c r="O935" s="3" t="s">
        <v>335</v>
      </c>
      <c r="P935" s="2" t="str">
        <f aca="false">CONCATENATE(N935," ",O935)</f>
        <v>Zora spinimana</v>
      </c>
      <c r="Q935" s="1" t="s">
        <v>30</v>
      </c>
      <c r="R935" s="1" t="s">
        <v>35</v>
      </c>
      <c r="S935" s="1" t="n">
        <v>0</v>
      </c>
      <c r="T935" s="1" t="n">
        <v>1</v>
      </c>
      <c r="U935" s="1" t="n">
        <v>0</v>
      </c>
      <c r="V935" s="1" t="n">
        <v>0</v>
      </c>
      <c r="W935" s="1" t="n">
        <v>0</v>
      </c>
      <c r="X935" s="1" t="n">
        <v>0</v>
      </c>
      <c r="Y935" s="3" t="n">
        <f aca="false">SUM(S935:T935)</f>
        <v>1</v>
      </c>
      <c r="Z935" s="3" t="n">
        <f aca="false">SUM(U935:W935)</f>
        <v>0</v>
      </c>
      <c r="AA935" s="3" t="n">
        <f aca="false">SUM(S935:X935)</f>
        <v>1</v>
      </c>
      <c r="AB935" s="11" t="n">
        <f aca="false">(AA935/(K935*L935)*25)*4</f>
        <v>5</v>
      </c>
    </row>
    <row r="936" customFormat="false" ht="14.25" hidden="false" customHeight="false" outlineLevel="0" collapsed="false">
      <c r="A936" s="1" t="n">
        <v>2009</v>
      </c>
      <c r="B936" s="7" t="s">
        <v>322</v>
      </c>
      <c r="C936" s="7" t="n">
        <v>2</v>
      </c>
      <c r="D936" s="7" t="s">
        <v>293</v>
      </c>
      <c r="E936" s="7" t="s">
        <v>293</v>
      </c>
      <c r="F936" s="7" t="s">
        <v>26</v>
      </c>
      <c r="G936" s="1" t="n">
        <v>1</v>
      </c>
      <c r="H936" s="1" t="n">
        <v>3</v>
      </c>
      <c r="I936" s="10" t="n">
        <v>39970</v>
      </c>
      <c r="J936" s="10" t="n">
        <v>39975</v>
      </c>
      <c r="K936" s="1" t="n">
        <v>5</v>
      </c>
      <c r="L936" s="1" t="n">
        <v>4</v>
      </c>
      <c r="M936" s="3" t="s">
        <v>36</v>
      </c>
      <c r="N936" s="3" t="s">
        <v>37</v>
      </c>
      <c r="O936" s="8" t="s">
        <v>75</v>
      </c>
      <c r="P936" s="2" t="str">
        <f aca="false">CONCATENATE(N936," ",O936)</f>
        <v>Ozyptila praticola</v>
      </c>
      <c r="Q936" s="1" t="s">
        <v>30</v>
      </c>
      <c r="R936" s="1" t="s">
        <v>31</v>
      </c>
      <c r="S936" s="1" t="n">
        <v>2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0</v>
      </c>
      <c r="Y936" s="3" t="n">
        <f aca="false">SUM(S936:T936)</f>
        <v>2</v>
      </c>
      <c r="Z936" s="3" t="n">
        <f aca="false">SUM(U936:W936)</f>
        <v>0</v>
      </c>
      <c r="AA936" s="3" t="n">
        <f aca="false">SUM(S936:X936)</f>
        <v>2</v>
      </c>
      <c r="AB936" s="11" t="n">
        <f aca="false">(AA936/(K936*L936)*25)*4</f>
        <v>10</v>
      </c>
    </row>
    <row r="937" customFormat="false" ht="14.25" hidden="false" customHeight="false" outlineLevel="0" collapsed="false">
      <c r="A937" s="1" t="n">
        <v>2009</v>
      </c>
      <c r="B937" s="7" t="s">
        <v>322</v>
      </c>
      <c r="C937" s="7" t="n">
        <v>2</v>
      </c>
      <c r="D937" s="7" t="s">
        <v>293</v>
      </c>
      <c r="E937" s="7" t="s">
        <v>293</v>
      </c>
      <c r="F937" s="7" t="s">
        <v>26</v>
      </c>
      <c r="G937" s="1" t="n">
        <v>1</v>
      </c>
      <c r="H937" s="1" t="n">
        <v>3</v>
      </c>
      <c r="I937" s="10" t="n">
        <v>39970</v>
      </c>
      <c r="J937" s="10" t="n">
        <v>39975</v>
      </c>
      <c r="K937" s="1" t="n">
        <v>5</v>
      </c>
      <c r="L937" s="1" t="n">
        <v>4</v>
      </c>
      <c r="M937" s="3" t="s">
        <v>36</v>
      </c>
      <c r="N937" s="3" t="s">
        <v>131</v>
      </c>
      <c r="O937" s="3" t="s">
        <v>133</v>
      </c>
      <c r="P937" s="2" t="str">
        <f aca="false">CONCATENATE(N937," ",O937)</f>
        <v>Xysticus luctuosus</v>
      </c>
      <c r="Q937" s="1" t="s">
        <v>30</v>
      </c>
      <c r="R937" s="1" t="s">
        <v>31</v>
      </c>
      <c r="S937" s="1" t="n">
        <v>1</v>
      </c>
      <c r="T937" s="1" t="n">
        <v>0</v>
      </c>
      <c r="U937" s="1" t="n">
        <v>0</v>
      </c>
      <c r="V937" s="1" t="n">
        <v>0</v>
      </c>
      <c r="W937" s="1" t="n">
        <v>0</v>
      </c>
      <c r="X937" s="1" t="n">
        <v>0</v>
      </c>
      <c r="Y937" s="3" t="n">
        <f aca="false">SUM(S937:T937)</f>
        <v>1</v>
      </c>
      <c r="Z937" s="3" t="n">
        <f aca="false">SUM(U937:W937)</f>
        <v>0</v>
      </c>
      <c r="AA937" s="3" t="n">
        <f aca="false">SUM(S937:X937)</f>
        <v>1</v>
      </c>
      <c r="AB937" s="11" t="n">
        <f aca="false">(AA937/(K937*L937)*25)*4</f>
        <v>5</v>
      </c>
    </row>
    <row r="938" customFormat="false" ht="14.25" hidden="false" customHeight="false" outlineLevel="0" collapsed="false">
      <c r="A938" s="1" t="n">
        <v>2009</v>
      </c>
      <c r="B938" s="7" t="s">
        <v>322</v>
      </c>
      <c r="C938" s="7" t="n">
        <v>2</v>
      </c>
      <c r="D938" s="7" t="s">
        <v>293</v>
      </c>
      <c r="E938" s="7" t="s">
        <v>293</v>
      </c>
      <c r="F938" s="7" t="s">
        <v>26</v>
      </c>
      <c r="G938" s="1" t="n">
        <v>1</v>
      </c>
      <c r="H938" s="1" t="n">
        <v>3</v>
      </c>
      <c r="I938" s="10" t="n">
        <v>39970</v>
      </c>
      <c r="J938" s="10" t="n">
        <v>39975</v>
      </c>
      <c r="K938" s="1" t="n">
        <v>5</v>
      </c>
      <c r="L938" s="1" t="n">
        <v>4</v>
      </c>
      <c r="M938" s="3" t="s">
        <v>32</v>
      </c>
      <c r="N938" s="3" t="s">
        <v>62</v>
      </c>
      <c r="O938" s="3" t="s">
        <v>63</v>
      </c>
      <c r="P938" s="2" t="str">
        <f aca="false">CONCATENATE(N938," ",O938)</f>
        <v>Microneta viaria</v>
      </c>
      <c r="Q938" s="1" t="s">
        <v>30</v>
      </c>
      <c r="R938" s="1" t="s">
        <v>35</v>
      </c>
      <c r="S938" s="1" t="n">
        <v>0</v>
      </c>
      <c r="T938" s="1" t="n">
        <v>1</v>
      </c>
      <c r="U938" s="1" t="n">
        <v>0</v>
      </c>
      <c r="V938" s="1" t="n">
        <v>0</v>
      </c>
      <c r="W938" s="1" t="n">
        <v>0</v>
      </c>
      <c r="X938" s="1" t="n">
        <v>0</v>
      </c>
      <c r="Y938" s="3" t="n">
        <f aca="false">SUM(S938:T938)</f>
        <v>1</v>
      </c>
      <c r="Z938" s="3" t="n">
        <f aca="false">SUM(U938:W938)</f>
        <v>0</v>
      </c>
      <c r="AA938" s="3" t="n">
        <f aca="false">SUM(S938:X938)</f>
        <v>1</v>
      </c>
      <c r="AB938" s="11" t="n">
        <f aca="false">(AA938/(K938*L938)*25)*4</f>
        <v>5</v>
      </c>
    </row>
    <row r="939" customFormat="false" ht="14.25" hidden="false" customHeight="false" outlineLevel="0" collapsed="false">
      <c r="A939" s="1" t="n">
        <v>2009</v>
      </c>
      <c r="B939" s="7" t="s">
        <v>322</v>
      </c>
      <c r="C939" s="7" t="n">
        <v>2</v>
      </c>
      <c r="D939" s="7" t="s">
        <v>293</v>
      </c>
      <c r="E939" s="7" t="s">
        <v>293</v>
      </c>
      <c r="F939" s="7" t="s">
        <v>26</v>
      </c>
      <c r="G939" s="1" t="n">
        <v>1</v>
      </c>
      <c r="H939" s="1" t="n">
        <v>3</v>
      </c>
      <c r="I939" s="10" t="n">
        <v>39970</v>
      </c>
      <c r="J939" s="10" t="n">
        <v>39975</v>
      </c>
      <c r="K939" s="1" t="n">
        <v>5</v>
      </c>
      <c r="L939" s="1" t="n">
        <v>4</v>
      </c>
      <c r="M939" s="3" t="s">
        <v>32</v>
      </c>
      <c r="N939" s="3" t="s">
        <v>102</v>
      </c>
      <c r="O939" s="3" t="s">
        <v>103</v>
      </c>
      <c r="P939" s="2" t="str">
        <f aca="false">CONCATENATE(N939," ",O939)</f>
        <v>Agyneta olivacea</v>
      </c>
      <c r="Q939" s="1" t="s">
        <v>30</v>
      </c>
      <c r="R939" s="1" t="s">
        <v>31</v>
      </c>
      <c r="S939" s="1" t="n">
        <v>2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0</v>
      </c>
      <c r="Y939" s="3" t="n">
        <f aca="false">SUM(S939:T939)</f>
        <v>2</v>
      </c>
      <c r="Z939" s="3" t="n">
        <f aca="false">SUM(U939:W939)</f>
        <v>0</v>
      </c>
      <c r="AA939" s="3" t="n">
        <f aca="false">SUM(S939:X939)</f>
        <v>2</v>
      </c>
      <c r="AB939" s="11" t="n">
        <f aca="false">(AA939/(K939*L939)*25)*4</f>
        <v>10</v>
      </c>
    </row>
    <row r="940" customFormat="false" ht="14.25" hidden="false" customHeight="false" outlineLevel="0" collapsed="false">
      <c r="A940" s="1" t="n">
        <v>2009</v>
      </c>
      <c r="B940" s="7" t="s">
        <v>322</v>
      </c>
      <c r="C940" s="7" t="n">
        <v>2</v>
      </c>
      <c r="D940" s="7" t="s">
        <v>293</v>
      </c>
      <c r="E940" s="7" t="s">
        <v>293</v>
      </c>
      <c r="F940" s="7" t="s">
        <v>26</v>
      </c>
      <c r="G940" s="1" t="n">
        <v>1</v>
      </c>
      <c r="H940" s="1" t="n">
        <v>3</v>
      </c>
      <c r="I940" s="10" t="n">
        <v>39970</v>
      </c>
      <c r="J940" s="10" t="n">
        <v>39975</v>
      </c>
      <c r="K940" s="1" t="n">
        <v>5</v>
      </c>
      <c r="L940" s="1" t="n">
        <v>4</v>
      </c>
      <c r="M940" s="3" t="s">
        <v>32</v>
      </c>
      <c r="N940" s="3" t="s">
        <v>102</v>
      </c>
      <c r="O940" s="3" t="s">
        <v>103</v>
      </c>
      <c r="P940" s="2" t="str">
        <f aca="false">CONCATENATE(N940," ",O940)</f>
        <v>Agyneta olivacea</v>
      </c>
      <c r="Q940" s="1" t="s">
        <v>30</v>
      </c>
      <c r="R940" s="1" t="s">
        <v>35</v>
      </c>
      <c r="S940" s="1" t="n">
        <v>0</v>
      </c>
      <c r="T940" s="1" t="n">
        <v>1</v>
      </c>
      <c r="U940" s="1" t="n">
        <v>0</v>
      </c>
      <c r="V940" s="1" t="n">
        <v>0</v>
      </c>
      <c r="W940" s="1" t="n">
        <v>0</v>
      </c>
      <c r="X940" s="1" t="n">
        <v>0</v>
      </c>
      <c r="Y940" s="3" t="n">
        <f aca="false">SUM(S940:T940)</f>
        <v>1</v>
      </c>
      <c r="Z940" s="3" t="n">
        <f aca="false">SUM(U940:W940)</f>
        <v>0</v>
      </c>
      <c r="AA940" s="3" t="n">
        <f aca="false">SUM(S940:X940)</f>
        <v>1</v>
      </c>
      <c r="AB940" s="11" t="n">
        <f aca="false">(AA940/(K940*L940)*25)*4</f>
        <v>5</v>
      </c>
    </row>
    <row r="941" customFormat="false" ht="14.25" hidden="false" customHeight="false" outlineLevel="0" collapsed="false">
      <c r="A941" s="1" t="n">
        <v>2009</v>
      </c>
      <c r="B941" s="7" t="s">
        <v>322</v>
      </c>
      <c r="C941" s="7" t="n">
        <v>2</v>
      </c>
      <c r="D941" s="7" t="s">
        <v>293</v>
      </c>
      <c r="E941" s="7" t="s">
        <v>293</v>
      </c>
      <c r="F941" s="7" t="s">
        <v>26</v>
      </c>
      <c r="G941" s="1" t="n">
        <v>1</v>
      </c>
      <c r="H941" s="1" t="n">
        <v>4</v>
      </c>
      <c r="I941" s="10" t="n">
        <v>39970</v>
      </c>
      <c r="J941" s="10" t="n">
        <v>39975</v>
      </c>
      <c r="K941" s="1" t="n">
        <v>5</v>
      </c>
      <c r="L941" s="1" t="n">
        <v>4</v>
      </c>
      <c r="M941" s="3" t="s">
        <v>48</v>
      </c>
      <c r="N941" s="3" t="s">
        <v>49</v>
      </c>
      <c r="O941" s="3" t="s">
        <v>104</v>
      </c>
      <c r="P941" s="2" t="str">
        <f aca="false">CONCATENATE(N941," ",O941)</f>
        <v>Alopecosa taeniata</v>
      </c>
      <c r="Q941" s="1" t="s">
        <v>30</v>
      </c>
      <c r="R941" s="1" t="s">
        <v>31</v>
      </c>
      <c r="S941" s="1" t="n">
        <v>1</v>
      </c>
      <c r="T941" s="1" t="n">
        <v>0</v>
      </c>
      <c r="U941" s="1" t="n">
        <v>0</v>
      </c>
      <c r="V941" s="1" t="n">
        <v>0</v>
      </c>
      <c r="W941" s="1" t="n">
        <v>0</v>
      </c>
      <c r="X941" s="1" t="n">
        <v>0</v>
      </c>
      <c r="Y941" s="3" t="n">
        <f aca="false">SUM(S941:T941)</f>
        <v>1</v>
      </c>
      <c r="Z941" s="3" t="n">
        <f aca="false">SUM(U941:W941)</f>
        <v>0</v>
      </c>
      <c r="AA941" s="3" t="n">
        <f aca="false">SUM(S941:X941)</f>
        <v>1</v>
      </c>
      <c r="AB941" s="11" t="n">
        <f aca="false">(AA941/(K941*L941)*25)*4</f>
        <v>5</v>
      </c>
    </row>
    <row r="942" customFormat="false" ht="14.25" hidden="false" customHeight="false" outlineLevel="0" collapsed="false">
      <c r="A942" s="1" t="n">
        <v>2009</v>
      </c>
      <c r="B942" s="7" t="s">
        <v>322</v>
      </c>
      <c r="C942" s="7" t="n">
        <v>2</v>
      </c>
      <c r="D942" s="7" t="s">
        <v>293</v>
      </c>
      <c r="E942" s="7" t="s">
        <v>293</v>
      </c>
      <c r="F942" s="7" t="s">
        <v>26</v>
      </c>
      <c r="G942" s="1" t="n">
        <v>1</v>
      </c>
      <c r="H942" s="1" t="n">
        <v>4</v>
      </c>
      <c r="I942" s="10" t="n">
        <v>39970</v>
      </c>
      <c r="J942" s="10" t="n">
        <v>39975</v>
      </c>
      <c r="K942" s="1" t="n">
        <v>5</v>
      </c>
      <c r="L942" s="1" t="n">
        <v>4</v>
      </c>
      <c r="M942" s="3" t="s">
        <v>48</v>
      </c>
      <c r="N942" s="3" t="s">
        <v>67</v>
      </c>
      <c r="O942" s="3" t="s">
        <v>127</v>
      </c>
      <c r="P942" s="2" t="str">
        <f aca="false">CONCATENATE(N942," ",O942)</f>
        <v>Pardosa lugubris</v>
      </c>
      <c r="Q942" s="1" t="s">
        <v>30</v>
      </c>
      <c r="R942" s="1" t="s">
        <v>31</v>
      </c>
      <c r="S942" s="1" t="n">
        <v>4</v>
      </c>
      <c r="T942" s="1" t="n">
        <v>0</v>
      </c>
      <c r="U942" s="1" t="n">
        <v>0</v>
      </c>
      <c r="V942" s="1" t="n">
        <v>0</v>
      </c>
      <c r="W942" s="1" t="n">
        <v>0</v>
      </c>
      <c r="X942" s="1" t="n">
        <v>0</v>
      </c>
      <c r="Y942" s="3" t="n">
        <f aca="false">SUM(S942:T942)</f>
        <v>4</v>
      </c>
      <c r="Z942" s="3" t="n">
        <f aca="false">SUM(U942:W942)</f>
        <v>0</v>
      </c>
      <c r="AA942" s="3" t="n">
        <f aca="false">SUM(S942:X942)</f>
        <v>4</v>
      </c>
      <c r="AB942" s="11" t="n">
        <f aca="false">(AA942/(K942*L942)*25)*4</f>
        <v>20</v>
      </c>
    </row>
    <row r="943" customFormat="false" ht="14.25" hidden="false" customHeight="false" outlineLevel="0" collapsed="false">
      <c r="A943" s="1" t="n">
        <v>2009</v>
      </c>
      <c r="B943" s="7" t="s">
        <v>322</v>
      </c>
      <c r="C943" s="7" t="n">
        <v>2</v>
      </c>
      <c r="D943" s="7" t="s">
        <v>293</v>
      </c>
      <c r="E943" s="7" t="s">
        <v>293</v>
      </c>
      <c r="F943" s="7" t="s">
        <v>26</v>
      </c>
      <c r="G943" s="1" t="n">
        <v>1</v>
      </c>
      <c r="H943" s="1" t="n">
        <v>4</v>
      </c>
      <c r="I943" s="10" t="n">
        <v>39970</v>
      </c>
      <c r="J943" s="10" t="n">
        <v>39975</v>
      </c>
      <c r="K943" s="1" t="n">
        <v>5</v>
      </c>
      <c r="L943" s="1" t="n">
        <v>4</v>
      </c>
      <c r="M943" s="3" t="s">
        <v>72</v>
      </c>
      <c r="N943" s="3" t="s">
        <v>86</v>
      </c>
      <c r="O943" s="8" t="s">
        <v>87</v>
      </c>
      <c r="P943" s="2" t="str">
        <f aca="false">CONCATENATE(N943," ",O943)</f>
        <v>Haplodrassus soerenseni</v>
      </c>
      <c r="Q943" s="1" t="s">
        <v>30</v>
      </c>
      <c r="R943" s="1" t="s">
        <v>31</v>
      </c>
      <c r="S943" s="1" t="n">
        <v>2</v>
      </c>
      <c r="T943" s="1" t="n">
        <v>0</v>
      </c>
      <c r="U943" s="1" t="n">
        <v>0</v>
      </c>
      <c r="V943" s="1" t="n">
        <v>0</v>
      </c>
      <c r="W943" s="1" t="n">
        <v>0</v>
      </c>
      <c r="X943" s="1" t="n">
        <v>0</v>
      </c>
      <c r="Y943" s="3" t="n">
        <f aca="false">SUM(S943:T943)</f>
        <v>2</v>
      </c>
      <c r="Z943" s="3" t="n">
        <f aca="false">SUM(U943:W943)</f>
        <v>0</v>
      </c>
      <c r="AA943" s="3" t="n">
        <f aca="false">SUM(S943:X943)</f>
        <v>2</v>
      </c>
      <c r="AB943" s="11" t="n">
        <f aca="false">(AA943/(K943*L943)*25)*4</f>
        <v>10</v>
      </c>
    </row>
    <row r="944" customFormat="false" ht="14.25" hidden="false" customHeight="false" outlineLevel="0" collapsed="false">
      <c r="A944" s="1" t="n">
        <v>2009</v>
      </c>
      <c r="B944" s="7" t="s">
        <v>322</v>
      </c>
      <c r="C944" s="7" t="n">
        <v>2</v>
      </c>
      <c r="D944" s="7" t="s">
        <v>293</v>
      </c>
      <c r="E944" s="7" t="s">
        <v>293</v>
      </c>
      <c r="F944" s="7" t="s">
        <v>26</v>
      </c>
      <c r="G944" s="1" t="n">
        <v>1</v>
      </c>
      <c r="H944" s="1" t="n">
        <v>4</v>
      </c>
      <c r="I944" s="10" t="n">
        <v>39970</v>
      </c>
      <c r="J944" s="10" t="n">
        <v>39975</v>
      </c>
      <c r="K944" s="1" t="n">
        <v>5</v>
      </c>
      <c r="L944" s="1" t="n">
        <v>4</v>
      </c>
      <c r="M944" s="3" t="s">
        <v>64</v>
      </c>
      <c r="N944" s="3" t="s">
        <v>65</v>
      </c>
      <c r="O944" s="3" t="s">
        <v>123</v>
      </c>
      <c r="P944" s="2" t="str">
        <f aca="false">CONCATENATE(N944," ",O944)</f>
        <v>Zora nemoralis</v>
      </c>
      <c r="Q944" s="1" t="s">
        <v>30</v>
      </c>
      <c r="R944" s="1" t="s">
        <v>31</v>
      </c>
      <c r="S944" s="1" t="n">
        <v>1</v>
      </c>
      <c r="T944" s="1" t="n">
        <v>0</v>
      </c>
      <c r="U944" s="1" t="n">
        <v>0</v>
      </c>
      <c r="V944" s="1" t="n">
        <v>0</v>
      </c>
      <c r="W944" s="1" t="n">
        <v>0</v>
      </c>
      <c r="X944" s="1" t="n">
        <v>0</v>
      </c>
      <c r="Y944" s="3" t="n">
        <f aca="false">SUM(S944:T944)</f>
        <v>1</v>
      </c>
      <c r="Z944" s="3" t="n">
        <f aca="false">SUM(U944:W944)</f>
        <v>0</v>
      </c>
      <c r="AA944" s="3" t="n">
        <f aca="false">SUM(S944:X944)</f>
        <v>1</v>
      </c>
      <c r="AB944" s="11" t="n">
        <f aca="false">(AA944/(K944*L944)*25)*4</f>
        <v>5</v>
      </c>
    </row>
    <row r="945" customFormat="false" ht="14.25" hidden="false" customHeight="false" outlineLevel="0" collapsed="false">
      <c r="A945" s="1" t="n">
        <v>2009</v>
      </c>
      <c r="B945" s="7" t="s">
        <v>322</v>
      </c>
      <c r="C945" s="7" t="n">
        <v>2</v>
      </c>
      <c r="D945" s="7" t="s">
        <v>293</v>
      </c>
      <c r="E945" s="7" t="s">
        <v>293</v>
      </c>
      <c r="F945" s="7" t="s">
        <v>26</v>
      </c>
      <c r="G945" s="1" t="n">
        <v>1</v>
      </c>
      <c r="H945" s="1" t="n">
        <v>4</v>
      </c>
      <c r="I945" s="10" t="n">
        <v>39970</v>
      </c>
      <c r="J945" s="10" t="n">
        <v>39975</v>
      </c>
      <c r="K945" s="1" t="n">
        <v>5</v>
      </c>
      <c r="L945" s="1" t="n">
        <v>4</v>
      </c>
      <c r="M945" s="3" t="s">
        <v>32</v>
      </c>
      <c r="N945" s="3" t="s">
        <v>62</v>
      </c>
      <c r="O945" s="3" t="s">
        <v>63</v>
      </c>
      <c r="P945" s="2" t="str">
        <f aca="false">CONCATENATE(N945," ",O945)</f>
        <v>Microneta viaria</v>
      </c>
      <c r="Q945" s="1" t="s">
        <v>30</v>
      </c>
      <c r="R945" s="1" t="s">
        <v>31</v>
      </c>
      <c r="S945" s="1" t="n">
        <v>2</v>
      </c>
      <c r="T945" s="1" t="n">
        <v>0</v>
      </c>
      <c r="U945" s="1" t="n">
        <v>0</v>
      </c>
      <c r="V945" s="1" t="n">
        <v>0</v>
      </c>
      <c r="W945" s="1" t="n">
        <v>0</v>
      </c>
      <c r="X945" s="1" t="n">
        <v>0</v>
      </c>
      <c r="Y945" s="3" t="n">
        <f aca="false">SUM(S945:T945)</f>
        <v>2</v>
      </c>
      <c r="Z945" s="3" t="n">
        <f aca="false">SUM(U945:W945)</f>
        <v>0</v>
      </c>
      <c r="AA945" s="3" t="n">
        <f aca="false">SUM(S945:X945)</f>
        <v>2</v>
      </c>
      <c r="AB945" s="11" t="n">
        <f aca="false">(AA945/(K945*L945)*25)*4</f>
        <v>10</v>
      </c>
    </row>
    <row r="946" customFormat="false" ht="14.25" hidden="false" customHeight="false" outlineLevel="0" collapsed="false">
      <c r="A946" s="1" t="n">
        <v>2009</v>
      </c>
      <c r="B946" s="7" t="s">
        <v>322</v>
      </c>
      <c r="C946" s="7" t="n">
        <v>2</v>
      </c>
      <c r="D946" s="7" t="s">
        <v>293</v>
      </c>
      <c r="E946" s="7" t="s">
        <v>293</v>
      </c>
      <c r="F946" s="7" t="s">
        <v>26</v>
      </c>
      <c r="G946" s="1" t="n">
        <v>1</v>
      </c>
      <c r="H946" s="1" t="n">
        <v>4</v>
      </c>
      <c r="I946" s="10" t="n">
        <v>39970</v>
      </c>
      <c r="J946" s="10" t="n">
        <v>39975</v>
      </c>
      <c r="K946" s="1" t="n">
        <v>5</v>
      </c>
      <c r="L946" s="1" t="n">
        <v>4</v>
      </c>
      <c r="M946" s="3" t="s">
        <v>32</v>
      </c>
      <c r="N946" s="3" t="s">
        <v>62</v>
      </c>
      <c r="O946" s="3" t="s">
        <v>63</v>
      </c>
      <c r="P946" s="2" t="str">
        <f aca="false">CONCATENATE(N946," ",O946)</f>
        <v>Microneta viaria</v>
      </c>
      <c r="Q946" s="1" t="s">
        <v>30</v>
      </c>
      <c r="R946" s="1" t="s">
        <v>35</v>
      </c>
      <c r="S946" s="1" t="n">
        <v>0</v>
      </c>
      <c r="T946" s="1" t="n">
        <v>2</v>
      </c>
      <c r="U946" s="1" t="n">
        <v>0</v>
      </c>
      <c r="V946" s="1" t="n">
        <v>0</v>
      </c>
      <c r="W946" s="1" t="n">
        <v>0</v>
      </c>
      <c r="X946" s="1" t="n">
        <v>0</v>
      </c>
      <c r="Y946" s="3" t="n">
        <f aca="false">SUM(S946:T946)</f>
        <v>2</v>
      </c>
      <c r="Z946" s="3" t="n">
        <f aca="false">SUM(U946:W946)</f>
        <v>0</v>
      </c>
      <c r="AA946" s="3" t="n">
        <f aca="false">SUM(S946:X946)</f>
        <v>2</v>
      </c>
      <c r="AB946" s="11" t="n">
        <f aca="false">(AA946/(K946*L946)*25)*4</f>
        <v>10</v>
      </c>
    </row>
    <row r="947" customFormat="false" ht="14.25" hidden="false" customHeight="false" outlineLevel="0" collapsed="false">
      <c r="A947" s="1" t="n">
        <v>2009</v>
      </c>
      <c r="B947" s="7" t="s">
        <v>322</v>
      </c>
      <c r="C947" s="7" t="n">
        <v>2</v>
      </c>
      <c r="D947" s="7" t="s">
        <v>293</v>
      </c>
      <c r="E947" s="7" t="s">
        <v>293</v>
      </c>
      <c r="F947" s="7" t="s">
        <v>26</v>
      </c>
      <c r="G947" s="1" t="n">
        <v>1</v>
      </c>
      <c r="H947" s="1" t="n">
        <v>4</v>
      </c>
      <c r="I947" s="10" t="n">
        <v>39970</v>
      </c>
      <c r="J947" s="10" t="n">
        <v>39975</v>
      </c>
      <c r="K947" s="1" t="n">
        <v>5</v>
      </c>
      <c r="L947" s="1" t="n">
        <v>4</v>
      </c>
      <c r="M947" s="3" t="s">
        <v>32</v>
      </c>
      <c r="N947" s="3" t="s">
        <v>102</v>
      </c>
      <c r="O947" s="3" t="s">
        <v>103</v>
      </c>
      <c r="P947" s="2" t="str">
        <f aca="false">CONCATENATE(N947," ",O947)</f>
        <v>Agyneta olivacea</v>
      </c>
      <c r="Q947" s="1" t="s">
        <v>30</v>
      </c>
      <c r="R947" s="1" t="s">
        <v>31</v>
      </c>
      <c r="S947" s="1" t="n">
        <v>2</v>
      </c>
      <c r="T947" s="1" t="n">
        <v>0</v>
      </c>
      <c r="U947" s="1" t="n">
        <v>0</v>
      </c>
      <c r="V947" s="1" t="n">
        <v>0</v>
      </c>
      <c r="W947" s="1" t="n">
        <v>0</v>
      </c>
      <c r="X947" s="1" t="n">
        <v>0</v>
      </c>
      <c r="Y947" s="3" t="n">
        <f aca="false">SUM(S947:T947)</f>
        <v>2</v>
      </c>
      <c r="Z947" s="3" t="n">
        <f aca="false">SUM(U947:W947)</f>
        <v>0</v>
      </c>
      <c r="AA947" s="3" t="n">
        <f aca="false">SUM(S947:X947)</f>
        <v>2</v>
      </c>
      <c r="AB947" s="11" t="n">
        <f aca="false">(AA947/(K947*L947)*25)*4</f>
        <v>10</v>
      </c>
    </row>
    <row r="948" customFormat="false" ht="14.25" hidden="false" customHeight="false" outlineLevel="0" collapsed="false">
      <c r="A948" s="1" t="n">
        <v>2009</v>
      </c>
      <c r="B948" s="7" t="s">
        <v>322</v>
      </c>
      <c r="C948" s="7" t="n">
        <v>2</v>
      </c>
      <c r="D948" s="7" t="s">
        <v>293</v>
      </c>
      <c r="E948" s="7" t="s">
        <v>293</v>
      </c>
      <c r="F948" s="7" t="s">
        <v>26</v>
      </c>
      <c r="G948" s="1" t="n">
        <v>1</v>
      </c>
      <c r="H948" s="1" t="n">
        <v>5</v>
      </c>
      <c r="I948" s="10" t="n">
        <v>39970</v>
      </c>
      <c r="J948" s="10" t="n">
        <v>39975</v>
      </c>
      <c r="K948" s="1" t="n">
        <v>5</v>
      </c>
      <c r="L948" s="1" t="n">
        <v>4</v>
      </c>
      <c r="M948" s="3" t="s">
        <v>48</v>
      </c>
      <c r="N948" s="3" t="s">
        <v>49</v>
      </c>
      <c r="O948" s="3" t="s">
        <v>104</v>
      </c>
      <c r="P948" s="2" t="str">
        <f aca="false">CONCATENATE(N948," ",O948)</f>
        <v>Alopecosa taeniata</v>
      </c>
      <c r="Q948" s="1" t="s">
        <v>30</v>
      </c>
      <c r="R948" s="1" t="s">
        <v>31</v>
      </c>
      <c r="S948" s="1" t="n">
        <v>1</v>
      </c>
      <c r="T948" s="1" t="n">
        <v>0</v>
      </c>
      <c r="U948" s="1" t="n">
        <v>0</v>
      </c>
      <c r="V948" s="1" t="n">
        <v>0</v>
      </c>
      <c r="W948" s="1" t="n">
        <v>0</v>
      </c>
      <c r="X948" s="1" t="n">
        <v>0</v>
      </c>
      <c r="Y948" s="3" t="n">
        <f aca="false">SUM(S948:T948)</f>
        <v>1</v>
      </c>
      <c r="Z948" s="3" t="n">
        <f aca="false">SUM(U948:W948)</f>
        <v>0</v>
      </c>
      <c r="AA948" s="3" t="n">
        <f aca="false">SUM(S948:X948)</f>
        <v>1</v>
      </c>
      <c r="AB948" s="11" t="n">
        <f aca="false">(AA948/(K948*L948)*25)*4</f>
        <v>5</v>
      </c>
    </row>
    <row r="949" customFormat="false" ht="14.25" hidden="false" customHeight="false" outlineLevel="0" collapsed="false">
      <c r="A949" s="1" t="n">
        <v>2009</v>
      </c>
      <c r="B949" s="7" t="s">
        <v>322</v>
      </c>
      <c r="C949" s="7" t="n">
        <v>2</v>
      </c>
      <c r="D949" s="7" t="s">
        <v>293</v>
      </c>
      <c r="E949" s="7" t="s">
        <v>293</v>
      </c>
      <c r="F949" s="7" t="s">
        <v>26</v>
      </c>
      <c r="G949" s="1" t="n">
        <v>1</v>
      </c>
      <c r="H949" s="1" t="n">
        <v>5</v>
      </c>
      <c r="I949" s="10" t="n">
        <v>39970</v>
      </c>
      <c r="J949" s="10" t="n">
        <v>39975</v>
      </c>
      <c r="K949" s="1" t="n">
        <v>5</v>
      </c>
      <c r="L949" s="1" t="n">
        <v>4</v>
      </c>
      <c r="M949" s="3" t="s">
        <v>48</v>
      </c>
      <c r="N949" s="3" t="s">
        <v>67</v>
      </c>
      <c r="O949" s="3" t="s">
        <v>127</v>
      </c>
      <c r="P949" s="2" t="str">
        <f aca="false">CONCATENATE(N949," ",O949)</f>
        <v>Pardosa lugubris</v>
      </c>
      <c r="Q949" s="1" t="s">
        <v>30</v>
      </c>
      <c r="R949" s="1" t="s">
        <v>31</v>
      </c>
      <c r="S949" s="1" t="n">
        <v>4</v>
      </c>
      <c r="T949" s="1" t="n">
        <v>0</v>
      </c>
      <c r="U949" s="1" t="n">
        <v>0</v>
      </c>
      <c r="V949" s="1" t="n">
        <v>0</v>
      </c>
      <c r="W949" s="1" t="n">
        <v>0</v>
      </c>
      <c r="X949" s="1" t="n">
        <v>0</v>
      </c>
      <c r="Y949" s="3" t="n">
        <f aca="false">SUM(S949:T949)</f>
        <v>4</v>
      </c>
      <c r="Z949" s="3" t="n">
        <f aca="false">SUM(U949:W949)</f>
        <v>0</v>
      </c>
      <c r="AA949" s="3" t="n">
        <f aca="false">SUM(S949:X949)</f>
        <v>4</v>
      </c>
      <c r="AB949" s="11" t="n">
        <f aca="false">(AA949/(K949*L949)*25)*4</f>
        <v>20</v>
      </c>
    </row>
    <row r="950" customFormat="false" ht="14.25" hidden="false" customHeight="false" outlineLevel="0" collapsed="false">
      <c r="A950" s="1" t="n">
        <v>2009</v>
      </c>
      <c r="B950" s="7" t="s">
        <v>322</v>
      </c>
      <c r="C950" s="7" t="n">
        <v>2</v>
      </c>
      <c r="D950" s="7" t="s">
        <v>293</v>
      </c>
      <c r="E950" s="7" t="s">
        <v>293</v>
      </c>
      <c r="F950" s="7" t="s">
        <v>26</v>
      </c>
      <c r="G950" s="1" t="n">
        <v>1</v>
      </c>
      <c r="H950" s="1" t="n">
        <v>5</v>
      </c>
      <c r="I950" s="10" t="n">
        <v>39970</v>
      </c>
      <c r="J950" s="10" t="n">
        <v>39975</v>
      </c>
      <c r="K950" s="1" t="n">
        <v>5</v>
      </c>
      <c r="L950" s="1" t="n">
        <v>4</v>
      </c>
      <c r="M950" s="3" t="s">
        <v>48</v>
      </c>
      <c r="N950" s="3" t="s">
        <v>61</v>
      </c>
      <c r="O950" s="3" t="s">
        <v>82</v>
      </c>
      <c r="P950" s="2" t="str">
        <f aca="false">CONCATENATE(N950," ",O950)</f>
        <v>Trochosa terricola</v>
      </c>
      <c r="Q950" s="1" t="s">
        <v>30</v>
      </c>
      <c r="R950" s="1" t="s">
        <v>31</v>
      </c>
      <c r="S950" s="1" t="n">
        <v>1</v>
      </c>
      <c r="T950" s="1" t="n">
        <v>0</v>
      </c>
      <c r="U950" s="1" t="n">
        <v>0</v>
      </c>
      <c r="V950" s="1" t="n">
        <v>0</v>
      </c>
      <c r="W950" s="1" t="n">
        <v>0</v>
      </c>
      <c r="X950" s="1" t="n">
        <v>0</v>
      </c>
      <c r="Y950" s="3" t="n">
        <f aca="false">SUM(S950:T950)</f>
        <v>1</v>
      </c>
      <c r="Z950" s="3" t="n">
        <f aca="false">SUM(U950:W950)</f>
        <v>0</v>
      </c>
      <c r="AA950" s="3" t="n">
        <f aca="false">SUM(S950:X950)</f>
        <v>1</v>
      </c>
      <c r="AB950" s="11" t="n">
        <f aca="false">(AA950/(K950*L950)*25)*4</f>
        <v>5</v>
      </c>
    </row>
    <row r="951" customFormat="false" ht="14.25" hidden="false" customHeight="false" outlineLevel="0" collapsed="false">
      <c r="A951" s="1" t="n">
        <v>2009</v>
      </c>
      <c r="B951" s="7" t="s">
        <v>322</v>
      </c>
      <c r="C951" s="7" t="n">
        <v>2</v>
      </c>
      <c r="D951" s="7" t="s">
        <v>293</v>
      </c>
      <c r="E951" s="7" t="s">
        <v>293</v>
      </c>
      <c r="F951" s="7" t="s">
        <v>26</v>
      </c>
      <c r="G951" s="1" t="n">
        <v>1</v>
      </c>
      <c r="H951" s="1" t="n">
        <v>5</v>
      </c>
      <c r="I951" s="10" t="n">
        <v>39970</v>
      </c>
      <c r="J951" s="10" t="n">
        <v>39975</v>
      </c>
      <c r="K951" s="1" t="n">
        <v>5</v>
      </c>
      <c r="L951" s="1" t="n">
        <v>4</v>
      </c>
      <c r="M951" s="3" t="s">
        <v>64</v>
      </c>
      <c r="N951" s="3" t="s">
        <v>65</v>
      </c>
      <c r="O951" s="3" t="s">
        <v>123</v>
      </c>
      <c r="P951" s="2" t="str">
        <f aca="false">CONCATENATE(N951," ",O951)</f>
        <v>Zora nemoralis</v>
      </c>
      <c r="Q951" s="1" t="s">
        <v>30</v>
      </c>
      <c r="R951" s="1" t="s">
        <v>31</v>
      </c>
      <c r="S951" s="1" t="n">
        <v>3</v>
      </c>
      <c r="T951" s="1" t="n">
        <v>0</v>
      </c>
      <c r="U951" s="1" t="n">
        <v>0</v>
      </c>
      <c r="V951" s="1" t="n">
        <v>0</v>
      </c>
      <c r="W951" s="1" t="n">
        <v>0</v>
      </c>
      <c r="X951" s="1" t="n">
        <v>0</v>
      </c>
      <c r="Y951" s="3" t="n">
        <f aca="false">SUM(S951:T951)</f>
        <v>3</v>
      </c>
      <c r="Z951" s="3" t="n">
        <f aca="false">SUM(U951:W951)</f>
        <v>0</v>
      </c>
      <c r="AA951" s="3" t="n">
        <f aca="false">SUM(S951:X951)</f>
        <v>3</v>
      </c>
      <c r="AB951" s="11" t="n">
        <f aca="false">(AA951/(K951*L951)*25)*4</f>
        <v>15</v>
      </c>
    </row>
    <row r="952" customFormat="false" ht="14.25" hidden="false" customHeight="false" outlineLevel="0" collapsed="false">
      <c r="A952" s="1" t="n">
        <v>2009</v>
      </c>
      <c r="B952" s="7" t="s">
        <v>322</v>
      </c>
      <c r="C952" s="7" t="n">
        <v>2</v>
      </c>
      <c r="D952" s="7" t="s">
        <v>293</v>
      </c>
      <c r="E952" s="7" t="s">
        <v>293</v>
      </c>
      <c r="F952" s="7" t="s">
        <v>26</v>
      </c>
      <c r="G952" s="1" t="n">
        <v>1</v>
      </c>
      <c r="H952" s="1" t="n">
        <v>5</v>
      </c>
      <c r="I952" s="10" t="n">
        <v>39970</v>
      </c>
      <c r="J952" s="10" t="n">
        <v>39975</v>
      </c>
      <c r="K952" s="1" t="n">
        <v>5</v>
      </c>
      <c r="L952" s="1" t="n">
        <v>4</v>
      </c>
      <c r="M952" s="3" t="s">
        <v>72</v>
      </c>
      <c r="N952" s="3" t="s">
        <v>73</v>
      </c>
      <c r="O952" s="3" t="s">
        <v>74</v>
      </c>
      <c r="P952" s="2" t="str">
        <f aca="false">CONCATENATE(N952," ",O952)</f>
        <v>Zelotes subterraneus</v>
      </c>
      <c r="Q952" s="1" t="s">
        <v>30</v>
      </c>
      <c r="R952" s="1" t="s">
        <v>31</v>
      </c>
      <c r="S952" s="1" t="n">
        <v>1</v>
      </c>
      <c r="T952" s="1" t="n">
        <v>0</v>
      </c>
      <c r="U952" s="1" t="n">
        <v>0</v>
      </c>
      <c r="V952" s="1" t="n">
        <v>0</v>
      </c>
      <c r="W952" s="1" t="n">
        <v>0</v>
      </c>
      <c r="X952" s="1" t="n">
        <v>0</v>
      </c>
      <c r="Y952" s="3" t="n">
        <f aca="false">SUM(S952:T952)</f>
        <v>1</v>
      </c>
      <c r="Z952" s="3" t="n">
        <f aca="false">SUM(U952:W952)</f>
        <v>0</v>
      </c>
      <c r="AA952" s="3" t="n">
        <f aca="false">SUM(S952:X952)</f>
        <v>1</v>
      </c>
      <c r="AB952" s="11" t="n">
        <f aca="false">(AA952/(K952*L952)*25)*4</f>
        <v>5</v>
      </c>
    </row>
    <row r="953" customFormat="false" ht="14.25" hidden="false" customHeight="false" outlineLevel="0" collapsed="false">
      <c r="A953" s="1" t="n">
        <v>2009</v>
      </c>
      <c r="B953" s="7" t="s">
        <v>322</v>
      </c>
      <c r="C953" s="7" t="n">
        <v>2</v>
      </c>
      <c r="D953" s="7" t="s">
        <v>293</v>
      </c>
      <c r="E953" s="7" t="s">
        <v>293</v>
      </c>
      <c r="F953" s="7" t="s">
        <v>26</v>
      </c>
      <c r="G953" s="1" t="n">
        <v>1</v>
      </c>
      <c r="H953" s="1" t="n">
        <v>5</v>
      </c>
      <c r="I953" s="10" t="n">
        <v>39970</v>
      </c>
      <c r="J953" s="10" t="n">
        <v>39975</v>
      </c>
      <c r="K953" s="1" t="n">
        <v>5</v>
      </c>
      <c r="L953" s="1" t="n">
        <v>4</v>
      </c>
      <c r="M953" s="3" t="s">
        <v>32</v>
      </c>
      <c r="N953" s="3" t="s">
        <v>62</v>
      </c>
      <c r="O953" s="3" t="s">
        <v>63</v>
      </c>
      <c r="P953" s="2" t="str">
        <f aca="false">CONCATENATE(N953," ",O953)</f>
        <v>Microneta viaria</v>
      </c>
      <c r="Q953" s="1" t="s">
        <v>30</v>
      </c>
      <c r="R953" s="1" t="s">
        <v>31</v>
      </c>
      <c r="S953" s="1" t="n">
        <v>1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0</v>
      </c>
      <c r="Y953" s="3" t="n">
        <f aca="false">SUM(S953:T953)</f>
        <v>1</v>
      </c>
      <c r="Z953" s="3" t="n">
        <f aca="false">SUM(U953:W953)</f>
        <v>0</v>
      </c>
      <c r="AA953" s="3" t="n">
        <f aca="false">SUM(S953:X953)</f>
        <v>1</v>
      </c>
      <c r="AB953" s="11" t="n">
        <f aca="false">(AA953/(K953*L953)*25)*4</f>
        <v>5</v>
      </c>
    </row>
    <row r="954" customFormat="false" ht="14.25" hidden="false" customHeight="false" outlineLevel="0" collapsed="false">
      <c r="A954" s="1" t="n">
        <v>2009</v>
      </c>
      <c r="B954" s="7" t="s">
        <v>322</v>
      </c>
      <c r="C954" s="7" t="n">
        <v>2</v>
      </c>
      <c r="D954" s="7" t="s">
        <v>293</v>
      </c>
      <c r="E954" s="7" t="s">
        <v>293</v>
      </c>
      <c r="F954" s="7" t="s">
        <v>26</v>
      </c>
      <c r="G954" s="1" t="n">
        <v>1</v>
      </c>
      <c r="H954" s="1" t="n">
        <v>5</v>
      </c>
      <c r="I954" s="10" t="n">
        <v>39970</v>
      </c>
      <c r="J954" s="10" t="n">
        <v>39975</v>
      </c>
      <c r="K954" s="1" t="n">
        <v>5</v>
      </c>
      <c r="L954" s="1" t="n">
        <v>4</v>
      </c>
      <c r="M954" s="3" t="s">
        <v>32</v>
      </c>
      <c r="N954" s="3" t="s">
        <v>102</v>
      </c>
      <c r="O954" s="3" t="s">
        <v>103</v>
      </c>
      <c r="P954" s="2" t="str">
        <f aca="false">CONCATENATE(N954," ",O954)</f>
        <v>Agyneta olivacea</v>
      </c>
      <c r="Q954" s="1" t="s">
        <v>30</v>
      </c>
      <c r="R954" s="1" t="s">
        <v>31</v>
      </c>
      <c r="S954" s="1" t="n">
        <v>1</v>
      </c>
      <c r="T954" s="1" t="n">
        <v>0</v>
      </c>
      <c r="U954" s="1" t="n">
        <v>0</v>
      </c>
      <c r="V954" s="1" t="n">
        <v>0</v>
      </c>
      <c r="W954" s="1" t="n">
        <v>0</v>
      </c>
      <c r="X954" s="1" t="n">
        <v>0</v>
      </c>
      <c r="Y954" s="3" t="n">
        <f aca="false">SUM(S954:T954)</f>
        <v>1</v>
      </c>
      <c r="Z954" s="3" t="n">
        <f aca="false">SUM(U954:W954)</f>
        <v>0</v>
      </c>
      <c r="AA954" s="3" t="n">
        <f aca="false">SUM(S954:X954)</f>
        <v>1</v>
      </c>
      <c r="AB954" s="11" t="n">
        <f aca="false">(AA954/(K954*L954)*25)*4</f>
        <v>5</v>
      </c>
    </row>
    <row r="955" customFormat="false" ht="14.25" hidden="false" customHeight="false" outlineLevel="0" collapsed="false">
      <c r="A955" s="1" t="n">
        <v>2009</v>
      </c>
      <c r="B955" s="7" t="s">
        <v>322</v>
      </c>
      <c r="C955" s="7" t="n">
        <v>2</v>
      </c>
      <c r="D955" s="7" t="s">
        <v>293</v>
      </c>
      <c r="E955" s="7" t="s">
        <v>293</v>
      </c>
      <c r="F955" s="7" t="s">
        <v>26</v>
      </c>
      <c r="G955" s="1" t="n">
        <v>2</v>
      </c>
      <c r="H955" s="1" t="n">
        <v>6</v>
      </c>
      <c r="I955" s="10" t="n">
        <v>39970</v>
      </c>
      <c r="J955" s="10" t="n">
        <v>39975</v>
      </c>
      <c r="K955" s="1" t="n">
        <v>5</v>
      </c>
      <c r="L955" s="1" t="n">
        <v>5</v>
      </c>
      <c r="M955" s="3" t="s">
        <v>48</v>
      </c>
      <c r="N955" s="3" t="s">
        <v>67</v>
      </c>
      <c r="O955" s="3" t="s">
        <v>127</v>
      </c>
      <c r="P955" s="2" t="str">
        <f aca="false">CONCATENATE(N955," ",O955)</f>
        <v>Pardosa lugubris</v>
      </c>
      <c r="Q955" s="1" t="s">
        <v>30</v>
      </c>
      <c r="R955" s="1" t="s">
        <v>31</v>
      </c>
      <c r="S955" s="1" t="n">
        <v>2</v>
      </c>
      <c r="T955" s="1" t="n">
        <v>0</v>
      </c>
      <c r="U955" s="1" t="n">
        <v>0</v>
      </c>
      <c r="V955" s="1" t="n">
        <v>0</v>
      </c>
      <c r="W955" s="1" t="n">
        <v>0</v>
      </c>
      <c r="X955" s="1" t="n">
        <v>0</v>
      </c>
      <c r="Y955" s="3" t="n">
        <f aca="false">SUM(S955:T955)</f>
        <v>2</v>
      </c>
      <c r="Z955" s="3" t="n">
        <f aca="false">SUM(U955:W955)</f>
        <v>0</v>
      </c>
      <c r="AA955" s="3" t="n">
        <f aca="false">SUM(S955:X955)</f>
        <v>2</v>
      </c>
      <c r="AB955" s="11" t="n">
        <f aca="false">(AA955/(K955*L955)*25)*4</f>
        <v>8</v>
      </c>
    </row>
    <row r="956" customFormat="false" ht="14.25" hidden="false" customHeight="false" outlineLevel="0" collapsed="false">
      <c r="A956" s="1" t="n">
        <v>2009</v>
      </c>
      <c r="B956" s="7" t="s">
        <v>322</v>
      </c>
      <c r="C956" s="7" t="n">
        <v>2</v>
      </c>
      <c r="D956" s="7" t="s">
        <v>293</v>
      </c>
      <c r="E956" s="7" t="s">
        <v>293</v>
      </c>
      <c r="F956" s="7" t="s">
        <v>26</v>
      </c>
      <c r="G956" s="1" t="n">
        <v>2</v>
      </c>
      <c r="H956" s="1" t="n">
        <v>6</v>
      </c>
      <c r="I956" s="10" t="n">
        <v>39970</v>
      </c>
      <c r="J956" s="10" t="n">
        <v>39975</v>
      </c>
      <c r="K956" s="1" t="n">
        <v>5</v>
      </c>
      <c r="L956" s="1" t="n">
        <v>5</v>
      </c>
      <c r="M956" s="3" t="s">
        <v>64</v>
      </c>
      <c r="N956" s="3" t="s">
        <v>65</v>
      </c>
      <c r="O956" s="3" t="s">
        <v>123</v>
      </c>
      <c r="P956" s="2" t="str">
        <f aca="false">CONCATENATE(N956," ",O956)</f>
        <v>Zora nemoralis</v>
      </c>
      <c r="Q956" s="1" t="s">
        <v>30</v>
      </c>
      <c r="R956" s="1" t="s">
        <v>31</v>
      </c>
      <c r="S956" s="1" t="n">
        <v>2</v>
      </c>
      <c r="T956" s="1" t="n">
        <v>0</v>
      </c>
      <c r="U956" s="1" t="n">
        <v>0</v>
      </c>
      <c r="V956" s="1" t="n">
        <v>0</v>
      </c>
      <c r="W956" s="1" t="n">
        <v>0</v>
      </c>
      <c r="X956" s="1" t="n">
        <v>0</v>
      </c>
      <c r="Y956" s="3" t="n">
        <f aca="false">SUM(S956:T956)</f>
        <v>2</v>
      </c>
      <c r="Z956" s="3" t="n">
        <f aca="false">SUM(U956:W956)</f>
        <v>0</v>
      </c>
      <c r="AA956" s="3" t="n">
        <f aca="false">SUM(S956:X956)</f>
        <v>2</v>
      </c>
      <c r="AB956" s="11" t="n">
        <f aca="false">(AA956/(K956*L956)*25)*4</f>
        <v>8</v>
      </c>
    </row>
    <row r="957" customFormat="false" ht="14.25" hidden="false" customHeight="false" outlineLevel="0" collapsed="false">
      <c r="A957" s="1" t="n">
        <v>2009</v>
      </c>
      <c r="B957" s="7" t="s">
        <v>322</v>
      </c>
      <c r="C957" s="7" t="n">
        <v>2</v>
      </c>
      <c r="D957" s="7" t="s">
        <v>293</v>
      </c>
      <c r="E957" s="7" t="s">
        <v>293</v>
      </c>
      <c r="F957" s="7" t="s">
        <v>26</v>
      </c>
      <c r="G957" s="1" t="n">
        <v>2</v>
      </c>
      <c r="H957" s="1" t="n">
        <v>6</v>
      </c>
      <c r="I957" s="10" t="n">
        <v>39970</v>
      </c>
      <c r="J957" s="10" t="n">
        <v>39975</v>
      </c>
      <c r="K957" s="1" t="n">
        <v>5</v>
      </c>
      <c r="L957" s="1" t="n">
        <v>5</v>
      </c>
      <c r="M957" s="3" t="s">
        <v>36</v>
      </c>
      <c r="N957" s="3" t="s">
        <v>37</v>
      </c>
      <c r="O957" s="8" t="s">
        <v>75</v>
      </c>
      <c r="P957" s="2" t="str">
        <f aca="false">CONCATENATE(N957," ",O957)</f>
        <v>Ozyptila praticola</v>
      </c>
      <c r="Q957" s="1" t="s">
        <v>30</v>
      </c>
      <c r="R957" s="1" t="s">
        <v>31</v>
      </c>
      <c r="S957" s="1" t="n">
        <v>2</v>
      </c>
      <c r="T957" s="1" t="n">
        <v>0</v>
      </c>
      <c r="U957" s="1" t="n">
        <v>0</v>
      </c>
      <c r="V957" s="1" t="n">
        <v>0</v>
      </c>
      <c r="W957" s="1" t="n">
        <v>0</v>
      </c>
      <c r="X957" s="1" t="n">
        <v>0</v>
      </c>
      <c r="Y957" s="3" t="n">
        <f aca="false">SUM(S957:T957)</f>
        <v>2</v>
      </c>
      <c r="Z957" s="3" t="n">
        <f aca="false">SUM(U957:W957)</f>
        <v>0</v>
      </c>
      <c r="AA957" s="3" t="n">
        <f aca="false">SUM(S957:X957)</f>
        <v>2</v>
      </c>
      <c r="AB957" s="11" t="n">
        <f aca="false">(AA957/(K957*L957)*25)*4</f>
        <v>8</v>
      </c>
    </row>
    <row r="958" customFormat="false" ht="14.25" hidden="false" customHeight="false" outlineLevel="0" collapsed="false">
      <c r="A958" s="1" t="n">
        <v>2009</v>
      </c>
      <c r="B958" s="7" t="s">
        <v>322</v>
      </c>
      <c r="C958" s="7" t="n">
        <v>2</v>
      </c>
      <c r="D958" s="7" t="s">
        <v>293</v>
      </c>
      <c r="E958" s="7" t="s">
        <v>293</v>
      </c>
      <c r="F958" s="7" t="s">
        <v>26</v>
      </c>
      <c r="G958" s="1" t="n">
        <v>2</v>
      </c>
      <c r="H958" s="1" t="n">
        <v>6</v>
      </c>
      <c r="I958" s="10" t="n">
        <v>39970</v>
      </c>
      <c r="J958" s="10" t="n">
        <v>39975</v>
      </c>
      <c r="K958" s="1" t="n">
        <v>5</v>
      </c>
      <c r="L958" s="1" t="n">
        <v>5</v>
      </c>
      <c r="M958" s="3" t="s">
        <v>32</v>
      </c>
      <c r="N958" s="3" t="s">
        <v>33</v>
      </c>
      <c r="O958" s="3" t="s">
        <v>60</v>
      </c>
      <c r="P958" s="2" t="str">
        <f aca="false">CONCATENATE(N958," ",O958)</f>
        <v>Tenuiphantes tenebricola</v>
      </c>
      <c r="Q958" s="1" t="s">
        <v>30</v>
      </c>
      <c r="R958" s="1" t="s">
        <v>35</v>
      </c>
      <c r="S958" s="1" t="n">
        <v>0</v>
      </c>
      <c r="T958" s="1" t="n">
        <v>1</v>
      </c>
      <c r="U958" s="1" t="n">
        <v>0</v>
      </c>
      <c r="V958" s="1" t="n">
        <v>0</v>
      </c>
      <c r="W958" s="1" t="n">
        <v>0</v>
      </c>
      <c r="X958" s="1" t="n">
        <v>0</v>
      </c>
      <c r="Y958" s="3" t="n">
        <f aca="false">SUM(S958:T958)</f>
        <v>1</v>
      </c>
      <c r="Z958" s="3" t="n">
        <f aca="false">SUM(U958:W958)</f>
        <v>0</v>
      </c>
      <c r="AA958" s="3" t="n">
        <f aca="false">SUM(S958:X958)</f>
        <v>1</v>
      </c>
      <c r="AB958" s="11" t="n">
        <f aca="false">(AA958/(K958*L958)*25)*4</f>
        <v>4</v>
      </c>
    </row>
    <row r="959" customFormat="false" ht="14.25" hidden="false" customHeight="false" outlineLevel="0" collapsed="false">
      <c r="A959" s="1" t="n">
        <v>2009</v>
      </c>
      <c r="B959" s="7" t="s">
        <v>322</v>
      </c>
      <c r="C959" s="7" t="n">
        <v>2</v>
      </c>
      <c r="D959" s="7" t="s">
        <v>293</v>
      </c>
      <c r="E959" s="7" t="s">
        <v>293</v>
      </c>
      <c r="F959" s="7" t="s">
        <v>26</v>
      </c>
      <c r="G959" s="1" t="n">
        <v>2</v>
      </c>
      <c r="H959" s="1" t="n">
        <v>6</v>
      </c>
      <c r="I959" s="10" t="n">
        <v>39970</v>
      </c>
      <c r="J959" s="10" t="n">
        <v>39975</v>
      </c>
      <c r="K959" s="1" t="n">
        <v>5</v>
      </c>
      <c r="L959" s="1" t="n">
        <v>5</v>
      </c>
      <c r="M959" s="3" t="s">
        <v>32</v>
      </c>
      <c r="N959" s="3" t="s">
        <v>102</v>
      </c>
      <c r="O959" s="3" t="s">
        <v>103</v>
      </c>
      <c r="P959" s="2" t="str">
        <f aca="false">CONCATENATE(N959," ",O959)</f>
        <v>Agyneta olivacea</v>
      </c>
      <c r="Q959" s="1" t="s">
        <v>30</v>
      </c>
      <c r="R959" s="1" t="s">
        <v>31</v>
      </c>
      <c r="S959" s="1" t="n">
        <v>2</v>
      </c>
      <c r="T959" s="1" t="n">
        <v>0</v>
      </c>
      <c r="U959" s="1" t="n">
        <v>0</v>
      </c>
      <c r="V959" s="1" t="n">
        <v>0</v>
      </c>
      <c r="W959" s="1" t="n">
        <v>0</v>
      </c>
      <c r="X959" s="1" t="n">
        <v>0</v>
      </c>
      <c r="Y959" s="3" t="n">
        <f aca="false">SUM(S959:T959)</f>
        <v>2</v>
      </c>
      <c r="Z959" s="3" t="n">
        <f aca="false">SUM(U959:W959)</f>
        <v>0</v>
      </c>
      <c r="AA959" s="3" t="n">
        <f aca="false">SUM(S959:X959)</f>
        <v>2</v>
      </c>
      <c r="AB959" s="11" t="n">
        <f aca="false">(AA959/(K959*L959)*25)*4</f>
        <v>8</v>
      </c>
    </row>
    <row r="960" customFormat="false" ht="14.25" hidden="false" customHeight="false" outlineLevel="0" collapsed="false">
      <c r="A960" s="1" t="n">
        <v>2009</v>
      </c>
      <c r="B960" s="7" t="s">
        <v>322</v>
      </c>
      <c r="C960" s="7" t="n">
        <v>2</v>
      </c>
      <c r="D960" s="7" t="s">
        <v>293</v>
      </c>
      <c r="E960" s="7" t="s">
        <v>293</v>
      </c>
      <c r="F960" s="7" t="s">
        <v>26</v>
      </c>
      <c r="G960" s="1" t="n">
        <v>2</v>
      </c>
      <c r="H960" s="1" t="n">
        <v>7</v>
      </c>
      <c r="I960" s="10" t="n">
        <v>39970</v>
      </c>
      <c r="J960" s="10" t="n">
        <v>39975</v>
      </c>
      <c r="K960" s="1" t="n">
        <v>5</v>
      </c>
      <c r="L960" s="1" t="n">
        <v>5</v>
      </c>
      <c r="M960" s="3" t="s">
        <v>64</v>
      </c>
      <c r="N960" s="3" t="s">
        <v>65</v>
      </c>
      <c r="O960" s="3" t="s">
        <v>123</v>
      </c>
      <c r="P960" s="2" t="str">
        <f aca="false">CONCATENATE(N960," ",O960)</f>
        <v>Zora nemoralis</v>
      </c>
      <c r="Q960" s="1" t="s">
        <v>30</v>
      </c>
      <c r="R960" s="1" t="s">
        <v>31</v>
      </c>
      <c r="S960" s="1" t="n">
        <v>2</v>
      </c>
      <c r="T960" s="1" t="n">
        <v>0</v>
      </c>
      <c r="U960" s="1" t="n">
        <v>0</v>
      </c>
      <c r="V960" s="1" t="n">
        <v>0</v>
      </c>
      <c r="W960" s="1" t="n">
        <v>0</v>
      </c>
      <c r="X960" s="1" t="n">
        <v>0</v>
      </c>
      <c r="Y960" s="3" t="n">
        <f aca="false">SUM(S960:T960)</f>
        <v>2</v>
      </c>
      <c r="Z960" s="3" t="n">
        <f aca="false">SUM(U960:W960)</f>
        <v>0</v>
      </c>
      <c r="AA960" s="3" t="n">
        <f aca="false">SUM(S960:X960)</f>
        <v>2</v>
      </c>
      <c r="AB960" s="11" t="n">
        <f aca="false">(AA960/(K960*L960)*25)*4</f>
        <v>8</v>
      </c>
    </row>
    <row r="961" customFormat="false" ht="14.25" hidden="false" customHeight="false" outlineLevel="0" collapsed="false">
      <c r="A961" s="1" t="n">
        <v>2009</v>
      </c>
      <c r="B961" s="7" t="s">
        <v>322</v>
      </c>
      <c r="C961" s="7" t="n">
        <v>2</v>
      </c>
      <c r="D961" s="7" t="s">
        <v>293</v>
      </c>
      <c r="E961" s="7" t="s">
        <v>293</v>
      </c>
      <c r="F961" s="7" t="s">
        <v>26</v>
      </c>
      <c r="G961" s="1" t="n">
        <v>2</v>
      </c>
      <c r="H961" s="1" t="n">
        <v>7</v>
      </c>
      <c r="I961" s="10" t="n">
        <v>39970</v>
      </c>
      <c r="J961" s="10" t="n">
        <v>39975</v>
      </c>
      <c r="K961" s="1" t="n">
        <v>5</v>
      </c>
      <c r="L961" s="1" t="n">
        <v>5</v>
      </c>
      <c r="M961" s="3" t="s">
        <v>32</v>
      </c>
      <c r="N961" s="3" t="s">
        <v>55</v>
      </c>
      <c r="O961" s="3" t="s">
        <v>194</v>
      </c>
      <c r="P961" s="2" t="str">
        <f aca="false">CONCATENATE(N961," ",O961)</f>
        <v>Maro pansibiricus</v>
      </c>
      <c r="Q961" s="1" t="s">
        <v>30</v>
      </c>
      <c r="R961" s="1" t="s">
        <v>31</v>
      </c>
      <c r="S961" s="1" t="n">
        <v>2</v>
      </c>
      <c r="T961" s="1" t="n">
        <v>0</v>
      </c>
      <c r="U961" s="1" t="n">
        <v>0</v>
      </c>
      <c r="V961" s="1" t="n">
        <v>0</v>
      </c>
      <c r="W961" s="1" t="n">
        <v>0</v>
      </c>
      <c r="X961" s="1" t="n">
        <v>0</v>
      </c>
      <c r="Y961" s="3" t="n">
        <f aca="false">SUM(S961:T961)</f>
        <v>2</v>
      </c>
      <c r="Z961" s="3" t="n">
        <f aca="false">SUM(U961:W961)</f>
        <v>0</v>
      </c>
      <c r="AA961" s="3" t="n">
        <f aca="false">SUM(S961:X961)</f>
        <v>2</v>
      </c>
      <c r="AB961" s="11" t="n">
        <f aca="false">(AA961/(K961*L961)*25)*4</f>
        <v>8</v>
      </c>
    </row>
    <row r="962" customFormat="false" ht="14.25" hidden="false" customHeight="false" outlineLevel="0" collapsed="false">
      <c r="A962" s="1" t="n">
        <v>2009</v>
      </c>
      <c r="B962" s="7" t="s">
        <v>322</v>
      </c>
      <c r="C962" s="7" t="n">
        <v>2</v>
      </c>
      <c r="D962" s="7" t="s">
        <v>293</v>
      </c>
      <c r="E962" s="7" t="s">
        <v>293</v>
      </c>
      <c r="F962" s="7" t="s">
        <v>26</v>
      </c>
      <c r="G962" s="1" t="n">
        <v>2</v>
      </c>
      <c r="H962" s="1" t="n">
        <v>7</v>
      </c>
      <c r="I962" s="10" t="n">
        <v>39970</v>
      </c>
      <c r="J962" s="10" t="n">
        <v>39975</v>
      </c>
      <c r="K962" s="1" t="n">
        <v>5</v>
      </c>
      <c r="L962" s="1" t="n">
        <v>5</v>
      </c>
      <c r="M962" s="3" t="s">
        <v>32</v>
      </c>
      <c r="N962" s="3" t="s">
        <v>33</v>
      </c>
      <c r="O962" s="3" t="s">
        <v>60</v>
      </c>
      <c r="P962" s="2" t="str">
        <f aca="false">CONCATENATE(N962," ",O962)</f>
        <v>Tenuiphantes tenebricola</v>
      </c>
      <c r="Q962" s="1" t="s">
        <v>30</v>
      </c>
      <c r="R962" s="1" t="s">
        <v>31</v>
      </c>
      <c r="S962" s="1" t="n">
        <v>2</v>
      </c>
      <c r="T962" s="1" t="n">
        <v>0</v>
      </c>
      <c r="U962" s="1" t="n">
        <v>0</v>
      </c>
      <c r="V962" s="1" t="n">
        <v>0</v>
      </c>
      <c r="W962" s="1" t="n">
        <v>0</v>
      </c>
      <c r="X962" s="1" t="n">
        <v>0</v>
      </c>
      <c r="Y962" s="3" t="n">
        <f aca="false">SUM(S962:T962)</f>
        <v>2</v>
      </c>
      <c r="Z962" s="3" t="n">
        <f aca="false">SUM(U962:W962)</f>
        <v>0</v>
      </c>
      <c r="AA962" s="3" t="n">
        <f aca="false">SUM(S962:X962)</f>
        <v>2</v>
      </c>
      <c r="AB962" s="11" t="n">
        <f aca="false">(AA962/(K962*L962)*25)*4</f>
        <v>8</v>
      </c>
    </row>
    <row r="963" customFormat="false" ht="14.25" hidden="false" customHeight="false" outlineLevel="0" collapsed="false">
      <c r="A963" s="1" t="n">
        <v>2009</v>
      </c>
      <c r="B963" s="7" t="s">
        <v>322</v>
      </c>
      <c r="C963" s="7" t="n">
        <v>2</v>
      </c>
      <c r="D963" s="7" t="s">
        <v>293</v>
      </c>
      <c r="E963" s="7" t="s">
        <v>293</v>
      </c>
      <c r="F963" s="7" t="s">
        <v>26</v>
      </c>
      <c r="G963" s="1" t="n">
        <v>2</v>
      </c>
      <c r="H963" s="1" t="n">
        <v>8</v>
      </c>
      <c r="I963" s="10" t="n">
        <v>39970</v>
      </c>
      <c r="J963" s="10" t="n">
        <v>39975</v>
      </c>
      <c r="K963" s="1" t="n">
        <v>5</v>
      </c>
      <c r="L963" s="1" t="n">
        <v>5</v>
      </c>
      <c r="M963" s="3" t="s">
        <v>36</v>
      </c>
      <c r="N963" s="3" t="s">
        <v>37</v>
      </c>
      <c r="O963" s="8" t="s">
        <v>75</v>
      </c>
      <c r="P963" s="2" t="str">
        <f aca="false">CONCATENATE(N963," ",O963)</f>
        <v>Ozyptila praticola</v>
      </c>
      <c r="Q963" s="1" t="s">
        <v>30</v>
      </c>
      <c r="R963" s="1" t="s">
        <v>31</v>
      </c>
      <c r="S963" s="1" t="n">
        <v>1</v>
      </c>
      <c r="T963" s="1" t="n">
        <v>0</v>
      </c>
      <c r="U963" s="1" t="n">
        <v>0</v>
      </c>
      <c r="V963" s="1" t="n">
        <v>0</v>
      </c>
      <c r="W963" s="1" t="n">
        <v>0</v>
      </c>
      <c r="X963" s="1" t="n">
        <v>0</v>
      </c>
      <c r="Y963" s="3" t="n">
        <f aca="false">SUM(S963:T963)</f>
        <v>1</v>
      </c>
      <c r="Z963" s="3" t="n">
        <f aca="false">SUM(U963:W963)</f>
        <v>0</v>
      </c>
      <c r="AA963" s="3" t="n">
        <f aca="false">SUM(S963:X963)</f>
        <v>1</v>
      </c>
      <c r="AB963" s="11" t="n">
        <f aca="false">(AA963/(K963*L963)*25)*4</f>
        <v>4</v>
      </c>
    </row>
    <row r="964" customFormat="false" ht="14.25" hidden="false" customHeight="false" outlineLevel="0" collapsed="false">
      <c r="A964" s="1" t="n">
        <v>2009</v>
      </c>
      <c r="B964" s="7" t="s">
        <v>322</v>
      </c>
      <c r="C964" s="7" t="n">
        <v>2</v>
      </c>
      <c r="D964" s="7" t="s">
        <v>293</v>
      </c>
      <c r="E964" s="7" t="s">
        <v>293</v>
      </c>
      <c r="F964" s="7" t="s">
        <v>26</v>
      </c>
      <c r="G964" s="1" t="n">
        <v>2</v>
      </c>
      <c r="H964" s="1" t="n">
        <v>8</v>
      </c>
      <c r="I964" s="10" t="n">
        <v>39970</v>
      </c>
      <c r="J964" s="10" t="n">
        <v>39975</v>
      </c>
      <c r="K964" s="1" t="n">
        <v>5</v>
      </c>
      <c r="L964" s="1" t="n">
        <v>5</v>
      </c>
      <c r="M964" s="3" t="s">
        <v>64</v>
      </c>
      <c r="N964" s="3" t="s">
        <v>65</v>
      </c>
      <c r="O964" s="3" t="s">
        <v>123</v>
      </c>
      <c r="P964" s="2" t="str">
        <f aca="false">CONCATENATE(N964," ",O964)</f>
        <v>Zora nemoralis</v>
      </c>
      <c r="Q964" s="1" t="s">
        <v>30</v>
      </c>
      <c r="R964" s="1" t="s">
        <v>31</v>
      </c>
      <c r="S964" s="1" t="n">
        <v>1</v>
      </c>
      <c r="T964" s="1" t="n">
        <v>0</v>
      </c>
      <c r="U964" s="1" t="n">
        <v>0</v>
      </c>
      <c r="V964" s="1" t="n">
        <v>0</v>
      </c>
      <c r="W964" s="1" t="n">
        <v>0</v>
      </c>
      <c r="X964" s="1" t="n">
        <v>0</v>
      </c>
      <c r="Y964" s="3" t="n">
        <f aca="false">SUM(S964:T964)</f>
        <v>1</v>
      </c>
      <c r="Z964" s="3" t="n">
        <f aca="false">SUM(U964:W964)</f>
        <v>0</v>
      </c>
      <c r="AA964" s="3" t="n">
        <f aca="false">SUM(S964:X964)</f>
        <v>1</v>
      </c>
      <c r="AB964" s="11" t="n">
        <f aca="false">(AA964/(K964*L964)*25)*4</f>
        <v>4</v>
      </c>
    </row>
    <row r="965" customFormat="false" ht="14.25" hidden="false" customHeight="false" outlineLevel="0" collapsed="false">
      <c r="A965" s="1" t="n">
        <v>2009</v>
      </c>
      <c r="B965" s="7" t="s">
        <v>322</v>
      </c>
      <c r="C965" s="7" t="n">
        <v>2</v>
      </c>
      <c r="D965" s="7" t="s">
        <v>293</v>
      </c>
      <c r="E965" s="7" t="s">
        <v>293</v>
      </c>
      <c r="F965" s="7" t="s">
        <v>26</v>
      </c>
      <c r="G965" s="1" t="n">
        <v>2</v>
      </c>
      <c r="H965" s="1" t="n">
        <v>8</v>
      </c>
      <c r="I965" s="10" t="n">
        <v>39970</v>
      </c>
      <c r="J965" s="10" t="n">
        <v>39975</v>
      </c>
      <c r="K965" s="1" t="n">
        <v>5</v>
      </c>
      <c r="L965" s="1" t="n">
        <v>5</v>
      </c>
      <c r="M965" s="3" t="s">
        <v>64</v>
      </c>
      <c r="N965" s="3" t="s">
        <v>65</v>
      </c>
      <c r="O965" s="3" t="s">
        <v>335</v>
      </c>
      <c r="P965" s="2" t="str">
        <f aca="false">CONCATENATE(N965," ",O965)</f>
        <v>Zora spinimana</v>
      </c>
      <c r="Q965" s="1" t="s">
        <v>30</v>
      </c>
      <c r="R965" s="1" t="s">
        <v>35</v>
      </c>
      <c r="S965" s="1" t="n">
        <v>0</v>
      </c>
      <c r="T965" s="1" t="n">
        <v>1</v>
      </c>
      <c r="U965" s="1" t="n">
        <v>0</v>
      </c>
      <c r="V965" s="1" t="n">
        <v>0</v>
      </c>
      <c r="W965" s="1" t="n">
        <v>0</v>
      </c>
      <c r="X965" s="1" t="n">
        <v>0</v>
      </c>
      <c r="Y965" s="3" t="n">
        <f aca="false">SUM(S965:T965)</f>
        <v>1</v>
      </c>
      <c r="Z965" s="3" t="n">
        <f aca="false">SUM(U965:W965)</f>
        <v>0</v>
      </c>
      <c r="AA965" s="3" t="n">
        <f aca="false">SUM(S965:X965)</f>
        <v>1</v>
      </c>
      <c r="AB965" s="11" t="n">
        <f aca="false">(AA965/(K965*L965)*25)*4</f>
        <v>4</v>
      </c>
    </row>
    <row r="966" customFormat="false" ht="14.25" hidden="false" customHeight="false" outlineLevel="0" collapsed="false">
      <c r="A966" s="1" t="n">
        <v>2009</v>
      </c>
      <c r="B966" s="7" t="s">
        <v>322</v>
      </c>
      <c r="C966" s="7" t="n">
        <v>2</v>
      </c>
      <c r="D966" s="7" t="s">
        <v>293</v>
      </c>
      <c r="E966" s="7" t="s">
        <v>293</v>
      </c>
      <c r="F966" s="7" t="s">
        <v>26</v>
      </c>
      <c r="G966" s="1" t="n">
        <v>2</v>
      </c>
      <c r="H966" s="1" t="n">
        <v>8</v>
      </c>
      <c r="I966" s="10" t="n">
        <v>39970</v>
      </c>
      <c r="J966" s="10" t="n">
        <v>39975</v>
      </c>
      <c r="K966" s="1" t="n">
        <v>5</v>
      </c>
      <c r="L966" s="1" t="n">
        <v>5</v>
      </c>
      <c r="M966" s="3" t="s">
        <v>32</v>
      </c>
      <c r="N966" s="3" t="s">
        <v>62</v>
      </c>
      <c r="O966" s="3" t="s">
        <v>63</v>
      </c>
      <c r="P966" s="2" t="str">
        <f aca="false">CONCATENATE(N966," ",O966)</f>
        <v>Microneta viaria</v>
      </c>
      <c r="Q966" s="1" t="s">
        <v>30</v>
      </c>
      <c r="R966" s="1" t="s">
        <v>31</v>
      </c>
      <c r="S966" s="1" t="n">
        <v>2</v>
      </c>
      <c r="T966" s="1" t="n">
        <v>0</v>
      </c>
      <c r="U966" s="1" t="n">
        <v>0</v>
      </c>
      <c r="V966" s="1" t="n">
        <v>0</v>
      </c>
      <c r="W966" s="1" t="n">
        <v>0</v>
      </c>
      <c r="X966" s="1" t="n">
        <v>0</v>
      </c>
      <c r="Y966" s="3" t="n">
        <f aca="false">SUM(S966:T966)</f>
        <v>2</v>
      </c>
      <c r="Z966" s="3" t="n">
        <f aca="false">SUM(U966:W966)</f>
        <v>0</v>
      </c>
      <c r="AA966" s="3" t="n">
        <f aca="false">SUM(S966:X966)</f>
        <v>2</v>
      </c>
      <c r="AB966" s="11" t="n">
        <f aca="false">(AA966/(K966*L966)*25)*4</f>
        <v>8</v>
      </c>
    </row>
    <row r="967" customFormat="false" ht="14.25" hidden="false" customHeight="false" outlineLevel="0" collapsed="false">
      <c r="A967" s="1" t="n">
        <v>2009</v>
      </c>
      <c r="B967" s="7" t="s">
        <v>322</v>
      </c>
      <c r="C967" s="7" t="n">
        <v>2</v>
      </c>
      <c r="D967" s="7" t="s">
        <v>293</v>
      </c>
      <c r="E967" s="7" t="s">
        <v>293</v>
      </c>
      <c r="F967" s="7" t="s">
        <v>26</v>
      </c>
      <c r="G967" s="1" t="n">
        <v>2</v>
      </c>
      <c r="H967" s="1" t="n">
        <v>8</v>
      </c>
      <c r="I967" s="10" t="n">
        <v>39970</v>
      </c>
      <c r="J967" s="10" t="n">
        <v>39975</v>
      </c>
      <c r="K967" s="1" t="n">
        <v>5</v>
      </c>
      <c r="L967" s="1" t="n">
        <v>5</v>
      </c>
      <c r="M967" s="3" t="s">
        <v>32</v>
      </c>
      <c r="N967" s="3" t="s">
        <v>62</v>
      </c>
      <c r="O967" s="3" t="s">
        <v>63</v>
      </c>
      <c r="P967" s="2" t="str">
        <f aca="false">CONCATENATE(N967," ",O967)</f>
        <v>Microneta viaria</v>
      </c>
      <c r="Q967" s="1" t="s">
        <v>30</v>
      </c>
      <c r="R967" s="1" t="s">
        <v>35</v>
      </c>
      <c r="S967" s="1" t="n">
        <v>0</v>
      </c>
      <c r="T967" s="1" t="n">
        <v>1</v>
      </c>
      <c r="U967" s="1" t="n">
        <v>0</v>
      </c>
      <c r="V967" s="1" t="n">
        <v>0</v>
      </c>
      <c r="W967" s="1" t="n">
        <v>0</v>
      </c>
      <c r="X967" s="1" t="n">
        <v>0</v>
      </c>
      <c r="Y967" s="3" t="n">
        <f aca="false">SUM(S967:T967)</f>
        <v>1</v>
      </c>
      <c r="Z967" s="3" t="n">
        <f aca="false">SUM(U967:W967)</f>
        <v>0</v>
      </c>
      <c r="AA967" s="3" t="n">
        <f aca="false">SUM(S967:X967)</f>
        <v>1</v>
      </c>
      <c r="AB967" s="11" t="n">
        <f aca="false">(AA967/(K967*L967)*25)*4</f>
        <v>4</v>
      </c>
    </row>
    <row r="968" customFormat="false" ht="14.25" hidden="false" customHeight="false" outlineLevel="0" collapsed="false">
      <c r="A968" s="1" t="n">
        <v>2009</v>
      </c>
      <c r="B968" s="7" t="s">
        <v>322</v>
      </c>
      <c r="C968" s="7" t="n">
        <v>2</v>
      </c>
      <c r="D968" s="7" t="s">
        <v>293</v>
      </c>
      <c r="E968" s="7" t="s">
        <v>293</v>
      </c>
      <c r="F968" s="7" t="s">
        <v>26</v>
      </c>
      <c r="G968" s="1" t="n">
        <v>2</v>
      </c>
      <c r="H968" s="1" t="n">
        <v>8</v>
      </c>
      <c r="I968" s="10" t="n">
        <v>39970</v>
      </c>
      <c r="J968" s="10" t="n">
        <v>39975</v>
      </c>
      <c r="K968" s="1" t="n">
        <v>5</v>
      </c>
      <c r="L968" s="1" t="n">
        <v>5</v>
      </c>
      <c r="M968" s="3" t="s">
        <v>32</v>
      </c>
      <c r="N968" s="3" t="s">
        <v>84</v>
      </c>
      <c r="O968" s="3" t="s">
        <v>168</v>
      </c>
      <c r="P968" s="2" t="str">
        <f aca="false">CONCATENATE(N968," ",O968)</f>
        <v>Walckenaeria atrotibialis</v>
      </c>
      <c r="Q968" s="1" t="s">
        <v>30</v>
      </c>
      <c r="R968" s="1" t="s">
        <v>31</v>
      </c>
      <c r="S968" s="1" t="n">
        <v>1</v>
      </c>
      <c r="T968" s="1" t="n">
        <v>0</v>
      </c>
      <c r="U968" s="1" t="n">
        <v>0</v>
      </c>
      <c r="V968" s="1" t="n">
        <v>0</v>
      </c>
      <c r="W968" s="1" t="n">
        <v>0</v>
      </c>
      <c r="X968" s="1" t="n">
        <v>0</v>
      </c>
      <c r="Y968" s="3" t="n">
        <f aca="false">SUM(S968:T968)</f>
        <v>1</v>
      </c>
      <c r="Z968" s="3" t="n">
        <f aca="false">SUM(U968:W968)</f>
        <v>0</v>
      </c>
      <c r="AA968" s="3" t="n">
        <f aca="false">SUM(S968:X968)</f>
        <v>1</v>
      </c>
      <c r="AB968" s="11" t="n">
        <f aca="false">(AA968/(K968*L968)*25)*4</f>
        <v>4</v>
      </c>
    </row>
    <row r="969" customFormat="false" ht="14.25" hidden="false" customHeight="false" outlineLevel="0" collapsed="false">
      <c r="A969" s="1" t="n">
        <v>2009</v>
      </c>
      <c r="B969" s="7" t="s">
        <v>322</v>
      </c>
      <c r="C969" s="7" t="n">
        <v>2</v>
      </c>
      <c r="D969" s="7" t="s">
        <v>293</v>
      </c>
      <c r="E969" s="7" t="s">
        <v>293</v>
      </c>
      <c r="F969" s="7" t="s">
        <v>26</v>
      </c>
      <c r="G969" s="1" t="n">
        <v>2</v>
      </c>
      <c r="H969" s="1" t="n">
        <v>9</v>
      </c>
      <c r="I969" s="10" t="n">
        <v>39970</v>
      </c>
      <c r="J969" s="10" t="n">
        <v>39975</v>
      </c>
      <c r="K969" s="1" t="n">
        <v>5</v>
      </c>
      <c r="L969" s="1" t="n">
        <v>5</v>
      </c>
      <c r="M969" s="3" t="s">
        <v>36</v>
      </c>
      <c r="N969" s="3" t="s">
        <v>37</v>
      </c>
      <c r="O969" s="8" t="s">
        <v>75</v>
      </c>
      <c r="P969" s="2" t="str">
        <f aca="false">CONCATENATE(N969," ",O969)</f>
        <v>Ozyptila praticola</v>
      </c>
      <c r="Q969" s="1" t="s">
        <v>30</v>
      </c>
      <c r="R969" s="1" t="s">
        <v>31</v>
      </c>
      <c r="S969" s="1" t="n">
        <v>2</v>
      </c>
      <c r="T969" s="1" t="n">
        <v>0</v>
      </c>
      <c r="U969" s="1" t="n">
        <v>0</v>
      </c>
      <c r="V969" s="1" t="n">
        <v>0</v>
      </c>
      <c r="W969" s="1" t="n">
        <v>0</v>
      </c>
      <c r="X969" s="1" t="n">
        <v>0</v>
      </c>
      <c r="Y969" s="3" t="n">
        <f aca="false">SUM(S969:T969)</f>
        <v>2</v>
      </c>
      <c r="Z969" s="3" t="n">
        <f aca="false">SUM(U969:W969)</f>
        <v>0</v>
      </c>
      <c r="AA969" s="3" t="n">
        <f aca="false">SUM(S969:X969)</f>
        <v>2</v>
      </c>
      <c r="AB969" s="11" t="n">
        <f aca="false">(AA969/(K969*L969)*25)*4</f>
        <v>8</v>
      </c>
    </row>
    <row r="970" customFormat="false" ht="14.25" hidden="false" customHeight="false" outlineLevel="0" collapsed="false">
      <c r="A970" s="1" t="n">
        <v>2009</v>
      </c>
      <c r="B970" s="7" t="s">
        <v>322</v>
      </c>
      <c r="C970" s="7" t="n">
        <v>2</v>
      </c>
      <c r="D970" s="7" t="s">
        <v>293</v>
      </c>
      <c r="E970" s="7" t="s">
        <v>293</v>
      </c>
      <c r="F970" s="7" t="s">
        <v>26</v>
      </c>
      <c r="G970" s="1" t="n">
        <v>2</v>
      </c>
      <c r="H970" s="1" t="n">
        <v>9</v>
      </c>
      <c r="I970" s="10" t="n">
        <v>39970</v>
      </c>
      <c r="J970" s="10" t="n">
        <v>39975</v>
      </c>
      <c r="K970" s="1" t="n">
        <v>5</v>
      </c>
      <c r="L970" s="1" t="n">
        <v>5</v>
      </c>
      <c r="M970" s="3" t="s">
        <v>27</v>
      </c>
      <c r="N970" s="3" t="s">
        <v>28</v>
      </c>
      <c r="O970" s="3" t="s">
        <v>29</v>
      </c>
      <c r="P970" s="2" t="str">
        <f aca="false">CONCATENATE(N970," ",O970)</f>
        <v>Robertus lividus</v>
      </c>
      <c r="Q970" s="1" t="s">
        <v>30</v>
      </c>
      <c r="R970" s="1" t="s">
        <v>31</v>
      </c>
      <c r="S970" s="1" t="n">
        <v>1</v>
      </c>
      <c r="T970" s="1" t="n">
        <v>0</v>
      </c>
      <c r="U970" s="1" t="n">
        <v>0</v>
      </c>
      <c r="V970" s="1" t="n">
        <v>0</v>
      </c>
      <c r="W970" s="1" t="n">
        <v>0</v>
      </c>
      <c r="X970" s="1" t="n">
        <v>0</v>
      </c>
      <c r="Y970" s="3" t="n">
        <f aca="false">SUM(S970:T970)</f>
        <v>1</v>
      </c>
      <c r="Z970" s="3" t="n">
        <f aca="false">SUM(U970:W970)</f>
        <v>0</v>
      </c>
      <c r="AA970" s="3" t="n">
        <f aca="false">SUM(S970:X970)</f>
        <v>1</v>
      </c>
      <c r="AB970" s="11" t="n">
        <f aca="false">(AA970/(K970*L970)*25)*4</f>
        <v>4</v>
      </c>
    </row>
    <row r="971" customFormat="false" ht="14.25" hidden="false" customHeight="false" outlineLevel="0" collapsed="false">
      <c r="A971" s="1" t="n">
        <v>2009</v>
      </c>
      <c r="B971" s="7" t="s">
        <v>322</v>
      </c>
      <c r="C971" s="7" t="n">
        <v>2</v>
      </c>
      <c r="D971" s="7" t="s">
        <v>293</v>
      </c>
      <c r="E971" s="7" t="s">
        <v>293</v>
      </c>
      <c r="F971" s="7" t="s">
        <v>26</v>
      </c>
      <c r="G971" s="1" t="n">
        <v>2</v>
      </c>
      <c r="H971" s="1" t="n">
        <v>9</v>
      </c>
      <c r="I971" s="10" t="n">
        <v>39970</v>
      </c>
      <c r="J971" s="10" t="n">
        <v>39975</v>
      </c>
      <c r="K971" s="1" t="n">
        <v>5</v>
      </c>
      <c r="L971" s="1" t="n">
        <v>5</v>
      </c>
      <c r="M971" s="3" t="s">
        <v>32</v>
      </c>
      <c r="N971" s="3" t="s">
        <v>62</v>
      </c>
      <c r="O971" s="3" t="s">
        <v>63</v>
      </c>
      <c r="P971" s="2" t="str">
        <f aca="false">CONCATENATE(N971," ",O971)</f>
        <v>Microneta viaria</v>
      </c>
      <c r="Q971" s="1" t="s">
        <v>30</v>
      </c>
      <c r="R971" s="1" t="s">
        <v>35</v>
      </c>
      <c r="S971" s="1" t="n">
        <v>0</v>
      </c>
      <c r="T971" s="1" t="n">
        <v>1</v>
      </c>
      <c r="U971" s="1" t="n">
        <v>0</v>
      </c>
      <c r="V971" s="1" t="n">
        <v>0</v>
      </c>
      <c r="W971" s="1" t="n">
        <v>0</v>
      </c>
      <c r="X971" s="1" t="n">
        <v>0</v>
      </c>
      <c r="Y971" s="3" t="n">
        <f aca="false">SUM(S971:T971)</f>
        <v>1</v>
      </c>
      <c r="Z971" s="3" t="n">
        <f aca="false">SUM(U971:W971)</f>
        <v>0</v>
      </c>
      <c r="AA971" s="3" t="n">
        <f aca="false">SUM(S971:X971)</f>
        <v>1</v>
      </c>
      <c r="AB971" s="11" t="n">
        <f aca="false">(AA971/(K971*L971)*25)*4</f>
        <v>4</v>
      </c>
    </row>
    <row r="972" customFormat="false" ht="14.25" hidden="false" customHeight="false" outlineLevel="0" collapsed="false">
      <c r="A972" s="1" t="n">
        <v>2009</v>
      </c>
      <c r="B972" s="7" t="s">
        <v>322</v>
      </c>
      <c r="C972" s="7" t="n">
        <v>2</v>
      </c>
      <c r="D972" s="7" t="s">
        <v>293</v>
      </c>
      <c r="E972" s="7" t="s">
        <v>293</v>
      </c>
      <c r="F972" s="7" t="s">
        <v>26</v>
      </c>
      <c r="G972" s="1" t="n">
        <v>2</v>
      </c>
      <c r="H972" s="1" t="n">
        <v>9</v>
      </c>
      <c r="I972" s="10" t="n">
        <v>39970</v>
      </c>
      <c r="J972" s="10" t="n">
        <v>39975</v>
      </c>
      <c r="K972" s="1" t="n">
        <v>5</v>
      </c>
      <c r="L972" s="1" t="n">
        <v>5</v>
      </c>
      <c r="M972" s="13" t="s">
        <v>32</v>
      </c>
      <c r="N972" s="13" t="s">
        <v>96</v>
      </c>
      <c r="O972" s="14" t="s">
        <v>97</v>
      </c>
      <c r="P972" s="2" t="str">
        <f aca="false">CONCATENATE(N972," ",O972)</f>
        <v>Diplocephalus picinus</v>
      </c>
      <c r="Q972" s="1" t="s">
        <v>30</v>
      </c>
      <c r="R972" s="1" t="s">
        <v>31</v>
      </c>
      <c r="S972" s="1" t="n">
        <v>1</v>
      </c>
      <c r="T972" s="1" t="n">
        <v>0</v>
      </c>
      <c r="U972" s="1" t="n">
        <v>0</v>
      </c>
      <c r="V972" s="1" t="n">
        <v>0</v>
      </c>
      <c r="W972" s="1" t="n">
        <v>0</v>
      </c>
      <c r="X972" s="1" t="n">
        <v>0</v>
      </c>
      <c r="Y972" s="3" t="n">
        <f aca="false">SUM(S972:T972)</f>
        <v>1</v>
      </c>
      <c r="Z972" s="3" t="n">
        <f aca="false">SUM(U972:W972)</f>
        <v>0</v>
      </c>
      <c r="AA972" s="3" t="n">
        <f aca="false">SUM(S972:X972)</f>
        <v>1</v>
      </c>
      <c r="AB972" s="11" t="n">
        <f aca="false">(AA972/(K972*L972)*25)*4</f>
        <v>4</v>
      </c>
    </row>
    <row r="973" customFormat="false" ht="14.25" hidden="false" customHeight="false" outlineLevel="0" collapsed="false">
      <c r="A973" s="1" t="n">
        <v>2009</v>
      </c>
      <c r="B973" s="7" t="s">
        <v>322</v>
      </c>
      <c r="C973" s="7" t="n">
        <v>2</v>
      </c>
      <c r="D973" s="7" t="s">
        <v>293</v>
      </c>
      <c r="E973" s="7" t="s">
        <v>293</v>
      </c>
      <c r="F973" s="7" t="s">
        <v>26</v>
      </c>
      <c r="G973" s="1" t="n">
        <v>2</v>
      </c>
      <c r="H973" s="1" t="n">
        <v>9</v>
      </c>
      <c r="I973" s="10" t="n">
        <v>39970</v>
      </c>
      <c r="J973" s="10" t="n">
        <v>39975</v>
      </c>
      <c r="K973" s="1" t="n">
        <v>5</v>
      </c>
      <c r="L973" s="1" t="n">
        <v>5</v>
      </c>
      <c r="M973" s="3" t="s">
        <v>32</v>
      </c>
      <c r="N973" s="3" t="s">
        <v>102</v>
      </c>
      <c r="O973" s="3" t="s">
        <v>103</v>
      </c>
      <c r="P973" s="2" t="str">
        <f aca="false">CONCATENATE(N973," ",O973)</f>
        <v>Agyneta olivacea</v>
      </c>
      <c r="Q973" s="1" t="s">
        <v>30</v>
      </c>
      <c r="R973" s="1" t="s">
        <v>31</v>
      </c>
      <c r="S973" s="1" t="n">
        <v>1</v>
      </c>
      <c r="T973" s="1" t="n">
        <v>0</v>
      </c>
      <c r="U973" s="1" t="n">
        <v>0</v>
      </c>
      <c r="V973" s="1" t="n">
        <v>0</v>
      </c>
      <c r="W973" s="1" t="n">
        <v>0</v>
      </c>
      <c r="X973" s="1" t="n">
        <v>0</v>
      </c>
      <c r="Y973" s="3" t="n">
        <f aca="false">SUM(S973:T973)</f>
        <v>1</v>
      </c>
      <c r="Z973" s="3" t="n">
        <f aca="false">SUM(U973:W973)</f>
        <v>0</v>
      </c>
      <c r="AA973" s="3" t="n">
        <f aca="false">SUM(S973:X973)</f>
        <v>1</v>
      </c>
      <c r="AB973" s="11" t="n">
        <f aca="false">(AA973/(K973*L973)*25)*4</f>
        <v>4</v>
      </c>
    </row>
    <row r="974" customFormat="false" ht="14.25" hidden="false" customHeight="false" outlineLevel="0" collapsed="false">
      <c r="A974" s="1" t="n">
        <v>2009</v>
      </c>
      <c r="B974" s="7" t="s">
        <v>322</v>
      </c>
      <c r="C974" s="7" t="n">
        <v>2</v>
      </c>
      <c r="D974" s="7" t="s">
        <v>293</v>
      </c>
      <c r="E974" s="7" t="s">
        <v>293</v>
      </c>
      <c r="F974" s="7" t="s">
        <v>26</v>
      </c>
      <c r="G974" s="1" t="n">
        <v>2</v>
      </c>
      <c r="H974" s="1" t="n">
        <v>10</v>
      </c>
      <c r="I974" s="10" t="n">
        <v>39970</v>
      </c>
      <c r="J974" s="10" t="n">
        <v>39975</v>
      </c>
      <c r="K974" s="1" t="n">
        <v>5</v>
      </c>
      <c r="L974" s="1" t="n">
        <v>5</v>
      </c>
      <c r="M974" s="3" t="s">
        <v>36</v>
      </c>
      <c r="N974" s="3" t="s">
        <v>37</v>
      </c>
      <c r="O974" s="8" t="s">
        <v>75</v>
      </c>
      <c r="P974" s="2" t="str">
        <f aca="false">CONCATENATE(N974," ",O974)</f>
        <v>Ozyptila praticola</v>
      </c>
      <c r="Q974" s="1" t="s">
        <v>30</v>
      </c>
      <c r="R974" s="1" t="s">
        <v>31</v>
      </c>
      <c r="S974" s="1" t="n">
        <v>1</v>
      </c>
      <c r="T974" s="1" t="n">
        <v>0</v>
      </c>
      <c r="U974" s="1" t="n">
        <v>0</v>
      </c>
      <c r="V974" s="1" t="n">
        <v>0</v>
      </c>
      <c r="W974" s="1" t="n">
        <v>0</v>
      </c>
      <c r="X974" s="1" t="n">
        <v>0</v>
      </c>
      <c r="Y974" s="3" t="n">
        <f aca="false">SUM(S974:T974)</f>
        <v>1</v>
      </c>
      <c r="Z974" s="3" t="n">
        <f aca="false">SUM(U974:W974)</f>
        <v>0</v>
      </c>
      <c r="AA974" s="3" t="n">
        <f aca="false">SUM(S974:X974)</f>
        <v>1</v>
      </c>
      <c r="AB974" s="11" t="n">
        <f aca="false">(AA974/(K974*L974)*25)*4</f>
        <v>4</v>
      </c>
    </row>
    <row r="975" customFormat="false" ht="14.25" hidden="false" customHeight="false" outlineLevel="0" collapsed="false">
      <c r="A975" s="1" t="n">
        <v>2009</v>
      </c>
      <c r="B975" s="7" t="s">
        <v>322</v>
      </c>
      <c r="C975" s="7" t="n">
        <v>2</v>
      </c>
      <c r="D975" s="7" t="s">
        <v>293</v>
      </c>
      <c r="E975" s="7" t="s">
        <v>293</v>
      </c>
      <c r="F975" s="7" t="s">
        <v>26</v>
      </c>
      <c r="G975" s="1" t="n">
        <v>2</v>
      </c>
      <c r="H975" s="1" t="n">
        <v>10</v>
      </c>
      <c r="I975" s="10" t="n">
        <v>39970</v>
      </c>
      <c r="J975" s="10" t="n">
        <v>39975</v>
      </c>
      <c r="K975" s="1" t="n">
        <v>5</v>
      </c>
      <c r="L975" s="1" t="n">
        <v>5</v>
      </c>
      <c r="M975" s="3" t="s">
        <v>64</v>
      </c>
      <c r="N975" s="3" t="s">
        <v>65</v>
      </c>
      <c r="O975" s="3" t="s">
        <v>123</v>
      </c>
      <c r="P975" s="2" t="str">
        <f aca="false">CONCATENATE(N975," ",O975)</f>
        <v>Zora nemoralis</v>
      </c>
      <c r="Q975" s="1" t="s">
        <v>30</v>
      </c>
      <c r="R975" s="1" t="s">
        <v>31</v>
      </c>
      <c r="S975" s="1" t="n">
        <v>2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0</v>
      </c>
      <c r="Y975" s="3" t="n">
        <f aca="false">SUM(S975:T975)</f>
        <v>2</v>
      </c>
      <c r="Z975" s="3" t="n">
        <f aca="false">SUM(U975:W975)</f>
        <v>0</v>
      </c>
      <c r="AA975" s="3" t="n">
        <f aca="false">SUM(S975:X975)</f>
        <v>2</v>
      </c>
      <c r="AB975" s="11" t="n">
        <f aca="false">(AA975/(K975*L975)*25)*4</f>
        <v>8</v>
      </c>
    </row>
    <row r="976" customFormat="false" ht="14.25" hidden="false" customHeight="false" outlineLevel="0" collapsed="false">
      <c r="A976" s="1" t="n">
        <v>2009</v>
      </c>
      <c r="B976" s="7" t="s">
        <v>322</v>
      </c>
      <c r="C976" s="7" t="n">
        <v>2</v>
      </c>
      <c r="D976" s="7" t="s">
        <v>293</v>
      </c>
      <c r="E976" s="7" t="s">
        <v>293</v>
      </c>
      <c r="F976" s="7" t="s">
        <v>26</v>
      </c>
      <c r="G976" s="1" t="n">
        <v>2</v>
      </c>
      <c r="H976" s="1" t="n">
        <v>10</v>
      </c>
      <c r="I976" s="10" t="n">
        <v>39970</v>
      </c>
      <c r="J976" s="10" t="n">
        <v>39975</v>
      </c>
      <c r="K976" s="1" t="n">
        <v>5</v>
      </c>
      <c r="L976" s="1" t="n">
        <v>5</v>
      </c>
      <c r="M976" s="3" t="s">
        <v>64</v>
      </c>
      <c r="N976" s="3" t="s">
        <v>65</v>
      </c>
      <c r="O976" s="3" t="s">
        <v>335</v>
      </c>
      <c r="P976" s="2" t="str">
        <f aca="false">CONCATENATE(N976," ",O976)</f>
        <v>Zora spinimana</v>
      </c>
      <c r="Q976" s="1" t="s">
        <v>30</v>
      </c>
      <c r="R976" s="1" t="s">
        <v>31</v>
      </c>
      <c r="S976" s="1" t="n">
        <v>1</v>
      </c>
      <c r="T976" s="1" t="n">
        <v>0</v>
      </c>
      <c r="U976" s="1" t="n">
        <v>0</v>
      </c>
      <c r="V976" s="1" t="n">
        <v>0</v>
      </c>
      <c r="W976" s="1" t="n">
        <v>0</v>
      </c>
      <c r="X976" s="1" t="n">
        <v>0</v>
      </c>
      <c r="Y976" s="3" t="n">
        <f aca="false">SUM(S976:T976)</f>
        <v>1</v>
      </c>
      <c r="Z976" s="3" t="n">
        <f aca="false">SUM(U976:W976)</f>
        <v>0</v>
      </c>
      <c r="AA976" s="3" t="n">
        <f aca="false">SUM(S976:X976)</f>
        <v>1</v>
      </c>
      <c r="AB976" s="11" t="n">
        <f aca="false">(AA976/(K976*L976)*25)*4</f>
        <v>4</v>
      </c>
    </row>
    <row r="977" customFormat="false" ht="14.25" hidden="false" customHeight="false" outlineLevel="0" collapsed="false">
      <c r="A977" s="1" t="n">
        <v>2009</v>
      </c>
      <c r="B977" s="7" t="s">
        <v>322</v>
      </c>
      <c r="C977" s="7" t="n">
        <v>2</v>
      </c>
      <c r="D977" s="7" t="s">
        <v>293</v>
      </c>
      <c r="E977" s="7" t="s">
        <v>293</v>
      </c>
      <c r="F977" s="7" t="s">
        <v>26</v>
      </c>
      <c r="G977" s="1" t="n">
        <v>2</v>
      </c>
      <c r="H977" s="1" t="n">
        <v>10</v>
      </c>
      <c r="I977" s="10" t="n">
        <v>39970</v>
      </c>
      <c r="J977" s="10" t="n">
        <v>39975</v>
      </c>
      <c r="K977" s="1" t="n">
        <v>5</v>
      </c>
      <c r="L977" s="1" t="n">
        <v>5</v>
      </c>
      <c r="M977" s="3" t="s">
        <v>64</v>
      </c>
      <c r="N977" s="3" t="s">
        <v>65</v>
      </c>
      <c r="O977" s="3" t="s">
        <v>335</v>
      </c>
      <c r="P977" s="2" t="str">
        <f aca="false">CONCATENATE(N977," ",O977)</f>
        <v>Zora spinimana</v>
      </c>
      <c r="Q977" s="1" t="s">
        <v>30</v>
      </c>
      <c r="R977" s="1" t="s">
        <v>35</v>
      </c>
      <c r="S977" s="1" t="n">
        <v>0</v>
      </c>
      <c r="T977" s="1" t="n">
        <v>1</v>
      </c>
      <c r="U977" s="1" t="n">
        <v>0</v>
      </c>
      <c r="V977" s="1" t="n">
        <v>0</v>
      </c>
      <c r="W977" s="1" t="n">
        <v>0</v>
      </c>
      <c r="X977" s="1" t="n">
        <v>0</v>
      </c>
      <c r="Y977" s="3" t="n">
        <f aca="false">SUM(S977:T977)</f>
        <v>1</v>
      </c>
      <c r="Z977" s="3" t="n">
        <f aca="false">SUM(U977:W977)</f>
        <v>0</v>
      </c>
      <c r="AA977" s="3" t="n">
        <f aca="false">SUM(S977:X977)</f>
        <v>1</v>
      </c>
      <c r="AB977" s="11" t="n">
        <f aca="false">(AA977/(K977*L977)*25)*4</f>
        <v>4</v>
      </c>
    </row>
    <row r="978" customFormat="false" ht="14.25" hidden="false" customHeight="false" outlineLevel="0" collapsed="false">
      <c r="A978" s="1" t="n">
        <v>2009</v>
      </c>
      <c r="B978" s="7" t="s">
        <v>322</v>
      </c>
      <c r="C978" s="7" t="n">
        <v>2</v>
      </c>
      <c r="D978" s="7" t="s">
        <v>293</v>
      </c>
      <c r="E978" s="7" t="s">
        <v>293</v>
      </c>
      <c r="F978" s="7" t="s">
        <v>26</v>
      </c>
      <c r="G978" s="1" t="n">
        <v>2</v>
      </c>
      <c r="H978" s="1" t="n">
        <v>10</v>
      </c>
      <c r="I978" s="10" t="n">
        <v>39970</v>
      </c>
      <c r="J978" s="10" t="n">
        <v>39975</v>
      </c>
      <c r="K978" s="1" t="n">
        <v>5</v>
      </c>
      <c r="L978" s="1" t="n">
        <v>5</v>
      </c>
      <c r="M978" s="3" t="s">
        <v>32</v>
      </c>
      <c r="N978" s="3" t="s">
        <v>33</v>
      </c>
      <c r="O978" s="3" t="s">
        <v>60</v>
      </c>
      <c r="P978" s="2" t="str">
        <f aca="false">CONCATENATE(N978," ",O978)</f>
        <v>Tenuiphantes tenebricola</v>
      </c>
      <c r="Q978" s="1" t="s">
        <v>30</v>
      </c>
      <c r="R978" s="1" t="s">
        <v>31</v>
      </c>
      <c r="S978" s="1" t="n">
        <v>1</v>
      </c>
      <c r="T978" s="1" t="n">
        <v>0</v>
      </c>
      <c r="U978" s="1" t="n">
        <v>0</v>
      </c>
      <c r="V978" s="1" t="n">
        <v>0</v>
      </c>
      <c r="W978" s="1" t="n">
        <v>0</v>
      </c>
      <c r="X978" s="1" t="n">
        <v>0</v>
      </c>
      <c r="Y978" s="3" t="n">
        <f aca="false">SUM(S978:T978)</f>
        <v>1</v>
      </c>
      <c r="Z978" s="3" t="n">
        <f aca="false">SUM(U978:W978)</f>
        <v>0</v>
      </c>
      <c r="AA978" s="3" t="n">
        <f aca="false">SUM(S978:X978)</f>
        <v>1</v>
      </c>
      <c r="AB978" s="11" t="n">
        <f aca="false">(AA978/(K978*L978)*25)*4</f>
        <v>4</v>
      </c>
    </row>
    <row r="979" customFormat="false" ht="14.25" hidden="false" customHeight="false" outlineLevel="0" collapsed="false">
      <c r="A979" s="1" t="n">
        <v>2009</v>
      </c>
      <c r="B979" s="7" t="s">
        <v>322</v>
      </c>
      <c r="C979" s="7" t="n">
        <v>2</v>
      </c>
      <c r="D979" s="7" t="s">
        <v>293</v>
      </c>
      <c r="E979" s="7" t="s">
        <v>293</v>
      </c>
      <c r="F979" s="7" t="s">
        <v>26</v>
      </c>
      <c r="G979" s="1" t="n">
        <v>2</v>
      </c>
      <c r="H979" s="1" t="n">
        <v>10</v>
      </c>
      <c r="I979" s="10" t="n">
        <v>39970</v>
      </c>
      <c r="J979" s="10" t="n">
        <v>39975</v>
      </c>
      <c r="K979" s="1" t="n">
        <v>5</v>
      </c>
      <c r="L979" s="1" t="n">
        <v>5</v>
      </c>
      <c r="M979" s="3" t="s">
        <v>32</v>
      </c>
      <c r="N979" s="3" t="s">
        <v>62</v>
      </c>
      <c r="O979" s="3" t="s">
        <v>63</v>
      </c>
      <c r="P979" s="2" t="str">
        <f aca="false">CONCATENATE(N979," ",O979)</f>
        <v>Microneta viaria</v>
      </c>
      <c r="Q979" s="1" t="s">
        <v>30</v>
      </c>
      <c r="R979" s="1" t="s">
        <v>35</v>
      </c>
      <c r="S979" s="1" t="n">
        <v>0</v>
      </c>
      <c r="T979" s="1" t="n">
        <v>1</v>
      </c>
      <c r="U979" s="1" t="n">
        <v>0</v>
      </c>
      <c r="V979" s="1" t="n">
        <v>0</v>
      </c>
      <c r="W979" s="1" t="n">
        <v>0</v>
      </c>
      <c r="X979" s="1" t="n">
        <v>0</v>
      </c>
      <c r="Y979" s="3" t="n">
        <f aca="false">SUM(S979:T979)</f>
        <v>1</v>
      </c>
      <c r="Z979" s="3" t="n">
        <f aca="false">SUM(U979:W979)</f>
        <v>0</v>
      </c>
      <c r="AA979" s="3" t="n">
        <f aca="false">SUM(S979:X979)</f>
        <v>1</v>
      </c>
      <c r="AB979" s="11" t="n">
        <f aca="false">(AA979/(K979*L979)*25)*4</f>
        <v>4</v>
      </c>
    </row>
    <row r="980" customFormat="false" ht="14.25" hidden="false" customHeight="false" outlineLevel="0" collapsed="false">
      <c r="A980" s="1" t="n">
        <v>2009</v>
      </c>
      <c r="B980" s="7" t="s">
        <v>322</v>
      </c>
      <c r="C980" s="7" t="n">
        <v>2</v>
      </c>
      <c r="D980" s="7" t="s">
        <v>293</v>
      </c>
      <c r="E980" s="7" t="s">
        <v>293</v>
      </c>
      <c r="F980" s="7" t="s">
        <v>26</v>
      </c>
      <c r="G980" s="1" t="n">
        <v>3</v>
      </c>
      <c r="H980" s="1" t="n">
        <v>11</v>
      </c>
      <c r="I980" s="10" t="n">
        <v>39970</v>
      </c>
      <c r="J980" s="10" t="n">
        <v>39975</v>
      </c>
      <c r="K980" s="1" t="n">
        <v>5</v>
      </c>
      <c r="L980" s="1" t="n">
        <v>5</v>
      </c>
      <c r="M980" s="3" t="s">
        <v>48</v>
      </c>
      <c r="N980" s="3" t="s">
        <v>49</v>
      </c>
      <c r="O980" s="3" t="s">
        <v>104</v>
      </c>
      <c r="P980" s="2" t="str">
        <f aca="false">CONCATENATE(N980," ",O980)</f>
        <v>Alopecosa taeniata</v>
      </c>
      <c r="Q980" s="1" t="s">
        <v>30</v>
      </c>
      <c r="R980" s="1" t="s">
        <v>31</v>
      </c>
      <c r="S980" s="1" t="n">
        <v>1</v>
      </c>
      <c r="T980" s="1" t="n">
        <v>0</v>
      </c>
      <c r="U980" s="1" t="n">
        <v>0</v>
      </c>
      <c r="V980" s="1" t="n">
        <v>0</v>
      </c>
      <c r="W980" s="1" t="n">
        <v>0</v>
      </c>
      <c r="X980" s="1" t="n">
        <v>0</v>
      </c>
      <c r="Y980" s="3" t="n">
        <f aca="false">SUM(S980:T980)</f>
        <v>1</v>
      </c>
      <c r="Z980" s="3" t="n">
        <f aca="false">SUM(U980:W980)</f>
        <v>0</v>
      </c>
      <c r="AA980" s="3" t="n">
        <f aca="false">SUM(S980:X980)</f>
        <v>1</v>
      </c>
      <c r="AB980" s="11" t="n">
        <f aca="false">(AA980/(K980*L980)*25)*4</f>
        <v>4</v>
      </c>
    </row>
    <row r="981" customFormat="false" ht="14.25" hidden="false" customHeight="false" outlineLevel="0" collapsed="false">
      <c r="A981" s="1" t="n">
        <v>2009</v>
      </c>
      <c r="B981" s="7" t="s">
        <v>322</v>
      </c>
      <c r="C981" s="7" t="n">
        <v>2</v>
      </c>
      <c r="D981" s="7" t="s">
        <v>293</v>
      </c>
      <c r="E981" s="7" t="s">
        <v>293</v>
      </c>
      <c r="F981" s="7" t="s">
        <v>26</v>
      </c>
      <c r="G981" s="1" t="n">
        <v>3</v>
      </c>
      <c r="H981" s="1" t="n">
        <v>11</v>
      </c>
      <c r="I981" s="10" t="n">
        <v>39970</v>
      </c>
      <c r="J981" s="10" t="n">
        <v>39975</v>
      </c>
      <c r="K981" s="1" t="n">
        <v>5</v>
      </c>
      <c r="L981" s="1" t="n">
        <v>5</v>
      </c>
      <c r="M981" s="3" t="s">
        <v>48</v>
      </c>
      <c r="N981" s="3" t="s">
        <v>67</v>
      </c>
      <c r="O981" s="3" t="s">
        <v>127</v>
      </c>
      <c r="P981" s="2" t="str">
        <f aca="false">CONCATENATE(N981," ",O981)</f>
        <v>Pardosa lugubris</v>
      </c>
      <c r="Q981" s="1" t="s">
        <v>30</v>
      </c>
      <c r="R981" s="1" t="s">
        <v>31</v>
      </c>
      <c r="S981" s="1" t="n">
        <v>2</v>
      </c>
      <c r="T981" s="1" t="n">
        <v>0</v>
      </c>
      <c r="U981" s="1" t="n">
        <v>0</v>
      </c>
      <c r="V981" s="1" t="n">
        <v>0</v>
      </c>
      <c r="W981" s="1" t="n">
        <v>0</v>
      </c>
      <c r="X981" s="1" t="n">
        <v>0</v>
      </c>
      <c r="Y981" s="3" t="n">
        <f aca="false">SUM(S981:T981)</f>
        <v>2</v>
      </c>
      <c r="Z981" s="3" t="n">
        <f aca="false">SUM(U981:W981)</f>
        <v>0</v>
      </c>
      <c r="AA981" s="3" t="n">
        <f aca="false">SUM(S981:X981)</f>
        <v>2</v>
      </c>
      <c r="AB981" s="11" t="n">
        <f aca="false">(AA981/(K981*L981)*25)*4</f>
        <v>8</v>
      </c>
    </row>
    <row r="982" customFormat="false" ht="14.25" hidden="false" customHeight="false" outlineLevel="0" collapsed="false">
      <c r="A982" s="1" t="n">
        <v>2009</v>
      </c>
      <c r="B982" s="7" t="s">
        <v>322</v>
      </c>
      <c r="C982" s="7" t="n">
        <v>2</v>
      </c>
      <c r="D982" s="7" t="s">
        <v>293</v>
      </c>
      <c r="E982" s="7" t="s">
        <v>293</v>
      </c>
      <c r="F982" s="7" t="s">
        <v>26</v>
      </c>
      <c r="G982" s="1" t="n">
        <v>3</v>
      </c>
      <c r="H982" s="1" t="n">
        <v>11</v>
      </c>
      <c r="I982" s="10" t="n">
        <v>39970</v>
      </c>
      <c r="J982" s="10" t="n">
        <v>39975</v>
      </c>
      <c r="K982" s="1" t="n">
        <v>5</v>
      </c>
      <c r="L982" s="1" t="n">
        <v>5</v>
      </c>
      <c r="M982" s="3" t="s">
        <v>64</v>
      </c>
      <c r="N982" s="3" t="s">
        <v>65</v>
      </c>
      <c r="O982" s="3" t="s">
        <v>123</v>
      </c>
      <c r="P982" s="2" t="str">
        <f aca="false">CONCATENATE(N982," ",O982)</f>
        <v>Zora nemoralis</v>
      </c>
      <c r="Q982" s="1" t="s">
        <v>30</v>
      </c>
      <c r="R982" s="1" t="s">
        <v>31</v>
      </c>
      <c r="S982" s="1" t="n">
        <v>4</v>
      </c>
      <c r="T982" s="1" t="n">
        <v>0</v>
      </c>
      <c r="U982" s="1" t="n">
        <v>0</v>
      </c>
      <c r="V982" s="1" t="n">
        <v>0</v>
      </c>
      <c r="W982" s="1" t="n">
        <v>0</v>
      </c>
      <c r="X982" s="1" t="n">
        <v>0</v>
      </c>
      <c r="Y982" s="3" t="n">
        <f aca="false">SUM(S982:T982)</f>
        <v>4</v>
      </c>
      <c r="Z982" s="3" t="n">
        <f aca="false">SUM(U982:W982)</f>
        <v>0</v>
      </c>
      <c r="AA982" s="3" t="n">
        <f aca="false">SUM(S982:X982)</f>
        <v>4</v>
      </c>
      <c r="AB982" s="11" t="n">
        <f aca="false">(AA982/(K982*L982)*25)*4</f>
        <v>16</v>
      </c>
    </row>
    <row r="983" customFormat="false" ht="14.25" hidden="false" customHeight="false" outlineLevel="0" collapsed="false">
      <c r="A983" s="1" t="n">
        <v>2009</v>
      </c>
      <c r="B983" s="7" t="s">
        <v>322</v>
      </c>
      <c r="C983" s="7" t="n">
        <v>2</v>
      </c>
      <c r="D983" s="7" t="s">
        <v>293</v>
      </c>
      <c r="E983" s="7" t="s">
        <v>293</v>
      </c>
      <c r="F983" s="7" t="s">
        <v>26</v>
      </c>
      <c r="G983" s="1" t="n">
        <v>3</v>
      </c>
      <c r="H983" s="1" t="n">
        <v>11</v>
      </c>
      <c r="I983" s="10" t="n">
        <v>39970</v>
      </c>
      <c r="J983" s="10" t="n">
        <v>39975</v>
      </c>
      <c r="K983" s="1" t="n">
        <v>5</v>
      </c>
      <c r="L983" s="1" t="n">
        <v>5</v>
      </c>
      <c r="M983" s="3" t="s">
        <v>36</v>
      </c>
      <c r="N983" s="3" t="s">
        <v>37</v>
      </c>
      <c r="O983" s="8" t="s">
        <v>75</v>
      </c>
      <c r="P983" s="2" t="str">
        <f aca="false">CONCATENATE(N983," ",O983)</f>
        <v>Ozyptila praticola</v>
      </c>
      <c r="Q983" s="1" t="s">
        <v>30</v>
      </c>
      <c r="R983" s="1" t="s">
        <v>31</v>
      </c>
      <c r="S983" s="1" t="n">
        <v>1</v>
      </c>
      <c r="T983" s="1" t="n">
        <v>0</v>
      </c>
      <c r="U983" s="1" t="n">
        <v>0</v>
      </c>
      <c r="V983" s="1" t="n">
        <v>0</v>
      </c>
      <c r="W983" s="1" t="n">
        <v>0</v>
      </c>
      <c r="X983" s="1" t="n">
        <v>0</v>
      </c>
      <c r="Y983" s="3" t="n">
        <f aca="false">SUM(S983:T983)</f>
        <v>1</v>
      </c>
      <c r="Z983" s="3" t="n">
        <f aca="false">SUM(U983:W983)</f>
        <v>0</v>
      </c>
      <c r="AA983" s="3" t="n">
        <f aca="false">SUM(S983:X983)</f>
        <v>1</v>
      </c>
      <c r="AB983" s="11" t="n">
        <f aca="false">(AA983/(K983*L983)*25)*4</f>
        <v>4</v>
      </c>
    </row>
    <row r="984" customFormat="false" ht="14.25" hidden="false" customHeight="false" outlineLevel="0" collapsed="false">
      <c r="A984" s="1" t="n">
        <v>2009</v>
      </c>
      <c r="B984" s="7" t="s">
        <v>322</v>
      </c>
      <c r="C984" s="7" t="n">
        <v>2</v>
      </c>
      <c r="D984" s="7" t="s">
        <v>293</v>
      </c>
      <c r="E984" s="7" t="s">
        <v>293</v>
      </c>
      <c r="F984" s="7" t="s">
        <v>26</v>
      </c>
      <c r="G984" s="1" t="n">
        <v>3</v>
      </c>
      <c r="H984" s="1" t="n">
        <v>11</v>
      </c>
      <c r="I984" s="10" t="n">
        <v>39970</v>
      </c>
      <c r="J984" s="10" t="n">
        <v>39975</v>
      </c>
      <c r="K984" s="1" t="n">
        <v>5</v>
      </c>
      <c r="L984" s="1" t="n">
        <v>5</v>
      </c>
      <c r="M984" s="3" t="s">
        <v>36</v>
      </c>
      <c r="N984" s="3" t="s">
        <v>37</v>
      </c>
      <c r="O984" s="8" t="s">
        <v>75</v>
      </c>
      <c r="P984" s="2" t="str">
        <f aca="false">CONCATENATE(N984," ",O984)</f>
        <v>Ozyptila praticola</v>
      </c>
      <c r="Q984" s="1" t="s">
        <v>30</v>
      </c>
      <c r="R984" s="1" t="s">
        <v>35</v>
      </c>
      <c r="S984" s="1" t="n">
        <v>0</v>
      </c>
      <c r="T984" s="1" t="n">
        <v>1</v>
      </c>
      <c r="U984" s="1" t="n">
        <v>0</v>
      </c>
      <c r="V984" s="1" t="n">
        <v>0</v>
      </c>
      <c r="W984" s="1" t="n">
        <v>0</v>
      </c>
      <c r="X984" s="1" t="n">
        <v>0</v>
      </c>
      <c r="Y984" s="3" t="n">
        <f aca="false">SUM(S984:T984)</f>
        <v>1</v>
      </c>
      <c r="Z984" s="3" t="n">
        <f aca="false">SUM(U984:W984)</f>
        <v>0</v>
      </c>
      <c r="AA984" s="3" t="n">
        <f aca="false">SUM(S984:X984)</f>
        <v>1</v>
      </c>
      <c r="AB984" s="11" t="n">
        <f aca="false">(AA984/(K984*L984)*25)*4</f>
        <v>4</v>
      </c>
    </row>
    <row r="985" customFormat="false" ht="14.25" hidden="false" customHeight="false" outlineLevel="0" collapsed="false">
      <c r="A985" s="1" t="n">
        <v>2009</v>
      </c>
      <c r="B985" s="7" t="s">
        <v>322</v>
      </c>
      <c r="C985" s="7" t="n">
        <v>2</v>
      </c>
      <c r="D985" s="7" t="s">
        <v>293</v>
      </c>
      <c r="E985" s="7" t="s">
        <v>293</v>
      </c>
      <c r="F985" s="7" t="s">
        <v>26</v>
      </c>
      <c r="G985" s="1" t="n">
        <v>3</v>
      </c>
      <c r="H985" s="1" t="n">
        <v>11</v>
      </c>
      <c r="I985" s="10" t="n">
        <v>39970</v>
      </c>
      <c r="J985" s="10" t="n">
        <v>39975</v>
      </c>
      <c r="K985" s="1" t="n">
        <v>5</v>
      </c>
      <c r="L985" s="1" t="n">
        <v>5</v>
      </c>
      <c r="M985" s="3" t="s">
        <v>32</v>
      </c>
      <c r="N985" s="3" t="s">
        <v>113</v>
      </c>
      <c r="O985" s="8" t="s">
        <v>114</v>
      </c>
      <c r="P985" s="2" t="str">
        <f aca="false">CONCATENATE(N985," ",O985)</f>
        <v>Ceratinella brevipes</v>
      </c>
      <c r="Q985" s="1" t="s">
        <v>30</v>
      </c>
      <c r="R985" s="1" t="s">
        <v>35</v>
      </c>
      <c r="S985" s="1" t="n">
        <v>0</v>
      </c>
      <c r="T985" s="1" t="n">
        <v>2</v>
      </c>
      <c r="U985" s="1" t="n">
        <v>0</v>
      </c>
      <c r="V985" s="1" t="n">
        <v>0</v>
      </c>
      <c r="W985" s="1" t="n">
        <v>0</v>
      </c>
      <c r="X985" s="1" t="n">
        <v>0</v>
      </c>
      <c r="Y985" s="3" t="n">
        <f aca="false">SUM(S985:T985)</f>
        <v>2</v>
      </c>
      <c r="Z985" s="3" t="n">
        <f aca="false">SUM(U985:W985)</f>
        <v>0</v>
      </c>
      <c r="AA985" s="3" t="n">
        <f aca="false">SUM(S985:X985)</f>
        <v>2</v>
      </c>
      <c r="AB985" s="11" t="n">
        <f aca="false">(AA985/(K985*L985)*25)*4</f>
        <v>8</v>
      </c>
    </row>
    <row r="986" customFormat="false" ht="14.25" hidden="false" customHeight="false" outlineLevel="0" collapsed="false">
      <c r="A986" s="1" t="n">
        <v>2009</v>
      </c>
      <c r="B986" s="7" t="s">
        <v>322</v>
      </c>
      <c r="C986" s="7" t="n">
        <v>2</v>
      </c>
      <c r="D986" s="7" t="s">
        <v>293</v>
      </c>
      <c r="E986" s="7" t="s">
        <v>293</v>
      </c>
      <c r="F986" s="7" t="s">
        <v>26</v>
      </c>
      <c r="G986" s="1" t="n">
        <v>3</v>
      </c>
      <c r="H986" s="1" t="n">
        <v>11</v>
      </c>
      <c r="I986" s="10" t="n">
        <v>39970</v>
      </c>
      <c r="J986" s="10" t="n">
        <v>39975</v>
      </c>
      <c r="K986" s="1" t="n">
        <v>5</v>
      </c>
      <c r="L986" s="1" t="n">
        <v>5</v>
      </c>
      <c r="M986" s="3" t="s">
        <v>135</v>
      </c>
      <c r="N986" s="3" t="s">
        <v>136</v>
      </c>
      <c r="O986" s="3" t="s">
        <v>137</v>
      </c>
      <c r="P986" s="2" t="str">
        <f aca="false">CONCATENATE(N986," ",O986)</f>
        <v>Thanatus sabulosus</v>
      </c>
      <c r="Q986" s="1" t="s">
        <v>30</v>
      </c>
      <c r="R986" s="1" t="s">
        <v>31</v>
      </c>
      <c r="S986" s="1" t="n">
        <v>1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0</v>
      </c>
      <c r="Y986" s="3" t="n">
        <f aca="false">SUM(S986:T986)</f>
        <v>1</v>
      </c>
      <c r="Z986" s="3" t="n">
        <f aca="false">SUM(U986:W986)</f>
        <v>0</v>
      </c>
      <c r="AA986" s="3" t="n">
        <f aca="false">SUM(S986:X986)</f>
        <v>1</v>
      </c>
      <c r="AB986" s="11" t="n">
        <f aca="false">(AA986/(K986*L986)*25)*4</f>
        <v>4</v>
      </c>
    </row>
    <row r="987" customFormat="false" ht="14.25" hidden="false" customHeight="false" outlineLevel="0" collapsed="false">
      <c r="A987" s="1" t="n">
        <v>2009</v>
      </c>
      <c r="B987" s="7" t="s">
        <v>322</v>
      </c>
      <c r="C987" s="7" t="n">
        <v>2</v>
      </c>
      <c r="D987" s="7" t="s">
        <v>293</v>
      </c>
      <c r="E987" s="7" t="s">
        <v>293</v>
      </c>
      <c r="F987" s="7" t="s">
        <v>26</v>
      </c>
      <c r="G987" s="1" t="n">
        <v>3</v>
      </c>
      <c r="H987" s="1" t="n">
        <v>11</v>
      </c>
      <c r="I987" s="10" t="n">
        <v>39970</v>
      </c>
      <c r="J987" s="10" t="n">
        <v>39975</v>
      </c>
      <c r="K987" s="1" t="n">
        <v>5</v>
      </c>
      <c r="L987" s="1" t="n">
        <v>5</v>
      </c>
      <c r="M987" s="3" t="s">
        <v>32</v>
      </c>
      <c r="N987" s="3" t="s">
        <v>102</v>
      </c>
      <c r="O987" s="3" t="s">
        <v>103</v>
      </c>
      <c r="P987" s="2" t="str">
        <f aca="false">CONCATENATE(N987," ",O987)</f>
        <v>Agyneta olivacea</v>
      </c>
      <c r="Q987" s="1" t="s">
        <v>30</v>
      </c>
      <c r="R987" s="1" t="s">
        <v>31</v>
      </c>
      <c r="S987" s="1" t="n">
        <v>2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0</v>
      </c>
      <c r="Y987" s="3" t="n">
        <f aca="false">SUM(S987:T987)</f>
        <v>2</v>
      </c>
      <c r="Z987" s="3" t="n">
        <f aca="false">SUM(U987:W987)</f>
        <v>0</v>
      </c>
      <c r="AA987" s="3" t="n">
        <f aca="false">SUM(S987:X987)</f>
        <v>2</v>
      </c>
      <c r="AB987" s="11" t="n">
        <f aca="false">(AA987/(K987*L987)*25)*4</f>
        <v>8</v>
      </c>
    </row>
    <row r="988" customFormat="false" ht="14.25" hidden="false" customHeight="false" outlineLevel="0" collapsed="false">
      <c r="A988" s="1" t="n">
        <v>2009</v>
      </c>
      <c r="B988" s="7" t="s">
        <v>322</v>
      </c>
      <c r="C988" s="7" t="n">
        <v>2</v>
      </c>
      <c r="D988" s="7" t="s">
        <v>293</v>
      </c>
      <c r="E988" s="7" t="s">
        <v>293</v>
      </c>
      <c r="F988" s="7" t="s">
        <v>26</v>
      </c>
      <c r="G988" s="1" t="n">
        <v>3</v>
      </c>
      <c r="H988" s="1" t="n">
        <v>12</v>
      </c>
      <c r="I988" s="10" t="n">
        <v>39970</v>
      </c>
      <c r="J988" s="10" t="n">
        <v>39975</v>
      </c>
      <c r="K988" s="1" t="n">
        <v>5</v>
      </c>
      <c r="L988" s="1" t="n">
        <v>5</v>
      </c>
      <c r="M988" s="3" t="s">
        <v>48</v>
      </c>
      <c r="N988" s="3" t="s">
        <v>67</v>
      </c>
      <c r="O988" s="3" t="s">
        <v>127</v>
      </c>
      <c r="P988" s="2" t="str">
        <f aca="false">CONCATENATE(N988," ",O988)</f>
        <v>Pardosa lugubris</v>
      </c>
      <c r="Q988" s="1" t="s">
        <v>30</v>
      </c>
      <c r="R988" s="1" t="s">
        <v>31</v>
      </c>
      <c r="S988" s="1" t="n">
        <v>4</v>
      </c>
      <c r="T988" s="1" t="n">
        <v>0</v>
      </c>
      <c r="U988" s="1" t="n">
        <v>0</v>
      </c>
      <c r="V988" s="1" t="n">
        <v>0</v>
      </c>
      <c r="W988" s="1" t="n">
        <v>0</v>
      </c>
      <c r="X988" s="1" t="n">
        <v>0</v>
      </c>
      <c r="Y988" s="3" t="n">
        <f aca="false">SUM(S988:T988)</f>
        <v>4</v>
      </c>
      <c r="Z988" s="3" t="n">
        <f aca="false">SUM(U988:W988)</f>
        <v>0</v>
      </c>
      <c r="AA988" s="3" t="n">
        <f aca="false">SUM(S988:X988)</f>
        <v>4</v>
      </c>
      <c r="AB988" s="11" t="n">
        <f aca="false">(AA988/(K988*L988)*25)*4</f>
        <v>16</v>
      </c>
    </row>
    <row r="989" customFormat="false" ht="14.25" hidden="false" customHeight="false" outlineLevel="0" collapsed="false">
      <c r="A989" s="1" t="n">
        <v>2009</v>
      </c>
      <c r="B989" s="7" t="s">
        <v>322</v>
      </c>
      <c r="C989" s="7" t="n">
        <v>2</v>
      </c>
      <c r="D989" s="7" t="s">
        <v>293</v>
      </c>
      <c r="E989" s="7" t="s">
        <v>293</v>
      </c>
      <c r="F989" s="7" t="s">
        <v>26</v>
      </c>
      <c r="G989" s="1" t="n">
        <v>3</v>
      </c>
      <c r="H989" s="1" t="n">
        <v>12</v>
      </c>
      <c r="I989" s="10" t="n">
        <v>39970</v>
      </c>
      <c r="J989" s="10" t="n">
        <v>39975</v>
      </c>
      <c r="K989" s="1" t="n">
        <v>5</v>
      </c>
      <c r="L989" s="1" t="n">
        <v>5</v>
      </c>
      <c r="M989" s="3" t="s">
        <v>64</v>
      </c>
      <c r="N989" s="3" t="s">
        <v>65</v>
      </c>
      <c r="O989" s="3" t="s">
        <v>123</v>
      </c>
      <c r="P989" s="2" t="str">
        <f aca="false">CONCATENATE(N989," ",O989)</f>
        <v>Zora nemoralis</v>
      </c>
      <c r="Q989" s="1" t="s">
        <v>30</v>
      </c>
      <c r="R989" s="1" t="s">
        <v>31</v>
      </c>
      <c r="S989" s="1" t="n">
        <v>2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0</v>
      </c>
      <c r="Y989" s="3" t="n">
        <f aca="false">SUM(S989:T989)</f>
        <v>2</v>
      </c>
      <c r="Z989" s="3" t="n">
        <f aca="false">SUM(U989:W989)</f>
        <v>0</v>
      </c>
      <c r="AA989" s="3" t="n">
        <f aca="false">SUM(S989:X989)</f>
        <v>2</v>
      </c>
      <c r="AB989" s="11" t="n">
        <f aca="false">(AA989/(K989*L989)*25)*4</f>
        <v>8</v>
      </c>
    </row>
    <row r="990" customFormat="false" ht="14.25" hidden="false" customHeight="false" outlineLevel="0" collapsed="false">
      <c r="A990" s="1" t="n">
        <v>2009</v>
      </c>
      <c r="B990" s="7" t="s">
        <v>322</v>
      </c>
      <c r="C990" s="7" t="n">
        <v>2</v>
      </c>
      <c r="D990" s="7" t="s">
        <v>293</v>
      </c>
      <c r="E990" s="7" t="s">
        <v>293</v>
      </c>
      <c r="F990" s="7" t="s">
        <v>26</v>
      </c>
      <c r="G990" s="1" t="n">
        <v>3</v>
      </c>
      <c r="H990" s="1" t="n">
        <v>12</v>
      </c>
      <c r="I990" s="10" t="n">
        <v>39970</v>
      </c>
      <c r="J990" s="10" t="n">
        <v>39975</v>
      </c>
      <c r="K990" s="1" t="n">
        <v>5</v>
      </c>
      <c r="L990" s="1" t="n">
        <v>5</v>
      </c>
      <c r="M990" s="3" t="s">
        <v>36</v>
      </c>
      <c r="N990" s="3" t="s">
        <v>37</v>
      </c>
      <c r="O990" s="8" t="s">
        <v>75</v>
      </c>
      <c r="P990" s="2" t="str">
        <f aca="false">CONCATENATE(N990," ",O990)</f>
        <v>Ozyptila praticola</v>
      </c>
      <c r="Q990" s="1" t="s">
        <v>30</v>
      </c>
      <c r="R990" s="1" t="s">
        <v>31</v>
      </c>
      <c r="S990" s="1" t="n">
        <v>1</v>
      </c>
      <c r="T990" s="1" t="n">
        <v>0</v>
      </c>
      <c r="U990" s="1" t="n">
        <v>0</v>
      </c>
      <c r="V990" s="1" t="n">
        <v>0</v>
      </c>
      <c r="W990" s="1" t="n">
        <v>0</v>
      </c>
      <c r="X990" s="1" t="n">
        <v>0</v>
      </c>
      <c r="Y990" s="3" t="n">
        <f aca="false">SUM(S990:T990)</f>
        <v>1</v>
      </c>
      <c r="Z990" s="3" t="n">
        <f aca="false">SUM(U990:W990)</f>
        <v>0</v>
      </c>
      <c r="AA990" s="3" t="n">
        <f aca="false">SUM(S990:X990)</f>
        <v>1</v>
      </c>
      <c r="AB990" s="11" t="n">
        <f aca="false">(AA990/(K990*L990)*25)*4</f>
        <v>4</v>
      </c>
    </row>
    <row r="991" customFormat="false" ht="14.25" hidden="false" customHeight="false" outlineLevel="0" collapsed="false">
      <c r="A991" s="1" t="n">
        <v>2009</v>
      </c>
      <c r="B991" s="7" t="s">
        <v>322</v>
      </c>
      <c r="C991" s="7" t="n">
        <v>2</v>
      </c>
      <c r="D991" s="7" t="s">
        <v>293</v>
      </c>
      <c r="E991" s="7" t="s">
        <v>293</v>
      </c>
      <c r="F991" s="7" t="s">
        <v>26</v>
      </c>
      <c r="G991" s="1" t="n">
        <v>3</v>
      </c>
      <c r="H991" s="1" t="n">
        <v>12</v>
      </c>
      <c r="I991" s="10" t="n">
        <v>39970</v>
      </c>
      <c r="J991" s="10" t="n">
        <v>39975</v>
      </c>
      <c r="K991" s="1" t="n">
        <v>5</v>
      </c>
      <c r="L991" s="1" t="n">
        <v>5</v>
      </c>
      <c r="M991" s="3" t="s">
        <v>72</v>
      </c>
      <c r="N991" s="3" t="s">
        <v>86</v>
      </c>
      <c r="O991" s="8" t="s">
        <v>87</v>
      </c>
      <c r="P991" s="2" t="str">
        <f aca="false">CONCATENATE(N991," ",O991)</f>
        <v>Haplodrassus soerenseni</v>
      </c>
      <c r="Q991" s="1" t="s">
        <v>30</v>
      </c>
      <c r="R991" s="1" t="s">
        <v>31</v>
      </c>
      <c r="S991" s="1" t="n">
        <v>1</v>
      </c>
      <c r="T991" s="1" t="n">
        <v>0</v>
      </c>
      <c r="U991" s="1" t="n">
        <v>0</v>
      </c>
      <c r="V991" s="1" t="n">
        <v>0</v>
      </c>
      <c r="W991" s="1" t="n">
        <v>0</v>
      </c>
      <c r="X991" s="1" t="n">
        <v>0</v>
      </c>
      <c r="Y991" s="3" t="n">
        <f aca="false">SUM(S991:T991)</f>
        <v>1</v>
      </c>
      <c r="Z991" s="3" t="n">
        <f aca="false">SUM(U991:W991)</f>
        <v>0</v>
      </c>
      <c r="AA991" s="3" t="n">
        <f aca="false">SUM(S991:X991)</f>
        <v>1</v>
      </c>
      <c r="AB991" s="11" t="n">
        <f aca="false">(AA991/(K991*L991)*25)*4</f>
        <v>4</v>
      </c>
    </row>
    <row r="992" customFormat="false" ht="14.25" hidden="false" customHeight="false" outlineLevel="0" collapsed="false">
      <c r="A992" s="1" t="n">
        <v>2009</v>
      </c>
      <c r="B992" s="7" t="s">
        <v>322</v>
      </c>
      <c r="C992" s="7" t="n">
        <v>2</v>
      </c>
      <c r="D992" s="7" t="s">
        <v>293</v>
      </c>
      <c r="E992" s="7" t="s">
        <v>293</v>
      </c>
      <c r="F992" s="7" t="s">
        <v>26</v>
      </c>
      <c r="G992" s="1" t="n">
        <v>3</v>
      </c>
      <c r="H992" s="1" t="n">
        <v>12</v>
      </c>
      <c r="I992" s="10" t="n">
        <v>39970</v>
      </c>
      <c r="J992" s="10" t="n">
        <v>39975</v>
      </c>
      <c r="K992" s="1" t="n">
        <v>5</v>
      </c>
      <c r="L992" s="1" t="n">
        <v>5</v>
      </c>
      <c r="M992" s="3" t="s">
        <v>32</v>
      </c>
      <c r="N992" s="3" t="s">
        <v>55</v>
      </c>
      <c r="O992" s="3" t="s">
        <v>194</v>
      </c>
      <c r="P992" s="2" t="str">
        <f aca="false">CONCATENATE(N992," ",O992)</f>
        <v>Maro pansibiricus</v>
      </c>
      <c r="Q992" s="1" t="s">
        <v>30</v>
      </c>
      <c r="R992" s="1" t="s">
        <v>31</v>
      </c>
      <c r="S992" s="1" t="n">
        <v>1</v>
      </c>
      <c r="T992" s="1" t="n">
        <v>0</v>
      </c>
      <c r="U992" s="1" t="n">
        <v>0</v>
      </c>
      <c r="V992" s="1" t="n">
        <v>0</v>
      </c>
      <c r="W992" s="1" t="n">
        <v>0</v>
      </c>
      <c r="X992" s="1" t="n">
        <v>0</v>
      </c>
      <c r="Y992" s="3" t="n">
        <f aca="false">SUM(S992:T992)</f>
        <v>1</v>
      </c>
      <c r="Z992" s="3" t="n">
        <f aca="false">SUM(U992:W992)</f>
        <v>0</v>
      </c>
      <c r="AA992" s="3" t="n">
        <f aca="false">SUM(S992:X992)</f>
        <v>1</v>
      </c>
      <c r="AB992" s="11" t="n">
        <f aca="false">(AA992/(K992*L992)*25)*4</f>
        <v>4</v>
      </c>
    </row>
    <row r="993" customFormat="false" ht="14.25" hidden="false" customHeight="false" outlineLevel="0" collapsed="false">
      <c r="A993" s="1" t="n">
        <v>2009</v>
      </c>
      <c r="B993" s="7" t="s">
        <v>322</v>
      </c>
      <c r="C993" s="7" t="n">
        <v>2</v>
      </c>
      <c r="D993" s="7" t="s">
        <v>293</v>
      </c>
      <c r="E993" s="7" t="s">
        <v>293</v>
      </c>
      <c r="F993" s="7" t="s">
        <v>26</v>
      </c>
      <c r="G993" s="1" t="n">
        <v>3</v>
      </c>
      <c r="H993" s="1" t="n">
        <v>12</v>
      </c>
      <c r="I993" s="10" t="n">
        <v>39970</v>
      </c>
      <c r="J993" s="10" t="n">
        <v>39975</v>
      </c>
      <c r="K993" s="1" t="n">
        <v>5</v>
      </c>
      <c r="L993" s="1" t="n">
        <v>5</v>
      </c>
      <c r="M993" s="3" t="s">
        <v>32</v>
      </c>
      <c r="N993" s="3" t="s">
        <v>84</v>
      </c>
      <c r="O993" s="3" t="s">
        <v>168</v>
      </c>
      <c r="P993" s="2" t="str">
        <f aca="false">CONCATENATE(N993," ",O993)</f>
        <v>Walckenaeria atrotibialis</v>
      </c>
      <c r="Q993" s="1" t="s">
        <v>30</v>
      </c>
      <c r="R993" s="1" t="s">
        <v>31</v>
      </c>
      <c r="S993" s="1" t="n">
        <v>1</v>
      </c>
      <c r="T993" s="1" t="n">
        <v>0</v>
      </c>
      <c r="U993" s="1" t="n">
        <v>0</v>
      </c>
      <c r="V993" s="1" t="n">
        <v>0</v>
      </c>
      <c r="W993" s="1" t="n">
        <v>0</v>
      </c>
      <c r="X993" s="1" t="n">
        <v>0</v>
      </c>
      <c r="Y993" s="3" t="n">
        <f aca="false">SUM(S993:T993)</f>
        <v>1</v>
      </c>
      <c r="Z993" s="3" t="n">
        <f aca="false">SUM(U993:W993)</f>
        <v>0</v>
      </c>
      <c r="AA993" s="3" t="n">
        <f aca="false">SUM(S993:X993)</f>
        <v>1</v>
      </c>
      <c r="AB993" s="11" t="n">
        <f aca="false">(AA993/(K993*L993)*25)*4</f>
        <v>4</v>
      </c>
    </row>
    <row r="994" customFormat="false" ht="14.25" hidden="false" customHeight="false" outlineLevel="0" collapsed="false">
      <c r="A994" s="1" t="n">
        <v>2009</v>
      </c>
      <c r="B994" s="7" t="s">
        <v>322</v>
      </c>
      <c r="C994" s="7" t="n">
        <v>2</v>
      </c>
      <c r="D994" s="7" t="s">
        <v>293</v>
      </c>
      <c r="E994" s="7" t="s">
        <v>293</v>
      </c>
      <c r="F994" s="7" t="s">
        <v>26</v>
      </c>
      <c r="G994" s="1" t="n">
        <v>3</v>
      </c>
      <c r="H994" s="1" t="n">
        <v>12</v>
      </c>
      <c r="I994" s="10" t="n">
        <v>39970</v>
      </c>
      <c r="J994" s="10" t="n">
        <v>39975</v>
      </c>
      <c r="K994" s="1" t="n">
        <v>5</v>
      </c>
      <c r="L994" s="1" t="n">
        <v>5</v>
      </c>
      <c r="M994" s="3" t="s">
        <v>32</v>
      </c>
      <c r="N994" s="3" t="s">
        <v>102</v>
      </c>
      <c r="O994" s="3" t="s">
        <v>103</v>
      </c>
      <c r="P994" s="2" t="str">
        <f aca="false">CONCATENATE(N994," ",O994)</f>
        <v>Agyneta olivacea</v>
      </c>
      <c r="Q994" s="1" t="s">
        <v>30</v>
      </c>
      <c r="R994" s="1" t="s">
        <v>31</v>
      </c>
      <c r="S994" s="1" t="n">
        <v>1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0</v>
      </c>
      <c r="Y994" s="3" t="n">
        <f aca="false">SUM(S994:T994)</f>
        <v>1</v>
      </c>
      <c r="Z994" s="3" t="n">
        <f aca="false">SUM(U994:W994)</f>
        <v>0</v>
      </c>
      <c r="AA994" s="3" t="n">
        <f aca="false">SUM(S994:X994)</f>
        <v>1</v>
      </c>
      <c r="AB994" s="11" t="n">
        <f aca="false">(AA994/(K994*L994)*25)*4</f>
        <v>4</v>
      </c>
    </row>
    <row r="995" customFormat="false" ht="14.25" hidden="false" customHeight="false" outlineLevel="0" collapsed="false">
      <c r="A995" s="1" t="n">
        <v>2009</v>
      </c>
      <c r="B995" s="7" t="s">
        <v>322</v>
      </c>
      <c r="C995" s="7" t="n">
        <v>2</v>
      </c>
      <c r="D995" s="7" t="s">
        <v>293</v>
      </c>
      <c r="E995" s="7" t="s">
        <v>293</v>
      </c>
      <c r="F995" s="7" t="s">
        <v>26</v>
      </c>
      <c r="G995" s="1" t="n">
        <v>3</v>
      </c>
      <c r="H995" s="1" t="n">
        <v>13</v>
      </c>
      <c r="I995" s="10" t="n">
        <v>39970</v>
      </c>
      <c r="J995" s="10" t="n">
        <v>39975</v>
      </c>
      <c r="K995" s="1" t="n">
        <v>5</v>
      </c>
      <c r="L995" s="1" t="n">
        <v>5</v>
      </c>
      <c r="M995" s="3" t="s">
        <v>48</v>
      </c>
      <c r="N995" s="3" t="s">
        <v>49</v>
      </c>
      <c r="O995" s="3" t="s">
        <v>104</v>
      </c>
      <c r="P995" s="2" t="str">
        <f aca="false">CONCATENATE(N995," ",O995)</f>
        <v>Alopecosa taeniata</v>
      </c>
      <c r="Q995" s="1" t="s">
        <v>30</v>
      </c>
      <c r="R995" s="1" t="s">
        <v>31</v>
      </c>
      <c r="S995" s="1" t="n">
        <v>1</v>
      </c>
      <c r="T995" s="1" t="n">
        <v>0</v>
      </c>
      <c r="U995" s="1" t="n">
        <v>0</v>
      </c>
      <c r="V995" s="1" t="n">
        <v>0</v>
      </c>
      <c r="W995" s="1" t="n">
        <v>0</v>
      </c>
      <c r="X995" s="1" t="n">
        <v>0</v>
      </c>
      <c r="Y995" s="3" t="n">
        <f aca="false">SUM(S995:T995)</f>
        <v>1</v>
      </c>
      <c r="Z995" s="3" t="n">
        <f aca="false">SUM(U995:W995)</f>
        <v>0</v>
      </c>
      <c r="AA995" s="3" t="n">
        <f aca="false">SUM(S995:X995)</f>
        <v>1</v>
      </c>
      <c r="AB995" s="11" t="n">
        <f aca="false">(AA995/(K995*L995)*25)*4</f>
        <v>4</v>
      </c>
    </row>
    <row r="996" customFormat="false" ht="14.25" hidden="false" customHeight="false" outlineLevel="0" collapsed="false">
      <c r="A996" s="1" t="n">
        <v>2009</v>
      </c>
      <c r="B996" s="7" t="s">
        <v>322</v>
      </c>
      <c r="C996" s="7" t="n">
        <v>2</v>
      </c>
      <c r="D996" s="7" t="s">
        <v>293</v>
      </c>
      <c r="E996" s="7" t="s">
        <v>293</v>
      </c>
      <c r="F996" s="7" t="s">
        <v>26</v>
      </c>
      <c r="G996" s="1" t="n">
        <v>3</v>
      </c>
      <c r="H996" s="1" t="n">
        <v>13</v>
      </c>
      <c r="I996" s="10" t="n">
        <v>39970</v>
      </c>
      <c r="J996" s="10" t="n">
        <v>39975</v>
      </c>
      <c r="K996" s="1" t="n">
        <v>5</v>
      </c>
      <c r="L996" s="1" t="n">
        <v>5</v>
      </c>
      <c r="M996" s="3" t="s">
        <v>48</v>
      </c>
      <c r="N996" s="3" t="s">
        <v>67</v>
      </c>
      <c r="O996" s="3" t="s">
        <v>127</v>
      </c>
      <c r="P996" s="2" t="str">
        <f aca="false">CONCATENATE(N996," ",O996)</f>
        <v>Pardosa lugubris</v>
      </c>
      <c r="Q996" s="1" t="s">
        <v>30</v>
      </c>
      <c r="R996" s="1" t="s">
        <v>31</v>
      </c>
      <c r="S996" s="1" t="n">
        <v>8</v>
      </c>
      <c r="T996" s="1" t="n">
        <v>0</v>
      </c>
      <c r="U996" s="1" t="n">
        <v>0</v>
      </c>
      <c r="V996" s="1" t="n">
        <v>0</v>
      </c>
      <c r="W996" s="1" t="n">
        <v>0</v>
      </c>
      <c r="X996" s="1" t="n">
        <v>0</v>
      </c>
      <c r="Y996" s="3" t="n">
        <f aca="false">SUM(S996:T996)</f>
        <v>8</v>
      </c>
      <c r="Z996" s="3" t="n">
        <f aca="false">SUM(U996:W996)</f>
        <v>0</v>
      </c>
      <c r="AA996" s="3" t="n">
        <f aca="false">SUM(S996:X996)</f>
        <v>8</v>
      </c>
      <c r="AB996" s="11" t="n">
        <f aca="false">(AA996/(K996*L996)*25)*4</f>
        <v>32</v>
      </c>
    </row>
    <row r="997" customFormat="false" ht="14.25" hidden="false" customHeight="false" outlineLevel="0" collapsed="false">
      <c r="A997" s="1" t="n">
        <v>2009</v>
      </c>
      <c r="B997" s="7" t="s">
        <v>322</v>
      </c>
      <c r="C997" s="7" t="n">
        <v>2</v>
      </c>
      <c r="D997" s="7" t="s">
        <v>293</v>
      </c>
      <c r="E997" s="7" t="s">
        <v>293</v>
      </c>
      <c r="F997" s="7" t="s">
        <v>26</v>
      </c>
      <c r="G997" s="1" t="n">
        <v>3</v>
      </c>
      <c r="H997" s="1" t="n">
        <v>13</v>
      </c>
      <c r="I997" s="10" t="n">
        <v>39970</v>
      </c>
      <c r="J997" s="10" t="n">
        <v>39975</v>
      </c>
      <c r="K997" s="1" t="n">
        <v>5</v>
      </c>
      <c r="L997" s="1" t="n">
        <v>5</v>
      </c>
      <c r="M997" s="3" t="s">
        <v>48</v>
      </c>
      <c r="N997" s="3" t="s">
        <v>105</v>
      </c>
      <c r="O997" s="3" t="s">
        <v>106</v>
      </c>
      <c r="P997" s="2" t="str">
        <f aca="false">CONCATENATE(N997," ",O997)</f>
        <v>Piratula hygrophila</v>
      </c>
      <c r="Q997" s="1" t="s">
        <v>30</v>
      </c>
      <c r="R997" s="1" t="s">
        <v>35</v>
      </c>
      <c r="S997" s="1" t="n">
        <v>0</v>
      </c>
      <c r="T997" s="1" t="n">
        <v>1</v>
      </c>
      <c r="U997" s="1" t="n">
        <v>0</v>
      </c>
      <c r="V997" s="1" t="n">
        <v>0</v>
      </c>
      <c r="W997" s="1" t="n">
        <v>0</v>
      </c>
      <c r="X997" s="1" t="n">
        <v>0</v>
      </c>
      <c r="Y997" s="3" t="n">
        <f aca="false">SUM(S997:T997)</f>
        <v>1</v>
      </c>
      <c r="Z997" s="3" t="n">
        <f aca="false">SUM(U997:W997)</f>
        <v>0</v>
      </c>
      <c r="AA997" s="3" t="n">
        <f aca="false">SUM(S997:X997)</f>
        <v>1</v>
      </c>
      <c r="AB997" s="11" t="n">
        <f aca="false">(AA997/(K997*L997)*25)*4</f>
        <v>4</v>
      </c>
    </row>
    <row r="998" customFormat="false" ht="14.25" hidden="false" customHeight="false" outlineLevel="0" collapsed="false">
      <c r="A998" s="1" t="n">
        <v>2009</v>
      </c>
      <c r="B998" s="7" t="s">
        <v>322</v>
      </c>
      <c r="C998" s="7" t="n">
        <v>2</v>
      </c>
      <c r="D998" s="7" t="s">
        <v>293</v>
      </c>
      <c r="E998" s="7" t="s">
        <v>293</v>
      </c>
      <c r="F998" s="7" t="s">
        <v>26</v>
      </c>
      <c r="G998" s="1" t="n">
        <v>3</v>
      </c>
      <c r="H998" s="1" t="n">
        <v>13</v>
      </c>
      <c r="I998" s="10" t="n">
        <v>39970</v>
      </c>
      <c r="J998" s="10" t="n">
        <v>39975</v>
      </c>
      <c r="K998" s="1" t="n">
        <v>5</v>
      </c>
      <c r="L998" s="1" t="n">
        <v>5</v>
      </c>
      <c r="M998" s="3" t="s">
        <v>64</v>
      </c>
      <c r="N998" s="3" t="s">
        <v>65</v>
      </c>
      <c r="O998" s="3" t="s">
        <v>123</v>
      </c>
      <c r="P998" s="2" t="str">
        <f aca="false">CONCATENATE(N998," ",O998)</f>
        <v>Zora nemoralis</v>
      </c>
      <c r="Q998" s="1" t="s">
        <v>30</v>
      </c>
      <c r="R998" s="1" t="s">
        <v>31</v>
      </c>
      <c r="S998" s="1" t="n">
        <v>2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0</v>
      </c>
      <c r="Y998" s="3" t="n">
        <f aca="false">SUM(S998:T998)</f>
        <v>2</v>
      </c>
      <c r="Z998" s="3" t="n">
        <f aca="false">SUM(U998:W998)</f>
        <v>0</v>
      </c>
      <c r="AA998" s="3" t="n">
        <f aca="false">SUM(S998:X998)</f>
        <v>2</v>
      </c>
      <c r="AB998" s="11" t="n">
        <f aca="false">(AA998/(K998*L998)*25)*4</f>
        <v>8</v>
      </c>
    </row>
    <row r="999" customFormat="false" ht="14.25" hidden="false" customHeight="false" outlineLevel="0" collapsed="false">
      <c r="A999" s="1" t="n">
        <v>2009</v>
      </c>
      <c r="B999" s="7" t="s">
        <v>322</v>
      </c>
      <c r="C999" s="7" t="n">
        <v>2</v>
      </c>
      <c r="D999" s="7" t="s">
        <v>293</v>
      </c>
      <c r="E999" s="7" t="s">
        <v>293</v>
      </c>
      <c r="F999" s="7" t="s">
        <v>26</v>
      </c>
      <c r="G999" s="1" t="n">
        <v>3</v>
      </c>
      <c r="H999" s="1" t="n">
        <v>13</v>
      </c>
      <c r="I999" s="10" t="n">
        <v>39970</v>
      </c>
      <c r="J999" s="10" t="n">
        <v>39975</v>
      </c>
      <c r="K999" s="1" t="n">
        <v>5</v>
      </c>
      <c r="L999" s="1" t="n">
        <v>5</v>
      </c>
      <c r="M999" s="3" t="s">
        <v>36</v>
      </c>
      <c r="N999" s="3" t="s">
        <v>37</v>
      </c>
      <c r="O999" s="8" t="s">
        <v>75</v>
      </c>
      <c r="P999" s="2" t="str">
        <f aca="false">CONCATENATE(N999," ",O999)</f>
        <v>Ozyptila praticola</v>
      </c>
      <c r="Q999" s="1" t="s">
        <v>30</v>
      </c>
      <c r="R999" s="1" t="s">
        <v>31</v>
      </c>
      <c r="S999" s="1" t="n">
        <v>1</v>
      </c>
      <c r="T999" s="1" t="n">
        <v>0</v>
      </c>
      <c r="U999" s="1" t="n">
        <v>0</v>
      </c>
      <c r="V999" s="1" t="n">
        <v>0</v>
      </c>
      <c r="W999" s="1" t="n">
        <v>0</v>
      </c>
      <c r="X999" s="1" t="n">
        <v>0</v>
      </c>
      <c r="Y999" s="3" t="n">
        <f aca="false">SUM(S999:T999)</f>
        <v>1</v>
      </c>
      <c r="Z999" s="3" t="n">
        <f aca="false">SUM(U999:W999)</f>
        <v>0</v>
      </c>
      <c r="AA999" s="3" t="n">
        <f aca="false">SUM(S999:X999)</f>
        <v>1</v>
      </c>
      <c r="AB999" s="11" t="n">
        <f aca="false">(AA999/(K999*L999)*25)*4</f>
        <v>4</v>
      </c>
    </row>
    <row r="1000" customFormat="false" ht="14.25" hidden="false" customHeight="false" outlineLevel="0" collapsed="false">
      <c r="A1000" s="1" t="n">
        <v>2009</v>
      </c>
      <c r="B1000" s="7" t="s">
        <v>322</v>
      </c>
      <c r="C1000" s="7" t="n">
        <v>2</v>
      </c>
      <c r="D1000" s="7" t="s">
        <v>293</v>
      </c>
      <c r="E1000" s="7" t="s">
        <v>293</v>
      </c>
      <c r="F1000" s="7" t="s">
        <v>26</v>
      </c>
      <c r="G1000" s="1" t="n">
        <v>3</v>
      </c>
      <c r="H1000" s="1" t="n">
        <v>13</v>
      </c>
      <c r="I1000" s="10" t="n">
        <v>39970</v>
      </c>
      <c r="J1000" s="10" t="n">
        <v>39975</v>
      </c>
      <c r="K1000" s="1" t="n">
        <v>5</v>
      </c>
      <c r="L1000" s="1" t="n">
        <v>5</v>
      </c>
      <c r="M1000" s="3" t="s">
        <v>32</v>
      </c>
      <c r="N1000" s="3" t="s">
        <v>62</v>
      </c>
      <c r="O1000" s="3" t="s">
        <v>63</v>
      </c>
      <c r="P1000" s="2" t="str">
        <f aca="false">CONCATENATE(N1000," ",O1000)</f>
        <v>Microneta viaria</v>
      </c>
      <c r="Q1000" s="1" t="s">
        <v>30</v>
      </c>
      <c r="R1000" s="1" t="s">
        <v>35</v>
      </c>
      <c r="S1000" s="1" t="n">
        <v>0</v>
      </c>
      <c r="T1000" s="1" t="n">
        <v>1</v>
      </c>
      <c r="U1000" s="1" t="n">
        <v>0</v>
      </c>
      <c r="V1000" s="1" t="n">
        <v>0</v>
      </c>
      <c r="W1000" s="1" t="n">
        <v>0</v>
      </c>
      <c r="X1000" s="1" t="n">
        <v>0</v>
      </c>
      <c r="Y1000" s="3" t="n">
        <f aca="false">SUM(S1000:T1000)</f>
        <v>1</v>
      </c>
      <c r="Z1000" s="3" t="n">
        <f aca="false">SUM(U1000:W1000)</f>
        <v>0</v>
      </c>
      <c r="AA1000" s="3" t="n">
        <f aca="false">SUM(S1000:X1000)</f>
        <v>1</v>
      </c>
      <c r="AB1000" s="11" t="n">
        <f aca="false">(AA1000/(K1000*L1000)*25)*4</f>
        <v>4</v>
      </c>
    </row>
    <row r="1001" customFormat="false" ht="14.25" hidden="false" customHeight="false" outlineLevel="0" collapsed="false">
      <c r="A1001" s="1" t="n">
        <v>2009</v>
      </c>
      <c r="B1001" s="7" t="s">
        <v>322</v>
      </c>
      <c r="C1001" s="7" t="n">
        <v>2</v>
      </c>
      <c r="D1001" s="7" t="s">
        <v>293</v>
      </c>
      <c r="E1001" s="7" t="s">
        <v>293</v>
      </c>
      <c r="F1001" s="7" t="s">
        <v>26</v>
      </c>
      <c r="G1001" s="1" t="n">
        <v>3</v>
      </c>
      <c r="H1001" s="1" t="n">
        <v>14</v>
      </c>
      <c r="I1001" s="10" t="n">
        <v>39970</v>
      </c>
      <c r="J1001" s="10" t="n">
        <v>39975</v>
      </c>
      <c r="K1001" s="1" t="n">
        <v>5</v>
      </c>
      <c r="L1001" s="1" t="n">
        <v>5</v>
      </c>
      <c r="M1001" s="3" t="s">
        <v>48</v>
      </c>
      <c r="N1001" s="3" t="s">
        <v>67</v>
      </c>
      <c r="O1001" s="3" t="s">
        <v>127</v>
      </c>
      <c r="P1001" s="2" t="str">
        <f aca="false">CONCATENATE(N1001," ",O1001)</f>
        <v>Pardosa lugubris</v>
      </c>
      <c r="Q1001" s="1" t="s">
        <v>30</v>
      </c>
      <c r="R1001" s="1" t="s">
        <v>31</v>
      </c>
      <c r="S1001" s="1" t="n">
        <v>1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0</v>
      </c>
      <c r="Y1001" s="3" t="n">
        <f aca="false">SUM(S1001:T1001)</f>
        <v>1</v>
      </c>
      <c r="Z1001" s="3" t="n">
        <f aca="false">SUM(U1001:W1001)</f>
        <v>0</v>
      </c>
      <c r="AA1001" s="3" t="n">
        <f aca="false">SUM(S1001:X1001)</f>
        <v>1</v>
      </c>
      <c r="AB1001" s="11" t="n">
        <f aca="false">(AA1001/(K1001*L1001)*25)*4</f>
        <v>4</v>
      </c>
    </row>
    <row r="1002" customFormat="false" ht="14.25" hidden="false" customHeight="false" outlineLevel="0" collapsed="false">
      <c r="A1002" s="1" t="n">
        <v>2009</v>
      </c>
      <c r="B1002" s="7" t="s">
        <v>322</v>
      </c>
      <c r="C1002" s="7" t="n">
        <v>2</v>
      </c>
      <c r="D1002" s="7" t="s">
        <v>293</v>
      </c>
      <c r="E1002" s="7" t="s">
        <v>293</v>
      </c>
      <c r="F1002" s="7" t="s">
        <v>26</v>
      </c>
      <c r="G1002" s="1" t="n">
        <v>3</v>
      </c>
      <c r="H1002" s="1" t="n">
        <v>14</v>
      </c>
      <c r="I1002" s="10" t="n">
        <v>39970</v>
      </c>
      <c r="J1002" s="10" t="n">
        <v>39975</v>
      </c>
      <c r="K1002" s="1" t="n">
        <v>5</v>
      </c>
      <c r="L1002" s="1" t="n">
        <v>5</v>
      </c>
      <c r="M1002" s="3" t="s">
        <v>64</v>
      </c>
      <c r="N1002" s="3" t="s">
        <v>65</v>
      </c>
      <c r="O1002" s="3" t="s">
        <v>123</v>
      </c>
      <c r="P1002" s="2" t="str">
        <f aca="false">CONCATENATE(N1002," ",O1002)</f>
        <v>Zora nemoralis</v>
      </c>
      <c r="Q1002" s="1" t="s">
        <v>30</v>
      </c>
      <c r="R1002" s="1" t="s">
        <v>35</v>
      </c>
      <c r="S1002" s="1" t="n">
        <v>0</v>
      </c>
      <c r="T1002" s="1" t="n">
        <v>1</v>
      </c>
      <c r="U1002" s="1" t="n">
        <v>0</v>
      </c>
      <c r="V1002" s="1" t="n">
        <v>0</v>
      </c>
      <c r="W1002" s="1" t="n">
        <v>0</v>
      </c>
      <c r="X1002" s="1" t="n">
        <v>0</v>
      </c>
      <c r="Y1002" s="3" t="n">
        <f aca="false">SUM(S1002:T1002)</f>
        <v>1</v>
      </c>
      <c r="Z1002" s="3" t="n">
        <f aca="false">SUM(U1002:W1002)</f>
        <v>0</v>
      </c>
      <c r="AA1002" s="3" t="n">
        <f aca="false">SUM(S1002:X1002)</f>
        <v>1</v>
      </c>
      <c r="AB1002" s="11" t="n">
        <f aca="false">(AA1002/(K1002*L1002)*25)*4</f>
        <v>4</v>
      </c>
    </row>
    <row r="1003" customFormat="false" ht="14.25" hidden="false" customHeight="false" outlineLevel="0" collapsed="false">
      <c r="A1003" s="1" t="n">
        <v>2009</v>
      </c>
      <c r="B1003" s="7" t="s">
        <v>322</v>
      </c>
      <c r="C1003" s="7" t="n">
        <v>2</v>
      </c>
      <c r="D1003" s="7" t="s">
        <v>293</v>
      </c>
      <c r="E1003" s="7" t="s">
        <v>293</v>
      </c>
      <c r="F1003" s="7" t="s">
        <v>26</v>
      </c>
      <c r="G1003" s="1" t="n">
        <v>3</v>
      </c>
      <c r="H1003" s="1" t="n">
        <v>14</v>
      </c>
      <c r="I1003" s="10" t="n">
        <v>39970</v>
      </c>
      <c r="J1003" s="10" t="n">
        <v>39975</v>
      </c>
      <c r="K1003" s="1" t="n">
        <v>5</v>
      </c>
      <c r="L1003" s="1" t="n">
        <v>5</v>
      </c>
      <c r="M1003" s="3" t="s">
        <v>36</v>
      </c>
      <c r="N1003" s="3" t="s">
        <v>37</v>
      </c>
      <c r="O1003" s="8" t="s">
        <v>75</v>
      </c>
      <c r="P1003" s="2" t="str">
        <f aca="false">CONCATENATE(N1003," ",O1003)</f>
        <v>Ozyptila praticola</v>
      </c>
      <c r="Q1003" s="1" t="s">
        <v>30</v>
      </c>
      <c r="R1003" s="1" t="s">
        <v>31</v>
      </c>
      <c r="S1003" s="1" t="n">
        <v>1</v>
      </c>
      <c r="T1003" s="1" t="n">
        <v>0</v>
      </c>
      <c r="U1003" s="1" t="n">
        <v>0</v>
      </c>
      <c r="V1003" s="1" t="n">
        <v>0</v>
      </c>
      <c r="W1003" s="1" t="n">
        <v>0</v>
      </c>
      <c r="X1003" s="1" t="n">
        <v>0</v>
      </c>
      <c r="Y1003" s="3" t="n">
        <f aca="false">SUM(S1003:T1003)</f>
        <v>1</v>
      </c>
      <c r="Z1003" s="3" t="n">
        <f aca="false">SUM(U1003:W1003)</f>
        <v>0</v>
      </c>
      <c r="AA1003" s="3" t="n">
        <f aca="false">SUM(S1003:X1003)</f>
        <v>1</v>
      </c>
      <c r="AB1003" s="11" t="n">
        <f aca="false">(AA1003/(K1003*L1003)*25)*4</f>
        <v>4</v>
      </c>
    </row>
    <row r="1004" customFormat="false" ht="14.25" hidden="false" customHeight="false" outlineLevel="0" collapsed="false">
      <c r="A1004" s="1" t="n">
        <v>2009</v>
      </c>
      <c r="B1004" s="7" t="s">
        <v>322</v>
      </c>
      <c r="C1004" s="7" t="n">
        <v>2</v>
      </c>
      <c r="D1004" s="7" t="s">
        <v>293</v>
      </c>
      <c r="E1004" s="7" t="s">
        <v>293</v>
      </c>
      <c r="F1004" s="7" t="s">
        <v>26</v>
      </c>
      <c r="G1004" s="1" t="n">
        <v>3</v>
      </c>
      <c r="H1004" s="1" t="n">
        <v>14</v>
      </c>
      <c r="I1004" s="10" t="n">
        <v>39970</v>
      </c>
      <c r="J1004" s="10" t="n">
        <v>39975</v>
      </c>
      <c r="K1004" s="1" t="n">
        <v>5</v>
      </c>
      <c r="L1004" s="1" t="n">
        <v>5</v>
      </c>
      <c r="M1004" s="3" t="s">
        <v>32</v>
      </c>
      <c r="N1004" s="3" t="s">
        <v>62</v>
      </c>
      <c r="O1004" s="3" t="s">
        <v>63</v>
      </c>
      <c r="P1004" s="2" t="str">
        <f aca="false">CONCATENATE(N1004," ",O1004)</f>
        <v>Microneta viaria</v>
      </c>
      <c r="Q1004" s="1" t="s">
        <v>30</v>
      </c>
      <c r="R1004" s="1" t="s">
        <v>31</v>
      </c>
      <c r="S1004" s="1" t="n">
        <v>1</v>
      </c>
      <c r="T1004" s="1" t="n">
        <v>0</v>
      </c>
      <c r="U1004" s="1" t="n">
        <v>0</v>
      </c>
      <c r="V1004" s="1" t="n">
        <v>0</v>
      </c>
      <c r="W1004" s="1" t="n">
        <v>0</v>
      </c>
      <c r="X1004" s="1" t="n">
        <v>0</v>
      </c>
      <c r="Y1004" s="3" t="n">
        <f aca="false">SUM(S1004:T1004)</f>
        <v>1</v>
      </c>
      <c r="Z1004" s="3" t="n">
        <f aca="false">SUM(U1004:W1004)</f>
        <v>0</v>
      </c>
      <c r="AA1004" s="3" t="n">
        <f aca="false">SUM(S1004:X1004)</f>
        <v>1</v>
      </c>
      <c r="AB1004" s="11" t="n">
        <f aca="false">(AA1004/(K1004*L1004)*25)*4</f>
        <v>4</v>
      </c>
    </row>
    <row r="1005" customFormat="false" ht="14.25" hidden="false" customHeight="false" outlineLevel="0" collapsed="false">
      <c r="A1005" s="1" t="n">
        <v>2009</v>
      </c>
      <c r="B1005" s="7" t="s">
        <v>322</v>
      </c>
      <c r="C1005" s="7" t="n">
        <v>2</v>
      </c>
      <c r="D1005" s="7" t="s">
        <v>293</v>
      </c>
      <c r="E1005" s="7" t="s">
        <v>293</v>
      </c>
      <c r="F1005" s="7" t="s">
        <v>26</v>
      </c>
      <c r="G1005" s="1" t="n">
        <v>3</v>
      </c>
      <c r="H1005" s="1" t="n">
        <v>14</v>
      </c>
      <c r="I1005" s="10" t="n">
        <v>39970</v>
      </c>
      <c r="J1005" s="10" t="n">
        <v>39975</v>
      </c>
      <c r="K1005" s="1" t="n">
        <v>5</v>
      </c>
      <c r="L1005" s="1" t="n">
        <v>5</v>
      </c>
      <c r="M1005" s="3" t="s">
        <v>32</v>
      </c>
      <c r="N1005" s="3" t="s">
        <v>62</v>
      </c>
      <c r="O1005" s="3" t="s">
        <v>63</v>
      </c>
      <c r="P1005" s="2" t="str">
        <f aca="false">CONCATENATE(N1005," ",O1005)</f>
        <v>Microneta viaria</v>
      </c>
      <c r="Q1005" s="1" t="s">
        <v>30</v>
      </c>
      <c r="R1005" s="1" t="s">
        <v>35</v>
      </c>
      <c r="S1005" s="1" t="n">
        <v>0</v>
      </c>
      <c r="T1005" s="1" t="n">
        <v>1</v>
      </c>
      <c r="U1005" s="1" t="n">
        <v>0</v>
      </c>
      <c r="V1005" s="1" t="n">
        <v>0</v>
      </c>
      <c r="W1005" s="1" t="n">
        <v>0</v>
      </c>
      <c r="X1005" s="1" t="n">
        <v>0</v>
      </c>
      <c r="Y1005" s="3" t="n">
        <f aca="false">SUM(S1005:T1005)</f>
        <v>1</v>
      </c>
      <c r="Z1005" s="3" t="n">
        <f aca="false">SUM(U1005:W1005)</f>
        <v>0</v>
      </c>
      <c r="AA1005" s="3" t="n">
        <f aca="false">SUM(S1005:X1005)</f>
        <v>1</v>
      </c>
      <c r="AB1005" s="11" t="n">
        <f aca="false">(AA1005/(K1005*L1005)*25)*4</f>
        <v>4</v>
      </c>
    </row>
    <row r="1006" customFormat="false" ht="14.25" hidden="false" customHeight="false" outlineLevel="0" collapsed="false">
      <c r="A1006" s="1" t="n">
        <v>2009</v>
      </c>
      <c r="B1006" s="7" t="s">
        <v>322</v>
      </c>
      <c r="C1006" s="7" t="n">
        <v>2</v>
      </c>
      <c r="D1006" s="7" t="s">
        <v>293</v>
      </c>
      <c r="E1006" s="7" t="s">
        <v>293</v>
      </c>
      <c r="F1006" s="7" t="s">
        <v>26</v>
      </c>
      <c r="G1006" s="1" t="n">
        <v>3</v>
      </c>
      <c r="H1006" s="1" t="n">
        <v>14</v>
      </c>
      <c r="I1006" s="10" t="n">
        <v>39970</v>
      </c>
      <c r="J1006" s="10" t="n">
        <v>39975</v>
      </c>
      <c r="K1006" s="1" t="n">
        <v>5</v>
      </c>
      <c r="L1006" s="1" t="n">
        <v>5</v>
      </c>
      <c r="M1006" s="13" t="s">
        <v>32</v>
      </c>
      <c r="N1006" s="13" t="s">
        <v>96</v>
      </c>
      <c r="O1006" s="14" t="s">
        <v>97</v>
      </c>
      <c r="P1006" s="2" t="str">
        <f aca="false">CONCATENATE(N1006," ",O1006)</f>
        <v>Diplocephalus picinus</v>
      </c>
      <c r="Q1006" s="1" t="s">
        <v>30</v>
      </c>
      <c r="R1006" s="1" t="s">
        <v>31</v>
      </c>
      <c r="S1006" s="1" t="n">
        <v>2</v>
      </c>
      <c r="T1006" s="1" t="n">
        <v>0</v>
      </c>
      <c r="U1006" s="1" t="n">
        <v>0</v>
      </c>
      <c r="V1006" s="1" t="n">
        <v>0</v>
      </c>
      <c r="W1006" s="1" t="n">
        <v>0</v>
      </c>
      <c r="X1006" s="1" t="n">
        <v>0</v>
      </c>
      <c r="Y1006" s="3" t="n">
        <f aca="false">SUM(S1006:T1006)</f>
        <v>2</v>
      </c>
      <c r="Z1006" s="3" t="n">
        <f aca="false">SUM(U1006:W1006)</f>
        <v>0</v>
      </c>
      <c r="AA1006" s="3" t="n">
        <f aca="false">SUM(S1006:X1006)</f>
        <v>2</v>
      </c>
      <c r="AB1006" s="11" t="n">
        <f aca="false">(AA1006/(K1006*L1006)*25)*4</f>
        <v>8</v>
      </c>
    </row>
    <row r="1007" customFormat="false" ht="14.25" hidden="false" customHeight="false" outlineLevel="0" collapsed="false">
      <c r="A1007" s="1" t="n">
        <v>2009</v>
      </c>
      <c r="B1007" s="7" t="s">
        <v>322</v>
      </c>
      <c r="C1007" s="7" t="n">
        <v>2</v>
      </c>
      <c r="D1007" s="7" t="s">
        <v>293</v>
      </c>
      <c r="E1007" s="7" t="s">
        <v>293</v>
      </c>
      <c r="F1007" s="7" t="s">
        <v>26</v>
      </c>
      <c r="G1007" s="1" t="n">
        <v>3</v>
      </c>
      <c r="H1007" s="1" t="n">
        <v>14</v>
      </c>
      <c r="I1007" s="10" t="n">
        <v>39970</v>
      </c>
      <c r="J1007" s="10" t="n">
        <v>39975</v>
      </c>
      <c r="K1007" s="1" t="n">
        <v>5</v>
      </c>
      <c r="L1007" s="1" t="n">
        <v>5</v>
      </c>
      <c r="M1007" s="3" t="s">
        <v>32</v>
      </c>
      <c r="N1007" s="3" t="s">
        <v>84</v>
      </c>
      <c r="O1007" s="3" t="s">
        <v>168</v>
      </c>
      <c r="P1007" s="2" t="str">
        <f aca="false">CONCATENATE(N1007," ",O1007)</f>
        <v>Walckenaeria atrotibialis</v>
      </c>
      <c r="Q1007" s="1" t="s">
        <v>30</v>
      </c>
      <c r="R1007" s="1" t="s">
        <v>31</v>
      </c>
      <c r="S1007" s="1" t="n">
        <v>1</v>
      </c>
      <c r="T1007" s="1" t="n">
        <v>0</v>
      </c>
      <c r="U1007" s="1" t="n">
        <v>0</v>
      </c>
      <c r="V1007" s="1" t="n">
        <v>0</v>
      </c>
      <c r="W1007" s="1" t="n">
        <v>0</v>
      </c>
      <c r="X1007" s="1" t="n">
        <v>0</v>
      </c>
      <c r="Y1007" s="3" t="n">
        <f aca="false">SUM(S1007:T1007)</f>
        <v>1</v>
      </c>
      <c r="Z1007" s="3" t="n">
        <f aca="false">SUM(U1007:W1007)</f>
        <v>0</v>
      </c>
      <c r="AA1007" s="3" t="n">
        <f aca="false">SUM(S1007:X1007)</f>
        <v>1</v>
      </c>
      <c r="AB1007" s="11" t="n">
        <f aca="false">(AA1007/(K1007*L1007)*25)*4</f>
        <v>4</v>
      </c>
    </row>
    <row r="1008" customFormat="false" ht="14.25" hidden="false" customHeight="false" outlineLevel="0" collapsed="false">
      <c r="A1008" s="1" t="n">
        <v>2009</v>
      </c>
      <c r="B1008" s="7" t="s">
        <v>322</v>
      </c>
      <c r="C1008" s="7" t="n">
        <v>2</v>
      </c>
      <c r="D1008" s="7" t="s">
        <v>293</v>
      </c>
      <c r="E1008" s="7" t="s">
        <v>293</v>
      </c>
      <c r="F1008" s="7" t="s">
        <v>26</v>
      </c>
      <c r="G1008" s="1" t="n">
        <v>3</v>
      </c>
      <c r="H1008" s="1" t="n">
        <v>15</v>
      </c>
      <c r="I1008" s="10" t="n">
        <v>39970</v>
      </c>
      <c r="J1008" s="10" t="n">
        <v>39975</v>
      </c>
      <c r="K1008" s="1" t="n">
        <v>5</v>
      </c>
      <c r="L1008" s="1" t="n">
        <v>5</v>
      </c>
      <c r="M1008" s="3" t="s">
        <v>48</v>
      </c>
      <c r="N1008" s="3" t="s">
        <v>67</v>
      </c>
      <c r="O1008" s="3" t="s">
        <v>127</v>
      </c>
      <c r="P1008" s="2" t="str">
        <f aca="false">CONCATENATE(N1008," ",O1008)</f>
        <v>Pardosa lugubris</v>
      </c>
      <c r="Q1008" s="1" t="s">
        <v>30</v>
      </c>
      <c r="R1008" s="1" t="s">
        <v>31</v>
      </c>
      <c r="S1008" s="1" t="n">
        <v>4</v>
      </c>
      <c r="T1008" s="1" t="n">
        <v>0</v>
      </c>
      <c r="U1008" s="1" t="n">
        <v>0</v>
      </c>
      <c r="V1008" s="1" t="n">
        <v>0</v>
      </c>
      <c r="W1008" s="1" t="n">
        <v>0</v>
      </c>
      <c r="X1008" s="1" t="n">
        <v>0</v>
      </c>
      <c r="Y1008" s="3" t="n">
        <f aca="false">SUM(S1008:T1008)</f>
        <v>4</v>
      </c>
      <c r="Z1008" s="3" t="n">
        <f aca="false">SUM(U1008:W1008)</f>
        <v>0</v>
      </c>
      <c r="AA1008" s="3" t="n">
        <f aca="false">SUM(S1008:X1008)</f>
        <v>4</v>
      </c>
      <c r="AB1008" s="11" t="n">
        <f aca="false">(AA1008/(K1008*L1008)*25)*4</f>
        <v>16</v>
      </c>
    </row>
    <row r="1009" customFormat="false" ht="14.25" hidden="false" customHeight="false" outlineLevel="0" collapsed="false">
      <c r="A1009" s="1" t="n">
        <v>2009</v>
      </c>
      <c r="B1009" s="7" t="s">
        <v>322</v>
      </c>
      <c r="C1009" s="7" t="n">
        <v>2</v>
      </c>
      <c r="D1009" s="7" t="s">
        <v>293</v>
      </c>
      <c r="E1009" s="7" t="s">
        <v>293</v>
      </c>
      <c r="F1009" s="7" t="s">
        <v>26</v>
      </c>
      <c r="G1009" s="1" t="n">
        <v>3</v>
      </c>
      <c r="H1009" s="1" t="n">
        <v>15</v>
      </c>
      <c r="I1009" s="10" t="n">
        <v>39970</v>
      </c>
      <c r="J1009" s="10" t="n">
        <v>39975</v>
      </c>
      <c r="K1009" s="1" t="n">
        <v>5</v>
      </c>
      <c r="L1009" s="1" t="n">
        <v>5</v>
      </c>
      <c r="M1009" s="3" t="s">
        <v>32</v>
      </c>
      <c r="N1009" s="3" t="s">
        <v>113</v>
      </c>
      <c r="O1009" s="8" t="s">
        <v>114</v>
      </c>
      <c r="P1009" s="2" t="str">
        <f aca="false">CONCATENATE(N1009," ",O1009)</f>
        <v>Ceratinella brevipes</v>
      </c>
      <c r="Q1009" s="1" t="s">
        <v>30</v>
      </c>
      <c r="R1009" s="1" t="s">
        <v>35</v>
      </c>
      <c r="S1009" s="1" t="n">
        <v>0</v>
      </c>
      <c r="T1009" s="1" t="n">
        <v>1</v>
      </c>
      <c r="U1009" s="1" t="n">
        <v>0</v>
      </c>
      <c r="V1009" s="1" t="n">
        <v>0</v>
      </c>
      <c r="W1009" s="1" t="n">
        <v>0</v>
      </c>
      <c r="X1009" s="1" t="n">
        <v>0</v>
      </c>
      <c r="Y1009" s="3" t="n">
        <f aca="false">SUM(S1009:T1009)</f>
        <v>1</v>
      </c>
      <c r="Z1009" s="3" t="n">
        <f aca="false">SUM(U1009:W1009)</f>
        <v>0</v>
      </c>
      <c r="AA1009" s="3" t="n">
        <f aca="false">SUM(S1009:X1009)</f>
        <v>1</v>
      </c>
      <c r="AB1009" s="11" t="n">
        <f aca="false">(AA1009/(K1009*L1009)*25)*4</f>
        <v>4</v>
      </c>
    </row>
    <row r="1010" customFormat="false" ht="14.25" hidden="false" customHeight="false" outlineLevel="0" collapsed="false">
      <c r="A1010" s="1" t="n">
        <v>2009</v>
      </c>
      <c r="B1010" s="7" t="s">
        <v>322</v>
      </c>
      <c r="C1010" s="7" t="n">
        <v>2</v>
      </c>
      <c r="D1010" s="7" t="s">
        <v>293</v>
      </c>
      <c r="E1010" s="7" t="s">
        <v>293</v>
      </c>
      <c r="F1010" s="7" t="s">
        <v>26</v>
      </c>
      <c r="G1010" s="1" t="n">
        <v>3</v>
      </c>
      <c r="H1010" s="1" t="n">
        <v>15</v>
      </c>
      <c r="I1010" s="10" t="n">
        <v>39970</v>
      </c>
      <c r="J1010" s="10" t="n">
        <v>39975</v>
      </c>
      <c r="K1010" s="1" t="n">
        <v>5</v>
      </c>
      <c r="L1010" s="1" t="n">
        <v>5</v>
      </c>
      <c r="M1010" s="3" t="s">
        <v>32</v>
      </c>
      <c r="N1010" s="3" t="s">
        <v>62</v>
      </c>
      <c r="O1010" s="3" t="s">
        <v>63</v>
      </c>
      <c r="P1010" s="2" t="str">
        <f aca="false">CONCATENATE(N1010," ",O1010)</f>
        <v>Microneta viaria</v>
      </c>
      <c r="Q1010" s="1" t="s">
        <v>30</v>
      </c>
      <c r="R1010" s="1" t="s">
        <v>31</v>
      </c>
      <c r="S1010" s="1" t="n">
        <v>1</v>
      </c>
      <c r="T1010" s="1" t="n">
        <v>0</v>
      </c>
      <c r="U1010" s="1" t="n">
        <v>0</v>
      </c>
      <c r="V1010" s="1" t="n">
        <v>0</v>
      </c>
      <c r="W1010" s="1" t="n">
        <v>0</v>
      </c>
      <c r="X1010" s="1" t="n">
        <v>0</v>
      </c>
      <c r="Y1010" s="3" t="n">
        <f aca="false">SUM(S1010:T1010)</f>
        <v>1</v>
      </c>
      <c r="Z1010" s="3" t="n">
        <f aca="false">SUM(U1010:W1010)</f>
        <v>0</v>
      </c>
      <c r="AA1010" s="3" t="n">
        <f aca="false">SUM(S1010:X1010)</f>
        <v>1</v>
      </c>
      <c r="AB1010" s="11" t="n">
        <f aca="false">(AA1010/(K1010*L1010)*25)*4</f>
        <v>4</v>
      </c>
    </row>
    <row r="1011" customFormat="false" ht="14.25" hidden="false" customHeight="false" outlineLevel="0" collapsed="false">
      <c r="A1011" s="1" t="n">
        <v>2009</v>
      </c>
      <c r="B1011" s="7" t="s">
        <v>322</v>
      </c>
      <c r="C1011" s="7" t="n">
        <v>2</v>
      </c>
      <c r="D1011" s="7" t="s">
        <v>293</v>
      </c>
      <c r="E1011" s="7" t="s">
        <v>293</v>
      </c>
      <c r="F1011" s="7" t="s">
        <v>26</v>
      </c>
      <c r="G1011" s="1" t="n">
        <v>3</v>
      </c>
      <c r="H1011" s="1" t="n">
        <v>15</v>
      </c>
      <c r="I1011" s="10" t="n">
        <v>39970</v>
      </c>
      <c r="J1011" s="10" t="n">
        <v>39975</v>
      </c>
      <c r="K1011" s="1" t="n">
        <v>5</v>
      </c>
      <c r="L1011" s="1" t="n">
        <v>5</v>
      </c>
      <c r="M1011" s="3" t="s">
        <v>32</v>
      </c>
      <c r="N1011" s="3" t="s">
        <v>90</v>
      </c>
      <c r="O1011" s="3" t="s">
        <v>91</v>
      </c>
      <c r="P1011" s="2" t="str">
        <f aca="false">CONCATENATE(N1011," ",O1011)</f>
        <v>Tapinocyba insecta</v>
      </c>
      <c r="Q1011" s="1" t="s">
        <v>30</v>
      </c>
      <c r="R1011" s="1" t="s">
        <v>31</v>
      </c>
      <c r="S1011" s="1" t="n">
        <v>1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0</v>
      </c>
      <c r="Y1011" s="3" t="n">
        <f aca="false">SUM(S1011:T1011)</f>
        <v>1</v>
      </c>
      <c r="Z1011" s="3" t="n">
        <f aca="false">SUM(U1011:W1011)</f>
        <v>0</v>
      </c>
      <c r="AA1011" s="3" t="n">
        <f aca="false">SUM(S1011:X1011)</f>
        <v>1</v>
      </c>
      <c r="AB1011" s="11" t="n">
        <f aca="false">(AA1011/(K1011*L1011)*25)*4</f>
        <v>4</v>
      </c>
    </row>
    <row r="1012" customFormat="false" ht="14.25" hidden="false" customHeight="false" outlineLevel="0" collapsed="false">
      <c r="A1012" s="1" t="n">
        <v>2009</v>
      </c>
      <c r="B1012" s="7" t="s">
        <v>322</v>
      </c>
      <c r="C1012" s="7" t="n">
        <v>2</v>
      </c>
      <c r="D1012" s="7" t="s">
        <v>293</v>
      </c>
      <c r="E1012" s="7" t="s">
        <v>293</v>
      </c>
      <c r="F1012" s="7" t="s">
        <v>110</v>
      </c>
      <c r="G1012" s="1" t="n">
        <v>1</v>
      </c>
      <c r="H1012" s="1" t="n">
        <v>1</v>
      </c>
      <c r="I1012" s="10" t="n">
        <v>39969</v>
      </c>
      <c r="J1012" s="10" t="n">
        <v>39974</v>
      </c>
      <c r="K1012" s="1" t="n">
        <v>5</v>
      </c>
      <c r="L1012" s="1" t="n">
        <v>5</v>
      </c>
      <c r="M1012" s="3" t="s">
        <v>48</v>
      </c>
      <c r="N1012" s="3" t="s">
        <v>49</v>
      </c>
      <c r="O1012" s="3" t="s">
        <v>104</v>
      </c>
      <c r="P1012" s="2" t="str">
        <f aca="false">CONCATENATE(N1012," ",O1012)</f>
        <v>Alopecosa taeniata</v>
      </c>
      <c r="Q1012" s="1" t="s">
        <v>30</v>
      </c>
      <c r="R1012" s="1" t="s">
        <v>31</v>
      </c>
      <c r="S1012" s="1" t="n">
        <v>1</v>
      </c>
      <c r="T1012" s="1" t="n">
        <v>0</v>
      </c>
      <c r="U1012" s="1" t="n">
        <v>0</v>
      </c>
      <c r="V1012" s="1" t="n">
        <v>0</v>
      </c>
      <c r="W1012" s="1" t="n">
        <v>0</v>
      </c>
      <c r="X1012" s="1" t="n">
        <v>0</v>
      </c>
      <c r="Y1012" s="3" t="n">
        <f aca="false">SUM(S1012:T1012)</f>
        <v>1</v>
      </c>
      <c r="Z1012" s="3" t="n">
        <f aca="false">SUM(U1012:W1012)</f>
        <v>0</v>
      </c>
      <c r="AA1012" s="3" t="n">
        <f aca="false">SUM(S1012:X1012)</f>
        <v>1</v>
      </c>
      <c r="AB1012" s="11" t="n">
        <f aca="false">(AA1012/(K1012*L1012)*25)*4</f>
        <v>4</v>
      </c>
    </row>
    <row r="1013" customFormat="false" ht="14.25" hidden="false" customHeight="false" outlineLevel="0" collapsed="false">
      <c r="A1013" s="1" t="n">
        <v>2009</v>
      </c>
      <c r="B1013" s="7" t="s">
        <v>322</v>
      </c>
      <c r="C1013" s="7" t="n">
        <v>2</v>
      </c>
      <c r="D1013" s="7" t="s">
        <v>293</v>
      </c>
      <c r="E1013" s="7" t="s">
        <v>293</v>
      </c>
      <c r="F1013" s="7" t="s">
        <v>110</v>
      </c>
      <c r="G1013" s="1" t="n">
        <v>1</v>
      </c>
      <c r="H1013" s="1" t="n">
        <v>1</v>
      </c>
      <c r="I1013" s="10" t="n">
        <v>39969</v>
      </c>
      <c r="J1013" s="10" t="n">
        <v>39974</v>
      </c>
      <c r="K1013" s="1" t="n">
        <v>5</v>
      </c>
      <c r="L1013" s="1" t="n">
        <v>5</v>
      </c>
      <c r="M1013" s="3" t="s">
        <v>72</v>
      </c>
      <c r="N1013" s="3" t="s">
        <v>86</v>
      </c>
      <c r="O1013" s="8" t="s">
        <v>87</v>
      </c>
      <c r="P1013" s="2" t="str">
        <f aca="false">CONCATENATE(N1013," ",O1013)</f>
        <v>Haplodrassus soerenseni</v>
      </c>
      <c r="Q1013" s="1" t="s">
        <v>30</v>
      </c>
      <c r="R1013" s="1" t="s">
        <v>31</v>
      </c>
      <c r="S1013" s="1" t="n">
        <v>1</v>
      </c>
      <c r="T1013" s="1" t="n">
        <v>0</v>
      </c>
      <c r="U1013" s="1" t="n">
        <v>0</v>
      </c>
      <c r="V1013" s="1" t="n">
        <v>0</v>
      </c>
      <c r="W1013" s="1" t="n">
        <v>0</v>
      </c>
      <c r="X1013" s="1" t="n">
        <v>0</v>
      </c>
      <c r="Y1013" s="3" t="n">
        <f aca="false">SUM(S1013:T1013)</f>
        <v>1</v>
      </c>
      <c r="Z1013" s="3" t="n">
        <f aca="false">SUM(U1013:W1013)</f>
        <v>0</v>
      </c>
      <c r="AA1013" s="3" t="n">
        <f aca="false">SUM(S1013:X1013)</f>
        <v>1</v>
      </c>
      <c r="AB1013" s="11" t="n">
        <f aca="false">(AA1013/(K1013*L1013)*25)*4</f>
        <v>4</v>
      </c>
    </row>
    <row r="1014" customFormat="false" ht="14.25" hidden="false" customHeight="false" outlineLevel="0" collapsed="false">
      <c r="A1014" s="1" t="n">
        <v>2009</v>
      </c>
      <c r="B1014" s="7" t="s">
        <v>322</v>
      </c>
      <c r="C1014" s="7" t="n">
        <v>2</v>
      </c>
      <c r="D1014" s="7" t="s">
        <v>293</v>
      </c>
      <c r="E1014" s="7" t="s">
        <v>293</v>
      </c>
      <c r="F1014" s="7" t="s">
        <v>110</v>
      </c>
      <c r="G1014" s="1" t="n">
        <v>1</v>
      </c>
      <c r="H1014" s="1" t="n">
        <v>1</v>
      </c>
      <c r="I1014" s="10" t="n">
        <v>39969</v>
      </c>
      <c r="J1014" s="10" t="n">
        <v>39974</v>
      </c>
      <c r="K1014" s="1" t="n">
        <v>5</v>
      </c>
      <c r="L1014" s="1" t="n">
        <v>5</v>
      </c>
      <c r="M1014" s="3" t="s">
        <v>144</v>
      </c>
      <c r="N1014" s="3" t="s">
        <v>145</v>
      </c>
      <c r="O1014" s="3" t="s">
        <v>146</v>
      </c>
      <c r="P1014" s="2" t="str">
        <f aca="false">CONCATENATE(N1014," ",O1014)</f>
        <v>Phrurolithus festivus</v>
      </c>
      <c r="Q1014" s="1" t="s">
        <v>30</v>
      </c>
      <c r="R1014" s="1" t="s">
        <v>31</v>
      </c>
      <c r="S1014" s="1" t="n">
        <v>1</v>
      </c>
      <c r="T1014" s="1" t="n">
        <v>0</v>
      </c>
      <c r="U1014" s="1" t="n">
        <v>0</v>
      </c>
      <c r="V1014" s="1" t="n">
        <v>0</v>
      </c>
      <c r="W1014" s="1" t="n">
        <v>0</v>
      </c>
      <c r="X1014" s="1" t="n">
        <v>0</v>
      </c>
      <c r="Y1014" s="3" t="n">
        <f aca="false">SUM(S1014:T1014)</f>
        <v>1</v>
      </c>
      <c r="Z1014" s="3" t="n">
        <f aca="false">SUM(U1014:W1014)</f>
        <v>0</v>
      </c>
      <c r="AA1014" s="3" t="n">
        <f aca="false">SUM(S1014:X1014)</f>
        <v>1</v>
      </c>
      <c r="AB1014" s="11" t="n">
        <f aca="false">(AA1014/(K1014*L1014)*25)*4</f>
        <v>4</v>
      </c>
    </row>
    <row r="1015" customFormat="false" ht="14.25" hidden="false" customHeight="false" outlineLevel="0" collapsed="false">
      <c r="A1015" s="1" t="n">
        <v>2009</v>
      </c>
      <c r="B1015" s="7" t="s">
        <v>322</v>
      </c>
      <c r="C1015" s="7" t="n">
        <v>2</v>
      </c>
      <c r="D1015" s="7" t="s">
        <v>293</v>
      </c>
      <c r="E1015" s="7" t="s">
        <v>293</v>
      </c>
      <c r="F1015" s="7" t="s">
        <v>110</v>
      </c>
      <c r="G1015" s="1" t="n">
        <v>1</v>
      </c>
      <c r="H1015" s="1" t="n">
        <v>1</v>
      </c>
      <c r="I1015" s="10" t="n">
        <v>39969</v>
      </c>
      <c r="J1015" s="10" t="n">
        <v>39974</v>
      </c>
      <c r="K1015" s="1" t="n">
        <v>5</v>
      </c>
      <c r="L1015" s="1" t="n">
        <v>5</v>
      </c>
      <c r="M1015" s="3" t="s">
        <v>36</v>
      </c>
      <c r="N1015" s="3" t="s">
        <v>131</v>
      </c>
      <c r="O1015" s="3" t="s">
        <v>133</v>
      </c>
      <c r="P1015" s="2" t="str">
        <f aca="false">CONCATENATE(N1015," ",O1015)</f>
        <v>Xysticus luctuosus</v>
      </c>
      <c r="Q1015" s="1" t="s">
        <v>30</v>
      </c>
      <c r="R1015" s="1" t="s">
        <v>31</v>
      </c>
      <c r="S1015" s="1" t="n">
        <v>1</v>
      </c>
      <c r="T1015" s="1" t="n">
        <v>0</v>
      </c>
      <c r="U1015" s="1" t="n">
        <v>0</v>
      </c>
      <c r="V1015" s="1" t="n">
        <v>0</v>
      </c>
      <c r="W1015" s="1" t="n">
        <v>0</v>
      </c>
      <c r="X1015" s="1" t="n">
        <v>0</v>
      </c>
      <c r="Y1015" s="3" t="n">
        <f aca="false">SUM(S1015:T1015)</f>
        <v>1</v>
      </c>
      <c r="Z1015" s="3" t="n">
        <f aca="false">SUM(U1015:W1015)</f>
        <v>0</v>
      </c>
      <c r="AA1015" s="3" t="n">
        <f aca="false">SUM(S1015:X1015)</f>
        <v>1</v>
      </c>
      <c r="AB1015" s="11" t="n">
        <f aca="false">(AA1015/(K1015*L1015)*25)*4</f>
        <v>4</v>
      </c>
    </row>
    <row r="1016" customFormat="false" ht="14.25" hidden="false" customHeight="false" outlineLevel="0" collapsed="false">
      <c r="A1016" s="1" t="n">
        <v>2009</v>
      </c>
      <c r="B1016" s="7" t="s">
        <v>322</v>
      </c>
      <c r="C1016" s="7" t="n">
        <v>2</v>
      </c>
      <c r="D1016" s="7" t="s">
        <v>293</v>
      </c>
      <c r="E1016" s="7" t="s">
        <v>293</v>
      </c>
      <c r="F1016" s="7" t="s">
        <v>110</v>
      </c>
      <c r="G1016" s="1" t="n">
        <v>1</v>
      </c>
      <c r="H1016" s="1" t="n">
        <v>1</v>
      </c>
      <c r="I1016" s="10" t="n">
        <v>39969</v>
      </c>
      <c r="J1016" s="10" t="n">
        <v>39974</v>
      </c>
      <c r="K1016" s="1" t="n">
        <v>5</v>
      </c>
      <c r="L1016" s="1" t="n">
        <v>5</v>
      </c>
      <c r="M1016" s="3" t="s">
        <v>36</v>
      </c>
      <c r="N1016" s="3" t="s">
        <v>37</v>
      </c>
      <c r="O1016" s="8" t="s">
        <v>75</v>
      </c>
      <c r="P1016" s="2" t="str">
        <f aca="false">CONCATENATE(N1016," ",O1016)</f>
        <v>Ozyptila praticola</v>
      </c>
      <c r="Q1016" s="1" t="s">
        <v>30</v>
      </c>
      <c r="R1016" s="1" t="s">
        <v>31</v>
      </c>
      <c r="S1016" s="1" t="n">
        <v>1</v>
      </c>
      <c r="T1016" s="1" t="n">
        <v>0</v>
      </c>
      <c r="U1016" s="1" t="n">
        <v>0</v>
      </c>
      <c r="V1016" s="1" t="n">
        <v>0</v>
      </c>
      <c r="W1016" s="1" t="n">
        <v>0</v>
      </c>
      <c r="X1016" s="1" t="n">
        <v>0</v>
      </c>
      <c r="Y1016" s="3" t="n">
        <f aca="false">SUM(S1016:T1016)</f>
        <v>1</v>
      </c>
      <c r="Z1016" s="3" t="n">
        <f aca="false">SUM(U1016:W1016)</f>
        <v>0</v>
      </c>
      <c r="AA1016" s="3" t="n">
        <f aca="false">SUM(S1016:X1016)</f>
        <v>1</v>
      </c>
      <c r="AB1016" s="11" t="n">
        <f aca="false">(AA1016/(K1016*L1016)*25)*4</f>
        <v>4</v>
      </c>
    </row>
    <row r="1017" customFormat="false" ht="14.25" hidden="false" customHeight="false" outlineLevel="0" collapsed="false">
      <c r="A1017" s="1" t="n">
        <v>2009</v>
      </c>
      <c r="B1017" s="7" t="s">
        <v>322</v>
      </c>
      <c r="C1017" s="7" t="n">
        <v>2</v>
      </c>
      <c r="D1017" s="7" t="s">
        <v>293</v>
      </c>
      <c r="E1017" s="7" t="s">
        <v>293</v>
      </c>
      <c r="F1017" s="7" t="s">
        <v>110</v>
      </c>
      <c r="G1017" s="1" t="n">
        <v>1</v>
      </c>
      <c r="H1017" s="1" t="n">
        <v>2</v>
      </c>
      <c r="I1017" s="10" t="n">
        <v>39969</v>
      </c>
      <c r="J1017" s="10" t="n">
        <v>39974</v>
      </c>
      <c r="K1017" s="1" t="n">
        <v>5</v>
      </c>
      <c r="L1017" s="1" t="n">
        <v>5</v>
      </c>
      <c r="M1017" s="3" t="s">
        <v>48</v>
      </c>
      <c r="N1017" s="3" t="s">
        <v>49</v>
      </c>
      <c r="O1017" s="3" t="s">
        <v>104</v>
      </c>
      <c r="P1017" s="2" t="str">
        <f aca="false">CONCATENATE(N1017," ",O1017)</f>
        <v>Alopecosa taeniata</v>
      </c>
      <c r="Q1017" s="1" t="s">
        <v>30</v>
      </c>
      <c r="R1017" s="1" t="s">
        <v>31</v>
      </c>
      <c r="S1017" s="1" t="n">
        <v>2</v>
      </c>
      <c r="T1017" s="1" t="n">
        <v>0</v>
      </c>
      <c r="U1017" s="1" t="n">
        <v>0</v>
      </c>
      <c r="V1017" s="1" t="n">
        <v>0</v>
      </c>
      <c r="W1017" s="1" t="n">
        <v>0</v>
      </c>
      <c r="X1017" s="1" t="n">
        <v>0</v>
      </c>
      <c r="Y1017" s="3" t="n">
        <f aca="false">SUM(S1017:T1017)</f>
        <v>2</v>
      </c>
      <c r="Z1017" s="3" t="n">
        <f aca="false">SUM(U1017:W1017)</f>
        <v>0</v>
      </c>
      <c r="AA1017" s="3" t="n">
        <f aca="false">SUM(S1017:X1017)</f>
        <v>2</v>
      </c>
      <c r="AB1017" s="11" t="n">
        <f aca="false">(AA1017/(K1017*L1017)*25)*4</f>
        <v>8</v>
      </c>
    </row>
    <row r="1018" customFormat="false" ht="14.25" hidden="false" customHeight="false" outlineLevel="0" collapsed="false">
      <c r="A1018" s="1" t="n">
        <v>2009</v>
      </c>
      <c r="B1018" s="7" t="s">
        <v>322</v>
      </c>
      <c r="C1018" s="7" t="n">
        <v>2</v>
      </c>
      <c r="D1018" s="7" t="s">
        <v>293</v>
      </c>
      <c r="E1018" s="7" t="s">
        <v>293</v>
      </c>
      <c r="F1018" s="7" t="s">
        <v>110</v>
      </c>
      <c r="G1018" s="1" t="n">
        <v>1</v>
      </c>
      <c r="H1018" s="1" t="n">
        <v>2</v>
      </c>
      <c r="I1018" s="10" t="n">
        <v>39969</v>
      </c>
      <c r="J1018" s="10" t="n">
        <v>39974</v>
      </c>
      <c r="K1018" s="1" t="n">
        <v>5</v>
      </c>
      <c r="L1018" s="1" t="n">
        <v>5</v>
      </c>
      <c r="M1018" s="3" t="s">
        <v>48</v>
      </c>
      <c r="N1018" s="3" t="s">
        <v>61</v>
      </c>
      <c r="O1018" s="3" t="s">
        <v>82</v>
      </c>
      <c r="P1018" s="2" t="str">
        <f aca="false">CONCATENATE(N1018," ",O1018)</f>
        <v>Trochosa terricola</v>
      </c>
      <c r="Q1018" s="1" t="s">
        <v>30</v>
      </c>
      <c r="R1018" s="1" t="s">
        <v>35</v>
      </c>
      <c r="S1018" s="1" t="n">
        <v>0</v>
      </c>
      <c r="T1018" s="1" t="n">
        <v>1</v>
      </c>
      <c r="U1018" s="1" t="n">
        <v>0</v>
      </c>
      <c r="V1018" s="1" t="n">
        <v>0</v>
      </c>
      <c r="W1018" s="1" t="n">
        <v>0</v>
      </c>
      <c r="X1018" s="1" t="n">
        <v>0</v>
      </c>
      <c r="Y1018" s="3" t="n">
        <f aca="false">SUM(S1018:T1018)</f>
        <v>1</v>
      </c>
      <c r="Z1018" s="3" t="n">
        <f aca="false">SUM(U1018:W1018)</f>
        <v>0</v>
      </c>
      <c r="AA1018" s="3" t="n">
        <f aca="false">SUM(S1018:X1018)</f>
        <v>1</v>
      </c>
      <c r="AB1018" s="11" t="n">
        <f aca="false">(AA1018/(K1018*L1018)*25)*4</f>
        <v>4</v>
      </c>
    </row>
    <row r="1019" customFormat="false" ht="14.25" hidden="false" customHeight="false" outlineLevel="0" collapsed="false">
      <c r="A1019" s="1" t="n">
        <v>2009</v>
      </c>
      <c r="B1019" s="7" t="s">
        <v>322</v>
      </c>
      <c r="C1019" s="7" t="n">
        <v>2</v>
      </c>
      <c r="D1019" s="7" t="s">
        <v>293</v>
      </c>
      <c r="E1019" s="7" t="s">
        <v>293</v>
      </c>
      <c r="F1019" s="7" t="s">
        <v>110</v>
      </c>
      <c r="G1019" s="1" t="n">
        <v>1</v>
      </c>
      <c r="H1019" s="1" t="n">
        <v>2</v>
      </c>
      <c r="I1019" s="10" t="n">
        <v>39969</v>
      </c>
      <c r="J1019" s="10" t="n">
        <v>39974</v>
      </c>
      <c r="K1019" s="1" t="n">
        <v>5</v>
      </c>
      <c r="L1019" s="1" t="n">
        <v>5</v>
      </c>
      <c r="M1019" s="3" t="s">
        <v>72</v>
      </c>
      <c r="N1019" s="3" t="s">
        <v>86</v>
      </c>
      <c r="O1019" s="8" t="s">
        <v>87</v>
      </c>
      <c r="P1019" s="2" t="str">
        <f aca="false">CONCATENATE(N1019," ",O1019)</f>
        <v>Haplodrassus soerenseni</v>
      </c>
      <c r="Q1019" s="1" t="s">
        <v>30</v>
      </c>
      <c r="R1019" s="1" t="s">
        <v>31</v>
      </c>
      <c r="S1019" s="1" t="n">
        <v>1</v>
      </c>
      <c r="T1019" s="1" t="n">
        <v>0</v>
      </c>
      <c r="U1019" s="1" t="n">
        <v>0</v>
      </c>
      <c r="V1019" s="1" t="n">
        <v>0</v>
      </c>
      <c r="W1019" s="1" t="n">
        <v>0</v>
      </c>
      <c r="X1019" s="1" t="n">
        <v>0</v>
      </c>
      <c r="Y1019" s="3" t="n">
        <f aca="false">SUM(S1019:T1019)</f>
        <v>1</v>
      </c>
      <c r="Z1019" s="3" t="n">
        <f aca="false">SUM(U1019:W1019)</f>
        <v>0</v>
      </c>
      <c r="AA1019" s="3" t="n">
        <f aca="false">SUM(S1019:X1019)</f>
        <v>1</v>
      </c>
      <c r="AB1019" s="11" t="n">
        <f aca="false">(AA1019/(K1019*L1019)*25)*4</f>
        <v>4</v>
      </c>
    </row>
    <row r="1020" customFormat="false" ht="14.25" hidden="false" customHeight="false" outlineLevel="0" collapsed="false">
      <c r="A1020" s="1" t="n">
        <v>2009</v>
      </c>
      <c r="B1020" s="7" t="s">
        <v>322</v>
      </c>
      <c r="C1020" s="7" t="n">
        <v>2</v>
      </c>
      <c r="D1020" s="7" t="s">
        <v>293</v>
      </c>
      <c r="E1020" s="7" t="s">
        <v>293</v>
      </c>
      <c r="F1020" s="7" t="s">
        <v>110</v>
      </c>
      <c r="G1020" s="1" t="n">
        <v>1</v>
      </c>
      <c r="H1020" s="1" t="n">
        <v>2</v>
      </c>
      <c r="I1020" s="10" t="n">
        <v>39969</v>
      </c>
      <c r="J1020" s="10" t="n">
        <v>39974</v>
      </c>
      <c r="K1020" s="1" t="n">
        <v>5</v>
      </c>
      <c r="L1020" s="1" t="n">
        <v>5</v>
      </c>
      <c r="M1020" s="3" t="s">
        <v>36</v>
      </c>
      <c r="N1020" s="3" t="s">
        <v>37</v>
      </c>
      <c r="O1020" s="8" t="s">
        <v>75</v>
      </c>
      <c r="P1020" s="2" t="str">
        <f aca="false">CONCATENATE(N1020," ",O1020)</f>
        <v>Ozyptila praticola</v>
      </c>
      <c r="Q1020" s="1" t="s">
        <v>30</v>
      </c>
      <c r="R1020" s="1" t="s">
        <v>31</v>
      </c>
      <c r="S1020" s="1" t="n">
        <v>1</v>
      </c>
      <c r="T1020" s="1" t="n">
        <v>0</v>
      </c>
      <c r="U1020" s="1" t="n">
        <v>0</v>
      </c>
      <c r="V1020" s="1" t="n">
        <v>0</v>
      </c>
      <c r="W1020" s="1" t="n">
        <v>0</v>
      </c>
      <c r="X1020" s="1" t="n">
        <v>0</v>
      </c>
      <c r="Y1020" s="3" t="n">
        <f aca="false">SUM(S1020:T1020)</f>
        <v>1</v>
      </c>
      <c r="Z1020" s="3" t="n">
        <f aca="false">SUM(U1020:W1020)</f>
        <v>0</v>
      </c>
      <c r="AA1020" s="3" t="n">
        <f aca="false">SUM(S1020:X1020)</f>
        <v>1</v>
      </c>
      <c r="AB1020" s="11" t="n">
        <f aca="false">(AA1020/(K1020*L1020)*25)*4</f>
        <v>4</v>
      </c>
    </row>
    <row r="1021" customFormat="false" ht="14.25" hidden="false" customHeight="false" outlineLevel="0" collapsed="false">
      <c r="A1021" s="1" t="n">
        <v>2009</v>
      </c>
      <c r="B1021" s="7" t="s">
        <v>322</v>
      </c>
      <c r="C1021" s="7" t="n">
        <v>2</v>
      </c>
      <c r="D1021" s="7" t="s">
        <v>293</v>
      </c>
      <c r="E1021" s="7" t="s">
        <v>293</v>
      </c>
      <c r="F1021" s="7" t="s">
        <v>110</v>
      </c>
      <c r="G1021" s="1" t="n">
        <v>1</v>
      </c>
      <c r="H1021" s="1" t="n">
        <v>2</v>
      </c>
      <c r="I1021" s="10" t="n">
        <v>39969</v>
      </c>
      <c r="J1021" s="10" t="n">
        <v>39974</v>
      </c>
      <c r="K1021" s="1" t="n">
        <v>5</v>
      </c>
      <c r="L1021" s="1" t="n">
        <v>5</v>
      </c>
      <c r="M1021" s="3" t="s">
        <v>36</v>
      </c>
      <c r="N1021" s="3" t="s">
        <v>131</v>
      </c>
      <c r="O1021" s="3" t="s">
        <v>133</v>
      </c>
      <c r="P1021" s="2" t="str">
        <f aca="false">CONCATENATE(N1021," ",O1021)</f>
        <v>Xysticus luctuosus</v>
      </c>
      <c r="Q1021" s="1" t="s">
        <v>30</v>
      </c>
      <c r="R1021" s="1" t="s">
        <v>31</v>
      </c>
      <c r="S1021" s="1" t="n">
        <v>2</v>
      </c>
      <c r="T1021" s="1" t="n">
        <v>0</v>
      </c>
      <c r="U1021" s="1" t="n">
        <v>0</v>
      </c>
      <c r="V1021" s="1" t="n">
        <v>0</v>
      </c>
      <c r="W1021" s="1" t="n">
        <v>0</v>
      </c>
      <c r="X1021" s="1" t="n">
        <v>0</v>
      </c>
      <c r="Y1021" s="3" t="n">
        <f aca="false">SUM(S1021:T1021)</f>
        <v>2</v>
      </c>
      <c r="Z1021" s="3" t="n">
        <f aca="false">SUM(U1021:W1021)</f>
        <v>0</v>
      </c>
      <c r="AA1021" s="3" t="n">
        <f aca="false">SUM(S1021:X1021)</f>
        <v>2</v>
      </c>
      <c r="AB1021" s="11" t="n">
        <f aca="false">(AA1021/(K1021*L1021)*25)*4</f>
        <v>8</v>
      </c>
    </row>
    <row r="1022" customFormat="false" ht="14.25" hidden="false" customHeight="false" outlineLevel="0" collapsed="false">
      <c r="A1022" s="1" t="n">
        <v>2009</v>
      </c>
      <c r="B1022" s="7" t="s">
        <v>322</v>
      </c>
      <c r="C1022" s="7" t="n">
        <v>2</v>
      </c>
      <c r="D1022" s="7" t="s">
        <v>293</v>
      </c>
      <c r="E1022" s="7" t="s">
        <v>293</v>
      </c>
      <c r="F1022" s="7" t="s">
        <v>110</v>
      </c>
      <c r="G1022" s="1" t="n">
        <v>1</v>
      </c>
      <c r="H1022" s="1" t="n">
        <v>2</v>
      </c>
      <c r="I1022" s="10" t="n">
        <v>39969</v>
      </c>
      <c r="J1022" s="10" t="n">
        <v>39974</v>
      </c>
      <c r="K1022" s="1" t="n">
        <v>5</v>
      </c>
      <c r="L1022" s="1" t="n">
        <v>5</v>
      </c>
      <c r="M1022" s="3" t="s">
        <v>36</v>
      </c>
      <c r="N1022" s="3" t="s">
        <v>131</v>
      </c>
      <c r="O1022" s="3" t="s">
        <v>133</v>
      </c>
      <c r="P1022" s="2" t="str">
        <f aca="false">CONCATENATE(N1022," ",O1022)</f>
        <v>Xysticus luctuosus</v>
      </c>
      <c r="Q1022" s="1" t="s">
        <v>30</v>
      </c>
      <c r="R1022" s="1" t="s">
        <v>35</v>
      </c>
      <c r="S1022" s="1" t="n">
        <v>0</v>
      </c>
      <c r="T1022" s="1" t="n">
        <v>2</v>
      </c>
      <c r="U1022" s="1" t="n">
        <v>0</v>
      </c>
      <c r="V1022" s="1" t="n">
        <v>0</v>
      </c>
      <c r="W1022" s="1" t="n">
        <v>0</v>
      </c>
      <c r="X1022" s="1" t="n">
        <v>0</v>
      </c>
      <c r="Y1022" s="3" t="n">
        <f aca="false">SUM(S1022:T1022)</f>
        <v>2</v>
      </c>
      <c r="Z1022" s="3" t="n">
        <f aca="false">SUM(U1022:W1022)</f>
        <v>0</v>
      </c>
      <c r="AA1022" s="3" t="n">
        <f aca="false">SUM(S1022:X1022)</f>
        <v>2</v>
      </c>
      <c r="AB1022" s="11" t="n">
        <f aca="false">(AA1022/(K1022*L1022)*25)*4</f>
        <v>8</v>
      </c>
    </row>
    <row r="1023" customFormat="false" ht="14.25" hidden="false" customHeight="false" outlineLevel="0" collapsed="false">
      <c r="A1023" s="1" t="n">
        <v>2009</v>
      </c>
      <c r="B1023" s="7" t="s">
        <v>322</v>
      </c>
      <c r="C1023" s="7" t="n">
        <v>2</v>
      </c>
      <c r="D1023" s="7" t="s">
        <v>293</v>
      </c>
      <c r="E1023" s="7" t="s">
        <v>293</v>
      </c>
      <c r="F1023" s="7" t="s">
        <v>110</v>
      </c>
      <c r="G1023" s="1" t="n">
        <v>1</v>
      </c>
      <c r="H1023" s="1" t="n">
        <v>2</v>
      </c>
      <c r="I1023" s="10" t="n">
        <v>39969</v>
      </c>
      <c r="J1023" s="10" t="n">
        <v>39974</v>
      </c>
      <c r="K1023" s="1" t="n">
        <v>5</v>
      </c>
      <c r="L1023" s="1" t="n">
        <v>5</v>
      </c>
      <c r="M1023" s="13" t="s">
        <v>92</v>
      </c>
      <c r="N1023" s="13" t="s">
        <v>111</v>
      </c>
      <c r="O1023" s="14" t="s">
        <v>112</v>
      </c>
      <c r="P1023" s="2" t="str">
        <f aca="false">CONCATENATE(N1023," ",O1023)</f>
        <v>Evarcha falcata</v>
      </c>
      <c r="Q1023" s="1" t="s">
        <v>30</v>
      </c>
      <c r="R1023" s="1" t="s">
        <v>35</v>
      </c>
      <c r="S1023" s="1" t="n">
        <v>0</v>
      </c>
      <c r="T1023" s="1" t="n">
        <v>1</v>
      </c>
      <c r="U1023" s="1" t="n">
        <v>0</v>
      </c>
      <c r="V1023" s="1" t="n">
        <v>0</v>
      </c>
      <c r="W1023" s="1" t="n">
        <v>0</v>
      </c>
      <c r="X1023" s="1" t="n">
        <v>0</v>
      </c>
      <c r="Y1023" s="3" t="n">
        <f aca="false">SUM(S1023:T1023)</f>
        <v>1</v>
      </c>
      <c r="Z1023" s="3" t="n">
        <f aca="false">SUM(U1023:W1023)</f>
        <v>0</v>
      </c>
      <c r="AA1023" s="3" t="n">
        <f aca="false">SUM(S1023:X1023)</f>
        <v>1</v>
      </c>
      <c r="AB1023" s="11" t="n">
        <f aca="false">(AA1023/(K1023*L1023)*25)*4</f>
        <v>4</v>
      </c>
    </row>
    <row r="1024" customFormat="false" ht="14.25" hidden="false" customHeight="false" outlineLevel="0" collapsed="false">
      <c r="A1024" s="1" t="n">
        <v>2009</v>
      </c>
      <c r="B1024" s="7" t="s">
        <v>322</v>
      </c>
      <c r="C1024" s="7" t="n">
        <v>2</v>
      </c>
      <c r="D1024" s="7" t="s">
        <v>293</v>
      </c>
      <c r="E1024" s="7" t="s">
        <v>293</v>
      </c>
      <c r="F1024" s="7" t="s">
        <v>110</v>
      </c>
      <c r="G1024" s="1" t="n">
        <v>1</v>
      </c>
      <c r="H1024" s="1" t="n">
        <v>2</v>
      </c>
      <c r="I1024" s="10" t="n">
        <v>39969</v>
      </c>
      <c r="J1024" s="10" t="n">
        <v>39974</v>
      </c>
      <c r="K1024" s="1" t="n">
        <v>5</v>
      </c>
      <c r="L1024" s="1" t="n">
        <v>5</v>
      </c>
      <c r="M1024" s="3" t="s">
        <v>52</v>
      </c>
      <c r="N1024" s="3" t="s">
        <v>213</v>
      </c>
      <c r="O1024" s="3" t="s">
        <v>214</v>
      </c>
      <c r="P1024" s="2" t="str">
        <f aca="false">CONCATENATE(N1024," ",O1024)</f>
        <v>Cercidia prominens</v>
      </c>
      <c r="Q1024" s="1" t="s">
        <v>30</v>
      </c>
      <c r="R1024" s="1" t="s">
        <v>31</v>
      </c>
      <c r="S1024" s="1" t="n">
        <v>1</v>
      </c>
      <c r="T1024" s="1" t="n">
        <v>0</v>
      </c>
      <c r="U1024" s="1" t="n">
        <v>0</v>
      </c>
      <c r="V1024" s="1" t="n">
        <v>0</v>
      </c>
      <c r="W1024" s="1" t="n">
        <v>0</v>
      </c>
      <c r="X1024" s="1" t="n">
        <v>0</v>
      </c>
      <c r="Y1024" s="3" t="n">
        <f aca="false">SUM(S1024:T1024)</f>
        <v>1</v>
      </c>
      <c r="Z1024" s="3" t="n">
        <f aca="false">SUM(U1024:W1024)</f>
        <v>0</v>
      </c>
      <c r="AA1024" s="3" t="n">
        <f aca="false">SUM(S1024:X1024)</f>
        <v>1</v>
      </c>
      <c r="AB1024" s="11" t="n">
        <f aca="false">(AA1024/(K1024*L1024)*25)*4</f>
        <v>4</v>
      </c>
    </row>
    <row r="1025" customFormat="false" ht="14.25" hidden="false" customHeight="false" outlineLevel="0" collapsed="false">
      <c r="A1025" s="1" t="n">
        <v>2009</v>
      </c>
      <c r="B1025" s="7" t="s">
        <v>322</v>
      </c>
      <c r="C1025" s="7" t="n">
        <v>2</v>
      </c>
      <c r="D1025" s="7" t="s">
        <v>293</v>
      </c>
      <c r="E1025" s="7" t="s">
        <v>293</v>
      </c>
      <c r="F1025" s="7" t="s">
        <v>110</v>
      </c>
      <c r="G1025" s="1" t="n">
        <v>1</v>
      </c>
      <c r="H1025" s="1" t="n">
        <v>2</v>
      </c>
      <c r="I1025" s="10" t="n">
        <v>39969</v>
      </c>
      <c r="J1025" s="10" t="n">
        <v>39974</v>
      </c>
      <c r="K1025" s="1" t="n">
        <v>5</v>
      </c>
      <c r="L1025" s="1" t="n">
        <v>5</v>
      </c>
      <c r="M1025" s="13" t="s">
        <v>32</v>
      </c>
      <c r="N1025" s="13" t="s">
        <v>96</v>
      </c>
      <c r="O1025" s="14" t="s">
        <v>97</v>
      </c>
      <c r="P1025" s="2" t="str">
        <f aca="false">CONCATENATE(N1025," ",O1025)</f>
        <v>Diplocephalus picinus</v>
      </c>
      <c r="Q1025" s="1" t="s">
        <v>30</v>
      </c>
      <c r="R1025" s="1" t="s">
        <v>31</v>
      </c>
      <c r="S1025" s="1" t="n">
        <v>2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0</v>
      </c>
      <c r="Y1025" s="3" t="n">
        <f aca="false">SUM(S1025:T1025)</f>
        <v>2</v>
      </c>
      <c r="Z1025" s="3" t="n">
        <f aca="false">SUM(U1025:W1025)</f>
        <v>0</v>
      </c>
      <c r="AA1025" s="3" t="n">
        <f aca="false">SUM(S1025:X1025)</f>
        <v>2</v>
      </c>
      <c r="AB1025" s="11" t="n">
        <f aca="false">(AA1025/(K1025*L1025)*25)*4</f>
        <v>8</v>
      </c>
    </row>
    <row r="1026" customFormat="false" ht="14.25" hidden="false" customHeight="false" outlineLevel="0" collapsed="false">
      <c r="A1026" s="1" t="n">
        <v>2009</v>
      </c>
      <c r="B1026" s="7" t="s">
        <v>322</v>
      </c>
      <c r="C1026" s="7" t="n">
        <v>2</v>
      </c>
      <c r="D1026" s="7" t="s">
        <v>293</v>
      </c>
      <c r="E1026" s="7" t="s">
        <v>293</v>
      </c>
      <c r="F1026" s="7" t="s">
        <v>110</v>
      </c>
      <c r="G1026" s="1" t="n">
        <v>1</v>
      </c>
      <c r="H1026" s="1" t="n">
        <v>3</v>
      </c>
      <c r="I1026" s="10" t="n">
        <v>39969</v>
      </c>
      <c r="J1026" s="10" t="n">
        <v>39974</v>
      </c>
      <c r="K1026" s="1" t="n">
        <v>5</v>
      </c>
      <c r="L1026" s="1" t="n">
        <v>5</v>
      </c>
      <c r="M1026" s="3" t="s">
        <v>48</v>
      </c>
      <c r="N1026" s="3" t="s">
        <v>49</v>
      </c>
      <c r="O1026" s="3" t="s">
        <v>130</v>
      </c>
      <c r="P1026" s="2" t="str">
        <f aca="false">CONCATENATE(N1026," ",O1026)</f>
        <v>Alopecosa aculeata</v>
      </c>
      <c r="Q1026" s="1" t="s">
        <v>30</v>
      </c>
      <c r="R1026" s="1" t="s">
        <v>31</v>
      </c>
      <c r="S1026" s="1" t="n">
        <v>2</v>
      </c>
      <c r="T1026" s="1" t="n">
        <v>0</v>
      </c>
      <c r="U1026" s="1" t="n">
        <v>0</v>
      </c>
      <c r="V1026" s="1" t="n">
        <v>0</v>
      </c>
      <c r="W1026" s="1" t="n">
        <v>0</v>
      </c>
      <c r="X1026" s="1" t="n">
        <v>0</v>
      </c>
      <c r="Y1026" s="3" t="n">
        <f aca="false">SUM(S1026:T1026)</f>
        <v>2</v>
      </c>
      <c r="Z1026" s="3" t="n">
        <f aca="false">SUM(U1026:W1026)</f>
        <v>0</v>
      </c>
      <c r="AA1026" s="3" t="n">
        <f aca="false">SUM(S1026:X1026)</f>
        <v>2</v>
      </c>
      <c r="AB1026" s="11" t="n">
        <f aca="false">(AA1026/(K1026*L1026)*25)*4</f>
        <v>8</v>
      </c>
    </row>
    <row r="1027" customFormat="false" ht="14.25" hidden="false" customHeight="false" outlineLevel="0" collapsed="false">
      <c r="A1027" s="1" t="n">
        <v>2009</v>
      </c>
      <c r="B1027" s="7" t="s">
        <v>322</v>
      </c>
      <c r="C1027" s="7" t="n">
        <v>2</v>
      </c>
      <c r="D1027" s="7" t="s">
        <v>293</v>
      </c>
      <c r="E1027" s="7" t="s">
        <v>293</v>
      </c>
      <c r="F1027" s="7" t="s">
        <v>110</v>
      </c>
      <c r="G1027" s="1" t="n">
        <v>1</v>
      </c>
      <c r="H1027" s="1" t="n">
        <v>3</v>
      </c>
      <c r="I1027" s="10" t="n">
        <v>39969</v>
      </c>
      <c r="J1027" s="10" t="n">
        <v>39974</v>
      </c>
      <c r="K1027" s="1" t="n">
        <v>5</v>
      </c>
      <c r="L1027" s="1" t="n">
        <v>5</v>
      </c>
      <c r="M1027" s="3" t="s">
        <v>48</v>
      </c>
      <c r="N1027" s="3" t="s">
        <v>49</v>
      </c>
      <c r="O1027" s="3" t="s">
        <v>130</v>
      </c>
      <c r="P1027" s="2" t="str">
        <f aca="false">CONCATENATE(N1027," ",O1027)</f>
        <v>Alopecosa aculeata</v>
      </c>
      <c r="Q1027" s="1" t="s">
        <v>30</v>
      </c>
      <c r="R1027" s="1" t="s">
        <v>35</v>
      </c>
      <c r="S1027" s="1" t="n">
        <v>0</v>
      </c>
      <c r="T1027" s="1" t="n">
        <v>1</v>
      </c>
      <c r="U1027" s="1" t="n">
        <v>0</v>
      </c>
      <c r="V1027" s="1" t="n">
        <v>0</v>
      </c>
      <c r="W1027" s="1" t="n">
        <v>0</v>
      </c>
      <c r="X1027" s="1" t="n">
        <v>0</v>
      </c>
      <c r="Y1027" s="3" t="n">
        <f aca="false">SUM(S1027:T1027)</f>
        <v>1</v>
      </c>
      <c r="Z1027" s="3" t="n">
        <f aca="false">SUM(U1027:W1027)</f>
        <v>0</v>
      </c>
      <c r="AA1027" s="3" t="n">
        <f aca="false">SUM(S1027:X1027)</f>
        <v>1</v>
      </c>
      <c r="AB1027" s="11" t="n">
        <f aca="false">(AA1027/(K1027*L1027)*25)*4</f>
        <v>4</v>
      </c>
    </row>
    <row r="1028" customFormat="false" ht="14.25" hidden="false" customHeight="false" outlineLevel="0" collapsed="false">
      <c r="A1028" s="1" t="n">
        <v>2009</v>
      </c>
      <c r="B1028" s="7" t="s">
        <v>322</v>
      </c>
      <c r="C1028" s="7" t="n">
        <v>2</v>
      </c>
      <c r="D1028" s="7" t="s">
        <v>293</v>
      </c>
      <c r="E1028" s="7" t="s">
        <v>293</v>
      </c>
      <c r="F1028" s="7" t="s">
        <v>110</v>
      </c>
      <c r="G1028" s="1" t="n">
        <v>1</v>
      </c>
      <c r="H1028" s="1" t="n">
        <v>3</v>
      </c>
      <c r="I1028" s="10" t="n">
        <v>39969</v>
      </c>
      <c r="J1028" s="10" t="n">
        <v>39974</v>
      </c>
      <c r="K1028" s="1" t="n">
        <v>5</v>
      </c>
      <c r="L1028" s="1" t="n">
        <v>5</v>
      </c>
      <c r="M1028" s="3" t="s">
        <v>72</v>
      </c>
      <c r="N1028" s="3" t="s">
        <v>86</v>
      </c>
      <c r="O1028" s="8" t="s">
        <v>87</v>
      </c>
      <c r="P1028" s="2" t="str">
        <f aca="false">CONCATENATE(N1028," ",O1028)</f>
        <v>Haplodrassus soerenseni</v>
      </c>
      <c r="Q1028" s="1" t="s">
        <v>30</v>
      </c>
      <c r="R1028" s="1" t="s">
        <v>31</v>
      </c>
      <c r="S1028" s="1" t="n">
        <v>1</v>
      </c>
      <c r="T1028" s="1" t="n">
        <v>0</v>
      </c>
      <c r="U1028" s="1" t="n">
        <v>0</v>
      </c>
      <c r="V1028" s="1" t="n">
        <v>0</v>
      </c>
      <c r="W1028" s="1" t="n">
        <v>0</v>
      </c>
      <c r="X1028" s="1" t="n">
        <v>0</v>
      </c>
      <c r="Y1028" s="3" t="n">
        <f aca="false">SUM(S1028:T1028)</f>
        <v>1</v>
      </c>
      <c r="Z1028" s="3" t="n">
        <f aca="false">SUM(U1028:W1028)</f>
        <v>0</v>
      </c>
      <c r="AA1028" s="3" t="n">
        <f aca="false">SUM(S1028:X1028)</f>
        <v>1</v>
      </c>
      <c r="AB1028" s="11" t="n">
        <f aca="false">(AA1028/(K1028*L1028)*25)*4</f>
        <v>4</v>
      </c>
    </row>
    <row r="1029" customFormat="false" ht="14.25" hidden="false" customHeight="false" outlineLevel="0" collapsed="false">
      <c r="A1029" s="1" t="n">
        <v>2009</v>
      </c>
      <c r="B1029" s="7" t="s">
        <v>322</v>
      </c>
      <c r="C1029" s="7" t="n">
        <v>2</v>
      </c>
      <c r="D1029" s="7" t="s">
        <v>293</v>
      </c>
      <c r="E1029" s="7" t="s">
        <v>293</v>
      </c>
      <c r="F1029" s="7" t="s">
        <v>110</v>
      </c>
      <c r="G1029" s="1" t="n">
        <v>1</v>
      </c>
      <c r="H1029" s="1" t="n">
        <v>3</v>
      </c>
      <c r="I1029" s="10" t="n">
        <v>39969</v>
      </c>
      <c r="J1029" s="10" t="n">
        <v>39974</v>
      </c>
      <c r="K1029" s="1" t="n">
        <v>5</v>
      </c>
      <c r="L1029" s="1" t="n">
        <v>5</v>
      </c>
      <c r="M1029" s="3" t="s">
        <v>72</v>
      </c>
      <c r="N1029" s="3" t="s">
        <v>73</v>
      </c>
      <c r="O1029" s="3" t="s">
        <v>74</v>
      </c>
      <c r="P1029" s="2" t="str">
        <f aca="false">CONCATENATE(N1029," ",O1029)</f>
        <v>Zelotes subterraneus</v>
      </c>
      <c r="Q1029" s="1" t="s">
        <v>30</v>
      </c>
      <c r="R1029" s="1" t="s">
        <v>35</v>
      </c>
      <c r="S1029" s="1" t="n">
        <v>0</v>
      </c>
      <c r="T1029" s="1" t="n">
        <v>1</v>
      </c>
      <c r="U1029" s="1" t="n">
        <v>0</v>
      </c>
      <c r="V1029" s="1" t="n">
        <v>0</v>
      </c>
      <c r="W1029" s="1" t="n">
        <v>0</v>
      </c>
      <c r="X1029" s="1" t="n">
        <v>0</v>
      </c>
      <c r="Y1029" s="3" t="n">
        <f aca="false">SUM(S1029:T1029)</f>
        <v>1</v>
      </c>
      <c r="Z1029" s="3" t="n">
        <f aca="false">SUM(U1029:W1029)</f>
        <v>0</v>
      </c>
      <c r="AA1029" s="3" t="n">
        <f aca="false">SUM(S1029:X1029)</f>
        <v>1</v>
      </c>
      <c r="AB1029" s="11" t="n">
        <f aca="false">(AA1029/(K1029*L1029)*25)*4</f>
        <v>4</v>
      </c>
    </row>
    <row r="1030" customFormat="false" ht="14.25" hidden="false" customHeight="false" outlineLevel="0" collapsed="false">
      <c r="A1030" s="1" t="n">
        <v>2009</v>
      </c>
      <c r="B1030" s="7" t="s">
        <v>322</v>
      </c>
      <c r="C1030" s="7" t="n">
        <v>2</v>
      </c>
      <c r="D1030" s="7" t="s">
        <v>293</v>
      </c>
      <c r="E1030" s="7" t="s">
        <v>293</v>
      </c>
      <c r="F1030" s="7" t="s">
        <v>110</v>
      </c>
      <c r="G1030" s="1" t="n">
        <v>1</v>
      </c>
      <c r="H1030" s="1" t="n">
        <v>3</v>
      </c>
      <c r="I1030" s="10" t="n">
        <v>39969</v>
      </c>
      <c r="J1030" s="10" t="n">
        <v>39974</v>
      </c>
      <c r="K1030" s="1" t="n">
        <v>5</v>
      </c>
      <c r="L1030" s="1" t="n">
        <v>5</v>
      </c>
      <c r="M1030" s="3" t="s">
        <v>36</v>
      </c>
      <c r="N1030" s="3" t="s">
        <v>131</v>
      </c>
      <c r="O1030" s="3" t="s">
        <v>133</v>
      </c>
      <c r="P1030" s="2" t="str">
        <f aca="false">CONCATENATE(N1030," ",O1030)</f>
        <v>Xysticus luctuosus</v>
      </c>
      <c r="Q1030" s="1" t="s">
        <v>30</v>
      </c>
      <c r="R1030" s="1" t="s">
        <v>31</v>
      </c>
      <c r="S1030" s="1" t="n">
        <v>3</v>
      </c>
      <c r="T1030" s="1" t="n">
        <v>0</v>
      </c>
      <c r="U1030" s="1" t="n">
        <v>0</v>
      </c>
      <c r="V1030" s="1" t="n">
        <v>0</v>
      </c>
      <c r="W1030" s="1" t="n">
        <v>0</v>
      </c>
      <c r="X1030" s="1" t="n">
        <v>0</v>
      </c>
      <c r="Y1030" s="3" t="n">
        <f aca="false">SUM(S1030:T1030)</f>
        <v>3</v>
      </c>
      <c r="Z1030" s="3" t="n">
        <f aca="false">SUM(U1030:W1030)</f>
        <v>0</v>
      </c>
      <c r="AA1030" s="3" t="n">
        <f aca="false">SUM(S1030:X1030)</f>
        <v>3</v>
      </c>
      <c r="AB1030" s="11" t="n">
        <f aca="false">(AA1030/(K1030*L1030)*25)*4</f>
        <v>12</v>
      </c>
    </row>
    <row r="1031" customFormat="false" ht="14.25" hidden="false" customHeight="false" outlineLevel="0" collapsed="false">
      <c r="A1031" s="1" t="n">
        <v>2009</v>
      </c>
      <c r="B1031" s="7" t="s">
        <v>322</v>
      </c>
      <c r="C1031" s="7" t="n">
        <v>2</v>
      </c>
      <c r="D1031" s="7" t="s">
        <v>293</v>
      </c>
      <c r="E1031" s="7" t="s">
        <v>293</v>
      </c>
      <c r="F1031" s="7" t="s">
        <v>110</v>
      </c>
      <c r="G1031" s="1" t="n">
        <v>1</v>
      </c>
      <c r="H1031" s="1" t="n">
        <v>3</v>
      </c>
      <c r="I1031" s="10" t="n">
        <v>39969</v>
      </c>
      <c r="J1031" s="10" t="n">
        <v>39974</v>
      </c>
      <c r="K1031" s="1" t="n">
        <v>5</v>
      </c>
      <c r="L1031" s="1" t="n">
        <v>5</v>
      </c>
      <c r="M1031" s="3" t="s">
        <v>36</v>
      </c>
      <c r="N1031" s="3" t="s">
        <v>131</v>
      </c>
      <c r="O1031" s="3" t="s">
        <v>133</v>
      </c>
      <c r="P1031" s="2" t="str">
        <f aca="false">CONCATENATE(N1031," ",O1031)</f>
        <v>Xysticus luctuosus</v>
      </c>
      <c r="Q1031" s="1" t="s">
        <v>30</v>
      </c>
      <c r="R1031" s="1" t="s">
        <v>35</v>
      </c>
      <c r="S1031" s="1" t="n">
        <v>0</v>
      </c>
      <c r="T1031" s="1" t="n">
        <v>1</v>
      </c>
      <c r="U1031" s="1" t="n">
        <v>0</v>
      </c>
      <c r="V1031" s="1" t="n">
        <v>0</v>
      </c>
      <c r="W1031" s="1" t="n">
        <v>0</v>
      </c>
      <c r="X1031" s="1" t="n">
        <v>0</v>
      </c>
      <c r="Y1031" s="3" t="n">
        <f aca="false">SUM(S1031:T1031)</f>
        <v>1</v>
      </c>
      <c r="Z1031" s="3" t="n">
        <f aca="false">SUM(U1031:W1031)</f>
        <v>0</v>
      </c>
      <c r="AA1031" s="3" t="n">
        <f aca="false">SUM(S1031:X1031)</f>
        <v>1</v>
      </c>
      <c r="AB1031" s="11" t="n">
        <f aca="false">(AA1031/(K1031*L1031)*25)*4</f>
        <v>4</v>
      </c>
    </row>
    <row r="1032" customFormat="false" ht="14.25" hidden="false" customHeight="false" outlineLevel="0" collapsed="false">
      <c r="A1032" s="1" t="n">
        <v>2009</v>
      </c>
      <c r="B1032" s="7" t="s">
        <v>322</v>
      </c>
      <c r="C1032" s="7" t="n">
        <v>2</v>
      </c>
      <c r="D1032" s="7" t="s">
        <v>293</v>
      </c>
      <c r="E1032" s="7" t="s">
        <v>293</v>
      </c>
      <c r="F1032" s="7" t="s">
        <v>110</v>
      </c>
      <c r="G1032" s="1" t="n">
        <v>1</v>
      </c>
      <c r="H1032" s="1" t="n">
        <v>3</v>
      </c>
      <c r="I1032" s="10" t="n">
        <v>39969</v>
      </c>
      <c r="J1032" s="10" t="n">
        <v>39974</v>
      </c>
      <c r="K1032" s="1" t="n">
        <v>5</v>
      </c>
      <c r="L1032" s="1" t="n">
        <v>5</v>
      </c>
      <c r="M1032" s="3" t="s">
        <v>52</v>
      </c>
      <c r="N1032" s="3" t="s">
        <v>213</v>
      </c>
      <c r="O1032" s="3" t="s">
        <v>214</v>
      </c>
      <c r="P1032" s="2" t="str">
        <f aca="false">CONCATENATE(N1032," ",O1032)</f>
        <v>Cercidia prominens</v>
      </c>
      <c r="Q1032" s="1" t="s">
        <v>30</v>
      </c>
      <c r="R1032" s="1" t="s">
        <v>31</v>
      </c>
      <c r="S1032" s="1" t="n">
        <v>1</v>
      </c>
      <c r="T1032" s="1" t="n">
        <v>0</v>
      </c>
      <c r="U1032" s="1" t="n">
        <v>0</v>
      </c>
      <c r="V1032" s="1" t="n">
        <v>0</v>
      </c>
      <c r="W1032" s="1" t="n">
        <v>0</v>
      </c>
      <c r="X1032" s="1" t="n">
        <v>0</v>
      </c>
      <c r="Y1032" s="3" t="n">
        <f aca="false">SUM(S1032:T1032)</f>
        <v>1</v>
      </c>
      <c r="Z1032" s="3" t="n">
        <f aca="false">SUM(U1032:W1032)</f>
        <v>0</v>
      </c>
      <c r="AA1032" s="3" t="n">
        <f aca="false">SUM(S1032:X1032)</f>
        <v>1</v>
      </c>
      <c r="AB1032" s="11" t="n">
        <f aca="false">(AA1032/(K1032*L1032)*25)*4</f>
        <v>4</v>
      </c>
    </row>
    <row r="1033" customFormat="false" ht="14.25" hidden="false" customHeight="false" outlineLevel="0" collapsed="false">
      <c r="A1033" s="1" t="n">
        <v>2009</v>
      </c>
      <c r="B1033" s="7" t="s">
        <v>322</v>
      </c>
      <c r="C1033" s="7" t="n">
        <v>2</v>
      </c>
      <c r="D1033" s="7" t="s">
        <v>293</v>
      </c>
      <c r="E1033" s="7" t="s">
        <v>293</v>
      </c>
      <c r="F1033" s="7" t="s">
        <v>110</v>
      </c>
      <c r="G1033" s="1" t="n">
        <v>1</v>
      </c>
      <c r="H1033" s="1" t="n">
        <v>3</v>
      </c>
      <c r="I1033" s="10" t="n">
        <v>39969</v>
      </c>
      <c r="J1033" s="10" t="n">
        <v>39974</v>
      </c>
      <c r="K1033" s="1" t="n">
        <v>5</v>
      </c>
      <c r="L1033" s="1" t="n">
        <v>5</v>
      </c>
      <c r="M1033" s="3" t="s">
        <v>32</v>
      </c>
      <c r="N1033" s="3" t="s">
        <v>55</v>
      </c>
      <c r="O1033" s="3" t="s">
        <v>194</v>
      </c>
      <c r="P1033" s="2" t="str">
        <f aca="false">CONCATENATE(N1033," ",O1033)</f>
        <v>Maro pansibiricus</v>
      </c>
      <c r="Q1033" s="1" t="s">
        <v>30</v>
      </c>
      <c r="R1033" s="1" t="s">
        <v>31</v>
      </c>
      <c r="S1033" s="1" t="n">
        <v>1</v>
      </c>
      <c r="T1033" s="1" t="n">
        <v>0</v>
      </c>
      <c r="U1033" s="1" t="n">
        <v>0</v>
      </c>
      <c r="V1033" s="1" t="n">
        <v>0</v>
      </c>
      <c r="W1033" s="1" t="n">
        <v>0</v>
      </c>
      <c r="X1033" s="1" t="n">
        <v>0</v>
      </c>
      <c r="Y1033" s="3" t="n">
        <f aca="false">SUM(S1033:T1033)</f>
        <v>1</v>
      </c>
      <c r="Z1033" s="3" t="n">
        <f aca="false">SUM(U1033:W1033)</f>
        <v>0</v>
      </c>
      <c r="AA1033" s="3" t="n">
        <f aca="false">SUM(S1033:X1033)</f>
        <v>1</v>
      </c>
      <c r="AB1033" s="11" t="n">
        <f aca="false">(AA1033/(K1033*L1033)*25)*4</f>
        <v>4</v>
      </c>
    </row>
    <row r="1034" customFormat="false" ht="14.25" hidden="false" customHeight="false" outlineLevel="0" collapsed="false">
      <c r="A1034" s="1" t="n">
        <v>2009</v>
      </c>
      <c r="B1034" s="7" t="s">
        <v>322</v>
      </c>
      <c r="C1034" s="7" t="n">
        <v>2</v>
      </c>
      <c r="D1034" s="7" t="s">
        <v>293</v>
      </c>
      <c r="E1034" s="7" t="s">
        <v>293</v>
      </c>
      <c r="F1034" s="7" t="s">
        <v>110</v>
      </c>
      <c r="G1034" s="1" t="n">
        <v>1</v>
      </c>
      <c r="H1034" s="1" t="n">
        <v>3</v>
      </c>
      <c r="I1034" s="10" t="n">
        <v>39969</v>
      </c>
      <c r="J1034" s="10" t="n">
        <v>39974</v>
      </c>
      <c r="K1034" s="1" t="n">
        <v>5</v>
      </c>
      <c r="L1034" s="1" t="n">
        <v>5</v>
      </c>
      <c r="M1034" s="3" t="s">
        <v>32</v>
      </c>
      <c r="N1034" s="3" t="s">
        <v>90</v>
      </c>
      <c r="O1034" s="3" t="s">
        <v>91</v>
      </c>
      <c r="P1034" s="2" t="str">
        <f aca="false">CONCATENATE(N1034," ",O1034)</f>
        <v>Tapinocyba insecta</v>
      </c>
      <c r="Q1034" s="1" t="s">
        <v>30</v>
      </c>
      <c r="R1034" s="1" t="s">
        <v>31</v>
      </c>
      <c r="S1034" s="1" t="n">
        <v>1</v>
      </c>
      <c r="T1034" s="1" t="n">
        <v>0</v>
      </c>
      <c r="U1034" s="1" t="n">
        <v>0</v>
      </c>
      <c r="V1034" s="1" t="n">
        <v>0</v>
      </c>
      <c r="W1034" s="1" t="n">
        <v>0</v>
      </c>
      <c r="X1034" s="1" t="n">
        <v>0</v>
      </c>
      <c r="Y1034" s="3" t="n">
        <f aca="false">SUM(S1034:T1034)</f>
        <v>1</v>
      </c>
      <c r="Z1034" s="3" t="n">
        <f aca="false">SUM(U1034:W1034)</f>
        <v>0</v>
      </c>
      <c r="AA1034" s="3" t="n">
        <f aca="false">SUM(S1034:X1034)</f>
        <v>1</v>
      </c>
      <c r="AB1034" s="11" t="n">
        <f aca="false">(AA1034/(K1034*L1034)*25)*4</f>
        <v>4</v>
      </c>
    </row>
    <row r="1035" customFormat="false" ht="14.25" hidden="false" customHeight="false" outlineLevel="0" collapsed="false">
      <c r="A1035" s="1" t="n">
        <v>2009</v>
      </c>
      <c r="B1035" s="7" t="s">
        <v>322</v>
      </c>
      <c r="C1035" s="7" t="n">
        <v>2</v>
      </c>
      <c r="D1035" s="7" t="s">
        <v>293</v>
      </c>
      <c r="E1035" s="7" t="s">
        <v>293</v>
      </c>
      <c r="F1035" s="7" t="s">
        <v>110</v>
      </c>
      <c r="G1035" s="1" t="n">
        <v>1</v>
      </c>
      <c r="H1035" s="1" t="n">
        <v>4</v>
      </c>
      <c r="I1035" s="10" t="n">
        <v>39969</v>
      </c>
      <c r="J1035" s="10" t="n">
        <v>39974</v>
      </c>
      <c r="K1035" s="1" t="n">
        <v>5</v>
      </c>
      <c r="L1035" s="1" t="n">
        <v>5</v>
      </c>
      <c r="M1035" s="3" t="s">
        <v>48</v>
      </c>
      <c r="N1035" s="3" t="s">
        <v>49</v>
      </c>
      <c r="O1035" s="3" t="s">
        <v>130</v>
      </c>
      <c r="P1035" s="2" t="str">
        <f aca="false">CONCATENATE(N1035," ",O1035)</f>
        <v>Alopecosa aculeata</v>
      </c>
      <c r="Q1035" s="1" t="s">
        <v>30</v>
      </c>
      <c r="R1035" s="1" t="s">
        <v>31</v>
      </c>
      <c r="S1035" s="1" t="n">
        <v>2</v>
      </c>
      <c r="T1035" s="1" t="n">
        <v>0</v>
      </c>
      <c r="U1035" s="1" t="n">
        <v>0</v>
      </c>
      <c r="V1035" s="1" t="n">
        <v>0</v>
      </c>
      <c r="W1035" s="1" t="n">
        <v>0</v>
      </c>
      <c r="X1035" s="1" t="n">
        <v>0</v>
      </c>
      <c r="Y1035" s="3" t="n">
        <f aca="false">SUM(S1035:T1035)</f>
        <v>2</v>
      </c>
      <c r="Z1035" s="3" t="n">
        <f aca="false">SUM(U1035:W1035)</f>
        <v>0</v>
      </c>
      <c r="AA1035" s="3" t="n">
        <f aca="false">SUM(S1035:X1035)</f>
        <v>2</v>
      </c>
      <c r="AB1035" s="11" t="n">
        <f aca="false">(AA1035/(K1035*L1035)*25)*4</f>
        <v>8</v>
      </c>
    </row>
    <row r="1036" customFormat="false" ht="14.25" hidden="false" customHeight="false" outlineLevel="0" collapsed="false">
      <c r="A1036" s="1" t="n">
        <v>2009</v>
      </c>
      <c r="B1036" s="7" t="s">
        <v>322</v>
      </c>
      <c r="C1036" s="7" t="n">
        <v>2</v>
      </c>
      <c r="D1036" s="7" t="s">
        <v>293</v>
      </c>
      <c r="E1036" s="7" t="s">
        <v>293</v>
      </c>
      <c r="F1036" s="7" t="s">
        <v>110</v>
      </c>
      <c r="G1036" s="1" t="n">
        <v>1</v>
      </c>
      <c r="H1036" s="1" t="n">
        <v>4</v>
      </c>
      <c r="I1036" s="10" t="n">
        <v>39969</v>
      </c>
      <c r="J1036" s="10" t="n">
        <v>39974</v>
      </c>
      <c r="K1036" s="1" t="n">
        <v>5</v>
      </c>
      <c r="L1036" s="1" t="n">
        <v>5</v>
      </c>
      <c r="M1036" s="3" t="s">
        <v>48</v>
      </c>
      <c r="N1036" s="3" t="s">
        <v>61</v>
      </c>
      <c r="O1036" s="3" t="s">
        <v>82</v>
      </c>
      <c r="P1036" s="2" t="str">
        <f aca="false">CONCATENATE(N1036," ",O1036)</f>
        <v>Trochosa terricola</v>
      </c>
      <c r="Q1036" s="1" t="s">
        <v>30</v>
      </c>
      <c r="R1036" s="1" t="s">
        <v>35</v>
      </c>
      <c r="S1036" s="1" t="n">
        <v>0</v>
      </c>
      <c r="T1036" s="1" t="n">
        <v>1</v>
      </c>
      <c r="U1036" s="1" t="n">
        <v>0</v>
      </c>
      <c r="V1036" s="1" t="n">
        <v>0</v>
      </c>
      <c r="W1036" s="1" t="n">
        <v>0</v>
      </c>
      <c r="X1036" s="1" t="n">
        <v>0</v>
      </c>
      <c r="Y1036" s="3" t="n">
        <f aca="false">SUM(S1036:T1036)</f>
        <v>1</v>
      </c>
      <c r="Z1036" s="3" t="n">
        <f aca="false">SUM(U1036:W1036)</f>
        <v>0</v>
      </c>
      <c r="AA1036" s="3" t="n">
        <f aca="false">SUM(S1036:X1036)</f>
        <v>1</v>
      </c>
      <c r="AB1036" s="11" t="n">
        <f aca="false">(AA1036/(K1036*L1036)*25)*4</f>
        <v>4</v>
      </c>
    </row>
    <row r="1037" customFormat="false" ht="14.25" hidden="false" customHeight="false" outlineLevel="0" collapsed="false">
      <c r="A1037" s="1" t="n">
        <v>2009</v>
      </c>
      <c r="B1037" s="7" t="s">
        <v>322</v>
      </c>
      <c r="C1037" s="7" t="n">
        <v>2</v>
      </c>
      <c r="D1037" s="7" t="s">
        <v>293</v>
      </c>
      <c r="E1037" s="7" t="s">
        <v>293</v>
      </c>
      <c r="F1037" s="7" t="s">
        <v>110</v>
      </c>
      <c r="G1037" s="1" t="n">
        <v>1</v>
      </c>
      <c r="H1037" s="1" t="n">
        <v>4</v>
      </c>
      <c r="I1037" s="10" t="n">
        <v>39969</v>
      </c>
      <c r="J1037" s="10" t="n">
        <v>39974</v>
      </c>
      <c r="K1037" s="1" t="n">
        <v>5</v>
      </c>
      <c r="L1037" s="1" t="n">
        <v>5</v>
      </c>
      <c r="M1037" s="3" t="s">
        <v>72</v>
      </c>
      <c r="N1037" s="3" t="s">
        <v>86</v>
      </c>
      <c r="O1037" s="8" t="s">
        <v>87</v>
      </c>
      <c r="P1037" s="2" t="str">
        <f aca="false">CONCATENATE(N1037," ",O1037)</f>
        <v>Haplodrassus soerenseni</v>
      </c>
      <c r="Q1037" s="1" t="s">
        <v>30</v>
      </c>
      <c r="R1037" s="1" t="s">
        <v>31</v>
      </c>
      <c r="S1037" s="1" t="n">
        <v>2</v>
      </c>
      <c r="T1037" s="1" t="n">
        <v>0</v>
      </c>
      <c r="U1037" s="1" t="n">
        <v>0</v>
      </c>
      <c r="V1037" s="1" t="n">
        <v>0</v>
      </c>
      <c r="W1037" s="1" t="n">
        <v>0</v>
      </c>
      <c r="X1037" s="1" t="n">
        <v>0</v>
      </c>
      <c r="Y1037" s="3" t="n">
        <f aca="false">SUM(S1037:T1037)</f>
        <v>2</v>
      </c>
      <c r="Z1037" s="3" t="n">
        <f aca="false">SUM(U1037:W1037)</f>
        <v>0</v>
      </c>
      <c r="AA1037" s="3" t="n">
        <f aca="false">SUM(S1037:X1037)</f>
        <v>2</v>
      </c>
      <c r="AB1037" s="11" t="n">
        <f aca="false">(AA1037/(K1037*L1037)*25)*4</f>
        <v>8</v>
      </c>
    </row>
    <row r="1038" customFormat="false" ht="14.25" hidden="false" customHeight="false" outlineLevel="0" collapsed="false">
      <c r="A1038" s="1" t="n">
        <v>2009</v>
      </c>
      <c r="B1038" s="7" t="s">
        <v>322</v>
      </c>
      <c r="C1038" s="7" t="n">
        <v>2</v>
      </c>
      <c r="D1038" s="7" t="s">
        <v>293</v>
      </c>
      <c r="E1038" s="7" t="s">
        <v>293</v>
      </c>
      <c r="F1038" s="7" t="s">
        <v>110</v>
      </c>
      <c r="G1038" s="1" t="n">
        <v>1</v>
      </c>
      <c r="H1038" s="1" t="n">
        <v>4</v>
      </c>
      <c r="I1038" s="10" t="n">
        <v>39969</v>
      </c>
      <c r="J1038" s="10" t="n">
        <v>39974</v>
      </c>
      <c r="K1038" s="1" t="n">
        <v>5</v>
      </c>
      <c r="L1038" s="1" t="n">
        <v>5</v>
      </c>
      <c r="M1038" s="3" t="s">
        <v>135</v>
      </c>
      <c r="N1038" s="3" t="s">
        <v>136</v>
      </c>
      <c r="O1038" s="3" t="s">
        <v>137</v>
      </c>
      <c r="P1038" s="2" t="str">
        <f aca="false">CONCATENATE(N1038," ",O1038)</f>
        <v>Thanatus sabulosus</v>
      </c>
      <c r="Q1038" s="1" t="s">
        <v>30</v>
      </c>
      <c r="R1038" s="1" t="s">
        <v>31</v>
      </c>
      <c r="S1038" s="1" t="n">
        <v>1</v>
      </c>
      <c r="T1038" s="1" t="n">
        <v>0</v>
      </c>
      <c r="U1038" s="1" t="n">
        <v>0</v>
      </c>
      <c r="V1038" s="1" t="n">
        <v>0</v>
      </c>
      <c r="W1038" s="1" t="n">
        <v>0</v>
      </c>
      <c r="X1038" s="1" t="n">
        <v>0</v>
      </c>
      <c r="Y1038" s="3" t="n">
        <f aca="false">SUM(S1038:T1038)</f>
        <v>1</v>
      </c>
      <c r="Z1038" s="3" t="n">
        <f aca="false">SUM(U1038:W1038)</f>
        <v>0</v>
      </c>
      <c r="AA1038" s="3" t="n">
        <f aca="false">SUM(S1038:X1038)</f>
        <v>1</v>
      </c>
      <c r="AB1038" s="11" t="n">
        <f aca="false">(AA1038/(K1038*L1038)*25)*4</f>
        <v>4</v>
      </c>
    </row>
    <row r="1039" customFormat="false" ht="14.25" hidden="false" customHeight="false" outlineLevel="0" collapsed="false">
      <c r="A1039" s="1" t="n">
        <v>2009</v>
      </c>
      <c r="B1039" s="7" t="s">
        <v>322</v>
      </c>
      <c r="C1039" s="7" t="n">
        <v>2</v>
      </c>
      <c r="D1039" s="7" t="s">
        <v>293</v>
      </c>
      <c r="E1039" s="7" t="s">
        <v>293</v>
      </c>
      <c r="F1039" s="7" t="s">
        <v>110</v>
      </c>
      <c r="G1039" s="1" t="n">
        <v>1</v>
      </c>
      <c r="H1039" s="1" t="n">
        <v>4</v>
      </c>
      <c r="I1039" s="10" t="n">
        <v>39969</v>
      </c>
      <c r="J1039" s="10" t="n">
        <v>39974</v>
      </c>
      <c r="K1039" s="1" t="n">
        <v>5</v>
      </c>
      <c r="L1039" s="1" t="n">
        <v>5</v>
      </c>
      <c r="M1039" s="3" t="s">
        <v>36</v>
      </c>
      <c r="N1039" s="3" t="s">
        <v>131</v>
      </c>
      <c r="O1039" s="3" t="s">
        <v>133</v>
      </c>
      <c r="P1039" s="2" t="str">
        <f aca="false">CONCATENATE(N1039," ",O1039)</f>
        <v>Xysticus luctuosus</v>
      </c>
      <c r="Q1039" s="1" t="s">
        <v>30</v>
      </c>
      <c r="R1039" s="1" t="s">
        <v>31</v>
      </c>
      <c r="S1039" s="1" t="n">
        <v>1</v>
      </c>
      <c r="T1039" s="1" t="n">
        <v>0</v>
      </c>
      <c r="U1039" s="1" t="n">
        <v>0</v>
      </c>
      <c r="V1039" s="1" t="n">
        <v>0</v>
      </c>
      <c r="W1039" s="1" t="n">
        <v>0</v>
      </c>
      <c r="X1039" s="1" t="n">
        <v>0</v>
      </c>
      <c r="Y1039" s="3" t="n">
        <f aca="false">SUM(S1039:T1039)</f>
        <v>1</v>
      </c>
      <c r="Z1039" s="3" t="n">
        <f aca="false">SUM(U1039:W1039)</f>
        <v>0</v>
      </c>
      <c r="AA1039" s="3" t="n">
        <f aca="false">SUM(S1039:X1039)</f>
        <v>1</v>
      </c>
      <c r="AB1039" s="11" t="n">
        <f aca="false">(AA1039/(K1039*L1039)*25)*4</f>
        <v>4</v>
      </c>
    </row>
    <row r="1040" customFormat="false" ht="14.25" hidden="false" customHeight="false" outlineLevel="0" collapsed="false">
      <c r="A1040" s="1" t="n">
        <v>2009</v>
      </c>
      <c r="B1040" s="7" t="s">
        <v>322</v>
      </c>
      <c r="C1040" s="7" t="n">
        <v>2</v>
      </c>
      <c r="D1040" s="7" t="s">
        <v>293</v>
      </c>
      <c r="E1040" s="7" t="s">
        <v>293</v>
      </c>
      <c r="F1040" s="7" t="s">
        <v>110</v>
      </c>
      <c r="G1040" s="1" t="n">
        <v>1</v>
      </c>
      <c r="H1040" s="1" t="n">
        <v>4</v>
      </c>
      <c r="I1040" s="10" t="n">
        <v>39969</v>
      </c>
      <c r="J1040" s="10" t="n">
        <v>39974</v>
      </c>
      <c r="K1040" s="1" t="n">
        <v>5</v>
      </c>
      <c r="L1040" s="1" t="n">
        <v>5</v>
      </c>
      <c r="M1040" s="13" t="s">
        <v>138</v>
      </c>
      <c r="N1040" s="13" t="s">
        <v>205</v>
      </c>
      <c r="O1040" s="14" t="s">
        <v>206</v>
      </c>
      <c r="P1040" s="2" t="str">
        <f aca="false">CONCATENATE(N1040," ",O1040)</f>
        <v>Clubiona caerulescens</v>
      </c>
      <c r="Q1040" s="1" t="s">
        <v>30</v>
      </c>
      <c r="R1040" s="1" t="s">
        <v>35</v>
      </c>
      <c r="S1040" s="1" t="n">
        <v>0</v>
      </c>
      <c r="T1040" s="1" t="n">
        <v>1</v>
      </c>
      <c r="U1040" s="1" t="n">
        <v>0</v>
      </c>
      <c r="V1040" s="1" t="n">
        <v>0</v>
      </c>
      <c r="W1040" s="1" t="n">
        <v>0</v>
      </c>
      <c r="X1040" s="1" t="n">
        <v>0</v>
      </c>
      <c r="Y1040" s="3" t="n">
        <f aca="false">SUM(S1040:T1040)</f>
        <v>1</v>
      </c>
      <c r="Z1040" s="3" t="n">
        <f aca="false">SUM(U1040:W1040)</f>
        <v>0</v>
      </c>
      <c r="AA1040" s="3" t="n">
        <f aca="false">SUM(S1040:X1040)</f>
        <v>1</v>
      </c>
      <c r="AB1040" s="11" t="n">
        <f aca="false">(AA1040/(K1040*L1040)*25)*4</f>
        <v>4</v>
      </c>
    </row>
    <row r="1041" customFormat="false" ht="14.25" hidden="false" customHeight="false" outlineLevel="0" collapsed="false">
      <c r="A1041" s="1" t="n">
        <v>2009</v>
      </c>
      <c r="B1041" s="7" t="s">
        <v>322</v>
      </c>
      <c r="C1041" s="7" t="n">
        <v>2</v>
      </c>
      <c r="D1041" s="7" t="s">
        <v>293</v>
      </c>
      <c r="E1041" s="7" t="s">
        <v>293</v>
      </c>
      <c r="F1041" s="7" t="s">
        <v>110</v>
      </c>
      <c r="G1041" s="1" t="n">
        <v>1</v>
      </c>
      <c r="H1041" s="1" t="n">
        <v>4</v>
      </c>
      <c r="I1041" s="10" t="n">
        <v>39969</v>
      </c>
      <c r="J1041" s="10" t="n">
        <v>39974</v>
      </c>
      <c r="K1041" s="1" t="n">
        <v>5</v>
      </c>
      <c r="L1041" s="1" t="n">
        <v>5</v>
      </c>
      <c r="M1041" s="3" t="s">
        <v>52</v>
      </c>
      <c r="N1041" s="3" t="s">
        <v>213</v>
      </c>
      <c r="O1041" s="3" t="s">
        <v>214</v>
      </c>
      <c r="P1041" s="2" t="str">
        <f aca="false">CONCATENATE(N1041," ",O1041)</f>
        <v>Cercidia prominens</v>
      </c>
      <c r="Q1041" s="1" t="s">
        <v>30</v>
      </c>
      <c r="R1041" s="1" t="s">
        <v>31</v>
      </c>
      <c r="S1041" s="1" t="n">
        <v>1</v>
      </c>
      <c r="T1041" s="1" t="n">
        <v>0</v>
      </c>
      <c r="U1041" s="1" t="n">
        <v>0</v>
      </c>
      <c r="V1041" s="1" t="n">
        <v>0</v>
      </c>
      <c r="W1041" s="1" t="n">
        <v>0</v>
      </c>
      <c r="X1041" s="1" t="n">
        <v>0</v>
      </c>
      <c r="Y1041" s="3" t="n">
        <f aca="false">SUM(S1041:T1041)</f>
        <v>1</v>
      </c>
      <c r="Z1041" s="3" t="n">
        <f aca="false">SUM(U1041:W1041)</f>
        <v>0</v>
      </c>
      <c r="AA1041" s="3" t="n">
        <f aca="false">SUM(S1041:X1041)</f>
        <v>1</v>
      </c>
      <c r="AB1041" s="11" t="n">
        <f aca="false">(AA1041/(K1041*L1041)*25)*4</f>
        <v>4</v>
      </c>
    </row>
    <row r="1042" customFormat="false" ht="14.25" hidden="false" customHeight="false" outlineLevel="0" collapsed="false">
      <c r="A1042" s="1" t="n">
        <v>2009</v>
      </c>
      <c r="B1042" s="7" t="s">
        <v>322</v>
      </c>
      <c r="C1042" s="7" t="n">
        <v>2</v>
      </c>
      <c r="D1042" s="7" t="s">
        <v>293</v>
      </c>
      <c r="E1042" s="7" t="s">
        <v>293</v>
      </c>
      <c r="F1042" s="7" t="s">
        <v>110</v>
      </c>
      <c r="G1042" s="1" t="n">
        <v>1</v>
      </c>
      <c r="H1042" s="1" t="n">
        <v>4</v>
      </c>
      <c r="I1042" s="10" t="n">
        <v>39969</v>
      </c>
      <c r="J1042" s="10" t="n">
        <v>39974</v>
      </c>
      <c r="K1042" s="1" t="n">
        <v>5</v>
      </c>
      <c r="L1042" s="1" t="n">
        <v>5</v>
      </c>
      <c r="M1042" s="3" t="s">
        <v>32</v>
      </c>
      <c r="N1042" s="3" t="s">
        <v>90</v>
      </c>
      <c r="O1042" s="3" t="s">
        <v>91</v>
      </c>
      <c r="P1042" s="2" t="str">
        <f aca="false">CONCATENATE(N1042," ",O1042)</f>
        <v>Tapinocyba insecta</v>
      </c>
      <c r="Q1042" s="1" t="s">
        <v>30</v>
      </c>
      <c r="R1042" s="1" t="s">
        <v>31</v>
      </c>
      <c r="S1042" s="1" t="n">
        <v>1</v>
      </c>
      <c r="T1042" s="1" t="n">
        <v>0</v>
      </c>
      <c r="U1042" s="1" t="n">
        <v>0</v>
      </c>
      <c r="V1042" s="1" t="n">
        <v>0</v>
      </c>
      <c r="W1042" s="1" t="n">
        <v>0</v>
      </c>
      <c r="X1042" s="1" t="n">
        <v>0</v>
      </c>
      <c r="Y1042" s="3" t="n">
        <f aca="false">SUM(S1042:T1042)</f>
        <v>1</v>
      </c>
      <c r="Z1042" s="3" t="n">
        <f aca="false">SUM(U1042:W1042)</f>
        <v>0</v>
      </c>
      <c r="AA1042" s="3" t="n">
        <f aca="false">SUM(S1042:X1042)</f>
        <v>1</v>
      </c>
      <c r="AB1042" s="11" t="n">
        <f aca="false">(AA1042/(K1042*L1042)*25)*4</f>
        <v>4</v>
      </c>
    </row>
    <row r="1043" customFormat="false" ht="14.25" hidden="false" customHeight="false" outlineLevel="0" collapsed="false">
      <c r="A1043" s="1" t="n">
        <v>2009</v>
      </c>
      <c r="B1043" s="7" t="s">
        <v>322</v>
      </c>
      <c r="C1043" s="7" t="n">
        <v>2</v>
      </c>
      <c r="D1043" s="7" t="s">
        <v>293</v>
      </c>
      <c r="E1043" s="7" t="s">
        <v>293</v>
      </c>
      <c r="F1043" s="7" t="s">
        <v>110</v>
      </c>
      <c r="G1043" s="1" t="n">
        <v>1</v>
      </c>
      <c r="H1043" s="1" t="n">
        <v>5</v>
      </c>
      <c r="I1043" s="10" t="n">
        <v>39969</v>
      </c>
      <c r="J1043" s="10" t="n">
        <v>39974</v>
      </c>
      <c r="K1043" s="1" t="n">
        <v>5</v>
      </c>
      <c r="L1043" s="1" t="n">
        <v>5</v>
      </c>
      <c r="M1043" s="3" t="s">
        <v>48</v>
      </c>
      <c r="N1043" s="3" t="s">
        <v>49</v>
      </c>
      <c r="O1043" s="3" t="s">
        <v>104</v>
      </c>
      <c r="P1043" s="2" t="str">
        <f aca="false">CONCATENATE(N1043," ",O1043)</f>
        <v>Alopecosa taeniata</v>
      </c>
      <c r="Q1043" s="1" t="s">
        <v>30</v>
      </c>
      <c r="R1043" s="1" t="s">
        <v>31</v>
      </c>
      <c r="S1043" s="1" t="n">
        <v>3</v>
      </c>
      <c r="T1043" s="1" t="n">
        <v>0</v>
      </c>
      <c r="U1043" s="1" t="n">
        <v>0</v>
      </c>
      <c r="V1043" s="1" t="n">
        <v>0</v>
      </c>
      <c r="W1043" s="1" t="n">
        <v>0</v>
      </c>
      <c r="X1043" s="1" t="n">
        <v>0</v>
      </c>
      <c r="Y1043" s="3" t="n">
        <f aca="false">SUM(S1043:T1043)</f>
        <v>3</v>
      </c>
      <c r="Z1043" s="3" t="n">
        <f aca="false">SUM(U1043:W1043)</f>
        <v>0</v>
      </c>
      <c r="AA1043" s="3" t="n">
        <f aca="false">SUM(S1043:X1043)</f>
        <v>3</v>
      </c>
      <c r="AB1043" s="11" t="n">
        <f aca="false">(AA1043/(K1043*L1043)*25)*4</f>
        <v>12</v>
      </c>
    </row>
    <row r="1044" customFormat="false" ht="14.25" hidden="false" customHeight="false" outlineLevel="0" collapsed="false">
      <c r="A1044" s="1" t="n">
        <v>2009</v>
      </c>
      <c r="B1044" s="7" t="s">
        <v>322</v>
      </c>
      <c r="C1044" s="7" t="n">
        <v>2</v>
      </c>
      <c r="D1044" s="7" t="s">
        <v>293</v>
      </c>
      <c r="E1044" s="7" t="s">
        <v>293</v>
      </c>
      <c r="F1044" s="7" t="s">
        <v>110</v>
      </c>
      <c r="G1044" s="1" t="n">
        <v>1</v>
      </c>
      <c r="H1044" s="1" t="n">
        <v>5</v>
      </c>
      <c r="I1044" s="10" t="n">
        <v>39969</v>
      </c>
      <c r="J1044" s="10" t="n">
        <v>39974</v>
      </c>
      <c r="K1044" s="1" t="n">
        <v>5</v>
      </c>
      <c r="L1044" s="1" t="n">
        <v>5</v>
      </c>
      <c r="M1044" s="3" t="s">
        <v>72</v>
      </c>
      <c r="N1044" s="3" t="s">
        <v>86</v>
      </c>
      <c r="O1044" s="8" t="s">
        <v>87</v>
      </c>
      <c r="P1044" s="2" t="str">
        <f aca="false">CONCATENATE(N1044," ",O1044)</f>
        <v>Haplodrassus soerenseni</v>
      </c>
      <c r="Q1044" s="1" t="s">
        <v>30</v>
      </c>
      <c r="R1044" s="1" t="s">
        <v>31</v>
      </c>
      <c r="S1044" s="1" t="n">
        <v>1</v>
      </c>
      <c r="T1044" s="1" t="n">
        <v>0</v>
      </c>
      <c r="U1044" s="1" t="n">
        <v>0</v>
      </c>
      <c r="V1044" s="1" t="n">
        <v>0</v>
      </c>
      <c r="W1044" s="1" t="n">
        <v>0</v>
      </c>
      <c r="X1044" s="1" t="n">
        <v>0</v>
      </c>
      <c r="Y1044" s="3" t="n">
        <f aca="false">SUM(S1044:T1044)</f>
        <v>1</v>
      </c>
      <c r="Z1044" s="3" t="n">
        <f aca="false">SUM(U1044:W1044)</f>
        <v>0</v>
      </c>
      <c r="AA1044" s="3" t="n">
        <f aca="false">SUM(S1044:X1044)</f>
        <v>1</v>
      </c>
      <c r="AB1044" s="11" t="n">
        <f aca="false">(AA1044/(K1044*L1044)*25)*4</f>
        <v>4</v>
      </c>
    </row>
    <row r="1045" customFormat="false" ht="14.25" hidden="false" customHeight="false" outlineLevel="0" collapsed="false">
      <c r="A1045" s="1" t="n">
        <v>2009</v>
      </c>
      <c r="B1045" s="7" t="s">
        <v>322</v>
      </c>
      <c r="C1045" s="7" t="n">
        <v>2</v>
      </c>
      <c r="D1045" s="7" t="s">
        <v>293</v>
      </c>
      <c r="E1045" s="7" t="s">
        <v>293</v>
      </c>
      <c r="F1045" s="7" t="s">
        <v>110</v>
      </c>
      <c r="G1045" s="1" t="n">
        <v>1</v>
      </c>
      <c r="H1045" s="1" t="n">
        <v>5</v>
      </c>
      <c r="I1045" s="10" t="n">
        <v>39969</v>
      </c>
      <c r="J1045" s="10" t="n">
        <v>39974</v>
      </c>
      <c r="K1045" s="1" t="n">
        <v>5</v>
      </c>
      <c r="L1045" s="1" t="n">
        <v>5</v>
      </c>
      <c r="M1045" s="3" t="s">
        <v>64</v>
      </c>
      <c r="N1045" s="3" t="s">
        <v>65</v>
      </c>
      <c r="O1045" s="3" t="s">
        <v>123</v>
      </c>
      <c r="P1045" s="2" t="str">
        <f aca="false">CONCATENATE(N1045," ",O1045)</f>
        <v>Zora nemoralis</v>
      </c>
      <c r="Q1045" s="1" t="s">
        <v>30</v>
      </c>
      <c r="R1045" s="1" t="s">
        <v>31</v>
      </c>
      <c r="S1045" s="1" t="n">
        <v>1</v>
      </c>
      <c r="T1045" s="1" t="n">
        <v>0</v>
      </c>
      <c r="U1045" s="1" t="n">
        <v>0</v>
      </c>
      <c r="V1045" s="1" t="n">
        <v>0</v>
      </c>
      <c r="W1045" s="1" t="n">
        <v>0</v>
      </c>
      <c r="X1045" s="1" t="n">
        <v>0</v>
      </c>
      <c r="Y1045" s="3" t="n">
        <f aca="false">SUM(S1045:T1045)</f>
        <v>1</v>
      </c>
      <c r="Z1045" s="3" t="n">
        <f aca="false">SUM(U1045:W1045)</f>
        <v>0</v>
      </c>
      <c r="AA1045" s="3" t="n">
        <f aca="false">SUM(S1045:X1045)</f>
        <v>1</v>
      </c>
      <c r="AB1045" s="11" t="n">
        <f aca="false">(AA1045/(K1045*L1045)*25)*4</f>
        <v>4</v>
      </c>
    </row>
    <row r="1046" customFormat="false" ht="14.25" hidden="false" customHeight="false" outlineLevel="0" collapsed="false">
      <c r="A1046" s="1" t="n">
        <v>2009</v>
      </c>
      <c r="B1046" s="7" t="s">
        <v>322</v>
      </c>
      <c r="C1046" s="7" t="n">
        <v>2</v>
      </c>
      <c r="D1046" s="7" t="s">
        <v>293</v>
      </c>
      <c r="E1046" s="7" t="s">
        <v>293</v>
      </c>
      <c r="F1046" s="7" t="s">
        <v>110</v>
      </c>
      <c r="G1046" s="1" t="n">
        <v>1</v>
      </c>
      <c r="H1046" s="1" t="n">
        <v>5</v>
      </c>
      <c r="I1046" s="10" t="n">
        <v>39969</v>
      </c>
      <c r="J1046" s="10" t="n">
        <v>39974</v>
      </c>
      <c r="K1046" s="1" t="n">
        <v>5</v>
      </c>
      <c r="L1046" s="1" t="n">
        <v>5</v>
      </c>
      <c r="M1046" s="3" t="s">
        <v>36</v>
      </c>
      <c r="N1046" s="3" t="s">
        <v>37</v>
      </c>
      <c r="O1046" s="8" t="s">
        <v>75</v>
      </c>
      <c r="P1046" s="2" t="str">
        <f aca="false">CONCATENATE(N1046," ",O1046)</f>
        <v>Ozyptila praticola</v>
      </c>
      <c r="Q1046" s="1" t="s">
        <v>30</v>
      </c>
      <c r="R1046" s="1" t="s">
        <v>31</v>
      </c>
      <c r="S1046" s="1" t="n">
        <v>1</v>
      </c>
      <c r="T1046" s="1" t="n">
        <v>0</v>
      </c>
      <c r="U1046" s="1" t="n">
        <v>0</v>
      </c>
      <c r="V1046" s="1" t="n">
        <v>0</v>
      </c>
      <c r="W1046" s="1" t="n">
        <v>0</v>
      </c>
      <c r="X1046" s="1" t="n">
        <v>0</v>
      </c>
      <c r="Y1046" s="3" t="n">
        <f aca="false">SUM(S1046:T1046)</f>
        <v>1</v>
      </c>
      <c r="Z1046" s="3" t="n">
        <f aca="false">SUM(U1046:W1046)</f>
        <v>0</v>
      </c>
      <c r="AA1046" s="3" t="n">
        <f aca="false">SUM(S1046:X1046)</f>
        <v>1</v>
      </c>
      <c r="AB1046" s="11" t="n">
        <f aca="false">(AA1046/(K1046*L1046)*25)*4</f>
        <v>4</v>
      </c>
    </row>
    <row r="1047" customFormat="false" ht="14.25" hidden="false" customHeight="false" outlineLevel="0" collapsed="false">
      <c r="A1047" s="1" t="n">
        <v>2009</v>
      </c>
      <c r="B1047" s="7" t="s">
        <v>322</v>
      </c>
      <c r="C1047" s="7" t="n">
        <v>2</v>
      </c>
      <c r="D1047" s="7" t="s">
        <v>293</v>
      </c>
      <c r="E1047" s="7" t="s">
        <v>293</v>
      </c>
      <c r="F1047" s="7" t="s">
        <v>110</v>
      </c>
      <c r="G1047" s="1" t="n">
        <v>1</v>
      </c>
      <c r="H1047" s="1" t="n">
        <v>5</v>
      </c>
      <c r="I1047" s="10" t="n">
        <v>39969</v>
      </c>
      <c r="J1047" s="10" t="n">
        <v>39974</v>
      </c>
      <c r="K1047" s="1" t="n">
        <v>5</v>
      </c>
      <c r="L1047" s="1" t="n">
        <v>5</v>
      </c>
      <c r="M1047" s="3" t="s">
        <v>36</v>
      </c>
      <c r="N1047" s="3" t="s">
        <v>131</v>
      </c>
      <c r="O1047" s="3" t="s">
        <v>133</v>
      </c>
      <c r="P1047" s="2" t="str">
        <f aca="false">CONCATENATE(N1047," ",O1047)</f>
        <v>Xysticus luctuosus</v>
      </c>
      <c r="Q1047" s="1" t="s">
        <v>30</v>
      </c>
      <c r="R1047" s="1" t="s">
        <v>31</v>
      </c>
      <c r="S1047" s="1" t="n">
        <v>2</v>
      </c>
      <c r="T1047" s="1" t="n">
        <v>0</v>
      </c>
      <c r="U1047" s="1" t="n">
        <v>0</v>
      </c>
      <c r="V1047" s="1" t="n">
        <v>0</v>
      </c>
      <c r="W1047" s="1" t="n">
        <v>0</v>
      </c>
      <c r="X1047" s="1" t="n">
        <v>0</v>
      </c>
      <c r="Y1047" s="3" t="n">
        <f aca="false">SUM(S1047:T1047)</f>
        <v>2</v>
      </c>
      <c r="Z1047" s="3" t="n">
        <f aca="false">SUM(U1047:W1047)</f>
        <v>0</v>
      </c>
      <c r="AA1047" s="3" t="n">
        <f aca="false">SUM(S1047:X1047)</f>
        <v>2</v>
      </c>
      <c r="AB1047" s="11" t="n">
        <f aca="false">(AA1047/(K1047*L1047)*25)*4</f>
        <v>8</v>
      </c>
    </row>
    <row r="1048" customFormat="false" ht="14.25" hidden="false" customHeight="false" outlineLevel="0" collapsed="false">
      <c r="A1048" s="1" t="n">
        <v>2009</v>
      </c>
      <c r="B1048" s="7" t="s">
        <v>322</v>
      </c>
      <c r="C1048" s="7" t="n">
        <v>2</v>
      </c>
      <c r="D1048" s="7" t="s">
        <v>293</v>
      </c>
      <c r="E1048" s="7" t="s">
        <v>293</v>
      </c>
      <c r="F1048" s="7" t="s">
        <v>110</v>
      </c>
      <c r="G1048" s="1" t="n">
        <v>1</v>
      </c>
      <c r="H1048" s="1" t="n">
        <v>5</v>
      </c>
      <c r="I1048" s="10" t="n">
        <v>39969</v>
      </c>
      <c r="J1048" s="10" t="n">
        <v>39974</v>
      </c>
      <c r="K1048" s="1" t="n">
        <v>5</v>
      </c>
      <c r="L1048" s="1" t="n">
        <v>5</v>
      </c>
      <c r="M1048" s="3" t="s">
        <v>32</v>
      </c>
      <c r="N1048" s="3" t="s">
        <v>90</v>
      </c>
      <c r="O1048" s="3" t="s">
        <v>91</v>
      </c>
      <c r="P1048" s="2" t="str">
        <f aca="false">CONCATENATE(N1048," ",O1048)</f>
        <v>Tapinocyba insecta</v>
      </c>
      <c r="Q1048" s="1" t="s">
        <v>30</v>
      </c>
      <c r="R1048" s="1" t="s">
        <v>31</v>
      </c>
      <c r="S1048" s="1" t="n">
        <v>1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0</v>
      </c>
      <c r="Y1048" s="3" t="n">
        <f aca="false">SUM(S1048:T1048)</f>
        <v>1</v>
      </c>
      <c r="Z1048" s="3" t="n">
        <f aca="false">SUM(U1048:W1048)</f>
        <v>0</v>
      </c>
      <c r="AA1048" s="3" t="n">
        <f aca="false">SUM(S1048:X1048)</f>
        <v>1</v>
      </c>
      <c r="AB1048" s="11" t="n">
        <f aca="false">(AA1048/(K1048*L1048)*25)*4</f>
        <v>4</v>
      </c>
    </row>
    <row r="1049" customFormat="false" ht="14.25" hidden="false" customHeight="false" outlineLevel="0" collapsed="false">
      <c r="A1049" s="1" t="n">
        <v>2009</v>
      </c>
      <c r="B1049" s="7" t="s">
        <v>322</v>
      </c>
      <c r="C1049" s="7" t="n">
        <v>2</v>
      </c>
      <c r="D1049" s="7" t="s">
        <v>293</v>
      </c>
      <c r="E1049" s="7" t="s">
        <v>293</v>
      </c>
      <c r="F1049" s="7" t="s">
        <v>110</v>
      </c>
      <c r="G1049" s="1" t="n">
        <v>1</v>
      </c>
      <c r="H1049" s="1" t="n">
        <v>5</v>
      </c>
      <c r="I1049" s="10" t="n">
        <v>39969</v>
      </c>
      <c r="J1049" s="10" t="n">
        <v>39974</v>
      </c>
      <c r="K1049" s="1" t="n">
        <v>5</v>
      </c>
      <c r="L1049" s="1" t="n">
        <v>5</v>
      </c>
      <c r="M1049" s="3" t="s">
        <v>32</v>
      </c>
      <c r="N1049" s="3" t="s">
        <v>68</v>
      </c>
      <c r="O1049" s="3" t="s">
        <v>178</v>
      </c>
      <c r="P1049" s="2" t="str">
        <f aca="false">CONCATENATE(N1049," ",O1049)</f>
        <v>Centromerus brevipalpus</v>
      </c>
      <c r="Q1049" s="1" t="s">
        <v>30</v>
      </c>
      <c r="R1049" s="1" t="s">
        <v>35</v>
      </c>
      <c r="S1049" s="1" t="n">
        <v>0</v>
      </c>
      <c r="T1049" s="1" t="n">
        <v>1</v>
      </c>
      <c r="U1049" s="1" t="n">
        <v>0</v>
      </c>
      <c r="V1049" s="1" t="n">
        <v>0</v>
      </c>
      <c r="W1049" s="1" t="n">
        <v>0</v>
      </c>
      <c r="X1049" s="1" t="n">
        <v>0</v>
      </c>
      <c r="Y1049" s="3" t="n">
        <f aca="false">SUM(S1049:T1049)</f>
        <v>1</v>
      </c>
      <c r="Z1049" s="3" t="n">
        <f aca="false">SUM(U1049:W1049)</f>
        <v>0</v>
      </c>
      <c r="AA1049" s="3" t="n">
        <f aca="false">SUM(S1049:X1049)</f>
        <v>1</v>
      </c>
      <c r="AB1049" s="11" t="n">
        <f aca="false">(AA1049/(K1049*L1049)*25)*4</f>
        <v>4</v>
      </c>
    </row>
    <row r="1050" customFormat="false" ht="14.25" hidden="false" customHeight="false" outlineLevel="0" collapsed="false">
      <c r="A1050" s="1" t="n">
        <v>2009</v>
      </c>
      <c r="B1050" s="7" t="s">
        <v>322</v>
      </c>
      <c r="C1050" s="7" t="n">
        <v>2</v>
      </c>
      <c r="D1050" s="7" t="s">
        <v>293</v>
      </c>
      <c r="E1050" s="7" t="s">
        <v>293</v>
      </c>
      <c r="F1050" s="7" t="s">
        <v>110</v>
      </c>
      <c r="G1050" s="1" t="n">
        <v>2</v>
      </c>
      <c r="H1050" s="1" t="n">
        <v>6</v>
      </c>
      <c r="I1050" s="10" t="n">
        <v>39969</v>
      </c>
      <c r="J1050" s="10" t="n">
        <v>39974</v>
      </c>
      <c r="K1050" s="1" t="n">
        <v>5</v>
      </c>
      <c r="L1050" s="1" t="n">
        <v>5</v>
      </c>
      <c r="M1050" s="3" t="s">
        <v>48</v>
      </c>
      <c r="N1050" s="3" t="s">
        <v>49</v>
      </c>
      <c r="O1050" s="3" t="s">
        <v>104</v>
      </c>
      <c r="P1050" s="2" t="str">
        <f aca="false">CONCATENATE(N1050," ",O1050)</f>
        <v>Alopecosa taeniata</v>
      </c>
      <c r="Q1050" s="1" t="s">
        <v>30</v>
      </c>
      <c r="R1050" s="1" t="s">
        <v>31</v>
      </c>
      <c r="S1050" s="1" t="n">
        <v>1</v>
      </c>
      <c r="T1050" s="1" t="n">
        <v>0</v>
      </c>
      <c r="U1050" s="1" t="n">
        <v>0</v>
      </c>
      <c r="V1050" s="1" t="n">
        <v>0</v>
      </c>
      <c r="W1050" s="1" t="n">
        <v>0</v>
      </c>
      <c r="X1050" s="1" t="n">
        <v>0</v>
      </c>
      <c r="Y1050" s="3" t="n">
        <f aca="false">SUM(S1050:T1050)</f>
        <v>1</v>
      </c>
      <c r="Z1050" s="3" t="n">
        <f aca="false">SUM(U1050:W1050)</f>
        <v>0</v>
      </c>
      <c r="AA1050" s="3" t="n">
        <f aca="false">SUM(S1050:X1050)</f>
        <v>1</v>
      </c>
      <c r="AB1050" s="11" t="n">
        <f aca="false">(AA1050/(K1050*L1050)*25)*4</f>
        <v>4</v>
      </c>
    </row>
    <row r="1051" customFormat="false" ht="14.25" hidden="false" customHeight="false" outlineLevel="0" collapsed="false">
      <c r="A1051" s="1" t="n">
        <v>2009</v>
      </c>
      <c r="B1051" s="7" t="s">
        <v>322</v>
      </c>
      <c r="C1051" s="7" t="n">
        <v>2</v>
      </c>
      <c r="D1051" s="7" t="s">
        <v>293</v>
      </c>
      <c r="E1051" s="7" t="s">
        <v>293</v>
      </c>
      <c r="F1051" s="7" t="s">
        <v>110</v>
      </c>
      <c r="G1051" s="1" t="n">
        <v>2</v>
      </c>
      <c r="H1051" s="1" t="n">
        <v>6</v>
      </c>
      <c r="I1051" s="10" t="n">
        <v>39969</v>
      </c>
      <c r="J1051" s="10" t="n">
        <v>39974</v>
      </c>
      <c r="K1051" s="1" t="n">
        <v>5</v>
      </c>
      <c r="L1051" s="1" t="n">
        <v>5</v>
      </c>
      <c r="M1051" s="3" t="s">
        <v>48</v>
      </c>
      <c r="N1051" s="3" t="s">
        <v>49</v>
      </c>
      <c r="O1051" s="3" t="s">
        <v>130</v>
      </c>
      <c r="P1051" s="2" t="str">
        <f aca="false">CONCATENATE(N1051," ",O1051)</f>
        <v>Alopecosa aculeata</v>
      </c>
      <c r="Q1051" s="1" t="s">
        <v>30</v>
      </c>
      <c r="R1051" s="1" t="s">
        <v>31</v>
      </c>
      <c r="S1051" s="1" t="n">
        <v>2</v>
      </c>
      <c r="T1051" s="1" t="n">
        <v>0</v>
      </c>
      <c r="U1051" s="1" t="n">
        <v>0</v>
      </c>
      <c r="V1051" s="1" t="n">
        <v>0</v>
      </c>
      <c r="W1051" s="1" t="n">
        <v>0</v>
      </c>
      <c r="X1051" s="1" t="n">
        <v>0</v>
      </c>
      <c r="Y1051" s="3" t="n">
        <f aca="false">SUM(S1051:T1051)</f>
        <v>2</v>
      </c>
      <c r="Z1051" s="3" t="n">
        <f aca="false">SUM(U1051:W1051)</f>
        <v>0</v>
      </c>
      <c r="AA1051" s="3" t="n">
        <f aca="false">SUM(S1051:X1051)</f>
        <v>2</v>
      </c>
      <c r="AB1051" s="11" t="n">
        <f aca="false">(AA1051/(K1051*L1051)*25)*4</f>
        <v>8</v>
      </c>
    </row>
    <row r="1052" customFormat="false" ht="14.25" hidden="false" customHeight="false" outlineLevel="0" collapsed="false">
      <c r="A1052" s="1" t="n">
        <v>2009</v>
      </c>
      <c r="B1052" s="7" t="s">
        <v>322</v>
      </c>
      <c r="C1052" s="7" t="n">
        <v>2</v>
      </c>
      <c r="D1052" s="7" t="s">
        <v>293</v>
      </c>
      <c r="E1052" s="7" t="s">
        <v>293</v>
      </c>
      <c r="F1052" s="7" t="s">
        <v>110</v>
      </c>
      <c r="G1052" s="1" t="n">
        <v>2</v>
      </c>
      <c r="H1052" s="1" t="n">
        <v>6</v>
      </c>
      <c r="I1052" s="10" t="n">
        <v>39969</v>
      </c>
      <c r="J1052" s="10" t="n">
        <v>39974</v>
      </c>
      <c r="K1052" s="1" t="n">
        <v>5</v>
      </c>
      <c r="L1052" s="1" t="n">
        <v>5</v>
      </c>
      <c r="M1052" s="3" t="s">
        <v>48</v>
      </c>
      <c r="N1052" s="3" t="s">
        <v>67</v>
      </c>
      <c r="O1052" s="3" t="s">
        <v>127</v>
      </c>
      <c r="P1052" s="2" t="str">
        <f aca="false">CONCATENATE(N1052," ",O1052)</f>
        <v>Pardosa lugubris</v>
      </c>
      <c r="Q1052" s="1" t="s">
        <v>30</v>
      </c>
      <c r="R1052" s="1" t="s">
        <v>31</v>
      </c>
      <c r="S1052" s="1" t="n">
        <v>1</v>
      </c>
      <c r="T1052" s="1" t="n">
        <v>0</v>
      </c>
      <c r="U1052" s="1" t="n">
        <v>0</v>
      </c>
      <c r="V1052" s="1" t="n">
        <v>0</v>
      </c>
      <c r="W1052" s="1" t="n">
        <v>0</v>
      </c>
      <c r="X1052" s="1" t="n">
        <v>0</v>
      </c>
      <c r="Y1052" s="3" t="n">
        <f aca="false">SUM(S1052:T1052)</f>
        <v>1</v>
      </c>
      <c r="Z1052" s="3" t="n">
        <f aca="false">SUM(U1052:W1052)</f>
        <v>0</v>
      </c>
      <c r="AA1052" s="3" t="n">
        <f aca="false">SUM(S1052:X1052)</f>
        <v>1</v>
      </c>
      <c r="AB1052" s="11" t="n">
        <f aca="false">(AA1052/(K1052*L1052)*25)*4</f>
        <v>4</v>
      </c>
    </row>
    <row r="1053" customFormat="false" ht="14.25" hidden="false" customHeight="false" outlineLevel="0" collapsed="false">
      <c r="A1053" s="1" t="n">
        <v>2009</v>
      </c>
      <c r="B1053" s="7" t="s">
        <v>322</v>
      </c>
      <c r="C1053" s="7" t="n">
        <v>2</v>
      </c>
      <c r="D1053" s="7" t="s">
        <v>293</v>
      </c>
      <c r="E1053" s="7" t="s">
        <v>293</v>
      </c>
      <c r="F1053" s="7" t="s">
        <v>110</v>
      </c>
      <c r="G1053" s="1" t="n">
        <v>2</v>
      </c>
      <c r="H1053" s="1" t="n">
        <v>6</v>
      </c>
      <c r="I1053" s="10" t="n">
        <v>39969</v>
      </c>
      <c r="J1053" s="10" t="n">
        <v>39974</v>
      </c>
      <c r="K1053" s="1" t="n">
        <v>5</v>
      </c>
      <c r="L1053" s="1" t="n">
        <v>5</v>
      </c>
      <c r="M1053" s="3" t="s">
        <v>36</v>
      </c>
      <c r="N1053" s="3" t="s">
        <v>131</v>
      </c>
      <c r="O1053" s="3" t="s">
        <v>133</v>
      </c>
      <c r="P1053" s="2" t="str">
        <f aca="false">CONCATENATE(N1053," ",O1053)</f>
        <v>Xysticus luctuosus</v>
      </c>
      <c r="Q1053" s="1" t="s">
        <v>30</v>
      </c>
      <c r="R1053" s="1" t="s">
        <v>31</v>
      </c>
      <c r="S1053" s="1" t="n">
        <v>4</v>
      </c>
      <c r="T1053" s="1" t="n">
        <v>0</v>
      </c>
      <c r="U1053" s="1" t="n">
        <v>0</v>
      </c>
      <c r="V1053" s="1" t="n">
        <v>0</v>
      </c>
      <c r="W1053" s="1" t="n">
        <v>0</v>
      </c>
      <c r="X1053" s="1" t="n">
        <v>0</v>
      </c>
      <c r="Y1053" s="3" t="n">
        <f aca="false">SUM(S1053:T1053)</f>
        <v>4</v>
      </c>
      <c r="Z1053" s="3" t="n">
        <f aca="false">SUM(U1053:W1053)</f>
        <v>0</v>
      </c>
      <c r="AA1053" s="3" t="n">
        <f aca="false">SUM(S1053:X1053)</f>
        <v>4</v>
      </c>
      <c r="AB1053" s="11" t="n">
        <f aca="false">(AA1053/(K1053*L1053)*25)*4</f>
        <v>16</v>
      </c>
    </row>
    <row r="1054" customFormat="false" ht="14.25" hidden="false" customHeight="false" outlineLevel="0" collapsed="false">
      <c r="A1054" s="1" t="n">
        <v>2009</v>
      </c>
      <c r="B1054" s="7" t="s">
        <v>322</v>
      </c>
      <c r="C1054" s="7" t="n">
        <v>2</v>
      </c>
      <c r="D1054" s="7" t="s">
        <v>293</v>
      </c>
      <c r="E1054" s="7" t="s">
        <v>293</v>
      </c>
      <c r="F1054" s="7" t="s">
        <v>110</v>
      </c>
      <c r="G1054" s="1" t="n">
        <v>2</v>
      </c>
      <c r="H1054" s="1" t="n">
        <v>6</v>
      </c>
      <c r="I1054" s="10" t="n">
        <v>39969</v>
      </c>
      <c r="J1054" s="10" t="n">
        <v>39974</v>
      </c>
      <c r="K1054" s="1" t="n">
        <v>5</v>
      </c>
      <c r="L1054" s="1" t="n">
        <v>5</v>
      </c>
      <c r="M1054" s="3" t="s">
        <v>36</v>
      </c>
      <c r="N1054" s="3" t="s">
        <v>131</v>
      </c>
      <c r="O1054" s="3" t="s">
        <v>133</v>
      </c>
      <c r="P1054" s="2" t="str">
        <f aca="false">CONCATENATE(N1054," ",O1054)</f>
        <v>Xysticus luctuosus</v>
      </c>
      <c r="Q1054" s="1" t="s">
        <v>30</v>
      </c>
      <c r="R1054" s="1" t="s">
        <v>35</v>
      </c>
      <c r="S1054" s="1" t="n">
        <v>0</v>
      </c>
      <c r="T1054" s="1" t="n">
        <v>1</v>
      </c>
      <c r="U1054" s="1" t="n">
        <v>0</v>
      </c>
      <c r="V1054" s="1" t="n">
        <v>0</v>
      </c>
      <c r="W1054" s="1" t="n">
        <v>0</v>
      </c>
      <c r="X1054" s="1" t="n">
        <v>0</v>
      </c>
      <c r="Y1054" s="3" t="n">
        <f aca="false">SUM(S1054:T1054)</f>
        <v>1</v>
      </c>
      <c r="Z1054" s="3" t="n">
        <f aca="false">SUM(U1054:W1054)</f>
        <v>0</v>
      </c>
      <c r="AA1054" s="3" t="n">
        <f aca="false">SUM(S1054:X1054)</f>
        <v>1</v>
      </c>
      <c r="AB1054" s="11" t="n">
        <f aca="false">(AA1054/(K1054*L1054)*25)*4</f>
        <v>4</v>
      </c>
    </row>
    <row r="1055" customFormat="false" ht="14.25" hidden="false" customHeight="false" outlineLevel="0" collapsed="false">
      <c r="A1055" s="1" t="n">
        <v>2009</v>
      </c>
      <c r="B1055" s="7" t="s">
        <v>322</v>
      </c>
      <c r="C1055" s="7" t="n">
        <v>2</v>
      </c>
      <c r="D1055" s="7" t="s">
        <v>293</v>
      </c>
      <c r="E1055" s="7" t="s">
        <v>293</v>
      </c>
      <c r="F1055" s="7" t="s">
        <v>110</v>
      </c>
      <c r="G1055" s="1" t="n">
        <v>2</v>
      </c>
      <c r="H1055" s="1" t="n">
        <v>6</v>
      </c>
      <c r="I1055" s="10" t="n">
        <v>39969</v>
      </c>
      <c r="J1055" s="10" t="n">
        <v>39974</v>
      </c>
      <c r="K1055" s="1" t="n">
        <v>5</v>
      </c>
      <c r="L1055" s="1" t="n">
        <v>5</v>
      </c>
      <c r="M1055" s="3" t="s">
        <v>32</v>
      </c>
      <c r="N1055" s="3" t="s">
        <v>55</v>
      </c>
      <c r="O1055" s="3" t="s">
        <v>194</v>
      </c>
      <c r="P1055" s="2" t="str">
        <f aca="false">CONCATENATE(N1055," ",O1055)</f>
        <v>Maro pansibiricus</v>
      </c>
      <c r="Q1055" s="1" t="s">
        <v>30</v>
      </c>
      <c r="R1055" s="1" t="s">
        <v>31</v>
      </c>
      <c r="S1055" s="1" t="n">
        <v>1</v>
      </c>
      <c r="T1055" s="1" t="n">
        <v>0</v>
      </c>
      <c r="U1055" s="1" t="n">
        <v>0</v>
      </c>
      <c r="V1055" s="1" t="n">
        <v>0</v>
      </c>
      <c r="W1055" s="1" t="n">
        <v>0</v>
      </c>
      <c r="X1055" s="1" t="n">
        <v>0</v>
      </c>
      <c r="Y1055" s="3" t="n">
        <f aca="false">SUM(S1055:T1055)</f>
        <v>1</v>
      </c>
      <c r="Z1055" s="3" t="n">
        <f aca="false">SUM(U1055:W1055)</f>
        <v>0</v>
      </c>
      <c r="AA1055" s="3" t="n">
        <f aca="false">SUM(S1055:X1055)</f>
        <v>1</v>
      </c>
      <c r="AB1055" s="11" t="n">
        <f aca="false">(AA1055/(K1055*L1055)*25)*4</f>
        <v>4</v>
      </c>
    </row>
    <row r="1056" customFormat="false" ht="14.25" hidden="false" customHeight="false" outlineLevel="0" collapsed="false">
      <c r="A1056" s="1" t="n">
        <v>2009</v>
      </c>
      <c r="B1056" s="7" t="s">
        <v>322</v>
      </c>
      <c r="C1056" s="7" t="n">
        <v>2</v>
      </c>
      <c r="D1056" s="7" t="s">
        <v>293</v>
      </c>
      <c r="E1056" s="7" t="s">
        <v>293</v>
      </c>
      <c r="F1056" s="7" t="s">
        <v>110</v>
      </c>
      <c r="G1056" s="1" t="n">
        <v>2</v>
      </c>
      <c r="H1056" s="1" t="n">
        <v>6</v>
      </c>
      <c r="I1056" s="10" t="n">
        <v>39969</v>
      </c>
      <c r="J1056" s="10" t="n">
        <v>39974</v>
      </c>
      <c r="K1056" s="1" t="n">
        <v>5</v>
      </c>
      <c r="L1056" s="1" t="n">
        <v>5</v>
      </c>
      <c r="M1056" s="13" t="s">
        <v>32</v>
      </c>
      <c r="N1056" s="13" t="s">
        <v>96</v>
      </c>
      <c r="O1056" s="14" t="s">
        <v>97</v>
      </c>
      <c r="P1056" s="2" t="str">
        <f aca="false">CONCATENATE(N1056," ",O1056)</f>
        <v>Diplocephalus picinus</v>
      </c>
      <c r="Q1056" s="1" t="s">
        <v>30</v>
      </c>
      <c r="R1056" s="1" t="s">
        <v>31</v>
      </c>
      <c r="S1056" s="1" t="n">
        <v>1</v>
      </c>
      <c r="T1056" s="1" t="n">
        <v>0</v>
      </c>
      <c r="U1056" s="1" t="n">
        <v>0</v>
      </c>
      <c r="V1056" s="1" t="n">
        <v>0</v>
      </c>
      <c r="W1056" s="1" t="n">
        <v>0</v>
      </c>
      <c r="X1056" s="1" t="n">
        <v>0</v>
      </c>
      <c r="Y1056" s="3" t="n">
        <f aca="false">SUM(S1056:T1056)</f>
        <v>1</v>
      </c>
      <c r="Z1056" s="3" t="n">
        <f aca="false">SUM(U1056:W1056)</f>
        <v>0</v>
      </c>
      <c r="AA1056" s="3" t="n">
        <f aca="false">SUM(S1056:X1056)</f>
        <v>1</v>
      </c>
      <c r="AB1056" s="11" t="n">
        <f aca="false">(AA1056/(K1056*L1056)*25)*4</f>
        <v>4</v>
      </c>
    </row>
    <row r="1057" customFormat="false" ht="14.25" hidden="false" customHeight="false" outlineLevel="0" collapsed="false">
      <c r="A1057" s="1" t="n">
        <v>2009</v>
      </c>
      <c r="B1057" s="7" t="s">
        <v>322</v>
      </c>
      <c r="C1057" s="7" t="n">
        <v>2</v>
      </c>
      <c r="D1057" s="7" t="s">
        <v>293</v>
      </c>
      <c r="E1057" s="7" t="s">
        <v>293</v>
      </c>
      <c r="F1057" s="7" t="s">
        <v>110</v>
      </c>
      <c r="G1057" s="1" t="n">
        <v>2</v>
      </c>
      <c r="H1057" s="1" t="n">
        <v>7</v>
      </c>
      <c r="I1057" s="10" t="n">
        <v>39969</v>
      </c>
      <c r="J1057" s="10" t="n">
        <v>39974</v>
      </c>
      <c r="K1057" s="1" t="n">
        <v>5</v>
      </c>
      <c r="L1057" s="1" t="n">
        <v>5</v>
      </c>
      <c r="M1057" s="3" t="s">
        <v>48</v>
      </c>
      <c r="N1057" s="3" t="s">
        <v>49</v>
      </c>
      <c r="O1057" s="3" t="s">
        <v>104</v>
      </c>
      <c r="P1057" s="2" t="str">
        <f aca="false">CONCATENATE(N1057," ",O1057)</f>
        <v>Alopecosa taeniata</v>
      </c>
      <c r="Q1057" s="1" t="s">
        <v>30</v>
      </c>
      <c r="R1057" s="1" t="s">
        <v>31</v>
      </c>
      <c r="S1057" s="1" t="n">
        <v>1</v>
      </c>
      <c r="T1057" s="1" t="n">
        <v>0</v>
      </c>
      <c r="U1057" s="1" t="n">
        <v>0</v>
      </c>
      <c r="V1057" s="1" t="n">
        <v>0</v>
      </c>
      <c r="W1057" s="1" t="n">
        <v>0</v>
      </c>
      <c r="X1057" s="1" t="n">
        <v>0</v>
      </c>
      <c r="Y1057" s="3" t="n">
        <f aca="false">SUM(S1057:T1057)</f>
        <v>1</v>
      </c>
      <c r="Z1057" s="3" t="n">
        <f aca="false">SUM(U1057:W1057)</f>
        <v>0</v>
      </c>
      <c r="AA1057" s="3" t="n">
        <f aca="false">SUM(S1057:X1057)</f>
        <v>1</v>
      </c>
      <c r="AB1057" s="11" t="n">
        <f aca="false">(AA1057/(K1057*L1057)*25)*4</f>
        <v>4</v>
      </c>
    </row>
    <row r="1058" customFormat="false" ht="14.25" hidden="false" customHeight="false" outlineLevel="0" collapsed="false">
      <c r="A1058" s="1" t="n">
        <v>2009</v>
      </c>
      <c r="B1058" s="7" t="s">
        <v>322</v>
      </c>
      <c r="C1058" s="7" t="n">
        <v>2</v>
      </c>
      <c r="D1058" s="7" t="s">
        <v>293</v>
      </c>
      <c r="E1058" s="7" t="s">
        <v>293</v>
      </c>
      <c r="F1058" s="7" t="s">
        <v>110</v>
      </c>
      <c r="G1058" s="1" t="n">
        <v>2</v>
      </c>
      <c r="H1058" s="1" t="n">
        <v>7</v>
      </c>
      <c r="I1058" s="10" t="n">
        <v>39969</v>
      </c>
      <c r="J1058" s="10" t="n">
        <v>39974</v>
      </c>
      <c r="K1058" s="1" t="n">
        <v>5</v>
      </c>
      <c r="L1058" s="1" t="n">
        <v>5</v>
      </c>
      <c r="M1058" s="3" t="s">
        <v>48</v>
      </c>
      <c r="N1058" s="3" t="s">
        <v>49</v>
      </c>
      <c r="O1058" s="3" t="s">
        <v>104</v>
      </c>
      <c r="P1058" s="2" t="str">
        <f aca="false">CONCATENATE(N1058," ",O1058)</f>
        <v>Alopecosa taeniata</v>
      </c>
      <c r="Q1058" s="1" t="s">
        <v>30</v>
      </c>
      <c r="R1058" s="1" t="s">
        <v>35</v>
      </c>
      <c r="S1058" s="1" t="n">
        <v>0</v>
      </c>
      <c r="T1058" s="1" t="n">
        <v>1</v>
      </c>
      <c r="U1058" s="1" t="n">
        <v>0</v>
      </c>
      <c r="V1058" s="1" t="n">
        <v>0</v>
      </c>
      <c r="W1058" s="1" t="n">
        <v>0</v>
      </c>
      <c r="X1058" s="1" t="n">
        <v>0</v>
      </c>
      <c r="Y1058" s="3" t="n">
        <f aca="false">SUM(S1058:T1058)</f>
        <v>1</v>
      </c>
      <c r="Z1058" s="3" t="n">
        <f aca="false">SUM(U1058:W1058)</f>
        <v>0</v>
      </c>
      <c r="AA1058" s="3" t="n">
        <f aca="false">SUM(S1058:X1058)</f>
        <v>1</v>
      </c>
      <c r="AB1058" s="11" t="n">
        <f aca="false">(AA1058/(K1058*L1058)*25)*4</f>
        <v>4</v>
      </c>
    </row>
    <row r="1059" customFormat="false" ht="14.25" hidden="false" customHeight="false" outlineLevel="0" collapsed="false">
      <c r="A1059" s="1" t="n">
        <v>2009</v>
      </c>
      <c r="B1059" s="7" t="s">
        <v>322</v>
      </c>
      <c r="C1059" s="7" t="n">
        <v>2</v>
      </c>
      <c r="D1059" s="7" t="s">
        <v>293</v>
      </c>
      <c r="E1059" s="7" t="s">
        <v>293</v>
      </c>
      <c r="F1059" s="7" t="s">
        <v>110</v>
      </c>
      <c r="G1059" s="1" t="n">
        <v>2</v>
      </c>
      <c r="H1059" s="1" t="n">
        <v>7</v>
      </c>
      <c r="I1059" s="10" t="n">
        <v>39969</v>
      </c>
      <c r="J1059" s="10" t="n">
        <v>39974</v>
      </c>
      <c r="K1059" s="1" t="n">
        <v>5</v>
      </c>
      <c r="L1059" s="1" t="n">
        <v>5</v>
      </c>
      <c r="M1059" s="3" t="s">
        <v>48</v>
      </c>
      <c r="N1059" s="3" t="s">
        <v>49</v>
      </c>
      <c r="O1059" s="3" t="s">
        <v>130</v>
      </c>
      <c r="P1059" s="2" t="str">
        <f aca="false">CONCATENATE(N1059," ",O1059)</f>
        <v>Alopecosa aculeata</v>
      </c>
      <c r="Q1059" s="1" t="s">
        <v>30</v>
      </c>
      <c r="R1059" s="1" t="s">
        <v>31</v>
      </c>
      <c r="S1059" s="1" t="n">
        <v>2</v>
      </c>
      <c r="T1059" s="1" t="n">
        <v>0</v>
      </c>
      <c r="U1059" s="1" t="n">
        <v>0</v>
      </c>
      <c r="V1059" s="1" t="n">
        <v>0</v>
      </c>
      <c r="W1059" s="1" t="n">
        <v>0</v>
      </c>
      <c r="X1059" s="1" t="n">
        <v>0</v>
      </c>
      <c r="Y1059" s="3" t="n">
        <f aca="false">SUM(S1059:T1059)</f>
        <v>2</v>
      </c>
      <c r="Z1059" s="3" t="n">
        <f aca="false">SUM(U1059:W1059)</f>
        <v>0</v>
      </c>
      <c r="AA1059" s="3" t="n">
        <f aca="false">SUM(S1059:X1059)</f>
        <v>2</v>
      </c>
      <c r="AB1059" s="11" t="n">
        <f aca="false">(AA1059/(K1059*L1059)*25)*4</f>
        <v>8</v>
      </c>
    </row>
    <row r="1060" customFormat="false" ht="14.25" hidden="false" customHeight="false" outlineLevel="0" collapsed="false">
      <c r="A1060" s="1" t="n">
        <v>2009</v>
      </c>
      <c r="B1060" s="7" t="s">
        <v>322</v>
      </c>
      <c r="C1060" s="7" t="n">
        <v>2</v>
      </c>
      <c r="D1060" s="7" t="s">
        <v>293</v>
      </c>
      <c r="E1060" s="7" t="s">
        <v>293</v>
      </c>
      <c r="F1060" s="7" t="s">
        <v>110</v>
      </c>
      <c r="G1060" s="1" t="n">
        <v>2</v>
      </c>
      <c r="H1060" s="1" t="n">
        <v>7</v>
      </c>
      <c r="I1060" s="10" t="n">
        <v>39969</v>
      </c>
      <c r="J1060" s="10" t="n">
        <v>39974</v>
      </c>
      <c r="K1060" s="1" t="n">
        <v>5</v>
      </c>
      <c r="L1060" s="1" t="n">
        <v>5</v>
      </c>
      <c r="M1060" s="3" t="s">
        <v>48</v>
      </c>
      <c r="N1060" s="3" t="s">
        <v>49</v>
      </c>
      <c r="O1060" s="3" t="s">
        <v>130</v>
      </c>
      <c r="P1060" s="2" t="str">
        <f aca="false">CONCATENATE(N1060," ",O1060)</f>
        <v>Alopecosa aculeata</v>
      </c>
      <c r="Q1060" s="1" t="s">
        <v>30</v>
      </c>
      <c r="R1060" s="1" t="s">
        <v>35</v>
      </c>
      <c r="S1060" s="1" t="n">
        <v>0</v>
      </c>
      <c r="T1060" s="1" t="n">
        <v>1</v>
      </c>
      <c r="U1060" s="1" t="n">
        <v>0</v>
      </c>
      <c r="V1060" s="1" t="n">
        <v>0</v>
      </c>
      <c r="W1060" s="1" t="n">
        <v>0</v>
      </c>
      <c r="X1060" s="1" t="n">
        <v>0</v>
      </c>
      <c r="Y1060" s="3" t="n">
        <f aca="false">SUM(S1060:T1060)</f>
        <v>1</v>
      </c>
      <c r="Z1060" s="3" t="n">
        <f aca="false">SUM(U1060:W1060)</f>
        <v>0</v>
      </c>
      <c r="AA1060" s="3" t="n">
        <f aca="false">SUM(S1060:X1060)</f>
        <v>1</v>
      </c>
      <c r="AB1060" s="11" t="n">
        <f aca="false">(AA1060/(K1060*L1060)*25)*4</f>
        <v>4</v>
      </c>
    </row>
    <row r="1061" customFormat="false" ht="14.25" hidden="false" customHeight="false" outlineLevel="0" collapsed="false">
      <c r="A1061" s="1" t="n">
        <v>2009</v>
      </c>
      <c r="B1061" s="7" t="s">
        <v>322</v>
      </c>
      <c r="C1061" s="7" t="n">
        <v>2</v>
      </c>
      <c r="D1061" s="7" t="s">
        <v>293</v>
      </c>
      <c r="E1061" s="7" t="s">
        <v>293</v>
      </c>
      <c r="F1061" s="7" t="s">
        <v>110</v>
      </c>
      <c r="G1061" s="1" t="n">
        <v>2</v>
      </c>
      <c r="H1061" s="1" t="n">
        <v>7</v>
      </c>
      <c r="I1061" s="10" t="n">
        <v>39969</v>
      </c>
      <c r="J1061" s="10" t="n">
        <v>39974</v>
      </c>
      <c r="K1061" s="1" t="n">
        <v>5</v>
      </c>
      <c r="L1061" s="1" t="n">
        <v>5</v>
      </c>
      <c r="M1061" s="3" t="s">
        <v>72</v>
      </c>
      <c r="N1061" s="3" t="s">
        <v>86</v>
      </c>
      <c r="O1061" s="8" t="s">
        <v>87</v>
      </c>
      <c r="P1061" s="2" t="str">
        <f aca="false">CONCATENATE(N1061," ",O1061)</f>
        <v>Haplodrassus soerenseni</v>
      </c>
      <c r="Q1061" s="1" t="s">
        <v>30</v>
      </c>
      <c r="R1061" s="1" t="s">
        <v>31</v>
      </c>
      <c r="S1061" s="1" t="n">
        <v>2</v>
      </c>
      <c r="T1061" s="1" t="n">
        <v>0</v>
      </c>
      <c r="U1061" s="1" t="n">
        <v>0</v>
      </c>
      <c r="V1061" s="1" t="n">
        <v>0</v>
      </c>
      <c r="W1061" s="1" t="n">
        <v>0</v>
      </c>
      <c r="X1061" s="1" t="n">
        <v>0</v>
      </c>
      <c r="Y1061" s="3" t="n">
        <f aca="false">SUM(S1061:T1061)</f>
        <v>2</v>
      </c>
      <c r="Z1061" s="3" t="n">
        <f aca="false">SUM(U1061:W1061)</f>
        <v>0</v>
      </c>
      <c r="AA1061" s="3" t="n">
        <f aca="false">SUM(S1061:X1061)</f>
        <v>2</v>
      </c>
      <c r="AB1061" s="11" t="n">
        <f aca="false">(AA1061/(K1061*L1061)*25)*4</f>
        <v>8</v>
      </c>
    </row>
    <row r="1062" customFormat="false" ht="14.25" hidden="false" customHeight="false" outlineLevel="0" collapsed="false">
      <c r="A1062" s="1" t="n">
        <v>2009</v>
      </c>
      <c r="B1062" s="7" t="s">
        <v>322</v>
      </c>
      <c r="C1062" s="7" t="n">
        <v>2</v>
      </c>
      <c r="D1062" s="7" t="s">
        <v>293</v>
      </c>
      <c r="E1062" s="7" t="s">
        <v>293</v>
      </c>
      <c r="F1062" s="7" t="s">
        <v>110</v>
      </c>
      <c r="G1062" s="1" t="n">
        <v>2</v>
      </c>
      <c r="H1062" s="1" t="n">
        <v>8</v>
      </c>
      <c r="I1062" s="10" t="n">
        <v>39969</v>
      </c>
      <c r="J1062" s="10" t="n">
        <v>39974</v>
      </c>
      <c r="K1062" s="1" t="n">
        <v>5</v>
      </c>
      <c r="L1062" s="1" t="n">
        <v>5</v>
      </c>
      <c r="M1062" s="3" t="s">
        <v>48</v>
      </c>
      <c r="N1062" s="3" t="s">
        <v>49</v>
      </c>
      <c r="O1062" s="3" t="s">
        <v>104</v>
      </c>
      <c r="P1062" s="2" t="str">
        <f aca="false">CONCATENATE(N1062," ",O1062)</f>
        <v>Alopecosa taeniata</v>
      </c>
      <c r="Q1062" s="1" t="s">
        <v>30</v>
      </c>
      <c r="R1062" s="1" t="s">
        <v>35</v>
      </c>
      <c r="S1062" s="1" t="n">
        <v>0</v>
      </c>
      <c r="T1062" s="1" t="n">
        <v>1</v>
      </c>
      <c r="U1062" s="1" t="n">
        <v>0</v>
      </c>
      <c r="V1062" s="1" t="n">
        <v>0</v>
      </c>
      <c r="W1062" s="1" t="n">
        <v>0</v>
      </c>
      <c r="X1062" s="1" t="n">
        <v>0</v>
      </c>
      <c r="Y1062" s="3" t="n">
        <f aca="false">SUM(S1062:T1062)</f>
        <v>1</v>
      </c>
      <c r="Z1062" s="3" t="n">
        <f aca="false">SUM(U1062:W1062)</f>
        <v>0</v>
      </c>
      <c r="AA1062" s="3" t="n">
        <f aca="false">SUM(S1062:X1062)</f>
        <v>1</v>
      </c>
      <c r="AB1062" s="11" t="n">
        <f aca="false">(AA1062/(K1062*L1062)*25)*4</f>
        <v>4</v>
      </c>
    </row>
    <row r="1063" customFormat="false" ht="14.25" hidden="false" customHeight="false" outlineLevel="0" collapsed="false">
      <c r="A1063" s="1" t="n">
        <v>2009</v>
      </c>
      <c r="B1063" s="7" t="s">
        <v>322</v>
      </c>
      <c r="C1063" s="7" t="n">
        <v>2</v>
      </c>
      <c r="D1063" s="7" t="s">
        <v>293</v>
      </c>
      <c r="E1063" s="7" t="s">
        <v>293</v>
      </c>
      <c r="F1063" s="7" t="s">
        <v>110</v>
      </c>
      <c r="G1063" s="1" t="n">
        <v>2</v>
      </c>
      <c r="H1063" s="1" t="n">
        <v>8</v>
      </c>
      <c r="I1063" s="10" t="n">
        <v>39969</v>
      </c>
      <c r="J1063" s="10" t="n">
        <v>39974</v>
      </c>
      <c r="K1063" s="1" t="n">
        <v>5</v>
      </c>
      <c r="L1063" s="1" t="n">
        <v>5</v>
      </c>
      <c r="M1063" s="3" t="s">
        <v>48</v>
      </c>
      <c r="N1063" s="3" t="s">
        <v>67</v>
      </c>
      <c r="O1063" s="3" t="s">
        <v>127</v>
      </c>
      <c r="P1063" s="2" t="str">
        <f aca="false">CONCATENATE(N1063," ",O1063)</f>
        <v>Pardosa lugubris</v>
      </c>
      <c r="Q1063" s="1" t="s">
        <v>30</v>
      </c>
      <c r="R1063" s="1" t="s">
        <v>31</v>
      </c>
      <c r="S1063" s="1" t="n">
        <v>1</v>
      </c>
      <c r="T1063" s="1" t="n">
        <v>0</v>
      </c>
      <c r="U1063" s="1" t="n">
        <v>0</v>
      </c>
      <c r="V1063" s="1" t="n">
        <v>0</v>
      </c>
      <c r="W1063" s="1" t="n">
        <v>0</v>
      </c>
      <c r="X1063" s="1" t="n">
        <v>0</v>
      </c>
      <c r="Y1063" s="3" t="n">
        <f aca="false">SUM(S1063:T1063)</f>
        <v>1</v>
      </c>
      <c r="Z1063" s="3" t="n">
        <f aca="false">SUM(U1063:W1063)</f>
        <v>0</v>
      </c>
      <c r="AA1063" s="3" t="n">
        <f aca="false">SUM(S1063:X1063)</f>
        <v>1</v>
      </c>
      <c r="AB1063" s="11" t="n">
        <f aca="false">(AA1063/(K1063*L1063)*25)*4</f>
        <v>4</v>
      </c>
    </row>
    <row r="1064" customFormat="false" ht="14.25" hidden="false" customHeight="false" outlineLevel="0" collapsed="false">
      <c r="A1064" s="1" t="n">
        <v>2009</v>
      </c>
      <c r="B1064" s="7" t="s">
        <v>322</v>
      </c>
      <c r="C1064" s="7" t="n">
        <v>2</v>
      </c>
      <c r="D1064" s="7" t="s">
        <v>293</v>
      </c>
      <c r="E1064" s="7" t="s">
        <v>293</v>
      </c>
      <c r="F1064" s="7" t="s">
        <v>110</v>
      </c>
      <c r="G1064" s="1" t="n">
        <v>2</v>
      </c>
      <c r="H1064" s="1" t="n">
        <v>8</v>
      </c>
      <c r="I1064" s="10" t="n">
        <v>39969</v>
      </c>
      <c r="J1064" s="10" t="n">
        <v>39974</v>
      </c>
      <c r="K1064" s="1" t="n">
        <v>5</v>
      </c>
      <c r="L1064" s="1" t="n">
        <v>5</v>
      </c>
      <c r="M1064" s="3" t="s">
        <v>72</v>
      </c>
      <c r="N1064" s="3" t="s">
        <v>86</v>
      </c>
      <c r="O1064" s="8" t="s">
        <v>87</v>
      </c>
      <c r="P1064" s="2" t="str">
        <f aca="false">CONCATENATE(N1064," ",O1064)</f>
        <v>Haplodrassus soerenseni</v>
      </c>
      <c r="Q1064" s="1" t="s">
        <v>30</v>
      </c>
      <c r="R1064" s="1" t="s">
        <v>31</v>
      </c>
      <c r="S1064" s="1" t="n">
        <v>1</v>
      </c>
      <c r="T1064" s="1" t="n">
        <v>0</v>
      </c>
      <c r="U1064" s="1" t="n">
        <v>0</v>
      </c>
      <c r="V1064" s="1" t="n">
        <v>0</v>
      </c>
      <c r="W1064" s="1" t="n">
        <v>0</v>
      </c>
      <c r="X1064" s="1" t="n">
        <v>0</v>
      </c>
      <c r="Y1064" s="3" t="n">
        <f aca="false">SUM(S1064:T1064)</f>
        <v>1</v>
      </c>
      <c r="Z1064" s="3" t="n">
        <f aca="false">SUM(U1064:W1064)</f>
        <v>0</v>
      </c>
      <c r="AA1064" s="3" t="n">
        <f aca="false">SUM(S1064:X1064)</f>
        <v>1</v>
      </c>
      <c r="AB1064" s="11" t="n">
        <f aca="false">(AA1064/(K1064*L1064)*25)*4</f>
        <v>4</v>
      </c>
    </row>
    <row r="1065" customFormat="false" ht="14.25" hidden="false" customHeight="false" outlineLevel="0" collapsed="false">
      <c r="A1065" s="1" t="n">
        <v>2009</v>
      </c>
      <c r="B1065" s="7" t="s">
        <v>322</v>
      </c>
      <c r="C1065" s="7" t="n">
        <v>2</v>
      </c>
      <c r="D1065" s="7" t="s">
        <v>293</v>
      </c>
      <c r="E1065" s="7" t="s">
        <v>293</v>
      </c>
      <c r="F1065" s="7" t="s">
        <v>110</v>
      </c>
      <c r="G1065" s="1" t="n">
        <v>2</v>
      </c>
      <c r="H1065" s="1" t="n">
        <v>8</v>
      </c>
      <c r="I1065" s="10" t="n">
        <v>39969</v>
      </c>
      <c r="J1065" s="10" t="n">
        <v>39974</v>
      </c>
      <c r="K1065" s="1" t="n">
        <v>5</v>
      </c>
      <c r="L1065" s="1" t="n">
        <v>5</v>
      </c>
      <c r="M1065" s="3" t="s">
        <v>72</v>
      </c>
      <c r="N1065" s="3" t="s">
        <v>73</v>
      </c>
      <c r="O1065" s="3" t="s">
        <v>74</v>
      </c>
      <c r="P1065" s="2" t="str">
        <f aca="false">CONCATENATE(N1065," ",O1065)</f>
        <v>Zelotes subterraneus</v>
      </c>
      <c r="Q1065" s="1" t="s">
        <v>30</v>
      </c>
      <c r="R1065" s="1" t="s">
        <v>35</v>
      </c>
      <c r="S1065" s="1" t="n">
        <v>0</v>
      </c>
      <c r="T1065" s="1" t="n">
        <v>1</v>
      </c>
      <c r="U1065" s="1" t="n">
        <v>0</v>
      </c>
      <c r="V1065" s="1" t="n">
        <v>0</v>
      </c>
      <c r="W1065" s="1" t="n">
        <v>0</v>
      </c>
      <c r="X1065" s="1" t="n">
        <v>0</v>
      </c>
      <c r="Y1065" s="3" t="n">
        <f aca="false">SUM(S1065:T1065)</f>
        <v>1</v>
      </c>
      <c r="Z1065" s="3" t="n">
        <f aca="false">SUM(U1065:W1065)</f>
        <v>0</v>
      </c>
      <c r="AA1065" s="3" t="n">
        <f aca="false">SUM(S1065:X1065)</f>
        <v>1</v>
      </c>
      <c r="AB1065" s="11" t="n">
        <f aca="false">(AA1065/(K1065*L1065)*25)*4</f>
        <v>4</v>
      </c>
    </row>
    <row r="1066" customFormat="false" ht="14.25" hidden="false" customHeight="false" outlineLevel="0" collapsed="false">
      <c r="A1066" s="1" t="n">
        <v>2009</v>
      </c>
      <c r="B1066" s="7" t="s">
        <v>322</v>
      </c>
      <c r="C1066" s="7" t="n">
        <v>2</v>
      </c>
      <c r="D1066" s="7" t="s">
        <v>293</v>
      </c>
      <c r="E1066" s="7" t="s">
        <v>293</v>
      </c>
      <c r="F1066" s="7" t="s">
        <v>110</v>
      </c>
      <c r="G1066" s="1" t="n">
        <v>2</v>
      </c>
      <c r="H1066" s="1" t="n">
        <v>8</v>
      </c>
      <c r="I1066" s="10" t="n">
        <v>39969</v>
      </c>
      <c r="J1066" s="10" t="n">
        <v>39974</v>
      </c>
      <c r="K1066" s="1" t="n">
        <v>5</v>
      </c>
      <c r="L1066" s="1" t="n">
        <v>5</v>
      </c>
      <c r="M1066" s="3" t="s">
        <v>36</v>
      </c>
      <c r="N1066" s="3" t="s">
        <v>37</v>
      </c>
      <c r="O1066" s="8" t="s">
        <v>75</v>
      </c>
      <c r="P1066" s="2" t="str">
        <f aca="false">CONCATENATE(N1066," ",O1066)</f>
        <v>Ozyptila praticola</v>
      </c>
      <c r="Q1066" s="1" t="s">
        <v>30</v>
      </c>
      <c r="R1066" s="1" t="s">
        <v>35</v>
      </c>
      <c r="S1066" s="1" t="n">
        <v>0</v>
      </c>
      <c r="T1066" s="1" t="n">
        <v>2</v>
      </c>
      <c r="U1066" s="1" t="n">
        <v>0</v>
      </c>
      <c r="V1066" s="1" t="n">
        <v>0</v>
      </c>
      <c r="W1066" s="1" t="n">
        <v>0</v>
      </c>
      <c r="X1066" s="1" t="n">
        <v>0</v>
      </c>
      <c r="Y1066" s="3" t="n">
        <f aca="false">SUM(S1066:T1066)</f>
        <v>2</v>
      </c>
      <c r="Z1066" s="3" t="n">
        <f aca="false">SUM(U1066:W1066)</f>
        <v>0</v>
      </c>
      <c r="AA1066" s="3" t="n">
        <f aca="false">SUM(S1066:X1066)</f>
        <v>2</v>
      </c>
      <c r="AB1066" s="11" t="n">
        <f aca="false">(AA1066/(K1066*L1066)*25)*4</f>
        <v>8</v>
      </c>
    </row>
    <row r="1067" customFormat="false" ht="14.25" hidden="false" customHeight="false" outlineLevel="0" collapsed="false">
      <c r="A1067" s="1" t="n">
        <v>2009</v>
      </c>
      <c r="B1067" s="7" t="s">
        <v>322</v>
      </c>
      <c r="C1067" s="7" t="n">
        <v>2</v>
      </c>
      <c r="D1067" s="7" t="s">
        <v>293</v>
      </c>
      <c r="E1067" s="7" t="s">
        <v>293</v>
      </c>
      <c r="F1067" s="7" t="s">
        <v>110</v>
      </c>
      <c r="G1067" s="1" t="n">
        <v>2</v>
      </c>
      <c r="H1067" s="1" t="n">
        <v>8</v>
      </c>
      <c r="I1067" s="10" t="n">
        <v>39969</v>
      </c>
      <c r="J1067" s="10" t="n">
        <v>39974</v>
      </c>
      <c r="K1067" s="1" t="n">
        <v>5</v>
      </c>
      <c r="L1067" s="1" t="n">
        <v>5</v>
      </c>
      <c r="M1067" s="3" t="s">
        <v>36</v>
      </c>
      <c r="N1067" s="3" t="s">
        <v>131</v>
      </c>
      <c r="O1067" s="3" t="s">
        <v>133</v>
      </c>
      <c r="P1067" s="2" t="str">
        <f aca="false">CONCATENATE(N1067," ",O1067)</f>
        <v>Xysticus luctuosus</v>
      </c>
      <c r="Q1067" s="1" t="s">
        <v>30</v>
      </c>
      <c r="R1067" s="1" t="s">
        <v>31</v>
      </c>
      <c r="S1067" s="1" t="n">
        <v>3</v>
      </c>
      <c r="T1067" s="1" t="n">
        <v>0</v>
      </c>
      <c r="U1067" s="1" t="n">
        <v>0</v>
      </c>
      <c r="V1067" s="1" t="n">
        <v>0</v>
      </c>
      <c r="W1067" s="1" t="n">
        <v>0</v>
      </c>
      <c r="X1067" s="1" t="n">
        <v>0</v>
      </c>
      <c r="Y1067" s="3" t="n">
        <f aca="false">SUM(S1067:T1067)</f>
        <v>3</v>
      </c>
      <c r="Z1067" s="3" t="n">
        <f aca="false">SUM(U1067:W1067)</f>
        <v>0</v>
      </c>
      <c r="AA1067" s="3" t="n">
        <f aca="false">SUM(S1067:X1067)</f>
        <v>3</v>
      </c>
      <c r="AB1067" s="11" t="n">
        <f aca="false">(AA1067/(K1067*L1067)*25)*4</f>
        <v>12</v>
      </c>
    </row>
    <row r="1068" customFormat="false" ht="14.25" hidden="false" customHeight="false" outlineLevel="0" collapsed="false">
      <c r="A1068" s="1" t="n">
        <v>2009</v>
      </c>
      <c r="B1068" s="7" t="s">
        <v>322</v>
      </c>
      <c r="C1068" s="7" t="n">
        <v>2</v>
      </c>
      <c r="D1068" s="7" t="s">
        <v>293</v>
      </c>
      <c r="E1068" s="7" t="s">
        <v>293</v>
      </c>
      <c r="F1068" s="7" t="s">
        <v>110</v>
      </c>
      <c r="G1068" s="1" t="n">
        <v>2</v>
      </c>
      <c r="H1068" s="1" t="n">
        <v>9</v>
      </c>
      <c r="I1068" s="10" t="n">
        <v>39969</v>
      </c>
      <c r="J1068" s="10" t="n">
        <v>39974</v>
      </c>
      <c r="K1068" s="1" t="n">
        <v>5</v>
      </c>
      <c r="L1068" s="1" t="n">
        <v>5</v>
      </c>
      <c r="M1068" s="3" t="s">
        <v>48</v>
      </c>
      <c r="N1068" s="3" t="s">
        <v>49</v>
      </c>
      <c r="O1068" s="3" t="s">
        <v>104</v>
      </c>
      <c r="P1068" s="2" t="str">
        <f aca="false">CONCATENATE(N1068," ",O1068)</f>
        <v>Alopecosa taeniata</v>
      </c>
      <c r="Q1068" s="1" t="s">
        <v>30</v>
      </c>
      <c r="R1068" s="1" t="s">
        <v>31</v>
      </c>
      <c r="S1068" s="1" t="n">
        <v>1</v>
      </c>
      <c r="T1068" s="1" t="n">
        <v>0</v>
      </c>
      <c r="U1068" s="1" t="n">
        <v>0</v>
      </c>
      <c r="V1068" s="1" t="n">
        <v>0</v>
      </c>
      <c r="W1068" s="1" t="n">
        <v>0</v>
      </c>
      <c r="X1068" s="1" t="n">
        <v>0</v>
      </c>
      <c r="Y1068" s="3" t="n">
        <f aca="false">SUM(S1068:T1068)</f>
        <v>1</v>
      </c>
      <c r="Z1068" s="3" t="n">
        <f aca="false">SUM(U1068:W1068)</f>
        <v>0</v>
      </c>
      <c r="AA1068" s="3" t="n">
        <f aca="false">SUM(S1068:X1068)</f>
        <v>1</v>
      </c>
      <c r="AB1068" s="11" t="n">
        <f aca="false">(AA1068/(K1068*L1068)*25)*4</f>
        <v>4</v>
      </c>
    </row>
    <row r="1069" customFormat="false" ht="14.25" hidden="false" customHeight="false" outlineLevel="0" collapsed="false">
      <c r="A1069" s="1" t="n">
        <v>2009</v>
      </c>
      <c r="B1069" s="7" t="s">
        <v>322</v>
      </c>
      <c r="C1069" s="7" t="n">
        <v>2</v>
      </c>
      <c r="D1069" s="7" t="s">
        <v>293</v>
      </c>
      <c r="E1069" s="7" t="s">
        <v>293</v>
      </c>
      <c r="F1069" s="7" t="s">
        <v>110</v>
      </c>
      <c r="G1069" s="1" t="n">
        <v>2</v>
      </c>
      <c r="H1069" s="1" t="n">
        <v>9</v>
      </c>
      <c r="I1069" s="10" t="n">
        <v>39969</v>
      </c>
      <c r="J1069" s="10" t="n">
        <v>39974</v>
      </c>
      <c r="K1069" s="1" t="n">
        <v>5</v>
      </c>
      <c r="L1069" s="1" t="n">
        <v>5</v>
      </c>
      <c r="M1069" s="3" t="s">
        <v>48</v>
      </c>
      <c r="N1069" s="3" t="s">
        <v>49</v>
      </c>
      <c r="O1069" s="3" t="s">
        <v>104</v>
      </c>
      <c r="P1069" s="2" t="str">
        <f aca="false">CONCATENATE(N1069," ",O1069)</f>
        <v>Alopecosa taeniata</v>
      </c>
      <c r="Q1069" s="1" t="s">
        <v>30</v>
      </c>
      <c r="R1069" s="1" t="s">
        <v>35</v>
      </c>
      <c r="S1069" s="1" t="n">
        <v>0</v>
      </c>
      <c r="T1069" s="1" t="n">
        <v>1</v>
      </c>
      <c r="U1069" s="1" t="n">
        <v>0</v>
      </c>
      <c r="V1069" s="1" t="n">
        <v>0</v>
      </c>
      <c r="W1069" s="1" t="n">
        <v>0</v>
      </c>
      <c r="X1069" s="1" t="n">
        <v>0</v>
      </c>
      <c r="Y1069" s="3" t="n">
        <f aca="false">SUM(S1069:T1069)</f>
        <v>1</v>
      </c>
      <c r="Z1069" s="3" t="n">
        <f aca="false">SUM(U1069:W1069)</f>
        <v>0</v>
      </c>
      <c r="AA1069" s="3" t="n">
        <f aca="false">SUM(S1069:X1069)</f>
        <v>1</v>
      </c>
      <c r="AB1069" s="11" t="n">
        <f aca="false">(AA1069/(K1069*L1069)*25)*4</f>
        <v>4</v>
      </c>
    </row>
    <row r="1070" customFormat="false" ht="14.25" hidden="false" customHeight="false" outlineLevel="0" collapsed="false">
      <c r="A1070" s="1" t="n">
        <v>2009</v>
      </c>
      <c r="B1070" s="7" t="s">
        <v>322</v>
      </c>
      <c r="C1070" s="7" t="n">
        <v>2</v>
      </c>
      <c r="D1070" s="7" t="s">
        <v>293</v>
      </c>
      <c r="E1070" s="7" t="s">
        <v>293</v>
      </c>
      <c r="F1070" s="7" t="s">
        <v>110</v>
      </c>
      <c r="G1070" s="1" t="n">
        <v>2</v>
      </c>
      <c r="H1070" s="1" t="n">
        <v>9</v>
      </c>
      <c r="I1070" s="10" t="n">
        <v>39969</v>
      </c>
      <c r="J1070" s="10" t="n">
        <v>39974</v>
      </c>
      <c r="K1070" s="1" t="n">
        <v>5</v>
      </c>
      <c r="L1070" s="1" t="n">
        <v>5</v>
      </c>
      <c r="M1070" s="3" t="s">
        <v>72</v>
      </c>
      <c r="N1070" s="3" t="s">
        <v>86</v>
      </c>
      <c r="O1070" s="8" t="s">
        <v>87</v>
      </c>
      <c r="P1070" s="2" t="str">
        <f aca="false">CONCATENATE(N1070," ",O1070)</f>
        <v>Haplodrassus soerenseni</v>
      </c>
      <c r="Q1070" s="1" t="s">
        <v>30</v>
      </c>
      <c r="R1070" s="1" t="s">
        <v>35</v>
      </c>
      <c r="S1070" s="1" t="n">
        <v>0</v>
      </c>
      <c r="T1070" s="1" t="n">
        <v>1</v>
      </c>
      <c r="U1070" s="1" t="n">
        <v>0</v>
      </c>
      <c r="V1070" s="1" t="n">
        <v>0</v>
      </c>
      <c r="W1070" s="1" t="n">
        <v>0</v>
      </c>
      <c r="X1070" s="1" t="n">
        <v>0</v>
      </c>
      <c r="Y1070" s="3" t="n">
        <f aca="false">SUM(S1070:T1070)</f>
        <v>1</v>
      </c>
      <c r="Z1070" s="3" t="n">
        <f aca="false">SUM(U1070:W1070)</f>
        <v>0</v>
      </c>
      <c r="AA1070" s="3" t="n">
        <f aca="false">SUM(S1070:X1070)</f>
        <v>1</v>
      </c>
      <c r="AB1070" s="11" t="n">
        <f aca="false">(AA1070/(K1070*L1070)*25)*4</f>
        <v>4</v>
      </c>
    </row>
    <row r="1071" customFormat="false" ht="14.25" hidden="false" customHeight="false" outlineLevel="0" collapsed="false">
      <c r="A1071" s="1" t="n">
        <v>2009</v>
      </c>
      <c r="B1071" s="7" t="s">
        <v>322</v>
      </c>
      <c r="C1071" s="7" t="n">
        <v>2</v>
      </c>
      <c r="D1071" s="7" t="s">
        <v>293</v>
      </c>
      <c r="E1071" s="7" t="s">
        <v>293</v>
      </c>
      <c r="F1071" s="7" t="s">
        <v>110</v>
      </c>
      <c r="G1071" s="1" t="n">
        <v>2</v>
      </c>
      <c r="H1071" s="1" t="n">
        <v>9</v>
      </c>
      <c r="I1071" s="10" t="n">
        <v>39969</v>
      </c>
      <c r="J1071" s="10" t="n">
        <v>39974</v>
      </c>
      <c r="K1071" s="1" t="n">
        <v>5</v>
      </c>
      <c r="L1071" s="1" t="n">
        <v>5</v>
      </c>
      <c r="M1071" s="3" t="s">
        <v>64</v>
      </c>
      <c r="N1071" s="3" t="s">
        <v>65</v>
      </c>
      <c r="O1071" s="3" t="s">
        <v>123</v>
      </c>
      <c r="P1071" s="2" t="str">
        <f aca="false">CONCATENATE(N1071," ",O1071)</f>
        <v>Zora nemoralis</v>
      </c>
      <c r="Q1071" s="1" t="s">
        <v>30</v>
      </c>
      <c r="R1071" s="1" t="s">
        <v>31</v>
      </c>
      <c r="S1071" s="1" t="n">
        <v>1</v>
      </c>
      <c r="T1071" s="1" t="n">
        <v>0</v>
      </c>
      <c r="U1071" s="1" t="n">
        <v>0</v>
      </c>
      <c r="V1071" s="1" t="n">
        <v>0</v>
      </c>
      <c r="W1071" s="1" t="n">
        <v>0</v>
      </c>
      <c r="X1071" s="1" t="n">
        <v>0</v>
      </c>
      <c r="Y1071" s="3" t="n">
        <f aca="false">SUM(S1071:T1071)</f>
        <v>1</v>
      </c>
      <c r="Z1071" s="3" t="n">
        <f aca="false">SUM(U1071:W1071)</f>
        <v>0</v>
      </c>
      <c r="AA1071" s="3" t="n">
        <f aca="false">SUM(S1071:X1071)</f>
        <v>1</v>
      </c>
      <c r="AB1071" s="11" t="n">
        <f aca="false">(AA1071/(K1071*L1071)*25)*4</f>
        <v>4</v>
      </c>
    </row>
    <row r="1072" customFormat="false" ht="14.25" hidden="false" customHeight="false" outlineLevel="0" collapsed="false">
      <c r="A1072" s="1" t="n">
        <v>2009</v>
      </c>
      <c r="B1072" s="7" t="s">
        <v>322</v>
      </c>
      <c r="C1072" s="7" t="n">
        <v>2</v>
      </c>
      <c r="D1072" s="7" t="s">
        <v>293</v>
      </c>
      <c r="E1072" s="7" t="s">
        <v>293</v>
      </c>
      <c r="F1072" s="7" t="s">
        <v>110</v>
      </c>
      <c r="G1072" s="1" t="n">
        <v>2</v>
      </c>
      <c r="H1072" s="1" t="n">
        <v>9</v>
      </c>
      <c r="I1072" s="10" t="n">
        <v>39969</v>
      </c>
      <c r="J1072" s="10" t="n">
        <v>39974</v>
      </c>
      <c r="K1072" s="1" t="n">
        <v>5</v>
      </c>
      <c r="L1072" s="1" t="n">
        <v>5</v>
      </c>
      <c r="M1072" s="3" t="s">
        <v>36</v>
      </c>
      <c r="N1072" s="3" t="s">
        <v>37</v>
      </c>
      <c r="O1072" s="8" t="s">
        <v>75</v>
      </c>
      <c r="P1072" s="2" t="str">
        <f aca="false">CONCATENATE(N1072," ",O1072)</f>
        <v>Ozyptila praticola</v>
      </c>
      <c r="Q1072" s="1" t="s">
        <v>30</v>
      </c>
      <c r="R1072" s="1" t="s">
        <v>31</v>
      </c>
      <c r="S1072" s="1" t="n">
        <v>2</v>
      </c>
      <c r="T1072" s="1" t="n">
        <v>0</v>
      </c>
      <c r="U1072" s="1" t="n">
        <v>0</v>
      </c>
      <c r="V1072" s="1" t="n">
        <v>0</v>
      </c>
      <c r="W1072" s="1" t="n">
        <v>0</v>
      </c>
      <c r="X1072" s="1" t="n">
        <v>0</v>
      </c>
      <c r="Y1072" s="3" t="n">
        <f aca="false">SUM(S1072:T1072)</f>
        <v>2</v>
      </c>
      <c r="Z1072" s="3" t="n">
        <f aca="false">SUM(U1072:W1072)</f>
        <v>0</v>
      </c>
      <c r="AA1072" s="3" t="n">
        <f aca="false">SUM(S1072:X1072)</f>
        <v>2</v>
      </c>
      <c r="AB1072" s="11" t="n">
        <f aca="false">(AA1072/(K1072*L1072)*25)*4</f>
        <v>8</v>
      </c>
    </row>
    <row r="1073" customFormat="false" ht="14.25" hidden="false" customHeight="false" outlineLevel="0" collapsed="false">
      <c r="A1073" s="1" t="n">
        <v>2009</v>
      </c>
      <c r="B1073" s="7" t="s">
        <v>322</v>
      </c>
      <c r="C1073" s="7" t="n">
        <v>2</v>
      </c>
      <c r="D1073" s="7" t="s">
        <v>293</v>
      </c>
      <c r="E1073" s="7" t="s">
        <v>293</v>
      </c>
      <c r="F1073" s="7" t="s">
        <v>110</v>
      </c>
      <c r="G1073" s="1" t="n">
        <v>2</v>
      </c>
      <c r="H1073" s="1" t="n">
        <v>9</v>
      </c>
      <c r="I1073" s="10" t="n">
        <v>39969</v>
      </c>
      <c r="J1073" s="10" t="n">
        <v>39974</v>
      </c>
      <c r="K1073" s="1" t="n">
        <v>5</v>
      </c>
      <c r="L1073" s="1" t="n">
        <v>5</v>
      </c>
      <c r="M1073" s="3" t="s">
        <v>36</v>
      </c>
      <c r="N1073" s="3" t="s">
        <v>131</v>
      </c>
      <c r="O1073" s="3" t="s">
        <v>133</v>
      </c>
      <c r="P1073" s="2" t="str">
        <f aca="false">CONCATENATE(N1073," ",O1073)</f>
        <v>Xysticus luctuosus</v>
      </c>
      <c r="Q1073" s="1" t="s">
        <v>30</v>
      </c>
      <c r="R1073" s="1" t="s">
        <v>31</v>
      </c>
      <c r="S1073" s="1" t="n">
        <v>1</v>
      </c>
      <c r="T1073" s="1" t="n">
        <v>0</v>
      </c>
      <c r="U1073" s="1" t="n">
        <v>0</v>
      </c>
      <c r="V1073" s="1" t="n">
        <v>0</v>
      </c>
      <c r="W1073" s="1" t="n">
        <v>0</v>
      </c>
      <c r="X1073" s="1" t="n">
        <v>0</v>
      </c>
      <c r="Y1073" s="3" t="n">
        <f aca="false">SUM(S1073:T1073)</f>
        <v>1</v>
      </c>
      <c r="Z1073" s="3" t="n">
        <f aca="false">SUM(U1073:W1073)</f>
        <v>0</v>
      </c>
      <c r="AA1073" s="3" t="n">
        <f aca="false">SUM(S1073:X1073)</f>
        <v>1</v>
      </c>
      <c r="AB1073" s="11" t="n">
        <f aca="false">(AA1073/(K1073*L1073)*25)*4</f>
        <v>4</v>
      </c>
    </row>
    <row r="1074" customFormat="false" ht="14.25" hidden="false" customHeight="false" outlineLevel="0" collapsed="false">
      <c r="A1074" s="1" t="n">
        <v>2009</v>
      </c>
      <c r="B1074" s="7" t="s">
        <v>322</v>
      </c>
      <c r="C1074" s="7" t="n">
        <v>2</v>
      </c>
      <c r="D1074" s="7" t="s">
        <v>293</v>
      </c>
      <c r="E1074" s="7" t="s">
        <v>293</v>
      </c>
      <c r="F1074" s="7" t="s">
        <v>110</v>
      </c>
      <c r="G1074" s="1" t="n">
        <v>2</v>
      </c>
      <c r="H1074" s="1" t="n">
        <v>10</v>
      </c>
      <c r="I1074" s="10" t="n">
        <v>39969</v>
      </c>
      <c r="J1074" s="10" t="n">
        <v>39974</v>
      </c>
      <c r="K1074" s="1" t="n">
        <v>5</v>
      </c>
      <c r="L1074" s="1" t="n">
        <v>5</v>
      </c>
      <c r="M1074" s="3" t="s">
        <v>48</v>
      </c>
      <c r="N1074" s="3" t="s">
        <v>49</v>
      </c>
      <c r="O1074" s="3" t="s">
        <v>104</v>
      </c>
      <c r="P1074" s="2" t="str">
        <f aca="false">CONCATENATE(N1074," ",O1074)</f>
        <v>Alopecosa taeniata</v>
      </c>
      <c r="Q1074" s="1" t="s">
        <v>30</v>
      </c>
      <c r="R1074" s="1" t="s">
        <v>31</v>
      </c>
      <c r="S1074" s="1" t="n">
        <v>2</v>
      </c>
      <c r="T1074" s="1" t="n">
        <v>0</v>
      </c>
      <c r="U1074" s="1" t="n">
        <v>0</v>
      </c>
      <c r="V1074" s="1" t="n">
        <v>0</v>
      </c>
      <c r="W1074" s="1" t="n">
        <v>0</v>
      </c>
      <c r="X1074" s="1" t="n">
        <v>0</v>
      </c>
      <c r="Y1074" s="3" t="n">
        <f aca="false">SUM(S1074:T1074)</f>
        <v>2</v>
      </c>
      <c r="Z1074" s="3" t="n">
        <f aca="false">SUM(U1074:W1074)</f>
        <v>0</v>
      </c>
      <c r="AA1074" s="3" t="n">
        <f aca="false">SUM(S1074:X1074)</f>
        <v>2</v>
      </c>
      <c r="AB1074" s="11" t="n">
        <f aca="false">(AA1074/(K1074*L1074)*25)*4</f>
        <v>8</v>
      </c>
    </row>
    <row r="1075" customFormat="false" ht="14.25" hidden="false" customHeight="false" outlineLevel="0" collapsed="false">
      <c r="A1075" s="1" t="n">
        <v>2009</v>
      </c>
      <c r="B1075" s="7" t="s">
        <v>322</v>
      </c>
      <c r="C1075" s="7" t="n">
        <v>2</v>
      </c>
      <c r="D1075" s="7" t="s">
        <v>293</v>
      </c>
      <c r="E1075" s="7" t="s">
        <v>293</v>
      </c>
      <c r="F1075" s="7" t="s">
        <v>110</v>
      </c>
      <c r="G1075" s="1" t="n">
        <v>2</v>
      </c>
      <c r="H1075" s="1" t="n">
        <v>10</v>
      </c>
      <c r="I1075" s="10" t="n">
        <v>39969</v>
      </c>
      <c r="J1075" s="10" t="n">
        <v>39974</v>
      </c>
      <c r="K1075" s="1" t="n">
        <v>5</v>
      </c>
      <c r="L1075" s="1" t="n">
        <v>5</v>
      </c>
      <c r="M1075" s="3" t="s">
        <v>48</v>
      </c>
      <c r="N1075" s="3" t="s">
        <v>67</v>
      </c>
      <c r="O1075" s="3" t="s">
        <v>127</v>
      </c>
      <c r="P1075" s="2" t="str">
        <f aca="false">CONCATENATE(N1075," ",O1075)</f>
        <v>Pardosa lugubris</v>
      </c>
      <c r="Q1075" s="1" t="s">
        <v>30</v>
      </c>
      <c r="R1075" s="1" t="s">
        <v>31</v>
      </c>
      <c r="S1075" s="1" t="n">
        <v>1</v>
      </c>
      <c r="T1075" s="1" t="n">
        <v>0</v>
      </c>
      <c r="U1075" s="1" t="n">
        <v>0</v>
      </c>
      <c r="V1075" s="1" t="n">
        <v>0</v>
      </c>
      <c r="W1075" s="1" t="n">
        <v>0</v>
      </c>
      <c r="X1075" s="1" t="n">
        <v>0</v>
      </c>
      <c r="Y1075" s="3" t="n">
        <f aca="false">SUM(S1075:T1075)</f>
        <v>1</v>
      </c>
      <c r="Z1075" s="3" t="n">
        <f aca="false">SUM(U1075:W1075)</f>
        <v>0</v>
      </c>
      <c r="AA1075" s="3" t="n">
        <f aca="false">SUM(S1075:X1075)</f>
        <v>1</v>
      </c>
      <c r="AB1075" s="11" t="n">
        <f aca="false">(AA1075/(K1075*L1075)*25)*4</f>
        <v>4</v>
      </c>
    </row>
    <row r="1076" customFormat="false" ht="14.25" hidden="false" customHeight="false" outlineLevel="0" collapsed="false">
      <c r="A1076" s="1" t="n">
        <v>2009</v>
      </c>
      <c r="B1076" s="7" t="s">
        <v>322</v>
      </c>
      <c r="C1076" s="7" t="n">
        <v>2</v>
      </c>
      <c r="D1076" s="7" t="s">
        <v>293</v>
      </c>
      <c r="E1076" s="7" t="s">
        <v>293</v>
      </c>
      <c r="F1076" s="7" t="s">
        <v>110</v>
      </c>
      <c r="G1076" s="1" t="n">
        <v>2</v>
      </c>
      <c r="H1076" s="1" t="n">
        <v>10</v>
      </c>
      <c r="I1076" s="10" t="n">
        <v>39969</v>
      </c>
      <c r="J1076" s="10" t="n">
        <v>39974</v>
      </c>
      <c r="K1076" s="1" t="n">
        <v>5</v>
      </c>
      <c r="L1076" s="1" t="n">
        <v>5</v>
      </c>
      <c r="M1076" s="3" t="s">
        <v>48</v>
      </c>
      <c r="N1076" s="3" t="s">
        <v>49</v>
      </c>
      <c r="O1076" s="3" t="s">
        <v>119</v>
      </c>
      <c r="P1076" s="2" t="str">
        <f aca="false">CONCATENATE(N1076," ",O1076)</f>
        <v>Alopecosa sulzeri</v>
      </c>
      <c r="Q1076" s="1" t="s">
        <v>30</v>
      </c>
      <c r="R1076" s="1" t="s">
        <v>31</v>
      </c>
      <c r="S1076" s="1" t="n">
        <v>1</v>
      </c>
      <c r="T1076" s="1" t="n">
        <v>0</v>
      </c>
      <c r="U1076" s="1" t="n">
        <v>0</v>
      </c>
      <c r="V1076" s="1" t="n">
        <v>0</v>
      </c>
      <c r="W1076" s="1" t="n">
        <v>0</v>
      </c>
      <c r="X1076" s="1" t="n">
        <v>0</v>
      </c>
      <c r="Y1076" s="3" t="n">
        <f aca="false">SUM(S1076:T1076)</f>
        <v>1</v>
      </c>
      <c r="Z1076" s="3" t="n">
        <f aca="false">SUM(U1076:W1076)</f>
        <v>0</v>
      </c>
      <c r="AA1076" s="3" t="n">
        <f aca="false">SUM(S1076:X1076)</f>
        <v>1</v>
      </c>
      <c r="AB1076" s="11" t="n">
        <f aca="false">(AA1076/(K1076*L1076)*25)*4</f>
        <v>4</v>
      </c>
    </row>
    <row r="1077" customFormat="false" ht="14.25" hidden="false" customHeight="false" outlineLevel="0" collapsed="false">
      <c r="A1077" s="1" t="n">
        <v>2009</v>
      </c>
      <c r="B1077" s="7" t="s">
        <v>322</v>
      </c>
      <c r="C1077" s="7" t="n">
        <v>2</v>
      </c>
      <c r="D1077" s="7" t="s">
        <v>293</v>
      </c>
      <c r="E1077" s="7" t="s">
        <v>293</v>
      </c>
      <c r="F1077" s="7" t="s">
        <v>110</v>
      </c>
      <c r="G1077" s="1" t="n">
        <v>2</v>
      </c>
      <c r="H1077" s="1" t="n">
        <v>10</v>
      </c>
      <c r="I1077" s="10" t="n">
        <v>39969</v>
      </c>
      <c r="J1077" s="10" t="n">
        <v>39974</v>
      </c>
      <c r="K1077" s="1" t="n">
        <v>5</v>
      </c>
      <c r="L1077" s="1" t="n">
        <v>5</v>
      </c>
      <c r="M1077" s="3" t="s">
        <v>36</v>
      </c>
      <c r="N1077" s="3" t="s">
        <v>131</v>
      </c>
      <c r="O1077" s="3" t="s">
        <v>133</v>
      </c>
      <c r="P1077" s="2" t="str">
        <f aca="false">CONCATENATE(N1077," ",O1077)</f>
        <v>Xysticus luctuosus</v>
      </c>
      <c r="Q1077" s="1" t="s">
        <v>30</v>
      </c>
      <c r="R1077" s="1" t="s">
        <v>31</v>
      </c>
      <c r="S1077" s="1" t="n">
        <v>2</v>
      </c>
      <c r="T1077" s="1" t="n">
        <v>0</v>
      </c>
      <c r="U1077" s="1" t="n">
        <v>0</v>
      </c>
      <c r="V1077" s="1" t="n">
        <v>0</v>
      </c>
      <c r="W1077" s="1" t="n">
        <v>0</v>
      </c>
      <c r="X1077" s="1" t="n">
        <v>0</v>
      </c>
      <c r="Y1077" s="3" t="n">
        <f aca="false">SUM(S1077:T1077)</f>
        <v>2</v>
      </c>
      <c r="Z1077" s="3" t="n">
        <f aca="false">SUM(U1077:W1077)</f>
        <v>0</v>
      </c>
      <c r="AA1077" s="3" t="n">
        <f aca="false">SUM(S1077:X1077)</f>
        <v>2</v>
      </c>
      <c r="AB1077" s="11" t="n">
        <f aca="false">(AA1077/(K1077*L1077)*25)*4</f>
        <v>8</v>
      </c>
    </row>
    <row r="1078" customFormat="false" ht="14.25" hidden="false" customHeight="false" outlineLevel="0" collapsed="false">
      <c r="A1078" s="1" t="n">
        <v>2009</v>
      </c>
      <c r="B1078" s="7" t="s">
        <v>322</v>
      </c>
      <c r="C1078" s="7" t="n">
        <v>2</v>
      </c>
      <c r="D1078" s="7" t="s">
        <v>293</v>
      </c>
      <c r="E1078" s="7" t="s">
        <v>293</v>
      </c>
      <c r="F1078" s="7" t="s">
        <v>110</v>
      </c>
      <c r="G1078" s="1" t="n">
        <v>2</v>
      </c>
      <c r="H1078" s="1" t="n">
        <v>10</v>
      </c>
      <c r="I1078" s="10" t="n">
        <v>39969</v>
      </c>
      <c r="J1078" s="10" t="n">
        <v>39974</v>
      </c>
      <c r="K1078" s="1" t="n">
        <v>5</v>
      </c>
      <c r="L1078" s="1" t="n">
        <v>5</v>
      </c>
      <c r="M1078" s="3" t="s">
        <v>36</v>
      </c>
      <c r="N1078" s="3" t="s">
        <v>131</v>
      </c>
      <c r="O1078" s="3" t="s">
        <v>133</v>
      </c>
      <c r="P1078" s="2" t="str">
        <f aca="false">CONCATENATE(N1078," ",O1078)</f>
        <v>Xysticus luctuosus</v>
      </c>
      <c r="Q1078" s="1" t="s">
        <v>30</v>
      </c>
      <c r="R1078" s="1" t="s">
        <v>35</v>
      </c>
      <c r="S1078" s="1" t="n">
        <v>0</v>
      </c>
      <c r="T1078" s="1" t="n">
        <v>1</v>
      </c>
      <c r="U1078" s="1" t="n">
        <v>0</v>
      </c>
      <c r="V1078" s="1" t="n">
        <v>0</v>
      </c>
      <c r="W1078" s="1" t="n">
        <v>0</v>
      </c>
      <c r="X1078" s="1" t="n">
        <v>0</v>
      </c>
      <c r="Y1078" s="3" t="n">
        <f aca="false">SUM(S1078:T1078)</f>
        <v>1</v>
      </c>
      <c r="Z1078" s="3" t="n">
        <f aca="false">SUM(U1078:W1078)</f>
        <v>0</v>
      </c>
      <c r="AA1078" s="3" t="n">
        <f aca="false">SUM(S1078:X1078)</f>
        <v>1</v>
      </c>
      <c r="AB1078" s="11" t="n">
        <f aca="false">(AA1078/(K1078*L1078)*25)*4</f>
        <v>4</v>
      </c>
    </row>
    <row r="1079" customFormat="false" ht="14.25" hidden="false" customHeight="false" outlineLevel="0" collapsed="false">
      <c r="A1079" s="1" t="n">
        <v>2009</v>
      </c>
      <c r="B1079" s="7" t="s">
        <v>322</v>
      </c>
      <c r="C1079" s="7" t="n">
        <v>2</v>
      </c>
      <c r="D1079" s="7" t="s">
        <v>293</v>
      </c>
      <c r="E1079" s="7" t="s">
        <v>293</v>
      </c>
      <c r="F1079" s="7" t="s">
        <v>110</v>
      </c>
      <c r="G1079" s="1" t="n">
        <v>2</v>
      </c>
      <c r="H1079" s="1" t="n">
        <v>10</v>
      </c>
      <c r="I1079" s="10" t="n">
        <v>39969</v>
      </c>
      <c r="J1079" s="10" t="n">
        <v>39974</v>
      </c>
      <c r="K1079" s="1" t="n">
        <v>5</v>
      </c>
      <c r="L1079" s="1" t="n">
        <v>5</v>
      </c>
      <c r="M1079" s="3" t="s">
        <v>36</v>
      </c>
      <c r="N1079" s="3" t="s">
        <v>131</v>
      </c>
      <c r="O1079" s="3" t="s">
        <v>132</v>
      </c>
      <c r="P1079" s="2" t="str">
        <f aca="false">CONCATENATE(N1079," ",O1079)</f>
        <v>Xysticus lanio</v>
      </c>
      <c r="Q1079" s="1" t="s">
        <v>30</v>
      </c>
      <c r="R1079" s="1" t="s">
        <v>31</v>
      </c>
      <c r="S1079" s="1" t="n">
        <v>1</v>
      </c>
      <c r="T1079" s="1" t="n">
        <v>0</v>
      </c>
      <c r="U1079" s="1" t="n">
        <v>0</v>
      </c>
      <c r="V1079" s="1" t="n">
        <v>0</v>
      </c>
      <c r="W1079" s="1" t="n">
        <v>0</v>
      </c>
      <c r="X1079" s="1" t="n">
        <v>0</v>
      </c>
      <c r="Y1079" s="3" t="n">
        <f aca="false">SUM(S1079:T1079)</f>
        <v>1</v>
      </c>
      <c r="Z1079" s="3" t="n">
        <f aca="false">SUM(U1079:W1079)</f>
        <v>0</v>
      </c>
      <c r="AA1079" s="3" t="n">
        <f aca="false">SUM(S1079:X1079)</f>
        <v>1</v>
      </c>
      <c r="AB1079" s="11" t="n">
        <f aca="false">(AA1079/(K1079*L1079)*25)*4</f>
        <v>4</v>
      </c>
    </row>
    <row r="1080" customFormat="false" ht="14.25" hidden="false" customHeight="false" outlineLevel="0" collapsed="false">
      <c r="A1080" s="1" t="n">
        <v>2009</v>
      </c>
      <c r="B1080" s="7" t="s">
        <v>322</v>
      </c>
      <c r="C1080" s="7" t="n">
        <v>2</v>
      </c>
      <c r="D1080" s="7" t="s">
        <v>293</v>
      </c>
      <c r="E1080" s="7" t="s">
        <v>293</v>
      </c>
      <c r="F1080" s="7" t="s">
        <v>110</v>
      </c>
      <c r="G1080" s="1" t="n">
        <v>2</v>
      </c>
      <c r="H1080" s="1" t="n">
        <v>10</v>
      </c>
      <c r="I1080" s="10" t="n">
        <v>39969</v>
      </c>
      <c r="J1080" s="10" t="n">
        <v>39974</v>
      </c>
      <c r="K1080" s="1" t="n">
        <v>5</v>
      </c>
      <c r="L1080" s="1" t="n">
        <v>5</v>
      </c>
      <c r="M1080" s="3" t="s">
        <v>32</v>
      </c>
      <c r="N1080" s="3" t="s">
        <v>84</v>
      </c>
      <c r="O1080" s="3" t="s">
        <v>85</v>
      </c>
      <c r="P1080" s="2" t="str">
        <f aca="false">CONCATENATE(N1080," ",O1080)</f>
        <v>Walckenaeria antica</v>
      </c>
      <c r="Q1080" s="1" t="s">
        <v>30</v>
      </c>
      <c r="R1080" s="1" t="s">
        <v>35</v>
      </c>
      <c r="S1080" s="1" t="n">
        <v>0</v>
      </c>
      <c r="T1080" s="1" t="n">
        <v>1</v>
      </c>
      <c r="U1080" s="1" t="n">
        <v>0</v>
      </c>
      <c r="V1080" s="1" t="n">
        <v>0</v>
      </c>
      <c r="W1080" s="1" t="n">
        <v>0</v>
      </c>
      <c r="X1080" s="1" t="n">
        <v>0</v>
      </c>
      <c r="Y1080" s="3" t="n">
        <f aca="false">SUM(S1080:T1080)</f>
        <v>1</v>
      </c>
      <c r="Z1080" s="3" t="n">
        <f aca="false">SUM(U1080:W1080)</f>
        <v>0</v>
      </c>
      <c r="AA1080" s="3" t="n">
        <f aca="false">SUM(S1080:X1080)</f>
        <v>1</v>
      </c>
      <c r="AB1080" s="11" t="n">
        <f aca="false">(AA1080/(K1080*L1080)*25)*4</f>
        <v>4</v>
      </c>
    </row>
    <row r="1081" customFormat="false" ht="14.25" hidden="false" customHeight="false" outlineLevel="0" collapsed="false">
      <c r="A1081" s="1" t="n">
        <v>2009</v>
      </c>
      <c r="B1081" s="7" t="s">
        <v>322</v>
      </c>
      <c r="C1081" s="7" t="n">
        <v>2</v>
      </c>
      <c r="D1081" s="7" t="s">
        <v>293</v>
      </c>
      <c r="E1081" s="7" t="s">
        <v>293</v>
      </c>
      <c r="F1081" s="7" t="s">
        <v>110</v>
      </c>
      <c r="G1081" s="1" t="n">
        <v>2</v>
      </c>
      <c r="H1081" s="1" t="n">
        <v>10</v>
      </c>
      <c r="I1081" s="10" t="n">
        <v>39969</v>
      </c>
      <c r="J1081" s="10" t="n">
        <v>39974</v>
      </c>
      <c r="K1081" s="1" t="n">
        <v>5</v>
      </c>
      <c r="L1081" s="1" t="n">
        <v>5</v>
      </c>
      <c r="M1081" s="3" t="s">
        <v>27</v>
      </c>
      <c r="N1081" s="3" t="s">
        <v>179</v>
      </c>
      <c r="O1081" s="3" t="s">
        <v>180</v>
      </c>
      <c r="P1081" s="2" t="str">
        <f aca="false">CONCATENATE(N1081," ",O1081)</f>
        <v>Theridion varians</v>
      </c>
      <c r="Q1081" s="1" t="s">
        <v>30</v>
      </c>
      <c r="R1081" s="1" t="s">
        <v>35</v>
      </c>
      <c r="S1081" s="1" t="n">
        <v>0</v>
      </c>
      <c r="T1081" s="1" t="n">
        <v>1</v>
      </c>
      <c r="U1081" s="1" t="n">
        <v>0</v>
      </c>
      <c r="V1081" s="1" t="n">
        <v>0</v>
      </c>
      <c r="W1081" s="1" t="n">
        <v>0</v>
      </c>
      <c r="X1081" s="1" t="n">
        <v>0</v>
      </c>
      <c r="Y1081" s="3" t="n">
        <f aca="false">SUM(S1081:T1081)</f>
        <v>1</v>
      </c>
      <c r="Z1081" s="3" t="n">
        <f aca="false">SUM(U1081:W1081)</f>
        <v>0</v>
      </c>
      <c r="AA1081" s="3" t="n">
        <f aca="false">SUM(S1081:X1081)</f>
        <v>1</v>
      </c>
      <c r="AB1081" s="11" t="n">
        <f aca="false">(AA1081/(K1081*L1081)*25)*4</f>
        <v>4</v>
      </c>
    </row>
    <row r="1082" customFormat="false" ht="14.25" hidden="false" customHeight="false" outlineLevel="0" collapsed="false">
      <c r="A1082" s="1" t="n">
        <v>2009</v>
      </c>
      <c r="B1082" s="7" t="s">
        <v>322</v>
      </c>
      <c r="C1082" s="7" t="n">
        <v>2</v>
      </c>
      <c r="D1082" s="7" t="s">
        <v>293</v>
      </c>
      <c r="E1082" s="7" t="s">
        <v>293</v>
      </c>
      <c r="F1082" s="7" t="s">
        <v>110</v>
      </c>
      <c r="G1082" s="1" t="n">
        <v>3</v>
      </c>
      <c r="H1082" s="1" t="n">
        <v>11</v>
      </c>
      <c r="I1082" s="10" t="n">
        <v>39969</v>
      </c>
      <c r="J1082" s="10" t="n">
        <v>39974</v>
      </c>
      <c r="K1082" s="1" t="n">
        <v>5</v>
      </c>
      <c r="L1082" s="1" t="n">
        <v>5</v>
      </c>
      <c r="M1082" s="3" t="s">
        <v>48</v>
      </c>
      <c r="N1082" s="3" t="s">
        <v>49</v>
      </c>
      <c r="O1082" s="3" t="s">
        <v>104</v>
      </c>
      <c r="P1082" s="2" t="str">
        <f aca="false">CONCATENATE(N1082," ",O1082)</f>
        <v>Alopecosa taeniata</v>
      </c>
      <c r="Q1082" s="1" t="s">
        <v>30</v>
      </c>
      <c r="R1082" s="1" t="s">
        <v>31</v>
      </c>
      <c r="S1082" s="1" t="n">
        <v>1</v>
      </c>
      <c r="T1082" s="1" t="n">
        <v>0</v>
      </c>
      <c r="U1082" s="1" t="n">
        <v>0</v>
      </c>
      <c r="V1082" s="1" t="n">
        <v>0</v>
      </c>
      <c r="W1082" s="1" t="n">
        <v>0</v>
      </c>
      <c r="X1082" s="1" t="n">
        <v>0</v>
      </c>
      <c r="Y1082" s="3" t="n">
        <f aca="false">SUM(S1082:T1082)</f>
        <v>1</v>
      </c>
      <c r="Z1082" s="3" t="n">
        <f aca="false">SUM(U1082:W1082)</f>
        <v>0</v>
      </c>
      <c r="AA1082" s="3" t="n">
        <f aca="false">SUM(S1082:X1082)</f>
        <v>1</v>
      </c>
      <c r="AB1082" s="11" t="n">
        <f aca="false">(AA1082/(K1082*L1082)*25)*4</f>
        <v>4</v>
      </c>
    </row>
    <row r="1083" customFormat="false" ht="14.25" hidden="false" customHeight="false" outlineLevel="0" collapsed="false">
      <c r="A1083" s="1" t="n">
        <v>2009</v>
      </c>
      <c r="B1083" s="7" t="s">
        <v>322</v>
      </c>
      <c r="C1083" s="7" t="n">
        <v>2</v>
      </c>
      <c r="D1083" s="7" t="s">
        <v>293</v>
      </c>
      <c r="E1083" s="7" t="s">
        <v>293</v>
      </c>
      <c r="F1083" s="7" t="s">
        <v>110</v>
      </c>
      <c r="G1083" s="1" t="n">
        <v>3</v>
      </c>
      <c r="H1083" s="1" t="n">
        <v>11</v>
      </c>
      <c r="I1083" s="10" t="n">
        <v>39969</v>
      </c>
      <c r="J1083" s="10" t="n">
        <v>39974</v>
      </c>
      <c r="K1083" s="1" t="n">
        <v>5</v>
      </c>
      <c r="L1083" s="1" t="n">
        <v>5</v>
      </c>
      <c r="M1083" s="3" t="s">
        <v>48</v>
      </c>
      <c r="N1083" s="3" t="s">
        <v>67</v>
      </c>
      <c r="O1083" s="3" t="s">
        <v>127</v>
      </c>
      <c r="P1083" s="2" t="str">
        <f aca="false">CONCATENATE(N1083," ",O1083)</f>
        <v>Pardosa lugubris</v>
      </c>
      <c r="Q1083" s="1" t="s">
        <v>30</v>
      </c>
      <c r="R1083" s="1" t="s">
        <v>31</v>
      </c>
      <c r="S1083" s="1" t="n">
        <v>1</v>
      </c>
      <c r="T1083" s="1" t="n">
        <v>0</v>
      </c>
      <c r="U1083" s="1" t="n">
        <v>0</v>
      </c>
      <c r="V1083" s="1" t="n">
        <v>0</v>
      </c>
      <c r="W1083" s="1" t="n">
        <v>0</v>
      </c>
      <c r="X1083" s="1" t="n">
        <v>0</v>
      </c>
      <c r="Y1083" s="3" t="n">
        <f aca="false">SUM(S1083:T1083)</f>
        <v>1</v>
      </c>
      <c r="Z1083" s="3" t="n">
        <f aca="false">SUM(U1083:W1083)</f>
        <v>0</v>
      </c>
      <c r="AA1083" s="3" t="n">
        <f aca="false">SUM(S1083:X1083)</f>
        <v>1</v>
      </c>
      <c r="AB1083" s="11" t="n">
        <f aca="false">(AA1083/(K1083*L1083)*25)*4</f>
        <v>4</v>
      </c>
    </row>
    <row r="1084" customFormat="false" ht="14.25" hidden="false" customHeight="false" outlineLevel="0" collapsed="false">
      <c r="A1084" s="1" t="n">
        <v>2009</v>
      </c>
      <c r="B1084" s="7" t="s">
        <v>322</v>
      </c>
      <c r="C1084" s="7" t="n">
        <v>2</v>
      </c>
      <c r="D1084" s="7" t="s">
        <v>293</v>
      </c>
      <c r="E1084" s="7" t="s">
        <v>293</v>
      </c>
      <c r="F1084" s="7" t="s">
        <v>110</v>
      </c>
      <c r="G1084" s="1" t="n">
        <v>3</v>
      </c>
      <c r="H1084" s="1" t="n">
        <v>11</v>
      </c>
      <c r="I1084" s="10" t="n">
        <v>39969</v>
      </c>
      <c r="J1084" s="10" t="n">
        <v>39974</v>
      </c>
      <c r="K1084" s="1" t="n">
        <v>5</v>
      </c>
      <c r="L1084" s="1" t="n">
        <v>5</v>
      </c>
      <c r="M1084" s="3" t="s">
        <v>36</v>
      </c>
      <c r="N1084" s="3" t="s">
        <v>131</v>
      </c>
      <c r="O1084" s="3" t="s">
        <v>133</v>
      </c>
      <c r="P1084" s="2" t="str">
        <f aca="false">CONCATENATE(N1084," ",O1084)</f>
        <v>Xysticus luctuosus</v>
      </c>
      <c r="Q1084" s="1" t="s">
        <v>30</v>
      </c>
      <c r="R1084" s="1" t="s">
        <v>31</v>
      </c>
      <c r="S1084" s="1" t="n">
        <v>3</v>
      </c>
      <c r="T1084" s="1" t="n">
        <v>0</v>
      </c>
      <c r="U1084" s="1" t="n">
        <v>0</v>
      </c>
      <c r="V1084" s="1" t="n">
        <v>0</v>
      </c>
      <c r="W1084" s="1" t="n">
        <v>0</v>
      </c>
      <c r="X1084" s="1" t="n">
        <v>0</v>
      </c>
      <c r="Y1084" s="3" t="n">
        <f aca="false">SUM(S1084:T1084)</f>
        <v>3</v>
      </c>
      <c r="Z1084" s="3" t="n">
        <f aca="false">SUM(U1084:W1084)</f>
        <v>0</v>
      </c>
      <c r="AA1084" s="3" t="n">
        <f aca="false">SUM(S1084:X1084)</f>
        <v>3</v>
      </c>
      <c r="AB1084" s="11" t="n">
        <f aca="false">(AA1084/(K1084*L1084)*25)*4</f>
        <v>12</v>
      </c>
    </row>
    <row r="1085" customFormat="false" ht="14.25" hidden="false" customHeight="false" outlineLevel="0" collapsed="false">
      <c r="A1085" s="1" t="n">
        <v>2009</v>
      </c>
      <c r="B1085" s="7" t="s">
        <v>322</v>
      </c>
      <c r="C1085" s="7" t="n">
        <v>2</v>
      </c>
      <c r="D1085" s="7" t="s">
        <v>293</v>
      </c>
      <c r="E1085" s="7" t="s">
        <v>293</v>
      </c>
      <c r="F1085" s="7" t="s">
        <v>110</v>
      </c>
      <c r="G1085" s="1" t="n">
        <v>3</v>
      </c>
      <c r="H1085" s="1" t="n">
        <v>11</v>
      </c>
      <c r="I1085" s="10" t="n">
        <v>39969</v>
      </c>
      <c r="J1085" s="10" t="n">
        <v>39974</v>
      </c>
      <c r="K1085" s="1" t="n">
        <v>5</v>
      </c>
      <c r="L1085" s="1" t="n">
        <v>5</v>
      </c>
      <c r="M1085" s="13" t="s">
        <v>92</v>
      </c>
      <c r="N1085" s="13" t="s">
        <v>111</v>
      </c>
      <c r="O1085" s="14" t="s">
        <v>112</v>
      </c>
      <c r="P1085" s="2" t="str">
        <f aca="false">CONCATENATE(N1085," ",O1085)</f>
        <v>Evarcha falcata</v>
      </c>
      <c r="Q1085" s="1" t="s">
        <v>30</v>
      </c>
      <c r="R1085" s="1" t="s">
        <v>35</v>
      </c>
      <c r="S1085" s="1" t="n">
        <v>0</v>
      </c>
      <c r="T1085" s="1" t="n">
        <v>1</v>
      </c>
      <c r="U1085" s="1" t="n">
        <v>0</v>
      </c>
      <c r="V1085" s="1" t="n">
        <v>0</v>
      </c>
      <c r="W1085" s="1" t="n">
        <v>0</v>
      </c>
      <c r="X1085" s="1" t="n">
        <v>0</v>
      </c>
      <c r="Y1085" s="3" t="n">
        <f aca="false">SUM(S1085:T1085)</f>
        <v>1</v>
      </c>
      <c r="Z1085" s="3" t="n">
        <f aca="false">SUM(U1085:W1085)</f>
        <v>0</v>
      </c>
      <c r="AA1085" s="3" t="n">
        <f aca="false">SUM(S1085:X1085)</f>
        <v>1</v>
      </c>
      <c r="AB1085" s="11" t="n">
        <f aca="false">(AA1085/(K1085*L1085)*25)*4</f>
        <v>4</v>
      </c>
    </row>
    <row r="1086" customFormat="false" ht="14.25" hidden="false" customHeight="false" outlineLevel="0" collapsed="false">
      <c r="A1086" s="1" t="n">
        <v>2009</v>
      </c>
      <c r="B1086" s="7" t="s">
        <v>322</v>
      </c>
      <c r="C1086" s="7" t="n">
        <v>2</v>
      </c>
      <c r="D1086" s="7" t="s">
        <v>293</v>
      </c>
      <c r="E1086" s="7" t="s">
        <v>293</v>
      </c>
      <c r="F1086" s="7" t="s">
        <v>110</v>
      </c>
      <c r="G1086" s="1" t="n">
        <v>3</v>
      </c>
      <c r="H1086" s="1" t="n">
        <v>11</v>
      </c>
      <c r="I1086" s="10" t="n">
        <v>39969</v>
      </c>
      <c r="J1086" s="10" t="n">
        <v>39974</v>
      </c>
      <c r="K1086" s="1" t="n">
        <v>5</v>
      </c>
      <c r="L1086" s="1" t="n">
        <v>5</v>
      </c>
      <c r="M1086" s="13" t="s">
        <v>32</v>
      </c>
      <c r="N1086" s="13" t="s">
        <v>96</v>
      </c>
      <c r="O1086" s="14" t="s">
        <v>97</v>
      </c>
      <c r="P1086" s="2" t="str">
        <f aca="false">CONCATENATE(N1086," ",O1086)</f>
        <v>Diplocephalus picinus</v>
      </c>
      <c r="Q1086" s="1" t="s">
        <v>30</v>
      </c>
      <c r="R1086" s="1" t="s">
        <v>31</v>
      </c>
      <c r="S1086" s="1" t="n">
        <v>1</v>
      </c>
      <c r="T1086" s="1" t="n">
        <v>0</v>
      </c>
      <c r="U1086" s="1" t="n">
        <v>0</v>
      </c>
      <c r="V1086" s="1" t="n">
        <v>0</v>
      </c>
      <c r="W1086" s="1" t="n">
        <v>0</v>
      </c>
      <c r="X1086" s="1" t="n">
        <v>0</v>
      </c>
      <c r="Y1086" s="3" t="n">
        <f aca="false">SUM(S1086:T1086)</f>
        <v>1</v>
      </c>
      <c r="Z1086" s="3" t="n">
        <f aca="false">SUM(U1086:W1086)</f>
        <v>0</v>
      </c>
      <c r="AA1086" s="3" t="n">
        <f aca="false">SUM(S1086:X1086)</f>
        <v>1</v>
      </c>
      <c r="AB1086" s="11" t="n">
        <f aca="false">(AA1086/(K1086*L1086)*25)*4</f>
        <v>4</v>
      </c>
    </row>
    <row r="1087" customFormat="false" ht="14.25" hidden="false" customHeight="false" outlineLevel="0" collapsed="false">
      <c r="A1087" s="1" t="n">
        <v>2009</v>
      </c>
      <c r="B1087" s="7" t="s">
        <v>322</v>
      </c>
      <c r="C1087" s="7" t="n">
        <v>2</v>
      </c>
      <c r="D1087" s="7" t="s">
        <v>293</v>
      </c>
      <c r="E1087" s="7" t="s">
        <v>293</v>
      </c>
      <c r="F1087" s="7" t="s">
        <v>110</v>
      </c>
      <c r="G1087" s="1" t="n">
        <v>3</v>
      </c>
      <c r="H1087" s="1" t="n">
        <v>12</v>
      </c>
      <c r="I1087" s="10" t="n">
        <v>39969</v>
      </c>
      <c r="J1087" s="10" t="n">
        <v>39974</v>
      </c>
      <c r="K1087" s="1" t="n">
        <v>5</v>
      </c>
      <c r="L1087" s="1" t="n">
        <v>5</v>
      </c>
      <c r="M1087" s="3" t="s">
        <v>48</v>
      </c>
      <c r="N1087" s="3" t="s">
        <v>49</v>
      </c>
      <c r="O1087" s="3" t="s">
        <v>104</v>
      </c>
      <c r="P1087" s="2" t="str">
        <f aca="false">CONCATENATE(N1087," ",O1087)</f>
        <v>Alopecosa taeniata</v>
      </c>
      <c r="Q1087" s="1" t="s">
        <v>30</v>
      </c>
      <c r="R1087" s="1" t="s">
        <v>31</v>
      </c>
      <c r="S1087" s="1" t="n">
        <v>2</v>
      </c>
      <c r="T1087" s="1" t="n">
        <v>0</v>
      </c>
      <c r="U1087" s="1" t="n">
        <v>0</v>
      </c>
      <c r="V1087" s="1" t="n">
        <v>0</v>
      </c>
      <c r="W1087" s="1" t="n">
        <v>0</v>
      </c>
      <c r="X1087" s="1" t="n">
        <v>0</v>
      </c>
      <c r="Y1087" s="3" t="n">
        <f aca="false">SUM(S1087:T1087)</f>
        <v>2</v>
      </c>
      <c r="Z1087" s="3" t="n">
        <f aca="false">SUM(U1087:W1087)</f>
        <v>0</v>
      </c>
      <c r="AA1087" s="3" t="n">
        <f aca="false">SUM(S1087:X1087)</f>
        <v>2</v>
      </c>
      <c r="AB1087" s="11" t="n">
        <f aca="false">(AA1087/(K1087*L1087)*25)*4</f>
        <v>8</v>
      </c>
    </row>
    <row r="1088" customFormat="false" ht="14.25" hidden="false" customHeight="false" outlineLevel="0" collapsed="false">
      <c r="A1088" s="1" t="n">
        <v>2009</v>
      </c>
      <c r="B1088" s="7" t="s">
        <v>322</v>
      </c>
      <c r="C1088" s="7" t="n">
        <v>2</v>
      </c>
      <c r="D1088" s="7" t="s">
        <v>293</v>
      </c>
      <c r="E1088" s="7" t="s">
        <v>293</v>
      </c>
      <c r="F1088" s="7" t="s">
        <v>110</v>
      </c>
      <c r="G1088" s="1" t="n">
        <v>3</v>
      </c>
      <c r="H1088" s="1" t="n">
        <v>12</v>
      </c>
      <c r="I1088" s="10" t="n">
        <v>39969</v>
      </c>
      <c r="J1088" s="10" t="n">
        <v>39974</v>
      </c>
      <c r="K1088" s="1" t="n">
        <v>5</v>
      </c>
      <c r="L1088" s="1" t="n">
        <v>5</v>
      </c>
      <c r="M1088" s="3" t="s">
        <v>48</v>
      </c>
      <c r="N1088" s="3" t="s">
        <v>49</v>
      </c>
      <c r="O1088" s="3" t="s">
        <v>104</v>
      </c>
      <c r="P1088" s="2" t="str">
        <f aca="false">CONCATENATE(N1088," ",O1088)</f>
        <v>Alopecosa taeniata</v>
      </c>
      <c r="Q1088" s="1" t="s">
        <v>30</v>
      </c>
      <c r="R1088" s="1" t="s">
        <v>35</v>
      </c>
      <c r="S1088" s="1" t="n">
        <v>0</v>
      </c>
      <c r="T1088" s="1" t="n">
        <v>1</v>
      </c>
      <c r="U1088" s="1" t="n">
        <v>0</v>
      </c>
      <c r="V1088" s="1" t="n">
        <v>0</v>
      </c>
      <c r="W1088" s="1" t="n">
        <v>0</v>
      </c>
      <c r="X1088" s="1" t="n">
        <v>0</v>
      </c>
      <c r="Y1088" s="3" t="n">
        <f aca="false">SUM(S1088:T1088)</f>
        <v>1</v>
      </c>
      <c r="Z1088" s="3" t="n">
        <f aca="false">SUM(U1088:W1088)</f>
        <v>0</v>
      </c>
      <c r="AA1088" s="3" t="n">
        <f aca="false">SUM(S1088:X1088)</f>
        <v>1</v>
      </c>
      <c r="AB1088" s="11" t="n">
        <f aca="false">(AA1088/(K1088*L1088)*25)*4</f>
        <v>4</v>
      </c>
    </row>
    <row r="1089" customFormat="false" ht="14.25" hidden="false" customHeight="false" outlineLevel="0" collapsed="false">
      <c r="A1089" s="1" t="n">
        <v>2009</v>
      </c>
      <c r="B1089" s="7" t="s">
        <v>322</v>
      </c>
      <c r="C1089" s="7" t="n">
        <v>2</v>
      </c>
      <c r="D1089" s="7" t="s">
        <v>293</v>
      </c>
      <c r="E1089" s="7" t="s">
        <v>293</v>
      </c>
      <c r="F1089" s="7" t="s">
        <v>110</v>
      </c>
      <c r="G1089" s="1" t="n">
        <v>3</v>
      </c>
      <c r="H1089" s="1" t="n">
        <v>12</v>
      </c>
      <c r="I1089" s="10" t="n">
        <v>39969</v>
      </c>
      <c r="J1089" s="10" t="n">
        <v>39974</v>
      </c>
      <c r="K1089" s="1" t="n">
        <v>5</v>
      </c>
      <c r="L1089" s="1" t="n">
        <v>5</v>
      </c>
      <c r="M1089" s="3" t="s">
        <v>48</v>
      </c>
      <c r="N1089" s="3" t="s">
        <v>49</v>
      </c>
      <c r="O1089" s="3" t="s">
        <v>130</v>
      </c>
      <c r="P1089" s="2" t="str">
        <f aca="false">CONCATENATE(N1089," ",O1089)</f>
        <v>Alopecosa aculeata</v>
      </c>
      <c r="Q1089" s="1" t="s">
        <v>30</v>
      </c>
      <c r="R1089" s="1" t="s">
        <v>31</v>
      </c>
      <c r="S1089" s="1" t="n">
        <v>2</v>
      </c>
      <c r="T1089" s="1" t="n">
        <v>0</v>
      </c>
      <c r="U1089" s="1" t="n">
        <v>0</v>
      </c>
      <c r="V1089" s="1" t="n">
        <v>0</v>
      </c>
      <c r="W1089" s="1" t="n">
        <v>0</v>
      </c>
      <c r="X1089" s="1" t="n">
        <v>0</v>
      </c>
      <c r="Y1089" s="3" t="n">
        <f aca="false">SUM(S1089:T1089)</f>
        <v>2</v>
      </c>
      <c r="Z1089" s="3" t="n">
        <f aca="false">SUM(U1089:W1089)</f>
        <v>0</v>
      </c>
      <c r="AA1089" s="3" t="n">
        <f aca="false">SUM(S1089:X1089)</f>
        <v>2</v>
      </c>
      <c r="AB1089" s="11" t="n">
        <f aca="false">(AA1089/(K1089*L1089)*25)*4</f>
        <v>8</v>
      </c>
    </row>
    <row r="1090" customFormat="false" ht="14.25" hidden="false" customHeight="false" outlineLevel="0" collapsed="false">
      <c r="A1090" s="1" t="n">
        <v>2009</v>
      </c>
      <c r="B1090" s="7" t="s">
        <v>322</v>
      </c>
      <c r="C1090" s="7" t="n">
        <v>2</v>
      </c>
      <c r="D1090" s="7" t="s">
        <v>293</v>
      </c>
      <c r="E1090" s="7" t="s">
        <v>293</v>
      </c>
      <c r="F1090" s="7" t="s">
        <v>110</v>
      </c>
      <c r="G1090" s="1" t="n">
        <v>3</v>
      </c>
      <c r="H1090" s="1" t="n">
        <v>12</v>
      </c>
      <c r="I1090" s="10" t="n">
        <v>39969</v>
      </c>
      <c r="J1090" s="10" t="n">
        <v>39974</v>
      </c>
      <c r="K1090" s="1" t="n">
        <v>5</v>
      </c>
      <c r="L1090" s="1" t="n">
        <v>5</v>
      </c>
      <c r="M1090" s="3" t="s">
        <v>48</v>
      </c>
      <c r="N1090" s="3" t="s">
        <v>49</v>
      </c>
      <c r="O1090" s="3" t="s">
        <v>130</v>
      </c>
      <c r="P1090" s="2" t="str">
        <f aca="false">CONCATENATE(N1090," ",O1090)</f>
        <v>Alopecosa aculeata</v>
      </c>
      <c r="Q1090" s="1" t="s">
        <v>30</v>
      </c>
      <c r="R1090" s="1" t="s">
        <v>35</v>
      </c>
      <c r="S1090" s="1" t="n">
        <v>0</v>
      </c>
      <c r="T1090" s="1" t="n">
        <v>1</v>
      </c>
      <c r="U1090" s="1" t="n">
        <v>0</v>
      </c>
      <c r="V1090" s="1" t="n">
        <v>0</v>
      </c>
      <c r="W1090" s="1" t="n">
        <v>0</v>
      </c>
      <c r="X1090" s="1" t="n">
        <v>0</v>
      </c>
      <c r="Y1090" s="3" t="n">
        <f aca="false">SUM(S1090:T1090)</f>
        <v>1</v>
      </c>
      <c r="Z1090" s="3" t="n">
        <f aca="false">SUM(U1090:W1090)</f>
        <v>0</v>
      </c>
      <c r="AA1090" s="3" t="n">
        <f aca="false">SUM(S1090:X1090)</f>
        <v>1</v>
      </c>
      <c r="AB1090" s="11" t="n">
        <f aca="false">(AA1090/(K1090*L1090)*25)*4</f>
        <v>4</v>
      </c>
    </row>
    <row r="1091" customFormat="false" ht="14.25" hidden="false" customHeight="false" outlineLevel="0" collapsed="false">
      <c r="A1091" s="1" t="n">
        <v>2009</v>
      </c>
      <c r="B1091" s="7" t="s">
        <v>322</v>
      </c>
      <c r="C1091" s="7" t="n">
        <v>2</v>
      </c>
      <c r="D1091" s="7" t="s">
        <v>293</v>
      </c>
      <c r="E1091" s="7" t="s">
        <v>293</v>
      </c>
      <c r="F1091" s="7" t="s">
        <v>110</v>
      </c>
      <c r="G1091" s="1" t="n">
        <v>3</v>
      </c>
      <c r="H1091" s="1" t="n">
        <v>12</v>
      </c>
      <c r="I1091" s="10" t="n">
        <v>39969</v>
      </c>
      <c r="J1091" s="10" t="n">
        <v>39974</v>
      </c>
      <c r="K1091" s="1" t="n">
        <v>5</v>
      </c>
      <c r="L1091" s="1" t="n">
        <v>5</v>
      </c>
      <c r="M1091" s="3" t="s">
        <v>72</v>
      </c>
      <c r="N1091" s="3" t="s">
        <v>73</v>
      </c>
      <c r="O1091" s="3" t="s">
        <v>74</v>
      </c>
      <c r="P1091" s="2" t="str">
        <f aca="false">CONCATENATE(N1091," ",O1091)</f>
        <v>Zelotes subterraneus</v>
      </c>
      <c r="Q1091" s="1" t="s">
        <v>30</v>
      </c>
      <c r="R1091" s="1" t="s">
        <v>35</v>
      </c>
      <c r="S1091" s="1" t="n">
        <v>0</v>
      </c>
      <c r="T1091" s="1" t="n">
        <v>1</v>
      </c>
      <c r="U1091" s="1" t="n">
        <v>0</v>
      </c>
      <c r="V1091" s="1" t="n">
        <v>0</v>
      </c>
      <c r="W1091" s="1" t="n">
        <v>0</v>
      </c>
      <c r="X1091" s="1" t="n">
        <v>0</v>
      </c>
      <c r="Y1091" s="3" t="n">
        <f aca="false">SUM(S1091:T1091)</f>
        <v>1</v>
      </c>
      <c r="Z1091" s="3" t="n">
        <f aca="false">SUM(U1091:W1091)</f>
        <v>0</v>
      </c>
      <c r="AA1091" s="3" t="n">
        <f aca="false">SUM(S1091:X1091)</f>
        <v>1</v>
      </c>
      <c r="AB1091" s="11" t="n">
        <f aca="false">(AA1091/(K1091*L1091)*25)*4</f>
        <v>4</v>
      </c>
    </row>
    <row r="1092" customFormat="false" ht="14.25" hidden="false" customHeight="false" outlineLevel="0" collapsed="false">
      <c r="A1092" s="1" t="n">
        <v>2009</v>
      </c>
      <c r="B1092" s="7" t="s">
        <v>322</v>
      </c>
      <c r="C1092" s="7" t="n">
        <v>2</v>
      </c>
      <c r="D1092" s="7" t="s">
        <v>293</v>
      </c>
      <c r="E1092" s="7" t="s">
        <v>293</v>
      </c>
      <c r="F1092" s="7" t="s">
        <v>110</v>
      </c>
      <c r="G1092" s="1" t="n">
        <v>3</v>
      </c>
      <c r="H1092" s="1" t="n">
        <v>12</v>
      </c>
      <c r="I1092" s="10" t="n">
        <v>39969</v>
      </c>
      <c r="J1092" s="10" t="n">
        <v>39974</v>
      </c>
      <c r="K1092" s="1" t="n">
        <v>5</v>
      </c>
      <c r="L1092" s="1" t="n">
        <v>5</v>
      </c>
      <c r="M1092" s="3" t="s">
        <v>36</v>
      </c>
      <c r="N1092" s="3" t="s">
        <v>131</v>
      </c>
      <c r="O1092" s="3" t="s">
        <v>133</v>
      </c>
      <c r="P1092" s="2" t="str">
        <f aca="false">CONCATENATE(N1092," ",O1092)</f>
        <v>Xysticus luctuosus</v>
      </c>
      <c r="Q1092" s="1" t="s">
        <v>30</v>
      </c>
      <c r="R1092" s="1" t="s">
        <v>31</v>
      </c>
      <c r="S1092" s="1" t="n">
        <v>1</v>
      </c>
      <c r="T1092" s="1" t="n">
        <v>0</v>
      </c>
      <c r="U1092" s="1" t="n">
        <v>0</v>
      </c>
      <c r="V1092" s="1" t="n">
        <v>0</v>
      </c>
      <c r="W1092" s="1" t="n">
        <v>0</v>
      </c>
      <c r="X1092" s="1" t="n">
        <v>0</v>
      </c>
      <c r="Y1092" s="3" t="n">
        <f aca="false">SUM(S1092:T1092)</f>
        <v>1</v>
      </c>
      <c r="Z1092" s="3" t="n">
        <f aca="false">SUM(U1092:W1092)</f>
        <v>0</v>
      </c>
      <c r="AA1092" s="3" t="n">
        <f aca="false">SUM(S1092:X1092)</f>
        <v>1</v>
      </c>
      <c r="AB1092" s="11" t="n">
        <f aca="false">(AA1092/(K1092*L1092)*25)*4</f>
        <v>4</v>
      </c>
    </row>
    <row r="1093" customFormat="false" ht="14.25" hidden="false" customHeight="false" outlineLevel="0" collapsed="false">
      <c r="A1093" s="1" t="n">
        <v>2009</v>
      </c>
      <c r="B1093" s="7" t="s">
        <v>322</v>
      </c>
      <c r="C1093" s="7" t="n">
        <v>2</v>
      </c>
      <c r="D1093" s="7" t="s">
        <v>293</v>
      </c>
      <c r="E1093" s="7" t="s">
        <v>293</v>
      </c>
      <c r="F1093" s="7" t="s">
        <v>110</v>
      </c>
      <c r="G1093" s="1" t="n">
        <v>3</v>
      </c>
      <c r="H1093" s="1" t="n">
        <v>13</v>
      </c>
      <c r="I1093" s="10" t="n">
        <v>39969</v>
      </c>
      <c r="J1093" s="10" t="n">
        <v>39974</v>
      </c>
      <c r="K1093" s="1" t="n">
        <v>5</v>
      </c>
      <c r="L1093" s="1" t="n">
        <v>5</v>
      </c>
      <c r="M1093" s="3" t="s">
        <v>48</v>
      </c>
      <c r="N1093" s="3" t="s">
        <v>49</v>
      </c>
      <c r="O1093" s="3" t="s">
        <v>104</v>
      </c>
      <c r="P1093" s="2" t="str">
        <f aca="false">CONCATENATE(N1093," ",O1093)</f>
        <v>Alopecosa taeniata</v>
      </c>
      <c r="Q1093" s="1" t="s">
        <v>30</v>
      </c>
      <c r="R1093" s="1" t="s">
        <v>31</v>
      </c>
      <c r="S1093" s="1" t="n">
        <v>1</v>
      </c>
      <c r="T1093" s="1" t="n">
        <v>0</v>
      </c>
      <c r="U1093" s="1" t="n">
        <v>0</v>
      </c>
      <c r="V1093" s="1" t="n">
        <v>0</v>
      </c>
      <c r="W1093" s="1" t="n">
        <v>0</v>
      </c>
      <c r="X1093" s="1" t="n">
        <v>0</v>
      </c>
      <c r="Y1093" s="3" t="n">
        <f aca="false">SUM(S1093:T1093)</f>
        <v>1</v>
      </c>
      <c r="Z1093" s="3" t="n">
        <f aca="false">SUM(U1093:W1093)</f>
        <v>0</v>
      </c>
      <c r="AA1093" s="3" t="n">
        <f aca="false">SUM(S1093:X1093)</f>
        <v>1</v>
      </c>
      <c r="AB1093" s="11" t="n">
        <f aca="false">(AA1093/(K1093*L1093)*25)*4</f>
        <v>4</v>
      </c>
    </row>
    <row r="1094" customFormat="false" ht="14.25" hidden="false" customHeight="false" outlineLevel="0" collapsed="false">
      <c r="A1094" s="1" t="n">
        <v>2009</v>
      </c>
      <c r="B1094" s="7" t="s">
        <v>322</v>
      </c>
      <c r="C1094" s="7" t="n">
        <v>2</v>
      </c>
      <c r="D1094" s="7" t="s">
        <v>293</v>
      </c>
      <c r="E1094" s="7" t="s">
        <v>293</v>
      </c>
      <c r="F1094" s="7" t="s">
        <v>110</v>
      </c>
      <c r="G1094" s="1" t="n">
        <v>3</v>
      </c>
      <c r="H1094" s="1" t="n">
        <v>13</v>
      </c>
      <c r="I1094" s="10" t="n">
        <v>39969</v>
      </c>
      <c r="J1094" s="10" t="n">
        <v>39974</v>
      </c>
      <c r="K1094" s="1" t="n">
        <v>5</v>
      </c>
      <c r="L1094" s="1" t="n">
        <v>5</v>
      </c>
      <c r="M1094" s="3" t="s">
        <v>48</v>
      </c>
      <c r="N1094" s="3" t="s">
        <v>49</v>
      </c>
      <c r="O1094" s="3" t="s">
        <v>104</v>
      </c>
      <c r="P1094" s="2" t="str">
        <f aca="false">CONCATENATE(N1094," ",O1094)</f>
        <v>Alopecosa taeniata</v>
      </c>
      <c r="Q1094" s="1" t="s">
        <v>30</v>
      </c>
      <c r="R1094" s="1" t="s">
        <v>35</v>
      </c>
      <c r="S1094" s="1" t="n">
        <v>0</v>
      </c>
      <c r="T1094" s="1" t="n">
        <v>1</v>
      </c>
      <c r="U1094" s="1" t="n">
        <v>0</v>
      </c>
      <c r="V1094" s="1" t="n">
        <v>0</v>
      </c>
      <c r="W1094" s="1" t="n">
        <v>0</v>
      </c>
      <c r="X1094" s="1" t="n">
        <v>0</v>
      </c>
      <c r="Y1094" s="3" t="n">
        <f aca="false">SUM(S1094:T1094)</f>
        <v>1</v>
      </c>
      <c r="Z1094" s="3" t="n">
        <f aca="false">SUM(U1094:W1094)</f>
        <v>0</v>
      </c>
      <c r="AA1094" s="3" t="n">
        <f aca="false">SUM(S1094:X1094)</f>
        <v>1</v>
      </c>
      <c r="AB1094" s="11" t="n">
        <f aca="false">(AA1094/(K1094*L1094)*25)*4</f>
        <v>4</v>
      </c>
    </row>
    <row r="1095" customFormat="false" ht="14.25" hidden="false" customHeight="false" outlineLevel="0" collapsed="false">
      <c r="A1095" s="1" t="n">
        <v>2009</v>
      </c>
      <c r="B1095" s="7" t="s">
        <v>322</v>
      </c>
      <c r="C1095" s="7" t="n">
        <v>2</v>
      </c>
      <c r="D1095" s="7" t="s">
        <v>293</v>
      </c>
      <c r="E1095" s="7" t="s">
        <v>293</v>
      </c>
      <c r="F1095" s="7" t="s">
        <v>110</v>
      </c>
      <c r="G1095" s="1" t="n">
        <v>3</v>
      </c>
      <c r="H1095" s="1" t="n">
        <v>13</v>
      </c>
      <c r="I1095" s="10" t="n">
        <v>39969</v>
      </c>
      <c r="J1095" s="10" t="n">
        <v>39974</v>
      </c>
      <c r="K1095" s="1" t="n">
        <v>5</v>
      </c>
      <c r="L1095" s="1" t="n">
        <v>5</v>
      </c>
      <c r="M1095" s="3" t="s">
        <v>48</v>
      </c>
      <c r="N1095" s="3" t="s">
        <v>49</v>
      </c>
      <c r="O1095" s="3" t="s">
        <v>130</v>
      </c>
      <c r="P1095" s="2" t="str">
        <f aca="false">CONCATENATE(N1095," ",O1095)</f>
        <v>Alopecosa aculeata</v>
      </c>
      <c r="Q1095" s="1" t="s">
        <v>30</v>
      </c>
      <c r="R1095" s="1" t="s">
        <v>31</v>
      </c>
      <c r="S1095" s="1" t="n">
        <v>2</v>
      </c>
      <c r="T1095" s="1" t="n">
        <v>0</v>
      </c>
      <c r="U1095" s="1" t="n">
        <v>0</v>
      </c>
      <c r="V1095" s="1" t="n">
        <v>0</v>
      </c>
      <c r="W1095" s="1" t="n">
        <v>0</v>
      </c>
      <c r="X1095" s="1" t="n">
        <v>0</v>
      </c>
      <c r="Y1095" s="3" t="n">
        <f aca="false">SUM(S1095:T1095)</f>
        <v>2</v>
      </c>
      <c r="Z1095" s="3" t="n">
        <f aca="false">SUM(U1095:W1095)</f>
        <v>0</v>
      </c>
      <c r="AA1095" s="3" t="n">
        <f aca="false">SUM(S1095:X1095)</f>
        <v>2</v>
      </c>
      <c r="AB1095" s="11" t="n">
        <f aca="false">(AA1095/(K1095*L1095)*25)*4</f>
        <v>8</v>
      </c>
    </row>
    <row r="1096" customFormat="false" ht="14.25" hidden="false" customHeight="false" outlineLevel="0" collapsed="false">
      <c r="A1096" s="1" t="n">
        <v>2009</v>
      </c>
      <c r="B1096" s="7" t="s">
        <v>322</v>
      </c>
      <c r="C1096" s="7" t="n">
        <v>2</v>
      </c>
      <c r="D1096" s="7" t="s">
        <v>293</v>
      </c>
      <c r="E1096" s="7" t="s">
        <v>293</v>
      </c>
      <c r="F1096" s="7" t="s">
        <v>110</v>
      </c>
      <c r="G1096" s="1" t="n">
        <v>3</v>
      </c>
      <c r="H1096" s="1" t="n">
        <v>13</v>
      </c>
      <c r="I1096" s="10" t="n">
        <v>39969</v>
      </c>
      <c r="J1096" s="10" t="n">
        <v>39974</v>
      </c>
      <c r="K1096" s="1" t="n">
        <v>5</v>
      </c>
      <c r="L1096" s="1" t="n">
        <v>5</v>
      </c>
      <c r="M1096" s="3" t="s">
        <v>48</v>
      </c>
      <c r="N1096" s="3" t="s">
        <v>49</v>
      </c>
      <c r="O1096" s="3" t="s">
        <v>119</v>
      </c>
      <c r="P1096" s="2" t="str">
        <f aca="false">CONCATENATE(N1096," ",O1096)</f>
        <v>Alopecosa sulzeri</v>
      </c>
      <c r="Q1096" s="1" t="s">
        <v>30</v>
      </c>
      <c r="R1096" s="1" t="s">
        <v>31</v>
      </c>
      <c r="S1096" s="1" t="n">
        <v>1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0</v>
      </c>
      <c r="Y1096" s="3" t="n">
        <f aca="false">SUM(S1096:T1096)</f>
        <v>1</v>
      </c>
      <c r="Z1096" s="3" t="n">
        <f aca="false">SUM(U1096:W1096)</f>
        <v>0</v>
      </c>
      <c r="AA1096" s="3" t="n">
        <f aca="false">SUM(S1096:X1096)</f>
        <v>1</v>
      </c>
      <c r="AB1096" s="11" t="n">
        <f aca="false">(AA1096/(K1096*L1096)*25)*4</f>
        <v>4</v>
      </c>
    </row>
    <row r="1097" customFormat="false" ht="14.25" hidden="false" customHeight="false" outlineLevel="0" collapsed="false">
      <c r="A1097" s="1" t="n">
        <v>2009</v>
      </c>
      <c r="B1097" s="7" t="s">
        <v>322</v>
      </c>
      <c r="C1097" s="7" t="n">
        <v>2</v>
      </c>
      <c r="D1097" s="7" t="s">
        <v>293</v>
      </c>
      <c r="E1097" s="7" t="s">
        <v>293</v>
      </c>
      <c r="F1097" s="7" t="s">
        <v>110</v>
      </c>
      <c r="G1097" s="1" t="n">
        <v>3</v>
      </c>
      <c r="H1097" s="1" t="n">
        <v>13</v>
      </c>
      <c r="I1097" s="10" t="n">
        <v>39969</v>
      </c>
      <c r="J1097" s="10" t="n">
        <v>39974</v>
      </c>
      <c r="K1097" s="1" t="n">
        <v>5</v>
      </c>
      <c r="L1097" s="1" t="n">
        <v>5</v>
      </c>
      <c r="M1097" s="3" t="s">
        <v>48</v>
      </c>
      <c r="N1097" s="3" t="s">
        <v>67</v>
      </c>
      <c r="O1097" s="3" t="s">
        <v>127</v>
      </c>
      <c r="P1097" s="2" t="str">
        <f aca="false">CONCATENATE(N1097," ",O1097)</f>
        <v>Pardosa lugubris</v>
      </c>
      <c r="Q1097" s="1" t="s">
        <v>30</v>
      </c>
      <c r="R1097" s="1" t="s">
        <v>31</v>
      </c>
      <c r="S1097" s="1" t="n">
        <v>1</v>
      </c>
      <c r="T1097" s="1" t="n">
        <v>0</v>
      </c>
      <c r="U1097" s="1" t="n">
        <v>0</v>
      </c>
      <c r="V1097" s="1" t="n">
        <v>0</v>
      </c>
      <c r="W1097" s="1" t="n">
        <v>0</v>
      </c>
      <c r="X1097" s="1" t="n">
        <v>0</v>
      </c>
      <c r="Y1097" s="3" t="n">
        <f aca="false">SUM(S1097:T1097)</f>
        <v>1</v>
      </c>
      <c r="Z1097" s="3" t="n">
        <f aca="false">SUM(U1097:W1097)</f>
        <v>0</v>
      </c>
      <c r="AA1097" s="3" t="n">
        <f aca="false">SUM(S1097:X1097)</f>
        <v>1</v>
      </c>
      <c r="AB1097" s="11" t="n">
        <f aca="false">(AA1097/(K1097*L1097)*25)*4</f>
        <v>4</v>
      </c>
    </row>
    <row r="1098" customFormat="false" ht="14.25" hidden="false" customHeight="false" outlineLevel="0" collapsed="false">
      <c r="A1098" s="1" t="n">
        <v>2009</v>
      </c>
      <c r="B1098" s="7" t="s">
        <v>322</v>
      </c>
      <c r="C1098" s="7" t="n">
        <v>2</v>
      </c>
      <c r="D1098" s="7" t="s">
        <v>293</v>
      </c>
      <c r="E1098" s="7" t="s">
        <v>293</v>
      </c>
      <c r="F1098" s="7" t="s">
        <v>110</v>
      </c>
      <c r="G1098" s="1" t="n">
        <v>3</v>
      </c>
      <c r="H1098" s="1" t="n">
        <v>13</v>
      </c>
      <c r="I1098" s="10" t="n">
        <v>39969</v>
      </c>
      <c r="J1098" s="10" t="n">
        <v>39974</v>
      </c>
      <c r="K1098" s="1" t="n">
        <v>5</v>
      </c>
      <c r="L1098" s="1" t="n">
        <v>5</v>
      </c>
      <c r="M1098" s="3" t="s">
        <v>72</v>
      </c>
      <c r="N1098" s="3" t="s">
        <v>86</v>
      </c>
      <c r="O1098" s="8" t="s">
        <v>87</v>
      </c>
      <c r="P1098" s="2" t="str">
        <f aca="false">CONCATENATE(N1098," ",O1098)</f>
        <v>Haplodrassus soerenseni</v>
      </c>
      <c r="Q1098" s="1" t="s">
        <v>30</v>
      </c>
      <c r="R1098" s="1" t="s">
        <v>35</v>
      </c>
      <c r="S1098" s="1" t="n">
        <v>0</v>
      </c>
      <c r="T1098" s="1" t="n">
        <v>1</v>
      </c>
      <c r="U1098" s="1" t="n">
        <v>0</v>
      </c>
      <c r="V1098" s="1" t="n">
        <v>0</v>
      </c>
      <c r="W1098" s="1" t="n">
        <v>0</v>
      </c>
      <c r="X1098" s="1" t="n">
        <v>0</v>
      </c>
      <c r="Y1098" s="3" t="n">
        <f aca="false">SUM(S1098:T1098)</f>
        <v>1</v>
      </c>
      <c r="Z1098" s="3" t="n">
        <f aca="false">SUM(U1098:W1098)</f>
        <v>0</v>
      </c>
      <c r="AA1098" s="3" t="n">
        <f aca="false">SUM(S1098:X1098)</f>
        <v>1</v>
      </c>
      <c r="AB1098" s="11" t="n">
        <f aca="false">(AA1098/(K1098*L1098)*25)*4</f>
        <v>4</v>
      </c>
    </row>
    <row r="1099" customFormat="false" ht="14.25" hidden="false" customHeight="false" outlineLevel="0" collapsed="false">
      <c r="A1099" s="1" t="n">
        <v>2009</v>
      </c>
      <c r="B1099" s="7" t="s">
        <v>322</v>
      </c>
      <c r="C1099" s="7" t="n">
        <v>2</v>
      </c>
      <c r="D1099" s="7" t="s">
        <v>293</v>
      </c>
      <c r="E1099" s="7" t="s">
        <v>293</v>
      </c>
      <c r="F1099" s="7" t="s">
        <v>110</v>
      </c>
      <c r="G1099" s="1" t="n">
        <v>3</v>
      </c>
      <c r="H1099" s="1" t="n">
        <v>13</v>
      </c>
      <c r="I1099" s="10" t="n">
        <v>39969</v>
      </c>
      <c r="J1099" s="10" t="n">
        <v>39974</v>
      </c>
      <c r="K1099" s="1" t="n">
        <v>5</v>
      </c>
      <c r="L1099" s="1" t="n">
        <v>5</v>
      </c>
      <c r="M1099" s="3" t="s">
        <v>36</v>
      </c>
      <c r="N1099" s="3" t="s">
        <v>37</v>
      </c>
      <c r="O1099" s="8" t="s">
        <v>75</v>
      </c>
      <c r="P1099" s="2" t="str">
        <f aca="false">CONCATENATE(N1099," ",O1099)</f>
        <v>Ozyptila praticola</v>
      </c>
      <c r="Q1099" s="1" t="s">
        <v>30</v>
      </c>
      <c r="R1099" s="1" t="s">
        <v>31</v>
      </c>
      <c r="S1099" s="1" t="n">
        <v>1</v>
      </c>
      <c r="T1099" s="1" t="n">
        <v>0</v>
      </c>
      <c r="U1099" s="1" t="n">
        <v>0</v>
      </c>
      <c r="V1099" s="1" t="n">
        <v>0</v>
      </c>
      <c r="W1099" s="1" t="n">
        <v>0</v>
      </c>
      <c r="X1099" s="1" t="n">
        <v>0</v>
      </c>
      <c r="Y1099" s="3" t="n">
        <f aca="false">SUM(S1099:T1099)</f>
        <v>1</v>
      </c>
      <c r="Z1099" s="3" t="n">
        <f aca="false">SUM(U1099:W1099)</f>
        <v>0</v>
      </c>
      <c r="AA1099" s="3" t="n">
        <f aca="false">SUM(S1099:X1099)</f>
        <v>1</v>
      </c>
      <c r="AB1099" s="11" t="n">
        <f aca="false">(AA1099/(K1099*L1099)*25)*4</f>
        <v>4</v>
      </c>
    </row>
    <row r="1100" customFormat="false" ht="14.25" hidden="false" customHeight="false" outlineLevel="0" collapsed="false">
      <c r="A1100" s="1" t="n">
        <v>2009</v>
      </c>
      <c r="B1100" s="7" t="s">
        <v>322</v>
      </c>
      <c r="C1100" s="7" t="n">
        <v>2</v>
      </c>
      <c r="D1100" s="7" t="s">
        <v>293</v>
      </c>
      <c r="E1100" s="7" t="s">
        <v>293</v>
      </c>
      <c r="F1100" s="7" t="s">
        <v>110</v>
      </c>
      <c r="G1100" s="1" t="n">
        <v>3</v>
      </c>
      <c r="H1100" s="1" t="n">
        <v>13</v>
      </c>
      <c r="I1100" s="10" t="n">
        <v>39969</v>
      </c>
      <c r="J1100" s="10" t="n">
        <v>39974</v>
      </c>
      <c r="K1100" s="1" t="n">
        <v>5</v>
      </c>
      <c r="L1100" s="1" t="n">
        <v>5</v>
      </c>
      <c r="M1100" s="3" t="s">
        <v>36</v>
      </c>
      <c r="N1100" s="3" t="s">
        <v>131</v>
      </c>
      <c r="O1100" s="3" t="s">
        <v>133</v>
      </c>
      <c r="P1100" s="2" t="str">
        <f aca="false">CONCATENATE(N1100," ",O1100)</f>
        <v>Xysticus luctuosus</v>
      </c>
      <c r="Q1100" s="1" t="s">
        <v>30</v>
      </c>
      <c r="R1100" s="1" t="s">
        <v>31</v>
      </c>
      <c r="S1100" s="1" t="n">
        <v>3</v>
      </c>
      <c r="T1100" s="1" t="n">
        <v>0</v>
      </c>
      <c r="U1100" s="1" t="n">
        <v>0</v>
      </c>
      <c r="V1100" s="1" t="n">
        <v>0</v>
      </c>
      <c r="W1100" s="1" t="n">
        <v>0</v>
      </c>
      <c r="X1100" s="1" t="n">
        <v>0</v>
      </c>
      <c r="Y1100" s="3" t="n">
        <f aca="false">SUM(S1100:T1100)</f>
        <v>3</v>
      </c>
      <c r="Z1100" s="3" t="n">
        <f aca="false">SUM(U1100:W1100)</f>
        <v>0</v>
      </c>
      <c r="AA1100" s="3" t="n">
        <f aca="false">SUM(S1100:X1100)</f>
        <v>3</v>
      </c>
      <c r="AB1100" s="11" t="n">
        <f aca="false">(AA1100/(K1100*L1100)*25)*4</f>
        <v>12</v>
      </c>
    </row>
    <row r="1101" customFormat="false" ht="14.25" hidden="false" customHeight="false" outlineLevel="0" collapsed="false">
      <c r="A1101" s="1" t="n">
        <v>2009</v>
      </c>
      <c r="B1101" s="7" t="s">
        <v>322</v>
      </c>
      <c r="C1101" s="7" t="n">
        <v>2</v>
      </c>
      <c r="D1101" s="7" t="s">
        <v>293</v>
      </c>
      <c r="E1101" s="7" t="s">
        <v>293</v>
      </c>
      <c r="F1101" s="7" t="s">
        <v>110</v>
      </c>
      <c r="G1101" s="1" t="n">
        <v>3</v>
      </c>
      <c r="H1101" s="1" t="n">
        <v>13</v>
      </c>
      <c r="I1101" s="10" t="n">
        <v>39969</v>
      </c>
      <c r="J1101" s="10" t="n">
        <v>39974</v>
      </c>
      <c r="K1101" s="1" t="n">
        <v>5</v>
      </c>
      <c r="L1101" s="1" t="n">
        <v>5</v>
      </c>
      <c r="M1101" s="3" t="s">
        <v>135</v>
      </c>
      <c r="N1101" s="3" t="s">
        <v>136</v>
      </c>
      <c r="O1101" s="3" t="s">
        <v>137</v>
      </c>
      <c r="P1101" s="2" t="str">
        <f aca="false">CONCATENATE(N1101," ",O1101)</f>
        <v>Thanatus sabulosus</v>
      </c>
      <c r="Q1101" s="1" t="s">
        <v>30</v>
      </c>
      <c r="R1101" s="1" t="s">
        <v>31</v>
      </c>
      <c r="S1101" s="1" t="n">
        <v>1</v>
      </c>
      <c r="T1101" s="1" t="n">
        <v>0</v>
      </c>
      <c r="U1101" s="1" t="n">
        <v>0</v>
      </c>
      <c r="V1101" s="1" t="n">
        <v>0</v>
      </c>
      <c r="W1101" s="1" t="n">
        <v>0</v>
      </c>
      <c r="X1101" s="1" t="n">
        <v>0</v>
      </c>
      <c r="Y1101" s="3" t="n">
        <f aca="false">SUM(S1101:T1101)</f>
        <v>1</v>
      </c>
      <c r="Z1101" s="3" t="n">
        <f aca="false">SUM(U1101:W1101)</f>
        <v>0</v>
      </c>
      <c r="AA1101" s="3" t="n">
        <f aca="false">SUM(S1101:X1101)</f>
        <v>1</v>
      </c>
      <c r="AB1101" s="11" t="n">
        <f aca="false">(AA1101/(K1101*L1101)*25)*4</f>
        <v>4</v>
      </c>
    </row>
    <row r="1102" customFormat="false" ht="14.25" hidden="false" customHeight="false" outlineLevel="0" collapsed="false">
      <c r="A1102" s="1" t="n">
        <v>2009</v>
      </c>
      <c r="B1102" s="7" t="s">
        <v>322</v>
      </c>
      <c r="C1102" s="7" t="n">
        <v>2</v>
      </c>
      <c r="D1102" s="7" t="s">
        <v>293</v>
      </c>
      <c r="E1102" s="7" t="s">
        <v>293</v>
      </c>
      <c r="F1102" s="7" t="s">
        <v>110</v>
      </c>
      <c r="G1102" s="1" t="n">
        <v>3</v>
      </c>
      <c r="H1102" s="1" t="n">
        <v>13</v>
      </c>
      <c r="I1102" s="10" t="n">
        <v>39969</v>
      </c>
      <c r="J1102" s="10" t="n">
        <v>39974</v>
      </c>
      <c r="K1102" s="1" t="n">
        <v>5</v>
      </c>
      <c r="L1102" s="1" t="n">
        <v>5</v>
      </c>
      <c r="M1102" s="13" t="s">
        <v>32</v>
      </c>
      <c r="N1102" s="13" t="s">
        <v>96</v>
      </c>
      <c r="O1102" s="14" t="s">
        <v>97</v>
      </c>
      <c r="P1102" s="2" t="str">
        <f aca="false">CONCATENATE(N1102," ",O1102)</f>
        <v>Diplocephalus picinus</v>
      </c>
      <c r="Q1102" s="1" t="s">
        <v>30</v>
      </c>
      <c r="R1102" s="1" t="s">
        <v>31</v>
      </c>
      <c r="S1102" s="1" t="n">
        <v>1</v>
      </c>
      <c r="T1102" s="1" t="n">
        <v>0</v>
      </c>
      <c r="U1102" s="1" t="n">
        <v>0</v>
      </c>
      <c r="V1102" s="1" t="n">
        <v>0</v>
      </c>
      <c r="W1102" s="1" t="n">
        <v>0</v>
      </c>
      <c r="X1102" s="1" t="n">
        <v>0</v>
      </c>
      <c r="Y1102" s="3" t="n">
        <f aca="false">SUM(S1102:T1102)</f>
        <v>1</v>
      </c>
      <c r="Z1102" s="3" t="n">
        <f aca="false">SUM(U1102:W1102)</f>
        <v>0</v>
      </c>
      <c r="AA1102" s="3" t="n">
        <f aca="false">SUM(S1102:X1102)</f>
        <v>1</v>
      </c>
      <c r="AB1102" s="11" t="n">
        <f aca="false">(AA1102/(K1102*L1102)*25)*4</f>
        <v>4</v>
      </c>
    </row>
    <row r="1103" customFormat="false" ht="14.25" hidden="false" customHeight="false" outlineLevel="0" collapsed="false">
      <c r="A1103" s="1" t="n">
        <v>2009</v>
      </c>
      <c r="B1103" s="7" t="s">
        <v>322</v>
      </c>
      <c r="C1103" s="7" t="n">
        <v>2</v>
      </c>
      <c r="D1103" s="7" t="s">
        <v>293</v>
      </c>
      <c r="E1103" s="7" t="s">
        <v>293</v>
      </c>
      <c r="F1103" s="7" t="s">
        <v>110</v>
      </c>
      <c r="G1103" s="1" t="n">
        <v>3</v>
      </c>
      <c r="H1103" s="1" t="n">
        <v>14</v>
      </c>
      <c r="I1103" s="10" t="n">
        <v>39969</v>
      </c>
      <c r="J1103" s="10" t="n">
        <v>39974</v>
      </c>
      <c r="K1103" s="1" t="n">
        <v>5</v>
      </c>
      <c r="L1103" s="1" t="n">
        <v>5</v>
      </c>
      <c r="M1103" s="3" t="s">
        <v>48</v>
      </c>
      <c r="N1103" s="3" t="s">
        <v>49</v>
      </c>
      <c r="O1103" s="3" t="s">
        <v>130</v>
      </c>
      <c r="P1103" s="2" t="str">
        <f aca="false">CONCATENATE(N1103," ",O1103)</f>
        <v>Alopecosa aculeata</v>
      </c>
      <c r="Q1103" s="1" t="s">
        <v>30</v>
      </c>
      <c r="R1103" s="1" t="s">
        <v>31</v>
      </c>
      <c r="S1103" s="1" t="n">
        <v>1</v>
      </c>
      <c r="T1103" s="1" t="n">
        <v>0</v>
      </c>
      <c r="U1103" s="1" t="n">
        <v>0</v>
      </c>
      <c r="V1103" s="1" t="n">
        <v>0</v>
      </c>
      <c r="W1103" s="1" t="n">
        <v>0</v>
      </c>
      <c r="X1103" s="1" t="n">
        <v>0</v>
      </c>
      <c r="Y1103" s="3" t="n">
        <f aca="false">SUM(S1103:T1103)</f>
        <v>1</v>
      </c>
      <c r="Z1103" s="3" t="n">
        <f aca="false">SUM(U1103:W1103)</f>
        <v>0</v>
      </c>
      <c r="AA1103" s="3" t="n">
        <f aca="false">SUM(S1103:X1103)</f>
        <v>1</v>
      </c>
      <c r="AB1103" s="11" t="n">
        <f aca="false">(AA1103/(K1103*L1103)*25)*4</f>
        <v>4</v>
      </c>
    </row>
    <row r="1104" customFormat="false" ht="14.25" hidden="false" customHeight="false" outlineLevel="0" collapsed="false">
      <c r="A1104" s="1" t="n">
        <v>2009</v>
      </c>
      <c r="B1104" s="7" t="s">
        <v>322</v>
      </c>
      <c r="C1104" s="7" t="n">
        <v>2</v>
      </c>
      <c r="D1104" s="7" t="s">
        <v>293</v>
      </c>
      <c r="E1104" s="7" t="s">
        <v>293</v>
      </c>
      <c r="F1104" s="7" t="s">
        <v>110</v>
      </c>
      <c r="G1104" s="1" t="n">
        <v>3</v>
      </c>
      <c r="H1104" s="1" t="n">
        <v>14</v>
      </c>
      <c r="I1104" s="10" t="n">
        <v>39969</v>
      </c>
      <c r="J1104" s="10" t="n">
        <v>39974</v>
      </c>
      <c r="K1104" s="1" t="n">
        <v>5</v>
      </c>
      <c r="L1104" s="1" t="n">
        <v>5</v>
      </c>
      <c r="M1104" s="3" t="s">
        <v>48</v>
      </c>
      <c r="N1104" s="3" t="s">
        <v>61</v>
      </c>
      <c r="O1104" s="3" t="s">
        <v>82</v>
      </c>
      <c r="P1104" s="2" t="str">
        <f aca="false">CONCATENATE(N1104," ",O1104)</f>
        <v>Trochosa terricola</v>
      </c>
      <c r="Q1104" s="1" t="s">
        <v>30</v>
      </c>
      <c r="R1104" s="1" t="s">
        <v>35</v>
      </c>
      <c r="S1104" s="1" t="n">
        <v>0</v>
      </c>
      <c r="T1104" s="1" t="n">
        <v>1</v>
      </c>
      <c r="U1104" s="1" t="n">
        <v>0</v>
      </c>
      <c r="V1104" s="1" t="n">
        <v>0</v>
      </c>
      <c r="W1104" s="1" t="n">
        <v>0</v>
      </c>
      <c r="X1104" s="1" t="n">
        <v>0</v>
      </c>
      <c r="Y1104" s="3" t="n">
        <f aca="false">SUM(S1104:T1104)</f>
        <v>1</v>
      </c>
      <c r="Z1104" s="3" t="n">
        <f aca="false">SUM(U1104:W1104)</f>
        <v>0</v>
      </c>
      <c r="AA1104" s="3" t="n">
        <f aca="false">SUM(S1104:X1104)</f>
        <v>1</v>
      </c>
      <c r="AB1104" s="11" t="n">
        <f aca="false">(AA1104/(K1104*L1104)*25)*4</f>
        <v>4</v>
      </c>
    </row>
    <row r="1105" customFormat="false" ht="14.25" hidden="false" customHeight="false" outlineLevel="0" collapsed="false">
      <c r="A1105" s="1" t="n">
        <v>2009</v>
      </c>
      <c r="B1105" s="7" t="s">
        <v>322</v>
      </c>
      <c r="C1105" s="7" t="n">
        <v>2</v>
      </c>
      <c r="D1105" s="7" t="s">
        <v>293</v>
      </c>
      <c r="E1105" s="7" t="s">
        <v>293</v>
      </c>
      <c r="F1105" s="7" t="s">
        <v>110</v>
      </c>
      <c r="G1105" s="1" t="n">
        <v>3</v>
      </c>
      <c r="H1105" s="1" t="n">
        <v>14</v>
      </c>
      <c r="I1105" s="10" t="n">
        <v>39969</v>
      </c>
      <c r="J1105" s="10" t="n">
        <v>39974</v>
      </c>
      <c r="K1105" s="1" t="n">
        <v>5</v>
      </c>
      <c r="L1105" s="1" t="n">
        <v>5</v>
      </c>
      <c r="M1105" s="3" t="s">
        <v>36</v>
      </c>
      <c r="N1105" s="3" t="s">
        <v>131</v>
      </c>
      <c r="O1105" s="3" t="s">
        <v>133</v>
      </c>
      <c r="P1105" s="2" t="str">
        <f aca="false">CONCATENATE(N1105," ",O1105)</f>
        <v>Xysticus luctuosus</v>
      </c>
      <c r="Q1105" s="1" t="s">
        <v>30</v>
      </c>
      <c r="R1105" s="1" t="s">
        <v>31</v>
      </c>
      <c r="S1105" s="1" t="n">
        <v>1</v>
      </c>
      <c r="T1105" s="1" t="n">
        <v>0</v>
      </c>
      <c r="U1105" s="1" t="n">
        <v>0</v>
      </c>
      <c r="V1105" s="1" t="n">
        <v>0</v>
      </c>
      <c r="W1105" s="1" t="n">
        <v>0</v>
      </c>
      <c r="X1105" s="1" t="n">
        <v>0</v>
      </c>
      <c r="Y1105" s="3" t="n">
        <f aca="false">SUM(S1105:T1105)</f>
        <v>1</v>
      </c>
      <c r="Z1105" s="3" t="n">
        <f aca="false">SUM(U1105:W1105)</f>
        <v>0</v>
      </c>
      <c r="AA1105" s="3" t="n">
        <f aca="false">SUM(S1105:X1105)</f>
        <v>1</v>
      </c>
      <c r="AB1105" s="11" t="n">
        <f aca="false">(AA1105/(K1105*L1105)*25)*4</f>
        <v>4</v>
      </c>
    </row>
    <row r="1106" customFormat="false" ht="14.25" hidden="false" customHeight="false" outlineLevel="0" collapsed="false">
      <c r="A1106" s="1" t="n">
        <v>2009</v>
      </c>
      <c r="B1106" s="7" t="s">
        <v>322</v>
      </c>
      <c r="C1106" s="7" t="n">
        <v>2</v>
      </c>
      <c r="D1106" s="7" t="s">
        <v>293</v>
      </c>
      <c r="E1106" s="7" t="s">
        <v>293</v>
      </c>
      <c r="F1106" s="7" t="s">
        <v>110</v>
      </c>
      <c r="G1106" s="1" t="n">
        <v>3</v>
      </c>
      <c r="H1106" s="1" t="n">
        <v>15</v>
      </c>
      <c r="I1106" s="10" t="n">
        <v>39969</v>
      </c>
      <c r="J1106" s="10" t="n">
        <v>39974</v>
      </c>
      <c r="K1106" s="1" t="n">
        <v>5</v>
      </c>
      <c r="L1106" s="1" t="n">
        <v>5</v>
      </c>
      <c r="M1106" s="3" t="s">
        <v>48</v>
      </c>
      <c r="N1106" s="3" t="s">
        <v>49</v>
      </c>
      <c r="O1106" s="3" t="s">
        <v>130</v>
      </c>
      <c r="P1106" s="2" t="str">
        <f aca="false">CONCATENATE(N1106," ",O1106)</f>
        <v>Alopecosa aculeata</v>
      </c>
      <c r="Q1106" s="1" t="s">
        <v>30</v>
      </c>
      <c r="R1106" s="1" t="s">
        <v>31</v>
      </c>
      <c r="S1106" s="1" t="n">
        <v>2</v>
      </c>
      <c r="T1106" s="1" t="n">
        <v>0</v>
      </c>
      <c r="U1106" s="1" t="n">
        <v>0</v>
      </c>
      <c r="V1106" s="1" t="n">
        <v>0</v>
      </c>
      <c r="W1106" s="1" t="n">
        <v>0</v>
      </c>
      <c r="X1106" s="1" t="n">
        <v>0</v>
      </c>
      <c r="Y1106" s="3" t="n">
        <f aca="false">SUM(S1106:T1106)</f>
        <v>2</v>
      </c>
      <c r="Z1106" s="3" t="n">
        <f aca="false">SUM(U1106:W1106)</f>
        <v>0</v>
      </c>
      <c r="AA1106" s="3" t="n">
        <f aca="false">SUM(S1106:X1106)</f>
        <v>2</v>
      </c>
      <c r="AB1106" s="11" t="n">
        <f aca="false">(AA1106/(K1106*L1106)*25)*4</f>
        <v>8</v>
      </c>
    </row>
    <row r="1107" customFormat="false" ht="14.25" hidden="false" customHeight="false" outlineLevel="0" collapsed="false">
      <c r="A1107" s="1" t="n">
        <v>2009</v>
      </c>
      <c r="B1107" s="7" t="s">
        <v>322</v>
      </c>
      <c r="C1107" s="7" t="n">
        <v>2</v>
      </c>
      <c r="D1107" s="7" t="s">
        <v>293</v>
      </c>
      <c r="E1107" s="7" t="s">
        <v>293</v>
      </c>
      <c r="F1107" s="7" t="s">
        <v>110</v>
      </c>
      <c r="G1107" s="1" t="n">
        <v>3</v>
      </c>
      <c r="H1107" s="1" t="n">
        <v>15</v>
      </c>
      <c r="I1107" s="10" t="n">
        <v>39969</v>
      </c>
      <c r="J1107" s="10" t="n">
        <v>39974</v>
      </c>
      <c r="K1107" s="1" t="n">
        <v>5</v>
      </c>
      <c r="L1107" s="1" t="n">
        <v>5</v>
      </c>
      <c r="M1107" s="3" t="s">
        <v>72</v>
      </c>
      <c r="N1107" s="3" t="s">
        <v>86</v>
      </c>
      <c r="O1107" s="8" t="s">
        <v>87</v>
      </c>
      <c r="P1107" s="2" t="str">
        <f aca="false">CONCATENATE(N1107," ",O1107)</f>
        <v>Haplodrassus soerenseni</v>
      </c>
      <c r="Q1107" s="1" t="s">
        <v>30</v>
      </c>
      <c r="R1107" s="1" t="s">
        <v>31</v>
      </c>
      <c r="S1107" s="1" t="n">
        <v>2</v>
      </c>
      <c r="T1107" s="1" t="n">
        <v>0</v>
      </c>
      <c r="U1107" s="1" t="n">
        <v>0</v>
      </c>
      <c r="V1107" s="1" t="n">
        <v>0</v>
      </c>
      <c r="W1107" s="1" t="n">
        <v>0</v>
      </c>
      <c r="X1107" s="1" t="n">
        <v>0</v>
      </c>
      <c r="Y1107" s="3" t="n">
        <f aca="false">SUM(S1107:T1107)</f>
        <v>2</v>
      </c>
      <c r="Z1107" s="3" t="n">
        <f aca="false">SUM(U1107:W1107)</f>
        <v>0</v>
      </c>
      <c r="AA1107" s="3" t="n">
        <f aca="false">SUM(S1107:X1107)</f>
        <v>2</v>
      </c>
      <c r="AB1107" s="11" t="n">
        <f aca="false">(AA1107/(K1107*L1107)*25)*4</f>
        <v>8</v>
      </c>
    </row>
    <row r="1108" customFormat="false" ht="14.25" hidden="false" customHeight="false" outlineLevel="0" collapsed="false">
      <c r="A1108" s="1" t="n">
        <v>2009</v>
      </c>
      <c r="B1108" s="7" t="s">
        <v>322</v>
      </c>
      <c r="C1108" s="7" t="n">
        <v>2</v>
      </c>
      <c r="D1108" s="7" t="s">
        <v>293</v>
      </c>
      <c r="E1108" s="7" t="s">
        <v>293</v>
      </c>
      <c r="F1108" s="7" t="s">
        <v>110</v>
      </c>
      <c r="G1108" s="1" t="n">
        <v>3</v>
      </c>
      <c r="H1108" s="1" t="n">
        <v>15</v>
      </c>
      <c r="I1108" s="10" t="n">
        <v>39969</v>
      </c>
      <c r="J1108" s="10" t="n">
        <v>39974</v>
      </c>
      <c r="K1108" s="1" t="n">
        <v>5</v>
      </c>
      <c r="L1108" s="1" t="n">
        <v>5</v>
      </c>
      <c r="M1108" s="3" t="s">
        <v>27</v>
      </c>
      <c r="N1108" s="3" t="s">
        <v>28</v>
      </c>
      <c r="O1108" s="3" t="s">
        <v>29</v>
      </c>
      <c r="P1108" s="2" t="str">
        <f aca="false">CONCATENATE(N1108," ",O1108)</f>
        <v>Robertus lividus</v>
      </c>
      <c r="Q1108" s="1" t="s">
        <v>30</v>
      </c>
      <c r="R1108" s="1" t="s">
        <v>31</v>
      </c>
      <c r="S1108" s="1" t="n">
        <v>1</v>
      </c>
      <c r="T1108" s="1" t="n">
        <v>0</v>
      </c>
      <c r="U1108" s="1" t="n">
        <v>0</v>
      </c>
      <c r="V1108" s="1" t="n">
        <v>0</v>
      </c>
      <c r="W1108" s="1" t="n">
        <v>0</v>
      </c>
      <c r="X1108" s="1" t="n">
        <v>0</v>
      </c>
      <c r="Y1108" s="3" t="n">
        <f aca="false">SUM(S1108:T1108)</f>
        <v>1</v>
      </c>
      <c r="Z1108" s="3" t="n">
        <f aca="false">SUM(U1108:W1108)</f>
        <v>0</v>
      </c>
      <c r="AA1108" s="3" t="n">
        <f aca="false">SUM(S1108:X1108)</f>
        <v>1</v>
      </c>
      <c r="AB1108" s="11" t="n">
        <f aca="false">(AA1108/(K1108*L1108)*25)*4</f>
        <v>4</v>
      </c>
    </row>
    <row r="1109" customFormat="false" ht="14.25" hidden="false" customHeight="false" outlineLevel="0" collapsed="false">
      <c r="A1109" s="1" t="n">
        <v>2009</v>
      </c>
      <c r="B1109" s="7" t="s">
        <v>322</v>
      </c>
      <c r="C1109" s="7" t="n">
        <v>2</v>
      </c>
      <c r="D1109" s="7" t="s">
        <v>293</v>
      </c>
      <c r="E1109" s="7" t="s">
        <v>293</v>
      </c>
      <c r="F1109" s="7" t="s">
        <v>110</v>
      </c>
      <c r="G1109" s="1" t="n">
        <v>3</v>
      </c>
      <c r="H1109" s="1" t="n">
        <v>15</v>
      </c>
      <c r="I1109" s="10" t="n">
        <v>39969</v>
      </c>
      <c r="J1109" s="10" t="n">
        <v>39974</v>
      </c>
      <c r="K1109" s="1" t="n">
        <v>5</v>
      </c>
      <c r="L1109" s="1" t="n">
        <v>5</v>
      </c>
      <c r="M1109" s="13" t="s">
        <v>32</v>
      </c>
      <c r="N1109" s="13" t="s">
        <v>215</v>
      </c>
      <c r="O1109" s="14" t="s">
        <v>199</v>
      </c>
      <c r="P1109" s="2" t="str">
        <f aca="false">CONCATENATE(N1109," ",O1109)</f>
        <v>Cnephalocotes obscurus</v>
      </c>
      <c r="Q1109" s="1" t="s">
        <v>30</v>
      </c>
      <c r="R1109" s="1" t="s">
        <v>31</v>
      </c>
      <c r="S1109" s="1" t="n">
        <v>1</v>
      </c>
      <c r="T1109" s="1" t="n">
        <v>0</v>
      </c>
      <c r="U1109" s="1" t="n">
        <v>0</v>
      </c>
      <c r="V1109" s="1" t="n">
        <v>0</v>
      </c>
      <c r="W1109" s="1" t="n">
        <v>0</v>
      </c>
      <c r="X1109" s="1" t="n">
        <v>0</v>
      </c>
      <c r="Y1109" s="3" t="n">
        <f aca="false">SUM(S1109:T1109)</f>
        <v>1</v>
      </c>
      <c r="Z1109" s="3" t="n">
        <f aca="false">SUM(U1109:W1109)</f>
        <v>0</v>
      </c>
      <c r="AA1109" s="3" t="n">
        <f aca="false">SUM(S1109:X1109)</f>
        <v>1</v>
      </c>
      <c r="AB1109" s="11" t="n">
        <f aca="false">(AA1109/(K1109*L1109)*25)*4</f>
        <v>4</v>
      </c>
    </row>
    <row r="1110" customFormat="false" ht="14.25" hidden="false" customHeight="false" outlineLevel="0" collapsed="false">
      <c r="A1110" s="1" t="n">
        <v>2009</v>
      </c>
      <c r="B1110" s="7" t="s">
        <v>322</v>
      </c>
      <c r="C1110" s="7" t="n">
        <v>2</v>
      </c>
      <c r="D1110" s="7" t="s">
        <v>295</v>
      </c>
      <c r="E1110" s="7" t="s">
        <v>295</v>
      </c>
      <c r="F1110" s="7" t="s">
        <v>336</v>
      </c>
      <c r="G1110" s="1" t="n">
        <v>1</v>
      </c>
      <c r="H1110" s="1" t="n">
        <v>1</v>
      </c>
      <c r="I1110" s="10" t="n">
        <v>39969</v>
      </c>
      <c r="J1110" s="10" t="n">
        <v>39974</v>
      </c>
      <c r="K1110" s="1" t="n">
        <v>5</v>
      </c>
      <c r="L1110" s="1" t="n">
        <v>5</v>
      </c>
      <c r="M1110" s="3" t="s">
        <v>48</v>
      </c>
      <c r="N1110" s="3" t="s">
        <v>49</v>
      </c>
      <c r="O1110" s="3" t="s">
        <v>130</v>
      </c>
      <c r="P1110" s="2" t="str">
        <f aca="false">CONCATENATE(N1110," ",O1110)</f>
        <v>Alopecosa aculeata</v>
      </c>
      <c r="Q1110" s="1" t="s">
        <v>30</v>
      </c>
      <c r="R1110" s="1" t="s">
        <v>31</v>
      </c>
      <c r="S1110" s="1" t="n">
        <v>2</v>
      </c>
      <c r="T1110" s="1" t="n">
        <v>0</v>
      </c>
      <c r="U1110" s="1" t="n">
        <v>0</v>
      </c>
      <c r="V1110" s="1" t="n">
        <v>0</v>
      </c>
      <c r="W1110" s="1" t="n">
        <v>0</v>
      </c>
      <c r="X1110" s="1" t="n">
        <v>0</v>
      </c>
      <c r="Y1110" s="3" t="n">
        <f aca="false">SUM(S1110:T1110)</f>
        <v>2</v>
      </c>
      <c r="Z1110" s="3" t="n">
        <f aca="false">SUM(U1110:W1110)</f>
        <v>0</v>
      </c>
      <c r="AA1110" s="3" t="n">
        <f aca="false">SUM(S1110:X1110)</f>
        <v>2</v>
      </c>
      <c r="AB1110" s="11" t="n">
        <f aca="false">(AA1110/(K1110*L1110)*25)*4</f>
        <v>8</v>
      </c>
    </row>
    <row r="1111" customFormat="false" ht="14.25" hidden="false" customHeight="false" outlineLevel="0" collapsed="false">
      <c r="A1111" s="1" t="n">
        <v>2009</v>
      </c>
      <c r="B1111" s="7" t="s">
        <v>322</v>
      </c>
      <c r="C1111" s="7" t="n">
        <v>2</v>
      </c>
      <c r="D1111" s="7" t="s">
        <v>295</v>
      </c>
      <c r="E1111" s="7" t="s">
        <v>295</v>
      </c>
      <c r="F1111" s="7" t="s">
        <v>336</v>
      </c>
      <c r="G1111" s="1" t="n">
        <v>1</v>
      </c>
      <c r="H1111" s="1" t="n">
        <v>1</v>
      </c>
      <c r="I1111" s="10" t="n">
        <v>39969</v>
      </c>
      <c r="J1111" s="10" t="n">
        <v>39974</v>
      </c>
      <c r="K1111" s="1" t="n">
        <v>5</v>
      </c>
      <c r="L1111" s="1" t="n">
        <v>5</v>
      </c>
      <c r="M1111" s="3" t="s">
        <v>48</v>
      </c>
      <c r="N1111" s="3" t="s">
        <v>122</v>
      </c>
      <c r="O1111" s="3" t="s">
        <v>123</v>
      </c>
      <c r="P1111" s="2" t="str">
        <f aca="false">CONCATENATE(N1111," ",O1111)</f>
        <v>Xerolycosa nemoralis</v>
      </c>
      <c r="Q1111" s="1" t="s">
        <v>30</v>
      </c>
      <c r="R1111" s="1" t="s">
        <v>31</v>
      </c>
      <c r="S1111" s="1" t="n">
        <v>7</v>
      </c>
      <c r="T1111" s="1" t="n">
        <v>0</v>
      </c>
      <c r="U1111" s="1" t="n">
        <v>0</v>
      </c>
      <c r="V1111" s="1" t="n">
        <v>0</v>
      </c>
      <c r="W1111" s="1" t="n">
        <v>0</v>
      </c>
      <c r="X1111" s="1" t="n">
        <v>0</v>
      </c>
      <c r="Y1111" s="3" t="n">
        <f aca="false">SUM(S1111:T1111)</f>
        <v>7</v>
      </c>
      <c r="Z1111" s="3" t="n">
        <f aca="false">SUM(U1111:W1111)</f>
        <v>0</v>
      </c>
      <c r="AA1111" s="3" t="n">
        <f aca="false">SUM(S1111:X1111)</f>
        <v>7</v>
      </c>
      <c r="AB1111" s="11" t="n">
        <f aca="false">(AA1111/(K1111*L1111)*25)*4</f>
        <v>28</v>
      </c>
    </row>
    <row r="1112" customFormat="false" ht="14.25" hidden="false" customHeight="false" outlineLevel="0" collapsed="false">
      <c r="A1112" s="1" t="n">
        <v>2009</v>
      </c>
      <c r="B1112" s="7" t="s">
        <v>322</v>
      </c>
      <c r="C1112" s="7" t="n">
        <v>2</v>
      </c>
      <c r="D1112" s="7" t="s">
        <v>295</v>
      </c>
      <c r="E1112" s="7" t="s">
        <v>295</v>
      </c>
      <c r="F1112" s="7" t="s">
        <v>336</v>
      </c>
      <c r="G1112" s="1" t="n">
        <v>1</v>
      </c>
      <c r="H1112" s="1" t="n">
        <v>2</v>
      </c>
      <c r="I1112" s="10" t="n">
        <v>39969</v>
      </c>
      <c r="J1112" s="10" t="n">
        <v>39974</v>
      </c>
      <c r="K1112" s="1" t="n">
        <v>5</v>
      </c>
      <c r="L1112" s="1" t="n">
        <v>5</v>
      </c>
      <c r="M1112" s="3" t="s">
        <v>48</v>
      </c>
      <c r="N1112" s="3" t="s">
        <v>122</v>
      </c>
      <c r="O1112" s="3" t="s">
        <v>123</v>
      </c>
      <c r="P1112" s="2" t="str">
        <f aca="false">CONCATENATE(N1112," ",O1112)</f>
        <v>Xerolycosa nemoralis</v>
      </c>
      <c r="Q1112" s="1" t="s">
        <v>30</v>
      </c>
      <c r="R1112" s="1" t="s">
        <v>31</v>
      </c>
      <c r="S1112" s="1" t="n">
        <v>6</v>
      </c>
      <c r="T1112" s="1" t="n">
        <v>0</v>
      </c>
      <c r="U1112" s="1" t="n">
        <v>0</v>
      </c>
      <c r="V1112" s="1" t="n">
        <v>0</v>
      </c>
      <c r="W1112" s="1" t="n">
        <v>0</v>
      </c>
      <c r="X1112" s="1" t="n">
        <v>0</v>
      </c>
      <c r="Y1112" s="3" t="n">
        <f aca="false">SUM(S1112:T1112)</f>
        <v>6</v>
      </c>
      <c r="Z1112" s="3" t="n">
        <f aca="false">SUM(U1112:W1112)</f>
        <v>0</v>
      </c>
      <c r="AA1112" s="3" t="n">
        <f aca="false">SUM(S1112:X1112)</f>
        <v>6</v>
      </c>
      <c r="AB1112" s="11" t="n">
        <f aca="false">(AA1112/(K1112*L1112)*25)*4</f>
        <v>24</v>
      </c>
    </row>
    <row r="1113" customFormat="false" ht="14.25" hidden="false" customHeight="false" outlineLevel="0" collapsed="false">
      <c r="A1113" s="1" t="n">
        <v>2009</v>
      </c>
      <c r="B1113" s="7" t="s">
        <v>322</v>
      </c>
      <c r="C1113" s="7" t="n">
        <v>2</v>
      </c>
      <c r="D1113" s="7" t="s">
        <v>295</v>
      </c>
      <c r="E1113" s="7" t="s">
        <v>295</v>
      </c>
      <c r="F1113" s="7" t="s">
        <v>336</v>
      </c>
      <c r="G1113" s="1" t="n">
        <v>1</v>
      </c>
      <c r="H1113" s="1" t="n">
        <v>2</v>
      </c>
      <c r="I1113" s="10" t="n">
        <v>39969</v>
      </c>
      <c r="J1113" s="10" t="n">
        <v>39974</v>
      </c>
      <c r="K1113" s="1" t="n">
        <v>5</v>
      </c>
      <c r="L1113" s="1" t="n">
        <v>5</v>
      </c>
      <c r="M1113" s="3" t="s">
        <v>72</v>
      </c>
      <c r="N1113" s="3" t="s">
        <v>86</v>
      </c>
      <c r="O1113" s="8" t="s">
        <v>87</v>
      </c>
      <c r="P1113" s="2" t="str">
        <f aca="false">CONCATENATE(N1113," ",O1113)</f>
        <v>Haplodrassus soerenseni</v>
      </c>
      <c r="Q1113" s="1" t="s">
        <v>30</v>
      </c>
      <c r="R1113" s="1" t="s">
        <v>31</v>
      </c>
      <c r="S1113" s="1" t="n">
        <v>1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0</v>
      </c>
      <c r="Y1113" s="3" t="n">
        <f aca="false">SUM(S1113:T1113)</f>
        <v>1</v>
      </c>
      <c r="Z1113" s="3" t="n">
        <f aca="false">SUM(U1113:W1113)</f>
        <v>0</v>
      </c>
      <c r="AA1113" s="3" t="n">
        <f aca="false">SUM(S1113:X1113)</f>
        <v>1</v>
      </c>
      <c r="AB1113" s="11" t="n">
        <f aca="false">(AA1113/(K1113*L1113)*25)*4</f>
        <v>4</v>
      </c>
    </row>
    <row r="1114" customFormat="false" ht="14.25" hidden="false" customHeight="false" outlineLevel="0" collapsed="false">
      <c r="A1114" s="1" t="n">
        <v>2009</v>
      </c>
      <c r="B1114" s="7" t="s">
        <v>322</v>
      </c>
      <c r="C1114" s="7" t="n">
        <v>2</v>
      </c>
      <c r="D1114" s="7" t="s">
        <v>295</v>
      </c>
      <c r="E1114" s="7" t="s">
        <v>295</v>
      </c>
      <c r="F1114" s="7" t="s">
        <v>336</v>
      </c>
      <c r="G1114" s="1" t="n">
        <v>1</v>
      </c>
      <c r="H1114" s="1" t="n">
        <v>2</v>
      </c>
      <c r="I1114" s="10" t="n">
        <v>39969</v>
      </c>
      <c r="J1114" s="10" t="n">
        <v>39974</v>
      </c>
      <c r="K1114" s="1" t="n">
        <v>5</v>
      </c>
      <c r="L1114" s="1" t="n">
        <v>5</v>
      </c>
      <c r="M1114" s="3" t="s">
        <v>72</v>
      </c>
      <c r="N1114" s="3" t="s">
        <v>73</v>
      </c>
      <c r="O1114" s="3" t="s">
        <v>74</v>
      </c>
      <c r="P1114" s="2" t="str">
        <f aca="false">CONCATENATE(N1114," ",O1114)</f>
        <v>Zelotes subterraneus</v>
      </c>
      <c r="Q1114" s="1" t="s">
        <v>30</v>
      </c>
      <c r="R1114" s="1" t="s">
        <v>35</v>
      </c>
      <c r="S1114" s="1" t="n">
        <v>0</v>
      </c>
      <c r="T1114" s="1" t="n">
        <v>1</v>
      </c>
      <c r="U1114" s="1" t="n">
        <v>0</v>
      </c>
      <c r="V1114" s="1" t="n">
        <v>0</v>
      </c>
      <c r="W1114" s="1" t="n">
        <v>0</v>
      </c>
      <c r="X1114" s="1" t="n">
        <v>0</v>
      </c>
      <c r="Y1114" s="3" t="n">
        <f aca="false">SUM(S1114:T1114)</f>
        <v>1</v>
      </c>
      <c r="Z1114" s="3" t="n">
        <f aca="false">SUM(U1114:W1114)</f>
        <v>0</v>
      </c>
      <c r="AA1114" s="3" t="n">
        <f aca="false">SUM(S1114:X1114)</f>
        <v>1</v>
      </c>
      <c r="AB1114" s="11" t="n">
        <f aca="false">(AA1114/(K1114*L1114)*25)*4</f>
        <v>4</v>
      </c>
    </row>
    <row r="1115" customFormat="false" ht="14.25" hidden="false" customHeight="false" outlineLevel="0" collapsed="false">
      <c r="A1115" s="1" t="n">
        <v>2009</v>
      </c>
      <c r="B1115" s="7" t="s">
        <v>322</v>
      </c>
      <c r="C1115" s="7" t="n">
        <v>2</v>
      </c>
      <c r="D1115" s="7" t="s">
        <v>295</v>
      </c>
      <c r="E1115" s="7" t="s">
        <v>295</v>
      </c>
      <c r="F1115" s="7" t="s">
        <v>336</v>
      </c>
      <c r="G1115" s="1" t="n">
        <v>1</v>
      </c>
      <c r="H1115" s="1" t="n">
        <v>2</v>
      </c>
      <c r="I1115" s="10" t="n">
        <v>39969</v>
      </c>
      <c r="J1115" s="10" t="n">
        <v>39974</v>
      </c>
      <c r="K1115" s="1" t="n">
        <v>5</v>
      </c>
      <c r="L1115" s="1" t="n">
        <v>5</v>
      </c>
      <c r="M1115" s="3" t="s">
        <v>32</v>
      </c>
      <c r="N1115" s="3" t="s">
        <v>90</v>
      </c>
      <c r="O1115" s="3" t="s">
        <v>91</v>
      </c>
      <c r="P1115" s="2" t="str">
        <f aca="false">CONCATENATE(N1115," ",O1115)</f>
        <v>Tapinocyba insecta</v>
      </c>
      <c r="Q1115" s="1" t="s">
        <v>30</v>
      </c>
      <c r="R1115" s="1" t="s">
        <v>31</v>
      </c>
      <c r="S1115" s="1" t="n">
        <v>2</v>
      </c>
      <c r="T1115" s="1" t="n">
        <v>0</v>
      </c>
      <c r="U1115" s="1" t="n">
        <v>0</v>
      </c>
      <c r="V1115" s="1" t="n">
        <v>0</v>
      </c>
      <c r="W1115" s="1" t="n">
        <v>0</v>
      </c>
      <c r="X1115" s="1" t="n">
        <v>0</v>
      </c>
      <c r="Y1115" s="3" t="n">
        <f aca="false">SUM(S1115:T1115)</f>
        <v>2</v>
      </c>
      <c r="Z1115" s="3" t="n">
        <f aca="false">SUM(U1115:W1115)</f>
        <v>0</v>
      </c>
      <c r="AA1115" s="3" t="n">
        <f aca="false">SUM(S1115:X1115)</f>
        <v>2</v>
      </c>
      <c r="AB1115" s="11" t="n">
        <f aca="false">(AA1115/(K1115*L1115)*25)*4</f>
        <v>8</v>
      </c>
    </row>
    <row r="1116" customFormat="false" ht="14.25" hidden="false" customHeight="false" outlineLevel="0" collapsed="false">
      <c r="A1116" s="1" t="n">
        <v>2009</v>
      </c>
      <c r="B1116" s="7" t="s">
        <v>322</v>
      </c>
      <c r="C1116" s="7" t="n">
        <v>2</v>
      </c>
      <c r="D1116" s="7" t="s">
        <v>295</v>
      </c>
      <c r="E1116" s="7" t="s">
        <v>295</v>
      </c>
      <c r="F1116" s="7" t="s">
        <v>336</v>
      </c>
      <c r="G1116" s="1" t="n">
        <v>1</v>
      </c>
      <c r="H1116" s="1" t="n">
        <v>2</v>
      </c>
      <c r="I1116" s="10" t="n">
        <v>39969</v>
      </c>
      <c r="J1116" s="10" t="n">
        <v>39974</v>
      </c>
      <c r="K1116" s="1" t="n">
        <v>5</v>
      </c>
      <c r="L1116" s="1" t="n">
        <v>5</v>
      </c>
      <c r="M1116" s="3" t="s">
        <v>32</v>
      </c>
      <c r="N1116" s="3" t="s">
        <v>90</v>
      </c>
      <c r="O1116" s="3" t="s">
        <v>91</v>
      </c>
      <c r="P1116" s="2" t="str">
        <f aca="false">CONCATENATE(N1116," ",O1116)</f>
        <v>Tapinocyba insecta</v>
      </c>
      <c r="Q1116" s="1" t="s">
        <v>30</v>
      </c>
      <c r="R1116" s="1" t="s">
        <v>35</v>
      </c>
      <c r="S1116" s="1" t="n">
        <v>0</v>
      </c>
      <c r="T1116" s="1" t="n">
        <v>1</v>
      </c>
      <c r="U1116" s="1" t="n">
        <v>0</v>
      </c>
      <c r="V1116" s="1" t="n">
        <v>0</v>
      </c>
      <c r="W1116" s="1" t="n">
        <v>0</v>
      </c>
      <c r="X1116" s="1" t="n">
        <v>0</v>
      </c>
      <c r="Y1116" s="3" t="n">
        <f aca="false">SUM(S1116:T1116)</f>
        <v>1</v>
      </c>
      <c r="Z1116" s="3" t="n">
        <f aca="false">SUM(U1116:W1116)</f>
        <v>0</v>
      </c>
      <c r="AA1116" s="3" t="n">
        <f aca="false">SUM(S1116:X1116)</f>
        <v>1</v>
      </c>
      <c r="AB1116" s="11" t="n">
        <f aca="false">(AA1116/(K1116*L1116)*25)*4</f>
        <v>4</v>
      </c>
    </row>
    <row r="1117" customFormat="false" ht="14.25" hidden="false" customHeight="false" outlineLevel="0" collapsed="false">
      <c r="A1117" s="1" t="n">
        <v>2009</v>
      </c>
      <c r="B1117" s="7" t="s">
        <v>322</v>
      </c>
      <c r="C1117" s="7" t="n">
        <v>2</v>
      </c>
      <c r="D1117" s="7" t="s">
        <v>295</v>
      </c>
      <c r="E1117" s="7" t="s">
        <v>295</v>
      </c>
      <c r="F1117" s="7" t="s">
        <v>336</v>
      </c>
      <c r="G1117" s="1" t="n">
        <v>1</v>
      </c>
      <c r="H1117" s="1" t="n">
        <v>3</v>
      </c>
      <c r="I1117" s="10" t="n">
        <v>39969</v>
      </c>
      <c r="J1117" s="10" t="n">
        <v>39974</v>
      </c>
      <c r="K1117" s="1" t="n">
        <v>5</v>
      </c>
      <c r="L1117" s="1" t="n">
        <v>5</v>
      </c>
      <c r="M1117" s="3" t="s">
        <v>48</v>
      </c>
      <c r="N1117" s="3" t="s">
        <v>49</v>
      </c>
      <c r="O1117" s="3" t="s">
        <v>130</v>
      </c>
      <c r="P1117" s="2" t="str">
        <f aca="false">CONCATENATE(N1117," ",O1117)</f>
        <v>Alopecosa aculeata</v>
      </c>
      <c r="Q1117" s="1" t="s">
        <v>30</v>
      </c>
      <c r="R1117" s="1" t="s">
        <v>31</v>
      </c>
      <c r="S1117" s="1" t="n">
        <v>1</v>
      </c>
      <c r="T1117" s="1" t="n">
        <v>0</v>
      </c>
      <c r="U1117" s="1" t="n">
        <v>0</v>
      </c>
      <c r="V1117" s="1" t="n">
        <v>0</v>
      </c>
      <c r="W1117" s="1" t="n">
        <v>0</v>
      </c>
      <c r="X1117" s="1" t="n">
        <v>0</v>
      </c>
      <c r="Y1117" s="3" t="n">
        <f aca="false">SUM(S1117:T1117)</f>
        <v>1</v>
      </c>
      <c r="Z1117" s="3" t="n">
        <f aca="false">SUM(U1117:W1117)</f>
        <v>0</v>
      </c>
      <c r="AA1117" s="3" t="n">
        <f aca="false">SUM(S1117:X1117)</f>
        <v>1</v>
      </c>
      <c r="AB1117" s="11" t="n">
        <f aca="false">(AA1117/(K1117*L1117)*25)*4</f>
        <v>4</v>
      </c>
    </row>
    <row r="1118" customFormat="false" ht="14.25" hidden="false" customHeight="false" outlineLevel="0" collapsed="false">
      <c r="A1118" s="1" t="n">
        <v>2009</v>
      </c>
      <c r="B1118" s="7" t="s">
        <v>322</v>
      </c>
      <c r="C1118" s="7" t="n">
        <v>2</v>
      </c>
      <c r="D1118" s="7" t="s">
        <v>295</v>
      </c>
      <c r="E1118" s="7" t="s">
        <v>295</v>
      </c>
      <c r="F1118" s="7" t="s">
        <v>336</v>
      </c>
      <c r="G1118" s="1" t="n">
        <v>1</v>
      </c>
      <c r="H1118" s="1" t="n">
        <v>3</v>
      </c>
      <c r="I1118" s="10" t="n">
        <v>39969</v>
      </c>
      <c r="J1118" s="10" t="n">
        <v>39974</v>
      </c>
      <c r="K1118" s="1" t="n">
        <v>5</v>
      </c>
      <c r="L1118" s="1" t="n">
        <v>5</v>
      </c>
      <c r="M1118" s="3" t="s">
        <v>48</v>
      </c>
      <c r="N1118" s="3" t="s">
        <v>122</v>
      </c>
      <c r="O1118" s="3" t="s">
        <v>123</v>
      </c>
      <c r="P1118" s="2" t="str">
        <f aca="false">CONCATENATE(N1118," ",O1118)</f>
        <v>Xerolycosa nemoralis</v>
      </c>
      <c r="Q1118" s="1" t="s">
        <v>30</v>
      </c>
      <c r="R1118" s="1" t="s">
        <v>31</v>
      </c>
      <c r="S1118" s="1" t="n">
        <v>2</v>
      </c>
      <c r="T1118" s="1" t="n">
        <v>0</v>
      </c>
      <c r="U1118" s="1" t="n">
        <v>0</v>
      </c>
      <c r="V1118" s="1" t="n">
        <v>0</v>
      </c>
      <c r="W1118" s="1" t="n">
        <v>0</v>
      </c>
      <c r="X1118" s="1" t="n">
        <v>0</v>
      </c>
      <c r="Y1118" s="3" t="n">
        <f aca="false">SUM(S1118:T1118)</f>
        <v>2</v>
      </c>
      <c r="Z1118" s="3" t="n">
        <f aca="false">SUM(U1118:W1118)</f>
        <v>0</v>
      </c>
      <c r="AA1118" s="3" t="n">
        <f aca="false">SUM(S1118:X1118)</f>
        <v>2</v>
      </c>
      <c r="AB1118" s="11" t="n">
        <f aca="false">(AA1118/(K1118*L1118)*25)*4</f>
        <v>8</v>
      </c>
    </row>
    <row r="1119" customFormat="false" ht="14.25" hidden="false" customHeight="false" outlineLevel="0" collapsed="false">
      <c r="A1119" s="1" t="n">
        <v>2009</v>
      </c>
      <c r="B1119" s="7" t="s">
        <v>322</v>
      </c>
      <c r="C1119" s="7" t="n">
        <v>2</v>
      </c>
      <c r="D1119" s="7" t="s">
        <v>295</v>
      </c>
      <c r="E1119" s="7" t="s">
        <v>295</v>
      </c>
      <c r="F1119" s="7" t="s">
        <v>336</v>
      </c>
      <c r="G1119" s="1" t="n">
        <v>1</v>
      </c>
      <c r="H1119" s="1" t="n">
        <v>3</v>
      </c>
      <c r="I1119" s="10" t="n">
        <v>39969</v>
      </c>
      <c r="J1119" s="10" t="n">
        <v>39974</v>
      </c>
      <c r="K1119" s="1" t="n">
        <v>5</v>
      </c>
      <c r="L1119" s="1" t="n">
        <v>5</v>
      </c>
      <c r="M1119" s="3" t="s">
        <v>48</v>
      </c>
      <c r="N1119" s="3" t="s">
        <v>122</v>
      </c>
      <c r="O1119" s="3" t="s">
        <v>123</v>
      </c>
      <c r="P1119" s="2" t="str">
        <f aca="false">CONCATENATE(N1119," ",O1119)</f>
        <v>Xerolycosa nemoralis</v>
      </c>
      <c r="Q1119" s="1" t="s">
        <v>30</v>
      </c>
      <c r="R1119" s="1" t="s">
        <v>35</v>
      </c>
      <c r="S1119" s="1" t="n">
        <v>0</v>
      </c>
      <c r="T1119" s="1" t="n">
        <v>1</v>
      </c>
      <c r="U1119" s="1" t="n">
        <v>0</v>
      </c>
      <c r="V1119" s="1" t="n">
        <v>0</v>
      </c>
      <c r="W1119" s="1" t="n">
        <v>0</v>
      </c>
      <c r="X1119" s="1" t="n">
        <v>0</v>
      </c>
      <c r="Y1119" s="3" t="n">
        <f aca="false">SUM(S1119:T1119)</f>
        <v>1</v>
      </c>
      <c r="Z1119" s="3" t="n">
        <f aca="false">SUM(U1119:W1119)</f>
        <v>0</v>
      </c>
      <c r="AA1119" s="3" t="n">
        <f aca="false">SUM(S1119:X1119)</f>
        <v>1</v>
      </c>
      <c r="AB1119" s="11" t="n">
        <f aca="false">(AA1119/(K1119*L1119)*25)*4</f>
        <v>4</v>
      </c>
    </row>
    <row r="1120" customFormat="false" ht="14.25" hidden="false" customHeight="false" outlineLevel="0" collapsed="false">
      <c r="A1120" s="1" t="n">
        <v>2009</v>
      </c>
      <c r="B1120" s="7" t="s">
        <v>322</v>
      </c>
      <c r="C1120" s="7" t="n">
        <v>2</v>
      </c>
      <c r="D1120" s="7" t="s">
        <v>295</v>
      </c>
      <c r="E1120" s="7" t="s">
        <v>295</v>
      </c>
      <c r="F1120" s="7" t="s">
        <v>336</v>
      </c>
      <c r="G1120" s="1" t="n">
        <v>1</v>
      </c>
      <c r="H1120" s="1" t="n">
        <v>4</v>
      </c>
      <c r="I1120" s="10" t="n">
        <v>39969</v>
      </c>
      <c r="J1120" s="10" t="n">
        <v>39974</v>
      </c>
      <c r="K1120" s="1" t="n">
        <v>5</v>
      </c>
      <c r="L1120" s="1" t="n">
        <v>5</v>
      </c>
      <c r="M1120" s="3" t="s">
        <v>48</v>
      </c>
      <c r="N1120" s="3" t="s">
        <v>49</v>
      </c>
      <c r="O1120" s="3" t="s">
        <v>130</v>
      </c>
      <c r="P1120" s="2" t="str">
        <f aca="false">CONCATENATE(N1120," ",O1120)</f>
        <v>Alopecosa aculeata</v>
      </c>
      <c r="Q1120" s="1" t="s">
        <v>30</v>
      </c>
      <c r="R1120" s="1" t="s">
        <v>31</v>
      </c>
      <c r="S1120" s="1" t="n">
        <v>2</v>
      </c>
      <c r="T1120" s="1" t="n">
        <v>0</v>
      </c>
      <c r="U1120" s="1" t="n">
        <v>0</v>
      </c>
      <c r="V1120" s="1" t="n">
        <v>0</v>
      </c>
      <c r="W1120" s="1" t="n">
        <v>0</v>
      </c>
      <c r="X1120" s="1" t="n">
        <v>0</v>
      </c>
      <c r="Y1120" s="3" t="n">
        <f aca="false">SUM(S1120:T1120)</f>
        <v>2</v>
      </c>
      <c r="Z1120" s="3" t="n">
        <f aca="false">SUM(U1120:W1120)</f>
        <v>0</v>
      </c>
      <c r="AA1120" s="3" t="n">
        <f aca="false">SUM(S1120:X1120)</f>
        <v>2</v>
      </c>
      <c r="AB1120" s="11" t="n">
        <f aca="false">(AA1120/(K1120*L1120)*25)*4</f>
        <v>8</v>
      </c>
    </row>
    <row r="1121" customFormat="false" ht="14.25" hidden="false" customHeight="false" outlineLevel="0" collapsed="false">
      <c r="A1121" s="1" t="n">
        <v>2009</v>
      </c>
      <c r="B1121" s="7" t="s">
        <v>322</v>
      </c>
      <c r="C1121" s="7" t="n">
        <v>2</v>
      </c>
      <c r="D1121" s="7" t="s">
        <v>295</v>
      </c>
      <c r="E1121" s="7" t="s">
        <v>295</v>
      </c>
      <c r="F1121" s="7" t="s">
        <v>336</v>
      </c>
      <c r="G1121" s="1" t="n">
        <v>1</v>
      </c>
      <c r="H1121" s="1" t="n">
        <v>4</v>
      </c>
      <c r="I1121" s="10" t="n">
        <v>39969</v>
      </c>
      <c r="J1121" s="10" t="n">
        <v>39974</v>
      </c>
      <c r="K1121" s="1" t="n">
        <v>5</v>
      </c>
      <c r="L1121" s="1" t="n">
        <v>5</v>
      </c>
      <c r="M1121" s="3" t="s">
        <v>48</v>
      </c>
      <c r="N1121" s="3" t="s">
        <v>49</v>
      </c>
      <c r="O1121" s="3" t="s">
        <v>130</v>
      </c>
      <c r="P1121" s="2" t="str">
        <f aca="false">CONCATENATE(N1121," ",O1121)</f>
        <v>Alopecosa aculeata</v>
      </c>
      <c r="Q1121" s="1" t="s">
        <v>30</v>
      </c>
      <c r="R1121" s="1" t="s">
        <v>35</v>
      </c>
      <c r="S1121" s="1" t="n">
        <v>0</v>
      </c>
      <c r="T1121" s="1" t="n">
        <v>2</v>
      </c>
      <c r="U1121" s="1" t="n">
        <v>0</v>
      </c>
      <c r="V1121" s="1" t="n">
        <v>0</v>
      </c>
      <c r="W1121" s="1" t="n">
        <v>0</v>
      </c>
      <c r="X1121" s="1" t="n">
        <v>0</v>
      </c>
      <c r="Y1121" s="3" t="n">
        <f aca="false">SUM(S1121:T1121)</f>
        <v>2</v>
      </c>
      <c r="Z1121" s="3" t="n">
        <f aca="false">SUM(U1121:W1121)</f>
        <v>0</v>
      </c>
      <c r="AA1121" s="3" t="n">
        <f aca="false">SUM(S1121:X1121)</f>
        <v>2</v>
      </c>
      <c r="AB1121" s="11" t="n">
        <f aca="false">(AA1121/(K1121*L1121)*25)*4</f>
        <v>8</v>
      </c>
    </row>
    <row r="1122" customFormat="false" ht="14.25" hidden="false" customHeight="false" outlineLevel="0" collapsed="false">
      <c r="A1122" s="1" t="n">
        <v>2009</v>
      </c>
      <c r="B1122" s="7" t="s">
        <v>322</v>
      </c>
      <c r="C1122" s="7" t="n">
        <v>2</v>
      </c>
      <c r="D1122" s="7" t="s">
        <v>295</v>
      </c>
      <c r="E1122" s="7" t="s">
        <v>295</v>
      </c>
      <c r="F1122" s="7" t="s">
        <v>336</v>
      </c>
      <c r="G1122" s="1" t="n">
        <v>1</v>
      </c>
      <c r="H1122" s="1" t="n">
        <v>4</v>
      </c>
      <c r="I1122" s="10" t="n">
        <v>39969</v>
      </c>
      <c r="J1122" s="10" t="n">
        <v>39974</v>
      </c>
      <c r="K1122" s="1" t="n">
        <v>5</v>
      </c>
      <c r="L1122" s="1" t="n">
        <v>5</v>
      </c>
      <c r="M1122" s="3" t="s">
        <v>48</v>
      </c>
      <c r="N1122" s="3" t="s">
        <v>122</v>
      </c>
      <c r="O1122" s="3" t="s">
        <v>123</v>
      </c>
      <c r="P1122" s="2" t="str">
        <f aca="false">CONCATENATE(N1122," ",O1122)</f>
        <v>Xerolycosa nemoralis</v>
      </c>
      <c r="Q1122" s="1" t="s">
        <v>30</v>
      </c>
      <c r="R1122" s="1" t="s">
        <v>31</v>
      </c>
      <c r="S1122" s="1" t="n">
        <v>4</v>
      </c>
      <c r="T1122" s="1" t="n">
        <v>0</v>
      </c>
      <c r="U1122" s="1" t="n">
        <v>0</v>
      </c>
      <c r="V1122" s="1" t="n">
        <v>0</v>
      </c>
      <c r="W1122" s="1" t="n">
        <v>0</v>
      </c>
      <c r="X1122" s="1" t="n">
        <v>0</v>
      </c>
      <c r="Y1122" s="3" t="n">
        <f aca="false">SUM(S1122:T1122)</f>
        <v>4</v>
      </c>
      <c r="Z1122" s="3" t="n">
        <f aca="false">SUM(U1122:W1122)</f>
        <v>0</v>
      </c>
      <c r="AA1122" s="3" t="n">
        <f aca="false">SUM(S1122:X1122)</f>
        <v>4</v>
      </c>
      <c r="AB1122" s="11" t="n">
        <f aca="false">(AA1122/(K1122*L1122)*25)*4</f>
        <v>16</v>
      </c>
    </row>
    <row r="1123" customFormat="false" ht="14.25" hidden="false" customHeight="false" outlineLevel="0" collapsed="false">
      <c r="A1123" s="1" t="n">
        <v>2009</v>
      </c>
      <c r="B1123" s="7" t="s">
        <v>322</v>
      </c>
      <c r="C1123" s="7" t="n">
        <v>2</v>
      </c>
      <c r="D1123" s="7" t="s">
        <v>295</v>
      </c>
      <c r="E1123" s="7" t="s">
        <v>295</v>
      </c>
      <c r="F1123" s="7" t="s">
        <v>336</v>
      </c>
      <c r="G1123" s="1" t="n">
        <v>1</v>
      </c>
      <c r="H1123" s="1" t="n">
        <v>4</v>
      </c>
      <c r="I1123" s="10" t="n">
        <v>39969</v>
      </c>
      <c r="J1123" s="10" t="n">
        <v>39974</v>
      </c>
      <c r="K1123" s="1" t="n">
        <v>5</v>
      </c>
      <c r="L1123" s="1" t="n">
        <v>5</v>
      </c>
      <c r="M1123" s="3" t="s">
        <v>48</v>
      </c>
      <c r="N1123" s="3" t="s">
        <v>122</v>
      </c>
      <c r="O1123" s="3" t="s">
        <v>123</v>
      </c>
      <c r="P1123" s="2" t="str">
        <f aca="false">CONCATENATE(N1123," ",O1123)</f>
        <v>Xerolycosa nemoralis</v>
      </c>
      <c r="Q1123" s="1" t="s">
        <v>30</v>
      </c>
      <c r="R1123" s="1" t="s">
        <v>35</v>
      </c>
      <c r="S1123" s="1" t="n">
        <v>0</v>
      </c>
      <c r="T1123" s="1" t="n">
        <v>2</v>
      </c>
      <c r="U1123" s="1" t="n">
        <v>0</v>
      </c>
      <c r="V1123" s="1" t="n">
        <v>0</v>
      </c>
      <c r="W1123" s="1" t="n">
        <v>0</v>
      </c>
      <c r="X1123" s="1" t="n">
        <v>0</v>
      </c>
      <c r="Y1123" s="3" t="n">
        <f aca="false">SUM(S1123:T1123)</f>
        <v>2</v>
      </c>
      <c r="Z1123" s="3" t="n">
        <f aca="false">SUM(U1123:W1123)</f>
        <v>0</v>
      </c>
      <c r="AA1123" s="3" t="n">
        <f aca="false">SUM(S1123:X1123)</f>
        <v>2</v>
      </c>
      <c r="AB1123" s="11" t="n">
        <f aca="false">(AA1123/(K1123*L1123)*25)*4</f>
        <v>8</v>
      </c>
    </row>
    <row r="1124" customFormat="false" ht="14.25" hidden="false" customHeight="false" outlineLevel="0" collapsed="false">
      <c r="A1124" s="1" t="n">
        <v>2009</v>
      </c>
      <c r="B1124" s="7" t="s">
        <v>322</v>
      </c>
      <c r="C1124" s="7" t="n">
        <v>2</v>
      </c>
      <c r="D1124" s="7" t="s">
        <v>295</v>
      </c>
      <c r="E1124" s="7" t="s">
        <v>295</v>
      </c>
      <c r="F1124" s="7" t="s">
        <v>336</v>
      </c>
      <c r="G1124" s="1" t="n">
        <v>1</v>
      </c>
      <c r="H1124" s="1" t="n">
        <v>4</v>
      </c>
      <c r="I1124" s="10" t="n">
        <v>39969</v>
      </c>
      <c r="J1124" s="10" t="n">
        <v>39974</v>
      </c>
      <c r="K1124" s="1" t="n">
        <v>5</v>
      </c>
      <c r="L1124" s="1" t="n">
        <v>5</v>
      </c>
      <c r="M1124" s="3" t="s">
        <v>72</v>
      </c>
      <c r="N1124" s="3" t="s">
        <v>152</v>
      </c>
      <c r="O1124" s="3" t="s">
        <v>153</v>
      </c>
      <c r="P1124" s="2" t="str">
        <f aca="false">CONCATENATE(N1124," ",O1124)</f>
        <v>Callilepis nocturna</v>
      </c>
      <c r="Q1124" s="1" t="s">
        <v>30</v>
      </c>
      <c r="R1124" s="1" t="s">
        <v>31</v>
      </c>
      <c r="S1124" s="1" t="n">
        <v>1</v>
      </c>
      <c r="T1124" s="1" t="n">
        <v>0</v>
      </c>
      <c r="U1124" s="1" t="n">
        <v>0</v>
      </c>
      <c r="V1124" s="1" t="n">
        <v>0</v>
      </c>
      <c r="W1124" s="1" t="n">
        <v>0</v>
      </c>
      <c r="X1124" s="1" t="n">
        <v>0</v>
      </c>
      <c r="Y1124" s="3" t="n">
        <f aca="false">SUM(S1124:T1124)</f>
        <v>1</v>
      </c>
      <c r="Z1124" s="3" t="n">
        <f aca="false">SUM(U1124:W1124)</f>
        <v>0</v>
      </c>
      <c r="AA1124" s="3" t="n">
        <f aca="false">SUM(S1124:X1124)</f>
        <v>1</v>
      </c>
      <c r="AB1124" s="11" t="n">
        <f aca="false">(AA1124/(K1124*L1124)*25)*4</f>
        <v>4</v>
      </c>
    </row>
    <row r="1125" customFormat="false" ht="14.25" hidden="false" customHeight="false" outlineLevel="0" collapsed="false">
      <c r="A1125" s="1" t="n">
        <v>2009</v>
      </c>
      <c r="B1125" s="7" t="s">
        <v>322</v>
      </c>
      <c r="C1125" s="7" t="n">
        <v>2</v>
      </c>
      <c r="D1125" s="7" t="s">
        <v>295</v>
      </c>
      <c r="E1125" s="7" t="s">
        <v>295</v>
      </c>
      <c r="F1125" s="7" t="s">
        <v>336</v>
      </c>
      <c r="G1125" s="1" t="n">
        <v>1</v>
      </c>
      <c r="H1125" s="1" t="n">
        <v>4</v>
      </c>
      <c r="I1125" s="10" t="n">
        <v>39969</v>
      </c>
      <c r="J1125" s="10" t="n">
        <v>39974</v>
      </c>
      <c r="K1125" s="1" t="n">
        <v>5</v>
      </c>
      <c r="L1125" s="1" t="n">
        <v>5</v>
      </c>
      <c r="M1125" s="3" t="s">
        <v>72</v>
      </c>
      <c r="N1125" s="3" t="s">
        <v>139</v>
      </c>
      <c r="O1125" s="3" t="s">
        <v>140</v>
      </c>
      <c r="P1125" s="2" t="str">
        <f aca="false">CONCATENATE(N1125," ",O1125)</f>
        <v>Gnaphosa muscorum</v>
      </c>
      <c r="Q1125" s="1" t="s">
        <v>30</v>
      </c>
      <c r="R1125" s="1" t="s">
        <v>31</v>
      </c>
      <c r="S1125" s="1" t="n">
        <v>1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0</v>
      </c>
      <c r="Y1125" s="3" t="n">
        <f aca="false">SUM(S1125:T1125)</f>
        <v>1</v>
      </c>
      <c r="Z1125" s="3" t="n">
        <f aca="false">SUM(U1125:W1125)</f>
        <v>0</v>
      </c>
      <c r="AA1125" s="3" t="n">
        <f aca="false">SUM(S1125:X1125)</f>
        <v>1</v>
      </c>
      <c r="AB1125" s="11" t="n">
        <f aca="false">(AA1125/(K1125*L1125)*25)*4</f>
        <v>4</v>
      </c>
    </row>
    <row r="1126" customFormat="false" ht="14.25" hidden="false" customHeight="false" outlineLevel="0" collapsed="false">
      <c r="A1126" s="1" t="n">
        <v>2009</v>
      </c>
      <c r="B1126" s="7" t="s">
        <v>322</v>
      </c>
      <c r="C1126" s="7" t="n">
        <v>2</v>
      </c>
      <c r="D1126" s="7" t="s">
        <v>295</v>
      </c>
      <c r="E1126" s="7" t="s">
        <v>295</v>
      </c>
      <c r="F1126" s="7" t="s">
        <v>336</v>
      </c>
      <c r="G1126" s="1" t="n">
        <v>1</v>
      </c>
      <c r="H1126" s="1" t="n">
        <v>4</v>
      </c>
      <c r="I1126" s="10" t="n">
        <v>39969</v>
      </c>
      <c r="J1126" s="10" t="n">
        <v>39974</v>
      </c>
      <c r="K1126" s="1" t="n">
        <v>5</v>
      </c>
      <c r="L1126" s="1" t="n">
        <v>5</v>
      </c>
      <c r="M1126" s="3" t="s">
        <v>72</v>
      </c>
      <c r="N1126" s="3" t="s">
        <v>86</v>
      </c>
      <c r="O1126" s="8" t="s">
        <v>87</v>
      </c>
      <c r="P1126" s="2" t="str">
        <f aca="false">CONCATENATE(N1126," ",O1126)</f>
        <v>Haplodrassus soerenseni</v>
      </c>
      <c r="Q1126" s="1" t="s">
        <v>30</v>
      </c>
      <c r="R1126" s="1" t="s">
        <v>31</v>
      </c>
      <c r="S1126" s="1" t="n">
        <v>1</v>
      </c>
      <c r="T1126" s="1" t="n">
        <v>0</v>
      </c>
      <c r="U1126" s="1" t="n">
        <v>0</v>
      </c>
      <c r="V1126" s="1" t="n">
        <v>0</v>
      </c>
      <c r="W1126" s="1" t="n">
        <v>0</v>
      </c>
      <c r="X1126" s="1" t="n">
        <v>0</v>
      </c>
      <c r="Y1126" s="3" t="n">
        <f aca="false">SUM(S1126:T1126)</f>
        <v>1</v>
      </c>
      <c r="Z1126" s="3" t="n">
        <f aca="false">SUM(U1126:W1126)</f>
        <v>0</v>
      </c>
      <c r="AA1126" s="3" t="n">
        <f aca="false">SUM(S1126:X1126)</f>
        <v>1</v>
      </c>
      <c r="AB1126" s="11" t="n">
        <f aca="false">(AA1126/(K1126*L1126)*25)*4</f>
        <v>4</v>
      </c>
    </row>
    <row r="1127" customFormat="false" ht="14.25" hidden="false" customHeight="false" outlineLevel="0" collapsed="false">
      <c r="A1127" s="1" t="n">
        <v>2009</v>
      </c>
      <c r="B1127" s="7" t="s">
        <v>322</v>
      </c>
      <c r="C1127" s="7" t="n">
        <v>2</v>
      </c>
      <c r="D1127" s="7" t="s">
        <v>295</v>
      </c>
      <c r="E1127" s="7" t="s">
        <v>295</v>
      </c>
      <c r="F1127" s="7" t="s">
        <v>336</v>
      </c>
      <c r="G1127" s="1" t="n">
        <v>1</v>
      </c>
      <c r="H1127" s="1" t="n">
        <v>5</v>
      </c>
      <c r="I1127" s="10" t="n">
        <v>39969</v>
      </c>
      <c r="J1127" s="10" t="n">
        <v>39974</v>
      </c>
      <c r="K1127" s="1" t="n">
        <v>5</v>
      </c>
      <c r="L1127" s="1" t="n">
        <v>5</v>
      </c>
      <c r="M1127" s="3" t="s">
        <v>48</v>
      </c>
      <c r="N1127" s="3" t="s">
        <v>49</v>
      </c>
      <c r="O1127" s="3" t="s">
        <v>130</v>
      </c>
      <c r="P1127" s="2" t="str">
        <f aca="false">CONCATENATE(N1127," ",O1127)</f>
        <v>Alopecosa aculeata</v>
      </c>
      <c r="Q1127" s="1" t="s">
        <v>30</v>
      </c>
      <c r="R1127" s="1" t="s">
        <v>31</v>
      </c>
      <c r="S1127" s="1" t="n">
        <v>1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0</v>
      </c>
      <c r="Y1127" s="3" t="n">
        <f aca="false">SUM(S1127:T1127)</f>
        <v>1</v>
      </c>
      <c r="Z1127" s="3" t="n">
        <f aca="false">SUM(U1127:W1127)</f>
        <v>0</v>
      </c>
      <c r="AA1127" s="3" t="n">
        <f aca="false">SUM(S1127:X1127)</f>
        <v>1</v>
      </c>
      <c r="AB1127" s="11" t="n">
        <f aca="false">(AA1127/(K1127*L1127)*25)*4</f>
        <v>4</v>
      </c>
    </row>
    <row r="1128" customFormat="false" ht="14.25" hidden="false" customHeight="false" outlineLevel="0" collapsed="false">
      <c r="A1128" s="1" t="n">
        <v>2009</v>
      </c>
      <c r="B1128" s="7" t="s">
        <v>322</v>
      </c>
      <c r="C1128" s="7" t="n">
        <v>2</v>
      </c>
      <c r="D1128" s="7" t="s">
        <v>295</v>
      </c>
      <c r="E1128" s="7" t="s">
        <v>295</v>
      </c>
      <c r="F1128" s="7" t="s">
        <v>336</v>
      </c>
      <c r="G1128" s="1" t="n">
        <v>1</v>
      </c>
      <c r="H1128" s="1" t="n">
        <v>5</v>
      </c>
      <c r="I1128" s="10" t="n">
        <v>39969</v>
      </c>
      <c r="J1128" s="10" t="n">
        <v>39974</v>
      </c>
      <c r="K1128" s="1" t="n">
        <v>5</v>
      </c>
      <c r="L1128" s="1" t="n">
        <v>5</v>
      </c>
      <c r="M1128" s="3" t="s">
        <v>48</v>
      </c>
      <c r="N1128" s="3" t="s">
        <v>49</v>
      </c>
      <c r="O1128" s="3" t="s">
        <v>130</v>
      </c>
      <c r="P1128" s="2" t="str">
        <f aca="false">CONCATENATE(N1128," ",O1128)</f>
        <v>Alopecosa aculeata</v>
      </c>
      <c r="Q1128" s="1" t="s">
        <v>30</v>
      </c>
      <c r="R1128" s="1" t="s">
        <v>35</v>
      </c>
      <c r="S1128" s="1" t="n">
        <v>0</v>
      </c>
      <c r="T1128" s="1" t="n">
        <v>1</v>
      </c>
      <c r="U1128" s="1" t="n">
        <v>0</v>
      </c>
      <c r="V1128" s="1" t="n">
        <v>0</v>
      </c>
      <c r="W1128" s="1" t="n">
        <v>0</v>
      </c>
      <c r="X1128" s="1" t="n">
        <v>0</v>
      </c>
      <c r="Y1128" s="3" t="n">
        <f aca="false">SUM(S1128:T1128)</f>
        <v>1</v>
      </c>
      <c r="Z1128" s="3" t="n">
        <f aca="false">SUM(U1128:W1128)</f>
        <v>0</v>
      </c>
      <c r="AA1128" s="3" t="n">
        <f aca="false">SUM(S1128:X1128)</f>
        <v>1</v>
      </c>
      <c r="AB1128" s="11" t="n">
        <f aca="false">(AA1128/(K1128*L1128)*25)*4</f>
        <v>4</v>
      </c>
    </row>
    <row r="1129" customFormat="false" ht="14.25" hidden="false" customHeight="false" outlineLevel="0" collapsed="false">
      <c r="A1129" s="1" t="n">
        <v>2009</v>
      </c>
      <c r="B1129" s="7" t="s">
        <v>322</v>
      </c>
      <c r="C1129" s="7" t="n">
        <v>2</v>
      </c>
      <c r="D1129" s="7" t="s">
        <v>295</v>
      </c>
      <c r="E1129" s="7" t="s">
        <v>295</v>
      </c>
      <c r="F1129" s="7" t="s">
        <v>336</v>
      </c>
      <c r="G1129" s="1" t="n">
        <v>1</v>
      </c>
      <c r="H1129" s="1" t="n">
        <v>5</v>
      </c>
      <c r="I1129" s="10" t="n">
        <v>39969</v>
      </c>
      <c r="J1129" s="10" t="n">
        <v>39974</v>
      </c>
      <c r="K1129" s="1" t="n">
        <v>5</v>
      </c>
      <c r="L1129" s="1" t="n">
        <v>5</v>
      </c>
      <c r="M1129" s="3" t="s">
        <v>48</v>
      </c>
      <c r="N1129" s="3" t="s">
        <v>122</v>
      </c>
      <c r="O1129" s="3" t="s">
        <v>123</v>
      </c>
      <c r="P1129" s="2" t="str">
        <f aca="false">CONCATENATE(N1129," ",O1129)</f>
        <v>Xerolycosa nemoralis</v>
      </c>
      <c r="Q1129" s="1" t="s">
        <v>30</v>
      </c>
      <c r="R1129" s="1" t="s">
        <v>31</v>
      </c>
      <c r="S1129" s="1" t="n">
        <v>5</v>
      </c>
      <c r="T1129" s="1" t="n">
        <v>0</v>
      </c>
      <c r="U1129" s="1" t="n">
        <v>0</v>
      </c>
      <c r="V1129" s="1" t="n">
        <v>0</v>
      </c>
      <c r="W1129" s="1" t="n">
        <v>0</v>
      </c>
      <c r="X1129" s="1" t="n">
        <v>0</v>
      </c>
      <c r="Y1129" s="3" t="n">
        <f aca="false">SUM(S1129:T1129)</f>
        <v>5</v>
      </c>
      <c r="Z1129" s="3" t="n">
        <f aca="false">SUM(U1129:W1129)</f>
        <v>0</v>
      </c>
      <c r="AA1129" s="3" t="n">
        <f aca="false">SUM(S1129:X1129)</f>
        <v>5</v>
      </c>
      <c r="AB1129" s="11" t="n">
        <f aca="false">(AA1129/(K1129*L1129)*25)*4</f>
        <v>20</v>
      </c>
    </row>
    <row r="1130" customFormat="false" ht="14.25" hidden="false" customHeight="false" outlineLevel="0" collapsed="false">
      <c r="A1130" s="1" t="n">
        <v>2009</v>
      </c>
      <c r="B1130" s="7" t="s">
        <v>322</v>
      </c>
      <c r="C1130" s="7" t="n">
        <v>2</v>
      </c>
      <c r="D1130" s="7" t="s">
        <v>295</v>
      </c>
      <c r="E1130" s="7" t="s">
        <v>295</v>
      </c>
      <c r="F1130" s="7" t="s">
        <v>336</v>
      </c>
      <c r="G1130" s="1" t="n">
        <v>2</v>
      </c>
      <c r="H1130" s="1" t="n">
        <v>6</v>
      </c>
      <c r="I1130" s="10" t="n">
        <v>39969</v>
      </c>
      <c r="J1130" s="10" t="n">
        <v>39974</v>
      </c>
      <c r="K1130" s="1" t="n">
        <v>5</v>
      </c>
      <c r="L1130" s="1" t="n">
        <v>5</v>
      </c>
      <c r="M1130" s="3" t="s">
        <v>48</v>
      </c>
      <c r="N1130" s="3" t="s">
        <v>49</v>
      </c>
      <c r="O1130" s="3" t="s">
        <v>130</v>
      </c>
      <c r="P1130" s="2" t="str">
        <f aca="false">CONCATENATE(N1130," ",O1130)</f>
        <v>Alopecosa aculeata</v>
      </c>
      <c r="Q1130" s="1" t="s">
        <v>30</v>
      </c>
      <c r="R1130" s="1" t="s">
        <v>31</v>
      </c>
      <c r="S1130" s="1" t="n">
        <v>1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0</v>
      </c>
      <c r="Y1130" s="3" t="n">
        <f aca="false">SUM(S1130:T1130)</f>
        <v>1</v>
      </c>
      <c r="Z1130" s="3" t="n">
        <f aca="false">SUM(U1130:W1130)</f>
        <v>0</v>
      </c>
      <c r="AA1130" s="3" t="n">
        <f aca="false">SUM(S1130:X1130)</f>
        <v>1</v>
      </c>
      <c r="AB1130" s="11" t="n">
        <f aca="false">(AA1130/(K1130*L1130)*25)*4</f>
        <v>4</v>
      </c>
    </row>
    <row r="1131" customFormat="false" ht="14.25" hidden="false" customHeight="false" outlineLevel="0" collapsed="false">
      <c r="A1131" s="1" t="n">
        <v>2009</v>
      </c>
      <c r="B1131" s="7" t="s">
        <v>322</v>
      </c>
      <c r="C1131" s="7" t="n">
        <v>2</v>
      </c>
      <c r="D1131" s="7" t="s">
        <v>295</v>
      </c>
      <c r="E1131" s="7" t="s">
        <v>295</v>
      </c>
      <c r="F1131" s="7" t="s">
        <v>336</v>
      </c>
      <c r="G1131" s="1" t="n">
        <v>2</v>
      </c>
      <c r="H1131" s="1" t="n">
        <v>6</v>
      </c>
      <c r="I1131" s="10" t="n">
        <v>39969</v>
      </c>
      <c r="J1131" s="10" t="n">
        <v>39974</v>
      </c>
      <c r="K1131" s="1" t="n">
        <v>5</v>
      </c>
      <c r="L1131" s="1" t="n">
        <v>5</v>
      </c>
      <c r="M1131" s="3" t="s">
        <v>48</v>
      </c>
      <c r="N1131" s="3" t="s">
        <v>49</v>
      </c>
      <c r="O1131" s="3" t="s">
        <v>130</v>
      </c>
      <c r="P1131" s="2" t="str">
        <f aca="false">CONCATENATE(N1131," ",O1131)</f>
        <v>Alopecosa aculeata</v>
      </c>
      <c r="Q1131" s="1" t="s">
        <v>30</v>
      </c>
      <c r="R1131" s="1" t="s">
        <v>35</v>
      </c>
      <c r="S1131" s="1" t="n">
        <v>0</v>
      </c>
      <c r="T1131" s="1" t="n">
        <v>1</v>
      </c>
      <c r="U1131" s="1" t="n">
        <v>0</v>
      </c>
      <c r="V1131" s="1" t="n">
        <v>0</v>
      </c>
      <c r="W1131" s="1" t="n">
        <v>0</v>
      </c>
      <c r="X1131" s="1" t="n">
        <v>0</v>
      </c>
      <c r="Y1131" s="3" t="n">
        <f aca="false">SUM(S1131:T1131)</f>
        <v>1</v>
      </c>
      <c r="Z1131" s="3" t="n">
        <f aca="false">SUM(U1131:W1131)</f>
        <v>0</v>
      </c>
      <c r="AA1131" s="3" t="n">
        <f aca="false">SUM(S1131:X1131)</f>
        <v>1</v>
      </c>
      <c r="AB1131" s="11" t="n">
        <f aca="false">(AA1131/(K1131*L1131)*25)*4</f>
        <v>4</v>
      </c>
    </row>
    <row r="1132" customFormat="false" ht="14.25" hidden="false" customHeight="false" outlineLevel="0" collapsed="false">
      <c r="A1132" s="1" t="n">
        <v>2009</v>
      </c>
      <c r="B1132" s="7" t="s">
        <v>322</v>
      </c>
      <c r="C1132" s="7" t="n">
        <v>2</v>
      </c>
      <c r="D1132" s="7" t="s">
        <v>295</v>
      </c>
      <c r="E1132" s="7" t="s">
        <v>295</v>
      </c>
      <c r="F1132" s="7" t="s">
        <v>336</v>
      </c>
      <c r="G1132" s="1" t="n">
        <v>2</v>
      </c>
      <c r="H1132" s="1" t="n">
        <v>6</v>
      </c>
      <c r="I1132" s="10" t="n">
        <v>39969</v>
      </c>
      <c r="J1132" s="10" t="n">
        <v>39974</v>
      </c>
      <c r="K1132" s="1" t="n">
        <v>5</v>
      </c>
      <c r="L1132" s="1" t="n">
        <v>5</v>
      </c>
      <c r="M1132" s="3" t="s">
        <v>48</v>
      </c>
      <c r="N1132" s="3" t="s">
        <v>122</v>
      </c>
      <c r="O1132" s="3" t="s">
        <v>123</v>
      </c>
      <c r="P1132" s="2" t="str">
        <f aca="false">CONCATENATE(N1132," ",O1132)</f>
        <v>Xerolycosa nemoralis</v>
      </c>
      <c r="Q1132" s="1" t="s">
        <v>30</v>
      </c>
      <c r="R1132" s="1" t="s">
        <v>31</v>
      </c>
      <c r="S1132" s="1" t="n">
        <v>1</v>
      </c>
      <c r="T1132" s="1" t="n">
        <v>0</v>
      </c>
      <c r="U1132" s="1" t="n">
        <v>0</v>
      </c>
      <c r="V1132" s="1" t="n">
        <v>0</v>
      </c>
      <c r="W1132" s="1" t="n">
        <v>0</v>
      </c>
      <c r="X1132" s="1" t="n">
        <v>0</v>
      </c>
      <c r="Y1132" s="3" t="n">
        <f aca="false">SUM(S1132:T1132)</f>
        <v>1</v>
      </c>
      <c r="Z1132" s="3" t="n">
        <f aca="false">SUM(U1132:W1132)</f>
        <v>0</v>
      </c>
      <c r="AA1132" s="3" t="n">
        <f aca="false">SUM(S1132:X1132)</f>
        <v>1</v>
      </c>
      <c r="AB1132" s="11" t="n">
        <f aca="false">(AA1132/(K1132*L1132)*25)*4</f>
        <v>4</v>
      </c>
    </row>
    <row r="1133" customFormat="false" ht="14.25" hidden="false" customHeight="false" outlineLevel="0" collapsed="false">
      <c r="A1133" s="1" t="n">
        <v>2009</v>
      </c>
      <c r="B1133" s="7" t="s">
        <v>322</v>
      </c>
      <c r="C1133" s="7" t="n">
        <v>2</v>
      </c>
      <c r="D1133" s="7" t="s">
        <v>295</v>
      </c>
      <c r="E1133" s="7" t="s">
        <v>295</v>
      </c>
      <c r="F1133" s="7" t="s">
        <v>336</v>
      </c>
      <c r="G1133" s="1" t="n">
        <v>2</v>
      </c>
      <c r="H1133" s="1" t="n">
        <v>6</v>
      </c>
      <c r="I1133" s="10" t="n">
        <v>39969</v>
      </c>
      <c r="J1133" s="10" t="n">
        <v>39974</v>
      </c>
      <c r="K1133" s="1" t="n">
        <v>5</v>
      </c>
      <c r="L1133" s="1" t="n">
        <v>5</v>
      </c>
      <c r="M1133" s="3" t="s">
        <v>72</v>
      </c>
      <c r="N1133" s="3" t="s">
        <v>139</v>
      </c>
      <c r="O1133" s="3" t="s">
        <v>140</v>
      </c>
      <c r="P1133" s="2" t="str">
        <f aca="false">CONCATENATE(N1133," ",O1133)</f>
        <v>Gnaphosa muscorum</v>
      </c>
      <c r="Q1133" s="1" t="s">
        <v>30</v>
      </c>
      <c r="R1133" s="1" t="s">
        <v>31</v>
      </c>
      <c r="S1133" s="1" t="n">
        <v>2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  <c r="Y1133" s="3" t="n">
        <f aca="false">SUM(S1133:T1133)</f>
        <v>2</v>
      </c>
      <c r="Z1133" s="3" t="n">
        <f aca="false">SUM(U1133:W1133)</f>
        <v>0</v>
      </c>
      <c r="AA1133" s="3" t="n">
        <f aca="false">SUM(S1133:X1133)</f>
        <v>2</v>
      </c>
      <c r="AB1133" s="11" t="n">
        <f aca="false">(AA1133/(K1133*L1133)*25)*4</f>
        <v>8</v>
      </c>
    </row>
    <row r="1134" customFormat="false" ht="14.25" hidden="false" customHeight="false" outlineLevel="0" collapsed="false">
      <c r="A1134" s="1" t="n">
        <v>2009</v>
      </c>
      <c r="B1134" s="7" t="s">
        <v>322</v>
      </c>
      <c r="C1134" s="7" t="n">
        <v>2</v>
      </c>
      <c r="D1134" s="7" t="s">
        <v>295</v>
      </c>
      <c r="E1134" s="7" t="s">
        <v>295</v>
      </c>
      <c r="F1134" s="7" t="s">
        <v>336</v>
      </c>
      <c r="G1134" s="1" t="n">
        <v>2</v>
      </c>
      <c r="H1134" s="1" t="n">
        <v>6</v>
      </c>
      <c r="I1134" s="10" t="n">
        <v>39969</v>
      </c>
      <c r="J1134" s="10" t="n">
        <v>39974</v>
      </c>
      <c r="K1134" s="1" t="n">
        <v>5</v>
      </c>
      <c r="L1134" s="1" t="n">
        <v>5</v>
      </c>
      <c r="M1134" s="3" t="s">
        <v>72</v>
      </c>
      <c r="N1134" s="3" t="s">
        <v>73</v>
      </c>
      <c r="O1134" s="3" t="s">
        <v>74</v>
      </c>
      <c r="P1134" s="2" t="str">
        <f aca="false">CONCATENATE(N1134," ",O1134)</f>
        <v>Zelotes subterraneus</v>
      </c>
      <c r="Q1134" s="1" t="s">
        <v>30</v>
      </c>
      <c r="R1134" s="1" t="s">
        <v>35</v>
      </c>
      <c r="S1134" s="1" t="n">
        <v>0</v>
      </c>
      <c r="T1134" s="1" t="n">
        <v>1</v>
      </c>
      <c r="U1134" s="1" t="n">
        <v>0</v>
      </c>
      <c r="V1134" s="1" t="n">
        <v>0</v>
      </c>
      <c r="W1134" s="1" t="n">
        <v>0</v>
      </c>
      <c r="X1134" s="1" t="n">
        <v>0</v>
      </c>
      <c r="Y1134" s="3" t="n">
        <f aca="false">SUM(S1134:T1134)</f>
        <v>1</v>
      </c>
      <c r="Z1134" s="3" t="n">
        <f aca="false">SUM(U1134:W1134)</f>
        <v>0</v>
      </c>
      <c r="AA1134" s="3" t="n">
        <f aca="false">SUM(S1134:X1134)</f>
        <v>1</v>
      </c>
      <c r="AB1134" s="11" t="n">
        <f aca="false">(AA1134/(K1134*L1134)*25)*4</f>
        <v>4</v>
      </c>
    </row>
    <row r="1135" customFormat="false" ht="14.25" hidden="false" customHeight="false" outlineLevel="0" collapsed="false">
      <c r="A1135" s="1" t="n">
        <v>2009</v>
      </c>
      <c r="B1135" s="7" t="s">
        <v>322</v>
      </c>
      <c r="C1135" s="7" t="n">
        <v>2</v>
      </c>
      <c r="D1135" s="7" t="s">
        <v>295</v>
      </c>
      <c r="E1135" s="7" t="s">
        <v>295</v>
      </c>
      <c r="F1135" s="7" t="s">
        <v>336</v>
      </c>
      <c r="G1135" s="1" t="n">
        <v>2</v>
      </c>
      <c r="H1135" s="1" t="n">
        <v>6</v>
      </c>
      <c r="I1135" s="10" t="n">
        <v>39969</v>
      </c>
      <c r="J1135" s="10" t="n">
        <v>39974</v>
      </c>
      <c r="K1135" s="1" t="n">
        <v>5</v>
      </c>
      <c r="L1135" s="1" t="n">
        <v>5</v>
      </c>
      <c r="M1135" s="13" t="s">
        <v>27</v>
      </c>
      <c r="N1135" s="13" t="s">
        <v>46</v>
      </c>
      <c r="O1135" s="14" t="s">
        <v>47</v>
      </c>
      <c r="P1135" s="2" t="str">
        <f aca="false">CONCATENATE(N1135," ",O1135)</f>
        <v>Euryopis flavomaculata</v>
      </c>
      <c r="Q1135" s="1" t="s">
        <v>30</v>
      </c>
      <c r="R1135" s="1" t="s">
        <v>31</v>
      </c>
      <c r="S1135" s="1" t="n">
        <v>1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3" t="n">
        <f aca="false">SUM(S1135:T1135)</f>
        <v>1</v>
      </c>
      <c r="Z1135" s="3" t="n">
        <f aca="false">SUM(U1135:W1135)</f>
        <v>0</v>
      </c>
      <c r="AA1135" s="3" t="n">
        <f aca="false">SUM(S1135:X1135)</f>
        <v>1</v>
      </c>
      <c r="AB1135" s="11" t="n">
        <f aca="false">(AA1135/(K1135*L1135)*25)*4</f>
        <v>4</v>
      </c>
    </row>
    <row r="1136" customFormat="false" ht="14.25" hidden="false" customHeight="false" outlineLevel="0" collapsed="false">
      <c r="A1136" s="1" t="n">
        <v>2009</v>
      </c>
      <c r="B1136" s="7" t="s">
        <v>322</v>
      </c>
      <c r="C1136" s="7" t="n">
        <v>2</v>
      </c>
      <c r="D1136" s="7" t="s">
        <v>295</v>
      </c>
      <c r="E1136" s="7" t="s">
        <v>295</v>
      </c>
      <c r="F1136" s="7" t="s">
        <v>336</v>
      </c>
      <c r="G1136" s="1" t="n">
        <v>2</v>
      </c>
      <c r="H1136" s="1" t="n">
        <v>6</v>
      </c>
      <c r="I1136" s="10" t="n">
        <v>39969</v>
      </c>
      <c r="J1136" s="10" t="n">
        <v>39974</v>
      </c>
      <c r="K1136" s="1" t="n">
        <v>5</v>
      </c>
      <c r="L1136" s="1" t="n">
        <v>5</v>
      </c>
      <c r="M1136" s="13" t="s">
        <v>27</v>
      </c>
      <c r="N1136" s="13" t="s">
        <v>46</v>
      </c>
      <c r="O1136" s="14" t="s">
        <v>47</v>
      </c>
      <c r="P1136" s="2" t="str">
        <f aca="false">CONCATENATE(N1136," ",O1136)</f>
        <v>Euryopis flavomaculata</v>
      </c>
      <c r="Q1136" s="1" t="s">
        <v>30</v>
      </c>
      <c r="R1136" s="1" t="s">
        <v>35</v>
      </c>
      <c r="S1136" s="1" t="n">
        <v>0</v>
      </c>
      <c r="T1136" s="1" t="n">
        <v>1</v>
      </c>
      <c r="U1136" s="1" t="n">
        <v>0</v>
      </c>
      <c r="V1136" s="1" t="n">
        <v>0</v>
      </c>
      <c r="W1136" s="1" t="n">
        <v>0</v>
      </c>
      <c r="X1136" s="1" t="n">
        <v>0</v>
      </c>
      <c r="Y1136" s="3" t="n">
        <f aca="false">SUM(S1136:T1136)</f>
        <v>1</v>
      </c>
      <c r="Z1136" s="3" t="n">
        <f aca="false">SUM(U1136:W1136)</f>
        <v>0</v>
      </c>
      <c r="AA1136" s="3" t="n">
        <f aca="false">SUM(S1136:X1136)</f>
        <v>1</v>
      </c>
      <c r="AB1136" s="11" t="n">
        <f aca="false">(AA1136/(K1136*L1136)*25)*4</f>
        <v>4</v>
      </c>
    </row>
    <row r="1137" customFormat="false" ht="14.25" hidden="false" customHeight="false" outlineLevel="0" collapsed="false">
      <c r="A1137" s="1" t="n">
        <v>2009</v>
      </c>
      <c r="B1137" s="7" t="s">
        <v>322</v>
      </c>
      <c r="C1137" s="7" t="n">
        <v>2</v>
      </c>
      <c r="D1137" s="7" t="s">
        <v>295</v>
      </c>
      <c r="E1137" s="7" t="s">
        <v>295</v>
      </c>
      <c r="F1137" s="7" t="s">
        <v>336</v>
      </c>
      <c r="G1137" s="1" t="n">
        <v>2</v>
      </c>
      <c r="H1137" s="1" t="n">
        <v>7</v>
      </c>
      <c r="I1137" s="10" t="n">
        <v>39969</v>
      </c>
      <c r="J1137" s="10" t="n">
        <v>39974</v>
      </c>
      <c r="K1137" s="1" t="n">
        <v>5</v>
      </c>
      <c r="L1137" s="1" t="n">
        <v>5</v>
      </c>
      <c r="M1137" s="3" t="s">
        <v>48</v>
      </c>
      <c r="N1137" s="3" t="s">
        <v>49</v>
      </c>
      <c r="O1137" s="3" t="s">
        <v>130</v>
      </c>
      <c r="P1137" s="2" t="str">
        <f aca="false">CONCATENATE(N1137," ",O1137)</f>
        <v>Alopecosa aculeata</v>
      </c>
      <c r="Q1137" s="1" t="s">
        <v>30</v>
      </c>
      <c r="R1137" s="1" t="s">
        <v>31</v>
      </c>
      <c r="S1137" s="1" t="n">
        <v>1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0</v>
      </c>
      <c r="Y1137" s="3" t="n">
        <f aca="false">SUM(S1137:T1137)</f>
        <v>1</v>
      </c>
      <c r="Z1137" s="3" t="n">
        <f aca="false">SUM(U1137:W1137)</f>
        <v>0</v>
      </c>
      <c r="AA1137" s="3" t="n">
        <f aca="false">SUM(S1137:X1137)</f>
        <v>1</v>
      </c>
      <c r="AB1137" s="11" t="n">
        <f aca="false">(AA1137/(K1137*L1137)*25)*4</f>
        <v>4</v>
      </c>
    </row>
    <row r="1138" customFormat="false" ht="14.25" hidden="false" customHeight="false" outlineLevel="0" collapsed="false">
      <c r="A1138" s="1" t="n">
        <v>2009</v>
      </c>
      <c r="B1138" s="7" t="s">
        <v>322</v>
      </c>
      <c r="C1138" s="7" t="n">
        <v>2</v>
      </c>
      <c r="D1138" s="7" t="s">
        <v>295</v>
      </c>
      <c r="E1138" s="7" t="s">
        <v>295</v>
      </c>
      <c r="F1138" s="7" t="s">
        <v>336</v>
      </c>
      <c r="G1138" s="1" t="n">
        <v>2</v>
      </c>
      <c r="H1138" s="1" t="n">
        <v>7</v>
      </c>
      <c r="I1138" s="10" t="n">
        <v>39969</v>
      </c>
      <c r="J1138" s="10" t="n">
        <v>39974</v>
      </c>
      <c r="K1138" s="1" t="n">
        <v>5</v>
      </c>
      <c r="L1138" s="1" t="n">
        <v>5</v>
      </c>
      <c r="M1138" s="3" t="s">
        <v>48</v>
      </c>
      <c r="N1138" s="3" t="s">
        <v>122</v>
      </c>
      <c r="O1138" s="3" t="s">
        <v>123</v>
      </c>
      <c r="P1138" s="2" t="str">
        <f aca="false">CONCATENATE(N1138," ",O1138)</f>
        <v>Xerolycosa nemoralis</v>
      </c>
      <c r="Q1138" s="1" t="s">
        <v>30</v>
      </c>
      <c r="R1138" s="1" t="s">
        <v>31</v>
      </c>
      <c r="S1138" s="1" t="n">
        <v>3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0</v>
      </c>
      <c r="Y1138" s="3" t="n">
        <f aca="false">SUM(S1138:T1138)</f>
        <v>3</v>
      </c>
      <c r="Z1138" s="3" t="n">
        <f aca="false">SUM(U1138:W1138)</f>
        <v>0</v>
      </c>
      <c r="AA1138" s="3" t="n">
        <f aca="false">SUM(S1138:X1138)</f>
        <v>3</v>
      </c>
      <c r="AB1138" s="11" t="n">
        <f aca="false">(AA1138/(K1138*L1138)*25)*4</f>
        <v>12</v>
      </c>
    </row>
    <row r="1139" customFormat="false" ht="14.25" hidden="false" customHeight="false" outlineLevel="0" collapsed="false">
      <c r="A1139" s="1" t="n">
        <v>2009</v>
      </c>
      <c r="B1139" s="7" t="s">
        <v>322</v>
      </c>
      <c r="C1139" s="7" t="n">
        <v>2</v>
      </c>
      <c r="D1139" s="7" t="s">
        <v>295</v>
      </c>
      <c r="E1139" s="7" t="s">
        <v>295</v>
      </c>
      <c r="F1139" s="7" t="s">
        <v>336</v>
      </c>
      <c r="G1139" s="1" t="n">
        <v>2</v>
      </c>
      <c r="H1139" s="1" t="n">
        <v>7</v>
      </c>
      <c r="I1139" s="10" t="n">
        <v>39969</v>
      </c>
      <c r="J1139" s="10" t="n">
        <v>39974</v>
      </c>
      <c r="K1139" s="1" t="n">
        <v>5</v>
      </c>
      <c r="L1139" s="1" t="n">
        <v>5</v>
      </c>
      <c r="M1139" s="3" t="s">
        <v>72</v>
      </c>
      <c r="N1139" s="3" t="s">
        <v>73</v>
      </c>
      <c r="O1139" s="3" t="s">
        <v>74</v>
      </c>
      <c r="P1139" s="2" t="str">
        <f aca="false">CONCATENATE(N1139," ",O1139)</f>
        <v>Zelotes subterraneus</v>
      </c>
      <c r="Q1139" s="1" t="s">
        <v>30</v>
      </c>
      <c r="R1139" s="1" t="s">
        <v>35</v>
      </c>
      <c r="S1139" s="1" t="n">
        <v>0</v>
      </c>
      <c r="T1139" s="1" t="n">
        <v>1</v>
      </c>
      <c r="U1139" s="1" t="n">
        <v>0</v>
      </c>
      <c r="V1139" s="1" t="n">
        <v>0</v>
      </c>
      <c r="W1139" s="1" t="n">
        <v>0</v>
      </c>
      <c r="X1139" s="1" t="n">
        <v>0</v>
      </c>
      <c r="Y1139" s="3" t="n">
        <f aca="false">SUM(S1139:T1139)</f>
        <v>1</v>
      </c>
      <c r="Z1139" s="3" t="n">
        <f aca="false">SUM(U1139:W1139)</f>
        <v>0</v>
      </c>
      <c r="AA1139" s="3" t="n">
        <f aca="false">SUM(S1139:X1139)</f>
        <v>1</v>
      </c>
      <c r="AB1139" s="11" t="n">
        <f aca="false">(AA1139/(K1139*L1139)*25)*4</f>
        <v>4</v>
      </c>
    </row>
    <row r="1140" customFormat="false" ht="14.25" hidden="false" customHeight="false" outlineLevel="0" collapsed="false">
      <c r="A1140" s="1" t="n">
        <v>2009</v>
      </c>
      <c r="B1140" s="7" t="s">
        <v>322</v>
      </c>
      <c r="C1140" s="7" t="n">
        <v>2</v>
      </c>
      <c r="D1140" s="7" t="s">
        <v>295</v>
      </c>
      <c r="E1140" s="7" t="s">
        <v>295</v>
      </c>
      <c r="F1140" s="7" t="s">
        <v>336</v>
      </c>
      <c r="G1140" s="1" t="n">
        <v>2</v>
      </c>
      <c r="H1140" s="1" t="n">
        <v>8</v>
      </c>
      <c r="I1140" s="10" t="n">
        <v>39969</v>
      </c>
      <c r="J1140" s="10" t="n">
        <v>39974</v>
      </c>
      <c r="K1140" s="1" t="n">
        <v>5</v>
      </c>
      <c r="L1140" s="1" t="n">
        <v>5</v>
      </c>
      <c r="M1140" s="3" t="s">
        <v>48</v>
      </c>
      <c r="N1140" s="3" t="s">
        <v>49</v>
      </c>
      <c r="O1140" s="3" t="s">
        <v>130</v>
      </c>
      <c r="P1140" s="2" t="str">
        <f aca="false">CONCATENATE(N1140," ",O1140)</f>
        <v>Alopecosa aculeata</v>
      </c>
      <c r="Q1140" s="1" t="s">
        <v>30</v>
      </c>
      <c r="R1140" s="1" t="s">
        <v>31</v>
      </c>
      <c r="S1140" s="1" t="n">
        <v>1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0</v>
      </c>
      <c r="Y1140" s="3" t="n">
        <f aca="false">SUM(S1140:T1140)</f>
        <v>1</v>
      </c>
      <c r="Z1140" s="3" t="n">
        <f aca="false">SUM(U1140:W1140)</f>
        <v>0</v>
      </c>
      <c r="AA1140" s="3" t="n">
        <f aca="false">SUM(S1140:X1140)</f>
        <v>1</v>
      </c>
      <c r="AB1140" s="11" t="n">
        <f aca="false">(AA1140/(K1140*L1140)*25)*4</f>
        <v>4</v>
      </c>
    </row>
    <row r="1141" customFormat="false" ht="14.25" hidden="false" customHeight="false" outlineLevel="0" collapsed="false">
      <c r="A1141" s="1" t="n">
        <v>2009</v>
      </c>
      <c r="B1141" s="7" t="s">
        <v>322</v>
      </c>
      <c r="C1141" s="7" t="n">
        <v>2</v>
      </c>
      <c r="D1141" s="7" t="s">
        <v>295</v>
      </c>
      <c r="E1141" s="7" t="s">
        <v>295</v>
      </c>
      <c r="F1141" s="7" t="s">
        <v>336</v>
      </c>
      <c r="G1141" s="1" t="n">
        <v>2</v>
      </c>
      <c r="H1141" s="1" t="n">
        <v>8</v>
      </c>
      <c r="I1141" s="10" t="n">
        <v>39969</v>
      </c>
      <c r="J1141" s="10" t="n">
        <v>39974</v>
      </c>
      <c r="K1141" s="1" t="n">
        <v>5</v>
      </c>
      <c r="L1141" s="1" t="n">
        <v>5</v>
      </c>
      <c r="M1141" s="3" t="s">
        <v>48</v>
      </c>
      <c r="N1141" s="3" t="s">
        <v>122</v>
      </c>
      <c r="O1141" s="3" t="s">
        <v>123</v>
      </c>
      <c r="P1141" s="2" t="str">
        <f aca="false">CONCATENATE(N1141," ",O1141)</f>
        <v>Xerolycosa nemoralis</v>
      </c>
      <c r="Q1141" s="1" t="s">
        <v>30</v>
      </c>
      <c r="R1141" s="1" t="s">
        <v>31</v>
      </c>
      <c r="S1141" s="1" t="n">
        <v>4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3" t="n">
        <f aca="false">SUM(S1141:T1141)</f>
        <v>4</v>
      </c>
      <c r="Z1141" s="3" t="n">
        <f aca="false">SUM(U1141:W1141)</f>
        <v>0</v>
      </c>
      <c r="AA1141" s="3" t="n">
        <f aca="false">SUM(S1141:X1141)</f>
        <v>4</v>
      </c>
      <c r="AB1141" s="11" t="n">
        <f aca="false">(AA1141/(K1141*L1141)*25)*4</f>
        <v>16</v>
      </c>
    </row>
    <row r="1142" customFormat="false" ht="14.25" hidden="false" customHeight="false" outlineLevel="0" collapsed="false">
      <c r="A1142" s="1" t="n">
        <v>2009</v>
      </c>
      <c r="B1142" s="7" t="s">
        <v>322</v>
      </c>
      <c r="C1142" s="7" t="n">
        <v>2</v>
      </c>
      <c r="D1142" s="7" t="s">
        <v>295</v>
      </c>
      <c r="E1142" s="7" t="s">
        <v>295</v>
      </c>
      <c r="F1142" s="7" t="s">
        <v>336</v>
      </c>
      <c r="G1142" s="1" t="n">
        <v>2</v>
      </c>
      <c r="H1142" s="1" t="n">
        <v>8</v>
      </c>
      <c r="I1142" s="10" t="n">
        <v>39969</v>
      </c>
      <c r="J1142" s="10" t="n">
        <v>39974</v>
      </c>
      <c r="K1142" s="1" t="n">
        <v>5</v>
      </c>
      <c r="L1142" s="1" t="n">
        <v>5</v>
      </c>
      <c r="M1142" s="13" t="s">
        <v>27</v>
      </c>
      <c r="N1142" s="13" t="s">
        <v>46</v>
      </c>
      <c r="O1142" s="14" t="s">
        <v>47</v>
      </c>
      <c r="P1142" s="2" t="str">
        <f aca="false">CONCATENATE(N1142," ",O1142)</f>
        <v>Euryopis flavomaculata</v>
      </c>
      <c r="Q1142" s="1" t="s">
        <v>30</v>
      </c>
      <c r="R1142" s="1" t="s">
        <v>31</v>
      </c>
      <c r="S1142" s="1" t="n">
        <v>2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0</v>
      </c>
      <c r="Y1142" s="3" t="n">
        <f aca="false">SUM(S1142:T1142)</f>
        <v>2</v>
      </c>
      <c r="Z1142" s="3" t="n">
        <f aca="false">SUM(U1142:W1142)</f>
        <v>0</v>
      </c>
      <c r="AA1142" s="3" t="n">
        <f aca="false">SUM(S1142:X1142)</f>
        <v>2</v>
      </c>
      <c r="AB1142" s="11" t="n">
        <f aca="false">(AA1142/(K1142*L1142)*25)*4</f>
        <v>8</v>
      </c>
    </row>
    <row r="1143" customFormat="false" ht="14.25" hidden="false" customHeight="false" outlineLevel="0" collapsed="false">
      <c r="A1143" s="1" t="n">
        <v>2009</v>
      </c>
      <c r="B1143" s="7" t="s">
        <v>322</v>
      </c>
      <c r="C1143" s="7" t="n">
        <v>2</v>
      </c>
      <c r="D1143" s="7" t="s">
        <v>295</v>
      </c>
      <c r="E1143" s="7" t="s">
        <v>295</v>
      </c>
      <c r="F1143" s="7" t="s">
        <v>336</v>
      </c>
      <c r="G1143" s="1" t="n">
        <v>2</v>
      </c>
      <c r="H1143" s="1" t="n">
        <v>9</v>
      </c>
      <c r="I1143" s="10" t="n">
        <v>39969</v>
      </c>
      <c r="J1143" s="10" t="n">
        <v>39974</v>
      </c>
      <c r="K1143" s="1" t="n">
        <v>5</v>
      </c>
      <c r="L1143" s="1" t="n">
        <v>5</v>
      </c>
      <c r="M1143" s="3" t="s">
        <v>48</v>
      </c>
      <c r="N1143" s="3" t="s">
        <v>67</v>
      </c>
      <c r="O1143" s="3" t="s">
        <v>127</v>
      </c>
      <c r="P1143" s="2" t="str">
        <f aca="false">CONCATENATE(N1143," ",O1143)</f>
        <v>Pardosa lugubris</v>
      </c>
      <c r="Q1143" s="1" t="s">
        <v>30</v>
      </c>
      <c r="R1143" s="1" t="s">
        <v>31</v>
      </c>
      <c r="S1143" s="1" t="n">
        <v>1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0</v>
      </c>
      <c r="Y1143" s="3" t="n">
        <f aca="false">SUM(S1143:T1143)</f>
        <v>1</v>
      </c>
      <c r="Z1143" s="3" t="n">
        <f aca="false">SUM(U1143:W1143)</f>
        <v>0</v>
      </c>
      <c r="AA1143" s="3" t="n">
        <f aca="false">SUM(S1143:X1143)</f>
        <v>1</v>
      </c>
      <c r="AB1143" s="11" t="n">
        <f aca="false">(AA1143/(K1143*L1143)*25)*4</f>
        <v>4</v>
      </c>
    </row>
    <row r="1144" customFormat="false" ht="14.25" hidden="false" customHeight="false" outlineLevel="0" collapsed="false">
      <c r="A1144" s="1" t="n">
        <v>2009</v>
      </c>
      <c r="B1144" s="7" t="s">
        <v>322</v>
      </c>
      <c r="C1144" s="7" t="n">
        <v>2</v>
      </c>
      <c r="D1144" s="7" t="s">
        <v>295</v>
      </c>
      <c r="E1144" s="7" t="s">
        <v>295</v>
      </c>
      <c r="F1144" s="7" t="s">
        <v>336</v>
      </c>
      <c r="G1144" s="1" t="n">
        <v>2</v>
      </c>
      <c r="H1144" s="1" t="n">
        <v>9</v>
      </c>
      <c r="I1144" s="10" t="n">
        <v>39969</v>
      </c>
      <c r="J1144" s="10" t="n">
        <v>39974</v>
      </c>
      <c r="K1144" s="1" t="n">
        <v>5</v>
      </c>
      <c r="L1144" s="1" t="n">
        <v>5</v>
      </c>
      <c r="M1144" s="3" t="s">
        <v>48</v>
      </c>
      <c r="N1144" s="3" t="s">
        <v>122</v>
      </c>
      <c r="O1144" s="3" t="s">
        <v>123</v>
      </c>
      <c r="P1144" s="2" t="str">
        <f aca="false">CONCATENATE(N1144," ",O1144)</f>
        <v>Xerolycosa nemoralis</v>
      </c>
      <c r="Q1144" s="1" t="s">
        <v>30</v>
      </c>
      <c r="R1144" s="1" t="s">
        <v>31</v>
      </c>
      <c r="S1144" s="1" t="n">
        <v>1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0</v>
      </c>
      <c r="Y1144" s="3" t="n">
        <f aca="false">SUM(S1144:T1144)</f>
        <v>1</v>
      </c>
      <c r="Z1144" s="3" t="n">
        <f aca="false">SUM(U1144:W1144)</f>
        <v>0</v>
      </c>
      <c r="AA1144" s="3" t="n">
        <f aca="false">SUM(S1144:X1144)</f>
        <v>1</v>
      </c>
      <c r="AB1144" s="11" t="n">
        <f aca="false">(AA1144/(K1144*L1144)*25)*4</f>
        <v>4</v>
      </c>
    </row>
    <row r="1145" customFormat="false" ht="14.25" hidden="false" customHeight="false" outlineLevel="0" collapsed="false">
      <c r="A1145" s="1" t="n">
        <v>2009</v>
      </c>
      <c r="B1145" s="7" t="s">
        <v>322</v>
      </c>
      <c r="C1145" s="7" t="n">
        <v>2</v>
      </c>
      <c r="D1145" s="7" t="s">
        <v>295</v>
      </c>
      <c r="E1145" s="7" t="s">
        <v>295</v>
      </c>
      <c r="F1145" s="7" t="s">
        <v>336</v>
      </c>
      <c r="G1145" s="1" t="n">
        <v>2</v>
      </c>
      <c r="H1145" s="1" t="n">
        <v>9</v>
      </c>
      <c r="I1145" s="10" t="n">
        <v>39969</v>
      </c>
      <c r="J1145" s="10" t="n">
        <v>39974</v>
      </c>
      <c r="K1145" s="1" t="n">
        <v>5</v>
      </c>
      <c r="L1145" s="1" t="n">
        <v>5</v>
      </c>
      <c r="M1145" s="3" t="s">
        <v>72</v>
      </c>
      <c r="N1145" s="3" t="s">
        <v>73</v>
      </c>
      <c r="O1145" s="3" t="s">
        <v>74</v>
      </c>
      <c r="P1145" s="2" t="str">
        <f aca="false">CONCATENATE(N1145," ",O1145)</f>
        <v>Zelotes subterraneus</v>
      </c>
      <c r="Q1145" s="1" t="s">
        <v>30</v>
      </c>
      <c r="R1145" s="1" t="s">
        <v>31</v>
      </c>
      <c r="S1145" s="1" t="n">
        <v>2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0</v>
      </c>
      <c r="Y1145" s="3" t="n">
        <f aca="false">SUM(S1145:T1145)</f>
        <v>2</v>
      </c>
      <c r="Z1145" s="3" t="n">
        <f aca="false">SUM(U1145:W1145)</f>
        <v>0</v>
      </c>
      <c r="AA1145" s="3" t="n">
        <f aca="false">SUM(S1145:X1145)</f>
        <v>2</v>
      </c>
      <c r="AB1145" s="11" t="n">
        <f aca="false">(AA1145/(K1145*L1145)*25)*4</f>
        <v>8</v>
      </c>
    </row>
    <row r="1146" customFormat="false" ht="14.25" hidden="false" customHeight="false" outlineLevel="0" collapsed="false">
      <c r="A1146" s="1" t="n">
        <v>2009</v>
      </c>
      <c r="B1146" s="7" t="s">
        <v>322</v>
      </c>
      <c r="C1146" s="7" t="n">
        <v>2</v>
      </c>
      <c r="D1146" s="7" t="s">
        <v>295</v>
      </c>
      <c r="E1146" s="7" t="s">
        <v>295</v>
      </c>
      <c r="F1146" s="7" t="s">
        <v>336</v>
      </c>
      <c r="G1146" s="1" t="n">
        <v>2</v>
      </c>
      <c r="H1146" s="1" t="n">
        <v>9</v>
      </c>
      <c r="I1146" s="10" t="n">
        <v>39969</v>
      </c>
      <c r="J1146" s="10" t="n">
        <v>39974</v>
      </c>
      <c r="K1146" s="1" t="n">
        <v>5</v>
      </c>
      <c r="L1146" s="1" t="n">
        <v>5</v>
      </c>
      <c r="M1146" s="3" t="s">
        <v>72</v>
      </c>
      <c r="N1146" s="3" t="s">
        <v>73</v>
      </c>
      <c r="O1146" s="3" t="s">
        <v>74</v>
      </c>
      <c r="P1146" s="2" t="str">
        <f aca="false">CONCATENATE(N1146," ",O1146)</f>
        <v>Zelotes subterraneus</v>
      </c>
      <c r="Q1146" s="1" t="s">
        <v>30</v>
      </c>
      <c r="R1146" s="1" t="s">
        <v>35</v>
      </c>
      <c r="S1146" s="1" t="n">
        <v>0</v>
      </c>
      <c r="T1146" s="1" t="n">
        <v>2</v>
      </c>
      <c r="U1146" s="1" t="n">
        <v>0</v>
      </c>
      <c r="V1146" s="1" t="n">
        <v>0</v>
      </c>
      <c r="W1146" s="1" t="n">
        <v>0</v>
      </c>
      <c r="X1146" s="1" t="n">
        <v>0</v>
      </c>
      <c r="Y1146" s="3" t="n">
        <f aca="false">SUM(S1146:T1146)</f>
        <v>2</v>
      </c>
      <c r="Z1146" s="3" t="n">
        <f aca="false">SUM(U1146:W1146)</f>
        <v>0</v>
      </c>
      <c r="AA1146" s="3" t="n">
        <f aca="false">SUM(S1146:X1146)</f>
        <v>2</v>
      </c>
      <c r="AB1146" s="11" t="n">
        <f aca="false">(AA1146/(K1146*L1146)*25)*4</f>
        <v>8</v>
      </c>
    </row>
    <row r="1147" customFormat="false" ht="14.25" hidden="false" customHeight="false" outlineLevel="0" collapsed="false">
      <c r="A1147" s="1" t="n">
        <v>2009</v>
      </c>
      <c r="B1147" s="7" t="s">
        <v>322</v>
      </c>
      <c r="C1147" s="7" t="n">
        <v>2</v>
      </c>
      <c r="D1147" s="7" t="s">
        <v>295</v>
      </c>
      <c r="E1147" s="7" t="s">
        <v>295</v>
      </c>
      <c r="F1147" s="7" t="s">
        <v>336</v>
      </c>
      <c r="G1147" s="1" t="n">
        <v>2</v>
      </c>
      <c r="H1147" s="1" t="n">
        <v>10</v>
      </c>
      <c r="I1147" s="10" t="n">
        <v>39969</v>
      </c>
      <c r="J1147" s="10" t="n">
        <v>39974</v>
      </c>
      <c r="K1147" s="1" t="n">
        <v>5</v>
      </c>
      <c r="L1147" s="1" t="n">
        <v>5</v>
      </c>
      <c r="M1147" s="3" t="s">
        <v>48</v>
      </c>
      <c r="N1147" s="3" t="s">
        <v>49</v>
      </c>
      <c r="O1147" s="3" t="s">
        <v>130</v>
      </c>
      <c r="P1147" s="2" t="str">
        <f aca="false">CONCATENATE(N1147," ",O1147)</f>
        <v>Alopecosa aculeata</v>
      </c>
      <c r="Q1147" s="1" t="s">
        <v>30</v>
      </c>
      <c r="R1147" s="1" t="s">
        <v>31</v>
      </c>
      <c r="S1147" s="1" t="n">
        <v>3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0</v>
      </c>
      <c r="Y1147" s="3" t="n">
        <f aca="false">SUM(S1147:T1147)</f>
        <v>3</v>
      </c>
      <c r="Z1147" s="3" t="n">
        <f aca="false">SUM(U1147:W1147)</f>
        <v>0</v>
      </c>
      <c r="AA1147" s="3" t="n">
        <f aca="false">SUM(S1147:X1147)</f>
        <v>3</v>
      </c>
      <c r="AB1147" s="11" t="n">
        <f aca="false">(AA1147/(K1147*L1147)*25)*4</f>
        <v>12</v>
      </c>
    </row>
    <row r="1148" customFormat="false" ht="14.25" hidden="false" customHeight="false" outlineLevel="0" collapsed="false">
      <c r="A1148" s="1" t="n">
        <v>2009</v>
      </c>
      <c r="B1148" s="7" t="s">
        <v>322</v>
      </c>
      <c r="C1148" s="7" t="n">
        <v>2</v>
      </c>
      <c r="D1148" s="7" t="s">
        <v>295</v>
      </c>
      <c r="E1148" s="7" t="s">
        <v>295</v>
      </c>
      <c r="F1148" s="7" t="s">
        <v>336</v>
      </c>
      <c r="G1148" s="1" t="n">
        <v>2</v>
      </c>
      <c r="H1148" s="1" t="n">
        <v>10</v>
      </c>
      <c r="I1148" s="10" t="n">
        <v>39969</v>
      </c>
      <c r="J1148" s="10" t="n">
        <v>39974</v>
      </c>
      <c r="K1148" s="1" t="n">
        <v>5</v>
      </c>
      <c r="L1148" s="1" t="n">
        <v>5</v>
      </c>
      <c r="M1148" s="3" t="s">
        <v>48</v>
      </c>
      <c r="N1148" s="3" t="s">
        <v>122</v>
      </c>
      <c r="O1148" s="3" t="s">
        <v>123</v>
      </c>
      <c r="P1148" s="2" t="str">
        <f aca="false">CONCATENATE(N1148," ",O1148)</f>
        <v>Xerolycosa nemoralis</v>
      </c>
      <c r="Q1148" s="1" t="s">
        <v>30</v>
      </c>
      <c r="R1148" s="1" t="s">
        <v>31</v>
      </c>
      <c r="S1148" s="1" t="n">
        <v>5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0</v>
      </c>
      <c r="Y1148" s="3" t="n">
        <f aca="false">SUM(S1148:T1148)</f>
        <v>5</v>
      </c>
      <c r="Z1148" s="3" t="n">
        <f aca="false">SUM(U1148:W1148)</f>
        <v>0</v>
      </c>
      <c r="AA1148" s="3" t="n">
        <f aca="false">SUM(S1148:X1148)</f>
        <v>5</v>
      </c>
      <c r="AB1148" s="11" t="n">
        <f aca="false">(AA1148/(K1148*L1148)*25)*4</f>
        <v>20</v>
      </c>
    </row>
    <row r="1149" customFormat="false" ht="14.25" hidden="false" customHeight="false" outlineLevel="0" collapsed="false">
      <c r="A1149" s="1" t="n">
        <v>2009</v>
      </c>
      <c r="B1149" s="7" t="s">
        <v>322</v>
      </c>
      <c r="C1149" s="7" t="n">
        <v>2</v>
      </c>
      <c r="D1149" s="7" t="s">
        <v>295</v>
      </c>
      <c r="E1149" s="7" t="s">
        <v>295</v>
      </c>
      <c r="F1149" s="7" t="s">
        <v>336</v>
      </c>
      <c r="G1149" s="1" t="n">
        <v>2</v>
      </c>
      <c r="H1149" s="1" t="n">
        <v>10</v>
      </c>
      <c r="I1149" s="10" t="n">
        <v>39969</v>
      </c>
      <c r="J1149" s="10" t="n">
        <v>39974</v>
      </c>
      <c r="K1149" s="1" t="n">
        <v>5</v>
      </c>
      <c r="L1149" s="1" t="n">
        <v>5</v>
      </c>
      <c r="M1149" s="3" t="s">
        <v>72</v>
      </c>
      <c r="N1149" s="3" t="s">
        <v>73</v>
      </c>
      <c r="O1149" s="3" t="s">
        <v>74</v>
      </c>
      <c r="P1149" s="2" t="str">
        <f aca="false">CONCATENATE(N1149," ",O1149)</f>
        <v>Zelotes subterraneus</v>
      </c>
      <c r="Q1149" s="1" t="s">
        <v>30</v>
      </c>
      <c r="R1149" s="1" t="s">
        <v>35</v>
      </c>
      <c r="S1149" s="1" t="n">
        <v>0</v>
      </c>
      <c r="T1149" s="1" t="n">
        <v>2</v>
      </c>
      <c r="U1149" s="1" t="n">
        <v>0</v>
      </c>
      <c r="V1149" s="1" t="n">
        <v>0</v>
      </c>
      <c r="W1149" s="1" t="n">
        <v>0</v>
      </c>
      <c r="X1149" s="1" t="n">
        <v>0</v>
      </c>
      <c r="Y1149" s="3" t="n">
        <f aca="false">SUM(S1149:T1149)</f>
        <v>2</v>
      </c>
      <c r="Z1149" s="3" t="n">
        <f aca="false">SUM(U1149:W1149)</f>
        <v>0</v>
      </c>
      <c r="AA1149" s="3" t="n">
        <f aca="false">SUM(S1149:X1149)</f>
        <v>2</v>
      </c>
      <c r="AB1149" s="11" t="n">
        <f aca="false">(AA1149/(K1149*L1149)*25)*4</f>
        <v>8</v>
      </c>
    </row>
    <row r="1150" customFormat="false" ht="14.25" hidden="false" customHeight="false" outlineLevel="0" collapsed="false">
      <c r="A1150" s="1" t="n">
        <v>2009</v>
      </c>
      <c r="B1150" s="7" t="s">
        <v>322</v>
      </c>
      <c r="C1150" s="7" t="n">
        <v>2</v>
      </c>
      <c r="D1150" s="7" t="s">
        <v>295</v>
      </c>
      <c r="E1150" s="7" t="s">
        <v>295</v>
      </c>
      <c r="F1150" s="7" t="s">
        <v>336</v>
      </c>
      <c r="G1150" s="1" t="n">
        <v>2</v>
      </c>
      <c r="H1150" s="1" t="n">
        <v>10</v>
      </c>
      <c r="I1150" s="10" t="n">
        <v>39969</v>
      </c>
      <c r="J1150" s="10" t="n">
        <v>39974</v>
      </c>
      <c r="K1150" s="1" t="n">
        <v>5</v>
      </c>
      <c r="L1150" s="1" t="n">
        <v>5</v>
      </c>
      <c r="M1150" s="13" t="s">
        <v>27</v>
      </c>
      <c r="N1150" s="13" t="s">
        <v>46</v>
      </c>
      <c r="O1150" s="14" t="s">
        <v>47</v>
      </c>
      <c r="P1150" s="2" t="str">
        <f aca="false">CONCATENATE(N1150," ",O1150)</f>
        <v>Euryopis flavomaculata</v>
      </c>
      <c r="Q1150" s="1" t="s">
        <v>30</v>
      </c>
      <c r="R1150" s="1" t="s">
        <v>31</v>
      </c>
      <c r="S1150" s="1" t="n">
        <v>3</v>
      </c>
      <c r="T1150" s="1" t="n">
        <v>0</v>
      </c>
      <c r="U1150" s="1" t="n">
        <v>0</v>
      </c>
      <c r="V1150" s="1" t="n">
        <v>0</v>
      </c>
      <c r="W1150" s="1" t="n">
        <v>0</v>
      </c>
      <c r="X1150" s="1" t="n">
        <v>0</v>
      </c>
      <c r="Y1150" s="3" t="n">
        <f aca="false">SUM(S1150:T1150)</f>
        <v>3</v>
      </c>
      <c r="Z1150" s="3" t="n">
        <f aca="false">SUM(U1150:W1150)</f>
        <v>0</v>
      </c>
      <c r="AA1150" s="3" t="n">
        <f aca="false">SUM(S1150:X1150)</f>
        <v>3</v>
      </c>
      <c r="AB1150" s="11" t="n">
        <f aca="false">(AA1150/(K1150*L1150)*25)*4</f>
        <v>12</v>
      </c>
    </row>
    <row r="1151" customFormat="false" ht="14.25" hidden="false" customHeight="false" outlineLevel="0" collapsed="false">
      <c r="A1151" s="1" t="n">
        <v>2009</v>
      </c>
      <c r="B1151" s="7" t="s">
        <v>322</v>
      </c>
      <c r="C1151" s="7" t="n">
        <v>2</v>
      </c>
      <c r="D1151" s="7" t="s">
        <v>295</v>
      </c>
      <c r="E1151" s="7" t="s">
        <v>295</v>
      </c>
      <c r="F1151" s="7" t="s">
        <v>336</v>
      </c>
      <c r="G1151" s="1" t="n">
        <v>2</v>
      </c>
      <c r="H1151" s="1" t="n">
        <v>10</v>
      </c>
      <c r="I1151" s="10" t="n">
        <v>39969</v>
      </c>
      <c r="J1151" s="10" t="n">
        <v>39974</v>
      </c>
      <c r="K1151" s="1" t="n">
        <v>5</v>
      </c>
      <c r="L1151" s="1" t="n">
        <v>5</v>
      </c>
      <c r="M1151" s="13" t="s">
        <v>27</v>
      </c>
      <c r="N1151" s="13" t="s">
        <v>46</v>
      </c>
      <c r="O1151" s="14" t="s">
        <v>47</v>
      </c>
      <c r="P1151" s="2" t="str">
        <f aca="false">CONCATENATE(N1151," ",O1151)</f>
        <v>Euryopis flavomaculata</v>
      </c>
      <c r="Q1151" s="1" t="s">
        <v>30</v>
      </c>
      <c r="R1151" s="1" t="s">
        <v>35</v>
      </c>
      <c r="S1151" s="1" t="n">
        <v>0</v>
      </c>
      <c r="T1151" s="1" t="n">
        <v>1</v>
      </c>
      <c r="U1151" s="1" t="n">
        <v>0</v>
      </c>
      <c r="V1151" s="1" t="n">
        <v>0</v>
      </c>
      <c r="W1151" s="1" t="n">
        <v>0</v>
      </c>
      <c r="X1151" s="1" t="n">
        <v>0</v>
      </c>
      <c r="Y1151" s="3" t="n">
        <f aca="false">SUM(S1151:T1151)</f>
        <v>1</v>
      </c>
      <c r="Z1151" s="3" t="n">
        <f aca="false">SUM(U1151:W1151)</f>
        <v>0</v>
      </c>
      <c r="AA1151" s="3" t="n">
        <f aca="false">SUM(S1151:X1151)</f>
        <v>1</v>
      </c>
      <c r="AB1151" s="11" t="n">
        <f aca="false">(AA1151/(K1151*L1151)*25)*4</f>
        <v>4</v>
      </c>
    </row>
    <row r="1152" customFormat="false" ht="14.25" hidden="false" customHeight="false" outlineLevel="0" collapsed="false">
      <c r="A1152" s="1" t="n">
        <v>2009</v>
      </c>
      <c r="B1152" s="7" t="s">
        <v>322</v>
      </c>
      <c r="C1152" s="7" t="n">
        <v>2</v>
      </c>
      <c r="D1152" s="7" t="s">
        <v>295</v>
      </c>
      <c r="E1152" s="7" t="s">
        <v>295</v>
      </c>
      <c r="F1152" s="7" t="s">
        <v>336</v>
      </c>
      <c r="G1152" s="1" t="n">
        <v>3</v>
      </c>
      <c r="H1152" s="1" t="n">
        <v>11</v>
      </c>
      <c r="I1152" s="10" t="n">
        <v>39969</v>
      </c>
      <c r="J1152" s="10" t="n">
        <v>39974</v>
      </c>
      <c r="K1152" s="1" t="n">
        <v>5</v>
      </c>
      <c r="L1152" s="1" t="n">
        <v>5</v>
      </c>
      <c r="M1152" s="3" t="s">
        <v>48</v>
      </c>
      <c r="N1152" s="3" t="s">
        <v>49</v>
      </c>
      <c r="O1152" s="3" t="s">
        <v>119</v>
      </c>
      <c r="P1152" s="2" t="str">
        <f aca="false">CONCATENATE(N1152," ",O1152)</f>
        <v>Alopecosa sulzeri</v>
      </c>
      <c r="Q1152" s="1" t="s">
        <v>30</v>
      </c>
      <c r="R1152" s="1" t="s">
        <v>31</v>
      </c>
      <c r="S1152" s="1" t="n">
        <v>1</v>
      </c>
      <c r="T1152" s="1" t="n">
        <v>0</v>
      </c>
      <c r="U1152" s="1" t="n">
        <v>0</v>
      </c>
      <c r="V1152" s="1" t="n">
        <v>0</v>
      </c>
      <c r="W1152" s="1" t="n">
        <v>0</v>
      </c>
      <c r="X1152" s="1" t="n">
        <v>0</v>
      </c>
      <c r="Y1152" s="3" t="n">
        <f aca="false">SUM(S1152:T1152)</f>
        <v>1</v>
      </c>
      <c r="Z1152" s="3" t="n">
        <f aca="false">SUM(U1152:W1152)</f>
        <v>0</v>
      </c>
      <c r="AA1152" s="3" t="n">
        <f aca="false">SUM(S1152:X1152)</f>
        <v>1</v>
      </c>
      <c r="AB1152" s="11" t="n">
        <f aca="false">(AA1152/(K1152*L1152)*25)*4</f>
        <v>4</v>
      </c>
    </row>
    <row r="1153" customFormat="false" ht="14.25" hidden="false" customHeight="false" outlineLevel="0" collapsed="false">
      <c r="A1153" s="1" t="n">
        <v>2009</v>
      </c>
      <c r="B1153" s="7" t="s">
        <v>322</v>
      </c>
      <c r="C1153" s="7" t="n">
        <v>2</v>
      </c>
      <c r="D1153" s="7" t="s">
        <v>295</v>
      </c>
      <c r="E1153" s="7" t="s">
        <v>295</v>
      </c>
      <c r="F1153" s="7" t="s">
        <v>336</v>
      </c>
      <c r="G1153" s="1" t="n">
        <v>3</v>
      </c>
      <c r="H1153" s="1" t="n">
        <v>11</v>
      </c>
      <c r="I1153" s="10" t="n">
        <v>39969</v>
      </c>
      <c r="J1153" s="10" t="n">
        <v>39974</v>
      </c>
      <c r="K1153" s="1" t="n">
        <v>5</v>
      </c>
      <c r="L1153" s="1" t="n">
        <v>5</v>
      </c>
      <c r="M1153" s="3" t="s">
        <v>48</v>
      </c>
      <c r="N1153" s="3" t="s">
        <v>49</v>
      </c>
      <c r="O1153" s="3" t="s">
        <v>130</v>
      </c>
      <c r="P1153" s="2" t="str">
        <f aca="false">CONCATENATE(N1153," ",O1153)</f>
        <v>Alopecosa aculeata</v>
      </c>
      <c r="Q1153" s="1" t="s">
        <v>30</v>
      </c>
      <c r="R1153" s="1" t="s">
        <v>31</v>
      </c>
      <c r="S1153" s="1" t="n">
        <v>1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0</v>
      </c>
      <c r="Y1153" s="3" t="n">
        <f aca="false">SUM(S1153:T1153)</f>
        <v>1</v>
      </c>
      <c r="Z1153" s="3" t="n">
        <f aca="false">SUM(U1153:W1153)</f>
        <v>0</v>
      </c>
      <c r="AA1153" s="3" t="n">
        <f aca="false">SUM(S1153:X1153)</f>
        <v>1</v>
      </c>
      <c r="AB1153" s="11" t="n">
        <f aca="false">(AA1153/(K1153*L1153)*25)*4</f>
        <v>4</v>
      </c>
    </row>
    <row r="1154" customFormat="false" ht="14.25" hidden="false" customHeight="false" outlineLevel="0" collapsed="false">
      <c r="A1154" s="1" t="n">
        <v>2009</v>
      </c>
      <c r="B1154" s="7" t="s">
        <v>322</v>
      </c>
      <c r="C1154" s="7" t="n">
        <v>2</v>
      </c>
      <c r="D1154" s="7" t="s">
        <v>295</v>
      </c>
      <c r="E1154" s="7" t="s">
        <v>295</v>
      </c>
      <c r="F1154" s="7" t="s">
        <v>336</v>
      </c>
      <c r="G1154" s="1" t="n">
        <v>3</v>
      </c>
      <c r="H1154" s="1" t="n">
        <v>11</v>
      </c>
      <c r="I1154" s="10" t="n">
        <v>39969</v>
      </c>
      <c r="J1154" s="10" t="n">
        <v>39974</v>
      </c>
      <c r="K1154" s="1" t="n">
        <v>5</v>
      </c>
      <c r="L1154" s="1" t="n">
        <v>5</v>
      </c>
      <c r="M1154" s="3" t="s">
        <v>48</v>
      </c>
      <c r="N1154" s="3" t="s">
        <v>49</v>
      </c>
      <c r="O1154" s="3" t="s">
        <v>130</v>
      </c>
      <c r="P1154" s="2" t="str">
        <f aca="false">CONCATENATE(N1154," ",O1154)</f>
        <v>Alopecosa aculeata</v>
      </c>
      <c r="Q1154" s="1" t="s">
        <v>30</v>
      </c>
      <c r="R1154" s="1" t="s">
        <v>35</v>
      </c>
      <c r="S1154" s="1" t="n">
        <v>0</v>
      </c>
      <c r="T1154" s="1" t="n">
        <v>1</v>
      </c>
      <c r="U1154" s="1" t="n">
        <v>0</v>
      </c>
      <c r="V1154" s="1" t="n">
        <v>0</v>
      </c>
      <c r="W1154" s="1" t="n">
        <v>0</v>
      </c>
      <c r="X1154" s="1" t="n">
        <v>0</v>
      </c>
      <c r="Y1154" s="3" t="n">
        <f aca="false">SUM(S1154:T1154)</f>
        <v>1</v>
      </c>
      <c r="Z1154" s="3" t="n">
        <f aca="false">SUM(U1154:W1154)</f>
        <v>0</v>
      </c>
      <c r="AA1154" s="3" t="n">
        <f aca="false">SUM(S1154:X1154)</f>
        <v>1</v>
      </c>
      <c r="AB1154" s="11" t="n">
        <f aca="false">(AA1154/(K1154*L1154)*25)*4</f>
        <v>4</v>
      </c>
    </row>
    <row r="1155" customFormat="false" ht="14.25" hidden="false" customHeight="false" outlineLevel="0" collapsed="false">
      <c r="A1155" s="1" t="n">
        <v>2009</v>
      </c>
      <c r="B1155" s="7" t="s">
        <v>322</v>
      </c>
      <c r="C1155" s="7" t="n">
        <v>2</v>
      </c>
      <c r="D1155" s="7" t="s">
        <v>295</v>
      </c>
      <c r="E1155" s="7" t="s">
        <v>295</v>
      </c>
      <c r="F1155" s="7" t="s">
        <v>336</v>
      </c>
      <c r="G1155" s="1" t="n">
        <v>3</v>
      </c>
      <c r="H1155" s="1" t="n">
        <v>11</v>
      </c>
      <c r="I1155" s="10" t="n">
        <v>39969</v>
      </c>
      <c r="J1155" s="10" t="n">
        <v>39974</v>
      </c>
      <c r="K1155" s="1" t="n">
        <v>5</v>
      </c>
      <c r="L1155" s="1" t="n">
        <v>5</v>
      </c>
      <c r="M1155" s="3" t="s">
        <v>48</v>
      </c>
      <c r="N1155" s="3" t="s">
        <v>67</v>
      </c>
      <c r="O1155" s="3" t="s">
        <v>127</v>
      </c>
      <c r="P1155" s="2" t="str">
        <f aca="false">CONCATENATE(N1155," ",O1155)</f>
        <v>Pardosa lugubris</v>
      </c>
      <c r="Q1155" s="1" t="s">
        <v>30</v>
      </c>
      <c r="R1155" s="1" t="s">
        <v>31</v>
      </c>
      <c r="S1155" s="1" t="n">
        <v>1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0</v>
      </c>
      <c r="Y1155" s="3" t="n">
        <f aca="false">SUM(S1155:T1155)</f>
        <v>1</v>
      </c>
      <c r="Z1155" s="3" t="n">
        <f aca="false">SUM(U1155:W1155)</f>
        <v>0</v>
      </c>
      <c r="AA1155" s="3" t="n">
        <f aca="false">SUM(S1155:X1155)</f>
        <v>1</v>
      </c>
      <c r="AB1155" s="11" t="n">
        <f aca="false">(AA1155/(K1155*L1155)*25)*4</f>
        <v>4</v>
      </c>
    </row>
    <row r="1156" customFormat="false" ht="14.25" hidden="false" customHeight="false" outlineLevel="0" collapsed="false">
      <c r="A1156" s="1" t="n">
        <v>2009</v>
      </c>
      <c r="B1156" s="7" t="s">
        <v>322</v>
      </c>
      <c r="C1156" s="7" t="n">
        <v>2</v>
      </c>
      <c r="D1156" s="7" t="s">
        <v>295</v>
      </c>
      <c r="E1156" s="7" t="s">
        <v>295</v>
      </c>
      <c r="F1156" s="7" t="s">
        <v>336</v>
      </c>
      <c r="G1156" s="1" t="n">
        <v>3</v>
      </c>
      <c r="H1156" s="1" t="n">
        <v>11</v>
      </c>
      <c r="I1156" s="10" t="n">
        <v>39969</v>
      </c>
      <c r="J1156" s="10" t="n">
        <v>39974</v>
      </c>
      <c r="K1156" s="1" t="n">
        <v>5</v>
      </c>
      <c r="L1156" s="1" t="n">
        <v>5</v>
      </c>
      <c r="M1156" s="3" t="s">
        <v>48</v>
      </c>
      <c r="N1156" s="3" t="s">
        <v>122</v>
      </c>
      <c r="O1156" s="3" t="s">
        <v>123</v>
      </c>
      <c r="P1156" s="2" t="str">
        <f aca="false">CONCATENATE(N1156," ",O1156)</f>
        <v>Xerolycosa nemoralis</v>
      </c>
      <c r="Q1156" s="1" t="s">
        <v>30</v>
      </c>
      <c r="R1156" s="1" t="s">
        <v>31</v>
      </c>
      <c r="S1156" s="1" t="n">
        <v>4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3" t="n">
        <f aca="false">SUM(S1156:T1156)</f>
        <v>4</v>
      </c>
      <c r="Z1156" s="3" t="n">
        <f aca="false">SUM(U1156:W1156)</f>
        <v>0</v>
      </c>
      <c r="AA1156" s="3" t="n">
        <f aca="false">SUM(S1156:X1156)</f>
        <v>4</v>
      </c>
      <c r="AB1156" s="11" t="n">
        <f aca="false">(AA1156/(K1156*L1156)*25)*4</f>
        <v>16</v>
      </c>
    </row>
    <row r="1157" customFormat="false" ht="14.25" hidden="false" customHeight="false" outlineLevel="0" collapsed="false">
      <c r="A1157" s="1" t="n">
        <v>2009</v>
      </c>
      <c r="B1157" s="7" t="s">
        <v>322</v>
      </c>
      <c r="C1157" s="7" t="n">
        <v>2</v>
      </c>
      <c r="D1157" s="7" t="s">
        <v>295</v>
      </c>
      <c r="E1157" s="7" t="s">
        <v>295</v>
      </c>
      <c r="F1157" s="7" t="s">
        <v>336</v>
      </c>
      <c r="G1157" s="1" t="n">
        <v>3</v>
      </c>
      <c r="H1157" s="1" t="n">
        <v>11</v>
      </c>
      <c r="I1157" s="10" t="n">
        <v>39969</v>
      </c>
      <c r="J1157" s="10" t="n">
        <v>39974</v>
      </c>
      <c r="K1157" s="1" t="n">
        <v>5</v>
      </c>
      <c r="L1157" s="1" t="n">
        <v>5</v>
      </c>
      <c r="M1157" s="3" t="s">
        <v>72</v>
      </c>
      <c r="N1157" s="3" t="s">
        <v>139</v>
      </c>
      <c r="O1157" s="3" t="s">
        <v>140</v>
      </c>
      <c r="P1157" s="2" t="str">
        <f aca="false">CONCATENATE(N1157," ",O1157)</f>
        <v>Gnaphosa muscorum</v>
      </c>
      <c r="Q1157" s="1" t="s">
        <v>30</v>
      </c>
      <c r="R1157" s="1" t="s">
        <v>31</v>
      </c>
      <c r="S1157" s="1" t="n">
        <v>2</v>
      </c>
      <c r="T1157" s="1" t="n">
        <v>0</v>
      </c>
      <c r="U1157" s="1" t="n">
        <v>0</v>
      </c>
      <c r="V1157" s="1" t="n">
        <v>0</v>
      </c>
      <c r="W1157" s="1" t="n">
        <v>0</v>
      </c>
      <c r="X1157" s="1" t="n">
        <v>0</v>
      </c>
      <c r="Y1157" s="3" t="n">
        <f aca="false">SUM(S1157:T1157)</f>
        <v>2</v>
      </c>
      <c r="Z1157" s="3" t="n">
        <f aca="false">SUM(U1157:W1157)</f>
        <v>0</v>
      </c>
      <c r="AA1157" s="3" t="n">
        <f aca="false">SUM(S1157:X1157)</f>
        <v>2</v>
      </c>
      <c r="AB1157" s="11" t="n">
        <f aca="false">(AA1157/(K1157*L1157)*25)*4</f>
        <v>8</v>
      </c>
    </row>
    <row r="1158" customFormat="false" ht="14.25" hidden="false" customHeight="false" outlineLevel="0" collapsed="false">
      <c r="A1158" s="1" t="n">
        <v>2009</v>
      </c>
      <c r="B1158" s="7" t="s">
        <v>322</v>
      </c>
      <c r="C1158" s="7" t="n">
        <v>2</v>
      </c>
      <c r="D1158" s="7" t="s">
        <v>295</v>
      </c>
      <c r="E1158" s="7" t="s">
        <v>295</v>
      </c>
      <c r="F1158" s="7" t="s">
        <v>336</v>
      </c>
      <c r="G1158" s="1" t="n">
        <v>3</v>
      </c>
      <c r="H1158" s="1" t="n">
        <v>11</v>
      </c>
      <c r="I1158" s="10" t="n">
        <v>39969</v>
      </c>
      <c r="J1158" s="10" t="n">
        <v>39974</v>
      </c>
      <c r="K1158" s="1" t="n">
        <v>5</v>
      </c>
      <c r="L1158" s="1" t="n">
        <v>5</v>
      </c>
      <c r="M1158" s="3" t="s">
        <v>72</v>
      </c>
      <c r="N1158" s="3" t="s">
        <v>139</v>
      </c>
      <c r="O1158" s="3" t="s">
        <v>140</v>
      </c>
      <c r="P1158" s="2" t="str">
        <f aca="false">CONCATENATE(N1158," ",O1158)</f>
        <v>Gnaphosa muscorum</v>
      </c>
      <c r="Q1158" s="1" t="s">
        <v>30</v>
      </c>
      <c r="R1158" s="1" t="s">
        <v>35</v>
      </c>
      <c r="S1158" s="1" t="n">
        <v>0</v>
      </c>
      <c r="T1158" s="1" t="n">
        <v>1</v>
      </c>
      <c r="U1158" s="1" t="n">
        <v>0</v>
      </c>
      <c r="V1158" s="1" t="n">
        <v>0</v>
      </c>
      <c r="W1158" s="1" t="n">
        <v>0</v>
      </c>
      <c r="X1158" s="1" t="n">
        <v>0</v>
      </c>
      <c r="Y1158" s="3" t="n">
        <f aca="false">SUM(S1158:T1158)</f>
        <v>1</v>
      </c>
      <c r="Z1158" s="3" t="n">
        <f aca="false">SUM(U1158:W1158)</f>
        <v>0</v>
      </c>
      <c r="AA1158" s="3" t="n">
        <f aca="false">SUM(S1158:X1158)</f>
        <v>1</v>
      </c>
      <c r="AB1158" s="11" t="n">
        <f aca="false">(AA1158/(K1158*L1158)*25)*4</f>
        <v>4</v>
      </c>
    </row>
    <row r="1159" customFormat="false" ht="14.25" hidden="false" customHeight="false" outlineLevel="0" collapsed="false">
      <c r="A1159" s="1" t="n">
        <v>2009</v>
      </c>
      <c r="B1159" s="7" t="s">
        <v>322</v>
      </c>
      <c r="C1159" s="7" t="n">
        <v>2</v>
      </c>
      <c r="D1159" s="7" t="s">
        <v>295</v>
      </c>
      <c r="E1159" s="7" t="s">
        <v>295</v>
      </c>
      <c r="F1159" s="7" t="s">
        <v>336</v>
      </c>
      <c r="G1159" s="1" t="n">
        <v>3</v>
      </c>
      <c r="H1159" s="1" t="n">
        <v>11</v>
      </c>
      <c r="I1159" s="10" t="n">
        <v>39969</v>
      </c>
      <c r="J1159" s="10" t="n">
        <v>39974</v>
      </c>
      <c r="K1159" s="1" t="n">
        <v>5</v>
      </c>
      <c r="L1159" s="1" t="n">
        <v>5</v>
      </c>
      <c r="M1159" s="3" t="s">
        <v>72</v>
      </c>
      <c r="N1159" s="3" t="s">
        <v>73</v>
      </c>
      <c r="O1159" s="3" t="s">
        <v>74</v>
      </c>
      <c r="P1159" s="2" t="str">
        <f aca="false">CONCATENATE(N1159," ",O1159)</f>
        <v>Zelotes subterraneus</v>
      </c>
      <c r="Q1159" s="1" t="s">
        <v>30</v>
      </c>
      <c r="R1159" s="1" t="s">
        <v>35</v>
      </c>
      <c r="S1159" s="1" t="n">
        <v>0</v>
      </c>
      <c r="T1159" s="1" t="n">
        <v>1</v>
      </c>
      <c r="U1159" s="1" t="n">
        <v>0</v>
      </c>
      <c r="V1159" s="1" t="n">
        <v>0</v>
      </c>
      <c r="W1159" s="1" t="n">
        <v>0</v>
      </c>
      <c r="X1159" s="1" t="n">
        <v>0</v>
      </c>
      <c r="Y1159" s="3" t="n">
        <f aca="false">SUM(S1159:T1159)</f>
        <v>1</v>
      </c>
      <c r="Z1159" s="3" t="n">
        <f aca="false">SUM(U1159:W1159)</f>
        <v>0</v>
      </c>
      <c r="AA1159" s="3" t="n">
        <f aca="false">SUM(S1159:X1159)</f>
        <v>1</v>
      </c>
      <c r="AB1159" s="11" t="n">
        <f aca="false">(AA1159/(K1159*L1159)*25)*4</f>
        <v>4</v>
      </c>
    </row>
    <row r="1160" customFormat="false" ht="14.25" hidden="false" customHeight="false" outlineLevel="0" collapsed="false">
      <c r="A1160" s="1" t="n">
        <v>2009</v>
      </c>
      <c r="B1160" s="7" t="s">
        <v>322</v>
      </c>
      <c r="C1160" s="7" t="n">
        <v>2</v>
      </c>
      <c r="D1160" s="7" t="s">
        <v>295</v>
      </c>
      <c r="E1160" s="7" t="s">
        <v>295</v>
      </c>
      <c r="F1160" s="7" t="s">
        <v>336</v>
      </c>
      <c r="G1160" s="1" t="n">
        <v>3</v>
      </c>
      <c r="H1160" s="1" t="n">
        <v>11</v>
      </c>
      <c r="I1160" s="10" t="n">
        <v>39969</v>
      </c>
      <c r="J1160" s="10" t="n">
        <v>39974</v>
      </c>
      <c r="K1160" s="1" t="n">
        <v>5</v>
      </c>
      <c r="L1160" s="1" t="n">
        <v>5</v>
      </c>
      <c r="M1160" s="3" t="s">
        <v>135</v>
      </c>
      <c r="N1160" s="3" t="s">
        <v>136</v>
      </c>
      <c r="O1160" s="3" t="s">
        <v>137</v>
      </c>
      <c r="P1160" s="2" t="str">
        <f aca="false">CONCATENATE(N1160," ",O1160)</f>
        <v>Thanatus sabulosus</v>
      </c>
      <c r="Q1160" s="1" t="s">
        <v>30</v>
      </c>
      <c r="R1160" s="1" t="s">
        <v>31</v>
      </c>
      <c r="S1160" s="1" t="n">
        <v>1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  <c r="Y1160" s="3" t="n">
        <f aca="false">SUM(S1160:T1160)</f>
        <v>1</v>
      </c>
      <c r="Z1160" s="3" t="n">
        <f aca="false">SUM(U1160:W1160)</f>
        <v>0</v>
      </c>
      <c r="AA1160" s="3" t="n">
        <f aca="false">SUM(S1160:X1160)</f>
        <v>1</v>
      </c>
      <c r="AB1160" s="11" t="n">
        <f aca="false">(AA1160/(K1160*L1160)*25)*4</f>
        <v>4</v>
      </c>
    </row>
    <row r="1161" customFormat="false" ht="14.25" hidden="false" customHeight="false" outlineLevel="0" collapsed="false">
      <c r="A1161" s="1" t="n">
        <v>2009</v>
      </c>
      <c r="B1161" s="7" t="s">
        <v>322</v>
      </c>
      <c r="C1161" s="7" t="n">
        <v>2</v>
      </c>
      <c r="D1161" s="7" t="s">
        <v>295</v>
      </c>
      <c r="E1161" s="7" t="s">
        <v>295</v>
      </c>
      <c r="F1161" s="7" t="s">
        <v>336</v>
      </c>
      <c r="G1161" s="1" t="n">
        <v>3</v>
      </c>
      <c r="H1161" s="1" t="n">
        <v>12</v>
      </c>
      <c r="I1161" s="10" t="n">
        <v>39969</v>
      </c>
      <c r="J1161" s="10" t="n">
        <v>39974</v>
      </c>
      <c r="K1161" s="1" t="n">
        <v>5</v>
      </c>
      <c r="L1161" s="1" t="n">
        <v>5</v>
      </c>
      <c r="M1161" s="3" t="s">
        <v>48</v>
      </c>
      <c r="N1161" s="3" t="s">
        <v>49</v>
      </c>
      <c r="O1161" s="3" t="s">
        <v>119</v>
      </c>
      <c r="P1161" s="2" t="str">
        <f aca="false">CONCATENATE(N1161," ",O1161)</f>
        <v>Alopecosa sulzeri</v>
      </c>
      <c r="Q1161" s="1" t="s">
        <v>30</v>
      </c>
      <c r="R1161" s="1" t="s">
        <v>31</v>
      </c>
      <c r="S1161" s="1" t="n">
        <v>1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  <c r="Y1161" s="3" t="n">
        <f aca="false">SUM(S1161:T1161)</f>
        <v>1</v>
      </c>
      <c r="Z1161" s="3" t="n">
        <f aca="false">SUM(U1161:W1161)</f>
        <v>0</v>
      </c>
      <c r="AA1161" s="3" t="n">
        <f aca="false">SUM(S1161:X1161)</f>
        <v>1</v>
      </c>
      <c r="AB1161" s="11" t="n">
        <f aca="false">(AA1161/(K1161*L1161)*25)*4</f>
        <v>4</v>
      </c>
    </row>
    <row r="1162" customFormat="false" ht="14.25" hidden="false" customHeight="false" outlineLevel="0" collapsed="false">
      <c r="A1162" s="1" t="n">
        <v>2009</v>
      </c>
      <c r="B1162" s="7" t="s">
        <v>322</v>
      </c>
      <c r="C1162" s="7" t="n">
        <v>2</v>
      </c>
      <c r="D1162" s="7" t="s">
        <v>295</v>
      </c>
      <c r="E1162" s="7" t="s">
        <v>295</v>
      </c>
      <c r="F1162" s="7" t="s">
        <v>336</v>
      </c>
      <c r="G1162" s="1" t="n">
        <v>3</v>
      </c>
      <c r="H1162" s="1" t="n">
        <v>12</v>
      </c>
      <c r="I1162" s="10" t="n">
        <v>39969</v>
      </c>
      <c r="J1162" s="10" t="n">
        <v>39974</v>
      </c>
      <c r="K1162" s="1" t="n">
        <v>5</v>
      </c>
      <c r="L1162" s="1" t="n">
        <v>5</v>
      </c>
      <c r="M1162" s="3" t="s">
        <v>48</v>
      </c>
      <c r="N1162" s="3" t="s">
        <v>49</v>
      </c>
      <c r="O1162" s="3" t="s">
        <v>130</v>
      </c>
      <c r="P1162" s="2" t="str">
        <f aca="false">CONCATENATE(N1162," ",O1162)</f>
        <v>Alopecosa aculeata</v>
      </c>
      <c r="Q1162" s="1" t="s">
        <v>30</v>
      </c>
      <c r="R1162" s="1" t="s">
        <v>31</v>
      </c>
      <c r="S1162" s="1" t="n">
        <v>1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0</v>
      </c>
      <c r="Y1162" s="3" t="n">
        <f aca="false">SUM(S1162:T1162)</f>
        <v>1</v>
      </c>
      <c r="Z1162" s="3" t="n">
        <f aca="false">SUM(U1162:W1162)</f>
        <v>0</v>
      </c>
      <c r="AA1162" s="3" t="n">
        <f aca="false">SUM(S1162:X1162)</f>
        <v>1</v>
      </c>
      <c r="AB1162" s="11" t="n">
        <f aca="false">(AA1162/(K1162*L1162)*25)*4</f>
        <v>4</v>
      </c>
    </row>
    <row r="1163" customFormat="false" ht="14.25" hidden="false" customHeight="false" outlineLevel="0" collapsed="false">
      <c r="A1163" s="1" t="n">
        <v>2009</v>
      </c>
      <c r="B1163" s="7" t="s">
        <v>322</v>
      </c>
      <c r="C1163" s="7" t="n">
        <v>2</v>
      </c>
      <c r="D1163" s="7" t="s">
        <v>295</v>
      </c>
      <c r="E1163" s="7" t="s">
        <v>295</v>
      </c>
      <c r="F1163" s="7" t="s">
        <v>336</v>
      </c>
      <c r="G1163" s="1" t="n">
        <v>3</v>
      </c>
      <c r="H1163" s="1" t="n">
        <v>12</v>
      </c>
      <c r="I1163" s="10" t="n">
        <v>39969</v>
      </c>
      <c r="J1163" s="10" t="n">
        <v>39974</v>
      </c>
      <c r="K1163" s="1" t="n">
        <v>5</v>
      </c>
      <c r="L1163" s="1" t="n">
        <v>5</v>
      </c>
      <c r="M1163" s="3" t="s">
        <v>48</v>
      </c>
      <c r="N1163" s="3" t="s">
        <v>49</v>
      </c>
      <c r="O1163" s="3" t="s">
        <v>130</v>
      </c>
      <c r="P1163" s="2" t="str">
        <f aca="false">CONCATENATE(N1163," ",O1163)</f>
        <v>Alopecosa aculeata</v>
      </c>
      <c r="Q1163" s="1" t="s">
        <v>30</v>
      </c>
      <c r="R1163" s="1" t="s">
        <v>35</v>
      </c>
      <c r="S1163" s="1" t="n">
        <v>0</v>
      </c>
      <c r="T1163" s="1" t="n">
        <v>1</v>
      </c>
      <c r="U1163" s="1" t="n">
        <v>0</v>
      </c>
      <c r="V1163" s="1" t="n">
        <v>0</v>
      </c>
      <c r="W1163" s="1" t="n">
        <v>0</v>
      </c>
      <c r="X1163" s="1" t="n">
        <v>0</v>
      </c>
      <c r="Y1163" s="3" t="n">
        <f aca="false">SUM(S1163:T1163)</f>
        <v>1</v>
      </c>
      <c r="Z1163" s="3" t="n">
        <f aca="false">SUM(U1163:W1163)</f>
        <v>0</v>
      </c>
      <c r="AA1163" s="3" t="n">
        <f aca="false">SUM(S1163:X1163)</f>
        <v>1</v>
      </c>
      <c r="AB1163" s="11" t="n">
        <f aca="false">(AA1163/(K1163*L1163)*25)*4</f>
        <v>4</v>
      </c>
    </row>
    <row r="1164" customFormat="false" ht="14.25" hidden="false" customHeight="false" outlineLevel="0" collapsed="false">
      <c r="A1164" s="1" t="n">
        <v>2009</v>
      </c>
      <c r="B1164" s="7" t="s">
        <v>322</v>
      </c>
      <c r="C1164" s="7" t="n">
        <v>2</v>
      </c>
      <c r="D1164" s="7" t="s">
        <v>295</v>
      </c>
      <c r="E1164" s="7" t="s">
        <v>295</v>
      </c>
      <c r="F1164" s="7" t="s">
        <v>336</v>
      </c>
      <c r="G1164" s="1" t="n">
        <v>3</v>
      </c>
      <c r="H1164" s="1" t="n">
        <v>12</v>
      </c>
      <c r="I1164" s="10" t="n">
        <v>39969</v>
      </c>
      <c r="J1164" s="10" t="n">
        <v>39974</v>
      </c>
      <c r="K1164" s="1" t="n">
        <v>5</v>
      </c>
      <c r="L1164" s="1" t="n">
        <v>5</v>
      </c>
      <c r="M1164" s="3" t="s">
        <v>48</v>
      </c>
      <c r="N1164" s="3" t="s">
        <v>67</v>
      </c>
      <c r="O1164" s="3" t="s">
        <v>127</v>
      </c>
      <c r="P1164" s="2" t="str">
        <f aca="false">CONCATENATE(N1164," ",O1164)</f>
        <v>Pardosa lugubris</v>
      </c>
      <c r="Q1164" s="1" t="s">
        <v>30</v>
      </c>
      <c r="R1164" s="1" t="s">
        <v>31</v>
      </c>
      <c r="S1164" s="1" t="n">
        <v>2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0</v>
      </c>
      <c r="Y1164" s="3" t="n">
        <f aca="false">SUM(S1164:T1164)</f>
        <v>2</v>
      </c>
      <c r="Z1164" s="3" t="n">
        <f aca="false">SUM(U1164:W1164)</f>
        <v>0</v>
      </c>
      <c r="AA1164" s="3" t="n">
        <f aca="false">SUM(S1164:X1164)</f>
        <v>2</v>
      </c>
      <c r="AB1164" s="11" t="n">
        <f aca="false">(AA1164/(K1164*L1164)*25)*4</f>
        <v>8</v>
      </c>
    </row>
    <row r="1165" customFormat="false" ht="14.25" hidden="false" customHeight="false" outlineLevel="0" collapsed="false">
      <c r="A1165" s="1" t="n">
        <v>2009</v>
      </c>
      <c r="B1165" s="7" t="s">
        <v>322</v>
      </c>
      <c r="C1165" s="7" t="n">
        <v>2</v>
      </c>
      <c r="D1165" s="7" t="s">
        <v>295</v>
      </c>
      <c r="E1165" s="7" t="s">
        <v>295</v>
      </c>
      <c r="F1165" s="7" t="s">
        <v>336</v>
      </c>
      <c r="G1165" s="1" t="n">
        <v>3</v>
      </c>
      <c r="H1165" s="1" t="n">
        <v>12</v>
      </c>
      <c r="I1165" s="10" t="n">
        <v>39969</v>
      </c>
      <c r="J1165" s="10" t="n">
        <v>39974</v>
      </c>
      <c r="K1165" s="1" t="n">
        <v>5</v>
      </c>
      <c r="L1165" s="1" t="n">
        <v>5</v>
      </c>
      <c r="M1165" s="3" t="s">
        <v>48</v>
      </c>
      <c r="N1165" s="3" t="s">
        <v>122</v>
      </c>
      <c r="O1165" s="3" t="s">
        <v>123</v>
      </c>
      <c r="P1165" s="2" t="str">
        <f aca="false">CONCATENATE(N1165," ",O1165)</f>
        <v>Xerolycosa nemoralis</v>
      </c>
      <c r="Q1165" s="1" t="s">
        <v>30</v>
      </c>
      <c r="R1165" s="1" t="s">
        <v>31</v>
      </c>
      <c r="S1165" s="1" t="n">
        <v>8</v>
      </c>
      <c r="T1165" s="1" t="n">
        <v>0</v>
      </c>
      <c r="U1165" s="1" t="n">
        <v>0</v>
      </c>
      <c r="V1165" s="1" t="n">
        <v>0</v>
      </c>
      <c r="W1165" s="1" t="n">
        <v>0</v>
      </c>
      <c r="X1165" s="1" t="n">
        <v>0</v>
      </c>
      <c r="Y1165" s="3" t="n">
        <f aca="false">SUM(S1165:T1165)</f>
        <v>8</v>
      </c>
      <c r="Z1165" s="3" t="n">
        <f aca="false">SUM(U1165:W1165)</f>
        <v>0</v>
      </c>
      <c r="AA1165" s="3" t="n">
        <f aca="false">SUM(S1165:X1165)</f>
        <v>8</v>
      </c>
      <c r="AB1165" s="11" t="n">
        <f aca="false">(AA1165/(K1165*L1165)*25)*4</f>
        <v>32</v>
      </c>
    </row>
    <row r="1166" customFormat="false" ht="14.25" hidden="false" customHeight="false" outlineLevel="0" collapsed="false">
      <c r="A1166" s="1" t="n">
        <v>2009</v>
      </c>
      <c r="B1166" s="7" t="s">
        <v>322</v>
      </c>
      <c r="C1166" s="7" t="n">
        <v>2</v>
      </c>
      <c r="D1166" s="7" t="s">
        <v>295</v>
      </c>
      <c r="E1166" s="7" t="s">
        <v>295</v>
      </c>
      <c r="F1166" s="7" t="s">
        <v>336</v>
      </c>
      <c r="G1166" s="1" t="n">
        <v>3</v>
      </c>
      <c r="H1166" s="1" t="n">
        <v>12</v>
      </c>
      <c r="I1166" s="10" t="n">
        <v>39969</v>
      </c>
      <c r="J1166" s="10" t="n">
        <v>39974</v>
      </c>
      <c r="K1166" s="1" t="n">
        <v>5</v>
      </c>
      <c r="L1166" s="1" t="n">
        <v>5</v>
      </c>
      <c r="M1166" s="3" t="s">
        <v>48</v>
      </c>
      <c r="N1166" s="3" t="s">
        <v>122</v>
      </c>
      <c r="O1166" s="3" t="s">
        <v>123</v>
      </c>
      <c r="P1166" s="2" t="str">
        <f aca="false">CONCATENATE(N1166," ",O1166)</f>
        <v>Xerolycosa nemoralis</v>
      </c>
      <c r="Q1166" s="1" t="s">
        <v>30</v>
      </c>
      <c r="R1166" s="1" t="s">
        <v>35</v>
      </c>
      <c r="S1166" s="1" t="n">
        <v>0</v>
      </c>
      <c r="T1166" s="1" t="n">
        <v>1</v>
      </c>
      <c r="U1166" s="1" t="n">
        <v>0</v>
      </c>
      <c r="V1166" s="1" t="n">
        <v>0</v>
      </c>
      <c r="W1166" s="1" t="n">
        <v>0</v>
      </c>
      <c r="X1166" s="1" t="n">
        <v>0</v>
      </c>
      <c r="Y1166" s="3" t="n">
        <f aca="false">SUM(S1166:T1166)</f>
        <v>1</v>
      </c>
      <c r="Z1166" s="3" t="n">
        <f aca="false">SUM(U1166:W1166)</f>
        <v>0</v>
      </c>
      <c r="AA1166" s="3" t="n">
        <f aca="false">SUM(S1166:X1166)</f>
        <v>1</v>
      </c>
      <c r="AB1166" s="11" t="n">
        <f aca="false">(AA1166/(K1166*L1166)*25)*4</f>
        <v>4</v>
      </c>
    </row>
    <row r="1167" customFormat="false" ht="14.25" hidden="false" customHeight="false" outlineLevel="0" collapsed="false">
      <c r="A1167" s="1" t="n">
        <v>2009</v>
      </c>
      <c r="B1167" s="7" t="s">
        <v>322</v>
      </c>
      <c r="C1167" s="7" t="n">
        <v>2</v>
      </c>
      <c r="D1167" s="7" t="s">
        <v>295</v>
      </c>
      <c r="E1167" s="7" t="s">
        <v>295</v>
      </c>
      <c r="F1167" s="7" t="s">
        <v>336</v>
      </c>
      <c r="G1167" s="1" t="n">
        <v>3</v>
      </c>
      <c r="H1167" s="1" t="n">
        <v>12</v>
      </c>
      <c r="I1167" s="10" t="n">
        <v>39969</v>
      </c>
      <c r="J1167" s="10" t="n">
        <v>39974</v>
      </c>
      <c r="K1167" s="1" t="n">
        <v>5</v>
      </c>
      <c r="L1167" s="1" t="n">
        <v>5</v>
      </c>
      <c r="M1167" s="3" t="s">
        <v>72</v>
      </c>
      <c r="N1167" s="3" t="s">
        <v>152</v>
      </c>
      <c r="O1167" s="3" t="s">
        <v>153</v>
      </c>
      <c r="P1167" s="2" t="str">
        <f aca="false">CONCATENATE(N1167," ",O1167)</f>
        <v>Callilepis nocturna</v>
      </c>
      <c r="Q1167" s="1" t="s">
        <v>30</v>
      </c>
      <c r="R1167" s="1" t="s">
        <v>31</v>
      </c>
      <c r="S1167" s="1" t="n">
        <v>1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0</v>
      </c>
      <c r="Y1167" s="3" t="n">
        <f aca="false">SUM(S1167:T1167)</f>
        <v>1</v>
      </c>
      <c r="Z1167" s="3" t="n">
        <f aca="false">SUM(U1167:W1167)</f>
        <v>0</v>
      </c>
      <c r="AA1167" s="3" t="n">
        <f aca="false">SUM(S1167:X1167)</f>
        <v>1</v>
      </c>
      <c r="AB1167" s="11" t="n">
        <f aca="false">(AA1167/(K1167*L1167)*25)*4</f>
        <v>4</v>
      </c>
    </row>
    <row r="1168" customFormat="false" ht="14.25" hidden="false" customHeight="false" outlineLevel="0" collapsed="false">
      <c r="A1168" s="1" t="n">
        <v>2009</v>
      </c>
      <c r="B1168" s="7" t="s">
        <v>322</v>
      </c>
      <c r="C1168" s="7" t="n">
        <v>2</v>
      </c>
      <c r="D1168" s="7" t="s">
        <v>295</v>
      </c>
      <c r="E1168" s="7" t="s">
        <v>295</v>
      </c>
      <c r="F1168" s="7" t="s">
        <v>336</v>
      </c>
      <c r="G1168" s="1" t="n">
        <v>3</v>
      </c>
      <c r="H1168" s="1" t="n">
        <v>12</v>
      </c>
      <c r="I1168" s="10" t="n">
        <v>39969</v>
      </c>
      <c r="J1168" s="10" t="n">
        <v>39974</v>
      </c>
      <c r="K1168" s="1" t="n">
        <v>5</v>
      </c>
      <c r="L1168" s="1" t="n">
        <v>5</v>
      </c>
      <c r="M1168" s="3" t="s">
        <v>72</v>
      </c>
      <c r="N1168" s="3" t="s">
        <v>73</v>
      </c>
      <c r="O1168" s="3" t="s">
        <v>74</v>
      </c>
      <c r="P1168" s="2" t="str">
        <f aca="false">CONCATENATE(N1168," ",O1168)</f>
        <v>Zelotes subterraneus</v>
      </c>
      <c r="Q1168" s="1" t="s">
        <v>30</v>
      </c>
      <c r="R1168" s="1" t="s">
        <v>35</v>
      </c>
      <c r="S1168" s="1" t="n">
        <v>0</v>
      </c>
      <c r="T1168" s="1" t="n">
        <v>3</v>
      </c>
      <c r="U1168" s="1" t="n">
        <v>0</v>
      </c>
      <c r="V1168" s="1" t="n">
        <v>0</v>
      </c>
      <c r="W1168" s="1" t="n">
        <v>0</v>
      </c>
      <c r="X1168" s="1" t="n">
        <v>0</v>
      </c>
      <c r="Y1168" s="3" t="n">
        <f aca="false">SUM(S1168:T1168)</f>
        <v>3</v>
      </c>
      <c r="Z1168" s="3" t="n">
        <f aca="false">SUM(U1168:W1168)</f>
        <v>0</v>
      </c>
      <c r="AA1168" s="3" t="n">
        <f aca="false">SUM(S1168:X1168)</f>
        <v>3</v>
      </c>
      <c r="AB1168" s="11" t="n">
        <f aca="false">(AA1168/(K1168*L1168)*25)*4</f>
        <v>12</v>
      </c>
    </row>
    <row r="1169" customFormat="false" ht="14.25" hidden="false" customHeight="false" outlineLevel="0" collapsed="false">
      <c r="A1169" s="1" t="n">
        <v>2009</v>
      </c>
      <c r="B1169" s="7" t="s">
        <v>322</v>
      </c>
      <c r="C1169" s="7" t="n">
        <v>2</v>
      </c>
      <c r="D1169" s="7" t="s">
        <v>295</v>
      </c>
      <c r="E1169" s="7" t="s">
        <v>295</v>
      </c>
      <c r="F1169" s="7" t="s">
        <v>336</v>
      </c>
      <c r="G1169" s="1" t="n">
        <v>3</v>
      </c>
      <c r="H1169" s="1" t="n">
        <v>13</v>
      </c>
      <c r="I1169" s="10" t="n">
        <v>39969</v>
      </c>
      <c r="J1169" s="10" t="n">
        <v>39974</v>
      </c>
      <c r="K1169" s="1" t="n">
        <v>5</v>
      </c>
      <c r="L1169" s="1" t="n">
        <v>5</v>
      </c>
      <c r="M1169" s="3" t="s">
        <v>48</v>
      </c>
      <c r="N1169" s="3" t="s">
        <v>122</v>
      </c>
      <c r="O1169" s="3" t="s">
        <v>123</v>
      </c>
      <c r="P1169" s="2" t="str">
        <f aca="false">CONCATENATE(N1169," ",O1169)</f>
        <v>Xerolycosa nemoralis</v>
      </c>
      <c r="Q1169" s="1" t="s">
        <v>30</v>
      </c>
      <c r="R1169" s="1" t="s">
        <v>31</v>
      </c>
      <c r="S1169" s="1" t="n">
        <v>10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0</v>
      </c>
      <c r="Y1169" s="3" t="n">
        <f aca="false">SUM(S1169:T1169)</f>
        <v>10</v>
      </c>
      <c r="Z1169" s="3" t="n">
        <f aca="false">SUM(U1169:W1169)</f>
        <v>0</v>
      </c>
      <c r="AA1169" s="3" t="n">
        <f aca="false">SUM(S1169:X1169)</f>
        <v>10</v>
      </c>
      <c r="AB1169" s="11" t="n">
        <f aca="false">(AA1169/(K1169*L1169)*25)*4</f>
        <v>40</v>
      </c>
    </row>
    <row r="1170" customFormat="false" ht="14.25" hidden="false" customHeight="false" outlineLevel="0" collapsed="false">
      <c r="A1170" s="1" t="n">
        <v>2009</v>
      </c>
      <c r="B1170" s="7" t="s">
        <v>322</v>
      </c>
      <c r="C1170" s="7" t="n">
        <v>2</v>
      </c>
      <c r="D1170" s="7" t="s">
        <v>295</v>
      </c>
      <c r="E1170" s="7" t="s">
        <v>295</v>
      </c>
      <c r="F1170" s="7" t="s">
        <v>336</v>
      </c>
      <c r="G1170" s="1" t="n">
        <v>3</v>
      </c>
      <c r="H1170" s="1" t="n">
        <v>13</v>
      </c>
      <c r="I1170" s="10" t="n">
        <v>39969</v>
      </c>
      <c r="J1170" s="10" t="n">
        <v>39974</v>
      </c>
      <c r="K1170" s="1" t="n">
        <v>5</v>
      </c>
      <c r="L1170" s="1" t="n">
        <v>5</v>
      </c>
      <c r="M1170" s="3" t="s">
        <v>48</v>
      </c>
      <c r="N1170" s="3" t="s">
        <v>122</v>
      </c>
      <c r="O1170" s="3" t="s">
        <v>123</v>
      </c>
      <c r="P1170" s="2" t="str">
        <f aca="false">CONCATENATE(N1170," ",O1170)</f>
        <v>Xerolycosa nemoralis</v>
      </c>
      <c r="Q1170" s="1" t="s">
        <v>30</v>
      </c>
      <c r="R1170" s="1" t="s">
        <v>35</v>
      </c>
      <c r="S1170" s="1" t="n">
        <v>0</v>
      </c>
      <c r="T1170" s="1" t="n">
        <v>1</v>
      </c>
      <c r="U1170" s="1" t="n">
        <v>0</v>
      </c>
      <c r="V1170" s="1" t="n">
        <v>0</v>
      </c>
      <c r="W1170" s="1" t="n">
        <v>0</v>
      </c>
      <c r="X1170" s="1" t="n">
        <v>0</v>
      </c>
      <c r="Y1170" s="3" t="n">
        <f aca="false">SUM(S1170:T1170)</f>
        <v>1</v>
      </c>
      <c r="Z1170" s="3" t="n">
        <f aca="false">SUM(U1170:W1170)</f>
        <v>0</v>
      </c>
      <c r="AA1170" s="3" t="n">
        <f aca="false">SUM(S1170:X1170)</f>
        <v>1</v>
      </c>
      <c r="AB1170" s="11" t="n">
        <f aca="false">(AA1170/(K1170*L1170)*25)*4</f>
        <v>4</v>
      </c>
    </row>
    <row r="1171" customFormat="false" ht="14.25" hidden="false" customHeight="false" outlineLevel="0" collapsed="false">
      <c r="A1171" s="1" t="n">
        <v>2009</v>
      </c>
      <c r="B1171" s="7" t="s">
        <v>322</v>
      </c>
      <c r="C1171" s="7" t="n">
        <v>2</v>
      </c>
      <c r="D1171" s="7" t="s">
        <v>295</v>
      </c>
      <c r="E1171" s="7" t="s">
        <v>295</v>
      </c>
      <c r="F1171" s="7" t="s">
        <v>336</v>
      </c>
      <c r="G1171" s="1" t="n">
        <v>3</v>
      </c>
      <c r="H1171" s="1" t="n">
        <v>13</v>
      </c>
      <c r="I1171" s="10" t="n">
        <v>39969</v>
      </c>
      <c r="J1171" s="10" t="n">
        <v>39974</v>
      </c>
      <c r="K1171" s="1" t="n">
        <v>5</v>
      </c>
      <c r="L1171" s="1" t="n">
        <v>5</v>
      </c>
      <c r="M1171" s="3" t="s">
        <v>135</v>
      </c>
      <c r="N1171" s="3" t="s">
        <v>136</v>
      </c>
      <c r="O1171" s="3" t="s">
        <v>137</v>
      </c>
      <c r="P1171" s="2" t="str">
        <f aca="false">CONCATENATE(N1171," ",O1171)</f>
        <v>Thanatus sabulosus</v>
      </c>
      <c r="Q1171" s="1" t="s">
        <v>30</v>
      </c>
      <c r="R1171" s="1" t="s">
        <v>31</v>
      </c>
      <c r="S1171" s="1" t="n">
        <v>1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3" t="n">
        <f aca="false">SUM(S1171:T1171)</f>
        <v>1</v>
      </c>
      <c r="Z1171" s="3" t="n">
        <f aca="false">SUM(U1171:W1171)</f>
        <v>0</v>
      </c>
      <c r="AA1171" s="3" t="n">
        <f aca="false">SUM(S1171:X1171)</f>
        <v>1</v>
      </c>
      <c r="AB1171" s="11" t="n">
        <f aca="false">(AA1171/(K1171*L1171)*25)*4</f>
        <v>4</v>
      </c>
    </row>
    <row r="1172" customFormat="false" ht="14.25" hidden="false" customHeight="false" outlineLevel="0" collapsed="false">
      <c r="A1172" s="1" t="n">
        <v>2009</v>
      </c>
      <c r="B1172" s="7" t="s">
        <v>322</v>
      </c>
      <c r="C1172" s="7" t="n">
        <v>2</v>
      </c>
      <c r="D1172" s="7" t="s">
        <v>295</v>
      </c>
      <c r="E1172" s="7" t="s">
        <v>295</v>
      </c>
      <c r="F1172" s="7" t="s">
        <v>336</v>
      </c>
      <c r="G1172" s="1" t="n">
        <v>3</v>
      </c>
      <c r="H1172" s="1" t="n">
        <v>14</v>
      </c>
      <c r="I1172" s="10" t="n">
        <v>39969</v>
      </c>
      <c r="J1172" s="10" t="n">
        <v>39974</v>
      </c>
      <c r="K1172" s="1" t="n">
        <v>5</v>
      </c>
      <c r="L1172" s="1" t="n">
        <v>5</v>
      </c>
      <c r="M1172" s="3" t="s">
        <v>48</v>
      </c>
      <c r="N1172" s="3" t="s">
        <v>49</v>
      </c>
      <c r="O1172" s="3" t="s">
        <v>130</v>
      </c>
      <c r="P1172" s="2" t="str">
        <f aca="false">CONCATENATE(N1172," ",O1172)</f>
        <v>Alopecosa aculeata</v>
      </c>
      <c r="Q1172" s="1" t="s">
        <v>30</v>
      </c>
      <c r="R1172" s="1" t="s">
        <v>31</v>
      </c>
      <c r="S1172" s="1" t="n">
        <v>1</v>
      </c>
      <c r="T1172" s="1" t="n">
        <v>0</v>
      </c>
      <c r="U1172" s="1" t="n">
        <v>0</v>
      </c>
      <c r="V1172" s="1" t="n">
        <v>0</v>
      </c>
      <c r="W1172" s="1" t="n">
        <v>0</v>
      </c>
      <c r="X1172" s="1" t="n">
        <v>0</v>
      </c>
      <c r="Y1172" s="3" t="n">
        <f aca="false">SUM(S1172:T1172)</f>
        <v>1</v>
      </c>
      <c r="Z1172" s="3" t="n">
        <f aca="false">SUM(U1172:W1172)</f>
        <v>0</v>
      </c>
      <c r="AA1172" s="3" t="n">
        <f aca="false">SUM(S1172:X1172)</f>
        <v>1</v>
      </c>
      <c r="AB1172" s="11" t="n">
        <f aca="false">(AA1172/(K1172*L1172)*25)*4</f>
        <v>4</v>
      </c>
    </row>
    <row r="1173" customFormat="false" ht="14.25" hidden="false" customHeight="false" outlineLevel="0" collapsed="false">
      <c r="A1173" s="1" t="n">
        <v>2009</v>
      </c>
      <c r="B1173" s="7" t="s">
        <v>322</v>
      </c>
      <c r="C1173" s="7" t="n">
        <v>2</v>
      </c>
      <c r="D1173" s="7" t="s">
        <v>295</v>
      </c>
      <c r="E1173" s="7" t="s">
        <v>295</v>
      </c>
      <c r="F1173" s="7" t="s">
        <v>336</v>
      </c>
      <c r="G1173" s="1" t="n">
        <v>3</v>
      </c>
      <c r="H1173" s="1" t="n">
        <v>14</v>
      </c>
      <c r="I1173" s="10" t="n">
        <v>39969</v>
      </c>
      <c r="J1173" s="10" t="n">
        <v>39974</v>
      </c>
      <c r="K1173" s="1" t="n">
        <v>5</v>
      </c>
      <c r="L1173" s="1" t="n">
        <v>5</v>
      </c>
      <c r="M1173" s="3" t="s">
        <v>48</v>
      </c>
      <c r="N1173" s="3" t="s">
        <v>122</v>
      </c>
      <c r="O1173" s="3" t="s">
        <v>123</v>
      </c>
      <c r="P1173" s="2" t="str">
        <f aca="false">CONCATENATE(N1173," ",O1173)</f>
        <v>Xerolycosa nemoralis</v>
      </c>
      <c r="Q1173" s="1" t="s">
        <v>30</v>
      </c>
      <c r="R1173" s="1" t="s">
        <v>31</v>
      </c>
      <c r="S1173" s="1" t="n">
        <v>3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0</v>
      </c>
      <c r="Y1173" s="3" t="n">
        <f aca="false">SUM(S1173:T1173)</f>
        <v>3</v>
      </c>
      <c r="Z1173" s="3" t="n">
        <f aca="false">SUM(U1173:W1173)</f>
        <v>0</v>
      </c>
      <c r="AA1173" s="3" t="n">
        <f aca="false">SUM(S1173:X1173)</f>
        <v>3</v>
      </c>
      <c r="AB1173" s="11" t="n">
        <f aca="false">(AA1173/(K1173*L1173)*25)*4</f>
        <v>12</v>
      </c>
    </row>
    <row r="1174" customFormat="false" ht="14.25" hidden="false" customHeight="false" outlineLevel="0" collapsed="false">
      <c r="A1174" s="1" t="n">
        <v>2009</v>
      </c>
      <c r="B1174" s="7" t="s">
        <v>322</v>
      </c>
      <c r="C1174" s="7" t="n">
        <v>2</v>
      </c>
      <c r="D1174" s="7" t="s">
        <v>295</v>
      </c>
      <c r="E1174" s="7" t="s">
        <v>295</v>
      </c>
      <c r="F1174" s="7" t="s">
        <v>336</v>
      </c>
      <c r="G1174" s="1" t="n">
        <v>3</v>
      </c>
      <c r="H1174" s="1" t="n">
        <v>14</v>
      </c>
      <c r="I1174" s="10" t="n">
        <v>39969</v>
      </c>
      <c r="J1174" s="10" t="n">
        <v>39974</v>
      </c>
      <c r="K1174" s="1" t="n">
        <v>5</v>
      </c>
      <c r="L1174" s="1" t="n">
        <v>5</v>
      </c>
      <c r="M1174" s="3" t="s">
        <v>72</v>
      </c>
      <c r="N1174" s="3" t="s">
        <v>152</v>
      </c>
      <c r="O1174" s="3" t="s">
        <v>153</v>
      </c>
      <c r="P1174" s="2" t="str">
        <f aca="false">CONCATENATE(N1174," ",O1174)</f>
        <v>Callilepis nocturna</v>
      </c>
      <c r="Q1174" s="1" t="s">
        <v>30</v>
      </c>
      <c r="R1174" s="1" t="s">
        <v>31</v>
      </c>
      <c r="S1174" s="1" t="n">
        <v>2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0</v>
      </c>
      <c r="Y1174" s="3" t="n">
        <f aca="false">SUM(S1174:T1174)</f>
        <v>2</v>
      </c>
      <c r="Z1174" s="3" t="n">
        <f aca="false">SUM(U1174:W1174)</f>
        <v>0</v>
      </c>
      <c r="AA1174" s="3" t="n">
        <f aca="false">SUM(S1174:X1174)</f>
        <v>2</v>
      </c>
      <c r="AB1174" s="11" t="n">
        <f aca="false">(AA1174/(K1174*L1174)*25)*4</f>
        <v>8</v>
      </c>
    </row>
    <row r="1175" customFormat="false" ht="14.25" hidden="false" customHeight="false" outlineLevel="0" collapsed="false">
      <c r="A1175" s="1" t="n">
        <v>2009</v>
      </c>
      <c r="B1175" s="7" t="s">
        <v>322</v>
      </c>
      <c r="C1175" s="7" t="n">
        <v>2</v>
      </c>
      <c r="D1175" s="7" t="s">
        <v>295</v>
      </c>
      <c r="E1175" s="7" t="s">
        <v>295</v>
      </c>
      <c r="F1175" s="7" t="s">
        <v>336</v>
      </c>
      <c r="G1175" s="1" t="n">
        <v>3</v>
      </c>
      <c r="H1175" s="1" t="n">
        <v>14</v>
      </c>
      <c r="I1175" s="10" t="n">
        <v>39969</v>
      </c>
      <c r="J1175" s="10" t="n">
        <v>39974</v>
      </c>
      <c r="K1175" s="1" t="n">
        <v>5</v>
      </c>
      <c r="L1175" s="1" t="n">
        <v>5</v>
      </c>
      <c r="M1175" s="3" t="s">
        <v>72</v>
      </c>
      <c r="N1175" s="3" t="s">
        <v>73</v>
      </c>
      <c r="O1175" s="3" t="s">
        <v>74</v>
      </c>
      <c r="P1175" s="2" t="str">
        <f aca="false">CONCATENATE(N1175," ",O1175)</f>
        <v>Zelotes subterraneus</v>
      </c>
      <c r="Q1175" s="1" t="s">
        <v>30</v>
      </c>
      <c r="R1175" s="1" t="s">
        <v>31</v>
      </c>
      <c r="S1175" s="1" t="n">
        <v>1</v>
      </c>
      <c r="T1175" s="1" t="n">
        <v>0</v>
      </c>
      <c r="U1175" s="1" t="n">
        <v>0</v>
      </c>
      <c r="V1175" s="1" t="n">
        <v>0</v>
      </c>
      <c r="W1175" s="1" t="n">
        <v>0</v>
      </c>
      <c r="X1175" s="1" t="n">
        <v>0</v>
      </c>
      <c r="Y1175" s="3" t="n">
        <f aca="false">SUM(S1175:T1175)</f>
        <v>1</v>
      </c>
      <c r="Z1175" s="3" t="n">
        <f aca="false">SUM(U1175:W1175)</f>
        <v>0</v>
      </c>
      <c r="AA1175" s="3" t="n">
        <f aca="false">SUM(S1175:X1175)</f>
        <v>1</v>
      </c>
      <c r="AB1175" s="11" t="n">
        <f aca="false">(AA1175/(K1175*L1175)*25)*4</f>
        <v>4</v>
      </c>
    </row>
    <row r="1176" customFormat="false" ht="14.25" hidden="false" customHeight="false" outlineLevel="0" collapsed="false">
      <c r="A1176" s="1" t="n">
        <v>2009</v>
      </c>
      <c r="B1176" s="7" t="s">
        <v>322</v>
      </c>
      <c r="C1176" s="7" t="n">
        <v>2</v>
      </c>
      <c r="D1176" s="7" t="s">
        <v>295</v>
      </c>
      <c r="E1176" s="7" t="s">
        <v>295</v>
      </c>
      <c r="F1176" s="7" t="s">
        <v>336</v>
      </c>
      <c r="G1176" s="1" t="n">
        <v>3</v>
      </c>
      <c r="H1176" s="1" t="n">
        <v>14</v>
      </c>
      <c r="I1176" s="10" t="n">
        <v>39969</v>
      </c>
      <c r="J1176" s="10" t="n">
        <v>39974</v>
      </c>
      <c r="K1176" s="1" t="n">
        <v>5</v>
      </c>
      <c r="L1176" s="1" t="n">
        <v>5</v>
      </c>
      <c r="M1176" s="3" t="s">
        <v>135</v>
      </c>
      <c r="N1176" s="3" t="s">
        <v>216</v>
      </c>
      <c r="O1176" s="3" t="s">
        <v>217</v>
      </c>
      <c r="P1176" s="2" t="str">
        <f aca="false">CONCATENATE(N1176," ",O1176)</f>
        <v>Philodromus margaritatus</v>
      </c>
      <c r="Q1176" s="1" t="s">
        <v>30</v>
      </c>
      <c r="R1176" s="1" t="s">
        <v>31</v>
      </c>
      <c r="S1176" s="1" t="n">
        <v>1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0</v>
      </c>
      <c r="Y1176" s="3" t="n">
        <f aca="false">SUM(S1176:T1176)</f>
        <v>1</v>
      </c>
      <c r="Z1176" s="3" t="n">
        <f aca="false">SUM(U1176:W1176)</f>
        <v>0</v>
      </c>
      <c r="AA1176" s="3" t="n">
        <f aca="false">SUM(S1176:X1176)</f>
        <v>1</v>
      </c>
      <c r="AB1176" s="11" t="n">
        <f aca="false">(AA1176/(K1176*L1176)*25)*4</f>
        <v>4</v>
      </c>
    </row>
    <row r="1177" customFormat="false" ht="14.25" hidden="false" customHeight="false" outlineLevel="0" collapsed="false">
      <c r="A1177" s="1" t="n">
        <v>2009</v>
      </c>
      <c r="B1177" s="7" t="s">
        <v>322</v>
      </c>
      <c r="C1177" s="7" t="n">
        <v>2</v>
      </c>
      <c r="D1177" s="7" t="s">
        <v>295</v>
      </c>
      <c r="E1177" s="7" t="s">
        <v>295</v>
      </c>
      <c r="F1177" s="7" t="s">
        <v>336</v>
      </c>
      <c r="G1177" s="1" t="n">
        <v>3</v>
      </c>
      <c r="H1177" s="1" t="n">
        <v>15</v>
      </c>
      <c r="I1177" s="10" t="n">
        <v>39969</v>
      </c>
      <c r="J1177" s="10" t="n">
        <v>39974</v>
      </c>
      <c r="K1177" s="1" t="n">
        <v>5</v>
      </c>
      <c r="L1177" s="1" t="n">
        <v>5</v>
      </c>
      <c r="M1177" s="3" t="s">
        <v>48</v>
      </c>
      <c r="N1177" s="3" t="s">
        <v>49</v>
      </c>
      <c r="O1177" s="3" t="s">
        <v>119</v>
      </c>
      <c r="P1177" s="2" t="str">
        <f aca="false">CONCATENATE(N1177," ",O1177)</f>
        <v>Alopecosa sulzeri</v>
      </c>
      <c r="Q1177" s="1" t="s">
        <v>30</v>
      </c>
      <c r="R1177" s="1" t="s">
        <v>31</v>
      </c>
      <c r="S1177" s="1" t="n">
        <v>1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0</v>
      </c>
      <c r="Y1177" s="3" t="n">
        <f aca="false">SUM(S1177:T1177)</f>
        <v>1</v>
      </c>
      <c r="Z1177" s="3" t="n">
        <f aca="false">SUM(U1177:W1177)</f>
        <v>0</v>
      </c>
      <c r="AA1177" s="3" t="n">
        <f aca="false">SUM(S1177:X1177)</f>
        <v>1</v>
      </c>
      <c r="AB1177" s="11" t="n">
        <f aca="false">(AA1177/(K1177*L1177)*25)*4</f>
        <v>4</v>
      </c>
    </row>
    <row r="1178" customFormat="false" ht="14.25" hidden="false" customHeight="false" outlineLevel="0" collapsed="false">
      <c r="A1178" s="1" t="n">
        <v>2009</v>
      </c>
      <c r="B1178" s="7" t="s">
        <v>322</v>
      </c>
      <c r="C1178" s="7" t="n">
        <v>2</v>
      </c>
      <c r="D1178" s="7" t="s">
        <v>295</v>
      </c>
      <c r="E1178" s="7" t="s">
        <v>295</v>
      </c>
      <c r="F1178" s="7" t="s">
        <v>336</v>
      </c>
      <c r="G1178" s="1" t="n">
        <v>3</v>
      </c>
      <c r="H1178" s="1" t="n">
        <v>15</v>
      </c>
      <c r="I1178" s="10" t="n">
        <v>39969</v>
      </c>
      <c r="J1178" s="10" t="n">
        <v>39974</v>
      </c>
      <c r="K1178" s="1" t="n">
        <v>5</v>
      </c>
      <c r="L1178" s="1" t="n">
        <v>5</v>
      </c>
      <c r="M1178" s="3" t="s">
        <v>48</v>
      </c>
      <c r="N1178" s="3" t="s">
        <v>49</v>
      </c>
      <c r="O1178" s="3" t="s">
        <v>130</v>
      </c>
      <c r="P1178" s="2" t="str">
        <f aca="false">CONCATENATE(N1178," ",O1178)</f>
        <v>Alopecosa aculeata</v>
      </c>
      <c r="Q1178" s="1" t="s">
        <v>30</v>
      </c>
      <c r="R1178" s="1" t="s">
        <v>31</v>
      </c>
      <c r="S1178" s="1" t="n">
        <v>2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0</v>
      </c>
      <c r="Y1178" s="3" t="n">
        <f aca="false">SUM(S1178:T1178)</f>
        <v>2</v>
      </c>
      <c r="Z1178" s="3" t="n">
        <f aca="false">SUM(U1178:W1178)</f>
        <v>0</v>
      </c>
      <c r="AA1178" s="3" t="n">
        <f aca="false">SUM(S1178:X1178)</f>
        <v>2</v>
      </c>
      <c r="AB1178" s="11" t="n">
        <f aca="false">(AA1178/(K1178*L1178)*25)*4</f>
        <v>8</v>
      </c>
    </row>
    <row r="1179" customFormat="false" ht="14.25" hidden="false" customHeight="false" outlineLevel="0" collapsed="false">
      <c r="A1179" s="1" t="n">
        <v>2009</v>
      </c>
      <c r="B1179" s="7" t="s">
        <v>322</v>
      </c>
      <c r="C1179" s="7" t="n">
        <v>2</v>
      </c>
      <c r="D1179" s="7" t="s">
        <v>295</v>
      </c>
      <c r="E1179" s="7" t="s">
        <v>295</v>
      </c>
      <c r="F1179" s="7" t="s">
        <v>336</v>
      </c>
      <c r="G1179" s="1" t="n">
        <v>3</v>
      </c>
      <c r="H1179" s="1" t="n">
        <v>15</v>
      </c>
      <c r="I1179" s="10" t="n">
        <v>39969</v>
      </c>
      <c r="J1179" s="10" t="n">
        <v>39974</v>
      </c>
      <c r="K1179" s="1" t="n">
        <v>5</v>
      </c>
      <c r="L1179" s="1" t="n">
        <v>5</v>
      </c>
      <c r="M1179" s="3" t="s">
        <v>48</v>
      </c>
      <c r="N1179" s="3" t="s">
        <v>122</v>
      </c>
      <c r="O1179" s="3" t="s">
        <v>123</v>
      </c>
      <c r="P1179" s="2" t="str">
        <f aca="false">CONCATENATE(N1179," ",O1179)</f>
        <v>Xerolycosa nemoralis</v>
      </c>
      <c r="Q1179" s="1" t="s">
        <v>30</v>
      </c>
      <c r="R1179" s="1" t="s">
        <v>31</v>
      </c>
      <c r="S1179" s="1" t="n">
        <v>15</v>
      </c>
      <c r="T1179" s="1" t="n">
        <v>0</v>
      </c>
      <c r="U1179" s="1" t="n">
        <v>0</v>
      </c>
      <c r="V1179" s="1" t="n">
        <v>0</v>
      </c>
      <c r="W1179" s="1" t="n">
        <v>0</v>
      </c>
      <c r="X1179" s="1" t="n">
        <v>0</v>
      </c>
      <c r="Y1179" s="3" t="n">
        <f aca="false">SUM(S1179:T1179)</f>
        <v>15</v>
      </c>
      <c r="Z1179" s="3" t="n">
        <f aca="false">SUM(U1179:W1179)</f>
        <v>0</v>
      </c>
      <c r="AA1179" s="3" t="n">
        <f aca="false">SUM(S1179:X1179)</f>
        <v>15</v>
      </c>
      <c r="AB1179" s="11" t="n">
        <f aca="false">(AA1179/(K1179*L1179)*25)*4</f>
        <v>60</v>
      </c>
    </row>
    <row r="1180" customFormat="false" ht="14.25" hidden="false" customHeight="false" outlineLevel="0" collapsed="false">
      <c r="A1180" s="1" t="n">
        <v>2009</v>
      </c>
      <c r="B1180" s="7" t="s">
        <v>322</v>
      </c>
      <c r="C1180" s="7" t="n">
        <v>2</v>
      </c>
      <c r="D1180" s="7" t="s">
        <v>295</v>
      </c>
      <c r="E1180" s="7" t="s">
        <v>295</v>
      </c>
      <c r="F1180" s="7" t="s">
        <v>336</v>
      </c>
      <c r="G1180" s="1" t="n">
        <v>3</v>
      </c>
      <c r="H1180" s="1" t="n">
        <v>15</v>
      </c>
      <c r="I1180" s="10" t="n">
        <v>39969</v>
      </c>
      <c r="J1180" s="10" t="n">
        <v>39974</v>
      </c>
      <c r="K1180" s="1" t="n">
        <v>5</v>
      </c>
      <c r="L1180" s="1" t="n">
        <v>5</v>
      </c>
      <c r="M1180" s="3" t="s">
        <v>48</v>
      </c>
      <c r="N1180" s="3" t="s">
        <v>122</v>
      </c>
      <c r="O1180" s="3" t="s">
        <v>123</v>
      </c>
      <c r="P1180" s="2" t="str">
        <f aca="false">CONCATENATE(N1180," ",O1180)</f>
        <v>Xerolycosa nemoralis</v>
      </c>
      <c r="Q1180" s="1" t="s">
        <v>30</v>
      </c>
      <c r="R1180" s="1" t="s">
        <v>35</v>
      </c>
      <c r="S1180" s="1" t="n">
        <v>0</v>
      </c>
      <c r="T1180" s="1" t="n">
        <v>3</v>
      </c>
      <c r="U1180" s="1" t="n">
        <v>0</v>
      </c>
      <c r="V1180" s="1" t="n">
        <v>0</v>
      </c>
      <c r="W1180" s="1" t="n">
        <v>0</v>
      </c>
      <c r="X1180" s="1" t="n">
        <v>0</v>
      </c>
      <c r="Y1180" s="3" t="n">
        <f aca="false">SUM(S1180:T1180)</f>
        <v>3</v>
      </c>
      <c r="Z1180" s="3" t="n">
        <f aca="false">SUM(U1180:W1180)</f>
        <v>0</v>
      </c>
      <c r="AA1180" s="3" t="n">
        <f aca="false">SUM(S1180:X1180)</f>
        <v>3</v>
      </c>
      <c r="AB1180" s="11" t="n">
        <f aca="false">(AA1180/(K1180*L1180)*25)*4</f>
        <v>12</v>
      </c>
    </row>
    <row r="1181" customFormat="false" ht="14.25" hidden="false" customHeight="false" outlineLevel="0" collapsed="false">
      <c r="A1181" s="1" t="n">
        <v>2009</v>
      </c>
      <c r="B1181" s="7" t="s">
        <v>322</v>
      </c>
      <c r="C1181" s="7" t="n">
        <v>2</v>
      </c>
      <c r="D1181" s="7" t="s">
        <v>295</v>
      </c>
      <c r="E1181" s="7" t="s">
        <v>295</v>
      </c>
      <c r="F1181" s="7" t="s">
        <v>336</v>
      </c>
      <c r="G1181" s="1" t="n">
        <v>3</v>
      </c>
      <c r="H1181" s="1" t="n">
        <v>15</v>
      </c>
      <c r="I1181" s="10" t="n">
        <v>39969</v>
      </c>
      <c r="J1181" s="10" t="n">
        <v>39974</v>
      </c>
      <c r="K1181" s="1" t="n">
        <v>5</v>
      </c>
      <c r="L1181" s="1" t="n">
        <v>5</v>
      </c>
      <c r="M1181" s="3" t="s">
        <v>72</v>
      </c>
      <c r="N1181" s="3" t="s">
        <v>139</v>
      </c>
      <c r="O1181" s="3" t="s">
        <v>140</v>
      </c>
      <c r="P1181" s="2" t="str">
        <f aca="false">CONCATENATE(N1181," ",O1181)</f>
        <v>Gnaphosa muscorum</v>
      </c>
      <c r="Q1181" s="1" t="s">
        <v>30</v>
      </c>
      <c r="R1181" s="1" t="s">
        <v>31</v>
      </c>
      <c r="S1181" s="1" t="n">
        <v>1</v>
      </c>
      <c r="T1181" s="1" t="n">
        <v>0</v>
      </c>
      <c r="U1181" s="1" t="n">
        <v>0</v>
      </c>
      <c r="V1181" s="1" t="n">
        <v>0</v>
      </c>
      <c r="W1181" s="1" t="n">
        <v>0</v>
      </c>
      <c r="X1181" s="1" t="n">
        <v>0</v>
      </c>
      <c r="Y1181" s="3" t="n">
        <f aca="false">SUM(S1181:T1181)</f>
        <v>1</v>
      </c>
      <c r="Z1181" s="3" t="n">
        <f aca="false">SUM(U1181:W1181)</f>
        <v>0</v>
      </c>
      <c r="AA1181" s="3" t="n">
        <f aca="false">SUM(S1181:X1181)</f>
        <v>1</v>
      </c>
      <c r="AB1181" s="11" t="n">
        <f aca="false">(AA1181/(K1181*L1181)*25)*4</f>
        <v>4</v>
      </c>
    </row>
    <row r="1182" customFormat="false" ht="14.25" hidden="false" customHeight="false" outlineLevel="0" collapsed="false">
      <c r="A1182" s="1" t="n">
        <v>2009</v>
      </c>
      <c r="B1182" s="7" t="s">
        <v>322</v>
      </c>
      <c r="C1182" s="7" t="n">
        <v>2</v>
      </c>
      <c r="D1182" s="7" t="s">
        <v>295</v>
      </c>
      <c r="E1182" s="7" t="s">
        <v>295</v>
      </c>
      <c r="F1182" s="7" t="s">
        <v>336</v>
      </c>
      <c r="G1182" s="1" t="n">
        <v>3</v>
      </c>
      <c r="H1182" s="1" t="n">
        <v>15</v>
      </c>
      <c r="I1182" s="10" t="n">
        <v>39969</v>
      </c>
      <c r="J1182" s="10" t="n">
        <v>39974</v>
      </c>
      <c r="K1182" s="1" t="n">
        <v>5</v>
      </c>
      <c r="L1182" s="1" t="n">
        <v>5</v>
      </c>
      <c r="M1182" s="3" t="s">
        <v>72</v>
      </c>
      <c r="N1182" s="3" t="s">
        <v>73</v>
      </c>
      <c r="O1182" s="3" t="s">
        <v>74</v>
      </c>
      <c r="P1182" s="2" t="str">
        <f aca="false">CONCATENATE(N1182," ",O1182)</f>
        <v>Zelotes subterraneus</v>
      </c>
      <c r="Q1182" s="1" t="s">
        <v>30</v>
      </c>
      <c r="R1182" s="1" t="s">
        <v>35</v>
      </c>
      <c r="S1182" s="1" t="n">
        <v>0</v>
      </c>
      <c r="T1182" s="1" t="n">
        <v>1</v>
      </c>
      <c r="U1182" s="1" t="n">
        <v>0</v>
      </c>
      <c r="V1182" s="1" t="n">
        <v>0</v>
      </c>
      <c r="W1182" s="1" t="n">
        <v>0</v>
      </c>
      <c r="X1182" s="1" t="n">
        <v>0</v>
      </c>
      <c r="Y1182" s="3" t="n">
        <f aca="false">SUM(S1182:T1182)</f>
        <v>1</v>
      </c>
      <c r="Z1182" s="3" t="n">
        <f aca="false">SUM(U1182:W1182)</f>
        <v>0</v>
      </c>
      <c r="AA1182" s="3" t="n">
        <f aca="false">SUM(S1182:X1182)</f>
        <v>1</v>
      </c>
      <c r="AB1182" s="11" t="n">
        <f aca="false">(AA1182/(K1182*L1182)*25)*4</f>
        <v>4</v>
      </c>
    </row>
    <row r="1183" customFormat="false" ht="14.25" hidden="false" customHeight="false" outlineLevel="0" collapsed="false">
      <c r="A1183" s="1" t="n">
        <v>2009</v>
      </c>
      <c r="B1183" s="7" t="s">
        <v>322</v>
      </c>
      <c r="C1183" s="7" t="n">
        <v>2</v>
      </c>
      <c r="D1183" s="7" t="s">
        <v>295</v>
      </c>
      <c r="E1183" s="7" t="s">
        <v>295</v>
      </c>
      <c r="F1183" s="7" t="s">
        <v>336</v>
      </c>
      <c r="G1183" s="1" t="n">
        <v>3</v>
      </c>
      <c r="H1183" s="1" t="n">
        <v>15</v>
      </c>
      <c r="I1183" s="10" t="n">
        <v>39969</v>
      </c>
      <c r="J1183" s="10" t="n">
        <v>39974</v>
      </c>
      <c r="K1183" s="1" t="n">
        <v>5</v>
      </c>
      <c r="L1183" s="1" t="n">
        <v>5</v>
      </c>
      <c r="M1183" s="3" t="s">
        <v>32</v>
      </c>
      <c r="N1183" s="3" t="s">
        <v>90</v>
      </c>
      <c r="O1183" s="3" t="s">
        <v>91</v>
      </c>
      <c r="P1183" s="2" t="str">
        <f aca="false">CONCATENATE(N1183," ",O1183)</f>
        <v>Tapinocyba insecta</v>
      </c>
      <c r="Q1183" s="1" t="s">
        <v>30</v>
      </c>
      <c r="R1183" s="1" t="s">
        <v>35</v>
      </c>
      <c r="S1183" s="1" t="n">
        <v>0</v>
      </c>
      <c r="T1183" s="1" t="n">
        <v>1</v>
      </c>
      <c r="U1183" s="1" t="n">
        <v>0</v>
      </c>
      <c r="V1183" s="1" t="n">
        <v>0</v>
      </c>
      <c r="W1183" s="1" t="n">
        <v>0</v>
      </c>
      <c r="X1183" s="1" t="n">
        <v>0</v>
      </c>
      <c r="Y1183" s="3" t="n">
        <f aca="false">SUM(S1183:T1183)</f>
        <v>1</v>
      </c>
      <c r="Z1183" s="3" t="n">
        <f aca="false">SUM(U1183:W1183)</f>
        <v>0</v>
      </c>
      <c r="AA1183" s="3" t="n">
        <f aca="false">SUM(S1183:X1183)</f>
        <v>1</v>
      </c>
      <c r="AB1183" s="11" t="n">
        <f aca="false">(AA1183/(K1183*L1183)*25)*4</f>
        <v>4</v>
      </c>
    </row>
    <row r="1184" customFormat="false" ht="14.25" hidden="false" customHeight="false" outlineLevel="0" collapsed="false">
      <c r="A1184" s="1" t="n">
        <v>2009</v>
      </c>
      <c r="B1184" s="7" t="s">
        <v>322</v>
      </c>
      <c r="C1184" s="7" t="n">
        <v>2</v>
      </c>
      <c r="D1184" s="7" t="s">
        <v>296</v>
      </c>
      <c r="E1184" s="7" t="s">
        <v>295</v>
      </c>
      <c r="F1184" s="7" t="s">
        <v>330</v>
      </c>
      <c r="G1184" s="1" t="n">
        <v>1</v>
      </c>
      <c r="H1184" s="1" t="n">
        <v>1</v>
      </c>
      <c r="I1184" s="10" t="n">
        <v>39969</v>
      </c>
      <c r="J1184" s="10" t="n">
        <v>39974</v>
      </c>
      <c r="K1184" s="1" t="n">
        <v>5</v>
      </c>
      <c r="L1184" s="1" t="n">
        <v>5</v>
      </c>
      <c r="M1184" s="3" t="s">
        <v>32</v>
      </c>
      <c r="N1184" s="3" t="s">
        <v>90</v>
      </c>
      <c r="O1184" s="3" t="s">
        <v>91</v>
      </c>
      <c r="P1184" s="2" t="str">
        <f aca="false">CONCATENATE(N1184," ",O1184)</f>
        <v>Tapinocyba insecta</v>
      </c>
      <c r="Q1184" s="1" t="s">
        <v>30</v>
      </c>
      <c r="R1184" s="1" t="s">
        <v>35</v>
      </c>
      <c r="S1184" s="1" t="n">
        <v>0</v>
      </c>
      <c r="T1184" s="1" t="n">
        <v>1</v>
      </c>
      <c r="U1184" s="1" t="n">
        <v>0</v>
      </c>
      <c r="V1184" s="1" t="n">
        <v>0</v>
      </c>
      <c r="W1184" s="1" t="n">
        <v>0</v>
      </c>
      <c r="X1184" s="1" t="n">
        <v>0</v>
      </c>
      <c r="Y1184" s="3" t="n">
        <f aca="false">SUM(S1184:T1184)</f>
        <v>1</v>
      </c>
      <c r="Z1184" s="3" t="n">
        <f aca="false">SUM(U1184:W1184)</f>
        <v>0</v>
      </c>
      <c r="AA1184" s="3" t="n">
        <f aca="false">SUM(S1184:X1184)</f>
        <v>1</v>
      </c>
      <c r="AB1184" s="11" t="n">
        <f aca="false">(AA1184/(K1184*L1184)*25)*4</f>
        <v>4</v>
      </c>
    </row>
    <row r="1185" customFormat="false" ht="14.25" hidden="false" customHeight="false" outlineLevel="0" collapsed="false">
      <c r="A1185" s="1" t="n">
        <v>2009</v>
      </c>
      <c r="B1185" s="7" t="s">
        <v>322</v>
      </c>
      <c r="C1185" s="7" t="n">
        <v>2</v>
      </c>
      <c r="D1185" s="7" t="s">
        <v>296</v>
      </c>
      <c r="E1185" s="7" t="s">
        <v>295</v>
      </c>
      <c r="F1185" s="7" t="s">
        <v>330</v>
      </c>
      <c r="G1185" s="1" t="n">
        <v>1</v>
      </c>
      <c r="H1185" s="1" t="n">
        <v>1</v>
      </c>
      <c r="I1185" s="10" t="n">
        <v>39969</v>
      </c>
      <c r="J1185" s="10" t="n">
        <v>39974</v>
      </c>
      <c r="K1185" s="1" t="n">
        <v>5</v>
      </c>
      <c r="L1185" s="1" t="n">
        <v>5</v>
      </c>
      <c r="M1185" s="3" t="s">
        <v>32</v>
      </c>
      <c r="N1185" s="3" t="s">
        <v>161</v>
      </c>
      <c r="O1185" s="3" t="s">
        <v>162</v>
      </c>
      <c r="P1185" s="2" t="str">
        <f aca="false">CONCATENATE(N1185," ",O1185)</f>
        <v>Entelecara congenera</v>
      </c>
      <c r="Q1185" s="1" t="s">
        <v>30</v>
      </c>
      <c r="R1185" s="1" t="s">
        <v>31</v>
      </c>
      <c r="S1185" s="1" t="n">
        <v>1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0</v>
      </c>
      <c r="Y1185" s="3" t="n">
        <f aca="false">SUM(S1185:T1185)</f>
        <v>1</v>
      </c>
      <c r="Z1185" s="3" t="n">
        <f aca="false">SUM(U1185:W1185)</f>
        <v>0</v>
      </c>
      <c r="AA1185" s="3" t="n">
        <f aca="false">SUM(S1185:X1185)</f>
        <v>1</v>
      </c>
      <c r="AB1185" s="11" t="n">
        <f aca="false">(AA1185/(K1185*L1185)*25)*4</f>
        <v>4</v>
      </c>
    </row>
    <row r="1186" customFormat="false" ht="14.25" hidden="false" customHeight="false" outlineLevel="0" collapsed="false">
      <c r="A1186" s="1" t="n">
        <v>2009</v>
      </c>
      <c r="B1186" s="7" t="s">
        <v>322</v>
      </c>
      <c r="C1186" s="7" t="n">
        <v>2</v>
      </c>
      <c r="D1186" s="7" t="s">
        <v>296</v>
      </c>
      <c r="E1186" s="7" t="s">
        <v>295</v>
      </c>
      <c r="F1186" s="7" t="s">
        <v>330</v>
      </c>
      <c r="G1186" s="1" t="n">
        <v>1</v>
      </c>
      <c r="H1186" s="1" t="n">
        <v>3</v>
      </c>
      <c r="I1186" s="10" t="n">
        <v>39969</v>
      </c>
      <c r="J1186" s="10" t="n">
        <v>39974</v>
      </c>
      <c r="K1186" s="1" t="n">
        <v>5</v>
      </c>
      <c r="L1186" s="1" t="n">
        <v>5</v>
      </c>
      <c r="M1186" s="13" t="s">
        <v>32</v>
      </c>
      <c r="N1186" s="13" t="s">
        <v>163</v>
      </c>
      <c r="O1186" s="14" t="s">
        <v>164</v>
      </c>
      <c r="P1186" s="2" t="str">
        <f aca="false">CONCATENATE(N1186," ",O1186)</f>
        <v>Bathyphantes gracilis</v>
      </c>
      <c r="Q1186" s="1" t="s">
        <v>30</v>
      </c>
      <c r="R1186" s="1" t="s">
        <v>31</v>
      </c>
      <c r="S1186" s="1" t="n">
        <v>1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  <c r="Y1186" s="3" t="n">
        <f aca="false">SUM(S1186:T1186)</f>
        <v>1</v>
      </c>
      <c r="Z1186" s="3" t="n">
        <f aca="false">SUM(U1186:W1186)</f>
        <v>0</v>
      </c>
      <c r="AA1186" s="3" t="n">
        <f aca="false">SUM(S1186:X1186)</f>
        <v>1</v>
      </c>
      <c r="AB1186" s="11" t="n">
        <f aca="false">(AA1186/(K1186*L1186)*25)*4</f>
        <v>4</v>
      </c>
    </row>
    <row r="1187" customFormat="false" ht="14.25" hidden="false" customHeight="false" outlineLevel="0" collapsed="false">
      <c r="A1187" s="1" t="n">
        <v>2009</v>
      </c>
      <c r="B1187" s="7" t="s">
        <v>322</v>
      </c>
      <c r="C1187" s="7" t="n">
        <v>2</v>
      </c>
      <c r="D1187" s="7" t="s">
        <v>296</v>
      </c>
      <c r="E1187" s="7" t="s">
        <v>295</v>
      </c>
      <c r="F1187" s="7" t="s">
        <v>330</v>
      </c>
      <c r="G1187" s="1" t="n">
        <v>1</v>
      </c>
      <c r="H1187" s="1" t="n">
        <v>4</v>
      </c>
      <c r="I1187" s="10" t="n">
        <v>39969</v>
      </c>
      <c r="J1187" s="10" t="n">
        <v>39974</v>
      </c>
      <c r="K1187" s="1" t="n">
        <v>5</v>
      </c>
      <c r="L1187" s="1" t="n">
        <v>5</v>
      </c>
      <c r="M1187" s="3" t="s">
        <v>72</v>
      </c>
      <c r="N1187" s="3" t="s">
        <v>147</v>
      </c>
      <c r="O1187" s="3" t="s">
        <v>218</v>
      </c>
      <c r="P1187" s="2" t="str">
        <f aca="false">CONCATENATE(N1187," ",O1187)</f>
        <v>Micaria silesiaca</v>
      </c>
      <c r="Q1187" s="1" t="s">
        <v>30</v>
      </c>
      <c r="R1187" s="1" t="s">
        <v>31</v>
      </c>
      <c r="S1187" s="1" t="n">
        <v>1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0</v>
      </c>
      <c r="Y1187" s="3" t="n">
        <f aca="false">SUM(S1187:T1187)</f>
        <v>1</v>
      </c>
      <c r="Z1187" s="3" t="n">
        <f aca="false">SUM(U1187:W1187)</f>
        <v>0</v>
      </c>
      <c r="AA1187" s="3" t="n">
        <f aca="false">SUM(S1187:X1187)</f>
        <v>1</v>
      </c>
      <c r="AB1187" s="11" t="n">
        <f aca="false">(AA1187/(K1187*L1187)*25)*4</f>
        <v>4</v>
      </c>
    </row>
    <row r="1188" customFormat="false" ht="14.25" hidden="false" customHeight="false" outlineLevel="0" collapsed="false">
      <c r="A1188" s="1" t="n">
        <v>2009</v>
      </c>
      <c r="B1188" s="7" t="s">
        <v>322</v>
      </c>
      <c r="C1188" s="7" t="n">
        <v>2</v>
      </c>
      <c r="D1188" s="7" t="s">
        <v>296</v>
      </c>
      <c r="E1188" s="7" t="s">
        <v>295</v>
      </c>
      <c r="F1188" s="7" t="s">
        <v>330</v>
      </c>
      <c r="G1188" s="1" t="n">
        <v>1</v>
      </c>
      <c r="H1188" s="1" t="n">
        <v>4</v>
      </c>
      <c r="I1188" s="10" t="n">
        <v>39969</v>
      </c>
      <c r="J1188" s="10" t="n">
        <v>39974</v>
      </c>
      <c r="K1188" s="1" t="n">
        <v>5</v>
      </c>
      <c r="L1188" s="1" t="n">
        <v>5</v>
      </c>
      <c r="M1188" s="3" t="s">
        <v>32</v>
      </c>
      <c r="N1188" s="3" t="s">
        <v>90</v>
      </c>
      <c r="O1188" s="3" t="s">
        <v>91</v>
      </c>
      <c r="P1188" s="2" t="str">
        <f aca="false">CONCATENATE(N1188," ",O1188)</f>
        <v>Tapinocyba insecta</v>
      </c>
      <c r="Q1188" s="1" t="s">
        <v>30</v>
      </c>
      <c r="R1188" s="1" t="s">
        <v>35</v>
      </c>
      <c r="S1188" s="1" t="n">
        <v>0</v>
      </c>
      <c r="T1188" s="1" t="n">
        <v>1</v>
      </c>
      <c r="U1188" s="1" t="n">
        <v>0</v>
      </c>
      <c r="V1188" s="1" t="n">
        <v>0</v>
      </c>
      <c r="W1188" s="1" t="n">
        <v>0</v>
      </c>
      <c r="X1188" s="1" t="n">
        <v>0</v>
      </c>
      <c r="Y1188" s="3" t="n">
        <f aca="false">SUM(S1188:T1188)</f>
        <v>1</v>
      </c>
      <c r="Z1188" s="3" t="n">
        <f aca="false">SUM(U1188:W1188)</f>
        <v>0</v>
      </c>
      <c r="AA1188" s="3" t="n">
        <f aca="false">SUM(S1188:X1188)</f>
        <v>1</v>
      </c>
      <c r="AB1188" s="11" t="n">
        <f aca="false">(AA1188/(K1188*L1188)*25)*4</f>
        <v>4</v>
      </c>
    </row>
    <row r="1189" customFormat="false" ht="14.25" hidden="false" customHeight="false" outlineLevel="0" collapsed="false">
      <c r="A1189" s="1" t="n">
        <v>2009</v>
      </c>
      <c r="B1189" s="7" t="s">
        <v>322</v>
      </c>
      <c r="C1189" s="7" t="n">
        <v>2</v>
      </c>
      <c r="D1189" s="7" t="s">
        <v>296</v>
      </c>
      <c r="E1189" s="7" t="s">
        <v>295</v>
      </c>
      <c r="F1189" s="7" t="s">
        <v>330</v>
      </c>
      <c r="G1189" s="1" t="n">
        <v>1</v>
      </c>
      <c r="H1189" s="1" t="n">
        <v>5</v>
      </c>
      <c r="I1189" s="10" t="n">
        <v>39969</v>
      </c>
      <c r="J1189" s="10" t="n">
        <v>39974</v>
      </c>
      <c r="K1189" s="1" t="n">
        <v>5</v>
      </c>
      <c r="L1189" s="1" t="n">
        <v>5</v>
      </c>
      <c r="M1189" s="3" t="s">
        <v>36</v>
      </c>
      <c r="N1189" s="3" t="s">
        <v>131</v>
      </c>
      <c r="O1189" s="3" t="s">
        <v>219</v>
      </c>
      <c r="P1189" s="2" t="str">
        <f aca="false">CONCATENATE(N1189," ",O1189)</f>
        <v>Xysticus kochi</v>
      </c>
      <c r="Q1189" s="1" t="s">
        <v>30</v>
      </c>
      <c r="R1189" s="1" t="s">
        <v>35</v>
      </c>
      <c r="S1189" s="1" t="n">
        <v>0</v>
      </c>
      <c r="T1189" s="1" t="n">
        <v>1</v>
      </c>
      <c r="U1189" s="1" t="n">
        <v>0</v>
      </c>
      <c r="V1189" s="1" t="n">
        <v>0</v>
      </c>
      <c r="W1189" s="1" t="n">
        <v>0</v>
      </c>
      <c r="X1189" s="1" t="n">
        <v>0</v>
      </c>
      <c r="Y1189" s="3" t="n">
        <f aca="false">SUM(S1189:T1189)</f>
        <v>1</v>
      </c>
      <c r="Z1189" s="3" t="n">
        <f aca="false">SUM(U1189:W1189)</f>
        <v>0</v>
      </c>
      <c r="AA1189" s="3" t="n">
        <f aca="false">SUM(S1189:X1189)</f>
        <v>1</v>
      </c>
      <c r="AB1189" s="11" t="n">
        <f aca="false">(AA1189/(K1189*L1189)*25)*4</f>
        <v>4</v>
      </c>
    </row>
    <row r="1190" customFormat="false" ht="14.25" hidden="false" customHeight="false" outlineLevel="0" collapsed="false">
      <c r="A1190" s="1" t="n">
        <v>2009</v>
      </c>
      <c r="B1190" s="7" t="s">
        <v>322</v>
      </c>
      <c r="C1190" s="7" t="n">
        <v>2</v>
      </c>
      <c r="D1190" s="7" t="s">
        <v>296</v>
      </c>
      <c r="E1190" s="7" t="s">
        <v>295</v>
      </c>
      <c r="F1190" s="7" t="s">
        <v>330</v>
      </c>
      <c r="G1190" s="1" t="n">
        <v>1</v>
      </c>
      <c r="H1190" s="1" t="n">
        <v>5</v>
      </c>
      <c r="I1190" s="10" t="n">
        <v>39969</v>
      </c>
      <c r="J1190" s="10" t="n">
        <v>39974</v>
      </c>
      <c r="K1190" s="1" t="n">
        <v>5</v>
      </c>
      <c r="L1190" s="1" t="n">
        <v>5</v>
      </c>
      <c r="M1190" s="3" t="s">
        <v>27</v>
      </c>
      <c r="N1190" s="3" t="s">
        <v>220</v>
      </c>
      <c r="O1190" s="3" t="s">
        <v>221</v>
      </c>
      <c r="P1190" s="2" t="str">
        <f aca="false">CONCATENATE(N1190," ",O1190)</f>
        <v>Steatoda albomaculata</v>
      </c>
      <c r="Q1190" s="1" t="s">
        <v>30</v>
      </c>
      <c r="R1190" s="1" t="s">
        <v>31</v>
      </c>
      <c r="S1190" s="1" t="n">
        <v>1</v>
      </c>
      <c r="T1190" s="1" t="n">
        <v>0</v>
      </c>
      <c r="U1190" s="1" t="n">
        <v>0</v>
      </c>
      <c r="V1190" s="1" t="n">
        <v>0</v>
      </c>
      <c r="W1190" s="1" t="n">
        <v>0</v>
      </c>
      <c r="X1190" s="1" t="n">
        <v>0</v>
      </c>
      <c r="Y1190" s="3" t="n">
        <f aca="false">SUM(S1190:T1190)</f>
        <v>1</v>
      </c>
      <c r="Z1190" s="3" t="n">
        <f aca="false">SUM(U1190:W1190)</f>
        <v>0</v>
      </c>
      <c r="AA1190" s="3" t="n">
        <f aca="false">SUM(S1190:X1190)</f>
        <v>1</v>
      </c>
      <c r="AB1190" s="11" t="n">
        <f aca="false">(AA1190/(K1190*L1190)*25)*4</f>
        <v>4</v>
      </c>
    </row>
    <row r="1191" customFormat="false" ht="14.25" hidden="false" customHeight="false" outlineLevel="0" collapsed="false">
      <c r="A1191" s="1" t="n">
        <v>2009</v>
      </c>
      <c r="B1191" s="7" t="s">
        <v>322</v>
      </c>
      <c r="C1191" s="7" t="n">
        <v>2</v>
      </c>
      <c r="D1191" s="7" t="s">
        <v>296</v>
      </c>
      <c r="E1191" s="7" t="s">
        <v>295</v>
      </c>
      <c r="F1191" s="7" t="s">
        <v>330</v>
      </c>
      <c r="G1191" s="1" t="n">
        <v>1</v>
      </c>
      <c r="H1191" s="1" t="n">
        <v>5</v>
      </c>
      <c r="I1191" s="10" t="n">
        <v>39969</v>
      </c>
      <c r="J1191" s="10" t="n">
        <v>39974</v>
      </c>
      <c r="K1191" s="1" t="n">
        <v>5</v>
      </c>
      <c r="L1191" s="1" t="n">
        <v>5</v>
      </c>
      <c r="M1191" s="3" t="s">
        <v>32</v>
      </c>
      <c r="N1191" s="3" t="s">
        <v>102</v>
      </c>
      <c r="O1191" s="3" t="s">
        <v>103</v>
      </c>
      <c r="P1191" s="2" t="str">
        <f aca="false">CONCATENATE(N1191," ",O1191)</f>
        <v>Agyneta olivacea</v>
      </c>
      <c r="Q1191" s="1" t="s">
        <v>30</v>
      </c>
      <c r="R1191" s="1" t="s">
        <v>31</v>
      </c>
      <c r="S1191" s="1" t="n">
        <v>1</v>
      </c>
      <c r="T1191" s="1" t="n">
        <v>0</v>
      </c>
      <c r="U1191" s="1" t="n">
        <v>0</v>
      </c>
      <c r="V1191" s="1" t="n">
        <v>0</v>
      </c>
      <c r="W1191" s="1" t="n">
        <v>0</v>
      </c>
      <c r="X1191" s="1" t="n">
        <v>0</v>
      </c>
      <c r="Y1191" s="3" t="n">
        <f aca="false">SUM(S1191:T1191)</f>
        <v>1</v>
      </c>
      <c r="Z1191" s="3" t="n">
        <f aca="false">SUM(U1191:W1191)</f>
        <v>0</v>
      </c>
      <c r="AA1191" s="3" t="n">
        <f aca="false">SUM(S1191:X1191)</f>
        <v>1</v>
      </c>
      <c r="AB1191" s="11" t="n">
        <f aca="false">(AA1191/(K1191*L1191)*25)*4</f>
        <v>4</v>
      </c>
    </row>
    <row r="1192" customFormat="false" ht="14.25" hidden="false" customHeight="false" outlineLevel="0" collapsed="false">
      <c r="A1192" s="1" t="n">
        <v>2009</v>
      </c>
      <c r="B1192" s="7" t="s">
        <v>322</v>
      </c>
      <c r="C1192" s="7" t="n">
        <v>2</v>
      </c>
      <c r="D1192" s="7" t="s">
        <v>296</v>
      </c>
      <c r="E1192" s="7" t="s">
        <v>295</v>
      </c>
      <c r="F1192" s="7" t="s">
        <v>330</v>
      </c>
      <c r="G1192" s="1" t="n">
        <v>1</v>
      </c>
      <c r="H1192" s="1" t="n">
        <v>5</v>
      </c>
      <c r="I1192" s="10" t="n">
        <v>39969</v>
      </c>
      <c r="J1192" s="10" t="n">
        <v>39974</v>
      </c>
      <c r="K1192" s="1" t="n">
        <v>5</v>
      </c>
      <c r="L1192" s="1" t="n">
        <v>5</v>
      </c>
      <c r="M1192" s="3" t="s">
        <v>32</v>
      </c>
      <c r="N1192" s="3" t="s">
        <v>102</v>
      </c>
      <c r="O1192" s="3" t="s">
        <v>103</v>
      </c>
      <c r="P1192" s="2" t="str">
        <f aca="false">CONCATENATE(N1192," ",O1192)</f>
        <v>Agyneta olivacea</v>
      </c>
      <c r="Q1192" s="1" t="s">
        <v>30</v>
      </c>
      <c r="R1192" s="1" t="s">
        <v>35</v>
      </c>
      <c r="S1192" s="1" t="n">
        <v>0</v>
      </c>
      <c r="T1192" s="1" t="n">
        <v>1</v>
      </c>
      <c r="U1192" s="1" t="n">
        <v>0</v>
      </c>
      <c r="V1192" s="1" t="n">
        <v>0</v>
      </c>
      <c r="W1192" s="1" t="n">
        <v>0</v>
      </c>
      <c r="X1192" s="1" t="n">
        <v>0</v>
      </c>
      <c r="Y1192" s="3" t="n">
        <f aca="false">SUM(S1192:T1192)</f>
        <v>1</v>
      </c>
      <c r="Z1192" s="3" t="n">
        <f aca="false">SUM(U1192:W1192)</f>
        <v>0</v>
      </c>
      <c r="AA1192" s="3" t="n">
        <f aca="false">SUM(S1192:X1192)</f>
        <v>1</v>
      </c>
      <c r="AB1192" s="11" t="n">
        <f aca="false">(AA1192/(K1192*L1192)*25)*4</f>
        <v>4</v>
      </c>
    </row>
    <row r="1193" customFormat="false" ht="14.25" hidden="false" customHeight="false" outlineLevel="0" collapsed="false">
      <c r="A1193" s="1" t="n">
        <v>2009</v>
      </c>
      <c r="B1193" s="7" t="s">
        <v>322</v>
      </c>
      <c r="C1193" s="7" t="n">
        <v>2</v>
      </c>
      <c r="D1193" s="7" t="s">
        <v>296</v>
      </c>
      <c r="E1193" s="7" t="s">
        <v>295</v>
      </c>
      <c r="F1193" s="7" t="s">
        <v>330</v>
      </c>
      <c r="G1193" s="1" t="n">
        <v>2</v>
      </c>
      <c r="H1193" s="1" t="n">
        <v>6</v>
      </c>
      <c r="I1193" s="10" t="n">
        <v>39969</v>
      </c>
      <c r="J1193" s="10" t="n">
        <v>39974</v>
      </c>
      <c r="K1193" s="1" t="n">
        <v>5</v>
      </c>
      <c r="L1193" s="1" t="n">
        <v>5</v>
      </c>
      <c r="M1193" s="3" t="s">
        <v>27</v>
      </c>
      <c r="N1193" s="3" t="s">
        <v>220</v>
      </c>
      <c r="O1193" s="3" t="s">
        <v>221</v>
      </c>
      <c r="P1193" s="2" t="str">
        <f aca="false">CONCATENATE(N1193," ",O1193)</f>
        <v>Steatoda albomaculata</v>
      </c>
      <c r="Q1193" s="1" t="s">
        <v>30</v>
      </c>
      <c r="R1193" s="1" t="s">
        <v>31</v>
      </c>
      <c r="S1193" s="1" t="n">
        <v>1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0</v>
      </c>
      <c r="Y1193" s="3" t="n">
        <f aca="false">SUM(S1193:T1193)</f>
        <v>1</v>
      </c>
      <c r="Z1193" s="3" t="n">
        <f aca="false">SUM(U1193:W1193)</f>
        <v>0</v>
      </c>
      <c r="AA1193" s="3" t="n">
        <f aca="false">SUM(S1193:X1193)</f>
        <v>1</v>
      </c>
      <c r="AB1193" s="11" t="n">
        <f aca="false">(AA1193/(K1193*L1193)*25)*4</f>
        <v>4</v>
      </c>
    </row>
    <row r="1194" customFormat="false" ht="14.25" hidden="false" customHeight="false" outlineLevel="0" collapsed="false">
      <c r="A1194" s="1" t="n">
        <v>2009</v>
      </c>
      <c r="B1194" s="7" t="s">
        <v>322</v>
      </c>
      <c r="C1194" s="7" t="n">
        <v>2</v>
      </c>
      <c r="D1194" s="7" t="s">
        <v>296</v>
      </c>
      <c r="E1194" s="7" t="s">
        <v>295</v>
      </c>
      <c r="F1194" s="7" t="s">
        <v>330</v>
      </c>
      <c r="G1194" s="1" t="n">
        <v>2</v>
      </c>
      <c r="H1194" s="1" t="n">
        <v>9</v>
      </c>
      <c r="I1194" s="10" t="n">
        <v>39969</v>
      </c>
      <c r="J1194" s="10" t="n">
        <v>39974</v>
      </c>
      <c r="K1194" s="1" t="n">
        <v>5</v>
      </c>
      <c r="L1194" s="1" t="n">
        <v>5</v>
      </c>
      <c r="M1194" s="3" t="s">
        <v>72</v>
      </c>
      <c r="N1194" s="3" t="s">
        <v>150</v>
      </c>
      <c r="O1194" s="3" t="s">
        <v>222</v>
      </c>
      <c r="P1194" s="2" t="str">
        <f aca="false">CONCATENATE(N1194," ",O1194)</f>
        <v>Drassodes pubescens</v>
      </c>
      <c r="Q1194" s="1" t="s">
        <v>30</v>
      </c>
      <c r="R1194" s="1" t="s">
        <v>31</v>
      </c>
      <c r="S1194" s="1" t="n">
        <v>1</v>
      </c>
      <c r="T1194" s="1" t="n">
        <v>0</v>
      </c>
      <c r="U1194" s="1" t="n">
        <v>0</v>
      </c>
      <c r="V1194" s="1" t="n">
        <v>0</v>
      </c>
      <c r="W1194" s="1" t="n">
        <v>0</v>
      </c>
      <c r="X1194" s="1" t="n">
        <v>0</v>
      </c>
      <c r="Y1194" s="3" t="n">
        <f aca="false">SUM(S1194:T1194)</f>
        <v>1</v>
      </c>
      <c r="Z1194" s="3" t="n">
        <f aca="false">SUM(U1194:W1194)</f>
        <v>0</v>
      </c>
      <c r="AA1194" s="3" t="n">
        <f aca="false">SUM(S1194:X1194)</f>
        <v>1</v>
      </c>
      <c r="AB1194" s="11" t="n">
        <f aca="false">(AA1194/(K1194*L1194)*25)*4</f>
        <v>4</v>
      </c>
    </row>
    <row r="1195" customFormat="false" ht="14.25" hidden="false" customHeight="false" outlineLevel="0" collapsed="false">
      <c r="A1195" s="1" t="n">
        <v>2009</v>
      </c>
      <c r="B1195" s="7" t="s">
        <v>322</v>
      </c>
      <c r="C1195" s="7" t="n">
        <v>2</v>
      </c>
      <c r="D1195" s="7" t="s">
        <v>296</v>
      </c>
      <c r="E1195" s="7" t="s">
        <v>295</v>
      </c>
      <c r="F1195" s="7" t="s">
        <v>330</v>
      </c>
      <c r="G1195" s="1" t="n">
        <v>2</v>
      </c>
      <c r="H1195" s="1" t="n">
        <v>9</v>
      </c>
      <c r="I1195" s="10" t="n">
        <v>39969</v>
      </c>
      <c r="J1195" s="10" t="n">
        <v>39974</v>
      </c>
      <c r="K1195" s="1" t="n">
        <v>5</v>
      </c>
      <c r="L1195" s="1" t="n">
        <v>5</v>
      </c>
      <c r="M1195" s="3" t="s">
        <v>27</v>
      </c>
      <c r="N1195" s="3" t="s">
        <v>220</v>
      </c>
      <c r="O1195" s="3" t="s">
        <v>221</v>
      </c>
      <c r="P1195" s="2" t="str">
        <f aca="false">CONCATENATE(N1195," ",O1195)</f>
        <v>Steatoda albomaculata</v>
      </c>
      <c r="Q1195" s="1" t="s">
        <v>30</v>
      </c>
      <c r="R1195" s="1" t="s">
        <v>31</v>
      </c>
      <c r="S1195" s="1" t="n">
        <v>1</v>
      </c>
      <c r="T1195" s="1" t="n">
        <v>0</v>
      </c>
      <c r="U1195" s="1" t="n">
        <v>0</v>
      </c>
      <c r="V1195" s="1" t="n">
        <v>0</v>
      </c>
      <c r="W1195" s="1" t="n">
        <v>0</v>
      </c>
      <c r="X1195" s="1" t="n">
        <v>0</v>
      </c>
      <c r="Y1195" s="3" t="n">
        <f aca="false">SUM(S1195:T1195)</f>
        <v>1</v>
      </c>
      <c r="Z1195" s="3" t="n">
        <f aca="false">SUM(U1195:W1195)</f>
        <v>0</v>
      </c>
      <c r="AA1195" s="3" t="n">
        <f aca="false">SUM(S1195:X1195)</f>
        <v>1</v>
      </c>
      <c r="AB1195" s="11" t="n">
        <f aca="false">(AA1195/(K1195*L1195)*25)*4</f>
        <v>4</v>
      </c>
    </row>
    <row r="1196" customFormat="false" ht="14.25" hidden="false" customHeight="false" outlineLevel="0" collapsed="false">
      <c r="A1196" s="1" t="n">
        <v>2009</v>
      </c>
      <c r="B1196" s="7" t="s">
        <v>322</v>
      </c>
      <c r="C1196" s="7" t="n">
        <v>2</v>
      </c>
      <c r="D1196" s="7" t="s">
        <v>296</v>
      </c>
      <c r="E1196" s="7" t="s">
        <v>295</v>
      </c>
      <c r="F1196" s="7" t="s">
        <v>330</v>
      </c>
      <c r="G1196" s="1" t="n">
        <v>2</v>
      </c>
      <c r="H1196" s="1" t="n">
        <v>9</v>
      </c>
      <c r="I1196" s="10" t="n">
        <v>39969</v>
      </c>
      <c r="J1196" s="10" t="n">
        <v>39974</v>
      </c>
      <c r="K1196" s="1" t="n">
        <v>5</v>
      </c>
      <c r="L1196" s="1" t="n">
        <v>5</v>
      </c>
      <c r="M1196" s="3" t="s">
        <v>32</v>
      </c>
      <c r="N1196" s="3" t="s">
        <v>90</v>
      </c>
      <c r="O1196" s="3" t="s">
        <v>91</v>
      </c>
      <c r="P1196" s="2" t="str">
        <f aca="false">CONCATENATE(N1196," ",O1196)</f>
        <v>Tapinocyba insecta</v>
      </c>
      <c r="Q1196" s="1" t="s">
        <v>30</v>
      </c>
      <c r="R1196" s="1" t="s">
        <v>35</v>
      </c>
      <c r="S1196" s="1" t="n">
        <v>0</v>
      </c>
      <c r="T1196" s="1" t="n">
        <v>1</v>
      </c>
      <c r="U1196" s="1" t="n">
        <v>0</v>
      </c>
      <c r="V1196" s="1" t="n">
        <v>0</v>
      </c>
      <c r="W1196" s="1" t="n">
        <v>0</v>
      </c>
      <c r="X1196" s="1" t="n">
        <v>0</v>
      </c>
      <c r="Y1196" s="3" t="n">
        <f aca="false">SUM(S1196:T1196)</f>
        <v>1</v>
      </c>
      <c r="Z1196" s="3" t="n">
        <f aca="false">SUM(U1196:W1196)</f>
        <v>0</v>
      </c>
      <c r="AA1196" s="3" t="n">
        <f aca="false">SUM(S1196:X1196)</f>
        <v>1</v>
      </c>
      <c r="AB1196" s="11" t="n">
        <f aca="false">(AA1196/(K1196*L1196)*25)*4</f>
        <v>4</v>
      </c>
    </row>
    <row r="1197" customFormat="false" ht="14.25" hidden="false" customHeight="false" outlineLevel="0" collapsed="false">
      <c r="A1197" s="1" t="n">
        <v>2009</v>
      </c>
      <c r="B1197" s="7" t="s">
        <v>322</v>
      </c>
      <c r="C1197" s="7" t="n">
        <v>2</v>
      </c>
      <c r="D1197" s="7" t="s">
        <v>296</v>
      </c>
      <c r="E1197" s="7" t="s">
        <v>295</v>
      </c>
      <c r="F1197" s="7" t="s">
        <v>330</v>
      </c>
      <c r="G1197" s="1" t="n">
        <v>2</v>
      </c>
      <c r="H1197" s="1" t="n">
        <v>9</v>
      </c>
      <c r="I1197" s="10" t="n">
        <v>39969</v>
      </c>
      <c r="J1197" s="10" t="n">
        <v>39974</v>
      </c>
      <c r="K1197" s="1" t="n">
        <v>5</v>
      </c>
      <c r="L1197" s="1" t="n">
        <v>5</v>
      </c>
      <c r="M1197" s="3" t="s">
        <v>32</v>
      </c>
      <c r="N1197" s="3" t="s">
        <v>102</v>
      </c>
      <c r="O1197" s="3" t="s">
        <v>117</v>
      </c>
      <c r="P1197" s="2" t="str">
        <f aca="false">CONCATENATE(N1197," ",O1197)</f>
        <v>Agyneta affinis</v>
      </c>
      <c r="Q1197" s="1" t="s">
        <v>30</v>
      </c>
      <c r="R1197" s="1" t="s">
        <v>35</v>
      </c>
      <c r="S1197" s="1" t="n">
        <v>0</v>
      </c>
      <c r="T1197" s="1" t="n">
        <v>1</v>
      </c>
      <c r="U1197" s="1" t="n">
        <v>0</v>
      </c>
      <c r="V1197" s="1" t="n">
        <v>0</v>
      </c>
      <c r="W1197" s="1" t="n">
        <v>0</v>
      </c>
      <c r="X1197" s="1" t="n">
        <v>0</v>
      </c>
      <c r="Y1197" s="3" t="n">
        <f aca="false">SUM(S1197:T1197)</f>
        <v>1</v>
      </c>
      <c r="Z1197" s="3" t="n">
        <f aca="false">SUM(U1197:W1197)</f>
        <v>0</v>
      </c>
      <c r="AA1197" s="3" t="n">
        <f aca="false">SUM(S1197:X1197)</f>
        <v>1</v>
      </c>
      <c r="AB1197" s="11" t="n">
        <f aca="false">(AA1197/(K1197*L1197)*25)*4</f>
        <v>4</v>
      </c>
    </row>
    <row r="1198" customFormat="false" ht="14.25" hidden="false" customHeight="false" outlineLevel="0" collapsed="false">
      <c r="A1198" s="1" t="n">
        <v>2009</v>
      </c>
      <c r="B1198" s="7" t="s">
        <v>322</v>
      </c>
      <c r="C1198" s="7" t="n">
        <v>2</v>
      </c>
      <c r="D1198" s="7" t="s">
        <v>296</v>
      </c>
      <c r="E1198" s="7" t="s">
        <v>295</v>
      </c>
      <c r="F1198" s="7" t="s">
        <v>330</v>
      </c>
      <c r="G1198" s="1" t="n">
        <v>2</v>
      </c>
      <c r="H1198" s="1" t="n">
        <v>10</v>
      </c>
      <c r="I1198" s="10" t="n">
        <v>39969</v>
      </c>
      <c r="J1198" s="10" t="n">
        <v>39974</v>
      </c>
      <c r="K1198" s="1" t="n">
        <v>5</v>
      </c>
      <c r="L1198" s="1" t="n">
        <v>5</v>
      </c>
      <c r="M1198" s="3" t="s">
        <v>48</v>
      </c>
      <c r="N1198" s="3" t="s">
        <v>67</v>
      </c>
      <c r="O1198" s="3" t="s">
        <v>167</v>
      </c>
      <c r="P1198" s="2" t="str">
        <f aca="false">CONCATENATE(N1198," ",O1198)</f>
        <v>Pardosa agrestis</v>
      </c>
      <c r="Q1198" s="1" t="s">
        <v>30</v>
      </c>
      <c r="R1198" s="1" t="s">
        <v>31</v>
      </c>
      <c r="S1198" s="1" t="n">
        <v>1</v>
      </c>
      <c r="T1198" s="1" t="n">
        <v>0</v>
      </c>
      <c r="U1198" s="1" t="n">
        <v>0</v>
      </c>
      <c r="V1198" s="1" t="n">
        <v>0</v>
      </c>
      <c r="W1198" s="1" t="n">
        <v>0</v>
      </c>
      <c r="X1198" s="1" t="n">
        <v>0</v>
      </c>
      <c r="Y1198" s="3" t="n">
        <f aca="false">SUM(S1198:T1198)</f>
        <v>1</v>
      </c>
      <c r="Z1198" s="3" t="n">
        <f aca="false">SUM(U1198:W1198)</f>
        <v>0</v>
      </c>
      <c r="AA1198" s="3" t="n">
        <f aca="false">SUM(S1198:X1198)</f>
        <v>1</v>
      </c>
      <c r="AB1198" s="11" t="n">
        <f aca="false">(AA1198/(K1198*L1198)*25)*4</f>
        <v>4</v>
      </c>
    </row>
    <row r="1199" customFormat="false" ht="14.25" hidden="false" customHeight="false" outlineLevel="0" collapsed="false">
      <c r="A1199" s="1" t="n">
        <v>2009</v>
      </c>
      <c r="B1199" s="7" t="s">
        <v>322</v>
      </c>
      <c r="C1199" s="7" t="n">
        <v>2</v>
      </c>
      <c r="D1199" s="7" t="s">
        <v>296</v>
      </c>
      <c r="E1199" s="7" t="s">
        <v>295</v>
      </c>
      <c r="F1199" s="7" t="s">
        <v>330</v>
      </c>
      <c r="G1199" s="1" t="n">
        <v>2</v>
      </c>
      <c r="H1199" s="1" t="n">
        <v>10</v>
      </c>
      <c r="I1199" s="10" t="n">
        <v>39969</v>
      </c>
      <c r="J1199" s="10" t="n">
        <v>39974</v>
      </c>
      <c r="K1199" s="1" t="n">
        <v>5</v>
      </c>
      <c r="L1199" s="1" t="n">
        <v>5</v>
      </c>
      <c r="M1199" s="3" t="s">
        <v>36</v>
      </c>
      <c r="N1199" s="3" t="s">
        <v>131</v>
      </c>
      <c r="O1199" s="3" t="s">
        <v>201</v>
      </c>
      <c r="P1199" s="2" t="str">
        <f aca="false">CONCATENATE(N1199," ",O1199)</f>
        <v>Xysticus cristatus</v>
      </c>
      <c r="Q1199" s="1" t="s">
        <v>30</v>
      </c>
      <c r="R1199" s="1" t="s">
        <v>31</v>
      </c>
      <c r="S1199" s="1" t="n">
        <v>1</v>
      </c>
      <c r="T1199" s="1" t="n">
        <v>0</v>
      </c>
      <c r="U1199" s="1" t="n">
        <v>0</v>
      </c>
      <c r="V1199" s="1" t="n">
        <v>0</v>
      </c>
      <c r="W1199" s="1" t="n">
        <v>0</v>
      </c>
      <c r="X1199" s="1" t="n">
        <v>0</v>
      </c>
      <c r="Y1199" s="3" t="n">
        <f aca="false">SUM(S1199:T1199)</f>
        <v>1</v>
      </c>
      <c r="Z1199" s="3" t="n">
        <f aca="false">SUM(U1199:W1199)</f>
        <v>0</v>
      </c>
      <c r="AA1199" s="3" t="n">
        <f aca="false">SUM(S1199:X1199)</f>
        <v>1</v>
      </c>
      <c r="AB1199" s="11" t="n">
        <f aca="false">(AA1199/(K1199*L1199)*25)*4</f>
        <v>4</v>
      </c>
    </row>
    <row r="1200" customFormat="false" ht="14.25" hidden="false" customHeight="false" outlineLevel="0" collapsed="false">
      <c r="A1200" s="1" t="n">
        <v>2009</v>
      </c>
      <c r="B1200" s="7" t="s">
        <v>322</v>
      </c>
      <c r="C1200" s="7" t="n">
        <v>2</v>
      </c>
      <c r="D1200" s="7" t="s">
        <v>296</v>
      </c>
      <c r="E1200" s="7" t="s">
        <v>295</v>
      </c>
      <c r="F1200" s="7" t="s">
        <v>330</v>
      </c>
      <c r="G1200" s="1" t="n">
        <v>2</v>
      </c>
      <c r="H1200" s="1" t="n">
        <v>10</v>
      </c>
      <c r="I1200" s="10" t="n">
        <v>39969</v>
      </c>
      <c r="J1200" s="10" t="n">
        <v>39974</v>
      </c>
      <c r="K1200" s="1" t="n">
        <v>5</v>
      </c>
      <c r="L1200" s="1" t="n">
        <v>5</v>
      </c>
      <c r="M1200" s="3" t="s">
        <v>32</v>
      </c>
      <c r="N1200" s="3" t="s">
        <v>102</v>
      </c>
      <c r="O1200" s="3" t="s">
        <v>103</v>
      </c>
      <c r="P1200" s="2" t="str">
        <f aca="false">CONCATENATE(N1200," ",O1200)</f>
        <v>Agyneta olivacea</v>
      </c>
      <c r="Q1200" s="1" t="s">
        <v>30</v>
      </c>
      <c r="R1200" s="1" t="s">
        <v>31</v>
      </c>
      <c r="S1200" s="1" t="n">
        <v>1</v>
      </c>
      <c r="T1200" s="1" t="n">
        <v>0</v>
      </c>
      <c r="U1200" s="1" t="n">
        <v>0</v>
      </c>
      <c r="V1200" s="1" t="n">
        <v>0</v>
      </c>
      <c r="W1200" s="1" t="n">
        <v>0</v>
      </c>
      <c r="X1200" s="1" t="n">
        <v>0</v>
      </c>
      <c r="Y1200" s="3" t="n">
        <f aca="false">SUM(S1200:T1200)</f>
        <v>1</v>
      </c>
      <c r="Z1200" s="3" t="n">
        <f aca="false">SUM(U1200:W1200)</f>
        <v>0</v>
      </c>
      <c r="AA1200" s="3" t="n">
        <f aca="false">SUM(S1200:X1200)</f>
        <v>1</v>
      </c>
      <c r="AB1200" s="11" t="n">
        <f aca="false">(AA1200/(K1200*L1200)*25)*4</f>
        <v>4</v>
      </c>
    </row>
    <row r="1201" customFormat="false" ht="14.25" hidden="false" customHeight="false" outlineLevel="0" collapsed="false">
      <c r="A1201" s="1" t="n">
        <v>2009</v>
      </c>
      <c r="B1201" s="7" t="s">
        <v>322</v>
      </c>
      <c r="C1201" s="7" t="n">
        <v>2</v>
      </c>
      <c r="D1201" s="7" t="s">
        <v>296</v>
      </c>
      <c r="E1201" s="7" t="s">
        <v>295</v>
      </c>
      <c r="F1201" s="7" t="s">
        <v>330</v>
      </c>
      <c r="G1201" s="1" t="n">
        <v>3</v>
      </c>
      <c r="H1201" s="1" t="n">
        <v>11</v>
      </c>
      <c r="I1201" s="10" t="n">
        <v>39969</v>
      </c>
      <c r="J1201" s="10" t="n">
        <v>39974</v>
      </c>
      <c r="K1201" s="1" t="n">
        <v>5</v>
      </c>
      <c r="L1201" s="1" t="n">
        <v>5</v>
      </c>
      <c r="M1201" s="3" t="s">
        <v>32</v>
      </c>
      <c r="N1201" s="3" t="s">
        <v>102</v>
      </c>
      <c r="O1201" s="3" t="s">
        <v>103</v>
      </c>
      <c r="P1201" s="2" t="str">
        <f aca="false">CONCATENATE(N1201," ",O1201)</f>
        <v>Agyneta olivacea</v>
      </c>
      <c r="Q1201" s="1" t="s">
        <v>30</v>
      </c>
      <c r="R1201" s="1" t="s">
        <v>31</v>
      </c>
      <c r="S1201" s="1" t="n">
        <v>1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0</v>
      </c>
      <c r="Y1201" s="3" t="n">
        <f aca="false">SUM(S1201:T1201)</f>
        <v>1</v>
      </c>
      <c r="Z1201" s="3" t="n">
        <f aca="false">SUM(U1201:W1201)</f>
        <v>0</v>
      </c>
      <c r="AA1201" s="3" t="n">
        <f aca="false">SUM(S1201:X1201)</f>
        <v>1</v>
      </c>
      <c r="AB1201" s="11" t="n">
        <f aca="false">(AA1201/(K1201*L1201)*25)*4</f>
        <v>4</v>
      </c>
    </row>
    <row r="1202" customFormat="false" ht="14.25" hidden="false" customHeight="false" outlineLevel="0" collapsed="false">
      <c r="A1202" s="1" t="n">
        <v>2009</v>
      </c>
      <c r="B1202" s="7" t="s">
        <v>322</v>
      </c>
      <c r="C1202" s="7" t="n">
        <v>2</v>
      </c>
      <c r="D1202" s="7" t="s">
        <v>296</v>
      </c>
      <c r="E1202" s="7" t="s">
        <v>295</v>
      </c>
      <c r="F1202" s="7" t="s">
        <v>330</v>
      </c>
      <c r="G1202" s="1" t="n">
        <v>3</v>
      </c>
      <c r="H1202" s="1" t="n">
        <v>11</v>
      </c>
      <c r="I1202" s="10" t="n">
        <v>39969</v>
      </c>
      <c r="J1202" s="10" t="n">
        <v>39974</v>
      </c>
      <c r="K1202" s="1" t="n">
        <v>5</v>
      </c>
      <c r="L1202" s="1" t="n">
        <v>5</v>
      </c>
      <c r="M1202" s="3" t="s">
        <v>32</v>
      </c>
      <c r="N1202" s="3" t="s">
        <v>102</v>
      </c>
      <c r="O1202" s="3" t="s">
        <v>103</v>
      </c>
      <c r="P1202" s="2" t="str">
        <f aca="false">CONCATENATE(N1202," ",O1202)</f>
        <v>Agyneta olivacea</v>
      </c>
      <c r="Q1202" s="1" t="s">
        <v>30</v>
      </c>
      <c r="R1202" s="1" t="s">
        <v>35</v>
      </c>
      <c r="S1202" s="1" t="n">
        <v>0</v>
      </c>
      <c r="T1202" s="1" t="n">
        <v>1</v>
      </c>
      <c r="U1202" s="1" t="n">
        <v>0</v>
      </c>
      <c r="V1202" s="1" t="n">
        <v>0</v>
      </c>
      <c r="W1202" s="1" t="n">
        <v>0</v>
      </c>
      <c r="X1202" s="1" t="n">
        <v>0</v>
      </c>
      <c r="Y1202" s="3" t="n">
        <f aca="false">SUM(S1202:T1202)</f>
        <v>1</v>
      </c>
      <c r="Z1202" s="3" t="n">
        <f aca="false">SUM(U1202:W1202)</f>
        <v>0</v>
      </c>
      <c r="AA1202" s="3" t="n">
        <f aca="false">SUM(S1202:X1202)</f>
        <v>1</v>
      </c>
      <c r="AB1202" s="11" t="n">
        <f aca="false">(AA1202/(K1202*L1202)*25)*4</f>
        <v>4</v>
      </c>
    </row>
    <row r="1203" customFormat="false" ht="14.25" hidden="false" customHeight="false" outlineLevel="0" collapsed="false">
      <c r="A1203" s="1" t="n">
        <v>2009</v>
      </c>
      <c r="B1203" s="7" t="s">
        <v>322</v>
      </c>
      <c r="C1203" s="7" t="n">
        <v>2</v>
      </c>
      <c r="D1203" s="7" t="s">
        <v>296</v>
      </c>
      <c r="E1203" s="7" t="s">
        <v>295</v>
      </c>
      <c r="F1203" s="7" t="s">
        <v>330</v>
      </c>
      <c r="G1203" s="1" t="n">
        <v>3</v>
      </c>
      <c r="H1203" s="1" t="n">
        <v>12</v>
      </c>
      <c r="I1203" s="10" t="n">
        <v>39969</v>
      </c>
      <c r="J1203" s="10" t="n">
        <v>39974</v>
      </c>
      <c r="K1203" s="1" t="n">
        <v>5</v>
      </c>
      <c r="L1203" s="1" t="n">
        <v>5</v>
      </c>
      <c r="M1203" s="3" t="s">
        <v>27</v>
      </c>
      <c r="N1203" s="3" t="s">
        <v>220</v>
      </c>
      <c r="O1203" s="3" t="s">
        <v>221</v>
      </c>
      <c r="P1203" s="2" t="str">
        <f aca="false">CONCATENATE(N1203," ",O1203)</f>
        <v>Steatoda albomaculata</v>
      </c>
      <c r="Q1203" s="1" t="s">
        <v>30</v>
      </c>
      <c r="R1203" s="1" t="s">
        <v>31</v>
      </c>
      <c r="S1203" s="1" t="n">
        <v>1</v>
      </c>
      <c r="T1203" s="1" t="n">
        <v>0</v>
      </c>
      <c r="U1203" s="1" t="n">
        <v>0</v>
      </c>
      <c r="V1203" s="1" t="n">
        <v>0</v>
      </c>
      <c r="W1203" s="1" t="n">
        <v>0</v>
      </c>
      <c r="X1203" s="1" t="n">
        <v>0</v>
      </c>
      <c r="Y1203" s="3" t="n">
        <f aca="false">SUM(S1203:T1203)</f>
        <v>1</v>
      </c>
      <c r="Z1203" s="3" t="n">
        <f aca="false">SUM(U1203:W1203)</f>
        <v>0</v>
      </c>
      <c r="AA1203" s="3" t="n">
        <f aca="false">SUM(S1203:X1203)</f>
        <v>1</v>
      </c>
      <c r="AB1203" s="11" t="n">
        <f aca="false">(AA1203/(K1203*L1203)*25)*4</f>
        <v>4</v>
      </c>
    </row>
    <row r="1204" customFormat="false" ht="14.25" hidden="false" customHeight="false" outlineLevel="0" collapsed="false">
      <c r="A1204" s="1" t="n">
        <v>2009</v>
      </c>
      <c r="B1204" s="7" t="s">
        <v>322</v>
      </c>
      <c r="C1204" s="7" t="n">
        <v>2</v>
      </c>
      <c r="D1204" s="7" t="s">
        <v>296</v>
      </c>
      <c r="E1204" s="7" t="s">
        <v>295</v>
      </c>
      <c r="F1204" s="7" t="s">
        <v>330</v>
      </c>
      <c r="G1204" s="1" t="n">
        <v>3</v>
      </c>
      <c r="H1204" s="1" t="n">
        <v>13</v>
      </c>
      <c r="I1204" s="10" t="n">
        <v>39969</v>
      </c>
      <c r="J1204" s="10" t="n">
        <v>39974</v>
      </c>
      <c r="K1204" s="1" t="n">
        <v>5</v>
      </c>
      <c r="L1204" s="1" t="n">
        <v>5</v>
      </c>
      <c r="M1204" s="3" t="s">
        <v>72</v>
      </c>
      <c r="N1204" s="3" t="s">
        <v>150</v>
      </c>
      <c r="O1204" s="3" t="s">
        <v>151</v>
      </c>
      <c r="P1204" s="2" t="str">
        <f aca="false">CONCATENATE(N1204," ",O1204)</f>
        <v>Drassodes villosus</v>
      </c>
      <c r="Q1204" s="1" t="s">
        <v>30</v>
      </c>
      <c r="R1204" s="1" t="s">
        <v>31</v>
      </c>
      <c r="S1204" s="1" t="n">
        <v>1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0</v>
      </c>
      <c r="Y1204" s="3" t="n">
        <f aca="false">SUM(S1204:T1204)</f>
        <v>1</v>
      </c>
      <c r="Z1204" s="3" t="n">
        <f aca="false">SUM(U1204:W1204)</f>
        <v>0</v>
      </c>
      <c r="AA1204" s="3" t="n">
        <f aca="false">SUM(S1204:X1204)</f>
        <v>1</v>
      </c>
      <c r="AB1204" s="11" t="n">
        <f aca="false">(AA1204/(K1204*L1204)*25)*4</f>
        <v>4</v>
      </c>
    </row>
    <row r="1205" customFormat="false" ht="14.25" hidden="false" customHeight="false" outlineLevel="0" collapsed="false">
      <c r="A1205" s="1" t="n">
        <v>2009</v>
      </c>
      <c r="B1205" s="7" t="s">
        <v>322</v>
      </c>
      <c r="C1205" s="7" t="n">
        <v>3</v>
      </c>
      <c r="D1205" s="7" t="s">
        <v>294</v>
      </c>
      <c r="E1205" s="7" t="s">
        <v>294</v>
      </c>
      <c r="F1205" s="7" t="s">
        <v>158</v>
      </c>
      <c r="G1205" s="1" t="n">
        <v>1</v>
      </c>
      <c r="H1205" s="1" t="n">
        <v>1</v>
      </c>
      <c r="I1205" s="22" t="n">
        <v>40052</v>
      </c>
      <c r="J1205" s="22" t="n">
        <v>40057</v>
      </c>
      <c r="K1205" s="1" t="n">
        <v>5</v>
      </c>
      <c r="L1205" s="1" t="n">
        <v>5</v>
      </c>
      <c r="M1205" s="3" t="s">
        <v>32</v>
      </c>
      <c r="N1205" s="3" t="s">
        <v>68</v>
      </c>
      <c r="O1205" s="8" t="s">
        <v>69</v>
      </c>
      <c r="P1205" s="2" t="str">
        <f aca="false">CONCATENATE(N1205," ",O1205)</f>
        <v>Centromerus sylvaticus</v>
      </c>
      <c r="Q1205" s="1" t="s">
        <v>30</v>
      </c>
      <c r="R1205" s="1" t="s">
        <v>35</v>
      </c>
      <c r="S1205" s="1" t="n">
        <v>0</v>
      </c>
      <c r="T1205" s="1" t="n">
        <v>1</v>
      </c>
      <c r="U1205" s="1" t="n">
        <v>0</v>
      </c>
      <c r="V1205" s="1" t="n">
        <v>0</v>
      </c>
      <c r="W1205" s="1" t="n">
        <v>0</v>
      </c>
      <c r="X1205" s="1" t="n">
        <v>0</v>
      </c>
      <c r="Y1205" s="3" t="n">
        <f aca="false">SUM(S1205:T1205)</f>
        <v>1</v>
      </c>
      <c r="Z1205" s="3" t="n">
        <f aca="false">SUM(U1205:W1205)</f>
        <v>0</v>
      </c>
      <c r="AA1205" s="3" t="n">
        <f aca="false">SUM(S1205:X1205)</f>
        <v>1</v>
      </c>
      <c r="AB1205" s="11" t="n">
        <f aca="false">(AA1205/(K1205*L1205)*25)*4</f>
        <v>4</v>
      </c>
    </row>
    <row r="1206" customFormat="false" ht="14.25" hidden="false" customHeight="false" outlineLevel="0" collapsed="false">
      <c r="A1206" s="1" t="n">
        <v>2009</v>
      </c>
      <c r="B1206" s="7" t="s">
        <v>322</v>
      </c>
      <c r="C1206" s="7" t="n">
        <v>3</v>
      </c>
      <c r="D1206" s="7" t="s">
        <v>294</v>
      </c>
      <c r="E1206" s="7" t="s">
        <v>294</v>
      </c>
      <c r="F1206" s="7" t="s">
        <v>158</v>
      </c>
      <c r="G1206" s="1" t="n">
        <v>1</v>
      </c>
      <c r="H1206" s="1" t="n">
        <v>2</v>
      </c>
      <c r="I1206" s="22" t="n">
        <v>40052</v>
      </c>
      <c r="J1206" s="22" t="n">
        <v>40057</v>
      </c>
      <c r="K1206" s="1" t="n">
        <v>5</v>
      </c>
      <c r="L1206" s="1" t="n">
        <v>5</v>
      </c>
      <c r="M1206" s="3" t="s">
        <v>41</v>
      </c>
      <c r="N1206" s="3" t="s">
        <v>42</v>
      </c>
      <c r="O1206" s="3" t="s">
        <v>43</v>
      </c>
      <c r="P1206" s="2" t="str">
        <f aca="false">CONCATENATE(N1206," ",O1206)</f>
        <v>Agroeca proxima</v>
      </c>
      <c r="Q1206" s="1" t="s">
        <v>30</v>
      </c>
      <c r="R1206" s="1" t="s">
        <v>35</v>
      </c>
      <c r="S1206" s="1" t="n">
        <v>0</v>
      </c>
      <c r="T1206" s="1" t="n">
        <v>1</v>
      </c>
      <c r="U1206" s="1" t="n">
        <v>0</v>
      </c>
      <c r="V1206" s="1" t="n">
        <v>0</v>
      </c>
      <c r="W1206" s="1" t="n">
        <v>0</v>
      </c>
      <c r="X1206" s="1" t="n">
        <v>0</v>
      </c>
      <c r="Y1206" s="3" t="n">
        <f aca="false">SUM(S1206:T1206)</f>
        <v>1</v>
      </c>
      <c r="Z1206" s="3" t="n">
        <f aca="false">SUM(U1206:W1206)</f>
        <v>0</v>
      </c>
      <c r="AA1206" s="3" t="n">
        <f aca="false">SUM(S1206:X1206)</f>
        <v>1</v>
      </c>
      <c r="AB1206" s="11" t="n">
        <f aca="false">(AA1206/(K1206*L1206)*25)*4</f>
        <v>4</v>
      </c>
    </row>
    <row r="1207" customFormat="false" ht="14.25" hidden="false" customHeight="false" outlineLevel="0" collapsed="false">
      <c r="A1207" s="1" t="n">
        <v>2009</v>
      </c>
      <c r="B1207" s="7" t="s">
        <v>322</v>
      </c>
      <c r="C1207" s="7" t="n">
        <v>3</v>
      </c>
      <c r="D1207" s="7" t="s">
        <v>294</v>
      </c>
      <c r="E1207" s="7" t="s">
        <v>294</v>
      </c>
      <c r="F1207" s="7" t="s">
        <v>158</v>
      </c>
      <c r="G1207" s="1" t="n">
        <v>1</v>
      </c>
      <c r="H1207" s="1" t="n">
        <v>2</v>
      </c>
      <c r="I1207" s="22" t="n">
        <v>40052</v>
      </c>
      <c r="J1207" s="22" t="n">
        <v>40057</v>
      </c>
      <c r="K1207" s="1" t="n">
        <v>5</v>
      </c>
      <c r="L1207" s="1" t="n">
        <v>5</v>
      </c>
      <c r="M1207" s="3" t="s">
        <v>36</v>
      </c>
      <c r="N1207" s="3" t="s">
        <v>37</v>
      </c>
      <c r="O1207" s="8" t="s">
        <v>75</v>
      </c>
      <c r="P1207" s="2" t="str">
        <f aca="false">CONCATENATE(N1207," ",O1207)</f>
        <v>Ozyptila praticola</v>
      </c>
      <c r="Q1207" s="1" t="s">
        <v>30</v>
      </c>
      <c r="R1207" s="1" t="s">
        <v>31</v>
      </c>
      <c r="S1207" s="1" t="n">
        <v>1</v>
      </c>
      <c r="T1207" s="1" t="n">
        <v>0</v>
      </c>
      <c r="U1207" s="1" t="n">
        <v>0</v>
      </c>
      <c r="V1207" s="1" t="n">
        <v>0</v>
      </c>
      <c r="W1207" s="1" t="n">
        <v>0</v>
      </c>
      <c r="X1207" s="1" t="n">
        <v>0</v>
      </c>
      <c r="Y1207" s="3" t="n">
        <f aca="false">SUM(S1207:T1207)</f>
        <v>1</v>
      </c>
      <c r="Z1207" s="3" t="n">
        <f aca="false">SUM(U1207:W1207)</f>
        <v>0</v>
      </c>
      <c r="AA1207" s="3" t="n">
        <f aca="false">SUM(S1207:X1207)</f>
        <v>1</v>
      </c>
      <c r="AB1207" s="11" t="n">
        <f aca="false">(AA1207/(K1207*L1207)*25)*4</f>
        <v>4</v>
      </c>
    </row>
    <row r="1208" customFormat="false" ht="14.25" hidden="false" customHeight="false" outlineLevel="0" collapsed="false">
      <c r="A1208" s="1" t="n">
        <v>2009</v>
      </c>
      <c r="B1208" s="7" t="s">
        <v>322</v>
      </c>
      <c r="C1208" s="7" t="n">
        <v>3</v>
      </c>
      <c r="D1208" s="7" t="s">
        <v>294</v>
      </c>
      <c r="E1208" s="7" t="s">
        <v>294</v>
      </c>
      <c r="F1208" s="7" t="s">
        <v>158</v>
      </c>
      <c r="G1208" s="1" t="n">
        <v>1</v>
      </c>
      <c r="H1208" s="1" t="n">
        <v>3</v>
      </c>
      <c r="I1208" s="22" t="n">
        <v>40052</v>
      </c>
      <c r="J1208" s="22" t="n">
        <v>40057</v>
      </c>
      <c r="K1208" s="1" t="n">
        <v>5</v>
      </c>
      <c r="L1208" s="1" t="n">
        <v>5</v>
      </c>
      <c r="M1208" s="3" t="s">
        <v>48</v>
      </c>
      <c r="N1208" s="3" t="s">
        <v>61</v>
      </c>
      <c r="O1208" s="3" t="s">
        <v>82</v>
      </c>
      <c r="P1208" s="2" t="str">
        <f aca="false">CONCATENATE(N1208," ",O1208)</f>
        <v>Trochosa terricola</v>
      </c>
      <c r="Q1208" s="1" t="s">
        <v>30</v>
      </c>
      <c r="R1208" s="1" t="s">
        <v>35</v>
      </c>
      <c r="S1208" s="1" t="n">
        <v>0</v>
      </c>
      <c r="T1208" s="1" t="n">
        <v>1</v>
      </c>
      <c r="U1208" s="1" t="n">
        <v>0</v>
      </c>
      <c r="V1208" s="1" t="n">
        <v>0</v>
      </c>
      <c r="W1208" s="1" t="n">
        <v>0</v>
      </c>
      <c r="X1208" s="1" t="n">
        <v>0</v>
      </c>
      <c r="Y1208" s="3" t="n">
        <f aca="false">SUM(S1208:T1208)</f>
        <v>1</v>
      </c>
      <c r="Z1208" s="3" t="n">
        <f aca="false">SUM(U1208:W1208)</f>
        <v>0</v>
      </c>
      <c r="AA1208" s="3" t="n">
        <f aca="false">SUM(S1208:X1208)</f>
        <v>1</v>
      </c>
      <c r="AB1208" s="11" t="n">
        <f aca="false">(AA1208/(K1208*L1208)*25)*4</f>
        <v>4</v>
      </c>
    </row>
    <row r="1209" customFormat="false" ht="14.25" hidden="false" customHeight="false" outlineLevel="0" collapsed="false">
      <c r="A1209" s="1" t="n">
        <v>2009</v>
      </c>
      <c r="B1209" s="7" t="s">
        <v>322</v>
      </c>
      <c r="C1209" s="7" t="n">
        <v>3</v>
      </c>
      <c r="D1209" s="7" t="s">
        <v>294</v>
      </c>
      <c r="E1209" s="7" t="s">
        <v>294</v>
      </c>
      <c r="F1209" s="7" t="s">
        <v>158</v>
      </c>
      <c r="G1209" s="1" t="n">
        <v>1</v>
      </c>
      <c r="H1209" s="1" t="n">
        <v>3</v>
      </c>
      <c r="I1209" s="22" t="n">
        <v>40052</v>
      </c>
      <c r="J1209" s="22" t="n">
        <v>40057</v>
      </c>
      <c r="K1209" s="1" t="n">
        <v>5</v>
      </c>
      <c r="L1209" s="1" t="n">
        <v>5</v>
      </c>
      <c r="M1209" s="3" t="s">
        <v>36</v>
      </c>
      <c r="N1209" s="3" t="s">
        <v>37</v>
      </c>
      <c r="O1209" s="8" t="s">
        <v>75</v>
      </c>
      <c r="P1209" s="2" t="str">
        <f aca="false">CONCATENATE(N1209," ",O1209)</f>
        <v>Ozyptila praticola</v>
      </c>
      <c r="Q1209" s="1" t="s">
        <v>30</v>
      </c>
      <c r="R1209" s="1" t="s">
        <v>31</v>
      </c>
      <c r="S1209" s="1" t="n">
        <v>1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0</v>
      </c>
      <c r="Y1209" s="3" t="n">
        <f aca="false">SUM(S1209:T1209)</f>
        <v>1</v>
      </c>
      <c r="Z1209" s="3" t="n">
        <f aca="false">SUM(U1209:W1209)</f>
        <v>0</v>
      </c>
      <c r="AA1209" s="3" t="n">
        <f aca="false">SUM(S1209:X1209)</f>
        <v>1</v>
      </c>
      <c r="AB1209" s="11" t="n">
        <f aca="false">(AA1209/(K1209*L1209)*25)*4</f>
        <v>4</v>
      </c>
    </row>
    <row r="1210" customFormat="false" ht="14.25" hidden="false" customHeight="false" outlineLevel="0" collapsed="false">
      <c r="A1210" s="1" t="n">
        <v>2009</v>
      </c>
      <c r="B1210" s="7" t="s">
        <v>322</v>
      </c>
      <c r="C1210" s="7" t="n">
        <v>3</v>
      </c>
      <c r="D1210" s="7" t="s">
        <v>294</v>
      </c>
      <c r="E1210" s="7" t="s">
        <v>294</v>
      </c>
      <c r="F1210" s="7" t="s">
        <v>158</v>
      </c>
      <c r="G1210" s="1" t="n">
        <v>1</v>
      </c>
      <c r="H1210" s="1" t="n">
        <v>3</v>
      </c>
      <c r="I1210" s="22" t="n">
        <v>40052</v>
      </c>
      <c r="J1210" s="22" t="n">
        <v>40057</v>
      </c>
      <c r="K1210" s="1" t="n">
        <v>5</v>
      </c>
      <c r="L1210" s="1" t="n">
        <v>5</v>
      </c>
      <c r="M1210" s="3" t="s">
        <v>32</v>
      </c>
      <c r="N1210" s="3" t="s">
        <v>68</v>
      </c>
      <c r="O1210" s="8" t="s">
        <v>69</v>
      </c>
      <c r="P1210" s="2" t="str">
        <f aca="false">CONCATENATE(N1210," ",O1210)</f>
        <v>Centromerus sylvaticus</v>
      </c>
      <c r="Q1210" s="1" t="s">
        <v>30</v>
      </c>
      <c r="R1210" s="1" t="s">
        <v>35</v>
      </c>
      <c r="S1210" s="1" t="n">
        <v>0</v>
      </c>
      <c r="T1210" s="1" t="n">
        <v>1</v>
      </c>
      <c r="U1210" s="1" t="n">
        <v>0</v>
      </c>
      <c r="V1210" s="1" t="n">
        <v>0</v>
      </c>
      <c r="W1210" s="1" t="n">
        <v>0</v>
      </c>
      <c r="X1210" s="1" t="n">
        <v>0</v>
      </c>
      <c r="Y1210" s="3" t="n">
        <f aca="false">SUM(S1210:T1210)</f>
        <v>1</v>
      </c>
      <c r="Z1210" s="3" t="n">
        <f aca="false">SUM(U1210:W1210)</f>
        <v>0</v>
      </c>
      <c r="AA1210" s="3" t="n">
        <f aca="false">SUM(S1210:X1210)</f>
        <v>1</v>
      </c>
      <c r="AB1210" s="11" t="n">
        <f aca="false">(AA1210/(K1210*L1210)*25)*4</f>
        <v>4</v>
      </c>
    </row>
    <row r="1211" customFormat="false" ht="14.25" hidden="false" customHeight="false" outlineLevel="0" collapsed="false">
      <c r="A1211" s="1" t="n">
        <v>2009</v>
      </c>
      <c r="B1211" s="7" t="s">
        <v>322</v>
      </c>
      <c r="C1211" s="7" t="n">
        <v>3</v>
      </c>
      <c r="D1211" s="7" t="s">
        <v>294</v>
      </c>
      <c r="E1211" s="7" t="s">
        <v>294</v>
      </c>
      <c r="F1211" s="7" t="s">
        <v>158</v>
      </c>
      <c r="G1211" s="1" t="n">
        <v>1</v>
      </c>
      <c r="H1211" s="1" t="n">
        <v>4</v>
      </c>
      <c r="I1211" s="22" t="n">
        <v>40052</v>
      </c>
      <c r="J1211" s="22" t="n">
        <v>40057</v>
      </c>
      <c r="K1211" s="1" t="n">
        <v>5</v>
      </c>
      <c r="L1211" s="1" t="n">
        <v>5</v>
      </c>
      <c r="M1211" s="3" t="s">
        <v>41</v>
      </c>
      <c r="N1211" s="3" t="s">
        <v>42</v>
      </c>
      <c r="O1211" s="3" t="s">
        <v>43</v>
      </c>
      <c r="P1211" s="2" t="str">
        <f aca="false">CONCATENATE(N1211," ",O1211)</f>
        <v>Agroeca proxima</v>
      </c>
      <c r="Q1211" s="1" t="s">
        <v>30</v>
      </c>
      <c r="R1211" s="1" t="s">
        <v>35</v>
      </c>
      <c r="S1211" s="1" t="n">
        <v>0</v>
      </c>
      <c r="T1211" s="1" t="n">
        <v>1</v>
      </c>
      <c r="U1211" s="1" t="n">
        <v>0</v>
      </c>
      <c r="V1211" s="1" t="n">
        <v>0</v>
      </c>
      <c r="W1211" s="1" t="n">
        <v>0</v>
      </c>
      <c r="X1211" s="1" t="n">
        <v>0</v>
      </c>
      <c r="Y1211" s="3" t="n">
        <f aca="false">SUM(S1211:T1211)</f>
        <v>1</v>
      </c>
      <c r="Z1211" s="3" t="n">
        <f aca="false">SUM(U1211:W1211)</f>
        <v>0</v>
      </c>
      <c r="AA1211" s="3" t="n">
        <f aca="false">SUM(S1211:X1211)</f>
        <v>1</v>
      </c>
      <c r="AB1211" s="11" t="n">
        <f aca="false">(AA1211/(K1211*L1211)*25)*4</f>
        <v>4</v>
      </c>
    </row>
    <row r="1212" customFormat="false" ht="14.25" hidden="false" customHeight="false" outlineLevel="0" collapsed="false">
      <c r="A1212" s="1" t="n">
        <v>2009</v>
      </c>
      <c r="B1212" s="7" t="s">
        <v>322</v>
      </c>
      <c r="C1212" s="7" t="n">
        <v>3</v>
      </c>
      <c r="D1212" s="7" t="s">
        <v>294</v>
      </c>
      <c r="E1212" s="7" t="s">
        <v>294</v>
      </c>
      <c r="F1212" s="7" t="s">
        <v>158</v>
      </c>
      <c r="G1212" s="1" t="n">
        <v>1</v>
      </c>
      <c r="H1212" s="1" t="n">
        <v>4</v>
      </c>
      <c r="I1212" s="22" t="n">
        <v>40052</v>
      </c>
      <c r="J1212" s="22" t="n">
        <v>40057</v>
      </c>
      <c r="K1212" s="1" t="n">
        <v>5</v>
      </c>
      <c r="L1212" s="1" t="n">
        <v>5</v>
      </c>
      <c r="M1212" s="3" t="s">
        <v>32</v>
      </c>
      <c r="N1212" s="3" t="s">
        <v>68</v>
      </c>
      <c r="O1212" s="8" t="s">
        <v>69</v>
      </c>
      <c r="P1212" s="2" t="str">
        <f aca="false">CONCATENATE(N1212," ",O1212)</f>
        <v>Centromerus sylvaticus</v>
      </c>
      <c r="Q1212" s="1" t="s">
        <v>30</v>
      </c>
      <c r="R1212" s="1" t="s">
        <v>35</v>
      </c>
      <c r="S1212" s="1" t="n">
        <v>0</v>
      </c>
      <c r="T1212" s="1" t="n">
        <v>1</v>
      </c>
      <c r="U1212" s="1" t="n">
        <v>0</v>
      </c>
      <c r="V1212" s="1" t="n">
        <v>0</v>
      </c>
      <c r="W1212" s="1" t="n">
        <v>0</v>
      </c>
      <c r="X1212" s="1" t="n">
        <v>0</v>
      </c>
      <c r="Y1212" s="3" t="n">
        <f aca="false">SUM(S1212:T1212)</f>
        <v>1</v>
      </c>
      <c r="Z1212" s="3" t="n">
        <f aca="false">SUM(U1212:W1212)</f>
        <v>0</v>
      </c>
      <c r="AA1212" s="3" t="n">
        <f aca="false">SUM(S1212:X1212)</f>
        <v>1</v>
      </c>
      <c r="AB1212" s="11" t="n">
        <f aca="false">(AA1212/(K1212*L1212)*25)*4</f>
        <v>4</v>
      </c>
    </row>
    <row r="1213" customFormat="false" ht="14.25" hidden="false" customHeight="false" outlineLevel="0" collapsed="false">
      <c r="A1213" s="1" t="n">
        <v>2009</v>
      </c>
      <c r="B1213" s="7" t="s">
        <v>322</v>
      </c>
      <c r="C1213" s="7" t="n">
        <v>3</v>
      </c>
      <c r="D1213" s="7" t="s">
        <v>294</v>
      </c>
      <c r="E1213" s="7" t="s">
        <v>294</v>
      </c>
      <c r="F1213" s="7" t="s">
        <v>158</v>
      </c>
      <c r="G1213" s="1" t="n">
        <v>1</v>
      </c>
      <c r="H1213" s="1" t="n">
        <v>5</v>
      </c>
      <c r="I1213" s="22" t="n">
        <v>40052</v>
      </c>
      <c r="J1213" s="22" t="n">
        <v>40057</v>
      </c>
      <c r="K1213" s="1" t="n">
        <v>5</v>
      </c>
      <c r="L1213" s="1" t="n">
        <v>5</v>
      </c>
      <c r="M1213" s="3" t="s">
        <v>41</v>
      </c>
      <c r="N1213" s="3" t="s">
        <v>42</v>
      </c>
      <c r="O1213" s="3" t="s">
        <v>43</v>
      </c>
      <c r="P1213" s="2" t="str">
        <f aca="false">CONCATENATE(N1213," ",O1213)</f>
        <v>Agroeca proxima</v>
      </c>
      <c r="Q1213" s="1" t="s">
        <v>30</v>
      </c>
      <c r="R1213" s="1" t="s">
        <v>31</v>
      </c>
      <c r="S1213" s="1" t="n">
        <v>2</v>
      </c>
      <c r="T1213" s="1" t="n">
        <v>0</v>
      </c>
      <c r="U1213" s="1" t="n">
        <v>0</v>
      </c>
      <c r="V1213" s="1" t="n">
        <v>0</v>
      </c>
      <c r="W1213" s="1" t="n">
        <v>0</v>
      </c>
      <c r="X1213" s="1" t="n">
        <v>0</v>
      </c>
      <c r="Y1213" s="3" t="n">
        <f aca="false">SUM(S1213:T1213)</f>
        <v>2</v>
      </c>
      <c r="Z1213" s="3" t="n">
        <f aca="false">SUM(U1213:W1213)</f>
        <v>0</v>
      </c>
      <c r="AA1213" s="3" t="n">
        <f aca="false">SUM(S1213:X1213)</f>
        <v>2</v>
      </c>
      <c r="AB1213" s="11" t="n">
        <f aca="false">(AA1213/(K1213*L1213)*25)*4</f>
        <v>8</v>
      </c>
    </row>
    <row r="1214" customFormat="false" ht="14.25" hidden="false" customHeight="false" outlineLevel="0" collapsed="false">
      <c r="A1214" s="1" t="n">
        <v>2009</v>
      </c>
      <c r="B1214" s="7" t="s">
        <v>322</v>
      </c>
      <c r="C1214" s="7" t="n">
        <v>3</v>
      </c>
      <c r="D1214" s="7" t="s">
        <v>294</v>
      </c>
      <c r="E1214" s="7" t="s">
        <v>294</v>
      </c>
      <c r="F1214" s="7" t="s">
        <v>158</v>
      </c>
      <c r="G1214" s="1" t="n">
        <v>1</v>
      </c>
      <c r="H1214" s="1" t="n">
        <v>5</v>
      </c>
      <c r="I1214" s="22" t="n">
        <v>40052</v>
      </c>
      <c r="J1214" s="22" t="n">
        <v>40057</v>
      </c>
      <c r="K1214" s="1" t="n">
        <v>5</v>
      </c>
      <c r="L1214" s="1" t="n">
        <v>5</v>
      </c>
      <c r="M1214" s="3" t="s">
        <v>41</v>
      </c>
      <c r="N1214" s="3" t="s">
        <v>42</v>
      </c>
      <c r="O1214" s="3" t="s">
        <v>43</v>
      </c>
      <c r="P1214" s="2" t="str">
        <f aca="false">CONCATENATE(N1214," ",O1214)</f>
        <v>Agroeca proxima</v>
      </c>
      <c r="Q1214" s="1" t="s">
        <v>30</v>
      </c>
      <c r="R1214" s="1" t="s">
        <v>35</v>
      </c>
      <c r="S1214" s="1" t="n">
        <v>0</v>
      </c>
      <c r="T1214" s="1" t="n">
        <v>1</v>
      </c>
      <c r="U1214" s="1" t="n">
        <v>0</v>
      </c>
      <c r="V1214" s="1" t="n">
        <v>0</v>
      </c>
      <c r="W1214" s="1" t="n">
        <v>0</v>
      </c>
      <c r="X1214" s="1" t="n">
        <v>0</v>
      </c>
      <c r="Y1214" s="3" t="n">
        <f aca="false">SUM(S1214:T1214)</f>
        <v>1</v>
      </c>
      <c r="Z1214" s="3" t="n">
        <f aca="false">SUM(U1214:W1214)</f>
        <v>0</v>
      </c>
      <c r="AA1214" s="3" t="n">
        <f aca="false">SUM(S1214:X1214)</f>
        <v>1</v>
      </c>
      <c r="AB1214" s="11" t="n">
        <f aca="false">(AA1214/(K1214*L1214)*25)*4</f>
        <v>4</v>
      </c>
    </row>
    <row r="1215" customFormat="false" ht="14.25" hidden="false" customHeight="false" outlineLevel="0" collapsed="false">
      <c r="A1215" s="1" t="n">
        <v>2009</v>
      </c>
      <c r="B1215" s="7" t="s">
        <v>322</v>
      </c>
      <c r="C1215" s="7" t="n">
        <v>3</v>
      </c>
      <c r="D1215" s="7" t="s">
        <v>294</v>
      </c>
      <c r="E1215" s="7" t="s">
        <v>294</v>
      </c>
      <c r="F1215" s="7" t="s">
        <v>158</v>
      </c>
      <c r="G1215" s="1" t="n">
        <v>2</v>
      </c>
      <c r="H1215" s="1" t="n">
        <v>7</v>
      </c>
      <c r="I1215" s="22" t="n">
        <v>40052</v>
      </c>
      <c r="J1215" s="22" t="n">
        <v>40057</v>
      </c>
      <c r="K1215" s="1" t="n">
        <v>5</v>
      </c>
      <c r="L1215" s="1" t="n">
        <v>5</v>
      </c>
      <c r="M1215" s="3" t="s">
        <v>41</v>
      </c>
      <c r="N1215" s="3" t="s">
        <v>42</v>
      </c>
      <c r="O1215" s="3" t="s">
        <v>43</v>
      </c>
      <c r="P1215" s="2" t="str">
        <f aca="false">CONCATENATE(N1215," ",O1215)</f>
        <v>Agroeca proxima</v>
      </c>
      <c r="Q1215" s="1" t="s">
        <v>30</v>
      </c>
      <c r="R1215" s="1" t="s">
        <v>31</v>
      </c>
      <c r="S1215" s="1" t="n">
        <v>1</v>
      </c>
      <c r="T1215" s="1" t="n">
        <v>0</v>
      </c>
      <c r="U1215" s="1" t="n">
        <v>0</v>
      </c>
      <c r="V1215" s="1" t="n">
        <v>0</v>
      </c>
      <c r="W1215" s="1" t="n">
        <v>0</v>
      </c>
      <c r="X1215" s="1" t="n">
        <v>0</v>
      </c>
      <c r="Y1215" s="3" t="n">
        <f aca="false">SUM(S1215:T1215)</f>
        <v>1</v>
      </c>
      <c r="Z1215" s="3" t="n">
        <f aca="false">SUM(U1215:W1215)</f>
        <v>0</v>
      </c>
      <c r="AA1215" s="3" t="n">
        <f aca="false">SUM(S1215:X1215)</f>
        <v>1</v>
      </c>
      <c r="AB1215" s="11" t="n">
        <f aca="false">(AA1215/(K1215*L1215)*25)*4</f>
        <v>4</v>
      </c>
    </row>
    <row r="1216" customFormat="false" ht="14.25" hidden="false" customHeight="false" outlineLevel="0" collapsed="false">
      <c r="A1216" s="1" t="n">
        <v>2009</v>
      </c>
      <c r="B1216" s="7" t="s">
        <v>322</v>
      </c>
      <c r="C1216" s="7" t="n">
        <v>3</v>
      </c>
      <c r="D1216" s="7" t="s">
        <v>294</v>
      </c>
      <c r="E1216" s="7" t="s">
        <v>294</v>
      </c>
      <c r="F1216" s="7" t="s">
        <v>158</v>
      </c>
      <c r="G1216" s="1" t="n">
        <v>2</v>
      </c>
      <c r="H1216" s="1" t="n">
        <v>8</v>
      </c>
      <c r="I1216" s="22" t="n">
        <v>40052</v>
      </c>
      <c r="J1216" s="22" t="n">
        <v>40057</v>
      </c>
      <c r="K1216" s="1" t="n">
        <v>5</v>
      </c>
      <c r="L1216" s="1" t="n">
        <v>5</v>
      </c>
      <c r="M1216" s="3" t="s">
        <v>32</v>
      </c>
      <c r="N1216" s="3" t="s">
        <v>39</v>
      </c>
      <c r="O1216" s="3" t="s">
        <v>40</v>
      </c>
      <c r="P1216" s="2" t="str">
        <f aca="false">CONCATENATE(N1216," ",O1216)</f>
        <v>Helophora insignis</v>
      </c>
      <c r="Q1216" s="1" t="s">
        <v>30</v>
      </c>
      <c r="R1216" s="1" t="s">
        <v>31</v>
      </c>
      <c r="S1216" s="1" t="n">
        <v>1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0</v>
      </c>
      <c r="Y1216" s="3" t="n">
        <f aca="false">SUM(S1216:T1216)</f>
        <v>1</v>
      </c>
      <c r="Z1216" s="3" t="n">
        <f aca="false">SUM(U1216:W1216)</f>
        <v>0</v>
      </c>
      <c r="AA1216" s="3" t="n">
        <f aca="false">SUM(S1216:X1216)</f>
        <v>1</v>
      </c>
      <c r="AB1216" s="11" t="n">
        <f aca="false">(AA1216/(K1216*L1216)*25)*4</f>
        <v>4</v>
      </c>
    </row>
    <row r="1217" customFormat="false" ht="14.25" hidden="false" customHeight="false" outlineLevel="0" collapsed="false">
      <c r="A1217" s="1" t="n">
        <v>2009</v>
      </c>
      <c r="B1217" s="7" t="s">
        <v>322</v>
      </c>
      <c r="C1217" s="7" t="n">
        <v>3</v>
      </c>
      <c r="D1217" s="7" t="s">
        <v>294</v>
      </c>
      <c r="E1217" s="7" t="s">
        <v>294</v>
      </c>
      <c r="F1217" s="7" t="s">
        <v>158</v>
      </c>
      <c r="G1217" s="1" t="n">
        <v>2</v>
      </c>
      <c r="H1217" s="1" t="n">
        <v>8</v>
      </c>
      <c r="I1217" s="22" t="n">
        <v>40052</v>
      </c>
      <c r="J1217" s="22" t="n">
        <v>40057</v>
      </c>
      <c r="K1217" s="1" t="n">
        <v>5</v>
      </c>
      <c r="L1217" s="1" t="n">
        <v>5</v>
      </c>
      <c r="M1217" s="3" t="s">
        <v>32</v>
      </c>
      <c r="N1217" s="3" t="s">
        <v>33</v>
      </c>
      <c r="O1217" s="3" t="s">
        <v>81</v>
      </c>
      <c r="P1217" s="2" t="str">
        <f aca="false">CONCATENATE(N1217," ",O1217)</f>
        <v>Tenuiphantes mengei</v>
      </c>
      <c r="Q1217" s="1" t="s">
        <v>30</v>
      </c>
      <c r="R1217" s="1" t="s">
        <v>35</v>
      </c>
      <c r="S1217" s="1" t="n">
        <v>0</v>
      </c>
      <c r="T1217" s="1" t="n">
        <v>1</v>
      </c>
      <c r="U1217" s="1" t="n">
        <v>0</v>
      </c>
      <c r="V1217" s="1" t="n">
        <v>0</v>
      </c>
      <c r="W1217" s="1" t="n">
        <v>0</v>
      </c>
      <c r="X1217" s="1" t="n">
        <v>0</v>
      </c>
      <c r="Y1217" s="3" t="n">
        <f aca="false">SUM(S1217:T1217)</f>
        <v>1</v>
      </c>
      <c r="Z1217" s="3" t="n">
        <f aca="false">SUM(U1217:W1217)</f>
        <v>0</v>
      </c>
      <c r="AA1217" s="3" t="n">
        <f aca="false">SUM(S1217:X1217)</f>
        <v>1</v>
      </c>
      <c r="AB1217" s="11" t="n">
        <f aca="false">(AA1217/(K1217*L1217)*25)*4</f>
        <v>4</v>
      </c>
    </row>
    <row r="1218" customFormat="false" ht="14.25" hidden="false" customHeight="false" outlineLevel="0" collapsed="false">
      <c r="A1218" s="1" t="n">
        <v>2009</v>
      </c>
      <c r="B1218" s="7" t="s">
        <v>322</v>
      </c>
      <c r="C1218" s="7" t="n">
        <v>3</v>
      </c>
      <c r="D1218" s="7" t="s">
        <v>294</v>
      </c>
      <c r="E1218" s="7" t="s">
        <v>294</v>
      </c>
      <c r="F1218" s="7" t="s">
        <v>158</v>
      </c>
      <c r="G1218" s="1" t="n">
        <v>2</v>
      </c>
      <c r="H1218" s="1" t="n">
        <v>10</v>
      </c>
      <c r="I1218" s="22" t="n">
        <v>40052</v>
      </c>
      <c r="J1218" s="22" t="n">
        <v>40057</v>
      </c>
      <c r="K1218" s="1" t="n">
        <v>5</v>
      </c>
      <c r="L1218" s="1" t="n">
        <v>5</v>
      </c>
      <c r="M1218" s="3" t="s">
        <v>36</v>
      </c>
      <c r="N1218" s="3" t="s">
        <v>37</v>
      </c>
      <c r="O1218" s="8" t="s">
        <v>75</v>
      </c>
      <c r="P1218" s="2" t="str">
        <f aca="false">CONCATENATE(N1218," ",O1218)</f>
        <v>Ozyptila praticola</v>
      </c>
      <c r="Q1218" s="1" t="s">
        <v>30</v>
      </c>
      <c r="R1218" s="1" t="s">
        <v>31</v>
      </c>
      <c r="S1218" s="1" t="n">
        <v>1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0</v>
      </c>
      <c r="Y1218" s="3" t="n">
        <f aca="false">SUM(S1218:T1218)</f>
        <v>1</v>
      </c>
      <c r="Z1218" s="3" t="n">
        <f aca="false">SUM(U1218:W1218)</f>
        <v>0</v>
      </c>
      <c r="AA1218" s="3" t="n">
        <f aca="false">SUM(S1218:X1218)</f>
        <v>1</v>
      </c>
      <c r="AB1218" s="11" t="n">
        <f aca="false">(AA1218/(K1218*L1218)*25)*4</f>
        <v>4</v>
      </c>
    </row>
    <row r="1219" customFormat="false" ht="14.25" hidden="false" customHeight="false" outlineLevel="0" collapsed="false">
      <c r="A1219" s="1" t="n">
        <v>2009</v>
      </c>
      <c r="B1219" s="7" t="s">
        <v>322</v>
      </c>
      <c r="C1219" s="7" t="n">
        <v>3</v>
      </c>
      <c r="D1219" s="7" t="s">
        <v>294</v>
      </c>
      <c r="E1219" s="7" t="s">
        <v>294</v>
      </c>
      <c r="F1219" s="7" t="s">
        <v>158</v>
      </c>
      <c r="G1219" s="1" t="n">
        <v>2</v>
      </c>
      <c r="H1219" s="1" t="n">
        <v>10</v>
      </c>
      <c r="I1219" s="22" t="n">
        <v>40052</v>
      </c>
      <c r="J1219" s="22" t="n">
        <v>40057</v>
      </c>
      <c r="K1219" s="1" t="n">
        <v>5</v>
      </c>
      <c r="L1219" s="1" t="n">
        <v>5</v>
      </c>
      <c r="M1219" s="3" t="s">
        <v>36</v>
      </c>
      <c r="N1219" s="3" t="s">
        <v>37</v>
      </c>
      <c r="O1219" s="8" t="s">
        <v>75</v>
      </c>
      <c r="P1219" s="2" t="str">
        <f aca="false">CONCATENATE(N1219," ",O1219)</f>
        <v>Ozyptila praticola</v>
      </c>
      <c r="Q1219" s="1" t="s">
        <v>30</v>
      </c>
      <c r="R1219" s="1" t="s">
        <v>35</v>
      </c>
      <c r="S1219" s="1" t="n">
        <v>0</v>
      </c>
      <c r="T1219" s="1" t="n">
        <v>1</v>
      </c>
      <c r="U1219" s="1" t="n">
        <v>0</v>
      </c>
      <c r="V1219" s="1" t="n">
        <v>0</v>
      </c>
      <c r="W1219" s="1" t="n">
        <v>0</v>
      </c>
      <c r="X1219" s="1" t="n">
        <v>0</v>
      </c>
      <c r="Y1219" s="3" t="n">
        <f aca="false">SUM(S1219:T1219)</f>
        <v>1</v>
      </c>
      <c r="Z1219" s="3" t="n">
        <f aca="false">SUM(U1219:W1219)</f>
        <v>0</v>
      </c>
      <c r="AA1219" s="3" t="n">
        <f aca="false">SUM(S1219:X1219)</f>
        <v>1</v>
      </c>
      <c r="AB1219" s="11" t="n">
        <f aca="false">(AA1219/(K1219*L1219)*25)*4</f>
        <v>4</v>
      </c>
    </row>
    <row r="1220" customFormat="false" ht="14.25" hidden="false" customHeight="false" outlineLevel="0" collapsed="false">
      <c r="A1220" s="1" t="n">
        <v>2009</v>
      </c>
      <c r="B1220" s="7" t="s">
        <v>322</v>
      </c>
      <c r="C1220" s="7" t="n">
        <v>3</v>
      </c>
      <c r="D1220" s="7" t="s">
        <v>294</v>
      </c>
      <c r="E1220" s="7" t="s">
        <v>294</v>
      </c>
      <c r="F1220" s="7" t="s">
        <v>158</v>
      </c>
      <c r="G1220" s="1" t="n">
        <v>2</v>
      </c>
      <c r="H1220" s="1" t="n">
        <v>10</v>
      </c>
      <c r="I1220" s="22" t="n">
        <v>40052</v>
      </c>
      <c r="J1220" s="22" t="n">
        <v>40057</v>
      </c>
      <c r="K1220" s="1" t="n">
        <v>5</v>
      </c>
      <c r="L1220" s="1" t="n">
        <v>5</v>
      </c>
      <c r="M1220" s="13" t="s">
        <v>32</v>
      </c>
      <c r="N1220" s="13" t="s">
        <v>96</v>
      </c>
      <c r="O1220" s="14" t="s">
        <v>97</v>
      </c>
      <c r="P1220" s="2" t="str">
        <f aca="false">CONCATENATE(N1220," ",O1220)</f>
        <v>Diplocephalus picinus</v>
      </c>
      <c r="Q1220" s="1" t="s">
        <v>30</v>
      </c>
      <c r="R1220" s="1" t="s">
        <v>35</v>
      </c>
      <c r="S1220" s="1" t="n">
        <v>0</v>
      </c>
      <c r="T1220" s="1" t="n">
        <v>1</v>
      </c>
      <c r="U1220" s="1" t="n">
        <v>0</v>
      </c>
      <c r="V1220" s="1" t="n">
        <v>0</v>
      </c>
      <c r="W1220" s="1" t="n">
        <v>0</v>
      </c>
      <c r="X1220" s="1" t="n">
        <v>0</v>
      </c>
      <c r="Y1220" s="3" t="n">
        <f aca="false">SUM(S1220:T1220)</f>
        <v>1</v>
      </c>
      <c r="Z1220" s="3" t="n">
        <f aca="false">SUM(U1220:W1220)</f>
        <v>0</v>
      </c>
      <c r="AA1220" s="3" t="n">
        <f aca="false">SUM(S1220:X1220)</f>
        <v>1</v>
      </c>
      <c r="AB1220" s="11" t="n">
        <f aca="false">(AA1220/(K1220*L1220)*25)*4</f>
        <v>4</v>
      </c>
    </row>
    <row r="1221" customFormat="false" ht="14.25" hidden="false" customHeight="false" outlineLevel="0" collapsed="false">
      <c r="A1221" s="1" t="n">
        <v>2009</v>
      </c>
      <c r="B1221" s="7" t="s">
        <v>322</v>
      </c>
      <c r="C1221" s="7" t="n">
        <v>3</v>
      </c>
      <c r="D1221" s="7" t="s">
        <v>294</v>
      </c>
      <c r="E1221" s="7" t="s">
        <v>294</v>
      </c>
      <c r="F1221" s="7" t="s">
        <v>158</v>
      </c>
      <c r="G1221" s="1" t="n">
        <v>3</v>
      </c>
      <c r="H1221" s="1" t="n">
        <v>11</v>
      </c>
      <c r="I1221" s="22" t="n">
        <v>40052</v>
      </c>
      <c r="J1221" s="22" t="n">
        <v>40057</v>
      </c>
      <c r="K1221" s="1" t="n">
        <v>5</v>
      </c>
      <c r="L1221" s="1" t="n">
        <v>5</v>
      </c>
      <c r="M1221" s="3" t="s">
        <v>32</v>
      </c>
      <c r="N1221" s="3" t="s">
        <v>68</v>
      </c>
      <c r="O1221" s="8" t="s">
        <v>69</v>
      </c>
      <c r="P1221" s="2" t="str">
        <f aca="false">CONCATENATE(N1221," ",O1221)</f>
        <v>Centromerus sylvaticus</v>
      </c>
      <c r="Q1221" s="1" t="s">
        <v>30</v>
      </c>
      <c r="R1221" s="1" t="s">
        <v>31</v>
      </c>
      <c r="S1221" s="1" t="n">
        <v>1</v>
      </c>
      <c r="T1221" s="1" t="n">
        <v>0</v>
      </c>
      <c r="U1221" s="1" t="n">
        <v>0</v>
      </c>
      <c r="V1221" s="1" t="n">
        <v>0</v>
      </c>
      <c r="W1221" s="1" t="n">
        <v>0</v>
      </c>
      <c r="X1221" s="1" t="n">
        <v>0</v>
      </c>
      <c r="Y1221" s="3" t="n">
        <f aca="false">SUM(S1221:T1221)</f>
        <v>1</v>
      </c>
      <c r="Z1221" s="3" t="n">
        <f aca="false">SUM(U1221:W1221)</f>
        <v>0</v>
      </c>
      <c r="AA1221" s="3" t="n">
        <f aca="false">SUM(S1221:X1221)</f>
        <v>1</v>
      </c>
      <c r="AB1221" s="11" t="n">
        <f aca="false">(AA1221/(K1221*L1221)*25)*4</f>
        <v>4</v>
      </c>
    </row>
    <row r="1222" customFormat="false" ht="14.25" hidden="false" customHeight="false" outlineLevel="0" collapsed="false">
      <c r="A1222" s="1" t="n">
        <v>2009</v>
      </c>
      <c r="B1222" s="7" t="s">
        <v>322</v>
      </c>
      <c r="C1222" s="7" t="n">
        <v>3</v>
      </c>
      <c r="D1222" s="7" t="s">
        <v>294</v>
      </c>
      <c r="E1222" s="7" t="s">
        <v>294</v>
      </c>
      <c r="F1222" s="7" t="s">
        <v>158</v>
      </c>
      <c r="G1222" s="1" t="n">
        <v>3</v>
      </c>
      <c r="H1222" s="1" t="n">
        <v>12</v>
      </c>
      <c r="I1222" s="22" t="n">
        <v>40052</v>
      </c>
      <c r="J1222" s="22" t="n">
        <v>40057</v>
      </c>
      <c r="K1222" s="1" t="n">
        <v>5</v>
      </c>
      <c r="L1222" s="1" t="n">
        <v>5</v>
      </c>
      <c r="M1222" s="3" t="s">
        <v>41</v>
      </c>
      <c r="N1222" s="3" t="s">
        <v>42</v>
      </c>
      <c r="O1222" s="3" t="s">
        <v>43</v>
      </c>
      <c r="P1222" s="2" t="str">
        <f aca="false">CONCATENATE(N1222," ",O1222)</f>
        <v>Agroeca proxima</v>
      </c>
      <c r="Q1222" s="1" t="s">
        <v>30</v>
      </c>
      <c r="R1222" s="1" t="s">
        <v>31</v>
      </c>
      <c r="S1222" s="1" t="n">
        <v>1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0</v>
      </c>
      <c r="Y1222" s="3" t="n">
        <f aca="false">SUM(S1222:T1222)</f>
        <v>1</v>
      </c>
      <c r="Z1222" s="3" t="n">
        <f aca="false">SUM(U1222:W1222)</f>
        <v>0</v>
      </c>
      <c r="AA1222" s="3" t="n">
        <f aca="false">SUM(S1222:X1222)</f>
        <v>1</v>
      </c>
      <c r="AB1222" s="11" t="n">
        <f aca="false">(AA1222/(K1222*L1222)*25)*4</f>
        <v>4</v>
      </c>
    </row>
    <row r="1223" customFormat="false" ht="14.25" hidden="false" customHeight="false" outlineLevel="0" collapsed="false">
      <c r="A1223" s="1" t="n">
        <v>2009</v>
      </c>
      <c r="B1223" s="7" t="s">
        <v>322</v>
      </c>
      <c r="C1223" s="7" t="n">
        <v>3</v>
      </c>
      <c r="D1223" s="7" t="s">
        <v>294</v>
      </c>
      <c r="E1223" s="7" t="s">
        <v>294</v>
      </c>
      <c r="F1223" s="7" t="s">
        <v>158</v>
      </c>
      <c r="G1223" s="1" t="n">
        <v>3</v>
      </c>
      <c r="H1223" s="1" t="n">
        <v>12</v>
      </c>
      <c r="I1223" s="22" t="n">
        <v>40052</v>
      </c>
      <c r="J1223" s="22" t="n">
        <v>40057</v>
      </c>
      <c r="K1223" s="1" t="n">
        <v>5</v>
      </c>
      <c r="L1223" s="1" t="n">
        <v>5</v>
      </c>
      <c r="M1223" s="3" t="s">
        <v>41</v>
      </c>
      <c r="N1223" s="3" t="s">
        <v>42</v>
      </c>
      <c r="O1223" s="3" t="s">
        <v>43</v>
      </c>
      <c r="P1223" s="2" t="str">
        <f aca="false">CONCATENATE(N1223," ",O1223)</f>
        <v>Agroeca proxima</v>
      </c>
      <c r="Q1223" s="1" t="s">
        <v>30</v>
      </c>
      <c r="R1223" s="1" t="s">
        <v>35</v>
      </c>
      <c r="S1223" s="1" t="n">
        <v>0</v>
      </c>
      <c r="T1223" s="1" t="n">
        <v>1</v>
      </c>
      <c r="U1223" s="1" t="n">
        <v>0</v>
      </c>
      <c r="V1223" s="1" t="n">
        <v>0</v>
      </c>
      <c r="W1223" s="1" t="n">
        <v>0</v>
      </c>
      <c r="X1223" s="1" t="n">
        <v>0</v>
      </c>
      <c r="Y1223" s="3" t="n">
        <f aca="false">SUM(S1223:T1223)</f>
        <v>1</v>
      </c>
      <c r="Z1223" s="3" t="n">
        <f aca="false">SUM(U1223:W1223)</f>
        <v>0</v>
      </c>
      <c r="AA1223" s="3" t="n">
        <f aca="false">SUM(S1223:X1223)</f>
        <v>1</v>
      </c>
      <c r="AB1223" s="11" t="n">
        <f aca="false">(AA1223/(K1223*L1223)*25)*4</f>
        <v>4</v>
      </c>
    </row>
    <row r="1224" customFormat="false" ht="14.25" hidden="false" customHeight="false" outlineLevel="0" collapsed="false">
      <c r="A1224" s="1" t="n">
        <v>2009</v>
      </c>
      <c r="B1224" s="7" t="s">
        <v>322</v>
      </c>
      <c r="C1224" s="7" t="n">
        <v>3</v>
      </c>
      <c r="D1224" s="7" t="s">
        <v>294</v>
      </c>
      <c r="E1224" s="7" t="s">
        <v>294</v>
      </c>
      <c r="F1224" s="7" t="s">
        <v>158</v>
      </c>
      <c r="G1224" s="1" t="n">
        <v>3</v>
      </c>
      <c r="H1224" s="1" t="n">
        <v>12</v>
      </c>
      <c r="I1224" s="22" t="n">
        <v>40052</v>
      </c>
      <c r="J1224" s="22" t="n">
        <v>40057</v>
      </c>
      <c r="K1224" s="1" t="n">
        <v>5</v>
      </c>
      <c r="L1224" s="1" t="n">
        <v>5</v>
      </c>
      <c r="M1224" s="13" t="s">
        <v>32</v>
      </c>
      <c r="N1224" s="13" t="s">
        <v>84</v>
      </c>
      <c r="O1224" s="14" t="s">
        <v>181</v>
      </c>
      <c r="P1224" s="2" t="str">
        <f aca="false">CONCATENATE(N1224," ",O1224)</f>
        <v>Walckenaeria cucullata</v>
      </c>
      <c r="Q1224" s="1" t="s">
        <v>30</v>
      </c>
      <c r="R1224" s="1" t="s">
        <v>35</v>
      </c>
      <c r="S1224" s="1" t="n">
        <v>0</v>
      </c>
      <c r="T1224" s="1" t="n">
        <v>1</v>
      </c>
      <c r="U1224" s="1" t="n">
        <v>0</v>
      </c>
      <c r="V1224" s="1" t="n">
        <v>0</v>
      </c>
      <c r="W1224" s="1" t="n">
        <v>0</v>
      </c>
      <c r="X1224" s="1" t="n">
        <v>0</v>
      </c>
      <c r="Y1224" s="3" t="n">
        <f aca="false">SUM(S1224:T1224)</f>
        <v>1</v>
      </c>
      <c r="Z1224" s="3" t="n">
        <f aca="false">SUM(U1224:W1224)</f>
        <v>0</v>
      </c>
      <c r="AA1224" s="3" t="n">
        <f aca="false">SUM(S1224:X1224)</f>
        <v>1</v>
      </c>
      <c r="AB1224" s="11" t="n">
        <f aca="false">(AA1224/(K1224*L1224)*25)*4</f>
        <v>4</v>
      </c>
    </row>
    <row r="1225" customFormat="false" ht="14.25" hidden="false" customHeight="false" outlineLevel="0" collapsed="false">
      <c r="A1225" s="1" t="n">
        <v>2009</v>
      </c>
      <c r="B1225" s="7" t="s">
        <v>322</v>
      </c>
      <c r="C1225" s="7" t="n">
        <v>3</v>
      </c>
      <c r="D1225" s="7" t="s">
        <v>294</v>
      </c>
      <c r="E1225" s="7" t="s">
        <v>294</v>
      </c>
      <c r="F1225" s="7" t="s">
        <v>158</v>
      </c>
      <c r="G1225" s="1" t="n">
        <v>3</v>
      </c>
      <c r="H1225" s="1" t="n">
        <v>13</v>
      </c>
      <c r="I1225" s="22" t="n">
        <v>40052</v>
      </c>
      <c r="J1225" s="22" t="n">
        <v>40057</v>
      </c>
      <c r="K1225" s="1" t="n">
        <v>5</v>
      </c>
      <c r="L1225" s="1" t="n">
        <v>5</v>
      </c>
      <c r="M1225" s="3" t="s">
        <v>48</v>
      </c>
      <c r="N1225" s="3" t="s">
        <v>61</v>
      </c>
      <c r="O1225" s="3" t="s">
        <v>82</v>
      </c>
      <c r="P1225" s="2" t="str">
        <f aca="false">CONCATENATE(N1225," ",O1225)</f>
        <v>Trochosa terricola</v>
      </c>
      <c r="Q1225" s="1" t="s">
        <v>30</v>
      </c>
      <c r="R1225" s="1" t="s">
        <v>35</v>
      </c>
      <c r="S1225" s="1" t="n">
        <v>0</v>
      </c>
      <c r="T1225" s="1" t="n">
        <v>2</v>
      </c>
      <c r="U1225" s="1" t="n">
        <v>0</v>
      </c>
      <c r="V1225" s="1" t="n">
        <v>0</v>
      </c>
      <c r="W1225" s="1" t="n">
        <v>0</v>
      </c>
      <c r="X1225" s="1" t="n">
        <v>0</v>
      </c>
      <c r="Y1225" s="3" t="n">
        <f aca="false">SUM(S1225:T1225)</f>
        <v>2</v>
      </c>
      <c r="Z1225" s="3" t="n">
        <f aca="false">SUM(U1225:W1225)</f>
        <v>0</v>
      </c>
      <c r="AA1225" s="3" t="n">
        <f aca="false">SUM(S1225:X1225)</f>
        <v>2</v>
      </c>
      <c r="AB1225" s="11" t="n">
        <f aca="false">(AA1225/(K1225*L1225)*25)*4</f>
        <v>8</v>
      </c>
    </row>
    <row r="1226" customFormat="false" ht="14.25" hidden="false" customHeight="false" outlineLevel="0" collapsed="false">
      <c r="A1226" s="1" t="n">
        <v>2009</v>
      </c>
      <c r="B1226" s="7" t="s">
        <v>322</v>
      </c>
      <c r="C1226" s="7" t="n">
        <v>3</v>
      </c>
      <c r="D1226" s="7" t="s">
        <v>294</v>
      </c>
      <c r="E1226" s="7" t="s">
        <v>294</v>
      </c>
      <c r="F1226" s="7" t="s">
        <v>158</v>
      </c>
      <c r="G1226" s="1" t="n">
        <v>3</v>
      </c>
      <c r="H1226" s="1" t="n">
        <v>14</v>
      </c>
      <c r="I1226" s="22" t="n">
        <v>40052</v>
      </c>
      <c r="J1226" s="22" t="n">
        <v>40057</v>
      </c>
      <c r="K1226" s="1" t="n">
        <v>5</v>
      </c>
      <c r="L1226" s="1" t="n">
        <v>5</v>
      </c>
      <c r="M1226" s="3" t="s">
        <v>48</v>
      </c>
      <c r="N1226" s="3" t="s">
        <v>61</v>
      </c>
      <c r="O1226" s="3" t="s">
        <v>82</v>
      </c>
      <c r="P1226" s="2" t="str">
        <f aca="false">CONCATENATE(N1226," ",O1226)</f>
        <v>Trochosa terricola</v>
      </c>
      <c r="Q1226" s="1" t="s">
        <v>30</v>
      </c>
      <c r="R1226" s="1" t="s">
        <v>31</v>
      </c>
      <c r="S1226" s="1" t="n">
        <v>1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0</v>
      </c>
      <c r="Y1226" s="3" t="n">
        <f aca="false">SUM(S1226:T1226)</f>
        <v>1</v>
      </c>
      <c r="Z1226" s="3" t="n">
        <f aca="false">SUM(U1226:W1226)</f>
        <v>0</v>
      </c>
      <c r="AA1226" s="3" t="n">
        <f aca="false">SUM(S1226:X1226)</f>
        <v>1</v>
      </c>
      <c r="AB1226" s="11" t="n">
        <f aca="false">(AA1226/(K1226*L1226)*25)*4</f>
        <v>4</v>
      </c>
    </row>
    <row r="1227" customFormat="false" ht="14.25" hidden="false" customHeight="false" outlineLevel="0" collapsed="false">
      <c r="A1227" s="1" t="n">
        <v>2009</v>
      </c>
      <c r="B1227" s="7" t="s">
        <v>322</v>
      </c>
      <c r="C1227" s="7" t="n">
        <v>3</v>
      </c>
      <c r="D1227" s="7" t="s">
        <v>294</v>
      </c>
      <c r="E1227" s="7" t="s">
        <v>294</v>
      </c>
      <c r="F1227" s="7" t="s">
        <v>158</v>
      </c>
      <c r="G1227" s="1" t="n">
        <v>3</v>
      </c>
      <c r="H1227" s="1" t="n">
        <v>15</v>
      </c>
      <c r="I1227" s="22" t="n">
        <v>40052</v>
      </c>
      <c r="J1227" s="22" t="n">
        <v>40057</v>
      </c>
      <c r="K1227" s="1" t="n">
        <v>5</v>
      </c>
      <c r="L1227" s="1" t="n">
        <v>5</v>
      </c>
      <c r="M1227" s="3" t="s">
        <v>32</v>
      </c>
      <c r="N1227" s="3" t="s">
        <v>68</v>
      </c>
      <c r="O1227" s="8" t="s">
        <v>69</v>
      </c>
      <c r="P1227" s="2" t="str">
        <f aca="false">CONCATENATE(N1227," ",O1227)</f>
        <v>Centromerus sylvaticus</v>
      </c>
      <c r="Q1227" s="1" t="s">
        <v>30</v>
      </c>
      <c r="R1227" s="1" t="s">
        <v>31</v>
      </c>
      <c r="S1227" s="1" t="n">
        <v>1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0</v>
      </c>
      <c r="Y1227" s="3" t="n">
        <f aca="false">SUM(S1227:T1227)</f>
        <v>1</v>
      </c>
      <c r="Z1227" s="3" t="n">
        <f aca="false">SUM(U1227:W1227)</f>
        <v>0</v>
      </c>
      <c r="AA1227" s="3" t="n">
        <f aca="false">SUM(S1227:X1227)</f>
        <v>1</v>
      </c>
      <c r="AB1227" s="11" t="n">
        <f aca="false">(AA1227/(K1227*L1227)*25)*4</f>
        <v>4</v>
      </c>
    </row>
    <row r="1228" customFormat="false" ht="14.25" hidden="false" customHeight="false" outlineLevel="0" collapsed="false">
      <c r="A1228" s="1" t="n">
        <v>2009</v>
      </c>
      <c r="B1228" s="7" t="s">
        <v>322</v>
      </c>
      <c r="C1228" s="7" t="n">
        <v>3</v>
      </c>
      <c r="D1228" s="7" t="s">
        <v>293</v>
      </c>
      <c r="E1228" s="7" t="s">
        <v>293</v>
      </c>
      <c r="F1228" s="7" t="s">
        <v>101</v>
      </c>
      <c r="G1228" s="1" t="n">
        <v>2</v>
      </c>
      <c r="H1228" s="1" t="n">
        <v>10</v>
      </c>
      <c r="I1228" s="10" t="n">
        <v>40052</v>
      </c>
      <c r="J1228" s="10" t="n">
        <v>40057</v>
      </c>
      <c r="K1228" s="1" t="n">
        <v>5</v>
      </c>
      <c r="L1228" s="1" t="n">
        <v>5</v>
      </c>
      <c r="M1228" s="3" t="s">
        <v>32</v>
      </c>
      <c r="N1228" s="3" t="s">
        <v>33</v>
      </c>
      <c r="O1228" s="3" t="s">
        <v>60</v>
      </c>
      <c r="P1228" s="2" t="str">
        <f aca="false">CONCATENATE(N1228," ",O1228)</f>
        <v>Tenuiphantes tenebricola</v>
      </c>
      <c r="Q1228" s="1" t="s">
        <v>30</v>
      </c>
      <c r="R1228" s="1" t="s">
        <v>35</v>
      </c>
      <c r="S1228" s="1" t="n">
        <v>0</v>
      </c>
      <c r="T1228" s="1" t="n">
        <v>1</v>
      </c>
      <c r="U1228" s="1" t="n">
        <v>0</v>
      </c>
      <c r="V1228" s="1" t="n">
        <v>0</v>
      </c>
      <c r="W1228" s="1" t="n">
        <v>0</v>
      </c>
      <c r="X1228" s="1" t="n">
        <v>0</v>
      </c>
      <c r="Y1228" s="3" t="n">
        <f aca="false">SUM(S1228:T1228)</f>
        <v>1</v>
      </c>
      <c r="Z1228" s="3" t="n">
        <f aca="false">SUM(U1228:W1228)</f>
        <v>0</v>
      </c>
      <c r="AA1228" s="3" t="n">
        <f aca="false">SUM(S1228:X1228)</f>
        <v>1</v>
      </c>
      <c r="AB1228" s="11" t="n">
        <f aca="false">(AA1228/(K1228*L1228)*25)*4</f>
        <v>4</v>
      </c>
    </row>
    <row r="1229" customFormat="false" ht="14.25" hidden="false" customHeight="false" outlineLevel="0" collapsed="false">
      <c r="A1229" s="1" t="n">
        <v>2014</v>
      </c>
      <c r="B1229" s="7" t="s">
        <v>322</v>
      </c>
      <c r="C1229" s="7" t="n">
        <v>3</v>
      </c>
      <c r="D1229" s="7" t="s">
        <v>294</v>
      </c>
      <c r="E1229" s="7" t="s">
        <v>294</v>
      </c>
      <c r="F1229" s="3" t="s">
        <v>83</v>
      </c>
      <c r="G1229" s="3" t="n">
        <v>2</v>
      </c>
      <c r="H1229" s="3" t="n">
        <v>7</v>
      </c>
      <c r="I1229" s="22" t="n">
        <v>41870</v>
      </c>
      <c r="J1229" s="22" t="n">
        <v>41875</v>
      </c>
      <c r="K1229" s="43" t="n">
        <f aca="false">J1229-I1229</f>
        <v>5</v>
      </c>
      <c r="L1229" s="1" t="n">
        <v>5</v>
      </c>
      <c r="M1229" s="3" t="s">
        <v>48</v>
      </c>
      <c r="N1229" s="3" t="s">
        <v>61</v>
      </c>
      <c r="O1229" s="3" t="s">
        <v>82</v>
      </c>
      <c r="P1229" s="2" t="str">
        <f aca="false">CONCATENATE(N1229," ",O1229)</f>
        <v>Trochosa terricola</v>
      </c>
      <c r="Q1229" s="1" t="s">
        <v>30</v>
      </c>
      <c r="R1229" s="1" t="s">
        <v>35</v>
      </c>
      <c r="S1229" s="3" t="n">
        <v>0</v>
      </c>
      <c r="T1229" s="3" t="n">
        <v>2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f aca="false">SUM(S1229:T1229)</f>
        <v>2</v>
      </c>
      <c r="Z1229" s="3" t="n">
        <f aca="false">SUM(U1229:W1229)</f>
        <v>0</v>
      </c>
      <c r="AA1229" s="3" t="n">
        <f aca="false">SUM(S1229:X1229)</f>
        <v>2</v>
      </c>
      <c r="AB1229" s="11" t="n">
        <f aca="false">(AA1229/(K1229*L1229)*25)*4</f>
        <v>8</v>
      </c>
    </row>
    <row r="1230" customFormat="false" ht="14.25" hidden="false" customHeight="false" outlineLevel="0" collapsed="false">
      <c r="A1230" s="1" t="n">
        <v>2014</v>
      </c>
      <c r="B1230" s="7" t="s">
        <v>322</v>
      </c>
      <c r="C1230" s="7" t="n">
        <v>3</v>
      </c>
      <c r="D1230" s="7" t="s">
        <v>294</v>
      </c>
      <c r="E1230" s="7" t="s">
        <v>294</v>
      </c>
      <c r="F1230" s="3" t="s">
        <v>83</v>
      </c>
      <c r="G1230" s="3" t="n">
        <v>2</v>
      </c>
      <c r="H1230" s="3" t="n">
        <v>7</v>
      </c>
      <c r="I1230" s="22" t="n">
        <v>41870</v>
      </c>
      <c r="J1230" s="22" t="n">
        <v>41875</v>
      </c>
      <c r="K1230" s="43" t="n">
        <f aca="false">J1230-I1230</f>
        <v>5</v>
      </c>
      <c r="L1230" s="1" t="n">
        <v>5</v>
      </c>
      <c r="M1230" s="3" t="s">
        <v>36</v>
      </c>
      <c r="N1230" s="3" t="s">
        <v>37</v>
      </c>
      <c r="O1230" s="3" t="s">
        <v>75</v>
      </c>
      <c r="P1230" s="2" t="str">
        <f aca="false">CONCATENATE(N1230," ",O1230)</f>
        <v>Ozyptila praticola</v>
      </c>
      <c r="Q1230" s="1" t="s">
        <v>30</v>
      </c>
      <c r="R1230" s="1" t="s">
        <v>31</v>
      </c>
      <c r="S1230" s="3" t="n">
        <v>2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f aca="false">SUM(S1230:T1230)</f>
        <v>2</v>
      </c>
      <c r="Z1230" s="3" t="n">
        <f aca="false">SUM(U1230:W1230)</f>
        <v>0</v>
      </c>
      <c r="AA1230" s="3" t="n">
        <f aca="false">SUM(S1230:X1230)</f>
        <v>2</v>
      </c>
      <c r="AB1230" s="11" t="n">
        <f aca="false">(AA1230/(K1230*L1230)*25)*4</f>
        <v>8</v>
      </c>
    </row>
    <row r="1231" customFormat="false" ht="14.25" hidden="false" customHeight="false" outlineLevel="0" collapsed="false">
      <c r="A1231" s="1" t="n">
        <v>2014</v>
      </c>
      <c r="B1231" s="7" t="s">
        <v>322</v>
      </c>
      <c r="C1231" s="7" t="n">
        <v>3</v>
      </c>
      <c r="D1231" s="7" t="s">
        <v>294</v>
      </c>
      <c r="E1231" s="7" t="s">
        <v>294</v>
      </c>
      <c r="F1231" s="3" t="s">
        <v>83</v>
      </c>
      <c r="G1231" s="3" t="n">
        <v>1</v>
      </c>
      <c r="H1231" s="3" t="n">
        <v>1</v>
      </c>
      <c r="I1231" s="22" t="n">
        <v>41870</v>
      </c>
      <c r="J1231" s="22" t="n">
        <v>41875</v>
      </c>
      <c r="K1231" s="43" t="n">
        <f aca="false">J1231-I1231</f>
        <v>5</v>
      </c>
      <c r="L1231" s="1" t="n">
        <v>5</v>
      </c>
      <c r="M1231" s="3" t="s">
        <v>48</v>
      </c>
      <c r="N1231" s="3" t="s">
        <v>61</v>
      </c>
      <c r="O1231" s="3" t="s">
        <v>82</v>
      </c>
      <c r="P1231" s="2" t="str">
        <f aca="false">CONCATENATE(N1231," ",O1231)</f>
        <v>Trochosa terricola</v>
      </c>
      <c r="Q1231" s="1" t="s">
        <v>30</v>
      </c>
      <c r="R1231" s="1" t="s">
        <v>31</v>
      </c>
      <c r="S1231" s="3" t="n">
        <v>1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f aca="false">SUM(S1231:T1231)</f>
        <v>1</v>
      </c>
      <c r="Z1231" s="3" t="n">
        <f aca="false">SUM(U1231:W1231)</f>
        <v>0</v>
      </c>
      <c r="AA1231" s="3" t="n">
        <f aca="false">SUM(S1231:X1231)</f>
        <v>1</v>
      </c>
      <c r="AB1231" s="11" t="n">
        <f aca="false">(AA1231/(K1231*L1231)*25)*4</f>
        <v>4</v>
      </c>
    </row>
    <row r="1232" customFormat="false" ht="14.25" hidden="false" customHeight="false" outlineLevel="0" collapsed="false">
      <c r="A1232" s="1" t="n">
        <v>2014</v>
      </c>
      <c r="B1232" s="7" t="s">
        <v>322</v>
      </c>
      <c r="C1232" s="7" t="n">
        <v>3</v>
      </c>
      <c r="D1232" s="7" t="s">
        <v>294</v>
      </c>
      <c r="E1232" s="7" t="s">
        <v>294</v>
      </c>
      <c r="F1232" s="3" t="s">
        <v>83</v>
      </c>
      <c r="G1232" s="3" t="n">
        <v>3</v>
      </c>
      <c r="H1232" s="3" t="n">
        <v>13</v>
      </c>
      <c r="I1232" s="22" t="n">
        <v>41870</v>
      </c>
      <c r="J1232" s="22" t="n">
        <v>41875</v>
      </c>
      <c r="K1232" s="43" t="n">
        <f aca="false">J1232-I1232</f>
        <v>5</v>
      </c>
      <c r="L1232" s="1" t="n">
        <v>5</v>
      </c>
      <c r="M1232" s="3" t="s">
        <v>48</v>
      </c>
      <c r="N1232" s="3" t="s">
        <v>61</v>
      </c>
      <c r="O1232" s="3" t="s">
        <v>82</v>
      </c>
      <c r="P1232" s="2" t="str">
        <f aca="false">CONCATENATE(N1232," ",O1232)</f>
        <v>Trochosa terricola</v>
      </c>
      <c r="Q1232" s="1" t="s">
        <v>30</v>
      </c>
      <c r="R1232" s="1" t="s">
        <v>35</v>
      </c>
      <c r="S1232" s="3" t="n">
        <v>0</v>
      </c>
      <c r="T1232" s="3" t="n">
        <v>1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f aca="false">SUM(S1232:T1232)</f>
        <v>1</v>
      </c>
      <c r="Z1232" s="3" t="n">
        <f aca="false">SUM(U1232:W1232)</f>
        <v>0</v>
      </c>
      <c r="AA1232" s="3" t="n">
        <f aca="false">SUM(S1232:X1232)</f>
        <v>1</v>
      </c>
      <c r="AB1232" s="11" t="n">
        <f aca="false">(AA1232/(K1232*L1232)*25)*4</f>
        <v>4</v>
      </c>
    </row>
    <row r="1233" customFormat="false" ht="14.25" hidden="false" customHeight="false" outlineLevel="0" collapsed="false">
      <c r="A1233" s="1" t="n">
        <v>2014</v>
      </c>
      <c r="B1233" s="7" t="s">
        <v>322</v>
      </c>
      <c r="C1233" s="7" t="n">
        <v>3</v>
      </c>
      <c r="D1233" s="7" t="s">
        <v>294</v>
      </c>
      <c r="E1233" s="7" t="s">
        <v>294</v>
      </c>
      <c r="F1233" s="3" t="s">
        <v>83</v>
      </c>
      <c r="G1233" s="3" t="n">
        <v>3</v>
      </c>
      <c r="H1233" s="3" t="n">
        <v>13</v>
      </c>
      <c r="I1233" s="22" t="n">
        <v>41870</v>
      </c>
      <c r="J1233" s="22" t="n">
        <v>41875</v>
      </c>
      <c r="K1233" s="43" t="n">
        <f aca="false">J1233-I1233</f>
        <v>5</v>
      </c>
      <c r="L1233" s="1" t="n">
        <v>5</v>
      </c>
      <c r="M1233" s="3" t="s">
        <v>48</v>
      </c>
      <c r="N1233" s="3" t="s">
        <v>49</v>
      </c>
      <c r="O1233" s="3" t="s">
        <v>223</v>
      </c>
      <c r="P1233" s="2" t="str">
        <f aca="false">CONCATENATE(N1233," ",O1233)</f>
        <v>Alopecosa pulverulenta</v>
      </c>
      <c r="Q1233" s="1" t="s">
        <v>30</v>
      </c>
      <c r="R1233" s="1" t="s">
        <v>35</v>
      </c>
      <c r="S1233" s="3" t="n">
        <v>0</v>
      </c>
      <c r="T1233" s="3" t="n">
        <v>1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f aca="false">SUM(S1233:T1233)</f>
        <v>1</v>
      </c>
      <c r="Z1233" s="3" t="n">
        <f aca="false">SUM(U1233:W1233)</f>
        <v>0</v>
      </c>
      <c r="AA1233" s="3" t="n">
        <f aca="false">SUM(S1233:X1233)</f>
        <v>1</v>
      </c>
      <c r="AB1233" s="11" t="n">
        <f aca="false">(AA1233/(K1233*L1233)*25)*4</f>
        <v>4</v>
      </c>
    </row>
    <row r="1234" customFormat="false" ht="14.25" hidden="false" customHeight="false" outlineLevel="0" collapsed="false">
      <c r="A1234" s="1" t="n">
        <v>2014</v>
      </c>
      <c r="B1234" s="7" t="s">
        <v>322</v>
      </c>
      <c r="C1234" s="7" t="n">
        <v>3</v>
      </c>
      <c r="D1234" s="7" t="s">
        <v>294</v>
      </c>
      <c r="E1234" s="7" t="s">
        <v>294</v>
      </c>
      <c r="F1234" s="3" t="s">
        <v>83</v>
      </c>
      <c r="G1234" s="3" t="n">
        <v>2</v>
      </c>
      <c r="H1234" s="3" t="n">
        <v>9</v>
      </c>
      <c r="I1234" s="22" t="n">
        <v>41870</v>
      </c>
      <c r="J1234" s="22" t="n">
        <v>41875</v>
      </c>
      <c r="K1234" s="43" t="n">
        <f aca="false">J1234-I1234</f>
        <v>5</v>
      </c>
      <c r="L1234" s="1" t="n">
        <v>5</v>
      </c>
      <c r="M1234" s="3" t="s">
        <v>36</v>
      </c>
      <c r="N1234" s="3" t="s">
        <v>37</v>
      </c>
      <c r="O1234" s="3" t="s">
        <v>75</v>
      </c>
      <c r="P1234" s="2" t="str">
        <f aca="false">CONCATENATE(N1234," ",O1234)</f>
        <v>Ozyptila praticola</v>
      </c>
      <c r="Q1234" s="1" t="s">
        <v>30</v>
      </c>
      <c r="R1234" s="1" t="s">
        <v>31</v>
      </c>
      <c r="S1234" s="3" t="n">
        <v>1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f aca="false">SUM(S1234:T1234)</f>
        <v>1</v>
      </c>
      <c r="Z1234" s="3" t="n">
        <f aca="false">SUM(U1234:W1234)</f>
        <v>0</v>
      </c>
      <c r="AA1234" s="3" t="n">
        <f aca="false">SUM(S1234:X1234)</f>
        <v>1</v>
      </c>
      <c r="AB1234" s="11" t="n">
        <f aca="false">(AA1234/(K1234*L1234)*25)*4</f>
        <v>4</v>
      </c>
    </row>
    <row r="1235" customFormat="false" ht="14.25" hidden="false" customHeight="false" outlineLevel="0" collapsed="false">
      <c r="A1235" s="1" t="n">
        <v>2014</v>
      </c>
      <c r="B1235" s="7" t="s">
        <v>322</v>
      </c>
      <c r="C1235" s="7" t="n">
        <v>3</v>
      </c>
      <c r="D1235" s="7" t="s">
        <v>294</v>
      </c>
      <c r="E1235" s="7" t="s">
        <v>294</v>
      </c>
      <c r="F1235" s="3" t="s">
        <v>83</v>
      </c>
      <c r="G1235" s="3" t="n">
        <v>2</v>
      </c>
      <c r="H1235" s="3" t="n">
        <v>9</v>
      </c>
      <c r="I1235" s="22" t="n">
        <v>41870</v>
      </c>
      <c r="J1235" s="22" t="n">
        <v>41875</v>
      </c>
      <c r="K1235" s="43" t="n">
        <f aca="false">J1235-I1235</f>
        <v>5</v>
      </c>
      <c r="L1235" s="1" t="n">
        <v>5</v>
      </c>
      <c r="M1235" s="3" t="s">
        <v>48</v>
      </c>
      <c r="N1235" s="3" t="s">
        <v>61</v>
      </c>
      <c r="O1235" s="3" t="s">
        <v>82</v>
      </c>
      <c r="P1235" s="2" t="str">
        <f aca="false">CONCATENATE(N1235," ",O1235)</f>
        <v>Trochosa terricola</v>
      </c>
      <c r="Q1235" s="1" t="s">
        <v>30</v>
      </c>
      <c r="R1235" s="1" t="s">
        <v>31</v>
      </c>
      <c r="S1235" s="3" t="n">
        <v>3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f aca="false">SUM(S1235:T1235)</f>
        <v>3</v>
      </c>
      <c r="Z1235" s="3" t="n">
        <f aca="false">SUM(U1235:W1235)</f>
        <v>0</v>
      </c>
      <c r="AA1235" s="3" t="n">
        <f aca="false">SUM(S1235:X1235)</f>
        <v>3</v>
      </c>
      <c r="AB1235" s="11" t="n">
        <f aca="false">(AA1235/(K1235*L1235)*25)*4</f>
        <v>12</v>
      </c>
    </row>
    <row r="1236" customFormat="false" ht="14.25" hidden="false" customHeight="false" outlineLevel="0" collapsed="false">
      <c r="A1236" s="1" t="n">
        <v>2014</v>
      </c>
      <c r="B1236" s="7" t="s">
        <v>322</v>
      </c>
      <c r="C1236" s="7" t="n">
        <v>3</v>
      </c>
      <c r="D1236" s="7" t="s">
        <v>294</v>
      </c>
      <c r="E1236" s="7" t="s">
        <v>294</v>
      </c>
      <c r="F1236" s="3" t="s">
        <v>83</v>
      </c>
      <c r="G1236" s="3" t="n">
        <v>2</v>
      </c>
      <c r="H1236" s="3" t="n">
        <v>9</v>
      </c>
      <c r="I1236" s="22" t="n">
        <v>41870</v>
      </c>
      <c r="J1236" s="22" t="n">
        <v>41875</v>
      </c>
      <c r="K1236" s="43" t="n">
        <f aca="false">J1236-I1236</f>
        <v>5</v>
      </c>
      <c r="L1236" s="1" t="n">
        <v>5</v>
      </c>
      <c r="M1236" s="3" t="s">
        <v>72</v>
      </c>
      <c r="N1236" s="3" t="s">
        <v>73</v>
      </c>
      <c r="O1236" s="3" t="s">
        <v>74</v>
      </c>
      <c r="P1236" s="2" t="str">
        <f aca="false">CONCATENATE(N1236," ",O1236)</f>
        <v>Zelotes subterraneus</v>
      </c>
      <c r="Q1236" s="1" t="s">
        <v>30</v>
      </c>
      <c r="R1236" s="1" t="s">
        <v>35</v>
      </c>
      <c r="S1236" s="3" t="n">
        <v>0</v>
      </c>
      <c r="T1236" s="3" t="n">
        <v>1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f aca="false">SUM(S1236:T1236)</f>
        <v>1</v>
      </c>
      <c r="Z1236" s="3" t="n">
        <f aca="false">SUM(U1236:W1236)</f>
        <v>0</v>
      </c>
      <c r="AA1236" s="3" t="n">
        <f aca="false">SUM(S1236:X1236)</f>
        <v>1</v>
      </c>
      <c r="AB1236" s="11" t="n">
        <f aca="false">(AA1236/(K1236*L1236)*25)*4</f>
        <v>4</v>
      </c>
    </row>
    <row r="1237" customFormat="false" ht="14.25" hidden="false" customHeight="false" outlineLevel="0" collapsed="false">
      <c r="A1237" s="1" t="n">
        <v>2014</v>
      </c>
      <c r="B1237" s="7" t="s">
        <v>322</v>
      </c>
      <c r="C1237" s="7" t="n">
        <v>3</v>
      </c>
      <c r="D1237" s="7" t="s">
        <v>294</v>
      </c>
      <c r="E1237" s="7" t="s">
        <v>294</v>
      </c>
      <c r="F1237" s="3" t="s">
        <v>83</v>
      </c>
      <c r="G1237" s="3" t="n">
        <v>2</v>
      </c>
      <c r="H1237" s="3" t="n">
        <v>10</v>
      </c>
      <c r="I1237" s="22" t="n">
        <v>41870</v>
      </c>
      <c r="J1237" s="22" t="n">
        <v>41875</v>
      </c>
      <c r="K1237" s="43" t="n">
        <f aca="false">J1237-I1237</f>
        <v>5</v>
      </c>
      <c r="L1237" s="1" t="n">
        <v>5</v>
      </c>
      <c r="M1237" s="3" t="s">
        <v>48</v>
      </c>
      <c r="N1237" s="3" t="s">
        <v>61</v>
      </c>
      <c r="O1237" s="3" t="s">
        <v>82</v>
      </c>
      <c r="P1237" s="2" t="str">
        <f aca="false">CONCATENATE(N1237," ",O1237)</f>
        <v>Trochosa terricola</v>
      </c>
      <c r="Q1237" s="1" t="s">
        <v>30</v>
      </c>
      <c r="R1237" s="1" t="s">
        <v>35</v>
      </c>
      <c r="S1237" s="3" t="n">
        <v>0</v>
      </c>
      <c r="T1237" s="3" t="n">
        <v>1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f aca="false">SUM(S1237:T1237)</f>
        <v>1</v>
      </c>
      <c r="Z1237" s="3" t="n">
        <f aca="false">SUM(U1237:W1237)</f>
        <v>0</v>
      </c>
      <c r="AA1237" s="3" t="n">
        <f aca="false">SUM(S1237:X1237)</f>
        <v>1</v>
      </c>
      <c r="AB1237" s="11" t="n">
        <f aca="false">(AA1237/(K1237*L1237)*25)*4</f>
        <v>4</v>
      </c>
    </row>
    <row r="1238" customFormat="false" ht="14.25" hidden="false" customHeight="false" outlineLevel="0" collapsed="false">
      <c r="A1238" s="1" t="n">
        <v>2014</v>
      </c>
      <c r="B1238" s="7" t="s">
        <v>322</v>
      </c>
      <c r="C1238" s="7" t="n">
        <v>3</v>
      </c>
      <c r="D1238" s="7" t="s">
        <v>294</v>
      </c>
      <c r="E1238" s="7" t="s">
        <v>294</v>
      </c>
      <c r="F1238" s="3" t="s">
        <v>83</v>
      </c>
      <c r="G1238" s="3" t="n">
        <v>2</v>
      </c>
      <c r="H1238" s="3" t="n">
        <v>10</v>
      </c>
      <c r="I1238" s="22" t="n">
        <v>41870</v>
      </c>
      <c r="J1238" s="22" t="n">
        <v>41875</v>
      </c>
      <c r="K1238" s="43" t="n">
        <f aca="false">J1238-I1238</f>
        <v>5</v>
      </c>
      <c r="L1238" s="1" t="n">
        <v>5</v>
      </c>
      <c r="M1238" s="3" t="s">
        <v>72</v>
      </c>
      <c r="N1238" s="3" t="s">
        <v>73</v>
      </c>
      <c r="O1238" s="3" t="s">
        <v>74</v>
      </c>
      <c r="P1238" s="2" t="str">
        <f aca="false">CONCATENATE(N1238," ",O1238)</f>
        <v>Zelotes subterraneus</v>
      </c>
      <c r="Q1238" s="1" t="s">
        <v>30</v>
      </c>
      <c r="R1238" s="1" t="s">
        <v>35</v>
      </c>
      <c r="S1238" s="3" t="n">
        <v>0</v>
      </c>
      <c r="T1238" s="3" t="n">
        <v>1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f aca="false">SUM(S1238:T1238)</f>
        <v>1</v>
      </c>
      <c r="Z1238" s="3" t="n">
        <f aca="false">SUM(U1238:W1238)</f>
        <v>0</v>
      </c>
      <c r="AA1238" s="3" t="n">
        <f aca="false">SUM(S1238:X1238)</f>
        <v>1</v>
      </c>
      <c r="AB1238" s="11" t="n">
        <f aca="false">(AA1238/(K1238*L1238)*25)*4</f>
        <v>4</v>
      </c>
    </row>
    <row r="1239" customFormat="false" ht="14.25" hidden="false" customHeight="false" outlineLevel="0" collapsed="false">
      <c r="A1239" s="1" t="n">
        <v>2014</v>
      </c>
      <c r="B1239" s="7" t="s">
        <v>322</v>
      </c>
      <c r="C1239" s="7" t="n">
        <v>3</v>
      </c>
      <c r="D1239" s="7" t="s">
        <v>294</v>
      </c>
      <c r="E1239" s="7" t="s">
        <v>294</v>
      </c>
      <c r="F1239" s="3" t="s">
        <v>83</v>
      </c>
      <c r="G1239" s="3" t="n">
        <v>2</v>
      </c>
      <c r="H1239" s="3" t="n">
        <v>10</v>
      </c>
      <c r="I1239" s="22" t="n">
        <v>41870</v>
      </c>
      <c r="J1239" s="22" t="n">
        <v>41875</v>
      </c>
      <c r="K1239" s="43" t="n">
        <f aca="false">J1239-I1239</f>
        <v>5</v>
      </c>
      <c r="L1239" s="1" t="n">
        <v>5</v>
      </c>
      <c r="M1239" s="3" t="s">
        <v>48</v>
      </c>
      <c r="N1239" s="3" t="s">
        <v>67</v>
      </c>
      <c r="O1239" s="3" t="s">
        <v>127</v>
      </c>
      <c r="P1239" s="2" t="str">
        <f aca="false">CONCATENATE(N1239," ",O1239)</f>
        <v>Pardosa lugubris</v>
      </c>
      <c r="Q1239" s="1" t="s">
        <v>30</v>
      </c>
      <c r="R1239" s="1" t="s">
        <v>35</v>
      </c>
      <c r="S1239" s="3" t="n">
        <v>0</v>
      </c>
      <c r="T1239" s="3" t="n">
        <v>1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f aca="false">SUM(S1239:T1239)</f>
        <v>1</v>
      </c>
      <c r="Z1239" s="3" t="n">
        <f aca="false">SUM(U1239:W1239)</f>
        <v>0</v>
      </c>
      <c r="AA1239" s="3" t="n">
        <f aca="false">SUM(S1239:X1239)</f>
        <v>1</v>
      </c>
      <c r="AB1239" s="11" t="n">
        <f aca="false">(AA1239/(K1239*L1239)*25)*4</f>
        <v>4</v>
      </c>
    </row>
    <row r="1240" customFormat="false" ht="14.25" hidden="false" customHeight="false" outlineLevel="0" collapsed="false">
      <c r="A1240" s="1" t="n">
        <v>2014</v>
      </c>
      <c r="B1240" s="7" t="s">
        <v>322</v>
      </c>
      <c r="C1240" s="7" t="n">
        <v>3</v>
      </c>
      <c r="D1240" s="7" t="s">
        <v>294</v>
      </c>
      <c r="E1240" s="7" t="s">
        <v>294</v>
      </c>
      <c r="F1240" s="3" t="s">
        <v>83</v>
      </c>
      <c r="G1240" s="3" t="n">
        <v>3</v>
      </c>
      <c r="H1240" s="3" t="n">
        <v>14</v>
      </c>
      <c r="I1240" s="22" t="n">
        <v>41870</v>
      </c>
      <c r="J1240" s="22" t="n">
        <v>41875</v>
      </c>
      <c r="K1240" s="43" t="n">
        <f aca="false">J1240-I1240</f>
        <v>5</v>
      </c>
      <c r="L1240" s="1" t="n">
        <v>5</v>
      </c>
      <c r="M1240" s="3" t="s">
        <v>48</v>
      </c>
      <c r="N1240" s="3" t="s">
        <v>61</v>
      </c>
      <c r="O1240" s="3" t="s">
        <v>82</v>
      </c>
      <c r="P1240" s="2" t="str">
        <f aca="false">CONCATENATE(N1240," ",O1240)</f>
        <v>Trochosa terricola</v>
      </c>
      <c r="Q1240" s="1" t="s">
        <v>30</v>
      </c>
      <c r="R1240" s="1" t="s">
        <v>35</v>
      </c>
      <c r="S1240" s="3" t="n">
        <v>0</v>
      </c>
      <c r="T1240" s="3" t="n">
        <v>1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f aca="false">SUM(S1240:T1240)</f>
        <v>1</v>
      </c>
      <c r="Z1240" s="3" t="n">
        <f aca="false">SUM(U1240:W1240)</f>
        <v>0</v>
      </c>
      <c r="AA1240" s="3" t="n">
        <f aca="false">SUM(S1240:X1240)</f>
        <v>1</v>
      </c>
      <c r="AB1240" s="11" t="n">
        <f aca="false">(AA1240/(K1240*L1240)*25)*4</f>
        <v>4</v>
      </c>
    </row>
    <row r="1241" customFormat="false" ht="14.25" hidden="false" customHeight="false" outlineLevel="0" collapsed="false">
      <c r="A1241" s="1" t="n">
        <v>2014</v>
      </c>
      <c r="B1241" s="7" t="s">
        <v>322</v>
      </c>
      <c r="C1241" s="7" t="n">
        <v>3</v>
      </c>
      <c r="D1241" s="7" t="s">
        <v>294</v>
      </c>
      <c r="E1241" s="7" t="s">
        <v>294</v>
      </c>
      <c r="F1241" s="3" t="s">
        <v>83</v>
      </c>
      <c r="G1241" s="3" t="n">
        <v>2</v>
      </c>
      <c r="H1241" s="3" t="n">
        <v>6</v>
      </c>
      <c r="I1241" s="22" t="n">
        <v>41870</v>
      </c>
      <c r="J1241" s="22" t="n">
        <v>41875</v>
      </c>
      <c r="K1241" s="43" t="n">
        <f aca="false">J1241-I1241</f>
        <v>5</v>
      </c>
      <c r="L1241" s="1" t="n">
        <v>5</v>
      </c>
      <c r="M1241" s="3" t="s">
        <v>48</v>
      </c>
      <c r="N1241" s="3" t="s">
        <v>49</v>
      </c>
      <c r="O1241" s="3" t="s">
        <v>130</v>
      </c>
      <c r="P1241" s="2" t="str">
        <f aca="false">CONCATENATE(N1241," ",O1241)</f>
        <v>Alopecosa aculeata</v>
      </c>
      <c r="Q1241" s="1" t="s">
        <v>30</v>
      </c>
      <c r="R1241" s="1" t="s">
        <v>35</v>
      </c>
      <c r="S1241" s="3" t="n">
        <v>0</v>
      </c>
      <c r="T1241" s="3" t="n">
        <v>1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f aca="false">SUM(S1241:T1241)</f>
        <v>1</v>
      </c>
      <c r="Z1241" s="3" t="n">
        <f aca="false">SUM(U1241:W1241)</f>
        <v>0</v>
      </c>
      <c r="AA1241" s="3" t="n">
        <f aca="false">SUM(S1241:X1241)</f>
        <v>1</v>
      </c>
      <c r="AB1241" s="11" t="n">
        <f aca="false">(AA1241/(K1241*L1241)*25)*4</f>
        <v>4</v>
      </c>
    </row>
    <row r="1242" customFormat="false" ht="14.25" hidden="false" customHeight="false" outlineLevel="0" collapsed="false">
      <c r="A1242" s="1" t="n">
        <v>2014</v>
      </c>
      <c r="B1242" s="7" t="s">
        <v>322</v>
      </c>
      <c r="C1242" s="7" t="n">
        <v>3</v>
      </c>
      <c r="D1242" s="7" t="s">
        <v>294</v>
      </c>
      <c r="E1242" s="7" t="s">
        <v>294</v>
      </c>
      <c r="F1242" s="3" t="s">
        <v>83</v>
      </c>
      <c r="G1242" s="3" t="n">
        <v>2</v>
      </c>
      <c r="H1242" s="3" t="n">
        <v>6</v>
      </c>
      <c r="I1242" s="22" t="n">
        <v>41870</v>
      </c>
      <c r="J1242" s="22" t="n">
        <v>41875</v>
      </c>
      <c r="K1242" s="43" t="n">
        <f aca="false">J1242-I1242</f>
        <v>5</v>
      </c>
      <c r="L1242" s="1" t="n">
        <v>5</v>
      </c>
      <c r="M1242" s="3" t="s">
        <v>48</v>
      </c>
      <c r="N1242" s="3" t="s">
        <v>61</v>
      </c>
      <c r="O1242" s="3" t="s">
        <v>82</v>
      </c>
      <c r="P1242" s="2" t="str">
        <f aca="false">CONCATENATE(N1242," ",O1242)</f>
        <v>Trochosa terricola</v>
      </c>
      <c r="Q1242" s="1" t="s">
        <v>30</v>
      </c>
      <c r="R1242" s="1" t="s">
        <v>35</v>
      </c>
      <c r="S1242" s="3" t="n">
        <v>0</v>
      </c>
      <c r="T1242" s="3" t="n">
        <v>1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f aca="false">SUM(S1242:T1242)</f>
        <v>1</v>
      </c>
      <c r="Z1242" s="3" t="n">
        <f aca="false">SUM(U1242:W1242)</f>
        <v>0</v>
      </c>
      <c r="AA1242" s="3" t="n">
        <f aca="false">SUM(S1242:X1242)</f>
        <v>1</v>
      </c>
      <c r="AB1242" s="11" t="n">
        <f aca="false">(AA1242/(K1242*L1242)*25)*4</f>
        <v>4</v>
      </c>
    </row>
    <row r="1243" customFormat="false" ht="14.25" hidden="false" customHeight="false" outlineLevel="0" collapsed="false">
      <c r="A1243" s="1" t="n">
        <v>2014</v>
      </c>
      <c r="B1243" s="7" t="s">
        <v>322</v>
      </c>
      <c r="C1243" s="7" t="n">
        <v>3</v>
      </c>
      <c r="D1243" s="7" t="s">
        <v>294</v>
      </c>
      <c r="E1243" s="7" t="s">
        <v>294</v>
      </c>
      <c r="F1243" s="3" t="s">
        <v>83</v>
      </c>
      <c r="G1243" s="3" t="n">
        <v>2</v>
      </c>
      <c r="H1243" s="3" t="n">
        <v>6</v>
      </c>
      <c r="I1243" s="22" t="n">
        <v>41870</v>
      </c>
      <c r="J1243" s="22" t="n">
        <v>41875</v>
      </c>
      <c r="K1243" s="43" t="n">
        <f aca="false">J1243-I1243</f>
        <v>5</v>
      </c>
      <c r="L1243" s="1" t="n">
        <v>5</v>
      </c>
      <c r="M1243" s="3" t="s">
        <v>48</v>
      </c>
      <c r="N1243" s="3" t="s">
        <v>67</v>
      </c>
      <c r="O1243" s="3" t="s">
        <v>127</v>
      </c>
      <c r="P1243" s="2" t="str">
        <f aca="false">CONCATENATE(N1243," ",O1243)</f>
        <v>Pardosa lugubris</v>
      </c>
      <c r="Q1243" s="1" t="s">
        <v>30</v>
      </c>
      <c r="R1243" s="1" t="s">
        <v>35</v>
      </c>
      <c r="S1243" s="3" t="n">
        <v>0</v>
      </c>
      <c r="T1243" s="3" t="n">
        <v>1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f aca="false">SUM(S1243:T1243)</f>
        <v>1</v>
      </c>
      <c r="Z1243" s="3" t="n">
        <f aca="false">SUM(U1243:W1243)</f>
        <v>0</v>
      </c>
      <c r="AA1243" s="3" t="n">
        <f aca="false">SUM(S1243:X1243)</f>
        <v>1</v>
      </c>
      <c r="AB1243" s="11" t="n">
        <f aca="false">(AA1243/(K1243*L1243)*25)*4</f>
        <v>4</v>
      </c>
    </row>
    <row r="1244" customFormat="false" ht="14.25" hidden="false" customHeight="false" outlineLevel="0" collapsed="false">
      <c r="A1244" s="1" t="n">
        <v>2014</v>
      </c>
      <c r="B1244" s="7" t="s">
        <v>322</v>
      </c>
      <c r="C1244" s="7" t="n">
        <v>3</v>
      </c>
      <c r="D1244" s="7" t="s">
        <v>294</v>
      </c>
      <c r="E1244" s="7" t="s">
        <v>294</v>
      </c>
      <c r="F1244" s="3" t="s">
        <v>83</v>
      </c>
      <c r="G1244" s="3" t="n">
        <v>2</v>
      </c>
      <c r="H1244" s="3" t="n">
        <v>6</v>
      </c>
      <c r="I1244" s="22" t="n">
        <v>41870</v>
      </c>
      <c r="J1244" s="22" t="n">
        <v>41875</v>
      </c>
      <c r="K1244" s="43" t="n">
        <f aca="false">J1244-I1244</f>
        <v>5</v>
      </c>
      <c r="L1244" s="1" t="n">
        <v>5</v>
      </c>
      <c r="M1244" s="3" t="s">
        <v>32</v>
      </c>
      <c r="N1244" s="3" t="s">
        <v>68</v>
      </c>
      <c r="O1244" s="3" t="s">
        <v>69</v>
      </c>
      <c r="P1244" s="2" t="str">
        <f aca="false">CONCATENATE(N1244," ",O1244)</f>
        <v>Centromerus sylvaticus</v>
      </c>
      <c r="Q1244" s="1" t="s">
        <v>30</v>
      </c>
      <c r="R1244" s="1" t="s">
        <v>35</v>
      </c>
      <c r="S1244" s="3" t="n">
        <v>0</v>
      </c>
      <c r="T1244" s="3" t="n">
        <v>1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f aca="false">SUM(S1244:T1244)</f>
        <v>1</v>
      </c>
      <c r="Z1244" s="3" t="n">
        <f aca="false">SUM(U1244:W1244)</f>
        <v>0</v>
      </c>
      <c r="AA1244" s="3" t="n">
        <f aca="false">SUM(S1244:X1244)</f>
        <v>1</v>
      </c>
      <c r="AB1244" s="11" t="n">
        <f aca="false">(AA1244/(K1244*L1244)*25)*4</f>
        <v>4</v>
      </c>
    </row>
    <row r="1245" customFormat="false" ht="14.25" hidden="false" customHeight="false" outlineLevel="0" collapsed="false">
      <c r="A1245" s="1" t="n">
        <v>2014</v>
      </c>
      <c r="B1245" s="7" t="s">
        <v>322</v>
      </c>
      <c r="C1245" s="7" t="n">
        <v>3</v>
      </c>
      <c r="D1245" s="7" t="s">
        <v>294</v>
      </c>
      <c r="E1245" s="7" t="s">
        <v>294</v>
      </c>
      <c r="F1245" s="3" t="s">
        <v>83</v>
      </c>
      <c r="G1245" s="3" t="n">
        <v>1</v>
      </c>
      <c r="H1245" s="3" t="n">
        <v>4</v>
      </c>
      <c r="I1245" s="22" t="n">
        <v>41870</v>
      </c>
      <c r="J1245" s="22" t="n">
        <v>41875</v>
      </c>
      <c r="K1245" s="43" t="n">
        <f aca="false">J1245-I1245</f>
        <v>5</v>
      </c>
      <c r="L1245" s="1" t="n">
        <v>5</v>
      </c>
      <c r="M1245" s="3" t="s">
        <v>36</v>
      </c>
      <c r="N1245" s="3" t="s">
        <v>37</v>
      </c>
      <c r="O1245" s="3" t="s">
        <v>75</v>
      </c>
      <c r="P1245" s="2" t="str">
        <f aca="false">CONCATENATE(N1245," ",O1245)</f>
        <v>Ozyptila praticola</v>
      </c>
      <c r="Q1245" s="1" t="s">
        <v>30</v>
      </c>
      <c r="R1245" s="1" t="s">
        <v>31</v>
      </c>
      <c r="S1245" s="3" t="n">
        <v>1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f aca="false">SUM(S1245:T1245)</f>
        <v>1</v>
      </c>
      <c r="Z1245" s="3" t="n">
        <f aca="false">SUM(U1245:W1245)</f>
        <v>0</v>
      </c>
      <c r="AA1245" s="3" t="n">
        <f aca="false">SUM(S1245:X1245)</f>
        <v>1</v>
      </c>
      <c r="AB1245" s="11" t="n">
        <f aca="false">(AA1245/(K1245*L1245)*25)*4</f>
        <v>4</v>
      </c>
    </row>
    <row r="1246" customFormat="false" ht="14.25" hidden="false" customHeight="false" outlineLevel="0" collapsed="false">
      <c r="A1246" s="1" t="n">
        <v>2014</v>
      </c>
      <c r="B1246" s="7" t="s">
        <v>322</v>
      </c>
      <c r="C1246" s="7" t="n">
        <v>3</v>
      </c>
      <c r="D1246" s="7" t="s">
        <v>294</v>
      </c>
      <c r="E1246" s="7" t="s">
        <v>294</v>
      </c>
      <c r="F1246" s="3" t="s">
        <v>83</v>
      </c>
      <c r="G1246" s="3" t="n">
        <v>1</v>
      </c>
      <c r="H1246" s="3" t="n">
        <v>2</v>
      </c>
      <c r="I1246" s="22" t="n">
        <v>41870</v>
      </c>
      <c r="J1246" s="22" t="n">
        <v>41875</v>
      </c>
      <c r="K1246" s="43" t="n">
        <f aca="false">J1246-I1246</f>
        <v>5</v>
      </c>
      <c r="L1246" s="1" t="n">
        <v>5</v>
      </c>
      <c r="M1246" s="3" t="s">
        <v>48</v>
      </c>
      <c r="N1246" s="3" t="s">
        <v>61</v>
      </c>
      <c r="O1246" s="3" t="s">
        <v>82</v>
      </c>
      <c r="P1246" s="2" t="str">
        <f aca="false">CONCATENATE(N1246," ",O1246)</f>
        <v>Trochosa terricola</v>
      </c>
      <c r="Q1246" s="1" t="s">
        <v>30</v>
      </c>
      <c r="R1246" s="1" t="s">
        <v>35</v>
      </c>
      <c r="S1246" s="3" t="n">
        <v>0</v>
      </c>
      <c r="T1246" s="3" t="n">
        <v>1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f aca="false">SUM(S1246:T1246)</f>
        <v>1</v>
      </c>
      <c r="Z1246" s="3" t="n">
        <f aca="false">SUM(U1246:W1246)</f>
        <v>0</v>
      </c>
      <c r="AA1246" s="3" t="n">
        <f aca="false">SUM(S1246:X1246)</f>
        <v>1</v>
      </c>
      <c r="AB1246" s="11" t="n">
        <f aca="false">(AA1246/(K1246*L1246)*25)*4</f>
        <v>4</v>
      </c>
    </row>
    <row r="1247" customFormat="false" ht="14.25" hidden="false" customHeight="false" outlineLevel="0" collapsed="false">
      <c r="A1247" s="1" t="n">
        <v>2014</v>
      </c>
      <c r="B1247" s="7" t="s">
        <v>322</v>
      </c>
      <c r="C1247" s="7" t="n">
        <v>3</v>
      </c>
      <c r="D1247" s="7" t="s">
        <v>294</v>
      </c>
      <c r="E1247" s="7" t="s">
        <v>294</v>
      </c>
      <c r="F1247" s="3" t="s">
        <v>83</v>
      </c>
      <c r="G1247" s="3" t="n">
        <v>1</v>
      </c>
      <c r="H1247" s="3" t="n">
        <v>2</v>
      </c>
      <c r="I1247" s="22" t="n">
        <v>41870</v>
      </c>
      <c r="J1247" s="22" t="n">
        <v>41875</v>
      </c>
      <c r="K1247" s="43" t="n">
        <f aca="false">J1247-I1247</f>
        <v>5</v>
      </c>
      <c r="L1247" s="1" t="n">
        <v>5</v>
      </c>
      <c r="M1247" s="3" t="s">
        <v>92</v>
      </c>
      <c r="N1247" s="3" t="s">
        <v>111</v>
      </c>
      <c r="O1247" s="3" t="s">
        <v>112</v>
      </c>
      <c r="P1247" s="2" t="str">
        <f aca="false">CONCATENATE(N1247," ",O1247)</f>
        <v>Evarcha falcata</v>
      </c>
      <c r="Q1247" s="1" t="s">
        <v>30</v>
      </c>
      <c r="R1247" s="1" t="s">
        <v>31</v>
      </c>
      <c r="S1247" s="3" t="n">
        <v>1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f aca="false">SUM(S1247:T1247)</f>
        <v>1</v>
      </c>
      <c r="Z1247" s="3" t="n">
        <f aca="false">SUM(U1247:W1247)</f>
        <v>0</v>
      </c>
      <c r="AA1247" s="3" t="n">
        <f aca="false">SUM(S1247:X1247)</f>
        <v>1</v>
      </c>
      <c r="AB1247" s="11" t="n">
        <f aca="false">(AA1247/(K1247*L1247)*25)*4</f>
        <v>4</v>
      </c>
    </row>
    <row r="1248" customFormat="false" ht="14.25" hidden="false" customHeight="false" outlineLevel="0" collapsed="false">
      <c r="A1248" s="1" t="n">
        <v>2014</v>
      </c>
      <c r="B1248" s="7" t="s">
        <v>322</v>
      </c>
      <c r="C1248" s="7" t="n">
        <v>3</v>
      </c>
      <c r="D1248" s="7" t="s">
        <v>294</v>
      </c>
      <c r="E1248" s="7" t="s">
        <v>294</v>
      </c>
      <c r="F1248" s="3" t="s">
        <v>83</v>
      </c>
      <c r="G1248" s="3" t="n">
        <v>3</v>
      </c>
      <c r="H1248" s="3" t="n">
        <v>11</v>
      </c>
      <c r="I1248" s="22" t="n">
        <v>41870</v>
      </c>
      <c r="J1248" s="22" t="n">
        <v>41875</v>
      </c>
      <c r="K1248" s="43" t="n">
        <f aca="false">J1248-I1248</f>
        <v>5</v>
      </c>
      <c r="L1248" s="1" t="n">
        <v>5</v>
      </c>
      <c r="M1248" s="3" t="s">
        <v>48</v>
      </c>
      <c r="N1248" s="3" t="s">
        <v>49</v>
      </c>
      <c r="O1248" s="3" t="s">
        <v>130</v>
      </c>
      <c r="P1248" s="2" t="str">
        <f aca="false">CONCATENATE(N1248," ",O1248)</f>
        <v>Alopecosa aculeata</v>
      </c>
      <c r="Q1248" s="1" t="s">
        <v>30</v>
      </c>
      <c r="R1248" s="1" t="s">
        <v>35</v>
      </c>
      <c r="S1248" s="3" t="n">
        <v>0</v>
      </c>
      <c r="T1248" s="3" t="n">
        <v>1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f aca="false">SUM(S1248:T1248)</f>
        <v>1</v>
      </c>
      <c r="Z1248" s="3" t="n">
        <f aca="false">SUM(U1248:W1248)</f>
        <v>0</v>
      </c>
      <c r="AA1248" s="3" t="n">
        <f aca="false">SUM(S1248:X1248)</f>
        <v>1</v>
      </c>
      <c r="AB1248" s="11" t="n">
        <f aca="false">(AA1248/(K1248*L1248)*25)*4</f>
        <v>4</v>
      </c>
    </row>
    <row r="1249" customFormat="false" ht="14.25" hidden="false" customHeight="false" outlineLevel="0" collapsed="false">
      <c r="A1249" s="1" t="n">
        <v>2014</v>
      </c>
      <c r="B1249" s="7" t="s">
        <v>322</v>
      </c>
      <c r="C1249" s="7" t="n">
        <v>3</v>
      </c>
      <c r="D1249" s="7" t="s">
        <v>294</v>
      </c>
      <c r="E1249" s="7" t="s">
        <v>294</v>
      </c>
      <c r="F1249" s="3" t="s">
        <v>83</v>
      </c>
      <c r="G1249" s="3" t="n">
        <v>3</v>
      </c>
      <c r="H1249" s="3" t="n">
        <v>11</v>
      </c>
      <c r="I1249" s="22" t="n">
        <v>41870</v>
      </c>
      <c r="J1249" s="22" t="n">
        <v>41875</v>
      </c>
      <c r="K1249" s="43" t="n">
        <f aca="false">J1249-I1249</f>
        <v>5</v>
      </c>
      <c r="L1249" s="1" t="n">
        <v>5</v>
      </c>
      <c r="M1249" s="3" t="s">
        <v>48</v>
      </c>
      <c r="N1249" s="3" t="s">
        <v>61</v>
      </c>
      <c r="O1249" s="3" t="s">
        <v>82</v>
      </c>
      <c r="P1249" s="2" t="str">
        <f aca="false">CONCATENATE(N1249," ",O1249)</f>
        <v>Trochosa terricola</v>
      </c>
      <c r="Q1249" s="1" t="s">
        <v>30</v>
      </c>
      <c r="R1249" s="1" t="s">
        <v>31</v>
      </c>
      <c r="S1249" s="3" t="n">
        <v>2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f aca="false">SUM(S1249:T1249)</f>
        <v>2</v>
      </c>
      <c r="Z1249" s="3" t="n">
        <f aca="false">SUM(U1249:W1249)</f>
        <v>0</v>
      </c>
      <c r="AA1249" s="3" t="n">
        <f aca="false">SUM(S1249:X1249)</f>
        <v>2</v>
      </c>
      <c r="AB1249" s="11" t="n">
        <f aca="false">(AA1249/(K1249*L1249)*25)*4</f>
        <v>8</v>
      </c>
    </row>
    <row r="1250" customFormat="false" ht="14.25" hidden="false" customHeight="false" outlineLevel="0" collapsed="false">
      <c r="A1250" s="1" t="n">
        <v>2014</v>
      </c>
      <c r="B1250" s="7" t="s">
        <v>322</v>
      </c>
      <c r="C1250" s="7" t="n">
        <v>3</v>
      </c>
      <c r="D1250" s="7" t="s">
        <v>294</v>
      </c>
      <c r="E1250" s="7" t="s">
        <v>294</v>
      </c>
      <c r="F1250" s="3" t="s">
        <v>83</v>
      </c>
      <c r="G1250" s="3" t="n">
        <v>3</v>
      </c>
      <c r="H1250" s="3" t="n">
        <v>11</v>
      </c>
      <c r="I1250" s="22" t="n">
        <v>41870</v>
      </c>
      <c r="J1250" s="22" t="n">
        <v>41875</v>
      </c>
      <c r="K1250" s="43" t="n">
        <f aca="false">J1250-I1250</f>
        <v>5</v>
      </c>
      <c r="L1250" s="1" t="n">
        <v>5</v>
      </c>
      <c r="M1250" s="3" t="s">
        <v>48</v>
      </c>
      <c r="N1250" s="3" t="s">
        <v>61</v>
      </c>
      <c r="O1250" s="3" t="s">
        <v>82</v>
      </c>
      <c r="P1250" s="2" t="str">
        <f aca="false">CONCATENATE(N1250," ",O1250)</f>
        <v>Trochosa terricola</v>
      </c>
      <c r="Q1250" s="1" t="s">
        <v>30</v>
      </c>
      <c r="R1250" s="1" t="s">
        <v>35</v>
      </c>
      <c r="S1250" s="3" t="n">
        <v>0</v>
      </c>
      <c r="T1250" s="3" t="n">
        <v>2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f aca="false">SUM(S1250:T1250)</f>
        <v>2</v>
      </c>
      <c r="Z1250" s="3" t="n">
        <f aca="false">SUM(U1250:W1250)</f>
        <v>0</v>
      </c>
      <c r="AA1250" s="3" t="n">
        <f aca="false">SUM(S1250:X1250)</f>
        <v>2</v>
      </c>
      <c r="AB1250" s="11" t="n">
        <f aca="false">(AA1250/(K1250*L1250)*25)*4</f>
        <v>8</v>
      </c>
    </row>
    <row r="1251" customFormat="false" ht="14.25" hidden="false" customHeight="false" outlineLevel="0" collapsed="false">
      <c r="A1251" s="1" t="n">
        <v>2014</v>
      </c>
      <c r="B1251" s="7" t="s">
        <v>322</v>
      </c>
      <c r="C1251" s="7" t="n">
        <v>3</v>
      </c>
      <c r="D1251" s="7" t="s">
        <v>294</v>
      </c>
      <c r="E1251" s="7" t="s">
        <v>294</v>
      </c>
      <c r="F1251" s="3" t="s">
        <v>83</v>
      </c>
      <c r="G1251" s="3" t="n">
        <v>3</v>
      </c>
      <c r="H1251" s="3" t="n">
        <v>11</v>
      </c>
      <c r="I1251" s="22" t="n">
        <v>41870</v>
      </c>
      <c r="J1251" s="22" t="n">
        <v>41875</v>
      </c>
      <c r="K1251" s="43" t="n">
        <f aca="false">J1251-I1251</f>
        <v>5</v>
      </c>
      <c r="L1251" s="1" t="n">
        <v>5</v>
      </c>
      <c r="M1251" s="3" t="s">
        <v>32</v>
      </c>
      <c r="N1251" s="3" t="s">
        <v>169</v>
      </c>
      <c r="O1251" s="3" t="s">
        <v>170</v>
      </c>
      <c r="P1251" s="2" t="str">
        <f aca="false">CONCATENATE(N1251," ",O1251)</f>
        <v>Abacoproeces saltuum</v>
      </c>
      <c r="Q1251" s="1" t="s">
        <v>30</v>
      </c>
      <c r="R1251" s="1" t="s">
        <v>35</v>
      </c>
      <c r="S1251" s="3" t="n">
        <v>0</v>
      </c>
      <c r="T1251" s="3" t="n">
        <v>1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f aca="false">SUM(S1251:T1251)</f>
        <v>1</v>
      </c>
      <c r="Z1251" s="3" t="n">
        <f aca="false">SUM(U1251:W1251)</f>
        <v>0</v>
      </c>
      <c r="AA1251" s="3" t="n">
        <f aca="false">SUM(S1251:X1251)</f>
        <v>1</v>
      </c>
      <c r="AB1251" s="11" t="n">
        <f aca="false">(AA1251/(K1251*L1251)*25)*4</f>
        <v>4</v>
      </c>
    </row>
    <row r="1252" customFormat="false" ht="14.25" hidden="false" customHeight="false" outlineLevel="0" collapsed="false">
      <c r="A1252" s="1" t="n">
        <v>2014</v>
      </c>
      <c r="B1252" s="7" t="s">
        <v>322</v>
      </c>
      <c r="C1252" s="7" t="n">
        <v>3</v>
      </c>
      <c r="D1252" s="7" t="s">
        <v>294</v>
      </c>
      <c r="E1252" s="7" t="s">
        <v>294</v>
      </c>
      <c r="F1252" s="3" t="s">
        <v>83</v>
      </c>
      <c r="G1252" s="3" t="n">
        <v>1</v>
      </c>
      <c r="H1252" s="3" t="n">
        <v>3</v>
      </c>
      <c r="I1252" s="22" t="n">
        <v>41870</v>
      </c>
      <c r="J1252" s="22" t="n">
        <v>41875</v>
      </c>
      <c r="K1252" s="43" t="n">
        <f aca="false">J1252-I1252</f>
        <v>5</v>
      </c>
      <c r="L1252" s="1" t="n">
        <v>5</v>
      </c>
      <c r="M1252" s="3" t="s">
        <v>48</v>
      </c>
      <c r="N1252" s="3" t="s">
        <v>61</v>
      </c>
      <c r="O1252" s="3" t="s">
        <v>82</v>
      </c>
      <c r="P1252" s="2" t="str">
        <f aca="false">CONCATENATE(N1252," ",O1252)</f>
        <v>Trochosa terricola</v>
      </c>
      <c r="Q1252" s="1" t="s">
        <v>30</v>
      </c>
      <c r="R1252" s="1" t="s">
        <v>31</v>
      </c>
      <c r="S1252" s="3" t="n">
        <v>1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f aca="false">SUM(S1252:T1252)</f>
        <v>1</v>
      </c>
      <c r="Z1252" s="3" t="n">
        <f aca="false">SUM(U1252:W1252)</f>
        <v>0</v>
      </c>
      <c r="AA1252" s="3" t="n">
        <f aca="false">SUM(S1252:X1252)</f>
        <v>1</v>
      </c>
      <c r="AB1252" s="11" t="n">
        <f aca="false">(AA1252/(K1252*L1252)*25)*4</f>
        <v>4</v>
      </c>
    </row>
    <row r="1253" customFormat="false" ht="14.25" hidden="false" customHeight="false" outlineLevel="0" collapsed="false">
      <c r="A1253" s="1" t="n">
        <v>2014</v>
      </c>
      <c r="B1253" s="7" t="s">
        <v>322</v>
      </c>
      <c r="C1253" s="7" t="n">
        <v>3</v>
      </c>
      <c r="D1253" s="7" t="s">
        <v>294</v>
      </c>
      <c r="E1253" s="7" t="s">
        <v>294</v>
      </c>
      <c r="F1253" s="3" t="s">
        <v>83</v>
      </c>
      <c r="G1253" s="3" t="n">
        <v>1</v>
      </c>
      <c r="H1253" s="3" t="n">
        <v>3</v>
      </c>
      <c r="I1253" s="22" t="n">
        <v>41870</v>
      </c>
      <c r="J1253" s="22" t="n">
        <v>41875</v>
      </c>
      <c r="K1253" s="43" t="n">
        <f aca="false">J1253-I1253</f>
        <v>5</v>
      </c>
      <c r="L1253" s="1" t="n">
        <v>5</v>
      </c>
      <c r="M1253" s="3" t="s">
        <v>48</v>
      </c>
      <c r="N1253" s="3" t="s">
        <v>61</v>
      </c>
      <c r="O1253" s="3" t="s">
        <v>82</v>
      </c>
      <c r="P1253" s="2" t="str">
        <f aca="false">CONCATENATE(N1253," ",O1253)</f>
        <v>Trochosa terricola</v>
      </c>
      <c r="Q1253" s="1" t="s">
        <v>30</v>
      </c>
      <c r="R1253" s="1" t="s">
        <v>35</v>
      </c>
      <c r="S1253" s="3" t="n">
        <v>0</v>
      </c>
      <c r="T1253" s="3" t="n">
        <v>3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f aca="false">SUM(S1253:T1253)</f>
        <v>3</v>
      </c>
      <c r="Z1253" s="3" t="n">
        <f aca="false">SUM(U1253:W1253)</f>
        <v>0</v>
      </c>
      <c r="AA1253" s="3" t="n">
        <f aca="false">SUM(S1253:X1253)</f>
        <v>3</v>
      </c>
      <c r="AB1253" s="11" t="n">
        <f aca="false">(AA1253/(K1253*L1253)*25)*4</f>
        <v>12</v>
      </c>
    </row>
    <row r="1254" customFormat="false" ht="14.25" hidden="false" customHeight="false" outlineLevel="0" collapsed="false">
      <c r="A1254" s="1" t="n">
        <v>2014</v>
      </c>
      <c r="B1254" s="7" t="s">
        <v>322</v>
      </c>
      <c r="C1254" s="7" t="n">
        <v>3</v>
      </c>
      <c r="D1254" s="7" t="s">
        <v>294</v>
      </c>
      <c r="E1254" s="7" t="s">
        <v>294</v>
      </c>
      <c r="F1254" s="3" t="s">
        <v>83</v>
      </c>
      <c r="G1254" s="3" t="n">
        <v>1</v>
      </c>
      <c r="H1254" s="3" t="n">
        <v>3</v>
      </c>
      <c r="I1254" s="22" t="n">
        <v>41870</v>
      </c>
      <c r="J1254" s="22" t="n">
        <v>41875</v>
      </c>
      <c r="K1254" s="43" t="n">
        <f aca="false">J1254-I1254</f>
        <v>5</v>
      </c>
      <c r="L1254" s="1" t="n">
        <v>5</v>
      </c>
      <c r="M1254" s="3" t="s">
        <v>72</v>
      </c>
      <c r="N1254" s="3" t="s">
        <v>73</v>
      </c>
      <c r="O1254" s="3" t="s">
        <v>74</v>
      </c>
      <c r="P1254" s="2" t="str">
        <f aca="false">CONCATENATE(N1254," ",O1254)</f>
        <v>Zelotes subterraneus</v>
      </c>
      <c r="Q1254" s="1" t="s">
        <v>30</v>
      </c>
      <c r="R1254" s="1" t="s">
        <v>35</v>
      </c>
      <c r="S1254" s="3" t="n">
        <v>0</v>
      </c>
      <c r="T1254" s="3" t="n">
        <v>2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f aca="false">SUM(S1254:T1254)</f>
        <v>2</v>
      </c>
      <c r="Z1254" s="3" t="n">
        <f aca="false">SUM(U1254:W1254)</f>
        <v>0</v>
      </c>
      <c r="AA1254" s="3" t="n">
        <f aca="false">SUM(S1254:X1254)</f>
        <v>2</v>
      </c>
      <c r="AB1254" s="11" t="n">
        <f aca="false">(AA1254/(K1254*L1254)*25)*4</f>
        <v>8</v>
      </c>
    </row>
    <row r="1255" customFormat="false" ht="14.25" hidden="false" customHeight="false" outlineLevel="0" collapsed="false">
      <c r="A1255" s="1" t="n">
        <v>2014</v>
      </c>
      <c r="B1255" s="7" t="s">
        <v>322</v>
      </c>
      <c r="C1255" s="7" t="n">
        <v>3</v>
      </c>
      <c r="D1255" s="7" t="s">
        <v>294</v>
      </c>
      <c r="E1255" s="7" t="s">
        <v>294</v>
      </c>
      <c r="F1255" s="3" t="s">
        <v>83</v>
      </c>
      <c r="G1255" s="3" t="n">
        <v>1</v>
      </c>
      <c r="H1255" s="3" t="n">
        <v>3</v>
      </c>
      <c r="I1255" s="22" t="n">
        <v>41870</v>
      </c>
      <c r="J1255" s="22" t="n">
        <v>41875</v>
      </c>
      <c r="K1255" s="43" t="n">
        <f aca="false">J1255-I1255</f>
        <v>5</v>
      </c>
      <c r="L1255" s="1" t="n">
        <v>5</v>
      </c>
      <c r="M1255" s="3" t="s">
        <v>36</v>
      </c>
      <c r="N1255" s="3" t="s">
        <v>37</v>
      </c>
      <c r="O1255" s="3" t="s">
        <v>75</v>
      </c>
      <c r="P1255" s="2" t="str">
        <f aca="false">CONCATENATE(N1255," ",O1255)</f>
        <v>Ozyptila praticola</v>
      </c>
      <c r="Q1255" s="1" t="s">
        <v>30</v>
      </c>
      <c r="R1255" s="1" t="s">
        <v>31</v>
      </c>
      <c r="S1255" s="3" t="n">
        <v>1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f aca="false">SUM(S1255:T1255)</f>
        <v>1</v>
      </c>
      <c r="Z1255" s="3" t="n">
        <f aca="false">SUM(U1255:W1255)</f>
        <v>0</v>
      </c>
      <c r="AA1255" s="3" t="n">
        <f aca="false">SUM(S1255:X1255)</f>
        <v>1</v>
      </c>
      <c r="AB1255" s="11" t="n">
        <f aca="false">(AA1255/(K1255*L1255)*25)*4</f>
        <v>4</v>
      </c>
    </row>
    <row r="1256" customFormat="false" ht="14.25" hidden="false" customHeight="false" outlineLevel="0" collapsed="false">
      <c r="A1256" s="1" t="n">
        <v>2014</v>
      </c>
      <c r="B1256" s="7" t="s">
        <v>322</v>
      </c>
      <c r="C1256" s="7" t="n">
        <v>3</v>
      </c>
      <c r="D1256" s="7" t="s">
        <v>294</v>
      </c>
      <c r="E1256" s="7" t="s">
        <v>294</v>
      </c>
      <c r="F1256" s="3" t="s">
        <v>83</v>
      </c>
      <c r="G1256" s="3" t="n">
        <v>1</v>
      </c>
      <c r="H1256" s="3" t="n">
        <v>3</v>
      </c>
      <c r="I1256" s="22" t="n">
        <v>41870</v>
      </c>
      <c r="J1256" s="22" t="n">
        <v>41875</v>
      </c>
      <c r="K1256" s="43" t="n">
        <f aca="false">J1256-I1256</f>
        <v>5</v>
      </c>
      <c r="L1256" s="1" t="n">
        <v>5</v>
      </c>
      <c r="M1256" s="3" t="s">
        <v>48</v>
      </c>
      <c r="N1256" s="3" t="s">
        <v>67</v>
      </c>
      <c r="O1256" s="3" t="s">
        <v>127</v>
      </c>
      <c r="P1256" s="2" t="str">
        <f aca="false">CONCATENATE(N1256," ",O1256)</f>
        <v>Pardosa lugubris</v>
      </c>
      <c r="Q1256" s="1" t="s">
        <v>30</v>
      </c>
      <c r="R1256" s="1" t="s">
        <v>35</v>
      </c>
      <c r="S1256" s="3" t="n">
        <v>0</v>
      </c>
      <c r="T1256" s="3" t="n">
        <v>1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f aca="false">SUM(S1256:T1256)</f>
        <v>1</v>
      </c>
      <c r="Z1256" s="3" t="n">
        <f aca="false">SUM(U1256:W1256)</f>
        <v>0</v>
      </c>
      <c r="AA1256" s="3" t="n">
        <f aca="false">SUM(S1256:X1256)</f>
        <v>1</v>
      </c>
      <c r="AB1256" s="11" t="n">
        <f aca="false">(AA1256/(K1256*L1256)*25)*4</f>
        <v>4</v>
      </c>
    </row>
    <row r="1257" customFormat="false" ht="14.25" hidden="false" customHeight="false" outlineLevel="0" collapsed="false">
      <c r="A1257" s="1" t="n">
        <v>2014</v>
      </c>
      <c r="B1257" s="7" t="s">
        <v>322</v>
      </c>
      <c r="C1257" s="7" t="n">
        <v>3</v>
      </c>
      <c r="D1257" s="7" t="s">
        <v>294</v>
      </c>
      <c r="E1257" s="7" t="s">
        <v>294</v>
      </c>
      <c r="F1257" s="3" t="s">
        <v>83</v>
      </c>
      <c r="G1257" s="3" t="n">
        <v>3</v>
      </c>
      <c r="H1257" s="3" t="n">
        <v>12</v>
      </c>
      <c r="I1257" s="22" t="n">
        <v>41870</v>
      </c>
      <c r="J1257" s="22" t="n">
        <v>41875</v>
      </c>
      <c r="K1257" s="43" t="n">
        <f aca="false">J1257-I1257</f>
        <v>5</v>
      </c>
      <c r="L1257" s="1" t="n">
        <v>5</v>
      </c>
      <c r="M1257" s="3" t="s">
        <v>48</v>
      </c>
      <c r="N1257" s="3" t="s">
        <v>49</v>
      </c>
      <c r="O1257" s="3" t="s">
        <v>104</v>
      </c>
      <c r="P1257" s="2" t="str">
        <f aca="false">CONCATENATE(N1257," ",O1257)</f>
        <v>Alopecosa taeniata</v>
      </c>
      <c r="Q1257" s="1" t="s">
        <v>30</v>
      </c>
      <c r="R1257" s="1" t="s">
        <v>35</v>
      </c>
      <c r="S1257" s="3" t="n">
        <v>0</v>
      </c>
      <c r="T1257" s="3" t="n">
        <v>1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f aca="false">SUM(S1257:T1257)</f>
        <v>1</v>
      </c>
      <c r="Z1257" s="3" t="n">
        <f aca="false">SUM(U1257:W1257)</f>
        <v>0</v>
      </c>
      <c r="AA1257" s="3" t="n">
        <f aca="false">SUM(S1257:X1257)</f>
        <v>1</v>
      </c>
      <c r="AB1257" s="11" t="n">
        <f aca="false">(AA1257/(K1257*L1257)*25)*4</f>
        <v>4</v>
      </c>
    </row>
    <row r="1258" customFormat="false" ht="14.25" hidden="false" customHeight="false" outlineLevel="0" collapsed="false">
      <c r="A1258" s="1" t="n">
        <v>2014</v>
      </c>
      <c r="B1258" s="7" t="s">
        <v>322</v>
      </c>
      <c r="C1258" s="7" t="n">
        <v>3</v>
      </c>
      <c r="D1258" s="7" t="s">
        <v>294</v>
      </c>
      <c r="E1258" s="7" t="s">
        <v>294</v>
      </c>
      <c r="F1258" s="3" t="s">
        <v>83</v>
      </c>
      <c r="G1258" s="3" t="n">
        <v>3</v>
      </c>
      <c r="H1258" s="3" t="n">
        <v>12</v>
      </c>
      <c r="I1258" s="22" t="n">
        <v>41870</v>
      </c>
      <c r="J1258" s="22" t="n">
        <v>41875</v>
      </c>
      <c r="K1258" s="43" t="n">
        <f aca="false">J1258-I1258</f>
        <v>5</v>
      </c>
      <c r="L1258" s="1" t="n">
        <v>5</v>
      </c>
      <c r="M1258" s="3" t="s">
        <v>48</v>
      </c>
      <c r="N1258" s="3" t="s">
        <v>67</v>
      </c>
      <c r="O1258" s="3" t="s">
        <v>127</v>
      </c>
      <c r="P1258" s="2" t="str">
        <f aca="false">CONCATENATE(N1258," ",O1258)</f>
        <v>Pardosa lugubris</v>
      </c>
      <c r="Q1258" s="1" t="s">
        <v>30</v>
      </c>
      <c r="R1258" s="1" t="s">
        <v>35</v>
      </c>
      <c r="S1258" s="3" t="n">
        <v>0</v>
      </c>
      <c r="T1258" s="3" t="n">
        <v>1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f aca="false">SUM(S1258:T1258)</f>
        <v>1</v>
      </c>
      <c r="Z1258" s="3" t="n">
        <f aca="false">SUM(U1258:W1258)</f>
        <v>0</v>
      </c>
      <c r="AA1258" s="3" t="n">
        <f aca="false">SUM(S1258:X1258)</f>
        <v>1</v>
      </c>
      <c r="AB1258" s="11" t="n">
        <f aca="false">(AA1258/(K1258*L1258)*25)*4</f>
        <v>4</v>
      </c>
    </row>
    <row r="1259" customFormat="false" ht="14.25" hidden="false" customHeight="false" outlineLevel="0" collapsed="false">
      <c r="A1259" s="1" t="n">
        <v>2014</v>
      </c>
      <c r="B1259" s="7" t="s">
        <v>322</v>
      </c>
      <c r="C1259" s="7" t="n">
        <v>3</v>
      </c>
      <c r="D1259" s="7" t="s">
        <v>294</v>
      </c>
      <c r="E1259" s="7" t="s">
        <v>294</v>
      </c>
      <c r="F1259" s="3" t="s">
        <v>83</v>
      </c>
      <c r="G1259" s="3" t="n">
        <v>3</v>
      </c>
      <c r="H1259" s="3" t="n">
        <v>12</v>
      </c>
      <c r="I1259" s="22" t="n">
        <v>41870</v>
      </c>
      <c r="J1259" s="22" t="n">
        <v>41875</v>
      </c>
      <c r="K1259" s="43" t="n">
        <f aca="false">J1259-I1259</f>
        <v>5</v>
      </c>
      <c r="L1259" s="1" t="n">
        <v>5</v>
      </c>
      <c r="M1259" s="3" t="s">
        <v>72</v>
      </c>
      <c r="N1259" s="3" t="s">
        <v>73</v>
      </c>
      <c r="O1259" s="3" t="s">
        <v>74</v>
      </c>
      <c r="P1259" s="2" t="str">
        <f aca="false">CONCATENATE(N1259," ",O1259)</f>
        <v>Zelotes subterraneus</v>
      </c>
      <c r="Q1259" s="1" t="s">
        <v>30</v>
      </c>
      <c r="R1259" s="1" t="s">
        <v>31</v>
      </c>
      <c r="S1259" s="3" t="n">
        <v>1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f aca="false">SUM(S1259:T1259)</f>
        <v>1</v>
      </c>
      <c r="Z1259" s="3" t="n">
        <f aca="false">SUM(U1259:W1259)</f>
        <v>0</v>
      </c>
      <c r="AA1259" s="3" t="n">
        <f aca="false">SUM(S1259:X1259)</f>
        <v>1</v>
      </c>
      <c r="AB1259" s="11" t="n">
        <f aca="false">(AA1259/(K1259*L1259)*25)*4</f>
        <v>4</v>
      </c>
    </row>
    <row r="1260" customFormat="false" ht="14.25" hidden="false" customHeight="false" outlineLevel="0" collapsed="false">
      <c r="A1260" s="1" t="n">
        <v>2014</v>
      </c>
      <c r="B1260" s="7" t="s">
        <v>322</v>
      </c>
      <c r="C1260" s="7" t="n">
        <v>3</v>
      </c>
      <c r="D1260" s="7" t="s">
        <v>294</v>
      </c>
      <c r="E1260" s="7" t="s">
        <v>294</v>
      </c>
      <c r="F1260" s="3" t="s">
        <v>83</v>
      </c>
      <c r="G1260" s="3" t="n">
        <v>1</v>
      </c>
      <c r="H1260" s="3" t="n">
        <v>5</v>
      </c>
      <c r="I1260" s="22" t="n">
        <v>41870</v>
      </c>
      <c r="J1260" s="22" t="n">
        <v>41875</v>
      </c>
      <c r="K1260" s="43" t="n">
        <f aca="false">J1260-I1260</f>
        <v>5</v>
      </c>
      <c r="L1260" s="1" t="n">
        <v>5</v>
      </c>
      <c r="M1260" s="3" t="s">
        <v>48</v>
      </c>
      <c r="N1260" s="3" t="s">
        <v>61</v>
      </c>
      <c r="O1260" s="3" t="s">
        <v>82</v>
      </c>
      <c r="P1260" s="2" t="str">
        <f aca="false">CONCATENATE(N1260," ",O1260)</f>
        <v>Trochosa terricola</v>
      </c>
      <c r="Q1260" s="1" t="s">
        <v>30</v>
      </c>
      <c r="R1260" s="1" t="s">
        <v>31</v>
      </c>
      <c r="S1260" s="3" t="n">
        <v>2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f aca="false">SUM(S1260:T1260)</f>
        <v>2</v>
      </c>
      <c r="Z1260" s="3" t="n">
        <f aca="false">SUM(U1260:W1260)</f>
        <v>0</v>
      </c>
      <c r="AA1260" s="3" t="n">
        <f aca="false">SUM(S1260:X1260)</f>
        <v>2</v>
      </c>
      <c r="AB1260" s="11" t="n">
        <f aca="false">(AA1260/(K1260*L1260)*25)*4</f>
        <v>8</v>
      </c>
    </row>
    <row r="1261" customFormat="false" ht="14.25" hidden="false" customHeight="false" outlineLevel="0" collapsed="false">
      <c r="A1261" s="1" t="n">
        <v>2014</v>
      </c>
      <c r="B1261" s="7" t="s">
        <v>322</v>
      </c>
      <c r="C1261" s="7" t="n">
        <v>3</v>
      </c>
      <c r="D1261" s="7" t="s">
        <v>294</v>
      </c>
      <c r="E1261" s="7" t="s">
        <v>294</v>
      </c>
      <c r="F1261" s="3" t="s">
        <v>83</v>
      </c>
      <c r="G1261" s="3" t="n">
        <v>1</v>
      </c>
      <c r="H1261" s="3" t="n">
        <v>5</v>
      </c>
      <c r="I1261" s="22" t="n">
        <v>41870</v>
      </c>
      <c r="J1261" s="22" t="n">
        <v>41875</v>
      </c>
      <c r="K1261" s="43" t="n">
        <f aca="false">J1261-I1261</f>
        <v>5</v>
      </c>
      <c r="L1261" s="1" t="n">
        <v>5</v>
      </c>
      <c r="M1261" s="3" t="s">
        <v>48</v>
      </c>
      <c r="N1261" s="3" t="s">
        <v>61</v>
      </c>
      <c r="O1261" s="3" t="s">
        <v>82</v>
      </c>
      <c r="P1261" s="2" t="str">
        <f aca="false">CONCATENATE(N1261," ",O1261)</f>
        <v>Trochosa terricola</v>
      </c>
      <c r="Q1261" s="1" t="s">
        <v>30</v>
      </c>
      <c r="R1261" s="1" t="s">
        <v>35</v>
      </c>
      <c r="S1261" s="3" t="n">
        <v>0</v>
      </c>
      <c r="T1261" s="3" t="n">
        <v>1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f aca="false">SUM(S1261:T1261)</f>
        <v>1</v>
      </c>
      <c r="Z1261" s="3" t="n">
        <f aca="false">SUM(U1261:W1261)</f>
        <v>0</v>
      </c>
      <c r="AA1261" s="3" t="n">
        <f aca="false">SUM(S1261:X1261)</f>
        <v>1</v>
      </c>
      <c r="AB1261" s="11" t="n">
        <f aca="false">(AA1261/(K1261*L1261)*25)*4</f>
        <v>4</v>
      </c>
    </row>
    <row r="1262" customFormat="false" ht="14.25" hidden="false" customHeight="false" outlineLevel="0" collapsed="false">
      <c r="A1262" s="1" t="n">
        <v>2014</v>
      </c>
      <c r="B1262" s="7" t="s">
        <v>322</v>
      </c>
      <c r="C1262" s="7" t="n">
        <v>3</v>
      </c>
      <c r="D1262" s="7" t="s">
        <v>294</v>
      </c>
      <c r="E1262" s="7" t="s">
        <v>294</v>
      </c>
      <c r="F1262" s="3" t="s">
        <v>83</v>
      </c>
      <c r="G1262" s="3" t="n">
        <v>1</v>
      </c>
      <c r="H1262" s="3" t="n">
        <v>5</v>
      </c>
      <c r="I1262" s="22" t="n">
        <v>41870</v>
      </c>
      <c r="J1262" s="22" t="n">
        <v>41875</v>
      </c>
      <c r="K1262" s="43" t="n">
        <f aca="false">J1262-I1262</f>
        <v>5</v>
      </c>
      <c r="L1262" s="1" t="n">
        <v>5</v>
      </c>
      <c r="M1262" s="3" t="s">
        <v>72</v>
      </c>
      <c r="N1262" s="3" t="s">
        <v>73</v>
      </c>
      <c r="O1262" s="3" t="s">
        <v>74</v>
      </c>
      <c r="P1262" s="2" t="str">
        <f aca="false">CONCATENATE(N1262," ",O1262)</f>
        <v>Zelotes subterraneus</v>
      </c>
      <c r="Q1262" s="1" t="s">
        <v>30</v>
      </c>
      <c r="R1262" s="1" t="s">
        <v>35</v>
      </c>
      <c r="S1262" s="3" t="n">
        <v>0</v>
      </c>
      <c r="T1262" s="3" t="n">
        <v>1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f aca="false">SUM(S1262:T1262)</f>
        <v>1</v>
      </c>
      <c r="Z1262" s="3" t="n">
        <f aca="false">SUM(U1262:W1262)</f>
        <v>0</v>
      </c>
      <c r="AA1262" s="3" t="n">
        <f aca="false">SUM(S1262:X1262)</f>
        <v>1</v>
      </c>
      <c r="AB1262" s="11" t="n">
        <f aca="false">(AA1262/(K1262*L1262)*25)*4</f>
        <v>4</v>
      </c>
    </row>
    <row r="1263" customFormat="false" ht="14.25" hidden="false" customHeight="false" outlineLevel="0" collapsed="false">
      <c r="A1263" s="1" t="n">
        <v>2014</v>
      </c>
      <c r="B1263" s="7" t="s">
        <v>322</v>
      </c>
      <c r="C1263" s="7" t="n">
        <v>3</v>
      </c>
      <c r="D1263" s="7" t="s">
        <v>294</v>
      </c>
      <c r="E1263" s="7" t="s">
        <v>294</v>
      </c>
      <c r="F1263" s="3" t="s">
        <v>83</v>
      </c>
      <c r="G1263" s="3" t="n">
        <v>1</v>
      </c>
      <c r="H1263" s="3" t="n">
        <v>5</v>
      </c>
      <c r="I1263" s="22" t="n">
        <v>41870</v>
      </c>
      <c r="J1263" s="22" t="n">
        <v>41875</v>
      </c>
      <c r="K1263" s="43" t="n">
        <f aca="false">J1263-I1263</f>
        <v>5</v>
      </c>
      <c r="L1263" s="1" t="n">
        <v>5</v>
      </c>
      <c r="M1263" s="3" t="s">
        <v>36</v>
      </c>
      <c r="N1263" s="3" t="s">
        <v>37</v>
      </c>
      <c r="O1263" s="3" t="s">
        <v>75</v>
      </c>
      <c r="P1263" s="2" t="str">
        <f aca="false">CONCATENATE(N1263," ",O1263)</f>
        <v>Ozyptila praticola</v>
      </c>
      <c r="Q1263" s="1" t="s">
        <v>30</v>
      </c>
      <c r="R1263" s="1" t="s">
        <v>35</v>
      </c>
      <c r="S1263" s="3" t="n">
        <v>0</v>
      </c>
      <c r="T1263" s="3" t="n">
        <v>1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f aca="false">SUM(S1263:T1263)</f>
        <v>1</v>
      </c>
      <c r="Z1263" s="3" t="n">
        <f aca="false">SUM(U1263:W1263)</f>
        <v>0</v>
      </c>
      <c r="AA1263" s="3" t="n">
        <f aca="false">SUM(S1263:X1263)</f>
        <v>1</v>
      </c>
      <c r="AB1263" s="11" t="n">
        <f aca="false">(AA1263/(K1263*L1263)*25)*4</f>
        <v>4</v>
      </c>
    </row>
    <row r="1264" customFormat="false" ht="14.25" hidden="false" customHeight="false" outlineLevel="0" collapsed="false">
      <c r="A1264" s="1" t="n">
        <v>2014</v>
      </c>
      <c r="B1264" s="7" t="s">
        <v>322</v>
      </c>
      <c r="C1264" s="7" t="n">
        <v>3</v>
      </c>
      <c r="D1264" s="7" t="s">
        <v>294</v>
      </c>
      <c r="E1264" s="7" t="s">
        <v>294</v>
      </c>
      <c r="F1264" s="3" t="s">
        <v>83</v>
      </c>
      <c r="G1264" s="3" t="n">
        <v>2</v>
      </c>
      <c r="H1264" s="3" t="n">
        <v>8</v>
      </c>
      <c r="I1264" s="22" t="n">
        <v>41870</v>
      </c>
      <c r="J1264" s="22" t="n">
        <v>41875</v>
      </c>
      <c r="K1264" s="43" t="n">
        <f aca="false">J1264-I1264</f>
        <v>5</v>
      </c>
      <c r="L1264" s="1" t="n">
        <v>5</v>
      </c>
      <c r="M1264" s="3" t="s">
        <v>36</v>
      </c>
      <c r="N1264" s="3" t="s">
        <v>37</v>
      </c>
      <c r="O1264" s="3" t="s">
        <v>75</v>
      </c>
      <c r="P1264" s="2" t="str">
        <f aca="false">CONCATENATE(N1264," ",O1264)</f>
        <v>Ozyptila praticola</v>
      </c>
      <c r="Q1264" s="1" t="s">
        <v>30</v>
      </c>
      <c r="R1264" s="1" t="s">
        <v>35</v>
      </c>
      <c r="S1264" s="3" t="n">
        <v>0</v>
      </c>
      <c r="T1264" s="3" t="n">
        <v>2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f aca="false">SUM(S1264:T1264)</f>
        <v>2</v>
      </c>
      <c r="Z1264" s="3" t="n">
        <f aca="false">SUM(U1264:W1264)</f>
        <v>0</v>
      </c>
      <c r="AA1264" s="3" t="n">
        <f aca="false">SUM(S1264:X1264)</f>
        <v>2</v>
      </c>
      <c r="AB1264" s="11" t="n">
        <f aca="false">(AA1264/(K1264*L1264)*25)*4</f>
        <v>8</v>
      </c>
    </row>
    <row r="1265" customFormat="false" ht="14.25" hidden="false" customHeight="false" outlineLevel="0" collapsed="false">
      <c r="A1265" s="1" t="n">
        <v>2014</v>
      </c>
      <c r="B1265" s="7" t="s">
        <v>322</v>
      </c>
      <c r="C1265" s="7" t="n">
        <v>3</v>
      </c>
      <c r="D1265" s="7" t="s">
        <v>294</v>
      </c>
      <c r="E1265" s="7" t="s">
        <v>294</v>
      </c>
      <c r="F1265" s="3" t="s">
        <v>83</v>
      </c>
      <c r="G1265" s="3" t="n">
        <v>2</v>
      </c>
      <c r="H1265" s="3" t="n">
        <v>8</v>
      </c>
      <c r="I1265" s="22" t="n">
        <v>41870</v>
      </c>
      <c r="J1265" s="22" t="n">
        <v>41875</v>
      </c>
      <c r="K1265" s="43" t="n">
        <f aca="false">J1265-I1265</f>
        <v>5</v>
      </c>
      <c r="L1265" s="1" t="n">
        <v>5</v>
      </c>
      <c r="M1265" s="3" t="s">
        <v>72</v>
      </c>
      <c r="N1265" s="3" t="s">
        <v>73</v>
      </c>
      <c r="O1265" s="3" t="s">
        <v>74</v>
      </c>
      <c r="P1265" s="2" t="str">
        <f aca="false">CONCATENATE(N1265," ",O1265)</f>
        <v>Zelotes subterraneus</v>
      </c>
      <c r="Q1265" s="1" t="s">
        <v>30</v>
      </c>
      <c r="R1265" s="1" t="s">
        <v>31</v>
      </c>
      <c r="S1265" s="3" t="n">
        <v>2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f aca="false">SUM(S1265:T1265)</f>
        <v>2</v>
      </c>
      <c r="Z1265" s="3" t="n">
        <f aca="false">SUM(U1265:W1265)</f>
        <v>0</v>
      </c>
      <c r="AA1265" s="3" t="n">
        <f aca="false">SUM(S1265:X1265)</f>
        <v>2</v>
      </c>
      <c r="AB1265" s="11" t="n">
        <f aca="false">(AA1265/(K1265*L1265)*25)*4</f>
        <v>8</v>
      </c>
    </row>
    <row r="1266" customFormat="false" ht="14.25" hidden="false" customHeight="false" outlineLevel="0" collapsed="false">
      <c r="A1266" s="1" t="n">
        <v>2014</v>
      </c>
      <c r="B1266" s="7" t="s">
        <v>322</v>
      </c>
      <c r="C1266" s="7" t="n">
        <v>3</v>
      </c>
      <c r="D1266" s="7" t="s">
        <v>294</v>
      </c>
      <c r="E1266" s="7" t="s">
        <v>294</v>
      </c>
      <c r="F1266" s="3" t="s">
        <v>83</v>
      </c>
      <c r="G1266" s="3" t="n">
        <v>2</v>
      </c>
      <c r="H1266" s="3" t="n">
        <v>8</v>
      </c>
      <c r="I1266" s="22" t="n">
        <v>41870</v>
      </c>
      <c r="J1266" s="22" t="n">
        <v>41875</v>
      </c>
      <c r="K1266" s="43" t="n">
        <f aca="false">J1266-I1266</f>
        <v>5</v>
      </c>
      <c r="L1266" s="1" t="n">
        <v>5</v>
      </c>
      <c r="M1266" s="3" t="s">
        <v>48</v>
      </c>
      <c r="N1266" s="3" t="s">
        <v>61</v>
      </c>
      <c r="O1266" s="3" t="s">
        <v>82</v>
      </c>
      <c r="P1266" s="2" t="str">
        <f aca="false">CONCATENATE(N1266," ",O1266)</f>
        <v>Trochosa terricola</v>
      </c>
      <c r="Q1266" s="1" t="s">
        <v>30</v>
      </c>
      <c r="R1266" s="1" t="s">
        <v>35</v>
      </c>
      <c r="S1266" s="3" t="n">
        <v>0</v>
      </c>
      <c r="T1266" s="3" t="n">
        <v>1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f aca="false">SUM(S1266:T1266)</f>
        <v>1</v>
      </c>
      <c r="Z1266" s="3" t="n">
        <f aca="false">SUM(U1266:W1266)</f>
        <v>0</v>
      </c>
      <c r="AA1266" s="3" t="n">
        <f aca="false">SUM(S1266:X1266)</f>
        <v>1</v>
      </c>
      <c r="AB1266" s="11" t="n">
        <f aca="false">(AA1266/(K1266*L1266)*25)*4</f>
        <v>4</v>
      </c>
    </row>
    <row r="1267" customFormat="false" ht="14.25" hidden="false" customHeight="false" outlineLevel="0" collapsed="false">
      <c r="A1267" s="1" t="n">
        <v>2014</v>
      </c>
      <c r="B1267" s="7" t="s">
        <v>322</v>
      </c>
      <c r="C1267" s="7" t="n">
        <v>3</v>
      </c>
      <c r="D1267" s="7" t="s">
        <v>294</v>
      </c>
      <c r="E1267" s="7" t="s">
        <v>294</v>
      </c>
      <c r="F1267" s="3" t="s">
        <v>83</v>
      </c>
      <c r="G1267" s="3" t="n">
        <v>2</v>
      </c>
      <c r="H1267" s="3" t="n">
        <v>8</v>
      </c>
      <c r="I1267" s="22" t="n">
        <v>41870</v>
      </c>
      <c r="J1267" s="22" t="n">
        <v>41875</v>
      </c>
      <c r="K1267" s="43" t="n">
        <f aca="false">J1267-I1267</f>
        <v>5</v>
      </c>
      <c r="L1267" s="1" t="n">
        <v>5</v>
      </c>
      <c r="M1267" s="3" t="s">
        <v>225</v>
      </c>
      <c r="N1267" s="3" t="s">
        <v>125</v>
      </c>
      <c r="O1267" s="3" t="s">
        <v>126</v>
      </c>
      <c r="P1267" s="2" t="str">
        <f aca="false">CONCATENATE(N1267," ",O1267)</f>
        <v>Hahnia ononidum</v>
      </c>
      <c r="Q1267" s="1" t="s">
        <v>30</v>
      </c>
      <c r="R1267" s="1" t="s">
        <v>35</v>
      </c>
      <c r="S1267" s="3" t="n">
        <v>0</v>
      </c>
      <c r="T1267" s="3" t="n">
        <v>1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f aca="false">SUM(S1267:T1267)</f>
        <v>1</v>
      </c>
      <c r="Z1267" s="3" t="n">
        <f aca="false">SUM(U1267:W1267)</f>
        <v>0</v>
      </c>
      <c r="AA1267" s="3" t="n">
        <f aca="false">SUM(S1267:X1267)</f>
        <v>1</v>
      </c>
      <c r="AB1267" s="11" t="n">
        <f aca="false">(AA1267/(K1267*L1267)*25)*4</f>
        <v>4</v>
      </c>
    </row>
    <row r="1268" customFormat="false" ht="14.25" hidden="false" customHeight="false" outlineLevel="0" collapsed="false">
      <c r="A1268" s="1" t="n">
        <v>2014</v>
      </c>
      <c r="B1268" s="7" t="s">
        <v>322</v>
      </c>
      <c r="C1268" s="7" t="n">
        <v>3</v>
      </c>
      <c r="D1268" s="7" t="s">
        <v>294</v>
      </c>
      <c r="E1268" s="7" t="s">
        <v>294</v>
      </c>
      <c r="F1268" s="3" t="s">
        <v>83</v>
      </c>
      <c r="G1268" s="3" t="n">
        <v>3</v>
      </c>
      <c r="H1268" s="3" t="n">
        <v>15</v>
      </c>
      <c r="I1268" s="22" t="n">
        <v>41870</v>
      </c>
      <c r="J1268" s="22" t="n">
        <v>41875</v>
      </c>
      <c r="K1268" s="43" t="n">
        <f aca="false">J1268-I1268</f>
        <v>5</v>
      </c>
      <c r="L1268" s="1" t="n">
        <v>5</v>
      </c>
      <c r="M1268" s="3" t="s">
        <v>48</v>
      </c>
      <c r="N1268" s="3" t="s">
        <v>61</v>
      </c>
      <c r="O1268" s="3" t="s">
        <v>82</v>
      </c>
      <c r="P1268" s="2" t="str">
        <f aca="false">CONCATENATE(N1268," ",O1268)</f>
        <v>Trochosa terricola</v>
      </c>
      <c r="Q1268" s="1" t="s">
        <v>30</v>
      </c>
      <c r="R1268" s="1" t="s">
        <v>35</v>
      </c>
      <c r="S1268" s="3" t="n">
        <v>0</v>
      </c>
      <c r="T1268" s="3" t="n">
        <v>1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f aca="false">SUM(S1268:T1268)</f>
        <v>1</v>
      </c>
      <c r="Z1268" s="3" t="n">
        <f aca="false">SUM(U1268:W1268)</f>
        <v>0</v>
      </c>
      <c r="AA1268" s="3" t="n">
        <f aca="false">SUM(S1268:X1268)</f>
        <v>1</v>
      </c>
      <c r="AB1268" s="11" t="n">
        <f aca="false">(AA1268/(K1268*L1268)*25)*4</f>
        <v>4</v>
      </c>
    </row>
    <row r="1269" customFormat="false" ht="14.25" hidden="false" customHeight="false" outlineLevel="0" collapsed="false">
      <c r="A1269" s="1" t="n">
        <v>2014</v>
      </c>
      <c r="B1269" s="7" t="s">
        <v>322</v>
      </c>
      <c r="C1269" s="7" t="n">
        <v>3</v>
      </c>
      <c r="D1269" s="7" t="s">
        <v>294</v>
      </c>
      <c r="E1269" s="7" t="s">
        <v>294</v>
      </c>
      <c r="F1269" s="3" t="s">
        <v>83</v>
      </c>
      <c r="G1269" s="3" t="n">
        <v>3</v>
      </c>
      <c r="H1269" s="3" t="n">
        <v>15</v>
      </c>
      <c r="I1269" s="22" t="n">
        <v>41870</v>
      </c>
      <c r="J1269" s="22" t="n">
        <v>41875</v>
      </c>
      <c r="K1269" s="43" t="n">
        <f aca="false">J1269-I1269</f>
        <v>5</v>
      </c>
      <c r="L1269" s="1" t="n">
        <v>5</v>
      </c>
      <c r="M1269" s="3" t="s">
        <v>36</v>
      </c>
      <c r="N1269" s="3" t="s">
        <v>37</v>
      </c>
      <c r="O1269" s="3" t="s">
        <v>75</v>
      </c>
      <c r="P1269" s="2" t="str">
        <f aca="false">CONCATENATE(N1269," ",O1269)</f>
        <v>Ozyptila praticola</v>
      </c>
      <c r="Q1269" s="1" t="s">
        <v>30</v>
      </c>
      <c r="R1269" s="1" t="s">
        <v>31</v>
      </c>
      <c r="S1269" s="3" t="n">
        <v>1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f aca="false">SUM(S1269:T1269)</f>
        <v>1</v>
      </c>
      <c r="Z1269" s="3" t="n">
        <f aca="false">SUM(U1269:W1269)</f>
        <v>0</v>
      </c>
      <c r="AA1269" s="3" t="n">
        <f aca="false">SUM(S1269:X1269)</f>
        <v>1</v>
      </c>
      <c r="AB1269" s="11" t="n">
        <f aca="false">(AA1269/(K1269*L1269)*25)*4</f>
        <v>4</v>
      </c>
    </row>
    <row r="1270" customFormat="false" ht="14.25" hidden="false" customHeight="false" outlineLevel="0" collapsed="false">
      <c r="A1270" s="1" t="n">
        <v>2014</v>
      </c>
      <c r="B1270" s="7" t="s">
        <v>322</v>
      </c>
      <c r="C1270" s="7" t="n">
        <v>3</v>
      </c>
      <c r="D1270" s="7" t="s">
        <v>294</v>
      </c>
      <c r="E1270" s="7" t="s">
        <v>294</v>
      </c>
      <c r="F1270" s="3" t="s">
        <v>158</v>
      </c>
      <c r="G1270" s="3" t="n">
        <v>3</v>
      </c>
      <c r="H1270" s="3" t="n">
        <v>14</v>
      </c>
      <c r="I1270" s="22" t="n">
        <v>41869</v>
      </c>
      <c r="J1270" s="22" t="n">
        <v>41874</v>
      </c>
      <c r="K1270" s="43" t="n">
        <f aca="false">J1270-I1270</f>
        <v>5</v>
      </c>
      <c r="L1270" s="1" t="n">
        <v>5</v>
      </c>
      <c r="M1270" s="3" t="s">
        <v>36</v>
      </c>
      <c r="N1270" s="3" t="s">
        <v>37</v>
      </c>
      <c r="O1270" s="3" t="s">
        <v>75</v>
      </c>
      <c r="P1270" s="2" t="str">
        <f aca="false">CONCATENATE(N1270," ",O1270)</f>
        <v>Ozyptila praticola</v>
      </c>
      <c r="Q1270" s="1" t="s">
        <v>30</v>
      </c>
      <c r="R1270" s="1" t="s">
        <v>35</v>
      </c>
      <c r="S1270" s="3" t="n">
        <v>0</v>
      </c>
      <c r="T1270" s="3" t="n">
        <v>2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f aca="false">SUM(S1270:T1270)</f>
        <v>2</v>
      </c>
      <c r="Z1270" s="3" t="n">
        <f aca="false">SUM(U1270:W1270)</f>
        <v>0</v>
      </c>
      <c r="AA1270" s="3" t="n">
        <f aca="false">SUM(S1270:X1270)</f>
        <v>2</v>
      </c>
      <c r="AB1270" s="11" t="n">
        <f aca="false">(AA1270/(K1270*L1270)*25)*4</f>
        <v>8</v>
      </c>
    </row>
    <row r="1271" customFormat="false" ht="14.25" hidden="false" customHeight="false" outlineLevel="0" collapsed="false">
      <c r="A1271" s="1" t="n">
        <v>2014</v>
      </c>
      <c r="B1271" s="7" t="s">
        <v>322</v>
      </c>
      <c r="C1271" s="7" t="n">
        <v>3</v>
      </c>
      <c r="D1271" s="7" t="s">
        <v>294</v>
      </c>
      <c r="E1271" s="7" t="s">
        <v>294</v>
      </c>
      <c r="F1271" s="3" t="s">
        <v>158</v>
      </c>
      <c r="G1271" s="3" t="n">
        <v>3</v>
      </c>
      <c r="H1271" s="3" t="n">
        <v>14</v>
      </c>
      <c r="I1271" s="22" t="n">
        <v>41869</v>
      </c>
      <c r="J1271" s="22" t="n">
        <v>41874</v>
      </c>
      <c r="K1271" s="43" t="n">
        <f aca="false">J1271-I1271</f>
        <v>5</v>
      </c>
      <c r="L1271" s="1" t="n">
        <v>5</v>
      </c>
      <c r="M1271" s="3" t="s">
        <v>32</v>
      </c>
      <c r="N1271" s="3" t="s">
        <v>84</v>
      </c>
      <c r="O1271" s="3" t="s">
        <v>168</v>
      </c>
      <c r="P1271" s="2" t="str">
        <f aca="false">CONCATENATE(N1271," ",O1271)</f>
        <v>Walckenaeria atrotibialis</v>
      </c>
      <c r="Q1271" s="1" t="s">
        <v>30</v>
      </c>
      <c r="R1271" s="1" t="s">
        <v>35</v>
      </c>
      <c r="S1271" s="3" t="n">
        <v>0</v>
      </c>
      <c r="T1271" s="3" t="n">
        <v>1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f aca="false">SUM(S1271:T1271)</f>
        <v>1</v>
      </c>
      <c r="Z1271" s="3" t="n">
        <f aca="false">SUM(U1271:W1271)</f>
        <v>0</v>
      </c>
      <c r="AA1271" s="3" t="n">
        <f aca="false">SUM(S1271:X1271)</f>
        <v>1</v>
      </c>
      <c r="AB1271" s="11" t="n">
        <f aca="false">(AA1271/(K1271*L1271)*25)*4</f>
        <v>4</v>
      </c>
    </row>
    <row r="1272" customFormat="false" ht="14.25" hidden="false" customHeight="false" outlineLevel="0" collapsed="false">
      <c r="A1272" s="1" t="n">
        <v>2014</v>
      </c>
      <c r="B1272" s="7" t="s">
        <v>322</v>
      </c>
      <c r="C1272" s="7" t="n">
        <v>3</v>
      </c>
      <c r="D1272" s="7" t="s">
        <v>294</v>
      </c>
      <c r="E1272" s="7" t="s">
        <v>294</v>
      </c>
      <c r="F1272" s="3" t="s">
        <v>158</v>
      </c>
      <c r="G1272" s="3" t="n">
        <v>3</v>
      </c>
      <c r="H1272" s="3" t="n">
        <v>14</v>
      </c>
      <c r="I1272" s="22" t="n">
        <v>41869</v>
      </c>
      <c r="J1272" s="22" t="n">
        <v>41874</v>
      </c>
      <c r="K1272" s="43" t="n">
        <f aca="false">J1272-I1272</f>
        <v>5</v>
      </c>
      <c r="L1272" s="1" t="n">
        <v>5</v>
      </c>
      <c r="M1272" s="3" t="s">
        <v>32</v>
      </c>
      <c r="N1272" s="3" t="s">
        <v>33</v>
      </c>
      <c r="O1272" s="3" t="s">
        <v>81</v>
      </c>
      <c r="P1272" s="2" t="str">
        <f aca="false">CONCATENATE(N1272," ",O1272)</f>
        <v>Tenuiphantes mengei</v>
      </c>
      <c r="Q1272" s="1" t="s">
        <v>30</v>
      </c>
      <c r="R1272" s="1" t="s">
        <v>35</v>
      </c>
      <c r="S1272" s="3" t="n">
        <v>0</v>
      </c>
      <c r="T1272" s="3" t="n">
        <v>1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f aca="false">SUM(S1272:T1272)</f>
        <v>1</v>
      </c>
      <c r="Z1272" s="3" t="n">
        <f aca="false">SUM(U1272:W1272)</f>
        <v>0</v>
      </c>
      <c r="AA1272" s="3" t="n">
        <f aca="false">SUM(S1272:X1272)</f>
        <v>1</v>
      </c>
      <c r="AB1272" s="11" t="n">
        <f aca="false">(AA1272/(K1272*L1272)*25)*4</f>
        <v>4</v>
      </c>
    </row>
    <row r="1273" customFormat="false" ht="14.25" hidden="false" customHeight="false" outlineLevel="0" collapsed="false">
      <c r="A1273" s="1" t="n">
        <v>2014</v>
      </c>
      <c r="B1273" s="7" t="s">
        <v>322</v>
      </c>
      <c r="C1273" s="7" t="n">
        <v>3</v>
      </c>
      <c r="D1273" s="7" t="s">
        <v>294</v>
      </c>
      <c r="E1273" s="7" t="s">
        <v>294</v>
      </c>
      <c r="F1273" s="3" t="s">
        <v>158</v>
      </c>
      <c r="G1273" s="3" t="n">
        <v>3</v>
      </c>
      <c r="H1273" s="3" t="n">
        <v>14</v>
      </c>
      <c r="I1273" s="22" t="n">
        <v>41869</v>
      </c>
      <c r="J1273" s="22" t="n">
        <v>41874</v>
      </c>
      <c r="K1273" s="43" t="n">
        <f aca="false">J1273-I1273</f>
        <v>5</v>
      </c>
      <c r="L1273" s="1" t="n">
        <v>5</v>
      </c>
      <c r="M1273" s="3" t="s">
        <v>72</v>
      </c>
      <c r="N1273" s="3" t="s">
        <v>73</v>
      </c>
      <c r="O1273" s="3" t="s">
        <v>74</v>
      </c>
      <c r="P1273" s="2" t="str">
        <f aca="false">CONCATENATE(N1273," ",O1273)</f>
        <v>Zelotes subterraneus</v>
      </c>
      <c r="Q1273" s="1" t="s">
        <v>30</v>
      </c>
      <c r="R1273" s="1" t="s">
        <v>31</v>
      </c>
      <c r="S1273" s="3" t="n">
        <v>1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f aca="false">SUM(S1273:T1273)</f>
        <v>1</v>
      </c>
      <c r="Z1273" s="3" t="n">
        <f aca="false">SUM(U1273:W1273)</f>
        <v>0</v>
      </c>
      <c r="AA1273" s="3" t="n">
        <f aca="false">SUM(S1273:X1273)</f>
        <v>1</v>
      </c>
      <c r="AB1273" s="11" t="n">
        <f aca="false">(AA1273/(K1273*L1273)*25)*4</f>
        <v>4</v>
      </c>
    </row>
    <row r="1274" customFormat="false" ht="14.25" hidden="false" customHeight="false" outlineLevel="0" collapsed="false">
      <c r="A1274" s="1" t="n">
        <v>2014</v>
      </c>
      <c r="B1274" s="7" t="s">
        <v>322</v>
      </c>
      <c r="C1274" s="7" t="n">
        <v>3</v>
      </c>
      <c r="D1274" s="7" t="s">
        <v>294</v>
      </c>
      <c r="E1274" s="7" t="s">
        <v>294</v>
      </c>
      <c r="F1274" s="3" t="s">
        <v>158</v>
      </c>
      <c r="G1274" s="3" t="n">
        <v>1</v>
      </c>
      <c r="H1274" s="3" t="n">
        <v>1</v>
      </c>
      <c r="I1274" s="22" t="n">
        <v>41869</v>
      </c>
      <c r="J1274" s="22" t="n">
        <v>41874</v>
      </c>
      <c r="K1274" s="43" t="n">
        <f aca="false">J1274-I1274</f>
        <v>5</v>
      </c>
      <c r="L1274" s="1" t="n">
        <v>5</v>
      </c>
      <c r="M1274" s="3" t="s">
        <v>36</v>
      </c>
      <c r="N1274" s="3" t="s">
        <v>37</v>
      </c>
      <c r="O1274" s="3" t="s">
        <v>75</v>
      </c>
      <c r="P1274" s="2" t="str">
        <f aca="false">CONCATENATE(N1274," ",O1274)</f>
        <v>Ozyptila praticola</v>
      </c>
      <c r="Q1274" s="1" t="s">
        <v>30</v>
      </c>
      <c r="R1274" s="1" t="s">
        <v>31</v>
      </c>
      <c r="S1274" s="3" t="n">
        <v>1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f aca="false">SUM(S1274:T1274)</f>
        <v>1</v>
      </c>
      <c r="Z1274" s="3" t="n">
        <f aca="false">SUM(U1274:W1274)</f>
        <v>0</v>
      </c>
      <c r="AA1274" s="3" t="n">
        <f aca="false">SUM(S1274:X1274)</f>
        <v>1</v>
      </c>
      <c r="AB1274" s="11" t="n">
        <f aca="false">(AA1274/(K1274*L1274)*25)*4</f>
        <v>4</v>
      </c>
    </row>
    <row r="1275" customFormat="false" ht="14.25" hidden="false" customHeight="false" outlineLevel="0" collapsed="false">
      <c r="A1275" s="1" t="n">
        <v>2014</v>
      </c>
      <c r="B1275" s="7" t="s">
        <v>322</v>
      </c>
      <c r="C1275" s="7" t="n">
        <v>3</v>
      </c>
      <c r="D1275" s="7" t="s">
        <v>294</v>
      </c>
      <c r="E1275" s="7" t="s">
        <v>294</v>
      </c>
      <c r="F1275" s="3" t="s">
        <v>158</v>
      </c>
      <c r="G1275" s="3" t="n">
        <v>1</v>
      </c>
      <c r="H1275" s="3" t="n">
        <v>1</v>
      </c>
      <c r="I1275" s="22" t="n">
        <v>41869</v>
      </c>
      <c r="J1275" s="22" t="n">
        <v>41874</v>
      </c>
      <c r="K1275" s="43" t="n">
        <f aca="false">J1275-I1275</f>
        <v>5</v>
      </c>
      <c r="L1275" s="1" t="n">
        <v>5</v>
      </c>
      <c r="M1275" s="3" t="s">
        <v>36</v>
      </c>
      <c r="N1275" s="3" t="s">
        <v>131</v>
      </c>
      <c r="O1275" s="3" t="s">
        <v>133</v>
      </c>
      <c r="P1275" s="2" t="str">
        <f aca="false">CONCATENATE(N1275," ",O1275)</f>
        <v>Xysticus luctuosus</v>
      </c>
      <c r="Q1275" s="1" t="s">
        <v>30</v>
      </c>
      <c r="R1275" s="1" t="s">
        <v>35</v>
      </c>
      <c r="S1275" s="3" t="n">
        <v>0</v>
      </c>
      <c r="T1275" s="3" t="n">
        <v>1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f aca="false">SUM(S1275:T1275)</f>
        <v>1</v>
      </c>
      <c r="Z1275" s="3" t="n">
        <f aca="false">SUM(U1275:W1275)</f>
        <v>0</v>
      </c>
      <c r="AA1275" s="3" t="n">
        <f aca="false">SUM(S1275:X1275)</f>
        <v>1</v>
      </c>
      <c r="AB1275" s="11" t="n">
        <f aca="false">(AA1275/(K1275*L1275)*25)*4</f>
        <v>4</v>
      </c>
    </row>
    <row r="1276" customFormat="false" ht="14.25" hidden="false" customHeight="false" outlineLevel="0" collapsed="false">
      <c r="A1276" s="1" t="n">
        <v>2014</v>
      </c>
      <c r="B1276" s="7" t="s">
        <v>322</v>
      </c>
      <c r="C1276" s="7" t="n">
        <v>3</v>
      </c>
      <c r="D1276" s="7" t="s">
        <v>294</v>
      </c>
      <c r="E1276" s="7" t="s">
        <v>294</v>
      </c>
      <c r="F1276" s="3" t="s">
        <v>158</v>
      </c>
      <c r="G1276" s="3" t="n">
        <v>1</v>
      </c>
      <c r="H1276" s="3" t="n">
        <v>1</v>
      </c>
      <c r="I1276" s="22" t="n">
        <v>41869</v>
      </c>
      <c r="J1276" s="22" t="n">
        <v>41874</v>
      </c>
      <c r="K1276" s="43" t="n">
        <f aca="false">J1276-I1276</f>
        <v>5</v>
      </c>
      <c r="L1276" s="1" t="n">
        <v>5</v>
      </c>
      <c r="M1276" s="3" t="s">
        <v>48</v>
      </c>
      <c r="N1276" s="3" t="s">
        <v>61</v>
      </c>
      <c r="O1276" s="3" t="s">
        <v>82</v>
      </c>
      <c r="P1276" s="2" t="str">
        <f aca="false">CONCATENATE(N1276," ",O1276)</f>
        <v>Trochosa terricola</v>
      </c>
      <c r="Q1276" s="1" t="s">
        <v>30</v>
      </c>
      <c r="R1276" s="1" t="s">
        <v>35</v>
      </c>
      <c r="S1276" s="3" t="n">
        <v>0</v>
      </c>
      <c r="T1276" s="3" t="n">
        <v>1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f aca="false">SUM(S1276:T1276)</f>
        <v>1</v>
      </c>
      <c r="Z1276" s="3" t="n">
        <f aca="false">SUM(U1276:W1276)</f>
        <v>0</v>
      </c>
      <c r="AA1276" s="3" t="n">
        <f aca="false">SUM(S1276:X1276)</f>
        <v>1</v>
      </c>
      <c r="AB1276" s="11" t="n">
        <f aca="false">(AA1276/(K1276*L1276)*25)*4</f>
        <v>4</v>
      </c>
    </row>
    <row r="1277" customFormat="false" ht="14.25" hidden="false" customHeight="false" outlineLevel="0" collapsed="false">
      <c r="A1277" s="1" t="n">
        <v>2014</v>
      </c>
      <c r="B1277" s="7" t="s">
        <v>322</v>
      </c>
      <c r="C1277" s="7" t="n">
        <v>3</v>
      </c>
      <c r="D1277" s="7" t="s">
        <v>294</v>
      </c>
      <c r="E1277" s="7" t="s">
        <v>294</v>
      </c>
      <c r="F1277" s="3" t="s">
        <v>158</v>
      </c>
      <c r="G1277" s="3" t="n">
        <v>1</v>
      </c>
      <c r="H1277" s="3" t="n">
        <v>1</v>
      </c>
      <c r="I1277" s="22" t="n">
        <v>41869</v>
      </c>
      <c r="J1277" s="22" t="n">
        <v>41874</v>
      </c>
      <c r="K1277" s="43" t="n">
        <f aca="false">J1277-I1277</f>
        <v>5</v>
      </c>
      <c r="L1277" s="1" t="n">
        <v>5</v>
      </c>
      <c r="M1277" s="3" t="s">
        <v>32</v>
      </c>
      <c r="N1277" s="3" t="s">
        <v>84</v>
      </c>
      <c r="O1277" s="3" t="s">
        <v>181</v>
      </c>
      <c r="P1277" s="2" t="str">
        <f aca="false">CONCATENATE(N1277," ",O1277)</f>
        <v>Walckenaeria cucullata</v>
      </c>
      <c r="Q1277" s="1" t="s">
        <v>30</v>
      </c>
      <c r="R1277" s="1" t="s">
        <v>35</v>
      </c>
      <c r="S1277" s="3" t="n">
        <v>0</v>
      </c>
      <c r="T1277" s="3" t="n">
        <v>1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f aca="false">SUM(S1277:T1277)</f>
        <v>1</v>
      </c>
      <c r="Z1277" s="3" t="n">
        <f aca="false">SUM(U1277:W1277)</f>
        <v>0</v>
      </c>
      <c r="AA1277" s="3" t="n">
        <f aca="false">SUM(S1277:X1277)</f>
        <v>1</v>
      </c>
      <c r="AB1277" s="11" t="n">
        <f aca="false">(AA1277/(K1277*L1277)*25)*4</f>
        <v>4</v>
      </c>
    </row>
    <row r="1278" customFormat="false" ht="14.25" hidden="false" customHeight="false" outlineLevel="0" collapsed="false">
      <c r="A1278" s="1" t="n">
        <v>2014</v>
      </c>
      <c r="B1278" s="7" t="s">
        <v>322</v>
      </c>
      <c r="C1278" s="7" t="n">
        <v>3</v>
      </c>
      <c r="D1278" s="7" t="s">
        <v>294</v>
      </c>
      <c r="E1278" s="7" t="s">
        <v>294</v>
      </c>
      <c r="F1278" s="3" t="s">
        <v>158</v>
      </c>
      <c r="G1278" s="3" t="n">
        <v>3</v>
      </c>
      <c r="H1278" s="3" t="n">
        <v>11</v>
      </c>
      <c r="I1278" s="22" t="n">
        <v>41869</v>
      </c>
      <c r="J1278" s="22" t="n">
        <v>41874</v>
      </c>
      <c r="K1278" s="43" t="n">
        <f aca="false">J1278-I1278</f>
        <v>5</v>
      </c>
      <c r="L1278" s="1" t="n">
        <v>5</v>
      </c>
      <c r="M1278" s="3" t="s">
        <v>72</v>
      </c>
      <c r="N1278" s="3" t="s">
        <v>73</v>
      </c>
      <c r="O1278" s="3" t="s">
        <v>74</v>
      </c>
      <c r="P1278" s="2" t="str">
        <f aca="false">CONCATENATE(N1278," ",O1278)</f>
        <v>Zelotes subterraneus</v>
      </c>
      <c r="Q1278" s="1" t="s">
        <v>30</v>
      </c>
      <c r="R1278" s="1" t="s">
        <v>35</v>
      </c>
      <c r="S1278" s="3" t="n">
        <v>0</v>
      </c>
      <c r="T1278" s="3" t="n">
        <v>1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f aca="false">SUM(S1278:T1278)</f>
        <v>1</v>
      </c>
      <c r="Z1278" s="3" t="n">
        <f aca="false">SUM(U1278:W1278)</f>
        <v>0</v>
      </c>
      <c r="AA1278" s="3" t="n">
        <f aca="false">SUM(S1278:X1278)</f>
        <v>1</v>
      </c>
      <c r="AB1278" s="11" t="n">
        <f aca="false">(AA1278/(K1278*L1278)*25)*4</f>
        <v>4</v>
      </c>
    </row>
    <row r="1279" customFormat="false" ht="14.25" hidden="false" customHeight="false" outlineLevel="0" collapsed="false">
      <c r="A1279" s="1" t="n">
        <v>2014</v>
      </c>
      <c r="B1279" s="7" t="s">
        <v>322</v>
      </c>
      <c r="C1279" s="7" t="n">
        <v>3</v>
      </c>
      <c r="D1279" s="7" t="s">
        <v>294</v>
      </c>
      <c r="E1279" s="7" t="s">
        <v>294</v>
      </c>
      <c r="F1279" s="3" t="s">
        <v>158</v>
      </c>
      <c r="G1279" s="3" t="n">
        <v>3</v>
      </c>
      <c r="H1279" s="3" t="n">
        <v>11</v>
      </c>
      <c r="I1279" s="22" t="n">
        <v>41869</v>
      </c>
      <c r="J1279" s="22" t="n">
        <v>41874</v>
      </c>
      <c r="K1279" s="43" t="n">
        <f aca="false">J1279-I1279</f>
        <v>5</v>
      </c>
      <c r="L1279" s="1" t="n">
        <v>5</v>
      </c>
      <c r="M1279" s="3" t="s">
        <v>72</v>
      </c>
      <c r="N1279" s="3" t="s">
        <v>73</v>
      </c>
      <c r="O1279" s="3" t="s">
        <v>74</v>
      </c>
      <c r="P1279" s="2" t="str">
        <f aca="false">CONCATENATE(N1279," ",O1279)</f>
        <v>Zelotes subterraneus</v>
      </c>
      <c r="Q1279" s="1" t="s">
        <v>30</v>
      </c>
      <c r="R1279" s="1" t="s">
        <v>31</v>
      </c>
      <c r="S1279" s="3" t="n">
        <v>1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f aca="false">SUM(S1279:T1279)</f>
        <v>1</v>
      </c>
      <c r="Z1279" s="3" t="n">
        <f aca="false">SUM(U1279:W1279)</f>
        <v>0</v>
      </c>
      <c r="AA1279" s="3" t="n">
        <f aca="false">SUM(S1279:X1279)</f>
        <v>1</v>
      </c>
      <c r="AB1279" s="11" t="n">
        <f aca="false">(AA1279/(K1279*L1279)*25)*4</f>
        <v>4</v>
      </c>
    </row>
    <row r="1280" customFormat="false" ht="14.25" hidden="false" customHeight="false" outlineLevel="0" collapsed="false">
      <c r="A1280" s="1" t="n">
        <v>2014</v>
      </c>
      <c r="B1280" s="7" t="s">
        <v>322</v>
      </c>
      <c r="C1280" s="7" t="n">
        <v>3</v>
      </c>
      <c r="D1280" s="7" t="s">
        <v>294</v>
      </c>
      <c r="E1280" s="7" t="s">
        <v>294</v>
      </c>
      <c r="F1280" s="3" t="s">
        <v>158</v>
      </c>
      <c r="G1280" s="3" t="n">
        <v>3</v>
      </c>
      <c r="H1280" s="3" t="n">
        <v>11</v>
      </c>
      <c r="I1280" s="22" t="n">
        <v>41869</v>
      </c>
      <c r="J1280" s="22" t="n">
        <v>41874</v>
      </c>
      <c r="K1280" s="43" t="n">
        <f aca="false">J1280-I1280</f>
        <v>5</v>
      </c>
      <c r="L1280" s="1" t="n">
        <v>5</v>
      </c>
      <c r="M1280" s="3" t="s">
        <v>48</v>
      </c>
      <c r="N1280" s="3" t="s">
        <v>61</v>
      </c>
      <c r="O1280" s="3" t="s">
        <v>82</v>
      </c>
      <c r="P1280" s="2" t="str">
        <f aca="false">CONCATENATE(N1280," ",O1280)</f>
        <v>Trochosa terricola</v>
      </c>
      <c r="Q1280" s="1" t="s">
        <v>30</v>
      </c>
      <c r="R1280" s="1" t="s">
        <v>31</v>
      </c>
      <c r="S1280" s="3" t="n">
        <v>1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f aca="false">SUM(S1280:T1280)</f>
        <v>1</v>
      </c>
      <c r="Z1280" s="3" t="n">
        <f aca="false">SUM(U1280:W1280)</f>
        <v>0</v>
      </c>
      <c r="AA1280" s="3" t="n">
        <f aca="false">SUM(S1280:X1280)</f>
        <v>1</v>
      </c>
      <c r="AB1280" s="11" t="n">
        <f aca="false">(AA1280/(K1280*L1280)*25)*4</f>
        <v>4</v>
      </c>
    </row>
    <row r="1281" customFormat="false" ht="14.25" hidden="false" customHeight="false" outlineLevel="0" collapsed="false">
      <c r="A1281" s="1" t="n">
        <v>2014</v>
      </c>
      <c r="B1281" s="7" t="s">
        <v>322</v>
      </c>
      <c r="C1281" s="7" t="n">
        <v>3</v>
      </c>
      <c r="D1281" s="7" t="s">
        <v>294</v>
      </c>
      <c r="E1281" s="7" t="s">
        <v>294</v>
      </c>
      <c r="F1281" s="3" t="s">
        <v>158</v>
      </c>
      <c r="G1281" s="3" t="n">
        <v>3</v>
      </c>
      <c r="H1281" s="3" t="n">
        <v>11</v>
      </c>
      <c r="I1281" s="22" t="n">
        <v>41869</v>
      </c>
      <c r="J1281" s="22" t="n">
        <v>41874</v>
      </c>
      <c r="K1281" s="43" t="n">
        <f aca="false">J1281-I1281</f>
        <v>5</v>
      </c>
      <c r="L1281" s="1" t="n">
        <v>5</v>
      </c>
      <c r="M1281" s="3" t="s">
        <v>48</v>
      </c>
      <c r="N1281" s="3" t="s">
        <v>61</v>
      </c>
      <c r="O1281" s="3" t="s">
        <v>82</v>
      </c>
      <c r="P1281" s="2" t="str">
        <f aca="false">CONCATENATE(N1281," ",O1281)</f>
        <v>Trochosa terricola</v>
      </c>
      <c r="Q1281" s="1" t="s">
        <v>30</v>
      </c>
      <c r="R1281" s="1" t="s">
        <v>35</v>
      </c>
      <c r="S1281" s="3" t="n">
        <v>0</v>
      </c>
      <c r="T1281" s="3" t="n">
        <v>3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f aca="false">SUM(S1281:T1281)</f>
        <v>3</v>
      </c>
      <c r="Z1281" s="3" t="n">
        <f aca="false">SUM(U1281:W1281)</f>
        <v>0</v>
      </c>
      <c r="AA1281" s="3" t="n">
        <f aca="false">SUM(S1281:X1281)</f>
        <v>3</v>
      </c>
      <c r="AB1281" s="11" t="n">
        <f aca="false">(AA1281/(K1281*L1281)*25)*4</f>
        <v>12</v>
      </c>
    </row>
    <row r="1282" customFormat="false" ht="14.25" hidden="false" customHeight="false" outlineLevel="0" collapsed="false">
      <c r="A1282" s="1" t="n">
        <v>2014</v>
      </c>
      <c r="B1282" s="7" t="s">
        <v>322</v>
      </c>
      <c r="C1282" s="7" t="n">
        <v>3</v>
      </c>
      <c r="D1282" s="7" t="s">
        <v>294</v>
      </c>
      <c r="E1282" s="7" t="s">
        <v>294</v>
      </c>
      <c r="F1282" s="3" t="s">
        <v>158</v>
      </c>
      <c r="G1282" s="3" t="n">
        <v>3</v>
      </c>
      <c r="H1282" s="3" t="n">
        <v>11</v>
      </c>
      <c r="I1282" s="22" t="n">
        <v>41869</v>
      </c>
      <c r="J1282" s="22" t="n">
        <v>41874</v>
      </c>
      <c r="K1282" s="43" t="n">
        <f aca="false">J1282-I1282</f>
        <v>5</v>
      </c>
      <c r="L1282" s="1" t="n">
        <v>5</v>
      </c>
      <c r="M1282" s="3" t="s">
        <v>48</v>
      </c>
      <c r="N1282" s="3" t="s">
        <v>67</v>
      </c>
      <c r="O1282" s="3" t="s">
        <v>127</v>
      </c>
      <c r="P1282" s="2" t="str">
        <f aca="false">CONCATENATE(N1282," ",O1282)</f>
        <v>Pardosa lugubris</v>
      </c>
      <c r="Q1282" s="1" t="s">
        <v>30</v>
      </c>
      <c r="R1282" s="1" t="s">
        <v>35</v>
      </c>
      <c r="S1282" s="3" t="n">
        <v>0</v>
      </c>
      <c r="T1282" s="3" t="n">
        <v>1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f aca="false">SUM(S1282:T1282)</f>
        <v>1</v>
      </c>
      <c r="Z1282" s="3" t="n">
        <f aca="false">SUM(U1282:W1282)</f>
        <v>0</v>
      </c>
      <c r="AA1282" s="3" t="n">
        <f aca="false">SUM(S1282:X1282)</f>
        <v>1</v>
      </c>
      <c r="AB1282" s="11" t="n">
        <f aca="false">(AA1282/(K1282*L1282)*25)*4</f>
        <v>4</v>
      </c>
    </row>
    <row r="1283" customFormat="false" ht="14.25" hidden="false" customHeight="false" outlineLevel="0" collapsed="false">
      <c r="A1283" s="1" t="n">
        <v>2014</v>
      </c>
      <c r="B1283" s="7" t="s">
        <v>322</v>
      </c>
      <c r="C1283" s="7" t="n">
        <v>3</v>
      </c>
      <c r="D1283" s="7" t="s">
        <v>294</v>
      </c>
      <c r="E1283" s="7" t="s">
        <v>294</v>
      </c>
      <c r="F1283" s="3" t="s">
        <v>158</v>
      </c>
      <c r="G1283" s="3" t="n">
        <v>3</v>
      </c>
      <c r="H1283" s="3" t="n">
        <v>11</v>
      </c>
      <c r="I1283" s="22" t="n">
        <v>41869</v>
      </c>
      <c r="J1283" s="22" t="n">
        <v>41874</v>
      </c>
      <c r="K1283" s="43" t="n">
        <f aca="false">J1283-I1283</f>
        <v>5</v>
      </c>
      <c r="L1283" s="1" t="n">
        <v>5</v>
      </c>
      <c r="M1283" s="3" t="s">
        <v>36</v>
      </c>
      <c r="N1283" s="3" t="s">
        <v>37</v>
      </c>
      <c r="O1283" s="3" t="s">
        <v>75</v>
      </c>
      <c r="P1283" s="2" t="str">
        <f aca="false">CONCATENATE(N1283," ",O1283)</f>
        <v>Ozyptila praticola</v>
      </c>
      <c r="Q1283" s="1" t="s">
        <v>30</v>
      </c>
      <c r="R1283" s="1" t="s">
        <v>31</v>
      </c>
      <c r="S1283" s="3" t="n">
        <v>4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f aca="false">SUM(S1283:T1283)</f>
        <v>4</v>
      </c>
      <c r="Z1283" s="3" t="n">
        <f aca="false">SUM(U1283:W1283)</f>
        <v>0</v>
      </c>
      <c r="AA1283" s="3" t="n">
        <f aca="false">SUM(S1283:X1283)</f>
        <v>4</v>
      </c>
      <c r="AB1283" s="11" t="n">
        <f aca="false">(AA1283/(K1283*L1283)*25)*4</f>
        <v>16</v>
      </c>
    </row>
    <row r="1284" customFormat="false" ht="14.25" hidden="false" customHeight="false" outlineLevel="0" collapsed="false">
      <c r="A1284" s="1" t="n">
        <v>2014</v>
      </c>
      <c r="B1284" s="7" t="s">
        <v>322</v>
      </c>
      <c r="C1284" s="7" t="n">
        <v>3</v>
      </c>
      <c r="D1284" s="7" t="s">
        <v>294</v>
      </c>
      <c r="E1284" s="7" t="s">
        <v>294</v>
      </c>
      <c r="F1284" s="3" t="s">
        <v>158</v>
      </c>
      <c r="G1284" s="3" t="n">
        <v>1</v>
      </c>
      <c r="H1284" s="3" t="n">
        <v>4</v>
      </c>
      <c r="I1284" s="22" t="n">
        <v>41869</v>
      </c>
      <c r="J1284" s="22" t="n">
        <v>41874</v>
      </c>
      <c r="K1284" s="43" t="n">
        <f aca="false">J1284-I1284</f>
        <v>5</v>
      </c>
      <c r="L1284" s="1" t="n">
        <v>5</v>
      </c>
      <c r="M1284" s="3" t="s">
        <v>48</v>
      </c>
      <c r="N1284" s="3" t="s">
        <v>61</v>
      </c>
      <c r="O1284" s="3" t="s">
        <v>82</v>
      </c>
      <c r="P1284" s="2" t="str">
        <f aca="false">CONCATENATE(N1284," ",O1284)</f>
        <v>Trochosa terricola</v>
      </c>
      <c r="Q1284" s="1" t="s">
        <v>30</v>
      </c>
      <c r="R1284" s="1" t="s">
        <v>35</v>
      </c>
      <c r="S1284" s="3" t="n">
        <v>0</v>
      </c>
      <c r="T1284" s="3" t="n">
        <v>2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f aca="false">SUM(S1284:T1284)</f>
        <v>2</v>
      </c>
      <c r="Z1284" s="3" t="n">
        <f aca="false">SUM(U1284:W1284)</f>
        <v>0</v>
      </c>
      <c r="AA1284" s="3" t="n">
        <f aca="false">SUM(S1284:X1284)</f>
        <v>2</v>
      </c>
      <c r="AB1284" s="11" t="n">
        <f aca="false">(AA1284/(K1284*L1284)*25)*4</f>
        <v>8</v>
      </c>
    </row>
    <row r="1285" customFormat="false" ht="14.25" hidden="false" customHeight="false" outlineLevel="0" collapsed="false">
      <c r="A1285" s="1" t="n">
        <v>2014</v>
      </c>
      <c r="B1285" s="7" t="s">
        <v>322</v>
      </c>
      <c r="C1285" s="7" t="n">
        <v>3</v>
      </c>
      <c r="D1285" s="7" t="s">
        <v>294</v>
      </c>
      <c r="E1285" s="7" t="s">
        <v>294</v>
      </c>
      <c r="F1285" s="3" t="s">
        <v>158</v>
      </c>
      <c r="G1285" s="3" t="n">
        <v>1</v>
      </c>
      <c r="H1285" s="3" t="n">
        <v>4</v>
      </c>
      <c r="I1285" s="22" t="n">
        <v>41869</v>
      </c>
      <c r="J1285" s="22" t="n">
        <v>41874</v>
      </c>
      <c r="K1285" s="43" t="n">
        <f aca="false">J1285-I1285</f>
        <v>5</v>
      </c>
      <c r="L1285" s="1" t="n">
        <v>5</v>
      </c>
      <c r="M1285" s="3" t="s">
        <v>48</v>
      </c>
      <c r="N1285" s="3" t="s">
        <v>49</v>
      </c>
      <c r="O1285" s="3" t="s">
        <v>130</v>
      </c>
      <c r="P1285" s="2" t="str">
        <f aca="false">CONCATENATE(N1285," ",O1285)</f>
        <v>Alopecosa aculeata</v>
      </c>
      <c r="Q1285" s="1" t="s">
        <v>30</v>
      </c>
      <c r="R1285" s="1" t="s">
        <v>35</v>
      </c>
      <c r="S1285" s="3" t="n">
        <v>0</v>
      </c>
      <c r="T1285" s="3" t="n">
        <v>1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f aca="false">SUM(S1285:T1285)</f>
        <v>1</v>
      </c>
      <c r="Z1285" s="3" t="n">
        <f aca="false">SUM(U1285:W1285)</f>
        <v>0</v>
      </c>
      <c r="AA1285" s="3" t="n">
        <f aca="false">SUM(S1285:X1285)</f>
        <v>1</v>
      </c>
      <c r="AB1285" s="11" t="n">
        <f aca="false">(AA1285/(K1285*L1285)*25)*4</f>
        <v>4</v>
      </c>
    </row>
    <row r="1286" customFormat="false" ht="14.25" hidden="false" customHeight="false" outlineLevel="0" collapsed="false">
      <c r="A1286" s="1" t="n">
        <v>2014</v>
      </c>
      <c r="B1286" s="7" t="s">
        <v>322</v>
      </c>
      <c r="C1286" s="7" t="n">
        <v>3</v>
      </c>
      <c r="D1286" s="7" t="s">
        <v>294</v>
      </c>
      <c r="E1286" s="7" t="s">
        <v>294</v>
      </c>
      <c r="F1286" s="3" t="s">
        <v>158</v>
      </c>
      <c r="G1286" s="3" t="n">
        <v>1</v>
      </c>
      <c r="H1286" s="3" t="n">
        <v>4</v>
      </c>
      <c r="I1286" s="22" t="n">
        <v>41869</v>
      </c>
      <c r="J1286" s="22" t="n">
        <v>41874</v>
      </c>
      <c r="K1286" s="43" t="n">
        <f aca="false">J1286-I1286</f>
        <v>5</v>
      </c>
      <c r="L1286" s="1" t="n">
        <v>5</v>
      </c>
      <c r="M1286" s="3" t="s">
        <v>36</v>
      </c>
      <c r="N1286" s="3" t="s">
        <v>37</v>
      </c>
      <c r="O1286" s="3" t="s">
        <v>75</v>
      </c>
      <c r="P1286" s="2" t="str">
        <f aca="false">CONCATENATE(N1286," ",O1286)</f>
        <v>Ozyptila praticola</v>
      </c>
      <c r="Q1286" s="1" t="s">
        <v>30</v>
      </c>
      <c r="R1286" s="1" t="s">
        <v>31</v>
      </c>
      <c r="S1286" s="3" t="n">
        <v>2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f aca="false">SUM(S1286:T1286)</f>
        <v>2</v>
      </c>
      <c r="Z1286" s="3" t="n">
        <f aca="false">SUM(U1286:W1286)</f>
        <v>0</v>
      </c>
      <c r="AA1286" s="3" t="n">
        <f aca="false">SUM(S1286:X1286)</f>
        <v>2</v>
      </c>
      <c r="AB1286" s="11" t="n">
        <f aca="false">(AA1286/(K1286*L1286)*25)*4</f>
        <v>8</v>
      </c>
    </row>
    <row r="1287" customFormat="false" ht="14.25" hidden="false" customHeight="false" outlineLevel="0" collapsed="false">
      <c r="A1287" s="1" t="n">
        <v>2014</v>
      </c>
      <c r="B1287" s="7" t="s">
        <v>322</v>
      </c>
      <c r="C1287" s="7" t="n">
        <v>3</v>
      </c>
      <c r="D1287" s="7" t="s">
        <v>294</v>
      </c>
      <c r="E1287" s="7" t="s">
        <v>294</v>
      </c>
      <c r="F1287" s="3" t="s">
        <v>158</v>
      </c>
      <c r="G1287" s="3" t="n">
        <v>1</v>
      </c>
      <c r="H1287" s="3" t="n">
        <v>4</v>
      </c>
      <c r="I1287" s="22" t="n">
        <v>41869</v>
      </c>
      <c r="J1287" s="22" t="n">
        <v>41874</v>
      </c>
      <c r="K1287" s="43" t="n">
        <f aca="false">J1287-I1287</f>
        <v>5</v>
      </c>
      <c r="L1287" s="1" t="n">
        <v>5</v>
      </c>
      <c r="M1287" s="3" t="s">
        <v>36</v>
      </c>
      <c r="N1287" s="3" t="s">
        <v>37</v>
      </c>
      <c r="O1287" s="3" t="s">
        <v>75</v>
      </c>
      <c r="P1287" s="2" t="str">
        <f aca="false">CONCATENATE(N1287," ",O1287)</f>
        <v>Ozyptila praticola</v>
      </c>
      <c r="Q1287" s="1" t="s">
        <v>30</v>
      </c>
      <c r="R1287" s="1" t="s">
        <v>35</v>
      </c>
      <c r="S1287" s="3" t="n">
        <v>0</v>
      </c>
      <c r="T1287" s="3" t="n">
        <v>1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f aca="false">SUM(S1287:T1287)</f>
        <v>1</v>
      </c>
      <c r="Z1287" s="3" t="n">
        <f aca="false">SUM(U1287:W1287)</f>
        <v>0</v>
      </c>
      <c r="AA1287" s="3" t="n">
        <f aca="false">SUM(S1287:X1287)</f>
        <v>1</v>
      </c>
      <c r="AB1287" s="11" t="n">
        <f aca="false">(AA1287/(K1287*L1287)*25)*4</f>
        <v>4</v>
      </c>
    </row>
    <row r="1288" customFormat="false" ht="14.25" hidden="false" customHeight="false" outlineLevel="0" collapsed="false">
      <c r="A1288" s="1" t="n">
        <v>2014</v>
      </c>
      <c r="B1288" s="7" t="s">
        <v>322</v>
      </c>
      <c r="C1288" s="7" t="n">
        <v>3</v>
      </c>
      <c r="D1288" s="7" t="s">
        <v>294</v>
      </c>
      <c r="E1288" s="7" t="s">
        <v>294</v>
      </c>
      <c r="F1288" s="3" t="s">
        <v>158</v>
      </c>
      <c r="G1288" s="3" t="n">
        <v>1</v>
      </c>
      <c r="H1288" s="3" t="n">
        <v>4</v>
      </c>
      <c r="I1288" s="22" t="n">
        <v>41869</v>
      </c>
      <c r="J1288" s="22" t="n">
        <v>41874</v>
      </c>
      <c r="K1288" s="43" t="n">
        <f aca="false">J1288-I1288</f>
        <v>5</v>
      </c>
      <c r="L1288" s="1" t="n">
        <v>5</v>
      </c>
      <c r="M1288" s="3" t="s">
        <v>41</v>
      </c>
      <c r="N1288" s="3" t="s">
        <v>42</v>
      </c>
      <c r="O1288" s="3" t="s">
        <v>43</v>
      </c>
      <c r="P1288" s="2" t="str">
        <f aca="false">CONCATENATE(N1288," ",O1288)</f>
        <v>Agroeca proxima</v>
      </c>
      <c r="Q1288" s="1" t="s">
        <v>30</v>
      </c>
      <c r="R1288" s="1" t="s">
        <v>31</v>
      </c>
      <c r="S1288" s="3" t="n">
        <v>1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f aca="false">SUM(S1288:T1288)</f>
        <v>1</v>
      </c>
      <c r="Z1288" s="3" t="n">
        <f aca="false">SUM(U1288:W1288)</f>
        <v>0</v>
      </c>
      <c r="AA1288" s="3" t="n">
        <f aca="false">SUM(S1288:X1288)</f>
        <v>1</v>
      </c>
      <c r="AB1288" s="11" t="n">
        <f aca="false">(AA1288/(K1288*L1288)*25)*4</f>
        <v>4</v>
      </c>
    </row>
    <row r="1289" customFormat="false" ht="14.25" hidden="false" customHeight="false" outlineLevel="0" collapsed="false">
      <c r="A1289" s="1" t="n">
        <v>2014</v>
      </c>
      <c r="B1289" s="7" t="s">
        <v>322</v>
      </c>
      <c r="C1289" s="7" t="n">
        <v>3</v>
      </c>
      <c r="D1289" s="7" t="s">
        <v>294</v>
      </c>
      <c r="E1289" s="7" t="s">
        <v>294</v>
      </c>
      <c r="F1289" s="3" t="s">
        <v>158</v>
      </c>
      <c r="G1289" s="3" t="n">
        <v>1</v>
      </c>
      <c r="H1289" s="3" t="n">
        <v>4</v>
      </c>
      <c r="I1289" s="22" t="n">
        <v>41869</v>
      </c>
      <c r="J1289" s="22" t="n">
        <v>41874</v>
      </c>
      <c r="K1289" s="43" t="n">
        <f aca="false">J1289-I1289</f>
        <v>5</v>
      </c>
      <c r="L1289" s="1" t="n">
        <v>5</v>
      </c>
      <c r="M1289" s="3" t="s">
        <v>32</v>
      </c>
      <c r="N1289" s="3" t="s">
        <v>84</v>
      </c>
      <c r="O1289" s="3" t="s">
        <v>85</v>
      </c>
      <c r="P1289" s="2" t="str">
        <f aca="false">CONCATENATE(N1289," ",O1289)</f>
        <v>Walckenaeria antica</v>
      </c>
      <c r="Q1289" s="1" t="s">
        <v>30</v>
      </c>
      <c r="R1289" s="1" t="s">
        <v>35</v>
      </c>
      <c r="S1289" s="3" t="n">
        <v>0</v>
      </c>
      <c r="T1289" s="3" t="n">
        <v>1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f aca="false">SUM(S1289:T1289)</f>
        <v>1</v>
      </c>
      <c r="Z1289" s="3" t="n">
        <f aca="false">SUM(U1289:W1289)</f>
        <v>0</v>
      </c>
      <c r="AA1289" s="3" t="n">
        <f aca="false">SUM(S1289:X1289)</f>
        <v>1</v>
      </c>
      <c r="AB1289" s="11" t="n">
        <f aca="false">(AA1289/(K1289*L1289)*25)*4</f>
        <v>4</v>
      </c>
    </row>
    <row r="1290" customFormat="false" ht="14.25" hidden="false" customHeight="false" outlineLevel="0" collapsed="false">
      <c r="A1290" s="1" t="n">
        <v>2014</v>
      </c>
      <c r="B1290" s="7" t="s">
        <v>322</v>
      </c>
      <c r="C1290" s="7" t="n">
        <v>3</v>
      </c>
      <c r="D1290" s="7" t="s">
        <v>294</v>
      </c>
      <c r="E1290" s="7" t="s">
        <v>294</v>
      </c>
      <c r="F1290" s="3" t="s">
        <v>158</v>
      </c>
      <c r="G1290" s="3" t="n">
        <v>1</v>
      </c>
      <c r="H1290" s="3" t="n">
        <v>2</v>
      </c>
      <c r="I1290" s="22" t="n">
        <v>41869</v>
      </c>
      <c r="J1290" s="22" t="n">
        <v>41874</v>
      </c>
      <c r="K1290" s="43" t="n">
        <f aca="false">J1290-I1290</f>
        <v>5</v>
      </c>
      <c r="L1290" s="1" t="n">
        <v>5</v>
      </c>
      <c r="M1290" s="3" t="s">
        <v>32</v>
      </c>
      <c r="N1290" s="3" t="s">
        <v>84</v>
      </c>
      <c r="O1290" s="3" t="s">
        <v>181</v>
      </c>
      <c r="P1290" s="2" t="str">
        <f aca="false">CONCATENATE(N1290," ",O1290)</f>
        <v>Walckenaeria cucullata</v>
      </c>
      <c r="Q1290" s="1" t="s">
        <v>30</v>
      </c>
      <c r="R1290" s="1" t="s">
        <v>31</v>
      </c>
      <c r="S1290" s="3" t="n">
        <v>1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f aca="false">SUM(S1290:T1290)</f>
        <v>1</v>
      </c>
      <c r="Z1290" s="3" t="n">
        <f aca="false">SUM(U1290:W1290)</f>
        <v>0</v>
      </c>
      <c r="AA1290" s="3" t="n">
        <f aca="false">SUM(S1290:X1290)</f>
        <v>1</v>
      </c>
      <c r="AB1290" s="11" t="n">
        <f aca="false">(AA1290/(K1290*L1290)*25)*4</f>
        <v>4</v>
      </c>
    </row>
    <row r="1291" customFormat="false" ht="14.25" hidden="false" customHeight="false" outlineLevel="0" collapsed="false">
      <c r="A1291" s="1" t="n">
        <v>2014</v>
      </c>
      <c r="B1291" s="7" t="s">
        <v>322</v>
      </c>
      <c r="C1291" s="7" t="n">
        <v>3</v>
      </c>
      <c r="D1291" s="7" t="s">
        <v>294</v>
      </c>
      <c r="E1291" s="7" t="s">
        <v>294</v>
      </c>
      <c r="F1291" s="3" t="s">
        <v>158</v>
      </c>
      <c r="G1291" s="3" t="n">
        <v>1</v>
      </c>
      <c r="H1291" s="3" t="n">
        <v>2</v>
      </c>
      <c r="I1291" s="22" t="n">
        <v>41869</v>
      </c>
      <c r="J1291" s="22" t="n">
        <v>41874</v>
      </c>
      <c r="K1291" s="43" t="n">
        <f aca="false">J1291-I1291</f>
        <v>5</v>
      </c>
      <c r="L1291" s="1" t="n">
        <v>5</v>
      </c>
      <c r="M1291" s="3" t="s">
        <v>36</v>
      </c>
      <c r="N1291" s="3" t="s">
        <v>37</v>
      </c>
      <c r="O1291" s="3" t="s">
        <v>75</v>
      </c>
      <c r="P1291" s="2" t="str">
        <f aca="false">CONCATENATE(N1291," ",O1291)</f>
        <v>Ozyptila praticola</v>
      </c>
      <c r="Q1291" s="1" t="s">
        <v>30</v>
      </c>
      <c r="R1291" s="1" t="s">
        <v>31</v>
      </c>
      <c r="S1291" s="3" t="n">
        <v>1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f aca="false">SUM(S1291:T1291)</f>
        <v>1</v>
      </c>
      <c r="Z1291" s="3" t="n">
        <f aca="false">SUM(U1291:W1291)</f>
        <v>0</v>
      </c>
      <c r="AA1291" s="3" t="n">
        <f aca="false">SUM(S1291:X1291)</f>
        <v>1</v>
      </c>
      <c r="AB1291" s="11" t="n">
        <f aca="false">(AA1291/(K1291*L1291)*25)*4</f>
        <v>4</v>
      </c>
    </row>
    <row r="1292" customFormat="false" ht="14.25" hidden="false" customHeight="false" outlineLevel="0" collapsed="false">
      <c r="A1292" s="1" t="n">
        <v>2014</v>
      </c>
      <c r="B1292" s="7" t="s">
        <v>322</v>
      </c>
      <c r="C1292" s="7" t="n">
        <v>3</v>
      </c>
      <c r="D1292" s="7" t="s">
        <v>294</v>
      </c>
      <c r="E1292" s="7" t="s">
        <v>294</v>
      </c>
      <c r="F1292" s="3" t="s">
        <v>158</v>
      </c>
      <c r="G1292" s="3" t="n">
        <v>1</v>
      </c>
      <c r="H1292" s="3" t="n">
        <v>2</v>
      </c>
      <c r="I1292" s="22" t="n">
        <v>41869</v>
      </c>
      <c r="J1292" s="22" t="n">
        <v>41874</v>
      </c>
      <c r="K1292" s="43" t="n">
        <f aca="false">J1292-I1292</f>
        <v>5</v>
      </c>
      <c r="L1292" s="1" t="n">
        <v>5</v>
      </c>
      <c r="M1292" s="3" t="s">
        <v>48</v>
      </c>
      <c r="N1292" s="3" t="s">
        <v>61</v>
      </c>
      <c r="O1292" s="3" t="s">
        <v>82</v>
      </c>
      <c r="P1292" s="2" t="str">
        <f aca="false">CONCATENATE(N1292," ",O1292)</f>
        <v>Trochosa terricola</v>
      </c>
      <c r="Q1292" s="1" t="s">
        <v>30</v>
      </c>
      <c r="R1292" s="1" t="s">
        <v>31</v>
      </c>
      <c r="S1292" s="3" t="n">
        <v>1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f aca="false">SUM(S1292:T1292)</f>
        <v>1</v>
      </c>
      <c r="Z1292" s="3" t="n">
        <f aca="false">SUM(U1292:W1292)</f>
        <v>0</v>
      </c>
      <c r="AA1292" s="3" t="n">
        <f aca="false">SUM(S1292:X1292)</f>
        <v>1</v>
      </c>
      <c r="AB1292" s="11" t="n">
        <f aca="false">(AA1292/(K1292*L1292)*25)*4</f>
        <v>4</v>
      </c>
    </row>
    <row r="1293" customFormat="false" ht="14.25" hidden="false" customHeight="false" outlineLevel="0" collapsed="false">
      <c r="A1293" s="1" t="n">
        <v>2014</v>
      </c>
      <c r="B1293" s="7" t="s">
        <v>322</v>
      </c>
      <c r="C1293" s="7" t="n">
        <v>3</v>
      </c>
      <c r="D1293" s="7" t="s">
        <v>294</v>
      </c>
      <c r="E1293" s="7" t="s">
        <v>294</v>
      </c>
      <c r="F1293" s="3" t="s">
        <v>158</v>
      </c>
      <c r="G1293" s="3" t="n">
        <v>1</v>
      </c>
      <c r="H1293" s="3" t="n">
        <v>2</v>
      </c>
      <c r="I1293" s="22" t="n">
        <v>41869</v>
      </c>
      <c r="J1293" s="22" t="n">
        <v>41874</v>
      </c>
      <c r="K1293" s="43" t="n">
        <f aca="false">J1293-I1293</f>
        <v>5</v>
      </c>
      <c r="L1293" s="1" t="n">
        <v>5</v>
      </c>
      <c r="M1293" s="3" t="s">
        <v>48</v>
      </c>
      <c r="N1293" s="3" t="s">
        <v>61</v>
      </c>
      <c r="O1293" s="3" t="s">
        <v>82</v>
      </c>
      <c r="P1293" s="2" t="str">
        <f aca="false">CONCATENATE(N1293," ",O1293)</f>
        <v>Trochosa terricola</v>
      </c>
      <c r="Q1293" s="1" t="s">
        <v>30</v>
      </c>
      <c r="R1293" s="1" t="s">
        <v>35</v>
      </c>
      <c r="S1293" s="3" t="n">
        <v>0</v>
      </c>
      <c r="T1293" s="3" t="n">
        <v>3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f aca="false">SUM(S1293:T1293)</f>
        <v>3</v>
      </c>
      <c r="Z1293" s="3" t="n">
        <f aca="false">SUM(U1293:W1293)</f>
        <v>0</v>
      </c>
      <c r="AA1293" s="3" t="n">
        <f aca="false">SUM(S1293:X1293)</f>
        <v>3</v>
      </c>
      <c r="AB1293" s="11" t="n">
        <f aca="false">(AA1293/(K1293*L1293)*25)*4</f>
        <v>12</v>
      </c>
    </row>
    <row r="1294" customFormat="false" ht="14.25" hidden="false" customHeight="false" outlineLevel="0" collapsed="false">
      <c r="A1294" s="1" t="n">
        <v>2014</v>
      </c>
      <c r="B1294" s="7" t="s">
        <v>322</v>
      </c>
      <c r="C1294" s="7" t="n">
        <v>3</v>
      </c>
      <c r="D1294" s="7" t="s">
        <v>294</v>
      </c>
      <c r="E1294" s="7" t="s">
        <v>294</v>
      </c>
      <c r="F1294" s="3" t="s">
        <v>158</v>
      </c>
      <c r="G1294" s="3" t="n">
        <v>1</v>
      </c>
      <c r="H1294" s="3" t="n">
        <v>2</v>
      </c>
      <c r="I1294" s="22" t="n">
        <v>41869</v>
      </c>
      <c r="J1294" s="22" t="n">
        <v>41874</v>
      </c>
      <c r="K1294" s="43" t="n">
        <f aca="false">J1294-I1294</f>
        <v>5</v>
      </c>
      <c r="L1294" s="1" t="n">
        <v>5</v>
      </c>
      <c r="M1294" s="3" t="s">
        <v>32</v>
      </c>
      <c r="N1294" s="3" t="s">
        <v>93</v>
      </c>
      <c r="O1294" s="3" t="s">
        <v>94</v>
      </c>
      <c r="P1294" s="2" t="str">
        <f aca="false">CONCATENATE(N1294," ",O1294)</f>
        <v>Anguliphantes angulipalpis</v>
      </c>
      <c r="Q1294" s="1" t="s">
        <v>30</v>
      </c>
      <c r="R1294" s="1" t="s">
        <v>35</v>
      </c>
      <c r="S1294" s="3" t="n">
        <v>0</v>
      </c>
      <c r="T1294" s="3" t="n">
        <v>1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f aca="false">SUM(S1294:T1294)</f>
        <v>1</v>
      </c>
      <c r="Z1294" s="3" t="n">
        <f aca="false">SUM(U1294:W1294)</f>
        <v>0</v>
      </c>
      <c r="AA1294" s="3" t="n">
        <f aca="false">SUM(S1294:X1294)</f>
        <v>1</v>
      </c>
      <c r="AB1294" s="11" t="n">
        <f aca="false">(AA1294/(K1294*L1294)*25)*4</f>
        <v>4</v>
      </c>
    </row>
    <row r="1295" customFormat="false" ht="14.25" hidden="false" customHeight="false" outlineLevel="0" collapsed="false">
      <c r="A1295" s="1" t="n">
        <v>2014</v>
      </c>
      <c r="B1295" s="7" t="s">
        <v>322</v>
      </c>
      <c r="C1295" s="7" t="n">
        <v>3</v>
      </c>
      <c r="D1295" s="7" t="s">
        <v>294</v>
      </c>
      <c r="E1295" s="7" t="s">
        <v>294</v>
      </c>
      <c r="F1295" s="3" t="s">
        <v>158</v>
      </c>
      <c r="G1295" s="3" t="n">
        <v>1</v>
      </c>
      <c r="H1295" s="3" t="n">
        <v>5</v>
      </c>
      <c r="I1295" s="22" t="n">
        <v>41869</v>
      </c>
      <c r="J1295" s="22" t="n">
        <v>41874</v>
      </c>
      <c r="K1295" s="43" t="n">
        <f aca="false">J1295-I1295</f>
        <v>5</v>
      </c>
      <c r="L1295" s="1" t="n">
        <v>5</v>
      </c>
      <c r="M1295" s="3" t="s">
        <v>48</v>
      </c>
      <c r="N1295" s="3" t="s">
        <v>61</v>
      </c>
      <c r="O1295" s="3" t="s">
        <v>82</v>
      </c>
      <c r="P1295" s="2" t="str">
        <f aca="false">CONCATENATE(N1295," ",O1295)</f>
        <v>Trochosa terricola</v>
      </c>
      <c r="Q1295" s="1" t="s">
        <v>30</v>
      </c>
      <c r="R1295" s="1" t="s">
        <v>31</v>
      </c>
      <c r="S1295" s="3" t="n">
        <v>1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f aca="false">SUM(S1295:T1295)</f>
        <v>1</v>
      </c>
      <c r="Z1295" s="3" t="n">
        <f aca="false">SUM(U1295:W1295)</f>
        <v>0</v>
      </c>
      <c r="AA1295" s="3" t="n">
        <f aca="false">SUM(S1295:X1295)</f>
        <v>1</v>
      </c>
      <c r="AB1295" s="11" t="n">
        <f aca="false">(AA1295/(K1295*L1295)*25)*4</f>
        <v>4</v>
      </c>
    </row>
    <row r="1296" customFormat="false" ht="14.25" hidden="false" customHeight="false" outlineLevel="0" collapsed="false">
      <c r="A1296" s="1" t="n">
        <v>2014</v>
      </c>
      <c r="B1296" s="7" t="s">
        <v>322</v>
      </c>
      <c r="C1296" s="7" t="n">
        <v>3</v>
      </c>
      <c r="D1296" s="7" t="s">
        <v>294</v>
      </c>
      <c r="E1296" s="7" t="s">
        <v>294</v>
      </c>
      <c r="F1296" s="3" t="s">
        <v>158</v>
      </c>
      <c r="G1296" s="3" t="n">
        <v>1</v>
      </c>
      <c r="H1296" s="3" t="n">
        <v>5</v>
      </c>
      <c r="I1296" s="22" t="n">
        <v>41869</v>
      </c>
      <c r="J1296" s="22" t="n">
        <v>41874</v>
      </c>
      <c r="K1296" s="43" t="n">
        <f aca="false">J1296-I1296</f>
        <v>5</v>
      </c>
      <c r="L1296" s="1" t="n">
        <v>5</v>
      </c>
      <c r="M1296" s="3" t="s">
        <v>48</v>
      </c>
      <c r="N1296" s="3" t="s">
        <v>61</v>
      </c>
      <c r="O1296" s="3" t="s">
        <v>82</v>
      </c>
      <c r="P1296" s="2" t="str">
        <f aca="false">CONCATENATE(N1296," ",O1296)</f>
        <v>Trochosa terricola</v>
      </c>
      <c r="Q1296" s="1" t="s">
        <v>30</v>
      </c>
      <c r="R1296" s="1" t="s">
        <v>35</v>
      </c>
      <c r="S1296" s="3" t="n">
        <v>0</v>
      </c>
      <c r="T1296" s="3" t="n">
        <v>1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f aca="false">SUM(S1296:T1296)</f>
        <v>1</v>
      </c>
      <c r="Z1296" s="3" t="n">
        <f aca="false">SUM(U1296:W1296)</f>
        <v>0</v>
      </c>
      <c r="AA1296" s="3" t="n">
        <f aca="false">SUM(S1296:X1296)</f>
        <v>1</v>
      </c>
      <c r="AB1296" s="11" t="n">
        <f aca="false">(AA1296/(K1296*L1296)*25)*4</f>
        <v>4</v>
      </c>
    </row>
    <row r="1297" customFormat="false" ht="14.25" hidden="false" customHeight="false" outlineLevel="0" collapsed="false">
      <c r="A1297" s="1" t="n">
        <v>2014</v>
      </c>
      <c r="B1297" s="7" t="s">
        <v>322</v>
      </c>
      <c r="C1297" s="7" t="n">
        <v>3</v>
      </c>
      <c r="D1297" s="7" t="s">
        <v>294</v>
      </c>
      <c r="E1297" s="7" t="s">
        <v>294</v>
      </c>
      <c r="F1297" s="3" t="s">
        <v>158</v>
      </c>
      <c r="G1297" s="3" t="n">
        <v>1</v>
      </c>
      <c r="H1297" s="3" t="n">
        <v>5</v>
      </c>
      <c r="I1297" s="22" t="n">
        <v>41869</v>
      </c>
      <c r="J1297" s="22" t="n">
        <v>41874</v>
      </c>
      <c r="K1297" s="43" t="n">
        <f aca="false">J1297-I1297</f>
        <v>5</v>
      </c>
      <c r="L1297" s="1" t="n">
        <v>5</v>
      </c>
      <c r="M1297" s="3" t="s">
        <v>72</v>
      </c>
      <c r="N1297" s="3" t="s">
        <v>73</v>
      </c>
      <c r="O1297" s="3" t="s">
        <v>74</v>
      </c>
      <c r="P1297" s="2" t="str">
        <f aca="false">CONCATENATE(N1297," ",O1297)</f>
        <v>Zelotes subterraneus</v>
      </c>
      <c r="Q1297" s="1" t="s">
        <v>30</v>
      </c>
      <c r="R1297" s="1" t="s">
        <v>31</v>
      </c>
      <c r="S1297" s="3" t="n">
        <v>2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f aca="false">SUM(S1297:T1297)</f>
        <v>2</v>
      </c>
      <c r="Z1297" s="3" t="n">
        <f aca="false">SUM(U1297:W1297)</f>
        <v>0</v>
      </c>
      <c r="AA1297" s="3" t="n">
        <f aca="false">SUM(S1297:X1297)</f>
        <v>2</v>
      </c>
      <c r="AB1297" s="11" t="n">
        <f aca="false">(AA1297/(K1297*L1297)*25)*4</f>
        <v>8</v>
      </c>
    </row>
    <row r="1298" customFormat="false" ht="14.25" hidden="false" customHeight="false" outlineLevel="0" collapsed="false">
      <c r="A1298" s="1" t="n">
        <v>2014</v>
      </c>
      <c r="B1298" s="7" t="s">
        <v>322</v>
      </c>
      <c r="C1298" s="7" t="n">
        <v>3</v>
      </c>
      <c r="D1298" s="7" t="s">
        <v>294</v>
      </c>
      <c r="E1298" s="7" t="s">
        <v>294</v>
      </c>
      <c r="F1298" s="3" t="s">
        <v>158</v>
      </c>
      <c r="G1298" s="3" t="n">
        <v>1</v>
      </c>
      <c r="H1298" s="3" t="n">
        <v>5</v>
      </c>
      <c r="I1298" s="22" t="n">
        <v>41869</v>
      </c>
      <c r="J1298" s="22" t="n">
        <v>41874</v>
      </c>
      <c r="K1298" s="43" t="n">
        <f aca="false">J1298-I1298</f>
        <v>5</v>
      </c>
      <c r="L1298" s="1" t="n">
        <v>5</v>
      </c>
      <c r="M1298" s="3" t="s">
        <v>72</v>
      </c>
      <c r="N1298" s="3" t="s">
        <v>73</v>
      </c>
      <c r="O1298" s="3" t="s">
        <v>74</v>
      </c>
      <c r="P1298" s="2" t="str">
        <f aca="false">CONCATENATE(N1298," ",O1298)</f>
        <v>Zelotes subterraneus</v>
      </c>
      <c r="Q1298" s="1" t="s">
        <v>30</v>
      </c>
      <c r="R1298" s="1" t="s">
        <v>35</v>
      </c>
      <c r="S1298" s="3" t="n">
        <v>0</v>
      </c>
      <c r="T1298" s="3" t="n">
        <v>1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f aca="false">SUM(S1298:T1298)</f>
        <v>1</v>
      </c>
      <c r="Z1298" s="3" t="n">
        <f aca="false">SUM(U1298:W1298)</f>
        <v>0</v>
      </c>
      <c r="AA1298" s="3" t="n">
        <f aca="false">SUM(S1298:X1298)</f>
        <v>1</v>
      </c>
      <c r="AB1298" s="11" t="n">
        <f aca="false">(AA1298/(K1298*L1298)*25)*4</f>
        <v>4</v>
      </c>
    </row>
    <row r="1299" customFormat="false" ht="14.25" hidden="false" customHeight="false" outlineLevel="0" collapsed="false">
      <c r="A1299" s="1" t="n">
        <v>2014</v>
      </c>
      <c r="B1299" s="7" t="s">
        <v>322</v>
      </c>
      <c r="C1299" s="7" t="n">
        <v>3</v>
      </c>
      <c r="D1299" s="7" t="s">
        <v>294</v>
      </c>
      <c r="E1299" s="7" t="s">
        <v>294</v>
      </c>
      <c r="F1299" s="3" t="s">
        <v>158</v>
      </c>
      <c r="G1299" s="3" t="n">
        <v>1</v>
      </c>
      <c r="H1299" s="3" t="n">
        <v>5</v>
      </c>
      <c r="I1299" s="22" t="n">
        <v>41869</v>
      </c>
      <c r="J1299" s="22" t="n">
        <v>41874</v>
      </c>
      <c r="K1299" s="43" t="n">
        <f aca="false">J1299-I1299</f>
        <v>5</v>
      </c>
      <c r="L1299" s="1" t="n">
        <v>5</v>
      </c>
      <c r="M1299" s="3" t="s">
        <v>36</v>
      </c>
      <c r="N1299" s="3" t="s">
        <v>37</v>
      </c>
      <c r="O1299" s="3" t="s">
        <v>75</v>
      </c>
      <c r="P1299" s="2" t="str">
        <f aca="false">CONCATENATE(N1299," ",O1299)</f>
        <v>Ozyptila praticola</v>
      </c>
      <c r="Q1299" s="1" t="s">
        <v>30</v>
      </c>
      <c r="R1299" s="1" t="s">
        <v>31</v>
      </c>
      <c r="S1299" s="3" t="n">
        <v>2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f aca="false">SUM(S1299:T1299)</f>
        <v>2</v>
      </c>
      <c r="Z1299" s="3" t="n">
        <f aca="false">SUM(U1299:W1299)</f>
        <v>0</v>
      </c>
      <c r="AA1299" s="3" t="n">
        <f aca="false">SUM(S1299:X1299)</f>
        <v>2</v>
      </c>
      <c r="AB1299" s="11" t="n">
        <f aca="false">(AA1299/(K1299*L1299)*25)*4</f>
        <v>8</v>
      </c>
    </row>
    <row r="1300" customFormat="false" ht="14.25" hidden="false" customHeight="false" outlineLevel="0" collapsed="false">
      <c r="A1300" s="1" t="n">
        <v>2014</v>
      </c>
      <c r="B1300" s="7" t="s">
        <v>322</v>
      </c>
      <c r="C1300" s="7" t="n">
        <v>3</v>
      </c>
      <c r="D1300" s="7" t="s">
        <v>294</v>
      </c>
      <c r="E1300" s="7" t="s">
        <v>294</v>
      </c>
      <c r="F1300" s="3" t="s">
        <v>158</v>
      </c>
      <c r="G1300" s="3" t="n">
        <v>1</v>
      </c>
      <c r="H1300" s="3" t="n">
        <v>5</v>
      </c>
      <c r="I1300" s="22" t="n">
        <v>41869</v>
      </c>
      <c r="J1300" s="22" t="n">
        <v>41874</v>
      </c>
      <c r="K1300" s="43" t="n">
        <f aca="false">J1300-I1300</f>
        <v>5</v>
      </c>
      <c r="L1300" s="1" t="n">
        <v>5</v>
      </c>
      <c r="M1300" s="3" t="s">
        <v>48</v>
      </c>
      <c r="N1300" s="3" t="s">
        <v>67</v>
      </c>
      <c r="O1300" s="3" t="s">
        <v>127</v>
      </c>
      <c r="P1300" s="2" t="str">
        <f aca="false">CONCATENATE(N1300," ",O1300)</f>
        <v>Pardosa lugubris</v>
      </c>
      <c r="Q1300" s="1" t="s">
        <v>30</v>
      </c>
      <c r="R1300" s="1" t="s">
        <v>35</v>
      </c>
      <c r="S1300" s="3" t="n">
        <v>0</v>
      </c>
      <c r="T1300" s="3" t="n">
        <v>1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f aca="false">SUM(S1300:T1300)</f>
        <v>1</v>
      </c>
      <c r="Z1300" s="3" t="n">
        <f aca="false">SUM(U1300:W1300)</f>
        <v>0</v>
      </c>
      <c r="AA1300" s="3" t="n">
        <f aca="false">SUM(S1300:X1300)</f>
        <v>1</v>
      </c>
      <c r="AB1300" s="11" t="n">
        <f aca="false">(AA1300/(K1300*L1300)*25)*4</f>
        <v>4</v>
      </c>
    </row>
    <row r="1301" customFormat="false" ht="14.25" hidden="false" customHeight="false" outlineLevel="0" collapsed="false">
      <c r="A1301" s="1" t="n">
        <v>2014</v>
      </c>
      <c r="B1301" s="7" t="s">
        <v>322</v>
      </c>
      <c r="C1301" s="7" t="n">
        <v>3</v>
      </c>
      <c r="D1301" s="7" t="s">
        <v>294</v>
      </c>
      <c r="E1301" s="7" t="s">
        <v>294</v>
      </c>
      <c r="F1301" s="3" t="s">
        <v>158</v>
      </c>
      <c r="G1301" s="3" t="n">
        <v>2</v>
      </c>
      <c r="H1301" s="3" t="n">
        <v>8</v>
      </c>
      <c r="I1301" s="22" t="n">
        <v>41869</v>
      </c>
      <c r="J1301" s="22" t="n">
        <v>41874</v>
      </c>
      <c r="K1301" s="43" t="n">
        <f aca="false">J1301-I1301</f>
        <v>5</v>
      </c>
      <c r="L1301" s="1" t="n">
        <v>5</v>
      </c>
      <c r="M1301" s="3" t="s">
        <v>48</v>
      </c>
      <c r="N1301" s="3" t="s">
        <v>61</v>
      </c>
      <c r="O1301" s="3" t="s">
        <v>82</v>
      </c>
      <c r="P1301" s="2" t="str">
        <f aca="false">CONCATENATE(N1301," ",O1301)</f>
        <v>Trochosa terricola</v>
      </c>
      <c r="Q1301" s="1" t="s">
        <v>30</v>
      </c>
      <c r="R1301" s="1" t="s">
        <v>31</v>
      </c>
      <c r="S1301" s="3" t="n">
        <v>1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f aca="false">SUM(S1301:T1301)</f>
        <v>1</v>
      </c>
      <c r="Z1301" s="3" t="n">
        <f aca="false">SUM(U1301:W1301)</f>
        <v>0</v>
      </c>
      <c r="AA1301" s="3" t="n">
        <f aca="false">SUM(S1301:X1301)</f>
        <v>1</v>
      </c>
      <c r="AB1301" s="11" t="n">
        <f aca="false">(AA1301/(K1301*L1301)*25)*4</f>
        <v>4</v>
      </c>
    </row>
    <row r="1302" customFormat="false" ht="14.25" hidden="false" customHeight="false" outlineLevel="0" collapsed="false">
      <c r="A1302" s="1" t="n">
        <v>2014</v>
      </c>
      <c r="B1302" s="7" t="s">
        <v>322</v>
      </c>
      <c r="C1302" s="7" t="n">
        <v>3</v>
      </c>
      <c r="D1302" s="7" t="s">
        <v>294</v>
      </c>
      <c r="E1302" s="7" t="s">
        <v>294</v>
      </c>
      <c r="F1302" s="3" t="s">
        <v>158</v>
      </c>
      <c r="G1302" s="3" t="n">
        <v>2</v>
      </c>
      <c r="H1302" s="3" t="n">
        <v>8</v>
      </c>
      <c r="I1302" s="22" t="n">
        <v>41869</v>
      </c>
      <c r="J1302" s="22" t="n">
        <v>41874</v>
      </c>
      <c r="K1302" s="43" t="n">
        <f aca="false">J1302-I1302</f>
        <v>5</v>
      </c>
      <c r="L1302" s="1" t="n">
        <v>5</v>
      </c>
      <c r="M1302" s="3" t="s">
        <v>48</v>
      </c>
      <c r="N1302" s="3" t="s">
        <v>61</v>
      </c>
      <c r="O1302" s="3" t="s">
        <v>82</v>
      </c>
      <c r="P1302" s="2" t="str">
        <f aca="false">CONCATENATE(N1302," ",O1302)</f>
        <v>Trochosa terricola</v>
      </c>
      <c r="Q1302" s="1" t="s">
        <v>30</v>
      </c>
      <c r="R1302" s="1" t="s">
        <v>35</v>
      </c>
      <c r="S1302" s="3" t="n">
        <v>0</v>
      </c>
      <c r="T1302" s="3" t="n">
        <v>2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f aca="false">SUM(S1302:T1302)</f>
        <v>2</v>
      </c>
      <c r="Z1302" s="3" t="n">
        <f aca="false">SUM(U1302:W1302)</f>
        <v>0</v>
      </c>
      <c r="AA1302" s="3" t="n">
        <f aca="false">SUM(S1302:X1302)</f>
        <v>2</v>
      </c>
      <c r="AB1302" s="11" t="n">
        <f aca="false">(AA1302/(K1302*L1302)*25)*4</f>
        <v>8</v>
      </c>
    </row>
    <row r="1303" customFormat="false" ht="14.25" hidden="false" customHeight="false" outlineLevel="0" collapsed="false">
      <c r="A1303" s="1" t="n">
        <v>2014</v>
      </c>
      <c r="B1303" s="7" t="s">
        <v>322</v>
      </c>
      <c r="C1303" s="7" t="n">
        <v>3</v>
      </c>
      <c r="D1303" s="7" t="s">
        <v>294</v>
      </c>
      <c r="E1303" s="7" t="s">
        <v>294</v>
      </c>
      <c r="F1303" s="3" t="s">
        <v>158</v>
      </c>
      <c r="G1303" s="3" t="n">
        <v>2</v>
      </c>
      <c r="H1303" s="3" t="n">
        <v>8</v>
      </c>
      <c r="I1303" s="22" t="n">
        <v>41869</v>
      </c>
      <c r="J1303" s="22" t="n">
        <v>41874</v>
      </c>
      <c r="K1303" s="43" t="n">
        <f aca="false">J1303-I1303</f>
        <v>5</v>
      </c>
      <c r="L1303" s="1" t="n">
        <v>5</v>
      </c>
      <c r="M1303" s="3" t="s">
        <v>36</v>
      </c>
      <c r="N1303" s="3" t="s">
        <v>37</v>
      </c>
      <c r="O1303" s="3" t="s">
        <v>75</v>
      </c>
      <c r="P1303" s="2" t="str">
        <f aca="false">CONCATENATE(N1303," ",O1303)</f>
        <v>Ozyptila praticola</v>
      </c>
      <c r="Q1303" s="1" t="s">
        <v>30</v>
      </c>
      <c r="R1303" s="1" t="s">
        <v>31</v>
      </c>
      <c r="S1303" s="3" t="n">
        <v>1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f aca="false">SUM(S1303:T1303)</f>
        <v>1</v>
      </c>
      <c r="Z1303" s="3" t="n">
        <f aca="false">SUM(U1303:W1303)</f>
        <v>0</v>
      </c>
      <c r="AA1303" s="3" t="n">
        <f aca="false">SUM(S1303:X1303)</f>
        <v>1</v>
      </c>
      <c r="AB1303" s="11" t="n">
        <f aca="false">(AA1303/(K1303*L1303)*25)*4</f>
        <v>4</v>
      </c>
    </row>
    <row r="1304" customFormat="false" ht="14.25" hidden="false" customHeight="false" outlineLevel="0" collapsed="false">
      <c r="A1304" s="1" t="n">
        <v>2014</v>
      </c>
      <c r="B1304" s="7" t="s">
        <v>322</v>
      </c>
      <c r="C1304" s="7" t="n">
        <v>3</v>
      </c>
      <c r="D1304" s="7" t="s">
        <v>294</v>
      </c>
      <c r="E1304" s="7" t="s">
        <v>294</v>
      </c>
      <c r="F1304" s="3" t="s">
        <v>158</v>
      </c>
      <c r="G1304" s="3" t="n">
        <v>2</v>
      </c>
      <c r="H1304" s="3" t="n">
        <v>10</v>
      </c>
      <c r="I1304" s="22" t="n">
        <v>41869</v>
      </c>
      <c r="J1304" s="22" t="n">
        <v>41874</v>
      </c>
      <c r="K1304" s="43" t="n">
        <f aca="false">J1304-I1304</f>
        <v>5</v>
      </c>
      <c r="L1304" s="1" t="n">
        <v>5</v>
      </c>
      <c r="M1304" s="3" t="s">
        <v>48</v>
      </c>
      <c r="N1304" s="3" t="s">
        <v>61</v>
      </c>
      <c r="O1304" s="3" t="s">
        <v>82</v>
      </c>
      <c r="P1304" s="2" t="str">
        <f aca="false">CONCATENATE(N1304," ",O1304)</f>
        <v>Trochosa terricola</v>
      </c>
      <c r="Q1304" s="1" t="s">
        <v>30</v>
      </c>
      <c r="R1304" s="1" t="s">
        <v>31</v>
      </c>
      <c r="S1304" s="3" t="n">
        <v>1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f aca="false">SUM(S1304:T1304)</f>
        <v>1</v>
      </c>
      <c r="Z1304" s="3" t="n">
        <f aca="false">SUM(U1304:W1304)</f>
        <v>0</v>
      </c>
      <c r="AA1304" s="3" t="n">
        <f aca="false">SUM(S1304:X1304)</f>
        <v>1</v>
      </c>
      <c r="AB1304" s="11" t="n">
        <f aca="false">(AA1304/(K1304*L1304)*25)*4</f>
        <v>4</v>
      </c>
    </row>
    <row r="1305" customFormat="false" ht="14.25" hidden="false" customHeight="false" outlineLevel="0" collapsed="false">
      <c r="A1305" s="1" t="n">
        <v>2014</v>
      </c>
      <c r="B1305" s="7" t="s">
        <v>322</v>
      </c>
      <c r="C1305" s="7" t="n">
        <v>3</v>
      </c>
      <c r="D1305" s="7" t="s">
        <v>294</v>
      </c>
      <c r="E1305" s="7" t="s">
        <v>294</v>
      </c>
      <c r="F1305" s="3" t="s">
        <v>158</v>
      </c>
      <c r="G1305" s="3" t="n">
        <v>2</v>
      </c>
      <c r="H1305" s="3" t="n">
        <v>10</v>
      </c>
      <c r="I1305" s="22" t="n">
        <v>41869</v>
      </c>
      <c r="J1305" s="22" t="n">
        <v>41874</v>
      </c>
      <c r="K1305" s="43" t="n">
        <f aca="false">J1305-I1305</f>
        <v>5</v>
      </c>
      <c r="L1305" s="1" t="n">
        <v>5</v>
      </c>
      <c r="M1305" s="3" t="s">
        <v>48</v>
      </c>
      <c r="N1305" s="3" t="s">
        <v>61</v>
      </c>
      <c r="O1305" s="3" t="s">
        <v>82</v>
      </c>
      <c r="P1305" s="2" t="str">
        <f aca="false">CONCATENATE(N1305," ",O1305)</f>
        <v>Trochosa terricola</v>
      </c>
      <c r="Q1305" s="1" t="s">
        <v>30</v>
      </c>
      <c r="R1305" s="1" t="s">
        <v>35</v>
      </c>
      <c r="S1305" s="3" t="n">
        <v>0</v>
      </c>
      <c r="T1305" s="3" t="n">
        <v>2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f aca="false">SUM(S1305:T1305)</f>
        <v>2</v>
      </c>
      <c r="Z1305" s="3" t="n">
        <f aca="false">SUM(U1305:W1305)</f>
        <v>0</v>
      </c>
      <c r="AA1305" s="3" t="n">
        <f aca="false">SUM(S1305:X1305)</f>
        <v>2</v>
      </c>
      <c r="AB1305" s="11" t="n">
        <f aca="false">(AA1305/(K1305*L1305)*25)*4</f>
        <v>8</v>
      </c>
    </row>
    <row r="1306" customFormat="false" ht="14.25" hidden="false" customHeight="false" outlineLevel="0" collapsed="false">
      <c r="A1306" s="1" t="n">
        <v>2014</v>
      </c>
      <c r="B1306" s="7" t="s">
        <v>322</v>
      </c>
      <c r="C1306" s="7" t="n">
        <v>3</v>
      </c>
      <c r="D1306" s="7" t="s">
        <v>294</v>
      </c>
      <c r="E1306" s="7" t="s">
        <v>294</v>
      </c>
      <c r="F1306" s="3" t="s">
        <v>158</v>
      </c>
      <c r="G1306" s="3" t="n">
        <v>2</v>
      </c>
      <c r="H1306" s="3" t="n">
        <v>10</v>
      </c>
      <c r="I1306" s="22" t="n">
        <v>41869</v>
      </c>
      <c r="J1306" s="22" t="n">
        <v>41874</v>
      </c>
      <c r="K1306" s="43" t="n">
        <f aca="false">J1306-I1306</f>
        <v>5</v>
      </c>
      <c r="L1306" s="1" t="n">
        <v>5</v>
      </c>
      <c r="M1306" s="3" t="s">
        <v>36</v>
      </c>
      <c r="N1306" s="3" t="s">
        <v>37</v>
      </c>
      <c r="O1306" s="3" t="s">
        <v>75</v>
      </c>
      <c r="P1306" s="2" t="str">
        <f aca="false">CONCATENATE(N1306," ",O1306)</f>
        <v>Ozyptila praticola</v>
      </c>
      <c r="Q1306" s="1" t="s">
        <v>30</v>
      </c>
      <c r="R1306" s="1" t="s">
        <v>31</v>
      </c>
      <c r="S1306" s="3" t="n">
        <v>2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f aca="false">SUM(S1306:T1306)</f>
        <v>2</v>
      </c>
      <c r="Z1306" s="3" t="n">
        <f aca="false">SUM(U1306:W1306)</f>
        <v>0</v>
      </c>
      <c r="AA1306" s="3" t="n">
        <f aca="false">SUM(S1306:X1306)</f>
        <v>2</v>
      </c>
      <c r="AB1306" s="11" t="n">
        <f aca="false">(AA1306/(K1306*L1306)*25)*4</f>
        <v>8</v>
      </c>
    </row>
    <row r="1307" customFormat="false" ht="14.25" hidden="false" customHeight="false" outlineLevel="0" collapsed="false">
      <c r="A1307" s="1" t="n">
        <v>2014</v>
      </c>
      <c r="B1307" s="7" t="s">
        <v>322</v>
      </c>
      <c r="C1307" s="7" t="n">
        <v>3</v>
      </c>
      <c r="D1307" s="7" t="s">
        <v>294</v>
      </c>
      <c r="E1307" s="7" t="s">
        <v>294</v>
      </c>
      <c r="F1307" s="3" t="s">
        <v>158</v>
      </c>
      <c r="G1307" s="3" t="n">
        <v>2</v>
      </c>
      <c r="H1307" s="3" t="n">
        <v>7</v>
      </c>
      <c r="I1307" s="22" t="n">
        <v>41869</v>
      </c>
      <c r="J1307" s="22" t="n">
        <v>41874</v>
      </c>
      <c r="K1307" s="43" t="n">
        <f aca="false">J1307-I1307</f>
        <v>5</v>
      </c>
      <c r="L1307" s="1" t="n">
        <v>5</v>
      </c>
      <c r="M1307" s="3" t="s">
        <v>48</v>
      </c>
      <c r="N1307" s="3" t="s">
        <v>61</v>
      </c>
      <c r="O1307" s="3" t="s">
        <v>82</v>
      </c>
      <c r="P1307" s="2" t="str">
        <f aca="false">CONCATENATE(N1307," ",O1307)</f>
        <v>Trochosa terricola</v>
      </c>
      <c r="Q1307" s="1" t="s">
        <v>30</v>
      </c>
      <c r="R1307" s="1" t="s">
        <v>31</v>
      </c>
      <c r="S1307" s="3" t="n">
        <v>2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f aca="false">SUM(S1307:T1307)</f>
        <v>2</v>
      </c>
      <c r="Z1307" s="3" t="n">
        <f aca="false">SUM(U1307:W1307)</f>
        <v>0</v>
      </c>
      <c r="AA1307" s="3" t="n">
        <f aca="false">SUM(S1307:X1307)</f>
        <v>2</v>
      </c>
      <c r="AB1307" s="11" t="n">
        <f aca="false">(AA1307/(K1307*L1307)*25)*4</f>
        <v>8</v>
      </c>
    </row>
    <row r="1308" customFormat="false" ht="14.25" hidden="false" customHeight="false" outlineLevel="0" collapsed="false">
      <c r="A1308" s="1" t="n">
        <v>2014</v>
      </c>
      <c r="B1308" s="7" t="s">
        <v>322</v>
      </c>
      <c r="C1308" s="7" t="n">
        <v>3</v>
      </c>
      <c r="D1308" s="7" t="s">
        <v>294</v>
      </c>
      <c r="E1308" s="7" t="s">
        <v>294</v>
      </c>
      <c r="F1308" s="3" t="s">
        <v>158</v>
      </c>
      <c r="G1308" s="3" t="n">
        <v>2</v>
      </c>
      <c r="H1308" s="3" t="n">
        <v>7</v>
      </c>
      <c r="I1308" s="22" t="n">
        <v>41869</v>
      </c>
      <c r="J1308" s="22" t="n">
        <v>41874</v>
      </c>
      <c r="K1308" s="43" t="n">
        <f aca="false">J1308-I1308</f>
        <v>5</v>
      </c>
      <c r="L1308" s="1" t="n">
        <v>5</v>
      </c>
      <c r="M1308" s="3" t="s">
        <v>36</v>
      </c>
      <c r="N1308" s="3" t="s">
        <v>37</v>
      </c>
      <c r="O1308" s="3" t="s">
        <v>75</v>
      </c>
      <c r="P1308" s="2" t="str">
        <f aca="false">CONCATENATE(N1308," ",O1308)</f>
        <v>Ozyptila praticola</v>
      </c>
      <c r="Q1308" s="1" t="s">
        <v>30</v>
      </c>
      <c r="R1308" s="1" t="s">
        <v>31</v>
      </c>
      <c r="S1308" s="3" t="n">
        <v>1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f aca="false">SUM(S1308:T1308)</f>
        <v>1</v>
      </c>
      <c r="Z1308" s="3" t="n">
        <f aca="false">SUM(U1308:W1308)</f>
        <v>0</v>
      </c>
      <c r="AA1308" s="3" t="n">
        <f aca="false">SUM(S1308:X1308)</f>
        <v>1</v>
      </c>
      <c r="AB1308" s="11" t="n">
        <f aca="false">(AA1308/(K1308*L1308)*25)*4</f>
        <v>4</v>
      </c>
    </row>
    <row r="1309" customFormat="false" ht="14.25" hidden="false" customHeight="false" outlineLevel="0" collapsed="false">
      <c r="A1309" s="1" t="n">
        <v>2014</v>
      </c>
      <c r="B1309" s="7" t="s">
        <v>322</v>
      </c>
      <c r="C1309" s="7" t="n">
        <v>3</v>
      </c>
      <c r="D1309" s="7" t="s">
        <v>294</v>
      </c>
      <c r="E1309" s="7" t="s">
        <v>294</v>
      </c>
      <c r="F1309" s="3" t="s">
        <v>158</v>
      </c>
      <c r="G1309" s="3" t="n">
        <v>2</v>
      </c>
      <c r="H1309" s="3" t="n">
        <v>9</v>
      </c>
      <c r="I1309" s="22" t="n">
        <v>41869</v>
      </c>
      <c r="J1309" s="22" t="n">
        <v>41874</v>
      </c>
      <c r="K1309" s="43" t="n">
        <f aca="false">J1309-I1309</f>
        <v>5</v>
      </c>
      <c r="L1309" s="1" t="n">
        <v>5</v>
      </c>
      <c r="M1309" s="3" t="s">
        <v>138</v>
      </c>
      <c r="N1309" s="3" t="s">
        <v>205</v>
      </c>
      <c r="O1309" s="3" t="s">
        <v>206</v>
      </c>
      <c r="P1309" s="2" t="str">
        <f aca="false">CONCATENATE(N1309," ",O1309)</f>
        <v>Clubiona caerulescens</v>
      </c>
      <c r="Q1309" s="1" t="s">
        <v>30</v>
      </c>
      <c r="R1309" s="1" t="s">
        <v>31</v>
      </c>
      <c r="S1309" s="3" t="n">
        <v>1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f aca="false">SUM(S1309:T1309)</f>
        <v>1</v>
      </c>
      <c r="Z1309" s="3" t="n">
        <f aca="false">SUM(U1309:W1309)</f>
        <v>0</v>
      </c>
      <c r="AA1309" s="3" t="n">
        <f aca="false">SUM(S1309:X1309)</f>
        <v>1</v>
      </c>
      <c r="AB1309" s="11" t="n">
        <f aca="false">(AA1309/(K1309*L1309)*25)*4</f>
        <v>4</v>
      </c>
    </row>
    <row r="1310" customFormat="false" ht="14.25" hidden="false" customHeight="false" outlineLevel="0" collapsed="false">
      <c r="A1310" s="1" t="n">
        <v>2014</v>
      </c>
      <c r="B1310" s="7" t="s">
        <v>322</v>
      </c>
      <c r="C1310" s="7" t="n">
        <v>3</v>
      </c>
      <c r="D1310" s="7" t="s">
        <v>294</v>
      </c>
      <c r="E1310" s="7" t="s">
        <v>294</v>
      </c>
      <c r="F1310" s="3" t="s">
        <v>158</v>
      </c>
      <c r="G1310" s="3" t="n">
        <v>2</v>
      </c>
      <c r="H1310" s="3" t="n">
        <v>9</v>
      </c>
      <c r="I1310" s="22" t="n">
        <v>41869</v>
      </c>
      <c r="J1310" s="22" t="n">
        <v>41874</v>
      </c>
      <c r="K1310" s="43" t="n">
        <f aca="false">J1310-I1310</f>
        <v>5</v>
      </c>
      <c r="L1310" s="1" t="n">
        <v>5</v>
      </c>
      <c r="M1310" s="3" t="s">
        <v>72</v>
      </c>
      <c r="N1310" s="3" t="s">
        <v>73</v>
      </c>
      <c r="O1310" s="3" t="s">
        <v>74</v>
      </c>
      <c r="P1310" s="2" t="str">
        <f aca="false">CONCATENATE(N1310," ",O1310)</f>
        <v>Zelotes subterraneus</v>
      </c>
      <c r="Q1310" s="1" t="s">
        <v>30</v>
      </c>
      <c r="R1310" s="1" t="s">
        <v>31</v>
      </c>
      <c r="S1310" s="3" t="n">
        <v>2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f aca="false">SUM(S1310:T1310)</f>
        <v>2</v>
      </c>
      <c r="Z1310" s="3" t="n">
        <f aca="false">SUM(U1310:W1310)</f>
        <v>0</v>
      </c>
      <c r="AA1310" s="3" t="n">
        <f aca="false">SUM(S1310:X1310)</f>
        <v>2</v>
      </c>
      <c r="AB1310" s="11" t="n">
        <f aca="false">(AA1310/(K1310*L1310)*25)*4</f>
        <v>8</v>
      </c>
    </row>
    <row r="1311" customFormat="false" ht="14.25" hidden="false" customHeight="false" outlineLevel="0" collapsed="false">
      <c r="A1311" s="1" t="n">
        <v>2014</v>
      </c>
      <c r="B1311" s="7" t="s">
        <v>322</v>
      </c>
      <c r="C1311" s="7" t="n">
        <v>3</v>
      </c>
      <c r="D1311" s="7" t="s">
        <v>294</v>
      </c>
      <c r="E1311" s="7" t="s">
        <v>294</v>
      </c>
      <c r="F1311" s="3" t="s">
        <v>158</v>
      </c>
      <c r="G1311" s="3" t="n">
        <v>2</v>
      </c>
      <c r="H1311" s="3" t="n">
        <v>9</v>
      </c>
      <c r="I1311" s="22" t="n">
        <v>41869</v>
      </c>
      <c r="J1311" s="22" t="n">
        <v>41874</v>
      </c>
      <c r="K1311" s="43" t="n">
        <f aca="false">J1311-I1311</f>
        <v>5</v>
      </c>
      <c r="L1311" s="1" t="n">
        <v>5</v>
      </c>
      <c r="M1311" s="3" t="s">
        <v>48</v>
      </c>
      <c r="N1311" s="3" t="s">
        <v>61</v>
      </c>
      <c r="O1311" s="3" t="s">
        <v>82</v>
      </c>
      <c r="P1311" s="2" t="str">
        <f aca="false">CONCATENATE(N1311," ",O1311)</f>
        <v>Trochosa terricola</v>
      </c>
      <c r="Q1311" s="1" t="s">
        <v>30</v>
      </c>
      <c r="R1311" s="1" t="s">
        <v>31</v>
      </c>
      <c r="S1311" s="3" t="n">
        <v>1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f aca="false">SUM(S1311:T1311)</f>
        <v>1</v>
      </c>
      <c r="Z1311" s="3" t="n">
        <f aca="false">SUM(U1311:W1311)</f>
        <v>0</v>
      </c>
      <c r="AA1311" s="3" t="n">
        <f aca="false">SUM(S1311:X1311)</f>
        <v>1</v>
      </c>
      <c r="AB1311" s="11" t="n">
        <f aca="false">(AA1311/(K1311*L1311)*25)*4</f>
        <v>4</v>
      </c>
    </row>
    <row r="1312" customFormat="false" ht="14.25" hidden="false" customHeight="false" outlineLevel="0" collapsed="false">
      <c r="A1312" s="1" t="n">
        <v>2014</v>
      </c>
      <c r="B1312" s="7" t="s">
        <v>322</v>
      </c>
      <c r="C1312" s="7" t="n">
        <v>3</v>
      </c>
      <c r="D1312" s="7" t="s">
        <v>294</v>
      </c>
      <c r="E1312" s="7" t="s">
        <v>294</v>
      </c>
      <c r="F1312" s="3" t="s">
        <v>158</v>
      </c>
      <c r="G1312" s="3" t="n">
        <v>2</v>
      </c>
      <c r="H1312" s="3" t="n">
        <v>9</v>
      </c>
      <c r="I1312" s="22" t="n">
        <v>41869</v>
      </c>
      <c r="J1312" s="22" t="n">
        <v>41874</v>
      </c>
      <c r="K1312" s="43" t="n">
        <f aca="false">J1312-I1312</f>
        <v>5</v>
      </c>
      <c r="L1312" s="1" t="n">
        <v>5</v>
      </c>
      <c r="M1312" s="3" t="s">
        <v>36</v>
      </c>
      <c r="N1312" s="3" t="s">
        <v>37</v>
      </c>
      <c r="O1312" s="3" t="s">
        <v>75</v>
      </c>
      <c r="P1312" s="2" t="str">
        <f aca="false">CONCATENATE(N1312," ",O1312)</f>
        <v>Ozyptila praticola</v>
      </c>
      <c r="Q1312" s="1" t="s">
        <v>30</v>
      </c>
      <c r="R1312" s="1" t="s">
        <v>31</v>
      </c>
      <c r="S1312" s="3" t="n">
        <v>3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f aca="false">SUM(S1312:T1312)</f>
        <v>3</v>
      </c>
      <c r="Z1312" s="3" t="n">
        <f aca="false">SUM(U1312:W1312)</f>
        <v>0</v>
      </c>
      <c r="AA1312" s="3" t="n">
        <f aca="false">SUM(S1312:X1312)</f>
        <v>3</v>
      </c>
      <c r="AB1312" s="11" t="n">
        <f aca="false">(AA1312/(K1312*L1312)*25)*4</f>
        <v>12</v>
      </c>
    </row>
    <row r="1313" customFormat="false" ht="14.25" hidden="false" customHeight="false" outlineLevel="0" collapsed="false">
      <c r="A1313" s="1" t="n">
        <v>2014</v>
      </c>
      <c r="B1313" s="7" t="s">
        <v>322</v>
      </c>
      <c r="C1313" s="7" t="n">
        <v>3</v>
      </c>
      <c r="D1313" s="7" t="s">
        <v>294</v>
      </c>
      <c r="E1313" s="7" t="s">
        <v>294</v>
      </c>
      <c r="F1313" s="3" t="s">
        <v>158</v>
      </c>
      <c r="G1313" s="3" t="n">
        <v>1</v>
      </c>
      <c r="H1313" s="3" t="n">
        <v>3</v>
      </c>
      <c r="I1313" s="22" t="n">
        <v>41869</v>
      </c>
      <c r="J1313" s="22" t="n">
        <v>41874</v>
      </c>
      <c r="K1313" s="43" t="n">
        <f aca="false">J1313-I1313</f>
        <v>5</v>
      </c>
      <c r="L1313" s="1" t="n">
        <v>5</v>
      </c>
      <c r="M1313" s="3" t="s">
        <v>36</v>
      </c>
      <c r="N1313" s="3" t="s">
        <v>37</v>
      </c>
      <c r="O1313" s="3" t="s">
        <v>75</v>
      </c>
      <c r="P1313" s="2" t="str">
        <f aca="false">CONCATENATE(N1313," ",O1313)</f>
        <v>Ozyptila praticola</v>
      </c>
      <c r="Q1313" s="1" t="s">
        <v>30</v>
      </c>
      <c r="R1313" s="1" t="s">
        <v>31</v>
      </c>
      <c r="S1313" s="3" t="n">
        <v>5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f aca="false">SUM(S1313:T1313)</f>
        <v>5</v>
      </c>
      <c r="Z1313" s="3" t="n">
        <f aca="false">SUM(U1313:W1313)</f>
        <v>0</v>
      </c>
      <c r="AA1313" s="3" t="n">
        <f aca="false">SUM(S1313:X1313)</f>
        <v>5</v>
      </c>
      <c r="AB1313" s="11" t="n">
        <f aca="false">(AA1313/(K1313*L1313)*25)*4</f>
        <v>20</v>
      </c>
    </row>
    <row r="1314" customFormat="false" ht="14.25" hidden="false" customHeight="false" outlineLevel="0" collapsed="false">
      <c r="A1314" s="1" t="n">
        <v>2014</v>
      </c>
      <c r="B1314" s="7" t="s">
        <v>322</v>
      </c>
      <c r="C1314" s="7" t="n">
        <v>3</v>
      </c>
      <c r="D1314" s="7" t="s">
        <v>294</v>
      </c>
      <c r="E1314" s="7" t="s">
        <v>294</v>
      </c>
      <c r="F1314" s="3" t="s">
        <v>158</v>
      </c>
      <c r="G1314" s="3" t="n">
        <v>1</v>
      </c>
      <c r="H1314" s="3" t="n">
        <v>3</v>
      </c>
      <c r="I1314" s="22" t="n">
        <v>41869</v>
      </c>
      <c r="J1314" s="22" t="n">
        <v>41874</v>
      </c>
      <c r="K1314" s="43" t="n">
        <f aca="false">J1314-I1314</f>
        <v>5</v>
      </c>
      <c r="L1314" s="1" t="n">
        <v>5</v>
      </c>
      <c r="M1314" s="3" t="s">
        <v>41</v>
      </c>
      <c r="N1314" s="3" t="s">
        <v>42</v>
      </c>
      <c r="O1314" s="3" t="s">
        <v>43</v>
      </c>
      <c r="P1314" s="2" t="str">
        <f aca="false">CONCATENATE(N1314," ",O1314)</f>
        <v>Agroeca proxima</v>
      </c>
      <c r="Q1314" s="1" t="s">
        <v>30</v>
      </c>
      <c r="R1314" s="1" t="s">
        <v>31</v>
      </c>
      <c r="S1314" s="3" t="n">
        <v>1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f aca="false">SUM(S1314:T1314)</f>
        <v>1</v>
      </c>
      <c r="Z1314" s="3" t="n">
        <f aca="false">SUM(U1314:W1314)</f>
        <v>0</v>
      </c>
      <c r="AA1314" s="3" t="n">
        <f aca="false">SUM(S1314:X1314)</f>
        <v>1</v>
      </c>
      <c r="AB1314" s="11" t="n">
        <f aca="false">(AA1314/(K1314*L1314)*25)*4</f>
        <v>4</v>
      </c>
    </row>
    <row r="1315" customFormat="false" ht="14.25" hidden="false" customHeight="false" outlineLevel="0" collapsed="false">
      <c r="A1315" s="1" t="n">
        <v>2014</v>
      </c>
      <c r="B1315" s="7" t="s">
        <v>322</v>
      </c>
      <c r="C1315" s="7" t="n">
        <v>3</v>
      </c>
      <c r="D1315" s="7" t="s">
        <v>294</v>
      </c>
      <c r="E1315" s="7" t="s">
        <v>294</v>
      </c>
      <c r="F1315" s="3" t="s">
        <v>158</v>
      </c>
      <c r="G1315" s="3" t="n">
        <v>1</v>
      </c>
      <c r="H1315" s="3" t="n">
        <v>3</v>
      </c>
      <c r="I1315" s="22" t="n">
        <v>41869</v>
      </c>
      <c r="J1315" s="22" t="n">
        <v>41874</v>
      </c>
      <c r="K1315" s="43" t="n">
        <f aca="false">J1315-I1315</f>
        <v>5</v>
      </c>
      <c r="L1315" s="1" t="n">
        <v>5</v>
      </c>
      <c r="M1315" s="3" t="s">
        <v>32</v>
      </c>
      <c r="N1315" s="3" t="s">
        <v>84</v>
      </c>
      <c r="O1315" s="3" t="s">
        <v>85</v>
      </c>
      <c r="P1315" s="2" t="str">
        <f aca="false">CONCATENATE(N1315," ",O1315)</f>
        <v>Walckenaeria antica</v>
      </c>
      <c r="Q1315" s="1" t="s">
        <v>30</v>
      </c>
      <c r="R1315" s="1" t="s">
        <v>35</v>
      </c>
      <c r="S1315" s="3" t="n">
        <v>0</v>
      </c>
      <c r="T1315" s="3" t="n">
        <v>1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f aca="false">SUM(S1315:T1315)</f>
        <v>1</v>
      </c>
      <c r="Z1315" s="3" t="n">
        <f aca="false">SUM(U1315:W1315)</f>
        <v>0</v>
      </c>
      <c r="AA1315" s="3" t="n">
        <f aca="false">SUM(S1315:X1315)</f>
        <v>1</v>
      </c>
      <c r="AB1315" s="11" t="n">
        <f aca="false">(AA1315/(K1315*L1315)*25)*4</f>
        <v>4</v>
      </c>
    </row>
    <row r="1316" customFormat="false" ht="14.25" hidden="false" customHeight="false" outlineLevel="0" collapsed="false">
      <c r="A1316" s="1" t="n">
        <v>2014</v>
      </c>
      <c r="B1316" s="7" t="s">
        <v>322</v>
      </c>
      <c r="C1316" s="7" t="n">
        <v>3</v>
      </c>
      <c r="D1316" s="7" t="s">
        <v>294</v>
      </c>
      <c r="E1316" s="7" t="s">
        <v>294</v>
      </c>
      <c r="F1316" s="3" t="s">
        <v>158</v>
      </c>
      <c r="G1316" s="3" t="n">
        <v>1</v>
      </c>
      <c r="H1316" s="3" t="n">
        <v>3</v>
      </c>
      <c r="I1316" s="22" t="n">
        <v>41869</v>
      </c>
      <c r="J1316" s="22" t="n">
        <v>41874</v>
      </c>
      <c r="K1316" s="43" t="n">
        <f aca="false">J1316-I1316</f>
        <v>5</v>
      </c>
      <c r="L1316" s="1" t="n">
        <v>5</v>
      </c>
      <c r="M1316" s="3" t="s">
        <v>32</v>
      </c>
      <c r="N1316" s="3" t="s">
        <v>84</v>
      </c>
      <c r="O1316" s="3" t="s">
        <v>85</v>
      </c>
      <c r="P1316" s="2" t="str">
        <f aca="false">CONCATENATE(N1316," ",O1316)</f>
        <v>Walckenaeria antica</v>
      </c>
      <c r="Q1316" s="1" t="s">
        <v>30</v>
      </c>
      <c r="R1316" s="1" t="s">
        <v>31</v>
      </c>
      <c r="S1316" s="3" t="n">
        <v>1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f aca="false">SUM(S1316:T1316)</f>
        <v>1</v>
      </c>
      <c r="Z1316" s="3" t="n">
        <f aca="false">SUM(U1316:W1316)</f>
        <v>0</v>
      </c>
      <c r="AA1316" s="3" t="n">
        <f aca="false">SUM(S1316:X1316)</f>
        <v>1</v>
      </c>
      <c r="AB1316" s="11" t="n">
        <f aca="false">(AA1316/(K1316*L1316)*25)*4</f>
        <v>4</v>
      </c>
    </row>
    <row r="1317" customFormat="false" ht="14.25" hidden="false" customHeight="false" outlineLevel="0" collapsed="false">
      <c r="A1317" s="1" t="n">
        <v>2014</v>
      </c>
      <c r="B1317" s="7" t="s">
        <v>322</v>
      </c>
      <c r="C1317" s="7" t="n">
        <v>3</v>
      </c>
      <c r="D1317" s="7" t="s">
        <v>294</v>
      </c>
      <c r="E1317" s="7" t="s">
        <v>294</v>
      </c>
      <c r="F1317" s="3" t="s">
        <v>158</v>
      </c>
      <c r="G1317" s="3" t="n">
        <v>3</v>
      </c>
      <c r="H1317" s="3" t="n">
        <v>12</v>
      </c>
      <c r="I1317" s="22" t="n">
        <v>41869</v>
      </c>
      <c r="J1317" s="22" t="n">
        <v>41874</v>
      </c>
      <c r="K1317" s="43" t="n">
        <f aca="false">J1317-I1317</f>
        <v>5</v>
      </c>
      <c r="L1317" s="1" t="n">
        <v>5</v>
      </c>
      <c r="M1317" s="3" t="s">
        <v>32</v>
      </c>
      <c r="N1317" s="3" t="s">
        <v>88</v>
      </c>
      <c r="O1317" s="3" t="s">
        <v>89</v>
      </c>
      <c r="P1317" s="2" t="str">
        <f aca="false">CONCATENATE(N1317," ",O1317)</f>
        <v>Tapinopa longidens</v>
      </c>
      <c r="Q1317" s="1" t="s">
        <v>30</v>
      </c>
      <c r="R1317" s="1" t="s">
        <v>31</v>
      </c>
      <c r="S1317" s="3" t="n">
        <v>1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f aca="false">SUM(S1317:T1317)</f>
        <v>1</v>
      </c>
      <c r="Z1317" s="3" t="n">
        <f aca="false">SUM(U1317:W1317)</f>
        <v>0</v>
      </c>
      <c r="AA1317" s="3" t="n">
        <f aca="false">SUM(S1317:X1317)</f>
        <v>1</v>
      </c>
      <c r="AB1317" s="11" t="n">
        <f aca="false">(AA1317/(K1317*L1317)*25)*4</f>
        <v>4</v>
      </c>
    </row>
    <row r="1318" customFormat="false" ht="14.25" hidden="false" customHeight="false" outlineLevel="0" collapsed="false">
      <c r="A1318" s="1" t="n">
        <v>2014</v>
      </c>
      <c r="B1318" s="7" t="s">
        <v>322</v>
      </c>
      <c r="C1318" s="7" t="n">
        <v>3</v>
      </c>
      <c r="D1318" s="7" t="s">
        <v>294</v>
      </c>
      <c r="E1318" s="7" t="s">
        <v>294</v>
      </c>
      <c r="F1318" s="3" t="s">
        <v>158</v>
      </c>
      <c r="G1318" s="3" t="n">
        <v>3</v>
      </c>
      <c r="H1318" s="3" t="n">
        <v>12</v>
      </c>
      <c r="I1318" s="22" t="n">
        <v>41869</v>
      </c>
      <c r="J1318" s="22" t="n">
        <v>41874</v>
      </c>
      <c r="K1318" s="43" t="n">
        <f aca="false">J1318-I1318</f>
        <v>5</v>
      </c>
      <c r="L1318" s="1" t="n">
        <v>5</v>
      </c>
      <c r="M1318" s="3" t="s">
        <v>32</v>
      </c>
      <c r="N1318" s="3" t="s">
        <v>84</v>
      </c>
      <c r="O1318" s="3" t="s">
        <v>181</v>
      </c>
      <c r="P1318" s="2" t="str">
        <f aca="false">CONCATENATE(N1318," ",O1318)</f>
        <v>Walckenaeria cucullata</v>
      </c>
      <c r="Q1318" s="1" t="s">
        <v>30</v>
      </c>
      <c r="R1318" s="1" t="s">
        <v>35</v>
      </c>
      <c r="S1318" s="3" t="n">
        <v>0</v>
      </c>
      <c r="T1318" s="3" t="n">
        <v>1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f aca="false">SUM(S1318:T1318)</f>
        <v>1</v>
      </c>
      <c r="Z1318" s="3" t="n">
        <f aca="false">SUM(U1318:W1318)</f>
        <v>0</v>
      </c>
      <c r="AA1318" s="3" t="n">
        <f aca="false">SUM(S1318:X1318)</f>
        <v>1</v>
      </c>
      <c r="AB1318" s="11" t="n">
        <f aca="false">(AA1318/(K1318*L1318)*25)*4</f>
        <v>4</v>
      </c>
    </row>
    <row r="1319" customFormat="false" ht="14.25" hidden="false" customHeight="false" outlineLevel="0" collapsed="false">
      <c r="A1319" s="1" t="n">
        <v>2014</v>
      </c>
      <c r="B1319" s="7" t="s">
        <v>322</v>
      </c>
      <c r="C1319" s="7" t="n">
        <v>3</v>
      </c>
      <c r="D1319" s="7" t="s">
        <v>294</v>
      </c>
      <c r="E1319" s="7" t="s">
        <v>294</v>
      </c>
      <c r="F1319" s="3" t="s">
        <v>158</v>
      </c>
      <c r="G1319" s="3" t="n">
        <v>3</v>
      </c>
      <c r="H1319" s="3" t="n">
        <v>12</v>
      </c>
      <c r="I1319" s="22" t="n">
        <v>41869</v>
      </c>
      <c r="J1319" s="22" t="n">
        <v>41874</v>
      </c>
      <c r="K1319" s="43" t="n">
        <f aca="false">J1319-I1319</f>
        <v>5</v>
      </c>
      <c r="L1319" s="1" t="n">
        <v>5</v>
      </c>
      <c r="M1319" s="3" t="s">
        <v>48</v>
      </c>
      <c r="N1319" s="3" t="s">
        <v>61</v>
      </c>
      <c r="O1319" s="3" t="s">
        <v>82</v>
      </c>
      <c r="P1319" s="2" t="str">
        <f aca="false">CONCATENATE(N1319," ",O1319)</f>
        <v>Trochosa terricola</v>
      </c>
      <c r="Q1319" s="1" t="s">
        <v>30</v>
      </c>
      <c r="R1319" s="1" t="s">
        <v>35</v>
      </c>
      <c r="S1319" s="3" t="n">
        <v>0</v>
      </c>
      <c r="T1319" s="3" t="n">
        <v>1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f aca="false">SUM(S1319:T1319)</f>
        <v>1</v>
      </c>
      <c r="Z1319" s="3" t="n">
        <f aca="false">SUM(U1319:W1319)</f>
        <v>0</v>
      </c>
      <c r="AA1319" s="3" t="n">
        <f aca="false">SUM(S1319:X1319)</f>
        <v>1</v>
      </c>
      <c r="AB1319" s="11" t="n">
        <f aca="false">(AA1319/(K1319*L1319)*25)*4</f>
        <v>4</v>
      </c>
    </row>
    <row r="1320" customFormat="false" ht="14.25" hidden="false" customHeight="false" outlineLevel="0" collapsed="false">
      <c r="A1320" s="1" t="n">
        <v>2014</v>
      </c>
      <c r="B1320" s="7" t="s">
        <v>322</v>
      </c>
      <c r="C1320" s="7" t="n">
        <v>3</v>
      </c>
      <c r="D1320" s="7" t="s">
        <v>294</v>
      </c>
      <c r="E1320" s="7" t="s">
        <v>294</v>
      </c>
      <c r="F1320" s="3" t="s">
        <v>158</v>
      </c>
      <c r="G1320" s="3" t="n">
        <v>3</v>
      </c>
      <c r="H1320" s="3" t="n">
        <v>12</v>
      </c>
      <c r="I1320" s="22" t="n">
        <v>41869</v>
      </c>
      <c r="J1320" s="22" t="n">
        <v>41874</v>
      </c>
      <c r="K1320" s="43" t="n">
        <f aca="false">J1320-I1320</f>
        <v>5</v>
      </c>
      <c r="L1320" s="1" t="n">
        <v>5</v>
      </c>
      <c r="M1320" s="3" t="s">
        <v>36</v>
      </c>
      <c r="N1320" s="3" t="s">
        <v>37</v>
      </c>
      <c r="O1320" s="3" t="s">
        <v>75</v>
      </c>
      <c r="P1320" s="2" t="str">
        <f aca="false">CONCATENATE(N1320," ",O1320)</f>
        <v>Ozyptila praticola</v>
      </c>
      <c r="Q1320" s="1" t="s">
        <v>30</v>
      </c>
      <c r="R1320" s="1" t="s">
        <v>31</v>
      </c>
      <c r="S1320" s="3" t="n">
        <v>3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f aca="false">SUM(S1320:T1320)</f>
        <v>3</v>
      </c>
      <c r="Z1320" s="3" t="n">
        <f aca="false">SUM(U1320:W1320)</f>
        <v>0</v>
      </c>
      <c r="AA1320" s="3" t="n">
        <f aca="false">SUM(S1320:X1320)</f>
        <v>3</v>
      </c>
      <c r="AB1320" s="11" t="n">
        <f aca="false">(AA1320/(K1320*L1320)*25)*4</f>
        <v>12</v>
      </c>
    </row>
    <row r="1321" customFormat="false" ht="14.25" hidden="false" customHeight="false" outlineLevel="0" collapsed="false">
      <c r="A1321" s="1" t="n">
        <v>2014</v>
      </c>
      <c r="B1321" s="7" t="s">
        <v>322</v>
      </c>
      <c r="C1321" s="7" t="n">
        <v>3</v>
      </c>
      <c r="D1321" s="7" t="s">
        <v>294</v>
      </c>
      <c r="E1321" s="7" t="s">
        <v>294</v>
      </c>
      <c r="F1321" s="3" t="s">
        <v>158</v>
      </c>
      <c r="G1321" s="3" t="n">
        <v>2</v>
      </c>
      <c r="H1321" s="3" t="n">
        <v>6</v>
      </c>
      <c r="I1321" s="22" t="n">
        <v>41869</v>
      </c>
      <c r="J1321" s="22" t="n">
        <v>41874</v>
      </c>
      <c r="K1321" s="43" t="n">
        <f aca="false">J1321-I1321</f>
        <v>5</v>
      </c>
      <c r="L1321" s="1" t="n">
        <v>5</v>
      </c>
      <c r="M1321" s="3" t="s">
        <v>36</v>
      </c>
      <c r="N1321" s="3" t="s">
        <v>37</v>
      </c>
      <c r="O1321" s="3" t="s">
        <v>75</v>
      </c>
      <c r="P1321" s="2" t="str">
        <f aca="false">CONCATENATE(N1321," ",O1321)</f>
        <v>Ozyptila praticola</v>
      </c>
      <c r="Q1321" s="1" t="s">
        <v>30</v>
      </c>
      <c r="R1321" s="1" t="s">
        <v>31</v>
      </c>
      <c r="S1321" s="3" t="n">
        <v>3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f aca="false">SUM(S1321:T1321)</f>
        <v>3</v>
      </c>
      <c r="Z1321" s="3" t="n">
        <f aca="false">SUM(U1321:W1321)</f>
        <v>0</v>
      </c>
      <c r="AA1321" s="3" t="n">
        <f aca="false">SUM(S1321:X1321)</f>
        <v>3</v>
      </c>
      <c r="AB1321" s="11" t="n">
        <f aca="false">(AA1321/(K1321*L1321)*25)*4</f>
        <v>12</v>
      </c>
    </row>
    <row r="1322" customFormat="false" ht="14.25" hidden="false" customHeight="false" outlineLevel="0" collapsed="false">
      <c r="A1322" s="1" t="n">
        <v>2014</v>
      </c>
      <c r="B1322" s="7" t="s">
        <v>322</v>
      </c>
      <c r="C1322" s="7" t="n">
        <v>3</v>
      </c>
      <c r="D1322" s="7" t="s">
        <v>294</v>
      </c>
      <c r="E1322" s="7" t="s">
        <v>294</v>
      </c>
      <c r="F1322" s="3" t="s">
        <v>158</v>
      </c>
      <c r="G1322" s="3" t="n">
        <v>2</v>
      </c>
      <c r="H1322" s="3" t="n">
        <v>6</v>
      </c>
      <c r="I1322" s="22" t="n">
        <v>41869</v>
      </c>
      <c r="J1322" s="22" t="n">
        <v>41874</v>
      </c>
      <c r="K1322" s="43" t="n">
        <f aca="false">J1322-I1322</f>
        <v>5</v>
      </c>
      <c r="L1322" s="1" t="n">
        <v>5</v>
      </c>
      <c r="M1322" s="3" t="s">
        <v>72</v>
      </c>
      <c r="N1322" s="3" t="s">
        <v>73</v>
      </c>
      <c r="O1322" s="3" t="s">
        <v>74</v>
      </c>
      <c r="P1322" s="2" t="str">
        <f aca="false">CONCATENATE(N1322," ",O1322)</f>
        <v>Zelotes subterraneus</v>
      </c>
      <c r="Q1322" s="1" t="s">
        <v>30</v>
      </c>
      <c r="R1322" s="1" t="s">
        <v>31</v>
      </c>
      <c r="S1322" s="3" t="n">
        <v>1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f aca="false">SUM(S1322:T1322)</f>
        <v>1</v>
      </c>
      <c r="Z1322" s="3" t="n">
        <f aca="false">SUM(U1322:W1322)</f>
        <v>0</v>
      </c>
      <c r="AA1322" s="3" t="n">
        <f aca="false">SUM(S1322:X1322)</f>
        <v>1</v>
      </c>
      <c r="AB1322" s="11" t="n">
        <f aca="false">(AA1322/(K1322*L1322)*25)*4</f>
        <v>4</v>
      </c>
    </row>
    <row r="1323" customFormat="false" ht="14.25" hidden="false" customHeight="false" outlineLevel="0" collapsed="false">
      <c r="A1323" s="1" t="n">
        <v>2014</v>
      </c>
      <c r="B1323" s="7" t="s">
        <v>322</v>
      </c>
      <c r="C1323" s="7" t="n">
        <v>3</v>
      </c>
      <c r="D1323" s="7" t="s">
        <v>294</v>
      </c>
      <c r="E1323" s="7" t="s">
        <v>294</v>
      </c>
      <c r="F1323" s="3" t="s">
        <v>158</v>
      </c>
      <c r="G1323" s="3" t="n">
        <v>2</v>
      </c>
      <c r="H1323" s="3" t="n">
        <v>6</v>
      </c>
      <c r="I1323" s="22" t="n">
        <v>41869</v>
      </c>
      <c r="J1323" s="22" t="n">
        <v>41874</v>
      </c>
      <c r="K1323" s="43" t="n">
        <f aca="false">J1323-I1323</f>
        <v>5</v>
      </c>
      <c r="L1323" s="1" t="n">
        <v>5</v>
      </c>
      <c r="M1323" s="3" t="s">
        <v>72</v>
      </c>
      <c r="N1323" s="3" t="s">
        <v>73</v>
      </c>
      <c r="O1323" s="3" t="s">
        <v>74</v>
      </c>
      <c r="P1323" s="2" t="str">
        <f aca="false">CONCATENATE(N1323," ",O1323)</f>
        <v>Zelotes subterraneus</v>
      </c>
      <c r="Q1323" s="1" t="s">
        <v>30</v>
      </c>
      <c r="R1323" s="1" t="s">
        <v>35</v>
      </c>
      <c r="S1323" s="3" t="n">
        <v>0</v>
      </c>
      <c r="T1323" s="3" t="n">
        <v>1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f aca="false">SUM(S1323:T1323)</f>
        <v>1</v>
      </c>
      <c r="Z1323" s="3" t="n">
        <f aca="false">SUM(U1323:W1323)</f>
        <v>0</v>
      </c>
      <c r="AA1323" s="3" t="n">
        <f aca="false">SUM(S1323:X1323)</f>
        <v>1</v>
      </c>
      <c r="AB1323" s="11" t="n">
        <f aca="false">(AA1323/(K1323*L1323)*25)*4</f>
        <v>4</v>
      </c>
    </row>
    <row r="1324" customFormat="false" ht="14.25" hidden="false" customHeight="false" outlineLevel="0" collapsed="false">
      <c r="A1324" s="1" t="n">
        <v>2014</v>
      </c>
      <c r="B1324" s="7" t="s">
        <v>322</v>
      </c>
      <c r="C1324" s="7" t="n">
        <v>3</v>
      </c>
      <c r="D1324" s="7" t="s">
        <v>294</v>
      </c>
      <c r="E1324" s="7" t="s">
        <v>294</v>
      </c>
      <c r="F1324" s="3" t="s">
        <v>158</v>
      </c>
      <c r="G1324" s="3" t="n">
        <v>2</v>
      </c>
      <c r="H1324" s="3" t="n">
        <v>6</v>
      </c>
      <c r="I1324" s="22" t="n">
        <v>41869</v>
      </c>
      <c r="J1324" s="22" t="n">
        <v>41874</v>
      </c>
      <c r="K1324" s="43" t="n">
        <f aca="false">J1324-I1324</f>
        <v>5</v>
      </c>
      <c r="L1324" s="1" t="n">
        <v>5</v>
      </c>
      <c r="M1324" s="3" t="s">
        <v>48</v>
      </c>
      <c r="N1324" s="3" t="s">
        <v>67</v>
      </c>
      <c r="O1324" s="3" t="s">
        <v>127</v>
      </c>
      <c r="P1324" s="2" t="str">
        <f aca="false">CONCATENATE(N1324," ",O1324)</f>
        <v>Pardosa lugubris</v>
      </c>
      <c r="Q1324" s="1" t="s">
        <v>30</v>
      </c>
      <c r="R1324" s="1" t="s">
        <v>35</v>
      </c>
      <c r="S1324" s="3" t="n">
        <v>0</v>
      </c>
      <c r="T1324" s="3" t="n">
        <v>1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f aca="false">SUM(S1324:T1324)</f>
        <v>1</v>
      </c>
      <c r="Z1324" s="3" t="n">
        <f aca="false">SUM(U1324:W1324)</f>
        <v>0</v>
      </c>
      <c r="AA1324" s="3" t="n">
        <f aca="false">SUM(S1324:X1324)</f>
        <v>1</v>
      </c>
      <c r="AB1324" s="11" t="n">
        <f aca="false">(AA1324/(K1324*L1324)*25)*4</f>
        <v>4</v>
      </c>
    </row>
    <row r="1325" customFormat="false" ht="14.25" hidden="false" customHeight="false" outlineLevel="0" collapsed="false">
      <c r="A1325" s="1" t="n">
        <v>2014</v>
      </c>
      <c r="B1325" s="7" t="s">
        <v>322</v>
      </c>
      <c r="C1325" s="7" t="n">
        <v>3</v>
      </c>
      <c r="D1325" s="7" t="s">
        <v>294</v>
      </c>
      <c r="E1325" s="7" t="s">
        <v>294</v>
      </c>
      <c r="F1325" s="3" t="s">
        <v>158</v>
      </c>
      <c r="G1325" s="3" t="n">
        <v>3</v>
      </c>
      <c r="H1325" s="3" t="n">
        <v>13</v>
      </c>
      <c r="I1325" s="22" t="n">
        <v>41869</v>
      </c>
      <c r="J1325" s="22" t="n">
        <v>41874</v>
      </c>
      <c r="K1325" s="43" t="n">
        <f aca="false">J1325-I1325</f>
        <v>5</v>
      </c>
      <c r="L1325" s="1" t="n">
        <v>5</v>
      </c>
      <c r="M1325" s="3" t="s">
        <v>48</v>
      </c>
      <c r="N1325" s="3" t="s">
        <v>61</v>
      </c>
      <c r="O1325" s="3" t="s">
        <v>82</v>
      </c>
      <c r="P1325" s="2" t="str">
        <f aca="false">CONCATENATE(N1325," ",O1325)</f>
        <v>Trochosa terricola</v>
      </c>
      <c r="Q1325" s="1" t="s">
        <v>30</v>
      </c>
      <c r="R1325" s="1" t="s">
        <v>31</v>
      </c>
      <c r="S1325" s="3" t="n">
        <v>1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f aca="false">SUM(S1325:T1325)</f>
        <v>1</v>
      </c>
      <c r="Z1325" s="3" t="n">
        <f aca="false">SUM(U1325:W1325)</f>
        <v>0</v>
      </c>
      <c r="AA1325" s="3" t="n">
        <f aca="false">SUM(S1325:X1325)</f>
        <v>1</v>
      </c>
      <c r="AB1325" s="11" t="n">
        <f aca="false">(AA1325/(K1325*L1325)*25)*4</f>
        <v>4</v>
      </c>
    </row>
    <row r="1326" customFormat="false" ht="14.25" hidden="false" customHeight="false" outlineLevel="0" collapsed="false">
      <c r="A1326" s="1" t="n">
        <v>2014</v>
      </c>
      <c r="B1326" s="7" t="s">
        <v>322</v>
      </c>
      <c r="C1326" s="7" t="n">
        <v>3</v>
      </c>
      <c r="D1326" s="7" t="s">
        <v>294</v>
      </c>
      <c r="E1326" s="7" t="s">
        <v>294</v>
      </c>
      <c r="F1326" s="3" t="s">
        <v>158</v>
      </c>
      <c r="G1326" s="3" t="n">
        <v>3</v>
      </c>
      <c r="H1326" s="3" t="n">
        <v>13</v>
      </c>
      <c r="I1326" s="22" t="n">
        <v>41869</v>
      </c>
      <c r="J1326" s="22" t="n">
        <v>41874</v>
      </c>
      <c r="K1326" s="43" t="n">
        <f aca="false">J1326-I1326</f>
        <v>5</v>
      </c>
      <c r="L1326" s="1" t="n">
        <v>5</v>
      </c>
      <c r="M1326" s="3" t="s">
        <v>48</v>
      </c>
      <c r="N1326" s="3" t="s">
        <v>61</v>
      </c>
      <c r="O1326" s="3" t="s">
        <v>82</v>
      </c>
      <c r="P1326" s="2" t="str">
        <f aca="false">CONCATENATE(N1326," ",O1326)</f>
        <v>Trochosa terricola</v>
      </c>
      <c r="Q1326" s="1" t="s">
        <v>30</v>
      </c>
      <c r="R1326" s="1" t="s">
        <v>35</v>
      </c>
      <c r="S1326" s="3" t="n">
        <v>0</v>
      </c>
      <c r="T1326" s="3" t="n">
        <v>2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f aca="false">SUM(S1326:T1326)</f>
        <v>2</v>
      </c>
      <c r="Z1326" s="3" t="n">
        <f aca="false">SUM(U1326:W1326)</f>
        <v>0</v>
      </c>
      <c r="AA1326" s="3" t="n">
        <f aca="false">SUM(S1326:X1326)</f>
        <v>2</v>
      </c>
      <c r="AB1326" s="11" t="n">
        <f aca="false">(AA1326/(K1326*L1326)*25)*4</f>
        <v>8</v>
      </c>
    </row>
    <row r="1327" customFormat="false" ht="14.25" hidden="false" customHeight="false" outlineLevel="0" collapsed="false">
      <c r="A1327" s="1" t="n">
        <v>2014</v>
      </c>
      <c r="B1327" s="7" t="s">
        <v>322</v>
      </c>
      <c r="C1327" s="7" t="n">
        <v>3</v>
      </c>
      <c r="D1327" s="7" t="s">
        <v>294</v>
      </c>
      <c r="E1327" s="7" t="s">
        <v>294</v>
      </c>
      <c r="F1327" s="3" t="s">
        <v>158</v>
      </c>
      <c r="G1327" s="3" t="n">
        <v>3</v>
      </c>
      <c r="H1327" s="3" t="n">
        <v>13</v>
      </c>
      <c r="I1327" s="22" t="n">
        <v>41869</v>
      </c>
      <c r="J1327" s="22" t="n">
        <v>41874</v>
      </c>
      <c r="K1327" s="43" t="n">
        <f aca="false">J1327-I1327</f>
        <v>5</v>
      </c>
      <c r="L1327" s="1" t="n">
        <v>5</v>
      </c>
      <c r="M1327" s="3" t="s">
        <v>36</v>
      </c>
      <c r="N1327" s="3" t="s">
        <v>37</v>
      </c>
      <c r="O1327" s="3" t="s">
        <v>75</v>
      </c>
      <c r="P1327" s="2" t="str">
        <f aca="false">CONCATENATE(N1327," ",O1327)</f>
        <v>Ozyptila praticola</v>
      </c>
      <c r="Q1327" s="1" t="s">
        <v>30</v>
      </c>
      <c r="R1327" s="1" t="s">
        <v>31</v>
      </c>
      <c r="S1327" s="3" t="n">
        <v>1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f aca="false">SUM(S1327:T1327)</f>
        <v>1</v>
      </c>
      <c r="Z1327" s="3" t="n">
        <f aca="false">SUM(U1327:W1327)</f>
        <v>0</v>
      </c>
      <c r="AA1327" s="3" t="n">
        <f aca="false">SUM(S1327:X1327)</f>
        <v>1</v>
      </c>
      <c r="AB1327" s="11" t="n">
        <f aca="false">(AA1327/(K1327*L1327)*25)*4</f>
        <v>4</v>
      </c>
    </row>
    <row r="1328" customFormat="false" ht="14.25" hidden="false" customHeight="false" outlineLevel="0" collapsed="false">
      <c r="A1328" s="1" t="n">
        <v>2014</v>
      </c>
      <c r="B1328" s="7" t="s">
        <v>322</v>
      </c>
      <c r="C1328" s="7" t="n">
        <v>3</v>
      </c>
      <c r="D1328" s="7" t="s">
        <v>294</v>
      </c>
      <c r="E1328" s="7" t="s">
        <v>294</v>
      </c>
      <c r="F1328" s="3" t="s">
        <v>158</v>
      </c>
      <c r="G1328" s="3" t="n">
        <v>3</v>
      </c>
      <c r="H1328" s="3" t="n">
        <v>15</v>
      </c>
      <c r="I1328" s="22" t="n">
        <v>41869</v>
      </c>
      <c r="J1328" s="22" t="n">
        <v>41874</v>
      </c>
      <c r="K1328" s="43" t="n">
        <f aca="false">J1328-I1328</f>
        <v>5</v>
      </c>
      <c r="L1328" s="1" t="n">
        <v>5</v>
      </c>
      <c r="M1328" s="3" t="s">
        <v>48</v>
      </c>
      <c r="N1328" s="3" t="s">
        <v>61</v>
      </c>
      <c r="O1328" s="3" t="s">
        <v>82</v>
      </c>
      <c r="P1328" s="2" t="str">
        <f aca="false">CONCATENATE(N1328," ",O1328)</f>
        <v>Trochosa terricola</v>
      </c>
      <c r="Q1328" s="1" t="s">
        <v>30</v>
      </c>
      <c r="R1328" s="1" t="s">
        <v>35</v>
      </c>
      <c r="S1328" s="3" t="n">
        <v>0</v>
      </c>
      <c r="T1328" s="3" t="n">
        <v>1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f aca="false">SUM(S1328:T1328)</f>
        <v>1</v>
      </c>
      <c r="Z1328" s="3" t="n">
        <f aca="false">SUM(U1328:W1328)</f>
        <v>0</v>
      </c>
      <c r="AA1328" s="3" t="n">
        <f aca="false">SUM(S1328:X1328)</f>
        <v>1</v>
      </c>
      <c r="AB1328" s="11" t="n">
        <f aca="false">(AA1328/(K1328*L1328)*25)*4</f>
        <v>4</v>
      </c>
    </row>
    <row r="1329" customFormat="false" ht="14.25" hidden="false" customHeight="false" outlineLevel="0" collapsed="false">
      <c r="A1329" s="1" t="n">
        <v>2014</v>
      </c>
      <c r="B1329" s="7" t="s">
        <v>322</v>
      </c>
      <c r="C1329" s="7" t="n">
        <v>3</v>
      </c>
      <c r="D1329" s="7" t="s">
        <v>294</v>
      </c>
      <c r="E1329" s="7" t="s">
        <v>294</v>
      </c>
      <c r="F1329" s="3" t="s">
        <v>158</v>
      </c>
      <c r="G1329" s="3" t="n">
        <v>3</v>
      </c>
      <c r="H1329" s="3" t="n">
        <v>15</v>
      </c>
      <c r="I1329" s="22" t="n">
        <v>41869</v>
      </c>
      <c r="J1329" s="22" t="n">
        <v>41874</v>
      </c>
      <c r="K1329" s="43" t="n">
        <f aca="false">J1329-I1329</f>
        <v>5</v>
      </c>
      <c r="L1329" s="1" t="n">
        <v>5</v>
      </c>
      <c r="M1329" s="3" t="s">
        <v>72</v>
      </c>
      <c r="N1329" s="3" t="s">
        <v>73</v>
      </c>
      <c r="O1329" s="3" t="s">
        <v>74</v>
      </c>
      <c r="P1329" s="2" t="str">
        <f aca="false">CONCATENATE(N1329," ",O1329)</f>
        <v>Zelotes subterraneus</v>
      </c>
      <c r="Q1329" s="1" t="s">
        <v>30</v>
      </c>
      <c r="R1329" s="1" t="s">
        <v>31</v>
      </c>
      <c r="S1329" s="3" t="n">
        <v>2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f aca="false">SUM(S1329:T1329)</f>
        <v>2</v>
      </c>
      <c r="Z1329" s="3" t="n">
        <f aca="false">SUM(U1329:W1329)</f>
        <v>0</v>
      </c>
      <c r="AA1329" s="3" t="n">
        <f aca="false">SUM(S1329:X1329)</f>
        <v>2</v>
      </c>
      <c r="AB1329" s="11" t="n">
        <f aca="false">(AA1329/(K1329*L1329)*25)*4</f>
        <v>8</v>
      </c>
    </row>
    <row r="1330" customFormat="false" ht="14.25" hidden="false" customHeight="false" outlineLevel="0" collapsed="false">
      <c r="A1330" s="1" t="n">
        <v>2014</v>
      </c>
      <c r="B1330" s="7" t="s">
        <v>322</v>
      </c>
      <c r="C1330" s="7" t="n">
        <v>3</v>
      </c>
      <c r="D1330" s="7" t="s">
        <v>294</v>
      </c>
      <c r="E1330" s="7" t="s">
        <v>294</v>
      </c>
      <c r="F1330" s="3" t="s">
        <v>158</v>
      </c>
      <c r="G1330" s="3" t="n">
        <v>3</v>
      </c>
      <c r="H1330" s="3" t="n">
        <v>15</v>
      </c>
      <c r="I1330" s="22" t="n">
        <v>41869</v>
      </c>
      <c r="J1330" s="22" t="n">
        <v>41874</v>
      </c>
      <c r="K1330" s="43" t="n">
        <f aca="false">J1330-I1330</f>
        <v>5</v>
      </c>
      <c r="L1330" s="1" t="n">
        <v>5</v>
      </c>
      <c r="M1330" s="3" t="s">
        <v>32</v>
      </c>
      <c r="N1330" s="3" t="s">
        <v>88</v>
      </c>
      <c r="O1330" s="3" t="s">
        <v>89</v>
      </c>
      <c r="P1330" s="2" t="str">
        <f aca="false">CONCATENATE(N1330," ",O1330)</f>
        <v>Tapinopa longidens</v>
      </c>
      <c r="Q1330" s="1" t="s">
        <v>30</v>
      </c>
      <c r="R1330" s="1" t="s">
        <v>31</v>
      </c>
      <c r="S1330" s="3" t="n">
        <v>1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f aca="false">SUM(S1330:T1330)</f>
        <v>1</v>
      </c>
      <c r="Z1330" s="3" t="n">
        <f aca="false">SUM(U1330:W1330)</f>
        <v>0</v>
      </c>
      <c r="AA1330" s="3" t="n">
        <f aca="false">SUM(S1330:X1330)</f>
        <v>1</v>
      </c>
      <c r="AB1330" s="11" t="n">
        <f aca="false">(AA1330/(K1330*L1330)*25)*4</f>
        <v>4</v>
      </c>
    </row>
    <row r="1331" customFormat="false" ht="14.25" hidden="false" customHeight="false" outlineLevel="0" collapsed="false">
      <c r="A1331" s="1" t="n">
        <v>2014</v>
      </c>
      <c r="B1331" s="7" t="s">
        <v>322</v>
      </c>
      <c r="C1331" s="7" t="n">
        <v>3</v>
      </c>
      <c r="D1331" s="7" t="s">
        <v>294</v>
      </c>
      <c r="E1331" s="7" t="s">
        <v>294</v>
      </c>
      <c r="F1331" s="3" t="s">
        <v>158</v>
      </c>
      <c r="G1331" s="3" t="n">
        <v>3</v>
      </c>
      <c r="H1331" s="3" t="n">
        <v>15</v>
      </c>
      <c r="I1331" s="22" t="n">
        <v>41869</v>
      </c>
      <c r="J1331" s="22" t="n">
        <v>41874</v>
      </c>
      <c r="K1331" s="43" t="n">
        <f aca="false">J1331-I1331</f>
        <v>5</v>
      </c>
      <c r="L1331" s="1" t="n">
        <v>5</v>
      </c>
      <c r="M1331" s="3" t="s">
        <v>36</v>
      </c>
      <c r="N1331" s="3" t="s">
        <v>37</v>
      </c>
      <c r="O1331" s="3" t="s">
        <v>75</v>
      </c>
      <c r="P1331" s="2" t="str">
        <f aca="false">CONCATENATE(N1331," ",O1331)</f>
        <v>Ozyptila praticola</v>
      </c>
      <c r="Q1331" s="1" t="s">
        <v>30</v>
      </c>
      <c r="R1331" s="1" t="s">
        <v>31</v>
      </c>
      <c r="S1331" s="3" t="n">
        <v>1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f aca="false">SUM(S1331:T1331)</f>
        <v>1</v>
      </c>
      <c r="Z1331" s="3" t="n">
        <f aca="false">SUM(U1331:W1331)</f>
        <v>0</v>
      </c>
      <c r="AA1331" s="3" t="n">
        <f aca="false">SUM(S1331:X1331)</f>
        <v>1</v>
      </c>
      <c r="AB1331" s="11" t="n">
        <f aca="false">(AA1331/(K1331*L1331)*25)*4</f>
        <v>4</v>
      </c>
    </row>
    <row r="1332" customFormat="false" ht="14.25" hidden="false" customHeight="false" outlineLevel="0" collapsed="false">
      <c r="A1332" s="1" t="n">
        <v>2014</v>
      </c>
      <c r="B1332" s="7" t="s">
        <v>322</v>
      </c>
      <c r="C1332" s="7" t="n">
        <v>3</v>
      </c>
      <c r="D1332" s="7" t="s">
        <v>294</v>
      </c>
      <c r="E1332" s="7" t="s">
        <v>294</v>
      </c>
      <c r="F1332" s="3" t="s">
        <v>158</v>
      </c>
      <c r="G1332" s="3" t="n">
        <v>3</v>
      </c>
      <c r="H1332" s="3" t="n">
        <v>15</v>
      </c>
      <c r="I1332" s="22" t="n">
        <v>41869</v>
      </c>
      <c r="J1332" s="22" t="n">
        <v>41874</v>
      </c>
      <c r="K1332" s="43" t="n">
        <f aca="false">J1332-I1332</f>
        <v>5</v>
      </c>
      <c r="L1332" s="1" t="n">
        <v>5</v>
      </c>
      <c r="M1332" s="3" t="s">
        <v>32</v>
      </c>
      <c r="N1332" s="3" t="s">
        <v>169</v>
      </c>
      <c r="O1332" s="3" t="s">
        <v>170</v>
      </c>
      <c r="P1332" s="2" t="str">
        <f aca="false">CONCATENATE(N1332," ",O1332)</f>
        <v>Abacoproeces saltuum</v>
      </c>
      <c r="Q1332" s="1" t="s">
        <v>30</v>
      </c>
      <c r="R1332" s="1" t="s">
        <v>35</v>
      </c>
      <c r="S1332" s="3" t="n">
        <v>0</v>
      </c>
      <c r="T1332" s="3" t="n">
        <v>2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f aca="false">SUM(S1332:T1332)</f>
        <v>2</v>
      </c>
      <c r="Z1332" s="3" t="n">
        <f aca="false">SUM(U1332:W1332)</f>
        <v>0</v>
      </c>
      <c r="AA1332" s="3" t="n">
        <f aca="false">SUM(S1332:X1332)</f>
        <v>2</v>
      </c>
      <c r="AB1332" s="11" t="n">
        <f aca="false">(AA1332/(K1332*L1332)*25)*4</f>
        <v>8</v>
      </c>
    </row>
    <row r="1333" customFormat="false" ht="14.25" hidden="false" customHeight="false" outlineLevel="0" collapsed="false">
      <c r="A1333" s="1" t="n">
        <v>2014</v>
      </c>
      <c r="B1333" s="7" t="s">
        <v>322</v>
      </c>
      <c r="C1333" s="7" t="n">
        <v>3</v>
      </c>
      <c r="D1333" s="7" t="s">
        <v>294</v>
      </c>
      <c r="E1333" s="7" t="s">
        <v>294</v>
      </c>
      <c r="F1333" s="3" t="s">
        <v>326</v>
      </c>
      <c r="G1333" s="3" t="n">
        <v>3</v>
      </c>
      <c r="H1333" s="3" t="n">
        <v>12</v>
      </c>
      <c r="I1333" s="22" t="n">
        <v>41869</v>
      </c>
      <c r="J1333" s="22" t="n">
        <v>41874</v>
      </c>
      <c r="K1333" s="43" t="n">
        <f aca="false">J1333-I1333</f>
        <v>5</v>
      </c>
      <c r="L1333" s="1" t="n">
        <v>5</v>
      </c>
      <c r="M1333" s="3" t="s">
        <v>48</v>
      </c>
      <c r="N1333" s="3" t="s">
        <v>61</v>
      </c>
      <c r="O1333" s="3" t="s">
        <v>82</v>
      </c>
      <c r="P1333" s="2" t="str">
        <f aca="false">CONCATENATE(N1333," ",O1333)</f>
        <v>Trochosa terricola</v>
      </c>
      <c r="Q1333" s="1" t="s">
        <v>30</v>
      </c>
      <c r="R1333" s="1" t="s">
        <v>31</v>
      </c>
      <c r="S1333" s="3" t="n">
        <v>1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f aca="false">SUM(S1333:T1333)</f>
        <v>1</v>
      </c>
      <c r="Z1333" s="3" t="n">
        <f aca="false">SUM(U1333:W1333)</f>
        <v>0</v>
      </c>
      <c r="AA1333" s="3" t="n">
        <f aca="false">SUM(S1333:X1333)</f>
        <v>1</v>
      </c>
      <c r="AB1333" s="11" t="n">
        <f aca="false">(AA1333/(K1333*L1333)*25)*4</f>
        <v>4</v>
      </c>
    </row>
    <row r="1334" customFormat="false" ht="14.25" hidden="false" customHeight="false" outlineLevel="0" collapsed="false">
      <c r="A1334" s="1" t="n">
        <v>2014</v>
      </c>
      <c r="B1334" s="7" t="s">
        <v>322</v>
      </c>
      <c r="C1334" s="7" t="n">
        <v>3</v>
      </c>
      <c r="D1334" s="7" t="s">
        <v>294</v>
      </c>
      <c r="E1334" s="7" t="s">
        <v>294</v>
      </c>
      <c r="F1334" s="3" t="s">
        <v>326</v>
      </c>
      <c r="G1334" s="3" t="n">
        <v>3</v>
      </c>
      <c r="H1334" s="3" t="n">
        <v>12</v>
      </c>
      <c r="I1334" s="22" t="n">
        <v>41869</v>
      </c>
      <c r="J1334" s="22" t="n">
        <v>41874</v>
      </c>
      <c r="K1334" s="43" t="n">
        <f aca="false">J1334-I1334</f>
        <v>5</v>
      </c>
      <c r="L1334" s="1" t="n">
        <v>5</v>
      </c>
      <c r="M1334" s="3" t="s">
        <v>48</v>
      </c>
      <c r="N1334" s="3" t="s">
        <v>61</v>
      </c>
      <c r="O1334" s="3" t="s">
        <v>82</v>
      </c>
      <c r="P1334" s="2" t="str">
        <f aca="false">CONCATENATE(N1334," ",O1334)</f>
        <v>Trochosa terricola</v>
      </c>
      <c r="Q1334" s="1" t="s">
        <v>30</v>
      </c>
      <c r="R1334" s="1" t="s">
        <v>35</v>
      </c>
      <c r="S1334" s="3" t="n">
        <v>0</v>
      </c>
      <c r="T1334" s="3" t="n">
        <v>1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f aca="false">SUM(S1334:T1334)</f>
        <v>1</v>
      </c>
      <c r="Z1334" s="3" t="n">
        <f aca="false">SUM(U1334:W1334)</f>
        <v>0</v>
      </c>
      <c r="AA1334" s="3" t="n">
        <f aca="false">SUM(S1334:X1334)</f>
        <v>1</v>
      </c>
      <c r="AB1334" s="11" t="n">
        <f aca="false">(AA1334/(K1334*L1334)*25)*4</f>
        <v>4</v>
      </c>
    </row>
    <row r="1335" customFormat="false" ht="14.25" hidden="false" customHeight="false" outlineLevel="0" collapsed="false">
      <c r="A1335" s="1" t="n">
        <v>2014</v>
      </c>
      <c r="B1335" s="7" t="s">
        <v>322</v>
      </c>
      <c r="C1335" s="7" t="n">
        <v>3</v>
      </c>
      <c r="D1335" s="7" t="s">
        <v>294</v>
      </c>
      <c r="E1335" s="7" t="s">
        <v>294</v>
      </c>
      <c r="F1335" s="3" t="s">
        <v>326</v>
      </c>
      <c r="G1335" s="3" t="n">
        <v>3</v>
      </c>
      <c r="H1335" s="3" t="n">
        <v>12</v>
      </c>
      <c r="I1335" s="22" t="n">
        <v>41869</v>
      </c>
      <c r="J1335" s="22" t="n">
        <v>41874</v>
      </c>
      <c r="K1335" s="43" t="n">
        <f aca="false">J1335-I1335</f>
        <v>5</v>
      </c>
      <c r="L1335" s="1" t="n">
        <v>5</v>
      </c>
      <c r="M1335" s="3" t="s">
        <v>72</v>
      </c>
      <c r="N1335" s="3" t="s">
        <v>73</v>
      </c>
      <c r="O1335" s="3" t="s">
        <v>74</v>
      </c>
      <c r="P1335" s="2" t="str">
        <f aca="false">CONCATENATE(N1335," ",O1335)</f>
        <v>Zelotes subterraneus</v>
      </c>
      <c r="Q1335" s="1" t="s">
        <v>30</v>
      </c>
      <c r="R1335" s="1" t="s">
        <v>35</v>
      </c>
      <c r="S1335" s="3" t="n">
        <v>0</v>
      </c>
      <c r="T1335" s="3" t="n">
        <v>1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f aca="false">SUM(S1335:T1335)</f>
        <v>1</v>
      </c>
      <c r="Z1335" s="3" t="n">
        <f aca="false">SUM(U1335:W1335)</f>
        <v>0</v>
      </c>
      <c r="AA1335" s="3" t="n">
        <f aca="false">SUM(S1335:X1335)</f>
        <v>1</v>
      </c>
      <c r="AB1335" s="11" t="n">
        <f aca="false">(AA1335/(K1335*L1335)*25)*4</f>
        <v>4</v>
      </c>
    </row>
    <row r="1336" customFormat="false" ht="14.25" hidden="false" customHeight="false" outlineLevel="0" collapsed="false">
      <c r="A1336" s="1" t="n">
        <v>2014</v>
      </c>
      <c r="B1336" s="7" t="s">
        <v>322</v>
      </c>
      <c r="C1336" s="7" t="n">
        <v>3</v>
      </c>
      <c r="D1336" s="7" t="s">
        <v>294</v>
      </c>
      <c r="E1336" s="7" t="s">
        <v>294</v>
      </c>
      <c r="F1336" s="3" t="s">
        <v>326</v>
      </c>
      <c r="G1336" s="3" t="n">
        <v>3</v>
      </c>
      <c r="H1336" s="3" t="n">
        <v>12</v>
      </c>
      <c r="I1336" s="22" t="n">
        <v>41869</v>
      </c>
      <c r="J1336" s="22" t="n">
        <v>41874</v>
      </c>
      <c r="K1336" s="43" t="n">
        <f aca="false">J1336-I1336</f>
        <v>5</v>
      </c>
      <c r="L1336" s="1" t="n">
        <v>5</v>
      </c>
      <c r="M1336" s="3" t="s">
        <v>36</v>
      </c>
      <c r="N1336" s="3" t="s">
        <v>37</v>
      </c>
      <c r="O1336" s="3" t="s">
        <v>75</v>
      </c>
      <c r="P1336" s="2" t="str">
        <f aca="false">CONCATENATE(N1336," ",O1336)</f>
        <v>Ozyptila praticola</v>
      </c>
      <c r="Q1336" s="1" t="s">
        <v>30</v>
      </c>
      <c r="R1336" s="1" t="s">
        <v>31</v>
      </c>
      <c r="S1336" s="3" t="n">
        <v>4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f aca="false">SUM(S1336:T1336)</f>
        <v>4</v>
      </c>
      <c r="Z1336" s="3" t="n">
        <f aca="false">SUM(U1336:W1336)</f>
        <v>0</v>
      </c>
      <c r="AA1336" s="3" t="n">
        <f aca="false">SUM(S1336:X1336)</f>
        <v>4</v>
      </c>
      <c r="AB1336" s="11" t="n">
        <f aca="false">(AA1336/(K1336*L1336)*25)*4</f>
        <v>16</v>
      </c>
    </row>
    <row r="1337" customFormat="false" ht="14.25" hidden="false" customHeight="false" outlineLevel="0" collapsed="false">
      <c r="A1337" s="1" t="n">
        <v>2014</v>
      </c>
      <c r="B1337" s="7" t="s">
        <v>322</v>
      </c>
      <c r="C1337" s="7" t="n">
        <v>3</v>
      </c>
      <c r="D1337" s="7" t="s">
        <v>294</v>
      </c>
      <c r="E1337" s="7" t="s">
        <v>294</v>
      </c>
      <c r="F1337" s="3" t="s">
        <v>326</v>
      </c>
      <c r="G1337" s="3" t="n">
        <v>3</v>
      </c>
      <c r="H1337" s="3" t="n">
        <v>13</v>
      </c>
      <c r="I1337" s="22" t="n">
        <v>41869</v>
      </c>
      <c r="J1337" s="22" t="n">
        <v>41874</v>
      </c>
      <c r="K1337" s="43" t="n">
        <f aca="false">J1337-I1337</f>
        <v>5</v>
      </c>
      <c r="L1337" s="1" t="n">
        <v>5</v>
      </c>
      <c r="M1337" s="3" t="s">
        <v>36</v>
      </c>
      <c r="N1337" s="3" t="s">
        <v>37</v>
      </c>
      <c r="O1337" s="3" t="s">
        <v>75</v>
      </c>
      <c r="P1337" s="2" t="str">
        <f aca="false">CONCATENATE(N1337," ",O1337)</f>
        <v>Ozyptila praticola</v>
      </c>
      <c r="Q1337" s="1" t="s">
        <v>30</v>
      </c>
      <c r="R1337" s="1" t="s">
        <v>31</v>
      </c>
      <c r="S1337" s="3" t="n">
        <v>3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f aca="false">SUM(S1337:T1337)</f>
        <v>3</v>
      </c>
      <c r="Z1337" s="3" t="n">
        <f aca="false">SUM(U1337:W1337)</f>
        <v>0</v>
      </c>
      <c r="AA1337" s="3" t="n">
        <f aca="false">SUM(S1337:X1337)</f>
        <v>3</v>
      </c>
      <c r="AB1337" s="11" t="n">
        <f aca="false">(AA1337/(K1337*L1337)*25)*4</f>
        <v>12</v>
      </c>
    </row>
    <row r="1338" customFormat="false" ht="14.25" hidden="false" customHeight="false" outlineLevel="0" collapsed="false">
      <c r="A1338" s="1" t="n">
        <v>2014</v>
      </c>
      <c r="B1338" s="7" t="s">
        <v>322</v>
      </c>
      <c r="C1338" s="7" t="n">
        <v>3</v>
      </c>
      <c r="D1338" s="7" t="s">
        <v>294</v>
      </c>
      <c r="E1338" s="7" t="s">
        <v>294</v>
      </c>
      <c r="F1338" s="3" t="s">
        <v>326</v>
      </c>
      <c r="G1338" s="3" t="n">
        <v>3</v>
      </c>
      <c r="H1338" s="3" t="n">
        <v>13</v>
      </c>
      <c r="I1338" s="22" t="n">
        <v>41869</v>
      </c>
      <c r="J1338" s="22" t="n">
        <v>41874</v>
      </c>
      <c r="K1338" s="43" t="n">
        <f aca="false">J1338-I1338</f>
        <v>5</v>
      </c>
      <c r="L1338" s="1" t="n">
        <v>5</v>
      </c>
      <c r="M1338" s="3" t="s">
        <v>48</v>
      </c>
      <c r="N1338" s="3" t="s">
        <v>49</v>
      </c>
      <c r="O1338" s="3" t="s">
        <v>228</v>
      </c>
      <c r="P1338" s="2" t="str">
        <f aca="false">CONCATENATE(N1338," ",O1338)</f>
        <v>Alopecosa inquilina</v>
      </c>
      <c r="Q1338" s="1" t="s">
        <v>30</v>
      </c>
      <c r="R1338" s="1" t="s">
        <v>35</v>
      </c>
      <c r="S1338" s="3" t="n">
        <v>0</v>
      </c>
      <c r="T1338" s="3" t="n">
        <v>1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f aca="false">SUM(S1338:T1338)</f>
        <v>1</v>
      </c>
      <c r="Z1338" s="3" t="n">
        <f aca="false">SUM(U1338:W1338)</f>
        <v>0</v>
      </c>
      <c r="AA1338" s="3" t="n">
        <f aca="false">SUM(S1338:X1338)</f>
        <v>1</v>
      </c>
      <c r="AB1338" s="11" t="n">
        <f aca="false">(AA1338/(K1338*L1338)*25)*4</f>
        <v>4</v>
      </c>
    </row>
    <row r="1339" customFormat="false" ht="14.25" hidden="false" customHeight="false" outlineLevel="0" collapsed="false">
      <c r="A1339" s="1" t="n">
        <v>2014</v>
      </c>
      <c r="B1339" s="7" t="s">
        <v>322</v>
      </c>
      <c r="C1339" s="7" t="n">
        <v>3</v>
      </c>
      <c r="D1339" s="7" t="s">
        <v>294</v>
      </c>
      <c r="E1339" s="7" t="s">
        <v>294</v>
      </c>
      <c r="F1339" s="3" t="s">
        <v>326</v>
      </c>
      <c r="G1339" s="3" t="n">
        <v>1</v>
      </c>
      <c r="H1339" s="3" t="n">
        <v>4</v>
      </c>
      <c r="I1339" s="22" t="n">
        <v>41869</v>
      </c>
      <c r="J1339" s="22" t="n">
        <v>41874</v>
      </c>
      <c r="K1339" s="43" t="n">
        <f aca="false">J1339-I1339</f>
        <v>5</v>
      </c>
      <c r="L1339" s="1" t="n">
        <v>5</v>
      </c>
      <c r="M1339" s="3" t="s">
        <v>72</v>
      </c>
      <c r="N1339" s="3" t="s">
        <v>73</v>
      </c>
      <c r="O1339" s="3" t="s">
        <v>74</v>
      </c>
      <c r="P1339" s="2" t="str">
        <f aca="false">CONCATENATE(N1339," ",O1339)</f>
        <v>Zelotes subterraneus</v>
      </c>
      <c r="Q1339" s="1" t="s">
        <v>30</v>
      </c>
      <c r="R1339" s="1" t="s">
        <v>31</v>
      </c>
      <c r="S1339" s="3" t="n">
        <v>2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f aca="false">SUM(S1339:T1339)</f>
        <v>2</v>
      </c>
      <c r="Z1339" s="3" t="n">
        <f aca="false">SUM(U1339:W1339)</f>
        <v>0</v>
      </c>
      <c r="AA1339" s="3" t="n">
        <f aca="false">SUM(S1339:X1339)</f>
        <v>2</v>
      </c>
      <c r="AB1339" s="11" t="n">
        <f aca="false">(AA1339/(K1339*L1339)*25)*4</f>
        <v>8</v>
      </c>
    </row>
    <row r="1340" customFormat="false" ht="14.25" hidden="false" customHeight="false" outlineLevel="0" collapsed="false">
      <c r="A1340" s="1" t="n">
        <v>2014</v>
      </c>
      <c r="B1340" s="7" t="s">
        <v>322</v>
      </c>
      <c r="C1340" s="7" t="n">
        <v>3</v>
      </c>
      <c r="D1340" s="7" t="s">
        <v>294</v>
      </c>
      <c r="E1340" s="7" t="s">
        <v>294</v>
      </c>
      <c r="F1340" s="3" t="s">
        <v>326</v>
      </c>
      <c r="G1340" s="3" t="n">
        <v>1</v>
      </c>
      <c r="H1340" s="3" t="n">
        <v>4</v>
      </c>
      <c r="I1340" s="22" t="n">
        <v>41869</v>
      </c>
      <c r="J1340" s="22" t="n">
        <v>41874</v>
      </c>
      <c r="K1340" s="43" t="n">
        <f aca="false">J1340-I1340</f>
        <v>5</v>
      </c>
      <c r="L1340" s="1" t="n">
        <v>5</v>
      </c>
      <c r="M1340" s="3" t="s">
        <v>72</v>
      </c>
      <c r="N1340" s="3" t="s">
        <v>73</v>
      </c>
      <c r="O1340" s="3" t="s">
        <v>74</v>
      </c>
      <c r="P1340" s="2" t="str">
        <f aca="false">CONCATENATE(N1340," ",O1340)</f>
        <v>Zelotes subterraneus</v>
      </c>
      <c r="Q1340" s="1" t="s">
        <v>30</v>
      </c>
      <c r="R1340" s="1" t="s">
        <v>35</v>
      </c>
      <c r="S1340" s="3" t="n">
        <v>0</v>
      </c>
      <c r="T1340" s="3" t="n">
        <v>2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f aca="false">SUM(S1340:T1340)</f>
        <v>2</v>
      </c>
      <c r="Z1340" s="3" t="n">
        <f aca="false">SUM(U1340:W1340)</f>
        <v>0</v>
      </c>
      <c r="AA1340" s="3" t="n">
        <f aca="false">SUM(S1340:X1340)</f>
        <v>2</v>
      </c>
      <c r="AB1340" s="11" t="n">
        <f aca="false">(AA1340/(K1340*L1340)*25)*4</f>
        <v>8</v>
      </c>
    </row>
    <row r="1341" customFormat="false" ht="14.25" hidden="false" customHeight="false" outlineLevel="0" collapsed="false">
      <c r="A1341" s="1" t="n">
        <v>2014</v>
      </c>
      <c r="B1341" s="7" t="s">
        <v>322</v>
      </c>
      <c r="C1341" s="7" t="n">
        <v>3</v>
      </c>
      <c r="D1341" s="7" t="s">
        <v>294</v>
      </c>
      <c r="E1341" s="7" t="s">
        <v>294</v>
      </c>
      <c r="F1341" s="3" t="s">
        <v>326</v>
      </c>
      <c r="G1341" s="3" t="n">
        <v>1</v>
      </c>
      <c r="H1341" s="3" t="n">
        <v>4</v>
      </c>
      <c r="I1341" s="22" t="n">
        <v>41869</v>
      </c>
      <c r="J1341" s="22" t="n">
        <v>41874</v>
      </c>
      <c r="K1341" s="43" t="n">
        <f aca="false">J1341-I1341</f>
        <v>5</v>
      </c>
      <c r="L1341" s="1" t="n">
        <v>5</v>
      </c>
      <c r="M1341" s="3" t="s">
        <v>48</v>
      </c>
      <c r="N1341" s="3" t="s">
        <v>61</v>
      </c>
      <c r="O1341" s="3" t="s">
        <v>82</v>
      </c>
      <c r="P1341" s="2" t="str">
        <f aca="false">CONCATENATE(N1341," ",O1341)</f>
        <v>Trochosa terricola</v>
      </c>
      <c r="Q1341" s="1" t="s">
        <v>30</v>
      </c>
      <c r="R1341" s="1" t="s">
        <v>35</v>
      </c>
      <c r="S1341" s="3" t="n">
        <v>0</v>
      </c>
      <c r="T1341" s="3" t="n">
        <v>1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f aca="false">SUM(S1341:T1341)</f>
        <v>1</v>
      </c>
      <c r="Z1341" s="3" t="n">
        <f aca="false">SUM(U1341:W1341)</f>
        <v>0</v>
      </c>
      <c r="AA1341" s="3" t="n">
        <f aca="false">SUM(S1341:X1341)</f>
        <v>1</v>
      </c>
      <c r="AB1341" s="11" t="n">
        <f aca="false">(AA1341/(K1341*L1341)*25)*4</f>
        <v>4</v>
      </c>
    </row>
    <row r="1342" customFormat="false" ht="14.25" hidden="false" customHeight="false" outlineLevel="0" collapsed="false">
      <c r="A1342" s="1" t="n">
        <v>2014</v>
      </c>
      <c r="B1342" s="7" t="s">
        <v>322</v>
      </c>
      <c r="C1342" s="7" t="n">
        <v>3</v>
      </c>
      <c r="D1342" s="7" t="s">
        <v>294</v>
      </c>
      <c r="E1342" s="7" t="s">
        <v>294</v>
      </c>
      <c r="F1342" s="3" t="s">
        <v>326</v>
      </c>
      <c r="G1342" s="3" t="n">
        <v>3</v>
      </c>
      <c r="H1342" s="3" t="n">
        <v>15</v>
      </c>
      <c r="I1342" s="22" t="n">
        <v>41869</v>
      </c>
      <c r="J1342" s="22" t="n">
        <v>41874</v>
      </c>
      <c r="K1342" s="43" t="n">
        <f aca="false">J1342-I1342</f>
        <v>5</v>
      </c>
      <c r="L1342" s="1" t="n">
        <v>5</v>
      </c>
      <c r="M1342" s="3" t="s">
        <v>36</v>
      </c>
      <c r="N1342" s="3" t="s">
        <v>37</v>
      </c>
      <c r="O1342" s="3" t="s">
        <v>75</v>
      </c>
      <c r="P1342" s="2" t="str">
        <f aca="false">CONCATENATE(N1342," ",O1342)</f>
        <v>Ozyptila praticola</v>
      </c>
      <c r="Q1342" s="1" t="s">
        <v>30</v>
      </c>
      <c r="R1342" s="1" t="s">
        <v>31</v>
      </c>
      <c r="S1342" s="3" t="n">
        <v>2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f aca="false">SUM(S1342:T1342)</f>
        <v>2</v>
      </c>
      <c r="Z1342" s="3" t="n">
        <f aca="false">SUM(U1342:W1342)</f>
        <v>0</v>
      </c>
      <c r="AA1342" s="3" t="n">
        <f aca="false">SUM(S1342:X1342)</f>
        <v>2</v>
      </c>
      <c r="AB1342" s="11" t="n">
        <f aca="false">(AA1342/(K1342*L1342)*25)*4</f>
        <v>8</v>
      </c>
    </row>
    <row r="1343" customFormat="false" ht="14.25" hidden="false" customHeight="false" outlineLevel="0" collapsed="false">
      <c r="A1343" s="1" t="n">
        <v>2014</v>
      </c>
      <c r="B1343" s="7" t="s">
        <v>322</v>
      </c>
      <c r="C1343" s="7" t="n">
        <v>3</v>
      </c>
      <c r="D1343" s="7" t="s">
        <v>294</v>
      </c>
      <c r="E1343" s="7" t="s">
        <v>294</v>
      </c>
      <c r="F1343" s="3" t="s">
        <v>326</v>
      </c>
      <c r="G1343" s="3" t="n">
        <v>3</v>
      </c>
      <c r="H1343" s="3" t="n">
        <v>15</v>
      </c>
      <c r="I1343" s="22" t="n">
        <v>41869</v>
      </c>
      <c r="J1343" s="22" t="n">
        <v>41874</v>
      </c>
      <c r="K1343" s="43" t="n">
        <f aca="false">J1343-I1343</f>
        <v>5</v>
      </c>
      <c r="L1343" s="1" t="n">
        <v>5</v>
      </c>
      <c r="M1343" s="3" t="s">
        <v>48</v>
      </c>
      <c r="N1343" s="3" t="s">
        <v>61</v>
      </c>
      <c r="O1343" s="3" t="s">
        <v>82</v>
      </c>
      <c r="P1343" s="2" t="str">
        <f aca="false">CONCATENATE(N1343," ",O1343)</f>
        <v>Trochosa terricola</v>
      </c>
      <c r="Q1343" s="1" t="s">
        <v>30</v>
      </c>
      <c r="R1343" s="1" t="s">
        <v>35</v>
      </c>
      <c r="S1343" s="3" t="n">
        <v>0</v>
      </c>
      <c r="T1343" s="3" t="n">
        <v>2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f aca="false">SUM(S1343:T1343)</f>
        <v>2</v>
      </c>
      <c r="Z1343" s="3" t="n">
        <f aca="false">SUM(U1343:W1343)</f>
        <v>0</v>
      </c>
      <c r="AA1343" s="3" t="n">
        <f aca="false">SUM(S1343:X1343)</f>
        <v>2</v>
      </c>
      <c r="AB1343" s="11" t="n">
        <f aca="false">(AA1343/(K1343*L1343)*25)*4</f>
        <v>8</v>
      </c>
    </row>
    <row r="1344" customFormat="false" ht="14.25" hidden="false" customHeight="false" outlineLevel="0" collapsed="false">
      <c r="A1344" s="1" t="n">
        <v>2014</v>
      </c>
      <c r="B1344" s="7" t="s">
        <v>322</v>
      </c>
      <c r="C1344" s="7" t="n">
        <v>3</v>
      </c>
      <c r="D1344" s="7" t="s">
        <v>294</v>
      </c>
      <c r="E1344" s="7" t="s">
        <v>294</v>
      </c>
      <c r="F1344" s="3" t="s">
        <v>326</v>
      </c>
      <c r="G1344" s="3" t="n">
        <v>1</v>
      </c>
      <c r="H1344" s="3" t="n">
        <v>5</v>
      </c>
      <c r="I1344" s="22" t="n">
        <v>41869</v>
      </c>
      <c r="J1344" s="22" t="n">
        <v>41874</v>
      </c>
      <c r="K1344" s="43" t="n">
        <f aca="false">J1344-I1344</f>
        <v>5</v>
      </c>
      <c r="L1344" s="1" t="n">
        <v>5</v>
      </c>
      <c r="M1344" s="3" t="s">
        <v>36</v>
      </c>
      <c r="N1344" s="3" t="s">
        <v>37</v>
      </c>
      <c r="O1344" s="3" t="s">
        <v>75</v>
      </c>
      <c r="P1344" s="2" t="str">
        <f aca="false">CONCATENATE(N1344," ",O1344)</f>
        <v>Ozyptila praticola</v>
      </c>
      <c r="Q1344" s="1" t="s">
        <v>30</v>
      </c>
      <c r="R1344" s="1" t="s">
        <v>31</v>
      </c>
      <c r="S1344" s="3" t="n">
        <v>2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f aca="false">SUM(S1344:T1344)</f>
        <v>2</v>
      </c>
      <c r="Z1344" s="3" t="n">
        <f aca="false">SUM(U1344:W1344)</f>
        <v>0</v>
      </c>
      <c r="AA1344" s="3" t="n">
        <f aca="false">SUM(S1344:X1344)</f>
        <v>2</v>
      </c>
      <c r="AB1344" s="11" t="n">
        <f aca="false">(AA1344/(K1344*L1344)*25)*4</f>
        <v>8</v>
      </c>
    </row>
    <row r="1345" customFormat="false" ht="14.25" hidden="false" customHeight="false" outlineLevel="0" collapsed="false">
      <c r="A1345" s="1" t="n">
        <v>2014</v>
      </c>
      <c r="B1345" s="7" t="s">
        <v>322</v>
      </c>
      <c r="C1345" s="7" t="n">
        <v>3</v>
      </c>
      <c r="D1345" s="7" t="s">
        <v>294</v>
      </c>
      <c r="E1345" s="7" t="s">
        <v>294</v>
      </c>
      <c r="F1345" s="3" t="s">
        <v>326</v>
      </c>
      <c r="G1345" s="3" t="n">
        <v>1</v>
      </c>
      <c r="H1345" s="3" t="n">
        <v>5</v>
      </c>
      <c r="I1345" s="22" t="n">
        <v>41869</v>
      </c>
      <c r="J1345" s="22" t="n">
        <v>41874</v>
      </c>
      <c r="K1345" s="43" t="n">
        <f aca="false">J1345-I1345</f>
        <v>5</v>
      </c>
      <c r="L1345" s="1" t="n">
        <v>5</v>
      </c>
      <c r="M1345" s="3" t="s">
        <v>72</v>
      </c>
      <c r="N1345" s="3" t="s">
        <v>73</v>
      </c>
      <c r="O1345" s="3" t="s">
        <v>74</v>
      </c>
      <c r="P1345" s="2" t="str">
        <f aca="false">CONCATENATE(N1345," ",O1345)</f>
        <v>Zelotes subterraneus</v>
      </c>
      <c r="Q1345" s="1" t="s">
        <v>30</v>
      </c>
      <c r="R1345" s="1" t="s">
        <v>35</v>
      </c>
      <c r="S1345" s="3" t="n">
        <v>0</v>
      </c>
      <c r="T1345" s="3" t="n">
        <v>1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f aca="false">SUM(S1345:T1345)</f>
        <v>1</v>
      </c>
      <c r="Z1345" s="3" t="n">
        <f aca="false">SUM(U1345:W1345)</f>
        <v>0</v>
      </c>
      <c r="AA1345" s="3" t="n">
        <f aca="false">SUM(S1345:X1345)</f>
        <v>1</v>
      </c>
      <c r="AB1345" s="11" t="n">
        <f aca="false">(AA1345/(K1345*L1345)*25)*4</f>
        <v>4</v>
      </c>
    </row>
    <row r="1346" customFormat="false" ht="14.25" hidden="false" customHeight="false" outlineLevel="0" collapsed="false">
      <c r="A1346" s="1" t="n">
        <v>2014</v>
      </c>
      <c r="B1346" s="7" t="s">
        <v>322</v>
      </c>
      <c r="C1346" s="7" t="n">
        <v>3</v>
      </c>
      <c r="D1346" s="7" t="s">
        <v>294</v>
      </c>
      <c r="E1346" s="7" t="s">
        <v>294</v>
      </c>
      <c r="F1346" s="3" t="s">
        <v>326</v>
      </c>
      <c r="G1346" s="3" t="n">
        <v>1</v>
      </c>
      <c r="H1346" s="3" t="n">
        <v>5</v>
      </c>
      <c r="I1346" s="22" t="n">
        <v>41869</v>
      </c>
      <c r="J1346" s="22" t="n">
        <v>41874</v>
      </c>
      <c r="K1346" s="43" t="n">
        <f aca="false">J1346-I1346</f>
        <v>5</v>
      </c>
      <c r="L1346" s="1" t="n">
        <v>5</v>
      </c>
      <c r="M1346" s="3" t="s">
        <v>48</v>
      </c>
      <c r="N1346" s="3" t="s">
        <v>61</v>
      </c>
      <c r="O1346" s="3" t="s">
        <v>82</v>
      </c>
      <c r="P1346" s="2" t="str">
        <f aca="false">CONCATENATE(N1346," ",O1346)</f>
        <v>Trochosa terricola</v>
      </c>
      <c r="Q1346" s="1" t="s">
        <v>30</v>
      </c>
      <c r="R1346" s="1" t="s">
        <v>35</v>
      </c>
      <c r="S1346" s="3" t="n">
        <v>0</v>
      </c>
      <c r="T1346" s="3" t="n">
        <v>2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f aca="false">SUM(S1346:T1346)</f>
        <v>2</v>
      </c>
      <c r="Z1346" s="3" t="n">
        <f aca="false">SUM(U1346:W1346)</f>
        <v>0</v>
      </c>
      <c r="AA1346" s="3" t="n">
        <f aca="false">SUM(S1346:X1346)</f>
        <v>2</v>
      </c>
      <c r="AB1346" s="11" t="n">
        <f aca="false">(AA1346/(K1346*L1346)*25)*4</f>
        <v>8</v>
      </c>
    </row>
    <row r="1347" customFormat="false" ht="14.25" hidden="false" customHeight="false" outlineLevel="0" collapsed="false">
      <c r="A1347" s="1" t="n">
        <v>2014</v>
      </c>
      <c r="B1347" s="7" t="s">
        <v>322</v>
      </c>
      <c r="C1347" s="7" t="n">
        <v>3</v>
      </c>
      <c r="D1347" s="7" t="s">
        <v>294</v>
      </c>
      <c r="E1347" s="7" t="s">
        <v>294</v>
      </c>
      <c r="F1347" s="3" t="s">
        <v>326</v>
      </c>
      <c r="G1347" s="3" t="n">
        <v>2</v>
      </c>
      <c r="H1347" s="3" t="n">
        <v>8</v>
      </c>
      <c r="I1347" s="22" t="n">
        <v>41869</v>
      </c>
      <c r="J1347" s="22" t="n">
        <v>41874</v>
      </c>
      <c r="K1347" s="43" t="n">
        <f aca="false">J1347-I1347</f>
        <v>5</v>
      </c>
      <c r="L1347" s="1" t="n">
        <v>5</v>
      </c>
      <c r="M1347" s="3" t="s">
        <v>48</v>
      </c>
      <c r="N1347" s="3" t="s">
        <v>61</v>
      </c>
      <c r="O1347" s="3" t="s">
        <v>82</v>
      </c>
      <c r="P1347" s="2" t="str">
        <f aca="false">CONCATENATE(N1347," ",O1347)</f>
        <v>Trochosa terricola</v>
      </c>
      <c r="Q1347" s="1" t="s">
        <v>30</v>
      </c>
      <c r="R1347" s="1" t="s">
        <v>35</v>
      </c>
      <c r="S1347" s="3" t="n">
        <v>0</v>
      </c>
      <c r="T1347" s="3" t="n">
        <v>1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f aca="false">SUM(S1347:T1347)</f>
        <v>1</v>
      </c>
      <c r="Z1347" s="3" t="n">
        <f aca="false">SUM(U1347:W1347)</f>
        <v>0</v>
      </c>
      <c r="AA1347" s="3" t="n">
        <f aca="false">SUM(S1347:X1347)</f>
        <v>1</v>
      </c>
      <c r="AB1347" s="11" t="n">
        <f aca="false">(AA1347/(K1347*L1347)*25)*4</f>
        <v>4</v>
      </c>
    </row>
    <row r="1348" customFormat="false" ht="14.25" hidden="false" customHeight="false" outlineLevel="0" collapsed="false">
      <c r="A1348" s="1" t="n">
        <v>2014</v>
      </c>
      <c r="B1348" s="7" t="s">
        <v>322</v>
      </c>
      <c r="C1348" s="7" t="n">
        <v>3</v>
      </c>
      <c r="D1348" s="7" t="s">
        <v>294</v>
      </c>
      <c r="E1348" s="7" t="s">
        <v>294</v>
      </c>
      <c r="F1348" s="3" t="s">
        <v>326</v>
      </c>
      <c r="G1348" s="3" t="n">
        <v>1</v>
      </c>
      <c r="H1348" s="3" t="n">
        <v>3</v>
      </c>
      <c r="I1348" s="22" t="n">
        <v>41869</v>
      </c>
      <c r="J1348" s="22" t="n">
        <v>41874</v>
      </c>
      <c r="K1348" s="43" t="n">
        <f aca="false">J1348-I1348</f>
        <v>5</v>
      </c>
      <c r="L1348" s="1" t="n">
        <v>5</v>
      </c>
      <c r="M1348" s="3" t="s">
        <v>48</v>
      </c>
      <c r="N1348" s="3" t="s">
        <v>49</v>
      </c>
      <c r="O1348" s="3" t="s">
        <v>130</v>
      </c>
      <c r="P1348" s="2" t="str">
        <f aca="false">CONCATENATE(N1348," ",O1348)</f>
        <v>Alopecosa aculeata</v>
      </c>
      <c r="Q1348" s="1" t="s">
        <v>30</v>
      </c>
      <c r="R1348" s="1" t="s">
        <v>35</v>
      </c>
      <c r="S1348" s="3" t="n">
        <v>0</v>
      </c>
      <c r="T1348" s="3" t="n">
        <v>1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f aca="false">SUM(S1348:T1348)</f>
        <v>1</v>
      </c>
      <c r="Z1348" s="3" t="n">
        <f aca="false">SUM(U1348:W1348)</f>
        <v>0</v>
      </c>
      <c r="AA1348" s="3" t="n">
        <f aca="false">SUM(S1348:X1348)</f>
        <v>1</v>
      </c>
      <c r="AB1348" s="11" t="n">
        <f aca="false">(AA1348/(K1348*L1348)*25)*4</f>
        <v>4</v>
      </c>
    </row>
    <row r="1349" customFormat="false" ht="14.25" hidden="false" customHeight="false" outlineLevel="0" collapsed="false">
      <c r="A1349" s="1" t="n">
        <v>2014</v>
      </c>
      <c r="B1349" s="7" t="s">
        <v>322</v>
      </c>
      <c r="C1349" s="7" t="n">
        <v>3</v>
      </c>
      <c r="D1349" s="7" t="s">
        <v>294</v>
      </c>
      <c r="E1349" s="7" t="s">
        <v>294</v>
      </c>
      <c r="F1349" s="3" t="s">
        <v>326</v>
      </c>
      <c r="G1349" s="3" t="n">
        <v>1</v>
      </c>
      <c r="H1349" s="3" t="n">
        <v>3</v>
      </c>
      <c r="I1349" s="22" t="n">
        <v>41869</v>
      </c>
      <c r="J1349" s="22" t="n">
        <v>41874</v>
      </c>
      <c r="K1349" s="43" t="n">
        <f aca="false">J1349-I1349</f>
        <v>5</v>
      </c>
      <c r="L1349" s="1" t="n">
        <v>5</v>
      </c>
      <c r="M1349" s="3" t="s">
        <v>48</v>
      </c>
      <c r="N1349" s="3" t="s">
        <v>61</v>
      </c>
      <c r="O1349" s="3" t="s">
        <v>82</v>
      </c>
      <c r="P1349" s="2" t="str">
        <f aca="false">CONCATENATE(N1349," ",O1349)</f>
        <v>Trochosa terricola</v>
      </c>
      <c r="Q1349" s="1" t="s">
        <v>30</v>
      </c>
      <c r="R1349" s="1" t="s">
        <v>35</v>
      </c>
      <c r="S1349" s="3" t="n">
        <v>0</v>
      </c>
      <c r="T1349" s="3" t="n">
        <v>1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f aca="false">SUM(S1349:T1349)</f>
        <v>1</v>
      </c>
      <c r="Z1349" s="3" t="n">
        <f aca="false">SUM(U1349:W1349)</f>
        <v>0</v>
      </c>
      <c r="AA1349" s="3" t="n">
        <f aca="false">SUM(S1349:X1349)</f>
        <v>1</v>
      </c>
      <c r="AB1349" s="11" t="n">
        <f aca="false">(AA1349/(K1349*L1349)*25)*4</f>
        <v>4</v>
      </c>
    </row>
    <row r="1350" customFormat="false" ht="14.25" hidden="false" customHeight="false" outlineLevel="0" collapsed="false">
      <c r="A1350" s="1" t="n">
        <v>2014</v>
      </c>
      <c r="B1350" s="7" t="s">
        <v>322</v>
      </c>
      <c r="C1350" s="7" t="n">
        <v>3</v>
      </c>
      <c r="D1350" s="7" t="s">
        <v>294</v>
      </c>
      <c r="E1350" s="7" t="s">
        <v>294</v>
      </c>
      <c r="F1350" s="3" t="s">
        <v>326</v>
      </c>
      <c r="G1350" s="3" t="n">
        <v>1</v>
      </c>
      <c r="H1350" s="3" t="n">
        <v>3</v>
      </c>
      <c r="I1350" s="22" t="n">
        <v>41869</v>
      </c>
      <c r="J1350" s="22" t="n">
        <v>41874</v>
      </c>
      <c r="K1350" s="43" t="n">
        <f aca="false">J1350-I1350</f>
        <v>5</v>
      </c>
      <c r="L1350" s="1" t="n">
        <v>5</v>
      </c>
      <c r="M1350" s="3" t="s">
        <v>72</v>
      </c>
      <c r="N1350" s="3" t="s">
        <v>73</v>
      </c>
      <c r="O1350" s="3" t="s">
        <v>74</v>
      </c>
      <c r="P1350" s="2" t="str">
        <f aca="false">CONCATENATE(N1350," ",O1350)</f>
        <v>Zelotes subterraneus</v>
      </c>
      <c r="Q1350" s="1" t="s">
        <v>30</v>
      </c>
      <c r="R1350" s="1" t="s">
        <v>31</v>
      </c>
      <c r="S1350" s="3" t="n">
        <v>1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f aca="false">SUM(S1350:T1350)</f>
        <v>1</v>
      </c>
      <c r="Z1350" s="3" t="n">
        <f aca="false">SUM(U1350:W1350)</f>
        <v>0</v>
      </c>
      <c r="AA1350" s="3" t="n">
        <f aca="false">SUM(S1350:X1350)</f>
        <v>1</v>
      </c>
      <c r="AB1350" s="11" t="n">
        <f aca="false">(AA1350/(K1350*L1350)*25)*4</f>
        <v>4</v>
      </c>
    </row>
    <row r="1351" customFormat="false" ht="14.25" hidden="false" customHeight="false" outlineLevel="0" collapsed="false">
      <c r="A1351" s="1" t="n">
        <v>2014</v>
      </c>
      <c r="B1351" s="7" t="s">
        <v>322</v>
      </c>
      <c r="C1351" s="7" t="n">
        <v>3</v>
      </c>
      <c r="D1351" s="7" t="s">
        <v>294</v>
      </c>
      <c r="E1351" s="7" t="s">
        <v>294</v>
      </c>
      <c r="F1351" s="3" t="s">
        <v>326</v>
      </c>
      <c r="G1351" s="3" t="n">
        <v>1</v>
      </c>
      <c r="H1351" s="3" t="n">
        <v>3</v>
      </c>
      <c r="I1351" s="22" t="n">
        <v>41869</v>
      </c>
      <c r="J1351" s="22" t="n">
        <v>41874</v>
      </c>
      <c r="K1351" s="43" t="n">
        <f aca="false">J1351-I1351</f>
        <v>5</v>
      </c>
      <c r="L1351" s="1" t="n">
        <v>5</v>
      </c>
      <c r="M1351" s="3" t="s">
        <v>36</v>
      </c>
      <c r="N1351" s="3" t="s">
        <v>37</v>
      </c>
      <c r="O1351" s="3" t="s">
        <v>75</v>
      </c>
      <c r="P1351" s="2" t="str">
        <f aca="false">CONCATENATE(N1351," ",O1351)</f>
        <v>Ozyptila praticola</v>
      </c>
      <c r="Q1351" s="1" t="s">
        <v>30</v>
      </c>
      <c r="R1351" s="1" t="s">
        <v>31</v>
      </c>
      <c r="S1351" s="3" t="n">
        <v>2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f aca="false">SUM(S1351:T1351)</f>
        <v>2</v>
      </c>
      <c r="Z1351" s="3" t="n">
        <f aca="false">SUM(U1351:W1351)</f>
        <v>0</v>
      </c>
      <c r="AA1351" s="3" t="n">
        <f aca="false">SUM(S1351:X1351)</f>
        <v>2</v>
      </c>
      <c r="AB1351" s="11" t="n">
        <f aca="false">(AA1351/(K1351*L1351)*25)*4</f>
        <v>8</v>
      </c>
    </row>
    <row r="1352" customFormat="false" ht="14.25" hidden="false" customHeight="false" outlineLevel="0" collapsed="false">
      <c r="A1352" s="1" t="n">
        <v>2014</v>
      </c>
      <c r="B1352" s="7" t="s">
        <v>322</v>
      </c>
      <c r="C1352" s="7" t="n">
        <v>3</v>
      </c>
      <c r="D1352" s="7" t="s">
        <v>294</v>
      </c>
      <c r="E1352" s="7" t="s">
        <v>294</v>
      </c>
      <c r="F1352" s="3" t="s">
        <v>326</v>
      </c>
      <c r="G1352" s="3" t="n">
        <v>1</v>
      </c>
      <c r="H1352" s="3" t="n">
        <v>3</v>
      </c>
      <c r="I1352" s="22" t="n">
        <v>41869</v>
      </c>
      <c r="J1352" s="22" t="n">
        <v>41874</v>
      </c>
      <c r="K1352" s="43" t="n">
        <f aca="false">J1352-I1352</f>
        <v>5</v>
      </c>
      <c r="L1352" s="1" t="n">
        <v>5</v>
      </c>
      <c r="M1352" s="3" t="s">
        <v>32</v>
      </c>
      <c r="N1352" s="3" t="s">
        <v>62</v>
      </c>
      <c r="O1352" s="3" t="s">
        <v>63</v>
      </c>
      <c r="P1352" s="2" t="str">
        <f aca="false">CONCATENATE(N1352," ",O1352)</f>
        <v>Microneta viaria</v>
      </c>
      <c r="Q1352" s="1" t="s">
        <v>30</v>
      </c>
      <c r="R1352" s="1" t="s">
        <v>35</v>
      </c>
      <c r="S1352" s="3" t="n">
        <v>0</v>
      </c>
      <c r="T1352" s="3" t="n">
        <v>1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f aca="false">SUM(S1352:T1352)</f>
        <v>1</v>
      </c>
      <c r="Z1352" s="3" t="n">
        <f aca="false">SUM(U1352:W1352)</f>
        <v>0</v>
      </c>
      <c r="AA1352" s="3" t="n">
        <f aca="false">SUM(S1352:X1352)</f>
        <v>1</v>
      </c>
      <c r="AB1352" s="11" t="n">
        <f aca="false">(AA1352/(K1352*L1352)*25)*4</f>
        <v>4</v>
      </c>
    </row>
    <row r="1353" customFormat="false" ht="14.25" hidden="false" customHeight="false" outlineLevel="0" collapsed="false">
      <c r="A1353" s="1" t="n">
        <v>2014</v>
      </c>
      <c r="B1353" s="7" t="s">
        <v>322</v>
      </c>
      <c r="C1353" s="7" t="n">
        <v>3</v>
      </c>
      <c r="D1353" s="7" t="s">
        <v>294</v>
      </c>
      <c r="E1353" s="7" t="s">
        <v>294</v>
      </c>
      <c r="F1353" s="3" t="s">
        <v>326</v>
      </c>
      <c r="G1353" s="3" t="n">
        <v>1</v>
      </c>
      <c r="H1353" s="3" t="n">
        <v>2</v>
      </c>
      <c r="I1353" s="22" t="n">
        <v>41869</v>
      </c>
      <c r="J1353" s="22" t="n">
        <v>41874</v>
      </c>
      <c r="K1353" s="43" t="n">
        <f aca="false">J1353-I1353</f>
        <v>5</v>
      </c>
      <c r="L1353" s="1" t="n">
        <v>5</v>
      </c>
      <c r="M1353" s="3" t="s">
        <v>72</v>
      </c>
      <c r="N1353" s="3" t="s">
        <v>73</v>
      </c>
      <c r="O1353" s="3" t="s">
        <v>74</v>
      </c>
      <c r="P1353" s="2" t="str">
        <f aca="false">CONCATENATE(N1353," ",O1353)</f>
        <v>Zelotes subterraneus</v>
      </c>
      <c r="Q1353" s="1" t="s">
        <v>30</v>
      </c>
      <c r="R1353" s="1" t="s">
        <v>31</v>
      </c>
      <c r="S1353" s="3" t="n">
        <v>2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f aca="false">SUM(S1353:T1353)</f>
        <v>2</v>
      </c>
      <c r="Z1353" s="3" t="n">
        <f aca="false">SUM(U1353:W1353)</f>
        <v>0</v>
      </c>
      <c r="AA1353" s="3" t="n">
        <f aca="false">SUM(S1353:X1353)</f>
        <v>2</v>
      </c>
      <c r="AB1353" s="11" t="n">
        <f aca="false">(AA1353/(K1353*L1353)*25)*4</f>
        <v>8</v>
      </c>
    </row>
    <row r="1354" customFormat="false" ht="14.25" hidden="false" customHeight="false" outlineLevel="0" collapsed="false">
      <c r="A1354" s="1" t="n">
        <v>2014</v>
      </c>
      <c r="B1354" s="7" t="s">
        <v>322</v>
      </c>
      <c r="C1354" s="7" t="n">
        <v>3</v>
      </c>
      <c r="D1354" s="7" t="s">
        <v>294</v>
      </c>
      <c r="E1354" s="7" t="s">
        <v>294</v>
      </c>
      <c r="F1354" s="3" t="s">
        <v>326</v>
      </c>
      <c r="G1354" s="3" t="n">
        <v>1</v>
      </c>
      <c r="H1354" s="3" t="n">
        <v>2</v>
      </c>
      <c r="I1354" s="22" t="n">
        <v>41869</v>
      </c>
      <c r="J1354" s="22" t="n">
        <v>41874</v>
      </c>
      <c r="K1354" s="43" t="n">
        <f aca="false">J1354-I1354</f>
        <v>5</v>
      </c>
      <c r="L1354" s="1" t="n">
        <v>5</v>
      </c>
      <c r="M1354" s="3" t="s">
        <v>36</v>
      </c>
      <c r="N1354" s="3" t="s">
        <v>37</v>
      </c>
      <c r="O1354" s="3" t="s">
        <v>75</v>
      </c>
      <c r="P1354" s="2" t="str">
        <f aca="false">CONCATENATE(N1354," ",O1354)</f>
        <v>Ozyptila praticola</v>
      </c>
      <c r="Q1354" s="1" t="s">
        <v>30</v>
      </c>
      <c r="R1354" s="1" t="s">
        <v>31</v>
      </c>
      <c r="S1354" s="3" t="n">
        <v>1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f aca="false">SUM(S1354:T1354)</f>
        <v>1</v>
      </c>
      <c r="Z1354" s="3" t="n">
        <f aca="false">SUM(U1354:W1354)</f>
        <v>0</v>
      </c>
      <c r="AA1354" s="3" t="n">
        <f aca="false">SUM(S1354:X1354)</f>
        <v>1</v>
      </c>
      <c r="AB1354" s="11" t="n">
        <f aca="false">(AA1354/(K1354*L1354)*25)*4</f>
        <v>4</v>
      </c>
    </row>
    <row r="1355" customFormat="false" ht="14.25" hidden="false" customHeight="false" outlineLevel="0" collapsed="false">
      <c r="A1355" s="1" t="n">
        <v>2014</v>
      </c>
      <c r="B1355" s="7" t="s">
        <v>322</v>
      </c>
      <c r="C1355" s="7" t="n">
        <v>3</v>
      </c>
      <c r="D1355" s="7" t="s">
        <v>294</v>
      </c>
      <c r="E1355" s="7" t="s">
        <v>294</v>
      </c>
      <c r="F1355" s="3" t="s">
        <v>326</v>
      </c>
      <c r="G1355" s="3" t="n">
        <v>1</v>
      </c>
      <c r="H1355" s="3" t="n">
        <v>2</v>
      </c>
      <c r="I1355" s="22" t="n">
        <v>41869</v>
      </c>
      <c r="J1355" s="22" t="n">
        <v>41874</v>
      </c>
      <c r="K1355" s="43" t="n">
        <f aca="false">J1355-I1355</f>
        <v>5</v>
      </c>
      <c r="L1355" s="1" t="n">
        <v>5</v>
      </c>
      <c r="M1355" s="3" t="s">
        <v>32</v>
      </c>
      <c r="N1355" s="3" t="s">
        <v>96</v>
      </c>
      <c r="O1355" s="3" t="s">
        <v>97</v>
      </c>
      <c r="P1355" s="2" t="str">
        <f aca="false">CONCATENATE(N1355," ",O1355)</f>
        <v>Diplocephalus picinus</v>
      </c>
      <c r="Q1355" s="1" t="s">
        <v>30</v>
      </c>
      <c r="R1355" s="1" t="s">
        <v>35</v>
      </c>
      <c r="S1355" s="3" t="n">
        <v>0</v>
      </c>
      <c r="T1355" s="3" t="n">
        <v>1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f aca="false">SUM(S1355:T1355)</f>
        <v>1</v>
      </c>
      <c r="Z1355" s="3" t="n">
        <f aca="false">SUM(U1355:W1355)</f>
        <v>0</v>
      </c>
      <c r="AA1355" s="3" t="n">
        <f aca="false">SUM(S1355:X1355)</f>
        <v>1</v>
      </c>
      <c r="AB1355" s="11" t="n">
        <f aca="false">(AA1355/(K1355*L1355)*25)*4</f>
        <v>4</v>
      </c>
    </row>
    <row r="1356" customFormat="false" ht="14.25" hidden="false" customHeight="false" outlineLevel="0" collapsed="false">
      <c r="A1356" s="1" t="n">
        <v>2014</v>
      </c>
      <c r="B1356" s="7" t="s">
        <v>322</v>
      </c>
      <c r="C1356" s="7" t="n">
        <v>3</v>
      </c>
      <c r="D1356" s="7" t="s">
        <v>294</v>
      </c>
      <c r="E1356" s="7" t="s">
        <v>294</v>
      </c>
      <c r="F1356" s="3" t="s">
        <v>326</v>
      </c>
      <c r="G1356" s="3" t="n">
        <v>3</v>
      </c>
      <c r="H1356" s="3" t="n">
        <v>14</v>
      </c>
      <c r="I1356" s="22" t="n">
        <v>41869</v>
      </c>
      <c r="J1356" s="22" t="n">
        <v>41874</v>
      </c>
      <c r="K1356" s="43" t="n">
        <f aca="false">J1356-I1356</f>
        <v>5</v>
      </c>
      <c r="L1356" s="1" t="n">
        <v>5</v>
      </c>
      <c r="M1356" s="3" t="s">
        <v>48</v>
      </c>
      <c r="N1356" s="3" t="s">
        <v>61</v>
      </c>
      <c r="O1356" s="3" t="s">
        <v>82</v>
      </c>
      <c r="P1356" s="2" t="str">
        <f aca="false">CONCATENATE(N1356," ",O1356)</f>
        <v>Trochosa terricola</v>
      </c>
      <c r="Q1356" s="1" t="s">
        <v>30</v>
      </c>
      <c r="R1356" s="1" t="s">
        <v>35</v>
      </c>
      <c r="S1356" s="3" t="n">
        <v>0</v>
      </c>
      <c r="T1356" s="3" t="n">
        <v>2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f aca="false">SUM(S1356:T1356)</f>
        <v>2</v>
      </c>
      <c r="Z1356" s="3" t="n">
        <f aca="false">SUM(U1356:W1356)</f>
        <v>0</v>
      </c>
      <c r="AA1356" s="3" t="n">
        <f aca="false">SUM(S1356:X1356)</f>
        <v>2</v>
      </c>
      <c r="AB1356" s="11" t="n">
        <f aca="false">(AA1356/(K1356*L1356)*25)*4</f>
        <v>8</v>
      </c>
    </row>
    <row r="1357" customFormat="false" ht="14.25" hidden="false" customHeight="false" outlineLevel="0" collapsed="false">
      <c r="A1357" s="1" t="n">
        <v>2014</v>
      </c>
      <c r="B1357" s="7" t="s">
        <v>322</v>
      </c>
      <c r="C1357" s="7" t="n">
        <v>3</v>
      </c>
      <c r="D1357" s="7" t="s">
        <v>294</v>
      </c>
      <c r="E1357" s="7" t="s">
        <v>294</v>
      </c>
      <c r="F1357" s="3" t="s">
        <v>326</v>
      </c>
      <c r="G1357" s="3" t="n">
        <v>1</v>
      </c>
      <c r="H1357" s="3" t="n">
        <v>1</v>
      </c>
      <c r="I1357" s="22" t="n">
        <v>41869</v>
      </c>
      <c r="J1357" s="22" t="n">
        <v>41874</v>
      </c>
      <c r="K1357" s="43" t="n">
        <f aca="false">J1357-I1357</f>
        <v>5</v>
      </c>
      <c r="L1357" s="1" t="n">
        <v>5</v>
      </c>
      <c r="M1357" s="3" t="s">
        <v>72</v>
      </c>
      <c r="N1357" s="3" t="s">
        <v>73</v>
      </c>
      <c r="O1357" s="3" t="s">
        <v>74</v>
      </c>
      <c r="P1357" s="2" t="str">
        <f aca="false">CONCATENATE(N1357," ",O1357)</f>
        <v>Zelotes subterraneus</v>
      </c>
      <c r="Q1357" s="1" t="s">
        <v>30</v>
      </c>
      <c r="R1357" s="1" t="s">
        <v>31</v>
      </c>
      <c r="S1357" s="3" t="n">
        <v>2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f aca="false">SUM(S1357:T1357)</f>
        <v>2</v>
      </c>
      <c r="Z1357" s="3" t="n">
        <f aca="false">SUM(U1357:W1357)</f>
        <v>0</v>
      </c>
      <c r="AA1357" s="3" t="n">
        <f aca="false">SUM(S1357:X1357)</f>
        <v>2</v>
      </c>
      <c r="AB1357" s="11" t="n">
        <f aca="false">(AA1357/(K1357*L1357)*25)*4</f>
        <v>8</v>
      </c>
    </row>
    <row r="1358" customFormat="false" ht="14.25" hidden="false" customHeight="false" outlineLevel="0" collapsed="false">
      <c r="A1358" s="1" t="n">
        <v>2014</v>
      </c>
      <c r="B1358" s="7" t="s">
        <v>322</v>
      </c>
      <c r="C1358" s="7" t="n">
        <v>3</v>
      </c>
      <c r="D1358" s="7" t="s">
        <v>294</v>
      </c>
      <c r="E1358" s="7" t="s">
        <v>294</v>
      </c>
      <c r="F1358" s="3" t="s">
        <v>326</v>
      </c>
      <c r="G1358" s="3" t="n">
        <v>1</v>
      </c>
      <c r="H1358" s="3" t="n">
        <v>1</v>
      </c>
      <c r="I1358" s="22" t="n">
        <v>41869</v>
      </c>
      <c r="J1358" s="22" t="n">
        <v>41874</v>
      </c>
      <c r="K1358" s="43" t="n">
        <f aca="false">J1358-I1358</f>
        <v>5</v>
      </c>
      <c r="L1358" s="1" t="n">
        <v>5</v>
      </c>
      <c r="M1358" s="3" t="s">
        <v>72</v>
      </c>
      <c r="N1358" s="3" t="s">
        <v>73</v>
      </c>
      <c r="O1358" s="3" t="s">
        <v>74</v>
      </c>
      <c r="P1358" s="2" t="str">
        <f aca="false">CONCATENATE(N1358," ",O1358)</f>
        <v>Zelotes subterraneus</v>
      </c>
      <c r="Q1358" s="1" t="s">
        <v>30</v>
      </c>
      <c r="R1358" s="1" t="s">
        <v>35</v>
      </c>
      <c r="S1358" s="3" t="n">
        <v>0</v>
      </c>
      <c r="T1358" s="3" t="n">
        <v>1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f aca="false">SUM(S1358:T1358)</f>
        <v>1</v>
      </c>
      <c r="Z1358" s="3" t="n">
        <f aca="false">SUM(U1358:W1358)</f>
        <v>0</v>
      </c>
      <c r="AA1358" s="3" t="n">
        <f aca="false">SUM(S1358:X1358)</f>
        <v>1</v>
      </c>
      <c r="AB1358" s="11" t="n">
        <f aca="false">(AA1358/(K1358*L1358)*25)*4</f>
        <v>4</v>
      </c>
    </row>
    <row r="1359" customFormat="false" ht="14.25" hidden="false" customHeight="false" outlineLevel="0" collapsed="false">
      <c r="A1359" s="1" t="n">
        <v>2014</v>
      </c>
      <c r="B1359" s="7" t="s">
        <v>322</v>
      </c>
      <c r="C1359" s="7" t="n">
        <v>3</v>
      </c>
      <c r="D1359" s="7" t="s">
        <v>294</v>
      </c>
      <c r="E1359" s="7" t="s">
        <v>294</v>
      </c>
      <c r="F1359" s="3" t="s">
        <v>326</v>
      </c>
      <c r="G1359" s="3" t="n">
        <v>1</v>
      </c>
      <c r="H1359" s="3" t="n">
        <v>1</v>
      </c>
      <c r="I1359" s="22" t="n">
        <v>41869</v>
      </c>
      <c r="J1359" s="22" t="n">
        <v>41874</v>
      </c>
      <c r="K1359" s="43" t="n">
        <f aca="false">J1359-I1359</f>
        <v>5</v>
      </c>
      <c r="L1359" s="1" t="n">
        <v>5</v>
      </c>
      <c r="M1359" s="3" t="s">
        <v>48</v>
      </c>
      <c r="N1359" s="3" t="s">
        <v>61</v>
      </c>
      <c r="O1359" s="3" t="s">
        <v>82</v>
      </c>
      <c r="P1359" s="2" t="str">
        <f aca="false">CONCATENATE(N1359," ",O1359)</f>
        <v>Trochosa terricola</v>
      </c>
      <c r="Q1359" s="1" t="s">
        <v>30</v>
      </c>
      <c r="R1359" s="1" t="s">
        <v>31</v>
      </c>
      <c r="S1359" s="3" t="n">
        <v>2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f aca="false">SUM(S1359:T1359)</f>
        <v>2</v>
      </c>
      <c r="Z1359" s="3" t="n">
        <f aca="false">SUM(U1359:W1359)</f>
        <v>0</v>
      </c>
      <c r="AA1359" s="3" t="n">
        <f aca="false">SUM(S1359:X1359)</f>
        <v>2</v>
      </c>
      <c r="AB1359" s="11" t="n">
        <f aca="false">(AA1359/(K1359*L1359)*25)*4</f>
        <v>8</v>
      </c>
    </row>
    <row r="1360" customFormat="false" ht="14.25" hidden="false" customHeight="false" outlineLevel="0" collapsed="false">
      <c r="A1360" s="1" t="n">
        <v>2014</v>
      </c>
      <c r="B1360" s="7" t="s">
        <v>322</v>
      </c>
      <c r="C1360" s="7" t="n">
        <v>3</v>
      </c>
      <c r="D1360" s="7" t="s">
        <v>294</v>
      </c>
      <c r="E1360" s="7" t="s">
        <v>294</v>
      </c>
      <c r="F1360" s="3" t="s">
        <v>326</v>
      </c>
      <c r="G1360" s="3" t="n">
        <v>1</v>
      </c>
      <c r="H1360" s="3" t="n">
        <v>1</v>
      </c>
      <c r="I1360" s="22" t="n">
        <v>41869</v>
      </c>
      <c r="J1360" s="22" t="n">
        <v>41874</v>
      </c>
      <c r="K1360" s="43" t="n">
        <f aca="false">J1360-I1360</f>
        <v>5</v>
      </c>
      <c r="L1360" s="1" t="n">
        <v>5</v>
      </c>
      <c r="M1360" s="3" t="s">
        <v>48</v>
      </c>
      <c r="N1360" s="3" t="s">
        <v>61</v>
      </c>
      <c r="O1360" s="3" t="s">
        <v>82</v>
      </c>
      <c r="P1360" s="2" t="str">
        <f aca="false">CONCATENATE(N1360," ",O1360)</f>
        <v>Trochosa terricola</v>
      </c>
      <c r="Q1360" s="1" t="s">
        <v>30</v>
      </c>
      <c r="R1360" s="1" t="s">
        <v>35</v>
      </c>
      <c r="S1360" s="3" t="n">
        <v>0</v>
      </c>
      <c r="T1360" s="3" t="n">
        <v>1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f aca="false">SUM(S1360:T1360)</f>
        <v>1</v>
      </c>
      <c r="Z1360" s="3" t="n">
        <f aca="false">SUM(U1360:W1360)</f>
        <v>0</v>
      </c>
      <c r="AA1360" s="3" t="n">
        <f aca="false">SUM(S1360:X1360)</f>
        <v>1</v>
      </c>
      <c r="AB1360" s="11" t="n">
        <f aca="false">(AA1360/(K1360*L1360)*25)*4</f>
        <v>4</v>
      </c>
    </row>
    <row r="1361" customFormat="false" ht="14.25" hidden="false" customHeight="false" outlineLevel="0" collapsed="false">
      <c r="A1361" s="1" t="n">
        <v>2014</v>
      </c>
      <c r="B1361" s="7" t="s">
        <v>322</v>
      </c>
      <c r="C1361" s="7" t="n">
        <v>3</v>
      </c>
      <c r="D1361" s="7" t="s">
        <v>294</v>
      </c>
      <c r="E1361" s="7" t="s">
        <v>294</v>
      </c>
      <c r="F1361" s="3" t="s">
        <v>326</v>
      </c>
      <c r="G1361" s="3" t="n">
        <v>1</v>
      </c>
      <c r="H1361" s="3" t="n">
        <v>1</v>
      </c>
      <c r="I1361" s="22" t="n">
        <v>41869</v>
      </c>
      <c r="J1361" s="22" t="n">
        <v>41874</v>
      </c>
      <c r="K1361" s="43" t="n">
        <f aca="false">J1361-I1361</f>
        <v>5</v>
      </c>
      <c r="L1361" s="1" t="n">
        <v>5</v>
      </c>
      <c r="M1361" s="3" t="s">
        <v>36</v>
      </c>
      <c r="N1361" s="3" t="s">
        <v>37</v>
      </c>
      <c r="O1361" s="3" t="s">
        <v>75</v>
      </c>
      <c r="P1361" s="2" t="str">
        <f aca="false">CONCATENATE(N1361," ",O1361)</f>
        <v>Ozyptila praticola</v>
      </c>
      <c r="Q1361" s="1" t="s">
        <v>30</v>
      </c>
      <c r="R1361" s="1" t="s">
        <v>31</v>
      </c>
      <c r="S1361" s="3" t="n">
        <v>1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f aca="false">SUM(S1361:T1361)</f>
        <v>1</v>
      </c>
      <c r="Z1361" s="3" t="n">
        <f aca="false">SUM(U1361:W1361)</f>
        <v>0</v>
      </c>
      <c r="AA1361" s="3" t="n">
        <f aca="false">SUM(S1361:X1361)</f>
        <v>1</v>
      </c>
      <c r="AB1361" s="11" t="n">
        <f aca="false">(AA1361/(K1361*L1361)*25)*4</f>
        <v>4</v>
      </c>
    </row>
    <row r="1362" customFormat="false" ht="14.25" hidden="false" customHeight="false" outlineLevel="0" collapsed="false">
      <c r="A1362" s="1" t="n">
        <v>2014</v>
      </c>
      <c r="B1362" s="7" t="s">
        <v>322</v>
      </c>
      <c r="C1362" s="7" t="n">
        <v>3</v>
      </c>
      <c r="D1362" s="7" t="s">
        <v>294</v>
      </c>
      <c r="E1362" s="7" t="s">
        <v>294</v>
      </c>
      <c r="F1362" s="3" t="s">
        <v>326</v>
      </c>
      <c r="G1362" s="3" t="n">
        <v>2</v>
      </c>
      <c r="H1362" s="3" t="n">
        <v>10</v>
      </c>
      <c r="I1362" s="22" t="n">
        <v>41869</v>
      </c>
      <c r="J1362" s="22" t="n">
        <v>41874</v>
      </c>
      <c r="K1362" s="43" t="n">
        <f aca="false">J1362-I1362</f>
        <v>5</v>
      </c>
      <c r="L1362" s="1" t="n">
        <v>5</v>
      </c>
      <c r="M1362" s="3" t="s">
        <v>72</v>
      </c>
      <c r="N1362" s="3" t="s">
        <v>73</v>
      </c>
      <c r="O1362" s="3" t="s">
        <v>74</v>
      </c>
      <c r="P1362" s="2" t="str">
        <f aca="false">CONCATENATE(N1362," ",O1362)</f>
        <v>Zelotes subterraneus</v>
      </c>
      <c r="Q1362" s="1" t="s">
        <v>30</v>
      </c>
      <c r="R1362" s="1" t="s">
        <v>31</v>
      </c>
      <c r="S1362" s="3" t="n">
        <v>1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f aca="false">SUM(S1362:T1362)</f>
        <v>1</v>
      </c>
      <c r="Z1362" s="3" t="n">
        <f aca="false">SUM(U1362:W1362)</f>
        <v>0</v>
      </c>
      <c r="AA1362" s="3" t="n">
        <f aca="false">SUM(S1362:X1362)</f>
        <v>1</v>
      </c>
      <c r="AB1362" s="11" t="n">
        <f aca="false">(AA1362/(K1362*L1362)*25)*4</f>
        <v>4</v>
      </c>
    </row>
    <row r="1363" customFormat="false" ht="14.25" hidden="false" customHeight="false" outlineLevel="0" collapsed="false">
      <c r="A1363" s="1" t="n">
        <v>2014</v>
      </c>
      <c r="B1363" s="7" t="s">
        <v>322</v>
      </c>
      <c r="C1363" s="7" t="n">
        <v>3</v>
      </c>
      <c r="D1363" s="7" t="s">
        <v>294</v>
      </c>
      <c r="E1363" s="7" t="s">
        <v>294</v>
      </c>
      <c r="F1363" s="3" t="s">
        <v>326</v>
      </c>
      <c r="G1363" s="3" t="n">
        <v>2</v>
      </c>
      <c r="H1363" s="3" t="n">
        <v>10</v>
      </c>
      <c r="I1363" s="22" t="n">
        <v>41869</v>
      </c>
      <c r="J1363" s="22" t="n">
        <v>41874</v>
      </c>
      <c r="K1363" s="43" t="n">
        <f aca="false">J1363-I1363</f>
        <v>5</v>
      </c>
      <c r="L1363" s="1" t="n">
        <v>5</v>
      </c>
      <c r="M1363" s="3" t="s">
        <v>36</v>
      </c>
      <c r="N1363" s="3" t="s">
        <v>37</v>
      </c>
      <c r="O1363" s="3" t="s">
        <v>75</v>
      </c>
      <c r="P1363" s="2" t="str">
        <f aca="false">CONCATENATE(N1363," ",O1363)</f>
        <v>Ozyptila praticola</v>
      </c>
      <c r="Q1363" s="1" t="s">
        <v>30</v>
      </c>
      <c r="R1363" s="1" t="s">
        <v>31</v>
      </c>
      <c r="S1363" s="3" t="n">
        <v>2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f aca="false">SUM(S1363:T1363)</f>
        <v>2</v>
      </c>
      <c r="Z1363" s="3" t="n">
        <f aca="false">SUM(U1363:W1363)</f>
        <v>0</v>
      </c>
      <c r="AA1363" s="3" t="n">
        <f aca="false">SUM(S1363:X1363)</f>
        <v>2</v>
      </c>
      <c r="AB1363" s="11" t="n">
        <f aca="false">(AA1363/(K1363*L1363)*25)*4</f>
        <v>8</v>
      </c>
    </row>
    <row r="1364" customFormat="false" ht="14.25" hidden="false" customHeight="false" outlineLevel="0" collapsed="false">
      <c r="A1364" s="1" t="n">
        <v>2014</v>
      </c>
      <c r="B1364" s="7" t="s">
        <v>322</v>
      </c>
      <c r="C1364" s="7" t="n">
        <v>3</v>
      </c>
      <c r="D1364" s="7" t="s">
        <v>294</v>
      </c>
      <c r="E1364" s="7" t="s">
        <v>294</v>
      </c>
      <c r="F1364" s="3" t="s">
        <v>326</v>
      </c>
      <c r="G1364" s="3" t="n">
        <v>2</v>
      </c>
      <c r="H1364" s="3" t="n">
        <v>10</v>
      </c>
      <c r="I1364" s="22" t="n">
        <v>41869</v>
      </c>
      <c r="J1364" s="22" t="n">
        <v>41874</v>
      </c>
      <c r="K1364" s="43" t="n">
        <f aca="false">J1364-I1364</f>
        <v>5</v>
      </c>
      <c r="L1364" s="1" t="n">
        <v>5</v>
      </c>
      <c r="M1364" s="3" t="s">
        <v>48</v>
      </c>
      <c r="N1364" s="3" t="s">
        <v>49</v>
      </c>
      <c r="O1364" s="3" t="s">
        <v>130</v>
      </c>
      <c r="P1364" s="2" t="str">
        <f aca="false">CONCATENATE(N1364," ",O1364)</f>
        <v>Alopecosa aculeata</v>
      </c>
      <c r="Q1364" s="1" t="s">
        <v>30</v>
      </c>
      <c r="R1364" s="1" t="s">
        <v>35</v>
      </c>
      <c r="S1364" s="3" t="n">
        <v>0</v>
      </c>
      <c r="T1364" s="3" t="n">
        <v>1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f aca="false">SUM(S1364:T1364)</f>
        <v>1</v>
      </c>
      <c r="Z1364" s="3" t="n">
        <f aca="false">SUM(U1364:W1364)</f>
        <v>0</v>
      </c>
      <c r="AA1364" s="3" t="n">
        <f aca="false">SUM(S1364:X1364)</f>
        <v>1</v>
      </c>
      <c r="AB1364" s="11" t="n">
        <f aca="false">(AA1364/(K1364*L1364)*25)*4</f>
        <v>4</v>
      </c>
    </row>
    <row r="1365" customFormat="false" ht="14.25" hidden="false" customHeight="false" outlineLevel="0" collapsed="false">
      <c r="A1365" s="1" t="n">
        <v>2014</v>
      </c>
      <c r="B1365" s="7" t="s">
        <v>322</v>
      </c>
      <c r="C1365" s="7" t="n">
        <v>3</v>
      </c>
      <c r="D1365" s="7" t="s">
        <v>294</v>
      </c>
      <c r="E1365" s="7" t="s">
        <v>294</v>
      </c>
      <c r="F1365" s="3" t="s">
        <v>326</v>
      </c>
      <c r="G1365" s="3" t="n">
        <v>2</v>
      </c>
      <c r="H1365" s="3" t="n">
        <v>9</v>
      </c>
      <c r="I1365" s="22" t="n">
        <v>41869</v>
      </c>
      <c r="J1365" s="22" t="n">
        <v>41874</v>
      </c>
      <c r="K1365" s="43" t="n">
        <f aca="false">J1365-I1365</f>
        <v>5</v>
      </c>
      <c r="L1365" s="1" t="n">
        <v>5</v>
      </c>
      <c r="M1365" s="3" t="s">
        <v>72</v>
      </c>
      <c r="N1365" s="3" t="s">
        <v>73</v>
      </c>
      <c r="O1365" s="3" t="s">
        <v>74</v>
      </c>
      <c r="P1365" s="2" t="str">
        <f aca="false">CONCATENATE(N1365," ",O1365)</f>
        <v>Zelotes subterraneus</v>
      </c>
      <c r="Q1365" s="1" t="s">
        <v>30</v>
      </c>
      <c r="R1365" s="1" t="s">
        <v>31</v>
      </c>
      <c r="S1365" s="3" t="n">
        <v>2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f aca="false">SUM(S1365:T1365)</f>
        <v>2</v>
      </c>
      <c r="Z1365" s="3" t="n">
        <f aca="false">SUM(U1365:W1365)</f>
        <v>0</v>
      </c>
      <c r="AA1365" s="3" t="n">
        <f aca="false">SUM(S1365:X1365)</f>
        <v>2</v>
      </c>
      <c r="AB1365" s="11" t="n">
        <f aca="false">(AA1365/(K1365*L1365)*25)*4</f>
        <v>8</v>
      </c>
    </row>
    <row r="1366" customFormat="false" ht="14.25" hidden="false" customHeight="false" outlineLevel="0" collapsed="false">
      <c r="A1366" s="1" t="n">
        <v>2014</v>
      </c>
      <c r="B1366" s="7" t="s">
        <v>322</v>
      </c>
      <c r="C1366" s="7" t="n">
        <v>3</v>
      </c>
      <c r="D1366" s="7" t="s">
        <v>294</v>
      </c>
      <c r="E1366" s="7" t="s">
        <v>294</v>
      </c>
      <c r="F1366" s="3" t="s">
        <v>326</v>
      </c>
      <c r="G1366" s="3" t="n">
        <v>2</v>
      </c>
      <c r="H1366" s="3" t="n">
        <v>9</v>
      </c>
      <c r="I1366" s="22" t="n">
        <v>41869</v>
      </c>
      <c r="J1366" s="22" t="n">
        <v>41874</v>
      </c>
      <c r="K1366" s="43" t="n">
        <f aca="false">J1366-I1366</f>
        <v>5</v>
      </c>
      <c r="L1366" s="1" t="n">
        <v>5</v>
      </c>
      <c r="M1366" s="3" t="s">
        <v>36</v>
      </c>
      <c r="N1366" s="3" t="s">
        <v>37</v>
      </c>
      <c r="O1366" s="3" t="s">
        <v>75</v>
      </c>
      <c r="P1366" s="2" t="str">
        <f aca="false">CONCATENATE(N1366," ",O1366)</f>
        <v>Ozyptila praticola</v>
      </c>
      <c r="Q1366" s="1" t="s">
        <v>30</v>
      </c>
      <c r="R1366" s="1" t="s">
        <v>31</v>
      </c>
      <c r="S1366" s="3" t="n">
        <v>1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f aca="false">SUM(S1366:T1366)</f>
        <v>1</v>
      </c>
      <c r="Z1366" s="3" t="n">
        <f aca="false">SUM(U1366:W1366)</f>
        <v>0</v>
      </c>
      <c r="AA1366" s="3" t="n">
        <f aca="false">SUM(S1366:X1366)</f>
        <v>1</v>
      </c>
      <c r="AB1366" s="11" t="n">
        <f aca="false">(AA1366/(K1366*L1366)*25)*4</f>
        <v>4</v>
      </c>
    </row>
    <row r="1367" customFormat="false" ht="14.25" hidden="false" customHeight="false" outlineLevel="0" collapsed="false">
      <c r="A1367" s="1" t="n">
        <v>2014</v>
      </c>
      <c r="B1367" s="7" t="s">
        <v>322</v>
      </c>
      <c r="C1367" s="7" t="n">
        <v>3</v>
      </c>
      <c r="D1367" s="7" t="s">
        <v>294</v>
      </c>
      <c r="E1367" s="7" t="s">
        <v>294</v>
      </c>
      <c r="F1367" s="3" t="s">
        <v>326</v>
      </c>
      <c r="G1367" s="3" t="n">
        <v>2</v>
      </c>
      <c r="H1367" s="3" t="n">
        <v>9</v>
      </c>
      <c r="I1367" s="22" t="n">
        <v>41869</v>
      </c>
      <c r="J1367" s="22" t="n">
        <v>41874</v>
      </c>
      <c r="K1367" s="43" t="n">
        <f aca="false">J1367-I1367</f>
        <v>5</v>
      </c>
      <c r="L1367" s="1" t="n">
        <v>5</v>
      </c>
      <c r="M1367" s="3" t="s">
        <v>48</v>
      </c>
      <c r="N1367" s="3" t="s">
        <v>61</v>
      </c>
      <c r="O1367" s="3" t="s">
        <v>82</v>
      </c>
      <c r="P1367" s="2" t="str">
        <f aca="false">CONCATENATE(N1367," ",O1367)</f>
        <v>Trochosa terricola</v>
      </c>
      <c r="Q1367" s="1" t="s">
        <v>30</v>
      </c>
      <c r="R1367" s="1" t="s">
        <v>31</v>
      </c>
      <c r="S1367" s="3" t="n">
        <v>1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f aca="false">SUM(S1367:T1367)</f>
        <v>1</v>
      </c>
      <c r="Z1367" s="3" t="n">
        <f aca="false">SUM(U1367:W1367)</f>
        <v>0</v>
      </c>
      <c r="AA1367" s="3" t="n">
        <f aca="false">SUM(S1367:X1367)</f>
        <v>1</v>
      </c>
      <c r="AB1367" s="11" t="n">
        <f aca="false">(AA1367/(K1367*L1367)*25)*4</f>
        <v>4</v>
      </c>
    </row>
    <row r="1368" customFormat="false" ht="14.25" hidden="false" customHeight="false" outlineLevel="0" collapsed="false">
      <c r="A1368" s="1" t="n">
        <v>2014</v>
      </c>
      <c r="B1368" s="7" t="s">
        <v>322</v>
      </c>
      <c r="C1368" s="7" t="n">
        <v>3</v>
      </c>
      <c r="D1368" s="7" t="s">
        <v>294</v>
      </c>
      <c r="E1368" s="7" t="s">
        <v>294</v>
      </c>
      <c r="F1368" s="3" t="s">
        <v>326</v>
      </c>
      <c r="G1368" s="3" t="n">
        <v>2</v>
      </c>
      <c r="H1368" s="3" t="n">
        <v>7</v>
      </c>
      <c r="I1368" s="22" t="n">
        <v>41869</v>
      </c>
      <c r="J1368" s="22" t="n">
        <v>41874</v>
      </c>
      <c r="K1368" s="43" t="n">
        <f aca="false">J1368-I1368</f>
        <v>5</v>
      </c>
      <c r="L1368" s="1" t="n">
        <v>5</v>
      </c>
      <c r="M1368" s="3" t="s">
        <v>36</v>
      </c>
      <c r="N1368" s="3" t="s">
        <v>37</v>
      </c>
      <c r="O1368" s="3" t="s">
        <v>75</v>
      </c>
      <c r="P1368" s="2" t="str">
        <f aca="false">CONCATENATE(N1368," ",O1368)</f>
        <v>Ozyptila praticola</v>
      </c>
      <c r="Q1368" s="1" t="s">
        <v>30</v>
      </c>
      <c r="R1368" s="1" t="s">
        <v>31</v>
      </c>
      <c r="S1368" s="3" t="n">
        <v>2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f aca="false">SUM(S1368:T1368)</f>
        <v>2</v>
      </c>
      <c r="Z1368" s="3" t="n">
        <f aca="false">SUM(U1368:W1368)</f>
        <v>0</v>
      </c>
      <c r="AA1368" s="3" t="n">
        <f aca="false">SUM(S1368:X1368)</f>
        <v>2</v>
      </c>
      <c r="AB1368" s="11" t="n">
        <f aca="false">(AA1368/(K1368*L1368)*25)*4</f>
        <v>8</v>
      </c>
    </row>
    <row r="1369" customFormat="false" ht="14.25" hidden="false" customHeight="false" outlineLevel="0" collapsed="false">
      <c r="A1369" s="1" t="n">
        <v>2014</v>
      </c>
      <c r="B1369" s="7" t="s">
        <v>322</v>
      </c>
      <c r="C1369" s="7" t="n">
        <v>3</v>
      </c>
      <c r="D1369" s="7" t="s">
        <v>294</v>
      </c>
      <c r="E1369" s="7" t="s">
        <v>294</v>
      </c>
      <c r="F1369" s="3" t="s">
        <v>326</v>
      </c>
      <c r="G1369" s="3" t="n">
        <v>2</v>
      </c>
      <c r="H1369" s="3" t="n">
        <v>7</v>
      </c>
      <c r="I1369" s="22" t="n">
        <v>41869</v>
      </c>
      <c r="J1369" s="22" t="n">
        <v>41874</v>
      </c>
      <c r="K1369" s="43" t="n">
        <f aca="false">J1369-I1369</f>
        <v>5</v>
      </c>
      <c r="L1369" s="1" t="n">
        <v>5</v>
      </c>
      <c r="M1369" s="3" t="s">
        <v>36</v>
      </c>
      <c r="N1369" s="3" t="s">
        <v>37</v>
      </c>
      <c r="O1369" s="3" t="s">
        <v>75</v>
      </c>
      <c r="P1369" s="2" t="str">
        <f aca="false">CONCATENATE(N1369," ",O1369)</f>
        <v>Ozyptila praticola</v>
      </c>
      <c r="Q1369" s="1" t="s">
        <v>30</v>
      </c>
      <c r="R1369" s="1" t="s">
        <v>35</v>
      </c>
      <c r="S1369" s="3" t="n">
        <v>0</v>
      </c>
      <c r="T1369" s="3" t="n">
        <v>1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f aca="false">SUM(S1369:T1369)</f>
        <v>1</v>
      </c>
      <c r="Z1369" s="3" t="n">
        <f aca="false">SUM(U1369:W1369)</f>
        <v>0</v>
      </c>
      <c r="AA1369" s="3" t="n">
        <f aca="false">SUM(S1369:X1369)</f>
        <v>1</v>
      </c>
      <c r="AB1369" s="11" t="n">
        <f aca="false">(AA1369/(K1369*L1369)*25)*4</f>
        <v>4</v>
      </c>
    </row>
    <row r="1370" customFormat="false" ht="14.25" hidden="false" customHeight="false" outlineLevel="0" collapsed="false">
      <c r="A1370" s="1" t="n">
        <v>2014</v>
      </c>
      <c r="B1370" s="7" t="s">
        <v>322</v>
      </c>
      <c r="C1370" s="7" t="n">
        <v>3</v>
      </c>
      <c r="D1370" s="7" t="s">
        <v>294</v>
      </c>
      <c r="E1370" s="7" t="s">
        <v>294</v>
      </c>
      <c r="F1370" s="3" t="s">
        <v>326</v>
      </c>
      <c r="G1370" s="3" t="n">
        <v>2</v>
      </c>
      <c r="H1370" s="3" t="n">
        <v>7</v>
      </c>
      <c r="I1370" s="22" t="n">
        <v>41869</v>
      </c>
      <c r="J1370" s="22" t="n">
        <v>41874</v>
      </c>
      <c r="K1370" s="43" t="n">
        <f aca="false">J1370-I1370</f>
        <v>5</v>
      </c>
      <c r="L1370" s="1" t="n">
        <v>5</v>
      </c>
      <c r="M1370" s="3" t="s">
        <v>32</v>
      </c>
      <c r="N1370" s="3" t="s">
        <v>88</v>
      </c>
      <c r="O1370" s="3" t="s">
        <v>89</v>
      </c>
      <c r="P1370" s="2" t="str">
        <f aca="false">CONCATENATE(N1370," ",O1370)</f>
        <v>Tapinopa longidens</v>
      </c>
      <c r="Q1370" s="1" t="s">
        <v>30</v>
      </c>
      <c r="R1370" s="1" t="s">
        <v>31</v>
      </c>
      <c r="S1370" s="3" t="n">
        <v>1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f aca="false">SUM(S1370:T1370)</f>
        <v>1</v>
      </c>
      <c r="Z1370" s="3" t="n">
        <f aca="false">SUM(U1370:W1370)</f>
        <v>0</v>
      </c>
      <c r="AA1370" s="3" t="n">
        <f aca="false">SUM(S1370:X1370)</f>
        <v>1</v>
      </c>
      <c r="AB1370" s="11" t="n">
        <f aca="false">(AA1370/(K1370*L1370)*25)*4</f>
        <v>4</v>
      </c>
    </row>
    <row r="1371" customFormat="false" ht="14.25" hidden="false" customHeight="false" outlineLevel="0" collapsed="false">
      <c r="A1371" s="1" t="n">
        <v>2014</v>
      </c>
      <c r="B1371" s="7" t="s">
        <v>322</v>
      </c>
      <c r="C1371" s="7" t="n">
        <v>3</v>
      </c>
      <c r="D1371" s="7" t="s">
        <v>294</v>
      </c>
      <c r="E1371" s="7" t="s">
        <v>294</v>
      </c>
      <c r="F1371" s="3" t="s">
        <v>326</v>
      </c>
      <c r="G1371" s="3" t="n">
        <v>3</v>
      </c>
      <c r="H1371" s="3" t="n">
        <v>11</v>
      </c>
      <c r="I1371" s="22" t="n">
        <v>41869</v>
      </c>
      <c r="J1371" s="22" t="n">
        <v>41874</v>
      </c>
      <c r="K1371" s="43" t="n">
        <f aca="false">J1371-I1371</f>
        <v>5</v>
      </c>
      <c r="L1371" s="1" t="n">
        <v>5</v>
      </c>
      <c r="M1371" s="3" t="s">
        <v>48</v>
      </c>
      <c r="N1371" s="3" t="s">
        <v>61</v>
      </c>
      <c r="O1371" s="3" t="s">
        <v>82</v>
      </c>
      <c r="P1371" s="2" t="str">
        <f aca="false">CONCATENATE(N1371," ",O1371)</f>
        <v>Trochosa terricola</v>
      </c>
      <c r="Q1371" s="1" t="s">
        <v>30</v>
      </c>
      <c r="R1371" s="1" t="s">
        <v>31</v>
      </c>
      <c r="S1371" s="3" t="n">
        <v>1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f aca="false">SUM(S1371:T1371)</f>
        <v>1</v>
      </c>
      <c r="Z1371" s="3" t="n">
        <f aca="false">SUM(U1371:W1371)</f>
        <v>0</v>
      </c>
      <c r="AA1371" s="3" t="n">
        <f aca="false">SUM(S1371:X1371)</f>
        <v>1</v>
      </c>
      <c r="AB1371" s="11" t="n">
        <f aca="false">(AA1371/(K1371*L1371)*25)*4</f>
        <v>4</v>
      </c>
    </row>
    <row r="1372" customFormat="false" ht="14.25" hidden="false" customHeight="false" outlineLevel="0" collapsed="false">
      <c r="A1372" s="1" t="n">
        <v>2014</v>
      </c>
      <c r="B1372" s="7" t="s">
        <v>322</v>
      </c>
      <c r="C1372" s="7" t="n">
        <v>3</v>
      </c>
      <c r="D1372" s="7" t="s">
        <v>294</v>
      </c>
      <c r="E1372" s="7" t="s">
        <v>294</v>
      </c>
      <c r="F1372" s="3" t="s">
        <v>326</v>
      </c>
      <c r="G1372" s="3" t="n">
        <v>3</v>
      </c>
      <c r="H1372" s="3" t="n">
        <v>11</v>
      </c>
      <c r="I1372" s="22" t="n">
        <v>41869</v>
      </c>
      <c r="J1372" s="22" t="n">
        <v>41874</v>
      </c>
      <c r="K1372" s="43" t="n">
        <f aca="false">J1372-I1372</f>
        <v>5</v>
      </c>
      <c r="L1372" s="1" t="n">
        <v>5</v>
      </c>
      <c r="M1372" s="3" t="s">
        <v>48</v>
      </c>
      <c r="N1372" s="3" t="s">
        <v>61</v>
      </c>
      <c r="O1372" s="3" t="s">
        <v>82</v>
      </c>
      <c r="P1372" s="2" t="str">
        <f aca="false">CONCATENATE(N1372," ",O1372)</f>
        <v>Trochosa terricola</v>
      </c>
      <c r="Q1372" s="1" t="s">
        <v>30</v>
      </c>
      <c r="R1372" s="1" t="s">
        <v>35</v>
      </c>
      <c r="S1372" s="3" t="n">
        <v>0</v>
      </c>
      <c r="T1372" s="3" t="n">
        <v>1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f aca="false">SUM(S1372:T1372)</f>
        <v>1</v>
      </c>
      <c r="Z1372" s="3" t="n">
        <f aca="false">SUM(U1372:W1372)</f>
        <v>0</v>
      </c>
      <c r="AA1372" s="3" t="n">
        <f aca="false">SUM(S1372:X1372)</f>
        <v>1</v>
      </c>
      <c r="AB1372" s="11" t="n">
        <f aca="false">(AA1372/(K1372*L1372)*25)*4</f>
        <v>4</v>
      </c>
    </row>
    <row r="1373" customFormat="false" ht="14.25" hidden="false" customHeight="false" outlineLevel="0" collapsed="false">
      <c r="A1373" s="1" t="n">
        <v>2014</v>
      </c>
      <c r="B1373" s="7" t="s">
        <v>322</v>
      </c>
      <c r="C1373" s="7" t="n">
        <v>3</v>
      </c>
      <c r="D1373" s="7" t="s">
        <v>294</v>
      </c>
      <c r="E1373" s="7" t="s">
        <v>294</v>
      </c>
      <c r="F1373" s="3" t="s">
        <v>326</v>
      </c>
      <c r="G1373" s="3" t="n">
        <v>3</v>
      </c>
      <c r="H1373" s="3" t="n">
        <v>11</v>
      </c>
      <c r="I1373" s="22" t="n">
        <v>41869</v>
      </c>
      <c r="J1373" s="22" t="n">
        <v>41874</v>
      </c>
      <c r="K1373" s="43" t="n">
        <f aca="false">J1373-I1373</f>
        <v>5</v>
      </c>
      <c r="L1373" s="1" t="n">
        <v>5</v>
      </c>
      <c r="M1373" s="3" t="s">
        <v>72</v>
      </c>
      <c r="N1373" s="3" t="s">
        <v>73</v>
      </c>
      <c r="O1373" s="3" t="s">
        <v>74</v>
      </c>
      <c r="P1373" s="2" t="str">
        <f aca="false">CONCATENATE(N1373," ",O1373)</f>
        <v>Zelotes subterraneus</v>
      </c>
      <c r="Q1373" s="1" t="s">
        <v>30</v>
      </c>
      <c r="R1373" s="1" t="s">
        <v>31</v>
      </c>
      <c r="S1373" s="3" t="n">
        <v>2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f aca="false">SUM(S1373:T1373)</f>
        <v>2</v>
      </c>
      <c r="Z1373" s="3" t="n">
        <f aca="false">SUM(U1373:W1373)</f>
        <v>0</v>
      </c>
      <c r="AA1373" s="3" t="n">
        <f aca="false">SUM(S1373:X1373)</f>
        <v>2</v>
      </c>
      <c r="AB1373" s="11" t="n">
        <f aca="false">(AA1373/(K1373*L1373)*25)*4</f>
        <v>8</v>
      </c>
    </row>
    <row r="1374" customFormat="false" ht="14.25" hidden="false" customHeight="false" outlineLevel="0" collapsed="false">
      <c r="A1374" s="1" t="n">
        <v>2014</v>
      </c>
      <c r="B1374" s="7" t="s">
        <v>322</v>
      </c>
      <c r="C1374" s="7" t="n">
        <v>3</v>
      </c>
      <c r="D1374" s="7" t="s">
        <v>294</v>
      </c>
      <c r="E1374" s="7" t="s">
        <v>294</v>
      </c>
      <c r="F1374" s="3" t="s">
        <v>326</v>
      </c>
      <c r="G1374" s="3" t="n">
        <v>3</v>
      </c>
      <c r="H1374" s="3" t="n">
        <v>11</v>
      </c>
      <c r="I1374" s="22" t="n">
        <v>41869</v>
      </c>
      <c r="J1374" s="22" t="n">
        <v>41874</v>
      </c>
      <c r="K1374" s="43" t="n">
        <f aca="false">J1374-I1374</f>
        <v>5</v>
      </c>
      <c r="L1374" s="1" t="n">
        <v>5</v>
      </c>
      <c r="M1374" s="3" t="s">
        <v>36</v>
      </c>
      <c r="N1374" s="3" t="s">
        <v>37</v>
      </c>
      <c r="O1374" s="3" t="s">
        <v>75</v>
      </c>
      <c r="P1374" s="2" t="str">
        <f aca="false">CONCATENATE(N1374," ",O1374)</f>
        <v>Ozyptila praticola</v>
      </c>
      <c r="Q1374" s="1" t="s">
        <v>30</v>
      </c>
      <c r="R1374" s="1" t="s">
        <v>31</v>
      </c>
      <c r="S1374" s="3" t="n">
        <v>1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f aca="false">SUM(S1374:T1374)</f>
        <v>1</v>
      </c>
      <c r="Z1374" s="3" t="n">
        <f aca="false">SUM(U1374:W1374)</f>
        <v>0</v>
      </c>
      <c r="AA1374" s="3" t="n">
        <f aca="false">SUM(S1374:X1374)</f>
        <v>1</v>
      </c>
      <c r="AB1374" s="11" t="n">
        <f aca="false">(AA1374/(K1374*L1374)*25)*4</f>
        <v>4</v>
      </c>
    </row>
    <row r="1375" customFormat="false" ht="14.25" hidden="false" customHeight="false" outlineLevel="0" collapsed="false">
      <c r="A1375" s="1" t="n">
        <v>2014</v>
      </c>
      <c r="B1375" s="7" t="s">
        <v>322</v>
      </c>
      <c r="C1375" s="7" t="n">
        <v>3</v>
      </c>
      <c r="D1375" s="7" t="s">
        <v>294</v>
      </c>
      <c r="E1375" s="7" t="s">
        <v>294</v>
      </c>
      <c r="F1375" s="3" t="s">
        <v>326</v>
      </c>
      <c r="G1375" s="3" t="n">
        <v>2</v>
      </c>
      <c r="H1375" s="3" t="n">
        <v>6</v>
      </c>
      <c r="I1375" s="22" t="n">
        <v>41869</v>
      </c>
      <c r="J1375" s="22" t="n">
        <v>41874</v>
      </c>
      <c r="K1375" s="43" t="n">
        <f aca="false">J1375-I1375</f>
        <v>5</v>
      </c>
      <c r="L1375" s="1" t="n">
        <v>5</v>
      </c>
      <c r="M1375" s="3" t="s">
        <v>48</v>
      </c>
      <c r="N1375" s="3" t="s">
        <v>61</v>
      </c>
      <c r="O1375" s="3" t="s">
        <v>82</v>
      </c>
      <c r="P1375" s="2" t="str">
        <f aca="false">CONCATENATE(N1375," ",O1375)</f>
        <v>Trochosa terricola</v>
      </c>
      <c r="Q1375" s="1" t="s">
        <v>30</v>
      </c>
      <c r="R1375" s="1" t="s">
        <v>31</v>
      </c>
      <c r="S1375" s="3" t="n">
        <v>1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f aca="false">SUM(S1375:T1375)</f>
        <v>1</v>
      </c>
      <c r="Z1375" s="3" t="n">
        <f aca="false">SUM(U1375:W1375)</f>
        <v>0</v>
      </c>
      <c r="AA1375" s="3" t="n">
        <f aca="false">SUM(S1375:X1375)</f>
        <v>1</v>
      </c>
      <c r="AB1375" s="11" t="n">
        <f aca="false">(AA1375/(K1375*L1375)*25)*4</f>
        <v>4</v>
      </c>
    </row>
    <row r="1376" customFormat="false" ht="14.25" hidden="false" customHeight="false" outlineLevel="0" collapsed="false">
      <c r="A1376" s="1" t="n">
        <v>2014</v>
      </c>
      <c r="B1376" s="7" t="s">
        <v>322</v>
      </c>
      <c r="C1376" s="7" t="n">
        <v>3</v>
      </c>
      <c r="D1376" s="7" t="s">
        <v>294</v>
      </c>
      <c r="E1376" s="7" t="s">
        <v>294</v>
      </c>
      <c r="F1376" s="3" t="s">
        <v>326</v>
      </c>
      <c r="G1376" s="3" t="n">
        <v>2</v>
      </c>
      <c r="H1376" s="3" t="n">
        <v>6</v>
      </c>
      <c r="I1376" s="22" t="n">
        <v>41869</v>
      </c>
      <c r="J1376" s="22" t="n">
        <v>41874</v>
      </c>
      <c r="K1376" s="43" t="n">
        <f aca="false">J1376-I1376</f>
        <v>5</v>
      </c>
      <c r="L1376" s="1" t="n">
        <v>5</v>
      </c>
      <c r="M1376" s="3" t="s">
        <v>48</v>
      </c>
      <c r="N1376" s="3" t="s">
        <v>61</v>
      </c>
      <c r="O1376" s="3" t="s">
        <v>82</v>
      </c>
      <c r="P1376" s="2" t="str">
        <f aca="false">CONCATENATE(N1376," ",O1376)</f>
        <v>Trochosa terricola</v>
      </c>
      <c r="Q1376" s="1" t="s">
        <v>30</v>
      </c>
      <c r="R1376" s="1" t="s">
        <v>35</v>
      </c>
      <c r="S1376" s="3" t="n">
        <v>0</v>
      </c>
      <c r="T1376" s="3" t="n">
        <v>1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f aca="false">SUM(S1376:T1376)</f>
        <v>1</v>
      </c>
      <c r="Z1376" s="3" t="n">
        <f aca="false">SUM(U1376:W1376)</f>
        <v>0</v>
      </c>
      <c r="AA1376" s="3" t="n">
        <f aca="false">SUM(S1376:X1376)</f>
        <v>1</v>
      </c>
      <c r="AB1376" s="11" t="n">
        <f aca="false">(AA1376/(K1376*L1376)*25)*4</f>
        <v>4</v>
      </c>
    </row>
    <row r="1377" customFormat="false" ht="14.25" hidden="false" customHeight="false" outlineLevel="0" collapsed="false">
      <c r="A1377" s="1" t="n">
        <v>2014</v>
      </c>
      <c r="B1377" s="7" t="s">
        <v>322</v>
      </c>
      <c r="C1377" s="7" t="n">
        <v>3</v>
      </c>
      <c r="D1377" s="7" t="s">
        <v>294</v>
      </c>
      <c r="E1377" s="7" t="s">
        <v>294</v>
      </c>
      <c r="F1377" s="3" t="s">
        <v>326</v>
      </c>
      <c r="G1377" s="3" t="n">
        <v>2</v>
      </c>
      <c r="H1377" s="3" t="n">
        <v>6</v>
      </c>
      <c r="I1377" s="22" t="n">
        <v>41869</v>
      </c>
      <c r="J1377" s="22" t="n">
        <v>41874</v>
      </c>
      <c r="K1377" s="43" t="n">
        <f aca="false">J1377-I1377</f>
        <v>5</v>
      </c>
      <c r="L1377" s="1" t="n">
        <v>5</v>
      </c>
      <c r="M1377" s="3" t="s">
        <v>36</v>
      </c>
      <c r="N1377" s="3" t="s">
        <v>37</v>
      </c>
      <c r="O1377" s="3" t="s">
        <v>75</v>
      </c>
      <c r="P1377" s="2" t="str">
        <f aca="false">CONCATENATE(N1377," ",O1377)</f>
        <v>Ozyptila praticola</v>
      </c>
      <c r="Q1377" s="1" t="s">
        <v>30</v>
      </c>
      <c r="R1377" s="1" t="s">
        <v>31</v>
      </c>
      <c r="S1377" s="3" t="n">
        <v>1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f aca="false">SUM(S1377:T1377)</f>
        <v>1</v>
      </c>
      <c r="Z1377" s="3" t="n">
        <f aca="false">SUM(U1377:W1377)</f>
        <v>0</v>
      </c>
      <c r="AA1377" s="3" t="n">
        <f aca="false">SUM(S1377:X1377)</f>
        <v>1</v>
      </c>
      <c r="AB1377" s="11" t="n">
        <f aca="false">(AA1377/(K1377*L1377)*25)*4</f>
        <v>4</v>
      </c>
    </row>
    <row r="1378" customFormat="false" ht="14.25" hidden="false" customHeight="false" outlineLevel="0" collapsed="false">
      <c r="A1378" s="1" t="n">
        <v>2014</v>
      </c>
      <c r="B1378" s="7" t="s">
        <v>322</v>
      </c>
      <c r="C1378" s="7" t="n">
        <v>3</v>
      </c>
      <c r="D1378" s="7" t="s">
        <v>294</v>
      </c>
      <c r="E1378" s="7" t="s">
        <v>294</v>
      </c>
      <c r="F1378" s="3" t="s">
        <v>326</v>
      </c>
      <c r="G1378" s="3" t="n">
        <v>2</v>
      </c>
      <c r="H1378" s="3" t="n">
        <v>6</v>
      </c>
      <c r="I1378" s="22" t="n">
        <v>41869</v>
      </c>
      <c r="J1378" s="22" t="n">
        <v>41874</v>
      </c>
      <c r="K1378" s="43" t="n">
        <f aca="false">J1378-I1378</f>
        <v>5</v>
      </c>
      <c r="L1378" s="1" t="n">
        <v>5</v>
      </c>
      <c r="M1378" s="3" t="s">
        <v>36</v>
      </c>
      <c r="N1378" s="3" t="s">
        <v>131</v>
      </c>
      <c r="O1378" s="3" t="s">
        <v>229</v>
      </c>
      <c r="P1378" s="2" t="str">
        <f aca="false">CONCATENATE(N1378," ",O1378)</f>
        <v>Xysticus emertoni</v>
      </c>
      <c r="Q1378" s="1" t="s">
        <v>30</v>
      </c>
      <c r="R1378" s="1" t="s">
        <v>35</v>
      </c>
      <c r="S1378" s="3" t="n">
        <v>0</v>
      </c>
      <c r="T1378" s="3" t="n">
        <v>1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f aca="false">SUM(S1378:T1378)</f>
        <v>1</v>
      </c>
      <c r="Z1378" s="3" t="n">
        <f aca="false">SUM(U1378:W1378)</f>
        <v>0</v>
      </c>
      <c r="AA1378" s="3" t="n">
        <f aca="false">SUM(S1378:X1378)</f>
        <v>1</v>
      </c>
      <c r="AB1378" s="11" t="n">
        <f aca="false">(AA1378/(K1378*L1378)*25)*4</f>
        <v>4</v>
      </c>
    </row>
    <row r="1379" customFormat="false" ht="14.25" hidden="false" customHeight="false" outlineLevel="0" collapsed="false">
      <c r="A1379" s="1" t="n">
        <v>2014</v>
      </c>
      <c r="B1379" s="7" t="s">
        <v>322</v>
      </c>
      <c r="C1379" s="7" t="n">
        <v>3</v>
      </c>
      <c r="D1379" s="7" t="s">
        <v>293</v>
      </c>
      <c r="E1379" s="7" t="s">
        <v>293</v>
      </c>
      <c r="F1379" s="3" t="s">
        <v>26</v>
      </c>
      <c r="G1379" s="3" t="n">
        <v>3</v>
      </c>
      <c r="H1379" s="3" t="n">
        <v>15</v>
      </c>
      <c r="I1379" s="22" t="n">
        <v>41869</v>
      </c>
      <c r="J1379" s="22" t="n">
        <v>41874</v>
      </c>
      <c r="K1379" s="43" t="n">
        <f aca="false">J1379-I1379</f>
        <v>5</v>
      </c>
      <c r="L1379" s="1" t="n">
        <v>5</v>
      </c>
      <c r="M1379" s="3" t="s">
        <v>48</v>
      </c>
      <c r="N1379" s="3" t="s">
        <v>61</v>
      </c>
      <c r="O1379" s="3" t="s">
        <v>82</v>
      </c>
      <c r="P1379" s="2" t="str">
        <f aca="false">CONCATENATE(N1379," ",O1379)</f>
        <v>Trochosa terricola</v>
      </c>
      <c r="Q1379" s="1" t="s">
        <v>30</v>
      </c>
      <c r="R1379" s="1" t="s">
        <v>35</v>
      </c>
      <c r="S1379" s="3" t="n">
        <v>0</v>
      </c>
      <c r="T1379" s="3" t="n">
        <v>1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f aca="false">SUM(S1379:T1379)</f>
        <v>1</v>
      </c>
      <c r="Z1379" s="3" t="n">
        <f aca="false">SUM(U1379:W1379)</f>
        <v>0</v>
      </c>
      <c r="AA1379" s="3" t="n">
        <f aca="false">SUM(S1379:X1379)</f>
        <v>1</v>
      </c>
      <c r="AB1379" s="11" t="n">
        <f aca="false">(AA1379/(K1379*L1379)*25)*4</f>
        <v>4</v>
      </c>
    </row>
    <row r="1380" customFormat="false" ht="14.25" hidden="false" customHeight="false" outlineLevel="0" collapsed="false">
      <c r="A1380" s="1" t="n">
        <v>2014</v>
      </c>
      <c r="B1380" s="7" t="s">
        <v>322</v>
      </c>
      <c r="C1380" s="7" t="n">
        <v>3</v>
      </c>
      <c r="D1380" s="7" t="s">
        <v>293</v>
      </c>
      <c r="E1380" s="7" t="s">
        <v>293</v>
      </c>
      <c r="F1380" s="3" t="s">
        <v>26</v>
      </c>
      <c r="G1380" s="3" t="n">
        <v>1</v>
      </c>
      <c r="H1380" s="3" t="n">
        <v>2</v>
      </c>
      <c r="I1380" s="22" t="n">
        <v>41869</v>
      </c>
      <c r="J1380" s="22" t="n">
        <v>41874</v>
      </c>
      <c r="K1380" s="43" t="n">
        <f aca="false">J1380-I1380</f>
        <v>5</v>
      </c>
      <c r="L1380" s="1" t="n">
        <v>5</v>
      </c>
      <c r="M1380" s="3" t="s">
        <v>41</v>
      </c>
      <c r="N1380" s="3" t="s">
        <v>42</v>
      </c>
      <c r="O1380" s="3" t="s">
        <v>43</v>
      </c>
      <c r="P1380" s="2" t="str">
        <f aca="false">CONCATENATE(N1380," ",O1380)</f>
        <v>Agroeca proxima</v>
      </c>
      <c r="Q1380" s="1" t="s">
        <v>30</v>
      </c>
      <c r="R1380" s="1" t="s">
        <v>31</v>
      </c>
      <c r="S1380" s="3" t="n">
        <v>1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f aca="false">SUM(S1380:T1380)</f>
        <v>1</v>
      </c>
      <c r="Z1380" s="3" t="n">
        <f aca="false">SUM(U1380:W1380)</f>
        <v>0</v>
      </c>
      <c r="AA1380" s="3" t="n">
        <f aca="false">SUM(S1380:X1380)</f>
        <v>1</v>
      </c>
      <c r="AB1380" s="11" t="n">
        <f aca="false">(AA1380/(K1380*L1380)*25)*4</f>
        <v>4</v>
      </c>
    </row>
    <row r="1381" customFormat="false" ht="14.25" hidden="false" customHeight="false" outlineLevel="0" collapsed="false">
      <c r="A1381" s="1" t="n">
        <v>2014</v>
      </c>
      <c r="B1381" s="7" t="s">
        <v>322</v>
      </c>
      <c r="C1381" s="7" t="n">
        <v>3</v>
      </c>
      <c r="D1381" s="7" t="s">
        <v>293</v>
      </c>
      <c r="E1381" s="7" t="s">
        <v>293</v>
      </c>
      <c r="F1381" s="3" t="s">
        <v>26</v>
      </c>
      <c r="G1381" s="3" t="n">
        <v>1</v>
      </c>
      <c r="H1381" s="3" t="n">
        <v>2</v>
      </c>
      <c r="I1381" s="22" t="n">
        <v>41869</v>
      </c>
      <c r="J1381" s="22" t="n">
        <v>41874</v>
      </c>
      <c r="K1381" s="43" t="n">
        <f aca="false">J1381-I1381</f>
        <v>5</v>
      </c>
      <c r="L1381" s="1" t="n">
        <v>5</v>
      </c>
      <c r="M1381" s="3" t="s">
        <v>226</v>
      </c>
      <c r="N1381" s="3" t="s">
        <v>65</v>
      </c>
      <c r="O1381" s="3" t="s">
        <v>335</v>
      </c>
      <c r="P1381" s="2" t="str">
        <f aca="false">CONCATENATE(N1381," ",O1381)</f>
        <v>Zora spinimana</v>
      </c>
      <c r="Q1381" s="1" t="s">
        <v>30</v>
      </c>
      <c r="R1381" s="1" t="s">
        <v>35</v>
      </c>
      <c r="S1381" s="3" t="n">
        <v>0</v>
      </c>
      <c r="T1381" s="3" t="n">
        <v>1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f aca="false">SUM(S1381:T1381)</f>
        <v>1</v>
      </c>
      <c r="Z1381" s="3" t="n">
        <f aca="false">SUM(U1381:W1381)</f>
        <v>0</v>
      </c>
      <c r="AA1381" s="3" t="n">
        <f aca="false">SUM(S1381:X1381)</f>
        <v>1</v>
      </c>
      <c r="AB1381" s="11" t="n">
        <f aca="false">(AA1381/(K1381*L1381)*25)*4</f>
        <v>4</v>
      </c>
    </row>
    <row r="1382" customFormat="false" ht="14.25" hidden="false" customHeight="false" outlineLevel="0" collapsed="false">
      <c r="A1382" s="1" t="n">
        <v>2014</v>
      </c>
      <c r="B1382" s="7" t="s">
        <v>322</v>
      </c>
      <c r="C1382" s="7" t="n">
        <v>3</v>
      </c>
      <c r="D1382" s="7" t="s">
        <v>293</v>
      </c>
      <c r="E1382" s="7" t="s">
        <v>293</v>
      </c>
      <c r="F1382" s="3" t="s">
        <v>26</v>
      </c>
      <c r="G1382" s="3" t="n">
        <v>1</v>
      </c>
      <c r="H1382" s="3" t="n">
        <v>2</v>
      </c>
      <c r="I1382" s="22" t="n">
        <v>41869</v>
      </c>
      <c r="J1382" s="22" t="n">
        <v>41874</v>
      </c>
      <c r="K1382" s="43" t="n">
        <f aca="false">J1382-I1382</f>
        <v>5</v>
      </c>
      <c r="L1382" s="1" t="n">
        <v>5</v>
      </c>
      <c r="M1382" s="3" t="s">
        <v>36</v>
      </c>
      <c r="N1382" s="3" t="s">
        <v>37</v>
      </c>
      <c r="O1382" s="3" t="s">
        <v>75</v>
      </c>
      <c r="P1382" s="2" t="str">
        <f aca="false">CONCATENATE(N1382," ",O1382)</f>
        <v>Ozyptila praticola</v>
      </c>
      <c r="Q1382" s="1" t="s">
        <v>30</v>
      </c>
      <c r="R1382" s="1" t="s">
        <v>31</v>
      </c>
      <c r="S1382" s="3" t="n">
        <v>3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f aca="false">SUM(S1382:T1382)</f>
        <v>3</v>
      </c>
      <c r="Z1382" s="3" t="n">
        <f aca="false">SUM(U1382:W1382)</f>
        <v>0</v>
      </c>
      <c r="AA1382" s="3" t="n">
        <f aca="false">SUM(S1382:X1382)</f>
        <v>3</v>
      </c>
      <c r="AB1382" s="11" t="n">
        <f aca="false">(AA1382/(K1382*L1382)*25)*4</f>
        <v>12</v>
      </c>
    </row>
    <row r="1383" customFormat="false" ht="14.25" hidden="false" customHeight="false" outlineLevel="0" collapsed="false">
      <c r="A1383" s="1" t="n">
        <v>2014</v>
      </c>
      <c r="B1383" s="7" t="s">
        <v>322</v>
      </c>
      <c r="C1383" s="7" t="n">
        <v>3</v>
      </c>
      <c r="D1383" s="7" t="s">
        <v>293</v>
      </c>
      <c r="E1383" s="7" t="s">
        <v>293</v>
      </c>
      <c r="F1383" s="3" t="s">
        <v>26</v>
      </c>
      <c r="G1383" s="3" t="n">
        <v>1</v>
      </c>
      <c r="H1383" s="3" t="n">
        <v>2</v>
      </c>
      <c r="I1383" s="22" t="n">
        <v>41869</v>
      </c>
      <c r="J1383" s="22" t="n">
        <v>41874</v>
      </c>
      <c r="K1383" s="43" t="n">
        <f aca="false">J1383-I1383</f>
        <v>5</v>
      </c>
      <c r="L1383" s="1" t="n">
        <v>5</v>
      </c>
      <c r="M1383" s="3" t="s">
        <v>32</v>
      </c>
      <c r="N1383" s="3" t="s">
        <v>58</v>
      </c>
      <c r="O1383" s="3" t="s">
        <v>59</v>
      </c>
      <c r="P1383" s="2" t="str">
        <f aca="false">CONCATENATE(N1383," ",O1383)</f>
        <v>Allomengea scopigera</v>
      </c>
      <c r="Q1383" s="1" t="s">
        <v>30</v>
      </c>
      <c r="R1383" s="1" t="s">
        <v>31</v>
      </c>
      <c r="S1383" s="3" t="n">
        <v>1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f aca="false">SUM(S1383:T1383)</f>
        <v>1</v>
      </c>
      <c r="Z1383" s="3" t="n">
        <f aca="false">SUM(U1383:W1383)</f>
        <v>0</v>
      </c>
      <c r="AA1383" s="3" t="n">
        <f aca="false">SUM(S1383:X1383)</f>
        <v>1</v>
      </c>
      <c r="AB1383" s="11" t="n">
        <f aca="false">(AA1383/(K1383*L1383)*25)*4</f>
        <v>4</v>
      </c>
    </row>
    <row r="1384" customFormat="false" ht="14.25" hidden="false" customHeight="false" outlineLevel="0" collapsed="false">
      <c r="A1384" s="1" t="n">
        <v>2014</v>
      </c>
      <c r="B1384" s="7" t="s">
        <v>322</v>
      </c>
      <c r="C1384" s="7" t="n">
        <v>3</v>
      </c>
      <c r="D1384" s="7" t="s">
        <v>293</v>
      </c>
      <c r="E1384" s="7" t="s">
        <v>293</v>
      </c>
      <c r="F1384" s="3" t="s">
        <v>26</v>
      </c>
      <c r="G1384" s="3" t="n">
        <v>3</v>
      </c>
      <c r="H1384" s="3" t="n">
        <v>12</v>
      </c>
      <c r="I1384" s="22" t="n">
        <v>41869</v>
      </c>
      <c r="J1384" s="22" t="n">
        <v>41874</v>
      </c>
      <c r="K1384" s="43" t="n">
        <f aca="false">J1384-I1384</f>
        <v>5</v>
      </c>
      <c r="L1384" s="1" t="n">
        <v>5</v>
      </c>
      <c r="M1384" s="3" t="s">
        <v>48</v>
      </c>
      <c r="N1384" s="3" t="s">
        <v>61</v>
      </c>
      <c r="O1384" s="3" t="s">
        <v>82</v>
      </c>
      <c r="P1384" s="2" t="str">
        <f aca="false">CONCATENATE(N1384," ",O1384)</f>
        <v>Trochosa terricola</v>
      </c>
      <c r="Q1384" s="1" t="s">
        <v>30</v>
      </c>
      <c r="R1384" s="1" t="s">
        <v>35</v>
      </c>
      <c r="S1384" s="3" t="n">
        <v>0</v>
      </c>
      <c r="T1384" s="3" t="n">
        <v>1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f aca="false">SUM(S1384:T1384)</f>
        <v>1</v>
      </c>
      <c r="Z1384" s="3" t="n">
        <f aca="false">SUM(U1384:W1384)</f>
        <v>0</v>
      </c>
      <c r="AA1384" s="3" t="n">
        <f aca="false">SUM(S1384:X1384)</f>
        <v>1</v>
      </c>
      <c r="AB1384" s="11" t="n">
        <f aca="false">(AA1384/(K1384*L1384)*25)*4</f>
        <v>4</v>
      </c>
    </row>
    <row r="1385" customFormat="false" ht="14.25" hidden="false" customHeight="false" outlineLevel="0" collapsed="false">
      <c r="A1385" s="1" t="n">
        <v>2014</v>
      </c>
      <c r="B1385" s="7" t="s">
        <v>322</v>
      </c>
      <c r="C1385" s="7" t="n">
        <v>3</v>
      </c>
      <c r="D1385" s="7" t="s">
        <v>293</v>
      </c>
      <c r="E1385" s="7" t="s">
        <v>293</v>
      </c>
      <c r="F1385" s="3" t="s">
        <v>26</v>
      </c>
      <c r="G1385" s="3" t="n">
        <v>3</v>
      </c>
      <c r="H1385" s="3" t="n">
        <v>12</v>
      </c>
      <c r="I1385" s="22" t="n">
        <v>41869</v>
      </c>
      <c r="J1385" s="22" t="n">
        <v>41874</v>
      </c>
      <c r="K1385" s="43" t="n">
        <f aca="false">J1385-I1385</f>
        <v>5</v>
      </c>
      <c r="L1385" s="1" t="n">
        <v>5</v>
      </c>
      <c r="M1385" s="3" t="s">
        <v>72</v>
      </c>
      <c r="N1385" s="3" t="s">
        <v>73</v>
      </c>
      <c r="O1385" s="3" t="s">
        <v>74</v>
      </c>
      <c r="P1385" s="2" t="str">
        <f aca="false">CONCATENATE(N1385," ",O1385)</f>
        <v>Zelotes subterraneus</v>
      </c>
      <c r="Q1385" s="1" t="s">
        <v>30</v>
      </c>
      <c r="R1385" s="1" t="s">
        <v>35</v>
      </c>
      <c r="S1385" s="3" t="n">
        <v>0</v>
      </c>
      <c r="T1385" s="3" t="n">
        <v>1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f aca="false">SUM(S1385:T1385)</f>
        <v>1</v>
      </c>
      <c r="Z1385" s="3" t="n">
        <f aca="false">SUM(U1385:W1385)</f>
        <v>0</v>
      </c>
      <c r="AA1385" s="3" t="n">
        <f aca="false">SUM(S1385:X1385)</f>
        <v>1</v>
      </c>
      <c r="AB1385" s="11" t="n">
        <f aca="false">(AA1385/(K1385*L1385)*25)*4</f>
        <v>4</v>
      </c>
    </row>
    <row r="1386" customFormat="false" ht="14.25" hidden="false" customHeight="false" outlineLevel="0" collapsed="false">
      <c r="A1386" s="1" t="n">
        <v>2014</v>
      </c>
      <c r="B1386" s="7" t="s">
        <v>322</v>
      </c>
      <c r="C1386" s="7" t="n">
        <v>3</v>
      </c>
      <c r="D1386" s="7" t="s">
        <v>293</v>
      </c>
      <c r="E1386" s="7" t="s">
        <v>293</v>
      </c>
      <c r="F1386" s="3" t="s">
        <v>26</v>
      </c>
      <c r="G1386" s="3" t="n">
        <v>3</v>
      </c>
      <c r="H1386" s="3" t="n">
        <v>12</v>
      </c>
      <c r="I1386" s="22" t="n">
        <v>41869</v>
      </c>
      <c r="J1386" s="22" t="n">
        <v>41874</v>
      </c>
      <c r="K1386" s="43" t="n">
        <f aca="false">J1386-I1386</f>
        <v>5</v>
      </c>
      <c r="L1386" s="1" t="n">
        <v>5</v>
      </c>
      <c r="M1386" s="3" t="s">
        <v>36</v>
      </c>
      <c r="N1386" s="3" t="s">
        <v>37</v>
      </c>
      <c r="O1386" s="3" t="s">
        <v>75</v>
      </c>
      <c r="P1386" s="2" t="str">
        <f aca="false">CONCATENATE(N1386," ",O1386)</f>
        <v>Ozyptila praticola</v>
      </c>
      <c r="Q1386" s="1" t="s">
        <v>30</v>
      </c>
      <c r="R1386" s="1" t="s">
        <v>31</v>
      </c>
      <c r="S1386" s="3" t="n">
        <v>1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f aca="false">SUM(S1386:T1386)</f>
        <v>1</v>
      </c>
      <c r="Z1386" s="3" t="n">
        <f aca="false">SUM(U1386:W1386)</f>
        <v>0</v>
      </c>
      <c r="AA1386" s="3" t="n">
        <f aca="false">SUM(S1386:X1386)</f>
        <v>1</v>
      </c>
      <c r="AB1386" s="11" t="n">
        <f aca="false">(AA1386/(K1386*L1386)*25)*4</f>
        <v>4</v>
      </c>
    </row>
    <row r="1387" customFormat="false" ht="14.25" hidden="false" customHeight="false" outlineLevel="0" collapsed="false">
      <c r="A1387" s="1" t="n">
        <v>2014</v>
      </c>
      <c r="B1387" s="7" t="s">
        <v>322</v>
      </c>
      <c r="C1387" s="7" t="n">
        <v>3</v>
      </c>
      <c r="D1387" s="7" t="s">
        <v>293</v>
      </c>
      <c r="E1387" s="7" t="s">
        <v>293</v>
      </c>
      <c r="F1387" s="3" t="s">
        <v>26</v>
      </c>
      <c r="G1387" s="3" t="n">
        <v>3</v>
      </c>
      <c r="H1387" s="3" t="n">
        <v>12</v>
      </c>
      <c r="I1387" s="22" t="n">
        <v>41869</v>
      </c>
      <c r="J1387" s="22" t="n">
        <v>41874</v>
      </c>
      <c r="K1387" s="43" t="n">
        <f aca="false">J1387-I1387</f>
        <v>5</v>
      </c>
      <c r="L1387" s="1" t="n">
        <v>5</v>
      </c>
      <c r="M1387" s="3" t="s">
        <v>36</v>
      </c>
      <c r="N1387" s="3" t="s">
        <v>37</v>
      </c>
      <c r="O1387" s="3" t="s">
        <v>75</v>
      </c>
      <c r="P1387" s="2" t="str">
        <f aca="false">CONCATENATE(N1387," ",O1387)</f>
        <v>Ozyptila praticola</v>
      </c>
      <c r="Q1387" s="1" t="s">
        <v>30</v>
      </c>
      <c r="R1387" s="1" t="s">
        <v>35</v>
      </c>
      <c r="S1387" s="3" t="n">
        <v>0</v>
      </c>
      <c r="T1387" s="3" t="n">
        <v>1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f aca="false">SUM(S1387:T1387)</f>
        <v>1</v>
      </c>
      <c r="Z1387" s="3" t="n">
        <f aca="false">SUM(U1387:W1387)</f>
        <v>0</v>
      </c>
      <c r="AA1387" s="3" t="n">
        <f aca="false">SUM(S1387:X1387)</f>
        <v>1</v>
      </c>
      <c r="AB1387" s="11" t="n">
        <f aca="false">(AA1387/(K1387*L1387)*25)*4</f>
        <v>4</v>
      </c>
    </row>
    <row r="1388" customFormat="false" ht="14.25" hidden="false" customHeight="false" outlineLevel="0" collapsed="false">
      <c r="A1388" s="1" t="n">
        <v>2014</v>
      </c>
      <c r="B1388" s="7" t="s">
        <v>322</v>
      </c>
      <c r="C1388" s="7" t="n">
        <v>3</v>
      </c>
      <c r="D1388" s="7" t="s">
        <v>293</v>
      </c>
      <c r="E1388" s="7" t="s">
        <v>293</v>
      </c>
      <c r="F1388" s="3" t="s">
        <v>26</v>
      </c>
      <c r="G1388" s="3" t="n">
        <v>3</v>
      </c>
      <c r="H1388" s="3" t="n">
        <v>12</v>
      </c>
      <c r="I1388" s="22" t="n">
        <v>41869</v>
      </c>
      <c r="J1388" s="22" t="n">
        <v>41874</v>
      </c>
      <c r="K1388" s="43" t="n">
        <f aca="false">J1388-I1388</f>
        <v>5</v>
      </c>
      <c r="L1388" s="1" t="n">
        <v>5</v>
      </c>
      <c r="M1388" s="3" t="s">
        <v>32</v>
      </c>
      <c r="N1388" s="3" t="s">
        <v>84</v>
      </c>
      <c r="O1388" s="3" t="s">
        <v>85</v>
      </c>
      <c r="P1388" s="2" t="str">
        <f aca="false">CONCATENATE(N1388," ",O1388)</f>
        <v>Walckenaeria antica</v>
      </c>
      <c r="Q1388" s="1" t="s">
        <v>30</v>
      </c>
      <c r="R1388" s="1" t="s">
        <v>35</v>
      </c>
      <c r="S1388" s="3" t="n">
        <v>0</v>
      </c>
      <c r="T1388" s="3" t="n">
        <v>1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f aca="false">SUM(S1388:T1388)</f>
        <v>1</v>
      </c>
      <c r="Z1388" s="3" t="n">
        <f aca="false">SUM(U1388:W1388)</f>
        <v>0</v>
      </c>
      <c r="AA1388" s="3" t="n">
        <f aca="false">SUM(S1388:X1388)</f>
        <v>1</v>
      </c>
      <c r="AB1388" s="11" t="n">
        <f aca="false">(AA1388/(K1388*L1388)*25)*4</f>
        <v>4</v>
      </c>
    </row>
    <row r="1389" customFormat="false" ht="14.25" hidden="false" customHeight="false" outlineLevel="0" collapsed="false">
      <c r="A1389" s="1" t="n">
        <v>2014</v>
      </c>
      <c r="B1389" s="7" t="s">
        <v>322</v>
      </c>
      <c r="C1389" s="7" t="n">
        <v>3</v>
      </c>
      <c r="D1389" s="7" t="s">
        <v>293</v>
      </c>
      <c r="E1389" s="7" t="s">
        <v>293</v>
      </c>
      <c r="F1389" s="3" t="s">
        <v>26</v>
      </c>
      <c r="G1389" s="3" t="n">
        <v>1</v>
      </c>
      <c r="H1389" s="3" t="n">
        <v>4</v>
      </c>
      <c r="I1389" s="22" t="n">
        <v>41869</v>
      </c>
      <c r="J1389" s="22" t="n">
        <v>41874</v>
      </c>
      <c r="K1389" s="43" t="n">
        <f aca="false">J1389-I1389</f>
        <v>5</v>
      </c>
      <c r="L1389" s="1" t="n">
        <v>5</v>
      </c>
      <c r="M1389" s="3" t="s">
        <v>48</v>
      </c>
      <c r="N1389" s="3" t="s">
        <v>61</v>
      </c>
      <c r="O1389" s="3" t="s">
        <v>82</v>
      </c>
      <c r="P1389" s="2" t="str">
        <f aca="false">CONCATENATE(N1389," ",O1389)</f>
        <v>Trochosa terricola</v>
      </c>
      <c r="Q1389" s="1" t="s">
        <v>30</v>
      </c>
      <c r="R1389" s="1" t="s">
        <v>31</v>
      </c>
      <c r="S1389" s="3" t="n">
        <v>2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f aca="false">SUM(S1389:T1389)</f>
        <v>2</v>
      </c>
      <c r="Z1389" s="3" t="n">
        <f aca="false">SUM(U1389:W1389)</f>
        <v>0</v>
      </c>
      <c r="AA1389" s="3" t="n">
        <f aca="false">SUM(S1389:X1389)</f>
        <v>2</v>
      </c>
      <c r="AB1389" s="11" t="n">
        <f aca="false">(AA1389/(K1389*L1389)*25)*4</f>
        <v>8</v>
      </c>
    </row>
    <row r="1390" customFormat="false" ht="14.25" hidden="false" customHeight="false" outlineLevel="0" collapsed="false">
      <c r="A1390" s="1" t="n">
        <v>2014</v>
      </c>
      <c r="B1390" s="7" t="s">
        <v>322</v>
      </c>
      <c r="C1390" s="7" t="n">
        <v>3</v>
      </c>
      <c r="D1390" s="7" t="s">
        <v>293</v>
      </c>
      <c r="E1390" s="7" t="s">
        <v>293</v>
      </c>
      <c r="F1390" s="3" t="s">
        <v>26</v>
      </c>
      <c r="G1390" s="3" t="n">
        <v>1</v>
      </c>
      <c r="H1390" s="3" t="n">
        <v>4</v>
      </c>
      <c r="I1390" s="22" t="n">
        <v>41869</v>
      </c>
      <c r="J1390" s="22" t="n">
        <v>41874</v>
      </c>
      <c r="K1390" s="43" t="n">
        <f aca="false">J1390-I1390</f>
        <v>5</v>
      </c>
      <c r="L1390" s="1" t="n">
        <v>5</v>
      </c>
      <c r="M1390" s="3" t="s">
        <v>32</v>
      </c>
      <c r="N1390" s="3" t="s">
        <v>39</v>
      </c>
      <c r="O1390" s="3" t="s">
        <v>40</v>
      </c>
      <c r="P1390" s="2" t="str">
        <f aca="false">CONCATENATE(N1390," ",O1390)</f>
        <v>Helophora insignis</v>
      </c>
      <c r="Q1390" s="1" t="s">
        <v>30</v>
      </c>
      <c r="R1390" s="1" t="s">
        <v>31</v>
      </c>
      <c r="S1390" s="3" t="n">
        <v>1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f aca="false">SUM(S1390:T1390)</f>
        <v>1</v>
      </c>
      <c r="Z1390" s="3" t="n">
        <f aca="false">SUM(U1390:W1390)</f>
        <v>0</v>
      </c>
      <c r="AA1390" s="3" t="n">
        <f aca="false">SUM(S1390:X1390)</f>
        <v>1</v>
      </c>
      <c r="AB1390" s="11" t="n">
        <f aca="false">(AA1390/(K1390*L1390)*25)*4</f>
        <v>4</v>
      </c>
    </row>
    <row r="1391" customFormat="false" ht="14.25" hidden="false" customHeight="false" outlineLevel="0" collapsed="false">
      <c r="A1391" s="1" t="n">
        <v>2014</v>
      </c>
      <c r="B1391" s="7" t="s">
        <v>322</v>
      </c>
      <c r="C1391" s="7" t="n">
        <v>3</v>
      </c>
      <c r="D1391" s="7" t="s">
        <v>293</v>
      </c>
      <c r="E1391" s="7" t="s">
        <v>293</v>
      </c>
      <c r="F1391" s="3" t="s">
        <v>26</v>
      </c>
      <c r="G1391" s="3" t="n">
        <v>3</v>
      </c>
      <c r="H1391" s="3" t="n">
        <v>11</v>
      </c>
      <c r="I1391" s="22" t="n">
        <v>41869</v>
      </c>
      <c r="J1391" s="22" t="n">
        <v>41874</v>
      </c>
      <c r="K1391" s="43" t="n">
        <f aca="false">J1391-I1391</f>
        <v>5</v>
      </c>
      <c r="L1391" s="1" t="n">
        <v>5</v>
      </c>
      <c r="M1391" s="3" t="s">
        <v>48</v>
      </c>
      <c r="N1391" s="3" t="s">
        <v>61</v>
      </c>
      <c r="O1391" s="3" t="s">
        <v>82</v>
      </c>
      <c r="P1391" s="2" t="str">
        <f aca="false">CONCATENATE(N1391," ",O1391)</f>
        <v>Trochosa terricola</v>
      </c>
      <c r="Q1391" s="1" t="s">
        <v>30</v>
      </c>
      <c r="R1391" s="1" t="s">
        <v>35</v>
      </c>
      <c r="S1391" s="3" t="n">
        <v>0</v>
      </c>
      <c r="T1391" s="3" t="n">
        <v>1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f aca="false">SUM(S1391:T1391)</f>
        <v>1</v>
      </c>
      <c r="Z1391" s="3" t="n">
        <f aca="false">SUM(U1391:W1391)</f>
        <v>0</v>
      </c>
      <c r="AA1391" s="3" t="n">
        <f aca="false">SUM(S1391:X1391)</f>
        <v>1</v>
      </c>
      <c r="AB1391" s="11" t="n">
        <f aca="false">(AA1391/(K1391*L1391)*25)*4</f>
        <v>4</v>
      </c>
    </row>
    <row r="1392" customFormat="false" ht="14.25" hidden="false" customHeight="false" outlineLevel="0" collapsed="false">
      <c r="A1392" s="1" t="n">
        <v>2014</v>
      </c>
      <c r="B1392" s="7" t="s">
        <v>322</v>
      </c>
      <c r="C1392" s="7" t="n">
        <v>3</v>
      </c>
      <c r="D1392" s="7" t="s">
        <v>293</v>
      </c>
      <c r="E1392" s="7" t="s">
        <v>293</v>
      </c>
      <c r="F1392" s="3" t="s">
        <v>26</v>
      </c>
      <c r="G1392" s="3" t="n">
        <v>3</v>
      </c>
      <c r="H1392" s="3" t="n">
        <v>11</v>
      </c>
      <c r="I1392" s="22" t="n">
        <v>41869</v>
      </c>
      <c r="J1392" s="22" t="n">
        <v>41874</v>
      </c>
      <c r="K1392" s="43" t="n">
        <f aca="false">J1392-I1392</f>
        <v>5</v>
      </c>
      <c r="L1392" s="1" t="n">
        <v>5</v>
      </c>
      <c r="M1392" s="3" t="s">
        <v>41</v>
      </c>
      <c r="N1392" s="3" t="s">
        <v>42</v>
      </c>
      <c r="O1392" s="3" t="s">
        <v>43</v>
      </c>
      <c r="P1392" s="2" t="str">
        <f aca="false">CONCATENATE(N1392," ",O1392)</f>
        <v>Agroeca proxima</v>
      </c>
      <c r="Q1392" s="1" t="s">
        <v>30</v>
      </c>
      <c r="R1392" s="1" t="s">
        <v>31</v>
      </c>
      <c r="S1392" s="3" t="n">
        <v>3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f aca="false">SUM(S1392:T1392)</f>
        <v>3</v>
      </c>
      <c r="Z1392" s="3" t="n">
        <f aca="false">SUM(U1392:W1392)</f>
        <v>0</v>
      </c>
      <c r="AA1392" s="3" t="n">
        <f aca="false">SUM(S1392:X1392)</f>
        <v>3</v>
      </c>
      <c r="AB1392" s="11" t="n">
        <f aca="false">(AA1392/(K1392*L1392)*25)*4</f>
        <v>12</v>
      </c>
    </row>
    <row r="1393" customFormat="false" ht="14.25" hidden="false" customHeight="false" outlineLevel="0" collapsed="false">
      <c r="A1393" s="1" t="n">
        <v>2014</v>
      </c>
      <c r="B1393" s="7" t="s">
        <v>322</v>
      </c>
      <c r="C1393" s="7" t="n">
        <v>3</v>
      </c>
      <c r="D1393" s="7" t="s">
        <v>293</v>
      </c>
      <c r="E1393" s="7" t="s">
        <v>293</v>
      </c>
      <c r="F1393" s="3" t="s">
        <v>26</v>
      </c>
      <c r="G1393" s="3" t="n">
        <v>3</v>
      </c>
      <c r="H1393" s="3" t="n">
        <v>11</v>
      </c>
      <c r="I1393" s="22" t="n">
        <v>41869</v>
      </c>
      <c r="J1393" s="22" t="n">
        <v>41874</v>
      </c>
      <c r="K1393" s="43" t="n">
        <f aca="false">J1393-I1393</f>
        <v>5</v>
      </c>
      <c r="L1393" s="1" t="n">
        <v>5</v>
      </c>
      <c r="M1393" s="3" t="s">
        <v>36</v>
      </c>
      <c r="N1393" s="3" t="s">
        <v>37</v>
      </c>
      <c r="O1393" s="3" t="s">
        <v>75</v>
      </c>
      <c r="P1393" s="2" t="str">
        <f aca="false">CONCATENATE(N1393," ",O1393)</f>
        <v>Ozyptila praticola</v>
      </c>
      <c r="Q1393" s="1" t="s">
        <v>30</v>
      </c>
      <c r="R1393" s="1" t="s">
        <v>31</v>
      </c>
      <c r="S1393" s="3" t="n">
        <v>1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f aca="false">SUM(S1393:T1393)</f>
        <v>1</v>
      </c>
      <c r="Z1393" s="3" t="n">
        <f aca="false">SUM(U1393:W1393)</f>
        <v>0</v>
      </c>
      <c r="AA1393" s="3" t="n">
        <f aca="false">SUM(S1393:X1393)</f>
        <v>1</v>
      </c>
      <c r="AB1393" s="11" t="n">
        <f aca="false">(AA1393/(K1393*L1393)*25)*4</f>
        <v>4</v>
      </c>
    </row>
    <row r="1394" customFormat="false" ht="14.25" hidden="false" customHeight="false" outlineLevel="0" collapsed="false">
      <c r="A1394" s="1" t="n">
        <v>2014</v>
      </c>
      <c r="B1394" s="7" t="s">
        <v>322</v>
      </c>
      <c r="C1394" s="7" t="n">
        <v>3</v>
      </c>
      <c r="D1394" s="7" t="s">
        <v>293</v>
      </c>
      <c r="E1394" s="7" t="s">
        <v>293</v>
      </c>
      <c r="F1394" s="3" t="s">
        <v>26</v>
      </c>
      <c r="G1394" s="3" t="n">
        <v>2</v>
      </c>
      <c r="H1394" s="3" t="n">
        <v>8</v>
      </c>
      <c r="I1394" s="22" t="n">
        <v>41869</v>
      </c>
      <c r="J1394" s="22" t="n">
        <v>41874</v>
      </c>
      <c r="K1394" s="43" t="n">
        <f aca="false">J1394-I1394</f>
        <v>5</v>
      </c>
      <c r="L1394" s="1" t="n">
        <v>5</v>
      </c>
      <c r="M1394" s="3" t="s">
        <v>48</v>
      </c>
      <c r="N1394" s="3" t="s">
        <v>61</v>
      </c>
      <c r="O1394" s="3" t="s">
        <v>82</v>
      </c>
      <c r="P1394" s="2" t="str">
        <f aca="false">CONCATENATE(N1394," ",O1394)</f>
        <v>Trochosa terricola</v>
      </c>
      <c r="Q1394" s="1" t="s">
        <v>30</v>
      </c>
      <c r="R1394" s="1" t="s">
        <v>31</v>
      </c>
      <c r="S1394" s="3" t="n">
        <v>1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f aca="false">SUM(S1394:T1394)</f>
        <v>1</v>
      </c>
      <c r="Z1394" s="3" t="n">
        <f aca="false">SUM(U1394:W1394)</f>
        <v>0</v>
      </c>
      <c r="AA1394" s="3" t="n">
        <f aca="false">SUM(S1394:X1394)</f>
        <v>1</v>
      </c>
      <c r="AB1394" s="11" t="n">
        <f aca="false">(AA1394/(K1394*L1394)*25)*4</f>
        <v>4</v>
      </c>
    </row>
    <row r="1395" customFormat="false" ht="14.25" hidden="false" customHeight="false" outlineLevel="0" collapsed="false">
      <c r="A1395" s="1" t="n">
        <v>2014</v>
      </c>
      <c r="B1395" s="7" t="s">
        <v>322</v>
      </c>
      <c r="C1395" s="7" t="n">
        <v>3</v>
      </c>
      <c r="D1395" s="7" t="s">
        <v>293</v>
      </c>
      <c r="E1395" s="7" t="s">
        <v>293</v>
      </c>
      <c r="F1395" s="3" t="s">
        <v>26</v>
      </c>
      <c r="G1395" s="3" t="n">
        <v>2</v>
      </c>
      <c r="H1395" s="3" t="n">
        <v>8</v>
      </c>
      <c r="I1395" s="22" t="n">
        <v>41869</v>
      </c>
      <c r="J1395" s="22" t="n">
        <v>41874</v>
      </c>
      <c r="K1395" s="43" t="n">
        <f aca="false">J1395-I1395</f>
        <v>5</v>
      </c>
      <c r="L1395" s="1" t="n">
        <v>5</v>
      </c>
      <c r="M1395" s="3" t="s">
        <v>36</v>
      </c>
      <c r="N1395" s="3" t="s">
        <v>37</v>
      </c>
      <c r="O1395" s="3" t="s">
        <v>75</v>
      </c>
      <c r="P1395" s="2" t="str">
        <f aca="false">CONCATENATE(N1395," ",O1395)</f>
        <v>Ozyptila praticola</v>
      </c>
      <c r="Q1395" s="1" t="s">
        <v>30</v>
      </c>
      <c r="R1395" s="1" t="s">
        <v>31</v>
      </c>
      <c r="S1395" s="3" t="n">
        <v>5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f aca="false">SUM(S1395:T1395)</f>
        <v>5</v>
      </c>
      <c r="Z1395" s="3" t="n">
        <f aca="false">SUM(U1395:W1395)</f>
        <v>0</v>
      </c>
      <c r="AA1395" s="3" t="n">
        <f aca="false">SUM(S1395:X1395)</f>
        <v>5</v>
      </c>
      <c r="AB1395" s="11" t="n">
        <f aca="false">(AA1395/(K1395*L1395)*25)*4</f>
        <v>20</v>
      </c>
    </row>
    <row r="1396" customFormat="false" ht="14.25" hidden="false" customHeight="false" outlineLevel="0" collapsed="false">
      <c r="A1396" s="1" t="n">
        <v>2014</v>
      </c>
      <c r="B1396" s="7" t="s">
        <v>322</v>
      </c>
      <c r="C1396" s="7" t="n">
        <v>3</v>
      </c>
      <c r="D1396" s="7" t="s">
        <v>293</v>
      </c>
      <c r="E1396" s="7" t="s">
        <v>293</v>
      </c>
      <c r="F1396" s="3" t="s">
        <v>26</v>
      </c>
      <c r="G1396" s="3" t="n">
        <v>2</v>
      </c>
      <c r="H1396" s="3" t="n">
        <v>9</v>
      </c>
      <c r="I1396" s="22" t="n">
        <v>41869</v>
      </c>
      <c r="J1396" s="22" t="n">
        <v>41874</v>
      </c>
      <c r="K1396" s="43" t="n">
        <f aca="false">J1396-I1396</f>
        <v>5</v>
      </c>
      <c r="L1396" s="1" t="n">
        <v>5</v>
      </c>
      <c r="M1396" s="3" t="s">
        <v>41</v>
      </c>
      <c r="N1396" s="3" t="s">
        <v>42</v>
      </c>
      <c r="O1396" s="3" t="s">
        <v>43</v>
      </c>
      <c r="P1396" s="2" t="str">
        <f aca="false">CONCATENATE(N1396," ",O1396)</f>
        <v>Agroeca proxima</v>
      </c>
      <c r="Q1396" s="1" t="s">
        <v>30</v>
      </c>
      <c r="R1396" s="1" t="s">
        <v>31</v>
      </c>
      <c r="S1396" s="3" t="n">
        <v>1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f aca="false">SUM(S1396:T1396)</f>
        <v>1</v>
      </c>
      <c r="Z1396" s="3" t="n">
        <f aca="false">SUM(U1396:W1396)</f>
        <v>0</v>
      </c>
      <c r="AA1396" s="3" t="n">
        <f aca="false">SUM(S1396:X1396)</f>
        <v>1</v>
      </c>
      <c r="AB1396" s="11" t="n">
        <f aca="false">(AA1396/(K1396*L1396)*25)*4</f>
        <v>4</v>
      </c>
    </row>
    <row r="1397" customFormat="false" ht="14.25" hidden="false" customHeight="false" outlineLevel="0" collapsed="false">
      <c r="A1397" s="1" t="n">
        <v>2014</v>
      </c>
      <c r="B1397" s="7" t="s">
        <v>322</v>
      </c>
      <c r="C1397" s="7" t="n">
        <v>3</v>
      </c>
      <c r="D1397" s="7" t="s">
        <v>293</v>
      </c>
      <c r="E1397" s="7" t="s">
        <v>293</v>
      </c>
      <c r="F1397" s="3" t="s">
        <v>26</v>
      </c>
      <c r="G1397" s="3" t="n">
        <v>2</v>
      </c>
      <c r="H1397" s="3" t="n">
        <v>9</v>
      </c>
      <c r="I1397" s="22" t="n">
        <v>41869</v>
      </c>
      <c r="J1397" s="22" t="n">
        <v>41874</v>
      </c>
      <c r="K1397" s="43" t="n">
        <f aca="false">J1397-I1397</f>
        <v>5</v>
      </c>
      <c r="L1397" s="1" t="n">
        <v>5</v>
      </c>
      <c r="M1397" s="3" t="s">
        <v>36</v>
      </c>
      <c r="N1397" s="3" t="s">
        <v>37</v>
      </c>
      <c r="O1397" s="3" t="s">
        <v>75</v>
      </c>
      <c r="P1397" s="2" t="str">
        <f aca="false">CONCATENATE(N1397," ",O1397)</f>
        <v>Ozyptila praticola</v>
      </c>
      <c r="Q1397" s="1" t="s">
        <v>30</v>
      </c>
      <c r="R1397" s="1" t="s">
        <v>31</v>
      </c>
      <c r="S1397" s="3" t="n">
        <v>1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f aca="false">SUM(S1397:T1397)</f>
        <v>1</v>
      </c>
      <c r="Z1397" s="3" t="n">
        <f aca="false">SUM(U1397:W1397)</f>
        <v>0</v>
      </c>
      <c r="AA1397" s="3" t="n">
        <f aca="false">SUM(S1397:X1397)</f>
        <v>1</v>
      </c>
      <c r="AB1397" s="11" t="n">
        <f aca="false">(AA1397/(K1397*L1397)*25)*4</f>
        <v>4</v>
      </c>
    </row>
    <row r="1398" customFormat="false" ht="14.25" hidden="false" customHeight="false" outlineLevel="0" collapsed="false">
      <c r="A1398" s="1" t="n">
        <v>2014</v>
      </c>
      <c r="B1398" s="7" t="s">
        <v>322</v>
      </c>
      <c r="C1398" s="7" t="n">
        <v>3</v>
      </c>
      <c r="D1398" s="7" t="s">
        <v>293</v>
      </c>
      <c r="E1398" s="7" t="s">
        <v>293</v>
      </c>
      <c r="F1398" s="3" t="s">
        <v>26</v>
      </c>
      <c r="G1398" s="3" t="n">
        <v>2</v>
      </c>
      <c r="H1398" s="3" t="n">
        <v>10</v>
      </c>
      <c r="I1398" s="22" t="n">
        <v>41869</v>
      </c>
      <c r="J1398" s="22" t="n">
        <v>41874</v>
      </c>
      <c r="K1398" s="43" t="n">
        <f aca="false">J1398-I1398</f>
        <v>5</v>
      </c>
      <c r="L1398" s="1" t="n">
        <v>5</v>
      </c>
      <c r="M1398" s="3" t="s">
        <v>48</v>
      </c>
      <c r="N1398" s="3" t="s">
        <v>61</v>
      </c>
      <c r="O1398" s="3" t="s">
        <v>82</v>
      </c>
      <c r="P1398" s="2" t="str">
        <f aca="false">CONCATENATE(N1398," ",O1398)</f>
        <v>Trochosa terricola</v>
      </c>
      <c r="Q1398" s="1" t="s">
        <v>30</v>
      </c>
      <c r="R1398" s="1" t="s">
        <v>31</v>
      </c>
      <c r="S1398" s="3" t="n">
        <v>1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f aca="false">SUM(S1398:T1398)</f>
        <v>1</v>
      </c>
      <c r="Z1398" s="3" t="n">
        <f aca="false">SUM(U1398:W1398)</f>
        <v>0</v>
      </c>
      <c r="AA1398" s="3" t="n">
        <f aca="false">SUM(S1398:X1398)</f>
        <v>1</v>
      </c>
      <c r="AB1398" s="11" t="n">
        <f aca="false">(AA1398/(K1398*L1398)*25)*4</f>
        <v>4</v>
      </c>
    </row>
    <row r="1399" customFormat="false" ht="14.25" hidden="false" customHeight="false" outlineLevel="0" collapsed="false">
      <c r="A1399" s="1" t="n">
        <v>2014</v>
      </c>
      <c r="B1399" s="7" t="s">
        <v>322</v>
      </c>
      <c r="C1399" s="7" t="n">
        <v>3</v>
      </c>
      <c r="D1399" s="7" t="s">
        <v>293</v>
      </c>
      <c r="E1399" s="7" t="s">
        <v>293</v>
      </c>
      <c r="F1399" s="3" t="s">
        <v>26</v>
      </c>
      <c r="G1399" s="3" t="n">
        <v>2</v>
      </c>
      <c r="H1399" s="3" t="n">
        <v>10</v>
      </c>
      <c r="I1399" s="22" t="n">
        <v>41869</v>
      </c>
      <c r="J1399" s="22" t="n">
        <v>41874</v>
      </c>
      <c r="K1399" s="43" t="n">
        <f aca="false">J1399-I1399</f>
        <v>5</v>
      </c>
      <c r="L1399" s="1" t="n">
        <v>5</v>
      </c>
      <c r="M1399" s="3" t="s">
        <v>36</v>
      </c>
      <c r="N1399" s="3" t="s">
        <v>37</v>
      </c>
      <c r="O1399" s="3" t="s">
        <v>75</v>
      </c>
      <c r="P1399" s="2" t="str">
        <f aca="false">CONCATENATE(N1399," ",O1399)</f>
        <v>Ozyptila praticola</v>
      </c>
      <c r="Q1399" s="1" t="s">
        <v>30</v>
      </c>
      <c r="R1399" s="1" t="s">
        <v>31</v>
      </c>
      <c r="S1399" s="3" t="n">
        <v>2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f aca="false">SUM(S1399:T1399)</f>
        <v>2</v>
      </c>
      <c r="Z1399" s="3" t="n">
        <f aca="false">SUM(U1399:W1399)</f>
        <v>0</v>
      </c>
      <c r="AA1399" s="3" t="n">
        <f aca="false">SUM(S1399:X1399)</f>
        <v>2</v>
      </c>
      <c r="AB1399" s="11" t="n">
        <f aca="false">(AA1399/(K1399*L1399)*25)*4</f>
        <v>8</v>
      </c>
    </row>
    <row r="1400" customFormat="false" ht="14.25" hidden="false" customHeight="false" outlineLevel="0" collapsed="false">
      <c r="A1400" s="1" t="n">
        <v>2014</v>
      </c>
      <c r="B1400" s="7" t="s">
        <v>322</v>
      </c>
      <c r="C1400" s="7" t="n">
        <v>3</v>
      </c>
      <c r="D1400" s="7" t="s">
        <v>293</v>
      </c>
      <c r="E1400" s="7" t="s">
        <v>293</v>
      </c>
      <c r="F1400" s="3" t="s">
        <v>26</v>
      </c>
      <c r="G1400" s="3" t="n">
        <v>2</v>
      </c>
      <c r="H1400" s="3" t="n">
        <v>10</v>
      </c>
      <c r="I1400" s="22" t="n">
        <v>41869</v>
      </c>
      <c r="J1400" s="22" t="n">
        <v>41874</v>
      </c>
      <c r="K1400" s="43" t="n">
        <f aca="false">J1400-I1400</f>
        <v>5</v>
      </c>
      <c r="L1400" s="1" t="n">
        <v>5</v>
      </c>
      <c r="M1400" s="3" t="s">
        <v>27</v>
      </c>
      <c r="N1400" s="3" t="s">
        <v>28</v>
      </c>
      <c r="O1400" s="3" t="s">
        <v>29</v>
      </c>
      <c r="P1400" s="2" t="str">
        <f aca="false">CONCATENATE(N1400," ",O1400)</f>
        <v>Robertus lividus</v>
      </c>
      <c r="Q1400" s="1" t="s">
        <v>30</v>
      </c>
      <c r="R1400" s="1" t="s">
        <v>31</v>
      </c>
      <c r="S1400" s="3" t="n">
        <v>1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f aca="false">SUM(S1400:T1400)</f>
        <v>1</v>
      </c>
      <c r="Z1400" s="3" t="n">
        <f aca="false">SUM(U1400:W1400)</f>
        <v>0</v>
      </c>
      <c r="AA1400" s="3" t="n">
        <f aca="false">SUM(S1400:X1400)</f>
        <v>1</v>
      </c>
      <c r="AB1400" s="11" t="n">
        <f aca="false">(AA1400/(K1400*L1400)*25)*4</f>
        <v>4</v>
      </c>
    </row>
    <row r="1401" customFormat="false" ht="14.25" hidden="false" customHeight="false" outlineLevel="0" collapsed="false">
      <c r="A1401" s="1" t="n">
        <v>2014</v>
      </c>
      <c r="B1401" s="7" t="s">
        <v>322</v>
      </c>
      <c r="C1401" s="7" t="n">
        <v>3</v>
      </c>
      <c r="D1401" s="7" t="s">
        <v>293</v>
      </c>
      <c r="E1401" s="7" t="s">
        <v>293</v>
      </c>
      <c r="F1401" s="3" t="s">
        <v>26</v>
      </c>
      <c r="G1401" s="3" t="n">
        <v>3</v>
      </c>
      <c r="H1401" s="3" t="n">
        <v>13</v>
      </c>
      <c r="I1401" s="22" t="n">
        <v>41869</v>
      </c>
      <c r="J1401" s="22" t="n">
        <v>41874</v>
      </c>
      <c r="K1401" s="43" t="n">
        <f aca="false">J1401-I1401</f>
        <v>5</v>
      </c>
      <c r="L1401" s="1" t="n">
        <v>5</v>
      </c>
      <c r="M1401" s="3" t="s">
        <v>48</v>
      </c>
      <c r="N1401" s="3" t="s">
        <v>61</v>
      </c>
      <c r="O1401" s="3" t="s">
        <v>82</v>
      </c>
      <c r="P1401" s="2" t="str">
        <f aca="false">CONCATENATE(N1401," ",O1401)</f>
        <v>Trochosa terricola</v>
      </c>
      <c r="Q1401" s="1" t="s">
        <v>30</v>
      </c>
      <c r="R1401" s="1" t="s">
        <v>31</v>
      </c>
      <c r="S1401" s="3" t="n">
        <v>1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f aca="false">SUM(S1401:T1401)</f>
        <v>1</v>
      </c>
      <c r="Z1401" s="3" t="n">
        <f aca="false">SUM(U1401:W1401)</f>
        <v>0</v>
      </c>
      <c r="AA1401" s="3" t="n">
        <f aca="false">SUM(S1401:X1401)</f>
        <v>1</v>
      </c>
      <c r="AB1401" s="11" t="n">
        <f aca="false">(AA1401/(K1401*L1401)*25)*4</f>
        <v>4</v>
      </c>
    </row>
    <row r="1402" customFormat="false" ht="14.25" hidden="false" customHeight="false" outlineLevel="0" collapsed="false">
      <c r="A1402" s="1" t="n">
        <v>2014</v>
      </c>
      <c r="B1402" s="7" t="s">
        <v>322</v>
      </c>
      <c r="C1402" s="7" t="n">
        <v>3</v>
      </c>
      <c r="D1402" s="7" t="s">
        <v>293</v>
      </c>
      <c r="E1402" s="7" t="s">
        <v>293</v>
      </c>
      <c r="F1402" s="3" t="s">
        <v>26</v>
      </c>
      <c r="G1402" s="3" t="n">
        <v>3</v>
      </c>
      <c r="H1402" s="3" t="n">
        <v>13</v>
      </c>
      <c r="I1402" s="22" t="n">
        <v>41869</v>
      </c>
      <c r="J1402" s="22" t="n">
        <v>41874</v>
      </c>
      <c r="K1402" s="43" t="n">
        <f aca="false">J1402-I1402</f>
        <v>5</v>
      </c>
      <c r="L1402" s="1" t="n">
        <v>5</v>
      </c>
      <c r="M1402" s="3" t="s">
        <v>48</v>
      </c>
      <c r="N1402" s="3" t="s">
        <v>67</v>
      </c>
      <c r="O1402" s="3" t="s">
        <v>127</v>
      </c>
      <c r="P1402" s="2" t="str">
        <f aca="false">CONCATENATE(N1402," ",O1402)</f>
        <v>Pardosa lugubris</v>
      </c>
      <c r="Q1402" s="1" t="s">
        <v>30</v>
      </c>
      <c r="R1402" s="1" t="s">
        <v>35</v>
      </c>
      <c r="S1402" s="3" t="n">
        <v>0</v>
      </c>
      <c r="T1402" s="3" t="n">
        <v>2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f aca="false">SUM(S1402:T1402)</f>
        <v>2</v>
      </c>
      <c r="Z1402" s="3" t="n">
        <f aca="false">SUM(U1402:W1402)</f>
        <v>0</v>
      </c>
      <c r="AA1402" s="3" t="n">
        <f aca="false">SUM(S1402:X1402)</f>
        <v>2</v>
      </c>
      <c r="AB1402" s="11" t="n">
        <f aca="false">(AA1402/(K1402*L1402)*25)*4</f>
        <v>8</v>
      </c>
    </row>
    <row r="1403" customFormat="false" ht="14.25" hidden="false" customHeight="false" outlineLevel="0" collapsed="false">
      <c r="A1403" s="1" t="n">
        <v>2014</v>
      </c>
      <c r="B1403" s="7" t="s">
        <v>322</v>
      </c>
      <c r="C1403" s="7" t="n">
        <v>3</v>
      </c>
      <c r="D1403" s="7" t="s">
        <v>293</v>
      </c>
      <c r="E1403" s="7" t="s">
        <v>293</v>
      </c>
      <c r="F1403" s="3" t="s">
        <v>26</v>
      </c>
      <c r="G1403" s="3" t="n">
        <v>3</v>
      </c>
      <c r="H1403" s="3" t="n">
        <v>13</v>
      </c>
      <c r="I1403" s="22" t="n">
        <v>41869</v>
      </c>
      <c r="J1403" s="22" t="n">
        <v>41874</v>
      </c>
      <c r="K1403" s="43" t="n">
        <f aca="false">J1403-I1403</f>
        <v>5</v>
      </c>
      <c r="L1403" s="1" t="n">
        <v>5</v>
      </c>
      <c r="M1403" s="3" t="s">
        <v>36</v>
      </c>
      <c r="N1403" s="3" t="s">
        <v>37</v>
      </c>
      <c r="O1403" s="3" t="s">
        <v>75</v>
      </c>
      <c r="P1403" s="2" t="str">
        <f aca="false">CONCATENATE(N1403," ",O1403)</f>
        <v>Ozyptila praticola</v>
      </c>
      <c r="Q1403" s="1" t="s">
        <v>30</v>
      </c>
      <c r="R1403" s="1" t="s">
        <v>31</v>
      </c>
      <c r="S1403" s="3" t="n">
        <v>1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f aca="false">SUM(S1403:T1403)</f>
        <v>1</v>
      </c>
      <c r="Z1403" s="3" t="n">
        <f aca="false">SUM(U1403:W1403)</f>
        <v>0</v>
      </c>
      <c r="AA1403" s="3" t="n">
        <f aca="false">SUM(S1403:X1403)</f>
        <v>1</v>
      </c>
      <c r="AB1403" s="11" t="n">
        <f aca="false">(AA1403/(K1403*L1403)*25)*4</f>
        <v>4</v>
      </c>
    </row>
    <row r="1404" customFormat="false" ht="14.25" hidden="false" customHeight="false" outlineLevel="0" collapsed="false">
      <c r="A1404" s="1" t="n">
        <v>2014</v>
      </c>
      <c r="B1404" s="7" t="s">
        <v>322</v>
      </c>
      <c r="C1404" s="7" t="n">
        <v>3</v>
      </c>
      <c r="D1404" s="7" t="s">
        <v>293</v>
      </c>
      <c r="E1404" s="7" t="s">
        <v>293</v>
      </c>
      <c r="F1404" s="3" t="s">
        <v>26</v>
      </c>
      <c r="G1404" s="3" t="n">
        <v>3</v>
      </c>
      <c r="H1404" s="3" t="n">
        <v>13</v>
      </c>
      <c r="I1404" s="22" t="n">
        <v>41869</v>
      </c>
      <c r="J1404" s="22" t="n">
        <v>41874</v>
      </c>
      <c r="K1404" s="43" t="n">
        <f aca="false">J1404-I1404</f>
        <v>5</v>
      </c>
      <c r="L1404" s="1" t="n">
        <v>5</v>
      </c>
      <c r="M1404" s="3" t="s">
        <v>41</v>
      </c>
      <c r="N1404" s="3" t="s">
        <v>42</v>
      </c>
      <c r="O1404" s="3" t="s">
        <v>43</v>
      </c>
      <c r="P1404" s="2" t="str">
        <f aca="false">CONCATENATE(N1404," ",O1404)</f>
        <v>Agroeca proxima</v>
      </c>
      <c r="Q1404" s="1" t="s">
        <v>30</v>
      </c>
      <c r="R1404" s="1" t="s">
        <v>31</v>
      </c>
      <c r="S1404" s="3" t="n">
        <v>2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f aca="false">SUM(S1404:T1404)</f>
        <v>2</v>
      </c>
      <c r="Z1404" s="3" t="n">
        <f aca="false">SUM(U1404:W1404)</f>
        <v>0</v>
      </c>
      <c r="AA1404" s="3" t="n">
        <f aca="false">SUM(S1404:X1404)</f>
        <v>2</v>
      </c>
      <c r="AB1404" s="11" t="n">
        <f aca="false">(AA1404/(K1404*L1404)*25)*4</f>
        <v>8</v>
      </c>
    </row>
    <row r="1405" customFormat="false" ht="14.25" hidden="false" customHeight="false" outlineLevel="0" collapsed="false">
      <c r="A1405" s="1" t="n">
        <v>2014</v>
      </c>
      <c r="B1405" s="7" t="s">
        <v>322</v>
      </c>
      <c r="C1405" s="7" t="n">
        <v>3</v>
      </c>
      <c r="D1405" s="7" t="s">
        <v>293</v>
      </c>
      <c r="E1405" s="7" t="s">
        <v>293</v>
      </c>
      <c r="F1405" s="3" t="s">
        <v>26</v>
      </c>
      <c r="G1405" s="3" t="n">
        <v>3</v>
      </c>
      <c r="H1405" s="3" t="n">
        <v>13</v>
      </c>
      <c r="I1405" s="22" t="n">
        <v>41869</v>
      </c>
      <c r="J1405" s="22" t="n">
        <v>41874</v>
      </c>
      <c r="K1405" s="43" t="n">
        <f aca="false">J1405-I1405</f>
        <v>5</v>
      </c>
      <c r="L1405" s="1" t="n">
        <v>5</v>
      </c>
      <c r="M1405" s="3" t="s">
        <v>27</v>
      </c>
      <c r="N1405" s="3" t="s">
        <v>28</v>
      </c>
      <c r="O1405" s="3" t="s">
        <v>29</v>
      </c>
      <c r="P1405" s="2" t="str">
        <f aca="false">CONCATENATE(N1405," ",O1405)</f>
        <v>Robertus lividus</v>
      </c>
      <c r="Q1405" s="1" t="s">
        <v>30</v>
      </c>
      <c r="R1405" s="1" t="s">
        <v>35</v>
      </c>
      <c r="S1405" s="3" t="n">
        <v>0</v>
      </c>
      <c r="T1405" s="3" t="n">
        <v>1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f aca="false">SUM(S1405:T1405)</f>
        <v>1</v>
      </c>
      <c r="Z1405" s="3" t="n">
        <f aca="false">SUM(U1405:W1405)</f>
        <v>0</v>
      </c>
      <c r="AA1405" s="3" t="n">
        <f aca="false">SUM(S1405:X1405)</f>
        <v>1</v>
      </c>
      <c r="AB1405" s="11" t="n">
        <f aca="false">(AA1405/(K1405*L1405)*25)*4</f>
        <v>4</v>
      </c>
    </row>
    <row r="1406" customFormat="false" ht="14.25" hidden="false" customHeight="false" outlineLevel="0" collapsed="false">
      <c r="A1406" s="1" t="n">
        <v>2014</v>
      </c>
      <c r="B1406" s="7" t="s">
        <v>322</v>
      </c>
      <c r="C1406" s="7" t="n">
        <v>3</v>
      </c>
      <c r="D1406" s="7" t="s">
        <v>293</v>
      </c>
      <c r="E1406" s="7" t="s">
        <v>293</v>
      </c>
      <c r="F1406" s="3" t="s">
        <v>26</v>
      </c>
      <c r="G1406" s="3" t="n">
        <v>1</v>
      </c>
      <c r="H1406" s="3" t="n">
        <v>3</v>
      </c>
      <c r="I1406" s="22" t="n">
        <v>41869</v>
      </c>
      <c r="J1406" s="22" t="n">
        <v>41874</v>
      </c>
      <c r="K1406" s="43" t="n">
        <f aca="false">J1406-I1406</f>
        <v>5</v>
      </c>
      <c r="L1406" s="1" t="n">
        <v>5</v>
      </c>
      <c r="M1406" s="3" t="s">
        <v>48</v>
      </c>
      <c r="N1406" s="3" t="s">
        <v>61</v>
      </c>
      <c r="O1406" s="3" t="s">
        <v>82</v>
      </c>
      <c r="P1406" s="2" t="str">
        <f aca="false">CONCATENATE(N1406," ",O1406)</f>
        <v>Trochosa terricola</v>
      </c>
      <c r="Q1406" s="1" t="s">
        <v>30</v>
      </c>
      <c r="R1406" s="1" t="s">
        <v>31</v>
      </c>
      <c r="S1406" s="3" t="n">
        <v>1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f aca="false">SUM(S1406:T1406)</f>
        <v>1</v>
      </c>
      <c r="Z1406" s="3" t="n">
        <f aca="false">SUM(U1406:W1406)</f>
        <v>0</v>
      </c>
      <c r="AA1406" s="3" t="n">
        <f aca="false">SUM(S1406:X1406)</f>
        <v>1</v>
      </c>
      <c r="AB1406" s="11" t="n">
        <f aca="false">(AA1406/(K1406*L1406)*25)*4</f>
        <v>4</v>
      </c>
    </row>
    <row r="1407" customFormat="false" ht="14.25" hidden="false" customHeight="false" outlineLevel="0" collapsed="false">
      <c r="A1407" s="1" t="n">
        <v>2014</v>
      </c>
      <c r="B1407" s="7" t="s">
        <v>322</v>
      </c>
      <c r="C1407" s="7" t="n">
        <v>3</v>
      </c>
      <c r="D1407" s="7" t="s">
        <v>293</v>
      </c>
      <c r="E1407" s="7" t="s">
        <v>293</v>
      </c>
      <c r="F1407" s="3" t="s">
        <v>26</v>
      </c>
      <c r="G1407" s="3" t="n">
        <v>1</v>
      </c>
      <c r="H1407" s="3" t="n">
        <v>3</v>
      </c>
      <c r="I1407" s="22" t="n">
        <v>41869</v>
      </c>
      <c r="J1407" s="22" t="n">
        <v>41874</v>
      </c>
      <c r="K1407" s="43" t="n">
        <f aca="false">J1407-I1407</f>
        <v>5</v>
      </c>
      <c r="L1407" s="1" t="n">
        <v>5</v>
      </c>
      <c r="M1407" s="3" t="s">
        <v>36</v>
      </c>
      <c r="N1407" s="3" t="s">
        <v>37</v>
      </c>
      <c r="O1407" s="3" t="s">
        <v>75</v>
      </c>
      <c r="P1407" s="2" t="str">
        <f aca="false">CONCATENATE(N1407," ",O1407)</f>
        <v>Ozyptila praticola</v>
      </c>
      <c r="Q1407" s="1" t="s">
        <v>30</v>
      </c>
      <c r="R1407" s="1" t="s">
        <v>31</v>
      </c>
      <c r="S1407" s="3" t="n">
        <v>4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f aca="false">SUM(S1407:T1407)</f>
        <v>4</v>
      </c>
      <c r="Z1407" s="3" t="n">
        <f aca="false">SUM(U1407:W1407)</f>
        <v>0</v>
      </c>
      <c r="AA1407" s="3" t="n">
        <f aca="false">SUM(S1407:X1407)</f>
        <v>4</v>
      </c>
      <c r="AB1407" s="11" t="n">
        <f aca="false">(AA1407/(K1407*L1407)*25)*4</f>
        <v>16</v>
      </c>
    </row>
    <row r="1408" customFormat="false" ht="14.25" hidden="false" customHeight="false" outlineLevel="0" collapsed="false">
      <c r="A1408" s="1" t="n">
        <v>2014</v>
      </c>
      <c r="B1408" s="7" t="s">
        <v>322</v>
      </c>
      <c r="C1408" s="7" t="n">
        <v>3</v>
      </c>
      <c r="D1408" s="7" t="s">
        <v>293</v>
      </c>
      <c r="E1408" s="7" t="s">
        <v>293</v>
      </c>
      <c r="F1408" s="3" t="s">
        <v>26</v>
      </c>
      <c r="G1408" s="3" t="n">
        <v>1</v>
      </c>
      <c r="H1408" s="3" t="n">
        <v>3</v>
      </c>
      <c r="I1408" s="22" t="n">
        <v>41869</v>
      </c>
      <c r="J1408" s="22" t="n">
        <v>41874</v>
      </c>
      <c r="K1408" s="43" t="n">
        <f aca="false">J1408-I1408</f>
        <v>5</v>
      </c>
      <c r="L1408" s="1" t="n">
        <v>5</v>
      </c>
      <c r="M1408" s="3" t="s">
        <v>32</v>
      </c>
      <c r="N1408" s="3" t="s">
        <v>96</v>
      </c>
      <c r="O1408" s="3" t="s">
        <v>97</v>
      </c>
      <c r="P1408" s="2" t="str">
        <f aca="false">CONCATENATE(N1408," ",O1408)</f>
        <v>Diplocephalus picinus</v>
      </c>
      <c r="Q1408" s="1" t="s">
        <v>30</v>
      </c>
      <c r="R1408" s="1" t="s">
        <v>31</v>
      </c>
      <c r="S1408" s="3" t="n">
        <v>1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f aca="false">SUM(S1408:T1408)</f>
        <v>1</v>
      </c>
      <c r="Z1408" s="3" t="n">
        <f aca="false">SUM(U1408:W1408)</f>
        <v>0</v>
      </c>
      <c r="AA1408" s="3" t="n">
        <f aca="false">SUM(S1408:X1408)</f>
        <v>1</v>
      </c>
      <c r="AB1408" s="11" t="n">
        <f aca="false">(AA1408/(K1408*L1408)*25)*4</f>
        <v>4</v>
      </c>
    </row>
    <row r="1409" customFormat="false" ht="14.25" hidden="false" customHeight="false" outlineLevel="0" collapsed="false">
      <c r="A1409" s="1" t="n">
        <v>2014</v>
      </c>
      <c r="B1409" s="7" t="s">
        <v>322</v>
      </c>
      <c r="C1409" s="7" t="n">
        <v>3</v>
      </c>
      <c r="D1409" s="7" t="s">
        <v>293</v>
      </c>
      <c r="E1409" s="7" t="s">
        <v>293</v>
      </c>
      <c r="F1409" s="3" t="s">
        <v>26</v>
      </c>
      <c r="G1409" s="3" t="n">
        <v>1</v>
      </c>
      <c r="H1409" s="3" t="n">
        <v>1</v>
      </c>
      <c r="I1409" s="22" t="n">
        <v>41869</v>
      </c>
      <c r="J1409" s="22" t="n">
        <v>41874</v>
      </c>
      <c r="K1409" s="43" t="n">
        <f aca="false">J1409-I1409</f>
        <v>5</v>
      </c>
      <c r="L1409" s="1" t="n">
        <v>5</v>
      </c>
      <c r="M1409" s="3" t="s">
        <v>48</v>
      </c>
      <c r="N1409" s="3" t="s">
        <v>61</v>
      </c>
      <c r="O1409" s="3" t="s">
        <v>82</v>
      </c>
      <c r="P1409" s="2" t="str">
        <f aca="false">CONCATENATE(N1409," ",O1409)</f>
        <v>Trochosa terricola</v>
      </c>
      <c r="Q1409" s="1" t="s">
        <v>30</v>
      </c>
      <c r="R1409" s="1" t="s">
        <v>35</v>
      </c>
      <c r="S1409" s="3" t="n">
        <v>0</v>
      </c>
      <c r="T1409" s="3" t="n">
        <v>2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f aca="false">SUM(S1409:T1409)</f>
        <v>2</v>
      </c>
      <c r="Z1409" s="3" t="n">
        <f aca="false">SUM(U1409:W1409)</f>
        <v>0</v>
      </c>
      <c r="AA1409" s="3" t="n">
        <f aca="false">SUM(S1409:X1409)</f>
        <v>2</v>
      </c>
      <c r="AB1409" s="11" t="n">
        <f aca="false">(AA1409/(K1409*L1409)*25)*4</f>
        <v>8</v>
      </c>
    </row>
    <row r="1410" customFormat="false" ht="14.25" hidden="false" customHeight="false" outlineLevel="0" collapsed="false">
      <c r="A1410" s="1" t="n">
        <v>2014</v>
      </c>
      <c r="B1410" s="7" t="s">
        <v>322</v>
      </c>
      <c r="C1410" s="7" t="n">
        <v>3</v>
      </c>
      <c r="D1410" s="7" t="s">
        <v>293</v>
      </c>
      <c r="E1410" s="7" t="s">
        <v>293</v>
      </c>
      <c r="F1410" s="3" t="s">
        <v>26</v>
      </c>
      <c r="G1410" s="3" t="n">
        <v>1</v>
      </c>
      <c r="H1410" s="3" t="n">
        <v>1</v>
      </c>
      <c r="I1410" s="22" t="n">
        <v>41869</v>
      </c>
      <c r="J1410" s="22" t="n">
        <v>41874</v>
      </c>
      <c r="K1410" s="43" t="n">
        <f aca="false">J1410-I1410</f>
        <v>5</v>
      </c>
      <c r="L1410" s="1" t="n">
        <v>5</v>
      </c>
      <c r="M1410" s="3" t="s">
        <v>36</v>
      </c>
      <c r="N1410" s="3" t="s">
        <v>37</v>
      </c>
      <c r="O1410" s="3" t="s">
        <v>75</v>
      </c>
      <c r="P1410" s="2" t="str">
        <f aca="false">CONCATENATE(N1410," ",O1410)</f>
        <v>Ozyptila praticola</v>
      </c>
      <c r="Q1410" s="1" t="s">
        <v>30</v>
      </c>
      <c r="R1410" s="1" t="s">
        <v>31</v>
      </c>
      <c r="S1410" s="3" t="n">
        <v>2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f aca="false">SUM(S1410:T1410)</f>
        <v>2</v>
      </c>
      <c r="Z1410" s="3" t="n">
        <f aca="false">SUM(U1410:W1410)</f>
        <v>0</v>
      </c>
      <c r="AA1410" s="3" t="n">
        <f aca="false">SUM(S1410:X1410)</f>
        <v>2</v>
      </c>
      <c r="AB1410" s="11" t="n">
        <f aca="false">(AA1410/(K1410*L1410)*25)*4</f>
        <v>8</v>
      </c>
    </row>
    <row r="1411" customFormat="false" ht="14.25" hidden="false" customHeight="false" outlineLevel="0" collapsed="false">
      <c r="A1411" s="1" t="n">
        <v>2014</v>
      </c>
      <c r="B1411" s="7" t="s">
        <v>322</v>
      </c>
      <c r="C1411" s="7" t="n">
        <v>3</v>
      </c>
      <c r="D1411" s="7" t="s">
        <v>293</v>
      </c>
      <c r="E1411" s="7" t="s">
        <v>293</v>
      </c>
      <c r="F1411" s="3" t="s">
        <v>26</v>
      </c>
      <c r="G1411" s="3" t="n">
        <v>2</v>
      </c>
      <c r="H1411" s="3" t="n">
        <v>7</v>
      </c>
      <c r="I1411" s="22" t="n">
        <v>41869</v>
      </c>
      <c r="J1411" s="22" t="n">
        <v>41874</v>
      </c>
      <c r="K1411" s="43" t="n">
        <f aca="false">J1411-I1411</f>
        <v>5</v>
      </c>
      <c r="L1411" s="1" t="n">
        <v>5</v>
      </c>
      <c r="M1411" s="3" t="s">
        <v>48</v>
      </c>
      <c r="N1411" s="3" t="s">
        <v>61</v>
      </c>
      <c r="O1411" s="3" t="s">
        <v>82</v>
      </c>
      <c r="P1411" s="2" t="str">
        <f aca="false">CONCATENATE(N1411," ",O1411)</f>
        <v>Trochosa terricola</v>
      </c>
      <c r="Q1411" s="1" t="s">
        <v>30</v>
      </c>
      <c r="R1411" s="1" t="s">
        <v>35</v>
      </c>
      <c r="S1411" s="3" t="n">
        <v>0</v>
      </c>
      <c r="T1411" s="3" t="n">
        <v>3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f aca="false">SUM(S1411:T1411)</f>
        <v>3</v>
      </c>
      <c r="Z1411" s="3" t="n">
        <f aca="false">SUM(U1411:W1411)</f>
        <v>0</v>
      </c>
      <c r="AA1411" s="3" t="n">
        <f aca="false">SUM(S1411:X1411)</f>
        <v>3</v>
      </c>
      <c r="AB1411" s="11" t="n">
        <f aca="false">(AA1411/(K1411*L1411)*25)*4</f>
        <v>12</v>
      </c>
    </row>
    <row r="1412" customFormat="false" ht="14.25" hidden="false" customHeight="false" outlineLevel="0" collapsed="false">
      <c r="A1412" s="1" t="n">
        <v>2014</v>
      </c>
      <c r="B1412" s="7" t="s">
        <v>322</v>
      </c>
      <c r="C1412" s="7" t="n">
        <v>3</v>
      </c>
      <c r="D1412" s="7" t="s">
        <v>293</v>
      </c>
      <c r="E1412" s="7" t="s">
        <v>293</v>
      </c>
      <c r="F1412" s="3" t="s">
        <v>26</v>
      </c>
      <c r="G1412" s="3" t="n">
        <v>2</v>
      </c>
      <c r="H1412" s="3" t="n">
        <v>7</v>
      </c>
      <c r="I1412" s="22" t="n">
        <v>41869</v>
      </c>
      <c r="J1412" s="22" t="n">
        <v>41874</v>
      </c>
      <c r="K1412" s="43" t="n">
        <f aca="false">J1412-I1412</f>
        <v>5</v>
      </c>
      <c r="L1412" s="1" t="n">
        <v>5</v>
      </c>
      <c r="M1412" s="3" t="s">
        <v>36</v>
      </c>
      <c r="N1412" s="3" t="s">
        <v>37</v>
      </c>
      <c r="O1412" s="3" t="s">
        <v>75</v>
      </c>
      <c r="P1412" s="2" t="str">
        <f aca="false">CONCATENATE(N1412," ",O1412)</f>
        <v>Ozyptila praticola</v>
      </c>
      <c r="Q1412" s="1" t="s">
        <v>30</v>
      </c>
      <c r="R1412" s="1" t="s">
        <v>31</v>
      </c>
      <c r="S1412" s="3" t="n">
        <v>2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f aca="false">SUM(S1412:T1412)</f>
        <v>2</v>
      </c>
      <c r="Z1412" s="3" t="n">
        <f aca="false">SUM(U1412:W1412)</f>
        <v>0</v>
      </c>
      <c r="AA1412" s="3" t="n">
        <f aca="false">SUM(S1412:X1412)</f>
        <v>2</v>
      </c>
      <c r="AB1412" s="11" t="n">
        <f aca="false">(AA1412/(K1412*L1412)*25)*4</f>
        <v>8</v>
      </c>
    </row>
    <row r="1413" customFormat="false" ht="14.25" hidden="false" customHeight="false" outlineLevel="0" collapsed="false">
      <c r="A1413" s="1" t="n">
        <v>2014</v>
      </c>
      <c r="B1413" s="7" t="s">
        <v>322</v>
      </c>
      <c r="C1413" s="7" t="n">
        <v>3</v>
      </c>
      <c r="D1413" s="7" t="s">
        <v>293</v>
      </c>
      <c r="E1413" s="7" t="s">
        <v>293</v>
      </c>
      <c r="F1413" s="3" t="s">
        <v>26</v>
      </c>
      <c r="G1413" s="3" t="n">
        <v>3</v>
      </c>
      <c r="H1413" s="3" t="n">
        <v>14</v>
      </c>
      <c r="I1413" s="22" t="n">
        <v>41869</v>
      </c>
      <c r="J1413" s="22" t="n">
        <v>41874</v>
      </c>
      <c r="K1413" s="43" t="n">
        <f aca="false">J1413-I1413</f>
        <v>5</v>
      </c>
      <c r="L1413" s="1" t="n">
        <v>5</v>
      </c>
      <c r="M1413" s="3" t="s">
        <v>48</v>
      </c>
      <c r="N1413" s="3" t="s">
        <v>61</v>
      </c>
      <c r="O1413" s="3" t="s">
        <v>82</v>
      </c>
      <c r="P1413" s="2" t="str">
        <f aca="false">CONCATENATE(N1413," ",O1413)</f>
        <v>Trochosa terricola</v>
      </c>
      <c r="Q1413" s="1" t="s">
        <v>30</v>
      </c>
      <c r="R1413" s="1" t="s">
        <v>31</v>
      </c>
      <c r="S1413" s="3" t="n">
        <v>1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f aca="false">SUM(S1413:T1413)</f>
        <v>1</v>
      </c>
      <c r="Z1413" s="3" t="n">
        <f aca="false">SUM(U1413:W1413)</f>
        <v>0</v>
      </c>
      <c r="AA1413" s="3" t="n">
        <f aca="false">SUM(S1413:X1413)</f>
        <v>1</v>
      </c>
      <c r="AB1413" s="11" t="n">
        <f aca="false">(AA1413/(K1413*L1413)*25)*4</f>
        <v>4</v>
      </c>
    </row>
    <row r="1414" customFormat="false" ht="14.25" hidden="false" customHeight="false" outlineLevel="0" collapsed="false">
      <c r="A1414" s="1" t="n">
        <v>2014</v>
      </c>
      <c r="B1414" s="7" t="s">
        <v>322</v>
      </c>
      <c r="C1414" s="7" t="n">
        <v>3</v>
      </c>
      <c r="D1414" s="7" t="s">
        <v>293</v>
      </c>
      <c r="E1414" s="7" t="s">
        <v>293</v>
      </c>
      <c r="F1414" s="3" t="s">
        <v>26</v>
      </c>
      <c r="G1414" s="3" t="n">
        <v>3</v>
      </c>
      <c r="H1414" s="3" t="n">
        <v>14</v>
      </c>
      <c r="I1414" s="22" t="n">
        <v>41869</v>
      </c>
      <c r="J1414" s="22" t="n">
        <v>41874</v>
      </c>
      <c r="K1414" s="43" t="n">
        <f aca="false">J1414-I1414</f>
        <v>5</v>
      </c>
      <c r="L1414" s="1" t="n">
        <v>5</v>
      </c>
      <c r="M1414" s="3" t="s">
        <v>36</v>
      </c>
      <c r="N1414" s="3" t="s">
        <v>37</v>
      </c>
      <c r="O1414" s="3" t="s">
        <v>75</v>
      </c>
      <c r="P1414" s="2" t="str">
        <f aca="false">CONCATENATE(N1414," ",O1414)</f>
        <v>Ozyptila praticola</v>
      </c>
      <c r="Q1414" s="1" t="s">
        <v>30</v>
      </c>
      <c r="R1414" s="1" t="s">
        <v>31</v>
      </c>
      <c r="S1414" s="3" t="n">
        <v>1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f aca="false">SUM(S1414:T1414)</f>
        <v>1</v>
      </c>
      <c r="Z1414" s="3" t="n">
        <f aca="false">SUM(U1414:W1414)</f>
        <v>0</v>
      </c>
      <c r="AA1414" s="3" t="n">
        <f aca="false">SUM(S1414:X1414)</f>
        <v>1</v>
      </c>
      <c r="AB1414" s="11" t="n">
        <f aca="false">(AA1414/(K1414*L1414)*25)*4</f>
        <v>4</v>
      </c>
    </row>
    <row r="1415" customFormat="false" ht="14.25" hidden="false" customHeight="false" outlineLevel="0" collapsed="false">
      <c r="A1415" s="1" t="n">
        <v>2014</v>
      </c>
      <c r="B1415" s="7" t="s">
        <v>322</v>
      </c>
      <c r="C1415" s="7" t="n">
        <v>3</v>
      </c>
      <c r="D1415" s="7" t="s">
        <v>293</v>
      </c>
      <c r="E1415" s="7" t="s">
        <v>293</v>
      </c>
      <c r="F1415" s="3" t="s">
        <v>26</v>
      </c>
      <c r="G1415" s="3" t="n">
        <v>2</v>
      </c>
      <c r="H1415" s="3" t="n">
        <v>6</v>
      </c>
      <c r="I1415" s="22" t="n">
        <v>41869</v>
      </c>
      <c r="J1415" s="22" t="n">
        <v>41874</v>
      </c>
      <c r="K1415" s="43" t="n">
        <f aca="false">J1415-I1415</f>
        <v>5</v>
      </c>
      <c r="L1415" s="1" t="n">
        <v>5</v>
      </c>
      <c r="M1415" s="3" t="s">
        <v>48</v>
      </c>
      <c r="N1415" s="3" t="s">
        <v>61</v>
      </c>
      <c r="O1415" s="3" t="s">
        <v>82</v>
      </c>
      <c r="P1415" s="2" t="str">
        <f aca="false">CONCATENATE(N1415," ",O1415)</f>
        <v>Trochosa terricola</v>
      </c>
      <c r="Q1415" s="1" t="s">
        <v>30</v>
      </c>
      <c r="R1415" s="1" t="s">
        <v>31</v>
      </c>
      <c r="S1415" s="3" t="n">
        <v>1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f aca="false">SUM(S1415:T1415)</f>
        <v>1</v>
      </c>
      <c r="Z1415" s="3" t="n">
        <f aca="false">SUM(U1415:W1415)</f>
        <v>0</v>
      </c>
      <c r="AA1415" s="3" t="n">
        <f aca="false">SUM(S1415:X1415)</f>
        <v>1</v>
      </c>
      <c r="AB1415" s="11" t="n">
        <f aca="false">(AA1415/(K1415*L1415)*25)*4</f>
        <v>4</v>
      </c>
    </row>
    <row r="1416" customFormat="false" ht="14.25" hidden="false" customHeight="false" outlineLevel="0" collapsed="false">
      <c r="A1416" s="1" t="n">
        <v>2014</v>
      </c>
      <c r="B1416" s="7" t="s">
        <v>322</v>
      </c>
      <c r="C1416" s="7" t="n">
        <v>3</v>
      </c>
      <c r="D1416" s="7" t="s">
        <v>293</v>
      </c>
      <c r="E1416" s="7" t="s">
        <v>293</v>
      </c>
      <c r="F1416" s="3" t="s">
        <v>26</v>
      </c>
      <c r="G1416" s="3" t="n">
        <v>2</v>
      </c>
      <c r="H1416" s="3" t="n">
        <v>6</v>
      </c>
      <c r="I1416" s="22" t="n">
        <v>41869</v>
      </c>
      <c r="J1416" s="22" t="n">
        <v>41874</v>
      </c>
      <c r="K1416" s="43" t="n">
        <f aca="false">J1416-I1416</f>
        <v>5</v>
      </c>
      <c r="L1416" s="1" t="n">
        <v>5</v>
      </c>
      <c r="M1416" s="3" t="s">
        <v>48</v>
      </c>
      <c r="N1416" s="3" t="s">
        <v>61</v>
      </c>
      <c r="O1416" s="3" t="s">
        <v>82</v>
      </c>
      <c r="P1416" s="2" t="str">
        <f aca="false">CONCATENATE(N1416," ",O1416)</f>
        <v>Trochosa terricola</v>
      </c>
      <c r="Q1416" s="1" t="s">
        <v>30</v>
      </c>
      <c r="R1416" s="1" t="s">
        <v>35</v>
      </c>
      <c r="S1416" s="3" t="n">
        <v>0</v>
      </c>
      <c r="T1416" s="3" t="n">
        <v>1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f aca="false">SUM(S1416:T1416)</f>
        <v>1</v>
      </c>
      <c r="Z1416" s="3" t="n">
        <f aca="false">SUM(U1416:W1416)</f>
        <v>0</v>
      </c>
      <c r="AA1416" s="3" t="n">
        <f aca="false">SUM(S1416:X1416)</f>
        <v>1</v>
      </c>
      <c r="AB1416" s="11" t="n">
        <f aca="false">(AA1416/(K1416*L1416)*25)*4</f>
        <v>4</v>
      </c>
    </row>
    <row r="1417" customFormat="false" ht="14.25" hidden="false" customHeight="false" outlineLevel="0" collapsed="false">
      <c r="A1417" s="1" t="n">
        <v>2014</v>
      </c>
      <c r="B1417" s="7" t="s">
        <v>322</v>
      </c>
      <c r="C1417" s="7" t="n">
        <v>3</v>
      </c>
      <c r="D1417" s="7" t="s">
        <v>296</v>
      </c>
      <c r="E1417" s="7" t="s">
        <v>295</v>
      </c>
      <c r="F1417" s="3" t="s">
        <v>330</v>
      </c>
      <c r="G1417" s="3" t="n">
        <v>3</v>
      </c>
      <c r="H1417" s="3" t="n">
        <v>12</v>
      </c>
      <c r="I1417" s="22" t="n">
        <v>41870</v>
      </c>
      <c r="J1417" s="22" t="n">
        <v>41875</v>
      </c>
      <c r="K1417" s="43" t="n">
        <f aca="false">J1417-I1417</f>
        <v>5</v>
      </c>
      <c r="L1417" s="1" t="n">
        <v>5</v>
      </c>
      <c r="M1417" s="3" t="s">
        <v>32</v>
      </c>
      <c r="N1417" s="3" t="s">
        <v>102</v>
      </c>
      <c r="O1417" s="3" t="s">
        <v>117</v>
      </c>
      <c r="P1417" s="2" t="str">
        <f aca="false">CONCATENATE(N1417," ",O1417)</f>
        <v>Agyneta affinis</v>
      </c>
      <c r="Q1417" s="1" t="s">
        <v>30</v>
      </c>
      <c r="R1417" s="1" t="s">
        <v>35</v>
      </c>
      <c r="S1417" s="3" t="n">
        <v>0</v>
      </c>
      <c r="T1417" s="3" t="n">
        <v>1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f aca="false">SUM(S1417:T1417)</f>
        <v>1</v>
      </c>
      <c r="Z1417" s="3" t="n">
        <f aca="false">SUM(U1417:W1417)</f>
        <v>0</v>
      </c>
      <c r="AA1417" s="3" t="n">
        <f aca="false">SUM(S1417:X1417)</f>
        <v>1</v>
      </c>
      <c r="AB1417" s="11" t="n">
        <f aca="false">(AA1417/(K1417*L1417)*25)*4</f>
        <v>4</v>
      </c>
    </row>
    <row r="1418" customFormat="false" ht="14.25" hidden="false" customHeight="false" outlineLevel="0" collapsed="false">
      <c r="A1418" s="1" t="n">
        <v>2014</v>
      </c>
      <c r="B1418" s="7" t="s">
        <v>322</v>
      </c>
      <c r="C1418" s="7" t="n">
        <v>3</v>
      </c>
      <c r="D1418" s="7" t="s">
        <v>296</v>
      </c>
      <c r="E1418" s="7" t="s">
        <v>295</v>
      </c>
      <c r="F1418" s="3" t="s">
        <v>330</v>
      </c>
      <c r="G1418" s="3" t="n">
        <v>3</v>
      </c>
      <c r="H1418" s="3" t="n">
        <v>14</v>
      </c>
      <c r="I1418" s="22" t="n">
        <v>41870</v>
      </c>
      <c r="J1418" s="22" t="n">
        <v>41875</v>
      </c>
      <c r="K1418" s="43" t="n">
        <f aca="false">J1418-I1418</f>
        <v>5</v>
      </c>
      <c r="L1418" s="1" t="n">
        <v>5</v>
      </c>
      <c r="M1418" s="3" t="s">
        <v>32</v>
      </c>
      <c r="N1418" s="3" t="s">
        <v>102</v>
      </c>
      <c r="O1418" s="3" t="s">
        <v>143</v>
      </c>
      <c r="P1418" s="2" t="str">
        <f aca="false">CONCATENATE(N1418," ",O1418)</f>
        <v>Agyneta saaristoi</v>
      </c>
      <c r="Q1418" s="1" t="s">
        <v>30</v>
      </c>
      <c r="R1418" s="1" t="s">
        <v>31</v>
      </c>
      <c r="S1418" s="3" t="n">
        <v>1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f aca="false">SUM(S1418:T1418)</f>
        <v>1</v>
      </c>
      <c r="Z1418" s="3" t="n">
        <f aca="false">SUM(U1418:W1418)</f>
        <v>0</v>
      </c>
      <c r="AA1418" s="3" t="n">
        <f aca="false">SUM(S1418:X1418)</f>
        <v>1</v>
      </c>
      <c r="AB1418" s="11" t="n">
        <f aca="false">(AA1418/(K1418*L1418)*25)*4</f>
        <v>4</v>
      </c>
    </row>
    <row r="1419" customFormat="false" ht="14.25" hidden="false" customHeight="false" outlineLevel="0" collapsed="false">
      <c r="A1419" s="1" t="n">
        <v>2014</v>
      </c>
      <c r="B1419" s="7" t="s">
        <v>322</v>
      </c>
      <c r="C1419" s="7" t="n">
        <v>3</v>
      </c>
      <c r="D1419" s="7" t="s">
        <v>293</v>
      </c>
      <c r="E1419" s="7" t="s">
        <v>293</v>
      </c>
      <c r="F1419" s="3" t="s">
        <v>110</v>
      </c>
      <c r="G1419" s="3" t="n">
        <v>3</v>
      </c>
      <c r="H1419" s="3" t="n">
        <v>14</v>
      </c>
      <c r="I1419" s="22" t="n">
        <v>41870</v>
      </c>
      <c r="J1419" s="22" t="n">
        <v>41875</v>
      </c>
      <c r="K1419" s="43" t="n">
        <f aca="false">J1419-I1419</f>
        <v>5</v>
      </c>
      <c r="L1419" s="1" t="n">
        <v>5</v>
      </c>
      <c r="M1419" s="3" t="s">
        <v>48</v>
      </c>
      <c r="N1419" s="3" t="s">
        <v>61</v>
      </c>
      <c r="O1419" s="3" t="s">
        <v>82</v>
      </c>
      <c r="P1419" s="2" t="str">
        <f aca="false">CONCATENATE(N1419," ",O1419)</f>
        <v>Trochosa terricola</v>
      </c>
      <c r="Q1419" s="1" t="s">
        <v>30</v>
      </c>
      <c r="R1419" s="1" t="s">
        <v>31</v>
      </c>
      <c r="S1419" s="3" t="n">
        <v>1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f aca="false">SUM(S1419:T1419)</f>
        <v>1</v>
      </c>
      <c r="Z1419" s="3" t="n">
        <f aca="false">SUM(U1419:W1419)</f>
        <v>0</v>
      </c>
      <c r="AA1419" s="3" t="n">
        <f aca="false">SUM(S1419:X1419)</f>
        <v>1</v>
      </c>
      <c r="AB1419" s="11" t="n">
        <f aca="false">(AA1419/(K1419*L1419)*25)*4</f>
        <v>4</v>
      </c>
    </row>
    <row r="1420" customFormat="false" ht="14.25" hidden="false" customHeight="false" outlineLevel="0" collapsed="false">
      <c r="A1420" s="1" t="n">
        <v>2014</v>
      </c>
      <c r="B1420" s="7" t="s">
        <v>322</v>
      </c>
      <c r="C1420" s="7" t="n">
        <v>3</v>
      </c>
      <c r="D1420" s="7" t="s">
        <v>293</v>
      </c>
      <c r="E1420" s="7" t="s">
        <v>293</v>
      </c>
      <c r="F1420" s="3" t="s">
        <v>110</v>
      </c>
      <c r="G1420" s="3" t="n">
        <v>3</v>
      </c>
      <c r="H1420" s="3" t="n">
        <v>14</v>
      </c>
      <c r="I1420" s="22" t="n">
        <v>41870</v>
      </c>
      <c r="J1420" s="22" t="n">
        <v>41875</v>
      </c>
      <c r="K1420" s="43" t="n">
        <f aca="false">J1420-I1420</f>
        <v>5</v>
      </c>
      <c r="L1420" s="1" t="n">
        <v>5</v>
      </c>
      <c r="M1420" s="3" t="s">
        <v>48</v>
      </c>
      <c r="N1420" s="3" t="s">
        <v>61</v>
      </c>
      <c r="O1420" s="3" t="s">
        <v>82</v>
      </c>
      <c r="P1420" s="2" t="str">
        <f aca="false">CONCATENATE(N1420," ",O1420)</f>
        <v>Trochosa terricola</v>
      </c>
      <c r="Q1420" s="1" t="s">
        <v>30</v>
      </c>
      <c r="R1420" s="1" t="s">
        <v>35</v>
      </c>
      <c r="S1420" s="3" t="n">
        <v>0</v>
      </c>
      <c r="T1420" s="3" t="n">
        <v>5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f aca="false">SUM(S1420:T1420)</f>
        <v>5</v>
      </c>
      <c r="Z1420" s="3" t="n">
        <f aca="false">SUM(U1420:W1420)</f>
        <v>0</v>
      </c>
      <c r="AA1420" s="3" t="n">
        <f aca="false">SUM(S1420:X1420)</f>
        <v>5</v>
      </c>
      <c r="AB1420" s="11" t="n">
        <f aca="false">(AA1420/(K1420*L1420)*25)*4</f>
        <v>20</v>
      </c>
    </row>
    <row r="1421" customFormat="false" ht="14.25" hidden="false" customHeight="false" outlineLevel="0" collapsed="false">
      <c r="A1421" s="1" t="n">
        <v>2014</v>
      </c>
      <c r="B1421" s="7" t="s">
        <v>322</v>
      </c>
      <c r="C1421" s="7" t="n">
        <v>3</v>
      </c>
      <c r="D1421" s="7" t="s">
        <v>293</v>
      </c>
      <c r="E1421" s="7" t="s">
        <v>293</v>
      </c>
      <c r="F1421" s="3" t="s">
        <v>110</v>
      </c>
      <c r="G1421" s="3" t="n">
        <v>3</v>
      </c>
      <c r="H1421" s="3" t="n">
        <v>14</v>
      </c>
      <c r="I1421" s="22" t="n">
        <v>41870</v>
      </c>
      <c r="J1421" s="22" t="n">
        <v>41875</v>
      </c>
      <c r="K1421" s="43" t="n">
        <f aca="false">J1421-I1421</f>
        <v>5</v>
      </c>
      <c r="L1421" s="1" t="n">
        <v>5</v>
      </c>
      <c r="M1421" s="3" t="s">
        <v>27</v>
      </c>
      <c r="N1421" s="3" t="s">
        <v>28</v>
      </c>
      <c r="O1421" s="3" t="s">
        <v>29</v>
      </c>
      <c r="P1421" s="2" t="str">
        <f aca="false">CONCATENATE(N1421," ",O1421)</f>
        <v>Robertus lividus</v>
      </c>
      <c r="Q1421" s="1" t="s">
        <v>30</v>
      </c>
      <c r="R1421" s="1" t="s">
        <v>31</v>
      </c>
      <c r="S1421" s="3" t="n">
        <v>1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f aca="false">SUM(S1421:T1421)</f>
        <v>1</v>
      </c>
      <c r="Z1421" s="3" t="n">
        <f aca="false">SUM(U1421:W1421)</f>
        <v>0</v>
      </c>
      <c r="AA1421" s="3" t="n">
        <f aca="false">SUM(S1421:X1421)</f>
        <v>1</v>
      </c>
      <c r="AB1421" s="11" t="n">
        <f aca="false">(AA1421/(K1421*L1421)*25)*4</f>
        <v>4</v>
      </c>
    </row>
    <row r="1422" customFormat="false" ht="14.25" hidden="false" customHeight="false" outlineLevel="0" collapsed="false">
      <c r="A1422" s="1" t="n">
        <v>2014</v>
      </c>
      <c r="B1422" s="7" t="s">
        <v>322</v>
      </c>
      <c r="C1422" s="7" t="n">
        <v>3</v>
      </c>
      <c r="D1422" s="7" t="s">
        <v>293</v>
      </c>
      <c r="E1422" s="7" t="s">
        <v>293</v>
      </c>
      <c r="F1422" s="3" t="s">
        <v>110</v>
      </c>
      <c r="G1422" s="3" t="n">
        <v>3</v>
      </c>
      <c r="H1422" s="3" t="n">
        <v>14</v>
      </c>
      <c r="I1422" s="22" t="n">
        <v>41870</v>
      </c>
      <c r="J1422" s="22" t="n">
        <v>41875</v>
      </c>
      <c r="K1422" s="43" t="n">
        <f aca="false">J1422-I1422</f>
        <v>5</v>
      </c>
      <c r="L1422" s="1" t="n">
        <v>5</v>
      </c>
      <c r="M1422" s="3" t="s">
        <v>32</v>
      </c>
      <c r="N1422" s="3" t="s">
        <v>68</v>
      </c>
      <c r="O1422" s="3" t="s">
        <v>69</v>
      </c>
      <c r="P1422" s="2" t="str">
        <f aca="false">CONCATENATE(N1422," ",O1422)</f>
        <v>Centromerus sylvaticus</v>
      </c>
      <c r="Q1422" s="1" t="s">
        <v>30</v>
      </c>
      <c r="R1422" s="1" t="s">
        <v>35</v>
      </c>
      <c r="S1422" s="3" t="n">
        <v>0</v>
      </c>
      <c r="T1422" s="3" t="n">
        <v>1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f aca="false">SUM(S1422:T1422)</f>
        <v>1</v>
      </c>
      <c r="Z1422" s="3" t="n">
        <f aca="false">SUM(U1422:W1422)</f>
        <v>0</v>
      </c>
      <c r="AA1422" s="3" t="n">
        <f aca="false">SUM(S1422:X1422)</f>
        <v>1</v>
      </c>
      <c r="AB1422" s="11" t="n">
        <f aca="false">(AA1422/(K1422*L1422)*25)*4</f>
        <v>4</v>
      </c>
    </row>
    <row r="1423" customFormat="false" ht="14.25" hidden="false" customHeight="false" outlineLevel="0" collapsed="false">
      <c r="A1423" s="1" t="n">
        <v>2014</v>
      </c>
      <c r="B1423" s="7" t="s">
        <v>322</v>
      </c>
      <c r="C1423" s="7" t="n">
        <v>3</v>
      </c>
      <c r="D1423" s="7" t="s">
        <v>293</v>
      </c>
      <c r="E1423" s="7" t="s">
        <v>293</v>
      </c>
      <c r="F1423" s="3" t="s">
        <v>110</v>
      </c>
      <c r="G1423" s="3" t="n">
        <v>3</v>
      </c>
      <c r="H1423" s="3" t="n">
        <v>15</v>
      </c>
      <c r="I1423" s="22" t="n">
        <v>41870</v>
      </c>
      <c r="J1423" s="22" t="n">
        <v>41875</v>
      </c>
      <c r="K1423" s="43" t="n">
        <f aca="false">J1423-I1423</f>
        <v>5</v>
      </c>
      <c r="L1423" s="1" t="n">
        <v>5</v>
      </c>
      <c r="M1423" s="3" t="s">
        <v>36</v>
      </c>
      <c r="N1423" s="3" t="s">
        <v>37</v>
      </c>
      <c r="O1423" s="3" t="s">
        <v>75</v>
      </c>
      <c r="P1423" s="2" t="str">
        <f aca="false">CONCATENATE(N1423," ",O1423)</f>
        <v>Ozyptila praticola</v>
      </c>
      <c r="Q1423" s="1" t="s">
        <v>30</v>
      </c>
      <c r="R1423" s="1" t="s">
        <v>31</v>
      </c>
      <c r="S1423" s="3" t="n">
        <v>1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f aca="false">SUM(S1423:T1423)</f>
        <v>1</v>
      </c>
      <c r="Z1423" s="3" t="n">
        <f aca="false">SUM(U1423:W1423)</f>
        <v>0</v>
      </c>
      <c r="AA1423" s="3" t="n">
        <f aca="false">SUM(S1423:X1423)</f>
        <v>1</v>
      </c>
      <c r="AB1423" s="11" t="n">
        <f aca="false">(AA1423/(K1423*L1423)*25)*4</f>
        <v>4</v>
      </c>
    </row>
    <row r="1424" customFormat="false" ht="14.25" hidden="false" customHeight="false" outlineLevel="0" collapsed="false">
      <c r="A1424" s="1" t="n">
        <v>2014</v>
      </c>
      <c r="B1424" s="7" t="s">
        <v>322</v>
      </c>
      <c r="C1424" s="7" t="n">
        <v>3</v>
      </c>
      <c r="D1424" s="7" t="s">
        <v>293</v>
      </c>
      <c r="E1424" s="7" t="s">
        <v>293</v>
      </c>
      <c r="F1424" s="3" t="s">
        <v>110</v>
      </c>
      <c r="G1424" s="3" t="n">
        <v>1</v>
      </c>
      <c r="H1424" s="3" t="n">
        <v>5</v>
      </c>
      <c r="I1424" s="22" t="n">
        <v>41870</v>
      </c>
      <c r="J1424" s="22" t="n">
        <v>41875</v>
      </c>
      <c r="K1424" s="43" t="n">
        <f aca="false">J1424-I1424</f>
        <v>5</v>
      </c>
      <c r="L1424" s="1" t="n">
        <v>5</v>
      </c>
      <c r="M1424" s="3" t="s">
        <v>48</v>
      </c>
      <c r="N1424" s="3" t="s">
        <v>61</v>
      </c>
      <c r="O1424" s="3" t="s">
        <v>82</v>
      </c>
      <c r="P1424" s="2" t="str">
        <f aca="false">CONCATENATE(N1424," ",O1424)</f>
        <v>Trochosa terricola</v>
      </c>
      <c r="Q1424" s="1" t="s">
        <v>30</v>
      </c>
      <c r="R1424" s="1" t="s">
        <v>35</v>
      </c>
      <c r="S1424" s="3" t="n">
        <v>0</v>
      </c>
      <c r="T1424" s="3" t="n">
        <v>1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f aca="false">SUM(S1424:T1424)</f>
        <v>1</v>
      </c>
      <c r="Z1424" s="3" t="n">
        <f aca="false">SUM(U1424:W1424)</f>
        <v>0</v>
      </c>
      <c r="AA1424" s="3" t="n">
        <f aca="false">SUM(S1424:X1424)</f>
        <v>1</v>
      </c>
      <c r="AB1424" s="11" t="n">
        <f aca="false">(AA1424/(K1424*L1424)*25)*4</f>
        <v>4</v>
      </c>
    </row>
    <row r="1425" customFormat="false" ht="14.25" hidden="false" customHeight="false" outlineLevel="0" collapsed="false">
      <c r="A1425" s="1" t="n">
        <v>2014</v>
      </c>
      <c r="B1425" s="7" t="s">
        <v>322</v>
      </c>
      <c r="C1425" s="7" t="n">
        <v>3</v>
      </c>
      <c r="D1425" s="7" t="s">
        <v>293</v>
      </c>
      <c r="E1425" s="7" t="s">
        <v>293</v>
      </c>
      <c r="F1425" s="3" t="s">
        <v>110</v>
      </c>
      <c r="G1425" s="3" t="n">
        <v>1</v>
      </c>
      <c r="H1425" s="3" t="n">
        <v>5</v>
      </c>
      <c r="I1425" s="22" t="n">
        <v>41870</v>
      </c>
      <c r="J1425" s="22" t="n">
        <v>41875</v>
      </c>
      <c r="K1425" s="43" t="n">
        <f aca="false">J1425-I1425</f>
        <v>5</v>
      </c>
      <c r="L1425" s="1" t="n">
        <v>5</v>
      </c>
      <c r="M1425" s="3" t="s">
        <v>36</v>
      </c>
      <c r="N1425" s="3" t="s">
        <v>37</v>
      </c>
      <c r="O1425" s="3" t="s">
        <v>75</v>
      </c>
      <c r="P1425" s="2" t="str">
        <f aca="false">CONCATENATE(N1425," ",O1425)</f>
        <v>Ozyptila praticola</v>
      </c>
      <c r="Q1425" s="1" t="s">
        <v>30</v>
      </c>
      <c r="R1425" s="1" t="s">
        <v>31</v>
      </c>
      <c r="S1425" s="3" t="n">
        <v>1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f aca="false">SUM(S1425:T1425)</f>
        <v>1</v>
      </c>
      <c r="Z1425" s="3" t="n">
        <f aca="false">SUM(U1425:W1425)</f>
        <v>0</v>
      </c>
      <c r="AA1425" s="3" t="n">
        <f aca="false">SUM(S1425:X1425)</f>
        <v>1</v>
      </c>
      <c r="AB1425" s="11" t="n">
        <f aca="false">(AA1425/(K1425*L1425)*25)*4</f>
        <v>4</v>
      </c>
    </row>
    <row r="1426" customFormat="false" ht="14.25" hidden="false" customHeight="false" outlineLevel="0" collapsed="false">
      <c r="A1426" s="1" t="n">
        <v>2014</v>
      </c>
      <c r="B1426" s="7" t="s">
        <v>322</v>
      </c>
      <c r="C1426" s="7" t="n">
        <v>3</v>
      </c>
      <c r="D1426" s="7" t="s">
        <v>293</v>
      </c>
      <c r="E1426" s="7" t="s">
        <v>293</v>
      </c>
      <c r="F1426" s="3" t="s">
        <v>110</v>
      </c>
      <c r="G1426" s="3" t="n">
        <v>2</v>
      </c>
      <c r="H1426" s="3" t="n">
        <v>6</v>
      </c>
      <c r="I1426" s="22" t="n">
        <v>41870</v>
      </c>
      <c r="J1426" s="22" t="n">
        <v>41875</v>
      </c>
      <c r="K1426" s="43" t="n">
        <f aca="false">J1426-I1426</f>
        <v>5</v>
      </c>
      <c r="L1426" s="1" t="n">
        <v>5</v>
      </c>
      <c r="M1426" s="3" t="s">
        <v>48</v>
      </c>
      <c r="N1426" s="3" t="s">
        <v>61</v>
      </c>
      <c r="O1426" s="3" t="s">
        <v>82</v>
      </c>
      <c r="P1426" s="2" t="str">
        <f aca="false">CONCATENATE(N1426," ",O1426)</f>
        <v>Trochosa terricola</v>
      </c>
      <c r="Q1426" s="1" t="s">
        <v>30</v>
      </c>
      <c r="R1426" s="1" t="s">
        <v>35</v>
      </c>
      <c r="S1426" s="3" t="n">
        <v>0</v>
      </c>
      <c r="T1426" s="3" t="n">
        <v>3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f aca="false">SUM(S1426:T1426)</f>
        <v>3</v>
      </c>
      <c r="Z1426" s="3" t="n">
        <f aca="false">SUM(U1426:W1426)</f>
        <v>0</v>
      </c>
      <c r="AA1426" s="3" t="n">
        <f aca="false">SUM(S1426:X1426)</f>
        <v>3</v>
      </c>
      <c r="AB1426" s="11" t="n">
        <f aca="false">(AA1426/(K1426*L1426)*25)*4</f>
        <v>12</v>
      </c>
    </row>
    <row r="1427" customFormat="false" ht="14.25" hidden="false" customHeight="false" outlineLevel="0" collapsed="false">
      <c r="A1427" s="1" t="n">
        <v>2014</v>
      </c>
      <c r="B1427" s="7" t="s">
        <v>322</v>
      </c>
      <c r="C1427" s="7" t="n">
        <v>3</v>
      </c>
      <c r="D1427" s="7" t="s">
        <v>293</v>
      </c>
      <c r="E1427" s="7" t="s">
        <v>293</v>
      </c>
      <c r="F1427" s="3" t="s">
        <v>110</v>
      </c>
      <c r="G1427" s="3" t="n">
        <v>3</v>
      </c>
      <c r="H1427" s="3" t="n">
        <v>13</v>
      </c>
      <c r="I1427" s="22" t="n">
        <v>41870</v>
      </c>
      <c r="J1427" s="22" t="n">
        <v>41875</v>
      </c>
      <c r="K1427" s="43" t="n">
        <f aca="false">J1427-I1427</f>
        <v>5</v>
      </c>
      <c r="L1427" s="1" t="n">
        <v>5</v>
      </c>
      <c r="M1427" s="3" t="s">
        <v>48</v>
      </c>
      <c r="N1427" s="3" t="s">
        <v>61</v>
      </c>
      <c r="O1427" s="3" t="s">
        <v>82</v>
      </c>
      <c r="P1427" s="2" t="str">
        <f aca="false">CONCATENATE(N1427," ",O1427)</f>
        <v>Trochosa terricola</v>
      </c>
      <c r="Q1427" s="1" t="s">
        <v>30</v>
      </c>
      <c r="R1427" s="1" t="s">
        <v>35</v>
      </c>
      <c r="S1427" s="3" t="n">
        <v>0</v>
      </c>
      <c r="T1427" s="3" t="n">
        <v>2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f aca="false">SUM(S1427:T1427)</f>
        <v>2</v>
      </c>
      <c r="Z1427" s="3" t="n">
        <f aca="false">SUM(U1427:W1427)</f>
        <v>0</v>
      </c>
      <c r="AA1427" s="3" t="n">
        <f aca="false">SUM(S1427:X1427)</f>
        <v>2</v>
      </c>
      <c r="AB1427" s="11" t="n">
        <f aca="false">(AA1427/(K1427*L1427)*25)*4</f>
        <v>8</v>
      </c>
    </row>
    <row r="1428" customFormat="false" ht="14.25" hidden="false" customHeight="false" outlineLevel="0" collapsed="false">
      <c r="A1428" s="1" t="n">
        <v>2014</v>
      </c>
      <c r="B1428" s="7" t="s">
        <v>322</v>
      </c>
      <c r="C1428" s="7" t="n">
        <v>3</v>
      </c>
      <c r="D1428" s="7" t="s">
        <v>293</v>
      </c>
      <c r="E1428" s="7" t="s">
        <v>293</v>
      </c>
      <c r="F1428" s="3" t="s">
        <v>110</v>
      </c>
      <c r="G1428" s="3" t="n">
        <v>3</v>
      </c>
      <c r="H1428" s="3" t="n">
        <v>13</v>
      </c>
      <c r="I1428" s="22" t="n">
        <v>41870</v>
      </c>
      <c r="J1428" s="22" t="n">
        <v>41875</v>
      </c>
      <c r="K1428" s="43" t="n">
        <f aca="false">J1428-I1428</f>
        <v>5</v>
      </c>
      <c r="L1428" s="1" t="n">
        <v>5</v>
      </c>
      <c r="M1428" s="3" t="s">
        <v>48</v>
      </c>
      <c r="N1428" s="3" t="s">
        <v>67</v>
      </c>
      <c r="O1428" s="3" t="s">
        <v>127</v>
      </c>
      <c r="P1428" s="2" t="str">
        <f aca="false">CONCATENATE(N1428," ",O1428)</f>
        <v>Pardosa lugubris</v>
      </c>
      <c r="Q1428" s="1" t="s">
        <v>30</v>
      </c>
      <c r="R1428" s="1" t="s">
        <v>35</v>
      </c>
      <c r="S1428" s="3" t="n">
        <v>0</v>
      </c>
      <c r="T1428" s="3" t="n">
        <v>1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f aca="false">SUM(S1428:T1428)</f>
        <v>1</v>
      </c>
      <c r="Z1428" s="3" t="n">
        <f aca="false">SUM(U1428:W1428)</f>
        <v>0</v>
      </c>
      <c r="AA1428" s="3" t="n">
        <f aca="false">SUM(S1428:X1428)</f>
        <v>1</v>
      </c>
      <c r="AB1428" s="11" t="n">
        <f aca="false">(AA1428/(K1428*L1428)*25)*4</f>
        <v>4</v>
      </c>
    </row>
    <row r="1429" customFormat="false" ht="14.25" hidden="false" customHeight="false" outlineLevel="0" collapsed="false">
      <c r="A1429" s="1" t="n">
        <v>2014</v>
      </c>
      <c r="B1429" s="7" t="s">
        <v>322</v>
      </c>
      <c r="C1429" s="7" t="n">
        <v>3</v>
      </c>
      <c r="D1429" s="7" t="s">
        <v>293</v>
      </c>
      <c r="E1429" s="7" t="s">
        <v>293</v>
      </c>
      <c r="F1429" s="3" t="s">
        <v>110</v>
      </c>
      <c r="G1429" s="3" t="n">
        <v>3</v>
      </c>
      <c r="H1429" s="3" t="n">
        <v>13</v>
      </c>
      <c r="I1429" s="22" t="n">
        <v>41870</v>
      </c>
      <c r="J1429" s="22" t="n">
        <v>41875</v>
      </c>
      <c r="K1429" s="43" t="n">
        <f aca="false">J1429-I1429</f>
        <v>5</v>
      </c>
      <c r="L1429" s="1" t="n">
        <v>5</v>
      </c>
      <c r="M1429" s="3" t="s">
        <v>72</v>
      </c>
      <c r="N1429" s="3" t="s">
        <v>73</v>
      </c>
      <c r="O1429" s="3" t="s">
        <v>74</v>
      </c>
      <c r="P1429" s="2" t="str">
        <f aca="false">CONCATENATE(N1429," ",O1429)</f>
        <v>Zelotes subterraneus</v>
      </c>
      <c r="Q1429" s="1" t="s">
        <v>30</v>
      </c>
      <c r="R1429" s="1" t="s">
        <v>31</v>
      </c>
      <c r="S1429" s="3" t="n">
        <v>1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f aca="false">SUM(S1429:T1429)</f>
        <v>1</v>
      </c>
      <c r="Z1429" s="3" t="n">
        <f aca="false">SUM(U1429:W1429)</f>
        <v>0</v>
      </c>
      <c r="AA1429" s="3" t="n">
        <f aca="false">SUM(S1429:X1429)</f>
        <v>1</v>
      </c>
      <c r="AB1429" s="11" t="n">
        <f aca="false">(AA1429/(K1429*L1429)*25)*4</f>
        <v>4</v>
      </c>
    </row>
    <row r="1430" customFormat="false" ht="14.25" hidden="false" customHeight="false" outlineLevel="0" collapsed="false">
      <c r="A1430" s="1" t="n">
        <v>2014</v>
      </c>
      <c r="B1430" s="7" t="s">
        <v>322</v>
      </c>
      <c r="C1430" s="7" t="n">
        <v>3</v>
      </c>
      <c r="D1430" s="7" t="s">
        <v>293</v>
      </c>
      <c r="E1430" s="7" t="s">
        <v>293</v>
      </c>
      <c r="F1430" s="3" t="s">
        <v>110</v>
      </c>
      <c r="G1430" s="3" t="n">
        <v>1</v>
      </c>
      <c r="H1430" s="3" t="n">
        <v>3</v>
      </c>
      <c r="I1430" s="22" t="n">
        <v>41870</v>
      </c>
      <c r="J1430" s="22" t="n">
        <v>41875</v>
      </c>
      <c r="K1430" s="43" t="n">
        <f aca="false">J1430-I1430</f>
        <v>5</v>
      </c>
      <c r="L1430" s="1" t="n">
        <v>5</v>
      </c>
      <c r="M1430" s="3" t="s">
        <v>32</v>
      </c>
      <c r="N1430" s="3" t="s">
        <v>88</v>
      </c>
      <c r="O1430" s="3" t="s">
        <v>89</v>
      </c>
      <c r="P1430" s="2" t="str">
        <f aca="false">CONCATENATE(N1430," ",O1430)</f>
        <v>Tapinopa longidens</v>
      </c>
      <c r="Q1430" s="1" t="s">
        <v>30</v>
      </c>
      <c r="R1430" s="1" t="s">
        <v>31</v>
      </c>
      <c r="S1430" s="3" t="n">
        <v>1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f aca="false">SUM(S1430:T1430)</f>
        <v>1</v>
      </c>
      <c r="Z1430" s="3" t="n">
        <f aca="false">SUM(U1430:W1430)</f>
        <v>0</v>
      </c>
      <c r="AA1430" s="3" t="n">
        <f aca="false">SUM(S1430:X1430)</f>
        <v>1</v>
      </c>
      <c r="AB1430" s="11" t="n">
        <f aca="false">(AA1430/(K1430*L1430)*25)*4</f>
        <v>4</v>
      </c>
    </row>
    <row r="1431" customFormat="false" ht="14.25" hidden="false" customHeight="false" outlineLevel="0" collapsed="false">
      <c r="A1431" s="1" t="n">
        <v>2014</v>
      </c>
      <c r="B1431" s="7" t="s">
        <v>322</v>
      </c>
      <c r="C1431" s="7" t="n">
        <v>3</v>
      </c>
      <c r="D1431" s="7" t="s">
        <v>293</v>
      </c>
      <c r="E1431" s="7" t="s">
        <v>293</v>
      </c>
      <c r="F1431" s="3" t="s">
        <v>110</v>
      </c>
      <c r="G1431" s="3" t="n">
        <v>3</v>
      </c>
      <c r="H1431" s="3" t="n">
        <v>11</v>
      </c>
      <c r="I1431" s="22" t="n">
        <v>41870</v>
      </c>
      <c r="J1431" s="22" t="n">
        <v>41875</v>
      </c>
      <c r="K1431" s="43" t="n">
        <f aca="false">J1431-I1431</f>
        <v>5</v>
      </c>
      <c r="L1431" s="1" t="n">
        <v>5</v>
      </c>
      <c r="M1431" s="3" t="s">
        <v>48</v>
      </c>
      <c r="N1431" s="3" t="s">
        <v>61</v>
      </c>
      <c r="O1431" s="3" t="s">
        <v>82</v>
      </c>
      <c r="P1431" s="2" t="str">
        <f aca="false">CONCATENATE(N1431," ",O1431)</f>
        <v>Trochosa terricola</v>
      </c>
      <c r="Q1431" s="1" t="s">
        <v>30</v>
      </c>
      <c r="R1431" s="1" t="s">
        <v>35</v>
      </c>
      <c r="S1431" s="3" t="n">
        <v>0</v>
      </c>
      <c r="T1431" s="3" t="n">
        <v>1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f aca="false">SUM(S1431:T1431)</f>
        <v>1</v>
      </c>
      <c r="Z1431" s="3" t="n">
        <f aca="false">SUM(U1431:W1431)</f>
        <v>0</v>
      </c>
      <c r="AA1431" s="3" t="n">
        <f aca="false">SUM(S1431:X1431)</f>
        <v>1</v>
      </c>
      <c r="AB1431" s="11" t="n">
        <f aca="false">(AA1431/(K1431*L1431)*25)*4</f>
        <v>4</v>
      </c>
    </row>
    <row r="1432" customFormat="false" ht="14.25" hidden="false" customHeight="false" outlineLevel="0" collapsed="false">
      <c r="A1432" s="1" t="n">
        <v>2014</v>
      </c>
      <c r="B1432" s="7" t="s">
        <v>322</v>
      </c>
      <c r="C1432" s="7" t="n">
        <v>3</v>
      </c>
      <c r="D1432" s="7" t="s">
        <v>293</v>
      </c>
      <c r="E1432" s="7" t="s">
        <v>293</v>
      </c>
      <c r="F1432" s="3" t="s">
        <v>110</v>
      </c>
      <c r="G1432" s="3" t="n">
        <v>3</v>
      </c>
      <c r="H1432" s="3" t="n">
        <v>11</v>
      </c>
      <c r="I1432" s="22" t="n">
        <v>41870</v>
      </c>
      <c r="J1432" s="22" t="n">
        <v>41875</v>
      </c>
      <c r="K1432" s="43" t="n">
        <f aca="false">J1432-I1432</f>
        <v>5</v>
      </c>
      <c r="L1432" s="1" t="n">
        <v>5</v>
      </c>
      <c r="M1432" s="3" t="s">
        <v>48</v>
      </c>
      <c r="N1432" s="3" t="s">
        <v>61</v>
      </c>
      <c r="O1432" s="3" t="s">
        <v>82</v>
      </c>
      <c r="P1432" s="2" t="str">
        <f aca="false">CONCATENATE(N1432," ",O1432)</f>
        <v>Trochosa terricola</v>
      </c>
      <c r="Q1432" s="1" t="s">
        <v>30</v>
      </c>
      <c r="R1432" s="1" t="s">
        <v>31</v>
      </c>
      <c r="S1432" s="3" t="n">
        <v>1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f aca="false">SUM(S1432:T1432)</f>
        <v>1</v>
      </c>
      <c r="Z1432" s="3" t="n">
        <f aca="false">SUM(U1432:W1432)</f>
        <v>0</v>
      </c>
      <c r="AA1432" s="3" t="n">
        <f aca="false">SUM(S1432:X1432)</f>
        <v>1</v>
      </c>
      <c r="AB1432" s="11" t="n">
        <f aca="false">(AA1432/(K1432*L1432)*25)*4</f>
        <v>4</v>
      </c>
    </row>
    <row r="1433" customFormat="false" ht="14.25" hidden="false" customHeight="false" outlineLevel="0" collapsed="false">
      <c r="A1433" s="1" t="n">
        <v>2014</v>
      </c>
      <c r="B1433" s="7" t="s">
        <v>322</v>
      </c>
      <c r="C1433" s="7" t="n">
        <v>3</v>
      </c>
      <c r="D1433" s="7" t="s">
        <v>293</v>
      </c>
      <c r="E1433" s="7" t="s">
        <v>293</v>
      </c>
      <c r="F1433" s="3" t="s">
        <v>110</v>
      </c>
      <c r="G1433" s="3" t="n">
        <v>3</v>
      </c>
      <c r="H1433" s="3" t="n">
        <v>11</v>
      </c>
      <c r="I1433" s="22" t="n">
        <v>41870</v>
      </c>
      <c r="J1433" s="22" t="n">
        <v>41875</v>
      </c>
      <c r="K1433" s="43" t="n">
        <f aca="false">J1433-I1433</f>
        <v>5</v>
      </c>
      <c r="L1433" s="1" t="n">
        <v>5</v>
      </c>
      <c r="M1433" s="3" t="s">
        <v>72</v>
      </c>
      <c r="N1433" s="3" t="s">
        <v>73</v>
      </c>
      <c r="O1433" s="3" t="s">
        <v>74</v>
      </c>
      <c r="P1433" s="2" t="str">
        <f aca="false">CONCATENATE(N1433," ",O1433)</f>
        <v>Zelotes subterraneus</v>
      </c>
      <c r="Q1433" s="1" t="s">
        <v>30</v>
      </c>
      <c r="R1433" s="1" t="s">
        <v>35</v>
      </c>
      <c r="S1433" s="3" t="n">
        <v>0</v>
      </c>
      <c r="T1433" s="3" t="n">
        <v>1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f aca="false">SUM(S1433:T1433)</f>
        <v>1</v>
      </c>
      <c r="Z1433" s="3" t="n">
        <f aca="false">SUM(U1433:W1433)</f>
        <v>0</v>
      </c>
      <c r="AA1433" s="3" t="n">
        <f aca="false">SUM(S1433:X1433)</f>
        <v>1</v>
      </c>
      <c r="AB1433" s="11" t="n">
        <f aca="false">(AA1433/(K1433*L1433)*25)*4</f>
        <v>4</v>
      </c>
    </row>
    <row r="1434" customFormat="false" ht="14.25" hidden="false" customHeight="false" outlineLevel="0" collapsed="false">
      <c r="A1434" s="1" t="n">
        <v>2014</v>
      </c>
      <c r="B1434" s="7" t="s">
        <v>322</v>
      </c>
      <c r="C1434" s="7" t="n">
        <v>3</v>
      </c>
      <c r="D1434" s="7" t="s">
        <v>293</v>
      </c>
      <c r="E1434" s="7" t="s">
        <v>293</v>
      </c>
      <c r="F1434" s="3" t="s">
        <v>110</v>
      </c>
      <c r="G1434" s="3" t="n">
        <v>2</v>
      </c>
      <c r="H1434" s="3" t="n">
        <v>9</v>
      </c>
      <c r="I1434" s="22" t="n">
        <v>41870</v>
      </c>
      <c r="J1434" s="22" t="n">
        <v>41875</v>
      </c>
      <c r="K1434" s="43" t="n">
        <f aca="false">J1434-I1434</f>
        <v>5</v>
      </c>
      <c r="L1434" s="1" t="n">
        <v>5</v>
      </c>
      <c r="M1434" s="3" t="s">
        <v>48</v>
      </c>
      <c r="N1434" s="3" t="s">
        <v>61</v>
      </c>
      <c r="O1434" s="3" t="s">
        <v>82</v>
      </c>
      <c r="P1434" s="2" t="str">
        <f aca="false">CONCATENATE(N1434," ",O1434)</f>
        <v>Trochosa terricola</v>
      </c>
      <c r="Q1434" s="1" t="s">
        <v>30</v>
      </c>
      <c r="R1434" s="1" t="s">
        <v>31</v>
      </c>
      <c r="S1434" s="3" t="n">
        <v>1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f aca="false">SUM(S1434:T1434)</f>
        <v>1</v>
      </c>
      <c r="Z1434" s="3" t="n">
        <f aca="false">SUM(U1434:W1434)</f>
        <v>0</v>
      </c>
      <c r="AA1434" s="3" t="n">
        <f aca="false">SUM(S1434:X1434)</f>
        <v>1</v>
      </c>
      <c r="AB1434" s="11" t="n">
        <f aca="false">(AA1434/(K1434*L1434)*25)*4</f>
        <v>4</v>
      </c>
    </row>
    <row r="1435" customFormat="false" ht="14.25" hidden="false" customHeight="false" outlineLevel="0" collapsed="false">
      <c r="A1435" s="1" t="n">
        <v>2014</v>
      </c>
      <c r="B1435" s="7" t="s">
        <v>322</v>
      </c>
      <c r="C1435" s="7" t="n">
        <v>3</v>
      </c>
      <c r="D1435" s="7" t="s">
        <v>293</v>
      </c>
      <c r="E1435" s="7" t="s">
        <v>293</v>
      </c>
      <c r="F1435" s="3" t="s">
        <v>110</v>
      </c>
      <c r="G1435" s="3" t="n">
        <v>2</v>
      </c>
      <c r="H1435" s="3" t="n">
        <v>9</v>
      </c>
      <c r="I1435" s="22" t="n">
        <v>41870</v>
      </c>
      <c r="J1435" s="22" t="n">
        <v>41875</v>
      </c>
      <c r="K1435" s="43" t="n">
        <f aca="false">J1435-I1435</f>
        <v>5</v>
      </c>
      <c r="L1435" s="1" t="n">
        <v>5</v>
      </c>
      <c r="M1435" s="3" t="s">
        <v>48</v>
      </c>
      <c r="N1435" s="3" t="s">
        <v>61</v>
      </c>
      <c r="O1435" s="3" t="s">
        <v>82</v>
      </c>
      <c r="P1435" s="2" t="str">
        <f aca="false">CONCATENATE(N1435," ",O1435)</f>
        <v>Trochosa terricola</v>
      </c>
      <c r="Q1435" s="1" t="s">
        <v>30</v>
      </c>
      <c r="R1435" s="1" t="s">
        <v>35</v>
      </c>
      <c r="S1435" s="3" t="n">
        <v>0</v>
      </c>
      <c r="T1435" s="3" t="n">
        <v>1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f aca="false">SUM(S1435:T1435)</f>
        <v>1</v>
      </c>
      <c r="Z1435" s="3" t="n">
        <f aca="false">SUM(U1435:W1435)</f>
        <v>0</v>
      </c>
      <c r="AA1435" s="3" t="n">
        <f aca="false">SUM(S1435:X1435)</f>
        <v>1</v>
      </c>
      <c r="AB1435" s="11" t="n">
        <f aca="false">(AA1435/(K1435*L1435)*25)*4</f>
        <v>4</v>
      </c>
    </row>
    <row r="1436" customFormat="false" ht="14.25" hidden="false" customHeight="false" outlineLevel="0" collapsed="false">
      <c r="A1436" s="1" t="n">
        <v>2014</v>
      </c>
      <c r="B1436" s="7" t="s">
        <v>322</v>
      </c>
      <c r="C1436" s="7" t="n">
        <v>3</v>
      </c>
      <c r="D1436" s="7" t="s">
        <v>293</v>
      </c>
      <c r="E1436" s="7" t="s">
        <v>293</v>
      </c>
      <c r="F1436" s="3" t="s">
        <v>110</v>
      </c>
      <c r="G1436" s="3" t="n">
        <v>2</v>
      </c>
      <c r="H1436" s="3" t="n">
        <v>9</v>
      </c>
      <c r="I1436" s="22" t="n">
        <v>41870</v>
      </c>
      <c r="J1436" s="22" t="n">
        <v>41875</v>
      </c>
      <c r="K1436" s="43" t="n">
        <f aca="false">J1436-I1436</f>
        <v>5</v>
      </c>
      <c r="L1436" s="1" t="n">
        <v>5</v>
      </c>
      <c r="M1436" s="3" t="s">
        <v>36</v>
      </c>
      <c r="N1436" s="3" t="s">
        <v>37</v>
      </c>
      <c r="O1436" s="3" t="s">
        <v>75</v>
      </c>
      <c r="P1436" s="2" t="str">
        <f aca="false">CONCATENATE(N1436," ",O1436)</f>
        <v>Ozyptila praticola</v>
      </c>
      <c r="Q1436" s="1" t="s">
        <v>30</v>
      </c>
      <c r="R1436" s="1" t="s">
        <v>35</v>
      </c>
      <c r="S1436" s="3" t="n">
        <v>0</v>
      </c>
      <c r="T1436" s="3" t="n">
        <v>1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f aca="false">SUM(S1436:T1436)</f>
        <v>1</v>
      </c>
      <c r="Z1436" s="3" t="n">
        <f aca="false">SUM(U1436:W1436)</f>
        <v>0</v>
      </c>
      <c r="AA1436" s="3" t="n">
        <f aca="false">SUM(S1436:X1436)</f>
        <v>1</v>
      </c>
      <c r="AB1436" s="11" t="n">
        <f aca="false">(AA1436/(K1436*L1436)*25)*4</f>
        <v>4</v>
      </c>
    </row>
    <row r="1437" customFormat="false" ht="14.25" hidden="false" customHeight="false" outlineLevel="0" collapsed="false">
      <c r="A1437" s="1" t="n">
        <v>2014</v>
      </c>
      <c r="B1437" s="7" t="s">
        <v>322</v>
      </c>
      <c r="C1437" s="7" t="n">
        <v>3</v>
      </c>
      <c r="D1437" s="7" t="s">
        <v>293</v>
      </c>
      <c r="E1437" s="7" t="s">
        <v>293</v>
      </c>
      <c r="F1437" s="3" t="s">
        <v>110</v>
      </c>
      <c r="G1437" s="3" t="n">
        <v>3</v>
      </c>
      <c r="H1437" s="3" t="n">
        <v>12</v>
      </c>
      <c r="I1437" s="22" t="n">
        <v>41870</v>
      </c>
      <c r="J1437" s="22" t="n">
        <v>41875</v>
      </c>
      <c r="K1437" s="43" t="n">
        <f aca="false">J1437-I1437</f>
        <v>5</v>
      </c>
      <c r="L1437" s="1" t="n">
        <v>5</v>
      </c>
      <c r="M1437" s="3" t="s">
        <v>48</v>
      </c>
      <c r="N1437" s="3" t="s">
        <v>61</v>
      </c>
      <c r="O1437" s="3" t="s">
        <v>82</v>
      </c>
      <c r="P1437" s="2" t="str">
        <f aca="false">CONCATENATE(N1437," ",O1437)</f>
        <v>Trochosa terricola</v>
      </c>
      <c r="Q1437" s="1" t="s">
        <v>30</v>
      </c>
      <c r="R1437" s="1" t="s">
        <v>31</v>
      </c>
      <c r="S1437" s="3" t="n">
        <v>3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f aca="false">SUM(S1437:T1437)</f>
        <v>3</v>
      </c>
      <c r="Z1437" s="3" t="n">
        <f aca="false">SUM(U1437:W1437)</f>
        <v>0</v>
      </c>
      <c r="AA1437" s="3" t="n">
        <f aca="false">SUM(S1437:X1437)</f>
        <v>3</v>
      </c>
      <c r="AB1437" s="11" t="n">
        <f aca="false">(AA1437/(K1437*L1437)*25)*4</f>
        <v>12</v>
      </c>
    </row>
    <row r="1438" customFormat="false" ht="14.25" hidden="false" customHeight="false" outlineLevel="0" collapsed="false">
      <c r="A1438" s="1" t="n">
        <v>2014</v>
      </c>
      <c r="B1438" s="7" t="s">
        <v>322</v>
      </c>
      <c r="C1438" s="7" t="n">
        <v>3</v>
      </c>
      <c r="D1438" s="7" t="s">
        <v>293</v>
      </c>
      <c r="E1438" s="7" t="s">
        <v>293</v>
      </c>
      <c r="F1438" s="3" t="s">
        <v>110</v>
      </c>
      <c r="G1438" s="3" t="n">
        <v>3</v>
      </c>
      <c r="H1438" s="3" t="n">
        <v>12</v>
      </c>
      <c r="I1438" s="22" t="n">
        <v>41870</v>
      </c>
      <c r="J1438" s="22" t="n">
        <v>41875</v>
      </c>
      <c r="K1438" s="43" t="n">
        <f aca="false">J1438-I1438</f>
        <v>5</v>
      </c>
      <c r="L1438" s="1" t="n">
        <v>5</v>
      </c>
      <c r="M1438" s="3" t="s">
        <v>48</v>
      </c>
      <c r="N1438" s="3" t="s">
        <v>61</v>
      </c>
      <c r="O1438" s="3" t="s">
        <v>82</v>
      </c>
      <c r="P1438" s="2" t="str">
        <f aca="false">CONCATENATE(N1438," ",O1438)</f>
        <v>Trochosa terricola</v>
      </c>
      <c r="Q1438" s="1" t="s">
        <v>30</v>
      </c>
      <c r="R1438" s="1" t="s">
        <v>35</v>
      </c>
      <c r="S1438" s="3" t="n">
        <v>0</v>
      </c>
      <c r="T1438" s="3" t="n">
        <v>5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f aca="false">SUM(S1438:T1438)</f>
        <v>5</v>
      </c>
      <c r="Z1438" s="3" t="n">
        <f aca="false">SUM(U1438:W1438)</f>
        <v>0</v>
      </c>
      <c r="AA1438" s="3" t="n">
        <f aca="false">SUM(S1438:X1438)</f>
        <v>5</v>
      </c>
      <c r="AB1438" s="11" t="n">
        <f aca="false">(AA1438/(K1438*L1438)*25)*4</f>
        <v>20</v>
      </c>
    </row>
    <row r="1439" customFormat="false" ht="14.25" hidden="false" customHeight="false" outlineLevel="0" collapsed="false">
      <c r="A1439" s="1" t="n">
        <v>2014</v>
      </c>
      <c r="B1439" s="7" t="s">
        <v>322</v>
      </c>
      <c r="C1439" s="7" t="n">
        <v>3</v>
      </c>
      <c r="D1439" s="7" t="s">
        <v>293</v>
      </c>
      <c r="E1439" s="7" t="s">
        <v>293</v>
      </c>
      <c r="F1439" s="3" t="s">
        <v>110</v>
      </c>
      <c r="G1439" s="3" t="n">
        <v>3</v>
      </c>
      <c r="H1439" s="3" t="n">
        <v>12</v>
      </c>
      <c r="I1439" s="22" t="n">
        <v>41870</v>
      </c>
      <c r="J1439" s="22" t="n">
        <v>41875</v>
      </c>
      <c r="K1439" s="43" t="n">
        <f aca="false">J1439-I1439</f>
        <v>5</v>
      </c>
      <c r="L1439" s="1" t="n">
        <v>5</v>
      </c>
      <c r="M1439" s="3" t="s">
        <v>41</v>
      </c>
      <c r="N1439" s="3" t="s">
        <v>42</v>
      </c>
      <c r="O1439" s="3" t="s">
        <v>43</v>
      </c>
      <c r="P1439" s="2" t="str">
        <f aca="false">CONCATENATE(N1439," ",O1439)</f>
        <v>Agroeca proxima</v>
      </c>
      <c r="Q1439" s="1" t="s">
        <v>30</v>
      </c>
      <c r="R1439" s="1" t="s">
        <v>31</v>
      </c>
      <c r="S1439" s="3" t="n">
        <v>1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f aca="false">SUM(S1439:T1439)</f>
        <v>1</v>
      </c>
      <c r="Z1439" s="3" t="n">
        <f aca="false">SUM(U1439:W1439)</f>
        <v>0</v>
      </c>
      <c r="AA1439" s="3" t="n">
        <f aca="false">SUM(S1439:X1439)</f>
        <v>1</v>
      </c>
      <c r="AB1439" s="11" t="n">
        <f aca="false">(AA1439/(K1439*L1439)*25)*4</f>
        <v>4</v>
      </c>
    </row>
    <row r="1440" customFormat="false" ht="14.25" hidden="false" customHeight="false" outlineLevel="0" collapsed="false">
      <c r="A1440" s="1" t="n">
        <v>2014</v>
      </c>
      <c r="B1440" s="7" t="s">
        <v>322</v>
      </c>
      <c r="C1440" s="7" t="n">
        <v>3</v>
      </c>
      <c r="D1440" s="7" t="s">
        <v>293</v>
      </c>
      <c r="E1440" s="7" t="s">
        <v>293</v>
      </c>
      <c r="F1440" s="3" t="s">
        <v>110</v>
      </c>
      <c r="G1440" s="3" t="n">
        <v>2</v>
      </c>
      <c r="H1440" s="3" t="n">
        <v>7</v>
      </c>
      <c r="I1440" s="22" t="n">
        <v>41870</v>
      </c>
      <c r="J1440" s="22" t="n">
        <v>41875</v>
      </c>
      <c r="K1440" s="43" t="n">
        <f aca="false">J1440-I1440</f>
        <v>5</v>
      </c>
      <c r="L1440" s="1" t="n">
        <v>5</v>
      </c>
      <c r="M1440" s="3" t="s">
        <v>48</v>
      </c>
      <c r="N1440" s="3" t="s">
        <v>61</v>
      </c>
      <c r="O1440" s="3" t="s">
        <v>82</v>
      </c>
      <c r="P1440" s="2" t="str">
        <f aca="false">CONCATENATE(N1440," ",O1440)</f>
        <v>Trochosa terricola</v>
      </c>
      <c r="Q1440" s="1" t="s">
        <v>30</v>
      </c>
      <c r="R1440" s="1" t="s">
        <v>35</v>
      </c>
      <c r="S1440" s="3" t="n">
        <v>0</v>
      </c>
      <c r="T1440" s="3" t="n">
        <v>2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f aca="false">SUM(S1440:T1440)</f>
        <v>2</v>
      </c>
      <c r="Z1440" s="3" t="n">
        <f aca="false">SUM(U1440:W1440)</f>
        <v>0</v>
      </c>
      <c r="AA1440" s="3" t="n">
        <f aca="false">SUM(S1440:X1440)</f>
        <v>2</v>
      </c>
      <c r="AB1440" s="11" t="n">
        <f aca="false">(AA1440/(K1440*L1440)*25)*4</f>
        <v>8</v>
      </c>
    </row>
    <row r="1441" customFormat="false" ht="14.25" hidden="false" customHeight="false" outlineLevel="0" collapsed="false">
      <c r="A1441" s="1" t="n">
        <v>2014</v>
      </c>
      <c r="B1441" s="7" t="s">
        <v>322</v>
      </c>
      <c r="C1441" s="7" t="n">
        <v>3</v>
      </c>
      <c r="D1441" s="7" t="s">
        <v>293</v>
      </c>
      <c r="E1441" s="7" t="s">
        <v>293</v>
      </c>
      <c r="F1441" s="3" t="s">
        <v>110</v>
      </c>
      <c r="G1441" s="3" t="n">
        <v>2</v>
      </c>
      <c r="H1441" s="3" t="n">
        <v>7</v>
      </c>
      <c r="I1441" s="22" t="n">
        <v>41870</v>
      </c>
      <c r="J1441" s="22" t="n">
        <v>41875</v>
      </c>
      <c r="K1441" s="43" t="n">
        <f aca="false">J1441-I1441</f>
        <v>5</v>
      </c>
      <c r="L1441" s="1" t="n">
        <v>5</v>
      </c>
      <c r="M1441" s="3" t="s">
        <v>36</v>
      </c>
      <c r="N1441" s="3" t="s">
        <v>37</v>
      </c>
      <c r="O1441" s="3" t="s">
        <v>75</v>
      </c>
      <c r="P1441" s="2" t="str">
        <f aca="false">CONCATENATE(N1441," ",O1441)</f>
        <v>Ozyptila praticola</v>
      </c>
      <c r="Q1441" s="1" t="s">
        <v>30</v>
      </c>
      <c r="R1441" s="1" t="s">
        <v>31</v>
      </c>
      <c r="S1441" s="3" t="n">
        <v>1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f aca="false">SUM(S1441:T1441)</f>
        <v>1</v>
      </c>
      <c r="Z1441" s="3" t="n">
        <f aca="false">SUM(U1441:W1441)</f>
        <v>0</v>
      </c>
      <c r="AA1441" s="3" t="n">
        <f aca="false">SUM(S1441:X1441)</f>
        <v>1</v>
      </c>
      <c r="AB1441" s="11" t="n">
        <f aca="false">(AA1441/(K1441*L1441)*25)*4</f>
        <v>4</v>
      </c>
    </row>
    <row r="1442" customFormat="false" ht="14.25" hidden="false" customHeight="false" outlineLevel="0" collapsed="false">
      <c r="A1442" s="1" t="n">
        <v>2014</v>
      </c>
      <c r="B1442" s="7" t="s">
        <v>322</v>
      </c>
      <c r="C1442" s="7" t="n">
        <v>3</v>
      </c>
      <c r="D1442" s="7" t="s">
        <v>293</v>
      </c>
      <c r="E1442" s="7" t="s">
        <v>293</v>
      </c>
      <c r="F1442" s="3" t="s">
        <v>110</v>
      </c>
      <c r="G1442" s="3" t="n">
        <v>1</v>
      </c>
      <c r="H1442" s="3" t="n">
        <v>4</v>
      </c>
      <c r="I1442" s="22" t="n">
        <v>41870</v>
      </c>
      <c r="J1442" s="22" t="n">
        <v>41875</v>
      </c>
      <c r="K1442" s="43" t="n">
        <f aca="false">J1442-I1442</f>
        <v>5</v>
      </c>
      <c r="L1442" s="1" t="n">
        <v>5</v>
      </c>
      <c r="M1442" s="3" t="s">
        <v>48</v>
      </c>
      <c r="N1442" s="3" t="s">
        <v>61</v>
      </c>
      <c r="O1442" s="3" t="s">
        <v>82</v>
      </c>
      <c r="P1442" s="2" t="str">
        <f aca="false">CONCATENATE(N1442," ",O1442)</f>
        <v>Trochosa terricola</v>
      </c>
      <c r="Q1442" s="1" t="s">
        <v>30</v>
      </c>
      <c r="R1442" s="1" t="s">
        <v>35</v>
      </c>
      <c r="S1442" s="3" t="n">
        <v>0</v>
      </c>
      <c r="T1442" s="3" t="n">
        <v>1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f aca="false">SUM(S1442:T1442)</f>
        <v>1</v>
      </c>
      <c r="Z1442" s="3" t="n">
        <f aca="false">SUM(U1442:W1442)</f>
        <v>0</v>
      </c>
      <c r="AA1442" s="3" t="n">
        <f aca="false">SUM(S1442:X1442)</f>
        <v>1</v>
      </c>
      <c r="AB1442" s="11" t="n">
        <f aca="false">(AA1442/(K1442*L1442)*25)*4</f>
        <v>4</v>
      </c>
    </row>
    <row r="1443" customFormat="false" ht="14.25" hidden="false" customHeight="false" outlineLevel="0" collapsed="false">
      <c r="A1443" s="1" t="n">
        <v>2014</v>
      </c>
      <c r="B1443" s="7" t="s">
        <v>322</v>
      </c>
      <c r="C1443" s="7" t="n">
        <v>3</v>
      </c>
      <c r="D1443" s="7" t="s">
        <v>293</v>
      </c>
      <c r="E1443" s="7" t="s">
        <v>293</v>
      </c>
      <c r="F1443" s="3" t="s">
        <v>110</v>
      </c>
      <c r="G1443" s="3" t="n">
        <v>1</v>
      </c>
      <c r="H1443" s="3" t="n">
        <v>4</v>
      </c>
      <c r="I1443" s="22" t="n">
        <v>41870</v>
      </c>
      <c r="J1443" s="22" t="n">
        <v>41875</v>
      </c>
      <c r="K1443" s="43" t="n">
        <f aca="false">J1443-I1443</f>
        <v>5</v>
      </c>
      <c r="L1443" s="1" t="n">
        <v>5</v>
      </c>
      <c r="M1443" s="3" t="s">
        <v>36</v>
      </c>
      <c r="N1443" s="3" t="s">
        <v>37</v>
      </c>
      <c r="O1443" s="3" t="s">
        <v>75</v>
      </c>
      <c r="P1443" s="2" t="str">
        <f aca="false">CONCATENATE(N1443," ",O1443)</f>
        <v>Ozyptila praticola</v>
      </c>
      <c r="Q1443" s="1" t="s">
        <v>30</v>
      </c>
      <c r="R1443" s="1" t="s">
        <v>31</v>
      </c>
      <c r="S1443" s="3" t="n">
        <v>1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f aca="false">SUM(S1443:T1443)</f>
        <v>1</v>
      </c>
      <c r="Z1443" s="3" t="n">
        <f aca="false">SUM(U1443:W1443)</f>
        <v>0</v>
      </c>
      <c r="AA1443" s="3" t="n">
        <f aca="false">SUM(S1443:X1443)</f>
        <v>1</v>
      </c>
      <c r="AB1443" s="11" t="n">
        <f aca="false">(AA1443/(K1443*L1443)*25)*4</f>
        <v>4</v>
      </c>
    </row>
    <row r="1444" customFormat="false" ht="14.25" hidden="false" customHeight="false" outlineLevel="0" collapsed="false">
      <c r="A1444" s="1" t="n">
        <v>2014</v>
      </c>
      <c r="B1444" s="7" t="s">
        <v>322</v>
      </c>
      <c r="C1444" s="7" t="n">
        <v>3</v>
      </c>
      <c r="D1444" s="7" t="s">
        <v>293</v>
      </c>
      <c r="E1444" s="7" t="s">
        <v>293</v>
      </c>
      <c r="F1444" s="3" t="s">
        <v>110</v>
      </c>
      <c r="G1444" s="3" t="n">
        <v>1</v>
      </c>
      <c r="H1444" s="3" t="n">
        <v>2</v>
      </c>
      <c r="I1444" s="22" t="n">
        <v>41870</v>
      </c>
      <c r="J1444" s="22" t="n">
        <v>41875</v>
      </c>
      <c r="K1444" s="43" t="n">
        <f aca="false">J1444-I1444</f>
        <v>5</v>
      </c>
      <c r="L1444" s="1" t="n">
        <v>5</v>
      </c>
      <c r="M1444" s="3" t="s">
        <v>48</v>
      </c>
      <c r="N1444" s="3" t="s">
        <v>61</v>
      </c>
      <c r="O1444" s="3" t="s">
        <v>82</v>
      </c>
      <c r="P1444" s="2" t="str">
        <f aca="false">CONCATENATE(N1444," ",O1444)</f>
        <v>Trochosa terricola</v>
      </c>
      <c r="Q1444" s="1" t="s">
        <v>30</v>
      </c>
      <c r="R1444" s="1" t="s">
        <v>31</v>
      </c>
      <c r="S1444" s="3" t="n">
        <v>2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f aca="false">SUM(S1444:T1444)</f>
        <v>2</v>
      </c>
      <c r="Z1444" s="3" t="n">
        <f aca="false">SUM(U1444:W1444)</f>
        <v>0</v>
      </c>
      <c r="AA1444" s="3" t="n">
        <f aca="false">SUM(S1444:X1444)</f>
        <v>2</v>
      </c>
      <c r="AB1444" s="11" t="n">
        <f aca="false">(AA1444/(K1444*L1444)*25)*4</f>
        <v>8</v>
      </c>
    </row>
    <row r="1445" customFormat="false" ht="14.25" hidden="false" customHeight="false" outlineLevel="0" collapsed="false">
      <c r="A1445" s="1" t="n">
        <v>2014</v>
      </c>
      <c r="B1445" s="7" t="s">
        <v>322</v>
      </c>
      <c r="C1445" s="7" t="n">
        <v>3</v>
      </c>
      <c r="D1445" s="7" t="s">
        <v>293</v>
      </c>
      <c r="E1445" s="7" t="s">
        <v>293</v>
      </c>
      <c r="F1445" s="3" t="s">
        <v>110</v>
      </c>
      <c r="G1445" s="3" t="n">
        <v>2</v>
      </c>
      <c r="H1445" s="3" t="n">
        <v>8</v>
      </c>
      <c r="I1445" s="22" t="n">
        <v>41870</v>
      </c>
      <c r="J1445" s="22" t="n">
        <v>41875</v>
      </c>
      <c r="K1445" s="43" t="n">
        <f aca="false">J1445-I1445</f>
        <v>5</v>
      </c>
      <c r="L1445" s="1" t="n">
        <v>5</v>
      </c>
      <c r="M1445" s="3" t="s">
        <v>48</v>
      </c>
      <c r="N1445" s="3" t="s">
        <v>61</v>
      </c>
      <c r="O1445" s="3" t="s">
        <v>82</v>
      </c>
      <c r="P1445" s="2" t="str">
        <f aca="false">CONCATENATE(N1445," ",O1445)</f>
        <v>Trochosa terricola</v>
      </c>
      <c r="Q1445" s="1" t="s">
        <v>30</v>
      </c>
      <c r="R1445" s="1" t="s">
        <v>31</v>
      </c>
      <c r="S1445" s="3" t="n">
        <v>1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f aca="false">SUM(S1445:T1445)</f>
        <v>1</v>
      </c>
      <c r="Z1445" s="3" t="n">
        <f aca="false">SUM(U1445:W1445)</f>
        <v>0</v>
      </c>
      <c r="AA1445" s="3" t="n">
        <f aca="false">SUM(S1445:X1445)</f>
        <v>1</v>
      </c>
      <c r="AB1445" s="11" t="n">
        <f aca="false">(AA1445/(K1445*L1445)*25)*4</f>
        <v>4</v>
      </c>
    </row>
    <row r="1446" customFormat="false" ht="14.25" hidden="false" customHeight="false" outlineLevel="0" collapsed="false">
      <c r="A1446" s="1" t="n">
        <v>2014</v>
      </c>
      <c r="B1446" s="7" t="s">
        <v>322</v>
      </c>
      <c r="C1446" s="7" t="n">
        <v>3</v>
      </c>
      <c r="D1446" s="7" t="s">
        <v>293</v>
      </c>
      <c r="E1446" s="7" t="s">
        <v>293</v>
      </c>
      <c r="F1446" s="3" t="s">
        <v>110</v>
      </c>
      <c r="G1446" s="3" t="n">
        <v>2</v>
      </c>
      <c r="H1446" s="3" t="n">
        <v>8</v>
      </c>
      <c r="I1446" s="22" t="n">
        <v>41870</v>
      </c>
      <c r="J1446" s="22" t="n">
        <v>41875</v>
      </c>
      <c r="K1446" s="43" t="n">
        <f aca="false">J1446-I1446</f>
        <v>5</v>
      </c>
      <c r="L1446" s="1" t="n">
        <v>5</v>
      </c>
      <c r="M1446" s="3" t="s">
        <v>72</v>
      </c>
      <c r="N1446" s="3" t="s">
        <v>73</v>
      </c>
      <c r="O1446" s="3" t="s">
        <v>74</v>
      </c>
      <c r="P1446" s="2" t="str">
        <f aca="false">CONCATENATE(N1446," ",O1446)</f>
        <v>Zelotes subterraneus</v>
      </c>
      <c r="Q1446" s="1" t="s">
        <v>30</v>
      </c>
      <c r="R1446" s="1" t="s">
        <v>31</v>
      </c>
      <c r="S1446" s="3" t="n">
        <v>2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f aca="false">SUM(S1446:T1446)</f>
        <v>2</v>
      </c>
      <c r="Z1446" s="3" t="n">
        <f aca="false">SUM(U1446:W1446)</f>
        <v>0</v>
      </c>
      <c r="AA1446" s="3" t="n">
        <f aca="false">SUM(S1446:X1446)</f>
        <v>2</v>
      </c>
      <c r="AB1446" s="11" t="n">
        <f aca="false">(AA1446/(K1446*L1446)*25)*4</f>
        <v>8</v>
      </c>
    </row>
    <row r="1447" customFormat="false" ht="14.25" hidden="false" customHeight="false" outlineLevel="0" collapsed="false">
      <c r="A1447" s="1" t="n">
        <v>2014</v>
      </c>
      <c r="B1447" s="7" t="s">
        <v>322</v>
      </c>
      <c r="C1447" s="7" t="n">
        <v>3</v>
      </c>
      <c r="D1447" s="7" t="s">
        <v>293</v>
      </c>
      <c r="E1447" s="7" t="s">
        <v>293</v>
      </c>
      <c r="F1447" s="3" t="s">
        <v>110</v>
      </c>
      <c r="G1447" s="3" t="n">
        <v>1</v>
      </c>
      <c r="H1447" s="3" t="n">
        <v>1</v>
      </c>
      <c r="I1447" s="22" t="n">
        <v>41870</v>
      </c>
      <c r="J1447" s="22" t="n">
        <v>41875</v>
      </c>
      <c r="K1447" s="43" t="n">
        <f aca="false">J1447-I1447</f>
        <v>5</v>
      </c>
      <c r="L1447" s="1" t="n">
        <v>5</v>
      </c>
      <c r="M1447" s="3" t="s">
        <v>48</v>
      </c>
      <c r="N1447" s="3" t="s">
        <v>61</v>
      </c>
      <c r="O1447" s="3" t="s">
        <v>82</v>
      </c>
      <c r="P1447" s="2" t="str">
        <f aca="false">CONCATENATE(N1447," ",O1447)</f>
        <v>Trochosa terricola</v>
      </c>
      <c r="Q1447" s="1" t="s">
        <v>30</v>
      </c>
      <c r="R1447" s="1" t="s">
        <v>31</v>
      </c>
      <c r="S1447" s="3" t="n">
        <v>1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f aca="false">SUM(S1447:T1447)</f>
        <v>1</v>
      </c>
      <c r="Z1447" s="3" t="n">
        <f aca="false">SUM(U1447:W1447)</f>
        <v>0</v>
      </c>
      <c r="AA1447" s="3" t="n">
        <f aca="false">SUM(S1447:X1447)</f>
        <v>1</v>
      </c>
      <c r="AB1447" s="11" t="n">
        <f aca="false">(AA1447/(K1447*L1447)*25)*4</f>
        <v>4</v>
      </c>
    </row>
    <row r="1448" customFormat="false" ht="14.25" hidden="false" customHeight="false" outlineLevel="0" collapsed="false">
      <c r="A1448" s="1" t="n">
        <v>2014</v>
      </c>
      <c r="B1448" s="7" t="s">
        <v>322</v>
      </c>
      <c r="C1448" s="7" t="n">
        <v>3</v>
      </c>
      <c r="D1448" s="7" t="s">
        <v>293</v>
      </c>
      <c r="E1448" s="7" t="s">
        <v>293</v>
      </c>
      <c r="F1448" s="3" t="s">
        <v>110</v>
      </c>
      <c r="G1448" s="3" t="n">
        <v>1</v>
      </c>
      <c r="H1448" s="3" t="n">
        <v>1</v>
      </c>
      <c r="I1448" s="22" t="n">
        <v>41870</v>
      </c>
      <c r="J1448" s="22" t="n">
        <v>41875</v>
      </c>
      <c r="K1448" s="43" t="n">
        <f aca="false">J1448-I1448</f>
        <v>5</v>
      </c>
      <c r="L1448" s="1" t="n">
        <v>5</v>
      </c>
      <c r="M1448" s="3" t="s">
        <v>226</v>
      </c>
      <c r="N1448" s="3" t="s">
        <v>65</v>
      </c>
      <c r="O1448" s="3" t="s">
        <v>335</v>
      </c>
      <c r="P1448" s="2" t="str">
        <f aca="false">CONCATENATE(N1448," ",O1448)</f>
        <v>Zora spinimana</v>
      </c>
      <c r="Q1448" s="1" t="s">
        <v>30</v>
      </c>
      <c r="R1448" s="1" t="s">
        <v>35</v>
      </c>
      <c r="S1448" s="3" t="n">
        <v>0</v>
      </c>
      <c r="T1448" s="3" t="n">
        <v>1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f aca="false">SUM(S1448:T1448)</f>
        <v>1</v>
      </c>
      <c r="Z1448" s="3" t="n">
        <f aca="false">SUM(U1448:W1448)</f>
        <v>0</v>
      </c>
      <c r="AA1448" s="3" t="n">
        <f aca="false">SUM(S1448:X1448)</f>
        <v>1</v>
      </c>
      <c r="AB1448" s="11" t="n">
        <f aca="false">(AA1448/(K1448*L1448)*25)*4</f>
        <v>4</v>
      </c>
    </row>
    <row r="1449" customFormat="false" ht="14.25" hidden="false" customHeight="false" outlineLevel="0" collapsed="false">
      <c r="A1449" s="1" t="n">
        <v>2014</v>
      </c>
      <c r="B1449" s="7" t="s">
        <v>322</v>
      </c>
      <c r="C1449" s="7" t="n">
        <v>3</v>
      </c>
      <c r="D1449" s="7" t="s">
        <v>293</v>
      </c>
      <c r="E1449" s="7" t="s">
        <v>293</v>
      </c>
      <c r="F1449" s="3" t="s">
        <v>101</v>
      </c>
      <c r="G1449" s="3" t="n">
        <v>1</v>
      </c>
      <c r="H1449" s="3" t="n">
        <v>4</v>
      </c>
      <c r="I1449" s="22" t="n">
        <v>41869</v>
      </c>
      <c r="J1449" s="22" t="n">
        <v>41874</v>
      </c>
      <c r="K1449" s="43" t="n">
        <f aca="false">J1449-I1449</f>
        <v>5</v>
      </c>
      <c r="L1449" s="1" t="n">
        <v>5</v>
      </c>
      <c r="M1449" s="3" t="s">
        <v>41</v>
      </c>
      <c r="N1449" s="3" t="s">
        <v>42</v>
      </c>
      <c r="O1449" s="3" t="s">
        <v>43</v>
      </c>
      <c r="P1449" s="2" t="str">
        <f aca="false">CONCATENATE(N1449," ",O1449)</f>
        <v>Agroeca proxima</v>
      </c>
      <c r="Q1449" s="1" t="s">
        <v>30</v>
      </c>
      <c r="R1449" s="1" t="s">
        <v>31</v>
      </c>
      <c r="S1449" s="3" t="n">
        <v>1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f aca="false">SUM(S1449:T1449)</f>
        <v>1</v>
      </c>
      <c r="Z1449" s="3" t="n">
        <f aca="false">SUM(U1449:W1449)</f>
        <v>0</v>
      </c>
      <c r="AA1449" s="3" t="n">
        <f aca="false">SUM(S1449:X1449)</f>
        <v>1</v>
      </c>
      <c r="AB1449" s="11" t="n">
        <f aca="false">(AA1449/(K1449*L1449)*25)*4</f>
        <v>4</v>
      </c>
    </row>
    <row r="1450" customFormat="false" ht="14.25" hidden="false" customHeight="false" outlineLevel="0" collapsed="false">
      <c r="A1450" s="1" t="n">
        <v>2014</v>
      </c>
      <c r="B1450" s="7" t="s">
        <v>322</v>
      </c>
      <c r="C1450" s="7" t="n">
        <v>3</v>
      </c>
      <c r="D1450" s="7" t="s">
        <v>293</v>
      </c>
      <c r="E1450" s="7" t="s">
        <v>293</v>
      </c>
      <c r="F1450" s="3" t="s">
        <v>101</v>
      </c>
      <c r="G1450" s="3" t="n">
        <v>1</v>
      </c>
      <c r="H1450" s="3" t="n">
        <v>4</v>
      </c>
      <c r="I1450" s="22" t="n">
        <v>41869</v>
      </c>
      <c r="J1450" s="22" t="n">
        <v>41874</v>
      </c>
      <c r="K1450" s="43" t="n">
        <f aca="false">J1450-I1450</f>
        <v>5</v>
      </c>
      <c r="L1450" s="1" t="n">
        <v>5</v>
      </c>
      <c r="M1450" s="3" t="s">
        <v>72</v>
      </c>
      <c r="N1450" s="3" t="s">
        <v>73</v>
      </c>
      <c r="O1450" s="3" t="s">
        <v>74</v>
      </c>
      <c r="P1450" s="2" t="str">
        <f aca="false">CONCATENATE(N1450," ",O1450)</f>
        <v>Zelotes subterraneus</v>
      </c>
      <c r="Q1450" s="1" t="s">
        <v>30</v>
      </c>
      <c r="R1450" s="1" t="s">
        <v>31</v>
      </c>
      <c r="S1450" s="3" t="n">
        <v>1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f aca="false">SUM(S1450:T1450)</f>
        <v>1</v>
      </c>
      <c r="Z1450" s="3" t="n">
        <f aca="false">SUM(U1450:W1450)</f>
        <v>0</v>
      </c>
      <c r="AA1450" s="3" t="n">
        <f aca="false">SUM(S1450:X1450)</f>
        <v>1</v>
      </c>
      <c r="AB1450" s="11" t="n">
        <f aca="false">(AA1450/(K1450*L1450)*25)*4</f>
        <v>4</v>
      </c>
    </row>
    <row r="1451" customFormat="false" ht="14.25" hidden="false" customHeight="false" outlineLevel="0" collapsed="false">
      <c r="A1451" s="1" t="n">
        <v>2014</v>
      </c>
      <c r="B1451" s="7" t="s">
        <v>322</v>
      </c>
      <c r="C1451" s="7" t="n">
        <v>3</v>
      </c>
      <c r="D1451" s="7" t="s">
        <v>293</v>
      </c>
      <c r="E1451" s="7" t="s">
        <v>293</v>
      </c>
      <c r="F1451" s="3" t="s">
        <v>101</v>
      </c>
      <c r="G1451" s="3" t="n">
        <v>1</v>
      </c>
      <c r="H1451" s="3" t="n">
        <v>4</v>
      </c>
      <c r="I1451" s="22" t="n">
        <v>41869</v>
      </c>
      <c r="J1451" s="22" t="n">
        <v>41874</v>
      </c>
      <c r="K1451" s="43" t="n">
        <f aca="false">J1451-I1451</f>
        <v>5</v>
      </c>
      <c r="L1451" s="1" t="n">
        <v>5</v>
      </c>
      <c r="M1451" s="3" t="s">
        <v>32</v>
      </c>
      <c r="N1451" s="3" t="s">
        <v>102</v>
      </c>
      <c r="O1451" s="3" t="s">
        <v>193</v>
      </c>
      <c r="P1451" s="2" t="str">
        <f aca="false">CONCATENATE(N1451," ",O1451)</f>
        <v>Agyneta subtilis</v>
      </c>
      <c r="Q1451" s="1" t="s">
        <v>30</v>
      </c>
      <c r="R1451" s="1" t="s">
        <v>35</v>
      </c>
      <c r="S1451" s="3" t="n">
        <v>0</v>
      </c>
      <c r="T1451" s="3" t="n">
        <v>1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f aca="false">SUM(S1451:T1451)</f>
        <v>1</v>
      </c>
      <c r="Z1451" s="3" t="n">
        <f aca="false">SUM(U1451:W1451)</f>
        <v>0</v>
      </c>
      <c r="AA1451" s="3" t="n">
        <f aca="false">SUM(S1451:X1451)</f>
        <v>1</v>
      </c>
      <c r="AB1451" s="11" t="n">
        <f aca="false">(AA1451/(K1451*L1451)*25)*4</f>
        <v>4</v>
      </c>
    </row>
    <row r="1452" customFormat="false" ht="14.25" hidden="false" customHeight="false" outlineLevel="0" collapsed="false">
      <c r="A1452" s="1" t="n">
        <v>2014</v>
      </c>
      <c r="B1452" s="7" t="s">
        <v>322</v>
      </c>
      <c r="C1452" s="7" t="n">
        <v>3</v>
      </c>
      <c r="D1452" s="7" t="s">
        <v>293</v>
      </c>
      <c r="E1452" s="7" t="s">
        <v>293</v>
      </c>
      <c r="F1452" s="3" t="s">
        <v>101</v>
      </c>
      <c r="G1452" s="3" t="n">
        <v>3</v>
      </c>
      <c r="H1452" s="3" t="n">
        <v>15</v>
      </c>
      <c r="I1452" s="22" t="n">
        <v>41869</v>
      </c>
      <c r="J1452" s="22" t="n">
        <v>41874</v>
      </c>
      <c r="K1452" s="43" t="n">
        <f aca="false">J1452-I1452</f>
        <v>5</v>
      </c>
      <c r="L1452" s="1" t="n">
        <v>5</v>
      </c>
      <c r="M1452" s="3" t="s">
        <v>32</v>
      </c>
      <c r="N1452" s="3" t="s">
        <v>62</v>
      </c>
      <c r="O1452" s="3" t="s">
        <v>63</v>
      </c>
      <c r="P1452" s="2" t="str">
        <f aca="false">CONCATENATE(N1452," ",O1452)</f>
        <v>Microneta viaria</v>
      </c>
      <c r="Q1452" s="1" t="s">
        <v>30</v>
      </c>
      <c r="R1452" s="1" t="s">
        <v>31</v>
      </c>
      <c r="S1452" s="3" t="n">
        <v>1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f aca="false">SUM(S1452:T1452)</f>
        <v>1</v>
      </c>
      <c r="Z1452" s="3" t="n">
        <f aca="false">SUM(U1452:W1452)</f>
        <v>0</v>
      </c>
      <c r="AA1452" s="3" t="n">
        <f aca="false">SUM(S1452:X1452)</f>
        <v>1</v>
      </c>
      <c r="AB1452" s="11" t="n">
        <f aca="false">(AA1452/(K1452*L1452)*25)*4</f>
        <v>4</v>
      </c>
    </row>
    <row r="1453" customFormat="false" ht="14.25" hidden="false" customHeight="false" outlineLevel="0" collapsed="false">
      <c r="A1453" s="1" t="n">
        <v>2014</v>
      </c>
      <c r="B1453" s="7" t="s">
        <v>322</v>
      </c>
      <c r="C1453" s="7" t="n">
        <v>3</v>
      </c>
      <c r="D1453" s="7" t="s">
        <v>293</v>
      </c>
      <c r="E1453" s="7" t="s">
        <v>293</v>
      </c>
      <c r="F1453" s="3" t="s">
        <v>101</v>
      </c>
      <c r="G1453" s="3" t="n">
        <v>3</v>
      </c>
      <c r="H1453" s="3" t="n">
        <v>14</v>
      </c>
      <c r="I1453" s="22" t="n">
        <v>41869</v>
      </c>
      <c r="J1453" s="22" t="n">
        <v>41874</v>
      </c>
      <c r="K1453" s="43" t="n">
        <f aca="false">J1453-I1453</f>
        <v>5</v>
      </c>
      <c r="L1453" s="1" t="n">
        <v>5</v>
      </c>
      <c r="M1453" s="3" t="s">
        <v>48</v>
      </c>
      <c r="N1453" s="3" t="s">
        <v>61</v>
      </c>
      <c r="O1453" s="3" t="s">
        <v>82</v>
      </c>
      <c r="P1453" s="2" t="str">
        <f aca="false">CONCATENATE(N1453," ",O1453)</f>
        <v>Trochosa terricola</v>
      </c>
      <c r="Q1453" s="1" t="s">
        <v>30</v>
      </c>
      <c r="R1453" s="1" t="s">
        <v>35</v>
      </c>
      <c r="S1453" s="3" t="n">
        <v>0</v>
      </c>
      <c r="T1453" s="3" t="n">
        <v>2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f aca="false">SUM(S1453:T1453)</f>
        <v>2</v>
      </c>
      <c r="Z1453" s="3" t="n">
        <f aca="false">SUM(U1453:W1453)</f>
        <v>0</v>
      </c>
      <c r="AA1453" s="3" t="n">
        <f aca="false">SUM(S1453:X1453)</f>
        <v>2</v>
      </c>
      <c r="AB1453" s="11" t="n">
        <f aca="false">(AA1453/(K1453*L1453)*25)*4</f>
        <v>8</v>
      </c>
    </row>
    <row r="1454" customFormat="false" ht="14.25" hidden="false" customHeight="false" outlineLevel="0" collapsed="false">
      <c r="A1454" s="1" t="n">
        <v>2014</v>
      </c>
      <c r="B1454" s="7" t="s">
        <v>322</v>
      </c>
      <c r="C1454" s="7" t="n">
        <v>3</v>
      </c>
      <c r="D1454" s="7" t="s">
        <v>293</v>
      </c>
      <c r="E1454" s="7" t="s">
        <v>293</v>
      </c>
      <c r="F1454" s="3" t="s">
        <v>101</v>
      </c>
      <c r="G1454" s="3" t="n">
        <v>3</v>
      </c>
      <c r="H1454" s="3" t="n">
        <v>14</v>
      </c>
      <c r="I1454" s="22" t="n">
        <v>41869</v>
      </c>
      <c r="J1454" s="22" t="n">
        <v>41874</v>
      </c>
      <c r="K1454" s="43" t="n">
        <f aca="false">J1454-I1454</f>
        <v>5</v>
      </c>
      <c r="L1454" s="1" t="n">
        <v>5</v>
      </c>
      <c r="M1454" s="3" t="s">
        <v>48</v>
      </c>
      <c r="N1454" s="3" t="s">
        <v>67</v>
      </c>
      <c r="O1454" s="3" t="s">
        <v>127</v>
      </c>
      <c r="P1454" s="2" t="str">
        <f aca="false">CONCATENATE(N1454," ",O1454)</f>
        <v>Pardosa lugubris</v>
      </c>
      <c r="Q1454" s="1" t="s">
        <v>30</v>
      </c>
      <c r="R1454" s="1" t="s">
        <v>35</v>
      </c>
      <c r="S1454" s="3" t="n">
        <v>0</v>
      </c>
      <c r="T1454" s="3" t="n">
        <v>1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f aca="false">SUM(S1454:T1454)</f>
        <v>1</v>
      </c>
      <c r="Z1454" s="3" t="n">
        <f aca="false">SUM(U1454:W1454)</f>
        <v>0</v>
      </c>
      <c r="AA1454" s="3" t="n">
        <f aca="false">SUM(S1454:X1454)</f>
        <v>1</v>
      </c>
      <c r="AB1454" s="11" t="n">
        <f aca="false">(AA1454/(K1454*L1454)*25)*4</f>
        <v>4</v>
      </c>
    </row>
    <row r="1455" customFormat="false" ht="14.25" hidden="false" customHeight="false" outlineLevel="0" collapsed="false">
      <c r="A1455" s="1" t="n">
        <v>2014</v>
      </c>
      <c r="B1455" s="7" t="s">
        <v>322</v>
      </c>
      <c r="C1455" s="7" t="n">
        <v>3</v>
      </c>
      <c r="D1455" s="7" t="s">
        <v>293</v>
      </c>
      <c r="E1455" s="7" t="s">
        <v>293</v>
      </c>
      <c r="F1455" s="3" t="s">
        <v>101</v>
      </c>
      <c r="G1455" s="3" t="n">
        <v>3</v>
      </c>
      <c r="H1455" s="3" t="n">
        <v>14</v>
      </c>
      <c r="I1455" s="22" t="n">
        <v>41869</v>
      </c>
      <c r="J1455" s="22" t="n">
        <v>41874</v>
      </c>
      <c r="K1455" s="43" t="n">
        <f aca="false">J1455-I1455</f>
        <v>5</v>
      </c>
      <c r="L1455" s="1" t="n">
        <v>5</v>
      </c>
      <c r="M1455" s="3" t="s">
        <v>41</v>
      </c>
      <c r="N1455" s="3" t="s">
        <v>42</v>
      </c>
      <c r="O1455" s="3" t="s">
        <v>43</v>
      </c>
      <c r="P1455" s="2" t="str">
        <f aca="false">CONCATENATE(N1455," ",O1455)</f>
        <v>Agroeca proxima</v>
      </c>
      <c r="Q1455" s="1" t="s">
        <v>30</v>
      </c>
      <c r="R1455" s="1" t="s">
        <v>31</v>
      </c>
      <c r="S1455" s="3" t="n">
        <v>1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f aca="false">SUM(S1455:T1455)</f>
        <v>1</v>
      </c>
      <c r="Z1455" s="3" t="n">
        <f aca="false">SUM(U1455:W1455)</f>
        <v>0</v>
      </c>
      <c r="AA1455" s="3" t="n">
        <f aca="false">SUM(S1455:X1455)</f>
        <v>1</v>
      </c>
      <c r="AB1455" s="11" t="n">
        <f aca="false">(AA1455/(K1455*L1455)*25)*4</f>
        <v>4</v>
      </c>
    </row>
    <row r="1456" customFormat="false" ht="14.25" hidden="false" customHeight="false" outlineLevel="0" collapsed="false">
      <c r="A1456" s="1" t="n">
        <v>2014</v>
      </c>
      <c r="B1456" s="7" t="s">
        <v>322</v>
      </c>
      <c r="C1456" s="7" t="n">
        <v>3</v>
      </c>
      <c r="D1456" s="7" t="s">
        <v>293</v>
      </c>
      <c r="E1456" s="7" t="s">
        <v>293</v>
      </c>
      <c r="F1456" s="3" t="s">
        <v>101</v>
      </c>
      <c r="G1456" s="3" t="n">
        <v>3</v>
      </c>
      <c r="H1456" s="3" t="n">
        <v>14</v>
      </c>
      <c r="I1456" s="22" t="n">
        <v>41869</v>
      </c>
      <c r="J1456" s="22" t="n">
        <v>41874</v>
      </c>
      <c r="K1456" s="43" t="n">
        <f aca="false">J1456-I1456</f>
        <v>5</v>
      </c>
      <c r="L1456" s="1" t="n">
        <v>5</v>
      </c>
      <c r="M1456" s="3" t="s">
        <v>72</v>
      </c>
      <c r="N1456" s="3" t="s">
        <v>86</v>
      </c>
      <c r="O1456" s="3" t="s">
        <v>87</v>
      </c>
      <c r="P1456" s="2" t="str">
        <f aca="false">CONCATENATE(N1456," ",O1456)</f>
        <v>Haplodrassus soerenseni</v>
      </c>
      <c r="Q1456" s="1" t="s">
        <v>30</v>
      </c>
      <c r="R1456" s="1" t="s">
        <v>35</v>
      </c>
      <c r="S1456" s="3" t="n">
        <v>0</v>
      </c>
      <c r="T1456" s="3" t="n">
        <v>1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f aca="false">SUM(S1456:T1456)</f>
        <v>1</v>
      </c>
      <c r="Z1456" s="3" t="n">
        <f aca="false">SUM(U1456:W1456)</f>
        <v>0</v>
      </c>
      <c r="AA1456" s="3" t="n">
        <f aca="false">SUM(S1456:X1456)</f>
        <v>1</v>
      </c>
      <c r="AB1456" s="11" t="n">
        <f aca="false">(AA1456/(K1456*L1456)*25)*4</f>
        <v>4</v>
      </c>
    </row>
    <row r="1457" customFormat="false" ht="14.25" hidden="false" customHeight="false" outlineLevel="0" collapsed="false">
      <c r="A1457" s="1" t="n">
        <v>2014</v>
      </c>
      <c r="B1457" s="7" t="s">
        <v>322</v>
      </c>
      <c r="C1457" s="7" t="n">
        <v>3</v>
      </c>
      <c r="D1457" s="7" t="s">
        <v>293</v>
      </c>
      <c r="E1457" s="7" t="s">
        <v>293</v>
      </c>
      <c r="F1457" s="3" t="s">
        <v>101</v>
      </c>
      <c r="G1457" s="3" t="n">
        <v>3</v>
      </c>
      <c r="H1457" s="3" t="n">
        <v>14</v>
      </c>
      <c r="I1457" s="22" t="n">
        <v>41869</v>
      </c>
      <c r="J1457" s="22" t="n">
        <v>41874</v>
      </c>
      <c r="K1457" s="43" t="n">
        <f aca="false">J1457-I1457</f>
        <v>5</v>
      </c>
      <c r="L1457" s="1" t="n">
        <v>5</v>
      </c>
      <c r="M1457" s="3" t="s">
        <v>32</v>
      </c>
      <c r="N1457" s="3" t="s">
        <v>33</v>
      </c>
      <c r="O1457" s="3" t="s">
        <v>60</v>
      </c>
      <c r="P1457" s="2" t="str">
        <f aca="false">CONCATENATE(N1457," ",O1457)</f>
        <v>Tenuiphantes tenebricola</v>
      </c>
      <c r="Q1457" s="1" t="s">
        <v>30</v>
      </c>
      <c r="R1457" s="1" t="s">
        <v>31</v>
      </c>
      <c r="S1457" s="3" t="n">
        <v>1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f aca="false">SUM(S1457:T1457)</f>
        <v>1</v>
      </c>
      <c r="Z1457" s="3" t="n">
        <f aca="false">SUM(U1457:W1457)</f>
        <v>0</v>
      </c>
      <c r="AA1457" s="3" t="n">
        <f aca="false">SUM(S1457:X1457)</f>
        <v>1</v>
      </c>
      <c r="AB1457" s="11" t="n">
        <f aca="false">(AA1457/(K1457*L1457)*25)*4</f>
        <v>4</v>
      </c>
    </row>
    <row r="1458" customFormat="false" ht="14.25" hidden="false" customHeight="false" outlineLevel="0" collapsed="false">
      <c r="A1458" s="1" t="n">
        <v>2014</v>
      </c>
      <c r="B1458" s="7" t="s">
        <v>322</v>
      </c>
      <c r="C1458" s="7" t="n">
        <v>3</v>
      </c>
      <c r="D1458" s="7" t="s">
        <v>293</v>
      </c>
      <c r="E1458" s="7" t="s">
        <v>293</v>
      </c>
      <c r="F1458" s="3" t="s">
        <v>101</v>
      </c>
      <c r="G1458" s="3" t="n">
        <v>2</v>
      </c>
      <c r="H1458" s="3" t="n">
        <v>8</v>
      </c>
      <c r="I1458" s="22" t="n">
        <v>41869</v>
      </c>
      <c r="J1458" s="22" t="n">
        <v>41874</v>
      </c>
      <c r="K1458" s="43" t="n">
        <f aca="false">J1458-I1458</f>
        <v>5</v>
      </c>
      <c r="L1458" s="1" t="n">
        <v>5</v>
      </c>
      <c r="M1458" s="3" t="s">
        <v>138</v>
      </c>
      <c r="N1458" s="3" t="s">
        <v>205</v>
      </c>
      <c r="O1458" s="3" t="s">
        <v>206</v>
      </c>
      <c r="P1458" s="2" t="str">
        <f aca="false">CONCATENATE(N1458," ",O1458)</f>
        <v>Clubiona caerulescens</v>
      </c>
      <c r="Q1458" s="1" t="s">
        <v>30</v>
      </c>
      <c r="R1458" s="1" t="s">
        <v>35</v>
      </c>
      <c r="S1458" s="3" t="n">
        <v>0</v>
      </c>
      <c r="T1458" s="3" t="n">
        <v>1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f aca="false">SUM(S1458:T1458)</f>
        <v>1</v>
      </c>
      <c r="Z1458" s="3" t="n">
        <f aca="false">SUM(U1458:W1458)</f>
        <v>0</v>
      </c>
      <c r="AA1458" s="3" t="n">
        <f aca="false">SUM(S1458:X1458)</f>
        <v>1</v>
      </c>
      <c r="AB1458" s="11" t="n">
        <f aca="false">(AA1458/(K1458*L1458)*25)*4</f>
        <v>4</v>
      </c>
    </row>
    <row r="1459" customFormat="false" ht="14.25" hidden="false" customHeight="false" outlineLevel="0" collapsed="false">
      <c r="A1459" s="1" t="n">
        <v>2014</v>
      </c>
      <c r="B1459" s="7" t="s">
        <v>322</v>
      </c>
      <c r="C1459" s="7" t="n">
        <v>3</v>
      </c>
      <c r="D1459" s="7" t="s">
        <v>293</v>
      </c>
      <c r="E1459" s="7" t="s">
        <v>293</v>
      </c>
      <c r="F1459" s="3" t="s">
        <v>101</v>
      </c>
      <c r="G1459" s="3" t="n">
        <v>2</v>
      </c>
      <c r="H1459" s="3" t="n">
        <v>8</v>
      </c>
      <c r="I1459" s="22" t="n">
        <v>41869</v>
      </c>
      <c r="J1459" s="22" t="n">
        <v>41874</v>
      </c>
      <c r="K1459" s="43" t="n">
        <f aca="false">J1459-I1459</f>
        <v>5</v>
      </c>
      <c r="L1459" s="1" t="n">
        <v>5</v>
      </c>
      <c r="M1459" s="3" t="s">
        <v>48</v>
      </c>
      <c r="N1459" s="3" t="s">
        <v>61</v>
      </c>
      <c r="O1459" s="3" t="s">
        <v>82</v>
      </c>
      <c r="P1459" s="2" t="str">
        <f aca="false">CONCATENATE(N1459," ",O1459)</f>
        <v>Trochosa terricola</v>
      </c>
      <c r="Q1459" s="1" t="s">
        <v>30</v>
      </c>
      <c r="R1459" s="1" t="s">
        <v>35</v>
      </c>
      <c r="S1459" s="3" t="n">
        <v>0</v>
      </c>
      <c r="T1459" s="3" t="n">
        <v>1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f aca="false">SUM(S1459:T1459)</f>
        <v>1</v>
      </c>
      <c r="Z1459" s="3" t="n">
        <f aca="false">SUM(U1459:W1459)</f>
        <v>0</v>
      </c>
      <c r="AA1459" s="3" t="n">
        <f aca="false">SUM(S1459:X1459)</f>
        <v>1</v>
      </c>
      <c r="AB1459" s="11" t="n">
        <f aca="false">(AA1459/(K1459*L1459)*25)*4</f>
        <v>4</v>
      </c>
    </row>
    <row r="1460" customFormat="false" ht="14.25" hidden="false" customHeight="false" outlineLevel="0" collapsed="false">
      <c r="A1460" s="1" t="n">
        <v>2014</v>
      </c>
      <c r="B1460" s="7" t="s">
        <v>322</v>
      </c>
      <c r="C1460" s="7" t="n">
        <v>3</v>
      </c>
      <c r="D1460" s="7" t="s">
        <v>293</v>
      </c>
      <c r="E1460" s="7" t="s">
        <v>293</v>
      </c>
      <c r="F1460" s="3" t="s">
        <v>101</v>
      </c>
      <c r="G1460" s="3" t="n">
        <v>2</v>
      </c>
      <c r="H1460" s="3" t="n">
        <v>7</v>
      </c>
      <c r="I1460" s="22" t="n">
        <v>41869</v>
      </c>
      <c r="J1460" s="22" t="n">
        <v>41874</v>
      </c>
      <c r="K1460" s="43" t="n">
        <f aca="false">J1460-I1460</f>
        <v>5</v>
      </c>
      <c r="L1460" s="1" t="n">
        <v>5</v>
      </c>
      <c r="M1460" s="3" t="s">
        <v>135</v>
      </c>
      <c r="N1460" s="3" t="s">
        <v>136</v>
      </c>
      <c r="O1460" s="3" t="s">
        <v>137</v>
      </c>
      <c r="P1460" s="2" t="str">
        <f aca="false">CONCATENATE(N1460," ",O1460)</f>
        <v>Thanatus sabulosus</v>
      </c>
      <c r="Q1460" s="1" t="s">
        <v>30</v>
      </c>
      <c r="R1460" s="1" t="s">
        <v>35</v>
      </c>
      <c r="S1460" s="3" t="n">
        <v>0</v>
      </c>
      <c r="T1460" s="3" t="n">
        <v>1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f aca="false">SUM(S1460:T1460)</f>
        <v>1</v>
      </c>
      <c r="Z1460" s="3" t="n">
        <f aca="false">SUM(U1460:W1460)</f>
        <v>0</v>
      </c>
      <c r="AA1460" s="3" t="n">
        <f aca="false">SUM(S1460:X1460)</f>
        <v>1</v>
      </c>
      <c r="AB1460" s="11" t="n">
        <f aca="false">(AA1460/(K1460*L1460)*25)*4</f>
        <v>4</v>
      </c>
    </row>
    <row r="1461" customFormat="false" ht="14.25" hidden="false" customHeight="false" outlineLevel="0" collapsed="false">
      <c r="A1461" s="1" t="n">
        <v>2014</v>
      </c>
      <c r="B1461" s="7" t="s">
        <v>322</v>
      </c>
      <c r="C1461" s="7" t="n">
        <v>3</v>
      </c>
      <c r="D1461" s="7" t="s">
        <v>293</v>
      </c>
      <c r="E1461" s="7" t="s">
        <v>293</v>
      </c>
      <c r="F1461" s="3" t="s">
        <v>101</v>
      </c>
      <c r="G1461" s="3" t="n">
        <v>2</v>
      </c>
      <c r="H1461" s="3" t="n">
        <v>7</v>
      </c>
      <c r="I1461" s="22" t="n">
        <v>41869</v>
      </c>
      <c r="J1461" s="22" t="n">
        <v>41874</v>
      </c>
      <c r="K1461" s="43" t="n">
        <f aca="false">J1461-I1461</f>
        <v>5</v>
      </c>
      <c r="L1461" s="1" t="n">
        <v>5</v>
      </c>
      <c r="M1461" s="3" t="s">
        <v>32</v>
      </c>
      <c r="N1461" s="3" t="s">
        <v>33</v>
      </c>
      <c r="O1461" s="3" t="s">
        <v>81</v>
      </c>
      <c r="P1461" s="2" t="str">
        <f aca="false">CONCATENATE(N1461," ",O1461)</f>
        <v>Tenuiphantes mengei</v>
      </c>
      <c r="Q1461" s="1" t="s">
        <v>30</v>
      </c>
      <c r="R1461" s="1" t="s">
        <v>35</v>
      </c>
      <c r="S1461" s="3" t="n">
        <v>0</v>
      </c>
      <c r="T1461" s="3" t="n">
        <v>1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f aca="false">SUM(S1461:T1461)</f>
        <v>1</v>
      </c>
      <c r="Z1461" s="3" t="n">
        <f aca="false">SUM(U1461:W1461)</f>
        <v>0</v>
      </c>
      <c r="AA1461" s="3" t="n">
        <f aca="false">SUM(S1461:X1461)</f>
        <v>1</v>
      </c>
      <c r="AB1461" s="11" t="n">
        <f aca="false">(AA1461/(K1461*L1461)*25)*4</f>
        <v>4</v>
      </c>
    </row>
    <row r="1462" customFormat="false" ht="14.25" hidden="false" customHeight="false" outlineLevel="0" collapsed="false">
      <c r="A1462" s="1" t="n">
        <v>2014</v>
      </c>
      <c r="B1462" s="7" t="s">
        <v>322</v>
      </c>
      <c r="C1462" s="7" t="n">
        <v>3</v>
      </c>
      <c r="D1462" s="7" t="s">
        <v>293</v>
      </c>
      <c r="E1462" s="7" t="s">
        <v>293</v>
      </c>
      <c r="F1462" s="3" t="s">
        <v>101</v>
      </c>
      <c r="G1462" s="3" t="n">
        <v>1</v>
      </c>
      <c r="H1462" s="3" t="n">
        <v>2</v>
      </c>
      <c r="I1462" s="22" t="n">
        <v>41869</v>
      </c>
      <c r="J1462" s="22" t="n">
        <v>41874</v>
      </c>
      <c r="K1462" s="43" t="n">
        <f aca="false">J1462-I1462</f>
        <v>5</v>
      </c>
      <c r="L1462" s="1" t="n">
        <v>5</v>
      </c>
      <c r="M1462" s="3" t="s">
        <v>36</v>
      </c>
      <c r="N1462" s="3" t="s">
        <v>37</v>
      </c>
      <c r="O1462" s="3" t="s">
        <v>75</v>
      </c>
      <c r="P1462" s="2" t="str">
        <f aca="false">CONCATENATE(N1462," ",O1462)</f>
        <v>Ozyptila praticola</v>
      </c>
      <c r="Q1462" s="1" t="s">
        <v>30</v>
      </c>
      <c r="R1462" s="1" t="s">
        <v>31</v>
      </c>
      <c r="S1462" s="3" t="n">
        <v>1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f aca="false">SUM(S1462:T1462)</f>
        <v>1</v>
      </c>
      <c r="Z1462" s="3" t="n">
        <f aca="false">SUM(U1462:W1462)</f>
        <v>0</v>
      </c>
      <c r="AA1462" s="3" t="n">
        <f aca="false">SUM(S1462:X1462)</f>
        <v>1</v>
      </c>
      <c r="AB1462" s="11" t="n">
        <f aca="false">(AA1462/(K1462*L1462)*25)*4</f>
        <v>4</v>
      </c>
    </row>
    <row r="1463" customFormat="false" ht="14.25" hidden="false" customHeight="false" outlineLevel="0" collapsed="false">
      <c r="A1463" s="1" t="n">
        <v>2014</v>
      </c>
      <c r="B1463" s="7" t="s">
        <v>322</v>
      </c>
      <c r="C1463" s="7" t="n">
        <v>3</v>
      </c>
      <c r="D1463" s="7" t="s">
        <v>293</v>
      </c>
      <c r="E1463" s="7" t="s">
        <v>293</v>
      </c>
      <c r="F1463" s="3" t="s">
        <v>101</v>
      </c>
      <c r="G1463" s="3" t="n">
        <v>1</v>
      </c>
      <c r="H1463" s="3" t="n">
        <v>2</v>
      </c>
      <c r="I1463" s="22" t="n">
        <v>41869</v>
      </c>
      <c r="J1463" s="22" t="n">
        <v>41874</v>
      </c>
      <c r="K1463" s="43" t="n">
        <f aca="false">J1463-I1463</f>
        <v>5</v>
      </c>
      <c r="L1463" s="1" t="n">
        <v>5</v>
      </c>
      <c r="M1463" s="3" t="s">
        <v>36</v>
      </c>
      <c r="N1463" s="3" t="s">
        <v>37</v>
      </c>
      <c r="O1463" s="3" t="s">
        <v>109</v>
      </c>
      <c r="P1463" s="2" t="str">
        <f aca="false">CONCATENATE(N1463," ",O1463)</f>
        <v>Ozyptila trux</v>
      </c>
      <c r="Q1463" s="1" t="s">
        <v>30</v>
      </c>
      <c r="R1463" s="1" t="s">
        <v>35</v>
      </c>
      <c r="S1463" s="3" t="n">
        <v>0</v>
      </c>
      <c r="T1463" s="3" t="n">
        <v>1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f aca="false">SUM(S1463:T1463)</f>
        <v>1</v>
      </c>
      <c r="Z1463" s="3" t="n">
        <f aca="false">SUM(U1463:W1463)</f>
        <v>0</v>
      </c>
      <c r="AA1463" s="3" t="n">
        <f aca="false">SUM(S1463:X1463)</f>
        <v>1</v>
      </c>
      <c r="AB1463" s="11" t="n">
        <f aca="false">(AA1463/(K1463*L1463)*25)*4</f>
        <v>4</v>
      </c>
    </row>
    <row r="1464" customFormat="false" ht="14.25" hidden="false" customHeight="false" outlineLevel="0" collapsed="false">
      <c r="A1464" s="1" t="n">
        <v>2014</v>
      </c>
      <c r="B1464" s="7" t="s">
        <v>322</v>
      </c>
      <c r="C1464" s="7" t="n">
        <v>3</v>
      </c>
      <c r="D1464" s="7" t="s">
        <v>293</v>
      </c>
      <c r="E1464" s="7" t="s">
        <v>293</v>
      </c>
      <c r="F1464" s="3" t="s">
        <v>101</v>
      </c>
      <c r="G1464" s="3" t="n">
        <v>1</v>
      </c>
      <c r="H1464" s="3" t="n">
        <v>3</v>
      </c>
      <c r="I1464" s="22" t="n">
        <v>41869</v>
      </c>
      <c r="J1464" s="22" t="n">
        <v>41874</v>
      </c>
      <c r="K1464" s="43" t="n">
        <f aca="false">J1464-I1464</f>
        <v>5</v>
      </c>
      <c r="L1464" s="1" t="n">
        <v>5</v>
      </c>
      <c r="M1464" s="3" t="s">
        <v>48</v>
      </c>
      <c r="N1464" s="3" t="s">
        <v>61</v>
      </c>
      <c r="O1464" s="3" t="s">
        <v>82</v>
      </c>
      <c r="P1464" s="2" t="str">
        <f aca="false">CONCATENATE(N1464," ",O1464)</f>
        <v>Trochosa terricola</v>
      </c>
      <c r="Q1464" s="1" t="s">
        <v>30</v>
      </c>
      <c r="R1464" s="1" t="s">
        <v>35</v>
      </c>
      <c r="S1464" s="3" t="n">
        <v>0</v>
      </c>
      <c r="T1464" s="3" t="n">
        <v>1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f aca="false">SUM(S1464:T1464)</f>
        <v>1</v>
      </c>
      <c r="Z1464" s="3" t="n">
        <f aca="false">SUM(U1464:W1464)</f>
        <v>0</v>
      </c>
      <c r="AA1464" s="3" t="n">
        <f aca="false">SUM(S1464:X1464)</f>
        <v>1</v>
      </c>
      <c r="AB1464" s="11" t="n">
        <f aca="false">(AA1464/(K1464*L1464)*25)*4</f>
        <v>4</v>
      </c>
    </row>
    <row r="1465" customFormat="false" ht="14.25" hidden="false" customHeight="false" outlineLevel="0" collapsed="false">
      <c r="A1465" s="1" t="n">
        <v>2014</v>
      </c>
      <c r="B1465" s="7" t="s">
        <v>322</v>
      </c>
      <c r="C1465" s="7" t="n">
        <v>3</v>
      </c>
      <c r="D1465" s="7" t="s">
        <v>293</v>
      </c>
      <c r="E1465" s="7" t="s">
        <v>293</v>
      </c>
      <c r="F1465" s="3" t="s">
        <v>101</v>
      </c>
      <c r="G1465" s="3" t="n">
        <v>3</v>
      </c>
      <c r="H1465" s="3" t="n">
        <v>12</v>
      </c>
      <c r="I1465" s="22" t="n">
        <v>41869</v>
      </c>
      <c r="J1465" s="22" t="n">
        <v>41874</v>
      </c>
      <c r="K1465" s="43" t="n">
        <f aca="false">J1465-I1465</f>
        <v>5</v>
      </c>
      <c r="L1465" s="1" t="n">
        <v>5</v>
      </c>
      <c r="M1465" s="3" t="s">
        <v>41</v>
      </c>
      <c r="N1465" s="3" t="s">
        <v>42</v>
      </c>
      <c r="O1465" s="3" t="s">
        <v>43</v>
      </c>
      <c r="P1465" s="2" t="str">
        <f aca="false">CONCATENATE(N1465," ",O1465)</f>
        <v>Agroeca proxima</v>
      </c>
      <c r="Q1465" s="1" t="s">
        <v>30</v>
      </c>
      <c r="R1465" s="1" t="s">
        <v>31</v>
      </c>
      <c r="S1465" s="3" t="n">
        <v>1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f aca="false">SUM(S1465:T1465)</f>
        <v>1</v>
      </c>
      <c r="Z1465" s="3" t="n">
        <f aca="false">SUM(U1465:W1465)</f>
        <v>0</v>
      </c>
      <c r="AA1465" s="3" t="n">
        <f aca="false">SUM(S1465:X1465)</f>
        <v>1</v>
      </c>
      <c r="AB1465" s="11" t="n">
        <f aca="false">(AA1465/(K1465*L1465)*25)*4</f>
        <v>4</v>
      </c>
    </row>
    <row r="1466" customFormat="false" ht="14.25" hidden="false" customHeight="false" outlineLevel="0" collapsed="false">
      <c r="A1466" s="1" t="n">
        <v>2014</v>
      </c>
      <c r="B1466" s="7" t="s">
        <v>322</v>
      </c>
      <c r="C1466" s="7" t="n">
        <v>3</v>
      </c>
      <c r="D1466" s="7" t="s">
        <v>293</v>
      </c>
      <c r="E1466" s="7" t="s">
        <v>293</v>
      </c>
      <c r="F1466" s="3" t="s">
        <v>101</v>
      </c>
      <c r="G1466" s="3" t="n">
        <v>3</v>
      </c>
      <c r="H1466" s="3" t="n">
        <v>12</v>
      </c>
      <c r="I1466" s="22" t="n">
        <v>41869</v>
      </c>
      <c r="J1466" s="22" t="n">
        <v>41874</v>
      </c>
      <c r="K1466" s="43" t="n">
        <f aca="false">J1466-I1466</f>
        <v>5</v>
      </c>
      <c r="L1466" s="1" t="n">
        <v>5</v>
      </c>
      <c r="M1466" s="3" t="s">
        <v>36</v>
      </c>
      <c r="N1466" s="3" t="s">
        <v>37</v>
      </c>
      <c r="O1466" s="3" t="s">
        <v>75</v>
      </c>
      <c r="P1466" s="2" t="str">
        <f aca="false">CONCATENATE(N1466," ",O1466)</f>
        <v>Ozyptila praticola</v>
      </c>
      <c r="Q1466" s="1" t="s">
        <v>30</v>
      </c>
      <c r="R1466" s="1" t="s">
        <v>31</v>
      </c>
      <c r="S1466" s="3" t="n">
        <v>2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f aca="false">SUM(S1466:T1466)</f>
        <v>2</v>
      </c>
      <c r="Z1466" s="3" t="n">
        <f aca="false">SUM(U1466:W1466)</f>
        <v>0</v>
      </c>
      <c r="AA1466" s="3" t="n">
        <f aca="false">SUM(S1466:X1466)</f>
        <v>2</v>
      </c>
      <c r="AB1466" s="11" t="n">
        <f aca="false">(AA1466/(K1466*L1466)*25)*4</f>
        <v>8</v>
      </c>
    </row>
    <row r="1467" customFormat="false" ht="14.25" hidden="false" customHeight="false" outlineLevel="0" collapsed="false">
      <c r="A1467" s="1" t="n">
        <v>2014</v>
      </c>
      <c r="B1467" s="7" t="s">
        <v>322</v>
      </c>
      <c r="C1467" s="7" t="n">
        <v>3</v>
      </c>
      <c r="D1467" s="7" t="s">
        <v>293</v>
      </c>
      <c r="E1467" s="7" t="s">
        <v>293</v>
      </c>
      <c r="F1467" s="3" t="s">
        <v>101</v>
      </c>
      <c r="G1467" s="3" t="n">
        <v>3</v>
      </c>
      <c r="H1467" s="3" t="n">
        <v>12</v>
      </c>
      <c r="I1467" s="22" t="n">
        <v>41869</v>
      </c>
      <c r="J1467" s="22" t="n">
        <v>41874</v>
      </c>
      <c r="K1467" s="43" t="n">
        <f aca="false">J1467-I1467</f>
        <v>5</v>
      </c>
      <c r="L1467" s="1" t="n">
        <v>5</v>
      </c>
      <c r="M1467" s="3" t="s">
        <v>32</v>
      </c>
      <c r="N1467" s="3" t="s">
        <v>68</v>
      </c>
      <c r="O1467" s="3" t="s">
        <v>69</v>
      </c>
      <c r="P1467" s="2" t="str">
        <f aca="false">CONCATENATE(N1467," ",O1467)</f>
        <v>Centromerus sylvaticus</v>
      </c>
      <c r="Q1467" s="1" t="s">
        <v>30</v>
      </c>
      <c r="R1467" s="1" t="s">
        <v>35</v>
      </c>
      <c r="S1467" s="3" t="n">
        <v>0</v>
      </c>
      <c r="T1467" s="3" t="n">
        <v>1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f aca="false">SUM(S1467:T1467)</f>
        <v>1</v>
      </c>
      <c r="Z1467" s="3" t="n">
        <f aca="false">SUM(U1467:W1467)</f>
        <v>0</v>
      </c>
      <c r="AA1467" s="3" t="n">
        <f aca="false">SUM(S1467:X1467)</f>
        <v>1</v>
      </c>
      <c r="AB1467" s="11" t="n">
        <f aca="false">(AA1467/(K1467*L1467)*25)*4</f>
        <v>4</v>
      </c>
    </row>
    <row r="1468" customFormat="false" ht="14.25" hidden="false" customHeight="false" outlineLevel="0" collapsed="false">
      <c r="A1468" s="1" t="n">
        <v>2014</v>
      </c>
      <c r="B1468" s="7" t="s">
        <v>322</v>
      </c>
      <c r="C1468" s="7" t="n">
        <v>3</v>
      </c>
      <c r="D1468" s="7" t="s">
        <v>293</v>
      </c>
      <c r="E1468" s="7" t="s">
        <v>293</v>
      </c>
      <c r="F1468" s="3" t="s">
        <v>101</v>
      </c>
      <c r="G1468" s="3" t="n">
        <v>2</v>
      </c>
      <c r="H1468" s="3" t="n">
        <v>10</v>
      </c>
      <c r="I1468" s="22" t="n">
        <v>41869</v>
      </c>
      <c r="J1468" s="22" t="n">
        <v>41874</v>
      </c>
      <c r="K1468" s="43" t="n">
        <f aca="false">J1468-I1468</f>
        <v>5</v>
      </c>
      <c r="L1468" s="1" t="n">
        <v>5</v>
      </c>
      <c r="M1468" s="3" t="s">
        <v>48</v>
      </c>
      <c r="N1468" s="3" t="s">
        <v>49</v>
      </c>
      <c r="O1468" s="3" t="s">
        <v>104</v>
      </c>
      <c r="P1468" s="2" t="str">
        <f aca="false">CONCATENATE(N1468," ",O1468)</f>
        <v>Alopecosa taeniata</v>
      </c>
      <c r="Q1468" s="1" t="s">
        <v>30</v>
      </c>
      <c r="R1468" s="1" t="s">
        <v>35</v>
      </c>
      <c r="S1468" s="3" t="n">
        <v>0</v>
      </c>
      <c r="T1468" s="3" t="n">
        <v>1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f aca="false">SUM(S1468:T1468)</f>
        <v>1</v>
      </c>
      <c r="Z1468" s="3" t="n">
        <f aca="false">SUM(U1468:W1468)</f>
        <v>0</v>
      </c>
      <c r="AA1468" s="3" t="n">
        <f aca="false">SUM(S1468:X1468)</f>
        <v>1</v>
      </c>
      <c r="AB1468" s="11" t="n">
        <f aca="false">(AA1468/(K1468*L1468)*25)*4</f>
        <v>4</v>
      </c>
    </row>
    <row r="1469" customFormat="false" ht="14.25" hidden="false" customHeight="false" outlineLevel="0" collapsed="false">
      <c r="A1469" s="1" t="n">
        <v>2014</v>
      </c>
      <c r="B1469" s="7" t="s">
        <v>322</v>
      </c>
      <c r="C1469" s="7" t="n">
        <v>3</v>
      </c>
      <c r="D1469" s="7" t="s">
        <v>293</v>
      </c>
      <c r="E1469" s="7" t="s">
        <v>293</v>
      </c>
      <c r="F1469" s="3" t="s">
        <v>101</v>
      </c>
      <c r="G1469" s="3" t="n">
        <v>2</v>
      </c>
      <c r="H1469" s="3" t="n">
        <v>10</v>
      </c>
      <c r="I1469" s="22" t="n">
        <v>41869</v>
      </c>
      <c r="J1469" s="22" t="n">
        <v>41874</v>
      </c>
      <c r="K1469" s="43" t="n">
        <f aca="false">J1469-I1469</f>
        <v>5</v>
      </c>
      <c r="L1469" s="1" t="n">
        <v>5</v>
      </c>
      <c r="M1469" s="3" t="s">
        <v>226</v>
      </c>
      <c r="N1469" s="3" t="s">
        <v>65</v>
      </c>
      <c r="O1469" s="3" t="s">
        <v>335</v>
      </c>
      <c r="P1469" s="2" t="str">
        <f aca="false">CONCATENATE(N1469," ",O1469)</f>
        <v>Zora spinimana</v>
      </c>
      <c r="Q1469" s="1" t="s">
        <v>30</v>
      </c>
      <c r="R1469" s="1" t="s">
        <v>35</v>
      </c>
      <c r="S1469" s="3" t="n">
        <v>0</v>
      </c>
      <c r="T1469" s="3" t="n">
        <v>1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f aca="false">SUM(S1469:T1469)</f>
        <v>1</v>
      </c>
      <c r="Z1469" s="3" t="n">
        <f aca="false">SUM(U1469:W1469)</f>
        <v>0</v>
      </c>
      <c r="AA1469" s="3" t="n">
        <f aca="false">SUM(S1469:X1469)</f>
        <v>1</v>
      </c>
      <c r="AB1469" s="11" t="n">
        <f aca="false">(AA1469/(K1469*L1469)*25)*4</f>
        <v>4</v>
      </c>
    </row>
    <row r="1470" customFormat="false" ht="14.25" hidden="false" customHeight="false" outlineLevel="0" collapsed="false">
      <c r="A1470" s="1" t="n">
        <v>2014</v>
      </c>
      <c r="B1470" s="7" t="s">
        <v>322</v>
      </c>
      <c r="C1470" s="7" t="n">
        <v>3</v>
      </c>
      <c r="D1470" s="7" t="s">
        <v>293</v>
      </c>
      <c r="E1470" s="7" t="s">
        <v>293</v>
      </c>
      <c r="F1470" s="3" t="s">
        <v>101</v>
      </c>
      <c r="G1470" s="3" t="n">
        <v>1</v>
      </c>
      <c r="H1470" s="3" t="n">
        <v>1</v>
      </c>
      <c r="I1470" s="22" t="n">
        <v>41869</v>
      </c>
      <c r="J1470" s="22" t="n">
        <v>41874</v>
      </c>
      <c r="K1470" s="43" t="n">
        <f aca="false">J1470-I1470</f>
        <v>5</v>
      </c>
      <c r="L1470" s="1" t="n">
        <v>5</v>
      </c>
      <c r="M1470" s="3" t="s">
        <v>48</v>
      </c>
      <c r="N1470" s="3" t="s">
        <v>61</v>
      </c>
      <c r="O1470" s="3" t="s">
        <v>82</v>
      </c>
      <c r="P1470" s="2" t="str">
        <f aca="false">CONCATENATE(N1470," ",O1470)</f>
        <v>Trochosa terricola</v>
      </c>
      <c r="Q1470" s="1" t="s">
        <v>30</v>
      </c>
      <c r="R1470" s="1" t="s">
        <v>31</v>
      </c>
      <c r="S1470" s="3" t="n">
        <v>2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f aca="false">SUM(S1470:T1470)</f>
        <v>2</v>
      </c>
      <c r="Z1470" s="3" t="n">
        <f aca="false">SUM(U1470:W1470)</f>
        <v>0</v>
      </c>
      <c r="AA1470" s="3" t="n">
        <f aca="false">SUM(S1470:X1470)</f>
        <v>2</v>
      </c>
      <c r="AB1470" s="11" t="n">
        <f aca="false">(AA1470/(K1470*L1470)*25)*4</f>
        <v>8</v>
      </c>
    </row>
    <row r="1471" customFormat="false" ht="14.25" hidden="false" customHeight="false" outlineLevel="0" collapsed="false">
      <c r="A1471" s="1" t="n">
        <v>2014</v>
      </c>
      <c r="B1471" s="7" t="s">
        <v>322</v>
      </c>
      <c r="C1471" s="7" t="n">
        <v>3</v>
      </c>
      <c r="D1471" s="7" t="s">
        <v>293</v>
      </c>
      <c r="E1471" s="7" t="s">
        <v>293</v>
      </c>
      <c r="F1471" s="3" t="s">
        <v>101</v>
      </c>
      <c r="G1471" s="3" t="n">
        <v>1</v>
      </c>
      <c r="H1471" s="3" t="n">
        <v>1</v>
      </c>
      <c r="I1471" s="22" t="n">
        <v>41869</v>
      </c>
      <c r="J1471" s="22" t="n">
        <v>41874</v>
      </c>
      <c r="K1471" s="43" t="n">
        <f aca="false">J1471-I1471</f>
        <v>5</v>
      </c>
      <c r="L1471" s="1" t="n">
        <v>5</v>
      </c>
      <c r="M1471" s="3" t="s">
        <v>48</v>
      </c>
      <c r="N1471" s="3" t="s">
        <v>61</v>
      </c>
      <c r="O1471" s="3" t="s">
        <v>82</v>
      </c>
      <c r="P1471" s="2" t="str">
        <f aca="false">CONCATENATE(N1471," ",O1471)</f>
        <v>Trochosa terricola</v>
      </c>
      <c r="Q1471" s="1" t="s">
        <v>30</v>
      </c>
      <c r="R1471" s="1" t="s">
        <v>35</v>
      </c>
      <c r="S1471" s="3" t="n">
        <v>0</v>
      </c>
      <c r="T1471" s="3" t="n">
        <v>1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f aca="false">SUM(S1471:T1471)</f>
        <v>1</v>
      </c>
      <c r="Z1471" s="3" t="n">
        <f aca="false">SUM(U1471:W1471)</f>
        <v>0</v>
      </c>
      <c r="AA1471" s="3" t="n">
        <f aca="false">SUM(S1471:X1471)</f>
        <v>1</v>
      </c>
      <c r="AB1471" s="11" t="n">
        <f aca="false">(AA1471/(K1471*L1471)*25)*4</f>
        <v>4</v>
      </c>
    </row>
    <row r="1472" customFormat="false" ht="14.25" hidden="false" customHeight="false" outlineLevel="0" collapsed="false">
      <c r="A1472" s="1" t="n">
        <v>2014</v>
      </c>
      <c r="B1472" s="7" t="s">
        <v>322</v>
      </c>
      <c r="C1472" s="7" t="n">
        <v>3</v>
      </c>
      <c r="D1472" s="7" t="s">
        <v>293</v>
      </c>
      <c r="E1472" s="7" t="s">
        <v>293</v>
      </c>
      <c r="F1472" s="3" t="s">
        <v>101</v>
      </c>
      <c r="G1472" s="3" t="n">
        <v>3</v>
      </c>
      <c r="H1472" s="3" t="n">
        <v>11</v>
      </c>
      <c r="I1472" s="22" t="n">
        <v>41869</v>
      </c>
      <c r="J1472" s="22" t="n">
        <v>41874</v>
      </c>
      <c r="K1472" s="43" t="n">
        <f aca="false">J1472-I1472</f>
        <v>5</v>
      </c>
      <c r="L1472" s="1" t="n">
        <v>5</v>
      </c>
      <c r="M1472" s="3" t="s">
        <v>48</v>
      </c>
      <c r="N1472" s="3" t="s">
        <v>61</v>
      </c>
      <c r="O1472" s="3" t="s">
        <v>82</v>
      </c>
      <c r="P1472" s="2" t="str">
        <f aca="false">CONCATENATE(N1472," ",O1472)</f>
        <v>Trochosa terricola</v>
      </c>
      <c r="Q1472" s="1" t="s">
        <v>30</v>
      </c>
      <c r="R1472" s="1" t="s">
        <v>35</v>
      </c>
      <c r="S1472" s="3" t="n">
        <v>0</v>
      </c>
      <c r="T1472" s="3" t="n">
        <v>1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f aca="false">SUM(S1472:T1472)</f>
        <v>1</v>
      </c>
      <c r="Z1472" s="3" t="n">
        <f aca="false">SUM(U1472:W1472)</f>
        <v>0</v>
      </c>
      <c r="AA1472" s="3" t="n">
        <f aca="false">SUM(S1472:X1472)</f>
        <v>1</v>
      </c>
      <c r="AB1472" s="11" t="n">
        <f aca="false">(AA1472/(K1472*L1472)*25)*4</f>
        <v>4</v>
      </c>
    </row>
    <row r="1473" customFormat="false" ht="14.25" hidden="false" customHeight="false" outlineLevel="0" collapsed="false">
      <c r="A1473" s="1" t="n">
        <v>2014</v>
      </c>
      <c r="B1473" s="7" t="s">
        <v>322</v>
      </c>
      <c r="C1473" s="7" t="n">
        <v>3</v>
      </c>
      <c r="D1473" s="7" t="s">
        <v>293</v>
      </c>
      <c r="E1473" s="7" t="s">
        <v>293</v>
      </c>
      <c r="F1473" s="3" t="s">
        <v>101</v>
      </c>
      <c r="G1473" s="3" t="n">
        <v>3</v>
      </c>
      <c r="H1473" s="3" t="n">
        <v>11</v>
      </c>
      <c r="I1473" s="22" t="n">
        <v>41869</v>
      </c>
      <c r="J1473" s="22" t="n">
        <v>41874</v>
      </c>
      <c r="K1473" s="43" t="n">
        <f aca="false">J1473-I1473</f>
        <v>5</v>
      </c>
      <c r="L1473" s="1" t="n">
        <v>5</v>
      </c>
      <c r="M1473" s="3" t="s">
        <v>36</v>
      </c>
      <c r="N1473" s="3" t="s">
        <v>37</v>
      </c>
      <c r="O1473" s="3" t="s">
        <v>75</v>
      </c>
      <c r="P1473" s="2" t="str">
        <f aca="false">CONCATENATE(N1473," ",O1473)</f>
        <v>Ozyptila praticola</v>
      </c>
      <c r="Q1473" s="1" t="s">
        <v>30</v>
      </c>
      <c r="R1473" s="1" t="s">
        <v>31</v>
      </c>
      <c r="S1473" s="3" t="n">
        <v>2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f aca="false">SUM(S1473:T1473)</f>
        <v>2</v>
      </c>
      <c r="Z1473" s="3" t="n">
        <f aca="false">SUM(U1473:W1473)</f>
        <v>0</v>
      </c>
      <c r="AA1473" s="3" t="n">
        <f aca="false">SUM(S1473:X1473)</f>
        <v>2</v>
      </c>
      <c r="AB1473" s="11" t="n">
        <f aca="false">(AA1473/(K1473*L1473)*25)*4</f>
        <v>8</v>
      </c>
    </row>
    <row r="1474" customFormat="false" ht="14.25" hidden="false" customHeight="false" outlineLevel="0" collapsed="false">
      <c r="A1474" s="1" t="n">
        <v>2014</v>
      </c>
      <c r="B1474" s="7" t="s">
        <v>322</v>
      </c>
      <c r="C1474" s="7" t="n">
        <v>3</v>
      </c>
      <c r="D1474" s="7" t="s">
        <v>293</v>
      </c>
      <c r="E1474" s="7" t="s">
        <v>293</v>
      </c>
      <c r="F1474" s="3" t="s">
        <v>101</v>
      </c>
      <c r="G1474" s="3" t="n">
        <v>3</v>
      </c>
      <c r="H1474" s="3" t="n">
        <v>11</v>
      </c>
      <c r="I1474" s="22" t="n">
        <v>41869</v>
      </c>
      <c r="J1474" s="22" t="n">
        <v>41874</v>
      </c>
      <c r="K1474" s="43" t="n">
        <f aca="false">J1474-I1474</f>
        <v>5</v>
      </c>
      <c r="L1474" s="1" t="n">
        <v>5</v>
      </c>
      <c r="M1474" s="3" t="s">
        <v>41</v>
      </c>
      <c r="N1474" s="3" t="s">
        <v>42</v>
      </c>
      <c r="O1474" s="3" t="s">
        <v>43</v>
      </c>
      <c r="P1474" s="2" t="str">
        <f aca="false">CONCATENATE(N1474," ",O1474)</f>
        <v>Agroeca proxima</v>
      </c>
      <c r="Q1474" s="1" t="s">
        <v>30</v>
      </c>
      <c r="R1474" s="1" t="s">
        <v>31</v>
      </c>
      <c r="S1474" s="3" t="n">
        <v>1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f aca="false">SUM(S1474:T1474)</f>
        <v>1</v>
      </c>
      <c r="Z1474" s="3" t="n">
        <f aca="false">SUM(U1474:W1474)</f>
        <v>0</v>
      </c>
      <c r="AA1474" s="3" t="n">
        <f aca="false">SUM(S1474:X1474)</f>
        <v>1</v>
      </c>
      <c r="AB1474" s="11" t="n">
        <f aca="false">(AA1474/(K1474*L1474)*25)*4</f>
        <v>4</v>
      </c>
    </row>
    <row r="1475" customFormat="false" ht="14.25" hidden="false" customHeight="false" outlineLevel="0" collapsed="false">
      <c r="A1475" s="1" t="n">
        <v>2014</v>
      </c>
      <c r="B1475" s="7" t="s">
        <v>322</v>
      </c>
      <c r="C1475" s="7" t="n">
        <v>3</v>
      </c>
      <c r="D1475" s="7" t="s">
        <v>293</v>
      </c>
      <c r="E1475" s="7" t="s">
        <v>293</v>
      </c>
      <c r="F1475" s="3" t="s">
        <v>101</v>
      </c>
      <c r="G1475" s="3" t="n">
        <v>2</v>
      </c>
      <c r="H1475" s="3" t="n">
        <v>6</v>
      </c>
      <c r="I1475" s="22" t="n">
        <v>41869</v>
      </c>
      <c r="J1475" s="22" t="n">
        <v>41874</v>
      </c>
      <c r="K1475" s="43" t="n">
        <f aca="false">J1475-I1475</f>
        <v>5</v>
      </c>
      <c r="L1475" s="1" t="n">
        <v>5</v>
      </c>
      <c r="M1475" s="3" t="s">
        <v>48</v>
      </c>
      <c r="N1475" s="3" t="s">
        <v>61</v>
      </c>
      <c r="O1475" s="3" t="s">
        <v>82</v>
      </c>
      <c r="P1475" s="2" t="str">
        <f aca="false">CONCATENATE(N1475," ",O1475)</f>
        <v>Trochosa terricola</v>
      </c>
      <c r="Q1475" s="1" t="s">
        <v>30</v>
      </c>
      <c r="R1475" s="1" t="s">
        <v>35</v>
      </c>
      <c r="S1475" s="3" t="n">
        <v>0</v>
      </c>
      <c r="T1475" s="3" t="n">
        <v>1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f aca="false">SUM(S1475:T1475)</f>
        <v>1</v>
      </c>
      <c r="Z1475" s="3" t="n">
        <f aca="false">SUM(U1475:W1475)</f>
        <v>0</v>
      </c>
      <c r="AA1475" s="3" t="n">
        <f aca="false">SUM(S1475:X1475)</f>
        <v>1</v>
      </c>
      <c r="AB1475" s="11" t="n">
        <f aca="false">(AA1475/(K1475*L1475)*25)*4</f>
        <v>4</v>
      </c>
    </row>
    <row r="1476" customFormat="false" ht="14.25" hidden="false" customHeight="false" outlineLevel="0" collapsed="false">
      <c r="A1476" s="1" t="n">
        <v>2014</v>
      </c>
      <c r="B1476" s="7" t="s">
        <v>322</v>
      </c>
      <c r="C1476" s="7" t="n">
        <v>3</v>
      </c>
      <c r="D1476" s="7" t="s">
        <v>293</v>
      </c>
      <c r="E1476" s="7" t="s">
        <v>293</v>
      </c>
      <c r="F1476" s="3" t="s">
        <v>101</v>
      </c>
      <c r="G1476" s="3" t="n">
        <v>2</v>
      </c>
      <c r="H1476" s="3" t="n">
        <v>6</v>
      </c>
      <c r="I1476" s="22" t="n">
        <v>41869</v>
      </c>
      <c r="J1476" s="22" t="n">
        <v>41874</v>
      </c>
      <c r="K1476" s="43" t="n">
        <f aca="false">J1476-I1476</f>
        <v>5</v>
      </c>
      <c r="L1476" s="1" t="n">
        <v>5</v>
      </c>
      <c r="M1476" s="3" t="s">
        <v>41</v>
      </c>
      <c r="N1476" s="3" t="s">
        <v>42</v>
      </c>
      <c r="O1476" s="3" t="s">
        <v>43</v>
      </c>
      <c r="P1476" s="2" t="str">
        <f aca="false">CONCATENATE(N1476," ",O1476)</f>
        <v>Agroeca proxima</v>
      </c>
      <c r="Q1476" s="1" t="s">
        <v>30</v>
      </c>
      <c r="R1476" s="1" t="s">
        <v>31</v>
      </c>
      <c r="S1476" s="3" t="n">
        <v>1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f aca="false">SUM(S1476:T1476)</f>
        <v>1</v>
      </c>
      <c r="Z1476" s="3" t="n">
        <f aca="false">SUM(U1476:W1476)</f>
        <v>0</v>
      </c>
      <c r="AA1476" s="3" t="n">
        <f aca="false">SUM(S1476:X1476)</f>
        <v>1</v>
      </c>
      <c r="AB1476" s="11" t="n">
        <f aca="false">(AA1476/(K1476*L1476)*25)*4</f>
        <v>4</v>
      </c>
    </row>
    <row r="1477" customFormat="false" ht="14.25" hidden="false" customHeight="false" outlineLevel="0" collapsed="false">
      <c r="A1477" s="1" t="n">
        <v>2014</v>
      </c>
      <c r="B1477" s="7" t="s">
        <v>322</v>
      </c>
      <c r="C1477" s="7" t="n">
        <v>3</v>
      </c>
      <c r="D1477" s="7" t="s">
        <v>293</v>
      </c>
      <c r="E1477" s="7" t="s">
        <v>293</v>
      </c>
      <c r="F1477" s="3" t="s">
        <v>101</v>
      </c>
      <c r="G1477" s="3" t="n">
        <v>1</v>
      </c>
      <c r="H1477" s="3" t="n">
        <v>5</v>
      </c>
      <c r="I1477" s="22" t="n">
        <v>41869</v>
      </c>
      <c r="J1477" s="22" t="n">
        <v>41874</v>
      </c>
      <c r="K1477" s="43" t="n">
        <f aca="false">J1477-I1477</f>
        <v>5</v>
      </c>
      <c r="L1477" s="1" t="n">
        <v>5</v>
      </c>
      <c r="M1477" s="3" t="s">
        <v>48</v>
      </c>
      <c r="N1477" s="3" t="s">
        <v>61</v>
      </c>
      <c r="O1477" s="3" t="s">
        <v>82</v>
      </c>
      <c r="P1477" s="2" t="str">
        <f aca="false">CONCATENATE(N1477," ",O1477)</f>
        <v>Trochosa terricola</v>
      </c>
      <c r="Q1477" s="1" t="s">
        <v>30</v>
      </c>
      <c r="R1477" s="1" t="s">
        <v>31</v>
      </c>
      <c r="S1477" s="3" t="n">
        <v>1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f aca="false">SUM(S1477:T1477)</f>
        <v>1</v>
      </c>
      <c r="Z1477" s="3" t="n">
        <f aca="false">SUM(U1477:W1477)</f>
        <v>0</v>
      </c>
      <c r="AA1477" s="3" t="n">
        <f aca="false">SUM(S1477:X1477)</f>
        <v>1</v>
      </c>
      <c r="AB1477" s="11" t="n">
        <f aca="false">(AA1477/(K1477*L1477)*25)*4</f>
        <v>4</v>
      </c>
    </row>
    <row r="1478" customFormat="false" ht="14.25" hidden="false" customHeight="false" outlineLevel="0" collapsed="false">
      <c r="A1478" s="1" t="n">
        <v>2014</v>
      </c>
      <c r="B1478" s="7" t="s">
        <v>322</v>
      </c>
      <c r="C1478" s="7" t="n">
        <v>3</v>
      </c>
      <c r="D1478" s="7" t="s">
        <v>295</v>
      </c>
      <c r="E1478" s="7" t="s">
        <v>295</v>
      </c>
      <c r="F1478" s="3" t="s">
        <v>336</v>
      </c>
      <c r="G1478" s="3" t="n">
        <v>1</v>
      </c>
      <c r="H1478" s="3" t="n">
        <v>4</v>
      </c>
      <c r="I1478" s="22" t="n">
        <v>41870</v>
      </c>
      <c r="J1478" s="22" t="n">
        <v>41875</v>
      </c>
      <c r="K1478" s="43" t="n">
        <f aca="false">J1478-I1478</f>
        <v>5</v>
      </c>
      <c r="L1478" s="1" t="n">
        <v>5</v>
      </c>
      <c r="M1478" s="3" t="s">
        <v>48</v>
      </c>
      <c r="N1478" s="3" t="s">
        <v>61</v>
      </c>
      <c r="O1478" s="3" t="s">
        <v>82</v>
      </c>
      <c r="P1478" s="2" t="str">
        <f aca="false">CONCATENATE(N1478," ",O1478)</f>
        <v>Trochosa terricola</v>
      </c>
      <c r="Q1478" s="1" t="s">
        <v>30</v>
      </c>
      <c r="R1478" s="1" t="s">
        <v>35</v>
      </c>
      <c r="S1478" s="3" t="n">
        <v>0</v>
      </c>
      <c r="T1478" s="3" t="n">
        <v>1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f aca="false">SUM(S1478:T1478)</f>
        <v>1</v>
      </c>
      <c r="Z1478" s="3" t="n">
        <f aca="false">SUM(U1478:W1478)</f>
        <v>0</v>
      </c>
      <c r="AA1478" s="3" t="n">
        <f aca="false">SUM(S1478:X1478)</f>
        <v>1</v>
      </c>
      <c r="AB1478" s="11" t="n">
        <f aca="false">(AA1478/(K1478*L1478)*25)*4</f>
        <v>4</v>
      </c>
    </row>
    <row r="1479" customFormat="false" ht="14.25" hidden="false" customHeight="false" outlineLevel="0" collapsed="false">
      <c r="A1479" s="1" t="n">
        <v>2014</v>
      </c>
      <c r="B1479" s="7" t="s">
        <v>322</v>
      </c>
      <c r="C1479" s="7" t="n">
        <v>3</v>
      </c>
      <c r="D1479" s="7" t="s">
        <v>295</v>
      </c>
      <c r="E1479" s="7" t="s">
        <v>295</v>
      </c>
      <c r="F1479" s="3" t="s">
        <v>336</v>
      </c>
      <c r="G1479" s="3" t="n">
        <v>1</v>
      </c>
      <c r="H1479" s="3" t="n">
        <v>4</v>
      </c>
      <c r="I1479" s="22" t="n">
        <v>41870</v>
      </c>
      <c r="J1479" s="22" t="n">
        <v>41875</v>
      </c>
      <c r="K1479" s="43" t="n">
        <f aca="false">J1479-I1479</f>
        <v>5</v>
      </c>
      <c r="L1479" s="1" t="n">
        <v>5</v>
      </c>
      <c r="M1479" s="3" t="s">
        <v>48</v>
      </c>
      <c r="N1479" s="3" t="s">
        <v>122</v>
      </c>
      <c r="O1479" s="3" t="s">
        <v>123</v>
      </c>
      <c r="P1479" s="2" t="str">
        <f aca="false">CONCATENATE(N1479," ",O1479)</f>
        <v>Xerolycosa nemoralis</v>
      </c>
      <c r="Q1479" s="1" t="s">
        <v>30</v>
      </c>
      <c r="R1479" s="1" t="s">
        <v>35</v>
      </c>
      <c r="S1479" s="3" t="n">
        <v>0</v>
      </c>
      <c r="T1479" s="3" t="n">
        <v>1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f aca="false">SUM(S1479:T1479)</f>
        <v>1</v>
      </c>
      <c r="Z1479" s="3" t="n">
        <f aca="false">SUM(U1479:W1479)</f>
        <v>0</v>
      </c>
      <c r="AA1479" s="3" t="n">
        <f aca="false">SUM(S1479:X1479)</f>
        <v>1</v>
      </c>
      <c r="AB1479" s="11" t="n">
        <f aca="false">(AA1479/(K1479*L1479)*25)*4</f>
        <v>4</v>
      </c>
    </row>
    <row r="1480" customFormat="false" ht="14.25" hidden="false" customHeight="false" outlineLevel="0" collapsed="false">
      <c r="A1480" s="1" t="n">
        <v>2014</v>
      </c>
      <c r="B1480" s="7" t="s">
        <v>322</v>
      </c>
      <c r="C1480" s="7" t="n">
        <v>3</v>
      </c>
      <c r="D1480" s="7" t="s">
        <v>295</v>
      </c>
      <c r="E1480" s="7" t="s">
        <v>295</v>
      </c>
      <c r="F1480" s="3" t="s">
        <v>336</v>
      </c>
      <c r="G1480" s="3" t="n">
        <v>3</v>
      </c>
      <c r="H1480" s="3" t="n">
        <v>14</v>
      </c>
      <c r="I1480" s="22" t="n">
        <v>41870</v>
      </c>
      <c r="J1480" s="22" t="n">
        <v>41875</v>
      </c>
      <c r="K1480" s="43" t="n">
        <f aca="false">J1480-I1480</f>
        <v>5</v>
      </c>
      <c r="L1480" s="1" t="n">
        <v>5</v>
      </c>
      <c r="M1480" s="3" t="s">
        <v>48</v>
      </c>
      <c r="N1480" s="3" t="s">
        <v>67</v>
      </c>
      <c r="O1480" s="3" t="s">
        <v>127</v>
      </c>
      <c r="P1480" s="2" t="str">
        <f aca="false">CONCATENATE(N1480," ",O1480)</f>
        <v>Pardosa lugubris</v>
      </c>
      <c r="Q1480" s="1" t="s">
        <v>30</v>
      </c>
      <c r="R1480" s="1" t="s">
        <v>35</v>
      </c>
      <c r="S1480" s="3" t="n">
        <v>0</v>
      </c>
      <c r="T1480" s="3" t="n">
        <v>1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f aca="false">SUM(S1480:T1480)</f>
        <v>1</v>
      </c>
      <c r="Z1480" s="3" t="n">
        <f aca="false">SUM(U1480:W1480)</f>
        <v>0</v>
      </c>
      <c r="AA1480" s="3" t="n">
        <f aca="false">SUM(S1480:X1480)</f>
        <v>1</v>
      </c>
      <c r="AB1480" s="11" t="n">
        <f aca="false">(AA1480/(K1480*L1480)*25)*4</f>
        <v>4</v>
      </c>
    </row>
    <row r="1481" customFormat="false" ht="14.25" hidden="false" customHeight="false" outlineLevel="0" collapsed="false">
      <c r="A1481" s="1" t="n">
        <v>2014</v>
      </c>
      <c r="B1481" s="7" t="s">
        <v>322</v>
      </c>
      <c r="C1481" s="7" t="n">
        <v>3</v>
      </c>
      <c r="D1481" s="7" t="s">
        <v>295</v>
      </c>
      <c r="E1481" s="7" t="s">
        <v>295</v>
      </c>
      <c r="F1481" s="3" t="s">
        <v>336</v>
      </c>
      <c r="G1481" s="3" t="n">
        <v>3</v>
      </c>
      <c r="H1481" s="3" t="n">
        <v>14</v>
      </c>
      <c r="I1481" s="22" t="n">
        <v>41870</v>
      </c>
      <c r="J1481" s="22" t="n">
        <v>41875</v>
      </c>
      <c r="K1481" s="43" t="n">
        <f aca="false">J1481-I1481</f>
        <v>5</v>
      </c>
      <c r="L1481" s="1" t="n">
        <v>5</v>
      </c>
      <c r="M1481" s="3" t="s">
        <v>48</v>
      </c>
      <c r="N1481" s="3" t="s">
        <v>122</v>
      </c>
      <c r="O1481" s="3" t="s">
        <v>123</v>
      </c>
      <c r="P1481" s="2" t="str">
        <f aca="false">CONCATENATE(N1481," ",O1481)</f>
        <v>Xerolycosa nemoralis</v>
      </c>
      <c r="Q1481" s="1" t="s">
        <v>30</v>
      </c>
      <c r="R1481" s="1" t="s">
        <v>35</v>
      </c>
      <c r="S1481" s="3" t="n">
        <v>0</v>
      </c>
      <c r="T1481" s="3" t="n">
        <v>1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f aca="false">SUM(S1481:T1481)</f>
        <v>1</v>
      </c>
      <c r="Z1481" s="3" t="n">
        <f aca="false">SUM(U1481:W1481)</f>
        <v>0</v>
      </c>
      <c r="AA1481" s="3" t="n">
        <f aca="false">SUM(S1481:X1481)</f>
        <v>1</v>
      </c>
      <c r="AB1481" s="11" t="n">
        <f aca="false">(AA1481/(K1481*L1481)*25)*4</f>
        <v>4</v>
      </c>
    </row>
    <row r="1482" customFormat="false" ht="14.25" hidden="false" customHeight="false" outlineLevel="0" collapsed="false">
      <c r="A1482" s="1" t="n">
        <v>2014</v>
      </c>
      <c r="B1482" s="7" t="s">
        <v>322</v>
      </c>
      <c r="C1482" s="7" t="n">
        <v>3</v>
      </c>
      <c r="D1482" s="7" t="s">
        <v>295</v>
      </c>
      <c r="E1482" s="7" t="s">
        <v>295</v>
      </c>
      <c r="F1482" s="3" t="s">
        <v>336</v>
      </c>
      <c r="G1482" s="3" t="n">
        <v>3</v>
      </c>
      <c r="H1482" s="3" t="n">
        <v>14</v>
      </c>
      <c r="I1482" s="22" t="n">
        <v>41870</v>
      </c>
      <c r="J1482" s="22" t="n">
        <v>41875</v>
      </c>
      <c r="K1482" s="43" t="n">
        <f aca="false">J1482-I1482</f>
        <v>5</v>
      </c>
      <c r="L1482" s="1" t="n">
        <v>5</v>
      </c>
      <c r="M1482" s="3" t="s">
        <v>72</v>
      </c>
      <c r="N1482" s="3" t="s">
        <v>73</v>
      </c>
      <c r="O1482" s="3" t="s">
        <v>74</v>
      </c>
      <c r="P1482" s="2" t="str">
        <f aca="false">CONCATENATE(N1482," ",O1482)</f>
        <v>Zelotes subterraneus</v>
      </c>
      <c r="Q1482" s="1" t="s">
        <v>30</v>
      </c>
      <c r="R1482" s="1" t="s">
        <v>31</v>
      </c>
      <c r="S1482" s="3" t="n">
        <v>1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f aca="false">SUM(S1482:T1482)</f>
        <v>1</v>
      </c>
      <c r="Z1482" s="3" t="n">
        <f aca="false">SUM(U1482:W1482)</f>
        <v>0</v>
      </c>
      <c r="AA1482" s="3" t="n">
        <f aca="false">SUM(S1482:X1482)</f>
        <v>1</v>
      </c>
      <c r="AB1482" s="11" t="n">
        <f aca="false">(AA1482/(K1482*L1482)*25)*4</f>
        <v>4</v>
      </c>
    </row>
    <row r="1483" customFormat="false" ht="14.25" hidden="false" customHeight="false" outlineLevel="0" collapsed="false">
      <c r="A1483" s="1" t="n">
        <v>2014</v>
      </c>
      <c r="B1483" s="7" t="s">
        <v>322</v>
      </c>
      <c r="C1483" s="7" t="n">
        <v>3</v>
      </c>
      <c r="D1483" s="7" t="s">
        <v>295</v>
      </c>
      <c r="E1483" s="7" t="s">
        <v>295</v>
      </c>
      <c r="F1483" s="3" t="s">
        <v>336</v>
      </c>
      <c r="G1483" s="3" t="n">
        <v>3</v>
      </c>
      <c r="H1483" s="3" t="n">
        <v>12</v>
      </c>
      <c r="I1483" s="22" t="n">
        <v>41870</v>
      </c>
      <c r="J1483" s="22" t="n">
        <v>41875</v>
      </c>
      <c r="K1483" s="43" t="n">
        <f aca="false">J1483-I1483</f>
        <v>5</v>
      </c>
      <c r="L1483" s="1" t="n">
        <v>5</v>
      </c>
      <c r="M1483" s="3" t="s">
        <v>48</v>
      </c>
      <c r="N1483" s="3" t="s">
        <v>49</v>
      </c>
      <c r="O1483" s="3" t="s">
        <v>104</v>
      </c>
      <c r="P1483" s="2" t="str">
        <f aca="false">CONCATENATE(N1483," ",O1483)</f>
        <v>Alopecosa taeniata</v>
      </c>
      <c r="Q1483" s="1" t="s">
        <v>30</v>
      </c>
      <c r="R1483" s="1" t="s">
        <v>35</v>
      </c>
      <c r="S1483" s="3" t="n">
        <v>0</v>
      </c>
      <c r="T1483" s="3" t="n">
        <v>1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f aca="false">SUM(S1483:T1483)</f>
        <v>1</v>
      </c>
      <c r="Z1483" s="3" t="n">
        <f aca="false">SUM(U1483:W1483)</f>
        <v>0</v>
      </c>
      <c r="AA1483" s="3" t="n">
        <f aca="false">SUM(S1483:X1483)</f>
        <v>1</v>
      </c>
      <c r="AB1483" s="11" t="n">
        <f aca="false">(AA1483/(K1483*L1483)*25)*4</f>
        <v>4</v>
      </c>
    </row>
    <row r="1484" customFormat="false" ht="14.25" hidden="false" customHeight="false" outlineLevel="0" collapsed="false">
      <c r="A1484" s="1" t="n">
        <v>2014</v>
      </c>
      <c r="B1484" s="7" t="s">
        <v>322</v>
      </c>
      <c r="C1484" s="7" t="n">
        <v>3</v>
      </c>
      <c r="D1484" s="7" t="s">
        <v>295</v>
      </c>
      <c r="E1484" s="7" t="s">
        <v>295</v>
      </c>
      <c r="F1484" s="3" t="s">
        <v>336</v>
      </c>
      <c r="G1484" s="3" t="n">
        <v>2</v>
      </c>
      <c r="H1484" s="3" t="n">
        <v>6</v>
      </c>
      <c r="I1484" s="22" t="n">
        <v>41870</v>
      </c>
      <c r="J1484" s="22" t="n">
        <v>41875</v>
      </c>
      <c r="K1484" s="43" t="n">
        <f aca="false">J1484-I1484</f>
        <v>5</v>
      </c>
      <c r="L1484" s="1" t="n">
        <v>5</v>
      </c>
      <c r="M1484" s="3" t="s">
        <v>48</v>
      </c>
      <c r="N1484" s="3" t="s">
        <v>122</v>
      </c>
      <c r="O1484" s="3" t="s">
        <v>123</v>
      </c>
      <c r="P1484" s="2" t="str">
        <f aca="false">CONCATENATE(N1484," ",O1484)</f>
        <v>Xerolycosa nemoralis</v>
      </c>
      <c r="Q1484" s="1" t="s">
        <v>30</v>
      </c>
      <c r="R1484" s="1" t="s">
        <v>35</v>
      </c>
      <c r="S1484" s="3" t="n">
        <v>0</v>
      </c>
      <c r="T1484" s="3" t="n">
        <v>1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f aca="false">SUM(S1484:T1484)</f>
        <v>1</v>
      </c>
      <c r="Z1484" s="3" t="n">
        <f aca="false">SUM(U1484:W1484)</f>
        <v>0</v>
      </c>
      <c r="AA1484" s="3" t="n">
        <f aca="false">SUM(S1484:X1484)</f>
        <v>1</v>
      </c>
      <c r="AB1484" s="11" t="n">
        <f aca="false">(AA1484/(K1484*L1484)*25)*4</f>
        <v>4</v>
      </c>
    </row>
    <row r="1485" customFormat="false" ht="14.25" hidden="false" customHeight="false" outlineLevel="0" collapsed="false">
      <c r="A1485" s="1" t="n">
        <v>2014</v>
      </c>
      <c r="B1485" s="7" t="s">
        <v>322</v>
      </c>
      <c r="C1485" s="7" t="n">
        <v>3</v>
      </c>
      <c r="D1485" s="7" t="s">
        <v>295</v>
      </c>
      <c r="E1485" s="7" t="s">
        <v>295</v>
      </c>
      <c r="F1485" s="3" t="s">
        <v>336</v>
      </c>
      <c r="G1485" s="3" t="n">
        <v>2</v>
      </c>
      <c r="H1485" s="3" t="n">
        <v>6</v>
      </c>
      <c r="I1485" s="22" t="n">
        <v>41870</v>
      </c>
      <c r="J1485" s="22" t="n">
        <v>41875</v>
      </c>
      <c r="K1485" s="43" t="n">
        <f aca="false">J1485-I1485</f>
        <v>5</v>
      </c>
      <c r="L1485" s="1" t="n">
        <v>5</v>
      </c>
      <c r="M1485" s="3" t="s">
        <v>48</v>
      </c>
      <c r="N1485" s="3" t="s">
        <v>49</v>
      </c>
      <c r="O1485" s="3" t="s">
        <v>130</v>
      </c>
      <c r="P1485" s="2" t="str">
        <f aca="false">CONCATENATE(N1485," ",O1485)</f>
        <v>Alopecosa aculeata</v>
      </c>
      <c r="Q1485" s="1" t="s">
        <v>30</v>
      </c>
      <c r="R1485" s="1" t="s">
        <v>35</v>
      </c>
      <c r="S1485" s="3" t="n">
        <v>0</v>
      </c>
      <c r="T1485" s="3" t="n">
        <v>1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f aca="false">SUM(S1485:T1485)</f>
        <v>1</v>
      </c>
      <c r="Z1485" s="3" t="n">
        <f aca="false">SUM(U1485:W1485)</f>
        <v>0</v>
      </c>
      <c r="AA1485" s="3" t="n">
        <f aca="false">SUM(S1485:X1485)</f>
        <v>1</v>
      </c>
      <c r="AB1485" s="11" t="n">
        <f aca="false">(AA1485/(K1485*L1485)*25)*4</f>
        <v>4</v>
      </c>
    </row>
    <row r="1486" customFormat="false" ht="14.25" hidden="false" customHeight="false" outlineLevel="0" collapsed="false">
      <c r="A1486" s="1" t="n">
        <v>2014</v>
      </c>
      <c r="B1486" s="7" t="s">
        <v>322</v>
      </c>
      <c r="C1486" s="7" t="n">
        <v>3</v>
      </c>
      <c r="D1486" s="7" t="s">
        <v>295</v>
      </c>
      <c r="E1486" s="7" t="s">
        <v>295</v>
      </c>
      <c r="F1486" s="3" t="s">
        <v>336</v>
      </c>
      <c r="G1486" s="3" t="n">
        <v>2</v>
      </c>
      <c r="H1486" s="3" t="n">
        <v>6</v>
      </c>
      <c r="I1486" s="22" t="n">
        <v>41870</v>
      </c>
      <c r="J1486" s="22" t="n">
        <v>41875</v>
      </c>
      <c r="K1486" s="43" t="n">
        <f aca="false">J1486-I1486</f>
        <v>5</v>
      </c>
      <c r="L1486" s="1" t="n">
        <v>5</v>
      </c>
      <c r="M1486" s="3" t="s">
        <v>92</v>
      </c>
      <c r="N1486" s="3" t="s">
        <v>231</v>
      </c>
      <c r="O1486" s="3" t="s">
        <v>146</v>
      </c>
      <c r="P1486" s="2" t="str">
        <f aca="false">CONCATENATE(N1486," ",O1486)</f>
        <v>Asianellus festivus</v>
      </c>
      <c r="Q1486" s="1" t="s">
        <v>30</v>
      </c>
      <c r="R1486" s="1" t="s">
        <v>35</v>
      </c>
      <c r="S1486" s="3" t="n">
        <v>0</v>
      </c>
      <c r="T1486" s="3" t="n">
        <v>1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f aca="false">SUM(S1486:T1486)</f>
        <v>1</v>
      </c>
      <c r="Z1486" s="3" t="n">
        <f aca="false">SUM(U1486:W1486)</f>
        <v>0</v>
      </c>
      <c r="AA1486" s="3" t="n">
        <f aca="false">SUM(S1486:X1486)</f>
        <v>1</v>
      </c>
      <c r="AB1486" s="11" t="n">
        <f aca="false">(AA1486/(K1486*L1486)*25)*4</f>
        <v>4</v>
      </c>
    </row>
    <row r="1487" customFormat="false" ht="14.25" hidden="false" customHeight="false" outlineLevel="0" collapsed="false">
      <c r="A1487" s="1" t="n">
        <v>2014</v>
      </c>
      <c r="B1487" s="7" t="s">
        <v>322</v>
      </c>
      <c r="C1487" s="7" t="n">
        <v>3</v>
      </c>
      <c r="D1487" s="7" t="s">
        <v>295</v>
      </c>
      <c r="E1487" s="7" t="s">
        <v>295</v>
      </c>
      <c r="F1487" s="3" t="s">
        <v>336</v>
      </c>
      <c r="G1487" s="3" t="n">
        <v>2</v>
      </c>
      <c r="H1487" s="3" t="n">
        <v>7</v>
      </c>
      <c r="I1487" s="22" t="n">
        <v>41870</v>
      </c>
      <c r="J1487" s="22" t="n">
        <v>41875</v>
      </c>
      <c r="K1487" s="43" t="n">
        <f aca="false">J1487-I1487</f>
        <v>5</v>
      </c>
      <c r="L1487" s="1" t="n">
        <v>5</v>
      </c>
      <c r="M1487" s="3" t="s">
        <v>48</v>
      </c>
      <c r="N1487" s="3" t="s">
        <v>122</v>
      </c>
      <c r="O1487" s="3" t="s">
        <v>123</v>
      </c>
      <c r="P1487" s="2" t="str">
        <f aca="false">CONCATENATE(N1487," ",O1487)</f>
        <v>Xerolycosa nemoralis</v>
      </c>
      <c r="Q1487" s="1" t="s">
        <v>30</v>
      </c>
      <c r="R1487" s="1" t="s">
        <v>31</v>
      </c>
      <c r="S1487" s="3" t="n">
        <v>1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f aca="false">SUM(S1487:T1487)</f>
        <v>1</v>
      </c>
      <c r="Z1487" s="3" t="n">
        <f aca="false">SUM(U1487:W1487)</f>
        <v>0</v>
      </c>
      <c r="AA1487" s="3" t="n">
        <f aca="false">SUM(S1487:X1487)</f>
        <v>1</v>
      </c>
      <c r="AB1487" s="11" t="n">
        <f aca="false">(AA1487/(K1487*L1487)*25)*4</f>
        <v>4</v>
      </c>
    </row>
    <row r="1488" customFormat="false" ht="14.25" hidden="false" customHeight="false" outlineLevel="0" collapsed="false">
      <c r="A1488" s="1" t="n">
        <v>2014</v>
      </c>
      <c r="B1488" s="7" t="s">
        <v>322</v>
      </c>
      <c r="C1488" s="7" t="n">
        <v>3</v>
      </c>
      <c r="D1488" s="7" t="s">
        <v>295</v>
      </c>
      <c r="E1488" s="7" t="s">
        <v>295</v>
      </c>
      <c r="F1488" s="3" t="s">
        <v>336</v>
      </c>
      <c r="G1488" s="3" t="n">
        <v>2</v>
      </c>
      <c r="H1488" s="3" t="n">
        <v>8</v>
      </c>
      <c r="I1488" s="22" t="n">
        <v>41870</v>
      </c>
      <c r="J1488" s="22" t="n">
        <v>41875</v>
      </c>
      <c r="K1488" s="43" t="n">
        <f aca="false">J1488-I1488</f>
        <v>5</v>
      </c>
      <c r="L1488" s="1" t="n">
        <v>5</v>
      </c>
      <c r="M1488" s="3" t="s">
        <v>72</v>
      </c>
      <c r="N1488" s="3" t="s">
        <v>73</v>
      </c>
      <c r="O1488" s="3" t="s">
        <v>74</v>
      </c>
      <c r="P1488" s="2" t="str">
        <f aca="false">CONCATENATE(N1488," ",O1488)</f>
        <v>Zelotes subterraneus</v>
      </c>
      <c r="Q1488" s="1" t="s">
        <v>30</v>
      </c>
      <c r="R1488" s="1" t="s">
        <v>31</v>
      </c>
      <c r="S1488" s="3" t="n">
        <v>1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f aca="false">SUM(S1488:T1488)</f>
        <v>1</v>
      </c>
      <c r="Z1488" s="3" t="n">
        <f aca="false">SUM(U1488:W1488)</f>
        <v>0</v>
      </c>
      <c r="AA1488" s="3" t="n">
        <f aca="false">SUM(S1488:X1488)</f>
        <v>1</v>
      </c>
      <c r="AB1488" s="11" t="n">
        <f aca="false">(AA1488/(K1488*L1488)*25)*4</f>
        <v>4</v>
      </c>
    </row>
    <row r="1489" customFormat="false" ht="14.25" hidden="false" customHeight="false" outlineLevel="0" collapsed="false">
      <c r="A1489" s="1" t="n">
        <v>2014</v>
      </c>
      <c r="B1489" s="7" t="s">
        <v>322</v>
      </c>
      <c r="C1489" s="7" t="n">
        <v>3</v>
      </c>
      <c r="D1489" s="7" t="s">
        <v>295</v>
      </c>
      <c r="E1489" s="7" t="s">
        <v>295</v>
      </c>
      <c r="F1489" s="3" t="s">
        <v>336</v>
      </c>
      <c r="G1489" s="3" t="n">
        <v>2</v>
      </c>
      <c r="H1489" s="3" t="n">
        <v>8</v>
      </c>
      <c r="I1489" s="22" t="n">
        <v>41870</v>
      </c>
      <c r="J1489" s="22" t="n">
        <v>41875</v>
      </c>
      <c r="K1489" s="43" t="n">
        <f aca="false">J1489-I1489</f>
        <v>5</v>
      </c>
      <c r="L1489" s="1" t="n">
        <v>5</v>
      </c>
      <c r="M1489" s="3" t="s">
        <v>72</v>
      </c>
      <c r="N1489" s="3" t="s">
        <v>73</v>
      </c>
      <c r="O1489" s="3" t="s">
        <v>74</v>
      </c>
      <c r="P1489" s="2" t="str">
        <f aca="false">CONCATENATE(N1489," ",O1489)</f>
        <v>Zelotes subterraneus</v>
      </c>
      <c r="Q1489" s="1" t="s">
        <v>30</v>
      </c>
      <c r="R1489" s="1" t="s">
        <v>35</v>
      </c>
      <c r="S1489" s="3" t="n">
        <v>0</v>
      </c>
      <c r="T1489" s="3" t="n">
        <v>1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f aca="false">SUM(S1489:T1489)</f>
        <v>1</v>
      </c>
      <c r="Z1489" s="3" t="n">
        <f aca="false">SUM(U1489:W1489)</f>
        <v>0</v>
      </c>
      <c r="AA1489" s="3" t="n">
        <f aca="false">SUM(S1489:X1489)</f>
        <v>1</v>
      </c>
      <c r="AB1489" s="11" t="n">
        <f aca="false">(AA1489/(K1489*L1489)*25)*4</f>
        <v>4</v>
      </c>
    </row>
    <row r="1490" customFormat="false" ht="14.25" hidden="false" customHeight="false" outlineLevel="0" collapsed="false">
      <c r="A1490" s="1" t="n">
        <v>2014</v>
      </c>
      <c r="B1490" s="7" t="s">
        <v>322</v>
      </c>
      <c r="C1490" s="7" t="n">
        <v>3</v>
      </c>
      <c r="D1490" s="7" t="s">
        <v>295</v>
      </c>
      <c r="E1490" s="7" t="s">
        <v>295</v>
      </c>
      <c r="F1490" s="3" t="s">
        <v>336</v>
      </c>
      <c r="G1490" s="3" t="n">
        <v>2</v>
      </c>
      <c r="H1490" s="3" t="n">
        <v>8</v>
      </c>
      <c r="I1490" s="22" t="n">
        <v>41870</v>
      </c>
      <c r="J1490" s="22" t="n">
        <v>41875</v>
      </c>
      <c r="K1490" s="43" t="n">
        <f aca="false">J1490-I1490</f>
        <v>5</v>
      </c>
      <c r="L1490" s="1" t="n">
        <v>5</v>
      </c>
      <c r="M1490" s="3" t="s">
        <v>48</v>
      </c>
      <c r="N1490" s="3" t="s">
        <v>67</v>
      </c>
      <c r="O1490" s="3" t="s">
        <v>127</v>
      </c>
      <c r="P1490" s="2" t="str">
        <f aca="false">CONCATENATE(N1490," ",O1490)</f>
        <v>Pardosa lugubris</v>
      </c>
      <c r="Q1490" s="1" t="s">
        <v>30</v>
      </c>
      <c r="R1490" s="1" t="s">
        <v>35</v>
      </c>
      <c r="S1490" s="3" t="n">
        <v>0</v>
      </c>
      <c r="T1490" s="3" t="n">
        <v>1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f aca="false">SUM(S1490:T1490)</f>
        <v>1</v>
      </c>
      <c r="Z1490" s="3" t="n">
        <f aca="false">SUM(U1490:W1490)</f>
        <v>0</v>
      </c>
      <c r="AA1490" s="3" t="n">
        <f aca="false">SUM(S1490:X1490)</f>
        <v>1</v>
      </c>
      <c r="AB1490" s="11" t="n">
        <f aca="false">(AA1490/(K1490*L1490)*25)*4</f>
        <v>4</v>
      </c>
    </row>
    <row r="1491" customFormat="false" ht="14.25" hidden="false" customHeight="false" outlineLevel="0" collapsed="false">
      <c r="A1491" s="1" t="n">
        <v>2014</v>
      </c>
      <c r="B1491" s="7" t="s">
        <v>322</v>
      </c>
      <c r="C1491" s="7" t="n">
        <v>3</v>
      </c>
      <c r="D1491" s="7" t="s">
        <v>295</v>
      </c>
      <c r="E1491" s="7" t="s">
        <v>295</v>
      </c>
      <c r="F1491" s="3" t="s">
        <v>336</v>
      </c>
      <c r="G1491" s="3" t="n">
        <v>3</v>
      </c>
      <c r="H1491" s="3" t="n">
        <v>15</v>
      </c>
      <c r="I1491" s="22" t="n">
        <v>41870</v>
      </c>
      <c r="J1491" s="22" t="n">
        <v>41875</v>
      </c>
      <c r="K1491" s="43" t="n">
        <f aca="false">J1491-I1491</f>
        <v>5</v>
      </c>
      <c r="L1491" s="1" t="n">
        <v>5</v>
      </c>
      <c r="M1491" s="3" t="s">
        <v>72</v>
      </c>
      <c r="N1491" s="3" t="s">
        <v>73</v>
      </c>
      <c r="O1491" s="3" t="s">
        <v>74</v>
      </c>
      <c r="P1491" s="2" t="str">
        <f aca="false">CONCATENATE(N1491," ",O1491)</f>
        <v>Zelotes subterraneus</v>
      </c>
      <c r="Q1491" s="1" t="s">
        <v>30</v>
      </c>
      <c r="R1491" s="1" t="s">
        <v>35</v>
      </c>
      <c r="S1491" s="3" t="n">
        <v>0</v>
      </c>
      <c r="T1491" s="3" t="n">
        <v>1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f aca="false">SUM(S1491:T1491)</f>
        <v>1</v>
      </c>
      <c r="Z1491" s="3" t="n">
        <f aca="false">SUM(U1491:W1491)</f>
        <v>0</v>
      </c>
      <c r="AA1491" s="3" t="n">
        <f aca="false">SUM(S1491:X1491)</f>
        <v>1</v>
      </c>
      <c r="AB1491" s="11" t="n">
        <f aca="false">(AA1491/(K1491*L1491)*25)*4</f>
        <v>4</v>
      </c>
    </row>
    <row r="1492" customFormat="false" ht="14.25" hidden="false" customHeight="false" outlineLevel="0" collapsed="false">
      <c r="A1492" s="1" t="n">
        <v>2014</v>
      </c>
      <c r="B1492" s="7" t="s">
        <v>322</v>
      </c>
      <c r="C1492" s="7" t="n">
        <v>3</v>
      </c>
      <c r="D1492" s="7" t="s">
        <v>295</v>
      </c>
      <c r="E1492" s="7" t="s">
        <v>295</v>
      </c>
      <c r="F1492" s="3" t="s">
        <v>336</v>
      </c>
      <c r="G1492" s="3" t="n">
        <v>3</v>
      </c>
      <c r="H1492" s="3" t="n">
        <v>15</v>
      </c>
      <c r="I1492" s="22" t="n">
        <v>41870</v>
      </c>
      <c r="J1492" s="22" t="n">
        <v>41875</v>
      </c>
      <c r="K1492" s="43" t="n">
        <f aca="false">J1492-I1492</f>
        <v>5</v>
      </c>
      <c r="L1492" s="1" t="n">
        <v>5</v>
      </c>
      <c r="M1492" s="3" t="s">
        <v>48</v>
      </c>
      <c r="N1492" s="3" t="s">
        <v>49</v>
      </c>
      <c r="O1492" s="3" t="s">
        <v>130</v>
      </c>
      <c r="P1492" s="2" t="str">
        <f aca="false">CONCATENATE(N1492," ",O1492)</f>
        <v>Alopecosa aculeata</v>
      </c>
      <c r="Q1492" s="1" t="s">
        <v>30</v>
      </c>
      <c r="R1492" s="1" t="s">
        <v>35</v>
      </c>
      <c r="S1492" s="3" t="n">
        <v>0</v>
      </c>
      <c r="T1492" s="3" t="n">
        <v>3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f aca="false">SUM(S1492:T1492)</f>
        <v>3</v>
      </c>
      <c r="Z1492" s="3" t="n">
        <f aca="false">SUM(U1492:W1492)</f>
        <v>0</v>
      </c>
      <c r="AA1492" s="3" t="n">
        <f aca="false">SUM(S1492:X1492)</f>
        <v>3</v>
      </c>
      <c r="AB1492" s="11" t="n">
        <f aca="false">(AA1492/(K1492*L1492)*25)*4</f>
        <v>12</v>
      </c>
    </row>
    <row r="1493" customFormat="false" ht="14.25" hidden="false" customHeight="false" outlineLevel="0" collapsed="false">
      <c r="A1493" s="1" t="n">
        <v>2014</v>
      </c>
      <c r="B1493" s="7" t="s">
        <v>322</v>
      </c>
      <c r="C1493" s="7" t="n">
        <v>3</v>
      </c>
      <c r="D1493" s="7" t="s">
        <v>295</v>
      </c>
      <c r="E1493" s="7" t="s">
        <v>295</v>
      </c>
      <c r="F1493" s="3" t="s">
        <v>336</v>
      </c>
      <c r="G1493" s="3" t="n">
        <v>2</v>
      </c>
      <c r="H1493" s="3" t="n">
        <v>10</v>
      </c>
      <c r="I1493" s="22" t="n">
        <v>41870</v>
      </c>
      <c r="J1493" s="22" t="n">
        <v>41875</v>
      </c>
      <c r="K1493" s="43" t="n">
        <f aca="false">J1493-I1493</f>
        <v>5</v>
      </c>
      <c r="L1493" s="1" t="n">
        <v>5</v>
      </c>
      <c r="M1493" s="3" t="s">
        <v>72</v>
      </c>
      <c r="N1493" s="3" t="s">
        <v>73</v>
      </c>
      <c r="O1493" s="3" t="s">
        <v>74</v>
      </c>
      <c r="P1493" s="2" t="str">
        <f aca="false">CONCATENATE(N1493," ",O1493)</f>
        <v>Zelotes subterraneus</v>
      </c>
      <c r="Q1493" s="1" t="s">
        <v>30</v>
      </c>
      <c r="R1493" s="1" t="s">
        <v>35</v>
      </c>
      <c r="S1493" s="3" t="n">
        <v>0</v>
      </c>
      <c r="T1493" s="3" t="n">
        <v>1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f aca="false">SUM(S1493:T1493)</f>
        <v>1</v>
      </c>
      <c r="Z1493" s="3" t="n">
        <f aca="false">SUM(U1493:W1493)</f>
        <v>0</v>
      </c>
      <c r="AA1493" s="3" t="n">
        <f aca="false">SUM(S1493:X1493)</f>
        <v>1</v>
      </c>
      <c r="AB1493" s="11" t="n">
        <f aca="false">(AA1493/(K1493*L1493)*25)*4</f>
        <v>4</v>
      </c>
    </row>
    <row r="1494" customFormat="false" ht="14.25" hidden="false" customHeight="false" outlineLevel="0" collapsed="false">
      <c r="A1494" s="1" t="n">
        <v>2014</v>
      </c>
      <c r="B1494" s="7" t="s">
        <v>322</v>
      </c>
      <c r="C1494" s="7" t="n">
        <v>3</v>
      </c>
      <c r="D1494" s="7" t="s">
        <v>295</v>
      </c>
      <c r="E1494" s="7" t="s">
        <v>295</v>
      </c>
      <c r="F1494" s="3" t="s">
        <v>336</v>
      </c>
      <c r="G1494" s="3" t="n">
        <v>2</v>
      </c>
      <c r="H1494" s="3" t="n">
        <v>9</v>
      </c>
      <c r="I1494" s="22" t="n">
        <v>41870</v>
      </c>
      <c r="J1494" s="22" t="n">
        <v>41875</v>
      </c>
      <c r="K1494" s="43" t="n">
        <f aca="false">J1494-I1494</f>
        <v>5</v>
      </c>
      <c r="L1494" s="1" t="n">
        <v>5</v>
      </c>
      <c r="M1494" s="3" t="s">
        <v>48</v>
      </c>
      <c r="N1494" s="3" t="s">
        <v>122</v>
      </c>
      <c r="O1494" s="3" t="s">
        <v>123</v>
      </c>
      <c r="P1494" s="2" t="str">
        <f aca="false">CONCATENATE(N1494," ",O1494)</f>
        <v>Xerolycosa nemoralis</v>
      </c>
      <c r="Q1494" s="1" t="s">
        <v>30</v>
      </c>
      <c r="R1494" s="1" t="s">
        <v>35</v>
      </c>
      <c r="S1494" s="3" t="n">
        <v>0</v>
      </c>
      <c r="T1494" s="3" t="n">
        <v>1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f aca="false">SUM(S1494:T1494)</f>
        <v>1</v>
      </c>
      <c r="Z1494" s="3" t="n">
        <f aca="false">SUM(U1494:W1494)</f>
        <v>0</v>
      </c>
      <c r="AA1494" s="3" t="n">
        <f aca="false">SUM(S1494:X1494)</f>
        <v>1</v>
      </c>
      <c r="AB1494" s="11" t="n">
        <f aca="false">(AA1494/(K1494*L1494)*25)*4</f>
        <v>4</v>
      </c>
    </row>
    <row r="1495" customFormat="false" ht="14.25" hidden="false" customHeight="false" outlineLevel="0" collapsed="false">
      <c r="A1495" s="1" t="n">
        <v>2014</v>
      </c>
      <c r="B1495" s="7" t="s">
        <v>322</v>
      </c>
      <c r="C1495" s="7" t="n">
        <v>3</v>
      </c>
      <c r="D1495" s="7" t="s">
        <v>295</v>
      </c>
      <c r="E1495" s="7" t="s">
        <v>295</v>
      </c>
      <c r="F1495" s="3" t="s">
        <v>336</v>
      </c>
      <c r="G1495" s="3" t="n">
        <v>2</v>
      </c>
      <c r="H1495" s="3" t="n">
        <v>9</v>
      </c>
      <c r="I1495" s="22" t="n">
        <v>41870</v>
      </c>
      <c r="J1495" s="22" t="n">
        <v>41875</v>
      </c>
      <c r="K1495" s="43" t="n">
        <f aca="false">J1495-I1495</f>
        <v>5</v>
      </c>
      <c r="L1495" s="1" t="n">
        <v>5</v>
      </c>
      <c r="M1495" s="3" t="s">
        <v>48</v>
      </c>
      <c r="N1495" s="3" t="s">
        <v>61</v>
      </c>
      <c r="O1495" s="3" t="s">
        <v>95</v>
      </c>
      <c r="P1495" s="2" t="str">
        <f aca="false">CONCATENATE(N1495," ",O1495)</f>
        <v>Trochosa ruricola</v>
      </c>
      <c r="Q1495" s="1" t="s">
        <v>30</v>
      </c>
      <c r="R1495" s="1" t="s">
        <v>31</v>
      </c>
      <c r="S1495" s="3" t="n">
        <v>1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f aca="false">SUM(S1495:T1495)</f>
        <v>1</v>
      </c>
      <c r="Z1495" s="3" t="n">
        <f aca="false">SUM(U1495:W1495)</f>
        <v>0</v>
      </c>
      <c r="AA1495" s="3" t="n">
        <f aca="false">SUM(S1495:X1495)</f>
        <v>1</v>
      </c>
      <c r="AB1495" s="11" t="n">
        <f aca="false">(AA1495/(K1495*L1495)*25)*4</f>
        <v>4</v>
      </c>
    </row>
    <row r="1496" customFormat="false" ht="14.25" hidden="false" customHeight="false" outlineLevel="0" collapsed="false">
      <c r="A1496" s="1" t="n">
        <v>2014</v>
      </c>
      <c r="B1496" s="7" t="s">
        <v>322</v>
      </c>
      <c r="C1496" s="7" t="n">
        <v>3</v>
      </c>
      <c r="D1496" s="7" t="s">
        <v>295</v>
      </c>
      <c r="E1496" s="7" t="s">
        <v>295</v>
      </c>
      <c r="F1496" s="3" t="s">
        <v>336</v>
      </c>
      <c r="G1496" s="3" t="n">
        <v>3</v>
      </c>
      <c r="H1496" s="3" t="n">
        <v>11</v>
      </c>
      <c r="I1496" s="22" t="n">
        <v>41870</v>
      </c>
      <c r="J1496" s="22" t="n">
        <v>41875</v>
      </c>
      <c r="K1496" s="43" t="n">
        <f aca="false">J1496-I1496</f>
        <v>5</v>
      </c>
      <c r="L1496" s="1" t="n">
        <v>5</v>
      </c>
      <c r="M1496" s="3" t="s">
        <v>48</v>
      </c>
      <c r="N1496" s="3" t="s">
        <v>49</v>
      </c>
      <c r="O1496" s="3" t="s">
        <v>130</v>
      </c>
      <c r="P1496" s="2" t="str">
        <f aca="false">CONCATENATE(N1496," ",O1496)</f>
        <v>Alopecosa aculeata</v>
      </c>
      <c r="Q1496" s="1" t="s">
        <v>30</v>
      </c>
      <c r="R1496" s="1" t="s">
        <v>35</v>
      </c>
      <c r="S1496" s="3" t="n">
        <v>0</v>
      </c>
      <c r="T1496" s="3" t="n">
        <v>1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f aca="false">SUM(S1496:T1496)</f>
        <v>1</v>
      </c>
      <c r="Z1496" s="3" t="n">
        <f aca="false">SUM(U1496:W1496)</f>
        <v>0</v>
      </c>
      <c r="AA1496" s="3" t="n">
        <f aca="false">SUM(S1496:X1496)</f>
        <v>1</v>
      </c>
      <c r="AB1496" s="11" t="n">
        <f aca="false">(AA1496/(K1496*L1496)*25)*4</f>
        <v>4</v>
      </c>
    </row>
    <row r="1497" customFormat="false" ht="14.25" hidden="false" customHeight="false" outlineLevel="0" collapsed="false">
      <c r="A1497" s="1" t="n">
        <v>2014</v>
      </c>
      <c r="B1497" s="7" t="s">
        <v>322</v>
      </c>
      <c r="C1497" s="7" t="n">
        <v>3</v>
      </c>
      <c r="D1497" s="7" t="s">
        <v>295</v>
      </c>
      <c r="E1497" s="7" t="s">
        <v>295</v>
      </c>
      <c r="F1497" s="3" t="s">
        <v>324</v>
      </c>
      <c r="G1497" s="3" t="n">
        <v>2</v>
      </c>
      <c r="H1497" s="3" t="n">
        <v>10</v>
      </c>
      <c r="I1497" s="22" t="n">
        <v>41869</v>
      </c>
      <c r="J1497" s="22" t="n">
        <v>41874</v>
      </c>
      <c r="K1497" s="43" t="n">
        <f aca="false">J1497-I1497</f>
        <v>5</v>
      </c>
      <c r="L1497" s="1" t="n">
        <v>5</v>
      </c>
      <c r="M1497" s="3" t="s">
        <v>225</v>
      </c>
      <c r="N1497" s="3" t="s">
        <v>125</v>
      </c>
      <c r="O1497" s="3" t="s">
        <v>232</v>
      </c>
      <c r="P1497" s="2" t="str">
        <f aca="false">CONCATENATE(N1497," ",O1497)</f>
        <v>Hahnia pusilla</v>
      </c>
      <c r="Q1497" s="1" t="s">
        <v>30</v>
      </c>
      <c r="R1497" s="1" t="s">
        <v>31</v>
      </c>
      <c r="S1497" s="3" t="n">
        <v>1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f aca="false">SUM(S1497:T1497)</f>
        <v>1</v>
      </c>
      <c r="Z1497" s="3" t="n">
        <f aca="false">SUM(U1497:W1497)</f>
        <v>0</v>
      </c>
      <c r="AA1497" s="3" t="n">
        <f aca="false">SUM(S1497:X1497)</f>
        <v>1</v>
      </c>
      <c r="AB1497" s="11" t="n">
        <f aca="false">(AA1497/(K1497*L1497)*25)*4</f>
        <v>4</v>
      </c>
    </row>
    <row r="1498" customFormat="false" ht="14.25" hidden="false" customHeight="false" outlineLevel="0" collapsed="false">
      <c r="A1498" s="1" t="n">
        <v>2014</v>
      </c>
      <c r="B1498" s="7" t="s">
        <v>322</v>
      </c>
      <c r="C1498" s="7" t="n">
        <v>3</v>
      </c>
      <c r="D1498" s="7" t="s">
        <v>295</v>
      </c>
      <c r="E1498" s="7" t="s">
        <v>295</v>
      </c>
      <c r="F1498" s="3" t="s">
        <v>324</v>
      </c>
      <c r="G1498" s="3" t="n">
        <v>1</v>
      </c>
      <c r="H1498" s="3" t="n">
        <v>4</v>
      </c>
      <c r="I1498" s="22" t="n">
        <v>41869</v>
      </c>
      <c r="J1498" s="22" t="n">
        <v>41874</v>
      </c>
      <c r="K1498" s="43" t="n">
        <f aca="false">J1498-I1498</f>
        <v>5</v>
      </c>
      <c r="L1498" s="1" t="n">
        <v>5</v>
      </c>
      <c r="M1498" s="3" t="s">
        <v>48</v>
      </c>
      <c r="N1498" s="3" t="s">
        <v>122</v>
      </c>
      <c r="O1498" s="3" t="s">
        <v>123</v>
      </c>
      <c r="P1498" s="2" t="str">
        <f aca="false">CONCATENATE(N1498," ",O1498)</f>
        <v>Xerolycosa nemoralis</v>
      </c>
      <c r="Q1498" s="1" t="s">
        <v>30</v>
      </c>
      <c r="R1498" s="1" t="s">
        <v>35</v>
      </c>
      <c r="S1498" s="3" t="n">
        <v>0</v>
      </c>
      <c r="T1498" s="3" t="n">
        <v>1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f aca="false">SUM(S1498:T1498)</f>
        <v>1</v>
      </c>
      <c r="Z1498" s="3" t="n">
        <f aca="false">SUM(U1498:W1498)</f>
        <v>0</v>
      </c>
      <c r="AA1498" s="3" t="n">
        <f aca="false">SUM(S1498:X1498)</f>
        <v>1</v>
      </c>
      <c r="AB1498" s="11" t="n">
        <f aca="false">(AA1498/(K1498*L1498)*25)*4</f>
        <v>4</v>
      </c>
    </row>
    <row r="1499" customFormat="false" ht="14.25" hidden="false" customHeight="false" outlineLevel="0" collapsed="false">
      <c r="A1499" s="1" t="n">
        <v>2014</v>
      </c>
      <c r="B1499" s="7" t="s">
        <v>322</v>
      </c>
      <c r="C1499" s="7" t="n">
        <v>3</v>
      </c>
      <c r="D1499" s="7" t="s">
        <v>295</v>
      </c>
      <c r="E1499" s="7" t="s">
        <v>295</v>
      </c>
      <c r="F1499" s="3" t="s">
        <v>324</v>
      </c>
      <c r="G1499" s="3" t="n">
        <v>1</v>
      </c>
      <c r="H1499" s="3" t="n">
        <v>4</v>
      </c>
      <c r="I1499" s="22" t="n">
        <v>41869</v>
      </c>
      <c r="J1499" s="22" t="n">
        <v>41874</v>
      </c>
      <c r="K1499" s="43" t="n">
        <f aca="false">J1499-I1499</f>
        <v>5</v>
      </c>
      <c r="L1499" s="1" t="n">
        <v>5</v>
      </c>
      <c r="M1499" s="3" t="s">
        <v>48</v>
      </c>
      <c r="N1499" s="3" t="s">
        <v>49</v>
      </c>
      <c r="O1499" s="3" t="s">
        <v>130</v>
      </c>
      <c r="P1499" s="2" t="str">
        <f aca="false">CONCATENATE(N1499," ",O1499)</f>
        <v>Alopecosa aculeata</v>
      </c>
      <c r="Q1499" s="1" t="s">
        <v>30</v>
      </c>
      <c r="R1499" s="1" t="s">
        <v>35</v>
      </c>
      <c r="S1499" s="3" t="n">
        <v>0</v>
      </c>
      <c r="T1499" s="3" t="n">
        <v>1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f aca="false">SUM(S1499:T1499)</f>
        <v>1</v>
      </c>
      <c r="Z1499" s="3" t="n">
        <f aca="false">SUM(U1499:W1499)</f>
        <v>0</v>
      </c>
      <c r="AA1499" s="3" t="n">
        <f aca="false">SUM(S1499:X1499)</f>
        <v>1</v>
      </c>
      <c r="AB1499" s="11" t="n">
        <f aca="false">(AA1499/(K1499*L1499)*25)*4</f>
        <v>4</v>
      </c>
    </row>
    <row r="1500" customFormat="false" ht="14.25" hidden="false" customHeight="false" outlineLevel="0" collapsed="false">
      <c r="A1500" s="1" t="n">
        <v>2014</v>
      </c>
      <c r="B1500" s="7" t="s">
        <v>322</v>
      </c>
      <c r="C1500" s="7" t="n">
        <v>3</v>
      </c>
      <c r="D1500" s="7" t="s">
        <v>295</v>
      </c>
      <c r="E1500" s="7" t="s">
        <v>295</v>
      </c>
      <c r="F1500" s="3" t="s">
        <v>324</v>
      </c>
      <c r="G1500" s="3" t="n">
        <v>1</v>
      </c>
      <c r="H1500" s="3" t="n">
        <v>2</v>
      </c>
      <c r="I1500" s="22" t="n">
        <v>41869</v>
      </c>
      <c r="J1500" s="22" t="n">
        <v>41874</v>
      </c>
      <c r="K1500" s="43" t="n">
        <f aca="false">J1500-I1500</f>
        <v>5</v>
      </c>
      <c r="L1500" s="1" t="n">
        <v>5</v>
      </c>
      <c r="M1500" s="3" t="s">
        <v>48</v>
      </c>
      <c r="N1500" s="3" t="s">
        <v>67</v>
      </c>
      <c r="O1500" s="3" t="s">
        <v>127</v>
      </c>
      <c r="P1500" s="2" t="str">
        <f aca="false">CONCATENATE(N1500," ",O1500)</f>
        <v>Pardosa lugubris</v>
      </c>
      <c r="Q1500" s="1" t="s">
        <v>30</v>
      </c>
      <c r="R1500" s="1" t="s">
        <v>35</v>
      </c>
      <c r="S1500" s="3" t="n">
        <v>0</v>
      </c>
      <c r="T1500" s="3" t="n">
        <v>1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f aca="false">SUM(S1500:T1500)</f>
        <v>1</v>
      </c>
      <c r="Z1500" s="3" t="n">
        <f aca="false">SUM(U1500:W1500)</f>
        <v>0</v>
      </c>
      <c r="AA1500" s="3" t="n">
        <f aca="false">SUM(S1500:X1500)</f>
        <v>1</v>
      </c>
      <c r="AB1500" s="11" t="n">
        <f aca="false">(AA1500/(K1500*L1500)*25)*4</f>
        <v>4</v>
      </c>
    </row>
    <row r="1501" customFormat="false" ht="14.25" hidden="false" customHeight="false" outlineLevel="0" collapsed="false">
      <c r="A1501" s="1" t="n">
        <v>2014</v>
      </c>
      <c r="B1501" s="7" t="s">
        <v>322</v>
      </c>
      <c r="C1501" s="7" t="n">
        <v>3</v>
      </c>
      <c r="D1501" s="7" t="s">
        <v>295</v>
      </c>
      <c r="E1501" s="7" t="s">
        <v>295</v>
      </c>
      <c r="F1501" s="3" t="s">
        <v>324</v>
      </c>
      <c r="G1501" s="3" t="n">
        <v>1</v>
      </c>
      <c r="H1501" s="3" t="n">
        <v>2</v>
      </c>
      <c r="I1501" s="22" t="n">
        <v>41869</v>
      </c>
      <c r="J1501" s="22" t="n">
        <v>41874</v>
      </c>
      <c r="K1501" s="43" t="n">
        <f aca="false">J1501-I1501</f>
        <v>5</v>
      </c>
      <c r="L1501" s="1" t="n">
        <v>5</v>
      </c>
      <c r="M1501" s="3" t="s">
        <v>72</v>
      </c>
      <c r="N1501" s="3" t="s">
        <v>139</v>
      </c>
      <c r="O1501" s="3" t="s">
        <v>140</v>
      </c>
      <c r="P1501" s="2" t="str">
        <f aca="false">CONCATENATE(N1501," ",O1501)</f>
        <v>Gnaphosa muscorum</v>
      </c>
      <c r="Q1501" s="1" t="s">
        <v>30</v>
      </c>
      <c r="R1501" s="1" t="s">
        <v>35</v>
      </c>
      <c r="S1501" s="3" t="n">
        <v>0</v>
      </c>
      <c r="T1501" s="3" t="n">
        <v>1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f aca="false">SUM(S1501:T1501)</f>
        <v>1</v>
      </c>
      <c r="Z1501" s="3" t="n">
        <f aca="false">SUM(U1501:W1501)</f>
        <v>0</v>
      </c>
      <c r="AA1501" s="3" t="n">
        <f aca="false">SUM(S1501:X1501)</f>
        <v>1</v>
      </c>
      <c r="AB1501" s="11" t="n">
        <f aca="false">(AA1501/(K1501*L1501)*25)*4</f>
        <v>4</v>
      </c>
    </row>
    <row r="1502" customFormat="false" ht="14.25" hidden="false" customHeight="false" outlineLevel="0" collapsed="false">
      <c r="A1502" s="1" t="n">
        <v>2014</v>
      </c>
      <c r="B1502" s="7" t="s">
        <v>322</v>
      </c>
      <c r="C1502" s="7" t="n">
        <v>3</v>
      </c>
      <c r="D1502" s="7" t="s">
        <v>295</v>
      </c>
      <c r="E1502" s="7" t="s">
        <v>295</v>
      </c>
      <c r="F1502" s="3" t="s">
        <v>324</v>
      </c>
      <c r="G1502" s="3" t="n">
        <v>1</v>
      </c>
      <c r="H1502" s="3" t="n">
        <v>3</v>
      </c>
      <c r="I1502" s="22" t="n">
        <v>41869</v>
      </c>
      <c r="J1502" s="22" t="n">
        <v>41874</v>
      </c>
      <c r="K1502" s="43" t="n">
        <f aca="false">J1502-I1502</f>
        <v>5</v>
      </c>
      <c r="L1502" s="1" t="n">
        <v>5</v>
      </c>
      <c r="M1502" s="3" t="s">
        <v>72</v>
      </c>
      <c r="N1502" s="3" t="s">
        <v>73</v>
      </c>
      <c r="O1502" s="3" t="s">
        <v>74</v>
      </c>
      <c r="P1502" s="2" t="str">
        <f aca="false">CONCATENATE(N1502," ",O1502)</f>
        <v>Zelotes subterraneus</v>
      </c>
      <c r="Q1502" s="1" t="s">
        <v>30</v>
      </c>
      <c r="R1502" s="1" t="s">
        <v>35</v>
      </c>
      <c r="S1502" s="3" t="n">
        <v>0</v>
      </c>
      <c r="T1502" s="3" t="n">
        <v>1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f aca="false">SUM(S1502:T1502)</f>
        <v>1</v>
      </c>
      <c r="Z1502" s="3" t="n">
        <f aca="false">SUM(U1502:W1502)</f>
        <v>0</v>
      </c>
      <c r="AA1502" s="3" t="n">
        <f aca="false">SUM(S1502:X1502)</f>
        <v>1</v>
      </c>
      <c r="AB1502" s="11" t="n">
        <f aca="false">(AA1502/(K1502*L1502)*25)*4</f>
        <v>4</v>
      </c>
    </row>
    <row r="1503" customFormat="false" ht="14.25" hidden="false" customHeight="false" outlineLevel="0" collapsed="false">
      <c r="A1503" s="1" t="n">
        <v>2014</v>
      </c>
      <c r="B1503" s="7" t="s">
        <v>322</v>
      </c>
      <c r="C1503" s="7" t="n">
        <v>3</v>
      </c>
      <c r="D1503" s="7" t="s">
        <v>295</v>
      </c>
      <c r="E1503" s="7" t="s">
        <v>295</v>
      </c>
      <c r="F1503" s="3" t="s">
        <v>324</v>
      </c>
      <c r="G1503" s="3" t="n">
        <v>2</v>
      </c>
      <c r="H1503" s="3" t="n">
        <v>6</v>
      </c>
      <c r="I1503" s="22" t="n">
        <v>41869</v>
      </c>
      <c r="J1503" s="22" t="n">
        <v>41874</v>
      </c>
      <c r="K1503" s="43" t="n">
        <f aca="false">J1503-I1503</f>
        <v>5</v>
      </c>
      <c r="L1503" s="1" t="n">
        <v>5</v>
      </c>
      <c r="M1503" s="3" t="s">
        <v>72</v>
      </c>
      <c r="N1503" s="3" t="s">
        <v>147</v>
      </c>
      <c r="O1503" s="3" t="s">
        <v>233</v>
      </c>
      <c r="P1503" s="2" t="str">
        <f aca="false">CONCATENATE(N1503," ",O1503)</f>
        <v>Micaria fulgens</v>
      </c>
      <c r="Q1503" s="1" t="s">
        <v>30</v>
      </c>
      <c r="R1503" s="1" t="s">
        <v>35</v>
      </c>
      <c r="S1503" s="3" t="n">
        <v>0</v>
      </c>
      <c r="T1503" s="3" t="n">
        <v>1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f aca="false">SUM(S1503:T1503)</f>
        <v>1</v>
      </c>
      <c r="Z1503" s="3" t="n">
        <f aca="false">SUM(U1503:W1503)</f>
        <v>0</v>
      </c>
      <c r="AA1503" s="3" t="n">
        <f aca="false">SUM(S1503:X1503)</f>
        <v>1</v>
      </c>
      <c r="AB1503" s="11" t="n">
        <f aca="false">(AA1503/(K1503*L1503)*25)*4</f>
        <v>4</v>
      </c>
    </row>
    <row r="1504" customFormat="false" ht="14.25" hidden="false" customHeight="false" outlineLevel="0" collapsed="false">
      <c r="A1504" s="1" t="n">
        <v>2014</v>
      </c>
      <c r="B1504" s="7" t="s">
        <v>322</v>
      </c>
      <c r="C1504" s="7" t="n">
        <v>3</v>
      </c>
      <c r="D1504" s="7" t="s">
        <v>295</v>
      </c>
      <c r="E1504" s="7" t="s">
        <v>295</v>
      </c>
      <c r="F1504" s="3" t="s">
        <v>324</v>
      </c>
      <c r="G1504" s="3" t="n">
        <v>2</v>
      </c>
      <c r="H1504" s="3" t="n">
        <v>6</v>
      </c>
      <c r="I1504" s="22" t="n">
        <v>41869</v>
      </c>
      <c r="J1504" s="22" t="n">
        <v>41874</v>
      </c>
      <c r="K1504" s="43" t="n">
        <f aca="false">J1504-I1504</f>
        <v>5</v>
      </c>
      <c r="L1504" s="1" t="n">
        <v>5</v>
      </c>
      <c r="M1504" s="3" t="s">
        <v>72</v>
      </c>
      <c r="N1504" s="3" t="s">
        <v>73</v>
      </c>
      <c r="O1504" s="3" t="s">
        <v>74</v>
      </c>
      <c r="P1504" s="2" t="str">
        <f aca="false">CONCATENATE(N1504," ",O1504)</f>
        <v>Zelotes subterraneus</v>
      </c>
      <c r="Q1504" s="1" t="s">
        <v>30</v>
      </c>
      <c r="R1504" s="1" t="s">
        <v>31</v>
      </c>
      <c r="S1504" s="3" t="n">
        <v>1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f aca="false">SUM(S1504:T1504)</f>
        <v>1</v>
      </c>
      <c r="Z1504" s="3" t="n">
        <f aca="false">SUM(U1504:W1504)</f>
        <v>0</v>
      </c>
      <c r="AA1504" s="3" t="n">
        <f aca="false">SUM(S1504:X1504)</f>
        <v>1</v>
      </c>
      <c r="AB1504" s="11" t="n">
        <f aca="false">(AA1504/(K1504*L1504)*25)*4</f>
        <v>4</v>
      </c>
    </row>
    <row r="1505" customFormat="false" ht="14.25" hidden="false" customHeight="false" outlineLevel="0" collapsed="false">
      <c r="A1505" s="1" t="n">
        <v>2014</v>
      </c>
      <c r="B1505" s="7" t="s">
        <v>322</v>
      </c>
      <c r="C1505" s="7" t="n">
        <v>3</v>
      </c>
      <c r="D1505" s="7" t="s">
        <v>295</v>
      </c>
      <c r="E1505" s="7" t="s">
        <v>295</v>
      </c>
      <c r="F1505" s="3" t="s">
        <v>324</v>
      </c>
      <c r="G1505" s="3" t="n">
        <v>3</v>
      </c>
      <c r="H1505" s="3" t="n">
        <v>12</v>
      </c>
      <c r="I1505" s="22" t="n">
        <v>41869</v>
      </c>
      <c r="J1505" s="22" t="n">
        <v>41874</v>
      </c>
      <c r="K1505" s="43" t="n">
        <f aca="false">J1505-I1505</f>
        <v>5</v>
      </c>
      <c r="L1505" s="1" t="n">
        <v>5</v>
      </c>
      <c r="M1505" s="3" t="s">
        <v>48</v>
      </c>
      <c r="N1505" s="3" t="s">
        <v>49</v>
      </c>
      <c r="O1505" s="3" t="s">
        <v>130</v>
      </c>
      <c r="P1505" s="2" t="str">
        <f aca="false">CONCATENATE(N1505," ",O1505)</f>
        <v>Alopecosa aculeata</v>
      </c>
      <c r="Q1505" s="1" t="s">
        <v>30</v>
      </c>
      <c r="R1505" s="1" t="s">
        <v>35</v>
      </c>
      <c r="S1505" s="3" t="n">
        <v>0</v>
      </c>
      <c r="T1505" s="3" t="n">
        <v>1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f aca="false">SUM(S1505:T1505)</f>
        <v>1</v>
      </c>
      <c r="Z1505" s="3" t="n">
        <f aca="false">SUM(U1505:W1505)</f>
        <v>0</v>
      </c>
      <c r="AA1505" s="3" t="n">
        <f aca="false">SUM(S1505:X1505)</f>
        <v>1</v>
      </c>
      <c r="AB1505" s="11" t="n">
        <f aca="false">(AA1505/(K1505*L1505)*25)*4</f>
        <v>4</v>
      </c>
    </row>
    <row r="1506" customFormat="false" ht="14.25" hidden="false" customHeight="false" outlineLevel="0" collapsed="false">
      <c r="A1506" s="1" t="n">
        <v>2014</v>
      </c>
      <c r="B1506" s="7" t="s">
        <v>322</v>
      </c>
      <c r="C1506" s="7" t="n">
        <v>3</v>
      </c>
      <c r="D1506" s="7" t="s">
        <v>295</v>
      </c>
      <c r="E1506" s="7" t="s">
        <v>295</v>
      </c>
      <c r="F1506" s="3" t="s">
        <v>324</v>
      </c>
      <c r="G1506" s="3" t="n">
        <v>3</v>
      </c>
      <c r="H1506" s="3" t="n">
        <v>12</v>
      </c>
      <c r="I1506" s="22" t="n">
        <v>41869</v>
      </c>
      <c r="J1506" s="22" t="n">
        <v>41874</v>
      </c>
      <c r="K1506" s="43" t="n">
        <f aca="false">J1506-I1506</f>
        <v>5</v>
      </c>
      <c r="L1506" s="1" t="n">
        <v>5</v>
      </c>
      <c r="M1506" s="3" t="s">
        <v>48</v>
      </c>
      <c r="N1506" s="3" t="s">
        <v>122</v>
      </c>
      <c r="O1506" s="3" t="s">
        <v>123</v>
      </c>
      <c r="P1506" s="2" t="str">
        <f aca="false">CONCATENATE(N1506," ",O1506)</f>
        <v>Xerolycosa nemoralis</v>
      </c>
      <c r="Q1506" s="1" t="s">
        <v>30</v>
      </c>
      <c r="R1506" s="1" t="s">
        <v>35</v>
      </c>
      <c r="S1506" s="3" t="n">
        <v>0</v>
      </c>
      <c r="T1506" s="3" t="n">
        <v>2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f aca="false">SUM(S1506:T1506)</f>
        <v>2</v>
      </c>
      <c r="Z1506" s="3" t="n">
        <f aca="false">SUM(U1506:W1506)</f>
        <v>0</v>
      </c>
      <c r="AA1506" s="3" t="n">
        <f aca="false">SUM(S1506:X1506)</f>
        <v>2</v>
      </c>
      <c r="AB1506" s="11" t="n">
        <f aca="false">(AA1506/(K1506*L1506)*25)*4</f>
        <v>8</v>
      </c>
    </row>
    <row r="1507" customFormat="false" ht="14.25" hidden="false" customHeight="false" outlineLevel="0" collapsed="false">
      <c r="A1507" s="1" t="n">
        <v>2014</v>
      </c>
      <c r="B1507" s="7" t="s">
        <v>322</v>
      </c>
      <c r="C1507" s="7" t="n">
        <v>3</v>
      </c>
      <c r="D1507" s="7" t="s">
        <v>295</v>
      </c>
      <c r="E1507" s="7" t="s">
        <v>295</v>
      </c>
      <c r="F1507" s="3" t="s">
        <v>324</v>
      </c>
      <c r="G1507" s="3" t="n">
        <v>3</v>
      </c>
      <c r="H1507" s="3" t="n">
        <v>15</v>
      </c>
      <c r="I1507" s="22" t="n">
        <v>41869</v>
      </c>
      <c r="J1507" s="22" t="n">
        <v>41874</v>
      </c>
      <c r="K1507" s="43" t="n">
        <f aca="false">J1507-I1507</f>
        <v>5</v>
      </c>
      <c r="L1507" s="1" t="n">
        <v>5</v>
      </c>
      <c r="M1507" s="3" t="s">
        <v>48</v>
      </c>
      <c r="N1507" s="3" t="s">
        <v>49</v>
      </c>
      <c r="O1507" s="3" t="s">
        <v>130</v>
      </c>
      <c r="P1507" s="2" t="str">
        <f aca="false">CONCATENATE(N1507," ",O1507)</f>
        <v>Alopecosa aculeata</v>
      </c>
      <c r="Q1507" s="1" t="s">
        <v>30</v>
      </c>
      <c r="R1507" s="1" t="s">
        <v>35</v>
      </c>
      <c r="S1507" s="3" t="n">
        <v>0</v>
      </c>
      <c r="T1507" s="3" t="n">
        <v>1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f aca="false">SUM(S1507:T1507)</f>
        <v>1</v>
      </c>
      <c r="Z1507" s="3" t="n">
        <f aca="false">SUM(U1507:W1507)</f>
        <v>0</v>
      </c>
      <c r="AA1507" s="3" t="n">
        <f aca="false">SUM(S1507:X1507)</f>
        <v>1</v>
      </c>
      <c r="AB1507" s="11" t="n">
        <f aca="false">(AA1507/(K1507*L1507)*25)*4</f>
        <v>4</v>
      </c>
    </row>
    <row r="1508" customFormat="false" ht="14.25" hidden="false" customHeight="false" outlineLevel="0" collapsed="false">
      <c r="A1508" s="1" t="n">
        <v>2014</v>
      </c>
      <c r="B1508" s="7" t="s">
        <v>322</v>
      </c>
      <c r="C1508" s="7" t="n">
        <v>3</v>
      </c>
      <c r="D1508" s="7" t="s">
        <v>295</v>
      </c>
      <c r="E1508" s="7" t="s">
        <v>295</v>
      </c>
      <c r="F1508" s="3" t="s">
        <v>324</v>
      </c>
      <c r="G1508" s="3" t="n">
        <v>3</v>
      </c>
      <c r="H1508" s="3" t="n">
        <v>11</v>
      </c>
      <c r="I1508" s="22" t="n">
        <v>41869</v>
      </c>
      <c r="J1508" s="22" t="n">
        <v>41874</v>
      </c>
      <c r="K1508" s="43" t="n">
        <f aca="false">J1508-I1508</f>
        <v>5</v>
      </c>
      <c r="L1508" s="1" t="n">
        <v>5</v>
      </c>
      <c r="M1508" s="3" t="s">
        <v>48</v>
      </c>
      <c r="N1508" s="3" t="s">
        <v>122</v>
      </c>
      <c r="O1508" s="3" t="s">
        <v>123</v>
      </c>
      <c r="P1508" s="2" t="str">
        <f aca="false">CONCATENATE(N1508," ",O1508)</f>
        <v>Xerolycosa nemoralis</v>
      </c>
      <c r="Q1508" s="1" t="s">
        <v>30</v>
      </c>
      <c r="R1508" s="1" t="s">
        <v>35</v>
      </c>
      <c r="S1508" s="3" t="n">
        <v>0</v>
      </c>
      <c r="T1508" s="3" t="n">
        <v>2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f aca="false">SUM(S1508:T1508)</f>
        <v>2</v>
      </c>
      <c r="Z1508" s="3" t="n">
        <f aca="false">SUM(U1508:W1508)</f>
        <v>0</v>
      </c>
      <c r="AA1508" s="3" t="n">
        <f aca="false">SUM(S1508:X1508)</f>
        <v>2</v>
      </c>
      <c r="AB1508" s="11" t="n">
        <f aca="false">(AA1508/(K1508*L1508)*25)*4</f>
        <v>8</v>
      </c>
    </row>
    <row r="1509" customFormat="false" ht="14.25" hidden="false" customHeight="false" outlineLevel="0" collapsed="false">
      <c r="A1509" s="1" t="n">
        <v>2014</v>
      </c>
      <c r="B1509" s="7" t="s">
        <v>322</v>
      </c>
      <c r="C1509" s="7" t="n">
        <v>3</v>
      </c>
      <c r="D1509" s="7" t="s">
        <v>295</v>
      </c>
      <c r="E1509" s="7" t="s">
        <v>295</v>
      </c>
      <c r="F1509" s="3" t="s">
        <v>324</v>
      </c>
      <c r="G1509" s="3" t="n">
        <v>3</v>
      </c>
      <c r="H1509" s="3" t="n">
        <v>13</v>
      </c>
      <c r="I1509" s="22" t="n">
        <v>41869</v>
      </c>
      <c r="J1509" s="22" t="n">
        <v>41874</v>
      </c>
      <c r="K1509" s="43" t="n">
        <f aca="false">J1509-I1509</f>
        <v>5</v>
      </c>
      <c r="L1509" s="1" t="n">
        <v>5</v>
      </c>
      <c r="M1509" s="3" t="s">
        <v>32</v>
      </c>
      <c r="N1509" s="3" t="s">
        <v>33</v>
      </c>
      <c r="O1509" s="3" t="s">
        <v>81</v>
      </c>
      <c r="P1509" s="2" t="str">
        <f aca="false">CONCATENATE(N1509," ",O1509)</f>
        <v>Tenuiphantes mengei</v>
      </c>
      <c r="Q1509" s="1" t="s">
        <v>30</v>
      </c>
      <c r="R1509" s="1" t="s">
        <v>35</v>
      </c>
      <c r="S1509" s="3" t="n">
        <v>0</v>
      </c>
      <c r="T1509" s="3" t="n">
        <v>1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f aca="false">SUM(S1509:T1509)</f>
        <v>1</v>
      </c>
      <c r="Z1509" s="3" t="n">
        <f aca="false">SUM(U1509:W1509)</f>
        <v>0</v>
      </c>
      <c r="AA1509" s="3" t="n">
        <f aca="false">SUM(S1509:X1509)</f>
        <v>1</v>
      </c>
      <c r="AB1509" s="11" t="n">
        <f aca="false">(AA1509/(K1509*L1509)*25)*4</f>
        <v>4</v>
      </c>
    </row>
    <row r="1510" customFormat="false" ht="14.25" hidden="false" customHeight="false" outlineLevel="0" collapsed="false">
      <c r="A1510" s="1" t="n">
        <v>2014</v>
      </c>
      <c r="B1510" s="7" t="s">
        <v>322</v>
      </c>
      <c r="C1510" s="7" t="n">
        <v>3</v>
      </c>
      <c r="D1510" s="7" t="s">
        <v>295</v>
      </c>
      <c r="E1510" s="7" t="s">
        <v>295</v>
      </c>
      <c r="F1510" s="3" t="s">
        <v>324</v>
      </c>
      <c r="G1510" s="3" t="n">
        <v>1</v>
      </c>
      <c r="H1510" s="3" t="n">
        <v>5</v>
      </c>
      <c r="I1510" s="22" t="n">
        <v>41869</v>
      </c>
      <c r="J1510" s="22" t="n">
        <v>41874</v>
      </c>
      <c r="K1510" s="43" t="n">
        <f aca="false">J1510-I1510</f>
        <v>5</v>
      </c>
      <c r="L1510" s="1" t="n">
        <v>5</v>
      </c>
      <c r="M1510" s="3" t="s">
        <v>48</v>
      </c>
      <c r="N1510" s="3" t="s">
        <v>49</v>
      </c>
      <c r="O1510" s="3" t="s">
        <v>130</v>
      </c>
      <c r="P1510" s="2" t="str">
        <f aca="false">CONCATENATE(N1510," ",O1510)</f>
        <v>Alopecosa aculeata</v>
      </c>
      <c r="Q1510" s="1" t="s">
        <v>30</v>
      </c>
      <c r="R1510" s="1" t="s">
        <v>35</v>
      </c>
      <c r="S1510" s="3" t="n">
        <v>0</v>
      </c>
      <c r="T1510" s="3" t="n">
        <v>1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f aca="false">SUM(S1510:T1510)</f>
        <v>1</v>
      </c>
      <c r="Z1510" s="3" t="n">
        <f aca="false">SUM(U1510:W1510)</f>
        <v>0</v>
      </c>
      <c r="AA1510" s="3" t="n">
        <f aca="false">SUM(S1510:X1510)</f>
        <v>1</v>
      </c>
      <c r="AB1510" s="11" t="n">
        <f aca="false">(AA1510/(K1510*L1510)*25)*4</f>
        <v>4</v>
      </c>
    </row>
    <row r="1511" customFormat="false" ht="14.25" hidden="false" customHeight="false" outlineLevel="0" collapsed="false">
      <c r="A1511" s="1" t="n">
        <v>2014</v>
      </c>
      <c r="B1511" s="7" t="s">
        <v>322</v>
      </c>
      <c r="C1511" s="7" t="n">
        <v>3</v>
      </c>
      <c r="D1511" s="7" t="s">
        <v>295</v>
      </c>
      <c r="E1511" s="7" t="s">
        <v>295</v>
      </c>
      <c r="F1511" s="3" t="s">
        <v>324</v>
      </c>
      <c r="G1511" s="3" t="n">
        <v>1</v>
      </c>
      <c r="H1511" s="3" t="n">
        <v>5</v>
      </c>
      <c r="I1511" s="22" t="n">
        <v>41869</v>
      </c>
      <c r="J1511" s="22" t="n">
        <v>41874</v>
      </c>
      <c r="K1511" s="43" t="n">
        <f aca="false">J1511-I1511</f>
        <v>5</v>
      </c>
      <c r="L1511" s="1" t="n">
        <v>5</v>
      </c>
      <c r="M1511" s="3" t="s">
        <v>72</v>
      </c>
      <c r="N1511" s="3" t="s">
        <v>139</v>
      </c>
      <c r="O1511" s="3" t="s">
        <v>140</v>
      </c>
      <c r="P1511" s="2" t="str">
        <f aca="false">CONCATENATE(N1511," ",O1511)</f>
        <v>Gnaphosa muscorum</v>
      </c>
      <c r="Q1511" s="1" t="s">
        <v>30</v>
      </c>
      <c r="R1511" s="1" t="s">
        <v>35</v>
      </c>
      <c r="S1511" s="3" t="n">
        <v>0</v>
      </c>
      <c r="T1511" s="3" t="n">
        <v>1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f aca="false">SUM(S1511:T1511)</f>
        <v>1</v>
      </c>
      <c r="Z1511" s="3" t="n">
        <f aca="false">SUM(U1511:W1511)</f>
        <v>0</v>
      </c>
      <c r="AA1511" s="3" t="n">
        <f aca="false">SUM(S1511:X1511)</f>
        <v>1</v>
      </c>
      <c r="AB1511" s="11" t="n">
        <f aca="false">(AA1511/(K1511*L1511)*25)*4</f>
        <v>4</v>
      </c>
    </row>
    <row r="1512" customFormat="false" ht="14.25" hidden="false" customHeight="false" outlineLevel="0" collapsed="false">
      <c r="A1512" s="1" t="n">
        <v>2014</v>
      </c>
      <c r="B1512" s="7" t="s">
        <v>322</v>
      </c>
      <c r="C1512" s="7" t="n">
        <v>3</v>
      </c>
      <c r="D1512" s="7" t="s">
        <v>295</v>
      </c>
      <c r="E1512" s="7" t="s">
        <v>295</v>
      </c>
      <c r="F1512" s="3" t="s">
        <v>324</v>
      </c>
      <c r="G1512" s="3" t="n">
        <v>2</v>
      </c>
      <c r="H1512" s="3" t="n">
        <v>7</v>
      </c>
      <c r="I1512" s="22" t="n">
        <v>41869</v>
      </c>
      <c r="J1512" s="22" t="n">
        <v>41874</v>
      </c>
      <c r="K1512" s="43" t="n">
        <f aca="false">J1512-I1512</f>
        <v>5</v>
      </c>
      <c r="L1512" s="1" t="n">
        <v>5</v>
      </c>
      <c r="M1512" s="3" t="s">
        <v>72</v>
      </c>
      <c r="N1512" s="3" t="s">
        <v>73</v>
      </c>
      <c r="O1512" s="3" t="s">
        <v>74</v>
      </c>
      <c r="P1512" s="2" t="str">
        <f aca="false">CONCATENATE(N1512," ",O1512)</f>
        <v>Zelotes subterraneus</v>
      </c>
      <c r="Q1512" s="1" t="s">
        <v>30</v>
      </c>
      <c r="R1512" s="1" t="s">
        <v>31</v>
      </c>
      <c r="S1512" s="3" t="n">
        <v>1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f aca="false">SUM(S1512:T1512)</f>
        <v>1</v>
      </c>
      <c r="Z1512" s="3" t="n">
        <f aca="false">SUM(U1512:W1512)</f>
        <v>0</v>
      </c>
      <c r="AA1512" s="3" t="n">
        <f aca="false">SUM(S1512:X1512)</f>
        <v>1</v>
      </c>
      <c r="AB1512" s="11" t="n">
        <f aca="false">(AA1512/(K1512*L1512)*25)*4</f>
        <v>4</v>
      </c>
    </row>
    <row r="1513" customFormat="false" ht="14.25" hidden="false" customHeight="false" outlineLevel="0" collapsed="false">
      <c r="A1513" s="1" t="n">
        <v>2014</v>
      </c>
      <c r="B1513" s="7" t="s">
        <v>322</v>
      </c>
      <c r="C1513" s="7" t="n">
        <v>3</v>
      </c>
      <c r="D1513" s="7" t="s">
        <v>295</v>
      </c>
      <c r="E1513" s="7" t="s">
        <v>295</v>
      </c>
      <c r="F1513" s="3" t="s">
        <v>324</v>
      </c>
      <c r="G1513" s="3" t="n">
        <v>2</v>
      </c>
      <c r="H1513" s="3" t="n">
        <v>8</v>
      </c>
      <c r="I1513" s="22" t="n">
        <v>41869</v>
      </c>
      <c r="J1513" s="22" t="n">
        <v>41874</v>
      </c>
      <c r="K1513" s="43" t="n">
        <f aca="false">J1513-I1513</f>
        <v>5</v>
      </c>
      <c r="L1513" s="1" t="n">
        <v>5</v>
      </c>
      <c r="M1513" s="3" t="s">
        <v>48</v>
      </c>
      <c r="N1513" s="3" t="s">
        <v>49</v>
      </c>
      <c r="O1513" s="3" t="s">
        <v>130</v>
      </c>
      <c r="P1513" s="2" t="str">
        <f aca="false">CONCATENATE(N1513," ",O1513)</f>
        <v>Alopecosa aculeata</v>
      </c>
      <c r="Q1513" s="1" t="s">
        <v>30</v>
      </c>
      <c r="R1513" s="1" t="s">
        <v>35</v>
      </c>
      <c r="S1513" s="3" t="n">
        <v>0</v>
      </c>
      <c r="T1513" s="3" t="n">
        <v>1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f aca="false">SUM(S1513:T1513)</f>
        <v>1</v>
      </c>
      <c r="Z1513" s="3" t="n">
        <f aca="false">SUM(U1513:W1513)</f>
        <v>0</v>
      </c>
      <c r="AA1513" s="3" t="n">
        <f aca="false">SUM(S1513:X1513)</f>
        <v>1</v>
      </c>
      <c r="AB1513" s="11" t="n">
        <f aca="false">(AA1513/(K1513*L1513)*25)*4</f>
        <v>4</v>
      </c>
    </row>
    <row r="1514" customFormat="false" ht="14.25" hidden="false" customHeight="false" outlineLevel="0" collapsed="false">
      <c r="A1514" s="1" t="n">
        <v>2014</v>
      </c>
      <c r="B1514" s="7" t="s">
        <v>322</v>
      </c>
      <c r="C1514" s="7" t="n">
        <v>3</v>
      </c>
      <c r="D1514" s="7" t="s">
        <v>295</v>
      </c>
      <c r="E1514" s="7" t="s">
        <v>295</v>
      </c>
      <c r="F1514" s="3" t="s">
        <v>324</v>
      </c>
      <c r="G1514" s="3" t="n">
        <v>2</v>
      </c>
      <c r="H1514" s="3" t="n">
        <v>8</v>
      </c>
      <c r="I1514" s="22" t="n">
        <v>41869</v>
      </c>
      <c r="J1514" s="22" t="n">
        <v>41874</v>
      </c>
      <c r="K1514" s="43" t="n">
        <f aca="false">J1514-I1514</f>
        <v>5</v>
      </c>
      <c r="L1514" s="1" t="n">
        <v>5</v>
      </c>
      <c r="M1514" s="3" t="s">
        <v>72</v>
      </c>
      <c r="N1514" s="3" t="s">
        <v>73</v>
      </c>
      <c r="O1514" s="3" t="s">
        <v>74</v>
      </c>
      <c r="P1514" s="2" t="str">
        <f aca="false">CONCATENATE(N1514," ",O1514)</f>
        <v>Zelotes subterraneus</v>
      </c>
      <c r="Q1514" s="1" t="s">
        <v>30</v>
      </c>
      <c r="R1514" s="1" t="s">
        <v>35</v>
      </c>
      <c r="S1514" s="3" t="n">
        <v>0</v>
      </c>
      <c r="T1514" s="3" t="n">
        <v>1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f aca="false">SUM(S1514:T1514)</f>
        <v>1</v>
      </c>
      <c r="Z1514" s="3" t="n">
        <f aca="false">SUM(U1514:W1514)</f>
        <v>0</v>
      </c>
      <c r="AA1514" s="3" t="n">
        <f aca="false">SUM(S1514:X1514)</f>
        <v>1</v>
      </c>
      <c r="AB1514" s="11" t="n">
        <f aca="false">(AA1514/(K1514*L1514)*25)*4</f>
        <v>4</v>
      </c>
    </row>
    <row r="1515" customFormat="false" ht="14.25" hidden="false" customHeight="false" outlineLevel="0" collapsed="false">
      <c r="A1515" s="1" t="n">
        <v>2014</v>
      </c>
      <c r="B1515" s="7" t="s">
        <v>322</v>
      </c>
      <c r="C1515" s="7" t="n">
        <v>3</v>
      </c>
      <c r="D1515" s="7" t="s">
        <v>295</v>
      </c>
      <c r="E1515" s="7" t="s">
        <v>295</v>
      </c>
      <c r="F1515" s="3" t="s">
        <v>324</v>
      </c>
      <c r="G1515" s="3" t="n">
        <v>1</v>
      </c>
      <c r="H1515" s="3" t="n">
        <v>1</v>
      </c>
      <c r="I1515" s="22" t="n">
        <v>41869</v>
      </c>
      <c r="J1515" s="22" t="n">
        <v>41874</v>
      </c>
      <c r="K1515" s="43" t="n">
        <f aca="false">J1515-I1515</f>
        <v>5</v>
      </c>
      <c r="L1515" s="1" t="n">
        <v>5</v>
      </c>
      <c r="M1515" s="3" t="s">
        <v>72</v>
      </c>
      <c r="N1515" s="3" t="s">
        <v>73</v>
      </c>
      <c r="O1515" s="3" t="s">
        <v>74</v>
      </c>
      <c r="P1515" s="2" t="str">
        <f aca="false">CONCATENATE(N1515," ",O1515)</f>
        <v>Zelotes subterraneus</v>
      </c>
      <c r="Q1515" s="1" t="s">
        <v>30</v>
      </c>
      <c r="R1515" s="1" t="s">
        <v>31</v>
      </c>
      <c r="S1515" s="3" t="n">
        <v>2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f aca="false">SUM(S1515:T1515)</f>
        <v>2</v>
      </c>
      <c r="Z1515" s="3" t="n">
        <f aca="false">SUM(U1515:W1515)</f>
        <v>0</v>
      </c>
      <c r="AA1515" s="3" t="n">
        <f aca="false">SUM(S1515:X1515)</f>
        <v>2</v>
      </c>
      <c r="AB1515" s="11" t="n">
        <f aca="false">(AA1515/(K1515*L1515)*25)*4</f>
        <v>8</v>
      </c>
    </row>
    <row r="1516" customFormat="false" ht="14.25" hidden="false" customHeight="false" outlineLevel="0" collapsed="false">
      <c r="A1516" s="1" t="n">
        <v>2014</v>
      </c>
      <c r="B1516" s="7" t="s">
        <v>322</v>
      </c>
      <c r="C1516" s="7" t="n">
        <v>3</v>
      </c>
      <c r="D1516" s="7" t="s">
        <v>295</v>
      </c>
      <c r="E1516" s="7" t="s">
        <v>295</v>
      </c>
      <c r="F1516" s="3" t="s">
        <v>324</v>
      </c>
      <c r="G1516" s="3" t="n">
        <v>1</v>
      </c>
      <c r="H1516" s="3" t="n">
        <v>1</v>
      </c>
      <c r="I1516" s="22" t="n">
        <v>41869</v>
      </c>
      <c r="J1516" s="22" t="n">
        <v>41874</v>
      </c>
      <c r="K1516" s="43" t="n">
        <f aca="false">J1516-I1516</f>
        <v>5</v>
      </c>
      <c r="L1516" s="1" t="n">
        <v>5</v>
      </c>
      <c r="M1516" s="3" t="s">
        <v>72</v>
      </c>
      <c r="N1516" s="3" t="s">
        <v>73</v>
      </c>
      <c r="O1516" s="3" t="s">
        <v>74</v>
      </c>
      <c r="P1516" s="2" t="str">
        <f aca="false">CONCATENATE(N1516," ",O1516)</f>
        <v>Zelotes subterraneus</v>
      </c>
      <c r="Q1516" s="1" t="s">
        <v>30</v>
      </c>
      <c r="R1516" s="1" t="s">
        <v>35</v>
      </c>
      <c r="S1516" s="3" t="n">
        <v>0</v>
      </c>
      <c r="T1516" s="3" t="n">
        <v>2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f aca="false">SUM(S1516:T1516)</f>
        <v>2</v>
      </c>
      <c r="Z1516" s="3" t="n">
        <f aca="false">SUM(U1516:W1516)</f>
        <v>0</v>
      </c>
      <c r="AA1516" s="3" t="n">
        <f aca="false">SUM(S1516:X1516)</f>
        <v>2</v>
      </c>
      <c r="AB1516" s="11" t="n">
        <f aca="false">(AA1516/(K1516*L1516)*25)*4</f>
        <v>8</v>
      </c>
    </row>
    <row r="1517" customFormat="false" ht="14.25" hidden="false" customHeight="false" outlineLevel="0" collapsed="false">
      <c r="A1517" s="1" t="n">
        <v>2014</v>
      </c>
      <c r="B1517" s="7" t="s">
        <v>322</v>
      </c>
      <c r="C1517" s="7" t="n">
        <v>3</v>
      </c>
      <c r="D1517" s="7" t="s">
        <v>295</v>
      </c>
      <c r="E1517" s="7" t="s">
        <v>295</v>
      </c>
      <c r="F1517" s="3" t="s">
        <v>324</v>
      </c>
      <c r="G1517" s="3" t="n">
        <v>3</v>
      </c>
      <c r="H1517" s="3" t="n">
        <v>14</v>
      </c>
      <c r="I1517" s="22" t="n">
        <v>41869</v>
      </c>
      <c r="J1517" s="22" t="n">
        <v>41874</v>
      </c>
      <c r="K1517" s="43" t="n">
        <f aca="false">J1517-I1517</f>
        <v>5</v>
      </c>
      <c r="L1517" s="1" t="n">
        <v>5</v>
      </c>
      <c r="M1517" s="3" t="s">
        <v>48</v>
      </c>
      <c r="N1517" s="3" t="s">
        <v>49</v>
      </c>
      <c r="O1517" s="3" t="s">
        <v>130</v>
      </c>
      <c r="P1517" s="2" t="str">
        <f aca="false">CONCATENATE(N1517," ",O1517)</f>
        <v>Alopecosa aculeata</v>
      </c>
      <c r="Q1517" s="1" t="s">
        <v>30</v>
      </c>
      <c r="R1517" s="1" t="s">
        <v>35</v>
      </c>
      <c r="S1517" s="3" t="n">
        <v>0</v>
      </c>
      <c r="T1517" s="3" t="n">
        <v>1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f aca="false">SUM(S1517:T1517)</f>
        <v>1</v>
      </c>
      <c r="Z1517" s="3" t="n">
        <f aca="false">SUM(U1517:W1517)</f>
        <v>0</v>
      </c>
      <c r="AA1517" s="3" t="n">
        <f aca="false">SUM(S1517:X1517)</f>
        <v>1</v>
      </c>
      <c r="AB1517" s="11" t="n">
        <f aca="false">(AA1517/(K1517*L1517)*25)*4</f>
        <v>4</v>
      </c>
    </row>
    <row r="1518" customFormat="false" ht="14.25" hidden="false" customHeight="false" outlineLevel="0" collapsed="false">
      <c r="A1518" s="1" t="n">
        <v>2014</v>
      </c>
      <c r="B1518" s="7" t="s">
        <v>322</v>
      </c>
      <c r="C1518" s="7" t="n">
        <v>3</v>
      </c>
      <c r="D1518" s="7" t="s">
        <v>294</v>
      </c>
      <c r="E1518" s="7" t="s">
        <v>294</v>
      </c>
      <c r="F1518" s="3" t="s">
        <v>51</v>
      </c>
      <c r="G1518" s="3" t="n">
        <v>2</v>
      </c>
      <c r="H1518" s="3" t="n">
        <v>6</v>
      </c>
      <c r="I1518" s="22" t="n">
        <v>41870</v>
      </c>
      <c r="J1518" s="22" t="n">
        <v>41875</v>
      </c>
      <c r="K1518" s="43" t="n">
        <f aca="false">J1518-I1518</f>
        <v>5</v>
      </c>
      <c r="L1518" s="1" t="n">
        <v>5</v>
      </c>
      <c r="M1518" s="3" t="s">
        <v>48</v>
      </c>
      <c r="N1518" s="3" t="s">
        <v>61</v>
      </c>
      <c r="O1518" s="3" t="s">
        <v>82</v>
      </c>
      <c r="P1518" s="2" t="str">
        <f aca="false">CONCATENATE(N1518," ",O1518)</f>
        <v>Trochosa terricola</v>
      </c>
      <c r="Q1518" s="1" t="s">
        <v>30</v>
      </c>
      <c r="R1518" s="1" t="s">
        <v>35</v>
      </c>
      <c r="S1518" s="3" t="n">
        <v>0</v>
      </c>
      <c r="T1518" s="3" t="n">
        <v>1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f aca="false">SUM(S1518:T1518)</f>
        <v>1</v>
      </c>
      <c r="Z1518" s="3" t="n">
        <f aca="false">SUM(U1518:W1518)</f>
        <v>0</v>
      </c>
      <c r="AA1518" s="3" t="n">
        <f aca="false">SUM(S1518:X1518)</f>
        <v>1</v>
      </c>
      <c r="AB1518" s="11" t="n">
        <f aca="false">(AA1518/(K1518*L1518)*25)*4</f>
        <v>4</v>
      </c>
    </row>
    <row r="1519" customFormat="false" ht="14.25" hidden="false" customHeight="false" outlineLevel="0" collapsed="false">
      <c r="A1519" s="1" t="n">
        <v>2014</v>
      </c>
      <c r="B1519" s="7" t="s">
        <v>322</v>
      </c>
      <c r="C1519" s="7" t="n">
        <v>3</v>
      </c>
      <c r="D1519" s="7" t="s">
        <v>294</v>
      </c>
      <c r="E1519" s="7" t="s">
        <v>294</v>
      </c>
      <c r="F1519" s="3" t="s">
        <v>51</v>
      </c>
      <c r="G1519" s="3" t="n">
        <v>2</v>
      </c>
      <c r="H1519" s="3" t="n">
        <v>6</v>
      </c>
      <c r="I1519" s="22" t="n">
        <v>41870</v>
      </c>
      <c r="J1519" s="22" t="n">
        <v>41875</v>
      </c>
      <c r="K1519" s="43" t="n">
        <f aca="false">J1519-I1519</f>
        <v>5</v>
      </c>
      <c r="L1519" s="1" t="n">
        <v>5</v>
      </c>
      <c r="M1519" s="3" t="s">
        <v>36</v>
      </c>
      <c r="N1519" s="3" t="s">
        <v>37</v>
      </c>
      <c r="O1519" s="3" t="s">
        <v>75</v>
      </c>
      <c r="P1519" s="2" t="str">
        <f aca="false">CONCATENATE(N1519," ",O1519)</f>
        <v>Ozyptila praticola</v>
      </c>
      <c r="Q1519" s="1" t="s">
        <v>30</v>
      </c>
      <c r="R1519" s="1" t="s">
        <v>31</v>
      </c>
      <c r="S1519" s="3" t="n">
        <v>4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f aca="false">SUM(S1519:T1519)</f>
        <v>4</v>
      </c>
      <c r="Z1519" s="3" t="n">
        <f aca="false">SUM(U1519:W1519)</f>
        <v>0</v>
      </c>
      <c r="AA1519" s="3" t="n">
        <f aca="false">SUM(S1519:X1519)</f>
        <v>4</v>
      </c>
      <c r="AB1519" s="11" t="n">
        <f aca="false">(AA1519/(K1519*L1519)*25)*4</f>
        <v>16</v>
      </c>
    </row>
    <row r="1520" customFormat="false" ht="14.25" hidden="false" customHeight="false" outlineLevel="0" collapsed="false">
      <c r="A1520" s="1" t="n">
        <v>2014</v>
      </c>
      <c r="B1520" s="7" t="s">
        <v>322</v>
      </c>
      <c r="C1520" s="7" t="n">
        <v>3</v>
      </c>
      <c r="D1520" s="7" t="s">
        <v>294</v>
      </c>
      <c r="E1520" s="7" t="s">
        <v>294</v>
      </c>
      <c r="F1520" s="3" t="s">
        <v>51</v>
      </c>
      <c r="G1520" s="3" t="n">
        <v>2</v>
      </c>
      <c r="H1520" s="3" t="n">
        <v>7</v>
      </c>
      <c r="I1520" s="22" t="n">
        <v>41870</v>
      </c>
      <c r="J1520" s="22" t="n">
        <v>41875</v>
      </c>
      <c r="K1520" s="43" t="n">
        <f aca="false">J1520-I1520</f>
        <v>5</v>
      </c>
      <c r="L1520" s="1" t="n">
        <v>5</v>
      </c>
      <c r="M1520" s="3" t="s">
        <v>48</v>
      </c>
      <c r="N1520" s="3" t="s">
        <v>61</v>
      </c>
      <c r="O1520" s="3" t="s">
        <v>82</v>
      </c>
      <c r="P1520" s="2" t="str">
        <f aca="false">CONCATENATE(N1520," ",O1520)</f>
        <v>Trochosa terricola</v>
      </c>
      <c r="Q1520" s="1" t="s">
        <v>30</v>
      </c>
      <c r="R1520" s="1" t="s">
        <v>35</v>
      </c>
      <c r="S1520" s="3" t="n">
        <v>0</v>
      </c>
      <c r="T1520" s="3" t="n">
        <v>2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f aca="false">SUM(S1520:T1520)</f>
        <v>2</v>
      </c>
      <c r="Z1520" s="3" t="n">
        <f aca="false">SUM(U1520:W1520)</f>
        <v>0</v>
      </c>
      <c r="AA1520" s="3" t="n">
        <f aca="false">SUM(S1520:X1520)</f>
        <v>2</v>
      </c>
      <c r="AB1520" s="11" t="n">
        <f aca="false">(AA1520/(K1520*L1520)*25)*4</f>
        <v>8</v>
      </c>
    </row>
    <row r="1521" customFormat="false" ht="14.25" hidden="false" customHeight="false" outlineLevel="0" collapsed="false">
      <c r="A1521" s="1" t="n">
        <v>2014</v>
      </c>
      <c r="B1521" s="7" t="s">
        <v>322</v>
      </c>
      <c r="C1521" s="7" t="n">
        <v>3</v>
      </c>
      <c r="D1521" s="7" t="s">
        <v>294</v>
      </c>
      <c r="E1521" s="7" t="s">
        <v>294</v>
      </c>
      <c r="F1521" s="3" t="s">
        <v>51</v>
      </c>
      <c r="G1521" s="3" t="n">
        <v>2</v>
      </c>
      <c r="H1521" s="3" t="n">
        <v>7</v>
      </c>
      <c r="I1521" s="22" t="n">
        <v>41870</v>
      </c>
      <c r="J1521" s="22" t="n">
        <v>41875</v>
      </c>
      <c r="K1521" s="43" t="n">
        <f aca="false">J1521-I1521</f>
        <v>5</v>
      </c>
      <c r="L1521" s="1" t="n">
        <v>5</v>
      </c>
      <c r="M1521" s="3" t="s">
        <v>36</v>
      </c>
      <c r="N1521" s="3" t="s">
        <v>37</v>
      </c>
      <c r="O1521" s="3" t="s">
        <v>75</v>
      </c>
      <c r="P1521" s="2" t="str">
        <f aca="false">CONCATENATE(N1521," ",O1521)</f>
        <v>Ozyptila praticola</v>
      </c>
      <c r="Q1521" s="1" t="s">
        <v>30</v>
      </c>
      <c r="R1521" s="1" t="s">
        <v>31</v>
      </c>
      <c r="S1521" s="3" t="n">
        <v>1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f aca="false">SUM(S1521:T1521)</f>
        <v>1</v>
      </c>
      <c r="Z1521" s="3" t="n">
        <f aca="false">SUM(U1521:W1521)</f>
        <v>0</v>
      </c>
      <c r="AA1521" s="3" t="n">
        <f aca="false">SUM(S1521:X1521)</f>
        <v>1</v>
      </c>
      <c r="AB1521" s="11" t="n">
        <f aca="false">(AA1521/(K1521*L1521)*25)*4</f>
        <v>4</v>
      </c>
    </row>
    <row r="1522" customFormat="false" ht="14.25" hidden="false" customHeight="false" outlineLevel="0" collapsed="false">
      <c r="A1522" s="1" t="n">
        <v>2014</v>
      </c>
      <c r="B1522" s="7" t="s">
        <v>322</v>
      </c>
      <c r="C1522" s="7" t="n">
        <v>3</v>
      </c>
      <c r="D1522" s="7" t="s">
        <v>294</v>
      </c>
      <c r="E1522" s="7" t="s">
        <v>294</v>
      </c>
      <c r="F1522" s="3" t="s">
        <v>51</v>
      </c>
      <c r="G1522" s="3" t="n">
        <v>1</v>
      </c>
      <c r="H1522" s="3" t="n">
        <v>4</v>
      </c>
      <c r="I1522" s="22" t="n">
        <v>41870</v>
      </c>
      <c r="J1522" s="22" t="n">
        <v>41875</v>
      </c>
      <c r="K1522" s="43" t="n">
        <f aca="false">J1522-I1522</f>
        <v>5</v>
      </c>
      <c r="L1522" s="1" t="n">
        <v>5</v>
      </c>
      <c r="M1522" s="3" t="s">
        <v>41</v>
      </c>
      <c r="N1522" s="3" t="s">
        <v>42</v>
      </c>
      <c r="O1522" s="3" t="s">
        <v>43</v>
      </c>
      <c r="P1522" s="2" t="str">
        <f aca="false">CONCATENATE(N1522," ",O1522)</f>
        <v>Agroeca proxima</v>
      </c>
      <c r="Q1522" s="1" t="s">
        <v>30</v>
      </c>
      <c r="R1522" s="1" t="s">
        <v>31</v>
      </c>
      <c r="S1522" s="3" t="n">
        <v>2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f aca="false">SUM(S1522:T1522)</f>
        <v>2</v>
      </c>
      <c r="Z1522" s="3" t="n">
        <f aca="false">SUM(U1522:W1522)</f>
        <v>0</v>
      </c>
      <c r="AA1522" s="3" t="n">
        <f aca="false">SUM(S1522:X1522)</f>
        <v>2</v>
      </c>
      <c r="AB1522" s="11" t="n">
        <f aca="false">(AA1522/(K1522*L1522)*25)*4</f>
        <v>8</v>
      </c>
    </row>
    <row r="1523" customFormat="false" ht="14.25" hidden="false" customHeight="false" outlineLevel="0" collapsed="false">
      <c r="A1523" s="1" t="n">
        <v>2014</v>
      </c>
      <c r="B1523" s="7" t="s">
        <v>322</v>
      </c>
      <c r="C1523" s="7" t="n">
        <v>3</v>
      </c>
      <c r="D1523" s="7" t="s">
        <v>294</v>
      </c>
      <c r="E1523" s="7" t="s">
        <v>294</v>
      </c>
      <c r="F1523" s="3" t="s">
        <v>51</v>
      </c>
      <c r="G1523" s="3" t="n">
        <v>1</v>
      </c>
      <c r="H1523" s="3" t="n">
        <v>4</v>
      </c>
      <c r="I1523" s="22" t="n">
        <v>41870</v>
      </c>
      <c r="J1523" s="22" t="n">
        <v>41875</v>
      </c>
      <c r="K1523" s="43" t="n">
        <f aca="false">J1523-I1523</f>
        <v>5</v>
      </c>
      <c r="L1523" s="1" t="n">
        <v>5</v>
      </c>
      <c r="M1523" s="3" t="s">
        <v>36</v>
      </c>
      <c r="N1523" s="3" t="s">
        <v>37</v>
      </c>
      <c r="O1523" s="3" t="s">
        <v>75</v>
      </c>
      <c r="P1523" s="2" t="str">
        <f aca="false">CONCATENATE(N1523," ",O1523)</f>
        <v>Ozyptila praticola</v>
      </c>
      <c r="Q1523" s="1" t="s">
        <v>30</v>
      </c>
      <c r="R1523" s="1" t="s">
        <v>31</v>
      </c>
      <c r="S1523" s="3" t="n">
        <v>1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f aca="false">SUM(S1523:T1523)</f>
        <v>1</v>
      </c>
      <c r="Z1523" s="3" t="n">
        <f aca="false">SUM(U1523:W1523)</f>
        <v>0</v>
      </c>
      <c r="AA1523" s="3" t="n">
        <f aca="false">SUM(S1523:X1523)</f>
        <v>1</v>
      </c>
      <c r="AB1523" s="11" t="n">
        <f aca="false">(AA1523/(K1523*L1523)*25)*4</f>
        <v>4</v>
      </c>
    </row>
    <row r="1524" customFormat="false" ht="14.25" hidden="false" customHeight="false" outlineLevel="0" collapsed="false">
      <c r="A1524" s="1" t="n">
        <v>2014</v>
      </c>
      <c r="B1524" s="7" t="s">
        <v>322</v>
      </c>
      <c r="C1524" s="7" t="n">
        <v>3</v>
      </c>
      <c r="D1524" s="7" t="s">
        <v>294</v>
      </c>
      <c r="E1524" s="7" t="s">
        <v>294</v>
      </c>
      <c r="F1524" s="3" t="s">
        <v>51</v>
      </c>
      <c r="G1524" s="3" t="n">
        <v>2</v>
      </c>
      <c r="H1524" s="3" t="n">
        <v>9</v>
      </c>
      <c r="I1524" s="22" t="n">
        <v>41870</v>
      </c>
      <c r="J1524" s="22" t="n">
        <v>41875</v>
      </c>
      <c r="K1524" s="43" t="n">
        <f aca="false">J1524-I1524</f>
        <v>5</v>
      </c>
      <c r="L1524" s="1" t="n">
        <v>5</v>
      </c>
      <c r="M1524" s="3" t="s">
        <v>41</v>
      </c>
      <c r="N1524" s="3" t="s">
        <v>42</v>
      </c>
      <c r="O1524" s="3" t="s">
        <v>43</v>
      </c>
      <c r="P1524" s="2" t="str">
        <f aca="false">CONCATENATE(N1524," ",O1524)</f>
        <v>Agroeca proxima</v>
      </c>
      <c r="Q1524" s="1" t="s">
        <v>30</v>
      </c>
      <c r="R1524" s="1" t="s">
        <v>31</v>
      </c>
      <c r="S1524" s="3" t="n">
        <v>1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f aca="false">SUM(S1524:T1524)</f>
        <v>1</v>
      </c>
      <c r="Z1524" s="3" t="n">
        <f aca="false">SUM(U1524:W1524)</f>
        <v>0</v>
      </c>
      <c r="AA1524" s="3" t="n">
        <f aca="false">SUM(S1524:X1524)</f>
        <v>1</v>
      </c>
      <c r="AB1524" s="11" t="n">
        <f aca="false">(AA1524/(K1524*L1524)*25)*4</f>
        <v>4</v>
      </c>
    </row>
    <row r="1525" customFormat="false" ht="14.25" hidden="false" customHeight="false" outlineLevel="0" collapsed="false">
      <c r="A1525" s="1" t="n">
        <v>2014</v>
      </c>
      <c r="B1525" s="7" t="s">
        <v>322</v>
      </c>
      <c r="C1525" s="7" t="n">
        <v>3</v>
      </c>
      <c r="D1525" s="7" t="s">
        <v>294</v>
      </c>
      <c r="E1525" s="7" t="s">
        <v>294</v>
      </c>
      <c r="F1525" s="3" t="s">
        <v>51</v>
      </c>
      <c r="G1525" s="3" t="n">
        <v>2</v>
      </c>
      <c r="H1525" s="3" t="n">
        <v>9</v>
      </c>
      <c r="I1525" s="22" t="n">
        <v>41870</v>
      </c>
      <c r="J1525" s="22" t="n">
        <v>41875</v>
      </c>
      <c r="K1525" s="43" t="n">
        <f aca="false">J1525-I1525</f>
        <v>5</v>
      </c>
      <c r="L1525" s="1" t="n">
        <v>5</v>
      </c>
      <c r="M1525" s="3" t="s">
        <v>36</v>
      </c>
      <c r="N1525" s="3" t="s">
        <v>37</v>
      </c>
      <c r="O1525" s="3" t="s">
        <v>75</v>
      </c>
      <c r="P1525" s="2" t="str">
        <f aca="false">CONCATENATE(N1525," ",O1525)</f>
        <v>Ozyptila praticola</v>
      </c>
      <c r="Q1525" s="1" t="s">
        <v>30</v>
      </c>
      <c r="R1525" s="1" t="s">
        <v>31</v>
      </c>
      <c r="S1525" s="3" t="n">
        <v>1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f aca="false">SUM(S1525:T1525)</f>
        <v>1</v>
      </c>
      <c r="Z1525" s="3" t="n">
        <f aca="false">SUM(U1525:W1525)</f>
        <v>0</v>
      </c>
      <c r="AA1525" s="3" t="n">
        <f aca="false">SUM(S1525:X1525)</f>
        <v>1</v>
      </c>
      <c r="AB1525" s="11" t="n">
        <f aca="false">(AA1525/(K1525*L1525)*25)*4</f>
        <v>4</v>
      </c>
    </row>
    <row r="1526" customFormat="false" ht="14.25" hidden="false" customHeight="false" outlineLevel="0" collapsed="false">
      <c r="A1526" s="1" t="n">
        <v>2014</v>
      </c>
      <c r="B1526" s="7" t="s">
        <v>322</v>
      </c>
      <c r="C1526" s="7" t="n">
        <v>3</v>
      </c>
      <c r="D1526" s="7" t="s">
        <v>294</v>
      </c>
      <c r="E1526" s="7" t="s">
        <v>294</v>
      </c>
      <c r="F1526" s="3" t="s">
        <v>51</v>
      </c>
      <c r="G1526" s="3" t="n">
        <v>2</v>
      </c>
      <c r="H1526" s="3" t="n">
        <v>9</v>
      </c>
      <c r="I1526" s="22" t="n">
        <v>41870</v>
      </c>
      <c r="J1526" s="22" t="n">
        <v>41875</v>
      </c>
      <c r="K1526" s="43" t="n">
        <f aca="false">J1526-I1526</f>
        <v>5</v>
      </c>
      <c r="L1526" s="1" t="n">
        <v>5</v>
      </c>
      <c r="M1526" s="3" t="s">
        <v>48</v>
      </c>
      <c r="N1526" s="3" t="s">
        <v>67</v>
      </c>
      <c r="O1526" s="3" t="s">
        <v>127</v>
      </c>
      <c r="P1526" s="2" t="str">
        <f aca="false">CONCATENATE(N1526," ",O1526)</f>
        <v>Pardosa lugubris</v>
      </c>
      <c r="Q1526" s="1" t="s">
        <v>30</v>
      </c>
      <c r="R1526" s="1" t="s">
        <v>35</v>
      </c>
      <c r="S1526" s="3" t="n">
        <v>0</v>
      </c>
      <c r="T1526" s="3" t="n">
        <v>1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f aca="false">SUM(S1526:T1526)</f>
        <v>1</v>
      </c>
      <c r="Z1526" s="3" t="n">
        <f aca="false">SUM(U1526:W1526)</f>
        <v>0</v>
      </c>
      <c r="AA1526" s="3" t="n">
        <f aca="false">SUM(S1526:X1526)</f>
        <v>1</v>
      </c>
      <c r="AB1526" s="11" t="n">
        <f aca="false">(AA1526/(K1526*L1526)*25)*4</f>
        <v>4</v>
      </c>
    </row>
    <row r="1527" customFormat="false" ht="14.25" hidden="false" customHeight="false" outlineLevel="0" collapsed="false">
      <c r="A1527" s="1" t="n">
        <v>2014</v>
      </c>
      <c r="B1527" s="7" t="s">
        <v>322</v>
      </c>
      <c r="C1527" s="7" t="n">
        <v>3</v>
      </c>
      <c r="D1527" s="7" t="s">
        <v>294</v>
      </c>
      <c r="E1527" s="7" t="s">
        <v>294</v>
      </c>
      <c r="F1527" s="3" t="s">
        <v>51</v>
      </c>
      <c r="G1527" s="3" t="n">
        <v>3</v>
      </c>
      <c r="H1527" s="3" t="n">
        <v>11</v>
      </c>
      <c r="I1527" s="22" t="n">
        <v>41870</v>
      </c>
      <c r="J1527" s="22" t="n">
        <v>41875</v>
      </c>
      <c r="K1527" s="43" t="n">
        <f aca="false">J1527-I1527</f>
        <v>5</v>
      </c>
      <c r="L1527" s="1" t="n">
        <v>5</v>
      </c>
      <c r="M1527" s="3" t="s">
        <v>48</v>
      </c>
      <c r="N1527" s="3" t="s">
        <v>61</v>
      </c>
      <c r="O1527" s="3" t="s">
        <v>82</v>
      </c>
      <c r="P1527" s="2" t="str">
        <f aca="false">CONCATENATE(N1527," ",O1527)</f>
        <v>Trochosa terricola</v>
      </c>
      <c r="Q1527" s="1" t="s">
        <v>30</v>
      </c>
      <c r="R1527" s="1" t="s">
        <v>35</v>
      </c>
      <c r="S1527" s="3" t="n">
        <v>0</v>
      </c>
      <c r="T1527" s="3" t="n">
        <v>1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f aca="false">SUM(S1527:T1527)</f>
        <v>1</v>
      </c>
      <c r="Z1527" s="3" t="n">
        <f aca="false">SUM(U1527:W1527)</f>
        <v>0</v>
      </c>
      <c r="AA1527" s="3" t="n">
        <f aca="false">SUM(S1527:X1527)</f>
        <v>1</v>
      </c>
      <c r="AB1527" s="11" t="n">
        <f aca="false">(AA1527/(K1527*L1527)*25)*4</f>
        <v>4</v>
      </c>
    </row>
    <row r="1528" customFormat="false" ht="14.25" hidden="false" customHeight="false" outlineLevel="0" collapsed="false">
      <c r="A1528" s="1" t="n">
        <v>2014</v>
      </c>
      <c r="B1528" s="7" t="s">
        <v>322</v>
      </c>
      <c r="C1528" s="7" t="n">
        <v>3</v>
      </c>
      <c r="D1528" s="7" t="s">
        <v>294</v>
      </c>
      <c r="E1528" s="7" t="s">
        <v>294</v>
      </c>
      <c r="F1528" s="3" t="s">
        <v>51</v>
      </c>
      <c r="G1528" s="3" t="n">
        <v>3</v>
      </c>
      <c r="H1528" s="3" t="n">
        <v>11</v>
      </c>
      <c r="I1528" s="22" t="n">
        <v>41870</v>
      </c>
      <c r="J1528" s="22" t="n">
        <v>41875</v>
      </c>
      <c r="K1528" s="43" t="n">
        <f aca="false">J1528-I1528</f>
        <v>5</v>
      </c>
      <c r="L1528" s="1" t="n">
        <v>5</v>
      </c>
      <c r="M1528" s="3" t="s">
        <v>92</v>
      </c>
      <c r="N1528" s="3" t="s">
        <v>111</v>
      </c>
      <c r="O1528" s="3" t="s">
        <v>112</v>
      </c>
      <c r="P1528" s="2" t="str">
        <f aca="false">CONCATENATE(N1528," ",O1528)</f>
        <v>Evarcha falcata</v>
      </c>
      <c r="Q1528" s="1" t="s">
        <v>30</v>
      </c>
      <c r="R1528" s="1" t="s">
        <v>31</v>
      </c>
      <c r="S1528" s="3" t="n">
        <v>1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f aca="false">SUM(S1528:T1528)</f>
        <v>1</v>
      </c>
      <c r="Z1528" s="3" t="n">
        <f aca="false">SUM(U1528:W1528)</f>
        <v>0</v>
      </c>
      <c r="AA1528" s="3" t="n">
        <f aca="false">SUM(S1528:X1528)</f>
        <v>1</v>
      </c>
      <c r="AB1528" s="11" t="n">
        <f aca="false">(AA1528/(K1528*L1528)*25)*4</f>
        <v>4</v>
      </c>
    </row>
    <row r="1529" customFormat="false" ht="14.25" hidden="false" customHeight="false" outlineLevel="0" collapsed="false">
      <c r="A1529" s="1" t="n">
        <v>2014</v>
      </c>
      <c r="B1529" s="7" t="s">
        <v>322</v>
      </c>
      <c r="C1529" s="7" t="n">
        <v>3</v>
      </c>
      <c r="D1529" s="7" t="s">
        <v>294</v>
      </c>
      <c r="E1529" s="7" t="s">
        <v>294</v>
      </c>
      <c r="F1529" s="3" t="s">
        <v>51</v>
      </c>
      <c r="G1529" s="3" t="n">
        <v>1</v>
      </c>
      <c r="H1529" s="3" t="n">
        <v>2</v>
      </c>
      <c r="I1529" s="22" t="n">
        <v>41870</v>
      </c>
      <c r="J1529" s="22" t="n">
        <v>41875</v>
      </c>
      <c r="K1529" s="43" t="n">
        <f aca="false">J1529-I1529</f>
        <v>5</v>
      </c>
      <c r="L1529" s="1" t="n">
        <v>5</v>
      </c>
      <c r="M1529" s="3" t="s">
        <v>41</v>
      </c>
      <c r="N1529" s="3" t="s">
        <v>42</v>
      </c>
      <c r="O1529" s="3" t="s">
        <v>43</v>
      </c>
      <c r="P1529" s="2" t="str">
        <f aca="false">CONCATENATE(N1529," ",O1529)</f>
        <v>Agroeca proxima</v>
      </c>
      <c r="Q1529" s="1" t="s">
        <v>30</v>
      </c>
      <c r="R1529" s="1" t="s">
        <v>35</v>
      </c>
      <c r="S1529" s="3" t="n">
        <v>0</v>
      </c>
      <c r="T1529" s="3" t="n">
        <v>1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f aca="false">SUM(S1529:T1529)</f>
        <v>1</v>
      </c>
      <c r="Z1529" s="3" t="n">
        <f aca="false">SUM(U1529:W1529)</f>
        <v>0</v>
      </c>
      <c r="AA1529" s="3" t="n">
        <f aca="false">SUM(S1529:X1529)</f>
        <v>1</v>
      </c>
      <c r="AB1529" s="11" t="n">
        <f aca="false">(AA1529/(K1529*L1529)*25)*4</f>
        <v>4</v>
      </c>
    </row>
    <row r="1530" customFormat="false" ht="14.25" hidden="false" customHeight="false" outlineLevel="0" collapsed="false">
      <c r="A1530" s="1" t="n">
        <v>2014</v>
      </c>
      <c r="B1530" s="7" t="s">
        <v>322</v>
      </c>
      <c r="C1530" s="7" t="n">
        <v>3</v>
      </c>
      <c r="D1530" s="7" t="s">
        <v>294</v>
      </c>
      <c r="E1530" s="7" t="s">
        <v>294</v>
      </c>
      <c r="F1530" s="3" t="s">
        <v>51</v>
      </c>
      <c r="G1530" s="3" t="n">
        <v>1</v>
      </c>
      <c r="H1530" s="3" t="n">
        <v>2</v>
      </c>
      <c r="I1530" s="22" t="n">
        <v>41870</v>
      </c>
      <c r="J1530" s="22" t="n">
        <v>41875</v>
      </c>
      <c r="K1530" s="43" t="n">
        <f aca="false">J1530-I1530</f>
        <v>5</v>
      </c>
      <c r="L1530" s="1" t="n">
        <v>5</v>
      </c>
      <c r="M1530" s="3" t="s">
        <v>72</v>
      </c>
      <c r="N1530" s="3" t="s">
        <v>73</v>
      </c>
      <c r="O1530" s="3" t="s">
        <v>74</v>
      </c>
      <c r="P1530" s="2" t="str">
        <f aca="false">CONCATENATE(N1530," ",O1530)</f>
        <v>Zelotes subterraneus</v>
      </c>
      <c r="Q1530" s="1" t="s">
        <v>30</v>
      </c>
      <c r="R1530" s="1" t="s">
        <v>31</v>
      </c>
      <c r="S1530" s="3" t="n">
        <v>1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f aca="false">SUM(S1530:T1530)</f>
        <v>1</v>
      </c>
      <c r="Z1530" s="3" t="n">
        <f aca="false">SUM(U1530:W1530)</f>
        <v>0</v>
      </c>
      <c r="AA1530" s="3" t="n">
        <f aca="false">SUM(S1530:X1530)</f>
        <v>1</v>
      </c>
      <c r="AB1530" s="11" t="n">
        <f aca="false">(AA1530/(K1530*L1530)*25)*4</f>
        <v>4</v>
      </c>
    </row>
    <row r="1531" customFormat="false" ht="14.25" hidden="false" customHeight="false" outlineLevel="0" collapsed="false">
      <c r="A1531" s="1" t="n">
        <v>2014</v>
      </c>
      <c r="B1531" s="7" t="s">
        <v>322</v>
      </c>
      <c r="C1531" s="7" t="n">
        <v>3</v>
      </c>
      <c r="D1531" s="7" t="s">
        <v>294</v>
      </c>
      <c r="E1531" s="7" t="s">
        <v>294</v>
      </c>
      <c r="F1531" s="3" t="s">
        <v>51</v>
      </c>
      <c r="G1531" s="3" t="n">
        <v>1</v>
      </c>
      <c r="H1531" s="3" t="n">
        <v>2</v>
      </c>
      <c r="I1531" s="22" t="n">
        <v>41870</v>
      </c>
      <c r="J1531" s="22" t="n">
        <v>41875</v>
      </c>
      <c r="K1531" s="43" t="n">
        <f aca="false">J1531-I1531</f>
        <v>5</v>
      </c>
      <c r="L1531" s="1" t="n">
        <v>5</v>
      </c>
      <c r="M1531" s="3" t="s">
        <v>36</v>
      </c>
      <c r="N1531" s="3" t="s">
        <v>37</v>
      </c>
      <c r="O1531" s="3" t="s">
        <v>75</v>
      </c>
      <c r="P1531" s="2" t="str">
        <f aca="false">CONCATENATE(N1531," ",O1531)</f>
        <v>Ozyptila praticola</v>
      </c>
      <c r="Q1531" s="1" t="s">
        <v>30</v>
      </c>
      <c r="R1531" s="1" t="s">
        <v>31</v>
      </c>
      <c r="S1531" s="3" t="n">
        <v>1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f aca="false">SUM(S1531:T1531)</f>
        <v>1</v>
      </c>
      <c r="Z1531" s="3" t="n">
        <f aca="false">SUM(U1531:W1531)</f>
        <v>0</v>
      </c>
      <c r="AA1531" s="3" t="n">
        <f aca="false">SUM(S1531:X1531)</f>
        <v>1</v>
      </c>
      <c r="AB1531" s="11" t="n">
        <f aca="false">(AA1531/(K1531*L1531)*25)*4</f>
        <v>4</v>
      </c>
    </row>
    <row r="1532" customFormat="false" ht="14.25" hidden="false" customHeight="false" outlineLevel="0" collapsed="false">
      <c r="A1532" s="1" t="n">
        <v>2014</v>
      </c>
      <c r="B1532" s="7" t="s">
        <v>322</v>
      </c>
      <c r="C1532" s="7" t="n">
        <v>3</v>
      </c>
      <c r="D1532" s="7" t="s">
        <v>294</v>
      </c>
      <c r="E1532" s="7" t="s">
        <v>294</v>
      </c>
      <c r="F1532" s="3" t="s">
        <v>51</v>
      </c>
      <c r="G1532" s="3" t="n">
        <v>1</v>
      </c>
      <c r="H1532" s="3" t="n">
        <v>3</v>
      </c>
      <c r="I1532" s="22" t="n">
        <v>41870</v>
      </c>
      <c r="J1532" s="22" t="n">
        <v>41875</v>
      </c>
      <c r="K1532" s="43" t="n">
        <f aca="false">J1532-I1532</f>
        <v>5</v>
      </c>
      <c r="L1532" s="1" t="n">
        <v>5</v>
      </c>
      <c r="M1532" s="3" t="s">
        <v>32</v>
      </c>
      <c r="N1532" s="3" t="s">
        <v>70</v>
      </c>
      <c r="O1532" s="3" t="s">
        <v>234</v>
      </c>
      <c r="P1532" s="2" t="str">
        <f aca="false">CONCATENATE(N1532," ",O1532)</f>
        <v>Palliduphantes pallidus</v>
      </c>
      <c r="Q1532" s="1" t="s">
        <v>30</v>
      </c>
      <c r="R1532" s="1" t="s">
        <v>31</v>
      </c>
      <c r="S1532" s="3" t="n">
        <v>1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f aca="false">SUM(S1532:T1532)</f>
        <v>1</v>
      </c>
      <c r="Z1532" s="3" t="n">
        <f aca="false">SUM(U1532:W1532)</f>
        <v>0</v>
      </c>
      <c r="AA1532" s="3" t="n">
        <f aca="false">SUM(S1532:X1532)</f>
        <v>1</v>
      </c>
      <c r="AB1532" s="11" t="n">
        <f aca="false">(AA1532/(K1532*L1532)*25)*4</f>
        <v>4</v>
      </c>
    </row>
    <row r="1533" customFormat="false" ht="14.25" hidden="false" customHeight="false" outlineLevel="0" collapsed="false">
      <c r="A1533" s="1" t="n">
        <v>2014</v>
      </c>
      <c r="B1533" s="7" t="s">
        <v>322</v>
      </c>
      <c r="C1533" s="7" t="n">
        <v>3</v>
      </c>
      <c r="D1533" s="7" t="s">
        <v>294</v>
      </c>
      <c r="E1533" s="7" t="s">
        <v>294</v>
      </c>
      <c r="F1533" s="3" t="s">
        <v>51</v>
      </c>
      <c r="G1533" s="3" t="n">
        <v>1</v>
      </c>
      <c r="H1533" s="3" t="n">
        <v>3</v>
      </c>
      <c r="I1533" s="22" t="n">
        <v>41870</v>
      </c>
      <c r="J1533" s="22" t="n">
        <v>41875</v>
      </c>
      <c r="K1533" s="43" t="n">
        <f aca="false">J1533-I1533</f>
        <v>5</v>
      </c>
      <c r="L1533" s="1" t="n">
        <v>5</v>
      </c>
      <c r="M1533" s="3" t="s">
        <v>32</v>
      </c>
      <c r="N1533" s="3" t="s">
        <v>68</v>
      </c>
      <c r="O1533" s="3" t="s">
        <v>178</v>
      </c>
      <c r="P1533" s="2" t="str">
        <f aca="false">CONCATENATE(N1533," ",O1533)</f>
        <v>Centromerus brevipalpus</v>
      </c>
      <c r="Q1533" s="1" t="s">
        <v>30</v>
      </c>
      <c r="R1533" s="1" t="s">
        <v>35</v>
      </c>
      <c r="S1533" s="3" t="n">
        <v>0</v>
      </c>
      <c r="T1533" s="3" t="n">
        <v>1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f aca="false">SUM(S1533:T1533)</f>
        <v>1</v>
      </c>
      <c r="Z1533" s="3" t="n">
        <f aca="false">SUM(U1533:W1533)</f>
        <v>0</v>
      </c>
      <c r="AA1533" s="3" t="n">
        <f aca="false">SUM(S1533:X1533)</f>
        <v>1</v>
      </c>
      <c r="AB1533" s="11" t="n">
        <f aca="false">(AA1533/(K1533*L1533)*25)*4</f>
        <v>4</v>
      </c>
    </row>
    <row r="1534" customFormat="false" ht="14.25" hidden="false" customHeight="false" outlineLevel="0" collapsed="false">
      <c r="A1534" s="1" t="n">
        <v>2014</v>
      </c>
      <c r="B1534" s="7" t="s">
        <v>322</v>
      </c>
      <c r="C1534" s="7" t="n">
        <v>3</v>
      </c>
      <c r="D1534" s="7" t="s">
        <v>294</v>
      </c>
      <c r="E1534" s="7" t="s">
        <v>294</v>
      </c>
      <c r="F1534" s="3" t="s">
        <v>51</v>
      </c>
      <c r="G1534" s="3" t="n">
        <v>1</v>
      </c>
      <c r="H1534" s="3" t="n">
        <v>3</v>
      </c>
      <c r="I1534" s="22" t="n">
        <v>41870</v>
      </c>
      <c r="J1534" s="22" t="n">
        <v>41875</v>
      </c>
      <c r="K1534" s="43" t="n">
        <f aca="false">J1534-I1534</f>
        <v>5</v>
      </c>
      <c r="L1534" s="1" t="n">
        <v>5</v>
      </c>
      <c r="M1534" s="3" t="s">
        <v>27</v>
      </c>
      <c r="N1534" s="3" t="s">
        <v>28</v>
      </c>
      <c r="O1534" s="3" t="s">
        <v>29</v>
      </c>
      <c r="P1534" s="2" t="str">
        <f aca="false">CONCATENATE(N1534," ",O1534)</f>
        <v>Robertus lividus</v>
      </c>
      <c r="Q1534" s="1" t="s">
        <v>30</v>
      </c>
      <c r="R1534" s="1" t="s">
        <v>31</v>
      </c>
      <c r="S1534" s="3" t="n">
        <v>1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f aca="false">SUM(S1534:T1534)</f>
        <v>1</v>
      </c>
      <c r="Z1534" s="3" t="n">
        <f aca="false">SUM(U1534:W1534)</f>
        <v>0</v>
      </c>
      <c r="AA1534" s="3" t="n">
        <f aca="false">SUM(S1534:X1534)</f>
        <v>1</v>
      </c>
      <c r="AB1534" s="11" t="n">
        <f aca="false">(AA1534/(K1534*L1534)*25)*4</f>
        <v>4</v>
      </c>
    </row>
    <row r="1535" customFormat="false" ht="14.25" hidden="false" customHeight="false" outlineLevel="0" collapsed="false">
      <c r="A1535" s="1" t="n">
        <v>2014</v>
      </c>
      <c r="B1535" s="7" t="s">
        <v>322</v>
      </c>
      <c r="C1535" s="7" t="n">
        <v>3</v>
      </c>
      <c r="D1535" s="7" t="s">
        <v>294</v>
      </c>
      <c r="E1535" s="7" t="s">
        <v>294</v>
      </c>
      <c r="F1535" s="3" t="s">
        <v>51</v>
      </c>
      <c r="G1535" s="3" t="n">
        <v>1</v>
      </c>
      <c r="H1535" s="3" t="n">
        <v>3</v>
      </c>
      <c r="I1535" s="22" t="n">
        <v>41870</v>
      </c>
      <c r="J1535" s="22" t="n">
        <v>41875</v>
      </c>
      <c r="K1535" s="43" t="n">
        <f aca="false">J1535-I1535</f>
        <v>5</v>
      </c>
      <c r="L1535" s="1" t="n">
        <v>5</v>
      </c>
      <c r="M1535" s="3" t="s">
        <v>48</v>
      </c>
      <c r="N1535" s="3" t="s">
        <v>61</v>
      </c>
      <c r="O1535" s="3" t="s">
        <v>82</v>
      </c>
      <c r="P1535" s="2" t="str">
        <f aca="false">CONCATENATE(N1535," ",O1535)</f>
        <v>Trochosa terricola</v>
      </c>
      <c r="Q1535" s="1" t="s">
        <v>30</v>
      </c>
      <c r="R1535" s="1" t="s">
        <v>35</v>
      </c>
      <c r="S1535" s="3" t="n">
        <v>0</v>
      </c>
      <c r="T1535" s="3" t="n">
        <v>1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f aca="false">SUM(S1535:T1535)</f>
        <v>1</v>
      </c>
      <c r="Z1535" s="3" t="n">
        <f aca="false">SUM(U1535:W1535)</f>
        <v>0</v>
      </c>
      <c r="AA1535" s="3" t="n">
        <f aca="false">SUM(S1535:X1535)</f>
        <v>1</v>
      </c>
      <c r="AB1535" s="11" t="n">
        <f aca="false">(AA1535/(K1535*L1535)*25)*4</f>
        <v>4</v>
      </c>
    </row>
    <row r="1536" customFormat="false" ht="14.25" hidden="false" customHeight="false" outlineLevel="0" collapsed="false">
      <c r="A1536" s="1" t="n">
        <v>2014</v>
      </c>
      <c r="B1536" s="7" t="s">
        <v>322</v>
      </c>
      <c r="C1536" s="7" t="n">
        <v>3</v>
      </c>
      <c r="D1536" s="7" t="s">
        <v>294</v>
      </c>
      <c r="E1536" s="7" t="s">
        <v>294</v>
      </c>
      <c r="F1536" s="3" t="s">
        <v>51</v>
      </c>
      <c r="G1536" s="3" t="n">
        <v>1</v>
      </c>
      <c r="H1536" s="3" t="n">
        <v>3</v>
      </c>
      <c r="I1536" s="22" t="n">
        <v>41870</v>
      </c>
      <c r="J1536" s="22" t="n">
        <v>41875</v>
      </c>
      <c r="K1536" s="43" t="n">
        <f aca="false">J1536-I1536</f>
        <v>5</v>
      </c>
      <c r="L1536" s="1" t="n">
        <v>5</v>
      </c>
      <c r="M1536" s="3" t="s">
        <v>36</v>
      </c>
      <c r="N1536" s="3" t="s">
        <v>37</v>
      </c>
      <c r="O1536" s="3" t="s">
        <v>75</v>
      </c>
      <c r="P1536" s="2" t="str">
        <f aca="false">CONCATENATE(N1536," ",O1536)</f>
        <v>Ozyptila praticola</v>
      </c>
      <c r="Q1536" s="1" t="s">
        <v>30</v>
      </c>
      <c r="R1536" s="1" t="s">
        <v>31</v>
      </c>
      <c r="S1536" s="3" t="n">
        <v>2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f aca="false">SUM(S1536:T1536)</f>
        <v>2</v>
      </c>
      <c r="Z1536" s="3" t="n">
        <f aca="false">SUM(U1536:W1536)</f>
        <v>0</v>
      </c>
      <c r="AA1536" s="3" t="n">
        <f aca="false">SUM(S1536:X1536)</f>
        <v>2</v>
      </c>
      <c r="AB1536" s="11" t="n">
        <f aca="false">(AA1536/(K1536*L1536)*25)*4</f>
        <v>8</v>
      </c>
    </row>
    <row r="1537" customFormat="false" ht="14.25" hidden="false" customHeight="false" outlineLevel="0" collapsed="false">
      <c r="A1537" s="1" t="n">
        <v>2014</v>
      </c>
      <c r="B1537" s="7" t="s">
        <v>322</v>
      </c>
      <c r="C1537" s="7" t="n">
        <v>3</v>
      </c>
      <c r="D1537" s="7" t="s">
        <v>294</v>
      </c>
      <c r="E1537" s="7" t="s">
        <v>294</v>
      </c>
      <c r="F1537" s="3" t="s">
        <v>51</v>
      </c>
      <c r="G1537" s="3" t="n">
        <v>3</v>
      </c>
      <c r="H1537" s="3" t="n">
        <v>12</v>
      </c>
      <c r="I1537" s="22" t="n">
        <v>41870</v>
      </c>
      <c r="J1537" s="22" t="n">
        <v>41875</v>
      </c>
      <c r="K1537" s="43" t="n">
        <f aca="false">J1537-I1537</f>
        <v>5</v>
      </c>
      <c r="L1537" s="1" t="n">
        <v>5</v>
      </c>
      <c r="M1537" s="3" t="s">
        <v>48</v>
      </c>
      <c r="N1537" s="3" t="s">
        <v>61</v>
      </c>
      <c r="O1537" s="3" t="s">
        <v>82</v>
      </c>
      <c r="P1537" s="2" t="str">
        <f aca="false">CONCATENATE(N1537," ",O1537)</f>
        <v>Trochosa terricola</v>
      </c>
      <c r="Q1537" s="1" t="s">
        <v>30</v>
      </c>
      <c r="R1537" s="1" t="s">
        <v>31</v>
      </c>
      <c r="S1537" s="3" t="n">
        <v>2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f aca="false">SUM(S1537:T1537)</f>
        <v>2</v>
      </c>
      <c r="Z1537" s="3" t="n">
        <f aca="false">SUM(U1537:W1537)</f>
        <v>0</v>
      </c>
      <c r="AA1537" s="3" t="n">
        <f aca="false">SUM(S1537:X1537)</f>
        <v>2</v>
      </c>
      <c r="AB1537" s="11" t="n">
        <f aca="false">(AA1537/(K1537*L1537)*25)*4</f>
        <v>8</v>
      </c>
    </row>
    <row r="1538" customFormat="false" ht="14.25" hidden="false" customHeight="false" outlineLevel="0" collapsed="false">
      <c r="A1538" s="1" t="n">
        <v>2014</v>
      </c>
      <c r="B1538" s="7" t="s">
        <v>322</v>
      </c>
      <c r="C1538" s="7" t="n">
        <v>3</v>
      </c>
      <c r="D1538" s="7" t="s">
        <v>294</v>
      </c>
      <c r="E1538" s="7" t="s">
        <v>294</v>
      </c>
      <c r="F1538" s="3" t="s">
        <v>51</v>
      </c>
      <c r="G1538" s="3" t="n">
        <v>3</v>
      </c>
      <c r="H1538" s="3" t="n">
        <v>12</v>
      </c>
      <c r="I1538" s="22" t="n">
        <v>41870</v>
      </c>
      <c r="J1538" s="22" t="n">
        <v>41875</v>
      </c>
      <c r="K1538" s="43" t="n">
        <f aca="false">J1538-I1538</f>
        <v>5</v>
      </c>
      <c r="L1538" s="1" t="n">
        <v>5</v>
      </c>
      <c r="M1538" s="3" t="s">
        <v>48</v>
      </c>
      <c r="N1538" s="3" t="s">
        <v>61</v>
      </c>
      <c r="O1538" s="3" t="s">
        <v>82</v>
      </c>
      <c r="P1538" s="2" t="str">
        <f aca="false">CONCATENATE(N1538," ",O1538)</f>
        <v>Trochosa terricola</v>
      </c>
      <c r="Q1538" s="1" t="s">
        <v>30</v>
      </c>
      <c r="R1538" s="1" t="s">
        <v>35</v>
      </c>
      <c r="S1538" s="3" t="n">
        <v>0</v>
      </c>
      <c r="T1538" s="3" t="n">
        <v>1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f aca="false">SUM(S1538:T1538)</f>
        <v>1</v>
      </c>
      <c r="Z1538" s="3" t="n">
        <f aca="false">SUM(U1538:W1538)</f>
        <v>0</v>
      </c>
      <c r="AA1538" s="3" t="n">
        <f aca="false">SUM(S1538:X1538)</f>
        <v>1</v>
      </c>
      <c r="AB1538" s="11" t="n">
        <f aca="false">(AA1538/(K1538*L1538)*25)*4</f>
        <v>4</v>
      </c>
    </row>
    <row r="1539" customFormat="false" ht="14.25" hidden="false" customHeight="false" outlineLevel="0" collapsed="false">
      <c r="A1539" s="1" t="n">
        <v>2014</v>
      </c>
      <c r="B1539" s="7" t="s">
        <v>322</v>
      </c>
      <c r="C1539" s="7" t="n">
        <v>3</v>
      </c>
      <c r="D1539" s="7" t="s">
        <v>294</v>
      </c>
      <c r="E1539" s="7" t="s">
        <v>294</v>
      </c>
      <c r="F1539" s="3" t="s">
        <v>51</v>
      </c>
      <c r="G1539" s="3" t="n">
        <v>3</v>
      </c>
      <c r="H1539" s="3" t="n">
        <v>12</v>
      </c>
      <c r="I1539" s="22" t="n">
        <v>41870</v>
      </c>
      <c r="J1539" s="22" t="n">
        <v>41875</v>
      </c>
      <c r="K1539" s="43" t="n">
        <f aca="false">J1539-I1539</f>
        <v>5</v>
      </c>
      <c r="L1539" s="1" t="n">
        <v>5</v>
      </c>
      <c r="M1539" s="3" t="s">
        <v>48</v>
      </c>
      <c r="N1539" s="3" t="s">
        <v>67</v>
      </c>
      <c r="O1539" s="3" t="s">
        <v>127</v>
      </c>
      <c r="P1539" s="2" t="str">
        <f aca="false">CONCATENATE(N1539," ",O1539)</f>
        <v>Pardosa lugubris</v>
      </c>
      <c r="Q1539" s="1" t="s">
        <v>30</v>
      </c>
      <c r="R1539" s="1" t="s">
        <v>35</v>
      </c>
      <c r="S1539" s="3" t="n">
        <v>0</v>
      </c>
      <c r="T1539" s="3" t="n">
        <v>1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f aca="false">SUM(S1539:T1539)</f>
        <v>1</v>
      </c>
      <c r="Z1539" s="3" t="n">
        <f aca="false">SUM(U1539:W1539)</f>
        <v>0</v>
      </c>
      <c r="AA1539" s="3" t="n">
        <f aca="false">SUM(S1539:X1539)</f>
        <v>1</v>
      </c>
      <c r="AB1539" s="11" t="n">
        <f aca="false">(AA1539/(K1539*L1539)*25)*4</f>
        <v>4</v>
      </c>
    </row>
    <row r="1540" customFormat="false" ht="14.25" hidden="false" customHeight="false" outlineLevel="0" collapsed="false">
      <c r="A1540" s="1" t="n">
        <v>2014</v>
      </c>
      <c r="B1540" s="7" t="s">
        <v>322</v>
      </c>
      <c r="C1540" s="7" t="n">
        <v>3</v>
      </c>
      <c r="D1540" s="7" t="s">
        <v>294</v>
      </c>
      <c r="E1540" s="7" t="s">
        <v>294</v>
      </c>
      <c r="F1540" s="3" t="s">
        <v>51</v>
      </c>
      <c r="G1540" s="3" t="n">
        <v>1</v>
      </c>
      <c r="H1540" s="3" t="n">
        <v>1</v>
      </c>
      <c r="I1540" s="22" t="n">
        <v>41870</v>
      </c>
      <c r="J1540" s="22" t="n">
        <v>41875</v>
      </c>
      <c r="K1540" s="43" t="n">
        <f aca="false">J1540-I1540</f>
        <v>5</v>
      </c>
      <c r="L1540" s="1" t="n">
        <v>5</v>
      </c>
      <c r="M1540" s="3" t="s">
        <v>187</v>
      </c>
      <c r="N1540" s="3" t="s">
        <v>188</v>
      </c>
      <c r="O1540" s="3" t="s">
        <v>189</v>
      </c>
      <c r="P1540" s="2" t="str">
        <f aca="false">CONCATENATE(N1540," ",O1540)</f>
        <v>Ero furcata</v>
      </c>
      <c r="Q1540" s="1" t="s">
        <v>30</v>
      </c>
      <c r="R1540" s="1" t="s">
        <v>31</v>
      </c>
      <c r="S1540" s="3" t="n">
        <v>1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f aca="false">SUM(S1540:T1540)</f>
        <v>1</v>
      </c>
      <c r="Z1540" s="3" t="n">
        <f aca="false">SUM(U1540:W1540)</f>
        <v>0</v>
      </c>
      <c r="AA1540" s="3" t="n">
        <f aca="false">SUM(S1540:X1540)</f>
        <v>1</v>
      </c>
      <c r="AB1540" s="11" t="n">
        <f aca="false">(AA1540/(K1540*L1540)*25)*4</f>
        <v>4</v>
      </c>
    </row>
    <row r="1541" customFormat="false" ht="14.25" hidden="false" customHeight="false" outlineLevel="0" collapsed="false">
      <c r="A1541" s="1" t="n">
        <v>2014</v>
      </c>
      <c r="B1541" s="7" t="s">
        <v>322</v>
      </c>
      <c r="C1541" s="7" t="n">
        <v>3</v>
      </c>
      <c r="D1541" s="7" t="s">
        <v>294</v>
      </c>
      <c r="E1541" s="7" t="s">
        <v>294</v>
      </c>
      <c r="F1541" s="3" t="s">
        <v>51</v>
      </c>
      <c r="G1541" s="3" t="n">
        <v>1</v>
      </c>
      <c r="H1541" s="3" t="n">
        <v>1</v>
      </c>
      <c r="I1541" s="22" t="n">
        <v>41870</v>
      </c>
      <c r="J1541" s="22" t="n">
        <v>41875</v>
      </c>
      <c r="K1541" s="43" t="n">
        <f aca="false">J1541-I1541</f>
        <v>5</v>
      </c>
      <c r="L1541" s="1" t="n">
        <v>5</v>
      </c>
      <c r="M1541" s="3" t="s">
        <v>48</v>
      </c>
      <c r="N1541" s="3" t="s">
        <v>67</v>
      </c>
      <c r="O1541" s="3" t="s">
        <v>127</v>
      </c>
      <c r="P1541" s="2" t="str">
        <f aca="false">CONCATENATE(N1541," ",O1541)</f>
        <v>Pardosa lugubris</v>
      </c>
      <c r="Q1541" s="1" t="s">
        <v>30</v>
      </c>
      <c r="R1541" s="1" t="s">
        <v>35</v>
      </c>
      <c r="S1541" s="3" t="n">
        <v>0</v>
      </c>
      <c r="T1541" s="3" t="n">
        <v>1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f aca="false">SUM(S1541:T1541)</f>
        <v>1</v>
      </c>
      <c r="Z1541" s="3" t="n">
        <f aca="false">SUM(U1541:W1541)</f>
        <v>0</v>
      </c>
      <c r="AA1541" s="3" t="n">
        <f aca="false">SUM(S1541:X1541)</f>
        <v>1</v>
      </c>
      <c r="AB1541" s="11" t="n">
        <f aca="false">(AA1541/(K1541*L1541)*25)*4</f>
        <v>4</v>
      </c>
    </row>
    <row r="1542" customFormat="false" ht="14.25" hidden="false" customHeight="false" outlineLevel="0" collapsed="false">
      <c r="A1542" s="1" t="n">
        <v>2014</v>
      </c>
      <c r="B1542" s="7" t="s">
        <v>322</v>
      </c>
      <c r="C1542" s="7" t="n">
        <v>3</v>
      </c>
      <c r="D1542" s="7" t="s">
        <v>294</v>
      </c>
      <c r="E1542" s="7" t="s">
        <v>294</v>
      </c>
      <c r="F1542" s="3" t="s">
        <v>51</v>
      </c>
      <c r="G1542" s="3" t="n">
        <v>1</v>
      </c>
      <c r="H1542" s="3" t="n">
        <v>1</v>
      </c>
      <c r="I1542" s="22" t="n">
        <v>41870</v>
      </c>
      <c r="J1542" s="22" t="n">
        <v>41875</v>
      </c>
      <c r="K1542" s="43" t="n">
        <f aca="false">J1542-I1542</f>
        <v>5</v>
      </c>
      <c r="L1542" s="1" t="n">
        <v>5</v>
      </c>
      <c r="M1542" s="3" t="s">
        <v>72</v>
      </c>
      <c r="N1542" s="3" t="s">
        <v>73</v>
      </c>
      <c r="O1542" s="3" t="s">
        <v>74</v>
      </c>
      <c r="P1542" s="2" t="str">
        <f aca="false">CONCATENATE(N1542," ",O1542)</f>
        <v>Zelotes subterraneus</v>
      </c>
      <c r="Q1542" s="1" t="s">
        <v>30</v>
      </c>
      <c r="R1542" s="1" t="s">
        <v>35</v>
      </c>
      <c r="S1542" s="3" t="n">
        <v>0</v>
      </c>
      <c r="T1542" s="3" t="n">
        <v>1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f aca="false">SUM(S1542:T1542)</f>
        <v>1</v>
      </c>
      <c r="Z1542" s="3" t="n">
        <f aca="false">SUM(U1542:W1542)</f>
        <v>0</v>
      </c>
      <c r="AA1542" s="3" t="n">
        <f aca="false">SUM(S1542:X1542)</f>
        <v>1</v>
      </c>
      <c r="AB1542" s="11" t="n">
        <f aca="false">(AA1542/(K1542*L1542)*25)*4</f>
        <v>4</v>
      </c>
    </row>
    <row r="1543" customFormat="false" ht="14.25" hidden="false" customHeight="false" outlineLevel="0" collapsed="false">
      <c r="A1543" s="1" t="n">
        <v>2014</v>
      </c>
      <c r="B1543" s="7" t="s">
        <v>322</v>
      </c>
      <c r="C1543" s="7" t="n">
        <v>3</v>
      </c>
      <c r="D1543" s="7" t="s">
        <v>294</v>
      </c>
      <c r="E1543" s="7" t="s">
        <v>294</v>
      </c>
      <c r="F1543" s="3" t="s">
        <v>51</v>
      </c>
      <c r="G1543" s="3" t="n">
        <v>3</v>
      </c>
      <c r="H1543" s="3" t="n">
        <v>14</v>
      </c>
      <c r="I1543" s="22" t="n">
        <v>41870</v>
      </c>
      <c r="J1543" s="22" t="n">
        <v>41875</v>
      </c>
      <c r="K1543" s="43" t="n">
        <f aca="false">J1543-I1543</f>
        <v>5</v>
      </c>
      <c r="L1543" s="1" t="n">
        <v>5</v>
      </c>
      <c r="M1543" s="3" t="s">
        <v>48</v>
      </c>
      <c r="N1543" s="3" t="s">
        <v>61</v>
      </c>
      <c r="O1543" s="3" t="s">
        <v>82</v>
      </c>
      <c r="P1543" s="2" t="str">
        <f aca="false">CONCATENATE(N1543," ",O1543)</f>
        <v>Trochosa terricola</v>
      </c>
      <c r="Q1543" s="1" t="s">
        <v>30</v>
      </c>
      <c r="R1543" s="1" t="s">
        <v>31</v>
      </c>
      <c r="S1543" s="3" t="n">
        <v>1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f aca="false">SUM(S1543:T1543)</f>
        <v>1</v>
      </c>
      <c r="Z1543" s="3" t="n">
        <f aca="false">SUM(U1543:W1543)</f>
        <v>0</v>
      </c>
      <c r="AA1543" s="3" t="n">
        <f aca="false">SUM(S1543:X1543)</f>
        <v>1</v>
      </c>
      <c r="AB1543" s="11" t="n">
        <f aca="false">(AA1543/(K1543*L1543)*25)*4</f>
        <v>4</v>
      </c>
    </row>
    <row r="1544" customFormat="false" ht="14.25" hidden="false" customHeight="false" outlineLevel="0" collapsed="false">
      <c r="A1544" s="1" t="n">
        <v>2014</v>
      </c>
      <c r="B1544" s="7" t="s">
        <v>322</v>
      </c>
      <c r="C1544" s="7" t="n">
        <v>3</v>
      </c>
      <c r="D1544" s="7" t="s">
        <v>294</v>
      </c>
      <c r="E1544" s="7" t="s">
        <v>294</v>
      </c>
      <c r="F1544" s="3" t="s">
        <v>51</v>
      </c>
      <c r="G1544" s="3" t="n">
        <v>3</v>
      </c>
      <c r="H1544" s="3" t="n">
        <v>14</v>
      </c>
      <c r="I1544" s="22" t="n">
        <v>41870</v>
      </c>
      <c r="J1544" s="22" t="n">
        <v>41875</v>
      </c>
      <c r="K1544" s="43" t="n">
        <f aca="false">J1544-I1544</f>
        <v>5</v>
      </c>
      <c r="L1544" s="1" t="n">
        <v>5</v>
      </c>
      <c r="M1544" s="3" t="s">
        <v>48</v>
      </c>
      <c r="N1544" s="3" t="s">
        <v>61</v>
      </c>
      <c r="O1544" s="3" t="s">
        <v>82</v>
      </c>
      <c r="P1544" s="2" t="str">
        <f aca="false">CONCATENATE(N1544," ",O1544)</f>
        <v>Trochosa terricola</v>
      </c>
      <c r="Q1544" s="1" t="s">
        <v>30</v>
      </c>
      <c r="R1544" s="1" t="s">
        <v>35</v>
      </c>
      <c r="S1544" s="3" t="n">
        <v>0</v>
      </c>
      <c r="T1544" s="3" t="n">
        <v>1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f aca="false">SUM(S1544:T1544)</f>
        <v>1</v>
      </c>
      <c r="Z1544" s="3" t="n">
        <f aca="false">SUM(U1544:W1544)</f>
        <v>0</v>
      </c>
      <c r="AA1544" s="3" t="n">
        <f aca="false">SUM(S1544:X1544)</f>
        <v>1</v>
      </c>
      <c r="AB1544" s="11" t="n">
        <f aca="false">(AA1544/(K1544*L1544)*25)*4</f>
        <v>4</v>
      </c>
    </row>
    <row r="1545" customFormat="false" ht="14.25" hidden="false" customHeight="false" outlineLevel="0" collapsed="false">
      <c r="A1545" s="1" t="n">
        <v>2014</v>
      </c>
      <c r="B1545" s="7" t="s">
        <v>322</v>
      </c>
      <c r="C1545" s="7" t="n">
        <v>3</v>
      </c>
      <c r="D1545" s="7" t="s">
        <v>294</v>
      </c>
      <c r="E1545" s="7" t="s">
        <v>294</v>
      </c>
      <c r="F1545" s="3" t="s">
        <v>51</v>
      </c>
      <c r="G1545" s="3" t="n">
        <v>3</v>
      </c>
      <c r="H1545" s="3" t="n">
        <v>14</v>
      </c>
      <c r="I1545" s="22" t="n">
        <v>41870</v>
      </c>
      <c r="J1545" s="22" t="n">
        <v>41875</v>
      </c>
      <c r="K1545" s="43" t="n">
        <f aca="false">J1545-I1545</f>
        <v>5</v>
      </c>
      <c r="L1545" s="1" t="n">
        <v>5</v>
      </c>
      <c r="M1545" s="3" t="s">
        <v>72</v>
      </c>
      <c r="N1545" s="3" t="s">
        <v>73</v>
      </c>
      <c r="O1545" s="3" t="s">
        <v>74</v>
      </c>
      <c r="P1545" s="2" t="str">
        <f aca="false">CONCATENATE(N1545," ",O1545)</f>
        <v>Zelotes subterraneus</v>
      </c>
      <c r="Q1545" s="1" t="s">
        <v>30</v>
      </c>
      <c r="R1545" s="1" t="s">
        <v>35</v>
      </c>
      <c r="S1545" s="3" t="n">
        <v>0</v>
      </c>
      <c r="T1545" s="3" t="n">
        <v>1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f aca="false">SUM(S1545:T1545)</f>
        <v>1</v>
      </c>
      <c r="Z1545" s="3" t="n">
        <f aca="false">SUM(U1545:W1545)</f>
        <v>0</v>
      </c>
      <c r="AA1545" s="3" t="n">
        <f aca="false">SUM(S1545:X1545)</f>
        <v>1</v>
      </c>
      <c r="AB1545" s="11" t="n">
        <f aca="false">(AA1545/(K1545*L1545)*25)*4</f>
        <v>4</v>
      </c>
    </row>
    <row r="1546" customFormat="false" ht="14.25" hidden="false" customHeight="false" outlineLevel="0" collapsed="false">
      <c r="A1546" s="1" t="n">
        <v>2014</v>
      </c>
      <c r="B1546" s="7" t="s">
        <v>322</v>
      </c>
      <c r="C1546" s="7" t="n">
        <v>3</v>
      </c>
      <c r="D1546" s="7" t="s">
        <v>294</v>
      </c>
      <c r="E1546" s="7" t="s">
        <v>294</v>
      </c>
      <c r="F1546" s="3" t="s">
        <v>51</v>
      </c>
      <c r="G1546" s="3" t="n">
        <v>3</v>
      </c>
      <c r="H1546" s="3" t="n">
        <v>14</v>
      </c>
      <c r="I1546" s="22" t="n">
        <v>41870</v>
      </c>
      <c r="J1546" s="22" t="n">
        <v>41875</v>
      </c>
      <c r="K1546" s="43" t="n">
        <f aca="false">J1546-I1546</f>
        <v>5</v>
      </c>
      <c r="L1546" s="1" t="n">
        <v>5</v>
      </c>
      <c r="M1546" s="3" t="s">
        <v>32</v>
      </c>
      <c r="N1546" s="3" t="s">
        <v>62</v>
      </c>
      <c r="O1546" s="3" t="s">
        <v>63</v>
      </c>
      <c r="P1546" s="2" t="str">
        <f aca="false">CONCATENATE(N1546," ",O1546)</f>
        <v>Microneta viaria</v>
      </c>
      <c r="Q1546" s="1" t="s">
        <v>30</v>
      </c>
      <c r="R1546" s="1" t="s">
        <v>35</v>
      </c>
      <c r="S1546" s="3" t="n">
        <v>0</v>
      </c>
      <c r="T1546" s="3" t="n">
        <v>1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f aca="false">SUM(S1546:T1546)</f>
        <v>1</v>
      </c>
      <c r="Z1546" s="3" t="n">
        <f aca="false">SUM(U1546:W1546)</f>
        <v>0</v>
      </c>
      <c r="AA1546" s="3" t="n">
        <f aca="false">SUM(S1546:X1546)</f>
        <v>1</v>
      </c>
      <c r="AB1546" s="11" t="n">
        <f aca="false">(AA1546/(K1546*L1546)*25)*4</f>
        <v>4</v>
      </c>
    </row>
    <row r="1547" customFormat="false" ht="14.25" hidden="false" customHeight="false" outlineLevel="0" collapsed="false">
      <c r="A1547" s="1" t="n">
        <v>2014</v>
      </c>
      <c r="B1547" s="7" t="s">
        <v>322</v>
      </c>
      <c r="C1547" s="7" t="n">
        <v>3</v>
      </c>
      <c r="D1547" s="7" t="s">
        <v>294</v>
      </c>
      <c r="E1547" s="7" t="s">
        <v>294</v>
      </c>
      <c r="F1547" s="3" t="s">
        <v>51</v>
      </c>
      <c r="G1547" s="3" t="n">
        <v>2</v>
      </c>
      <c r="H1547" s="3" t="n">
        <v>8</v>
      </c>
      <c r="I1547" s="22" t="n">
        <v>41870</v>
      </c>
      <c r="J1547" s="22" t="n">
        <v>41875</v>
      </c>
      <c r="K1547" s="43" t="n">
        <f aca="false">J1547-I1547</f>
        <v>5</v>
      </c>
      <c r="L1547" s="1" t="n">
        <v>5</v>
      </c>
      <c r="M1547" s="3" t="s">
        <v>36</v>
      </c>
      <c r="N1547" s="3" t="s">
        <v>37</v>
      </c>
      <c r="O1547" s="3" t="s">
        <v>75</v>
      </c>
      <c r="P1547" s="2" t="str">
        <f aca="false">CONCATENATE(N1547," ",O1547)</f>
        <v>Ozyptila praticola</v>
      </c>
      <c r="Q1547" s="1" t="s">
        <v>30</v>
      </c>
      <c r="R1547" s="1" t="s">
        <v>31</v>
      </c>
      <c r="S1547" s="3" t="n">
        <v>3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f aca="false">SUM(S1547:T1547)</f>
        <v>3</v>
      </c>
      <c r="Z1547" s="3" t="n">
        <f aca="false">SUM(U1547:W1547)</f>
        <v>0</v>
      </c>
      <c r="AA1547" s="3" t="n">
        <f aca="false">SUM(S1547:X1547)</f>
        <v>3</v>
      </c>
      <c r="AB1547" s="11" t="n">
        <f aca="false">(AA1547/(K1547*L1547)*25)*4</f>
        <v>12</v>
      </c>
    </row>
    <row r="1548" customFormat="false" ht="14.25" hidden="false" customHeight="false" outlineLevel="0" collapsed="false">
      <c r="A1548" s="1" t="n">
        <v>2014</v>
      </c>
      <c r="B1548" s="7" t="s">
        <v>322</v>
      </c>
      <c r="C1548" s="7" t="n">
        <v>3</v>
      </c>
      <c r="D1548" s="7" t="s">
        <v>294</v>
      </c>
      <c r="E1548" s="7" t="s">
        <v>294</v>
      </c>
      <c r="F1548" s="3" t="s">
        <v>51</v>
      </c>
      <c r="G1548" s="3" t="n">
        <v>2</v>
      </c>
      <c r="H1548" s="3" t="n">
        <v>8</v>
      </c>
      <c r="I1548" s="22" t="n">
        <v>41870</v>
      </c>
      <c r="J1548" s="22" t="n">
        <v>41875</v>
      </c>
      <c r="K1548" s="43" t="n">
        <f aca="false">J1548-I1548</f>
        <v>5</v>
      </c>
      <c r="L1548" s="1" t="n">
        <v>5</v>
      </c>
      <c r="M1548" s="3" t="s">
        <v>32</v>
      </c>
      <c r="N1548" s="3" t="s">
        <v>76</v>
      </c>
      <c r="O1548" s="3" t="s">
        <v>77</v>
      </c>
      <c r="P1548" s="2" t="str">
        <f aca="false">CONCATENATE(N1548," ",O1548)</f>
        <v>Bolyphantes alticeps</v>
      </c>
      <c r="Q1548" s="1" t="s">
        <v>30</v>
      </c>
      <c r="R1548" s="1" t="s">
        <v>35</v>
      </c>
      <c r="S1548" s="3" t="n">
        <v>0</v>
      </c>
      <c r="T1548" s="3" t="n">
        <v>1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f aca="false">SUM(S1548:T1548)</f>
        <v>1</v>
      </c>
      <c r="Z1548" s="3" t="n">
        <f aca="false">SUM(U1548:W1548)</f>
        <v>0</v>
      </c>
      <c r="AA1548" s="3" t="n">
        <f aca="false">SUM(S1548:X1548)</f>
        <v>1</v>
      </c>
      <c r="AB1548" s="11" t="n">
        <f aca="false">(AA1548/(K1548*L1548)*25)*4</f>
        <v>4</v>
      </c>
    </row>
    <row r="1549" customFormat="false" ht="14.25" hidden="false" customHeight="false" outlineLevel="0" collapsed="false">
      <c r="A1549" s="1" t="n">
        <v>2014</v>
      </c>
      <c r="B1549" s="7" t="s">
        <v>322</v>
      </c>
      <c r="C1549" s="7" t="n">
        <v>3</v>
      </c>
      <c r="D1549" s="7" t="s">
        <v>294</v>
      </c>
      <c r="E1549" s="7" t="s">
        <v>294</v>
      </c>
      <c r="F1549" s="3" t="s">
        <v>51</v>
      </c>
      <c r="G1549" s="3" t="n">
        <v>1</v>
      </c>
      <c r="H1549" s="3" t="n">
        <v>5</v>
      </c>
      <c r="I1549" s="22" t="n">
        <v>41870</v>
      </c>
      <c r="J1549" s="22" t="n">
        <v>41875</v>
      </c>
      <c r="K1549" s="43" t="n">
        <f aca="false">J1549-I1549</f>
        <v>5</v>
      </c>
      <c r="L1549" s="1" t="n">
        <v>5</v>
      </c>
      <c r="M1549" s="3" t="s">
        <v>48</v>
      </c>
      <c r="N1549" s="3" t="s">
        <v>61</v>
      </c>
      <c r="O1549" s="3" t="s">
        <v>82</v>
      </c>
      <c r="P1549" s="2" t="str">
        <f aca="false">CONCATENATE(N1549," ",O1549)</f>
        <v>Trochosa terricola</v>
      </c>
      <c r="Q1549" s="1" t="s">
        <v>30</v>
      </c>
      <c r="R1549" s="1" t="s">
        <v>31</v>
      </c>
      <c r="S1549" s="3" t="n">
        <v>1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f aca="false">SUM(S1549:T1549)</f>
        <v>1</v>
      </c>
      <c r="Z1549" s="3" t="n">
        <f aca="false">SUM(U1549:W1549)</f>
        <v>0</v>
      </c>
      <c r="AA1549" s="3" t="n">
        <f aca="false">SUM(S1549:X1549)</f>
        <v>1</v>
      </c>
      <c r="AB1549" s="11" t="n">
        <f aca="false">(AA1549/(K1549*L1549)*25)*4</f>
        <v>4</v>
      </c>
    </row>
    <row r="1550" customFormat="false" ht="14.25" hidden="false" customHeight="false" outlineLevel="0" collapsed="false">
      <c r="A1550" s="1" t="n">
        <v>2014</v>
      </c>
      <c r="B1550" s="7" t="s">
        <v>322</v>
      </c>
      <c r="C1550" s="7" t="n">
        <v>3</v>
      </c>
      <c r="D1550" s="7" t="s">
        <v>294</v>
      </c>
      <c r="E1550" s="7" t="s">
        <v>294</v>
      </c>
      <c r="F1550" s="3" t="s">
        <v>51</v>
      </c>
      <c r="G1550" s="3" t="n">
        <v>1</v>
      </c>
      <c r="H1550" s="3" t="n">
        <v>5</v>
      </c>
      <c r="I1550" s="22" t="n">
        <v>41870</v>
      </c>
      <c r="J1550" s="22" t="n">
        <v>41875</v>
      </c>
      <c r="K1550" s="43" t="n">
        <f aca="false">J1550-I1550</f>
        <v>5</v>
      </c>
      <c r="L1550" s="1" t="n">
        <v>5</v>
      </c>
      <c r="M1550" s="3" t="s">
        <v>72</v>
      </c>
      <c r="N1550" s="3" t="s">
        <v>73</v>
      </c>
      <c r="O1550" s="3" t="s">
        <v>74</v>
      </c>
      <c r="P1550" s="2" t="str">
        <f aca="false">CONCATENATE(N1550," ",O1550)</f>
        <v>Zelotes subterraneus</v>
      </c>
      <c r="Q1550" s="1" t="s">
        <v>30</v>
      </c>
      <c r="R1550" s="1" t="s">
        <v>35</v>
      </c>
      <c r="S1550" s="3" t="n">
        <v>0</v>
      </c>
      <c r="T1550" s="3" t="n">
        <v>2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f aca="false">SUM(S1550:T1550)</f>
        <v>2</v>
      </c>
      <c r="Z1550" s="3" t="n">
        <f aca="false">SUM(U1550:W1550)</f>
        <v>0</v>
      </c>
      <c r="AA1550" s="3" t="n">
        <f aca="false">SUM(S1550:X1550)</f>
        <v>2</v>
      </c>
      <c r="AB1550" s="11" t="n">
        <f aca="false">(AA1550/(K1550*L1550)*25)*4</f>
        <v>8</v>
      </c>
    </row>
    <row r="1551" customFormat="false" ht="14.25" hidden="false" customHeight="false" outlineLevel="0" collapsed="false">
      <c r="A1551" s="1" t="n">
        <v>2014</v>
      </c>
      <c r="B1551" s="7" t="s">
        <v>322</v>
      </c>
      <c r="C1551" s="7" t="n">
        <v>3</v>
      </c>
      <c r="D1551" s="7" t="s">
        <v>294</v>
      </c>
      <c r="E1551" s="7" t="s">
        <v>294</v>
      </c>
      <c r="F1551" s="3" t="s">
        <v>51</v>
      </c>
      <c r="G1551" s="3" t="n">
        <v>1</v>
      </c>
      <c r="H1551" s="3" t="n">
        <v>5</v>
      </c>
      <c r="I1551" s="22" t="n">
        <v>41870</v>
      </c>
      <c r="J1551" s="22" t="n">
        <v>41875</v>
      </c>
      <c r="K1551" s="43" t="n">
        <f aca="false">J1551-I1551</f>
        <v>5</v>
      </c>
      <c r="L1551" s="1" t="n">
        <v>5</v>
      </c>
      <c r="M1551" s="3" t="s">
        <v>36</v>
      </c>
      <c r="N1551" s="3" t="s">
        <v>37</v>
      </c>
      <c r="O1551" s="3" t="s">
        <v>75</v>
      </c>
      <c r="P1551" s="2" t="str">
        <f aca="false">CONCATENATE(N1551," ",O1551)</f>
        <v>Ozyptila praticola</v>
      </c>
      <c r="Q1551" s="1" t="s">
        <v>30</v>
      </c>
      <c r="R1551" s="1" t="s">
        <v>31</v>
      </c>
      <c r="S1551" s="3" t="n">
        <v>3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f aca="false">SUM(S1551:T1551)</f>
        <v>3</v>
      </c>
      <c r="Z1551" s="3" t="n">
        <f aca="false">SUM(U1551:W1551)</f>
        <v>0</v>
      </c>
      <c r="AA1551" s="3" t="n">
        <f aca="false">SUM(S1551:X1551)</f>
        <v>3</v>
      </c>
      <c r="AB1551" s="11" t="n">
        <f aca="false">(AA1551/(K1551*L1551)*25)*4</f>
        <v>12</v>
      </c>
    </row>
    <row r="1552" customFormat="false" ht="14.25" hidden="false" customHeight="false" outlineLevel="0" collapsed="false">
      <c r="A1552" s="1" t="n">
        <v>2014</v>
      </c>
      <c r="B1552" s="7" t="s">
        <v>322</v>
      </c>
      <c r="C1552" s="7" t="n">
        <v>3</v>
      </c>
      <c r="D1552" s="7" t="s">
        <v>294</v>
      </c>
      <c r="E1552" s="7" t="s">
        <v>294</v>
      </c>
      <c r="F1552" s="3" t="s">
        <v>51</v>
      </c>
      <c r="G1552" s="3" t="n">
        <v>3</v>
      </c>
      <c r="H1552" s="3" t="n">
        <v>15</v>
      </c>
      <c r="I1552" s="22" t="n">
        <v>41870</v>
      </c>
      <c r="J1552" s="22" t="n">
        <v>41875</v>
      </c>
      <c r="K1552" s="43" t="n">
        <f aca="false">J1552-I1552</f>
        <v>5</v>
      </c>
      <c r="L1552" s="1" t="n">
        <v>5</v>
      </c>
      <c r="M1552" s="3" t="s">
        <v>138</v>
      </c>
      <c r="N1552" s="3" t="s">
        <v>205</v>
      </c>
      <c r="O1552" s="3" t="s">
        <v>206</v>
      </c>
      <c r="P1552" s="2" t="str">
        <f aca="false">CONCATENATE(N1552," ",O1552)</f>
        <v>Clubiona caerulescens</v>
      </c>
      <c r="Q1552" s="1" t="s">
        <v>30</v>
      </c>
      <c r="R1552" s="1" t="s">
        <v>35</v>
      </c>
      <c r="S1552" s="3" t="n">
        <v>0</v>
      </c>
      <c r="T1552" s="3" t="n">
        <v>1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f aca="false">SUM(S1552:T1552)</f>
        <v>1</v>
      </c>
      <c r="Z1552" s="3" t="n">
        <f aca="false">SUM(U1552:W1552)</f>
        <v>0</v>
      </c>
      <c r="AA1552" s="3" t="n">
        <f aca="false">SUM(S1552:X1552)</f>
        <v>1</v>
      </c>
      <c r="AB1552" s="11" t="n">
        <f aca="false">(AA1552/(K1552*L1552)*25)*4</f>
        <v>4</v>
      </c>
    </row>
    <row r="1553" customFormat="false" ht="14.25" hidden="false" customHeight="false" outlineLevel="0" collapsed="false">
      <c r="A1553" s="1" t="n">
        <v>2014</v>
      </c>
      <c r="B1553" s="7" t="s">
        <v>322</v>
      </c>
      <c r="C1553" s="7" t="n">
        <v>3</v>
      </c>
      <c r="D1553" s="7" t="s">
        <v>294</v>
      </c>
      <c r="E1553" s="7" t="s">
        <v>294</v>
      </c>
      <c r="F1553" s="3" t="s">
        <v>51</v>
      </c>
      <c r="G1553" s="3" t="n">
        <v>2</v>
      </c>
      <c r="H1553" s="3" t="n">
        <v>10</v>
      </c>
      <c r="I1553" s="22" t="n">
        <v>41870</v>
      </c>
      <c r="J1553" s="22" t="n">
        <v>41875</v>
      </c>
      <c r="K1553" s="43" t="n">
        <f aca="false">J1553-I1553</f>
        <v>5</v>
      </c>
      <c r="L1553" s="1" t="n">
        <v>5</v>
      </c>
      <c r="M1553" s="3" t="s">
        <v>41</v>
      </c>
      <c r="N1553" s="3" t="s">
        <v>42</v>
      </c>
      <c r="O1553" s="3" t="s">
        <v>43</v>
      </c>
      <c r="P1553" s="2" t="str">
        <f aca="false">CONCATENATE(N1553," ",O1553)</f>
        <v>Agroeca proxima</v>
      </c>
      <c r="Q1553" s="1" t="s">
        <v>30</v>
      </c>
      <c r="R1553" s="1" t="s">
        <v>31</v>
      </c>
      <c r="S1553" s="3" t="n">
        <v>1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f aca="false">SUM(S1553:T1553)</f>
        <v>1</v>
      </c>
      <c r="Z1553" s="3" t="n">
        <f aca="false">SUM(U1553:W1553)</f>
        <v>0</v>
      </c>
      <c r="AA1553" s="3" t="n">
        <f aca="false">SUM(S1553:X1553)</f>
        <v>1</v>
      </c>
      <c r="AB1553" s="11" t="n">
        <f aca="false">(AA1553/(K1553*L1553)*25)*4</f>
        <v>4</v>
      </c>
    </row>
    <row r="1554" customFormat="false" ht="14.25" hidden="false" customHeight="false" outlineLevel="0" collapsed="false">
      <c r="A1554" s="1" t="n">
        <v>2014</v>
      </c>
      <c r="B1554" s="7" t="s">
        <v>322</v>
      </c>
      <c r="C1554" s="7" t="n">
        <v>3</v>
      </c>
      <c r="D1554" s="7" t="s">
        <v>294</v>
      </c>
      <c r="E1554" s="7" t="s">
        <v>294</v>
      </c>
      <c r="F1554" s="3" t="s">
        <v>51</v>
      </c>
      <c r="G1554" s="3" t="n">
        <v>2</v>
      </c>
      <c r="H1554" s="3" t="n">
        <v>10</v>
      </c>
      <c r="I1554" s="22" t="n">
        <v>41870</v>
      </c>
      <c r="J1554" s="22" t="n">
        <v>41875</v>
      </c>
      <c r="K1554" s="43" t="n">
        <f aca="false">J1554-I1554</f>
        <v>5</v>
      </c>
      <c r="L1554" s="1" t="n">
        <v>5</v>
      </c>
      <c r="M1554" s="3" t="s">
        <v>32</v>
      </c>
      <c r="N1554" s="3" t="s">
        <v>33</v>
      </c>
      <c r="O1554" s="3" t="s">
        <v>81</v>
      </c>
      <c r="P1554" s="2" t="str">
        <f aca="false">CONCATENATE(N1554," ",O1554)</f>
        <v>Tenuiphantes mengei</v>
      </c>
      <c r="Q1554" s="1" t="s">
        <v>30</v>
      </c>
      <c r="R1554" s="1" t="s">
        <v>35</v>
      </c>
      <c r="S1554" s="3" t="n">
        <v>0</v>
      </c>
      <c r="T1554" s="3" t="n">
        <v>1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f aca="false">SUM(S1554:T1554)</f>
        <v>1</v>
      </c>
      <c r="Z1554" s="3" t="n">
        <f aca="false">SUM(U1554:W1554)</f>
        <v>0</v>
      </c>
      <c r="AA1554" s="3" t="n">
        <f aca="false">SUM(S1554:X1554)</f>
        <v>1</v>
      </c>
      <c r="AB1554" s="11" t="n">
        <f aca="false">(AA1554/(K1554*L1554)*25)*4</f>
        <v>4</v>
      </c>
    </row>
    <row r="1555" customFormat="false" ht="14.25" hidden="false" customHeight="false" outlineLevel="0" collapsed="false">
      <c r="A1555" s="1" t="n">
        <v>2014</v>
      </c>
      <c r="B1555" s="7" t="s">
        <v>322</v>
      </c>
      <c r="C1555" s="7" t="n">
        <v>3</v>
      </c>
      <c r="D1555" s="7" t="s">
        <v>294</v>
      </c>
      <c r="E1555" s="7" t="s">
        <v>294</v>
      </c>
      <c r="F1555" s="3" t="s">
        <v>51</v>
      </c>
      <c r="G1555" s="3" t="n">
        <v>2</v>
      </c>
      <c r="H1555" s="3" t="n">
        <v>10</v>
      </c>
      <c r="I1555" s="22" t="n">
        <v>41870</v>
      </c>
      <c r="J1555" s="22" t="n">
        <v>41875</v>
      </c>
      <c r="K1555" s="43" t="n">
        <f aca="false">J1555-I1555</f>
        <v>5</v>
      </c>
      <c r="L1555" s="1" t="n">
        <v>5</v>
      </c>
      <c r="M1555" s="3" t="s">
        <v>48</v>
      </c>
      <c r="N1555" s="3" t="s">
        <v>67</v>
      </c>
      <c r="O1555" s="3" t="s">
        <v>127</v>
      </c>
      <c r="P1555" s="2" t="str">
        <f aca="false">CONCATENATE(N1555," ",O1555)</f>
        <v>Pardosa lugubris</v>
      </c>
      <c r="Q1555" s="1" t="s">
        <v>30</v>
      </c>
      <c r="R1555" s="1" t="s">
        <v>35</v>
      </c>
      <c r="S1555" s="3" t="n">
        <v>0</v>
      </c>
      <c r="T1555" s="3" t="n">
        <v>1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f aca="false">SUM(S1555:T1555)</f>
        <v>1</v>
      </c>
      <c r="Z1555" s="3" t="n">
        <f aca="false">SUM(U1555:W1555)</f>
        <v>0</v>
      </c>
      <c r="AA1555" s="3" t="n">
        <f aca="false">SUM(S1555:X1555)</f>
        <v>1</v>
      </c>
      <c r="AB1555" s="11" t="n">
        <f aca="false">(AA1555/(K1555*L1555)*25)*4</f>
        <v>4</v>
      </c>
    </row>
    <row r="1556" customFormat="false" ht="14.25" hidden="false" customHeight="false" outlineLevel="0" collapsed="false">
      <c r="A1556" s="1" t="n">
        <v>2014</v>
      </c>
      <c r="B1556" s="7" t="s">
        <v>322</v>
      </c>
      <c r="C1556" s="7" t="n">
        <v>2</v>
      </c>
      <c r="D1556" s="7" t="s">
        <v>295</v>
      </c>
      <c r="E1556" s="7" t="s">
        <v>295</v>
      </c>
      <c r="F1556" s="3" t="s">
        <v>336</v>
      </c>
      <c r="G1556" s="3" t="n">
        <v>2</v>
      </c>
      <c r="H1556" s="3" t="n">
        <v>7</v>
      </c>
      <c r="I1556" s="22" t="n">
        <v>41794</v>
      </c>
      <c r="J1556" s="22" t="n">
        <v>41799</v>
      </c>
      <c r="K1556" s="43" t="n">
        <f aca="false">J1556-I1556</f>
        <v>5</v>
      </c>
      <c r="L1556" s="1" t="n">
        <v>5</v>
      </c>
      <c r="M1556" s="3" t="s">
        <v>226</v>
      </c>
      <c r="N1556" s="3" t="s">
        <v>65</v>
      </c>
      <c r="O1556" s="3" t="s">
        <v>335</v>
      </c>
      <c r="P1556" s="2" t="str">
        <f aca="false">CONCATENATE(N1556," ",O1556)</f>
        <v>Zora spinimana</v>
      </c>
      <c r="Q1556" s="1" t="s">
        <v>30</v>
      </c>
      <c r="R1556" s="1" t="s">
        <v>35</v>
      </c>
      <c r="S1556" s="3" t="n">
        <v>0</v>
      </c>
      <c r="T1556" s="3" t="n">
        <v>1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f aca="false">SUM(S1556:T1556)</f>
        <v>1</v>
      </c>
      <c r="Z1556" s="3" t="n">
        <f aca="false">SUM(U1556:W1556)</f>
        <v>0</v>
      </c>
      <c r="AA1556" s="3" t="n">
        <f aca="false">SUM(S1556:X1556)</f>
        <v>1</v>
      </c>
      <c r="AB1556" s="11" t="n">
        <f aca="false">(AA1556/(K1556*L1556)*25)*4</f>
        <v>4</v>
      </c>
    </row>
    <row r="1557" customFormat="false" ht="14.25" hidden="false" customHeight="false" outlineLevel="0" collapsed="false">
      <c r="A1557" s="1" t="n">
        <v>2014</v>
      </c>
      <c r="B1557" s="7" t="s">
        <v>322</v>
      </c>
      <c r="C1557" s="7" t="n">
        <v>2</v>
      </c>
      <c r="D1557" s="7" t="s">
        <v>293</v>
      </c>
      <c r="E1557" s="7" t="s">
        <v>293</v>
      </c>
      <c r="F1557" s="3" t="s">
        <v>110</v>
      </c>
      <c r="G1557" s="3" t="n">
        <v>3</v>
      </c>
      <c r="H1557" s="3" t="n">
        <v>14</v>
      </c>
      <c r="I1557" s="22" t="n">
        <v>41794</v>
      </c>
      <c r="J1557" s="22" t="n">
        <v>41799</v>
      </c>
      <c r="K1557" s="43" t="n">
        <f aca="false">J1557-I1557</f>
        <v>5</v>
      </c>
      <c r="L1557" s="1" t="n">
        <v>5</v>
      </c>
      <c r="M1557" s="3" t="s">
        <v>32</v>
      </c>
      <c r="N1557" s="3" t="s">
        <v>169</v>
      </c>
      <c r="O1557" s="3" t="s">
        <v>170</v>
      </c>
      <c r="P1557" s="2" t="str">
        <f aca="false">CONCATENATE(N1557," ",O1557)</f>
        <v>Abacoproeces saltuum</v>
      </c>
      <c r="Q1557" s="1" t="s">
        <v>30</v>
      </c>
      <c r="R1557" s="1" t="s">
        <v>31</v>
      </c>
      <c r="S1557" s="3" t="n">
        <v>1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f aca="false">SUM(S1557:T1557)</f>
        <v>1</v>
      </c>
      <c r="Z1557" s="3" t="n">
        <f aca="false">SUM(U1557:W1557)</f>
        <v>0</v>
      </c>
      <c r="AA1557" s="3" t="n">
        <f aca="false">SUM(S1557:X1557)</f>
        <v>1</v>
      </c>
      <c r="AB1557" s="11" t="n">
        <f aca="false">(AA1557/(K1557*L1557)*25)*4</f>
        <v>4</v>
      </c>
    </row>
    <row r="1558" customFormat="false" ht="14.25" hidden="false" customHeight="false" outlineLevel="0" collapsed="false">
      <c r="A1558" s="1" t="n">
        <v>2014</v>
      </c>
      <c r="B1558" s="7" t="s">
        <v>322</v>
      </c>
      <c r="C1558" s="7" t="n">
        <v>2</v>
      </c>
      <c r="D1558" s="7" t="s">
        <v>294</v>
      </c>
      <c r="E1558" s="7" t="s">
        <v>294</v>
      </c>
      <c r="F1558" s="3" t="s">
        <v>158</v>
      </c>
      <c r="G1558" s="3" t="n">
        <v>2</v>
      </c>
      <c r="H1558" s="3" t="n">
        <v>7</v>
      </c>
      <c r="I1558" s="22" t="n">
        <v>41793</v>
      </c>
      <c r="J1558" s="22" t="n">
        <v>41798</v>
      </c>
      <c r="K1558" s="43" t="n">
        <f aca="false">J1558-I1558</f>
        <v>5</v>
      </c>
      <c r="L1558" s="1" t="n">
        <v>5</v>
      </c>
      <c r="M1558" s="3" t="s">
        <v>32</v>
      </c>
      <c r="N1558" s="3" t="s">
        <v>96</v>
      </c>
      <c r="O1558" s="3" t="s">
        <v>97</v>
      </c>
      <c r="P1558" s="2" t="str">
        <f aca="false">CONCATENATE(N1558," ",O1558)</f>
        <v>Diplocephalus picinus</v>
      </c>
      <c r="Q1558" s="1" t="s">
        <v>30</v>
      </c>
      <c r="R1558" s="1" t="s">
        <v>31</v>
      </c>
      <c r="S1558" s="3" t="n">
        <v>1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f aca="false">SUM(S1558:T1558)</f>
        <v>1</v>
      </c>
      <c r="Z1558" s="3" t="n">
        <f aca="false">SUM(U1558:W1558)</f>
        <v>0</v>
      </c>
      <c r="AA1558" s="3" t="n">
        <f aca="false">SUM(S1558:X1558)</f>
        <v>1</v>
      </c>
      <c r="AB1558" s="11" t="n">
        <f aca="false">(AA1558/(K1558*L1558)*25)*4</f>
        <v>4</v>
      </c>
    </row>
    <row r="1559" customFormat="false" ht="14.25" hidden="false" customHeight="false" outlineLevel="0" collapsed="false">
      <c r="A1559" s="1" t="n">
        <v>2014</v>
      </c>
      <c r="B1559" s="7" t="s">
        <v>322</v>
      </c>
      <c r="C1559" s="7" t="n">
        <v>2</v>
      </c>
      <c r="D1559" s="7" t="s">
        <v>294</v>
      </c>
      <c r="E1559" s="7" t="s">
        <v>294</v>
      </c>
      <c r="F1559" s="3" t="s">
        <v>158</v>
      </c>
      <c r="G1559" s="3" t="n">
        <v>3</v>
      </c>
      <c r="H1559" s="3" t="n">
        <v>14</v>
      </c>
      <c r="I1559" s="22" t="n">
        <v>41793</v>
      </c>
      <c r="J1559" s="22" t="n">
        <v>41798</v>
      </c>
      <c r="K1559" s="43" t="n">
        <f aca="false">J1559-I1559</f>
        <v>5</v>
      </c>
      <c r="L1559" s="1" t="n">
        <v>5</v>
      </c>
      <c r="M1559" s="3" t="s">
        <v>32</v>
      </c>
      <c r="N1559" s="3" t="s">
        <v>169</v>
      </c>
      <c r="O1559" s="3" t="s">
        <v>170</v>
      </c>
      <c r="P1559" s="2" t="str">
        <f aca="false">CONCATENATE(N1559," ",O1559)</f>
        <v>Abacoproeces saltuum</v>
      </c>
      <c r="Q1559" s="1" t="s">
        <v>30</v>
      </c>
      <c r="R1559" s="1" t="s">
        <v>35</v>
      </c>
      <c r="S1559" s="3" t="n">
        <v>0</v>
      </c>
      <c r="T1559" s="3" t="n">
        <v>1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f aca="false">SUM(S1559:T1559)</f>
        <v>1</v>
      </c>
      <c r="Z1559" s="3" t="n">
        <f aca="false">SUM(U1559:W1559)</f>
        <v>0</v>
      </c>
      <c r="AA1559" s="3" t="n">
        <f aca="false">SUM(S1559:X1559)</f>
        <v>1</v>
      </c>
      <c r="AB1559" s="11" t="n">
        <f aca="false">(AA1559/(K1559*L1559)*25)*4</f>
        <v>4</v>
      </c>
    </row>
    <row r="1560" customFormat="false" ht="14.25" hidden="false" customHeight="false" outlineLevel="0" collapsed="false">
      <c r="A1560" s="1" t="n">
        <v>2014</v>
      </c>
      <c r="B1560" s="7" t="s">
        <v>322</v>
      </c>
      <c r="C1560" s="7" t="n">
        <v>2</v>
      </c>
      <c r="D1560" s="7" t="s">
        <v>294</v>
      </c>
      <c r="E1560" s="7" t="s">
        <v>294</v>
      </c>
      <c r="F1560" s="3" t="s">
        <v>158</v>
      </c>
      <c r="G1560" s="3" t="n">
        <v>1</v>
      </c>
      <c r="H1560" s="3" t="n">
        <v>2</v>
      </c>
      <c r="I1560" s="22" t="n">
        <v>41793</v>
      </c>
      <c r="J1560" s="22" t="n">
        <v>41798</v>
      </c>
      <c r="K1560" s="43" t="n">
        <f aca="false">J1560-I1560</f>
        <v>5</v>
      </c>
      <c r="L1560" s="1" t="n">
        <v>5</v>
      </c>
      <c r="M1560" s="3" t="s">
        <v>92</v>
      </c>
      <c r="N1560" s="3" t="s">
        <v>235</v>
      </c>
      <c r="O1560" s="3" t="s">
        <v>236</v>
      </c>
      <c r="P1560" s="2" t="str">
        <f aca="false">CONCATENATE(N1560," ",O1560)</f>
        <v>Neon reticulatus</v>
      </c>
      <c r="Q1560" s="1" t="s">
        <v>30</v>
      </c>
      <c r="R1560" s="1" t="s">
        <v>35</v>
      </c>
      <c r="S1560" s="3" t="n">
        <v>0</v>
      </c>
      <c r="T1560" s="3" t="n">
        <v>1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f aca="false">SUM(S1560:T1560)</f>
        <v>1</v>
      </c>
      <c r="Z1560" s="3" t="n">
        <f aca="false">SUM(U1560:W1560)</f>
        <v>0</v>
      </c>
      <c r="AA1560" s="3" t="n">
        <f aca="false">SUM(S1560:X1560)</f>
        <v>1</v>
      </c>
      <c r="AB1560" s="11" t="n">
        <f aca="false">(AA1560/(K1560*L1560)*25)*4</f>
        <v>4</v>
      </c>
    </row>
    <row r="1561" customFormat="false" ht="14.25" hidden="false" customHeight="false" outlineLevel="0" collapsed="false">
      <c r="A1561" s="1" t="n">
        <v>2014</v>
      </c>
      <c r="B1561" s="7" t="s">
        <v>322</v>
      </c>
      <c r="C1561" s="7" t="n">
        <v>2</v>
      </c>
      <c r="D1561" s="7" t="s">
        <v>293</v>
      </c>
      <c r="E1561" s="7" t="s">
        <v>293</v>
      </c>
      <c r="F1561" s="3" t="s">
        <v>110</v>
      </c>
      <c r="G1561" s="3" t="n">
        <v>1</v>
      </c>
      <c r="H1561" s="3" t="n">
        <v>1</v>
      </c>
      <c r="I1561" s="22" t="n">
        <v>41794</v>
      </c>
      <c r="J1561" s="22" t="n">
        <v>41799</v>
      </c>
      <c r="K1561" s="43" t="n">
        <f aca="false">J1561-I1561</f>
        <v>5</v>
      </c>
      <c r="L1561" s="1" t="n">
        <v>5</v>
      </c>
      <c r="M1561" s="3" t="s">
        <v>32</v>
      </c>
      <c r="N1561" s="3" t="s">
        <v>96</v>
      </c>
      <c r="O1561" s="3" t="s">
        <v>97</v>
      </c>
      <c r="P1561" s="2" t="str">
        <f aca="false">CONCATENATE(N1561," ",O1561)</f>
        <v>Diplocephalus picinus</v>
      </c>
      <c r="Q1561" s="1" t="s">
        <v>30</v>
      </c>
      <c r="R1561" s="1" t="s">
        <v>31</v>
      </c>
      <c r="S1561" s="3" t="n">
        <v>1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f aca="false">SUM(S1561:T1561)</f>
        <v>1</v>
      </c>
      <c r="Z1561" s="3" t="n">
        <f aca="false">SUM(U1561:W1561)</f>
        <v>0</v>
      </c>
      <c r="AA1561" s="3" t="n">
        <f aca="false">SUM(S1561:X1561)</f>
        <v>1</v>
      </c>
      <c r="AB1561" s="11" t="n">
        <f aca="false">(AA1561/(K1561*L1561)*25)*4</f>
        <v>4</v>
      </c>
    </row>
    <row r="1562" customFormat="false" ht="14.25" hidden="false" customHeight="false" outlineLevel="0" collapsed="false">
      <c r="A1562" s="1" t="n">
        <v>2014</v>
      </c>
      <c r="B1562" s="7" t="s">
        <v>322</v>
      </c>
      <c r="C1562" s="7" t="n">
        <v>2</v>
      </c>
      <c r="D1562" s="7" t="s">
        <v>294</v>
      </c>
      <c r="E1562" s="7" t="s">
        <v>294</v>
      </c>
      <c r="F1562" s="3" t="s">
        <v>158</v>
      </c>
      <c r="G1562" s="3" t="n">
        <v>3</v>
      </c>
      <c r="H1562" s="3" t="n">
        <v>11</v>
      </c>
      <c r="I1562" s="22" t="n">
        <v>41793</v>
      </c>
      <c r="J1562" s="22" t="n">
        <v>41798</v>
      </c>
      <c r="K1562" s="43" t="n">
        <f aca="false">J1562-I1562</f>
        <v>5</v>
      </c>
      <c r="L1562" s="1" t="n">
        <v>5</v>
      </c>
      <c r="M1562" s="3" t="s">
        <v>32</v>
      </c>
      <c r="N1562" s="3" t="s">
        <v>96</v>
      </c>
      <c r="O1562" s="3" t="s">
        <v>97</v>
      </c>
      <c r="P1562" s="2" t="str">
        <f aca="false">CONCATENATE(N1562," ",O1562)</f>
        <v>Diplocephalus picinus</v>
      </c>
      <c r="Q1562" s="1" t="s">
        <v>30</v>
      </c>
      <c r="R1562" s="1" t="s">
        <v>31</v>
      </c>
      <c r="S1562" s="3" t="n">
        <v>1</v>
      </c>
      <c r="T1562" s="3" t="n">
        <v>0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f aca="false">SUM(S1562:T1562)</f>
        <v>1</v>
      </c>
      <c r="Z1562" s="3" t="n">
        <f aca="false">SUM(U1562:W1562)</f>
        <v>0</v>
      </c>
      <c r="AA1562" s="3" t="n">
        <f aca="false">SUM(S1562:X1562)</f>
        <v>1</v>
      </c>
      <c r="AB1562" s="11" t="n">
        <f aca="false">(AA1562/(K1562*L1562)*25)*4</f>
        <v>4</v>
      </c>
    </row>
    <row r="1563" customFormat="false" ht="14.25" hidden="false" customHeight="false" outlineLevel="0" collapsed="false">
      <c r="A1563" s="1" t="n">
        <v>2014</v>
      </c>
      <c r="B1563" s="7" t="s">
        <v>322</v>
      </c>
      <c r="C1563" s="7" t="n">
        <v>2</v>
      </c>
      <c r="D1563" s="7" t="s">
        <v>294</v>
      </c>
      <c r="E1563" s="7" t="s">
        <v>294</v>
      </c>
      <c r="F1563" s="3" t="s">
        <v>326</v>
      </c>
      <c r="G1563" s="3" t="n">
        <v>1</v>
      </c>
      <c r="H1563" s="3" t="n">
        <v>3</v>
      </c>
      <c r="I1563" s="22" t="n">
        <v>41793</v>
      </c>
      <c r="J1563" s="22" t="n">
        <v>41798</v>
      </c>
      <c r="K1563" s="43" t="n">
        <f aca="false">J1563-I1563</f>
        <v>5</v>
      </c>
      <c r="L1563" s="1" t="n">
        <v>5</v>
      </c>
      <c r="M1563" s="3" t="s">
        <v>32</v>
      </c>
      <c r="N1563" s="3" t="s">
        <v>169</v>
      </c>
      <c r="O1563" s="3" t="s">
        <v>170</v>
      </c>
      <c r="P1563" s="2" t="str">
        <f aca="false">CONCATENATE(N1563," ",O1563)</f>
        <v>Abacoproeces saltuum</v>
      </c>
      <c r="Q1563" s="1" t="s">
        <v>30</v>
      </c>
      <c r="R1563" s="1" t="s">
        <v>31</v>
      </c>
      <c r="S1563" s="3" t="n">
        <v>1</v>
      </c>
      <c r="T1563" s="3" t="n">
        <v>0</v>
      </c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f aca="false">SUM(S1563:T1563)</f>
        <v>1</v>
      </c>
      <c r="Z1563" s="3" t="n">
        <f aca="false">SUM(U1563:W1563)</f>
        <v>0</v>
      </c>
      <c r="AA1563" s="3" t="n">
        <f aca="false">SUM(S1563:X1563)</f>
        <v>1</v>
      </c>
      <c r="AB1563" s="11" t="n">
        <f aca="false">(AA1563/(K1563*L1563)*25)*4</f>
        <v>4</v>
      </c>
    </row>
    <row r="1564" customFormat="false" ht="14.25" hidden="false" customHeight="false" outlineLevel="0" collapsed="false">
      <c r="A1564" s="1" t="n">
        <v>2014</v>
      </c>
      <c r="B1564" s="7" t="s">
        <v>322</v>
      </c>
      <c r="C1564" s="7" t="n">
        <v>2</v>
      </c>
      <c r="D1564" s="7" t="s">
        <v>293</v>
      </c>
      <c r="E1564" s="7" t="s">
        <v>293</v>
      </c>
      <c r="F1564" s="3" t="s">
        <v>101</v>
      </c>
      <c r="G1564" s="3" t="n">
        <v>3</v>
      </c>
      <c r="H1564" s="3" t="n">
        <v>15</v>
      </c>
      <c r="I1564" s="22" t="n">
        <v>41793</v>
      </c>
      <c r="J1564" s="22" t="n">
        <v>41798</v>
      </c>
      <c r="K1564" s="43" t="n">
        <f aca="false">J1564-I1564</f>
        <v>5</v>
      </c>
      <c r="L1564" s="1" t="n">
        <v>5</v>
      </c>
      <c r="M1564" s="3" t="s">
        <v>32</v>
      </c>
      <c r="N1564" s="3" t="s">
        <v>96</v>
      </c>
      <c r="O1564" s="3" t="s">
        <v>97</v>
      </c>
      <c r="P1564" s="2" t="str">
        <f aca="false">CONCATENATE(N1564," ",O1564)</f>
        <v>Diplocephalus picinus</v>
      </c>
      <c r="Q1564" s="1" t="s">
        <v>30</v>
      </c>
      <c r="R1564" s="1" t="s">
        <v>31</v>
      </c>
      <c r="S1564" s="3" t="n">
        <v>2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f aca="false">SUM(S1564:T1564)</f>
        <v>2</v>
      </c>
      <c r="Z1564" s="3" t="n">
        <f aca="false">SUM(U1564:W1564)</f>
        <v>0</v>
      </c>
      <c r="AA1564" s="3" t="n">
        <f aca="false">SUM(S1564:X1564)</f>
        <v>2</v>
      </c>
      <c r="AB1564" s="11" t="n">
        <f aca="false">(AA1564/(K1564*L1564)*25)*4</f>
        <v>8</v>
      </c>
    </row>
    <row r="1565" customFormat="false" ht="14.25" hidden="false" customHeight="false" outlineLevel="0" collapsed="false">
      <c r="A1565" s="1" t="n">
        <v>2014</v>
      </c>
      <c r="B1565" s="7" t="s">
        <v>322</v>
      </c>
      <c r="C1565" s="7" t="n">
        <v>2</v>
      </c>
      <c r="D1565" s="7" t="s">
        <v>293</v>
      </c>
      <c r="E1565" s="7" t="s">
        <v>293</v>
      </c>
      <c r="F1565" s="3" t="s">
        <v>110</v>
      </c>
      <c r="G1565" s="3" t="n">
        <v>2</v>
      </c>
      <c r="H1565" s="3" t="n">
        <v>7</v>
      </c>
      <c r="I1565" s="22" t="n">
        <v>41794</v>
      </c>
      <c r="J1565" s="22" t="n">
        <v>41799</v>
      </c>
      <c r="K1565" s="43" t="n">
        <f aca="false">J1565-I1565</f>
        <v>5</v>
      </c>
      <c r="L1565" s="1" t="n">
        <v>5</v>
      </c>
      <c r="M1565" s="3" t="s">
        <v>32</v>
      </c>
      <c r="N1565" s="3" t="s">
        <v>96</v>
      </c>
      <c r="O1565" s="3" t="s">
        <v>97</v>
      </c>
      <c r="P1565" s="2" t="str">
        <f aca="false">CONCATENATE(N1565," ",O1565)</f>
        <v>Diplocephalus picinus</v>
      </c>
      <c r="Q1565" s="1" t="s">
        <v>30</v>
      </c>
      <c r="R1565" s="1" t="s">
        <v>31</v>
      </c>
      <c r="S1565" s="3" t="n">
        <v>1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f aca="false">SUM(S1565:T1565)</f>
        <v>1</v>
      </c>
      <c r="Z1565" s="3" t="n">
        <f aca="false">SUM(U1565:W1565)</f>
        <v>0</v>
      </c>
      <c r="AA1565" s="3" t="n">
        <f aca="false">SUM(S1565:X1565)</f>
        <v>1</v>
      </c>
      <c r="AB1565" s="11" t="n">
        <f aca="false">(AA1565/(K1565*L1565)*25)*4</f>
        <v>4</v>
      </c>
    </row>
    <row r="1566" customFormat="false" ht="14.25" hidden="false" customHeight="false" outlineLevel="0" collapsed="false">
      <c r="A1566" s="1" t="n">
        <v>2014</v>
      </c>
      <c r="B1566" s="7" t="s">
        <v>322</v>
      </c>
      <c r="C1566" s="7" t="n">
        <v>2</v>
      </c>
      <c r="D1566" s="7" t="s">
        <v>294</v>
      </c>
      <c r="E1566" s="7" t="s">
        <v>294</v>
      </c>
      <c r="F1566" s="3" t="s">
        <v>51</v>
      </c>
      <c r="G1566" s="3" t="n">
        <v>1</v>
      </c>
      <c r="H1566" s="3" t="n">
        <v>1</v>
      </c>
      <c r="I1566" s="22" t="n">
        <v>41794</v>
      </c>
      <c r="J1566" s="22" t="n">
        <v>41799</v>
      </c>
      <c r="K1566" s="43" t="n">
        <f aca="false">J1566-I1566</f>
        <v>5</v>
      </c>
      <c r="L1566" s="1" t="n">
        <v>5</v>
      </c>
      <c r="M1566" s="3" t="s">
        <v>32</v>
      </c>
      <c r="N1566" s="3" t="s">
        <v>96</v>
      </c>
      <c r="O1566" s="3" t="s">
        <v>97</v>
      </c>
      <c r="P1566" s="2" t="str">
        <f aca="false">CONCATENATE(N1566," ",O1566)</f>
        <v>Diplocephalus picinus</v>
      </c>
      <c r="Q1566" s="1" t="s">
        <v>30</v>
      </c>
      <c r="R1566" s="1" t="s">
        <v>31</v>
      </c>
      <c r="S1566" s="3" t="n">
        <v>1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f aca="false">SUM(S1566:T1566)</f>
        <v>1</v>
      </c>
      <c r="Z1566" s="3" t="n">
        <f aca="false">SUM(U1566:W1566)</f>
        <v>0</v>
      </c>
      <c r="AA1566" s="3" t="n">
        <f aca="false">SUM(S1566:X1566)</f>
        <v>1</v>
      </c>
      <c r="AB1566" s="11" t="n">
        <f aca="false">(AA1566/(K1566*L1566)*25)*4</f>
        <v>4</v>
      </c>
    </row>
    <row r="1567" customFormat="false" ht="14.25" hidden="false" customHeight="false" outlineLevel="0" collapsed="false">
      <c r="A1567" s="1" t="n">
        <v>2014</v>
      </c>
      <c r="B1567" s="7" t="s">
        <v>322</v>
      </c>
      <c r="C1567" s="7" t="n">
        <v>3</v>
      </c>
      <c r="D1567" s="7" t="s">
        <v>293</v>
      </c>
      <c r="E1567" s="7" t="s">
        <v>293</v>
      </c>
      <c r="F1567" s="3" t="s">
        <v>26</v>
      </c>
      <c r="G1567" s="3" t="n">
        <v>2</v>
      </c>
      <c r="H1567" s="3" t="n">
        <v>6</v>
      </c>
      <c r="I1567" s="22" t="n">
        <v>41869</v>
      </c>
      <c r="J1567" s="22" t="n">
        <v>41874</v>
      </c>
      <c r="K1567" s="43" t="n">
        <f aca="false">J1567-I1567</f>
        <v>5</v>
      </c>
      <c r="L1567" s="1" t="n">
        <v>5</v>
      </c>
      <c r="M1567" s="3" t="s">
        <v>32</v>
      </c>
      <c r="N1567" s="3" t="s">
        <v>58</v>
      </c>
      <c r="O1567" s="3" t="s">
        <v>59</v>
      </c>
      <c r="P1567" s="2" t="str">
        <f aca="false">CONCATENATE(N1567," ",O1567)</f>
        <v>Allomengea scopigera</v>
      </c>
      <c r="Q1567" s="1" t="s">
        <v>30</v>
      </c>
      <c r="R1567" s="1" t="s">
        <v>31</v>
      </c>
      <c r="S1567" s="3" t="n">
        <v>1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f aca="false">SUM(S1567:T1567)</f>
        <v>1</v>
      </c>
      <c r="Z1567" s="3" t="n">
        <f aca="false">SUM(U1567:W1567)</f>
        <v>0</v>
      </c>
      <c r="AA1567" s="3" t="n">
        <f aca="false">SUM(S1567:X1567)</f>
        <v>1</v>
      </c>
      <c r="AB1567" s="11" t="n">
        <f aca="false">(AA1567/(K1567*L1567)*25)*4</f>
        <v>4</v>
      </c>
    </row>
    <row r="1568" customFormat="false" ht="14.25" hidden="false" customHeight="false" outlineLevel="0" collapsed="false">
      <c r="A1568" s="1" t="n">
        <v>2014</v>
      </c>
      <c r="B1568" s="7" t="s">
        <v>322</v>
      </c>
      <c r="C1568" s="7" t="n">
        <v>2</v>
      </c>
      <c r="D1568" s="7" t="s">
        <v>294</v>
      </c>
      <c r="E1568" s="7" t="s">
        <v>294</v>
      </c>
      <c r="F1568" s="3" t="s">
        <v>158</v>
      </c>
      <c r="G1568" s="3" t="n">
        <v>2</v>
      </c>
      <c r="H1568" s="3" t="n">
        <v>7</v>
      </c>
      <c r="I1568" s="22" t="n">
        <v>41793</v>
      </c>
      <c r="J1568" s="22" t="n">
        <v>41798</v>
      </c>
      <c r="K1568" s="43" t="n">
        <f aca="false">J1568-I1568</f>
        <v>5</v>
      </c>
      <c r="L1568" s="1" t="n">
        <v>5</v>
      </c>
      <c r="M1568" s="3" t="s">
        <v>32</v>
      </c>
      <c r="N1568" s="3" t="s">
        <v>96</v>
      </c>
      <c r="O1568" s="3" t="s">
        <v>97</v>
      </c>
      <c r="P1568" s="2" t="str">
        <f aca="false">CONCATENATE(N1568," ",O1568)</f>
        <v>Diplocephalus picinus</v>
      </c>
      <c r="Q1568" s="1" t="s">
        <v>30</v>
      </c>
      <c r="R1568" s="1" t="s">
        <v>31</v>
      </c>
      <c r="S1568" s="3" t="n">
        <v>1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f aca="false">SUM(S1568:T1568)</f>
        <v>1</v>
      </c>
      <c r="Z1568" s="3" t="n">
        <f aca="false">SUM(U1568:W1568)</f>
        <v>0</v>
      </c>
      <c r="AA1568" s="3" t="n">
        <f aca="false">SUM(S1568:X1568)</f>
        <v>1</v>
      </c>
      <c r="AB1568" s="11" t="n">
        <f aca="false">(AA1568/(K1568*L1568)*25)*4</f>
        <v>4</v>
      </c>
    </row>
    <row r="1569" customFormat="false" ht="14.25" hidden="false" customHeight="false" outlineLevel="0" collapsed="false">
      <c r="A1569" s="1" t="n">
        <v>2014</v>
      </c>
      <c r="B1569" s="7" t="s">
        <v>322</v>
      </c>
      <c r="C1569" s="7" t="n">
        <v>2</v>
      </c>
      <c r="D1569" s="7" t="s">
        <v>294</v>
      </c>
      <c r="E1569" s="7" t="s">
        <v>294</v>
      </c>
      <c r="F1569" s="3" t="s">
        <v>83</v>
      </c>
      <c r="G1569" s="3" t="n">
        <v>1</v>
      </c>
      <c r="H1569" s="3" t="n">
        <v>2</v>
      </c>
      <c r="I1569" s="22" t="n">
        <v>41794</v>
      </c>
      <c r="J1569" s="22" t="n">
        <v>41799</v>
      </c>
      <c r="K1569" s="43" t="n">
        <f aca="false">J1569-I1569</f>
        <v>5</v>
      </c>
      <c r="L1569" s="1" t="n">
        <v>5</v>
      </c>
      <c r="M1569" s="3" t="s">
        <v>32</v>
      </c>
      <c r="N1569" s="3" t="s">
        <v>169</v>
      </c>
      <c r="O1569" s="3" t="s">
        <v>170</v>
      </c>
      <c r="P1569" s="2" t="str">
        <f aca="false">CONCATENATE(N1569," ",O1569)</f>
        <v>Abacoproeces saltuum</v>
      </c>
      <c r="Q1569" s="1" t="s">
        <v>30</v>
      </c>
      <c r="R1569" s="1" t="s">
        <v>35</v>
      </c>
      <c r="S1569" s="3" t="n">
        <v>0</v>
      </c>
      <c r="T1569" s="3" t="n">
        <v>1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f aca="false">SUM(S1569:T1569)</f>
        <v>1</v>
      </c>
      <c r="Z1569" s="3" t="n">
        <f aca="false">SUM(U1569:W1569)</f>
        <v>0</v>
      </c>
      <c r="AA1569" s="3" t="n">
        <f aca="false">SUM(S1569:X1569)</f>
        <v>1</v>
      </c>
      <c r="AB1569" s="11" t="n">
        <f aca="false">(AA1569/(K1569*L1569)*25)*4</f>
        <v>4</v>
      </c>
    </row>
    <row r="1570" customFormat="false" ht="14.25" hidden="false" customHeight="false" outlineLevel="0" collapsed="false">
      <c r="A1570" s="1" t="n">
        <v>2014</v>
      </c>
      <c r="B1570" s="7" t="s">
        <v>322</v>
      </c>
      <c r="C1570" s="7" t="n">
        <v>2</v>
      </c>
      <c r="D1570" s="7" t="s">
        <v>293</v>
      </c>
      <c r="E1570" s="7" t="s">
        <v>293</v>
      </c>
      <c r="F1570" s="3" t="s">
        <v>110</v>
      </c>
      <c r="G1570" s="3" t="n">
        <v>2</v>
      </c>
      <c r="H1570" s="3" t="n">
        <v>9</v>
      </c>
      <c r="I1570" s="22" t="n">
        <v>41794</v>
      </c>
      <c r="J1570" s="22" t="n">
        <v>41799</v>
      </c>
      <c r="K1570" s="43" t="n">
        <f aca="false">J1570-I1570</f>
        <v>5</v>
      </c>
      <c r="L1570" s="1" t="n">
        <v>5</v>
      </c>
      <c r="M1570" s="3" t="s">
        <v>32</v>
      </c>
      <c r="N1570" s="3" t="s">
        <v>169</v>
      </c>
      <c r="O1570" s="3" t="s">
        <v>170</v>
      </c>
      <c r="P1570" s="2" t="str">
        <f aca="false">CONCATENATE(N1570," ",O1570)</f>
        <v>Abacoproeces saltuum</v>
      </c>
      <c r="Q1570" s="1" t="s">
        <v>30</v>
      </c>
      <c r="R1570" s="1" t="s">
        <v>35</v>
      </c>
      <c r="S1570" s="3" t="n">
        <v>0</v>
      </c>
      <c r="T1570" s="3" t="n">
        <v>1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f aca="false">SUM(S1570:T1570)</f>
        <v>1</v>
      </c>
      <c r="Z1570" s="3" t="n">
        <f aca="false">SUM(U1570:W1570)</f>
        <v>0</v>
      </c>
      <c r="AA1570" s="3" t="n">
        <f aca="false">SUM(S1570:X1570)</f>
        <v>1</v>
      </c>
      <c r="AB1570" s="11" t="n">
        <f aca="false">(AA1570/(K1570*L1570)*25)*4</f>
        <v>4</v>
      </c>
    </row>
    <row r="1571" customFormat="false" ht="14.25" hidden="false" customHeight="false" outlineLevel="0" collapsed="false">
      <c r="A1571" s="1" t="n">
        <v>2014</v>
      </c>
      <c r="B1571" s="7" t="s">
        <v>322</v>
      </c>
      <c r="C1571" s="7" t="n">
        <v>2</v>
      </c>
      <c r="D1571" s="7" t="s">
        <v>293</v>
      </c>
      <c r="E1571" s="7" t="s">
        <v>293</v>
      </c>
      <c r="F1571" s="3" t="s">
        <v>110</v>
      </c>
      <c r="G1571" s="3" t="n">
        <v>3</v>
      </c>
      <c r="H1571" s="3" t="n">
        <v>15</v>
      </c>
      <c r="I1571" s="22" t="n">
        <v>41794</v>
      </c>
      <c r="J1571" s="22" t="n">
        <v>41799</v>
      </c>
      <c r="K1571" s="43" t="n">
        <f aca="false">J1571-I1571</f>
        <v>5</v>
      </c>
      <c r="L1571" s="1" t="n">
        <v>5</v>
      </c>
      <c r="M1571" s="3" t="s">
        <v>32</v>
      </c>
      <c r="N1571" s="3" t="s">
        <v>169</v>
      </c>
      <c r="O1571" s="3" t="s">
        <v>170</v>
      </c>
      <c r="P1571" s="2" t="str">
        <f aca="false">CONCATENATE(N1571," ",O1571)</f>
        <v>Abacoproeces saltuum</v>
      </c>
      <c r="Q1571" s="1" t="s">
        <v>30</v>
      </c>
      <c r="R1571" s="1" t="s">
        <v>31</v>
      </c>
      <c r="S1571" s="3" t="n">
        <v>1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f aca="false">SUM(S1571:T1571)</f>
        <v>1</v>
      </c>
      <c r="Z1571" s="3" t="n">
        <f aca="false">SUM(U1571:W1571)</f>
        <v>0</v>
      </c>
      <c r="AA1571" s="3" t="n">
        <f aca="false">SUM(S1571:X1571)</f>
        <v>1</v>
      </c>
      <c r="AB1571" s="11" t="n">
        <f aca="false">(AA1571/(K1571*L1571)*25)*4</f>
        <v>4</v>
      </c>
    </row>
    <row r="1572" customFormat="false" ht="14.25" hidden="false" customHeight="false" outlineLevel="0" collapsed="false">
      <c r="A1572" s="1" t="n">
        <v>2014</v>
      </c>
      <c r="B1572" s="7" t="s">
        <v>322</v>
      </c>
      <c r="C1572" s="7" t="n">
        <v>2</v>
      </c>
      <c r="D1572" s="7" t="s">
        <v>294</v>
      </c>
      <c r="E1572" s="7" t="s">
        <v>294</v>
      </c>
      <c r="F1572" s="3" t="s">
        <v>158</v>
      </c>
      <c r="G1572" s="3" t="n">
        <v>2</v>
      </c>
      <c r="H1572" s="3" t="n">
        <v>6</v>
      </c>
      <c r="I1572" s="22" t="n">
        <v>41793</v>
      </c>
      <c r="J1572" s="22" t="n">
        <v>41798</v>
      </c>
      <c r="K1572" s="43" t="n">
        <f aca="false">J1572-I1572</f>
        <v>5</v>
      </c>
      <c r="L1572" s="1" t="n">
        <v>5</v>
      </c>
      <c r="M1572" s="3" t="s">
        <v>32</v>
      </c>
      <c r="N1572" s="3" t="s">
        <v>96</v>
      </c>
      <c r="O1572" s="3" t="s">
        <v>97</v>
      </c>
      <c r="P1572" s="2" t="str">
        <f aca="false">CONCATENATE(N1572," ",O1572)</f>
        <v>Diplocephalus picinus</v>
      </c>
      <c r="Q1572" s="1" t="s">
        <v>30</v>
      </c>
      <c r="R1572" s="1" t="s">
        <v>31</v>
      </c>
      <c r="S1572" s="3" t="n">
        <v>1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f aca="false">SUM(S1572:T1572)</f>
        <v>1</v>
      </c>
      <c r="Z1572" s="3" t="n">
        <f aca="false">SUM(U1572:W1572)</f>
        <v>0</v>
      </c>
      <c r="AA1572" s="3" t="n">
        <f aca="false">SUM(S1572:X1572)</f>
        <v>1</v>
      </c>
      <c r="AB1572" s="11" t="n">
        <f aca="false">(AA1572/(K1572*L1572)*25)*4</f>
        <v>4</v>
      </c>
    </row>
    <row r="1573" customFormat="false" ht="14.25" hidden="false" customHeight="false" outlineLevel="0" collapsed="false">
      <c r="A1573" s="1" t="n">
        <v>2014</v>
      </c>
      <c r="B1573" s="7" t="s">
        <v>322</v>
      </c>
      <c r="C1573" s="7" t="n">
        <v>2</v>
      </c>
      <c r="D1573" s="7" t="s">
        <v>293</v>
      </c>
      <c r="E1573" s="7" t="s">
        <v>293</v>
      </c>
      <c r="F1573" s="3" t="s">
        <v>110</v>
      </c>
      <c r="G1573" s="3" t="n">
        <v>3</v>
      </c>
      <c r="H1573" s="3" t="n">
        <v>11</v>
      </c>
      <c r="I1573" s="22" t="n">
        <v>41794</v>
      </c>
      <c r="J1573" s="22" t="n">
        <v>41799</v>
      </c>
      <c r="K1573" s="43" t="n">
        <f aca="false">J1573-I1573</f>
        <v>5</v>
      </c>
      <c r="L1573" s="1" t="n">
        <v>5</v>
      </c>
      <c r="M1573" s="3" t="s">
        <v>36</v>
      </c>
      <c r="N1573" s="3" t="s">
        <v>131</v>
      </c>
      <c r="O1573" s="3" t="s">
        <v>133</v>
      </c>
      <c r="P1573" s="2" t="str">
        <f aca="false">CONCATENATE(N1573," ",O1573)</f>
        <v>Xysticus luctuosus</v>
      </c>
      <c r="Q1573" s="1" t="s">
        <v>30</v>
      </c>
      <c r="R1573" s="1" t="s">
        <v>31</v>
      </c>
      <c r="S1573" s="3" t="n">
        <v>1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f aca="false">SUM(S1573:T1573)</f>
        <v>1</v>
      </c>
      <c r="Z1573" s="3" t="n">
        <f aca="false">SUM(U1573:W1573)</f>
        <v>0</v>
      </c>
      <c r="AA1573" s="3" t="n">
        <f aca="false">SUM(S1573:X1573)</f>
        <v>1</v>
      </c>
      <c r="AB1573" s="11" t="n">
        <f aca="false">(AA1573/(K1573*L1573)*25)*4</f>
        <v>4</v>
      </c>
    </row>
    <row r="1574" customFormat="false" ht="14.25" hidden="false" customHeight="false" outlineLevel="0" collapsed="false">
      <c r="A1574" s="1" t="n">
        <v>2014</v>
      </c>
      <c r="B1574" s="7" t="s">
        <v>322</v>
      </c>
      <c r="C1574" s="7" t="n">
        <v>2</v>
      </c>
      <c r="D1574" s="7" t="s">
        <v>293</v>
      </c>
      <c r="E1574" s="7" t="s">
        <v>293</v>
      </c>
      <c r="F1574" s="3" t="s">
        <v>110</v>
      </c>
      <c r="G1574" s="3" t="n">
        <v>3</v>
      </c>
      <c r="H1574" s="3" t="n">
        <v>11</v>
      </c>
      <c r="I1574" s="22" t="n">
        <v>41794</v>
      </c>
      <c r="J1574" s="22" t="n">
        <v>41799</v>
      </c>
      <c r="K1574" s="43" t="n">
        <f aca="false">J1574-I1574</f>
        <v>5</v>
      </c>
      <c r="L1574" s="1" t="n">
        <v>5</v>
      </c>
      <c r="M1574" s="3" t="s">
        <v>48</v>
      </c>
      <c r="N1574" s="3" t="s">
        <v>49</v>
      </c>
      <c r="O1574" s="3" t="s">
        <v>130</v>
      </c>
      <c r="P1574" s="2" t="str">
        <f aca="false">CONCATENATE(N1574," ",O1574)</f>
        <v>Alopecosa aculeata</v>
      </c>
      <c r="Q1574" s="1" t="s">
        <v>30</v>
      </c>
      <c r="R1574" s="1" t="s">
        <v>31</v>
      </c>
      <c r="S1574" s="3" t="n">
        <v>2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f aca="false">SUM(S1574:T1574)</f>
        <v>2</v>
      </c>
      <c r="Z1574" s="3" t="n">
        <f aca="false">SUM(U1574:W1574)</f>
        <v>0</v>
      </c>
      <c r="AA1574" s="3" t="n">
        <f aca="false">SUM(S1574:X1574)</f>
        <v>2</v>
      </c>
      <c r="AB1574" s="11" t="n">
        <f aca="false">(AA1574/(K1574*L1574)*25)*4</f>
        <v>8</v>
      </c>
    </row>
    <row r="1575" customFormat="false" ht="14.25" hidden="false" customHeight="false" outlineLevel="0" collapsed="false">
      <c r="A1575" s="1" t="n">
        <v>2014</v>
      </c>
      <c r="B1575" s="7" t="s">
        <v>322</v>
      </c>
      <c r="C1575" s="7" t="n">
        <v>2</v>
      </c>
      <c r="D1575" s="7" t="s">
        <v>293</v>
      </c>
      <c r="E1575" s="7" t="s">
        <v>293</v>
      </c>
      <c r="F1575" s="3" t="s">
        <v>110</v>
      </c>
      <c r="G1575" s="3" t="n">
        <v>3</v>
      </c>
      <c r="H1575" s="3" t="n">
        <v>11</v>
      </c>
      <c r="I1575" s="22" t="n">
        <v>41794</v>
      </c>
      <c r="J1575" s="22" t="n">
        <v>41799</v>
      </c>
      <c r="K1575" s="43" t="n">
        <f aca="false">J1575-I1575</f>
        <v>5</v>
      </c>
      <c r="L1575" s="1" t="n">
        <v>5</v>
      </c>
      <c r="M1575" s="3" t="s">
        <v>48</v>
      </c>
      <c r="N1575" s="3" t="s">
        <v>49</v>
      </c>
      <c r="O1575" s="3" t="s">
        <v>130</v>
      </c>
      <c r="P1575" s="2" t="str">
        <f aca="false">CONCATENATE(N1575," ",O1575)</f>
        <v>Alopecosa aculeata</v>
      </c>
      <c r="Q1575" s="1" t="s">
        <v>30</v>
      </c>
      <c r="R1575" s="1" t="s">
        <v>35</v>
      </c>
      <c r="S1575" s="3" t="n">
        <v>0</v>
      </c>
      <c r="T1575" s="3" t="n">
        <v>1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f aca="false">SUM(S1575:T1575)</f>
        <v>1</v>
      </c>
      <c r="Z1575" s="3" t="n">
        <f aca="false">SUM(U1575:W1575)</f>
        <v>0</v>
      </c>
      <c r="AA1575" s="3" t="n">
        <f aca="false">SUM(S1575:X1575)</f>
        <v>1</v>
      </c>
      <c r="AB1575" s="11" t="n">
        <f aca="false">(AA1575/(K1575*L1575)*25)*4</f>
        <v>4</v>
      </c>
    </row>
    <row r="1576" customFormat="false" ht="14.25" hidden="false" customHeight="false" outlineLevel="0" collapsed="false">
      <c r="A1576" s="1" t="n">
        <v>2014</v>
      </c>
      <c r="B1576" s="7" t="s">
        <v>322</v>
      </c>
      <c r="C1576" s="7" t="n">
        <v>2</v>
      </c>
      <c r="D1576" s="7" t="s">
        <v>293</v>
      </c>
      <c r="E1576" s="7" t="s">
        <v>293</v>
      </c>
      <c r="F1576" s="3" t="s">
        <v>110</v>
      </c>
      <c r="G1576" s="3" t="n">
        <v>3</v>
      </c>
      <c r="H1576" s="3" t="n">
        <v>11</v>
      </c>
      <c r="I1576" s="22" t="n">
        <v>41794</v>
      </c>
      <c r="J1576" s="22" t="n">
        <v>41799</v>
      </c>
      <c r="K1576" s="43" t="n">
        <f aca="false">J1576-I1576</f>
        <v>5</v>
      </c>
      <c r="L1576" s="1" t="n">
        <v>5</v>
      </c>
      <c r="M1576" s="3" t="s">
        <v>72</v>
      </c>
      <c r="N1576" s="3" t="s">
        <v>73</v>
      </c>
      <c r="O1576" s="3" t="s">
        <v>74</v>
      </c>
      <c r="P1576" s="2" t="str">
        <f aca="false">CONCATENATE(N1576," ",O1576)</f>
        <v>Zelotes subterraneus</v>
      </c>
      <c r="Q1576" s="1" t="s">
        <v>30</v>
      </c>
      <c r="R1576" s="1" t="s">
        <v>31</v>
      </c>
      <c r="S1576" s="3" t="n">
        <v>1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f aca="false">SUM(S1576:T1576)</f>
        <v>1</v>
      </c>
      <c r="Z1576" s="3" t="n">
        <f aca="false">SUM(U1576:W1576)</f>
        <v>0</v>
      </c>
      <c r="AA1576" s="3" t="n">
        <f aca="false">SUM(S1576:X1576)</f>
        <v>1</v>
      </c>
      <c r="AB1576" s="11" t="n">
        <f aca="false">(AA1576/(K1576*L1576)*25)*4</f>
        <v>4</v>
      </c>
    </row>
    <row r="1577" customFormat="false" ht="14.25" hidden="false" customHeight="false" outlineLevel="0" collapsed="false">
      <c r="A1577" s="1" t="n">
        <v>2014</v>
      </c>
      <c r="B1577" s="7" t="s">
        <v>322</v>
      </c>
      <c r="C1577" s="7" t="n">
        <v>2</v>
      </c>
      <c r="D1577" s="7" t="s">
        <v>293</v>
      </c>
      <c r="E1577" s="7" t="s">
        <v>293</v>
      </c>
      <c r="F1577" s="3" t="s">
        <v>110</v>
      </c>
      <c r="G1577" s="3" t="n">
        <v>3</v>
      </c>
      <c r="H1577" s="3" t="n">
        <v>11</v>
      </c>
      <c r="I1577" s="22" t="n">
        <v>41794</v>
      </c>
      <c r="J1577" s="22" t="n">
        <v>41799</v>
      </c>
      <c r="K1577" s="43" t="n">
        <f aca="false">J1577-I1577</f>
        <v>5</v>
      </c>
      <c r="L1577" s="1" t="n">
        <v>5</v>
      </c>
      <c r="M1577" s="3" t="s">
        <v>48</v>
      </c>
      <c r="N1577" s="3" t="s">
        <v>67</v>
      </c>
      <c r="O1577" s="3" t="s">
        <v>127</v>
      </c>
      <c r="P1577" s="2" t="str">
        <f aca="false">CONCATENATE(N1577," ",O1577)</f>
        <v>Pardosa lugubris</v>
      </c>
      <c r="Q1577" s="1" t="s">
        <v>30</v>
      </c>
      <c r="R1577" s="1" t="s">
        <v>31</v>
      </c>
      <c r="S1577" s="3" t="n">
        <v>1</v>
      </c>
      <c r="T1577" s="3" t="n">
        <v>0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f aca="false">SUM(S1577:T1577)</f>
        <v>1</v>
      </c>
      <c r="Z1577" s="3" t="n">
        <f aca="false">SUM(U1577:W1577)</f>
        <v>0</v>
      </c>
      <c r="AA1577" s="3" t="n">
        <f aca="false">SUM(S1577:X1577)</f>
        <v>1</v>
      </c>
      <c r="AB1577" s="11" t="n">
        <f aca="false">(AA1577/(K1577*L1577)*25)*4</f>
        <v>4</v>
      </c>
    </row>
    <row r="1578" customFormat="false" ht="14.25" hidden="false" customHeight="false" outlineLevel="0" collapsed="false">
      <c r="A1578" s="1" t="n">
        <v>2014</v>
      </c>
      <c r="B1578" s="7" t="s">
        <v>322</v>
      </c>
      <c r="C1578" s="7" t="n">
        <v>2</v>
      </c>
      <c r="D1578" s="7" t="s">
        <v>293</v>
      </c>
      <c r="E1578" s="7" t="s">
        <v>293</v>
      </c>
      <c r="F1578" s="3" t="s">
        <v>110</v>
      </c>
      <c r="G1578" s="3" t="n">
        <v>3</v>
      </c>
      <c r="H1578" s="3" t="n">
        <v>11</v>
      </c>
      <c r="I1578" s="22" t="n">
        <v>41794</v>
      </c>
      <c r="J1578" s="22" t="n">
        <v>41799</v>
      </c>
      <c r="K1578" s="43" t="n">
        <f aca="false">J1578-I1578</f>
        <v>5</v>
      </c>
      <c r="L1578" s="1" t="n">
        <v>5</v>
      </c>
      <c r="M1578" s="3" t="s">
        <v>36</v>
      </c>
      <c r="N1578" s="3" t="s">
        <v>37</v>
      </c>
      <c r="O1578" s="3" t="s">
        <v>75</v>
      </c>
      <c r="P1578" s="2" t="str">
        <f aca="false">CONCATENATE(N1578," ",O1578)</f>
        <v>Ozyptila praticola</v>
      </c>
      <c r="Q1578" s="1" t="s">
        <v>30</v>
      </c>
      <c r="R1578" s="1" t="s">
        <v>31</v>
      </c>
      <c r="S1578" s="3" t="n">
        <v>1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f aca="false">SUM(S1578:T1578)</f>
        <v>1</v>
      </c>
      <c r="Z1578" s="3" t="n">
        <f aca="false">SUM(U1578:W1578)</f>
        <v>0</v>
      </c>
      <c r="AA1578" s="3" t="n">
        <f aca="false">SUM(S1578:X1578)</f>
        <v>1</v>
      </c>
      <c r="AB1578" s="11" t="n">
        <f aca="false">(AA1578/(K1578*L1578)*25)*4</f>
        <v>4</v>
      </c>
    </row>
    <row r="1579" customFormat="false" ht="14.25" hidden="false" customHeight="false" outlineLevel="0" collapsed="false">
      <c r="A1579" s="1" t="n">
        <v>2014</v>
      </c>
      <c r="B1579" s="7" t="s">
        <v>322</v>
      </c>
      <c r="C1579" s="7" t="n">
        <v>2</v>
      </c>
      <c r="D1579" s="7" t="s">
        <v>293</v>
      </c>
      <c r="E1579" s="7" t="s">
        <v>293</v>
      </c>
      <c r="F1579" s="3" t="s">
        <v>110</v>
      </c>
      <c r="G1579" s="3" t="n">
        <v>3</v>
      </c>
      <c r="H1579" s="3" t="n">
        <v>11</v>
      </c>
      <c r="I1579" s="22" t="n">
        <v>41794</v>
      </c>
      <c r="J1579" s="22" t="n">
        <v>41799</v>
      </c>
      <c r="K1579" s="43" t="n">
        <f aca="false">J1579-I1579</f>
        <v>5</v>
      </c>
      <c r="L1579" s="1" t="n">
        <v>5</v>
      </c>
      <c r="M1579" s="3" t="s">
        <v>72</v>
      </c>
      <c r="N1579" s="3" t="s">
        <v>86</v>
      </c>
      <c r="O1579" s="3" t="s">
        <v>87</v>
      </c>
      <c r="P1579" s="2" t="str">
        <f aca="false">CONCATENATE(N1579," ",O1579)</f>
        <v>Haplodrassus soerenseni</v>
      </c>
      <c r="Q1579" s="1" t="s">
        <v>30</v>
      </c>
      <c r="R1579" s="1" t="s">
        <v>31</v>
      </c>
      <c r="S1579" s="3" t="n">
        <v>1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f aca="false">SUM(S1579:T1579)</f>
        <v>1</v>
      </c>
      <c r="Z1579" s="3" t="n">
        <f aca="false">SUM(U1579:W1579)</f>
        <v>0</v>
      </c>
      <c r="AA1579" s="3" t="n">
        <f aca="false">SUM(S1579:X1579)</f>
        <v>1</v>
      </c>
      <c r="AB1579" s="11" t="n">
        <f aca="false">(AA1579/(K1579*L1579)*25)*4</f>
        <v>4</v>
      </c>
    </row>
    <row r="1580" customFormat="false" ht="14.25" hidden="false" customHeight="false" outlineLevel="0" collapsed="false">
      <c r="A1580" s="1" t="n">
        <v>2014</v>
      </c>
      <c r="B1580" s="7" t="s">
        <v>322</v>
      </c>
      <c r="C1580" s="7" t="n">
        <v>2</v>
      </c>
      <c r="D1580" s="7" t="s">
        <v>293</v>
      </c>
      <c r="E1580" s="7" t="s">
        <v>293</v>
      </c>
      <c r="F1580" s="3" t="s">
        <v>110</v>
      </c>
      <c r="G1580" s="3" t="n">
        <v>3</v>
      </c>
      <c r="H1580" s="3" t="n">
        <v>11</v>
      </c>
      <c r="I1580" s="22" t="n">
        <v>41794</v>
      </c>
      <c r="J1580" s="22" t="n">
        <v>41799</v>
      </c>
      <c r="K1580" s="43" t="n">
        <f aca="false">J1580-I1580</f>
        <v>5</v>
      </c>
      <c r="L1580" s="1" t="n">
        <v>5</v>
      </c>
      <c r="M1580" s="3" t="s">
        <v>72</v>
      </c>
      <c r="N1580" s="3" t="s">
        <v>86</v>
      </c>
      <c r="O1580" s="3" t="s">
        <v>87</v>
      </c>
      <c r="P1580" s="2" t="str">
        <f aca="false">CONCATENATE(N1580," ",O1580)</f>
        <v>Haplodrassus soerenseni</v>
      </c>
      <c r="Q1580" s="1" t="s">
        <v>30</v>
      </c>
      <c r="R1580" s="1" t="s">
        <v>35</v>
      </c>
      <c r="S1580" s="3" t="n">
        <v>0</v>
      </c>
      <c r="T1580" s="3" t="n">
        <v>1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f aca="false">SUM(S1580:T1580)</f>
        <v>1</v>
      </c>
      <c r="Z1580" s="3" t="n">
        <f aca="false">SUM(U1580:W1580)</f>
        <v>0</v>
      </c>
      <c r="AA1580" s="3" t="n">
        <f aca="false">SUM(S1580:X1580)</f>
        <v>1</v>
      </c>
      <c r="AB1580" s="11" t="n">
        <f aca="false">(AA1580/(K1580*L1580)*25)*4</f>
        <v>4</v>
      </c>
    </row>
    <row r="1581" customFormat="false" ht="14.25" hidden="false" customHeight="false" outlineLevel="0" collapsed="false">
      <c r="A1581" s="1" t="n">
        <v>2014</v>
      </c>
      <c r="B1581" s="7" t="s">
        <v>322</v>
      </c>
      <c r="C1581" s="7" t="n">
        <v>2</v>
      </c>
      <c r="D1581" s="7" t="s">
        <v>293</v>
      </c>
      <c r="E1581" s="7" t="s">
        <v>293</v>
      </c>
      <c r="F1581" s="3" t="s">
        <v>110</v>
      </c>
      <c r="G1581" s="3" t="n">
        <v>3</v>
      </c>
      <c r="H1581" s="3" t="n">
        <v>11</v>
      </c>
      <c r="I1581" s="22" t="n">
        <v>41794</v>
      </c>
      <c r="J1581" s="22" t="n">
        <v>41799</v>
      </c>
      <c r="K1581" s="43" t="n">
        <f aca="false">J1581-I1581</f>
        <v>5</v>
      </c>
      <c r="L1581" s="1" t="n">
        <v>5</v>
      </c>
      <c r="M1581" s="3" t="s">
        <v>27</v>
      </c>
      <c r="N1581" s="3" t="s">
        <v>28</v>
      </c>
      <c r="O1581" s="3" t="s">
        <v>29</v>
      </c>
      <c r="P1581" s="2" t="str">
        <f aca="false">CONCATENATE(N1581," ",O1581)</f>
        <v>Robertus lividus</v>
      </c>
      <c r="Q1581" s="1" t="s">
        <v>30</v>
      </c>
      <c r="R1581" s="1" t="s">
        <v>35</v>
      </c>
      <c r="S1581" s="3" t="n">
        <v>0</v>
      </c>
      <c r="T1581" s="3" t="n">
        <v>1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f aca="false">SUM(S1581:T1581)</f>
        <v>1</v>
      </c>
      <c r="Z1581" s="3" t="n">
        <f aca="false">SUM(U1581:W1581)</f>
        <v>0</v>
      </c>
      <c r="AA1581" s="3" t="n">
        <f aca="false">SUM(S1581:X1581)</f>
        <v>1</v>
      </c>
      <c r="AB1581" s="11" t="n">
        <f aca="false">(AA1581/(K1581*L1581)*25)*4</f>
        <v>4</v>
      </c>
    </row>
    <row r="1582" customFormat="false" ht="14.25" hidden="false" customHeight="false" outlineLevel="0" collapsed="false">
      <c r="A1582" s="1" t="n">
        <v>2014</v>
      </c>
      <c r="B1582" s="7" t="s">
        <v>322</v>
      </c>
      <c r="C1582" s="7" t="n">
        <v>2</v>
      </c>
      <c r="D1582" s="7" t="s">
        <v>293</v>
      </c>
      <c r="E1582" s="7" t="s">
        <v>293</v>
      </c>
      <c r="F1582" s="3" t="s">
        <v>110</v>
      </c>
      <c r="G1582" s="3" t="n">
        <v>3</v>
      </c>
      <c r="H1582" s="3" t="n">
        <v>11</v>
      </c>
      <c r="I1582" s="22" t="n">
        <v>41794</v>
      </c>
      <c r="J1582" s="22" t="n">
        <v>41799</v>
      </c>
      <c r="K1582" s="43" t="n">
        <f aca="false">J1582-I1582</f>
        <v>5</v>
      </c>
      <c r="L1582" s="1" t="n">
        <v>5</v>
      </c>
      <c r="M1582" s="3" t="s">
        <v>32</v>
      </c>
      <c r="N1582" s="3" t="s">
        <v>113</v>
      </c>
      <c r="O1582" s="3" t="s">
        <v>238</v>
      </c>
      <c r="P1582" s="2" t="str">
        <f aca="false">CONCATENATE(N1582," ",O1582)</f>
        <v>Ceratinella brevis</v>
      </c>
      <c r="Q1582" s="1" t="s">
        <v>30</v>
      </c>
      <c r="R1582" s="1" t="s">
        <v>31</v>
      </c>
      <c r="S1582" s="3" t="n">
        <v>1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f aca="false">SUM(S1582:T1582)</f>
        <v>1</v>
      </c>
      <c r="Z1582" s="3" t="n">
        <f aca="false">SUM(U1582:W1582)</f>
        <v>0</v>
      </c>
      <c r="AA1582" s="3" t="n">
        <f aca="false">SUM(S1582:X1582)</f>
        <v>1</v>
      </c>
      <c r="AB1582" s="11" t="n">
        <f aca="false">(AA1582/(K1582*L1582)*25)*4</f>
        <v>4</v>
      </c>
    </row>
    <row r="1583" customFormat="false" ht="14.25" hidden="false" customHeight="false" outlineLevel="0" collapsed="false">
      <c r="A1583" s="1" t="n">
        <v>2014</v>
      </c>
      <c r="B1583" s="7" t="s">
        <v>322</v>
      </c>
      <c r="C1583" s="7" t="n">
        <v>2</v>
      </c>
      <c r="D1583" s="7" t="s">
        <v>293</v>
      </c>
      <c r="E1583" s="7" t="s">
        <v>293</v>
      </c>
      <c r="F1583" s="3" t="s">
        <v>110</v>
      </c>
      <c r="G1583" s="3" t="n">
        <v>3</v>
      </c>
      <c r="H1583" s="3" t="n">
        <v>11</v>
      </c>
      <c r="I1583" s="22" t="n">
        <v>41794</v>
      </c>
      <c r="J1583" s="22" t="n">
        <v>41799</v>
      </c>
      <c r="K1583" s="43" t="n">
        <f aca="false">J1583-I1583</f>
        <v>5</v>
      </c>
      <c r="L1583" s="1" t="n">
        <v>5</v>
      </c>
      <c r="M1583" s="3" t="s">
        <v>32</v>
      </c>
      <c r="N1583" s="3" t="s">
        <v>169</v>
      </c>
      <c r="O1583" s="3" t="s">
        <v>170</v>
      </c>
      <c r="P1583" s="2" t="str">
        <f aca="false">CONCATENATE(N1583," ",O1583)</f>
        <v>Abacoproeces saltuum</v>
      </c>
      <c r="Q1583" s="1" t="s">
        <v>30</v>
      </c>
      <c r="R1583" s="1" t="s">
        <v>35</v>
      </c>
      <c r="S1583" s="3" t="n">
        <v>0</v>
      </c>
      <c r="T1583" s="3" t="n">
        <v>1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f aca="false">SUM(S1583:T1583)</f>
        <v>1</v>
      </c>
      <c r="Z1583" s="3" t="n">
        <f aca="false">SUM(U1583:W1583)</f>
        <v>0</v>
      </c>
      <c r="AA1583" s="3" t="n">
        <f aca="false">SUM(S1583:X1583)</f>
        <v>1</v>
      </c>
      <c r="AB1583" s="11" t="n">
        <f aca="false">(AA1583/(K1583*L1583)*25)*4</f>
        <v>4</v>
      </c>
    </row>
    <row r="1584" customFormat="false" ht="14.25" hidden="false" customHeight="false" outlineLevel="0" collapsed="false">
      <c r="A1584" s="1" t="n">
        <v>2014</v>
      </c>
      <c r="B1584" s="7" t="s">
        <v>322</v>
      </c>
      <c r="C1584" s="7" t="n">
        <v>2</v>
      </c>
      <c r="D1584" s="7" t="s">
        <v>293</v>
      </c>
      <c r="E1584" s="7" t="s">
        <v>293</v>
      </c>
      <c r="F1584" s="3" t="s">
        <v>110</v>
      </c>
      <c r="G1584" s="3" t="n">
        <v>3</v>
      </c>
      <c r="H1584" s="3" t="n">
        <v>11</v>
      </c>
      <c r="I1584" s="22" t="n">
        <v>41794</v>
      </c>
      <c r="J1584" s="22" t="n">
        <v>41799</v>
      </c>
      <c r="K1584" s="43" t="n">
        <f aca="false">J1584-I1584</f>
        <v>5</v>
      </c>
      <c r="L1584" s="1" t="n">
        <v>5</v>
      </c>
      <c r="M1584" s="3" t="s">
        <v>32</v>
      </c>
      <c r="N1584" s="3" t="s">
        <v>169</v>
      </c>
      <c r="O1584" s="3" t="s">
        <v>170</v>
      </c>
      <c r="P1584" s="2" t="str">
        <f aca="false">CONCATENATE(N1584," ",O1584)</f>
        <v>Abacoproeces saltuum</v>
      </c>
      <c r="Q1584" s="1" t="s">
        <v>30</v>
      </c>
      <c r="R1584" s="1" t="s">
        <v>31</v>
      </c>
      <c r="S1584" s="3" t="n">
        <v>1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f aca="false">SUM(S1584:T1584)</f>
        <v>1</v>
      </c>
      <c r="Z1584" s="3" t="n">
        <f aca="false">SUM(U1584:W1584)</f>
        <v>0</v>
      </c>
      <c r="AA1584" s="3" t="n">
        <f aca="false">SUM(S1584:X1584)</f>
        <v>1</v>
      </c>
      <c r="AB1584" s="11" t="n">
        <f aca="false">(AA1584/(K1584*L1584)*25)*4</f>
        <v>4</v>
      </c>
    </row>
    <row r="1585" customFormat="false" ht="14.25" hidden="false" customHeight="false" outlineLevel="0" collapsed="false">
      <c r="A1585" s="1" t="n">
        <v>2014</v>
      </c>
      <c r="B1585" s="7" t="s">
        <v>322</v>
      </c>
      <c r="C1585" s="7" t="n">
        <v>2</v>
      </c>
      <c r="D1585" s="7" t="s">
        <v>293</v>
      </c>
      <c r="E1585" s="7" t="s">
        <v>293</v>
      </c>
      <c r="F1585" s="3" t="s">
        <v>110</v>
      </c>
      <c r="G1585" s="3" t="n">
        <v>3</v>
      </c>
      <c r="H1585" s="3" t="n">
        <v>14</v>
      </c>
      <c r="I1585" s="22" t="n">
        <v>41794</v>
      </c>
      <c r="J1585" s="22" t="n">
        <v>41799</v>
      </c>
      <c r="K1585" s="43" t="n">
        <f aca="false">J1585-I1585</f>
        <v>5</v>
      </c>
      <c r="L1585" s="1" t="n">
        <v>5</v>
      </c>
      <c r="M1585" s="3" t="s">
        <v>72</v>
      </c>
      <c r="N1585" s="3" t="s">
        <v>73</v>
      </c>
      <c r="O1585" s="3" t="s">
        <v>74</v>
      </c>
      <c r="P1585" s="2" t="str">
        <f aca="false">CONCATENATE(N1585," ",O1585)</f>
        <v>Zelotes subterraneus</v>
      </c>
      <c r="Q1585" s="1" t="s">
        <v>30</v>
      </c>
      <c r="R1585" s="1" t="s">
        <v>31</v>
      </c>
      <c r="S1585" s="3" t="n">
        <v>1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f aca="false">SUM(S1585:T1585)</f>
        <v>1</v>
      </c>
      <c r="Z1585" s="3" t="n">
        <f aca="false">SUM(U1585:W1585)</f>
        <v>0</v>
      </c>
      <c r="AA1585" s="3" t="n">
        <f aca="false">SUM(S1585:X1585)</f>
        <v>1</v>
      </c>
      <c r="AB1585" s="11" t="n">
        <f aca="false">(AA1585/(K1585*L1585)*25)*4</f>
        <v>4</v>
      </c>
    </row>
    <row r="1586" customFormat="false" ht="14.25" hidden="false" customHeight="false" outlineLevel="0" collapsed="false">
      <c r="A1586" s="1" t="n">
        <v>2014</v>
      </c>
      <c r="B1586" s="7" t="s">
        <v>322</v>
      </c>
      <c r="C1586" s="7" t="n">
        <v>2</v>
      </c>
      <c r="D1586" s="7" t="s">
        <v>293</v>
      </c>
      <c r="E1586" s="7" t="s">
        <v>293</v>
      </c>
      <c r="F1586" s="3" t="s">
        <v>110</v>
      </c>
      <c r="G1586" s="3" t="n">
        <v>3</v>
      </c>
      <c r="H1586" s="3" t="n">
        <v>14</v>
      </c>
      <c r="I1586" s="22" t="n">
        <v>41794</v>
      </c>
      <c r="J1586" s="22" t="n">
        <v>41799</v>
      </c>
      <c r="K1586" s="43" t="n">
        <f aca="false">J1586-I1586</f>
        <v>5</v>
      </c>
      <c r="L1586" s="1" t="n">
        <v>5</v>
      </c>
      <c r="M1586" s="3" t="s">
        <v>72</v>
      </c>
      <c r="N1586" s="3" t="s">
        <v>86</v>
      </c>
      <c r="O1586" s="3" t="s">
        <v>134</v>
      </c>
      <c r="P1586" s="2" t="str">
        <f aca="false">CONCATENATE(N1586," ",O1586)</f>
        <v>Haplodrassus umbratilis</v>
      </c>
      <c r="Q1586" s="1" t="s">
        <v>30</v>
      </c>
      <c r="R1586" s="1" t="s">
        <v>31</v>
      </c>
      <c r="S1586" s="3" t="n">
        <v>1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f aca="false">SUM(S1586:T1586)</f>
        <v>1</v>
      </c>
      <c r="Z1586" s="3" t="n">
        <f aca="false">SUM(U1586:W1586)</f>
        <v>0</v>
      </c>
      <c r="AA1586" s="3" t="n">
        <f aca="false">SUM(S1586:X1586)</f>
        <v>1</v>
      </c>
      <c r="AB1586" s="11" t="n">
        <f aca="false">(AA1586/(K1586*L1586)*25)*4</f>
        <v>4</v>
      </c>
    </row>
    <row r="1587" customFormat="false" ht="14.25" hidden="false" customHeight="false" outlineLevel="0" collapsed="false">
      <c r="A1587" s="1" t="n">
        <v>2014</v>
      </c>
      <c r="B1587" s="7" t="s">
        <v>322</v>
      </c>
      <c r="C1587" s="7" t="n">
        <v>2</v>
      </c>
      <c r="D1587" s="7" t="s">
        <v>293</v>
      </c>
      <c r="E1587" s="7" t="s">
        <v>293</v>
      </c>
      <c r="F1587" s="3" t="s">
        <v>110</v>
      </c>
      <c r="G1587" s="3" t="n">
        <v>3</v>
      </c>
      <c r="H1587" s="3" t="n">
        <v>14</v>
      </c>
      <c r="I1587" s="22" t="n">
        <v>41794</v>
      </c>
      <c r="J1587" s="22" t="n">
        <v>41799</v>
      </c>
      <c r="K1587" s="43" t="n">
        <f aca="false">J1587-I1587</f>
        <v>5</v>
      </c>
      <c r="L1587" s="1" t="n">
        <v>5</v>
      </c>
      <c r="M1587" s="3" t="s">
        <v>36</v>
      </c>
      <c r="N1587" s="3" t="s">
        <v>131</v>
      </c>
      <c r="O1587" s="3" t="s">
        <v>133</v>
      </c>
      <c r="P1587" s="2" t="str">
        <f aca="false">CONCATENATE(N1587," ",O1587)</f>
        <v>Xysticus luctuosus</v>
      </c>
      <c r="Q1587" s="1" t="s">
        <v>30</v>
      </c>
      <c r="R1587" s="1" t="s">
        <v>31</v>
      </c>
      <c r="S1587" s="3" t="n">
        <v>1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f aca="false">SUM(S1587:T1587)</f>
        <v>1</v>
      </c>
      <c r="Z1587" s="3" t="n">
        <f aca="false">SUM(U1587:W1587)</f>
        <v>0</v>
      </c>
      <c r="AA1587" s="3" t="n">
        <f aca="false">SUM(S1587:X1587)</f>
        <v>1</v>
      </c>
      <c r="AB1587" s="11" t="n">
        <f aca="false">(AA1587/(K1587*L1587)*25)*4</f>
        <v>4</v>
      </c>
    </row>
    <row r="1588" customFormat="false" ht="14.25" hidden="false" customHeight="false" outlineLevel="0" collapsed="false">
      <c r="A1588" s="1" t="n">
        <v>2014</v>
      </c>
      <c r="B1588" s="7" t="s">
        <v>322</v>
      </c>
      <c r="C1588" s="7" t="n">
        <v>2</v>
      </c>
      <c r="D1588" s="7" t="s">
        <v>293</v>
      </c>
      <c r="E1588" s="7" t="s">
        <v>293</v>
      </c>
      <c r="F1588" s="3" t="s">
        <v>110</v>
      </c>
      <c r="G1588" s="3" t="n">
        <v>3</v>
      </c>
      <c r="H1588" s="3" t="n">
        <v>14</v>
      </c>
      <c r="I1588" s="22" t="n">
        <v>41794</v>
      </c>
      <c r="J1588" s="22" t="n">
        <v>41799</v>
      </c>
      <c r="K1588" s="43" t="n">
        <f aca="false">J1588-I1588</f>
        <v>5</v>
      </c>
      <c r="L1588" s="1" t="n">
        <v>5</v>
      </c>
      <c r="M1588" s="3" t="s">
        <v>48</v>
      </c>
      <c r="N1588" s="3" t="s">
        <v>67</v>
      </c>
      <c r="O1588" s="3" t="s">
        <v>127</v>
      </c>
      <c r="P1588" s="2" t="str">
        <f aca="false">CONCATENATE(N1588," ",O1588)</f>
        <v>Pardosa lugubris</v>
      </c>
      <c r="Q1588" s="1" t="s">
        <v>30</v>
      </c>
      <c r="R1588" s="1" t="s">
        <v>31</v>
      </c>
      <c r="S1588" s="3" t="n">
        <v>2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f aca="false">SUM(S1588:T1588)</f>
        <v>2</v>
      </c>
      <c r="Z1588" s="3" t="n">
        <f aca="false">SUM(U1588:W1588)</f>
        <v>0</v>
      </c>
      <c r="AA1588" s="3" t="n">
        <f aca="false">SUM(S1588:X1588)</f>
        <v>2</v>
      </c>
      <c r="AB1588" s="11" t="n">
        <f aca="false">(AA1588/(K1588*L1588)*25)*4</f>
        <v>8</v>
      </c>
    </row>
    <row r="1589" customFormat="false" ht="14.25" hidden="false" customHeight="false" outlineLevel="0" collapsed="false">
      <c r="A1589" s="1" t="n">
        <v>2014</v>
      </c>
      <c r="B1589" s="7" t="s">
        <v>322</v>
      </c>
      <c r="C1589" s="7" t="n">
        <v>2</v>
      </c>
      <c r="D1589" s="7" t="s">
        <v>293</v>
      </c>
      <c r="E1589" s="7" t="s">
        <v>293</v>
      </c>
      <c r="F1589" s="3" t="s">
        <v>110</v>
      </c>
      <c r="G1589" s="3" t="n">
        <v>3</v>
      </c>
      <c r="H1589" s="3" t="n">
        <v>14</v>
      </c>
      <c r="I1589" s="22" t="n">
        <v>41794</v>
      </c>
      <c r="J1589" s="22" t="n">
        <v>41799</v>
      </c>
      <c r="K1589" s="43" t="n">
        <f aca="false">J1589-I1589</f>
        <v>5</v>
      </c>
      <c r="L1589" s="1" t="n">
        <v>5</v>
      </c>
      <c r="M1589" s="3" t="s">
        <v>226</v>
      </c>
      <c r="N1589" s="3" t="s">
        <v>65</v>
      </c>
      <c r="O1589" s="3" t="s">
        <v>335</v>
      </c>
      <c r="P1589" s="2" t="str">
        <f aca="false">CONCATENATE(N1589," ",O1589)</f>
        <v>Zora spinimana</v>
      </c>
      <c r="Q1589" s="1" t="s">
        <v>30</v>
      </c>
      <c r="R1589" s="1" t="s">
        <v>31</v>
      </c>
      <c r="S1589" s="3" t="n">
        <v>1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f aca="false">SUM(S1589:T1589)</f>
        <v>1</v>
      </c>
      <c r="Z1589" s="3" t="n">
        <f aca="false">SUM(U1589:W1589)</f>
        <v>0</v>
      </c>
      <c r="AA1589" s="3" t="n">
        <f aca="false">SUM(S1589:X1589)</f>
        <v>1</v>
      </c>
      <c r="AB1589" s="11" t="n">
        <f aca="false">(AA1589/(K1589*L1589)*25)*4</f>
        <v>4</v>
      </c>
    </row>
    <row r="1590" customFormat="false" ht="14.25" hidden="false" customHeight="false" outlineLevel="0" collapsed="false">
      <c r="A1590" s="1" t="n">
        <v>2014</v>
      </c>
      <c r="B1590" s="7" t="s">
        <v>322</v>
      </c>
      <c r="C1590" s="7" t="n">
        <v>2</v>
      </c>
      <c r="D1590" s="7" t="s">
        <v>293</v>
      </c>
      <c r="E1590" s="7" t="s">
        <v>293</v>
      </c>
      <c r="F1590" s="3" t="s">
        <v>110</v>
      </c>
      <c r="G1590" s="3" t="n">
        <v>3</v>
      </c>
      <c r="H1590" s="3" t="n">
        <v>14</v>
      </c>
      <c r="I1590" s="22" t="n">
        <v>41794</v>
      </c>
      <c r="J1590" s="22" t="n">
        <v>41799</v>
      </c>
      <c r="K1590" s="43" t="n">
        <f aca="false">J1590-I1590</f>
        <v>5</v>
      </c>
      <c r="L1590" s="1" t="n">
        <v>5</v>
      </c>
      <c r="M1590" s="3" t="s">
        <v>32</v>
      </c>
      <c r="N1590" s="3" t="s">
        <v>90</v>
      </c>
      <c r="O1590" s="3" t="s">
        <v>91</v>
      </c>
      <c r="P1590" s="2" t="str">
        <f aca="false">CONCATENATE(N1590," ",O1590)</f>
        <v>Tapinocyba insecta</v>
      </c>
      <c r="Q1590" s="1" t="s">
        <v>30</v>
      </c>
      <c r="R1590" s="1" t="s">
        <v>31</v>
      </c>
      <c r="S1590" s="3" t="n">
        <v>1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f aca="false">SUM(S1590:T1590)</f>
        <v>1</v>
      </c>
      <c r="Z1590" s="3" t="n">
        <f aca="false">SUM(U1590:W1590)</f>
        <v>0</v>
      </c>
      <c r="AA1590" s="3" t="n">
        <f aca="false">SUM(S1590:X1590)</f>
        <v>1</v>
      </c>
      <c r="AB1590" s="11" t="n">
        <f aca="false">(AA1590/(K1590*L1590)*25)*4</f>
        <v>4</v>
      </c>
    </row>
    <row r="1591" customFormat="false" ht="14.25" hidden="false" customHeight="false" outlineLevel="0" collapsed="false">
      <c r="A1591" s="1" t="n">
        <v>2014</v>
      </c>
      <c r="B1591" s="7" t="s">
        <v>322</v>
      </c>
      <c r="C1591" s="7" t="n">
        <v>2</v>
      </c>
      <c r="D1591" s="7" t="s">
        <v>293</v>
      </c>
      <c r="E1591" s="7" t="s">
        <v>293</v>
      </c>
      <c r="F1591" s="3" t="s">
        <v>110</v>
      </c>
      <c r="G1591" s="3" t="n">
        <v>3</v>
      </c>
      <c r="H1591" s="3" t="n">
        <v>13</v>
      </c>
      <c r="I1591" s="22" t="n">
        <v>41794</v>
      </c>
      <c r="J1591" s="22" t="n">
        <v>41799</v>
      </c>
      <c r="K1591" s="43" t="n">
        <f aca="false">J1591-I1591</f>
        <v>5</v>
      </c>
      <c r="L1591" s="1" t="n">
        <v>5</v>
      </c>
      <c r="M1591" s="3" t="s">
        <v>32</v>
      </c>
      <c r="N1591" s="3" t="s">
        <v>169</v>
      </c>
      <c r="O1591" s="3" t="s">
        <v>170</v>
      </c>
      <c r="P1591" s="2" t="str">
        <f aca="false">CONCATENATE(N1591," ",O1591)</f>
        <v>Abacoproeces saltuum</v>
      </c>
      <c r="Q1591" s="1" t="s">
        <v>30</v>
      </c>
      <c r="R1591" s="1" t="s">
        <v>31</v>
      </c>
      <c r="S1591" s="3" t="n">
        <v>2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f aca="false">SUM(S1591:T1591)</f>
        <v>2</v>
      </c>
      <c r="Z1591" s="3" t="n">
        <f aca="false">SUM(U1591:W1591)</f>
        <v>0</v>
      </c>
      <c r="AA1591" s="3" t="n">
        <f aca="false">SUM(S1591:X1591)</f>
        <v>2</v>
      </c>
      <c r="AB1591" s="11" t="n">
        <f aca="false">(AA1591/(K1591*L1591)*25)*4</f>
        <v>8</v>
      </c>
    </row>
    <row r="1592" customFormat="false" ht="14.25" hidden="false" customHeight="false" outlineLevel="0" collapsed="false">
      <c r="A1592" s="1" t="n">
        <v>2014</v>
      </c>
      <c r="B1592" s="7" t="s">
        <v>322</v>
      </c>
      <c r="C1592" s="7" t="n">
        <v>2</v>
      </c>
      <c r="D1592" s="7" t="s">
        <v>293</v>
      </c>
      <c r="E1592" s="7" t="s">
        <v>293</v>
      </c>
      <c r="F1592" s="3" t="s">
        <v>110</v>
      </c>
      <c r="G1592" s="3" t="n">
        <v>3</v>
      </c>
      <c r="H1592" s="3" t="n">
        <v>13</v>
      </c>
      <c r="I1592" s="22" t="n">
        <v>41794</v>
      </c>
      <c r="J1592" s="22" t="n">
        <v>41799</v>
      </c>
      <c r="K1592" s="43" t="n">
        <f aca="false">J1592-I1592</f>
        <v>5</v>
      </c>
      <c r="L1592" s="1" t="n">
        <v>5</v>
      </c>
      <c r="M1592" s="3" t="s">
        <v>36</v>
      </c>
      <c r="N1592" s="3" t="s">
        <v>131</v>
      </c>
      <c r="O1592" s="3" t="s">
        <v>133</v>
      </c>
      <c r="P1592" s="2" t="str">
        <f aca="false">CONCATENATE(N1592," ",O1592)</f>
        <v>Xysticus luctuosus</v>
      </c>
      <c r="Q1592" s="1" t="s">
        <v>30</v>
      </c>
      <c r="R1592" s="1" t="s">
        <v>31</v>
      </c>
      <c r="S1592" s="3" t="n">
        <v>1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f aca="false">SUM(S1592:T1592)</f>
        <v>1</v>
      </c>
      <c r="Z1592" s="3" t="n">
        <f aca="false">SUM(U1592:W1592)</f>
        <v>0</v>
      </c>
      <c r="AA1592" s="3" t="n">
        <f aca="false">SUM(S1592:X1592)</f>
        <v>1</v>
      </c>
      <c r="AB1592" s="11" t="n">
        <f aca="false">(AA1592/(K1592*L1592)*25)*4</f>
        <v>4</v>
      </c>
    </row>
    <row r="1593" customFormat="false" ht="14.25" hidden="false" customHeight="false" outlineLevel="0" collapsed="false">
      <c r="A1593" s="1" t="n">
        <v>2014</v>
      </c>
      <c r="B1593" s="7" t="s">
        <v>322</v>
      </c>
      <c r="C1593" s="7" t="n">
        <v>2</v>
      </c>
      <c r="D1593" s="7" t="s">
        <v>293</v>
      </c>
      <c r="E1593" s="7" t="s">
        <v>293</v>
      </c>
      <c r="F1593" s="3" t="s">
        <v>110</v>
      </c>
      <c r="G1593" s="3" t="n">
        <v>3</v>
      </c>
      <c r="H1593" s="3" t="n">
        <v>13</v>
      </c>
      <c r="I1593" s="22" t="n">
        <v>41794</v>
      </c>
      <c r="J1593" s="22" t="n">
        <v>41799</v>
      </c>
      <c r="K1593" s="43" t="n">
        <f aca="false">J1593-I1593</f>
        <v>5</v>
      </c>
      <c r="L1593" s="1" t="n">
        <v>5</v>
      </c>
      <c r="M1593" s="3" t="s">
        <v>226</v>
      </c>
      <c r="N1593" s="3" t="s">
        <v>65</v>
      </c>
      <c r="O1593" s="3" t="s">
        <v>335</v>
      </c>
      <c r="P1593" s="2" t="str">
        <f aca="false">CONCATENATE(N1593," ",O1593)</f>
        <v>Zora spinimana</v>
      </c>
      <c r="Q1593" s="1" t="s">
        <v>30</v>
      </c>
      <c r="R1593" s="1" t="s">
        <v>31</v>
      </c>
      <c r="S1593" s="3" t="n">
        <v>1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f aca="false">SUM(S1593:T1593)</f>
        <v>1</v>
      </c>
      <c r="Z1593" s="3" t="n">
        <f aca="false">SUM(U1593:W1593)</f>
        <v>0</v>
      </c>
      <c r="AA1593" s="3" t="n">
        <f aca="false">SUM(S1593:X1593)</f>
        <v>1</v>
      </c>
      <c r="AB1593" s="11" t="n">
        <f aca="false">(AA1593/(K1593*L1593)*25)*4</f>
        <v>4</v>
      </c>
    </row>
    <row r="1594" customFormat="false" ht="14.25" hidden="false" customHeight="false" outlineLevel="0" collapsed="false">
      <c r="A1594" s="1" t="n">
        <v>2014</v>
      </c>
      <c r="B1594" s="7" t="s">
        <v>322</v>
      </c>
      <c r="C1594" s="7" t="n">
        <v>2</v>
      </c>
      <c r="D1594" s="7" t="s">
        <v>293</v>
      </c>
      <c r="E1594" s="7" t="s">
        <v>293</v>
      </c>
      <c r="F1594" s="3" t="s">
        <v>110</v>
      </c>
      <c r="G1594" s="3" t="n">
        <v>3</v>
      </c>
      <c r="H1594" s="3" t="n">
        <v>15</v>
      </c>
      <c r="I1594" s="22" t="n">
        <v>41794</v>
      </c>
      <c r="J1594" s="22" t="n">
        <v>41799</v>
      </c>
      <c r="K1594" s="43" t="n">
        <f aca="false">J1594-I1594</f>
        <v>5</v>
      </c>
      <c r="L1594" s="1" t="n">
        <v>5</v>
      </c>
      <c r="M1594" s="3" t="s">
        <v>48</v>
      </c>
      <c r="N1594" s="3" t="s">
        <v>49</v>
      </c>
      <c r="O1594" s="3" t="s">
        <v>130</v>
      </c>
      <c r="P1594" s="2" t="str">
        <f aca="false">CONCATENATE(N1594," ",O1594)</f>
        <v>Alopecosa aculeata</v>
      </c>
      <c r="Q1594" s="1" t="s">
        <v>30</v>
      </c>
      <c r="R1594" s="1" t="s">
        <v>35</v>
      </c>
      <c r="S1594" s="3" t="n">
        <v>0</v>
      </c>
      <c r="T1594" s="3" t="n">
        <v>1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f aca="false">SUM(S1594:T1594)</f>
        <v>1</v>
      </c>
      <c r="Z1594" s="3" t="n">
        <f aca="false">SUM(U1594:W1594)</f>
        <v>0</v>
      </c>
      <c r="AA1594" s="3" t="n">
        <f aca="false">SUM(S1594:X1594)</f>
        <v>1</v>
      </c>
      <c r="AB1594" s="11" t="n">
        <f aca="false">(AA1594/(K1594*L1594)*25)*4</f>
        <v>4</v>
      </c>
    </row>
    <row r="1595" customFormat="false" ht="14.25" hidden="false" customHeight="false" outlineLevel="0" collapsed="false">
      <c r="A1595" s="1" t="n">
        <v>2014</v>
      </c>
      <c r="B1595" s="7" t="s">
        <v>322</v>
      </c>
      <c r="C1595" s="7" t="n">
        <v>2</v>
      </c>
      <c r="D1595" s="7" t="s">
        <v>293</v>
      </c>
      <c r="E1595" s="7" t="s">
        <v>293</v>
      </c>
      <c r="F1595" s="3" t="s">
        <v>110</v>
      </c>
      <c r="G1595" s="3" t="n">
        <v>3</v>
      </c>
      <c r="H1595" s="3" t="n">
        <v>15</v>
      </c>
      <c r="I1595" s="22" t="n">
        <v>41794</v>
      </c>
      <c r="J1595" s="22" t="n">
        <v>41799</v>
      </c>
      <c r="K1595" s="43" t="n">
        <f aca="false">J1595-I1595</f>
        <v>5</v>
      </c>
      <c r="L1595" s="1" t="n">
        <v>5</v>
      </c>
      <c r="M1595" s="3" t="s">
        <v>48</v>
      </c>
      <c r="N1595" s="3" t="s">
        <v>49</v>
      </c>
      <c r="O1595" s="3" t="s">
        <v>104</v>
      </c>
      <c r="P1595" s="2" t="str">
        <f aca="false">CONCATENATE(N1595," ",O1595)</f>
        <v>Alopecosa taeniata</v>
      </c>
      <c r="Q1595" s="1" t="s">
        <v>30</v>
      </c>
      <c r="R1595" s="1" t="s">
        <v>31</v>
      </c>
      <c r="S1595" s="3" t="n">
        <v>1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f aca="false">SUM(S1595:T1595)</f>
        <v>1</v>
      </c>
      <c r="Z1595" s="3" t="n">
        <f aca="false">SUM(U1595:W1595)</f>
        <v>0</v>
      </c>
      <c r="AA1595" s="3" t="n">
        <f aca="false">SUM(S1595:X1595)</f>
        <v>1</v>
      </c>
      <c r="AB1595" s="11" t="n">
        <f aca="false">(AA1595/(K1595*L1595)*25)*4</f>
        <v>4</v>
      </c>
    </row>
    <row r="1596" customFormat="false" ht="14.25" hidden="false" customHeight="false" outlineLevel="0" collapsed="false">
      <c r="A1596" s="1" t="n">
        <v>2014</v>
      </c>
      <c r="B1596" s="7" t="s">
        <v>322</v>
      </c>
      <c r="C1596" s="7" t="n">
        <v>2</v>
      </c>
      <c r="D1596" s="7" t="s">
        <v>293</v>
      </c>
      <c r="E1596" s="7" t="s">
        <v>293</v>
      </c>
      <c r="F1596" s="3" t="s">
        <v>110</v>
      </c>
      <c r="G1596" s="3" t="n">
        <v>3</v>
      </c>
      <c r="H1596" s="3" t="n">
        <v>15</v>
      </c>
      <c r="I1596" s="22" t="n">
        <v>41794</v>
      </c>
      <c r="J1596" s="22" t="n">
        <v>41799</v>
      </c>
      <c r="K1596" s="43" t="n">
        <f aca="false">J1596-I1596</f>
        <v>5</v>
      </c>
      <c r="L1596" s="1" t="n">
        <v>5</v>
      </c>
      <c r="M1596" s="3" t="s">
        <v>48</v>
      </c>
      <c r="N1596" s="3" t="s">
        <v>67</v>
      </c>
      <c r="O1596" s="3" t="s">
        <v>127</v>
      </c>
      <c r="P1596" s="2" t="str">
        <f aca="false">CONCATENATE(N1596," ",O1596)</f>
        <v>Pardosa lugubris</v>
      </c>
      <c r="Q1596" s="1" t="s">
        <v>30</v>
      </c>
      <c r="R1596" s="1" t="s">
        <v>31</v>
      </c>
      <c r="S1596" s="3" t="n">
        <v>1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f aca="false">SUM(S1596:T1596)</f>
        <v>1</v>
      </c>
      <c r="Z1596" s="3" t="n">
        <f aca="false">SUM(U1596:W1596)</f>
        <v>0</v>
      </c>
      <c r="AA1596" s="3" t="n">
        <f aca="false">SUM(S1596:X1596)</f>
        <v>1</v>
      </c>
      <c r="AB1596" s="11" t="n">
        <f aca="false">(AA1596/(K1596*L1596)*25)*4</f>
        <v>4</v>
      </c>
    </row>
    <row r="1597" customFormat="false" ht="14.25" hidden="false" customHeight="false" outlineLevel="0" collapsed="false">
      <c r="A1597" s="1" t="n">
        <v>2014</v>
      </c>
      <c r="B1597" s="7" t="s">
        <v>322</v>
      </c>
      <c r="C1597" s="7" t="n">
        <v>2</v>
      </c>
      <c r="D1597" s="7" t="s">
        <v>293</v>
      </c>
      <c r="E1597" s="7" t="s">
        <v>293</v>
      </c>
      <c r="F1597" s="3" t="s">
        <v>110</v>
      </c>
      <c r="G1597" s="3" t="n">
        <v>3</v>
      </c>
      <c r="H1597" s="3" t="n">
        <v>15</v>
      </c>
      <c r="I1597" s="22" t="n">
        <v>41794</v>
      </c>
      <c r="J1597" s="22" t="n">
        <v>41799</v>
      </c>
      <c r="K1597" s="43" t="n">
        <f aca="false">J1597-I1597</f>
        <v>5</v>
      </c>
      <c r="L1597" s="1" t="n">
        <v>5</v>
      </c>
      <c r="M1597" s="3" t="s">
        <v>36</v>
      </c>
      <c r="N1597" s="3" t="s">
        <v>37</v>
      </c>
      <c r="O1597" s="3" t="s">
        <v>75</v>
      </c>
      <c r="P1597" s="2" t="str">
        <f aca="false">CONCATENATE(N1597," ",O1597)</f>
        <v>Ozyptila praticola</v>
      </c>
      <c r="Q1597" s="1" t="s">
        <v>30</v>
      </c>
      <c r="R1597" s="1" t="s">
        <v>31</v>
      </c>
      <c r="S1597" s="3" t="n">
        <v>1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f aca="false">SUM(S1597:T1597)</f>
        <v>1</v>
      </c>
      <c r="Z1597" s="3" t="n">
        <f aca="false">SUM(U1597:W1597)</f>
        <v>0</v>
      </c>
      <c r="AA1597" s="3" t="n">
        <f aca="false">SUM(S1597:X1597)</f>
        <v>1</v>
      </c>
      <c r="AB1597" s="11" t="n">
        <f aca="false">(AA1597/(K1597*L1597)*25)*4</f>
        <v>4</v>
      </c>
    </row>
    <row r="1598" customFormat="false" ht="14.25" hidden="false" customHeight="false" outlineLevel="0" collapsed="false">
      <c r="A1598" s="1" t="n">
        <v>2014</v>
      </c>
      <c r="B1598" s="7" t="s">
        <v>322</v>
      </c>
      <c r="C1598" s="7" t="n">
        <v>2</v>
      </c>
      <c r="D1598" s="7" t="s">
        <v>293</v>
      </c>
      <c r="E1598" s="7" t="s">
        <v>293</v>
      </c>
      <c r="F1598" s="3" t="s">
        <v>110</v>
      </c>
      <c r="G1598" s="3" t="n">
        <v>3</v>
      </c>
      <c r="H1598" s="3" t="n">
        <v>15</v>
      </c>
      <c r="I1598" s="22" t="n">
        <v>41794</v>
      </c>
      <c r="J1598" s="22" t="n">
        <v>41799</v>
      </c>
      <c r="K1598" s="43" t="n">
        <f aca="false">J1598-I1598</f>
        <v>5</v>
      </c>
      <c r="L1598" s="1" t="n">
        <v>5</v>
      </c>
      <c r="M1598" s="3" t="s">
        <v>27</v>
      </c>
      <c r="N1598" s="3" t="s">
        <v>28</v>
      </c>
      <c r="O1598" s="3" t="s">
        <v>29</v>
      </c>
      <c r="P1598" s="2" t="str">
        <f aca="false">CONCATENATE(N1598," ",O1598)</f>
        <v>Robertus lividus</v>
      </c>
      <c r="Q1598" s="1" t="s">
        <v>30</v>
      </c>
      <c r="R1598" s="1" t="s">
        <v>31</v>
      </c>
      <c r="S1598" s="3" t="n">
        <v>1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f aca="false">SUM(S1598:T1598)</f>
        <v>1</v>
      </c>
      <c r="Z1598" s="3" t="n">
        <f aca="false">SUM(U1598:W1598)</f>
        <v>0</v>
      </c>
      <c r="AA1598" s="3" t="n">
        <f aca="false">SUM(S1598:X1598)</f>
        <v>1</v>
      </c>
      <c r="AB1598" s="11" t="n">
        <f aca="false">(AA1598/(K1598*L1598)*25)*4</f>
        <v>4</v>
      </c>
    </row>
    <row r="1599" customFormat="false" ht="14.25" hidden="false" customHeight="false" outlineLevel="0" collapsed="false">
      <c r="A1599" s="1" t="n">
        <v>2014</v>
      </c>
      <c r="B1599" s="7" t="s">
        <v>322</v>
      </c>
      <c r="C1599" s="7" t="n">
        <v>2</v>
      </c>
      <c r="D1599" s="7" t="s">
        <v>293</v>
      </c>
      <c r="E1599" s="7" t="s">
        <v>293</v>
      </c>
      <c r="F1599" s="3" t="s">
        <v>110</v>
      </c>
      <c r="G1599" s="3" t="n">
        <v>3</v>
      </c>
      <c r="H1599" s="3" t="n">
        <v>15</v>
      </c>
      <c r="I1599" s="22" t="n">
        <v>41794</v>
      </c>
      <c r="J1599" s="22" t="n">
        <v>41799</v>
      </c>
      <c r="K1599" s="43" t="n">
        <f aca="false">J1599-I1599</f>
        <v>5</v>
      </c>
      <c r="L1599" s="1" t="n">
        <v>5</v>
      </c>
      <c r="M1599" s="3" t="s">
        <v>32</v>
      </c>
      <c r="N1599" s="3" t="s">
        <v>102</v>
      </c>
      <c r="O1599" s="3" t="s">
        <v>117</v>
      </c>
      <c r="P1599" s="2" t="str">
        <f aca="false">CONCATENATE(N1599," ",O1599)</f>
        <v>Agyneta affinis</v>
      </c>
      <c r="Q1599" s="1" t="s">
        <v>30</v>
      </c>
      <c r="R1599" s="1" t="s">
        <v>31</v>
      </c>
      <c r="S1599" s="3" t="n">
        <v>1</v>
      </c>
      <c r="T1599" s="3" t="n">
        <v>0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f aca="false">SUM(S1599:T1599)</f>
        <v>1</v>
      </c>
      <c r="Z1599" s="3" t="n">
        <f aca="false">SUM(U1599:W1599)</f>
        <v>0</v>
      </c>
      <c r="AA1599" s="3" t="n">
        <f aca="false">SUM(S1599:X1599)</f>
        <v>1</v>
      </c>
      <c r="AB1599" s="11" t="n">
        <f aca="false">(AA1599/(K1599*L1599)*25)*4</f>
        <v>4</v>
      </c>
    </row>
    <row r="1600" customFormat="false" ht="14.25" hidden="false" customHeight="false" outlineLevel="0" collapsed="false">
      <c r="A1600" s="1" t="n">
        <v>2014</v>
      </c>
      <c r="B1600" s="7" t="s">
        <v>322</v>
      </c>
      <c r="C1600" s="7" t="n">
        <v>2</v>
      </c>
      <c r="D1600" s="7" t="s">
        <v>293</v>
      </c>
      <c r="E1600" s="7" t="s">
        <v>293</v>
      </c>
      <c r="F1600" s="3" t="s">
        <v>110</v>
      </c>
      <c r="G1600" s="3" t="n">
        <v>3</v>
      </c>
      <c r="H1600" s="3" t="n">
        <v>15</v>
      </c>
      <c r="I1600" s="22" t="n">
        <v>41794</v>
      </c>
      <c r="J1600" s="22" t="n">
        <v>41799</v>
      </c>
      <c r="K1600" s="43" t="n">
        <f aca="false">J1600-I1600</f>
        <v>5</v>
      </c>
      <c r="L1600" s="1" t="n">
        <v>5</v>
      </c>
      <c r="M1600" s="3" t="s">
        <v>32</v>
      </c>
      <c r="N1600" s="3" t="s">
        <v>169</v>
      </c>
      <c r="O1600" s="3" t="s">
        <v>170</v>
      </c>
      <c r="P1600" s="2" t="str">
        <f aca="false">CONCATENATE(N1600," ",O1600)</f>
        <v>Abacoproeces saltuum</v>
      </c>
      <c r="Q1600" s="1" t="s">
        <v>30</v>
      </c>
      <c r="R1600" s="1" t="s">
        <v>31</v>
      </c>
      <c r="S1600" s="3" t="n">
        <v>2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f aca="false">SUM(S1600:T1600)</f>
        <v>2</v>
      </c>
      <c r="Z1600" s="3" t="n">
        <f aca="false">SUM(U1600:W1600)</f>
        <v>0</v>
      </c>
      <c r="AA1600" s="3" t="n">
        <f aca="false">SUM(S1600:X1600)</f>
        <v>2</v>
      </c>
      <c r="AB1600" s="11" t="n">
        <f aca="false">(AA1600/(K1600*L1600)*25)*4</f>
        <v>8</v>
      </c>
    </row>
    <row r="1601" customFormat="false" ht="14.25" hidden="false" customHeight="false" outlineLevel="0" collapsed="false">
      <c r="A1601" s="1" t="n">
        <v>2014</v>
      </c>
      <c r="B1601" s="7" t="s">
        <v>322</v>
      </c>
      <c r="C1601" s="7" t="n">
        <v>2</v>
      </c>
      <c r="D1601" s="7" t="s">
        <v>293</v>
      </c>
      <c r="E1601" s="7" t="s">
        <v>293</v>
      </c>
      <c r="F1601" s="3" t="s">
        <v>110</v>
      </c>
      <c r="G1601" s="3" t="n">
        <v>2</v>
      </c>
      <c r="H1601" s="3" t="n">
        <v>10</v>
      </c>
      <c r="I1601" s="22" t="n">
        <v>41794</v>
      </c>
      <c r="J1601" s="22" t="n">
        <v>41799</v>
      </c>
      <c r="K1601" s="43" t="n">
        <f aca="false">J1601-I1601</f>
        <v>5</v>
      </c>
      <c r="L1601" s="1" t="n">
        <v>5</v>
      </c>
      <c r="M1601" s="3" t="s">
        <v>72</v>
      </c>
      <c r="N1601" s="3" t="s">
        <v>73</v>
      </c>
      <c r="O1601" s="3" t="s">
        <v>74</v>
      </c>
      <c r="P1601" s="2" t="str">
        <f aca="false">CONCATENATE(N1601," ",O1601)</f>
        <v>Zelotes subterraneus</v>
      </c>
      <c r="Q1601" s="1" t="s">
        <v>30</v>
      </c>
      <c r="R1601" s="1" t="s">
        <v>35</v>
      </c>
      <c r="S1601" s="3" t="n">
        <v>0</v>
      </c>
      <c r="T1601" s="3" t="n">
        <v>1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f aca="false">SUM(S1601:T1601)</f>
        <v>1</v>
      </c>
      <c r="Z1601" s="3" t="n">
        <f aca="false">SUM(U1601:W1601)</f>
        <v>0</v>
      </c>
      <c r="AA1601" s="3" t="n">
        <f aca="false">SUM(S1601:X1601)</f>
        <v>1</v>
      </c>
      <c r="AB1601" s="11" t="n">
        <f aca="false">(AA1601/(K1601*L1601)*25)*4</f>
        <v>4</v>
      </c>
    </row>
    <row r="1602" customFormat="false" ht="14.25" hidden="false" customHeight="false" outlineLevel="0" collapsed="false">
      <c r="A1602" s="1" t="n">
        <v>2014</v>
      </c>
      <c r="B1602" s="7" t="s">
        <v>322</v>
      </c>
      <c r="C1602" s="7" t="n">
        <v>2</v>
      </c>
      <c r="D1602" s="7" t="s">
        <v>293</v>
      </c>
      <c r="E1602" s="7" t="s">
        <v>293</v>
      </c>
      <c r="F1602" s="3" t="s">
        <v>110</v>
      </c>
      <c r="G1602" s="3" t="n">
        <v>2</v>
      </c>
      <c r="H1602" s="3" t="n">
        <v>10</v>
      </c>
      <c r="I1602" s="22" t="n">
        <v>41794</v>
      </c>
      <c r="J1602" s="22" t="n">
        <v>41799</v>
      </c>
      <c r="K1602" s="43" t="n">
        <f aca="false">J1602-I1602</f>
        <v>5</v>
      </c>
      <c r="L1602" s="1" t="n">
        <v>5</v>
      </c>
      <c r="M1602" s="3" t="s">
        <v>92</v>
      </c>
      <c r="N1602" s="3" t="s">
        <v>111</v>
      </c>
      <c r="O1602" s="3" t="s">
        <v>112</v>
      </c>
      <c r="P1602" s="2" t="str">
        <f aca="false">CONCATENATE(N1602," ",O1602)</f>
        <v>Evarcha falcata</v>
      </c>
      <c r="Q1602" s="1" t="s">
        <v>30</v>
      </c>
      <c r="R1602" s="1" t="s">
        <v>35</v>
      </c>
      <c r="S1602" s="3" t="n">
        <v>0</v>
      </c>
      <c r="T1602" s="3" t="n">
        <v>1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f aca="false">SUM(S1602:T1602)</f>
        <v>1</v>
      </c>
      <c r="Z1602" s="3" t="n">
        <f aca="false">SUM(U1602:W1602)</f>
        <v>0</v>
      </c>
      <c r="AA1602" s="3" t="n">
        <f aca="false">SUM(S1602:X1602)</f>
        <v>1</v>
      </c>
      <c r="AB1602" s="11" t="n">
        <f aca="false">(AA1602/(K1602*L1602)*25)*4</f>
        <v>4</v>
      </c>
    </row>
    <row r="1603" customFormat="false" ht="14.25" hidden="false" customHeight="false" outlineLevel="0" collapsed="false">
      <c r="A1603" s="1" t="n">
        <v>2014</v>
      </c>
      <c r="B1603" s="7" t="s">
        <v>322</v>
      </c>
      <c r="C1603" s="7" t="n">
        <v>2</v>
      </c>
      <c r="D1603" s="7" t="s">
        <v>293</v>
      </c>
      <c r="E1603" s="7" t="s">
        <v>293</v>
      </c>
      <c r="F1603" s="3" t="s">
        <v>110</v>
      </c>
      <c r="G1603" s="3" t="n">
        <v>2</v>
      </c>
      <c r="H1603" s="3" t="n">
        <v>10</v>
      </c>
      <c r="I1603" s="22" t="n">
        <v>41794</v>
      </c>
      <c r="J1603" s="22" t="n">
        <v>41799</v>
      </c>
      <c r="K1603" s="43" t="n">
        <f aca="false">J1603-I1603</f>
        <v>5</v>
      </c>
      <c r="L1603" s="1" t="n">
        <v>5</v>
      </c>
      <c r="M1603" s="3" t="s">
        <v>52</v>
      </c>
      <c r="N1603" s="3" t="s">
        <v>213</v>
      </c>
      <c r="O1603" s="3" t="s">
        <v>214</v>
      </c>
      <c r="P1603" s="2" t="str">
        <f aca="false">CONCATENATE(N1603," ",O1603)</f>
        <v>Cercidia prominens</v>
      </c>
      <c r="Q1603" s="1" t="s">
        <v>30</v>
      </c>
      <c r="R1603" s="1" t="s">
        <v>31</v>
      </c>
      <c r="S1603" s="3" t="n">
        <v>1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f aca="false">SUM(S1603:T1603)</f>
        <v>1</v>
      </c>
      <c r="Z1603" s="3" t="n">
        <f aca="false">SUM(U1603:W1603)</f>
        <v>0</v>
      </c>
      <c r="AA1603" s="3" t="n">
        <f aca="false">SUM(S1603:X1603)</f>
        <v>1</v>
      </c>
      <c r="AB1603" s="11" t="n">
        <f aca="false">(AA1603/(K1603*L1603)*25)*4</f>
        <v>4</v>
      </c>
    </row>
    <row r="1604" customFormat="false" ht="14.25" hidden="false" customHeight="false" outlineLevel="0" collapsed="false">
      <c r="A1604" s="1" t="n">
        <v>2014</v>
      </c>
      <c r="B1604" s="7" t="s">
        <v>322</v>
      </c>
      <c r="C1604" s="7" t="n">
        <v>2</v>
      </c>
      <c r="D1604" s="7" t="s">
        <v>293</v>
      </c>
      <c r="E1604" s="7" t="s">
        <v>293</v>
      </c>
      <c r="F1604" s="3" t="s">
        <v>110</v>
      </c>
      <c r="G1604" s="3" t="n">
        <v>2</v>
      </c>
      <c r="H1604" s="3" t="n">
        <v>10</v>
      </c>
      <c r="I1604" s="22" t="n">
        <v>41794</v>
      </c>
      <c r="J1604" s="22" t="n">
        <v>41799</v>
      </c>
      <c r="K1604" s="43" t="n">
        <f aca="false">J1604-I1604</f>
        <v>5</v>
      </c>
      <c r="L1604" s="1" t="n">
        <v>5</v>
      </c>
      <c r="M1604" s="3" t="s">
        <v>32</v>
      </c>
      <c r="N1604" s="3" t="s">
        <v>169</v>
      </c>
      <c r="O1604" s="3" t="s">
        <v>170</v>
      </c>
      <c r="P1604" s="2" t="str">
        <f aca="false">CONCATENATE(N1604," ",O1604)</f>
        <v>Abacoproeces saltuum</v>
      </c>
      <c r="Q1604" s="1" t="s">
        <v>30</v>
      </c>
      <c r="R1604" s="1" t="s">
        <v>31</v>
      </c>
      <c r="S1604" s="3" t="n">
        <v>1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f aca="false">SUM(S1604:T1604)</f>
        <v>1</v>
      </c>
      <c r="Z1604" s="3" t="n">
        <f aca="false">SUM(U1604:W1604)</f>
        <v>0</v>
      </c>
      <c r="AA1604" s="3" t="n">
        <f aca="false">SUM(S1604:X1604)</f>
        <v>1</v>
      </c>
      <c r="AB1604" s="11" t="n">
        <f aca="false">(AA1604/(K1604*L1604)*25)*4</f>
        <v>4</v>
      </c>
    </row>
    <row r="1605" customFormat="false" ht="14.25" hidden="false" customHeight="false" outlineLevel="0" collapsed="false">
      <c r="A1605" s="1" t="n">
        <v>2014</v>
      </c>
      <c r="B1605" s="7" t="s">
        <v>322</v>
      </c>
      <c r="C1605" s="7" t="n">
        <v>2</v>
      </c>
      <c r="D1605" s="7" t="s">
        <v>293</v>
      </c>
      <c r="E1605" s="7" t="s">
        <v>293</v>
      </c>
      <c r="F1605" s="3" t="s">
        <v>110</v>
      </c>
      <c r="G1605" s="3" t="n">
        <v>2</v>
      </c>
      <c r="H1605" s="3" t="n">
        <v>8</v>
      </c>
      <c r="I1605" s="22" t="n">
        <v>41794</v>
      </c>
      <c r="J1605" s="22" t="n">
        <v>41799</v>
      </c>
      <c r="K1605" s="43" t="n">
        <f aca="false">J1605-I1605</f>
        <v>5</v>
      </c>
      <c r="L1605" s="1" t="n">
        <v>5</v>
      </c>
      <c r="M1605" s="3" t="s">
        <v>48</v>
      </c>
      <c r="N1605" s="3" t="s">
        <v>49</v>
      </c>
      <c r="O1605" s="3" t="s">
        <v>119</v>
      </c>
      <c r="P1605" s="2" t="str">
        <f aca="false">CONCATENATE(N1605," ",O1605)</f>
        <v>Alopecosa sulzeri</v>
      </c>
      <c r="Q1605" s="1" t="s">
        <v>30</v>
      </c>
      <c r="R1605" s="1" t="s">
        <v>31</v>
      </c>
      <c r="S1605" s="3" t="n">
        <v>1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f aca="false">SUM(S1605:T1605)</f>
        <v>1</v>
      </c>
      <c r="Z1605" s="3" t="n">
        <f aca="false">SUM(U1605:W1605)</f>
        <v>0</v>
      </c>
      <c r="AA1605" s="3" t="n">
        <f aca="false">SUM(S1605:X1605)</f>
        <v>1</v>
      </c>
      <c r="AB1605" s="11" t="n">
        <f aca="false">(AA1605/(K1605*L1605)*25)*4</f>
        <v>4</v>
      </c>
    </row>
    <row r="1606" customFormat="false" ht="14.25" hidden="false" customHeight="false" outlineLevel="0" collapsed="false">
      <c r="A1606" s="1" t="n">
        <v>2014</v>
      </c>
      <c r="B1606" s="7" t="s">
        <v>322</v>
      </c>
      <c r="C1606" s="7" t="n">
        <v>2</v>
      </c>
      <c r="D1606" s="7" t="s">
        <v>293</v>
      </c>
      <c r="E1606" s="7" t="s">
        <v>293</v>
      </c>
      <c r="F1606" s="3" t="s">
        <v>110</v>
      </c>
      <c r="G1606" s="3" t="n">
        <v>2</v>
      </c>
      <c r="H1606" s="3" t="n">
        <v>8</v>
      </c>
      <c r="I1606" s="22" t="n">
        <v>41794</v>
      </c>
      <c r="J1606" s="22" t="n">
        <v>41799</v>
      </c>
      <c r="K1606" s="43" t="n">
        <f aca="false">J1606-I1606</f>
        <v>5</v>
      </c>
      <c r="L1606" s="1" t="n">
        <v>5</v>
      </c>
      <c r="M1606" s="3" t="s">
        <v>48</v>
      </c>
      <c r="N1606" s="3" t="s">
        <v>49</v>
      </c>
      <c r="O1606" s="3" t="s">
        <v>130</v>
      </c>
      <c r="P1606" s="2" t="str">
        <f aca="false">CONCATENATE(N1606," ",O1606)</f>
        <v>Alopecosa aculeata</v>
      </c>
      <c r="Q1606" s="1" t="s">
        <v>30</v>
      </c>
      <c r="R1606" s="1" t="s">
        <v>31</v>
      </c>
      <c r="S1606" s="3" t="n">
        <v>1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f aca="false">SUM(S1606:T1606)</f>
        <v>1</v>
      </c>
      <c r="Z1606" s="3" t="n">
        <f aca="false">SUM(U1606:W1606)</f>
        <v>0</v>
      </c>
      <c r="AA1606" s="3" t="n">
        <f aca="false">SUM(S1606:X1606)</f>
        <v>1</v>
      </c>
      <c r="AB1606" s="11" t="n">
        <f aca="false">(AA1606/(K1606*L1606)*25)*4</f>
        <v>4</v>
      </c>
    </row>
    <row r="1607" customFormat="false" ht="14.25" hidden="false" customHeight="false" outlineLevel="0" collapsed="false">
      <c r="A1607" s="1" t="n">
        <v>2014</v>
      </c>
      <c r="B1607" s="7" t="s">
        <v>322</v>
      </c>
      <c r="C1607" s="7" t="n">
        <v>2</v>
      </c>
      <c r="D1607" s="7" t="s">
        <v>293</v>
      </c>
      <c r="E1607" s="7" t="s">
        <v>293</v>
      </c>
      <c r="F1607" s="3" t="s">
        <v>110</v>
      </c>
      <c r="G1607" s="3" t="n">
        <v>2</v>
      </c>
      <c r="H1607" s="3" t="n">
        <v>8</v>
      </c>
      <c r="I1607" s="22" t="n">
        <v>41794</v>
      </c>
      <c r="J1607" s="22" t="n">
        <v>41799</v>
      </c>
      <c r="K1607" s="43" t="n">
        <f aca="false">J1607-I1607</f>
        <v>5</v>
      </c>
      <c r="L1607" s="1" t="n">
        <v>5</v>
      </c>
      <c r="M1607" s="3" t="s">
        <v>48</v>
      </c>
      <c r="N1607" s="3" t="s">
        <v>49</v>
      </c>
      <c r="O1607" s="3" t="s">
        <v>104</v>
      </c>
      <c r="P1607" s="2" t="str">
        <f aca="false">CONCATENATE(N1607," ",O1607)</f>
        <v>Alopecosa taeniata</v>
      </c>
      <c r="Q1607" s="1" t="s">
        <v>30</v>
      </c>
      <c r="R1607" s="1" t="s">
        <v>31</v>
      </c>
      <c r="S1607" s="3" t="n">
        <v>1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f aca="false">SUM(S1607:T1607)</f>
        <v>1</v>
      </c>
      <c r="Z1607" s="3" t="n">
        <f aca="false">SUM(U1607:W1607)</f>
        <v>0</v>
      </c>
      <c r="AA1607" s="3" t="n">
        <f aca="false">SUM(S1607:X1607)</f>
        <v>1</v>
      </c>
      <c r="AB1607" s="11" t="n">
        <f aca="false">(AA1607/(K1607*L1607)*25)*4</f>
        <v>4</v>
      </c>
    </row>
    <row r="1608" customFormat="false" ht="14.25" hidden="false" customHeight="false" outlineLevel="0" collapsed="false">
      <c r="A1608" s="1" t="n">
        <v>2014</v>
      </c>
      <c r="B1608" s="7" t="s">
        <v>322</v>
      </c>
      <c r="C1608" s="7" t="n">
        <v>2</v>
      </c>
      <c r="D1608" s="7" t="s">
        <v>293</v>
      </c>
      <c r="E1608" s="7" t="s">
        <v>293</v>
      </c>
      <c r="F1608" s="3" t="s">
        <v>110</v>
      </c>
      <c r="G1608" s="3" t="n">
        <v>2</v>
      </c>
      <c r="H1608" s="3" t="n">
        <v>8</v>
      </c>
      <c r="I1608" s="22" t="n">
        <v>41794</v>
      </c>
      <c r="J1608" s="22" t="n">
        <v>41799</v>
      </c>
      <c r="K1608" s="43" t="n">
        <f aca="false">J1608-I1608</f>
        <v>5</v>
      </c>
      <c r="L1608" s="1" t="n">
        <v>5</v>
      </c>
      <c r="M1608" s="3" t="s">
        <v>36</v>
      </c>
      <c r="N1608" s="3" t="s">
        <v>37</v>
      </c>
      <c r="O1608" s="3" t="s">
        <v>75</v>
      </c>
      <c r="P1608" s="2" t="str">
        <f aca="false">CONCATENATE(N1608," ",O1608)</f>
        <v>Ozyptila praticola</v>
      </c>
      <c r="Q1608" s="1" t="s">
        <v>30</v>
      </c>
      <c r="R1608" s="1" t="s">
        <v>31</v>
      </c>
      <c r="S1608" s="3" t="n">
        <v>1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f aca="false">SUM(S1608:T1608)</f>
        <v>1</v>
      </c>
      <c r="Z1608" s="3" t="n">
        <f aca="false">SUM(U1608:W1608)</f>
        <v>0</v>
      </c>
      <c r="AA1608" s="3" t="n">
        <f aca="false">SUM(S1608:X1608)</f>
        <v>1</v>
      </c>
      <c r="AB1608" s="11" t="n">
        <f aca="false">(AA1608/(K1608*L1608)*25)*4</f>
        <v>4</v>
      </c>
    </row>
    <row r="1609" customFormat="false" ht="14.25" hidden="false" customHeight="false" outlineLevel="0" collapsed="false">
      <c r="A1609" s="1" t="n">
        <v>2014</v>
      </c>
      <c r="B1609" s="7" t="s">
        <v>322</v>
      </c>
      <c r="C1609" s="7" t="n">
        <v>2</v>
      </c>
      <c r="D1609" s="7" t="s">
        <v>293</v>
      </c>
      <c r="E1609" s="7" t="s">
        <v>293</v>
      </c>
      <c r="F1609" s="3" t="s">
        <v>110</v>
      </c>
      <c r="G1609" s="3" t="n">
        <v>2</v>
      </c>
      <c r="H1609" s="3" t="n">
        <v>8</v>
      </c>
      <c r="I1609" s="22" t="n">
        <v>41794</v>
      </c>
      <c r="J1609" s="22" t="n">
        <v>41799</v>
      </c>
      <c r="K1609" s="43" t="n">
        <f aca="false">J1609-I1609</f>
        <v>5</v>
      </c>
      <c r="L1609" s="1" t="n">
        <v>5</v>
      </c>
      <c r="M1609" s="3" t="s">
        <v>32</v>
      </c>
      <c r="N1609" s="3" t="s">
        <v>169</v>
      </c>
      <c r="O1609" s="3" t="s">
        <v>170</v>
      </c>
      <c r="P1609" s="2" t="str">
        <f aca="false">CONCATENATE(N1609," ",O1609)</f>
        <v>Abacoproeces saltuum</v>
      </c>
      <c r="Q1609" s="1" t="s">
        <v>30</v>
      </c>
      <c r="R1609" s="1" t="s">
        <v>31</v>
      </c>
      <c r="S1609" s="3" t="n">
        <v>2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f aca="false">SUM(S1609:T1609)</f>
        <v>2</v>
      </c>
      <c r="Z1609" s="3" t="n">
        <f aca="false">SUM(U1609:W1609)</f>
        <v>0</v>
      </c>
      <c r="AA1609" s="3" t="n">
        <f aca="false">SUM(S1609:X1609)</f>
        <v>2</v>
      </c>
      <c r="AB1609" s="11" t="n">
        <f aca="false">(AA1609/(K1609*L1609)*25)*4</f>
        <v>8</v>
      </c>
    </row>
    <row r="1610" customFormat="false" ht="14.25" hidden="false" customHeight="false" outlineLevel="0" collapsed="false">
      <c r="A1610" s="1" t="n">
        <v>2014</v>
      </c>
      <c r="B1610" s="7" t="s">
        <v>322</v>
      </c>
      <c r="C1610" s="7" t="n">
        <v>2</v>
      </c>
      <c r="D1610" s="7" t="s">
        <v>293</v>
      </c>
      <c r="E1610" s="7" t="s">
        <v>293</v>
      </c>
      <c r="F1610" s="3" t="s">
        <v>110</v>
      </c>
      <c r="G1610" s="3" t="n">
        <v>2</v>
      </c>
      <c r="H1610" s="3" t="n">
        <v>8</v>
      </c>
      <c r="I1610" s="22" t="n">
        <v>41794</v>
      </c>
      <c r="J1610" s="22" t="n">
        <v>41799</v>
      </c>
      <c r="K1610" s="43" t="n">
        <f aca="false">J1610-I1610</f>
        <v>5</v>
      </c>
      <c r="L1610" s="1" t="n">
        <v>5</v>
      </c>
      <c r="M1610" s="3" t="s">
        <v>32</v>
      </c>
      <c r="N1610" s="3" t="s">
        <v>169</v>
      </c>
      <c r="O1610" s="3" t="s">
        <v>170</v>
      </c>
      <c r="P1610" s="2" t="str">
        <f aca="false">CONCATENATE(N1610," ",O1610)</f>
        <v>Abacoproeces saltuum</v>
      </c>
      <c r="Q1610" s="1" t="s">
        <v>30</v>
      </c>
      <c r="R1610" s="1" t="s">
        <v>35</v>
      </c>
      <c r="S1610" s="3" t="n">
        <v>0</v>
      </c>
      <c r="T1610" s="3" t="n">
        <v>2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f aca="false">SUM(S1610:T1610)</f>
        <v>2</v>
      </c>
      <c r="Z1610" s="3" t="n">
        <f aca="false">SUM(U1610:W1610)</f>
        <v>0</v>
      </c>
      <c r="AA1610" s="3" t="n">
        <f aca="false">SUM(S1610:X1610)</f>
        <v>2</v>
      </c>
      <c r="AB1610" s="11" t="n">
        <f aca="false">(AA1610/(K1610*L1610)*25)*4</f>
        <v>8</v>
      </c>
    </row>
    <row r="1611" customFormat="false" ht="14.25" hidden="false" customHeight="false" outlineLevel="0" collapsed="false">
      <c r="A1611" s="1" t="n">
        <v>2014</v>
      </c>
      <c r="B1611" s="7" t="s">
        <v>322</v>
      </c>
      <c r="C1611" s="7" t="n">
        <v>2</v>
      </c>
      <c r="D1611" s="7" t="s">
        <v>293</v>
      </c>
      <c r="E1611" s="7" t="s">
        <v>293</v>
      </c>
      <c r="F1611" s="3" t="s">
        <v>110</v>
      </c>
      <c r="G1611" s="3" t="n">
        <v>2</v>
      </c>
      <c r="H1611" s="3" t="n">
        <v>6</v>
      </c>
      <c r="I1611" s="22" t="n">
        <v>41794</v>
      </c>
      <c r="J1611" s="22" t="n">
        <v>41799</v>
      </c>
      <c r="K1611" s="43" t="n">
        <f aca="false">J1611-I1611</f>
        <v>5</v>
      </c>
      <c r="L1611" s="1" t="n">
        <v>5</v>
      </c>
      <c r="M1611" s="3" t="s">
        <v>48</v>
      </c>
      <c r="N1611" s="3" t="s">
        <v>49</v>
      </c>
      <c r="O1611" s="3" t="s">
        <v>130</v>
      </c>
      <c r="P1611" s="2" t="str">
        <f aca="false">CONCATENATE(N1611," ",O1611)</f>
        <v>Alopecosa aculeata</v>
      </c>
      <c r="Q1611" s="1" t="s">
        <v>30</v>
      </c>
      <c r="R1611" s="1" t="s">
        <v>31</v>
      </c>
      <c r="S1611" s="3" t="n">
        <v>1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f aca="false">SUM(S1611:T1611)</f>
        <v>1</v>
      </c>
      <c r="Z1611" s="3" t="n">
        <f aca="false">SUM(U1611:W1611)</f>
        <v>0</v>
      </c>
      <c r="AA1611" s="3" t="n">
        <f aca="false">SUM(S1611:X1611)</f>
        <v>1</v>
      </c>
      <c r="AB1611" s="11" t="n">
        <f aca="false">(AA1611/(K1611*L1611)*25)*4</f>
        <v>4</v>
      </c>
    </row>
    <row r="1612" customFormat="false" ht="14.25" hidden="false" customHeight="false" outlineLevel="0" collapsed="false">
      <c r="A1612" s="1" t="n">
        <v>2014</v>
      </c>
      <c r="B1612" s="7" t="s">
        <v>322</v>
      </c>
      <c r="C1612" s="7" t="n">
        <v>2</v>
      </c>
      <c r="D1612" s="7" t="s">
        <v>293</v>
      </c>
      <c r="E1612" s="7" t="s">
        <v>293</v>
      </c>
      <c r="F1612" s="3" t="s">
        <v>110</v>
      </c>
      <c r="G1612" s="3" t="n">
        <v>2</v>
      </c>
      <c r="H1612" s="3" t="n">
        <v>6</v>
      </c>
      <c r="I1612" s="22" t="n">
        <v>41794</v>
      </c>
      <c r="J1612" s="22" t="n">
        <v>41799</v>
      </c>
      <c r="K1612" s="43" t="n">
        <f aca="false">J1612-I1612</f>
        <v>5</v>
      </c>
      <c r="L1612" s="1" t="n">
        <v>5</v>
      </c>
      <c r="M1612" s="3" t="s">
        <v>48</v>
      </c>
      <c r="N1612" s="3" t="s">
        <v>61</v>
      </c>
      <c r="O1612" s="3" t="s">
        <v>82</v>
      </c>
      <c r="P1612" s="2" t="str">
        <f aca="false">CONCATENATE(N1612," ",O1612)</f>
        <v>Trochosa terricola</v>
      </c>
      <c r="Q1612" s="1" t="s">
        <v>30</v>
      </c>
      <c r="R1612" s="1" t="s">
        <v>35</v>
      </c>
      <c r="S1612" s="3" t="n">
        <v>0</v>
      </c>
      <c r="T1612" s="3" t="n">
        <v>1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f aca="false">SUM(S1612:T1612)</f>
        <v>1</v>
      </c>
      <c r="Z1612" s="3" t="n">
        <f aca="false">SUM(U1612:W1612)</f>
        <v>0</v>
      </c>
      <c r="AA1612" s="3" t="n">
        <f aca="false">SUM(S1612:X1612)</f>
        <v>1</v>
      </c>
      <c r="AB1612" s="11" t="n">
        <f aca="false">(AA1612/(K1612*L1612)*25)*4</f>
        <v>4</v>
      </c>
    </row>
    <row r="1613" customFormat="false" ht="14.25" hidden="false" customHeight="false" outlineLevel="0" collapsed="false">
      <c r="A1613" s="1" t="n">
        <v>2014</v>
      </c>
      <c r="B1613" s="7" t="s">
        <v>322</v>
      </c>
      <c r="C1613" s="7" t="n">
        <v>2</v>
      </c>
      <c r="D1613" s="7" t="s">
        <v>293</v>
      </c>
      <c r="E1613" s="7" t="s">
        <v>293</v>
      </c>
      <c r="F1613" s="3" t="s">
        <v>110</v>
      </c>
      <c r="G1613" s="3" t="n">
        <v>2</v>
      </c>
      <c r="H1613" s="3" t="n">
        <v>6</v>
      </c>
      <c r="I1613" s="22" t="n">
        <v>41794</v>
      </c>
      <c r="J1613" s="22" t="n">
        <v>41799</v>
      </c>
      <c r="K1613" s="43" t="n">
        <f aca="false">J1613-I1613</f>
        <v>5</v>
      </c>
      <c r="L1613" s="1" t="n">
        <v>5</v>
      </c>
      <c r="M1613" s="3" t="s">
        <v>48</v>
      </c>
      <c r="N1613" s="3" t="s">
        <v>67</v>
      </c>
      <c r="O1613" s="3" t="s">
        <v>127</v>
      </c>
      <c r="P1613" s="2" t="str">
        <f aca="false">CONCATENATE(N1613," ",O1613)</f>
        <v>Pardosa lugubris</v>
      </c>
      <c r="Q1613" s="1" t="s">
        <v>30</v>
      </c>
      <c r="R1613" s="1" t="s">
        <v>31</v>
      </c>
      <c r="S1613" s="3" t="n">
        <v>1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f aca="false">SUM(S1613:T1613)</f>
        <v>1</v>
      </c>
      <c r="Z1613" s="3" t="n">
        <f aca="false">SUM(U1613:W1613)</f>
        <v>0</v>
      </c>
      <c r="AA1613" s="3" t="n">
        <f aca="false">SUM(S1613:X1613)</f>
        <v>1</v>
      </c>
      <c r="AB1613" s="11" t="n">
        <f aca="false">(AA1613/(K1613*L1613)*25)*4</f>
        <v>4</v>
      </c>
    </row>
    <row r="1614" customFormat="false" ht="14.25" hidden="false" customHeight="false" outlineLevel="0" collapsed="false">
      <c r="A1614" s="1" t="n">
        <v>2014</v>
      </c>
      <c r="B1614" s="7" t="s">
        <v>322</v>
      </c>
      <c r="C1614" s="7" t="n">
        <v>2</v>
      </c>
      <c r="D1614" s="7" t="s">
        <v>293</v>
      </c>
      <c r="E1614" s="7" t="s">
        <v>293</v>
      </c>
      <c r="F1614" s="3" t="s">
        <v>110</v>
      </c>
      <c r="G1614" s="3" t="n">
        <v>2</v>
      </c>
      <c r="H1614" s="3" t="n">
        <v>6</v>
      </c>
      <c r="I1614" s="22" t="n">
        <v>41794</v>
      </c>
      <c r="J1614" s="22" t="n">
        <v>41799</v>
      </c>
      <c r="K1614" s="43" t="n">
        <f aca="false">J1614-I1614</f>
        <v>5</v>
      </c>
      <c r="L1614" s="1" t="n">
        <v>5</v>
      </c>
      <c r="M1614" s="3" t="s">
        <v>36</v>
      </c>
      <c r="N1614" s="3" t="s">
        <v>131</v>
      </c>
      <c r="O1614" s="3" t="s">
        <v>133</v>
      </c>
      <c r="P1614" s="2" t="str">
        <f aca="false">CONCATENATE(N1614," ",O1614)</f>
        <v>Xysticus luctuosus</v>
      </c>
      <c r="Q1614" s="1" t="s">
        <v>30</v>
      </c>
      <c r="R1614" s="1" t="s">
        <v>31</v>
      </c>
      <c r="S1614" s="3" t="n">
        <v>2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f aca="false">SUM(S1614:T1614)</f>
        <v>2</v>
      </c>
      <c r="Z1614" s="3" t="n">
        <f aca="false">SUM(U1614:W1614)</f>
        <v>0</v>
      </c>
      <c r="AA1614" s="3" t="n">
        <f aca="false">SUM(S1614:X1614)</f>
        <v>2</v>
      </c>
      <c r="AB1614" s="11" t="n">
        <f aca="false">(AA1614/(K1614*L1614)*25)*4</f>
        <v>8</v>
      </c>
    </row>
    <row r="1615" customFormat="false" ht="14.25" hidden="false" customHeight="false" outlineLevel="0" collapsed="false">
      <c r="A1615" s="1" t="n">
        <v>2014</v>
      </c>
      <c r="B1615" s="7" t="s">
        <v>322</v>
      </c>
      <c r="C1615" s="7" t="n">
        <v>2</v>
      </c>
      <c r="D1615" s="7" t="s">
        <v>293</v>
      </c>
      <c r="E1615" s="7" t="s">
        <v>293</v>
      </c>
      <c r="F1615" s="3" t="s">
        <v>110</v>
      </c>
      <c r="G1615" s="3" t="n">
        <v>2</v>
      </c>
      <c r="H1615" s="3" t="n">
        <v>6</v>
      </c>
      <c r="I1615" s="22" t="n">
        <v>41794</v>
      </c>
      <c r="J1615" s="22" t="n">
        <v>41799</v>
      </c>
      <c r="K1615" s="43" t="n">
        <f aca="false">J1615-I1615</f>
        <v>5</v>
      </c>
      <c r="L1615" s="1" t="n">
        <v>5</v>
      </c>
      <c r="M1615" s="3" t="s">
        <v>92</v>
      </c>
      <c r="N1615" s="3" t="s">
        <v>111</v>
      </c>
      <c r="O1615" s="3" t="s">
        <v>112</v>
      </c>
      <c r="P1615" s="2" t="str">
        <f aca="false">CONCATENATE(N1615," ",O1615)</f>
        <v>Evarcha falcata</v>
      </c>
      <c r="Q1615" s="1" t="s">
        <v>30</v>
      </c>
      <c r="R1615" s="1" t="s">
        <v>31</v>
      </c>
      <c r="S1615" s="3" t="n">
        <v>1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f aca="false">SUM(S1615:T1615)</f>
        <v>1</v>
      </c>
      <c r="Z1615" s="3" t="n">
        <f aca="false">SUM(U1615:W1615)</f>
        <v>0</v>
      </c>
      <c r="AA1615" s="3" t="n">
        <f aca="false">SUM(S1615:X1615)</f>
        <v>1</v>
      </c>
      <c r="AB1615" s="11" t="n">
        <f aca="false">(AA1615/(K1615*L1615)*25)*4</f>
        <v>4</v>
      </c>
    </row>
    <row r="1616" customFormat="false" ht="14.25" hidden="false" customHeight="false" outlineLevel="0" collapsed="false">
      <c r="A1616" s="1" t="n">
        <v>2014</v>
      </c>
      <c r="B1616" s="7" t="s">
        <v>322</v>
      </c>
      <c r="C1616" s="7" t="n">
        <v>2</v>
      </c>
      <c r="D1616" s="7" t="s">
        <v>293</v>
      </c>
      <c r="E1616" s="7" t="s">
        <v>293</v>
      </c>
      <c r="F1616" s="3" t="s">
        <v>110</v>
      </c>
      <c r="G1616" s="3" t="n">
        <v>2</v>
      </c>
      <c r="H1616" s="3" t="n">
        <v>6</v>
      </c>
      <c r="I1616" s="22" t="n">
        <v>41794</v>
      </c>
      <c r="J1616" s="22" t="n">
        <v>41799</v>
      </c>
      <c r="K1616" s="43" t="n">
        <f aca="false">J1616-I1616</f>
        <v>5</v>
      </c>
      <c r="L1616" s="1" t="n">
        <v>5</v>
      </c>
      <c r="M1616" s="3" t="s">
        <v>226</v>
      </c>
      <c r="N1616" s="3" t="s">
        <v>65</v>
      </c>
      <c r="O1616" s="3" t="s">
        <v>335</v>
      </c>
      <c r="P1616" s="2" t="str">
        <f aca="false">CONCATENATE(N1616," ",O1616)</f>
        <v>Zora spinimana</v>
      </c>
      <c r="Q1616" s="1" t="s">
        <v>30</v>
      </c>
      <c r="R1616" s="1" t="s">
        <v>31</v>
      </c>
      <c r="S1616" s="3" t="n">
        <v>1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f aca="false">SUM(S1616:T1616)</f>
        <v>1</v>
      </c>
      <c r="Z1616" s="3" t="n">
        <f aca="false">SUM(U1616:W1616)</f>
        <v>0</v>
      </c>
      <c r="AA1616" s="3" t="n">
        <f aca="false">SUM(S1616:X1616)</f>
        <v>1</v>
      </c>
      <c r="AB1616" s="11" t="n">
        <f aca="false">(AA1616/(K1616*L1616)*25)*4</f>
        <v>4</v>
      </c>
    </row>
    <row r="1617" customFormat="false" ht="14.25" hidden="false" customHeight="false" outlineLevel="0" collapsed="false">
      <c r="A1617" s="1" t="n">
        <v>2014</v>
      </c>
      <c r="B1617" s="7" t="s">
        <v>322</v>
      </c>
      <c r="C1617" s="7" t="n">
        <v>2</v>
      </c>
      <c r="D1617" s="7" t="s">
        <v>293</v>
      </c>
      <c r="E1617" s="7" t="s">
        <v>293</v>
      </c>
      <c r="F1617" s="3" t="s">
        <v>110</v>
      </c>
      <c r="G1617" s="3" t="n">
        <v>2</v>
      </c>
      <c r="H1617" s="3" t="n">
        <v>6</v>
      </c>
      <c r="I1617" s="22" t="n">
        <v>41794</v>
      </c>
      <c r="J1617" s="22" t="n">
        <v>41799</v>
      </c>
      <c r="K1617" s="43" t="n">
        <f aca="false">J1617-I1617</f>
        <v>5</v>
      </c>
      <c r="L1617" s="1" t="n">
        <v>5</v>
      </c>
      <c r="M1617" s="3" t="s">
        <v>226</v>
      </c>
      <c r="N1617" s="3" t="s">
        <v>65</v>
      </c>
      <c r="O1617" s="3" t="s">
        <v>123</v>
      </c>
      <c r="P1617" s="2" t="str">
        <f aca="false">CONCATENATE(N1617," ",O1617)</f>
        <v>Zora nemoralis</v>
      </c>
      <c r="Q1617" s="1" t="s">
        <v>30</v>
      </c>
      <c r="R1617" s="1" t="s">
        <v>31</v>
      </c>
      <c r="S1617" s="3" t="n">
        <v>1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f aca="false">SUM(S1617:T1617)</f>
        <v>1</v>
      </c>
      <c r="Z1617" s="3" t="n">
        <f aca="false">SUM(U1617:W1617)</f>
        <v>0</v>
      </c>
      <c r="AA1617" s="3" t="n">
        <f aca="false">SUM(S1617:X1617)</f>
        <v>1</v>
      </c>
      <c r="AB1617" s="11" t="n">
        <f aca="false">(AA1617/(K1617*L1617)*25)*4</f>
        <v>4</v>
      </c>
    </row>
    <row r="1618" customFormat="false" ht="14.25" hidden="false" customHeight="false" outlineLevel="0" collapsed="false">
      <c r="A1618" s="1" t="n">
        <v>2014</v>
      </c>
      <c r="B1618" s="7" t="s">
        <v>322</v>
      </c>
      <c r="C1618" s="7" t="n">
        <v>2</v>
      </c>
      <c r="D1618" s="7" t="s">
        <v>293</v>
      </c>
      <c r="E1618" s="7" t="s">
        <v>293</v>
      </c>
      <c r="F1618" s="3" t="s">
        <v>110</v>
      </c>
      <c r="G1618" s="3" t="n">
        <v>2</v>
      </c>
      <c r="H1618" s="3" t="n">
        <v>6</v>
      </c>
      <c r="I1618" s="22" t="n">
        <v>41794</v>
      </c>
      <c r="J1618" s="22" t="n">
        <v>41799</v>
      </c>
      <c r="K1618" s="43" t="n">
        <f aca="false">J1618-I1618</f>
        <v>5</v>
      </c>
      <c r="L1618" s="1" t="n">
        <v>5</v>
      </c>
      <c r="M1618" s="3" t="s">
        <v>32</v>
      </c>
      <c r="N1618" s="3" t="s">
        <v>169</v>
      </c>
      <c r="O1618" s="3" t="s">
        <v>170</v>
      </c>
      <c r="P1618" s="2" t="str">
        <f aca="false">CONCATENATE(N1618," ",O1618)</f>
        <v>Abacoproeces saltuum</v>
      </c>
      <c r="Q1618" s="1" t="s">
        <v>30</v>
      </c>
      <c r="R1618" s="1" t="s">
        <v>31</v>
      </c>
      <c r="S1618" s="3" t="n">
        <v>1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f aca="false">SUM(S1618:T1618)</f>
        <v>1</v>
      </c>
      <c r="Z1618" s="3" t="n">
        <f aca="false">SUM(U1618:W1618)</f>
        <v>0</v>
      </c>
      <c r="AA1618" s="3" t="n">
        <f aca="false">SUM(S1618:X1618)</f>
        <v>1</v>
      </c>
      <c r="AB1618" s="11" t="n">
        <f aca="false">(AA1618/(K1618*L1618)*25)*4</f>
        <v>4</v>
      </c>
    </row>
    <row r="1619" customFormat="false" ht="14.25" hidden="false" customHeight="false" outlineLevel="0" collapsed="false">
      <c r="A1619" s="1" t="n">
        <v>2014</v>
      </c>
      <c r="B1619" s="7" t="s">
        <v>322</v>
      </c>
      <c r="C1619" s="7" t="n">
        <v>2</v>
      </c>
      <c r="D1619" s="7" t="s">
        <v>293</v>
      </c>
      <c r="E1619" s="7" t="s">
        <v>293</v>
      </c>
      <c r="F1619" s="3" t="s">
        <v>110</v>
      </c>
      <c r="G1619" s="3" t="n">
        <v>2</v>
      </c>
      <c r="H1619" s="3" t="n">
        <v>6</v>
      </c>
      <c r="I1619" s="22" t="n">
        <v>41794</v>
      </c>
      <c r="J1619" s="22" t="n">
        <v>41799</v>
      </c>
      <c r="K1619" s="43" t="n">
        <f aca="false">J1619-I1619</f>
        <v>5</v>
      </c>
      <c r="L1619" s="1" t="n">
        <v>5</v>
      </c>
      <c r="M1619" s="3" t="s">
        <v>32</v>
      </c>
      <c r="N1619" s="3" t="s">
        <v>169</v>
      </c>
      <c r="O1619" s="3" t="s">
        <v>170</v>
      </c>
      <c r="P1619" s="2" t="str">
        <f aca="false">CONCATENATE(N1619," ",O1619)</f>
        <v>Abacoproeces saltuum</v>
      </c>
      <c r="Q1619" s="1" t="s">
        <v>30</v>
      </c>
      <c r="R1619" s="1" t="s">
        <v>35</v>
      </c>
      <c r="S1619" s="3" t="n">
        <v>0</v>
      </c>
      <c r="T1619" s="3" t="n">
        <v>3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f aca="false">SUM(S1619:T1619)</f>
        <v>3</v>
      </c>
      <c r="Z1619" s="3" t="n">
        <f aca="false">SUM(U1619:W1619)</f>
        <v>0</v>
      </c>
      <c r="AA1619" s="3" t="n">
        <f aca="false">SUM(S1619:X1619)</f>
        <v>3</v>
      </c>
      <c r="AB1619" s="11" t="n">
        <f aca="false">(AA1619/(K1619*L1619)*25)*4</f>
        <v>12</v>
      </c>
    </row>
    <row r="1620" customFormat="false" ht="14.25" hidden="false" customHeight="false" outlineLevel="0" collapsed="false">
      <c r="A1620" s="1" t="n">
        <v>2014</v>
      </c>
      <c r="B1620" s="7" t="s">
        <v>322</v>
      </c>
      <c r="C1620" s="7" t="n">
        <v>2</v>
      </c>
      <c r="D1620" s="7" t="s">
        <v>293</v>
      </c>
      <c r="E1620" s="7" t="s">
        <v>293</v>
      </c>
      <c r="F1620" s="3" t="s">
        <v>110</v>
      </c>
      <c r="G1620" s="3" t="n">
        <v>2</v>
      </c>
      <c r="H1620" s="3" t="n">
        <v>6</v>
      </c>
      <c r="I1620" s="22" t="n">
        <v>41794</v>
      </c>
      <c r="J1620" s="22" t="n">
        <v>41799</v>
      </c>
      <c r="K1620" s="43" t="n">
        <f aca="false">J1620-I1620</f>
        <v>5</v>
      </c>
      <c r="L1620" s="1" t="n">
        <v>5</v>
      </c>
      <c r="M1620" s="3" t="s">
        <v>144</v>
      </c>
      <c r="N1620" s="3" t="s">
        <v>145</v>
      </c>
      <c r="O1620" s="3" t="s">
        <v>146</v>
      </c>
      <c r="P1620" s="2" t="str">
        <f aca="false">CONCATENATE(N1620," ",O1620)</f>
        <v>Phrurolithus festivus</v>
      </c>
      <c r="Q1620" s="1" t="s">
        <v>30</v>
      </c>
      <c r="R1620" s="1" t="s">
        <v>31</v>
      </c>
      <c r="S1620" s="3" t="n">
        <v>1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f aca="false">SUM(S1620:T1620)</f>
        <v>1</v>
      </c>
      <c r="Z1620" s="3" t="n">
        <f aca="false">SUM(U1620:W1620)</f>
        <v>0</v>
      </c>
      <c r="AA1620" s="3" t="n">
        <f aca="false">SUM(S1620:X1620)</f>
        <v>1</v>
      </c>
      <c r="AB1620" s="11" t="n">
        <f aca="false">(AA1620/(K1620*L1620)*25)*4</f>
        <v>4</v>
      </c>
    </row>
    <row r="1621" customFormat="false" ht="14.25" hidden="false" customHeight="false" outlineLevel="0" collapsed="false">
      <c r="A1621" s="1" t="n">
        <v>2014</v>
      </c>
      <c r="B1621" s="7" t="s">
        <v>322</v>
      </c>
      <c r="C1621" s="7" t="n">
        <v>2</v>
      </c>
      <c r="D1621" s="7" t="s">
        <v>293</v>
      </c>
      <c r="E1621" s="7" t="s">
        <v>293</v>
      </c>
      <c r="F1621" s="3" t="s">
        <v>110</v>
      </c>
      <c r="G1621" s="3" t="n">
        <v>1</v>
      </c>
      <c r="H1621" s="3" t="n">
        <v>5</v>
      </c>
      <c r="I1621" s="22" t="n">
        <v>41794</v>
      </c>
      <c r="J1621" s="22" t="n">
        <v>41799</v>
      </c>
      <c r="K1621" s="43" t="n">
        <f aca="false">J1621-I1621</f>
        <v>5</v>
      </c>
      <c r="L1621" s="1" t="n">
        <v>5</v>
      </c>
      <c r="M1621" s="3" t="s">
        <v>36</v>
      </c>
      <c r="N1621" s="3" t="s">
        <v>37</v>
      </c>
      <c r="O1621" s="3" t="s">
        <v>75</v>
      </c>
      <c r="P1621" s="2" t="str">
        <f aca="false">CONCATENATE(N1621," ",O1621)</f>
        <v>Ozyptila praticola</v>
      </c>
      <c r="Q1621" s="1" t="s">
        <v>30</v>
      </c>
      <c r="R1621" s="1" t="s">
        <v>31</v>
      </c>
      <c r="S1621" s="3" t="n">
        <v>3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f aca="false">SUM(S1621:T1621)</f>
        <v>3</v>
      </c>
      <c r="Z1621" s="3" t="n">
        <f aca="false">SUM(U1621:W1621)</f>
        <v>0</v>
      </c>
      <c r="AA1621" s="3" t="n">
        <f aca="false">SUM(S1621:X1621)</f>
        <v>3</v>
      </c>
      <c r="AB1621" s="11" t="n">
        <f aca="false">(AA1621/(K1621*L1621)*25)*4</f>
        <v>12</v>
      </c>
    </row>
    <row r="1622" customFormat="false" ht="14.25" hidden="false" customHeight="false" outlineLevel="0" collapsed="false">
      <c r="A1622" s="1" t="n">
        <v>2014</v>
      </c>
      <c r="B1622" s="7" t="s">
        <v>322</v>
      </c>
      <c r="C1622" s="7" t="n">
        <v>2</v>
      </c>
      <c r="D1622" s="7" t="s">
        <v>293</v>
      </c>
      <c r="E1622" s="7" t="s">
        <v>293</v>
      </c>
      <c r="F1622" s="3" t="s">
        <v>110</v>
      </c>
      <c r="G1622" s="3" t="n">
        <v>1</v>
      </c>
      <c r="H1622" s="3" t="n">
        <v>5</v>
      </c>
      <c r="I1622" s="22" t="n">
        <v>41794</v>
      </c>
      <c r="J1622" s="22" t="n">
        <v>41799</v>
      </c>
      <c r="K1622" s="43" t="n">
        <f aca="false">J1622-I1622</f>
        <v>5</v>
      </c>
      <c r="L1622" s="1" t="n">
        <v>5</v>
      </c>
      <c r="M1622" s="3" t="s">
        <v>72</v>
      </c>
      <c r="N1622" s="3" t="s">
        <v>86</v>
      </c>
      <c r="O1622" s="3" t="s">
        <v>87</v>
      </c>
      <c r="P1622" s="2" t="str">
        <f aca="false">CONCATENATE(N1622," ",O1622)</f>
        <v>Haplodrassus soerenseni</v>
      </c>
      <c r="Q1622" s="1" t="s">
        <v>30</v>
      </c>
      <c r="R1622" s="1" t="s">
        <v>31</v>
      </c>
      <c r="S1622" s="3" t="n">
        <v>3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f aca="false">SUM(S1622:T1622)</f>
        <v>3</v>
      </c>
      <c r="Z1622" s="3" t="n">
        <f aca="false">SUM(U1622:W1622)</f>
        <v>0</v>
      </c>
      <c r="AA1622" s="3" t="n">
        <f aca="false">SUM(S1622:X1622)</f>
        <v>3</v>
      </c>
      <c r="AB1622" s="11" t="n">
        <f aca="false">(AA1622/(K1622*L1622)*25)*4</f>
        <v>12</v>
      </c>
    </row>
    <row r="1623" customFormat="false" ht="14.25" hidden="false" customHeight="false" outlineLevel="0" collapsed="false">
      <c r="A1623" s="1" t="n">
        <v>2014</v>
      </c>
      <c r="B1623" s="7" t="s">
        <v>322</v>
      </c>
      <c r="C1623" s="7" t="n">
        <v>2</v>
      </c>
      <c r="D1623" s="7" t="s">
        <v>293</v>
      </c>
      <c r="E1623" s="7" t="s">
        <v>293</v>
      </c>
      <c r="F1623" s="3" t="s">
        <v>110</v>
      </c>
      <c r="G1623" s="3" t="n">
        <v>1</v>
      </c>
      <c r="H1623" s="3" t="n">
        <v>5</v>
      </c>
      <c r="I1623" s="22" t="n">
        <v>41794</v>
      </c>
      <c r="J1623" s="22" t="n">
        <v>41799</v>
      </c>
      <c r="K1623" s="43" t="n">
        <f aca="false">J1623-I1623</f>
        <v>5</v>
      </c>
      <c r="L1623" s="1" t="n">
        <v>5</v>
      </c>
      <c r="M1623" s="3" t="s">
        <v>72</v>
      </c>
      <c r="N1623" s="3" t="s">
        <v>86</v>
      </c>
      <c r="O1623" s="3" t="s">
        <v>87</v>
      </c>
      <c r="P1623" s="2" t="str">
        <f aca="false">CONCATENATE(N1623," ",O1623)</f>
        <v>Haplodrassus soerenseni</v>
      </c>
      <c r="Q1623" s="1" t="s">
        <v>30</v>
      </c>
      <c r="R1623" s="1" t="s">
        <v>35</v>
      </c>
      <c r="S1623" s="3" t="n">
        <v>0</v>
      </c>
      <c r="T1623" s="3" t="n">
        <v>1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f aca="false">SUM(S1623:T1623)</f>
        <v>1</v>
      </c>
      <c r="Z1623" s="3" t="n">
        <f aca="false">SUM(U1623:W1623)</f>
        <v>0</v>
      </c>
      <c r="AA1623" s="3" t="n">
        <f aca="false">SUM(S1623:X1623)</f>
        <v>1</v>
      </c>
      <c r="AB1623" s="11" t="n">
        <f aca="false">(AA1623/(K1623*L1623)*25)*4</f>
        <v>4</v>
      </c>
    </row>
    <row r="1624" customFormat="false" ht="14.25" hidden="false" customHeight="false" outlineLevel="0" collapsed="false">
      <c r="A1624" s="1" t="n">
        <v>2014</v>
      </c>
      <c r="B1624" s="7" t="s">
        <v>322</v>
      </c>
      <c r="C1624" s="7" t="n">
        <v>2</v>
      </c>
      <c r="D1624" s="7" t="s">
        <v>293</v>
      </c>
      <c r="E1624" s="7" t="s">
        <v>293</v>
      </c>
      <c r="F1624" s="3" t="s">
        <v>110</v>
      </c>
      <c r="G1624" s="3" t="n">
        <v>1</v>
      </c>
      <c r="H1624" s="3" t="n">
        <v>5</v>
      </c>
      <c r="I1624" s="22" t="n">
        <v>41794</v>
      </c>
      <c r="J1624" s="22" t="n">
        <v>41799</v>
      </c>
      <c r="K1624" s="43" t="n">
        <f aca="false">J1624-I1624</f>
        <v>5</v>
      </c>
      <c r="L1624" s="1" t="n">
        <v>5</v>
      </c>
      <c r="M1624" s="3" t="s">
        <v>32</v>
      </c>
      <c r="N1624" s="3" t="s">
        <v>96</v>
      </c>
      <c r="O1624" s="3" t="s">
        <v>97</v>
      </c>
      <c r="P1624" s="2" t="str">
        <f aca="false">CONCATENATE(N1624," ",O1624)</f>
        <v>Diplocephalus picinus</v>
      </c>
      <c r="Q1624" s="1" t="s">
        <v>30</v>
      </c>
      <c r="R1624" s="1" t="s">
        <v>31</v>
      </c>
      <c r="S1624" s="3" t="n">
        <v>1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f aca="false">SUM(S1624:T1624)</f>
        <v>1</v>
      </c>
      <c r="Z1624" s="3" t="n">
        <f aca="false">SUM(U1624:W1624)</f>
        <v>0</v>
      </c>
      <c r="AA1624" s="3" t="n">
        <f aca="false">SUM(S1624:X1624)</f>
        <v>1</v>
      </c>
      <c r="AB1624" s="11" t="n">
        <f aca="false">(AA1624/(K1624*L1624)*25)*4</f>
        <v>4</v>
      </c>
    </row>
    <row r="1625" customFormat="false" ht="14.25" hidden="false" customHeight="false" outlineLevel="0" collapsed="false">
      <c r="A1625" s="1" t="n">
        <v>2014</v>
      </c>
      <c r="B1625" s="7" t="s">
        <v>322</v>
      </c>
      <c r="C1625" s="7" t="n">
        <v>2</v>
      </c>
      <c r="D1625" s="7" t="s">
        <v>293</v>
      </c>
      <c r="E1625" s="7" t="s">
        <v>293</v>
      </c>
      <c r="F1625" s="3" t="s">
        <v>110</v>
      </c>
      <c r="G1625" s="3" t="n">
        <v>1</v>
      </c>
      <c r="H1625" s="3" t="n">
        <v>5</v>
      </c>
      <c r="I1625" s="22" t="n">
        <v>41794</v>
      </c>
      <c r="J1625" s="22" t="n">
        <v>41799</v>
      </c>
      <c r="K1625" s="43" t="n">
        <f aca="false">J1625-I1625</f>
        <v>5</v>
      </c>
      <c r="L1625" s="1" t="n">
        <v>5</v>
      </c>
      <c r="M1625" s="3" t="s">
        <v>32</v>
      </c>
      <c r="N1625" s="3" t="s">
        <v>154</v>
      </c>
      <c r="O1625" s="3" t="s">
        <v>155</v>
      </c>
      <c r="P1625" s="2" t="str">
        <f aca="false">CONCATENATE(N1625," ",O1625)</f>
        <v>Pocadicnemis pumila</v>
      </c>
      <c r="Q1625" s="1" t="s">
        <v>30</v>
      </c>
      <c r="R1625" s="1" t="s">
        <v>31</v>
      </c>
      <c r="S1625" s="3" t="n">
        <v>1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f aca="false">SUM(S1625:T1625)</f>
        <v>1</v>
      </c>
      <c r="Z1625" s="3" t="n">
        <f aca="false">SUM(U1625:W1625)</f>
        <v>0</v>
      </c>
      <c r="AA1625" s="3" t="n">
        <f aca="false">SUM(S1625:X1625)</f>
        <v>1</v>
      </c>
      <c r="AB1625" s="11" t="n">
        <f aca="false">(AA1625/(K1625*L1625)*25)*4</f>
        <v>4</v>
      </c>
    </row>
    <row r="1626" customFormat="false" ht="14.25" hidden="false" customHeight="false" outlineLevel="0" collapsed="false">
      <c r="A1626" s="1" t="n">
        <v>2014</v>
      </c>
      <c r="B1626" s="7" t="s">
        <v>322</v>
      </c>
      <c r="C1626" s="7" t="n">
        <v>2</v>
      </c>
      <c r="D1626" s="7" t="s">
        <v>293</v>
      </c>
      <c r="E1626" s="7" t="s">
        <v>293</v>
      </c>
      <c r="F1626" s="3" t="s">
        <v>110</v>
      </c>
      <c r="G1626" s="3" t="n">
        <v>1</v>
      </c>
      <c r="H1626" s="3" t="n">
        <v>2</v>
      </c>
      <c r="I1626" s="22" t="n">
        <v>41794</v>
      </c>
      <c r="J1626" s="22" t="n">
        <v>41799</v>
      </c>
      <c r="K1626" s="43" t="n">
        <f aca="false">J1626-I1626</f>
        <v>5</v>
      </c>
      <c r="L1626" s="1" t="n">
        <v>5</v>
      </c>
      <c r="M1626" s="3" t="s">
        <v>48</v>
      </c>
      <c r="N1626" s="3" t="s">
        <v>49</v>
      </c>
      <c r="O1626" s="3" t="s">
        <v>223</v>
      </c>
      <c r="P1626" s="2" t="str">
        <f aca="false">CONCATENATE(N1626," ",O1626)</f>
        <v>Alopecosa pulverulenta</v>
      </c>
      <c r="Q1626" s="1" t="s">
        <v>30</v>
      </c>
      <c r="R1626" s="1" t="s">
        <v>31</v>
      </c>
      <c r="S1626" s="3" t="n">
        <v>1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f aca="false">SUM(S1626:T1626)</f>
        <v>1</v>
      </c>
      <c r="Z1626" s="3" t="n">
        <f aca="false">SUM(U1626:W1626)</f>
        <v>0</v>
      </c>
      <c r="AA1626" s="3" t="n">
        <f aca="false">SUM(S1626:X1626)</f>
        <v>1</v>
      </c>
      <c r="AB1626" s="11" t="n">
        <f aca="false">(AA1626/(K1626*L1626)*25)*4</f>
        <v>4</v>
      </c>
    </row>
    <row r="1627" customFormat="false" ht="14.25" hidden="false" customHeight="false" outlineLevel="0" collapsed="false">
      <c r="A1627" s="1" t="n">
        <v>2014</v>
      </c>
      <c r="B1627" s="7" t="s">
        <v>322</v>
      </c>
      <c r="C1627" s="7" t="n">
        <v>2</v>
      </c>
      <c r="D1627" s="7" t="s">
        <v>293</v>
      </c>
      <c r="E1627" s="7" t="s">
        <v>293</v>
      </c>
      <c r="F1627" s="3" t="s">
        <v>110</v>
      </c>
      <c r="G1627" s="3" t="n">
        <v>1</v>
      </c>
      <c r="H1627" s="3" t="n">
        <v>2</v>
      </c>
      <c r="I1627" s="22" t="n">
        <v>41794</v>
      </c>
      <c r="J1627" s="22" t="n">
        <v>41799</v>
      </c>
      <c r="K1627" s="43" t="n">
        <f aca="false">J1627-I1627</f>
        <v>5</v>
      </c>
      <c r="L1627" s="1" t="n">
        <v>5</v>
      </c>
      <c r="M1627" s="3" t="s">
        <v>36</v>
      </c>
      <c r="N1627" s="3" t="s">
        <v>131</v>
      </c>
      <c r="O1627" s="3" t="s">
        <v>133</v>
      </c>
      <c r="P1627" s="2" t="str">
        <f aca="false">CONCATENATE(N1627," ",O1627)</f>
        <v>Xysticus luctuosus</v>
      </c>
      <c r="Q1627" s="1" t="s">
        <v>30</v>
      </c>
      <c r="R1627" s="1" t="s">
        <v>31</v>
      </c>
      <c r="S1627" s="3" t="n">
        <v>1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f aca="false">SUM(S1627:T1627)</f>
        <v>1</v>
      </c>
      <c r="Z1627" s="3" t="n">
        <f aca="false">SUM(U1627:W1627)</f>
        <v>0</v>
      </c>
      <c r="AA1627" s="3" t="n">
        <f aca="false">SUM(S1627:X1627)</f>
        <v>1</v>
      </c>
      <c r="AB1627" s="11" t="n">
        <f aca="false">(AA1627/(K1627*L1627)*25)*4</f>
        <v>4</v>
      </c>
    </row>
    <row r="1628" customFormat="false" ht="14.25" hidden="false" customHeight="false" outlineLevel="0" collapsed="false">
      <c r="A1628" s="1" t="n">
        <v>2014</v>
      </c>
      <c r="B1628" s="7" t="s">
        <v>322</v>
      </c>
      <c r="C1628" s="7" t="n">
        <v>2</v>
      </c>
      <c r="D1628" s="7" t="s">
        <v>293</v>
      </c>
      <c r="E1628" s="7" t="s">
        <v>293</v>
      </c>
      <c r="F1628" s="3" t="s">
        <v>110</v>
      </c>
      <c r="G1628" s="3" t="n">
        <v>1</v>
      </c>
      <c r="H1628" s="3" t="n">
        <v>2</v>
      </c>
      <c r="I1628" s="22" t="n">
        <v>41794</v>
      </c>
      <c r="J1628" s="22" t="n">
        <v>41799</v>
      </c>
      <c r="K1628" s="43" t="n">
        <f aca="false">J1628-I1628</f>
        <v>5</v>
      </c>
      <c r="L1628" s="1" t="n">
        <v>5</v>
      </c>
      <c r="M1628" s="3" t="s">
        <v>36</v>
      </c>
      <c r="N1628" s="3" t="s">
        <v>37</v>
      </c>
      <c r="O1628" s="3" t="s">
        <v>75</v>
      </c>
      <c r="P1628" s="2" t="str">
        <f aca="false">CONCATENATE(N1628," ",O1628)</f>
        <v>Ozyptila praticola</v>
      </c>
      <c r="Q1628" s="1" t="s">
        <v>30</v>
      </c>
      <c r="R1628" s="1" t="s">
        <v>31</v>
      </c>
      <c r="S1628" s="3" t="n">
        <v>1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f aca="false">SUM(S1628:T1628)</f>
        <v>1</v>
      </c>
      <c r="Z1628" s="3" t="n">
        <f aca="false">SUM(U1628:W1628)</f>
        <v>0</v>
      </c>
      <c r="AA1628" s="3" t="n">
        <f aca="false">SUM(S1628:X1628)</f>
        <v>1</v>
      </c>
      <c r="AB1628" s="11" t="n">
        <f aca="false">(AA1628/(K1628*L1628)*25)*4</f>
        <v>4</v>
      </c>
    </row>
    <row r="1629" customFormat="false" ht="14.25" hidden="false" customHeight="false" outlineLevel="0" collapsed="false">
      <c r="A1629" s="1" t="n">
        <v>2014</v>
      </c>
      <c r="B1629" s="7" t="s">
        <v>322</v>
      </c>
      <c r="C1629" s="7" t="n">
        <v>2</v>
      </c>
      <c r="D1629" s="7" t="s">
        <v>293</v>
      </c>
      <c r="E1629" s="7" t="s">
        <v>293</v>
      </c>
      <c r="F1629" s="3" t="s">
        <v>110</v>
      </c>
      <c r="G1629" s="3" t="n">
        <v>1</v>
      </c>
      <c r="H1629" s="3" t="n">
        <v>2</v>
      </c>
      <c r="I1629" s="22" t="n">
        <v>41794</v>
      </c>
      <c r="J1629" s="22" t="n">
        <v>41799</v>
      </c>
      <c r="K1629" s="43" t="n">
        <f aca="false">J1629-I1629</f>
        <v>5</v>
      </c>
      <c r="L1629" s="1" t="n">
        <v>5</v>
      </c>
      <c r="M1629" s="3" t="s">
        <v>72</v>
      </c>
      <c r="N1629" s="3" t="s">
        <v>73</v>
      </c>
      <c r="O1629" s="3" t="s">
        <v>74</v>
      </c>
      <c r="P1629" s="2" t="str">
        <f aca="false">CONCATENATE(N1629," ",O1629)</f>
        <v>Zelotes subterraneus</v>
      </c>
      <c r="Q1629" s="1" t="s">
        <v>30</v>
      </c>
      <c r="R1629" s="1" t="s">
        <v>31</v>
      </c>
      <c r="S1629" s="3" t="n">
        <v>1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f aca="false">SUM(S1629:T1629)</f>
        <v>1</v>
      </c>
      <c r="Z1629" s="3" t="n">
        <f aca="false">SUM(U1629:W1629)</f>
        <v>0</v>
      </c>
      <c r="AA1629" s="3" t="n">
        <f aca="false">SUM(S1629:X1629)</f>
        <v>1</v>
      </c>
      <c r="AB1629" s="11" t="n">
        <f aca="false">(AA1629/(K1629*L1629)*25)*4</f>
        <v>4</v>
      </c>
    </row>
    <row r="1630" customFormat="false" ht="14.25" hidden="false" customHeight="false" outlineLevel="0" collapsed="false">
      <c r="A1630" s="1" t="n">
        <v>2014</v>
      </c>
      <c r="B1630" s="7" t="s">
        <v>322</v>
      </c>
      <c r="C1630" s="7" t="n">
        <v>2</v>
      </c>
      <c r="D1630" s="7" t="s">
        <v>293</v>
      </c>
      <c r="E1630" s="7" t="s">
        <v>293</v>
      </c>
      <c r="F1630" s="3" t="s">
        <v>110</v>
      </c>
      <c r="G1630" s="3" t="n">
        <v>1</v>
      </c>
      <c r="H1630" s="3" t="n">
        <v>2</v>
      </c>
      <c r="I1630" s="22" t="n">
        <v>41794</v>
      </c>
      <c r="J1630" s="22" t="n">
        <v>41799</v>
      </c>
      <c r="K1630" s="43" t="n">
        <f aca="false">J1630-I1630</f>
        <v>5</v>
      </c>
      <c r="L1630" s="1" t="n">
        <v>5</v>
      </c>
      <c r="M1630" s="3" t="s">
        <v>32</v>
      </c>
      <c r="N1630" s="3" t="s">
        <v>96</v>
      </c>
      <c r="O1630" s="3" t="s">
        <v>97</v>
      </c>
      <c r="P1630" s="2" t="str">
        <f aca="false">CONCATENATE(N1630," ",O1630)</f>
        <v>Diplocephalus picinus</v>
      </c>
      <c r="Q1630" s="1" t="s">
        <v>30</v>
      </c>
      <c r="R1630" s="1" t="s">
        <v>31</v>
      </c>
      <c r="S1630" s="3" t="n">
        <v>1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f aca="false">SUM(S1630:T1630)</f>
        <v>1</v>
      </c>
      <c r="Z1630" s="3" t="n">
        <f aca="false">SUM(U1630:W1630)</f>
        <v>0</v>
      </c>
      <c r="AA1630" s="3" t="n">
        <f aca="false">SUM(S1630:X1630)</f>
        <v>1</v>
      </c>
      <c r="AB1630" s="11" t="n">
        <f aca="false">(AA1630/(K1630*L1630)*25)*4</f>
        <v>4</v>
      </c>
    </row>
    <row r="1631" customFormat="false" ht="14.25" hidden="false" customHeight="false" outlineLevel="0" collapsed="false">
      <c r="A1631" s="1" t="n">
        <v>2014</v>
      </c>
      <c r="B1631" s="7" t="s">
        <v>322</v>
      </c>
      <c r="C1631" s="7" t="n">
        <v>2</v>
      </c>
      <c r="D1631" s="7" t="s">
        <v>293</v>
      </c>
      <c r="E1631" s="7" t="s">
        <v>293</v>
      </c>
      <c r="F1631" s="3" t="s">
        <v>110</v>
      </c>
      <c r="G1631" s="3" t="n">
        <v>1</v>
      </c>
      <c r="H1631" s="3" t="n">
        <v>2</v>
      </c>
      <c r="I1631" s="22" t="n">
        <v>41794</v>
      </c>
      <c r="J1631" s="22" t="n">
        <v>41799</v>
      </c>
      <c r="K1631" s="43" t="n">
        <f aca="false">J1631-I1631</f>
        <v>5</v>
      </c>
      <c r="L1631" s="1" t="n">
        <v>5</v>
      </c>
      <c r="M1631" s="3" t="s">
        <v>32</v>
      </c>
      <c r="N1631" s="3" t="s">
        <v>154</v>
      </c>
      <c r="O1631" s="3" t="s">
        <v>155</v>
      </c>
      <c r="P1631" s="2" t="str">
        <f aca="false">CONCATENATE(N1631," ",O1631)</f>
        <v>Pocadicnemis pumila</v>
      </c>
      <c r="Q1631" s="1" t="s">
        <v>30</v>
      </c>
      <c r="R1631" s="1" t="s">
        <v>31</v>
      </c>
      <c r="S1631" s="3" t="n">
        <v>1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f aca="false">SUM(S1631:T1631)</f>
        <v>1</v>
      </c>
      <c r="Z1631" s="3" t="n">
        <f aca="false">SUM(U1631:W1631)</f>
        <v>0</v>
      </c>
      <c r="AA1631" s="3" t="n">
        <f aca="false">SUM(S1631:X1631)</f>
        <v>1</v>
      </c>
      <c r="AB1631" s="11" t="n">
        <f aca="false">(AA1631/(K1631*L1631)*25)*4</f>
        <v>4</v>
      </c>
    </row>
    <row r="1632" customFormat="false" ht="14.25" hidden="false" customHeight="false" outlineLevel="0" collapsed="false">
      <c r="A1632" s="1" t="n">
        <v>2014</v>
      </c>
      <c r="B1632" s="7" t="s">
        <v>322</v>
      </c>
      <c r="C1632" s="7" t="n">
        <v>2</v>
      </c>
      <c r="D1632" s="7" t="s">
        <v>293</v>
      </c>
      <c r="E1632" s="7" t="s">
        <v>293</v>
      </c>
      <c r="F1632" s="3" t="s">
        <v>110</v>
      </c>
      <c r="G1632" s="3" t="n">
        <v>2</v>
      </c>
      <c r="H1632" s="3" t="n">
        <v>7</v>
      </c>
      <c r="I1632" s="22" t="n">
        <v>41794</v>
      </c>
      <c r="J1632" s="22" t="n">
        <v>41799</v>
      </c>
      <c r="K1632" s="43" t="n">
        <f aca="false">J1632-I1632</f>
        <v>5</v>
      </c>
      <c r="L1632" s="1" t="n">
        <v>5</v>
      </c>
      <c r="M1632" s="3" t="s">
        <v>36</v>
      </c>
      <c r="N1632" s="3" t="s">
        <v>131</v>
      </c>
      <c r="O1632" s="3" t="s">
        <v>133</v>
      </c>
      <c r="P1632" s="2" t="str">
        <f aca="false">CONCATENATE(N1632," ",O1632)</f>
        <v>Xysticus luctuosus</v>
      </c>
      <c r="Q1632" s="1" t="s">
        <v>30</v>
      </c>
      <c r="R1632" s="1" t="s">
        <v>31</v>
      </c>
      <c r="S1632" s="3" t="n">
        <v>1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f aca="false">SUM(S1632:T1632)</f>
        <v>1</v>
      </c>
      <c r="Z1632" s="3" t="n">
        <f aca="false">SUM(U1632:W1632)</f>
        <v>0</v>
      </c>
      <c r="AA1632" s="3" t="n">
        <f aca="false">SUM(S1632:X1632)</f>
        <v>1</v>
      </c>
      <c r="AB1632" s="11" t="n">
        <f aca="false">(AA1632/(K1632*L1632)*25)*4</f>
        <v>4</v>
      </c>
    </row>
    <row r="1633" customFormat="false" ht="14.25" hidden="false" customHeight="false" outlineLevel="0" collapsed="false">
      <c r="A1633" s="1" t="n">
        <v>2014</v>
      </c>
      <c r="B1633" s="7" t="s">
        <v>322</v>
      </c>
      <c r="C1633" s="7" t="n">
        <v>2</v>
      </c>
      <c r="D1633" s="7" t="s">
        <v>293</v>
      </c>
      <c r="E1633" s="7" t="s">
        <v>293</v>
      </c>
      <c r="F1633" s="3" t="s">
        <v>110</v>
      </c>
      <c r="G1633" s="3" t="n">
        <v>2</v>
      </c>
      <c r="H1633" s="3" t="n">
        <v>7</v>
      </c>
      <c r="I1633" s="22" t="n">
        <v>41794</v>
      </c>
      <c r="J1633" s="22" t="n">
        <v>41799</v>
      </c>
      <c r="K1633" s="43" t="n">
        <f aca="false">J1633-I1633</f>
        <v>5</v>
      </c>
      <c r="L1633" s="1" t="n">
        <v>5</v>
      </c>
      <c r="M1633" s="3" t="s">
        <v>36</v>
      </c>
      <c r="N1633" s="3" t="s">
        <v>37</v>
      </c>
      <c r="O1633" s="3" t="s">
        <v>75</v>
      </c>
      <c r="P1633" s="2" t="str">
        <f aca="false">CONCATENATE(N1633," ",O1633)</f>
        <v>Ozyptila praticola</v>
      </c>
      <c r="Q1633" s="1" t="s">
        <v>30</v>
      </c>
      <c r="R1633" s="1" t="s">
        <v>31</v>
      </c>
      <c r="S1633" s="3" t="n">
        <v>1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f aca="false">SUM(S1633:T1633)</f>
        <v>1</v>
      </c>
      <c r="Z1633" s="3" t="n">
        <f aca="false">SUM(U1633:W1633)</f>
        <v>0</v>
      </c>
      <c r="AA1633" s="3" t="n">
        <f aca="false">SUM(S1633:X1633)</f>
        <v>1</v>
      </c>
      <c r="AB1633" s="11" t="n">
        <f aca="false">(AA1633/(K1633*L1633)*25)*4</f>
        <v>4</v>
      </c>
    </row>
    <row r="1634" customFormat="false" ht="14.25" hidden="false" customHeight="false" outlineLevel="0" collapsed="false">
      <c r="A1634" s="1" t="n">
        <v>2014</v>
      </c>
      <c r="B1634" s="7" t="s">
        <v>322</v>
      </c>
      <c r="C1634" s="7" t="n">
        <v>2</v>
      </c>
      <c r="D1634" s="7" t="s">
        <v>293</v>
      </c>
      <c r="E1634" s="7" t="s">
        <v>293</v>
      </c>
      <c r="F1634" s="3" t="s">
        <v>110</v>
      </c>
      <c r="G1634" s="3" t="n">
        <v>2</v>
      </c>
      <c r="H1634" s="3" t="n">
        <v>7</v>
      </c>
      <c r="I1634" s="22" t="n">
        <v>41794</v>
      </c>
      <c r="J1634" s="22" t="n">
        <v>41799</v>
      </c>
      <c r="K1634" s="43" t="n">
        <f aca="false">J1634-I1634</f>
        <v>5</v>
      </c>
      <c r="L1634" s="1" t="n">
        <v>5</v>
      </c>
      <c r="M1634" s="3" t="s">
        <v>135</v>
      </c>
      <c r="N1634" s="3" t="s">
        <v>136</v>
      </c>
      <c r="O1634" s="3" t="s">
        <v>137</v>
      </c>
      <c r="P1634" s="2" t="str">
        <f aca="false">CONCATENATE(N1634," ",O1634)</f>
        <v>Thanatus sabulosus</v>
      </c>
      <c r="Q1634" s="1" t="s">
        <v>30</v>
      </c>
      <c r="R1634" s="1" t="s">
        <v>31</v>
      </c>
      <c r="S1634" s="3" t="n">
        <v>1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f aca="false">SUM(S1634:T1634)</f>
        <v>1</v>
      </c>
      <c r="Z1634" s="3" t="n">
        <f aca="false">SUM(U1634:W1634)</f>
        <v>0</v>
      </c>
      <c r="AA1634" s="3" t="n">
        <f aca="false">SUM(S1634:X1634)</f>
        <v>1</v>
      </c>
      <c r="AB1634" s="11" t="n">
        <f aca="false">(AA1634/(K1634*L1634)*25)*4</f>
        <v>4</v>
      </c>
    </row>
    <row r="1635" customFormat="false" ht="14.25" hidden="false" customHeight="false" outlineLevel="0" collapsed="false">
      <c r="A1635" s="1" t="n">
        <v>2014</v>
      </c>
      <c r="B1635" s="7" t="s">
        <v>322</v>
      </c>
      <c r="C1635" s="7" t="n">
        <v>2</v>
      </c>
      <c r="D1635" s="7" t="s">
        <v>293</v>
      </c>
      <c r="E1635" s="7" t="s">
        <v>293</v>
      </c>
      <c r="F1635" s="3" t="s">
        <v>110</v>
      </c>
      <c r="G1635" s="3" t="n">
        <v>2</v>
      </c>
      <c r="H1635" s="3" t="n">
        <v>7</v>
      </c>
      <c r="I1635" s="22" t="n">
        <v>41794</v>
      </c>
      <c r="J1635" s="22" t="n">
        <v>41799</v>
      </c>
      <c r="K1635" s="43" t="n">
        <f aca="false">J1635-I1635</f>
        <v>5</v>
      </c>
      <c r="L1635" s="1" t="n">
        <v>5</v>
      </c>
      <c r="M1635" s="3" t="s">
        <v>48</v>
      </c>
      <c r="N1635" s="3" t="s">
        <v>67</v>
      </c>
      <c r="O1635" s="3" t="s">
        <v>127</v>
      </c>
      <c r="P1635" s="2" t="str">
        <f aca="false">CONCATENATE(N1635," ",O1635)</f>
        <v>Pardosa lugubris</v>
      </c>
      <c r="Q1635" s="1" t="s">
        <v>30</v>
      </c>
      <c r="R1635" s="1" t="s">
        <v>31</v>
      </c>
      <c r="S1635" s="3" t="n">
        <v>1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f aca="false">SUM(S1635:T1635)</f>
        <v>1</v>
      </c>
      <c r="Z1635" s="3" t="n">
        <f aca="false">SUM(U1635:W1635)</f>
        <v>0</v>
      </c>
      <c r="AA1635" s="3" t="n">
        <f aca="false">SUM(S1635:X1635)</f>
        <v>1</v>
      </c>
      <c r="AB1635" s="11" t="n">
        <f aca="false">(AA1635/(K1635*L1635)*25)*4</f>
        <v>4</v>
      </c>
    </row>
    <row r="1636" customFormat="false" ht="14.25" hidden="false" customHeight="false" outlineLevel="0" collapsed="false">
      <c r="A1636" s="1" t="n">
        <v>2014</v>
      </c>
      <c r="B1636" s="7" t="s">
        <v>322</v>
      </c>
      <c r="C1636" s="7" t="n">
        <v>2</v>
      </c>
      <c r="D1636" s="7" t="s">
        <v>293</v>
      </c>
      <c r="E1636" s="7" t="s">
        <v>293</v>
      </c>
      <c r="F1636" s="3" t="s">
        <v>110</v>
      </c>
      <c r="G1636" s="3" t="n">
        <v>2</v>
      </c>
      <c r="H1636" s="3" t="n">
        <v>7</v>
      </c>
      <c r="I1636" s="22" t="n">
        <v>41794</v>
      </c>
      <c r="J1636" s="22" t="n">
        <v>41799</v>
      </c>
      <c r="K1636" s="43" t="n">
        <f aca="false">J1636-I1636</f>
        <v>5</v>
      </c>
      <c r="L1636" s="1" t="n">
        <v>5</v>
      </c>
      <c r="M1636" s="3" t="s">
        <v>226</v>
      </c>
      <c r="N1636" s="3" t="s">
        <v>65</v>
      </c>
      <c r="O1636" s="3" t="s">
        <v>123</v>
      </c>
      <c r="P1636" s="2" t="str">
        <f aca="false">CONCATENATE(N1636," ",O1636)</f>
        <v>Zora nemoralis</v>
      </c>
      <c r="Q1636" s="1" t="s">
        <v>30</v>
      </c>
      <c r="R1636" s="1" t="s">
        <v>31</v>
      </c>
      <c r="S1636" s="3" t="n">
        <v>1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f aca="false">SUM(S1636:T1636)</f>
        <v>1</v>
      </c>
      <c r="Z1636" s="3" t="n">
        <f aca="false">SUM(U1636:W1636)</f>
        <v>0</v>
      </c>
      <c r="AA1636" s="3" t="n">
        <f aca="false">SUM(S1636:X1636)</f>
        <v>1</v>
      </c>
      <c r="AB1636" s="11" t="n">
        <f aca="false">(AA1636/(K1636*L1636)*25)*4</f>
        <v>4</v>
      </c>
    </row>
    <row r="1637" customFormat="false" ht="14.25" hidden="false" customHeight="false" outlineLevel="0" collapsed="false">
      <c r="A1637" s="1" t="n">
        <v>2014</v>
      </c>
      <c r="B1637" s="7" t="s">
        <v>322</v>
      </c>
      <c r="C1637" s="7" t="n">
        <v>2</v>
      </c>
      <c r="D1637" s="7" t="s">
        <v>293</v>
      </c>
      <c r="E1637" s="7" t="s">
        <v>293</v>
      </c>
      <c r="F1637" s="3" t="s">
        <v>110</v>
      </c>
      <c r="G1637" s="3" t="n">
        <v>2</v>
      </c>
      <c r="H1637" s="3" t="n">
        <v>7</v>
      </c>
      <c r="I1637" s="22" t="n">
        <v>41794</v>
      </c>
      <c r="J1637" s="22" t="n">
        <v>41799</v>
      </c>
      <c r="K1637" s="43" t="n">
        <f aca="false">J1637-I1637</f>
        <v>5</v>
      </c>
      <c r="L1637" s="1" t="n">
        <v>5</v>
      </c>
      <c r="M1637" s="3" t="s">
        <v>72</v>
      </c>
      <c r="N1637" s="3" t="s">
        <v>86</v>
      </c>
      <c r="O1637" s="3" t="s">
        <v>87</v>
      </c>
      <c r="P1637" s="2" t="str">
        <f aca="false">CONCATENATE(N1637," ",O1637)</f>
        <v>Haplodrassus soerenseni</v>
      </c>
      <c r="Q1637" s="1" t="s">
        <v>30</v>
      </c>
      <c r="R1637" s="1" t="s">
        <v>31</v>
      </c>
      <c r="S1637" s="3" t="n">
        <v>2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f aca="false">SUM(S1637:T1637)</f>
        <v>2</v>
      </c>
      <c r="Z1637" s="3" t="n">
        <f aca="false">SUM(U1637:W1637)</f>
        <v>0</v>
      </c>
      <c r="AA1637" s="3" t="n">
        <f aca="false">SUM(S1637:X1637)</f>
        <v>2</v>
      </c>
      <c r="AB1637" s="11" t="n">
        <f aca="false">(AA1637/(K1637*L1637)*25)*4</f>
        <v>8</v>
      </c>
    </row>
    <row r="1638" customFormat="false" ht="14.25" hidden="false" customHeight="false" outlineLevel="0" collapsed="false">
      <c r="A1638" s="1" t="n">
        <v>2014</v>
      </c>
      <c r="B1638" s="7" t="s">
        <v>322</v>
      </c>
      <c r="C1638" s="7" t="n">
        <v>2</v>
      </c>
      <c r="D1638" s="7" t="s">
        <v>293</v>
      </c>
      <c r="E1638" s="7" t="s">
        <v>293</v>
      </c>
      <c r="F1638" s="3" t="s">
        <v>110</v>
      </c>
      <c r="G1638" s="3" t="n">
        <v>2</v>
      </c>
      <c r="H1638" s="3" t="n">
        <v>7</v>
      </c>
      <c r="I1638" s="22" t="n">
        <v>41794</v>
      </c>
      <c r="J1638" s="22" t="n">
        <v>41799</v>
      </c>
      <c r="K1638" s="43" t="n">
        <f aca="false">J1638-I1638</f>
        <v>5</v>
      </c>
      <c r="L1638" s="1" t="n">
        <v>5</v>
      </c>
      <c r="M1638" s="3" t="s">
        <v>72</v>
      </c>
      <c r="N1638" s="3" t="s">
        <v>86</v>
      </c>
      <c r="O1638" s="3" t="s">
        <v>87</v>
      </c>
      <c r="P1638" s="2" t="str">
        <f aca="false">CONCATENATE(N1638," ",O1638)</f>
        <v>Haplodrassus soerenseni</v>
      </c>
      <c r="Q1638" s="1" t="s">
        <v>30</v>
      </c>
      <c r="R1638" s="1" t="s">
        <v>35</v>
      </c>
      <c r="S1638" s="3" t="n">
        <v>0</v>
      </c>
      <c r="T1638" s="3" t="n">
        <v>1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f aca="false">SUM(S1638:T1638)</f>
        <v>1</v>
      </c>
      <c r="Z1638" s="3" t="n">
        <f aca="false">SUM(U1638:W1638)</f>
        <v>0</v>
      </c>
      <c r="AA1638" s="3" t="n">
        <f aca="false">SUM(S1638:X1638)</f>
        <v>1</v>
      </c>
      <c r="AB1638" s="11" t="n">
        <f aca="false">(AA1638/(K1638*L1638)*25)*4</f>
        <v>4</v>
      </c>
    </row>
    <row r="1639" customFormat="false" ht="14.25" hidden="false" customHeight="false" outlineLevel="0" collapsed="false">
      <c r="A1639" s="1" t="n">
        <v>2014</v>
      </c>
      <c r="B1639" s="7" t="s">
        <v>322</v>
      </c>
      <c r="C1639" s="7" t="n">
        <v>2</v>
      </c>
      <c r="D1639" s="7" t="s">
        <v>293</v>
      </c>
      <c r="E1639" s="7" t="s">
        <v>293</v>
      </c>
      <c r="F1639" s="3" t="s">
        <v>110</v>
      </c>
      <c r="G1639" s="3" t="n">
        <v>2</v>
      </c>
      <c r="H1639" s="3" t="n">
        <v>7</v>
      </c>
      <c r="I1639" s="22" t="n">
        <v>41794</v>
      </c>
      <c r="J1639" s="22" t="n">
        <v>41799</v>
      </c>
      <c r="K1639" s="43" t="n">
        <f aca="false">J1639-I1639</f>
        <v>5</v>
      </c>
      <c r="L1639" s="1" t="n">
        <v>5</v>
      </c>
      <c r="M1639" s="3" t="s">
        <v>32</v>
      </c>
      <c r="N1639" s="3" t="s">
        <v>169</v>
      </c>
      <c r="O1639" s="3" t="s">
        <v>170</v>
      </c>
      <c r="P1639" s="2" t="str">
        <f aca="false">CONCATENATE(N1639," ",O1639)</f>
        <v>Abacoproeces saltuum</v>
      </c>
      <c r="Q1639" s="1" t="s">
        <v>30</v>
      </c>
      <c r="R1639" s="1" t="s">
        <v>31</v>
      </c>
      <c r="S1639" s="3" t="n">
        <v>7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f aca="false">SUM(S1639:T1639)</f>
        <v>7</v>
      </c>
      <c r="Z1639" s="3" t="n">
        <f aca="false">SUM(U1639:W1639)</f>
        <v>0</v>
      </c>
      <c r="AA1639" s="3" t="n">
        <f aca="false">SUM(S1639:X1639)</f>
        <v>7</v>
      </c>
      <c r="AB1639" s="11" t="n">
        <f aca="false">(AA1639/(K1639*L1639)*25)*4</f>
        <v>28</v>
      </c>
    </row>
    <row r="1640" customFormat="false" ht="14.25" hidden="false" customHeight="false" outlineLevel="0" collapsed="false">
      <c r="A1640" s="1" t="n">
        <v>2014</v>
      </c>
      <c r="B1640" s="7" t="s">
        <v>322</v>
      </c>
      <c r="C1640" s="7" t="n">
        <v>2</v>
      </c>
      <c r="D1640" s="7" t="s">
        <v>293</v>
      </c>
      <c r="E1640" s="7" t="s">
        <v>293</v>
      </c>
      <c r="F1640" s="3" t="s">
        <v>110</v>
      </c>
      <c r="G1640" s="3" t="n">
        <v>2</v>
      </c>
      <c r="H1640" s="3" t="n">
        <v>7</v>
      </c>
      <c r="I1640" s="22" t="n">
        <v>41794</v>
      </c>
      <c r="J1640" s="22" t="n">
        <v>41799</v>
      </c>
      <c r="K1640" s="43" t="n">
        <f aca="false">J1640-I1640</f>
        <v>5</v>
      </c>
      <c r="L1640" s="1" t="n">
        <v>5</v>
      </c>
      <c r="M1640" s="3" t="s">
        <v>32</v>
      </c>
      <c r="N1640" s="3" t="s">
        <v>169</v>
      </c>
      <c r="O1640" s="3" t="s">
        <v>170</v>
      </c>
      <c r="P1640" s="2" t="str">
        <f aca="false">CONCATENATE(N1640," ",O1640)</f>
        <v>Abacoproeces saltuum</v>
      </c>
      <c r="Q1640" s="1" t="s">
        <v>30</v>
      </c>
      <c r="R1640" s="1" t="s">
        <v>35</v>
      </c>
      <c r="S1640" s="3" t="n">
        <v>0</v>
      </c>
      <c r="T1640" s="3" t="n">
        <v>3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f aca="false">SUM(S1640:T1640)</f>
        <v>3</v>
      </c>
      <c r="Z1640" s="3" t="n">
        <f aca="false">SUM(U1640:W1640)</f>
        <v>0</v>
      </c>
      <c r="AA1640" s="3" t="n">
        <f aca="false">SUM(S1640:X1640)</f>
        <v>3</v>
      </c>
      <c r="AB1640" s="11" t="n">
        <f aca="false">(AA1640/(K1640*L1640)*25)*4</f>
        <v>12</v>
      </c>
    </row>
    <row r="1641" customFormat="false" ht="14.25" hidden="false" customHeight="false" outlineLevel="0" collapsed="false">
      <c r="A1641" s="1" t="n">
        <v>2014</v>
      </c>
      <c r="B1641" s="7" t="s">
        <v>322</v>
      </c>
      <c r="C1641" s="7" t="n">
        <v>2</v>
      </c>
      <c r="D1641" s="7" t="s">
        <v>293</v>
      </c>
      <c r="E1641" s="7" t="s">
        <v>293</v>
      </c>
      <c r="F1641" s="3" t="s">
        <v>110</v>
      </c>
      <c r="G1641" s="3" t="n">
        <v>2</v>
      </c>
      <c r="H1641" s="3" t="n">
        <v>7</v>
      </c>
      <c r="I1641" s="22" t="n">
        <v>41794</v>
      </c>
      <c r="J1641" s="22" t="n">
        <v>41799</v>
      </c>
      <c r="K1641" s="43" t="n">
        <f aca="false">J1641-I1641</f>
        <v>5</v>
      </c>
      <c r="L1641" s="1" t="n">
        <v>5</v>
      </c>
      <c r="M1641" s="3" t="s">
        <v>32</v>
      </c>
      <c r="N1641" s="3" t="s">
        <v>84</v>
      </c>
      <c r="O1641" s="3" t="s">
        <v>85</v>
      </c>
      <c r="P1641" s="2" t="str">
        <f aca="false">CONCATENATE(N1641," ",O1641)</f>
        <v>Walckenaeria antica</v>
      </c>
      <c r="Q1641" s="1" t="s">
        <v>30</v>
      </c>
      <c r="R1641" s="1" t="s">
        <v>35</v>
      </c>
      <c r="S1641" s="3" t="n">
        <v>0</v>
      </c>
      <c r="T1641" s="3" t="n">
        <v>1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f aca="false">SUM(S1641:T1641)</f>
        <v>1</v>
      </c>
      <c r="Z1641" s="3" t="n">
        <f aca="false">SUM(U1641:W1641)</f>
        <v>0</v>
      </c>
      <c r="AA1641" s="3" t="n">
        <f aca="false">SUM(S1641:X1641)</f>
        <v>1</v>
      </c>
      <c r="AB1641" s="11" t="n">
        <f aca="false">(AA1641/(K1641*L1641)*25)*4</f>
        <v>4</v>
      </c>
    </row>
    <row r="1642" customFormat="false" ht="14.25" hidden="false" customHeight="false" outlineLevel="0" collapsed="false">
      <c r="A1642" s="1" t="n">
        <v>2014</v>
      </c>
      <c r="B1642" s="7" t="s">
        <v>322</v>
      </c>
      <c r="C1642" s="7" t="n">
        <v>2</v>
      </c>
      <c r="D1642" s="7" t="s">
        <v>293</v>
      </c>
      <c r="E1642" s="7" t="s">
        <v>293</v>
      </c>
      <c r="F1642" s="3" t="s">
        <v>110</v>
      </c>
      <c r="G1642" s="3" t="n">
        <v>1</v>
      </c>
      <c r="H1642" s="3" t="n">
        <v>4</v>
      </c>
      <c r="I1642" s="22" t="n">
        <v>41794</v>
      </c>
      <c r="J1642" s="22" t="n">
        <v>41799</v>
      </c>
      <c r="K1642" s="43" t="n">
        <f aca="false">J1642-I1642</f>
        <v>5</v>
      </c>
      <c r="L1642" s="1" t="n">
        <v>5</v>
      </c>
      <c r="M1642" s="3" t="s">
        <v>48</v>
      </c>
      <c r="N1642" s="3" t="s">
        <v>49</v>
      </c>
      <c r="O1642" s="3" t="s">
        <v>104</v>
      </c>
      <c r="P1642" s="2" t="str">
        <f aca="false">CONCATENATE(N1642," ",O1642)</f>
        <v>Alopecosa taeniata</v>
      </c>
      <c r="Q1642" s="1" t="s">
        <v>30</v>
      </c>
      <c r="R1642" s="1" t="s">
        <v>31</v>
      </c>
      <c r="S1642" s="3" t="n">
        <v>1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f aca="false">SUM(S1642:T1642)</f>
        <v>1</v>
      </c>
      <c r="Z1642" s="3" t="n">
        <f aca="false">SUM(U1642:W1642)</f>
        <v>0</v>
      </c>
      <c r="AA1642" s="3" t="n">
        <f aca="false">SUM(S1642:X1642)</f>
        <v>1</v>
      </c>
      <c r="AB1642" s="11" t="n">
        <f aca="false">(AA1642/(K1642*L1642)*25)*4</f>
        <v>4</v>
      </c>
    </row>
    <row r="1643" customFormat="false" ht="14.25" hidden="false" customHeight="false" outlineLevel="0" collapsed="false">
      <c r="A1643" s="1" t="n">
        <v>2014</v>
      </c>
      <c r="B1643" s="7" t="s">
        <v>322</v>
      </c>
      <c r="C1643" s="7" t="n">
        <v>2</v>
      </c>
      <c r="D1643" s="7" t="s">
        <v>293</v>
      </c>
      <c r="E1643" s="7" t="s">
        <v>293</v>
      </c>
      <c r="F1643" s="3" t="s">
        <v>110</v>
      </c>
      <c r="G1643" s="3" t="n">
        <v>1</v>
      </c>
      <c r="H1643" s="3" t="n">
        <v>4</v>
      </c>
      <c r="I1643" s="22" t="n">
        <v>41794</v>
      </c>
      <c r="J1643" s="22" t="n">
        <v>41799</v>
      </c>
      <c r="K1643" s="43" t="n">
        <f aca="false">J1643-I1643</f>
        <v>5</v>
      </c>
      <c r="L1643" s="1" t="n">
        <v>5</v>
      </c>
      <c r="M1643" s="3" t="s">
        <v>48</v>
      </c>
      <c r="N1643" s="3" t="s">
        <v>49</v>
      </c>
      <c r="O1643" s="3" t="s">
        <v>104</v>
      </c>
      <c r="P1643" s="2" t="str">
        <f aca="false">CONCATENATE(N1643," ",O1643)</f>
        <v>Alopecosa taeniata</v>
      </c>
      <c r="Q1643" s="1" t="s">
        <v>30</v>
      </c>
      <c r="R1643" s="1" t="s">
        <v>35</v>
      </c>
      <c r="S1643" s="3" t="n">
        <v>0</v>
      </c>
      <c r="T1643" s="3" t="n">
        <v>1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f aca="false">SUM(S1643:T1643)</f>
        <v>1</v>
      </c>
      <c r="Z1643" s="3" t="n">
        <f aca="false">SUM(U1643:W1643)</f>
        <v>0</v>
      </c>
      <c r="AA1643" s="3" t="n">
        <f aca="false">SUM(S1643:X1643)</f>
        <v>1</v>
      </c>
      <c r="AB1643" s="11" t="n">
        <f aca="false">(AA1643/(K1643*L1643)*25)*4</f>
        <v>4</v>
      </c>
    </row>
    <row r="1644" customFormat="false" ht="14.25" hidden="false" customHeight="false" outlineLevel="0" collapsed="false">
      <c r="A1644" s="1" t="n">
        <v>2014</v>
      </c>
      <c r="B1644" s="7" t="s">
        <v>322</v>
      </c>
      <c r="C1644" s="7" t="n">
        <v>2</v>
      </c>
      <c r="D1644" s="7" t="s">
        <v>293</v>
      </c>
      <c r="E1644" s="7" t="s">
        <v>293</v>
      </c>
      <c r="F1644" s="3" t="s">
        <v>110</v>
      </c>
      <c r="G1644" s="3" t="n">
        <v>1</v>
      </c>
      <c r="H1644" s="3" t="n">
        <v>4</v>
      </c>
      <c r="I1644" s="22" t="n">
        <v>41794</v>
      </c>
      <c r="J1644" s="22" t="n">
        <v>41799</v>
      </c>
      <c r="K1644" s="43" t="n">
        <f aca="false">J1644-I1644</f>
        <v>5</v>
      </c>
      <c r="L1644" s="1" t="n">
        <v>5</v>
      </c>
      <c r="M1644" s="3" t="s">
        <v>226</v>
      </c>
      <c r="N1644" s="3" t="s">
        <v>65</v>
      </c>
      <c r="O1644" s="3" t="s">
        <v>123</v>
      </c>
      <c r="P1644" s="2" t="str">
        <f aca="false">CONCATENATE(N1644," ",O1644)</f>
        <v>Zora nemoralis</v>
      </c>
      <c r="Q1644" s="1" t="s">
        <v>30</v>
      </c>
      <c r="R1644" s="1" t="s">
        <v>31</v>
      </c>
      <c r="S1644" s="3" t="n">
        <v>1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f aca="false">SUM(S1644:T1644)</f>
        <v>1</v>
      </c>
      <c r="Z1644" s="3" t="n">
        <f aca="false">SUM(U1644:W1644)</f>
        <v>0</v>
      </c>
      <c r="AA1644" s="3" t="n">
        <f aca="false">SUM(S1644:X1644)</f>
        <v>1</v>
      </c>
      <c r="AB1644" s="11" t="n">
        <f aca="false">(AA1644/(K1644*L1644)*25)*4</f>
        <v>4</v>
      </c>
    </row>
    <row r="1645" customFormat="false" ht="14.25" hidden="false" customHeight="false" outlineLevel="0" collapsed="false">
      <c r="A1645" s="1" t="n">
        <v>2014</v>
      </c>
      <c r="B1645" s="7" t="s">
        <v>322</v>
      </c>
      <c r="C1645" s="7" t="n">
        <v>2</v>
      </c>
      <c r="D1645" s="7" t="s">
        <v>293</v>
      </c>
      <c r="E1645" s="7" t="s">
        <v>293</v>
      </c>
      <c r="F1645" s="3" t="s">
        <v>110</v>
      </c>
      <c r="G1645" s="3" t="n">
        <v>1</v>
      </c>
      <c r="H1645" s="3" t="n">
        <v>4</v>
      </c>
      <c r="I1645" s="22" t="n">
        <v>41794</v>
      </c>
      <c r="J1645" s="22" t="n">
        <v>41799</v>
      </c>
      <c r="K1645" s="43" t="n">
        <f aca="false">J1645-I1645</f>
        <v>5</v>
      </c>
      <c r="L1645" s="1" t="n">
        <v>5</v>
      </c>
      <c r="M1645" s="3" t="s">
        <v>36</v>
      </c>
      <c r="N1645" s="3" t="s">
        <v>37</v>
      </c>
      <c r="O1645" s="3" t="s">
        <v>75</v>
      </c>
      <c r="P1645" s="2" t="str">
        <f aca="false">CONCATENATE(N1645," ",O1645)</f>
        <v>Ozyptila praticola</v>
      </c>
      <c r="Q1645" s="1" t="s">
        <v>30</v>
      </c>
      <c r="R1645" s="1" t="s">
        <v>31</v>
      </c>
      <c r="S1645" s="3" t="n">
        <v>1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f aca="false">SUM(S1645:T1645)</f>
        <v>1</v>
      </c>
      <c r="Z1645" s="3" t="n">
        <f aca="false">SUM(U1645:W1645)</f>
        <v>0</v>
      </c>
      <c r="AA1645" s="3" t="n">
        <f aca="false">SUM(S1645:X1645)</f>
        <v>1</v>
      </c>
      <c r="AB1645" s="11" t="n">
        <f aca="false">(AA1645/(K1645*L1645)*25)*4</f>
        <v>4</v>
      </c>
    </row>
    <row r="1646" customFormat="false" ht="14.25" hidden="false" customHeight="false" outlineLevel="0" collapsed="false">
      <c r="A1646" s="1" t="n">
        <v>2014</v>
      </c>
      <c r="B1646" s="7" t="s">
        <v>322</v>
      </c>
      <c r="C1646" s="7" t="n">
        <v>2</v>
      </c>
      <c r="D1646" s="7" t="s">
        <v>293</v>
      </c>
      <c r="E1646" s="7" t="s">
        <v>293</v>
      </c>
      <c r="F1646" s="3" t="s">
        <v>110</v>
      </c>
      <c r="G1646" s="3" t="n">
        <v>1</v>
      </c>
      <c r="H1646" s="3" t="n">
        <v>4</v>
      </c>
      <c r="I1646" s="22" t="n">
        <v>41794</v>
      </c>
      <c r="J1646" s="22" t="n">
        <v>41799</v>
      </c>
      <c r="K1646" s="43" t="n">
        <f aca="false">J1646-I1646</f>
        <v>5</v>
      </c>
      <c r="L1646" s="1" t="n">
        <v>5</v>
      </c>
      <c r="M1646" s="3" t="s">
        <v>32</v>
      </c>
      <c r="N1646" s="3" t="s">
        <v>96</v>
      </c>
      <c r="O1646" s="3" t="s">
        <v>97</v>
      </c>
      <c r="P1646" s="2" t="str">
        <f aca="false">CONCATENATE(N1646," ",O1646)</f>
        <v>Diplocephalus picinus</v>
      </c>
      <c r="Q1646" s="1" t="s">
        <v>30</v>
      </c>
      <c r="R1646" s="1" t="s">
        <v>31</v>
      </c>
      <c r="S1646" s="3" t="n">
        <v>1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f aca="false">SUM(S1646:T1646)</f>
        <v>1</v>
      </c>
      <c r="Z1646" s="3" t="n">
        <f aca="false">SUM(U1646:W1646)</f>
        <v>0</v>
      </c>
      <c r="AA1646" s="3" t="n">
        <f aca="false">SUM(S1646:X1646)</f>
        <v>1</v>
      </c>
      <c r="AB1646" s="11" t="n">
        <f aca="false">(AA1646/(K1646*L1646)*25)*4</f>
        <v>4</v>
      </c>
    </row>
    <row r="1647" customFormat="false" ht="14.25" hidden="false" customHeight="false" outlineLevel="0" collapsed="false">
      <c r="A1647" s="1" t="n">
        <v>2014</v>
      </c>
      <c r="B1647" s="7" t="s">
        <v>322</v>
      </c>
      <c r="C1647" s="7" t="n">
        <v>2</v>
      </c>
      <c r="D1647" s="7" t="s">
        <v>293</v>
      </c>
      <c r="E1647" s="7" t="s">
        <v>293</v>
      </c>
      <c r="F1647" s="3" t="s">
        <v>110</v>
      </c>
      <c r="G1647" s="3" t="n">
        <v>1</v>
      </c>
      <c r="H1647" s="3" t="n">
        <v>4</v>
      </c>
      <c r="I1647" s="22" t="n">
        <v>41794</v>
      </c>
      <c r="J1647" s="22" t="n">
        <v>41799</v>
      </c>
      <c r="K1647" s="43" t="n">
        <f aca="false">J1647-I1647</f>
        <v>5</v>
      </c>
      <c r="L1647" s="1" t="n">
        <v>5</v>
      </c>
      <c r="M1647" s="3" t="s">
        <v>32</v>
      </c>
      <c r="N1647" s="3" t="s">
        <v>154</v>
      </c>
      <c r="O1647" s="3" t="s">
        <v>155</v>
      </c>
      <c r="P1647" s="2" t="str">
        <f aca="false">CONCATENATE(N1647," ",O1647)</f>
        <v>Pocadicnemis pumila</v>
      </c>
      <c r="Q1647" s="1" t="s">
        <v>30</v>
      </c>
      <c r="R1647" s="1" t="s">
        <v>31</v>
      </c>
      <c r="S1647" s="3" t="n">
        <v>1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f aca="false">SUM(S1647:T1647)</f>
        <v>1</v>
      </c>
      <c r="Z1647" s="3" t="n">
        <f aca="false">SUM(U1647:W1647)</f>
        <v>0</v>
      </c>
      <c r="AA1647" s="3" t="n">
        <f aca="false">SUM(S1647:X1647)</f>
        <v>1</v>
      </c>
      <c r="AB1647" s="11" t="n">
        <f aca="false">(AA1647/(K1647*L1647)*25)*4</f>
        <v>4</v>
      </c>
    </row>
    <row r="1648" customFormat="false" ht="14.25" hidden="false" customHeight="false" outlineLevel="0" collapsed="false">
      <c r="A1648" s="1" t="n">
        <v>2014</v>
      </c>
      <c r="B1648" s="7" t="s">
        <v>322</v>
      </c>
      <c r="C1648" s="7" t="n">
        <v>2</v>
      </c>
      <c r="D1648" s="7" t="s">
        <v>293</v>
      </c>
      <c r="E1648" s="7" t="s">
        <v>293</v>
      </c>
      <c r="F1648" s="3" t="s">
        <v>110</v>
      </c>
      <c r="G1648" s="3" t="n">
        <v>1</v>
      </c>
      <c r="H1648" s="3" t="n">
        <v>4</v>
      </c>
      <c r="I1648" s="22" t="n">
        <v>41794</v>
      </c>
      <c r="J1648" s="22" t="n">
        <v>41799</v>
      </c>
      <c r="K1648" s="43" t="n">
        <f aca="false">J1648-I1648</f>
        <v>5</v>
      </c>
      <c r="L1648" s="1" t="n">
        <v>5</v>
      </c>
      <c r="M1648" s="3" t="s">
        <v>32</v>
      </c>
      <c r="N1648" s="3" t="s">
        <v>169</v>
      </c>
      <c r="O1648" s="3" t="s">
        <v>170</v>
      </c>
      <c r="P1648" s="2" t="str">
        <f aca="false">CONCATENATE(N1648," ",O1648)</f>
        <v>Abacoproeces saltuum</v>
      </c>
      <c r="Q1648" s="1" t="s">
        <v>30</v>
      </c>
      <c r="R1648" s="1" t="s">
        <v>31</v>
      </c>
      <c r="S1648" s="3" t="n">
        <v>1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f aca="false">SUM(S1648:T1648)</f>
        <v>1</v>
      </c>
      <c r="Z1648" s="3" t="n">
        <f aca="false">SUM(U1648:W1648)</f>
        <v>0</v>
      </c>
      <c r="AA1648" s="3" t="n">
        <f aca="false">SUM(S1648:X1648)</f>
        <v>1</v>
      </c>
      <c r="AB1648" s="11" t="n">
        <f aca="false">(AA1648/(K1648*L1648)*25)*4</f>
        <v>4</v>
      </c>
    </row>
    <row r="1649" customFormat="false" ht="14.25" hidden="false" customHeight="false" outlineLevel="0" collapsed="false">
      <c r="A1649" s="1" t="n">
        <v>2014</v>
      </c>
      <c r="B1649" s="7" t="s">
        <v>322</v>
      </c>
      <c r="C1649" s="7" t="n">
        <v>2</v>
      </c>
      <c r="D1649" s="7" t="s">
        <v>293</v>
      </c>
      <c r="E1649" s="7" t="s">
        <v>293</v>
      </c>
      <c r="F1649" s="3" t="s">
        <v>110</v>
      </c>
      <c r="G1649" s="3" t="n">
        <v>2</v>
      </c>
      <c r="H1649" s="3" t="n">
        <v>9</v>
      </c>
      <c r="I1649" s="22" t="n">
        <v>41794</v>
      </c>
      <c r="J1649" s="22" t="n">
        <v>41799</v>
      </c>
      <c r="K1649" s="43" t="n">
        <f aca="false">J1649-I1649</f>
        <v>5</v>
      </c>
      <c r="L1649" s="1" t="n">
        <v>5</v>
      </c>
      <c r="M1649" s="3" t="s">
        <v>48</v>
      </c>
      <c r="N1649" s="3" t="s">
        <v>49</v>
      </c>
      <c r="O1649" s="3" t="s">
        <v>130</v>
      </c>
      <c r="P1649" s="2" t="str">
        <f aca="false">CONCATENATE(N1649," ",O1649)</f>
        <v>Alopecosa aculeata</v>
      </c>
      <c r="Q1649" s="1" t="s">
        <v>30</v>
      </c>
      <c r="R1649" s="1" t="s">
        <v>31</v>
      </c>
      <c r="S1649" s="3" t="n">
        <v>1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f aca="false">SUM(S1649:T1649)</f>
        <v>1</v>
      </c>
      <c r="Z1649" s="3" t="n">
        <f aca="false">SUM(U1649:W1649)</f>
        <v>0</v>
      </c>
      <c r="AA1649" s="3" t="n">
        <f aca="false">SUM(S1649:X1649)</f>
        <v>1</v>
      </c>
      <c r="AB1649" s="11" t="n">
        <f aca="false">(AA1649/(K1649*L1649)*25)*4</f>
        <v>4</v>
      </c>
    </row>
    <row r="1650" customFormat="false" ht="14.25" hidden="false" customHeight="false" outlineLevel="0" collapsed="false">
      <c r="A1650" s="1" t="n">
        <v>2014</v>
      </c>
      <c r="B1650" s="7" t="s">
        <v>322</v>
      </c>
      <c r="C1650" s="7" t="n">
        <v>2</v>
      </c>
      <c r="D1650" s="7" t="s">
        <v>293</v>
      </c>
      <c r="E1650" s="7" t="s">
        <v>293</v>
      </c>
      <c r="F1650" s="3" t="s">
        <v>110</v>
      </c>
      <c r="G1650" s="3" t="n">
        <v>2</v>
      </c>
      <c r="H1650" s="3" t="n">
        <v>9</v>
      </c>
      <c r="I1650" s="22" t="n">
        <v>41794</v>
      </c>
      <c r="J1650" s="22" t="n">
        <v>41799</v>
      </c>
      <c r="K1650" s="43" t="n">
        <f aca="false">J1650-I1650</f>
        <v>5</v>
      </c>
      <c r="L1650" s="1" t="n">
        <v>5</v>
      </c>
      <c r="M1650" s="3" t="s">
        <v>48</v>
      </c>
      <c r="N1650" s="3" t="s">
        <v>61</v>
      </c>
      <c r="O1650" s="3" t="s">
        <v>82</v>
      </c>
      <c r="P1650" s="2" t="str">
        <f aca="false">CONCATENATE(N1650," ",O1650)</f>
        <v>Trochosa terricola</v>
      </c>
      <c r="Q1650" s="1" t="s">
        <v>30</v>
      </c>
      <c r="R1650" s="1" t="s">
        <v>35</v>
      </c>
      <c r="S1650" s="3" t="n">
        <v>0</v>
      </c>
      <c r="T1650" s="3" t="n">
        <v>1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f aca="false">SUM(S1650:T1650)</f>
        <v>1</v>
      </c>
      <c r="Z1650" s="3" t="n">
        <f aca="false">SUM(U1650:W1650)</f>
        <v>0</v>
      </c>
      <c r="AA1650" s="3" t="n">
        <f aca="false">SUM(S1650:X1650)</f>
        <v>1</v>
      </c>
      <c r="AB1650" s="11" t="n">
        <f aca="false">(AA1650/(K1650*L1650)*25)*4</f>
        <v>4</v>
      </c>
    </row>
    <row r="1651" customFormat="false" ht="14.25" hidden="false" customHeight="false" outlineLevel="0" collapsed="false">
      <c r="A1651" s="1" t="n">
        <v>2014</v>
      </c>
      <c r="B1651" s="7" t="s">
        <v>322</v>
      </c>
      <c r="C1651" s="7" t="n">
        <v>2</v>
      </c>
      <c r="D1651" s="7" t="s">
        <v>293</v>
      </c>
      <c r="E1651" s="7" t="s">
        <v>293</v>
      </c>
      <c r="F1651" s="3" t="s">
        <v>110</v>
      </c>
      <c r="G1651" s="3" t="n">
        <v>2</v>
      </c>
      <c r="H1651" s="3" t="n">
        <v>9</v>
      </c>
      <c r="I1651" s="22" t="n">
        <v>41794</v>
      </c>
      <c r="J1651" s="22" t="n">
        <v>41799</v>
      </c>
      <c r="K1651" s="43" t="n">
        <f aca="false">J1651-I1651</f>
        <v>5</v>
      </c>
      <c r="L1651" s="1" t="n">
        <v>5</v>
      </c>
      <c r="M1651" s="3" t="s">
        <v>48</v>
      </c>
      <c r="N1651" s="3" t="s">
        <v>67</v>
      </c>
      <c r="O1651" s="3" t="s">
        <v>127</v>
      </c>
      <c r="P1651" s="2" t="str">
        <f aca="false">CONCATENATE(N1651," ",O1651)</f>
        <v>Pardosa lugubris</v>
      </c>
      <c r="Q1651" s="1" t="s">
        <v>30</v>
      </c>
      <c r="R1651" s="1" t="s">
        <v>31</v>
      </c>
      <c r="S1651" s="3" t="n">
        <v>2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f aca="false">SUM(S1651:T1651)</f>
        <v>2</v>
      </c>
      <c r="Z1651" s="3" t="n">
        <f aca="false">SUM(U1651:W1651)</f>
        <v>0</v>
      </c>
      <c r="AA1651" s="3" t="n">
        <f aca="false">SUM(S1651:X1651)</f>
        <v>2</v>
      </c>
      <c r="AB1651" s="11" t="n">
        <f aca="false">(AA1651/(K1651*L1651)*25)*4</f>
        <v>8</v>
      </c>
    </row>
    <row r="1652" customFormat="false" ht="14.25" hidden="false" customHeight="false" outlineLevel="0" collapsed="false">
      <c r="A1652" s="1" t="n">
        <v>2014</v>
      </c>
      <c r="B1652" s="7" t="s">
        <v>322</v>
      </c>
      <c r="C1652" s="7" t="n">
        <v>2</v>
      </c>
      <c r="D1652" s="7" t="s">
        <v>293</v>
      </c>
      <c r="E1652" s="7" t="s">
        <v>293</v>
      </c>
      <c r="F1652" s="3" t="s">
        <v>110</v>
      </c>
      <c r="G1652" s="3" t="n">
        <v>2</v>
      </c>
      <c r="H1652" s="3" t="n">
        <v>9</v>
      </c>
      <c r="I1652" s="22" t="n">
        <v>41794</v>
      </c>
      <c r="J1652" s="22" t="n">
        <v>41799</v>
      </c>
      <c r="K1652" s="43" t="n">
        <f aca="false">J1652-I1652</f>
        <v>5</v>
      </c>
      <c r="L1652" s="1" t="n">
        <v>5</v>
      </c>
      <c r="M1652" s="3" t="s">
        <v>72</v>
      </c>
      <c r="N1652" s="3" t="s">
        <v>73</v>
      </c>
      <c r="O1652" s="3" t="s">
        <v>74</v>
      </c>
      <c r="P1652" s="2" t="str">
        <f aca="false">CONCATENATE(N1652," ",O1652)</f>
        <v>Zelotes subterraneus</v>
      </c>
      <c r="Q1652" s="1" t="s">
        <v>30</v>
      </c>
      <c r="R1652" s="1" t="s">
        <v>31</v>
      </c>
      <c r="S1652" s="3" t="n">
        <v>1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f aca="false">SUM(S1652:T1652)</f>
        <v>1</v>
      </c>
      <c r="Z1652" s="3" t="n">
        <f aca="false">SUM(U1652:W1652)</f>
        <v>0</v>
      </c>
      <c r="AA1652" s="3" t="n">
        <f aca="false">SUM(S1652:X1652)</f>
        <v>1</v>
      </c>
      <c r="AB1652" s="11" t="n">
        <f aca="false">(AA1652/(K1652*L1652)*25)*4</f>
        <v>4</v>
      </c>
    </row>
    <row r="1653" customFormat="false" ht="14.25" hidden="false" customHeight="false" outlineLevel="0" collapsed="false">
      <c r="A1653" s="1" t="n">
        <v>2014</v>
      </c>
      <c r="B1653" s="7" t="s">
        <v>322</v>
      </c>
      <c r="C1653" s="7" t="n">
        <v>2</v>
      </c>
      <c r="D1653" s="7" t="s">
        <v>293</v>
      </c>
      <c r="E1653" s="7" t="s">
        <v>293</v>
      </c>
      <c r="F1653" s="3" t="s">
        <v>110</v>
      </c>
      <c r="G1653" s="3" t="n">
        <v>2</v>
      </c>
      <c r="H1653" s="3" t="n">
        <v>9</v>
      </c>
      <c r="I1653" s="22" t="n">
        <v>41794</v>
      </c>
      <c r="J1653" s="22" t="n">
        <v>41799</v>
      </c>
      <c r="K1653" s="43" t="n">
        <f aca="false">J1653-I1653</f>
        <v>5</v>
      </c>
      <c r="L1653" s="1" t="n">
        <v>5</v>
      </c>
      <c r="M1653" s="3" t="s">
        <v>226</v>
      </c>
      <c r="N1653" s="3" t="s">
        <v>65</v>
      </c>
      <c r="O1653" s="3" t="s">
        <v>123</v>
      </c>
      <c r="P1653" s="2" t="str">
        <f aca="false">CONCATENATE(N1653," ",O1653)</f>
        <v>Zora nemoralis</v>
      </c>
      <c r="Q1653" s="1" t="s">
        <v>30</v>
      </c>
      <c r="R1653" s="1" t="s">
        <v>31</v>
      </c>
      <c r="S1653" s="3" t="n">
        <v>1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f aca="false">SUM(S1653:T1653)</f>
        <v>1</v>
      </c>
      <c r="Z1653" s="3" t="n">
        <f aca="false">SUM(U1653:W1653)</f>
        <v>0</v>
      </c>
      <c r="AA1653" s="3" t="n">
        <f aca="false">SUM(S1653:X1653)</f>
        <v>1</v>
      </c>
      <c r="AB1653" s="11" t="n">
        <f aca="false">(AA1653/(K1653*L1653)*25)*4</f>
        <v>4</v>
      </c>
    </row>
    <row r="1654" customFormat="false" ht="14.25" hidden="false" customHeight="false" outlineLevel="0" collapsed="false">
      <c r="A1654" s="1" t="n">
        <v>2014</v>
      </c>
      <c r="B1654" s="7" t="s">
        <v>322</v>
      </c>
      <c r="C1654" s="7" t="n">
        <v>2</v>
      </c>
      <c r="D1654" s="7" t="s">
        <v>293</v>
      </c>
      <c r="E1654" s="7" t="s">
        <v>293</v>
      </c>
      <c r="F1654" s="3" t="s">
        <v>110</v>
      </c>
      <c r="G1654" s="3" t="n">
        <v>2</v>
      </c>
      <c r="H1654" s="3" t="n">
        <v>9</v>
      </c>
      <c r="I1654" s="22" t="n">
        <v>41794</v>
      </c>
      <c r="J1654" s="22" t="n">
        <v>41799</v>
      </c>
      <c r="K1654" s="43" t="n">
        <f aca="false">J1654-I1654</f>
        <v>5</v>
      </c>
      <c r="L1654" s="1" t="n">
        <v>5</v>
      </c>
      <c r="M1654" s="3" t="s">
        <v>32</v>
      </c>
      <c r="N1654" s="3" t="s">
        <v>102</v>
      </c>
      <c r="O1654" s="3" t="s">
        <v>192</v>
      </c>
      <c r="P1654" s="2" t="str">
        <f aca="false">CONCATENATE(N1654," ",O1654)</f>
        <v>Agyneta allosubtilis</v>
      </c>
      <c r="Q1654" s="1" t="s">
        <v>30</v>
      </c>
      <c r="R1654" s="1" t="s">
        <v>31</v>
      </c>
      <c r="S1654" s="3" t="n">
        <v>1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f aca="false">SUM(S1654:T1654)</f>
        <v>1</v>
      </c>
      <c r="Z1654" s="3" t="n">
        <f aca="false">SUM(U1654:W1654)</f>
        <v>0</v>
      </c>
      <c r="AA1654" s="3" t="n">
        <f aca="false">SUM(S1654:X1654)</f>
        <v>1</v>
      </c>
      <c r="AB1654" s="11" t="n">
        <f aca="false">(AA1654/(K1654*L1654)*25)*4</f>
        <v>4</v>
      </c>
    </row>
    <row r="1655" customFormat="false" ht="14.25" hidden="false" customHeight="false" outlineLevel="0" collapsed="false">
      <c r="A1655" s="1" t="n">
        <v>2014</v>
      </c>
      <c r="B1655" s="7" t="s">
        <v>322</v>
      </c>
      <c r="C1655" s="7" t="n">
        <v>2</v>
      </c>
      <c r="D1655" s="7" t="s">
        <v>293</v>
      </c>
      <c r="E1655" s="7" t="s">
        <v>293</v>
      </c>
      <c r="F1655" s="3" t="s">
        <v>110</v>
      </c>
      <c r="G1655" s="3" t="n">
        <v>2</v>
      </c>
      <c r="H1655" s="3" t="n">
        <v>9</v>
      </c>
      <c r="I1655" s="22" t="n">
        <v>41794</v>
      </c>
      <c r="J1655" s="22" t="n">
        <v>41799</v>
      </c>
      <c r="K1655" s="43" t="n">
        <f aca="false">J1655-I1655</f>
        <v>5</v>
      </c>
      <c r="L1655" s="1" t="n">
        <v>5</v>
      </c>
      <c r="M1655" s="3" t="s">
        <v>32</v>
      </c>
      <c r="N1655" s="3" t="s">
        <v>96</v>
      </c>
      <c r="O1655" s="3" t="s">
        <v>97</v>
      </c>
      <c r="P1655" s="2" t="str">
        <f aca="false">CONCATENATE(N1655," ",O1655)</f>
        <v>Diplocephalus picinus</v>
      </c>
      <c r="Q1655" s="1" t="s">
        <v>30</v>
      </c>
      <c r="R1655" s="1" t="s">
        <v>31</v>
      </c>
      <c r="S1655" s="3" t="n">
        <v>1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f aca="false">SUM(S1655:T1655)</f>
        <v>1</v>
      </c>
      <c r="Z1655" s="3" t="n">
        <f aca="false">SUM(U1655:W1655)</f>
        <v>0</v>
      </c>
      <c r="AA1655" s="3" t="n">
        <f aca="false">SUM(S1655:X1655)</f>
        <v>1</v>
      </c>
      <c r="AB1655" s="11" t="n">
        <f aca="false">(AA1655/(K1655*L1655)*25)*4</f>
        <v>4</v>
      </c>
    </row>
    <row r="1656" customFormat="false" ht="14.25" hidden="false" customHeight="false" outlineLevel="0" collapsed="false">
      <c r="A1656" s="1" t="n">
        <v>2014</v>
      </c>
      <c r="B1656" s="7" t="s">
        <v>322</v>
      </c>
      <c r="C1656" s="7" t="n">
        <v>2</v>
      </c>
      <c r="D1656" s="7" t="s">
        <v>293</v>
      </c>
      <c r="E1656" s="7" t="s">
        <v>293</v>
      </c>
      <c r="F1656" s="3" t="s">
        <v>110</v>
      </c>
      <c r="G1656" s="3" t="n">
        <v>2</v>
      </c>
      <c r="H1656" s="3" t="n">
        <v>9</v>
      </c>
      <c r="I1656" s="22" t="n">
        <v>41794</v>
      </c>
      <c r="J1656" s="22" t="n">
        <v>41799</v>
      </c>
      <c r="K1656" s="43" t="n">
        <f aca="false">J1656-I1656</f>
        <v>5</v>
      </c>
      <c r="L1656" s="1" t="n">
        <v>5</v>
      </c>
      <c r="M1656" s="3" t="s">
        <v>32</v>
      </c>
      <c r="N1656" s="3" t="s">
        <v>169</v>
      </c>
      <c r="O1656" s="3" t="s">
        <v>170</v>
      </c>
      <c r="P1656" s="2" t="str">
        <f aca="false">CONCATENATE(N1656," ",O1656)</f>
        <v>Abacoproeces saltuum</v>
      </c>
      <c r="Q1656" s="1" t="s">
        <v>30</v>
      </c>
      <c r="R1656" s="1" t="s">
        <v>31</v>
      </c>
      <c r="S1656" s="3" t="n">
        <v>2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f aca="false">SUM(S1656:T1656)</f>
        <v>2</v>
      </c>
      <c r="Z1656" s="3" t="n">
        <f aca="false">SUM(U1656:W1656)</f>
        <v>0</v>
      </c>
      <c r="AA1656" s="3" t="n">
        <f aca="false">SUM(S1656:X1656)</f>
        <v>2</v>
      </c>
      <c r="AB1656" s="11" t="n">
        <f aca="false">(AA1656/(K1656*L1656)*25)*4</f>
        <v>8</v>
      </c>
    </row>
    <row r="1657" customFormat="false" ht="14.25" hidden="false" customHeight="false" outlineLevel="0" collapsed="false">
      <c r="A1657" s="1" t="n">
        <v>2014</v>
      </c>
      <c r="B1657" s="7" t="s">
        <v>322</v>
      </c>
      <c r="C1657" s="7" t="n">
        <v>2</v>
      </c>
      <c r="D1657" s="7" t="s">
        <v>293</v>
      </c>
      <c r="E1657" s="7" t="s">
        <v>293</v>
      </c>
      <c r="F1657" s="3" t="s">
        <v>110</v>
      </c>
      <c r="G1657" s="3" t="n">
        <v>1</v>
      </c>
      <c r="H1657" s="3" t="n">
        <v>1</v>
      </c>
      <c r="I1657" s="22" t="n">
        <v>41794</v>
      </c>
      <c r="J1657" s="22" t="n">
        <v>41799</v>
      </c>
      <c r="K1657" s="43" t="n">
        <f aca="false">J1657-I1657</f>
        <v>5</v>
      </c>
      <c r="L1657" s="1" t="n">
        <v>5</v>
      </c>
      <c r="M1657" s="3" t="s">
        <v>48</v>
      </c>
      <c r="N1657" s="3" t="s">
        <v>67</v>
      </c>
      <c r="O1657" s="3" t="s">
        <v>127</v>
      </c>
      <c r="P1657" s="2" t="str">
        <f aca="false">CONCATENATE(N1657," ",O1657)</f>
        <v>Pardosa lugubris</v>
      </c>
      <c r="Q1657" s="1" t="s">
        <v>30</v>
      </c>
      <c r="R1657" s="1" t="s">
        <v>35</v>
      </c>
      <c r="S1657" s="3" t="n">
        <v>0</v>
      </c>
      <c r="T1657" s="3" t="n">
        <v>1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f aca="false">SUM(S1657:T1657)</f>
        <v>1</v>
      </c>
      <c r="Z1657" s="3" t="n">
        <f aca="false">SUM(U1657:W1657)</f>
        <v>0</v>
      </c>
      <c r="AA1657" s="3" t="n">
        <f aca="false">SUM(S1657:X1657)</f>
        <v>1</v>
      </c>
      <c r="AB1657" s="11" t="n">
        <f aca="false">(AA1657/(K1657*L1657)*25)*4</f>
        <v>4</v>
      </c>
    </row>
    <row r="1658" customFormat="false" ht="14.25" hidden="false" customHeight="false" outlineLevel="0" collapsed="false">
      <c r="A1658" s="1" t="n">
        <v>2014</v>
      </c>
      <c r="B1658" s="7" t="s">
        <v>322</v>
      </c>
      <c r="C1658" s="7" t="n">
        <v>2</v>
      </c>
      <c r="D1658" s="7" t="s">
        <v>293</v>
      </c>
      <c r="E1658" s="7" t="s">
        <v>293</v>
      </c>
      <c r="F1658" s="3" t="s">
        <v>110</v>
      </c>
      <c r="G1658" s="3" t="n">
        <v>1</v>
      </c>
      <c r="H1658" s="3" t="n">
        <v>1</v>
      </c>
      <c r="I1658" s="22" t="n">
        <v>41794</v>
      </c>
      <c r="J1658" s="22" t="n">
        <v>41799</v>
      </c>
      <c r="K1658" s="43" t="n">
        <f aca="false">J1658-I1658</f>
        <v>5</v>
      </c>
      <c r="L1658" s="1" t="n">
        <v>5</v>
      </c>
      <c r="M1658" s="3" t="s">
        <v>48</v>
      </c>
      <c r="N1658" s="3" t="s">
        <v>49</v>
      </c>
      <c r="O1658" s="3" t="s">
        <v>223</v>
      </c>
      <c r="P1658" s="2" t="str">
        <f aca="false">CONCATENATE(N1658," ",O1658)</f>
        <v>Alopecosa pulverulenta</v>
      </c>
      <c r="Q1658" s="1" t="s">
        <v>30</v>
      </c>
      <c r="R1658" s="1" t="s">
        <v>31</v>
      </c>
      <c r="S1658" s="3" t="n">
        <v>2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f aca="false">SUM(S1658:T1658)</f>
        <v>2</v>
      </c>
      <c r="Z1658" s="3" t="n">
        <f aca="false">SUM(U1658:W1658)</f>
        <v>0</v>
      </c>
      <c r="AA1658" s="3" t="n">
        <f aca="false">SUM(S1658:X1658)</f>
        <v>2</v>
      </c>
      <c r="AB1658" s="11" t="n">
        <f aca="false">(AA1658/(K1658*L1658)*25)*4</f>
        <v>8</v>
      </c>
    </row>
    <row r="1659" customFormat="false" ht="14.25" hidden="false" customHeight="false" outlineLevel="0" collapsed="false">
      <c r="A1659" s="1" t="n">
        <v>2014</v>
      </c>
      <c r="B1659" s="7" t="s">
        <v>322</v>
      </c>
      <c r="C1659" s="7" t="n">
        <v>2</v>
      </c>
      <c r="D1659" s="7" t="s">
        <v>293</v>
      </c>
      <c r="E1659" s="7" t="s">
        <v>293</v>
      </c>
      <c r="F1659" s="3" t="s">
        <v>110</v>
      </c>
      <c r="G1659" s="3" t="n">
        <v>1</v>
      </c>
      <c r="H1659" s="3" t="n">
        <v>1</v>
      </c>
      <c r="I1659" s="22" t="n">
        <v>41794</v>
      </c>
      <c r="J1659" s="22" t="n">
        <v>41799</v>
      </c>
      <c r="K1659" s="43" t="n">
        <f aca="false">J1659-I1659</f>
        <v>5</v>
      </c>
      <c r="L1659" s="1" t="n">
        <v>5</v>
      </c>
      <c r="M1659" s="3" t="s">
        <v>36</v>
      </c>
      <c r="N1659" s="3" t="s">
        <v>131</v>
      </c>
      <c r="O1659" s="3" t="s">
        <v>133</v>
      </c>
      <c r="P1659" s="2" t="str">
        <f aca="false">CONCATENATE(N1659," ",O1659)</f>
        <v>Xysticus luctuosus</v>
      </c>
      <c r="Q1659" s="1" t="s">
        <v>30</v>
      </c>
      <c r="R1659" s="1" t="s">
        <v>31</v>
      </c>
      <c r="S1659" s="3" t="n">
        <v>1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f aca="false">SUM(S1659:T1659)</f>
        <v>1</v>
      </c>
      <c r="Z1659" s="3" t="n">
        <f aca="false">SUM(U1659:W1659)</f>
        <v>0</v>
      </c>
      <c r="AA1659" s="3" t="n">
        <f aca="false">SUM(S1659:X1659)</f>
        <v>1</v>
      </c>
      <c r="AB1659" s="11" t="n">
        <f aca="false">(AA1659/(K1659*L1659)*25)*4</f>
        <v>4</v>
      </c>
    </row>
    <row r="1660" customFormat="false" ht="14.25" hidden="false" customHeight="false" outlineLevel="0" collapsed="false">
      <c r="A1660" s="1" t="n">
        <v>2014</v>
      </c>
      <c r="B1660" s="7" t="s">
        <v>322</v>
      </c>
      <c r="C1660" s="7" t="n">
        <v>2</v>
      </c>
      <c r="D1660" s="7" t="s">
        <v>293</v>
      </c>
      <c r="E1660" s="7" t="s">
        <v>293</v>
      </c>
      <c r="F1660" s="3" t="s">
        <v>110</v>
      </c>
      <c r="G1660" s="3" t="n">
        <v>1</v>
      </c>
      <c r="H1660" s="3" t="n">
        <v>1</v>
      </c>
      <c r="I1660" s="22" t="n">
        <v>41794</v>
      </c>
      <c r="J1660" s="22" t="n">
        <v>41799</v>
      </c>
      <c r="K1660" s="43" t="n">
        <f aca="false">J1660-I1660</f>
        <v>5</v>
      </c>
      <c r="L1660" s="1" t="n">
        <v>5</v>
      </c>
      <c r="M1660" s="3" t="s">
        <v>135</v>
      </c>
      <c r="N1660" s="3" t="s">
        <v>136</v>
      </c>
      <c r="O1660" s="3" t="s">
        <v>137</v>
      </c>
      <c r="P1660" s="2" t="str">
        <f aca="false">CONCATENATE(N1660," ",O1660)</f>
        <v>Thanatus sabulosus</v>
      </c>
      <c r="Q1660" s="1" t="s">
        <v>30</v>
      </c>
      <c r="R1660" s="1" t="s">
        <v>31</v>
      </c>
      <c r="S1660" s="3" t="n">
        <v>1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f aca="false">SUM(S1660:T1660)</f>
        <v>1</v>
      </c>
      <c r="Z1660" s="3" t="n">
        <f aca="false">SUM(U1660:W1660)</f>
        <v>0</v>
      </c>
      <c r="AA1660" s="3" t="n">
        <f aca="false">SUM(S1660:X1660)</f>
        <v>1</v>
      </c>
      <c r="AB1660" s="11" t="n">
        <f aca="false">(AA1660/(K1660*L1660)*25)*4</f>
        <v>4</v>
      </c>
    </row>
    <row r="1661" customFormat="false" ht="14.25" hidden="false" customHeight="false" outlineLevel="0" collapsed="false">
      <c r="A1661" s="1" t="n">
        <v>2014</v>
      </c>
      <c r="B1661" s="7" t="s">
        <v>322</v>
      </c>
      <c r="C1661" s="7" t="n">
        <v>2</v>
      </c>
      <c r="D1661" s="7" t="s">
        <v>293</v>
      </c>
      <c r="E1661" s="7" t="s">
        <v>293</v>
      </c>
      <c r="F1661" s="3" t="s">
        <v>110</v>
      </c>
      <c r="G1661" s="3" t="n">
        <v>1</v>
      </c>
      <c r="H1661" s="3" t="n">
        <v>1</v>
      </c>
      <c r="I1661" s="22" t="n">
        <v>41794</v>
      </c>
      <c r="J1661" s="22" t="n">
        <v>41799</v>
      </c>
      <c r="K1661" s="43" t="n">
        <f aca="false">J1661-I1661</f>
        <v>5</v>
      </c>
      <c r="L1661" s="1" t="n">
        <v>5</v>
      </c>
      <c r="M1661" s="3" t="s">
        <v>72</v>
      </c>
      <c r="N1661" s="3" t="s">
        <v>73</v>
      </c>
      <c r="O1661" s="3" t="s">
        <v>239</v>
      </c>
      <c r="P1661" s="2" t="str">
        <f aca="false">CONCATENATE(N1661," ",O1661)</f>
        <v>Zelotes apricorum</v>
      </c>
      <c r="Q1661" s="1" t="s">
        <v>30</v>
      </c>
      <c r="R1661" s="1" t="s">
        <v>35</v>
      </c>
      <c r="S1661" s="3" t="n">
        <v>0</v>
      </c>
      <c r="T1661" s="3" t="n">
        <v>1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f aca="false">SUM(S1661:T1661)</f>
        <v>1</v>
      </c>
      <c r="Z1661" s="3" t="n">
        <f aca="false">SUM(U1661:W1661)</f>
        <v>0</v>
      </c>
      <c r="AA1661" s="3" t="n">
        <f aca="false">SUM(S1661:X1661)</f>
        <v>1</v>
      </c>
      <c r="AB1661" s="11" t="n">
        <f aca="false">(AA1661/(K1661*L1661)*25)*4</f>
        <v>4</v>
      </c>
    </row>
    <row r="1662" customFormat="false" ht="14.25" hidden="false" customHeight="false" outlineLevel="0" collapsed="false">
      <c r="A1662" s="1" t="n">
        <v>2014</v>
      </c>
      <c r="B1662" s="7" t="s">
        <v>322</v>
      </c>
      <c r="C1662" s="7" t="n">
        <v>2</v>
      </c>
      <c r="D1662" s="7" t="s">
        <v>293</v>
      </c>
      <c r="E1662" s="7" t="s">
        <v>293</v>
      </c>
      <c r="F1662" s="3" t="s">
        <v>110</v>
      </c>
      <c r="G1662" s="3" t="n">
        <v>1</v>
      </c>
      <c r="H1662" s="3" t="n">
        <v>1</v>
      </c>
      <c r="I1662" s="22" t="n">
        <v>41794</v>
      </c>
      <c r="J1662" s="22" t="n">
        <v>41799</v>
      </c>
      <c r="K1662" s="43" t="n">
        <f aca="false">J1662-I1662</f>
        <v>5</v>
      </c>
      <c r="L1662" s="1" t="n">
        <v>5</v>
      </c>
      <c r="M1662" s="3" t="s">
        <v>32</v>
      </c>
      <c r="N1662" s="3" t="s">
        <v>169</v>
      </c>
      <c r="O1662" s="3" t="s">
        <v>170</v>
      </c>
      <c r="P1662" s="2" t="str">
        <f aca="false">CONCATENATE(N1662," ",O1662)</f>
        <v>Abacoproeces saltuum</v>
      </c>
      <c r="Q1662" s="1" t="s">
        <v>30</v>
      </c>
      <c r="R1662" s="1" t="s">
        <v>31</v>
      </c>
      <c r="S1662" s="3" t="n">
        <v>1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f aca="false">SUM(S1662:T1662)</f>
        <v>1</v>
      </c>
      <c r="Z1662" s="3" t="n">
        <f aca="false">SUM(U1662:W1662)</f>
        <v>0</v>
      </c>
      <c r="AA1662" s="3" t="n">
        <f aca="false">SUM(S1662:X1662)</f>
        <v>1</v>
      </c>
      <c r="AB1662" s="11" t="n">
        <f aca="false">(AA1662/(K1662*L1662)*25)*4</f>
        <v>4</v>
      </c>
    </row>
    <row r="1663" customFormat="false" ht="14.25" hidden="false" customHeight="false" outlineLevel="0" collapsed="false">
      <c r="A1663" s="1" t="n">
        <v>2014</v>
      </c>
      <c r="B1663" s="7" t="s">
        <v>322</v>
      </c>
      <c r="C1663" s="7" t="n">
        <v>2</v>
      </c>
      <c r="D1663" s="7" t="s">
        <v>293</v>
      </c>
      <c r="E1663" s="7" t="s">
        <v>293</v>
      </c>
      <c r="F1663" s="3" t="s">
        <v>110</v>
      </c>
      <c r="G1663" s="3" t="n">
        <v>3</v>
      </c>
      <c r="H1663" s="3" t="n">
        <v>12</v>
      </c>
      <c r="I1663" s="22" t="n">
        <v>41794</v>
      </c>
      <c r="J1663" s="22" t="n">
        <v>41799</v>
      </c>
      <c r="K1663" s="43" t="n">
        <f aca="false">J1663-I1663</f>
        <v>5</v>
      </c>
      <c r="L1663" s="1" t="n">
        <v>5</v>
      </c>
      <c r="M1663" s="3" t="s">
        <v>48</v>
      </c>
      <c r="N1663" s="3" t="s">
        <v>49</v>
      </c>
      <c r="O1663" s="3" t="s">
        <v>223</v>
      </c>
      <c r="P1663" s="2" t="str">
        <f aca="false">CONCATENATE(N1663," ",O1663)</f>
        <v>Alopecosa pulverulenta</v>
      </c>
      <c r="Q1663" s="1" t="s">
        <v>30</v>
      </c>
      <c r="R1663" s="1" t="s">
        <v>31</v>
      </c>
      <c r="S1663" s="3" t="n">
        <v>1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f aca="false">SUM(S1663:T1663)</f>
        <v>1</v>
      </c>
      <c r="Z1663" s="3" t="n">
        <f aca="false">SUM(U1663:W1663)</f>
        <v>0</v>
      </c>
      <c r="AA1663" s="3" t="n">
        <f aca="false">SUM(S1663:X1663)</f>
        <v>1</v>
      </c>
      <c r="AB1663" s="11" t="n">
        <f aca="false">(AA1663/(K1663*L1663)*25)*4</f>
        <v>4</v>
      </c>
    </row>
    <row r="1664" customFormat="false" ht="14.25" hidden="false" customHeight="false" outlineLevel="0" collapsed="false">
      <c r="A1664" s="1" t="n">
        <v>2014</v>
      </c>
      <c r="B1664" s="7" t="s">
        <v>322</v>
      </c>
      <c r="C1664" s="7" t="n">
        <v>2</v>
      </c>
      <c r="D1664" s="7" t="s">
        <v>293</v>
      </c>
      <c r="E1664" s="7" t="s">
        <v>293</v>
      </c>
      <c r="F1664" s="3" t="s">
        <v>110</v>
      </c>
      <c r="G1664" s="3" t="n">
        <v>3</v>
      </c>
      <c r="H1664" s="3" t="n">
        <v>12</v>
      </c>
      <c r="I1664" s="22" t="n">
        <v>41794</v>
      </c>
      <c r="J1664" s="22" t="n">
        <v>41799</v>
      </c>
      <c r="K1664" s="43" t="n">
        <f aca="false">J1664-I1664</f>
        <v>5</v>
      </c>
      <c r="L1664" s="1" t="n">
        <v>5</v>
      </c>
      <c r="M1664" s="3" t="s">
        <v>48</v>
      </c>
      <c r="N1664" s="3" t="s">
        <v>67</v>
      </c>
      <c r="O1664" s="3" t="s">
        <v>127</v>
      </c>
      <c r="P1664" s="2" t="str">
        <f aca="false">CONCATENATE(N1664," ",O1664)</f>
        <v>Pardosa lugubris</v>
      </c>
      <c r="Q1664" s="1" t="s">
        <v>30</v>
      </c>
      <c r="R1664" s="1" t="s">
        <v>31</v>
      </c>
      <c r="S1664" s="3" t="n">
        <v>2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f aca="false">SUM(S1664:T1664)</f>
        <v>2</v>
      </c>
      <c r="Z1664" s="3" t="n">
        <f aca="false">SUM(U1664:W1664)</f>
        <v>0</v>
      </c>
      <c r="AA1664" s="3" t="n">
        <f aca="false">SUM(S1664:X1664)</f>
        <v>2</v>
      </c>
      <c r="AB1664" s="11" t="n">
        <f aca="false">(AA1664/(K1664*L1664)*25)*4</f>
        <v>8</v>
      </c>
    </row>
    <row r="1665" customFormat="false" ht="14.25" hidden="false" customHeight="false" outlineLevel="0" collapsed="false">
      <c r="A1665" s="1" t="n">
        <v>2014</v>
      </c>
      <c r="B1665" s="7" t="s">
        <v>322</v>
      </c>
      <c r="C1665" s="7" t="n">
        <v>2</v>
      </c>
      <c r="D1665" s="7" t="s">
        <v>293</v>
      </c>
      <c r="E1665" s="7" t="s">
        <v>293</v>
      </c>
      <c r="F1665" s="3" t="s">
        <v>110</v>
      </c>
      <c r="G1665" s="3" t="n">
        <v>3</v>
      </c>
      <c r="H1665" s="3" t="n">
        <v>12</v>
      </c>
      <c r="I1665" s="22" t="n">
        <v>41794</v>
      </c>
      <c r="J1665" s="22" t="n">
        <v>41799</v>
      </c>
      <c r="K1665" s="43" t="n">
        <f aca="false">J1665-I1665</f>
        <v>5</v>
      </c>
      <c r="L1665" s="1" t="n">
        <v>5</v>
      </c>
      <c r="M1665" s="3" t="s">
        <v>226</v>
      </c>
      <c r="N1665" s="3" t="s">
        <v>65</v>
      </c>
      <c r="O1665" s="3" t="s">
        <v>123</v>
      </c>
      <c r="P1665" s="2" t="str">
        <f aca="false">CONCATENATE(N1665," ",O1665)</f>
        <v>Zora nemoralis</v>
      </c>
      <c r="Q1665" s="1" t="s">
        <v>30</v>
      </c>
      <c r="R1665" s="1" t="s">
        <v>31</v>
      </c>
      <c r="S1665" s="3" t="n">
        <v>1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f aca="false">SUM(S1665:T1665)</f>
        <v>1</v>
      </c>
      <c r="Z1665" s="3" t="n">
        <f aca="false">SUM(U1665:W1665)</f>
        <v>0</v>
      </c>
      <c r="AA1665" s="3" t="n">
        <f aca="false">SUM(S1665:X1665)</f>
        <v>1</v>
      </c>
      <c r="AB1665" s="11" t="n">
        <f aca="false">(AA1665/(K1665*L1665)*25)*4</f>
        <v>4</v>
      </c>
    </row>
    <row r="1666" customFormat="false" ht="14.25" hidden="false" customHeight="false" outlineLevel="0" collapsed="false">
      <c r="A1666" s="1" t="n">
        <v>2014</v>
      </c>
      <c r="B1666" s="7" t="s">
        <v>322</v>
      </c>
      <c r="C1666" s="7" t="n">
        <v>2</v>
      </c>
      <c r="D1666" s="7" t="s">
        <v>293</v>
      </c>
      <c r="E1666" s="7" t="s">
        <v>293</v>
      </c>
      <c r="F1666" s="3" t="s">
        <v>110</v>
      </c>
      <c r="G1666" s="3" t="n">
        <v>3</v>
      </c>
      <c r="H1666" s="3" t="n">
        <v>12</v>
      </c>
      <c r="I1666" s="22" t="n">
        <v>41794</v>
      </c>
      <c r="J1666" s="22" t="n">
        <v>41799</v>
      </c>
      <c r="K1666" s="43" t="n">
        <f aca="false">J1666-I1666</f>
        <v>5</v>
      </c>
      <c r="L1666" s="1" t="n">
        <v>5</v>
      </c>
      <c r="M1666" s="3" t="s">
        <v>27</v>
      </c>
      <c r="N1666" s="3" t="s">
        <v>46</v>
      </c>
      <c r="O1666" s="3" t="s">
        <v>47</v>
      </c>
      <c r="P1666" s="2" t="str">
        <f aca="false">CONCATENATE(N1666," ",O1666)</f>
        <v>Euryopis flavomaculata</v>
      </c>
      <c r="Q1666" s="1" t="s">
        <v>30</v>
      </c>
      <c r="R1666" s="1" t="s">
        <v>31</v>
      </c>
      <c r="S1666" s="3" t="n">
        <v>1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f aca="false">SUM(S1666:T1666)</f>
        <v>1</v>
      </c>
      <c r="Z1666" s="3" t="n">
        <f aca="false">SUM(U1666:W1666)</f>
        <v>0</v>
      </c>
      <c r="AA1666" s="3" t="n">
        <f aca="false">SUM(S1666:X1666)</f>
        <v>1</v>
      </c>
      <c r="AB1666" s="11" t="n">
        <f aca="false">(AA1666/(K1666*L1666)*25)*4</f>
        <v>4</v>
      </c>
    </row>
    <row r="1667" customFormat="false" ht="14.25" hidden="false" customHeight="false" outlineLevel="0" collapsed="false">
      <c r="A1667" s="1" t="n">
        <v>2014</v>
      </c>
      <c r="B1667" s="7" t="s">
        <v>322</v>
      </c>
      <c r="C1667" s="7" t="n">
        <v>2</v>
      </c>
      <c r="D1667" s="7" t="s">
        <v>293</v>
      </c>
      <c r="E1667" s="7" t="s">
        <v>293</v>
      </c>
      <c r="F1667" s="3" t="s">
        <v>110</v>
      </c>
      <c r="G1667" s="3" t="n">
        <v>3</v>
      </c>
      <c r="H1667" s="3" t="n">
        <v>12</v>
      </c>
      <c r="I1667" s="22" t="n">
        <v>41794</v>
      </c>
      <c r="J1667" s="22" t="n">
        <v>41799</v>
      </c>
      <c r="K1667" s="43" t="n">
        <f aca="false">J1667-I1667</f>
        <v>5</v>
      </c>
      <c r="L1667" s="1" t="n">
        <v>5</v>
      </c>
      <c r="M1667" s="3" t="s">
        <v>32</v>
      </c>
      <c r="N1667" s="3" t="s">
        <v>169</v>
      </c>
      <c r="O1667" s="3" t="s">
        <v>170</v>
      </c>
      <c r="P1667" s="2" t="str">
        <f aca="false">CONCATENATE(N1667," ",O1667)</f>
        <v>Abacoproeces saltuum</v>
      </c>
      <c r="Q1667" s="1" t="s">
        <v>30</v>
      </c>
      <c r="R1667" s="1" t="s">
        <v>35</v>
      </c>
      <c r="S1667" s="3" t="n">
        <v>0</v>
      </c>
      <c r="T1667" s="3" t="n">
        <v>1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f aca="false">SUM(S1667:T1667)</f>
        <v>1</v>
      </c>
      <c r="Z1667" s="3" t="n">
        <f aca="false">SUM(U1667:W1667)</f>
        <v>0</v>
      </c>
      <c r="AA1667" s="3" t="n">
        <f aca="false">SUM(S1667:X1667)</f>
        <v>1</v>
      </c>
      <c r="AB1667" s="11" t="n">
        <f aca="false">(AA1667/(K1667*L1667)*25)*4</f>
        <v>4</v>
      </c>
    </row>
    <row r="1668" customFormat="false" ht="14.25" hidden="false" customHeight="false" outlineLevel="0" collapsed="false">
      <c r="A1668" s="1" t="n">
        <v>2014</v>
      </c>
      <c r="B1668" s="7" t="s">
        <v>322</v>
      </c>
      <c r="C1668" s="7" t="n">
        <v>2</v>
      </c>
      <c r="D1668" s="7" t="s">
        <v>293</v>
      </c>
      <c r="E1668" s="7" t="s">
        <v>293</v>
      </c>
      <c r="F1668" s="3" t="s">
        <v>110</v>
      </c>
      <c r="G1668" s="3" t="n">
        <v>1</v>
      </c>
      <c r="H1668" s="3" t="n">
        <v>3</v>
      </c>
      <c r="I1668" s="22" t="n">
        <v>41794</v>
      </c>
      <c r="J1668" s="22" t="n">
        <v>41799</v>
      </c>
      <c r="K1668" s="43" t="n">
        <f aca="false">J1668-I1668</f>
        <v>5</v>
      </c>
      <c r="L1668" s="1" t="n">
        <v>5</v>
      </c>
      <c r="M1668" s="3" t="s">
        <v>48</v>
      </c>
      <c r="N1668" s="3" t="s">
        <v>49</v>
      </c>
      <c r="O1668" s="3" t="s">
        <v>223</v>
      </c>
      <c r="P1668" s="2" t="str">
        <f aca="false">CONCATENATE(N1668," ",O1668)</f>
        <v>Alopecosa pulverulenta</v>
      </c>
      <c r="Q1668" s="1" t="s">
        <v>30</v>
      </c>
      <c r="R1668" s="1" t="s">
        <v>31</v>
      </c>
      <c r="S1668" s="3" t="n">
        <v>1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f aca="false">SUM(S1668:T1668)</f>
        <v>1</v>
      </c>
      <c r="Z1668" s="3" t="n">
        <f aca="false">SUM(U1668:W1668)</f>
        <v>0</v>
      </c>
      <c r="AA1668" s="3" t="n">
        <f aca="false">SUM(S1668:X1668)</f>
        <v>1</v>
      </c>
      <c r="AB1668" s="11" t="n">
        <f aca="false">(AA1668/(K1668*L1668)*25)*4</f>
        <v>4</v>
      </c>
    </row>
    <row r="1669" customFormat="false" ht="14.25" hidden="false" customHeight="false" outlineLevel="0" collapsed="false">
      <c r="A1669" s="1" t="n">
        <v>2014</v>
      </c>
      <c r="B1669" s="7" t="s">
        <v>322</v>
      </c>
      <c r="C1669" s="7" t="n">
        <v>2</v>
      </c>
      <c r="D1669" s="7" t="s">
        <v>293</v>
      </c>
      <c r="E1669" s="7" t="s">
        <v>293</v>
      </c>
      <c r="F1669" s="3" t="s">
        <v>110</v>
      </c>
      <c r="G1669" s="3" t="n">
        <v>1</v>
      </c>
      <c r="H1669" s="3" t="n">
        <v>3</v>
      </c>
      <c r="I1669" s="22" t="n">
        <v>41794</v>
      </c>
      <c r="J1669" s="22" t="n">
        <v>41799</v>
      </c>
      <c r="K1669" s="43" t="n">
        <f aca="false">J1669-I1669</f>
        <v>5</v>
      </c>
      <c r="L1669" s="1" t="n">
        <v>5</v>
      </c>
      <c r="M1669" s="3" t="s">
        <v>48</v>
      </c>
      <c r="N1669" s="3" t="s">
        <v>49</v>
      </c>
      <c r="O1669" s="3" t="s">
        <v>104</v>
      </c>
      <c r="P1669" s="2" t="str">
        <f aca="false">CONCATENATE(N1669," ",O1669)</f>
        <v>Alopecosa taeniata</v>
      </c>
      <c r="Q1669" s="1" t="s">
        <v>30</v>
      </c>
      <c r="R1669" s="1" t="s">
        <v>31</v>
      </c>
      <c r="S1669" s="3" t="n">
        <v>1</v>
      </c>
      <c r="T1669" s="3" t="n">
        <v>0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f aca="false">SUM(S1669:T1669)</f>
        <v>1</v>
      </c>
      <c r="Z1669" s="3" t="n">
        <f aca="false">SUM(U1669:W1669)</f>
        <v>0</v>
      </c>
      <c r="AA1669" s="3" t="n">
        <f aca="false">SUM(S1669:X1669)</f>
        <v>1</v>
      </c>
      <c r="AB1669" s="11" t="n">
        <f aca="false">(AA1669/(K1669*L1669)*25)*4</f>
        <v>4</v>
      </c>
    </row>
    <row r="1670" customFormat="false" ht="14.25" hidden="false" customHeight="false" outlineLevel="0" collapsed="false">
      <c r="A1670" s="1" t="n">
        <v>2014</v>
      </c>
      <c r="B1670" s="7" t="s">
        <v>322</v>
      </c>
      <c r="C1670" s="7" t="n">
        <v>2</v>
      </c>
      <c r="D1670" s="7" t="s">
        <v>293</v>
      </c>
      <c r="E1670" s="7" t="s">
        <v>293</v>
      </c>
      <c r="F1670" s="3" t="s">
        <v>110</v>
      </c>
      <c r="G1670" s="3" t="n">
        <v>1</v>
      </c>
      <c r="H1670" s="3" t="n">
        <v>3</v>
      </c>
      <c r="I1670" s="22" t="n">
        <v>41794</v>
      </c>
      <c r="J1670" s="22" t="n">
        <v>41799</v>
      </c>
      <c r="K1670" s="43" t="n">
        <f aca="false">J1670-I1670</f>
        <v>5</v>
      </c>
      <c r="L1670" s="1" t="n">
        <v>5</v>
      </c>
      <c r="M1670" s="3" t="s">
        <v>48</v>
      </c>
      <c r="N1670" s="3" t="s">
        <v>61</v>
      </c>
      <c r="O1670" s="3" t="s">
        <v>82</v>
      </c>
      <c r="P1670" s="2" t="str">
        <f aca="false">CONCATENATE(N1670," ",O1670)</f>
        <v>Trochosa terricola</v>
      </c>
      <c r="Q1670" s="1" t="s">
        <v>30</v>
      </c>
      <c r="R1670" s="1" t="s">
        <v>31</v>
      </c>
      <c r="S1670" s="3" t="n">
        <v>1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f aca="false">SUM(S1670:T1670)</f>
        <v>1</v>
      </c>
      <c r="Z1670" s="3" t="n">
        <f aca="false">SUM(U1670:W1670)</f>
        <v>0</v>
      </c>
      <c r="AA1670" s="3" t="n">
        <f aca="false">SUM(S1670:X1670)</f>
        <v>1</v>
      </c>
      <c r="AB1670" s="11" t="n">
        <f aca="false">(AA1670/(K1670*L1670)*25)*4</f>
        <v>4</v>
      </c>
    </row>
    <row r="1671" customFormat="false" ht="14.25" hidden="false" customHeight="false" outlineLevel="0" collapsed="false">
      <c r="A1671" s="1" t="n">
        <v>2014</v>
      </c>
      <c r="B1671" s="7" t="s">
        <v>322</v>
      </c>
      <c r="C1671" s="7" t="n">
        <v>2</v>
      </c>
      <c r="D1671" s="7" t="s">
        <v>293</v>
      </c>
      <c r="E1671" s="7" t="s">
        <v>293</v>
      </c>
      <c r="F1671" s="3" t="s">
        <v>110</v>
      </c>
      <c r="G1671" s="3" t="n">
        <v>1</v>
      </c>
      <c r="H1671" s="3" t="n">
        <v>3</v>
      </c>
      <c r="I1671" s="22" t="n">
        <v>41794</v>
      </c>
      <c r="J1671" s="22" t="n">
        <v>41799</v>
      </c>
      <c r="K1671" s="43" t="n">
        <f aca="false">J1671-I1671</f>
        <v>5</v>
      </c>
      <c r="L1671" s="1" t="n">
        <v>5</v>
      </c>
      <c r="M1671" s="3" t="s">
        <v>48</v>
      </c>
      <c r="N1671" s="3" t="s">
        <v>67</v>
      </c>
      <c r="O1671" s="3" t="s">
        <v>127</v>
      </c>
      <c r="P1671" s="2" t="str">
        <f aca="false">CONCATENATE(N1671," ",O1671)</f>
        <v>Pardosa lugubris</v>
      </c>
      <c r="Q1671" s="1" t="s">
        <v>30</v>
      </c>
      <c r="R1671" s="1" t="s">
        <v>31</v>
      </c>
      <c r="S1671" s="3" t="n">
        <v>4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f aca="false">SUM(S1671:T1671)</f>
        <v>4</v>
      </c>
      <c r="Z1671" s="3" t="n">
        <f aca="false">SUM(U1671:W1671)</f>
        <v>0</v>
      </c>
      <c r="AA1671" s="3" t="n">
        <f aca="false">SUM(S1671:X1671)</f>
        <v>4</v>
      </c>
      <c r="AB1671" s="11" t="n">
        <f aca="false">(AA1671/(K1671*L1671)*25)*4</f>
        <v>16</v>
      </c>
    </row>
    <row r="1672" customFormat="false" ht="14.25" hidden="false" customHeight="false" outlineLevel="0" collapsed="false">
      <c r="A1672" s="1" t="n">
        <v>2014</v>
      </c>
      <c r="B1672" s="7" t="s">
        <v>322</v>
      </c>
      <c r="C1672" s="7" t="n">
        <v>2</v>
      </c>
      <c r="D1672" s="7" t="s">
        <v>293</v>
      </c>
      <c r="E1672" s="7" t="s">
        <v>293</v>
      </c>
      <c r="F1672" s="3" t="s">
        <v>110</v>
      </c>
      <c r="G1672" s="3" t="n">
        <v>1</v>
      </c>
      <c r="H1672" s="3" t="n">
        <v>3</v>
      </c>
      <c r="I1672" s="22" t="n">
        <v>41794</v>
      </c>
      <c r="J1672" s="22" t="n">
        <v>41799</v>
      </c>
      <c r="K1672" s="43" t="n">
        <f aca="false">J1672-I1672</f>
        <v>5</v>
      </c>
      <c r="L1672" s="1" t="n">
        <v>5</v>
      </c>
      <c r="M1672" s="3" t="s">
        <v>72</v>
      </c>
      <c r="N1672" s="3" t="s">
        <v>73</v>
      </c>
      <c r="O1672" s="3" t="s">
        <v>74</v>
      </c>
      <c r="P1672" s="2" t="str">
        <f aca="false">CONCATENATE(N1672," ",O1672)</f>
        <v>Zelotes subterraneus</v>
      </c>
      <c r="Q1672" s="1" t="s">
        <v>30</v>
      </c>
      <c r="R1672" s="1" t="s">
        <v>31</v>
      </c>
      <c r="S1672" s="3" t="n">
        <v>1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f aca="false">SUM(S1672:T1672)</f>
        <v>1</v>
      </c>
      <c r="Z1672" s="3" t="n">
        <f aca="false">SUM(U1672:W1672)</f>
        <v>0</v>
      </c>
      <c r="AA1672" s="3" t="n">
        <f aca="false">SUM(S1672:X1672)</f>
        <v>1</v>
      </c>
      <c r="AB1672" s="11" t="n">
        <f aca="false">(AA1672/(K1672*L1672)*25)*4</f>
        <v>4</v>
      </c>
    </row>
    <row r="1673" customFormat="false" ht="14.25" hidden="false" customHeight="false" outlineLevel="0" collapsed="false">
      <c r="A1673" s="1" t="n">
        <v>2014</v>
      </c>
      <c r="B1673" s="7" t="s">
        <v>322</v>
      </c>
      <c r="C1673" s="7" t="n">
        <v>2</v>
      </c>
      <c r="D1673" s="7" t="s">
        <v>293</v>
      </c>
      <c r="E1673" s="7" t="s">
        <v>293</v>
      </c>
      <c r="F1673" s="3" t="s">
        <v>110</v>
      </c>
      <c r="G1673" s="3" t="n">
        <v>1</v>
      </c>
      <c r="H1673" s="3" t="n">
        <v>3</v>
      </c>
      <c r="I1673" s="22" t="n">
        <v>41794</v>
      </c>
      <c r="J1673" s="22" t="n">
        <v>41799</v>
      </c>
      <c r="K1673" s="43" t="n">
        <f aca="false">J1673-I1673</f>
        <v>5</v>
      </c>
      <c r="L1673" s="1" t="n">
        <v>5</v>
      </c>
      <c r="M1673" s="3" t="s">
        <v>72</v>
      </c>
      <c r="N1673" s="3" t="s">
        <v>86</v>
      </c>
      <c r="O1673" s="3" t="s">
        <v>87</v>
      </c>
      <c r="P1673" s="2" t="str">
        <f aca="false">CONCATENATE(N1673," ",O1673)</f>
        <v>Haplodrassus soerenseni</v>
      </c>
      <c r="Q1673" s="1" t="s">
        <v>30</v>
      </c>
      <c r="R1673" s="1" t="s">
        <v>31</v>
      </c>
      <c r="S1673" s="3" t="n">
        <v>1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f aca="false">SUM(S1673:T1673)</f>
        <v>1</v>
      </c>
      <c r="Z1673" s="3" t="n">
        <f aca="false">SUM(U1673:W1673)</f>
        <v>0</v>
      </c>
      <c r="AA1673" s="3" t="n">
        <f aca="false">SUM(S1673:X1673)</f>
        <v>1</v>
      </c>
      <c r="AB1673" s="11" t="n">
        <f aca="false">(AA1673/(K1673*L1673)*25)*4</f>
        <v>4</v>
      </c>
    </row>
    <row r="1674" customFormat="false" ht="14.25" hidden="false" customHeight="false" outlineLevel="0" collapsed="false">
      <c r="A1674" s="1" t="n">
        <v>2014</v>
      </c>
      <c r="B1674" s="7" t="s">
        <v>322</v>
      </c>
      <c r="C1674" s="7" t="n">
        <v>2</v>
      </c>
      <c r="D1674" s="7" t="s">
        <v>293</v>
      </c>
      <c r="E1674" s="7" t="s">
        <v>293</v>
      </c>
      <c r="F1674" s="3" t="s">
        <v>110</v>
      </c>
      <c r="G1674" s="3" t="n">
        <v>1</v>
      </c>
      <c r="H1674" s="3" t="n">
        <v>3</v>
      </c>
      <c r="I1674" s="22" t="n">
        <v>41794</v>
      </c>
      <c r="J1674" s="22" t="n">
        <v>41799</v>
      </c>
      <c r="K1674" s="43" t="n">
        <f aca="false">J1674-I1674</f>
        <v>5</v>
      </c>
      <c r="L1674" s="1" t="n">
        <v>5</v>
      </c>
      <c r="M1674" s="3" t="s">
        <v>226</v>
      </c>
      <c r="N1674" s="3" t="s">
        <v>65</v>
      </c>
      <c r="O1674" s="3" t="s">
        <v>123</v>
      </c>
      <c r="P1674" s="2" t="str">
        <f aca="false">CONCATENATE(N1674," ",O1674)</f>
        <v>Zora nemoralis</v>
      </c>
      <c r="Q1674" s="1" t="s">
        <v>30</v>
      </c>
      <c r="R1674" s="1" t="s">
        <v>31</v>
      </c>
      <c r="S1674" s="3" t="n">
        <v>1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f aca="false">SUM(S1674:T1674)</f>
        <v>1</v>
      </c>
      <c r="Z1674" s="3" t="n">
        <f aca="false">SUM(U1674:W1674)</f>
        <v>0</v>
      </c>
      <c r="AA1674" s="3" t="n">
        <f aca="false">SUM(S1674:X1674)</f>
        <v>1</v>
      </c>
      <c r="AB1674" s="11" t="n">
        <f aca="false">(AA1674/(K1674*L1674)*25)*4</f>
        <v>4</v>
      </c>
    </row>
    <row r="1675" customFormat="false" ht="14.25" hidden="false" customHeight="false" outlineLevel="0" collapsed="false">
      <c r="A1675" s="1" t="n">
        <v>2014</v>
      </c>
      <c r="B1675" s="7" t="s">
        <v>322</v>
      </c>
      <c r="C1675" s="7" t="n">
        <v>2</v>
      </c>
      <c r="D1675" s="7" t="s">
        <v>293</v>
      </c>
      <c r="E1675" s="7" t="s">
        <v>293</v>
      </c>
      <c r="F1675" s="3" t="s">
        <v>110</v>
      </c>
      <c r="G1675" s="3" t="n">
        <v>1</v>
      </c>
      <c r="H1675" s="3" t="n">
        <v>3</v>
      </c>
      <c r="I1675" s="22" t="n">
        <v>41794</v>
      </c>
      <c r="J1675" s="22" t="n">
        <v>41799</v>
      </c>
      <c r="K1675" s="43" t="n">
        <f aca="false">J1675-I1675</f>
        <v>5</v>
      </c>
      <c r="L1675" s="1" t="n">
        <v>5</v>
      </c>
      <c r="M1675" s="3" t="s">
        <v>32</v>
      </c>
      <c r="N1675" s="3" t="s">
        <v>169</v>
      </c>
      <c r="O1675" s="3" t="s">
        <v>170</v>
      </c>
      <c r="P1675" s="2" t="str">
        <f aca="false">CONCATENATE(N1675," ",O1675)</f>
        <v>Abacoproeces saltuum</v>
      </c>
      <c r="Q1675" s="1" t="s">
        <v>30</v>
      </c>
      <c r="R1675" s="1" t="s">
        <v>35</v>
      </c>
      <c r="S1675" s="3" t="n">
        <v>0</v>
      </c>
      <c r="T1675" s="3" t="n">
        <v>1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f aca="false">SUM(S1675:T1675)</f>
        <v>1</v>
      </c>
      <c r="Z1675" s="3" t="n">
        <f aca="false">SUM(U1675:W1675)</f>
        <v>0</v>
      </c>
      <c r="AA1675" s="3" t="n">
        <f aca="false">SUM(S1675:X1675)</f>
        <v>1</v>
      </c>
      <c r="AB1675" s="11" t="n">
        <f aca="false">(AA1675/(K1675*L1675)*25)*4</f>
        <v>4</v>
      </c>
    </row>
    <row r="1676" customFormat="false" ht="14.25" hidden="false" customHeight="false" outlineLevel="0" collapsed="false">
      <c r="A1676" s="1" t="n">
        <v>2014</v>
      </c>
      <c r="B1676" s="7" t="s">
        <v>322</v>
      </c>
      <c r="C1676" s="7" t="n">
        <v>2</v>
      </c>
      <c r="D1676" s="7" t="s">
        <v>293</v>
      </c>
      <c r="E1676" s="7" t="s">
        <v>293</v>
      </c>
      <c r="F1676" s="3" t="s">
        <v>110</v>
      </c>
      <c r="G1676" s="3" t="n">
        <v>1</v>
      </c>
      <c r="H1676" s="3" t="n">
        <v>3</v>
      </c>
      <c r="I1676" s="22" t="n">
        <v>41794</v>
      </c>
      <c r="J1676" s="22" t="n">
        <v>41799</v>
      </c>
      <c r="K1676" s="43" t="n">
        <f aca="false">J1676-I1676</f>
        <v>5</v>
      </c>
      <c r="L1676" s="1" t="n">
        <v>5</v>
      </c>
      <c r="M1676" s="3" t="s">
        <v>32</v>
      </c>
      <c r="N1676" s="3" t="s">
        <v>84</v>
      </c>
      <c r="O1676" s="3" t="s">
        <v>181</v>
      </c>
      <c r="P1676" s="2" t="str">
        <f aca="false">CONCATENATE(N1676," ",O1676)</f>
        <v>Walckenaeria cucullata</v>
      </c>
      <c r="Q1676" s="1" t="s">
        <v>30</v>
      </c>
      <c r="R1676" s="1" t="s">
        <v>35</v>
      </c>
      <c r="S1676" s="3" t="n">
        <v>0</v>
      </c>
      <c r="T1676" s="3" t="n">
        <v>1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f aca="false">SUM(S1676:T1676)</f>
        <v>1</v>
      </c>
      <c r="Z1676" s="3" t="n">
        <f aca="false">SUM(U1676:W1676)</f>
        <v>0</v>
      </c>
      <c r="AA1676" s="3" t="n">
        <f aca="false">SUM(S1676:X1676)</f>
        <v>1</v>
      </c>
      <c r="AB1676" s="11" t="n">
        <f aca="false">(AA1676/(K1676*L1676)*25)*4</f>
        <v>4</v>
      </c>
    </row>
    <row r="1677" customFormat="false" ht="14.25" hidden="false" customHeight="false" outlineLevel="0" collapsed="false">
      <c r="A1677" s="1" t="n">
        <v>2014</v>
      </c>
      <c r="B1677" s="7" t="s">
        <v>322</v>
      </c>
      <c r="C1677" s="7" t="n">
        <v>2</v>
      </c>
      <c r="D1677" s="7" t="s">
        <v>293</v>
      </c>
      <c r="E1677" s="7" t="s">
        <v>293</v>
      </c>
      <c r="F1677" s="3" t="s">
        <v>101</v>
      </c>
      <c r="G1677" s="3" t="n">
        <v>2</v>
      </c>
      <c r="H1677" s="3" t="n">
        <v>9</v>
      </c>
      <c r="I1677" s="22" t="n">
        <v>41793</v>
      </c>
      <c r="J1677" s="22" t="n">
        <v>41798</v>
      </c>
      <c r="K1677" s="43" t="n">
        <f aca="false">J1677-I1677</f>
        <v>5</v>
      </c>
      <c r="L1677" s="1" t="n">
        <v>5</v>
      </c>
      <c r="M1677" s="3" t="s">
        <v>48</v>
      </c>
      <c r="N1677" s="3" t="s">
        <v>49</v>
      </c>
      <c r="O1677" s="3" t="s">
        <v>104</v>
      </c>
      <c r="P1677" s="2" t="str">
        <f aca="false">CONCATENATE(N1677," ",O1677)</f>
        <v>Alopecosa taeniata</v>
      </c>
      <c r="Q1677" s="1" t="s">
        <v>30</v>
      </c>
      <c r="R1677" s="1" t="s">
        <v>31</v>
      </c>
      <c r="S1677" s="3" t="n">
        <v>3</v>
      </c>
      <c r="T1677" s="3" t="n">
        <v>0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f aca="false">SUM(S1677:T1677)</f>
        <v>3</v>
      </c>
      <c r="Z1677" s="3" t="n">
        <f aca="false">SUM(U1677:W1677)</f>
        <v>0</v>
      </c>
      <c r="AA1677" s="3" t="n">
        <f aca="false">SUM(S1677:X1677)</f>
        <v>3</v>
      </c>
      <c r="AB1677" s="11" t="n">
        <f aca="false">(AA1677/(K1677*L1677)*25)*4</f>
        <v>12</v>
      </c>
    </row>
    <row r="1678" customFormat="false" ht="14.25" hidden="false" customHeight="false" outlineLevel="0" collapsed="false">
      <c r="A1678" s="1" t="n">
        <v>2014</v>
      </c>
      <c r="B1678" s="7" t="s">
        <v>322</v>
      </c>
      <c r="C1678" s="7" t="n">
        <v>2</v>
      </c>
      <c r="D1678" s="7" t="s">
        <v>293</v>
      </c>
      <c r="E1678" s="7" t="s">
        <v>293</v>
      </c>
      <c r="F1678" s="3" t="s">
        <v>101</v>
      </c>
      <c r="G1678" s="3" t="n">
        <v>2</v>
      </c>
      <c r="H1678" s="3" t="n">
        <v>9</v>
      </c>
      <c r="I1678" s="22" t="n">
        <v>41793</v>
      </c>
      <c r="J1678" s="22" t="n">
        <v>41798</v>
      </c>
      <c r="K1678" s="43" t="n">
        <f aca="false">J1678-I1678</f>
        <v>5</v>
      </c>
      <c r="L1678" s="1" t="n">
        <v>5</v>
      </c>
      <c r="M1678" s="3" t="s">
        <v>48</v>
      </c>
      <c r="N1678" s="3" t="s">
        <v>67</v>
      </c>
      <c r="O1678" s="3" t="s">
        <v>127</v>
      </c>
      <c r="P1678" s="2" t="str">
        <f aca="false">CONCATENATE(N1678," ",O1678)</f>
        <v>Pardosa lugubris</v>
      </c>
      <c r="Q1678" s="1" t="s">
        <v>30</v>
      </c>
      <c r="R1678" s="1" t="s">
        <v>31</v>
      </c>
      <c r="S1678" s="3" t="n">
        <v>1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f aca="false">SUM(S1678:T1678)</f>
        <v>1</v>
      </c>
      <c r="Z1678" s="3" t="n">
        <f aca="false">SUM(U1678:W1678)</f>
        <v>0</v>
      </c>
      <c r="AA1678" s="3" t="n">
        <f aca="false">SUM(S1678:X1678)</f>
        <v>1</v>
      </c>
      <c r="AB1678" s="11" t="n">
        <f aca="false">(AA1678/(K1678*L1678)*25)*4</f>
        <v>4</v>
      </c>
    </row>
    <row r="1679" customFormat="false" ht="14.25" hidden="false" customHeight="false" outlineLevel="0" collapsed="false">
      <c r="A1679" s="1" t="n">
        <v>2014</v>
      </c>
      <c r="B1679" s="7" t="s">
        <v>322</v>
      </c>
      <c r="C1679" s="7" t="n">
        <v>2</v>
      </c>
      <c r="D1679" s="7" t="s">
        <v>293</v>
      </c>
      <c r="E1679" s="7" t="s">
        <v>293</v>
      </c>
      <c r="F1679" s="3" t="s">
        <v>101</v>
      </c>
      <c r="G1679" s="3" t="n">
        <v>2</v>
      </c>
      <c r="H1679" s="3" t="n">
        <v>9</v>
      </c>
      <c r="I1679" s="22" t="n">
        <v>41793</v>
      </c>
      <c r="J1679" s="22" t="n">
        <v>41798</v>
      </c>
      <c r="K1679" s="43" t="n">
        <f aca="false">J1679-I1679</f>
        <v>5</v>
      </c>
      <c r="L1679" s="1" t="n">
        <v>5</v>
      </c>
      <c r="M1679" s="3" t="s">
        <v>72</v>
      </c>
      <c r="N1679" s="3" t="s">
        <v>86</v>
      </c>
      <c r="O1679" s="3" t="s">
        <v>87</v>
      </c>
      <c r="P1679" s="2" t="str">
        <f aca="false">CONCATENATE(N1679," ",O1679)</f>
        <v>Haplodrassus soerenseni</v>
      </c>
      <c r="Q1679" s="1" t="s">
        <v>30</v>
      </c>
      <c r="R1679" s="1" t="s">
        <v>31</v>
      </c>
      <c r="S1679" s="3" t="n">
        <v>1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f aca="false">SUM(S1679:T1679)</f>
        <v>1</v>
      </c>
      <c r="Z1679" s="3" t="n">
        <f aca="false">SUM(U1679:W1679)</f>
        <v>0</v>
      </c>
      <c r="AA1679" s="3" t="n">
        <f aca="false">SUM(S1679:X1679)</f>
        <v>1</v>
      </c>
      <c r="AB1679" s="11" t="n">
        <f aca="false">(AA1679/(K1679*L1679)*25)*4</f>
        <v>4</v>
      </c>
    </row>
    <row r="1680" customFormat="false" ht="14.25" hidden="false" customHeight="false" outlineLevel="0" collapsed="false">
      <c r="A1680" s="1" t="n">
        <v>2014</v>
      </c>
      <c r="B1680" s="7" t="s">
        <v>322</v>
      </c>
      <c r="C1680" s="7" t="n">
        <v>2</v>
      </c>
      <c r="D1680" s="7" t="s">
        <v>293</v>
      </c>
      <c r="E1680" s="7" t="s">
        <v>293</v>
      </c>
      <c r="F1680" s="3" t="s">
        <v>101</v>
      </c>
      <c r="G1680" s="3" t="n">
        <v>1</v>
      </c>
      <c r="H1680" s="3" t="n">
        <v>1</v>
      </c>
      <c r="I1680" s="22" t="n">
        <v>41793</v>
      </c>
      <c r="J1680" s="22" t="n">
        <v>41798</v>
      </c>
      <c r="K1680" s="43" t="n">
        <f aca="false">J1680-I1680</f>
        <v>5</v>
      </c>
      <c r="L1680" s="1" t="n">
        <v>5</v>
      </c>
      <c r="M1680" s="3" t="s">
        <v>48</v>
      </c>
      <c r="N1680" s="3" t="s">
        <v>61</v>
      </c>
      <c r="O1680" s="3" t="s">
        <v>82</v>
      </c>
      <c r="P1680" s="2" t="str">
        <f aca="false">CONCATENATE(N1680," ",O1680)</f>
        <v>Trochosa terricola</v>
      </c>
      <c r="Q1680" s="1" t="s">
        <v>30</v>
      </c>
      <c r="R1680" s="1" t="s">
        <v>35</v>
      </c>
      <c r="S1680" s="3" t="n">
        <v>0</v>
      </c>
      <c r="T1680" s="3" t="n">
        <v>1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f aca="false">SUM(S1680:T1680)</f>
        <v>1</v>
      </c>
      <c r="Z1680" s="3" t="n">
        <f aca="false">SUM(U1680:W1680)</f>
        <v>0</v>
      </c>
      <c r="AA1680" s="3" t="n">
        <f aca="false">SUM(S1680:X1680)</f>
        <v>1</v>
      </c>
      <c r="AB1680" s="11" t="n">
        <f aca="false">(AA1680/(K1680*L1680)*25)*4</f>
        <v>4</v>
      </c>
    </row>
    <row r="1681" customFormat="false" ht="14.25" hidden="false" customHeight="false" outlineLevel="0" collapsed="false">
      <c r="A1681" s="1" t="n">
        <v>2014</v>
      </c>
      <c r="B1681" s="7" t="s">
        <v>322</v>
      </c>
      <c r="C1681" s="7" t="n">
        <v>2</v>
      </c>
      <c r="D1681" s="7" t="s">
        <v>293</v>
      </c>
      <c r="E1681" s="7" t="s">
        <v>293</v>
      </c>
      <c r="F1681" s="3" t="s">
        <v>101</v>
      </c>
      <c r="G1681" s="3" t="n">
        <v>1</v>
      </c>
      <c r="H1681" s="3" t="n">
        <v>1</v>
      </c>
      <c r="I1681" s="22" t="n">
        <v>41793</v>
      </c>
      <c r="J1681" s="22" t="n">
        <v>41798</v>
      </c>
      <c r="K1681" s="43" t="n">
        <f aca="false">J1681-I1681</f>
        <v>5</v>
      </c>
      <c r="L1681" s="1" t="n">
        <v>5</v>
      </c>
      <c r="M1681" s="3" t="s">
        <v>48</v>
      </c>
      <c r="N1681" s="3" t="s">
        <v>49</v>
      </c>
      <c r="O1681" s="3" t="s">
        <v>104</v>
      </c>
      <c r="P1681" s="2" t="str">
        <f aca="false">CONCATENATE(N1681," ",O1681)</f>
        <v>Alopecosa taeniata</v>
      </c>
      <c r="Q1681" s="1" t="s">
        <v>30</v>
      </c>
      <c r="R1681" s="1" t="s">
        <v>31</v>
      </c>
      <c r="S1681" s="3" t="n">
        <v>1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f aca="false">SUM(S1681:T1681)</f>
        <v>1</v>
      </c>
      <c r="Z1681" s="3" t="n">
        <f aca="false">SUM(U1681:W1681)</f>
        <v>0</v>
      </c>
      <c r="AA1681" s="3" t="n">
        <f aca="false">SUM(S1681:X1681)</f>
        <v>1</v>
      </c>
      <c r="AB1681" s="11" t="n">
        <f aca="false">(AA1681/(K1681*L1681)*25)*4</f>
        <v>4</v>
      </c>
    </row>
    <row r="1682" customFormat="false" ht="14.25" hidden="false" customHeight="false" outlineLevel="0" collapsed="false">
      <c r="A1682" s="1" t="n">
        <v>2014</v>
      </c>
      <c r="B1682" s="7" t="s">
        <v>322</v>
      </c>
      <c r="C1682" s="7" t="n">
        <v>2</v>
      </c>
      <c r="D1682" s="7" t="s">
        <v>293</v>
      </c>
      <c r="E1682" s="7" t="s">
        <v>293</v>
      </c>
      <c r="F1682" s="3" t="s">
        <v>101</v>
      </c>
      <c r="G1682" s="3" t="n">
        <v>1</v>
      </c>
      <c r="H1682" s="3" t="n">
        <v>1</v>
      </c>
      <c r="I1682" s="22" t="n">
        <v>41793</v>
      </c>
      <c r="J1682" s="22" t="n">
        <v>41798</v>
      </c>
      <c r="K1682" s="43" t="n">
        <f aca="false">J1682-I1682</f>
        <v>5</v>
      </c>
      <c r="L1682" s="1" t="n">
        <v>5</v>
      </c>
      <c r="M1682" s="3" t="s">
        <v>48</v>
      </c>
      <c r="N1682" s="3" t="s">
        <v>49</v>
      </c>
      <c r="O1682" s="3" t="s">
        <v>104</v>
      </c>
      <c r="P1682" s="2" t="str">
        <f aca="false">CONCATENATE(N1682," ",O1682)</f>
        <v>Alopecosa taeniata</v>
      </c>
      <c r="Q1682" s="1" t="s">
        <v>30</v>
      </c>
      <c r="R1682" s="1" t="s">
        <v>35</v>
      </c>
      <c r="S1682" s="3" t="n">
        <v>0</v>
      </c>
      <c r="T1682" s="3" t="n">
        <v>1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f aca="false">SUM(S1682:T1682)</f>
        <v>1</v>
      </c>
      <c r="Z1682" s="3" t="n">
        <f aca="false">SUM(U1682:W1682)</f>
        <v>0</v>
      </c>
      <c r="AA1682" s="3" t="n">
        <f aca="false">SUM(S1682:X1682)</f>
        <v>1</v>
      </c>
      <c r="AB1682" s="11" t="n">
        <f aca="false">(AA1682/(K1682*L1682)*25)*4</f>
        <v>4</v>
      </c>
    </row>
    <row r="1683" customFormat="false" ht="14.25" hidden="false" customHeight="false" outlineLevel="0" collapsed="false">
      <c r="A1683" s="1" t="n">
        <v>2014</v>
      </c>
      <c r="B1683" s="7" t="s">
        <v>322</v>
      </c>
      <c r="C1683" s="7" t="n">
        <v>2</v>
      </c>
      <c r="D1683" s="7" t="s">
        <v>293</v>
      </c>
      <c r="E1683" s="7" t="s">
        <v>293</v>
      </c>
      <c r="F1683" s="3" t="s">
        <v>101</v>
      </c>
      <c r="G1683" s="3" t="n">
        <v>1</v>
      </c>
      <c r="H1683" s="3" t="n">
        <v>1</v>
      </c>
      <c r="I1683" s="22" t="n">
        <v>41793</v>
      </c>
      <c r="J1683" s="22" t="n">
        <v>41798</v>
      </c>
      <c r="K1683" s="43" t="n">
        <f aca="false">J1683-I1683</f>
        <v>5</v>
      </c>
      <c r="L1683" s="1" t="n">
        <v>5</v>
      </c>
      <c r="M1683" s="3" t="s">
        <v>48</v>
      </c>
      <c r="N1683" s="3" t="s">
        <v>49</v>
      </c>
      <c r="O1683" s="3" t="s">
        <v>104</v>
      </c>
      <c r="P1683" s="2" t="str">
        <f aca="false">CONCATENATE(N1683," ",O1683)</f>
        <v>Alopecosa taeniata</v>
      </c>
      <c r="Q1683" s="1" t="s">
        <v>30</v>
      </c>
      <c r="R1683" s="1" t="s">
        <v>31</v>
      </c>
      <c r="S1683" s="3" t="n">
        <v>7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f aca="false">SUM(S1683:T1683)</f>
        <v>7</v>
      </c>
      <c r="Z1683" s="3" t="n">
        <f aca="false">SUM(U1683:W1683)</f>
        <v>0</v>
      </c>
      <c r="AA1683" s="3" t="n">
        <f aca="false">SUM(S1683:X1683)</f>
        <v>7</v>
      </c>
      <c r="AB1683" s="11" t="n">
        <f aca="false">(AA1683/(K1683*L1683)*25)*4</f>
        <v>28</v>
      </c>
    </row>
    <row r="1684" customFormat="false" ht="14.25" hidden="false" customHeight="false" outlineLevel="0" collapsed="false">
      <c r="A1684" s="1" t="n">
        <v>2014</v>
      </c>
      <c r="B1684" s="7" t="s">
        <v>322</v>
      </c>
      <c r="C1684" s="7" t="n">
        <v>2</v>
      </c>
      <c r="D1684" s="7" t="s">
        <v>293</v>
      </c>
      <c r="E1684" s="7" t="s">
        <v>293</v>
      </c>
      <c r="F1684" s="3" t="s">
        <v>101</v>
      </c>
      <c r="G1684" s="3" t="n">
        <v>1</v>
      </c>
      <c r="H1684" s="3" t="n">
        <v>1</v>
      </c>
      <c r="I1684" s="22" t="n">
        <v>41793</v>
      </c>
      <c r="J1684" s="22" t="n">
        <v>41798</v>
      </c>
      <c r="K1684" s="43" t="n">
        <f aca="false">J1684-I1684</f>
        <v>5</v>
      </c>
      <c r="L1684" s="1" t="n">
        <v>5</v>
      </c>
      <c r="M1684" s="3" t="s">
        <v>48</v>
      </c>
      <c r="N1684" s="3" t="s">
        <v>49</v>
      </c>
      <c r="O1684" s="3" t="s">
        <v>104</v>
      </c>
      <c r="P1684" s="2" t="str">
        <f aca="false">CONCATENATE(N1684," ",O1684)</f>
        <v>Alopecosa taeniata</v>
      </c>
      <c r="Q1684" s="1" t="s">
        <v>30</v>
      </c>
      <c r="R1684" s="1" t="s">
        <v>35</v>
      </c>
      <c r="S1684" s="3" t="n">
        <v>0</v>
      </c>
      <c r="T1684" s="3" t="n">
        <v>1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f aca="false">SUM(S1684:T1684)</f>
        <v>1</v>
      </c>
      <c r="Z1684" s="3" t="n">
        <f aca="false">SUM(U1684:W1684)</f>
        <v>0</v>
      </c>
      <c r="AA1684" s="3" t="n">
        <f aca="false">SUM(S1684:X1684)</f>
        <v>1</v>
      </c>
      <c r="AB1684" s="11" t="n">
        <f aca="false">(AA1684/(K1684*L1684)*25)*4</f>
        <v>4</v>
      </c>
    </row>
    <row r="1685" customFormat="false" ht="14.25" hidden="false" customHeight="false" outlineLevel="0" collapsed="false">
      <c r="A1685" s="1" t="n">
        <v>2014</v>
      </c>
      <c r="B1685" s="7" t="s">
        <v>322</v>
      </c>
      <c r="C1685" s="7" t="n">
        <v>2</v>
      </c>
      <c r="D1685" s="7" t="s">
        <v>293</v>
      </c>
      <c r="E1685" s="7" t="s">
        <v>293</v>
      </c>
      <c r="F1685" s="3" t="s">
        <v>101</v>
      </c>
      <c r="G1685" s="3" t="n">
        <v>1</v>
      </c>
      <c r="H1685" s="3" t="n">
        <v>1</v>
      </c>
      <c r="I1685" s="22" t="n">
        <v>41793</v>
      </c>
      <c r="J1685" s="22" t="n">
        <v>41798</v>
      </c>
      <c r="K1685" s="43" t="n">
        <f aca="false">J1685-I1685</f>
        <v>5</v>
      </c>
      <c r="L1685" s="1" t="n">
        <v>5</v>
      </c>
      <c r="M1685" s="3" t="s">
        <v>48</v>
      </c>
      <c r="N1685" s="3" t="s">
        <v>67</v>
      </c>
      <c r="O1685" s="3" t="s">
        <v>127</v>
      </c>
      <c r="P1685" s="2" t="str">
        <f aca="false">CONCATENATE(N1685," ",O1685)</f>
        <v>Pardosa lugubris</v>
      </c>
      <c r="Q1685" s="1" t="s">
        <v>30</v>
      </c>
      <c r="R1685" s="1" t="s">
        <v>35</v>
      </c>
      <c r="S1685" s="3" t="n">
        <v>0</v>
      </c>
      <c r="T1685" s="3" t="n">
        <v>1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f aca="false">SUM(S1685:T1685)</f>
        <v>1</v>
      </c>
      <c r="Z1685" s="3" t="n">
        <f aca="false">SUM(U1685:W1685)</f>
        <v>0</v>
      </c>
      <c r="AA1685" s="3" t="n">
        <f aca="false">SUM(S1685:X1685)</f>
        <v>1</v>
      </c>
      <c r="AB1685" s="11" t="n">
        <f aca="false">(AA1685/(K1685*L1685)*25)*4</f>
        <v>4</v>
      </c>
    </row>
    <row r="1686" customFormat="false" ht="14.25" hidden="false" customHeight="false" outlineLevel="0" collapsed="false">
      <c r="A1686" s="1" t="n">
        <v>2014</v>
      </c>
      <c r="B1686" s="7" t="s">
        <v>322</v>
      </c>
      <c r="C1686" s="7" t="n">
        <v>2</v>
      </c>
      <c r="D1686" s="7" t="s">
        <v>293</v>
      </c>
      <c r="E1686" s="7" t="s">
        <v>293</v>
      </c>
      <c r="F1686" s="3" t="s">
        <v>101</v>
      </c>
      <c r="G1686" s="3" t="n">
        <v>1</v>
      </c>
      <c r="H1686" s="3" t="n">
        <v>1</v>
      </c>
      <c r="I1686" s="22" t="n">
        <v>41793</v>
      </c>
      <c r="J1686" s="22" t="n">
        <v>41798</v>
      </c>
      <c r="K1686" s="43" t="n">
        <f aca="false">J1686-I1686</f>
        <v>5</v>
      </c>
      <c r="L1686" s="1" t="n">
        <v>5</v>
      </c>
      <c r="M1686" s="3" t="s">
        <v>48</v>
      </c>
      <c r="N1686" s="3" t="s">
        <v>67</v>
      </c>
      <c r="O1686" s="3" t="s">
        <v>127</v>
      </c>
      <c r="P1686" s="2" t="str">
        <f aca="false">CONCATENATE(N1686," ",O1686)</f>
        <v>Pardosa lugubris</v>
      </c>
      <c r="Q1686" s="1" t="s">
        <v>30</v>
      </c>
      <c r="R1686" s="1" t="s">
        <v>31</v>
      </c>
      <c r="S1686" s="3" t="n">
        <v>1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f aca="false">SUM(S1686:T1686)</f>
        <v>1</v>
      </c>
      <c r="Z1686" s="3" t="n">
        <f aca="false">SUM(U1686:W1686)</f>
        <v>0</v>
      </c>
      <c r="AA1686" s="3" t="n">
        <f aca="false">SUM(S1686:X1686)</f>
        <v>1</v>
      </c>
      <c r="AB1686" s="11" t="n">
        <f aca="false">(AA1686/(K1686*L1686)*25)*4</f>
        <v>4</v>
      </c>
    </row>
    <row r="1687" customFormat="false" ht="14.25" hidden="false" customHeight="false" outlineLevel="0" collapsed="false">
      <c r="A1687" s="1" t="n">
        <v>2014</v>
      </c>
      <c r="B1687" s="7" t="s">
        <v>322</v>
      </c>
      <c r="C1687" s="7" t="n">
        <v>2</v>
      </c>
      <c r="D1687" s="7" t="s">
        <v>293</v>
      </c>
      <c r="E1687" s="7" t="s">
        <v>293</v>
      </c>
      <c r="F1687" s="3" t="s">
        <v>101</v>
      </c>
      <c r="G1687" s="3" t="n">
        <v>1</v>
      </c>
      <c r="H1687" s="3" t="n">
        <v>1</v>
      </c>
      <c r="I1687" s="22" t="n">
        <v>41793</v>
      </c>
      <c r="J1687" s="22" t="n">
        <v>41798</v>
      </c>
      <c r="K1687" s="43" t="n">
        <f aca="false">J1687-I1687</f>
        <v>5</v>
      </c>
      <c r="L1687" s="1" t="n">
        <v>5</v>
      </c>
      <c r="M1687" s="3" t="s">
        <v>72</v>
      </c>
      <c r="N1687" s="3" t="s">
        <v>73</v>
      </c>
      <c r="O1687" s="3" t="s">
        <v>74</v>
      </c>
      <c r="P1687" s="2" t="str">
        <f aca="false">CONCATENATE(N1687," ",O1687)</f>
        <v>Zelotes subterraneus</v>
      </c>
      <c r="Q1687" s="1" t="s">
        <v>30</v>
      </c>
      <c r="R1687" s="1" t="s">
        <v>35</v>
      </c>
      <c r="S1687" s="3" t="n">
        <v>0</v>
      </c>
      <c r="T1687" s="3" t="n">
        <v>1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f aca="false">SUM(S1687:T1687)</f>
        <v>1</v>
      </c>
      <c r="Z1687" s="3" t="n">
        <f aca="false">SUM(U1687:W1687)</f>
        <v>0</v>
      </c>
      <c r="AA1687" s="3" t="n">
        <f aca="false">SUM(S1687:X1687)</f>
        <v>1</v>
      </c>
      <c r="AB1687" s="11" t="n">
        <f aca="false">(AA1687/(K1687*L1687)*25)*4</f>
        <v>4</v>
      </c>
    </row>
    <row r="1688" customFormat="false" ht="14.25" hidden="false" customHeight="false" outlineLevel="0" collapsed="false">
      <c r="A1688" s="1" t="n">
        <v>2014</v>
      </c>
      <c r="B1688" s="7" t="s">
        <v>322</v>
      </c>
      <c r="C1688" s="7" t="n">
        <v>2</v>
      </c>
      <c r="D1688" s="7" t="s">
        <v>293</v>
      </c>
      <c r="E1688" s="7" t="s">
        <v>293</v>
      </c>
      <c r="F1688" s="3" t="s">
        <v>101</v>
      </c>
      <c r="G1688" s="3" t="n">
        <v>1</v>
      </c>
      <c r="H1688" s="3" t="n">
        <v>1</v>
      </c>
      <c r="I1688" s="22" t="n">
        <v>41793</v>
      </c>
      <c r="J1688" s="22" t="n">
        <v>41798</v>
      </c>
      <c r="K1688" s="43" t="n">
        <f aca="false">J1688-I1688</f>
        <v>5</v>
      </c>
      <c r="L1688" s="1" t="n">
        <v>5</v>
      </c>
      <c r="M1688" s="3" t="s">
        <v>92</v>
      </c>
      <c r="N1688" s="3" t="s">
        <v>171</v>
      </c>
      <c r="O1688" s="3" t="s">
        <v>172</v>
      </c>
      <c r="P1688" s="2" t="str">
        <f aca="false">CONCATENATE(N1688," ",O1688)</f>
        <v>Euophrys frontalis</v>
      </c>
      <c r="Q1688" s="1" t="s">
        <v>30</v>
      </c>
      <c r="R1688" s="1" t="s">
        <v>31</v>
      </c>
      <c r="S1688" s="3" t="n">
        <v>1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f aca="false">SUM(S1688:T1688)</f>
        <v>1</v>
      </c>
      <c r="Z1688" s="3" t="n">
        <f aca="false">SUM(U1688:W1688)</f>
        <v>0</v>
      </c>
      <c r="AA1688" s="3" t="n">
        <f aca="false">SUM(S1688:X1688)</f>
        <v>1</v>
      </c>
      <c r="AB1688" s="11" t="n">
        <f aca="false">(AA1688/(K1688*L1688)*25)*4</f>
        <v>4</v>
      </c>
    </row>
    <row r="1689" customFormat="false" ht="14.25" hidden="false" customHeight="false" outlineLevel="0" collapsed="false">
      <c r="A1689" s="1" t="n">
        <v>2014</v>
      </c>
      <c r="B1689" s="7" t="s">
        <v>322</v>
      </c>
      <c r="C1689" s="7" t="n">
        <v>2</v>
      </c>
      <c r="D1689" s="7" t="s">
        <v>293</v>
      </c>
      <c r="E1689" s="7" t="s">
        <v>293</v>
      </c>
      <c r="F1689" s="3" t="s">
        <v>101</v>
      </c>
      <c r="G1689" s="3" t="n">
        <v>1</v>
      </c>
      <c r="H1689" s="3" t="n">
        <v>1</v>
      </c>
      <c r="I1689" s="22" t="n">
        <v>41793</v>
      </c>
      <c r="J1689" s="22" t="n">
        <v>41798</v>
      </c>
      <c r="K1689" s="43" t="n">
        <f aca="false">J1689-I1689</f>
        <v>5</v>
      </c>
      <c r="L1689" s="1" t="n">
        <v>5</v>
      </c>
      <c r="M1689" s="3" t="s">
        <v>226</v>
      </c>
      <c r="N1689" s="3" t="s">
        <v>65</v>
      </c>
      <c r="O1689" s="3" t="s">
        <v>123</v>
      </c>
      <c r="P1689" s="2" t="str">
        <f aca="false">CONCATENATE(N1689," ",O1689)</f>
        <v>Zora nemoralis</v>
      </c>
      <c r="Q1689" s="1" t="s">
        <v>30</v>
      </c>
      <c r="R1689" s="1" t="s">
        <v>31</v>
      </c>
      <c r="S1689" s="3" t="n">
        <v>1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f aca="false">SUM(S1689:T1689)</f>
        <v>1</v>
      </c>
      <c r="Z1689" s="3" t="n">
        <f aca="false">SUM(U1689:W1689)</f>
        <v>0</v>
      </c>
      <c r="AA1689" s="3" t="n">
        <f aca="false">SUM(S1689:X1689)</f>
        <v>1</v>
      </c>
      <c r="AB1689" s="11" t="n">
        <f aca="false">(AA1689/(K1689*L1689)*25)*4</f>
        <v>4</v>
      </c>
    </row>
    <row r="1690" customFormat="false" ht="14.25" hidden="false" customHeight="false" outlineLevel="0" collapsed="false">
      <c r="A1690" s="1" t="n">
        <v>2014</v>
      </c>
      <c r="B1690" s="7" t="s">
        <v>322</v>
      </c>
      <c r="C1690" s="7" t="n">
        <v>2</v>
      </c>
      <c r="D1690" s="7" t="s">
        <v>293</v>
      </c>
      <c r="E1690" s="7" t="s">
        <v>293</v>
      </c>
      <c r="F1690" s="3" t="s">
        <v>101</v>
      </c>
      <c r="G1690" s="3" t="n">
        <v>1</v>
      </c>
      <c r="H1690" s="3" t="n">
        <v>1</v>
      </c>
      <c r="I1690" s="22" t="n">
        <v>41793</v>
      </c>
      <c r="J1690" s="22" t="n">
        <v>41798</v>
      </c>
      <c r="K1690" s="43" t="n">
        <f aca="false">J1690-I1690</f>
        <v>5</v>
      </c>
      <c r="L1690" s="1" t="n">
        <v>5</v>
      </c>
      <c r="M1690" s="3" t="s">
        <v>32</v>
      </c>
      <c r="N1690" s="3" t="s">
        <v>102</v>
      </c>
      <c r="O1690" s="3" t="s">
        <v>117</v>
      </c>
      <c r="P1690" s="2" t="str">
        <f aca="false">CONCATENATE(N1690," ",O1690)</f>
        <v>Agyneta affinis</v>
      </c>
      <c r="Q1690" s="1" t="s">
        <v>30</v>
      </c>
      <c r="R1690" s="1" t="s">
        <v>31</v>
      </c>
      <c r="S1690" s="3" t="n">
        <v>1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f aca="false">SUM(S1690:T1690)</f>
        <v>1</v>
      </c>
      <c r="Z1690" s="3" t="n">
        <f aca="false">SUM(U1690:W1690)</f>
        <v>0</v>
      </c>
      <c r="AA1690" s="3" t="n">
        <f aca="false">SUM(S1690:X1690)</f>
        <v>1</v>
      </c>
      <c r="AB1690" s="11" t="n">
        <f aca="false">(AA1690/(K1690*L1690)*25)*4</f>
        <v>4</v>
      </c>
    </row>
    <row r="1691" customFormat="false" ht="14.25" hidden="false" customHeight="false" outlineLevel="0" collapsed="false">
      <c r="A1691" s="1" t="n">
        <v>2014</v>
      </c>
      <c r="B1691" s="7" t="s">
        <v>322</v>
      </c>
      <c r="C1691" s="7" t="n">
        <v>2</v>
      </c>
      <c r="D1691" s="7" t="s">
        <v>293</v>
      </c>
      <c r="E1691" s="7" t="s">
        <v>293</v>
      </c>
      <c r="F1691" s="3" t="s">
        <v>101</v>
      </c>
      <c r="G1691" s="3" t="n">
        <v>1</v>
      </c>
      <c r="H1691" s="3" t="n">
        <v>2</v>
      </c>
      <c r="I1691" s="22" t="n">
        <v>41793</v>
      </c>
      <c r="J1691" s="22" t="n">
        <v>41798</v>
      </c>
      <c r="K1691" s="43" t="n">
        <f aca="false">J1691-I1691</f>
        <v>5</v>
      </c>
      <c r="L1691" s="1" t="n">
        <v>5</v>
      </c>
      <c r="M1691" s="3" t="s">
        <v>48</v>
      </c>
      <c r="N1691" s="3" t="s">
        <v>49</v>
      </c>
      <c r="O1691" s="3" t="s">
        <v>130</v>
      </c>
      <c r="P1691" s="2" t="str">
        <f aca="false">CONCATENATE(N1691," ",O1691)</f>
        <v>Alopecosa aculeata</v>
      </c>
      <c r="Q1691" s="1" t="s">
        <v>30</v>
      </c>
      <c r="R1691" s="1" t="s">
        <v>31</v>
      </c>
      <c r="S1691" s="3" t="n">
        <v>1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f aca="false">SUM(S1691:T1691)</f>
        <v>1</v>
      </c>
      <c r="Z1691" s="3" t="n">
        <f aca="false">SUM(U1691:W1691)</f>
        <v>0</v>
      </c>
      <c r="AA1691" s="3" t="n">
        <f aca="false">SUM(S1691:X1691)</f>
        <v>1</v>
      </c>
      <c r="AB1691" s="11" t="n">
        <f aca="false">(AA1691/(K1691*L1691)*25)*4</f>
        <v>4</v>
      </c>
    </row>
    <row r="1692" customFormat="false" ht="14.25" hidden="false" customHeight="false" outlineLevel="0" collapsed="false">
      <c r="A1692" s="1" t="n">
        <v>2014</v>
      </c>
      <c r="B1692" s="7" t="s">
        <v>322</v>
      </c>
      <c r="C1692" s="7" t="n">
        <v>2</v>
      </c>
      <c r="D1692" s="7" t="s">
        <v>293</v>
      </c>
      <c r="E1692" s="7" t="s">
        <v>293</v>
      </c>
      <c r="F1692" s="3" t="s">
        <v>101</v>
      </c>
      <c r="G1692" s="3" t="n">
        <v>1</v>
      </c>
      <c r="H1692" s="3" t="n">
        <v>2</v>
      </c>
      <c r="I1692" s="22" t="n">
        <v>41793</v>
      </c>
      <c r="J1692" s="22" t="n">
        <v>41798</v>
      </c>
      <c r="K1692" s="43" t="n">
        <f aca="false">J1692-I1692</f>
        <v>5</v>
      </c>
      <c r="L1692" s="1" t="n">
        <v>5</v>
      </c>
      <c r="M1692" s="3" t="s">
        <v>48</v>
      </c>
      <c r="N1692" s="3" t="s">
        <v>49</v>
      </c>
      <c r="O1692" s="3" t="s">
        <v>104</v>
      </c>
      <c r="P1692" s="2" t="str">
        <f aca="false">CONCATENATE(N1692," ",O1692)</f>
        <v>Alopecosa taeniata</v>
      </c>
      <c r="Q1692" s="1" t="s">
        <v>30</v>
      </c>
      <c r="R1692" s="1" t="s">
        <v>31</v>
      </c>
      <c r="S1692" s="3" t="n">
        <v>1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f aca="false">SUM(S1692:T1692)</f>
        <v>1</v>
      </c>
      <c r="Z1692" s="3" t="n">
        <f aca="false">SUM(U1692:W1692)</f>
        <v>0</v>
      </c>
      <c r="AA1692" s="3" t="n">
        <f aca="false">SUM(S1692:X1692)</f>
        <v>1</v>
      </c>
      <c r="AB1692" s="11" t="n">
        <f aca="false">(AA1692/(K1692*L1692)*25)*4</f>
        <v>4</v>
      </c>
    </row>
    <row r="1693" customFormat="false" ht="14.25" hidden="false" customHeight="false" outlineLevel="0" collapsed="false">
      <c r="A1693" s="1" t="n">
        <v>2014</v>
      </c>
      <c r="B1693" s="7" t="s">
        <v>322</v>
      </c>
      <c r="C1693" s="7" t="n">
        <v>2</v>
      </c>
      <c r="D1693" s="7" t="s">
        <v>293</v>
      </c>
      <c r="E1693" s="7" t="s">
        <v>293</v>
      </c>
      <c r="F1693" s="3" t="s">
        <v>101</v>
      </c>
      <c r="G1693" s="3" t="n">
        <v>1</v>
      </c>
      <c r="H1693" s="3" t="n">
        <v>2</v>
      </c>
      <c r="I1693" s="22" t="n">
        <v>41793</v>
      </c>
      <c r="J1693" s="22" t="n">
        <v>41798</v>
      </c>
      <c r="K1693" s="43" t="n">
        <f aca="false">J1693-I1693</f>
        <v>5</v>
      </c>
      <c r="L1693" s="1" t="n">
        <v>5</v>
      </c>
      <c r="M1693" s="3" t="s">
        <v>48</v>
      </c>
      <c r="N1693" s="3" t="s">
        <v>49</v>
      </c>
      <c r="O1693" s="3" t="s">
        <v>104</v>
      </c>
      <c r="P1693" s="2" t="str">
        <f aca="false">CONCATENATE(N1693," ",O1693)</f>
        <v>Alopecosa taeniata</v>
      </c>
      <c r="Q1693" s="1" t="s">
        <v>30</v>
      </c>
      <c r="R1693" s="1" t="s">
        <v>35</v>
      </c>
      <c r="S1693" s="3" t="n">
        <v>0</v>
      </c>
      <c r="T1693" s="3" t="n">
        <v>2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f aca="false">SUM(S1693:T1693)</f>
        <v>2</v>
      </c>
      <c r="Z1693" s="3" t="n">
        <f aca="false">SUM(U1693:W1693)</f>
        <v>0</v>
      </c>
      <c r="AA1693" s="3" t="n">
        <f aca="false">SUM(S1693:X1693)</f>
        <v>2</v>
      </c>
      <c r="AB1693" s="11" t="n">
        <f aca="false">(AA1693/(K1693*L1693)*25)*4</f>
        <v>8</v>
      </c>
    </row>
    <row r="1694" customFormat="false" ht="14.25" hidden="false" customHeight="false" outlineLevel="0" collapsed="false">
      <c r="A1694" s="1" t="n">
        <v>2014</v>
      </c>
      <c r="B1694" s="7" t="s">
        <v>322</v>
      </c>
      <c r="C1694" s="7" t="n">
        <v>2</v>
      </c>
      <c r="D1694" s="7" t="s">
        <v>293</v>
      </c>
      <c r="E1694" s="7" t="s">
        <v>293</v>
      </c>
      <c r="F1694" s="3" t="s">
        <v>101</v>
      </c>
      <c r="G1694" s="3" t="n">
        <v>1</v>
      </c>
      <c r="H1694" s="3" t="n">
        <v>2</v>
      </c>
      <c r="I1694" s="22" t="n">
        <v>41793</v>
      </c>
      <c r="J1694" s="22" t="n">
        <v>41798</v>
      </c>
      <c r="K1694" s="43" t="n">
        <f aca="false">J1694-I1694</f>
        <v>5</v>
      </c>
      <c r="L1694" s="1" t="n">
        <v>5</v>
      </c>
      <c r="M1694" s="3" t="s">
        <v>48</v>
      </c>
      <c r="N1694" s="3" t="s">
        <v>49</v>
      </c>
      <c r="O1694" s="3" t="s">
        <v>223</v>
      </c>
      <c r="P1694" s="2" t="str">
        <f aca="false">CONCATENATE(N1694," ",O1694)</f>
        <v>Alopecosa pulverulenta</v>
      </c>
      <c r="Q1694" s="1" t="s">
        <v>30</v>
      </c>
      <c r="R1694" s="1" t="s">
        <v>31</v>
      </c>
      <c r="S1694" s="3" t="n">
        <v>2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f aca="false">SUM(S1694:T1694)</f>
        <v>2</v>
      </c>
      <c r="Z1694" s="3" t="n">
        <f aca="false">SUM(U1694:W1694)</f>
        <v>0</v>
      </c>
      <c r="AA1694" s="3" t="n">
        <f aca="false">SUM(S1694:X1694)</f>
        <v>2</v>
      </c>
      <c r="AB1694" s="11" t="n">
        <f aca="false">(AA1694/(K1694*L1694)*25)*4</f>
        <v>8</v>
      </c>
    </row>
    <row r="1695" customFormat="false" ht="14.25" hidden="false" customHeight="false" outlineLevel="0" collapsed="false">
      <c r="A1695" s="1" t="n">
        <v>2014</v>
      </c>
      <c r="B1695" s="7" t="s">
        <v>322</v>
      </c>
      <c r="C1695" s="7" t="n">
        <v>2</v>
      </c>
      <c r="D1695" s="7" t="s">
        <v>293</v>
      </c>
      <c r="E1695" s="7" t="s">
        <v>293</v>
      </c>
      <c r="F1695" s="3" t="s">
        <v>101</v>
      </c>
      <c r="G1695" s="3" t="n">
        <v>1</v>
      </c>
      <c r="H1695" s="3" t="n">
        <v>2</v>
      </c>
      <c r="I1695" s="22" t="n">
        <v>41793</v>
      </c>
      <c r="J1695" s="22" t="n">
        <v>41798</v>
      </c>
      <c r="K1695" s="43" t="n">
        <f aca="false">J1695-I1695</f>
        <v>5</v>
      </c>
      <c r="L1695" s="1" t="n">
        <v>5</v>
      </c>
      <c r="M1695" s="3" t="s">
        <v>72</v>
      </c>
      <c r="N1695" s="3" t="s">
        <v>73</v>
      </c>
      <c r="O1695" s="3" t="s">
        <v>74</v>
      </c>
      <c r="P1695" s="2" t="str">
        <f aca="false">CONCATENATE(N1695," ",O1695)</f>
        <v>Zelotes subterraneus</v>
      </c>
      <c r="Q1695" s="1" t="s">
        <v>30</v>
      </c>
      <c r="R1695" s="1" t="s">
        <v>31</v>
      </c>
      <c r="S1695" s="3" t="n">
        <v>1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f aca="false">SUM(S1695:T1695)</f>
        <v>1</v>
      </c>
      <c r="Z1695" s="3" t="n">
        <f aca="false">SUM(U1695:W1695)</f>
        <v>0</v>
      </c>
      <c r="AA1695" s="3" t="n">
        <f aca="false">SUM(S1695:X1695)</f>
        <v>1</v>
      </c>
      <c r="AB1695" s="11" t="n">
        <f aca="false">(AA1695/(K1695*L1695)*25)*4</f>
        <v>4</v>
      </c>
    </row>
    <row r="1696" customFormat="false" ht="14.25" hidden="false" customHeight="false" outlineLevel="0" collapsed="false">
      <c r="A1696" s="1" t="n">
        <v>2014</v>
      </c>
      <c r="B1696" s="7" t="s">
        <v>322</v>
      </c>
      <c r="C1696" s="7" t="n">
        <v>2</v>
      </c>
      <c r="D1696" s="7" t="s">
        <v>293</v>
      </c>
      <c r="E1696" s="7" t="s">
        <v>293</v>
      </c>
      <c r="F1696" s="3" t="s">
        <v>101</v>
      </c>
      <c r="G1696" s="3" t="n">
        <v>1</v>
      </c>
      <c r="H1696" s="3" t="n">
        <v>2</v>
      </c>
      <c r="I1696" s="22" t="n">
        <v>41793</v>
      </c>
      <c r="J1696" s="22" t="n">
        <v>41798</v>
      </c>
      <c r="K1696" s="43" t="n">
        <f aca="false">J1696-I1696</f>
        <v>5</v>
      </c>
      <c r="L1696" s="1" t="n">
        <v>5</v>
      </c>
      <c r="M1696" s="3" t="s">
        <v>32</v>
      </c>
      <c r="N1696" s="3" t="s">
        <v>102</v>
      </c>
      <c r="O1696" s="3" t="s">
        <v>192</v>
      </c>
      <c r="P1696" s="2" t="str">
        <f aca="false">CONCATENATE(N1696," ",O1696)</f>
        <v>Agyneta allosubtilis</v>
      </c>
      <c r="Q1696" s="1" t="s">
        <v>30</v>
      </c>
      <c r="R1696" s="1" t="s">
        <v>31</v>
      </c>
      <c r="S1696" s="3" t="n">
        <v>1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f aca="false">SUM(S1696:T1696)</f>
        <v>1</v>
      </c>
      <c r="Z1696" s="3" t="n">
        <f aca="false">SUM(U1696:W1696)</f>
        <v>0</v>
      </c>
      <c r="AA1696" s="3" t="n">
        <f aca="false">SUM(S1696:X1696)</f>
        <v>1</v>
      </c>
      <c r="AB1696" s="11" t="n">
        <f aca="false">(AA1696/(K1696*L1696)*25)*4</f>
        <v>4</v>
      </c>
    </row>
    <row r="1697" customFormat="false" ht="14.25" hidden="false" customHeight="false" outlineLevel="0" collapsed="false">
      <c r="A1697" s="1" t="n">
        <v>2014</v>
      </c>
      <c r="B1697" s="7" t="s">
        <v>322</v>
      </c>
      <c r="C1697" s="7" t="n">
        <v>2</v>
      </c>
      <c r="D1697" s="7" t="s">
        <v>293</v>
      </c>
      <c r="E1697" s="7" t="s">
        <v>293</v>
      </c>
      <c r="F1697" s="3" t="s">
        <v>101</v>
      </c>
      <c r="G1697" s="3" t="n">
        <v>1</v>
      </c>
      <c r="H1697" s="3" t="n">
        <v>2</v>
      </c>
      <c r="I1697" s="22" t="n">
        <v>41793</v>
      </c>
      <c r="J1697" s="22" t="n">
        <v>41798</v>
      </c>
      <c r="K1697" s="43" t="n">
        <f aca="false">J1697-I1697</f>
        <v>5</v>
      </c>
      <c r="L1697" s="1" t="n">
        <v>5</v>
      </c>
      <c r="M1697" s="3" t="s">
        <v>32</v>
      </c>
      <c r="N1697" s="3" t="s">
        <v>55</v>
      </c>
      <c r="O1697" s="3" t="s">
        <v>194</v>
      </c>
      <c r="P1697" s="2" t="str">
        <f aca="false">CONCATENATE(N1697," ",O1697)</f>
        <v>Maro pansibiricus</v>
      </c>
      <c r="Q1697" s="1" t="s">
        <v>30</v>
      </c>
      <c r="R1697" s="1" t="s">
        <v>31</v>
      </c>
      <c r="S1697" s="3" t="n">
        <v>1</v>
      </c>
      <c r="T1697" s="3" t="n">
        <v>0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f aca="false">SUM(S1697:T1697)</f>
        <v>1</v>
      </c>
      <c r="Z1697" s="3" t="n">
        <f aca="false">SUM(U1697:W1697)</f>
        <v>0</v>
      </c>
      <c r="AA1697" s="3" t="n">
        <f aca="false">SUM(S1697:X1697)</f>
        <v>1</v>
      </c>
      <c r="AB1697" s="11" t="n">
        <f aca="false">(AA1697/(K1697*L1697)*25)*4</f>
        <v>4</v>
      </c>
    </row>
    <row r="1698" customFormat="false" ht="14.25" hidden="false" customHeight="false" outlineLevel="0" collapsed="false">
      <c r="A1698" s="1" t="n">
        <v>2014</v>
      </c>
      <c r="B1698" s="7" t="s">
        <v>322</v>
      </c>
      <c r="C1698" s="7" t="n">
        <v>2</v>
      </c>
      <c r="D1698" s="7" t="s">
        <v>293</v>
      </c>
      <c r="E1698" s="7" t="s">
        <v>293</v>
      </c>
      <c r="F1698" s="3" t="s">
        <v>101</v>
      </c>
      <c r="G1698" s="3" t="n">
        <v>2</v>
      </c>
      <c r="H1698" s="3" t="n">
        <v>6</v>
      </c>
      <c r="I1698" s="22" t="n">
        <v>41793</v>
      </c>
      <c r="J1698" s="22" t="n">
        <v>41798</v>
      </c>
      <c r="K1698" s="43" t="n">
        <f aca="false">J1698-I1698</f>
        <v>5</v>
      </c>
      <c r="L1698" s="1" t="n">
        <v>5</v>
      </c>
      <c r="M1698" s="3" t="s">
        <v>48</v>
      </c>
      <c r="N1698" s="3" t="s">
        <v>49</v>
      </c>
      <c r="O1698" s="3" t="s">
        <v>223</v>
      </c>
      <c r="P1698" s="2" t="str">
        <f aca="false">CONCATENATE(N1698," ",O1698)</f>
        <v>Alopecosa pulverulenta</v>
      </c>
      <c r="Q1698" s="1" t="s">
        <v>30</v>
      </c>
      <c r="R1698" s="1" t="s">
        <v>31</v>
      </c>
      <c r="S1698" s="3" t="n">
        <v>1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f aca="false">SUM(S1698:T1698)</f>
        <v>1</v>
      </c>
      <c r="Z1698" s="3" t="n">
        <f aca="false">SUM(U1698:W1698)</f>
        <v>0</v>
      </c>
      <c r="AA1698" s="3" t="n">
        <f aca="false">SUM(S1698:X1698)</f>
        <v>1</v>
      </c>
      <c r="AB1698" s="11" t="n">
        <f aca="false">(AA1698/(K1698*L1698)*25)*4</f>
        <v>4</v>
      </c>
    </row>
    <row r="1699" customFormat="false" ht="14.25" hidden="false" customHeight="false" outlineLevel="0" collapsed="false">
      <c r="A1699" s="1" t="n">
        <v>2014</v>
      </c>
      <c r="B1699" s="7" t="s">
        <v>322</v>
      </c>
      <c r="C1699" s="7" t="n">
        <v>2</v>
      </c>
      <c r="D1699" s="7" t="s">
        <v>293</v>
      </c>
      <c r="E1699" s="7" t="s">
        <v>293</v>
      </c>
      <c r="F1699" s="3" t="s">
        <v>101</v>
      </c>
      <c r="G1699" s="3" t="n">
        <v>2</v>
      </c>
      <c r="H1699" s="3" t="n">
        <v>6</v>
      </c>
      <c r="I1699" s="22" t="n">
        <v>41793</v>
      </c>
      <c r="J1699" s="22" t="n">
        <v>41798</v>
      </c>
      <c r="K1699" s="43" t="n">
        <f aca="false">J1699-I1699</f>
        <v>5</v>
      </c>
      <c r="L1699" s="1" t="n">
        <v>5</v>
      </c>
      <c r="M1699" s="3" t="s">
        <v>48</v>
      </c>
      <c r="N1699" s="3" t="s">
        <v>67</v>
      </c>
      <c r="O1699" s="3" t="s">
        <v>127</v>
      </c>
      <c r="P1699" s="2" t="str">
        <f aca="false">CONCATENATE(N1699," ",O1699)</f>
        <v>Pardosa lugubris</v>
      </c>
      <c r="Q1699" s="1" t="s">
        <v>30</v>
      </c>
      <c r="R1699" s="1" t="s">
        <v>31</v>
      </c>
      <c r="S1699" s="3" t="n">
        <v>1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f aca="false">SUM(S1699:T1699)</f>
        <v>1</v>
      </c>
      <c r="Z1699" s="3" t="n">
        <f aca="false">SUM(U1699:W1699)</f>
        <v>0</v>
      </c>
      <c r="AA1699" s="3" t="n">
        <f aca="false">SUM(S1699:X1699)</f>
        <v>1</v>
      </c>
      <c r="AB1699" s="11" t="n">
        <f aca="false">(AA1699/(K1699*L1699)*25)*4</f>
        <v>4</v>
      </c>
    </row>
    <row r="1700" customFormat="false" ht="14.25" hidden="false" customHeight="false" outlineLevel="0" collapsed="false">
      <c r="A1700" s="1" t="n">
        <v>2014</v>
      </c>
      <c r="B1700" s="7" t="s">
        <v>322</v>
      </c>
      <c r="C1700" s="7" t="n">
        <v>2</v>
      </c>
      <c r="D1700" s="7" t="s">
        <v>293</v>
      </c>
      <c r="E1700" s="7" t="s">
        <v>293</v>
      </c>
      <c r="F1700" s="3" t="s">
        <v>101</v>
      </c>
      <c r="G1700" s="3" t="n">
        <v>2</v>
      </c>
      <c r="H1700" s="3" t="n">
        <v>6</v>
      </c>
      <c r="I1700" s="22" t="n">
        <v>41793</v>
      </c>
      <c r="J1700" s="22" t="n">
        <v>41798</v>
      </c>
      <c r="K1700" s="43" t="n">
        <f aca="false">J1700-I1700</f>
        <v>5</v>
      </c>
      <c r="L1700" s="1" t="n">
        <v>5</v>
      </c>
      <c r="M1700" s="3" t="s">
        <v>72</v>
      </c>
      <c r="N1700" s="3" t="s">
        <v>86</v>
      </c>
      <c r="O1700" s="3" t="s">
        <v>87</v>
      </c>
      <c r="P1700" s="2" t="str">
        <f aca="false">CONCATENATE(N1700," ",O1700)</f>
        <v>Haplodrassus soerenseni</v>
      </c>
      <c r="Q1700" s="1" t="s">
        <v>30</v>
      </c>
      <c r="R1700" s="1" t="s">
        <v>31</v>
      </c>
      <c r="S1700" s="3" t="n">
        <v>1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f aca="false">SUM(S1700:T1700)</f>
        <v>1</v>
      </c>
      <c r="Z1700" s="3" t="n">
        <f aca="false">SUM(U1700:W1700)</f>
        <v>0</v>
      </c>
      <c r="AA1700" s="3" t="n">
        <f aca="false">SUM(S1700:X1700)</f>
        <v>1</v>
      </c>
      <c r="AB1700" s="11" t="n">
        <f aca="false">(AA1700/(K1700*L1700)*25)*4</f>
        <v>4</v>
      </c>
    </row>
    <row r="1701" customFormat="false" ht="14.25" hidden="false" customHeight="false" outlineLevel="0" collapsed="false">
      <c r="A1701" s="1" t="n">
        <v>2014</v>
      </c>
      <c r="B1701" s="7" t="s">
        <v>322</v>
      </c>
      <c r="C1701" s="7" t="n">
        <v>2</v>
      </c>
      <c r="D1701" s="7" t="s">
        <v>293</v>
      </c>
      <c r="E1701" s="7" t="s">
        <v>293</v>
      </c>
      <c r="F1701" s="3" t="s">
        <v>101</v>
      </c>
      <c r="G1701" s="3" t="n">
        <v>2</v>
      </c>
      <c r="H1701" s="3" t="n">
        <v>6</v>
      </c>
      <c r="I1701" s="22" t="n">
        <v>41793</v>
      </c>
      <c r="J1701" s="22" t="n">
        <v>41798</v>
      </c>
      <c r="K1701" s="43" t="n">
        <f aca="false">J1701-I1701</f>
        <v>5</v>
      </c>
      <c r="L1701" s="1" t="n">
        <v>5</v>
      </c>
      <c r="M1701" s="3" t="s">
        <v>36</v>
      </c>
      <c r="N1701" s="3" t="s">
        <v>131</v>
      </c>
      <c r="O1701" s="3" t="s">
        <v>133</v>
      </c>
      <c r="P1701" s="2" t="str">
        <f aca="false">CONCATENATE(N1701," ",O1701)</f>
        <v>Xysticus luctuosus</v>
      </c>
      <c r="Q1701" s="1" t="s">
        <v>30</v>
      </c>
      <c r="R1701" s="1" t="s">
        <v>31</v>
      </c>
      <c r="S1701" s="3" t="n">
        <v>1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f aca="false">SUM(S1701:T1701)</f>
        <v>1</v>
      </c>
      <c r="Z1701" s="3" t="n">
        <f aca="false">SUM(U1701:W1701)</f>
        <v>0</v>
      </c>
      <c r="AA1701" s="3" t="n">
        <f aca="false">SUM(S1701:X1701)</f>
        <v>1</v>
      </c>
      <c r="AB1701" s="11" t="n">
        <f aca="false">(AA1701/(K1701*L1701)*25)*4</f>
        <v>4</v>
      </c>
    </row>
    <row r="1702" customFormat="false" ht="14.25" hidden="false" customHeight="false" outlineLevel="0" collapsed="false">
      <c r="A1702" s="1" t="n">
        <v>2014</v>
      </c>
      <c r="B1702" s="7" t="s">
        <v>322</v>
      </c>
      <c r="C1702" s="7" t="n">
        <v>2</v>
      </c>
      <c r="D1702" s="7" t="s">
        <v>293</v>
      </c>
      <c r="E1702" s="7" t="s">
        <v>293</v>
      </c>
      <c r="F1702" s="3" t="s">
        <v>101</v>
      </c>
      <c r="G1702" s="3" t="n">
        <v>2</v>
      </c>
      <c r="H1702" s="3" t="n">
        <v>6</v>
      </c>
      <c r="I1702" s="22" t="n">
        <v>41793</v>
      </c>
      <c r="J1702" s="22" t="n">
        <v>41798</v>
      </c>
      <c r="K1702" s="43" t="n">
        <f aca="false">J1702-I1702</f>
        <v>5</v>
      </c>
      <c r="L1702" s="1" t="n">
        <v>5</v>
      </c>
      <c r="M1702" s="3" t="s">
        <v>32</v>
      </c>
      <c r="N1702" s="3" t="s">
        <v>169</v>
      </c>
      <c r="O1702" s="3" t="s">
        <v>170</v>
      </c>
      <c r="P1702" s="2" t="str">
        <f aca="false">CONCATENATE(N1702," ",O1702)</f>
        <v>Abacoproeces saltuum</v>
      </c>
      <c r="Q1702" s="1" t="s">
        <v>30</v>
      </c>
      <c r="R1702" s="1" t="s">
        <v>31</v>
      </c>
      <c r="S1702" s="3" t="n">
        <v>1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f aca="false">SUM(S1702:T1702)</f>
        <v>1</v>
      </c>
      <c r="Z1702" s="3" t="n">
        <f aca="false">SUM(U1702:W1702)</f>
        <v>0</v>
      </c>
      <c r="AA1702" s="3" t="n">
        <f aca="false">SUM(S1702:X1702)</f>
        <v>1</v>
      </c>
      <c r="AB1702" s="11" t="n">
        <f aca="false">(AA1702/(K1702*L1702)*25)*4</f>
        <v>4</v>
      </c>
    </row>
    <row r="1703" customFormat="false" ht="14.25" hidden="false" customHeight="false" outlineLevel="0" collapsed="false">
      <c r="A1703" s="1" t="n">
        <v>2014</v>
      </c>
      <c r="B1703" s="7" t="s">
        <v>322</v>
      </c>
      <c r="C1703" s="7" t="n">
        <v>2</v>
      </c>
      <c r="D1703" s="7" t="s">
        <v>293</v>
      </c>
      <c r="E1703" s="7" t="s">
        <v>293</v>
      </c>
      <c r="F1703" s="3" t="s">
        <v>101</v>
      </c>
      <c r="G1703" s="3" t="n">
        <v>2</v>
      </c>
      <c r="H1703" s="3" t="n">
        <v>6</v>
      </c>
      <c r="I1703" s="22" t="n">
        <v>41793</v>
      </c>
      <c r="J1703" s="22" t="n">
        <v>41798</v>
      </c>
      <c r="K1703" s="43" t="n">
        <f aca="false">J1703-I1703</f>
        <v>5</v>
      </c>
      <c r="L1703" s="1" t="n">
        <v>5</v>
      </c>
      <c r="M1703" s="3" t="s">
        <v>32</v>
      </c>
      <c r="N1703" s="3" t="s">
        <v>102</v>
      </c>
      <c r="O1703" s="3" t="s">
        <v>192</v>
      </c>
      <c r="P1703" s="2" t="str">
        <f aca="false">CONCATENATE(N1703," ",O1703)</f>
        <v>Agyneta allosubtilis</v>
      </c>
      <c r="Q1703" s="1" t="s">
        <v>30</v>
      </c>
      <c r="R1703" s="1" t="s">
        <v>35</v>
      </c>
      <c r="S1703" s="3" t="n">
        <v>0</v>
      </c>
      <c r="T1703" s="3" t="n">
        <v>1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f aca="false">SUM(S1703:T1703)</f>
        <v>1</v>
      </c>
      <c r="Z1703" s="3" t="n">
        <f aca="false">SUM(U1703:W1703)</f>
        <v>0</v>
      </c>
      <c r="AA1703" s="3" t="n">
        <f aca="false">SUM(S1703:X1703)</f>
        <v>1</v>
      </c>
      <c r="AB1703" s="11" t="n">
        <f aca="false">(AA1703/(K1703*L1703)*25)*4</f>
        <v>4</v>
      </c>
    </row>
    <row r="1704" customFormat="false" ht="14.25" hidden="false" customHeight="false" outlineLevel="0" collapsed="false">
      <c r="A1704" s="1" t="n">
        <v>2014</v>
      </c>
      <c r="B1704" s="7" t="s">
        <v>322</v>
      </c>
      <c r="C1704" s="7" t="n">
        <v>2</v>
      </c>
      <c r="D1704" s="7" t="s">
        <v>293</v>
      </c>
      <c r="E1704" s="7" t="s">
        <v>293</v>
      </c>
      <c r="F1704" s="3" t="s">
        <v>101</v>
      </c>
      <c r="G1704" s="3" t="n">
        <v>3</v>
      </c>
      <c r="H1704" s="3" t="n">
        <v>13</v>
      </c>
      <c r="I1704" s="22" t="n">
        <v>41793</v>
      </c>
      <c r="J1704" s="22" t="n">
        <v>41798</v>
      </c>
      <c r="K1704" s="43" t="n">
        <f aca="false">J1704-I1704</f>
        <v>5</v>
      </c>
      <c r="L1704" s="1" t="n">
        <v>5</v>
      </c>
      <c r="M1704" s="3" t="s">
        <v>48</v>
      </c>
      <c r="N1704" s="3" t="s">
        <v>49</v>
      </c>
      <c r="O1704" s="3" t="s">
        <v>104</v>
      </c>
      <c r="P1704" s="2" t="str">
        <f aca="false">CONCATENATE(N1704," ",O1704)</f>
        <v>Alopecosa taeniata</v>
      </c>
      <c r="Q1704" s="1" t="s">
        <v>30</v>
      </c>
      <c r="R1704" s="1" t="s">
        <v>35</v>
      </c>
      <c r="S1704" s="3" t="n">
        <v>0</v>
      </c>
      <c r="T1704" s="3" t="n">
        <v>2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f aca="false">SUM(S1704:T1704)</f>
        <v>2</v>
      </c>
      <c r="Z1704" s="3" t="n">
        <f aca="false">SUM(U1704:W1704)</f>
        <v>0</v>
      </c>
      <c r="AA1704" s="3" t="n">
        <f aca="false">SUM(S1704:X1704)</f>
        <v>2</v>
      </c>
      <c r="AB1704" s="11" t="n">
        <f aca="false">(AA1704/(K1704*L1704)*25)*4</f>
        <v>8</v>
      </c>
    </row>
    <row r="1705" customFormat="false" ht="14.25" hidden="false" customHeight="false" outlineLevel="0" collapsed="false">
      <c r="A1705" s="1" t="n">
        <v>2014</v>
      </c>
      <c r="B1705" s="7" t="s">
        <v>322</v>
      </c>
      <c r="C1705" s="7" t="n">
        <v>2</v>
      </c>
      <c r="D1705" s="7" t="s">
        <v>293</v>
      </c>
      <c r="E1705" s="7" t="s">
        <v>293</v>
      </c>
      <c r="F1705" s="3" t="s">
        <v>101</v>
      </c>
      <c r="G1705" s="3" t="n">
        <v>3</v>
      </c>
      <c r="H1705" s="3" t="n">
        <v>13</v>
      </c>
      <c r="I1705" s="22" t="n">
        <v>41793</v>
      </c>
      <c r="J1705" s="22" t="n">
        <v>41798</v>
      </c>
      <c r="K1705" s="43" t="n">
        <f aca="false">J1705-I1705</f>
        <v>5</v>
      </c>
      <c r="L1705" s="1" t="n">
        <v>5</v>
      </c>
      <c r="M1705" s="3" t="s">
        <v>48</v>
      </c>
      <c r="N1705" s="3" t="s">
        <v>67</v>
      </c>
      <c r="O1705" s="3" t="s">
        <v>127</v>
      </c>
      <c r="P1705" s="2" t="str">
        <f aca="false">CONCATENATE(N1705," ",O1705)</f>
        <v>Pardosa lugubris</v>
      </c>
      <c r="Q1705" s="1" t="s">
        <v>30</v>
      </c>
      <c r="R1705" s="1" t="s">
        <v>31</v>
      </c>
      <c r="S1705" s="3" t="n">
        <v>1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f aca="false">SUM(S1705:T1705)</f>
        <v>1</v>
      </c>
      <c r="Z1705" s="3" t="n">
        <f aca="false">SUM(U1705:W1705)</f>
        <v>0</v>
      </c>
      <c r="AA1705" s="3" t="n">
        <f aca="false">SUM(S1705:X1705)</f>
        <v>1</v>
      </c>
      <c r="AB1705" s="11" t="n">
        <f aca="false">(AA1705/(K1705*L1705)*25)*4</f>
        <v>4</v>
      </c>
    </row>
    <row r="1706" customFormat="false" ht="14.25" hidden="false" customHeight="false" outlineLevel="0" collapsed="false">
      <c r="A1706" s="1" t="n">
        <v>2014</v>
      </c>
      <c r="B1706" s="7" t="s">
        <v>322</v>
      </c>
      <c r="C1706" s="7" t="n">
        <v>2</v>
      </c>
      <c r="D1706" s="7" t="s">
        <v>293</v>
      </c>
      <c r="E1706" s="7" t="s">
        <v>293</v>
      </c>
      <c r="F1706" s="3" t="s">
        <v>101</v>
      </c>
      <c r="G1706" s="3" t="n">
        <v>3</v>
      </c>
      <c r="H1706" s="3" t="n">
        <v>13</v>
      </c>
      <c r="I1706" s="22" t="n">
        <v>41793</v>
      </c>
      <c r="J1706" s="22" t="n">
        <v>41798</v>
      </c>
      <c r="K1706" s="43" t="n">
        <f aca="false">J1706-I1706</f>
        <v>5</v>
      </c>
      <c r="L1706" s="1" t="n">
        <v>5</v>
      </c>
      <c r="M1706" s="3" t="s">
        <v>48</v>
      </c>
      <c r="N1706" s="3" t="s">
        <v>67</v>
      </c>
      <c r="O1706" s="3" t="s">
        <v>127</v>
      </c>
      <c r="P1706" s="2" t="str">
        <f aca="false">CONCATENATE(N1706," ",O1706)</f>
        <v>Pardosa lugubris</v>
      </c>
      <c r="Q1706" s="1" t="s">
        <v>30</v>
      </c>
      <c r="R1706" s="1" t="s">
        <v>35</v>
      </c>
      <c r="S1706" s="3" t="n">
        <v>0</v>
      </c>
      <c r="T1706" s="3" t="n">
        <v>1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f aca="false">SUM(S1706:T1706)</f>
        <v>1</v>
      </c>
      <c r="Z1706" s="3" t="n">
        <f aca="false">SUM(U1706:W1706)</f>
        <v>0</v>
      </c>
      <c r="AA1706" s="3" t="n">
        <f aca="false">SUM(S1706:X1706)</f>
        <v>1</v>
      </c>
      <c r="AB1706" s="11" t="n">
        <f aca="false">(AA1706/(K1706*L1706)*25)*4</f>
        <v>4</v>
      </c>
    </row>
    <row r="1707" customFormat="false" ht="14.25" hidden="false" customHeight="false" outlineLevel="0" collapsed="false">
      <c r="A1707" s="1" t="n">
        <v>2014</v>
      </c>
      <c r="B1707" s="7" t="s">
        <v>322</v>
      </c>
      <c r="C1707" s="7" t="n">
        <v>2</v>
      </c>
      <c r="D1707" s="7" t="s">
        <v>293</v>
      </c>
      <c r="E1707" s="7" t="s">
        <v>293</v>
      </c>
      <c r="F1707" s="3" t="s">
        <v>101</v>
      </c>
      <c r="G1707" s="3" t="n">
        <v>3</v>
      </c>
      <c r="H1707" s="3" t="n">
        <v>13</v>
      </c>
      <c r="I1707" s="22" t="n">
        <v>41793</v>
      </c>
      <c r="J1707" s="22" t="n">
        <v>41798</v>
      </c>
      <c r="K1707" s="43" t="n">
        <f aca="false">J1707-I1707</f>
        <v>5</v>
      </c>
      <c r="L1707" s="1" t="n">
        <v>5</v>
      </c>
      <c r="M1707" s="3" t="s">
        <v>226</v>
      </c>
      <c r="N1707" s="3" t="s">
        <v>65</v>
      </c>
      <c r="O1707" s="3" t="s">
        <v>123</v>
      </c>
      <c r="P1707" s="2" t="str">
        <f aca="false">CONCATENATE(N1707," ",O1707)</f>
        <v>Zora nemoralis</v>
      </c>
      <c r="Q1707" s="1" t="s">
        <v>30</v>
      </c>
      <c r="R1707" s="1" t="s">
        <v>31</v>
      </c>
      <c r="S1707" s="3" t="n">
        <v>2</v>
      </c>
      <c r="T1707" s="3" t="n">
        <v>0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f aca="false">SUM(S1707:T1707)</f>
        <v>2</v>
      </c>
      <c r="Z1707" s="3" t="n">
        <f aca="false">SUM(U1707:W1707)</f>
        <v>0</v>
      </c>
      <c r="AA1707" s="3" t="n">
        <f aca="false">SUM(S1707:X1707)</f>
        <v>2</v>
      </c>
      <c r="AB1707" s="11" t="n">
        <f aca="false">(AA1707/(K1707*L1707)*25)*4</f>
        <v>8</v>
      </c>
    </row>
    <row r="1708" customFormat="false" ht="14.25" hidden="false" customHeight="false" outlineLevel="0" collapsed="false">
      <c r="A1708" s="1" t="n">
        <v>2014</v>
      </c>
      <c r="B1708" s="7" t="s">
        <v>322</v>
      </c>
      <c r="C1708" s="7" t="n">
        <v>2</v>
      </c>
      <c r="D1708" s="7" t="s">
        <v>293</v>
      </c>
      <c r="E1708" s="7" t="s">
        <v>293</v>
      </c>
      <c r="F1708" s="3" t="s">
        <v>101</v>
      </c>
      <c r="G1708" s="3" t="n">
        <v>3</v>
      </c>
      <c r="H1708" s="3" t="n">
        <v>13</v>
      </c>
      <c r="I1708" s="22" t="n">
        <v>41793</v>
      </c>
      <c r="J1708" s="22" t="n">
        <v>41798</v>
      </c>
      <c r="K1708" s="43" t="n">
        <f aca="false">J1708-I1708</f>
        <v>5</v>
      </c>
      <c r="L1708" s="1" t="n">
        <v>5</v>
      </c>
      <c r="M1708" s="3" t="s">
        <v>32</v>
      </c>
      <c r="N1708" s="3" t="s">
        <v>102</v>
      </c>
      <c r="O1708" s="3" t="s">
        <v>192</v>
      </c>
      <c r="P1708" s="2" t="str">
        <f aca="false">CONCATENATE(N1708," ",O1708)</f>
        <v>Agyneta allosubtilis</v>
      </c>
      <c r="Q1708" s="1" t="s">
        <v>30</v>
      </c>
      <c r="R1708" s="1" t="s">
        <v>31</v>
      </c>
      <c r="S1708" s="3" t="n">
        <v>1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f aca="false">SUM(S1708:T1708)</f>
        <v>1</v>
      </c>
      <c r="Z1708" s="3" t="n">
        <f aca="false">SUM(U1708:W1708)</f>
        <v>0</v>
      </c>
      <c r="AA1708" s="3" t="n">
        <f aca="false">SUM(S1708:X1708)</f>
        <v>1</v>
      </c>
      <c r="AB1708" s="11" t="n">
        <f aca="false">(AA1708/(K1708*L1708)*25)*4</f>
        <v>4</v>
      </c>
    </row>
    <row r="1709" customFormat="false" ht="14.25" hidden="false" customHeight="false" outlineLevel="0" collapsed="false">
      <c r="A1709" s="1" t="n">
        <v>2014</v>
      </c>
      <c r="B1709" s="7" t="s">
        <v>322</v>
      </c>
      <c r="C1709" s="7" t="n">
        <v>2</v>
      </c>
      <c r="D1709" s="7" t="s">
        <v>293</v>
      </c>
      <c r="E1709" s="7" t="s">
        <v>293</v>
      </c>
      <c r="F1709" s="3" t="s">
        <v>101</v>
      </c>
      <c r="G1709" s="3" t="n">
        <v>3</v>
      </c>
      <c r="H1709" s="3" t="n">
        <v>13</v>
      </c>
      <c r="I1709" s="22" t="n">
        <v>41793</v>
      </c>
      <c r="J1709" s="22" t="n">
        <v>41798</v>
      </c>
      <c r="K1709" s="43" t="n">
        <f aca="false">J1709-I1709</f>
        <v>5</v>
      </c>
      <c r="L1709" s="1" t="n">
        <v>5</v>
      </c>
      <c r="M1709" s="3" t="s">
        <v>32</v>
      </c>
      <c r="N1709" s="3" t="s">
        <v>169</v>
      </c>
      <c r="O1709" s="3" t="s">
        <v>170</v>
      </c>
      <c r="P1709" s="2" t="str">
        <f aca="false">CONCATENATE(N1709," ",O1709)</f>
        <v>Abacoproeces saltuum</v>
      </c>
      <c r="Q1709" s="1" t="s">
        <v>30</v>
      </c>
      <c r="R1709" s="1" t="s">
        <v>31</v>
      </c>
      <c r="S1709" s="3" t="n">
        <v>1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f aca="false">SUM(S1709:T1709)</f>
        <v>1</v>
      </c>
      <c r="Z1709" s="3" t="n">
        <f aca="false">SUM(U1709:W1709)</f>
        <v>0</v>
      </c>
      <c r="AA1709" s="3" t="n">
        <f aca="false">SUM(S1709:X1709)</f>
        <v>1</v>
      </c>
      <c r="AB1709" s="11" t="n">
        <f aca="false">(AA1709/(K1709*L1709)*25)*4</f>
        <v>4</v>
      </c>
    </row>
    <row r="1710" customFormat="false" ht="14.25" hidden="false" customHeight="false" outlineLevel="0" collapsed="false">
      <c r="A1710" s="1" t="n">
        <v>2014</v>
      </c>
      <c r="B1710" s="7" t="s">
        <v>322</v>
      </c>
      <c r="C1710" s="7" t="n">
        <v>2</v>
      </c>
      <c r="D1710" s="7" t="s">
        <v>293</v>
      </c>
      <c r="E1710" s="7" t="s">
        <v>293</v>
      </c>
      <c r="F1710" s="3" t="s">
        <v>101</v>
      </c>
      <c r="G1710" s="3" t="n">
        <v>3</v>
      </c>
      <c r="H1710" s="3" t="n">
        <v>13</v>
      </c>
      <c r="I1710" s="22" t="n">
        <v>41793</v>
      </c>
      <c r="J1710" s="22" t="n">
        <v>41798</v>
      </c>
      <c r="K1710" s="43" t="n">
        <f aca="false">J1710-I1710</f>
        <v>5</v>
      </c>
      <c r="L1710" s="1" t="n">
        <v>5</v>
      </c>
      <c r="M1710" s="3" t="s">
        <v>32</v>
      </c>
      <c r="N1710" s="3" t="s">
        <v>169</v>
      </c>
      <c r="O1710" s="3" t="s">
        <v>170</v>
      </c>
      <c r="P1710" s="2" t="str">
        <f aca="false">CONCATENATE(N1710," ",O1710)</f>
        <v>Abacoproeces saltuum</v>
      </c>
      <c r="Q1710" s="1" t="s">
        <v>30</v>
      </c>
      <c r="R1710" s="1" t="s">
        <v>35</v>
      </c>
      <c r="S1710" s="3" t="n">
        <v>0</v>
      </c>
      <c r="T1710" s="3" t="n">
        <v>1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f aca="false">SUM(S1710:T1710)</f>
        <v>1</v>
      </c>
      <c r="Z1710" s="3" t="n">
        <f aca="false">SUM(U1710:W1710)</f>
        <v>0</v>
      </c>
      <c r="AA1710" s="3" t="n">
        <f aca="false">SUM(S1710:X1710)</f>
        <v>1</v>
      </c>
      <c r="AB1710" s="11" t="n">
        <f aca="false">(AA1710/(K1710*L1710)*25)*4</f>
        <v>4</v>
      </c>
    </row>
    <row r="1711" customFormat="false" ht="14.25" hidden="false" customHeight="false" outlineLevel="0" collapsed="false">
      <c r="A1711" s="1" t="n">
        <v>2014</v>
      </c>
      <c r="B1711" s="7" t="s">
        <v>322</v>
      </c>
      <c r="C1711" s="7" t="n">
        <v>2</v>
      </c>
      <c r="D1711" s="7" t="s">
        <v>293</v>
      </c>
      <c r="E1711" s="7" t="s">
        <v>293</v>
      </c>
      <c r="F1711" s="3" t="s">
        <v>101</v>
      </c>
      <c r="G1711" s="3" t="n">
        <v>3</v>
      </c>
      <c r="H1711" s="3" t="n">
        <v>11</v>
      </c>
      <c r="I1711" s="22" t="n">
        <v>41793</v>
      </c>
      <c r="J1711" s="22" t="n">
        <v>41798</v>
      </c>
      <c r="K1711" s="43" t="n">
        <f aca="false">J1711-I1711</f>
        <v>5</v>
      </c>
      <c r="L1711" s="1" t="n">
        <v>5</v>
      </c>
      <c r="M1711" s="3" t="s">
        <v>32</v>
      </c>
      <c r="N1711" s="3" t="s">
        <v>154</v>
      </c>
      <c r="O1711" s="3" t="s">
        <v>155</v>
      </c>
      <c r="P1711" s="2" t="str">
        <f aca="false">CONCATENATE(N1711," ",O1711)</f>
        <v>Pocadicnemis pumila</v>
      </c>
      <c r="Q1711" s="1" t="s">
        <v>30</v>
      </c>
      <c r="R1711" s="1" t="s">
        <v>31</v>
      </c>
      <c r="S1711" s="3" t="n">
        <v>1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f aca="false">SUM(S1711:T1711)</f>
        <v>1</v>
      </c>
      <c r="Z1711" s="3" t="n">
        <f aca="false">SUM(U1711:W1711)</f>
        <v>0</v>
      </c>
      <c r="AA1711" s="3" t="n">
        <f aca="false">SUM(S1711:X1711)</f>
        <v>1</v>
      </c>
      <c r="AB1711" s="11" t="n">
        <f aca="false">(AA1711/(K1711*L1711)*25)*4</f>
        <v>4</v>
      </c>
    </row>
    <row r="1712" customFormat="false" ht="14.25" hidden="false" customHeight="false" outlineLevel="0" collapsed="false">
      <c r="A1712" s="1" t="n">
        <v>2014</v>
      </c>
      <c r="B1712" s="7" t="s">
        <v>322</v>
      </c>
      <c r="C1712" s="7" t="n">
        <v>2</v>
      </c>
      <c r="D1712" s="7" t="s">
        <v>293</v>
      </c>
      <c r="E1712" s="7" t="s">
        <v>293</v>
      </c>
      <c r="F1712" s="3" t="s">
        <v>101</v>
      </c>
      <c r="G1712" s="3" t="n">
        <v>3</v>
      </c>
      <c r="H1712" s="3" t="n">
        <v>11</v>
      </c>
      <c r="I1712" s="22" t="n">
        <v>41793</v>
      </c>
      <c r="J1712" s="22" t="n">
        <v>41798</v>
      </c>
      <c r="K1712" s="43" t="n">
        <f aca="false">J1712-I1712</f>
        <v>5</v>
      </c>
      <c r="L1712" s="1" t="n">
        <v>5</v>
      </c>
      <c r="M1712" s="3" t="s">
        <v>32</v>
      </c>
      <c r="N1712" s="3" t="s">
        <v>169</v>
      </c>
      <c r="O1712" s="3" t="s">
        <v>170</v>
      </c>
      <c r="P1712" s="2" t="str">
        <f aca="false">CONCATENATE(N1712," ",O1712)</f>
        <v>Abacoproeces saltuum</v>
      </c>
      <c r="Q1712" s="1" t="s">
        <v>30</v>
      </c>
      <c r="R1712" s="1" t="s">
        <v>31</v>
      </c>
      <c r="S1712" s="3" t="n">
        <v>1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f aca="false">SUM(S1712:T1712)</f>
        <v>1</v>
      </c>
      <c r="Z1712" s="3" t="n">
        <f aca="false">SUM(U1712:W1712)</f>
        <v>0</v>
      </c>
      <c r="AA1712" s="3" t="n">
        <f aca="false">SUM(S1712:X1712)</f>
        <v>1</v>
      </c>
      <c r="AB1712" s="11" t="n">
        <f aca="false">(AA1712/(K1712*L1712)*25)*4</f>
        <v>4</v>
      </c>
    </row>
    <row r="1713" customFormat="false" ht="14.25" hidden="false" customHeight="false" outlineLevel="0" collapsed="false">
      <c r="A1713" s="1" t="n">
        <v>2014</v>
      </c>
      <c r="B1713" s="7" t="s">
        <v>322</v>
      </c>
      <c r="C1713" s="7" t="n">
        <v>2</v>
      </c>
      <c r="D1713" s="7" t="s">
        <v>293</v>
      </c>
      <c r="E1713" s="7" t="s">
        <v>293</v>
      </c>
      <c r="F1713" s="3" t="s">
        <v>101</v>
      </c>
      <c r="G1713" s="3" t="n">
        <v>3</v>
      </c>
      <c r="H1713" s="3" t="n">
        <v>11</v>
      </c>
      <c r="I1713" s="22" t="n">
        <v>41793</v>
      </c>
      <c r="J1713" s="22" t="n">
        <v>41798</v>
      </c>
      <c r="K1713" s="43" t="n">
        <f aca="false">J1713-I1713</f>
        <v>5</v>
      </c>
      <c r="L1713" s="1" t="n">
        <v>5</v>
      </c>
      <c r="M1713" s="3" t="s">
        <v>32</v>
      </c>
      <c r="N1713" s="3" t="s">
        <v>169</v>
      </c>
      <c r="O1713" s="3" t="s">
        <v>170</v>
      </c>
      <c r="P1713" s="2" t="str">
        <f aca="false">CONCATENATE(N1713," ",O1713)</f>
        <v>Abacoproeces saltuum</v>
      </c>
      <c r="Q1713" s="1" t="s">
        <v>30</v>
      </c>
      <c r="R1713" s="1" t="s">
        <v>35</v>
      </c>
      <c r="S1713" s="3" t="n">
        <v>0</v>
      </c>
      <c r="T1713" s="3" t="n">
        <v>1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f aca="false">SUM(S1713:T1713)</f>
        <v>1</v>
      </c>
      <c r="Z1713" s="3" t="n">
        <f aca="false">SUM(U1713:W1713)</f>
        <v>0</v>
      </c>
      <c r="AA1713" s="3" t="n">
        <f aca="false">SUM(S1713:X1713)</f>
        <v>1</v>
      </c>
      <c r="AB1713" s="11" t="n">
        <f aca="false">(AA1713/(K1713*L1713)*25)*4</f>
        <v>4</v>
      </c>
    </row>
    <row r="1714" customFormat="false" ht="14.25" hidden="false" customHeight="false" outlineLevel="0" collapsed="false">
      <c r="A1714" s="1" t="n">
        <v>2014</v>
      </c>
      <c r="B1714" s="7" t="s">
        <v>322</v>
      </c>
      <c r="C1714" s="7" t="n">
        <v>2</v>
      </c>
      <c r="D1714" s="7" t="s">
        <v>293</v>
      </c>
      <c r="E1714" s="7" t="s">
        <v>293</v>
      </c>
      <c r="F1714" s="3" t="s">
        <v>101</v>
      </c>
      <c r="G1714" s="3" t="n">
        <v>3</v>
      </c>
      <c r="H1714" s="3" t="n">
        <v>11</v>
      </c>
      <c r="I1714" s="22" t="n">
        <v>41793</v>
      </c>
      <c r="J1714" s="22" t="n">
        <v>41798</v>
      </c>
      <c r="K1714" s="43" t="n">
        <f aca="false">J1714-I1714</f>
        <v>5</v>
      </c>
      <c r="L1714" s="1" t="n">
        <v>5</v>
      </c>
      <c r="M1714" s="3" t="s">
        <v>32</v>
      </c>
      <c r="N1714" s="3" t="s">
        <v>107</v>
      </c>
      <c r="O1714" s="3" t="s">
        <v>108</v>
      </c>
      <c r="P1714" s="2" t="str">
        <f aca="false">CONCATENATE(N1714," ",O1714)</f>
        <v>Macrargus rufus</v>
      </c>
      <c r="Q1714" s="1" t="s">
        <v>30</v>
      </c>
      <c r="R1714" s="1" t="s">
        <v>35</v>
      </c>
      <c r="S1714" s="3" t="n">
        <v>0</v>
      </c>
      <c r="T1714" s="3" t="n">
        <v>1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f aca="false">SUM(S1714:T1714)</f>
        <v>1</v>
      </c>
      <c r="Z1714" s="3" t="n">
        <f aca="false">SUM(U1714:W1714)</f>
        <v>0</v>
      </c>
      <c r="AA1714" s="3" t="n">
        <f aca="false">SUM(S1714:X1714)</f>
        <v>1</v>
      </c>
      <c r="AB1714" s="11" t="n">
        <f aca="false">(AA1714/(K1714*L1714)*25)*4</f>
        <v>4</v>
      </c>
    </row>
    <row r="1715" customFormat="false" ht="14.25" hidden="false" customHeight="false" outlineLevel="0" collapsed="false">
      <c r="A1715" s="1" t="n">
        <v>2014</v>
      </c>
      <c r="B1715" s="7" t="s">
        <v>322</v>
      </c>
      <c r="C1715" s="7" t="n">
        <v>2</v>
      </c>
      <c r="D1715" s="7" t="s">
        <v>293</v>
      </c>
      <c r="E1715" s="7" t="s">
        <v>293</v>
      </c>
      <c r="F1715" s="3" t="s">
        <v>101</v>
      </c>
      <c r="G1715" s="3" t="n">
        <v>3</v>
      </c>
      <c r="H1715" s="3" t="n">
        <v>11</v>
      </c>
      <c r="I1715" s="22" t="n">
        <v>41793</v>
      </c>
      <c r="J1715" s="22" t="n">
        <v>41798</v>
      </c>
      <c r="K1715" s="43" t="n">
        <f aca="false">J1715-I1715</f>
        <v>5</v>
      </c>
      <c r="L1715" s="1" t="n">
        <v>5</v>
      </c>
      <c r="M1715" s="3" t="s">
        <v>195</v>
      </c>
      <c r="N1715" s="3" t="s">
        <v>227</v>
      </c>
      <c r="O1715" s="3" t="s">
        <v>240</v>
      </c>
      <c r="P1715" s="2" t="str">
        <f aca="false">CONCATENATE(N1715," ",O1715)</f>
        <v>Tetragnatha pinicola</v>
      </c>
      <c r="Q1715" s="1" t="s">
        <v>30</v>
      </c>
      <c r="R1715" s="1" t="s">
        <v>35</v>
      </c>
      <c r="S1715" s="3" t="n">
        <v>0</v>
      </c>
      <c r="T1715" s="3" t="n">
        <v>1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f aca="false">SUM(S1715:T1715)</f>
        <v>1</v>
      </c>
      <c r="Z1715" s="3" t="n">
        <f aca="false">SUM(U1715:W1715)</f>
        <v>0</v>
      </c>
      <c r="AA1715" s="3" t="n">
        <f aca="false">SUM(S1715:X1715)</f>
        <v>1</v>
      </c>
      <c r="AB1715" s="11" t="n">
        <f aca="false">(AA1715/(K1715*L1715)*25)*4</f>
        <v>4</v>
      </c>
    </row>
    <row r="1716" customFormat="false" ht="14.25" hidden="false" customHeight="false" outlineLevel="0" collapsed="false">
      <c r="A1716" s="1" t="n">
        <v>2014</v>
      </c>
      <c r="B1716" s="7" t="s">
        <v>322</v>
      </c>
      <c r="C1716" s="7" t="n">
        <v>2</v>
      </c>
      <c r="D1716" s="7" t="s">
        <v>293</v>
      </c>
      <c r="E1716" s="7" t="s">
        <v>293</v>
      </c>
      <c r="F1716" s="3" t="s">
        <v>101</v>
      </c>
      <c r="G1716" s="3" t="n">
        <v>3</v>
      </c>
      <c r="H1716" s="3" t="n">
        <v>11</v>
      </c>
      <c r="I1716" s="22" t="n">
        <v>41793</v>
      </c>
      <c r="J1716" s="22" t="n">
        <v>41798</v>
      </c>
      <c r="K1716" s="43" t="n">
        <f aca="false">J1716-I1716</f>
        <v>5</v>
      </c>
      <c r="L1716" s="1" t="n">
        <v>5</v>
      </c>
      <c r="M1716" s="3" t="s">
        <v>48</v>
      </c>
      <c r="N1716" s="3" t="s">
        <v>67</v>
      </c>
      <c r="O1716" s="3" t="s">
        <v>127</v>
      </c>
      <c r="P1716" s="2" t="str">
        <f aca="false">CONCATENATE(N1716," ",O1716)</f>
        <v>Pardosa lugubris</v>
      </c>
      <c r="Q1716" s="1" t="s">
        <v>30</v>
      </c>
      <c r="R1716" s="1" t="s">
        <v>31</v>
      </c>
      <c r="S1716" s="3" t="n">
        <v>2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f aca="false">SUM(S1716:T1716)</f>
        <v>2</v>
      </c>
      <c r="Z1716" s="3" t="n">
        <f aca="false">SUM(U1716:W1716)</f>
        <v>0</v>
      </c>
      <c r="AA1716" s="3" t="n">
        <f aca="false">SUM(S1716:X1716)</f>
        <v>2</v>
      </c>
      <c r="AB1716" s="11" t="n">
        <f aca="false">(AA1716/(K1716*L1716)*25)*4</f>
        <v>8</v>
      </c>
    </row>
    <row r="1717" customFormat="false" ht="14.25" hidden="false" customHeight="false" outlineLevel="0" collapsed="false">
      <c r="A1717" s="1" t="n">
        <v>2014</v>
      </c>
      <c r="B1717" s="7" t="s">
        <v>322</v>
      </c>
      <c r="C1717" s="7" t="n">
        <v>2</v>
      </c>
      <c r="D1717" s="7" t="s">
        <v>293</v>
      </c>
      <c r="E1717" s="7" t="s">
        <v>293</v>
      </c>
      <c r="F1717" s="3" t="s">
        <v>101</v>
      </c>
      <c r="G1717" s="3" t="n">
        <v>3</v>
      </c>
      <c r="H1717" s="3" t="n">
        <v>11</v>
      </c>
      <c r="I1717" s="22" t="n">
        <v>41793</v>
      </c>
      <c r="J1717" s="22" t="n">
        <v>41798</v>
      </c>
      <c r="K1717" s="43" t="n">
        <f aca="false">J1717-I1717</f>
        <v>5</v>
      </c>
      <c r="L1717" s="1" t="n">
        <v>5</v>
      </c>
      <c r="M1717" s="3" t="s">
        <v>48</v>
      </c>
      <c r="N1717" s="3" t="s">
        <v>67</v>
      </c>
      <c r="O1717" s="3" t="s">
        <v>127</v>
      </c>
      <c r="P1717" s="2" t="str">
        <f aca="false">CONCATENATE(N1717," ",O1717)</f>
        <v>Pardosa lugubris</v>
      </c>
      <c r="Q1717" s="1" t="s">
        <v>30</v>
      </c>
      <c r="R1717" s="1" t="s">
        <v>35</v>
      </c>
      <c r="S1717" s="3" t="n">
        <v>0</v>
      </c>
      <c r="T1717" s="3" t="n">
        <v>1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f aca="false">SUM(S1717:T1717)</f>
        <v>1</v>
      </c>
      <c r="Z1717" s="3" t="n">
        <f aca="false">SUM(U1717:W1717)</f>
        <v>0</v>
      </c>
      <c r="AA1717" s="3" t="n">
        <f aca="false">SUM(S1717:X1717)</f>
        <v>1</v>
      </c>
      <c r="AB1717" s="11" t="n">
        <f aca="false">(AA1717/(K1717*L1717)*25)*4</f>
        <v>4</v>
      </c>
    </row>
    <row r="1718" customFormat="false" ht="14.25" hidden="false" customHeight="false" outlineLevel="0" collapsed="false">
      <c r="A1718" s="1" t="n">
        <v>2014</v>
      </c>
      <c r="B1718" s="7" t="s">
        <v>322</v>
      </c>
      <c r="C1718" s="7" t="n">
        <v>2</v>
      </c>
      <c r="D1718" s="7" t="s">
        <v>293</v>
      </c>
      <c r="E1718" s="7" t="s">
        <v>293</v>
      </c>
      <c r="F1718" s="3" t="s">
        <v>101</v>
      </c>
      <c r="G1718" s="3" t="n">
        <v>3</v>
      </c>
      <c r="H1718" s="3" t="n">
        <v>11</v>
      </c>
      <c r="I1718" s="22" t="n">
        <v>41793</v>
      </c>
      <c r="J1718" s="22" t="n">
        <v>41798</v>
      </c>
      <c r="K1718" s="43" t="n">
        <f aca="false">J1718-I1718</f>
        <v>5</v>
      </c>
      <c r="L1718" s="1" t="n">
        <v>5</v>
      </c>
      <c r="M1718" s="3" t="s">
        <v>48</v>
      </c>
      <c r="N1718" s="3" t="s">
        <v>49</v>
      </c>
      <c r="O1718" s="3" t="s">
        <v>104</v>
      </c>
      <c r="P1718" s="2" t="str">
        <f aca="false">CONCATENATE(N1718," ",O1718)</f>
        <v>Alopecosa taeniata</v>
      </c>
      <c r="Q1718" s="1" t="s">
        <v>30</v>
      </c>
      <c r="R1718" s="1" t="s">
        <v>31</v>
      </c>
      <c r="S1718" s="3" t="n">
        <v>5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f aca="false">SUM(S1718:T1718)</f>
        <v>5</v>
      </c>
      <c r="Z1718" s="3" t="n">
        <f aca="false">SUM(U1718:W1718)</f>
        <v>0</v>
      </c>
      <c r="AA1718" s="3" t="n">
        <f aca="false">SUM(S1718:X1718)</f>
        <v>5</v>
      </c>
      <c r="AB1718" s="11" t="n">
        <f aca="false">(AA1718/(K1718*L1718)*25)*4</f>
        <v>20</v>
      </c>
    </row>
    <row r="1719" customFormat="false" ht="14.25" hidden="false" customHeight="false" outlineLevel="0" collapsed="false">
      <c r="A1719" s="1" t="n">
        <v>2014</v>
      </c>
      <c r="B1719" s="7" t="s">
        <v>322</v>
      </c>
      <c r="C1719" s="7" t="n">
        <v>2</v>
      </c>
      <c r="D1719" s="7" t="s">
        <v>293</v>
      </c>
      <c r="E1719" s="7" t="s">
        <v>293</v>
      </c>
      <c r="F1719" s="3" t="s">
        <v>101</v>
      </c>
      <c r="G1719" s="3" t="n">
        <v>3</v>
      </c>
      <c r="H1719" s="3" t="n">
        <v>11</v>
      </c>
      <c r="I1719" s="22" t="n">
        <v>41793</v>
      </c>
      <c r="J1719" s="22" t="n">
        <v>41798</v>
      </c>
      <c r="K1719" s="43" t="n">
        <f aca="false">J1719-I1719</f>
        <v>5</v>
      </c>
      <c r="L1719" s="1" t="n">
        <v>5</v>
      </c>
      <c r="M1719" s="3" t="s">
        <v>48</v>
      </c>
      <c r="N1719" s="3" t="s">
        <v>61</v>
      </c>
      <c r="O1719" s="3" t="s">
        <v>82</v>
      </c>
      <c r="P1719" s="2" t="str">
        <f aca="false">CONCATENATE(N1719," ",O1719)</f>
        <v>Trochosa terricola</v>
      </c>
      <c r="Q1719" s="1" t="s">
        <v>30</v>
      </c>
      <c r="R1719" s="1" t="s">
        <v>31</v>
      </c>
      <c r="S1719" s="3" t="n">
        <v>1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f aca="false">SUM(S1719:T1719)</f>
        <v>1</v>
      </c>
      <c r="Z1719" s="3" t="n">
        <f aca="false">SUM(U1719:W1719)</f>
        <v>0</v>
      </c>
      <c r="AA1719" s="3" t="n">
        <f aca="false">SUM(S1719:X1719)</f>
        <v>1</v>
      </c>
      <c r="AB1719" s="11" t="n">
        <f aca="false">(AA1719/(K1719*L1719)*25)*4</f>
        <v>4</v>
      </c>
    </row>
    <row r="1720" customFormat="false" ht="14.25" hidden="false" customHeight="false" outlineLevel="0" collapsed="false">
      <c r="A1720" s="1" t="n">
        <v>2014</v>
      </c>
      <c r="B1720" s="7" t="s">
        <v>322</v>
      </c>
      <c r="C1720" s="7" t="n">
        <v>2</v>
      </c>
      <c r="D1720" s="7" t="s">
        <v>293</v>
      </c>
      <c r="E1720" s="7" t="s">
        <v>293</v>
      </c>
      <c r="F1720" s="3" t="s">
        <v>101</v>
      </c>
      <c r="G1720" s="3" t="n">
        <v>3</v>
      </c>
      <c r="H1720" s="3" t="n">
        <v>11</v>
      </c>
      <c r="I1720" s="22" t="n">
        <v>41793</v>
      </c>
      <c r="J1720" s="22" t="n">
        <v>41798</v>
      </c>
      <c r="K1720" s="43" t="n">
        <f aca="false">J1720-I1720</f>
        <v>5</v>
      </c>
      <c r="L1720" s="1" t="n">
        <v>5</v>
      </c>
      <c r="M1720" s="3" t="s">
        <v>32</v>
      </c>
      <c r="N1720" s="3" t="s">
        <v>62</v>
      </c>
      <c r="O1720" s="3" t="s">
        <v>63</v>
      </c>
      <c r="P1720" s="2" t="str">
        <f aca="false">CONCATENATE(N1720," ",O1720)</f>
        <v>Microneta viaria</v>
      </c>
      <c r="Q1720" s="1" t="s">
        <v>30</v>
      </c>
      <c r="R1720" s="1" t="s">
        <v>35</v>
      </c>
      <c r="S1720" s="3" t="n">
        <v>0</v>
      </c>
      <c r="T1720" s="3" t="n">
        <v>1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f aca="false">SUM(S1720:T1720)</f>
        <v>1</v>
      </c>
      <c r="Z1720" s="3" t="n">
        <f aca="false">SUM(U1720:W1720)</f>
        <v>0</v>
      </c>
      <c r="AA1720" s="3" t="n">
        <f aca="false">SUM(S1720:X1720)</f>
        <v>1</v>
      </c>
      <c r="AB1720" s="11" t="n">
        <f aca="false">(AA1720/(K1720*L1720)*25)*4</f>
        <v>4</v>
      </c>
    </row>
    <row r="1721" customFormat="false" ht="14.25" hidden="false" customHeight="false" outlineLevel="0" collapsed="false">
      <c r="A1721" s="1" t="n">
        <v>2014</v>
      </c>
      <c r="B1721" s="7" t="s">
        <v>322</v>
      </c>
      <c r="C1721" s="7" t="n">
        <v>2</v>
      </c>
      <c r="D1721" s="7" t="s">
        <v>293</v>
      </c>
      <c r="E1721" s="7" t="s">
        <v>293</v>
      </c>
      <c r="F1721" s="3" t="s">
        <v>101</v>
      </c>
      <c r="G1721" s="3" t="n">
        <v>3</v>
      </c>
      <c r="H1721" s="3" t="n">
        <v>11</v>
      </c>
      <c r="I1721" s="22" t="n">
        <v>41793</v>
      </c>
      <c r="J1721" s="22" t="n">
        <v>41798</v>
      </c>
      <c r="K1721" s="43" t="n">
        <f aca="false">J1721-I1721</f>
        <v>5</v>
      </c>
      <c r="L1721" s="1" t="n">
        <v>5</v>
      </c>
      <c r="M1721" s="3" t="s">
        <v>32</v>
      </c>
      <c r="N1721" s="3" t="s">
        <v>96</v>
      </c>
      <c r="O1721" s="3" t="s">
        <v>97</v>
      </c>
      <c r="P1721" s="2" t="str">
        <f aca="false">CONCATENATE(N1721," ",O1721)</f>
        <v>Diplocephalus picinus</v>
      </c>
      <c r="Q1721" s="1" t="s">
        <v>30</v>
      </c>
      <c r="R1721" s="1" t="s">
        <v>31</v>
      </c>
      <c r="S1721" s="3" t="n">
        <v>1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f aca="false">SUM(S1721:T1721)</f>
        <v>1</v>
      </c>
      <c r="Z1721" s="3" t="n">
        <f aca="false">SUM(U1721:W1721)</f>
        <v>0</v>
      </c>
      <c r="AA1721" s="3" t="n">
        <f aca="false">SUM(S1721:X1721)</f>
        <v>1</v>
      </c>
      <c r="AB1721" s="11" t="n">
        <f aca="false">(AA1721/(K1721*L1721)*25)*4</f>
        <v>4</v>
      </c>
    </row>
    <row r="1722" customFormat="false" ht="14.25" hidden="false" customHeight="false" outlineLevel="0" collapsed="false">
      <c r="A1722" s="1" t="n">
        <v>2014</v>
      </c>
      <c r="B1722" s="7" t="s">
        <v>322</v>
      </c>
      <c r="C1722" s="7" t="n">
        <v>2</v>
      </c>
      <c r="D1722" s="7" t="s">
        <v>293</v>
      </c>
      <c r="E1722" s="7" t="s">
        <v>293</v>
      </c>
      <c r="F1722" s="3" t="s">
        <v>101</v>
      </c>
      <c r="G1722" s="3" t="n">
        <v>3</v>
      </c>
      <c r="H1722" s="3" t="n">
        <v>11</v>
      </c>
      <c r="I1722" s="22" t="n">
        <v>41793</v>
      </c>
      <c r="J1722" s="22" t="n">
        <v>41798</v>
      </c>
      <c r="K1722" s="43" t="n">
        <f aca="false">J1722-I1722</f>
        <v>5</v>
      </c>
      <c r="L1722" s="1" t="n">
        <v>5</v>
      </c>
      <c r="M1722" s="3" t="s">
        <v>144</v>
      </c>
      <c r="N1722" s="3" t="s">
        <v>145</v>
      </c>
      <c r="O1722" s="3" t="s">
        <v>146</v>
      </c>
      <c r="P1722" s="2" t="str">
        <f aca="false">CONCATENATE(N1722," ",O1722)</f>
        <v>Phrurolithus festivus</v>
      </c>
      <c r="Q1722" s="1" t="s">
        <v>30</v>
      </c>
      <c r="R1722" s="1" t="s">
        <v>35</v>
      </c>
      <c r="S1722" s="3" t="n">
        <v>0</v>
      </c>
      <c r="T1722" s="3" t="n">
        <v>1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f aca="false">SUM(S1722:T1722)</f>
        <v>1</v>
      </c>
      <c r="Z1722" s="3" t="n">
        <f aca="false">SUM(U1722:W1722)</f>
        <v>0</v>
      </c>
      <c r="AA1722" s="3" t="n">
        <f aca="false">SUM(S1722:X1722)</f>
        <v>1</v>
      </c>
      <c r="AB1722" s="11" t="n">
        <f aca="false">(AA1722/(K1722*L1722)*25)*4</f>
        <v>4</v>
      </c>
    </row>
    <row r="1723" customFormat="false" ht="14.25" hidden="false" customHeight="false" outlineLevel="0" collapsed="false">
      <c r="A1723" s="1" t="n">
        <v>2014</v>
      </c>
      <c r="B1723" s="7" t="s">
        <v>322</v>
      </c>
      <c r="C1723" s="7" t="n">
        <v>2</v>
      </c>
      <c r="D1723" s="7" t="s">
        <v>293</v>
      </c>
      <c r="E1723" s="7" t="s">
        <v>293</v>
      </c>
      <c r="F1723" s="3" t="s">
        <v>101</v>
      </c>
      <c r="G1723" s="3" t="n">
        <v>3</v>
      </c>
      <c r="H1723" s="3" t="n">
        <v>12</v>
      </c>
      <c r="I1723" s="22" t="n">
        <v>41793</v>
      </c>
      <c r="J1723" s="22" t="n">
        <v>41798</v>
      </c>
      <c r="K1723" s="43" t="n">
        <f aca="false">J1723-I1723</f>
        <v>5</v>
      </c>
      <c r="L1723" s="1" t="n">
        <v>5</v>
      </c>
      <c r="M1723" s="3" t="s">
        <v>27</v>
      </c>
      <c r="N1723" s="3" t="s">
        <v>28</v>
      </c>
      <c r="O1723" s="3" t="s">
        <v>29</v>
      </c>
      <c r="P1723" s="2" t="str">
        <f aca="false">CONCATENATE(N1723," ",O1723)</f>
        <v>Robertus lividus</v>
      </c>
      <c r="Q1723" s="1" t="s">
        <v>30</v>
      </c>
      <c r="R1723" s="1" t="s">
        <v>35</v>
      </c>
      <c r="S1723" s="3" t="n">
        <v>0</v>
      </c>
      <c r="T1723" s="3" t="n">
        <v>1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f aca="false">SUM(S1723:T1723)</f>
        <v>1</v>
      </c>
      <c r="Z1723" s="3" t="n">
        <f aca="false">SUM(U1723:W1723)</f>
        <v>0</v>
      </c>
      <c r="AA1723" s="3" t="n">
        <f aca="false">SUM(S1723:X1723)</f>
        <v>1</v>
      </c>
      <c r="AB1723" s="11" t="n">
        <f aca="false">(AA1723/(K1723*L1723)*25)*4</f>
        <v>4</v>
      </c>
    </row>
    <row r="1724" customFormat="false" ht="14.25" hidden="false" customHeight="false" outlineLevel="0" collapsed="false">
      <c r="A1724" s="1" t="n">
        <v>2014</v>
      </c>
      <c r="B1724" s="7" t="s">
        <v>322</v>
      </c>
      <c r="C1724" s="7" t="n">
        <v>2</v>
      </c>
      <c r="D1724" s="7" t="s">
        <v>293</v>
      </c>
      <c r="E1724" s="7" t="s">
        <v>293</v>
      </c>
      <c r="F1724" s="3" t="s">
        <v>101</v>
      </c>
      <c r="G1724" s="3" t="n">
        <v>3</v>
      </c>
      <c r="H1724" s="3" t="n">
        <v>12</v>
      </c>
      <c r="I1724" s="22" t="n">
        <v>41793</v>
      </c>
      <c r="J1724" s="22" t="n">
        <v>41798</v>
      </c>
      <c r="K1724" s="43" t="n">
        <f aca="false">J1724-I1724</f>
        <v>5</v>
      </c>
      <c r="L1724" s="1" t="n">
        <v>5</v>
      </c>
      <c r="M1724" s="3" t="s">
        <v>48</v>
      </c>
      <c r="N1724" s="3" t="s">
        <v>49</v>
      </c>
      <c r="O1724" s="3" t="s">
        <v>104</v>
      </c>
      <c r="P1724" s="2" t="str">
        <f aca="false">CONCATENATE(N1724," ",O1724)</f>
        <v>Alopecosa taeniata</v>
      </c>
      <c r="Q1724" s="1" t="s">
        <v>30</v>
      </c>
      <c r="R1724" s="1" t="s">
        <v>31</v>
      </c>
      <c r="S1724" s="3" t="n">
        <v>2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f aca="false">SUM(S1724:T1724)</f>
        <v>2</v>
      </c>
      <c r="Z1724" s="3" t="n">
        <f aca="false">SUM(U1724:W1724)</f>
        <v>0</v>
      </c>
      <c r="AA1724" s="3" t="n">
        <f aca="false">SUM(S1724:X1724)</f>
        <v>2</v>
      </c>
      <c r="AB1724" s="11" t="n">
        <f aca="false">(AA1724/(K1724*L1724)*25)*4</f>
        <v>8</v>
      </c>
    </row>
    <row r="1725" customFormat="false" ht="14.25" hidden="false" customHeight="false" outlineLevel="0" collapsed="false">
      <c r="A1725" s="1" t="n">
        <v>2014</v>
      </c>
      <c r="B1725" s="7" t="s">
        <v>322</v>
      </c>
      <c r="C1725" s="7" t="n">
        <v>2</v>
      </c>
      <c r="D1725" s="7" t="s">
        <v>293</v>
      </c>
      <c r="E1725" s="7" t="s">
        <v>293</v>
      </c>
      <c r="F1725" s="3" t="s">
        <v>101</v>
      </c>
      <c r="G1725" s="3" t="n">
        <v>3</v>
      </c>
      <c r="H1725" s="3" t="n">
        <v>12</v>
      </c>
      <c r="I1725" s="22" t="n">
        <v>41793</v>
      </c>
      <c r="J1725" s="22" t="n">
        <v>41798</v>
      </c>
      <c r="K1725" s="43" t="n">
        <f aca="false">J1725-I1725</f>
        <v>5</v>
      </c>
      <c r="L1725" s="1" t="n">
        <v>5</v>
      </c>
      <c r="M1725" s="3" t="s">
        <v>48</v>
      </c>
      <c r="N1725" s="3" t="s">
        <v>67</v>
      </c>
      <c r="O1725" s="3" t="s">
        <v>127</v>
      </c>
      <c r="P1725" s="2" t="str">
        <f aca="false">CONCATENATE(N1725," ",O1725)</f>
        <v>Pardosa lugubris</v>
      </c>
      <c r="Q1725" s="1" t="s">
        <v>30</v>
      </c>
      <c r="R1725" s="1" t="s">
        <v>31</v>
      </c>
      <c r="S1725" s="3" t="n">
        <v>2</v>
      </c>
      <c r="T1725" s="3" t="n">
        <v>0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f aca="false">SUM(S1725:T1725)</f>
        <v>2</v>
      </c>
      <c r="Z1725" s="3" t="n">
        <f aca="false">SUM(U1725:W1725)</f>
        <v>0</v>
      </c>
      <c r="AA1725" s="3" t="n">
        <f aca="false">SUM(S1725:X1725)</f>
        <v>2</v>
      </c>
      <c r="AB1725" s="11" t="n">
        <f aca="false">(AA1725/(K1725*L1725)*25)*4</f>
        <v>8</v>
      </c>
    </row>
    <row r="1726" s="28" customFormat="true" ht="14.25" hidden="false" customHeight="false" outlineLevel="0" collapsed="false">
      <c r="A1726" s="23" t="n">
        <v>2014</v>
      </c>
      <c r="B1726" s="46" t="s">
        <v>322</v>
      </c>
      <c r="C1726" s="46" t="n">
        <v>2</v>
      </c>
      <c r="D1726" s="46" t="s">
        <v>293</v>
      </c>
      <c r="E1726" s="46" t="s">
        <v>293</v>
      </c>
      <c r="F1726" s="24" t="s">
        <v>101</v>
      </c>
      <c r="G1726" s="24" t="n">
        <v>3</v>
      </c>
      <c r="H1726" s="24" t="n">
        <v>12</v>
      </c>
      <c r="I1726" s="29" t="n">
        <v>41793</v>
      </c>
      <c r="J1726" s="29" t="n">
        <v>41798</v>
      </c>
      <c r="K1726" s="47" t="n">
        <f aca="false">J1726-I1726</f>
        <v>5</v>
      </c>
      <c r="L1726" s="23" t="n">
        <v>5</v>
      </c>
      <c r="M1726" s="24" t="s">
        <v>72</v>
      </c>
      <c r="N1726" s="24" t="s">
        <v>73</v>
      </c>
      <c r="O1726" s="24" t="s">
        <v>241</v>
      </c>
      <c r="P1726" s="25" t="str">
        <f aca="false">CONCATENATE(N1726," ",O1726)</f>
        <v>Zelotes sp12-2024K</v>
      </c>
      <c r="Q1726" s="27" t="s">
        <v>30</v>
      </c>
      <c r="R1726" s="27" t="s">
        <v>35</v>
      </c>
      <c r="S1726" s="28" t="n">
        <v>0</v>
      </c>
      <c r="T1726" s="28" t="n">
        <v>1</v>
      </c>
      <c r="U1726" s="28" t="n">
        <v>0</v>
      </c>
      <c r="V1726" s="28" t="n">
        <v>0</v>
      </c>
      <c r="W1726" s="28" t="n">
        <v>0</v>
      </c>
      <c r="X1726" s="28" t="n">
        <v>0</v>
      </c>
      <c r="Y1726" s="3" t="n">
        <f aca="false">SUM(S1726:T1726)</f>
        <v>1</v>
      </c>
      <c r="Z1726" s="3" t="n">
        <f aca="false">SUM(U1726:W1726)</f>
        <v>0</v>
      </c>
      <c r="AA1726" s="3" t="n">
        <f aca="false">SUM(S1726:X1726)</f>
        <v>1</v>
      </c>
      <c r="AB1726" s="26" t="n">
        <f aca="false">(AA1726/(K1726*L1726)*25)*4</f>
        <v>4</v>
      </c>
    </row>
    <row r="1727" customFormat="false" ht="14.25" hidden="false" customHeight="false" outlineLevel="0" collapsed="false">
      <c r="A1727" s="1" t="n">
        <v>2014</v>
      </c>
      <c r="B1727" s="7" t="s">
        <v>322</v>
      </c>
      <c r="C1727" s="7" t="n">
        <v>2</v>
      </c>
      <c r="D1727" s="7" t="s">
        <v>293</v>
      </c>
      <c r="E1727" s="7" t="s">
        <v>293</v>
      </c>
      <c r="F1727" s="3" t="s">
        <v>101</v>
      </c>
      <c r="G1727" s="3" t="n">
        <v>3</v>
      </c>
      <c r="H1727" s="3" t="n">
        <v>12</v>
      </c>
      <c r="I1727" s="22" t="n">
        <v>41793</v>
      </c>
      <c r="J1727" s="22" t="n">
        <v>41798</v>
      </c>
      <c r="K1727" s="43" t="n">
        <f aca="false">J1727-I1727</f>
        <v>5</v>
      </c>
      <c r="L1727" s="1" t="n">
        <v>5</v>
      </c>
      <c r="M1727" s="3" t="s">
        <v>41</v>
      </c>
      <c r="N1727" s="3" t="s">
        <v>42</v>
      </c>
      <c r="O1727" s="3" t="s">
        <v>198</v>
      </c>
      <c r="P1727" s="2" t="str">
        <f aca="false">CONCATENATE(N1727," ",O1727)</f>
        <v>Agroeca brunnea</v>
      </c>
      <c r="Q1727" s="1" t="s">
        <v>30</v>
      </c>
      <c r="R1727" s="1" t="s">
        <v>35</v>
      </c>
      <c r="S1727" s="3" t="n">
        <v>0</v>
      </c>
      <c r="T1727" s="3" t="n">
        <v>1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f aca="false">SUM(S1727:T1727)</f>
        <v>1</v>
      </c>
      <c r="Z1727" s="3" t="n">
        <f aca="false">SUM(U1727:W1727)</f>
        <v>0</v>
      </c>
      <c r="AA1727" s="3" t="n">
        <f aca="false">SUM(S1727:X1727)</f>
        <v>1</v>
      </c>
      <c r="AB1727" s="11" t="n">
        <f aca="false">(AA1727/(K1727*L1727)*25)*4</f>
        <v>4</v>
      </c>
    </row>
    <row r="1728" customFormat="false" ht="14.25" hidden="false" customHeight="false" outlineLevel="0" collapsed="false">
      <c r="A1728" s="1" t="n">
        <v>2014</v>
      </c>
      <c r="B1728" s="7" t="s">
        <v>322</v>
      </c>
      <c r="C1728" s="7" t="n">
        <v>2</v>
      </c>
      <c r="D1728" s="7" t="s">
        <v>293</v>
      </c>
      <c r="E1728" s="7" t="s">
        <v>293</v>
      </c>
      <c r="F1728" s="3" t="s">
        <v>101</v>
      </c>
      <c r="G1728" s="3" t="n">
        <v>3</v>
      </c>
      <c r="H1728" s="3" t="n">
        <v>12</v>
      </c>
      <c r="I1728" s="22" t="n">
        <v>41793</v>
      </c>
      <c r="J1728" s="22" t="n">
        <v>41798</v>
      </c>
      <c r="K1728" s="43" t="n">
        <f aca="false">J1728-I1728</f>
        <v>5</v>
      </c>
      <c r="L1728" s="1" t="n">
        <v>5</v>
      </c>
      <c r="M1728" s="3" t="s">
        <v>144</v>
      </c>
      <c r="N1728" s="3" t="s">
        <v>145</v>
      </c>
      <c r="O1728" s="3" t="s">
        <v>146</v>
      </c>
      <c r="P1728" s="2" t="str">
        <f aca="false">CONCATENATE(N1728," ",O1728)</f>
        <v>Phrurolithus festivus</v>
      </c>
      <c r="Q1728" s="1" t="s">
        <v>30</v>
      </c>
      <c r="R1728" s="1" t="s">
        <v>31</v>
      </c>
      <c r="S1728" s="3" t="n">
        <v>1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f aca="false">SUM(S1728:T1728)</f>
        <v>1</v>
      </c>
      <c r="Z1728" s="3" t="n">
        <f aca="false">SUM(U1728:W1728)</f>
        <v>0</v>
      </c>
      <c r="AA1728" s="3" t="n">
        <f aca="false">SUM(S1728:X1728)</f>
        <v>1</v>
      </c>
      <c r="AB1728" s="11" t="n">
        <f aca="false">(AA1728/(K1728*L1728)*25)*4</f>
        <v>4</v>
      </c>
    </row>
    <row r="1729" customFormat="false" ht="14.25" hidden="false" customHeight="false" outlineLevel="0" collapsed="false">
      <c r="A1729" s="1" t="n">
        <v>2014</v>
      </c>
      <c r="B1729" s="7" t="s">
        <v>322</v>
      </c>
      <c r="C1729" s="7" t="n">
        <v>2</v>
      </c>
      <c r="D1729" s="7" t="s">
        <v>293</v>
      </c>
      <c r="E1729" s="7" t="s">
        <v>293</v>
      </c>
      <c r="F1729" s="3" t="s">
        <v>101</v>
      </c>
      <c r="G1729" s="3" t="n">
        <v>3</v>
      </c>
      <c r="H1729" s="3" t="n">
        <v>12</v>
      </c>
      <c r="I1729" s="22" t="n">
        <v>41793</v>
      </c>
      <c r="J1729" s="22" t="n">
        <v>41798</v>
      </c>
      <c r="K1729" s="43" t="n">
        <f aca="false">J1729-I1729</f>
        <v>5</v>
      </c>
      <c r="L1729" s="1" t="n">
        <v>5</v>
      </c>
      <c r="M1729" s="3" t="s">
        <v>32</v>
      </c>
      <c r="N1729" s="3" t="s">
        <v>96</v>
      </c>
      <c r="O1729" s="3" t="s">
        <v>97</v>
      </c>
      <c r="P1729" s="2" t="str">
        <f aca="false">CONCATENATE(N1729," ",O1729)</f>
        <v>Diplocephalus picinus</v>
      </c>
      <c r="Q1729" s="1" t="s">
        <v>30</v>
      </c>
      <c r="R1729" s="1" t="s">
        <v>31</v>
      </c>
      <c r="S1729" s="3" t="n">
        <v>1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f aca="false">SUM(S1729:T1729)</f>
        <v>1</v>
      </c>
      <c r="Z1729" s="3" t="n">
        <f aca="false">SUM(U1729:W1729)</f>
        <v>0</v>
      </c>
      <c r="AA1729" s="3" t="n">
        <f aca="false">SUM(S1729:X1729)</f>
        <v>1</v>
      </c>
      <c r="AB1729" s="11" t="n">
        <f aca="false">(AA1729/(K1729*L1729)*25)*4</f>
        <v>4</v>
      </c>
    </row>
    <row r="1730" customFormat="false" ht="14.25" hidden="false" customHeight="false" outlineLevel="0" collapsed="false">
      <c r="A1730" s="1" t="n">
        <v>2014</v>
      </c>
      <c r="B1730" s="7" t="s">
        <v>322</v>
      </c>
      <c r="C1730" s="7" t="n">
        <v>2</v>
      </c>
      <c r="D1730" s="7" t="s">
        <v>293</v>
      </c>
      <c r="E1730" s="7" t="s">
        <v>293</v>
      </c>
      <c r="F1730" s="3" t="s">
        <v>101</v>
      </c>
      <c r="G1730" s="3" t="n">
        <v>3</v>
      </c>
      <c r="H1730" s="3" t="n">
        <v>12</v>
      </c>
      <c r="I1730" s="22" t="n">
        <v>41793</v>
      </c>
      <c r="J1730" s="22" t="n">
        <v>41798</v>
      </c>
      <c r="K1730" s="43" t="n">
        <f aca="false">J1730-I1730</f>
        <v>5</v>
      </c>
      <c r="L1730" s="1" t="n">
        <v>5</v>
      </c>
      <c r="M1730" s="3" t="s">
        <v>32</v>
      </c>
      <c r="N1730" s="3" t="s">
        <v>96</v>
      </c>
      <c r="O1730" s="3" t="s">
        <v>97</v>
      </c>
      <c r="P1730" s="2" t="str">
        <f aca="false">CONCATENATE(N1730," ",O1730)</f>
        <v>Diplocephalus picinus</v>
      </c>
      <c r="Q1730" s="1" t="s">
        <v>30</v>
      </c>
      <c r="R1730" s="1" t="s">
        <v>35</v>
      </c>
      <c r="S1730" s="3" t="n">
        <v>0</v>
      </c>
      <c r="T1730" s="3" t="n">
        <v>1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f aca="false">SUM(S1730:T1730)</f>
        <v>1</v>
      </c>
      <c r="Z1730" s="3" t="n">
        <f aca="false">SUM(U1730:W1730)</f>
        <v>0</v>
      </c>
      <c r="AA1730" s="3" t="n">
        <f aca="false">SUM(S1730:X1730)</f>
        <v>1</v>
      </c>
      <c r="AB1730" s="11" t="n">
        <f aca="false">(AA1730/(K1730*L1730)*25)*4</f>
        <v>4</v>
      </c>
    </row>
    <row r="1731" customFormat="false" ht="14.25" hidden="false" customHeight="false" outlineLevel="0" collapsed="false">
      <c r="A1731" s="1" t="n">
        <v>2014</v>
      </c>
      <c r="B1731" s="7" t="s">
        <v>322</v>
      </c>
      <c r="C1731" s="7" t="n">
        <v>2</v>
      </c>
      <c r="D1731" s="7" t="s">
        <v>293</v>
      </c>
      <c r="E1731" s="7" t="s">
        <v>293</v>
      </c>
      <c r="F1731" s="3" t="s">
        <v>101</v>
      </c>
      <c r="G1731" s="3" t="n">
        <v>1</v>
      </c>
      <c r="H1731" s="3" t="n">
        <v>5</v>
      </c>
      <c r="I1731" s="22" t="n">
        <v>41793</v>
      </c>
      <c r="J1731" s="22" t="n">
        <v>41798</v>
      </c>
      <c r="K1731" s="43" t="n">
        <f aca="false">J1731-I1731</f>
        <v>5</v>
      </c>
      <c r="L1731" s="1" t="n">
        <v>5</v>
      </c>
      <c r="M1731" s="3" t="s">
        <v>48</v>
      </c>
      <c r="N1731" s="3" t="s">
        <v>61</v>
      </c>
      <c r="O1731" s="3" t="s">
        <v>82</v>
      </c>
      <c r="P1731" s="2" t="str">
        <f aca="false">CONCATENATE(N1731," ",O1731)</f>
        <v>Trochosa terricola</v>
      </c>
      <c r="Q1731" s="1" t="s">
        <v>30</v>
      </c>
      <c r="R1731" s="1" t="s">
        <v>31</v>
      </c>
      <c r="S1731" s="3" t="n">
        <v>1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f aca="false">SUM(S1731:T1731)</f>
        <v>1</v>
      </c>
      <c r="Z1731" s="3" t="n">
        <f aca="false">SUM(U1731:W1731)</f>
        <v>0</v>
      </c>
      <c r="AA1731" s="3" t="n">
        <f aca="false">SUM(S1731:X1731)</f>
        <v>1</v>
      </c>
      <c r="AB1731" s="11" t="n">
        <f aca="false">(AA1731/(K1731*L1731)*25)*4</f>
        <v>4</v>
      </c>
    </row>
    <row r="1732" customFormat="false" ht="14.25" hidden="false" customHeight="false" outlineLevel="0" collapsed="false">
      <c r="A1732" s="1" t="n">
        <v>2014</v>
      </c>
      <c r="B1732" s="7" t="s">
        <v>322</v>
      </c>
      <c r="C1732" s="7" t="n">
        <v>2</v>
      </c>
      <c r="D1732" s="7" t="s">
        <v>293</v>
      </c>
      <c r="E1732" s="7" t="s">
        <v>293</v>
      </c>
      <c r="F1732" s="3" t="s">
        <v>101</v>
      </c>
      <c r="G1732" s="3" t="n">
        <v>1</v>
      </c>
      <c r="H1732" s="3" t="n">
        <v>5</v>
      </c>
      <c r="I1732" s="22" t="n">
        <v>41793</v>
      </c>
      <c r="J1732" s="22" t="n">
        <v>41798</v>
      </c>
      <c r="K1732" s="43" t="n">
        <f aca="false">J1732-I1732</f>
        <v>5</v>
      </c>
      <c r="L1732" s="1" t="n">
        <v>5</v>
      </c>
      <c r="M1732" s="3" t="s">
        <v>48</v>
      </c>
      <c r="N1732" s="3" t="s">
        <v>67</v>
      </c>
      <c r="O1732" s="3" t="s">
        <v>127</v>
      </c>
      <c r="P1732" s="2" t="str">
        <f aca="false">CONCATENATE(N1732," ",O1732)</f>
        <v>Pardosa lugubris</v>
      </c>
      <c r="Q1732" s="1" t="s">
        <v>30</v>
      </c>
      <c r="R1732" s="1" t="s">
        <v>31</v>
      </c>
      <c r="S1732" s="3" t="n">
        <v>1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f aca="false">SUM(S1732:T1732)</f>
        <v>1</v>
      </c>
      <c r="Z1732" s="3" t="n">
        <f aca="false">SUM(U1732:W1732)</f>
        <v>0</v>
      </c>
      <c r="AA1732" s="3" t="n">
        <f aca="false">SUM(S1732:X1732)</f>
        <v>1</v>
      </c>
      <c r="AB1732" s="11" t="n">
        <f aca="false">(AA1732/(K1732*L1732)*25)*4</f>
        <v>4</v>
      </c>
    </row>
    <row r="1733" customFormat="false" ht="14.25" hidden="false" customHeight="false" outlineLevel="0" collapsed="false">
      <c r="A1733" s="1" t="n">
        <v>2014</v>
      </c>
      <c r="B1733" s="7" t="s">
        <v>322</v>
      </c>
      <c r="C1733" s="7" t="n">
        <v>2</v>
      </c>
      <c r="D1733" s="7" t="s">
        <v>293</v>
      </c>
      <c r="E1733" s="7" t="s">
        <v>293</v>
      </c>
      <c r="F1733" s="3" t="s">
        <v>101</v>
      </c>
      <c r="G1733" s="3" t="n">
        <v>1</v>
      </c>
      <c r="H1733" s="3" t="n">
        <v>5</v>
      </c>
      <c r="I1733" s="22" t="n">
        <v>41793</v>
      </c>
      <c r="J1733" s="22" t="n">
        <v>41798</v>
      </c>
      <c r="K1733" s="43" t="n">
        <f aca="false">J1733-I1733</f>
        <v>5</v>
      </c>
      <c r="L1733" s="1" t="n">
        <v>5</v>
      </c>
      <c r="M1733" s="3" t="s">
        <v>226</v>
      </c>
      <c r="N1733" s="3" t="s">
        <v>65</v>
      </c>
      <c r="O1733" s="3" t="s">
        <v>123</v>
      </c>
      <c r="P1733" s="2" t="str">
        <f aca="false">CONCATENATE(N1733," ",O1733)</f>
        <v>Zora nemoralis</v>
      </c>
      <c r="Q1733" s="1" t="s">
        <v>30</v>
      </c>
      <c r="R1733" s="1" t="s">
        <v>31</v>
      </c>
      <c r="S1733" s="3" t="n">
        <v>1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f aca="false">SUM(S1733:T1733)</f>
        <v>1</v>
      </c>
      <c r="Z1733" s="3" t="n">
        <f aca="false">SUM(U1733:W1733)</f>
        <v>0</v>
      </c>
      <c r="AA1733" s="3" t="n">
        <f aca="false">SUM(S1733:X1733)</f>
        <v>1</v>
      </c>
      <c r="AB1733" s="11" t="n">
        <f aca="false">(AA1733/(K1733*L1733)*25)*4</f>
        <v>4</v>
      </c>
    </row>
    <row r="1734" customFormat="false" ht="14.25" hidden="false" customHeight="false" outlineLevel="0" collapsed="false">
      <c r="A1734" s="1" t="n">
        <v>2014</v>
      </c>
      <c r="B1734" s="7" t="s">
        <v>322</v>
      </c>
      <c r="C1734" s="7" t="n">
        <v>2</v>
      </c>
      <c r="D1734" s="7" t="s">
        <v>293</v>
      </c>
      <c r="E1734" s="7" t="s">
        <v>293</v>
      </c>
      <c r="F1734" s="3" t="s">
        <v>101</v>
      </c>
      <c r="G1734" s="3" t="n">
        <v>1</v>
      </c>
      <c r="H1734" s="3" t="n">
        <v>5</v>
      </c>
      <c r="I1734" s="22" t="n">
        <v>41793</v>
      </c>
      <c r="J1734" s="22" t="n">
        <v>41798</v>
      </c>
      <c r="K1734" s="43" t="n">
        <f aca="false">J1734-I1734</f>
        <v>5</v>
      </c>
      <c r="L1734" s="1" t="n">
        <v>5</v>
      </c>
      <c r="M1734" s="3" t="s">
        <v>72</v>
      </c>
      <c r="N1734" s="3" t="s">
        <v>73</v>
      </c>
      <c r="O1734" s="3" t="s">
        <v>74</v>
      </c>
      <c r="P1734" s="2" t="str">
        <f aca="false">CONCATENATE(N1734," ",O1734)</f>
        <v>Zelotes subterraneus</v>
      </c>
      <c r="Q1734" s="1" t="s">
        <v>30</v>
      </c>
      <c r="R1734" s="1" t="s">
        <v>31</v>
      </c>
      <c r="S1734" s="3" t="n">
        <v>1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f aca="false">SUM(S1734:T1734)</f>
        <v>1</v>
      </c>
      <c r="Z1734" s="3" t="n">
        <f aca="false">SUM(U1734:W1734)</f>
        <v>0</v>
      </c>
      <c r="AA1734" s="3" t="n">
        <f aca="false">SUM(S1734:X1734)</f>
        <v>1</v>
      </c>
      <c r="AB1734" s="11" t="n">
        <f aca="false">(AA1734/(K1734*L1734)*25)*4</f>
        <v>4</v>
      </c>
    </row>
    <row r="1735" customFormat="false" ht="14.25" hidden="false" customHeight="false" outlineLevel="0" collapsed="false">
      <c r="A1735" s="1" t="n">
        <v>2014</v>
      </c>
      <c r="B1735" s="7" t="s">
        <v>322</v>
      </c>
      <c r="C1735" s="7" t="n">
        <v>2</v>
      </c>
      <c r="D1735" s="7" t="s">
        <v>293</v>
      </c>
      <c r="E1735" s="7" t="s">
        <v>293</v>
      </c>
      <c r="F1735" s="3" t="s">
        <v>101</v>
      </c>
      <c r="G1735" s="3" t="n">
        <v>1</v>
      </c>
      <c r="H1735" s="3" t="n">
        <v>5</v>
      </c>
      <c r="I1735" s="22" t="n">
        <v>41793</v>
      </c>
      <c r="J1735" s="22" t="n">
        <v>41798</v>
      </c>
      <c r="K1735" s="43" t="n">
        <f aca="false">J1735-I1735</f>
        <v>5</v>
      </c>
      <c r="L1735" s="1" t="n">
        <v>5</v>
      </c>
      <c r="M1735" s="3" t="s">
        <v>32</v>
      </c>
      <c r="N1735" s="3" t="s">
        <v>96</v>
      </c>
      <c r="O1735" s="3" t="s">
        <v>97</v>
      </c>
      <c r="P1735" s="2" t="str">
        <f aca="false">CONCATENATE(N1735," ",O1735)</f>
        <v>Diplocephalus picinus</v>
      </c>
      <c r="Q1735" s="1" t="s">
        <v>30</v>
      </c>
      <c r="R1735" s="1" t="s">
        <v>31</v>
      </c>
      <c r="S1735" s="3" t="n">
        <v>1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f aca="false">SUM(S1735:T1735)</f>
        <v>1</v>
      </c>
      <c r="Z1735" s="3" t="n">
        <f aca="false">SUM(U1735:W1735)</f>
        <v>0</v>
      </c>
      <c r="AA1735" s="3" t="n">
        <f aca="false">SUM(S1735:X1735)</f>
        <v>1</v>
      </c>
      <c r="AB1735" s="11" t="n">
        <f aca="false">(AA1735/(K1735*L1735)*25)*4</f>
        <v>4</v>
      </c>
    </row>
    <row r="1736" customFormat="false" ht="14.25" hidden="false" customHeight="false" outlineLevel="0" collapsed="false">
      <c r="A1736" s="1" t="n">
        <v>2014</v>
      </c>
      <c r="B1736" s="7" t="s">
        <v>322</v>
      </c>
      <c r="C1736" s="7" t="n">
        <v>2</v>
      </c>
      <c r="D1736" s="7" t="s">
        <v>293</v>
      </c>
      <c r="E1736" s="7" t="s">
        <v>293</v>
      </c>
      <c r="F1736" s="3" t="s">
        <v>101</v>
      </c>
      <c r="G1736" s="3" t="n">
        <v>1</v>
      </c>
      <c r="H1736" s="3" t="n">
        <v>5</v>
      </c>
      <c r="I1736" s="22" t="n">
        <v>41793</v>
      </c>
      <c r="J1736" s="22" t="n">
        <v>41798</v>
      </c>
      <c r="K1736" s="43" t="n">
        <f aca="false">J1736-I1736</f>
        <v>5</v>
      </c>
      <c r="L1736" s="1" t="n">
        <v>5</v>
      </c>
      <c r="M1736" s="3" t="s">
        <v>48</v>
      </c>
      <c r="N1736" s="3" t="s">
        <v>49</v>
      </c>
      <c r="O1736" s="3" t="s">
        <v>104</v>
      </c>
      <c r="P1736" s="2" t="str">
        <f aca="false">CONCATENATE(N1736," ",O1736)</f>
        <v>Alopecosa taeniata</v>
      </c>
      <c r="Q1736" s="1" t="s">
        <v>30</v>
      </c>
      <c r="R1736" s="1" t="s">
        <v>31</v>
      </c>
      <c r="S1736" s="3" t="n">
        <v>1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f aca="false">SUM(S1736:T1736)</f>
        <v>1</v>
      </c>
      <c r="Z1736" s="3" t="n">
        <f aca="false">SUM(U1736:W1736)</f>
        <v>0</v>
      </c>
      <c r="AA1736" s="3" t="n">
        <f aca="false">SUM(S1736:X1736)</f>
        <v>1</v>
      </c>
      <c r="AB1736" s="11" t="n">
        <f aca="false">(AA1736/(K1736*L1736)*25)*4</f>
        <v>4</v>
      </c>
    </row>
    <row r="1737" customFormat="false" ht="14.25" hidden="false" customHeight="false" outlineLevel="0" collapsed="false">
      <c r="A1737" s="1" t="n">
        <v>2014</v>
      </c>
      <c r="B1737" s="7" t="s">
        <v>322</v>
      </c>
      <c r="C1737" s="7" t="n">
        <v>2</v>
      </c>
      <c r="D1737" s="7" t="s">
        <v>293</v>
      </c>
      <c r="E1737" s="7" t="s">
        <v>293</v>
      </c>
      <c r="F1737" s="3" t="s">
        <v>101</v>
      </c>
      <c r="G1737" s="3" t="n">
        <v>1</v>
      </c>
      <c r="H1737" s="3" t="n">
        <v>5</v>
      </c>
      <c r="I1737" s="22" t="n">
        <v>41793</v>
      </c>
      <c r="J1737" s="22" t="n">
        <v>41798</v>
      </c>
      <c r="K1737" s="43" t="n">
        <f aca="false">J1737-I1737</f>
        <v>5</v>
      </c>
      <c r="L1737" s="1" t="n">
        <v>5</v>
      </c>
      <c r="M1737" s="3" t="s">
        <v>48</v>
      </c>
      <c r="N1737" s="3" t="s">
        <v>49</v>
      </c>
      <c r="O1737" s="3" t="s">
        <v>104</v>
      </c>
      <c r="P1737" s="2" t="str">
        <f aca="false">CONCATENATE(N1737," ",O1737)</f>
        <v>Alopecosa taeniata</v>
      </c>
      <c r="Q1737" s="1" t="s">
        <v>30</v>
      </c>
      <c r="R1737" s="1" t="s">
        <v>31</v>
      </c>
      <c r="S1737" s="3" t="n">
        <v>6</v>
      </c>
      <c r="T1737" s="3" t="n">
        <v>0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f aca="false">SUM(S1737:T1737)</f>
        <v>6</v>
      </c>
      <c r="Z1737" s="3" t="n">
        <f aca="false">SUM(U1737:W1737)</f>
        <v>0</v>
      </c>
      <c r="AA1737" s="3" t="n">
        <f aca="false">SUM(S1737:X1737)</f>
        <v>6</v>
      </c>
      <c r="AB1737" s="11" t="n">
        <f aca="false">(AA1737/(K1737*L1737)*25)*4</f>
        <v>24</v>
      </c>
    </row>
    <row r="1738" customFormat="false" ht="14.25" hidden="false" customHeight="false" outlineLevel="0" collapsed="false">
      <c r="A1738" s="1" t="n">
        <v>2014</v>
      </c>
      <c r="B1738" s="7" t="s">
        <v>322</v>
      </c>
      <c r="C1738" s="7" t="n">
        <v>2</v>
      </c>
      <c r="D1738" s="7" t="s">
        <v>293</v>
      </c>
      <c r="E1738" s="7" t="s">
        <v>293</v>
      </c>
      <c r="F1738" s="3" t="s">
        <v>101</v>
      </c>
      <c r="G1738" s="3" t="n">
        <v>1</v>
      </c>
      <c r="H1738" s="3" t="n">
        <v>5</v>
      </c>
      <c r="I1738" s="22" t="n">
        <v>41793</v>
      </c>
      <c r="J1738" s="22" t="n">
        <v>41798</v>
      </c>
      <c r="K1738" s="43" t="n">
        <f aca="false">J1738-I1738</f>
        <v>5</v>
      </c>
      <c r="L1738" s="1" t="n">
        <v>5</v>
      </c>
      <c r="M1738" s="3" t="s">
        <v>48</v>
      </c>
      <c r="N1738" s="3" t="s">
        <v>49</v>
      </c>
      <c r="O1738" s="3" t="s">
        <v>104</v>
      </c>
      <c r="P1738" s="2" t="str">
        <f aca="false">CONCATENATE(N1738," ",O1738)</f>
        <v>Alopecosa taeniata</v>
      </c>
      <c r="Q1738" s="1" t="s">
        <v>30</v>
      </c>
      <c r="R1738" s="1" t="s">
        <v>35</v>
      </c>
      <c r="S1738" s="3" t="n">
        <v>0</v>
      </c>
      <c r="T1738" s="3" t="n">
        <v>2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f aca="false">SUM(S1738:T1738)</f>
        <v>2</v>
      </c>
      <c r="Z1738" s="3" t="n">
        <f aca="false">SUM(U1738:W1738)</f>
        <v>0</v>
      </c>
      <c r="AA1738" s="3" t="n">
        <f aca="false">SUM(S1738:X1738)</f>
        <v>2</v>
      </c>
      <c r="AB1738" s="11" t="n">
        <f aca="false">(AA1738/(K1738*L1738)*25)*4</f>
        <v>8</v>
      </c>
    </row>
    <row r="1739" customFormat="false" ht="14.25" hidden="false" customHeight="false" outlineLevel="0" collapsed="false">
      <c r="A1739" s="1" t="n">
        <v>2014</v>
      </c>
      <c r="B1739" s="7" t="s">
        <v>322</v>
      </c>
      <c r="C1739" s="7" t="n">
        <v>2</v>
      </c>
      <c r="D1739" s="7" t="s">
        <v>293</v>
      </c>
      <c r="E1739" s="7" t="s">
        <v>293</v>
      </c>
      <c r="F1739" s="3" t="s">
        <v>101</v>
      </c>
      <c r="G1739" s="3" t="n">
        <v>1</v>
      </c>
      <c r="H1739" s="3" t="n">
        <v>5</v>
      </c>
      <c r="I1739" s="22" t="n">
        <v>41793</v>
      </c>
      <c r="J1739" s="22" t="n">
        <v>41798</v>
      </c>
      <c r="K1739" s="43" t="n">
        <f aca="false">J1739-I1739</f>
        <v>5</v>
      </c>
      <c r="L1739" s="1" t="n">
        <v>5</v>
      </c>
      <c r="M1739" s="3" t="s">
        <v>48</v>
      </c>
      <c r="N1739" s="3" t="s">
        <v>49</v>
      </c>
      <c r="O1739" s="3" t="s">
        <v>223</v>
      </c>
      <c r="P1739" s="2" t="str">
        <f aca="false">CONCATENATE(N1739," ",O1739)</f>
        <v>Alopecosa pulverulenta</v>
      </c>
      <c r="Q1739" s="1" t="s">
        <v>30</v>
      </c>
      <c r="R1739" s="1" t="s">
        <v>31</v>
      </c>
      <c r="S1739" s="3" t="n">
        <v>1</v>
      </c>
      <c r="T1739" s="3" t="n">
        <v>0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f aca="false">SUM(S1739:T1739)</f>
        <v>1</v>
      </c>
      <c r="Z1739" s="3" t="n">
        <f aca="false">SUM(U1739:W1739)</f>
        <v>0</v>
      </c>
      <c r="AA1739" s="3" t="n">
        <f aca="false">SUM(S1739:X1739)</f>
        <v>1</v>
      </c>
      <c r="AB1739" s="11" t="n">
        <f aca="false">(AA1739/(K1739*L1739)*25)*4</f>
        <v>4</v>
      </c>
    </row>
    <row r="1740" customFormat="false" ht="14.25" hidden="false" customHeight="false" outlineLevel="0" collapsed="false">
      <c r="A1740" s="1" t="n">
        <v>2014</v>
      </c>
      <c r="B1740" s="7" t="s">
        <v>322</v>
      </c>
      <c r="C1740" s="7" t="n">
        <v>2</v>
      </c>
      <c r="D1740" s="7" t="s">
        <v>293</v>
      </c>
      <c r="E1740" s="7" t="s">
        <v>293</v>
      </c>
      <c r="F1740" s="3" t="s">
        <v>101</v>
      </c>
      <c r="G1740" s="3" t="n">
        <v>1</v>
      </c>
      <c r="H1740" s="3" t="n">
        <v>5</v>
      </c>
      <c r="I1740" s="22" t="n">
        <v>41793</v>
      </c>
      <c r="J1740" s="22" t="n">
        <v>41798</v>
      </c>
      <c r="K1740" s="43" t="n">
        <f aca="false">J1740-I1740</f>
        <v>5</v>
      </c>
      <c r="L1740" s="1" t="n">
        <v>5</v>
      </c>
      <c r="M1740" s="3" t="s">
        <v>48</v>
      </c>
      <c r="N1740" s="3" t="s">
        <v>49</v>
      </c>
      <c r="O1740" s="3" t="s">
        <v>130</v>
      </c>
      <c r="P1740" s="2" t="str">
        <f aca="false">CONCATENATE(N1740," ",O1740)</f>
        <v>Alopecosa aculeata</v>
      </c>
      <c r="Q1740" s="1" t="s">
        <v>30</v>
      </c>
      <c r="R1740" s="1" t="s">
        <v>31</v>
      </c>
      <c r="S1740" s="3" t="n">
        <v>1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f aca="false">SUM(S1740:T1740)</f>
        <v>1</v>
      </c>
      <c r="Z1740" s="3" t="n">
        <f aca="false">SUM(U1740:W1740)</f>
        <v>0</v>
      </c>
      <c r="AA1740" s="3" t="n">
        <f aca="false">SUM(S1740:X1740)</f>
        <v>1</v>
      </c>
      <c r="AB1740" s="11" t="n">
        <f aca="false">(AA1740/(K1740*L1740)*25)*4</f>
        <v>4</v>
      </c>
    </row>
    <row r="1741" customFormat="false" ht="14.25" hidden="false" customHeight="false" outlineLevel="0" collapsed="false">
      <c r="A1741" s="1" t="n">
        <v>2014</v>
      </c>
      <c r="B1741" s="7" t="s">
        <v>322</v>
      </c>
      <c r="C1741" s="7" t="n">
        <v>2</v>
      </c>
      <c r="D1741" s="7" t="s">
        <v>293</v>
      </c>
      <c r="E1741" s="7" t="s">
        <v>293</v>
      </c>
      <c r="F1741" s="3" t="s">
        <v>101</v>
      </c>
      <c r="G1741" s="3" t="n">
        <v>1</v>
      </c>
      <c r="H1741" s="3" t="n">
        <v>4</v>
      </c>
      <c r="I1741" s="22" t="n">
        <v>41793</v>
      </c>
      <c r="J1741" s="22" t="n">
        <v>41798</v>
      </c>
      <c r="K1741" s="43" t="n">
        <f aca="false">J1741-I1741</f>
        <v>5</v>
      </c>
      <c r="L1741" s="1" t="n">
        <v>5</v>
      </c>
      <c r="M1741" s="3" t="s">
        <v>72</v>
      </c>
      <c r="N1741" s="3" t="s">
        <v>242</v>
      </c>
      <c r="O1741" s="3" t="s">
        <v>166</v>
      </c>
      <c r="P1741" s="2" t="str">
        <f aca="false">CONCATENATE(N1741," ",O1741)</f>
        <v>Drassyllus pusillus</v>
      </c>
      <c r="Q1741" s="1" t="s">
        <v>30</v>
      </c>
      <c r="R1741" s="1" t="s">
        <v>31</v>
      </c>
      <c r="S1741" s="3" t="n">
        <v>1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f aca="false">SUM(S1741:T1741)</f>
        <v>1</v>
      </c>
      <c r="Z1741" s="3" t="n">
        <f aca="false">SUM(U1741:W1741)</f>
        <v>0</v>
      </c>
      <c r="AA1741" s="3" t="n">
        <f aca="false">SUM(S1741:X1741)</f>
        <v>1</v>
      </c>
      <c r="AB1741" s="11" t="n">
        <f aca="false">(AA1741/(K1741*L1741)*25)*4</f>
        <v>4</v>
      </c>
    </row>
    <row r="1742" customFormat="false" ht="14.25" hidden="false" customHeight="false" outlineLevel="0" collapsed="false">
      <c r="A1742" s="1" t="n">
        <v>2014</v>
      </c>
      <c r="B1742" s="7" t="s">
        <v>322</v>
      </c>
      <c r="C1742" s="7" t="n">
        <v>2</v>
      </c>
      <c r="D1742" s="7" t="s">
        <v>293</v>
      </c>
      <c r="E1742" s="7" t="s">
        <v>293</v>
      </c>
      <c r="F1742" s="3" t="s">
        <v>101</v>
      </c>
      <c r="G1742" s="3" t="n">
        <v>1</v>
      </c>
      <c r="H1742" s="3" t="n">
        <v>4</v>
      </c>
      <c r="I1742" s="22" t="n">
        <v>41793</v>
      </c>
      <c r="J1742" s="22" t="n">
        <v>41798</v>
      </c>
      <c r="K1742" s="43" t="n">
        <f aca="false">J1742-I1742</f>
        <v>5</v>
      </c>
      <c r="L1742" s="1" t="n">
        <v>5</v>
      </c>
      <c r="M1742" s="3" t="s">
        <v>48</v>
      </c>
      <c r="N1742" s="3" t="s">
        <v>67</v>
      </c>
      <c r="O1742" s="3" t="s">
        <v>127</v>
      </c>
      <c r="P1742" s="2" t="str">
        <f aca="false">CONCATENATE(N1742," ",O1742)</f>
        <v>Pardosa lugubris</v>
      </c>
      <c r="Q1742" s="1" t="s">
        <v>30</v>
      </c>
      <c r="R1742" s="1" t="s">
        <v>31</v>
      </c>
      <c r="S1742" s="3" t="n">
        <v>2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f aca="false">SUM(S1742:T1742)</f>
        <v>2</v>
      </c>
      <c r="Z1742" s="3" t="n">
        <f aca="false">SUM(U1742:W1742)</f>
        <v>0</v>
      </c>
      <c r="AA1742" s="3" t="n">
        <f aca="false">SUM(S1742:X1742)</f>
        <v>2</v>
      </c>
      <c r="AB1742" s="11" t="n">
        <f aca="false">(AA1742/(K1742*L1742)*25)*4</f>
        <v>8</v>
      </c>
    </row>
    <row r="1743" customFormat="false" ht="14.25" hidden="false" customHeight="false" outlineLevel="0" collapsed="false">
      <c r="A1743" s="1" t="n">
        <v>2014</v>
      </c>
      <c r="B1743" s="7" t="s">
        <v>322</v>
      </c>
      <c r="C1743" s="7" t="n">
        <v>2</v>
      </c>
      <c r="D1743" s="7" t="s">
        <v>293</v>
      </c>
      <c r="E1743" s="7" t="s">
        <v>293</v>
      </c>
      <c r="F1743" s="3" t="s">
        <v>101</v>
      </c>
      <c r="G1743" s="3" t="n">
        <v>1</v>
      </c>
      <c r="H1743" s="3" t="n">
        <v>4</v>
      </c>
      <c r="I1743" s="22" t="n">
        <v>41793</v>
      </c>
      <c r="J1743" s="22" t="n">
        <v>41798</v>
      </c>
      <c r="K1743" s="43" t="n">
        <f aca="false">J1743-I1743</f>
        <v>5</v>
      </c>
      <c r="L1743" s="1" t="n">
        <v>5</v>
      </c>
      <c r="M1743" s="3" t="s">
        <v>72</v>
      </c>
      <c r="N1743" s="3" t="s">
        <v>86</v>
      </c>
      <c r="O1743" s="3" t="s">
        <v>87</v>
      </c>
      <c r="P1743" s="2" t="str">
        <f aca="false">CONCATENATE(N1743," ",O1743)</f>
        <v>Haplodrassus soerenseni</v>
      </c>
      <c r="Q1743" s="1" t="s">
        <v>30</v>
      </c>
      <c r="R1743" s="1" t="s">
        <v>31</v>
      </c>
      <c r="S1743" s="3" t="n">
        <v>1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f aca="false">SUM(S1743:T1743)</f>
        <v>1</v>
      </c>
      <c r="Z1743" s="3" t="n">
        <f aca="false">SUM(U1743:W1743)</f>
        <v>0</v>
      </c>
      <c r="AA1743" s="3" t="n">
        <f aca="false">SUM(S1743:X1743)</f>
        <v>1</v>
      </c>
      <c r="AB1743" s="11" t="n">
        <f aca="false">(AA1743/(K1743*L1743)*25)*4</f>
        <v>4</v>
      </c>
    </row>
    <row r="1744" customFormat="false" ht="14.25" hidden="false" customHeight="false" outlineLevel="0" collapsed="false">
      <c r="A1744" s="1" t="n">
        <v>2014</v>
      </c>
      <c r="B1744" s="7" t="s">
        <v>322</v>
      </c>
      <c r="C1744" s="7" t="n">
        <v>2</v>
      </c>
      <c r="D1744" s="7" t="s">
        <v>293</v>
      </c>
      <c r="E1744" s="7" t="s">
        <v>293</v>
      </c>
      <c r="F1744" s="3" t="s">
        <v>101</v>
      </c>
      <c r="G1744" s="3" t="n">
        <v>1</v>
      </c>
      <c r="H1744" s="3" t="n">
        <v>4</v>
      </c>
      <c r="I1744" s="22" t="n">
        <v>41793</v>
      </c>
      <c r="J1744" s="22" t="n">
        <v>41798</v>
      </c>
      <c r="K1744" s="43" t="n">
        <f aca="false">J1744-I1744</f>
        <v>5</v>
      </c>
      <c r="L1744" s="1" t="n">
        <v>5</v>
      </c>
      <c r="M1744" s="3" t="s">
        <v>226</v>
      </c>
      <c r="N1744" s="3" t="s">
        <v>65</v>
      </c>
      <c r="O1744" s="3" t="s">
        <v>123</v>
      </c>
      <c r="P1744" s="2" t="str">
        <f aca="false">CONCATENATE(N1744," ",O1744)</f>
        <v>Zora nemoralis</v>
      </c>
      <c r="Q1744" s="1" t="s">
        <v>30</v>
      </c>
      <c r="R1744" s="1" t="s">
        <v>31</v>
      </c>
      <c r="S1744" s="3" t="n">
        <v>1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f aca="false">SUM(S1744:T1744)</f>
        <v>1</v>
      </c>
      <c r="Z1744" s="3" t="n">
        <f aca="false">SUM(U1744:W1744)</f>
        <v>0</v>
      </c>
      <c r="AA1744" s="3" t="n">
        <f aca="false">SUM(S1744:X1744)</f>
        <v>1</v>
      </c>
      <c r="AB1744" s="11" t="n">
        <f aca="false">(AA1744/(K1744*L1744)*25)*4</f>
        <v>4</v>
      </c>
    </row>
    <row r="1745" customFormat="false" ht="14.25" hidden="false" customHeight="false" outlineLevel="0" collapsed="false">
      <c r="A1745" s="1" t="n">
        <v>2014</v>
      </c>
      <c r="B1745" s="7" t="s">
        <v>322</v>
      </c>
      <c r="C1745" s="7" t="n">
        <v>2</v>
      </c>
      <c r="D1745" s="7" t="s">
        <v>293</v>
      </c>
      <c r="E1745" s="7" t="s">
        <v>293</v>
      </c>
      <c r="F1745" s="3" t="s">
        <v>101</v>
      </c>
      <c r="G1745" s="3" t="n">
        <v>1</v>
      </c>
      <c r="H1745" s="3" t="n">
        <v>4</v>
      </c>
      <c r="I1745" s="22" t="n">
        <v>41793</v>
      </c>
      <c r="J1745" s="22" t="n">
        <v>41798</v>
      </c>
      <c r="K1745" s="43" t="n">
        <f aca="false">J1745-I1745</f>
        <v>5</v>
      </c>
      <c r="L1745" s="1" t="n">
        <v>5</v>
      </c>
      <c r="M1745" s="3" t="s">
        <v>48</v>
      </c>
      <c r="N1745" s="3" t="s">
        <v>49</v>
      </c>
      <c r="O1745" s="3" t="s">
        <v>130</v>
      </c>
      <c r="P1745" s="2" t="str">
        <f aca="false">CONCATENATE(N1745," ",O1745)</f>
        <v>Alopecosa aculeata</v>
      </c>
      <c r="Q1745" s="1" t="s">
        <v>30</v>
      </c>
      <c r="R1745" s="1" t="s">
        <v>31</v>
      </c>
      <c r="S1745" s="3" t="n">
        <v>1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f aca="false">SUM(S1745:T1745)</f>
        <v>1</v>
      </c>
      <c r="Z1745" s="3" t="n">
        <f aca="false">SUM(U1745:W1745)</f>
        <v>0</v>
      </c>
      <c r="AA1745" s="3" t="n">
        <f aca="false">SUM(S1745:X1745)</f>
        <v>1</v>
      </c>
      <c r="AB1745" s="11" t="n">
        <f aca="false">(AA1745/(K1745*L1745)*25)*4</f>
        <v>4</v>
      </c>
    </row>
    <row r="1746" customFormat="false" ht="14.25" hidden="false" customHeight="false" outlineLevel="0" collapsed="false">
      <c r="A1746" s="1" t="n">
        <v>2014</v>
      </c>
      <c r="B1746" s="7" t="s">
        <v>322</v>
      </c>
      <c r="C1746" s="7" t="n">
        <v>2</v>
      </c>
      <c r="D1746" s="7" t="s">
        <v>293</v>
      </c>
      <c r="E1746" s="7" t="s">
        <v>293</v>
      </c>
      <c r="F1746" s="3" t="s">
        <v>101</v>
      </c>
      <c r="G1746" s="3" t="n">
        <v>1</v>
      </c>
      <c r="H1746" s="3" t="n">
        <v>4</v>
      </c>
      <c r="I1746" s="22" t="n">
        <v>41793</v>
      </c>
      <c r="J1746" s="22" t="n">
        <v>41798</v>
      </c>
      <c r="K1746" s="43" t="n">
        <f aca="false">J1746-I1746</f>
        <v>5</v>
      </c>
      <c r="L1746" s="1" t="n">
        <v>5</v>
      </c>
      <c r="M1746" s="3" t="s">
        <v>48</v>
      </c>
      <c r="N1746" s="3" t="s">
        <v>49</v>
      </c>
      <c r="O1746" s="3" t="s">
        <v>223</v>
      </c>
      <c r="P1746" s="2" t="str">
        <f aca="false">CONCATENATE(N1746," ",O1746)</f>
        <v>Alopecosa pulverulenta</v>
      </c>
      <c r="Q1746" s="1" t="s">
        <v>30</v>
      </c>
      <c r="R1746" s="1" t="s">
        <v>31</v>
      </c>
      <c r="S1746" s="3" t="n">
        <v>1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f aca="false">SUM(S1746:T1746)</f>
        <v>1</v>
      </c>
      <c r="Z1746" s="3" t="n">
        <f aca="false">SUM(U1746:W1746)</f>
        <v>0</v>
      </c>
      <c r="AA1746" s="3" t="n">
        <f aca="false">SUM(S1746:X1746)</f>
        <v>1</v>
      </c>
      <c r="AB1746" s="11" t="n">
        <f aca="false">(AA1746/(K1746*L1746)*25)*4</f>
        <v>4</v>
      </c>
    </row>
    <row r="1747" customFormat="false" ht="14.25" hidden="false" customHeight="false" outlineLevel="0" collapsed="false">
      <c r="A1747" s="1" t="n">
        <v>2014</v>
      </c>
      <c r="B1747" s="7" t="s">
        <v>322</v>
      </c>
      <c r="C1747" s="7" t="n">
        <v>2</v>
      </c>
      <c r="D1747" s="7" t="s">
        <v>293</v>
      </c>
      <c r="E1747" s="7" t="s">
        <v>293</v>
      </c>
      <c r="F1747" s="3" t="s">
        <v>101</v>
      </c>
      <c r="G1747" s="3" t="n">
        <v>1</v>
      </c>
      <c r="H1747" s="3" t="n">
        <v>4</v>
      </c>
      <c r="I1747" s="22" t="n">
        <v>41793</v>
      </c>
      <c r="J1747" s="22" t="n">
        <v>41798</v>
      </c>
      <c r="K1747" s="43" t="n">
        <f aca="false">J1747-I1747</f>
        <v>5</v>
      </c>
      <c r="L1747" s="1" t="n">
        <v>5</v>
      </c>
      <c r="M1747" s="3" t="s">
        <v>48</v>
      </c>
      <c r="N1747" s="3" t="s">
        <v>49</v>
      </c>
      <c r="O1747" s="3" t="s">
        <v>104</v>
      </c>
      <c r="P1747" s="2" t="str">
        <f aca="false">CONCATENATE(N1747," ",O1747)</f>
        <v>Alopecosa taeniata</v>
      </c>
      <c r="Q1747" s="1" t="s">
        <v>30</v>
      </c>
      <c r="R1747" s="1" t="s">
        <v>31</v>
      </c>
      <c r="S1747" s="3" t="n">
        <v>6</v>
      </c>
      <c r="T1747" s="3" t="n">
        <v>0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f aca="false">SUM(S1747:T1747)</f>
        <v>6</v>
      </c>
      <c r="Z1747" s="3" t="n">
        <f aca="false">SUM(U1747:W1747)</f>
        <v>0</v>
      </c>
      <c r="AA1747" s="3" t="n">
        <f aca="false">SUM(S1747:X1747)</f>
        <v>6</v>
      </c>
      <c r="AB1747" s="11" t="n">
        <f aca="false">(AA1747/(K1747*L1747)*25)*4</f>
        <v>24</v>
      </c>
    </row>
    <row r="1748" customFormat="false" ht="14.25" hidden="false" customHeight="false" outlineLevel="0" collapsed="false">
      <c r="A1748" s="1" t="n">
        <v>2014</v>
      </c>
      <c r="B1748" s="7" t="s">
        <v>322</v>
      </c>
      <c r="C1748" s="7" t="n">
        <v>2</v>
      </c>
      <c r="D1748" s="7" t="s">
        <v>293</v>
      </c>
      <c r="E1748" s="7" t="s">
        <v>293</v>
      </c>
      <c r="F1748" s="3" t="s">
        <v>101</v>
      </c>
      <c r="G1748" s="3" t="n">
        <v>1</v>
      </c>
      <c r="H1748" s="3" t="n">
        <v>4</v>
      </c>
      <c r="I1748" s="22" t="n">
        <v>41793</v>
      </c>
      <c r="J1748" s="22" t="n">
        <v>41798</v>
      </c>
      <c r="K1748" s="43" t="n">
        <f aca="false">J1748-I1748</f>
        <v>5</v>
      </c>
      <c r="L1748" s="1" t="n">
        <v>5</v>
      </c>
      <c r="M1748" s="3" t="s">
        <v>48</v>
      </c>
      <c r="N1748" s="3" t="s">
        <v>49</v>
      </c>
      <c r="O1748" s="3" t="s">
        <v>104</v>
      </c>
      <c r="P1748" s="2" t="str">
        <f aca="false">CONCATENATE(N1748," ",O1748)</f>
        <v>Alopecosa taeniata</v>
      </c>
      <c r="Q1748" s="1" t="s">
        <v>30</v>
      </c>
      <c r="R1748" s="1" t="s">
        <v>35</v>
      </c>
      <c r="S1748" s="3" t="n">
        <v>0</v>
      </c>
      <c r="T1748" s="3" t="n">
        <v>1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f aca="false">SUM(S1748:T1748)</f>
        <v>1</v>
      </c>
      <c r="Z1748" s="3" t="n">
        <f aca="false">SUM(U1748:W1748)</f>
        <v>0</v>
      </c>
      <c r="AA1748" s="3" t="n">
        <f aca="false">SUM(S1748:X1748)</f>
        <v>1</v>
      </c>
      <c r="AB1748" s="11" t="n">
        <f aca="false">(AA1748/(K1748*L1748)*25)*4</f>
        <v>4</v>
      </c>
    </row>
    <row r="1749" customFormat="false" ht="14.25" hidden="false" customHeight="false" outlineLevel="0" collapsed="false">
      <c r="A1749" s="1" t="n">
        <v>2014</v>
      </c>
      <c r="B1749" s="7" t="s">
        <v>322</v>
      </c>
      <c r="C1749" s="7" t="n">
        <v>2</v>
      </c>
      <c r="D1749" s="7" t="s">
        <v>293</v>
      </c>
      <c r="E1749" s="7" t="s">
        <v>293</v>
      </c>
      <c r="F1749" s="3" t="s">
        <v>101</v>
      </c>
      <c r="G1749" s="3" t="n">
        <v>2</v>
      </c>
      <c r="H1749" s="3" t="n">
        <v>7</v>
      </c>
      <c r="I1749" s="22" t="n">
        <v>41793</v>
      </c>
      <c r="J1749" s="22" t="n">
        <v>41798</v>
      </c>
      <c r="K1749" s="43" t="n">
        <f aca="false">J1749-I1749</f>
        <v>5</v>
      </c>
      <c r="L1749" s="1" t="n">
        <v>5</v>
      </c>
      <c r="M1749" s="3" t="s">
        <v>32</v>
      </c>
      <c r="N1749" s="3" t="s">
        <v>84</v>
      </c>
      <c r="O1749" s="3" t="s">
        <v>85</v>
      </c>
      <c r="P1749" s="2" t="str">
        <f aca="false">CONCATENATE(N1749," ",O1749)</f>
        <v>Walckenaeria antica</v>
      </c>
      <c r="Q1749" s="1" t="s">
        <v>30</v>
      </c>
      <c r="R1749" s="1" t="s">
        <v>35</v>
      </c>
      <c r="S1749" s="3" t="n">
        <v>0</v>
      </c>
      <c r="T1749" s="3" t="n">
        <v>1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f aca="false">SUM(S1749:T1749)</f>
        <v>1</v>
      </c>
      <c r="Z1749" s="3" t="n">
        <f aca="false">SUM(U1749:W1749)</f>
        <v>0</v>
      </c>
      <c r="AA1749" s="3" t="n">
        <f aca="false">SUM(S1749:X1749)</f>
        <v>1</v>
      </c>
      <c r="AB1749" s="11" t="n">
        <f aca="false">(AA1749/(K1749*L1749)*25)*4</f>
        <v>4</v>
      </c>
    </row>
    <row r="1750" customFormat="false" ht="14.25" hidden="false" customHeight="false" outlineLevel="0" collapsed="false">
      <c r="A1750" s="1" t="n">
        <v>2014</v>
      </c>
      <c r="B1750" s="7" t="s">
        <v>322</v>
      </c>
      <c r="C1750" s="7" t="n">
        <v>2</v>
      </c>
      <c r="D1750" s="7" t="s">
        <v>293</v>
      </c>
      <c r="E1750" s="7" t="s">
        <v>293</v>
      </c>
      <c r="F1750" s="3" t="s">
        <v>101</v>
      </c>
      <c r="G1750" s="3" t="n">
        <v>2</v>
      </c>
      <c r="H1750" s="3" t="n">
        <v>7</v>
      </c>
      <c r="I1750" s="22" t="n">
        <v>41793</v>
      </c>
      <c r="J1750" s="22" t="n">
        <v>41798</v>
      </c>
      <c r="K1750" s="43" t="n">
        <f aca="false">J1750-I1750</f>
        <v>5</v>
      </c>
      <c r="L1750" s="1" t="n">
        <v>5</v>
      </c>
      <c r="M1750" s="3" t="s">
        <v>32</v>
      </c>
      <c r="N1750" s="3" t="s">
        <v>96</v>
      </c>
      <c r="O1750" s="3" t="s">
        <v>97</v>
      </c>
      <c r="P1750" s="2" t="str">
        <f aca="false">CONCATENATE(N1750," ",O1750)</f>
        <v>Diplocephalus picinus</v>
      </c>
      <c r="Q1750" s="1" t="s">
        <v>30</v>
      </c>
      <c r="R1750" s="1" t="s">
        <v>31</v>
      </c>
      <c r="S1750" s="3" t="n">
        <v>1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f aca="false">SUM(S1750:T1750)</f>
        <v>1</v>
      </c>
      <c r="Z1750" s="3" t="n">
        <f aca="false">SUM(U1750:W1750)</f>
        <v>0</v>
      </c>
      <c r="AA1750" s="3" t="n">
        <f aca="false">SUM(S1750:X1750)</f>
        <v>1</v>
      </c>
      <c r="AB1750" s="11" t="n">
        <f aca="false">(AA1750/(K1750*L1750)*25)*4</f>
        <v>4</v>
      </c>
    </row>
    <row r="1751" customFormat="false" ht="14.25" hidden="false" customHeight="false" outlineLevel="0" collapsed="false">
      <c r="A1751" s="1" t="n">
        <v>2014</v>
      </c>
      <c r="B1751" s="7" t="s">
        <v>322</v>
      </c>
      <c r="C1751" s="7" t="n">
        <v>2</v>
      </c>
      <c r="D1751" s="7" t="s">
        <v>293</v>
      </c>
      <c r="E1751" s="7" t="s">
        <v>293</v>
      </c>
      <c r="F1751" s="3" t="s">
        <v>101</v>
      </c>
      <c r="G1751" s="3" t="n">
        <v>2</v>
      </c>
      <c r="H1751" s="3" t="n">
        <v>7</v>
      </c>
      <c r="I1751" s="22" t="n">
        <v>41793</v>
      </c>
      <c r="J1751" s="22" t="n">
        <v>41798</v>
      </c>
      <c r="K1751" s="43" t="n">
        <f aca="false">J1751-I1751</f>
        <v>5</v>
      </c>
      <c r="L1751" s="1" t="n">
        <v>5</v>
      </c>
      <c r="M1751" s="3" t="s">
        <v>36</v>
      </c>
      <c r="N1751" s="3" t="s">
        <v>37</v>
      </c>
      <c r="O1751" s="3" t="s">
        <v>75</v>
      </c>
      <c r="P1751" s="2" t="str">
        <f aca="false">CONCATENATE(N1751," ",O1751)</f>
        <v>Ozyptila praticola</v>
      </c>
      <c r="Q1751" s="1" t="s">
        <v>30</v>
      </c>
      <c r="R1751" s="1" t="s">
        <v>31</v>
      </c>
      <c r="S1751" s="3" t="n">
        <v>1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f aca="false">SUM(S1751:T1751)</f>
        <v>1</v>
      </c>
      <c r="Z1751" s="3" t="n">
        <f aca="false">SUM(U1751:W1751)</f>
        <v>0</v>
      </c>
      <c r="AA1751" s="3" t="n">
        <f aca="false">SUM(S1751:X1751)</f>
        <v>1</v>
      </c>
      <c r="AB1751" s="11" t="n">
        <f aca="false">(AA1751/(K1751*L1751)*25)*4</f>
        <v>4</v>
      </c>
    </row>
    <row r="1752" customFormat="false" ht="14.25" hidden="false" customHeight="false" outlineLevel="0" collapsed="false">
      <c r="A1752" s="1" t="n">
        <v>2014</v>
      </c>
      <c r="B1752" s="7" t="s">
        <v>322</v>
      </c>
      <c r="C1752" s="7" t="n">
        <v>2</v>
      </c>
      <c r="D1752" s="7" t="s">
        <v>293</v>
      </c>
      <c r="E1752" s="7" t="s">
        <v>293</v>
      </c>
      <c r="F1752" s="3" t="s">
        <v>101</v>
      </c>
      <c r="G1752" s="3" t="n">
        <v>2</v>
      </c>
      <c r="H1752" s="3" t="n">
        <v>7</v>
      </c>
      <c r="I1752" s="22" t="n">
        <v>41793</v>
      </c>
      <c r="J1752" s="22" t="n">
        <v>41798</v>
      </c>
      <c r="K1752" s="43" t="n">
        <f aca="false">J1752-I1752</f>
        <v>5</v>
      </c>
      <c r="L1752" s="1" t="n">
        <v>5</v>
      </c>
      <c r="M1752" s="3" t="s">
        <v>36</v>
      </c>
      <c r="N1752" s="3" t="s">
        <v>131</v>
      </c>
      <c r="O1752" s="3" t="s">
        <v>133</v>
      </c>
      <c r="P1752" s="2" t="str">
        <f aca="false">CONCATENATE(N1752," ",O1752)</f>
        <v>Xysticus luctuosus</v>
      </c>
      <c r="Q1752" s="1" t="s">
        <v>30</v>
      </c>
      <c r="R1752" s="1" t="s">
        <v>31</v>
      </c>
      <c r="S1752" s="3" t="n">
        <v>1</v>
      </c>
      <c r="T1752" s="3" t="n">
        <v>0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f aca="false">SUM(S1752:T1752)</f>
        <v>1</v>
      </c>
      <c r="Z1752" s="3" t="n">
        <f aca="false">SUM(U1752:W1752)</f>
        <v>0</v>
      </c>
      <c r="AA1752" s="3" t="n">
        <f aca="false">SUM(S1752:X1752)</f>
        <v>1</v>
      </c>
      <c r="AB1752" s="11" t="n">
        <f aca="false">(AA1752/(K1752*L1752)*25)*4</f>
        <v>4</v>
      </c>
    </row>
    <row r="1753" customFormat="false" ht="14.25" hidden="false" customHeight="false" outlineLevel="0" collapsed="false">
      <c r="A1753" s="1" t="n">
        <v>2014</v>
      </c>
      <c r="B1753" s="7" t="s">
        <v>322</v>
      </c>
      <c r="C1753" s="7" t="n">
        <v>2</v>
      </c>
      <c r="D1753" s="7" t="s">
        <v>293</v>
      </c>
      <c r="E1753" s="7" t="s">
        <v>293</v>
      </c>
      <c r="F1753" s="3" t="s">
        <v>101</v>
      </c>
      <c r="G1753" s="3" t="n">
        <v>2</v>
      </c>
      <c r="H1753" s="3" t="n">
        <v>7</v>
      </c>
      <c r="I1753" s="22" t="n">
        <v>41793</v>
      </c>
      <c r="J1753" s="22" t="n">
        <v>41798</v>
      </c>
      <c r="K1753" s="43" t="n">
        <f aca="false">J1753-I1753</f>
        <v>5</v>
      </c>
      <c r="L1753" s="1" t="n">
        <v>5</v>
      </c>
      <c r="M1753" s="3" t="s">
        <v>72</v>
      </c>
      <c r="N1753" s="3" t="s">
        <v>73</v>
      </c>
      <c r="O1753" s="3" t="s">
        <v>74</v>
      </c>
      <c r="P1753" s="2" t="str">
        <f aca="false">CONCATENATE(N1753," ",O1753)</f>
        <v>Zelotes subterraneus</v>
      </c>
      <c r="Q1753" s="1" t="s">
        <v>30</v>
      </c>
      <c r="R1753" s="1" t="s">
        <v>31</v>
      </c>
      <c r="S1753" s="3" t="n">
        <v>1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f aca="false">SUM(S1753:T1753)</f>
        <v>1</v>
      </c>
      <c r="Z1753" s="3" t="n">
        <f aca="false">SUM(U1753:W1753)</f>
        <v>0</v>
      </c>
      <c r="AA1753" s="3" t="n">
        <f aca="false">SUM(S1753:X1753)</f>
        <v>1</v>
      </c>
      <c r="AB1753" s="11" t="n">
        <f aca="false">(AA1753/(K1753*L1753)*25)*4</f>
        <v>4</v>
      </c>
    </row>
    <row r="1754" customFormat="false" ht="14.25" hidden="false" customHeight="false" outlineLevel="0" collapsed="false">
      <c r="A1754" s="1" t="n">
        <v>2014</v>
      </c>
      <c r="B1754" s="7" t="s">
        <v>322</v>
      </c>
      <c r="C1754" s="7" t="n">
        <v>2</v>
      </c>
      <c r="D1754" s="7" t="s">
        <v>293</v>
      </c>
      <c r="E1754" s="7" t="s">
        <v>293</v>
      </c>
      <c r="F1754" s="3" t="s">
        <v>101</v>
      </c>
      <c r="G1754" s="3" t="n">
        <v>2</v>
      </c>
      <c r="H1754" s="3" t="n">
        <v>7</v>
      </c>
      <c r="I1754" s="22" t="n">
        <v>41793</v>
      </c>
      <c r="J1754" s="22" t="n">
        <v>41798</v>
      </c>
      <c r="K1754" s="43" t="n">
        <f aca="false">J1754-I1754</f>
        <v>5</v>
      </c>
      <c r="L1754" s="1" t="n">
        <v>5</v>
      </c>
      <c r="M1754" s="3" t="s">
        <v>48</v>
      </c>
      <c r="N1754" s="3" t="s">
        <v>67</v>
      </c>
      <c r="O1754" s="3" t="s">
        <v>127</v>
      </c>
      <c r="P1754" s="2" t="str">
        <f aca="false">CONCATENATE(N1754," ",O1754)</f>
        <v>Pardosa lugubris</v>
      </c>
      <c r="Q1754" s="1" t="s">
        <v>30</v>
      </c>
      <c r="R1754" s="1" t="s">
        <v>31</v>
      </c>
      <c r="S1754" s="3" t="n">
        <v>1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f aca="false">SUM(S1754:T1754)</f>
        <v>1</v>
      </c>
      <c r="Z1754" s="3" t="n">
        <f aca="false">SUM(U1754:W1754)</f>
        <v>0</v>
      </c>
      <c r="AA1754" s="3" t="n">
        <f aca="false">SUM(S1754:X1754)</f>
        <v>1</v>
      </c>
      <c r="AB1754" s="11" t="n">
        <f aca="false">(AA1754/(K1754*L1754)*25)*4</f>
        <v>4</v>
      </c>
    </row>
    <row r="1755" customFormat="false" ht="14.25" hidden="false" customHeight="false" outlineLevel="0" collapsed="false">
      <c r="A1755" s="1" t="n">
        <v>2014</v>
      </c>
      <c r="B1755" s="7" t="s">
        <v>322</v>
      </c>
      <c r="C1755" s="7" t="n">
        <v>2</v>
      </c>
      <c r="D1755" s="7" t="s">
        <v>293</v>
      </c>
      <c r="E1755" s="7" t="s">
        <v>293</v>
      </c>
      <c r="F1755" s="3" t="s">
        <v>101</v>
      </c>
      <c r="G1755" s="3" t="n">
        <v>2</v>
      </c>
      <c r="H1755" s="3" t="n">
        <v>7</v>
      </c>
      <c r="I1755" s="22" t="n">
        <v>41793</v>
      </c>
      <c r="J1755" s="22" t="n">
        <v>41798</v>
      </c>
      <c r="K1755" s="43" t="n">
        <f aca="false">J1755-I1755</f>
        <v>5</v>
      </c>
      <c r="L1755" s="1" t="n">
        <v>5</v>
      </c>
      <c r="M1755" s="3" t="s">
        <v>48</v>
      </c>
      <c r="N1755" s="3" t="s">
        <v>67</v>
      </c>
      <c r="O1755" s="3" t="s">
        <v>127</v>
      </c>
      <c r="P1755" s="2" t="str">
        <f aca="false">CONCATENATE(N1755," ",O1755)</f>
        <v>Pardosa lugubris</v>
      </c>
      <c r="Q1755" s="1" t="s">
        <v>30</v>
      </c>
      <c r="R1755" s="1" t="s">
        <v>35</v>
      </c>
      <c r="S1755" s="3" t="n">
        <v>0</v>
      </c>
      <c r="T1755" s="3" t="n">
        <v>1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f aca="false">SUM(S1755:T1755)</f>
        <v>1</v>
      </c>
      <c r="Z1755" s="3" t="n">
        <f aca="false">SUM(U1755:W1755)</f>
        <v>0</v>
      </c>
      <c r="AA1755" s="3" t="n">
        <f aca="false">SUM(S1755:X1755)</f>
        <v>1</v>
      </c>
      <c r="AB1755" s="11" t="n">
        <f aca="false">(AA1755/(K1755*L1755)*25)*4</f>
        <v>4</v>
      </c>
    </row>
    <row r="1756" customFormat="false" ht="14.25" hidden="false" customHeight="false" outlineLevel="0" collapsed="false">
      <c r="A1756" s="1" t="n">
        <v>2014</v>
      </c>
      <c r="B1756" s="7" t="s">
        <v>322</v>
      </c>
      <c r="C1756" s="7" t="n">
        <v>2</v>
      </c>
      <c r="D1756" s="7" t="s">
        <v>293</v>
      </c>
      <c r="E1756" s="7" t="s">
        <v>293</v>
      </c>
      <c r="F1756" s="3" t="s">
        <v>101</v>
      </c>
      <c r="G1756" s="3" t="n">
        <v>2</v>
      </c>
      <c r="H1756" s="3" t="n">
        <v>7</v>
      </c>
      <c r="I1756" s="22" t="n">
        <v>41793</v>
      </c>
      <c r="J1756" s="22" t="n">
        <v>41798</v>
      </c>
      <c r="K1756" s="43" t="n">
        <f aca="false">J1756-I1756</f>
        <v>5</v>
      </c>
      <c r="L1756" s="1" t="n">
        <v>5</v>
      </c>
      <c r="M1756" s="3" t="s">
        <v>48</v>
      </c>
      <c r="N1756" s="3" t="s">
        <v>49</v>
      </c>
      <c r="O1756" s="3" t="s">
        <v>223</v>
      </c>
      <c r="P1756" s="2" t="str">
        <f aca="false">CONCATENATE(N1756," ",O1756)</f>
        <v>Alopecosa pulverulenta</v>
      </c>
      <c r="Q1756" s="1" t="s">
        <v>30</v>
      </c>
      <c r="R1756" s="1" t="s">
        <v>31</v>
      </c>
      <c r="S1756" s="3" t="n">
        <v>1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f aca="false">SUM(S1756:T1756)</f>
        <v>1</v>
      </c>
      <c r="Z1756" s="3" t="n">
        <f aca="false">SUM(U1756:W1756)</f>
        <v>0</v>
      </c>
      <c r="AA1756" s="3" t="n">
        <f aca="false">SUM(S1756:X1756)</f>
        <v>1</v>
      </c>
      <c r="AB1756" s="11" t="n">
        <f aca="false">(AA1756/(K1756*L1756)*25)*4</f>
        <v>4</v>
      </c>
    </row>
    <row r="1757" customFormat="false" ht="14.25" hidden="false" customHeight="false" outlineLevel="0" collapsed="false">
      <c r="A1757" s="1" t="n">
        <v>2014</v>
      </c>
      <c r="B1757" s="7" t="s">
        <v>322</v>
      </c>
      <c r="C1757" s="7" t="n">
        <v>2</v>
      </c>
      <c r="D1757" s="7" t="s">
        <v>293</v>
      </c>
      <c r="E1757" s="7" t="s">
        <v>293</v>
      </c>
      <c r="F1757" s="3" t="s">
        <v>101</v>
      </c>
      <c r="G1757" s="3" t="n">
        <v>2</v>
      </c>
      <c r="H1757" s="3" t="n">
        <v>7</v>
      </c>
      <c r="I1757" s="22" t="n">
        <v>41793</v>
      </c>
      <c r="J1757" s="22" t="n">
        <v>41798</v>
      </c>
      <c r="K1757" s="43" t="n">
        <f aca="false">J1757-I1757</f>
        <v>5</v>
      </c>
      <c r="L1757" s="1" t="n">
        <v>5</v>
      </c>
      <c r="M1757" s="3" t="s">
        <v>48</v>
      </c>
      <c r="N1757" s="3" t="s">
        <v>49</v>
      </c>
      <c r="O1757" s="3" t="s">
        <v>104</v>
      </c>
      <c r="P1757" s="2" t="str">
        <f aca="false">CONCATENATE(N1757," ",O1757)</f>
        <v>Alopecosa taeniata</v>
      </c>
      <c r="Q1757" s="1" t="s">
        <v>30</v>
      </c>
      <c r="R1757" s="1" t="s">
        <v>31</v>
      </c>
      <c r="S1757" s="3" t="n">
        <v>5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f aca="false">SUM(S1757:T1757)</f>
        <v>5</v>
      </c>
      <c r="Z1757" s="3" t="n">
        <f aca="false">SUM(U1757:W1757)</f>
        <v>0</v>
      </c>
      <c r="AA1757" s="3" t="n">
        <f aca="false">SUM(S1757:X1757)</f>
        <v>5</v>
      </c>
      <c r="AB1757" s="11" t="n">
        <f aca="false">(AA1757/(K1757*L1757)*25)*4</f>
        <v>20</v>
      </c>
    </row>
    <row r="1758" customFormat="false" ht="14.25" hidden="false" customHeight="false" outlineLevel="0" collapsed="false">
      <c r="A1758" s="1" t="n">
        <v>2014</v>
      </c>
      <c r="B1758" s="7" t="s">
        <v>322</v>
      </c>
      <c r="C1758" s="7" t="n">
        <v>2</v>
      </c>
      <c r="D1758" s="7" t="s">
        <v>293</v>
      </c>
      <c r="E1758" s="7" t="s">
        <v>293</v>
      </c>
      <c r="F1758" s="3" t="s">
        <v>101</v>
      </c>
      <c r="G1758" s="3" t="n">
        <v>2</v>
      </c>
      <c r="H1758" s="3" t="n">
        <v>10</v>
      </c>
      <c r="I1758" s="22" t="n">
        <v>41793</v>
      </c>
      <c r="J1758" s="22" t="n">
        <v>41798</v>
      </c>
      <c r="K1758" s="43" t="n">
        <f aca="false">J1758-I1758</f>
        <v>5</v>
      </c>
      <c r="L1758" s="1" t="n">
        <v>5</v>
      </c>
      <c r="M1758" s="3" t="s">
        <v>72</v>
      </c>
      <c r="N1758" s="3" t="s">
        <v>86</v>
      </c>
      <c r="O1758" s="3" t="s">
        <v>87</v>
      </c>
      <c r="P1758" s="2" t="str">
        <f aca="false">CONCATENATE(N1758," ",O1758)</f>
        <v>Haplodrassus soerenseni</v>
      </c>
      <c r="Q1758" s="1" t="s">
        <v>30</v>
      </c>
      <c r="R1758" s="1" t="s">
        <v>31</v>
      </c>
      <c r="S1758" s="3" t="n">
        <v>1</v>
      </c>
      <c r="T1758" s="3" t="n">
        <v>0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f aca="false">SUM(S1758:T1758)</f>
        <v>1</v>
      </c>
      <c r="Z1758" s="3" t="n">
        <f aca="false">SUM(U1758:W1758)</f>
        <v>0</v>
      </c>
      <c r="AA1758" s="3" t="n">
        <f aca="false">SUM(S1758:X1758)</f>
        <v>1</v>
      </c>
      <c r="AB1758" s="11" t="n">
        <f aca="false">(AA1758/(K1758*L1758)*25)*4</f>
        <v>4</v>
      </c>
    </row>
    <row r="1759" customFormat="false" ht="14.25" hidden="false" customHeight="false" outlineLevel="0" collapsed="false">
      <c r="A1759" s="1" t="n">
        <v>2014</v>
      </c>
      <c r="B1759" s="7" t="s">
        <v>322</v>
      </c>
      <c r="C1759" s="7" t="n">
        <v>2</v>
      </c>
      <c r="D1759" s="7" t="s">
        <v>293</v>
      </c>
      <c r="E1759" s="7" t="s">
        <v>293</v>
      </c>
      <c r="F1759" s="3" t="s">
        <v>101</v>
      </c>
      <c r="G1759" s="3" t="n">
        <v>2</v>
      </c>
      <c r="H1759" s="3" t="n">
        <v>10</v>
      </c>
      <c r="I1759" s="22" t="n">
        <v>41793</v>
      </c>
      <c r="J1759" s="22" t="n">
        <v>41798</v>
      </c>
      <c r="K1759" s="43" t="n">
        <f aca="false">J1759-I1759</f>
        <v>5</v>
      </c>
      <c r="L1759" s="1" t="n">
        <v>5</v>
      </c>
      <c r="M1759" s="3" t="s">
        <v>48</v>
      </c>
      <c r="N1759" s="3" t="s">
        <v>67</v>
      </c>
      <c r="O1759" s="3" t="s">
        <v>127</v>
      </c>
      <c r="P1759" s="2" t="str">
        <f aca="false">CONCATENATE(N1759," ",O1759)</f>
        <v>Pardosa lugubris</v>
      </c>
      <c r="Q1759" s="1" t="s">
        <v>30</v>
      </c>
      <c r="R1759" s="1" t="s">
        <v>31</v>
      </c>
      <c r="S1759" s="3" t="n">
        <v>2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f aca="false">SUM(S1759:T1759)</f>
        <v>2</v>
      </c>
      <c r="Z1759" s="3" t="n">
        <f aca="false">SUM(U1759:W1759)</f>
        <v>0</v>
      </c>
      <c r="AA1759" s="3" t="n">
        <f aca="false">SUM(S1759:X1759)</f>
        <v>2</v>
      </c>
      <c r="AB1759" s="11" t="n">
        <f aca="false">(AA1759/(K1759*L1759)*25)*4</f>
        <v>8</v>
      </c>
    </row>
    <row r="1760" customFormat="false" ht="14.25" hidden="false" customHeight="false" outlineLevel="0" collapsed="false">
      <c r="A1760" s="1" t="n">
        <v>2014</v>
      </c>
      <c r="B1760" s="7" t="s">
        <v>322</v>
      </c>
      <c r="C1760" s="7" t="n">
        <v>2</v>
      </c>
      <c r="D1760" s="7" t="s">
        <v>293</v>
      </c>
      <c r="E1760" s="7" t="s">
        <v>293</v>
      </c>
      <c r="F1760" s="3" t="s">
        <v>101</v>
      </c>
      <c r="G1760" s="3" t="n">
        <v>2</v>
      </c>
      <c r="H1760" s="3" t="n">
        <v>10</v>
      </c>
      <c r="I1760" s="22" t="n">
        <v>41793</v>
      </c>
      <c r="J1760" s="22" t="n">
        <v>41798</v>
      </c>
      <c r="K1760" s="43" t="n">
        <f aca="false">J1760-I1760</f>
        <v>5</v>
      </c>
      <c r="L1760" s="1" t="n">
        <v>5</v>
      </c>
      <c r="M1760" s="3" t="s">
        <v>48</v>
      </c>
      <c r="N1760" s="3" t="s">
        <v>49</v>
      </c>
      <c r="O1760" s="3" t="s">
        <v>130</v>
      </c>
      <c r="P1760" s="2" t="str">
        <f aca="false">CONCATENATE(N1760," ",O1760)</f>
        <v>Alopecosa aculeata</v>
      </c>
      <c r="Q1760" s="1" t="s">
        <v>30</v>
      </c>
      <c r="R1760" s="1" t="s">
        <v>31</v>
      </c>
      <c r="S1760" s="3" t="n">
        <v>3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f aca="false">SUM(S1760:T1760)</f>
        <v>3</v>
      </c>
      <c r="Z1760" s="3" t="n">
        <f aca="false">SUM(U1760:W1760)</f>
        <v>0</v>
      </c>
      <c r="AA1760" s="3" t="n">
        <f aca="false">SUM(S1760:X1760)</f>
        <v>3</v>
      </c>
      <c r="AB1760" s="11" t="n">
        <f aca="false">(AA1760/(K1760*L1760)*25)*4</f>
        <v>12</v>
      </c>
    </row>
    <row r="1761" customFormat="false" ht="14.25" hidden="false" customHeight="false" outlineLevel="0" collapsed="false">
      <c r="A1761" s="1" t="n">
        <v>2014</v>
      </c>
      <c r="B1761" s="7" t="s">
        <v>322</v>
      </c>
      <c r="C1761" s="7" t="n">
        <v>2</v>
      </c>
      <c r="D1761" s="7" t="s">
        <v>293</v>
      </c>
      <c r="E1761" s="7" t="s">
        <v>293</v>
      </c>
      <c r="F1761" s="3" t="s">
        <v>101</v>
      </c>
      <c r="G1761" s="3" t="n">
        <v>2</v>
      </c>
      <c r="H1761" s="3" t="n">
        <v>10</v>
      </c>
      <c r="I1761" s="22" t="n">
        <v>41793</v>
      </c>
      <c r="J1761" s="22" t="n">
        <v>41798</v>
      </c>
      <c r="K1761" s="43" t="n">
        <f aca="false">J1761-I1761</f>
        <v>5</v>
      </c>
      <c r="L1761" s="1" t="n">
        <v>5</v>
      </c>
      <c r="M1761" s="3" t="s">
        <v>48</v>
      </c>
      <c r="N1761" s="3" t="s">
        <v>49</v>
      </c>
      <c r="O1761" s="3" t="s">
        <v>104</v>
      </c>
      <c r="P1761" s="2" t="str">
        <f aca="false">CONCATENATE(N1761," ",O1761)</f>
        <v>Alopecosa taeniata</v>
      </c>
      <c r="Q1761" s="1" t="s">
        <v>30</v>
      </c>
      <c r="R1761" s="1" t="s">
        <v>31</v>
      </c>
      <c r="S1761" s="3" t="n">
        <v>2</v>
      </c>
      <c r="T1761" s="3" t="n">
        <v>0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f aca="false">SUM(S1761:T1761)</f>
        <v>2</v>
      </c>
      <c r="Z1761" s="3" t="n">
        <f aca="false">SUM(U1761:W1761)</f>
        <v>0</v>
      </c>
      <c r="AA1761" s="3" t="n">
        <f aca="false">SUM(S1761:X1761)</f>
        <v>2</v>
      </c>
      <c r="AB1761" s="11" t="n">
        <f aca="false">(AA1761/(K1761*L1761)*25)*4</f>
        <v>8</v>
      </c>
    </row>
    <row r="1762" customFormat="false" ht="14.25" hidden="false" customHeight="false" outlineLevel="0" collapsed="false">
      <c r="A1762" s="1" t="n">
        <v>2014</v>
      </c>
      <c r="B1762" s="7" t="s">
        <v>322</v>
      </c>
      <c r="C1762" s="7" t="n">
        <v>2</v>
      </c>
      <c r="D1762" s="7" t="s">
        <v>293</v>
      </c>
      <c r="E1762" s="7" t="s">
        <v>293</v>
      </c>
      <c r="F1762" s="3" t="s">
        <v>101</v>
      </c>
      <c r="G1762" s="3" t="n">
        <v>2</v>
      </c>
      <c r="H1762" s="3" t="n">
        <v>10</v>
      </c>
      <c r="I1762" s="22" t="n">
        <v>41793</v>
      </c>
      <c r="J1762" s="22" t="n">
        <v>41798</v>
      </c>
      <c r="K1762" s="43" t="n">
        <f aca="false">J1762-I1762</f>
        <v>5</v>
      </c>
      <c r="L1762" s="1" t="n">
        <v>5</v>
      </c>
      <c r="M1762" s="3" t="s">
        <v>48</v>
      </c>
      <c r="N1762" s="3" t="s">
        <v>49</v>
      </c>
      <c r="O1762" s="3" t="s">
        <v>104</v>
      </c>
      <c r="P1762" s="2" t="str">
        <f aca="false">CONCATENATE(N1762," ",O1762)</f>
        <v>Alopecosa taeniata</v>
      </c>
      <c r="Q1762" s="1" t="s">
        <v>30</v>
      </c>
      <c r="R1762" s="1" t="s">
        <v>35</v>
      </c>
      <c r="S1762" s="3" t="n">
        <v>0</v>
      </c>
      <c r="T1762" s="3" t="n">
        <v>1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f aca="false">SUM(S1762:T1762)</f>
        <v>1</v>
      </c>
      <c r="Z1762" s="3" t="n">
        <f aca="false">SUM(U1762:W1762)</f>
        <v>0</v>
      </c>
      <c r="AA1762" s="3" t="n">
        <f aca="false">SUM(S1762:X1762)</f>
        <v>1</v>
      </c>
      <c r="AB1762" s="11" t="n">
        <f aca="false">(AA1762/(K1762*L1762)*25)*4</f>
        <v>4</v>
      </c>
    </row>
    <row r="1763" customFormat="false" ht="14.25" hidden="false" customHeight="false" outlineLevel="0" collapsed="false">
      <c r="A1763" s="1" t="n">
        <v>2014</v>
      </c>
      <c r="B1763" s="7" t="s">
        <v>322</v>
      </c>
      <c r="C1763" s="7" t="n">
        <v>2</v>
      </c>
      <c r="D1763" s="7" t="s">
        <v>293</v>
      </c>
      <c r="E1763" s="7" t="s">
        <v>293</v>
      </c>
      <c r="F1763" s="3" t="s">
        <v>101</v>
      </c>
      <c r="G1763" s="3" t="n">
        <v>3</v>
      </c>
      <c r="H1763" s="3" t="n">
        <v>14</v>
      </c>
      <c r="I1763" s="22" t="n">
        <v>41793</v>
      </c>
      <c r="J1763" s="22" t="n">
        <v>41798</v>
      </c>
      <c r="K1763" s="43" t="n">
        <f aca="false">J1763-I1763</f>
        <v>5</v>
      </c>
      <c r="L1763" s="1" t="n">
        <v>5</v>
      </c>
      <c r="M1763" s="3" t="s">
        <v>32</v>
      </c>
      <c r="N1763" s="3" t="s">
        <v>107</v>
      </c>
      <c r="O1763" s="3" t="s">
        <v>108</v>
      </c>
      <c r="P1763" s="2" t="str">
        <f aca="false">CONCATENATE(N1763," ",O1763)</f>
        <v>Macrargus rufus</v>
      </c>
      <c r="Q1763" s="1" t="s">
        <v>30</v>
      </c>
      <c r="R1763" s="1" t="s">
        <v>35</v>
      </c>
      <c r="S1763" s="3" t="n">
        <v>0</v>
      </c>
      <c r="T1763" s="3" t="n">
        <v>1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f aca="false">SUM(S1763:T1763)</f>
        <v>1</v>
      </c>
      <c r="Z1763" s="3" t="n">
        <f aca="false">SUM(U1763:W1763)</f>
        <v>0</v>
      </c>
      <c r="AA1763" s="3" t="n">
        <f aca="false">SUM(S1763:X1763)</f>
        <v>1</v>
      </c>
      <c r="AB1763" s="11" t="n">
        <f aca="false">(AA1763/(K1763*L1763)*25)*4</f>
        <v>4</v>
      </c>
    </row>
    <row r="1764" customFormat="false" ht="14.25" hidden="false" customHeight="false" outlineLevel="0" collapsed="false">
      <c r="A1764" s="1" t="n">
        <v>2014</v>
      </c>
      <c r="B1764" s="7" t="s">
        <v>322</v>
      </c>
      <c r="C1764" s="7" t="n">
        <v>2</v>
      </c>
      <c r="D1764" s="7" t="s">
        <v>293</v>
      </c>
      <c r="E1764" s="7" t="s">
        <v>293</v>
      </c>
      <c r="F1764" s="3" t="s">
        <v>101</v>
      </c>
      <c r="G1764" s="3" t="n">
        <v>3</v>
      </c>
      <c r="H1764" s="3" t="n">
        <v>14</v>
      </c>
      <c r="I1764" s="22" t="n">
        <v>41793</v>
      </c>
      <c r="J1764" s="22" t="n">
        <v>41798</v>
      </c>
      <c r="K1764" s="43" t="n">
        <f aca="false">J1764-I1764</f>
        <v>5</v>
      </c>
      <c r="L1764" s="1" t="n">
        <v>5</v>
      </c>
      <c r="M1764" s="3" t="s">
        <v>32</v>
      </c>
      <c r="N1764" s="3" t="s">
        <v>169</v>
      </c>
      <c r="O1764" s="3" t="s">
        <v>170</v>
      </c>
      <c r="P1764" s="2" t="str">
        <f aca="false">CONCATENATE(N1764," ",O1764)</f>
        <v>Abacoproeces saltuum</v>
      </c>
      <c r="Q1764" s="1" t="s">
        <v>30</v>
      </c>
      <c r="R1764" s="1" t="s">
        <v>35</v>
      </c>
      <c r="S1764" s="3" t="n">
        <v>0</v>
      </c>
      <c r="T1764" s="3" t="n">
        <v>1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f aca="false">SUM(S1764:T1764)</f>
        <v>1</v>
      </c>
      <c r="Z1764" s="3" t="n">
        <f aca="false">SUM(U1764:W1764)</f>
        <v>0</v>
      </c>
      <c r="AA1764" s="3" t="n">
        <f aca="false">SUM(S1764:X1764)</f>
        <v>1</v>
      </c>
      <c r="AB1764" s="11" t="n">
        <f aca="false">(AA1764/(K1764*L1764)*25)*4</f>
        <v>4</v>
      </c>
    </row>
    <row r="1765" customFormat="false" ht="14.25" hidden="false" customHeight="false" outlineLevel="0" collapsed="false">
      <c r="A1765" s="1" t="n">
        <v>2014</v>
      </c>
      <c r="B1765" s="7" t="s">
        <v>322</v>
      </c>
      <c r="C1765" s="7" t="n">
        <v>2</v>
      </c>
      <c r="D1765" s="7" t="s">
        <v>293</v>
      </c>
      <c r="E1765" s="7" t="s">
        <v>293</v>
      </c>
      <c r="F1765" s="3" t="s">
        <v>101</v>
      </c>
      <c r="G1765" s="3" t="n">
        <v>3</v>
      </c>
      <c r="H1765" s="3" t="n">
        <v>14</v>
      </c>
      <c r="I1765" s="22" t="n">
        <v>41793</v>
      </c>
      <c r="J1765" s="22" t="n">
        <v>41798</v>
      </c>
      <c r="K1765" s="43" t="n">
        <f aca="false">J1765-I1765</f>
        <v>5</v>
      </c>
      <c r="L1765" s="1" t="n">
        <v>5</v>
      </c>
      <c r="M1765" s="3" t="s">
        <v>32</v>
      </c>
      <c r="N1765" s="3" t="s">
        <v>96</v>
      </c>
      <c r="O1765" s="3" t="s">
        <v>97</v>
      </c>
      <c r="P1765" s="2" t="str">
        <f aca="false">CONCATENATE(N1765," ",O1765)</f>
        <v>Diplocephalus picinus</v>
      </c>
      <c r="Q1765" s="1" t="s">
        <v>30</v>
      </c>
      <c r="R1765" s="1" t="s">
        <v>31</v>
      </c>
      <c r="S1765" s="3" t="n">
        <v>2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f aca="false">SUM(S1765:T1765)</f>
        <v>2</v>
      </c>
      <c r="Z1765" s="3" t="n">
        <f aca="false">SUM(U1765:W1765)</f>
        <v>0</v>
      </c>
      <c r="AA1765" s="3" t="n">
        <f aca="false">SUM(S1765:X1765)</f>
        <v>2</v>
      </c>
      <c r="AB1765" s="11" t="n">
        <f aca="false">(AA1765/(K1765*L1765)*25)*4</f>
        <v>8</v>
      </c>
    </row>
    <row r="1766" customFormat="false" ht="14.25" hidden="false" customHeight="false" outlineLevel="0" collapsed="false">
      <c r="A1766" s="1" t="n">
        <v>2014</v>
      </c>
      <c r="B1766" s="7" t="s">
        <v>322</v>
      </c>
      <c r="C1766" s="7" t="n">
        <v>2</v>
      </c>
      <c r="D1766" s="7" t="s">
        <v>293</v>
      </c>
      <c r="E1766" s="7" t="s">
        <v>293</v>
      </c>
      <c r="F1766" s="3" t="s">
        <v>101</v>
      </c>
      <c r="G1766" s="3" t="n">
        <v>3</v>
      </c>
      <c r="H1766" s="3" t="n">
        <v>14</v>
      </c>
      <c r="I1766" s="22" t="n">
        <v>41793</v>
      </c>
      <c r="J1766" s="22" t="n">
        <v>41798</v>
      </c>
      <c r="K1766" s="43" t="n">
        <f aca="false">J1766-I1766</f>
        <v>5</v>
      </c>
      <c r="L1766" s="1" t="n">
        <v>5</v>
      </c>
      <c r="M1766" s="3" t="s">
        <v>144</v>
      </c>
      <c r="N1766" s="3" t="s">
        <v>145</v>
      </c>
      <c r="O1766" s="3" t="s">
        <v>146</v>
      </c>
      <c r="P1766" s="2" t="str">
        <f aca="false">CONCATENATE(N1766," ",O1766)</f>
        <v>Phrurolithus festivus</v>
      </c>
      <c r="Q1766" s="1" t="s">
        <v>30</v>
      </c>
      <c r="R1766" s="1" t="s">
        <v>35</v>
      </c>
      <c r="S1766" s="3" t="n">
        <v>0</v>
      </c>
      <c r="T1766" s="3" t="n">
        <v>1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f aca="false">SUM(S1766:T1766)</f>
        <v>1</v>
      </c>
      <c r="Z1766" s="3" t="n">
        <f aca="false">SUM(U1766:W1766)</f>
        <v>0</v>
      </c>
      <c r="AA1766" s="3" t="n">
        <f aca="false">SUM(S1766:X1766)</f>
        <v>1</v>
      </c>
      <c r="AB1766" s="11" t="n">
        <f aca="false">(AA1766/(K1766*L1766)*25)*4</f>
        <v>4</v>
      </c>
    </row>
    <row r="1767" customFormat="false" ht="14.25" hidden="false" customHeight="false" outlineLevel="0" collapsed="false">
      <c r="A1767" s="1" t="n">
        <v>2014</v>
      </c>
      <c r="B1767" s="7" t="s">
        <v>322</v>
      </c>
      <c r="C1767" s="7" t="n">
        <v>2</v>
      </c>
      <c r="D1767" s="7" t="s">
        <v>293</v>
      </c>
      <c r="E1767" s="7" t="s">
        <v>293</v>
      </c>
      <c r="F1767" s="3" t="s">
        <v>101</v>
      </c>
      <c r="G1767" s="3" t="n">
        <v>3</v>
      </c>
      <c r="H1767" s="3" t="n">
        <v>14</v>
      </c>
      <c r="I1767" s="22" t="n">
        <v>41793</v>
      </c>
      <c r="J1767" s="22" t="n">
        <v>41798</v>
      </c>
      <c r="K1767" s="43" t="n">
        <f aca="false">J1767-I1767</f>
        <v>5</v>
      </c>
      <c r="L1767" s="1" t="n">
        <v>5</v>
      </c>
      <c r="M1767" s="3" t="s">
        <v>92</v>
      </c>
      <c r="N1767" s="3" t="s">
        <v>111</v>
      </c>
      <c r="O1767" s="3" t="s">
        <v>112</v>
      </c>
      <c r="P1767" s="2" t="str">
        <f aca="false">CONCATENATE(N1767," ",O1767)</f>
        <v>Evarcha falcata</v>
      </c>
      <c r="Q1767" s="1" t="s">
        <v>30</v>
      </c>
      <c r="R1767" s="1" t="s">
        <v>35</v>
      </c>
      <c r="S1767" s="3" t="n">
        <v>0</v>
      </c>
      <c r="T1767" s="3" t="n">
        <v>1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f aca="false">SUM(S1767:T1767)</f>
        <v>1</v>
      </c>
      <c r="Z1767" s="3" t="n">
        <f aca="false">SUM(U1767:W1767)</f>
        <v>0</v>
      </c>
      <c r="AA1767" s="3" t="n">
        <f aca="false">SUM(S1767:X1767)</f>
        <v>1</v>
      </c>
      <c r="AB1767" s="11" t="n">
        <f aca="false">(AA1767/(K1767*L1767)*25)*4</f>
        <v>4</v>
      </c>
    </row>
    <row r="1768" customFormat="false" ht="14.25" hidden="false" customHeight="false" outlineLevel="0" collapsed="false">
      <c r="A1768" s="1" t="n">
        <v>2014</v>
      </c>
      <c r="B1768" s="7" t="s">
        <v>322</v>
      </c>
      <c r="C1768" s="7" t="n">
        <v>2</v>
      </c>
      <c r="D1768" s="7" t="s">
        <v>293</v>
      </c>
      <c r="E1768" s="7" t="s">
        <v>293</v>
      </c>
      <c r="F1768" s="3" t="s">
        <v>101</v>
      </c>
      <c r="G1768" s="3" t="n">
        <v>3</v>
      </c>
      <c r="H1768" s="3" t="n">
        <v>14</v>
      </c>
      <c r="I1768" s="22" t="n">
        <v>41793</v>
      </c>
      <c r="J1768" s="22" t="n">
        <v>41798</v>
      </c>
      <c r="K1768" s="43" t="n">
        <f aca="false">J1768-I1768</f>
        <v>5</v>
      </c>
      <c r="L1768" s="1" t="n">
        <v>5</v>
      </c>
      <c r="M1768" s="3" t="s">
        <v>72</v>
      </c>
      <c r="N1768" s="3" t="s">
        <v>73</v>
      </c>
      <c r="O1768" s="3" t="s">
        <v>74</v>
      </c>
      <c r="P1768" s="2" t="str">
        <f aca="false">CONCATENATE(N1768," ",O1768)</f>
        <v>Zelotes subterraneus</v>
      </c>
      <c r="Q1768" s="1" t="s">
        <v>30</v>
      </c>
      <c r="R1768" s="1" t="s">
        <v>31</v>
      </c>
      <c r="S1768" s="3" t="n">
        <v>1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f aca="false">SUM(S1768:T1768)</f>
        <v>1</v>
      </c>
      <c r="Z1768" s="3" t="n">
        <f aca="false">SUM(U1768:W1768)</f>
        <v>0</v>
      </c>
      <c r="AA1768" s="3" t="n">
        <f aca="false">SUM(S1768:X1768)</f>
        <v>1</v>
      </c>
      <c r="AB1768" s="11" t="n">
        <f aca="false">(AA1768/(K1768*L1768)*25)*4</f>
        <v>4</v>
      </c>
    </row>
    <row r="1769" customFormat="false" ht="14.25" hidden="false" customHeight="false" outlineLevel="0" collapsed="false">
      <c r="A1769" s="1" t="n">
        <v>2014</v>
      </c>
      <c r="B1769" s="7" t="s">
        <v>322</v>
      </c>
      <c r="C1769" s="7" t="n">
        <v>2</v>
      </c>
      <c r="D1769" s="7" t="s">
        <v>293</v>
      </c>
      <c r="E1769" s="7" t="s">
        <v>293</v>
      </c>
      <c r="F1769" s="3" t="s">
        <v>101</v>
      </c>
      <c r="G1769" s="3" t="n">
        <v>3</v>
      </c>
      <c r="H1769" s="3" t="n">
        <v>14</v>
      </c>
      <c r="I1769" s="22" t="n">
        <v>41793</v>
      </c>
      <c r="J1769" s="22" t="n">
        <v>41798</v>
      </c>
      <c r="K1769" s="43" t="n">
        <f aca="false">J1769-I1769</f>
        <v>5</v>
      </c>
      <c r="L1769" s="1" t="n">
        <v>5</v>
      </c>
      <c r="M1769" s="3" t="s">
        <v>36</v>
      </c>
      <c r="N1769" s="3" t="s">
        <v>131</v>
      </c>
      <c r="O1769" s="3" t="s">
        <v>133</v>
      </c>
      <c r="P1769" s="2" t="str">
        <f aca="false">CONCATENATE(N1769," ",O1769)</f>
        <v>Xysticus luctuosus</v>
      </c>
      <c r="Q1769" s="1" t="s">
        <v>30</v>
      </c>
      <c r="R1769" s="1" t="s">
        <v>31</v>
      </c>
      <c r="S1769" s="3" t="n">
        <v>2</v>
      </c>
      <c r="T1769" s="3" t="n">
        <v>0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f aca="false">SUM(S1769:T1769)</f>
        <v>2</v>
      </c>
      <c r="Z1769" s="3" t="n">
        <f aca="false">SUM(U1769:W1769)</f>
        <v>0</v>
      </c>
      <c r="AA1769" s="3" t="n">
        <f aca="false">SUM(S1769:X1769)</f>
        <v>2</v>
      </c>
      <c r="AB1769" s="11" t="n">
        <f aca="false">(AA1769/(K1769*L1769)*25)*4</f>
        <v>8</v>
      </c>
    </row>
    <row r="1770" customFormat="false" ht="14.25" hidden="false" customHeight="false" outlineLevel="0" collapsed="false">
      <c r="A1770" s="1" t="n">
        <v>2014</v>
      </c>
      <c r="B1770" s="7" t="s">
        <v>322</v>
      </c>
      <c r="C1770" s="7" t="n">
        <v>2</v>
      </c>
      <c r="D1770" s="7" t="s">
        <v>293</v>
      </c>
      <c r="E1770" s="7" t="s">
        <v>293</v>
      </c>
      <c r="F1770" s="3" t="s">
        <v>101</v>
      </c>
      <c r="G1770" s="3" t="n">
        <v>3</v>
      </c>
      <c r="H1770" s="3" t="n">
        <v>14</v>
      </c>
      <c r="I1770" s="22" t="n">
        <v>41793</v>
      </c>
      <c r="J1770" s="22" t="n">
        <v>41798</v>
      </c>
      <c r="K1770" s="43" t="n">
        <f aca="false">J1770-I1770</f>
        <v>5</v>
      </c>
      <c r="L1770" s="1" t="n">
        <v>5</v>
      </c>
      <c r="M1770" s="3" t="s">
        <v>48</v>
      </c>
      <c r="N1770" s="3" t="s">
        <v>67</v>
      </c>
      <c r="O1770" s="3" t="s">
        <v>127</v>
      </c>
      <c r="P1770" s="2" t="str">
        <f aca="false">CONCATENATE(N1770," ",O1770)</f>
        <v>Pardosa lugubris</v>
      </c>
      <c r="Q1770" s="1" t="s">
        <v>30</v>
      </c>
      <c r="R1770" s="1" t="s">
        <v>31</v>
      </c>
      <c r="S1770" s="3" t="n">
        <v>4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f aca="false">SUM(S1770:T1770)</f>
        <v>4</v>
      </c>
      <c r="Z1770" s="3" t="n">
        <f aca="false">SUM(U1770:W1770)</f>
        <v>0</v>
      </c>
      <c r="AA1770" s="3" t="n">
        <f aca="false">SUM(S1770:X1770)</f>
        <v>4</v>
      </c>
      <c r="AB1770" s="11" t="n">
        <f aca="false">(AA1770/(K1770*L1770)*25)*4</f>
        <v>16</v>
      </c>
    </row>
    <row r="1771" customFormat="false" ht="14.25" hidden="false" customHeight="false" outlineLevel="0" collapsed="false">
      <c r="A1771" s="1" t="n">
        <v>2014</v>
      </c>
      <c r="B1771" s="7" t="s">
        <v>322</v>
      </c>
      <c r="C1771" s="7" t="n">
        <v>2</v>
      </c>
      <c r="D1771" s="7" t="s">
        <v>293</v>
      </c>
      <c r="E1771" s="7" t="s">
        <v>293</v>
      </c>
      <c r="F1771" s="3" t="s">
        <v>101</v>
      </c>
      <c r="G1771" s="3" t="n">
        <v>3</v>
      </c>
      <c r="H1771" s="3" t="n">
        <v>14</v>
      </c>
      <c r="I1771" s="22" t="n">
        <v>41793</v>
      </c>
      <c r="J1771" s="22" t="n">
        <v>41798</v>
      </c>
      <c r="K1771" s="43" t="n">
        <f aca="false">J1771-I1771</f>
        <v>5</v>
      </c>
      <c r="L1771" s="1" t="n">
        <v>5</v>
      </c>
      <c r="M1771" s="3" t="s">
        <v>48</v>
      </c>
      <c r="N1771" s="3" t="s">
        <v>67</v>
      </c>
      <c r="O1771" s="3" t="s">
        <v>127</v>
      </c>
      <c r="P1771" s="2" t="str">
        <f aca="false">CONCATENATE(N1771," ",O1771)</f>
        <v>Pardosa lugubris</v>
      </c>
      <c r="Q1771" s="1" t="s">
        <v>30</v>
      </c>
      <c r="R1771" s="1" t="s">
        <v>35</v>
      </c>
      <c r="S1771" s="3" t="n">
        <v>0</v>
      </c>
      <c r="T1771" s="3" t="n">
        <v>1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f aca="false">SUM(S1771:T1771)</f>
        <v>1</v>
      </c>
      <c r="Z1771" s="3" t="n">
        <f aca="false">SUM(U1771:W1771)</f>
        <v>0</v>
      </c>
      <c r="AA1771" s="3" t="n">
        <f aca="false">SUM(S1771:X1771)</f>
        <v>1</v>
      </c>
      <c r="AB1771" s="11" t="n">
        <f aca="false">(AA1771/(K1771*L1771)*25)*4</f>
        <v>4</v>
      </c>
    </row>
    <row r="1772" customFormat="false" ht="14.25" hidden="false" customHeight="false" outlineLevel="0" collapsed="false">
      <c r="A1772" s="1" t="n">
        <v>2014</v>
      </c>
      <c r="B1772" s="7" t="s">
        <v>322</v>
      </c>
      <c r="C1772" s="7" t="n">
        <v>2</v>
      </c>
      <c r="D1772" s="7" t="s">
        <v>293</v>
      </c>
      <c r="E1772" s="7" t="s">
        <v>293</v>
      </c>
      <c r="F1772" s="3" t="s">
        <v>101</v>
      </c>
      <c r="G1772" s="3" t="n">
        <v>3</v>
      </c>
      <c r="H1772" s="3" t="n">
        <v>14</v>
      </c>
      <c r="I1772" s="22" t="n">
        <v>41793</v>
      </c>
      <c r="J1772" s="22" t="n">
        <v>41798</v>
      </c>
      <c r="K1772" s="43" t="n">
        <f aca="false">J1772-I1772</f>
        <v>5</v>
      </c>
      <c r="L1772" s="1" t="n">
        <v>5</v>
      </c>
      <c r="M1772" s="3" t="s">
        <v>48</v>
      </c>
      <c r="N1772" s="3" t="s">
        <v>49</v>
      </c>
      <c r="O1772" s="3" t="s">
        <v>104</v>
      </c>
      <c r="P1772" s="2" t="str">
        <f aca="false">CONCATENATE(N1772," ",O1772)</f>
        <v>Alopecosa taeniata</v>
      </c>
      <c r="Q1772" s="1" t="s">
        <v>30</v>
      </c>
      <c r="R1772" s="1" t="s">
        <v>31</v>
      </c>
      <c r="S1772" s="3" t="n">
        <v>1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f aca="false">SUM(S1772:T1772)</f>
        <v>1</v>
      </c>
      <c r="Z1772" s="3" t="n">
        <f aca="false">SUM(U1772:W1772)</f>
        <v>0</v>
      </c>
      <c r="AA1772" s="3" t="n">
        <f aca="false">SUM(S1772:X1772)</f>
        <v>1</v>
      </c>
      <c r="AB1772" s="11" t="n">
        <f aca="false">(AA1772/(K1772*L1772)*25)*4</f>
        <v>4</v>
      </c>
    </row>
    <row r="1773" customFormat="false" ht="14.25" hidden="false" customHeight="false" outlineLevel="0" collapsed="false">
      <c r="A1773" s="1" t="n">
        <v>2014</v>
      </c>
      <c r="B1773" s="7" t="s">
        <v>322</v>
      </c>
      <c r="C1773" s="7" t="n">
        <v>2</v>
      </c>
      <c r="D1773" s="7" t="s">
        <v>293</v>
      </c>
      <c r="E1773" s="7" t="s">
        <v>293</v>
      </c>
      <c r="F1773" s="3" t="s">
        <v>101</v>
      </c>
      <c r="G1773" s="3" t="n">
        <v>3</v>
      </c>
      <c r="H1773" s="3" t="n">
        <v>14</v>
      </c>
      <c r="I1773" s="22" t="n">
        <v>41793</v>
      </c>
      <c r="J1773" s="22" t="n">
        <v>41798</v>
      </c>
      <c r="K1773" s="43" t="n">
        <f aca="false">J1773-I1773</f>
        <v>5</v>
      </c>
      <c r="L1773" s="1" t="n">
        <v>5</v>
      </c>
      <c r="M1773" s="3" t="s">
        <v>48</v>
      </c>
      <c r="N1773" s="3" t="s">
        <v>49</v>
      </c>
      <c r="O1773" s="3" t="s">
        <v>104</v>
      </c>
      <c r="P1773" s="2" t="str">
        <f aca="false">CONCATENATE(N1773," ",O1773)</f>
        <v>Alopecosa taeniata</v>
      </c>
      <c r="Q1773" s="1" t="s">
        <v>30</v>
      </c>
      <c r="R1773" s="1" t="s">
        <v>35</v>
      </c>
      <c r="S1773" s="3" t="n">
        <v>0</v>
      </c>
      <c r="T1773" s="3" t="n">
        <v>1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f aca="false">SUM(S1773:T1773)</f>
        <v>1</v>
      </c>
      <c r="Z1773" s="3" t="n">
        <f aca="false">SUM(U1773:W1773)</f>
        <v>0</v>
      </c>
      <c r="AA1773" s="3" t="n">
        <f aca="false">SUM(S1773:X1773)</f>
        <v>1</v>
      </c>
      <c r="AB1773" s="11" t="n">
        <f aca="false">(AA1773/(K1773*L1773)*25)*4</f>
        <v>4</v>
      </c>
    </row>
    <row r="1774" customFormat="false" ht="14.25" hidden="false" customHeight="false" outlineLevel="0" collapsed="false">
      <c r="A1774" s="1" t="n">
        <v>2014</v>
      </c>
      <c r="B1774" s="7" t="s">
        <v>322</v>
      </c>
      <c r="C1774" s="7" t="n">
        <v>2</v>
      </c>
      <c r="D1774" s="7" t="s">
        <v>293</v>
      </c>
      <c r="E1774" s="7" t="s">
        <v>293</v>
      </c>
      <c r="F1774" s="3" t="s">
        <v>101</v>
      </c>
      <c r="G1774" s="3" t="n">
        <v>3</v>
      </c>
      <c r="H1774" s="3" t="n">
        <v>14</v>
      </c>
      <c r="I1774" s="22" t="n">
        <v>41793</v>
      </c>
      <c r="J1774" s="22" t="n">
        <v>41798</v>
      </c>
      <c r="K1774" s="43" t="n">
        <f aca="false">J1774-I1774</f>
        <v>5</v>
      </c>
      <c r="L1774" s="1" t="n">
        <v>5</v>
      </c>
      <c r="M1774" s="3" t="s">
        <v>48</v>
      </c>
      <c r="N1774" s="3" t="s">
        <v>49</v>
      </c>
      <c r="O1774" s="3" t="s">
        <v>130</v>
      </c>
      <c r="P1774" s="2" t="str">
        <f aca="false">CONCATENATE(N1774," ",O1774)</f>
        <v>Alopecosa aculeata</v>
      </c>
      <c r="Q1774" s="1" t="s">
        <v>30</v>
      </c>
      <c r="R1774" s="1" t="s">
        <v>31</v>
      </c>
      <c r="S1774" s="3" t="n">
        <v>1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f aca="false">SUM(S1774:T1774)</f>
        <v>1</v>
      </c>
      <c r="Z1774" s="3" t="n">
        <f aca="false">SUM(U1774:W1774)</f>
        <v>0</v>
      </c>
      <c r="AA1774" s="3" t="n">
        <f aca="false">SUM(S1774:X1774)</f>
        <v>1</v>
      </c>
      <c r="AB1774" s="11" t="n">
        <f aca="false">(AA1774/(K1774*L1774)*25)*4</f>
        <v>4</v>
      </c>
    </row>
    <row r="1775" customFormat="false" ht="14.25" hidden="false" customHeight="false" outlineLevel="0" collapsed="false">
      <c r="A1775" s="1" t="n">
        <v>2014</v>
      </c>
      <c r="B1775" s="7" t="s">
        <v>322</v>
      </c>
      <c r="C1775" s="7" t="n">
        <v>2</v>
      </c>
      <c r="D1775" s="7" t="s">
        <v>293</v>
      </c>
      <c r="E1775" s="7" t="s">
        <v>293</v>
      </c>
      <c r="F1775" s="3" t="s">
        <v>101</v>
      </c>
      <c r="G1775" s="3" t="n">
        <v>1</v>
      </c>
      <c r="H1775" s="3" t="n">
        <v>3</v>
      </c>
      <c r="I1775" s="22" t="n">
        <v>41793</v>
      </c>
      <c r="J1775" s="22" t="n">
        <v>41798</v>
      </c>
      <c r="K1775" s="43" t="n">
        <f aca="false">J1775-I1775</f>
        <v>5</v>
      </c>
      <c r="L1775" s="1" t="n">
        <v>5</v>
      </c>
      <c r="M1775" s="3" t="s">
        <v>226</v>
      </c>
      <c r="N1775" s="3" t="s">
        <v>65</v>
      </c>
      <c r="O1775" s="3" t="s">
        <v>123</v>
      </c>
      <c r="P1775" s="2" t="str">
        <f aca="false">CONCATENATE(N1775," ",O1775)</f>
        <v>Zora nemoralis</v>
      </c>
      <c r="Q1775" s="1" t="s">
        <v>30</v>
      </c>
      <c r="R1775" s="1" t="s">
        <v>31</v>
      </c>
      <c r="S1775" s="3" t="n">
        <v>1</v>
      </c>
      <c r="T1775" s="3" t="n">
        <v>0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f aca="false">SUM(S1775:T1775)</f>
        <v>1</v>
      </c>
      <c r="Z1775" s="3" t="n">
        <f aca="false">SUM(U1775:W1775)</f>
        <v>0</v>
      </c>
      <c r="AA1775" s="3" t="n">
        <f aca="false">SUM(S1775:X1775)</f>
        <v>1</v>
      </c>
      <c r="AB1775" s="11" t="n">
        <f aca="false">(AA1775/(K1775*L1775)*25)*4</f>
        <v>4</v>
      </c>
    </row>
    <row r="1776" customFormat="false" ht="14.25" hidden="false" customHeight="false" outlineLevel="0" collapsed="false">
      <c r="A1776" s="1" t="n">
        <v>2014</v>
      </c>
      <c r="B1776" s="7" t="s">
        <v>322</v>
      </c>
      <c r="C1776" s="7" t="n">
        <v>2</v>
      </c>
      <c r="D1776" s="7" t="s">
        <v>293</v>
      </c>
      <c r="E1776" s="7" t="s">
        <v>293</v>
      </c>
      <c r="F1776" s="3" t="s">
        <v>101</v>
      </c>
      <c r="G1776" s="3" t="n">
        <v>1</v>
      </c>
      <c r="H1776" s="3" t="n">
        <v>3</v>
      </c>
      <c r="I1776" s="22" t="n">
        <v>41793</v>
      </c>
      <c r="J1776" s="22" t="n">
        <v>41798</v>
      </c>
      <c r="K1776" s="43" t="n">
        <f aca="false">J1776-I1776</f>
        <v>5</v>
      </c>
      <c r="L1776" s="1" t="n">
        <v>5</v>
      </c>
      <c r="M1776" s="3" t="s">
        <v>48</v>
      </c>
      <c r="N1776" s="3" t="s">
        <v>67</v>
      </c>
      <c r="O1776" s="3" t="s">
        <v>127</v>
      </c>
      <c r="P1776" s="2" t="str">
        <f aca="false">CONCATENATE(N1776," ",O1776)</f>
        <v>Pardosa lugubris</v>
      </c>
      <c r="Q1776" s="1" t="s">
        <v>30</v>
      </c>
      <c r="R1776" s="1" t="s">
        <v>31</v>
      </c>
      <c r="S1776" s="3" t="n">
        <v>2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f aca="false">SUM(S1776:T1776)</f>
        <v>2</v>
      </c>
      <c r="Z1776" s="3" t="n">
        <f aca="false">SUM(U1776:W1776)</f>
        <v>0</v>
      </c>
      <c r="AA1776" s="3" t="n">
        <f aca="false">SUM(S1776:X1776)</f>
        <v>2</v>
      </c>
      <c r="AB1776" s="11" t="n">
        <f aca="false">(AA1776/(K1776*L1776)*25)*4</f>
        <v>8</v>
      </c>
    </row>
    <row r="1777" customFormat="false" ht="14.25" hidden="false" customHeight="false" outlineLevel="0" collapsed="false">
      <c r="A1777" s="1" t="n">
        <v>2014</v>
      </c>
      <c r="B1777" s="7" t="s">
        <v>322</v>
      </c>
      <c r="C1777" s="7" t="n">
        <v>2</v>
      </c>
      <c r="D1777" s="7" t="s">
        <v>293</v>
      </c>
      <c r="E1777" s="7" t="s">
        <v>293</v>
      </c>
      <c r="F1777" s="3" t="s">
        <v>101</v>
      </c>
      <c r="G1777" s="3" t="n">
        <v>1</v>
      </c>
      <c r="H1777" s="3" t="n">
        <v>3</v>
      </c>
      <c r="I1777" s="22" t="n">
        <v>41793</v>
      </c>
      <c r="J1777" s="22" t="n">
        <v>41798</v>
      </c>
      <c r="K1777" s="43" t="n">
        <f aca="false">J1777-I1777</f>
        <v>5</v>
      </c>
      <c r="L1777" s="1" t="n">
        <v>5</v>
      </c>
      <c r="M1777" s="3" t="s">
        <v>48</v>
      </c>
      <c r="N1777" s="3" t="s">
        <v>49</v>
      </c>
      <c r="O1777" s="3" t="s">
        <v>104</v>
      </c>
      <c r="P1777" s="2" t="str">
        <f aca="false">CONCATENATE(N1777," ",O1777)</f>
        <v>Alopecosa taeniata</v>
      </c>
      <c r="Q1777" s="1" t="s">
        <v>30</v>
      </c>
      <c r="R1777" s="1" t="s">
        <v>31</v>
      </c>
      <c r="S1777" s="3" t="n">
        <v>3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f aca="false">SUM(S1777:T1777)</f>
        <v>3</v>
      </c>
      <c r="Z1777" s="3" t="n">
        <f aca="false">SUM(U1777:W1777)</f>
        <v>0</v>
      </c>
      <c r="AA1777" s="3" t="n">
        <f aca="false">SUM(S1777:X1777)</f>
        <v>3</v>
      </c>
      <c r="AB1777" s="11" t="n">
        <f aca="false">(AA1777/(K1777*L1777)*25)*4</f>
        <v>12</v>
      </c>
    </row>
    <row r="1778" customFormat="false" ht="14.25" hidden="false" customHeight="false" outlineLevel="0" collapsed="false">
      <c r="A1778" s="1" t="n">
        <v>2014</v>
      </c>
      <c r="B1778" s="7" t="s">
        <v>322</v>
      </c>
      <c r="C1778" s="7" t="n">
        <v>2</v>
      </c>
      <c r="D1778" s="7" t="s">
        <v>293</v>
      </c>
      <c r="E1778" s="7" t="s">
        <v>293</v>
      </c>
      <c r="F1778" s="3" t="s">
        <v>101</v>
      </c>
      <c r="G1778" s="3" t="n">
        <v>2</v>
      </c>
      <c r="H1778" s="3" t="n">
        <v>8</v>
      </c>
      <c r="I1778" s="22" t="n">
        <v>41793</v>
      </c>
      <c r="J1778" s="22" t="n">
        <v>41798</v>
      </c>
      <c r="K1778" s="43" t="n">
        <f aca="false">J1778-I1778</f>
        <v>5</v>
      </c>
      <c r="L1778" s="1" t="n">
        <v>5</v>
      </c>
      <c r="M1778" s="3" t="s">
        <v>41</v>
      </c>
      <c r="N1778" s="3" t="s">
        <v>42</v>
      </c>
      <c r="O1778" s="3" t="s">
        <v>198</v>
      </c>
      <c r="P1778" s="2" t="str">
        <f aca="false">CONCATENATE(N1778," ",O1778)</f>
        <v>Agroeca brunnea</v>
      </c>
      <c r="Q1778" s="1" t="s">
        <v>30</v>
      </c>
      <c r="R1778" s="1" t="s">
        <v>35</v>
      </c>
      <c r="S1778" s="3" t="n">
        <v>0</v>
      </c>
      <c r="T1778" s="3" t="n">
        <v>1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f aca="false">SUM(S1778:T1778)</f>
        <v>1</v>
      </c>
      <c r="Z1778" s="3" t="n">
        <f aca="false">SUM(U1778:W1778)</f>
        <v>0</v>
      </c>
      <c r="AA1778" s="3" t="n">
        <f aca="false">SUM(S1778:X1778)</f>
        <v>1</v>
      </c>
      <c r="AB1778" s="11" t="n">
        <f aca="false">(AA1778/(K1778*L1778)*25)*4</f>
        <v>4</v>
      </c>
    </row>
    <row r="1779" customFormat="false" ht="14.25" hidden="false" customHeight="false" outlineLevel="0" collapsed="false">
      <c r="A1779" s="1" t="n">
        <v>2014</v>
      </c>
      <c r="B1779" s="7" t="s">
        <v>322</v>
      </c>
      <c r="C1779" s="7" t="n">
        <v>2</v>
      </c>
      <c r="D1779" s="7" t="s">
        <v>293</v>
      </c>
      <c r="E1779" s="7" t="s">
        <v>293</v>
      </c>
      <c r="F1779" s="3" t="s">
        <v>101</v>
      </c>
      <c r="G1779" s="3" t="n">
        <v>2</v>
      </c>
      <c r="H1779" s="3" t="n">
        <v>8</v>
      </c>
      <c r="I1779" s="22" t="n">
        <v>41793</v>
      </c>
      <c r="J1779" s="22" t="n">
        <v>41798</v>
      </c>
      <c r="K1779" s="43" t="n">
        <f aca="false">J1779-I1779</f>
        <v>5</v>
      </c>
      <c r="L1779" s="1" t="n">
        <v>5</v>
      </c>
      <c r="M1779" s="3" t="s">
        <v>36</v>
      </c>
      <c r="N1779" s="3" t="s">
        <v>131</v>
      </c>
      <c r="O1779" s="3" t="s">
        <v>133</v>
      </c>
      <c r="P1779" s="2" t="str">
        <f aca="false">CONCATENATE(N1779," ",O1779)</f>
        <v>Xysticus luctuosus</v>
      </c>
      <c r="Q1779" s="1" t="s">
        <v>30</v>
      </c>
      <c r="R1779" s="1" t="s">
        <v>31</v>
      </c>
      <c r="S1779" s="3" t="n">
        <v>1</v>
      </c>
      <c r="T1779" s="3" t="n">
        <v>0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f aca="false">SUM(S1779:T1779)</f>
        <v>1</v>
      </c>
      <c r="Z1779" s="3" t="n">
        <f aca="false">SUM(U1779:W1779)</f>
        <v>0</v>
      </c>
      <c r="AA1779" s="3" t="n">
        <f aca="false">SUM(S1779:X1779)</f>
        <v>1</v>
      </c>
      <c r="AB1779" s="11" t="n">
        <f aca="false">(AA1779/(K1779*L1779)*25)*4</f>
        <v>4</v>
      </c>
    </row>
    <row r="1780" customFormat="false" ht="14.25" hidden="false" customHeight="false" outlineLevel="0" collapsed="false">
      <c r="A1780" s="1" t="n">
        <v>2014</v>
      </c>
      <c r="B1780" s="7" t="s">
        <v>322</v>
      </c>
      <c r="C1780" s="7" t="n">
        <v>2</v>
      </c>
      <c r="D1780" s="7" t="s">
        <v>293</v>
      </c>
      <c r="E1780" s="7" t="s">
        <v>293</v>
      </c>
      <c r="F1780" s="3" t="s">
        <v>101</v>
      </c>
      <c r="G1780" s="3" t="n">
        <v>2</v>
      </c>
      <c r="H1780" s="3" t="n">
        <v>8</v>
      </c>
      <c r="I1780" s="22" t="n">
        <v>41793</v>
      </c>
      <c r="J1780" s="22" t="n">
        <v>41798</v>
      </c>
      <c r="K1780" s="43" t="n">
        <f aca="false">J1780-I1780</f>
        <v>5</v>
      </c>
      <c r="L1780" s="1" t="n">
        <v>5</v>
      </c>
      <c r="M1780" s="3" t="s">
        <v>32</v>
      </c>
      <c r="N1780" s="3" t="s">
        <v>96</v>
      </c>
      <c r="O1780" s="3" t="s">
        <v>97</v>
      </c>
      <c r="P1780" s="2" t="str">
        <f aca="false">CONCATENATE(N1780," ",O1780)</f>
        <v>Diplocephalus picinus</v>
      </c>
      <c r="Q1780" s="1" t="s">
        <v>30</v>
      </c>
      <c r="R1780" s="1" t="s">
        <v>35</v>
      </c>
      <c r="S1780" s="3" t="n">
        <v>0</v>
      </c>
      <c r="T1780" s="3" t="n">
        <v>1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f aca="false">SUM(S1780:T1780)</f>
        <v>1</v>
      </c>
      <c r="Z1780" s="3" t="n">
        <f aca="false">SUM(U1780:W1780)</f>
        <v>0</v>
      </c>
      <c r="AA1780" s="3" t="n">
        <f aca="false">SUM(S1780:X1780)</f>
        <v>1</v>
      </c>
      <c r="AB1780" s="11" t="n">
        <f aca="false">(AA1780/(K1780*L1780)*25)*4</f>
        <v>4</v>
      </c>
    </row>
    <row r="1781" customFormat="false" ht="14.25" hidden="false" customHeight="false" outlineLevel="0" collapsed="false">
      <c r="A1781" s="1" t="n">
        <v>2014</v>
      </c>
      <c r="B1781" s="7" t="s">
        <v>322</v>
      </c>
      <c r="C1781" s="7" t="n">
        <v>2</v>
      </c>
      <c r="D1781" s="7" t="s">
        <v>293</v>
      </c>
      <c r="E1781" s="7" t="s">
        <v>293</v>
      </c>
      <c r="F1781" s="3" t="s">
        <v>101</v>
      </c>
      <c r="G1781" s="3" t="n">
        <v>2</v>
      </c>
      <c r="H1781" s="3" t="n">
        <v>8</v>
      </c>
      <c r="I1781" s="22" t="n">
        <v>41793</v>
      </c>
      <c r="J1781" s="22" t="n">
        <v>41798</v>
      </c>
      <c r="K1781" s="43" t="n">
        <f aca="false">J1781-I1781</f>
        <v>5</v>
      </c>
      <c r="L1781" s="1" t="n">
        <v>5</v>
      </c>
      <c r="M1781" s="3" t="s">
        <v>48</v>
      </c>
      <c r="N1781" s="3" t="s">
        <v>49</v>
      </c>
      <c r="O1781" s="3" t="s">
        <v>104</v>
      </c>
      <c r="P1781" s="2" t="str">
        <f aca="false">CONCATENATE(N1781," ",O1781)</f>
        <v>Alopecosa taeniata</v>
      </c>
      <c r="Q1781" s="1" t="s">
        <v>30</v>
      </c>
      <c r="R1781" s="1" t="s">
        <v>31</v>
      </c>
      <c r="S1781" s="3" t="n">
        <v>1</v>
      </c>
      <c r="T1781" s="3" t="n">
        <v>0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f aca="false">SUM(S1781:T1781)</f>
        <v>1</v>
      </c>
      <c r="Z1781" s="3" t="n">
        <f aca="false">SUM(U1781:W1781)</f>
        <v>0</v>
      </c>
      <c r="AA1781" s="3" t="n">
        <f aca="false">SUM(S1781:X1781)</f>
        <v>1</v>
      </c>
      <c r="AB1781" s="11" t="n">
        <f aca="false">(AA1781/(K1781*L1781)*25)*4</f>
        <v>4</v>
      </c>
    </row>
    <row r="1782" customFormat="false" ht="14.25" hidden="false" customHeight="false" outlineLevel="0" collapsed="false">
      <c r="A1782" s="1" t="n">
        <v>2014</v>
      </c>
      <c r="B1782" s="7" t="s">
        <v>322</v>
      </c>
      <c r="C1782" s="7" t="n">
        <v>2</v>
      </c>
      <c r="D1782" s="7" t="s">
        <v>293</v>
      </c>
      <c r="E1782" s="7" t="s">
        <v>293</v>
      </c>
      <c r="F1782" s="3" t="s">
        <v>101</v>
      </c>
      <c r="G1782" s="3" t="n">
        <v>2</v>
      </c>
      <c r="H1782" s="3" t="n">
        <v>8</v>
      </c>
      <c r="I1782" s="22" t="n">
        <v>41793</v>
      </c>
      <c r="J1782" s="22" t="n">
        <v>41798</v>
      </c>
      <c r="K1782" s="43" t="n">
        <f aca="false">J1782-I1782</f>
        <v>5</v>
      </c>
      <c r="L1782" s="1" t="n">
        <v>5</v>
      </c>
      <c r="M1782" s="3" t="s">
        <v>48</v>
      </c>
      <c r="N1782" s="3" t="s">
        <v>49</v>
      </c>
      <c r="O1782" s="3" t="s">
        <v>104</v>
      </c>
      <c r="P1782" s="2" t="str">
        <f aca="false">CONCATENATE(N1782," ",O1782)</f>
        <v>Alopecosa taeniata</v>
      </c>
      <c r="Q1782" s="1" t="s">
        <v>30</v>
      </c>
      <c r="R1782" s="1" t="s">
        <v>35</v>
      </c>
      <c r="S1782" s="3" t="n">
        <v>0</v>
      </c>
      <c r="T1782" s="3" t="n">
        <v>1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f aca="false">SUM(S1782:T1782)</f>
        <v>1</v>
      </c>
      <c r="Z1782" s="3" t="n">
        <f aca="false">SUM(U1782:W1782)</f>
        <v>0</v>
      </c>
      <c r="AA1782" s="3" t="n">
        <f aca="false">SUM(S1782:X1782)</f>
        <v>1</v>
      </c>
      <c r="AB1782" s="11" t="n">
        <f aca="false">(AA1782/(K1782*L1782)*25)*4</f>
        <v>4</v>
      </c>
    </row>
    <row r="1783" customFormat="false" ht="14.25" hidden="false" customHeight="false" outlineLevel="0" collapsed="false">
      <c r="A1783" s="1" t="n">
        <v>2014</v>
      </c>
      <c r="B1783" s="7" t="s">
        <v>322</v>
      </c>
      <c r="C1783" s="7" t="n">
        <v>2</v>
      </c>
      <c r="D1783" s="7" t="s">
        <v>293</v>
      </c>
      <c r="E1783" s="7" t="s">
        <v>293</v>
      </c>
      <c r="F1783" s="3" t="s">
        <v>101</v>
      </c>
      <c r="G1783" s="3" t="n">
        <v>3</v>
      </c>
      <c r="H1783" s="3" t="n">
        <v>15</v>
      </c>
      <c r="I1783" s="22" t="n">
        <v>41793</v>
      </c>
      <c r="J1783" s="22" t="n">
        <v>41798</v>
      </c>
      <c r="K1783" s="43" t="n">
        <f aca="false">J1783-I1783</f>
        <v>5</v>
      </c>
      <c r="L1783" s="1" t="n">
        <v>5</v>
      </c>
      <c r="M1783" s="3" t="s">
        <v>48</v>
      </c>
      <c r="N1783" s="3" t="s">
        <v>49</v>
      </c>
      <c r="O1783" s="3" t="s">
        <v>104</v>
      </c>
      <c r="P1783" s="2" t="str">
        <f aca="false">CONCATENATE(N1783," ",O1783)</f>
        <v>Alopecosa taeniata</v>
      </c>
      <c r="Q1783" s="1" t="s">
        <v>30</v>
      </c>
      <c r="R1783" s="1" t="s">
        <v>31</v>
      </c>
      <c r="S1783" s="3" t="n">
        <v>2</v>
      </c>
      <c r="T1783" s="3" t="n">
        <v>0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f aca="false">SUM(S1783:T1783)</f>
        <v>2</v>
      </c>
      <c r="Z1783" s="3" t="n">
        <f aca="false">SUM(U1783:W1783)</f>
        <v>0</v>
      </c>
      <c r="AA1783" s="3" t="n">
        <f aca="false">SUM(S1783:X1783)</f>
        <v>2</v>
      </c>
      <c r="AB1783" s="11" t="n">
        <f aca="false">(AA1783/(K1783*L1783)*25)*4</f>
        <v>8</v>
      </c>
    </row>
    <row r="1784" customFormat="false" ht="14.25" hidden="false" customHeight="false" outlineLevel="0" collapsed="false">
      <c r="A1784" s="1" t="n">
        <v>2014</v>
      </c>
      <c r="B1784" s="7" t="s">
        <v>322</v>
      </c>
      <c r="C1784" s="7" t="n">
        <v>2</v>
      </c>
      <c r="D1784" s="7" t="s">
        <v>293</v>
      </c>
      <c r="E1784" s="7" t="s">
        <v>293</v>
      </c>
      <c r="F1784" s="3" t="s">
        <v>101</v>
      </c>
      <c r="G1784" s="3" t="n">
        <v>3</v>
      </c>
      <c r="H1784" s="3" t="n">
        <v>15</v>
      </c>
      <c r="I1784" s="22" t="n">
        <v>41793</v>
      </c>
      <c r="J1784" s="22" t="n">
        <v>41798</v>
      </c>
      <c r="K1784" s="43" t="n">
        <f aca="false">J1784-I1784</f>
        <v>5</v>
      </c>
      <c r="L1784" s="1" t="n">
        <v>5</v>
      </c>
      <c r="M1784" s="3" t="s">
        <v>48</v>
      </c>
      <c r="N1784" s="3" t="s">
        <v>67</v>
      </c>
      <c r="O1784" s="3" t="s">
        <v>127</v>
      </c>
      <c r="P1784" s="2" t="str">
        <f aca="false">CONCATENATE(N1784," ",O1784)</f>
        <v>Pardosa lugubris</v>
      </c>
      <c r="Q1784" s="1" t="s">
        <v>30</v>
      </c>
      <c r="R1784" s="1" t="s">
        <v>31</v>
      </c>
      <c r="S1784" s="3" t="n">
        <v>6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f aca="false">SUM(S1784:T1784)</f>
        <v>6</v>
      </c>
      <c r="Z1784" s="3" t="n">
        <f aca="false">SUM(U1784:W1784)</f>
        <v>0</v>
      </c>
      <c r="AA1784" s="3" t="n">
        <f aca="false">SUM(S1784:X1784)</f>
        <v>6</v>
      </c>
      <c r="AB1784" s="11" t="n">
        <f aca="false">(AA1784/(K1784*L1784)*25)*4</f>
        <v>24</v>
      </c>
    </row>
    <row r="1785" customFormat="false" ht="14.25" hidden="false" customHeight="false" outlineLevel="0" collapsed="false">
      <c r="A1785" s="1" t="n">
        <v>2014</v>
      </c>
      <c r="B1785" s="7" t="s">
        <v>322</v>
      </c>
      <c r="C1785" s="7" t="n">
        <v>2</v>
      </c>
      <c r="D1785" s="7" t="s">
        <v>293</v>
      </c>
      <c r="E1785" s="7" t="s">
        <v>293</v>
      </c>
      <c r="F1785" s="3" t="s">
        <v>101</v>
      </c>
      <c r="G1785" s="3" t="n">
        <v>3</v>
      </c>
      <c r="H1785" s="3" t="n">
        <v>15</v>
      </c>
      <c r="I1785" s="22" t="n">
        <v>41793</v>
      </c>
      <c r="J1785" s="22" t="n">
        <v>41798</v>
      </c>
      <c r="K1785" s="43" t="n">
        <f aca="false">J1785-I1785</f>
        <v>5</v>
      </c>
      <c r="L1785" s="1" t="n">
        <v>5</v>
      </c>
      <c r="M1785" s="3" t="s">
        <v>48</v>
      </c>
      <c r="N1785" s="3" t="s">
        <v>67</v>
      </c>
      <c r="O1785" s="3" t="s">
        <v>167</v>
      </c>
      <c r="P1785" s="2" t="str">
        <f aca="false">CONCATENATE(N1785," ",O1785)</f>
        <v>Pardosa agrestis</v>
      </c>
      <c r="Q1785" s="1" t="s">
        <v>30</v>
      </c>
      <c r="R1785" s="1" t="s">
        <v>31</v>
      </c>
      <c r="S1785" s="3" t="n">
        <v>1</v>
      </c>
      <c r="T1785" s="3" t="n">
        <v>0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f aca="false">SUM(S1785:T1785)</f>
        <v>1</v>
      </c>
      <c r="Z1785" s="3" t="n">
        <f aca="false">SUM(U1785:W1785)</f>
        <v>0</v>
      </c>
      <c r="AA1785" s="3" t="n">
        <f aca="false">SUM(S1785:X1785)</f>
        <v>1</v>
      </c>
      <c r="AB1785" s="11" t="n">
        <f aca="false">(AA1785/(K1785*L1785)*25)*4</f>
        <v>4</v>
      </c>
    </row>
    <row r="1786" customFormat="false" ht="14.25" hidden="false" customHeight="false" outlineLevel="0" collapsed="false">
      <c r="A1786" s="1" t="n">
        <v>2014</v>
      </c>
      <c r="B1786" s="7" t="s">
        <v>322</v>
      </c>
      <c r="C1786" s="7" t="n">
        <v>2</v>
      </c>
      <c r="D1786" s="7" t="s">
        <v>293</v>
      </c>
      <c r="E1786" s="7" t="s">
        <v>293</v>
      </c>
      <c r="F1786" s="3" t="s">
        <v>101</v>
      </c>
      <c r="G1786" s="3" t="n">
        <v>3</v>
      </c>
      <c r="H1786" s="3" t="n">
        <v>15</v>
      </c>
      <c r="I1786" s="22" t="n">
        <v>41793</v>
      </c>
      <c r="J1786" s="22" t="n">
        <v>41798</v>
      </c>
      <c r="K1786" s="43" t="n">
        <f aca="false">J1786-I1786</f>
        <v>5</v>
      </c>
      <c r="L1786" s="1" t="n">
        <v>5</v>
      </c>
      <c r="M1786" s="3" t="s">
        <v>32</v>
      </c>
      <c r="N1786" s="3" t="s">
        <v>169</v>
      </c>
      <c r="O1786" s="3" t="s">
        <v>170</v>
      </c>
      <c r="P1786" s="2" t="str">
        <f aca="false">CONCATENATE(N1786," ",O1786)</f>
        <v>Abacoproeces saltuum</v>
      </c>
      <c r="Q1786" s="1" t="s">
        <v>30</v>
      </c>
      <c r="R1786" s="1" t="s">
        <v>31</v>
      </c>
      <c r="S1786" s="3" t="n">
        <v>2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f aca="false">SUM(S1786:T1786)</f>
        <v>2</v>
      </c>
      <c r="Z1786" s="3" t="n">
        <f aca="false">SUM(U1786:W1786)</f>
        <v>0</v>
      </c>
      <c r="AA1786" s="3" t="n">
        <f aca="false">SUM(S1786:X1786)</f>
        <v>2</v>
      </c>
      <c r="AB1786" s="11" t="n">
        <f aca="false">(AA1786/(K1786*L1786)*25)*4</f>
        <v>8</v>
      </c>
    </row>
    <row r="1787" customFormat="false" ht="14.25" hidden="false" customHeight="false" outlineLevel="0" collapsed="false">
      <c r="A1787" s="1" t="n">
        <v>2014</v>
      </c>
      <c r="B1787" s="7" t="s">
        <v>322</v>
      </c>
      <c r="C1787" s="7" t="n">
        <v>2</v>
      </c>
      <c r="D1787" s="7" t="s">
        <v>293</v>
      </c>
      <c r="E1787" s="7" t="s">
        <v>293</v>
      </c>
      <c r="F1787" s="3" t="s">
        <v>101</v>
      </c>
      <c r="G1787" s="3" t="n">
        <v>3</v>
      </c>
      <c r="H1787" s="3" t="n">
        <v>15</v>
      </c>
      <c r="I1787" s="22" t="n">
        <v>41793</v>
      </c>
      <c r="J1787" s="22" t="n">
        <v>41798</v>
      </c>
      <c r="K1787" s="43" t="n">
        <f aca="false">J1787-I1787</f>
        <v>5</v>
      </c>
      <c r="L1787" s="1" t="n">
        <v>5</v>
      </c>
      <c r="M1787" s="3" t="s">
        <v>32</v>
      </c>
      <c r="N1787" s="3" t="s">
        <v>96</v>
      </c>
      <c r="O1787" s="3" t="s">
        <v>97</v>
      </c>
      <c r="P1787" s="2" t="str">
        <f aca="false">CONCATENATE(N1787," ",O1787)</f>
        <v>Diplocephalus picinus</v>
      </c>
      <c r="Q1787" s="1" t="s">
        <v>30</v>
      </c>
      <c r="R1787" s="1" t="s">
        <v>31</v>
      </c>
      <c r="S1787" s="3" t="n">
        <v>1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f aca="false">SUM(S1787:T1787)</f>
        <v>1</v>
      </c>
      <c r="Z1787" s="3" t="n">
        <f aca="false">SUM(U1787:W1787)</f>
        <v>0</v>
      </c>
      <c r="AA1787" s="3" t="n">
        <f aca="false">SUM(S1787:X1787)</f>
        <v>1</v>
      </c>
      <c r="AB1787" s="11" t="n">
        <f aca="false">(AA1787/(K1787*L1787)*25)*4</f>
        <v>4</v>
      </c>
    </row>
    <row r="1788" customFormat="false" ht="14.25" hidden="false" customHeight="false" outlineLevel="0" collapsed="false">
      <c r="A1788" s="1" t="n">
        <v>2014</v>
      </c>
      <c r="B1788" s="7" t="s">
        <v>322</v>
      </c>
      <c r="C1788" s="7" t="n">
        <v>2</v>
      </c>
      <c r="D1788" s="7" t="s">
        <v>293</v>
      </c>
      <c r="E1788" s="7" t="s">
        <v>293</v>
      </c>
      <c r="F1788" s="3" t="s">
        <v>101</v>
      </c>
      <c r="G1788" s="3" t="n">
        <v>3</v>
      </c>
      <c r="H1788" s="3" t="n">
        <v>15</v>
      </c>
      <c r="I1788" s="22" t="n">
        <v>41793</v>
      </c>
      <c r="J1788" s="22" t="n">
        <v>41798</v>
      </c>
      <c r="K1788" s="43" t="n">
        <f aca="false">J1788-I1788</f>
        <v>5</v>
      </c>
      <c r="L1788" s="1" t="n">
        <v>5</v>
      </c>
      <c r="M1788" s="3" t="s">
        <v>32</v>
      </c>
      <c r="N1788" s="3" t="s">
        <v>84</v>
      </c>
      <c r="O1788" s="3" t="s">
        <v>85</v>
      </c>
      <c r="P1788" s="2" t="str">
        <f aca="false">CONCATENATE(N1788," ",O1788)</f>
        <v>Walckenaeria antica</v>
      </c>
      <c r="Q1788" s="1" t="s">
        <v>30</v>
      </c>
      <c r="R1788" s="1" t="s">
        <v>35</v>
      </c>
      <c r="S1788" s="3" t="n">
        <v>0</v>
      </c>
      <c r="T1788" s="3" t="n">
        <v>1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f aca="false">SUM(S1788:T1788)</f>
        <v>1</v>
      </c>
      <c r="Z1788" s="3" t="n">
        <f aca="false">SUM(U1788:W1788)</f>
        <v>0</v>
      </c>
      <c r="AA1788" s="3" t="n">
        <f aca="false">SUM(S1788:X1788)</f>
        <v>1</v>
      </c>
      <c r="AB1788" s="11" t="n">
        <f aca="false">(AA1788/(K1788*L1788)*25)*4</f>
        <v>4</v>
      </c>
    </row>
    <row r="1789" customFormat="false" ht="14.25" hidden="false" customHeight="false" outlineLevel="0" collapsed="false">
      <c r="A1789" s="1" t="n">
        <v>2014</v>
      </c>
      <c r="B1789" s="7" t="s">
        <v>322</v>
      </c>
      <c r="C1789" s="7" t="n">
        <v>2</v>
      </c>
      <c r="D1789" s="7" t="s">
        <v>294</v>
      </c>
      <c r="E1789" s="7" t="s">
        <v>294</v>
      </c>
      <c r="F1789" s="3" t="s">
        <v>158</v>
      </c>
      <c r="G1789" s="3" t="n">
        <v>1</v>
      </c>
      <c r="H1789" s="3" t="n">
        <v>3</v>
      </c>
      <c r="I1789" s="22" t="n">
        <v>41793</v>
      </c>
      <c r="J1789" s="22" t="n">
        <v>41798</v>
      </c>
      <c r="K1789" s="43" t="n">
        <f aca="false">J1789-I1789</f>
        <v>5</v>
      </c>
      <c r="L1789" s="1" t="n">
        <v>5</v>
      </c>
      <c r="M1789" s="3" t="s">
        <v>48</v>
      </c>
      <c r="N1789" s="3" t="s">
        <v>49</v>
      </c>
      <c r="O1789" s="3" t="s">
        <v>119</v>
      </c>
      <c r="P1789" s="2" t="str">
        <f aca="false">CONCATENATE(N1789," ",O1789)</f>
        <v>Alopecosa sulzeri</v>
      </c>
      <c r="Q1789" s="1" t="s">
        <v>30</v>
      </c>
      <c r="R1789" s="1" t="s">
        <v>31</v>
      </c>
      <c r="S1789" s="3" t="n">
        <v>1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f aca="false">SUM(S1789:T1789)</f>
        <v>1</v>
      </c>
      <c r="Z1789" s="3" t="n">
        <f aca="false">SUM(U1789:W1789)</f>
        <v>0</v>
      </c>
      <c r="AA1789" s="3" t="n">
        <f aca="false">SUM(S1789:X1789)</f>
        <v>1</v>
      </c>
      <c r="AB1789" s="11" t="n">
        <f aca="false">(AA1789/(K1789*L1789)*25)*4</f>
        <v>4</v>
      </c>
    </row>
    <row r="1790" customFormat="false" ht="14.25" hidden="false" customHeight="false" outlineLevel="0" collapsed="false">
      <c r="A1790" s="1" t="n">
        <v>2014</v>
      </c>
      <c r="B1790" s="7" t="s">
        <v>322</v>
      </c>
      <c r="C1790" s="7" t="n">
        <v>2</v>
      </c>
      <c r="D1790" s="7" t="s">
        <v>294</v>
      </c>
      <c r="E1790" s="7" t="s">
        <v>294</v>
      </c>
      <c r="F1790" s="3" t="s">
        <v>158</v>
      </c>
      <c r="G1790" s="3" t="n">
        <v>1</v>
      </c>
      <c r="H1790" s="3" t="n">
        <v>3</v>
      </c>
      <c r="I1790" s="22" t="n">
        <v>41793</v>
      </c>
      <c r="J1790" s="22" t="n">
        <v>41798</v>
      </c>
      <c r="K1790" s="43" t="n">
        <f aca="false">J1790-I1790</f>
        <v>5</v>
      </c>
      <c r="L1790" s="1" t="n">
        <v>5</v>
      </c>
      <c r="M1790" s="3" t="s">
        <v>48</v>
      </c>
      <c r="N1790" s="3" t="s">
        <v>61</v>
      </c>
      <c r="O1790" s="3" t="s">
        <v>82</v>
      </c>
      <c r="P1790" s="2" t="str">
        <f aca="false">CONCATENATE(N1790," ",O1790)</f>
        <v>Trochosa terricola</v>
      </c>
      <c r="Q1790" s="1" t="s">
        <v>30</v>
      </c>
      <c r="R1790" s="1" t="s">
        <v>31</v>
      </c>
      <c r="S1790" s="3" t="n">
        <v>1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f aca="false">SUM(S1790:T1790)</f>
        <v>1</v>
      </c>
      <c r="Z1790" s="3" t="n">
        <f aca="false">SUM(U1790:W1790)</f>
        <v>0</v>
      </c>
      <c r="AA1790" s="3" t="n">
        <f aca="false">SUM(S1790:X1790)</f>
        <v>1</v>
      </c>
      <c r="AB1790" s="11" t="n">
        <f aca="false">(AA1790/(K1790*L1790)*25)*4</f>
        <v>4</v>
      </c>
    </row>
    <row r="1791" customFormat="false" ht="14.25" hidden="false" customHeight="false" outlineLevel="0" collapsed="false">
      <c r="A1791" s="1" t="n">
        <v>2014</v>
      </c>
      <c r="B1791" s="7" t="s">
        <v>322</v>
      </c>
      <c r="C1791" s="7" t="n">
        <v>2</v>
      </c>
      <c r="D1791" s="7" t="s">
        <v>294</v>
      </c>
      <c r="E1791" s="7" t="s">
        <v>294</v>
      </c>
      <c r="F1791" s="3" t="s">
        <v>158</v>
      </c>
      <c r="G1791" s="3" t="n">
        <v>1</v>
      </c>
      <c r="H1791" s="3" t="n">
        <v>3</v>
      </c>
      <c r="I1791" s="22" t="n">
        <v>41793</v>
      </c>
      <c r="J1791" s="22" t="n">
        <v>41798</v>
      </c>
      <c r="K1791" s="43" t="n">
        <f aca="false">J1791-I1791</f>
        <v>5</v>
      </c>
      <c r="L1791" s="1" t="n">
        <v>5</v>
      </c>
      <c r="M1791" s="3" t="s">
        <v>48</v>
      </c>
      <c r="N1791" s="3" t="s">
        <v>67</v>
      </c>
      <c r="O1791" s="3" t="s">
        <v>127</v>
      </c>
      <c r="P1791" s="2" t="str">
        <f aca="false">CONCATENATE(N1791," ",O1791)</f>
        <v>Pardosa lugubris</v>
      </c>
      <c r="Q1791" s="1" t="s">
        <v>30</v>
      </c>
      <c r="R1791" s="1" t="s">
        <v>31</v>
      </c>
      <c r="S1791" s="3" t="n">
        <v>13</v>
      </c>
      <c r="T1791" s="3" t="n">
        <v>0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f aca="false">SUM(S1791:T1791)</f>
        <v>13</v>
      </c>
      <c r="Z1791" s="3" t="n">
        <f aca="false">SUM(U1791:W1791)</f>
        <v>0</v>
      </c>
      <c r="AA1791" s="3" t="n">
        <f aca="false">SUM(S1791:X1791)</f>
        <v>13</v>
      </c>
      <c r="AB1791" s="11" t="n">
        <f aca="false">(AA1791/(K1791*L1791)*25)*4</f>
        <v>52</v>
      </c>
    </row>
    <row r="1792" customFormat="false" ht="14.25" hidden="false" customHeight="false" outlineLevel="0" collapsed="false">
      <c r="A1792" s="1" t="n">
        <v>2014</v>
      </c>
      <c r="B1792" s="7" t="s">
        <v>322</v>
      </c>
      <c r="C1792" s="7" t="n">
        <v>2</v>
      </c>
      <c r="D1792" s="7" t="s">
        <v>294</v>
      </c>
      <c r="E1792" s="7" t="s">
        <v>294</v>
      </c>
      <c r="F1792" s="3" t="s">
        <v>158</v>
      </c>
      <c r="G1792" s="3" t="n">
        <v>1</v>
      </c>
      <c r="H1792" s="3" t="n">
        <v>3</v>
      </c>
      <c r="I1792" s="22" t="n">
        <v>41793</v>
      </c>
      <c r="J1792" s="22" t="n">
        <v>41798</v>
      </c>
      <c r="K1792" s="43" t="n">
        <f aca="false">J1792-I1792</f>
        <v>5</v>
      </c>
      <c r="L1792" s="1" t="n">
        <v>5</v>
      </c>
      <c r="M1792" s="3" t="s">
        <v>48</v>
      </c>
      <c r="N1792" s="3" t="s">
        <v>67</v>
      </c>
      <c r="O1792" s="3" t="s">
        <v>127</v>
      </c>
      <c r="P1792" s="2" t="str">
        <f aca="false">CONCATENATE(N1792," ",O1792)</f>
        <v>Pardosa lugubris</v>
      </c>
      <c r="Q1792" s="1" t="s">
        <v>30</v>
      </c>
      <c r="R1792" s="1" t="s">
        <v>35</v>
      </c>
      <c r="S1792" s="3" t="n">
        <v>0</v>
      </c>
      <c r="T1792" s="3" t="n">
        <v>1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f aca="false">SUM(S1792:T1792)</f>
        <v>1</v>
      </c>
      <c r="Z1792" s="3" t="n">
        <f aca="false">SUM(U1792:W1792)</f>
        <v>0</v>
      </c>
      <c r="AA1792" s="3" t="n">
        <f aca="false">SUM(S1792:X1792)</f>
        <v>1</v>
      </c>
      <c r="AB1792" s="11" t="n">
        <f aca="false">(AA1792/(K1792*L1792)*25)*4</f>
        <v>4</v>
      </c>
    </row>
    <row r="1793" customFormat="false" ht="14.25" hidden="false" customHeight="false" outlineLevel="0" collapsed="false">
      <c r="A1793" s="1" t="n">
        <v>2014</v>
      </c>
      <c r="B1793" s="7" t="s">
        <v>322</v>
      </c>
      <c r="C1793" s="7" t="n">
        <v>2</v>
      </c>
      <c r="D1793" s="7" t="s">
        <v>294</v>
      </c>
      <c r="E1793" s="7" t="s">
        <v>294</v>
      </c>
      <c r="F1793" s="3" t="s">
        <v>158</v>
      </c>
      <c r="G1793" s="3" t="n">
        <v>1</v>
      </c>
      <c r="H1793" s="3" t="n">
        <v>3</v>
      </c>
      <c r="I1793" s="22" t="n">
        <v>41793</v>
      </c>
      <c r="J1793" s="22" t="n">
        <v>41798</v>
      </c>
      <c r="K1793" s="43" t="n">
        <f aca="false">J1793-I1793</f>
        <v>5</v>
      </c>
      <c r="L1793" s="1" t="n">
        <v>5</v>
      </c>
      <c r="M1793" s="3" t="s">
        <v>72</v>
      </c>
      <c r="N1793" s="3" t="s">
        <v>86</v>
      </c>
      <c r="O1793" s="3" t="s">
        <v>87</v>
      </c>
      <c r="P1793" s="2" t="str">
        <f aca="false">CONCATENATE(N1793," ",O1793)</f>
        <v>Haplodrassus soerenseni</v>
      </c>
      <c r="Q1793" s="1" t="s">
        <v>30</v>
      </c>
      <c r="R1793" s="1" t="s">
        <v>31</v>
      </c>
      <c r="S1793" s="3" t="n">
        <v>1</v>
      </c>
      <c r="T1793" s="3" t="n">
        <v>0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f aca="false">SUM(S1793:T1793)</f>
        <v>1</v>
      </c>
      <c r="Z1793" s="3" t="n">
        <f aca="false">SUM(U1793:W1793)</f>
        <v>0</v>
      </c>
      <c r="AA1793" s="3" t="n">
        <f aca="false">SUM(S1793:X1793)</f>
        <v>1</v>
      </c>
      <c r="AB1793" s="11" t="n">
        <f aca="false">(AA1793/(K1793*L1793)*25)*4</f>
        <v>4</v>
      </c>
    </row>
    <row r="1794" customFormat="false" ht="14.25" hidden="false" customHeight="false" outlineLevel="0" collapsed="false">
      <c r="A1794" s="1" t="n">
        <v>2014</v>
      </c>
      <c r="B1794" s="7" t="s">
        <v>322</v>
      </c>
      <c r="C1794" s="7" t="n">
        <v>2</v>
      </c>
      <c r="D1794" s="7" t="s">
        <v>294</v>
      </c>
      <c r="E1794" s="7" t="s">
        <v>294</v>
      </c>
      <c r="F1794" s="3" t="s">
        <v>158</v>
      </c>
      <c r="G1794" s="3" t="n">
        <v>1</v>
      </c>
      <c r="H1794" s="3" t="n">
        <v>3</v>
      </c>
      <c r="I1794" s="22" t="n">
        <v>41793</v>
      </c>
      <c r="J1794" s="22" t="n">
        <v>41798</v>
      </c>
      <c r="K1794" s="43" t="n">
        <f aca="false">J1794-I1794</f>
        <v>5</v>
      </c>
      <c r="L1794" s="1" t="n">
        <v>5</v>
      </c>
      <c r="M1794" s="3" t="s">
        <v>32</v>
      </c>
      <c r="N1794" s="3" t="s">
        <v>84</v>
      </c>
      <c r="O1794" s="3" t="s">
        <v>168</v>
      </c>
      <c r="P1794" s="2" t="str">
        <f aca="false">CONCATENATE(N1794," ",O1794)</f>
        <v>Walckenaeria atrotibialis</v>
      </c>
      <c r="Q1794" s="1" t="s">
        <v>30</v>
      </c>
      <c r="R1794" s="1" t="s">
        <v>31</v>
      </c>
      <c r="S1794" s="3" t="n">
        <v>1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f aca="false">SUM(S1794:T1794)</f>
        <v>1</v>
      </c>
      <c r="Z1794" s="3" t="n">
        <f aca="false">SUM(U1794:W1794)</f>
        <v>0</v>
      </c>
      <c r="AA1794" s="3" t="n">
        <f aca="false">SUM(S1794:X1794)</f>
        <v>1</v>
      </c>
      <c r="AB1794" s="11" t="n">
        <f aca="false">(AA1794/(K1794*L1794)*25)*4</f>
        <v>4</v>
      </c>
    </row>
    <row r="1795" customFormat="false" ht="14.25" hidden="false" customHeight="false" outlineLevel="0" collapsed="false">
      <c r="A1795" s="1" t="n">
        <v>2014</v>
      </c>
      <c r="B1795" s="7" t="s">
        <v>322</v>
      </c>
      <c r="C1795" s="7" t="n">
        <v>2</v>
      </c>
      <c r="D1795" s="7" t="s">
        <v>294</v>
      </c>
      <c r="E1795" s="7" t="s">
        <v>294</v>
      </c>
      <c r="F1795" s="3" t="s">
        <v>158</v>
      </c>
      <c r="G1795" s="3" t="n">
        <v>1</v>
      </c>
      <c r="H1795" s="3" t="n">
        <v>3</v>
      </c>
      <c r="I1795" s="22" t="n">
        <v>41793</v>
      </c>
      <c r="J1795" s="22" t="n">
        <v>41798</v>
      </c>
      <c r="K1795" s="43" t="n">
        <f aca="false">J1795-I1795</f>
        <v>5</v>
      </c>
      <c r="L1795" s="1" t="n">
        <v>5</v>
      </c>
      <c r="M1795" s="3" t="s">
        <v>48</v>
      </c>
      <c r="N1795" s="3" t="s">
        <v>49</v>
      </c>
      <c r="O1795" s="3" t="s">
        <v>104</v>
      </c>
      <c r="P1795" s="2" t="str">
        <f aca="false">CONCATENATE(N1795," ",O1795)</f>
        <v>Alopecosa taeniata</v>
      </c>
      <c r="Q1795" s="1" t="s">
        <v>30</v>
      </c>
      <c r="R1795" s="1" t="s">
        <v>31</v>
      </c>
      <c r="S1795" s="3" t="n">
        <v>3</v>
      </c>
      <c r="T1795" s="3" t="n">
        <v>0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f aca="false">SUM(S1795:T1795)</f>
        <v>3</v>
      </c>
      <c r="Z1795" s="3" t="n">
        <f aca="false">SUM(U1795:W1795)</f>
        <v>0</v>
      </c>
      <c r="AA1795" s="3" t="n">
        <f aca="false">SUM(S1795:X1795)</f>
        <v>3</v>
      </c>
      <c r="AB1795" s="11" t="n">
        <f aca="false">(AA1795/(K1795*L1795)*25)*4</f>
        <v>12</v>
      </c>
    </row>
    <row r="1796" customFormat="false" ht="14.25" hidden="false" customHeight="false" outlineLevel="0" collapsed="false">
      <c r="A1796" s="1" t="n">
        <v>2014</v>
      </c>
      <c r="B1796" s="7" t="s">
        <v>322</v>
      </c>
      <c r="C1796" s="7" t="n">
        <v>2</v>
      </c>
      <c r="D1796" s="7" t="s">
        <v>294</v>
      </c>
      <c r="E1796" s="7" t="s">
        <v>294</v>
      </c>
      <c r="F1796" s="3" t="s">
        <v>158</v>
      </c>
      <c r="G1796" s="3" t="n">
        <v>1</v>
      </c>
      <c r="H1796" s="3" t="n">
        <v>2</v>
      </c>
      <c r="I1796" s="22" t="n">
        <v>41793</v>
      </c>
      <c r="J1796" s="22" t="n">
        <v>41798</v>
      </c>
      <c r="K1796" s="43" t="n">
        <f aca="false">J1796-I1796</f>
        <v>5</v>
      </c>
      <c r="L1796" s="1" t="n">
        <v>5</v>
      </c>
      <c r="M1796" s="3" t="s">
        <v>36</v>
      </c>
      <c r="N1796" s="3" t="s">
        <v>131</v>
      </c>
      <c r="O1796" s="3" t="s">
        <v>229</v>
      </c>
      <c r="P1796" s="2" t="str">
        <f aca="false">CONCATENATE(N1796," ",O1796)</f>
        <v>Xysticus emertoni</v>
      </c>
      <c r="Q1796" s="1" t="s">
        <v>30</v>
      </c>
      <c r="R1796" s="1" t="s">
        <v>31</v>
      </c>
      <c r="S1796" s="3" t="n">
        <v>1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f aca="false">SUM(S1796:T1796)</f>
        <v>1</v>
      </c>
      <c r="Z1796" s="3" t="n">
        <f aca="false">SUM(U1796:W1796)</f>
        <v>0</v>
      </c>
      <c r="AA1796" s="3" t="n">
        <f aca="false">SUM(S1796:X1796)</f>
        <v>1</v>
      </c>
      <c r="AB1796" s="11" t="n">
        <f aca="false">(AA1796/(K1796*L1796)*25)*4</f>
        <v>4</v>
      </c>
    </row>
    <row r="1797" customFormat="false" ht="14.25" hidden="false" customHeight="false" outlineLevel="0" collapsed="false">
      <c r="A1797" s="1" t="n">
        <v>2014</v>
      </c>
      <c r="B1797" s="7" t="s">
        <v>322</v>
      </c>
      <c r="C1797" s="7" t="n">
        <v>2</v>
      </c>
      <c r="D1797" s="7" t="s">
        <v>294</v>
      </c>
      <c r="E1797" s="7" t="s">
        <v>294</v>
      </c>
      <c r="F1797" s="3" t="s">
        <v>158</v>
      </c>
      <c r="G1797" s="3" t="n">
        <v>1</v>
      </c>
      <c r="H1797" s="3" t="n">
        <v>2</v>
      </c>
      <c r="I1797" s="22" t="n">
        <v>41793</v>
      </c>
      <c r="J1797" s="22" t="n">
        <v>41798</v>
      </c>
      <c r="K1797" s="43" t="n">
        <f aca="false">J1797-I1797</f>
        <v>5</v>
      </c>
      <c r="L1797" s="1" t="n">
        <v>5</v>
      </c>
      <c r="M1797" s="3" t="s">
        <v>36</v>
      </c>
      <c r="N1797" s="3" t="s">
        <v>131</v>
      </c>
      <c r="O1797" s="3" t="s">
        <v>133</v>
      </c>
      <c r="P1797" s="2" t="str">
        <f aca="false">CONCATENATE(N1797," ",O1797)</f>
        <v>Xysticus luctuosus</v>
      </c>
      <c r="Q1797" s="1" t="s">
        <v>30</v>
      </c>
      <c r="R1797" s="1" t="s">
        <v>31</v>
      </c>
      <c r="S1797" s="3" t="n">
        <v>2</v>
      </c>
      <c r="T1797" s="3" t="n">
        <v>0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f aca="false">SUM(S1797:T1797)</f>
        <v>2</v>
      </c>
      <c r="Z1797" s="3" t="n">
        <f aca="false">SUM(U1797:W1797)</f>
        <v>0</v>
      </c>
      <c r="AA1797" s="3" t="n">
        <f aca="false">SUM(S1797:X1797)</f>
        <v>2</v>
      </c>
      <c r="AB1797" s="11" t="n">
        <f aca="false">(AA1797/(K1797*L1797)*25)*4</f>
        <v>8</v>
      </c>
    </row>
    <row r="1798" customFormat="false" ht="14.25" hidden="false" customHeight="false" outlineLevel="0" collapsed="false">
      <c r="A1798" s="1" t="n">
        <v>2014</v>
      </c>
      <c r="B1798" s="7" t="s">
        <v>322</v>
      </c>
      <c r="C1798" s="7" t="n">
        <v>2</v>
      </c>
      <c r="D1798" s="7" t="s">
        <v>294</v>
      </c>
      <c r="E1798" s="7" t="s">
        <v>294</v>
      </c>
      <c r="F1798" s="3" t="s">
        <v>158</v>
      </c>
      <c r="G1798" s="3" t="n">
        <v>1</v>
      </c>
      <c r="H1798" s="3" t="n">
        <v>2</v>
      </c>
      <c r="I1798" s="22" t="n">
        <v>41793</v>
      </c>
      <c r="J1798" s="22" t="n">
        <v>41798</v>
      </c>
      <c r="K1798" s="43" t="n">
        <f aca="false">J1798-I1798</f>
        <v>5</v>
      </c>
      <c r="L1798" s="1" t="n">
        <v>5</v>
      </c>
      <c r="M1798" s="3" t="s">
        <v>72</v>
      </c>
      <c r="N1798" s="3" t="s">
        <v>73</v>
      </c>
      <c r="O1798" s="3" t="s">
        <v>74</v>
      </c>
      <c r="P1798" s="2" t="str">
        <f aca="false">CONCATENATE(N1798," ",O1798)</f>
        <v>Zelotes subterraneus</v>
      </c>
      <c r="Q1798" s="1" t="s">
        <v>30</v>
      </c>
      <c r="R1798" s="1" t="s">
        <v>35</v>
      </c>
      <c r="S1798" s="3" t="n">
        <v>0</v>
      </c>
      <c r="T1798" s="3" t="n">
        <v>1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f aca="false">SUM(S1798:T1798)</f>
        <v>1</v>
      </c>
      <c r="Z1798" s="3" t="n">
        <f aca="false">SUM(U1798:W1798)</f>
        <v>0</v>
      </c>
      <c r="AA1798" s="3" t="n">
        <f aca="false">SUM(S1798:X1798)</f>
        <v>1</v>
      </c>
      <c r="AB1798" s="11" t="n">
        <f aca="false">(AA1798/(K1798*L1798)*25)*4</f>
        <v>4</v>
      </c>
    </row>
    <row r="1799" customFormat="false" ht="14.25" hidden="false" customHeight="false" outlineLevel="0" collapsed="false">
      <c r="A1799" s="1" t="n">
        <v>2014</v>
      </c>
      <c r="B1799" s="7" t="s">
        <v>322</v>
      </c>
      <c r="C1799" s="7" t="n">
        <v>2</v>
      </c>
      <c r="D1799" s="7" t="s">
        <v>294</v>
      </c>
      <c r="E1799" s="7" t="s">
        <v>294</v>
      </c>
      <c r="F1799" s="3" t="s">
        <v>158</v>
      </c>
      <c r="G1799" s="3" t="n">
        <v>1</v>
      </c>
      <c r="H1799" s="3" t="n">
        <v>2</v>
      </c>
      <c r="I1799" s="22" t="n">
        <v>41793</v>
      </c>
      <c r="J1799" s="22" t="n">
        <v>41798</v>
      </c>
      <c r="K1799" s="43" t="n">
        <f aca="false">J1799-I1799</f>
        <v>5</v>
      </c>
      <c r="L1799" s="1" t="n">
        <v>5</v>
      </c>
      <c r="M1799" s="3" t="s">
        <v>48</v>
      </c>
      <c r="N1799" s="3" t="s">
        <v>67</v>
      </c>
      <c r="O1799" s="3" t="s">
        <v>127</v>
      </c>
      <c r="P1799" s="2" t="str">
        <f aca="false">CONCATENATE(N1799," ",O1799)</f>
        <v>Pardosa lugubris</v>
      </c>
      <c r="Q1799" s="1" t="s">
        <v>30</v>
      </c>
      <c r="R1799" s="1" t="s">
        <v>31</v>
      </c>
      <c r="S1799" s="3" t="n">
        <v>6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f aca="false">SUM(S1799:T1799)</f>
        <v>6</v>
      </c>
      <c r="Z1799" s="3" t="n">
        <f aca="false">SUM(U1799:W1799)</f>
        <v>0</v>
      </c>
      <c r="AA1799" s="3" t="n">
        <f aca="false">SUM(S1799:X1799)</f>
        <v>6</v>
      </c>
      <c r="AB1799" s="11" t="n">
        <f aca="false">(AA1799/(K1799*L1799)*25)*4</f>
        <v>24</v>
      </c>
    </row>
    <row r="1800" customFormat="false" ht="14.25" hidden="false" customHeight="false" outlineLevel="0" collapsed="false">
      <c r="A1800" s="1" t="n">
        <v>2014</v>
      </c>
      <c r="B1800" s="7" t="s">
        <v>322</v>
      </c>
      <c r="C1800" s="7" t="n">
        <v>2</v>
      </c>
      <c r="D1800" s="7" t="s">
        <v>294</v>
      </c>
      <c r="E1800" s="7" t="s">
        <v>294</v>
      </c>
      <c r="F1800" s="3" t="s">
        <v>158</v>
      </c>
      <c r="G1800" s="3" t="n">
        <v>1</v>
      </c>
      <c r="H1800" s="3" t="n">
        <v>2</v>
      </c>
      <c r="I1800" s="22" t="n">
        <v>41793</v>
      </c>
      <c r="J1800" s="22" t="n">
        <v>41798</v>
      </c>
      <c r="K1800" s="43" t="n">
        <f aca="false">J1800-I1800</f>
        <v>5</v>
      </c>
      <c r="L1800" s="1" t="n">
        <v>5</v>
      </c>
      <c r="M1800" s="3" t="s">
        <v>48</v>
      </c>
      <c r="N1800" s="3" t="s">
        <v>67</v>
      </c>
      <c r="O1800" s="3" t="s">
        <v>127</v>
      </c>
      <c r="P1800" s="2" t="str">
        <f aca="false">CONCATENATE(N1800," ",O1800)</f>
        <v>Pardosa lugubris</v>
      </c>
      <c r="Q1800" s="1" t="s">
        <v>30</v>
      </c>
      <c r="R1800" s="1" t="s">
        <v>35</v>
      </c>
      <c r="S1800" s="3" t="n">
        <v>0</v>
      </c>
      <c r="T1800" s="3" t="n">
        <v>3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f aca="false">SUM(S1800:T1800)</f>
        <v>3</v>
      </c>
      <c r="Z1800" s="3" t="n">
        <f aca="false">SUM(U1800:W1800)</f>
        <v>0</v>
      </c>
      <c r="AA1800" s="3" t="n">
        <f aca="false">SUM(S1800:X1800)</f>
        <v>3</v>
      </c>
      <c r="AB1800" s="11" t="n">
        <f aca="false">(AA1800/(K1800*L1800)*25)*4</f>
        <v>12</v>
      </c>
    </row>
    <row r="1801" customFormat="false" ht="14.25" hidden="false" customHeight="false" outlineLevel="0" collapsed="false">
      <c r="A1801" s="1" t="n">
        <v>2014</v>
      </c>
      <c r="B1801" s="7" t="s">
        <v>322</v>
      </c>
      <c r="C1801" s="7" t="n">
        <v>2</v>
      </c>
      <c r="D1801" s="7" t="s">
        <v>294</v>
      </c>
      <c r="E1801" s="7" t="s">
        <v>294</v>
      </c>
      <c r="F1801" s="3" t="s">
        <v>158</v>
      </c>
      <c r="G1801" s="3" t="n">
        <v>1</v>
      </c>
      <c r="H1801" s="3" t="n">
        <v>2</v>
      </c>
      <c r="I1801" s="22" t="n">
        <v>41793</v>
      </c>
      <c r="J1801" s="22" t="n">
        <v>41798</v>
      </c>
      <c r="K1801" s="43" t="n">
        <f aca="false">J1801-I1801</f>
        <v>5</v>
      </c>
      <c r="L1801" s="1" t="n">
        <v>5</v>
      </c>
      <c r="M1801" s="3" t="s">
        <v>48</v>
      </c>
      <c r="N1801" s="3" t="s">
        <v>49</v>
      </c>
      <c r="O1801" s="3" t="s">
        <v>223</v>
      </c>
      <c r="P1801" s="2" t="str">
        <f aca="false">CONCATENATE(N1801," ",O1801)</f>
        <v>Alopecosa pulverulenta</v>
      </c>
      <c r="Q1801" s="1" t="s">
        <v>30</v>
      </c>
      <c r="R1801" s="1" t="s">
        <v>31</v>
      </c>
      <c r="S1801" s="3" t="n">
        <v>1</v>
      </c>
      <c r="T1801" s="3" t="n">
        <v>0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f aca="false">SUM(S1801:T1801)</f>
        <v>1</v>
      </c>
      <c r="Z1801" s="3" t="n">
        <f aca="false">SUM(U1801:W1801)</f>
        <v>0</v>
      </c>
      <c r="AA1801" s="3" t="n">
        <f aca="false">SUM(S1801:X1801)</f>
        <v>1</v>
      </c>
      <c r="AB1801" s="11" t="n">
        <f aca="false">(AA1801/(K1801*L1801)*25)*4</f>
        <v>4</v>
      </c>
    </row>
    <row r="1802" customFormat="false" ht="14.25" hidden="false" customHeight="false" outlineLevel="0" collapsed="false">
      <c r="A1802" s="1" t="n">
        <v>2014</v>
      </c>
      <c r="B1802" s="7" t="s">
        <v>322</v>
      </c>
      <c r="C1802" s="7" t="n">
        <v>2</v>
      </c>
      <c r="D1802" s="7" t="s">
        <v>294</v>
      </c>
      <c r="E1802" s="7" t="s">
        <v>294</v>
      </c>
      <c r="F1802" s="3" t="s">
        <v>158</v>
      </c>
      <c r="G1802" s="3" t="n">
        <v>1</v>
      </c>
      <c r="H1802" s="3" t="n">
        <v>2</v>
      </c>
      <c r="I1802" s="22" t="n">
        <v>41793</v>
      </c>
      <c r="J1802" s="22" t="n">
        <v>41798</v>
      </c>
      <c r="K1802" s="43" t="n">
        <f aca="false">J1802-I1802</f>
        <v>5</v>
      </c>
      <c r="L1802" s="1" t="n">
        <v>5</v>
      </c>
      <c r="M1802" s="3" t="s">
        <v>32</v>
      </c>
      <c r="N1802" s="3" t="s">
        <v>154</v>
      </c>
      <c r="O1802" s="3" t="s">
        <v>155</v>
      </c>
      <c r="P1802" s="2" t="str">
        <f aca="false">CONCATENATE(N1802," ",O1802)</f>
        <v>Pocadicnemis pumila</v>
      </c>
      <c r="Q1802" s="1" t="s">
        <v>30</v>
      </c>
      <c r="R1802" s="1" t="s">
        <v>31</v>
      </c>
      <c r="S1802" s="3" t="n">
        <v>1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f aca="false">SUM(S1802:T1802)</f>
        <v>1</v>
      </c>
      <c r="Z1802" s="3" t="n">
        <f aca="false">SUM(U1802:W1802)</f>
        <v>0</v>
      </c>
      <c r="AA1802" s="3" t="n">
        <f aca="false">SUM(S1802:X1802)</f>
        <v>1</v>
      </c>
      <c r="AB1802" s="11" t="n">
        <f aca="false">(AA1802/(K1802*L1802)*25)*4</f>
        <v>4</v>
      </c>
    </row>
    <row r="1803" customFormat="false" ht="14.25" hidden="false" customHeight="false" outlineLevel="0" collapsed="false">
      <c r="A1803" s="1" t="n">
        <v>2014</v>
      </c>
      <c r="B1803" s="7" t="s">
        <v>322</v>
      </c>
      <c r="C1803" s="7" t="n">
        <v>2</v>
      </c>
      <c r="D1803" s="7" t="s">
        <v>294</v>
      </c>
      <c r="E1803" s="7" t="s">
        <v>294</v>
      </c>
      <c r="F1803" s="3" t="s">
        <v>158</v>
      </c>
      <c r="G1803" s="3" t="n">
        <v>1</v>
      </c>
      <c r="H1803" s="3" t="n">
        <v>2</v>
      </c>
      <c r="I1803" s="22" t="n">
        <v>41793</v>
      </c>
      <c r="J1803" s="22" t="n">
        <v>41798</v>
      </c>
      <c r="K1803" s="43" t="n">
        <f aca="false">J1803-I1803</f>
        <v>5</v>
      </c>
      <c r="L1803" s="1" t="n">
        <v>5</v>
      </c>
      <c r="M1803" s="3" t="s">
        <v>32</v>
      </c>
      <c r="N1803" s="3" t="s">
        <v>169</v>
      </c>
      <c r="O1803" s="3" t="s">
        <v>170</v>
      </c>
      <c r="P1803" s="2" t="str">
        <f aca="false">CONCATENATE(N1803," ",O1803)</f>
        <v>Abacoproeces saltuum</v>
      </c>
      <c r="Q1803" s="1" t="s">
        <v>30</v>
      </c>
      <c r="R1803" s="1" t="s">
        <v>31</v>
      </c>
      <c r="S1803" s="3" t="n">
        <v>2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f aca="false">SUM(S1803:T1803)</f>
        <v>2</v>
      </c>
      <c r="Z1803" s="3" t="n">
        <f aca="false">SUM(U1803:W1803)</f>
        <v>0</v>
      </c>
      <c r="AA1803" s="3" t="n">
        <f aca="false">SUM(S1803:X1803)</f>
        <v>2</v>
      </c>
      <c r="AB1803" s="11" t="n">
        <f aca="false">(AA1803/(K1803*L1803)*25)*4</f>
        <v>8</v>
      </c>
    </row>
    <row r="1804" customFormat="false" ht="14.25" hidden="false" customHeight="false" outlineLevel="0" collapsed="false">
      <c r="A1804" s="1" t="n">
        <v>2014</v>
      </c>
      <c r="B1804" s="7" t="s">
        <v>322</v>
      </c>
      <c r="C1804" s="7" t="n">
        <v>2</v>
      </c>
      <c r="D1804" s="7" t="s">
        <v>294</v>
      </c>
      <c r="E1804" s="7" t="s">
        <v>294</v>
      </c>
      <c r="F1804" s="3" t="s">
        <v>158</v>
      </c>
      <c r="G1804" s="3" t="n">
        <v>1</v>
      </c>
      <c r="H1804" s="3" t="n">
        <v>2</v>
      </c>
      <c r="I1804" s="22" t="n">
        <v>41793</v>
      </c>
      <c r="J1804" s="22" t="n">
        <v>41798</v>
      </c>
      <c r="K1804" s="43" t="n">
        <f aca="false">J1804-I1804</f>
        <v>5</v>
      </c>
      <c r="L1804" s="1" t="n">
        <v>5</v>
      </c>
      <c r="M1804" s="3" t="s">
        <v>32</v>
      </c>
      <c r="N1804" s="3" t="s">
        <v>169</v>
      </c>
      <c r="O1804" s="3" t="s">
        <v>170</v>
      </c>
      <c r="P1804" s="2" t="str">
        <f aca="false">CONCATENATE(N1804," ",O1804)</f>
        <v>Abacoproeces saltuum</v>
      </c>
      <c r="Q1804" s="1" t="s">
        <v>30</v>
      </c>
      <c r="R1804" s="1" t="s">
        <v>35</v>
      </c>
      <c r="S1804" s="3" t="n">
        <v>0</v>
      </c>
      <c r="T1804" s="3" t="n">
        <v>1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f aca="false">SUM(S1804:T1804)</f>
        <v>1</v>
      </c>
      <c r="Z1804" s="3" t="n">
        <f aca="false">SUM(U1804:W1804)</f>
        <v>0</v>
      </c>
      <c r="AA1804" s="3" t="n">
        <f aca="false">SUM(S1804:X1804)</f>
        <v>1</v>
      </c>
      <c r="AB1804" s="11" t="n">
        <f aca="false">(AA1804/(K1804*L1804)*25)*4</f>
        <v>4</v>
      </c>
    </row>
    <row r="1805" customFormat="false" ht="14.25" hidden="false" customHeight="false" outlineLevel="0" collapsed="false">
      <c r="A1805" s="1" t="n">
        <v>2014</v>
      </c>
      <c r="B1805" s="7" t="s">
        <v>322</v>
      </c>
      <c r="C1805" s="7" t="n">
        <v>2</v>
      </c>
      <c r="D1805" s="7" t="s">
        <v>294</v>
      </c>
      <c r="E1805" s="7" t="s">
        <v>294</v>
      </c>
      <c r="F1805" s="3" t="s">
        <v>158</v>
      </c>
      <c r="G1805" s="3" t="n">
        <v>1</v>
      </c>
      <c r="H1805" s="3" t="n">
        <v>1</v>
      </c>
      <c r="I1805" s="22" t="n">
        <v>41793</v>
      </c>
      <c r="J1805" s="22" t="n">
        <v>41798</v>
      </c>
      <c r="K1805" s="43" t="n">
        <f aca="false">J1805-I1805</f>
        <v>5</v>
      </c>
      <c r="L1805" s="1" t="n">
        <v>5</v>
      </c>
      <c r="M1805" s="3" t="s">
        <v>36</v>
      </c>
      <c r="N1805" s="3" t="s">
        <v>131</v>
      </c>
      <c r="O1805" s="3" t="s">
        <v>229</v>
      </c>
      <c r="P1805" s="2" t="str">
        <f aca="false">CONCATENATE(N1805," ",O1805)</f>
        <v>Xysticus emertoni</v>
      </c>
      <c r="Q1805" s="1" t="s">
        <v>30</v>
      </c>
      <c r="R1805" s="1" t="s">
        <v>31</v>
      </c>
      <c r="S1805" s="3" t="n">
        <v>3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f aca="false">SUM(S1805:T1805)</f>
        <v>3</v>
      </c>
      <c r="Z1805" s="3" t="n">
        <f aca="false">SUM(U1805:W1805)</f>
        <v>0</v>
      </c>
      <c r="AA1805" s="3" t="n">
        <f aca="false">SUM(S1805:X1805)</f>
        <v>3</v>
      </c>
      <c r="AB1805" s="11" t="n">
        <f aca="false">(AA1805/(K1805*L1805)*25)*4</f>
        <v>12</v>
      </c>
    </row>
    <row r="1806" customFormat="false" ht="14.25" hidden="false" customHeight="false" outlineLevel="0" collapsed="false">
      <c r="A1806" s="1" t="n">
        <v>2014</v>
      </c>
      <c r="B1806" s="7" t="s">
        <v>322</v>
      </c>
      <c r="C1806" s="7" t="n">
        <v>2</v>
      </c>
      <c r="D1806" s="7" t="s">
        <v>294</v>
      </c>
      <c r="E1806" s="7" t="s">
        <v>294</v>
      </c>
      <c r="F1806" s="3" t="s">
        <v>158</v>
      </c>
      <c r="G1806" s="3" t="n">
        <v>1</v>
      </c>
      <c r="H1806" s="3" t="n">
        <v>1</v>
      </c>
      <c r="I1806" s="22" t="n">
        <v>41793</v>
      </c>
      <c r="J1806" s="22" t="n">
        <v>41798</v>
      </c>
      <c r="K1806" s="43" t="n">
        <f aca="false">J1806-I1806</f>
        <v>5</v>
      </c>
      <c r="L1806" s="1" t="n">
        <v>5</v>
      </c>
      <c r="M1806" s="3" t="s">
        <v>135</v>
      </c>
      <c r="N1806" s="3" t="s">
        <v>136</v>
      </c>
      <c r="O1806" s="3" t="s">
        <v>137</v>
      </c>
      <c r="P1806" s="2" t="str">
        <f aca="false">CONCATENATE(N1806," ",O1806)</f>
        <v>Thanatus sabulosus</v>
      </c>
      <c r="Q1806" s="1" t="s">
        <v>30</v>
      </c>
      <c r="R1806" s="1" t="s">
        <v>35</v>
      </c>
      <c r="S1806" s="3" t="n">
        <v>0</v>
      </c>
      <c r="T1806" s="3" t="n">
        <v>1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f aca="false">SUM(S1806:T1806)</f>
        <v>1</v>
      </c>
      <c r="Z1806" s="3" t="n">
        <f aca="false">SUM(U1806:W1806)</f>
        <v>0</v>
      </c>
      <c r="AA1806" s="3" t="n">
        <f aca="false">SUM(S1806:X1806)</f>
        <v>1</v>
      </c>
      <c r="AB1806" s="11" t="n">
        <f aca="false">(AA1806/(K1806*L1806)*25)*4</f>
        <v>4</v>
      </c>
    </row>
    <row r="1807" customFormat="false" ht="14.25" hidden="false" customHeight="false" outlineLevel="0" collapsed="false">
      <c r="A1807" s="1" t="n">
        <v>2014</v>
      </c>
      <c r="B1807" s="7" t="s">
        <v>322</v>
      </c>
      <c r="C1807" s="7" t="n">
        <v>2</v>
      </c>
      <c r="D1807" s="7" t="s">
        <v>294</v>
      </c>
      <c r="E1807" s="7" t="s">
        <v>294</v>
      </c>
      <c r="F1807" s="3" t="s">
        <v>158</v>
      </c>
      <c r="G1807" s="3" t="n">
        <v>1</v>
      </c>
      <c r="H1807" s="3" t="n">
        <v>1</v>
      </c>
      <c r="I1807" s="22" t="n">
        <v>41793</v>
      </c>
      <c r="J1807" s="22" t="n">
        <v>41798</v>
      </c>
      <c r="K1807" s="43" t="n">
        <f aca="false">J1807-I1807</f>
        <v>5</v>
      </c>
      <c r="L1807" s="1" t="n">
        <v>5</v>
      </c>
      <c r="M1807" s="3" t="s">
        <v>72</v>
      </c>
      <c r="N1807" s="3" t="s">
        <v>73</v>
      </c>
      <c r="O1807" s="3" t="s">
        <v>74</v>
      </c>
      <c r="P1807" s="2" t="str">
        <f aca="false">CONCATENATE(N1807," ",O1807)</f>
        <v>Zelotes subterraneus</v>
      </c>
      <c r="Q1807" s="1" t="s">
        <v>30</v>
      </c>
      <c r="R1807" s="1" t="s">
        <v>31</v>
      </c>
      <c r="S1807" s="3" t="n">
        <v>1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f aca="false">SUM(S1807:T1807)</f>
        <v>1</v>
      </c>
      <c r="Z1807" s="3" t="n">
        <f aca="false">SUM(U1807:W1807)</f>
        <v>0</v>
      </c>
      <c r="AA1807" s="3" t="n">
        <f aca="false">SUM(S1807:X1807)</f>
        <v>1</v>
      </c>
      <c r="AB1807" s="11" t="n">
        <f aca="false">(AA1807/(K1807*L1807)*25)*4</f>
        <v>4</v>
      </c>
    </row>
    <row r="1808" customFormat="false" ht="14.25" hidden="false" customHeight="false" outlineLevel="0" collapsed="false">
      <c r="A1808" s="1" t="n">
        <v>2014</v>
      </c>
      <c r="B1808" s="7" t="s">
        <v>322</v>
      </c>
      <c r="C1808" s="7" t="n">
        <v>2</v>
      </c>
      <c r="D1808" s="7" t="s">
        <v>294</v>
      </c>
      <c r="E1808" s="7" t="s">
        <v>294</v>
      </c>
      <c r="F1808" s="3" t="s">
        <v>158</v>
      </c>
      <c r="G1808" s="3" t="n">
        <v>1</v>
      </c>
      <c r="H1808" s="3" t="n">
        <v>1</v>
      </c>
      <c r="I1808" s="22" t="n">
        <v>41793</v>
      </c>
      <c r="J1808" s="22" t="n">
        <v>41798</v>
      </c>
      <c r="K1808" s="43" t="n">
        <f aca="false">J1808-I1808</f>
        <v>5</v>
      </c>
      <c r="L1808" s="1" t="n">
        <v>5</v>
      </c>
      <c r="M1808" s="3" t="s">
        <v>48</v>
      </c>
      <c r="N1808" s="3" t="s">
        <v>67</v>
      </c>
      <c r="O1808" s="3" t="s">
        <v>127</v>
      </c>
      <c r="P1808" s="2" t="str">
        <f aca="false">CONCATENATE(N1808," ",O1808)</f>
        <v>Pardosa lugubris</v>
      </c>
      <c r="Q1808" s="1" t="s">
        <v>30</v>
      </c>
      <c r="R1808" s="1" t="s">
        <v>31</v>
      </c>
      <c r="S1808" s="3" t="n">
        <v>6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f aca="false">SUM(S1808:T1808)</f>
        <v>6</v>
      </c>
      <c r="Z1808" s="3" t="n">
        <f aca="false">SUM(U1808:W1808)</f>
        <v>0</v>
      </c>
      <c r="AA1808" s="3" t="n">
        <f aca="false">SUM(S1808:X1808)</f>
        <v>6</v>
      </c>
      <c r="AB1808" s="11" t="n">
        <f aca="false">(AA1808/(K1808*L1808)*25)*4</f>
        <v>24</v>
      </c>
    </row>
    <row r="1809" customFormat="false" ht="14.25" hidden="false" customHeight="false" outlineLevel="0" collapsed="false">
      <c r="A1809" s="1" t="n">
        <v>2014</v>
      </c>
      <c r="B1809" s="7" t="s">
        <v>322</v>
      </c>
      <c r="C1809" s="7" t="n">
        <v>2</v>
      </c>
      <c r="D1809" s="7" t="s">
        <v>294</v>
      </c>
      <c r="E1809" s="7" t="s">
        <v>294</v>
      </c>
      <c r="F1809" s="3" t="s">
        <v>158</v>
      </c>
      <c r="G1809" s="3" t="n">
        <v>1</v>
      </c>
      <c r="H1809" s="3" t="n">
        <v>1</v>
      </c>
      <c r="I1809" s="22" t="n">
        <v>41793</v>
      </c>
      <c r="J1809" s="22" t="n">
        <v>41798</v>
      </c>
      <c r="K1809" s="43" t="n">
        <f aca="false">J1809-I1809</f>
        <v>5</v>
      </c>
      <c r="L1809" s="1" t="n">
        <v>5</v>
      </c>
      <c r="M1809" s="3" t="s">
        <v>48</v>
      </c>
      <c r="N1809" s="3" t="s">
        <v>67</v>
      </c>
      <c r="O1809" s="3" t="s">
        <v>127</v>
      </c>
      <c r="P1809" s="2" t="str">
        <f aca="false">CONCATENATE(N1809," ",O1809)</f>
        <v>Pardosa lugubris</v>
      </c>
      <c r="Q1809" s="1" t="s">
        <v>30</v>
      </c>
      <c r="R1809" s="1" t="s">
        <v>35</v>
      </c>
      <c r="S1809" s="3" t="n">
        <v>0</v>
      </c>
      <c r="T1809" s="3" t="n">
        <v>2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f aca="false">SUM(S1809:T1809)</f>
        <v>2</v>
      </c>
      <c r="Z1809" s="3" t="n">
        <f aca="false">SUM(U1809:W1809)</f>
        <v>0</v>
      </c>
      <c r="AA1809" s="3" t="n">
        <f aca="false">SUM(S1809:X1809)</f>
        <v>2</v>
      </c>
      <c r="AB1809" s="11" t="n">
        <f aca="false">(AA1809/(K1809*L1809)*25)*4</f>
        <v>8</v>
      </c>
    </row>
    <row r="1810" customFormat="false" ht="14.25" hidden="false" customHeight="false" outlineLevel="0" collapsed="false">
      <c r="A1810" s="1" t="n">
        <v>2014</v>
      </c>
      <c r="B1810" s="7" t="s">
        <v>322</v>
      </c>
      <c r="C1810" s="7" t="n">
        <v>2</v>
      </c>
      <c r="D1810" s="7" t="s">
        <v>294</v>
      </c>
      <c r="E1810" s="7" t="s">
        <v>294</v>
      </c>
      <c r="F1810" s="3" t="s">
        <v>158</v>
      </c>
      <c r="G1810" s="3" t="n">
        <v>1</v>
      </c>
      <c r="H1810" s="3" t="n">
        <v>1</v>
      </c>
      <c r="I1810" s="22" t="n">
        <v>41793</v>
      </c>
      <c r="J1810" s="22" t="n">
        <v>41798</v>
      </c>
      <c r="K1810" s="43" t="n">
        <f aca="false">J1810-I1810</f>
        <v>5</v>
      </c>
      <c r="L1810" s="1" t="n">
        <v>5</v>
      </c>
      <c r="M1810" s="3" t="s">
        <v>48</v>
      </c>
      <c r="N1810" s="3" t="s">
        <v>49</v>
      </c>
      <c r="O1810" s="3" t="s">
        <v>104</v>
      </c>
      <c r="P1810" s="2" t="str">
        <f aca="false">CONCATENATE(N1810," ",O1810)</f>
        <v>Alopecosa taeniata</v>
      </c>
      <c r="Q1810" s="1" t="s">
        <v>30</v>
      </c>
      <c r="R1810" s="1" t="s">
        <v>31</v>
      </c>
      <c r="S1810" s="3" t="n">
        <v>3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f aca="false">SUM(S1810:T1810)</f>
        <v>3</v>
      </c>
      <c r="Z1810" s="3" t="n">
        <f aca="false">SUM(U1810:W1810)</f>
        <v>0</v>
      </c>
      <c r="AA1810" s="3" t="n">
        <f aca="false">SUM(S1810:X1810)</f>
        <v>3</v>
      </c>
      <c r="AB1810" s="11" t="n">
        <f aca="false">(AA1810/(K1810*L1810)*25)*4</f>
        <v>12</v>
      </c>
    </row>
    <row r="1811" customFormat="false" ht="14.25" hidden="false" customHeight="false" outlineLevel="0" collapsed="false">
      <c r="A1811" s="1" t="n">
        <v>2014</v>
      </c>
      <c r="B1811" s="7" t="s">
        <v>322</v>
      </c>
      <c r="C1811" s="7" t="n">
        <v>2</v>
      </c>
      <c r="D1811" s="7" t="s">
        <v>294</v>
      </c>
      <c r="E1811" s="7" t="s">
        <v>294</v>
      </c>
      <c r="F1811" s="3" t="s">
        <v>158</v>
      </c>
      <c r="G1811" s="3" t="n">
        <v>1</v>
      </c>
      <c r="H1811" s="3" t="n">
        <v>1</v>
      </c>
      <c r="I1811" s="22" t="n">
        <v>41793</v>
      </c>
      <c r="J1811" s="22" t="n">
        <v>41798</v>
      </c>
      <c r="K1811" s="43" t="n">
        <f aca="false">J1811-I1811</f>
        <v>5</v>
      </c>
      <c r="L1811" s="1" t="n">
        <v>5</v>
      </c>
      <c r="M1811" s="3" t="s">
        <v>48</v>
      </c>
      <c r="N1811" s="3" t="s">
        <v>49</v>
      </c>
      <c r="O1811" s="3" t="s">
        <v>104</v>
      </c>
      <c r="P1811" s="2" t="str">
        <f aca="false">CONCATENATE(N1811," ",O1811)</f>
        <v>Alopecosa taeniata</v>
      </c>
      <c r="Q1811" s="1" t="s">
        <v>30</v>
      </c>
      <c r="R1811" s="1" t="s">
        <v>35</v>
      </c>
      <c r="S1811" s="3" t="n">
        <v>0</v>
      </c>
      <c r="T1811" s="3" t="n">
        <v>2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f aca="false">SUM(S1811:T1811)</f>
        <v>2</v>
      </c>
      <c r="Z1811" s="3" t="n">
        <f aca="false">SUM(U1811:W1811)</f>
        <v>0</v>
      </c>
      <c r="AA1811" s="3" t="n">
        <f aca="false">SUM(S1811:X1811)</f>
        <v>2</v>
      </c>
      <c r="AB1811" s="11" t="n">
        <f aca="false">(AA1811/(K1811*L1811)*25)*4</f>
        <v>8</v>
      </c>
    </row>
    <row r="1812" customFormat="false" ht="14.25" hidden="false" customHeight="false" outlineLevel="0" collapsed="false">
      <c r="A1812" s="1" t="n">
        <v>2014</v>
      </c>
      <c r="B1812" s="7" t="s">
        <v>322</v>
      </c>
      <c r="C1812" s="7" t="n">
        <v>2</v>
      </c>
      <c r="D1812" s="7" t="s">
        <v>294</v>
      </c>
      <c r="E1812" s="7" t="s">
        <v>294</v>
      </c>
      <c r="F1812" s="3" t="s">
        <v>158</v>
      </c>
      <c r="G1812" s="3" t="n">
        <v>1</v>
      </c>
      <c r="H1812" s="3" t="n">
        <v>1</v>
      </c>
      <c r="I1812" s="22" t="n">
        <v>41793</v>
      </c>
      <c r="J1812" s="22" t="n">
        <v>41798</v>
      </c>
      <c r="K1812" s="43" t="n">
        <f aca="false">J1812-I1812</f>
        <v>5</v>
      </c>
      <c r="L1812" s="1" t="n">
        <v>5</v>
      </c>
      <c r="M1812" s="3" t="s">
        <v>32</v>
      </c>
      <c r="N1812" s="3" t="s">
        <v>55</v>
      </c>
      <c r="O1812" s="3" t="s">
        <v>56</v>
      </c>
      <c r="P1812" s="2" t="str">
        <f aca="false">CONCATENATE(N1812," ",O1812)</f>
        <v>Maro minutus</v>
      </c>
      <c r="Q1812" s="1" t="s">
        <v>30</v>
      </c>
      <c r="R1812" s="1" t="s">
        <v>31</v>
      </c>
      <c r="S1812" s="3" t="n">
        <v>1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f aca="false">SUM(S1812:T1812)</f>
        <v>1</v>
      </c>
      <c r="Z1812" s="3" t="n">
        <f aca="false">SUM(U1812:W1812)</f>
        <v>0</v>
      </c>
      <c r="AA1812" s="3" t="n">
        <f aca="false">SUM(S1812:X1812)</f>
        <v>1</v>
      </c>
      <c r="AB1812" s="11" t="n">
        <f aca="false">(AA1812/(K1812*L1812)*25)*4</f>
        <v>4</v>
      </c>
    </row>
    <row r="1813" customFormat="false" ht="14.25" hidden="false" customHeight="false" outlineLevel="0" collapsed="false">
      <c r="A1813" s="1" t="n">
        <v>2014</v>
      </c>
      <c r="B1813" s="7" t="s">
        <v>322</v>
      </c>
      <c r="C1813" s="7" t="n">
        <v>2</v>
      </c>
      <c r="D1813" s="7" t="s">
        <v>294</v>
      </c>
      <c r="E1813" s="7" t="s">
        <v>294</v>
      </c>
      <c r="F1813" s="3" t="s">
        <v>158</v>
      </c>
      <c r="G1813" s="3" t="n">
        <v>1</v>
      </c>
      <c r="H1813" s="3" t="n">
        <v>1</v>
      </c>
      <c r="I1813" s="22" t="n">
        <v>41793</v>
      </c>
      <c r="J1813" s="22" t="n">
        <v>41798</v>
      </c>
      <c r="K1813" s="43" t="n">
        <f aca="false">J1813-I1813</f>
        <v>5</v>
      </c>
      <c r="L1813" s="1" t="n">
        <v>5</v>
      </c>
      <c r="M1813" s="3" t="s">
        <v>32</v>
      </c>
      <c r="N1813" s="3" t="s">
        <v>169</v>
      </c>
      <c r="O1813" s="3" t="s">
        <v>170</v>
      </c>
      <c r="P1813" s="2" t="str">
        <f aca="false">CONCATENATE(N1813," ",O1813)</f>
        <v>Abacoproeces saltuum</v>
      </c>
      <c r="Q1813" s="1" t="s">
        <v>30</v>
      </c>
      <c r="R1813" s="1" t="s">
        <v>31</v>
      </c>
      <c r="S1813" s="3" t="n">
        <v>5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f aca="false">SUM(S1813:T1813)</f>
        <v>5</v>
      </c>
      <c r="Z1813" s="3" t="n">
        <f aca="false">SUM(U1813:W1813)</f>
        <v>0</v>
      </c>
      <c r="AA1813" s="3" t="n">
        <f aca="false">SUM(S1813:X1813)</f>
        <v>5</v>
      </c>
      <c r="AB1813" s="11" t="n">
        <f aca="false">(AA1813/(K1813*L1813)*25)*4</f>
        <v>20</v>
      </c>
    </row>
    <row r="1814" customFormat="false" ht="14.25" hidden="false" customHeight="false" outlineLevel="0" collapsed="false">
      <c r="A1814" s="1" t="n">
        <v>2014</v>
      </c>
      <c r="B1814" s="7" t="s">
        <v>322</v>
      </c>
      <c r="C1814" s="7" t="n">
        <v>2</v>
      </c>
      <c r="D1814" s="7" t="s">
        <v>294</v>
      </c>
      <c r="E1814" s="7" t="s">
        <v>294</v>
      </c>
      <c r="F1814" s="3" t="s">
        <v>158</v>
      </c>
      <c r="G1814" s="3" t="n">
        <v>1</v>
      </c>
      <c r="H1814" s="3" t="n">
        <v>1</v>
      </c>
      <c r="I1814" s="22" t="n">
        <v>41793</v>
      </c>
      <c r="J1814" s="22" t="n">
        <v>41798</v>
      </c>
      <c r="K1814" s="43" t="n">
        <f aca="false">J1814-I1814</f>
        <v>5</v>
      </c>
      <c r="L1814" s="1" t="n">
        <v>5</v>
      </c>
      <c r="M1814" s="3" t="s">
        <v>32</v>
      </c>
      <c r="N1814" s="3" t="s">
        <v>169</v>
      </c>
      <c r="O1814" s="3" t="s">
        <v>170</v>
      </c>
      <c r="P1814" s="2" t="str">
        <f aca="false">CONCATENATE(N1814," ",O1814)</f>
        <v>Abacoproeces saltuum</v>
      </c>
      <c r="Q1814" s="1" t="s">
        <v>30</v>
      </c>
      <c r="R1814" s="1" t="s">
        <v>35</v>
      </c>
      <c r="S1814" s="3" t="n">
        <v>0</v>
      </c>
      <c r="T1814" s="3" t="n">
        <v>2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f aca="false">SUM(S1814:T1814)</f>
        <v>2</v>
      </c>
      <c r="Z1814" s="3" t="n">
        <f aca="false">SUM(U1814:W1814)</f>
        <v>0</v>
      </c>
      <c r="AA1814" s="3" t="n">
        <f aca="false">SUM(S1814:X1814)</f>
        <v>2</v>
      </c>
      <c r="AB1814" s="11" t="n">
        <f aca="false">(AA1814/(K1814*L1814)*25)*4</f>
        <v>8</v>
      </c>
    </row>
    <row r="1815" customFormat="false" ht="14.25" hidden="false" customHeight="false" outlineLevel="0" collapsed="false">
      <c r="A1815" s="1" t="n">
        <v>2014</v>
      </c>
      <c r="B1815" s="7" t="s">
        <v>322</v>
      </c>
      <c r="C1815" s="7" t="n">
        <v>2</v>
      </c>
      <c r="D1815" s="7" t="s">
        <v>294</v>
      </c>
      <c r="E1815" s="7" t="s">
        <v>294</v>
      </c>
      <c r="F1815" s="3" t="s">
        <v>158</v>
      </c>
      <c r="G1815" s="3" t="n">
        <v>1</v>
      </c>
      <c r="H1815" s="3" t="n">
        <v>1</v>
      </c>
      <c r="I1815" s="22" t="n">
        <v>41793</v>
      </c>
      <c r="J1815" s="22" t="n">
        <v>41798</v>
      </c>
      <c r="K1815" s="43" t="n">
        <f aca="false">J1815-I1815</f>
        <v>5</v>
      </c>
      <c r="L1815" s="1" t="n">
        <v>5</v>
      </c>
      <c r="M1815" s="3" t="s">
        <v>32</v>
      </c>
      <c r="N1815" s="3" t="s">
        <v>159</v>
      </c>
      <c r="O1815" s="3" t="s">
        <v>160</v>
      </c>
      <c r="P1815" s="2" t="str">
        <f aca="false">CONCATENATE(N1815," ",O1815)</f>
        <v>Metopobactrus prominulus</v>
      </c>
      <c r="Q1815" s="1" t="s">
        <v>30</v>
      </c>
      <c r="R1815" s="1" t="s">
        <v>31</v>
      </c>
      <c r="S1815" s="3" t="n">
        <v>1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f aca="false">SUM(S1815:T1815)</f>
        <v>1</v>
      </c>
      <c r="Z1815" s="3" t="n">
        <f aca="false">SUM(U1815:W1815)</f>
        <v>0</v>
      </c>
      <c r="AA1815" s="3" t="n">
        <f aca="false">SUM(S1815:X1815)</f>
        <v>1</v>
      </c>
      <c r="AB1815" s="11" t="n">
        <f aca="false">(AA1815/(K1815*L1815)*25)*4</f>
        <v>4</v>
      </c>
    </row>
    <row r="1816" customFormat="false" ht="14.25" hidden="false" customHeight="false" outlineLevel="0" collapsed="false">
      <c r="A1816" s="1" t="n">
        <v>2014</v>
      </c>
      <c r="B1816" s="7" t="s">
        <v>322</v>
      </c>
      <c r="C1816" s="7" t="n">
        <v>2</v>
      </c>
      <c r="D1816" s="7" t="s">
        <v>294</v>
      </c>
      <c r="E1816" s="7" t="s">
        <v>294</v>
      </c>
      <c r="F1816" s="3" t="s">
        <v>158</v>
      </c>
      <c r="G1816" s="3" t="n">
        <v>2</v>
      </c>
      <c r="H1816" s="3" t="n">
        <v>9</v>
      </c>
      <c r="I1816" s="22" t="n">
        <v>41793</v>
      </c>
      <c r="J1816" s="22" t="n">
        <v>41798</v>
      </c>
      <c r="K1816" s="43" t="n">
        <f aca="false">J1816-I1816</f>
        <v>5</v>
      </c>
      <c r="L1816" s="1" t="n">
        <v>5</v>
      </c>
      <c r="M1816" s="3" t="s">
        <v>48</v>
      </c>
      <c r="N1816" s="3" t="s">
        <v>67</v>
      </c>
      <c r="O1816" s="3" t="s">
        <v>127</v>
      </c>
      <c r="P1816" s="2" t="str">
        <f aca="false">CONCATENATE(N1816," ",O1816)</f>
        <v>Pardosa lugubris</v>
      </c>
      <c r="Q1816" s="1" t="s">
        <v>30</v>
      </c>
      <c r="R1816" s="1" t="s">
        <v>31</v>
      </c>
      <c r="S1816" s="3" t="n">
        <v>11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f aca="false">SUM(S1816:T1816)</f>
        <v>11</v>
      </c>
      <c r="Z1816" s="3" t="n">
        <f aca="false">SUM(U1816:W1816)</f>
        <v>0</v>
      </c>
      <c r="AA1816" s="3" t="n">
        <f aca="false">SUM(S1816:X1816)</f>
        <v>11</v>
      </c>
      <c r="AB1816" s="11" t="n">
        <f aca="false">(AA1816/(K1816*L1816)*25)*4</f>
        <v>44</v>
      </c>
    </row>
    <row r="1817" customFormat="false" ht="14.25" hidden="false" customHeight="false" outlineLevel="0" collapsed="false">
      <c r="A1817" s="1" t="n">
        <v>2014</v>
      </c>
      <c r="B1817" s="7" t="s">
        <v>322</v>
      </c>
      <c r="C1817" s="7" t="n">
        <v>2</v>
      </c>
      <c r="D1817" s="7" t="s">
        <v>294</v>
      </c>
      <c r="E1817" s="7" t="s">
        <v>294</v>
      </c>
      <c r="F1817" s="3" t="s">
        <v>158</v>
      </c>
      <c r="G1817" s="3" t="n">
        <v>2</v>
      </c>
      <c r="H1817" s="3" t="n">
        <v>9</v>
      </c>
      <c r="I1817" s="22" t="n">
        <v>41793</v>
      </c>
      <c r="J1817" s="22" t="n">
        <v>41798</v>
      </c>
      <c r="K1817" s="43" t="n">
        <f aca="false">J1817-I1817</f>
        <v>5</v>
      </c>
      <c r="L1817" s="1" t="n">
        <v>5</v>
      </c>
      <c r="M1817" s="3" t="s">
        <v>48</v>
      </c>
      <c r="N1817" s="3" t="s">
        <v>67</v>
      </c>
      <c r="O1817" s="3" t="s">
        <v>127</v>
      </c>
      <c r="P1817" s="2" t="str">
        <f aca="false">CONCATENATE(N1817," ",O1817)</f>
        <v>Pardosa lugubris</v>
      </c>
      <c r="Q1817" s="1" t="s">
        <v>30</v>
      </c>
      <c r="R1817" s="1" t="s">
        <v>35</v>
      </c>
      <c r="S1817" s="3" t="n">
        <v>0</v>
      </c>
      <c r="T1817" s="3" t="n">
        <v>2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f aca="false">SUM(S1817:T1817)</f>
        <v>2</v>
      </c>
      <c r="Z1817" s="3" t="n">
        <f aca="false">SUM(U1817:W1817)</f>
        <v>0</v>
      </c>
      <c r="AA1817" s="3" t="n">
        <f aca="false">SUM(S1817:X1817)</f>
        <v>2</v>
      </c>
      <c r="AB1817" s="11" t="n">
        <f aca="false">(AA1817/(K1817*L1817)*25)*4</f>
        <v>8</v>
      </c>
    </row>
    <row r="1818" customFormat="false" ht="14.25" hidden="false" customHeight="false" outlineLevel="0" collapsed="false">
      <c r="A1818" s="1" t="n">
        <v>2014</v>
      </c>
      <c r="B1818" s="7" t="s">
        <v>322</v>
      </c>
      <c r="C1818" s="7" t="n">
        <v>2</v>
      </c>
      <c r="D1818" s="7" t="s">
        <v>294</v>
      </c>
      <c r="E1818" s="7" t="s">
        <v>294</v>
      </c>
      <c r="F1818" s="3" t="s">
        <v>158</v>
      </c>
      <c r="G1818" s="3" t="n">
        <v>2</v>
      </c>
      <c r="H1818" s="3" t="n">
        <v>9</v>
      </c>
      <c r="I1818" s="22" t="n">
        <v>41793</v>
      </c>
      <c r="J1818" s="22" t="n">
        <v>41798</v>
      </c>
      <c r="K1818" s="43" t="n">
        <f aca="false">J1818-I1818</f>
        <v>5</v>
      </c>
      <c r="L1818" s="1" t="n">
        <v>5</v>
      </c>
      <c r="M1818" s="3" t="s">
        <v>72</v>
      </c>
      <c r="N1818" s="3" t="s">
        <v>73</v>
      </c>
      <c r="O1818" s="3" t="s">
        <v>74</v>
      </c>
      <c r="P1818" s="2" t="str">
        <f aca="false">CONCATENATE(N1818," ",O1818)</f>
        <v>Zelotes subterraneus</v>
      </c>
      <c r="Q1818" s="1" t="s">
        <v>30</v>
      </c>
      <c r="R1818" s="1" t="s">
        <v>31</v>
      </c>
      <c r="S1818" s="3" t="n">
        <v>1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f aca="false">SUM(S1818:T1818)</f>
        <v>1</v>
      </c>
      <c r="Z1818" s="3" t="n">
        <f aca="false">SUM(U1818:W1818)</f>
        <v>0</v>
      </c>
      <c r="AA1818" s="3" t="n">
        <f aca="false">SUM(S1818:X1818)</f>
        <v>1</v>
      </c>
      <c r="AB1818" s="11" t="n">
        <f aca="false">(AA1818/(K1818*L1818)*25)*4</f>
        <v>4</v>
      </c>
    </row>
    <row r="1819" customFormat="false" ht="14.25" hidden="false" customHeight="false" outlineLevel="0" collapsed="false">
      <c r="A1819" s="1" t="n">
        <v>2014</v>
      </c>
      <c r="B1819" s="7" t="s">
        <v>322</v>
      </c>
      <c r="C1819" s="7" t="n">
        <v>2</v>
      </c>
      <c r="D1819" s="7" t="s">
        <v>294</v>
      </c>
      <c r="E1819" s="7" t="s">
        <v>294</v>
      </c>
      <c r="F1819" s="3" t="s">
        <v>158</v>
      </c>
      <c r="G1819" s="3" t="n">
        <v>2</v>
      </c>
      <c r="H1819" s="3" t="n">
        <v>9</v>
      </c>
      <c r="I1819" s="22" t="n">
        <v>41793</v>
      </c>
      <c r="J1819" s="22" t="n">
        <v>41798</v>
      </c>
      <c r="K1819" s="43" t="n">
        <f aca="false">J1819-I1819</f>
        <v>5</v>
      </c>
      <c r="L1819" s="1" t="n">
        <v>5</v>
      </c>
      <c r="M1819" s="3" t="s">
        <v>226</v>
      </c>
      <c r="N1819" s="3" t="s">
        <v>65</v>
      </c>
      <c r="O1819" s="3" t="s">
        <v>123</v>
      </c>
      <c r="P1819" s="2" t="str">
        <f aca="false">CONCATENATE(N1819," ",O1819)</f>
        <v>Zora nemoralis</v>
      </c>
      <c r="Q1819" s="1" t="s">
        <v>30</v>
      </c>
      <c r="R1819" s="1" t="s">
        <v>31</v>
      </c>
      <c r="S1819" s="3" t="n">
        <v>1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f aca="false">SUM(S1819:T1819)</f>
        <v>1</v>
      </c>
      <c r="Z1819" s="3" t="n">
        <f aca="false">SUM(U1819:W1819)</f>
        <v>0</v>
      </c>
      <c r="AA1819" s="3" t="n">
        <f aca="false">SUM(S1819:X1819)</f>
        <v>1</v>
      </c>
      <c r="AB1819" s="11" t="n">
        <f aca="false">(AA1819/(K1819*L1819)*25)*4</f>
        <v>4</v>
      </c>
    </row>
    <row r="1820" customFormat="false" ht="14.25" hidden="false" customHeight="false" outlineLevel="0" collapsed="false">
      <c r="A1820" s="1" t="n">
        <v>2014</v>
      </c>
      <c r="B1820" s="7" t="s">
        <v>322</v>
      </c>
      <c r="C1820" s="7" t="n">
        <v>2</v>
      </c>
      <c r="D1820" s="7" t="s">
        <v>294</v>
      </c>
      <c r="E1820" s="7" t="s">
        <v>294</v>
      </c>
      <c r="F1820" s="3" t="s">
        <v>158</v>
      </c>
      <c r="G1820" s="3" t="n">
        <v>2</v>
      </c>
      <c r="H1820" s="3" t="n">
        <v>9</v>
      </c>
      <c r="I1820" s="22" t="n">
        <v>41793</v>
      </c>
      <c r="J1820" s="22" t="n">
        <v>41798</v>
      </c>
      <c r="K1820" s="43" t="n">
        <f aca="false">J1820-I1820</f>
        <v>5</v>
      </c>
      <c r="L1820" s="1" t="n">
        <v>5</v>
      </c>
      <c r="M1820" s="3" t="s">
        <v>32</v>
      </c>
      <c r="N1820" s="3" t="s">
        <v>96</v>
      </c>
      <c r="O1820" s="3" t="s">
        <v>97</v>
      </c>
      <c r="P1820" s="2" t="str">
        <f aca="false">CONCATENATE(N1820," ",O1820)</f>
        <v>Diplocephalus picinus</v>
      </c>
      <c r="Q1820" s="1" t="s">
        <v>30</v>
      </c>
      <c r="R1820" s="1" t="s">
        <v>31</v>
      </c>
      <c r="S1820" s="3" t="n">
        <v>1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f aca="false">SUM(S1820:T1820)</f>
        <v>1</v>
      </c>
      <c r="Z1820" s="3" t="n">
        <f aca="false">SUM(U1820:W1820)</f>
        <v>0</v>
      </c>
      <c r="AA1820" s="3" t="n">
        <f aca="false">SUM(S1820:X1820)</f>
        <v>1</v>
      </c>
      <c r="AB1820" s="11" t="n">
        <f aca="false">(AA1820/(K1820*L1820)*25)*4</f>
        <v>4</v>
      </c>
    </row>
    <row r="1821" customFormat="false" ht="14.25" hidden="false" customHeight="false" outlineLevel="0" collapsed="false">
      <c r="A1821" s="1" t="n">
        <v>2014</v>
      </c>
      <c r="B1821" s="7" t="s">
        <v>322</v>
      </c>
      <c r="C1821" s="7" t="n">
        <v>2</v>
      </c>
      <c r="D1821" s="7" t="s">
        <v>294</v>
      </c>
      <c r="E1821" s="7" t="s">
        <v>294</v>
      </c>
      <c r="F1821" s="3" t="s">
        <v>158</v>
      </c>
      <c r="G1821" s="3" t="n">
        <v>2</v>
      </c>
      <c r="H1821" s="3" t="n">
        <v>9</v>
      </c>
      <c r="I1821" s="22" t="n">
        <v>41793</v>
      </c>
      <c r="J1821" s="22" t="n">
        <v>41798</v>
      </c>
      <c r="K1821" s="43" t="n">
        <f aca="false">J1821-I1821</f>
        <v>5</v>
      </c>
      <c r="L1821" s="1" t="n">
        <v>5</v>
      </c>
      <c r="M1821" s="3" t="s">
        <v>32</v>
      </c>
      <c r="N1821" s="3" t="s">
        <v>169</v>
      </c>
      <c r="O1821" s="3" t="s">
        <v>170</v>
      </c>
      <c r="P1821" s="2" t="str">
        <f aca="false">CONCATENATE(N1821," ",O1821)</f>
        <v>Abacoproeces saltuum</v>
      </c>
      <c r="Q1821" s="1" t="s">
        <v>30</v>
      </c>
      <c r="R1821" s="1" t="s">
        <v>31</v>
      </c>
      <c r="S1821" s="3" t="n">
        <v>1</v>
      </c>
      <c r="T1821" s="3" t="n">
        <v>0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f aca="false">SUM(S1821:T1821)</f>
        <v>1</v>
      </c>
      <c r="Z1821" s="3" t="n">
        <f aca="false">SUM(U1821:W1821)</f>
        <v>0</v>
      </c>
      <c r="AA1821" s="3" t="n">
        <f aca="false">SUM(S1821:X1821)</f>
        <v>1</v>
      </c>
      <c r="AB1821" s="11" t="n">
        <f aca="false">(AA1821/(K1821*L1821)*25)*4</f>
        <v>4</v>
      </c>
    </row>
    <row r="1822" customFormat="false" ht="14.25" hidden="false" customHeight="false" outlineLevel="0" collapsed="false">
      <c r="A1822" s="1" t="n">
        <v>2014</v>
      </c>
      <c r="B1822" s="7" t="s">
        <v>322</v>
      </c>
      <c r="C1822" s="7" t="n">
        <v>2</v>
      </c>
      <c r="D1822" s="7" t="s">
        <v>294</v>
      </c>
      <c r="E1822" s="7" t="s">
        <v>294</v>
      </c>
      <c r="F1822" s="3" t="s">
        <v>158</v>
      </c>
      <c r="G1822" s="3" t="n">
        <v>2</v>
      </c>
      <c r="H1822" s="3" t="n">
        <v>9</v>
      </c>
      <c r="I1822" s="22" t="n">
        <v>41793</v>
      </c>
      <c r="J1822" s="22" t="n">
        <v>41798</v>
      </c>
      <c r="K1822" s="43" t="n">
        <f aca="false">J1822-I1822</f>
        <v>5</v>
      </c>
      <c r="L1822" s="1" t="n">
        <v>5</v>
      </c>
      <c r="M1822" s="3" t="s">
        <v>32</v>
      </c>
      <c r="N1822" s="3" t="s">
        <v>169</v>
      </c>
      <c r="O1822" s="3" t="s">
        <v>170</v>
      </c>
      <c r="P1822" s="2" t="str">
        <f aca="false">CONCATENATE(N1822," ",O1822)</f>
        <v>Abacoproeces saltuum</v>
      </c>
      <c r="Q1822" s="1" t="s">
        <v>30</v>
      </c>
      <c r="R1822" s="1" t="s">
        <v>35</v>
      </c>
      <c r="S1822" s="3" t="n">
        <v>0</v>
      </c>
      <c r="T1822" s="3" t="n">
        <v>1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f aca="false">SUM(S1822:T1822)</f>
        <v>1</v>
      </c>
      <c r="Z1822" s="3" t="n">
        <f aca="false">SUM(U1822:W1822)</f>
        <v>0</v>
      </c>
      <c r="AA1822" s="3" t="n">
        <f aca="false">SUM(S1822:X1822)</f>
        <v>1</v>
      </c>
      <c r="AB1822" s="11" t="n">
        <f aca="false">(AA1822/(K1822*L1822)*25)*4</f>
        <v>4</v>
      </c>
    </row>
    <row r="1823" customFormat="false" ht="14.25" hidden="false" customHeight="false" outlineLevel="0" collapsed="false">
      <c r="A1823" s="1" t="n">
        <v>2014</v>
      </c>
      <c r="B1823" s="7" t="s">
        <v>322</v>
      </c>
      <c r="C1823" s="7" t="n">
        <v>2</v>
      </c>
      <c r="D1823" s="7" t="s">
        <v>294</v>
      </c>
      <c r="E1823" s="7" t="s">
        <v>294</v>
      </c>
      <c r="F1823" s="3" t="s">
        <v>158</v>
      </c>
      <c r="G1823" s="3" t="n">
        <v>3</v>
      </c>
      <c r="H1823" s="3" t="n">
        <v>11</v>
      </c>
      <c r="I1823" s="22" t="n">
        <v>41793</v>
      </c>
      <c r="J1823" s="22" t="n">
        <v>41798</v>
      </c>
      <c r="K1823" s="43" t="n">
        <f aca="false">J1823-I1823</f>
        <v>5</v>
      </c>
      <c r="L1823" s="1" t="n">
        <v>5</v>
      </c>
      <c r="M1823" s="3" t="s">
        <v>135</v>
      </c>
      <c r="N1823" s="3" t="s">
        <v>136</v>
      </c>
      <c r="O1823" s="3" t="s">
        <v>137</v>
      </c>
      <c r="P1823" s="2" t="str">
        <f aca="false">CONCATENATE(N1823," ",O1823)</f>
        <v>Thanatus sabulosus</v>
      </c>
      <c r="Q1823" s="1" t="s">
        <v>30</v>
      </c>
      <c r="R1823" s="1" t="s">
        <v>31</v>
      </c>
      <c r="S1823" s="3" t="n">
        <v>1</v>
      </c>
      <c r="T1823" s="3" t="n">
        <v>0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f aca="false">SUM(S1823:T1823)</f>
        <v>1</v>
      </c>
      <c r="Z1823" s="3" t="n">
        <f aca="false">SUM(U1823:W1823)</f>
        <v>0</v>
      </c>
      <c r="AA1823" s="3" t="n">
        <f aca="false">SUM(S1823:X1823)</f>
        <v>1</v>
      </c>
      <c r="AB1823" s="11" t="n">
        <f aca="false">(AA1823/(K1823*L1823)*25)*4</f>
        <v>4</v>
      </c>
    </row>
    <row r="1824" customFormat="false" ht="14.25" hidden="false" customHeight="false" outlineLevel="0" collapsed="false">
      <c r="A1824" s="1" t="n">
        <v>2014</v>
      </c>
      <c r="B1824" s="7" t="s">
        <v>322</v>
      </c>
      <c r="C1824" s="7" t="n">
        <v>2</v>
      </c>
      <c r="D1824" s="7" t="s">
        <v>294</v>
      </c>
      <c r="E1824" s="7" t="s">
        <v>294</v>
      </c>
      <c r="F1824" s="3" t="s">
        <v>158</v>
      </c>
      <c r="G1824" s="3" t="n">
        <v>3</v>
      </c>
      <c r="H1824" s="3" t="n">
        <v>11</v>
      </c>
      <c r="I1824" s="22" t="n">
        <v>41793</v>
      </c>
      <c r="J1824" s="22" t="n">
        <v>41798</v>
      </c>
      <c r="K1824" s="43" t="n">
        <f aca="false">J1824-I1824</f>
        <v>5</v>
      </c>
      <c r="L1824" s="1" t="n">
        <v>5</v>
      </c>
      <c r="M1824" s="3" t="s">
        <v>48</v>
      </c>
      <c r="N1824" s="3" t="s">
        <v>67</v>
      </c>
      <c r="O1824" s="3" t="s">
        <v>127</v>
      </c>
      <c r="P1824" s="2" t="str">
        <f aca="false">CONCATENATE(N1824," ",O1824)</f>
        <v>Pardosa lugubris</v>
      </c>
      <c r="Q1824" s="1" t="s">
        <v>30</v>
      </c>
      <c r="R1824" s="1" t="s">
        <v>31</v>
      </c>
      <c r="S1824" s="3" t="n">
        <v>15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f aca="false">SUM(S1824:T1824)</f>
        <v>15</v>
      </c>
      <c r="Z1824" s="3" t="n">
        <f aca="false">SUM(U1824:W1824)</f>
        <v>0</v>
      </c>
      <c r="AA1824" s="3" t="n">
        <f aca="false">SUM(S1824:X1824)</f>
        <v>15</v>
      </c>
      <c r="AB1824" s="11" t="n">
        <f aca="false">(AA1824/(K1824*L1824)*25)*4</f>
        <v>60</v>
      </c>
    </row>
    <row r="1825" customFormat="false" ht="14.25" hidden="false" customHeight="false" outlineLevel="0" collapsed="false">
      <c r="A1825" s="1" t="n">
        <v>2014</v>
      </c>
      <c r="B1825" s="7" t="s">
        <v>322</v>
      </c>
      <c r="C1825" s="7" t="n">
        <v>2</v>
      </c>
      <c r="D1825" s="7" t="s">
        <v>294</v>
      </c>
      <c r="E1825" s="7" t="s">
        <v>294</v>
      </c>
      <c r="F1825" s="3" t="s">
        <v>158</v>
      </c>
      <c r="G1825" s="3" t="n">
        <v>3</v>
      </c>
      <c r="H1825" s="3" t="n">
        <v>11</v>
      </c>
      <c r="I1825" s="22" t="n">
        <v>41793</v>
      </c>
      <c r="J1825" s="22" t="n">
        <v>41798</v>
      </c>
      <c r="K1825" s="43" t="n">
        <f aca="false">J1825-I1825</f>
        <v>5</v>
      </c>
      <c r="L1825" s="1" t="n">
        <v>5</v>
      </c>
      <c r="M1825" s="3" t="s">
        <v>48</v>
      </c>
      <c r="N1825" s="3" t="s">
        <v>67</v>
      </c>
      <c r="O1825" s="3" t="s">
        <v>127</v>
      </c>
      <c r="P1825" s="2" t="str">
        <f aca="false">CONCATENATE(N1825," ",O1825)</f>
        <v>Pardosa lugubris</v>
      </c>
      <c r="Q1825" s="1" t="s">
        <v>30</v>
      </c>
      <c r="R1825" s="1" t="s">
        <v>35</v>
      </c>
      <c r="S1825" s="3" t="n">
        <v>0</v>
      </c>
      <c r="T1825" s="3" t="n">
        <v>2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f aca="false">SUM(S1825:T1825)</f>
        <v>2</v>
      </c>
      <c r="Z1825" s="3" t="n">
        <f aca="false">SUM(U1825:W1825)</f>
        <v>0</v>
      </c>
      <c r="AA1825" s="3" t="n">
        <f aca="false">SUM(S1825:X1825)</f>
        <v>2</v>
      </c>
      <c r="AB1825" s="11" t="n">
        <f aca="false">(AA1825/(K1825*L1825)*25)*4</f>
        <v>8</v>
      </c>
    </row>
    <row r="1826" customFormat="false" ht="14.25" hidden="false" customHeight="false" outlineLevel="0" collapsed="false">
      <c r="A1826" s="1" t="n">
        <v>2014</v>
      </c>
      <c r="B1826" s="7" t="s">
        <v>322</v>
      </c>
      <c r="C1826" s="7" t="n">
        <v>2</v>
      </c>
      <c r="D1826" s="7" t="s">
        <v>294</v>
      </c>
      <c r="E1826" s="7" t="s">
        <v>294</v>
      </c>
      <c r="F1826" s="3" t="s">
        <v>158</v>
      </c>
      <c r="G1826" s="3" t="n">
        <v>3</v>
      </c>
      <c r="H1826" s="3" t="n">
        <v>11</v>
      </c>
      <c r="I1826" s="22" t="n">
        <v>41793</v>
      </c>
      <c r="J1826" s="22" t="n">
        <v>41798</v>
      </c>
      <c r="K1826" s="43" t="n">
        <f aca="false">J1826-I1826</f>
        <v>5</v>
      </c>
      <c r="L1826" s="1" t="n">
        <v>5</v>
      </c>
      <c r="M1826" s="3" t="s">
        <v>48</v>
      </c>
      <c r="N1826" s="3" t="s">
        <v>49</v>
      </c>
      <c r="O1826" s="3" t="s">
        <v>119</v>
      </c>
      <c r="P1826" s="2" t="str">
        <f aca="false">CONCATENATE(N1826," ",O1826)</f>
        <v>Alopecosa sulzeri</v>
      </c>
      <c r="Q1826" s="1" t="s">
        <v>30</v>
      </c>
      <c r="R1826" s="1" t="s">
        <v>31</v>
      </c>
      <c r="S1826" s="3" t="n">
        <v>1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f aca="false">SUM(S1826:T1826)</f>
        <v>1</v>
      </c>
      <c r="Z1826" s="3" t="n">
        <f aca="false">SUM(U1826:W1826)</f>
        <v>0</v>
      </c>
      <c r="AA1826" s="3" t="n">
        <f aca="false">SUM(S1826:X1826)</f>
        <v>1</v>
      </c>
      <c r="AB1826" s="11" t="n">
        <f aca="false">(AA1826/(K1826*L1826)*25)*4</f>
        <v>4</v>
      </c>
    </row>
    <row r="1827" customFormat="false" ht="14.25" hidden="false" customHeight="false" outlineLevel="0" collapsed="false">
      <c r="A1827" s="1" t="n">
        <v>2014</v>
      </c>
      <c r="B1827" s="7" t="s">
        <v>322</v>
      </c>
      <c r="C1827" s="7" t="n">
        <v>2</v>
      </c>
      <c r="D1827" s="7" t="s">
        <v>294</v>
      </c>
      <c r="E1827" s="7" t="s">
        <v>294</v>
      </c>
      <c r="F1827" s="3" t="s">
        <v>158</v>
      </c>
      <c r="G1827" s="3" t="n">
        <v>3</v>
      </c>
      <c r="H1827" s="3" t="n">
        <v>11</v>
      </c>
      <c r="I1827" s="22" t="n">
        <v>41793</v>
      </c>
      <c r="J1827" s="22" t="n">
        <v>41798</v>
      </c>
      <c r="K1827" s="43" t="n">
        <f aca="false">J1827-I1827</f>
        <v>5</v>
      </c>
      <c r="L1827" s="1" t="n">
        <v>5</v>
      </c>
      <c r="M1827" s="3" t="s">
        <v>48</v>
      </c>
      <c r="N1827" s="3" t="s">
        <v>49</v>
      </c>
      <c r="O1827" s="3" t="s">
        <v>104</v>
      </c>
      <c r="P1827" s="2" t="str">
        <f aca="false">CONCATENATE(N1827," ",O1827)</f>
        <v>Alopecosa taeniata</v>
      </c>
      <c r="Q1827" s="1" t="s">
        <v>30</v>
      </c>
      <c r="R1827" s="1" t="s">
        <v>31</v>
      </c>
      <c r="S1827" s="3" t="n">
        <v>1</v>
      </c>
      <c r="T1827" s="3" t="n">
        <v>0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f aca="false">SUM(S1827:T1827)</f>
        <v>1</v>
      </c>
      <c r="Z1827" s="3" t="n">
        <f aca="false">SUM(U1827:W1827)</f>
        <v>0</v>
      </c>
      <c r="AA1827" s="3" t="n">
        <f aca="false">SUM(S1827:X1827)</f>
        <v>1</v>
      </c>
      <c r="AB1827" s="11" t="n">
        <f aca="false">(AA1827/(K1827*L1827)*25)*4</f>
        <v>4</v>
      </c>
    </row>
    <row r="1828" customFormat="false" ht="14.25" hidden="false" customHeight="false" outlineLevel="0" collapsed="false">
      <c r="A1828" s="1" t="n">
        <v>2014</v>
      </c>
      <c r="B1828" s="7" t="s">
        <v>322</v>
      </c>
      <c r="C1828" s="7" t="n">
        <v>2</v>
      </c>
      <c r="D1828" s="7" t="s">
        <v>294</v>
      </c>
      <c r="E1828" s="7" t="s">
        <v>294</v>
      </c>
      <c r="F1828" s="3" t="s">
        <v>158</v>
      </c>
      <c r="G1828" s="3" t="n">
        <v>3</v>
      </c>
      <c r="H1828" s="3" t="n">
        <v>11</v>
      </c>
      <c r="I1828" s="22" t="n">
        <v>41793</v>
      </c>
      <c r="J1828" s="22" t="n">
        <v>41798</v>
      </c>
      <c r="K1828" s="43" t="n">
        <f aca="false">J1828-I1828</f>
        <v>5</v>
      </c>
      <c r="L1828" s="1" t="n">
        <v>5</v>
      </c>
      <c r="M1828" s="3" t="s">
        <v>36</v>
      </c>
      <c r="N1828" s="3" t="s">
        <v>131</v>
      </c>
      <c r="O1828" s="3" t="s">
        <v>229</v>
      </c>
      <c r="P1828" s="2" t="str">
        <f aca="false">CONCATENATE(N1828," ",O1828)</f>
        <v>Xysticus emertoni</v>
      </c>
      <c r="Q1828" s="1" t="s">
        <v>30</v>
      </c>
      <c r="R1828" s="1" t="s">
        <v>31</v>
      </c>
      <c r="S1828" s="3" t="n">
        <v>1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f aca="false">SUM(S1828:T1828)</f>
        <v>1</v>
      </c>
      <c r="Z1828" s="3" t="n">
        <f aca="false">SUM(U1828:W1828)</f>
        <v>0</v>
      </c>
      <c r="AA1828" s="3" t="n">
        <f aca="false">SUM(S1828:X1828)</f>
        <v>1</v>
      </c>
      <c r="AB1828" s="11" t="n">
        <f aca="false">(AA1828/(K1828*L1828)*25)*4</f>
        <v>4</v>
      </c>
    </row>
    <row r="1829" customFormat="false" ht="14.25" hidden="false" customHeight="false" outlineLevel="0" collapsed="false">
      <c r="A1829" s="1" t="n">
        <v>2014</v>
      </c>
      <c r="B1829" s="7" t="s">
        <v>322</v>
      </c>
      <c r="C1829" s="7" t="n">
        <v>2</v>
      </c>
      <c r="D1829" s="7" t="s">
        <v>294</v>
      </c>
      <c r="E1829" s="7" t="s">
        <v>294</v>
      </c>
      <c r="F1829" s="3" t="s">
        <v>158</v>
      </c>
      <c r="G1829" s="3" t="n">
        <v>3</v>
      </c>
      <c r="H1829" s="3" t="n">
        <v>11</v>
      </c>
      <c r="I1829" s="22" t="n">
        <v>41793</v>
      </c>
      <c r="J1829" s="22" t="n">
        <v>41798</v>
      </c>
      <c r="K1829" s="43" t="n">
        <f aca="false">J1829-I1829</f>
        <v>5</v>
      </c>
      <c r="L1829" s="1" t="n">
        <v>5</v>
      </c>
      <c r="M1829" s="3" t="s">
        <v>36</v>
      </c>
      <c r="N1829" s="3" t="s">
        <v>131</v>
      </c>
      <c r="O1829" s="3" t="s">
        <v>133</v>
      </c>
      <c r="P1829" s="2" t="str">
        <f aca="false">CONCATENATE(N1829," ",O1829)</f>
        <v>Xysticus luctuosus</v>
      </c>
      <c r="Q1829" s="1" t="s">
        <v>30</v>
      </c>
      <c r="R1829" s="1" t="s">
        <v>31</v>
      </c>
      <c r="S1829" s="3" t="n">
        <v>1</v>
      </c>
      <c r="T1829" s="3" t="n">
        <v>0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f aca="false">SUM(S1829:T1829)</f>
        <v>1</v>
      </c>
      <c r="Z1829" s="3" t="n">
        <f aca="false">SUM(U1829:W1829)</f>
        <v>0</v>
      </c>
      <c r="AA1829" s="3" t="n">
        <f aca="false">SUM(S1829:X1829)</f>
        <v>1</v>
      </c>
      <c r="AB1829" s="11" t="n">
        <f aca="false">(AA1829/(K1829*L1829)*25)*4</f>
        <v>4</v>
      </c>
    </row>
    <row r="1830" customFormat="false" ht="14.25" hidden="false" customHeight="false" outlineLevel="0" collapsed="false">
      <c r="A1830" s="1" t="n">
        <v>2014</v>
      </c>
      <c r="B1830" s="7" t="s">
        <v>322</v>
      </c>
      <c r="C1830" s="7" t="n">
        <v>2</v>
      </c>
      <c r="D1830" s="7" t="s">
        <v>294</v>
      </c>
      <c r="E1830" s="7" t="s">
        <v>294</v>
      </c>
      <c r="F1830" s="3" t="s">
        <v>158</v>
      </c>
      <c r="G1830" s="3" t="n">
        <v>3</v>
      </c>
      <c r="H1830" s="3" t="n">
        <v>11</v>
      </c>
      <c r="I1830" s="22" t="n">
        <v>41793</v>
      </c>
      <c r="J1830" s="22" t="n">
        <v>41798</v>
      </c>
      <c r="K1830" s="43" t="n">
        <f aca="false">J1830-I1830</f>
        <v>5</v>
      </c>
      <c r="L1830" s="1" t="n">
        <v>5</v>
      </c>
      <c r="M1830" s="3" t="s">
        <v>72</v>
      </c>
      <c r="N1830" s="3" t="s">
        <v>86</v>
      </c>
      <c r="O1830" s="3" t="s">
        <v>87</v>
      </c>
      <c r="P1830" s="2" t="str">
        <f aca="false">CONCATENATE(N1830," ",O1830)</f>
        <v>Haplodrassus soerenseni</v>
      </c>
      <c r="Q1830" s="1" t="s">
        <v>30</v>
      </c>
      <c r="R1830" s="1" t="s">
        <v>35</v>
      </c>
      <c r="S1830" s="3" t="n">
        <v>0</v>
      </c>
      <c r="T1830" s="3" t="n">
        <v>1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f aca="false">SUM(S1830:T1830)</f>
        <v>1</v>
      </c>
      <c r="Z1830" s="3" t="n">
        <f aca="false">SUM(U1830:W1830)</f>
        <v>0</v>
      </c>
      <c r="AA1830" s="3" t="n">
        <f aca="false">SUM(S1830:X1830)</f>
        <v>1</v>
      </c>
      <c r="AB1830" s="11" t="n">
        <f aca="false">(AA1830/(K1830*L1830)*25)*4</f>
        <v>4</v>
      </c>
    </row>
    <row r="1831" customFormat="false" ht="14.25" hidden="false" customHeight="false" outlineLevel="0" collapsed="false">
      <c r="A1831" s="1" t="n">
        <v>2014</v>
      </c>
      <c r="B1831" s="7" t="s">
        <v>322</v>
      </c>
      <c r="C1831" s="7" t="n">
        <v>2</v>
      </c>
      <c r="D1831" s="7" t="s">
        <v>294</v>
      </c>
      <c r="E1831" s="7" t="s">
        <v>294</v>
      </c>
      <c r="F1831" s="3" t="s">
        <v>158</v>
      </c>
      <c r="G1831" s="3" t="n">
        <v>3</v>
      </c>
      <c r="H1831" s="3" t="n">
        <v>11</v>
      </c>
      <c r="I1831" s="22" t="n">
        <v>41793</v>
      </c>
      <c r="J1831" s="22" t="n">
        <v>41798</v>
      </c>
      <c r="K1831" s="43" t="n">
        <f aca="false">J1831-I1831</f>
        <v>5</v>
      </c>
      <c r="L1831" s="1" t="n">
        <v>5</v>
      </c>
      <c r="M1831" s="3" t="s">
        <v>32</v>
      </c>
      <c r="N1831" s="3" t="s">
        <v>169</v>
      </c>
      <c r="O1831" s="3" t="s">
        <v>170</v>
      </c>
      <c r="P1831" s="2" t="str">
        <f aca="false">CONCATENATE(N1831," ",O1831)</f>
        <v>Abacoproeces saltuum</v>
      </c>
      <c r="Q1831" s="1" t="s">
        <v>30</v>
      </c>
      <c r="R1831" s="1" t="s">
        <v>31</v>
      </c>
      <c r="S1831" s="3" t="n">
        <v>2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f aca="false">SUM(S1831:T1831)</f>
        <v>2</v>
      </c>
      <c r="Z1831" s="3" t="n">
        <f aca="false">SUM(U1831:W1831)</f>
        <v>0</v>
      </c>
      <c r="AA1831" s="3" t="n">
        <f aca="false">SUM(S1831:X1831)</f>
        <v>2</v>
      </c>
      <c r="AB1831" s="11" t="n">
        <f aca="false">(AA1831/(K1831*L1831)*25)*4</f>
        <v>8</v>
      </c>
    </row>
    <row r="1832" customFormat="false" ht="14.25" hidden="false" customHeight="false" outlineLevel="0" collapsed="false">
      <c r="A1832" s="1" t="n">
        <v>2014</v>
      </c>
      <c r="B1832" s="7" t="s">
        <v>322</v>
      </c>
      <c r="C1832" s="7" t="n">
        <v>2</v>
      </c>
      <c r="D1832" s="7" t="s">
        <v>294</v>
      </c>
      <c r="E1832" s="7" t="s">
        <v>294</v>
      </c>
      <c r="F1832" s="3" t="s">
        <v>158</v>
      </c>
      <c r="G1832" s="3" t="n">
        <v>3</v>
      </c>
      <c r="H1832" s="3" t="n">
        <v>11</v>
      </c>
      <c r="I1832" s="22" t="n">
        <v>41793</v>
      </c>
      <c r="J1832" s="22" t="n">
        <v>41798</v>
      </c>
      <c r="K1832" s="43" t="n">
        <f aca="false">J1832-I1832</f>
        <v>5</v>
      </c>
      <c r="L1832" s="1" t="n">
        <v>5</v>
      </c>
      <c r="M1832" s="3" t="s">
        <v>32</v>
      </c>
      <c r="N1832" s="3" t="s">
        <v>169</v>
      </c>
      <c r="O1832" s="3" t="s">
        <v>170</v>
      </c>
      <c r="P1832" s="2" t="str">
        <f aca="false">CONCATENATE(N1832," ",O1832)</f>
        <v>Abacoproeces saltuum</v>
      </c>
      <c r="Q1832" s="1" t="s">
        <v>30</v>
      </c>
      <c r="R1832" s="1" t="s">
        <v>35</v>
      </c>
      <c r="S1832" s="3" t="n">
        <v>0</v>
      </c>
      <c r="T1832" s="3" t="n">
        <v>2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f aca="false">SUM(S1832:T1832)</f>
        <v>2</v>
      </c>
      <c r="Z1832" s="3" t="n">
        <f aca="false">SUM(U1832:W1832)</f>
        <v>0</v>
      </c>
      <c r="AA1832" s="3" t="n">
        <f aca="false">SUM(S1832:X1832)</f>
        <v>2</v>
      </c>
      <c r="AB1832" s="11" t="n">
        <f aca="false">(AA1832/(K1832*L1832)*25)*4</f>
        <v>8</v>
      </c>
    </row>
    <row r="1833" customFormat="false" ht="14.25" hidden="false" customHeight="false" outlineLevel="0" collapsed="false">
      <c r="A1833" s="1" t="n">
        <v>2014</v>
      </c>
      <c r="B1833" s="7" t="s">
        <v>322</v>
      </c>
      <c r="C1833" s="7" t="n">
        <v>2</v>
      </c>
      <c r="D1833" s="7" t="s">
        <v>294</v>
      </c>
      <c r="E1833" s="7" t="s">
        <v>294</v>
      </c>
      <c r="F1833" s="3" t="s">
        <v>158</v>
      </c>
      <c r="G1833" s="3" t="n">
        <v>3</v>
      </c>
      <c r="H1833" s="3" t="n">
        <v>11</v>
      </c>
      <c r="I1833" s="22" t="n">
        <v>41793</v>
      </c>
      <c r="J1833" s="22" t="n">
        <v>41798</v>
      </c>
      <c r="K1833" s="43" t="n">
        <f aca="false">J1833-I1833</f>
        <v>5</v>
      </c>
      <c r="L1833" s="1" t="n">
        <v>5</v>
      </c>
      <c r="M1833" s="3" t="s">
        <v>32</v>
      </c>
      <c r="N1833" s="3" t="s">
        <v>96</v>
      </c>
      <c r="O1833" s="3" t="s">
        <v>97</v>
      </c>
      <c r="P1833" s="2" t="str">
        <f aca="false">CONCATENATE(N1833," ",O1833)</f>
        <v>Diplocephalus picinus</v>
      </c>
      <c r="Q1833" s="1" t="s">
        <v>30</v>
      </c>
      <c r="R1833" s="1" t="s">
        <v>31</v>
      </c>
      <c r="S1833" s="3" t="n">
        <v>1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f aca="false">SUM(S1833:T1833)</f>
        <v>1</v>
      </c>
      <c r="Z1833" s="3" t="n">
        <f aca="false">SUM(U1833:W1833)</f>
        <v>0</v>
      </c>
      <c r="AA1833" s="3" t="n">
        <f aca="false">SUM(S1833:X1833)</f>
        <v>1</v>
      </c>
      <c r="AB1833" s="11" t="n">
        <f aca="false">(AA1833/(K1833*L1833)*25)*4</f>
        <v>4</v>
      </c>
    </row>
    <row r="1834" customFormat="false" ht="14.25" hidden="false" customHeight="false" outlineLevel="0" collapsed="false">
      <c r="A1834" s="1" t="n">
        <v>2014</v>
      </c>
      <c r="B1834" s="7" t="s">
        <v>322</v>
      </c>
      <c r="C1834" s="7" t="n">
        <v>2</v>
      </c>
      <c r="D1834" s="7" t="s">
        <v>294</v>
      </c>
      <c r="E1834" s="7" t="s">
        <v>294</v>
      </c>
      <c r="F1834" s="3" t="s">
        <v>158</v>
      </c>
      <c r="G1834" s="3" t="n">
        <v>3</v>
      </c>
      <c r="H1834" s="3" t="n">
        <v>11</v>
      </c>
      <c r="I1834" s="22" t="n">
        <v>41793</v>
      </c>
      <c r="J1834" s="22" t="n">
        <v>41798</v>
      </c>
      <c r="K1834" s="43" t="n">
        <f aca="false">J1834-I1834</f>
        <v>5</v>
      </c>
      <c r="L1834" s="1" t="n">
        <v>5</v>
      </c>
      <c r="M1834" s="3" t="s">
        <v>32</v>
      </c>
      <c r="N1834" s="3" t="s">
        <v>55</v>
      </c>
      <c r="O1834" s="3" t="s">
        <v>194</v>
      </c>
      <c r="P1834" s="2" t="str">
        <f aca="false">CONCATENATE(N1834," ",O1834)</f>
        <v>Maro pansibiricus</v>
      </c>
      <c r="Q1834" s="1" t="s">
        <v>30</v>
      </c>
      <c r="R1834" s="1" t="s">
        <v>31</v>
      </c>
      <c r="S1834" s="3" t="n">
        <v>1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f aca="false">SUM(S1834:T1834)</f>
        <v>1</v>
      </c>
      <c r="Z1834" s="3" t="n">
        <f aca="false">SUM(U1834:W1834)</f>
        <v>0</v>
      </c>
      <c r="AA1834" s="3" t="n">
        <f aca="false">SUM(S1834:X1834)</f>
        <v>1</v>
      </c>
      <c r="AB1834" s="11" t="n">
        <f aca="false">(AA1834/(K1834*L1834)*25)*4</f>
        <v>4</v>
      </c>
    </row>
    <row r="1835" customFormat="false" ht="14.25" hidden="false" customHeight="false" outlineLevel="0" collapsed="false">
      <c r="A1835" s="1" t="n">
        <v>2014</v>
      </c>
      <c r="B1835" s="7" t="s">
        <v>322</v>
      </c>
      <c r="C1835" s="7" t="n">
        <v>2</v>
      </c>
      <c r="D1835" s="7" t="s">
        <v>294</v>
      </c>
      <c r="E1835" s="7" t="s">
        <v>294</v>
      </c>
      <c r="F1835" s="3" t="s">
        <v>158</v>
      </c>
      <c r="G1835" s="3" t="n">
        <v>3</v>
      </c>
      <c r="H1835" s="3" t="n">
        <v>11</v>
      </c>
      <c r="I1835" s="22" t="n">
        <v>41793</v>
      </c>
      <c r="J1835" s="22" t="n">
        <v>41798</v>
      </c>
      <c r="K1835" s="43" t="n">
        <f aca="false">J1835-I1835</f>
        <v>5</v>
      </c>
      <c r="L1835" s="1" t="n">
        <v>5</v>
      </c>
      <c r="M1835" s="3" t="s">
        <v>32</v>
      </c>
      <c r="N1835" s="3" t="s">
        <v>55</v>
      </c>
      <c r="O1835" s="3" t="s">
        <v>56</v>
      </c>
      <c r="P1835" s="2" t="str">
        <f aca="false">CONCATENATE(N1835," ",O1835)</f>
        <v>Maro minutus</v>
      </c>
      <c r="Q1835" s="1" t="s">
        <v>30</v>
      </c>
      <c r="R1835" s="1" t="s">
        <v>31</v>
      </c>
      <c r="S1835" s="3" t="n">
        <v>2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f aca="false">SUM(S1835:T1835)</f>
        <v>2</v>
      </c>
      <c r="Z1835" s="3" t="n">
        <f aca="false">SUM(U1835:W1835)</f>
        <v>0</v>
      </c>
      <c r="AA1835" s="3" t="n">
        <f aca="false">SUM(S1835:X1835)</f>
        <v>2</v>
      </c>
      <c r="AB1835" s="11" t="n">
        <f aca="false">(AA1835/(K1835*L1835)*25)*4</f>
        <v>8</v>
      </c>
    </row>
    <row r="1836" customFormat="false" ht="14.25" hidden="false" customHeight="false" outlineLevel="0" collapsed="false">
      <c r="A1836" s="1" t="n">
        <v>2014</v>
      </c>
      <c r="B1836" s="7" t="s">
        <v>322</v>
      </c>
      <c r="C1836" s="7" t="n">
        <v>2</v>
      </c>
      <c r="D1836" s="7" t="s">
        <v>294</v>
      </c>
      <c r="E1836" s="7" t="s">
        <v>294</v>
      </c>
      <c r="F1836" s="3" t="s">
        <v>158</v>
      </c>
      <c r="G1836" s="3" t="n">
        <v>2</v>
      </c>
      <c r="H1836" s="3" t="n">
        <v>10</v>
      </c>
      <c r="I1836" s="22" t="n">
        <v>41793</v>
      </c>
      <c r="J1836" s="22" t="n">
        <v>41798</v>
      </c>
      <c r="K1836" s="43" t="n">
        <f aca="false">J1836-I1836</f>
        <v>5</v>
      </c>
      <c r="L1836" s="1" t="n">
        <v>5</v>
      </c>
      <c r="M1836" s="3" t="s">
        <v>48</v>
      </c>
      <c r="N1836" s="3" t="s">
        <v>49</v>
      </c>
      <c r="O1836" s="3" t="s">
        <v>104</v>
      </c>
      <c r="P1836" s="2" t="str">
        <f aca="false">CONCATENATE(N1836," ",O1836)</f>
        <v>Alopecosa taeniata</v>
      </c>
      <c r="Q1836" s="1" t="s">
        <v>30</v>
      </c>
      <c r="R1836" s="1" t="s">
        <v>31</v>
      </c>
      <c r="S1836" s="3" t="n">
        <v>1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f aca="false">SUM(S1836:T1836)</f>
        <v>1</v>
      </c>
      <c r="Z1836" s="3" t="n">
        <f aca="false">SUM(U1836:W1836)</f>
        <v>0</v>
      </c>
      <c r="AA1836" s="3" t="n">
        <f aca="false">SUM(S1836:X1836)</f>
        <v>1</v>
      </c>
      <c r="AB1836" s="11" t="n">
        <f aca="false">(AA1836/(K1836*L1836)*25)*4</f>
        <v>4</v>
      </c>
    </row>
    <row r="1837" customFormat="false" ht="14.25" hidden="false" customHeight="false" outlineLevel="0" collapsed="false">
      <c r="A1837" s="1" t="n">
        <v>2014</v>
      </c>
      <c r="B1837" s="7" t="s">
        <v>322</v>
      </c>
      <c r="C1837" s="7" t="n">
        <v>2</v>
      </c>
      <c r="D1837" s="7" t="s">
        <v>294</v>
      </c>
      <c r="E1837" s="7" t="s">
        <v>294</v>
      </c>
      <c r="F1837" s="3" t="s">
        <v>158</v>
      </c>
      <c r="G1837" s="3" t="n">
        <v>2</v>
      </c>
      <c r="H1837" s="3" t="n">
        <v>10</v>
      </c>
      <c r="I1837" s="22" t="n">
        <v>41793</v>
      </c>
      <c r="J1837" s="22" t="n">
        <v>41798</v>
      </c>
      <c r="K1837" s="43" t="n">
        <f aca="false">J1837-I1837</f>
        <v>5</v>
      </c>
      <c r="L1837" s="1" t="n">
        <v>5</v>
      </c>
      <c r="M1837" s="3" t="s">
        <v>48</v>
      </c>
      <c r="N1837" s="3" t="s">
        <v>49</v>
      </c>
      <c r="O1837" s="3" t="s">
        <v>104</v>
      </c>
      <c r="P1837" s="2" t="str">
        <f aca="false">CONCATENATE(N1837," ",O1837)</f>
        <v>Alopecosa taeniata</v>
      </c>
      <c r="Q1837" s="1" t="s">
        <v>30</v>
      </c>
      <c r="R1837" s="1" t="s">
        <v>35</v>
      </c>
      <c r="S1837" s="3" t="n">
        <v>0</v>
      </c>
      <c r="T1837" s="3" t="n">
        <v>2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f aca="false">SUM(S1837:T1837)</f>
        <v>2</v>
      </c>
      <c r="Z1837" s="3" t="n">
        <f aca="false">SUM(U1837:W1837)</f>
        <v>0</v>
      </c>
      <c r="AA1837" s="3" t="n">
        <f aca="false">SUM(S1837:X1837)</f>
        <v>2</v>
      </c>
      <c r="AB1837" s="11" t="n">
        <f aca="false">(AA1837/(K1837*L1837)*25)*4</f>
        <v>8</v>
      </c>
    </row>
    <row r="1838" customFormat="false" ht="14.25" hidden="false" customHeight="false" outlineLevel="0" collapsed="false">
      <c r="A1838" s="1" t="n">
        <v>2014</v>
      </c>
      <c r="B1838" s="7" t="s">
        <v>322</v>
      </c>
      <c r="C1838" s="7" t="n">
        <v>2</v>
      </c>
      <c r="D1838" s="7" t="s">
        <v>294</v>
      </c>
      <c r="E1838" s="7" t="s">
        <v>294</v>
      </c>
      <c r="F1838" s="3" t="s">
        <v>158</v>
      </c>
      <c r="G1838" s="3" t="n">
        <v>2</v>
      </c>
      <c r="H1838" s="3" t="n">
        <v>10</v>
      </c>
      <c r="I1838" s="22" t="n">
        <v>41793</v>
      </c>
      <c r="J1838" s="22" t="n">
        <v>41798</v>
      </c>
      <c r="K1838" s="43" t="n">
        <f aca="false">J1838-I1838</f>
        <v>5</v>
      </c>
      <c r="L1838" s="1" t="n">
        <v>5</v>
      </c>
      <c r="M1838" s="3" t="s">
        <v>48</v>
      </c>
      <c r="N1838" s="3" t="s">
        <v>49</v>
      </c>
      <c r="O1838" s="3" t="s">
        <v>119</v>
      </c>
      <c r="P1838" s="2" t="str">
        <f aca="false">CONCATENATE(N1838," ",O1838)</f>
        <v>Alopecosa sulzeri</v>
      </c>
      <c r="Q1838" s="1" t="s">
        <v>30</v>
      </c>
      <c r="R1838" s="1" t="s">
        <v>31</v>
      </c>
      <c r="S1838" s="3" t="n">
        <v>1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f aca="false">SUM(S1838:T1838)</f>
        <v>1</v>
      </c>
      <c r="Z1838" s="3" t="n">
        <f aca="false">SUM(U1838:W1838)</f>
        <v>0</v>
      </c>
      <c r="AA1838" s="3" t="n">
        <f aca="false">SUM(S1838:X1838)</f>
        <v>1</v>
      </c>
      <c r="AB1838" s="11" t="n">
        <f aca="false">(AA1838/(K1838*L1838)*25)*4</f>
        <v>4</v>
      </c>
    </row>
    <row r="1839" customFormat="false" ht="14.25" hidden="false" customHeight="false" outlineLevel="0" collapsed="false">
      <c r="A1839" s="1" t="n">
        <v>2014</v>
      </c>
      <c r="B1839" s="7" t="s">
        <v>322</v>
      </c>
      <c r="C1839" s="7" t="n">
        <v>2</v>
      </c>
      <c r="D1839" s="7" t="s">
        <v>294</v>
      </c>
      <c r="E1839" s="7" t="s">
        <v>294</v>
      </c>
      <c r="F1839" s="3" t="s">
        <v>158</v>
      </c>
      <c r="G1839" s="3" t="n">
        <v>2</v>
      </c>
      <c r="H1839" s="3" t="n">
        <v>10</v>
      </c>
      <c r="I1839" s="22" t="n">
        <v>41793</v>
      </c>
      <c r="J1839" s="22" t="n">
        <v>41798</v>
      </c>
      <c r="K1839" s="43" t="n">
        <f aca="false">J1839-I1839</f>
        <v>5</v>
      </c>
      <c r="L1839" s="1" t="n">
        <v>5</v>
      </c>
      <c r="M1839" s="3" t="s">
        <v>48</v>
      </c>
      <c r="N1839" s="3" t="s">
        <v>67</v>
      </c>
      <c r="O1839" s="3" t="s">
        <v>127</v>
      </c>
      <c r="P1839" s="2" t="str">
        <f aca="false">CONCATENATE(N1839," ",O1839)</f>
        <v>Pardosa lugubris</v>
      </c>
      <c r="Q1839" s="1" t="s">
        <v>30</v>
      </c>
      <c r="R1839" s="1" t="s">
        <v>31</v>
      </c>
      <c r="S1839" s="3" t="n">
        <v>10</v>
      </c>
      <c r="T1839" s="3" t="n">
        <v>0</v>
      </c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f aca="false">SUM(S1839:T1839)</f>
        <v>10</v>
      </c>
      <c r="Z1839" s="3" t="n">
        <f aca="false">SUM(U1839:W1839)</f>
        <v>0</v>
      </c>
      <c r="AA1839" s="3" t="n">
        <f aca="false">SUM(S1839:X1839)</f>
        <v>10</v>
      </c>
      <c r="AB1839" s="11" t="n">
        <f aca="false">(AA1839/(K1839*L1839)*25)*4</f>
        <v>40</v>
      </c>
    </row>
    <row r="1840" customFormat="false" ht="14.25" hidden="false" customHeight="false" outlineLevel="0" collapsed="false">
      <c r="A1840" s="1" t="n">
        <v>2014</v>
      </c>
      <c r="B1840" s="7" t="s">
        <v>322</v>
      </c>
      <c r="C1840" s="7" t="n">
        <v>2</v>
      </c>
      <c r="D1840" s="7" t="s">
        <v>294</v>
      </c>
      <c r="E1840" s="7" t="s">
        <v>294</v>
      </c>
      <c r="F1840" s="3" t="s">
        <v>158</v>
      </c>
      <c r="G1840" s="3" t="n">
        <v>2</v>
      </c>
      <c r="H1840" s="3" t="n">
        <v>10</v>
      </c>
      <c r="I1840" s="22" t="n">
        <v>41793</v>
      </c>
      <c r="J1840" s="22" t="n">
        <v>41798</v>
      </c>
      <c r="K1840" s="43" t="n">
        <f aca="false">J1840-I1840</f>
        <v>5</v>
      </c>
      <c r="L1840" s="1" t="n">
        <v>5</v>
      </c>
      <c r="M1840" s="3" t="s">
        <v>32</v>
      </c>
      <c r="N1840" s="3" t="s">
        <v>96</v>
      </c>
      <c r="O1840" s="3" t="s">
        <v>97</v>
      </c>
      <c r="P1840" s="2" t="str">
        <f aca="false">CONCATENATE(N1840," ",O1840)</f>
        <v>Diplocephalus picinus</v>
      </c>
      <c r="Q1840" s="1" t="s">
        <v>30</v>
      </c>
      <c r="R1840" s="1" t="s">
        <v>31</v>
      </c>
      <c r="S1840" s="3" t="n">
        <v>1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f aca="false">SUM(S1840:T1840)</f>
        <v>1</v>
      </c>
      <c r="Z1840" s="3" t="n">
        <f aca="false">SUM(U1840:W1840)</f>
        <v>0</v>
      </c>
      <c r="AA1840" s="3" t="n">
        <f aca="false">SUM(S1840:X1840)</f>
        <v>1</v>
      </c>
      <c r="AB1840" s="11" t="n">
        <f aca="false">(AA1840/(K1840*L1840)*25)*4</f>
        <v>4</v>
      </c>
    </row>
    <row r="1841" customFormat="false" ht="14.25" hidden="false" customHeight="false" outlineLevel="0" collapsed="false">
      <c r="A1841" s="1" t="n">
        <v>2014</v>
      </c>
      <c r="B1841" s="7" t="s">
        <v>322</v>
      </c>
      <c r="C1841" s="7" t="n">
        <v>2</v>
      </c>
      <c r="D1841" s="7" t="s">
        <v>294</v>
      </c>
      <c r="E1841" s="7" t="s">
        <v>294</v>
      </c>
      <c r="F1841" s="3" t="s">
        <v>158</v>
      </c>
      <c r="G1841" s="3" t="n">
        <v>2</v>
      </c>
      <c r="H1841" s="3" t="n">
        <v>10</v>
      </c>
      <c r="I1841" s="22" t="n">
        <v>41793</v>
      </c>
      <c r="J1841" s="22" t="n">
        <v>41798</v>
      </c>
      <c r="K1841" s="43" t="n">
        <f aca="false">J1841-I1841</f>
        <v>5</v>
      </c>
      <c r="L1841" s="1" t="n">
        <v>5</v>
      </c>
      <c r="M1841" s="3" t="s">
        <v>32</v>
      </c>
      <c r="N1841" s="3" t="s">
        <v>169</v>
      </c>
      <c r="O1841" s="3" t="s">
        <v>170</v>
      </c>
      <c r="P1841" s="2" t="str">
        <f aca="false">CONCATENATE(N1841," ",O1841)</f>
        <v>Abacoproeces saltuum</v>
      </c>
      <c r="Q1841" s="1" t="s">
        <v>30</v>
      </c>
      <c r="R1841" s="1" t="s">
        <v>31</v>
      </c>
      <c r="S1841" s="3" t="n">
        <v>2</v>
      </c>
      <c r="T1841" s="3" t="n">
        <v>0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f aca="false">SUM(S1841:T1841)</f>
        <v>2</v>
      </c>
      <c r="Z1841" s="3" t="n">
        <f aca="false">SUM(U1841:W1841)</f>
        <v>0</v>
      </c>
      <c r="AA1841" s="3" t="n">
        <f aca="false">SUM(S1841:X1841)</f>
        <v>2</v>
      </c>
      <c r="AB1841" s="11" t="n">
        <f aca="false">(AA1841/(K1841*L1841)*25)*4</f>
        <v>8</v>
      </c>
    </row>
    <row r="1842" customFormat="false" ht="14.25" hidden="false" customHeight="false" outlineLevel="0" collapsed="false">
      <c r="A1842" s="1" t="n">
        <v>2014</v>
      </c>
      <c r="B1842" s="7" t="s">
        <v>322</v>
      </c>
      <c r="C1842" s="7" t="n">
        <v>2</v>
      </c>
      <c r="D1842" s="7" t="s">
        <v>294</v>
      </c>
      <c r="E1842" s="7" t="s">
        <v>294</v>
      </c>
      <c r="F1842" s="3" t="s">
        <v>158</v>
      </c>
      <c r="G1842" s="3" t="n">
        <v>2</v>
      </c>
      <c r="H1842" s="3" t="n">
        <v>10</v>
      </c>
      <c r="I1842" s="22" t="n">
        <v>41793</v>
      </c>
      <c r="J1842" s="22" t="n">
        <v>41798</v>
      </c>
      <c r="K1842" s="43" t="n">
        <f aca="false">J1842-I1842</f>
        <v>5</v>
      </c>
      <c r="L1842" s="1" t="n">
        <v>5</v>
      </c>
      <c r="M1842" s="3" t="s">
        <v>32</v>
      </c>
      <c r="N1842" s="3" t="s">
        <v>169</v>
      </c>
      <c r="O1842" s="3" t="s">
        <v>170</v>
      </c>
      <c r="P1842" s="2" t="str">
        <f aca="false">CONCATENATE(N1842," ",O1842)</f>
        <v>Abacoproeces saltuum</v>
      </c>
      <c r="Q1842" s="1" t="s">
        <v>30</v>
      </c>
      <c r="R1842" s="1" t="s">
        <v>35</v>
      </c>
      <c r="S1842" s="3" t="n">
        <v>0</v>
      </c>
      <c r="T1842" s="3" t="n">
        <v>1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f aca="false">SUM(S1842:T1842)</f>
        <v>1</v>
      </c>
      <c r="Z1842" s="3" t="n">
        <f aca="false">SUM(U1842:W1842)</f>
        <v>0</v>
      </c>
      <c r="AA1842" s="3" t="n">
        <f aca="false">SUM(S1842:X1842)</f>
        <v>1</v>
      </c>
      <c r="AB1842" s="11" t="n">
        <f aca="false">(AA1842/(K1842*L1842)*25)*4</f>
        <v>4</v>
      </c>
    </row>
    <row r="1843" customFormat="false" ht="14.25" hidden="false" customHeight="false" outlineLevel="0" collapsed="false">
      <c r="A1843" s="1" t="n">
        <v>2014</v>
      </c>
      <c r="B1843" s="7" t="s">
        <v>322</v>
      </c>
      <c r="C1843" s="7" t="n">
        <v>2</v>
      </c>
      <c r="D1843" s="7" t="s">
        <v>294</v>
      </c>
      <c r="E1843" s="7" t="s">
        <v>294</v>
      </c>
      <c r="F1843" s="3" t="s">
        <v>158</v>
      </c>
      <c r="G1843" s="3" t="n">
        <v>2</v>
      </c>
      <c r="H1843" s="3" t="n">
        <v>10</v>
      </c>
      <c r="I1843" s="22" t="n">
        <v>41793</v>
      </c>
      <c r="J1843" s="22" t="n">
        <v>41798</v>
      </c>
      <c r="K1843" s="43" t="n">
        <f aca="false">J1843-I1843</f>
        <v>5</v>
      </c>
      <c r="L1843" s="1" t="n">
        <v>5</v>
      </c>
      <c r="M1843" s="3" t="s">
        <v>32</v>
      </c>
      <c r="N1843" s="3" t="s">
        <v>102</v>
      </c>
      <c r="O1843" s="3" t="s">
        <v>192</v>
      </c>
      <c r="P1843" s="2" t="str">
        <f aca="false">CONCATENATE(N1843," ",O1843)</f>
        <v>Agyneta allosubtilis</v>
      </c>
      <c r="Q1843" s="1" t="s">
        <v>30</v>
      </c>
      <c r="R1843" s="1" t="s">
        <v>31</v>
      </c>
      <c r="S1843" s="3" t="n">
        <v>2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f aca="false">SUM(S1843:T1843)</f>
        <v>2</v>
      </c>
      <c r="Z1843" s="3" t="n">
        <f aca="false">SUM(U1843:W1843)</f>
        <v>0</v>
      </c>
      <c r="AA1843" s="3" t="n">
        <f aca="false">SUM(S1843:X1843)</f>
        <v>2</v>
      </c>
      <c r="AB1843" s="11" t="n">
        <f aca="false">(AA1843/(K1843*L1843)*25)*4</f>
        <v>8</v>
      </c>
    </row>
    <row r="1844" customFormat="false" ht="14.25" hidden="false" customHeight="false" outlineLevel="0" collapsed="false">
      <c r="A1844" s="1" t="n">
        <v>2014</v>
      </c>
      <c r="B1844" s="7" t="s">
        <v>322</v>
      </c>
      <c r="C1844" s="7" t="n">
        <v>2</v>
      </c>
      <c r="D1844" s="7" t="s">
        <v>294</v>
      </c>
      <c r="E1844" s="7" t="s">
        <v>294</v>
      </c>
      <c r="F1844" s="3" t="s">
        <v>158</v>
      </c>
      <c r="G1844" s="3" t="n">
        <v>3</v>
      </c>
      <c r="H1844" s="3" t="n">
        <v>15</v>
      </c>
      <c r="I1844" s="22" t="n">
        <v>41793</v>
      </c>
      <c r="J1844" s="22" t="n">
        <v>41798</v>
      </c>
      <c r="K1844" s="43" t="n">
        <f aca="false">J1844-I1844</f>
        <v>5</v>
      </c>
      <c r="L1844" s="1" t="n">
        <v>5</v>
      </c>
      <c r="M1844" s="3" t="s">
        <v>36</v>
      </c>
      <c r="N1844" s="3" t="s">
        <v>131</v>
      </c>
      <c r="O1844" s="3" t="s">
        <v>229</v>
      </c>
      <c r="P1844" s="2" t="str">
        <f aca="false">CONCATENATE(N1844," ",O1844)</f>
        <v>Xysticus emertoni</v>
      </c>
      <c r="Q1844" s="1" t="s">
        <v>30</v>
      </c>
      <c r="R1844" s="1" t="s">
        <v>31</v>
      </c>
      <c r="S1844" s="3" t="n">
        <v>1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f aca="false">SUM(S1844:T1844)</f>
        <v>1</v>
      </c>
      <c r="Z1844" s="3" t="n">
        <f aca="false">SUM(U1844:W1844)</f>
        <v>0</v>
      </c>
      <c r="AA1844" s="3" t="n">
        <f aca="false">SUM(S1844:X1844)</f>
        <v>1</v>
      </c>
      <c r="AB1844" s="11" t="n">
        <f aca="false">(AA1844/(K1844*L1844)*25)*4</f>
        <v>4</v>
      </c>
    </row>
    <row r="1845" customFormat="false" ht="14.25" hidden="false" customHeight="false" outlineLevel="0" collapsed="false">
      <c r="A1845" s="1" t="n">
        <v>2014</v>
      </c>
      <c r="B1845" s="7" t="s">
        <v>322</v>
      </c>
      <c r="C1845" s="7" t="n">
        <v>2</v>
      </c>
      <c r="D1845" s="7" t="s">
        <v>294</v>
      </c>
      <c r="E1845" s="7" t="s">
        <v>294</v>
      </c>
      <c r="F1845" s="3" t="s">
        <v>158</v>
      </c>
      <c r="G1845" s="3" t="n">
        <v>3</v>
      </c>
      <c r="H1845" s="3" t="n">
        <v>15</v>
      </c>
      <c r="I1845" s="22" t="n">
        <v>41793</v>
      </c>
      <c r="J1845" s="22" t="n">
        <v>41798</v>
      </c>
      <c r="K1845" s="43" t="n">
        <f aca="false">J1845-I1845</f>
        <v>5</v>
      </c>
      <c r="L1845" s="1" t="n">
        <v>5</v>
      </c>
      <c r="M1845" s="3" t="s">
        <v>36</v>
      </c>
      <c r="N1845" s="3" t="s">
        <v>131</v>
      </c>
      <c r="O1845" s="3" t="s">
        <v>133</v>
      </c>
      <c r="P1845" s="2" t="str">
        <f aca="false">CONCATENATE(N1845," ",O1845)</f>
        <v>Xysticus luctuosus</v>
      </c>
      <c r="Q1845" s="1" t="s">
        <v>30</v>
      </c>
      <c r="R1845" s="1" t="s">
        <v>31</v>
      </c>
      <c r="S1845" s="3" t="n">
        <v>1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f aca="false">SUM(S1845:T1845)</f>
        <v>1</v>
      </c>
      <c r="Z1845" s="3" t="n">
        <f aca="false">SUM(U1845:W1845)</f>
        <v>0</v>
      </c>
      <c r="AA1845" s="3" t="n">
        <f aca="false">SUM(S1845:X1845)</f>
        <v>1</v>
      </c>
      <c r="AB1845" s="11" t="n">
        <f aca="false">(AA1845/(K1845*L1845)*25)*4</f>
        <v>4</v>
      </c>
    </row>
    <row r="1846" customFormat="false" ht="14.25" hidden="false" customHeight="false" outlineLevel="0" collapsed="false">
      <c r="A1846" s="1" t="n">
        <v>2014</v>
      </c>
      <c r="B1846" s="7" t="s">
        <v>322</v>
      </c>
      <c r="C1846" s="7" t="n">
        <v>2</v>
      </c>
      <c r="D1846" s="7" t="s">
        <v>294</v>
      </c>
      <c r="E1846" s="7" t="s">
        <v>294</v>
      </c>
      <c r="F1846" s="3" t="s">
        <v>158</v>
      </c>
      <c r="G1846" s="3" t="n">
        <v>3</v>
      </c>
      <c r="H1846" s="3" t="n">
        <v>15</v>
      </c>
      <c r="I1846" s="22" t="n">
        <v>41793</v>
      </c>
      <c r="J1846" s="22" t="n">
        <v>41798</v>
      </c>
      <c r="K1846" s="43" t="n">
        <f aca="false">J1846-I1846</f>
        <v>5</v>
      </c>
      <c r="L1846" s="1" t="n">
        <v>5</v>
      </c>
      <c r="M1846" s="3" t="s">
        <v>36</v>
      </c>
      <c r="N1846" s="3" t="s">
        <v>37</v>
      </c>
      <c r="O1846" s="3" t="s">
        <v>75</v>
      </c>
      <c r="P1846" s="2" t="str">
        <f aca="false">CONCATENATE(N1846," ",O1846)</f>
        <v>Ozyptila praticola</v>
      </c>
      <c r="Q1846" s="1" t="s">
        <v>30</v>
      </c>
      <c r="R1846" s="1" t="s">
        <v>31</v>
      </c>
      <c r="S1846" s="3" t="n">
        <v>1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f aca="false">SUM(S1846:T1846)</f>
        <v>1</v>
      </c>
      <c r="Z1846" s="3" t="n">
        <f aca="false">SUM(U1846:W1846)</f>
        <v>0</v>
      </c>
      <c r="AA1846" s="3" t="n">
        <f aca="false">SUM(S1846:X1846)</f>
        <v>1</v>
      </c>
      <c r="AB1846" s="11" t="n">
        <f aca="false">(AA1846/(K1846*L1846)*25)*4</f>
        <v>4</v>
      </c>
    </row>
    <row r="1847" customFormat="false" ht="14.25" hidden="false" customHeight="false" outlineLevel="0" collapsed="false">
      <c r="A1847" s="1" t="n">
        <v>2014</v>
      </c>
      <c r="B1847" s="7" t="s">
        <v>322</v>
      </c>
      <c r="C1847" s="7" t="n">
        <v>2</v>
      </c>
      <c r="D1847" s="7" t="s">
        <v>294</v>
      </c>
      <c r="E1847" s="7" t="s">
        <v>294</v>
      </c>
      <c r="F1847" s="3" t="s">
        <v>158</v>
      </c>
      <c r="G1847" s="3" t="n">
        <v>3</v>
      </c>
      <c r="H1847" s="3" t="n">
        <v>15</v>
      </c>
      <c r="I1847" s="22" t="n">
        <v>41793</v>
      </c>
      <c r="J1847" s="22" t="n">
        <v>41798</v>
      </c>
      <c r="K1847" s="43" t="n">
        <f aca="false">J1847-I1847</f>
        <v>5</v>
      </c>
      <c r="L1847" s="1" t="n">
        <v>5</v>
      </c>
      <c r="M1847" s="3" t="s">
        <v>36</v>
      </c>
      <c r="N1847" s="3" t="s">
        <v>37</v>
      </c>
      <c r="O1847" s="3" t="s">
        <v>75</v>
      </c>
      <c r="P1847" s="2" t="str">
        <f aca="false">CONCATENATE(N1847," ",O1847)</f>
        <v>Ozyptila praticola</v>
      </c>
      <c r="Q1847" s="1" t="s">
        <v>30</v>
      </c>
      <c r="R1847" s="1" t="s">
        <v>35</v>
      </c>
      <c r="S1847" s="3" t="n">
        <v>0</v>
      </c>
      <c r="T1847" s="3" t="n">
        <v>1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f aca="false">SUM(S1847:T1847)</f>
        <v>1</v>
      </c>
      <c r="Z1847" s="3" t="n">
        <f aca="false">SUM(U1847:W1847)</f>
        <v>0</v>
      </c>
      <c r="AA1847" s="3" t="n">
        <f aca="false">SUM(S1847:X1847)</f>
        <v>1</v>
      </c>
      <c r="AB1847" s="11" t="n">
        <f aca="false">(AA1847/(K1847*L1847)*25)*4</f>
        <v>4</v>
      </c>
    </row>
    <row r="1848" customFormat="false" ht="14.25" hidden="false" customHeight="false" outlineLevel="0" collapsed="false">
      <c r="A1848" s="1" t="n">
        <v>2014</v>
      </c>
      <c r="B1848" s="7" t="s">
        <v>322</v>
      </c>
      <c r="C1848" s="7" t="n">
        <v>2</v>
      </c>
      <c r="D1848" s="7" t="s">
        <v>294</v>
      </c>
      <c r="E1848" s="7" t="s">
        <v>294</v>
      </c>
      <c r="F1848" s="3" t="s">
        <v>158</v>
      </c>
      <c r="G1848" s="3" t="n">
        <v>3</v>
      </c>
      <c r="H1848" s="3" t="n">
        <v>15</v>
      </c>
      <c r="I1848" s="22" t="n">
        <v>41793</v>
      </c>
      <c r="J1848" s="22" t="n">
        <v>41798</v>
      </c>
      <c r="K1848" s="43" t="n">
        <f aca="false">J1848-I1848</f>
        <v>5</v>
      </c>
      <c r="L1848" s="1" t="n">
        <v>5</v>
      </c>
      <c r="M1848" s="3" t="s">
        <v>48</v>
      </c>
      <c r="N1848" s="3" t="s">
        <v>67</v>
      </c>
      <c r="O1848" s="3" t="s">
        <v>127</v>
      </c>
      <c r="P1848" s="2" t="str">
        <f aca="false">CONCATENATE(N1848," ",O1848)</f>
        <v>Pardosa lugubris</v>
      </c>
      <c r="Q1848" s="1" t="s">
        <v>30</v>
      </c>
      <c r="R1848" s="1" t="s">
        <v>31</v>
      </c>
      <c r="S1848" s="3" t="n">
        <v>3</v>
      </c>
      <c r="T1848" s="3" t="n">
        <v>0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f aca="false">SUM(S1848:T1848)</f>
        <v>3</v>
      </c>
      <c r="Z1848" s="3" t="n">
        <f aca="false">SUM(U1848:W1848)</f>
        <v>0</v>
      </c>
      <c r="AA1848" s="3" t="n">
        <f aca="false">SUM(S1848:X1848)</f>
        <v>3</v>
      </c>
      <c r="AB1848" s="11" t="n">
        <f aca="false">(AA1848/(K1848*L1848)*25)*4</f>
        <v>12</v>
      </c>
    </row>
    <row r="1849" customFormat="false" ht="14.25" hidden="false" customHeight="false" outlineLevel="0" collapsed="false">
      <c r="A1849" s="1" t="n">
        <v>2014</v>
      </c>
      <c r="B1849" s="7" t="s">
        <v>322</v>
      </c>
      <c r="C1849" s="7" t="n">
        <v>2</v>
      </c>
      <c r="D1849" s="7" t="s">
        <v>294</v>
      </c>
      <c r="E1849" s="7" t="s">
        <v>294</v>
      </c>
      <c r="F1849" s="3" t="s">
        <v>158</v>
      </c>
      <c r="G1849" s="3" t="n">
        <v>3</v>
      </c>
      <c r="H1849" s="3" t="n">
        <v>15</v>
      </c>
      <c r="I1849" s="22" t="n">
        <v>41793</v>
      </c>
      <c r="J1849" s="22" t="n">
        <v>41798</v>
      </c>
      <c r="K1849" s="43" t="n">
        <f aca="false">J1849-I1849</f>
        <v>5</v>
      </c>
      <c r="L1849" s="1" t="n">
        <v>5</v>
      </c>
      <c r="M1849" s="3" t="s">
        <v>48</v>
      </c>
      <c r="N1849" s="3" t="s">
        <v>67</v>
      </c>
      <c r="O1849" s="3" t="s">
        <v>127</v>
      </c>
      <c r="P1849" s="2" t="str">
        <f aca="false">CONCATENATE(N1849," ",O1849)</f>
        <v>Pardosa lugubris</v>
      </c>
      <c r="Q1849" s="1" t="s">
        <v>30</v>
      </c>
      <c r="R1849" s="1" t="s">
        <v>35</v>
      </c>
      <c r="S1849" s="3" t="n">
        <v>0</v>
      </c>
      <c r="T1849" s="3" t="n">
        <v>4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f aca="false">SUM(S1849:T1849)</f>
        <v>4</v>
      </c>
      <c r="Z1849" s="3" t="n">
        <f aca="false">SUM(U1849:W1849)</f>
        <v>0</v>
      </c>
      <c r="AA1849" s="3" t="n">
        <f aca="false">SUM(S1849:X1849)</f>
        <v>4</v>
      </c>
      <c r="AB1849" s="11" t="n">
        <f aca="false">(AA1849/(K1849*L1849)*25)*4</f>
        <v>16</v>
      </c>
    </row>
    <row r="1850" customFormat="false" ht="14.25" hidden="false" customHeight="false" outlineLevel="0" collapsed="false">
      <c r="A1850" s="1" t="n">
        <v>2014</v>
      </c>
      <c r="B1850" s="7" t="s">
        <v>322</v>
      </c>
      <c r="C1850" s="7" t="n">
        <v>2</v>
      </c>
      <c r="D1850" s="7" t="s">
        <v>294</v>
      </c>
      <c r="E1850" s="7" t="s">
        <v>294</v>
      </c>
      <c r="F1850" s="3" t="s">
        <v>158</v>
      </c>
      <c r="G1850" s="3" t="n">
        <v>3</v>
      </c>
      <c r="H1850" s="3" t="n">
        <v>15</v>
      </c>
      <c r="I1850" s="22" t="n">
        <v>41793</v>
      </c>
      <c r="J1850" s="22" t="n">
        <v>41798</v>
      </c>
      <c r="K1850" s="43" t="n">
        <f aca="false">J1850-I1850</f>
        <v>5</v>
      </c>
      <c r="L1850" s="1" t="n">
        <v>5</v>
      </c>
      <c r="M1850" s="3" t="s">
        <v>48</v>
      </c>
      <c r="N1850" s="3" t="s">
        <v>49</v>
      </c>
      <c r="O1850" s="3" t="s">
        <v>130</v>
      </c>
      <c r="P1850" s="2" t="str">
        <f aca="false">CONCATENATE(N1850," ",O1850)</f>
        <v>Alopecosa aculeata</v>
      </c>
      <c r="Q1850" s="1" t="s">
        <v>30</v>
      </c>
      <c r="R1850" s="1" t="s">
        <v>31</v>
      </c>
      <c r="S1850" s="3" t="n">
        <v>1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f aca="false">SUM(S1850:T1850)</f>
        <v>1</v>
      </c>
      <c r="Z1850" s="3" t="n">
        <f aca="false">SUM(U1850:W1850)</f>
        <v>0</v>
      </c>
      <c r="AA1850" s="3" t="n">
        <f aca="false">SUM(S1850:X1850)</f>
        <v>1</v>
      </c>
      <c r="AB1850" s="11" t="n">
        <f aca="false">(AA1850/(K1850*L1850)*25)*4</f>
        <v>4</v>
      </c>
    </row>
    <row r="1851" customFormat="false" ht="14.25" hidden="false" customHeight="false" outlineLevel="0" collapsed="false">
      <c r="A1851" s="1" t="n">
        <v>2014</v>
      </c>
      <c r="B1851" s="7" t="s">
        <v>322</v>
      </c>
      <c r="C1851" s="7" t="n">
        <v>2</v>
      </c>
      <c r="D1851" s="7" t="s">
        <v>294</v>
      </c>
      <c r="E1851" s="7" t="s">
        <v>294</v>
      </c>
      <c r="F1851" s="3" t="s">
        <v>158</v>
      </c>
      <c r="G1851" s="3" t="n">
        <v>3</v>
      </c>
      <c r="H1851" s="3" t="n">
        <v>15</v>
      </c>
      <c r="I1851" s="22" t="n">
        <v>41793</v>
      </c>
      <c r="J1851" s="22" t="n">
        <v>41798</v>
      </c>
      <c r="K1851" s="43" t="n">
        <f aca="false">J1851-I1851</f>
        <v>5</v>
      </c>
      <c r="L1851" s="1" t="n">
        <v>5</v>
      </c>
      <c r="M1851" s="3" t="s">
        <v>48</v>
      </c>
      <c r="N1851" s="3" t="s">
        <v>49</v>
      </c>
      <c r="O1851" s="3" t="s">
        <v>104</v>
      </c>
      <c r="P1851" s="2" t="str">
        <f aca="false">CONCATENATE(N1851," ",O1851)</f>
        <v>Alopecosa taeniata</v>
      </c>
      <c r="Q1851" s="1" t="s">
        <v>30</v>
      </c>
      <c r="R1851" s="1" t="s">
        <v>35</v>
      </c>
      <c r="S1851" s="3" t="n">
        <v>0</v>
      </c>
      <c r="T1851" s="3" t="n">
        <v>1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f aca="false">SUM(S1851:T1851)</f>
        <v>1</v>
      </c>
      <c r="Z1851" s="3" t="n">
        <f aca="false">SUM(U1851:W1851)</f>
        <v>0</v>
      </c>
      <c r="AA1851" s="3" t="n">
        <f aca="false">SUM(S1851:X1851)</f>
        <v>1</v>
      </c>
      <c r="AB1851" s="11" t="n">
        <f aca="false">(AA1851/(K1851*L1851)*25)*4</f>
        <v>4</v>
      </c>
    </row>
    <row r="1852" customFormat="false" ht="14.25" hidden="false" customHeight="false" outlineLevel="0" collapsed="false">
      <c r="A1852" s="1" t="n">
        <v>2014</v>
      </c>
      <c r="B1852" s="7" t="s">
        <v>322</v>
      </c>
      <c r="C1852" s="7" t="n">
        <v>2</v>
      </c>
      <c r="D1852" s="7" t="s">
        <v>294</v>
      </c>
      <c r="E1852" s="7" t="s">
        <v>294</v>
      </c>
      <c r="F1852" s="3" t="s">
        <v>158</v>
      </c>
      <c r="G1852" s="3" t="n">
        <v>3</v>
      </c>
      <c r="H1852" s="3" t="n">
        <v>15</v>
      </c>
      <c r="I1852" s="22" t="n">
        <v>41793</v>
      </c>
      <c r="J1852" s="22" t="n">
        <v>41798</v>
      </c>
      <c r="K1852" s="43" t="n">
        <f aca="false">J1852-I1852</f>
        <v>5</v>
      </c>
      <c r="L1852" s="1" t="n">
        <v>5</v>
      </c>
      <c r="M1852" s="3" t="s">
        <v>48</v>
      </c>
      <c r="N1852" s="3" t="s">
        <v>61</v>
      </c>
      <c r="O1852" s="3" t="s">
        <v>82</v>
      </c>
      <c r="P1852" s="2" t="str">
        <f aca="false">CONCATENATE(N1852," ",O1852)</f>
        <v>Trochosa terricola</v>
      </c>
      <c r="Q1852" s="1" t="s">
        <v>30</v>
      </c>
      <c r="R1852" s="1" t="s">
        <v>35</v>
      </c>
      <c r="S1852" s="3" t="n">
        <v>0</v>
      </c>
      <c r="T1852" s="3" t="n">
        <v>1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f aca="false">SUM(S1852:T1852)</f>
        <v>1</v>
      </c>
      <c r="Z1852" s="3" t="n">
        <f aca="false">SUM(U1852:W1852)</f>
        <v>0</v>
      </c>
      <c r="AA1852" s="3" t="n">
        <f aca="false">SUM(S1852:X1852)</f>
        <v>1</v>
      </c>
      <c r="AB1852" s="11" t="n">
        <f aca="false">(AA1852/(K1852*L1852)*25)*4</f>
        <v>4</v>
      </c>
    </row>
    <row r="1853" customFormat="false" ht="14.25" hidden="false" customHeight="false" outlineLevel="0" collapsed="false">
      <c r="A1853" s="1" t="n">
        <v>2014</v>
      </c>
      <c r="B1853" s="7" t="s">
        <v>322</v>
      </c>
      <c r="C1853" s="7" t="n">
        <v>2</v>
      </c>
      <c r="D1853" s="7" t="s">
        <v>294</v>
      </c>
      <c r="E1853" s="7" t="s">
        <v>294</v>
      </c>
      <c r="F1853" s="3" t="s">
        <v>158</v>
      </c>
      <c r="G1853" s="3" t="n">
        <v>3</v>
      </c>
      <c r="H1853" s="3" t="n">
        <v>15</v>
      </c>
      <c r="I1853" s="22" t="n">
        <v>41793</v>
      </c>
      <c r="J1853" s="22" t="n">
        <v>41798</v>
      </c>
      <c r="K1853" s="43" t="n">
        <f aca="false">J1853-I1853</f>
        <v>5</v>
      </c>
      <c r="L1853" s="1" t="n">
        <v>5</v>
      </c>
      <c r="M1853" s="3" t="s">
        <v>72</v>
      </c>
      <c r="N1853" s="3" t="s">
        <v>86</v>
      </c>
      <c r="O1853" s="3" t="s">
        <v>87</v>
      </c>
      <c r="P1853" s="2" t="str">
        <f aca="false">CONCATENATE(N1853," ",O1853)</f>
        <v>Haplodrassus soerenseni</v>
      </c>
      <c r="Q1853" s="1" t="s">
        <v>30</v>
      </c>
      <c r="R1853" s="1" t="s">
        <v>35</v>
      </c>
      <c r="S1853" s="3" t="n">
        <v>0</v>
      </c>
      <c r="T1853" s="3" t="n">
        <v>1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f aca="false">SUM(S1853:T1853)</f>
        <v>1</v>
      </c>
      <c r="Z1853" s="3" t="n">
        <f aca="false">SUM(U1853:W1853)</f>
        <v>0</v>
      </c>
      <c r="AA1853" s="3" t="n">
        <f aca="false">SUM(S1853:X1853)</f>
        <v>1</v>
      </c>
      <c r="AB1853" s="11" t="n">
        <f aca="false">(AA1853/(K1853*L1853)*25)*4</f>
        <v>4</v>
      </c>
    </row>
    <row r="1854" customFormat="false" ht="14.25" hidden="false" customHeight="false" outlineLevel="0" collapsed="false">
      <c r="A1854" s="1" t="n">
        <v>2014</v>
      </c>
      <c r="B1854" s="7" t="s">
        <v>322</v>
      </c>
      <c r="C1854" s="7" t="n">
        <v>2</v>
      </c>
      <c r="D1854" s="7" t="s">
        <v>294</v>
      </c>
      <c r="E1854" s="7" t="s">
        <v>294</v>
      </c>
      <c r="F1854" s="3" t="s">
        <v>158</v>
      </c>
      <c r="G1854" s="3" t="n">
        <v>3</v>
      </c>
      <c r="H1854" s="3" t="n">
        <v>15</v>
      </c>
      <c r="I1854" s="22" t="n">
        <v>41793</v>
      </c>
      <c r="J1854" s="22" t="n">
        <v>41798</v>
      </c>
      <c r="K1854" s="43" t="n">
        <f aca="false">J1854-I1854</f>
        <v>5</v>
      </c>
      <c r="L1854" s="1" t="n">
        <v>5</v>
      </c>
      <c r="M1854" s="3" t="s">
        <v>72</v>
      </c>
      <c r="N1854" s="3" t="s">
        <v>73</v>
      </c>
      <c r="O1854" s="3" t="s">
        <v>74</v>
      </c>
      <c r="P1854" s="2" t="str">
        <f aca="false">CONCATENATE(N1854," ",O1854)</f>
        <v>Zelotes subterraneus</v>
      </c>
      <c r="Q1854" s="1" t="s">
        <v>30</v>
      </c>
      <c r="R1854" s="1" t="s">
        <v>31</v>
      </c>
      <c r="S1854" s="3" t="n">
        <v>1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f aca="false">SUM(S1854:T1854)</f>
        <v>1</v>
      </c>
      <c r="Z1854" s="3" t="n">
        <f aca="false">SUM(U1854:W1854)</f>
        <v>0</v>
      </c>
      <c r="AA1854" s="3" t="n">
        <f aca="false">SUM(S1854:X1854)</f>
        <v>1</v>
      </c>
      <c r="AB1854" s="11" t="n">
        <f aca="false">(AA1854/(K1854*L1854)*25)*4</f>
        <v>4</v>
      </c>
    </row>
    <row r="1855" customFormat="false" ht="14.25" hidden="false" customHeight="false" outlineLevel="0" collapsed="false">
      <c r="A1855" s="1" t="n">
        <v>2014</v>
      </c>
      <c r="B1855" s="7" t="s">
        <v>322</v>
      </c>
      <c r="C1855" s="7" t="n">
        <v>2</v>
      </c>
      <c r="D1855" s="7" t="s">
        <v>294</v>
      </c>
      <c r="E1855" s="7" t="s">
        <v>294</v>
      </c>
      <c r="F1855" s="3" t="s">
        <v>158</v>
      </c>
      <c r="G1855" s="3" t="n">
        <v>3</v>
      </c>
      <c r="H1855" s="3" t="n">
        <v>15</v>
      </c>
      <c r="I1855" s="22" t="n">
        <v>41793</v>
      </c>
      <c r="J1855" s="22" t="n">
        <v>41798</v>
      </c>
      <c r="K1855" s="43" t="n">
        <f aca="false">J1855-I1855</f>
        <v>5</v>
      </c>
      <c r="L1855" s="1" t="n">
        <v>5</v>
      </c>
      <c r="M1855" s="3" t="s">
        <v>32</v>
      </c>
      <c r="N1855" s="3" t="s">
        <v>169</v>
      </c>
      <c r="O1855" s="3" t="s">
        <v>170</v>
      </c>
      <c r="P1855" s="2" t="str">
        <f aca="false">CONCATENATE(N1855," ",O1855)</f>
        <v>Abacoproeces saltuum</v>
      </c>
      <c r="Q1855" s="1" t="s">
        <v>30</v>
      </c>
      <c r="R1855" s="1" t="s">
        <v>31</v>
      </c>
      <c r="S1855" s="3" t="n">
        <v>1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f aca="false">SUM(S1855:T1855)</f>
        <v>1</v>
      </c>
      <c r="Z1855" s="3" t="n">
        <f aca="false">SUM(U1855:W1855)</f>
        <v>0</v>
      </c>
      <c r="AA1855" s="3" t="n">
        <f aca="false">SUM(S1855:X1855)</f>
        <v>1</v>
      </c>
      <c r="AB1855" s="11" t="n">
        <f aca="false">(AA1855/(K1855*L1855)*25)*4</f>
        <v>4</v>
      </c>
    </row>
    <row r="1856" customFormat="false" ht="14.25" hidden="false" customHeight="false" outlineLevel="0" collapsed="false">
      <c r="A1856" s="1" t="n">
        <v>2014</v>
      </c>
      <c r="B1856" s="7" t="s">
        <v>322</v>
      </c>
      <c r="C1856" s="7" t="n">
        <v>2</v>
      </c>
      <c r="D1856" s="7" t="s">
        <v>294</v>
      </c>
      <c r="E1856" s="7" t="s">
        <v>294</v>
      </c>
      <c r="F1856" s="3" t="s">
        <v>158</v>
      </c>
      <c r="G1856" s="3" t="n">
        <v>3</v>
      </c>
      <c r="H1856" s="3" t="n">
        <v>15</v>
      </c>
      <c r="I1856" s="22" t="n">
        <v>41793</v>
      </c>
      <c r="J1856" s="22" t="n">
        <v>41798</v>
      </c>
      <c r="K1856" s="43" t="n">
        <f aca="false">J1856-I1856</f>
        <v>5</v>
      </c>
      <c r="L1856" s="1" t="n">
        <v>5</v>
      </c>
      <c r="M1856" s="3" t="s">
        <v>32</v>
      </c>
      <c r="N1856" s="3" t="s">
        <v>169</v>
      </c>
      <c r="O1856" s="3" t="s">
        <v>170</v>
      </c>
      <c r="P1856" s="2" t="str">
        <f aca="false">CONCATENATE(N1856," ",O1856)</f>
        <v>Abacoproeces saltuum</v>
      </c>
      <c r="Q1856" s="1" t="s">
        <v>30</v>
      </c>
      <c r="R1856" s="1" t="s">
        <v>35</v>
      </c>
      <c r="S1856" s="3" t="n">
        <v>0</v>
      </c>
      <c r="T1856" s="3" t="n">
        <v>2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f aca="false">SUM(S1856:T1856)</f>
        <v>2</v>
      </c>
      <c r="Z1856" s="3" t="n">
        <f aca="false">SUM(U1856:W1856)</f>
        <v>0</v>
      </c>
      <c r="AA1856" s="3" t="n">
        <f aca="false">SUM(S1856:X1856)</f>
        <v>2</v>
      </c>
      <c r="AB1856" s="11" t="n">
        <f aca="false">(AA1856/(K1856*L1856)*25)*4</f>
        <v>8</v>
      </c>
    </row>
    <row r="1857" customFormat="false" ht="14.25" hidden="false" customHeight="false" outlineLevel="0" collapsed="false">
      <c r="A1857" s="1" t="n">
        <v>2014</v>
      </c>
      <c r="B1857" s="7" t="s">
        <v>322</v>
      </c>
      <c r="C1857" s="7" t="n">
        <v>2</v>
      </c>
      <c r="D1857" s="7" t="s">
        <v>294</v>
      </c>
      <c r="E1857" s="7" t="s">
        <v>294</v>
      </c>
      <c r="F1857" s="3" t="s">
        <v>158</v>
      </c>
      <c r="G1857" s="3" t="n">
        <v>3</v>
      </c>
      <c r="H1857" s="3" t="n">
        <v>15</v>
      </c>
      <c r="I1857" s="22" t="n">
        <v>41793</v>
      </c>
      <c r="J1857" s="22" t="n">
        <v>41798</v>
      </c>
      <c r="K1857" s="43" t="n">
        <f aca="false">J1857-I1857</f>
        <v>5</v>
      </c>
      <c r="L1857" s="1" t="n">
        <v>5</v>
      </c>
      <c r="M1857" s="3" t="s">
        <v>32</v>
      </c>
      <c r="N1857" s="3" t="s">
        <v>102</v>
      </c>
      <c r="O1857" s="3" t="s">
        <v>192</v>
      </c>
      <c r="P1857" s="2" t="str">
        <f aca="false">CONCATENATE(N1857," ",O1857)</f>
        <v>Agyneta allosubtilis</v>
      </c>
      <c r="Q1857" s="1" t="s">
        <v>30</v>
      </c>
      <c r="R1857" s="1" t="s">
        <v>31</v>
      </c>
      <c r="S1857" s="3" t="n">
        <v>1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f aca="false">SUM(S1857:T1857)</f>
        <v>1</v>
      </c>
      <c r="Z1857" s="3" t="n">
        <f aca="false">SUM(U1857:W1857)</f>
        <v>0</v>
      </c>
      <c r="AA1857" s="3" t="n">
        <f aca="false">SUM(S1857:X1857)</f>
        <v>1</v>
      </c>
      <c r="AB1857" s="11" t="n">
        <f aca="false">(AA1857/(K1857*L1857)*25)*4</f>
        <v>4</v>
      </c>
    </row>
    <row r="1858" customFormat="false" ht="14.25" hidden="false" customHeight="false" outlineLevel="0" collapsed="false">
      <c r="A1858" s="1" t="n">
        <v>2014</v>
      </c>
      <c r="B1858" s="7" t="s">
        <v>322</v>
      </c>
      <c r="C1858" s="7" t="n">
        <v>2</v>
      </c>
      <c r="D1858" s="7" t="s">
        <v>294</v>
      </c>
      <c r="E1858" s="7" t="s">
        <v>294</v>
      </c>
      <c r="F1858" s="3" t="s">
        <v>158</v>
      </c>
      <c r="G1858" s="3" t="n">
        <v>3</v>
      </c>
      <c r="H1858" s="3" t="n">
        <v>15</v>
      </c>
      <c r="I1858" s="22" t="n">
        <v>41793</v>
      </c>
      <c r="J1858" s="22" t="n">
        <v>41798</v>
      </c>
      <c r="K1858" s="43" t="n">
        <f aca="false">J1858-I1858</f>
        <v>5</v>
      </c>
      <c r="L1858" s="1" t="n">
        <v>5</v>
      </c>
      <c r="M1858" s="3" t="s">
        <v>32</v>
      </c>
      <c r="N1858" s="3" t="s">
        <v>96</v>
      </c>
      <c r="O1858" s="3" t="s">
        <v>97</v>
      </c>
      <c r="P1858" s="2" t="str">
        <f aca="false">CONCATENATE(N1858," ",O1858)</f>
        <v>Diplocephalus picinus</v>
      </c>
      <c r="Q1858" s="1" t="s">
        <v>30</v>
      </c>
      <c r="R1858" s="1" t="s">
        <v>31</v>
      </c>
      <c r="S1858" s="3" t="n">
        <v>1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f aca="false">SUM(S1858:T1858)</f>
        <v>1</v>
      </c>
      <c r="Z1858" s="3" t="n">
        <f aca="false">SUM(U1858:W1858)</f>
        <v>0</v>
      </c>
      <c r="AA1858" s="3" t="n">
        <f aca="false">SUM(S1858:X1858)</f>
        <v>1</v>
      </c>
      <c r="AB1858" s="11" t="n">
        <f aca="false">(AA1858/(K1858*L1858)*25)*4</f>
        <v>4</v>
      </c>
    </row>
    <row r="1859" customFormat="false" ht="14.25" hidden="false" customHeight="false" outlineLevel="0" collapsed="false">
      <c r="A1859" s="1" t="n">
        <v>2014</v>
      </c>
      <c r="B1859" s="7" t="s">
        <v>322</v>
      </c>
      <c r="C1859" s="7" t="n">
        <v>2</v>
      </c>
      <c r="D1859" s="7" t="s">
        <v>294</v>
      </c>
      <c r="E1859" s="7" t="s">
        <v>294</v>
      </c>
      <c r="F1859" s="3" t="s">
        <v>158</v>
      </c>
      <c r="G1859" s="3" t="n">
        <v>2</v>
      </c>
      <c r="H1859" s="3" t="n">
        <v>8</v>
      </c>
      <c r="I1859" s="22" t="n">
        <v>41793</v>
      </c>
      <c r="J1859" s="22" t="n">
        <v>41798</v>
      </c>
      <c r="K1859" s="43" t="n">
        <f aca="false">J1859-I1859</f>
        <v>5</v>
      </c>
      <c r="L1859" s="1" t="n">
        <v>5</v>
      </c>
      <c r="M1859" s="3" t="s">
        <v>48</v>
      </c>
      <c r="N1859" s="3" t="s">
        <v>49</v>
      </c>
      <c r="O1859" s="3" t="s">
        <v>119</v>
      </c>
      <c r="P1859" s="2" t="str">
        <f aca="false">CONCATENATE(N1859," ",O1859)</f>
        <v>Alopecosa sulzeri</v>
      </c>
      <c r="Q1859" s="1" t="s">
        <v>30</v>
      </c>
      <c r="R1859" s="1" t="s">
        <v>31</v>
      </c>
      <c r="S1859" s="3" t="n">
        <v>1</v>
      </c>
      <c r="T1859" s="3" t="n">
        <v>0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f aca="false">SUM(S1859:T1859)</f>
        <v>1</v>
      </c>
      <c r="Z1859" s="3" t="n">
        <f aca="false">SUM(U1859:W1859)</f>
        <v>0</v>
      </c>
      <c r="AA1859" s="3" t="n">
        <f aca="false">SUM(S1859:X1859)</f>
        <v>1</v>
      </c>
      <c r="AB1859" s="11" t="n">
        <f aca="false">(AA1859/(K1859*L1859)*25)*4</f>
        <v>4</v>
      </c>
    </row>
    <row r="1860" customFormat="false" ht="14.25" hidden="false" customHeight="false" outlineLevel="0" collapsed="false">
      <c r="A1860" s="1" t="n">
        <v>2014</v>
      </c>
      <c r="B1860" s="7" t="s">
        <v>322</v>
      </c>
      <c r="C1860" s="7" t="n">
        <v>2</v>
      </c>
      <c r="D1860" s="7" t="s">
        <v>294</v>
      </c>
      <c r="E1860" s="7" t="s">
        <v>294</v>
      </c>
      <c r="F1860" s="3" t="s">
        <v>158</v>
      </c>
      <c r="G1860" s="3" t="n">
        <v>2</v>
      </c>
      <c r="H1860" s="3" t="n">
        <v>8</v>
      </c>
      <c r="I1860" s="22" t="n">
        <v>41793</v>
      </c>
      <c r="J1860" s="22" t="n">
        <v>41798</v>
      </c>
      <c r="K1860" s="43" t="n">
        <f aca="false">J1860-I1860</f>
        <v>5</v>
      </c>
      <c r="L1860" s="1" t="n">
        <v>5</v>
      </c>
      <c r="M1860" s="3" t="s">
        <v>48</v>
      </c>
      <c r="N1860" s="3" t="s">
        <v>49</v>
      </c>
      <c r="O1860" s="3" t="s">
        <v>130</v>
      </c>
      <c r="P1860" s="2" t="str">
        <f aca="false">CONCATENATE(N1860," ",O1860)</f>
        <v>Alopecosa aculeata</v>
      </c>
      <c r="Q1860" s="1" t="s">
        <v>30</v>
      </c>
      <c r="R1860" s="1" t="s">
        <v>31</v>
      </c>
      <c r="S1860" s="3" t="n">
        <v>1</v>
      </c>
      <c r="T1860" s="3" t="n">
        <v>0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f aca="false">SUM(S1860:T1860)</f>
        <v>1</v>
      </c>
      <c r="Z1860" s="3" t="n">
        <f aca="false">SUM(U1860:W1860)</f>
        <v>0</v>
      </c>
      <c r="AA1860" s="3" t="n">
        <f aca="false">SUM(S1860:X1860)</f>
        <v>1</v>
      </c>
      <c r="AB1860" s="11" t="n">
        <f aca="false">(AA1860/(K1860*L1860)*25)*4</f>
        <v>4</v>
      </c>
    </row>
    <row r="1861" customFormat="false" ht="14.25" hidden="false" customHeight="false" outlineLevel="0" collapsed="false">
      <c r="A1861" s="1" t="n">
        <v>2014</v>
      </c>
      <c r="B1861" s="7" t="s">
        <v>322</v>
      </c>
      <c r="C1861" s="7" t="n">
        <v>2</v>
      </c>
      <c r="D1861" s="7" t="s">
        <v>294</v>
      </c>
      <c r="E1861" s="7" t="s">
        <v>294</v>
      </c>
      <c r="F1861" s="3" t="s">
        <v>158</v>
      </c>
      <c r="G1861" s="3" t="n">
        <v>2</v>
      </c>
      <c r="H1861" s="3" t="n">
        <v>8</v>
      </c>
      <c r="I1861" s="22" t="n">
        <v>41793</v>
      </c>
      <c r="J1861" s="22" t="n">
        <v>41798</v>
      </c>
      <c r="K1861" s="43" t="n">
        <f aca="false">J1861-I1861</f>
        <v>5</v>
      </c>
      <c r="L1861" s="1" t="n">
        <v>5</v>
      </c>
      <c r="M1861" s="3" t="s">
        <v>48</v>
      </c>
      <c r="N1861" s="3" t="s">
        <v>49</v>
      </c>
      <c r="O1861" s="3" t="s">
        <v>104</v>
      </c>
      <c r="P1861" s="2" t="str">
        <f aca="false">CONCATENATE(N1861," ",O1861)</f>
        <v>Alopecosa taeniata</v>
      </c>
      <c r="Q1861" s="1" t="s">
        <v>30</v>
      </c>
      <c r="R1861" s="1" t="s">
        <v>31</v>
      </c>
      <c r="S1861" s="3" t="n">
        <v>3</v>
      </c>
      <c r="T1861" s="3" t="n">
        <v>0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f aca="false">SUM(S1861:T1861)</f>
        <v>3</v>
      </c>
      <c r="Z1861" s="3" t="n">
        <f aca="false">SUM(U1861:W1861)</f>
        <v>0</v>
      </c>
      <c r="AA1861" s="3" t="n">
        <f aca="false">SUM(S1861:X1861)</f>
        <v>3</v>
      </c>
      <c r="AB1861" s="11" t="n">
        <f aca="false">(AA1861/(K1861*L1861)*25)*4</f>
        <v>12</v>
      </c>
    </row>
    <row r="1862" customFormat="false" ht="14.25" hidden="false" customHeight="false" outlineLevel="0" collapsed="false">
      <c r="A1862" s="1" t="n">
        <v>2014</v>
      </c>
      <c r="B1862" s="7" t="s">
        <v>322</v>
      </c>
      <c r="C1862" s="7" t="n">
        <v>2</v>
      </c>
      <c r="D1862" s="7" t="s">
        <v>294</v>
      </c>
      <c r="E1862" s="7" t="s">
        <v>294</v>
      </c>
      <c r="F1862" s="3" t="s">
        <v>158</v>
      </c>
      <c r="G1862" s="3" t="n">
        <v>2</v>
      </c>
      <c r="H1862" s="3" t="n">
        <v>8</v>
      </c>
      <c r="I1862" s="22" t="n">
        <v>41793</v>
      </c>
      <c r="J1862" s="22" t="n">
        <v>41798</v>
      </c>
      <c r="K1862" s="43" t="n">
        <f aca="false">J1862-I1862</f>
        <v>5</v>
      </c>
      <c r="L1862" s="1" t="n">
        <v>5</v>
      </c>
      <c r="M1862" s="3" t="s">
        <v>48</v>
      </c>
      <c r="N1862" s="3" t="s">
        <v>49</v>
      </c>
      <c r="O1862" s="3" t="s">
        <v>104</v>
      </c>
      <c r="P1862" s="2" t="str">
        <f aca="false">CONCATENATE(N1862," ",O1862)</f>
        <v>Alopecosa taeniata</v>
      </c>
      <c r="Q1862" s="1" t="s">
        <v>30</v>
      </c>
      <c r="R1862" s="1" t="s">
        <v>35</v>
      </c>
      <c r="S1862" s="3" t="n">
        <v>0</v>
      </c>
      <c r="T1862" s="3" t="n">
        <v>1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f aca="false">SUM(S1862:T1862)</f>
        <v>1</v>
      </c>
      <c r="Z1862" s="3" t="n">
        <f aca="false">SUM(U1862:W1862)</f>
        <v>0</v>
      </c>
      <c r="AA1862" s="3" t="n">
        <f aca="false">SUM(S1862:X1862)</f>
        <v>1</v>
      </c>
      <c r="AB1862" s="11" t="n">
        <f aca="false">(AA1862/(K1862*L1862)*25)*4</f>
        <v>4</v>
      </c>
    </row>
    <row r="1863" customFormat="false" ht="14.25" hidden="false" customHeight="false" outlineLevel="0" collapsed="false">
      <c r="A1863" s="1" t="n">
        <v>2014</v>
      </c>
      <c r="B1863" s="7" t="s">
        <v>322</v>
      </c>
      <c r="C1863" s="7" t="n">
        <v>2</v>
      </c>
      <c r="D1863" s="7" t="s">
        <v>294</v>
      </c>
      <c r="E1863" s="7" t="s">
        <v>294</v>
      </c>
      <c r="F1863" s="3" t="s">
        <v>158</v>
      </c>
      <c r="G1863" s="3" t="n">
        <v>2</v>
      </c>
      <c r="H1863" s="3" t="n">
        <v>8</v>
      </c>
      <c r="I1863" s="22" t="n">
        <v>41793</v>
      </c>
      <c r="J1863" s="22" t="n">
        <v>41798</v>
      </c>
      <c r="K1863" s="43" t="n">
        <f aca="false">J1863-I1863</f>
        <v>5</v>
      </c>
      <c r="L1863" s="1" t="n">
        <v>5</v>
      </c>
      <c r="M1863" s="3" t="s">
        <v>72</v>
      </c>
      <c r="N1863" s="3" t="s">
        <v>73</v>
      </c>
      <c r="O1863" s="3" t="s">
        <v>74</v>
      </c>
      <c r="P1863" s="2" t="str">
        <f aca="false">CONCATENATE(N1863," ",O1863)</f>
        <v>Zelotes subterraneus</v>
      </c>
      <c r="Q1863" s="1" t="s">
        <v>30</v>
      </c>
      <c r="R1863" s="1" t="s">
        <v>31</v>
      </c>
      <c r="S1863" s="3" t="n">
        <v>1</v>
      </c>
      <c r="T1863" s="3" t="n">
        <v>0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f aca="false">SUM(S1863:T1863)</f>
        <v>1</v>
      </c>
      <c r="Z1863" s="3" t="n">
        <f aca="false">SUM(U1863:W1863)</f>
        <v>0</v>
      </c>
      <c r="AA1863" s="3" t="n">
        <f aca="false">SUM(S1863:X1863)</f>
        <v>1</v>
      </c>
      <c r="AB1863" s="11" t="n">
        <f aca="false">(AA1863/(K1863*L1863)*25)*4</f>
        <v>4</v>
      </c>
    </row>
    <row r="1864" customFormat="false" ht="14.25" hidden="false" customHeight="false" outlineLevel="0" collapsed="false">
      <c r="A1864" s="1" t="n">
        <v>2014</v>
      </c>
      <c r="B1864" s="7" t="s">
        <v>322</v>
      </c>
      <c r="C1864" s="7" t="n">
        <v>2</v>
      </c>
      <c r="D1864" s="7" t="s">
        <v>294</v>
      </c>
      <c r="E1864" s="7" t="s">
        <v>294</v>
      </c>
      <c r="F1864" s="3" t="s">
        <v>158</v>
      </c>
      <c r="G1864" s="3" t="n">
        <v>2</v>
      </c>
      <c r="H1864" s="3" t="n">
        <v>8</v>
      </c>
      <c r="I1864" s="22" t="n">
        <v>41793</v>
      </c>
      <c r="J1864" s="22" t="n">
        <v>41798</v>
      </c>
      <c r="K1864" s="43" t="n">
        <f aca="false">J1864-I1864</f>
        <v>5</v>
      </c>
      <c r="L1864" s="1" t="n">
        <v>5</v>
      </c>
      <c r="M1864" s="3" t="s">
        <v>48</v>
      </c>
      <c r="N1864" s="3" t="s">
        <v>67</v>
      </c>
      <c r="O1864" s="3" t="s">
        <v>127</v>
      </c>
      <c r="P1864" s="2" t="str">
        <f aca="false">CONCATENATE(N1864," ",O1864)</f>
        <v>Pardosa lugubris</v>
      </c>
      <c r="Q1864" s="1" t="s">
        <v>30</v>
      </c>
      <c r="R1864" s="1" t="s">
        <v>31</v>
      </c>
      <c r="S1864" s="3" t="n">
        <v>5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f aca="false">SUM(S1864:T1864)</f>
        <v>5</v>
      </c>
      <c r="Z1864" s="3" t="n">
        <f aca="false">SUM(U1864:W1864)</f>
        <v>0</v>
      </c>
      <c r="AA1864" s="3" t="n">
        <f aca="false">SUM(S1864:X1864)</f>
        <v>5</v>
      </c>
      <c r="AB1864" s="11" t="n">
        <f aca="false">(AA1864/(K1864*L1864)*25)*4</f>
        <v>20</v>
      </c>
    </row>
    <row r="1865" customFormat="false" ht="14.25" hidden="false" customHeight="false" outlineLevel="0" collapsed="false">
      <c r="A1865" s="1" t="n">
        <v>2014</v>
      </c>
      <c r="B1865" s="7" t="s">
        <v>322</v>
      </c>
      <c r="C1865" s="7" t="n">
        <v>2</v>
      </c>
      <c r="D1865" s="7" t="s">
        <v>294</v>
      </c>
      <c r="E1865" s="7" t="s">
        <v>294</v>
      </c>
      <c r="F1865" s="3" t="s">
        <v>158</v>
      </c>
      <c r="G1865" s="3" t="n">
        <v>2</v>
      </c>
      <c r="H1865" s="3" t="n">
        <v>8</v>
      </c>
      <c r="I1865" s="22" t="n">
        <v>41793</v>
      </c>
      <c r="J1865" s="22" t="n">
        <v>41798</v>
      </c>
      <c r="K1865" s="43" t="n">
        <f aca="false">J1865-I1865</f>
        <v>5</v>
      </c>
      <c r="L1865" s="1" t="n">
        <v>5</v>
      </c>
      <c r="M1865" s="3" t="s">
        <v>48</v>
      </c>
      <c r="N1865" s="3" t="s">
        <v>67</v>
      </c>
      <c r="O1865" s="3" t="s">
        <v>127</v>
      </c>
      <c r="P1865" s="2" t="str">
        <f aca="false">CONCATENATE(N1865," ",O1865)</f>
        <v>Pardosa lugubris</v>
      </c>
      <c r="Q1865" s="1" t="s">
        <v>30</v>
      </c>
      <c r="R1865" s="1" t="s">
        <v>35</v>
      </c>
      <c r="S1865" s="3" t="n">
        <v>0</v>
      </c>
      <c r="T1865" s="3" t="n">
        <v>1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f aca="false">SUM(S1865:T1865)</f>
        <v>1</v>
      </c>
      <c r="Z1865" s="3" t="n">
        <f aca="false">SUM(U1865:W1865)</f>
        <v>0</v>
      </c>
      <c r="AA1865" s="3" t="n">
        <f aca="false">SUM(S1865:X1865)</f>
        <v>1</v>
      </c>
      <c r="AB1865" s="11" t="n">
        <f aca="false">(AA1865/(K1865*L1865)*25)*4</f>
        <v>4</v>
      </c>
    </row>
    <row r="1866" customFormat="false" ht="14.25" hidden="false" customHeight="false" outlineLevel="0" collapsed="false">
      <c r="A1866" s="1" t="n">
        <v>2014</v>
      </c>
      <c r="B1866" s="7" t="s">
        <v>322</v>
      </c>
      <c r="C1866" s="7" t="n">
        <v>2</v>
      </c>
      <c r="D1866" s="7" t="s">
        <v>294</v>
      </c>
      <c r="E1866" s="7" t="s">
        <v>294</v>
      </c>
      <c r="F1866" s="3" t="s">
        <v>158</v>
      </c>
      <c r="G1866" s="3" t="n">
        <v>2</v>
      </c>
      <c r="H1866" s="3" t="n">
        <v>8</v>
      </c>
      <c r="I1866" s="22" t="n">
        <v>41793</v>
      </c>
      <c r="J1866" s="22" t="n">
        <v>41798</v>
      </c>
      <c r="K1866" s="43" t="n">
        <f aca="false">J1866-I1866</f>
        <v>5</v>
      </c>
      <c r="L1866" s="1" t="n">
        <v>5</v>
      </c>
      <c r="M1866" s="3" t="s">
        <v>27</v>
      </c>
      <c r="N1866" s="3" t="s">
        <v>28</v>
      </c>
      <c r="O1866" s="3" t="s">
        <v>29</v>
      </c>
      <c r="P1866" s="2" t="str">
        <f aca="false">CONCATENATE(N1866," ",O1866)</f>
        <v>Robertus lividus</v>
      </c>
      <c r="Q1866" s="1" t="s">
        <v>30</v>
      </c>
      <c r="R1866" s="1" t="s">
        <v>31</v>
      </c>
      <c r="S1866" s="3" t="n">
        <v>1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f aca="false">SUM(S1866:T1866)</f>
        <v>1</v>
      </c>
      <c r="Z1866" s="3" t="n">
        <f aca="false">SUM(U1866:W1866)</f>
        <v>0</v>
      </c>
      <c r="AA1866" s="3" t="n">
        <f aca="false">SUM(S1866:X1866)</f>
        <v>1</v>
      </c>
      <c r="AB1866" s="11" t="n">
        <f aca="false">(AA1866/(K1866*L1866)*25)*4</f>
        <v>4</v>
      </c>
    </row>
    <row r="1867" customFormat="false" ht="14.25" hidden="false" customHeight="false" outlineLevel="0" collapsed="false">
      <c r="A1867" s="1" t="n">
        <v>2014</v>
      </c>
      <c r="B1867" s="7" t="s">
        <v>322</v>
      </c>
      <c r="C1867" s="7" t="n">
        <v>2</v>
      </c>
      <c r="D1867" s="7" t="s">
        <v>294</v>
      </c>
      <c r="E1867" s="7" t="s">
        <v>294</v>
      </c>
      <c r="F1867" s="3" t="s">
        <v>158</v>
      </c>
      <c r="G1867" s="3" t="n">
        <v>2</v>
      </c>
      <c r="H1867" s="3" t="n">
        <v>8</v>
      </c>
      <c r="I1867" s="22" t="n">
        <v>41793</v>
      </c>
      <c r="J1867" s="22" t="n">
        <v>41798</v>
      </c>
      <c r="K1867" s="43" t="n">
        <f aca="false">J1867-I1867</f>
        <v>5</v>
      </c>
      <c r="L1867" s="1" t="n">
        <v>5</v>
      </c>
      <c r="M1867" s="3" t="s">
        <v>32</v>
      </c>
      <c r="N1867" s="3" t="s">
        <v>169</v>
      </c>
      <c r="O1867" s="3" t="s">
        <v>170</v>
      </c>
      <c r="P1867" s="2" t="str">
        <f aca="false">CONCATENATE(N1867," ",O1867)</f>
        <v>Abacoproeces saltuum</v>
      </c>
      <c r="Q1867" s="1" t="s">
        <v>30</v>
      </c>
      <c r="R1867" s="1" t="s">
        <v>31</v>
      </c>
      <c r="S1867" s="3" t="n">
        <v>1</v>
      </c>
      <c r="T1867" s="3" t="n">
        <v>0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f aca="false">SUM(S1867:T1867)</f>
        <v>1</v>
      </c>
      <c r="Z1867" s="3" t="n">
        <f aca="false">SUM(U1867:W1867)</f>
        <v>0</v>
      </c>
      <c r="AA1867" s="3" t="n">
        <f aca="false">SUM(S1867:X1867)</f>
        <v>1</v>
      </c>
      <c r="AB1867" s="11" t="n">
        <f aca="false">(AA1867/(K1867*L1867)*25)*4</f>
        <v>4</v>
      </c>
    </row>
    <row r="1868" customFormat="false" ht="14.25" hidden="false" customHeight="false" outlineLevel="0" collapsed="false">
      <c r="A1868" s="1" t="n">
        <v>2014</v>
      </c>
      <c r="B1868" s="7" t="s">
        <v>322</v>
      </c>
      <c r="C1868" s="7" t="n">
        <v>2</v>
      </c>
      <c r="D1868" s="7" t="s">
        <v>294</v>
      </c>
      <c r="E1868" s="7" t="s">
        <v>294</v>
      </c>
      <c r="F1868" s="3" t="s">
        <v>158</v>
      </c>
      <c r="G1868" s="3" t="n">
        <v>2</v>
      </c>
      <c r="H1868" s="3" t="n">
        <v>8</v>
      </c>
      <c r="I1868" s="22" t="n">
        <v>41793</v>
      </c>
      <c r="J1868" s="22" t="n">
        <v>41798</v>
      </c>
      <c r="K1868" s="43" t="n">
        <f aca="false">J1868-I1868</f>
        <v>5</v>
      </c>
      <c r="L1868" s="1" t="n">
        <v>5</v>
      </c>
      <c r="M1868" s="3" t="s">
        <v>32</v>
      </c>
      <c r="N1868" s="3" t="s">
        <v>169</v>
      </c>
      <c r="O1868" s="3" t="s">
        <v>170</v>
      </c>
      <c r="P1868" s="2" t="str">
        <f aca="false">CONCATENATE(N1868," ",O1868)</f>
        <v>Abacoproeces saltuum</v>
      </c>
      <c r="Q1868" s="1" t="s">
        <v>30</v>
      </c>
      <c r="R1868" s="1" t="s">
        <v>35</v>
      </c>
      <c r="S1868" s="3" t="n">
        <v>0</v>
      </c>
      <c r="T1868" s="3" t="n">
        <v>1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f aca="false">SUM(S1868:T1868)</f>
        <v>1</v>
      </c>
      <c r="Z1868" s="3" t="n">
        <f aca="false">SUM(U1868:W1868)</f>
        <v>0</v>
      </c>
      <c r="AA1868" s="3" t="n">
        <f aca="false">SUM(S1868:X1868)</f>
        <v>1</v>
      </c>
      <c r="AB1868" s="11" t="n">
        <f aca="false">(AA1868/(K1868*L1868)*25)*4</f>
        <v>4</v>
      </c>
    </row>
    <row r="1869" customFormat="false" ht="14.25" hidden="false" customHeight="false" outlineLevel="0" collapsed="false">
      <c r="A1869" s="1" t="n">
        <v>2014</v>
      </c>
      <c r="B1869" s="7" t="s">
        <v>322</v>
      </c>
      <c r="C1869" s="7" t="n">
        <v>2</v>
      </c>
      <c r="D1869" s="7" t="s">
        <v>294</v>
      </c>
      <c r="E1869" s="7" t="s">
        <v>294</v>
      </c>
      <c r="F1869" s="3" t="s">
        <v>158</v>
      </c>
      <c r="G1869" s="3" t="n">
        <v>2</v>
      </c>
      <c r="H1869" s="3" t="n">
        <v>8</v>
      </c>
      <c r="I1869" s="22" t="n">
        <v>41793</v>
      </c>
      <c r="J1869" s="22" t="n">
        <v>41798</v>
      </c>
      <c r="K1869" s="43" t="n">
        <f aca="false">J1869-I1869</f>
        <v>5</v>
      </c>
      <c r="L1869" s="1" t="n">
        <v>5</v>
      </c>
      <c r="M1869" s="3" t="s">
        <v>32</v>
      </c>
      <c r="N1869" s="3" t="s">
        <v>96</v>
      </c>
      <c r="O1869" s="3" t="s">
        <v>97</v>
      </c>
      <c r="P1869" s="2" t="str">
        <f aca="false">CONCATENATE(N1869," ",O1869)</f>
        <v>Diplocephalus picinus</v>
      </c>
      <c r="Q1869" s="1" t="s">
        <v>30</v>
      </c>
      <c r="R1869" s="1" t="s">
        <v>31</v>
      </c>
      <c r="S1869" s="3" t="n">
        <v>3</v>
      </c>
      <c r="T1869" s="3" t="n">
        <v>0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f aca="false">SUM(S1869:T1869)</f>
        <v>3</v>
      </c>
      <c r="Z1869" s="3" t="n">
        <f aca="false">SUM(U1869:W1869)</f>
        <v>0</v>
      </c>
      <c r="AA1869" s="3" t="n">
        <f aca="false">SUM(S1869:X1869)</f>
        <v>3</v>
      </c>
      <c r="AB1869" s="11" t="n">
        <f aca="false">(AA1869/(K1869*L1869)*25)*4</f>
        <v>12</v>
      </c>
    </row>
    <row r="1870" customFormat="false" ht="14.25" hidden="false" customHeight="false" outlineLevel="0" collapsed="false">
      <c r="A1870" s="1" t="n">
        <v>2014</v>
      </c>
      <c r="B1870" s="7" t="s">
        <v>322</v>
      </c>
      <c r="C1870" s="7" t="n">
        <v>2</v>
      </c>
      <c r="D1870" s="7" t="s">
        <v>294</v>
      </c>
      <c r="E1870" s="7" t="s">
        <v>294</v>
      </c>
      <c r="F1870" s="3" t="s">
        <v>158</v>
      </c>
      <c r="G1870" s="3" t="n">
        <v>2</v>
      </c>
      <c r="H1870" s="3" t="n">
        <v>8</v>
      </c>
      <c r="I1870" s="22" t="n">
        <v>41793</v>
      </c>
      <c r="J1870" s="22" t="n">
        <v>41798</v>
      </c>
      <c r="K1870" s="43" t="n">
        <f aca="false">J1870-I1870</f>
        <v>5</v>
      </c>
      <c r="L1870" s="1" t="n">
        <v>5</v>
      </c>
      <c r="M1870" s="3" t="s">
        <v>32</v>
      </c>
      <c r="N1870" s="3" t="s">
        <v>55</v>
      </c>
      <c r="O1870" s="3" t="s">
        <v>56</v>
      </c>
      <c r="P1870" s="2" t="str">
        <f aca="false">CONCATENATE(N1870," ",O1870)</f>
        <v>Maro minutus</v>
      </c>
      <c r="Q1870" s="1" t="s">
        <v>30</v>
      </c>
      <c r="R1870" s="1" t="s">
        <v>31</v>
      </c>
      <c r="S1870" s="3" t="n">
        <v>1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f aca="false">SUM(S1870:T1870)</f>
        <v>1</v>
      </c>
      <c r="Z1870" s="3" t="n">
        <f aca="false">SUM(U1870:W1870)</f>
        <v>0</v>
      </c>
      <c r="AA1870" s="3" t="n">
        <f aca="false">SUM(S1870:X1870)</f>
        <v>1</v>
      </c>
      <c r="AB1870" s="11" t="n">
        <f aca="false">(AA1870/(K1870*L1870)*25)*4</f>
        <v>4</v>
      </c>
    </row>
    <row r="1871" customFormat="false" ht="14.25" hidden="false" customHeight="false" outlineLevel="0" collapsed="false">
      <c r="A1871" s="1" t="n">
        <v>2014</v>
      </c>
      <c r="B1871" s="7" t="s">
        <v>322</v>
      </c>
      <c r="C1871" s="7" t="n">
        <v>2</v>
      </c>
      <c r="D1871" s="7" t="s">
        <v>294</v>
      </c>
      <c r="E1871" s="7" t="s">
        <v>294</v>
      </c>
      <c r="F1871" s="3" t="s">
        <v>158</v>
      </c>
      <c r="G1871" s="3" t="n">
        <v>2</v>
      </c>
      <c r="H1871" s="3" t="n">
        <v>7</v>
      </c>
      <c r="I1871" s="22" t="n">
        <v>41793</v>
      </c>
      <c r="J1871" s="22" t="n">
        <v>41798</v>
      </c>
      <c r="K1871" s="43" t="n">
        <f aca="false">J1871-I1871</f>
        <v>5</v>
      </c>
      <c r="L1871" s="1" t="n">
        <v>5</v>
      </c>
      <c r="M1871" s="3" t="s">
        <v>244</v>
      </c>
      <c r="N1871" s="3" t="s">
        <v>245</v>
      </c>
      <c r="O1871" s="3" t="s">
        <v>338</v>
      </c>
      <c r="P1871" s="2" t="str">
        <f aca="false">CONCATENATE(N1871," ",O1871)</f>
        <v>Titanoeca spominima</v>
      </c>
      <c r="Q1871" s="1" t="s">
        <v>30</v>
      </c>
      <c r="R1871" s="1" t="s">
        <v>31</v>
      </c>
      <c r="S1871" s="3" t="n">
        <v>1</v>
      </c>
      <c r="T1871" s="3" t="n">
        <v>0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f aca="false">SUM(S1871:T1871)</f>
        <v>1</v>
      </c>
      <c r="Z1871" s="3" t="n">
        <f aca="false">SUM(U1871:W1871)</f>
        <v>0</v>
      </c>
      <c r="AA1871" s="3" t="n">
        <f aca="false">SUM(S1871:X1871)</f>
        <v>1</v>
      </c>
      <c r="AB1871" s="11" t="n">
        <f aca="false">(AA1871/(K1871*L1871)*25)*4</f>
        <v>4</v>
      </c>
    </row>
    <row r="1872" customFormat="false" ht="14.25" hidden="false" customHeight="false" outlineLevel="0" collapsed="false">
      <c r="A1872" s="1" t="n">
        <v>2014</v>
      </c>
      <c r="B1872" s="7" t="s">
        <v>322</v>
      </c>
      <c r="C1872" s="7" t="n">
        <v>2</v>
      </c>
      <c r="D1872" s="7" t="s">
        <v>294</v>
      </c>
      <c r="E1872" s="7" t="s">
        <v>294</v>
      </c>
      <c r="F1872" s="3" t="s">
        <v>158</v>
      </c>
      <c r="G1872" s="3" t="n">
        <v>2</v>
      </c>
      <c r="H1872" s="3" t="n">
        <v>7</v>
      </c>
      <c r="I1872" s="22" t="n">
        <v>41793</v>
      </c>
      <c r="J1872" s="22" t="n">
        <v>41798</v>
      </c>
      <c r="K1872" s="43" t="n">
        <f aca="false">J1872-I1872</f>
        <v>5</v>
      </c>
      <c r="L1872" s="1" t="n">
        <v>5</v>
      </c>
      <c r="M1872" s="3" t="s">
        <v>48</v>
      </c>
      <c r="N1872" s="3" t="s">
        <v>67</v>
      </c>
      <c r="O1872" s="3" t="s">
        <v>127</v>
      </c>
      <c r="P1872" s="2" t="str">
        <f aca="false">CONCATENATE(N1872," ",O1872)</f>
        <v>Pardosa lugubris</v>
      </c>
      <c r="Q1872" s="1" t="s">
        <v>30</v>
      </c>
      <c r="R1872" s="1" t="s">
        <v>31</v>
      </c>
      <c r="S1872" s="3" t="n">
        <v>7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f aca="false">SUM(S1872:T1872)</f>
        <v>7</v>
      </c>
      <c r="Z1872" s="3" t="n">
        <f aca="false">SUM(U1872:W1872)</f>
        <v>0</v>
      </c>
      <c r="AA1872" s="3" t="n">
        <f aca="false">SUM(S1872:X1872)</f>
        <v>7</v>
      </c>
      <c r="AB1872" s="11" t="n">
        <f aca="false">(AA1872/(K1872*L1872)*25)*4</f>
        <v>28</v>
      </c>
    </row>
    <row r="1873" customFormat="false" ht="14.25" hidden="false" customHeight="false" outlineLevel="0" collapsed="false">
      <c r="A1873" s="1" t="n">
        <v>2014</v>
      </c>
      <c r="B1873" s="7" t="s">
        <v>322</v>
      </c>
      <c r="C1873" s="7" t="n">
        <v>2</v>
      </c>
      <c r="D1873" s="7" t="s">
        <v>294</v>
      </c>
      <c r="E1873" s="7" t="s">
        <v>294</v>
      </c>
      <c r="F1873" s="3" t="s">
        <v>158</v>
      </c>
      <c r="G1873" s="3" t="n">
        <v>2</v>
      </c>
      <c r="H1873" s="3" t="n">
        <v>7</v>
      </c>
      <c r="I1873" s="22" t="n">
        <v>41793</v>
      </c>
      <c r="J1873" s="22" t="n">
        <v>41798</v>
      </c>
      <c r="K1873" s="43" t="n">
        <f aca="false">J1873-I1873</f>
        <v>5</v>
      </c>
      <c r="L1873" s="1" t="n">
        <v>5</v>
      </c>
      <c r="M1873" s="3" t="s">
        <v>48</v>
      </c>
      <c r="N1873" s="3" t="s">
        <v>67</v>
      </c>
      <c r="O1873" s="3" t="s">
        <v>127</v>
      </c>
      <c r="P1873" s="2" t="str">
        <f aca="false">CONCATENATE(N1873," ",O1873)</f>
        <v>Pardosa lugubris</v>
      </c>
      <c r="Q1873" s="1" t="s">
        <v>30</v>
      </c>
      <c r="R1873" s="1" t="s">
        <v>35</v>
      </c>
      <c r="S1873" s="3" t="n">
        <v>0</v>
      </c>
      <c r="T1873" s="3" t="n">
        <v>1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f aca="false">SUM(S1873:T1873)</f>
        <v>1</v>
      </c>
      <c r="Z1873" s="3" t="n">
        <f aca="false">SUM(U1873:W1873)</f>
        <v>0</v>
      </c>
      <c r="AA1873" s="3" t="n">
        <f aca="false">SUM(S1873:X1873)</f>
        <v>1</v>
      </c>
      <c r="AB1873" s="11" t="n">
        <f aca="false">(AA1873/(K1873*L1873)*25)*4</f>
        <v>4</v>
      </c>
    </row>
    <row r="1874" customFormat="false" ht="14.25" hidden="false" customHeight="false" outlineLevel="0" collapsed="false">
      <c r="A1874" s="1" t="n">
        <v>2014</v>
      </c>
      <c r="B1874" s="7" t="s">
        <v>322</v>
      </c>
      <c r="C1874" s="7" t="n">
        <v>2</v>
      </c>
      <c r="D1874" s="7" t="s">
        <v>294</v>
      </c>
      <c r="E1874" s="7" t="s">
        <v>294</v>
      </c>
      <c r="F1874" s="3" t="s">
        <v>158</v>
      </c>
      <c r="G1874" s="3" t="n">
        <v>2</v>
      </c>
      <c r="H1874" s="3" t="n">
        <v>7</v>
      </c>
      <c r="I1874" s="22" t="n">
        <v>41793</v>
      </c>
      <c r="J1874" s="22" t="n">
        <v>41798</v>
      </c>
      <c r="K1874" s="43" t="n">
        <f aca="false">J1874-I1874</f>
        <v>5</v>
      </c>
      <c r="L1874" s="1" t="n">
        <v>5</v>
      </c>
      <c r="M1874" s="3" t="s">
        <v>48</v>
      </c>
      <c r="N1874" s="3" t="s">
        <v>49</v>
      </c>
      <c r="O1874" s="3" t="s">
        <v>104</v>
      </c>
      <c r="P1874" s="2" t="str">
        <f aca="false">CONCATENATE(N1874," ",O1874)</f>
        <v>Alopecosa taeniata</v>
      </c>
      <c r="Q1874" s="1" t="s">
        <v>30</v>
      </c>
      <c r="R1874" s="1" t="s">
        <v>31</v>
      </c>
      <c r="S1874" s="3" t="n">
        <v>2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f aca="false">SUM(S1874:T1874)</f>
        <v>2</v>
      </c>
      <c r="Z1874" s="3" t="n">
        <f aca="false">SUM(U1874:W1874)</f>
        <v>0</v>
      </c>
      <c r="AA1874" s="3" t="n">
        <f aca="false">SUM(S1874:X1874)</f>
        <v>2</v>
      </c>
      <c r="AB1874" s="11" t="n">
        <f aca="false">(AA1874/(K1874*L1874)*25)*4</f>
        <v>8</v>
      </c>
    </row>
    <row r="1875" customFormat="false" ht="14.25" hidden="false" customHeight="false" outlineLevel="0" collapsed="false">
      <c r="A1875" s="1" t="n">
        <v>2014</v>
      </c>
      <c r="B1875" s="7" t="s">
        <v>322</v>
      </c>
      <c r="C1875" s="7" t="n">
        <v>2</v>
      </c>
      <c r="D1875" s="7" t="s">
        <v>294</v>
      </c>
      <c r="E1875" s="7" t="s">
        <v>294</v>
      </c>
      <c r="F1875" s="3" t="s">
        <v>158</v>
      </c>
      <c r="G1875" s="3" t="n">
        <v>2</v>
      </c>
      <c r="H1875" s="3" t="n">
        <v>7</v>
      </c>
      <c r="I1875" s="22" t="n">
        <v>41793</v>
      </c>
      <c r="J1875" s="22" t="n">
        <v>41798</v>
      </c>
      <c r="K1875" s="43" t="n">
        <f aca="false">J1875-I1875</f>
        <v>5</v>
      </c>
      <c r="L1875" s="1" t="n">
        <v>5</v>
      </c>
      <c r="M1875" s="3" t="s">
        <v>36</v>
      </c>
      <c r="N1875" s="3" t="s">
        <v>131</v>
      </c>
      <c r="O1875" s="3" t="s">
        <v>133</v>
      </c>
      <c r="P1875" s="2" t="str">
        <f aca="false">CONCATENATE(N1875," ",O1875)</f>
        <v>Xysticus luctuosus</v>
      </c>
      <c r="Q1875" s="1" t="s">
        <v>30</v>
      </c>
      <c r="R1875" s="1" t="s">
        <v>31</v>
      </c>
      <c r="S1875" s="3" t="n">
        <v>2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f aca="false">SUM(S1875:T1875)</f>
        <v>2</v>
      </c>
      <c r="Z1875" s="3" t="n">
        <f aca="false">SUM(U1875:W1875)</f>
        <v>0</v>
      </c>
      <c r="AA1875" s="3" t="n">
        <f aca="false">SUM(S1875:X1875)</f>
        <v>2</v>
      </c>
      <c r="AB1875" s="11" t="n">
        <f aca="false">(AA1875/(K1875*L1875)*25)*4</f>
        <v>8</v>
      </c>
    </row>
    <row r="1876" customFormat="false" ht="14.25" hidden="false" customHeight="false" outlineLevel="0" collapsed="false">
      <c r="A1876" s="1" t="n">
        <v>2014</v>
      </c>
      <c r="B1876" s="7" t="s">
        <v>322</v>
      </c>
      <c r="C1876" s="7" t="n">
        <v>2</v>
      </c>
      <c r="D1876" s="7" t="s">
        <v>294</v>
      </c>
      <c r="E1876" s="7" t="s">
        <v>294</v>
      </c>
      <c r="F1876" s="3" t="s">
        <v>158</v>
      </c>
      <c r="G1876" s="3" t="n">
        <v>2</v>
      </c>
      <c r="H1876" s="3" t="n">
        <v>7</v>
      </c>
      <c r="I1876" s="22" t="n">
        <v>41793</v>
      </c>
      <c r="J1876" s="22" t="n">
        <v>41798</v>
      </c>
      <c r="K1876" s="43" t="n">
        <f aca="false">J1876-I1876</f>
        <v>5</v>
      </c>
      <c r="L1876" s="1" t="n">
        <v>5</v>
      </c>
      <c r="M1876" s="3" t="s">
        <v>27</v>
      </c>
      <c r="N1876" s="3" t="s">
        <v>28</v>
      </c>
      <c r="O1876" s="3" t="s">
        <v>29</v>
      </c>
      <c r="P1876" s="2" t="str">
        <f aca="false">CONCATENATE(N1876," ",O1876)</f>
        <v>Robertus lividus</v>
      </c>
      <c r="Q1876" s="1" t="s">
        <v>30</v>
      </c>
      <c r="R1876" s="1" t="s">
        <v>35</v>
      </c>
      <c r="S1876" s="3" t="n">
        <v>0</v>
      </c>
      <c r="T1876" s="3" t="n">
        <v>1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f aca="false">SUM(S1876:T1876)</f>
        <v>1</v>
      </c>
      <c r="Z1876" s="3" t="n">
        <f aca="false">SUM(U1876:W1876)</f>
        <v>0</v>
      </c>
      <c r="AA1876" s="3" t="n">
        <f aca="false">SUM(S1876:X1876)</f>
        <v>1</v>
      </c>
      <c r="AB1876" s="11" t="n">
        <f aca="false">(AA1876/(K1876*L1876)*25)*4</f>
        <v>4</v>
      </c>
    </row>
    <row r="1877" customFormat="false" ht="14.25" hidden="false" customHeight="false" outlineLevel="0" collapsed="false">
      <c r="A1877" s="1" t="n">
        <v>2014</v>
      </c>
      <c r="B1877" s="7" t="s">
        <v>322</v>
      </c>
      <c r="C1877" s="7" t="n">
        <v>2</v>
      </c>
      <c r="D1877" s="7" t="s">
        <v>294</v>
      </c>
      <c r="E1877" s="7" t="s">
        <v>294</v>
      </c>
      <c r="F1877" s="3" t="s">
        <v>158</v>
      </c>
      <c r="G1877" s="3" t="n">
        <v>2</v>
      </c>
      <c r="H1877" s="3" t="n">
        <v>7</v>
      </c>
      <c r="I1877" s="22" t="n">
        <v>41793</v>
      </c>
      <c r="J1877" s="22" t="n">
        <v>41798</v>
      </c>
      <c r="K1877" s="43" t="n">
        <f aca="false">J1877-I1877</f>
        <v>5</v>
      </c>
      <c r="L1877" s="1" t="n">
        <v>5</v>
      </c>
      <c r="M1877" s="3" t="s">
        <v>32</v>
      </c>
      <c r="N1877" s="3" t="s">
        <v>96</v>
      </c>
      <c r="O1877" s="3" t="s">
        <v>97</v>
      </c>
      <c r="P1877" s="2" t="str">
        <f aca="false">CONCATENATE(N1877," ",O1877)</f>
        <v>Diplocephalus picinus</v>
      </c>
      <c r="Q1877" s="1" t="s">
        <v>30</v>
      </c>
      <c r="R1877" s="1" t="s">
        <v>31</v>
      </c>
      <c r="S1877" s="3" t="n">
        <v>1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f aca="false">SUM(S1877:T1877)</f>
        <v>1</v>
      </c>
      <c r="Z1877" s="3" t="n">
        <f aca="false">SUM(U1877:W1877)</f>
        <v>0</v>
      </c>
      <c r="AA1877" s="3" t="n">
        <f aca="false">SUM(S1877:X1877)</f>
        <v>1</v>
      </c>
      <c r="AB1877" s="11" t="n">
        <f aca="false">(AA1877/(K1877*L1877)*25)*4</f>
        <v>4</v>
      </c>
    </row>
    <row r="1878" customFormat="false" ht="14.25" hidden="false" customHeight="false" outlineLevel="0" collapsed="false">
      <c r="A1878" s="1" t="n">
        <v>2014</v>
      </c>
      <c r="B1878" s="7" t="s">
        <v>322</v>
      </c>
      <c r="C1878" s="7" t="n">
        <v>2</v>
      </c>
      <c r="D1878" s="7" t="s">
        <v>294</v>
      </c>
      <c r="E1878" s="7" t="s">
        <v>294</v>
      </c>
      <c r="F1878" s="3" t="s">
        <v>158</v>
      </c>
      <c r="G1878" s="3" t="n">
        <v>2</v>
      </c>
      <c r="H1878" s="3" t="n">
        <v>7</v>
      </c>
      <c r="I1878" s="22" t="n">
        <v>41793</v>
      </c>
      <c r="J1878" s="22" t="n">
        <v>41798</v>
      </c>
      <c r="K1878" s="43" t="n">
        <f aca="false">J1878-I1878</f>
        <v>5</v>
      </c>
      <c r="L1878" s="1" t="n">
        <v>5</v>
      </c>
      <c r="M1878" s="3" t="s">
        <v>32</v>
      </c>
      <c r="N1878" s="3" t="s">
        <v>154</v>
      </c>
      <c r="O1878" s="3" t="s">
        <v>155</v>
      </c>
      <c r="P1878" s="2" t="str">
        <f aca="false">CONCATENATE(N1878," ",O1878)</f>
        <v>Pocadicnemis pumila</v>
      </c>
      <c r="Q1878" s="1" t="s">
        <v>30</v>
      </c>
      <c r="R1878" s="1" t="s">
        <v>31</v>
      </c>
      <c r="S1878" s="3" t="n">
        <v>1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f aca="false">SUM(S1878:T1878)</f>
        <v>1</v>
      </c>
      <c r="Z1878" s="3" t="n">
        <f aca="false">SUM(U1878:W1878)</f>
        <v>0</v>
      </c>
      <c r="AA1878" s="3" t="n">
        <f aca="false">SUM(S1878:X1878)</f>
        <v>1</v>
      </c>
      <c r="AB1878" s="11" t="n">
        <f aca="false">(AA1878/(K1878*L1878)*25)*4</f>
        <v>4</v>
      </c>
    </row>
    <row r="1879" customFormat="false" ht="14.25" hidden="false" customHeight="false" outlineLevel="0" collapsed="false">
      <c r="A1879" s="1" t="n">
        <v>2014</v>
      </c>
      <c r="B1879" s="7" t="s">
        <v>322</v>
      </c>
      <c r="C1879" s="7" t="n">
        <v>2</v>
      </c>
      <c r="D1879" s="7" t="s">
        <v>294</v>
      </c>
      <c r="E1879" s="7" t="s">
        <v>294</v>
      </c>
      <c r="F1879" s="3" t="s">
        <v>158</v>
      </c>
      <c r="G1879" s="3" t="n">
        <v>2</v>
      </c>
      <c r="H1879" s="3" t="n">
        <v>7</v>
      </c>
      <c r="I1879" s="22" t="n">
        <v>41793</v>
      </c>
      <c r="J1879" s="22" t="n">
        <v>41798</v>
      </c>
      <c r="K1879" s="43" t="n">
        <f aca="false">J1879-I1879</f>
        <v>5</v>
      </c>
      <c r="L1879" s="1" t="n">
        <v>5</v>
      </c>
      <c r="M1879" s="3" t="s">
        <v>32</v>
      </c>
      <c r="N1879" s="3" t="s">
        <v>55</v>
      </c>
      <c r="O1879" s="3" t="s">
        <v>56</v>
      </c>
      <c r="P1879" s="2" t="str">
        <f aca="false">CONCATENATE(N1879," ",O1879)</f>
        <v>Maro minutus</v>
      </c>
      <c r="Q1879" s="1" t="s">
        <v>30</v>
      </c>
      <c r="R1879" s="1" t="s">
        <v>31</v>
      </c>
      <c r="S1879" s="3" t="n">
        <v>1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f aca="false">SUM(S1879:T1879)</f>
        <v>1</v>
      </c>
      <c r="Z1879" s="3" t="n">
        <f aca="false">SUM(U1879:W1879)</f>
        <v>0</v>
      </c>
      <c r="AA1879" s="3" t="n">
        <f aca="false">SUM(S1879:X1879)</f>
        <v>1</v>
      </c>
      <c r="AB1879" s="11" t="n">
        <f aca="false">(AA1879/(K1879*L1879)*25)*4</f>
        <v>4</v>
      </c>
    </row>
    <row r="1880" customFormat="false" ht="14.25" hidden="false" customHeight="false" outlineLevel="0" collapsed="false">
      <c r="A1880" s="1" t="n">
        <v>2014</v>
      </c>
      <c r="B1880" s="7" t="s">
        <v>322</v>
      </c>
      <c r="C1880" s="7" t="n">
        <v>2</v>
      </c>
      <c r="D1880" s="7" t="s">
        <v>294</v>
      </c>
      <c r="E1880" s="7" t="s">
        <v>294</v>
      </c>
      <c r="F1880" s="3" t="s">
        <v>158</v>
      </c>
      <c r="G1880" s="3" t="n">
        <v>2</v>
      </c>
      <c r="H1880" s="3" t="n">
        <v>7</v>
      </c>
      <c r="I1880" s="22" t="n">
        <v>41793</v>
      </c>
      <c r="J1880" s="22" t="n">
        <v>41798</v>
      </c>
      <c r="K1880" s="43" t="n">
        <f aca="false">J1880-I1880</f>
        <v>5</v>
      </c>
      <c r="L1880" s="1" t="n">
        <v>5</v>
      </c>
      <c r="M1880" s="3" t="s">
        <v>32</v>
      </c>
      <c r="N1880" s="3" t="s">
        <v>169</v>
      </c>
      <c r="O1880" s="3" t="s">
        <v>170</v>
      </c>
      <c r="P1880" s="2" t="str">
        <f aca="false">CONCATENATE(N1880," ",O1880)</f>
        <v>Abacoproeces saltuum</v>
      </c>
      <c r="Q1880" s="1" t="s">
        <v>30</v>
      </c>
      <c r="R1880" s="1" t="s">
        <v>31</v>
      </c>
      <c r="S1880" s="3" t="n">
        <v>3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f aca="false">SUM(S1880:T1880)</f>
        <v>3</v>
      </c>
      <c r="Z1880" s="3" t="n">
        <f aca="false">SUM(U1880:W1880)</f>
        <v>0</v>
      </c>
      <c r="AA1880" s="3" t="n">
        <f aca="false">SUM(S1880:X1880)</f>
        <v>3</v>
      </c>
      <c r="AB1880" s="11" t="n">
        <f aca="false">(AA1880/(K1880*L1880)*25)*4</f>
        <v>12</v>
      </c>
    </row>
    <row r="1881" customFormat="false" ht="14.25" hidden="false" customHeight="false" outlineLevel="0" collapsed="false">
      <c r="A1881" s="1" t="n">
        <v>2014</v>
      </c>
      <c r="B1881" s="7" t="s">
        <v>322</v>
      </c>
      <c r="C1881" s="7" t="n">
        <v>2</v>
      </c>
      <c r="D1881" s="7" t="s">
        <v>294</v>
      </c>
      <c r="E1881" s="7" t="s">
        <v>294</v>
      </c>
      <c r="F1881" s="3" t="s">
        <v>158</v>
      </c>
      <c r="G1881" s="3" t="n">
        <v>2</v>
      </c>
      <c r="H1881" s="3" t="n">
        <v>7</v>
      </c>
      <c r="I1881" s="22" t="n">
        <v>41793</v>
      </c>
      <c r="J1881" s="22" t="n">
        <v>41798</v>
      </c>
      <c r="K1881" s="43" t="n">
        <f aca="false">J1881-I1881</f>
        <v>5</v>
      </c>
      <c r="L1881" s="1" t="n">
        <v>5</v>
      </c>
      <c r="M1881" s="3" t="s">
        <v>32</v>
      </c>
      <c r="N1881" s="3" t="s">
        <v>169</v>
      </c>
      <c r="O1881" s="3" t="s">
        <v>170</v>
      </c>
      <c r="P1881" s="2" t="str">
        <f aca="false">CONCATENATE(N1881," ",O1881)</f>
        <v>Abacoproeces saltuum</v>
      </c>
      <c r="Q1881" s="1" t="s">
        <v>30</v>
      </c>
      <c r="R1881" s="1" t="s">
        <v>35</v>
      </c>
      <c r="S1881" s="3" t="n">
        <v>0</v>
      </c>
      <c r="T1881" s="3" t="n">
        <v>3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f aca="false">SUM(S1881:T1881)</f>
        <v>3</v>
      </c>
      <c r="Z1881" s="3" t="n">
        <f aca="false">SUM(U1881:W1881)</f>
        <v>0</v>
      </c>
      <c r="AA1881" s="3" t="n">
        <f aca="false">SUM(S1881:X1881)</f>
        <v>3</v>
      </c>
      <c r="AB1881" s="11" t="n">
        <f aca="false">(AA1881/(K1881*L1881)*25)*4</f>
        <v>12</v>
      </c>
    </row>
    <row r="1882" customFormat="false" ht="14.25" hidden="false" customHeight="false" outlineLevel="0" collapsed="false">
      <c r="A1882" s="1" t="n">
        <v>2014</v>
      </c>
      <c r="B1882" s="7" t="s">
        <v>322</v>
      </c>
      <c r="C1882" s="7" t="n">
        <v>2</v>
      </c>
      <c r="D1882" s="7" t="s">
        <v>294</v>
      </c>
      <c r="E1882" s="7" t="s">
        <v>294</v>
      </c>
      <c r="F1882" s="3" t="s">
        <v>158</v>
      </c>
      <c r="G1882" s="3" t="n">
        <v>1</v>
      </c>
      <c r="H1882" s="3" t="n">
        <v>4</v>
      </c>
      <c r="I1882" s="22" t="n">
        <v>41793</v>
      </c>
      <c r="J1882" s="22" t="n">
        <v>41798</v>
      </c>
      <c r="K1882" s="43" t="n">
        <f aca="false">J1882-I1882</f>
        <v>5</v>
      </c>
      <c r="L1882" s="1" t="n">
        <v>5</v>
      </c>
      <c r="M1882" s="3" t="s">
        <v>72</v>
      </c>
      <c r="N1882" s="3" t="s">
        <v>86</v>
      </c>
      <c r="O1882" s="3" t="s">
        <v>247</v>
      </c>
      <c r="P1882" s="2" t="str">
        <f aca="false">CONCATENATE(N1882," ",O1882)</f>
        <v>Haplodrassus silvestris</v>
      </c>
      <c r="Q1882" s="1" t="s">
        <v>30</v>
      </c>
      <c r="R1882" s="1" t="s">
        <v>31</v>
      </c>
      <c r="S1882" s="3" t="n">
        <v>1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f aca="false">SUM(S1882:T1882)</f>
        <v>1</v>
      </c>
      <c r="Z1882" s="3" t="n">
        <f aca="false">SUM(U1882:W1882)</f>
        <v>0</v>
      </c>
      <c r="AA1882" s="3" t="n">
        <f aca="false">SUM(S1882:X1882)</f>
        <v>1</v>
      </c>
      <c r="AB1882" s="11" t="n">
        <f aca="false">(AA1882/(K1882*L1882)*25)*4</f>
        <v>4</v>
      </c>
    </row>
    <row r="1883" customFormat="false" ht="14.25" hidden="false" customHeight="false" outlineLevel="0" collapsed="false">
      <c r="A1883" s="1" t="n">
        <v>2014</v>
      </c>
      <c r="B1883" s="7" t="s">
        <v>322</v>
      </c>
      <c r="C1883" s="7" t="n">
        <v>2</v>
      </c>
      <c r="D1883" s="7" t="s">
        <v>294</v>
      </c>
      <c r="E1883" s="7" t="s">
        <v>294</v>
      </c>
      <c r="F1883" s="3" t="s">
        <v>158</v>
      </c>
      <c r="G1883" s="3" t="n">
        <v>1</v>
      </c>
      <c r="H1883" s="3" t="n">
        <v>4</v>
      </c>
      <c r="I1883" s="22" t="n">
        <v>41793</v>
      </c>
      <c r="J1883" s="22" t="n">
        <v>41798</v>
      </c>
      <c r="K1883" s="43" t="n">
        <f aca="false">J1883-I1883</f>
        <v>5</v>
      </c>
      <c r="L1883" s="1" t="n">
        <v>5</v>
      </c>
      <c r="M1883" s="3" t="s">
        <v>72</v>
      </c>
      <c r="N1883" s="3" t="s">
        <v>73</v>
      </c>
      <c r="O1883" s="3" t="s">
        <v>74</v>
      </c>
      <c r="P1883" s="2" t="str">
        <f aca="false">CONCATENATE(N1883," ",O1883)</f>
        <v>Zelotes subterraneus</v>
      </c>
      <c r="Q1883" s="1" t="s">
        <v>30</v>
      </c>
      <c r="R1883" s="1" t="s">
        <v>35</v>
      </c>
      <c r="S1883" s="3" t="n">
        <v>0</v>
      </c>
      <c r="T1883" s="3" t="n">
        <v>1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f aca="false">SUM(S1883:T1883)</f>
        <v>1</v>
      </c>
      <c r="Z1883" s="3" t="n">
        <f aca="false">SUM(U1883:W1883)</f>
        <v>0</v>
      </c>
      <c r="AA1883" s="3" t="n">
        <f aca="false">SUM(S1883:X1883)</f>
        <v>1</v>
      </c>
      <c r="AB1883" s="11" t="n">
        <f aca="false">(AA1883/(K1883*L1883)*25)*4</f>
        <v>4</v>
      </c>
    </row>
    <row r="1884" customFormat="false" ht="14.25" hidden="false" customHeight="false" outlineLevel="0" collapsed="false">
      <c r="A1884" s="1" t="n">
        <v>2014</v>
      </c>
      <c r="B1884" s="7" t="s">
        <v>322</v>
      </c>
      <c r="C1884" s="7" t="n">
        <v>2</v>
      </c>
      <c r="D1884" s="7" t="s">
        <v>294</v>
      </c>
      <c r="E1884" s="7" t="s">
        <v>294</v>
      </c>
      <c r="F1884" s="3" t="s">
        <v>158</v>
      </c>
      <c r="G1884" s="3" t="n">
        <v>1</v>
      </c>
      <c r="H1884" s="3" t="n">
        <v>4</v>
      </c>
      <c r="I1884" s="22" t="n">
        <v>41793</v>
      </c>
      <c r="J1884" s="22" t="n">
        <v>41798</v>
      </c>
      <c r="K1884" s="43" t="n">
        <f aca="false">J1884-I1884</f>
        <v>5</v>
      </c>
      <c r="L1884" s="1" t="n">
        <v>5</v>
      </c>
      <c r="M1884" s="3" t="s">
        <v>36</v>
      </c>
      <c r="N1884" s="3" t="s">
        <v>131</v>
      </c>
      <c r="O1884" s="3" t="s">
        <v>229</v>
      </c>
      <c r="P1884" s="2" t="str">
        <f aca="false">CONCATENATE(N1884," ",O1884)</f>
        <v>Xysticus emertoni</v>
      </c>
      <c r="Q1884" s="1" t="s">
        <v>30</v>
      </c>
      <c r="R1884" s="1" t="s">
        <v>35</v>
      </c>
      <c r="S1884" s="3" t="n">
        <v>0</v>
      </c>
      <c r="T1884" s="3" t="n">
        <v>1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f aca="false">SUM(S1884:T1884)</f>
        <v>1</v>
      </c>
      <c r="Z1884" s="3" t="n">
        <f aca="false">SUM(U1884:W1884)</f>
        <v>0</v>
      </c>
      <c r="AA1884" s="3" t="n">
        <f aca="false">SUM(S1884:X1884)</f>
        <v>1</v>
      </c>
      <c r="AB1884" s="11" t="n">
        <f aca="false">(AA1884/(K1884*L1884)*25)*4</f>
        <v>4</v>
      </c>
    </row>
    <row r="1885" customFormat="false" ht="14.25" hidden="false" customHeight="false" outlineLevel="0" collapsed="false">
      <c r="A1885" s="1" t="n">
        <v>2014</v>
      </c>
      <c r="B1885" s="7" t="s">
        <v>322</v>
      </c>
      <c r="C1885" s="7" t="n">
        <v>2</v>
      </c>
      <c r="D1885" s="7" t="s">
        <v>294</v>
      </c>
      <c r="E1885" s="7" t="s">
        <v>294</v>
      </c>
      <c r="F1885" s="3" t="s">
        <v>158</v>
      </c>
      <c r="G1885" s="3" t="n">
        <v>1</v>
      </c>
      <c r="H1885" s="3" t="n">
        <v>4</v>
      </c>
      <c r="I1885" s="22" t="n">
        <v>41793</v>
      </c>
      <c r="J1885" s="22" t="n">
        <v>41798</v>
      </c>
      <c r="K1885" s="43" t="n">
        <f aca="false">J1885-I1885</f>
        <v>5</v>
      </c>
      <c r="L1885" s="1" t="n">
        <v>5</v>
      </c>
      <c r="M1885" s="3" t="s">
        <v>36</v>
      </c>
      <c r="N1885" s="3" t="s">
        <v>131</v>
      </c>
      <c r="O1885" s="3" t="s">
        <v>133</v>
      </c>
      <c r="P1885" s="2" t="str">
        <f aca="false">CONCATENATE(N1885," ",O1885)</f>
        <v>Xysticus luctuosus</v>
      </c>
      <c r="Q1885" s="1" t="s">
        <v>30</v>
      </c>
      <c r="R1885" s="1" t="s">
        <v>31</v>
      </c>
      <c r="S1885" s="3" t="n">
        <v>1</v>
      </c>
      <c r="T1885" s="3" t="n">
        <v>0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f aca="false">SUM(S1885:T1885)</f>
        <v>1</v>
      </c>
      <c r="Z1885" s="3" t="n">
        <f aca="false">SUM(U1885:W1885)</f>
        <v>0</v>
      </c>
      <c r="AA1885" s="3" t="n">
        <f aca="false">SUM(S1885:X1885)</f>
        <v>1</v>
      </c>
      <c r="AB1885" s="11" t="n">
        <f aca="false">(AA1885/(K1885*L1885)*25)*4</f>
        <v>4</v>
      </c>
    </row>
    <row r="1886" customFormat="false" ht="14.25" hidden="false" customHeight="false" outlineLevel="0" collapsed="false">
      <c r="A1886" s="1" t="n">
        <v>2014</v>
      </c>
      <c r="B1886" s="7" t="s">
        <v>322</v>
      </c>
      <c r="C1886" s="7" t="n">
        <v>2</v>
      </c>
      <c r="D1886" s="7" t="s">
        <v>294</v>
      </c>
      <c r="E1886" s="7" t="s">
        <v>294</v>
      </c>
      <c r="F1886" s="3" t="s">
        <v>158</v>
      </c>
      <c r="G1886" s="3" t="n">
        <v>1</v>
      </c>
      <c r="H1886" s="3" t="n">
        <v>4</v>
      </c>
      <c r="I1886" s="22" t="n">
        <v>41793</v>
      </c>
      <c r="J1886" s="22" t="n">
        <v>41798</v>
      </c>
      <c r="K1886" s="43" t="n">
        <f aca="false">J1886-I1886</f>
        <v>5</v>
      </c>
      <c r="L1886" s="1" t="n">
        <v>5</v>
      </c>
      <c r="M1886" s="3" t="s">
        <v>48</v>
      </c>
      <c r="N1886" s="3" t="s">
        <v>49</v>
      </c>
      <c r="O1886" s="3" t="s">
        <v>104</v>
      </c>
      <c r="P1886" s="2" t="str">
        <f aca="false">CONCATENATE(N1886," ",O1886)</f>
        <v>Alopecosa taeniata</v>
      </c>
      <c r="Q1886" s="1" t="s">
        <v>30</v>
      </c>
      <c r="R1886" s="1" t="s">
        <v>31</v>
      </c>
      <c r="S1886" s="3" t="n">
        <v>1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f aca="false">SUM(S1886:T1886)</f>
        <v>1</v>
      </c>
      <c r="Z1886" s="3" t="n">
        <f aca="false">SUM(U1886:W1886)</f>
        <v>0</v>
      </c>
      <c r="AA1886" s="3" t="n">
        <f aca="false">SUM(S1886:X1886)</f>
        <v>1</v>
      </c>
      <c r="AB1886" s="11" t="n">
        <f aca="false">(AA1886/(K1886*L1886)*25)*4</f>
        <v>4</v>
      </c>
    </row>
    <row r="1887" customFormat="false" ht="14.25" hidden="false" customHeight="false" outlineLevel="0" collapsed="false">
      <c r="A1887" s="1" t="n">
        <v>2014</v>
      </c>
      <c r="B1887" s="7" t="s">
        <v>322</v>
      </c>
      <c r="C1887" s="7" t="n">
        <v>2</v>
      </c>
      <c r="D1887" s="7" t="s">
        <v>294</v>
      </c>
      <c r="E1887" s="7" t="s">
        <v>294</v>
      </c>
      <c r="F1887" s="3" t="s">
        <v>158</v>
      </c>
      <c r="G1887" s="3" t="n">
        <v>1</v>
      </c>
      <c r="H1887" s="3" t="n">
        <v>4</v>
      </c>
      <c r="I1887" s="22" t="n">
        <v>41793</v>
      </c>
      <c r="J1887" s="22" t="n">
        <v>41798</v>
      </c>
      <c r="K1887" s="43" t="n">
        <f aca="false">J1887-I1887</f>
        <v>5</v>
      </c>
      <c r="L1887" s="1" t="n">
        <v>5</v>
      </c>
      <c r="M1887" s="3" t="s">
        <v>48</v>
      </c>
      <c r="N1887" s="3" t="s">
        <v>49</v>
      </c>
      <c r="O1887" s="3" t="s">
        <v>104</v>
      </c>
      <c r="P1887" s="2" t="str">
        <f aca="false">CONCATENATE(N1887," ",O1887)</f>
        <v>Alopecosa taeniata</v>
      </c>
      <c r="Q1887" s="1" t="s">
        <v>30</v>
      </c>
      <c r="R1887" s="1" t="s">
        <v>35</v>
      </c>
      <c r="S1887" s="3" t="n">
        <v>0</v>
      </c>
      <c r="T1887" s="3" t="n">
        <v>2</v>
      </c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f aca="false">SUM(S1887:T1887)</f>
        <v>2</v>
      </c>
      <c r="Z1887" s="3" t="n">
        <f aca="false">SUM(U1887:W1887)</f>
        <v>0</v>
      </c>
      <c r="AA1887" s="3" t="n">
        <f aca="false">SUM(S1887:X1887)</f>
        <v>2</v>
      </c>
      <c r="AB1887" s="11" t="n">
        <f aca="false">(AA1887/(K1887*L1887)*25)*4</f>
        <v>8</v>
      </c>
    </row>
    <row r="1888" customFormat="false" ht="14.25" hidden="false" customHeight="false" outlineLevel="0" collapsed="false">
      <c r="A1888" s="1" t="n">
        <v>2014</v>
      </c>
      <c r="B1888" s="7" t="s">
        <v>322</v>
      </c>
      <c r="C1888" s="7" t="n">
        <v>2</v>
      </c>
      <c r="D1888" s="7" t="s">
        <v>294</v>
      </c>
      <c r="E1888" s="7" t="s">
        <v>294</v>
      </c>
      <c r="F1888" s="3" t="s">
        <v>158</v>
      </c>
      <c r="G1888" s="3" t="n">
        <v>1</v>
      </c>
      <c r="H1888" s="3" t="n">
        <v>4</v>
      </c>
      <c r="I1888" s="22" t="n">
        <v>41793</v>
      </c>
      <c r="J1888" s="22" t="n">
        <v>41798</v>
      </c>
      <c r="K1888" s="43" t="n">
        <f aca="false">J1888-I1888</f>
        <v>5</v>
      </c>
      <c r="L1888" s="1" t="n">
        <v>5</v>
      </c>
      <c r="M1888" s="3" t="s">
        <v>48</v>
      </c>
      <c r="N1888" s="3" t="s">
        <v>67</v>
      </c>
      <c r="O1888" s="3" t="s">
        <v>127</v>
      </c>
      <c r="P1888" s="2" t="str">
        <f aca="false">CONCATENATE(N1888," ",O1888)</f>
        <v>Pardosa lugubris</v>
      </c>
      <c r="Q1888" s="1" t="s">
        <v>30</v>
      </c>
      <c r="R1888" s="1" t="s">
        <v>31</v>
      </c>
      <c r="S1888" s="3" t="n">
        <v>3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f aca="false">SUM(S1888:T1888)</f>
        <v>3</v>
      </c>
      <c r="Z1888" s="3" t="n">
        <f aca="false">SUM(U1888:W1888)</f>
        <v>0</v>
      </c>
      <c r="AA1888" s="3" t="n">
        <f aca="false">SUM(S1888:X1888)</f>
        <v>3</v>
      </c>
      <c r="AB1888" s="11" t="n">
        <f aca="false">(AA1888/(K1888*L1888)*25)*4</f>
        <v>12</v>
      </c>
    </row>
    <row r="1889" customFormat="false" ht="14.25" hidden="false" customHeight="false" outlineLevel="0" collapsed="false">
      <c r="A1889" s="1" t="n">
        <v>2014</v>
      </c>
      <c r="B1889" s="7" t="s">
        <v>322</v>
      </c>
      <c r="C1889" s="7" t="n">
        <v>2</v>
      </c>
      <c r="D1889" s="7" t="s">
        <v>294</v>
      </c>
      <c r="E1889" s="7" t="s">
        <v>294</v>
      </c>
      <c r="F1889" s="3" t="s">
        <v>158</v>
      </c>
      <c r="G1889" s="3" t="n">
        <v>1</v>
      </c>
      <c r="H1889" s="3" t="n">
        <v>4</v>
      </c>
      <c r="I1889" s="22" t="n">
        <v>41793</v>
      </c>
      <c r="J1889" s="22" t="n">
        <v>41798</v>
      </c>
      <c r="K1889" s="43" t="n">
        <f aca="false">J1889-I1889</f>
        <v>5</v>
      </c>
      <c r="L1889" s="1" t="n">
        <v>5</v>
      </c>
      <c r="M1889" s="3" t="s">
        <v>32</v>
      </c>
      <c r="N1889" s="3" t="s">
        <v>84</v>
      </c>
      <c r="O1889" s="3" t="s">
        <v>168</v>
      </c>
      <c r="P1889" s="2" t="str">
        <f aca="false">CONCATENATE(N1889," ",O1889)</f>
        <v>Walckenaeria atrotibialis</v>
      </c>
      <c r="Q1889" s="1" t="s">
        <v>30</v>
      </c>
      <c r="R1889" s="1" t="s">
        <v>31</v>
      </c>
      <c r="S1889" s="3" t="n">
        <v>1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f aca="false">SUM(S1889:T1889)</f>
        <v>1</v>
      </c>
      <c r="Z1889" s="3" t="n">
        <f aca="false">SUM(U1889:W1889)</f>
        <v>0</v>
      </c>
      <c r="AA1889" s="3" t="n">
        <f aca="false">SUM(S1889:X1889)</f>
        <v>1</v>
      </c>
      <c r="AB1889" s="11" t="n">
        <f aca="false">(AA1889/(K1889*L1889)*25)*4</f>
        <v>4</v>
      </c>
    </row>
    <row r="1890" customFormat="false" ht="14.25" hidden="false" customHeight="false" outlineLevel="0" collapsed="false">
      <c r="A1890" s="1" t="n">
        <v>2014</v>
      </c>
      <c r="B1890" s="7" t="s">
        <v>322</v>
      </c>
      <c r="C1890" s="7" t="n">
        <v>2</v>
      </c>
      <c r="D1890" s="7" t="s">
        <v>294</v>
      </c>
      <c r="E1890" s="7" t="s">
        <v>294</v>
      </c>
      <c r="F1890" s="3" t="s">
        <v>158</v>
      </c>
      <c r="G1890" s="3" t="n">
        <v>1</v>
      </c>
      <c r="H1890" s="3" t="n">
        <v>4</v>
      </c>
      <c r="I1890" s="22" t="n">
        <v>41793</v>
      </c>
      <c r="J1890" s="22" t="n">
        <v>41798</v>
      </c>
      <c r="K1890" s="43" t="n">
        <f aca="false">J1890-I1890</f>
        <v>5</v>
      </c>
      <c r="L1890" s="1" t="n">
        <v>5</v>
      </c>
      <c r="M1890" s="3" t="s">
        <v>32</v>
      </c>
      <c r="N1890" s="3" t="s">
        <v>169</v>
      </c>
      <c r="O1890" s="3" t="s">
        <v>170</v>
      </c>
      <c r="P1890" s="2" t="str">
        <f aca="false">CONCATENATE(N1890," ",O1890)</f>
        <v>Abacoproeces saltuum</v>
      </c>
      <c r="Q1890" s="1" t="s">
        <v>30</v>
      </c>
      <c r="R1890" s="1" t="s">
        <v>31</v>
      </c>
      <c r="S1890" s="3" t="n">
        <v>1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f aca="false">SUM(S1890:T1890)</f>
        <v>1</v>
      </c>
      <c r="Z1890" s="3" t="n">
        <f aca="false">SUM(U1890:W1890)</f>
        <v>0</v>
      </c>
      <c r="AA1890" s="3" t="n">
        <f aca="false">SUM(S1890:X1890)</f>
        <v>1</v>
      </c>
      <c r="AB1890" s="11" t="n">
        <f aca="false">(AA1890/(K1890*L1890)*25)*4</f>
        <v>4</v>
      </c>
    </row>
    <row r="1891" customFormat="false" ht="14.25" hidden="false" customHeight="false" outlineLevel="0" collapsed="false">
      <c r="A1891" s="1" t="n">
        <v>2014</v>
      </c>
      <c r="B1891" s="7" t="s">
        <v>322</v>
      </c>
      <c r="C1891" s="7" t="n">
        <v>2</v>
      </c>
      <c r="D1891" s="7" t="s">
        <v>294</v>
      </c>
      <c r="E1891" s="7" t="s">
        <v>294</v>
      </c>
      <c r="F1891" s="3" t="s">
        <v>158</v>
      </c>
      <c r="G1891" s="3" t="n">
        <v>2</v>
      </c>
      <c r="H1891" s="3" t="n">
        <v>6</v>
      </c>
      <c r="I1891" s="22" t="n">
        <v>41793</v>
      </c>
      <c r="J1891" s="22" t="n">
        <v>41798</v>
      </c>
      <c r="K1891" s="43" t="n">
        <f aca="false">J1891-I1891</f>
        <v>5</v>
      </c>
      <c r="L1891" s="1" t="n">
        <v>5</v>
      </c>
      <c r="M1891" s="3" t="s">
        <v>92</v>
      </c>
      <c r="N1891" s="3" t="s">
        <v>171</v>
      </c>
      <c r="O1891" s="3" t="s">
        <v>172</v>
      </c>
      <c r="P1891" s="2" t="str">
        <f aca="false">CONCATENATE(N1891," ",O1891)</f>
        <v>Euophrys frontalis</v>
      </c>
      <c r="Q1891" s="1" t="s">
        <v>30</v>
      </c>
      <c r="R1891" s="1" t="s">
        <v>31</v>
      </c>
      <c r="S1891" s="3" t="n">
        <v>1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f aca="false">SUM(S1891:T1891)</f>
        <v>1</v>
      </c>
      <c r="Z1891" s="3" t="n">
        <f aca="false">SUM(U1891:W1891)</f>
        <v>0</v>
      </c>
      <c r="AA1891" s="3" t="n">
        <f aca="false">SUM(S1891:X1891)</f>
        <v>1</v>
      </c>
      <c r="AB1891" s="11" t="n">
        <f aca="false">(AA1891/(K1891*L1891)*25)*4</f>
        <v>4</v>
      </c>
    </row>
    <row r="1892" customFormat="false" ht="14.25" hidden="false" customHeight="false" outlineLevel="0" collapsed="false">
      <c r="A1892" s="1" t="n">
        <v>2014</v>
      </c>
      <c r="B1892" s="7" t="s">
        <v>322</v>
      </c>
      <c r="C1892" s="7" t="n">
        <v>2</v>
      </c>
      <c r="D1892" s="7" t="s">
        <v>294</v>
      </c>
      <c r="E1892" s="7" t="s">
        <v>294</v>
      </c>
      <c r="F1892" s="3" t="s">
        <v>158</v>
      </c>
      <c r="G1892" s="3" t="n">
        <v>2</v>
      </c>
      <c r="H1892" s="3" t="n">
        <v>6</v>
      </c>
      <c r="I1892" s="22" t="n">
        <v>41793</v>
      </c>
      <c r="J1892" s="22" t="n">
        <v>41798</v>
      </c>
      <c r="K1892" s="43" t="n">
        <f aca="false">J1892-I1892</f>
        <v>5</v>
      </c>
      <c r="L1892" s="1" t="n">
        <v>5</v>
      </c>
      <c r="M1892" s="3" t="s">
        <v>36</v>
      </c>
      <c r="N1892" s="3" t="s">
        <v>131</v>
      </c>
      <c r="O1892" s="3" t="s">
        <v>133</v>
      </c>
      <c r="P1892" s="2" t="str">
        <f aca="false">CONCATENATE(N1892," ",O1892)</f>
        <v>Xysticus luctuosus</v>
      </c>
      <c r="Q1892" s="1" t="s">
        <v>30</v>
      </c>
      <c r="R1892" s="1" t="s">
        <v>31</v>
      </c>
      <c r="S1892" s="3" t="n">
        <v>1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f aca="false">SUM(S1892:T1892)</f>
        <v>1</v>
      </c>
      <c r="Z1892" s="3" t="n">
        <f aca="false">SUM(U1892:W1892)</f>
        <v>0</v>
      </c>
      <c r="AA1892" s="3" t="n">
        <f aca="false">SUM(S1892:X1892)</f>
        <v>1</v>
      </c>
      <c r="AB1892" s="11" t="n">
        <f aca="false">(AA1892/(K1892*L1892)*25)*4</f>
        <v>4</v>
      </c>
    </row>
    <row r="1893" customFormat="false" ht="14.25" hidden="false" customHeight="false" outlineLevel="0" collapsed="false">
      <c r="A1893" s="1" t="n">
        <v>2014</v>
      </c>
      <c r="B1893" s="7" t="s">
        <v>322</v>
      </c>
      <c r="C1893" s="7" t="n">
        <v>2</v>
      </c>
      <c r="D1893" s="7" t="s">
        <v>294</v>
      </c>
      <c r="E1893" s="7" t="s">
        <v>294</v>
      </c>
      <c r="F1893" s="3" t="s">
        <v>158</v>
      </c>
      <c r="G1893" s="3" t="n">
        <v>2</v>
      </c>
      <c r="H1893" s="3" t="n">
        <v>6</v>
      </c>
      <c r="I1893" s="22" t="n">
        <v>41793</v>
      </c>
      <c r="J1893" s="22" t="n">
        <v>41798</v>
      </c>
      <c r="K1893" s="43" t="n">
        <f aca="false">J1893-I1893</f>
        <v>5</v>
      </c>
      <c r="L1893" s="1" t="n">
        <v>5</v>
      </c>
      <c r="M1893" s="3" t="s">
        <v>36</v>
      </c>
      <c r="N1893" s="3" t="s">
        <v>37</v>
      </c>
      <c r="O1893" s="3" t="s">
        <v>75</v>
      </c>
      <c r="P1893" s="2" t="str">
        <f aca="false">CONCATENATE(N1893," ",O1893)</f>
        <v>Ozyptila praticola</v>
      </c>
      <c r="Q1893" s="1" t="s">
        <v>30</v>
      </c>
      <c r="R1893" s="1" t="s">
        <v>31</v>
      </c>
      <c r="S1893" s="3" t="n">
        <v>1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f aca="false">SUM(S1893:T1893)</f>
        <v>1</v>
      </c>
      <c r="Z1893" s="3" t="n">
        <f aca="false">SUM(U1893:W1893)</f>
        <v>0</v>
      </c>
      <c r="AA1893" s="3" t="n">
        <f aca="false">SUM(S1893:X1893)</f>
        <v>1</v>
      </c>
      <c r="AB1893" s="11" t="n">
        <f aca="false">(AA1893/(K1893*L1893)*25)*4</f>
        <v>4</v>
      </c>
    </row>
    <row r="1894" customFormat="false" ht="14.25" hidden="false" customHeight="false" outlineLevel="0" collapsed="false">
      <c r="A1894" s="1" t="n">
        <v>2014</v>
      </c>
      <c r="B1894" s="7" t="s">
        <v>322</v>
      </c>
      <c r="C1894" s="7" t="n">
        <v>2</v>
      </c>
      <c r="D1894" s="7" t="s">
        <v>294</v>
      </c>
      <c r="E1894" s="7" t="s">
        <v>294</v>
      </c>
      <c r="F1894" s="3" t="s">
        <v>158</v>
      </c>
      <c r="G1894" s="3" t="n">
        <v>2</v>
      </c>
      <c r="H1894" s="3" t="n">
        <v>6</v>
      </c>
      <c r="I1894" s="22" t="n">
        <v>41793</v>
      </c>
      <c r="J1894" s="22" t="n">
        <v>41798</v>
      </c>
      <c r="K1894" s="43" t="n">
        <f aca="false">J1894-I1894</f>
        <v>5</v>
      </c>
      <c r="L1894" s="1" t="n">
        <v>5</v>
      </c>
      <c r="M1894" s="3" t="s">
        <v>48</v>
      </c>
      <c r="N1894" s="3" t="s">
        <v>67</v>
      </c>
      <c r="O1894" s="3" t="s">
        <v>127</v>
      </c>
      <c r="P1894" s="2" t="str">
        <f aca="false">CONCATENATE(N1894," ",O1894)</f>
        <v>Pardosa lugubris</v>
      </c>
      <c r="Q1894" s="1" t="s">
        <v>30</v>
      </c>
      <c r="R1894" s="1" t="s">
        <v>31</v>
      </c>
      <c r="S1894" s="3" t="n">
        <v>11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f aca="false">SUM(S1894:T1894)</f>
        <v>11</v>
      </c>
      <c r="Z1894" s="3" t="n">
        <f aca="false">SUM(U1894:W1894)</f>
        <v>0</v>
      </c>
      <c r="AA1894" s="3" t="n">
        <f aca="false">SUM(S1894:X1894)</f>
        <v>11</v>
      </c>
      <c r="AB1894" s="11" t="n">
        <f aca="false">(AA1894/(K1894*L1894)*25)*4</f>
        <v>44</v>
      </c>
    </row>
    <row r="1895" customFormat="false" ht="14.25" hidden="false" customHeight="false" outlineLevel="0" collapsed="false">
      <c r="A1895" s="1" t="n">
        <v>2014</v>
      </c>
      <c r="B1895" s="7" t="s">
        <v>322</v>
      </c>
      <c r="C1895" s="7" t="n">
        <v>2</v>
      </c>
      <c r="D1895" s="7" t="s">
        <v>294</v>
      </c>
      <c r="E1895" s="7" t="s">
        <v>294</v>
      </c>
      <c r="F1895" s="3" t="s">
        <v>158</v>
      </c>
      <c r="G1895" s="3" t="n">
        <v>2</v>
      </c>
      <c r="H1895" s="3" t="n">
        <v>6</v>
      </c>
      <c r="I1895" s="22" t="n">
        <v>41793</v>
      </c>
      <c r="J1895" s="22" t="n">
        <v>41798</v>
      </c>
      <c r="K1895" s="43" t="n">
        <f aca="false">J1895-I1895</f>
        <v>5</v>
      </c>
      <c r="L1895" s="1" t="n">
        <v>5</v>
      </c>
      <c r="M1895" s="3" t="s">
        <v>48</v>
      </c>
      <c r="N1895" s="3" t="s">
        <v>49</v>
      </c>
      <c r="O1895" s="3" t="s">
        <v>104</v>
      </c>
      <c r="P1895" s="2" t="str">
        <f aca="false">CONCATENATE(N1895," ",O1895)</f>
        <v>Alopecosa taeniata</v>
      </c>
      <c r="Q1895" s="1" t="s">
        <v>30</v>
      </c>
      <c r="R1895" s="1" t="s">
        <v>31</v>
      </c>
      <c r="S1895" s="3" t="n">
        <v>2</v>
      </c>
      <c r="T1895" s="3" t="n">
        <v>0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f aca="false">SUM(S1895:T1895)</f>
        <v>2</v>
      </c>
      <c r="Z1895" s="3" t="n">
        <f aca="false">SUM(U1895:W1895)</f>
        <v>0</v>
      </c>
      <c r="AA1895" s="3" t="n">
        <f aca="false">SUM(S1895:X1895)</f>
        <v>2</v>
      </c>
      <c r="AB1895" s="11" t="n">
        <f aca="false">(AA1895/(K1895*L1895)*25)*4</f>
        <v>8</v>
      </c>
    </row>
    <row r="1896" customFormat="false" ht="14.25" hidden="false" customHeight="false" outlineLevel="0" collapsed="false">
      <c r="A1896" s="1" t="n">
        <v>2014</v>
      </c>
      <c r="B1896" s="7" t="s">
        <v>322</v>
      </c>
      <c r="C1896" s="7" t="n">
        <v>2</v>
      </c>
      <c r="D1896" s="7" t="s">
        <v>294</v>
      </c>
      <c r="E1896" s="7" t="s">
        <v>294</v>
      </c>
      <c r="F1896" s="3" t="s">
        <v>158</v>
      </c>
      <c r="G1896" s="3" t="n">
        <v>2</v>
      </c>
      <c r="H1896" s="3" t="n">
        <v>6</v>
      </c>
      <c r="I1896" s="22" t="n">
        <v>41793</v>
      </c>
      <c r="J1896" s="22" t="n">
        <v>41798</v>
      </c>
      <c r="K1896" s="43" t="n">
        <f aca="false">J1896-I1896</f>
        <v>5</v>
      </c>
      <c r="L1896" s="1" t="n">
        <v>5</v>
      </c>
      <c r="M1896" s="3" t="s">
        <v>48</v>
      </c>
      <c r="N1896" s="3" t="s">
        <v>49</v>
      </c>
      <c r="O1896" s="3" t="s">
        <v>104</v>
      </c>
      <c r="P1896" s="2" t="str">
        <f aca="false">CONCATENATE(N1896," ",O1896)</f>
        <v>Alopecosa taeniata</v>
      </c>
      <c r="Q1896" s="1" t="s">
        <v>30</v>
      </c>
      <c r="R1896" s="1" t="s">
        <v>35</v>
      </c>
      <c r="S1896" s="3" t="n">
        <v>0</v>
      </c>
      <c r="T1896" s="3" t="n">
        <v>1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f aca="false">SUM(S1896:T1896)</f>
        <v>1</v>
      </c>
      <c r="Z1896" s="3" t="n">
        <f aca="false">SUM(U1896:W1896)</f>
        <v>0</v>
      </c>
      <c r="AA1896" s="3" t="n">
        <f aca="false">SUM(S1896:X1896)</f>
        <v>1</v>
      </c>
      <c r="AB1896" s="11" t="n">
        <f aca="false">(AA1896/(K1896*L1896)*25)*4</f>
        <v>4</v>
      </c>
    </row>
    <row r="1897" customFormat="false" ht="14.25" hidden="false" customHeight="false" outlineLevel="0" collapsed="false">
      <c r="A1897" s="1" t="n">
        <v>2014</v>
      </c>
      <c r="B1897" s="7" t="s">
        <v>322</v>
      </c>
      <c r="C1897" s="7" t="n">
        <v>2</v>
      </c>
      <c r="D1897" s="7" t="s">
        <v>294</v>
      </c>
      <c r="E1897" s="7" t="s">
        <v>294</v>
      </c>
      <c r="F1897" s="3" t="s">
        <v>158</v>
      </c>
      <c r="G1897" s="3" t="n">
        <v>3</v>
      </c>
      <c r="H1897" s="3" t="n">
        <v>12</v>
      </c>
      <c r="I1897" s="22" t="n">
        <v>41793</v>
      </c>
      <c r="J1897" s="22" t="n">
        <v>41798</v>
      </c>
      <c r="K1897" s="43" t="n">
        <f aca="false">J1897-I1897</f>
        <v>5</v>
      </c>
      <c r="L1897" s="1" t="n">
        <v>5</v>
      </c>
      <c r="M1897" s="3" t="s">
        <v>48</v>
      </c>
      <c r="N1897" s="3" t="s">
        <v>67</v>
      </c>
      <c r="O1897" s="3" t="s">
        <v>127</v>
      </c>
      <c r="P1897" s="2" t="str">
        <f aca="false">CONCATENATE(N1897," ",O1897)</f>
        <v>Pardosa lugubris</v>
      </c>
      <c r="Q1897" s="1" t="s">
        <v>30</v>
      </c>
      <c r="R1897" s="1" t="s">
        <v>31</v>
      </c>
      <c r="S1897" s="3" t="n">
        <v>12</v>
      </c>
      <c r="T1897" s="3" t="n">
        <v>0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f aca="false">SUM(S1897:T1897)</f>
        <v>12</v>
      </c>
      <c r="Z1897" s="3" t="n">
        <f aca="false">SUM(U1897:W1897)</f>
        <v>0</v>
      </c>
      <c r="AA1897" s="3" t="n">
        <f aca="false">SUM(S1897:X1897)</f>
        <v>12</v>
      </c>
      <c r="AB1897" s="11" t="n">
        <f aca="false">(AA1897/(K1897*L1897)*25)*4</f>
        <v>48</v>
      </c>
    </row>
    <row r="1898" customFormat="false" ht="14.25" hidden="false" customHeight="false" outlineLevel="0" collapsed="false">
      <c r="A1898" s="1" t="n">
        <v>2014</v>
      </c>
      <c r="B1898" s="7" t="s">
        <v>322</v>
      </c>
      <c r="C1898" s="7" t="n">
        <v>2</v>
      </c>
      <c r="D1898" s="7" t="s">
        <v>294</v>
      </c>
      <c r="E1898" s="7" t="s">
        <v>294</v>
      </c>
      <c r="F1898" s="3" t="s">
        <v>158</v>
      </c>
      <c r="G1898" s="3" t="n">
        <v>3</v>
      </c>
      <c r="H1898" s="3" t="n">
        <v>12</v>
      </c>
      <c r="I1898" s="22" t="n">
        <v>41793</v>
      </c>
      <c r="J1898" s="22" t="n">
        <v>41798</v>
      </c>
      <c r="K1898" s="43" t="n">
        <f aca="false">J1898-I1898</f>
        <v>5</v>
      </c>
      <c r="L1898" s="1" t="n">
        <v>5</v>
      </c>
      <c r="M1898" s="3" t="s">
        <v>48</v>
      </c>
      <c r="N1898" s="3" t="s">
        <v>67</v>
      </c>
      <c r="O1898" s="3" t="s">
        <v>127</v>
      </c>
      <c r="P1898" s="2" t="str">
        <f aca="false">CONCATENATE(N1898," ",O1898)</f>
        <v>Pardosa lugubris</v>
      </c>
      <c r="Q1898" s="1" t="s">
        <v>30</v>
      </c>
      <c r="R1898" s="1" t="s">
        <v>35</v>
      </c>
      <c r="S1898" s="3" t="n">
        <v>0</v>
      </c>
      <c r="T1898" s="3" t="n">
        <v>2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f aca="false">SUM(S1898:T1898)</f>
        <v>2</v>
      </c>
      <c r="Z1898" s="3" t="n">
        <f aca="false">SUM(U1898:W1898)</f>
        <v>0</v>
      </c>
      <c r="AA1898" s="3" t="n">
        <f aca="false">SUM(S1898:X1898)</f>
        <v>2</v>
      </c>
      <c r="AB1898" s="11" t="n">
        <f aca="false">(AA1898/(K1898*L1898)*25)*4</f>
        <v>8</v>
      </c>
    </row>
    <row r="1899" customFormat="false" ht="14.25" hidden="false" customHeight="false" outlineLevel="0" collapsed="false">
      <c r="A1899" s="1" t="n">
        <v>2014</v>
      </c>
      <c r="B1899" s="7" t="s">
        <v>322</v>
      </c>
      <c r="C1899" s="7" t="n">
        <v>2</v>
      </c>
      <c r="D1899" s="7" t="s">
        <v>294</v>
      </c>
      <c r="E1899" s="7" t="s">
        <v>294</v>
      </c>
      <c r="F1899" s="3" t="s">
        <v>158</v>
      </c>
      <c r="G1899" s="3" t="n">
        <v>3</v>
      </c>
      <c r="H1899" s="3" t="n">
        <v>12</v>
      </c>
      <c r="I1899" s="22" t="n">
        <v>41793</v>
      </c>
      <c r="J1899" s="22" t="n">
        <v>41798</v>
      </c>
      <c r="K1899" s="43" t="n">
        <f aca="false">J1899-I1899</f>
        <v>5</v>
      </c>
      <c r="L1899" s="1" t="n">
        <v>5</v>
      </c>
      <c r="M1899" s="3" t="s">
        <v>48</v>
      </c>
      <c r="N1899" s="3" t="s">
        <v>49</v>
      </c>
      <c r="O1899" s="3" t="s">
        <v>104</v>
      </c>
      <c r="P1899" s="2" t="str">
        <f aca="false">CONCATENATE(N1899," ",O1899)</f>
        <v>Alopecosa taeniata</v>
      </c>
      <c r="Q1899" s="1" t="s">
        <v>30</v>
      </c>
      <c r="R1899" s="1" t="s">
        <v>31</v>
      </c>
      <c r="S1899" s="3" t="n">
        <v>1</v>
      </c>
      <c r="T1899" s="3" t="n">
        <v>0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f aca="false">SUM(S1899:T1899)</f>
        <v>1</v>
      </c>
      <c r="Z1899" s="3" t="n">
        <f aca="false">SUM(U1899:W1899)</f>
        <v>0</v>
      </c>
      <c r="AA1899" s="3" t="n">
        <f aca="false">SUM(S1899:X1899)</f>
        <v>1</v>
      </c>
      <c r="AB1899" s="11" t="n">
        <f aca="false">(AA1899/(K1899*L1899)*25)*4</f>
        <v>4</v>
      </c>
    </row>
    <row r="1900" customFormat="false" ht="14.25" hidden="false" customHeight="false" outlineLevel="0" collapsed="false">
      <c r="A1900" s="1" t="n">
        <v>2014</v>
      </c>
      <c r="B1900" s="7" t="s">
        <v>322</v>
      </c>
      <c r="C1900" s="7" t="n">
        <v>2</v>
      </c>
      <c r="D1900" s="7" t="s">
        <v>294</v>
      </c>
      <c r="E1900" s="7" t="s">
        <v>294</v>
      </c>
      <c r="F1900" s="3" t="s">
        <v>158</v>
      </c>
      <c r="G1900" s="3" t="n">
        <v>3</v>
      </c>
      <c r="H1900" s="3" t="n">
        <v>12</v>
      </c>
      <c r="I1900" s="22" t="n">
        <v>41793</v>
      </c>
      <c r="J1900" s="22" t="n">
        <v>41798</v>
      </c>
      <c r="K1900" s="43" t="n">
        <f aca="false">J1900-I1900</f>
        <v>5</v>
      </c>
      <c r="L1900" s="1" t="n">
        <v>5</v>
      </c>
      <c r="M1900" s="3" t="s">
        <v>48</v>
      </c>
      <c r="N1900" s="3" t="s">
        <v>49</v>
      </c>
      <c r="O1900" s="3" t="s">
        <v>104</v>
      </c>
      <c r="P1900" s="2" t="str">
        <f aca="false">CONCATENATE(N1900," ",O1900)</f>
        <v>Alopecosa taeniata</v>
      </c>
      <c r="Q1900" s="1" t="s">
        <v>30</v>
      </c>
      <c r="R1900" s="1" t="s">
        <v>35</v>
      </c>
      <c r="S1900" s="3" t="n">
        <v>0</v>
      </c>
      <c r="T1900" s="3" t="n">
        <v>2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f aca="false">SUM(S1900:T1900)</f>
        <v>2</v>
      </c>
      <c r="Z1900" s="3" t="n">
        <f aca="false">SUM(U1900:W1900)</f>
        <v>0</v>
      </c>
      <c r="AA1900" s="3" t="n">
        <f aca="false">SUM(S1900:X1900)</f>
        <v>2</v>
      </c>
      <c r="AB1900" s="11" t="n">
        <f aca="false">(AA1900/(K1900*L1900)*25)*4</f>
        <v>8</v>
      </c>
    </row>
    <row r="1901" customFormat="false" ht="14.25" hidden="false" customHeight="false" outlineLevel="0" collapsed="false">
      <c r="A1901" s="1" t="n">
        <v>2014</v>
      </c>
      <c r="B1901" s="7" t="s">
        <v>322</v>
      </c>
      <c r="C1901" s="7" t="n">
        <v>2</v>
      </c>
      <c r="D1901" s="7" t="s">
        <v>294</v>
      </c>
      <c r="E1901" s="7" t="s">
        <v>294</v>
      </c>
      <c r="F1901" s="3" t="s">
        <v>158</v>
      </c>
      <c r="G1901" s="3" t="n">
        <v>3</v>
      </c>
      <c r="H1901" s="3" t="n">
        <v>12</v>
      </c>
      <c r="I1901" s="22" t="n">
        <v>41793</v>
      </c>
      <c r="J1901" s="22" t="n">
        <v>41798</v>
      </c>
      <c r="K1901" s="43" t="n">
        <f aca="false">J1901-I1901</f>
        <v>5</v>
      </c>
      <c r="L1901" s="1" t="n">
        <v>5</v>
      </c>
      <c r="M1901" s="3" t="s">
        <v>48</v>
      </c>
      <c r="N1901" s="3" t="s">
        <v>49</v>
      </c>
      <c r="O1901" s="3" t="s">
        <v>119</v>
      </c>
      <c r="P1901" s="2" t="str">
        <f aca="false">CONCATENATE(N1901," ",O1901)</f>
        <v>Alopecosa sulzeri</v>
      </c>
      <c r="Q1901" s="1" t="s">
        <v>30</v>
      </c>
      <c r="R1901" s="1" t="s">
        <v>31</v>
      </c>
      <c r="S1901" s="3" t="n">
        <v>1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f aca="false">SUM(S1901:T1901)</f>
        <v>1</v>
      </c>
      <c r="Z1901" s="3" t="n">
        <f aca="false">SUM(U1901:W1901)</f>
        <v>0</v>
      </c>
      <c r="AA1901" s="3" t="n">
        <f aca="false">SUM(S1901:X1901)</f>
        <v>1</v>
      </c>
      <c r="AB1901" s="11" t="n">
        <f aca="false">(AA1901/(K1901*L1901)*25)*4</f>
        <v>4</v>
      </c>
    </row>
    <row r="1902" customFormat="false" ht="14.25" hidden="false" customHeight="false" outlineLevel="0" collapsed="false">
      <c r="A1902" s="1" t="n">
        <v>2014</v>
      </c>
      <c r="B1902" s="7" t="s">
        <v>322</v>
      </c>
      <c r="C1902" s="7" t="n">
        <v>2</v>
      </c>
      <c r="D1902" s="7" t="s">
        <v>294</v>
      </c>
      <c r="E1902" s="7" t="s">
        <v>294</v>
      </c>
      <c r="F1902" s="3" t="s">
        <v>158</v>
      </c>
      <c r="G1902" s="3" t="n">
        <v>3</v>
      </c>
      <c r="H1902" s="3" t="n">
        <v>12</v>
      </c>
      <c r="I1902" s="22" t="n">
        <v>41793</v>
      </c>
      <c r="J1902" s="22" t="n">
        <v>41798</v>
      </c>
      <c r="K1902" s="43" t="n">
        <f aca="false">J1902-I1902</f>
        <v>5</v>
      </c>
      <c r="L1902" s="1" t="n">
        <v>5</v>
      </c>
      <c r="M1902" s="3" t="s">
        <v>32</v>
      </c>
      <c r="N1902" s="3" t="s">
        <v>102</v>
      </c>
      <c r="O1902" s="3" t="s">
        <v>103</v>
      </c>
      <c r="P1902" s="2" t="str">
        <f aca="false">CONCATENATE(N1902," ",O1902)</f>
        <v>Agyneta olivacea</v>
      </c>
      <c r="Q1902" s="1" t="s">
        <v>30</v>
      </c>
      <c r="R1902" s="1" t="s">
        <v>31</v>
      </c>
      <c r="S1902" s="3" t="n">
        <v>1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f aca="false">SUM(S1902:T1902)</f>
        <v>1</v>
      </c>
      <c r="Z1902" s="3" t="n">
        <f aca="false">SUM(U1902:W1902)</f>
        <v>0</v>
      </c>
      <c r="AA1902" s="3" t="n">
        <f aca="false">SUM(S1902:X1902)</f>
        <v>1</v>
      </c>
      <c r="AB1902" s="11" t="n">
        <f aca="false">(AA1902/(K1902*L1902)*25)*4</f>
        <v>4</v>
      </c>
    </row>
    <row r="1903" customFormat="false" ht="14.25" hidden="false" customHeight="false" outlineLevel="0" collapsed="false">
      <c r="A1903" s="1" t="n">
        <v>2014</v>
      </c>
      <c r="B1903" s="7" t="s">
        <v>322</v>
      </c>
      <c r="C1903" s="7" t="n">
        <v>2</v>
      </c>
      <c r="D1903" s="7" t="s">
        <v>294</v>
      </c>
      <c r="E1903" s="7" t="s">
        <v>294</v>
      </c>
      <c r="F1903" s="3" t="s">
        <v>158</v>
      </c>
      <c r="G1903" s="3" t="n">
        <v>3</v>
      </c>
      <c r="H1903" s="3" t="n">
        <v>12</v>
      </c>
      <c r="I1903" s="22" t="n">
        <v>41793</v>
      </c>
      <c r="J1903" s="22" t="n">
        <v>41798</v>
      </c>
      <c r="K1903" s="43" t="n">
        <f aca="false">J1903-I1903</f>
        <v>5</v>
      </c>
      <c r="L1903" s="1" t="n">
        <v>5</v>
      </c>
      <c r="M1903" s="3" t="s">
        <v>32</v>
      </c>
      <c r="N1903" s="3" t="s">
        <v>84</v>
      </c>
      <c r="O1903" s="3" t="s">
        <v>168</v>
      </c>
      <c r="P1903" s="2" t="str">
        <f aca="false">CONCATENATE(N1903," ",O1903)</f>
        <v>Walckenaeria atrotibialis</v>
      </c>
      <c r="Q1903" s="1" t="s">
        <v>30</v>
      </c>
      <c r="R1903" s="1" t="s">
        <v>35</v>
      </c>
      <c r="S1903" s="3" t="n">
        <v>0</v>
      </c>
      <c r="T1903" s="3" t="n">
        <v>1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f aca="false">SUM(S1903:T1903)</f>
        <v>1</v>
      </c>
      <c r="Z1903" s="3" t="n">
        <f aca="false">SUM(U1903:W1903)</f>
        <v>0</v>
      </c>
      <c r="AA1903" s="3" t="n">
        <f aca="false">SUM(S1903:X1903)</f>
        <v>1</v>
      </c>
      <c r="AB1903" s="11" t="n">
        <f aca="false">(AA1903/(K1903*L1903)*25)*4</f>
        <v>4</v>
      </c>
    </row>
    <row r="1904" customFormat="false" ht="14.25" hidden="false" customHeight="false" outlineLevel="0" collapsed="false">
      <c r="A1904" s="1" t="n">
        <v>2014</v>
      </c>
      <c r="B1904" s="7" t="s">
        <v>322</v>
      </c>
      <c r="C1904" s="7" t="n">
        <v>2</v>
      </c>
      <c r="D1904" s="7" t="s">
        <v>294</v>
      </c>
      <c r="E1904" s="7" t="s">
        <v>294</v>
      </c>
      <c r="F1904" s="3" t="s">
        <v>158</v>
      </c>
      <c r="G1904" s="3" t="n">
        <v>3</v>
      </c>
      <c r="H1904" s="3" t="n">
        <v>12</v>
      </c>
      <c r="I1904" s="22" t="n">
        <v>41793</v>
      </c>
      <c r="J1904" s="22" t="n">
        <v>41798</v>
      </c>
      <c r="K1904" s="43" t="n">
        <f aca="false">J1904-I1904</f>
        <v>5</v>
      </c>
      <c r="L1904" s="1" t="n">
        <v>5</v>
      </c>
      <c r="M1904" s="3" t="s">
        <v>32</v>
      </c>
      <c r="N1904" s="3" t="s">
        <v>96</v>
      </c>
      <c r="O1904" s="3" t="s">
        <v>97</v>
      </c>
      <c r="P1904" s="2" t="str">
        <f aca="false">CONCATENATE(N1904," ",O1904)</f>
        <v>Diplocephalus picinus</v>
      </c>
      <c r="Q1904" s="1" t="s">
        <v>30</v>
      </c>
      <c r="R1904" s="1" t="s">
        <v>31</v>
      </c>
      <c r="S1904" s="3" t="n">
        <v>1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f aca="false">SUM(S1904:T1904)</f>
        <v>1</v>
      </c>
      <c r="Z1904" s="3" t="n">
        <f aca="false">SUM(U1904:W1904)</f>
        <v>0</v>
      </c>
      <c r="AA1904" s="3" t="n">
        <f aca="false">SUM(S1904:X1904)</f>
        <v>1</v>
      </c>
      <c r="AB1904" s="11" t="n">
        <f aca="false">(AA1904/(K1904*L1904)*25)*4</f>
        <v>4</v>
      </c>
    </row>
    <row r="1905" customFormat="false" ht="14.25" hidden="false" customHeight="false" outlineLevel="0" collapsed="false">
      <c r="A1905" s="1" t="n">
        <v>2014</v>
      </c>
      <c r="B1905" s="7" t="s">
        <v>322</v>
      </c>
      <c r="C1905" s="7" t="n">
        <v>2</v>
      </c>
      <c r="D1905" s="7" t="s">
        <v>294</v>
      </c>
      <c r="E1905" s="7" t="s">
        <v>294</v>
      </c>
      <c r="F1905" s="3" t="s">
        <v>158</v>
      </c>
      <c r="G1905" s="3" t="n">
        <v>3</v>
      </c>
      <c r="H1905" s="3" t="n">
        <v>13</v>
      </c>
      <c r="I1905" s="22" t="n">
        <v>41793</v>
      </c>
      <c r="J1905" s="22" t="n">
        <v>41798</v>
      </c>
      <c r="K1905" s="43" t="n">
        <f aca="false">J1905-I1905</f>
        <v>5</v>
      </c>
      <c r="L1905" s="1" t="n">
        <v>5</v>
      </c>
      <c r="M1905" s="3" t="s">
        <v>36</v>
      </c>
      <c r="N1905" s="3" t="s">
        <v>131</v>
      </c>
      <c r="O1905" s="3" t="s">
        <v>229</v>
      </c>
      <c r="P1905" s="2" t="str">
        <f aca="false">CONCATENATE(N1905," ",O1905)</f>
        <v>Xysticus emertoni</v>
      </c>
      <c r="Q1905" s="1" t="s">
        <v>30</v>
      </c>
      <c r="R1905" s="1" t="s">
        <v>31</v>
      </c>
      <c r="S1905" s="3" t="n">
        <v>2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f aca="false">SUM(S1905:T1905)</f>
        <v>2</v>
      </c>
      <c r="Z1905" s="3" t="n">
        <f aca="false">SUM(U1905:W1905)</f>
        <v>0</v>
      </c>
      <c r="AA1905" s="3" t="n">
        <f aca="false">SUM(S1905:X1905)</f>
        <v>2</v>
      </c>
      <c r="AB1905" s="11" t="n">
        <f aca="false">(AA1905/(K1905*L1905)*25)*4</f>
        <v>8</v>
      </c>
    </row>
    <row r="1906" customFormat="false" ht="14.25" hidden="false" customHeight="false" outlineLevel="0" collapsed="false">
      <c r="A1906" s="1" t="n">
        <v>2014</v>
      </c>
      <c r="B1906" s="7" t="s">
        <v>322</v>
      </c>
      <c r="C1906" s="7" t="n">
        <v>2</v>
      </c>
      <c r="D1906" s="7" t="s">
        <v>294</v>
      </c>
      <c r="E1906" s="7" t="s">
        <v>294</v>
      </c>
      <c r="F1906" s="3" t="s">
        <v>158</v>
      </c>
      <c r="G1906" s="3" t="n">
        <v>3</v>
      </c>
      <c r="H1906" s="3" t="n">
        <v>13</v>
      </c>
      <c r="I1906" s="22" t="n">
        <v>41793</v>
      </c>
      <c r="J1906" s="22" t="n">
        <v>41798</v>
      </c>
      <c r="K1906" s="43" t="n">
        <f aca="false">J1906-I1906</f>
        <v>5</v>
      </c>
      <c r="L1906" s="1" t="n">
        <v>5</v>
      </c>
      <c r="M1906" s="3" t="s">
        <v>36</v>
      </c>
      <c r="N1906" s="3" t="s">
        <v>131</v>
      </c>
      <c r="O1906" s="3" t="s">
        <v>133</v>
      </c>
      <c r="P1906" s="2" t="str">
        <f aca="false">CONCATENATE(N1906," ",O1906)</f>
        <v>Xysticus luctuosus</v>
      </c>
      <c r="Q1906" s="1" t="s">
        <v>30</v>
      </c>
      <c r="R1906" s="1" t="s">
        <v>31</v>
      </c>
      <c r="S1906" s="3" t="n">
        <v>2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f aca="false">SUM(S1906:T1906)</f>
        <v>2</v>
      </c>
      <c r="Z1906" s="3" t="n">
        <f aca="false">SUM(U1906:W1906)</f>
        <v>0</v>
      </c>
      <c r="AA1906" s="3" t="n">
        <f aca="false">SUM(S1906:X1906)</f>
        <v>2</v>
      </c>
      <c r="AB1906" s="11" t="n">
        <f aca="false">(AA1906/(K1906*L1906)*25)*4</f>
        <v>8</v>
      </c>
    </row>
    <row r="1907" customFormat="false" ht="14.25" hidden="false" customHeight="false" outlineLevel="0" collapsed="false">
      <c r="A1907" s="1" t="n">
        <v>2014</v>
      </c>
      <c r="B1907" s="7" t="s">
        <v>322</v>
      </c>
      <c r="C1907" s="7" t="n">
        <v>2</v>
      </c>
      <c r="D1907" s="7" t="s">
        <v>294</v>
      </c>
      <c r="E1907" s="7" t="s">
        <v>294</v>
      </c>
      <c r="F1907" s="3" t="s">
        <v>158</v>
      </c>
      <c r="G1907" s="3" t="n">
        <v>3</v>
      </c>
      <c r="H1907" s="3" t="n">
        <v>13</v>
      </c>
      <c r="I1907" s="22" t="n">
        <v>41793</v>
      </c>
      <c r="J1907" s="22" t="n">
        <v>41798</v>
      </c>
      <c r="K1907" s="43" t="n">
        <f aca="false">J1907-I1907</f>
        <v>5</v>
      </c>
      <c r="L1907" s="1" t="n">
        <v>5</v>
      </c>
      <c r="M1907" s="3" t="s">
        <v>135</v>
      </c>
      <c r="N1907" s="3" t="s">
        <v>136</v>
      </c>
      <c r="O1907" s="3" t="s">
        <v>137</v>
      </c>
      <c r="P1907" s="2" t="str">
        <f aca="false">CONCATENATE(N1907," ",O1907)</f>
        <v>Thanatus sabulosus</v>
      </c>
      <c r="Q1907" s="1" t="s">
        <v>30</v>
      </c>
      <c r="R1907" s="1" t="s">
        <v>31</v>
      </c>
      <c r="S1907" s="3" t="n">
        <v>1</v>
      </c>
      <c r="T1907" s="3" t="n">
        <v>0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f aca="false">SUM(S1907:T1907)</f>
        <v>1</v>
      </c>
      <c r="Z1907" s="3" t="n">
        <f aca="false">SUM(U1907:W1907)</f>
        <v>0</v>
      </c>
      <c r="AA1907" s="3" t="n">
        <f aca="false">SUM(S1907:X1907)</f>
        <v>1</v>
      </c>
      <c r="AB1907" s="11" t="n">
        <f aca="false">(AA1907/(K1907*L1907)*25)*4</f>
        <v>4</v>
      </c>
    </row>
    <row r="1908" customFormat="false" ht="14.25" hidden="false" customHeight="false" outlineLevel="0" collapsed="false">
      <c r="A1908" s="1" t="n">
        <v>2014</v>
      </c>
      <c r="B1908" s="7" t="s">
        <v>322</v>
      </c>
      <c r="C1908" s="7" t="n">
        <v>2</v>
      </c>
      <c r="D1908" s="7" t="s">
        <v>294</v>
      </c>
      <c r="E1908" s="7" t="s">
        <v>294</v>
      </c>
      <c r="F1908" s="3" t="s">
        <v>158</v>
      </c>
      <c r="G1908" s="3" t="n">
        <v>3</v>
      </c>
      <c r="H1908" s="3" t="n">
        <v>13</v>
      </c>
      <c r="I1908" s="22" t="n">
        <v>41793</v>
      </c>
      <c r="J1908" s="22" t="n">
        <v>41798</v>
      </c>
      <c r="K1908" s="43" t="n">
        <f aca="false">J1908-I1908</f>
        <v>5</v>
      </c>
      <c r="L1908" s="1" t="n">
        <v>5</v>
      </c>
      <c r="M1908" s="3" t="s">
        <v>48</v>
      </c>
      <c r="N1908" s="3" t="s">
        <v>67</v>
      </c>
      <c r="O1908" s="3" t="s">
        <v>127</v>
      </c>
      <c r="P1908" s="2" t="str">
        <f aca="false">CONCATENATE(N1908," ",O1908)</f>
        <v>Pardosa lugubris</v>
      </c>
      <c r="Q1908" s="1" t="s">
        <v>30</v>
      </c>
      <c r="R1908" s="1" t="s">
        <v>31</v>
      </c>
      <c r="S1908" s="3" t="n">
        <v>3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f aca="false">SUM(S1908:T1908)</f>
        <v>3</v>
      </c>
      <c r="Z1908" s="3" t="n">
        <f aca="false">SUM(U1908:W1908)</f>
        <v>0</v>
      </c>
      <c r="AA1908" s="3" t="n">
        <f aca="false">SUM(S1908:X1908)</f>
        <v>3</v>
      </c>
      <c r="AB1908" s="11" t="n">
        <f aca="false">(AA1908/(K1908*L1908)*25)*4</f>
        <v>12</v>
      </c>
    </row>
    <row r="1909" customFormat="false" ht="14.25" hidden="false" customHeight="false" outlineLevel="0" collapsed="false">
      <c r="A1909" s="1" t="n">
        <v>2014</v>
      </c>
      <c r="B1909" s="7" t="s">
        <v>322</v>
      </c>
      <c r="C1909" s="7" t="n">
        <v>2</v>
      </c>
      <c r="D1909" s="7" t="s">
        <v>294</v>
      </c>
      <c r="E1909" s="7" t="s">
        <v>294</v>
      </c>
      <c r="F1909" s="3" t="s">
        <v>158</v>
      </c>
      <c r="G1909" s="3" t="n">
        <v>3</v>
      </c>
      <c r="H1909" s="3" t="n">
        <v>13</v>
      </c>
      <c r="I1909" s="22" t="n">
        <v>41793</v>
      </c>
      <c r="J1909" s="22" t="n">
        <v>41798</v>
      </c>
      <c r="K1909" s="43" t="n">
        <f aca="false">J1909-I1909</f>
        <v>5</v>
      </c>
      <c r="L1909" s="1" t="n">
        <v>5</v>
      </c>
      <c r="M1909" s="3" t="s">
        <v>48</v>
      </c>
      <c r="N1909" s="3" t="s">
        <v>49</v>
      </c>
      <c r="O1909" s="3" t="s">
        <v>104</v>
      </c>
      <c r="P1909" s="2" t="str">
        <f aca="false">CONCATENATE(N1909," ",O1909)</f>
        <v>Alopecosa taeniata</v>
      </c>
      <c r="Q1909" s="1" t="s">
        <v>30</v>
      </c>
      <c r="R1909" s="1" t="s">
        <v>31</v>
      </c>
      <c r="S1909" s="3" t="n">
        <v>1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f aca="false">SUM(S1909:T1909)</f>
        <v>1</v>
      </c>
      <c r="Z1909" s="3" t="n">
        <f aca="false">SUM(U1909:W1909)</f>
        <v>0</v>
      </c>
      <c r="AA1909" s="3" t="n">
        <f aca="false">SUM(S1909:X1909)</f>
        <v>1</v>
      </c>
      <c r="AB1909" s="11" t="n">
        <f aca="false">(AA1909/(K1909*L1909)*25)*4</f>
        <v>4</v>
      </c>
    </row>
    <row r="1910" customFormat="false" ht="14.25" hidden="false" customHeight="false" outlineLevel="0" collapsed="false">
      <c r="A1910" s="1" t="n">
        <v>2014</v>
      </c>
      <c r="B1910" s="7" t="s">
        <v>322</v>
      </c>
      <c r="C1910" s="7" t="n">
        <v>2</v>
      </c>
      <c r="D1910" s="7" t="s">
        <v>294</v>
      </c>
      <c r="E1910" s="7" t="s">
        <v>294</v>
      </c>
      <c r="F1910" s="3" t="s">
        <v>158</v>
      </c>
      <c r="G1910" s="3" t="n">
        <v>3</v>
      </c>
      <c r="H1910" s="3" t="n">
        <v>13</v>
      </c>
      <c r="I1910" s="22" t="n">
        <v>41793</v>
      </c>
      <c r="J1910" s="22" t="n">
        <v>41798</v>
      </c>
      <c r="K1910" s="43" t="n">
        <f aca="false">J1910-I1910</f>
        <v>5</v>
      </c>
      <c r="L1910" s="1" t="n">
        <v>5</v>
      </c>
      <c r="M1910" s="3" t="s">
        <v>32</v>
      </c>
      <c r="N1910" s="3" t="s">
        <v>169</v>
      </c>
      <c r="O1910" s="3" t="s">
        <v>170</v>
      </c>
      <c r="P1910" s="2" t="str">
        <f aca="false">CONCATENATE(N1910," ",O1910)</f>
        <v>Abacoproeces saltuum</v>
      </c>
      <c r="Q1910" s="1" t="s">
        <v>30</v>
      </c>
      <c r="R1910" s="1" t="s">
        <v>31</v>
      </c>
      <c r="S1910" s="3" t="n">
        <v>3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f aca="false">SUM(S1910:T1910)</f>
        <v>3</v>
      </c>
      <c r="Z1910" s="3" t="n">
        <f aca="false">SUM(U1910:W1910)</f>
        <v>0</v>
      </c>
      <c r="AA1910" s="3" t="n">
        <f aca="false">SUM(S1910:X1910)</f>
        <v>3</v>
      </c>
      <c r="AB1910" s="11" t="n">
        <f aca="false">(AA1910/(K1910*L1910)*25)*4</f>
        <v>12</v>
      </c>
    </row>
    <row r="1911" customFormat="false" ht="14.25" hidden="false" customHeight="false" outlineLevel="0" collapsed="false">
      <c r="A1911" s="1" t="n">
        <v>2014</v>
      </c>
      <c r="B1911" s="7" t="s">
        <v>322</v>
      </c>
      <c r="C1911" s="7" t="n">
        <v>2</v>
      </c>
      <c r="D1911" s="7" t="s">
        <v>294</v>
      </c>
      <c r="E1911" s="7" t="s">
        <v>294</v>
      </c>
      <c r="F1911" s="3" t="s">
        <v>158</v>
      </c>
      <c r="G1911" s="3" t="n">
        <v>3</v>
      </c>
      <c r="H1911" s="3" t="n">
        <v>13</v>
      </c>
      <c r="I1911" s="22" t="n">
        <v>41793</v>
      </c>
      <c r="J1911" s="22" t="n">
        <v>41798</v>
      </c>
      <c r="K1911" s="43" t="n">
        <f aca="false">J1911-I1911</f>
        <v>5</v>
      </c>
      <c r="L1911" s="1" t="n">
        <v>5</v>
      </c>
      <c r="M1911" s="3" t="s">
        <v>32</v>
      </c>
      <c r="N1911" s="3" t="s">
        <v>62</v>
      </c>
      <c r="O1911" s="3" t="s">
        <v>63</v>
      </c>
      <c r="P1911" s="2" t="str">
        <f aca="false">CONCATENATE(N1911," ",O1911)</f>
        <v>Microneta viaria</v>
      </c>
      <c r="Q1911" s="1" t="s">
        <v>30</v>
      </c>
      <c r="R1911" s="1" t="s">
        <v>35</v>
      </c>
      <c r="S1911" s="3" t="n">
        <v>0</v>
      </c>
      <c r="T1911" s="3" t="n">
        <v>1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f aca="false">SUM(S1911:T1911)</f>
        <v>1</v>
      </c>
      <c r="Z1911" s="3" t="n">
        <f aca="false">SUM(U1911:W1911)</f>
        <v>0</v>
      </c>
      <c r="AA1911" s="3" t="n">
        <f aca="false">SUM(S1911:X1911)</f>
        <v>1</v>
      </c>
      <c r="AB1911" s="11" t="n">
        <f aca="false">(AA1911/(K1911*L1911)*25)*4</f>
        <v>4</v>
      </c>
    </row>
    <row r="1912" customFormat="false" ht="14.25" hidden="false" customHeight="false" outlineLevel="0" collapsed="false">
      <c r="A1912" s="1" t="n">
        <v>2014</v>
      </c>
      <c r="B1912" s="7" t="s">
        <v>322</v>
      </c>
      <c r="C1912" s="7" t="n">
        <v>2</v>
      </c>
      <c r="D1912" s="7" t="s">
        <v>294</v>
      </c>
      <c r="E1912" s="7" t="s">
        <v>294</v>
      </c>
      <c r="F1912" s="3" t="s">
        <v>158</v>
      </c>
      <c r="G1912" s="3" t="n">
        <v>3</v>
      </c>
      <c r="H1912" s="3" t="n">
        <v>13</v>
      </c>
      <c r="I1912" s="22" t="n">
        <v>41793</v>
      </c>
      <c r="J1912" s="22" t="n">
        <v>41798</v>
      </c>
      <c r="K1912" s="43" t="n">
        <f aca="false">J1912-I1912</f>
        <v>5</v>
      </c>
      <c r="L1912" s="1" t="n">
        <v>5</v>
      </c>
      <c r="M1912" s="3" t="s">
        <v>32</v>
      </c>
      <c r="N1912" s="3" t="s">
        <v>84</v>
      </c>
      <c r="O1912" s="3" t="s">
        <v>248</v>
      </c>
      <c r="P1912" s="2" t="str">
        <f aca="false">CONCATENATE(N1912," ",O1912)</f>
        <v>Walckenaeria furcillata</v>
      </c>
      <c r="Q1912" s="1" t="s">
        <v>30</v>
      </c>
      <c r="R1912" s="1" t="s">
        <v>35</v>
      </c>
      <c r="S1912" s="3" t="n">
        <v>0</v>
      </c>
      <c r="T1912" s="3" t="n">
        <v>1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f aca="false">SUM(S1912:T1912)</f>
        <v>1</v>
      </c>
      <c r="Z1912" s="3" t="n">
        <f aca="false">SUM(U1912:W1912)</f>
        <v>0</v>
      </c>
      <c r="AA1912" s="3" t="n">
        <f aca="false">SUM(S1912:X1912)</f>
        <v>1</v>
      </c>
      <c r="AB1912" s="11" t="n">
        <f aca="false">(AA1912/(K1912*L1912)*25)*4</f>
        <v>4</v>
      </c>
    </row>
    <row r="1913" customFormat="false" ht="14.25" hidden="false" customHeight="false" outlineLevel="0" collapsed="false">
      <c r="A1913" s="1" t="n">
        <v>2014</v>
      </c>
      <c r="B1913" s="7" t="s">
        <v>322</v>
      </c>
      <c r="C1913" s="7" t="n">
        <v>2</v>
      </c>
      <c r="D1913" s="7" t="s">
        <v>294</v>
      </c>
      <c r="E1913" s="7" t="s">
        <v>294</v>
      </c>
      <c r="F1913" s="3" t="s">
        <v>158</v>
      </c>
      <c r="G1913" s="3" t="n">
        <v>3</v>
      </c>
      <c r="H1913" s="3" t="n">
        <v>13</v>
      </c>
      <c r="I1913" s="22" t="n">
        <v>41793</v>
      </c>
      <c r="J1913" s="22" t="n">
        <v>41798</v>
      </c>
      <c r="K1913" s="43" t="n">
        <f aca="false">J1913-I1913</f>
        <v>5</v>
      </c>
      <c r="L1913" s="1" t="n">
        <v>5</v>
      </c>
      <c r="M1913" s="3" t="s">
        <v>32</v>
      </c>
      <c r="N1913" s="3" t="s">
        <v>55</v>
      </c>
      <c r="O1913" s="3" t="s">
        <v>56</v>
      </c>
      <c r="P1913" s="2" t="str">
        <f aca="false">CONCATENATE(N1913," ",O1913)</f>
        <v>Maro minutus</v>
      </c>
      <c r="Q1913" s="1" t="s">
        <v>30</v>
      </c>
      <c r="R1913" s="1" t="s">
        <v>31</v>
      </c>
      <c r="S1913" s="3" t="n">
        <v>1</v>
      </c>
      <c r="T1913" s="3" t="n">
        <v>0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f aca="false">SUM(S1913:T1913)</f>
        <v>1</v>
      </c>
      <c r="Z1913" s="3" t="n">
        <f aca="false">SUM(U1913:W1913)</f>
        <v>0</v>
      </c>
      <c r="AA1913" s="3" t="n">
        <f aca="false">SUM(S1913:X1913)</f>
        <v>1</v>
      </c>
      <c r="AB1913" s="11" t="n">
        <f aca="false">(AA1913/(K1913*L1913)*25)*4</f>
        <v>4</v>
      </c>
    </row>
    <row r="1914" customFormat="false" ht="14.25" hidden="false" customHeight="false" outlineLevel="0" collapsed="false">
      <c r="A1914" s="1" t="n">
        <v>2014</v>
      </c>
      <c r="B1914" s="7" t="s">
        <v>322</v>
      </c>
      <c r="C1914" s="7" t="n">
        <v>2</v>
      </c>
      <c r="D1914" s="7" t="s">
        <v>294</v>
      </c>
      <c r="E1914" s="7" t="s">
        <v>294</v>
      </c>
      <c r="F1914" s="3" t="s">
        <v>158</v>
      </c>
      <c r="G1914" s="3" t="n">
        <v>3</v>
      </c>
      <c r="H1914" s="3" t="n">
        <v>14</v>
      </c>
      <c r="I1914" s="22" t="n">
        <v>41793</v>
      </c>
      <c r="J1914" s="22" t="n">
        <v>41798</v>
      </c>
      <c r="K1914" s="43" t="n">
        <f aca="false">J1914-I1914</f>
        <v>5</v>
      </c>
      <c r="L1914" s="1" t="n">
        <v>5</v>
      </c>
      <c r="M1914" s="3" t="s">
        <v>36</v>
      </c>
      <c r="N1914" s="3" t="s">
        <v>131</v>
      </c>
      <c r="O1914" s="3" t="s">
        <v>229</v>
      </c>
      <c r="P1914" s="2" t="str">
        <f aca="false">CONCATENATE(N1914," ",O1914)</f>
        <v>Xysticus emertoni</v>
      </c>
      <c r="Q1914" s="1" t="s">
        <v>30</v>
      </c>
      <c r="R1914" s="1" t="s">
        <v>31</v>
      </c>
      <c r="S1914" s="3" t="n">
        <v>3</v>
      </c>
      <c r="T1914" s="3" t="n">
        <v>0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f aca="false">SUM(S1914:T1914)</f>
        <v>3</v>
      </c>
      <c r="Z1914" s="3" t="n">
        <f aca="false">SUM(U1914:W1914)</f>
        <v>0</v>
      </c>
      <c r="AA1914" s="3" t="n">
        <f aca="false">SUM(S1914:X1914)</f>
        <v>3</v>
      </c>
      <c r="AB1914" s="11" t="n">
        <f aca="false">(AA1914/(K1914*L1914)*25)*4</f>
        <v>12</v>
      </c>
    </row>
    <row r="1915" customFormat="false" ht="14.25" hidden="false" customHeight="false" outlineLevel="0" collapsed="false">
      <c r="A1915" s="1" t="n">
        <v>2014</v>
      </c>
      <c r="B1915" s="7" t="s">
        <v>322</v>
      </c>
      <c r="C1915" s="7" t="n">
        <v>2</v>
      </c>
      <c r="D1915" s="7" t="s">
        <v>294</v>
      </c>
      <c r="E1915" s="7" t="s">
        <v>294</v>
      </c>
      <c r="F1915" s="3" t="s">
        <v>158</v>
      </c>
      <c r="G1915" s="3" t="n">
        <v>3</v>
      </c>
      <c r="H1915" s="3" t="n">
        <v>14</v>
      </c>
      <c r="I1915" s="22" t="n">
        <v>41793</v>
      </c>
      <c r="J1915" s="22" t="n">
        <v>41798</v>
      </c>
      <c r="K1915" s="43" t="n">
        <f aca="false">J1915-I1915</f>
        <v>5</v>
      </c>
      <c r="L1915" s="1" t="n">
        <v>5</v>
      </c>
      <c r="M1915" s="3" t="s">
        <v>36</v>
      </c>
      <c r="N1915" s="3" t="s">
        <v>131</v>
      </c>
      <c r="O1915" s="3" t="s">
        <v>133</v>
      </c>
      <c r="P1915" s="2" t="str">
        <f aca="false">CONCATENATE(N1915," ",O1915)</f>
        <v>Xysticus luctuosus</v>
      </c>
      <c r="Q1915" s="1" t="s">
        <v>30</v>
      </c>
      <c r="R1915" s="1" t="s">
        <v>31</v>
      </c>
      <c r="S1915" s="3" t="n">
        <v>1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f aca="false">SUM(S1915:T1915)</f>
        <v>1</v>
      </c>
      <c r="Z1915" s="3" t="n">
        <f aca="false">SUM(U1915:W1915)</f>
        <v>0</v>
      </c>
      <c r="AA1915" s="3" t="n">
        <f aca="false">SUM(S1915:X1915)</f>
        <v>1</v>
      </c>
      <c r="AB1915" s="11" t="n">
        <f aca="false">(AA1915/(K1915*L1915)*25)*4</f>
        <v>4</v>
      </c>
    </row>
    <row r="1916" customFormat="false" ht="14.25" hidden="false" customHeight="false" outlineLevel="0" collapsed="false">
      <c r="A1916" s="1" t="n">
        <v>2014</v>
      </c>
      <c r="B1916" s="7" t="s">
        <v>322</v>
      </c>
      <c r="C1916" s="7" t="n">
        <v>2</v>
      </c>
      <c r="D1916" s="7" t="s">
        <v>294</v>
      </c>
      <c r="E1916" s="7" t="s">
        <v>294</v>
      </c>
      <c r="F1916" s="3" t="s">
        <v>158</v>
      </c>
      <c r="G1916" s="3" t="n">
        <v>3</v>
      </c>
      <c r="H1916" s="3" t="n">
        <v>14</v>
      </c>
      <c r="I1916" s="22" t="n">
        <v>41793</v>
      </c>
      <c r="J1916" s="22" t="n">
        <v>41798</v>
      </c>
      <c r="K1916" s="43" t="n">
        <f aca="false">J1916-I1916</f>
        <v>5</v>
      </c>
      <c r="L1916" s="1" t="n">
        <v>5</v>
      </c>
      <c r="M1916" s="3" t="s">
        <v>72</v>
      </c>
      <c r="N1916" s="3" t="s">
        <v>86</v>
      </c>
      <c r="O1916" s="3" t="s">
        <v>87</v>
      </c>
      <c r="P1916" s="2" t="str">
        <f aca="false">CONCATENATE(N1916," ",O1916)</f>
        <v>Haplodrassus soerenseni</v>
      </c>
      <c r="Q1916" s="1" t="s">
        <v>30</v>
      </c>
      <c r="R1916" s="1" t="s">
        <v>35</v>
      </c>
      <c r="S1916" s="3" t="n">
        <v>0</v>
      </c>
      <c r="T1916" s="3" t="n">
        <v>1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f aca="false">SUM(S1916:T1916)</f>
        <v>1</v>
      </c>
      <c r="Z1916" s="3" t="n">
        <f aca="false">SUM(U1916:W1916)</f>
        <v>0</v>
      </c>
      <c r="AA1916" s="3" t="n">
        <f aca="false">SUM(S1916:X1916)</f>
        <v>1</v>
      </c>
      <c r="AB1916" s="11" t="n">
        <f aca="false">(AA1916/(K1916*L1916)*25)*4</f>
        <v>4</v>
      </c>
    </row>
    <row r="1917" customFormat="false" ht="14.25" hidden="false" customHeight="false" outlineLevel="0" collapsed="false">
      <c r="A1917" s="1" t="n">
        <v>2014</v>
      </c>
      <c r="B1917" s="7" t="s">
        <v>322</v>
      </c>
      <c r="C1917" s="7" t="n">
        <v>2</v>
      </c>
      <c r="D1917" s="7" t="s">
        <v>294</v>
      </c>
      <c r="E1917" s="7" t="s">
        <v>294</v>
      </c>
      <c r="F1917" s="3" t="s">
        <v>158</v>
      </c>
      <c r="G1917" s="3" t="n">
        <v>3</v>
      </c>
      <c r="H1917" s="3" t="n">
        <v>14</v>
      </c>
      <c r="I1917" s="22" t="n">
        <v>41793</v>
      </c>
      <c r="J1917" s="22" t="n">
        <v>41798</v>
      </c>
      <c r="K1917" s="43" t="n">
        <f aca="false">J1917-I1917</f>
        <v>5</v>
      </c>
      <c r="L1917" s="1" t="n">
        <v>5</v>
      </c>
      <c r="M1917" s="3" t="s">
        <v>72</v>
      </c>
      <c r="N1917" s="3" t="s">
        <v>73</v>
      </c>
      <c r="O1917" s="3" t="s">
        <v>74</v>
      </c>
      <c r="P1917" s="2" t="str">
        <f aca="false">CONCATENATE(N1917," ",O1917)</f>
        <v>Zelotes subterraneus</v>
      </c>
      <c r="Q1917" s="1" t="s">
        <v>30</v>
      </c>
      <c r="R1917" s="1" t="s">
        <v>31</v>
      </c>
      <c r="S1917" s="3" t="n">
        <v>1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f aca="false">SUM(S1917:T1917)</f>
        <v>1</v>
      </c>
      <c r="Z1917" s="3" t="n">
        <f aca="false">SUM(U1917:W1917)</f>
        <v>0</v>
      </c>
      <c r="AA1917" s="3" t="n">
        <f aca="false">SUM(S1917:X1917)</f>
        <v>1</v>
      </c>
      <c r="AB1917" s="11" t="n">
        <f aca="false">(AA1917/(K1917*L1917)*25)*4</f>
        <v>4</v>
      </c>
    </row>
    <row r="1918" customFormat="false" ht="14.25" hidden="false" customHeight="false" outlineLevel="0" collapsed="false">
      <c r="A1918" s="1" t="n">
        <v>2014</v>
      </c>
      <c r="B1918" s="7" t="s">
        <v>322</v>
      </c>
      <c r="C1918" s="7" t="n">
        <v>2</v>
      </c>
      <c r="D1918" s="7" t="s">
        <v>294</v>
      </c>
      <c r="E1918" s="7" t="s">
        <v>294</v>
      </c>
      <c r="F1918" s="3" t="s">
        <v>158</v>
      </c>
      <c r="G1918" s="3" t="n">
        <v>3</v>
      </c>
      <c r="H1918" s="3" t="n">
        <v>14</v>
      </c>
      <c r="I1918" s="22" t="n">
        <v>41793</v>
      </c>
      <c r="J1918" s="22" t="n">
        <v>41798</v>
      </c>
      <c r="K1918" s="43" t="n">
        <f aca="false">J1918-I1918</f>
        <v>5</v>
      </c>
      <c r="L1918" s="1" t="n">
        <v>5</v>
      </c>
      <c r="M1918" s="3" t="s">
        <v>48</v>
      </c>
      <c r="N1918" s="3" t="s">
        <v>49</v>
      </c>
      <c r="O1918" s="3" t="s">
        <v>104</v>
      </c>
      <c r="P1918" s="2" t="str">
        <f aca="false">CONCATENATE(N1918," ",O1918)</f>
        <v>Alopecosa taeniata</v>
      </c>
      <c r="Q1918" s="1" t="s">
        <v>30</v>
      </c>
      <c r="R1918" s="1" t="s">
        <v>35</v>
      </c>
      <c r="S1918" s="3" t="n">
        <v>0</v>
      </c>
      <c r="T1918" s="3" t="n">
        <v>2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f aca="false">SUM(S1918:T1918)</f>
        <v>2</v>
      </c>
      <c r="Z1918" s="3" t="n">
        <f aca="false">SUM(U1918:W1918)</f>
        <v>0</v>
      </c>
      <c r="AA1918" s="3" t="n">
        <f aca="false">SUM(S1918:X1918)</f>
        <v>2</v>
      </c>
      <c r="AB1918" s="11" t="n">
        <f aca="false">(AA1918/(K1918*L1918)*25)*4</f>
        <v>8</v>
      </c>
    </row>
    <row r="1919" customFormat="false" ht="14.25" hidden="false" customHeight="false" outlineLevel="0" collapsed="false">
      <c r="A1919" s="1" t="n">
        <v>2014</v>
      </c>
      <c r="B1919" s="7" t="s">
        <v>322</v>
      </c>
      <c r="C1919" s="7" t="n">
        <v>2</v>
      </c>
      <c r="D1919" s="7" t="s">
        <v>294</v>
      </c>
      <c r="E1919" s="7" t="s">
        <v>294</v>
      </c>
      <c r="F1919" s="3" t="s">
        <v>158</v>
      </c>
      <c r="G1919" s="3" t="n">
        <v>3</v>
      </c>
      <c r="H1919" s="3" t="n">
        <v>14</v>
      </c>
      <c r="I1919" s="22" t="n">
        <v>41793</v>
      </c>
      <c r="J1919" s="22" t="n">
        <v>41798</v>
      </c>
      <c r="K1919" s="43" t="n">
        <f aca="false">J1919-I1919</f>
        <v>5</v>
      </c>
      <c r="L1919" s="1" t="n">
        <v>5</v>
      </c>
      <c r="M1919" s="3" t="s">
        <v>48</v>
      </c>
      <c r="N1919" s="3" t="s">
        <v>67</v>
      </c>
      <c r="O1919" s="3" t="s">
        <v>127</v>
      </c>
      <c r="P1919" s="2" t="str">
        <f aca="false">CONCATENATE(N1919," ",O1919)</f>
        <v>Pardosa lugubris</v>
      </c>
      <c r="Q1919" s="1" t="s">
        <v>30</v>
      </c>
      <c r="R1919" s="1" t="s">
        <v>31</v>
      </c>
      <c r="S1919" s="3" t="n">
        <v>4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f aca="false">SUM(S1919:T1919)</f>
        <v>4</v>
      </c>
      <c r="Z1919" s="3" t="n">
        <f aca="false">SUM(U1919:W1919)</f>
        <v>0</v>
      </c>
      <c r="AA1919" s="3" t="n">
        <f aca="false">SUM(S1919:X1919)</f>
        <v>4</v>
      </c>
      <c r="AB1919" s="11" t="n">
        <f aca="false">(AA1919/(K1919*L1919)*25)*4</f>
        <v>16</v>
      </c>
    </row>
    <row r="1920" customFormat="false" ht="14.25" hidden="false" customHeight="false" outlineLevel="0" collapsed="false">
      <c r="A1920" s="1" t="n">
        <v>2014</v>
      </c>
      <c r="B1920" s="7" t="s">
        <v>322</v>
      </c>
      <c r="C1920" s="7" t="n">
        <v>2</v>
      </c>
      <c r="D1920" s="7" t="s">
        <v>294</v>
      </c>
      <c r="E1920" s="7" t="s">
        <v>294</v>
      </c>
      <c r="F1920" s="3" t="s">
        <v>158</v>
      </c>
      <c r="G1920" s="3" t="n">
        <v>3</v>
      </c>
      <c r="H1920" s="3" t="n">
        <v>14</v>
      </c>
      <c r="I1920" s="22" t="n">
        <v>41793</v>
      </c>
      <c r="J1920" s="22" t="n">
        <v>41798</v>
      </c>
      <c r="K1920" s="43" t="n">
        <f aca="false">J1920-I1920</f>
        <v>5</v>
      </c>
      <c r="L1920" s="1" t="n">
        <v>5</v>
      </c>
      <c r="M1920" s="3" t="s">
        <v>48</v>
      </c>
      <c r="N1920" s="3" t="s">
        <v>67</v>
      </c>
      <c r="O1920" s="3" t="s">
        <v>127</v>
      </c>
      <c r="P1920" s="2" t="str">
        <f aca="false">CONCATENATE(N1920," ",O1920)</f>
        <v>Pardosa lugubris</v>
      </c>
      <c r="Q1920" s="1" t="s">
        <v>30</v>
      </c>
      <c r="R1920" s="1" t="s">
        <v>35</v>
      </c>
      <c r="S1920" s="3" t="n">
        <v>0</v>
      </c>
      <c r="T1920" s="3" t="n">
        <v>1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f aca="false">SUM(S1920:T1920)</f>
        <v>1</v>
      </c>
      <c r="Z1920" s="3" t="n">
        <f aca="false">SUM(U1920:W1920)</f>
        <v>0</v>
      </c>
      <c r="AA1920" s="3" t="n">
        <f aca="false">SUM(S1920:X1920)</f>
        <v>1</v>
      </c>
      <c r="AB1920" s="11" t="n">
        <f aca="false">(AA1920/(K1920*L1920)*25)*4</f>
        <v>4</v>
      </c>
    </row>
    <row r="1921" customFormat="false" ht="14.25" hidden="false" customHeight="false" outlineLevel="0" collapsed="false">
      <c r="A1921" s="1" t="n">
        <v>2014</v>
      </c>
      <c r="B1921" s="7" t="s">
        <v>322</v>
      </c>
      <c r="C1921" s="7" t="n">
        <v>2</v>
      </c>
      <c r="D1921" s="7" t="s">
        <v>294</v>
      </c>
      <c r="E1921" s="7" t="s">
        <v>294</v>
      </c>
      <c r="F1921" s="3" t="s">
        <v>158</v>
      </c>
      <c r="G1921" s="3" t="n">
        <v>3</v>
      </c>
      <c r="H1921" s="3" t="n">
        <v>14</v>
      </c>
      <c r="I1921" s="22" t="n">
        <v>41793</v>
      </c>
      <c r="J1921" s="22" t="n">
        <v>41798</v>
      </c>
      <c r="K1921" s="43" t="n">
        <f aca="false">J1921-I1921</f>
        <v>5</v>
      </c>
      <c r="L1921" s="1" t="n">
        <v>5</v>
      </c>
      <c r="M1921" s="3" t="s">
        <v>32</v>
      </c>
      <c r="N1921" s="3" t="s">
        <v>55</v>
      </c>
      <c r="O1921" s="3" t="s">
        <v>56</v>
      </c>
      <c r="P1921" s="2" t="str">
        <f aca="false">CONCATENATE(N1921," ",O1921)</f>
        <v>Maro minutus</v>
      </c>
      <c r="Q1921" s="1" t="s">
        <v>30</v>
      </c>
      <c r="R1921" s="1" t="s">
        <v>31</v>
      </c>
      <c r="S1921" s="3" t="n">
        <v>1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f aca="false">SUM(S1921:T1921)</f>
        <v>1</v>
      </c>
      <c r="Z1921" s="3" t="n">
        <f aca="false">SUM(U1921:W1921)</f>
        <v>0</v>
      </c>
      <c r="AA1921" s="3" t="n">
        <f aca="false">SUM(S1921:X1921)</f>
        <v>1</v>
      </c>
      <c r="AB1921" s="11" t="n">
        <f aca="false">(AA1921/(K1921*L1921)*25)*4</f>
        <v>4</v>
      </c>
    </row>
    <row r="1922" customFormat="false" ht="14.25" hidden="false" customHeight="false" outlineLevel="0" collapsed="false">
      <c r="A1922" s="1" t="n">
        <v>2014</v>
      </c>
      <c r="B1922" s="7" t="s">
        <v>322</v>
      </c>
      <c r="C1922" s="7" t="n">
        <v>2</v>
      </c>
      <c r="D1922" s="7" t="s">
        <v>294</v>
      </c>
      <c r="E1922" s="7" t="s">
        <v>294</v>
      </c>
      <c r="F1922" s="3" t="s">
        <v>158</v>
      </c>
      <c r="G1922" s="3" t="n">
        <v>3</v>
      </c>
      <c r="H1922" s="3" t="n">
        <v>14</v>
      </c>
      <c r="I1922" s="22" t="n">
        <v>41793</v>
      </c>
      <c r="J1922" s="22" t="n">
        <v>41798</v>
      </c>
      <c r="K1922" s="43" t="n">
        <f aca="false">J1922-I1922</f>
        <v>5</v>
      </c>
      <c r="L1922" s="1" t="n">
        <v>5</v>
      </c>
      <c r="M1922" s="3" t="s">
        <v>32</v>
      </c>
      <c r="N1922" s="3" t="s">
        <v>96</v>
      </c>
      <c r="O1922" s="3" t="s">
        <v>97</v>
      </c>
      <c r="P1922" s="2" t="str">
        <f aca="false">CONCATENATE(N1922," ",O1922)</f>
        <v>Diplocephalus picinus</v>
      </c>
      <c r="Q1922" s="1" t="s">
        <v>30</v>
      </c>
      <c r="R1922" s="1" t="s">
        <v>31</v>
      </c>
      <c r="S1922" s="3" t="n">
        <v>2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f aca="false">SUM(S1922:T1922)</f>
        <v>2</v>
      </c>
      <c r="Z1922" s="3" t="n">
        <f aca="false">SUM(U1922:W1922)</f>
        <v>0</v>
      </c>
      <c r="AA1922" s="3" t="n">
        <f aca="false">SUM(S1922:X1922)</f>
        <v>2</v>
      </c>
      <c r="AB1922" s="11" t="n">
        <f aca="false">(AA1922/(K1922*L1922)*25)*4</f>
        <v>8</v>
      </c>
    </row>
    <row r="1923" customFormat="false" ht="14.25" hidden="false" customHeight="false" outlineLevel="0" collapsed="false">
      <c r="A1923" s="1" t="n">
        <v>2014</v>
      </c>
      <c r="B1923" s="7" t="s">
        <v>322</v>
      </c>
      <c r="C1923" s="7" t="n">
        <v>2</v>
      </c>
      <c r="D1923" s="7" t="s">
        <v>294</v>
      </c>
      <c r="E1923" s="7" t="s">
        <v>294</v>
      </c>
      <c r="F1923" s="3" t="s">
        <v>158</v>
      </c>
      <c r="G1923" s="3" t="n">
        <v>3</v>
      </c>
      <c r="H1923" s="3" t="n">
        <v>14</v>
      </c>
      <c r="I1923" s="22" t="n">
        <v>41793</v>
      </c>
      <c r="J1923" s="22" t="n">
        <v>41798</v>
      </c>
      <c r="K1923" s="43" t="n">
        <f aca="false">J1923-I1923</f>
        <v>5</v>
      </c>
      <c r="L1923" s="1" t="n">
        <v>5</v>
      </c>
      <c r="M1923" s="3" t="s">
        <v>32</v>
      </c>
      <c r="N1923" s="3" t="s">
        <v>169</v>
      </c>
      <c r="O1923" s="3" t="s">
        <v>170</v>
      </c>
      <c r="P1923" s="2" t="str">
        <f aca="false">CONCATENATE(N1923," ",O1923)</f>
        <v>Abacoproeces saltuum</v>
      </c>
      <c r="Q1923" s="1" t="s">
        <v>30</v>
      </c>
      <c r="R1923" s="1" t="s">
        <v>31</v>
      </c>
      <c r="S1923" s="3" t="n">
        <v>2</v>
      </c>
      <c r="T1923" s="3" t="n">
        <v>0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f aca="false">SUM(S1923:T1923)</f>
        <v>2</v>
      </c>
      <c r="Z1923" s="3" t="n">
        <f aca="false">SUM(U1923:W1923)</f>
        <v>0</v>
      </c>
      <c r="AA1923" s="3" t="n">
        <f aca="false">SUM(S1923:X1923)</f>
        <v>2</v>
      </c>
      <c r="AB1923" s="11" t="n">
        <f aca="false">(AA1923/(K1923*L1923)*25)*4</f>
        <v>8</v>
      </c>
    </row>
    <row r="1924" customFormat="false" ht="14.25" hidden="false" customHeight="false" outlineLevel="0" collapsed="false">
      <c r="A1924" s="1" t="n">
        <v>2014</v>
      </c>
      <c r="B1924" s="7" t="s">
        <v>322</v>
      </c>
      <c r="C1924" s="7" t="n">
        <v>2</v>
      </c>
      <c r="D1924" s="7" t="s">
        <v>294</v>
      </c>
      <c r="E1924" s="7" t="s">
        <v>294</v>
      </c>
      <c r="F1924" s="3" t="s">
        <v>158</v>
      </c>
      <c r="G1924" s="3" t="n">
        <v>3</v>
      </c>
      <c r="H1924" s="3" t="n">
        <v>14</v>
      </c>
      <c r="I1924" s="22" t="n">
        <v>41793</v>
      </c>
      <c r="J1924" s="22" t="n">
        <v>41798</v>
      </c>
      <c r="K1924" s="43" t="n">
        <f aca="false">J1924-I1924</f>
        <v>5</v>
      </c>
      <c r="L1924" s="1" t="n">
        <v>5</v>
      </c>
      <c r="M1924" s="3" t="s">
        <v>32</v>
      </c>
      <c r="N1924" s="3" t="s">
        <v>169</v>
      </c>
      <c r="O1924" s="3" t="s">
        <v>170</v>
      </c>
      <c r="P1924" s="2" t="str">
        <f aca="false">CONCATENATE(N1924," ",O1924)</f>
        <v>Abacoproeces saltuum</v>
      </c>
      <c r="Q1924" s="1" t="s">
        <v>30</v>
      </c>
      <c r="R1924" s="1" t="s">
        <v>35</v>
      </c>
      <c r="S1924" s="3" t="n">
        <v>0</v>
      </c>
      <c r="T1924" s="3" t="n">
        <v>1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f aca="false">SUM(S1924:T1924)</f>
        <v>1</v>
      </c>
      <c r="Z1924" s="3" t="n">
        <f aca="false">SUM(U1924:W1924)</f>
        <v>0</v>
      </c>
      <c r="AA1924" s="3" t="n">
        <f aca="false">SUM(S1924:X1924)</f>
        <v>1</v>
      </c>
      <c r="AB1924" s="11" t="n">
        <f aca="false">(AA1924/(K1924*L1924)*25)*4</f>
        <v>4</v>
      </c>
    </row>
    <row r="1925" customFormat="false" ht="14.25" hidden="false" customHeight="false" outlineLevel="0" collapsed="false">
      <c r="A1925" s="1" t="n">
        <v>2014</v>
      </c>
      <c r="B1925" s="7" t="s">
        <v>322</v>
      </c>
      <c r="C1925" s="7" t="n">
        <v>2</v>
      </c>
      <c r="D1925" s="7" t="s">
        <v>294</v>
      </c>
      <c r="E1925" s="7" t="s">
        <v>294</v>
      </c>
      <c r="F1925" s="3" t="s">
        <v>158</v>
      </c>
      <c r="G1925" s="3" t="n">
        <v>1</v>
      </c>
      <c r="H1925" s="3" t="n">
        <v>5</v>
      </c>
      <c r="I1925" s="22" t="n">
        <v>41793</v>
      </c>
      <c r="J1925" s="22" t="n">
        <v>41798</v>
      </c>
      <c r="K1925" s="43" t="n">
        <f aca="false">J1925-I1925</f>
        <v>5</v>
      </c>
      <c r="L1925" s="1" t="n">
        <v>5</v>
      </c>
      <c r="M1925" s="3" t="s">
        <v>48</v>
      </c>
      <c r="N1925" s="3" t="s">
        <v>67</v>
      </c>
      <c r="O1925" s="3" t="s">
        <v>127</v>
      </c>
      <c r="P1925" s="2" t="str">
        <f aca="false">CONCATENATE(N1925," ",O1925)</f>
        <v>Pardosa lugubris</v>
      </c>
      <c r="Q1925" s="1" t="s">
        <v>30</v>
      </c>
      <c r="R1925" s="1" t="s">
        <v>31</v>
      </c>
      <c r="S1925" s="3" t="n">
        <v>4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f aca="false">SUM(S1925:T1925)</f>
        <v>4</v>
      </c>
      <c r="Z1925" s="3" t="n">
        <f aca="false">SUM(U1925:W1925)</f>
        <v>0</v>
      </c>
      <c r="AA1925" s="3" t="n">
        <f aca="false">SUM(S1925:X1925)</f>
        <v>4</v>
      </c>
      <c r="AB1925" s="11" t="n">
        <f aca="false">(AA1925/(K1925*L1925)*25)*4</f>
        <v>16</v>
      </c>
    </row>
    <row r="1926" customFormat="false" ht="14.25" hidden="false" customHeight="false" outlineLevel="0" collapsed="false">
      <c r="A1926" s="1" t="n">
        <v>2014</v>
      </c>
      <c r="B1926" s="7" t="s">
        <v>322</v>
      </c>
      <c r="C1926" s="7" t="n">
        <v>2</v>
      </c>
      <c r="D1926" s="7" t="s">
        <v>294</v>
      </c>
      <c r="E1926" s="7" t="s">
        <v>294</v>
      </c>
      <c r="F1926" s="3" t="s">
        <v>158</v>
      </c>
      <c r="G1926" s="3" t="n">
        <v>1</v>
      </c>
      <c r="H1926" s="3" t="n">
        <v>5</v>
      </c>
      <c r="I1926" s="22" t="n">
        <v>41793</v>
      </c>
      <c r="J1926" s="22" t="n">
        <v>41798</v>
      </c>
      <c r="K1926" s="43" t="n">
        <f aca="false">J1926-I1926</f>
        <v>5</v>
      </c>
      <c r="L1926" s="1" t="n">
        <v>5</v>
      </c>
      <c r="M1926" s="3" t="s">
        <v>48</v>
      </c>
      <c r="N1926" s="3" t="s">
        <v>49</v>
      </c>
      <c r="O1926" s="3" t="s">
        <v>119</v>
      </c>
      <c r="P1926" s="2" t="str">
        <f aca="false">CONCATENATE(N1926," ",O1926)</f>
        <v>Alopecosa sulzeri</v>
      </c>
      <c r="Q1926" s="1" t="s">
        <v>30</v>
      </c>
      <c r="R1926" s="1" t="s">
        <v>31</v>
      </c>
      <c r="S1926" s="3" t="n">
        <v>3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f aca="false">SUM(S1926:T1926)</f>
        <v>3</v>
      </c>
      <c r="Z1926" s="3" t="n">
        <f aca="false">SUM(U1926:W1926)</f>
        <v>0</v>
      </c>
      <c r="AA1926" s="3" t="n">
        <f aca="false">SUM(S1926:X1926)</f>
        <v>3</v>
      </c>
      <c r="AB1926" s="11" t="n">
        <f aca="false">(AA1926/(K1926*L1926)*25)*4</f>
        <v>12</v>
      </c>
    </row>
    <row r="1927" customFormat="false" ht="14.25" hidden="false" customHeight="false" outlineLevel="0" collapsed="false">
      <c r="A1927" s="1" t="n">
        <v>2014</v>
      </c>
      <c r="B1927" s="7" t="s">
        <v>322</v>
      </c>
      <c r="C1927" s="7" t="n">
        <v>2</v>
      </c>
      <c r="D1927" s="7" t="s">
        <v>294</v>
      </c>
      <c r="E1927" s="7" t="s">
        <v>294</v>
      </c>
      <c r="F1927" s="3" t="s">
        <v>158</v>
      </c>
      <c r="G1927" s="3" t="n">
        <v>1</v>
      </c>
      <c r="H1927" s="3" t="n">
        <v>5</v>
      </c>
      <c r="I1927" s="22" t="n">
        <v>41793</v>
      </c>
      <c r="J1927" s="22" t="n">
        <v>41798</v>
      </c>
      <c r="K1927" s="43" t="n">
        <f aca="false">J1927-I1927</f>
        <v>5</v>
      </c>
      <c r="L1927" s="1" t="n">
        <v>5</v>
      </c>
      <c r="M1927" s="3" t="s">
        <v>48</v>
      </c>
      <c r="N1927" s="3" t="s">
        <v>49</v>
      </c>
      <c r="O1927" s="3" t="s">
        <v>104</v>
      </c>
      <c r="P1927" s="2" t="str">
        <f aca="false">CONCATENATE(N1927," ",O1927)</f>
        <v>Alopecosa taeniata</v>
      </c>
      <c r="Q1927" s="1" t="s">
        <v>30</v>
      </c>
      <c r="R1927" s="1" t="s">
        <v>31</v>
      </c>
      <c r="S1927" s="3" t="n">
        <v>3</v>
      </c>
      <c r="T1927" s="3" t="n">
        <v>0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f aca="false">SUM(S1927:T1927)</f>
        <v>3</v>
      </c>
      <c r="Z1927" s="3" t="n">
        <f aca="false">SUM(U1927:W1927)</f>
        <v>0</v>
      </c>
      <c r="AA1927" s="3" t="n">
        <f aca="false">SUM(S1927:X1927)</f>
        <v>3</v>
      </c>
      <c r="AB1927" s="11" t="n">
        <f aca="false">(AA1927/(K1927*L1927)*25)*4</f>
        <v>12</v>
      </c>
    </row>
    <row r="1928" customFormat="false" ht="14.25" hidden="false" customHeight="false" outlineLevel="0" collapsed="false">
      <c r="A1928" s="1" t="n">
        <v>2014</v>
      </c>
      <c r="B1928" s="7" t="s">
        <v>322</v>
      </c>
      <c r="C1928" s="7" t="n">
        <v>2</v>
      </c>
      <c r="D1928" s="7" t="s">
        <v>294</v>
      </c>
      <c r="E1928" s="7" t="s">
        <v>294</v>
      </c>
      <c r="F1928" s="3" t="s">
        <v>158</v>
      </c>
      <c r="G1928" s="3" t="n">
        <v>1</v>
      </c>
      <c r="H1928" s="3" t="n">
        <v>5</v>
      </c>
      <c r="I1928" s="22" t="n">
        <v>41793</v>
      </c>
      <c r="J1928" s="22" t="n">
        <v>41798</v>
      </c>
      <c r="K1928" s="43" t="n">
        <f aca="false">J1928-I1928</f>
        <v>5</v>
      </c>
      <c r="L1928" s="1" t="n">
        <v>5</v>
      </c>
      <c r="M1928" s="3" t="s">
        <v>48</v>
      </c>
      <c r="N1928" s="3" t="s">
        <v>49</v>
      </c>
      <c r="O1928" s="3" t="s">
        <v>104</v>
      </c>
      <c r="P1928" s="2" t="str">
        <f aca="false">CONCATENATE(N1928," ",O1928)</f>
        <v>Alopecosa taeniata</v>
      </c>
      <c r="Q1928" s="1" t="s">
        <v>30</v>
      </c>
      <c r="R1928" s="1" t="s">
        <v>35</v>
      </c>
      <c r="S1928" s="3" t="n">
        <v>0</v>
      </c>
      <c r="T1928" s="3" t="n">
        <v>2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f aca="false">SUM(S1928:T1928)</f>
        <v>2</v>
      </c>
      <c r="Z1928" s="3" t="n">
        <f aca="false">SUM(U1928:W1928)</f>
        <v>0</v>
      </c>
      <c r="AA1928" s="3" t="n">
        <f aca="false">SUM(S1928:X1928)</f>
        <v>2</v>
      </c>
      <c r="AB1928" s="11" t="n">
        <f aca="false">(AA1928/(K1928*L1928)*25)*4</f>
        <v>8</v>
      </c>
    </row>
    <row r="1929" customFormat="false" ht="14.25" hidden="false" customHeight="false" outlineLevel="0" collapsed="false">
      <c r="A1929" s="1" t="n">
        <v>2014</v>
      </c>
      <c r="B1929" s="7" t="s">
        <v>322</v>
      </c>
      <c r="C1929" s="7" t="n">
        <v>2</v>
      </c>
      <c r="D1929" s="7" t="s">
        <v>294</v>
      </c>
      <c r="E1929" s="7" t="s">
        <v>294</v>
      </c>
      <c r="F1929" s="3" t="s">
        <v>158</v>
      </c>
      <c r="G1929" s="3" t="n">
        <v>1</v>
      </c>
      <c r="H1929" s="3" t="n">
        <v>5</v>
      </c>
      <c r="I1929" s="22" t="n">
        <v>41793</v>
      </c>
      <c r="J1929" s="22" t="n">
        <v>41798</v>
      </c>
      <c r="K1929" s="43" t="n">
        <f aca="false">J1929-I1929</f>
        <v>5</v>
      </c>
      <c r="L1929" s="1" t="n">
        <v>5</v>
      </c>
      <c r="M1929" s="3" t="s">
        <v>36</v>
      </c>
      <c r="N1929" s="3" t="s">
        <v>131</v>
      </c>
      <c r="O1929" s="3" t="s">
        <v>133</v>
      </c>
      <c r="P1929" s="2" t="str">
        <f aca="false">CONCATENATE(N1929," ",O1929)</f>
        <v>Xysticus luctuosus</v>
      </c>
      <c r="Q1929" s="1" t="s">
        <v>30</v>
      </c>
      <c r="R1929" s="1" t="s">
        <v>31</v>
      </c>
      <c r="S1929" s="3" t="n">
        <v>1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f aca="false">SUM(S1929:T1929)</f>
        <v>1</v>
      </c>
      <c r="Z1929" s="3" t="n">
        <f aca="false">SUM(U1929:W1929)</f>
        <v>0</v>
      </c>
      <c r="AA1929" s="3" t="n">
        <f aca="false">SUM(S1929:X1929)</f>
        <v>1</v>
      </c>
      <c r="AB1929" s="11" t="n">
        <f aca="false">(AA1929/(K1929*L1929)*25)*4</f>
        <v>4</v>
      </c>
    </row>
    <row r="1930" customFormat="false" ht="14.25" hidden="false" customHeight="false" outlineLevel="0" collapsed="false">
      <c r="A1930" s="1" t="n">
        <v>2014</v>
      </c>
      <c r="B1930" s="7" t="s">
        <v>322</v>
      </c>
      <c r="C1930" s="7" t="n">
        <v>2</v>
      </c>
      <c r="D1930" s="7" t="s">
        <v>294</v>
      </c>
      <c r="E1930" s="7" t="s">
        <v>294</v>
      </c>
      <c r="F1930" s="3" t="s">
        <v>158</v>
      </c>
      <c r="G1930" s="3" t="n">
        <v>1</v>
      </c>
      <c r="H1930" s="3" t="n">
        <v>5</v>
      </c>
      <c r="I1930" s="22" t="n">
        <v>41793</v>
      </c>
      <c r="J1930" s="22" t="n">
        <v>41798</v>
      </c>
      <c r="K1930" s="43" t="n">
        <f aca="false">J1930-I1930</f>
        <v>5</v>
      </c>
      <c r="L1930" s="1" t="n">
        <v>5</v>
      </c>
      <c r="M1930" s="3" t="s">
        <v>226</v>
      </c>
      <c r="N1930" s="3" t="s">
        <v>65</v>
      </c>
      <c r="O1930" s="3" t="s">
        <v>123</v>
      </c>
      <c r="P1930" s="2" t="str">
        <f aca="false">CONCATENATE(N1930," ",O1930)</f>
        <v>Zora nemoralis</v>
      </c>
      <c r="Q1930" s="1" t="s">
        <v>30</v>
      </c>
      <c r="R1930" s="1" t="s">
        <v>31</v>
      </c>
      <c r="S1930" s="3" t="n">
        <v>1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f aca="false">SUM(S1930:T1930)</f>
        <v>1</v>
      </c>
      <c r="Z1930" s="3" t="n">
        <f aca="false">SUM(U1930:W1930)</f>
        <v>0</v>
      </c>
      <c r="AA1930" s="3" t="n">
        <f aca="false">SUM(S1930:X1930)</f>
        <v>1</v>
      </c>
      <c r="AB1930" s="11" t="n">
        <f aca="false">(AA1930/(K1930*L1930)*25)*4</f>
        <v>4</v>
      </c>
    </row>
    <row r="1931" customFormat="false" ht="14.25" hidden="false" customHeight="false" outlineLevel="0" collapsed="false">
      <c r="A1931" s="1" t="n">
        <v>2014</v>
      </c>
      <c r="B1931" s="7" t="s">
        <v>322</v>
      </c>
      <c r="C1931" s="7" t="n">
        <v>2</v>
      </c>
      <c r="D1931" s="7" t="s">
        <v>294</v>
      </c>
      <c r="E1931" s="7" t="s">
        <v>294</v>
      </c>
      <c r="F1931" s="3" t="s">
        <v>158</v>
      </c>
      <c r="G1931" s="3" t="n">
        <v>1</v>
      </c>
      <c r="H1931" s="3" t="n">
        <v>5</v>
      </c>
      <c r="I1931" s="22" t="n">
        <v>41793</v>
      </c>
      <c r="J1931" s="22" t="n">
        <v>41798</v>
      </c>
      <c r="K1931" s="43" t="n">
        <f aca="false">J1931-I1931</f>
        <v>5</v>
      </c>
      <c r="L1931" s="1" t="n">
        <v>5</v>
      </c>
      <c r="M1931" s="3" t="s">
        <v>32</v>
      </c>
      <c r="N1931" s="3" t="s">
        <v>169</v>
      </c>
      <c r="O1931" s="3" t="s">
        <v>170</v>
      </c>
      <c r="P1931" s="2" t="str">
        <f aca="false">CONCATENATE(N1931," ",O1931)</f>
        <v>Abacoproeces saltuum</v>
      </c>
      <c r="Q1931" s="1" t="s">
        <v>30</v>
      </c>
      <c r="R1931" s="1" t="s">
        <v>31</v>
      </c>
      <c r="S1931" s="3" t="n">
        <v>1</v>
      </c>
      <c r="T1931" s="3" t="n">
        <v>0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f aca="false">SUM(S1931:T1931)</f>
        <v>1</v>
      </c>
      <c r="Z1931" s="3" t="n">
        <f aca="false">SUM(U1931:W1931)</f>
        <v>0</v>
      </c>
      <c r="AA1931" s="3" t="n">
        <f aca="false">SUM(S1931:X1931)</f>
        <v>1</v>
      </c>
      <c r="AB1931" s="11" t="n">
        <f aca="false">(AA1931/(K1931*L1931)*25)*4</f>
        <v>4</v>
      </c>
    </row>
    <row r="1932" customFormat="false" ht="14.25" hidden="false" customHeight="false" outlineLevel="0" collapsed="false">
      <c r="A1932" s="1" t="n">
        <v>2014</v>
      </c>
      <c r="B1932" s="7" t="s">
        <v>322</v>
      </c>
      <c r="C1932" s="7" t="n">
        <v>2</v>
      </c>
      <c r="D1932" s="7" t="s">
        <v>294</v>
      </c>
      <c r="E1932" s="7" t="s">
        <v>294</v>
      </c>
      <c r="F1932" s="3" t="s">
        <v>158</v>
      </c>
      <c r="G1932" s="3" t="n">
        <v>1</v>
      </c>
      <c r="H1932" s="3" t="n">
        <v>5</v>
      </c>
      <c r="I1932" s="22" t="n">
        <v>41793</v>
      </c>
      <c r="J1932" s="22" t="n">
        <v>41798</v>
      </c>
      <c r="K1932" s="43" t="n">
        <f aca="false">J1932-I1932</f>
        <v>5</v>
      </c>
      <c r="L1932" s="1" t="n">
        <v>5</v>
      </c>
      <c r="M1932" s="3" t="s">
        <v>32</v>
      </c>
      <c r="N1932" s="3" t="s">
        <v>169</v>
      </c>
      <c r="O1932" s="3" t="s">
        <v>170</v>
      </c>
      <c r="P1932" s="2" t="str">
        <f aca="false">CONCATENATE(N1932," ",O1932)</f>
        <v>Abacoproeces saltuum</v>
      </c>
      <c r="Q1932" s="1" t="s">
        <v>30</v>
      </c>
      <c r="R1932" s="1" t="s">
        <v>35</v>
      </c>
      <c r="S1932" s="3" t="n">
        <v>0</v>
      </c>
      <c r="T1932" s="3" t="n">
        <v>4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f aca="false">SUM(S1932:T1932)</f>
        <v>4</v>
      </c>
      <c r="Z1932" s="3" t="n">
        <f aca="false">SUM(U1932:W1932)</f>
        <v>0</v>
      </c>
      <c r="AA1932" s="3" t="n">
        <f aca="false">SUM(S1932:X1932)</f>
        <v>4</v>
      </c>
      <c r="AB1932" s="11" t="n">
        <f aca="false">(AA1932/(K1932*L1932)*25)*4</f>
        <v>16</v>
      </c>
    </row>
    <row r="1933" customFormat="false" ht="14.25" hidden="false" customHeight="false" outlineLevel="0" collapsed="false">
      <c r="A1933" s="1" t="n">
        <v>2014</v>
      </c>
      <c r="B1933" s="7" t="s">
        <v>322</v>
      </c>
      <c r="C1933" s="7" t="n">
        <v>2</v>
      </c>
      <c r="D1933" s="7" t="s">
        <v>294</v>
      </c>
      <c r="E1933" s="7" t="s">
        <v>294</v>
      </c>
      <c r="F1933" s="3" t="s">
        <v>158</v>
      </c>
      <c r="G1933" s="3" t="n">
        <v>1</v>
      </c>
      <c r="H1933" s="3" t="n">
        <v>5</v>
      </c>
      <c r="I1933" s="22" t="n">
        <v>41793</v>
      </c>
      <c r="J1933" s="22" t="n">
        <v>41798</v>
      </c>
      <c r="K1933" s="43" t="n">
        <f aca="false">J1933-I1933</f>
        <v>5</v>
      </c>
      <c r="L1933" s="1" t="n">
        <v>5</v>
      </c>
      <c r="M1933" s="3" t="s">
        <v>32</v>
      </c>
      <c r="N1933" s="3" t="s">
        <v>84</v>
      </c>
      <c r="O1933" s="3" t="s">
        <v>77</v>
      </c>
      <c r="P1933" s="2" t="str">
        <f aca="false">CONCATENATE(N1933," ",O1933)</f>
        <v>Walckenaeria alticeps</v>
      </c>
      <c r="Q1933" s="1" t="s">
        <v>30</v>
      </c>
      <c r="R1933" s="1" t="s">
        <v>35</v>
      </c>
      <c r="S1933" s="3" t="n">
        <v>0</v>
      </c>
      <c r="T1933" s="3" t="n">
        <v>1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f aca="false">SUM(S1933:T1933)</f>
        <v>1</v>
      </c>
      <c r="Z1933" s="3" t="n">
        <f aca="false">SUM(U1933:W1933)</f>
        <v>0</v>
      </c>
      <c r="AA1933" s="3" t="n">
        <f aca="false">SUM(S1933:X1933)</f>
        <v>1</v>
      </c>
      <c r="AB1933" s="11" t="n">
        <f aca="false">(AA1933/(K1933*L1933)*25)*4</f>
        <v>4</v>
      </c>
    </row>
    <row r="1934" customFormat="false" ht="14.25" hidden="false" customHeight="false" outlineLevel="0" collapsed="false">
      <c r="A1934" s="1" t="n">
        <v>2014</v>
      </c>
      <c r="B1934" s="7" t="s">
        <v>322</v>
      </c>
      <c r="C1934" s="7" t="n">
        <v>2</v>
      </c>
      <c r="D1934" s="7" t="s">
        <v>294</v>
      </c>
      <c r="E1934" s="7" t="s">
        <v>294</v>
      </c>
      <c r="F1934" s="3" t="s">
        <v>83</v>
      </c>
      <c r="G1934" s="3" t="n">
        <v>1</v>
      </c>
      <c r="H1934" s="3" t="n">
        <v>5</v>
      </c>
      <c r="I1934" s="22" t="n">
        <v>41794</v>
      </c>
      <c r="J1934" s="22" t="n">
        <v>41799</v>
      </c>
      <c r="K1934" s="43" t="n">
        <f aca="false">J1934-I1934</f>
        <v>5</v>
      </c>
      <c r="L1934" s="1" t="n">
        <v>5</v>
      </c>
      <c r="M1934" s="3" t="s">
        <v>36</v>
      </c>
      <c r="N1934" s="3" t="s">
        <v>37</v>
      </c>
      <c r="O1934" s="3" t="s">
        <v>75</v>
      </c>
      <c r="P1934" s="2" t="str">
        <f aca="false">CONCATENATE(N1934," ",O1934)</f>
        <v>Ozyptila praticola</v>
      </c>
      <c r="Q1934" s="1" t="s">
        <v>30</v>
      </c>
      <c r="R1934" s="1" t="s">
        <v>31</v>
      </c>
      <c r="S1934" s="3" t="n">
        <v>2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f aca="false">SUM(S1934:T1934)</f>
        <v>2</v>
      </c>
      <c r="Z1934" s="3" t="n">
        <f aca="false">SUM(U1934:W1934)</f>
        <v>0</v>
      </c>
      <c r="AA1934" s="3" t="n">
        <f aca="false">SUM(S1934:X1934)</f>
        <v>2</v>
      </c>
      <c r="AB1934" s="11" t="n">
        <f aca="false">(AA1934/(K1934*L1934)*25)*4</f>
        <v>8</v>
      </c>
    </row>
    <row r="1935" customFormat="false" ht="14.25" hidden="false" customHeight="false" outlineLevel="0" collapsed="false">
      <c r="A1935" s="1" t="n">
        <v>2014</v>
      </c>
      <c r="B1935" s="7" t="s">
        <v>322</v>
      </c>
      <c r="C1935" s="7" t="n">
        <v>2</v>
      </c>
      <c r="D1935" s="7" t="s">
        <v>294</v>
      </c>
      <c r="E1935" s="7" t="s">
        <v>294</v>
      </c>
      <c r="F1935" s="3" t="s">
        <v>83</v>
      </c>
      <c r="G1935" s="3" t="n">
        <v>1</v>
      </c>
      <c r="H1935" s="3" t="n">
        <v>5</v>
      </c>
      <c r="I1935" s="22" t="n">
        <v>41794</v>
      </c>
      <c r="J1935" s="22" t="n">
        <v>41799</v>
      </c>
      <c r="K1935" s="43" t="n">
        <f aca="false">J1935-I1935</f>
        <v>5</v>
      </c>
      <c r="L1935" s="1" t="n">
        <v>5</v>
      </c>
      <c r="M1935" s="3" t="s">
        <v>36</v>
      </c>
      <c r="N1935" s="3" t="s">
        <v>131</v>
      </c>
      <c r="O1935" s="3" t="s">
        <v>133</v>
      </c>
      <c r="P1935" s="2" t="str">
        <f aca="false">CONCATENATE(N1935," ",O1935)</f>
        <v>Xysticus luctuosus</v>
      </c>
      <c r="Q1935" s="1" t="s">
        <v>30</v>
      </c>
      <c r="R1935" s="1" t="s">
        <v>31</v>
      </c>
      <c r="S1935" s="3" t="n">
        <v>1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f aca="false">SUM(S1935:T1935)</f>
        <v>1</v>
      </c>
      <c r="Z1935" s="3" t="n">
        <f aca="false">SUM(U1935:W1935)</f>
        <v>0</v>
      </c>
      <c r="AA1935" s="3" t="n">
        <f aca="false">SUM(S1935:X1935)</f>
        <v>1</v>
      </c>
      <c r="AB1935" s="11" t="n">
        <f aca="false">(AA1935/(K1935*L1935)*25)*4</f>
        <v>4</v>
      </c>
    </row>
    <row r="1936" customFormat="false" ht="14.25" hidden="false" customHeight="false" outlineLevel="0" collapsed="false">
      <c r="A1936" s="1" t="n">
        <v>2014</v>
      </c>
      <c r="B1936" s="7" t="s">
        <v>322</v>
      </c>
      <c r="C1936" s="7" t="n">
        <v>2</v>
      </c>
      <c r="D1936" s="7" t="s">
        <v>294</v>
      </c>
      <c r="E1936" s="7" t="s">
        <v>294</v>
      </c>
      <c r="F1936" s="3" t="s">
        <v>83</v>
      </c>
      <c r="G1936" s="3" t="n">
        <v>1</v>
      </c>
      <c r="H1936" s="3" t="n">
        <v>5</v>
      </c>
      <c r="I1936" s="22" t="n">
        <v>41794</v>
      </c>
      <c r="J1936" s="22" t="n">
        <v>41799</v>
      </c>
      <c r="K1936" s="43" t="n">
        <f aca="false">J1936-I1936</f>
        <v>5</v>
      </c>
      <c r="L1936" s="1" t="n">
        <v>5</v>
      </c>
      <c r="M1936" s="3" t="s">
        <v>48</v>
      </c>
      <c r="N1936" s="3" t="s">
        <v>67</v>
      </c>
      <c r="O1936" s="3" t="s">
        <v>127</v>
      </c>
      <c r="P1936" s="2" t="str">
        <f aca="false">CONCATENATE(N1936," ",O1936)</f>
        <v>Pardosa lugubris</v>
      </c>
      <c r="Q1936" s="1" t="s">
        <v>30</v>
      </c>
      <c r="R1936" s="1" t="s">
        <v>31</v>
      </c>
      <c r="S1936" s="3" t="n">
        <v>9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f aca="false">SUM(S1936:T1936)</f>
        <v>9</v>
      </c>
      <c r="Z1936" s="3" t="n">
        <f aca="false">SUM(U1936:W1936)</f>
        <v>0</v>
      </c>
      <c r="AA1936" s="3" t="n">
        <f aca="false">SUM(S1936:X1936)</f>
        <v>9</v>
      </c>
      <c r="AB1936" s="11" t="n">
        <f aca="false">(AA1936/(K1936*L1936)*25)*4</f>
        <v>36</v>
      </c>
    </row>
    <row r="1937" customFormat="false" ht="14.25" hidden="false" customHeight="false" outlineLevel="0" collapsed="false">
      <c r="A1937" s="1" t="n">
        <v>2014</v>
      </c>
      <c r="B1937" s="7" t="s">
        <v>322</v>
      </c>
      <c r="C1937" s="7" t="n">
        <v>2</v>
      </c>
      <c r="D1937" s="7" t="s">
        <v>294</v>
      </c>
      <c r="E1937" s="7" t="s">
        <v>294</v>
      </c>
      <c r="F1937" s="3" t="s">
        <v>83</v>
      </c>
      <c r="G1937" s="3" t="n">
        <v>1</v>
      </c>
      <c r="H1937" s="3" t="n">
        <v>5</v>
      </c>
      <c r="I1937" s="22" t="n">
        <v>41794</v>
      </c>
      <c r="J1937" s="22" t="n">
        <v>41799</v>
      </c>
      <c r="K1937" s="43" t="n">
        <f aca="false">J1937-I1937</f>
        <v>5</v>
      </c>
      <c r="L1937" s="1" t="n">
        <v>5</v>
      </c>
      <c r="M1937" s="3" t="s">
        <v>48</v>
      </c>
      <c r="N1937" s="3" t="s">
        <v>67</v>
      </c>
      <c r="O1937" s="3" t="s">
        <v>127</v>
      </c>
      <c r="P1937" s="2" t="str">
        <f aca="false">CONCATENATE(N1937," ",O1937)</f>
        <v>Pardosa lugubris</v>
      </c>
      <c r="Q1937" s="1" t="s">
        <v>30</v>
      </c>
      <c r="R1937" s="1" t="s">
        <v>35</v>
      </c>
      <c r="S1937" s="3" t="n">
        <v>0</v>
      </c>
      <c r="T1937" s="3" t="n">
        <v>2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f aca="false">SUM(S1937:T1937)</f>
        <v>2</v>
      </c>
      <c r="Z1937" s="3" t="n">
        <f aca="false">SUM(U1937:W1937)</f>
        <v>0</v>
      </c>
      <c r="AA1937" s="3" t="n">
        <f aca="false">SUM(S1937:X1937)</f>
        <v>2</v>
      </c>
      <c r="AB1937" s="11" t="n">
        <f aca="false">(AA1937/(K1937*L1937)*25)*4</f>
        <v>8</v>
      </c>
    </row>
    <row r="1938" customFormat="false" ht="14.25" hidden="false" customHeight="false" outlineLevel="0" collapsed="false">
      <c r="A1938" s="1" t="n">
        <v>2014</v>
      </c>
      <c r="B1938" s="7" t="s">
        <v>322</v>
      </c>
      <c r="C1938" s="7" t="n">
        <v>2</v>
      </c>
      <c r="D1938" s="7" t="s">
        <v>294</v>
      </c>
      <c r="E1938" s="7" t="s">
        <v>294</v>
      </c>
      <c r="F1938" s="3" t="s">
        <v>83</v>
      </c>
      <c r="G1938" s="3" t="n">
        <v>1</v>
      </c>
      <c r="H1938" s="3" t="n">
        <v>5</v>
      </c>
      <c r="I1938" s="22" t="n">
        <v>41794</v>
      </c>
      <c r="J1938" s="22" t="n">
        <v>41799</v>
      </c>
      <c r="K1938" s="43" t="n">
        <f aca="false">J1938-I1938</f>
        <v>5</v>
      </c>
      <c r="L1938" s="1" t="n">
        <v>5</v>
      </c>
      <c r="M1938" s="3" t="s">
        <v>48</v>
      </c>
      <c r="N1938" s="3" t="s">
        <v>49</v>
      </c>
      <c r="O1938" s="3" t="s">
        <v>104</v>
      </c>
      <c r="P1938" s="2" t="str">
        <f aca="false">CONCATENATE(N1938," ",O1938)</f>
        <v>Alopecosa taeniata</v>
      </c>
      <c r="Q1938" s="1" t="s">
        <v>30</v>
      </c>
      <c r="R1938" s="1" t="s">
        <v>31</v>
      </c>
      <c r="S1938" s="3" t="n">
        <v>4</v>
      </c>
      <c r="T1938" s="3" t="n">
        <v>0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f aca="false">SUM(S1938:T1938)</f>
        <v>4</v>
      </c>
      <c r="Z1938" s="3" t="n">
        <f aca="false">SUM(U1938:W1938)</f>
        <v>0</v>
      </c>
      <c r="AA1938" s="3" t="n">
        <f aca="false">SUM(S1938:X1938)</f>
        <v>4</v>
      </c>
      <c r="AB1938" s="11" t="n">
        <f aca="false">(AA1938/(K1938*L1938)*25)*4</f>
        <v>16</v>
      </c>
    </row>
    <row r="1939" customFormat="false" ht="14.25" hidden="false" customHeight="false" outlineLevel="0" collapsed="false">
      <c r="A1939" s="1" t="n">
        <v>2014</v>
      </c>
      <c r="B1939" s="7" t="s">
        <v>322</v>
      </c>
      <c r="C1939" s="7" t="n">
        <v>2</v>
      </c>
      <c r="D1939" s="7" t="s">
        <v>294</v>
      </c>
      <c r="E1939" s="7" t="s">
        <v>294</v>
      </c>
      <c r="F1939" s="3" t="s">
        <v>83</v>
      </c>
      <c r="G1939" s="3" t="n">
        <v>1</v>
      </c>
      <c r="H1939" s="3" t="n">
        <v>5</v>
      </c>
      <c r="I1939" s="22" t="n">
        <v>41794</v>
      </c>
      <c r="J1939" s="22" t="n">
        <v>41799</v>
      </c>
      <c r="K1939" s="43" t="n">
        <f aca="false">J1939-I1939</f>
        <v>5</v>
      </c>
      <c r="L1939" s="1" t="n">
        <v>5</v>
      </c>
      <c r="M1939" s="3" t="s">
        <v>226</v>
      </c>
      <c r="N1939" s="3" t="s">
        <v>65</v>
      </c>
      <c r="O1939" s="3" t="s">
        <v>123</v>
      </c>
      <c r="P1939" s="2" t="str">
        <f aca="false">CONCATENATE(N1939," ",O1939)</f>
        <v>Zora nemoralis</v>
      </c>
      <c r="Q1939" s="1" t="s">
        <v>30</v>
      </c>
      <c r="R1939" s="1" t="s">
        <v>31</v>
      </c>
      <c r="S1939" s="3" t="n">
        <v>2</v>
      </c>
      <c r="T1939" s="3" t="n">
        <v>0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f aca="false">SUM(S1939:T1939)</f>
        <v>2</v>
      </c>
      <c r="Z1939" s="3" t="n">
        <f aca="false">SUM(U1939:W1939)</f>
        <v>0</v>
      </c>
      <c r="AA1939" s="3" t="n">
        <f aca="false">SUM(S1939:X1939)</f>
        <v>2</v>
      </c>
      <c r="AB1939" s="11" t="n">
        <f aca="false">(AA1939/(K1939*L1939)*25)*4</f>
        <v>8</v>
      </c>
    </row>
    <row r="1940" customFormat="false" ht="14.25" hidden="false" customHeight="false" outlineLevel="0" collapsed="false">
      <c r="A1940" s="1" t="n">
        <v>2014</v>
      </c>
      <c r="B1940" s="7" t="s">
        <v>322</v>
      </c>
      <c r="C1940" s="7" t="n">
        <v>2</v>
      </c>
      <c r="D1940" s="7" t="s">
        <v>294</v>
      </c>
      <c r="E1940" s="7" t="s">
        <v>294</v>
      </c>
      <c r="F1940" s="3" t="s">
        <v>83</v>
      </c>
      <c r="G1940" s="3" t="n">
        <v>1</v>
      </c>
      <c r="H1940" s="3" t="n">
        <v>5</v>
      </c>
      <c r="I1940" s="22" t="n">
        <v>41794</v>
      </c>
      <c r="J1940" s="22" t="n">
        <v>41799</v>
      </c>
      <c r="K1940" s="43" t="n">
        <f aca="false">J1940-I1940</f>
        <v>5</v>
      </c>
      <c r="L1940" s="1" t="n">
        <v>5</v>
      </c>
      <c r="M1940" s="3" t="s">
        <v>27</v>
      </c>
      <c r="N1940" s="3" t="s">
        <v>46</v>
      </c>
      <c r="O1940" s="3" t="s">
        <v>47</v>
      </c>
      <c r="P1940" s="2" t="str">
        <f aca="false">CONCATENATE(N1940," ",O1940)</f>
        <v>Euryopis flavomaculata</v>
      </c>
      <c r="Q1940" s="1" t="s">
        <v>30</v>
      </c>
      <c r="R1940" s="1" t="s">
        <v>31</v>
      </c>
      <c r="S1940" s="3" t="n">
        <v>1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f aca="false">SUM(S1940:T1940)</f>
        <v>1</v>
      </c>
      <c r="Z1940" s="3" t="n">
        <f aca="false">SUM(U1940:W1940)</f>
        <v>0</v>
      </c>
      <c r="AA1940" s="3" t="n">
        <f aca="false">SUM(S1940:X1940)</f>
        <v>1</v>
      </c>
      <c r="AB1940" s="11" t="n">
        <f aca="false">(AA1940/(K1940*L1940)*25)*4</f>
        <v>4</v>
      </c>
    </row>
    <row r="1941" customFormat="false" ht="14.25" hidden="false" customHeight="false" outlineLevel="0" collapsed="false">
      <c r="A1941" s="1" t="n">
        <v>2014</v>
      </c>
      <c r="B1941" s="7" t="s">
        <v>322</v>
      </c>
      <c r="C1941" s="7" t="n">
        <v>2</v>
      </c>
      <c r="D1941" s="7" t="s">
        <v>294</v>
      </c>
      <c r="E1941" s="7" t="s">
        <v>294</v>
      </c>
      <c r="F1941" s="3" t="s">
        <v>83</v>
      </c>
      <c r="G1941" s="3" t="n">
        <v>1</v>
      </c>
      <c r="H1941" s="3" t="n">
        <v>5</v>
      </c>
      <c r="I1941" s="22" t="n">
        <v>41794</v>
      </c>
      <c r="J1941" s="22" t="n">
        <v>41799</v>
      </c>
      <c r="K1941" s="43" t="n">
        <f aca="false">J1941-I1941</f>
        <v>5</v>
      </c>
      <c r="L1941" s="1" t="n">
        <v>5</v>
      </c>
      <c r="M1941" s="3" t="s">
        <v>32</v>
      </c>
      <c r="N1941" s="3" t="s">
        <v>102</v>
      </c>
      <c r="O1941" s="3" t="s">
        <v>192</v>
      </c>
      <c r="P1941" s="2" t="str">
        <f aca="false">CONCATENATE(N1941," ",O1941)</f>
        <v>Agyneta allosubtilis</v>
      </c>
      <c r="Q1941" s="1" t="s">
        <v>30</v>
      </c>
      <c r="R1941" s="1" t="s">
        <v>31</v>
      </c>
      <c r="S1941" s="3" t="n">
        <v>1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f aca="false">SUM(S1941:T1941)</f>
        <v>1</v>
      </c>
      <c r="Z1941" s="3" t="n">
        <f aca="false">SUM(U1941:W1941)</f>
        <v>0</v>
      </c>
      <c r="AA1941" s="3" t="n">
        <f aca="false">SUM(S1941:X1941)</f>
        <v>1</v>
      </c>
      <c r="AB1941" s="11" t="n">
        <f aca="false">(AA1941/(K1941*L1941)*25)*4</f>
        <v>4</v>
      </c>
    </row>
    <row r="1942" customFormat="false" ht="14.25" hidden="false" customHeight="false" outlineLevel="0" collapsed="false">
      <c r="A1942" s="1" t="n">
        <v>2014</v>
      </c>
      <c r="B1942" s="7" t="s">
        <v>322</v>
      </c>
      <c r="C1942" s="7" t="n">
        <v>2</v>
      </c>
      <c r="D1942" s="7" t="s">
        <v>294</v>
      </c>
      <c r="E1942" s="7" t="s">
        <v>294</v>
      </c>
      <c r="F1942" s="3" t="s">
        <v>83</v>
      </c>
      <c r="G1942" s="3" t="n">
        <v>1</v>
      </c>
      <c r="H1942" s="3" t="n">
        <v>5</v>
      </c>
      <c r="I1942" s="22" t="n">
        <v>41794</v>
      </c>
      <c r="J1942" s="22" t="n">
        <v>41799</v>
      </c>
      <c r="K1942" s="43" t="n">
        <f aca="false">J1942-I1942</f>
        <v>5</v>
      </c>
      <c r="L1942" s="1" t="n">
        <v>5</v>
      </c>
      <c r="M1942" s="3" t="s">
        <v>32</v>
      </c>
      <c r="N1942" s="3" t="s">
        <v>169</v>
      </c>
      <c r="O1942" s="3" t="s">
        <v>170</v>
      </c>
      <c r="P1942" s="2" t="str">
        <f aca="false">CONCATENATE(N1942," ",O1942)</f>
        <v>Abacoproeces saltuum</v>
      </c>
      <c r="Q1942" s="1" t="s">
        <v>30</v>
      </c>
      <c r="R1942" s="1" t="s">
        <v>31</v>
      </c>
      <c r="S1942" s="3" t="n">
        <v>1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f aca="false">SUM(S1942:T1942)</f>
        <v>1</v>
      </c>
      <c r="Z1942" s="3" t="n">
        <f aca="false">SUM(U1942:W1942)</f>
        <v>0</v>
      </c>
      <c r="AA1942" s="3" t="n">
        <f aca="false">SUM(S1942:X1942)</f>
        <v>1</v>
      </c>
      <c r="AB1942" s="11" t="n">
        <f aca="false">(AA1942/(K1942*L1942)*25)*4</f>
        <v>4</v>
      </c>
    </row>
    <row r="1943" customFormat="false" ht="14.25" hidden="false" customHeight="false" outlineLevel="0" collapsed="false">
      <c r="A1943" s="1" t="n">
        <v>2014</v>
      </c>
      <c r="B1943" s="7" t="s">
        <v>322</v>
      </c>
      <c r="C1943" s="7" t="n">
        <v>2</v>
      </c>
      <c r="D1943" s="7" t="s">
        <v>294</v>
      </c>
      <c r="E1943" s="7" t="s">
        <v>294</v>
      </c>
      <c r="F1943" s="3" t="s">
        <v>83</v>
      </c>
      <c r="G1943" s="3" t="n">
        <v>1</v>
      </c>
      <c r="H1943" s="3" t="n">
        <v>5</v>
      </c>
      <c r="I1943" s="22" t="n">
        <v>41794</v>
      </c>
      <c r="J1943" s="22" t="n">
        <v>41799</v>
      </c>
      <c r="K1943" s="43" t="n">
        <f aca="false">J1943-I1943</f>
        <v>5</v>
      </c>
      <c r="L1943" s="1" t="n">
        <v>5</v>
      </c>
      <c r="M1943" s="3" t="s">
        <v>32</v>
      </c>
      <c r="N1943" s="3" t="s">
        <v>169</v>
      </c>
      <c r="O1943" s="3" t="s">
        <v>170</v>
      </c>
      <c r="P1943" s="2" t="str">
        <f aca="false">CONCATENATE(N1943," ",O1943)</f>
        <v>Abacoproeces saltuum</v>
      </c>
      <c r="Q1943" s="1" t="s">
        <v>30</v>
      </c>
      <c r="R1943" s="1" t="s">
        <v>35</v>
      </c>
      <c r="S1943" s="3" t="n">
        <v>0</v>
      </c>
      <c r="T1943" s="3" t="n">
        <v>1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f aca="false">SUM(S1943:T1943)</f>
        <v>1</v>
      </c>
      <c r="Z1943" s="3" t="n">
        <f aca="false">SUM(U1943:W1943)</f>
        <v>0</v>
      </c>
      <c r="AA1943" s="3" t="n">
        <f aca="false">SUM(S1943:X1943)</f>
        <v>1</v>
      </c>
      <c r="AB1943" s="11" t="n">
        <f aca="false">(AA1943/(K1943*L1943)*25)*4</f>
        <v>4</v>
      </c>
    </row>
    <row r="1944" customFormat="false" ht="14.25" hidden="false" customHeight="false" outlineLevel="0" collapsed="false">
      <c r="A1944" s="1" t="n">
        <v>2014</v>
      </c>
      <c r="B1944" s="7" t="s">
        <v>322</v>
      </c>
      <c r="C1944" s="7" t="n">
        <v>2</v>
      </c>
      <c r="D1944" s="7" t="s">
        <v>294</v>
      </c>
      <c r="E1944" s="7" t="s">
        <v>294</v>
      </c>
      <c r="F1944" s="3" t="s">
        <v>83</v>
      </c>
      <c r="G1944" s="3" t="n">
        <v>1</v>
      </c>
      <c r="H1944" s="3" t="n">
        <v>5</v>
      </c>
      <c r="I1944" s="22" t="n">
        <v>41794</v>
      </c>
      <c r="J1944" s="22" t="n">
        <v>41799</v>
      </c>
      <c r="K1944" s="43" t="n">
        <f aca="false">J1944-I1944</f>
        <v>5</v>
      </c>
      <c r="L1944" s="1" t="n">
        <v>5</v>
      </c>
      <c r="M1944" s="3" t="s">
        <v>32</v>
      </c>
      <c r="N1944" s="3" t="s">
        <v>249</v>
      </c>
      <c r="O1944" s="3" t="s">
        <v>250</v>
      </c>
      <c r="P1944" s="2" t="str">
        <f aca="false">CONCATENATE(N1944," ",O1944)</f>
        <v>Trichoncus vasconicus</v>
      </c>
      <c r="Q1944" s="1" t="s">
        <v>30</v>
      </c>
      <c r="R1944" s="1" t="s">
        <v>31</v>
      </c>
      <c r="S1944" s="3" t="n">
        <v>1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f aca="false">SUM(S1944:T1944)</f>
        <v>1</v>
      </c>
      <c r="Z1944" s="3" t="n">
        <f aca="false">SUM(U1944:W1944)</f>
        <v>0</v>
      </c>
      <c r="AA1944" s="3" t="n">
        <f aca="false">SUM(S1944:X1944)</f>
        <v>1</v>
      </c>
      <c r="AB1944" s="11" t="n">
        <f aca="false">(AA1944/(K1944*L1944)*25)*4</f>
        <v>4</v>
      </c>
    </row>
    <row r="1945" customFormat="false" ht="14.25" hidden="false" customHeight="false" outlineLevel="0" collapsed="false">
      <c r="A1945" s="1" t="n">
        <v>2014</v>
      </c>
      <c r="B1945" s="7" t="s">
        <v>322</v>
      </c>
      <c r="C1945" s="7" t="n">
        <v>2</v>
      </c>
      <c r="D1945" s="7" t="s">
        <v>294</v>
      </c>
      <c r="E1945" s="7" t="s">
        <v>294</v>
      </c>
      <c r="F1945" s="3" t="s">
        <v>83</v>
      </c>
      <c r="G1945" s="3" t="n">
        <v>3</v>
      </c>
      <c r="H1945" s="3" t="n">
        <v>11</v>
      </c>
      <c r="I1945" s="22" t="n">
        <v>41794</v>
      </c>
      <c r="J1945" s="22" t="n">
        <v>41799</v>
      </c>
      <c r="K1945" s="43" t="n">
        <f aca="false">J1945-I1945</f>
        <v>5</v>
      </c>
      <c r="L1945" s="1" t="n">
        <v>5</v>
      </c>
      <c r="M1945" s="3" t="s">
        <v>48</v>
      </c>
      <c r="N1945" s="3" t="s">
        <v>67</v>
      </c>
      <c r="O1945" s="3" t="s">
        <v>127</v>
      </c>
      <c r="P1945" s="2" t="str">
        <f aca="false">CONCATENATE(N1945," ",O1945)</f>
        <v>Pardosa lugubris</v>
      </c>
      <c r="Q1945" s="1" t="s">
        <v>30</v>
      </c>
      <c r="R1945" s="1" t="s">
        <v>31</v>
      </c>
      <c r="S1945" s="3" t="n">
        <v>7</v>
      </c>
      <c r="T1945" s="3" t="n">
        <v>0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f aca="false">SUM(S1945:T1945)</f>
        <v>7</v>
      </c>
      <c r="Z1945" s="3" t="n">
        <f aca="false">SUM(U1945:W1945)</f>
        <v>0</v>
      </c>
      <c r="AA1945" s="3" t="n">
        <f aca="false">SUM(S1945:X1945)</f>
        <v>7</v>
      </c>
      <c r="AB1945" s="11" t="n">
        <f aca="false">(AA1945/(K1945*L1945)*25)*4</f>
        <v>28</v>
      </c>
    </row>
    <row r="1946" customFormat="false" ht="14.25" hidden="false" customHeight="false" outlineLevel="0" collapsed="false">
      <c r="A1946" s="1" t="n">
        <v>2014</v>
      </c>
      <c r="B1946" s="7" t="s">
        <v>322</v>
      </c>
      <c r="C1946" s="7" t="n">
        <v>2</v>
      </c>
      <c r="D1946" s="7" t="s">
        <v>294</v>
      </c>
      <c r="E1946" s="7" t="s">
        <v>294</v>
      </c>
      <c r="F1946" s="3" t="s">
        <v>83</v>
      </c>
      <c r="G1946" s="3" t="n">
        <v>3</v>
      </c>
      <c r="H1946" s="3" t="n">
        <v>11</v>
      </c>
      <c r="I1946" s="22" t="n">
        <v>41794</v>
      </c>
      <c r="J1946" s="22" t="n">
        <v>41799</v>
      </c>
      <c r="K1946" s="43" t="n">
        <f aca="false">J1946-I1946</f>
        <v>5</v>
      </c>
      <c r="L1946" s="1" t="n">
        <v>5</v>
      </c>
      <c r="M1946" s="3" t="s">
        <v>48</v>
      </c>
      <c r="N1946" s="3" t="s">
        <v>67</v>
      </c>
      <c r="O1946" s="3" t="s">
        <v>127</v>
      </c>
      <c r="P1946" s="2" t="str">
        <f aca="false">CONCATENATE(N1946," ",O1946)</f>
        <v>Pardosa lugubris</v>
      </c>
      <c r="Q1946" s="1" t="s">
        <v>30</v>
      </c>
      <c r="R1946" s="1" t="s">
        <v>35</v>
      </c>
      <c r="S1946" s="3" t="n">
        <v>0</v>
      </c>
      <c r="T1946" s="3" t="n">
        <v>2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f aca="false">SUM(S1946:T1946)</f>
        <v>2</v>
      </c>
      <c r="Z1946" s="3" t="n">
        <f aca="false">SUM(U1946:W1946)</f>
        <v>0</v>
      </c>
      <c r="AA1946" s="3" t="n">
        <f aca="false">SUM(S1946:X1946)</f>
        <v>2</v>
      </c>
      <c r="AB1946" s="11" t="n">
        <f aca="false">(AA1946/(K1946*L1946)*25)*4</f>
        <v>8</v>
      </c>
    </row>
    <row r="1947" customFormat="false" ht="14.25" hidden="false" customHeight="false" outlineLevel="0" collapsed="false">
      <c r="A1947" s="1" t="n">
        <v>2014</v>
      </c>
      <c r="B1947" s="7" t="s">
        <v>322</v>
      </c>
      <c r="C1947" s="7" t="n">
        <v>2</v>
      </c>
      <c r="D1947" s="7" t="s">
        <v>294</v>
      </c>
      <c r="E1947" s="7" t="s">
        <v>294</v>
      </c>
      <c r="F1947" s="3" t="s">
        <v>83</v>
      </c>
      <c r="G1947" s="3" t="n">
        <v>3</v>
      </c>
      <c r="H1947" s="3" t="n">
        <v>11</v>
      </c>
      <c r="I1947" s="22" t="n">
        <v>41794</v>
      </c>
      <c r="J1947" s="22" t="n">
        <v>41799</v>
      </c>
      <c r="K1947" s="43" t="n">
        <f aca="false">J1947-I1947</f>
        <v>5</v>
      </c>
      <c r="L1947" s="1" t="n">
        <v>5</v>
      </c>
      <c r="M1947" s="3" t="s">
        <v>48</v>
      </c>
      <c r="N1947" s="3" t="s">
        <v>61</v>
      </c>
      <c r="O1947" s="3" t="s">
        <v>82</v>
      </c>
      <c r="P1947" s="2" t="str">
        <f aca="false">CONCATENATE(N1947," ",O1947)</f>
        <v>Trochosa terricola</v>
      </c>
      <c r="Q1947" s="1" t="s">
        <v>30</v>
      </c>
      <c r="R1947" s="1" t="s">
        <v>35</v>
      </c>
      <c r="S1947" s="3" t="n">
        <v>0</v>
      </c>
      <c r="T1947" s="3" t="n">
        <v>1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f aca="false">SUM(S1947:T1947)</f>
        <v>1</v>
      </c>
      <c r="Z1947" s="3" t="n">
        <f aca="false">SUM(U1947:W1947)</f>
        <v>0</v>
      </c>
      <c r="AA1947" s="3" t="n">
        <f aca="false">SUM(S1947:X1947)</f>
        <v>1</v>
      </c>
      <c r="AB1947" s="11" t="n">
        <f aca="false">(AA1947/(K1947*L1947)*25)*4</f>
        <v>4</v>
      </c>
    </row>
    <row r="1948" customFormat="false" ht="14.25" hidden="false" customHeight="false" outlineLevel="0" collapsed="false">
      <c r="A1948" s="1" t="n">
        <v>2014</v>
      </c>
      <c r="B1948" s="7" t="s">
        <v>322</v>
      </c>
      <c r="C1948" s="7" t="n">
        <v>2</v>
      </c>
      <c r="D1948" s="7" t="s">
        <v>294</v>
      </c>
      <c r="E1948" s="7" t="s">
        <v>294</v>
      </c>
      <c r="F1948" s="3" t="s">
        <v>83</v>
      </c>
      <c r="G1948" s="3" t="n">
        <v>3</v>
      </c>
      <c r="H1948" s="3" t="n">
        <v>11</v>
      </c>
      <c r="I1948" s="22" t="n">
        <v>41794</v>
      </c>
      <c r="J1948" s="22" t="n">
        <v>41799</v>
      </c>
      <c r="K1948" s="43" t="n">
        <f aca="false">J1948-I1948</f>
        <v>5</v>
      </c>
      <c r="L1948" s="1" t="n">
        <v>5</v>
      </c>
      <c r="M1948" s="3" t="s">
        <v>48</v>
      </c>
      <c r="N1948" s="3" t="s">
        <v>49</v>
      </c>
      <c r="O1948" s="3" t="s">
        <v>104</v>
      </c>
      <c r="P1948" s="2" t="str">
        <f aca="false">CONCATENATE(N1948," ",O1948)</f>
        <v>Alopecosa taeniata</v>
      </c>
      <c r="Q1948" s="1" t="s">
        <v>30</v>
      </c>
      <c r="R1948" s="1" t="s">
        <v>35</v>
      </c>
      <c r="S1948" s="3" t="n">
        <v>0</v>
      </c>
      <c r="T1948" s="3" t="n">
        <v>1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f aca="false">SUM(S1948:T1948)</f>
        <v>1</v>
      </c>
      <c r="Z1948" s="3" t="n">
        <f aca="false">SUM(U1948:W1948)</f>
        <v>0</v>
      </c>
      <c r="AA1948" s="3" t="n">
        <f aca="false">SUM(S1948:X1948)</f>
        <v>1</v>
      </c>
      <c r="AB1948" s="11" t="n">
        <f aca="false">(AA1948/(K1948*L1948)*25)*4</f>
        <v>4</v>
      </c>
    </row>
    <row r="1949" customFormat="false" ht="14.25" hidden="false" customHeight="false" outlineLevel="0" collapsed="false">
      <c r="A1949" s="1" t="n">
        <v>2014</v>
      </c>
      <c r="B1949" s="7" t="s">
        <v>322</v>
      </c>
      <c r="C1949" s="7" t="n">
        <v>2</v>
      </c>
      <c r="D1949" s="7" t="s">
        <v>294</v>
      </c>
      <c r="E1949" s="7" t="s">
        <v>294</v>
      </c>
      <c r="F1949" s="3" t="s">
        <v>83</v>
      </c>
      <c r="G1949" s="3" t="n">
        <v>3</v>
      </c>
      <c r="H1949" s="3" t="n">
        <v>11</v>
      </c>
      <c r="I1949" s="22" t="n">
        <v>41794</v>
      </c>
      <c r="J1949" s="22" t="n">
        <v>41799</v>
      </c>
      <c r="K1949" s="43" t="n">
        <f aca="false">J1949-I1949</f>
        <v>5</v>
      </c>
      <c r="L1949" s="1" t="n">
        <v>5</v>
      </c>
      <c r="M1949" s="3" t="s">
        <v>72</v>
      </c>
      <c r="N1949" s="3" t="s">
        <v>86</v>
      </c>
      <c r="O1949" s="3" t="s">
        <v>87</v>
      </c>
      <c r="P1949" s="2" t="str">
        <f aca="false">CONCATENATE(N1949," ",O1949)</f>
        <v>Haplodrassus soerenseni</v>
      </c>
      <c r="Q1949" s="1" t="s">
        <v>30</v>
      </c>
      <c r="R1949" s="1" t="s">
        <v>31</v>
      </c>
      <c r="S1949" s="3" t="n">
        <v>1</v>
      </c>
      <c r="T1949" s="3" t="n">
        <v>0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f aca="false">SUM(S1949:T1949)</f>
        <v>1</v>
      </c>
      <c r="Z1949" s="3" t="n">
        <f aca="false">SUM(U1949:W1949)</f>
        <v>0</v>
      </c>
      <c r="AA1949" s="3" t="n">
        <f aca="false">SUM(S1949:X1949)</f>
        <v>1</v>
      </c>
      <c r="AB1949" s="11" t="n">
        <f aca="false">(AA1949/(K1949*L1949)*25)*4</f>
        <v>4</v>
      </c>
    </row>
    <row r="1950" customFormat="false" ht="14.25" hidden="false" customHeight="false" outlineLevel="0" collapsed="false">
      <c r="A1950" s="1" t="n">
        <v>2014</v>
      </c>
      <c r="B1950" s="7" t="s">
        <v>322</v>
      </c>
      <c r="C1950" s="7" t="n">
        <v>2</v>
      </c>
      <c r="D1950" s="7" t="s">
        <v>294</v>
      </c>
      <c r="E1950" s="7" t="s">
        <v>294</v>
      </c>
      <c r="F1950" s="3" t="s">
        <v>83</v>
      </c>
      <c r="G1950" s="3" t="n">
        <v>3</v>
      </c>
      <c r="H1950" s="3" t="n">
        <v>11</v>
      </c>
      <c r="I1950" s="22" t="n">
        <v>41794</v>
      </c>
      <c r="J1950" s="22" t="n">
        <v>41799</v>
      </c>
      <c r="K1950" s="43" t="n">
        <f aca="false">J1950-I1950</f>
        <v>5</v>
      </c>
      <c r="L1950" s="1" t="n">
        <v>5</v>
      </c>
      <c r="M1950" s="3" t="s">
        <v>36</v>
      </c>
      <c r="N1950" s="3" t="s">
        <v>131</v>
      </c>
      <c r="O1950" s="3" t="s">
        <v>133</v>
      </c>
      <c r="P1950" s="2" t="str">
        <f aca="false">CONCATENATE(N1950," ",O1950)</f>
        <v>Xysticus luctuosus</v>
      </c>
      <c r="Q1950" s="1" t="s">
        <v>30</v>
      </c>
      <c r="R1950" s="1" t="s">
        <v>31</v>
      </c>
      <c r="S1950" s="3" t="n">
        <v>1</v>
      </c>
      <c r="T1950" s="3" t="n">
        <v>0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f aca="false">SUM(S1950:T1950)</f>
        <v>1</v>
      </c>
      <c r="Z1950" s="3" t="n">
        <f aca="false">SUM(U1950:W1950)</f>
        <v>0</v>
      </c>
      <c r="AA1950" s="3" t="n">
        <f aca="false">SUM(S1950:X1950)</f>
        <v>1</v>
      </c>
      <c r="AB1950" s="11" t="n">
        <f aca="false">(AA1950/(K1950*L1950)*25)*4</f>
        <v>4</v>
      </c>
    </row>
    <row r="1951" customFormat="false" ht="14.25" hidden="false" customHeight="false" outlineLevel="0" collapsed="false">
      <c r="A1951" s="1" t="n">
        <v>2014</v>
      </c>
      <c r="B1951" s="7" t="s">
        <v>322</v>
      </c>
      <c r="C1951" s="7" t="n">
        <v>2</v>
      </c>
      <c r="D1951" s="7" t="s">
        <v>294</v>
      </c>
      <c r="E1951" s="7" t="s">
        <v>294</v>
      </c>
      <c r="F1951" s="3" t="s">
        <v>83</v>
      </c>
      <c r="G1951" s="3" t="n">
        <v>3</v>
      </c>
      <c r="H1951" s="3" t="n">
        <v>11</v>
      </c>
      <c r="I1951" s="22" t="n">
        <v>41794</v>
      </c>
      <c r="J1951" s="22" t="n">
        <v>41799</v>
      </c>
      <c r="K1951" s="43" t="n">
        <f aca="false">J1951-I1951</f>
        <v>5</v>
      </c>
      <c r="L1951" s="1" t="n">
        <v>5</v>
      </c>
      <c r="M1951" s="3" t="s">
        <v>135</v>
      </c>
      <c r="N1951" s="3" t="s">
        <v>136</v>
      </c>
      <c r="O1951" s="3" t="s">
        <v>137</v>
      </c>
      <c r="P1951" s="2" t="str">
        <f aca="false">CONCATENATE(N1951," ",O1951)</f>
        <v>Thanatus sabulosus</v>
      </c>
      <c r="Q1951" s="1" t="s">
        <v>30</v>
      </c>
      <c r="R1951" s="1" t="s">
        <v>31</v>
      </c>
      <c r="S1951" s="3" t="n">
        <v>2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f aca="false">SUM(S1951:T1951)</f>
        <v>2</v>
      </c>
      <c r="Z1951" s="3" t="n">
        <f aca="false">SUM(U1951:W1951)</f>
        <v>0</v>
      </c>
      <c r="AA1951" s="3" t="n">
        <f aca="false">SUM(S1951:X1951)</f>
        <v>2</v>
      </c>
      <c r="AB1951" s="11" t="n">
        <f aca="false">(AA1951/(K1951*L1951)*25)*4</f>
        <v>8</v>
      </c>
    </row>
    <row r="1952" customFormat="false" ht="14.25" hidden="false" customHeight="false" outlineLevel="0" collapsed="false">
      <c r="A1952" s="1" t="n">
        <v>2014</v>
      </c>
      <c r="B1952" s="7" t="s">
        <v>322</v>
      </c>
      <c r="C1952" s="7" t="n">
        <v>2</v>
      </c>
      <c r="D1952" s="7" t="s">
        <v>294</v>
      </c>
      <c r="E1952" s="7" t="s">
        <v>294</v>
      </c>
      <c r="F1952" s="3" t="s">
        <v>83</v>
      </c>
      <c r="G1952" s="3" t="n">
        <v>3</v>
      </c>
      <c r="H1952" s="3" t="n">
        <v>11</v>
      </c>
      <c r="I1952" s="22" t="n">
        <v>41794</v>
      </c>
      <c r="J1952" s="22" t="n">
        <v>41799</v>
      </c>
      <c r="K1952" s="43" t="n">
        <f aca="false">J1952-I1952</f>
        <v>5</v>
      </c>
      <c r="L1952" s="1" t="n">
        <v>5</v>
      </c>
      <c r="M1952" s="3" t="s">
        <v>92</v>
      </c>
      <c r="N1952" s="3" t="s">
        <v>171</v>
      </c>
      <c r="O1952" s="3" t="s">
        <v>172</v>
      </c>
      <c r="P1952" s="2" t="str">
        <f aca="false">CONCATENATE(N1952," ",O1952)</f>
        <v>Euophrys frontalis</v>
      </c>
      <c r="Q1952" s="1" t="s">
        <v>30</v>
      </c>
      <c r="R1952" s="1" t="s">
        <v>35</v>
      </c>
      <c r="S1952" s="3" t="n">
        <v>0</v>
      </c>
      <c r="T1952" s="3" t="n">
        <v>1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f aca="false">SUM(S1952:T1952)</f>
        <v>1</v>
      </c>
      <c r="Z1952" s="3" t="n">
        <f aca="false">SUM(U1952:W1952)</f>
        <v>0</v>
      </c>
      <c r="AA1952" s="3" t="n">
        <f aca="false">SUM(S1952:X1952)</f>
        <v>1</v>
      </c>
      <c r="AB1952" s="11" t="n">
        <f aca="false">(AA1952/(K1952*L1952)*25)*4</f>
        <v>4</v>
      </c>
    </row>
    <row r="1953" customFormat="false" ht="14.25" hidden="false" customHeight="false" outlineLevel="0" collapsed="false">
      <c r="A1953" s="1" t="n">
        <v>2014</v>
      </c>
      <c r="B1953" s="7" t="s">
        <v>322</v>
      </c>
      <c r="C1953" s="7" t="n">
        <v>2</v>
      </c>
      <c r="D1953" s="7" t="s">
        <v>294</v>
      </c>
      <c r="E1953" s="7" t="s">
        <v>294</v>
      </c>
      <c r="F1953" s="3" t="s">
        <v>83</v>
      </c>
      <c r="G1953" s="3" t="n">
        <v>2</v>
      </c>
      <c r="H1953" s="3" t="n">
        <v>10</v>
      </c>
      <c r="I1953" s="22" t="n">
        <v>41794</v>
      </c>
      <c r="J1953" s="22" t="n">
        <v>41799</v>
      </c>
      <c r="K1953" s="43" t="n">
        <f aca="false">J1953-I1953</f>
        <v>5</v>
      </c>
      <c r="L1953" s="1" t="n">
        <v>5</v>
      </c>
      <c r="M1953" s="3" t="s">
        <v>48</v>
      </c>
      <c r="N1953" s="3" t="s">
        <v>67</v>
      </c>
      <c r="O1953" s="3" t="s">
        <v>127</v>
      </c>
      <c r="P1953" s="2" t="str">
        <f aca="false">CONCATENATE(N1953," ",O1953)</f>
        <v>Pardosa lugubris</v>
      </c>
      <c r="Q1953" s="1" t="s">
        <v>30</v>
      </c>
      <c r="R1953" s="1" t="s">
        <v>31</v>
      </c>
      <c r="S1953" s="3" t="n">
        <v>9</v>
      </c>
      <c r="T1953" s="3" t="n">
        <v>0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f aca="false">SUM(S1953:T1953)</f>
        <v>9</v>
      </c>
      <c r="Z1953" s="3" t="n">
        <f aca="false">SUM(U1953:W1953)</f>
        <v>0</v>
      </c>
      <c r="AA1953" s="3" t="n">
        <f aca="false">SUM(S1953:X1953)</f>
        <v>9</v>
      </c>
      <c r="AB1953" s="11" t="n">
        <f aca="false">(AA1953/(K1953*L1953)*25)*4</f>
        <v>36</v>
      </c>
    </row>
    <row r="1954" customFormat="false" ht="14.25" hidden="false" customHeight="false" outlineLevel="0" collapsed="false">
      <c r="A1954" s="1" t="n">
        <v>2014</v>
      </c>
      <c r="B1954" s="7" t="s">
        <v>322</v>
      </c>
      <c r="C1954" s="7" t="n">
        <v>2</v>
      </c>
      <c r="D1954" s="7" t="s">
        <v>294</v>
      </c>
      <c r="E1954" s="7" t="s">
        <v>294</v>
      </c>
      <c r="F1954" s="3" t="s">
        <v>83</v>
      </c>
      <c r="G1954" s="3" t="n">
        <v>2</v>
      </c>
      <c r="H1954" s="3" t="n">
        <v>10</v>
      </c>
      <c r="I1954" s="22" t="n">
        <v>41794</v>
      </c>
      <c r="J1954" s="22" t="n">
        <v>41799</v>
      </c>
      <c r="K1954" s="43" t="n">
        <f aca="false">J1954-I1954</f>
        <v>5</v>
      </c>
      <c r="L1954" s="1" t="n">
        <v>5</v>
      </c>
      <c r="M1954" s="3" t="s">
        <v>27</v>
      </c>
      <c r="N1954" s="3" t="s">
        <v>46</v>
      </c>
      <c r="O1954" s="3" t="s">
        <v>47</v>
      </c>
      <c r="P1954" s="2" t="str">
        <f aca="false">CONCATENATE(N1954," ",O1954)</f>
        <v>Euryopis flavomaculata</v>
      </c>
      <c r="Q1954" s="1" t="s">
        <v>30</v>
      </c>
      <c r="R1954" s="1" t="s">
        <v>31</v>
      </c>
      <c r="S1954" s="3" t="n">
        <v>2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f aca="false">SUM(S1954:T1954)</f>
        <v>2</v>
      </c>
      <c r="Z1954" s="3" t="n">
        <f aca="false">SUM(U1954:W1954)</f>
        <v>0</v>
      </c>
      <c r="AA1954" s="3" t="n">
        <f aca="false">SUM(S1954:X1954)</f>
        <v>2</v>
      </c>
      <c r="AB1954" s="11" t="n">
        <f aca="false">(AA1954/(K1954*L1954)*25)*4</f>
        <v>8</v>
      </c>
    </row>
    <row r="1955" customFormat="false" ht="14.25" hidden="false" customHeight="false" outlineLevel="0" collapsed="false">
      <c r="A1955" s="1" t="n">
        <v>2014</v>
      </c>
      <c r="B1955" s="7" t="s">
        <v>322</v>
      </c>
      <c r="C1955" s="7" t="n">
        <v>2</v>
      </c>
      <c r="D1955" s="7" t="s">
        <v>294</v>
      </c>
      <c r="E1955" s="7" t="s">
        <v>294</v>
      </c>
      <c r="F1955" s="3" t="s">
        <v>83</v>
      </c>
      <c r="G1955" s="3" t="n">
        <v>2</v>
      </c>
      <c r="H1955" s="3" t="n">
        <v>10</v>
      </c>
      <c r="I1955" s="22" t="n">
        <v>41794</v>
      </c>
      <c r="J1955" s="22" t="n">
        <v>41799</v>
      </c>
      <c r="K1955" s="43" t="n">
        <f aca="false">J1955-I1955</f>
        <v>5</v>
      </c>
      <c r="L1955" s="1" t="n">
        <v>5</v>
      </c>
      <c r="M1955" s="3" t="s">
        <v>36</v>
      </c>
      <c r="N1955" s="3" t="s">
        <v>131</v>
      </c>
      <c r="O1955" s="3" t="s">
        <v>133</v>
      </c>
      <c r="P1955" s="2" t="str">
        <f aca="false">CONCATENATE(N1955," ",O1955)</f>
        <v>Xysticus luctuosus</v>
      </c>
      <c r="Q1955" s="1" t="s">
        <v>30</v>
      </c>
      <c r="R1955" s="1" t="s">
        <v>31</v>
      </c>
      <c r="S1955" s="3" t="n">
        <v>2</v>
      </c>
      <c r="T1955" s="3" t="n">
        <v>0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f aca="false">SUM(S1955:T1955)</f>
        <v>2</v>
      </c>
      <c r="Z1955" s="3" t="n">
        <f aca="false">SUM(U1955:W1955)</f>
        <v>0</v>
      </c>
      <c r="AA1955" s="3" t="n">
        <f aca="false">SUM(S1955:X1955)</f>
        <v>2</v>
      </c>
      <c r="AB1955" s="11" t="n">
        <f aca="false">(AA1955/(K1955*L1955)*25)*4</f>
        <v>8</v>
      </c>
    </row>
    <row r="1956" customFormat="false" ht="14.25" hidden="false" customHeight="false" outlineLevel="0" collapsed="false">
      <c r="A1956" s="1" t="n">
        <v>2014</v>
      </c>
      <c r="B1956" s="7" t="s">
        <v>322</v>
      </c>
      <c r="C1956" s="7" t="n">
        <v>2</v>
      </c>
      <c r="D1956" s="7" t="s">
        <v>294</v>
      </c>
      <c r="E1956" s="7" t="s">
        <v>294</v>
      </c>
      <c r="F1956" s="3" t="s">
        <v>83</v>
      </c>
      <c r="G1956" s="3" t="n">
        <v>2</v>
      </c>
      <c r="H1956" s="3" t="n">
        <v>10</v>
      </c>
      <c r="I1956" s="22" t="n">
        <v>41794</v>
      </c>
      <c r="J1956" s="22" t="n">
        <v>41799</v>
      </c>
      <c r="K1956" s="43" t="n">
        <f aca="false">J1956-I1956</f>
        <v>5</v>
      </c>
      <c r="L1956" s="1" t="n">
        <v>5</v>
      </c>
      <c r="M1956" s="3" t="s">
        <v>72</v>
      </c>
      <c r="N1956" s="3" t="s">
        <v>73</v>
      </c>
      <c r="O1956" s="3" t="s">
        <v>74</v>
      </c>
      <c r="P1956" s="2" t="str">
        <f aca="false">CONCATENATE(N1956," ",O1956)</f>
        <v>Zelotes subterraneus</v>
      </c>
      <c r="Q1956" s="1" t="s">
        <v>30</v>
      </c>
      <c r="R1956" s="1" t="s">
        <v>31</v>
      </c>
      <c r="S1956" s="3" t="n">
        <v>1</v>
      </c>
      <c r="T1956" s="3" t="n">
        <v>0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f aca="false">SUM(S1956:T1956)</f>
        <v>1</v>
      </c>
      <c r="Z1956" s="3" t="n">
        <f aca="false">SUM(U1956:W1956)</f>
        <v>0</v>
      </c>
      <c r="AA1956" s="3" t="n">
        <f aca="false">SUM(S1956:X1956)</f>
        <v>1</v>
      </c>
      <c r="AB1956" s="11" t="n">
        <f aca="false">(AA1956/(K1956*L1956)*25)*4</f>
        <v>4</v>
      </c>
    </row>
    <row r="1957" customFormat="false" ht="14.25" hidden="false" customHeight="false" outlineLevel="0" collapsed="false">
      <c r="A1957" s="1" t="n">
        <v>2014</v>
      </c>
      <c r="B1957" s="7" t="s">
        <v>322</v>
      </c>
      <c r="C1957" s="7" t="n">
        <v>2</v>
      </c>
      <c r="D1957" s="7" t="s">
        <v>294</v>
      </c>
      <c r="E1957" s="7" t="s">
        <v>294</v>
      </c>
      <c r="F1957" s="3" t="s">
        <v>83</v>
      </c>
      <c r="G1957" s="3" t="n">
        <v>2</v>
      </c>
      <c r="H1957" s="3" t="n">
        <v>10</v>
      </c>
      <c r="I1957" s="22" t="n">
        <v>41794</v>
      </c>
      <c r="J1957" s="22" t="n">
        <v>41799</v>
      </c>
      <c r="K1957" s="43" t="n">
        <f aca="false">J1957-I1957</f>
        <v>5</v>
      </c>
      <c r="L1957" s="1" t="n">
        <v>5</v>
      </c>
      <c r="M1957" s="3" t="s">
        <v>32</v>
      </c>
      <c r="N1957" s="3" t="s">
        <v>55</v>
      </c>
      <c r="O1957" s="3" t="s">
        <v>194</v>
      </c>
      <c r="P1957" s="2" t="str">
        <f aca="false">CONCATENATE(N1957," ",O1957)</f>
        <v>Maro pansibiricus</v>
      </c>
      <c r="Q1957" s="1" t="s">
        <v>30</v>
      </c>
      <c r="R1957" s="1" t="s">
        <v>31</v>
      </c>
      <c r="S1957" s="3" t="n">
        <v>1</v>
      </c>
      <c r="T1957" s="3" t="n">
        <v>0</v>
      </c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f aca="false">SUM(S1957:T1957)</f>
        <v>1</v>
      </c>
      <c r="Z1957" s="3" t="n">
        <f aca="false">SUM(U1957:W1957)</f>
        <v>0</v>
      </c>
      <c r="AA1957" s="3" t="n">
        <f aca="false">SUM(S1957:X1957)</f>
        <v>1</v>
      </c>
      <c r="AB1957" s="11" t="n">
        <f aca="false">(AA1957/(K1957*L1957)*25)*4</f>
        <v>4</v>
      </c>
    </row>
    <row r="1958" customFormat="false" ht="14.25" hidden="false" customHeight="false" outlineLevel="0" collapsed="false">
      <c r="A1958" s="1" t="n">
        <v>2014</v>
      </c>
      <c r="B1958" s="7" t="s">
        <v>322</v>
      </c>
      <c r="C1958" s="7" t="n">
        <v>2</v>
      </c>
      <c r="D1958" s="7" t="s">
        <v>294</v>
      </c>
      <c r="E1958" s="7" t="s">
        <v>294</v>
      </c>
      <c r="F1958" s="3" t="s">
        <v>83</v>
      </c>
      <c r="G1958" s="3" t="n">
        <v>2</v>
      </c>
      <c r="H1958" s="3" t="n">
        <v>10</v>
      </c>
      <c r="I1958" s="22" t="n">
        <v>41794</v>
      </c>
      <c r="J1958" s="22" t="n">
        <v>41799</v>
      </c>
      <c r="K1958" s="43" t="n">
        <f aca="false">J1958-I1958</f>
        <v>5</v>
      </c>
      <c r="L1958" s="1" t="n">
        <v>5</v>
      </c>
      <c r="M1958" s="3" t="s">
        <v>48</v>
      </c>
      <c r="N1958" s="3" t="s">
        <v>49</v>
      </c>
      <c r="O1958" s="3" t="s">
        <v>104</v>
      </c>
      <c r="P1958" s="2" t="str">
        <f aca="false">CONCATENATE(N1958," ",O1958)</f>
        <v>Alopecosa taeniata</v>
      </c>
      <c r="Q1958" s="1" t="s">
        <v>30</v>
      </c>
      <c r="R1958" s="1" t="s">
        <v>31</v>
      </c>
      <c r="S1958" s="3" t="n">
        <v>7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f aca="false">SUM(S1958:T1958)</f>
        <v>7</v>
      </c>
      <c r="Z1958" s="3" t="n">
        <f aca="false">SUM(U1958:W1958)</f>
        <v>0</v>
      </c>
      <c r="AA1958" s="3" t="n">
        <f aca="false">SUM(S1958:X1958)</f>
        <v>7</v>
      </c>
      <c r="AB1958" s="11" t="n">
        <f aca="false">(AA1958/(K1958*L1958)*25)*4</f>
        <v>28</v>
      </c>
    </row>
    <row r="1959" customFormat="false" ht="14.25" hidden="false" customHeight="false" outlineLevel="0" collapsed="false">
      <c r="A1959" s="1" t="n">
        <v>2014</v>
      </c>
      <c r="B1959" s="7" t="s">
        <v>322</v>
      </c>
      <c r="C1959" s="7" t="n">
        <v>2</v>
      </c>
      <c r="D1959" s="7" t="s">
        <v>294</v>
      </c>
      <c r="E1959" s="7" t="s">
        <v>294</v>
      </c>
      <c r="F1959" s="3" t="s">
        <v>83</v>
      </c>
      <c r="G1959" s="3" t="n">
        <v>2</v>
      </c>
      <c r="H1959" s="3" t="n">
        <v>6</v>
      </c>
      <c r="I1959" s="22" t="n">
        <v>41794</v>
      </c>
      <c r="J1959" s="22" t="n">
        <v>41799</v>
      </c>
      <c r="K1959" s="43" t="n">
        <f aca="false">J1959-I1959</f>
        <v>5</v>
      </c>
      <c r="L1959" s="1" t="n">
        <v>5</v>
      </c>
      <c r="M1959" s="3" t="s">
        <v>48</v>
      </c>
      <c r="N1959" s="3" t="s">
        <v>67</v>
      </c>
      <c r="O1959" s="3" t="s">
        <v>127</v>
      </c>
      <c r="P1959" s="2" t="str">
        <f aca="false">CONCATENATE(N1959," ",O1959)</f>
        <v>Pardosa lugubris</v>
      </c>
      <c r="Q1959" s="1" t="s">
        <v>30</v>
      </c>
      <c r="R1959" s="1" t="s">
        <v>31</v>
      </c>
      <c r="S1959" s="3" t="n">
        <v>13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f aca="false">SUM(S1959:T1959)</f>
        <v>13</v>
      </c>
      <c r="Z1959" s="3" t="n">
        <f aca="false">SUM(U1959:W1959)</f>
        <v>0</v>
      </c>
      <c r="AA1959" s="3" t="n">
        <f aca="false">SUM(S1959:X1959)</f>
        <v>13</v>
      </c>
      <c r="AB1959" s="11" t="n">
        <f aca="false">(AA1959/(K1959*L1959)*25)*4</f>
        <v>52</v>
      </c>
    </row>
    <row r="1960" customFormat="false" ht="14.25" hidden="false" customHeight="false" outlineLevel="0" collapsed="false">
      <c r="A1960" s="1" t="n">
        <v>2014</v>
      </c>
      <c r="B1960" s="7" t="s">
        <v>322</v>
      </c>
      <c r="C1960" s="7" t="n">
        <v>2</v>
      </c>
      <c r="D1960" s="7" t="s">
        <v>294</v>
      </c>
      <c r="E1960" s="7" t="s">
        <v>294</v>
      </c>
      <c r="F1960" s="3" t="s">
        <v>83</v>
      </c>
      <c r="G1960" s="3" t="n">
        <v>2</v>
      </c>
      <c r="H1960" s="3" t="n">
        <v>6</v>
      </c>
      <c r="I1960" s="22" t="n">
        <v>41794</v>
      </c>
      <c r="J1960" s="22" t="n">
        <v>41799</v>
      </c>
      <c r="K1960" s="43" t="n">
        <f aca="false">J1960-I1960</f>
        <v>5</v>
      </c>
      <c r="L1960" s="1" t="n">
        <v>5</v>
      </c>
      <c r="M1960" s="3" t="s">
        <v>48</v>
      </c>
      <c r="N1960" s="3" t="s">
        <v>67</v>
      </c>
      <c r="O1960" s="3" t="s">
        <v>127</v>
      </c>
      <c r="P1960" s="2" t="str">
        <f aca="false">CONCATENATE(N1960," ",O1960)</f>
        <v>Pardosa lugubris</v>
      </c>
      <c r="Q1960" s="1" t="s">
        <v>30</v>
      </c>
      <c r="R1960" s="1" t="s">
        <v>35</v>
      </c>
      <c r="S1960" s="3" t="n">
        <v>0</v>
      </c>
      <c r="T1960" s="3" t="n">
        <v>1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f aca="false">SUM(S1960:T1960)</f>
        <v>1</v>
      </c>
      <c r="Z1960" s="3" t="n">
        <f aca="false">SUM(U1960:W1960)</f>
        <v>0</v>
      </c>
      <c r="AA1960" s="3" t="n">
        <f aca="false">SUM(S1960:X1960)</f>
        <v>1</v>
      </c>
      <c r="AB1960" s="11" t="n">
        <f aca="false">(AA1960/(K1960*L1960)*25)*4</f>
        <v>4</v>
      </c>
    </row>
    <row r="1961" customFormat="false" ht="14.25" hidden="false" customHeight="false" outlineLevel="0" collapsed="false">
      <c r="A1961" s="1" t="n">
        <v>2014</v>
      </c>
      <c r="B1961" s="7" t="s">
        <v>322</v>
      </c>
      <c r="C1961" s="7" t="n">
        <v>2</v>
      </c>
      <c r="D1961" s="7" t="s">
        <v>294</v>
      </c>
      <c r="E1961" s="7" t="s">
        <v>294</v>
      </c>
      <c r="F1961" s="3" t="s">
        <v>83</v>
      </c>
      <c r="G1961" s="3" t="n">
        <v>2</v>
      </c>
      <c r="H1961" s="3" t="n">
        <v>6</v>
      </c>
      <c r="I1961" s="22" t="n">
        <v>41794</v>
      </c>
      <c r="J1961" s="22" t="n">
        <v>41799</v>
      </c>
      <c r="K1961" s="43" t="n">
        <f aca="false">J1961-I1961</f>
        <v>5</v>
      </c>
      <c r="L1961" s="1" t="n">
        <v>5</v>
      </c>
      <c r="M1961" s="3" t="s">
        <v>92</v>
      </c>
      <c r="N1961" s="3" t="s">
        <v>111</v>
      </c>
      <c r="O1961" s="3" t="s">
        <v>112</v>
      </c>
      <c r="P1961" s="2" t="str">
        <f aca="false">CONCATENATE(N1961," ",O1961)</f>
        <v>Evarcha falcata</v>
      </c>
      <c r="Q1961" s="1" t="s">
        <v>30</v>
      </c>
      <c r="R1961" s="1" t="s">
        <v>35</v>
      </c>
      <c r="S1961" s="3" t="n">
        <v>0</v>
      </c>
      <c r="T1961" s="3" t="n">
        <v>1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f aca="false">SUM(S1961:T1961)</f>
        <v>1</v>
      </c>
      <c r="Z1961" s="3" t="n">
        <f aca="false">SUM(U1961:W1961)</f>
        <v>0</v>
      </c>
      <c r="AA1961" s="3" t="n">
        <f aca="false">SUM(S1961:X1961)</f>
        <v>1</v>
      </c>
      <c r="AB1961" s="11" t="n">
        <f aca="false">(AA1961/(K1961*L1961)*25)*4</f>
        <v>4</v>
      </c>
    </row>
    <row r="1962" customFormat="false" ht="14.25" hidden="false" customHeight="false" outlineLevel="0" collapsed="false">
      <c r="A1962" s="1" t="n">
        <v>2014</v>
      </c>
      <c r="B1962" s="7" t="s">
        <v>322</v>
      </c>
      <c r="C1962" s="7" t="n">
        <v>2</v>
      </c>
      <c r="D1962" s="7" t="s">
        <v>294</v>
      </c>
      <c r="E1962" s="7" t="s">
        <v>294</v>
      </c>
      <c r="F1962" s="3" t="s">
        <v>83</v>
      </c>
      <c r="G1962" s="3" t="n">
        <v>2</v>
      </c>
      <c r="H1962" s="3" t="n">
        <v>6</v>
      </c>
      <c r="I1962" s="22" t="n">
        <v>41794</v>
      </c>
      <c r="J1962" s="22" t="n">
        <v>41799</v>
      </c>
      <c r="K1962" s="43" t="n">
        <f aca="false">J1962-I1962</f>
        <v>5</v>
      </c>
      <c r="L1962" s="1" t="n">
        <v>5</v>
      </c>
      <c r="M1962" s="3" t="s">
        <v>48</v>
      </c>
      <c r="N1962" s="3" t="s">
        <v>49</v>
      </c>
      <c r="O1962" s="3" t="s">
        <v>104</v>
      </c>
      <c r="P1962" s="2" t="str">
        <f aca="false">CONCATENATE(N1962," ",O1962)</f>
        <v>Alopecosa taeniata</v>
      </c>
      <c r="Q1962" s="1" t="s">
        <v>30</v>
      </c>
      <c r="R1962" s="1" t="s">
        <v>31</v>
      </c>
      <c r="S1962" s="3" t="n">
        <v>1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f aca="false">SUM(S1962:T1962)</f>
        <v>1</v>
      </c>
      <c r="Z1962" s="3" t="n">
        <f aca="false">SUM(U1962:W1962)</f>
        <v>0</v>
      </c>
      <c r="AA1962" s="3" t="n">
        <f aca="false">SUM(S1962:X1962)</f>
        <v>1</v>
      </c>
      <c r="AB1962" s="11" t="n">
        <f aca="false">(AA1962/(K1962*L1962)*25)*4</f>
        <v>4</v>
      </c>
    </row>
    <row r="1963" customFormat="false" ht="14.25" hidden="false" customHeight="false" outlineLevel="0" collapsed="false">
      <c r="A1963" s="1" t="n">
        <v>2014</v>
      </c>
      <c r="B1963" s="7" t="s">
        <v>322</v>
      </c>
      <c r="C1963" s="7" t="n">
        <v>2</v>
      </c>
      <c r="D1963" s="7" t="s">
        <v>294</v>
      </c>
      <c r="E1963" s="7" t="s">
        <v>294</v>
      </c>
      <c r="F1963" s="3" t="s">
        <v>83</v>
      </c>
      <c r="G1963" s="3" t="n">
        <v>2</v>
      </c>
      <c r="H1963" s="3" t="n">
        <v>6</v>
      </c>
      <c r="I1963" s="22" t="n">
        <v>41794</v>
      </c>
      <c r="J1963" s="22" t="n">
        <v>41799</v>
      </c>
      <c r="K1963" s="43" t="n">
        <f aca="false">J1963-I1963</f>
        <v>5</v>
      </c>
      <c r="L1963" s="1" t="n">
        <v>5</v>
      </c>
      <c r="M1963" s="3" t="s">
        <v>72</v>
      </c>
      <c r="N1963" s="3" t="s">
        <v>86</v>
      </c>
      <c r="O1963" s="3" t="s">
        <v>87</v>
      </c>
      <c r="P1963" s="2" t="str">
        <f aca="false">CONCATENATE(N1963," ",O1963)</f>
        <v>Haplodrassus soerenseni</v>
      </c>
      <c r="Q1963" s="1" t="s">
        <v>30</v>
      </c>
      <c r="R1963" s="1" t="s">
        <v>31</v>
      </c>
      <c r="S1963" s="3" t="n">
        <v>1</v>
      </c>
      <c r="T1963" s="3" t="n">
        <v>0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f aca="false">SUM(S1963:T1963)</f>
        <v>1</v>
      </c>
      <c r="Z1963" s="3" t="n">
        <f aca="false">SUM(U1963:W1963)</f>
        <v>0</v>
      </c>
      <c r="AA1963" s="3" t="n">
        <f aca="false">SUM(S1963:X1963)</f>
        <v>1</v>
      </c>
      <c r="AB1963" s="11" t="n">
        <f aca="false">(AA1963/(K1963*L1963)*25)*4</f>
        <v>4</v>
      </c>
    </row>
    <row r="1964" customFormat="false" ht="14.25" hidden="false" customHeight="false" outlineLevel="0" collapsed="false">
      <c r="A1964" s="1" t="n">
        <v>2014</v>
      </c>
      <c r="B1964" s="7" t="s">
        <v>322</v>
      </c>
      <c r="C1964" s="7" t="n">
        <v>2</v>
      </c>
      <c r="D1964" s="7" t="s">
        <v>294</v>
      </c>
      <c r="E1964" s="7" t="s">
        <v>294</v>
      </c>
      <c r="F1964" s="3" t="s">
        <v>83</v>
      </c>
      <c r="G1964" s="3" t="n">
        <v>2</v>
      </c>
      <c r="H1964" s="3" t="n">
        <v>6</v>
      </c>
      <c r="I1964" s="22" t="n">
        <v>41794</v>
      </c>
      <c r="J1964" s="22" t="n">
        <v>41799</v>
      </c>
      <c r="K1964" s="43" t="n">
        <f aca="false">J1964-I1964</f>
        <v>5</v>
      </c>
      <c r="L1964" s="1" t="n">
        <v>5</v>
      </c>
      <c r="M1964" s="3" t="s">
        <v>36</v>
      </c>
      <c r="N1964" s="3" t="s">
        <v>131</v>
      </c>
      <c r="O1964" s="3" t="s">
        <v>133</v>
      </c>
      <c r="P1964" s="2" t="str">
        <f aca="false">CONCATENATE(N1964," ",O1964)</f>
        <v>Xysticus luctuosus</v>
      </c>
      <c r="Q1964" s="1" t="s">
        <v>30</v>
      </c>
      <c r="R1964" s="1" t="s">
        <v>31</v>
      </c>
      <c r="S1964" s="3" t="n">
        <v>1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f aca="false">SUM(S1964:T1964)</f>
        <v>1</v>
      </c>
      <c r="Z1964" s="3" t="n">
        <f aca="false">SUM(U1964:W1964)</f>
        <v>0</v>
      </c>
      <c r="AA1964" s="3" t="n">
        <f aca="false">SUM(S1964:X1964)</f>
        <v>1</v>
      </c>
      <c r="AB1964" s="11" t="n">
        <f aca="false">(AA1964/(K1964*L1964)*25)*4</f>
        <v>4</v>
      </c>
    </row>
    <row r="1965" customFormat="false" ht="14.25" hidden="false" customHeight="false" outlineLevel="0" collapsed="false">
      <c r="A1965" s="1" t="n">
        <v>2014</v>
      </c>
      <c r="B1965" s="7" t="s">
        <v>322</v>
      </c>
      <c r="C1965" s="7" t="n">
        <v>2</v>
      </c>
      <c r="D1965" s="7" t="s">
        <v>294</v>
      </c>
      <c r="E1965" s="7" t="s">
        <v>294</v>
      </c>
      <c r="F1965" s="3" t="s">
        <v>83</v>
      </c>
      <c r="G1965" s="3" t="n">
        <v>2</v>
      </c>
      <c r="H1965" s="3" t="n">
        <v>6</v>
      </c>
      <c r="I1965" s="22" t="n">
        <v>41794</v>
      </c>
      <c r="J1965" s="22" t="n">
        <v>41799</v>
      </c>
      <c r="K1965" s="43" t="n">
        <f aca="false">J1965-I1965</f>
        <v>5</v>
      </c>
      <c r="L1965" s="1" t="n">
        <v>5</v>
      </c>
      <c r="M1965" s="3" t="s">
        <v>36</v>
      </c>
      <c r="N1965" s="3" t="s">
        <v>37</v>
      </c>
      <c r="O1965" s="3" t="s">
        <v>75</v>
      </c>
      <c r="P1965" s="2" t="str">
        <f aca="false">CONCATENATE(N1965," ",O1965)</f>
        <v>Ozyptila praticola</v>
      </c>
      <c r="Q1965" s="1" t="s">
        <v>30</v>
      </c>
      <c r="R1965" s="1" t="s">
        <v>31</v>
      </c>
      <c r="S1965" s="3" t="n">
        <v>1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f aca="false">SUM(S1965:T1965)</f>
        <v>1</v>
      </c>
      <c r="Z1965" s="3" t="n">
        <f aca="false">SUM(U1965:W1965)</f>
        <v>0</v>
      </c>
      <c r="AA1965" s="3" t="n">
        <f aca="false">SUM(S1965:X1965)</f>
        <v>1</v>
      </c>
      <c r="AB1965" s="11" t="n">
        <f aca="false">(AA1965/(K1965*L1965)*25)*4</f>
        <v>4</v>
      </c>
    </row>
    <row r="1966" customFormat="false" ht="14.25" hidden="false" customHeight="false" outlineLevel="0" collapsed="false">
      <c r="A1966" s="1" t="n">
        <v>2014</v>
      </c>
      <c r="B1966" s="7" t="s">
        <v>322</v>
      </c>
      <c r="C1966" s="7" t="n">
        <v>2</v>
      </c>
      <c r="D1966" s="7" t="s">
        <v>294</v>
      </c>
      <c r="E1966" s="7" t="s">
        <v>294</v>
      </c>
      <c r="F1966" s="3" t="s">
        <v>83</v>
      </c>
      <c r="G1966" s="3" t="n">
        <v>2</v>
      </c>
      <c r="H1966" s="3" t="n">
        <v>6</v>
      </c>
      <c r="I1966" s="22" t="n">
        <v>41794</v>
      </c>
      <c r="J1966" s="22" t="n">
        <v>41799</v>
      </c>
      <c r="K1966" s="43" t="n">
        <f aca="false">J1966-I1966</f>
        <v>5</v>
      </c>
      <c r="L1966" s="1" t="n">
        <v>5</v>
      </c>
      <c r="M1966" s="3" t="s">
        <v>32</v>
      </c>
      <c r="N1966" s="3" t="s">
        <v>169</v>
      </c>
      <c r="O1966" s="3" t="s">
        <v>170</v>
      </c>
      <c r="P1966" s="2" t="str">
        <f aca="false">CONCATENATE(N1966," ",O1966)</f>
        <v>Abacoproeces saltuum</v>
      </c>
      <c r="Q1966" s="1" t="s">
        <v>30</v>
      </c>
      <c r="R1966" s="1" t="s">
        <v>31</v>
      </c>
      <c r="S1966" s="3" t="n">
        <v>1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f aca="false">SUM(S1966:T1966)</f>
        <v>1</v>
      </c>
      <c r="Z1966" s="3" t="n">
        <f aca="false">SUM(U1966:W1966)</f>
        <v>0</v>
      </c>
      <c r="AA1966" s="3" t="n">
        <f aca="false">SUM(S1966:X1966)</f>
        <v>1</v>
      </c>
      <c r="AB1966" s="11" t="n">
        <f aca="false">(AA1966/(K1966*L1966)*25)*4</f>
        <v>4</v>
      </c>
    </row>
    <row r="1967" customFormat="false" ht="14.25" hidden="false" customHeight="false" outlineLevel="0" collapsed="false">
      <c r="A1967" s="1" t="n">
        <v>2014</v>
      </c>
      <c r="B1967" s="7" t="s">
        <v>322</v>
      </c>
      <c r="C1967" s="7" t="n">
        <v>2</v>
      </c>
      <c r="D1967" s="7" t="s">
        <v>294</v>
      </c>
      <c r="E1967" s="7" t="s">
        <v>294</v>
      </c>
      <c r="F1967" s="3" t="s">
        <v>83</v>
      </c>
      <c r="G1967" s="3" t="n">
        <v>2</v>
      </c>
      <c r="H1967" s="3" t="n">
        <v>6</v>
      </c>
      <c r="I1967" s="22" t="n">
        <v>41794</v>
      </c>
      <c r="J1967" s="22" t="n">
        <v>41799</v>
      </c>
      <c r="K1967" s="43" t="n">
        <f aca="false">J1967-I1967</f>
        <v>5</v>
      </c>
      <c r="L1967" s="1" t="n">
        <v>5</v>
      </c>
      <c r="M1967" s="3" t="s">
        <v>32</v>
      </c>
      <c r="N1967" s="3" t="s">
        <v>169</v>
      </c>
      <c r="O1967" s="3" t="s">
        <v>170</v>
      </c>
      <c r="P1967" s="2" t="str">
        <f aca="false">CONCATENATE(N1967," ",O1967)</f>
        <v>Abacoproeces saltuum</v>
      </c>
      <c r="Q1967" s="1" t="s">
        <v>30</v>
      </c>
      <c r="R1967" s="1" t="s">
        <v>35</v>
      </c>
      <c r="S1967" s="3" t="n">
        <v>0</v>
      </c>
      <c r="T1967" s="3" t="n">
        <v>2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f aca="false">SUM(S1967:T1967)</f>
        <v>2</v>
      </c>
      <c r="Z1967" s="3" t="n">
        <f aca="false">SUM(U1967:W1967)</f>
        <v>0</v>
      </c>
      <c r="AA1967" s="3" t="n">
        <f aca="false">SUM(S1967:X1967)</f>
        <v>2</v>
      </c>
      <c r="AB1967" s="11" t="n">
        <f aca="false">(AA1967/(K1967*L1967)*25)*4</f>
        <v>8</v>
      </c>
    </row>
    <row r="1968" customFormat="false" ht="14.25" hidden="false" customHeight="false" outlineLevel="0" collapsed="false">
      <c r="A1968" s="1" t="n">
        <v>2014</v>
      </c>
      <c r="B1968" s="7" t="s">
        <v>322</v>
      </c>
      <c r="C1968" s="7" t="n">
        <v>2</v>
      </c>
      <c r="D1968" s="7" t="s">
        <v>294</v>
      </c>
      <c r="E1968" s="7" t="s">
        <v>294</v>
      </c>
      <c r="F1968" s="3" t="s">
        <v>83</v>
      </c>
      <c r="G1968" s="3" t="n">
        <v>3</v>
      </c>
      <c r="H1968" s="3" t="n">
        <v>12</v>
      </c>
      <c r="I1968" s="22" t="n">
        <v>41794</v>
      </c>
      <c r="J1968" s="22" t="n">
        <v>41799</v>
      </c>
      <c r="K1968" s="43" t="n">
        <f aca="false">J1968-I1968</f>
        <v>5</v>
      </c>
      <c r="L1968" s="1" t="n">
        <v>5</v>
      </c>
      <c r="M1968" s="3" t="s">
        <v>48</v>
      </c>
      <c r="N1968" s="3" t="s">
        <v>251</v>
      </c>
      <c r="O1968" s="3" t="s">
        <v>252</v>
      </c>
      <c r="P1968" s="2" t="str">
        <f aca="false">CONCATENATE(N1968," ",O1968)</f>
        <v>Acantholycosa lignaria</v>
      </c>
      <c r="Q1968" s="1" t="s">
        <v>30</v>
      </c>
      <c r="R1968" s="1" t="s">
        <v>31</v>
      </c>
      <c r="S1968" s="3" t="n">
        <v>1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f aca="false">SUM(S1968:T1968)</f>
        <v>1</v>
      </c>
      <c r="Z1968" s="3" t="n">
        <f aca="false">SUM(U1968:W1968)</f>
        <v>0</v>
      </c>
      <c r="AA1968" s="3" t="n">
        <f aca="false">SUM(S1968:X1968)</f>
        <v>1</v>
      </c>
      <c r="AB1968" s="11" t="n">
        <f aca="false">(AA1968/(K1968*L1968)*25)*4</f>
        <v>4</v>
      </c>
    </row>
    <row r="1969" customFormat="false" ht="14.25" hidden="false" customHeight="false" outlineLevel="0" collapsed="false">
      <c r="A1969" s="1" t="n">
        <v>2014</v>
      </c>
      <c r="B1969" s="7" t="s">
        <v>322</v>
      </c>
      <c r="C1969" s="7" t="n">
        <v>2</v>
      </c>
      <c r="D1969" s="7" t="s">
        <v>294</v>
      </c>
      <c r="E1969" s="7" t="s">
        <v>294</v>
      </c>
      <c r="F1969" s="3" t="s">
        <v>83</v>
      </c>
      <c r="G1969" s="3" t="n">
        <v>3</v>
      </c>
      <c r="H1969" s="3" t="n">
        <v>12</v>
      </c>
      <c r="I1969" s="22" t="n">
        <v>41794</v>
      </c>
      <c r="J1969" s="22" t="n">
        <v>41799</v>
      </c>
      <c r="K1969" s="43" t="n">
        <f aca="false">J1969-I1969</f>
        <v>5</v>
      </c>
      <c r="L1969" s="1" t="n">
        <v>5</v>
      </c>
      <c r="M1969" s="3" t="s">
        <v>48</v>
      </c>
      <c r="N1969" s="3" t="s">
        <v>67</v>
      </c>
      <c r="O1969" s="3" t="s">
        <v>127</v>
      </c>
      <c r="P1969" s="2" t="str">
        <f aca="false">CONCATENATE(N1969," ",O1969)</f>
        <v>Pardosa lugubris</v>
      </c>
      <c r="Q1969" s="1" t="s">
        <v>30</v>
      </c>
      <c r="R1969" s="1" t="s">
        <v>31</v>
      </c>
      <c r="S1969" s="3" t="n">
        <v>6</v>
      </c>
      <c r="T1969" s="3" t="n">
        <v>0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f aca="false">SUM(S1969:T1969)</f>
        <v>6</v>
      </c>
      <c r="Z1969" s="3" t="n">
        <f aca="false">SUM(U1969:W1969)</f>
        <v>0</v>
      </c>
      <c r="AA1969" s="3" t="n">
        <f aca="false">SUM(S1969:X1969)</f>
        <v>6</v>
      </c>
      <c r="AB1969" s="11" t="n">
        <f aca="false">(AA1969/(K1969*L1969)*25)*4</f>
        <v>24</v>
      </c>
    </row>
    <row r="1970" customFormat="false" ht="14.25" hidden="false" customHeight="false" outlineLevel="0" collapsed="false">
      <c r="A1970" s="1" t="n">
        <v>2014</v>
      </c>
      <c r="B1970" s="7" t="s">
        <v>322</v>
      </c>
      <c r="C1970" s="7" t="n">
        <v>2</v>
      </c>
      <c r="D1970" s="7" t="s">
        <v>294</v>
      </c>
      <c r="E1970" s="7" t="s">
        <v>294</v>
      </c>
      <c r="F1970" s="3" t="s">
        <v>83</v>
      </c>
      <c r="G1970" s="3" t="n">
        <v>3</v>
      </c>
      <c r="H1970" s="3" t="n">
        <v>12</v>
      </c>
      <c r="I1970" s="22" t="n">
        <v>41794</v>
      </c>
      <c r="J1970" s="22" t="n">
        <v>41799</v>
      </c>
      <c r="K1970" s="43" t="n">
        <f aca="false">J1970-I1970</f>
        <v>5</v>
      </c>
      <c r="L1970" s="1" t="n">
        <v>5</v>
      </c>
      <c r="M1970" s="3" t="s">
        <v>48</v>
      </c>
      <c r="N1970" s="3" t="s">
        <v>122</v>
      </c>
      <c r="O1970" s="3" t="s">
        <v>123</v>
      </c>
      <c r="P1970" s="2" t="str">
        <f aca="false">CONCATENATE(N1970," ",O1970)</f>
        <v>Xerolycosa nemoralis</v>
      </c>
      <c r="Q1970" s="1" t="s">
        <v>30</v>
      </c>
      <c r="R1970" s="1" t="s">
        <v>31</v>
      </c>
      <c r="S1970" s="3" t="n">
        <v>1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f aca="false">SUM(S1970:T1970)</f>
        <v>1</v>
      </c>
      <c r="Z1970" s="3" t="n">
        <f aca="false">SUM(U1970:W1970)</f>
        <v>0</v>
      </c>
      <c r="AA1970" s="3" t="n">
        <f aca="false">SUM(S1970:X1970)</f>
        <v>1</v>
      </c>
      <c r="AB1970" s="11" t="n">
        <f aca="false">(AA1970/(K1970*L1970)*25)*4</f>
        <v>4</v>
      </c>
    </row>
    <row r="1971" customFormat="false" ht="14.25" hidden="false" customHeight="false" outlineLevel="0" collapsed="false">
      <c r="A1971" s="1" t="n">
        <v>2014</v>
      </c>
      <c r="B1971" s="7" t="s">
        <v>322</v>
      </c>
      <c r="C1971" s="7" t="n">
        <v>2</v>
      </c>
      <c r="D1971" s="7" t="s">
        <v>294</v>
      </c>
      <c r="E1971" s="7" t="s">
        <v>294</v>
      </c>
      <c r="F1971" s="3" t="s">
        <v>83</v>
      </c>
      <c r="G1971" s="3" t="n">
        <v>3</v>
      </c>
      <c r="H1971" s="3" t="n">
        <v>12</v>
      </c>
      <c r="I1971" s="22" t="n">
        <v>41794</v>
      </c>
      <c r="J1971" s="22" t="n">
        <v>41799</v>
      </c>
      <c r="K1971" s="43" t="n">
        <f aca="false">J1971-I1971</f>
        <v>5</v>
      </c>
      <c r="L1971" s="1" t="n">
        <v>5</v>
      </c>
      <c r="M1971" s="3" t="s">
        <v>48</v>
      </c>
      <c r="N1971" s="3" t="s">
        <v>122</v>
      </c>
      <c r="O1971" s="3" t="s">
        <v>123</v>
      </c>
      <c r="P1971" s="2" t="str">
        <f aca="false">CONCATENATE(N1971," ",O1971)</f>
        <v>Xerolycosa nemoralis</v>
      </c>
      <c r="Q1971" s="1" t="s">
        <v>30</v>
      </c>
      <c r="R1971" s="1" t="s">
        <v>35</v>
      </c>
      <c r="S1971" s="3" t="n">
        <v>0</v>
      </c>
      <c r="T1971" s="3" t="n">
        <v>1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f aca="false">SUM(S1971:T1971)</f>
        <v>1</v>
      </c>
      <c r="Z1971" s="3" t="n">
        <f aca="false">SUM(U1971:W1971)</f>
        <v>0</v>
      </c>
      <c r="AA1971" s="3" t="n">
        <f aca="false">SUM(S1971:X1971)</f>
        <v>1</v>
      </c>
      <c r="AB1971" s="11" t="n">
        <f aca="false">(AA1971/(K1971*L1971)*25)*4</f>
        <v>4</v>
      </c>
    </row>
    <row r="1972" customFormat="false" ht="14.25" hidden="false" customHeight="false" outlineLevel="0" collapsed="false">
      <c r="A1972" s="1" t="n">
        <v>2014</v>
      </c>
      <c r="B1972" s="7" t="s">
        <v>322</v>
      </c>
      <c r="C1972" s="7" t="n">
        <v>2</v>
      </c>
      <c r="D1972" s="7" t="s">
        <v>294</v>
      </c>
      <c r="E1972" s="7" t="s">
        <v>294</v>
      </c>
      <c r="F1972" s="3" t="s">
        <v>83</v>
      </c>
      <c r="G1972" s="3" t="n">
        <v>3</v>
      </c>
      <c r="H1972" s="3" t="n">
        <v>12</v>
      </c>
      <c r="I1972" s="22" t="n">
        <v>41794</v>
      </c>
      <c r="J1972" s="22" t="n">
        <v>41799</v>
      </c>
      <c r="K1972" s="43" t="n">
        <f aca="false">J1972-I1972</f>
        <v>5</v>
      </c>
      <c r="L1972" s="1" t="n">
        <v>5</v>
      </c>
      <c r="M1972" s="3" t="s">
        <v>48</v>
      </c>
      <c r="N1972" s="3" t="s">
        <v>49</v>
      </c>
      <c r="O1972" s="3" t="s">
        <v>223</v>
      </c>
      <c r="P1972" s="2" t="str">
        <f aca="false">CONCATENATE(N1972," ",O1972)</f>
        <v>Alopecosa pulverulenta</v>
      </c>
      <c r="Q1972" s="1" t="s">
        <v>30</v>
      </c>
      <c r="R1972" s="1" t="s">
        <v>31</v>
      </c>
      <c r="S1972" s="3" t="n">
        <v>1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f aca="false">SUM(S1972:T1972)</f>
        <v>1</v>
      </c>
      <c r="Z1972" s="3" t="n">
        <f aca="false">SUM(U1972:W1972)</f>
        <v>0</v>
      </c>
      <c r="AA1972" s="3" t="n">
        <f aca="false">SUM(S1972:X1972)</f>
        <v>1</v>
      </c>
      <c r="AB1972" s="11" t="n">
        <f aca="false">(AA1972/(K1972*L1972)*25)*4</f>
        <v>4</v>
      </c>
    </row>
    <row r="1973" customFormat="false" ht="14.25" hidden="false" customHeight="false" outlineLevel="0" collapsed="false">
      <c r="A1973" s="1" t="n">
        <v>2014</v>
      </c>
      <c r="B1973" s="7" t="s">
        <v>322</v>
      </c>
      <c r="C1973" s="7" t="n">
        <v>2</v>
      </c>
      <c r="D1973" s="7" t="s">
        <v>294</v>
      </c>
      <c r="E1973" s="7" t="s">
        <v>294</v>
      </c>
      <c r="F1973" s="3" t="s">
        <v>83</v>
      </c>
      <c r="G1973" s="3" t="n">
        <v>3</v>
      </c>
      <c r="H1973" s="3" t="n">
        <v>12</v>
      </c>
      <c r="I1973" s="22" t="n">
        <v>41794</v>
      </c>
      <c r="J1973" s="22" t="n">
        <v>41799</v>
      </c>
      <c r="K1973" s="43" t="n">
        <f aca="false">J1973-I1973</f>
        <v>5</v>
      </c>
      <c r="L1973" s="1" t="n">
        <v>5</v>
      </c>
      <c r="M1973" s="3" t="s">
        <v>48</v>
      </c>
      <c r="N1973" s="3" t="s">
        <v>49</v>
      </c>
      <c r="O1973" s="3" t="s">
        <v>104</v>
      </c>
      <c r="P1973" s="2" t="str">
        <f aca="false">CONCATENATE(N1973," ",O1973)</f>
        <v>Alopecosa taeniata</v>
      </c>
      <c r="Q1973" s="1" t="s">
        <v>30</v>
      </c>
      <c r="R1973" s="1" t="s">
        <v>31</v>
      </c>
      <c r="S1973" s="3" t="n">
        <v>1</v>
      </c>
      <c r="T1973" s="3" t="n">
        <v>0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f aca="false">SUM(S1973:T1973)</f>
        <v>1</v>
      </c>
      <c r="Z1973" s="3" t="n">
        <f aca="false">SUM(U1973:W1973)</f>
        <v>0</v>
      </c>
      <c r="AA1973" s="3" t="n">
        <f aca="false">SUM(S1973:X1973)</f>
        <v>1</v>
      </c>
      <c r="AB1973" s="11" t="n">
        <f aca="false">(AA1973/(K1973*L1973)*25)*4</f>
        <v>4</v>
      </c>
    </row>
    <row r="1974" customFormat="false" ht="14.25" hidden="false" customHeight="false" outlineLevel="0" collapsed="false">
      <c r="A1974" s="1" t="n">
        <v>2014</v>
      </c>
      <c r="B1974" s="7" t="s">
        <v>322</v>
      </c>
      <c r="C1974" s="7" t="n">
        <v>2</v>
      </c>
      <c r="D1974" s="7" t="s">
        <v>294</v>
      </c>
      <c r="E1974" s="7" t="s">
        <v>294</v>
      </c>
      <c r="F1974" s="3" t="s">
        <v>83</v>
      </c>
      <c r="G1974" s="3" t="n">
        <v>3</v>
      </c>
      <c r="H1974" s="3" t="n">
        <v>12</v>
      </c>
      <c r="I1974" s="22" t="n">
        <v>41794</v>
      </c>
      <c r="J1974" s="22" t="n">
        <v>41799</v>
      </c>
      <c r="K1974" s="43" t="n">
        <f aca="false">J1974-I1974</f>
        <v>5</v>
      </c>
      <c r="L1974" s="1" t="n">
        <v>5</v>
      </c>
      <c r="M1974" s="3" t="s">
        <v>48</v>
      </c>
      <c r="N1974" s="3" t="s">
        <v>49</v>
      </c>
      <c r="O1974" s="3" t="s">
        <v>104</v>
      </c>
      <c r="P1974" s="2" t="str">
        <f aca="false">CONCATENATE(N1974," ",O1974)</f>
        <v>Alopecosa taeniata</v>
      </c>
      <c r="Q1974" s="1" t="s">
        <v>30</v>
      </c>
      <c r="R1974" s="1" t="s">
        <v>35</v>
      </c>
      <c r="S1974" s="3" t="n">
        <v>0</v>
      </c>
      <c r="T1974" s="3" t="n">
        <v>1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f aca="false">SUM(S1974:T1974)</f>
        <v>1</v>
      </c>
      <c r="Z1974" s="3" t="n">
        <f aca="false">SUM(U1974:W1974)</f>
        <v>0</v>
      </c>
      <c r="AA1974" s="3" t="n">
        <f aca="false">SUM(S1974:X1974)</f>
        <v>1</v>
      </c>
      <c r="AB1974" s="11" t="n">
        <f aca="false">(AA1974/(K1974*L1974)*25)*4</f>
        <v>4</v>
      </c>
    </row>
    <row r="1975" customFormat="false" ht="14.25" hidden="false" customHeight="false" outlineLevel="0" collapsed="false">
      <c r="A1975" s="1" t="n">
        <v>2014</v>
      </c>
      <c r="B1975" s="7" t="s">
        <v>322</v>
      </c>
      <c r="C1975" s="7" t="n">
        <v>2</v>
      </c>
      <c r="D1975" s="7" t="s">
        <v>294</v>
      </c>
      <c r="E1975" s="7" t="s">
        <v>294</v>
      </c>
      <c r="F1975" s="3" t="s">
        <v>83</v>
      </c>
      <c r="G1975" s="3" t="n">
        <v>3</v>
      </c>
      <c r="H1975" s="3" t="n">
        <v>12</v>
      </c>
      <c r="I1975" s="22" t="n">
        <v>41794</v>
      </c>
      <c r="J1975" s="22" t="n">
        <v>41799</v>
      </c>
      <c r="K1975" s="43" t="n">
        <f aca="false">J1975-I1975</f>
        <v>5</v>
      </c>
      <c r="L1975" s="1" t="n">
        <v>5</v>
      </c>
      <c r="M1975" s="3" t="s">
        <v>135</v>
      </c>
      <c r="N1975" s="3" t="s">
        <v>136</v>
      </c>
      <c r="O1975" s="3" t="s">
        <v>137</v>
      </c>
      <c r="P1975" s="2" t="str">
        <f aca="false">CONCATENATE(N1975," ",O1975)</f>
        <v>Thanatus sabulosus</v>
      </c>
      <c r="Q1975" s="1" t="s">
        <v>30</v>
      </c>
      <c r="R1975" s="1" t="s">
        <v>31</v>
      </c>
      <c r="S1975" s="3" t="n">
        <v>1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f aca="false">SUM(S1975:T1975)</f>
        <v>1</v>
      </c>
      <c r="Z1975" s="3" t="n">
        <f aca="false">SUM(U1975:W1975)</f>
        <v>0</v>
      </c>
      <c r="AA1975" s="3" t="n">
        <f aca="false">SUM(S1975:X1975)</f>
        <v>1</v>
      </c>
      <c r="AB1975" s="11" t="n">
        <f aca="false">(AA1975/(K1975*L1975)*25)*4</f>
        <v>4</v>
      </c>
    </row>
    <row r="1976" customFormat="false" ht="14.25" hidden="false" customHeight="false" outlineLevel="0" collapsed="false">
      <c r="A1976" s="1" t="n">
        <v>2014</v>
      </c>
      <c r="B1976" s="7" t="s">
        <v>322</v>
      </c>
      <c r="C1976" s="7" t="n">
        <v>2</v>
      </c>
      <c r="D1976" s="7" t="s">
        <v>294</v>
      </c>
      <c r="E1976" s="7" t="s">
        <v>294</v>
      </c>
      <c r="F1976" s="3" t="s">
        <v>83</v>
      </c>
      <c r="G1976" s="3" t="n">
        <v>3</v>
      </c>
      <c r="H1976" s="3" t="n">
        <v>12</v>
      </c>
      <c r="I1976" s="22" t="n">
        <v>41794</v>
      </c>
      <c r="J1976" s="22" t="n">
        <v>41799</v>
      </c>
      <c r="K1976" s="43" t="n">
        <f aca="false">J1976-I1976</f>
        <v>5</v>
      </c>
      <c r="L1976" s="1" t="n">
        <v>5</v>
      </c>
      <c r="M1976" s="3" t="s">
        <v>72</v>
      </c>
      <c r="N1976" s="3" t="s">
        <v>86</v>
      </c>
      <c r="O1976" s="3" t="s">
        <v>87</v>
      </c>
      <c r="P1976" s="2" t="str">
        <f aca="false">CONCATENATE(N1976," ",O1976)</f>
        <v>Haplodrassus soerenseni</v>
      </c>
      <c r="Q1976" s="1" t="s">
        <v>30</v>
      </c>
      <c r="R1976" s="1" t="s">
        <v>31</v>
      </c>
      <c r="S1976" s="3" t="n">
        <v>1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f aca="false">SUM(S1976:T1976)</f>
        <v>1</v>
      </c>
      <c r="Z1976" s="3" t="n">
        <f aca="false">SUM(U1976:W1976)</f>
        <v>0</v>
      </c>
      <c r="AA1976" s="3" t="n">
        <f aca="false">SUM(S1976:X1976)</f>
        <v>1</v>
      </c>
      <c r="AB1976" s="11" t="n">
        <f aca="false">(AA1976/(K1976*L1976)*25)*4</f>
        <v>4</v>
      </c>
    </row>
    <row r="1977" customFormat="false" ht="14.25" hidden="false" customHeight="false" outlineLevel="0" collapsed="false">
      <c r="A1977" s="1" t="n">
        <v>2014</v>
      </c>
      <c r="B1977" s="7" t="s">
        <v>322</v>
      </c>
      <c r="C1977" s="7" t="n">
        <v>2</v>
      </c>
      <c r="D1977" s="7" t="s">
        <v>294</v>
      </c>
      <c r="E1977" s="7" t="s">
        <v>294</v>
      </c>
      <c r="F1977" s="3" t="s">
        <v>83</v>
      </c>
      <c r="G1977" s="3" t="n">
        <v>3</v>
      </c>
      <c r="H1977" s="3" t="n">
        <v>12</v>
      </c>
      <c r="I1977" s="22" t="n">
        <v>41794</v>
      </c>
      <c r="J1977" s="22" t="n">
        <v>41799</v>
      </c>
      <c r="K1977" s="43" t="n">
        <f aca="false">J1977-I1977</f>
        <v>5</v>
      </c>
      <c r="L1977" s="1" t="n">
        <v>5</v>
      </c>
      <c r="M1977" s="3" t="s">
        <v>226</v>
      </c>
      <c r="N1977" s="3" t="s">
        <v>65</v>
      </c>
      <c r="O1977" s="3" t="s">
        <v>123</v>
      </c>
      <c r="P1977" s="2" t="str">
        <f aca="false">CONCATENATE(N1977," ",O1977)</f>
        <v>Zora nemoralis</v>
      </c>
      <c r="Q1977" s="1" t="s">
        <v>30</v>
      </c>
      <c r="R1977" s="1" t="s">
        <v>31</v>
      </c>
      <c r="S1977" s="3" t="n">
        <v>3</v>
      </c>
      <c r="T1977" s="3" t="n">
        <v>0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f aca="false">SUM(S1977:T1977)</f>
        <v>3</v>
      </c>
      <c r="Z1977" s="3" t="n">
        <f aca="false">SUM(U1977:W1977)</f>
        <v>0</v>
      </c>
      <c r="AA1977" s="3" t="n">
        <f aca="false">SUM(S1977:X1977)</f>
        <v>3</v>
      </c>
      <c r="AB1977" s="11" t="n">
        <f aca="false">(AA1977/(K1977*L1977)*25)*4</f>
        <v>12</v>
      </c>
    </row>
    <row r="1978" customFormat="false" ht="14.25" hidden="false" customHeight="false" outlineLevel="0" collapsed="false">
      <c r="A1978" s="1" t="n">
        <v>2014</v>
      </c>
      <c r="B1978" s="7" t="s">
        <v>322</v>
      </c>
      <c r="C1978" s="7" t="n">
        <v>2</v>
      </c>
      <c r="D1978" s="7" t="s">
        <v>294</v>
      </c>
      <c r="E1978" s="7" t="s">
        <v>294</v>
      </c>
      <c r="F1978" s="3" t="s">
        <v>83</v>
      </c>
      <c r="G1978" s="3" t="n">
        <v>3</v>
      </c>
      <c r="H1978" s="3" t="n">
        <v>12</v>
      </c>
      <c r="I1978" s="22" t="n">
        <v>41794</v>
      </c>
      <c r="J1978" s="22" t="n">
        <v>41799</v>
      </c>
      <c r="K1978" s="43" t="n">
        <f aca="false">J1978-I1978</f>
        <v>5</v>
      </c>
      <c r="L1978" s="1" t="n">
        <v>5</v>
      </c>
      <c r="M1978" s="3" t="s">
        <v>226</v>
      </c>
      <c r="N1978" s="3" t="s">
        <v>65</v>
      </c>
      <c r="O1978" s="3" t="s">
        <v>335</v>
      </c>
      <c r="P1978" s="2" t="str">
        <f aca="false">CONCATENATE(N1978," ",O1978)</f>
        <v>Zora spinimana</v>
      </c>
      <c r="Q1978" s="1" t="s">
        <v>30</v>
      </c>
      <c r="R1978" s="1" t="s">
        <v>31</v>
      </c>
      <c r="S1978" s="3" t="n">
        <v>1</v>
      </c>
      <c r="T1978" s="3" t="n">
        <v>0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f aca="false">SUM(S1978:T1978)</f>
        <v>1</v>
      </c>
      <c r="Z1978" s="3" t="n">
        <f aca="false">SUM(U1978:W1978)</f>
        <v>0</v>
      </c>
      <c r="AA1978" s="3" t="n">
        <f aca="false">SUM(S1978:X1978)</f>
        <v>1</v>
      </c>
      <c r="AB1978" s="11" t="n">
        <f aca="false">(AA1978/(K1978*L1978)*25)*4</f>
        <v>4</v>
      </c>
    </row>
    <row r="1979" customFormat="false" ht="14.25" hidden="false" customHeight="false" outlineLevel="0" collapsed="false">
      <c r="A1979" s="1" t="n">
        <v>2014</v>
      </c>
      <c r="B1979" s="7" t="s">
        <v>322</v>
      </c>
      <c r="C1979" s="7" t="n">
        <v>2</v>
      </c>
      <c r="D1979" s="7" t="s">
        <v>294</v>
      </c>
      <c r="E1979" s="7" t="s">
        <v>294</v>
      </c>
      <c r="F1979" s="3" t="s">
        <v>83</v>
      </c>
      <c r="G1979" s="3" t="n">
        <v>3</v>
      </c>
      <c r="H1979" s="3" t="n">
        <v>12</v>
      </c>
      <c r="I1979" s="22" t="n">
        <v>41794</v>
      </c>
      <c r="J1979" s="22" t="n">
        <v>41799</v>
      </c>
      <c r="K1979" s="43" t="n">
        <f aca="false">J1979-I1979</f>
        <v>5</v>
      </c>
      <c r="L1979" s="1" t="n">
        <v>5</v>
      </c>
      <c r="M1979" s="3" t="s">
        <v>226</v>
      </c>
      <c r="N1979" s="3" t="s">
        <v>65</v>
      </c>
      <c r="O1979" s="3" t="s">
        <v>335</v>
      </c>
      <c r="P1979" s="2" t="str">
        <f aca="false">CONCATENATE(N1979," ",O1979)</f>
        <v>Zora spinimana</v>
      </c>
      <c r="Q1979" s="1" t="s">
        <v>30</v>
      </c>
      <c r="R1979" s="1" t="s">
        <v>35</v>
      </c>
      <c r="S1979" s="3" t="n">
        <v>0</v>
      </c>
      <c r="T1979" s="3" t="n">
        <v>1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f aca="false">SUM(S1979:T1979)</f>
        <v>1</v>
      </c>
      <c r="Z1979" s="3" t="n">
        <f aca="false">SUM(U1979:W1979)</f>
        <v>0</v>
      </c>
      <c r="AA1979" s="3" t="n">
        <f aca="false">SUM(S1979:X1979)</f>
        <v>1</v>
      </c>
      <c r="AB1979" s="11" t="n">
        <f aca="false">(AA1979/(K1979*L1979)*25)*4</f>
        <v>4</v>
      </c>
    </row>
    <row r="1980" customFormat="false" ht="14.25" hidden="false" customHeight="false" outlineLevel="0" collapsed="false">
      <c r="A1980" s="1" t="n">
        <v>2014</v>
      </c>
      <c r="B1980" s="7" t="s">
        <v>322</v>
      </c>
      <c r="C1980" s="7" t="n">
        <v>2</v>
      </c>
      <c r="D1980" s="7" t="s">
        <v>294</v>
      </c>
      <c r="E1980" s="7" t="s">
        <v>294</v>
      </c>
      <c r="F1980" s="3" t="s">
        <v>83</v>
      </c>
      <c r="G1980" s="3" t="n">
        <v>3</v>
      </c>
      <c r="H1980" s="3" t="n">
        <v>12</v>
      </c>
      <c r="I1980" s="22" t="n">
        <v>41794</v>
      </c>
      <c r="J1980" s="22" t="n">
        <v>41799</v>
      </c>
      <c r="K1980" s="43" t="n">
        <f aca="false">J1980-I1980</f>
        <v>5</v>
      </c>
      <c r="L1980" s="1" t="n">
        <v>5</v>
      </c>
      <c r="M1980" s="3" t="s">
        <v>36</v>
      </c>
      <c r="N1980" s="3" t="s">
        <v>37</v>
      </c>
      <c r="O1980" s="3" t="s">
        <v>75</v>
      </c>
      <c r="P1980" s="2" t="str">
        <f aca="false">CONCATENATE(N1980," ",O1980)</f>
        <v>Ozyptila praticola</v>
      </c>
      <c r="Q1980" s="1" t="s">
        <v>30</v>
      </c>
      <c r="R1980" s="1" t="s">
        <v>31</v>
      </c>
      <c r="S1980" s="3" t="n">
        <v>2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f aca="false">SUM(S1980:T1980)</f>
        <v>2</v>
      </c>
      <c r="Z1980" s="3" t="n">
        <f aca="false">SUM(U1980:W1980)</f>
        <v>0</v>
      </c>
      <c r="AA1980" s="3" t="n">
        <f aca="false">SUM(S1980:X1980)</f>
        <v>2</v>
      </c>
      <c r="AB1980" s="11" t="n">
        <f aca="false">(AA1980/(K1980*L1980)*25)*4</f>
        <v>8</v>
      </c>
    </row>
    <row r="1981" customFormat="false" ht="14.25" hidden="false" customHeight="false" outlineLevel="0" collapsed="false">
      <c r="A1981" s="1" t="n">
        <v>2014</v>
      </c>
      <c r="B1981" s="7" t="s">
        <v>322</v>
      </c>
      <c r="C1981" s="7" t="n">
        <v>2</v>
      </c>
      <c r="D1981" s="7" t="s">
        <v>294</v>
      </c>
      <c r="E1981" s="7" t="s">
        <v>294</v>
      </c>
      <c r="F1981" s="3" t="s">
        <v>83</v>
      </c>
      <c r="G1981" s="3" t="n">
        <v>3</v>
      </c>
      <c r="H1981" s="3" t="n">
        <v>12</v>
      </c>
      <c r="I1981" s="22" t="n">
        <v>41794</v>
      </c>
      <c r="J1981" s="22" t="n">
        <v>41799</v>
      </c>
      <c r="K1981" s="43" t="n">
        <f aca="false">J1981-I1981</f>
        <v>5</v>
      </c>
      <c r="L1981" s="1" t="n">
        <v>5</v>
      </c>
      <c r="M1981" s="3" t="s">
        <v>32</v>
      </c>
      <c r="N1981" s="3" t="s">
        <v>169</v>
      </c>
      <c r="O1981" s="3" t="s">
        <v>170</v>
      </c>
      <c r="P1981" s="2" t="str">
        <f aca="false">CONCATENATE(N1981," ",O1981)</f>
        <v>Abacoproeces saltuum</v>
      </c>
      <c r="Q1981" s="1" t="s">
        <v>30</v>
      </c>
      <c r="R1981" s="1" t="s">
        <v>31</v>
      </c>
      <c r="S1981" s="3" t="n">
        <v>1</v>
      </c>
      <c r="T1981" s="3" t="n">
        <v>0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f aca="false">SUM(S1981:T1981)</f>
        <v>1</v>
      </c>
      <c r="Z1981" s="3" t="n">
        <f aca="false">SUM(U1981:W1981)</f>
        <v>0</v>
      </c>
      <c r="AA1981" s="3" t="n">
        <f aca="false">SUM(S1981:X1981)</f>
        <v>1</v>
      </c>
      <c r="AB1981" s="11" t="n">
        <f aca="false">(AA1981/(K1981*L1981)*25)*4</f>
        <v>4</v>
      </c>
    </row>
    <row r="1982" customFormat="false" ht="14.25" hidden="false" customHeight="false" outlineLevel="0" collapsed="false">
      <c r="A1982" s="1" t="n">
        <v>2014</v>
      </c>
      <c r="B1982" s="7" t="s">
        <v>322</v>
      </c>
      <c r="C1982" s="7" t="n">
        <v>2</v>
      </c>
      <c r="D1982" s="7" t="s">
        <v>294</v>
      </c>
      <c r="E1982" s="7" t="s">
        <v>294</v>
      </c>
      <c r="F1982" s="3" t="s">
        <v>83</v>
      </c>
      <c r="G1982" s="3" t="n">
        <v>2</v>
      </c>
      <c r="H1982" s="3" t="n">
        <v>9</v>
      </c>
      <c r="I1982" s="22" t="n">
        <v>41794</v>
      </c>
      <c r="J1982" s="22" t="n">
        <v>41799</v>
      </c>
      <c r="K1982" s="43" t="n">
        <f aca="false">J1982-I1982</f>
        <v>5</v>
      </c>
      <c r="L1982" s="1" t="n">
        <v>5</v>
      </c>
      <c r="M1982" s="3" t="s">
        <v>48</v>
      </c>
      <c r="N1982" s="3" t="s">
        <v>67</v>
      </c>
      <c r="O1982" s="3" t="s">
        <v>127</v>
      </c>
      <c r="P1982" s="2" t="str">
        <f aca="false">CONCATENATE(N1982," ",O1982)</f>
        <v>Pardosa lugubris</v>
      </c>
      <c r="Q1982" s="1" t="s">
        <v>30</v>
      </c>
      <c r="R1982" s="1" t="s">
        <v>31</v>
      </c>
      <c r="S1982" s="3" t="n">
        <v>12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f aca="false">SUM(S1982:T1982)</f>
        <v>12</v>
      </c>
      <c r="Z1982" s="3" t="n">
        <f aca="false">SUM(U1982:W1982)</f>
        <v>0</v>
      </c>
      <c r="AA1982" s="3" t="n">
        <f aca="false">SUM(S1982:X1982)</f>
        <v>12</v>
      </c>
      <c r="AB1982" s="11" t="n">
        <f aca="false">(AA1982/(K1982*L1982)*25)*4</f>
        <v>48</v>
      </c>
    </row>
    <row r="1983" customFormat="false" ht="14.25" hidden="false" customHeight="false" outlineLevel="0" collapsed="false">
      <c r="A1983" s="1" t="n">
        <v>2014</v>
      </c>
      <c r="B1983" s="7" t="s">
        <v>322</v>
      </c>
      <c r="C1983" s="7" t="n">
        <v>2</v>
      </c>
      <c r="D1983" s="7" t="s">
        <v>294</v>
      </c>
      <c r="E1983" s="7" t="s">
        <v>294</v>
      </c>
      <c r="F1983" s="3" t="s">
        <v>83</v>
      </c>
      <c r="G1983" s="3" t="n">
        <v>2</v>
      </c>
      <c r="H1983" s="3" t="n">
        <v>9</v>
      </c>
      <c r="I1983" s="22" t="n">
        <v>41794</v>
      </c>
      <c r="J1983" s="22" t="n">
        <v>41799</v>
      </c>
      <c r="K1983" s="43" t="n">
        <f aca="false">J1983-I1983</f>
        <v>5</v>
      </c>
      <c r="L1983" s="1" t="n">
        <v>5</v>
      </c>
      <c r="M1983" s="3" t="s">
        <v>48</v>
      </c>
      <c r="N1983" s="3" t="s">
        <v>67</v>
      </c>
      <c r="O1983" s="3" t="s">
        <v>127</v>
      </c>
      <c r="P1983" s="2" t="str">
        <f aca="false">CONCATENATE(N1983," ",O1983)</f>
        <v>Pardosa lugubris</v>
      </c>
      <c r="Q1983" s="1" t="s">
        <v>30</v>
      </c>
      <c r="R1983" s="1" t="s">
        <v>35</v>
      </c>
      <c r="S1983" s="3" t="n">
        <v>0</v>
      </c>
      <c r="T1983" s="3" t="n">
        <v>1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f aca="false">SUM(S1983:T1983)</f>
        <v>1</v>
      </c>
      <c r="Z1983" s="3" t="n">
        <f aca="false">SUM(U1983:W1983)</f>
        <v>0</v>
      </c>
      <c r="AA1983" s="3" t="n">
        <f aca="false">SUM(S1983:X1983)</f>
        <v>1</v>
      </c>
      <c r="AB1983" s="11" t="n">
        <f aca="false">(AA1983/(K1983*L1983)*25)*4</f>
        <v>4</v>
      </c>
    </row>
    <row r="1984" customFormat="false" ht="14.25" hidden="false" customHeight="false" outlineLevel="0" collapsed="false">
      <c r="A1984" s="1" t="n">
        <v>2014</v>
      </c>
      <c r="B1984" s="7" t="s">
        <v>322</v>
      </c>
      <c r="C1984" s="7" t="n">
        <v>2</v>
      </c>
      <c r="D1984" s="7" t="s">
        <v>294</v>
      </c>
      <c r="E1984" s="7" t="s">
        <v>294</v>
      </c>
      <c r="F1984" s="3" t="s">
        <v>83</v>
      </c>
      <c r="G1984" s="3" t="n">
        <v>2</v>
      </c>
      <c r="H1984" s="3" t="n">
        <v>9</v>
      </c>
      <c r="I1984" s="22" t="n">
        <v>41794</v>
      </c>
      <c r="J1984" s="22" t="n">
        <v>41799</v>
      </c>
      <c r="K1984" s="43" t="n">
        <f aca="false">J1984-I1984</f>
        <v>5</v>
      </c>
      <c r="L1984" s="1" t="n">
        <v>5</v>
      </c>
      <c r="M1984" s="3" t="s">
        <v>48</v>
      </c>
      <c r="N1984" s="3" t="s">
        <v>49</v>
      </c>
      <c r="O1984" s="3" t="s">
        <v>104</v>
      </c>
      <c r="P1984" s="2" t="str">
        <f aca="false">CONCATENATE(N1984," ",O1984)</f>
        <v>Alopecosa taeniata</v>
      </c>
      <c r="Q1984" s="1" t="s">
        <v>30</v>
      </c>
      <c r="R1984" s="1" t="s">
        <v>31</v>
      </c>
      <c r="S1984" s="3" t="n">
        <v>2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f aca="false">SUM(S1984:T1984)</f>
        <v>2</v>
      </c>
      <c r="Z1984" s="3" t="n">
        <f aca="false">SUM(U1984:W1984)</f>
        <v>0</v>
      </c>
      <c r="AA1984" s="3" t="n">
        <f aca="false">SUM(S1984:X1984)</f>
        <v>2</v>
      </c>
      <c r="AB1984" s="11" t="n">
        <f aca="false">(AA1984/(K1984*L1984)*25)*4</f>
        <v>8</v>
      </c>
    </row>
    <row r="1985" customFormat="false" ht="14.25" hidden="false" customHeight="false" outlineLevel="0" collapsed="false">
      <c r="A1985" s="1" t="n">
        <v>2014</v>
      </c>
      <c r="B1985" s="7" t="s">
        <v>322</v>
      </c>
      <c r="C1985" s="7" t="n">
        <v>2</v>
      </c>
      <c r="D1985" s="7" t="s">
        <v>294</v>
      </c>
      <c r="E1985" s="7" t="s">
        <v>294</v>
      </c>
      <c r="F1985" s="3" t="s">
        <v>83</v>
      </c>
      <c r="G1985" s="3" t="n">
        <v>2</v>
      </c>
      <c r="H1985" s="3" t="n">
        <v>9</v>
      </c>
      <c r="I1985" s="22" t="n">
        <v>41794</v>
      </c>
      <c r="J1985" s="22" t="n">
        <v>41799</v>
      </c>
      <c r="K1985" s="43" t="n">
        <f aca="false">J1985-I1985</f>
        <v>5</v>
      </c>
      <c r="L1985" s="1" t="n">
        <v>5</v>
      </c>
      <c r="M1985" s="3" t="s">
        <v>48</v>
      </c>
      <c r="N1985" s="3" t="s">
        <v>49</v>
      </c>
      <c r="O1985" s="3" t="s">
        <v>104</v>
      </c>
      <c r="P1985" s="2" t="str">
        <f aca="false">CONCATENATE(N1985," ",O1985)</f>
        <v>Alopecosa taeniata</v>
      </c>
      <c r="Q1985" s="1" t="s">
        <v>30</v>
      </c>
      <c r="R1985" s="1" t="s">
        <v>35</v>
      </c>
      <c r="S1985" s="3" t="n">
        <v>0</v>
      </c>
      <c r="T1985" s="3" t="n">
        <v>1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f aca="false">SUM(S1985:T1985)</f>
        <v>1</v>
      </c>
      <c r="Z1985" s="3" t="n">
        <f aca="false">SUM(U1985:W1985)</f>
        <v>0</v>
      </c>
      <c r="AA1985" s="3" t="n">
        <f aca="false">SUM(S1985:X1985)</f>
        <v>1</v>
      </c>
      <c r="AB1985" s="11" t="n">
        <f aca="false">(AA1985/(K1985*L1985)*25)*4</f>
        <v>4</v>
      </c>
    </row>
    <row r="1986" customFormat="false" ht="14.25" hidden="false" customHeight="false" outlineLevel="0" collapsed="false">
      <c r="A1986" s="1" t="n">
        <v>2014</v>
      </c>
      <c r="B1986" s="7" t="s">
        <v>322</v>
      </c>
      <c r="C1986" s="7" t="n">
        <v>2</v>
      </c>
      <c r="D1986" s="7" t="s">
        <v>294</v>
      </c>
      <c r="E1986" s="7" t="s">
        <v>294</v>
      </c>
      <c r="F1986" s="3" t="s">
        <v>83</v>
      </c>
      <c r="G1986" s="3" t="n">
        <v>2</v>
      </c>
      <c r="H1986" s="3" t="n">
        <v>9</v>
      </c>
      <c r="I1986" s="22" t="n">
        <v>41794</v>
      </c>
      <c r="J1986" s="22" t="n">
        <v>41799</v>
      </c>
      <c r="K1986" s="43" t="n">
        <f aca="false">J1986-I1986</f>
        <v>5</v>
      </c>
      <c r="L1986" s="1" t="n">
        <v>5</v>
      </c>
      <c r="M1986" s="3" t="s">
        <v>36</v>
      </c>
      <c r="N1986" s="3" t="s">
        <v>37</v>
      </c>
      <c r="O1986" s="3" t="s">
        <v>75</v>
      </c>
      <c r="P1986" s="2" t="str">
        <f aca="false">CONCATENATE(N1986," ",O1986)</f>
        <v>Ozyptila praticola</v>
      </c>
      <c r="Q1986" s="1" t="s">
        <v>30</v>
      </c>
      <c r="R1986" s="1" t="s">
        <v>31</v>
      </c>
      <c r="S1986" s="3" t="n">
        <v>1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f aca="false">SUM(S1986:T1986)</f>
        <v>1</v>
      </c>
      <c r="Z1986" s="3" t="n">
        <f aca="false">SUM(U1986:W1986)</f>
        <v>0</v>
      </c>
      <c r="AA1986" s="3" t="n">
        <f aca="false">SUM(S1986:X1986)</f>
        <v>1</v>
      </c>
      <c r="AB1986" s="11" t="n">
        <f aca="false">(AA1986/(K1986*L1986)*25)*4</f>
        <v>4</v>
      </c>
    </row>
    <row r="1987" customFormat="false" ht="14.25" hidden="false" customHeight="false" outlineLevel="0" collapsed="false">
      <c r="A1987" s="1" t="n">
        <v>2014</v>
      </c>
      <c r="B1987" s="7" t="s">
        <v>322</v>
      </c>
      <c r="C1987" s="7" t="n">
        <v>2</v>
      </c>
      <c r="D1987" s="7" t="s">
        <v>294</v>
      </c>
      <c r="E1987" s="7" t="s">
        <v>294</v>
      </c>
      <c r="F1987" s="3" t="s">
        <v>83</v>
      </c>
      <c r="G1987" s="3" t="n">
        <v>1</v>
      </c>
      <c r="H1987" s="3" t="n">
        <v>3</v>
      </c>
      <c r="I1987" s="22" t="n">
        <v>41794</v>
      </c>
      <c r="J1987" s="22" t="n">
        <v>41799</v>
      </c>
      <c r="K1987" s="43" t="n">
        <f aca="false">J1987-I1987</f>
        <v>5</v>
      </c>
      <c r="L1987" s="1" t="n">
        <v>5</v>
      </c>
      <c r="M1987" s="3" t="s">
        <v>48</v>
      </c>
      <c r="N1987" s="3" t="s">
        <v>67</v>
      </c>
      <c r="O1987" s="3" t="s">
        <v>127</v>
      </c>
      <c r="P1987" s="2" t="str">
        <f aca="false">CONCATENATE(N1987," ",O1987)</f>
        <v>Pardosa lugubris</v>
      </c>
      <c r="Q1987" s="1" t="s">
        <v>30</v>
      </c>
      <c r="R1987" s="1" t="s">
        <v>31</v>
      </c>
      <c r="S1987" s="3" t="n">
        <v>5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f aca="false">SUM(S1987:T1987)</f>
        <v>5</v>
      </c>
      <c r="Z1987" s="3" t="n">
        <f aca="false">SUM(U1987:W1987)</f>
        <v>0</v>
      </c>
      <c r="AA1987" s="3" t="n">
        <f aca="false">SUM(S1987:X1987)</f>
        <v>5</v>
      </c>
      <c r="AB1987" s="11" t="n">
        <f aca="false">(AA1987/(K1987*L1987)*25)*4</f>
        <v>20</v>
      </c>
    </row>
    <row r="1988" customFormat="false" ht="14.25" hidden="false" customHeight="false" outlineLevel="0" collapsed="false">
      <c r="A1988" s="1" t="n">
        <v>2014</v>
      </c>
      <c r="B1988" s="7" t="s">
        <v>322</v>
      </c>
      <c r="C1988" s="7" t="n">
        <v>2</v>
      </c>
      <c r="D1988" s="7" t="s">
        <v>294</v>
      </c>
      <c r="E1988" s="7" t="s">
        <v>294</v>
      </c>
      <c r="F1988" s="3" t="s">
        <v>83</v>
      </c>
      <c r="G1988" s="3" t="n">
        <v>1</v>
      </c>
      <c r="H1988" s="3" t="n">
        <v>3</v>
      </c>
      <c r="I1988" s="22" t="n">
        <v>41794</v>
      </c>
      <c r="J1988" s="22" t="n">
        <v>41799</v>
      </c>
      <c r="K1988" s="43" t="n">
        <f aca="false">J1988-I1988</f>
        <v>5</v>
      </c>
      <c r="L1988" s="1" t="n">
        <v>5</v>
      </c>
      <c r="M1988" s="3" t="s">
        <v>48</v>
      </c>
      <c r="N1988" s="3" t="s">
        <v>67</v>
      </c>
      <c r="O1988" s="3" t="s">
        <v>127</v>
      </c>
      <c r="P1988" s="2" t="str">
        <f aca="false">CONCATENATE(N1988," ",O1988)</f>
        <v>Pardosa lugubris</v>
      </c>
      <c r="Q1988" s="1" t="s">
        <v>30</v>
      </c>
      <c r="R1988" s="1" t="s">
        <v>35</v>
      </c>
      <c r="S1988" s="3" t="n">
        <v>0</v>
      </c>
      <c r="T1988" s="3" t="n">
        <v>2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f aca="false">SUM(S1988:T1988)</f>
        <v>2</v>
      </c>
      <c r="Z1988" s="3" t="n">
        <f aca="false">SUM(U1988:W1988)</f>
        <v>0</v>
      </c>
      <c r="AA1988" s="3" t="n">
        <f aca="false">SUM(S1988:X1988)</f>
        <v>2</v>
      </c>
      <c r="AB1988" s="11" t="n">
        <f aca="false">(AA1988/(K1988*L1988)*25)*4</f>
        <v>8</v>
      </c>
    </row>
    <row r="1989" customFormat="false" ht="14.25" hidden="false" customHeight="false" outlineLevel="0" collapsed="false">
      <c r="A1989" s="1" t="n">
        <v>2014</v>
      </c>
      <c r="B1989" s="7" t="s">
        <v>322</v>
      </c>
      <c r="C1989" s="7" t="n">
        <v>2</v>
      </c>
      <c r="D1989" s="7" t="s">
        <v>294</v>
      </c>
      <c r="E1989" s="7" t="s">
        <v>294</v>
      </c>
      <c r="F1989" s="3" t="s">
        <v>83</v>
      </c>
      <c r="G1989" s="3" t="n">
        <v>1</v>
      </c>
      <c r="H1989" s="3" t="n">
        <v>3</v>
      </c>
      <c r="I1989" s="22" t="n">
        <v>41794</v>
      </c>
      <c r="J1989" s="22" t="n">
        <v>41799</v>
      </c>
      <c r="K1989" s="43" t="n">
        <f aca="false">J1989-I1989</f>
        <v>5</v>
      </c>
      <c r="L1989" s="1" t="n">
        <v>5</v>
      </c>
      <c r="M1989" s="3" t="s">
        <v>36</v>
      </c>
      <c r="N1989" s="3" t="s">
        <v>131</v>
      </c>
      <c r="O1989" s="3" t="s">
        <v>133</v>
      </c>
      <c r="P1989" s="2" t="str">
        <f aca="false">CONCATENATE(N1989," ",O1989)</f>
        <v>Xysticus luctuosus</v>
      </c>
      <c r="Q1989" s="1" t="s">
        <v>30</v>
      </c>
      <c r="R1989" s="1" t="s">
        <v>31</v>
      </c>
      <c r="S1989" s="3" t="n">
        <v>1</v>
      </c>
      <c r="T1989" s="3" t="n">
        <v>0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f aca="false">SUM(S1989:T1989)</f>
        <v>1</v>
      </c>
      <c r="Z1989" s="3" t="n">
        <f aca="false">SUM(U1989:W1989)</f>
        <v>0</v>
      </c>
      <c r="AA1989" s="3" t="n">
        <f aca="false">SUM(S1989:X1989)</f>
        <v>1</v>
      </c>
      <c r="AB1989" s="11" t="n">
        <f aca="false">(AA1989/(K1989*L1989)*25)*4</f>
        <v>4</v>
      </c>
    </row>
    <row r="1990" customFormat="false" ht="14.25" hidden="false" customHeight="false" outlineLevel="0" collapsed="false">
      <c r="A1990" s="1" t="n">
        <v>2014</v>
      </c>
      <c r="B1990" s="7" t="s">
        <v>322</v>
      </c>
      <c r="C1990" s="7" t="n">
        <v>2</v>
      </c>
      <c r="D1990" s="7" t="s">
        <v>294</v>
      </c>
      <c r="E1990" s="7" t="s">
        <v>294</v>
      </c>
      <c r="F1990" s="3" t="s">
        <v>83</v>
      </c>
      <c r="G1990" s="3" t="n">
        <v>1</v>
      </c>
      <c r="H1990" s="3" t="n">
        <v>3</v>
      </c>
      <c r="I1990" s="22" t="n">
        <v>41794</v>
      </c>
      <c r="J1990" s="22" t="n">
        <v>41799</v>
      </c>
      <c r="K1990" s="43" t="n">
        <f aca="false">J1990-I1990</f>
        <v>5</v>
      </c>
      <c r="L1990" s="1" t="n">
        <v>5</v>
      </c>
      <c r="M1990" s="3" t="s">
        <v>36</v>
      </c>
      <c r="N1990" s="3" t="s">
        <v>37</v>
      </c>
      <c r="O1990" s="3" t="s">
        <v>75</v>
      </c>
      <c r="P1990" s="2" t="str">
        <f aca="false">CONCATENATE(N1990," ",O1990)</f>
        <v>Ozyptila praticola</v>
      </c>
      <c r="Q1990" s="1" t="s">
        <v>30</v>
      </c>
      <c r="R1990" s="1" t="s">
        <v>31</v>
      </c>
      <c r="S1990" s="3" t="n">
        <v>1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f aca="false">SUM(S1990:T1990)</f>
        <v>1</v>
      </c>
      <c r="Z1990" s="3" t="n">
        <f aca="false">SUM(U1990:W1990)</f>
        <v>0</v>
      </c>
      <c r="AA1990" s="3" t="n">
        <f aca="false">SUM(S1990:X1990)</f>
        <v>1</v>
      </c>
      <c r="AB1990" s="11" t="n">
        <f aca="false">(AA1990/(K1990*L1990)*25)*4</f>
        <v>4</v>
      </c>
    </row>
    <row r="1991" customFormat="false" ht="14.25" hidden="false" customHeight="false" outlineLevel="0" collapsed="false">
      <c r="A1991" s="1" t="n">
        <v>2014</v>
      </c>
      <c r="B1991" s="7" t="s">
        <v>322</v>
      </c>
      <c r="C1991" s="7" t="n">
        <v>2</v>
      </c>
      <c r="D1991" s="7" t="s">
        <v>294</v>
      </c>
      <c r="E1991" s="7" t="s">
        <v>294</v>
      </c>
      <c r="F1991" s="3" t="s">
        <v>83</v>
      </c>
      <c r="G1991" s="3" t="n">
        <v>1</v>
      </c>
      <c r="H1991" s="3" t="n">
        <v>3</v>
      </c>
      <c r="I1991" s="22" t="n">
        <v>41794</v>
      </c>
      <c r="J1991" s="22" t="n">
        <v>41799</v>
      </c>
      <c r="K1991" s="43" t="n">
        <f aca="false">J1991-I1991</f>
        <v>5</v>
      </c>
      <c r="L1991" s="1" t="n">
        <v>5</v>
      </c>
      <c r="M1991" s="3" t="s">
        <v>226</v>
      </c>
      <c r="N1991" s="3" t="s">
        <v>65</v>
      </c>
      <c r="O1991" s="3" t="s">
        <v>123</v>
      </c>
      <c r="P1991" s="2" t="str">
        <f aca="false">CONCATENATE(N1991," ",O1991)</f>
        <v>Zora nemoralis</v>
      </c>
      <c r="Q1991" s="1" t="s">
        <v>30</v>
      </c>
      <c r="R1991" s="1" t="s">
        <v>31</v>
      </c>
      <c r="S1991" s="3" t="n">
        <v>1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f aca="false">SUM(S1991:T1991)</f>
        <v>1</v>
      </c>
      <c r="Z1991" s="3" t="n">
        <f aca="false">SUM(U1991:W1991)</f>
        <v>0</v>
      </c>
      <c r="AA1991" s="3" t="n">
        <f aca="false">SUM(S1991:X1991)</f>
        <v>1</v>
      </c>
      <c r="AB1991" s="11" t="n">
        <f aca="false">(AA1991/(K1991*L1991)*25)*4</f>
        <v>4</v>
      </c>
    </row>
    <row r="1992" customFormat="false" ht="14.25" hidden="false" customHeight="false" outlineLevel="0" collapsed="false">
      <c r="A1992" s="1" t="n">
        <v>2014</v>
      </c>
      <c r="B1992" s="7" t="s">
        <v>322</v>
      </c>
      <c r="C1992" s="7" t="n">
        <v>2</v>
      </c>
      <c r="D1992" s="7" t="s">
        <v>294</v>
      </c>
      <c r="E1992" s="7" t="s">
        <v>294</v>
      </c>
      <c r="F1992" s="3" t="s">
        <v>83</v>
      </c>
      <c r="G1992" s="3" t="n">
        <v>1</v>
      </c>
      <c r="H1992" s="3" t="n">
        <v>3</v>
      </c>
      <c r="I1992" s="22" t="n">
        <v>41794</v>
      </c>
      <c r="J1992" s="22" t="n">
        <v>41799</v>
      </c>
      <c r="K1992" s="43" t="n">
        <f aca="false">J1992-I1992</f>
        <v>5</v>
      </c>
      <c r="L1992" s="1" t="n">
        <v>5</v>
      </c>
      <c r="M1992" s="3" t="s">
        <v>72</v>
      </c>
      <c r="N1992" s="3" t="s">
        <v>86</v>
      </c>
      <c r="O1992" s="3" t="s">
        <v>87</v>
      </c>
      <c r="P1992" s="2" t="str">
        <f aca="false">CONCATENATE(N1992," ",O1992)</f>
        <v>Haplodrassus soerenseni</v>
      </c>
      <c r="Q1992" s="1" t="s">
        <v>30</v>
      </c>
      <c r="R1992" s="1" t="s">
        <v>31</v>
      </c>
      <c r="S1992" s="3" t="n">
        <v>1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f aca="false">SUM(S1992:T1992)</f>
        <v>1</v>
      </c>
      <c r="Z1992" s="3" t="n">
        <f aca="false">SUM(U1992:W1992)</f>
        <v>0</v>
      </c>
      <c r="AA1992" s="3" t="n">
        <f aca="false">SUM(S1992:X1992)</f>
        <v>1</v>
      </c>
      <c r="AB1992" s="11" t="n">
        <f aca="false">(AA1992/(K1992*L1992)*25)*4</f>
        <v>4</v>
      </c>
    </row>
    <row r="1993" customFormat="false" ht="14.25" hidden="false" customHeight="false" outlineLevel="0" collapsed="false">
      <c r="A1993" s="1" t="n">
        <v>2014</v>
      </c>
      <c r="B1993" s="7" t="s">
        <v>322</v>
      </c>
      <c r="C1993" s="7" t="n">
        <v>2</v>
      </c>
      <c r="D1993" s="7" t="s">
        <v>294</v>
      </c>
      <c r="E1993" s="7" t="s">
        <v>294</v>
      </c>
      <c r="F1993" s="3" t="s">
        <v>83</v>
      </c>
      <c r="G1993" s="3" t="n">
        <v>1</v>
      </c>
      <c r="H1993" s="3" t="n">
        <v>3</v>
      </c>
      <c r="I1993" s="22" t="n">
        <v>41794</v>
      </c>
      <c r="J1993" s="22" t="n">
        <v>41799</v>
      </c>
      <c r="K1993" s="43" t="n">
        <f aca="false">J1993-I1993</f>
        <v>5</v>
      </c>
      <c r="L1993" s="1" t="n">
        <v>5</v>
      </c>
      <c r="M1993" s="3" t="s">
        <v>135</v>
      </c>
      <c r="N1993" s="3" t="s">
        <v>136</v>
      </c>
      <c r="O1993" s="3" t="s">
        <v>137</v>
      </c>
      <c r="P1993" s="2" t="str">
        <f aca="false">CONCATENATE(N1993," ",O1993)</f>
        <v>Thanatus sabulosus</v>
      </c>
      <c r="Q1993" s="1" t="s">
        <v>30</v>
      </c>
      <c r="R1993" s="1" t="s">
        <v>31</v>
      </c>
      <c r="S1993" s="3" t="n">
        <v>1</v>
      </c>
      <c r="T1993" s="3" t="n">
        <v>0</v>
      </c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f aca="false">SUM(S1993:T1993)</f>
        <v>1</v>
      </c>
      <c r="Z1993" s="3" t="n">
        <f aca="false">SUM(U1993:W1993)</f>
        <v>0</v>
      </c>
      <c r="AA1993" s="3" t="n">
        <f aca="false">SUM(S1993:X1993)</f>
        <v>1</v>
      </c>
      <c r="AB1993" s="11" t="n">
        <f aca="false">(AA1993/(K1993*L1993)*25)*4</f>
        <v>4</v>
      </c>
    </row>
    <row r="1994" customFormat="false" ht="14.25" hidden="false" customHeight="false" outlineLevel="0" collapsed="false">
      <c r="A1994" s="1" t="n">
        <v>2014</v>
      </c>
      <c r="B1994" s="7" t="s">
        <v>322</v>
      </c>
      <c r="C1994" s="7" t="n">
        <v>2</v>
      </c>
      <c r="D1994" s="7" t="s">
        <v>294</v>
      </c>
      <c r="E1994" s="7" t="s">
        <v>294</v>
      </c>
      <c r="F1994" s="3" t="s">
        <v>83</v>
      </c>
      <c r="G1994" s="3" t="n">
        <v>1</v>
      </c>
      <c r="H1994" s="3" t="n">
        <v>3</v>
      </c>
      <c r="I1994" s="22" t="n">
        <v>41794</v>
      </c>
      <c r="J1994" s="22" t="n">
        <v>41799</v>
      </c>
      <c r="K1994" s="43" t="n">
        <f aca="false">J1994-I1994</f>
        <v>5</v>
      </c>
      <c r="L1994" s="1" t="n">
        <v>5</v>
      </c>
      <c r="M1994" s="3" t="s">
        <v>48</v>
      </c>
      <c r="N1994" s="3" t="s">
        <v>49</v>
      </c>
      <c r="O1994" s="3" t="s">
        <v>104</v>
      </c>
      <c r="P1994" s="2" t="str">
        <f aca="false">CONCATENATE(N1994," ",O1994)</f>
        <v>Alopecosa taeniata</v>
      </c>
      <c r="Q1994" s="1" t="s">
        <v>30</v>
      </c>
      <c r="R1994" s="1" t="s">
        <v>31</v>
      </c>
      <c r="S1994" s="3" t="n">
        <v>3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f aca="false">SUM(S1994:T1994)</f>
        <v>3</v>
      </c>
      <c r="Z1994" s="3" t="n">
        <f aca="false">SUM(U1994:W1994)</f>
        <v>0</v>
      </c>
      <c r="AA1994" s="3" t="n">
        <f aca="false">SUM(S1994:X1994)</f>
        <v>3</v>
      </c>
      <c r="AB1994" s="11" t="n">
        <f aca="false">(AA1994/(K1994*L1994)*25)*4</f>
        <v>12</v>
      </c>
    </row>
    <row r="1995" customFormat="false" ht="14.25" hidden="false" customHeight="false" outlineLevel="0" collapsed="false">
      <c r="A1995" s="1" t="n">
        <v>2014</v>
      </c>
      <c r="B1995" s="7" t="s">
        <v>322</v>
      </c>
      <c r="C1995" s="7" t="n">
        <v>2</v>
      </c>
      <c r="D1995" s="7" t="s">
        <v>294</v>
      </c>
      <c r="E1995" s="7" t="s">
        <v>294</v>
      </c>
      <c r="F1995" s="3" t="s">
        <v>83</v>
      </c>
      <c r="G1995" s="3" t="n">
        <v>1</v>
      </c>
      <c r="H1995" s="3" t="n">
        <v>3</v>
      </c>
      <c r="I1995" s="22" t="n">
        <v>41794</v>
      </c>
      <c r="J1995" s="22" t="n">
        <v>41799</v>
      </c>
      <c r="K1995" s="43" t="n">
        <f aca="false">J1995-I1995</f>
        <v>5</v>
      </c>
      <c r="L1995" s="1" t="n">
        <v>5</v>
      </c>
      <c r="M1995" s="3" t="s">
        <v>48</v>
      </c>
      <c r="N1995" s="3" t="s">
        <v>49</v>
      </c>
      <c r="O1995" s="3" t="s">
        <v>104</v>
      </c>
      <c r="P1995" s="2" t="str">
        <f aca="false">CONCATENATE(N1995," ",O1995)</f>
        <v>Alopecosa taeniata</v>
      </c>
      <c r="Q1995" s="1" t="s">
        <v>30</v>
      </c>
      <c r="R1995" s="1" t="s">
        <v>35</v>
      </c>
      <c r="S1995" s="3" t="n">
        <v>0</v>
      </c>
      <c r="T1995" s="3" t="n">
        <v>1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f aca="false">SUM(S1995:T1995)</f>
        <v>1</v>
      </c>
      <c r="Z1995" s="3" t="n">
        <f aca="false">SUM(U1995:W1995)</f>
        <v>0</v>
      </c>
      <c r="AA1995" s="3" t="n">
        <f aca="false">SUM(S1995:X1995)</f>
        <v>1</v>
      </c>
      <c r="AB1995" s="11" t="n">
        <f aca="false">(AA1995/(K1995*L1995)*25)*4</f>
        <v>4</v>
      </c>
    </row>
    <row r="1996" customFormat="false" ht="14.25" hidden="false" customHeight="false" outlineLevel="0" collapsed="false">
      <c r="A1996" s="1" t="n">
        <v>2014</v>
      </c>
      <c r="B1996" s="7" t="s">
        <v>322</v>
      </c>
      <c r="C1996" s="7" t="n">
        <v>2</v>
      </c>
      <c r="D1996" s="7" t="s">
        <v>294</v>
      </c>
      <c r="E1996" s="7" t="s">
        <v>294</v>
      </c>
      <c r="F1996" s="3" t="s">
        <v>83</v>
      </c>
      <c r="G1996" s="3" t="n">
        <v>1</v>
      </c>
      <c r="H1996" s="3" t="n">
        <v>3</v>
      </c>
      <c r="I1996" s="22" t="n">
        <v>41794</v>
      </c>
      <c r="J1996" s="22" t="n">
        <v>41799</v>
      </c>
      <c r="K1996" s="43" t="n">
        <f aca="false">J1996-I1996</f>
        <v>5</v>
      </c>
      <c r="L1996" s="1" t="n">
        <v>5</v>
      </c>
      <c r="M1996" s="3" t="s">
        <v>144</v>
      </c>
      <c r="N1996" s="3" t="s">
        <v>145</v>
      </c>
      <c r="O1996" s="3" t="s">
        <v>146</v>
      </c>
      <c r="P1996" s="2" t="str">
        <f aca="false">CONCATENATE(N1996," ",O1996)</f>
        <v>Phrurolithus festivus</v>
      </c>
      <c r="Q1996" s="1" t="s">
        <v>30</v>
      </c>
      <c r="R1996" s="1" t="s">
        <v>31</v>
      </c>
      <c r="S1996" s="3" t="n">
        <v>1</v>
      </c>
      <c r="T1996" s="3" t="n">
        <v>0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f aca="false">SUM(S1996:T1996)</f>
        <v>1</v>
      </c>
      <c r="Z1996" s="3" t="n">
        <f aca="false">SUM(U1996:W1996)</f>
        <v>0</v>
      </c>
      <c r="AA1996" s="3" t="n">
        <f aca="false">SUM(S1996:X1996)</f>
        <v>1</v>
      </c>
      <c r="AB1996" s="11" t="n">
        <f aca="false">(AA1996/(K1996*L1996)*25)*4</f>
        <v>4</v>
      </c>
    </row>
    <row r="1997" customFormat="false" ht="14.25" hidden="false" customHeight="false" outlineLevel="0" collapsed="false">
      <c r="A1997" s="1" t="n">
        <v>2014</v>
      </c>
      <c r="B1997" s="7" t="s">
        <v>322</v>
      </c>
      <c r="C1997" s="7" t="n">
        <v>2</v>
      </c>
      <c r="D1997" s="7" t="s">
        <v>294</v>
      </c>
      <c r="E1997" s="7" t="s">
        <v>294</v>
      </c>
      <c r="F1997" s="3" t="s">
        <v>83</v>
      </c>
      <c r="G1997" s="3" t="n">
        <v>1</v>
      </c>
      <c r="H1997" s="3" t="n">
        <v>3</v>
      </c>
      <c r="I1997" s="22" t="n">
        <v>41794</v>
      </c>
      <c r="J1997" s="22" t="n">
        <v>41799</v>
      </c>
      <c r="K1997" s="43" t="n">
        <f aca="false">J1997-I1997</f>
        <v>5</v>
      </c>
      <c r="L1997" s="1" t="n">
        <v>5</v>
      </c>
      <c r="M1997" s="3" t="s">
        <v>32</v>
      </c>
      <c r="N1997" s="3" t="s">
        <v>169</v>
      </c>
      <c r="O1997" s="3" t="s">
        <v>170</v>
      </c>
      <c r="P1997" s="2" t="str">
        <f aca="false">CONCATENATE(N1997," ",O1997)</f>
        <v>Abacoproeces saltuum</v>
      </c>
      <c r="Q1997" s="1" t="s">
        <v>30</v>
      </c>
      <c r="R1997" s="1" t="s">
        <v>31</v>
      </c>
      <c r="S1997" s="3" t="n">
        <v>1</v>
      </c>
      <c r="T1997" s="3" t="n">
        <v>0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f aca="false">SUM(S1997:T1997)</f>
        <v>1</v>
      </c>
      <c r="Z1997" s="3" t="n">
        <f aca="false">SUM(U1997:W1997)</f>
        <v>0</v>
      </c>
      <c r="AA1997" s="3" t="n">
        <f aca="false">SUM(S1997:X1997)</f>
        <v>1</v>
      </c>
      <c r="AB1997" s="11" t="n">
        <f aca="false">(AA1997/(K1997*L1997)*25)*4</f>
        <v>4</v>
      </c>
    </row>
    <row r="1998" customFormat="false" ht="14.25" hidden="false" customHeight="false" outlineLevel="0" collapsed="false">
      <c r="A1998" s="1" t="n">
        <v>2014</v>
      </c>
      <c r="B1998" s="7" t="s">
        <v>322</v>
      </c>
      <c r="C1998" s="7" t="n">
        <v>2</v>
      </c>
      <c r="D1998" s="7" t="s">
        <v>294</v>
      </c>
      <c r="E1998" s="7" t="s">
        <v>294</v>
      </c>
      <c r="F1998" s="3" t="s">
        <v>83</v>
      </c>
      <c r="G1998" s="3" t="n">
        <v>1</v>
      </c>
      <c r="H1998" s="3" t="n">
        <v>3</v>
      </c>
      <c r="I1998" s="22" t="n">
        <v>41794</v>
      </c>
      <c r="J1998" s="22" t="n">
        <v>41799</v>
      </c>
      <c r="K1998" s="43" t="n">
        <f aca="false">J1998-I1998</f>
        <v>5</v>
      </c>
      <c r="L1998" s="1" t="n">
        <v>5</v>
      </c>
      <c r="M1998" s="3" t="s">
        <v>32</v>
      </c>
      <c r="N1998" s="3" t="s">
        <v>169</v>
      </c>
      <c r="O1998" s="3" t="s">
        <v>170</v>
      </c>
      <c r="P1998" s="2" t="str">
        <f aca="false">CONCATENATE(N1998," ",O1998)</f>
        <v>Abacoproeces saltuum</v>
      </c>
      <c r="Q1998" s="1" t="s">
        <v>30</v>
      </c>
      <c r="R1998" s="1" t="s">
        <v>35</v>
      </c>
      <c r="S1998" s="3" t="n">
        <v>0</v>
      </c>
      <c r="T1998" s="3" t="n">
        <v>1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f aca="false">SUM(S1998:T1998)</f>
        <v>1</v>
      </c>
      <c r="Z1998" s="3" t="n">
        <f aca="false">SUM(U1998:W1998)</f>
        <v>0</v>
      </c>
      <c r="AA1998" s="3" t="n">
        <f aca="false">SUM(S1998:X1998)</f>
        <v>1</v>
      </c>
      <c r="AB1998" s="11" t="n">
        <f aca="false">(AA1998/(K1998*L1998)*25)*4</f>
        <v>4</v>
      </c>
    </row>
    <row r="1999" customFormat="false" ht="14.25" hidden="false" customHeight="false" outlineLevel="0" collapsed="false">
      <c r="A1999" s="1" t="n">
        <v>2014</v>
      </c>
      <c r="B1999" s="7" t="s">
        <v>322</v>
      </c>
      <c r="C1999" s="7" t="n">
        <v>2</v>
      </c>
      <c r="D1999" s="7" t="s">
        <v>294</v>
      </c>
      <c r="E1999" s="7" t="s">
        <v>294</v>
      </c>
      <c r="F1999" s="3" t="s">
        <v>83</v>
      </c>
      <c r="G1999" s="3" t="n">
        <v>1</v>
      </c>
      <c r="H1999" s="3" t="n">
        <v>4</v>
      </c>
      <c r="I1999" s="22" t="n">
        <v>41794</v>
      </c>
      <c r="J1999" s="22" t="n">
        <v>41799</v>
      </c>
      <c r="K1999" s="43" t="n">
        <f aca="false">J1999-I1999</f>
        <v>5</v>
      </c>
      <c r="L1999" s="1" t="n">
        <v>5</v>
      </c>
      <c r="M1999" s="3" t="s">
        <v>48</v>
      </c>
      <c r="N1999" s="3" t="s">
        <v>61</v>
      </c>
      <c r="O1999" s="3" t="s">
        <v>82</v>
      </c>
      <c r="P1999" s="2" t="str">
        <f aca="false">CONCATENATE(N1999," ",O1999)</f>
        <v>Trochosa terricola</v>
      </c>
      <c r="Q1999" s="1" t="s">
        <v>30</v>
      </c>
      <c r="R1999" s="1" t="s">
        <v>35</v>
      </c>
      <c r="S1999" s="3" t="n">
        <v>0</v>
      </c>
      <c r="T1999" s="3" t="n">
        <v>1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f aca="false">SUM(S1999:T1999)</f>
        <v>1</v>
      </c>
      <c r="Z1999" s="3" t="n">
        <f aca="false">SUM(U1999:W1999)</f>
        <v>0</v>
      </c>
      <c r="AA1999" s="3" t="n">
        <f aca="false">SUM(S1999:X1999)</f>
        <v>1</v>
      </c>
      <c r="AB1999" s="11" t="n">
        <f aca="false">(AA1999/(K1999*L1999)*25)*4</f>
        <v>4</v>
      </c>
    </row>
    <row r="2000" customFormat="false" ht="14.25" hidden="false" customHeight="false" outlineLevel="0" collapsed="false">
      <c r="A2000" s="1" t="n">
        <v>2014</v>
      </c>
      <c r="B2000" s="7" t="s">
        <v>322</v>
      </c>
      <c r="C2000" s="7" t="n">
        <v>2</v>
      </c>
      <c r="D2000" s="7" t="s">
        <v>294</v>
      </c>
      <c r="E2000" s="7" t="s">
        <v>294</v>
      </c>
      <c r="F2000" s="3" t="s">
        <v>83</v>
      </c>
      <c r="G2000" s="3" t="n">
        <v>1</v>
      </c>
      <c r="H2000" s="3" t="n">
        <v>4</v>
      </c>
      <c r="I2000" s="22" t="n">
        <v>41794</v>
      </c>
      <c r="J2000" s="22" t="n">
        <v>41799</v>
      </c>
      <c r="K2000" s="43" t="n">
        <f aca="false">J2000-I2000</f>
        <v>5</v>
      </c>
      <c r="L2000" s="1" t="n">
        <v>5</v>
      </c>
      <c r="M2000" s="3" t="s">
        <v>48</v>
      </c>
      <c r="N2000" s="3" t="s">
        <v>67</v>
      </c>
      <c r="O2000" s="3" t="s">
        <v>127</v>
      </c>
      <c r="P2000" s="2" t="str">
        <f aca="false">CONCATENATE(N2000," ",O2000)</f>
        <v>Pardosa lugubris</v>
      </c>
      <c r="Q2000" s="1" t="s">
        <v>30</v>
      </c>
      <c r="R2000" s="1" t="s">
        <v>31</v>
      </c>
      <c r="S2000" s="3" t="n">
        <v>2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f aca="false">SUM(S2000:T2000)</f>
        <v>2</v>
      </c>
      <c r="Z2000" s="3" t="n">
        <f aca="false">SUM(U2000:W2000)</f>
        <v>0</v>
      </c>
      <c r="AA2000" s="3" t="n">
        <f aca="false">SUM(S2000:X2000)</f>
        <v>2</v>
      </c>
      <c r="AB2000" s="11" t="n">
        <f aca="false">(AA2000/(K2000*L2000)*25)*4</f>
        <v>8</v>
      </c>
    </row>
    <row r="2001" customFormat="false" ht="14.25" hidden="false" customHeight="false" outlineLevel="0" collapsed="false">
      <c r="A2001" s="1" t="n">
        <v>2014</v>
      </c>
      <c r="B2001" s="7" t="s">
        <v>322</v>
      </c>
      <c r="C2001" s="7" t="n">
        <v>2</v>
      </c>
      <c r="D2001" s="7" t="s">
        <v>294</v>
      </c>
      <c r="E2001" s="7" t="s">
        <v>294</v>
      </c>
      <c r="F2001" s="3" t="s">
        <v>83</v>
      </c>
      <c r="G2001" s="3" t="n">
        <v>1</v>
      </c>
      <c r="H2001" s="3" t="n">
        <v>4</v>
      </c>
      <c r="I2001" s="22" t="n">
        <v>41794</v>
      </c>
      <c r="J2001" s="22" t="n">
        <v>41799</v>
      </c>
      <c r="K2001" s="43" t="n">
        <f aca="false">J2001-I2001</f>
        <v>5</v>
      </c>
      <c r="L2001" s="1" t="n">
        <v>5</v>
      </c>
      <c r="M2001" s="3" t="s">
        <v>48</v>
      </c>
      <c r="N2001" s="3" t="s">
        <v>67</v>
      </c>
      <c r="O2001" s="3" t="s">
        <v>127</v>
      </c>
      <c r="P2001" s="2" t="str">
        <f aca="false">CONCATENATE(N2001," ",O2001)</f>
        <v>Pardosa lugubris</v>
      </c>
      <c r="Q2001" s="1" t="s">
        <v>30</v>
      </c>
      <c r="R2001" s="1" t="s">
        <v>35</v>
      </c>
      <c r="S2001" s="3" t="n">
        <v>0</v>
      </c>
      <c r="T2001" s="3" t="n">
        <v>1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f aca="false">SUM(S2001:T2001)</f>
        <v>1</v>
      </c>
      <c r="Z2001" s="3" t="n">
        <f aca="false">SUM(U2001:W2001)</f>
        <v>0</v>
      </c>
      <c r="AA2001" s="3" t="n">
        <f aca="false">SUM(S2001:X2001)</f>
        <v>1</v>
      </c>
      <c r="AB2001" s="11" t="n">
        <f aca="false">(AA2001/(K2001*L2001)*25)*4</f>
        <v>4</v>
      </c>
    </row>
    <row r="2002" customFormat="false" ht="14.25" hidden="false" customHeight="false" outlineLevel="0" collapsed="false">
      <c r="A2002" s="1" t="n">
        <v>2014</v>
      </c>
      <c r="B2002" s="7" t="s">
        <v>322</v>
      </c>
      <c r="C2002" s="7" t="n">
        <v>2</v>
      </c>
      <c r="D2002" s="7" t="s">
        <v>294</v>
      </c>
      <c r="E2002" s="7" t="s">
        <v>294</v>
      </c>
      <c r="F2002" s="3" t="s">
        <v>83</v>
      </c>
      <c r="G2002" s="3" t="n">
        <v>1</v>
      </c>
      <c r="H2002" s="3" t="n">
        <v>4</v>
      </c>
      <c r="I2002" s="22" t="n">
        <v>41794</v>
      </c>
      <c r="J2002" s="22" t="n">
        <v>41799</v>
      </c>
      <c r="K2002" s="43" t="n">
        <f aca="false">J2002-I2002</f>
        <v>5</v>
      </c>
      <c r="L2002" s="1" t="n">
        <v>5</v>
      </c>
      <c r="M2002" s="3" t="s">
        <v>48</v>
      </c>
      <c r="N2002" s="3" t="s">
        <v>49</v>
      </c>
      <c r="O2002" s="3" t="s">
        <v>104</v>
      </c>
      <c r="P2002" s="2" t="str">
        <f aca="false">CONCATENATE(N2002," ",O2002)</f>
        <v>Alopecosa taeniata</v>
      </c>
      <c r="Q2002" s="1" t="s">
        <v>30</v>
      </c>
      <c r="R2002" s="1" t="s">
        <v>31</v>
      </c>
      <c r="S2002" s="3" t="n">
        <v>2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f aca="false">SUM(S2002:T2002)</f>
        <v>2</v>
      </c>
      <c r="Z2002" s="3" t="n">
        <f aca="false">SUM(U2002:W2002)</f>
        <v>0</v>
      </c>
      <c r="AA2002" s="3" t="n">
        <f aca="false">SUM(S2002:X2002)</f>
        <v>2</v>
      </c>
      <c r="AB2002" s="11" t="n">
        <f aca="false">(AA2002/(K2002*L2002)*25)*4</f>
        <v>8</v>
      </c>
    </row>
    <row r="2003" customFormat="false" ht="14.25" hidden="false" customHeight="false" outlineLevel="0" collapsed="false">
      <c r="A2003" s="1" t="n">
        <v>2014</v>
      </c>
      <c r="B2003" s="7" t="s">
        <v>322</v>
      </c>
      <c r="C2003" s="7" t="n">
        <v>2</v>
      </c>
      <c r="D2003" s="7" t="s">
        <v>294</v>
      </c>
      <c r="E2003" s="7" t="s">
        <v>294</v>
      </c>
      <c r="F2003" s="3" t="s">
        <v>83</v>
      </c>
      <c r="G2003" s="3" t="n">
        <v>1</v>
      </c>
      <c r="H2003" s="3" t="n">
        <v>4</v>
      </c>
      <c r="I2003" s="22" t="n">
        <v>41794</v>
      </c>
      <c r="J2003" s="22" t="n">
        <v>41799</v>
      </c>
      <c r="K2003" s="43" t="n">
        <f aca="false">J2003-I2003</f>
        <v>5</v>
      </c>
      <c r="L2003" s="1" t="n">
        <v>5</v>
      </c>
      <c r="M2003" s="3" t="s">
        <v>48</v>
      </c>
      <c r="N2003" s="3" t="s">
        <v>49</v>
      </c>
      <c r="O2003" s="3" t="s">
        <v>223</v>
      </c>
      <c r="P2003" s="2" t="str">
        <f aca="false">CONCATENATE(N2003," ",O2003)</f>
        <v>Alopecosa pulverulenta</v>
      </c>
      <c r="Q2003" s="1" t="s">
        <v>30</v>
      </c>
      <c r="R2003" s="1" t="s">
        <v>31</v>
      </c>
      <c r="S2003" s="3" t="n">
        <v>1</v>
      </c>
      <c r="T2003" s="3" t="n">
        <v>0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f aca="false">SUM(S2003:T2003)</f>
        <v>1</v>
      </c>
      <c r="Z2003" s="3" t="n">
        <f aca="false">SUM(U2003:W2003)</f>
        <v>0</v>
      </c>
      <c r="AA2003" s="3" t="n">
        <f aca="false">SUM(S2003:X2003)</f>
        <v>1</v>
      </c>
      <c r="AB2003" s="11" t="n">
        <f aca="false">(AA2003/(K2003*L2003)*25)*4</f>
        <v>4</v>
      </c>
    </row>
    <row r="2004" customFormat="false" ht="14.25" hidden="false" customHeight="false" outlineLevel="0" collapsed="false">
      <c r="A2004" s="1" t="n">
        <v>2014</v>
      </c>
      <c r="B2004" s="7" t="s">
        <v>322</v>
      </c>
      <c r="C2004" s="7" t="n">
        <v>2</v>
      </c>
      <c r="D2004" s="7" t="s">
        <v>294</v>
      </c>
      <c r="E2004" s="7" t="s">
        <v>294</v>
      </c>
      <c r="F2004" s="3" t="s">
        <v>83</v>
      </c>
      <c r="G2004" s="3" t="n">
        <v>1</v>
      </c>
      <c r="H2004" s="3" t="n">
        <v>4</v>
      </c>
      <c r="I2004" s="22" t="n">
        <v>41794</v>
      </c>
      <c r="J2004" s="22" t="n">
        <v>41799</v>
      </c>
      <c r="K2004" s="43" t="n">
        <f aca="false">J2004-I2004</f>
        <v>5</v>
      </c>
      <c r="L2004" s="1" t="n">
        <v>5</v>
      </c>
      <c r="M2004" s="3" t="s">
        <v>32</v>
      </c>
      <c r="N2004" s="3" t="s">
        <v>169</v>
      </c>
      <c r="O2004" s="3" t="s">
        <v>170</v>
      </c>
      <c r="P2004" s="2" t="str">
        <f aca="false">CONCATENATE(N2004," ",O2004)</f>
        <v>Abacoproeces saltuum</v>
      </c>
      <c r="Q2004" s="1" t="s">
        <v>30</v>
      </c>
      <c r="R2004" s="1" t="s">
        <v>35</v>
      </c>
      <c r="S2004" s="3" t="n">
        <v>0</v>
      </c>
      <c r="T2004" s="3" t="n">
        <v>1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f aca="false">SUM(S2004:T2004)</f>
        <v>1</v>
      </c>
      <c r="Z2004" s="3" t="n">
        <f aca="false">SUM(U2004:W2004)</f>
        <v>0</v>
      </c>
      <c r="AA2004" s="3" t="n">
        <f aca="false">SUM(S2004:X2004)</f>
        <v>1</v>
      </c>
      <c r="AB2004" s="11" t="n">
        <f aca="false">(AA2004/(K2004*L2004)*25)*4</f>
        <v>4</v>
      </c>
    </row>
    <row r="2005" customFormat="false" ht="14.25" hidden="false" customHeight="false" outlineLevel="0" collapsed="false">
      <c r="A2005" s="1" t="n">
        <v>2014</v>
      </c>
      <c r="B2005" s="7" t="s">
        <v>322</v>
      </c>
      <c r="C2005" s="7" t="n">
        <v>2</v>
      </c>
      <c r="D2005" s="7" t="s">
        <v>294</v>
      </c>
      <c r="E2005" s="7" t="s">
        <v>294</v>
      </c>
      <c r="F2005" s="3" t="s">
        <v>83</v>
      </c>
      <c r="G2005" s="3" t="n">
        <v>2</v>
      </c>
      <c r="H2005" s="3" t="n">
        <v>8</v>
      </c>
      <c r="I2005" s="22" t="n">
        <v>41794</v>
      </c>
      <c r="J2005" s="22" t="n">
        <v>41799</v>
      </c>
      <c r="K2005" s="43" t="n">
        <f aca="false">J2005-I2005</f>
        <v>5</v>
      </c>
      <c r="L2005" s="1" t="n">
        <v>5</v>
      </c>
      <c r="M2005" s="3" t="s">
        <v>48</v>
      </c>
      <c r="N2005" s="3" t="s">
        <v>67</v>
      </c>
      <c r="O2005" s="3" t="s">
        <v>127</v>
      </c>
      <c r="P2005" s="2" t="str">
        <f aca="false">CONCATENATE(N2005," ",O2005)</f>
        <v>Pardosa lugubris</v>
      </c>
      <c r="Q2005" s="1" t="s">
        <v>30</v>
      </c>
      <c r="R2005" s="1" t="s">
        <v>31</v>
      </c>
      <c r="S2005" s="3" t="n">
        <v>10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f aca="false">SUM(S2005:T2005)</f>
        <v>10</v>
      </c>
      <c r="Z2005" s="3" t="n">
        <f aca="false">SUM(U2005:W2005)</f>
        <v>0</v>
      </c>
      <c r="AA2005" s="3" t="n">
        <f aca="false">SUM(S2005:X2005)</f>
        <v>10</v>
      </c>
      <c r="AB2005" s="11" t="n">
        <f aca="false">(AA2005/(K2005*L2005)*25)*4</f>
        <v>40</v>
      </c>
    </row>
    <row r="2006" customFormat="false" ht="14.25" hidden="false" customHeight="false" outlineLevel="0" collapsed="false">
      <c r="A2006" s="1" t="n">
        <v>2014</v>
      </c>
      <c r="B2006" s="7" t="s">
        <v>322</v>
      </c>
      <c r="C2006" s="7" t="n">
        <v>2</v>
      </c>
      <c r="D2006" s="7" t="s">
        <v>294</v>
      </c>
      <c r="E2006" s="7" t="s">
        <v>294</v>
      </c>
      <c r="F2006" s="3" t="s">
        <v>83</v>
      </c>
      <c r="G2006" s="3" t="n">
        <v>2</v>
      </c>
      <c r="H2006" s="3" t="n">
        <v>8</v>
      </c>
      <c r="I2006" s="22" t="n">
        <v>41794</v>
      </c>
      <c r="J2006" s="22" t="n">
        <v>41799</v>
      </c>
      <c r="K2006" s="43" t="n">
        <f aca="false">J2006-I2006</f>
        <v>5</v>
      </c>
      <c r="L2006" s="1" t="n">
        <v>5</v>
      </c>
      <c r="M2006" s="3" t="s">
        <v>36</v>
      </c>
      <c r="N2006" s="3" t="s">
        <v>131</v>
      </c>
      <c r="O2006" s="3" t="s">
        <v>133</v>
      </c>
      <c r="P2006" s="2" t="str">
        <f aca="false">CONCATENATE(N2006," ",O2006)</f>
        <v>Xysticus luctuosus</v>
      </c>
      <c r="Q2006" s="1" t="s">
        <v>30</v>
      </c>
      <c r="R2006" s="1" t="s">
        <v>31</v>
      </c>
      <c r="S2006" s="3" t="n">
        <v>2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f aca="false">SUM(S2006:T2006)</f>
        <v>2</v>
      </c>
      <c r="Z2006" s="3" t="n">
        <f aca="false">SUM(U2006:W2006)</f>
        <v>0</v>
      </c>
      <c r="AA2006" s="3" t="n">
        <f aca="false">SUM(S2006:X2006)</f>
        <v>2</v>
      </c>
      <c r="AB2006" s="11" t="n">
        <f aca="false">(AA2006/(K2006*L2006)*25)*4</f>
        <v>8</v>
      </c>
    </row>
    <row r="2007" customFormat="false" ht="14.25" hidden="false" customHeight="false" outlineLevel="0" collapsed="false">
      <c r="A2007" s="1" t="n">
        <v>2014</v>
      </c>
      <c r="B2007" s="7" t="s">
        <v>322</v>
      </c>
      <c r="C2007" s="7" t="n">
        <v>2</v>
      </c>
      <c r="D2007" s="7" t="s">
        <v>294</v>
      </c>
      <c r="E2007" s="7" t="s">
        <v>294</v>
      </c>
      <c r="F2007" s="3" t="s">
        <v>83</v>
      </c>
      <c r="G2007" s="3" t="n">
        <v>2</v>
      </c>
      <c r="H2007" s="3" t="n">
        <v>8</v>
      </c>
      <c r="I2007" s="22" t="n">
        <v>41794</v>
      </c>
      <c r="J2007" s="22" t="n">
        <v>41799</v>
      </c>
      <c r="K2007" s="43" t="n">
        <f aca="false">J2007-I2007</f>
        <v>5</v>
      </c>
      <c r="L2007" s="1" t="n">
        <v>5</v>
      </c>
      <c r="M2007" s="3" t="s">
        <v>36</v>
      </c>
      <c r="N2007" s="3" t="s">
        <v>37</v>
      </c>
      <c r="O2007" s="3" t="s">
        <v>75</v>
      </c>
      <c r="P2007" s="2" t="str">
        <f aca="false">CONCATENATE(N2007," ",O2007)</f>
        <v>Ozyptila praticola</v>
      </c>
      <c r="Q2007" s="1" t="s">
        <v>30</v>
      </c>
      <c r="R2007" s="1" t="s">
        <v>31</v>
      </c>
      <c r="S2007" s="3" t="n">
        <v>3</v>
      </c>
      <c r="T2007" s="3" t="n">
        <v>0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f aca="false">SUM(S2007:T2007)</f>
        <v>3</v>
      </c>
      <c r="Z2007" s="3" t="n">
        <f aca="false">SUM(U2007:W2007)</f>
        <v>0</v>
      </c>
      <c r="AA2007" s="3" t="n">
        <f aca="false">SUM(S2007:X2007)</f>
        <v>3</v>
      </c>
      <c r="AB2007" s="11" t="n">
        <f aca="false">(AA2007/(K2007*L2007)*25)*4</f>
        <v>12</v>
      </c>
    </row>
    <row r="2008" customFormat="false" ht="14.25" hidden="false" customHeight="false" outlineLevel="0" collapsed="false">
      <c r="A2008" s="1" t="n">
        <v>2014</v>
      </c>
      <c r="B2008" s="7" t="s">
        <v>322</v>
      </c>
      <c r="C2008" s="7" t="n">
        <v>2</v>
      </c>
      <c r="D2008" s="7" t="s">
        <v>294</v>
      </c>
      <c r="E2008" s="7" t="s">
        <v>294</v>
      </c>
      <c r="F2008" s="3" t="s">
        <v>83</v>
      </c>
      <c r="G2008" s="3" t="n">
        <v>2</v>
      </c>
      <c r="H2008" s="3" t="n">
        <v>8</v>
      </c>
      <c r="I2008" s="22" t="n">
        <v>41794</v>
      </c>
      <c r="J2008" s="22" t="n">
        <v>41799</v>
      </c>
      <c r="K2008" s="43" t="n">
        <f aca="false">J2008-I2008</f>
        <v>5</v>
      </c>
      <c r="L2008" s="1" t="n">
        <v>5</v>
      </c>
      <c r="M2008" s="3" t="s">
        <v>36</v>
      </c>
      <c r="N2008" s="3" t="s">
        <v>37</v>
      </c>
      <c r="O2008" s="3" t="s">
        <v>75</v>
      </c>
      <c r="P2008" s="2" t="str">
        <f aca="false">CONCATENATE(N2008," ",O2008)</f>
        <v>Ozyptila praticola</v>
      </c>
      <c r="Q2008" s="1" t="s">
        <v>30</v>
      </c>
      <c r="R2008" s="1" t="s">
        <v>35</v>
      </c>
      <c r="S2008" s="3" t="n">
        <v>0</v>
      </c>
      <c r="T2008" s="3" t="n">
        <v>1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f aca="false">SUM(S2008:T2008)</f>
        <v>1</v>
      </c>
      <c r="Z2008" s="3" t="n">
        <f aca="false">SUM(U2008:W2008)</f>
        <v>0</v>
      </c>
      <c r="AA2008" s="3" t="n">
        <f aca="false">SUM(S2008:X2008)</f>
        <v>1</v>
      </c>
      <c r="AB2008" s="11" t="n">
        <f aca="false">(AA2008/(K2008*L2008)*25)*4</f>
        <v>4</v>
      </c>
    </row>
    <row r="2009" customFormat="false" ht="14.25" hidden="false" customHeight="false" outlineLevel="0" collapsed="false">
      <c r="A2009" s="1" t="n">
        <v>2014</v>
      </c>
      <c r="B2009" s="7" t="s">
        <v>322</v>
      </c>
      <c r="C2009" s="7" t="n">
        <v>2</v>
      </c>
      <c r="D2009" s="7" t="s">
        <v>294</v>
      </c>
      <c r="E2009" s="7" t="s">
        <v>294</v>
      </c>
      <c r="F2009" s="3" t="s">
        <v>83</v>
      </c>
      <c r="G2009" s="3" t="n">
        <v>2</v>
      </c>
      <c r="H2009" s="3" t="n">
        <v>8</v>
      </c>
      <c r="I2009" s="22" t="n">
        <v>41794</v>
      </c>
      <c r="J2009" s="22" t="n">
        <v>41799</v>
      </c>
      <c r="K2009" s="43" t="n">
        <f aca="false">J2009-I2009</f>
        <v>5</v>
      </c>
      <c r="L2009" s="1" t="n">
        <v>5</v>
      </c>
      <c r="M2009" s="3" t="s">
        <v>226</v>
      </c>
      <c r="N2009" s="3" t="s">
        <v>65</v>
      </c>
      <c r="O2009" s="3" t="s">
        <v>335</v>
      </c>
      <c r="P2009" s="2" t="str">
        <f aca="false">CONCATENATE(N2009," ",O2009)</f>
        <v>Zora spinimana</v>
      </c>
      <c r="Q2009" s="1" t="s">
        <v>30</v>
      </c>
      <c r="R2009" s="1" t="s">
        <v>31</v>
      </c>
      <c r="S2009" s="3" t="n">
        <v>1</v>
      </c>
      <c r="T2009" s="3" t="n">
        <v>0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f aca="false">SUM(S2009:T2009)</f>
        <v>1</v>
      </c>
      <c r="Z2009" s="3" t="n">
        <f aca="false">SUM(U2009:W2009)</f>
        <v>0</v>
      </c>
      <c r="AA2009" s="3" t="n">
        <f aca="false">SUM(S2009:X2009)</f>
        <v>1</v>
      </c>
      <c r="AB2009" s="11" t="n">
        <f aca="false">(AA2009/(K2009*L2009)*25)*4</f>
        <v>4</v>
      </c>
    </row>
    <row r="2010" customFormat="false" ht="14.25" hidden="false" customHeight="false" outlineLevel="0" collapsed="false">
      <c r="A2010" s="1" t="n">
        <v>2014</v>
      </c>
      <c r="B2010" s="7" t="s">
        <v>322</v>
      </c>
      <c r="C2010" s="7" t="n">
        <v>2</v>
      </c>
      <c r="D2010" s="7" t="s">
        <v>294</v>
      </c>
      <c r="E2010" s="7" t="s">
        <v>294</v>
      </c>
      <c r="F2010" s="3" t="s">
        <v>83</v>
      </c>
      <c r="G2010" s="3" t="n">
        <v>2</v>
      </c>
      <c r="H2010" s="3" t="n">
        <v>8</v>
      </c>
      <c r="I2010" s="22" t="n">
        <v>41794</v>
      </c>
      <c r="J2010" s="22" t="n">
        <v>41799</v>
      </c>
      <c r="K2010" s="43" t="n">
        <f aca="false">J2010-I2010</f>
        <v>5</v>
      </c>
      <c r="L2010" s="1" t="n">
        <v>5</v>
      </c>
      <c r="M2010" s="3" t="s">
        <v>32</v>
      </c>
      <c r="N2010" s="3" t="s">
        <v>169</v>
      </c>
      <c r="O2010" s="3" t="s">
        <v>170</v>
      </c>
      <c r="P2010" s="2" t="str">
        <f aca="false">CONCATENATE(N2010," ",O2010)</f>
        <v>Abacoproeces saltuum</v>
      </c>
      <c r="Q2010" s="1" t="s">
        <v>30</v>
      </c>
      <c r="R2010" s="1" t="s">
        <v>31</v>
      </c>
      <c r="S2010" s="3" t="n">
        <v>1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f aca="false">SUM(S2010:T2010)</f>
        <v>1</v>
      </c>
      <c r="Z2010" s="3" t="n">
        <f aca="false">SUM(U2010:W2010)</f>
        <v>0</v>
      </c>
      <c r="AA2010" s="3" t="n">
        <f aca="false">SUM(S2010:X2010)</f>
        <v>1</v>
      </c>
      <c r="AB2010" s="11" t="n">
        <f aca="false">(AA2010/(K2010*L2010)*25)*4</f>
        <v>4</v>
      </c>
    </row>
    <row r="2011" customFormat="false" ht="14.25" hidden="false" customHeight="false" outlineLevel="0" collapsed="false">
      <c r="A2011" s="1" t="n">
        <v>2014</v>
      </c>
      <c r="B2011" s="7" t="s">
        <v>322</v>
      </c>
      <c r="C2011" s="7" t="n">
        <v>2</v>
      </c>
      <c r="D2011" s="7" t="s">
        <v>294</v>
      </c>
      <c r="E2011" s="7" t="s">
        <v>294</v>
      </c>
      <c r="F2011" s="3" t="s">
        <v>83</v>
      </c>
      <c r="G2011" s="3" t="n">
        <v>2</v>
      </c>
      <c r="H2011" s="3" t="n">
        <v>8</v>
      </c>
      <c r="I2011" s="22" t="n">
        <v>41794</v>
      </c>
      <c r="J2011" s="22" t="n">
        <v>41799</v>
      </c>
      <c r="K2011" s="43" t="n">
        <f aca="false">J2011-I2011</f>
        <v>5</v>
      </c>
      <c r="L2011" s="1" t="n">
        <v>5</v>
      </c>
      <c r="M2011" s="3" t="s">
        <v>32</v>
      </c>
      <c r="N2011" s="3" t="s">
        <v>169</v>
      </c>
      <c r="O2011" s="3" t="s">
        <v>170</v>
      </c>
      <c r="P2011" s="2" t="str">
        <f aca="false">CONCATENATE(N2011," ",O2011)</f>
        <v>Abacoproeces saltuum</v>
      </c>
      <c r="Q2011" s="1" t="s">
        <v>30</v>
      </c>
      <c r="R2011" s="1" t="s">
        <v>35</v>
      </c>
      <c r="S2011" s="3" t="n">
        <v>0</v>
      </c>
      <c r="T2011" s="3" t="n">
        <v>1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f aca="false">SUM(S2011:T2011)</f>
        <v>1</v>
      </c>
      <c r="Z2011" s="3" t="n">
        <f aca="false">SUM(U2011:W2011)</f>
        <v>0</v>
      </c>
      <c r="AA2011" s="3" t="n">
        <f aca="false">SUM(S2011:X2011)</f>
        <v>1</v>
      </c>
      <c r="AB2011" s="11" t="n">
        <f aca="false">(AA2011/(K2011*L2011)*25)*4</f>
        <v>4</v>
      </c>
    </row>
    <row r="2012" customFormat="false" ht="14.25" hidden="false" customHeight="false" outlineLevel="0" collapsed="false">
      <c r="A2012" s="1" t="n">
        <v>2014</v>
      </c>
      <c r="B2012" s="7" t="s">
        <v>322</v>
      </c>
      <c r="C2012" s="7" t="n">
        <v>2</v>
      </c>
      <c r="D2012" s="7" t="s">
        <v>294</v>
      </c>
      <c r="E2012" s="7" t="s">
        <v>294</v>
      </c>
      <c r="F2012" s="3" t="s">
        <v>83</v>
      </c>
      <c r="G2012" s="3" t="n">
        <v>1</v>
      </c>
      <c r="H2012" s="3" t="n">
        <v>1</v>
      </c>
      <c r="I2012" s="22" t="n">
        <v>41794</v>
      </c>
      <c r="J2012" s="22" t="n">
        <v>41799</v>
      </c>
      <c r="K2012" s="43" t="n">
        <f aca="false">J2012-I2012</f>
        <v>5</v>
      </c>
      <c r="L2012" s="1" t="n">
        <v>5</v>
      </c>
      <c r="M2012" s="3" t="s">
        <v>48</v>
      </c>
      <c r="N2012" s="3" t="s">
        <v>67</v>
      </c>
      <c r="O2012" s="3" t="s">
        <v>127</v>
      </c>
      <c r="P2012" s="2" t="str">
        <f aca="false">CONCATENATE(N2012," ",O2012)</f>
        <v>Pardosa lugubris</v>
      </c>
      <c r="Q2012" s="1" t="s">
        <v>30</v>
      </c>
      <c r="R2012" s="1" t="s">
        <v>31</v>
      </c>
      <c r="S2012" s="3" t="n">
        <v>10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f aca="false">SUM(S2012:T2012)</f>
        <v>10</v>
      </c>
      <c r="Z2012" s="3" t="n">
        <f aca="false">SUM(U2012:W2012)</f>
        <v>0</v>
      </c>
      <c r="AA2012" s="3" t="n">
        <f aca="false">SUM(S2012:X2012)</f>
        <v>10</v>
      </c>
      <c r="AB2012" s="11" t="n">
        <f aca="false">(AA2012/(K2012*L2012)*25)*4</f>
        <v>40</v>
      </c>
    </row>
    <row r="2013" customFormat="false" ht="14.25" hidden="false" customHeight="false" outlineLevel="0" collapsed="false">
      <c r="A2013" s="1" t="n">
        <v>2014</v>
      </c>
      <c r="B2013" s="7" t="s">
        <v>322</v>
      </c>
      <c r="C2013" s="7" t="n">
        <v>2</v>
      </c>
      <c r="D2013" s="7" t="s">
        <v>294</v>
      </c>
      <c r="E2013" s="7" t="s">
        <v>294</v>
      </c>
      <c r="F2013" s="3" t="s">
        <v>83</v>
      </c>
      <c r="G2013" s="3" t="n">
        <v>1</v>
      </c>
      <c r="H2013" s="3" t="n">
        <v>1</v>
      </c>
      <c r="I2013" s="22" t="n">
        <v>41794</v>
      </c>
      <c r="J2013" s="22" t="n">
        <v>41799</v>
      </c>
      <c r="K2013" s="43" t="n">
        <f aca="false">J2013-I2013</f>
        <v>5</v>
      </c>
      <c r="L2013" s="1" t="n">
        <v>5</v>
      </c>
      <c r="M2013" s="3" t="s">
        <v>48</v>
      </c>
      <c r="N2013" s="3" t="s">
        <v>49</v>
      </c>
      <c r="O2013" s="3" t="s">
        <v>104</v>
      </c>
      <c r="P2013" s="2" t="str">
        <f aca="false">CONCATENATE(N2013," ",O2013)</f>
        <v>Alopecosa taeniata</v>
      </c>
      <c r="Q2013" s="1" t="s">
        <v>30</v>
      </c>
      <c r="R2013" s="1" t="s">
        <v>31</v>
      </c>
      <c r="S2013" s="3" t="n">
        <v>2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f aca="false">SUM(S2013:T2013)</f>
        <v>2</v>
      </c>
      <c r="Z2013" s="3" t="n">
        <f aca="false">SUM(U2013:W2013)</f>
        <v>0</v>
      </c>
      <c r="AA2013" s="3" t="n">
        <f aca="false">SUM(S2013:X2013)</f>
        <v>2</v>
      </c>
      <c r="AB2013" s="11" t="n">
        <f aca="false">(AA2013/(K2013*L2013)*25)*4</f>
        <v>8</v>
      </c>
    </row>
    <row r="2014" customFormat="false" ht="14.25" hidden="false" customHeight="false" outlineLevel="0" collapsed="false">
      <c r="A2014" s="1" t="n">
        <v>2014</v>
      </c>
      <c r="B2014" s="7" t="s">
        <v>322</v>
      </c>
      <c r="C2014" s="7" t="n">
        <v>2</v>
      </c>
      <c r="D2014" s="7" t="s">
        <v>294</v>
      </c>
      <c r="E2014" s="7" t="s">
        <v>294</v>
      </c>
      <c r="F2014" s="3" t="s">
        <v>83</v>
      </c>
      <c r="G2014" s="3" t="n">
        <v>1</v>
      </c>
      <c r="H2014" s="3" t="n">
        <v>1</v>
      </c>
      <c r="I2014" s="22" t="n">
        <v>41794</v>
      </c>
      <c r="J2014" s="22" t="n">
        <v>41799</v>
      </c>
      <c r="K2014" s="43" t="n">
        <f aca="false">J2014-I2014</f>
        <v>5</v>
      </c>
      <c r="L2014" s="1" t="n">
        <v>5</v>
      </c>
      <c r="M2014" s="3" t="s">
        <v>48</v>
      </c>
      <c r="N2014" s="3" t="s">
        <v>49</v>
      </c>
      <c r="O2014" s="3" t="s">
        <v>104</v>
      </c>
      <c r="P2014" s="2" t="str">
        <f aca="false">CONCATENATE(N2014," ",O2014)</f>
        <v>Alopecosa taeniata</v>
      </c>
      <c r="Q2014" s="1" t="s">
        <v>30</v>
      </c>
      <c r="R2014" s="1" t="s">
        <v>35</v>
      </c>
      <c r="S2014" s="3" t="n">
        <v>0</v>
      </c>
      <c r="T2014" s="3" t="n">
        <v>1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f aca="false">SUM(S2014:T2014)</f>
        <v>1</v>
      </c>
      <c r="Z2014" s="3" t="n">
        <f aca="false">SUM(U2014:W2014)</f>
        <v>0</v>
      </c>
      <c r="AA2014" s="3" t="n">
        <f aca="false">SUM(S2014:X2014)</f>
        <v>1</v>
      </c>
      <c r="AB2014" s="11" t="n">
        <f aca="false">(AA2014/(K2014*L2014)*25)*4</f>
        <v>4</v>
      </c>
    </row>
    <row r="2015" customFormat="false" ht="14.25" hidden="false" customHeight="false" outlineLevel="0" collapsed="false">
      <c r="A2015" s="1" t="n">
        <v>2014</v>
      </c>
      <c r="B2015" s="7" t="s">
        <v>322</v>
      </c>
      <c r="C2015" s="7" t="n">
        <v>2</v>
      </c>
      <c r="D2015" s="7" t="s">
        <v>294</v>
      </c>
      <c r="E2015" s="7" t="s">
        <v>294</v>
      </c>
      <c r="F2015" s="3" t="s">
        <v>83</v>
      </c>
      <c r="G2015" s="3" t="n">
        <v>1</v>
      </c>
      <c r="H2015" s="3" t="n">
        <v>1</v>
      </c>
      <c r="I2015" s="22" t="n">
        <v>41794</v>
      </c>
      <c r="J2015" s="22" t="n">
        <v>41799</v>
      </c>
      <c r="K2015" s="43" t="n">
        <f aca="false">J2015-I2015</f>
        <v>5</v>
      </c>
      <c r="L2015" s="1" t="n">
        <v>5</v>
      </c>
      <c r="M2015" s="3" t="s">
        <v>92</v>
      </c>
      <c r="N2015" s="3" t="s">
        <v>171</v>
      </c>
      <c r="O2015" s="3" t="s">
        <v>172</v>
      </c>
      <c r="P2015" s="2" t="str">
        <f aca="false">CONCATENATE(N2015," ",O2015)</f>
        <v>Euophrys frontalis</v>
      </c>
      <c r="Q2015" s="1" t="s">
        <v>30</v>
      </c>
      <c r="R2015" s="1" t="s">
        <v>35</v>
      </c>
      <c r="S2015" s="3" t="n">
        <v>0</v>
      </c>
      <c r="T2015" s="3" t="n">
        <v>1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f aca="false">SUM(S2015:T2015)</f>
        <v>1</v>
      </c>
      <c r="Z2015" s="3" t="n">
        <f aca="false">SUM(U2015:W2015)</f>
        <v>0</v>
      </c>
      <c r="AA2015" s="3" t="n">
        <f aca="false">SUM(S2015:X2015)</f>
        <v>1</v>
      </c>
      <c r="AB2015" s="11" t="n">
        <f aca="false">(AA2015/(K2015*L2015)*25)*4</f>
        <v>4</v>
      </c>
    </row>
    <row r="2016" customFormat="false" ht="14.25" hidden="false" customHeight="false" outlineLevel="0" collapsed="false">
      <c r="A2016" s="1" t="n">
        <v>2014</v>
      </c>
      <c r="B2016" s="7" t="s">
        <v>322</v>
      </c>
      <c r="C2016" s="7" t="n">
        <v>2</v>
      </c>
      <c r="D2016" s="7" t="s">
        <v>294</v>
      </c>
      <c r="E2016" s="7" t="s">
        <v>294</v>
      </c>
      <c r="F2016" s="3" t="s">
        <v>83</v>
      </c>
      <c r="G2016" s="3" t="n">
        <v>1</v>
      </c>
      <c r="H2016" s="3" t="n">
        <v>1</v>
      </c>
      <c r="I2016" s="22" t="n">
        <v>41794</v>
      </c>
      <c r="J2016" s="22" t="n">
        <v>41799</v>
      </c>
      <c r="K2016" s="43" t="n">
        <f aca="false">J2016-I2016</f>
        <v>5</v>
      </c>
      <c r="L2016" s="1" t="n">
        <v>5</v>
      </c>
      <c r="M2016" s="3" t="s">
        <v>72</v>
      </c>
      <c r="N2016" s="3" t="s">
        <v>86</v>
      </c>
      <c r="O2016" s="3" t="s">
        <v>87</v>
      </c>
      <c r="P2016" s="2" t="str">
        <f aca="false">CONCATENATE(N2016," ",O2016)</f>
        <v>Haplodrassus soerenseni</v>
      </c>
      <c r="Q2016" s="1" t="s">
        <v>30</v>
      </c>
      <c r="R2016" s="1" t="s">
        <v>31</v>
      </c>
      <c r="S2016" s="3" t="n">
        <v>1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f aca="false">SUM(S2016:T2016)</f>
        <v>1</v>
      </c>
      <c r="Z2016" s="3" t="n">
        <f aca="false">SUM(U2016:W2016)</f>
        <v>0</v>
      </c>
      <c r="AA2016" s="3" t="n">
        <f aca="false">SUM(S2016:X2016)</f>
        <v>1</v>
      </c>
      <c r="AB2016" s="11" t="n">
        <f aca="false">(AA2016/(K2016*L2016)*25)*4</f>
        <v>4</v>
      </c>
    </row>
    <row r="2017" customFormat="false" ht="14.25" hidden="false" customHeight="false" outlineLevel="0" collapsed="false">
      <c r="A2017" s="1" t="n">
        <v>2014</v>
      </c>
      <c r="B2017" s="7" t="s">
        <v>322</v>
      </c>
      <c r="C2017" s="7" t="n">
        <v>2</v>
      </c>
      <c r="D2017" s="7" t="s">
        <v>294</v>
      </c>
      <c r="E2017" s="7" t="s">
        <v>294</v>
      </c>
      <c r="F2017" s="3" t="s">
        <v>83</v>
      </c>
      <c r="G2017" s="3" t="n">
        <v>1</v>
      </c>
      <c r="H2017" s="3" t="n">
        <v>1</v>
      </c>
      <c r="I2017" s="22" t="n">
        <v>41794</v>
      </c>
      <c r="J2017" s="22" t="n">
        <v>41799</v>
      </c>
      <c r="K2017" s="43" t="n">
        <f aca="false">J2017-I2017</f>
        <v>5</v>
      </c>
      <c r="L2017" s="1" t="n">
        <v>5</v>
      </c>
      <c r="M2017" s="3" t="s">
        <v>72</v>
      </c>
      <c r="N2017" s="3" t="s">
        <v>73</v>
      </c>
      <c r="O2017" s="3" t="s">
        <v>74</v>
      </c>
      <c r="P2017" s="2" t="str">
        <f aca="false">CONCATENATE(N2017," ",O2017)</f>
        <v>Zelotes subterraneus</v>
      </c>
      <c r="Q2017" s="1" t="s">
        <v>30</v>
      </c>
      <c r="R2017" s="1" t="s">
        <v>35</v>
      </c>
      <c r="S2017" s="3" t="n">
        <v>0</v>
      </c>
      <c r="T2017" s="3" t="n">
        <v>1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f aca="false">SUM(S2017:T2017)</f>
        <v>1</v>
      </c>
      <c r="Z2017" s="3" t="n">
        <f aca="false">SUM(U2017:W2017)</f>
        <v>0</v>
      </c>
      <c r="AA2017" s="3" t="n">
        <f aca="false">SUM(S2017:X2017)</f>
        <v>1</v>
      </c>
      <c r="AB2017" s="11" t="n">
        <f aca="false">(AA2017/(K2017*L2017)*25)*4</f>
        <v>4</v>
      </c>
    </row>
    <row r="2018" customFormat="false" ht="14.25" hidden="false" customHeight="false" outlineLevel="0" collapsed="false">
      <c r="A2018" s="1" t="n">
        <v>2014</v>
      </c>
      <c r="B2018" s="7" t="s">
        <v>322</v>
      </c>
      <c r="C2018" s="7" t="n">
        <v>2</v>
      </c>
      <c r="D2018" s="7" t="s">
        <v>294</v>
      </c>
      <c r="E2018" s="7" t="s">
        <v>294</v>
      </c>
      <c r="F2018" s="3" t="s">
        <v>83</v>
      </c>
      <c r="G2018" s="3" t="n">
        <v>1</v>
      </c>
      <c r="H2018" s="3" t="n">
        <v>1</v>
      </c>
      <c r="I2018" s="22" t="n">
        <v>41794</v>
      </c>
      <c r="J2018" s="22" t="n">
        <v>41799</v>
      </c>
      <c r="K2018" s="43" t="n">
        <f aca="false">J2018-I2018</f>
        <v>5</v>
      </c>
      <c r="L2018" s="1" t="n">
        <v>5</v>
      </c>
      <c r="M2018" s="3" t="s">
        <v>36</v>
      </c>
      <c r="N2018" s="3" t="s">
        <v>131</v>
      </c>
      <c r="O2018" s="3" t="s">
        <v>133</v>
      </c>
      <c r="P2018" s="2" t="str">
        <f aca="false">CONCATENATE(N2018," ",O2018)</f>
        <v>Xysticus luctuosus</v>
      </c>
      <c r="Q2018" s="1" t="s">
        <v>30</v>
      </c>
      <c r="R2018" s="1" t="s">
        <v>31</v>
      </c>
      <c r="S2018" s="3" t="n">
        <v>2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f aca="false">SUM(S2018:T2018)</f>
        <v>2</v>
      </c>
      <c r="Z2018" s="3" t="n">
        <f aca="false">SUM(U2018:W2018)</f>
        <v>0</v>
      </c>
      <c r="AA2018" s="3" t="n">
        <f aca="false">SUM(S2018:X2018)</f>
        <v>2</v>
      </c>
      <c r="AB2018" s="11" t="n">
        <f aca="false">(AA2018/(K2018*L2018)*25)*4</f>
        <v>8</v>
      </c>
    </row>
    <row r="2019" customFormat="false" ht="14.25" hidden="false" customHeight="false" outlineLevel="0" collapsed="false">
      <c r="A2019" s="1" t="n">
        <v>2014</v>
      </c>
      <c r="B2019" s="7" t="s">
        <v>322</v>
      </c>
      <c r="C2019" s="7" t="n">
        <v>2</v>
      </c>
      <c r="D2019" s="7" t="s">
        <v>294</v>
      </c>
      <c r="E2019" s="7" t="s">
        <v>294</v>
      </c>
      <c r="F2019" s="3" t="s">
        <v>83</v>
      </c>
      <c r="G2019" s="3" t="n">
        <v>1</v>
      </c>
      <c r="H2019" s="3" t="n">
        <v>1</v>
      </c>
      <c r="I2019" s="22" t="n">
        <v>41794</v>
      </c>
      <c r="J2019" s="22" t="n">
        <v>41799</v>
      </c>
      <c r="K2019" s="43" t="n">
        <f aca="false">J2019-I2019</f>
        <v>5</v>
      </c>
      <c r="L2019" s="1" t="n">
        <v>5</v>
      </c>
      <c r="M2019" s="3" t="s">
        <v>144</v>
      </c>
      <c r="N2019" s="3" t="s">
        <v>145</v>
      </c>
      <c r="O2019" s="3" t="s">
        <v>146</v>
      </c>
      <c r="P2019" s="2" t="str">
        <f aca="false">CONCATENATE(N2019," ",O2019)</f>
        <v>Phrurolithus festivus</v>
      </c>
      <c r="Q2019" s="1" t="s">
        <v>30</v>
      </c>
      <c r="R2019" s="1" t="s">
        <v>35</v>
      </c>
      <c r="S2019" s="3" t="n">
        <v>0</v>
      </c>
      <c r="T2019" s="3" t="n">
        <v>1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f aca="false">SUM(S2019:T2019)</f>
        <v>1</v>
      </c>
      <c r="Z2019" s="3" t="n">
        <f aca="false">SUM(U2019:W2019)</f>
        <v>0</v>
      </c>
      <c r="AA2019" s="3" t="n">
        <f aca="false">SUM(S2019:X2019)</f>
        <v>1</v>
      </c>
      <c r="AB2019" s="11" t="n">
        <f aca="false">(AA2019/(K2019*L2019)*25)*4</f>
        <v>4</v>
      </c>
    </row>
    <row r="2020" customFormat="false" ht="14.25" hidden="false" customHeight="false" outlineLevel="0" collapsed="false">
      <c r="A2020" s="1" t="n">
        <v>2014</v>
      </c>
      <c r="B2020" s="7" t="s">
        <v>322</v>
      </c>
      <c r="C2020" s="7" t="n">
        <v>2</v>
      </c>
      <c r="D2020" s="7" t="s">
        <v>294</v>
      </c>
      <c r="E2020" s="7" t="s">
        <v>294</v>
      </c>
      <c r="F2020" s="3" t="s">
        <v>83</v>
      </c>
      <c r="G2020" s="3" t="n">
        <v>1</v>
      </c>
      <c r="H2020" s="3" t="n">
        <v>1</v>
      </c>
      <c r="I2020" s="22" t="n">
        <v>41794</v>
      </c>
      <c r="J2020" s="22" t="n">
        <v>41799</v>
      </c>
      <c r="K2020" s="43" t="n">
        <f aca="false">J2020-I2020</f>
        <v>5</v>
      </c>
      <c r="L2020" s="1" t="n">
        <v>5</v>
      </c>
      <c r="M2020" s="3" t="s">
        <v>226</v>
      </c>
      <c r="N2020" s="3" t="s">
        <v>65</v>
      </c>
      <c r="O2020" s="3" t="s">
        <v>123</v>
      </c>
      <c r="P2020" s="2" t="str">
        <f aca="false">CONCATENATE(N2020," ",O2020)</f>
        <v>Zora nemoralis</v>
      </c>
      <c r="Q2020" s="1" t="s">
        <v>30</v>
      </c>
      <c r="R2020" s="1" t="s">
        <v>31</v>
      </c>
      <c r="S2020" s="3" t="n">
        <v>1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f aca="false">SUM(S2020:T2020)</f>
        <v>1</v>
      </c>
      <c r="Z2020" s="3" t="n">
        <f aca="false">SUM(U2020:W2020)</f>
        <v>0</v>
      </c>
      <c r="AA2020" s="3" t="n">
        <f aca="false">SUM(S2020:X2020)</f>
        <v>1</v>
      </c>
      <c r="AB2020" s="11" t="n">
        <f aca="false">(AA2020/(K2020*L2020)*25)*4</f>
        <v>4</v>
      </c>
    </row>
    <row r="2021" customFormat="false" ht="14.25" hidden="false" customHeight="false" outlineLevel="0" collapsed="false">
      <c r="A2021" s="1" t="n">
        <v>2014</v>
      </c>
      <c r="B2021" s="7" t="s">
        <v>322</v>
      </c>
      <c r="C2021" s="7" t="n">
        <v>2</v>
      </c>
      <c r="D2021" s="7" t="s">
        <v>294</v>
      </c>
      <c r="E2021" s="7" t="s">
        <v>294</v>
      </c>
      <c r="F2021" s="3" t="s">
        <v>83</v>
      </c>
      <c r="G2021" s="3" t="n">
        <v>1</v>
      </c>
      <c r="H2021" s="3" t="n">
        <v>1</v>
      </c>
      <c r="I2021" s="22" t="n">
        <v>41794</v>
      </c>
      <c r="J2021" s="22" t="n">
        <v>41799</v>
      </c>
      <c r="K2021" s="43" t="n">
        <f aca="false">J2021-I2021</f>
        <v>5</v>
      </c>
      <c r="L2021" s="1" t="n">
        <v>5</v>
      </c>
      <c r="M2021" s="3" t="s">
        <v>32</v>
      </c>
      <c r="N2021" s="3" t="s">
        <v>102</v>
      </c>
      <c r="O2021" s="3" t="s">
        <v>192</v>
      </c>
      <c r="P2021" s="2" t="str">
        <f aca="false">CONCATENATE(N2021," ",O2021)</f>
        <v>Agyneta allosubtilis</v>
      </c>
      <c r="Q2021" s="1" t="s">
        <v>30</v>
      </c>
      <c r="R2021" s="1" t="s">
        <v>31</v>
      </c>
      <c r="S2021" s="3" t="n">
        <v>1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f aca="false">SUM(S2021:T2021)</f>
        <v>1</v>
      </c>
      <c r="Z2021" s="3" t="n">
        <f aca="false">SUM(U2021:W2021)</f>
        <v>0</v>
      </c>
      <c r="AA2021" s="3" t="n">
        <f aca="false">SUM(S2021:X2021)</f>
        <v>1</v>
      </c>
      <c r="AB2021" s="11" t="n">
        <f aca="false">(AA2021/(K2021*L2021)*25)*4</f>
        <v>4</v>
      </c>
    </row>
    <row r="2022" customFormat="false" ht="14.25" hidden="false" customHeight="false" outlineLevel="0" collapsed="false">
      <c r="A2022" s="1" t="n">
        <v>2014</v>
      </c>
      <c r="B2022" s="7" t="s">
        <v>322</v>
      </c>
      <c r="C2022" s="7" t="n">
        <v>2</v>
      </c>
      <c r="D2022" s="7" t="s">
        <v>294</v>
      </c>
      <c r="E2022" s="7" t="s">
        <v>294</v>
      </c>
      <c r="F2022" s="3" t="s">
        <v>83</v>
      </c>
      <c r="G2022" s="3" t="n">
        <v>1</v>
      </c>
      <c r="H2022" s="3" t="n">
        <v>1</v>
      </c>
      <c r="I2022" s="22" t="n">
        <v>41794</v>
      </c>
      <c r="J2022" s="22" t="n">
        <v>41799</v>
      </c>
      <c r="K2022" s="43" t="n">
        <f aca="false">J2022-I2022</f>
        <v>5</v>
      </c>
      <c r="L2022" s="1" t="n">
        <v>5</v>
      </c>
      <c r="M2022" s="3" t="s">
        <v>32</v>
      </c>
      <c r="N2022" s="3" t="s">
        <v>169</v>
      </c>
      <c r="O2022" s="3" t="s">
        <v>170</v>
      </c>
      <c r="P2022" s="2" t="str">
        <f aca="false">CONCATENATE(N2022," ",O2022)</f>
        <v>Abacoproeces saltuum</v>
      </c>
      <c r="Q2022" s="1" t="s">
        <v>30</v>
      </c>
      <c r="R2022" s="1" t="s">
        <v>31</v>
      </c>
      <c r="S2022" s="3" t="n">
        <v>1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f aca="false">SUM(S2022:T2022)</f>
        <v>1</v>
      </c>
      <c r="Z2022" s="3" t="n">
        <f aca="false">SUM(U2022:W2022)</f>
        <v>0</v>
      </c>
      <c r="AA2022" s="3" t="n">
        <f aca="false">SUM(S2022:X2022)</f>
        <v>1</v>
      </c>
      <c r="AB2022" s="11" t="n">
        <f aca="false">(AA2022/(K2022*L2022)*25)*4</f>
        <v>4</v>
      </c>
    </row>
    <row r="2023" customFormat="false" ht="14.25" hidden="false" customHeight="false" outlineLevel="0" collapsed="false">
      <c r="A2023" s="1" t="n">
        <v>2014</v>
      </c>
      <c r="B2023" s="7" t="s">
        <v>322</v>
      </c>
      <c r="C2023" s="7" t="n">
        <v>2</v>
      </c>
      <c r="D2023" s="7" t="s">
        <v>294</v>
      </c>
      <c r="E2023" s="7" t="s">
        <v>294</v>
      </c>
      <c r="F2023" s="3" t="s">
        <v>83</v>
      </c>
      <c r="G2023" s="3" t="n">
        <v>1</v>
      </c>
      <c r="H2023" s="3" t="n">
        <v>2</v>
      </c>
      <c r="I2023" s="22" t="n">
        <v>41794</v>
      </c>
      <c r="J2023" s="22" t="n">
        <v>41799</v>
      </c>
      <c r="K2023" s="43" t="n">
        <f aca="false">J2023-I2023</f>
        <v>5</v>
      </c>
      <c r="L2023" s="1" t="n">
        <v>5</v>
      </c>
      <c r="M2023" s="3" t="s">
        <v>48</v>
      </c>
      <c r="N2023" s="3" t="s">
        <v>67</v>
      </c>
      <c r="O2023" s="3" t="s">
        <v>127</v>
      </c>
      <c r="P2023" s="2" t="str">
        <f aca="false">CONCATENATE(N2023," ",O2023)</f>
        <v>Pardosa lugubris</v>
      </c>
      <c r="Q2023" s="1" t="s">
        <v>30</v>
      </c>
      <c r="R2023" s="1" t="s">
        <v>31</v>
      </c>
      <c r="S2023" s="3" t="n">
        <v>5</v>
      </c>
      <c r="T2023" s="3" t="n">
        <v>0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f aca="false">SUM(S2023:T2023)</f>
        <v>5</v>
      </c>
      <c r="Z2023" s="3" t="n">
        <f aca="false">SUM(U2023:W2023)</f>
        <v>0</v>
      </c>
      <c r="AA2023" s="3" t="n">
        <f aca="false">SUM(S2023:X2023)</f>
        <v>5</v>
      </c>
      <c r="AB2023" s="11" t="n">
        <f aca="false">(AA2023/(K2023*L2023)*25)*4</f>
        <v>20</v>
      </c>
    </row>
    <row r="2024" customFormat="false" ht="14.25" hidden="false" customHeight="false" outlineLevel="0" collapsed="false">
      <c r="A2024" s="1" t="n">
        <v>2014</v>
      </c>
      <c r="B2024" s="7" t="s">
        <v>322</v>
      </c>
      <c r="C2024" s="7" t="n">
        <v>2</v>
      </c>
      <c r="D2024" s="7" t="s">
        <v>294</v>
      </c>
      <c r="E2024" s="7" t="s">
        <v>294</v>
      </c>
      <c r="F2024" s="3" t="s">
        <v>83</v>
      </c>
      <c r="G2024" s="3" t="n">
        <v>1</v>
      </c>
      <c r="H2024" s="3" t="n">
        <v>2</v>
      </c>
      <c r="I2024" s="22" t="n">
        <v>41794</v>
      </c>
      <c r="J2024" s="22" t="n">
        <v>41799</v>
      </c>
      <c r="K2024" s="43" t="n">
        <f aca="false">J2024-I2024</f>
        <v>5</v>
      </c>
      <c r="L2024" s="1" t="n">
        <v>5</v>
      </c>
      <c r="M2024" s="3" t="s">
        <v>48</v>
      </c>
      <c r="N2024" s="3" t="s">
        <v>67</v>
      </c>
      <c r="O2024" s="3" t="s">
        <v>127</v>
      </c>
      <c r="P2024" s="2" t="str">
        <f aca="false">CONCATENATE(N2024," ",O2024)</f>
        <v>Pardosa lugubris</v>
      </c>
      <c r="Q2024" s="1" t="s">
        <v>30</v>
      </c>
      <c r="R2024" s="1" t="s">
        <v>35</v>
      </c>
      <c r="S2024" s="3" t="n">
        <v>0</v>
      </c>
      <c r="T2024" s="3" t="n">
        <v>1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f aca="false">SUM(S2024:T2024)</f>
        <v>1</v>
      </c>
      <c r="Z2024" s="3" t="n">
        <f aca="false">SUM(U2024:W2024)</f>
        <v>0</v>
      </c>
      <c r="AA2024" s="3" t="n">
        <f aca="false">SUM(S2024:X2024)</f>
        <v>1</v>
      </c>
      <c r="AB2024" s="11" t="n">
        <f aca="false">(AA2024/(K2024*L2024)*25)*4</f>
        <v>4</v>
      </c>
    </row>
    <row r="2025" customFormat="false" ht="14.25" hidden="false" customHeight="false" outlineLevel="0" collapsed="false">
      <c r="A2025" s="1" t="n">
        <v>2014</v>
      </c>
      <c r="B2025" s="7" t="s">
        <v>322</v>
      </c>
      <c r="C2025" s="7" t="n">
        <v>2</v>
      </c>
      <c r="D2025" s="7" t="s">
        <v>294</v>
      </c>
      <c r="E2025" s="7" t="s">
        <v>294</v>
      </c>
      <c r="F2025" s="3" t="s">
        <v>83</v>
      </c>
      <c r="G2025" s="3" t="n">
        <v>1</v>
      </c>
      <c r="H2025" s="3" t="n">
        <v>2</v>
      </c>
      <c r="I2025" s="22" t="n">
        <v>41794</v>
      </c>
      <c r="J2025" s="22" t="n">
        <v>41799</v>
      </c>
      <c r="K2025" s="43" t="n">
        <f aca="false">J2025-I2025</f>
        <v>5</v>
      </c>
      <c r="L2025" s="1" t="n">
        <v>5</v>
      </c>
      <c r="M2025" s="3" t="s">
        <v>48</v>
      </c>
      <c r="N2025" s="3" t="s">
        <v>49</v>
      </c>
      <c r="O2025" s="3" t="s">
        <v>104</v>
      </c>
      <c r="P2025" s="2" t="str">
        <f aca="false">CONCATENATE(N2025," ",O2025)</f>
        <v>Alopecosa taeniata</v>
      </c>
      <c r="Q2025" s="1" t="s">
        <v>30</v>
      </c>
      <c r="R2025" s="1" t="s">
        <v>31</v>
      </c>
      <c r="S2025" s="3" t="n">
        <v>1</v>
      </c>
      <c r="T2025" s="3" t="n">
        <v>0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f aca="false">SUM(S2025:T2025)</f>
        <v>1</v>
      </c>
      <c r="Z2025" s="3" t="n">
        <f aca="false">SUM(U2025:W2025)</f>
        <v>0</v>
      </c>
      <c r="AA2025" s="3" t="n">
        <f aca="false">SUM(S2025:X2025)</f>
        <v>1</v>
      </c>
      <c r="AB2025" s="11" t="n">
        <f aca="false">(AA2025/(K2025*L2025)*25)*4</f>
        <v>4</v>
      </c>
    </row>
    <row r="2026" customFormat="false" ht="14.25" hidden="false" customHeight="false" outlineLevel="0" collapsed="false">
      <c r="A2026" s="1" t="n">
        <v>2014</v>
      </c>
      <c r="B2026" s="7" t="s">
        <v>322</v>
      </c>
      <c r="C2026" s="7" t="n">
        <v>2</v>
      </c>
      <c r="D2026" s="7" t="s">
        <v>294</v>
      </c>
      <c r="E2026" s="7" t="s">
        <v>294</v>
      </c>
      <c r="F2026" s="3" t="s">
        <v>83</v>
      </c>
      <c r="G2026" s="3" t="n">
        <v>1</v>
      </c>
      <c r="H2026" s="3" t="n">
        <v>2</v>
      </c>
      <c r="I2026" s="22" t="n">
        <v>41794</v>
      </c>
      <c r="J2026" s="22" t="n">
        <v>41799</v>
      </c>
      <c r="K2026" s="43" t="n">
        <f aca="false">J2026-I2026</f>
        <v>5</v>
      </c>
      <c r="L2026" s="1" t="n">
        <v>5</v>
      </c>
      <c r="M2026" s="3" t="s">
        <v>48</v>
      </c>
      <c r="N2026" s="3" t="s">
        <v>49</v>
      </c>
      <c r="O2026" s="3" t="s">
        <v>104</v>
      </c>
      <c r="P2026" s="2" t="str">
        <f aca="false">CONCATENATE(N2026," ",O2026)</f>
        <v>Alopecosa taeniata</v>
      </c>
      <c r="Q2026" s="1" t="s">
        <v>30</v>
      </c>
      <c r="R2026" s="1" t="s">
        <v>35</v>
      </c>
      <c r="S2026" s="3" t="n">
        <v>0</v>
      </c>
      <c r="T2026" s="3" t="n">
        <v>1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f aca="false">SUM(S2026:T2026)</f>
        <v>1</v>
      </c>
      <c r="Z2026" s="3" t="n">
        <f aca="false">SUM(U2026:W2026)</f>
        <v>0</v>
      </c>
      <c r="AA2026" s="3" t="n">
        <f aca="false">SUM(S2026:X2026)</f>
        <v>1</v>
      </c>
      <c r="AB2026" s="11" t="n">
        <f aca="false">(AA2026/(K2026*L2026)*25)*4</f>
        <v>4</v>
      </c>
    </row>
    <row r="2027" customFormat="false" ht="14.25" hidden="false" customHeight="false" outlineLevel="0" collapsed="false">
      <c r="A2027" s="1" t="n">
        <v>2014</v>
      </c>
      <c r="B2027" s="7" t="s">
        <v>322</v>
      </c>
      <c r="C2027" s="7" t="n">
        <v>2</v>
      </c>
      <c r="D2027" s="7" t="s">
        <v>294</v>
      </c>
      <c r="E2027" s="7" t="s">
        <v>294</v>
      </c>
      <c r="F2027" s="3" t="s">
        <v>83</v>
      </c>
      <c r="G2027" s="3" t="n">
        <v>1</v>
      </c>
      <c r="H2027" s="3" t="n">
        <v>2</v>
      </c>
      <c r="I2027" s="22" t="n">
        <v>41794</v>
      </c>
      <c r="J2027" s="22" t="n">
        <v>41799</v>
      </c>
      <c r="K2027" s="43" t="n">
        <f aca="false">J2027-I2027</f>
        <v>5</v>
      </c>
      <c r="L2027" s="1" t="n">
        <v>5</v>
      </c>
      <c r="M2027" s="3" t="s">
        <v>72</v>
      </c>
      <c r="N2027" s="3" t="s">
        <v>73</v>
      </c>
      <c r="O2027" s="3" t="s">
        <v>74</v>
      </c>
      <c r="P2027" s="2" t="str">
        <f aca="false">CONCATENATE(N2027," ",O2027)</f>
        <v>Zelotes subterraneus</v>
      </c>
      <c r="Q2027" s="1" t="s">
        <v>30</v>
      </c>
      <c r="R2027" s="1" t="s">
        <v>31</v>
      </c>
      <c r="S2027" s="3" t="n">
        <v>1</v>
      </c>
      <c r="T2027" s="3" t="n">
        <v>0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f aca="false">SUM(S2027:T2027)</f>
        <v>1</v>
      </c>
      <c r="Z2027" s="3" t="n">
        <f aca="false">SUM(U2027:W2027)</f>
        <v>0</v>
      </c>
      <c r="AA2027" s="3" t="n">
        <f aca="false">SUM(S2027:X2027)</f>
        <v>1</v>
      </c>
      <c r="AB2027" s="11" t="n">
        <f aca="false">(AA2027/(K2027*L2027)*25)*4</f>
        <v>4</v>
      </c>
    </row>
    <row r="2028" customFormat="false" ht="14.25" hidden="false" customHeight="false" outlineLevel="0" collapsed="false">
      <c r="A2028" s="1" t="n">
        <v>2014</v>
      </c>
      <c r="B2028" s="7" t="s">
        <v>322</v>
      </c>
      <c r="C2028" s="7" t="n">
        <v>2</v>
      </c>
      <c r="D2028" s="7" t="s">
        <v>294</v>
      </c>
      <c r="E2028" s="7" t="s">
        <v>294</v>
      </c>
      <c r="F2028" s="3" t="s">
        <v>83</v>
      </c>
      <c r="G2028" s="3" t="n">
        <v>1</v>
      </c>
      <c r="H2028" s="3" t="n">
        <v>2</v>
      </c>
      <c r="I2028" s="22" t="n">
        <v>41794</v>
      </c>
      <c r="J2028" s="22" t="n">
        <v>41799</v>
      </c>
      <c r="K2028" s="43" t="n">
        <f aca="false">J2028-I2028</f>
        <v>5</v>
      </c>
      <c r="L2028" s="1" t="n">
        <v>5</v>
      </c>
      <c r="M2028" s="3" t="s">
        <v>27</v>
      </c>
      <c r="N2028" s="3" t="s">
        <v>46</v>
      </c>
      <c r="O2028" s="3" t="s">
        <v>47</v>
      </c>
      <c r="P2028" s="2" t="str">
        <f aca="false">CONCATENATE(N2028," ",O2028)</f>
        <v>Euryopis flavomaculata</v>
      </c>
      <c r="Q2028" s="1" t="s">
        <v>30</v>
      </c>
      <c r="R2028" s="1" t="s">
        <v>31</v>
      </c>
      <c r="S2028" s="3" t="n">
        <v>1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f aca="false">SUM(S2028:T2028)</f>
        <v>1</v>
      </c>
      <c r="Z2028" s="3" t="n">
        <f aca="false">SUM(U2028:W2028)</f>
        <v>0</v>
      </c>
      <c r="AA2028" s="3" t="n">
        <f aca="false">SUM(S2028:X2028)</f>
        <v>1</v>
      </c>
      <c r="AB2028" s="11" t="n">
        <f aca="false">(AA2028/(K2028*L2028)*25)*4</f>
        <v>4</v>
      </c>
    </row>
    <row r="2029" customFormat="false" ht="14.25" hidden="false" customHeight="false" outlineLevel="0" collapsed="false">
      <c r="A2029" s="1" t="n">
        <v>2014</v>
      </c>
      <c r="B2029" s="7" t="s">
        <v>322</v>
      </c>
      <c r="C2029" s="7" t="n">
        <v>2</v>
      </c>
      <c r="D2029" s="7" t="s">
        <v>294</v>
      </c>
      <c r="E2029" s="7" t="s">
        <v>294</v>
      </c>
      <c r="F2029" s="3" t="s">
        <v>83</v>
      </c>
      <c r="G2029" s="3" t="n">
        <v>1</v>
      </c>
      <c r="H2029" s="3" t="n">
        <v>2</v>
      </c>
      <c r="I2029" s="22" t="n">
        <v>41794</v>
      </c>
      <c r="J2029" s="22" t="n">
        <v>41799</v>
      </c>
      <c r="K2029" s="43" t="n">
        <f aca="false">J2029-I2029</f>
        <v>5</v>
      </c>
      <c r="L2029" s="1" t="n">
        <v>5</v>
      </c>
      <c r="M2029" s="3" t="s">
        <v>32</v>
      </c>
      <c r="N2029" s="3" t="s">
        <v>55</v>
      </c>
      <c r="O2029" s="3" t="s">
        <v>194</v>
      </c>
      <c r="P2029" s="2" t="str">
        <f aca="false">CONCATENATE(N2029," ",O2029)</f>
        <v>Maro pansibiricus</v>
      </c>
      <c r="Q2029" s="1" t="s">
        <v>30</v>
      </c>
      <c r="R2029" s="1" t="s">
        <v>31</v>
      </c>
      <c r="S2029" s="3" t="n">
        <v>1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f aca="false">SUM(S2029:T2029)</f>
        <v>1</v>
      </c>
      <c r="Z2029" s="3" t="n">
        <f aca="false">SUM(U2029:W2029)</f>
        <v>0</v>
      </c>
      <c r="AA2029" s="3" t="n">
        <f aca="false">SUM(S2029:X2029)</f>
        <v>1</v>
      </c>
      <c r="AB2029" s="11" t="n">
        <f aca="false">(AA2029/(K2029*L2029)*25)*4</f>
        <v>4</v>
      </c>
    </row>
    <row r="2030" customFormat="false" ht="14.25" hidden="false" customHeight="false" outlineLevel="0" collapsed="false">
      <c r="A2030" s="1" t="n">
        <v>2014</v>
      </c>
      <c r="B2030" s="7" t="s">
        <v>322</v>
      </c>
      <c r="C2030" s="7" t="n">
        <v>2</v>
      </c>
      <c r="D2030" s="7" t="s">
        <v>294</v>
      </c>
      <c r="E2030" s="7" t="s">
        <v>294</v>
      </c>
      <c r="F2030" s="3" t="s">
        <v>83</v>
      </c>
      <c r="G2030" s="3" t="n">
        <v>1</v>
      </c>
      <c r="H2030" s="3" t="n">
        <v>2</v>
      </c>
      <c r="I2030" s="22" t="n">
        <v>41794</v>
      </c>
      <c r="J2030" s="22" t="n">
        <v>41799</v>
      </c>
      <c r="K2030" s="43" t="n">
        <f aca="false">J2030-I2030</f>
        <v>5</v>
      </c>
      <c r="L2030" s="1" t="n">
        <v>5</v>
      </c>
      <c r="M2030" s="3" t="s">
        <v>32</v>
      </c>
      <c r="N2030" s="3" t="s">
        <v>96</v>
      </c>
      <c r="O2030" s="3" t="s">
        <v>97</v>
      </c>
      <c r="P2030" s="2" t="str">
        <f aca="false">CONCATENATE(N2030," ",O2030)</f>
        <v>Diplocephalus picinus</v>
      </c>
      <c r="Q2030" s="1" t="s">
        <v>30</v>
      </c>
      <c r="R2030" s="1" t="s">
        <v>31</v>
      </c>
      <c r="S2030" s="3" t="n">
        <v>3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f aca="false">SUM(S2030:T2030)</f>
        <v>3</v>
      </c>
      <c r="Z2030" s="3" t="n">
        <f aca="false">SUM(U2030:W2030)</f>
        <v>0</v>
      </c>
      <c r="AA2030" s="3" t="n">
        <f aca="false">SUM(S2030:X2030)</f>
        <v>3</v>
      </c>
      <c r="AB2030" s="11" t="n">
        <f aca="false">(AA2030/(K2030*L2030)*25)*4</f>
        <v>12</v>
      </c>
    </row>
    <row r="2031" customFormat="false" ht="14.25" hidden="false" customHeight="false" outlineLevel="0" collapsed="false">
      <c r="A2031" s="1" t="n">
        <v>2014</v>
      </c>
      <c r="B2031" s="7" t="s">
        <v>322</v>
      </c>
      <c r="C2031" s="7" t="n">
        <v>2</v>
      </c>
      <c r="D2031" s="7" t="s">
        <v>294</v>
      </c>
      <c r="E2031" s="7" t="s">
        <v>294</v>
      </c>
      <c r="F2031" s="3" t="s">
        <v>83</v>
      </c>
      <c r="G2031" s="3" t="n">
        <v>3</v>
      </c>
      <c r="H2031" s="3" t="n">
        <v>14</v>
      </c>
      <c r="I2031" s="22" t="n">
        <v>41794</v>
      </c>
      <c r="J2031" s="22" t="n">
        <v>41799</v>
      </c>
      <c r="K2031" s="43" t="n">
        <f aca="false">J2031-I2031</f>
        <v>5</v>
      </c>
      <c r="L2031" s="1" t="n">
        <v>5</v>
      </c>
      <c r="M2031" s="3" t="s">
        <v>48</v>
      </c>
      <c r="N2031" s="3" t="s">
        <v>49</v>
      </c>
      <c r="O2031" s="3" t="s">
        <v>223</v>
      </c>
      <c r="P2031" s="2" t="str">
        <f aca="false">CONCATENATE(N2031," ",O2031)</f>
        <v>Alopecosa pulverulenta</v>
      </c>
      <c r="Q2031" s="1" t="s">
        <v>30</v>
      </c>
      <c r="R2031" s="1" t="s">
        <v>31</v>
      </c>
      <c r="S2031" s="3" t="n">
        <v>1</v>
      </c>
      <c r="T2031" s="3" t="n">
        <v>0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f aca="false">SUM(S2031:T2031)</f>
        <v>1</v>
      </c>
      <c r="Z2031" s="3" t="n">
        <f aca="false">SUM(U2031:W2031)</f>
        <v>0</v>
      </c>
      <c r="AA2031" s="3" t="n">
        <f aca="false">SUM(S2031:X2031)</f>
        <v>1</v>
      </c>
      <c r="AB2031" s="11" t="n">
        <f aca="false">(AA2031/(K2031*L2031)*25)*4</f>
        <v>4</v>
      </c>
    </row>
    <row r="2032" customFormat="false" ht="14.25" hidden="false" customHeight="false" outlineLevel="0" collapsed="false">
      <c r="A2032" s="1" t="n">
        <v>2014</v>
      </c>
      <c r="B2032" s="7" t="s">
        <v>322</v>
      </c>
      <c r="C2032" s="7" t="n">
        <v>2</v>
      </c>
      <c r="D2032" s="7" t="s">
        <v>294</v>
      </c>
      <c r="E2032" s="7" t="s">
        <v>294</v>
      </c>
      <c r="F2032" s="3" t="s">
        <v>83</v>
      </c>
      <c r="G2032" s="3" t="n">
        <v>3</v>
      </c>
      <c r="H2032" s="3" t="n">
        <v>14</v>
      </c>
      <c r="I2032" s="22" t="n">
        <v>41794</v>
      </c>
      <c r="J2032" s="22" t="n">
        <v>41799</v>
      </c>
      <c r="K2032" s="43" t="n">
        <f aca="false">J2032-I2032</f>
        <v>5</v>
      </c>
      <c r="L2032" s="1" t="n">
        <v>5</v>
      </c>
      <c r="M2032" s="3" t="s">
        <v>48</v>
      </c>
      <c r="N2032" s="3" t="s">
        <v>49</v>
      </c>
      <c r="O2032" s="3" t="s">
        <v>104</v>
      </c>
      <c r="P2032" s="2" t="str">
        <f aca="false">CONCATENATE(N2032," ",O2032)</f>
        <v>Alopecosa taeniata</v>
      </c>
      <c r="Q2032" s="1" t="s">
        <v>30</v>
      </c>
      <c r="R2032" s="1" t="s">
        <v>35</v>
      </c>
      <c r="S2032" s="3" t="n">
        <v>0</v>
      </c>
      <c r="T2032" s="3" t="n">
        <v>1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f aca="false">SUM(S2032:T2032)</f>
        <v>1</v>
      </c>
      <c r="Z2032" s="3" t="n">
        <f aca="false">SUM(U2032:W2032)</f>
        <v>0</v>
      </c>
      <c r="AA2032" s="3" t="n">
        <f aca="false">SUM(S2032:X2032)</f>
        <v>1</v>
      </c>
      <c r="AB2032" s="11" t="n">
        <f aca="false">(AA2032/(K2032*L2032)*25)*4</f>
        <v>4</v>
      </c>
    </row>
    <row r="2033" customFormat="false" ht="14.25" hidden="false" customHeight="false" outlineLevel="0" collapsed="false">
      <c r="A2033" s="1" t="n">
        <v>2014</v>
      </c>
      <c r="B2033" s="7" t="s">
        <v>322</v>
      </c>
      <c r="C2033" s="7" t="n">
        <v>2</v>
      </c>
      <c r="D2033" s="7" t="s">
        <v>294</v>
      </c>
      <c r="E2033" s="7" t="s">
        <v>294</v>
      </c>
      <c r="F2033" s="3" t="s">
        <v>83</v>
      </c>
      <c r="G2033" s="3" t="n">
        <v>3</v>
      </c>
      <c r="H2033" s="3" t="n">
        <v>14</v>
      </c>
      <c r="I2033" s="22" t="n">
        <v>41794</v>
      </c>
      <c r="J2033" s="22" t="n">
        <v>41799</v>
      </c>
      <c r="K2033" s="43" t="n">
        <f aca="false">J2033-I2033</f>
        <v>5</v>
      </c>
      <c r="L2033" s="1" t="n">
        <v>5</v>
      </c>
      <c r="M2033" s="3" t="s">
        <v>48</v>
      </c>
      <c r="N2033" s="3" t="s">
        <v>67</v>
      </c>
      <c r="O2033" s="3" t="s">
        <v>127</v>
      </c>
      <c r="P2033" s="2" t="str">
        <f aca="false">CONCATENATE(N2033," ",O2033)</f>
        <v>Pardosa lugubris</v>
      </c>
      <c r="Q2033" s="1" t="s">
        <v>30</v>
      </c>
      <c r="R2033" s="1" t="s">
        <v>31</v>
      </c>
      <c r="S2033" s="3" t="n">
        <v>3</v>
      </c>
      <c r="T2033" s="3" t="n">
        <v>0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f aca="false">SUM(S2033:T2033)</f>
        <v>3</v>
      </c>
      <c r="Z2033" s="3" t="n">
        <f aca="false">SUM(U2033:W2033)</f>
        <v>0</v>
      </c>
      <c r="AA2033" s="3" t="n">
        <f aca="false">SUM(S2033:X2033)</f>
        <v>3</v>
      </c>
      <c r="AB2033" s="11" t="n">
        <f aca="false">(AA2033/(K2033*L2033)*25)*4</f>
        <v>12</v>
      </c>
    </row>
    <row r="2034" customFormat="false" ht="14.25" hidden="false" customHeight="false" outlineLevel="0" collapsed="false">
      <c r="A2034" s="1" t="n">
        <v>2014</v>
      </c>
      <c r="B2034" s="7" t="s">
        <v>322</v>
      </c>
      <c r="C2034" s="7" t="n">
        <v>2</v>
      </c>
      <c r="D2034" s="7" t="s">
        <v>294</v>
      </c>
      <c r="E2034" s="7" t="s">
        <v>294</v>
      </c>
      <c r="F2034" s="3" t="s">
        <v>83</v>
      </c>
      <c r="G2034" s="3" t="n">
        <v>3</v>
      </c>
      <c r="H2034" s="3" t="n">
        <v>14</v>
      </c>
      <c r="I2034" s="22" t="n">
        <v>41794</v>
      </c>
      <c r="J2034" s="22" t="n">
        <v>41799</v>
      </c>
      <c r="K2034" s="43" t="n">
        <f aca="false">J2034-I2034</f>
        <v>5</v>
      </c>
      <c r="L2034" s="1" t="n">
        <v>5</v>
      </c>
      <c r="M2034" s="3" t="s">
        <v>36</v>
      </c>
      <c r="N2034" s="3" t="s">
        <v>131</v>
      </c>
      <c r="O2034" s="3" t="s">
        <v>133</v>
      </c>
      <c r="P2034" s="2" t="str">
        <f aca="false">CONCATENATE(N2034," ",O2034)</f>
        <v>Xysticus luctuosus</v>
      </c>
      <c r="Q2034" s="1" t="s">
        <v>30</v>
      </c>
      <c r="R2034" s="1" t="s">
        <v>31</v>
      </c>
      <c r="S2034" s="3" t="n">
        <v>1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f aca="false">SUM(S2034:T2034)</f>
        <v>1</v>
      </c>
      <c r="Z2034" s="3" t="n">
        <f aca="false">SUM(U2034:W2034)</f>
        <v>0</v>
      </c>
      <c r="AA2034" s="3" t="n">
        <f aca="false">SUM(S2034:X2034)</f>
        <v>1</v>
      </c>
      <c r="AB2034" s="11" t="n">
        <f aca="false">(AA2034/(K2034*L2034)*25)*4</f>
        <v>4</v>
      </c>
    </row>
    <row r="2035" customFormat="false" ht="14.25" hidden="false" customHeight="false" outlineLevel="0" collapsed="false">
      <c r="A2035" s="1" t="n">
        <v>2014</v>
      </c>
      <c r="B2035" s="7" t="s">
        <v>322</v>
      </c>
      <c r="C2035" s="7" t="n">
        <v>2</v>
      </c>
      <c r="D2035" s="7" t="s">
        <v>294</v>
      </c>
      <c r="E2035" s="7" t="s">
        <v>294</v>
      </c>
      <c r="F2035" s="3" t="s">
        <v>83</v>
      </c>
      <c r="G2035" s="3" t="n">
        <v>3</v>
      </c>
      <c r="H2035" s="3" t="n">
        <v>14</v>
      </c>
      <c r="I2035" s="22" t="n">
        <v>41794</v>
      </c>
      <c r="J2035" s="22" t="n">
        <v>41799</v>
      </c>
      <c r="K2035" s="43" t="n">
        <f aca="false">J2035-I2035</f>
        <v>5</v>
      </c>
      <c r="L2035" s="1" t="n">
        <v>5</v>
      </c>
      <c r="M2035" s="3" t="s">
        <v>32</v>
      </c>
      <c r="N2035" s="3" t="s">
        <v>169</v>
      </c>
      <c r="O2035" s="3" t="s">
        <v>170</v>
      </c>
      <c r="P2035" s="2" t="str">
        <f aca="false">CONCATENATE(N2035," ",O2035)</f>
        <v>Abacoproeces saltuum</v>
      </c>
      <c r="Q2035" s="1" t="s">
        <v>30</v>
      </c>
      <c r="R2035" s="1" t="s">
        <v>31</v>
      </c>
      <c r="S2035" s="3" t="n">
        <v>2</v>
      </c>
      <c r="T2035" s="3" t="n">
        <v>0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f aca="false">SUM(S2035:T2035)</f>
        <v>2</v>
      </c>
      <c r="Z2035" s="3" t="n">
        <f aca="false">SUM(U2035:W2035)</f>
        <v>0</v>
      </c>
      <c r="AA2035" s="3" t="n">
        <f aca="false">SUM(S2035:X2035)</f>
        <v>2</v>
      </c>
      <c r="AB2035" s="11" t="n">
        <f aca="false">(AA2035/(K2035*L2035)*25)*4</f>
        <v>8</v>
      </c>
    </row>
    <row r="2036" customFormat="false" ht="14.25" hidden="false" customHeight="false" outlineLevel="0" collapsed="false">
      <c r="A2036" s="1" t="n">
        <v>2014</v>
      </c>
      <c r="B2036" s="7" t="s">
        <v>322</v>
      </c>
      <c r="C2036" s="7" t="n">
        <v>2</v>
      </c>
      <c r="D2036" s="7" t="s">
        <v>294</v>
      </c>
      <c r="E2036" s="7" t="s">
        <v>294</v>
      </c>
      <c r="F2036" s="3" t="s">
        <v>83</v>
      </c>
      <c r="G2036" s="3" t="n">
        <v>3</v>
      </c>
      <c r="H2036" s="3" t="n">
        <v>13</v>
      </c>
      <c r="I2036" s="22" t="n">
        <v>41794</v>
      </c>
      <c r="J2036" s="22" t="n">
        <v>41799</v>
      </c>
      <c r="K2036" s="43" t="n">
        <f aca="false">J2036-I2036</f>
        <v>5</v>
      </c>
      <c r="L2036" s="1" t="n">
        <v>5</v>
      </c>
      <c r="M2036" s="3" t="s">
        <v>48</v>
      </c>
      <c r="N2036" s="3" t="s">
        <v>67</v>
      </c>
      <c r="O2036" s="3" t="s">
        <v>127</v>
      </c>
      <c r="P2036" s="2" t="str">
        <f aca="false">CONCATENATE(N2036," ",O2036)</f>
        <v>Pardosa lugubris</v>
      </c>
      <c r="Q2036" s="1" t="s">
        <v>30</v>
      </c>
      <c r="R2036" s="1" t="s">
        <v>31</v>
      </c>
      <c r="S2036" s="3" t="n">
        <v>4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f aca="false">SUM(S2036:T2036)</f>
        <v>4</v>
      </c>
      <c r="Z2036" s="3" t="n">
        <f aca="false">SUM(U2036:W2036)</f>
        <v>0</v>
      </c>
      <c r="AA2036" s="3" t="n">
        <f aca="false">SUM(S2036:X2036)</f>
        <v>4</v>
      </c>
      <c r="AB2036" s="11" t="n">
        <f aca="false">(AA2036/(K2036*L2036)*25)*4</f>
        <v>16</v>
      </c>
    </row>
    <row r="2037" customFormat="false" ht="14.25" hidden="false" customHeight="false" outlineLevel="0" collapsed="false">
      <c r="A2037" s="1" t="n">
        <v>2014</v>
      </c>
      <c r="B2037" s="7" t="s">
        <v>322</v>
      </c>
      <c r="C2037" s="7" t="n">
        <v>2</v>
      </c>
      <c r="D2037" s="7" t="s">
        <v>294</v>
      </c>
      <c r="E2037" s="7" t="s">
        <v>294</v>
      </c>
      <c r="F2037" s="3" t="s">
        <v>83</v>
      </c>
      <c r="G2037" s="3" t="n">
        <v>3</v>
      </c>
      <c r="H2037" s="3" t="n">
        <v>13</v>
      </c>
      <c r="I2037" s="22" t="n">
        <v>41794</v>
      </c>
      <c r="J2037" s="22" t="n">
        <v>41799</v>
      </c>
      <c r="K2037" s="43" t="n">
        <f aca="false">J2037-I2037</f>
        <v>5</v>
      </c>
      <c r="L2037" s="1" t="n">
        <v>5</v>
      </c>
      <c r="M2037" s="3" t="s">
        <v>48</v>
      </c>
      <c r="N2037" s="3" t="s">
        <v>122</v>
      </c>
      <c r="O2037" s="3" t="s">
        <v>123</v>
      </c>
      <c r="P2037" s="2" t="str">
        <f aca="false">CONCATENATE(N2037," ",O2037)</f>
        <v>Xerolycosa nemoralis</v>
      </c>
      <c r="Q2037" s="1" t="s">
        <v>30</v>
      </c>
      <c r="R2037" s="1" t="s">
        <v>31</v>
      </c>
      <c r="S2037" s="3" t="n">
        <v>1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f aca="false">SUM(S2037:T2037)</f>
        <v>1</v>
      </c>
      <c r="Z2037" s="3" t="n">
        <f aca="false">SUM(U2037:W2037)</f>
        <v>0</v>
      </c>
      <c r="AA2037" s="3" t="n">
        <f aca="false">SUM(S2037:X2037)</f>
        <v>1</v>
      </c>
      <c r="AB2037" s="11" t="n">
        <f aca="false">(AA2037/(K2037*L2037)*25)*4</f>
        <v>4</v>
      </c>
    </row>
    <row r="2038" customFormat="false" ht="14.25" hidden="false" customHeight="false" outlineLevel="0" collapsed="false">
      <c r="A2038" s="1" t="n">
        <v>2014</v>
      </c>
      <c r="B2038" s="7" t="s">
        <v>322</v>
      </c>
      <c r="C2038" s="7" t="n">
        <v>2</v>
      </c>
      <c r="D2038" s="7" t="s">
        <v>294</v>
      </c>
      <c r="E2038" s="7" t="s">
        <v>294</v>
      </c>
      <c r="F2038" s="3" t="s">
        <v>83</v>
      </c>
      <c r="G2038" s="3" t="n">
        <v>3</v>
      </c>
      <c r="H2038" s="3" t="n">
        <v>13</v>
      </c>
      <c r="I2038" s="22" t="n">
        <v>41794</v>
      </c>
      <c r="J2038" s="22" t="n">
        <v>41799</v>
      </c>
      <c r="K2038" s="43" t="n">
        <f aca="false">J2038-I2038</f>
        <v>5</v>
      </c>
      <c r="L2038" s="1" t="n">
        <v>5</v>
      </c>
      <c r="M2038" s="3" t="s">
        <v>48</v>
      </c>
      <c r="N2038" s="3" t="s">
        <v>49</v>
      </c>
      <c r="O2038" s="3" t="s">
        <v>104</v>
      </c>
      <c r="P2038" s="2" t="str">
        <f aca="false">CONCATENATE(N2038," ",O2038)</f>
        <v>Alopecosa taeniata</v>
      </c>
      <c r="Q2038" s="1" t="s">
        <v>30</v>
      </c>
      <c r="R2038" s="1" t="s">
        <v>31</v>
      </c>
      <c r="S2038" s="3" t="n">
        <v>5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f aca="false">SUM(S2038:T2038)</f>
        <v>5</v>
      </c>
      <c r="Z2038" s="3" t="n">
        <f aca="false">SUM(U2038:W2038)</f>
        <v>0</v>
      </c>
      <c r="AA2038" s="3" t="n">
        <f aca="false">SUM(S2038:X2038)</f>
        <v>5</v>
      </c>
      <c r="AB2038" s="11" t="n">
        <f aca="false">(AA2038/(K2038*L2038)*25)*4</f>
        <v>20</v>
      </c>
    </row>
    <row r="2039" customFormat="false" ht="14.25" hidden="false" customHeight="false" outlineLevel="0" collapsed="false">
      <c r="A2039" s="1" t="n">
        <v>2014</v>
      </c>
      <c r="B2039" s="7" t="s">
        <v>322</v>
      </c>
      <c r="C2039" s="7" t="n">
        <v>2</v>
      </c>
      <c r="D2039" s="7" t="s">
        <v>294</v>
      </c>
      <c r="E2039" s="7" t="s">
        <v>294</v>
      </c>
      <c r="F2039" s="3" t="s">
        <v>83</v>
      </c>
      <c r="G2039" s="3" t="n">
        <v>3</v>
      </c>
      <c r="H2039" s="3" t="n">
        <v>13</v>
      </c>
      <c r="I2039" s="22" t="n">
        <v>41794</v>
      </c>
      <c r="J2039" s="22" t="n">
        <v>41799</v>
      </c>
      <c r="K2039" s="43" t="n">
        <f aca="false">J2039-I2039</f>
        <v>5</v>
      </c>
      <c r="L2039" s="1" t="n">
        <v>5</v>
      </c>
      <c r="M2039" s="3" t="s">
        <v>48</v>
      </c>
      <c r="N2039" s="3" t="s">
        <v>49</v>
      </c>
      <c r="O2039" s="3" t="s">
        <v>104</v>
      </c>
      <c r="P2039" s="2" t="str">
        <f aca="false">CONCATENATE(N2039," ",O2039)</f>
        <v>Alopecosa taeniata</v>
      </c>
      <c r="Q2039" s="1" t="s">
        <v>30</v>
      </c>
      <c r="R2039" s="1" t="s">
        <v>35</v>
      </c>
      <c r="S2039" s="3" t="n">
        <v>0</v>
      </c>
      <c r="T2039" s="3" t="n">
        <v>1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f aca="false">SUM(S2039:T2039)</f>
        <v>1</v>
      </c>
      <c r="Z2039" s="3" t="n">
        <f aca="false">SUM(U2039:W2039)</f>
        <v>0</v>
      </c>
      <c r="AA2039" s="3" t="n">
        <f aca="false">SUM(S2039:X2039)</f>
        <v>1</v>
      </c>
      <c r="AB2039" s="11" t="n">
        <f aca="false">(AA2039/(K2039*L2039)*25)*4</f>
        <v>4</v>
      </c>
    </row>
    <row r="2040" customFormat="false" ht="14.25" hidden="false" customHeight="false" outlineLevel="0" collapsed="false">
      <c r="A2040" s="1" t="n">
        <v>2014</v>
      </c>
      <c r="B2040" s="7" t="s">
        <v>322</v>
      </c>
      <c r="C2040" s="7" t="n">
        <v>2</v>
      </c>
      <c r="D2040" s="7" t="s">
        <v>294</v>
      </c>
      <c r="E2040" s="7" t="s">
        <v>294</v>
      </c>
      <c r="F2040" s="3" t="s">
        <v>83</v>
      </c>
      <c r="G2040" s="3" t="n">
        <v>3</v>
      </c>
      <c r="H2040" s="3" t="n">
        <v>13</v>
      </c>
      <c r="I2040" s="22" t="n">
        <v>41794</v>
      </c>
      <c r="J2040" s="22" t="n">
        <v>41799</v>
      </c>
      <c r="K2040" s="43" t="n">
        <f aca="false">J2040-I2040</f>
        <v>5</v>
      </c>
      <c r="L2040" s="1" t="n">
        <v>5</v>
      </c>
      <c r="M2040" s="3" t="s">
        <v>48</v>
      </c>
      <c r="N2040" s="3" t="s">
        <v>49</v>
      </c>
      <c r="O2040" s="3" t="s">
        <v>130</v>
      </c>
      <c r="P2040" s="2" t="str">
        <f aca="false">CONCATENATE(N2040," ",O2040)</f>
        <v>Alopecosa aculeata</v>
      </c>
      <c r="Q2040" s="1" t="s">
        <v>30</v>
      </c>
      <c r="R2040" s="1" t="s">
        <v>31</v>
      </c>
      <c r="S2040" s="3" t="n">
        <v>1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f aca="false">SUM(S2040:T2040)</f>
        <v>1</v>
      </c>
      <c r="Z2040" s="3" t="n">
        <f aca="false">SUM(U2040:W2040)</f>
        <v>0</v>
      </c>
      <c r="AA2040" s="3" t="n">
        <f aca="false">SUM(S2040:X2040)</f>
        <v>1</v>
      </c>
      <c r="AB2040" s="11" t="n">
        <f aca="false">(AA2040/(K2040*L2040)*25)*4</f>
        <v>4</v>
      </c>
    </row>
    <row r="2041" customFormat="false" ht="14.25" hidden="false" customHeight="false" outlineLevel="0" collapsed="false">
      <c r="A2041" s="1" t="n">
        <v>2014</v>
      </c>
      <c r="B2041" s="7" t="s">
        <v>322</v>
      </c>
      <c r="C2041" s="7" t="n">
        <v>2</v>
      </c>
      <c r="D2041" s="7" t="s">
        <v>294</v>
      </c>
      <c r="E2041" s="7" t="s">
        <v>294</v>
      </c>
      <c r="F2041" s="3" t="s">
        <v>83</v>
      </c>
      <c r="G2041" s="3" t="n">
        <v>3</v>
      </c>
      <c r="H2041" s="3" t="n">
        <v>13</v>
      </c>
      <c r="I2041" s="22" t="n">
        <v>41794</v>
      </c>
      <c r="J2041" s="22" t="n">
        <v>41799</v>
      </c>
      <c r="K2041" s="43" t="n">
        <f aca="false">J2041-I2041</f>
        <v>5</v>
      </c>
      <c r="L2041" s="1" t="n">
        <v>5</v>
      </c>
      <c r="M2041" s="3" t="s">
        <v>48</v>
      </c>
      <c r="N2041" s="3" t="s">
        <v>49</v>
      </c>
      <c r="O2041" s="3" t="s">
        <v>130</v>
      </c>
      <c r="P2041" s="2" t="str">
        <f aca="false">CONCATENATE(N2041," ",O2041)</f>
        <v>Alopecosa aculeata</v>
      </c>
      <c r="Q2041" s="1" t="s">
        <v>30</v>
      </c>
      <c r="R2041" s="1" t="s">
        <v>35</v>
      </c>
      <c r="S2041" s="3" t="n">
        <v>0</v>
      </c>
      <c r="T2041" s="3" t="n">
        <v>1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f aca="false">SUM(S2041:T2041)</f>
        <v>1</v>
      </c>
      <c r="Z2041" s="3" t="n">
        <f aca="false">SUM(U2041:W2041)</f>
        <v>0</v>
      </c>
      <c r="AA2041" s="3" t="n">
        <f aca="false">SUM(S2041:X2041)</f>
        <v>1</v>
      </c>
      <c r="AB2041" s="11" t="n">
        <f aca="false">(AA2041/(K2041*L2041)*25)*4</f>
        <v>4</v>
      </c>
    </row>
    <row r="2042" customFormat="false" ht="14.25" hidden="false" customHeight="false" outlineLevel="0" collapsed="false">
      <c r="A2042" s="1" t="n">
        <v>2014</v>
      </c>
      <c r="B2042" s="7" t="s">
        <v>322</v>
      </c>
      <c r="C2042" s="7" t="n">
        <v>2</v>
      </c>
      <c r="D2042" s="7" t="s">
        <v>294</v>
      </c>
      <c r="E2042" s="7" t="s">
        <v>294</v>
      </c>
      <c r="F2042" s="3" t="s">
        <v>83</v>
      </c>
      <c r="G2042" s="3" t="n">
        <v>3</v>
      </c>
      <c r="H2042" s="3" t="n">
        <v>13</v>
      </c>
      <c r="I2042" s="22" t="n">
        <v>41794</v>
      </c>
      <c r="J2042" s="22" t="n">
        <v>41799</v>
      </c>
      <c r="K2042" s="43" t="n">
        <f aca="false">J2042-I2042</f>
        <v>5</v>
      </c>
      <c r="L2042" s="1" t="n">
        <v>5</v>
      </c>
      <c r="M2042" s="3" t="s">
        <v>72</v>
      </c>
      <c r="N2042" s="3" t="s">
        <v>73</v>
      </c>
      <c r="O2042" s="3" t="s">
        <v>74</v>
      </c>
      <c r="P2042" s="2" t="str">
        <f aca="false">CONCATENATE(N2042," ",O2042)</f>
        <v>Zelotes subterraneus</v>
      </c>
      <c r="Q2042" s="1" t="s">
        <v>30</v>
      </c>
      <c r="R2042" s="1" t="s">
        <v>31</v>
      </c>
      <c r="S2042" s="3" t="n">
        <v>1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f aca="false">SUM(S2042:T2042)</f>
        <v>1</v>
      </c>
      <c r="Z2042" s="3" t="n">
        <f aca="false">SUM(U2042:W2042)</f>
        <v>0</v>
      </c>
      <c r="AA2042" s="3" t="n">
        <f aca="false">SUM(S2042:X2042)</f>
        <v>1</v>
      </c>
      <c r="AB2042" s="11" t="n">
        <f aca="false">(AA2042/(K2042*L2042)*25)*4</f>
        <v>4</v>
      </c>
    </row>
    <row r="2043" customFormat="false" ht="14.25" hidden="false" customHeight="false" outlineLevel="0" collapsed="false">
      <c r="A2043" s="1" t="n">
        <v>2014</v>
      </c>
      <c r="B2043" s="7" t="s">
        <v>322</v>
      </c>
      <c r="C2043" s="7" t="n">
        <v>2</v>
      </c>
      <c r="D2043" s="7" t="s">
        <v>294</v>
      </c>
      <c r="E2043" s="7" t="s">
        <v>294</v>
      </c>
      <c r="F2043" s="3" t="s">
        <v>83</v>
      </c>
      <c r="G2043" s="3" t="n">
        <v>3</v>
      </c>
      <c r="H2043" s="3" t="n">
        <v>13</v>
      </c>
      <c r="I2043" s="22" t="n">
        <v>41794</v>
      </c>
      <c r="J2043" s="22" t="n">
        <v>41799</v>
      </c>
      <c r="K2043" s="43" t="n">
        <f aca="false">J2043-I2043</f>
        <v>5</v>
      </c>
      <c r="L2043" s="1" t="n">
        <v>5</v>
      </c>
      <c r="M2043" s="3" t="s">
        <v>135</v>
      </c>
      <c r="N2043" s="3" t="s">
        <v>136</v>
      </c>
      <c r="O2043" s="3" t="s">
        <v>137</v>
      </c>
      <c r="P2043" s="2" t="str">
        <f aca="false">CONCATENATE(N2043," ",O2043)</f>
        <v>Thanatus sabulosus</v>
      </c>
      <c r="Q2043" s="1" t="s">
        <v>30</v>
      </c>
      <c r="R2043" s="1" t="s">
        <v>31</v>
      </c>
      <c r="S2043" s="3" t="n">
        <v>1</v>
      </c>
      <c r="T2043" s="3" t="n">
        <v>0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f aca="false">SUM(S2043:T2043)</f>
        <v>1</v>
      </c>
      <c r="Z2043" s="3" t="n">
        <f aca="false">SUM(U2043:W2043)</f>
        <v>0</v>
      </c>
      <c r="AA2043" s="3" t="n">
        <f aca="false">SUM(S2043:X2043)</f>
        <v>1</v>
      </c>
      <c r="AB2043" s="11" t="n">
        <f aca="false">(AA2043/(K2043*L2043)*25)*4</f>
        <v>4</v>
      </c>
    </row>
    <row r="2044" customFormat="false" ht="14.25" hidden="false" customHeight="false" outlineLevel="0" collapsed="false">
      <c r="A2044" s="1" t="n">
        <v>2014</v>
      </c>
      <c r="B2044" s="7" t="s">
        <v>322</v>
      </c>
      <c r="C2044" s="7" t="n">
        <v>2</v>
      </c>
      <c r="D2044" s="7" t="s">
        <v>294</v>
      </c>
      <c r="E2044" s="7" t="s">
        <v>294</v>
      </c>
      <c r="F2044" s="3" t="s">
        <v>83</v>
      </c>
      <c r="G2044" s="3" t="n">
        <v>3</v>
      </c>
      <c r="H2044" s="3" t="n">
        <v>13</v>
      </c>
      <c r="I2044" s="22" t="n">
        <v>41794</v>
      </c>
      <c r="J2044" s="22" t="n">
        <v>41799</v>
      </c>
      <c r="K2044" s="43" t="n">
        <f aca="false">J2044-I2044</f>
        <v>5</v>
      </c>
      <c r="L2044" s="1" t="n">
        <v>5</v>
      </c>
      <c r="M2044" s="3" t="s">
        <v>36</v>
      </c>
      <c r="N2044" s="3" t="s">
        <v>131</v>
      </c>
      <c r="O2044" s="3" t="s">
        <v>133</v>
      </c>
      <c r="P2044" s="2" t="str">
        <f aca="false">CONCATENATE(N2044," ",O2044)</f>
        <v>Xysticus luctuosus</v>
      </c>
      <c r="Q2044" s="1" t="s">
        <v>30</v>
      </c>
      <c r="R2044" s="1" t="s">
        <v>31</v>
      </c>
      <c r="S2044" s="3" t="n">
        <v>0</v>
      </c>
      <c r="T2044" s="3" t="n">
        <v>2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f aca="false">SUM(S2044:T2044)</f>
        <v>2</v>
      </c>
      <c r="Z2044" s="3" t="n">
        <f aca="false">SUM(U2044:W2044)</f>
        <v>0</v>
      </c>
      <c r="AA2044" s="3" t="n">
        <f aca="false">SUM(S2044:X2044)</f>
        <v>2</v>
      </c>
      <c r="AB2044" s="11" t="n">
        <f aca="false">(AA2044/(K2044*L2044)*25)*4</f>
        <v>8</v>
      </c>
    </row>
    <row r="2045" customFormat="false" ht="14.25" hidden="false" customHeight="false" outlineLevel="0" collapsed="false">
      <c r="A2045" s="1" t="n">
        <v>2014</v>
      </c>
      <c r="B2045" s="7" t="s">
        <v>322</v>
      </c>
      <c r="C2045" s="7" t="n">
        <v>2</v>
      </c>
      <c r="D2045" s="7" t="s">
        <v>294</v>
      </c>
      <c r="E2045" s="7" t="s">
        <v>294</v>
      </c>
      <c r="F2045" s="3" t="s">
        <v>83</v>
      </c>
      <c r="G2045" s="3" t="n">
        <v>3</v>
      </c>
      <c r="H2045" s="3" t="n">
        <v>13</v>
      </c>
      <c r="I2045" s="22" t="n">
        <v>41794</v>
      </c>
      <c r="J2045" s="22" t="n">
        <v>41799</v>
      </c>
      <c r="K2045" s="43" t="n">
        <f aca="false">J2045-I2045</f>
        <v>5</v>
      </c>
      <c r="L2045" s="1" t="n">
        <v>5</v>
      </c>
      <c r="M2045" s="3" t="s">
        <v>32</v>
      </c>
      <c r="N2045" s="3" t="s">
        <v>169</v>
      </c>
      <c r="O2045" s="3" t="s">
        <v>170</v>
      </c>
      <c r="P2045" s="2" t="str">
        <f aca="false">CONCATENATE(N2045," ",O2045)</f>
        <v>Abacoproeces saltuum</v>
      </c>
      <c r="Q2045" s="1" t="s">
        <v>30</v>
      </c>
      <c r="R2045" s="1" t="s">
        <v>31</v>
      </c>
      <c r="S2045" s="3" t="n">
        <v>3</v>
      </c>
      <c r="T2045" s="3" t="n">
        <v>0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f aca="false">SUM(S2045:T2045)</f>
        <v>3</v>
      </c>
      <c r="Z2045" s="3" t="n">
        <f aca="false">SUM(U2045:W2045)</f>
        <v>0</v>
      </c>
      <c r="AA2045" s="3" t="n">
        <f aca="false">SUM(S2045:X2045)</f>
        <v>3</v>
      </c>
      <c r="AB2045" s="11" t="n">
        <f aca="false">(AA2045/(K2045*L2045)*25)*4</f>
        <v>12</v>
      </c>
    </row>
    <row r="2046" customFormat="false" ht="14.25" hidden="false" customHeight="false" outlineLevel="0" collapsed="false">
      <c r="A2046" s="1" t="n">
        <v>2014</v>
      </c>
      <c r="B2046" s="7" t="s">
        <v>322</v>
      </c>
      <c r="C2046" s="7" t="n">
        <v>2</v>
      </c>
      <c r="D2046" s="7" t="s">
        <v>294</v>
      </c>
      <c r="E2046" s="7" t="s">
        <v>294</v>
      </c>
      <c r="F2046" s="3" t="s">
        <v>83</v>
      </c>
      <c r="G2046" s="3" t="n">
        <v>3</v>
      </c>
      <c r="H2046" s="3" t="n">
        <v>13</v>
      </c>
      <c r="I2046" s="22" t="n">
        <v>41794</v>
      </c>
      <c r="J2046" s="22" t="n">
        <v>41799</v>
      </c>
      <c r="K2046" s="43" t="n">
        <f aca="false">J2046-I2046</f>
        <v>5</v>
      </c>
      <c r="L2046" s="1" t="n">
        <v>5</v>
      </c>
      <c r="M2046" s="3" t="s">
        <v>32</v>
      </c>
      <c r="N2046" s="3" t="s">
        <v>90</v>
      </c>
      <c r="O2046" s="3" t="s">
        <v>91</v>
      </c>
      <c r="P2046" s="2" t="str">
        <f aca="false">CONCATENATE(N2046," ",O2046)</f>
        <v>Tapinocyba insecta</v>
      </c>
      <c r="Q2046" s="1" t="s">
        <v>30</v>
      </c>
      <c r="R2046" s="1" t="s">
        <v>31</v>
      </c>
      <c r="S2046" s="3" t="n">
        <v>1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f aca="false">SUM(S2046:T2046)</f>
        <v>1</v>
      </c>
      <c r="Z2046" s="3" t="n">
        <f aca="false">SUM(U2046:W2046)</f>
        <v>0</v>
      </c>
      <c r="AA2046" s="3" t="n">
        <f aca="false">SUM(S2046:X2046)</f>
        <v>1</v>
      </c>
      <c r="AB2046" s="11" t="n">
        <f aca="false">(AA2046/(K2046*L2046)*25)*4</f>
        <v>4</v>
      </c>
    </row>
    <row r="2047" customFormat="false" ht="14.25" hidden="false" customHeight="false" outlineLevel="0" collapsed="false">
      <c r="A2047" s="1" t="n">
        <v>2014</v>
      </c>
      <c r="B2047" s="7" t="s">
        <v>322</v>
      </c>
      <c r="C2047" s="7" t="n">
        <v>2</v>
      </c>
      <c r="D2047" s="7" t="s">
        <v>294</v>
      </c>
      <c r="E2047" s="7" t="s">
        <v>294</v>
      </c>
      <c r="F2047" s="3" t="s">
        <v>83</v>
      </c>
      <c r="G2047" s="3" t="n">
        <v>2</v>
      </c>
      <c r="H2047" s="3" t="n">
        <v>7</v>
      </c>
      <c r="I2047" s="22" t="n">
        <v>41794</v>
      </c>
      <c r="J2047" s="22" t="n">
        <v>41799</v>
      </c>
      <c r="K2047" s="43" t="n">
        <f aca="false">J2047-I2047</f>
        <v>5</v>
      </c>
      <c r="L2047" s="1" t="n">
        <v>5</v>
      </c>
      <c r="M2047" s="3" t="s">
        <v>48</v>
      </c>
      <c r="N2047" s="3" t="s">
        <v>67</v>
      </c>
      <c r="O2047" s="3" t="s">
        <v>127</v>
      </c>
      <c r="P2047" s="2" t="str">
        <f aca="false">CONCATENATE(N2047," ",O2047)</f>
        <v>Pardosa lugubris</v>
      </c>
      <c r="Q2047" s="1" t="s">
        <v>30</v>
      </c>
      <c r="R2047" s="1" t="s">
        <v>31</v>
      </c>
      <c r="S2047" s="3" t="n">
        <v>16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f aca="false">SUM(S2047:T2047)</f>
        <v>16</v>
      </c>
      <c r="Z2047" s="3" t="n">
        <f aca="false">SUM(U2047:W2047)</f>
        <v>0</v>
      </c>
      <c r="AA2047" s="3" t="n">
        <f aca="false">SUM(S2047:X2047)</f>
        <v>16</v>
      </c>
      <c r="AB2047" s="11" t="n">
        <f aca="false">(AA2047/(K2047*L2047)*25)*4</f>
        <v>64</v>
      </c>
    </row>
    <row r="2048" customFormat="false" ht="14.25" hidden="false" customHeight="false" outlineLevel="0" collapsed="false">
      <c r="A2048" s="1" t="n">
        <v>2014</v>
      </c>
      <c r="B2048" s="7" t="s">
        <v>322</v>
      </c>
      <c r="C2048" s="7" t="n">
        <v>2</v>
      </c>
      <c r="D2048" s="7" t="s">
        <v>294</v>
      </c>
      <c r="E2048" s="7" t="s">
        <v>294</v>
      </c>
      <c r="F2048" s="3" t="s">
        <v>83</v>
      </c>
      <c r="G2048" s="3" t="n">
        <v>2</v>
      </c>
      <c r="H2048" s="3" t="n">
        <v>7</v>
      </c>
      <c r="I2048" s="22" t="n">
        <v>41794</v>
      </c>
      <c r="J2048" s="22" t="n">
        <v>41799</v>
      </c>
      <c r="K2048" s="43" t="n">
        <f aca="false">J2048-I2048</f>
        <v>5</v>
      </c>
      <c r="L2048" s="1" t="n">
        <v>5</v>
      </c>
      <c r="M2048" s="3" t="s">
        <v>48</v>
      </c>
      <c r="N2048" s="3" t="s">
        <v>67</v>
      </c>
      <c r="O2048" s="3" t="s">
        <v>127</v>
      </c>
      <c r="P2048" s="2" t="str">
        <f aca="false">CONCATENATE(N2048," ",O2048)</f>
        <v>Pardosa lugubris</v>
      </c>
      <c r="Q2048" s="1" t="s">
        <v>30</v>
      </c>
      <c r="R2048" s="1" t="s">
        <v>35</v>
      </c>
      <c r="S2048" s="3" t="n">
        <v>0</v>
      </c>
      <c r="T2048" s="3" t="n">
        <v>1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f aca="false">SUM(S2048:T2048)</f>
        <v>1</v>
      </c>
      <c r="Z2048" s="3" t="n">
        <f aca="false">SUM(U2048:W2048)</f>
        <v>0</v>
      </c>
      <c r="AA2048" s="3" t="n">
        <f aca="false">SUM(S2048:X2048)</f>
        <v>1</v>
      </c>
      <c r="AB2048" s="11" t="n">
        <f aca="false">(AA2048/(K2048*L2048)*25)*4</f>
        <v>4</v>
      </c>
    </row>
    <row r="2049" customFormat="false" ht="14.25" hidden="false" customHeight="false" outlineLevel="0" collapsed="false">
      <c r="A2049" s="1" t="n">
        <v>2014</v>
      </c>
      <c r="B2049" s="7" t="s">
        <v>322</v>
      </c>
      <c r="C2049" s="7" t="n">
        <v>2</v>
      </c>
      <c r="D2049" s="7" t="s">
        <v>294</v>
      </c>
      <c r="E2049" s="7" t="s">
        <v>294</v>
      </c>
      <c r="F2049" s="3" t="s">
        <v>83</v>
      </c>
      <c r="G2049" s="3" t="n">
        <v>2</v>
      </c>
      <c r="H2049" s="3" t="n">
        <v>7</v>
      </c>
      <c r="I2049" s="22" t="n">
        <v>41794</v>
      </c>
      <c r="J2049" s="22" t="n">
        <v>41799</v>
      </c>
      <c r="K2049" s="43" t="n">
        <f aca="false">J2049-I2049</f>
        <v>5</v>
      </c>
      <c r="L2049" s="1" t="n">
        <v>5</v>
      </c>
      <c r="M2049" s="3" t="s">
        <v>48</v>
      </c>
      <c r="N2049" s="3" t="s">
        <v>49</v>
      </c>
      <c r="O2049" s="3" t="s">
        <v>104</v>
      </c>
      <c r="P2049" s="2" t="str">
        <f aca="false">CONCATENATE(N2049," ",O2049)</f>
        <v>Alopecosa taeniata</v>
      </c>
      <c r="Q2049" s="1" t="s">
        <v>30</v>
      </c>
      <c r="R2049" s="1" t="s">
        <v>35</v>
      </c>
      <c r="S2049" s="3" t="n">
        <v>0</v>
      </c>
      <c r="T2049" s="3" t="n">
        <v>1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f aca="false">SUM(S2049:T2049)</f>
        <v>1</v>
      </c>
      <c r="Z2049" s="3" t="n">
        <f aca="false">SUM(U2049:W2049)</f>
        <v>0</v>
      </c>
      <c r="AA2049" s="3" t="n">
        <f aca="false">SUM(S2049:X2049)</f>
        <v>1</v>
      </c>
      <c r="AB2049" s="11" t="n">
        <f aca="false">(AA2049/(K2049*L2049)*25)*4</f>
        <v>4</v>
      </c>
    </row>
    <row r="2050" customFormat="false" ht="14.25" hidden="false" customHeight="false" outlineLevel="0" collapsed="false">
      <c r="A2050" s="1" t="n">
        <v>2014</v>
      </c>
      <c r="B2050" s="7" t="s">
        <v>322</v>
      </c>
      <c r="C2050" s="7" t="n">
        <v>2</v>
      </c>
      <c r="D2050" s="7" t="s">
        <v>294</v>
      </c>
      <c r="E2050" s="7" t="s">
        <v>294</v>
      </c>
      <c r="F2050" s="3" t="s">
        <v>83</v>
      </c>
      <c r="G2050" s="3" t="n">
        <v>2</v>
      </c>
      <c r="H2050" s="3" t="n">
        <v>7</v>
      </c>
      <c r="I2050" s="22" t="n">
        <v>41794</v>
      </c>
      <c r="J2050" s="22" t="n">
        <v>41799</v>
      </c>
      <c r="K2050" s="43" t="n">
        <f aca="false">J2050-I2050</f>
        <v>5</v>
      </c>
      <c r="L2050" s="1" t="n">
        <v>5</v>
      </c>
      <c r="M2050" s="3" t="s">
        <v>36</v>
      </c>
      <c r="N2050" s="3" t="s">
        <v>131</v>
      </c>
      <c r="O2050" s="3" t="s">
        <v>133</v>
      </c>
      <c r="P2050" s="2" t="str">
        <f aca="false">CONCATENATE(N2050," ",O2050)</f>
        <v>Xysticus luctuosus</v>
      </c>
      <c r="Q2050" s="1" t="s">
        <v>30</v>
      </c>
      <c r="R2050" s="1" t="s">
        <v>31</v>
      </c>
      <c r="S2050" s="3" t="n">
        <v>3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f aca="false">SUM(S2050:T2050)</f>
        <v>3</v>
      </c>
      <c r="Z2050" s="3" t="n">
        <f aca="false">SUM(U2050:W2050)</f>
        <v>0</v>
      </c>
      <c r="AA2050" s="3" t="n">
        <f aca="false">SUM(S2050:X2050)</f>
        <v>3</v>
      </c>
      <c r="AB2050" s="11" t="n">
        <f aca="false">(AA2050/(K2050*L2050)*25)*4</f>
        <v>12</v>
      </c>
    </row>
    <row r="2051" customFormat="false" ht="14.25" hidden="false" customHeight="false" outlineLevel="0" collapsed="false">
      <c r="A2051" s="1" t="n">
        <v>2014</v>
      </c>
      <c r="B2051" s="7" t="s">
        <v>322</v>
      </c>
      <c r="C2051" s="7" t="n">
        <v>2</v>
      </c>
      <c r="D2051" s="7" t="s">
        <v>294</v>
      </c>
      <c r="E2051" s="7" t="s">
        <v>294</v>
      </c>
      <c r="F2051" s="3" t="s">
        <v>83</v>
      </c>
      <c r="G2051" s="3" t="n">
        <v>2</v>
      </c>
      <c r="H2051" s="3" t="n">
        <v>7</v>
      </c>
      <c r="I2051" s="22" t="n">
        <v>41794</v>
      </c>
      <c r="J2051" s="22" t="n">
        <v>41799</v>
      </c>
      <c r="K2051" s="43" t="n">
        <f aca="false">J2051-I2051</f>
        <v>5</v>
      </c>
      <c r="L2051" s="1" t="n">
        <v>5</v>
      </c>
      <c r="M2051" s="3" t="s">
        <v>226</v>
      </c>
      <c r="N2051" s="3" t="s">
        <v>65</v>
      </c>
      <c r="O2051" s="3" t="s">
        <v>123</v>
      </c>
      <c r="P2051" s="2" t="str">
        <f aca="false">CONCATENATE(N2051," ",O2051)</f>
        <v>Zora nemoralis</v>
      </c>
      <c r="Q2051" s="1" t="s">
        <v>30</v>
      </c>
      <c r="R2051" s="1" t="s">
        <v>31</v>
      </c>
      <c r="S2051" s="3" t="n">
        <v>1</v>
      </c>
      <c r="T2051" s="3" t="n">
        <v>0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f aca="false">SUM(S2051:T2051)</f>
        <v>1</v>
      </c>
      <c r="Z2051" s="3" t="n">
        <f aca="false">SUM(U2051:W2051)</f>
        <v>0</v>
      </c>
      <c r="AA2051" s="3" t="n">
        <f aca="false">SUM(S2051:X2051)</f>
        <v>1</v>
      </c>
      <c r="AB2051" s="11" t="n">
        <f aca="false">(AA2051/(K2051*L2051)*25)*4</f>
        <v>4</v>
      </c>
    </row>
    <row r="2052" customFormat="false" ht="14.25" hidden="false" customHeight="false" outlineLevel="0" collapsed="false">
      <c r="A2052" s="1" t="n">
        <v>2014</v>
      </c>
      <c r="B2052" s="7" t="s">
        <v>322</v>
      </c>
      <c r="C2052" s="7" t="n">
        <v>2</v>
      </c>
      <c r="D2052" s="7" t="s">
        <v>294</v>
      </c>
      <c r="E2052" s="7" t="s">
        <v>294</v>
      </c>
      <c r="F2052" s="3" t="s">
        <v>83</v>
      </c>
      <c r="G2052" s="3" t="n">
        <v>2</v>
      </c>
      <c r="H2052" s="3" t="n">
        <v>7</v>
      </c>
      <c r="I2052" s="22" t="n">
        <v>41794</v>
      </c>
      <c r="J2052" s="22" t="n">
        <v>41799</v>
      </c>
      <c r="K2052" s="43" t="n">
        <f aca="false">J2052-I2052</f>
        <v>5</v>
      </c>
      <c r="L2052" s="1" t="n">
        <v>5</v>
      </c>
      <c r="M2052" s="3" t="s">
        <v>27</v>
      </c>
      <c r="N2052" s="3" t="s">
        <v>46</v>
      </c>
      <c r="O2052" s="3" t="s">
        <v>47</v>
      </c>
      <c r="P2052" s="2" t="str">
        <f aca="false">CONCATENATE(N2052," ",O2052)</f>
        <v>Euryopis flavomaculata</v>
      </c>
      <c r="Q2052" s="1" t="s">
        <v>30</v>
      </c>
      <c r="R2052" s="1" t="s">
        <v>31</v>
      </c>
      <c r="S2052" s="3" t="n">
        <v>1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f aca="false">SUM(S2052:T2052)</f>
        <v>1</v>
      </c>
      <c r="Z2052" s="3" t="n">
        <f aca="false">SUM(U2052:W2052)</f>
        <v>0</v>
      </c>
      <c r="AA2052" s="3" t="n">
        <f aca="false">SUM(S2052:X2052)</f>
        <v>1</v>
      </c>
      <c r="AB2052" s="11" t="n">
        <f aca="false">(AA2052/(K2052*L2052)*25)*4</f>
        <v>4</v>
      </c>
    </row>
    <row r="2053" customFormat="false" ht="14.25" hidden="false" customHeight="false" outlineLevel="0" collapsed="false">
      <c r="A2053" s="1" t="n">
        <v>2014</v>
      </c>
      <c r="B2053" s="7" t="s">
        <v>322</v>
      </c>
      <c r="C2053" s="7" t="n">
        <v>2</v>
      </c>
      <c r="D2053" s="7" t="s">
        <v>294</v>
      </c>
      <c r="E2053" s="7" t="s">
        <v>294</v>
      </c>
      <c r="F2053" s="3" t="s">
        <v>83</v>
      </c>
      <c r="G2053" s="3" t="n">
        <v>2</v>
      </c>
      <c r="H2053" s="3" t="n">
        <v>7</v>
      </c>
      <c r="I2053" s="22" t="n">
        <v>41794</v>
      </c>
      <c r="J2053" s="22" t="n">
        <v>41799</v>
      </c>
      <c r="K2053" s="43" t="n">
        <f aca="false">J2053-I2053</f>
        <v>5</v>
      </c>
      <c r="L2053" s="1" t="n">
        <v>5</v>
      </c>
      <c r="M2053" s="3" t="s">
        <v>72</v>
      </c>
      <c r="N2053" s="3" t="s">
        <v>73</v>
      </c>
      <c r="O2053" s="3" t="s">
        <v>74</v>
      </c>
      <c r="P2053" s="2" t="str">
        <f aca="false">CONCATENATE(N2053," ",O2053)</f>
        <v>Zelotes subterraneus</v>
      </c>
      <c r="Q2053" s="1" t="s">
        <v>30</v>
      </c>
      <c r="R2053" s="1" t="s">
        <v>31</v>
      </c>
      <c r="S2053" s="3" t="n">
        <v>1</v>
      </c>
      <c r="T2053" s="3" t="n">
        <v>0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f aca="false">SUM(S2053:T2053)</f>
        <v>1</v>
      </c>
      <c r="Z2053" s="3" t="n">
        <f aca="false">SUM(U2053:W2053)</f>
        <v>0</v>
      </c>
      <c r="AA2053" s="3" t="n">
        <f aca="false">SUM(S2053:X2053)</f>
        <v>1</v>
      </c>
      <c r="AB2053" s="11" t="n">
        <f aca="false">(AA2053/(K2053*L2053)*25)*4</f>
        <v>4</v>
      </c>
    </row>
    <row r="2054" customFormat="false" ht="14.25" hidden="false" customHeight="false" outlineLevel="0" collapsed="false">
      <c r="A2054" s="1" t="n">
        <v>2014</v>
      </c>
      <c r="B2054" s="7" t="s">
        <v>322</v>
      </c>
      <c r="C2054" s="7" t="n">
        <v>2</v>
      </c>
      <c r="D2054" s="7" t="s">
        <v>294</v>
      </c>
      <c r="E2054" s="7" t="s">
        <v>294</v>
      </c>
      <c r="F2054" s="3" t="s">
        <v>83</v>
      </c>
      <c r="G2054" s="3" t="n">
        <v>2</v>
      </c>
      <c r="H2054" s="3" t="n">
        <v>7</v>
      </c>
      <c r="I2054" s="22" t="n">
        <v>41794</v>
      </c>
      <c r="J2054" s="22" t="n">
        <v>41799</v>
      </c>
      <c r="K2054" s="43" t="n">
        <f aca="false">J2054-I2054</f>
        <v>5</v>
      </c>
      <c r="L2054" s="1" t="n">
        <v>5</v>
      </c>
      <c r="M2054" s="3" t="s">
        <v>72</v>
      </c>
      <c r="N2054" s="3" t="s">
        <v>73</v>
      </c>
      <c r="O2054" s="3" t="s">
        <v>74</v>
      </c>
      <c r="P2054" s="2" t="str">
        <f aca="false">CONCATENATE(N2054," ",O2054)</f>
        <v>Zelotes subterraneus</v>
      </c>
      <c r="Q2054" s="1" t="s">
        <v>30</v>
      </c>
      <c r="R2054" s="1" t="s">
        <v>35</v>
      </c>
      <c r="S2054" s="3" t="n">
        <v>0</v>
      </c>
      <c r="T2054" s="3" t="n">
        <v>1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f aca="false">SUM(S2054:T2054)</f>
        <v>1</v>
      </c>
      <c r="Z2054" s="3" t="n">
        <f aca="false">SUM(U2054:W2054)</f>
        <v>0</v>
      </c>
      <c r="AA2054" s="3" t="n">
        <f aca="false">SUM(S2054:X2054)</f>
        <v>1</v>
      </c>
      <c r="AB2054" s="11" t="n">
        <f aca="false">(AA2054/(K2054*L2054)*25)*4</f>
        <v>4</v>
      </c>
    </row>
    <row r="2055" customFormat="false" ht="14.25" hidden="false" customHeight="false" outlineLevel="0" collapsed="false">
      <c r="A2055" s="1" t="n">
        <v>2014</v>
      </c>
      <c r="B2055" s="7" t="s">
        <v>322</v>
      </c>
      <c r="C2055" s="7" t="n">
        <v>2</v>
      </c>
      <c r="D2055" s="7" t="s">
        <v>294</v>
      </c>
      <c r="E2055" s="7" t="s">
        <v>294</v>
      </c>
      <c r="F2055" s="3" t="s">
        <v>83</v>
      </c>
      <c r="G2055" s="3" t="n">
        <v>2</v>
      </c>
      <c r="H2055" s="3" t="n">
        <v>7</v>
      </c>
      <c r="I2055" s="22" t="n">
        <v>41794</v>
      </c>
      <c r="J2055" s="22" t="n">
        <v>41799</v>
      </c>
      <c r="K2055" s="43" t="n">
        <f aca="false">J2055-I2055</f>
        <v>5</v>
      </c>
      <c r="L2055" s="1" t="n">
        <v>5</v>
      </c>
      <c r="M2055" s="3" t="s">
        <v>32</v>
      </c>
      <c r="N2055" s="3" t="s">
        <v>169</v>
      </c>
      <c r="O2055" s="3" t="s">
        <v>170</v>
      </c>
      <c r="P2055" s="2" t="str">
        <f aca="false">CONCATENATE(N2055," ",O2055)</f>
        <v>Abacoproeces saltuum</v>
      </c>
      <c r="Q2055" s="1" t="s">
        <v>30</v>
      </c>
      <c r="R2055" s="1" t="s">
        <v>35</v>
      </c>
      <c r="S2055" s="3" t="n">
        <v>0</v>
      </c>
      <c r="T2055" s="3" t="n">
        <v>1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f aca="false">SUM(S2055:T2055)</f>
        <v>1</v>
      </c>
      <c r="Z2055" s="3" t="n">
        <f aca="false">SUM(U2055:W2055)</f>
        <v>0</v>
      </c>
      <c r="AA2055" s="3" t="n">
        <f aca="false">SUM(S2055:X2055)</f>
        <v>1</v>
      </c>
      <c r="AB2055" s="11" t="n">
        <f aca="false">(AA2055/(K2055*L2055)*25)*4</f>
        <v>4</v>
      </c>
    </row>
    <row r="2056" customFormat="false" ht="14.25" hidden="false" customHeight="false" outlineLevel="0" collapsed="false">
      <c r="A2056" s="1" t="n">
        <v>2014</v>
      </c>
      <c r="B2056" s="7" t="s">
        <v>322</v>
      </c>
      <c r="C2056" s="7" t="n">
        <v>2</v>
      </c>
      <c r="D2056" s="7" t="s">
        <v>294</v>
      </c>
      <c r="E2056" s="7" t="s">
        <v>294</v>
      </c>
      <c r="F2056" s="3" t="s">
        <v>83</v>
      </c>
      <c r="G2056" s="3" t="n">
        <v>3</v>
      </c>
      <c r="H2056" s="3" t="n">
        <v>15</v>
      </c>
      <c r="I2056" s="22" t="n">
        <v>41794</v>
      </c>
      <c r="J2056" s="22" t="n">
        <v>41799</v>
      </c>
      <c r="K2056" s="43" t="n">
        <f aca="false">J2056-I2056</f>
        <v>5</v>
      </c>
      <c r="L2056" s="1" t="n">
        <v>5</v>
      </c>
      <c r="M2056" s="3" t="s">
        <v>32</v>
      </c>
      <c r="N2056" s="3" t="s">
        <v>249</v>
      </c>
      <c r="O2056" s="3" t="s">
        <v>250</v>
      </c>
      <c r="P2056" s="2" t="str">
        <f aca="false">CONCATENATE(N2056," ",O2056)</f>
        <v>Trichoncus vasconicus</v>
      </c>
      <c r="Q2056" s="1" t="s">
        <v>30</v>
      </c>
      <c r="R2056" s="1" t="s">
        <v>35</v>
      </c>
      <c r="S2056" s="3" t="n">
        <v>0</v>
      </c>
      <c r="T2056" s="3" t="n">
        <v>1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f aca="false">SUM(S2056:T2056)</f>
        <v>1</v>
      </c>
      <c r="Z2056" s="3" t="n">
        <f aca="false">SUM(U2056:W2056)</f>
        <v>0</v>
      </c>
      <c r="AA2056" s="3" t="n">
        <f aca="false">SUM(S2056:X2056)</f>
        <v>1</v>
      </c>
      <c r="AB2056" s="11" t="n">
        <f aca="false">(AA2056/(K2056*L2056)*25)*4</f>
        <v>4</v>
      </c>
    </row>
    <row r="2057" customFormat="false" ht="14.25" hidden="false" customHeight="false" outlineLevel="0" collapsed="false">
      <c r="A2057" s="1" t="n">
        <v>2014</v>
      </c>
      <c r="B2057" s="7" t="s">
        <v>322</v>
      </c>
      <c r="C2057" s="7" t="n">
        <v>2</v>
      </c>
      <c r="D2057" s="7" t="s">
        <v>294</v>
      </c>
      <c r="E2057" s="7" t="s">
        <v>294</v>
      </c>
      <c r="F2057" s="3" t="s">
        <v>83</v>
      </c>
      <c r="G2057" s="3" t="n">
        <v>3</v>
      </c>
      <c r="H2057" s="3" t="n">
        <v>15</v>
      </c>
      <c r="I2057" s="22" t="n">
        <v>41794</v>
      </c>
      <c r="J2057" s="22" t="n">
        <v>41799</v>
      </c>
      <c r="K2057" s="43" t="n">
        <f aca="false">J2057-I2057</f>
        <v>5</v>
      </c>
      <c r="L2057" s="1" t="n">
        <v>5</v>
      </c>
      <c r="M2057" s="3" t="s">
        <v>72</v>
      </c>
      <c r="N2057" s="3" t="s">
        <v>86</v>
      </c>
      <c r="O2057" s="3" t="s">
        <v>87</v>
      </c>
      <c r="P2057" s="2" t="str">
        <f aca="false">CONCATENATE(N2057," ",O2057)</f>
        <v>Haplodrassus soerenseni</v>
      </c>
      <c r="Q2057" s="1" t="s">
        <v>30</v>
      </c>
      <c r="R2057" s="1" t="s">
        <v>35</v>
      </c>
      <c r="S2057" s="3" t="n">
        <v>0</v>
      </c>
      <c r="T2057" s="3" t="n">
        <v>1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f aca="false">SUM(S2057:T2057)</f>
        <v>1</v>
      </c>
      <c r="Z2057" s="3" t="n">
        <f aca="false">SUM(U2057:W2057)</f>
        <v>0</v>
      </c>
      <c r="AA2057" s="3" t="n">
        <f aca="false">SUM(S2057:X2057)</f>
        <v>1</v>
      </c>
      <c r="AB2057" s="11" t="n">
        <f aca="false">(AA2057/(K2057*L2057)*25)*4</f>
        <v>4</v>
      </c>
    </row>
    <row r="2058" customFormat="false" ht="14.25" hidden="false" customHeight="false" outlineLevel="0" collapsed="false">
      <c r="A2058" s="1" t="n">
        <v>2014</v>
      </c>
      <c r="B2058" s="7" t="s">
        <v>322</v>
      </c>
      <c r="C2058" s="7" t="n">
        <v>2</v>
      </c>
      <c r="D2058" s="7" t="s">
        <v>294</v>
      </c>
      <c r="E2058" s="7" t="s">
        <v>294</v>
      </c>
      <c r="F2058" s="3" t="s">
        <v>83</v>
      </c>
      <c r="G2058" s="3" t="n">
        <v>3</v>
      </c>
      <c r="H2058" s="3" t="n">
        <v>15</v>
      </c>
      <c r="I2058" s="22" t="n">
        <v>41794</v>
      </c>
      <c r="J2058" s="22" t="n">
        <v>41799</v>
      </c>
      <c r="K2058" s="43" t="n">
        <f aca="false">J2058-I2058</f>
        <v>5</v>
      </c>
      <c r="L2058" s="1" t="n">
        <v>5</v>
      </c>
      <c r="M2058" s="3" t="s">
        <v>36</v>
      </c>
      <c r="N2058" s="3" t="s">
        <v>131</v>
      </c>
      <c r="O2058" s="3" t="s">
        <v>133</v>
      </c>
      <c r="P2058" s="2" t="str">
        <f aca="false">CONCATENATE(N2058," ",O2058)</f>
        <v>Xysticus luctuosus</v>
      </c>
      <c r="Q2058" s="1" t="s">
        <v>30</v>
      </c>
      <c r="R2058" s="1" t="s">
        <v>31</v>
      </c>
      <c r="S2058" s="3" t="n">
        <v>2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f aca="false">SUM(S2058:T2058)</f>
        <v>2</v>
      </c>
      <c r="Z2058" s="3" t="n">
        <f aca="false">SUM(U2058:W2058)</f>
        <v>0</v>
      </c>
      <c r="AA2058" s="3" t="n">
        <f aca="false">SUM(S2058:X2058)</f>
        <v>2</v>
      </c>
      <c r="AB2058" s="11" t="n">
        <f aca="false">(AA2058/(K2058*L2058)*25)*4</f>
        <v>8</v>
      </c>
    </row>
    <row r="2059" customFormat="false" ht="14.25" hidden="false" customHeight="false" outlineLevel="0" collapsed="false">
      <c r="A2059" s="1" t="n">
        <v>2014</v>
      </c>
      <c r="B2059" s="7" t="s">
        <v>322</v>
      </c>
      <c r="C2059" s="7" t="n">
        <v>2</v>
      </c>
      <c r="D2059" s="7" t="s">
        <v>294</v>
      </c>
      <c r="E2059" s="7" t="s">
        <v>294</v>
      </c>
      <c r="F2059" s="3" t="s">
        <v>83</v>
      </c>
      <c r="G2059" s="3" t="n">
        <v>3</v>
      </c>
      <c r="H2059" s="3" t="n">
        <v>15</v>
      </c>
      <c r="I2059" s="22" t="n">
        <v>41794</v>
      </c>
      <c r="J2059" s="22" t="n">
        <v>41799</v>
      </c>
      <c r="K2059" s="43" t="n">
        <f aca="false">J2059-I2059</f>
        <v>5</v>
      </c>
      <c r="L2059" s="1" t="n">
        <v>5</v>
      </c>
      <c r="M2059" s="3" t="s">
        <v>48</v>
      </c>
      <c r="N2059" s="3" t="s">
        <v>67</v>
      </c>
      <c r="O2059" s="3" t="s">
        <v>127</v>
      </c>
      <c r="P2059" s="2" t="str">
        <f aca="false">CONCATENATE(N2059," ",O2059)</f>
        <v>Pardosa lugubris</v>
      </c>
      <c r="Q2059" s="1" t="s">
        <v>30</v>
      </c>
      <c r="R2059" s="1" t="s">
        <v>31</v>
      </c>
      <c r="S2059" s="3" t="n">
        <v>3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f aca="false">SUM(S2059:T2059)</f>
        <v>3</v>
      </c>
      <c r="Z2059" s="3" t="n">
        <f aca="false">SUM(U2059:W2059)</f>
        <v>0</v>
      </c>
      <c r="AA2059" s="3" t="n">
        <f aca="false">SUM(S2059:X2059)</f>
        <v>3</v>
      </c>
      <c r="AB2059" s="11" t="n">
        <f aca="false">(AA2059/(K2059*L2059)*25)*4</f>
        <v>12</v>
      </c>
    </row>
    <row r="2060" customFormat="false" ht="14.25" hidden="false" customHeight="false" outlineLevel="0" collapsed="false">
      <c r="A2060" s="1" t="n">
        <v>2014</v>
      </c>
      <c r="B2060" s="7" t="s">
        <v>322</v>
      </c>
      <c r="C2060" s="7" t="n">
        <v>2</v>
      </c>
      <c r="D2060" s="7" t="s">
        <v>294</v>
      </c>
      <c r="E2060" s="7" t="s">
        <v>294</v>
      </c>
      <c r="F2060" s="3" t="s">
        <v>83</v>
      </c>
      <c r="G2060" s="3" t="n">
        <v>3</v>
      </c>
      <c r="H2060" s="3" t="n">
        <v>15</v>
      </c>
      <c r="I2060" s="22" t="n">
        <v>41794</v>
      </c>
      <c r="J2060" s="22" t="n">
        <v>41799</v>
      </c>
      <c r="K2060" s="43" t="n">
        <f aca="false">J2060-I2060</f>
        <v>5</v>
      </c>
      <c r="L2060" s="1" t="n">
        <v>5</v>
      </c>
      <c r="M2060" s="3" t="s">
        <v>48</v>
      </c>
      <c r="N2060" s="3" t="s">
        <v>49</v>
      </c>
      <c r="O2060" s="3" t="s">
        <v>104</v>
      </c>
      <c r="P2060" s="2" t="str">
        <f aca="false">CONCATENATE(N2060," ",O2060)</f>
        <v>Alopecosa taeniata</v>
      </c>
      <c r="Q2060" s="1" t="s">
        <v>30</v>
      </c>
      <c r="R2060" s="1" t="s">
        <v>31</v>
      </c>
      <c r="S2060" s="3" t="n">
        <v>3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f aca="false">SUM(S2060:T2060)</f>
        <v>3</v>
      </c>
      <c r="Z2060" s="3" t="n">
        <f aca="false">SUM(U2060:W2060)</f>
        <v>0</v>
      </c>
      <c r="AA2060" s="3" t="n">
        <f aca="false">SUM(S2060:X2060)</f>
        <v>3</v>
      </c>
      <c r="AB2060" s="11" t="n">
        <f aca="false">(AA2060/(K2060*L2060)*25)*4</f>
        <v>12</v>
      </c>
    </row>
    <row r="2061" customFormat="false" ht="14.25" hidden="false" customHeight="false" outlineLevel="0" collapsed="false">
      <c r="A2061" s="1" t="n">
        <v>2014</v>
      </c>
      <c r="B2061" s="7" t="s">
        <v>322</v>
      </c>
      <c r="C2061" s="7" t="n">
        <v>2</v>
      </c>
      <c r="D2061" s="7" t="s">
        <v>294</v>
      </c>
      <c r="E2061" s="7" t="s">
        <v>294</v>
      </c>
      <c r="F2061" s="3" t="s">
        <v>83</v>
      </c>
      <c r="G2061" s="3" t="n">
        <v>3</v>
      </c>
      <c r="H2061" s="3" t="n">
        <v>15</v>
      </c>
      <c r="I2061" s="22" t="n">
        <v>41794</v>
      </c>
      <c r="J2061" s="22" t="n">
        <v>41799</v>
      </c>
      <c r="K2061" s="43" t="n">
        <f aca="false">J2061-I2061</f>
        <v>5</v>
      </c>
      <c r="L2061" s="1" t="n">
        <v>5</v>
      </c>
      <c r="M2061" s="3" t="s">
        <v>48</v>
      </c>
      <c r="N2061" s="3" t="s">
        <v>49</v>
      </c>
      <c r="O2061" s="3" t="s">
        <v>130</v>
      </c>
      <c r="P2061" s="2" t="str">
        <f aca="false">CONCATENATE(N2061," ",O2061)</f>
        <v>Alopecosa aculeata</v>
      </c>
      <c r="Q2061" s="1" t="s">
        <v>30</v>
      </c>
      <c r="R2061" s="1" t="s">
        <v>31</v>
      </c>
      <c r="S2061" s="3" t="n">
        <v>2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f aca="false">SUM(S2061:T2061)</f>
        <v>2</v>
      </c>
      <c r="Z2061" s="3" t="n">
        <f aca="false">SUM(U2061:W2061)</f>
        <v>0</v>
      </c>
      <c r="AA2061" s="3" t="n">
        <f aca="false">SUM(S2061:X2061)</f>
        <v>2</v>
      </c>
      <c r="AB2061" s="11" t="n">
        <f aca="false">(AA2061/(K2061*L2061)*25)*4</f>
        <v>8</v>
      </c>
    </row>
    <row r="2062" customFormat="false" ht="14.25" hidden="false" customHeight="false" outlineLevel="0" collapsed="false">
      <c r="A2062" s="1" t="n">
        <v>2014</v>
      </c>
      <c r="B2062" s="7" t="s">
        <v>322</v>
      </c>
      <c r="C2062" s="7" t="n">
        <v>2</v>
      </c>
      <c r="D2062" s="7" t="s">
        <v>293</v>
      </c>
      <c r="E2062" s="7" t="s">
        <v>293</v>
      </c>
      <c r="F2062" s="3" t="s">
        <v>26</v>
      </c>
      <c r="G2062" s="3" t="n">
        <v>2</v>
      </c>
      <c r="H2062" s="3" t="n">
        <v>10</v>
      </c>
      <c r="I2062" s="22" t="n">
        <v>41793</v>
      </c>
      <c r="J2062" s="22" t="n">
        <v>41798</v>
      </c>
      <c r="K2062" s="43" t="n">
        <f aca="false">J2062-I2062</f>
        <v>5</v>
      </c>
      <c r="L2062" s="1" t="n">
        <v>5</v>
      </c>
      <c r="M2062" s="3" t="s">
        <v>92</v>
      </c>
      <c r="N2062" s="3" t="s">
        <v>171</v>
      </c>
      <c r="O2062" s="3" t="s">
        <v>172</v>
      </c>
      <c r="P2062" s="2" t="str">
        <f aca="false">CONCATENATE(N2062," ",O2062)</f>
        <v>Euophrys frontalis</v>
      </c>
      <c r="Q2062" s="1" t="s">
        <v>30</v>
      </c>
      <c r="R2062" s="1" t="s">
        <v>31</v>
      </c>
      <c r="S2062" s="3" t="n">
        <v>1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f aca="false">SUM(S2062:T2062)</f>
        <v>1</v>
      </c>
      <c r="Z2062" s="3" t="n">
        <f aca="false">SUM(U2062:W2062)</f>
        <v>0</v>
      </c>
      <c r="AA2062" s="3" t="n">
        <f aca="false">SUM(S2062:X2062)</f>
        <v>1</v>
      </c>
      <c r="AB2062" s="11" t="n">
        <f aca="false">(AA2062/(K2062*L2062)*25)*4</f>
        <v>4</v>
      </c>
    </row>
    <row r="2063" customFormat="false" ht="14.25" hidden="false" customHeight="false" outlineLevel="0" collapsed="false">
      <c r="A2063" s="1" t="n">
        <v>2014</v>
      </c>
      <c r="B2063" s="7" t="s">
        <v>322</v>
      </c>
      <c r="C2063" s="7" t="n">
        <v>2</v>
      </c>
      <c r="D2063" s="7" t="s">
        <v>293</v>
      </c>
      <c r="E2063" s="7" t="s">
        <v>293</v>
      </c>
      <c r="F2063" s="3" t="s">
        <v>26</v>
      </c>
      <c r="G2063" s="3" t="n">
        <v>2</v>
      </c>
      <c r="H2063" s="3" t="n">
        <v>10</v>
      </c>
      <c r="I2063" s="22" t="n">
        <v>41793</v>
      </c>
      <c r="J2063" s="22" t="n">
        <v>41798</v>
      </c>
      <c r="K2063" s="43" t="n">
        <f aca="false">J2063-I2063</f>
        <v>5</v>
      </c>
      <c r="L2063" s="1" t="n">
        <v>5</v>
      </c>
      <c r="M2063" s="3" t="s">
        <v>72</v>
      </c>
      <c r="N2063" s="3" t="s">
        <v>86</v>
      </c>
      <c r="O2063" s="3" t="s">
        <v>87</v>
      </c>
      <c r="P2063" s="2" t="str">
        <f aca="false">CONCATENATE(N2063," ",O2063)</f>
        <v>Haplodrassus soerenseni</v>
      </c>
      <c r="Q2063" s="1" t="s">
        <v>30</v>
      </c>
      <c r="R2063" s="1" t="s">
        <v>31</v>
      </c>
      <c r="S2063" s="3" t="n">
        <v>1</v>
      </c>
      <c r="T2063" s="3" t="n">
        <v>0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f aca="false">SUM(S2063:T2063)</f>
        <v>1</v>
      </c>
      <c r="Z2063" s="3" t="n">
        <f aca="false">SUM(U2063:W2063)</f>
        <v>0</v>
      </c>
      <c r="AA2063" s="3" t="n">
        <f aca="false">SUM(S2063:X2063)</f>
        <v>1</v>
      </c>
      <c r="AB2063" s="11" t="n">
        <f aca="false">(AA2063/(K2063*L2063)*25)*4</f>
        <v>4</v>
      </c>
    </row>
    <row r="2064" customFormat="false" ht="14.25" hidden="false" customHeight="false" outlineLevel="0" collapsed="false">
      <c r="A2064" s="1" t="n">
        <v>2014</v>
      </c>
      <c r="B2064" s="7" t="s">
        <v>322</v>
      </c>
      <c r="C2064" s="7" t="n">
        <v>2</v>
      </c>
      <c r="D2064" s="7" t="s">
        <v>293</v>
      </c>
      <c r="E2064" s="7" t="s">
        <v>293</v>
      </c>
      <c r="F2064" s="3" t="s">
        <v>26</v>
      </c>
      <c r="G2064" s="3" t="n">
        <v>2</v>
      </c>
      <c r="H2064" s="3" t="n">
        <v>10</v>
      </c>
      <c r="I2064" s="22" t="n">
        <v>41793</v>
      </c>
      <c r="J2064" s="22" t="n">
        <v>41798</v>
      </c>
      <c r="K2064" s="43" t="n">
        <f aca="false">J2064-I2064</f>
        <v>5</v>
      </c>
      <c r="L2064" s="1" t="n">
        <v>5</v>
      </c>
      <c r="M2064" s="3" t="s">
        <v>36</v>
      </c>
      <c r="N2064" s="3" t="s">
        <v>131</v>
      </c>
      <c r="O2064" s="3" t="s">
        <v>133</v>
      </c>
      <c r="P2064" s="2" t="str">
        <f aca="false">CONCATENATE(N2064," ",O2064)</f>
        <v>Xysticus luctuosus</v>
      </c>
      <c r="Q2064" s="1" t="s">
        <v>30</v>
      </c>
      <c r="R2064" s="1" t="s">
        <v>31</v>
      </c>
      <c r="S2064" s="3" t="n">
        <v>2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f aca="false">SUM(S2064:T2064)</f>
        <v>2</v>
      </c>
      <c r="Z2064" s="3" t="n">
        <f aca="false">SUM(U2064:W2064)</f>
        <v>0</v>
      </c>
      <c r="AA2064" s="3" t="n">
        <f aca="false">SUM(S2064:X2064)</f>
        <v>2</v>
      </c>
      <c r="AB2064" s="11" t="n">
        <f aca="false">(AA2064/(K2064*L2064)*25)*4</f>
        <v>8</v>
      </c>
    </row>
    <row r="2065" customFormat="false" ht="14.25" hidden="false" customHeight="false" outlineLevel="0" collapsed="false">
      <c r="A2065" s="1" t="n">
        <v>2014</v>
      </c>
      <c r="B2065" s="7" t="s">
        <v>322</v>
      </c>
      <c r="C2065" s="7" t="n">
        <v>2</v>
      </c>
      <c r="D2065" s="7" t="s">
        <v>293</v>
      </c>
      <c r="E2065" s="7" t="s">
        <v>293</v>
      </c>
      <c r="F2065" s="3" t="s">
        <v>26</v>
      </c>
      <c r="G2065" s="3" t="n">
        <v>2</v>
      </c>
      <c r="H2065" s="3" t="n">
        <v>10</v>
      </c>
      <c r="I2065" s="22" t="n">
        <v>41793</v>
      </c>
      <c r="J2065" s="22" t="n">
        <v>41798</v>
      </c>
      <c r="K2065" s="43" t="n">
        <f aca="false">J2065-I2065</f>
        <v>5</v>
      </c>
      <c r="L2065" s="1" t="n">
        <v>5</v>
      </c>
      <c r="M2065" s="3" t="s">
        <v>36</v>
      </c>
      <c r="N2065" s="3" t="s">
        <v>37</v>
      </c>
      <c r="O2065" s="3" t="s">
        <v>75</v>
      </c>
      <c r="P2065" s="2" t="str">
        <f aca="false">CONCATENATE(N2065," ",O2065)</f>
        <v>Ozyptila praticola</v>
      </c>
      <c r="Q2065" s="1" t="s">
        <v>30</v>
      </c>
      <c r="R2065" s="1" t="s">
        <v>31</v>
      </c>
      <c r="S2065" s="3" t="n">
        <v>1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f aca="false">SUM(S2065:T2065)</f>
        <v>1</v>
      </c>
      <c r="Z2065" s="3" t="n">
        <f aca="false">SUM(U2065:W2065)</f>
        <v>0</v>
      </c>
      <c r="AA2065" s="3" t="n">
        <f aca="false">SUM(S2065:X2065)</f>
        <v>1</v>
      </c>
      <c r="AB2065" s="11" t="n">
        <f aca="false">(AA2065/(K2065*L2065)*25)*4</f>
        <v>4</v>
      </c>
    </row>
    <row r="2066" customFormat="false" ht="14.25" hidden="false" customHeight="false" outlineLevel="0" collapsed="false">
      <c r="A2066" s="1" t="n">
        <v>2014</v>
      </c>
      <c r="B2066" s="7" t="s">
        <v>322</v>
      </c>
      <c r="C2066" s="7" t="n">
        <v>2</v>
      </c>
      <c r="D2066" s="7" t="s">
        <v>293</v>
      </c>
      <c r="E2066" s="7" t="s">
        <v>293</v>
      </c>
      <c r="F2066" s="3" t="s">
        <v>26</v>
      </c>
      <c r="G2066" s="3" t="n">
        <v>2</v>
      </c>
      <c r="H2066" s="3" t="n">
        <v>10</v>
      </c>
      <c r="I2066" s="22" t="n">
        <v>41793</v>
      </c>
      <c r="J2066" s="22" t="n">
        <v>41798</v>
      </c>
      <c r="K2066" s="43" t="n">
        <f aca="false">J2066-I2066</f>
        <v>5</v>
      </c>
      <c r="L2066" s="1" t="n">
        <v>5</v>
      </c>
      <c r="M2066" s="3" t="s">
        <v>32</v>
      </c>
      <c r="N2066" s="3" t="s">
        <v>169</v>
      </c>
      <c r="O2066" s="3" t="s">
        <v>170</v>
      </c>
      <c r="P2066" s="2" t="str">
        <f aca="false">CONCATENATE(N2066," ",O2066)</f>
        <v>Abacoproeces saltuum</v>
      </c>
      <c r="Q2066" s="1" t="s">
        <v>30</v>
      </c>
      <c r="R2066" s="1" t="s">
        <v>35</v>
      </c>
      <c r="S2066" s="3" t="n">
        <v>0</v>
      </c>
      <c r="T2066" s="3" t="n">
        <v>1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f aca="false">SUM(S2066:T2066)</f>
        <v>1</v>
      </c>
      <c r="Z2066" s="3" t="n">
        <f aca="false">SUM(U2066:W2066)</f>
        <v>0</v>
      </c>
      <c r="AA2066" s="3" t="n">
        <f aca="false">SUM(S2066:X2066)</f>
        <v>1</v>
      </c>
      <c r="AB2066" s="11" t="n">
        <f aca="false">(AA2066/(K2066*L2066)*25)*4</f>
        <v>4</v>
      </c>
    </row>
    <row r="2067" customFormat="false" ht="14.25" hidden="false" customHeight="false" outlineLevel="0" collapsed="false">
      <c r="A2067" s="1" t="n">
        <v>2014</v>
      </c>
      <c r="B2067" s="7" t="s">
        <v>322</v>
      </c>
      <c r="C2067" s="7" t="n">
        <v>2</v>
      </c>
      <c r="D2067" s="7" t="s">
        <v>293</v>
      </c>
      <c r="E2067" s="7" t="s">
        <v>293</v>
      </c>
      <c r="F2067" s="3" t="s">
        <v>26</v>
      </c>
      <c r="G2067" s="3" t="n">
        <v>2</v>
      </c>
      <c r="H2067" s="3" t="n">
        <v>10</v>
      </c>
      <c r="I2067" s="22" t="n">
        <v>41793</v>
      </c>
      <c r="J2067" s="22" t="n">
        <v>41798</v>
      </c>
      <c r="K2067" s="43" t="n">
        <f aca="false">J2067-I2067</f>
        <v>5</v>
      </c>
      <c r="L2067" s="1" t="n">
        <v>5</v>
      </c>
      <c r="M2067" s="3" t="s">
        <v>32</v>
      </c>
      <c r="N2067" s="3" t="s">
        <v>90</v>
      </c>
      <c r="O2067" s="3" t="s">
        <v>91</v>
      </c>
      <c r="P2067" s="2" t="str">
        <f aca="false">CONCATENATE(N2067," ",O2067)</f>
        <v>Tapinocyba insecta</v>
      </c>
      <c r="Q2067" s="1" t="s">
        <v>30</v>
      </c>
      <c r="R2067" s="1" t="s">
        <v>31</v>
      </c>
      <c r="S2067" s="3" t="n">
        <v>1</v>
      </c>
      <c r="T2067" s="3" t="n">
        <v>0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f aca="false">SUM(S2067:T2067)</f>
        <v>1</v>
      </c>
      <c r="Z2067" s="3" t="n">
        <f aca="false">SUM(U2067:W2067)</f>
        <v>0</v>
      </c>
      <c r="AA2067" s="3" t="n">
        <f aca="false">SUM(S2067:X2067)</f>
        <v>1</v>
      </c>
      <c r="AB2067" s="11" t="n">
        <f aca="false">(AA2067/(K2067*L2067)*25)*4</f>
        <v>4</v>
      </c>
    </row>
    <row r="2068" customFormat="false" ht="14.25" hidden="false" customHeight="false" outlineLevel="0" collapsed="false">
      <c r="A2068" s="1" t="n">
        <v>2014</v>
      </c>
      <c r="B2068" s="7" t="s">
        <v>322</v>
      </c>
      <c r="C2068" s="7" t="n">
        <v>2</v>
      </c>
      <c r="D2068" s="7" t="s">
        <v>293</v>
      </c>
      <c r="E2068" s="7" t="s">
        <v>293</v>
      </c>
      <c r="F2068" s="3" t="s">
        <v>26</v>
      </c>
      <c r="G2068" s="3" t="n">
        <v>2</v>
      </c>
      <c r="H2068" s="3" t="n">
        <v>10</v>
      </c>
      <c r="I2068" s="22" t="n">
        <v>41793</v>
      </c>
      <c r="J2068" s="22" t="n">
        <v>41798</v>
      </c>
      <c r="K2068" s="43" t="n">
        <f aca="false">J2068-I2068</f>
        <v>5</v>
      </c>
      <c r="L2068" s="1" t="n">
        <v>5</v>
      </c>
      <c r="M2068" s="3" t="s">
        <v>48</v>
      </c>
      <c r="N2068" s="3" t="s">
        <v>67</v>
      </c>
      <c r="O2068" s="3" t="s">
        <v>127</v>
      </c>
      <c r="P2068" s="2" t="str">
        <f aca="false">CONCATENATE(N2068," ",O2068)</f>
        <v>Pardosa lugubris</v>
      </c>
      <c r="Q2068" s="1" t="s">
        <v>30</v>
      </c>
      <c r="R2068" s="1" t="s">
        <v>31</v>
      </c>
      <c r="S2068" s="3" t="n">
        <v>3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f aca="false">SUM(S2068:T2068)</f>
        <v>3</v>
      </c>
      <c r="Z2068" s="3" t="n">
        <f aca="false">SUM(U2068:W2068)</f>
        <v>0</v>
      </c>
      <c r="AA2068" s="3" t="n">
        <f aca="false">SUM(S2068:X2068)</f>
        <v>3</v>
      </c>
      <c r="AB2068" s="11" t="n">
        <f aca="false">(AA2068/(K2068*L2068)*25)*4</f>
        <v>12</v>
      </c>
    </row>
    <row r="2069" customFormat="false" ht="14.25" hidden="false" customHeight="false" outlineLevel="0" collapsed="false">
      <c r="A2069" s="1" t="n">
        <v>2014</v>
      </c>
      <c r="B2069" s="7" t="s">
        <v>322</v>
      </c>
      <c r="C2069" s="7" t="n">
        <v>2</v>
      </c>
      <c r="D2069" s="7" t="s">
        <v>293</v>
      </c>
      <c r="E2069" s="7" t="s">
        <v>293</v>
      </c>
      <c r="F2069" s="3" t="s">
        <v>26</v>
      </c>
      <c r="G2069" s="3" t="n">
        <v>2</v>
      </c>
      <c r="H2069" s="3" t="n">
        <v>10</v>
      </c>
      <c r="I2069" s="22" t="n">
        <v>41793</v>
      </c>
      <c r="J2069" s="22" t="n">
        <v>41798</v>
      </c>
      <c r="K2069" s="43" t="n">
        <f aca="false">J2069-I2069</f>
        <v>5</v>
      </c>
      <c r="L2069" s="1" t="n">
        <v>5</v>
      </c>
      <c r="M2069" s="3" t="s">
        <v>48</v>
      </c>
      <c r="N2069" s="3" t="s">
        <v>49</v>
      </c>
      <c r="O2069" s="3" t="s">
        <v>104</v>
      </c>
      <c r="P2069" s="2" t="str">
        <f aca="false">CONCATENATE(N2069," ",O2069)</f>
        <v>Alopecosa taeniata</v>
      </c>
      <c r="Q2069" s="1" t="s">
        <v>30</v>
      </c>
      <c r="R2069" s="1" t="s">
        <v>31</v>
      </c>
      <c r="S2069" s="3" t="n">
        <v>5</v>
      </c>
      <c r="T2069" s="3" t="n">
        <v>0</v>
      </c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f aca="false">SUM(S2069:T2069)</f>
        <v>5</v>
      </c>
      <c r="Z2069" s="3" t="n">
        <f aca="false">SUM(U2069:W2069)</f>
        <v>0</v>
      </c>
      <c r="AA2069" s="3" t="n">
        <f aca="false">SUM(S2069:X2069)</f>
        <v>5</v>
      </c>
      <c r="AB2069" s="11" t="n">
        <f aca="false">(AA2069/(K2069*L2069)*25)*4</f>
        <v>20</v>
      </c>
    </row>
    <row r="2070" customFormat="false" ht="14.25" hidden="false" customHeight="false" outlineLevel="0" collapsed="false">
      <c r="A2070" s="1" t="n">
        <v>2014</v>
      </c>
      <c r="B2070" s="7" t="s">
        <v>322</v>
      </c>
      <c r="C2070" s="7" t="n">
        <v>2</v>
      </c>
      <c r="D2070" s="7" t="s">
        <v>293</v>
      </c>
      <c r="E2070" s="7" t="s">
        <v>293</v>
      </c>
      <c r="F2070" s="3" t="s">
        <v>26</v>
      </c>
      <c r="G2070" s="3" t="n">
        <v>2</v>
      </c>
      <c r="H2070" s="3" t="n">
        <v>10</v>
      </c>
      <c r="I2070" s="22" t="n">
        <v>41793</v>
      </c>
      <c r="J2070" s="22" t="n">
        <v>41798</v>
      </c>
      <c r="K2070" s="43" t="n">
        <f aca="false">J2070-I2070</f>
        <v>5</v>
      </c>
      <c r="L2070" s="1" t="n">
        <v>5</v>
      </c>
      <c r="M2070" s="3" t="s">
        <v>48</v>
      </c>
      <c r="N2070" s="3" t="s">
        <v>49</v>
      </c>
      <c r="O2070" s="3" t="s">
        <v>104</v>
      </c>
      <c r="P2070" s="2" t="str">
        <f aca="false">CONCATENATE(N2070," ",O2070)</f>
        <v>Alopecosa taeniata</v>
      </c>
      <c r="Q2070" s="1" t="s">
        <v>30</v>
      </c>
      <c r="R2070" s="1" t="s">
        <v>35</v>
      </c>
      <c r="S2070" s="3" t="n">
        <v>0</v>
      </c>
      <c r="T2070" s="3" t="n">
        <v>1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f aca="false">SUM(S2070:T2070)</f>
        <v>1</v>
      </c>
      <c r="Z2070" s="3" t="n">
        <f aca="false">SUM(U2070:W2070)</f>
        <v>0</v>
      </c>
      <c r="AA2070" s="3" t="n">
        <f aca="false">SUM(S2070:X2070)</f>
        <v>1</v>
      </c>
      <c r="AB2070" s="11" t="n">
        <f aca="false">(AA2070/(K2070*L2070)*25)*4</f>
        <v>4</v>
      </c>
    </row>
    <row r="2071" customFormat="false" ht="14.25" hidden="false" customHeight="false" outlineLevel="0" collapsed="false">
      <c r="A2071" s="1" t="n">
        <v>2014</v>
      </c>
      <c r="B2071" s="7" t="s">
        <v>322</v>
      </c>
      <c r="C2071" s="7" t="n">
        <v>2</v>
      </c>
      <c r="D2071" s="7" t="s">
        <v>293</v>
      </c>
      <c r="E2071" s="7" t="s">
        <v>293</v>
      </c>
      <c r="F2071" s="3" t="s">
        <v>26</v>
      </c>
      <c r="G2071" s="3" t="n">
        <v>2</v>
      </c>
      <c r="H2071" s="3" t="n">
        <v>6</v>
      </c>
      <c r="I2071" s="22" t="n">
        <v>41793</v>
      </c>
      <c r="J2071" s="22" t="n">
        <v>41798</v>
      </c>
      <c r="K2071" s="43" t="n">
        <f aca="false">J2071-I2071</f>
        <v>5</v>
      </c>
      <c r="L2071" s="1" t="n">
        <v>5</v>
      </c>
      <c r="M2071" s="3" t="s">
        <v>48</v>
      </c>
      <c r="N2071" s="3" t="s">
        <v>67</v>
      </c>
      <c r="O2071" s="3" t="s">
        <v>127</v>
      </c>
      <c r="P2071" s="2" t="str">
        <f aca="false">CONCATENATE(N2071," ",O2071)</f>
        <v>Pardosa lugubris</v>
      </c>
      <c r="Q2071" s="1" t="s">
        <v>30</v>
      </c>
      <c r="R2071" s="1" t="s">
        <v>31</v>
      </c>
      <c r="S2071" s="3" t="n">
        <v>2</v>
      </c>
      <c r="T2071" s="3" t="n">
        <v>0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f aca="false">SUM(S2071:T2071)</f>
        <v>2</v>
      </c>
      <c r="Z2071" s="3" t="n">
        <f aca="false">SUM(U2071:W2071)</f>
        <v>0</v>
      </c>
      <c r="AA2071" s="3" t="n">
        <f aca="false">SUM(S2071:X2071)</f>
        <v>2</v>
      </c>
      <c r="AB2071" s="11" t="n">
        <f aca="false">(AA2071/(K2071*L2071)*25)*4</f>
        <v>8</v>
      </c>
    </row>
    <row r="2072" customFormat="false" ht="14.25" hidden="false" customHeight="false" outlineLevel="0" collapsed="false">
      <c r="A2072" s="1" t="n">
        <v>2014</v>
      </c>
      <c r="B2072" s="7" t="s">
        <v>322</v>
      </c>
      <c r="C2072" s="7" t="n">
        <v>2</v>
      </c>
      <c r="D2072" s="7" t="s">
        <v>293</v>
      </c>
      <c r="E2072" s="7" t="s">
        <v>293</v>
      </c>
      <c r="F2072" s="3" t="s">
        <v>26</v>
      </c>
      <c r="G2072" s="3" t="n">
        <v>2</v>
      </c>
      <c r="H2072" s="3" t="n">
        <v>6</v>
      </c>
      <c r="I2072" s="22" t="n">
        <v>41793</v>
      </c>
      <c r="J2072" s="22" t="n">
        <v>41798</v>
      </c>
      <c r="K2072" s="43" t="n">
        <f aca="false">J2072-I2072</f>
        <v>5</v>
      </c>
      <c r="L2072" s="1" t="n">
        <v>5</v>
      </c>
      <c r="M2072" s="3" t="s">
        <v>48</v>
      </c>
      <c r="N2072" s="3" t="s">
        <v>49</v>
      </c>
      <c r="O2072" s="3" t="s">
        <v>104</v>
      </c>
      <c r="P2072" s="2" t="str">
        <f aca="false">CONCATENATE(N2072," ",O2072)</f>
        <v>Alopecosa taeniata</v>
      </c>
      <c r="Q2072" s="1" t="s">
        <v>30</v>
      </c>
      <c r="R2072" s="1" t="s">
        <v>31</v>
      </c>
      <c r="S2072" s="3" t="n">
        <v>1</v>
      </c>
      <c r="T2072" s="3" t="n">
        <v>0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f aca="false">SUM(S2072:T2072)</f>
        <v>1</v>
      </c>
      <c r="Z2072" s="3" t="n">
        <f aca="false">SUM(U2072:W2072)</f>
        <v>0</v>
      </c>
      <c r="AA2072" s="3" t="n">
        <f aca="false">SUM(S2072:X2072)</f>
        <v>1</v>
      </c>
      <c r="AB2072" s="11" t="n">
        <f aca="false">(AA2072/(K2072*L2072)*25)*4</f>
        <v>4</v>
      </c>
    </row>
    <row r="2073" customFormat="false" ht="14.25" hidden="false" customHeight="false" outlineLevel="0" collapsed="false">
      <c r="A2073" s="1" t="n">
        <v>2014</v>
      </c>
      <c r="B2073" s="7" t="s">
        <v>322</v>
      </c>
      <c r="C2073" s="7" t="n">
        <v>2</v>
      </c>
      <c r="D2073" s="7" t="s">
        <v>293</v>
      </c>
      <c r="E2073" s="7" t="s">
        <v>293</v>
      </c>
      <c r="F2073" s="3" t="s">
        <v>26</v>
      </c>
      <c r="G2073" s="3" t="n">
        <v>2</v>
      </c>
      <c r="H2073" s="3" t="n">
        <v>6</v>
      </c>
      <c r="I2073" s="22" t="n">
        <v>41793</v>
      </c>
      <c r="J2073" s="22" t="n">
        <v>41798</v>
      </c>
      <c r="K2073" s="43" t="n">
        <f aca="false">J2073-I2073</f>
        <v>5</v>
      </c>
      <c r="L2073" s="1" t="n">
        <v>5</v>
      </c>
      <c r="M2073" s="3" t="s">
        <v>48</v>
      </c>
      <c r="N2073" s="3" t="s">
        <v>49</v>
      </c>
      <c r="O2073" s="3" t="s">
        <v>104</v>
      </c>
      <c r="P2073" s="2" t="str">
        <f aca="false">CONCATENATE(N2073," ",O2073)</f>
        <v>Alopecosa taeniata</v>
      </c>
      <c r="Q2073" s="1" t="s">
        <v>30</v>
      </c>
      <c r="R2073" s="1" t="s">
        <v>35</v>
      </c>
      <c r="S2073" s="3" t="n">
        <v>0</v>
      </c>
      <c r="T2073" s="3" t="n">
        <v>1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f aca="false">SUM(S2073:T2073)</f>
        <v>1</v>
      </c>
      <c r="Z2073" s="3" t="n">
        <f aca="false">SUM(U2073:W2073)</f>
        <v>0</v>
      </c>
      <c r="AA2073" s="3" t="n">
        <f aca="false">SUM(S2073:X2073)</f>
        <v>1</v>
      </c>
      <c r="AB2073" s="11" t="n">
        <f aca="false">(AA2073/(K2073*L2073)*25)*4</f>
        <v>4</v>
      </c>
    </row>
    <row r="2074" customFormat="false" ht="14.25" hidden="false" customHeight="false" outlineLevel="0" collapsed="false">
      <c r="A2074" s="1" t="n">
        <v>2014</v>
      </c>
      <c r="B2074" s="7" t="s">
        <v>322</v>
      </c>
      <c r="C2074" s="7" t="n">
        <v>2</v>
      </c>
      <c r="D2074" s="7" t="s">
        <v>293</v>
      </c>
      <c r="E2074" s="7" t="s">
        <v>293</v>
      </c>
      <c r="F2074" s="3" t="s">
        <v>26</v>
      </c>
      <c r="G2074" s="3" t="n">
        <v>2</v>
      </c>
      <c r="H2074" s="3" t="n">
        <v>6</v>
      </c>
      <c r="I2074" s="22" t="n">
        <v>41793</v>
      </c>
      <c r="J2074" s="22" t="n">
        <v>41798</v>
      </c>
      <c r="K2074" s="43" t="n">
        <f aca="false">J2074-I2074</f>
        <v>5</v>
      </c>
      <c r="L2074" s="1" t="n">
        <v>5</v>
      </c>
      <c r="M2074" s="3" t="s">
        <v>36</v>
      </c>
      <c r="N2074" s="3" t="s">
        <v>131</v>
      </c>
      <c r="O2074" s="3" t="s">
        <v>133</v>
      </c>
      <c r="P2074" s="2" t="str">
        <f aca="false">CONCATENATE(N2074," ",O2074)</f>
        <v>Xysticus luctuosus</v>
      </c>
      <c r="Q2074" s="1" t="s">
        <v>30</v>
      </c>
      <c r="R2074" s="1" t="s">
        <v>31</v>
      </c>
      <c r="S2074" s="3" t="n">
        <v>1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f aca="false">SUM(S2074:T2074)</f>
        <v>1</v>
      </c>
      <c r="Z2074" s="3" t="n">
        <f aca="false">SUM(U2074:W2074)</f>
        <v>0</v>
      </c>
      <c r="AA2074" s="3" t="n">
        <f aca="false">SUM(S2074:X2074)</f>
        <v>1</v>
      </c>
      <c r="AB2074" s="11" t="n">
        <f aca="false">(AA2074/(K2074*L2074)*25)*4</f>
        <v>4</v>
      </c>
    </row>
    <row r="2075" customFormat="false" ht="14.25" hidden="false" customHeight="false" outlineLevel="0" collapsed="false">
      <c r="A2075" s="1" t="n">
        <v>2014</v>
      </c>
      <c r="B2075" s="7" t="s">
        <v>322</v>
      </c>
      <c r="C2075" s="7" t="n">
        <v>2</v>
      </c>
      <c r="D2075" s="7" t="s">
        <v>293</v>
      </c>
      <c r="E2075" s="7" t="s">
        <v>293</v>
      </c>
      <c r="F2075" s="3" t="s">
        <v>26</v>
      </c>
      <c r="G2075" s="3" t="n">
        <v>2</v>
      </c>
      <c r="H2075" s="3" t="n">
        <v>6</v>
      </c>
      <c r="I2075" s="22" t="n">
        <v>41793</v>
      </c>
      <c r="J2075" s="22" t="n">
        <v>41798</v>
      </c>
      <c r="K2075" s="43" t="n">
        <f aca="false">J2075-I2075</f>
        <v>5</v>
      </c>
      <c r="L2075" s="1" t="n">
        <v>5</v>
      </c>
      <c r="M2075" s="3" t="s">
        <v>36</v>
      </c>
      <c r="N2075" s="3" t="s">
        <v>37</v>
      </c>
      <c r="O2075" s="3" t="s">
        <v>75</v>
      </c>
      <c r="P2075" s="2" t="str">
        <f aca="false">CONCATENATE(N2075," ",O2075)</f>
        <v>Ozyptila praticola</v>
      </c>
      <c r="Q2075" s="1" t="s">
        <v>30</v>
      </c>
      <c r="R2075" s="1" t="s">
        <v>31</v>
      </c>
      <c r="S2075" s="3" t="n">
        <v>1</v>
      </c>
      <c r="T2075" s="3" t="n">
        <v>0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f aca="false">SUM(S2075:T2075)</f>
        <v>1</v>
      </c>
      <c r="Z2075" s="3" t="n">
        <f aca="false">SUM(U2075:W2075)</f>
        <v>0</v>
      </c>
      <c r="AA2075" s="3" t="n">
        <f aca="false">SUM(S2075:X2075)</f>
        <v>1</v>
      </c>
      <c r="AB2075" s="11" t="n">
        <f aca="false">(AA2075/(K2075*L2075)*25)*4</f>
        <v>4</v>
      </c>
    </row>
    <row r="2076" customFormat="false" ht="14.25" hidden="false" customHeight="false" outlineLevel="0" collapsed="false">
      <c r="A2076" s="1" t="n">
        <v>2014</v>
      </c>
      <c r="B2076" s="7" t="s">
        <v>322</v>
      </c>
      <c r="C2076" s="7" t="n">
        <v>2</v>
      </c>
      <c r="D2076" s="7" t="s">
        <v>293</v>
      </c>
      <c r="E2076" s="7" t="s">
        <v>293</v>
      </c>
      <c r="F2076" s="3" t="s">
        <v>26</v>
      </c>
      <c r="G2076" s="3" t="n">
        <v>2</v>
      </c>
      <c r="H2076" s="3" t="n">
        <v>6</v>
      </c>
      <c r="I2076" s="22" t="n">
        <v>41793</v>
      </c>
      <c r="J2076" s="22" t="n">
        <v>41798</v>
      </c>
      <c r="K2076" s="43" t="n">
        <f aca="false">J2076-I2076</f>
        <v>5</v>
      </c>
      <c r="L2076" s="1" t="n">
        <v>5</v>
      </c>
      <c r="M2076" s="3" t="s">
        <v>32</v>
      </c>
      <c r="N2076" s="3" t="s">
        <v>96</v>
      </c>
      <c r="O2076" s="3" t="s">
        <v>97</v>
      </c>
      <c r="P2076" s="2" t="str">
        <f aca="false">CONCATENATE(N2076," ",O2076)</f>
        <v>Diplocephalus picinus</v>
      </c>
      <c r="Q2076" s="1" t="s">
        <v>30</v>
      </c>
      <c r="R2076" s="1" t="s">
        <v>31</v>
      </c>
      <c r="S2076" s="3" t="n">
        <v>1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f aca="false">SUM(S2076:T2076)</f>
        <v>1</v>
      </c>
      <c r="Z2076" s="3" t="n">
        <f aca="false">SUM(U2076:W2076)</f>
        <v>0</v>
      </c>
      <c r="AA2076" s="3" t="n">
        <f aca="false">SUM(S2076:X2076)</f>
        <v>1</v>
      </c>
      <c r="AB2076" s="11" t="n">
        <f aca="false">(AA2076/(K2076*L2076)*25)*4</f>
        <v>4</v>
      </c>
    </row>
    <row r="2077" customFormat="false" ht="14.25" hidden="false" customHeight="false" outlineLevel="0" collapsed="false">
      <c r="A2077" s="1" t="n">
        <v>2014</v>
      </c>
      <c r="B2077" s="7" t="s">
        <v>322</v>
      </c>
      <c r="C2077" s="7" t="n">
        <v>2</v>
      </c>
      <c r="D2077" s="7" t="s">
        <v>293</v>
      </c>
      <c r="E2077" s="7" t="s">
        <v>293</v>
      </c>
      <c r="F2077" s="3" t="s">
        <v>26</v>
      </c>
      <c r="G2077" s="3" t="n">
        <v>2</v>
      </c>
      <c r="H2077" s="3" t="n">
        <v>6</v>
      </c>
      <c r="I2077" s="22" t="n">
        <v>41793</v>
      </c>
      <c r="J2077" s="22" t="n">
        <v>41798</v>
      </c>
      <c r="K2077" s="43" t="n">
        <f aca="false">J2077-I2077</f>
        <v>5</v>
      </c>
      <c r="L2077" s="1" t="n">
        <v>5</v>
      </c>
      <c r="M2077" s="3" t="s">
        <v>32</v>
      </c>
      <c r="N2077" s="3" t="s">
        <v>93</v>
      </c>
      <c r="O2077" s="3" t="s">
        <v>94</v>
      </c>
      <c r="P2077" s="2" t="str">
        <f aca="false">CONCATENATE(N2077," ",O2077)</f>
        <v>Anguliphantes angulipalpis</v>
      </c>
      <c r="Q2077" s="1" t="s">
        <v>30</v>
      </c>
      <c r="R2077" s="1" t="s">
        <v>35</v>
      </c>
      <c r="S2077" s="3" t="n">
        <v>0</v>
      </c>
      <c r="T2077" s="3" t="n">
        <v>1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f aca="false">SUM(S2077:T2077)</f>
        <v>1</v>
      </c>
      <c r="Z2077" s="3" t="n">
        <f aca="false">SUM(U2077:W2077)</f>
        <v>0</v>
      </c>
      <c r="AA2077" s="3" t="n">
        <f aca="false">SUM(S2077:X2077)</f>
        <v>1</v>
      </c>
      <c r="AB2077" s="11" t="n">
        <f aca="false">(AA2077/(K2077*L2077)*25)*4</f>
        <v>4</v>
      </c>
    </row>
    <row r="2078" customFormat="false" ht="14.25" hidden="false" customHeight="false" outlineLevel="0" collapsed="false">
      <c r="A2078" s="1" t="n">
        <v>2014</v>
      </c>
      <c r="B2078" s="7" t="s">
        <v>322</v>
      </c>
      <c r="C2078" s="7" t="n">
        <v>2</v>
      </c>
      <c r="D2078" s="7" t="s">
        <v>293</v>
      </c>
      <c r="E2078" s="7" t="s">
        <v>293</v>
      </c>
      <c r="F2078" s="3" t="s">
        <v>26</v>
      </c>
      <c r="G2078" s="3" t="n">
        <v>2</v>
      </c>
      <c r="H2078" s="3" t="n">
        <v>6</v>
      </c>
      <c r="I2078" s="22" t="n">
        <v>41793</v>
      </c>
      <c r="J2078" s="22" t="n">
        <v>41798</v>
      </c>
      <c r="K2078" s="43" t="n">
        <f aca="false">J2078-I2078</f>
        <v>5</v>
      </c>
      <c r="L2078" s="1" t="n">
        <v>5</v>
      </c>
      <c r="M2078" s="3" t="s">
        <v>32</v>
      </c>
      <c r="N2078" s="3" t="s">
        <v>102</v>
      </c>
      <c r="O2078" s="3" t="s">
        <v>182</v>
      </c>
      <c r="P2078" s="2" t="str">
        <f aca="false">CONCATENATE(N2078," ",O2078)</f>
        <v>Agyneta ramosa</v>
      </c>
      <c r="Q2078" s="1" t="s">
        <v>30</v>
      </c>
      <c r="R2078" s="1" t="s">
        <v>31</v>
      </c>
      <c r="S2078" s="3" t="n">
        <v>1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f aca="false">SUM(S2078:T2078)</f>
        <v>1</v>
      </c>
      <c r="Z2078" s="3" t="n">
        <f aca="false">SUM(U2078:W2078)</f>
        <v>0</v>
      </c>
      <c r="AA2078" s="3" t="n">
        <f aca="false">SUM(S2078:X2078)</f>
        <v>1</v>
      </c>
      <c r="AB2078" s="11" t="n">
        <f aca="false">(AA2078/(K2078*L2078)*25)*4</f>
        <v>4</v>
      </c>
    </row>
    <row r="2079" customFormat="false" ht="14.25" hidden="false" customHeight="false" outlineLevel="0" collapsed="false">
      <c r="A2079" s="1" t="n">
        <v>2014</v>
      </c>
      <c r="B2079" s="7" t="s">
        <v>322</v>
      </c>
      <c r="C2079" s="7" t="n">
        <v>2</v>
      </c>
      <c r="D2079" s="7" t="s">
        <v>295</v>
      </c>
      <c r="E2079" s="7" t="s">
        <v>295</v>
      </c>
      <c r="F2079" s="3" t="s">
        <v>336</v>
      </c>
      <c r="G2079" s="3" t="n">
        <v>1</v>
      </c>
      <c r="H2079" s="3" t="n">
        <v>2</v>
      </c>
      <c r="I2079" s="22" t="n">
        <v>41794</v>
      </c>
      <c r="J2079" s="22" t="n">
        <v>41799</v>
      </c>
      <c r="K2079" s="43" t="n">
        <f aca="false">J2079-I2079</f>
        <v>5</v>
      </c>
      <c r="L2079" s="1" t="n">
        <v>5</v>
      </c>
      <c r="M2079" s="3" t="s">
        <v>48</v>
      </c>
      <c r="N2079" s="3" t="s">
        <v>122</v>
      </c>
      <c r="O2079" s="3" t="s">
        <v>123</v>
      </c>
      <c r="P2079" s="2" t="str">
        <f aca="false">CONCATENATE(N2079," ",O2079)</f>
        <v>Xerolycosa nemoralis</v>
      </c>
      <c r="Q2079" s="1" t="s">
        <v>30</v>
      </c>
      <c r="R2079" s="1" t="s">
        <v>31</v>
      </c>
      <c r="S2079" s="3" t="n">
        <v>10</v>
      </c>
      <c r="T2079" s="3" t="n">
        <v>0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f aca="false">SUM(S2079:T2079)</f>
        <v>10</v>
      </c>
      <c r="Z2079" s="3" t="n">
        <f aca="false">SUM(U2079:W2079)</f>
        <v>0</v>
      </c>
      <c r="AA2079" s="3" t="n">
        <f aca="false">SUM(S2079:X2079)</f>
        <v>10</v>
      </c>
      <c r="AB2079" s="11" t="n">
        <f aca="false">(AA2079/(K2079*L2079)*25)*4</f>
        <v>40</v>
      </c>
    </row>
    <row r="2080" customFormat="false" ht="14.25" hidden="false" customHeight="false" outlineLevel="0" collapsed="false">
      <c r="A2080" s="1" t="n">
        <v>2014</v>
      </c>
      <c r="B2080" s="7" t="s">
        <v>322</v>
      </c>
      <c r="C2080" s="7" t="n">
        <v>2</v>
      </c>
      <c r="D2080" s="7" t="s">
        <v>295</v>
      </c>
      <c r="E2080" s="7" t="s">
        <v>295</v>
      </c>
      <c r="F2080" s="3" t="s">
        <v>336</v>
      </c>
      <c r="G2080" s="3" t="n">
        <v>1</v>
      </c>
      <c r="H2080" s="3" t="n">
        <v>2</v>
      </c>
      <c r="I2080" s="22" t="n">
        <v>41794</v>
      </c>
      <c r="J2080" s="22" t="n">
        <v>41799</v>
      </c>
      <c r="K2080" s="43" t="n">
        <f aca="false">J2080-I2080</f>
        <v>5</v>
      </c>
      <c r="L2080" s="1" t="n">
        <v>5</v>
      </c>
      <c r="M2080" s="3" t="s">
        <v>48</v>
      </c>
      <c r="N2080" s="3" t="s">
        <v>122</v>
      </c>
      <c r="O2080" s="3" t="s">
        <v>123</v>
      </c>
      <c r="P2080" s="2" t="str">
        <f aca="false">CONCATENATE(N2080," ",O2080)</f>
        <v>Xerolycosa nemoralis</v>
      </c>
      <c r="Q2080" s="1" t="s">
        <v>30</v>
      </c>
      <c r="R2080" s="1" t="s">
        <v>35</v>
      </c>
      <c r="S2080" s="3" t="n">
        <v>0</v>
      </c>
      <c r="T2080" s="3" t="n">
        <v>3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f aca="false">SUM(S2080:T2080)</f>
        <v>3</v>
      </c>
      <c r="Z2080" s="3" t="n">
        <f aca="false">SUM(U2080:W2080)</f>
        <v>0</v>
      </c>
      <c r="AA2080" s="3" t="n">
        <f aca="false">SUM(S2080:X2080)</f>
        <v>3</v>
      </c>
      <c r="AB2080" s="11" t="n">
        <f aca="false">(AA2080/(K2080*L2080)*25)*4</f>
        <v>12</v>
      </c>
    </row>
    <row r="2081" customFormat="false" ht="14.25" hidden="false" customHeight="false" outlineLevel="0" collapsed="false">
      <c r="A2081" s="1" t="n">
        <v>2014</v>
      </c>
      <c r="B2081" s="7" t="s">
        <v>322</v>
      </c>
      <c r="C2081" s="7" t="n">
        <v>2</v>
      </c>
      <c r="D2081" s="7" t="s">
        <v>295</v>
      </c>
      <c r="E2081" s="7" t="s">
        <v>295</v>
      </c>
      <c r="F2081" s="3" t="s">
        <v>336</v>
      </c>
      <c r="G2081" s="3" t="n">
        <v>1</v>
      </c>
      <c r="H2081" s="3" t="n">
        <v>2</v>
      </c>
      <c r="I2081" s="22" t="n">
        <v>41794</v>
      </c>
      <c r="J2081" s="22" t="n">
        <v>41799</v>
      </c>
      <c r="K2081" s="43" t="n">
        <f aca="false">J2081-I2081</f>
        <v>5</v>
      </c>
      <c r="L2081" s="1" t="n">
        <v>5</v>
      </c>
      <c r="M2081" s="3" t="s">
        <v>48</v>
      </c>
      <c r="N2081" s="3" t="s">
        <v>49</v>
      </c>
      <c r="O2081" s="3" t="s">
        <v>130</v>
      </c>
      <c r="P2081" s="2" t="str">
        <f aca="false">CONCATENATE(N2081," ",O2081)</f>
        <v>Alopecosa aculeata</v>
      </c>
      <c r="Q2081" s="1" t="s">
        <v>30</v>
      </c>
      <c r="R2081" s="1" t="s">
        <v>31</v>
      </c>
      <c r="S2081" s="3" t="n">
        <v>1</v>
      </c>
      <c r="T2081" s="3" t="n">
        <v>0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f aca="false">SUM(S2081:T2081)</f>
        <v>1</v>
      </c>
      <c r="Z2081" s="3" t="n">
        <f aca="false">SUM(U2081:W2081)</f>
        <v>0</v>
      </c>
      <c r="AA2081" s="3" t="n">
        <f aca="false">SUM(S2081:X2081)</f>
        <v>1</v>
      </c>
      <c r="AB2081" s="11" t="n">
        <f aca="false">(AA2081/(K2081*L2081)*25)*4</f>
        <v>4</v>
      </c>
    </row>
    <row r="2082" customFormat="false" ht="14.25" hidden="false" customHeight="false" outlineLevel="0" collapsed="false">
      <c r="A2082" s="1" t="n">
        <v>2014</v>
      </c>
      <c r="B2082" s="7" t="s">
        <v>322</v>
      </c>
      <c r="C2082" s="7" t="n">
        <v>2</v>
      </c>
      <c r="D2082" s="7" t="s">
        <v>295</v>
      </c>
      <c r="E2082" s="7" t="s">
        <v>295</v>
      </c>
      <c r="F2082" s="3" t="s">
        <v>336</v>
      </c>
      <c r="G2082" s="3" t="n">
        <v>1</v>
      </c>
      <c r="H2082" s="3" t="n">
        <v>2</v>
      </c>
      <c r="I2082" s="22" t="n">
        <v>41794</v>
      </c>
      <c r="J2082" s="22" t="n">
        <v>41799</v>
      </c>
      <c r="K2082" s="43" t="n">
        <f aca="false">J2082-I2082</f>
        <v>5</v>
      </c>
      <c r="L2082" s="1" t="n">
        <v>5</v>
      </c>
      <c r="M2082" s="3" t="s">
        <v>48</v>
      </c>
      <c r="N2082" s="3" t="s">
        <v>49</v>
      </c>
      <c r="O2082" s="3" t="s">
        <v>130</v>
      </c>
      <c r="P2082" s="2" t="str">
        <f aca="false">CONCATENATE(N2082," ",O2082)</f>
        <v>Alopecosa aculeata</v>
      </c>
      <c r="Q2082" s="1" t="s">
        <v>30</v>
      </c>
      <c r="R2082" s="1" t="s">
        <v>35</v>
      </c>
      <c r="S2082" s="3" t="n">
        <v>0</v>
      </c>
      <c r="T2082" s="3" t="n">
        <v>1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f aca="false">SUM(S2082:T2082)</f>
        <v>1</v>
      </c>
      <c r="Z2082" s="3" t="n">
        <f aca="false">SUM(U2082:W2082)</f>
        <v>0</v>
      </c>
      <c r="AA2082" s="3" t="n">
        <f aca="false">SUM(S2082:X2082)</f>
        <v>1</v>
      </c>
      <c r="AB2082" s="11" t="n">
        <f aca="false">(AA2082/(K2082*L2082)*25)*4</f>
        <v>4</v>
      </c>
    </row>
    <row r="2083" customFormat="false" ht="14.25" hidden="false" customHeight="false" outlineLevel="0" collapsed="false">
      <c r="A2083" s="1" t="n">
        <v>2014</v>
      </c>
      <c r="B2083" s="7" t="s">
        <v>322</v>
      </c>
      <c r="C2083" s="7" t="n">
        <v>2</v>
      </c>
      <c r="D2083" s="7" t="s">
        <v>295</v>
      </c>
      <c r="E2083" s="7" t="s">
        <v>295</v>
      </c>
      <c r="F2083" s="3" t="s">
        <v>336</v>
      </c>
      <c r="G2083" s="3" t="n">
        <v>1</v>
      </c>
      <c r="H2083" s="3" t="n">
        <v>2</v>
      </c>
      <c r="I2083" s="22" t="n">
        <v>41794</v>
      </c>
      <c r="J2083" s="22" t="n">
        <v>41799</v>
      </c>
      <c r="K2083" s="43" t="n">
        <f aca="false">J2083-I2083</f>
        <v>5</v>
      </c>
      <c r="L2083" s="1" t="n">
        <v>5</v>
      </c>
      <c r="M2083" s="3" t="s">
        <v>72</v>
      </c>
      <c r="N2083" s="3" t="s">
        <v>73</v>
      </c>
      <c r="O2083" s="3" t="s">
        <v>74</v>
      </c>
      <c r="P2083" s="2" t="str">
        <f aca="false">CONCATENATE(N2083," ",O2083)</f>
        <v>Zelotes subterraneus</v>
      </c>
      <c r="Q2083" s="1" t="s">
        <v>30</v>
      </c>
      <c r="R2083" s="1" t="s">
        <v>35</v>
      </c>
      <c r="S2083" s="3" t="n">
        <v>0</v>
      </c>
      <c r="T2083" s="3" t="n">
        <v>1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f aca="false">SUM(S2083:T2083)</f>
        <v>1</v>
      </c>
      <c r="Z2083" s="3" t="n">
        <f aca="false">SUM(U2083:W2083)</f>
        <v>0</v>
      </c>
      <c r="AA2083" s="3" t="n">
        <f aca="false">SUM(S2083:X2083)</f>
        <v>1</v>
      </c>
      <c r="AB2083" s="11" t="n">
        <f aca="false">(AA2083/(K2083*L2083)*25)*4</f>
        <v>4</v>
      </c>
    </row>
    <row r="2084" customFormat="false" ht="14.25" hidden="false" customHeight="false" outlineLevel="0" collapsed="false">
      <c r="A2084" s="1" t="n">
        <v>2014</v>
      </c>
      <c r="B2084" s="7" t="s">
        <v>322</v>
      </c>
      <c r="C2084" s="7" t="n">
        <v>2</v>
      </c>
      <c r="D2084" s="7" t="s">
        <v>295</v>
      </c>
      <c r="E2084" s="7" t="s">
        <v>295</v>
      </c>
      <c r="F2084" s="3" t="s">
        <v>336</v>
      </c>
      <c r="G2084" s="3" t="n">
        <v>1</v>
      </c>
      <c r="H2084" s="3" t="n">
        <v>2</v>
      </c>
      <c r="I2084" s="22" t="n">
        <v>41794</v>
      </c>
      <c r="J2084" s="22" t="n">
        <v>41799</v>
      </c>
      <c r="K2084" s="43" t="n">
        <f aca="false">J2084-I2084</f>
        <v>5</v>
      </c>
      <c r="L2084" s="1" t="n">
        <v>5</v>
      </c>
      <c r="M2084" s="3" t="s">
        <v>72</v>
      </c>
      <c r="N2084" s="3" t="s">
        <v>152</v>
      </c>
      <c r="O2084" s="3" t="s">
        <v>153</v>
      </c>
      <c r="P2084" s="2" t="str">
        <f aca="false">CONCATENATE(N2084," ",O2084)</f>
        <v>Callilepis nocturna</v>
      </c>
      <c r="Q2084" s="1" t="s">
        <v>30</v>
      </c>
      <c r="R2084" s="1" t="s">
        <v>31</v>
      </c>
      <c r="S2084" s="3" t="n">
        <v>1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f aca="false">SUM(S2084:T2084)</f>
        <v>1</v>
      </c>
      <c r="Z2084" s="3" t="n">
        <f aca="false">SUM(U2084:W2084)</f>
        <v>0</v>
      </c>
      <c r="AA2084" s="3" t="n">
        <f aca="false">SUM(S2084:X2084)</f>
        <v>1</v>
      </c>
      <c r="AB2084" s="11" t="n">
        <f aca="false">(AA2084/(K2084*L2084)*25)*4</f>
        <v>4</v>
      </c>
    </row>
    <row r="2085" customFormat="false" ht="14.25" hidden="false" customHeight="false" outlineLevel="0" collapsed="false">
      <c r="A2085" s="1" t="n">
        <v>2014</v>
      </c>
      <c r="B2085" s="7" t="s">
        <v>322</v>
      </c>
      <c r="C2085" s="7" t="n">
        <v>2</v>
      </c>
      <c r="D2085" s="7" t="s">
        <v>293</v>
      </c>
      <c r="E2085" s="7" t="s">
        <v>293</v>
      </c>
      <c r="F2085" s="3" t="s">
        <v>26</v>
      </c>
      <c r="G2085" s="3" t="n">
        <v>1</v>
      </c>
      <c r="H2085" s="3" t="n">
        <v>1</v>
      </c>
      <c r="I2085" s="22" t="n">
        <v>41793</v>
      </c>
      <c r="J2085" s="22" t="n">
        <v>41798</v>
      </c>
      <c r="K2085" s="43" t="n">
        <f aca="false">J2085-I2085</f>
        <v>5</v>
      </c>
      <c r="L2085" s="1" t="n">
        <v>5</v>
      </c>
      <c r="M2085" s="3" t="s">
        <v>48</v>
      </c>
      <c r="N2085" s="3" t="s">
        <v>49</v>
      </c>
      <c r="O2085" s="3" t="s">
        <v>104</v>
      </c>
      <c r="P2085" s="2" t="str">
        <f aca="false">CONCATENATE(N2085," ",O2085)</f>
        <v>Alopecosa taeniata</v>
      </c>
      <c r="Q2085" s="1" t="s">
        <v>30</v>
      </c>
      <c r="R2085" s="1" t="s">
        <v>35</v>
      </c>
      <c r="S2085" s="3" t="n">
        <v>0</v>
      </c>
      <c r="T2085" s="3" t="n">
        <v>4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f aca="false">SUM(S2085:T2085)</f>
        <v>4</v>
      </c>
      <c r="Z2085" s="3" t="n">
        <f aca="false">SUM(U2085:W2085)</f>
        <v>0</v>
      </c>
      <c r="AA2085" s="3" t="n">
        <f aca="false">SUM(S2085:X2085)</f>
        <v>4</v>
      </c>
      <c r="AB2085" s="11" t="n">
        <f aca="false">(AA2085/(K2085*L2085)*25)*4</f>
        <v>16</v>
      </c>
    </row>
    <row r="2086" customFormat="false" ht="14.25" hidden="false" customHeight="false" outlineLevel="0" collapsed="false">
      <c r="A2086" s="1" t="n">
        <v>2014</v>
      </c>
      <c r="B2086" s="7" t="s">
        <v>322</v>
      </c>
      <c r="C2086" s="7" t="n">
        <v>2</v>
      </c>
      <c r="D2086" s="7" t="s">
        <v>293</v>
      </c>
      <c r="E2086" s="7" t="s">
        <v>293</v>
      </c>
      <c r="F2086" s="3" t="s">
        <v>26</v>
      </c>
      <c r="G2086" s="3" t="n">
        <v>1</v>
      </c>
      <c r="H2086" s="3" t="n">
        <v>1</v>
      </c>
      <c r="I2086" s="22" t="n">
        <v>41793</v>
      </c>
      <c r="J2086" s="22" t="n">
        <v>41798</v>
      </c>
      <c r="K2086" s="43" t="n">
        <f aca="false">J2086-I2086</f>
        <v>5</v>
      </c>
      <c r="L2086" s="1" t="n">
        <v>5</v>
      </c>
      <c r="M2086" s="3" t="s">
        <v>48</v>
      </c>
      <c r="N2086" s="3" t="s">
        <v>67</v>
      </c>
      <c r="O2086" s="3" t="s">
        <v>127</v>
      </c>
      <c r="P2086" s="2" t="str">
        <f aca="false">CONCATENATE(N2086," ",O2086)</f>
        <v>Pardosa lugubris</v>
      </c>
      <c r="Q2086" s="1" t="s">
        <v>30</v>
      </c>
      <c r="R2086" s="1" t="s">
        <v>31</v>
      </c>
      <c r="S2086" s="3" t="n">
        <v>4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f aca="false">SUM(S2086:T2086)</f>
        <v>4</v>
      </c>
      <c r="Z2086" s="3" t="n">
        <f aca="false">SUM(U2086:W2086)</f>
        <v>0</v>
      </c>
      <c r="AA2086" s="3" t="n">
        <f aca="false">SUM(S2086:X2086)</f>
        <v>4</v>
      </c>
      <c r="AB2086" s="11" t="n">
        <f aca="false">(AA2086/(K2086*L2086)*25)*4</f>
        <v>16</v>
      </c>
    </row>
    <row r="2087" customFormat="false" ht="14.25" hidden="false" customHeight="false" outlineLevel="0" collapsed="false">
      <c r="A2087" s="1" t="n">
        <v>2014</v>
      </c>
      <c r="B2087" s="7" t="s">
        <v>322</v>
      </c>
      <c r="C2087" s="7" t="n">
        <v>2</v>
      </c>
      <c r="D2087" s="7" t="s">
        <v>293</v>
      </c>
      <c r="E2087" s="7" t="s">
        <v>293</v>
      </c>
      <c r="F2087" s="3" t="s">
        <v>26</v>
      </c>
      <c r="G2087" s="3" t="n">
        <v>1</v>
      </c>
      <c r="H2087" s="3" t="n">
        <v>1</v>
      </c>
      <c r="I2087" s="22" t="n">
        <v>41793</v>
      </c>
      <c r="J2087" s="22" t="n">
        <v>41798</v>
      </c>
      <c r="K2087" s="43" t="n">
        <f aca="false">J2087-I2087</f>
        <v>5</v>
      </c>
      <c r="L2087" s="1" t="n">
        <v>5</v>
      </c>
      <c r="M2087" s="3" t="s">
        <v>72</v>
      </c>
      <c r="N2087" s="3" t="s">
        <v>73</v>
      </c>
      <c r="O2087" s="3" t="s">
        <v>74</v>
      </c>
      <c r="P2087" s="2" t="str">
        <f aca="false">CONCATENATE(N2087," ",O2087)</f>
        <v>Zelotes subterraneus</v>
      </c>
      <c r="Q2087" s="1" t="s">
        <v>30</v>
      </c>
      <c r="R2087" s="1" t="s">
        <v>31</v>
      </c>
      <c r="S2087" s="3" t="n">
        <v>1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f aca="false">SUM(S2087:T2087)</f>
        <v>1</v>
      </c>
      <c r="Z2087" s="3" t="n">
        <f aca="false">SUM(U2087:W2087)</f>
        <v>0</v>
      </c>
      <c r="AA2087" s="3" t="n">
        <f aca="false">SUM(S2087:X2087)</f>
        <v>1</v>
      </c>
      <c r="AB2087" s="11" t="n">
        <f aca="false">(AA2087/(K2087*L2087)*25)*4</f>
        <v>4</v>
      </c>
    </row>
    <row r="2088" customFormat="false" ht="14.25" hidden="false" customHeight="false" outlineLevel="0" collapsed="false">
      <c r="A2088" s="1" t="n">
        <v>2014</v>
      </c>
      <c r="B2088" s="7" t="s">
        <v>322</v>
      </c>
      <c r="C2088" s="7" t="n">
        <v>2</v>
      </c>
      <c r="D2088" s="7" t="s">
        <v>293</v>
      </c>
      <c r="E2088" s="7" t="s">
        <v>293</v>
      </c>
      <c r="F2088" s="3" t="s">
        <v>26</v>
      </c>
      <c r="G2088" s="3" t="n">
        <v>1</v>
      </c>
      <c r="H2088" s="3" t="n">
        <v>1</v>
      </c>
      <c r="I2088" s="22" t="n">
        <v>41793</v>
      </c>
      <c r="J2088" s="22" t="n">
        <v>41798</v>
      </c>
      <c r="K2088" s="43" t="n">
        <f aca="false">J2088-I2088</f>
        <v>5</v>
      </c>
      <c r="L2088" s="1" t="n">
        <v>5</v>
      </c>
      <c r="M2088" s="3" t="s">
        <v>72</v>
      </c>
      <c r="N2088" s="3" t="s">
        <v>73</v>
      </c>
      <c r="O2088" s="3" t="s">
        <v>253</v>
      </c>
      <c r="P2088" s="2" t="str">
        <f aca="false">CONCATENATE(N2088," ",O2088)</f>
        <v>Zelotes clivicola</v>
      </c>
      <c r="Q2088" s="1" t="s">
        <v>30</v>
      </c>
      <c r="R2088" s="1" t="s">
        <v>31</v>
      </c>
      <c r="S2088" s="3" t="n">
        <v>1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f aca="false">SUM(S2088:T2088)</f>
        <v>1</v>
      </c>
      <c r="Z2088" s="3" t="n">
        <f aca="false">SUM(U2088:W2088)</f>
        <v>0</v>
      </c>
      <c r="AA2088" s="3" t="n">
        <f aca="false">SUM(S2088:X2088)</f>
        <v>1</v>
      </c>
      <c r="AB2088" s="11" t="n">
        <f aca="false">(AA2088/(K2088*L2088)*25)*4</f>
        <v>4</v>
      </c>
    </row>
    <row r="2089" customFormat="false" ht="14.25" hidden="false" customHeight="false" outlineLevel="0" collapsed="false">
      <c r="A2089" s="1" t="n">
        <v>2014</v>
      </c>
      <c r="B2089" s="7" t="s">
        <v>322</v>
      </c>
      <c r="C2089" s="7" t="n">
        <v>2</v>
      </c>
      <c r="D2089" s="7" t="s">
        <v>293</v>
      </c>
      <c r="E2089" s="7" t="s">
        <v>293</v>
      </c>
      <c r="F2089" s="3" t="s">
        <v>26</v>
      </c>
      <c r="G2089" s="3" t="n">
        <v>1</v>
      </c>
      <c r="H2089" s="3" t="n">
        <v>1</v>
      </c>
      <c r="I2089" s="22" t="n">
        <v>41793</v>
      </c>
      <c r="J2089" s="22" t="n">
        <v>41798</v>
      </c>
      <c r="K2089" s="43" t="n">
        <f aca="false">J2089-I2089</f>
        <v>5</v>
      </c>
      <c r="L2089" s="1" t="n">
        <v>5</v>
      </c>
      <c r="M2089" s="3" t="s">
        <v>226</v>
      </c>
      <c r="N2089" s="3" t="s">
        <v>65</v>
      </c>
      <c r="O2089" s="3" t="s">
        <v>123</v>
      </c>
      <c r="P2089" s="2" t="str">
        <f aca="false">CONCATENATE(N2089," ",O2089)</f>
        <v>Zora nemoralis</v>
      </c>
      <c r="Q2089" s="1" t="s">
        <v>30</v>
      </c>
      <c r="R2089" s="1" t="s">
        <v>31</v>
      </c>
      <c r="S2089" s="3" t="n">
        <v>1</v>
      </c>
      <c r="T2089" s="3" t="n">
        <v>0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f aca="false">SUM(S2089:T2089)</f>
        <v>1</v>
      </c>
      <c r="Z2089" s="3" t="n">
        <f aca="false">SUM(U2089:W2089)</f>
        <v>0</v>
      </c>
      <c r="AA2089" s="3" t="n">
        <f aca="false">SUM(S2089:X2089)</f>
        <v>1</v>
      </c>
      <c r="AB2089" s="11" t="n">
        <f aca="false">(AA2089/(K2089*L2089)*25)*4</f>
        <v>4</v>
      </c>
    </row>
    <row r="2090" customFormat="false" ht="14.25" hidden="false" customHeight="false" outlineLevel="0" collapsed="false">
      <c r="A2090" s="1" t="n">
        <v>2014</v>
      </c>
      <c r="B2090" s="7" t="s">
        <v>322</v>
      </c>
      <c r="C2090" s="7" t="n">
        <v>2</v>
      </c>
      <c r="D2090" s="7" t="s">
        <v>293</v>
      </c>
      <c r="E2090" s="7" t="s">
        <v>293</v>
      </c>
      <c r="F2090" s="3" t="s">
        <v>26</v>
      </c>
      <c r="G2090" s="3" t="n">
        <v>1</v>
      </c>
      <c r="H2090" s="3" t="n">
        <v>1</v>
      </c>
      <c r="I2090" s="22" t="n">
        <v>41793</v>
      </c>
      <c r="J2090" s="22" t="n">
        <v>41798</v>
      </c>
      <c r="K2090" s="43" t="n">
        <f aca="false">J2090-I2090</f>
        <v>5</v>
      </c>
      <c r="L2090" s="1" t="n">
        <v>5</v>
      </c>
      <c r="M2090" s="3" t="s">
        <v>32</v>
      </c>
      <c r="N2090" s="3" t="s">
        <v>102</v>
      </c>
      <c r="O2090" s="3" t="s">
        <v>182</v>
      </c>
      <c r="P2090" s="2" t="str">
        <f aca="false">CONCATENATE(N2090," ",O2090)</f>
        <v>Agyneta ramosa</v>
      </c>
      <c r="Q2090" s="1" t="s">
        <v>30</v>
      </c>
      <c r="R2090" s="1" t="s">
        <v>31</v>
      </c>
      <c r="S2090" s="3" t="n">
        <v>1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f aca="false">SUM(S2090:T2090)</f>
        <v>1</v>
      </c>
      <c r="Z2090" s="3" t="n">
        <f aca="false">SUM(U2090:W2090)</f>
        <v>0</v>
      </c>
      <c r="AA2090" s="3" t="n">
        <f aca="false">SUM(S2090:X2090)</f>
        <v>1</v>
      </c>
      <c r="AB2090" s="11" t="n">
        <f aca="false">(AA2090/(K2090*L2090)*25)*4</f>
        <v>4</v>
      </c>
    </row>
    <row r="2091" customFormat="false" ht="14.25" hidden="false" customHeight="false" outlineLevel="0" collapsed="false">
      <c r="A2091" s="1" t="n">
        <v>2014</v>
      </c>
      <c r="B2091" s="7" t="s">
        <v>322</v>
      </c>
      <c r="C2091" s="7" t="n">
        <v>2</v>
      </c>
      <c r="D2091" s="7" t="s">
        <v>293</v>
      </c>
      <c r="E2091" s="7" t="s">
        <v>293</v>
      </c>
      <c r="F2091" s="3" t="s">
        <v>26</v>
      </c>
      <c r="G2091" s="3" t="n">
        <v>1</v>
      </c>
      <c r="H2091" s="3" t="n">
        <v>1</v>
      </c>
      <c r="I2091" s="22" t="n">
        <v>41793</v>
      </c>
      <c r="J2091" s="22" t="n">
        <v>41798</v>
      </c>
      <c r="K2091" s="43" t="n">
        <f aca="false">J2091-I2091</f>
        <v>5</v>
      </c>
      <c r="L2091" s="1" t="n">
        <v>5</v>
      </c>
      <c r="M2091" s="3" t="s">
        <v>36</v>
      </c>
      <c r="N2091" s="3" t="s">
        <v>37</v>
      </c>
      <c r="O2091" s="3" t="s">
        <v>75</v>
      </c>
      <c r="P2091" s="2" t="str">
        <f aca="false">CONCATENATE(N2091," ",O2091)</f>
        <v>Ozyptila praticola</v>
      </c>
      <c r="Q2091" s="1" t="s">
        <v>30</v>
      </c>
      <c r="R2091" s="1" t="s">
        <v>31</v>
      </c>
      <c r="S2091" s="3" t="n">
        <v>1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f aca="false">SUM(S2091:T2091)</f>
        <v>1</v>
      </c>
      <c r="Z2091" s="3" t="n">
        <f aca="false">SUM(U2091:W2091)</f>
        <v>0</v>
      </c>
      <c r="AA2091" s="3" t="n">
        <f aca="false">SUM(S2091:X2091)</f>
        <v>1</v>
      </c>
      <c r="AB2091" s="11" t="n">
        <f aca="false">(AA2091/(K2091*L2091)*25)*4</f>
        <v>4</v>
      </c>
    </row>
    <row r="2092" customFormat="false" ht="14.25" hidden="false" customHeight="false" outlineLevel="0" collapsed="false">
      <c r="A2092" s="1" t="n">
        <v>2014</v>
      </c>
      <c r="B2092" s="7" t="s">
        <v>322</v>
      </c>
      <c r="C2092" s="7" t="n">
        <v>2</v>
      </c>
      <c r="D2092" s="7" t="s">
        <v>293</v>
      </c>
      <c r="E2092" s="7" t="s">
        <v>293</v>
      </c>
      <c r="F2092" s="3" t="s">
        <v>26</v>
      </c>
      <c r="G2092" s="3" t="n">
        <v>2</v>
      </c>
      <c r="H2092" s="3" t="n">
        <v>9</v>
      </c>
      <c r="I2092" s="22" t="n">
        <v>41793</v>
      </c>
      <c r="J2092" s="22" t="n">
        <v>41798</v>
      </c>
      <c r="K2092" s="43" t="n">
        <f aca="false">J2092-I2092</f>
        <v>5</v>
      </c>
      <c r="L2092" s="1" t="n">
        <v>5</v>
      </c>
      <c r="M2092" s="3" t="s">
        <v>48</v>
      </c>
      <c r="N2092" s="3" t="s">
        <v>67</v>
      </c>
      <c r="O2092" s="3" t="s">
        <v>127</v>
      </c>
      <c r="P2092" s="2" t="str">
        <f aca="false">CONCATENATE(N2092," ",O2092)</f>
        <v>Pardosa lugubris</v>
      </c>
      <c r="Q2092" s="1" t="s">
        <v>30</v>
      </c>
      <c r="R2092" s="1" t="s">
        <v>31</v>
      </c>
      <c r="S2092" s="3" t="n">
        <v>3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f aca="false">SUM(S2092:T2092)</f>
        <v>3</v>
      </c>
      <c r="Z2092" s="3" t="n">
        <f aca="false">SUM(U2092:W2092)</f>
        <v>0</v>
      </c>
      <c r="AA2092" s="3" t="n">
        <f aca="false">SUM(S2092:X2092)</f>
        <v>3</v>
      </c>
      <c r="AB2092" s="11" t="n">
        <f aca="false">(AA2092/(K2092*L2092)*25)*4</f>
        <v>12</v>
      </c>
    </row>
    <row r="2093" customFormat="false" ht="14.25" hidden="false" customHeight="false" outlineLevel="0" collapsed="false">
      <c r="A2093" s="1" t="n">
        <v>2014</v>
      </c>
      <c r="B2093" s="7" t="s">
        <v>322</v>
      </c>
      <c r="C2093" s="7" t="n">
        <v>2</v>
      </c>
      <c r="D2093" s="7" t="s">
        <v>293</v>
      </c>
      <c r="E2093" s="7" t="s">
        <v>293</v>
      </c>
      <c r="F2093" s="3" t="s">
        <v>26</v>
      </c>
      <c r="G2093" s="3" t="n">
        <v>2</v>
      </c>
      <c r="H2093" s="3" t="n">
        <v>9</v>
      </c>
      <c r="I2093" s="22" t="n">
        <v>41793</v>
      </c>
      <c r="J2093" s="22" t="n">
        <v>41798</v>
      </c>
      <c r="K2093" s="43" t="n">
        <f aca="false">J2093-I2093</f>
        <v>5</v>
      </c>
      <c r="L2093" s="1" t="n">
        <v>5</v>
      </c>
      <c r="M2093" s="3" t="s">
        <v>48</v>
      </c>
      <c r="N2093" s="3" t="s">
        <v>67</v>
      </c>
      <c r="O2093" s="3" t="s">
        <v>127</v>
      </c>
      <c r="P2093" s="2" t="str">
        <f aca="false">CONCATENATE(N2093," ",O2093)</f>
        <v>Pardosa lugubris</v>
      </c>
      <c r="Q2093" s="1" t="s">
        <v>30</v>
      </c>
      <c r="R2093" s="1" t="s">
        <v>35</v>
      </c>
      <c r="S2093" s="3" t="n">
        <v>0</v>
      </c>
      <c r="T2093" s="3" t="n">
        <v>1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f aca="false">SUM(S2093:T2093)</f>
        <v>1</v>
      </c>
      <c r="Z2093" s="3" t="n">
        <f aca="false">SUM(U2093:W2093)</f>
        <v>0</v>
      </c>
      <c r="AA2093" s="3" t="n">
        <f aca="false">SUM(S2093:X2093)</f>
        <v>1</v>
      </c>
      <c r="AB2093" s="11" t="n">
        <f aca="false">(AA2093/(K2093*L2093)*25)*4</f>
        <v>4</v>
      </c>
    </row>
    <row r="2094" customFormat="false" ht="14.25" hidden="false" customHeight="false" outlineLevel="0" collapsed="false">
      <c r="A2094" s="1" t="n">
        <v>2014</v>
      </c>
      <c r="B2094" s="7" t="s">
        <v>322</v>
      </c>
      <c r="C2094" s="7" t="n">
        <v>2</v>
      </c>
      <c r="D2094" s="7" t="s">
        <v>293</v>
      </c>
      <c r="E2094" s="7" t="s">
        <v>293</v>
      </c>
      <c r="F2094" s="3" t="s">
        <v>26</v>
      </c>
      <c r="G2094" s="3" t="n">
        <v>2</v>
      </c>
      <c r="H2094" s="3" t="n">
        <v>9</v>
      </c>
      <c r="I2094" s="22" t="n">
        <v>41793</v>
      </c>
      <c r="J2094" s="22" t="n">
        <v>41798</v>
      </c>
      <c r="K2094" s="43" t="n">
        <f aca="false">J2094-I2094</f>
        <v>5</v>
      </c>
      <c r="L2094" s="1" t="n">
        <v>5</v>
      </c>
      <c r="M2094" s="3" t="s">
        <v>36</v>
      </c>
      <c r="N2094" s="3" t="s">
        <v>37</v>
      </c>
      <c r="O2094" s="3" t="s">
        <v>75</v>
      </c>
      <c r="P2094" s="2" t="str">
        <f aca="false">CONCATENATE(N2094," ",O2094)</f>
        <v>Ozyptila praticola</v>
      </c>
      <c r="Q2094" s="1" t="s">
        <v>30</v>
      </c>
      <c r="R2094" s="1" t="s">
        <v>31</v>
      </c>
      <c r="S2094" s="3" t="n">
        <v>3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f aca="false">SUM(S2094:T2094)</f>
        <v>3</v>
      </c>
      <c r="Z2094" s="3" t="n">
        <f aca="false">SUM(U2094:W2094)</f>
        <v>0</v>
      </c>
      <c r="AA2094" s="3" t="n">
        <f aca="false">SUM(S2094:X2094)</f>
        <v>3</v>
      </c>
      <c r="AB2094" s="11" t="n">
        <f aca="false">(AA2094/(K2094*L2094)*25)*4</f>
        <v>12</v>
      </c>
    </row>
    <row r="2095" customFormat="false" ht="14.25" hidden="false" customHeight="false" outlineLevel="0" collapsed="false">
      <c r="A2095" s="1" t="n">
        <v>2014</v>
      </c>
      <c r="B2095" s="7" t="s">
        <v>322</v>
      </c>
      <c r="C2095" s="7" t="n">
        <v>2</v>
      </c>
      <c r="D2095" s="7" t="s">
        <v>293</v>
      </c>
      <c r="E2095" s="7" t="s">
        <v>293</v>
      </c>
      <c r="F2095" s="3" t="s">
        <v>26</v>
      </c>
      <c r="G2095" s="3" t="n">
        <v>2</v>
      </c>
      <c r="H2095" s="3" t="n">
        <v>9</v>
      </c>
      <c r="I2095" s="22" t="n">
        <v>41793</v>
      </c>
      <c r="J2095" s="22" t="n">
        <v>41798</v>
      </c>
      <c r="K2095" s="43" t="n">
        <f aca="false">J2095-I2095</f>
        <v>5</v>
      </c>
      <c r="L2095" s="1" t="n">
        <v>5</v>
      </c>
      <c r="M2095" s="3" t="s">
        <v>72</v>
      </c>
      <c r="N2095" s="3" t="s">
        <v>73</v>
      </c>
      <c r="O2095" s="3" t="s">
        <v>74</v>
      </c>
      <c r="P2095" s="2" t="str">
        <f aca="false">CONCATENATE(N2095," ",O2095)</f>
        <v>Zelotes subterraneus</v>
      </c>
      <c r="Q2095" s="1" t="s">
        <v>30</v>
      </c>
      <c r="R2095" s="1" t="s">
        <v>31</v>
      </c>
      <c r="S2095" s="3" t="n">
        <v>1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f aca="false">SUM(S2095:T2095)</f>
        <v>1</v>
      </c>
      <c r="Z2095" s="3" t="n">
        <f aca="false">SUM(U2095:W2095)</f>
        <v>0</v>
      </c>
      <c r="AA2095" s="3" t="n">
        <f aca="false">SUM(S2095:X2095)</f>
        <v>1</v>
      </c>
      <c r="AB2095" s="11" t="n">
        <f aca="false">(AA2095/(K2095*L2095)*25)*4</f>
        <v>4</v>
      </c>
    </row>
    <row r="2096" customFormat="false" ht="14.25" hidden="false" customHeight="false" outlineLevel="0" collapsed="false">
      <c r="A2096" s="1" t="n">
        <v>2014</v>
      </c>
      <c r="B2096" s="7" t="s">
        <v>322</v>
      </c>
      <c r="C2096" s="7" t="n">
        <v>2</v>
      </c>
      <c r="D2096" s="7" t="s">
        <v>293</v>
      </c>
      <c r="E2096" s="7" t="s">
        <v>293</v>
      </c>
      <c r="F2096" s="3" t="s">
        <v>26</v>
      </c>
      <c r="G2096" s="3" t="n">
        <v>2</v>
      </c>
      <c r="H2096" s="3" t="n">
        <v>9</v>
      </c>
      <c r="I2096" s="22" t="n">
        <v>41793</v>
      </c>
      <c r="J2096" s="22" t="n">
        <v>41798</v>
      </c>
      <c r="K2096" s="43" t="n">
        <f aca="false">J2096-I2096</f>
        <v>5</v>
      </c>
      <c r="L2096" s="1" t="n">
        <v>5</v>
      </c>
      <c r="M2096" s="3" t="s">
        <v>48</v>
      </c>
      <c r="N2096" s="3" t="s">
        <v>49</v>
      </c>
      <c r="O2096" s="3" t="s">
        <v>104</v>
      </c>
      <c r="P2096" s="2" t="str">
        <f aca="false">CONCATENATE(N2096," ",O2096)</f>
        <v>Alopecosa taeniata</v>
      </c>
      <c r="Q2096" s="1" t="s">
        <v>30</v>
      </c>
      <c r="R2096" s="1" t="s">
        <v>31</v>
      </c>
      <c r="S2096" s="3" t="n">
        <v>2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f aca="false">SUM(S2096:T2096)</f>
        <v>2</v>
      </c>
      <c r="Z2096" s="3" t="n">
        <f aca="false">SUM(U2096:W2096)</f>
        <v>0</v>
      </c>
      <c r="AA2096" s="3" t="n">
        <f aca="false">SUM(S2096:X2096)</f>
        <v>2</v>
      </c>
      <c r="AB2096" s="11" t="n">
        <f aca="false">(AA2096/(K2096*L2096)*25)*4</f>
        <v>8</v>
      </c>
    </row>
    <row r="2097" customFormat="false" ht="14.25" hidden="false" customHeight="false" outlineLevel="0" collapsed="false">
      <c r="A2097" s="1" t="n">
        <v>2014</v>
      </c>
      <c r="B2097" s="7" t="s">
        <v>322</v>
      </c>
      <c r="C2097" s="7" t="n">
        <v>2</v>
      </c>
      <c r="D2097" s="7" t="s">
        <v>293</v>
      </c>
      <c r="E2097" s="7" t="s">
        <v>293</v>
      </c>
      <c r="F2097" s="3" t="s">
        <v>26</v>
      </c>
      <c r="G2097" s="3" t="n">
        <v>2</v>
      </c>
      <c r="H2097" s="3" t="n">
        <v>9</v>
      </c>
      <c r="I2097" s="22" t="n">
        <v>41793</v>
      </c>
      <c r="J2097" s="22" t="n">
        <v>41798</v>
      </c>
      <c r="K2097" s="43" t="n">
        <f aca="false">J2097-I2097</f>
        <v>5</v>
      </c>
      <c r="L2097" s="1" t="n">
        <v>5</v>
      </c>
      <c r="M2097" s="3" t="s">
        <v>32</v>
      </c>
      <c r="N2097" s="3" t="s">
        <v>169</v>
      </c>
      <c r="O2097" s="3" t="s">
        <v>170</v>
      </c>
      <c r="P2097" s="2" t="str">
        <f aca="false">CONCATENATE(N2097," ",O2097)</f>
        <v>Abacoproeces saltuum</v>
      </c>
      <c r="Q2097" s="1" t="s">
        <v>30</v>
      </c>
      <c r="R2097" s="1" t="s">
        <v>31</v>
      </c>
      <c r="S2097" s="3" t="n">
        <v>1</v>
      </c>
      <c r="T2097" s="3" t="n">
        <v>0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f aca="false">SUM(S2097:T2097)</f>
        <v>1</v>
      </c>
      <c r="Z2097" s="3" t="n">
        <f aca="false">SUM(U2097:W2097)</f>
        <v>0</v>
      </c>
      <c r="AA2097" s="3" t="n">
        <f aca="false">SUM(S2097:X2097)</f>
        <v>1</v>
      </c>
      <c r="AB2097" s="11" t="n">
        <f aca="false">(AA2097/(K2097*L2097)*25)*4</f>
        <v>4</v>
      </c>
    </row>
    <row r="2098" customFormat="false" ht="14.25" hidden="false" customHeight="false" outlineLevel="0" collapsed="false">
      <c r="A2098" s="1" t="n">
        <v>2014</v>
      </c>
      <c r="B2098" s="7" t="s">
        <v>322</v>
      </c>
      <c r="C2098" s="7" t="n">
        <v>2</v>
      </c>
      <c r="D2098" s="7" t="s">
        <v>293</v>
      </c>
      <c r="E2098" s="7" t="s">
        <v>293</v>
      </c>
      <c r="F2098" s="3" t="s">
        <v>26</v>
      </c>
      <c r="G2098" s="3" t="n">
        <v>2</v>
      </c>
      <c r="H2098" s="3" t="n">
        <v>9</v>
      </c>
      <c r="I2098" s="22" t="n">
        <v>41793</v>
      </c>
      <c r="J2098" s="22" t="n">
        <v>41798</v>
      </c>
      <c r="K2098" s="43" t="n">
        <f aca="false">J2098-I2098</f>
        <v>5</v>
      </c>
      <c r="L2098" s="1" t="n">
        <v>5</v>
      </c>
      <c r="M2098" s="3" t="s">
        <v>32</v>
      </c>
      <c r="N2098" s="3" t="s">
        <v>96</v>
      </c>
      <c r="O2098" s="3" t="s">
        <v>97</v>
      </c>
      <c r="P2098" s="2" t="str">
        <f aca="false">CONCATENATE(N2098," ",O2098)</f>
        <v>Diplocephalus picinus</v>
      </c>
      <c r="Q2098" s="1" t="s">
        <v>30</v>
      </c>
      <c r="R2098" s="1" t="s">
        <v>31</v>
      </c>
      <c r="S2098" s="3" t="n">
        <v>1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f aca="false">SUM(S2098:T2098)</f>
        <v>1</v>
      </c>
      <c r="Z2098" s="3" t="n">
        <f aca="false">SUM(U2098:W2098)</f>
        <v>0</v>
      </c>
      <c r="AA2098" s="3" t="n">
        <f aca="false">SUM(S2098:X2098)</f>
        <v>1</v>
      </c>
      <c r="AB2098" s="11" t="n">
        <f aca="false">(AA2098/(K2098*L2098)*25)*4</f>
        <v>4</v>
      </c>
    </row>
    <row r="2099" customFormat="false" ht="14.25" hidden="false" customHeight="false" outlineLevel="0" collapsed="false">
      <c r="A2099" s="1" t="n">
        <v>2014</v>
      </c>
      <c r="B2099" s="7" t="s">
        <v>322</v>
      </c>
      <c r="C2099" s="7" t="n">
        <v>2</v>
      </c>
      <c r="D2099" s="7" t="s">
        <v>293</v>
      </c>
      <c r="E2099" s="7" t="s">
        <v>293</v>
      </c>
      <c r="F2099" s="3" t="s">
        <v>26</v>
      </c>
      <c r="G2099" s="3" t="n">
        <v>3</v>
      </c>
      <c r="H2099" s="3" t="n">
        <v>11</v>
      </c>
      <c r="I2099" s="22" t="n">
        <v>41793</v>
      </c>
      <c r="J2099" s="22" t="n">
        <v>41798</v>
      </c>
      <c r="K2099" s="43" t="n">
        <f aca="false">J2099-I2099</f>
        <v>5</v>
      </c>
      <c r="L2099" s="1" t="n">
        <v>5</v>
      </c>
      <c r="M2099" s="3" t="s">
        <v>48</v>
      </c>
      <c r="N2099" s="3" t="s">
        <v>67</v>
      </c>
      <c r="O2099" s="3" t="s">
        <v>127</v>
      </c>
      <c r="P2099" s="2" t="str">
        <f aca="false">CONCATENATE(N2099," ",O2099)</f>
        <v>Pardosa lugubris</v>
      </c>
      <c r="Q2099" s="1" t="s">
        <v>30</v>
      </c>
      <c r="R2099" s="1" t="s">
        <v>31</v>
      </c>
      <c r="S2099" s="3" t="n">
        <v>5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f aca="false">SUM(S2099:T2099)</f>
        <v>5</v>
      </c>
      <c r="Z2099" s="3" t="n">
        <f aca="false">SUM(U2099:W2099)</f>
        <v>0</v>
      </c>
      <c r="AA2099" s="3" t="n">
        <f aca="false">SUM(S2099:X2099)</f>
        <v>5</v>
      </c>
      <c r="AB2099" s="11" t="n">
        <f aca="false">(AA2099/(K2099*L2099)*25)*4</f>
        <v>20</v>
      </c>
    </row>
    <row r="2100" customFormat="false" ht="14.25" hidden="false" customHeight="false" outlineLevel="0" collapsed="false">
      <c r="A2100" s="1" t="n">
        <v>2014</v>
      </c>
      <c r="B2100" s="7" t="s">
        <v>322</v>
      </c>
      <c r="C2100" s="7" t="n">
        <v>2</v>
      </c>
      <c r="D2100" s="7" t="s">
        <v>293</v>
      </c>
      <c r="E2100" s="7" t="s">
        <v>293</v>
      </c>
      <c r="F2100" s="3" t="s">
        <v>26</v>
      </c>
      <c r="G2100" s="3" t="n">
        <v>3</v>
      </c>
      <c r="H2100" s="3" t="n">
        <v>11</v>
      </c>
      <c r="I2100" s="22" t="n">
        <v>41793</v>
      </c>
      <c r="J2100" s="22" t="n">
        <v>41798</v>
      </c>
      <c r="K2100" s="43" t="n">
        <f aca="false">J2100-I2100</f>
        <v>5</v>
      </c>
      <c r="L2100" s="1" t="n">
        <v>5</v>
      </c>
      <c r="M2100" s="3" t="s">
        <v>48</v>
      </c>
      <c r="N2100" s="3" t="s">
        <v>49</v>
      </c>
      <c r="O2100" s="3" t="s">
        <v>104</v>
      </c>
      <c r="P2100" s="2" t="str">
        <f aca="false">CONCATENATE(N2100," ",O2100)</f>
        <v>Alopecosa taeniata</v>
      </c>
      <c r="Q2100" s="1" t="s">
        <v>30</v>
      </c>
      <c r="R2100" s="1" t="s">
        <v>31</v>
      </c>
      <c r="S2100" s="3" t="n">
        <v>2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f aca="false">SUM(S2100:T2100)</f>
        <v>2</v>
      </c>
      <c r="Z2100" s="3" t="n">
        <f aca="false">SUM(U2100:W2100)</f>
        <v>0</v>
      </c>
      <c r="AA2100" s="3" t="n">
        <f aca="false">SUM(S2100:X2100)</f>
        <v>2</v>
      </c>
      <c r="AB2100" s="11" t="n">
        <f aca="false">(AA2100/(K2100*L2100)*25)*4</f>
        <v>8</v>
      </c>
    </row>
    <row r="2101" customFormat="false" ht="14.25" hidden="false" customHeight="false" outlineLevel="0" collapsed="false">
      <c r="A2101" s="1" t="n">
        <v>2014</v>
      </c>
      <c r="B2101" s="7" t="s">
        <v>322</v>
      </c>
      <c r="C2101" s="7" t="n">
        <v>2</v>
      </c>
      <c r="D2101" s="7" t="s">
        <v>293</v>
      </c>
      <c r="E2101" s="7" t="s">
        <v>293</v>
      </c>
      <c r="F2101" s="3" t="s">
        <v>26</v>
      </c>
      <c r="G2101" s="3" t="n">
        <v>3</v>
      </c>
      <c r="H2101" s="3" t="n">
        <v>11</v>
      </c>
      <c r="I2101" s="22" t="n">
        <v>41793</v>
      </c>
      <c r="J2101" s="22" t="n">
        <v>41798</v>
      </c>
      <c r="K2101" s="43" t="n">
        <f aca="false">J2101-I2101</f>
        <v>5</v>
      </c>
      <c r="L2101" s="1" t="n">
        <v>5</v>
      </c>
      <c r="M2101" s="3" t="s">
        <v>92</v>
      </c>
      <c r="N2101" s="3" t="s">
        <v>171</v>
      </c>
      <c r="O2101" s="3" t="s">
        <v>172</v>
      </c>
      <c r="P2101" s="2" t="str">
        <f aca="false">CONCATENATE(N2101," ",O2101)</f>
        <v>Euophrys frontalis</v>
      </c>
      <c r="Q2101" s="1" t="s">
        <v>30</v>
      </c>
      <c r="R2101" s="1" t="s">
        <v>31</v>
      </c>
      <c r="S2101" s="3" t="n">
        <v>1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f aca="false">SUM(S2101:T2101)</f>
        <v>1</v>
      </c>
      <c r="Z2101" s="3" t="n">
        <f aca="false">SUM(U2101:W2101)</f>
        <v>0</v>
      </c>
      <c r="AA2101" s="3" t="n">
        <f aca="false">SUM(S2101:X2101)</f>
        <v>1</v>
      </c>
      <c r="AB2101" s="11" t="n">
        <f aca="false">(AA2101/(K2101*L2101)*25)*4</f>
        <v>4</v>
      </c>
    </row>
    <row r="2102" customFormat="false" ht="14.25" hidden="false" customHeight="false" outlineLevel="0" collapsed="false">
      <c r="A2102" s="1" t="n">
        <v>2014</v>
      </c>
      <c r="B2102" s="7" t="s">
        <v>322</v>
      </c>
      <c r="C2102" s="7" t="n">
        <v>2</v>
      </c>
      <c r="D2102" s="7" t="s">
        <v>293</v>
      </c>
      <c r="E2102" s="7" t="s">
        <v>293</v>
      </c>
      <c r="F2102" s="3" t="s">
        <v>26</v>
      </c>
      <c r="G2102" s="3" t="n">
        <v>3</v>
      </c>
      <c r="H2102" s="3" t="n">
        <v>11</v>
      </c>
      <c r="I2102" s="22" t="n">
        <v>41793</v>
      </c>
      <c r="J2102" s="22" t="n">
        <v>41798</v>
      </c>
      <c r="K2102" s="43" t="n">
        <f aca="false">J2102-I2102</f>
        <v>5</v>
      </c>
      <c r="L2102" s="1" t="n">
        <v>5</v>
      </c>
      <c r="M2102" s="3" t="s">
        <v>36</v>
      </c>
      <c r="N2102" s="3" t="s">
        <v>37</v>
      </c>
      <c r="O2102" s="3" t="s">
        <v>75</v>
      </c>
      <c r="P2102" s="2" t="str">
        <f aca="false">CONCATENATE(N2102," ",O2102)</f>
        <v>Ozyptila praticola</v>
      </c>
      <c r="Q2102" s="1" t="s">
        <v>30</v>
      </c>
      <c r="R2102" s="1" t="s">
        <v>31</v>
      </c>
      <c r="S2102" s="3" t="n">
        <v>1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f aca="false">SUM(S2102:T2102)</f>
        <v>1</v>
      </c>
      <c r="Z2102" s="3" t="n">
        <f aca="false">SUM(U2102:W2102)</f>
        <v>0</v>
      </c>
      <c r="AA2102" s="3" t="n">
        <f aca="false">SUM(S2102:X2102)</f>
        <v>1</v>
      </c>
      <c r="AB2102" s="11" t="n">
        <f aca="false">(AA2102/(K2102*L2102)*25)*4</f>
        <v>4</v>
      </c>
    </row>
    <row r="2103" customFormat="false" ht="14.25" hidden="false" customHeight="false" outlineLevel="0" collapsed="false">
      <c r="A2103" s="1" t="n">
        <v>2014</v>
      </c>
      <c r="B2103" s="7" t="s">
        <v>322</v>
      </c>
      <c r="C2103" s="7" t="n">
        <v>2</v>
      </c>
      <c r="D2103" s="7" t="s">
        <v>293</v>
      </c>
      <c r="E2103" s="7" t="s">
        <v>293</v>
      </c>
      <c r="F2103" s="3" t="s">
        <v>26</v>
      </c>
      <c r="G2103" s="3" t="n">
        <v>3</v>
      </c>
      <c r="H2103" s="3" t="n">
        <v>11</v>
      </c>
      <c r="I2103" s="22" t="n">
        <v>41793</v>
      </c>
      <c r="J2103" s="22" t="n">
        <v>41798</v>
      </c>
      <c r="K2103" s="43" t="n">
        <f aca="false">J2103-I2103</f>
        <v>5</v>
      </c>
      <c r="L2103" s="1" t="n">
        <v>5</v>
      </c>
      <c r="M2103" s="3" t="s">
        <v>226</v>
      </c>
      <c r="N2103" s="3" t="s">
        <v>65</v>
      </c>
      <c r="O2103" s="3" t="s">
        <v>123</v>
      </c>
      <c r="P2103" s="2" t="str">
        <f aca="false">CONCATENATE(N2103," ",O2103)</f>
        <v>Zora nemoralis</v>
      </c>
      <c r="Q2103" s="1" t="s">
        <v>30</v>
      </c>
      <c r="R2103" s="1" t="s">
        <v>31</v>
      </c>
      <c r="S2103" s="3" t="n">
        <v>1</v>
      </c>
      <c r="T2103" s="3" t="n">
        <v>0</v>
      </c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f aca="false">SUM(S2103:T2103)</f>
        <v>1</v>
      </c>
      <c r="Z2103" s="3" t="n">
        <f aca="false">SUM(U2103:W2103)</f>
        <v>0</v>
      </c>
      <c r="AA2103" s="3" t="n">
        <f aca="false">SUM(S2103:X2103)</f>
        <v>1</v>
      </c>
      <c r="AB2103" s="11" t="n">
        <f aca="false">(AA2103/(K2103*L2103)*25)*4</f>
        <v>4</v>
      </c>
    </row>
    <row r="2104" customFormat="false" ht="14.25" hidden="false" customHeight="false" outlineLevel="0" collapsed="false">
      <c r="A2104" s="1" t="n">
        <v>2014</v>
      </c>
      <c r="B2104" s="7" t="s">
        <v>322</v>
      </c>
      <c r="C2104" s="7" t="n">
        <v>2</v>
      </c>
      <c r="D2104" s="7" t="s">
        <v>293</v>
      </c>
      <c r="E2104" s="7" t="s">
        <v>293</v>
      </c>
      <c r="F2104" s="3" t="s">
        <v>26</v>
      </c>
      <c r="G2104" s="3" t="n">
        <v>3</v>
      </c>
      <c r="H2104" s="3" t="n">
        <v>13</v>
      </c>
      <c r="I2104" s="22" t="n">
        <v>41793</v>
      </c>
      <c r="J2104" s="22" t="n">
        <v>41798</v>
      </c>
      <c r="K2104" s="43" t="n">
        <f aca="false">J2104-I2104</f>
        <v>5</v>
      </c>
      <c r="L2104" s="1" t="n">
        <v>5</v>
      </c>
      <c r="M2104" s="3" t="s">
        <v>48</v>
      </c>
      <c r="N2104" s="3" t="s">
        <v>67</v>
      </c>
      <c r="O2104" s="3" t="s">
        <v>127</v>
      </c>
      <c r="P2104" s="2" t="str">
        <f aca="false">CONCATENATE(N2104," ",O2104)</f>
        <v>Pardosa lugubris</v>
      </c>
      <c r="Q2104" s="1" t="s">
        <v>30</v>
      </c>
      <c r="R2104" s="1" t="s">
        <v>31</v>
      </c>
      <c r="S2104" s="3" t="n">
        <v>5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f aca="false">SUM(S2104:T2104)</f>
        <v>5</v>
      </c>
      <c r="Z2104" s="3" t="n">
        <f aca="false">SUM(U2104:W2104)</f>
        <v>0</v>
      </c>
      <c r="AA2104" s="3" t="n">
        <f aca="false">SUM(S2104:X2104)</f>
        <v>5</v>
      </c>
      <c r="AB2104" s="11" t="n">
        <f aca="false">(AA2104/(K2104*L2104)*25)*4</f>
        <v>20</v>
      </c>
    </row>
    <row r="2105" customFormat="false" ht="14.25" hidden="false" customHeight="false" outlineLevel="0" collapsed="false">
      <c r="A2105" s="1" t="n">
        <v>2014</v>
      </c>
      <c r="B2105" s="7" t="s">
        <v>322</v>
      </c>
      <c r="C2105" s="7" t="n">
        <v>2</v>
      </c>
      <c r="D2105" s="7" t="s">
        <v>293</v>
      </c>
      <c r="E2105" s="7" t="s">
        <v>293</v>
      </c>
      <c r="F2105" s="3" t="s">
        <v>26</v>
      </c>
      <c r="G2105" s="3" t="n">
        <v>3</v>
      </c>
      <c r="H2105" s="3" t="n">
        <v>13</v>
      </c>
      <c r="I2105" s="22" t="n">
        <v>41793</v>
      </c>
      <c r="J2105" s="22" t="n">
        <v>41798</v>
      </c>
      <c r="K2105" s="43" t="n">
        <f aca="false">J2105-I2105</f>
        <v>5</v>
      </c>
      <c r="L2105" s="1" t="n">
        <v>5</v>
      </c>
      <c r="M2105" s="3" t="s">
        <v>48</v>
      </c>
      <c r="N2105" s="3" t="s">
        <v>67</v>
      </c>
      <c r="O2105" s="3" t="s">
        <v>127</v>
      </c>
      <c r="P2105" s="2" t="str">
        <f aca="false">CONCATENATE(N2105," ",O2105)</f>
        <v>Pardosa lugubris</v>
      </c>
      <c r="Q2105" s="1" t="s">
        <v>30</v>
      </c>
      <c r="R2105" s="1" t="s">
        <v>35</v>
      </c>
      <c r="S2105" s="3" t="n">
        <v>0</v>
      </c>
      <c r="T2105" s="3" t="n">
        <v>1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f aca="false">SUM(S2105:T2105)</f>
        <v>1</v>
      </c>
      <c r="Z2105" s="3" t="n">
        <f aca="false">SUM(U2105:W2105)</f>
        <v>0</v>
      </c>
      <c r="AA2105" s="3" t="n">
        <f aca="false">SUM(S2105:X2105)</f>
        <v>1</v>
      </c>
      <c r="AB2105" s="11" t="n">
        <f aca="false">(AA2105/(K2105*L2105)*25)*4</f>
        <v>4</v>
      </c>
    </row>
    <row r="2106" customFormat="false" ht="14.25" hidden="false" customHeight="false" outlineLevel="0" collapsed="false">
      <c r="A2106" s="1" t="n">
        <v>2014</v>
      </c>
      <c r="B2106" s="7" t="s">
        <v>322</v>
      </c>
      <c r="C2106" s="7" t="n">
        <v>2</v>
      </c>
      <c r="D2106" s="7" t="s">
        <v>293</v>
      </c>
      <c r="E2106" s="7" t="s">
        <v>293</v>
      </c>
      <c r="F2106" s="3" t="s">
        <v>26</v>
      </c>
      <c r="G2106" s="3" t="n">
        <v>3</v>
      </c>
      <c r="H2106" s="3" t="n">
        <v>13</v>
      </c>
      <c r="I2106" s="22" t="n">
        <v>41793</v>
      </c>
      <c r="J2106" s="22" t="n">
        <v>41798</v>
      </c>
      <c r="K2106" s="43" t="n">
        <f aca="false">J2106-I2106</f>
        <v>5</v>
      </c>
      <c r="L2106" s="1" t="n">
        <v>5</v>
      </c>
      <c r="M2106" s="3" t="s">
        <v>48</v>
      </c>
      <c r="N2106" s="3" t="s">
        <v>49</v>
      </c>
      <c r="O2106" s="3" t="s">
        <v>104</v>
      </c>
      <c r="P2106" s="2" t="str">
        <f aca="false">CONCATENATE(N2106," ",O2106)</f>
        <v>Alopecosa taeniata</v>
      </c>
      <c r="Q2106" s="1" t="s">
        <v>30</v>
      </c>
      <c r="R2106" s="1" t="s">
        <v>31</v>
      </c>
      <c r="S2106" s="3" t="n">
        <v>3</v>
      </c>
      <c r="T2106" s="3" t="n">
        <v>0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f aca="false">SUM(S2106:T2106)</f>
        <v>3</v>
      </c>
      <c r="Z2106" s="3" t="n">
        <f aca="false">SUM(U2106:W2106)</f>
        <v>0</v>
      </c>
      <c r="AA2106" s="3" t="n">
        <f aca="false">SUM(S2106:X2106)</f>
        <v>3</v>
      </c>
      <c r="AB2106" s="11" t="n">
        <f aca="false">(AA2106/(K2106*L2106)*25)*4</f>
        <v>12</v>
      </c>
    </row>
    <row r="2107" customFormat="false" ht="14.25" hidden="false" customHeight="false" outlineLevel="0" collapsed="false">
      <c r="A2107" s="1" t="n">
        <v>2014</v>
      </c>
      <c r="B2107" s="7" t="s">
        <v>322</v>
      </c>
      <c r="C2107" s="7" t="n">
        <v>2</v>
      </c>
      <c r="D2107" s="7" t="s">
        <v>293</v>
      </c>
      <c r="E2107" s="7" t="s">
        <v>293</v>
      </c>
      <c r="F2107" s="3" t="s">
        <v>26</v>
      </c>
      <c r="G2107" s="3" t="n">
        <v>3</v>
      </c>
      <c r="H2107" s="3" t="n">
        <v>13</v>
      </c>
      <c r="I2107" s="22" t="n">
        <v>41793</v>
      </c>
      <c r="J2107" s="22" t="n">
        <v>41798</v>
      </c>
      <c r="K2107" s="43" t="n">
        <f aca="false">J2107-I2107</f>
        <v>5</v>
      </c>
      <c r="L2107" s="1" t="n">
        <v>5</v>
      </c>
      <c r="M2107" s="3" t="s">
        <v>48</v>
      </c>
      <c r="N2107" s="3" t="s">
        <v>61</v>
      </c>
      <c r="O2107" s="3" t="s">
        <v>82</v>
      </c>
      <c r="P2107" s="2" t="str">
        <f aca="false">CONCATENATE(N2107," ",O2107)</f>
        <v>Trochosa terricola</v>
      </c>
      <c r="Q2107" s="1" t="s">
        <v>30</v>
      </c>
      <c r="R2107" s="1" t="s">
        <v>35</v>
      </c>
      <c r="S2107" s="3" t="n">
        <v>0</v>
      </c>
      <c r="T2107" s="3" t="n">
        <v>1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f aca="false">SUM(S2107:T2107)</f>
        <v>1</v>
      </c>
      <c r="Z2107" s="3" t="n">
        <f aca="false">SUM(U2107:W2107)</f>
        <v>0</v>
      </c>
      <c r="AA2107" s="3" t="n">
        <f aca="false">SUM(S2107:X2107)</f>
        <v>1</v>
      </c>
      <c r="AB2107" s="11" t="n">
        <f aca="false">(AA2107/(K2107*L2107)*25)*4</f>
        <v>4</v>
      </c>
    </row>
    <row r="2108" customFormat="false" ht="14.25" hidden="false" customHeight="false" outlineLevel="0" collapsed="false">
      <c r="A2108" s="1" t="n">
        <v>2014</v>
      </c>
      <c r="B2108" s="7" t="s">
        <v>322</v>
      </c>
      <c r="C2108" s="7" t="n">
        <v>2</v>
      </c>
      <c r="D2108" s="7" t="s">
        <v>293</v>
      </c>
      <c r="E2108" s="7" t="s">
        <v>293</v>
      </c>
      <c r="F2108" s="3" t="s">
        <v>26</v>
      </c>
      <c r="G2108" s="3" t="n">
        <v>3</v>
      </c>
      <c r="H2108" s="3" t="n">
        <v>13</v>
      </c>
      <c r="I2108" s="22" t="n">
        <v>41793</v>
      </c>
      <c r="J2108" s="22" t="n">
        <v>41798</v>
      </c>
      <c r="K2108" s="43" t="n">
        <f aca="false">J2108-I2108</f>
        <v>5</v>
      </c>
      <c r="L2108" s="1" t="n">
        <v>5</v>
      </c>
      <c r="M2108" s="3" t="s">
        <v>36</v>
      </c>
      <c r="N2108" s="3" t="s">
        <v>37</v>
      </c>
      <c r="O2108" s="3" t="s">
        <v>75</v>
      </c>
      <c r="P2108" s="2" t="str">
        <f aca="false">CONCATENATE(N2108," ",O2108)</f>
        <v>Ozyptila praticola</v>
      </c>
      <c r="Q2108" s="1" t="s">
        <v>30</v>
      </c>
      <c r="R2108" s="1" t="s">
        <v>31</v>
      </c>
      <c r="S2108" s="3" t="n">
        <v>1</v>
      </c>
      <c r="T2108" s="3" t="n">
        <v>0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f aca="false">SUM(S2108:T2108)</f>
        <v>1</v>
      </c>
      <c r="Z2108" s="3" t="n">
        <f aca="false">SUM(U2108:W2108)</f>
        <v>0</v>
      </c>
      <c r="AA2108" s="3" t="n">
        <f aca="false">SUM(S2108:X2108)</f>
        <v>1</v>
      </c>
      <c r="AB2108" s="11" t="n">
        <f aca="false">(AA2108/(K2108*L2108)*25)*4</f>
        <v>4</v>
      </c>
    </row>
    <row r="2109" customFormat="false" ht="14.25" hidden="false" customHeight="false" outlineLevel="0" collapsed="false">
      <c r="A2109" s="1" t="n">
        <v>2014</v>
      </c>
      <c r="B2109" s="7" t="s">
        <v>322</v>
      </c>
      <c r="C2109" s="7" t="n">
        <v>2</v>
      </c>
      <c r="D2109" s="7" t="s">
        <v>293</v>
      </c>
      <c r="E2109" s="7" t="s">
        <v>293</v>
      </c>
      <c r="F2109" s="3" t="s">
        <v>26</v>
      </c>
      <c r="G2109" s="3" t="n">
        <v>3</v>
      </c>
      <c r="H2109" s="3" t="n">
        <v>13</v>
      </c>
      <c r="I2109" s="22" t="n">
        <v>41793</v>
      </c>
      <c r="J2109" s="22" t="n">
        <v>41798</v>
      </c>
      <c r="K2109" s="43" t="n">
        <f aca="false">J2109-I2109</f>
        <v>5</v>
      </c>
      <c r="L2109" s="1" t="n">
        <v>5</v>
      </c>
      <c r="M2109" s="3" t="s">
        <v>32</v>
      </c>
      <c r="N2109" s="3" t="s">
        <v>169</v>
      </c>
      <c r="O2109" s="3" t="s">
        <v>170</v>
      </c>
      <c r="P2109" s="2" t="str">
        <f aca="false">CONCATENATE(N2109," ",O2109)</f>
        <v>Abacoproeces saltuum</v>
      </c>
      <c r="Q2109" s="1" t="s">
        <v>30</v>
      </c>
      <c r="R2109" s="1" t="s">
        <v>31</v>
      </c>
      <c r="S2109" s="3" t="n">
        <v>1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f aca="false">SUM(S2109:T2109)</f>
        <v>1</v>
      </c>
      <c r="Z2109" s="3" t="n">
        <f aca="false">SUM(U2109:W2109)</f>
        <v>0</v>
      </c>
      <c r="AA2109" s="3" t="n">
        <f aca="false">SUM(S2109:X2109)</f>
        <v>1</v>
      </c>
      <c r="AB2109" s="11" t="n">
        <f aca="false">(AA2109/(K2109*L2109)*25)*4</f>
        <v>4</v>
      </c>
    </row>
    <row r="2110" customFormat="false" ht="14.25" hidden="false" customHeight="false" outlineLevel="0" collapsed="false">
      <c r="A2110" s="1" t="n">
        <v>2014</v>
      </c>
      <c r="B2110" s="7" t="s">
        <v>322</v>
      </c>
      <c r="C2110" s="7" t="n">
        <v>2</v>
      </c>
      <c r="D2110" s="7" t="s">
        <v>293</v>
      </c>
      <c r="E2110" s="7" t="s">
        <v>293</v>
      </c>
      <c r="F2110" s="3" t="s">
        <v>26</v>
      </c>
      <c r="G2110" s="3" t="n">
        <v>1</v>
      </c>
      <c r="H2110" s="3" t="n">
        <v>2</v>
      </c>
      <c r="I2110" s="22" t="n">
        <v>41793</v>
      </c>
      <c r="J2110" s="22" t="n">
        <v>41798</v>
      </c>
      <c r="K2110" s="43" t="n">
        <f aca="false">J2110-I2110</f>
        <v>5</v>
      </c>
      <c r="L2110" s="1" t="n">
        <v>5</v>
      </c>
      <c r="M2110" s="3" t="s">
        <v>48</v>
      </c>
      <c r="N2110" s="3" t="s">
        <v>67</v>
      </c>
      <c r="O2110" s="3" t="s">
        <v>127</v>
      </c>
      <c r="P2110" s="2" t="str">
        <f aca="false">CONCATENATE(N2110," ",O2110)</f>
        <v>Pardosa lugubris</v>
      </c>
      <c r="Q2110" s="1" t="s">
        <v>30</v>
      </c>
      <c r="R2110" s="1" t="s">
        <v>31</v>
      </c>
      <c r="S2110" s="3" t="n">
        <v>7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f aca="false">SUM(S2110:T2110)</f>
        <v>7</v>
      </c>
      <c r="Z2110" s="3" t="n">
        <f aca="false">SUM(U2110:W2110)</f>
        <v>0</v>
      </c>
      <c r="AA2110" s="3" t="n">
        <f aca="false">SUM(S2110:X2110)</f>
        <v>7</v>
      </c>
      <c r="AB2110" s="11" t="n">
        <f aca="false">(AA2110/(K2110*L2110)*25)*4</f>
        <v>28</v>
      </c>
    </row>
    <row r="2111" customFormat="false" ht="14.25" hidden="false" customHeight="false" outlineLevel="0" collapsed="false">
      <c r="A2111" s="1" t="n">
        <v>2014</v>
      </c>
      <c r="B2111" s="7" t="s">
        <v>322</v>
      </c>
      <c r="C2111" s="7" t="n">
        <v>2</v>
      </c>
      <c r="D2111" s="7" t="s">
        <v>293</v>
      </c>
      <c r="E2111" s="7" t="s">
        <v>293</v>
      </c>
      <c r="F2111" s="3" t="s">
        <v>26</v>
      </c>
      <c r="G2111" s="3" t="n">
        <v>1</v>
      </c>
      <c r="H2111" s="3" t="n">
        <v>2</v>
      </c>
      <c r="I2111" s="22" t="n">
        <v>41793</v>
      </c>
      <c r="J2111" s="22" t="n">
        <v>41798</v>
      </c>
      <c r="K2111" s="43" t="n">
        <f aca="false">J2111-I2111</f>
        <v>5</v>
      </c>
      <c r="L2111" s="1" t="n">
        <v>5</v>
      </c>
      <c r="M2111" s="3" t="s">
        <v>48</v>
      </c>
      <c r="N2111" s="3" t="s">
        <v>49</v>
      </c>
      <c r="O2111" s="3" t="s">
        <v>104</v>
      </c>
      <c r="P2111" s="2" t="str">
        <f aca="false">CONCATENATE(N2111," ",O2111)</f>
        <v>Alopecosa taeniata</v>
      </c>
      <c r="Q2111" s="1" t="s">
        <v>30</v>
      </c>
      <c r="R2111" s="1" t="s">
        <v>31</v>
      </c>
      <c r="S2111" s="3" t="n">
        <v>1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f aca="false">SUM(S2111:T2111)</f>
        <v>1</v>
      </c>
      <c r="Z2111" s="3" t="n">
        <f aca="false">SUM(U2111:W2111)</f>
        <v>0</v>
      </c>
      <c r="AA2111" s="3" t="n">
        <f aca="false">SUM(S2111:X2111)</f>
        <v>1</v>
      </c>
      <c r="AB2111" s="11" t="n">
        <f aca="false">(AA2111/(K2111*L2111)*25)*4</f>
        <v>4</v>
      </c>
    </row>
    <row r="2112" customFormat="false" ht="14.25" hidden="false" customHeight="false" outlineLevel="0" collapsed="false">
      <c r="A2112" s="1" t="n">
        <v>2014</v>
      </c>
      <c r="B2112" s="7" t="s">
        <v>322</v>
      </c>
      <c r="C2112" s="7" t="n">
        <v>2</v>
      </c>
      <c r="D2112" s="7" t="s">
        <v>293</v>
      </c>
      <c r="E2112" s="7" t="s">
        <v>293</v>
      </c>
      <c r="F2112" s="3" t="s">
        <v>26</v>
      </c>
      <c r="G2112" s="3" t="n">
        <v>1</v>
      </c>
      <c r="H2112" s="3" t="n">
        <v>2</v>
      </c>
      <c r="I2112" s="22" t="n">
        <v>41793</v>
      </c>
      <c r="J2112" s="22" t="n">
        <v>41798</v>
      </c>
      <c r="K2112" s="43" t="n">
        <f aca="false">J2112-I2112</f>
        <v>5</v>
      </c>
      <c r="L2112" s="1" t="n">
        <v>5</v>
      </c>
      <c r="M2112" s="3" t="s">
        <v>36</v>
      </c>
      <c r="N2112" s="3" t="s">
        <v>37</v>
      </c>
      <c r="O2112" s="3" t="s">
        <v>75</v>
      </c>
      <c r="P2112" s="2" t="str">
        <f aca="false">CONCATENATE(N2112," ",O2112)</f>
        <v>Ozyptila praticola</v>
      </c>
      <c r="Q2112" s="1" t="s">
        <v>30</v>
      </c>
      <c r="R2112" s="1" t="s">
        <v>31</v>
      </c>
      <c r="S2112" s="3" t="n">
        <v>1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f aca="false">SUM(S2112:T2112)</f>
        <v>1</v>
      </c>
      <c r="Z2112" s="3" t="n">
        <f aca="false">SUM(U2112:W2112)</f>
        <v>0</v>
      </c>
      <c r="AA2112" s="3" t="n">
        <f aca="false">SUM(S2112:X2112)</f>
        <v>1</v>
      </c>
      <c r="AB2112" s="11" t="n">
        <f aca="false">(AA2112/(K2112*L2112)*25)*4</f>
        <v>4</v>
      </c>
    </row>
    <row r="2113" customFormat="false" ht="14.25" hidden="false" customHeight="false" outlineLevel="0" collapsed="false">
      <c r="A2113" s="1" t="n">
        <v>2014</v>
      </c>
      <c r="B2113" s="7" t="s">
        <v>322</v>
      </c>
      <c r="C2113" s="7" t="n">
        <v>2</v>
      </c>
      <c r="D2113" s="7" t="s">
        <v>293</v>
      </c>
      <c r="E2113" s="7" t="s">
        <v>293</v>
      </c>
      <c r="F2113" s="3" t="s">
        <v>26</v>
      </c>
      <c r="G2113" s="3" t="n">
        <v>1</v>
      </c>
      <c r="H2113" s="3" t="n">
        <v>2</v>
      </c>
      <c r="I2113" s="22" t="n">
        <v>41793</v>
      </c>
      <c r="J2113" s="22" t="n">
        <v>41798</v>
      </c>
      <c r="K2113" s="43" t="n">
        <f aca="false">J2113-I2113</f>
        <v>5</v>
      </c>
      <c r="L2113" s="1" t="n">
        <v>5</v>
      </c>
      <c r="M2113" s="3" t="s">
        <v>226</v>
      </c>
      <c r="N2113" s="3" t="s">
        <v>65</v>
      </c>
      <c r="O2113" s="3" t="s">
        <v>123</v>
      </c>
      <c r="P2113" s="2" t="str">
        <f aca="false">CONCATENATE(N2113," ",O2113)</f>
        <v>Zora nemoralis</v>
      </c>
      <c r="Q2113" s="1" t="s">
        <v>30</v>
      </c>
      <c r="R2113" s="1" t="s">
        <v>31</v>
      </c>
      <c r="S2113" s="3" t="n">
        <v>2</v>
      </c>
      <c r="T2113" s="3" t="n">
        <v>0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f aca="false">SUM(S2113:T2113)</f>
        <v>2</v>
      </c>
      <c r="Z2113" s="3" t="n">
        <f aca="false">SUM(U2113:W2113)</f>
        <v>0</v>
      </c>
      <c r="AA2113" s="3" t="n">
        <f aca="false">SUM(S2113:X2113)</f>
        <v>2</v>
      </c>
      <c r="AB2113" s="11" t="n">
        <f aca="false">(AA2113/(K2113*L2113)*25)*4</f>
        <v>8</v>
      </c>
    </row>
    <row r="2114" customFormat="false" ht="14.25" hidden="false" customHeight="false" outlineLevel="0" collapsed="false">
      <c r="A2114" s="1" t="n">
        <v>2014</v>
      </c>
      <c r="B2114" s="7" t="s">
        <v>322</v>
      </c>
      <c r="C2114" s="7" t="n">
        <v>2</v>
      </c>
      <c r="D2114" s="7" t="s">
        <v>293</v>
      </c>
      <c r="E2114" s="7" t="s">
        <v>293</v>
      </c>
      <c r="F2114" s="3" t="s">
        <v>26</v>
      </c>
      <c r="G2114" s="3" t="n">
        <v>1</v>
      </c>
      <c r="H2114" s="3" t="n">
        <v>2</v>
      </c>
      <c r="I2114" s="22" t="n">
        <v>41793</v>
      </c>
      <c r="J2114" s="22" t="n">
        <v>41798</v>
      </c>
      <c r="K2114" s="43" t="n">
        <f aca="false">J2114-I2114</f>
        <v>5</v>
      </c>
      <c r="L2114" s="1" t="n">
        <v>5</v>
      </c>
      <c r="M2114" s="3" t="s">
        <v>32</v>
      </c>
      <c r="N2114" s="3" t="s">
        <v>169</v>
      </c>
      <c r="O2114" s="3" t="s">
        <v>170</v>
      </c>
      <c r="P2114" s="2" t="str">
        <f aca="false">CONCATENATE(N2114," ",O2114)</f>
        <v>Abacoproeces saltuum</v>
      </c>
      <c r="Q2114" s="1" t="s">
        <v>30</v>
      </c>
      <c r="R2114" s="1" t="s">
        <v>31</v>
      </c>
      <c r="S2114" s="3" t="n">
        <v>1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f aca="false">SUM(S2114:T2114)</f>
        <v>1</v>
      </c>
      <c r="Z2114" s="3" t="n">
        <f aca="false">SUM(U2114:W2114)</f>
        <v>0</v>
      </c>
      <c r="AA2114" s="3" t="n">
        <f aca="false">SUM(S2114:X2114)</f>
        <v>1</v>
      </c>
      <c r="AB2114" s="11" t="n">
        <f aca="false">(AA2114/(K2114*L2114)*25)*4</f>
        <v>4</v>
      </c>
    </row>
    <row r="2115" customFormat="false" ht="14.25" hidden="false" customHeight="false" outlineLevel="0" collapsed="false">
      <c r="A2115" s="1" t="n">
        <v>2014</v>
      </c>
      <c r="B2115" s="7" t="s">
        <v>322</v>
      </c>
      <c r="C2115" s="7" t="n">
        <v>2</v>
      </c>
      <c r="D2115" s="7" t="s">
        <v>293</v>
      </c>
      <c r="E2115" s="7" t="s">
        <v>293</v>
      </c>
      <c r="F2115" s="3" t="s">
        <v>26</v>
      </c>
      <c r="G2115" s="3" t="n">
        <v>3</v>
      </c>
      <c r="H2115" s="3" t="n">
        <v>14</v>
      </c>
      <c r="I2115" s="22" t="n">
        <v>41793</v>
      </c>
      <c r="J2115" s="22" t="n">
        <v>41798</v>
      </c>
      <c r="K2115" s="43" t="n">
        <f aca="false">J2115-I2115</f>
        <v>5</v>
      </c>
      <c r="L2115" s="1" t="n">
        <v>5</v>
      </c>
      <c r="M2115" s="3" t="s">
        <v>48</v>
      </c>
      <c r="N2115" s="3" t="s">
        <v>67</v>
      </c>
      <c r="O2115" s="3" t="s">
        <v>127</v>
      </c>
      <c r="P2115" s="2" t="str">
        <f aca="false">CONCATENATE(N2115," ",O2115)</f>
        <v>Pardosa lugubris</v>
      </c>
      <c r="Q2115" s="1" t="s">
        <v>30</v>
      </c>
      <c r="R2115" s="1" t="s">
        <v>31</v>
      </c>
      <c r="S2115" s="3" t="n">
        <v>9</v>
      </c>
      <c r="T2115" s="3" t="n">
        <v>0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f aca="false">SUM(S2115:T2115)</f>
        <v>9</v>
      </c>
      <c r="Z2115" s="3" t="n">
        <f aca="false">SUM(U2115:W2115)</f>
        <v>0</v>
      </c>
      <c r="AA2115" s="3" t="n">
        <f aca="false">SUM(S2115:X2115)</f>
        <v>9</v>
      </c>
      <c r="AB2115" s="11" t="n">
        <f aca="false">(AA2115/(K2115*L2115)*25)*4</f>
        <v>36</v>
      </c>
    </row>
    <row r="2116" customFormat="false" ht="14.25" hidden="false" customHeight="false" outlineLevel="0" collapsed="false">
      <c r="A2116" s="1" t="n">
        <v>2014</v>
      </c>
      <c r="B2116" s="7" t="s">
        <v>322</v>
      </c>
      <c r="C2116" s="7" t="n">
        <v>2</v>
      </c>
      <c r="D2116" s="7" t="s">
        <v>293</v>
      </c>
      <c r="E2116" s="7" t="s">
        <v>293</v>
      </c>
      <c r="F2116" s="3" t="s">
        <v>26</v>
      </c>
      <c r="G2116" s="3" t="n">
        <v>3</v>
      </c>
      <c r="H2116" s="3" t="n">
        <v>14</v>
      </c>
      <c r="I2116" s="22" t="n">
        <v>41793</v>
      </c>
      <c r="J2116" s="22" t="n">
        <v>41798</v>
      </c>
      <c r="K2116" s="43" t="n">
        <f aca="false">J2116-I2116</f>
        <v>5</v>
      </c>
      <c r="L2116" s="1" t="n">
        <v>5</v>
      </c>
      <c r="M2116" s="3" t="s">
        <v>48</v>
      </c>
      <c r="N2116" s="3" t="s">
        <v>67</v>
      </c>
      <c r="O2116" s="3" t="s">
        <v>127</v>
      </c>
      <c r="P2116" s="2" t="str">
        <f aca="false">CONCATENATE(N2116," ",O2116)</f>
        <v>Pardosa lugubris</v>
      </c>
      <c r="Q2116" s="1" t="s">
        <v>30</v>
      </c>
      <c r="R2116" s="1" t="s">
        <v>35</v>
      </c>
      <c r="S2116" s="3" t="n">
        <v>0</v>
      </c>
      <c r="T2116" s="3" t="n">
        <v>2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f aca="false">SUM(S2116:T2116)</f>
        <v>2</v>
      </c>
      <c r="Z2116" s="3" t="n">
        <f aca="false">SUM(U2116:W2116)</f>
        <v>0</v>
      </c>
      <c r="AA2116" s="3" t="n">
        <f aca="false">SUM(S2116:X2116)</f>
        <v>2</v>
      </c>
      <c r="AB2116" s="11" t="n">
        <f aca="false">(AA2116/(K2116*L2116)*25)*4</f>
        <v>8</v>
      </c>
    </row>
    <row r="2117" customFormat="false" ht="14.25" hidden="false" customHeight="false" outlineLevel="0" collapsed="false">
      <c r="A2117" s="1" t="n">
        <v>2014</v>
      </c>
      <c r="B2117" s="7" t="s">
        <v>322</v>
      </c>
      <c r="C2117" s="7" t="n">
        <v>2</v>
      </c>
      <c r="D2117" s="7" t="s">
        <v>293</v>
      </c>
      <c r="E2117" s="7" t="s">
        <v>293</v>
      </c>
      <c r="F2117" s="3" t="s">
        <v>26</v>
      </c>
      <c r="G2117" s="3" t="n">
        <v>3</v>
      </c>
      <c r="H2117" s="3" t="n">
        <v>14</v>
      </c>
      <c r="I2117" s="22" t="n">
        <v>41793</v>
      </c>
      <c r="J2117" s="22" t="n">
        <v>41798</v>
      </c>
      <c r="K2117" s="43" t="n">
        <f aca="false">J2117-I2117</f>
        <v>5</v>
      </c>
      <c r="L2117" s="1" t="n">
        <v>5</v>
      </c>
      <c r="M2117" s="3" t="s">
        <v>48</v>
      </c>
      <c r="N2117" s="3" t="s">
        <v>61</v>
      </c>
      <c r="O2117" s="3" t="s">
        <v>82</v>
      </c>
      <c r="P2117" s="2" t="str">
        <f aca="false">CONCATENATE(N2117," ",O2117)</f>
        <v>Trochosa terricola</v>
      </c>
      <c r="Q2117" s="1" t="s">
        <v>30</v>
      </c>
      <c r="R2117" s="1" t="s">
        <v>35</v>
      </c>
      <c r="S2117" s="3" t="n">
        <v>0</v>
      </c>
      <c r="T2117" s="3" t="n">
        <v>1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f aca="false">SUM(S2117:T2117)</f>
        <v>1</v>
      </c>
      <c r="Z2117" s="3" t="n">
        <f aca="false">SUM(U2117:W2117)</f>
        <v>0</v>
      </c>
      <c r="AA2117" s="3" t="n">
        <f aca="false">SUM(S2117:X2117)</f>
        <v>1</v>
      </c>
      <c r="AB2117" s="11" t="n">
        <f aca="false">(AA2117/(K2117*L2117)*25)*4</f>
        <v>4</v>
      </c>
    </row>
    <row r="2118" customFormat="false" ht="14.25" hidden="false" customHeight="false" outlineLevel="0" collapsed="false">
      <c r="A2118" s="1" t="n">
        <v>2014</v>
      </c>
      <c r="B2118" s="7" t="s">
        <v>322</v>
      </c>
      <c r="C2118" s="7" t="n">
        <v>2</v>
      </c>
      <c r="D2118" s="7" t="s">
        <v>293</v>
      </c>
      <c r="E2118" s="7" t="s">
        <v>293</v>
      </c>
      <c r="F2118" s="3" t="s">
        <v>26</v>
      </c>
      <c r="G2118" s="3" t="n">
        <v>3</v>
      </c>
      <c r="H2118" s="3" t="n">
        <v>14</v>
      </c>
      <c r="I2118" s="22" t="n">
        <v>41793</v>
      </c>
      <c r="J2118" s="22" t="n">
        <v>41798</v>
      </c>
      <c r="K2118" s="43" t="n">
        <f aca="false">J2118-I2118</f>
        <v>5</v>
      </c>
      <c r="L2118" s="1" t="n">
        <v>5</v>
      </c>
      <c r="M2118" s="3" t="s">
        <v>48</v>
      </c>
      <c r="N2118" s="3" t="s">
        <v>49</v>
      </c>
      <c r="O2118" s="3" t="s">
        <v>104</v>
      </c>
      <c r="P2118" s="2" t="str">
        <f aca="false">CONCATENATE(N2118," ",O2118)</f>
        <v>Alopecosa taeniata</v>
      </c>
      <c r="Q2118" s="1" t="s">
        <v>30</v>
      </c>
      <c r="R2118" s="1" t="s">
        <v>31</v>
      </c>
      <c r="S2118" s="3" t="n">
        <v>3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f aca="false">SUM(S2118:T2118)</f>
        <v>3</v>
      </c>
      <c r="Z2118" s="3" t="n">
        <f aca="false">SUM(U2118:W2118)</f>
        <v>0</v>
      </c>
      <c r="AA2118" s="3" t="n">
        <f aca="false">SUM(S2118:X2118)</f>
        <v>3</v>
      </c>
      <c r="AB2118" s="11" t="n">
        <f aca="false">(AA2118/(K2118*L2118)*25)*4</f>
        <v>12</v>
      </c>
    </row>
    <row r="2119" customFormat="false" ht="14.25" hidden="false" customHeight="false" outlineLevel="0" collapsed="false">
      <c r="A2119" s="1" t="n">
        <v>2014</v>
      </c>
      <c r="B2119" s="7" t="s">
        <v>322</v>
      </c>
      <c r="C2119" s="7" t="n">
        <v>2</v>
      </c>
      <c r="D2119" s="7" t="s">
        <v>293</v>
      </c>
      <c r="E2119" s="7" t="s">
        <v>293</v>
      </c>
      <c r="F2119" s="3" t="s">
        <v>26</v>
      </c>
      <c r="G2119" s="3" t="n">
        <v>3</v>
      </c>
      <c r="H2119" s="3" t="n">
        <v>14</v>
      </c>
      <c r="I2119" s="22" t="n">
        <v>41793</v>
      </c>
      <c r="J2119" s="22" t="n">
        <v>41798</v>
      </c>
      <c r="K2119" s="43" t="n">
        <f aca="false">J2119-I2119</f>
        <v>5</v>
      </c>
      <c r="L2119" s="1" t="n">
        <v>5</v>
      </c>
      <c r="M2119" s="3" t="s">
        <v>36</v>
      </c>
      <c r="N2119" s="3" t="s">
        <v>37</v>
      </c>
      <c r="O2119" s="3" t="s">
        <v>75</v>
      </c>
      <c r="P2119" s="2" t="str">
        <f aca="false">CONCATENATE(N2119," ",O2119)</f>
        <v>Ozyptila praticola</v>
      </c>
      <c r="Q2119" s="1" t="s">
        <v>30</v>
      </c>
      <c r="R2119" s="1" t="s">
        <v>35</v>
      </c>
      <c r="S2119" s="3" t="n">
        <v>0</v>
      </c>
      <c r="T2119" s="3" t="n">
        <v>1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f aca="false">SUM(S2119:T2119)</f>
        <v>1</v>
      </c>
      <c r="Z2119" s="3" t="n">
        <f aca="false">SUM(U2119:W2119)</f>
        <v>0</v>
      </c>
      <c r="AA2119" s="3" t="n">
        <f aca="false">SUM(S2119:X2119)</f>
        <v>1</v>
      </c>
      <c r="AB2119" s="11" t="n">
        <f aca="false">(AA2119/(K2119*L2119)*25)*4</f>
        <v>4</v>
      </c>
    </row>
    <row r="2120" customFormat="false" ht="14.25" hidden="false" customHeight="false" outlineLevel="0" collapsed="false">
      <c r="A2120" s="1" t="n">
        <v>2014</v>
      </c>
      <c r="B2120" s="7" t="s">
        <v>322</v>
      </c>
      <c r="C2120" s="7" t="n">
        <v>2</v>
      </c>
      <c r="D2120" s="7" t="s">
        <v>293</v>
      </c>
      <c r="E2120" s="7" t="s">
        <v>293</v>
      </c>
      <c r="F2120" s="3" t="s">
        <v>26</v>
      </c>
      <c r="G2120" s="3" t="n">
        <v>3</v>
      </c>
      <c r="H2120" s="3" t="n">
        <v>14</v>
      </c>
      <c r="I2120" s="22" t="n">
        <v>41793</v>
      </c>
      <c r="J2120" s="22" t="n">
        <v>41798</v>
      </c>
      <c r="K2120" s="43" t="n">
        <f aca="false">J2120-I2120</f>
        <v>5</v>
      </c>
      <c r="L2120" s="1" t="n">
        <v>5</v>
      </c>
      <c r="M2120" s="3" t="s">
        <v>32</v>
      </c>
      <c r="N2120" s="3" t="s">
        <v>169</v>
      </c>
      <c r="O2120" s="3" t="s">
        <v>170</v>
      </c>
      <c r="P2120" s="2" t="str">
        <f aca="false">CONCATENATE(N2120," ",O2120)</f>
        <v>Abacoproeces saltuum</v>
      </c>
      <c r="Q2120" s="1" t="s">
        <v>30</v>
      </c>
      <c r="R2120" s="1" t="s">
        <v>31</v>
      </c>
      <c r="S2120" s="3" t="n">
        <v>1</v>
      </c>
      <c r="T2120" s="3" t="n">
        <v>0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f aca="false">SUM(S2120:T2120)</f>
        <v>1</v>
      </c>
      <c r="Z2120" s="3" t="n">
        <f aca="false">SUM(U2120:W2120)</f>
        <v>0</v>
      </c>
      <c r="AA2120" s="3" t="n">
        <f aca="false">SUM(S2120:X2120)</f>
        <v>1</v>
      </c>
      <c r="AB2120" s="11" t="n">
        <f aca="false">(AA2120/(K2120*L2120)*25)*4</f>
        <v>4</v>
      </c>
    </row>
    <row r="2121" customFormat="false" ht="14.25" hidden="false" customHeight="false" outlineLevel="0" collapsed="false">
      <c r="A2121" s="1" t="n">
        <v>2014</v>
      </c>
      <c r="B2121" s="7" t="s">
        <v>322</v>
      </c>
      <c r="C2121" s="7" t="n">
        <v>2</v>
      </c>
      <c r="D2121" s="7" t="s">
        <v>293</v>
      </c>
      <c r="E2121" s="7" t="s">
        <v>293</v>
      </c>
      <c r="F2121" s="3" t="s">
        <v>26</v>
      </c>
      <c r="G2121" s="3" t="n">
        <v>3</v>
      </c>
      <c r="H2121" s="3" t="n">
        <v>15</v>
      </c>
      <c r="I2121" s="22" t="n">
        <v>41793</v>
      </c>
      <c r="J2121" s="22" t="n">
        <v>41798</v>
      </c>
      <c r="K2121" s="43" t="n">
        <f aca="false">J2121-I2121</f>
        <v>5</v>
      </c>
      <c r="L2121" s="1" t="n">
        <v>5</v>
      </c>
      <c r="M2121" s="3" t="s">
        <v>48</v>
      </c>
      <c r="N2121" s="3" t="s">
        <v>67</v>
      </c>
      <c r="O2121" s="3" t="s">
        <v>127</v>
      </c>
      <c r="P2121" s="2" t="str">
        <f aca="false">CONCATENATE(N2121," ",O2121)</f>
        <v>Pardosa lugubris</v>
      </c>
      <c r="Q2121" s="1" t="s">
        <v>30</v>
      </c>
      <c r="R2121" s="1" t="s">
        <v>31</v>
      </c>
      <c r="S2121" s="3" t="n">
        <v>2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f aca="false">SUM(S2121:T2121)</f>
        <v>2</v>
      </c>
      <c r="Z2121" s="3" t="n">
        <f aca="false">SUM(U2121:W2121)</f>
        <v>0</v>
      </c>
      <c r="AA2121" s="3" t="n">
        <f aca="false">SUM(S2121:X2121)</f>
        <v>2</v>
      </c>
      <c r="AB2121" s="11" t="n">
        <f aca="false">(AA2121/(K2121*L2121)*25)*4</f>
        <v>8</v>
      </c>
    </row>
    <row r="2122" customFormat="false" ht="14.25" hidden="false" customHeight="false" outlineLevel="0" collapsed="false">
      <c r="A2122" s="1" t="n">
        <v>2014</v>
      </c>
      <c r="B2122" s="7" t="s">
        <v>322</v>
      </c>
      <c r="C2122" s="7" t="n">
        <v>2</v>
      </c>
      <c r="D2122" s="7" t="s">
        <v>293</v>
      </c>
      <c r="E2122" s="7" t="s">
        <v>293</v>
      </c>
      <c r="F2122" s="3" t="s">
        <v>26</v>
      </c>
      <c r="G2122" s="3" t="n">
        <v>3</v>
      </c>
      <c r="H2122" s="3" t="n">
        <v>15</v>
      </c>
      <c r="I2122" s="22" t="n">
        <v>41793</v>
      </c>
      <c r="J2122" s="22" t="n">
        <v>41798</v>
      </c>
      <c r="K2122" s="43" t="n">
        <f aca="false">J2122-I2122</f>
        <v>5</v>
      </c>
      <c r="L2122" s="1" t="n">
        <v>5</v>
      </c>
      <c r="M2122" s="3" t="s">
        <v>48</v>
      </c>
      <c r="N2122" s="3" t="s">
        <v>67</v>
      </c>
      <c r="O2122" s="3" t="s">
        <v>127</v>
      </c>
      <c r="P2122" s="2" t="str">
        <f aca="false">CONCATENATE(N2122," ",O2122)</f>
        <v>Pardosa lugubris</v>
      </c>
      <c r="Q2122" s="1" t="s">
        <v>30</v>
      </c>
      <c r="R2122" s="1" t="s">
        <v>35</v>
      </c>
      <c r="S2122" s="3" t="n">
        <v>0</v>
      </c>
      <c r="T2122" s="3" t="n">
        <v>2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f aca="false">SUM(S2122:T2122)</f>
        <v>2</v>
      </c>
      <c r="Z2122" s="3" t="n">
        <f aca="false">SUM(U2122:W2122)</f>
        <v>0</v>
      </c>
      <c r="AA2122" s="3" t="n">
        <f aca="false">SUM(S2122:X2122)</f>
        <v>2</v>
      </c>
      <c r="AB2122" s="11" t="n">
        <f aca="false">(AA2122/(K2122*L2122)*25)*4</f>
        <v>8</v>
      </c>
    </row>
    <row r="2123" customFormat="false" ht="14.25" hidden="false" customHeight="false" outlineLevel="0" collapsed="false">
      <c r="A2123" s="1" t="n">
        <v>2014</v>
      </c>
      <c r="B2123" s="7" t="s">
        <v>322</v>
      </c>
      <c r="C2123" s="7" t="n">
        <v>2</v>
      </c>
      <c r="D2123" s="7" t="s">
        <v>293</v>
      </c>
      <c r="E2123" s="7" t="s">
        <v>293</v>
      </c>
      <c r="F2123" s="3" t="s">
        <v>26</v>
      </c>
      <c r="G2123" s="3" t="n">
        <v>3</v>
      </c>
      <c r="H2123" s="3" t="n">
        <v>15</v>
      </c>
      <c r="I2123" s="22" t="n">
        <v>41793</v>
      </c>
      <c r="J2123" s="22" t="n">
        <v>41798</v>
      </c>
      <c r="K2123" s="43" t="n">
        <f aca="false">J2123-I2123</f>
        <v>5</v>
      </c>
      <c r="L2123" s="1" t="n">
        <v>5</v>
      </c>
      <c r="M2123" s="3" t="s">
        <v>48</v>
      </c>
      <c r="N2123" s="3" t="s">
        <v>49</v>
      </c>
      <c r="O2123" s="3" t="s">
        <v>104</v>
      </c>
      <c r="P2123" s="2" t="str">
        <f aca="false">CONCATENATE(N2123," ",O2123)</f>
        <v>Alopecosa taeniata</v>
      </c>
      <c r="Q2123" s="1" t="s">
        <v>30</v>
      </c>
      <c r="R2123" s="1" t="s">
        <v>31</v>
      </c>
      <c r="S2123" s="3" t="n">
        <v>1</v>
      </c>
      <c r="T2123" s="3" t="n">
        <v>0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f aca="false">SUM(S2123:T2123)</f>
        <v>1</v>
      </c>
      <c r="Z2123" s="3" t="n">
        <f aca="false">SUM(U2123:W2123)</f>
        <v>0</v>
      </c>
      <c r="AA2123" s="3" t="n">
        <f aca="false">SUM(S2123:X2123)</f>
        <v>1</v>
      </c>
      <c r="AB2123" s="11" t="n">
        <f aca="false">(AA2123/(K2123*L2123)*25)*4</f>
        <v>4</v>
      </c>
    </row>
    <row r="2124" customFormat="false" ht="14.25" hidden="false" customHeight="false" outlineLevel="0" collapsed="false">
      <c r="A2124" s="1" t="n">
        <v>2014</v>
      </c>
      <c r="B2124" s="7" t="s">
        <v>322</v>
      </c>
      <c r="C2124" s="7" t="n">
        <v>2</v>
      </c>
      <c r="D2124" s="7" t="s">
        <v>293</v>
      </c>
      <c r="E2124" s="7" t="s">
        <v>293</v>
      </c>
      <c r="F2124" s="3" t="s">
        <v>26</v>
      </c>
      <c r="G2124" s="3" t="n">
        <v>3</v>
      </c>
      <c r="H2124" s="3" t="n">
        <v>15</v>
      </c>
      <c r="I2124" s="22" t="n">
        <v>41793</v>
      </c>
      <c r="J2124" s="22" t="n">
        <v>41798</v>
      </c>
      <c r="K2124" s="43" t="n">
        <f aca="false">J2124-I2124</f>
        <v>5</v>
      </c>
      <c r="L2124" s="1" t="n">
        <v>5</v>
      </c>
      <c r="M2124" s="3" t="s">
        <v>226</v>
      </c>
      <c r="N2124" s="3" t="s">
        <v>65</v>
      </c>
      <c r="O2124" s="3" t="s">
        <v>335</v>
      </c>
      <c r="P2124" s="2" t="str">
        <f aca="false">CONCATENATE(N2124," ",O2124)</f>
        <v>Zora spinimana</v>
      </c>
      <c r="Q2124" s="1" t="s">
        <v>30</v>
      </c>
      <c r="R2124" s="1" t="s">
        <v>35</v>
      </c>
      <c r="S2124" s="3" t="n">
        <v>0</v>
      </c>
      <c r="T2124" s="3" t="n">
        <v>1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f aca="false">SUM(S2124:T2124)</f>
        <v>1</v>
      </c>
      <c r="Z2124" s="3" t="n">
        <f aca="false">SUM(U2124:W2124)</f>
        <v>0</v>
      </c>
      <c r="AA2124" s="3" t="n">
        <f aca="false">SUM(S2124:X2124)</f>
        <v>1</v>
      </c>
      <c r="AB2124" s="11" t="n">
        <f aca="false">(AA2124/(K2124*L2124)*25)*4</f>
        <v>4</v>
      </c>
    </row>
    <row r="2125" customFormat="false" ht="14.25" hidden="false" customHeight="false" outlineLevel="0" collapsed="false">
      <c r="A2125" s="1" t="n">
        <v>2014</v>
      </c>
      <c r="B2125" s="7" t="s">
        <v>322</v>
      </c>
      <c r="C2125" s="7" t="n">
        <v>2</v>
      </c>
      <c r="D2125" s="7" t="s">
        <v>293</v>
      </c>
      <c r="E2125" s="7" t="s">
        <v>293</v>
      </c>
      <c r="F2125" s="3" t="s">
        <v>26</v>
      </c>
      <c r="G2125" s="3" t="n">
        <v>3</v>
      </c>
      <c r="H2125" s="3" t="n">
        <v>15</v>
      </c>
      <c r="I2125" s="22" t="n">
        <v>41793</v>
      </c>
      <c r="J2125" s="22" t="n">
        <v>41798</v>
      </c>
      <c r="K2125" s="43" t="n">
        <f aca="false">J2125-I2125</f>
        <v>5</v>
      </c>
      <c r="L2125" s="1" t="n">
        <v>5</v>
      </c>
      <c r="M2125" s="3" t="s">
        <v>72</v>
      </c>
      <c r="N2125" s="3" t="s">
        <v>86</v>
      </c>
      <c r="O2125" s="3" t="s">
        <v>87</v>
      </c>
      <c r="P2125" s="2" t="str">
        <f aca="false">CONCATENATE(N2125," ",O2125)</f>
        <v>Haplodrassus soerenseni</v>
      </c>
      <c r="Q2125" s="1" t="s">
        <v>30</v>
      </c>
      <c r="R2125" s="1" t="s">
        <v>31</v>
      </c>
      <c r="S2125" s="3" t="n">
        <v>1</v>
      </c>
      <c r="T2125" s="3" t="n">
        <v>0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f aca="false">SUM(S2125:T2125)</f>
        <v>1</v>
      </c>
      <c r="Z2125" s="3" t="n">
        <f aca="false">SUM(U2125:W2125)</f>
        <v>0</v>
      </c>
      <c r="AA2125" s="3" t="n">
        <f aca="false">SUM(S2125:X2125)</f>
        <v>1</v>
      </c>
      <c r="AB2125" s="11" t="n">
        <f aca="false">(AA2125/(K2125*L2125)*25)*4</f>
        <v>4</v>
      </c>
    </row>
    <row r="2126" customFormat="false" ht="14.25" hidden="false" customHeight="false" outlineLevel="0" collapsed="false">
      <c r="A2126" s="1" t="n">
        <v>2014</v>
      </c>
      <c r="B2126" s="7" t="s">
        <v>322</v>
      </c>
      <c r="C2126" s="7" t="n">
        <v>2</v>
      </c>
      <c r="D2126" s="7" t="s">
        <v>293</v>
      </c>
      <c r="E2126" s="7" t="s">
        <v>293</v>
      </c>
      <c r="F2126" s="3" t="s">
        <v>26</v>
      </c>
      <c r="G2126" s="3" t="n">
        <v>3</v>
      </c>
      <c r="H2126" s="3" t="n">
        <v>15</v>
      </c>
      <c r="I2126" s="22" t="n">
        <v>41793</v>
      </c>
      <c r="J2126" s="22" t="n">
        <v>41798</v>
      </c>
      <c r="K2126" s="43" t="n">
        <f aca="false">J2126-I2126</f>
        <v>5</v>
      </c>
      <c r="L2126" s="1" t="n">
        <v>5</v>
      </c>
      <c r="M2126" s="3" t="s">
        <v>32</v>
      </c>
      <c r="N2126" s="3" t="s">
        <v>102</v>
      </c>
      <c r="O2126" s="3" t="s">
        <v>143</v>
      </c>
      <c r="P2126" s="2" t="str">
        <f aca="false">CONCATENATE(N2126," ",O2126)</f>
        <v>Agyneta saaristoi</v>
      </c>
      <c r="Q2126" s="1" t="s">
        <v>30</v>
      </c>
      <c r="R2126" s="1" t="s">
        <v>35</v>
      </c>
      <c r="S2126" s="3" t="n">
        <v>0</v>
      </c>
      <c r="T2126" s="3" t="n">
        <v>1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f aca="false">SUM(S2126:T2126)</f>
        <v>1</v>
      </c>
      <c r="Z2126" s="3" t="n">
        <f aca="false">SUM(U2126:W2126)</f>
        <v>0</v>
      </c>
      <c r="AA2126" s="3" t="n">
        <f aca="false">SUM(S2126:X2126)</f>
        <v>1</v>
      </c>
      <c r="AB2126" s="11" t="n">
        <f aca="false">(AA2126/(K2126*L2126)*25)*4</f>
        <v>4</v>
      </c>
    </row>
    <row r="2127" customFormat="false" ht="14.25" hidden="false" customHeight="false" outlineLevel="0" collapsed="false">
      <c r="A2127" s="1" t="n">
        <v>2014</v>
      </c>
      <c r="B2127" s="7" t="s">
        <v>322</v>
      </c>
      <c r="C2127" s="7" t="n">
        <v>2</v>
      </c>
      <c r="D2127" s="7" t="s">
        <v>293</v>
      </c>
      <c r="E2127" s="7" t="s">
        <v>293</v>
      </c>
      <c r="F2127" s="3" t="s">
        <v>26</v>
      </c>
      <c r="G2127" s="3" t="n">
        <v>3</v>
      </c>
      <c r="H2127" s="3" t="n">
        <v>15</v>
      </c>
      <c r="I2127" s="22" t="n">
        <v>41793</v>
      </c>
      <c r="J2127" s="22" t="n">
        <v>41798</v>
      </c>
      <c r="K2127" s="43" t="n">
        <f aca="false">J2127-I2127</f>
        <v>5</v>
      </c>
      <c r="L2127" s="1" t="n">
        <v>5</v>
      </c>
      <c r="M2127" s="3" t="s">
        <v>32</v>
      </c>
      <c r="N2127" s="3" t="s">
        <v>84</v>
      </c>
      <c r="O2127" s="3" t="s">
        <v>85</v>
      </c>
      <c r="P2127" s="2" t="str">
        <f aca="false">CONCATENATE(N2127," ",O2127)</f>
        <v>Walckenaeria antica</v>
      </c>
      <c r="Q2127" s="1" t="s">
        <v>30</v>
      </c>
      <c r="R2127" s="1" t="s">
        <v>35</v>
      </c>
      <c r="S2127" s="3" t="n">
        <v>0</v>
      </c>
      <c r="T2127" s="3" t="n">
        <v>1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f aca="false">SUM(S2127:T2127)</f>
        <v>1</v>
      </c>
      <c r="Z2127" s="3" t="n">
        <f aca="false">SUM(U2127:W2127)</f>
        <v>0</v>
      </c>
      <c r="AA2127" s="3" t="n">
        <f aca="false">SUM(S2127:X2127)</f>
        <v>1</v>
      </c>
      <c r="AB2127" s="11" t="n">
        <f aca="false">(AA2127/(K2127*L2127)*25)*4</f>
        <v>4</v>
      </c>
    </row>
    <row r="2128" customFormat="false" ht="14.25" hidden="false" customHeight="false" outlineLevel="0" collapsed="false">
      <c r="A2128" s="1" t="n">
        <v>2014</v>
      </c>
      <c r="B2128" s="7" t="s">
        <v>322</v>
      </c>
      <c r="C2128" s="7" t="n">
        <v>2</v>
      </c>
      <c r="D2128" s="7" t="s">
        <v>295</v>
      </c>
      <c r="E2128" s="7" t="s">
        <v>295</v>
      </c>
      <c r="F2128" s="3" t="s">
        <v>336</v>
      </c>
      <c r="G2128" s="3" t="n">
        <v>1</v>
      </c>
      <c r="H2128" s="3" t="n">
        <v>1</v>
      </c>
      <c r="I2128" s="22" t="n">
        <v>41794</v>
      </c>
      <c r="J2128" s="22" t="n">
        <v>41799</v>
      </c>
      <c r="K2128" s="43" t="n">
        <f aca="false">J2128-I2128</f>
        <v>5</v>
      </c>
      <c r="L2128" s="1" t="n">
        <v>5</v>
      </c>
      <c r="M2128" s="3" t="s">
        <v>48</v>
      </c>
      <c r="N2128" s="3" t="s">
        <v>122</v>
      </c>
      <c r="O2128" s="3" t="s">
        <v>123</v>
      </c>
      <c r="P2128" s="2" t="str">
        <f aca="false">CONCATENATE(N2128," ",O2128)</f>
        <v>Xerolycosa nemoralis</v>
      </c>
      <c r="Q2128" s="1" t="s">
        <v>30</v>
      </c>
      <c r="R2128" s="1" t="s">
        <v>31</v>
      </c>
      <c r="S2128" s="3" t="n">
        <v>14</v>
      </c>
      <c r="T2128" s="3" t="n">
        <v>0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f aca="false">SUM(S2128:T2128)</f>
        <v>14</v>
      </c>
      <c r="Z2128" s="3" t="n">
        <f aca="false">SUM(U2128:W2128)</f>
        <v>0</v>
      </c>
      <c r="AA2128" s="3" t="n">
        <f aca="false">SUM(S2128:X2128)</f>
        <v>14</v>
      </c>
      <c r="AB2128" s="11" t="n">
        <f aca="false">(AA2128/(K2128*L2128)*25)*4</f>
        <v>56</v>
      </c>
    </row>
    <row r="2129" customFormat="false" ht="14.25" hidden="false" customHeight="false" outlineLevel="0" collapsed="false">
      <c r="A2129" s="1" t="n">
        <v>2014</v>
      </c>
      <c r="B2129" s="7" t="s">
        <v>322</v>
      </c>
      <c r="C2129" s="7" t="n">
        <v>2</v>
      </c>
      <c r="D2129" s="7" t="s">
        <v>295</v>
      </c>
      <c r="E2129" s="7" t="s">
        <v>295</v>
      </c>
      <c r="F2129" s="3" t="s">
        <v>336</v>
      </c>
      <c r="G2129" s="3" t="n">
        <v>1</v>
      </c>
      <c r="H2129" s="3" t="n">
        <v>1</v>
      </c>
      <c r="I2129" s="22" t="n">
        <v>41794</v>
      </c>
      <c r="J2129" s="22" t="n">
        <v>41799</v>
      </c>
      <c r="K2129" s="43" t="n">
        <f aca="false">J2129-I2129</f>
        <v>5</v>
      </c>
      <c r="L2129" s="1" t="n">
        <v>5</v>
      </c>
      <c r="M2129" s="3" t="s">
        <v>48</v>
      </c>
      <c r="N2129" s="3" t="s">
        <v>122</v>
      </c>
      <c r="O2129" s="3" t="s">
        <v>123</v>
      </c>
      <c r="P2129" s="2" t="str">
        <f aca="false">CONCATENATE(N2129," ",O2129)</f>
        <v>Xerolycosa nemoralis</v>
      </c>
      <c r="Q2129" s="1" t="s">
        <v>30</v>
      </c>
      <c r="R2129" s="1" t="s">
        <v>35</v>
      </c>
      <c r="S2129" s="3" t="n">
        <v>0</v>
      </c>
      <c r="T2129" s="3" t="n">
        <v>2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f aca="false">SUM(S2129:T2129)</f>
        <v>2</v>
      </c>
      <c r="Z2129" s="3" t="n">
        <f aca="false">SUM(U2129:W2129)</f>
        <v>0</v>
      </c>
      <c r="AA2129" s="3" t="n">
        <f aca="false">SUM(S2129:X2129)</f>
        <v>2</v>
      </c>
      <c r="AB2129" s="11" t="n">
        <f aca="false">(AA2129/(K2129*L2129)*25)*4</f>
        <v>8</v>
      </c>
    </row>
    <row r="2130" customFormat="false" ht="14.25" hidden="false" customHeight="false" outlineLevel="0" collapsed="false">
      <c r="A2130" s="1" t="n">
        <v>2014</v>
      </c>
      <c r="B2130" s="7" t="s">
        <v>322</v>
      </c>
      <c r="C2130" s="7" t="n">
        <v>2</v>
      </c>
      <c r="D2130" s="7" t="s">
        <v>295</v>
      </c>
      <c r="E2130" s="7" t="s">
        <v>295</v>
      </c>
      <c r="F2130" s="3" t="s">
        <v>336</v>
      </c>
      <c r="G2130" s="3" t="n">
        <v>1</v>
      </c>
      <c r="H2130" s="3" t="n">
        <v>1</v>
      </c>
      <c r="I2130" s="22" t="n">
        <v>41794</v>
      </c>
      <c r="J2130" s="22" t="n">
        <v>41799</v>
      </c>
      <c r="K2130" s="43" t="n">
        <f aca="false">J2130-I2130</f>
        <v>5</v>
      </c>
      <c r="L2130" s="1" t="n">
        <v>5</v>
      </c>
      <c r="M2130" s="3" t="s">
        <v>27</v>
      </c>
      <c r="N2130" s="3" t="s">
        <v>46</v>
      </c>
      <c r="O2130" s="3" t="s">
        <v>47</v>
      </c>
      <c r="P2130" s="2" t="str">
        <f aca="false">CONCATENATE(N2130," ",O2130)</f>
        <v>Euryopis flavomaculata</v>
      </c>
      <c r="Q2130" s="1" t="s">
        <v>30</v>
      </c>
      <c r="R2130" s="1" t="s">
        <v>31</v>
      </c>
      <c r="S2130" s="3" t="n">
        <v>1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f aca="false">SUM(S2130:T2130)</f>
        <v>1</v>
      </c>
      <c r="Z2130" s="3" t="n">
        <f aca="false">SUM(U2130:W2130)</f>
        <v>0</v>
      </c>
      <c r="AA2130" s="3" t="n">
        <f aca="false">SUM(S2130:X2130)</f>
        <v>1</v>
      </c>
      <c r="AB2130" s="11" t="n">
        <f aca="false">(AA2130/(K2130*L2130)*25)*4</f>
        <v>4</v>
      </c>
    </row>
    <row r="2131" customFormat="false" ht="14.25" hidden="false" customHeight="false" outlineLevel="0" collapsed="false">
      <c r="A2131" s="1" t="n">
        <v>2014</v>
      </c>
      <c r="B2131" s="7" t="s">
        <v>322</v>
      </c>
      <c r="C2131" s="7" t="n">
        <v>2</v>
      </c>
      <c r="D2131" s="7" t="s">
        <v>295</v>
      </c>
      <c r="E2131" s="7" t="s">
        <v>295</v>
      </c>
      <c r="F2131" s="3" t="s">
        <v>336</v>
      </c>
      <c r="G2131" s="3" t="n">
        <v>1</v>
      </c>
      <c r="H2131" s="3" t="n">
        <v>1</v>
      </c>
      <c r="I2131" s="22" t="n">
        <v>41794</v>
      </c>
      <c r="J2131" s="22" t="n">
        <v>41799</v>
      </c>
      <c r="K2131" s="43" t="n">
        <f aca="false">J2131-I2131</f>
        <v>5</v>
      </c>
      <c r="L2131" s="1" t="n">
        <v>5</v>
      </c>
      <c r="M2131" s="3" t="s">
        <v>27</v>
      </c>
      <c r="N2131" s="3" t="s">
        <v>46</v>
      </c>
      <c r="O2131" s="3" t="s">
        <v>47</v>
      </c>
      <c r="P2131" s="2" t="str">
        <f aca="false">CONCATENATE(N2131," ",O2131)</f>
        <v>Euryopis flavomaculata</v>
      </c>
      <c r="Q2131" s="1" t="s">
        <v>30</v>
      </c>
      <c r="R2131" s="1" t="s">
        <v>35</v>
      </c>
      <c r="S2131" s="3" t="n">
        <v>0</v>
      </c>
      <c r="T2131" s="3" t="n">
        <v>1</v>
      </c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f aca="false">SUM(S2131:T2131)</f>
        <v>1</v>
      </c>
      <c r="Z2131" s="3" t="n">
        <f aca="false">SUM(U2131:W2131)</f>
        <v>0</v>
      </c>
      <c r="AA2131" s="3" t="n">
        <f aca="false">SUM(S2131:X2131)</f>
        <v>1</v>
      </c>
      <c r="AB2131" s="11" t="n">
        <f aca="false">(AA2131/(K2131*L2131)*25)*4</f>
        <v>4</v>
      </c>
    </row>
    <row r="2132" customFormat="false" ht="14.25" hidden="false" customHeight="false" outlineLevel="0" collapsed="false">
      <c r="A2132" s="1" t="n">
        <v>2014</v>
      </c>
      <c r="B2132" s="7" t="s">
        <v>322</v>
      </c>
      <c r="C2132" s="7" t="n">
        <v>2</v>
      </c>
      <c r="D2132" s="7" t="s">
        <v>293</v>
      </c>
      <c r="E2132" s="7" t="s">
        <v>293</v>
      </c>
      <c r="F2132" s="3" t="s">
        <v>26</v>
      </c>
      <c r="G2132" s="3" t="n">
        <v>1</v>
      </c>
      <c r="H2132" s="3" t="n">
        <v>3</v>
      </c>
      <c r="I2132" s="22" t="n">
        <v>41793</v>
      </c>
      <c r="J2132" s="22" t="n">
        <v>41798</v>
      </c>
      <c r="K2132" s="43" t="n">
        <f aca="false">J2132-I2132</f>
        <v>5</v>
      </c>
      <c r="L2132" s="1" t="n">
        <v>5</v>
      </c>
      <c r="M2132" s="3" t="s">
        <v>48</v>
      </c>
      <c r="N2132" s="3" t="s">
        <v>67</v>
      </c>
      <c r="O2132" s="3" t="s">
        <v>127</v>
      </c>
      <c r="P2132" s="2" t="str">
        <f aca="false">CONCATENATE(N2132," ",O2132)</f>
        <v>Pardosa lugubris</v>
      </c>
      <c r="Q2132" s="1" t="s">
        <v>30</v>
      </c>
      <c r="R2132" s="1" t="s">
        <v>31</v>
      </c>
      <c r="S2132" s="3" t="n">
        <v>9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f aca="false">SUM(S2132:T2132)</f>
        <v>9</v>
      </c>
      <c r="Z2132" s="3" t="n">
        <f aca="false">SUM(U2132:W2132)</f>
        <v>0</v>
      </c>
      <c r="AA2132" s="3" t="n">
        <f aca="false">SUM(S2132:X2132)</f>
        <v>9</v>
      </c>
      <c r="AB2132" s="11" t="n">
        <f aca="false">(AA2132/(K2132*L2132)*25)*4</f>
        <v>36</v>
      </c>
    </row>
    <row r="2133" customFormat="false" ht="14.25" hidden="false" customHeight="false" outlineLevel="0" collapsed="false">
      <c r="A2133" s="1" t="n">
        <v>2014</v>
      </c>
      <c r="B2133" s="7" t="s">
        <v>322</v>
      </c>
      <c r="C2133" s="7" t="n">
        <v>2</v>
      </c>
      <c r="D2133" s="7" t="s">
        <v>293</v>
      </c>
      <c r="E2133" s="7" t="s">
        <v>293</v>
      </c>
      <c r="F2133" s="3" t="s">
        <v>26</v>
      </c>
      <c r="G2133" s="3" t="n">
        <v>1</v>
      </c>
      <c r="H2133" s="3" t="n">
        <v>3</v>
      </c>
      <c r="I2133" s="22" t="n">
        <v>41793</v>
      </c>
      <c r="J2133" s="22" t="n">
        <v>41798</v>
      </c>
      <c r="K2133" s="43" t="n">
        <f aca="false">J2133-I2133</f>
        <v>5</v>
      </c>
      <c r="L2133" s="1" t="n">
        <v>5</v>
      </c>
      <c r="M2133" s="3" t="s">
        <v>48</v>
      </c>
      <c r="N2133" s="3" t="s">
        <v>67</v>
      </c>
      <c r="O2133" s="3" t="s">
        <v>127</v>
      </c>
      <c r="P2133" s="2" t="str">
        <f aca="false">CONCATENATE(N2133," ",O2133)</f>
        <v>Pardosa lugubris</v>
      </c>
      <c r="Q2133" s="1" t="s">
        <v>30</v>
      </c>
      <c r="R2133" s="1" t="s">
        <v>35</v>
      </c>
      <c r="S2133" s="3" t="n">
        <v>0</v>
      </c>
      <c r="T2133" s="3" t="n">
        <v>1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f aca="false">SUM(S2133:T2133)</f>
        <v>1</v>
      </c>
      <c r="Z2133" s="3" t="n">
        <f aca="false">SUM(U2133:W2133)</f>
        <v>0</v>
      </c>
      <c r="AA2133" s="3" t="n">
        <f aca="false">SUM(S2133:X2133)</f>
        <v>1</v>
      </c>
      <c r="AB2133" s="11" t="n">
        <f aca="false">(AA2133/(K2133*L2133)*25)*4</f>
        <v>4</v>
      </c>
    </row>
    <row r="2134" customFormat="false" ht="14.25" hidden="false" customHeight="false" outlineLevel="0" collapsed="false">
      <c r="A2134" s="1" t="n">
        <v>2014</v>
      </c>
      <c r="B2134" s="7" t="s">
        <v>322</v>
      </c>
      <c r="C2134" s="7" t="n">
        <v>2</v>
      </c>
      <c r="D2134" s="7" t="s">
        <v>293</v>
      </c>
      <c r="E2134" s="7" t="s">
        <v>293</v>
      </c>
      <c r="F2134" s="3" t="s">
        <v>26</v>
      </c>
      <c r="G2134" s="3" t="n">
        <v>1</v>
      </c>
      <c r="H2134" s="3" t="n">
        <v>3</v>
      </c>
      <c r="I2134" s="22" t="n">
        <v>41793</v>
      </c>
      <c r="J2134" s="22" t="n">
        <v>41798</v>
      </c>
      <c r="K2134" s="43" t="n">
        <f aca="false">J2134-I2134</f>
        <v>5</v>
      </c>
      <c r="L2134" s="1" t="n">
        <v>5</v>
      </c>
      <c r="M2134" s="3" t="s">
        <v>48</v>
      </c>
      <c r="N2134" s="3" t="s">
        <v>61</v>
      </c>
      <c r="O2134" s="3" t="s">
        <v>82</v>
      </c>
      <c r="P2134" s="2" t="str">
        <f aca="false">CONCATENATE(N2134," ",O2134)</f>
        <v>Trochosa terricola</v>
      </c>
      <c r="Q2134" s="1" t="s">
        <v>30</v>
      </c>
      <c r="R2134" s="1" t="s">
        <v>31</v>
      </c>
      <c r="S2134" s="3" t="n">
        <v>1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f aca="false">SUM(S2134:T2134)</f>
        <v>1</v>
      </c>
      <c r="Z2134" s="3" t="n">
        <f aca="false">SUM(U2134:W2134)</f>
        <v>0</v>
      </c>
      <c r="AA2134" s="3" t="n">
        <f aca="false">SUM(S2134:X2134)</f>
        <v>1</v>
      </c>
      <c r="AB2134" s="11" t="n">
        <f aca="false">(AA2134/(K2134*L2134)*25)*4</f>
        <v>4</v>
      </c>
    </row>
    <row r="2135" customFormat="false" ht="14.25" hidden="false" customHeight="false" outlineLevel="0" collapsed="false">
      <c r="A2135" s="1" t="n">
        <v>2014</v>
      </c>
      <c r="B2135" s="7" t="s">
        <v>322</v>
      </c>
      <c r="C2135" s="7" t="n">
        <v>2</v>
      </c>
      <c r="D2135" s="7" t="s">
        <v>293</v>
      </c>
      <c r="E2135" s="7" t="s">
        <v>293</v>
      </c>
      <c r="F2135" s="3" t="s">
        <v>26</v>
      </c>
      <c r="G2135" s="3" t="n">
        <v>1</v>
      </c>
      <c r="H2135" s="3" t="n">
        <v>3</v>
      </c>
      <c r="I2135" s="22" t="n">
        <v>41793</v>
      </c>
      <c r="J2135" s="22" t="n">
        <v>41798</v>
      </c>
      <c r="K2135" s="43" t="n">
        <f aca="false">J2135-I2135</f>
        <v>5</v>
      </c>
      <c r="L2135" s="1" t="n">
        <v>5</v>
      </c>
      <c r="M2135" s="3" t="s">
        <v>48</v>
      </c>
      <c r="N2135" s="3" t="s">
        <v>61</v>
      </c>
      <c r="O2135" s="3" t="s">
        <v>82</v>
      </c>
      <c r="P2135" s="2" t="str">
        <f aca="false">CONCATENATE(N2135," ",O2135)</f>
        <v>Trochosa terricola</v>
      </c>
      <c r="Q2135" s="1" t="s">
        <v>30</v>
      </c>
      <c r="R2135" s="1" t="s">
        <v>35</v>
      </c>
      <c r="S2135" s="3" t="n">
        <v>0</v>
      </c>
      <c r="T2135" s="3" t="n">
        <v>1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f aca="false">SUM(S2135:T2135)</f>
        <v>1</v>
      </c>
      <c r="Z2135" s="3" t="n">
        <f aca="false">SUM(U2135:W2135)</f>
        <v>0</v>
      </c>
      <c r="AA2135" s="3" t="n">
        <f aca="false">SUM(S2135:X2135)</f>
        <v>1</v>
      </c>
      <c r="AB2135" s="11" t="n">
        <f aca="false">(AA2135/(K2135*L2135)*25)*4</f>
        <v>4</v>
      </c>
    </row>
    <row r="2136" customFormat="false" ht="14.25" hidden="false" customHeight="false" outlineLevel="0" collapsed="false">
      <c r="A2136" s="1" t="n">
        <v>2014</v>
      </c>
      <c r="B2136" s="7" t="s">
        <v>322</v>
      </c>
      <c r="C2136" s="7" t="n">
        <v>2</v>
      </c>
      <c r="D2136" s="7" t="s">
        <v>293</v>
      </c>
      <c r="E2136" s="7" t="s">
        <v>293</v>
      </c>
      <c r="F2136" s="3" t="s">
        <v>26</v>
      </c>
      <c r="G2136" s="3" t="n">
        <v>1</v>
      </c>
      <c r="H2136" s="3" t="n">
        <v>3</v>
      </c>
      <c r="I2136" s="22" t="n">
        <v>41793</v>
      </c>
      <c r="J2136" s="22" t="n">
        <v>41798</v>
      </c>
      <c r="K2136" s="43" t="n">
        <f aca="false">J2136-I2136</f>
        <v>5</v>
      </c>
      <c r="L2136" s="1" t="n">
        <v>5</v>
      </c>
      <c r="M2136" s="3" t="s">
        <v>48</v>
      </c>
      <c r="N2136" s="3" t="s">
        <v>49</v>
      </c>
      <c r="O2136" s="3" t="s">
        <v>104</v>
      </c>
      <c r="P2136" s="2" t="str">
        <f aca="false">CONCATENATE(N2136," ",O2136)</f>
        <v>Alopecosa taeniata</v>
      </c>
      <c r="Q2136" s="1" t="s">
        <v>30</v>
      </c>
      <c r="R2136" s="1" t="s">
        <v>35</v>
      </c>
      <c r="S2136" s="3" t="n">
        <v>0</v>
      </c>
      <c r="T2136" s="3" t="n">
        <v>1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f aca="false">SUM(S2136:T2136)</f>
        <v>1</v>
      </c>
      <c r="Z2136" s="3" t="n">
        <f aca="false">SUM(U2136:W2136)</f>
        <v>0</v>
      </c>
      <c r="AA2136" s="3" t="n">
        <f aca="false">SUM(S2136:X2136)</f>
        <v>1</v>
      </c>
      <c r="AB2136" s="11" t="n">
        <f aca="false">(AA2136/(K2136*L2136)*25)*4</f>
        <v>4</v>
      </c>
    </row>
    <row r="2137" customFormat="false" ht="14.25" hidden="false" customHeight="false" outlineLevel="0" collapsed="false">
      <c r="A2137" s="1" t="n">
        <v>2014</v>
      </c>
      <c r="B2137" s="7" t="s">
        <v>322</v>
      </c>
      <c r="C2137" s="7" t="n">
        <v>2</v>
      </c>
      <c r="D2137" s="7" t="s">
        <v>293</v>
      </c>
      <c r="E2137" s="7" t="s">
        <v>293</v>
      </c>
      <c r="F2137" s="3" t="s">
        <v>26</v>
      </c>
      <c r="G2137" s="3" t="n">
        <v>1</v>
      </c>
      <c r="H2137" s="3" t="n">
        <v>3</v>
      </c>
      <c r="I2137" s="22" t="n">
        <v>41793</v>
      </c>
      <c r="J2137" s="22" t="n">
        <v>41798</v>
      </c>
      <c r="K2137" s="43" t="n">
        <f aca="false">J2137-I2137</f>
        <v>5</v>
      </c>
      <c r="L2137" s="1" t="n">
        <v>5</v>
      </c>
      <c r="M2137" s="3" t="s">
        <v>36</v>
      </c>
      <c r="N2137" s="3" t="s">
        <v>37</v>
      </c>
      <c r="O2137" s="3" t="s">
        <v>75</v>
      </c>
      <c r="P2137" s="2" t="str">
        <f aca="false">CONCATENATE(N2137," ",O2137)</f>
        <v>Ozyptila praticola</v>
      </c>
      <c r="Q2137" s="1" t="s">
        <v>30</v>
      </c>
      <c r="R2137" s="1" t="s">
        <v>31</v>
      </c>
      <c r="S2137" s="3" t="n">
        <v>1</v>
      </c>
      <c r="T2137" s="3" t="n">
        <v>0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f aca="false">SUM(S2137:T2137)</f>
        <v>1</v>
      </c>
      <c r="Z2137" s="3" t="n">
        <f aca="false">SUM(U2137:W2137)</f>
        <v>0</v>
      </c>
      <c r="AA2137" s="3" t="n">
        <f aca="false">SUM(S2137:X2137)</f>
        <v>1</v>
      </c>
      <c r="AB2137" s="11" t="n">
        <f aca="false">(AA2137/(K2137*L2137)*25)*4</f>
        <v>4</v>
      </c>
    </row>
    <row r="2138" customFormat="false" ht="14.25" hidden="false" customHeight="false" outlineLevel="0" collapsed="false">
      <c r="A2138" s="1" t="n">
        <v>2014</v>
      </c>
      <c r="B2138" s="7" t="s">
        <v>322</v>
      </c>
      <c r="C2138" s="7" t="n">
        <v>2</v>
      </c>
      <c r="D2138" s="7" t="s">
        <v>293</v>
      </c>
      <c r="E2138" s="7" t="s">
        <v>293</v>
      </c>
      <c r="F2138" s="3" t="s">
        <v>26</v>
      </c>
      <c r="G2138" s="3" t="n">
        <v>1</v>
      </c>
      <c r="H2138" s="3" t="n">
        <v>3</v>
      </c>
      <c r="I2138" s="22" t="n">
        <v>41793</v>
      </c>
      <c r="J2138" s="22" t="n">
        <v>41798</v>
      </c>
      <c r="K2138" s="43" t="n">
        <f aca="false">J2138-I2138</f>
        <v>5</v>
      </c>
      <c r="L2138" s="1" t="n">
        <v>5</v>
      </c>
      <c r="M2138" s="3" t="s">
        <v>226</v>
      </c>
      <c r="N2138" s="3" t="s">
        <v>65</v>
      </c>
      <c r="O2138" s="3" t="s">
        <v>123</v>
      </c>
      <c r="P2138" s="2" t="str">
        <f aca="false">CONCATENATE(N2138," ",O2138)</f>
        <v>Zora nemoralis</v>
      </c>
      <c r="Q2138" s="1" t="s">
        <v>30</v>
      </c>
      <c r="R2138" s="1" t="s">
        <v>31</v>
      </c>
      <c r="S2138" s="3" t="n">
        <v>2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f aca="false">SUM(S2138:T2138)</f>
        <v>2</v>
      </c>
      <c r="Z2138" s="3" t="n">
        <f aca="false">SUM(U2138:W2138)</f>
        <v>0</v>
      </c>
      <c r="AA2138" s="3" t="n">
        <f aca="false">SUM(S2138:X2138)</f>
        <v>2</v>
      </c>
      <c r="AB2138" s="11" t="n">
        <f aca="false">(AA2138/(K2138*L2138)*25)*4</f>
        <v>8</v>
      </c>
    </row>
    <row r="2139" customFormat="false" ht="14.25" hidden="false" customHeight="false" outlineLevel="0" collapsed="false">
      <c r="A2139" s="1" t="n">
        <v>2014</v>
      </c>
      <c r="B2139" s="7" t="s">
        <v>322</v>
      </c>
      <c r="C2139" s="7" t="n">
        <v>2</v>
      </c>
      <c r="D2139" s="7" t="s">
        <v>293</v>
      </c>
      <c r="E2139" s="7" t="s">
        <v>293</v>
      </c>
      <c r="F2139" s="3" t="s">
        <v>26</v>
      </c>
      <c r="G2139" s="3" t="n">
        <v>1</v>
      </c>
      <c r="H2139" s="3" t="n">
        <v>3</v>
      </c>
      <c r="I2139" s="22" t="n">
        <v>41793</v>
      </c>
      <c r="J2139" s="22" t="n">
        <v>41798</v>
      </c>
      <c r="K2139" s="43" t="n">
        <f aca="false">J2139-I2139</f>
        <v>5</v>
      </c>
      <c r="L2139" s="1" t="n">
        <v>5</v>
      </c>
      <c r="M2139" s="3" t="s">
        <v>72</v>
      </c>
      <c r="N2139" s="3" t="s">
        <v>86</v>
      </c>
      <c r="O2139" s="3" t="s">
        <v>87</v>
      </c>
      <c r="P2139" s="2" t="str">
        <f aca="false">CONCATENATE(N2139," ",O2139)</f>
        <v>Haplodrassus soerenseni</v>
      </c>
      <c r="Q2139" s="1" t="s">
        <v>30</v>
      </c>
      <c r="R2139" s="1" t="s">
        <v>31</v>
      </c>
      <c r="S2139" s="3" t="n">
        <v>1</v>
      </c>
      <c r="T2139" s="3" t="n">
        <v>0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f aca="false">SUM(S2139:T2139)</f>
        <v>1</v>
      </c>
      <c r="Z2139" s="3" t="n">
        <f aca="false">SUM(U2139:W2139)</f>
        <v>0</v>
      </c>
      <c r="AA2139" s="3" t="n">
        <f aca="false">SUM(S2139:X2139)</f>
        <v>1</v>
      </c>
      <c r="AB2139" s="11" t="n">
        <f aca="false">(AA2139/(K2139*L2139)*25)*4</f>
        <v>4</v>
      </c>
    </row>
    <row r="2140" customFormat="false" ht="14.25" hidden="false" customHeight="false" outlineLevel="0" collapsed="false">
      <c r="A2140" s="1" t="n">
        <v>2014</v>
      </c>
      <c r="B2140" s="7" t="s">
        <v>322</v>
      </c>
      <c r="C2140" s="7" t="n">
        <v>2</v>
      </c>
      <c r="D2140" s="7" t="s">
        <v>293</v>
      </c>
      <c r="E2140" s="7" t="s">
        <v>293</v>
      </c>
      <c r="F2140" s="3" t="s">
        <v>26</v>
      </c>
      <c r="G2140" s="3" t="n">
        <v>1</v>
      </c>
      <c r="H2140" s="3" t="n">
        <v>3</v>
      </c>
      <c r="I2140" s="22" t="n">
        <v>41793</v>
      </c>
      <c r="J2140" s="22" t="n">
        <v>41798</v>
      </c>
      <c r="K2140" s="43" t="n">
        <f aca="false">J2140-I2140</f>
        <v>5</v>
      </c>
      <c r="L2140" s="1" t="n">
        <v>5</v>
      </c>
      <c r="M2140" s="3" t="s">
        <v>32</v>
      </c>
      <c r="N2140" s="3" t="s">
        <v>62</v>
      </c>
      <c r="O2140" s="3" t="s">
        <v>63</v>
      </c>
      <c r="P2140" s="2" t="str">
        <f aca="false">CONCATENATE(N2140," ",O2140)</f>
        <v>Microneta viaria</v>
      </c>
      <c r="Q2140" s="1" t="s">
        <v>30</v>
      </c>
      <c r="R2140" s="1" t="s">
        <v>31</v>
      </c>
      <c r="S2140" s="3" t="n">
        <v>1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f aca="false">SUM(S2140:T2140)</f>
        <v>1</v>
      </c>
      <c r="Z2140" s="3" t="n">
        <f aca="false">SUM(U2140:W2140)</f>
        <v>0</v>
      </c>
      <c r="AA2140" s="3" t="n">
        <f aca="false">SUM(S2140:X2140)</f>
        <v>1</v>
      </c>
      <c r="AB2140" s="11" t="n">
        <f aca="false">(AA2140/(K2140*L2140)*25)*4</f>
        <v>4</v>
      </c>
    </row>
    <row r="2141" customFormat="false" ht="14.25" hidden="false" customHeight="false" outlineLevel="0" collapsed="false">
      <c r="A2141" s="1" t="n">
        <v>2014</v>
      </c>
      <c r="B2141" s="7" t="s">
        <v>322</v>
      </c>
      <c r="C2141" s="7" t="n">
        <v>2</v>
      </c>
      <c r="D2141" s="7" t="s">
        <v>293</v>
      </c>
      <c r="E2141" s="7" t="s">
        <v>293</v>
      </c>
      <c r="F2141" s="3" t="s">
        <v>26</v>
      </c>
      <c r="G2141" s="3" t="n">
        <v>1</v>
      </c>
      <c r="H2141" s="3" t="n">
        <v>3</v>
      </c>
      <c r="I2141" s="22" t="n">
        <v>41793</v>
      </c>
      <c r="J2141" s="22" t="n">
        <v>41798</v>
      </c>
      <c r="K2141" s="43" t="n">
        <f aca="false">J2141-I2141</f>
        <v>5</v>
      </c>
      <c r="L2141" s="1" t="n">
        <v>5</v>
      </c>
      <c r="M2141" s="3" t="s">
        <v>92</v>
      </c>
      <c r="N2141" s="3" t="s">
        <v>171</v>
      </c>
      <c r="O2141" s="3" t="s">
        <v>172</v>
      </c>
      <c r="P2141" s="2" t="str">
        <f aca="false">CONCATENATE(N2141," ",O2141)</f>
        <v>Euophrys frontalis</v>
      </c>
      <c r="Q2141" s="1" t="s">
        <v>30</v>
      </c>
      <c r="R2141" s="1" t="s">
        <v>31</v>
      </c>
      <c r="S2141" s="3" t="n">
        <v>1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f aca="false">SUM(S2141:T2141)</f>
        <v>1</v>
      </c>
      <c r="Z2141" s="3" t="n">
        <f aca="false">SUM(U2141:W2141)</f>
        <v>0</v>
      </c>
      <c r="AA2141" s="3" t="n">
        <f aca="false">SUM(S2141:X2141)</f>
        <v>1</v>
      </c>
      <c r="AB2141" s="11" t="n">
        <f aca="false">(AA2141/(K2141*L2141)*25)*4</f>
        <v>4</v>
      </c>
    </row>
    <row r="2142" customFormat="false" ht="14.25" hidden="false" customHeight="false" outlineLevel="0" collapsed="false">
      <c r="A2142" s="1" t="n">
        <v>2014</v>
      </c>
      <c r="B2142" s="7" t="s">
        <v>322</v>
      </c>
      <c r="C2142" s="7" t="n">
        <v>2</v>
      </c>
      <c r="D2142" s="7" t="s">
        <v>293</v>
      </c>
      <c r="E2142" s="7" t="s">
        <v>293</v>
      </c>
      <c r="F2142" s="3" t="s">
        <v>26</v>
      </c>
      <c r="G2142" s="3" t="n">
        <v>1</v>
      </c>
      <c r="H2142" s="3" t="n">
        <v>3</v>
      </c>
      <c r="I2142" s="22" t="n">
        <v>41793</v>
      </c>
      <c r="J2142" s="22" t="n">
        <v>41798</v>
      </c>
      <c r="K2142" s="43" t="n">
        <f aca="false">J2142-I2142</f>
        <v>5</v>
      </c>
      <c r="L2142" s="1" t="n">
        <v>5</v>
      </c>
      <c r="M2142" s="3" t="s">
        <v>92</v>
      </c>
      <c r="N2142" s="3" t="s">
        <v>235</v>
      </c>
      <c r="O2142" s="3" t="s">
        <v>236</v>
      </c>
      <c r="P2142" s="2" t="str">
        <f aca="false">CONCATENATE(N2142," ",O2142)</f>
        <v>Neon reticulatus</v>
      </c>
      <c r="Q2142" s="1" t="s">
        <v>30</v>
      </c>
      <c r="R2142" s="1" t="s">
        <v>31</v>
      </c>
      <c r="S2142" s="3" t="n">
        <v>1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f aca="false">SUM(S2142:T2142)</f>
        <v>1</v>
      </c>
      <c r="Z2142" s="3" t="n">
        <f aca="false">SUM(U2142:W2142)</f>
        <v>0</v>
      </c>
      <c r="AA2142" s="3" t="n">
        <f aca="false">SUM(S2142:X2142)</f>
        <v>1</v>
      </c>
      <c r="AB2142" s="11" t="n">
        <f aca="false">(AA2142/(K2142*L2142)*25)*4</f>
        <v>4</v>
      </c>
    </row>
    <row r="2143" customFormat="false" ht="14.25" hidden="false" customHeight="false" outlineLevel="0" collapsed="false">
      <c r="A2143" s="1" t="n">
        <v>2014</v>
      </c>
      <c r="B2143" s="7" t="s">
        <v>322</v>
      </c>
      <c r="C2143" s="7" t="n">
        <v>2</v>
      </c>
      <c r="D2143" s="7" t="s">
        <v>293</v>
      </c>
      <c r="E2143" s="7" t="s">
        <v>293</v>
      </c>
      <c r="F2143" s="3" t="s">
        <v>26</v>
      </c>
      <c r="G2143" s="3" t="n">
        <v>3</v>
      </c>
      <c r="H2143" s="3" t="n">
        <v>12</v>
      </c>
      <c r="I2143" s="22" t="n">
        <v>41793</v>
      </c>
      <c r="J2143" s="22" t="n">
        <v>41798</v>
      </c>
      <c r="K2143" s="43" t="n">
        <f aca="false">J2143-I2143</f>
        <v>5</v>
      </c>
      <c r="L2143" s="1" t="n">
        <v>5</v>
      </c>
      <c r="M2143" s="3" t="s">
        <v>48</v>
      </c>
      <c r="N2143" s="3" t="s">
        <v>67</v>
      </c>
      <c r="O2143" s="3" t="s">
        <v>127</v>
      </c>
      <c r="P2143" s="2" t="str">
        <f aca="false">CONCATENATE(N2143," ",O2143)</f>
        <v>Pardosa lugubris</v>
      </c>
      <c r="Q2143" s="1" t="s">
        <v>30</v>
      </c>
      <c r="R2143" s="1" t="s">
        <v>31</v>
      </c>
      <c r="S2143" s="3" t="n">
        <v>5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f aca="false">SUM(S2143:T2143)</f>
        <v>5</v>
      </c>
      <c r="Z2143" s="3" t="n">
        <f aca="false">SUM(U2143:W2143)</f>
        <v>0</v>
      </c>
      <c r="AA2143" s="3" t="n">
        <f aca="false">SUM(S2143:X2143)</f>
        <v>5</v>
      </c>
      <c r="AB2143" s="11" t="n">
        <f aca="false">(AA2143/(K2143*L2143)*25)*4</f>
        <v>20</v>
      </c>
    </row>
    <row r="2144" customFormat="false" ht="14.25" hidden="false" customHeight="false" outlineLevel="0" collapsed="false">
      <c r="A2144" s="1" t="n">
        <v>2014</v>
      </c>
      <c r="B2144" s="7" t="s">
        <v>322</v>
      </c>
      <c r="C2144" s="7" t="n">
        <v>2</v>
      </c>
      <c r="D2144" s="7" t="s">
        <v>293</v>
      </c>
      <c r="E2144" s="7" t="s">
        <v>293</v>
      </c>
      <c r="F2144" s="3" t="s">
        <v>26</v>
      </c>
      <c r="G2144" s="3" t="n">
        <v>3</v>
      </c>
      <c r="H2144" s="3" t="n">
        <v>12</v>
      </c>
      <c r="I2144" s="22" t="n">
        <v>41793</v>
      </c>
      <c r="J2144" s="22" t="n">
        <v>41798</v>
      </c>
      <c r="K2144" s="43" t="n">
        <f aca="false">J2144-I2144</f>
        <v>5</v>
      </c>
      <c r="L2144" s="1" t="n">
        <v>5</v>
      </c>
      <c r="M2144" s="3" t="s">
        <v>48</v>
      </c>
      <c r="N2144" s="3" t="s">
        <v>67</v>
      </c>
      <c r="O2144" s="3" t="s">
        <v>127</v>
      </c>
      <c r="P2144" s="2" t="str">
        <f aca="false">CONCATENATE(N2144," ",O2144)</f>
        <v>Pardosa lugubris</v>
      </c>
      <c r="Q2144" s="1" t="s">
        <v>30</v>
      </c>
      <c r="R2144" s="1" t="s">
        <v>35</v>
      </c>
      <c r="S2144" s="3" t="n">
        <v>0</v>
      </c>
      <c r="T2144" s="3" t="n">
        <v>1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f aca="false">SUM(S2144:T2144)</f>
        <v>1</v>
      </c>
      <c r="Z2144" s="3" t="n">
        <f aca="false">SUM(U2144:W2144)</f>
        <v>0</v>
      </c>
      <c r="AA2144" s="3" t="n">
        <f aca="false">SUM(S2144:X2144)</f>
        <v>1</v>
      </c>
      <c r="AB2144" s="11" t="n">
        <f aca="false">(AA2144/(K2144*L2144)*25)*4</f>
        <v>4</v>
      </c>
    </row>
    <row r="2145" customFormat="false" ht="14.25" hidden="false" customHeight="false" outlineLevel="0" collapsed="false">
      <c r="A2145" s="1" t="n">
        <v>2014</v>
      </c>
      <c r="B2145" s="7" t="s">
        <v>322</v>
      </c>
      <c r="C2145" s="7" t="n">
        <v>2</v>
      </c>
      <c r="D2145" s="7" t="s">
        <v>293</v>
      </c>
      <c r="E2145" s="7" t="s">
        <v>293</v>
      </c>
      <c r="F2145" s="3" t="s">
        <v>26</v>
      </c>
      <c r="G2145" s="3" t="n">
        <v>3</v>
      </c>
      <c r="H2145" s="3" t="n">
        <v>12</v>
      </c>
      <c r="I2145" s="22" t="n">
        <v>41793</v>
      </c>
      <c r="J2145" s="22" t="n">
        <v>41798</v>
      </c>
      <c r="K2145" s="43" t="n">
        <f aca="false">J2145-I2145</f>
        <v>5</v>
      </c>
      <c r="L2145" s="1" t="n">
        <v>5</v>
      </c>
      <c r="M2145" s="3" t="s">
        <v>48</v>
      </c>
      <c r="N2145" s="3" t="s">
        <v>49</v>
      </c>
      <c r="O2145" s="3" t="s">
        <v>104</v>
      </c>
      <c r="P2145" s="2" t="str">
        <f aca="false">CONCATENATE(N2145," ",O2145)</f>
        <v>Alopecosa taeniata</v>
      </c>
      <c r="Q2145" s="1" t="s">
        <v>30</v>
      </c>
      <c r="R2145" s="1" t="s">
        <v>31</v>
      </c>
      <c r="S2145" s="3" t="n">
        <v>1</v>
      </c>
      <c r="T2145" s="3" t="n">
        <v>0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f aca="false">SUM(S2145:T2145)</f>
        <v>1</v>
      </c>
      <c r="Z2145" s="3" t="n">
        <f aca="false">SUM(U2145:W2145)</f>
        <v>0</v>
      </c>
      <c r="AA2145" s="3" t="n">
        <f aca="false">SUM(S2145:X2145)</f>
        <v>1</v>
      </c>
      <c r="AB2145" s="11" t="n">
        <f aca="false">(AA2145/(K2145*L2145)*25)*4</f>
        <v>4</v>
      </c>
    </row>
    <row r="2146" customFormat="false" ht="14.25" hidden="false" customHeight="false" outlineLevel="0" collapsed="false">
      <c r="A2146" s="1" t="n">
        <v>2014</v>
      </c>
      <c r="B2146" s="7" t="s">
        <v>322</v>
      </c>
      <c r="C2146" s="7" t="n">
        <v>2</v>
      </c>
      <c r="D2146" s="7" t="s">
        <v>293</v>
      </c>
      <c r="E2146" s="7" t="s">
        <v>293</v>
      </c>
      <c r="F2146" s="3" t="s">
        <v>26</v>
      </c>
      <c r="G2146" s="3" t="n">
        <v>3</v>
      </c>
      <c r="H2146" s="3" t="n">
        <v>12</v>
      </c>
      <c r="I2146" s="22" t="n">
        <v>41793</v>
      </c>
      <c r="J2146" s="22" t="n">
        <v>41798</v>
      </c>
      <c r="K2146" s="43" t="n">
        <f aca="false">J2146-I2146</f>
        <v>5</v>
      </c>
      <c r="L2146" s="1" t="n">
        <v>5</v>
      </c>
      <c r="M2146" s="3" t="s">
        <v>48</v>
      </c>
      <c r="N2146" s="3" t="s">
        <v>61</v>
      </c>
      <c r="O2146" s="3" t="s">
        <v>82</v>
      </c>
      <c r="P2146" s="2" t="str">
        <f aca="false">CONCATENATE(N2146," ",O2146)</f>
        <v>Trochosa terricola</v>
      </c>
      <c r="Q2146" s="1" t="s">
        <v>30</v>
      </c>
      <c r="R2146" s="1" t="s">
        <v>35</v>
      </c>
      <c r="S2146" s="3" t="n">
        <v>0</v>
      </c>
      <c r="T2146" s="3" t="n">
        <v>1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f aca="false">SUM(S2146:T2146)</f>
        <v>1</v>
      </c>
      <c r="Z2146" s="3" t="n">
        <f aca="false">SUM(U2146:W2146)</f>
        <v>0</v>
      </c>
      <c r="AA2146" s="3" t="n">
        <f aca="false">SUM(S2146:X2146)</f>
        <v>1</v>
      </c>
      <c r="AB2146" s="11" t="n">
        <f aca="false">(AA2146/(K2146*L2146)*25)*4</f>
        <v>4</v>
      </c>
    </row>
    <row r="2147" customFormat="false" ht="14.25" hidden="false" customHeight="false" outlineLevel="0" collapsed="false">
      <c r="A2147" s="1" t="n">
        <v>2014</v>
      </c>
      <c r="B2147" s="7" t="s">
        <v>322</v>
      </c>
      <c r="C2147" s="7" t="n">
        <v>2</v>
      </c>
      <c r="D2147" s="7" t="s">
        <v>293</v>
      </c>
      <c r="E2147" s="7" t="s">
        <v>293</v>
      </c>
      <c r="F2147" s="3" t="s">
        <v>26</v>
      </c>
      <c r="G2147" s="3" t="n">
        <v>3</v>
      </c>
      <c r="H2147" s="3" t="n">
        <v>12</v>
      </c>
      <c r="I2147" s="22" t="n">
        <v>41793</v>
      </c>
      <c r="J2147" s="22" t="n">
        <v>41798</v>
      </c>
      <c r="K2147" s="43" t="n">
        <f aca="false">J2147-I2147</f>
        <v>5</v>
      </c>
      <c r="L2147" s="1" t="n">
        <v>5</v>
      </c>
      <c r="M2147" s="3" t="s">
        <v>226</v>
      </c>
      <c r="N2147" s="3" t="s">
        <v>65</v>
      </c>
      <c r="O2147" s="3" t="s">
        <v>123</v>
      </c>
      <c r="P2147" s="2" t="str">
        <f aca="false">CONCATENATE(N2147," ",O2147)</f>
        <v>Zora nemoralis</v>
      </c>
      <c r="Q2147" s="1" t="s">
        <v>30</v>
      </c>
      <c r="R2147" s="1" t="s">
        <v>31</v>
      </c>
      <c r="S2147" s="3" t="n">
        <v>1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f aca="false">SUM(S2147:T2147)</f>
        <v>1</v>
      </c>
      <c r="Z2147" s="3" t="n">
        <f aca="false">SUM(U2147:W2147)</f>
        <v>0</v>
      </c>
      <c r="AA2147" s="3" t="n">
        <f aca="false">SUM(S2147:X2147)</f>
        <v>1</v>
      </c>
      <c r="AB2147" s="11" t="n">
        <f aca="false">(AA2147/(K2147*L2147)*25)*4</f>
        <v>4</v>
      </c>
    </row>
    <row r="2148" customFormat="false" ht="14.25" hidden="false" customHeight="false" outlineLevel="0" collapsed="false">
      <c r="A2148" s="1" t="n">
        <v>2014</v>
      </c>
      <c r="B2148" s="7" t="s">
        <v>322</v>
      </c>
      <c r="C2148" s="7" t="n">
        <v>2</v>
      </c>
      <c r="D2148" s="7" t="s">
        <v>293</v>
      </c>
      <c r="E2148" s="7" t="s">
        <v>293</v>
      </c>
      <c r="F2148" s="3" t="s">
        <v>26</v>
      </c>
      <c r="G2148" s="3" t="n">
        <v>3</v>
      </c>
      <c r="H2148" s="3" t="n">
        <v>12</v>
      </c>
      <c r="I2148" s="22" t="n">
        <v>41793</v>
      </c>
      <c r="J2148" s="22" t="n">
        <v>41798</v>
      </c>
      <c r="K2148" s="43" t="n">
        <f aca="false">J2148-I2148</f>
        <v>5</v>
      </c>
      <c r="L2148" s="1" t="n">
        <v>5</v>
      </c>
      <c r="M2148" s="3" t="s">
        <v>135</v>
      </c>
      <c r="N2148" s="3" t="s">
        <v>136</v>
      </c>
      <c r="O2148" s="3" t="s">
        <v>137</v>
      </c>
      <c r="P2148" s="2" t="str">
        <f aca="false">CONCATENATE(N2148," ",O2148)</f>
        <v>Thanatus sabulosus</v>
      </c>
      <c r="Q2148" s="1" t="s">
        <v>30</v>
      </c>
      <c r="R2148" s="1" t="s">
        <v>31</v>
      </c>
      <c r="S2148" s="3" t="n">
        <v>1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f aca="false">SUM(S2148:T2148)</f>
        <v>1</v>
      </c>
      <c r="Z2148" s="3" t="n">
        <f aca="false">SUM(U2148:W2148)</f>
        <v>0</v>
      </c>
      <c r="AA2148" s="3" t="n">
        <f aca="false">SUM(S2148:X2148)</f>
        <v>1</v>
      </c>
      <c r="AB2148" s="11" t="n">
        <f aca="false">(AA2148/(K2148*L2148)*25)*4</f>
        <v>4</v>
      </c>
    </row>
    <row r="2149" customFormat="false" ht="14.25" hidden="false" customHeight="false" outlineLevel="0" collapsed="false">
      <c r="A2149" s="1" t="n">
        <v>2014</v>
      </c>
      <c r="B2149" s="7" t="s">
        <v>322</v>
      </c>
      <c r="C2149" s="7" t="n">
        <v>2</v>
      </c>
      <c r="D2149" s="7" t="s">
        <v>293</v>
      </c>
      <c r="E2149" s="7" t="s">
        <v>293</v>
      </c>
      <c r="F2149" s="3" t="s">
        <v>26</v>
      </c>
      <c r="G2149" s="3" t="n">
        <v>3</v>
      </c>
      <c r="H2149" s="3" t="n">
        <v>12</v>
      </c>
      <c r="I2149" s="22" t="n">
        <v>41793</v>
      </c>
      <c r="J2149" s="22" t="n">
        <v>41798</v>
      </c>
      <c r="K2149" s="43" t="n">
        <f aca="false">J2149-I2149</f>
        <v>5</v>
      </c>
      <c r="L2149" s="1" t="n">
        <v>5</v>
      </c>
      <c r="M2149" s="3" t="s">
        <v>92</v>
      </c>
      <c r="N2149" s="3" t="s">
        <v>171</v>
      </c>
      <c r="O2149" s="3" t="s">
        <v>172</v>
      </c>
      <c r="P2149" s="2" t="str">
        <f aca="false">CONCATENATE(N2149," ",O2149)</f>
        <v>Euophrys frontalis</v>
      </c>
      <c r="Q2149" s="1" t="s">
        <v>30</v>
      </c>
      <c r="R2149" s="1" t="s">
        <v>35</v>
      </c>
      <c r="S2149" s="3" t="n">
        <v>0</v>
      </c>
      <c r="T2149" s="3" t="n">
        <v>1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f aca="false">SUM(S2149:T2149)</f>
        <v>1</v>
      </c>
      <c r="Z2149" s="3" t="n">
        <f aca="false">SUM(U2149:W2149)</f>
        <v>0</v>
      </c>
      <c r="AA2149" s="3" t="n">
        <f aca="false">SUM(S2149:X2149)</f>
        <v>1</v>
      </c>
      <c r="AB2149" s="11" t="n">
        <f aca="false">(AA2149/(K2149*L2149)*25)*4</f>
        <v>4</v>
      </c>
    </row>
    <row r="2150" customFormat="false" ht="14.25" hidden="false" customHeight="false" outlineLevel="0" collapsed="false">
      <c r="A2150" s="1" t="n">
        <v>2014</v>
      </c>
      <c r="B2150" s="7" t="s">
        <v>322</v>
      </c>
      <c r="C2150" s="7" t="n">
        <v>2</v>
      </c>
      <c r="D2150" s="7" t="s">
        <v>293</v>
      </c>
      <c r="E2150" s="7" t="s">
        <v>293</v>
      </c>
      <c r="F2150" s="3" t="s">
        <v>26</v>
      </c>
      <c r="G2150" s="3" t="n">
        <v>3</v>
      </c>
      <c r="H2150" s="3" t="n">
        <v>12</v>
      </c>
      <c r="I2150" s="22" t="n">
        <v>41793</v>
      </c>
      <c r="J2150" s="22" t="n">
        <v>41798</v>
      </c>
      <c r="K2150" s="43" t="n">
        <f aca="false">J2150-I2150</f>
        <v>5</v>
      </c>
      <c r="L2150" s="1" t="n">
        <v>5</v>
      </c>
      <c r="M2150" s="3" t="s">
        <v>72</v>
      </c>
      <c r="N2150" s="3" t="s">
        <v>73</v>
      </c>
      <c r="O2150" s="3" t="s">
        <v>74</v>
      </c>
      <c r="P2150" s="2" t="str">
        <f aca="false">CONCATENATE(N2150," ",O2150)</f>
        <v>Zelotes subterraneus</v>
      </c>
      <c r="Q2150" s="1" t="s">
        <v>30</v>
      </c>
      <c r="R2150" s="1" t="s">
        <v>31</v>
      </c>
      <c r="S2150" s="3" t="n">
        <v>1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f aca="false">SUM(S2150:T2150)</f>
        <v>1</v>
      </c>
      <c r="Z2150" s="3" t="n">
        <f aca="false">SUM(U2150:W2150)</f>
        <v>0</v>
      </c>
      <c r="AA2150" s="3" t="n">
        <f aca="false">SUM(S2150:X2150)</f>
        <v>1</v>
      </c>
      <c r="AB2150" s="11" t="n">
        <f aca="false">(AA2150/(K2150*L2150)*25)*4</f>
        <v>4</v>
      </c>
    </row>
    <row r="2151" customFormat="false" ht="14.25" hidden="false" customHeight="false" outlineLevel="0" collapsed="false">
      <c r="A2151" s="1" t="n">
        <v>2014</v>
      </c>
      <c r="B2151" s="7" t="s">
        <v>322</v>
      </c>
      <c r="C2151" s="7" t="n">
        <v>2</v>
      </c>
      <c r="D2151" s="7" t="s">
        <v>293</v>
      </c>
      <c r="E2151" s="7" t="s">
        <v>293</v>
      </c>
      <c r="F2151" s="3" t="s">
        <v>26</v>
      </c>
      <c r="G2151" s="3" t="n">
        <v>3</v>
      </c>
      <c r="H2151" s="3" t="n">
        <v>12</v>
      </c>
      <c r="I2151" s="22" t="n">
        <v>41793</v>
      </c>
      <c r="J2151" s="22" t="n">
        <v>41798</v>
      </c>
      <c r="K2151" s="43" t="n">
        <f aca="false">J2151-I2151</f>
        <v>5</v>
      </c>
      <c r="L2151" s="1" t="n">
        <v>5</v>
      </c>
      <c r="M2151" s="3" t="s">
        <v>32</v>
      </c>
      <c r="N2151" s="3" t="s">
        <v>169</v>
      </c>
      <c r="O2151" s="3" t="s">
        <v>170</v>
      </c>
      <c r="P2151" s="2" t="str">
        <f aca="false">CONCATENATE(N2151," ",O2151)</f>
        <v>Abacoproeces saltuum</v>
      </c>
      <c r="Q2151" s="1" t="s">
        <v>30</v>
      </c>
      <c r="R2151" s="1" t="s">
        <v>31</v>
      </c>
      <c r="S2151" s="3" t="n">
        <v>1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f aca="false">SUM(S2151:T2151)</f>
        <v>1</v>
      </c>
      <c r="Z2151" s="3" t="n">
        <f aca="false">SUM(U2151:W2151)</f>
        <v>0</v>
      </c>
      <c r="AA2151" s="3" t="n">
        <f aca="false">SUM(S2151:X2151)</f>
        <v>1</v>
      </c>
      <c r="AB2151" s="11" t="n">
        <f aca="false">(AA2151/(K2151*L2151)*25)*4</f>
        <v>4</v>
      </c>
    </row>
    <row r="2152" customFormat="false" ht="14.25" hidden="false" customHeight="false" outlineLevel="0" collapsed="false">
      <c r="A2152" s="1" t="n">
        <v>2014</v>
      </c>
      <c r="B2152" s="7" t="s">
        <v>322</v>
      </c>
      <c r="C2152" s="7" t="n">
        <v>2</v>
      </c>
      <c r="D2152" s="7" t="s">
        <v>293</v>
      </c>
      <c r="E2152" s="7" t="s">
        <v>293</v>
      </c>
      <c r="F2152" s="3" t="s">
        <v>26</v>
      </c>
      <c r="G2152" s="3" t="n">
        <v>3</v>
      </c>
      <c r="H2152" s="3" t="n">
        <v>12</v>
      </c>
      <c r="I2152" s="22" t="n">
        <v>41793</v>
      </c>
      <c r="J2152" s="22" t="n">
        <v>41798</v>
      </c>
      <c r="K2152" s="43" t="n">
        <f aca="false">J2152-I2152</f>
        <v>5</v>
      </c>
      <c r="L2152" s="1" t="n">
        <v>5</v>
      </c>
      <c r="M2152" s="3" t="s">
        <v>32</v>
      </c>
      <c r="N2152" s="3" t="s">
        <v>154</v>
      </c>
      <c r="O2152" s="3" t="s">
        <v>155</v>
      </c>
      <c r="P2152" s="2" t="str">
        <f aca="false">CONCATENATE(N2152," ",O2152)</f>
        <v>Pocadicnemis pumila</v>
      </c>
      <c r="Q2152" s="1" t="s">
        <v>30</v>
      </c>
      <c r="R2152" s="1" t="s">
        <v>31</v>
      </c>
      <c r="S2152" s="3" t="n">
        <v>2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f aca="false">SUM(S2152:T2152)</f>
        <v>2</v>
      </c>
      <c r="Z2152" s="3" t="n">
        <f aca="false">SUM(U2152:W2152)</f>
        <v>0</v>
      </c>
      <c r="AA2152" s="3" t="n">
        <f aca="false">SUM(S2152:X2152)</f>
        <v>2</v>
      </c>
      <c r="AB2152" s="11" t="n">
        <f aca="false">(AA2152/(K2152*L2152)*25)*4</f>
        <v>8</v>
      </c>
    </row>
    <row r="2153" customFormat="false" ht="14.25" hidden="false" customHeight="false" outlineLevel="0" collapsed="false">
      <c r="A2153" s="1" t="n">
        <v>2014</v>
      </c>
      <c r="B2153" s="7" t="s">
        <v>322</v>
      </c>
      <c r="C2153" s="7" t="n">
        <v>2</v>
      </c>
      <c r="D2153" s="7" t="s">
        <v>293</v>
      </c>
      <c r="E2153" s="7" t="s">
        <v>293</v>
      </c>
      <c r="F2153" s="3" t="s">
        <v>26</v>
      </c>
      <c r="G2153" s="3" t="n">
        <v>2</v>
      </c>
      <c r="H2153" s="3" t="n">
        <v>10</v>
      </c>
      <c r="I2153" s="22" t="n">
        <v>41793</v>
      </c>
      <c r="J2153" s="22" t="n">
        <v>41798</v>
      </c>
      <c r="K2153" s="43" t="n">
        <f aca="false">J2153-I2153</f>
        <v>5</v>
      </c>
      <c r="L2153" s="1" t="n">
        <v>5</v>
      </c>
      <c r="M2153" s="3" t="s">
        <v>48</v>
      </c>
      <c r="N2153" s="3" t="s">
        <v>67</v>
      </c>
      <c r="O2153" s="3" t="s">
        <v>127</v>
      </c>
      <c r="P2153" s="2" t="str">
        <f aca="false">CONCATENATE(N2153," ",O2153)</f>
        <v>Pardosa lugubris</v>
      </c>
      <c r="Q2153" s="1" t="s">
        <v>30</v>
      </c>
      <c r="R2153" s="1" t="s">
        <v>31</v>
      </c>
      <c r="S2153" s="3" t="n">
        <v>3</v>
      </c>
      <c r="T2153" s="3" t="n">
        <v>0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f aca="false">SUM(S2153:T2153)</f>
        <v>3</v>
      </c>
      <c r="Z2153" s="3" t="n">
        <f aca="false">SUM(U2153:W2153)</f>
        <v>0</v>
      </c>
      <c r="AA2153" s="3" t="n">
        <f aca="false">SUM(S2153:X2153)</f>
        <v>3</v>
      </c>
      <c r="AB2153" s="11" t="n">
        <f aca="false">(AA2153/(K2153*L2153)*25)*4</f>
        <v>12</v>
      </c>
    </row>
    <row r="2154" customFormat="false" ht="14.25" hidden="false" customHeight="false" outlineLevel="0" collapsed="false">
      <c r="A2154" s="1" t="n">
        <v>2014</v>
      </c>
      <c r="B2154" s="7" t="s">
        <v>322</v>
      </c>
      <c r="C2154" s="7" t="n">
        <v>2</v>
      </c>
      <c r="D2154" s="7" t="s">
        <v>293</v>
      </c>
      <c r="E2154" s="7" t="s">
        <v>293</v>
      </c>
      <c r="F2154" s="3" t="s">
        <v>26</v>
      </c>
      <c r="G2154" s="3" t="n">
        <v>2</v>
      </c>
      <c r="H2154" s="3" t="n">
        <v>10</v>
      </c>
      <c r="I2154" s="22" t="n">
        <v>41793</v>
      </c>
      <c r="J2154" s="22" t="n">
        <v>41798</v>
      </c>
      <c r="K2154" s="43" t="n">
        <f aca="false">J2154-I2154</f>
        <v>5</v>
      </c>
      <c r="L2154" s="1" t="n">
        <v>5</v>
      </c>
      <c r="M2154" s="3" t="s">
        <v>138</v>
      </c>
      <c r="N2154" s="3" t="s">
        <v>205</v>
      </c>
      <c r="O2154" s="3" t="s">
        <v>206</v>
      </c>
      <c r="P2154" s="2" t="str">
        <f aca="false">CONCATENATE(N2154," ",O2154)</f>
        <v>Clubiona caerulescens</v>
      </c>
      <c r="Q2154" s="1" t="s">
        <v>30</v>
      </c>
      <c r="R2154" s="1" t="s">
        <v>31</v>
      </c>
      <c r="S2154" s="3" t="n">
        <v>1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f aca="false">SUM(S2154:T2154)</f>
        <v>1</v>
      </c>
      <c r="Z2154" s="3" t="n">
        <f aca="false">SUM(U2154:W2154)</f>
        <v>0</v>
      </c>
      <c r="AA2154" s="3" t="n">
        <f aca="false">SUM(S2154:X2154)</f>
        <v>1</v>
      </c>
      <c r="AB2154" s="11" t="n">
        <f aca="false">(AA2154/(K2154*L2154)*25)*4</f>
        <v>4</v>
      </c>
    </row>
    <row r="2155" customFormat="false" ht="14.25" hidden="false" customHeight="false" outlineLevel="0" collapsed="false">
      <c r="A2155" s="1" t="n">
        <v>2014</v>
      </c>
      <c r="B2155" s="7" t="s">
        <v>322</v>
      </c>
      <c r="C2155" s="7" t="n">
        <v>2</v>
      </c>
      <c r="D2155" s="7" t="s">
        <v>293</v>
      </c>
      <c r="E2155" s="7" t="s">
        <v>293</v>
      </c>
      <c r="F2155" s="3" t="s">
        <v>26</v>
      </c>
      <c r="G2155" s="3" t="n">
        <v>2</v>
      </c>
      <c r="H2155" s="3" t="n">
        <v>8</v>
      </c>
      <c r="I2155" s="22" t="n">
        <v>41793</v>
      </c>
      <c r="J2155" s="22" t="n">
        <v>41798</v>
      </c>
      <c r="K2155" s="43" t="n">
        <f aca="false">J2155-I2155</f>
        <v>5</v>
      </c>
      <c r="L2155" s="1" t="n">
        <v>5</v>
      </c>
      <c r="M2155" s="3" t="s">
        <v>72</v>
      </c>
      <c r="N2155" s="3" t="s">
        <v>86</v>
      </c>
      <c r="O2155" s="3" t="s">
        <v>87</v>
      </c>
      <c r="P2155" s="2" t="str">
        <f aca="false">CONCATENATE(N2155," ",O2155)</f>
        <v>Haplodrassus soerenseni</v>
      </c>
      <c r="Q2155" s="1" t="s">
        <v>30</v>
      </c>
      <c r="R2155" s="1" t="s">
        <v>31</v>
      </c>
      <c r="S2155" s="3" t="n">
        <v>1</v>
      </c>
      <c r="T2155" s="3" t="n">
        <v>0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f aca="false">SUM(S2155:T2155)</f>
        <v>1</v>
      </c>
      <c r="Z2155" s="3" t="n">
        <f aca="false">SUM(U2155:W2155)</f>
        <v>0</v>
      </c>
      <c r="AA2155" s="3" t="n">
        <f aca="false">SUM(S2155:X2155)</f>
        <v>1</v>
      </c>
      <c r="AB2155" s="11" t="n">
        <f aca="false">(AA2155/(K2155*L2155)*25)*4</f>
        <v>4</v>
      </c>
    </row>
    <row r="2156" customFormat="false" ht="14.25" hidden="false" customHeight="false" outlineLevel="0" collapsed="false">
      <c r="A2156" s="1" t="n">
        <v>2014</v>
      </c>
      <c r="B2156" s="7" t="s">
        <v>322</v>
      </c>
      <c r="C2156" s="7" t="n">
        <v>2</v>
      </c>
      <c r="D2156" s="7" t="s">
        <v>293</v>
      </c>
      <c r="E2156" s="7" t="s">
        <v>293</v>
      </c>
      <c r="F2156" s="3" t="s">
        <v>26</v>
      </c>
      <c r="G2156" s="3" t="n">
        <v>2</v>
      </c>
      <c r="H2156" s="3" t="n">
        <v>8</v>
      </c>
      <c r="I2156" s="22" t="n">
        <v>41793</v>
      </c>
      <c r="J2156" s="22" t="n">
        <v>41798</v>
      </c>
      <c r="K2156" s="43" t="n">
        <f aca="false">J2156-I2156</f>
        <v>5</v>
      </c>
      <c r="L2156" s="1" t="n">
        <v>5</v>
      </c>
      <c r="M2156" s="3" t="s">
        <v>48</v>
      </c>
      <c r="N2156" s="3" t="s">
        <v>49</v>
      </c>
      <c r="O2156" s="3" t="s">
        <v>104</v>
      </c>
      <c r="P2156" s="2" t="str">
        <f aca="false">CONCATENATE(N2156," ",O2156)</f>
        <v>Alopecosa taeniata</v>
      </c>
      <c r="Q2156" s="1" t="s">
        <v>30</v>
      </c>
      <c r="R2156" s="1" t="s">
        <v>31</v>
      </c>
      <c r="S2156" s="3" t="n">
        <v>1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f aca="false">SUM(S2156:T2156)</f>
        <v>1</v>
      </c>
      <c r="Z2156" s="3" t="n">
        <f aca="false">SUM(U2156:W2156)</f>
        <v>0</v>
      </c>
      <c r="AA2156" s="3" t="n">
        <f aca="false">SUM(S2156:X2156)</f>
        <v>1</v>
      </c>
      <c r="AB2156" s="11" t="n">
        <f aca="false">(AA2156/(K2156*L2156)*25)*4</f>
        <v>4</v>
      </c>
    </row>
    <row r="2157" customFormat="false" ht="14.25" hidden="false" customHeight="false" outlineLevel="0" collapsed="false">
      <c r="A2157" s="1" t="n">
        <v>2014</v>
      </c>
      <c r="B2157" s="7" t="s">
        <v>322</v>
      </c>
      <c r="C2157" s="7" t="n">
        <v>2</v>
      </c>
      <c r="D2157" s="7" t="s">
        <v>293</v>
      </c>
      <c r="E2157" s="7" t="s">
        <v>293</v>
      </c>
      <c r="F2157" s="3" t="s">
        <v>26</v>
      </c>
      <c r="G2157" s="3" t="n">
        <v>2</v>
      </c>
      <c r="H2157" s="3" t="n">
        <v>8</v>
      </c>
      <c r="I2157" s="22" t="n">
        <v>41793</v>
      </c>
      <c r="J2157" s="22" t="n">
        <v>41798</v>
      </c>
      <c r="K2157" s="43" t="n">
        <f aca="false">J2157-I2157</f>
        <v>5</v>
      </c>
      <c r="L2157" s="1" t="n">
        <v>5</v>
      </c>
      <c r="M2157" s="3" t="s">
        <v>48</v>
      </c>
      <c r="N2157" s="3" t="s">
        <v>49</v>
      </c>
      <c r="O2157" s="3" t="s">
        <v>104</v>
      </c>
      <c r="P2157" s="2" t="str">
        <f aca="false">CONCATENATE(N2157," ",O2157)</f>
        <v>Alopecosa taeniata</v>
      </c>
      <c r="Q2157" s="1" t="s">
        <v>30</v>
      </c>
      <c r="R2157" s="1" t="s">
        <v>35</v>
      </c>
      <c r="S2157" s="3" t="n">
        <v>0</v>
      </c>
      <c r="T2157" s="3" t="n">
        <v>1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f aca="false">SUM(S2157:T2157)</f>
        <v>1</v>
      </c>
      <c r="Z2157" s="3" t="n">
        <f aca="false">SUM(U2157:W2157)</f>
        <v>0</v>
      </c>
      <c r="AA2157" s="3" t="n">
        <f aca="false">SUM(S2157:X2157)</f>
        <v>1</v>
      </c>
      <c r="AB2157" s="11" t="n">
        <f aca="false">(AA2157/(K2157*L2157)*25)*4</f>
        <v>4</v>
      </c>
    </row>
    <row r="2158" customFormat="false" ht="14.25" hidden="false" customHeight="false" outlineLevel="0" collapsed="false">
      <c r="A2158" s="1" t="n">
        <v>2014</v>
      </c>
      <c r="B2158" s="7" t="s">
        <v>322</v>
      </c>
      <c r="C2158" s="7" t="n">
        <v>2</v>
      </c>
      <c r="D2158" s="7" t="s">
        <v>293</v>
      </c>
      <c r="E2158" s="7" t="s">
        <v>293</v>
      </c>
      <c r="F2158" s="3" t="s">
        <v>26</v>
      </c>
      <c r="G2158" s="3" t="n">
        <v>2</v>
      </c>
      <c r="H2158" s="3" t="n">
        <v>8</v>
      </c>
      <c r="I2158" s="22" t="n">
        <v>41793</v>
      </c>
      <c r="J2158" s="22" t="n">
        <v>41798</v>
      </c>
      <c r="K2158" s="43" t="n">
        <f aca="false">J2158-I2158</f>
        <v>5</v>
      </c>
      <c r="L2158" s="1" t="n">
        <v>5</v>
      </c>
      <c r="M2158" s="3" t="s">
        <v>48</v>
      </c>
      <c r="N2158" s="3" t="s">
        <v>67</v>
      </c>
      <c r="O2158" s="3" t="s">
        <v>127</v>
      </c>
      <c r="P2158" s="2" t="str">
        <f aca="false">CONCATENATE(N2158," ",O2158)</f>
        <v>Pardosa lugubris</v>
      </c>
      <c r="Q2158" s="1" t="s">
        <v>30</v>
      </c>
      <c r="R2158" s="1" t="s">
        <v>31</v>
      </c>
      <c r="S2158" s="3" t="n">
        <v>5</v>
      </c>
      <c r="T2158" s="3" t="n">
        <v>0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f aca="false">SUM(S2158:T2158)</f>
        <v>5</v>
      </c>
      <c r="Z2158" s="3" t="n">
        <f aca="false">SUM(U2158:W2158)</f>
        <v>0</v>
      </c>
      <c r="AA2158" s="3" t="n">
        <f aca="false">SUM(S2158:X2158)</f>
        <v>5</v>
      </c>
      <c r="AB2158" s="11" t="n">
        <f aca="false">(AA2158/(K2158*L2158)*25)*4</f>
        <v>20</v>
      </c>
    </row>
    <row r="2159" customFormat="false" ht="14.25" hidden="false" customHeight="false" outlineLevel="0" collapsed="false">
      <c r="A2159" s="1" t="n">
        <v>2014</v>
      </c>
      <c r="B2159" s="7" t="s">
        <v>322</v>
      </c>
      <c r="C2159" s="7" t="n">
        <v>2</v>
      </c>
      <c r="D2159" s="7" t="s">
        <v>293</v>
      </c>
      <c r="E2159" s="7" t="s">
        <v>293</v>
      </c>
      <c r="F2159" s="3" t="s">
        <v>26</v>
      </c>
      <c r="G2159" s="3" t="n">
        <v>2</v>
      </c>
      <c r="H2159" s="3" t="n">
        <v>8</v>
      </c>
      <c r="I2159" s="22" t="n">
        <v>41793</v>
      </c>
      <c r="J2159" s="22" t="n">
        <v>41798</v>
      </c>
      <c r="K2159" s="43" t="n">
        <f aca="false">J2159-I2159</f>
        <v>5</v>
      </c>
      <c r="L2159" s="1" t="n">
        <v>5</v>
      </c>
      <c r="M2159" s="3" t="s">
        <v>32</v>
      </c>
      <c r="N2159" s="3" t="s">
        <v>169</v>
      </c>
      <c r="O2159" s="3" t="s">
        <v>170</v>
      </c>
      <c r="P2159" s="2" t="str">
        <f aca="false">CONCATENATE(N2159," ",O2159)</f>
        <v>Abacoproeces saltuum</v>
      </c>
      <c r="Q2159" s="1" t="s">
        <v>30</v>
      </c>
      <c r="R2159" s="1" t="s">
        <v>31</v>
      </c>
      <c r="S2159" s="3" t="n">
        <v>2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f aca="false">SUM(S2159:T2159)</f>
        <v>2</v>
      </c>
      <c r="Z2159" s="3" t="n">
        <f aca="false">SUM(U2159:W2159)</f>
        <v>0</v>
      </c>
      <c r="AA2159" s="3" t="n">
        <f aca="false">SUM(S2159:X2159)</f>
        <v>2</v>
      </c>
      <c r="AB2159" s="11" t="n">
        <f aca="false">(AA2159/(K2159*L2159)*25)*4</f>
        <v>8</v>
      </c>
    </row>
    <row r="2160" customFormat="false" ht="14.25" hidden="false" customHeight="false" outlineLevel="0" collapsed="false">
      <c r="A2160" s="1" t="n">
        <v>2014</v>
      </c>
      <c r="B2160" s="7" t="s">
        <v>322</v>
      </c>
      <c r="C2160" s="7" t="n">
        <v>2</v>
      </c>
      <c r="D2160" s="7" t="s">
        <v>293</v>
      </c>
      <c r="E2160" s="7" t="s">
        <v>293</v>
      </c>
      <c r="F2160" s="3" t="s">
        <v>26</v>
      </c>
      <c r="G2160" s="3" t="n">
        <v>1</v>
      </c>
      <c r="H2160" s="3" t="n">
        <v>4</v>
      </c>
      <c r="I2160" s="22" t="n">
        <v>41793</v>
      </c>
      <c r="J2160" s="22" t="n">
        <v>41798</v>
      </c>
      <c r="K2160" s="43" t="n">
        <f aca="false">J2160-I2160</f>
        <v>5</v>
      </c>
      <c r="L2160" s="1" t="n">
        <v>5</v>
      </c>
      <c r="M2160" s="3" t="s">
        <v>48</v>
      </c>
      <c r="N2160" s="3" t="s">
        <v>67</v>
      </c>
      <c r="O2160" s="3" t="s">
        <v>127</v>
      </c>
      <c r="P2160" s="2" t="str">
        <f aca="false">CONCATENATE(N2160," ",O2160)</f>
        <v>Pardosa lugubris</v>
      </c>
      <c r="Q2160" s="1" t="s">
        <v>30</v>
      </c>
      <c r="R2160" s="1" t="s">
        <v>31</v>
      </c>
      <c r="S2160" s="3" t="n">
        <v>3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f aca="false">SUM(S2160:T2160)</f>
        <v>3</v>
      </c>
      <c r="Z2160" s="3" t="n">
        <f aca="false">SUM(U2160:W2160)</f>
        <v>0</v>
      </c>
      <c r="AA2160" s="3" t="n">
        <f aca="false">SUM(S2160:X2160)</f>
        <v>3</v>
      </c>
      <c r="AB2160" s="11" t="n">
        <f aca="false">(AA2160/(K2160*L2160)*25)*4</f>
        <v>12</v>
      </c>
    </row>
    <row r="2161" customFormat="false" ht="14.25" hidden="false" customHeight="false" outlineLevel="0" collapsed="false">
      <c r="A2161" s="1" t="n">
        <v>2014</v>
      </c>
      <c r="B2161" s="7" t="s">
        <v>322</v>
      </c>
      <c r="C2161" s="7" t="n">
        <v>2</v>
      </c>
      <c r="D2161" s="7" t="s">
        <v>293</v>
      </c>
      <c r="E2161" s="7" t="s">
        <v>293</v>
      </c>
      <c r="F2161" s="3" t="s">
        <v>26</v>
      </c>
      <c r="G2161" s="3" t="n">
        <v>1</v>
      </c>
      <c r="H2161" s="3" t="n">
        <v>4</v>
      </c>
      <c r="I2161" s="22" t="n">
        <v>41793</v>
      </c>
      <c r="J2161" s="22" t="n">
        <v>41798</v>
      </c>
      <c r="K2161" s="43" t="n">
        <f aca="false">J2161-I2161</f>
        <v>5</v>
      </c>
      <c r="L2161" s="1" t="n">
        <v>5</v>
      </c>
      <c r="M2161" s="3" t="s">
        <v>48</v>
      </c>
      <c r="N2161" s="3" t="s">
        <v>67</v>
      </c>
      <c r="O2161" s="3" t="s">
        <v>127</v>
      </c>
      <c r="P2161" s="2" t="str">
        <f aca="false">CONCATENATE(N2161," ",O2161)</f>
        <v>Pardosa lugubris</v>
      </c>
      <c r="Q2161" s="1" t="s">
        <v>30</v>
      </c>
      <c r="R2161" s="1" t="s">
        <v>35</v>
      </c>
      <c r="S2161" s="3" t="n">
        <v>0</v>
      </c>
      <c r="T2161" s="3" t="n">
        <v>1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f aca="false">SUM(S2161:T2161)</f>
        <v>1</v>
      </c>
      <c r="Z2161" s="3" t="n">
        <f aca="false">SUM(U2161:W2161)</f>
        <v>0</v>
      </c>
      <c r="AA2161" s="3" t="n">
        <f aca="false">SUM(S2161:X2161)</f>
        <v>1</v>
      </c>
      <c r="AB2161" s="11" t="n">
        <f aca="false">(AA2161/(K2161*L2161)*25)*4</f>
        <v>4</v>
      </c>
    </row>
    <row r="2162" customFormat="false" ht="14.25" hidden="false" customHeight="false" outlineLevel="0" collapsed="false">
      <c r="A2162" s="1" t="n">
        <v>2014</v>
      </c>
      <c r="B2162" s="7" t="s">
        <v>322</v>
      </c>
      <c r="C2162" s="7" t="n">
        <v>2</v>
      </c>
      <c r="D2162" s="7" t="s">
        <v>293</v>
      </c>
      <c r="E2162" s="7" t="s">
        <v>293</v>
      </c>
      <c r="F2162" s="3" t="s">
        <v>26</v>
      </c>
      <c r="G2162" s="3" t="n">
        <v>1</v>
      </c>
      <c r="H2162" s="3" t="n">
        <v>4</v>
      </c>
      <c r="I2162" s="22" t="n">
        <v>41793</v>
      </c>
      <c r="J2162" s="22" t="n">
        <v>41798</v>
      </c>
      <c r="K2162" s="43" t="n">
        <f aca="false">J2162-I2162</f>
        <v>5</v>
      </c>
      <c r="L2162" s="1" t="n">
        <v>5</v>
      </c>
      <c r="M2162" s="3" t="s">
        <v>48</v>
      </c>
      <c r="N2162" s="3" t="s">
        <v>49</v>
      </c>
      <c r="O2162" s="3" t="s">
        <v>104</v>
      </c>
      <c r="P2162" s="2" t="str">
        <f aca="false">CONCATENATE(N2162," ",O2162)</f>
        <v>Alopecosa taeniata</v>
      </c>
      <c r="Q2162" s="1" t="s">
        <v>30</v>
      </c>
      <c r="R2162" s="1" t="s">
        <v>31</v>
      </c>
      <c r="S2162" s="3" t="n">
        <v>2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f aca="false">SUM(S2162:T2162)</f>
        <v>2</v>
      </c>
      <c r="Z2162" s="3" t="n">
        <f aca="false">SUM(U2162:W2162)</f>
        <v>0</v>
      </c>
      <c r="AA2162" s="3" t="n">
        <f aca="false">SUM(S2162:X2162)</f>
        <v>2</v>
      </c>
      <c r="AB2162" s="11" t="n">
        <f aca="false">(AA2162/(K2162*L2162)*25)*4</f>
        <v>8</v>
      </c>
    </row>
    <row r="2163" customFormat="false" ht="14.25" hidden="false" customHeight="false" outlineLevel="0" collapsed="false">
      <c r="A2163" s="1" t="n">
        <v>2014</v>
      </c>
      <c r="B2163" s="7" t="s">
        <v>322</v>
      </c>
      <c r="C2163" s="7" t="n">
        <v>2</v>
      </c>
      <c r="D2163" s="7" t="s">
        <v>293</v>
      </c>
      <c r="E2163" s="7" t="s">
        <v>293</v>
      </c>
      <c r="F2163" s="3" t="s">
        <v>26</v>
      </c>
      <c r="G2163" s="3" t="n">
        <v>1</v>
      </c>
      <c r="H2163" s="3" t="n">
        <v>4</v>
      </c>
      <c r="I2163" s="22" t="n">
        <v>41793</v>
      </c>
      <c r="J2163" s="22" t="n">
        <v>41798</v>
      </c>
      <c r="K2163" s="43" t="n">
        <f aca="false">J2163-I2163</f>
        <v>5</v>
      </c>
      <c r="L2163" s="1" t="n">
        <v>5</v>
      </c>
      <c r="M2163" s="3" t="s">
        <v>48</v>
      </c>
      <c r="N2163" s="3" t="s">
        <v>49</v>
      </c>
      <c r="O2163" s="3" t="s">
        <v>104</v>
      </c>
      <c r="P2163" s="2" t="str">
        <f aca="false">CONCATENATE(N2163," ",O2163)</f>
        <v>Alopecosa taeniata</v>
      </c>
      <c r="Q2163" s="1" t="s">
        <v>30</v>
      </c>
      <c r="R2163" s="1" t="s">
        <v>35</v>
      </c>
      <c r="S2163" s="3" t="n">
        <v>0</v>
      </c>
      <c r="T2163" s="3" t="n">
        <v>1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f aca="false">SUM(S2163:T2163)</f>
        <v>1</v>
      </c>
      <c r="Z2163" s="3" t="n">
        <f aca="false">SUM(U2163:W2163)</f>
        <v>0</v>
      </c>
      <c r="AA2163" s="3" t="n">
        <f aca="false">SUM(S2163:X2163)</f>
        <v>1</v>
      </c>
      <c r="AB2163" s="11" t="n">
        <f aca="false">(AA2163/(K2163*L2163)*25)*4</f>
        <v>4</v>
      </c>
    </row>
    <row r="2164" customFormat="false" ht="14.25" hidden="false" customHeight="false" outlineLevel="0" collapsed="false">
      <c r="A2164" s="1" t="n">
        <v>2014</v>
      </c>
      <c r="B2164" s="7" t="s">
        <v>322</v>
      </c>
      <c r="C2164" s="7" t="n">
        <v>2</v>
      </c>
      <c r="D2164" s="7" t="s">
        <v>293</v>
      </c>
      <c r="E2164" s="7" t="s">
        <v>293</v>
      </c>
      <c r="F2164" s="3" t="s">
        <v>26</v>
      </c>
      <c r="G2164" s="3" t="n">
        <v>1</v>
      </c>
      <c r="H2164" s="3" t="n">
        <v>4</v>
      </c>
      <c r="I2164" s="22" t="n">
        <v>41793</v>
      </c>
      <c r="J2164" s="22" t="n">
        <v>41798</v>
      </c>
      <c r="K2164" s="43" t="n">
        <f aca="false">J2164-I2164</f>
        <v>5</v>
      </c>
      <c r="L2164" s="1" t="n">
        <v>5</v>
      </c>
      <c r="M2164" s="3" t="s">
        <v>36</v>
      </c>
      <c r="N2164" s="3" t="s">
        <v>131</v>
      </c>
      <c r="O2164" s="3" t="s">
        <v>133</v>
      </c>
      <c r="P2164" s="2" t="str">
        <f aca="false">CONCATENATE(N2164," ",O2164)</f>
        <v>Xysticus luctuosus</v>
      </c>
      <c r="Q2164" s="1" t="s">
        <v>30</v>
      </c>
      <c r="R2164" s="1" t="s">
        <v>31</v>
      </c>
      <c r="S2164" s="3" t="n">
        <v>1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f aca="false">SUM(S2164:T2164)</f>
        <v>1</v>
      </c>
      <c r="Z2164" s="3" t="n">
        <f aca="false">SUM(U2164:W2164)</f>
        <v>0</v>
      </c>
      <c r="AA2164" s="3" t="n">
        <f aca="false">SUM(S2164:X2164)</f>
        <v>1</v>
      </c>
      <c r="AB2164" s="11" t="n">
        <f aca="false">(AA2164/(K2164*L2164)*25)*4</f>
        <v>4</v>
      </c>
    </row>
    <row r="2165" customFormat="false" ht="14.25" hidden="false" customHeight="false" outlineLevel="0" collapsed="false">
      <c r="A2165" s="1" t="n">
        <v>2014</v>
      </c>
      <c r="B2165" s="7" t="s">
        <v>322</v>
      </c>
      <c r="C2165" s="7" t="n">
        <v>2</v>
      </c>
      <c r="D2165" s="7" t="s">
        <v>293</v>
      </c>
      <c r="E2165" s="7" t="s">
        <v>293</v>
      </c>
      <c r="F2165" s="3" t="s">
        <v>26</v>
      </c>
      <c r="G2165" s="3" t="n">
        <v>1</v>
      </c>
      <c r="H2165" s="3" t="n">
        <v>4</v>
      </c>
      <c r="I2165" s="22" t="n">
        <v>41793</v>
      </c>
      <c r="J2165" s="22" t="n">
        <v>41798</v>
      </c>
      <c r="K2165" s="43" t="n">
        <f aca="false">J2165-I2165</f>
        <v>5</v>
      </c>
      <c r="L2165" s="1" t="n">
        <v>5</v>
      </c>
      <c r="M2165" s="3" t="s">
        <v>32</v>
      </c>
      <c r="N2165" s="3" t="s">
        <v>169</v>
      </c>
      <c r="O2165" s="3" t="s">
        <v>170</v>
      </c>
      <c r="P2165" s="2" t="str">
        <f aca="false">CONCATENATE(N2165," ",O2165)</f>
        <v>Abacoproeces saltuum</v>
      </c>
      <c r="Q2165" s="1" t="s">
        <v>30</v>
      </c>
      <c r="R2165" s="1" t="s">
        <v>31</v>
      </c>
      <c r="S2165" s="3" t="n">
        <v>1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f aca="false">SUM(S2165:T2165)</f>
        <v>1</v>
      </c>
      <c r="Z2165" s="3" t="n">
        <f aca="false">SUM(U2165:W2165)</f>
        <v>0</v>
      </c>
      <c r="AA2165" s="3" t="n">
        <f aca="false">SUM(S2165:X2165)</f>
        <v>1</v>
      </c>
      <c r="AB2165" s="11" t="n">
        <f aca="false">(AA2165/(K2165*L2165)*25)*4</f>
        <v>4</v>
      </c>
    </row>
    <row r="2166" customFormat="false" ht="14.25" hidden="false" customHeight="false" outlineLevel="0" collapsed="false">
      <c r="A2166" s="1" t="n">
        <v>2014</v>
      </c>
      <c r="B2166" s="7" t="s">
        <v>322</v>
      </c>
      <c r="C2166" s="7" t="n">
        <v>2</v>
      </c>
      <c r="D2166" s="7" t="s">
        <v>293</v>
      </c>
      <c r="E2166" s="7" t="s">
        <v>293</v>
      </c>
      <c r="F2166" s="3" t="s">
        <v>26</v>
      </c>
      <c r="G2166" s="3" t="n">
        <v>2</v>
      </c>
      <c r="H2166" s="3" t="n">
        <v>7</v>
      </c>
      <c r="I2166" s="22" t="n">
        <v>41793</v>
      </c>
      <c r="J2166" s="22" t="n">
        <v>41798</v>
      </c>
      <c r="K2166" s="43" t="n">
        <f aca="false">J2166-I2166</f>
        <v>5</v>
      </c>
      <c r="L2166" s="1" t="n">
        <v>5</v>
      </c>
      <c r="M2166" s="3" t="s">
        <v>48</v>
      </c>
      <c r="N2166" s="3" t="s">
        <v>67</v>
      </c>
      <c r="O2166" s="3" t="s">
        <v>127</v>
      </c>
      <c r="P2166" s="2" t="str">
        <f aca="false">CONCATENATE(N2166," ",O2166)</f>
        <v>Pardosa lugubris</v>
      </c>
      <c r="Q2166" s="1" t="s">
        <v>30</v>
      </c>
      <c r="R2166" s="1" t="s">
        <v>31</v>
      </c>
      <c r="S2166" s="3" t="n">
        <v>3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f aca="false">SUM(S2166:T2166)</f>
        <v>3</v>
      </c>
      <c r="Z2166" s="3" t="n">
        <f aca="false">SUM(U2166:W2166)</f>
        <v>0</v>
      </c>
      <c r="AA2166" s="3" t="n">
        <f aca="false">SUM(S2166:X2166)</f>
        <v>3</v>
      </c>
      <c r="AB2166" s="11" t="n">
        <f aca="false">(AA2166/(K2166*L2166)*25)*4</f>
        <v>12</v>
      </c>
    </row>
    <row r="2167" customFormat="false" ht="14.25" hidden="false" customHeight="false" outlineLevel="0" collapsed="false">
      <c r="A2167" s="1" t="n">
        <v>2014</v>
      </c>
      <c r="B2167" s="7" t="s">
        <v>322</v>
      </c>
      <c r="C2167" s="7" t="n">
        <v>2</v>
      </c>
      <c r="D2167" s="7" t="s">
        <v>293</v>
      </c>
      <c r="E2167" s="7" t="s">
        <v>293</v>
      </c>
      <c r="F2167" s="3" t="s">
        <v>26</v>
      </c>
      <c r="G2167" s="3" t="n">
        <v>2</v>
      </c>
      <c r="H2167" s="3" t="n">
        <v>7</v>
      </c>
      <c r="I2167" s="22" t="n">
        <v>41793</v>
      </c>
      <c r="J2167" s="22" t="n">
        <v>41798</v>
      </c>
      <c r="K2167" s="43" t="n">
        <f aca="false">J2167-I2167</f>
        <v>5</v>
      </c>
      <c r="L2167" s="1" t="n">
        <v>5</v>
      </c>
      <c r="M2167" s="3" t="s">
        <v>48</v>
      </c>
      <c r="N2167" s="3" t="s">
        <v>49</v>
      </c>
      <c r="O2167" s="3" t="s">
        <v>104</v>
      </c>
      <c r="P2167" s="2" t="str">
        <f aca="false">CONCATENATE(N2167," ",O2167)</f>
        <v>Alopecosa taeniata</v>
      </c>
      <c r="Q2167" s="1" t="s">
        <v>30</v>
      </c>
      <c r="R2167" s="1" t="s">
        <v>31</v>
      </c>
      <c r="S2167" s="3" t="n">
        <v>2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f aca="false">SUM(S2167:T2167)</f>
        <v>2</v>
      </c>
      <c r="Z2167" s="3" t="n">
        <f aca="false">SUM(U2167:W2167)</f>
        <v>0</v>
      </c>
      <c r="AA2167" s="3" t="n">
        <f aca="false">SUM(S2167:X2167)</f>
        <v>2</v>
      </c>
      <c r="AB2167" s="11" t="n">
        <f aca="false">(AA2167/(K2167*L2167)*25)*4</f>
        <v>8</v>
      </c>
    </row>
    <row r="2168" customFormat="false" ht="14.25" hidden="false" customHeight="false" outlineLevel="0" collapsed="false">
      <c r="A2168" s="1" t="n">
        <v>2014</v>
      </c>
      <c r="B2168" s="7" t="s">
        <v>322</v>
      </c>
      <c r="C2168" s="7" t="n">
        <v>2</v>
      </c>
      <c r="D2168" s="7" t="s">
        <v>293</v>
      </c>
      <c r="E2168" s="7" t="s">
        <v>293</v>
      </c>
      <c r="F2168" s="3" t="s">
        <v>26</v>
      </c>
      <c r="G2168" s="3" t="n">
        <v>2</v>
      </c>
      <c r="H2168" s="3" t="n">
        <v>7</v>
      </c>
      <c r="I2168" s="22" t="n">
        <v>41793</v>
      </c>
      <c r="J2168" s="22" t="n">
        <v>41798</v>
      </c>
      <c r="K2168" s="43" t="n">
        <f aca="false">J2168-I2168</f>
        <v>5</v>
      </c>
      <c r="L2168" s="1" t="n">
        <v>5</v>
      </c>
      <c r="M2168" s="3" t="s">
        <v>32</v>
      </c>
      <c r="N2168" s="3" t="s">
        <v>107</v>
      </c>
      <c r="O2168" s="3" t="s">
        <v>108</v>
      </c>
      <c r="P2168" s="2" t="str">
        <f aca="false">CONCATENATE(N2168," ",O2168)</f>
        <v>Macrargus rufus</v>
      </c>
      <c r="Q2168" s="1" t="s">
        <v>30</v>
      </c>
      <c r="R2168" s="1" t="s">
        <v>35</v>
      </c>
      <c r="S2168" s="3" t="n">
        <v>0</v>
      </c>
      <c r="T2168" s="3" t="n">
        <v>1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f aca="false">SUM(S2168:T2168)</f>
        <v>1</v>
      </c>
      <c r="Z2168" s="3" t="n">
        <f aca="false">SUM(U2168:W2168)</f>
        <v>0</v>
      </c>
      <c r="AA2168" s="3" t="n">
        <f aca="false">SUM(S2168:X2168)</f>
        <v>1</v>
      </c>
      <c r="AB2168" s="11" t="n">
        <f aca="false">(AA2168/(K2168*L2168)*25)*4</f>
        <v>4</v>
      </c>
    </row>
    <row r="2169" customFormat="false" ht="14.25" hidden="false" customHeight="false" outlineLevel="0" collapsed="false">
      <c r="A2169" s="1" t="n">
        <v>2014</v>
      </c>
      <c r="B2169" s="7" t="s">
        <v>322</v>
      </c>
      <c r="C2169" s="7" t="n">
        <v>2</v>
      </c>
      <c r="D2169" s="7" t="s">
        <v>293</v>
      </c>
      <c r="E2169" s="7" t="s">
        <v>293</v>
      </c>
      <c r="F2169" s="3" t="s">
        <v>26</v>
      </c>
      <c r="G2169" s="3" t="n">
        <v>2</v>
      </c>
      <c r="H2169" s="3" t="n">
        <v>7</v>
      </c>
      <c r="I2169" s="22" t="n">
        <v>41793</v>
      </c>
      <c r="J2169" s="22" t="n">
        <v>41798</v>
      </c>
      <c r="K2169" s="43" t="n">
        <f aca="false">J2169-I2169</f>
        <v>5</v>
      </c>
      <c r="L2169" s="1" t="n">
        <v>5</v>
      </c>
      <c r="M2169" s="3" t="s">
        <v>32</v>
      </c>
      <c r="N2169" s="3" t="s">
        <v>96</v>
      </c>
      <c r="O2169" s="3" t="s">
        <v>97</v>
      </c>
      <c r="P2169" s="2" t="str">
        <f aca="false">CONCATENATE(N2169," ",O2169)</f>
        <v>Diplocephalus picinus</v>
      </c>
      <c r="Q2169" s="1" t="s">
        <v>30</v>
      </c>
      <c r="R2169" s="1" t="s">
        <v>31</v>
      </c>
      <c r="S2169" s="3" t="n">
        <v>1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f aca="false">SUM(S2169:T2169)</f>
        <v>1</v>
      </c>
      <c r="Z2169" s="3" t="n">
        <f aca="false">SUM(U2169:W2169)</f>
        <v>0</v>
      </c>
      <c r="AA2169" s="3" t="n">
        <f aca="false">SUM(S2169:X2169)</f>
        <v>1</v>
      </c>
      <c r="AB2169" s="11" t="n">
        <f aca="false">(AA2169/(K2169*L2169)*25)*4</f>
        <v>4</v>
      </c>
    </row>
    <row r="2170" customFormat="false" ht="14.25" hidden="false" customHeight="false" outlineLevel="0" collapsed="false">
      <c r="A2170" s="1" t="n">
        <v>2014</v>
      </c>
      <c r="B2170" s="7" t="s">
        <v>322</v>
      </c>
      <c r="C2170" s="7" t="n">
        <v>2</v>
      </c>
      <c r="D2170" s="7" t="s">
        <v>295</v>
      </c>
      <c r="E2170" s="7" t="s">
        <v>295</v>
      </c>
      <c r="F2170" s="3" t="s">
        <v>324</v>
      </c>
      <c r="G2170" s="3" t="n">
        <v>3</v>
      </c>
      <c r="H2170" s="3" t="n">
        <v>11</v>
      </c>
      <c r="I2170" s="22" t="n">
        <v>41793</v>
      </c>
      <c r="J2170" s="22" t="n">
        <v>41798</v>
      </c>
      <c r="K2170" s="43" t="n">
        <f aca="false">J2170-I2170</f>
        <v>5</v>
      </c>
      <c r="L2170" s="1" t="n">
        <v>5</v>
      </c>
      <c r="M2170" s="3" t="s">
        <v>48</v>
      </c>
      <c r="N2170" s="3" t="s">
        <v>122</v>
      </c>
      <c r="O2170" s="3" t="s">
        <v>123</v>
      </c>
      <c r="P2170" s="2" t="str">
        <f aca="false">CONCATENATE(N2170," ",O2170)</f>
        <v>Xerolycosa nemoralis</v>
      </c>
      <c r="Q2170" s="1" t="s">
        <v>30</v>
      </c>
      <c r="R2170" s="1" t="s">
        <v>31</v>
      </c>
      <c r="S2170" s="3" t="n">
        <v>8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f aca="false">SUM(S2170:T2170)</f>
        <v>8</v>
      </c>
      <c r="Z2170" s="3" t="n">
        <f aca="false">SUM(U2170:W2170)</f>
        <v>0</v>
      </c>
      <c r="AA2170" s="3" t="n">
        <f aca="false">SUM(S2170:X2170)</f>
        <v>8</v>
      </c>
      <c r="AB2170" s="11" t="n">
        <f aca="false">(AA2170/(K2170*L2170)*25)*4</f>
        <v>32</v>
      </c>
    </row>
    <row r="2171" customFormat="false" ht="14.25" hidden="false" customHeight="false" outlineLevel="0" collapsed="false">
      <c r="A2171" s="1" t="n">
        <v>2014</v>
      </c>
      <c r="B2171" s="7" t="s">
        <v>322</v>
      </c>
      <c r="C2171" s="7" t="n">
        <v>2</v>
      </c>
      <c r="D2171" s="7" t="s">
        <v>295</v>
      </c>
      <c r="E2171" s="7" t="s">
        <v>295</v>
      </c>
      <c r="F2171" s="3" t="s">
        <v>324</v>
      </c>
      <c r="G2171" s="3" t="n">
        <v>3</v>
      </c>
      <c r="H2171" s="3" t="n">
        <v>11</v>
      </c>
      <c r="I2171" s="22" t="n">
        <v>41793</v>
      </c>
      <c r="J2171" s="22" t="n">
        <v>41798</v>
      </c>
      <c r="K2171" s="43" t="n">
        <f aca="false">J2171-I2171</f>
        <v>5</v>
      </c>
      <c r="L2171" s="1" t="n">
        <v>5</v>
      </c>
      <c r="M2171" s="3" t="s">
        <v>48</v>
      </c>
      <c r="N2171" s="3" t="s">
        <v>122</v>
      </c>
      <c r="O2171" s="3" t="s">
        <v>123</v>
      </c>
      <c r="P2171" s="2" t="str">
        <f aca="false">CONCATENATE(N2171," ",O2171)</f>
        <v>Xerolycosa nemoralis</v>
      </c>
      <c r="Q2171" s="1" t="s">
        <v>30</v>
      </c>
      <c r="R2171" s="1" t="s">
        <v>35</v>
      </c>
      <c r="S2171" s="3" t="n">
        <v>0</v>
      </c>
      <c r="T2171" s="3" t="n">
        <v>1</v>
      </c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f aca="false">SUM(S2171:T2171)</f>
        <v>1</v>
      </c>
      <c r="Z2171" s="3" t="n">
        <f aca="false">SUM(U2171:W2171)</f>
        <v>0</v>
      </c>
      <c r="AA2171" s="3" t="n">
        <f aca="false">SUM(S2171:X2171)</f>
        <v>1</v>
      </c>
      <c r="AB2171" s="11" t="n">
        <f aca="false">(AA2171/(K2171*L2171)*25)*4</f>
        <v>4</v>
      </c>
    </row>
    <row r="2172" customFormat="false" ht="14.25" hidden="false" customHeight="false" outlineLevel="0" collapsed="false">
      <c r="A2172" s="1" t="n">
        <v>2014</v>
      </c>
      <c r="B2172" s="7" t="s">
        <v>322</v>
      </c>
      <c r="C2172" s="7" t="n">
        <v>2</v>
      </c>
      <c r="D2172" s="7" t="s">
        <v>295</v>
      </c>
      <c r="E2172" s="7" t="s">
        <v>295</v>
      </c>
      <c r="F2172" s="3" t="s">
        <v>324</v>
      </c>
      <c r="G2172" s="3" t="n">
        <v>3</v>
      </c>
      <c r="H2172" s="3" t="n">
        <v>11</v>
      </c>
      <c r="I2172" s="22" t="n">
        <v>41793</v>
      </c>
      <c r="J2172" s="22" t="n">
        <v>41798</v>
      </c>
      <c r="K2172" s="43" t="n">
        <f aca="false">J2172-I2172</f>
        <v>5</v>
      </c>
      <c r="L2172" s="1" t="n">
        <v>5</v>
      </c>
      <c r="M2172" s="3" t="s">
        <v>48</v>
      </c>
      <c r="N2172" s="3" t="s">
        <v>49</v>
      </c>
      <c r="O2172" s="3" t="s">
        <v>130</v>
      </c>
      <c r="P2172" s="2" t="str">
        <f aca="false">CONCATENATE(N2172," ",O2172)</f>
        <v>Alopecosa aculeata</v>
      </c>
      <c r="Q2172" s="1" t="s">
        <v>30</v>
      </c>
      <c r="R2172" s="1" t="s">
        <v>31</v>
      </c>
      <c r="S2172" s="3" t="n">
        <v>5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f aca="false">SUM(S2172:T2172)</f>
        <v>5</v>
      </c>
      <c r="Z2172" s="3" t="n">
        <f aca="false">SUM(U2172:W2172)</f>
        <v>0</v>
      </c>
      <c r="AA2172" s="3" t="n">
        <f aca="false">SUM(S2172:X2172)</f>
        <v>5</v>
      </c>
      <c r="AB2172" s="11" t="n">
        <f aca="false">(AA2172/(K2172*L2172)*25)*4</f>
        <v>20</v>
      </c>
    </row>
    <row r="2173" customFormat="false" ht="14.25" hidden="false" customHeight="false" outlineLevel="0" collapsed="false">
      <c r="A2173" s="1" t="n">
        <v>2014</v>
      </c>
      <c r="B2173" s="7" t="s">
        <v>322</v>
      </c>
      <c r="C2173" s="7" t="n">
        <v>2</v>
      </c>
      <c r="D2173" s="7" t="s">
        <v>295</v>
      </c>
      <c r="E2173" s="7" t="s">
        <v>295</v>
      </c>
      <c r="F2173" s="3" t="s">
        <v>324</v>
      </c>
      <c r="G2173" s="3" t="n">
        <v>3</v>
      </c>
      <c r="H2173" s="3" t="n">
        <v>11</v>
      </c>
      <c r="I2173" s="22" t="n">
        <v>41793</v>
      </c>
      <c r="J2173" s="22" t="n">
        <v>41798</v>
      </c>
      <c r="K2173" s="43" t="n">
        <f aca="false">J2173-I2173</f>
        <v>5</v>
      </c>
      <c r="L2173" s="1" t="n">
        <v>5</v>
      </c>
      <c r="M2173" s="3" t="s">
        <v>48</v>
      </c>
      <c r="N2173" s="3" t="s">
        <v>49</v>
      </c>
      <c r="O2173" s="3" t="s">
        <v>130</v>
      </c>
      <c r="P2173" s="2" t="str">
        <f aca="false">CONCATENATE(N2173," ",O2173)</f>
        <v>Alopecosa aculeata</v>
      </c>
      <c r="Q2173" s="1" t="s">
        <v>30</v>
      </c>
      <c r="R2173" s="1" t="s">
        <v>35</v>
      </c>
      <c r="S2173" s="3" t="n">
        <v>0</v>
      </c>
      <c r="T2173" s="3" t="n">
        <v>1</v>
      </c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f aca="false">SUM(S2173:T2173)</f>
        <v>1</v>
      </c>
      <c r="Z2173" s="3" t="n">
        <f aca="false">SUM(U2173:W2173)</f>
        <v>0</v>
      </c>
      <c r="AA2173" s="3" t="n">
        <f aca="false">SUM(S2173:X2173)</f>
        <v>1</v>
      </c>
      <c r="AB2173" s="11" t="n">
        <f aca="false">(AA2173/(K2173*L2173)*25)*4</f>
        <v>4</v>
      </c>
    </row>
    <row r="2174" customFormat="false" ht="14.25" hidden="false" customHeight="false" outlineLevel="0" collapsed="false">
      <c r="A2174" s="1" t="n">
        <v>2014</v>
      </c>
      <c r="B2174" s="7" t="s">
        <v>322</v>
      </c>
      <c r="C2174" s="7" t="n">
        <v>2</v>
      </c>
      <c r="D2174" s="7" t="s">
        <v>295</v>
      </c>
      <c r="E2174" s="7" t="s">
        <v>295</v>
      </c>
      <c r="F2174" s="3" t="s">
        <v>324</v>
      </c>
      <c r="G2174" s="3" t="n">
        <v>3</v>
      </c>
      <c r="H2174" s="3" t="n">
        <v>11</v>
      </c>
      <c r="I2174" s="22" t="n">
        <v>41793</v>
      </c>
      <c r="J2174" s="22" t="n">
        <v>41798</v>
      </c>
      <c r="K2174" s="43" t="n">
        <f aca="false">J2174-I2174</f>
        <v>5</v>
      </c>
      <c r="L2174" s="1" t="n">
        <v>5</v>
      </c>
      <c r="M2174" s="3" t="s">
        <v>48</v>
      </c>
      <c r="N2174" s="3" t="s">
        <v>67</v>
      </c>
      <c r="O2174" s="3" t="s">
        <v>127</v>
      </c>
      <c r="P2174" s="2" t="str">
        <f aca="false">CONCATENATE(N2174," ",O2174)</f>
        <v>Pardosa lugubris</v>
      </c>
      <c r="Q2174" s="1" t="s">
        <v>30</v>
      </c>
      <c r="R2174" s="1" t="s">
        <v>31</v>
      </c>
      <c r="S2174" s="3" t="n">
        <v>1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f aca="false">SUM(S2174:T2174)</f>
        <v>1</v>
      </c>
      <c r="Z2174" s="3" t="n">
        <f aca="false">SUM(U2174:W2174)</f>
        <v>0</v>
      </c>
      <c r="AA2174" s="3" t="n">
        <f aca="false">SUM(S2174:X2174)</f>
        <v>1</v>
      </c>
      <c r="AB2174" s="11" t="n">
        <f aca="false">(AA2174/(K2174*L2174)*25)*4</f>
        <v>4</v>
      </c>
    </row>
    <row r="2175" customFormat="false" ht="14.25" hidden="false" customHeight="false" outlineLevel="0" collapsed="false">
      <c r="A2175" s="1" t="n">
        <v>2014</v>
      </c>
      <c r="B2175" s="7" t="s">
        <v>322</v>
      </c>
      <c r="C2175" s="7" t="n">
        <v>2</v>
      </c>
      <c r="D2175" s="7" t="s">
        <v>295</v>
      </c>
      <c r="E2175" s="7" t="s">
        <v>295</v>
      </c>
      <c r="F2175" s="3" t="s">
        <v>324</v>
      </c>
      <c r="G2175" s="3" t="n">
        <v>3</v>
      </c>
      <c r="H2175" s="3" t="n">
        <v>11</v>
      </c>
      <c r="I2175" s="22" t="n">
        <v>41793</v>
      </c>
      <c r="J2175" s="22" t="n">
        <v>41798</v>
      </c>
      <c r="K2175" s="43" t="n">
        <f aca="false">J2175-I2175</f>
        <v>5</v>
      </c>
      <c r="L2175" s="1" t="n">
        <v>5</v>
      </c>
      <c r="M2175" s="3" t="s">
        <v>48</v>
      </c>
      <c r="N2175" s="3" t="s">
        <v>67</v>
      </c>
      <c r="O2175" s="3" t="s">
        <v>127</v>
      </c>
      <c r="P2175" s="2" t="str">
        <f aca="false">CONCATENATE(N2175," ",O2175)</f>
        <v>Pardosa lugubris</v>
      </c>
      <c r="Q2175" s="1" t="s">
        <v>30</v>
      </c>
      <c r="R2175" s="1" t="s">
        <v>35</v>
      </c>
      <c r="S2175" s="3" t="n">
        <v>0</v>
      </c>
      <c r="T2175" s="3" t="n">
        <v>1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f aca="false">SUM(S2175:T2175)</f>
        <v>1</v>
      </c>
      <c r="Z2175" s="3" t="n">
        <f aca="false">SUM(U2175:W2175)</f>
        <v>0</v>
      </c>
      <c r="AA2175" s="3" t="n">
        <f aca="false">SUM(S2175:X2175)</f>
        <v>1</v>
      </c>
      <c r="AB2175" s="11" t="n">
        <f aca="false">(AA2175/(K2175*L2175)*25)*4</f>
        <v>4</v>
      </c>
    </row>
    <row r="2176" customFormat="false" ht="14.25" hidden="false" customHeight="false" outlineLevel="0" collapsed="false">
      <c r="A2176" s="1" t="n">
        <v>2014</v>
      </c>
      <c r="B2176" s="7" t="s">
        <v>322</v>
      </c>
      <c r="C2176" s="7" t="n">
        <v>2</v>
      </c>
      <c r="D2176" s="7" t="s">
        <v>295</v>
      </c>
      <c r="E2176" s="7" t="s">
        <v>295</v>
      </c>
      <c r="F2176" s="3" t="s">
        <v>324</v>
      </c>
      <c r="G2176" s="3" t="n">
        <v>3</v>
      </c>
      <c r="H2176" s="3" t="n">
        <v>11</v>
      </c>
      <c r="I2176" s="22" t="n">
        <v>41793</v>
      </c>
      <c r="J2176" s="22" t="n">
        <v>41798</v>
      </c>
      <c r="K2176" s="43" t="n">
        <f aca="false">J2176-I2176</f>
        <v>5</v>
      </c>
      <c r="L2176" s="1" t="n">
        <v>5</v>
      </c>
      <c r="M2176" s="3" t="s">
        <v>135</v>
      </c>
      <c r="N2176" s="3" t="s">
        <v>136</v>
      </c>
      <c r="O2176" s="3" t="s">
        <v>137</v>
      </c>
      <c r="P2176" s="2" t="str">
        <f aca="false">CONCATENATE(N2176," ",O2176)</f>
        <v>Thanatus sabulosus</v>
      </c>
      <c r="Q2176" s="1" t="s">
        <v>30</v>
      </c>
      <c r="R2176" s="1" t="s">
        <v>31</v>
      </c>
      <c r="S2176" s="3" t="n">
        <v>1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f aca="false">SUM(S2176:T2176)</f>
        <v>1</v>
      </c>
      <c r="Z2176" s="3" t="n">
        <f aca="false">SUM(U2176:W2176)</f>
        <v>0</v>
      </c>
      <c r="AA2176" s="3" t="n">
        <f aca="false">SUM(S2176:X2176)</f>
        <v>1</v>
      </c>
      <c r="AB2176" s="11" t="n">
        <f aca="false">(AA2176/(K2176*L2176)*25)*4</f>
        <v>4</v>
      </c>
    </row>
    <row r="2177" customFormat="false" ht="14.25" hidden="false" customHeight="false" outlineLevel="0" collapsed="false">
      <c r="A2177" s="1" t="n">
        <v>2014</v>
      </c>
      <c r="B2177" s="7" t="s">
        <v>322</v>
      </c>
      <c r="C2177" s="7" t="n">
        <v>2</v>
      </c>
      <c r="D2177" s="7" t="s">
        <v>295</v>
      </c>
      <c r="E2177" s="7" t="s">
        <v>295</v>
      </c>
      <c r="F2177" s="3" t="s">
        <v>324</v>
      </c>
      <c r="G2177" s="3" t="n">
        <v>3</v>
      </c>
      <c r="H2177" s="3" t="n">
        <v>11</v>
      </c>
      <c r="I2177" s="22" t="n">
        <v>41793</v>
      </c>
      <c r="J2177" s="22" t="n">
        <v>41798</v>
      </c>
      <c r="K2177" s="43" t="n">
        <f aca="false">J2177-I2177</f>
        <v>5</v>
      </c>
      <c r="L2177" s="1" t="n">
        <v>5</v>
      </c>
      <c r="M2177" s="3" t="s">
        <v>72</v>
      </c>
      <c r="N2177" s="3" t="s">
        <v>86</v>
      </c>
      <c r="O2177" s="3" t="s">
        <v>87</v>
      </c>
      <c r="P2177" s="2" t="str">
        <f aca="false">CONCATENATE(N2177," ",O2177)</f>
        <v>Haplodrassus soerenseni</v>
      </c>
      <c r="Q2177" s="1" t="s">
        <v>30</v>
      </c>
      <c r="R2177" s="1" t="s">
        <v>35</v>
      </c>
      <c r="S2177" s="3" t="n">
        <v>0</v>
      </c>
      <c r="T2177" s="3" t="n">
        <v>1</v>
      </c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f aca="false">SUM(S2177:T2177)</f>
        <v>1</v>
      </c>
      <c r="Z2177" s="3" t="n">
        <f aca="false">SUM(U2177:W2177)</f>
        <v>0</v>
      </c>
      <c r="AA2177" s="3" t="n">
        <f aca="false">SUM(S2177:X2177)</f>
        <v>1</v>
      </c>
      <c r="AB2177" s="11" t="n">
        <f aca="false">(AA2177/(K2177*L2177)*25)*4</f>
        <v>4</v>
      </c>
    </row>
    <row r="2178" customFormat="false" ht="14.25" hidden="false" customHeight="false" outlineLevel="0" collapsed="false">
      <c r="A2178" s="1" t="n">
        <v>2014</v>
      </c>
      <c r="B2178" s="7" t="s">
        <v>322</v>
      </c>
      <c r="C2178" s="7" t="n">
        <v>2</v>
      </c>
      <c r="D2178" s="7" t="s">
        <v>295</v>
      </c>
      <c r="E2178" s="7" t="s">
        <v>295</v>
      </c>
      <c r="F2178" s="3" t="s">
        <v>324</v>
      </c>
      <c r="G2178" s="3" t="n">
        <v>3</v>
      </c>
      <c r="H2178" s="3" t="n">
        <v>11</v>
      </c>
      <c r="I2178" s="22" t="n">
        <v>41793</v>
      </c>
      <c r="J2178" s="22" t="n">
        <v>41798</v>
      </c>
      <c r="K2178" s="43" t="n">
        <f aca="false">J2178-I2178</f>
        <v>5</v>
      </c>
      <c r="L2178" s="1" t="n">
        <v>5</v>
      </c>
      <c r="M2178" s="3" t="s">
        <v>36</v>
      </c>
      <c r="N2178" s="3" t="s">
        <v>37</v>
      </c>
      <c r="O2178" s="3" t="s">
        <v>75</v>
      </c>
      <c r="P2178" s="2" t="str">
        <f aca="false">CONCATENATE(N2178," ",O2178)</f>
        <v>Ozyptila praticola</v>
      </c>
      <c r="Q2178" s="1" t="s">
        <v>30</v>
      </c>
      <c r="R2178" s="1" t="s">
        <v>35</v>
      </c>
      <c r="S2178" s="3" t="n">
        <v>0</v>
      </c>
      <c r="T2178" s="3" t="n">
        <v>1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f aca="false">SUM(S2178:T2178)</f>
        <v>1</v>
      </c>
      <c r="Z2178" s="3" t="n">
        <f aca="false">SUM(U2178:W2178)</f>
        <v>0</v>
      </c>
      <c r="AA2178" s="3" t="n">
        <f aca="false">SUM(S2178:X2178)</f>
        <v>1</v>
      </c>
      <c r="AB2178" s="11" t="n">
        <f aca="false">(AA2178/(K2178*L2178)*25)*4</f>
        <v>4</v>
      </c>
    </row>
    <row r="2179" customFormat="false" ht="14.25" hidden="false" customHeight="false" outlineLevel="0" collapsed="false">
      <c r="A2179" s="1" t="n">
        <v>2014</v>
      </c>
      <c r="B2179" s="7" t="s">
        <v>322</v>
      </c>
      <c r="C2179" s="7" t="n">
        <v>2</v>
      </c>
      <c r="D2179" s="7" t="s">
        <v>295</v>
      </c>
      <c r="E2179" s="7" t="s">
        <v>295</v>
      </c>
      <c r="F2179" s="3" t="s">
        <v>324</v>
      </c>
      <c r="G2179" s="3" t="n">
        <v>3</v>
      </c>
      <c r="H2179" s="3" t="n">
        <v>11</v>
      </c>
      <c r="I2179" s="22" t="n">
        <v>41793</v>
      </c>
      <c r="J2179" s="22" t="n">
        <v>41798</v>
      </c>
      <c r="K2179" s="43" t="n">
        <f aca="false">J2179-I2179</f>
        <v>5</v>
      </c>
      <c r="L2179" s="1" t="n">
        <v>5</v>
      </c>
      <c r="M2179" s="3" t="s">
        <v>32</v>
      </c>
      <c r="N2179" s="3" t="s">
        <v>93</v>
      </c>
      <c r="O2179" s="3" t="s">
        <v>94</v>
      </c>
      <c r="P2179" s="2" t="str">
        <f aca="false">CONCATENATE(N2179," ",O2179)</f>
        <v>Anguliphantes angulipalpis</v>
      </c>
      <c r="Q2179" s="1" t="s">
        <v>30</v>
      </c>
      <c r="R2179" s="1" t="s">
        <v>35</v>
      </c>
      <c r="S2179" s="3" t="n">
        <v>0</v>
      </c>
      <c r="T2179" s="3" t="n">
        <v>1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f aca="false">SUM(S2179:T2179)</f>
        <v>1</v>
      </c>
      <c r="Z2179" s="3" t="n">
        <f aca="false">SUM(U2179:W2179)</f>
        <v>0</v>
      </c>
      <c r="AA2179" s="3" t="n">
        <f aca="false">SUM(S2179:X2179)</f>
        <v>1</v>
      </c>
      <c r="AB2179" s="11" t="n">
        <f aca="false">(AA2179/(K2179*L2179)*25)*4</f>
        <v>4</v>
      </c>
    </row>
    <row r="2180" customFormat="false" ht="14.25" hidden="false" customHeight="false" outlineLevel="0" collapsed="false">
      <c r="A2180" s="1" t="n">
        <v>2014</v>
      </c>
      <c r="B2180" s="7" t="s">
        <v>322</v>
      </c>
      <c r="C2180" s="7" t="n">
        <v>2</v>
      </c>
      <c r="D2180" s="7" t="s">
        <v>295</v>
      </c>
      <c r="E2180" s="7" t="s">
        <v>295</v>
      </c>
      <c r="F2180" s="3" t="s">
        <v>324</v>
      </c>
      <c r="G2180" s="3" t="n">
        <v>2</v>
      </c>
      <c r="H2180" s="3" t="n">
        <v>6</v>
      </c>
      <c r="I2180" s="22" t="n">
        <v>41793</v>
      </c>
      <c r="J2180" s="22" t="n">
        <v>41798</v>
      </c>
      <c r="K2180" s="43" t="n">
        <f aca="false">J2180-I2180</f>
        <v>5</v>
      </c>
      <c r="L2180" s="1" t="n">
        <v>5</v>
      </c>
      <c r="M2180" s="3" t="s">
        <v>48</v>
      </c>
      <c r="N2180" s="3" t="s">
        <v>122</v>
      </c>
      <c r="O2180" s="3" t="s">
        <v>123</v>
      </c>
      <c r="P2180" s="2" t="str">
        <f aca="false">CONCATENATE(N2180," ",O2180)</f>
        <v>Xerolycosa nemoralis</v>
      </c>
      <c r="Q2180" s="1" t="s">
        <v>30</v>
      </c>
      <c r="R2180" s="1" t="s">
        <v>31</v>
      </c>
      <c r="S2180" s="3" t="n">
        <v>10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f aca="false">SUM(S2180:T2180)</f>
        <v>10</v>
      </c>
      <c r="Z2180" s="3" t="n">
        <f aca="false">SUM(U2180:W2180)</f>
        <v>0</v>
      </c>
      <c r="AA2180" s="3" t="n">
        <f aca="false">SUM(S2180:X2180)</f>
        <v>10</v>
      </c>
      <c r="AB2180" s="11" t="n">
        <f aca="false">(AA2180/(K2180*L2180)*25)*4</f>
        <v>40</v>
      </c>
    </row>
    <row r="2181" customFormat="false" ht="14.25" hidden="false" customHeight="false" outlineLevel="0" collapsed="false">
      <c r="A2181" s="1" t="n">
        <v>2014</v>
      </c>
      <c r="B2181" s="7" t="s">
        <v>322</v>
      </c>
      <c r="C2181" s="7" t="n">
        <v>2</v>
      </c>
      <c r="D2181" s="7" t="s">
        <v>295</v>
      </c>
      <c r="E2181" s="7" t="s">
        <v>295</v>
      </c>
      <c r="F2181" s="3" t="s">
        <v>324</v>
      </c>
      <c r="G2181" s="3" t="n">
        <v>2</v>
      </c>
      <c r="H2181" s="3" t="n">
        <v>6</v>
      </c>
      <c r="I2181" s="22" t="n">
        <v>41793</v>
      </c>
      <c r="J2181" s="22" t="n">
        <v>41798</v>
      </c>
      <c r="K2181" s="43" t="n">
        <f aca="false">J2181-I2181</f>
        <v>5</v>
      </c>
      <c r="L2181" s="1" t="n">
        <v>5</v>
      </c>
      <c r="M2181" s="3" t="s">
        <v>48</v>
      </c>
      <c r="N2181" s="3" t="s">
        <v>122</v>
      </c>
      <c r="O2181" s="3" t="s">
        <v>123</v>
      </c>
      <c r="P2181" s="2" t="str">
        <f aca="false">CONCATENATE(N2181," ",O2181)</f>
        <v>Xerolycosa nemoralis</v>
      </c>
      <c r="Q2181" s="1" t="s">
        <v>30</v>
      </c>
      <c r="R2181" s="1" t="s">
        <v>35</v>
      </c>
      <c r="S2181" s="3" t="n">
        <v>0</v>
      </c>
      <c r="T2181" s="3" t="n">
        <v>3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f aca="false">SUM(S2181:T2181)</f>
        <v>3</v>
      </c>
      <c r="Z2181" s="3" t="n">
        <f aca="false">SUM(U2181:W2181)</f>
        <v>0</v>
      </c>
      <c r="AA2181" s="3" t="n">
        <f aca="false">SUM(S2181:X2181)</f>
        <v>3</v>
      </c>
      <c r="AB2181" s="11" t="n">
        <f aca="false">(AA2181/(K2181*L2181)*25)*4</f>
        <v>12</v>
      </c>
    </row>
    <row r="2182" customFormat="false" ht="14.25" hidden="false" customHeight="false" outlineLevel="0" collapsed="false">
      <c r="A2182" s="1" t="n">
        <v>2014</v>
      </c>
      <c r="B2182" s="7" t="s">
        <v>322</v>
      </c>
      <c r="C2182" s="7" t="n">
        <v>2</v>
      </c>
      <c r="D2182" s="7" t="s">
        <v>295</v>
      </c>
      <c r="E2182" s="7" t="s">
        <v>295</v>
      </c>
      <c r="F2182" s="3" t="s">
        <v>324</v>
      </c>
      <c r="G2182" s="3" t="n">
        <v>2</v>
      </c>
      <c r="H2182" s="3" t="n">
        <v>6</v>
      </c>
      <c r="I2182" s="22" t="n">
        <v>41793</v>
      </c>
      <c r="J2182" s="22" t="n">
        <v>41798</v>
      </c>
      <c r="K2182" s="43" t="n">
        <f aca="false">J2182-I2182</f>
        <v>5</v>
      </c>
      <c r="L2182" s="1" t="n">
        <v>5</v>
      </c>
      <c r="M2182" s="3" t="s">
        <v>48</v>
      </c>
      <c r="N2182" s="3" t="s">
        <v>49</v>
      </c>
      <c r="O2182" s="3" t="s">
        <v>130</v>
      </c>
      <c r="P2182" s="2" t="str">
        <f aca="false">CONCATENATE(N2182," ",O2182)</f>
        <v>Alopecosa aculeata</v>
      </c>
      <c r="Q2182" s="1" t="s">
        <v>30</v>
      </c>
      <c r="R2182" s="1" t="s">
        <v>31</v>
      </c>
      <c r="S2182" s="3" t="n">
        <v>4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f aca="false">SUM(S2182:T2182)</f>
        <v>4</v>
      </c>
      <c r="Z2182" s="3" t="n">
        <f aca="false">SUM(U2182:W2182)</f>
        <v>0</v>
      </c>
      <c r="AA2182" s="3" t="n">
        <f aca="false">SUM(S2182:X2182)</f>
        <v>4</v>
      </c>
      <c r="AB2182" s="11" t="n">
        <f aca="false">(AA2182/(K2182*L2182)*25)*4</f>
        <v>16</v>
      </c>
    </row>
    <row r="2183" customFormat="false" ht="14.25" hidden="false" customHeight="false" outlineLevel="0" collapsed="false">
      <c r="A2183" s="1" t="n">
        <v>2014</v>
      </c>
      <c r="B2183" s="7" t="s">
        <v>322</v>
      </c>
      <c r="C2183" s="7" t="n">
        <v>2</v>
      </c>
      <c r="D2183" s="7" t="s">
        <v>295</v>
      </c>
      <c r="E2183" s="7" t="s">
        <v>295</v>
      </c>
      <c r="F2183" s="3" t="s">
        <v>324</v>
      </c>
      <c r="G2183" s="3" t="n">
        <v>2</v>
      </c>
      <c r="H2183" s="3" t="n">
        <v>6</v>
      </c>
      <c r="I2183" s="22" t="n">
        <v>41793</v>
      </c>
      <c r="J2183" s="22" t="n">
        <v>41798</v>
      </c>
      <c r="K2183" s="43" t="n">
        <f aca="false">J2183-I2183</f>
        <v>5</v>
      </c>
      <c r="L2183" s="1" t="n">
        <v>5</v>
      </c>
      <c r="M2183" s="3" t="s">
        <v>48</v>
      </c>
      <c r="N2183" s="3" t="s">
        <v>67</v>
      </c>
      <c r="O2183" s="3" t="s">
        <v>127</v>
      </c>
      <c r="P2183" s="2" t="str">
        <f aca="false">CONCATENATE(N2183," ",O2183)</f>
        <v>Pardosa lugubris</v>
      </c>
      <c r="Q2183" s="1" t="s">
        <v>30</v>
      </c>
      <c r="R2183" s="1" t="s">
        <v>35</v>
      </c>
      <c r="S2183" s="3" t="n">
        <v>0</v>
      </c>
      <c r="T2183" s="3" t="n">
        <v>1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f aca="false">SUM(S2183:T2183)</f>
        <v>1</v>
      </c>
      <c r="Z2183" s="3" t="n">
        <f aca="false">SUM(U2183:W2183)</f>
        <v>0</v>
      </c>
      <c r="AA2183" s="3" t="n">
        <f aca="false">SUM(S2183:X2183)</f>
        <v>1</v>
      </c>
      <c r="AB2183" s="11" t="n">
        <f aca="false">(AA2183/(K2183*L2183)*25)*4</f>
        <v>4</v>
      </c>
    </row>
    <row r="2184" customFormat="false" ht="14.25" hidden="false" customHeight="false" outlineLevel="0" collapsed="false">
      <c r="A2184" s="1" t="n">
        <v>2014</v>
      </c>
      <c r="B2184" s="7" t="s">
        <v>322</v>
      </c>
      <c r="C2184" s="7" t="n">
        <v>2</v>
      </c>
      <c r="D2184" s="7" t="s">
        <v>295</v>
      </c>
      <c r="E2184" s="7" t="s">
        <v>295</v>
      </c>
      <c r="F2184" s="3" t="s">
        <v>324</v>
      </c>
      <c r="G2184" s="3" t="n">
        <v>2</v>
      </c>
      <c r="H2184" s="3" t="n">
        <v>6</v>
      </c>
      <c r="I2184" s="22" t="n">
        <v>41793</v>
      </c>
      <c r="J2184" s="22" t="n">
        <v>41798</v>
      </c>
      <c r="K2184" s="43" t="n">
        <f aca="false">J2184-I2184</f>
        <v>5</v>
      </c>
      <c r="L2184" s="1" t="n">
        <v>5</v>
      </c>
      <c r="M2184" s="3" t="s">
        <v>72</v>
      </c>
      <c r="N2184" s="3" t="s">
        <v>242</v>
      </c>
      <c r="O2184" s="3" t="s">
        <v>254</v>
      </c>
      <c r="P2184" s="2" t="str">
        <f aca="false">CONCATENATE(N2184," ",O2184)</f>
        <v>Drassyllus praeficus</v>
      </c>
      <c r="Q2184" s="1" t="s">
        <v>30</v>
      </c>
      <c r="R2184" s="1" t="s">
        <v>35</v>
      </c>
      <c r="S2184" s="3" t="n">
        <v>0</v>
      </c>
      <c r="T2184" s="3" t="n">
        <v>1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f aca="false">SUM(S2184:T2184)</f>
        <v>1</v>
      </c>
      <c r="Z2184" s="3" t="n">
        <f aca="false">SUM(U2184:W2184)</f>
        <v>0</v>
      </c>
      <c r="AA2184" s="3" t="n">
        <f aca="false">SUM(S2184:X2184)</f>
        <v>1</v>
      </c>
      <c r="AB2184" s="11" t="n">
        <f aca="false">(AA2184/(K2184*L2184)*25)*4</f>
        <v>4</v>
      </c>
    </row>
    <row r="2185" customFormat="false" ht="14.25" hidden="false" customHeight="false" outlineLevel="0" collapsed="false">
      <c r="A2185" s="1" t="n">
        <v>2014</v>
      </c>
      <c r="B2185" s="7" t="s">
        <v>322</v>
      </c>
      <c r="C2185" s="7" t="n">
        <v>2</v>
      </c>
      <c r="D2185" s="7" t="s">
        <v>295</v>
      </c>
      <c r="E2185" s="7" t="s">
        <v>295</v>
      </c>
      <c r="F2185" s="3" t="s">
        <v>324</v>
      </c>
      <c r="G2185" s="3" t="n">
        <v>3</v>
      </c>
      <c r="H2185" s="3" t="n">
        <v>13</v>
      </c>
      <c r="I2185" s="22" t="n">
        <v>41793</v>
      </c>
      <c r="J2185" s="22" t="n">
        <v>41798</v>
      </c>
      <c r="K2185" s="43" t="n">
        <f aca="false">J2185-I2185</f>
        <v>5</v>
      </c>
      <c r="L2185" s="1" t="n">
        <v>5</v>
      </c>
      <c r="M2185" s="3" t="s">
        <v>48</v>
      </c>
      <c r="N2185" s="3" t="s">
        <v>67</v>
      </c>
      <c r="O2185" s="3" t="s">
        <v>127</v>
      </c>
      <c r="P2185" s="2" t="str">
        <f aca="false">CONCATENATE(N2185," ",O2185)</f>
        <v>Pardosa lugubris</v>
      </c>
      <c r="Q2185" s="1" t="s">
        <v>30</v>
      </c>
      <c r="R2185" s="1" t="s">
        <v>31</v>
      </c>
      <c r="S2185" s="3" t="n">
        <v>2</v>
      </c>
      <c r="T2185" s="3" t="n">
        <v>0</v>
      </c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f aca="false">SUM(S2185:T2185)</f>
        <v>2</v>
      </c>
      <c r="Z2185" s="3" t="n">
        <f aca="false">SUM(U2185:W2185)</f>
        <v>0</v>
      </c>
      <c r="AA2185" s="3" t="n">
        <f aca="false">SUM(S2185:X2185)</f>
        <v>2</v>
      </c>
      <c r="AB2185" s="11" t="n">
        <f aca="false">(AA2185/(K2185*L2185)*25)*4</f>
        <v>8</v>
      </c>
    </row>
    <row r="2186" customFormat="false" ht="14.25" hidden="false" customHeight="false" outlineLevel="0" collapsed="false">
      <c r="A2186" s="1" t="n">
        <v>2014</v>
      </c>
      <c r="B2186" s="7" t="s">
        <v>322</v>
      </c>
      <c r="C2186" s="7" t="n">
        <v>2</v>
      </c>
      <c r="D2186" s="7" t="s">
        <v>295</v>
      </c>
      <c r="E2186" s="7" t="s">
        <v>295</v>
      </c>
      <c r="F2186" s="3" t="s">
        <v>324</v>
      </c>
      <c r="G2186" s="3" t="n">
        <v>3</v>
      </c>
      <c r="H2186" s="3" t="n">
        <v>13</v>
      </c>
      <c r="I2186" s="22" t="n">
        <v>41793</v>
      </c>
      <c r="J2186" s="22" t="n">
        <v>41798</v>
      </c>
      <c r="K2186" s="43" t="n">
        <f aca="false">J2186-I2186</f>
        <v>5</v>
      </c>
      <c r="L2186" s="1" t="n">
        <v>5</v>
      </c>
      <c r="M2186" s="3" t="s">
        <v>48</v>
      </c>
      <c r="N2186" s="3" t="s">
        <v>122</v>
      </c>
      <c r="O2186" s="3" t="s">
        <v>123</v>
      </c>
      <c r="P2186" s="2" t="str">
        <f aca="false">CONCATENATE(N2186," ",O2186)</f>
        <v>Xerolycosa nemoralis</v>
      </c>
      <c r="Q2186" s="1" t="s">
        <v>30</v>
      </c>
      <c r="R2186" s="1" t="s">
        <v>31</v>
      </c>
      <c r="S2186" s="3" t="n">
        <v>3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f aca="false">SUM(S2186:T2186)</f>
        <v>3</v>
      </c>
      <c r="Z2186" s="3" t="n">
        <f aca="false">SUM(U2186:W2186)</f>
        <v>0</v>
      </c>
      <c r="AA2186" s="3" t="n">
        <f aca="false">SUM(S2186:X2186)</f>
        <v>3</v>
      </c>
      <c r="AB2186" s="11" t="n">
        <f aca="false">(AA2186/(K2186*L2186)*25)*4</f>
        <v>12</v>
      </c>
    </row>
    <row r="2187" customFormat="false" ht="14.25" hidden="false" customHeight="false" outlineLevel="0" collapsed="false">
      <c r="A2187" s="1" t="n">
        <v>2014</v>
      </c>
      <c r="B2187" s="7" t="s">
        <v>322</v>
      </c>
      <c r="C2187" s="7" t="n">
        <v>2</v>
      </c>
      <c r="D2187" s="7" t="s">
        <v>295</v>
      </c>
      <c r="E2187" s="7" t="s">
        <v>295</v>
      </c>
      <c r="F2187" s="3" t="s">
        <v>324</v>
      </c>
      <c r="G2187" s="3" t="n">
        <v>3</v>
      </c>
      <c r="H2187" s="3" t="n">
        <v>13</v>
      </c>
      <c r="I2187" s="22" t="n">
        <v>41793</v>
      </c>
      <c r="J2187" s="22" t="n">
        <v>41798</v>
      </c>
      <c r="K2187" s="43" t="n">
        <f aca="false">J2187-I2187</f>
        <v>5</v>
      </c>
      <c r="L2187" s="1" t="n">
        <v>5</v>
      </c>
      <c r="M2187" s="3" t="s">
        <v>48</v>
      </c>
      <c r="N2187" s="3" t="s">
        <v>49</v>
      </c>
      <c r="O2187" s="3" t="s">
        <v>130</v>
      </c>
      <c r="P2187" s="2" t="str">
        <f aca="false">CONCATENATE(N2187," ",O2187)</f>
        <v>Alopecosa aculeata</v>
      </c>
      <c r="Q2187" s="1" t="s">
        <v>30</v>
      </c>
      <c r="R2187" s="1" t="s">
        <v>31</v>
      </c>
      <c r="S2187" s="3" t="n">
        <v>3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f aca="false">SUM(S2187:T2187)</f>
        <v>3</v>
      </c>
      <c r="Z2187" s="3" t="n">
        <f aca="false">SUM(U2187:W2187)</f>
        <v>0</v>
      </c>
      <c r="AA2187" s="3" t="n">
        <f aca="false">SUM(S2187:X2187)</f>
        <v>3</v>
      </c>
      <c r="AB2187" s="11" t="n">
        <f aca="false">(AA2187/(K2187*L2187)*25)*4</f>
        <v>12</v>
      </c>
    </row>
    <row r="2188" customFormat="false" ht="14.25" hidden="false" customHeight="false" outlineLevel="0" collapsed="false">
      <c r="A2188" s="1" t="n">
        <v>2014</v>
      </c>
      <c r="B2188" s="7" t="s">
        <v>322</v>
      </c>
      <c r="C2188" s="7" t="n">
        <v>2</v>
      </c>
      <c r="D2188" s="7" t="s">
        <v>295</v>
      </c>
      <c r="E2188" s="7" t="s">
        <v>295</v>
      </c>
      <c r="F2188" s="3" t="s">
        <v>324</v>
      </c>
      <c r="G2188" s="3" t="n">
        <v>3</v>
      </c>
      <c r="H2188" s="3" t="n">
        <v>13</v>
      </c>
      <c r="I2188" s="22" t="n">
        <v>41793</v>
      </c>
      <c r="J2188" s="22" t="n">
        <v>41798</v>
      </c>
      <c r="K2188" s="43" t="n">
        <f aca="false">J2188-I2188</f>
        <v>5</v>
      </c>
      <c r="L2188" s="1" t="n">
        <v>5</v>
      </c>
      <c r="M2188" s="3" t="s">
        <v>48</v>
      </c>
      <c r="N2188" s="3" t="s">
        <v>49</v>
      </c>
      <c r="O2188" s="3" t="s">
        <v>130</v>
      </c>
      <c r="P2188" s="2" t="str">
        <f aca="false">CONCATENATE(N2188," ",O2188)</f>
        <v>Alopecosa aculeata</v>
      </c>
      <c r="Q2188" s="1" t="s">
        <v>30</v>
      </c>
      <c r="R2188" s="1" t="s">
        <v>35</v>
      </c>
      <c r="S2188" s="3" t="n">
        <v>0</v>
      </c>
      <c r="T2188" s="3" t="n">
        <v>2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f aca="false">SUM(S2188:T2188)</f>
        <v>2</v>
      </c>
      <c r="Z2188" s="3" t="n">
        <f aca="false">SUM(U2188:W2188)</f>
        <v>0</v>
      </c>
      <c r="AA2188" s="3" t="n">
        <f aca="false">SUM(S2188:X2188)</f>
        <v>2</v>
      </c>
      <c r="AB2188" s="11" t="n">
        <f aca="false">(AA2188/(K2188*L2188)*25)*4</f>
        <v>8</v>
      </c>
    </row>
    <row r="2189" customFormat="false" ht="14.25" hidden="false" customHeight="false" outlineLevel="0" collapsed="false">
      <c r="A2189" s="1" t="n">
        <v>2014</v>
      </c>
      <c r="B2189" s="7" t="s">
        <v>322</v>
      </c>
      <c r="C2189" s="7" t="n">
        <v>2</v>
      </c>
      <c r="D2189" s="7" t="s">
        <v>295</v>
      </c>
      <c r="E2189" s="7" t="s">
        <v>295</v>
      </c>
      <c r="F2189" s="3" t="s">
        <v>324</v>
      </c>
      <c r="G2189" s="3" t="n">
        <v>3</v>
      </c>
      <c r="H2189" s="3" t="n">
        <v>13</v>
      </c>
      <c r="I2189" s="22" t="n">
        <v>41793</v>
      </c>
      <c r="J2189" s="22" t="n">
        <v>41798</v>
      </c>
      <c r="K2189" s="43" t="n">
        <f aca="false">J2189-I2189</f>
        <v>5</v>
      </c>
      <c r="L2189" s="1" t="n">
        <v>5</v>
      </c>
      <c r="M2189" s="3" t="s">
        <v>48</v>
      </c>
      <c r="N2189" s="3" t="s">
        <v>49</v>
      </c>
      <c r="O2189" s="3" t="s">
        <v>119</v>
      </c>
      <c r="P2189" s="2" t="str">
        <f aca="false">CONCATENATE(N2189," ",O2189)</f>
        <v>Alopecosa sulzeri</v>
      </c>
      <c r="Q2189" s="1" t="s">
        <v>30</v>
      </c>
      <c r="R2189" s="1" t="s">
        <v>31</v>
      </c>
      <c r="S2189" s="3" t="n">
        <v>1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f aca="false">SUM(S2189:T2189)</f>
        <v>1</v>
      </c>
      <c r="Z2189" s="3" t="n">
        <f aca="false">SUM(U2189:W2189)</f>
        <v>0</v>
      </c>
      <c r="AA2189" s="3" t="n">
        <f aca="false">SUM(S2189:X2189)</f>
        <v>1</v>
      </c>
      <c r="AB2189" s="11" t="n">
        <f aca="false">(AA2189/(K2189*L2189)*25)*4</f>
        <v>4</v>
      </c>
    </row>
    <row r="2190" customFormat="false" ht="14.25" hidden="false" customHeight="false" outlineLevel="0" collapsed="false">
      <c r="A2190" s="1" t="n">
        <v>2014</v>
      </c>
      <c r="B2190" s="7" t="s">
        <v>322</v>
      </c>
      <c r="C2190" s="7" t="n">
        <v>2</v>
      </c>
      <c r="D2190" s="7" t="s">
        <v>295</v>
      </c>
      <c r="E2190" s="7" t="s">
        <v>295</v>
      </c>
      <c r="F2190" s="3" t="s">
        <v>324</v>
      </c>
      <c r="G2190" s="3" t="n">
        <v>1</v>
      </c>
      <c r="H2190" s="3" t="n">
        <v>5</v>
      </c>
      <c r="I2190" s="22" t="n">
        <v>41793</v>
      </c>
      <c r="J2190" s="22" t="n">
        <v>41798</v>
      </c>
      <c r="K2190" s="43" t="n">
        <f aca="false">J2190-I2190</f>
        <v>5</v>
      </c>
      <c r="L2190" s="1" t="n">
        <v>5</v>
      </c>
      <c r="M2190" s="3" t="s">
        <v>48</v>
      </c>
      <c r="N2190" s="3" t="s">
        <v>67</v>
      </c>
      <c r="O2190" s="3" t="s">
        <v>127</v>
      </c>
      <c r="P2190" s="2" t="str">
        <f aca="false">CONCATENATE(N2190," ",O2190)</f>
        <v>Pardosa lugubris</v>
      </c>
      <c r="Q2190" s="1" t="s">
        <v>30</v>
      </c>
      <c r="R2190" s="1" t="s">
        <v>31</v>
      </c>
      <c r="S2190" s="3" t="n">
        <v>1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f aca="false">SUM(S2190:T2190)</f>
        <v>1</v>
      </c>
      <c r="Z2190" s="3" t="n">
        <f aca="false">SUM(U2190:W2190)</f>
        <v>0</v>
      </c>
      <c r="AA2190" s="3" t="n">
        <f aca="false">SUM(S2190:X2190)</f>
        <v>1</v>
      </c>
      <c r="AB2190" s="11" t="n">
        <f aca="false">(AA2190/(K2190*L2190)*25)*4</f>
        <v>4</v>
      </c>
    </row>
    <row r="2191" customFormat="false" ht="14.25" hidden="false" customHeight="false" outlineLevel="0" collapsed="false">
      <c r="A2191" s="1" t="n">
        <v>2014</v>
      </c>
      <c r="B2191" s="7" t="s">
        <v>322</v>
      </c>
      <c r="C2191" s="7" t="n">
        <v>2</v>
      </c>
      <c r="D2191" s="7" t="s">
        <v>295</v>
      </c>
      <c r="E2191" s="7" t="s">
        <v>295</v>
      </c>
      <c r="F2191" s="3" t="s">
        <v>324</v>
      </c>
      <c r="G2191" s="3" t="n">
        <v>1</v>
      </c>
      <c r="H2191" s="3" t="n">
        <v>5</v>
      </c>
      <c r="I2191" s="22" t="n">
        <v>41793</v>
      </c>
      <c r="J2191" s="22" t="n">
        <v>41798</v>
      </c>
      <c r="K2191" s="43" t="n">
        <f aca="false">J2191-I2191</f>
        <v>5</v>
      </c>
      <c r="L2191" s="1" t="n">
        <v>5</v>
      </c>
      <c r="M2191" s="3" t="s">
        <v>48</v>
      </c>
      <c r="N2191" s="3" t="s">
        <v>122</v>
      </c>
      <c r="O2191" s="3" t="s">
        <v>123</v>
      </c>
      <c r="P2191" s="2" t="str">
        <f aca="false">CONCATENATE(N2191," ",O2191)</f>
        <v>Xerolycosa nemoralis</v>
      </c>
      <c r="Q2191" s="1" t="s">
        <v>30</v>
      </c>
      <c r="R2191" s="1" t="s">
        <v>31</v>
      </c>
      <c r="S2191" s="3" t="n">
        <v>3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f aca="false">SUM(S2191:T2191)</f>
        <v>3</v>
      </c>
      <c r="Z2191" s="3" t="n">
        <f aca="false">SUM(U2191:W2191)</f>
        <v>0</v>
      </c>
      <c r="AA2191" s="3" t="n">
        <f aca="false">SUM(S2191:X2191)</f>
        <v>3</v>
      </c>
      <c r="AB2191" s="11" t="n">
        <f aca="false">(AA2191/(K2191*L2191)*25)*4</f>
        <v>12</v>
      </c>
    </row>
    <row r="2192" customFormat="false" ht="14.25" hidden="false" customHeight="false" outlineLevel="0" collapsed="false">
      <c r="A2192" s="1" t="n">
        <v>2014</v>
      </c>
      <c r="B2192" s="7" t="s">
        <v>322</v>
      </c>
      <c r="C2192" s="7" t="n">
        <v>2</v>
      </c>
      <c r="D2192" s="7" t="s">
        <v>295</v>
      </c>
      <c r="E2192" s="7" t="s">
        <v>295</v>
      </c>
      <c r="F2192" s="3" t="s">
        <v>324</v>
      </c>
      <c r="G2192" s="3" t="n">
        <v>1</v>
      </c>
      <c r="H2192" s="3" t="n">
        <v>5</v>
      </c>
      <c r="I2192" s="22" t="n">
        <v>41793</v>
      </c>
      <c r="J2192" s="22" t="n">
        <v>41798</v>
      </c>
      <c r="K2192" s="43" t="n">
        <f aca="false">J2192-I2192</f>
        <v>5</v>
      </c>
      <c r="L2192" s="1" t="n">
        <v>5</v>
      </c>
      <c r="M2192" s="3" t="s">
        <v>48</v>
      </c>
      <c r="N2192" s="3" t="s">
        <v>49</v>
      </c>
      <c r="O2192" s="3" t="s">
        <v>119</v>
      </c>
      <c r="P2192" s="2" t="str">
        <f aca="false">CONCATENATE(N2192," ",O2192)</f>
        <v>Alopecosa sulzeri</v>
      </c>
      <c r="Q2192" s="1" t="s">
        <v>30</v>
      </c>
      <c r="R2192" s="1" t="s">
        <v>31</v>
      </c>
      <c r="S2192" s="3" t="n">
        <v>3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f aca="false">SUM(S2192:T2192)</f>
        <v>3</v>
      </c>
      <c r="Z2192" s="3" t="n">
        <f aca="false">SUM(U2192:W2192)</f>
        <v>0</v>
      </c>
      <c r="AA2192" s="3" t="n">
        <f aca="false">SUM(S2192:X2192)</f>
        <v>3</v>
      </c>
      <c r="AB2192" s="11" t="n">
        <f aca="false">(AA2192/(K2192*L2192)*25)*4</f>
        <v>12</v>
      </c>
    </row>
    <row r="2193" customFormat="false" ht="14.25" hidden="false" customHeight="false" outlineLevel="0" collapsed="false">
      <c r="A2193" s="1" t="n">
        <v>2014</v>
      </c>
      <c r="B2193" s="7" t="s">
        <v>322</v>
      </c>
      <c r="C2193" s="7" t="n">
        <v>2</v>
      </c>
      <c r="D2193" s="7" t="s">
        <v>295</v>
      </c>
      <c r="E2193" s="7" t="s">
        <v>295</v>
      </c>
      <c r="F2193" s="3" t="s">
        <v>324</v>
      </c>
      <c r="G2193" s="3" t="n">
        <v>1</v>
      </c>
      <c r="H2193" s="3" t="n">
        <v>5</v>
      </c>
      <c r="I2193" s="22" t="n">
        <v>41793</v>
      </c>
      <c r="J2193" s="22" t="n">
        <v>41798</v>
      </c>
      <c r="K2193" s="43" t="n">
        <f aca="false">J2193-I2193</f>
        <v>5</v>
      </c>
      <c r="L2193" s="1" t="n">
        <v>5</v>
      </c>
      <c r="M2193" s="3" t="s">
        <v>48</v>
      </c>
      <c r="N2193" s="3" t="s">
        <v>49</v>
      </c>
      <c r="O2193" s="3" t="s">
        <v>130</v>
      </c>
      <c r="P2193" s="2" t="str">
        <f aca="false">CONCATENATE(N2193," ",O2193)</f>
        <v>Alopecosa aculeata</v>
      </c>
      <c r="Q2193" s="1" t="s">
        <v>30</v>
      </c>
      <c r="R2193" s="1" t="s">
        <v>31</v>
      </c>
      <c r="S2193" s="3" t="n">
        <v>1</v>
      </c>
      <c r="T2193" s="3" t="n">
        <v>0</v>
      </c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f aca="false">SUM(S2193:T2193)</f>
        <v>1</v>
      </c>
      <c r="Z2193" s="3" t="n">
        <f aca="false">SUM(U2193:W2193)</f>
        <v>0</v>
      </c>
      <c r="AA2193" s="3" t="n">
        <f aca="false">SUM(S2193:X2193)</f>
        <v>1</v>
      </c>
      <c r="AB2193" s="11" t="n">
        <f aca="false">(AA2193/(K2193*L2193)*25)*4</f>
        <v>4</v>
      </c>
    </row>
    <row r="2194" customFormat="false" ht="14.25" hidden="false" customHeight="false" outlineLevel="0" collapsed="false">
      <c r="A2194" s="1" t="n">
        <v>2014</v>
      </c>
      <c r="B2194" s="7" t="s">
        <v>322</v>
      </c>
      <c r="C2194" s="7" t="n">
        <v>2</v>
      </c>
      <c r="D2194" s="7" t="s">
        <v>295</v>
      </c>
      <c r="E2194" s="7" t="s">
        <v>295</v>
      </c>
      <c r="F2194" s="3" t="s">
        <v>324</v>
      </c>
      <c r="G2194" s="3" t="n">
        <v>1</v>
      </c>
      <c r="H2194" s="3" t="n">
        <v>5</v>
      </c>
      <c r="I2194" s="22" t="n">
        <v>41793</v>
      </c>
      <c r="J2194" s="22" t="n">
        <v>41798</v>
      </c>
      <c r="K2194" s="43" t="n">
        <f aca="false">J2194-I2194</f>
        <v>5</v>
      </c>
      <c r="L2194" s="1" t="n">
        <v>5</v>
      </c>
      <c r="M2194" s="3" t="s">
        <v>72</v>
      </c>
      <c r="N2194" s="3" t="s">
        <v>139</v>
      </c>
      <c r="O2194" s="3" t="s">
        <v>140</v>
      </c>
      <c r="P2194" s="2" t="str">
        <f aca="false">CONCATENATE(N2194," ",O2194)</f>
        <v>Gnaphosa muscorum</v>
      </c>
      <c r="Q2194" s="1" t="s">
        <v>30</v>
      </c>
      <c r="R2194" s="1" t="s">
        <v>31</v>
      </c>
      <c r="S2194" s="3" t="n">
        <v>3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f aca="false">SUM(S2194:T2194)</f>
        <v>3</v>
      </c>
      <c r="Z2194" s="3" t="n">
        <f aca="false">SUM(U2194:W2194)</f>
        <v>0</v>
      </c>
      <c r="AA2194" s="3" t="n">
        <f aca="false">SUM(S2194:X2194)</f>
        <v>3</v>
      </c>
      <c r="AB2194" s="11" t="n">
        <f aca="false">(AA2194/(K2194*L2194)*25)*4</f>
        <v>12</v>
      </c>
    </row>
    <row r="2195" customFormat="false" ht="14.25" hidden="false" customHeight="false" outlineLevel="0" collapsed="false">
      <c r="A2195" s="1" t="n">
        <v>2014</v>
      </c>
      <c r="B2195" s="7" t="s">
        <v>322</v>
      </c>
      <c r="C2195" s="7" t="n">
        <v>2</v>
      </c>
      <c r="D2195" s="7" t="s">
        <v>295</v>
      </c>
      <c r="E2195" s="7" t="s">
        <v>295</v>
      </c>
      <c r="F2195" s="3" t="s">
        <v>324</v>
      </c>
      <c r="G2195" s="3" t="n">
        <v>2</v>
      </c>
      <c r="H2195" s="3" t="n">
        <v>8</v>
      </c>
      <c r="I2195" s="22" t="n">
        <v>41793</v>
      </c>
      <c r="J2195" s="22" t="n">
        <v>41798</v>
      </c>
      <c r="K2195" s="43" t="n">
        <f aca="false">J2195-I2195</f>
        <v>5</v>
      </c>
      <c r="L2195" s="1" t="n">
        <v>5</v>
      </c>
      <c r="M2195" s="3" t="s">
        <v>48</v>
      </c>
      <c r="N2195" s="3" t="s">
        <v>122</v>
      </c>
      <c r="O2195" s="3" t="s">
        <v>123</v>
      </c>
      <c r="P2195" s="2" t="str">
        <f aca="false">CONCATENATE(N2195," ",O2195)</f>
        <v>Xerolycosa nemoralis</v>
      </c>
      <c r="Q2195" s="1" t="s">
        <v>30</v>
      </c>
      <c r="R2195" s="1" t="s">
        <v>31</v>
      </c>
      <c r="S2195" s="3" t="n">
        <v>4</v>
      </c>
      <c r="T2195" s="3" t="n">
        <v>0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f aca="false">SUM(S2195:T2195)</f>
        <v>4</v>
      </c>
      <c r="Z2195" s="3" t="n">
        <f aca="false">SUM(U2195:W2195)</f>
        <v>0</v>
      </c>
      <c r="AA2195" s="3" t="n">
        <f aca="false">SUM(S2195:X2195)</f>
        <v>4</v>
      </c>
      <c r="AB2195" s="11" t="n">
        <f aca="false">(AA2195/(K2195*L2195)*25)*4</f>
        <v>16</v>
      </c>
    </row>
    <row r="2196" customFormat="false" ht="14.25" hidden="false" customHeight="false" outlineLevel="0" collapsed="false">
      <c r="A2196" s="1" t="n">
        <v>2014</v>
      </c>
      <c r="B2196" s="7" t="s">
        <v>322</v>
      </c>
      <c r="C2196" s="7" t="n">
        <v>2</v>
      </c>
      <c r="D2196" s="7" t="s">
        <v>295</v>
      </c>
      <c r="E2196" s="7" t="s">
        <v>295</v>
      </c>
      <c r="F2196" s="3" t="s">
        <v>324</v>
      </c>
      <c r="G2196" s="3" t="n">
        <v>2</v>
      </c>
      <c r="H2196" s="3" t="n">
        <v>8</v>
      </c>
      <c r="I2196" s="22" t="n">
        <v>41793</v>
      </c>
      <c r="J2196" s="22" t="n">
        <v>41798</v>
      </c>
      <c r="K2196" s="43" t="n">
        <f aca="false">J2196-I2196</f>
        <v>5</v>
      </c>
      <c r="L2196" s="1" t="n">
        <v>5</v>
      </c>
      <c r="M2196" s="3" t="s">
        <v>48</v>
      </c>
      <c r="N2196" s="3" t="s">
        <v>122</v>
      </c>
      <c r="O2196" s="3" t="s">
        <v>123</v>
      </c>
      <c r="P2196" s="2" t="str">
        <f aca="false">CONCATENATE(N2196," ",O2196)</f>
        <v>Xerolycosa nemoralis</v>
      </c>
      <c r="Q2196" s="1" t="s">
        <v>30</v>
      </c>
      <c r="R2196" s="1" t="s">
        <v>35</v>
      </c>
      <c r="S2196" s="3" t="n">
        <v>0</v>
      </c>
      <c r="T2196" s="3" t="n">
        <v>1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f aca="false">SUM(S2196:T2196)</f>
        <v>1</v>
      </c>
      <c r="Z2196" s="3" t="n">
        <f aca="false">SUM(U2196:W2196)</f>
        <v>0</v>
      </c>
      <c r="AA2196" s="3" t="n">
        <f aca="false">SUM(S2196:X2196)</f>
        <v>1</v>
      </c>
      <c r="AB2196" s="11" t="n">
        <f aca="false">(AA2196/(K2196*L2196)*25)*4</f>
        <v>4</v>
      </c>
    </row>
    <row r="2197" customFormat="false" ht="14.25" hidden="false" customHeight="false" outlineLevel="0" collapsed="false">
      <c r="A2197" s="1" t="n">
        <v>2014</v>
      </c>
      <c r="B2197" s="7" t="s">
        <v>322</v>
      </c>
      <c r="C2197" s="7" t="n">
        <v>2</v>
      </c>
      <c r="D2197" s="7" t="s">
        <v>295</v>
      </c>
      <c r="E2197" s="7" t="s">
        <v>295</v>
      </c>
      <c r="F2197" s="3" t="s">
        <v>324</v>
      </c>
      <c r="G2197" s="3" t="n">
        <v>2</v>
      </c>
      <c r="H2197" s="3" t="n">
        <v>8</v>
      </c>
      <c r="I2197" s="22" t="n">
        <v>41793</v>
      </c>
      <c r="J2197" s="22" t="n">
        <v>41798</v>
      </c>
      <c r="K2197" s="43" t="n">
        <f aca="false">J2197-I2197</f>
        <v>5</v>
      </c>
      <c r="L2197" s="1" t="n">
        <v>5</v>
      </c>
      <c r="M2197" s="3" t="s">
        <v>48</v>
      </c>
      <c r="N2197" s="3" t="s">
        <v>49</v>
      </c>
      <c r="O2197" s="3" t="s">
        <v>130</v>
      </c>
      <c r="P2197" s="2" t="str">
        <f aca="false">CONCATENATE(N2197," ",O2197)</f>
        <v>Alopecosa aculeata</v>
      </c>
      <c r="Q2197" s="1" t="s">
        <v>30</v>
      </c>
      <c r="R2197" s="1" t="s">
        <v>31</v>
      </c>
      <c r="S2197" s="3" t="n">
        <v>1</v>
      </c>
      <c r="T2197" s="3" t="n">
        <v>0</v>
      </c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f aca="false">SUM(S2197:T2197)</f>
        <v>1</v>
      </c>
      <c r="Z2197" s="3" t="n">
        <f aca="false">SUM(U2197:W2197)</f>
        <v>0</v>
      </c>
      <c r="AA2197" s="3" t="n">
        <f aca="false">SUM(S2197:X2197)</f>
        <v>1</v>
      </c>
      <c r="AB2197" s="11" t="n">
        <f aca="false">(AA2197/(K2197*L2197)*25)*4</f>
        <v>4</v>
      </c>
    </row>
    <row r="2198" customFormat="false" ht="14.25" hidden="false" customHeight="false" outlineLevel="0" collapsed="false">
      <c r="A2198" s="1" t="n">
        <v>2014</v>
      </c>
      <c r="B2198" s="7" t="s">
        <v>322</v>
      </c>
      <c r="C2198" s="7" t="n">
        <v>2</v>
      </c>
      <c r="D2198" s="7" t="s">
        <v>295</v>
      </c>
      <c r="E2198" s="7" t="s">
        <v>295</v>
      </c>
      <c r="F2198" s="3" t="s">
        <v>324</v>
      </c>
      <c r="G2198" s="3" t="n">
        <v>2</v>
      </c>
      <c r="H2198" s="3" t="n">
        <v>8</v>
      </c>
      <c r="I2198" s="22" t="n">
        <v>41793</v>
      </c>
      <c r="J2198" s="22" t="n">
        <v>41798</v>
      </c>
      <c r="K2198" s="43" t="n">
        <f aca="false">J2198-I2198</f>
        <v>5</v>
      </c>
      <c r="L2198" s="1" t="n">
        <v>5</v>
      </c>
      <c r="M2198" s="3" t="s">
        <v>36</v>
      </c>
      <c r="N2198" s="3" t="s">
        <v>131</v>
      </c>
      <c r="O2198" s="3" t="s">
        <v>255</v>
      </c>
      <c r="P2198" s="2" t="str">
        <f aca="false">CONCATENATE(N2198," ",O2198)</f>
        <v>Xysticus audax</v>
      </c>
      <c r="Q2198" s="1" t="s">
        <v>30</v>
      </c>
      <c r="R2198" s="1" t="s">
        <v>31</v>
      </c>
      <c r="S2198" s="3" t="n">
        <v>1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f aca="false">SUM(S2198:T2198)</f>
        <v>1</v>
      </c>
      <c r="Z2198" s="3" t="n">
        <f aca="false">SUM(U2198:W2198)</f>
        <v>0</v>
      </c>
      <c r="AA2198" s="3" t="n">
        <f aca="false">SUM(S2198:X2198)</f>
        <v>1</v>
      </c>
      <c r="AB2198" s="11" t="n">
        <f aca="false">(AA2198/(K2198*L2198)*25)*4</f>
        <v>4</v>
      </c>
    </row>
    <row r="2199" customFormat="false" ht="14.25" hidden="false" customHeight="false" outlineLevel="0" collapsed="false">
      <c r="A2199" s="1" t="n">
        <v>2014</v>
      </c>
      <c r="B2199" s="7" t="s">
        <v>322</v>
      </c>
      <c r="C2199" s="7" t="n">
        <v>2</v>
      </c>
      <c r="D2199" s="7" t="s">
        <v>295</v>
      </c>
      <c r="E2199" s="7" t="s">
        <v>295</v>
      </c>
      <c r="F2199" s="3" t="s">
        <v>324</v>
      </c>
      <c r="G2199" s="3" t="n">
        <v>2</v>
      </c>
      <c r="H2199" s="3" t="n">
        <v>8</v>
      </c>
      <c r="I2199" s="22" t="n">
        <v>41793</v>
      </c>
      <c r="J2199" s="22" t="n">
        <v>41798</v>
      </c>
      <c r="K2199" s="43" t="n">
        <f aca="false">J2199-I2199</f>
        <v>5</v>
      </c>
      <c r="L2199" s="1" t="n">
        <v>5</v>
      </c>
      <c r="M2199" s="3" t="s">
        <v>72</v>
      </c>
      <c r="N2199" s="3" t="s">
        <v>139</v>
      </c>
      <c r="O2199" s="3" t="s">
        <v>140</v>
      </c>
      <c r="P2199" s="2" t="str">
        <f aca="false">CONCATENATE(N2199," ",O2199)</f>
        <v>Gnaphosa muscorum</v>
      </c>
      <c r="Q2199" s="1" t="s">
        <v>30</v>
      </c>
      <c r="R2199" s="1" t="s">
        <v>31</v>
      </c>
      <c r="S2199" s="3" t="n">
        <v>1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f aca="false">SUM(S2199:T2199)</f>
        <v>1</v>
      </c>
      <c r="Z2199" s="3" t="n">
        <f aca="false">SUM(U2199:W2199)</f>
        <v>0</v>
      </c>
      <c r="AA2199" s="3" t="n">
        <f aca="false">SUM(S2199:X2199)</f>
        <v>1</v>
      </c>
      <c r="AB2199" s="11" t="n">
        <f aca="false">(AA2199/(K2199*L2199)*25)*4</f>
        <v>4</v>
      </c>
    </row>
    <row r="2200" customFormat="false" ht="14.25" hidden="false" customHeight="false" outlineLevel="0" collapsed="false">
      <c r="A2200" s="1" t="n">
        <v>2014</v>
      </c>
      <c r="B2200" s="7" t="s">
        <v>322</v>
      </c>
      <c r="C2200" s="7" t="n">
        <v>2</v>
      </c>
      <c r="D2200" s="7" t="s">
        <v>295</v>
      </c>
      <c r="E2200" s="7" t="s">
        <v>295</v>
      </c>
      <c r="F2200" s="3" t="s">
        <v>324</v>
      </c>
      <c r="G2200" s="3" t="n">
        <v>2</v>
      </c>
      <c r="H2200" s="3" t="n">
        <v>8</v>
      </c>
      <c r="I2200" s="22" t="n">
        <v>41793</v>
      </c>
      <c r="J2200" s="22" t="n">
        <v>41798</v>
      </c>
      <c r="K2200" s="43" t="n">
        <f aca="false">J2200-I2200</f>
        <v>5</v>
      </c>
      <c r="L2200" s="1" t="n">
        <v>5</v>
      </c>
      <c r="M2200" s="3" t="s">
        <v>72</v>
      </c>
      <c r="N2200" s="3" t="s">
        <v>152</v>
      </c>
      <c r="O2200" s="3" t="s">
        <v>153</v>
      </c>
      <c r="P2200" s="2" t="str">
        <f aca="false">CONCATENATE(N2200," ",O2200)</f>
        <v>Callilepis nocturna</v>
      </c>
      <c r="Q2200" s="1" t="s">
        <v>30</v>
      </c>
      <c r="R2200" s="1" t="s">
        <v>31</v>
      </c>
      <c r="S2200" s="3" t="n">
        <v>1</v>
      </c>
      <c r="T2200" s="3" t="n">
        <v>0</v>
      </c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f aca="false">SUM(S2200:T2200)</f>
        <v>1</v>
      </c>
      <c r="Z2200" s="3" t="n">
        <f aca="false">SUM(U2200:W2200)</f>
        <v>0</v>
      </c>
      <c r="AA2200" s="3" t="n">
        <f aca="false">SUM(S2200:X2200)</f>
        <v>1</v>
      </c>
      <c r="AB2200" s="11" t="n">
        <f aca="false">(AA2200/(K2200*L2200)*25)*4</f>
        <v>4</v>
      </c>
    </row>
    <row r="2201" customFormat="false" ht="14.25" hidden="false" customHeight="false" outlineLevel="0" collapsed="false">
      <c r="A2201" s="1" t="n">
        <v>2014</v>
      </c>
      <c r="B2201" s="7" t="s">
        <v>322</v>
      </c>
      <c r="C2201" s="7" t="n">
        <v>2</v>
      </c>
      <c r="D2201" s="7" t="s">
        <v>295</v>
      </c>
      <c r="E2201" s="7" t="s">
        <v>295</v>
      </c>
      <c r="F2201" s="3" t="s">
        <v>324</v>
      </c>
      <c r="G2201" s="3" t="n">
        <v>1</v>
      </c>
      <c r="H2201" s="3" t="n">
        <v>3</v>
      </c>
      <c r="I2201" s="22" t="n">
        <v>41793</v>
      </c>
      <c r="J2201" s="22" t="n">
        <v>41798</v>
      </c>
      <c r="K2201" s="43" t="n">
        <f aca="false">J2201-I2201</f>
        <v>5</v>
      </c>
      <c r="L2201" s="1" t="n">
        <v>5</v>
      </c>
      <c r="M2201" s="3" t="s">
        <v>48</v>
      </c>
      <c r="N2201" s="3" t="s">
        <v>49</v>
      </c>
      <c r="O2201" s="3" t="s">
        <v>130</v>
      </c>
      <c r="P2201" s="2" t="str">
        <f aca="false">CONCATENATE(N2201," ",O2201)</f>
        <v>Alopecosa aculeata</v>
      </c>
      <c r="Q2201" s="1" t="s">
        <v>30</v>
      </c>
      <c r="R2201" s="1" t="s">
        <v>31</v>
      </c>
      <c r="S2201" s="3" t="n">
        <v>2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f aca="false">SUM(S2201:T2201)</f>
        <v>2</v>
      </c>
      <c r="Z2201" s="3" t="n">
        <f aca="false">SUM(U2201:W2201)</f>
        <v>0</v>
      </c>
      <c r="AA2201" s="3" t="n">
        <f aca="false">SUM(S2201:X2201)</f>
        <v>2</v>
      </c>
      <c r="AB2201" s="11" t="n">
        <f aca="false">(AA2201/(K2201*L2201)*25)*4</f>
        <v>8</v>
      </c>
    </row>
    <row r="2202" customFormat="false" ht="14.25" hidden="false" customHeight="false" outlineLevel="0" collapsed="false">
      <c r="A2202" s="1" t="n">
        <v>2014</v>
      </c>
      <c r="B2202" s="7" t="s">
        <v>322</v>
      </c>
      <c r="C2202" s="7" t="n">
        <v>2</v>
      </c>
      <c r="D2202" s="7" t="s">
        <v>295</v>
      </c>
      <c r="E2202" s="7" t="s">
        <v>295</v>
      </c>
      <c r="F2202" s="3" t="s">
        <v>324</v>
      </c>
      <c r="G2202" s="3" t="n">
        <v>1</v>
      </c>
      <c r="H2202" s="3" t="n">
        <v>3</v>
      </c>
      <c r="I2202" s="22" t="n">
        <v>41793</v>
      </c>
      <c r="J2202" s="22" t="n">
        <v>41798</v>
      </c>
      <c r="K2202" s="43" t="n">
        <f aca="false">J2202-I2202</f>
        <v>5</v>
      </c>
      <c r="L2202" s="1" t="n">
        <v>5</v>
      </c>
      <c r="M2202" s="3" t="s">
        <v>48</v>
      </c>
      <c r="N2202" s="3" t="s">
        <v>49</v>
      </c>
      <c r="O2202" s="3" t="s">
        <v>130</v>
      </c>
      <c r="P2202" s="2" t="str">
        <f aca="false">CONCATENATE(N2202," ",O2202)</f>
        <v>Alopecosa aculeata</v>
      </c>
      <c r="Q2202" s="1" t="s">
        <v>30</v>
      </c>
      <c r="R2202" s="1" t="s">
        <v>35</v>
      </c>
      <c r="S2202" s="3" t="n">
        <v>0</v>
      </c>
      <c r="T2202" s="3" t="n">
        <v>1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f aca="false">SUM(S2202:T2202)</f>
        <v>1</v>
      </c>
      <c r="Z2202" s="3" t="n">
        <f aca="false">SUM(U2202:W2202)</f>
        <v>0</v>
      </c>
      <c r="AA2202" s="3" t="n">
        <f aca="false">SUM(S2202:X2202)</f>
        <v>1</v>
      </c>
      <c r="AB2202" s="11" t="n">
        <f aca="false">(AA2202/(K2202*L2202)*25)*4</f>
        <v>4</v>
      </c>
    </row>
    <row r="2203" customFormat="false" ht="14.25" hidden="false" customHeight="false" outlineLevel="0" collapsed="false">
      <c r="A2203" s="1" t="n">
        <v>2014</v>
      </c>
      <c r="B2203" s="7" t="s">
        <v>322</v>
      </c>
      <c r="C2203" s="7" t="n">
        <v>2</v>
      </c>
      <c r="D2203" s="7" t="s">
        <v>295</v>
      </c>
      <c r="E2203" s="7" t="s">
        <v>295</v>
      </c>
      <c r="F2203" s="3" t="s">
        <v>324</v>
      </c>
      <c r="G2203" s="3" t="n">
        <v>1</v>
      </c>
      <c r="H2203" s="3" t="n">
        <v>3</v>
      </c>
      <c r="I2203" s="22" t="n">
        <v>41793</v>
      </c>
      <c r="J2203" s="22" t="n">
        <v>41798</v>
      </c>
      <c r="K2203" s="43" t="n">
        <f aca="false">J2203-I2203</f>
        <v>5</v>
      </c>
      <c r="L2203" s="1" t="n">
        <v>5</v>
      </c>
      <c r="M2203" s="3" t="s">
        <v>48</v>
      </c>
      <c r="N2203" s="3" t="s">
        <v>49</v>
      </c>
      <c r="O2203" s="3" t="s">
        <v>119</v>
      </c>
      <c r="P2203" s="2" t="str">
        <f aca="false">CONCATENATE(N2203," ",O2203)</f>
        <v>Alopecosa sulzeri</v>
      </c>
      <c r="Q2203" s="1" t="s">
        <v>30</v>
      </c>
      <c r="R2203" s="1" t="s">
        <v>31</v>
      </c>
      <c r="S2203" s="3" t="n">
        <v>3</v>
      </c>
      <c r="T2203" s="3" t="n">
        <v>0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f aca="false">SUM(S2203:T2203)</f>
        <v>3</v>
      </c>
      <c r="Z2203" s="3" t="n">
        <f aca="false">SUM(U2203:W2203)</f>
        <v>0</v>
      </c>
      <c r="AA2203" s="3" t="n">
        <f aca="false">SUM(S2203:X2203)</f>
        <v>3</v>
      </c>
      <c r="AB2203" s="11" t="n">
        <f aca="false">(AA2203/(K2203*L2203)*25)*4</f>
        <v>12</v>
      </c>
    </row>
    <row r="2204" customFormat="false" ht="14.25" hidden="false" customHeight="false" outlineLevel="0" collapsed="false">
      <c r="A2204" s="1" t="n">
        <v>2014</v>
      </c>
      <c r="B2204" s="7" t="s">
        <v>322</v>
      </c>
      <c r="C2204" s="7" t="n">
        <v>2</v>
      </c>
      <c r="D2204" s="7" t="s">
        <v>295</v>
      </c>
      <c r="E2204" s="7" t="s">
        <v>295</v>
      </c>
      <c r="F2204" s="3" t="s">
        <v>324</v>
      </c>
      <c r="G2204" s="3" t="n">
        <v>1</v>
      </c>
      <c r="H2204" s="3" t="n">
        <v>3</v>
      </c>
      <c r="I2204" s="22" t="n">
        <v>41793</v>
      </c>
      <c r="J2204" s="22" t="n">
        <v>41798</v>
      </c>
      <c r="K2204" s="43" t="n">
        <f aca="false">J2204-I2204</f>
        <v>5</v>
      </c>
      <c r="L2204" s="1" t="n">
        <v>5</v>
      </c>
      <c r="M2204" s="3" t="s">
        <v>72</v>
      </c>
      <c r="N2204" s="3" t="s">
        <v>139</v>
      </c>
      <c r="O2204" s="3" t="s">
        <v>140</v>
      </c>
      <c r="P2204" s="2" t="str">
        <f aca="false">CONCATENATE(N2204," ",O2204)</f>
        <v>Gnaphosa muscorum</v>
      </c>
      <c r="Q2204" s="1" t="s">
        <v>30</v>
      </c>
      <c r="R2204" s="1" t="s">
        <v>31</v>
      </c>
      <c r="S2204" s="3" t="n">
        <v>2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f aca="false">SUM(S2204:T2204)</f>
        <v>2</v>
      </c>
      <c r="Z2204" s="3" t="n">
        <f aca="false">SUM(U2204:W2204)</f>
        <v>0</v>
      </c>
      <c r="AA2204" s="3" t="n">
        <f aca="false">SUM(S2204:X2204)</f>
        <v>2</v>
      </c>
      <c r="AB2204" s="11" t="n">
        <f aca="false">(AA2204/(K2204*L2204)*25)*4</f>
        <v>8</v>
      </c>
    </row>
    <row r="2205" customFormat="false" ht="14.25" hidden="false" customHeight="false" outlineLevel="0" collapsed="false">
      <c r="A2205" s="1" t="n">
        <v>2014</v>
      </c>
      <c r="B2205" s="7" t="s">
        <v>322</v>
      </c>
      <c r="C2205" s="7" t="n">
        <v>2</v>
      </c>
      <c r="D2205" s="7" t="s">
        <v>295</v>
      </c>
      <c r="E2205" s="7" t="s">
        <v>295</v>
      </c>
      <c r="F2205" s="3" t="s">
        <v>324</v>
      </c>
      <c r="G2205" s="3" t="n">
        <v>1</v>
      </c>
      <c r="H2205" s="3" t="n">
        <v>4</v>
      </c>
      <c r="I2205" s="22" t="n">
        <v>41793</v>
      </c>
      <c r="J2205" s="22" t="n">
        <v>41798</v>
      </c>
      <c r="K2205" s="43" t="n">
        <f aca="false">J2205-I2205</f>
        <v>5</v>
      </c>
      <c r="L2205" s="1" t="n">
        <v>5</v>
      </c>
      <c r="M2205" s="3" t="s">
        <v>48</v>
      </c>
      <c r="N2205" s="3" t="s">
        <v>49</v>
      </c>
      <c r="O2205" s="3" t="s">
        <v>130</v>
      </c>
      <c r="P2205" s="2" t="str">
        <f aca="false">CONCATENATE(N2205," ",O2205)</f>
        <v>Alopecosa aculeata</v>
      </c>
      <c r="Q2205" s="1" t="s">
        <v>30</v>
      </c>
      <c r="R2205" s="1" t="s">
        <v>31</v>
      </c>
      <c r="S2205" s="3" t="n">
        <v>2</v>
      </c>
      <c r="T2205" s="3" t="n">
        <v>0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f aca="false">SUM(S2205:T2205)</f>
        <v>2</v>
      </c>
      <c r="Z2205" s="3" t="n">
        <f aca="false">SUM(U2205:W2205)</f>
        <v>0</v>
      </c>
      <c r="AA2205" s="3" t="n">
        <f aca="false">SUM(S2205:X2205)</f>
        <v>2</v>
      </c>
      <c r="AB2205" s="11" t="n">
        <f aca="false">(AA2205/(K2205*L2205)*25)*4</f>
        <v>8</v>
      </c>
    </row>
    <row r="2206" customFormat="false" ht="14.25" hidden="false" customHeight="false" outlineLevel="0" collapsed="false">
      <c r="A2206" s="1" t="n">
        <v>2014</v>
      </c>
      <c r="B2206" s="7" t="s">
        <v>322</v>
      </c>
      <c r="C2206" s="7" t="n">
        <v>2</v>
      </c>
      <c r="D2206" s="7" t="s">
        <v>295</v>
      </c>
      <c r="E2206" s="7" t="s">
        <v>295</v>
      </c>
      <c r="F2206" s="3" t="s">
        <v>324</v>
      </c>
      <c r="G2206" s="3" t="n">
        <v>1</v>
      </c>
      <c r="H2206" s="3" t="n">
        <v>4</v>
      </c>
      <c r="I2206" s="22" t="n">
        <v>41793</v>
      </c>
      <c r="J2206" s="22" t="n">
        <v>41798</v>
      </c>
      <c r="K2206" s="43" t="n">
        <f aca="false">J2206-I2206</f>
        <v>5</v>
      </c>
      <c r="L2206" s="1" t="n">
        <v>5</v>
      </c>
      <c r="M2206" s="3" t="s">
        <v>48</v>
      </c>
      <c r="N2206" s="3" t="s">
        <v>49</v>
      </c>
      <c r="O2206" s="3" t="s">
        <v>119</v>
      </c>
      <c r="P2206" s="2" t="str">
        <f aca="false">CONCATENATE(N2206," ",O2206)</f>
        <v>Alopecosa sulzeri</v>
      </c>
      <c r="Q2206" s="1" t="s">
        <v>30</v>
      </c>
      <c r="R2206" s="1" t="s">
        <v>31</v>
      </c>
      <c r="S2206" s="3" t="n">
        <v>1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f aca="false">SUM(S2206:T2206)</f>
        <v>1</v>
      </c>
      <c r="Z2206" s="3" t="n">
        <f aca="false">SUM(U2206:W2206)</f>
        <v>0</v>
      </c>
      <c r="AA2206" s="3" t="n">
        <f aca="false">SUM(S2206:X2206)</f>
        <v>1</v>
      </c>
      <c r="AB2206" s="11" t="n">
        <f aca="false">(AA2206/(K2206*L2206)*25)*4</f>
        <v>4</v>
      </c>
    </row>
    <row r="2207" customFormat="false" ht="14.25" hidden="false" customHeight="false" outlineLevel="0" collapsed="false">
      <c r="A2207" s="1" t="n">
        <v>2014</v>
      </c>
      <c r="B2207" s="7" t="s">
        <v>322</v>
      </c>
      <c r="C2207" s="7" t="n">
        <v>2</v>
      </c>
      <c r="D2207" s="7" t="s">
        <v>295</v>
      </c>
      <c r="E2207" s="7" t="s">
        <v>295</v>
      </c>
      <c r="F2207" s="3" t="s">
        <v>324</v>
      </c>
      <c r="G2207" s="3" t="n">
        <v>1</v>
      </c>
      <c r="H2207" s="3" t="n">
        <v>4</v>
      </c>
      <c r="I2207" s="22" t="n">
        <v>41793</v>
      </c>
      <c r="J2207" s="22" t="n">
        <v>41798</v>
      </c>
      <c r="K2207" s="43" t="n">
        <f aca="false">J2207-I2207</f>
        <v>5</v>
      </c>
      <c r="L2207" s="1" t="n">
        <v>5</v>
      </c>
      <c r="M2207" s="3" t="s">
        <v>48</v>
      </c>
      <c r="N2207" s="3" t="s">
        <v>122</v>
      </c>
      <c r="O2207" s="3" t="s">
        <v>123</v>
      </c>
      <c r="P2207" s="2" t="str">
        <f aca="false">CONCATENATE(N2207," ",O2207)</f>
        <v>Xerolycosa nemoralis</v>
      </c>
      <c r="Q2207" s="1" t="s">
        <v>30</v>
      </c>
      <c r="R2207" s="1" t="s">
        <v>31</v>
      </c>
      <c r="S2207" s="3" t="n">
        <v>7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f aca="false">SUM(S2207:T2207)</f>
        <v>7</v>
      </c>
      <c r="Z2207" s="3" t="n">
        <f aca="false">SUM(U2207:W2207)</f>
        <v>0</v>
      </c>
      <c r="AA2207" s="3" t="n">
        <f aca="false">SUM(S2207:X2207)</f>
        <v>7</v>
      </c>
      <c r="AB2207" s="11" t="n">
        <f aca="false">(AA2207/(K2207*L2207)*25)*4</f>
        <v>28</v>
      </c>
    </row>
    <row r="2208" customFormat="false" ht="14.25" hidden="false" customHeight="false" outlineLevel="0" collapsed="false">
      <c r="A2208" s="1" t="n">
        <v>2014</v>
      </c>
      <c r="B2208" s="7" t="s">
        <v>322</v>
      </c>
      <c r="C2208" s="7" t="n">
        <v>2</v>
      </c>
      <c r="D2208" s="7" t="s">
        <v>295</v>
      </c>
      <c r="E2208" s="7" t="s">
        <v>295</v>
      </c>
      <c r="F2208" s="3" t="s">
        <v>324</v>
      </c>
      <c r="G2208" s="3" t="n">
        <v>1</v>
      </c>
      <c r="H2208" s="3" t="n">
        <v>4</v>
      </c>
      <c r="I2208" s="22" t="n">
        <v>41793</v>
      </c>
      <c r="J2208" s="22" t="n">
        <v>41798</v>
      </c>
      <c r="K2208" s="43" t="n">
        <f aca="false">J2208-I2208</f>
        <v>5</v>
      </c>
      <c r="L2208" s="1" t="n">
        <v>5</v>
      </c>
      <c r="M2208" s="3" t="s">
        <v>48</v>
      </c>
      <c r="N2208" s="3" t="s">
        <v>122</v>
      </c>
      <c r="O2208" s="3" t="s">
        <v>123</v>
      </c>
      <c r="P2208" s="2" t="str">
        <f aca="false">CONCATENATE(N2208," ",O2208)</f>
        <v>Xerolycosa nemoralis</v>
      </c>
      <c r="Q2208" s="1" t="s">
        <v>30</v>
      </c>
      <c r="R2208" s="1" t="s">
        <v>35</v>
      </c>
      <c r="S2208" s="3" t="n">
        <v>0</v>
      </c>
      <c r="T2208" s="3" t="n">
        <v>2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f aca="false">SUM(S2208:T2208)</f>
        <v>2</v>
      </c>
      <c r="Z2208" s="3" t="n">
        <f aca="false">SUM(U2208:W2208)</f>
        <v>0</v>
      </c>
      <c r="AA2208" s="3" t="n">
        <f aca="false">SUM(S2208:X2208)</f>
        <v>2</v>
      </c>
      <c r="AB2208" s="11" t="n">
        <f aca="false">(AA2208/(K2208*L2208)*25)*4</f>
        <v>8</v>
      </c>
    </row>
    <row r="2209" customFormat="false" ht="14.25" hidden="false" customHeight="false" outlineLevel="0" collapsed="false">
      <c r="A2209" s="1" t="n">
        <v>2014</v>
      </c>
      <c r="B2209" s="7" t="s">
        <v>322</v>
      </c>
      <c r="C2209" s="7" t="n">
        <v>2</v>
      </c>
      <c r="D2209" s="7" t="s">
        <v>295</v>
      </c>
      <c r="E2209" s="7" t="s">
        <v>295</v>
      </c>
      <c r="F2209" s="3" t="s">
        <v>324</v>
      </c>
      <c r="G2209" s="3" t="n">
        <v>1</v>
      </c>
      <c r="H2209" s="3" t="n">
        <v>4</v>
      </c>
      <c r="I2209" s="22" t="n">
        <v>41793</v>
      </c>
      <c r="J2209" s="22" t="n">
        <v>41798</v>
      </c>
      <c r="K2209" s="43" t="n">
        <f aca="false">J2209-I2209</f>
        <v>5</v>
      </c>
      <c r="L2209" s="1" t="n">
        <v>5</v>
      </c>
      <c r="M2209" s="3" t="s">
        <v>36</v>
      </c>
      <c r="N2209" s="3" t="s">
        <v>256</v>
      </c>
      <c r="O2209" s="3" t="s">
        <v>257</v>
      </c>
      <c r="P2209" s="2" t="str">
        <f aca="false">CONCATENATE(N2209," ",O2209)</f>
        <v>Bassaniodes robustus</v>
      </c>
      <c r="Q2209" s="1" t="s">
        <v>30</v>
      </c>
      <c r="R2209" s="1" t="s">
        <v>35</v>
      </c>
      <c r="S2209" s="3" t="n">
        <v>0</v>
      </c>
      <c r="T2209" s="3" t="n">
        <v>1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f aca="false">SUM(S2209:T2209)</f>
        <v>1</v>
      </c>
      <c r="Z2209" s="3" t="n">
        <f aca="false">SUM(U2209:W2209)</f>
        <v>0</v>
      </c>
      <c r="AA2209" s="3" t="n">
        <f aca="false">SUM(S2209:X2209)</f>
        <v>1</v>
      </c>
      <c r="AB2209" s="11" t="n">
        <f aca="false">(AA2209/(K2209*L2209)*25)*4</f>
        <v>4</v>
      </c>
    </row>
    <row r="2210" customFormat="false" ht="14.25" hidden="false" customHeight="false" outlineLevel="0" collapsed="false">
      <c r="A2210" s="1" t="n">
        <v>2014</v>
      </c>
      <c r="B2210" s="7" t="s">
        <v>322</v>
      </c>
      <c r="C2210" s="7" t="n">
        <v>2</v>
      </c>
      <c r="D2210" s="7" t="s">
        <v>295</v>
      </c>
      <c r="E2210" s="7" t="s">
        <v>295</v>
      </c>
      <c r="F2210" s="3" t="s">
        <v>324</v>
      </c>
      <c r="G2210" s="3" t="n">
        <v>3</v>
      </c>
      <c r="H2210" s="3" t="n">
        <v>12</v>
      </c>
      <c r="I2210" s="22" t="n">
        <v>41793</v>
      </c>
      <c r="J2210" s="22" t="n">
        <v>41798</v>
      </c>
      <c r="K2210" s="43" t="n">
        <f aca="false">J2210-I2210</f>
        <v>5</v>
      </c>
      <c r="L2210" s="1" t="n">
        <v>5</v>
      </c>
      <c r="M2210" s="3" t="s">
        <v>48</v>
      </c>
      <c r="N2210" s="3" t="s">
        <v>122</v>
      </c>
      <c r="O2210" s="3" t="s">
        <v>123</v>
      </c>
      <c r="P2210" s="2" t="str">
        <f aca="false">CONCATENATE(N2210," ",O2210)</f>
        <v>Xerolycosa nemoralis</v>
      </c>
      <c r="Q2210" s="1" t="s">
        <v>30</v>
      </c>
      <c r="R2210" s="1" t="s">
        <v>31</v>
      </c>
      <c r="S2210" s="3" t="n">
        <v>14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f aca="false">SUM(S2210:T2210)</f>
        <v>14</v>
      </c>
      <c r="Z2210" s="3" t="n">
        <f aca="false">SUM(U2210:W2210)</f>
        <v>0</v>
      </c>
      <c r="AA2210" s="3" t="n">
        <f aca="false">SUM(S2210:X2210)</f>
        <v>14</v>
      </c>
      <c r="AB2210" s="11" t="n">
        <f aca="false">(AA2210/(K2210*L2210)*25)*4</f>
        <v>56</v>
      </c>
    </row>
    <row r="2211" customFormat="false" ht="14.25" hidden="false" customHeight="false" outlineLevel="0" collapsed="false">
      <c r="A2211" s="1" t="n">
        <v>2014</v>
      </c>
      <c r="B2211" s="7" t="s">
        <v>322</v>
      </c>
      <c r="C2211" s="7" t="n">
        <v>2</v>
      </c>
      <c r="D2211" s="7" t="s">
        <v>295</v>
      </c>
      <c r="E2211" s="7" t="s">
        <v>295</v>
      </c>
      <c r="F2211" s="3" t="s">
        <v>324</v>
      </c>
      <c r="G2211" s="3" t="n">
        <v>3</v>
      </c>
      <c r="H2211" s="3" t="n">
        <v>12</v>
      </c>
      <c r="I2211" s="22" t="n">
        <v>41793</v>
      </c>
      <c r="J2211" s="22" t="n">
        <v>41798</v>
      </c>
      <c r="K2211" s="43" t="n">
        <f aca="false">J2211-I2211</f>
        <v>5</v>
      </c>
      <c r="L2211" s="1" t="n">
        <v>5</v>
      </c>
      <c r="M2211" s="3" t="s">
        <v>48</v>
      </c>
      <c r="N2211" s="3" t="s">
        <v>122</v>
      </c>
      <c r="O2211" s="3" t="s">
        <v>123</v>
      </c>
      <c r="P2211" s="2" t="str">
        <f aca="false">CONCATENATE(N2211," ",O2211)</f>
        <v>Xerolycosa nemoralis</v>
      </c>
      <c r="Q2211" s="1" t="s">
        <v>30</v>
      </c>
      <c r="R2211" s="1" t="s">
        <v>35</v>
      </c>
      <c r="S2211" s="3" t="n">
        <v>0</v>
      </c>
      <c r="T2211" s="3" t="n">
        <v>3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f aca="false">SUM(S2211:T2211)</f>
        <v>3</v>
      </c>
      <c r="Z2211" s="3" t="n">
        <f aca="false">SUM(U2211:W2211)</f>
        <v>0</v>
      </c>
      <c r="AA2211" s="3" t="n">
        <f aca="false">SUM(S2211:X2211)</f>
        <v>3</v>
      </c>
      <c r="AB2211" s="11" t="n">
        <f aca="false">(AA2211/(K2211*L2211)*25)*4</f>
        <v>12</v>
      </c>
    </row>
    <row r="2212" customFormat="false" ht="14.25" hidden="false" customHeight="false" outlineLevel="0" collapsed="false">
      <c r="A2212" s="1" t="n">
        <v>2014</v>
      </c>
      <c r="B2212" s="7" t="s">
        <v>322</v>
      </c>
      <c r="C2212" s="7" t="n">
        <v>2</v>
      </c>
      <c r="D2212" s="7" t="s">
        <v>295</v>
      </c>
      <c r="E2212" s="7" t="s">
        <v>295</v>
      </c>
      <c r="F2212" s="3" t="s">
        <v>324</v>
      </c>
      <c r="G2212" s="3" t="n">
        <v>3</v>
      </c>
      <c r="H2212" s="3" t="n">
        <v>12</v>
      </c>
      <c r="I2212" s="22" t="n">
        <v>41793</v>
      </c>
      <c r="J2212" s="22" t="n">
        <v>41798</v>
      </c>
      <c r="K2212" s="43" t="n">
        <f aca="false">J2212-I2212</f>
        <v>5</v>
      </c>
      <c r="L2212" s="1" t="n">
        <v>5</v>
      </c>
      <c r="M2212" s="3" t="s">
        <v>48</v>
      </c>
      <c r="N2212" s="3" t="s">
        <v>67</v>
      </c>
      <c r="O2212" s="3" t="s">
        <v>127</v>
      </c>
      <c r="P2212" s="2" t="str">
        <f aca="false">CONCATENATE(N2212," ",O2212)</f>
        <v>Pardosa lugubris</v>
      </c>
      <c r="Q2212" s="1" t="s">
        <v>30</v>
      </c>
      <c r="R2212" s="1" t="s">
        <v>31</v>
      </c>
      <c r="S2212" s="3" t="n">
        <v>1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f aca="false">SUM(S2212:T2212)</f>
        <v>1</v>
      </c>
      <c r="Z2212" s="3" t="n">
        <f aca="false">SUM(U2212:W2212)</f>
        <v>0</v>
      </c>
      <c r="AA2212" s="3" t="n">
        <f aca="false">SUM(S2212:X2212)</f>
        <v>1</v>
      </c>
      <c r="AB2212" s="11" t="n">
        <f aca="false">(AA2212/(K2212*L2212)*25)*4</f>
        <v>4</v>
      </c>
    </row>
    <row r="2213" customFormat="false" ht="14.25" hidden="false" customHeight="false" outlineLevel="0" collapsed="false">
      <c r="A2213" s="1" t="n">
        <v>2014</v>
      </c>
      <c r="B2213" s="7" t="s">
        <v>322</v>
      </c>
      <c r="C2213" s="7" t="n">
        <v>2</v>
      </c>
      <c r="D2213" s="7" t="s">
        <v>295</v>
      </c>
      <c r="E2213" s="7" t="s">
        <v>295</v>
      </c>
      <c r="F2213" s="3" t="s">
        <v>324</v>
      </c>
      <c r="G2213" s="3" t="n">
        <v>3</v>
      </c>
      <c r="H2213" s="3" t="n">
        <v>12</v>
      </c>
      <c r="I2213" s="22" t="n">
        <v>41793</v>
      </c>
      <c r="J2213" s="22" t="n">
        <v>41798</v>
      </c>
      <c r="K2213" s="43" t="n">
        <f aca="false">J2213-I2213</f>
        <v>5</v>
      </c>
      <c r="L2213" s="1" t="n">
        <v>5</v>
      </c>
      <c r="M2213" s="3" t="s">
        <v>48</v>
      </c>
      <c r="N2213" s="3" t="s">
        <v>49</v>
      </c>
      <c r="O2213" s="3" t="s">
        <v>130</v>
      </c>
      <c r="P2213" s="2" t="str">
        <f aca="false">CONCATENATE(N2213," ",O2213)</f>
        <v>Alopecosa aculeata</v>
      </c>
      <c r="Q2213" s="1" t="s">
        <v>30</v>
      </c>
      <c r="R2213" s="1" t="s">
        <v>31</v>
      </c>
      <c r="S2213" s="3" t="n">
        <v>1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f aca="false">SUM(S2213:T2213)</f>
        <v>1</v>
      </c>
      <c r="Z2213" s="3" t="n">
        <f aca="false">SUM(U2213:W2213)</f>
        <v>0</v>
      </c>
      <c r="AA2213" s="3" t="n">
        <f aca="false">SUM(S2213:X2213)</f>
        <v>1</v>
      </c>
      <c r="AB2213" s="11" t="n">
        <f aca="false">(AA2213/(K2213*L2213)*25)*4</f>
        <v>4</v>
      </c>
    </row>
    <row r="2214" customFormat="false" ht="14.25" hidden="false" customHeight="false" outlineLevel="0" collapsed="false">
      <c r="A2214" s="1" t="n">
        <v>2014</v>
      </c>
      <c r="B2214" s="7" t="s">
        <v>322</v>
      </c>
      <c r="C2214" s="7" t="n">
        <v>2</v>
      </c>
      <c r="D2214" s="7" t="s">
        <v>295</v>
      </c>
      <c r="E2214" s="7" t="s">
        <v>295</v>
      </c>
      <c r="F2214" s="3" t="s">
        <v>324</v>
      </c>
      <c r="G2214" s="3" t="n">
        <v>3</v>
      </c>
      <c r="H2214" s="3" t="n">
        <v>12</v>
      </c>
      <c r="I2214" s="22" t="n">
        <v>41793</v>
      </c>
      <c r="J2214" s="22" t="n">
        <v>41798</v>
      </c>
      <c r="K2214" s="43" t="n">
        <f aca="false">J2214-I2214</f>
        <v>5</v>
      </c>
      <c r="L2214" s="1" t="n">
        <v>5</v>
      </c>
      <c r="M2214" s="3" t="s">
        <v>48</v>
      </c>
      <c r="N2214" s="3" t="s">
        <v>49</v>
      </c>
      <c r="O2214" s="3" t="s">
        <v>130</v>
      </c>
      <c r="P2214" s="2" t="str">
        <f aca="false">CONCATENATE(N2214," ",O2214)</f>
        <v>Alopecosa aculeata</v>
      </c>
      <c r="Q2214" s="1" t="s">
        <v>30</v>
      </c>
      <c r="R2214" s="1" t="s">
        <v>35</v>
      </c>
      <c r="S2214" s="3" t="n">
        <v>0</v>
      </c>
      <c r="T2214" s="3" t="n">
        <v>2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f aca="false">SUM(S2214:T2214)</f>
        <v>2</v>
      </c>
      <c r="Z2214" s="3" t="n">
        <f aca="false">SUM(U2214:W2214)</f>
        <v>0</v>
      </c>
      <c r="AA2214" s="3" t="n">
        <f aca="false">SUM(S2214:X2214)</f>
        <v>2</v>
      </c>
      <c r="AB2214" s="11" t="n">
        <f aca="false">(AA2214/(K2214*L2214)*25)*4</f>
        <v>8</v>
      </c>
    </row>
    <row r="2215" customFormat="false" ht="14.25" hidden="false" customHeight="false" outlineLevel="0" collapsed="false">
      <c r="A2215" s="1" t="n">
        <v>2014</v>
      </c>
      <c r="B2215" s="7" t="s">
        <v>322</v>
      </c>
      <c r="C2215" s="7" t="n">
        <v>2</v>
      </c>
      <c r="D2215" s="7" t="s">
        <v>295</v>
      </c>
      <c r="E2215" s="7" t="s">
        <v>295</v>
      </c>
      <c r="F2215" s="3" t="s">
        <v>324</v>
      </c>
      <c r="G2215" s="3" t="n">
        <v>3</v>
      </c>
      <c r="H2215" s="3" t="n">
        <v>12</v>
      </c>
      <c r="I2215" s="22" t="n">
        <v>41793</v>
      </c>
      <c r="J2215" s="22" t="n">
        <v>41798</v>
      </c>
      <c r="K2215" s="43" t="n">
        <f aca="false">J2215-I2215</f>
        <v>5</v>
      </c>
      <c r="L2215" s="1" t="n">
        <v>5</v>
      </c>
      <c r="M2215" s="3" t="s">
        <v>135</v>
      </c>
      <c r="N2215" s="3" t="s">
        <v>136</v>
      </c>
      <c r="O2215" s="3" t="s">
        <v>137</v>
      </c>
      <c r="P2215" s="2" t="str">
        <f aca="false">CONCATENATE(N2215," ",O2215)</f>
        <v>Thanatus sabulosus</v>
      </c>
      <c r="Q2215" s="1" t="s">
        <v>30</v>
      </c>
      <c r="R2215" s="1" t="s">
        <v>31</v>
      </c>
      <c r="S2215" s="3" t="n">
        <v>1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f aca="false">SUM(S2215:T2215)</f>
        <v>1</v>
      </c>
      <c r="Z2215" s="3" t="n">
        <f aca="false">SUM(U2215:W2215)</f>
        <v>0</v>
      </c>
      <c r="AA2215" s="3" t="n">
        <f aca="false">SUM(S2215:X2215)</f>
        <v>1</v>
      </c>
      <c r="AB2215" s="11" t="n">
        <f aca="false">(AA2215/(K2215*L2215)*25)*4</f>
        <v>4</v>
      </c>
    </row>
    <row r="2216" customFormat="false" ht="14.25" hidden="false" customHeight="false" outlineLevel="0" collapsed="false">
      <c r="A2216" s="1" t="n">
        <v>2014</v>
      </c>
      <c r="B2216" s="7" t="s">
        <v>322</v>
      </c>
      <c r="C2216" s="7" t="n">
        <v>2</v>
      </c>
      <c r="D2216" s="7" t="s">
        <v>295</v>
      </c>
      <c r="E2216" s="7" t="s">
        <v>295</v>
      </c>
      <c r="F2216" s="3" t="s">
        <v>324</v>
      </c>
      <c r="G2216" s="3" t="n">
        <v>3</v>
      </c>
      <c r="H2216" s="3" t="n">
        <v>15</v>
      </c>
      <c r="I2216" s="22" t="n">
        <v>41793</v>
      </c>
      <c r="J2216" s="22" t="n">
        <v>41798</v>
      </c>
      <c r="K2216" s="43" t="n">
        <f aca="false">J2216-I2216</f>
        <v>5</v>
      </c>
      <c r="L2216" s="1" t="n">
        <v>5</v>
      </c>
      <c r="M2216" s="3" t="s">
        <v>48</v>
      </c>
      <c r="N2216" s="3" t="s">
        <v>49</v>
      </c>
      <c r="O2216" s="3" t="s">
        <v>130</v>
      </c>
      <c r="P2216" s="2" t="str">
        <f aca="false">CONCATENATE(N2216," ",O2216)</f>
        <v>Alopecosa aculeata</v>
      </c>
      <c r="Q2216" s="1" t="s">
        <v>30</v>
      </c>
      <c r="R2216" s="1" t="s">
        <v>31</v>
      </c>
      <c r="S2216" s="3" t="n">
        <v>5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f aca="false">SUM(S2216:T2216)</f>
        <v>5</v>
      </c>
      <c r="Z2216" s="3" t="n">
        <f aca="false">SUM(U2216:W2216)</f>
        <v>0</v>
      </c>
      <c r="AA2216" s="3" t="n">
        <f aca="false">SUM(S2216:X2216)</f>
        <v>5</v>
      </c>
      <c r="AB2216" s="11" t="n">
        <f aca="false">(AA2216/(K2216*L2216)*25)*4</f>
        <v>20</v>
      </c>
    </row>
    <row r="2217" customFormat="false" ht="14.25" hidden="false" customHeight="false" outlineLevel="0" collapsed="false">
      <c r="A2217" s="1" t="n">
        <v>2014</v>
      </c>
      <c r="B2217" s="7" t="s">
        <v>322</v>
      </c>
      <c r="C2217" s="7" t="n">
        <v>2</v>
      </c>
      <c r="D2217" s="7" t="s">
        <v>295</v>
      </c>
      <c r="E2217" s="7" t="s">
        <v>295</v>
      </c>
      <c r="F2217" s="3" t="s">
        <v>324</v>
      </c>
      <c r="G2217" s="3" t="n">
        <v>3</v>
      </c>
      <c r="H2217" s="3" t="n">
        <v>15</v>
      </c>
      <c r="I2217" s="22" t="n">
        <v>41793</v>
      </c>
      <c r="J2217" s="22" t="n">
        <v>41798</v>
      </c>
      <c r="K2217" s="43" t="n">
        <f aca="false">J2217-I2217</f>
        <v>5</v>
      </c>
      <c r="L2217" s="1" t="n">
        <v>5</v>
      </c>
      <c r="M2217" s="3" t="s">
        <v>48</v>
      </c>
      <c r="N2217" s="3" t="s">
        <v>49</v>
      </c>
      <c r="O2217" s="3" t="s">
        <v>130</v>
      </c>
      <c r="P2217" s="2" t="str">
        <f aca="false">CONCATENATE(N2217," ",O2217)</f>
        <v>Alopecosa aculeata</v>
      </c>
      <c r="Q2217" s="1" t="s">
        <v>30</v>
      </c>
      <c r="R2217" s="1" t="s">
        <v>35</v>
      </c>
      <c r="S2217" s="3" t="n">
        <v>0</v>
      </c>
      <c r="T2217" s="3" t="n">
        <v>3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f aca="false">SUM(S2217:T2217)</f>
        <v>3</v>
      </c>
      <c r="Z2217" s="3" t="n">
        <f aca="false">SUM(U2217:W2217)</f>
        <v>0</v>
      </c>
      <c r="AA2217" s="3" t="n">
        <f aca="false">SUM(S2217:X2217)</f>
        <v>3</v>
      </c>
      <c r="AB2217" s="11" t="n">
        <f aca="false">(AA2217/(K2217*L2217)*25)*4</f>
        <v>12</v>
      </c>
    </row>
    <row r="2218" customFormat="false" ht="14.25" hidden="false" customHeight="false" outlineLevel="0" collapsed="false">
      <c r="A2218" s="1" t="n">
        <v>2014</v>
      </c>
      <c r="B2218" s="7" t="s">
        <v>322</v>
      </c>
      <c r="C2218" s="7" t="n">
        <v>2</v>
      </c>
      <c r="D2218" s="7" t="s">
        <v>295</v>
      </c>
      <c r="E2218" s="7" t="s">
        <v>295</v>
      </c>
      <c r="F2218" s="3" t="s">
        <v>324</v>
      </c>
      <c r="G2218" s="3" t="n">
        <v>3</v>
      </c>
      <c r="H2218" s="3" t="n">
        <v>15</v>
      </c>
      <c r="I2218" s="22" t="n">
        <v>41793</v>
      </c>
      <c r="J2218" s="22" t="n">
        <v>41798</v>
      </c>
      <c r="K2218" s="43" t="n">
        <f aca="false">J2218-I2218</f>
        <v>5</v>
      </c>
      <c r="L2218" s="1" t="n">
        <v>5</v>
      </c>
      <c r="M2218" s="3" t="s">
        <v>48</v>
      </c>
      <c r="N2218" s="3" t="s">
        <v>67</v>
      </c>
      <c r="O2218" s="3" t="s">
        <v>127</v>
      </c>
      <c r="P2218" s="2" t="str">
        <f aca="false">CONCATENATE(N2218," ",O2218)</f>
        <v>Pardosa lugubris</v>
      </c>
      <c r="Q2218" s="1" t="s">
        <v>30</v>
      </c>
      <c r="R2218" s="1" t="s">
        <v>35</v>
      </c>
      <c r="S2218" s="3" t="n">
        <v>0</v>
      </c>
      <c r="T2218" s="3" t="n">
        <v>1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f aca="false">SUM(S2218:T2218)</f>
        <v>1</v>
      </c>
      <c r="Z2218" s="3" t="n">
        <f aca="false">SUM(U2218:W2218)</f>
        <v>0</v>
      </c>
      <c r="AA2218" s="3" t="n">
        <f aca="false">SUM(S2218:X2218)</f>
        <v>1</v>
      </c>
      <c r="AB2218" s="11" t="n">
        <f aca="false">(AA2218/(K2218*L2218)*25)*4</f>
        <v>4</v>
      </c>
    </row>
    <row r="2219" customFormat="false" ht="14.25" hidden="false" customHeight="false" outlineLevel="0" collapsed="false">
      <c r="A2219" s="1" t="n">
        <v>2014</v>
      </c>
      <c r="B2219" s="7" t="s">
        <v>322</v>
      </c>
      <c r="C2219" s="7" t="n">
        <v>2</v>
      </c>
      <c r="D2219" s="7" t="s">
        <v>295</v>
      </c>
      <c r="E2219" s="7" t="s">
        <v>295</v>
      </c>
      <c r="F2219" s="3" t="s">
        <v>324</v>
      </c>
      <c r="G2219" s="3" t="n">
        <v>3</v>
      </c>
      <c r="H2219" s="3" t="n">
        <v>15</v>
      </c>
      <c r="I2219" s="22" t="n">
        <v>41793</v>
      </c>
      <c r="J2219" s="22" t="n">
        <v>41798</v>
      </c>
      <c r="K2219" s="43" t="n">
        <f aca="false">J2219-I2219</f>
        <v>5</v>
      </c>
      <c r="L2219" s="1" t="n">
        <v>5</v>
      </c>
      <c r="M2219" s="3" t="s">
        <v>48</v>
      </c>
      <c r="N2219" s="3" t="s">
        <v>122</v>
      </c>
      <c r="O2219" s="3" t="s">
        <v>123</v>
      </c>
      <c r="P2219" s="2" t="str">
        <f aca="false">CONCATENATE(N2219," ",O2219)</f>
        <v>Xerolycosa nemoralis</v>
      </c>
      <c r="Q2219" s="1" t="s">
        <v>30</v>
      </c>
      <c r="R2219" s="1" t="s">
        <v>31</v>
      </c>
      <c r="S2219" s="3" t="n">
        <v>3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f aca="false">SUM(S2219:T2219)</f>
        <v>3</v>
      </c>
      <c r="Z2219" s="3" t="n">
        <f aca="false">SUM(U2219:W2219)</f>
        <v>0</v>
      </c>
      <c r="AA2219" s="3" t="n">
        <f aca="false">SUM(S2219:X2219)</f>
        <v>3</v>
      </c>
      <c r="AB2219" s="11" t="n">
        <f aca="false">(AA2219/(K2219*L2219)*25)*4</f>
        <v>12</v>
      </c>
    </row>
    <row r="2220" customFormat="false" ht="14.25" hidden="false" customHeight="false" outlineLevel="0" collapsed="false">
      <c r="A2220" s="1" t="n">
        <v>2014</v>
      </c>
      <c r="B2220" s="7" t="s">
        <v>322</v>
      </c>
      <c r="C2220" s="7" t="n">
        <v>2</v>
      </c>
      <c r="D2220" s="7" t="s">
        <v>295</v>
      </c>
      <c r="E2220" s="7" t="s">
        <v>295</v>
      </c>
      <c r="F2220" s="3" t="s">
        <v>324</v>
      </c>
      <c r="G2220" s="3" t="n">
        <v>3</v>
      </c>
      <c r="H2220" s="3" t="n">
        <v>14</v>
      </c>
      <c r="I2220" s="22" t="n">
        <v>41793</v>
      </c>
      <c r="J2220" s="22" t="n">
        <v>41798</v>
      </c>
      <c r="K2220" s="43" t="n">
        <f aca="false">J2220-I2220</f>
        <v>5</v>
      </c>
      <c r="L2220" s="1" t="n">
        <v>5</v>
      </c>
      <c r="M2220" s="3" t="s">
        <v>48</v>
      </c>
      <c r="N2220" s="3" t="s">
        <v>49</v>
      </c>
      <c r="O2220" s="3" t="s">
        <v>130</v>
      </c>
      <c r="P2220" s="2" t="str">
        <f aca="false">CONCATENATE(N2220," ",O2220)</f>
        <v>Alopecosa aculeata</v>
      </c>
      <c r="Q2220" s="1" t="s">
        <v>30</v>
      </c>
      <c r="R2220" s="1" t="s">
        <v>31</v>
      </c>
      <c r="S2220" s="3" t="n">
        <v>4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f aca="false">SUM(S2220:T2220)</f>
        <v>4</v>
      </c>
      <c r="Z2220" s="3" t="n">
        <f aca="false">SUM(U2220:W2220)</f>
        <v>0</v>
      </c>
      <c r="AA2220" s="3" t="n">
        <f aca="false">SUM(S2220:X2220)</f>
        <v>4</v>
      </c>
      <c r="AB2220" s="11" t="n">
        <f aca="false">(AA2220/(K2220*L2220)*25)*4</f>
        <v>16</v>
      </c>
    </row>
    <row r="2221" customFormat="false" ht="14.25" hidden="false" customHeight="false" outlineLevel="0" collapsed="false">
      <c r="A2221" s="1" t="n">
        <v>2014</v>
      </c>
      <c r="B2221" s="7" t="s">
        <v>322</v>
      </c>
      <c r="C2221" s="7" t="n">
        <v>2</v>
      </c>
      <c r="D2221" s="7" t="s">
        <v>295</v>
      </c>
      <c r="E2221" s="7" t="s">
        <v>295</v>
      </c>
      <c r="F2221" s="3" t="s">
        <v>324</v>
      </c>
      <c r="G2221" s="3" t="n">
        <v>3</v>
      </c>
      <c r="H2221" s="3" t="n">
        <v>14</v>
      </c>
      <c r="I2221" s="22" t="n">
        <v>41793</v>
      </c>
      <c r="J2221" s="22" t="n">
        <v>41798</v>
      </c>
      <c r="K2221" s="43" t="n">
        <f aca="false">J2221-I2221</f>
        <v>5</v>
      </c>
      <c r="L2221" s="1" t="n">
        <v>5</v>
      </c>
      <c r="M2221" s="3" t="s">
        <v>48</v>
      </c>
      <c r="N2221" s="3" t="s">
        <v>49</v>
      </c>
      <c r="O2221" s="3" t="s">
        <v>130</v>
      </c>
      <c r="P2221" s="2" t="str">
        <f aca="false">CONCATENATE(N2221," ",O2221)</f>
        <v>Alopecosa aculeata</v>
      </c>
      <c r="Q2221" s="1" t="s">
        <v>30</v>
      </c>
      <c r="R2221" s="1" t="s">
        <v>35</v>
      </c>
      <c r="S2221" s="3" t="n">
        <v>0</v>
      </c>
      <c r="T2221" s="3" t="n">
        <v>1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f aca="false">SUM(S2221:T2221)</f>
        <v>1</v>
      </c>
      <c r="Z2221" s="3" t="n">
        <f aca="false">SUM(U2221:W2221)</f>
        <v>0</v>
      </c>
      <c r="AA2221" s="3" t="n">
        <f aca="false">SUM(S2221:X2221)</f>
        <v>1</v>
      </c>
      <c r="AB2221" s="11" t="n">
        <f aca="false">(AA2221/(K2221*L2221)*25)*4</f>
        <v>4</v>
      </c>
    </row>
    <row r="2222" customFormat="false" ht="14.25" hidden="false" customHeight="false" outlineLevel="0" collapsed="false">
      <c r="A2222" s="1" t="n">
        <v>2014</v>
      </c>
      <c r="B2222" s="7" t="s">
        <v>322</v>
      </c>
      <c r="C2222" s="7" t="n">
        <v>2</v>
      </c>
      <c r="D2222" s="7" t="s">
        <v>295</v>
      </c>
      <c r="E2222" s="7" t="s">
        <v>295</v>
      </c>
      <c r="F2222" s="3" t="s">
        <v>324</v>
      </c>
      <c r="G2222" s="3" t="n">
        <v>3</v>
      </c>
      <c r="H2222" s="3" t="n">
        <v>14</v>
      </c>
      <c r="I2222" s="22" t="n">
        <v>41793</v>
      </c>
      <c r="J2222" s="22" t="n">
        <v>41798</v>
      </c>
      <c r="K2222" s="43" t="n">
        <f aca="false">J2222-I2222</f>
        <v>5</v>
      </c>
      <c r="L2222" s="1" t="n">
        <v>5</v>
      </c>
      <c r="M2222" s="3" t="s">
        <v>48</v>
      </c>
      <c r="N2222" s="3" t="s">
        <v>122</v>
      </c>
      <c r="O2222" s="3" t="s">
        <v>123</v>
      </c>
      <c r="P2222" s="2" t="str">
        <f aca="false">CONCATENATE(N2222," ",O2222)</f>
        <v>Xerolycosa nemoralis</v>
      </c>
      <c r="Q2222" s="1" t="s">
        <v>30</v>
      </c>
      <c r="R2222" s="1" t="s">
        <v>31</v>
      </c>
      <c r="S2222" s="3" t="n">
        <v>7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f aca="false">SUM(S2222:T2222)</f>
        <v>7</v>
      </c>
      <c r="Z2222" s="3" t="n">
        <f aca="false">SUM(U2222:W2222)</f>
        <v>0</v>
      </c>
      <c r="AA2222" s="3" t="n">
        <f aca="false">SUM(S2222:X2222)</f>
        <v>7</v>
      </c>
      <c r="AB2222" s="11" t="n">
        <f aca="false">(AA2222/(K2222*L2222)*25)*4</f>
        <v>28</v>
      </c>
    </row>
    <row r="2223" customFormat="false" ht="14.25" hidden="false" customHeight="false" outlineLevel="0" collapsed="false">
      <c r="A2223" s="1" t="n">
        <v>2014</v>
      </c>
      <c r="B2223" s="7" t="s">
        <v>322</v>
      </c>
      <c r="C2223" s="7" t="n">
        <v>2</v>
      </c>
      <c r="D2223" s="7" t="s">
        <v>295</v>
      </c>
      <c r="E2223" s="7" t="s">
        <v>295</v>
      </c>
      <c r="F2223" s="3" t="s">
        <v>324</v>
      </c>
      <c r="G2223" s="3" t="n">
        <v>3</v>
      </c>
      <c r="H2223" s="3" t="n">
        <v>14</v>
      </c>
      <c r="I2223" s="22" t="n">
        <v>41793</v>
      </c>
      <c r="J2223" s="22" t="n">
        <v>41798</v>
      </c>
      <c r="K2223" s="43" t="n">
        <f aca="false">J2223-I2223</f>
        <v>5</v>
      </c>
      <c r="L2223" s="1" t="n">
        <v>5</v>
      </c>
      <c r="M2223" s="3" t="s">
        <v>48</v>
      </c>
      <c r="N2223" s="3" t="s">
        <v>67</v>
      </c>
      <c r="O2223" s="3" t="s">
        <v>127</v>
      </c>
      <c r="P2223" s="2" t="str">
        <f aca="false">CONCATENATE(N2223," ",O2223)</f>
        <v>Pardosa lugubris</v>
      </c>
      <c r="Q2223" s="1" t="s">
        <v>30</v>
      </c>
      <c r="R2223" s="1" t="s">
        <v>31</v>
      </c>
      <c r="S2223" s="3" t="n">
        <v>2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f aca="false">SUM(S2223:T2223)</f>
        <v>2</v>
      </c>
      <c r="Z2223" s="3" t="n">
        <f aca="false">SUM(U2223:W2223)</f>
        <v>0</v>
      </c>
      <c r="AA2223" s="3" t="n">
        <f aca="false">SUM(S2223:X2223)</f>
        <v>2</v>
      </c>
      <c r="AB2223" s="11" t="n">
        <f aca="false">(AA2223/(K2223*L2223)*25)*4</f>
        <v>8</v>
      </c>
    </row>
    <row r="2224" customFormat="false" ht="14.25" hidden="false" customHeight="false" outlineLevel="0" collapsed="false">
      <c r="A2224" s="1" t="n">
        <v>2014</v>
      </c>
      <c r="B2224" s="7" t="s">
        <v>322</v>
      </c>
      <c r="C2224" s="7" t="n">
        <v>2</v>
      </c>
      <c r="D2224" s="7" t="s">
        <v>295</v>
      </c>
      <c r="E2224" s="7" t="s">
        <v>295</v>
      </c>
      <c r="F2224" s="3" t="s">
        <v>324</v>
      </c>
      <c r="G2224" s="3" t="n">
        <v>3</v>
      </c>
      <c r="H2224" s="3" t="n">
        <v>14</v>
      </c>
      <c r="I2224" s="22" t="n">
        <v>41793</v>
      </c>
      <c r="J2224" s="22" t="n">
        <v>41798</v>
      </c>
      <c r="K2224" s="43" t="n">
        <f aca="false">J2224-I2224</f>
        <v>5</v>
      </c>
      <c r="L2224" s="1" t="n">
        <v>5</v>
      </c>
      <c r="M2224" s="3" t="s">
        <v>72</v>
      </c>
      <c r="N2224" s="3" t="s">
        <v>73</v>
      </c>
      <c r="O2224" s="3" t="s">
        <v>74</v>
      </c>
      <c r="P2224" s="2" t="str">
        <f aca="false">CONCATENATE(N2224," ",O2224)</f>
        <v>Zelotes subterraneus</v>
      </c>
      <c r="Q2224" s="1" t="s">
        <v>30</v>
      </c>
      <c r="R2224" s="1" t="s">
        <v>31</v>
      </c>
      <c r="S2224" s="3" t="n">
        <v>1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f aca="false">SUM(S2224:T2224)</f>
        <v>1</v>
      </c>
      <c r="Z2224" s="3" t="n">
        <f aca="false">SUM(U2224:W2224)</f>
        <v>0</v>
      </c>
      <c r="AA2224" s="3" t="n">
        <f aca="false">SUM(S2224:X2224)</f>
        <v>1</v>
      </c>
      <c r="AB2224" s="11" t="n">
        <f aca="false">(AA2224/(K2224*L2224)*25)*4</f>
        <v>4</v>
      </c>
    </row>
    <row r="2225" customFormat="false" ht="14.25" hidden="false" customHeight="false" outlineLevel="0" collapsed="false">
      <c r="A2225" s="1" t="n">
        <v>2014</v>
      </c>
      <c r="B2225" s="7" t="s">
        <v>322</v>
      </c>
      <c r="C2225" s="7" t="n">
        <v>2</v>
      </c>
      <c r="D2225" s="7" t="s">
        <v>295</v>
      </c>
      <c r="E2225" s="7" t="s">
        <v>295</v>
      </c>
      <c r="F2225" s="3" t="s">
        <v>324</v>
      </c>
      <c r="G2225" s="3" t="n">
        <v>2</v>
      </c>
      <c r="H2225" s="3" t="n">
        <v>7</v>
      </c>
      <c r="I2225" s="22" t="n">
        <v>41793</v>
      </c>
      <c r="J2225" s="22" t="n">
        <v>41798</v>
      </c>
      <c r="K2225" s="43" t="n">
        <f aca="false">J2225-I2225</f>
        <v>5</v>
      </c>
      <c r="L2225" s="1" t="n">
        <v>5</v>
      </c>
      <c r="M2225" s="3" t="s">
        <v>48</v>
      </c>
      <c r="N2225" s="3" t="s">
        <v>49</v>
      </c>
      <c r="O2225" s="3" t="s">
        <v>119</v>
      </c>
      <c r="P2225" s="2" t="str">
        <f aca="false">CONCATENATE(N2225," ",O2225)</f>
        <v>Alopecosa sulzeri</v>
      </c>
      <c r="Q2225" s="1" t="s">
        <v>30</v>
      </c>
      <c r="R2225" s="1" t="s">
        <v>31</v>
      </c>
      <c r="S2225" s="3" t="n">
        <v>1</v>
      </c>
      <c r="T2225" s="3" t="n">
        <v>0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f aca="false">SUM(S2225:T2225)</f>
        <v>1</v>
      </c>
      <c r="Z2225" s="3" t="n">
        <f aca="false">SUM(U2225:W2225)</f>
        <v>0</v>
      </c>
      <c r="AA2225" s="3" t="n">
        <f aca="false">SUM(S2225:X2225)</f>
        <v>1</v>
      </c>
      <c r="AB2225" s="11" t="n">
        <f aca="false">(AA2225/(K2225*L2225)*25)*4</f>
        <v>4</v>
      </c>
    </row>
    <row r="2226" customFormat="false" ht="14.25" hidden="false" customHeight="false" outlineLevel="0" collapsed="false">
      <c r="A2226" s="1" t="n">
        <v>2014</v>
      </c>
      <c r="B2226" s="7" t="s">
        <v>322</v>
      </c>
      <c r="C2226" s="7" t="n">
        <v>2</v>
      </c>
      <c r="D2226" s="7" t="s">
        <v>295</v>
      </c>
      <c r="E2226" s="7" t="s">
        <v>295</v>
      </c>
      <c r="F2226" s="3" t="s">
        <v>324</v>
      </c>
      <c r="G2226" s="3" t="n">
        <v>2</v>
      </c>
      <c r="H2226" s="3" t="n">
        <v>7</v>
      </c>
      <c r="I2226" s="22" t="n">
        <v>41793</v>
      </c>
      <c r="J2226" s="22" t="n">
        <v>41798</v>
      </c>
      <c r="K2226" s="43" t="n">
        <f aca="false">J2226-I2226</f>
        <v>5</v>
      </c>
      <c r="L2226" s="1" t="n">
        <v>5</v>
      </c>
      <c r="M2226" s="3" t="s">
        <v>48</v>
      </c>
      <c r="N2226" s="3" t="s">
        <v>49</v>
      </c>
      <c r="O2226" s="3" t="s">
        <v>130</v>
      </c>
      <c r="P2226" s="2" t="str">
        <f aca="false">CONCATENATE(N2226," ",O2226)</f>
        <v>Alopecosa aculeata</v>
      </c>
      <c r="Q2226" s="1" t="s">
        <v>30</v>
      </c>
      <c r="R2226" s="1" t="s">
        <v>31</v>
      </c>
      <c r="S2226" s="3" t="n">
        <v>1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f aca="false">SUM(S2226:T2226)</f>
        <v>1</v>
      </c>
      <c r="Z2226" s="3" t="n">
        <f aca="false">SUM(U2226:W2226)</f>
        <v>0</v>
      </c>
      <c r="AA2226" s="3" t="n">
        <f aca="false">SUM(S2226:X2226)</f>
        <v>1</v>
      </c>
      <c r="AB2226" s="11" t="n">
        <f aca="false">(AA2226/(K2226*L2226)*25)*4</f>
        <v>4</v>
      </c>
    </row>
    <row r="2227" customFormat="false" ht="14.25" hidden="false" customHeight="false" outlineLevel="0" collapsed="false">
      <c r="A2227" s="1" t="n">
        <v>2014</v>
      </c>
      <c r="B2227" s="7" t="s">
        <v>322</v>
      </c>
      <c r="C2227" s="7" t="n">
        <v>2</v>
      </c>
      <c r="D2227" s="7" t="s">
        <v>295</v>
      </c>
      <c r="E2227" s="7" t="s">
        <v>295</v>
      </c>
      <c r="F2227" s="3" t="s">
        <v>324</v>
      </c>
      <c r="G2227" s="3" t="n">
        <v>2</v>
      </c>
      <c r="H2227" s="3" t="n">
        <v>7</v>
      </c>
      <c r="I2227" s="22" t="n">
        <v>41793</v>
      </c>
      <c r="J2227" s="22" t="n">
        <v>41798</v>
      </c>
      <c r="K2227" s="43" t="n">
        <f aca="false">J2227-I2227</f>
        <v>5</v>
      </c>
      <c r="L2227" s="1" t="n">
        <v>5</v>
      </c>
      <c r="M2227" s="3" t="s">
        <v>48</v>
      </c>
      <c r="N2227" s="3" t="s">
        <v>122</v>
      </c>
      <c r="O2227" s="3" t="s">
        <v>123</v>
      </c>
      <c r="P2227" s="2" t="str">
        <f aca="false">CONCATENATE(N2227," ",O2227)</f>
        <v>Xerolycosa nemoralis</v>
      </c>
      <c r="Q2227" s="1" t="s">
        <v>30</v>
      </c>
      <c r="R2227" s="1" t="s">
        <v>31</v>
      </c>
      <c r="S2227" s="3" t="n">
        <v>6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f aca="false">SUM(S2227:T2227)</f>
        <v>6</v>
      </c>
      <c r="Z2227" s="3" t="n">
        <f aca="false">SUM(U2227:W2227)</f>
        <v>0</v>
      </c>
      <c r="AA2227" s="3" t="n">
        <f aca="false">SUM(S2227:X2227)</f>
        <v>6</v>
      </c>
      <c r="AB2227" s="11" t="n">
        <f aca="false">(AA2227/(K2227*L2227)*25)*4</f>
        <v>24</v>
      </c>
    </row>
    <row r="2228" customFormat="false" ht="14.25" hidden="false" customHeight="false" outlineLevel="0" collapsed="false">
      <c r="A2228" s="1" t="n">
        <v>2014</v>
      </c>
      <c r="B2228" s="7" t="s">
        <v>322</v>
      </c>
      <c r="C2228" s="7" t="n">
        <v>2</v>
      </c>
      <c r="D2228" s="7" t="s">
        <v>295</v>
      </c>
      <c r="E2228" s="7" t="s">
        <v>295</v>
      </c>
      <c r="F2228" s="3" t="s">
        <v>324</v>
      </c>
      <c r="G2228" s="3" t="n">
        <v>2</v>
      </c>
      <c r="H2228" s="3" t="n">
        <v>7</v>
      </c>
      <c r="I2228" s="22" t="n">
        <v>41793</v>
      </c>
      <c r="J2228" s="22" t="n">
        <v>41798</v>
      </c>
      <c r="K2228" s="43" t="n">
        <f aca="false">J2228-I2228</f>
        <v>5</v>
      </c>
      <c r="L2228" s="1" t="n">
        <v>5</v>
      </c>
      <c r="M2228" s="3" t="s">
        <v>48</v>
      </c>
      <c r="N2228" s="3" t="s">
        <v>122</v>
      </c>
      <c r="O2228" s="3" t="s">
        <v>123</v>
      </c>
      <c r="P2228" s="2" t="str">
        <f aca="false">CONCATENATE(N2228," ",O2228)</f>
        <v>Xerolycosa nemoralis</v>
      </c>
      <c r="Q2228" s="1" t="s">
        <v>30</v>
      </c>
      <c r="R2228" s="1" t="s">
        <v>35</v>
      </c>
      <c r="S2228" s="3" t="n">
        <v>0</v>
      </c>
      <c r="T2228" s="3" t="n">
        <v>1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f aca="false">SUM(S2228:T2228)</f>
        <v>1</v>
      </c>
      <c r="Z2228" s="3" t="n">
        <f aca="false">SUM(U2228:W2228)</f>
        <v>0</v>
      </c>
      <c r="AA2228" s="3" t="n">
        <f aca="false">SUM(S2228:X2228)</f>
        <v>1</v>
      </c>
      <c r="AB2228" s="11" t="n">
        <f aca="false">(AA2228/(K2228*L2228)*25)*4</f>
        <v>4</v>
      </c>
    </row>
    <row r="2229" customFormat="false" ht="14.25" hidden="false" customHeight="false" outlineLevel="0" collapsed="false">
      <c r="A2229" s="1" t="n">
        <v>2014</v>
      </c>
      <c r="B2229" s="7" t="s">
        <v>322</v>
      </c>
      <c r="C2229" s="7" t="n">
        <v>2</v>
      </c>
      <c r="D2229" s="7" t="s">
        <v>295</v>
      </c>
      <c r="E2229" s="7" t="s">
        <v>295</v>
      </c>
      <c r="F2229" s="3" t="s">
        <v>324</v>
      </c>
      <c r="G2229" s="3" t="n">
        <v>2</v>
      </c>
      <c r="H2229" s="3" t="n">
        <v>7</v>
      </c>
      <c r="I2229" s="22" t="n">
        <v>41793</v>
      </c>
      <c r="J2229" s="22" t="n">
        <v>41798</v>
      </c>
      <c r="K2229" s="43" t="n">
        <f aca="false">J2229-I2229</f>
        <v>5</v>
      </c>
      <c r="L2229" s="1" t="n">
        <v>5</v>
      </c>
      <c r="M2229" s="3" t="s">
        <v>48</v>
      </c>
      <c r="N2229" s="3" t="s">
        <v>67</v>
      </c>
      <c r="O2229" s="3" t="s">
        <v>127</v>
      </c>
      <c r="P2229" s="2" t="str">
        <f aca="false">CONCATENATE(N2229," ",O2229)</f>
        <v>Pardosa lugubris</v>
      </c>
      <c r="Q2229" s="1" t="s">
        <v>30</v>
      </c>
      <c r="R2229" s="1" t="s">
        <v>31</v>
      </c>
      <c r="S2229" s="3" t="n">
        <v>1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f aca="false">SUM(S2229:T2229)</f>
        <v>1</v>
      </c>
      <c r="Z2229" s="3" t="n">
        <f aca="false">SUM(U2229:W2229)</f>
        <v>0</v>
      </c>
      <c r="AA2229" s="3" t="n">
        <f aca="false">SUM(S2229:X2229)</f>
        <v>1</v>
      </c>
      <c r="AB2229" s="11" t="n">
        <f aca="false">(AA2229/(K2229*L2229)*25)*4</f>
        <v>4</v>
      </c>
    </row>
    <row r="2230" customFormat="false" ht="14.25" hidden="false" customHeight="false" outlineLevel="0" collapsed="false">
      <c r="A2230" s="1" t="n">
        <v>2014</v>
      </c>
      <c r="B2230" s="7" t="s">
        <v>322</v>
      </c>
      <c r="C2230" s="7" t="n">
        <v>2</v>
      </c>
      <c r="D2230" s="7" t="s">
        <v>295</v>
      </c>
      <c r="E2230" s="7" t="s">
        <v>295</v>
      </c>
      <c r="F2230" s="3" t="s">
        <v>324</v>
      </c>
      <c r="G2230" s="3" t="n">
        <v>2</v>
      </c>
      <c r="H2230" s="3" t="n">
        <v>7</v>
      </c>
      <c r="I2230" s="22" t="n">
        <v>41793</v>
      </c>
      <c r="J2230" s="22" t="n">
        <v>41798</v>
      </c>
      <c r="K2230" s="43" t="n">
        <f aca="false">J2230-I2230</f>
        <v>5</v>
      </c>
      <c r="L2230" s="1" t="n">
        <v>5</v>
      </c>
      <c r="M2230" s="3" t="s">
        <v>72</v>
      </c>
      <c r="N2230" s="3" t="s">
        <v>73</v>
      </c>
      <c r="O2230" s="3" t="s">
        <v>74</v>
      </c>
      <c r="P2230" s="2" t="str">
        <f aca="false">CONCATENATE(N2230," ",O2230)</f>
        <v>Zelotes subterraneus</v>
      </c>
      <c r="Q2230" s="1" t="s">
        <v>30</v>
      </c>
      <c r="R2230" s="1" t="s">
        <v>31</v>
      </c>
      <c r="S2230" s="3" t="n">
        <v>1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f aca="false">SUM(S2230:T2230)</f>
        <v>1</v>
      </c>
      <c r="Z2230" s="3" t="n">
        <f aca="false">SUM(U2230:W2230)</f>
        <v>0</v>
      </c>
      <c r="AA2230" s="3" t="n">
        <f aca="false">SUM(S2230:X2230)</f>
        <v>1</v>
      </c>
      <c r="AB2230" s="11" t="n">
        <f aca="false">(AA2230/(K2230*L2230)*25)*4</f>
        <v>4</v>
      </c>
    </row>
    <row r="2231" customFormat="false" ht="14.25" hidden="false" customHeight="false" outlineLevel="0" collapsed="false">
      <c r="A2231" s="1" t="n">
        <v>2014</v>
      </c>
      <c r="B2231" s="7" t="s">
        <v>322</v>
      </c>
      <c r="C2231" s="7" t="n">
        <v>2</v>
      </c>
      <c r="D2231" s="7" t="s">
        <v>295</v>
      </c>
      <c r="E2231" s="7" t="s">
        <v>295</v>
      </c>
      <c r="F2231" s="3" t="s">
        <v>324</v>
      </c>
      <c r="G2231" s="3" t="n">
        <v>1</v>
      </c>
      <c r="H2231" s="3" t="n">
        <v>2</v>
      </c>
      <c r="I2231" s="22" t="n">
        <v>41793</v>
      </c>
      <c r="J2231" s="22" t="n">
        <v>41798</v>
      </c>
      <c r="K2231" s="43" t="n">
        <f aca="false">J2231-I2231</f>
        <v>5</v>
      </c>
      <c r="L2231" s="1" t="n">
        <v>5</v>
      </c>
      <c r="M2231" s="3" t="s">
        <v>48</v>
      </c>
      <c r="N2231" s="3" t="s">
        <v>49</v>
      </c>
      <c r="O2231" s="3" t="s">
        <v>130</v>
      </c>
      <c r="P2231" s="2" t="str">
        <f aca="false">CONCATENATE(N2231," ",O2231)</f>
        <v>Alopecosa aculeata</v>
      </c>
      <c r="Q2231" s="1" t="s">
        <v>30</v>
      </c>
      <c r="R2231" s="1" t="s">
        <v>35</v>
      </c>
      <c r="S2231" s="3" t="n">
        <v>0</v>
      </c>
      <c r="T2231" s="3" t="n">
        <v>1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f aca="false">SUM(S2231:T2231)</f>
        <v>1</v>
      </c>
      <c r="Z2231" s="3" t="n">
        <f aca="false">SUM(U2231:W2231)</f>
        <v>0</v>
      </c>
      <c r="AA2231" s="3" t="n">
        <f aca="false">SUM(S2231:X2231)</f>
        <v>1</v>
      </c>
      <c r="AB2231" s="11" t="n">
        <f aca="false">(AA2231/(K2231*L2231)*25)*4</f>
        <v>4</v>
      </c>
    </row>
    <row r="2232" customFormat="false" ht="14.25" hidden="false" customHeight="false" outlineLevel="0" collapsed="false">
      <c r="A2232" s="1" t="n">
        <v>2014</v>
      </c>
      <c r="B2232" s="7" t="s">
        <v>322</v>
      </c>
      <c r="C2232" s="7" t="n">
        <v>2</v>
      </c>
      <c r="D2232" s="7" t="s">
        <v>295</v>
      </c>
      <c r="E2232" s="7" t="s">
        <v>295</v>
      </c>
      <c r="F2232" s="3" t="s">
        <v>324</v>
      </c>
      <c r="G2232" s="3" t="n">
        <v>1</v>
      </c>
      <c r="H2232" s="3" t="n">
        <v>2</v>
      </c>
      <c r="I2232" s="22" t="n">
        <v>41793</v>
      </c>
      <c r="J2232" s="22" t="n">
        <v>41798</v>
      </c>
      <c r="K2232" s="43" t="n">
        <f aca="false">J2232-I2232</f>
        <v>5</v>
      </c>
      <c r="L2232" s="1" t="n">
        <v>5</v>
      </c>
      <c r="M2232" s="3" t="s">
        <v>48</v>
      </c>
      <c r="N2232" s="3" t="s">
        <v>49</v>
      </c>
      <c r="O2232" s="3" t="s">
        <v>119</v>
      </c>
      <c r="P2232" s="2" t="str">
        <f aca="false">CONCATENATE(N2232," ",O2232)</f>
        <v>Alopecosa sulzeri</v>
      </c>
      <c r="Q2232" s="1" t="s">
        <v>30</v>
      </c>
      <c r="R2232" s="1" t="s">
        <v>31</v>
      </c>
      <c r="S2232" s="3" t="n">
        <v>1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f aca="false">SUM(S2232:T2232)</f>
        <v>1</v>
      </c>
      <c r="Z2232" s="3" t="n">
        <f aca="false">SUM(U2232:W2232)</f>
        <v>0</v>
      </c>
      <c r="AA2232" s="3" t="n">
        <f aca="false">SUM(S2232:X2232)</f>
        <v>1</v>
      </c>
      <c r="AB2232" s="11" t="n">
        <f aca="false">(AA2232/(K2232*L2232)*25)*4</f>
        <v>4</v>
      </c>
    </row>
    <row r="2233" customFormat="false" ht="14.25" hidden="false" customHeight="false" outlineLevel="0" collapsed="false">
      <c r="A2233" s="1" t="n">
        <v>2014</v>
      </c>
      <c r="B2233" s="7" t="s">
        <v>322</v>
      </c>
      <c r="C2233" s="7" t="n">
        <v>2</v>
      </c>
      <c r="D2233" s="7" t="s">
        <v>295</v>
      </c>
      <c r="E2233" s="7" t="s">
        <v>295</v>
      </c>
      <c r="F2233" s="3" t="s">
        <v>324</v>
      </c>
      <c r="G2233" s="3" t="n">
        <v>1</v>
      </c>
      <c r="H2233" s="3" t="n">
        <v>2</v>
      </c>
      <c r="I2233" s="22" t="n">
        <v>41793</v>
      </c>
      <c r="J2233" s="22" t="n">
        <v>41798</v>
      </c>
      <c r="K2233" s="43" t="n">
        <f aca="false">J2233-I2233</f>
        <v>5</v>
      </c>
      <c r="L2233" s="1" t="n">
        <v>5</v>
      </c>
      <c r="M2233" s="3" t="s">
        <v>48</v>
      </c>
      <c r="N2233" s="3" t="s">
        <v>122</v>
      </c>
      <c r="O2233" s="3" t="s">
        <v>123</v>
      </c>
      <c r="P2233" s="2" t="str">
        <f aca="false">CONCATENATE(N2233," ",O2233)</f>
        <v>Xerolycosa nemoralis</v>
      </c>
      <c r="Q2233" s="1" t="s">
        <v>30</v>
      </c>
      <c r="R2233" s="1" t="s">
        <v>31</v>
      </c>
      <c r="S2233" s="3" t="n">
        <v>1</v>
      </c>
      <c r="T2233" s="3" t="n">
        <v>0</v>
      </c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f aca="false">SUM(S2233:T2233)</f>
        <v>1</v>
      </c>
      <c r="Z2233" s="3" t="n">
        <f aca="false">SUM(U2233:W2233)</f>
        <v>0</v>
      </c>
      <c r="AA2233" s="3" t="n">
        <f aca="false">SUM(S2233:X2233)</f>
        <v>1</v>
      </c>
      <c r="AB2233" s="11" t="n">
        <f aca="false">(AA2233/(K2233*L2233)*25)*4</f>
        <v>4</v>
      </c>
    </row>
    <row r="2234" customFormat="false" ht="14.25" hidden="false" customHeight="false" outlineLevel="0" collapsed="false">
      <c r="A2234" s="1" t="n">
        <v>2014</v>
      </c>
      <c r="B2234" s="7" t="s">
        <v>322</v>
      </c>
      <c r="C2234" s="7" t="n">
        <v>2</v>
      </c>
      <c r="D2234" s="7" t="s">
        <v>295</v>
      </c>
      <c r="E2234" s="7" t="s">
        <v>295</v>
      </c>
      <c r="F2234" s="3" t="s">
        <v>324</v>
      </c>
      <c r="G2234" s="3" t="n">
        <v>1</v>
      </c>
      <c r="H2234" s="3" t="n">
        <v>2</v>
      </c>
      <c r="I2234" s="22" t="n">
        <v>41793</v>
      </c>
      <c r="J2234" s="22" t="n">
        <v>41798</v>
      </c>
      <c r="K2234" s="43" t="n">
        <f aca="false">J2234-I2234</f>
        <v>5</v>
      </c>
      <c r="L2234" s="1" t="n">
        <v>5</v>
      </c>
      <c r="M2234" s="3" t="s">
        <v>72</v>
      </c>
      <c r="N2234" s="3" t="s">
        <v>139</v>
      </c>
      <c r="O2234" s="3" t="s">
        <v>140</v>
      </c>
      <c r="P2234" s="2" t="str">
        <f aca="false">CONCATENATE(N2234," ",O2234)</f>
        <v>Gnaphosa muscorum</v>
      </c>
      <c r="Q2234" s="1" t="s">
        <v>30</v>
      </c>
      <c r="R2234" s="1" t="s">
        <v>31</v>
      </c>
      <c r="S2234" s="3" t="n">
        <v>2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f aca="false">SUM(S2234:T2234)</f>
        <v>2</v>
      </c>
      <c r="Z2234" s="3" t="n">
        <f aca="false">SUM(U2234:W2234)</f>
        <v>0</v>
      </c>
      <c r="AA2234" s="3" t="n">
        <f aca="false">SUM(S2234:X2234)</f>
        <v>2</v>
      </c>
      <c r="AB2234" s="11" t="n">
        <f aca="false">(AA2234/(K2234*L2234)*25)*4</f>
        <v>8</v>
      </c>
    </row>
    <row r="2235" customFormat="false" ht="14.25" hidden="false" customHeight="false" outlineLevel="0" collapsed="false">
      <c r="A2235" s="1" t="n">
        <v>2014</v>
      </c>
      <c r="B2235" s="7" t="s">
        <v>322</v>
      </c>
      <c r="C2235" s="7" t="n">
        <v>2</v>
      </c>
      <c r="D2235" s="7" t="s">
        <v>295</v>
      </c>
      <c r="E2235" s="7" t="s">
        <v>295</v>
      </c>
      <c r="F2235" s="3" t="s">
        <v>324</v>
      </c>
      <c r="G2235" s="3" t="n">
        <v>1</v>
      </c>
      <c r="H2235" s="3" t="n">
        <v>2</v>
      </c>
      <c r="I2235" s="22" t="n">
        <v>41793</v>
      </c>
      <c r="J2235" s="22" t="n">
        <v>41798</v>
      </c>
      <c r="K2235" s="43" t="n">
        <f aca="false">J2235-I2235</f>
        <v>5</v>
      </c>
      <c r="L2235" s="1" t="n">
        <v>5</v>
      </c>
      <c r="M2235" s="3" t="s">
        <v>72</v>
      </c>
      <c r="N2235" s="3" t="s">
        <v>139</v>
      </c>
      <c r="O2235" s="3" t="s">
        <v>140</v>
      </c>
      <c r="P2235" s="2" t="str">
        <f aca="false">CONCATENATE(N2235," ",O2235)</f>
        <v>Gnaphosa muscorum</v>
      </c>
      <c r="Q2235" s="1" t="s">
        <v>30</v>
      </c>
      <c r="R2235" s="1" t="s">
        <v>35</v>
      </c>
      <c r="S2235" s="3" t="n">
        <v>0</v>
      </c>
      <c r="T2235" s="3" t="n">
        <v>1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f aca="false">SUM(S2235:T2235)</f>
        <v>1</v>
      </c>
      <c r="Z2235" s="3" t="n">
        <f aca="false">SUM(U2235:W2235)</f>
        <v>0</v>
      </c>
      <c r="AA2235" s="3" t="n">
        <f aca="false">SUM(S2235:X2235)</f>
        <v>1</v>
      </c>
      <c r="AB2235" s="11" t="n">
        <f aca="false">(AA2235/(K2235*L2235)*25)*4</f>
        <v>4</v>
      </c>
    </row>
    <row r="2236" customFormat="false" ht="14.25" hidden="false" customHeight="false" outlineLevel="0" collapsed="false">
      <c r="A2236" s="1" t="n">
        <v>2014</v>
      </c>
      <c r="B2236" s="7" t="s">
        <v>322</v>
      </c>
      <c r="C2236" s="7" t="n">
        <v>2</v>
      </c>
      <c r="D2236" s="7" t="s">
        <v>295</v>
      </c>
      <c r="E2236" s="7" t="s">
        <v>295</v>
      </c>
      <c r="F2236" s="3" t="s">
        <v>324</v>
      </c>
      <c r="G2236" s="3" t="n">
        <v>1</v>
      </c>
      <c r="H2236" s="3" t="n">
        <v>1</v>
      </c>
      <c r="I2236" s="22" t="n">
        <v>41793</v>
      </c>
      <c r="J2236" s="22" t="n">
        <v>41798</v>
      </c>
      <c r="K2236" s="43" t="n">
        <f aca="false">J2236-I2236</f>
        <v>5</v>
      </c>
      <c r="L2236" s="1" t="n">
        <v>5</v>
      </c>
      <c r="M2236" s="3" t="s">
        <v>48</v>
      </c>
      <c r="N2236" s="3" t="s">
        <v>49</v>
      </c>
      <c r="O2236" s="3" t="s">
        <v>130</v>
      </c>
      <c r="P2236" s="2" t="str">
        <f aca="false">CONCATENATE(N2236," ",O2236)</f>
        <v>Alopecosa aculeata</v>
      </c>
      <c r="Q2236" s="1" t="s">
        <v>30</v>
      </c>
      <c r="R2236" s="1" t="s">
        <v>31</v>
      </c>
      <c r="S2236" s="3" t="n">
        <v>2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f aca="false">SUM(S2236:T2236)</f>
        <v>2</v>
      </c>
      <c r="Z2236" s="3" t="n">
        <f aca="false">SUM(U2236:W2236)</f>
        <v>0</v>
      </c>
      <c r="AA2236" s="3" t="n">
        <f aca="false">SUM(S2236:X2236)</f>
        <v>2</v>
      </c>
      <c r="AB2236" s="11" t="n">
        <f aca="false">(AA2236/(K2236*L2236)*25)*4</f>
        <v>8</v>
      </c>
    </row>
    <row r="2237" customFormat="false" ht="14.25" hidden="false" customHeight="false" outlineLevel="0" collapsed="false">
      <c r="A2237" s="1" t="n">
        <v>2014</v>
      </c>
      <c r="B2237" s="7" t="s">
        <v>322</v>
      </c>
      <c r="C2237" s="7" t="n">
        <v>2</v>
      </c>
      <c r="D2237" s="7" t="s">
        <v>295</v>
      </c>
      <c r="E2237" s="7" t="s">
        <v>295</v>
      </c>
      <c r="F2237" s="3" t="s">
        <v>324</v>
      </c>
      <c r="G2237" s="3" t="n">
        <v>1</v>
      </c>
      <c r="H2237" s="3" t="n">
        <v>1</v>
      </c>
      <c r="I2237" s="22" t="n">
        <v>41793</v>
      </c>
      <c r="J2237" s="22" t="n">
        <v>41798</v>
      </c>
      <c r="K2237" s="43" t="n">
        <f aca="false">J2237-I2237</f>
        <v>5</v>
      </c>
      <c r="L2237" s="1" t="n">
        <v>5</v>
      </c>
      <c r="M2237" s="3" t="s">
        <v>48</v>
      </c>
      <c r="N2237" s="3" t="s">
        <v>49</v>
      </c>
      <c r="O2237" s="3" t="s">
        <v>130</v>
      </c>
      <c r="P2237" s="2" t="str">
        <f aca="false">CONCATENATE(N2237," ",O2237)</f>
        <v>Alopecosa aculeata</v>
      </c>
      <c r="Q2237" s="1" t="s">
        <v>30</v>
      </c>
      <c r="R2237" s="1" t="s">
        <v>35</v>
      </c>
      <c r="S2237" s="3" t="n">
        <v>0</v>
      </c>
      <c r="T2237" s="3" t="n">
        <v>1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f aca="false">SUM(S2237:T2237)</f>
        <v>1</v>
      </c>
      <c r="Z2237" s="3" t="n">
        <f aca="false">SUM(U2237:W2237)</f>
        <v>0</v>
      </c>
      <c r="AA2237" s="3" t="n">
        <f aca="false">SUM(S2237:X2237)</f>
        <v>1</v>
      </c>
      <c r="AB2237" s="11" t="n">
        <f aca="false">(AA2237/(K2237*L2237)*25)*4</f>
        <v>4</v>
      </c>
    </row>
    <row r="2238" customFormat="false" ht="14.25" hidden="false" customHeight="false" outlineLevel="0" collapsed="false">
      <c r="A2238" s="1" t="n">
        <v>2014</v>
      </c>
      <c r="B2238" s="7" t="s">
        <v>322</v>
      </c>
      <c r="C2238" s="7" t="n">
        <v>2</v>
      </c>
      <c r="D2238" s="7" t="s">
        <v>295</v>
      </c>
      <c r="E2238" s="7" t="s">
        <v>295</v>
      </c>
      <c r="F2238" s="3" t="s">
        <v>324</v>
      </c>
      <c r="G2238" s="3" t="n">
        <v>1</v>
      </c>
      <c r="H2238" s="3" t="n">
        <v>1</v>
      </c>
      <c r="I2238" s="22" t="n">
        <v>41793</v>
      </c>
      <c r="J2238" s="22" t="n">
        <v>41798</v>
      </c>
      <c r="K2238" s="43" t="n">
        <f aca="false">J2238-I2238</f>
        <v>5</v>
      </c>
      <c r="L2238" s="1" t="n">
        <v>5</v>
      </c>
      <c r="M2238" s="3" t="s">
        <v>48</v>
      </c>
      <c r="N2238" s="3" t="s">
        <v>49</v>
      </c>
      <c r="O2238" s="3" t="s">
        <v>119</v>
      </c>
      <c r="P2238" s="2" t="str">
        <f aca="false">CONCATENATE(N2238," ",O2238)</f>
        <v>Alopecosa sulzeri</v>
      </c>
      <c r="Q2238" s="1" t="s">
        <v>30</v>
      </c>
      <c r="R2238" s="1" t="s">
        <v>31</v>
      </c>
      <c r="S2238" s="3" t="n">
        <v>1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f aca="false">SUM(S2238:T2238)</f>
        <v>1</v>
      </c>
      <c r="Z2238" s="3" t="n">
        <f aca="false">SUM(U2238:W2238)</f>
        <v>0</v>
      </c>
      <c r="AA2238" s="3" t="n">
        <f aca="false">SUM(S2238:X2238)</f>
        <v>1</v>
      </c>
      <c r="AB2238" s="11" t="n">
        <f aca="false">(AA2238/(K2238*L2238)*25)*4</f>
        <v>4</v>
      </c>
    </row>
    <row r="2239" customFormat="false" ht="14.25" hidden="false" customHeight="false" outlineLevel="0" collapsed="false">
      <c r="A2239" s="1" t="n">
        <v>2014</v>
      </c>
      <c r="B2239" s="7" t="s">
        <v>322</v>
      </c>
      <c r="C2239" s="7" t="n">
        <v>2</v>
      </c>
      <c r="D2239" s="7" t="s">
        <v>295</v>
      </c>
      <c r="E2239" s="7" t="s">
        <v>295</v>
      </c>
      <c r="F2239" s="3" t="s">
        <v>324</v>
      </c>
      <c r="G2239" s="3" t="n">
        <v>1</v>
      </c>
      <c r="H2239" s="3" t="n">
        <v>1</v>
      </c>
      <c r="I2239" s="22" t="n">
        <v>41793</v>
      </c>
      <c r="J2239" s="22" t="n">
        <v>41798</v>
      </c>
      <c r="K2239" s="43" t="n">
        <f aca="false">J2239-I2239</f>
        <v>5</v>
      </c>
      <c r="L2239" s="1" t="n">
        <v>5</v>
      </c>
      <c r="M2239" s="3" t="s">
        <v>48</v>
      </c>
      <c r="N2239" s="3" t="s">
        <v>67</v>
      </c>
      <c r="O2239" s="3" t="s">
        <v>127</v>
      </c>
      <c r="P2239" s="2" t="str">
        <f aca="false">CONCATENATE(N2239," ",O2239)</f>
        <v>Pardosa lugubris</v>
      </c>
      <c r="Q2239" s="1" t="s">
        <v>30</v>
      </c>
      <c r="R2239" s="1" t="s">
        <v>31</v>
      </c>
      <c r="S2239" s="3" t="n">
        <v>2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f aca="false">SUM(S2239:T2239)</f>
        <v>2</v>
      </c>
      <c r="Z2239" s="3" t="n">
        <f aca="false">SUM(U2239:W2239)</f>
        <v>0</v>
      </c>
      <c r="AA2239" s="3" t="n">
        <f aca="false">SUM(S2239:X2239)</f>
        <v>2</v>
      </c>
      <c r="AB2239" s="11" t="n">
        <f aca="false">(AA2239/(K2239*L2239)*25)*4</f>
        <v>8</v>
      </c>
    </row>
    <row r="2240" customFormat="false" ht="14.25" hidden="false" customHeight="false" outlineLevel="0" collapsed="false">
      <c r="A2240" s="1" t="n">
        <v>2014</v>
      </c>
      <c r="B2240" s="7" t="s">
        <v>322</v>
      </c>
      <c r="C2240" s="7" t="n">
        <v>2</v>
      </c>
      <c r="D2240" s="7" t="s">
        <v>295</v>
      </c>
      <c r="E2240" s="7" t="s">
        <v>295</v>
      </c>
      <c r="F2240" s="3" t="s">
        <v>324</v>
      </c>
      <c r="G2240" s="3" t="n">
        <v>1</v>
      </c>
      <c r="H2240" s="3" t="n">
        <v>1</v>
      </c>
      <c r="I2240" s="22" t="n">
        <v>41793</v>
      </c>
      <c r="J2240" s="22" t="n">
        <v>41798</v>
      </c>
      <c r="K2240" s="43" t="n">
        <f aca="false">J2240-I2240</f>
        <v>5</v>
      </c>
      <c r="L2240" s="1" t="n">
        <v>5</v>
      </c>
      <c r="M2240" s="3" t="s">
        <v>48</v>
      </c>
      <c r="N2240" s="3" t="s">
        <v>122</v>
      </c>
      <c r="O2240" s="3" t="s">
        <v>123</v>
      </c>
      <c r="P2240" s="2" t="str">
        <f aca="false">CONCATENATE(N2240," ",O2240)</f>
        <v>Xerolycosa nemoralis</v>
      </c>
      <c r="Q2240" s="1" t="s">
        <v>30</v>
      </c>
      <c r="R2240" s="1" t="s">
        <v>31</v>
      </c>
      <c r="S2240" s="3" t="n">
        <v>2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f aca="false">SUM(S2240:T2240)</f>
        <v>2</v>
      </c>
      <c r="Z2240" s="3" t="n">
        <f aca="false">SUM(U2240:W2240)</f>
        <v>0</v>
      </c>
      <c r="AA2240" s="3" t="n">
        <f aca="false">SUM(S2240:X2240)</f>
        <v>2</v>
      </c>
      <c r="AB2240" s="11" t="n">
        <f aca="false">(AA2240/(K2240*L2240)*25)*4</f>
        <v>8</v>
      </c>
    </row>
    <row r="2241" customFormat="false" ht="14.25" hidden="false" customHeight="false" outlineLevel="0" collapsed="false">
      <c r="A2241" s="1" t="n">
        <v>2014</v>
      </c>
      <c r="B2241" s="7" t="s">
        <v>322</v>
      </c>
      <c r="C2241" s="7" t="n">
        <v>2</v>
      </c>
      <c r="D2241" s="7" t="s">
        <v>295</v>
      </c>
      <c r="E2241" s="7" t="s">
        <v>295</v>
      </c>
      <c r="F2241" s="3" t="s">
        <v>324</v>
      </c>
      <c r="G2241" s="3" t="n">
        <v>1</v>
      </c>
      <c r="H2241" s="3" t="n">
        <v>1</v>
      </c>
      <c r="I2241" s="22" t="n">
        <v>41793</v>
      </c>
      <c r="J2241" s="22" t="n">
        <v>41798</v>
      </c>
      <c r="K2241" s="43" t="n">
        <f aca="false">J2241-I2241</f>
        <v>5</v>
      </c>
      <c r="L2241" s="1" t="n">
        <v>5</v>
      </c>
      <c r="M2241" s="3" t="s">
        <v>72</v>
      </c>
      <c r="N2241" s="3" t="s">
        <v>139</v>
      </c>
      <c r="O2241" s="3" t="s">
        <v>140</v>
      </c>
      <c r="P2241" s="2" t="str">
        <f aca="false">CONCATENATE(N2241," ",O2241)</f>
        <v>Gnaphosa muscorum</v>
      </c>
      <c r="Q2241" s="1" t="s">
        <v>30</v>
      </c>
      <c r="R2241" s="1" t="s">
        <v>31</v>
      </c>
      <c r="S2241" s="3" t="n">
        <v>2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f aca="false">SUM(S2241:T2241)</f>
        <v>2</v>
      </c>
      <c r="Z2241" s="3" t="n">
        <f aca="false">SUM(U2241:W2241)</f>
        <v>0</v>
      </c>
      <c r="AA2241" s="3" t="n">
        <f aca="false">SUM(S2241:X2241)</f>
        <v>2</v>
      </c>
      <c r="AB2241" s="11" t="n">
        <f aca="false">(AA2241/(K2241*L2241)*25)*4</f>
        <v>8</v>
      </c>
    </row>
    <row r="2242" customFormat="false" ht="14.25" hidden="false" customHeight="false" outlineLevel="0" collapsed="false">
      <c r="A2242" s="1" t="n">
        <v>2014</v>
      </c>
      <c r="B2242" s="7" t="s">
        <v>322</v>
      </c>
      <c r="C2242" s="7" t="n">
        <v>2</v>
      </c>
      <c r="D2242" s="7" t="s">
        <v>295</v>
      </c>
      <c r="E2242" s="7" t="s">
        <v>295</v>
      </c>
      <c r="F2242" s="3" t="s">
        <v>324</v>
      </c>
      <c r="G2242" s="3" t="n">
        <v>1</v>
      </c>
      <c r="H2242" s="3" t="n">
        <v>1</v>
      </c>
      <c r="I2242" s="22" t="n">
        <v>41793</v>
      </c>
      <c r="J2242" s="22" t="n">
        <v>41798</v>
      </c>
      <c r="K2242" s="43" t="n">
        <f aca="false">J2242-I2242</f>
        <v>5</v>
      </c>
      <c r="L2242" s="1" t="n">
        <v>5</v>
      </c>
      <c r="M2242" s="3" t="s">
        <v>72</v>
      </c>
      <c r="N2242" s="3" t="s">
        <v>139</v>
      </c>
      <c r="O2242" s="3" t="s">
        <v>140</v>
      </c>
      <c r="P2242" s="2" t="str">
        <f aca="false">CONCATENATE(N2242," ",O2242)</f>
        <v>Gnaphosa muscorum</v>
      </c>
      <c r="Q2242" s="1" t="s">
        <v>30</v>
      </c>
      <c r="R2242" s="1" t="s">
        <v>35</v>
      </c>
      <c r="S2242" s="3" t="n">
        <v>0</v>
      </c>
      <c r="T2242" s="3" t="n">
        <v>1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f aca="false">SUM(S2242:T2242)</f>
        <v>1</v>
      </c>
      <c r="Z2242" s="3" t="n">
        <f aca="false">SUM(U2242:W2242)</f>
        <v>0</v>
      </c>
      <c r="AA2242" s="3" t="n">
        <f aca="false">SUM(S2242:X2242)</f>
        <v>1</v>
      </c>
      <c r="AB2242" s="11" t="n">
        <f aca="false">(AA2242/(K2242*L2242)*25)*4</f>
        <v>4</v>
      </c>
    </row>
    <row r="2243" customFormat="false" ht="14.25" hidden="false" customHeight="false" outlineLevel="0" collapsed="false">
      <c r="A2243" s="1" t="n">
        <v>2014</v>
      </c>
      <c r="B2243" s="7" t="s">
        <v>322</v>
      </c>
      <c r="C2243" s="7" t="n">
        <v>2</v>
      </c>
      <c r="D2243" s="7" t="s">
        <v>295</v>
      </c>
      <c r="E2243" s="7" t="s">
        <v>295</v>
      </c>
      <c r="F2243" s="3" t="s">
        <v>324</v>
      </c>
      <c r="G2243" s="3" t="n">
        <v>1</v>
      </c>
      <c r="H2243" s="3" t="n">
        <v>1</v>
      </c>
      <c r="I2243" s="22" t="n">
        <v>41793</v>
      </c>
      <c r="J2243" s="22" t="n">
        <v>41798</v>
      </c>
      <c r="K2243" s="43" t="n">
        <f aca="false">J2243-I2243</f>
        <v>5</v>
      </c>
      <c r="L2243" s="1" t="n">
        <v>5</v>
      </c>
      <c r="M2243" s="3" t="s">
        <v>226</v>
      </c>
      <c r="N2243" s="3" t="s">
        <v>65</v>
      </c>
      <c r="O2243" s="3" t="s">
        <v>123</v>
      </c>
      <c r="P2243" s="2" t="str">
        <f aca="false">CONCATENATE(N2243," ",O2243)</f>
        <v>Zora nemoralis</v>
      </c>
      <c r="Q2243" s="1" t="s">
        <v>30</v>
      </c>
      <c r="R2243" s="1" t="s">
        <v>31</v>
      </c>
      <c r="S2243" s="3" t="n">
        <v>2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f aca="false">SUM(S2243:T2243)</f>
        <v>2</v>
      </c>
      <c r="Z2243" s="3" t="n">
        <f aca="false">SUM(U2243:W2243)</f>
        <v>0</v>
      </c>
      <c r="AA2243" s="3" t="n">
        <f aca="false">SUM(S2243:X2243)</f>
        <v>2</v>
      </c>
      <c r="AB2243" s="11" t="n">
        <f aca="false">(AA2243/(K2243*L2243)*25)*4</f>
        <v>8</v>
      </c>
    </row>
    <row r="2244" customFormat="false" ht="14.25" hidden="false" customHeight="false" outlineLevel="0" collapsed="false">
      <c r="A2244" s="1" t="n">
        <v>2014</v>
      </c>
      <c r="B2244" s="7" t="s">
        <v>322</v>
      </c>
      <c r="C2244" s="7" t="n">
        <v>2</v>
      </c>
      <c r="D2244" s="7" t="s">
        <v>295</v>
      </c>
      <c r="E2244" s="7" t="s">
        <v>295</v>
      </c>
      <c r="F2244" s="3" t="s">
        <v>324</v>
      </c>
      <c r="G2244" s="3" t="n">
        <v>1</v>
      </c>
      <c r="H2244" s="3" t="n">
        <v>1</v>
      </c>
      <c r="I2244" s="22" t="n">
        <v>41793</v>
      </c>
      <c r="J2244" s="22" t="n">
        <v>41798</v>
      </c>
      <c r="K2244" s="43" t="n">
        <f aca="false">J2244-I2244</f>
        <v>5</v>
      </c>
      <c r="L2244" s="1" t="n">
        <v>5</v>
      </c>
      <c r="M2244" s="3" t="s">
        <v>36</v>
      </c>
      <c r="N2244" s="3" t="s">
        <v>37</v>
      </c>
      <c r="O2244" s="3" t="s">
        <v>75</v>
      </c>
      <c r="P2244" s="2" t="str">
        <f aca="false">CONCATENATE(N2244," ",O2244)</f>
        <v>Ozyptila praticola</v>
      </c>
      <c r="Q2244" s="1" t="s">
        <v>30</v>
      </c>
      <c r="R2244" s="1" t="s">
        <v>35</v>
      </c>
      <c r="S2244" s="3" t="n">
        <v>0</v>
      </c>
      <c r="T2244" s="3" t="n">
        <v>1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f aca="false">SUM(S2244:T2244)</f>
        <v>1</v>
      </c>
      <c r="Z2244" s="3" t="n">
        <f aca="false">SUM(U2244:W2244)</f>
        <v>0</v>
      </c>
      <c r="AA2244" s="3" t="n">
        <f aca="false">SUM(S2244:X2244)</f>
        <v>1</v>
      </c>
      <c r="AB2244" s="11" t="n">
        <f aca="false">(AA2244/(K2244*L2244)*25)*4</f>
        <v>4</v>
      </c>
    </row>
    <row r="2245" customFormat="false" ht="14.25" hidden="false" customHeight="false" outlineLevel="0" collapsed="false">
      <c r="A2245" s="1" t="n">
        <v>2014</v>
      </c>
      <c r="B2245" s="7" t="s">
        <v>322</v>
      </c>
      <c r="C2245" s="7" t="n">
        <v>2</v>
      </c>
      <c r="D2245" s="7" t="s">
        <v>295</v>
      </c>
      <c r="E2245" s="7" t="s">
        <v>295</v>
      </c>
      <c r="F2245" s="3" t="s">
        <v>324</v>
      </c>
      <c r="G2245" s="3" t="n">
        <v>2</v>
      </c>
      <c r="H2245" s="3" t="n">
        <v>10</v>
      </c>
      <c r="I2245" s="22" t="n">
        <v>41793</v>
      </c>
      <c r="J2245" s="22" t="n">
        <v>41798</v>
      </c>
      <c r="K2245" s="43" t="n">
        <f aca="false">J2245-I2245</f>
        <v>5</v>
      </c>
      <c r="L2245" s="1" t="n">
        <v>5</v>
      </c>
      <c r="M2245" s="3" t="s">
        <v>48</v>
      </c>
      <c r="N2245" s="3" t="s">
        <v>49</v>
      </c>
      <c r="O2245" s="3" t="s">
        <v>130</v>
      </c>
      <c r="P2245" s="2" t="str">
        <f aca="false">CONCATENATE(N2245," ",O2245)</f>
        <v>Alopecosa aculeata</v>
      </c>
      <c r="Q2245" s="1" t="s">
        <v>30</v>
      </c>
      <c r="R2245" s="1" t="s">
        <v>31</v>
      </c>
      <c r="S2245" s="3" t="n">
        <v>2</v>
      </c>
      <c r="T2245" s="3" t="n">
        <v>0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f aca="false">SUM(S2245:T2245)</f>
        <v>2</v>
      </c>
      <c r="Z2245" s="3" t="n">
        <f aca="false">SUM(U2245:W2245)</f>
        <v>0</v>
      </c>
      <c r="AA2245" s="3" t="n">
        <f aca="false">SUM(S2245:X2245)</f>
        <v>2</v>
      </c>
      <c r="AB2245" s="11" t="n">
        <f aca="false">(AA2245/(K2245*L2245)*25)*4</f>
        <v>8</v>
      </c>
    </row>
    <row r="2246" customFormat="false" ht="14.25" hidden="false" customHeight="false" outlineLevel="0" collapsed="false">
      <c r="A2246" s="1" t="n">
        <v>2014</v>
      </c>
      <c r="B2246" s="7" t="s">
        <v>322</v>
      </c>
      <c r="C2246" s="7" t="n">
        <v>2</v>
      </c>
      <c r="D2246" s="7" t="s">
        <v>295</v>
      </c>
      <c r="E2246" s="7" t="s">
        <v>295</v>
      </c>
      <c r="F2246" s="3" t="s">
        <v>324</v>
      </c>
      <c r="G2246" s="3" t="n">
        <v>2</v>
      </c>
      <c r="H2246" s="3" t="n">
        <v>10</v>
      </c>
      <c r="I2246" s="22" t="n">
        <v>41793</v>
      </c>
      <c r="J2246" s="22" t="n">
        <v>41798</v>
      </c>
      <c r="K2246" s="43" t="n">
        <f aca="false">J2246-I2246</f>
        <v>5</v>
      </c>
      <c r="L2246" s="1" t="n">
        <v>5</v>
      </c>
      <c r="M2246" s="3" t="s">
        <v>48</v>
      </c>
      <c r="N2246" s="3" t="s">
        <v>49</v>
      </c>
      <c r="O2246" s="3" t="s">
        <v>130</v>
      </c>
      <c r="P2246" s="2" t="str">
        <f aca="false">CONCATENATE(N2246," ",O2246)</f>
        <v>Alopecosa aculeata</v>
      </c>
      <c r="Q2246" s="1" t="s">
        <v>30</v>
      </c>
      <c r="R2246" s="1" t="s">
        <v>35</v>
      </c>
      <c r="S2246" s="3" t="n">
        <v>0</v>
      </c>
      <c r="T2246" s="3" t="n">
        <v>1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f aca="false">SUM(S2246:T2246)</f>
        <v>1</v>
      </c>
      <c r="Z2246" s="3" t="n">
        <f aca="false">SUM(U2246:W2246)</f>
        <v>0</v>
      </c>
      <c r="AA2246" s="3" t="n">
        <f aca="false">SUM(S2246:X2246)</f>
        <v>1</v>
      </c>
      <c r="AB2246" s="11" t="n">
        <f aca="false">(AA2246/(K2246*L2246)*25)*4</f>
        <v>4</v>
      </c>
    </row>
    <row r="2247" customFormat="false" ht="14.25" hidden="false" customHeight="false" outlineLevel="0" collapsed="false">
      <c r="A2247" s="1" t="n">
        <v>2014</v>
      </c>
      <c r="B2247" s="7" t="s">
        <v>322</v>
      </c>
      <c r="C2247" s="7" t="n">
        <v>2</v>
      </c>
      <c r="D2247" s="7" t="s">
        <v>295</v>
      </c>
      <c r="E2247" s="7" t="s">
        <v>295</v>
      </c>
      <c r="F2247" s="3" t="s">
        <v>324</v>
      </c>
      <c r="G2247" s="3" t="n">
        <v>2</v>
      </c>
      <c r="H2247" s="3" t="n">
        <v>10</v>
      </c>
      <c r="I2247" s="22" t="n">
        <v>41793</v>
      </c>
      <c r="J2247" s="22" t="n">
        <v>41798</v>
      </c>
      <c r="K2247" s="43" t="n">
        <f aca="false">J2247-I2247</f>
        <v>5</v>
      </c>
      <c r="L2247" s="1" t="n">
        <v>5</v>
      </c>
      <c r="M2247" s="3" t="s">
        <v>48</v>
      </c>
      <c r="N2247" s="3" t="s">
        <v>122</v>
      </c>
      <c r="O2247" s="3" t="s">
        <v>123</v>
      </c>
      <c r="P2247" s="2" t="str">
        <f aca="false">CONCATENATE(N2247," ",O2247)</f>
        <v>Xerolycosa nemoralis</v>
      </c>
      <c r="Q2247" s="1" t="s">
        <v>30</v>
      </c>
      <c r="R2247" s="1" t="s">
        <v>31</v>
      </c>
      <c r="S2247" s="3" t="n">
        <v>2</v>
      </c>
      <c r="T2247" s="3" t="n">
        <v>0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f aca="false">SUM(S2247:T2247)</f>
        <v>2</v>
      </c>
      <c r="Z2247" s="3" t="n">
        <f aca="false">SUM(U2247:W2247)</f>
        <v>0</v>
      </c>
      <c r="AA2247" s="3" t="n">
        <f aca="false">SUM(S2247:X2247)</f>
        <v>2</v>
      </c>
      <c r="AB2247" s="11" t="n">
        <f aca="false">(AA2247/(K2247*L2247)*25)*4</f>
        <v>8</v>
      </c>
    </row>
    <row r="2248" customFormat="false" ht="14.25" hidden="false" customHeight="false" outlineLevel="0" collapsed="false">
      <c r="A2248" s="1" t="n">
        <v>2014</v>
      </c>
      <c r="B2248" s="7" t="s">
        <v>322</v>
      </c>
      <c r="C2248" s="7" t="n">
        <v>2</v>
      </c>
      <c r="D2248" s="7" t="s">
        <v>295</v>
      </c>
      <c r="E2248" s="7" t="s">
        <v>295</v>
      </c>
      <c r="F2248" s="3" t="s">
        <v>324</v>
      </c>
      <c r="G2248" s="3" t="n">
        <v>2</v>
      </c>
      <c r="H2248" s="3" t="n">
        <v>10</v>
      </c>
      <c r="I2248" s="22" t="n">
        <v>41793</v>
      </c>
      <c r="J2248" s="22" t="n">
        <v>41798</v>
      </c>
      <c r="K2248" s="43" t="n">
        <f aca="false">J2248-I2248</f>
        <v>5</v>
      </c>
      <c r="L2248" s="1" t="n">
        <v>5</v>
      </c>
      <c r="M2248" s="3" t="s">
        <v>36</v>
      </c>
      <c r="N2248" s="3" t="s">
        <v>37</v>
      </c>
      <c r="O2248" s="3" t="s">
        <v>75</v>
      </c>
      <c r="P2248" s="2" t="str">
        <f aca="false">CONCATENATE(N2248," ",O2248)</f>
        <v>Ozyptila praticola</v>
      </c>
      <c r="Q2248" s="1" t="s">
        <v>30</v>
      </c>
      <c r="R2248" s="1" t="s">
        <v>31</v>
      </c>
      <c r="S2248" s="3" t="n">
        <v>1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f aca="false">SUM(S2248:T2248)</f>
        <v>1</v>
      </c>
      <c r="Z2248" s="3" t="n">
        <f aca="false">SUM(U2248:W2248)</f>
        <v>0</v>
      </c>
      <c r="AA2248" s="3" t="n">
        <f aca="false">SUM(S2248:X2248)</f>
        <v>1</v>
      </c>
      <c r="AB2248" s="11" t="n">
        <f aca="false">(AA2248/(K2248*L2248)*25)*4</f>
        <v>4</v>
      </c>
    </row>
    <row r="2249" customFormat="false" ht="14.25" hidden="false" customHeight="false" outlineLevel="0" collapsed="false">
      <c r="A2249" s="1" t="n">
        <v>2014</v>
      </c>
      <c r="B2249" s="7" t="s">
        <v>322</v>
      </c>
      <c r="C2249" s="7" t="n">
        <v>2</v>
      </c>
      <c r="D2249" s="7" t="s">
        <v>295</v>
      </c>
      <c r="E2249" s="7" t="s">
        <v>295</v>
      </c>
      <c r="F2249" s="3" t="s">
        <v>324</v>
      </c>
      <c r="G2249" s="3" t="n">
        <v>2</v>
      </c>
      <c r="H2249" s="3" t="n">
        <v>10</v>
      </c>
      <c r="I2249" s="22" t="n">
        <v>41793</v>
      </c>
      <c r="J2249" s="22" t="n">
        <v>41798</v>
      </c>
      <c r="K2249" s="43" t="n">
        <f aca="false">J2249-I2249</f>
        <v>5</v>
      </c>
      <c r="L2249" s="1" t="n">
        <v>5</v>
      </c>
      <c r="M2249" s="3" t="s">
        <v>135</v>
      </c>
      <c r="N2249" s="3" t="s">
        <v>136</v>
      </c>
      <c r="O2249" s="3" t="s">
        <v>137</v>
      </c>
      <c r="P2249" s="2" t="str">
        <f aca="false">CONCATENATE(N2249," ",O2249)</f>
        <v>Thanatus sabulosus</v>
      </c>
      <c r="Q2249" s="1" t="s">
        <v>30</v>
      </c>
      <c r="R2249" s="1" t="s">
        <v>31</v>
      </c>
      <c r="S2249" s="3" t="n">
        <v>1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f aca="false">SUM(S2249:T2249)</f>
        <v>1</v>
      </c>
      <c r="Z2249" s="3" t="n">
        <f aca="false">SUM(U2249:W2249)</f>
        <v>0</v>
      </c>
      <c r="AA2249" s="3" t="n">
        <f aca="false">SUM(S2249:X2249)</f>
        <v>1</v>
      </c>
      <c r="AB2249" s="11" t="n">
        <f aca="false">(AA2249/(K2249*L2249)*25)*4</f>
        <v>4</v>
      </c>
    </row>
    <row r="2250" customFormat="false" ht="14.25" hidden="false" customHeight="false" outlineLevel="0" collapsed="false">
      <c r="A2250" s="1" t="n">
        <v>2014</v>
      </c>
      <c r="B2250" s="7" t="s">
        <v>322</v>
      </c>
      <c r="C2250" s="7" t="n">
        <v>2</v>
      </c>
      <c r="D2250" s="7" t="s">
        <v>295</v>
      </c>
      <c r="E2250" s="7" t="s">
        <v>295</v>
      </c>
      <c r="F2250" s="3" t="s">
        <v>324</v>
      </c>
      <c r="G2250" s="3" t="n">
        <v>2</v>
      </c>
      <c r="H2250" s="3" t="n">
        <v>9</v>
      </c>
      <c r="I2250" s="22" t="n">
        <v>41793</v>
      </c>
      <c r="J2250" s="22" t="n">
        <v>41798</v>
      </c>
      <c r="K2250" s="43" t="n">
        <f aca="false">J2250-I2250</f>
        <v>5</v>
      </c>
      <c r="L2250" s="1" t="n">
        <v>5</v>
      </c>
      <c r="M2250" s="3" t="s">
        <v>48</v>
      </c>
      <c r="N2250" s="3" t="s">
        <v>49</v>
      </c>
      <c r="O2250" s="3" t="s">
        <v>130</v>
      </c>
      <c r="P2250" s="2" t="str">
        <f aca="false">CONCATENATE(N2250," ",O2250)</f>
        <v>Alopecosa aculeata</v>
      </c>
      <c r="Q2250" s="1" t="s">
        <v>30</v>
      </c>
      <c r="R2250" s="1" t="s">
        <v>35</v>
      </c>
      <c r="S2250" s="3" t="n">
        <v>0</v>
      </c>
      <c r="T2250" s="3" t="n">
        <v>1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f aca="false">SUM(S2250:T2250)</f>
        <v>1</v>
      </c>
      <c r="Z2250" s="3" t="n">
        <f aca="false">SUM(U2250:W2250)</f>
        <v>0</v>
      </c>
      <c r="AA2250" s="3" t="n">
        <f aca="false">SUM(S2250:X2250)</f>
        <v>1</v>
      </c>
      <c r="AB2250" s="11" t="n">
        <f aca="false">(AA2250/(K2250*L2250)*25)*4</f>
        <v>4</v>
      </c>
    </row>
    <row r="2251" customFormat="false" ht="14.25" hidden="false" customHeight="false" outlineLevel="0" collapsed="false">
      <c r="A2251" s="1" t="n">
        <v>2014</v>
      </c>
      <c r="B2251" s="7" t="s">
        <v>322</v>
      </c>
      <c r="C2251" s="7" t="n">
        <v>2</v>
      </c>
      <c r="D2251" s="7" t="s">
        <v>295</v>
      </c>
      <c r="E2251" s="7" t="s">
        <v>295</v>
      </c>
      <c r="F2251" s="3" t="s">
        <v>324</v>
      </c>
      <c r="G2251" s="3" t="n">
        <v>2</v>
      </c>
      <c r="H2251" s="3" t="n">
        <v>9</v>
      </c>
      <c r="I2251" s="22" t="n">
        <v>41793</v>
      </c>
      <c r="J2251" s="22" t="n">
        <v>41798</v>
      </c>
      <c r="K2251" s="43" t="n">
        <f aca="false">J2251-I2251</f>
        <v>5</v>
      </c>
      <c r="L2251" s="1" t="n">
        <v>5</v>
      </c>
      <c r="M2251" s="3" t="s">
        <v>48</v>
      </c>
      <c r="N2251" s="3" t="s">
        <v>49</v>
      </c>
      <c r="O2251" s="3" t="s">
        <v>119</v>
      </c>
      <c r="P2251" s="2" t="str">
        <f aca="false">CONCATENATE(N2251," ",O2251)</f>
        <v>Alopecosa sulzeri</v>
      </c>
      <c r="Q2251" s="1" t="s">
        <v>30</v>
      </c>
      <c r="R2251" s="1" t="s">
        <v>31</v>
      </c>
      <c r="S2251" s="3" t="n">
        <v>1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f aca="false">SUM(S2251:T2251)</f>
        <v>1</v>
      </c>
      <c r="Z2251" s="3" t="n">
        <f aca="false">SUM(U2251:W2251)</f>
        <v>0</v>
      </c>
      <c r="AA2251" s="3" t="n">
        <f aca="false">SUM(S2251:X2251)</f>
        <v>1</v>
      </c>
      <c r="AB2251" s="11" t="n">
        <f aca="false">(AA2251/(K2251*L2251)*25)*4</f>
        <v>4</v>
      </c>
    </row>
    <row r="2252" customFormat="false" ht="14.25" hidden="false" customHeight="false" outlineLevel="0" collapsed="false">
      <c r="A2252" s="1" t="n">
        <v>2014</v>
      </c>
      <c r="B2252" s="7" t="s">
        <v>322</v>
      </c>
      <c r="C2252" s="7" t="n">
        <v>2</v>
      </c>
      <c r="D2252" s="7" t="s">
        <v>295</v>
      </c>
      <c r="E2252" s="7" t="s">
        <v>295</v>
      </c>
      <c r="F2252" s="3" t="s">
        <v>324</v>
      </c>
      <c r="G2252" s="3" t="n">
        <v>2</v>
      </c>
      <c r="H2252" s="3" t="n">
        <v>9</v>
      </c>
      <c r="I2252" s="22" t="n">
        <v>41793</v>
      </c>
      <c r="J2252" s="22" t="n">
        <v>41798</v>
      </c>
      <c r="K2252" s="43" t="n">
        <f aca="false">J2252-I2252</f>
        <v>5</v>
      </c>
      <c r="L2252" s="1" t="n">
        <v>5</v>
      </c>
      <c r="M2252" s="3" t="s">
        <v>48</v>
      </c>
      <c r="N2252" s="3" t="s">
        <v>122</v>
      </c>
      <c r="O2252" s="3" t="s">
        <v>123</v>
      </c>
      <c r="P2252" s="2" t="str">
        <f aca="false">CONCATENATE(N2252," ",O2252)</f>
        <v>Xerolycosa nemoralis</v>
      </c>
      <c r="Q2252" s="1" t="s">
        <v>30</v>
      </c>
      <c r="R2252" s="1" t="s">
        <v>31</v>
      </c>
      <c r="S2252" s="3" t="n">
        <v>1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f aca="false">SUM(S2252:T2252)</f>
        <v>1</v>
      </c>
      <c r="Z2252" s="3" t="n">
        <f aca="false">SUM(U2252:W2252)</f>
        <v>0</v>
      </c>
      <c r="AA2252" s="3" t="n">
        <f aca="false">SUM(S2252:X2252)</f>
        <v>1</v>
      </c>
      <c r="AB2252" s="11" t="n">
        <f aca="false">(AA2252/(K2252*L2252)*25)*4</f>
        <v>4</v>
      </c>
    </row>
    <row r="2253" customFormat="false" ht="14.25" hidden="false" customHeight="false" outlineLevel="0" collapsed="false">
      <c r="A2253" s="1" t="n">
        <v>2014</v>
      </c>
      <c r="B2253" s="7" t="s">
        <v>322</v>
      </c>
      <c r="C2253" s="7" t="n">
        <v>2</v>
      </c>
      <c r="D2253" s="7" t="s">
        <v>295</v>
      </c>
      <c r="E2253" s="7" t="s">
        <v>295</v>
      </c>
      <c r="F2253" s="3" t="s">
        <v>324</v>
      </c>
      <c r="G2253" s="3" t="n">
        <v>2</v>
      </c>
      <c r="H2253" s="3" t="n">
        <v>9</v>
      </c>
      <c r="I2253" s="22" t="n">
        <v>41793</v>
      </c>
      <c r="J2253" s="22" t="n">
        <v>41798</v>
      </c>
      <c r="K2253" s="43" t="n">
        <f aca="false">J2253-I2253</f>
        <v>5</v>
      </c>
      <c r="L2253" s="1" t="n">
        <v>5</v>
      </c>
      <c r="M2253" s="3" t="s">
        <v>48</v>
      </c>
      <c r="N2253" s="3" t="s">
        <v>67</v>
      </c>
      <c r="O2253" s="3" t="s">
        <v>127</v>
      </c>
      <c r="P2253" s="2" t="str">
        <f aca="false">CONCATENATE(N2253," ",O2253)</f>
        <v>Pardosa lugubris</v>
      </c>
      <c r="Q2253" s="1" t="s">
        <v>30</v>
      </c>
      <c r="R2253" s="1" t="s">
        <v>31</v>
      </c>
      <c r="S2253" s="3" t="n">
        <v>1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f aca="false">SUM(S2253:T2253)</f>
        <v>1</v>
      </c>
      <c r="Z2253" s="3" t="n">
        <f aca="false">SUM(U2253:W2253)</f>
        <v>0</v>
      </c>
      <c r="AA2253" s="3" t="n">
        <f aca="false">SUM(S2253:X2253)</f>
        <v>1</v>
      </c>
      <c r="AB2253" s="11" t="n">
        <f aca="false">(AA2253/(K2253*L2253)*25)*4</f>
        <v>4</v>
      </c>
    </row>
    <row r="2254" customFormat="false" ht="14.25" hidden="false" customHeight="false" outlineLevel="0" collapsed="false">
      <c r="A2254" s="1" t="n">
        <v>2014</v>
      </c>
      <c r="B2254" s="7" t="s">
        <v>322</v>
      </c>
      <c r="C2254" s="7" t="n">
        <v>2</v>
      </c>
      <c r="D2254" s="7" t="s">
        <v>294</v>
      </c>
      <c r="E2254" s="7" t="s">
        <v>294</v>
      </c>
      <c r="F2254" s="3" t="s">
        <v>326</v>
      </c>
      <c r="G2254" s="3" t="n">
        <v>1</v>
      </c>
      <c r="H2254" s="3" t="n">
        <v>3</v>
      </c>
      <c r="I2254" s="22" t="n">
        <v>41793</v>
      </c>
      <c r="J2254" s="22" t="n">
        <v>41798</v>
      </c>
      <c r="K2254" s="43" t="n">
        <f aca="false">J2254-I2254</f>
        <v>5</v>
      </c>
      <c r="L2254" s="1" t="n">
        <v>5</v>
      </c>
      <c r="M2254" s="3" t="s">
        <v>48</v>
      </c>
      <c r="N2254" s="3" t="s">
        <v>67</v>
      </c>
      <c r="O2254" s="3" t="s">
        <v>127</v>
      </c>
      <c r="P2254" s="2" t="str">
        <f aca="false">CONCATENATE(N2254," ",O2254)</f>
        <v>Pardosa lugubris</v>
      </c>
      <c r="Q2254" s="1" t="s">
        <v>30</v>
      </c>
      <c r="R2254" s="1" t="s">
        <v>31</v>
      </c>
      <c r="S2254" s="3" t="n">
        <v>2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f aca="false">SUM(S2254:T2254)</f>
        <v>2</v>
      </c>
      <c r="Z2254" s="3" t="n">
        <f aca="false">SUM(U2254:W2254)</f>
        <v>0</v>
      </c>
      <c r="AA2254" s="3" t="n">
        <f aca="false">SUM(S2254:X2254)</f>
        <v>2</v>
      </c>
      <c r="AB2254" s="11" t="n">
        <f aca="false">(AA2254/(K2254*L2254)*25)*4</f>
        <v>8</v>
      </c>
    </row>
    <row r="2255" customFormat="false" ht="14.25" hidden="false" customHeight="false" outlineLevel="0" collapsed="false">
      <c r="A2255" s="1" t="n">
        <v>2014</v>
      </c>
      <c r="B2255" s="7" t="s">
        <v>322</v>
      </c>
      <c r="C2255" s="7" t="n">
        <v>2</v>
      </c>
      <c r="D2255" s="7" t="s">
        <v>294</v>
      </c>
      <c r="E2255" s="7" t="s">
        <v>294</v>
      </c>
      <c r="F2255" s="3" t="s">
        <v>326</v>
      </c>
      <c r="G2255" s="3" t="n">
        <v>1</v>
      </c>
      <c r="H2255" s="3" t="n">
        <v>3</v>
      </c>
      <c r="I2255" s="22" t="n">
        <v>41793</v>
      </c>
      <c r="J2255" s="22" t="n">
        <v>41798</v>
      </c>
      <c r="K2255" s="43" t="n">
        <f aca="false">J2255-I2255</f>
        <v>5</v>
      </c>
      <c r="L2255" s="1" t="n">
        <v>5</v>
      </c>
      <c r="M2255" s="3" t="s">
        <v>48</v>
      </c>
      <c r="N2255" s="3" t="s">
        <v>49</v>
      </c>
      <c r="O2255" s="3" t="s">
        <v>130</v>
      </c>
      <c r="P2255" s="2" t="str">
        <f aca="false">CONCATENATE(N2255," ",O2255)</f>
        <v>Alopecosa aculeata</v>
      </c>
      <c r="Q2255" s="1" t="s">
        <v>30</v>
      </c>
      <c r="R2255" s="1" t="s">
        <v>31</v>
      </c>
      <c r="S2255" s="3" t="n">
        <v>2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f aca="false">SUM(S2255:T2255)</f>
        <v>2</v>
      </c>
      <c r="Z2255" s="3" t="n">
        <f aca="false">SUM(U2255:W2255)</f>
        <v>0</v>
      </c>
      <c r="AA2255" s="3" t="n">
        <f aca="false">SUM(S2255:X2255)</f>
        <v>2</v>
      </c>
      <c r="AB2255" s="11" t="n">
        <f aca="false">(AA2255/(K2255*L2255)*25)*4</f>
        <v>8</v>
      </c>
    </row>
    <row r="2256" customFormat="false" ht="14.25" hidden="false" customHeight="false" outlineLevel="0" collapsed="false">
      <c r="A2256" s="1" t="n">
        <v>2014</v>
      </c>
      <c r="B2256" s="7" t="s">
        <v>322</v>
      </c>
      <c r="C2256" s="7" t="n">
        <v>2</v>
      </c>
      <c r="D2256" s="7" t="s">
        <v>294</v>
      </c>
      <c r="E2256" s="7" t="s">
        <v>294</v>
      </c>
      <c r="F2256" s="3" t="s">
        <v>326</v>
      </c>
      <c r="G2256" s="3" t="n">
        <v>1</v>
      </c>
      <c r="H2256" s="3" t="n">
        <v>3</v>
      </c>
      <c r="I2256" s="22" t="n">
        <v>41793</v>
      </c>
      <c r="J2256" s="22" t="n">
        <v>41798</v>
      </c>
      <c r="K2256" s="43" t="n">
        <f aca="false">J2256-I2256</f>
        <v>5</v>
      </c>
      <c r="L2256" s="1" t="n">
        <v>5</v>
      </c>
      <c r="M2256" s="3" t="s">
        <v>36</v>
      </c>
      <c r="N2256" s="3" t="s">
        <v>131</v>
      </c>
      <c r="O2256" s="3" t="s">
        <v>133</v>
      </c>
      <c r="P2256" s="2" t="str">
        <f aca="false">CONCATENATE(N2256," ",O2256)</f>
        <v>Xysticus luctuosus</v>
      </c>
      <c r="Q2256" s="1" t="s">
        <v>30</v>
      </c>
      <c r="R2256" s="1" t="s">
        <v>31</v>
      </c>
      <c r="S2256" s="3" t="n">
        <v>3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f aca="false">SUM(S2256:T2256)</f>
        <v>3</v>
      </c>
      <c r="Z2256" s="3" t="n">
        <f aca="false">SUM(U2256:W2256)</f>
        <v>0</v>
      </c>
      <c r="AA2256" s="3" t="n">
        <f aca="false">SUM(S2256:X2256)</f>
        <v>3</v>
      </c>
      <c r="AB2256" s="11" t="n">
        <f aca="false">(AA2256/(K2256*L2256)*25)*4</f>
        <v>12</v>
      </c>
    </row>
    <row r="2257" customFormat="false" ht="14.25" hidden="false" customHeight="false" outlineLevel="0" collapsed="false">
      <c r="A2257" s="1" t="n">
        <v>2014</v>
      </c>
      <c r="B2257" s="7" t="s">
        <v>322</v>
      </c>
      <c r="C2257" s="7" t="n">
        <v>2</v>
      </c>
      <c r="D2257" s="7" t="s">
        <v>294</v>
      </c>
      <c r="E2257" s="7" t="s">
        <v>294</v>
      </c>
      <c r="F2257" s="3" t="s">
        <v>326</v>
      </c>
      <c r="G2257" s="3" t="n">
        <v>2</v>
      </c>
      <c r="H2257" s="3" t="n">
        <v>10</v>
      </c>
      <c r="I2257" s="22" t="n">
        <v>41793</v>
      </c>
      <c r="J2257" s="22" t="n">
        <v>41798</v>
      </c>
      <c r="K2257" s="43" t="n">
        <f aca="false">J2257-I2257</f>
        <v>5</v>
      </c>
      <c r="L2257" s="1" t="n">
        <v>5</v>
      </c>
      <c r="M2257" s="3" t="s">
        <v>48</v>
      </c>
      <c r="N2257" s="3" t="s">
        <v>49</v>
      </c>
      <c r="O2257" s="3" t="s">
        <v>119</v>
      </c>
      <c r="P2257" s="2" t="str">
        <f aca="false">CONCATENATE(N2257," ",O2257)</f>
        <v>Alopecosa sulzeri</v>
      </c>
      <c r="Q2257" s="1" t="s">
        <v>30</v>
      </c>
      <c r="R2257" s="1" t="s">
        <v>31</v>
      </c>
      <c r="S2257" s="3" t="n">
        <v>1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f aca="false">SUM(S2257:T2257)</f>
        <v>1</v>
      </c>
      <c r="Z2257" s="3" t="n">
        <f aca="false">SUM(U2257:W2257)</f>
        <v>0</v>
      </c>
      <c r="AA2257" s="3" t="n">
        <f aca="false">SUM(S2257:X2257)</f>
        <v>1</v>
      </c>
      <c r="AB2257" s="11" t="n">
        <f aca="false">(AA2257/(K2257*L2257)*25)*4</f>
        <v>4</v>
      </c>
    </row>
    <row r="2258" customFormat="false" ht="14.25" hidden="false" customHeight="false" outlineLevel="0" collapsed="false">
      <c r="A2258" s="1" t="n">
        <v>2014</v>
      </c>
      <c r="B2258" s="7" t="s">
        <v>322</v>
      </c>
      <c r="C2258" s="7" t="n">
        <v>2</v>
      </c>
      <c r="D2258" s="7" t="s">
        <v>294</v>
      </c>
      <c r="E2258" s="7" t="s">
        <v>294</v>
      </c>
      <c r="F2258" s="3" t="s">
        <v>326</v>
      </c>
      <c r="G2258" s="3" t="n">
        <v>2</v>
      </c>
      <c r="H2258" s="3" t="n">
        <v>10</v>
      </c>
      <c r="I2258" s="22" t="n">
        <v>41793</v>
      </c>
      <c r="J2258" s="22" t="n">
        <v>41798</v>
      </c>
      <c r="K2258" s="43" t="n">
        <f aca="false">J2258-I2258</f>
        <v>5</v>
      </c>
      <c r="L2258" s="1" t="n">
        <v>5</v>
      </c>
      <c r="M2258" s="3" t="s">
        <v>48</v>
      </c>
      <c r="N2258" s="3" t="s">
        <v>67</v>
      </c>
      <c r="O2258" s="3" t="s">
        <v>127</v>
      </c>
      <c r="P2258" s="2" t="str">
        <f aca="false">CONCATENATE(N2258," ",O2258)</f>
        <v>Pardosa lugubris</v>
      </c>
      <c r="Q2258" s="1" t="s">
        <v>30</v>
      </c>
      <c r="R2258" s="1" t="s">
        <v>31</v>
      </c>
      <c r="S2258" s="3" t="n">
        <v>1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f aca="false">SUM(S2258:T2258)</f>
        <v>1</v>
      </c>
      <c r="Z2258" s="3" t="n">
        <f aca="false">SUM(U2258:W2258)</f>
        <v>0</v>
      </c>
      <c r="AA2258" s="3" t="n">
        <f aca="false">SUM(S2258:X2258)</f>
        <v>1</v>
      </c>
      <c r="AB2258" s="11" t="n">
        <f aca="false">(AA2258/(K2258*L2258)*25)*4</f>
        <v>4</v>
      </c>
    </row>
    <row r="2259" customFormat="false" ht="14.25" hidden="false" customHeight="false" outlineLevel="0" collapsed="false">
      <c r="A2259" s="1" t="n">
        <v>2014</v>
      </c>
      <c r="B2259" s="7" t="s">
        <v>322</v>
      </c>
      <c r="C2259" s="7" t="n">
        <v>2</v>
      </c>
      <c r="D2259" s="7" t="s">
        <v>294</v>
      </c>
      <c r="E2259" s="7" t="s">
        <v>294</v>
      </c>
      <c r="F2259" s="3" t="s">
        <v>326</v>
      </c>
      <c r="G2259" s="3" t="n">
        <v>2</v>
      </c>
      <c r="H2259" s="3" t="n">
        <v>10</v>
      </c>
      <c r="I2259" s="22" t="n">
        <v>41793</v>
      </c>
      <c r="J2259" s="22" t="n">
        <v>41798</v>
      </c>
      <c r="K2259" s="43" t="n">
        <f aca="false">J2259-I2259</f>
        <v>5</v>
      </c>
      <c r="L2259" s="1" t="n">
        <v>5</v>
      </c>
      <c r="M2259" s="3" t="s">
        <v>36</v>
      </c>
      <c r="N2259" s="3" t="s">
        <v>37</v>
      </c>
      <c r="O2259" s="3" t="s">
        <v>75</v>
      </c>
      <c r="P2259" s="2" t="str">
        <f aca="false">CONCATENATE(N2259," ",O2259)</f>
        <v>Ozyptila praticola</v>
      </c>
      <c r="Q2259" s="1" t="s">
        <v>30</v>
      </c>
      <c r="R2259" s="1" t="s">
        <v>31</v>
      </c>
      <c r="S2259" s="3" t="n">
        <v>1</v>
      </c>
      <c r="T2259" s="3" t="n">
        <v>0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f aca="false">SUM(S2259:T2259)</f>
        <v>1</v>
      </c>
      <c r="Z2259" s="3" t="n">
        <f aca="false">SUM(U2259:W2259)</f>
        <v>0</v>
      </c>
      <c r="AA2259" s="3" t="n">
        <f aca="false">SUM(S2259:X2259)</f>
        <v>1</v>
      </c>
      <c r="AB2259" s="11" t="n">
        <f aca="false">(AA2259/(K2259*L2259)*25)*4</f>
        <v>4</v>
      </c>
    </row>
    <row r="2260" customFormat="false" ht="14.25" hidden="false" customHeight="false" outlineLevel="0" collapsed="false">
      <c r="A2260" s="1" t="n">
        <v>2014</v>
      </c>
      <c r="B2260" s="7" t="s">
        <v>322</v>
      </c>
      <c r="C2260" s="7" t="n">
        <v>2</v>
      </c>
      <c r="D2260" s="7" t="s">
        <v>294</v>
      </c>
      <c r="E2260" s="7" t="s">
        <v>294</v>
      </c>
      <c r="F2260" s="3" t="s">
        <v>326</v>
      </c>
      <c r="G2260" s="3" t="n">
        <v>2</v>
      </c>
      <c r="H2260" s="3" t="n">
        <v>10</v>
      </c>
      <c r="I2260" s="22" t="n">
        <v>41793</v>
      </c>
      <c r="J2260" s="22" t="n">
        <v>41798</v>
      </c>
      <c r="K2260" s="43" t="n">
        <f aca="false">J2260-I2260</f>
        <v>5</v>
      </c>
      <c r="L2260" s="1" t="n">
        <v>5</v>
      </c>
      <c r="M2260" s="3" t="s">
        <v>32</v>
      </c>
      <c r="N2260" s="3" t="s">
        <v>96</v>
      </c>
      <c r="O2260" s="3" t="s">
        <v>97</v>
      </c>
      <c r="P2260" s="2" t="str">
        <f aca="false">CONCATENATE(N2260," ",O2260)</f>
        <v>Diplocephalus picinus</v>
      </c>
      <c r="Q2260" s="1" t="s">
        <v>30</v>
      </c>
      <c r="R2260" s="1" t="s">
        <v>31</v>
      </c>
      <c r="S2260" s="3" t="n">
        <v>1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f aca="false">SUM(S2260:T2260)</f>
        <v>1</v>
      </c>
      <c r="Z2260" s="3" t="n">
        <f aca="false">SUM(U2260:W2260)</f>
        <v>0</v>
      </c>
      <c r="AA2260" s="3" t="n">
        <f aca="false">SUM(S2260:X2260)</f>
        <v>1</v>
      </c>
      <c r="AB2260" s="11" t="n">
        <f aca="false">(AA2260/(K2260*L2260)*25)*4</f>
        <v>4</v>
      </c>
    </row>
    <row r="2261" customFormat="false" ht="14.25" hidden="false" customHeight="false" outlineLevel="0" collapsed="false">
      <c r="A2261" s="1" t="n">
        <v>2014</v>
      </c>
      <c r="B2261" s="7" t="s">
        <v>322</v>
      </c>
      <c r="C2261" s="7" t="n">
        <v>2</v>
      </c>
      <c r="D2261" s="7" t="s">
        <v>294</v>
      </c>
      <c r="E2261" s="7" t="s">
        <v>294</v>
      </c>
      <c r="F2261" s="3" t="s">
        <v>326</v>
      </c>
      <c r="G2261" s="3" t="n">
        <v>2</v>
      </c>
      <c r="H2261" s="3" t="n">
        <v>10</v>
      </c>
      <c r="I2261" s="22" t="n">
        <v>41793</v>
      </c>
      <c r="J2261" s="22" t="n">
        <v>41798</v>
      </c>
      <c r="K2261" s="43" t="n">
        <f aca="false">J2261-I2261</f>
        <v>5</v>
      </c>
      <c r="L2261" s="1" t="n">
        <v>5</v>
      </c>
      <c r="M2261" s="3" t="s">
        <v>32</v>
      </c>
      <c r="N2261" s="3" t="s">
        <v>169</v>
      </c>
      <c r="O2261" s="3" t="s">
        <v>170</v>
      </c>
      <c r="P2261" s="2" t="str">
        <f aca="false">CONCATENATE(N2261," ",O2261)</f>
        <v>Abacoproeces saltuum</v>
      </c>
      <c r="Q2261" s="1" t="s">
        <v>30</v>
      </c>
      <c r="R2261" s="1" t="s">
        <v>31</v>
      </c>
      <c r="S2261" s="3" t="n">
        <v>2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f aca="false">SUM(S2261:T2261)</f>
        <v>2</v>
      </c>
      <c r="Z2261" s="3" t="n">
        <f aca="false">SUM(U2261:W2261)</f>
        <v>0</v>
      </c>
      <c r="AA2261" s="3" t="n">
        <f aca="false">SUM(S2261:X2261)</f>
        <v>2</v>
      </c>
      <c r="AB2261" s="11" t="n">
        <f aca="false">(AA2261/(K2261*L2261)*25)*4</f>
        <v>8</v>
      </c>
    </row>
    <row r="2262" customFormat="false" ht="14.25" hidden="false" customHeight="false" outlineLevel="0" collapsed="false">
      <c r="A2262" s="1" t="n">
        <v>2014</v>
      </c>
      <c r="B2262" s="7" t="s">
        <v>322</v>
      </c>
      <c r="C2262" s="7" t="n">
        <v>2</v>
      </c>
      <c r="D2262" s="7" t="s">
        <v>294</v>
      </c>
      <c r="E2262" s="7" t="s">
        <v>294</v>
      </c>
      <c r="F2262" s="3" t="s">
        <v>326</v>
      </c>
      <c r="G2262" s="3" t="n">
        <v>2</v>
      </c>
      <c r="H2262" s="3" t="n">
        <v>9</v>
      </c>
      <c r="I2262" s="22" t="n">
        <v>41793</v>
      </c>
      <c r="J2262" s="22" t="n">
        <v>41798</v>
      </c>
      <c r="K2262" s="43" t="n">
        <f aca="false">J2262-I2262</f>
        <v>5</v>
      </c>
      <c r="L2262" s="1" t="n">
        <v>5</v>
      </c>
      <c r="M2262" s="3" t="s">
        <v>48</v>
      </c>
      <c r="N2262" s="3" t="s">
        <v>49</v>
      </c>
      <c r="O2262" s="3" t="s">
        <v>119</v>
      </c>
      <c r="P2262" s="2" t="str">
        <f aca="false">CONCATENATE(N2262," ",O2262)</f>
        <v>Alopecosa sulzeri</v>
      </c>
      <c r="Q2262" s="1" t="s">
        <v>30</v>
      </c>
      <c r="R2262" s="1" t="s">
        <v>31</v>
      </c>
      <c r="S2262" s="3" t="n">
        <v>3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f aca="false">SUM(S2262:T2262)</f>
        <v>3</v>
      </c>
      <c r="Z2262" s="3" t="n">
        <f aca="false">SUM(U2262:W2262)</f>
        <v>0</v>
      </c>
      <c r="AA2262" s="3" t="n">
        <f aca="false">SUM(S2262:X2262)</f>
        <v>3</v>
      </c>
      <c r="AB2262" s="11" t="n">
        <f aca="false">(AA2262/(K2262*L2262)*25)*4</f>
        <v>12</v>
      </c>
    </row>
    <row r="2263" customFormat="false" ht="14.25" hidden="false" customHeight="false" outlineLevel="0" collapsed="false">
      <c r="A2263" s="1" t="n">
        <v>2014</v>
      </c>
      <c r="B2263" s="7" t="s">
        <v>322</v>
      </c>
      <c r="C2263" s="7" t="n">
        <v>2</v>
      </c>
      <c r="D2263" s="7" t="s">
        <v>294</v>
      </c>
      <c r="E2263" s="7" t="s">
        <v>294</v>
      </c>
      <c r="F2263" s="3" t="s">
        <v>326</v>
      </c>
      <c r="G2263" s="3" t="n">
        <v>2</v>
      </c>
      <c r="H2263" s="3" t="n">
        <v>9</v>
      </c>
      <c r="I2263" s="22" t="n">
        <v>41793</v>
      </c>
      <c r="J2263" s="22" t="n">
        <v>41798</v>
      </c>
      <c r="K2263" s="43" t="n">
        <f aca="false">J2263-I2263</f>
        <v>5</v>
      </c>
      <c r="L2263" s="1" t="n">
        <v>5</v>
      </c>
      <c r="M2263" s="3" t="s">
        <v>48</v>
      </c>
      <c r="N2263" s="3" t="s">
        <v>67</v>
      </c>
      <c r="O2263" s="3" t="s">
        <v>127</v>
      </c>
      <c r="P2263" s="2" t="str">
        <f aca="false">CONCATENATE(N2263," ",O2263)</f>
        <v>Pardosa lugubris</v>
      </c>
      <c r="Q2263" s="1" t="s">
        <v>30</v>
      </c>
      <c r="R2263" s="1" t="s">
        <v>31</v>
      </c>
      <c r="S2263" s="3" t="n">
        <v>3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f aca="false">SUM(S2263:T2263)</f>
        <v>3</v>
      </c>
      <c r="Z2263" s="3" t="n">
        <f aca="false">SUM(U2263:W2263)</f>
        <v>0</v>
      </c>
      <c r="AA2263" s="3" t="n">
        <f aca="false">SUM(S2263:X2263)</f>
        <v>3</v>
      </c>
      <c r="AB2263" s="11" t="n">
        <f aca="false">(AA2263/(K2263*L2263)*25)*4</f>
        <v>12</v>
      </c>
    </row>
    <row r="2264" customFormat="false" ht="14.25" hidden="false" customHeight="false" outlineLevel="0" collapsed="false">
      <c r="A2264" s="1" t="n">
        <v>2014</v>
      </c>
      <c r="B2264" s="7" t="s">
        <v>322</v>
      </c>
      <c r="C2264" s="7" t="n">
        <v>2</v>
      </c>
      <c r="D2264" s="7" t="s">
        <v>294</v>
      </c>
      <c r="E2264" s="7" t="s">
        <v>294</v>
      </c>
      <c r="F2264" s="3" t="s">
        <v>326</v>
      </c>
      <c r="G2264" s="3" t="n">
        <v>2</v>
      </c>
      <c r="H2264" s="3" t="n">
        <v>9</v>
      </c>
      <c r="I2264" s="22" t="n">
        <v>41793</v>
      </c>
      <c r="J2264" s="22" t="n">
        <v>41798</v>
      </c>
      <c r="K2264" s="43" t="n">
        <f aca="false">J2264-I2264</f>
        <v>5</v>
      </c>
      <c r="L2264" s="1" t="n">
        <v>5</v>
      </c>
      <c r="M2264" s="3" t="s">
        <v>48</v>
      </c>
      <c r="N2264" s="3" t="s">
        <v>49</v>
      </c>
      <c r="O2264" s="3" t="s">
        <v>104</v>
      </c>
      <c r="P2264" s="2" t="str">
        <f aca="false">CONCATENATE(N2264," ",O2264)</f>
        <v>Alopecosa taeniata</v>
      </c>
      <c r="Q2264" s="1" t="s">
        <v>30</v>
      </c>
      <c r="R2264" s="1" t="s">
        <v>31</v>
      </c>
      <c r="S2264" s="3" t="n">
        <v>1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f aca="false">SUM(S2264:T2264)</f>
        <v>1</v>
      </c>
      <c r="Z2264" s="3" t="n">
        <f aca="false">SUM(U2264:W2264)</f>
        <v>0</v>
      </c>
      <c r="AA2264" s="3" t="n">
        <f aca="false">SUM(S2264:X2264)</f>
        <v>1</v>
      </c>
      <c r="AB2264" s="11" t="n">
        <f aca="false">(AA2264/(K2264*L2264)*25)*4</f>
        <v>4</v>
      </c>
    </row>
    <row r="2265" customFormat="false" ht="14.25" hidden="false" customHeight="false" outlineLevel="0" collapsed="false">
      <c r="A2265" s="1" t="n">
        <v>2014</v>
      </c>
      <c r="B2265" s="7" t="s">
        <v>322</v>
      </c>
      <c r="C2265" s="7" t="n">
        <v>2</v>
      </c>
      <c r="D2265" s="7" t="s">
        <v>294</v>
      </c>
      <c r="E2265" s="7" t="s">
        <v>294</v>
      </c>
      <c r="F2265" s="3" t="s">
        <v>326</v>
      </c>
      <c r="G2265" s="3" t="n">
        <v>2</v>
      </c>
      <c r="H2265" s="3" t="n">
        <v>9</v>
      </c>
      <c r="I2265" s="22" t="n">
        <v>41793</v>
      </c>
      <c r="J2265" s="22" t="n">
        <v>41798</v>
      </c>
      <c r="K2265" s="43" t="n">
        <f aca="false">J2265-I2265</f>
        <v>5</v>
      </c>
      <c r="L2265" s="1" t="n">
        <v>5</v>
      </c>
      <c r="M2265" s="3" t="s">
        <v>72</v>
      </c>
      <c r="N2265" s="3" t="s">
        <v>73</v>
      </c>
      <c r="O2265" s="3" t="s">
        <v>74</v>
      </c>
      <c r="P2265" s="2" t="str">
        <f aca="false">CONCATENATE(N2265," ",O2265)</f>
        <v>Zelotes subterraneus</v>
      </c>
      <c r="Q2265" s="1" t="s">
        <v>30</v>
      </c>
      <c r="R2265" s="1" t="s">
        <v>35</v>
      </c>
      <c r="S2265" s="3" t="n">
        <v>0</v>
      </c>
      <c r="T2265" s="3" t="n">
        <v>1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f aca="false">SUM(S2265:T2265)</f>
        <v>1</v>
      </c>
      <c r="Z2265" s="3" t="n">
        <f aca="false">SUM(U2265:W2265)</f>
        <v>0</v>
      </c>
      <c r="AA2265" s="3" t="n">
        <f aca="false">SUM(S2265:X2265)</f>
        <v>1</v>
      </c>
      <c r="AB2265" s="11" t="n">
        <f aca="false">(AA2265/(K2265*L2265)*25)*4</f>
        <v>4</v>
      </c>
    </row>
    <row r="2266" customFormat="false" ht="14.25" hidden="false" customHeight="false" outlineLevel="0" collapsed="false">
      <c r="A2266" s="1" t="n">
        <v>2014</v>
      </c>
      <c r="B2266" s="7" t="s">
        <v>322</v>
      </c>
      <c r="C2266" s="7" t="n">
        <v>2</v>
      </c>
      <c r="D2266" s="7" t="s">
        <v>294</v>
      </c>
      <c r="E2266" s="7" t="s">
        <v>294</v>
      </c>
      <c r="F2266" s="3" t="s">
        <v>326</v>
      </c>
      <c r="G2266" s="3" t="n">
        <v>2</v>
      </c>
      <c r="H2266" s="3" t="n">
        <v>9</v>
      </c>
      <c r="I2266" s="22" t="n">
        <v>41793</v>
      </c>
      <c r="J2266" s="22" t="n">
        <v>41798</v>
      </c>
      <c r="K2266" s="43" t="n">
        <f aca="false">J2266-I2266</f>
        <v>5</v>
      </c>
      <c r="L2266" s="1" t="n">
        <v>5</v>
      </c>
      <c r="M2266" s="3" t="s">
        <v>72</v>
      </c>
      <c r="N2266" s="3" t="s">
        <v>86</v>
      </c>
      <c r="O2266" s="3" t="s">
        <v>87</v>
      </c>
      <c r="P2266" s="2" t="str">
        <f aca="false">CONCATENATE(N2266," ",O2266)</f>
        <v>Haplodrassus soerenseni</v>
      </c>
      <c r="Q2266" s="1" t="s">
        <v>30</v>
      </c>
      <c r="R2266" s="1" t="s">
        <v>35</v>
      </c>
      <c r="S2266" s="3" t="n">
        <v>0</v>
      </c>
      <c r="T2266" s="3" t="n">
        <v>1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f aca="false">SUM(S2266:T2266)</f>
        <v>1</v>
      </c>
      <c r="Z2266" s="3" t="n">
        <f aca="false">SUM(U2266:W2266)</f>
        <v>0</v>
      </c>
      <c r="AA2266" s="3" t="n">
        <f aca="false">SUM(S2266:X2266)</f>
        <v>1</v>
      </c>
      <c r="AB2266" s="11" t="n">
        <f aca="false">(AA2266/(K2266*L2266)*25)*4</f>
        <v>4</v>
      </c>
    </row>
    <row r="2267" customFormat="false" ht="14.25" hidden="false" customHeight="false" outlineLevel="0" collapsed="false">
      <c r="A2267" s="1" t="n">
        <v>2014</v>
      </c>
      <c r="B2267" s="7" t="s">
        <v>322</v>
      </c>
      <c r="C2267" s="7" t="n">
        <v>2</v>
      </c>
      <c r="D2267" s="7" t="s">
        <v>294</v>
      </c>
      <c r="E2267" s="7" t="s">
        <v>294</v>
      </c>
      <c r="F2267" s="3" t="s">
        <v>326</v>
      </c>
      <c r="G2267" s="3" t="n">
        <v>2</v>
      </c>
      <c r="H2267" s="3" t="n">
        <v>9</v>
      </c>
      <c r="I2267" s="22" t="n">
        <v>41793</v>
      </c>
      <c r="J2267" s="22" t="n">
        <v>41798</v>
      </c>
      <c r="K2267" s="43" t="n">
        <f aca="false">J2267-I2267</f>
        <v>5</v>
      </c>
      <c r="L2267" s="1" t="n">
        <v>5</v>
      </c>
      <c r="M2267" s="3" t="s">
        <v>36</v>
      </c>
      <c r="N2267" s="3" t="s">
        <v>37</v>
      </c>
      <c r="O2267" s="3" t="s">
        <v>75</v>
      </c>
      <c r="P2267" s="2" t="str">
        <f aca="false">CONCATENATE(N2267," ",O2267)</f>
        <v>Ozyptila praticola</v>
      </c>
      <c r="Q2267" s="1" t="s">
        <v>30</v>
      </c>
      <c r="R2267" s="1" t="s">
        <v>31</v>
      </c>
      <c r="S2267" s="3" t="n">
        <v>2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f aca="false">SUM(S2267:T2267)</f>
        <v>2</v>
      </c>
      <c r="Z2267" s="3" t="n">
        <f aca="false">SUM(U2267:W2267)</f>
        <v>0</v>
      </c>
      <c r="AA2267" s="3" t="n">
        <f aca="false">SUM(S2267:X2267)</f>
        <v>2</v>
      </c>
      <c r="AB2267" s="11" t="n">
        <f aca="false">(AA2267/(K2267*L2267)*25)*4</f>
        <v>8</v>
      </c>
    </row>
    <row r="2268" customFormat="false" ht="14.25" hidden="false" customHeight="false" outlineLevel="0" collapsed="false">
      <c r="A2268" s="1" t="n">
        <v>2014</v>
      </c>
      <c r="B2268" s="7" t="s">
        <v>322</v>
      </c>
      <c r="C2268" s="7" t="n">
        <v>2</v>
      </c>
      <c r="D2268" s="7" t="s">
        <v>294</v>
      </c>
      <c r="E2268" s="7" t="s">
        <v>294</v>
      </c>
      <c r="F2268" s="3" t="s">
        <v>326</v>
      </c>
      <c r="G2268" s="3" t="n">
        <v>2</v>
      </c>
      <c r="H2268" s="3" t="n">
        <v>9</v>
      </c>
      <c r="I2268" s="22" t="n">
        <v>41793</v>
      </c>
      <c r="J2268" s="22" t="n">
        <v>41798</v>
      </c>
      <c r="K2268" s="43" t="n">
        <f aca="false">J2268-I2268</f>
        <v>5</v>
      </c>
      <c r="L2268" s="1" t="n">
        <v>5</v>
      </c>
      <c r="M2268" s="3" t="s">
        <v>36</v>
      </c>
      <c r="N2268" s="3" t="s">
        <v>131</v>
      </c>
      <c r="O2268" s="3" t="s">
        <v>133</v>
      </c>
      <c r="P2268" s="2" t="str">
        <f aca="false">CONCATENATE(N2268," ",O2268)</f>
        <v>Xysticus luctuosus</v>
      </c>
      <c r="Q2268" s="1" t="s">
        <v>30</v>
      </c>
      <c r="R2268" s="1" t="s">
        <v>31</v>
      </c>
      <c r="S2268" s="3" t="n">
        <v>1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f aca="false">SUM(S2268:T2268)</f>
        <v>1</v>
      </c>
      <c r="Z2268" s="3" t="n">
        <f aca="false">SUM(U2268:W2268)</f>
        <v>0</v>
      </c>
      <c r="AA2268" s="3" t="n">
        <f aca="false">SUM(S2268:X2268)</f>
        <v>1</v>
      </c>
      <c r="AB2268" s="11" t="n">
        <f aca="false">(AA2268/(K2268*L2268)*25)*4</f>
        <v>4</v>
      </c>
    </row>
    <row r="2269" customFormat="false" ht="14.25" hidden="false" customHeight="false" outlineLevel="0" collapsed="false">
      <c r="A2269" s="1" t="n">
        <v>2014</v>
      </c>
      <c r="B2269" s="7" t="s">
        <v>322</v>
      </c>
      <c r="C2269" s="7" t="n">
        <v>2</v>
      </c>
      <c r="D2269" s="7" t="s">
        <v>294</v>
      </c>
      <c r="E2269" s="7" t="s">
        <v>294</v>
      </c>
      <c r="F2269" s="3" t="s">
        <v>326</v>
      </c>
      <c r="G2269" s="3" t="n">
        <v>2</v>
      </c>
      <c r="H2269" s="3" t="n">
        <v>9</v>
      </c>
      <c r="I2269" s="22" t="n">
        <v>41793</v>
      </c>
      <c r="J2269" s="22" t="n">
        <v>41798</v>
      </c>
      <c r="K2269" s="43" t="n">
        <f aca="false">J2269-I2269</f>
        <v>5</v>
      </c>
      <c r="L2269" s="1" t="n">
        <v>5</v>
      </c>
      <c r="M2269" s="3" t="s">
        <v>135</v>
      </c>
      <c r="N2269" s="3" t="s">
        <v>136</v>
      </c>
      <c r="O2269" s="3" t="s">
        <v>137</v>
      </c>
      <c r="P2269" s="2" t="str">
        <f aca="false">CONCATENATE(N2269," ",O2269)</f>
        <v>Thanatus sabulosus</v>
      </c>
      <c r="Q2269" s="1" t="s">
        <v>30</v>
      </c>
      <c r="R2269" s="1" t="s">
        <v>31</v>
      </c>
      <c r="S2269" s="3" t="n">
        <v>1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f aca="false">SUM(S2269:T2269)</f>
        <v>1</v>
      </c>
      <c r="Z2269" s="3" t="n">
        <f aca="false">SUM(U2269:W2269)</f>
        <v>0</v>
      </c>
      <c r="AA2269" s="3" t="n">
        <f aca="false">SUM(S2269:X2269)</f>
        <v>1</v>
      </c>
      <c r="AB2269" s="11" t="n">
        <f aca="false">(AA2269/(K2269*L2269)*25)*4</f>
        <v>4</v>
      </c>
    </row>
    <row r="2270" customFormat="false" ht="14.25" hidden="false" customHeight="false" outlineLevel="0" collapsed="false">
      <c r="A2270" s="1" t="n">
        <v>2014</v>
      </c>
      <c r="B2270" s="7" t="s">
        <v>322</v>
      </c>
      <c r="C2270" s="7" t="n">
        <v>2</v>
      </c>
      <c r="D2270" s="7" t="s">
        <v>294</v>
      </c>
      <c r="E2270" s="7" t="s">
        <v>294</v>
      </c>
      <c r="F2270" s="3" t="s">
        <v>326</v>
      </c>
      <c r="G2270" s="3" t="n">
        <v>2</v>
      </c>
      <c r="H2270" s="3" t="n">
        <v>9</v>
      </c>
      <c r="I2270" s="22" t="n">
        <v>41793</v>
      </c>
      <c r="J2270" s="22" t="n">
        <v>41798</v>
      </c>
      <c r="K2270" s="43" t="n">
        <f aca="false">J2270-I2270</f>
        <v>5</v>
      </c>
      <c r="L2270" s="1" t="n">
        <v>5</v>
      </c>
      <c r="M2270" s="3" t="s">
        <v>32</v>
      </c>
      <c r="N2270" s="3" t="s">
        <v>96</v>
      </c>
      <c r="O2270" s="3" t="s">
        <v>97</v>
      </c>
      <c r="P2270" s="2" t="str">
        <f aca="false">CONCATENATE(N2270," ",O2270)</f>
        <v>Diplocephalus picinus</v>
      </c>
      <c r="Q2270" s="1" t="s">
        <v>30</v>
      </c>
      <c r="R2270" s="1" t="s">
        <v>31</v>
      </c>
      <c r="S2270" s="3" t="n">
        <v>1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f aca="false">SUM(S2270:T2270)</f>
        <v>1</v>
      </c>
      <c r="Z2270" s="3" t="n">
        <f aca="false">SUM(U2270:W2270)</f>
        <v>0</v>
      </c>
      <c r="AA2270" s="3" t="n">
        <f aca="false">SUM(S2270:X2270)</f>
        <v>1</v>
      </c>
      <c r="AB2270" s="11" t="n">
        <f aca="false">(AA2270/(K2270*L2270)*25)*4</f>
        <v>4</v>
      </c>
    </row>
    <row r="2271" customFormat="false" ht="14.25" hidden="false" customHeight="false" outlineLevel="0" collapsed="false">
      <c r="A2271" s="1" t="n">
        <v>2014</v>
      </c>
      <c r="B2271" s="7" t="s">
        <v>322</v>
      </c>
      <c r="C2271" s="7" t="n">
        <v>2</v>
      </c>
      <c r="D2271" s="7" t="s">
        <v>294</v>
      </c>
      <c r="E2271" s="7" t="s">
        <v>294</v>
      </c>
      <c r="F2271" s="3" t="s">
        <v>326</v>
      </c>
      <c r="G2271" s="3" t="n">
        <v>2</v>
      </c>
      <c r="H2271" s="3" t="n">
        <v>9</v>
      </c>
      <c r="I2271" s="22" t="n">
        <v>41793</v>
      </c>
      <c r="J2271" s="22" t="n">
        <v>41798</v>
      </c>
      <c r="K2271" s="43" t="n">
        <f aca="false">J2271-I2271</f>
        <v>5</v>
      </c>
      <c r="L2271" s="1" t="n">
        <v>5</v>
      </c>
      <c r="M2271" s="3" t="s">
        <v>32</v>
      </c>
      <c r="N2271" s="3" t="s">
        <v>258</v>
      </c>
      <c r="O2271" s="3" t="s">
        <v>259</v>
      </c>
      <c r="P2271" s="2" t="str">
        <f aca="false">CONCATENATE(N2271," ",O2271)</f>
        <v>Stemonyphantes lineatus</v>
      </c>
      <c r="Q2271" s="1" t="s">
        <v>30</v>
      </c>
      <c r="R2271" s="1" t="s">
        <v>35</v>
      </c>
      <c r="S2271" s="3" t="n">
        <v>0</v>
      </c>
      <c r="T2271" s="3" t="n">
        <v>1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f aca="false">SUM(S2271:T2271)</f>
        <v>1</v>
      </c>
      <c r="Z2271" s="3" t="n">
        <f aca="false">SUM(U2271:W2271)</f>
        <v>0</v>
      </c>
      <c r="AA2271" s="3" t="n">
        <f aca="false">SUM(S2271:X2271)</f>
        <v>1</v>
      </c>
      <c r="AB2271" s="11" t="n">
        <f aca="false">(AA2271/(K2271*L2271)*25)*4</f>
        <v>4</v>
      </c>
    </row>
    <row r="2272" customFormat="false" ht="14.25" hidden="false" customHeight="false" outlineLevel="0" collapsed="false">
      <c r="A2272" s="1" t="n">
        <v>2014</v>
      </c>
      <c r="B2272" s="7" t="s">
        <v>322</v>
      </c>
      <c r="C2272" s="7" t="n">
        <v>2</v>
      </c>
      <c r="D2272" s="7" t="s">
        <v>294</v>
      </c>
      <c r="E2272" s="7" t="s">
        <v>294</v>
      </c>
      <c r="F2272" s="3" t="s">
        <v>326</v>
      </c>
      <c r="G2272" s="3" t="n">
        <v>3</v>
      </c>
      <c r="H2272" s="3" t="n">
        <v>12</v>
      </c>
      <c r="I2272" s="22" t="n">
        <v>41793</v>
      </c>
      <c r="J2272" s="22" t="n">
        <v>41798</v>
      </c>
      <c r="K2272" s="43" t="n">
        <f aca="false">J2272-I2272</f>
        <v>5</v>
      </c>
      <c r="L2272" s="1" t="n">
        <v>5</v>
      </c>
      <c r="M2272" s="3" t="s">
        <v>48</v>
      </c>
      <c r="N2272" s="3" t="s">
        <v>49</v>
      </c>
      <c r="O2272" s="3" t="s">
        <v>130</v>
      </c>
      <c r="P2272" s="2" t="str">
        <f aca="false">CONCATENATE(N2272," ",O2272)</f>
        <v>Alopecosa aculeata</v>
      </c>
      <c r="Q2272" s="1" t="s">
        <v>30</v>
      </c>
      <c r="R2272" s="1" t="s">
        <v>31</v>
      </c>
      <c r="S2272" s="3" t="n">
        <v>1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f aca="false">SUM(S2272:T2272)</f>
        <v>1</v>
      </c>
      <c r="Z2272" s="3" t="n">
        <f aca="false">SUM(U2272:W2272)</f>
        <v>0</v>
      </c>
      <c r="AA2272" s="3" t="n">
        <f aca="false">SUM(S2272:X2272)</f>
        <v>1</v>
      </c>
      <c r="AB2272" s="11" t="n">
        <f aca="false">(AA2272/(K2272*L2272)*25)*4</f>
        <v>4</v>
      </c>
    </row>
    <row r="2273" customFormat="false" ht="14.25" hidden="false" customHeight="false" outlineLevel="0" collapsed="false">
      <c r="A2273" s="1" t="n">
        <v>2014</v>
      </c>
      <c r="B2273" s="7" t="s">
        <v>322</v>
      </c>
      <c r="C2273" s="7" t="n">
        <v>2</v>
      </c>
      <c r="D2273" s="7" t="s">
        <v>294</v>
      </c>
      <c r="E2273" s="7" t="s">
        <v>294</v>
      </c>
      <c r="F2273" s="3" t="s">
        <v>326</v>
      </c>
      <c r="G2273" s="3" t="n">
        <v>3</v>
      </c>
      <c r="H2273" s="3" t="n">
        <v>12</v>
      </c>
      <c r="I2273" s="22" t="n">
        <v>41793</v>
      </c>
      <c r="J2273" s="22" t="n">
        <v>41798</v>
      </c>
      <c r="K2273" s="43" t="n">
        <f aca="false">J2273-I2273</f>
        <v>5</v>
      </c>
      <c r="L2273" s="1" t="n">
        <v>5</v>
      </c>
      <c r="M2273" s="3" t="s">
        <v>48</v>
      </c>
      <c r="N2273" s="3" t="s">
        <v>49</v>
      </c>
      <c r="O2273" s="3" t="s">
        <v>104</v>
      </c>
      <c r="P2273" s="2" t="str">
        <f aca="false">CONCATENATE(N2273," ",O2273)</f>
        <v>Alopecosa taeniata</v>
      </c>
      <c r="Q2273" s="1" t="s">
        <v>30</v>
      </c>
      <c r="R2273" s="1" t="s">
        <v>35</v>
      </c>
      <c r="S2273" s="3" t="n">
        <v>0</v>
      </c>
      <c r="T2273" s="3" t="n">
        <v>2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f aca="false">SUM(S2273:T2273)</f>
        <v>2</v>
      </c>
      <c r="Z2273" s="3" t="n">
        <f aca="false">SUM(U2273:W2273)</f>
        <v>0</v>
      </c>
      <c r="AA2273" s="3" t="n">
        <f aca="false">SUM(S2273:X2273)</f>
        <v>2</v>
      </c>
      <c r="AB2273" s="11" t="n">
        <f aca="false">(AA2273/(K2273*L2273)*25)*4</f>
        <v>8</v>
      </c>
    </row>
    <row r="2274" customFormat="false" ht="14.25" hidden="false" customHeight="false" outlineLevel="0" collapsed="false">
      <c r="A2274" s="1" t="n">
        <v>2014</v>
      </c>
      <c r="B2274" s="7" t="s">
        <v>322</v>
      </c>
      <c r="C2274" s="7" t="n">
        <v>2</v>
      </c>
      <c r="D2274" s="7" t="s">
        <v>294</v>
      </c>
      <c r="E2274" s="7" t="s">
        <v>294</v>
      </c>
      <c r="F2274" s="3" t="s">
        <v>326</v>
      </c>
      <c r="G2274" s="3" t="n">
        <v>3</v>
      </c>
      <c r="H2274" s="3" t="n">
        <v>12</v>
      </c>
      <c r="I2274" s="22" t="n">
        <v>41793</v>
      </c>
      <c r="J2274" s="22" t="n">
        <v>41798</v>
      </c>
      <c r="K2274" s="43" t="n">
        <f aca="false">J2274-I2274</f>
        <v>5</v>
      </c>
      <c r="L2274" s="1" t="n">
        <v>5</v>
      </c>
      <c r="M2274" s="3" t="s">
        <v>48</v>
      </c>
      <c r="N2274" s="3" t="s">
        <v>49</v>
      </c>
      <c r="O2274" s="3" t="s">
        <v>119</v>
      </c>
      <c r="P2274" s="2" t="str">
        <f aca="false">CONCATENATE(N2274," ",O2274)</f>
        <v>Alopecosa sulzeri</v>
      </c>
      <c r="Q2274" s="1" t="s">
        <v>30</v>
      </c>
      <c r="R2274" s="1" t="s">
        <v>31</v>
      </c>
      <c r="S2274" s="3" t="n">
        <v>2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f aca="false">SUM(S2274:T2274)</f>
        <v>2</v>
      </c>
      <c r="Z2274" s="3" t="n">
        <f aca="false">SUM(U2274:W2274)</f>
        <v>0</v>
      </c>
      <c r="AA2274" s="3" t="n">
        <f aca="false">SUM(S2274:X2274)</f>
        <v>2</v>
      </c>
      <c r="AB2274" s="11" t="n">
        <f aca="false">(AA2274/(K2274*L2274)*25)*4</f>
        <v>8</v>
      </c>
    </row>
    <row r="2275" customFormat="false" ht="14.25" hidden="false" customHeight="false" outlineLevel="0" collapsed="false">
      <c r="A2275" s="1" t="n">
        <v>2014</v>
      </c>
      <c r="B2275" s="7" t="s">
        <v>322</v>
      </c>
      <c r="C2275" s="7" t="n">
        <v>2</v>
      </c>
      <c r="D2275" s="7" t="s">
        <v>294</v>
      </c>
      <c r="E2275" s="7" t="s">
        <v>294</v>
      </c>
      <c r="F2275" s="3" t="s">
        <v>326</v>
      </c>
      <c r="G2275" s="3" t="n">
        <v>3</v>
      </c>
      <c r="H2275" s="3" t="n">
        <v>12</v>
      </c>
      <c r="I2275" s="22" t="n">
        <v>41793</v>
      </c>
      <c r="J2275" s="22" t="n">
        <v>41798</v>
      </c>
      <c r="K2275" s="43" t="n">
        <f aca="false">J2275-I2275</f>
        <v>5</v>
      </c>
      <c r="L2275" s="1" t="n">
        <v>5</v>
      </c>
      <c r="M2275" s="3" t="s">
        <v>48</v>
      </c>
      <c r="N2275" s="3" t="s">
        <v>67</v>
      </c>
      <c r="O2275" s="3" t="s">
        <v>127</v>
      </c>
      <c r="P2275" s="2" t="str">
        <f aca="false">CONCATENATE(N2275," ",O2275)</f>
        <v>Pardosa lugubris</v>
      </c>
      <c r="Q2275" s="1" t="s">
        <v>30</v>
      </c>
      <c r="R2275" s="1" t="s">
        <v>31</v>
      </c>
      <c r="S2275" s="3" t="n">
        <v>6</v>
      </c>
      <c r="T2275" s="3" t="n">
        <v>0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f aca="false">SUM(S2275:T2275)</f>
        <v>6</v>
      </c>
      <c r="Z2275" s="3" t="n">
        <f aca="false">SUM(U2275:W2275)</f>
        <v>0</v>
      </c>
      <c r="AA2275" s="3" t="n">
        <f aca="false">SUM(S2275:X2275)</f>
        <v>6</v>
      </c>
      <c r="AB2275" s="11" t="n">
        <f aca="false">(AA2275/(K2275*L2275)*25)*4</f>
        <v>24</v>
      </c>
    </row>
    <row r="2276" customFormat="false" ht="14.25" hidden="false" customHeight="false" outlineLevel="0" collapsed="false">
      <c r="A2276" s="1" t="n">
        <v>2014</v>
      </c>
      <c r="B2276" s="7" t="s">
        <v>322</v>
      </c>
      <c r="C2276" s="7" t="n">
        <v>2</v>
      </c>
      <c r="D2276" s="7" t="s">
        <v>294</v>
      </c>
      <c r="E2276" s="7" t="s">
        <v>294</v>
      </c>
      <c r="F2276" s="3" t="s">
        <v>326</v>
      </c>
      <c r="G2276" s="3" t="n">
        <v>3</v>
      </c>
      <c r="H2276" s="3" t="n">
        <v>12</v>
      </c>
      <c r="I2276" s="22" t="n">
        <v>41793</v>
      </c>
      <c r="J2276" s="22" t="n">
        <v>41798</v>
      </c>
      <c r="K2276" s="43" t="n">
        <f aca="false">J2276-I2276</f>
        <v>5</v>
      </c>
      <c r="L2276" s="1" t="n">
        <v>5</v>
      </c>
      <c r="M2276" s="3" t="s">
        <v>72</v>
      </c>
      <c r="N2276" s="3" t="s">
        <v>73</v>
      </c>
      <c r="O2276" s="3" t="s">
        <v>74</v>
      </c>
      <c r="P2276" s="2" t="str">
        <f aca="false">CONCATENATE(N2276," ",O2276)</f>
        <v>Zelotes subterraneus</v>
      </c>
      <c r="Q2276" s="1" t="s">
        <v>30</v>
      </c>
      <c r="R2276" s="1" t="s">
        <v>31</v>
      </c>
      <c r="S2276" s="3" t="n">
        <v>1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f aca="false">SUM(S2276:T2276)</f>
        <v>1</v>
      </c>
      <c r="Z2276" s="3" t="n">
        <f aca="false">SUM(U2276:W2276)</f>
        <v>0</v>
      </c>
      <c r="AA2276" s="3" t="n">
        <f aca="false">SUM(S2276:X2276)</f>
        <v>1</v>
      </c>
      <c r="AB2276" s="11" t="n">
        <f aca="false">(AA2276/(K2276*L2276)*25)*4</f>
        <v>4</v>
      </c>
    </row>
    <row r="2277" customFormat="false" ht="14.25" hidden="false" customHeight="false" outlineLevel="0" collapsed="false">
      <c r="A2277" s="1" t="n">
        <v>2014</v>
      </c>
      <c r="B2277" s="7" t="s">
        <v>322</v>
      </c>
      <c r="C2277" s="7" t="n">
        <v>2</v>
      </c>
      <c r="D2277" s="7" t="s">
        <v>294</v>
      </c>
      <c r="E2277" s="7" t="s">
        <v>294</v>
      </c>
      <c r="F2277" s="3" t="s">
        <v>326</v>
      </c>
      <c r="G2277" s="3" t="n">
        <v>3</v>
      </c>
      <c r="H2277" s="3" t="n">
        <v>12</v>
      </c>
      <c r="I2277" s="22" t="n">
        <v>41793</v>
      </c>
      <c r="J2277" s="22" t="n">
        <v>41798</v>
      </c>
      <c r="K2277" s="43" t="n">
        <f aca="false">J2277-I2277</f>
        <v>5</v>
      </c>
      <c r="L2277" s="1" t="n">
        <v>5</v>
      </c>
      <c r="M2277" s="3" t="s">
        <v>36</v>
      </c>
      <c r="N2277" s="3" t="s">
        <v>131</v>
      </c>
      <c r="O2277" s="3" t="s">
        <v>229</v>
      </c>
      <c r="P2277" s="2" t="str">
        <f aca="false">CONCATENATE(N2277," ",O2277)</f>
        <v>Xysticus emertoni</v>
      </c>
      <c r="Q2277" s="1" t="s">
        <v>30</v>
      </c>
      <c r="R2277" s="1" t="s">
        <v>31</v>
      </c>
      <c r="S2277" s="3" t="n">
        <v>1</v>
      </c>
      <c r="T2277" s="3" t="n">
        <v>0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f aca="false">SUM(S2277:T2277)</f>
        <v>1</v>
      </c>
      <c r="Z2277" s="3" t="n">
        <f aca="false">SUM(U2277:W2277)</f>
        <v>0</v>
      </c>
      <c r="AA2277" s="3" t="n">
        <f aca="false">SUM(S2277:X2277)</f>
        <v>1</v>
      </c>
      <c r="AB2277" s="11" t="n">
        <f aca="false">(AA2277/(K2277*L2277)*25)*4</f>
        <v>4</v>
      </c>
    </row>
    <row r="2278" customFormat="false" ht="14.25" hidden="false" customHeight="false" outlineLevel="0" collapsed="false">
      <c r="A2278" s="1" t="n">
        <v>2014</v>
      </c>
      <c r="B2278" s="7" t="s">
        <v>322</v>
      </c>
      <c r="C2278" s="7" t="n">
        <v>2</v>
      </c>
      <c r="D2278" s="7" t="s">
        <v>294</v>
      </c>
      <c r="E2278" s="7" t="s">
        <v>294</v>
      </c>
      <c r="F2278" s="3" t="s">
        <v>326</v>
      </c>
      <c r="G2278" s="3" t="n">
        <v>3</v>
      </c>
      <c r="H2278" s="3" t="n">
        <v>12</v>
      </c>
      <c r="I2278" s="22" t="n">
        <v>41793</v>
      </c>
      <c r="J2278" s="22" t="n">
        <v>41798</v>
      </c>
      <c r="K2278" s="43" t="n">
        <f aca="false">J2278-I2278</f>
        <v>5</v>
      </c>
      <c r="L2278" s="1" t="n">
        <v>5</v>
      </c>
      <c r="M2278" s="3" t="s">
        <v>36</v>
      </c>
      <c r="N2278" s="3" t="s">
        <v>131</v>
      </c>
      <c r="O2278" s="3" t="s">
        <v>133</v>
      </c>
      <c r="P2278" s="2" t="str">
        <f aca="false">CONCATENATE(N2278," ",O2278)</f>
        <v>Xysticus luctuosus</v>
      </c>
      <c r="Q2278" s="1" t="s">
        <v>30</v>
      </c>
      <c r="R2278" s="1" t="s">
        <v>31</v>
      </c>
      <c r="S2278" s="3" t="n">
        <v>1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f aca="false">SUM(S2278:T2278)</f>
        <v>1</v>
      </c>
      <c r="Z2278" s="3" t="n">
        <f aca="false">SUM(U2278:W2278)</f>
        <v>0</v>
      </c>
      <c r="AA2278" s="3" t="n">
        <f aca="false">SUM(S2278:X2278)</f>
        <v>1</v>
      </c>
      <c r="AB2278" s="11" t="n">
        <f aca="false">(AA2278/(K2278*L2278)*25)*4</f>
        <v>4</v>
      </c>
    </row>
    <row r="2279" customFormat="false" ht="14.25" hidden="false" customHeight="false" outlineLevel="0" collapsed="false">
      <c r="A2279" s="1" t="n">
        <v>2014</v>
      </c>
      <c r="B2279" s="7" t="s">
        <v>322</v>
      </c>
      <c r="C2279" s="7" t="n">
        <v>2</v>
      </c>
      <c r="D2279" s="7" t="s">
        <v>294</v>
      </c>
      <c r="E2279" s="7" t="s">
        <v>294</v>
      </c>
      <c r="F2279" s="3" t="s">
        <v>326</v>
      </c>
      <c r="G2279" s="3" t="n">
        <v>3</v>
      </c>
      <c r="H2279" s="3" t="n">
        <v>12</v>
      </c>
      <c r="I2279" s="22" t="n">
        <v>41793</v>
      </c>
      <c r="J2279" s="22" t="n">
        <v>41798</v>
      </c>
      <c r="K2279" s="43" t="n">
        <f aca="false">J2279-I2279</f>
        <v>5</v>
      </c>
      <c r="L2279" s="1" t="n">
        <v>5</v>
      </c>
      <c r="M2279" s="3" t="s">
        <v>135</v>
      </c>
      <c r="N2279" s="3" t="s">
        <v>136</v>
      </c>
      <c r="O2279" s="3" t="s">
        <v>137</v>
      </c>
      <c r="P2279" s="2" t="str">
        <f aca="false">CONCATENATE(N2279," ",O2279)</f>
        <v>Thanatus sabulosus</v>
      </c>
      <c r="Q2279" s="1" t="s">
        <v>30</v>
      </c>
      <c r="R2279" s="1" t="s">
        <v>31</v>
      </c>
      <c r="S2279" s="3" t="n">
        <v>2</v>
      </c>
      <c r="T2279" s="3" t="n">
        <v>0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f aca="false">SUM(S2279:T2279)</f>
        <v>2</v>
      </c>
      <c r="Z2279" s="3" t="n">
        <f aca="false">SUM(U2279:W2279)</f>
        <v>0</v>
      </c>
      <c r="AA2279" s="3" t="n">
        <f aca="false">SUM(S2279:X2279)</f>
        <v>2</v>
      </c>
      <c r="AB2279" s="11" t="n">
        <f aca="false">(AA2279/(K2279*L2279)*25)*4</f>
        <v>8</v>
      </c>
    </row>
    <row r="2280" customFormat="false" ht="14.25" hidden="false" customHeight="false" outlineLevel="0" collapsed="false">
      <c r="A2280" s="1" t="n">
        <v>2014</v>
      </c>
      <c r="B2280" s="7" t="s">
        <v>322</v>
      </c>
      <c r="C2280" s="7" t="n">
        <v>2</v>
      </c>
      <c r="D2280" s="7" t="s">
        <v>294</v>
      </c>
      <c r="E2280" s="7" t="s">
        <v>294</v>
      </c>
      <c r="F2280" s="3" t="s">
        <v>326</v>
      </c>
      <c r="G2280" s="3" t="n">
        <v>3</v>
      </c>
      <c r="H2280" s="3" t="n">
        <v>12</v>
      </c>
      <c r="I2280" s="22" t="n">
        <v>41793</v>
      </c>
      <c r="J2280" s="22" t="n">
        <v>41798</v>
      </c>
      <c r="K2280" s="43" t="n">
        <f aca="false">J2280-I2280</f>
        <v>5</v>
      </c>
      <c r="L2280" s="1" t="n">
        <v>5</v>
      </c>
      <c r="M2280" s="3" t="s">
        <v>32</v>
      </c>
      <c r="N2280" s="3" t="s">
        <v>55</v>
      </c>
      <c r="O2280" s="3" t="s">
        <v>194</v>
      </c>
      <c r="P2280" s="2" t="str">
        <f aca="false">CONCATENATE(N2280," ",O2280)</f>
        <v>Maro pansibiricus</v>
      </c>
      <c r="Q2280" s="1" t="s">
        <v>30</v>
      </c>
      <c r="R2280" s="1" t="s">
        <v>31</v>
      </c>
      <c r="S2280" s="3" t="n">
        <v>1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f aca="false">SUM(S2280:T2280)</f>
        <v>1</v>
      </c>
      <c r="Z2280" s="3" t="n">
        <f aca="false">SUM(U2280:W2280)</f>
        <v>0</v>
      </c>
      <c r="AA2280" s="3" t="n">
        <f aca="false">SUM(S2280:X2280)</f>
        <v>1</v>
      </c>
      <c r="AB2280" s="11" t="n">
        <f aca="false">(AA2280/(K2280*L2280)*25)*4</f>
        <v>4</v>
      </c>
    </row>
    <row r="2281" customFormat="false" ht="14.25" hidden="false" customHeight="false" outlineLevel="0" collapsed="false">
      <c r="A2281" s="1" t="n">
        <v>2014</v>
      </c>
      <c r="B2281" s="7" t="s">
        <v>322</v>
      </c>
      <c r="C2281" s="7" t="n">
        <v>2</v>
      </c>
      <c r="D2281" s="7" t="s">
        <v>294</v>
      </c>
      <c r="E2281" s="7" t="s">
        <v>294</v>
      </c>
      <c r="F2281" s="3" t="s">
        <v>326</v>
      </c>
      <c r="G2281" s="3" t="n">
        <v>3</v>
      </c>
      <c r="H2281" s="3" t="n">
        <v>12</v>
      </c>
      <c r="I2281" s="22" t="n">
        <v>41793</v>
      </c>
      <c r="J2281" s="22" t="n">
        <v>41798</v>
      </c>
      <c r="K2281" s="43" t="n">
        <f aca="false">J2281-I2281</f>
        <v>5</v>
      </c>
      <c r="L2281" s="1" t="n">
        <v>5</v>
      </c>
      <c r="M2281" s="3" t="s">
        <v>32</v>
      </c>
      <c r="N2281" s="3" t="s">
        <v>169</v>
      </c>
      <c r="O2281" s="3" t="s">
        <v>170</v>
      </c>
      <c r="P2281" s="2" t="str">
        <f aca="false">CONCATENATE(N2281," ",O2281)</f>
        <v>Abacoproeces saltuum</v>
      </c>
      <c r="Q2281" s="1" t="s">
        <v>30</v>
      </c>
      <c r="R2281" s="1" t="s">
        <v>31</v>
      </c>
      <c r="S2281" s="3" t="n">
        <v>1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f aca="false">SUM(S2281:T2281)</f>
        <v>1</v>
      </c>
      <c r="Z2281" s="3" t="n">
        <f aca="false">SUM(U2281:W2281)</f>
        <v>0</v>
      </c>
      <c r="AA2281" s="3" t="n">
        <f aca="false">SUM(S2281:X2281)</f>
        <v>1</v>
      </c>
      <c r="AB2281" s="11" t="n">
        <f aca="false">(AA2281/(K2281*L2281)*25)*4</f>
        <v>4</v>
      </c>
    </row>
    <row r="2282" customFormat="false" ht="14.25" hidden="false" customHeight="false" outlineLevel="0" collapsed="false">
      <c r="A2282" s="1" t="n">
        <v>2014</v>
      </c>
      <c r="B2282" s="7" t="s">
        <v>322</v>
      </c>
      <c r="C2282" s="7" t="n">
        <v>2</v>
      </c>
      <c r="D2282" s="7" t="s">
        <v>294</v>
      </c>
      <c r="E2282" s="7" t="s">
        <v>294</v>
      </c>
      <c r="F2282" s="3" t="s">
        <v>326</v>
      </c>
      <c r="G2282" s="3" t="n">
        <v>3</v>
      </c>
      <c r="H2282" s="3" t="n">
        <v>12</v>
      </c>
      <c r="I2282" s="22" t="n">
        <v>41793</v>
      </c>
      <c r="J2282" s="22" t="n">
        <v>41798</v>
      </c>
      <c r="K2282" s="43" t="n">
        <f aca="false">J2282-I2282</f>
        <v>5</v>
      </c>
      <c r="L2282" s="1" t="n">
        <v>5</v>
      </c>
      <c r="M2282" s="3" t="s">
        <v>32</v>
      </c>
      <c r="N2282" s="3" t="s">
        <v>90</v>
      </c>
      <c r="O2282" s="3" t="s">
        <v>91</v>
      </c>
      <c r="P2282" s="2" t="str">
        <f aca="false">CONCATENATE(N2282," ",O2282)</f>
        <v>Tapinocyba insecta</v>
      </c>
      <c r="Q2282" s="1" t="s">
        <v>30</v>
      </c>
      <c r="R2282" s="1" t="s">
        <v>35</v>
      </c>
      <c r="S2282" s="3" t="n">
        <v>0</v>
      </c>
      <c r="T2282" s="3" t="n">
        <v>1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f aca="false">SUM(S2282:T2282)</f>
        <v>1</v>
      </c>
      <c r="Z2282" s="3" t="n">
        <f aca="false">SUM(U2282:W2282)</f>
        <v>0</v>
      </c>
      <c r="AA2282" s="3" t="n">
        <f aca="false">SUM(S2282:X2282)</f>
        <v>1</v>
      </c>
      <c r="AB2282" s="11" t="n">
        <f aca="false">(AA2282/(K2282*L2282)*25)*4</f>
        <v>4</v>
      </c>
    </row>
    <row r="2283" customFormat="false" ht="14.25" hidden="false" customHeight="false" outlineLevel="0" collapsed="false">
      <c r="A2283" s="1" t="n">
        <v>2014</v>
      </c>
      <c r="B2283" s="7" t="s">
        <v>322</v>
      </c>
      <c r="C2283" s="7" t="n">
        <v>2</v>
      </c>
      <c r="D2283" s="7" t="s">
        <v>294</v>
      </c>
      <c r="E2283" s="7" t="s">
        <v>294</v>
      </c>
      <c r="F2283" s="3" t="s">
        <v>326</v>
      </c>
      <c r="G2283" s="3" t="n">
        <v>2</v>
      </c>
      <c r="H2283" s="3" t="n">
        <v>6</v>
      </c>
      <c r="I2283" s="22" t="n">
        <v>41793</v>
      </c>
      <c r="J2283" s="22" t="n">
        <v>41798</v>
      </c>
      <c r="K2283" s="43" t="n">
        <f aca="false">J2283-I2283</f>
        <v>5</v>
      </c>
      <c r="L2283" s="1" t="n">
        <v>5</v>
      </c>
      <c r="M2283" s="3" t="s">
        <v>48</v>
      </c>
      <c r="N2283" s="3" t="s">
        <v>49</v>
      </c>
      <c r="O2283" s="3" t="s">
        <v>104</v>
      </c>
      <c r="P2283" s="2" t="str">
        <f aca="false">CONCATENATE(N2283," ",O2283)</f>
        <v>Alopecosa taeniata</v>
      </c>
      <c r="Q2283" s="1" t="s">
        <v>30</v>
      </c>
      <c r="R2283" s="1" t="s">
        <v>31</v>
      </c>
      <c r="S2283" s="3" t="n">
        <v>1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f aca="false">SUM(S2283:T2283)</f>
        <v>1</v>
      </c>
      <c r="Z2283" s="3" t="n">
        <f aca="false">SUM(U2283:W2283)</f>
        <v>0</v>
      </c>
      <c r="AA2283" s="3" t="n">
        <f aca="false">SUM(S2283:X2283)</f>
        <v>1</v>
      </c>
      <c r="AB2283" s="11" t="n">
        <f aca="false">(AA2283/(K2283*L2283)*25)*4</f>
        <v>4</v>
      </c>
    </row>
    <row r="2284" customFormat="false" ht="14.25" hidden="false" customHeight="false" outlineLevel="0" collapsed="false">
      <c r="A2284" s="1" t="n">
        <v>2014</v>
      </c>
      <c r="B2284" s="7" t="s">
        <v>322</v>
      </c>
      <c r="C2284" s="7" t="n">
        <v>2</v>
      </c>
      <c r="D2284" s="7" t="s">
        <v>294</v>
      </c>
      <c r="E2284" s="7" t="s">
        <v>294</v>
      </c>
      <c r="F2284" s="3" t="s">
        <v>326</v>
      </c>
      <c r="G2284" s="3" t="n">
        <v>2</v>
      </c>
      <c r="H2284" s="3" t="n">
        <v>6</v>
      </c>
      <c r="I2284" s="22" t="n">
        <v>41793</v>
      </c>
      <c r="J2284" s="22" t="n">
        <v>41798</v>
      </c>
      <c r="K2284" s="43" t="n">
        <f aca="false">J2284-I2284</f>
        <v>5</v>
      </c>
      <c r="L2284" s="1" t="n">
        <v>5</v>
      </c>
      <c r="M2284" s="3" t="s">
        <v>48</v>
      </c>
      <c r="N2284" s="3" t="s">
        <v>49</v>
      </c>
      <c r="O2284" s="3" t="s">
        <v>119</v>
      </c>
      <c r="P2284" s="2" t="str">
        <f aca="false">CONCATENATE(N2284," ",O2284)</f>
        <v>Alopecosa sulzeri</v>
      </c>
      <c r="Q2284" s="1" t="s">
        <v>30</v>
      </c>
      <c r="R2284" s="1" t="s">
        <v>31</v>
      </c>
      <c r="S2284" s="3" t="n">
        <v>1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f aca="false">SUM(S2284:T2284)</f>
        <v>1</v>
      </c>
      <c r="Z2284" s="3" t="n">
        <f aca="false">SUM(U2284:W2284)</f>
        <v>0</v>
      </c>
      <c r="AA2284" s="3" t="n">
        <f aca="false">SUM(S2284:X2284)</f>
        <v>1</v>
      </c>
      <c r="AB2284" s="11" t="n">
        <f aca="false">(AA2284/(K2284*L2284)*25)*4</f>
        <v>4</v>
      </c>
    </row>
    <row r="2285" customFormat="false" ht="14.25" hidden="false" customHeight="false" outlineLevel="0" collapsed="false">
      <c r="A2285" s="1" t="n">
        <v>2014</v>
      </c>
      <c r="B2285" s="7" t="s">
        <v>322</v>
      </c>
      <c r="C2285" s="7" t="n">
        <v>2</v>
      </c>
      <c r="D2285" s="7" t="s">
        <v>294</v>
      </c>
      <c r="E2285" s="7" t="s">
        <v>294</v>
      </c>
      <c r="F2285" s="3" t="s">
        <v>326</v>
      </c>
      <c r="G2285" s="3" t="n">
        <v>2</v>
      </c>
      <c r="H2285" s="3" t="n">
        <v>6</v>
      </c>
      <c r="I2285" s="22" t="n">
        <v>41793</v>
      </c>
      <c r="J2285" s="22" t="n">
        <v>41798</v>
      </c>
      <c r="K2285" s="43" t="n">
        <f aca="false">J2285-I2285</f>
        <v>5</v>
      </c>
      <c r="L2285" s="1" t="n">
        <v>5</v>
      </c>
      <c r="M2285" s="3" t="s">
        <v>48</v>
      </c>
      <c r="N2285" s="3" t="s">
        <v>67</v>
      </c>
      <c r="O2285" s="3" t="s">
        <v>127</v>
      </c>
      <c r="P2285" s="2" t="str">
        <f aca="false">CONCATENATE(N2285," ",O2285)</f>
        <v>Pardosa lugubris</v>
      </c>
      <c r="Q2285" s="1" t="s">
        <v>30</v>
      </c>
      <c r="R2285" s="1" t="s">
        <v>31</v>
      </c>
      <c r="S2285" s="3" t="n">
        <v>8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f aca="false">SUM(S2285:T2285)</f>
        <v>8</v>
      </c>
      <c r="Z2285" s="3" t="n">
        <f aca="false">SUM(U2285:W2285)</f>
        <v>0</v>
      </c>
      <c r="AA2285" s="3" t="n">
        <f aca="false">SUM(S2285:X2285)</f>
        <v>8</v>
      </c>
      <c r="AB2285" s="11" t="n">
        <f aca="false">(AA2285/(K2285*L2285)*25)*4</f>
        <v>32</v>
      </c>
    </row>
    <row r="2286" customFormat="false" ht="14.25" hidden="false" customHeight="false" outlineLevel="0" collapsed="false">
      <c r="A2286" s="1" t="n">
        <v>2014</v>
      </c>
      <c r="B2286" s="7" t="s">
        <v>322</v>
      </c>
      <c r="C2286" s="7" t="n">
        <v>2</v>
      </c>
      <c r="D2286" s="7" t="s">
        <v>294</v>
      </c>
      <c r="E2286" s="7" t="s">
        <v>294</v>
      </c>
      <c r="F2286" s="3" t="s">
        <v>326</v>
      </c>
      <c r="G2286" s="3" t="n">
        <v>2</v>
      </c>
      <c r="H2286" s="3" t="n">
        <v>6</v>
      </c>
      <c r="I2286" s="22" t="n">
        <v>41793</v>
      </c>
      <c r="J2286" s="22" t="n">
        <v>41798</v>
      </c>
      <c r="K2286" s="43" t="n">
        <f aca="false">J2286-I2286</f>
        <v>5</v>
      </c>
      <c r="L2286" s="1" t="n">
        <v>5</v>
      </c>
      <c r="M2286" s="3" t="s">
        <v>72</v>
      </c>
      <c r="N2286" s="3" t="s">
        <v>86</v>
      </c>
      <c r="O2286" s="3" t="s">
        <v>87</v>
      </c>
      <c r="P2286" s="2" t="str">
        <f aca="false">CONCATENATE(N2286," ",O2286)</f>
        <v>Haplodrassus soerenseni</v>
      </c>
      <c r="Q2286" s="1" t="s">
        <v>30</v>
      </c>
      <c r="R2286" s="1" t="s">
        <v>35</v>
      </c>
      <c r="S2286" s="3" t="n">
        <v>0</v>
      </c>
      <c r="T2286" s="3" t="n">
        <v>1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f aca="false">SUM(S2286:T2286)</f>
        <v>1</v>
      </c>
      <c r="Z2286" s="3" t="n">
        <f aca="false">SUM(U2286:W2286)</f>
        <v>0</v>
      </c>
      <c r="AA2286" s="3" t="n">
        <f aca="false">SUM(S2286:X2286)</f>
        <v>1</v>
      </c>
      <c r="AB2286" s="11" t="n">
        <f aca="false">(AA2286/(K2286*L2286)*25)*4</f>
        <v>4</v>
      </c>
    </row>
    <row r="2287" customFormat="false" ht="14.25" hidden="false" customHeight="false" outlineLevel="0" collapsed="false">
      <c r="A2287" s="1" t="n">
        <v>2014</v>
      </c>
      <c r="B2287" s="7" t="s">
        <v>322</v>
      </c>
      <c r="C2287" s="7" t="n">
        <v>2</v>
      </c>
      <c r="D2287" s="7" t="s">
        <v>294</v>
      </c>
      <c r="E2287" s="7" t="s">
        <v>294</v>
      </c>
      <c r="F2287" s="3" t="s">
        <v>326</v>
      </c>
      <c r="G2287" s="3" t="n">
        <v>2</v>
      </c>
      <c r="H2287" s="3" t="n">
        <v>6</v>
      </c>
      <c r="I2287" s="22" t="n">
        <v>41793</v>
      </c>
      <c r="J2287" s="22" t="n">
        <v>41798</v>
      </c>
      <c r="K2287" s="43" t="n">
        <f aca="false">J2287-I2287</f>
        <v>5</v>
      </c>
      <c r="L2287" s="1" t="n">
        <v>5</v>
      </c>
      <c r="M2287" s="3" t="s">
        <v>72</v>
      </c>
      <c r="N2287" s="3" t="s">
        <v>73</v>
      </c>
      <c r="O2287" s="3" t="s">
        <v>74</v>
      </c>
      <c r="P2287" s="2" t="str">
        <f aca="false">CONCATENATE(N2287," ",O2287)</f>
        <v>Zelotes subterraneus</v>
      </c>
      <c r="Q2287" s="1" t="s">
        <v>30</v>
      </c>
      <c r="R2287" s="1" t="s">
        <v>31</v>
      </c>
      <c r="S2287" s="3" t="n">
        <v>1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f aca="false">SUM(S2287:T2287)</f>
        <v>1</v>
      </c>
      <c r="Z2287" s="3" t="n">
        <f aca="false">SUM(U2287:W2287)</f>
        <v>0</v>
      </c>
      <c r="AA2287" s="3" t="n">
        <f aca="false">SUM(S2287:X2287)</f>
        <v>1</v>
      </c>
      <c r="AB2287" s="11" t="n">
        <f aca="false">(AA2287/(K2287*L2287)*25)*4</f>
        <v>4</v>
      </c>
    </row>
    <row r="2288" customFormat="false" ht="14.25" hidden="false" customHeight="false" outlineLevel="0" collapsed="false">
      <c r="A2288" s="1" t="n">
        <v>2014</v>
      </c>
      <c r="B2288" s="7" t="s">
        <v>322</v>
      </c>
      <c r="C2288" s="7" t="n">
        <v>2</v>
      </c>
      <c r="D2288" s="7" t="s">
        <v>294</v>
      </c>
      <c r="E2288" s="7" t="s">
        <v>294</v>
      </c>
      <c r="F2288" s="3" t="s">
        <v>326</v>
      </c>
      <c r="G2288" s="3" t="n">
        <v>2</v>
      </c>
      <c r="H2288" s="3" t="n">
        <v>6</v>
      </c>
      <c r="I2288" s="22" t="n">
        <v>41793</v>
      </c>
      <c r="J2288" s="22" t="n">
        <v>41798</v>
      </c>
      <c r="K2288" s="43" t="n">
        <f aca="false">J2288-I2288</f>
        <v>5</v>
      </c>
      <c r="L2288" s="1" t="n">
        <v>5</v>
      </c>
      <c r="M2288" s="3" t="s">
        <v>135</v>
      </c>
      <c r="N2288" s="3" t="s">
        <v>136</v>
      </c>
      <c r="O2288" s="3" t="s">
        <v>137</v>
      </c>
      <c r="P2288" s="2" t="str">
        <f aca="false">CONCATENATE(N2288," ",O2288)</f>
        <v>Thanatus sabulosus</v>
      </c>
      <c r="Q2288" s="1" t="s">
        <v>30</v>
      </c>
      <c r="R2288" s="1" t="s">
        <v>35</v>
      </c>
      <c r="S2288" s="3" t="n">
        <v>0</v>
      </c>
      <c r="T2288" s="3" t="n">
        <v>1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f aca="false">SUM(S2288:T2288)</f>
        <v>1</v>
      </c>
      <c r="Z2288" s="3" t="n">
        <f aca="false">SUM(U2288:W2288)</f>
        <v>0</v>
      </c>
      <c r="AA2288" s="3" t="n">
        <f aca="false">SUM(S2288:X2288)</f>
        <v>1</v>
      </c>
      <c r="AB2288" s="11" t="n">
        <f aca="false">(AA2288/(K2288*L2288)*25)*4</f>
        <v>4</v>
      </c>
    </row>
    <row r="2289" customFormat="false" ht="14.25" hidden="false" customHeight="false" outlineLevel="0" collapsed="false">
      <c r="A2289" s="1" t="n">
        <v>2014</v>
      </c>
      <c r="B2289" s="7" t="s">
        <v>322</v>
      </c>
      <c r="C2289" s="7" t="n">
        <v>2</v>
      </c>
      <c r="D2289" s="7" t="s">
        <v>294</v>
      </c>
      <c r="E2289" s="7" t="s">
        <v>294</v>
      </c>
      <c r="F2289" s="3" t="s">
        <v>326</v>
      </c>
      <c r="G2289" s="3" t="n">
        <v>2</v>
      </c>
      <c r="H2289" s="3" t="n">
        <v>6</v>
      </c>
      <c r="I2289" s="22" t="n">
        <v>41793</v>
      </c>
      <c r="J2289" s="22" t="n">
        <v>41798</v>
      </c>
      <c r="K2289" s="43" t="n">
        <f aca="false">J2289-I2289</f>
        <v>5</v>
      </c>
      <c r="L2289" s="1" t="n">
        <v>5</v>
      </c>
      <c r="M2289" s="3" t="s">
        <v>36</v>
      </c>
      <c r="N2289" s="3" t="s">
        <v>131</v>
      </c>
      <c r="O2289" s="3" t="s">
        <v>133</v>
      </c>
      <c r="P2289" s="2" t="str">
        <f aca="false">CONCATENATE(N2289," ",O2289)</f>
        <v>Xysticus luctuosus</v>
      </c>
      <c r="Q2289" s="1" t="s">
        <v>30</v>
      </c>
      <c r="R2289" s="1" t="s">
        <v>31</v>
      </c>
      <c r="S2289" s="3" t="n">
        <v>1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f aca="false">SUM(S2289:T2289)</f>
        <v>1</v>
      </c>
      <c r="Z2289" s="3" t="n">
        <f aca="false">SUM(U2289:W2289)</f>
        <v>0</v>
      </c>
      <c r="AA2289" s="3" t="n">
        <f aca="false">SUM(S2289:X2289)</f>
        <v>1</v>
      </c>
      <c r="AB2289" s="11" t="n">
        <f aca="false">(AA2289/(K2289*L2289)*25)*4</f>
        <v>4</v>
      </c>
    </row>
    <row r="2290" customFormat="false" ht="14.25" hidden="false" customHeight="false" outlineLevel="0" collapsed="false">
      <c r="A2290" s="1" t="n">
        <v>2014</v>
      </c>
      <c r="B2290" s="7" t="s">
        <v>322</v>
      </c>
      <c r="C2290" s="7" t="n">
        <v>2</v>
      </c>
      <c r="D2290" s="7" t="s">
        <v>294</v>
      </c>
      <c r="E2290" s="7" t="s">
        <v>294</v>
      </c>
      <c r="F2290" s="3" t="s">
        <v>326</v>
      </c>
      <c r="G2290" s="3" t="n">
        <v>2</v>
      </c>
      <c r="H2290" s="3" t="n">
        <v>6</v>
      </c>
      <c r="I2290" s="22" t="n">
        <v>41793</v>
      </c>
      <c r="J2290" s="22" t="n">
        <v>41798</v>
      </c>
      <c r="K2290" s="43" t="n">
        <f aca="false">J2290-I2290</f>
        <v>5</v>
      </c>
      <c r="L2290" s="1" t="n">
        <v>5</v>
      </c>
      <c r="M2290" s="3" t="s">
        <v>36</v>
      </c>
      <c r="N2290" s="3" t="s">
        <v>131</v>
      </c>
      <c r="O2290" s="3" t="s">
        <v>133</v>
      </c>
      <c r="P2290" s="2" t="str">
        <f aca="false">CONCATENATE(N2290," ",O2290)</f>
        <v>Xysticus luctuosus</v>
      </c>
      <c r="Q2290" s="1" t="s">
        <v>30</v>
      </c>
      <c r="R2290" s="1" t="s">
        <v>35</v>
      </c>
      <c r="S2290" s="3" t="n">
        <v>0</v>
      </c>
      <c r="T2290" s="3" t="n">
        <v>1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f aca="false">SUM(S2290:T2290)</f>
        <v>1</v>
      </c>
      <c r="Z2290" s="3" t="n">
        <f aca="false">SUM(U2290:W2290)</f>
        <v>0</v>
      </c>
      <c r="AA2290" s="3" t="n">
        <f aca="false">SUM(S2290:X2290)</f>
        <v>1</v>
      </c>
      <c r="AB2290" s="11" t="n">
        <f aca="false">(AA2290/(K2290*L2290)*25)*4</f>
        <v>4</v>
      </c>
    </row>
    <row r="2291" customFormat="false" ht="14.25" hidden="false" customHeight="false" outlineLevel="0" collapsed="false">
      <c r="A2291" s="1" t="n">
        <v>2014</v>
      </c>
      <c r="B2291" s="7" t="s">
        <v>322</v>
      </c>
      <c r="C2291" s="7" t="n">
        <v>2</v>
      </c>
      <c r="D2291" s="7" t="s">
        <v>294</v>
      </c>
      <c r="E2291" s="7" t="s">
        <v>294</v>
      </c>
      <c r="F2291" s="3" t="s">
        <v>326</v>
      </c>
      <c r="G2291" s="3" t="n">
        <v>2</v>
      </c>
      <c r="H2291" s="3" t="n">
        <v>6</v>
      </c>
      <c r="I2291" s="22" t="n">
        <v>41793</v>
      </c>
      <c r="J2291" s="22" t="n">
        <v>41798</v>
      </c>
      <c r="K2291" s="43" t="n">
        <f aca="false">J2291-I2291</f>
        <v>5</v>
      </c>
      <c r="L2291" s="1" t="n">
        <v>5</v>
      </c>
      <c r="M2291" s="3" t="s">
        <v>36</v>
      </c>
      <c r="N2291" s="3" t="s">
        <v>131</v>
      </c>
      <c r="O2291" s="3" t="s">
        <v>229</v>
      </c>
      <c r="P2291" s="2" t="str">
        <f aca="false">CONCATENATE(N2291," ",O2291)</f>
        <v>Xysticus emertoni</v>
      </c>
      <c r="Q2291" s="1" t="s">
        <v>30</v>
      </c>
      <c r="R2291" s="1" t="s">
        <v>31</v>
      </c>
      <c r="S2291" s="3" t="n">
        <v>1</v>
      </c>
      <c r="T2291" s="3" t="n">
        <v>0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f aca="false">SUM(S2291:T2291)</f>
        <v>1</v>
      </c>
      <c r="Z2291" s="3" t="n">
        <f aca="false">SUM(U2291:W2291)</f>
        <v>0</v>
      </c>
      <c r="AA2291" s="3" t="n">
        <f aca="false">SUM(S2291:X2291)</f>
        <v>1</v>
      </c>
      <c r="AB2291" s="11" t="n">
        <f aca="false">(AA2291/(K2291*L2291)*25)*4</f>
        <v>4</v>
      </c>
    </row>
    <row r="2292" customFormat="false" ht="14.25" hidden="false" customHeight="false" outlineLevel="0" collapsed="false">
      <c r="A2292" s="1" t="n">
        <v>2014</v>
      </c>
      <c r="B2292" s="7" t="s">
        <v>322</v>
      </c>
      <c r="C2292" s="7" t="n">
        <v>2</v>
      </c>
      <c r="D2292" s="7" t="s">
        <v>294</v>
      </c>
      <c r="E2292" s="7" t="s">
        <v>294</v>
      </c>
      <c r="F2292" s="3" t="s">
        <v>326</v>
      </c>
      <c r="G2292" s="3" t="n">
        <v>2</v>
      </c>
      <c r="H2292" s="3" t="n">
        <v>6</v>
      </c>
      <c r="I2292" s="22" t="n">
        <v>41793</v>
      </c>
      <c r="J2292" s="22" t="n">
        <v>41798</v>
      </c>
      <c r="K2292" s="43" t="n">
        <f aca="false">J2292-I2292</f>
        <v>5</v>
      </c>
      <c r="L2292" s="1" t="n">
        <v>5</v>
      </c>
      <c r="M2292" s="3" t="s">
        <v>36</v>
      </c>
      <c r="N2292" s="3" t="s">
        <v>37</v>
      </c>
      <c r="O2292" s="3" t="s">
        <v>75</v>
      </c>
      <c r="P2292" s="2" t="str">
        <f aca="false">CONCATENATE(N2292," ",O2292)</f>
        <v>Ozyptila praticola</v>
      </c>
      <c r="Q2292" s="1" t="s">
        <v>30</v>
      </c>
      <c r="R2292" s="1" t="s">
        <v>31</v>
      </c>
      <c r="S2292" s="3" t="n">
        <v>1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f aca="false">SUM(S2292:T2292)</f>
        <v>1</v>
      </c>
      <c r="Z2292" s="3" t="n">
        <f aca="false">SUM(U2292:W2292)</f>
        <v>0</v>
      </c>
      <c r="AA2292" s="3" t="n">
        <f aca="false">SUM(S2292:X2292)</f>
        <v>1</v>
      </c>
      <c r="AB2292" s="11" t="n">
        <f aca="false">(AA2292/(K2292*L2292)*25)*4</f>
        <v>4</v>
      </c>
    </row>
    <row r="2293" customFormat="false" ht="14.25" hidden="false" customHeight="false" outlineLevel="0" collapsed="false">
      <c r="A2293" s="1" t="n">
        <v>2014</v>
      </c>
      <c r="B2293" s="7" t="s">
        <v>322</v>
      </c>
      <c r="C2293" s="7" t="n">
        <v>2</v>
      </c>
      <c r="D2293" s="7" t="s">
        <v>294</v>
      </c>
      <c r="E2293" s="7" t="s">
        <v>294</v>
      </c>
      <c r="F2293" s="3" t="s">
        <v>326</v>
      </c>
      <c r="G2293" s="3" t="n">
        <v>1</v>
      </c>
      <c r="H2293" s="3" t="n">
        <v>1</v>
      </c>
      <c r="I2293" s="22" t="n">
        <v>41793</v>
      </c>
      <c r="J2293" s="22" t="n">
        <v>41798</v>
      </c>
      <c r="K2293" s="43" t="n">
        <f aca="false">J2293-I2293</f>
        <v>5</v>
      </c>
      <c r="L2293" s="1" t="n">
        <v>5</v>
      </c>
      <c r="M2293" s="3" t="s">
        <v>36</v>
      </c>
      <c r="N2293" s="3" t="s">
        <v>131</v>
      </c>
      <c r="O2293" s="3" t="s">
        <v>229</v>
      </c>
      <c r="P2293" s="2" t="str">
        <f aca="false">CONCATENATE(N2293," ",O2293)</f>
        <v>Xysticus emertoni</v>
      </c>
      <c r="Q2293" s="1" t="s">
        <v>30</v>
      </c>
      <c r="R2293" s="1" t="s">
        <v>31</v>
      </c>
      <c r="S2293" s="3" t="n">
        <v>4</v>
      </c>
      <c r="T2293" s="3" t="n">
        <v>0</v>
      </c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f aca="false">SUM(S2293:T2293)</f>
        <v>4</v>
      </c>
      <c r="Z2293" s="3" t="n">
        <f aca="false">SUM(U2293:W2293)</f>
        <v>0</v>
      </c>
      <c r="AA2293" s="3" t="n">
        <f aca="false">SUM(S2293:X2293)</f>
        <v>4</v>
      </c>
      <c r="AB2293" s="11" t="n">
        <f aca="false">(AA2293/(K2293*L2293)*25)*4</f>
        <v>16</v>
      </c>
    </row>
    <row r="2294" customFormat="false" ht="14.25" hidden="false" customHeight="false" outlineLevel="0" collapsed="false">
      <c r="A2294" s="1" t="n">
        <v>2014</v>
      </c>
      <c r="B2294" s="7" t="s">
        <v>322</v>
      </c>
      <c r="C2294" s="7" t="n">
        <v>2</v>
      </c>
      <c r="D2294" s="7" t="s">
        <v>294</v>
      </c>
      <c r="E2294" s="7" t="s">
        <v>294</v>
      </c>
      <c r="F2294" s="3" t="s">
        <v>326</v>
      </c>
      <c r="G2294" s="3" t="n">
        <v>1</v>
      </c>
      <c r="H2294" s="3" t="n">
        <v>1</v>
      </c>
      <c r="I2294" s="22" t="n">
        <v>41793</v>
      </c>
      <c r="J2294" s="22" t="n">
        <v>41798</v>
      </c>
      <c r="K2294" s="43" t="n">
        <f aca="false">J2294-I2294</f>
        <v>5</v>
      </c>
      <c r="L2294" s="1" t="n">
        <v>5</v>
      </c>
      <c r="M2294" s="3" t="s">
        <v>36</v>
      </c>
      <c r="N2294" s="3" t="s">
        <v>131</v>
      </c>
      <c r="O2294" s="3" t="s">
        <v>133</v>
      </c>
      <c r="P2294" s="2" t="str">
        <f aca="false">CONCATENATE(N2294," ",O2294)</f>
        <v>Xysticus luctuosus</v>
      </c>
      <c r="Q2294" s="1" t="s">
        <v>30</v>
      </c>
      <c r="R2294" s="1" t="s">
        <v>31</v>
      </c>
      <c r="S2294" s="3" t="n">
        <v>2</v>
      </c>
      <c r="T2294" s="3" t="n">
        <v>0</v>
      </c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f aca="false">SUM(S2294:T2294)</f>
        <v>2</v>
      </c>
      <c r="Z2294" s="3" t="n">
        <f aca="false">SUM(U2294:W2294)</f>
        <v>0</v>
      </c>
      <c r="AA2294" s="3" t="n">
        <f aca="false">SUM(S2294:X2294)</f>
        <v>2</v>
      </c>
      <c r="AB2294" s="11" t="n">
        <f aca="false">(AA2294/(K2294*L2294)*25)*4</f>
        <v>8</v>
      </c>
    </row>
    <row r="2295" customFormat="false" ht="14.25" hidden="false" customHeight="false" outlineLevel="0" collapsed="false">
      <c r="A2295" s="1" t="n">
        <v>2014</v>
      </c>
      <c r="B2295" s="7" t="s">
        <v>322</v>
      </c>
      <c r="C2295" s="7" t="n">
        <v>2</v>
      </c>
      <c r="D2295" s="7" t="s">
        <v>294</v>
      </c>
      <c r="E2295" s="7" t="s">
        <v>294</v>
      </c>
      <c r="F2295" s="3" t="s">
        <v>326</v>
      </c>
      <c r="G2295" s="3" t="n">
        <v>1</v>
      </c>
      <c r="H2295" s="3" t="n">
        <v>1</v>
      </c>
      <c r="I2295" s="22" t="n">
        <v>41793</v>
      </c>
      <c r="J2295" s="22" t="n">
        <v>41798</v>
      </c>
      <c r="K2295" s="43" t="n">
        <f aca="false">J2295-I2295</f>
        <v>5</v>
      </c>
      <c r="L2295" s="1" t="n">
        <v>5</v>
      </c>
      <c r="M2295" s="3" t="s">
        <v>226</v>
      </c>
      <c r="N2295" s="3" t="s">
        <v>65</v>
      </c>
      <c r="O2295" s="3" t="s">
        <v>123</v>
      </c>
      <c r="P2295" s="2" t="str">
        <f aca="false">CONCATENATE(N2295," ",O2295)</f>
        <v>Zora nemoralis</v>
      </c>
      <c r="Q2295" s="1" t="s">
        <v>30</v>
      </c>
      <c r="R2295" s="1" t="s">
        <v>31</v>
      </c>
      <c r="S2295" s="3" t="n">
        <v>1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f aca="false">SUM(S2295:T2295)</f>
        <v>1</v>
      </c>
      <c r="Z2295" s="3" t="n">
        <f aca="false">SUM(U2295:W2295)</f>
        <v>0</v>
      </c>
      <c r="AA2295" s="3" t="n">
        <f aca="false">SUM(S2295:X2295)</f>
        <v>1</v>
      </c>
      <c r="AB2295" s="11" t="n">
        <f aca="false">(AA2295/(K2295*L2295)*25)*4</f>
        <v>4</v>
      </c>
    </row>
    <row r="2296" customFormat="false" ht="14.25" hidden="false" customHeight="false" outlineLevel="0" collapsed="false">
      <c r="A2296" s="1" t="n">
        <v>2014</v>
      </c>
      <c r="B2296" s="7" t="s">
        <v>322</v>
      </c>
      <c r="C2296" s="7" t="n">
        <v>2</v>
      </c>
      <c r="D2296" s="7" t="s">
        <v>294</v>
      </c>
      <c r="E2296" s="7" t="s">
        <v>294</v>
      </c>
      <c r="F2296" s="3" t="s">
        <v>326</v>
      </c>
      <c r="G2296" s="3" t="n">
        <v>1</v>
      </c>
      <c r="H2296" s="3" t="n">
        <v>1</v>
      </c>
      <c r="I2296" s="22" t="n">
        <v>41793</v>
      </c>
      <c r="J2296" s="22" t="n">
        <v>41798</v>
      </c>
      <c r="K2296" s="43" t="n">
        <f aca="false">J2296-I2296</f>
        <v>5</v>
      </c>
      <c r="L2296" s="1" t="n">
        <v>5</v>
      </c>
      <c r="M2296" s="3" t="s">
        <v>135</v>
      </c>
      <c r="N2296" s="3" t="s">
        <v>136</v>
      </c>
      <c r="O2296" s="3" t="s">
        <v>137</v>
      </c>
      <c r="P2296" s="2" t="str">
        <f aca="false">CONCATENATE(N2296," ",O2296)</f>
        <v>Thanatus sabulosus</v>
      </c>
      <c r="Q2296" s="1" t="s">
        <v>30</v>
      </c>
      <c r="R2296" s="1" t="s">
        <v>35</v>
      </c>
      <c r="S2296" s="3" t="n">
        <v>0</v>
      </c>
      <c r="T2296" s="3" t="n">
        <v>1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f aca="false">SUM(S2296:T2296)</f>
        <v>1</v>
      </c>
      <c r="Z2296" s="3" t="n">
        <f aca="false">SUM(U2296:W2296)</f>
        <v>0</v>
      </c>
      <c r="AA2296" s="3" t="n">
        <f aca="false">SUM(S2296:X2296)</f>
        <v>1</v>
      </c>
      <c r="AB2296" s="11" t="n">
        <f aca="false">(AA2296/(K2296*L2296)*25)*4</f>
        <v>4</v>
      </c>
    </row>
    <row r="2297" customFormat="false" ht="14.25" hidden="false" customHeight="false" outlineLevel="0" collapsed="false">
      <c r="A2297" s="1" t="n">
        <v>2014</v>
      </c>
      <c r="B2297" s="7" t="s">
        <v>322</v>
      </c>
      <c r="C2297" s="7" t="n">
        <v>2</v>
      </c>
      <c r="D2297" s="7" t="s">
        <v>294</v>
      </c>
      <c r="E2297" s="7" t="s">
        <v>294</v>
      </c>
      <c r="F2297" s="3" t="s">
        <v>326</v>
      </c>
      <c r="G2297" s="3" t="n">
        <v>1</v>
      </c>
      <c r="H2297" s="3" t="n">
        <v>1</v>
      </c>
      <c r="I2297" s="22" t="n">
        <v>41793</v>
      </c>
      <c r="J2297" s="22" t="n">
        <v>41798</v>
      </c>
      <c r="K2297" s="43" t="n">
        <f aca="false">J2297-I2297</f>
        <v>5</v>
      </c>
      <c r="L2297" s="1" t="n">
        <v>5</v>
      </c>
      <c r="M2297" s="3" t="s">
        <v>48</v>
      </c>
      <c r="N2297" s="3" t="s">
        <v>49</v>
      </c>
      <c r="O2297" s="3" t="s">
        <v>104</v>
      </c>
      <c r="P2297" s="2" t="str">
        <f aca="false">CONCATENATE(N2297," ",O2297)</f>
        <v>Alopecosa taeniata</v>
      </c>
      <c r="Q2297" s="1" t="s">
        <v>30</v>
      </c>
      <c r="R2297" s="1" t="s">
        <v>31</v>
      </c>
      <c r="S2297" s="3" t="n">
        <v>3</v>
      </c>
      <c r="T2297" s="3" t="n">
        <v>0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f aca="false">SUM(S2297:T2297)</f>
        <v>3</v>
      </c>
      <c r="Z2297" s="3" t="n">
        <f aca="false">SUM(U2297:W2297)</f>
        <v>0</v>
      </c>
      <c r="AA2297" s="3" t="n">
        <f aca="false">SUM(S2297:X2297)</f>
        <v>3</v>
      </c>
      <c r="AB2297" s="11" t="n">
        <f aca="false">(AA2297/(K2297*L2297)*25)*4</f>
        <v>12</v>
      </c>
    </row>
    <row r="2298" customFormat="false" ht="14.25" hidden="false" customHeight="false" outlineLevel="0" collapsed="false">
      <c r="A2298" s="1" t="n">
        <v>2014</v>
      </c>
      <c r="B2298" s="7" t="s">
        <v>322</v>
      </c>
      <c r="C2298" s="7" t="n">
        <v>2</v>
      </c>
      <c r="D2298" s="7" t="s">
        <v>294</v>
      </c>
      <c r="E2298" s="7" t="s">
        <v>294</v>
      </c>
      <c r="F2298" s="3" t="s">
        <v>326</v>
      </c>
      <c r="G2298" s="3" t="n">
        <v>1</v>
      </c>
      <c r="H2298" s="3" t="n">
        <v>1</v>
      </c>
      <c r="I2298" s="22" t="n">
        <v>41793</v>
      </c>
      <c r="J2298" s="22" t="n">
        <v>41798</v>
      </c>
      <c r="K2298" s="43" t="n">
        <f aca="false">J2298-I2298</f>
        <v>5</v>
      </c>
      <c r="L2298" s="1" t="n">
        <v>5</v>
      </c>
      <c r="M2298" s="3" t="s">
        <v>36</v>
      </c>
      <c r="N2298" s="3" t="s">
        <v>37</v>
      </c>
      <c r="O2298" s="3" t="s">
        <v>75</v>
      </c>
      <c r="P2298" s="2" t="str">
        <f aca="false">CONCATENATE(N2298," ",O2298)</f>
        <v>Ozyptila praticola</v>
      </c>
      <c r="Q2298" s="1" t="s">
        <v>30</v>
      </c>
      <c r="R2298" s="1" t="s">
        <v>31</v>
      </c>
      <c r="S2298" s="3" t="n">
        <v>3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f aca="false">SUM(S2298:T2298)</f>
        <v>3</v>
      </c>
      <c r="Z2298" s="3" t="n">
        <f aca="false">SUM(U2298:W2298)</f>
        <v>0</v>
      </c>
      <c r="AA2298" s="3" t="n">
        <f aca="false">SUM(S2298:X2298)</f>
        <v>3</v>
      </c>
      <c r="AB2298" s="11" t="n">
        <f aca="false">(AA2298/(K2298*L2298)*25)*4</f>
        <v>12</v>
      </c>
    </row>
    <row r="2299" customFormat="false" ht="14.25" hidden="false" customHeight="false" outlineLevel="0" collapsed="false">
      <c r="A2299" s="1" t="n">
        <v>2014</v>
      </c>
      <c r="B2299" s="7" t="s">
        <v>322</v>
      </c>
      <c r="C2299" s="7" t="n">
        <v>2</v>
      </c>
      <c r="D2299" s="7" t="s">
        <v>294</v>
      </c>
      <c r="E2299" s="7" t="s">
        <v>294</v>
      </c>
      <c r="F2299" s="3" t="s">
        <v>326</v>
      </c>
      <c r="G2299" s="3" t="n">
        <v>1</v>
      </c>
      <c r="H2299" s="3" t="n">
        <v>1</v>
      </c>
      <c r="I2299" s="22" t="n">
        <v>41793</v>
      </c>
      <c r="J2299" s="22" t="n">
        <v>41798</v>
      </c>
      <c r="K2299" s="43" t="n">
        <f aca="false">J2299-I2299</f>
        <v>5</v>
      </c>
      <c r="L2299" s="1" t="n">
        <v>5</v>
      </c>
      <c r="M2299" s="3" t="s">
        <v>48</v>
      </c>
      <c r="N2299" s="3" t="s">
        <v>67</v>
      </c>
      <c r="O2299" s="3" t="s">
        <v>127</v>
      </c>
      <c r="P2299" s="2" t="str">
        <f aca="false">CONCATENATE(N2299," ",O2299)</f>
        <v>Pardosa lugubris</v>
      </c>
      <c r="Q2299" s="1" t="s">
        <v>30</v>
      </c>
      <c r="R2299" s="1" t="s">
        <v>31</v>
      </c>
      <c r="S2299" s="3" t="n">
        <v>5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f aca="false">SUM(S2299:T2299)</f>
        <v>5</v>
      </c>
      <c r="Z2299" s="3" t="n">
        <f aca="false">SUM(U2299:W2299)</f>
        <v>0</v>
      </c>
      <c r="AA2299" s="3" t="n">
        <f aca="false">SUM(S2299:X2299)</f>
        <v>5</v>
      </c>
      <c r="AB2299" s="11" t="n">
        <f aca="false">(AA2299/(K2299*L2299)*25)*4</f>
        <v>20</v>
      </c>
    </row>
    <row r="2300" customFormat="false" ht="14.25" hidden="false" customHeight="false" outlineLevel="0" collapsed="false">
      <c r="A2300" s="1" t="n">
        <v>2014</v>
      </c>
      <c r="B2300" s="7" t="s">
        <v>322</v>
      </c>
      <c r="C2300" s="7" t="n">
        <v>2</v>
      </c>
      <c r="D2300" s="7" t="s">
        <v>294</v>
      </c>
      <c r="E2300" s="7" t="s">
        <v>294</v>
      </c>
      <c r="F2300" s="3" t="s">
        <v>326</v>
      </c>
      <c r="G2300" s="3" t="n">
        <v>1</v>
      </c>
      <c r="H2300" s="3" t="n">
        <v>1</v>
      </c>
      <c r="I2300" s="22" t="n">
        <v>41793</v>
      </c>
      <c r="J2300" s="22" t="n">
        <v>41798</v>
      </c>
      <c r="K2300" s="43" t="n">
        <f aca="false">J2300-I2300</f>
        <v>5</v>
      </c>
      <c r="L2300" s="1" t="n">
        <v>5</v>
      </c>
      <c r="M2300" s="3" t="s">
        <v>32</v>
      </c>
      <c r="N2300" s="3" t="s">
        <v>169</v>
      </c>
      <c r="O2300" s="3" t="s">
        <v>170</v>
      </c>
      <c r="P2300" s="2" t="str">
        <f aca="false">CONCATENATE(N2300," ",O2300)</f>
        <v>Abacoproeces saltuum</v>
      </c>
      <c r="Q2300" s="1" t="s">
        <v>30</v>
      </c>
      <c r="R2300" s="1" t="s">
        <v>31</v>
      </c>
      <c r="S2300" s="3" t="n">
        <v>1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f aca="false">SUM(S2300:T2300)</f>
        <v>1</v>
      </c>
      <c r="Z2300" s="3" t="n">
        <f aca="false">SUM(U2300:W2300)</f>
        <v>0</v>
      </c>
      <c r="AA2300" s="3" t="n">
        <f aca="false">SUM(S2300:X2300)</f>
        <v>1</v>
      </c>
      <c r="AB2300" s="11" t="n">
        <f aca="false">(AA2300/(K2300*L2300)*25)*4</f>
        <v>4</v>
      </c>
    </row>
    <row r="2301" customFormat="false" ht="14.25" hidden="false" customHeight="false" outlineLevel="0" collapsed="false">
      <c r="A2301" s="1" t="n">
        <v>2014</v>
      </c>
      <c r="B2301" s="7" t="s">
        <v>322</v>
      </c>
      <c r="C2301" s="7" t="n">
        <v>2</v>
      </c>
      <c r="D2301" s="7" t="s">
        <v>294</v>
      </c>
      <c r="E2301" s="7" t="s">
        <v>294</v>
      </c>
      <c r="F2301" s="3" t="s">
        <v>326</v>
      </c>
      <c r="G2301" s="3" t="n">
        <v>1</v>
      </c>
      <c r="H2301" s="3" t="n">
        <v>1</v>
      </c>
      <c r="I2301" s="22" t="n">
        <v>41793</v>
      </c>
      <c r="J2301" s="22" t="n">
        <v>41798</v>
      </c>
      <c r="K2301" s="43" t="n">
        <f aca="false">J2301-I2301</f>
        <v>5</v>
      </c>
      <c r="L2301" s="1" t="n">
        <v>5</v>
      </c>
      <c r="M2301" s="3" t="s">
        <v>32</v>
      </c>
      <c r="N2301" s="3" t="s">
        <v>96</v>
      </c>
      <c r="O2301" s="3" t="s">
        <v>97</v>
      </c>
      <c r="P2301" s="2" t="str">
        <f aca="false">CONCATENATE(N2301," ",O2301)</f>
        <v>Diplocephalus picinus</v>
      </c>
      <c r="Q2301" s="1" t="s">
        <v>30</v>
      </c>
      <c r="R2301" s="1" t="s">
        <v>31</v>
      </c>
      <c r="S2301" s="3" t="n">
        <v>6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f aca="false">SUM(S2301:T2301)</f>
        <v>6</v>
      </c>
      <c r="Z2301" s="3" t="n">
        <f aca="false">SUM(U2301:W2301)</f>
        <v>0</v>
      </c>
      <c r="AA2301" s="3" t="n">
        <f aca="false">SUM(S2301:X2301)</f>
        <v>6</v>
      </c>
      <c r="AB2301" s="11" t="n">
        <f aca="false">(AA2301/(K2301*L2301)*25)*4</f>
        <v>24</v>
      </c>
    </row>
    <row r="2302" customFormat="false" ht="14.25" hidden="false" customHeight="false" outlineLevel="0" collapsed="false">
      <c r="A2302" s="1" t="n">
        <v>2014</v>
      </c>
      <c r="B2302" s="7" t="s">
        <v>322</v>
      </c>
      <c r="C2302" s="7" t="n">
        <v>2</v>
      </c>
      <c r="D2302" s="7" t="s">
        <v>294</v>
      </c>
      <c r="E2302" s="7" t="s">
        <v>294</v>
      </c>
      <c r="F2302" s="3" t="s">
        <v>326</v>
      </c>
      <c r="G2302" s="3" t="n">
        <v>1</v>
      </c>
      <c r="H2302" s="3" t="n">
        <v>1</v>
      </c>
      <c r="I2302" s="22" t="n">
        <v>41793</v>
      </c>
      <c r="J2302" s="22" t="n">
        <v>41798</v>
      </c>
      <c r="K2302" s="43" t="n">
        <f aca="false">J2302-I2302</f>
        <v>5</v>
      </c>
      <c r="L2302" s="1" t="n">
        <v>5</v>
      </c>
      <c r="M2302" s="3" t="s">
        <v>32</v>
      </c>
      <c r="N2302" s="3" t="s">
        <v>55</v>
      </c>
      <c r="O2302" s="3" t="s">
        <v>194</v>
      </c>
      <c r="P2302" s="2" t="str">
        <f aca="false">CONCATENATE(N2302," ",O2302)</f>
        <v>Maro pansibiricus</v>
      </c>
      <c r="Q2302" s="1" t="s">
        <v>30</v>
      </c>
      <c r="R2302" s="1" t="s">
        <v>31</v>
      </c>
      <c r="S2302" s="3" t="n">
        <v>1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f aca="false">SUM(S2302:T2302)</f>
        <v>1</v>
      </c>
      <c r="Z2302" s="3" t="n">
        <f aca="false">SUM(U2302:W2302)</f>
        <v>0</v>
      </c>
      <c r="AA2302" s="3" t="n">
        <f aca="false">SUM(S2302:X2302)</f>
        <v>1</v>
      </c>
      <c r="AB2302" s="11" t="n">
        <f aca="false">(AA2302/(K2302*L2302)*25)*4</f>
        <v>4</v>
      </c>
    </row>
    <row r="2303" customFormat="false" ht="14.25" hidden="false" customHeight="false" outlineLevel="0" collapsed="false">
      <c r="A2303" s="1" t="n">
        <v>2014</v>
      </c>
      <c r="B2303" s="7" t="s">
        <v>322</v>
      </c>
      <c r="C2303" s="7" t="n">
        <v>2</v>
      </c>
      <c r="D2303" s="7" t="s">
        <v>294</v>
      </c>
      <c r="E2303" s="7" t="s">
        <v>294</v>
      </c>
      <c r="F2303" s="3" t="s">
        <v>326</v>
      </c>
      <c r="G2303" s="3" t="n">
        <v>2</v>
      </c>
      <c r="H2303" s="3" t="n">
        <v>8</v>
      </c>
      <c r="I2303" s="22" t="n">
        <v>41793</v>
      </c>
      <c r="J2303" s="22" t="n">
        <v>41798</v>
      </c>
      <c r="K2303" s="43" t="n">
        <f aca="false">J2303-I2303</f>
        <v>5</v>
      </c>
      <c r="L2303" s="1" t="n">
        <v>5</v>
      </c>
      <c r="M2303" s="3" t="s">
        <v>48</v>
      </c>
      <c r="N2303" s="3" t="s">
        <v>67</v>
      </c>
      <c r="O2303" s="3" t="s">
        <v>127</v>
      </c>
      <c r="P2303" s="2" t="str">
        <f aca="false">CONCATENATE(N2303," ",O2303)</f>
        <v>Pardosa lugubris</v>
      </c>
      <c r="Q2303" s="1" t="s">
        <v>30</v>
      </c>
      <c r="R2303" s="1" t="s">
        <v>31</v>
      </c>
      <c r="S2303" s="3" t="n">
        <v>2</v>
      </c>
      <c r="T2303" s="3" t="n">
        <v>0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f aca="false">SUM(S2303:T2303)</f>
        <v>2</v>
      </c>
      <c r="Z2303" s="3" t="n">
        <f aca="false">SUM(U2303:W2303)</f>
        <v>0</v>
      </c>
      <c r="AA2303" s="3" t="n">
        <f aca="false">SUM(S2303:X2303)</f>
        <v>2</v>
      </c>
      <c r="AB2303" s="11" t="n">
        <f aca="false">(AA2303/(K2303*L2303)*25)*4</f>
        <v>8</v>
      </c>
    </row>
    <row r="2304" customFormat="false" ht="14.25" hidden="false" customHeight="false" outlineLevel="0" collapsed="false">
      <c r="A2304" s="1" t="n">
        <v>2014</v>
      </c>
      <c r="B2304" s="7" t="s">
        <v>322</v>
      </c>
      <c r="C2304" s="7" t="n">
        <v>2</v>
      </c>
      <c r="D2304" s="7" t="s">
        <v>294</v>
      </c>
      <c r="E2304" s="7" t="s">
        <v>294</v>
      </c>
      <c r="F2304" s="3" t="s">
        <v>326</v>
      </c>
      <c r="G2304" s="3" t="n">
        <v>2</v>
      </c>
      <c r="H2304" s="3" t="n">
        <v>8</v>
      </c>
      <c r="I2304" s="22" t="n">
        <v>41793</v>
      </c>
      <c r="J2304" s="22" t="n">
        <v>41798</v>
      </c>
      <c r="K2304" s="43" t="n">
        <f aca="false">J2304-I2304</f>
        <v>5</v>
      </c>
      <c r="L2304" s="1" t="n">
        <v>5</v>
      </c>
      <c r="M2304" s="3" t="s">
        <v>48</v>
      </c>
      <c r="N2304" s="3" t="s">
        <v>67</v>
      </c>
      <c r="O2304" s="3" t="s">
        <v>127</v>
      </c>
      <c r="P2304" s="2" t="str">
        <f aca="false">CONCATENATE(N2304," ",O2304)</f>
        <v>Pardosa lugubris</v>
      </c>
      <c r="Q2304" s="1" t="s">
        <v>30</v>
      </c>
      <c r="R2304" s="1" t="s">
        <v>35</v>
      </c>
      <c r="S2304" s="3" t="n">
        <v>0</v>
      </c>
      <c r="T2304" s="3" t="n">
        <v>1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f aca="false">SUM(S2304:T2304)</f>
        <v>1</v>
      </c>
      <c r="Z2304" s="3" t="n">
        <f aca="false">SUM(U2304:W2304)</f>
        <v>0</v>
      </c>
      <c r="AA2304" s="3" t="n">
        <f aca="false">SUM(S2304:X2304)</f>
        <v>1</v>
      </c>
      <c r="AB2304" s="11" t="n">
        <f aca="false">(AA2304/(K2304*L2304)*25)*4</f>
        <v>4</v>
      </c>
    </row>
    <row r="2305" customFormat="false" ht="14.25" hidden="false" customHeight="false" outlineLevel="0" collapsed="false">
      <c r="A2305" s="1" t="n">
        <v>2014</v>
      </c>
      <c r="B2305" s="7" t="s">
        <v>322</v>
      </c>
      <c r="C2305" s="7" t="n">
        <v>2</v>
      </c>
      <c r="D2305" s="7" t="s">
        <v>294</v>
      </c>
      <c r="E2305" s="7" t="s">
        <v>294</v>
      </c>
      <c r="F2305" s="3" t="s">
        <v>326</v>
      </c>
      <c r="G2305" s="3" t="n">
        <v>2</v>
      </c>
      <c r="H2305" s="3" t="n">
        <v>8</v>
      </c>
      <c r="I2305" s="22" t="n">
        <v>41793</v>
      </c>
      <c r="J2305" s="22" t="n">
        <v>41798</v>
      </c>
      <c r="K2305" s="43" t="n">
        <f aca="false">J2305-I2305</f>
        <v>5</v>
      </c>
      <c r="L2305" s="1" t="n">
        <v>5</v>
      </c>
      <c r="M2305" s="3" t="s">
        <v>48</v>
      </c>
      <c r="N2305" s="3" t="s">
        <v>49</v>
      </c>
      <c r="O2305" s="3" t="s">
        <v>130</v>
      </c>
      <c r="P2305" s="2" t="str">
        <f aca="false">CONCATENATE(N2305," ",O2305)</f>
        <v>Alopecosa aculeata</v>
      </c>
      <c r="Q2305" s="1" t="s">
        <v>30</v>
      </c>
      <c r="R2305" s="1" t="s">
        <v>31</v>
      </c>
      <c r="S2305" s="3" t="n">
        <v>2</v>
      </c>
      <c r="T2305" s="3" t="n">
        <v>0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f aca="false">SUM(S2305:T2305)</f>
        <v>2</v>
      </c>
      <c r="Z2305" s="3" t="n">
        <f aca="false">SUM(U2305:W2305)</f>
        <v>0</v>
      </c>
      <c r="AA2305" s="3" t="n">
        <f aca="false">SUM(S2305:X2305)</f>
        <v>2</v>
      </c>
      <c r="AB2305" s="11" t="n">
        <f aca="false">(AA2305/(K2305*L2305)*25)*4</f>
        <v>8</v>
      </c>
    </row>
    <row r="2306" customFormat="false" ht="14.25" hidden="false" customHeight="false" outlineLevel="0" collapsed="false">
      <c r="A2306" s="1" t="n">
        <v>2014</v>
      </c>
      <c r="B2306" s="7" t="s">
        <v>322</v>
      </c>
      <c r="C2306" s="7" t="n">
        <v>2</v>
      </c>
      <c r="D2306" s="7" t="s">
        <v>294</v>
      </c>
      <c r="E2306" s="7" t="s">
        <v>294</v>
      </c>
      <c r="F2306" s="3" t="s">
        <v>326</v>
      </c>
      <c r="G2306" s="3" t="n">
        <v>2</v>
      </c>
      <c r="H2306" s="3" t="n">
        <v>8</v>
      </c>
      <c r="I2306" s="22" t="n">
        <v>41793</v>
      </c>
      <c r="J2306" s="22" t="n">
        <v>41798</v>
      </c>
      <c r="K2306" s="43" t="n">
        <f aca="false">J2306-I2306</f>
        <v>5</v>
      </c>
      <c r="L2306" s="1" t="n">
        <v>5</v>
      </c>
      <c r="M2306" s="3" t="s">
        <v>36</v>
      </c>
      <c r="N2306" s="3" t="s">
        <v>37</v>
      </c>
      <c r="O2306" s="3" t="s">
        <v>75</v>
      </c>
      <c r="P2306" s="2" t="str">
        <f aca="false">CONCATENATE(N2306," ",O2306)</f>
        <v>Ozyptila praticola</v>
      </c>
      <c r="Q2306" s="1" t="s">
        <v>30</v>
      </c>
      <c r="R2306" s="1" t="s">
        <v>31</v>
      </c>
      <c r="S2306" s="3" t="n">
        <v>2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f aca="false">SUM(S2306:T2306)</f>
        <v>2</v>
      </c>
      <c r="Z2306" s="3" t="n">
        <f aca="false">SUM(U2306:W2306)</f>
        <v>0</v>
      </c>
      <c r="AA2306" s="3" t="n">
        <f aca="false">SUM(S2306:X2306)</f>
        <v>2</v>
      </c>
      <c r="AB2306" s="11" t="n">
        <f aca="false">(AA2306/(K2306*L2306)*25)*4</f>
        <v>8</v>
      </c>
    </row>
    <row r="2307" customFormat="false" ht="14.25" hidden="false" customHeight="false" outlineLevel="0" collapsed="false">
      <c r="A2307" s="1" t="n">
        <v>2014</v>
      </c>
      <c r="B2307" s="7" t="s">
        <v>322</v>
      </c>
      <c r="C2307" s="7" t="n">
        <v>2</v>
      </c>
      <c r="D2307" s="7" t="s">
        <v>294</v>
      </c>
      <c r="E2307" s="7" t="s">
        <v>294</v>
      </c>
      <c r="F2307" s="3" t="s">
        <v>326</v>
      </c>
      <c r="G2307" s="3" t="n">
        <v>2</v>
      </c>
      <c r="H2307" s="3" t="n">
        <v>8</v>
      </c>
      <c r="I2307" s="22" t="n">
        <v>41793</v>
      </c>
      <c r="J2307" s="22" t="n">
        <v>41798</v>
      </c>
      <c r="K2307" s="43" t="n">
        <f aca="false">J2307-I2307</f>
        <v>5</v>
      </c>
      <c r="L2307" s="1" t="n">
        <v>5</v>
      </c>
      <c r="M2307" s="3" t="s">
        <v>36</v>
      </c>
      <c r="N2307" s="3" t="s">
        <v>131</v>
      </c>
      <c r="O2307" s="3" t="s">
        <v>133</v>
      </c>
      <c r="P2307" s="2" t="str">
        <f aca="false">CONCATENATE(N2307," ",O2307)</f>
        <v>Xysticus luctuosus</v>
      </c>
      <c r="Q2307" s="1" t="s">
        <v>30</v>
      </c>
      <c r="R2307" s="1" t="s">
        <v>31</v>
      </c>
      <c r="S2307" s="3" t="n">
        <v>2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f aca="false">SUM(S2307:T2307)</f>
        <v>2</v>
      </c>
      <c r="Z2307" s="3" t="n">
        <f aca="false">SUM(U2307:W2307)</f>
        <v>0</v>
      </c>
      <c r="AA2307" s="3" t="n">
        <f aca="false">SUM(S2307:X2307)</f>
        <v>2</v>
      </c>
      <c r="AB2307" s="11" t="n">
        <f aca="false">(AA2307/(K2307*L2307)*25)*4</f>
        <v>8</v>
      </c>
    </row>
    <row r="2308" customFormat="false" ht="14.25" hidden="false" customHeight="false" outlineLevel="0" collapsed="false">
      <c r="A2308" s="1" t="n">
        <v>2014</v>
      </c>
      <c r="B2308" s="7" t="s">
        <v>322</v>
      </c>
      <c r="C2308" s="7" t="n">
        <v>2</v>
      </c>
      <c r="D2308" s="7" t="s">
        <v>294</v>
      </c>
      <c r="E2308" s="7" t="s">
        <v>294</v>
      </c>
      <c r="F2308" s="3" t="s">
        <v>326</v>
      </c>
      <c r="G2308" s="3" t="n">
        <v>2</v>
      </c>
      <c r="H2308" s="3" t="n">
        <v>8</v>
      </c>
      <c r="I2308" s="22" t="n">
        <v>41793</v>
      </c>
      <c r="J2308" s="22" t="n">
        <v>41798</v>
      </c>
      <c r="K2308" s="43" t="n">
        <f aca="false">J2308-I2308</f>
        <v>5</v>
      </c>
      <c r="L2308" s="1" t="n">
        <v>5</v>
      </c>
      <c r="M2308" s="3" t="s">
        <v>36</v>
      </c>
      <c r="N2308" s="3" t="s">
        <v>131</v>
      </c>
      <c r="O2308" s="3" t="s">
        <v>133</v>
      </c>
      <c r="P2308" s="2" t="str">
        <f aca="false">CONCATENATE(N2308," ",O2308)</f>
        <v>Xysticus luctuosus</v>
      </c>
      <c r="Q2308" s="1" t="s">
        <v>30</v>
      </c>
      <c r="R2308" s="1" t="s">
        <v>35</v>
      </c>
      <c r="S2308" s="3" t="n">
        <v>0</v>
      </c>
      <c r="T2308" s="3" t="n">
        <v>1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f aca="false">SUM(S2308:T2308)</f>
        <v>1</v>
      </c>
      <c r="Z2308" s="3" t="n">
        <f aca="false">SUM(U2308:W2308)</f>
        <v>0</v>
      </c>
      <c r="AA2308" s="3" t="n">
        <f aca="false">SUM(S2308:X2308)</f>
        <v>1</v>
      </c>
      <c r="AB2308" s="11" t="n">
        <f aca="false">(AA2308/(K2308*L2308)*25)*4</f>
        <v>4</v>
      </c>
    </row>
    <row r="2309" customFormat="false" ht="14.25" hidden="false" customHeight="false" outlineLevel="0" collapsed="false">
      <c r="A2309" s="1" t="n">
        <v>2014</v>
      </c>
      <c r="B2309" s="7" t="s">
        <v>322</v>
      </c>
      <c r="C2309" s="7" t="n">
        <v>2</v>
      </c>
      <c r="D2309" s="7" t="s">
        <v>294</v>
      </c>
      <c r="E2309" s="7" t="s">
        <v>294</v>
      </c>
      <c r="F2309" s="3" t="s">
        <v>326</v>
      </c>
      <c r="G2309" s="3" t="n">
        <v>2</v>
      </c>
      <c r="H2309" s="3" t="n">
        <v>8</v>
      </c>
      <c r="I2309" s="22" t="n">
        <v>41793</v>
      </c>
      <c r="J2309" s="22" t="n">
        <v>41798</v>
      </c>
      <c r="K2309" s="43" t="n">
        <f aca="false">J2309-I2309</f>
        <v>5</v>
      </c>
      <c r="L2309" s="1" t="n">
        <v>5</v>
      </c>
      <c r="M2309" s="3" t="s">
        <v>36</v>
      </c>
      <c r="N2309" s="3" t="s">
        <v>131</v>
      </c>
      <c r="O2309" s="3" t="s">
        <v>229</v>
      </c>
      <c r="P2309" s="2" t="str">
        <f aca="false">CONCATENATE(N2309," ",O2309)</f>
        <v>Xysticus emertoni</v>
      </c>
      <c r="Q2309" s="1" t="s">
        <v>30</v>
      </c>
      <c r="R2309" s="1" t="s">
        <v>31</v>
      </c>
      <c r="S2309" s="3" t="n">
        <v>1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f aca="false">SUM(S2309:T2309)</f>
        <v>1</v>
      </c>
      <c r="Z2309" s="3" t="n">
        <f aca="false">SUM(U2309:W2309)</f>
        <v>0</v>
      </c>
      <c r="AA2309" s="3" t="n">
        <f aca="false">SUM(S2309:X2309)</f>
        <v>1</v>
      </c>
      <c r="AB2309" s="11" t="n">
        <f aca="false">(AA2309/(K2309*L2309)*25)*4</f>
        <v>4</v>
      </c>
    </row>
    <row r="2310" customFormat="false" ht="14.25" hidden="false" customHeight="false" outlineLevel="0" collapsed="false">
      <c r="A2310" s="1" t="n">
        <v>2014</v>
      </c>
      <c r="B2310" s="7" t="s">
        <v>322</v>
      </c>
      <c r="C2310" s="7" t="n">
        <v>2</v>
      </c>
      <c r="D2310" s="7" t="s">
        <v>294</v>
      </c>
      <c r="E2310" s="7" t="s">
        <v>294</v>
      </c>
      <c r="F2310" s="3" t="s">
        <v>326</v>
      </c>
      <c r="G2310" s="3" t="n">
        <v>2</v>
      </c>
      <c r="H2310" s="3" t="n">
        <v>8</v>
      </c>
      <c r="I2310" s="22" t="n">
        <v>41793</v>
      </c>
      <c r="J2310" s="22" t="n">
        <v>41798</v>
      </c>
      <c r="K2310" s="43" t="n">
        <f aca="false">J2310-I2310</f>
        <v>5</v>
      </c>
      <c r="L2310" s="1" t="n">
        <v>5</v>
      </c>
      <c r="M2310" s="3" t="s">
        <v>72</v>
      </c>
      <c r="N2310" s="3" t="s">
        <v>73</v>
      </c>
      <c r="O2310" s="3" t="s">
        <v>74</v>
      </c>
      <c r="P2310" s="2" t="str">
        <f aca="false">CONCATENATE(N2310," ",O2310)</f>
        <v>Zelotes subterraneus</v>
      </c>
      <c r="Q2310" s="1" t="s">
        <v>30</v>
      </c>
      <c r="R2310" s="1" t="s">
        <v>35</v>
      </c>
      <c r="S2310" s="3" t="n">
        <v>0</v>
      </c>
      <c r="T2310" s="3" t="n">
        <v>1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f aca="false">SUM(S2310:T2310)</f>
        <v>1</v>
      </c>
      <c r="Z2310" s="3" t="n">
        <f aca="false">SUM(U2310:W2310)</f>
        <v>0</v>
      </c>
      <c r="AA2310" s="3" t="n">
        <f aca="false">SUM(S2310:X2310)</f>
        <v>1</v>
      </c>
      <c r="AB2310" s="11" t="n">
        <f aca="false">(AA2310/(K2310*L2310)*25)*4</f>
        <v>4</v>
      </c>
    </row>
    <row r="2311" customFormat="false" ht="14.25" hidden="false" customHeight="false" outlineLevel="0" collapsed="false">
      <c r="A2311" s="1" t="n">
        <v>2014</v>
      </c>
      <c r="B2311" s="7" t="s">
        <v>322</v>
      </c>
      <c r="C2311" s="7" t="n">
        <v>2</v>
      </c>
      <c r="D2311" s="7" t="s">
        <v>294</v>
      </c>
      <c r="E2311" s="7" t="s">
        <v>294</v>
      </c>
      <c r="F2311" s="3" t="s">
        <v>326</v>
      </c>
      <c r="G2311" s="3" t="n">
        <v>2</v>
      </c>
      <c r="H2311" s="3" t="n">
        <v>8</v>
      </c>
      <c r="I2311" s="22" t="n">
        <v>41793</v>
      </c>
      <c r="J2311" s="22" t="n">
        <v>41798</v>
      </c>
      <c r="K2311" s="43" t="n">
        <f aca="false">J2311-I2311</f>
        <v>5</v>
      </c>
      <c r="L2311" s="1" t="n">
        <v>5</v>
      </c>
      <c r="M2311" s="3" t="s">
        <v>27</v>
      </c>
      <c r="N2311" s="3" t="s">
        <v>46</v>
      </c>
      <c r="O2311" s="3" t="s">
        <v>47</v>
      </c>
      <c r="P2311" s="2" t="str">
        <f aca="false">CONCATENATE(N2311," ",O2311)</f>
        <v>Euryopis flavomaculata</v>
      </c>
      <c r="Q2311" s="1" t="s">
        <v>30</v>
      </c>
      <c r="R2311" s="1" t="s">
        <v>35</v>
      </c>
      <c r="S2311" s="3" t="n">
        <v>0</v>
      </c>
      <c r="T2311" s="3" t="n">
        <v>1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f aca="false">SUM(S2311:T2311)</f>
        <v>1</v>
      </c>
      <c r="Z2311" s="3" t="n">
        <f aca="false">SUM(U2311:W2311)</f>
        <v>0</v>
      </c>
      <c r="AA2311" s="3" t="n">
        <f aca="false">SUM(S2311:X2311)</f>
        <v>1</v>
      </c>
      <c r="AB2311" s="11" t="n">
        <f aca="false">(AA2311/(K2311*L2311)*25)*4</f>
        <v>4</v>
      </c>
    </row>
    <row r="2312" customFormat="false" ht="14.25" hidden="false" customHeight="false" outlineLevel="0" collapsed="false">
      <c r="A2312" s="1" t="n">
        <v>2014</v>
      </c>
      <c r="B2312" s="7" t="s">
        <v>322</v>
      </c>
      <c r="C2312" s="7" t="n">
        <v>2</v>
      </c>
      <c r="D2312" s="7" t="s">
        <v>294</v>
      </c>
      <c r="E2312" s="7" t="s">
        <v>294</v>
      </c>
      <c r="F2312" s="3" t="s">
        <v>326</v>
      </c>
      <c r="G2312" s="3" t="n">
        <v>2</v>
      </c>
      <c r="H2312" s="3" t="n">
        <v>8</v>
      </c>
      <c r="I2312" s="22" t="n">
        <v>41793</v>
      </c>
      <c r="J2312" s="22" t="n">
        <v>41798</v>
      </c>
      <c r="K2312" s="43" t="n">
        <f aca="false">J2312-I2312</f>
        <v>5</v>
      </c>
      <c r="L2312" s="1" t="n">
        <v>5</v>
      </c>
      <c r="M2312" s="3" t="s">
        <v>32</v>
      </c>
      <c r="N2312" s="3" t="s">
        <v>93</v>
      </c>
      <c r="O2312" s="3" t="s">
        <v>94</v>
      </c>
      <c r="P2312" s="2" t="str">
        <f aca="false">CONCATENATE(N2312," ",O2312)</f>
        <v>Anguliphantes angulipalpis</v>
      </c>
      <c r="Q2312" s="1" t="s">
        <v>30</v>
      </c>
      <c r="R2312" s="1" t="s">
        <v>35</v>
      </c>
      <c r="S2312" s="3" t="n">
        <v>0</v>
      </c>
      <c r="T2312" s="3" t="n">
        <v>1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f aca="false">SUM(S2312:T2312)</f>
        <v>1</v>
      </c>
      <c r="Z2312" s="3" t="n">
        <f aca="false">SUM(U2312:W2312)</f>
        <v>0</v>
      </c>
      <c r="AA2312" s="3" t="n">
        <f aca="false">SUM(S2312:X2312)</f>
        <v>1</v>
      </c>
      <c r="AB2312" s="11" t="n">
        <f aca="false">(AA2312/(K2312*L2312)*25)*4</f>
        <v>4</v>
      </c>
    </row>
    <row r="2313" customFormat="false" ht="14.25" hidden="false" customHeight="false" outlineLevel="0" collapsed="false">
      <c r="A2313" s="1" t="n">
        <v>2014</v>
      </c>
      <c r="B2313" s="7" t="s">
        <v>322</v>
      </c>
      <c r="C2313" s="7" t="n">
        <v>2</v>
      </c>
      <c r="D2313" s="7" t="s">
        <v>294</v>
      </c>
      <c r="E2313" s="7" t="s">
        <v>294</v>
      </c>
      <c r="F2313" s="3" t="s">
        <v>326</v>
      </c>
      <c r="G2313" s="3" t="n">
        <v>2</v>
      </c>
      <c r="H2313" s="3" t="n">
        <v>8</v>
      </c>
      <c r="I2313" s="22" t="n">
        <v>41793</v>
      </c>
      <c r="J2313" s="22" t="n">
        <v>41798</v>
      </c>
      <c r="K2313" s="43" t="n">
        <f aca="false">J2313-I2313</f>
        <v>5</v>
      </c>
      <c r="L2313" s="1" t="n">
        <v>5</v>
      </c>
      <c r="M2313" s="3" t="s">
        <v>32</v>
      </c>
      <c r="N2313" s="3" t="s">
        <v>96</v>
      </c>
      <c r="O2313" s="3" t="s">
        <v>97</v>
      </c>
      <c r="P2313" s="2" t="str">
        <f aca="false">CONCATENATE(N2313," ",O2313)</f>
        <v>Diplocephalus picinus</v>
      </c>
      <c r="Q2313" s="1" t="s">
        <v>30</v>
      </c>
      <c r="R2313" s="1" t="s">
        <v>31</v>
      </c>
      <c r="S2313" s="3" t="n">
        <v>1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f aca="false">SUM(S2313:T2313)</f>
        <v>1</v>
      </c>
      <c r="Z2313" s="3" t="n">
        <f aca="false">SUM(U2313:W2313)</f>
        <v>0</v>
      </c>
      <c r="AA2313" s="3" t="n">
        <f aca="false">SUM(S2313:X2313)</f>
        <v>1</v>
      </c>
      <c r="AB2313" s="11" t="n">
        <f aca="false">(AA2313/(K2313*L2313)*25)*4</f>
        <v>4</v>
      </c>
    </row>
    <row r="2314" customFormat="false" ht="14.25" hidden="false" customHeight="false" outlineLevel="0" collapsed="false">
      <c r="A2314" s="1" t="n">
        <v>2014</v>
      </c>
      <c r="B2314" s="7" t="s">
        <v>322</v>
      </c>
      <c r="C2314" s="7" t="n">
        <v>2</v>
      </c>
      <c r="D2314" s="7" t="s">
        <v>294</v>
      </c>
      <c r="E2314" s="7" t="s">
        <v>294</v>
      </c>
      <c r="F2314" s="3" t="s">
        <v>326</v>
      </c>
      <c r="G2314" s="3" t="n">
        <v>1</v>
      </c>
      <c r="H2314" s="3" t="n">
        <v>2</v>
      </c>
      <c r="I2314" s="22" t="n">
        <v>41793</v>
      </c>
      <c r="J2314" s="22" t="n">
        <v>41798</v>
      </c>
      <c r="K2314" s="43" t="n">
        <f aca="false">J2314-I2314</f>
        <v>5</v>
      </c>
      <c r="L2314" s="1" t="n">
        <v>5</v>
      </c>
      <c r="M2314" s="3" t="s">
        <v>48</v>
      </c>
      <c r="N2314" s="3" t="s">
        <v>67</v>
      </c>
      <c r="O2314" s="3" t="s">
        <v>127</v>
      </c>
      <c r="P2314" s="2" t="str">
        <f aca="false">CONCATENATE(N2314," ",O2314)</f>
        <v>Pardosa lugubris</v>
      </c>
      <c r="Q2314" s="1" t="s">
        <v>30</v>
      </c>
      <c r="R2314" s="1" t="s">
        <v>31</v>
      </c>
      <c r="S2314" s="3" t="n">
        <v>5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f aca="false">SUM(S2314:T2314)</f>
        <v>5</v>
      </c>
      <c r="Z2314" s="3" t="n">
        <f aca="false">SUM(U2314:W2314)</f>
        <v>0</v>
      </c>
      <c r="AA2314" s="3" t="n">
        <f aca="false">SUM(S2314:X2314)</f>
        <v>5</v>
      </c>
      <c r="AB2314" s="11" t="n">
        <f aca="false">(AA2314/(K2314*L2314)*25)*4</f>
        <v>20</v>
      </c>
    </row>
    <row r="2315" customFormat="false" ht="14.25" hidden="false" customHeight="false" outlineLevel="0" collapsed="false">
      <c r="A2315" s="1" t="n">
        <v>2014</v>
      </c>
      <c r="B2315" s="7" t="s">
        <v>322</v>
      </c>
      <c r="C2315" s="7" t="n">
        <v>2</v>
      </c>
      <c r="D2315" s="7" t="s">
        <v>294</v>
      </c>
      <c r="E2315" s="7" t="s">
        <v>294</v>
      </c>
      <c r="F2315" s="3" t="s">
        <v>326</v>
      </c>
      <c r="G2315" s="3" t="n">
        <v>1</v>
      </c>
      <c r="H2315" s="3" t="n">
        <v>2</v>
      </c>
      <c r="I2315" s="22" t="n">
        <v>41793</v>
      </c>
      <c r="J2315" s="22" t="n">
        <v>41798</v>
      </c>
      <c r="K2315" s="43" t="n">
        <f aca="false">J2315-I2315</f>
        <v>5</v>
      </c>
      <c r="L2315" s="1" t="n">
        <v>5</v>
      </c>
      <c r="M2315" s="3" t="s">
        <v>48</v>
      </c>
      <c r="N2315" s="3" t="s">
        <v>49</v>
      </c>
      <c r="O2315" s="3" t="s">
        <v>223</v>
      </c>
      <c r="P2315" s="2" t="str">
        <f aca="false">CONCATENATE(N2315," ",O2315)</f>
        <v>Alopecosa pulverulenta</v>
      </c>
      <c r="Q2315" s="1" t="s">
        <v>30</v>
      </c>
      <c r="R2315" s="1" t="s">
        <v>31</v>
      </c>
      <c r="S2315" s="3" t="n">
        <v>1</v>
      </c>
      <c r="T2315" s="3" t="n">
        <v>0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f aca="false">SUM(S2315:T2315)</f>
        <v>1</v>
      </c>
      <c r="Z2315" s="3" t="n">
        <f aca="false">SUM(U2315:W2315)</f>
        <v>0</v>
      </c>
      <c r="AA2315" s="3" t="n">
        <f aca="false">SUM(S2315:X2315)</f>
        <v>1</v>
      </c>
      <c r="AB2315" s="11" t="n">
        <f aca="false">(AA2315/(K2315*L2315)*25)*4</f>
        <v>4</v>
      </c>
    </row>
    <row r="2316" customFormat="false" ht="14.25" hidden="false" customHeight="false" outlineLevel="0" collapsed="false">
      <c r="A2316" s="1" t="n">
        <v>2014</v>
      </c>
      <c r="B2316" s="7" t="s">
        <v>322</v>
      </c>
      <c r="C2316" s="7" t="n">
        <v>2</v>
      </c>
      <c r="D2316" s="7" t="s">
        <v>294</v>
      </c>
      <c r="E2316" s="7" t="s">
        <v>294</v>
      </c>
      <c r="F2316" s="3" t="s">
        <v>326</v>
      </c>
      <c r="G2316" s="3" t="n">
        <v>1</v>
      </c>
      <c r="H2316" s="3" t="n">
        <v>2</v>
      </c>
      <c r="I2316" s="22" t="n">
        <v>41793</v>
      </c>
      <c r="J2316" s="22" t="n">
        <v>41798</v>
      </c>
      <c r="K2316" s="43" t="n">
        <f aca="false">J2316-I2316</f>
        <v>5</v>
      </c>
      <c r="L2316" s="1" t="n">
        <v>5</v>
      </c>
      <c r="M2316" s="3" t="s">
        <v>36</v>
      </c>
      <c r="N2316" s="3" t="s">
        <v>131</v>
      </c>
      <c r="O2316" s="3" t="s">
        <v>133</v>
      </c>
      <c r="P2316" s="2" t="str">
        <f aca="false">CONCATENATE(N2316," ",O2316)</f>
        <v>Xysticus luctuosus</v>
      </c>
      <c r="Q2316" s="1" t="s">
        <v>30</v>
      </c>
      <c r="R2316" s="1" t="s">
        <v>31</v>
      </c>
      <c r="S2316" s="3" t="n">
        <v>4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f aca="false">SUM(S2316:T2316)</f>
        <v>4</v>
      </c>
      <c r="Z2316" s="3" t="n">
        <f aca="false">SUM(U2316:W2316)</f>
        <v>0</v>
      </c>
      <c r="AA2316" s="3" t="n">
        <f aca="false">SUM(S2316:X2316)</f>
        <v>4</v>
      </c>
      <c r="AB2316" s="11" t="n">
        <f aca="false">(AA2316/(K2316*L2316)*25)*4</f>
        <v>16</v>
      </c>
    </row>
    <row r="2317" customFormat="false" ht="14.25" hidden="false" customHeight="false" outlineLevel="0" collapsed="false">
      <c r="A2317" s="1" t="n">
        <v>2014</v>
      </c>
      <c r="B2317" s="7" t="s">
        <v>322</v>
      </c>
      <c r="C2317" s="7" t="n">
        <v>2</v>
      </c>
      <c r="D2317" s="7" t="s">
        <v>294</v>
      </c>
      <c r="E2317" s="7" t="s">
        <v>294</v>
      </c>
      <c r="F2317" s="3" t="s">
        <v>326</v>
      </c>
      <c r="G2317" s="3" t="n">
        <v>1</v>
      </c>
      <c r="H2317" s="3" t="n">
        <v>2</v>
      </c>
      <c r="I2317" s="22" t="n">
        <v>41793</v>
      </c>
      <c r="J2317" s="22" t="n">
        <v>41798</v>
      </c>
      <c r="K2317" s="43" t="n">
        <f aca="false">J2317-I2317</f>
        <v>5</v>
      </c>
      <c r="L2317" s="1" t="n">
        <v>5</v>
      </c>
      <c r="M2317" s="3" t="s">
        <v>32</v>
      </c>
      <c r="N2317" s="3" t="s">
        <v>62</v>
      </c>
      <c r="O2317" s="3" t="s">
        <v>63</v>
      </c>
      <c r="P2317" s="2" t="str">
        <f aca="false">CONCATENATE(N2317," ",O2317)</f>
        <v>Microneta viaria</v>
      </c>
      <c r="Q2317" s="1" t="s">
        <v>30</v>
      </c>
      <c r="R2317" s="1" t="s">
        <v>35</v>
      </c>
      <c r="S2317" s="3" t="n">
        <v>0</v>
      </c>
      <c r="T2317" s="3" t="n">
        <v>1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f aca="false">SUM(S2317:T2317)</f>
        <v>1</v>
      </c>
      <c r="Z2317" s="3" t="n">
        <f aca="false">SUM(U2317:W2317)</f>
        <v>0</v>
      </c>
      <c r="AA2317" s="3" t="n">
        <f aca="false">SUM(S2317:X2317)</f>
        <v>1</v>
      </c>
      <c r="AB2317" s="11" t="n">
        <f aca="false">(AA2317/(K2317*L2317)*25)*4</f>
        <v>4</v>
      </c>
    </row>
    <row r="2318" customFormat="false" ht="14.25" hidden="false" customHeight="false" outlineLevel="0" collapsed="false">
      <c r="A2318" s="1" t="n">
        <v>2014</v>
      </c>
      <c r="B2318" s="7" t="s">
        <v>322</v>
      </c>
      <c r="C2318" s="7" t="n">
        <v>2</v>
      </c>
      <c r="D2318" s="7" t="s">
        <v>294</v>
      </c>
      <c r="E2318" s="7" t="s">
        <v>294</v>
      </c>
      <c r="F2318" s="3" t="s">
        <v>326</v>
      </c>
      <c r="G2318" s="3" t="n">
        <v>1</v>
      </c>
      <c r="H2318" s="3" t="n">
        <v>2</v>
      </c>
      <c r="I2318" s="22" t="n">
        <v>41793</v>
      </c>
      <c r="J2318" s="22" t="n">
        <v>41798</v>
      </c>
      <c r="K2318" s="43" t="n">
        <f aca="false">J2318-I2318</f>
        <v>5</v>
      </c>
      <c r="L2318" s="1" t="n">
        <v>5</v>
      </c>
      <c r="M2318" s="3" t="s">
        <v>32</v>
      </c>
      <c r="N2318" s="3" t="s">
        <v>159</v>
      </c>
      <c r="O2318" s="3" t="s">
        <v>160</v>
      </c>
      <c r="P2318" s="2" t="str">
        <f aca="false">CONCATENATE(N2318," ",O2318)</f>
        <v>Metopobactrus prominulus</v>
      </c>
      <c r="Q2318" s="1" t="s">
        <v>30</v>
      </c>
      <c r="R2318" s="1" t="s">
        <v>35</v>
      </c>
      <c r="S2318" s="3" t="n">
        <v>0</v>
      </c>
      <c r="T2318" s="3" t="n">
        <v>1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f aca="false">SUM(S2318:T2318)</f>
        <v>1</v>
      </c>
      <c r="Z2318" s="3" t="n">
        <f aca="false">SUM(U2318:W2318)</f>
        <v>0</v>
      </c>
      <c r="AA2318" s="3" t="n">
        <f aca="false">SUM(S2318:X2318)</f>
        <v>1</v>
      </c>
      <c r="AB2318" s="11" t="n">
        <f aca="false">(AA2318/(K2318*L2318)*25)*4</f>
        <v>4</v>
      </c>
    </row>
    <row r="2319" customFormat="false" ht="14.25" hidden="false" customHeight="false" outlineLevel="0" collapsed="false">
      <c r="A2319" s="1" t="n">
        <v>2014</v>
      </c>
      <c r="B2319" s="7" t="s">
        <v>322</v>
      </c>
      <c r="C2319" s="7" t="n">
        <v>2</v>
      </c>
      <c r="D2319" s="7" t="s">
        <v>294</v>
      </c>
      <c r="E2319" s="7" t="s">
        <v>294</v>
      </c>
      <c r="F2319" s="3" t="s">
        <v>326</v>
      </c>
      <c r="G2319" s="3" t="n">
        <v>3</v>
      </c>
      <c r="H2319" s="3" t="n">
        <v>14</v>
      </c>
      <c r="I2319" s="22" t="n">
        <v>41793</v>
      </c>
      <c r="J2319" s="22" t="n">
        <v>41798</v>
      </c>
      <c r="K2319" s="43" t="n">
        <f aca="false">J2319-I2319</f>
        <v>5</v>
      </c>
      <c r="L2319" s="1" t="n">
        <v>5</v>
      </c>
      <c r="M2319" s="3" t="s">
        <v>32</v>
      </c>
      <c r="N2319" s="3" t="s">
        <v>107</v>
      </c>
      <c r="O2319" s="3" t="s">
        <v>260</v>
      </c>
      <c r="P2319" s="2" t="str">
        <f aca="false">CONCATENATE(N2319," ",O2319)</f>
        <v>Macrargus multesimus</v>
      </c>
      <c r="Q2319" s="1" t="s">
        <v>30</v>
      </c>
      <c r="R2319" s="1" t="s">
        <v>35</v>
      </c>
      <c r="S2319" s="3" t="n">
        <v>0</v>
      </c>
      <c r="T2319" s="3" t="n">
        <v>1</v>
      </c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f aca="false">SUM(S2319:T2319)</f>
        <v>1</v>
      </c>
      <c r="Z2319" s="3" t="n">
        <f aca="false">SUM(U2319:W2319)</f>
        <v>0</v>
      </c>
      <c r="AA2319" s="3" t="n">
        <f aca="false">SUM(S2319:X2319)</f>
        <v>1</v>
      </c>
      <c r="AB2319" s="11" t="n">
        <f aca="false">(AA2319/(K2319*L2319)*25)*4</f>
        <v>4</v>
      </c>
    </row>
    <row r="2320" customFormat="false" ht="14.25" hidden="false" customHeight="false" outlineLevel="0" collapsed="false">
      <c r="A2320" s="1" t="n">
        <v>2014</v>
      </c>
      <c r="B2320" s="7" t="s">
        <v>322</v>
      </c>
      <c r="C2320" s="7" t="n">
        <v>2</v>
      </c>
      <c r="D2320" s="7" t="s">
        <v>294</v>
      </c>
      <c r="E2320" s="7" t="s">
        <v>294</v>
      </c>
      <c r="F2320" s="3" t="s">
        <v>326</v>
      </c>
      <c r="G2320" s="3" t="n">
        <v>3</v>
      </c>
      <c r="H2320" s="3" t="n">
        <v>14</v>
      </c>
      <c r="I2320" s="22" t="n">
        <v>41793</v>
      </c>
      <c r="J2320" s="22" t="n">
        <v>41798</v>
      </c>
      <c r="K2320" s="43" t="n">
        <f aca="false">J2320-I2320</f>
        <v>5</v>
      </c>
      <c r="L2320" s="1" t="n">
        <v>5</v>
      </c>
      <c r="M2320" s="3" t="s">
        <v>48</v>
      </c>
      <c r="N2320" s="3" t="s">
        <v>49</v>
      </c>
      <c r="O2320" s="3" t="s">
        <v>104</v>
      </c>
      <c r="P2320" s="2" t="str">
        <f aca="false">CONCATENATE(N2320," ",O2320)</f>
        <v>Alopecosa taeniata</v>
      </c>
      <c r="Q2320" s="1" t="s">
        <v>30</v>
      </c>
      <c r="R2320" s="1" t="s">
        <v>35</v>
      </c>
      <c r="S2320" s="3" t="n">
        <v>0</v>
      </c>
      <c r="T2320" s="3" t="n">
        <v>1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f aca="false">SUM(S2320:T2320)</f>
        <v>1</v>
      </c>
      <c r="Z2320" s="3" t="n">
        <f aca="false">SUM(U2320:W2320)</f>
        <v>0</v>
      </c>
      <c r="AA2320" s="3" t="n">
        <f aca="false">SUM(S2320:X2320)</f>
        <v>1</v>
      </c>
      <c r="AB2320" s="11" t="n">
        <f aca="false">(AA2320/(K2320*L2320)*25)*4</f>
        <v>4</v>
      </c>
    </row>
    <row r="2321" customFormat="false" ht="14.25" hidden="false" customHeight="false" outlineLevel="0" collapsed="false">
      <c r="A2321" s="1" t="n">
        <v>2014</v>
      </c>
      <c r="B2321" s="7" t="s">
        <v>322</v>
      </c>
      <c r="C2321" s="7" t="n">
        <v>2</v>
      </c>
      <c r="D2321" s="7" t="s">
        <v>294</v>
      </c>
      <c r="E2321" s="7" t="s">
        <v>294</v>
      </c>
      <c r="F2321" s="3" t="s">
        <v>326</v>
      </c>
      <c r="G2321" s="3" t="n">
        <v>3</v>
      </c>
      <c r="H2321" s="3" t="n">
        <v>14</v>
      </c>
      <c r="I2321" s="22" t="n">
        <v>41793</v>
      </c>
      <c r="J2321" s="22" t="n">
        <v>41798</v>
      </c>
      <c r="K2321" s="43" t="n">
        <f aca="false">J2321-I2321</f>
        <v>5</v>
      </c>
      <c r="L2321" s="1" t="n">
        <v>5</v>
      </c>
      <c r="M2321" s="3" t="s">
        <v>48</v>
      </c>
      <c r="N2321" s="3" t="s">
        <v>67</v>
      </c>
      <c r="O2321" s="3" t="s">
        <v>127</v>
      </c>
      <c r="P2321" s="2" t="str">
        <f aca="false">CONCATENATE(N2321," ",O2321)</f>
        <v>Pardosa lugubris</v>
      </c>
      <c r="Q2321" s="1" t="s">
        <v>30</v>
      </c>
      <c r="R2321" s="1" t="s">
        <v>31</v>
      </c>
      <c r="S2321" s="3" t="n">
        <v>4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f aca="false">SUM(S2321:T2321)</f>
        <v>4</v>
      </c>
      <c r="Z2321" s="3" t="n">
        <f aca="false">SUM(U2321:W2321)</f>
        <v>0</v>
      </c>
      <c r="AA2321" s="3" t="n">
        <f aca="false">SUM(S2321:X2321)</f>
        <v>4</v>
      </c>
      <c r="AB2321" s="11" t="n">
        <f aca="false">(AA2321/(K2321*L2321)*25)*4</f>
        <v>16</v>
      </c>
    </row>
    <row r="2322" customFormat="false" ht="14.25" hidden="false" customHeight="false" outlineLevel="0" collapsed="false">
      <c r="A2322" s="1" t="n">
        <v>2014</v>
      </c>
      <c r="B2322" s="7" t="s">
        <v>322</v>
      </c>
      <c r="C2322" s="7" t="n">
        <v>2</v>
      </c>
      <c r="D2322" s="7" t="s">
        <v>294</v>
      </c>
      <c r="E2322" s="7" t="s">
        <v>294</v>
      </c>
      <c r="F2322" s="3" t="s">
        <v>326</v>
      </c>
      <c r="G2322" s="3" t="n">
        <v>3</v>
      </c>
      <c r="H2322" s="3" t="n">
        <v>14</v>
      </c>
      <c r="I2322" s="22" t="n">
        <v>41793</v>
      </c>
      <c r="J2322" s="22" t="n">
        <v>41798</v>
      </c>
      <c r="K2322" s="43" t="n">
        <f aca="false">J2322-I2322</f>
        <v>5</v>
      </c>
      <c r="L2322" s="1" t="n">
        <v>5</v>
      </c>
      <c r="M2322" s="3" t="s">
        <v>32</v>
      </c>
      <c r="N2322" s="3" t="s">
        <v>169</v>
      </c>
      <c r="O2322" s="3" t="s">
        <v>170</v>
      </c>
      <c r="P2322" s="2" t="str">
        <f aca="false">CONCATENATE(N2322," ",O2322)</f>
        <v>Abacoproeces saltuum</v>
      </c>
      <c r="Q2322" s="1" t="s">
        <v>30</v>
      </c>
      <c r="R2322" s="1" t="s">
        <v>31</v>
      </c>
      <c r="S2322" s="3" t="n">
        <v>1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f aca="false">SUM(S2322:T2322)</f>
        <v>1</v>
      </c>
      <c r="Z2322" s="3" t="n">
        <f aca="false">SUM(U2322:W2322)</f>
        <v>0</v>
      </c>
      <c r="AA2322" s="3" t="n">
        <f aca="false">SUM(S2322:X2322)</f>
        <v>1</v>
      </c>
      <c r="AB2322" s="11" t="n">
        <f aca="false">(AA2322/(K2322*L2322)*25)*4</f>
        <v>4</v>
      </c>
    </row>
    <row r="2323" customFormat="false" ht="14.25" hidden="false" customHeight="false" outlineLevel="0" collapsed="false">
      <c r="A2323" s="1" t="n">
        <v>2014</v>
      </c>
      <c r="B2323" s="7" t="s">
        <v>322</v>
      </c>
      <c r="C2323" s="7" t="n">
        <v>2</v>
      </c>
      <c r="D2323" s="7" t="s">
        <v>294</v>
      </c>
      <c r="E2323" s="7" t="s">
        <v>294</v>
      </c>
      <c r="F2323" s="3" t="s">
        <v>326</v>
      </c>
      <c r="G2323" s="3" t="n">
        <v>3</v>
      </c>
      <c r="H2323" s="3" t="n">
        <v>14</v>
      </c>
      <c r="I2323" s="22" t="n">
        <v>41793</v>
      </c>
      <c r="J2323" s="22" t="n">
        <v>41798</v>
      </c>
      <c r="K2323" s="43" t="n">
        <f aca="false">J2323-I2323</f>
        <v>5</v>
      </c>
      <c r="L2323" s="1" t="n">
        <v>5</v>
      </c>
      <c r="M2323" s="3" t="s">
        <v>36</v>
      </c>
      <c r="N2323" s="3" t="s">
        <v>131</v>
      </c>
      <c r="O2323" s="3" t="s">
        <v>133</v>
      </c>
      <c r="P2323" s="2" t="str">
        <f aca="false">CONCATENATE(N2323," ",O2323)</f>
        <v>Xysticus luctuosus</v>
      </c>
      <c r="Q2323" s="1" t="s">
        <v>30</v>
      </c>
      <c r="R2323" s="1" t="s">
        <v>31</v>
      </c>
      <c r="S2323" s="3" t="n">
        <v>1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f aca="false">SUM(S2323:T2323)</f>
        <v>1</v>
      </c>
      <c r="Z2323" s="3" t="n">
        <f aca="false">SUM(U2323:W2323)</f>
        <v>0</v>
      </c>
      <c r="AA2323" s="3" t="n">
        <f aca="false">SUM(S2323:X2323)</f>
        <v>1</v>
      </c>
      <c r="AB2323" s="11" t="n">
        <f aca="false">(AA2323/(K2323*L2323)*25)*4</f>
        <v>4</v>
      </c>
    </row>
    <row r="2324" customFormat="false" ht="14.25" hidden="false" customHeight="false" outlineLevel="0" collapsed="false">
      <c r="A2324" s="1" t="n">
        <v>2014</v>
      </c>
      <c r="B2324" s="7" t="s">
        <v>322</v>
      </c>
      <c r="C2324" s="7" t="n">
        <v>2</v>
      </c>
      <c r="D2324" s="7" t="s">
        <v>294</v>
      </c>
      <c r="E2324" s="7" t="s">
        <v>294</v>
      </c>
      <c r="F2324" s="3" t="s">
        <v>326</v>
      </c>
      <c r="G2324" s="3" t="n">
        <v>3</v>
      </c>
      <c r="H2324" s="3" t="n">
        <v>13</v>
      </c>
      <c r="I2324" s="22" t="n">
        <v>41793</v>
      </c>
      <c r="J2324" s="22" t="n">
        <v>41798</v>
      </c>
      <c r="K2324" s="43" t="n">
        <f aca="false">J2324-I2324</f>
        <v>5</v>
      </c>
      <c r="L2324" s="1" t="n">
        <v>5</v>
      </c>
      <c r="M2324" s="3" t="s">
        <v>48</v>
      </c>
      <c r="N2324" s="3" t="s">
        <v>49</v>
      </c>
      <c r="O2324" s="3" t="s">
        <v>119</v>
      </c>
      <c r="P2324" s="2" t="str">
        <f aca="false">CONCATENATE(N2324," ",O2324)</f>
        <v>Alopecosa sulzeri</v>
      </c>
      <c r="Q2324" s="1" t="s">
        <v>30</v>
      </c>
      <c r="R2324" s="1" t="s">
        <v>31</v>
      </c>
      <c r="S2324" s="3" t="n">
        <v>1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f aca="false">SUM(S2324:T2324)</f>
        <v>1</v>
      </c>
      <c r="Z2324" s="3" t="n">
        <f aca="false">SUM(U2324:W2324)</f>
        <v>0</v>
      </c>
      <c r="AA2324" s="3" t="n">
        <f aca="false">SUM(S2324:X2324)</f>
        <v>1</v>
      </c>
      <c r="AB2324" s="11" t="n">
        <f aca="false">(AA2324/(K2324*L2324)*25)*4</f>
        <v>4</v>
      </c>
    </row>
    <row r="2325" customFormat="false" ht="14.25" hidden="false" customHeight="false" outlineLevel="0" collapsed="false">
      <c r="A2325" s="1" t="n">
        <v>2014</v>
      </c>
      <c r="B2325" s="7" t="s">
        <v>322</v>
      </c>
      <c r="C2325" s="7" t="n">
        <v>2</v>
      </c>
      <c r="D2325" s="7" t="s">
        <v>294</v>
      </c>
      <c r="E2325" s="7" t="s">
        <v>294</v>
      </c>
      <c r="F2325" s="3" t="s">
        <v>326</v>
      </c>
      <c r="G2325" s="3" t="n">
        <v>3</v>
      </c>
      <c r="H2325" s="3" t="n">
        <v>13</v>
      </c>
      <c r="I2325" s="22" t="n">
        <v>41793</v>
      </c>
      <c r="J2325" s="22" t="n">
        <v>41798</v>
      </c>
      <c r="K2325" s="43" t="n">
        <f aca="false">J2325-I2325</f>
        <v>5</v>
      </c>
      <c r="L2325" s="1" t="n">
        <v>5</v>
      </c>
      <c r="M2325" s="3" t="s">
        <v>48</v>
      </c>
      <c r="N2325" s="3" t="s">
        <v>67</v>
      </c>
      <c r="O2325" s="3" t="s">
        <v>127</v>
      </c>
      <c r="P2325" s="2" t="str">
        <f aca="false">CONCATENATE(N2325," ",O2325)</f>
        <v>Pardosa lugubris</v>
      </c>
      <c r="Q2325" s="1" t="s">
        <v>30</v>
      </c>
      <c r="R2325" s="1" t="s">
        <v>35</v>
      </c>
      <c r="S2325" s="3" t="n">
        <v>0</v>
      </c>
      <c r="T2325" s="3" t="n">
        <v>2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f aca="false">SUM(S2325:T2325)</f>
        <v>2</v>
      </c>
      <c r="Z2325" s="3" t="n">
        <f aca="false">SUM(U2325:W2325)</f>
        <v>0</v>
      </c>
      <c r="AA2325" s="3" t="n">
        <f aca="false">SUM(S2325:X2325)</f>
        <v>2</v>
      </c>
      <c r="AB2325" s="11" t="n">
        <f aca="false">(AA2325/(K2325*L2325)*25)*4</f>
        <v>8</v>
      </c>
    </row>
    <row r="2326" customFormat="false" ht="14.25" hidden="false" customHeight="false" outlineLevel="0" collapsed="false">
      <c r="A2326" s="1" t="n">
        <v>2014</v>
      </c>
      <c r="B2326" s="7" t="s">
        <v>322</v>
      </c>
      <c r="C2326" s="7" t="n">
        <v>2</v>
      </c>
      <c r="D2326" s="7" t="s">
        <v>294</v>
      </c>
      <c r="E2326" s="7" t="s">
        <v>294</v>
      </c>
      <c r="F2326" s="3" t="s">
        <v>326</v>
      </c>
      <c r="G2326" s="3" t="n">
        <v>3</v>
      </c>
      <c r="H2326" s="3" t="n">
        <v>13</v>
      </c>
      <c r="I2326" s="22" t="n">
        <v>41793</v>
      </c>
      <c r="J2326" s="22" t="n">
        <v>41798</v>
      </c>
      <c r="K2326" s="43" t="n">
        <f aca="false">J2326-I2326</f>
        <v>5</v>
      </c>
      <c r="L2326" s="1" t="n">
        <v>5</v>
      </c>
      <c r="M2326" s="3" t="s">
        <v>48</v>
      </c>
      <c r="N2326" s="3" t="s">
        <v>67</v>
      </c>
      <c r="O2326" s="3" t="s">
        <v>127</v>
      </c>
      <c r="P2326" s="2" t="str">
        <f aca="false">CONCATENATE(N2326," ",O2326)</f>
        <v>Pardosa lugubris</v>
      </c>
      <c r="Q2326" s="1" t="s">
        <v>30</v>
      </c>
      <c r="R2326" s="1" t="s">
        <v>31</v>
      </c>
      <c r="S2326" s="3" t="n">
        <v>3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f aca="false">SUM(S2326:T2326)</f>
        <v>3</v>
      </c>
      <c r="Z2326" s="3" t="n">
        <f aca="false">SUM(U2326:W2326)</f>
        <v>0</v>
      </c>
      <c r="AA2326" s="3" t="n">
        <f aca="false">SUM(S2326:X2326)</f>
        <v>3</v>
      </c>
      <c r="AB2326" s="11" t="n">
        <f aca="false">(AA2326/(K2326*L2326)*25)*4</f>
        <v>12</v>
      </c>
    </row>
    <row r="2327" customFormat="false" ht="14.25" hidden="false" customHeight="false" outlineLevel="0" collapsed="false">
      <c r="A2327" s="1" t="n">
        <v>2014</v>
      </c>
      <c r="B2327" s="7" t="s">
        <v>322</v>
      </c>
      <c r="C2327" s="7" t="n">
        <v>2</v>
      </c>
      <c r="D2327" s="7" t="s">
        <v>294</v>
      </c>
      <c r="E2327" s="7" t="s">
        <v>294</v>
      </c>
      <c r="F2327" s="3" t="s">
        <v>326</v>
      </c>
      <c r="G2327" s="3" t="n">
        <v>3</v>
      </c>
      <c r="H2327" s="3" t="n">
        <v>13</v>
      </c>
      <c r="I2327" s="22" t="n">
        <v>41793</v>
      </c>
      <c r="J2327" s="22" t="n">
        <v>41798</v>
      </c>
      <c r="K2327" s="43" t="n">
        <f aca="false">J2327-I2327</f>
        <v>5</v>
      </c>
      <c r="L2327" s="1" t="n">
        <v>5</v>
      </c>
      <c r="M2327" s="3" t="s">
        <v>36</v>
      </c>
      <c r="N2327" s="3" t="s">
        <v>131</v>
      </c>
      <c r="O2327" s="3" t="s">
        <v>133</v>
      </c>
      <c r="P2327" s="2" t="str">
        <f aca="false">CONCATENATE(N2327," ",O2327)</f>
        <v>Xysticus luctuosus</v>
      </c>
      <c r="Q2327" s="1" t="s">
        <v>30</v>
      </c>
      <c r="R2327" s="1" t="s">
        <v>31</v>
      </c>
      <c r="S2327" s="3" t="n">
        <v>2</v>
      </c>
      <c r="T2327" s="3" t="n">
        <v>0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f aca="false">SUM(S2327:T2327)</f>
        <v>2</v>
      </c>
      <c r="Z2327" s="3" t="n">
        <f aca="false">SUM(U2327:W2327)</f>
        <v>0</v>
      </c>
      <c r="AA2327" s="3" t="n">
        <f aca="false">SUM(S2327:X2327)</f>
        <v>2</v>
      </c>
      <c r="AB2327" s="11" t="n">
        <f aca="false">(AA2327/(K2327*L2327)*25)*4</f>
        <v>8</v>
      </c>
    </row>
    <row r="2328" customFormat="false" ht="14.25" hidden="false" customHeight="false" outlineLevel="0" collapsed="false">
      <c r="A2328" s="1" t="n">
        <v>2014</v>
      </c>
      <c r="B2328" s="7" t="s">
        <v>322</v>
      </c>
      <c r="C2328" s="7" t="n">
        <v>2</v>
      </c>
      <c r="D2328" s="7" t="s">
        <v>294</v>
      </c>
      <c r="E2328" s="7" t="s">
        <v>294</v>
      </c>
      <c r="F2328" s="3" t="s">
        <v>326</v>
      </c>
      <c r="G2328" s="3" t="n">
        <v>3</v>
      </c>
      <c r="H2328" s="3" t="n">
        <v>13</v>
      </c>
      <c r="I2328" s="22" t="n">
        <v>41793</v>
      </c>
      <c r="J2328" s="22" t="n">
        <v>41798</v>
      </c>
      <c r="K2328" s="43" t="n">
        <f aca="false">J2328-I2328</f>
        <v>5</v>
      </c>
      <c r="L2328" s="1" t="n">
        <v>5</v>
      </c>
      <c r="M2328" s="3" t="s">
        <v>226</v>
      </c>
      <c r="N2328" s="3" t="s">
        <v>65</v>
      </c>
      <c r="O2328" s="3" t="s">
        <v>335</v>
      </c>
      <c r="P2328" s="2" t="str">
        <f aca="false">CONCATENATE(N2328," ",O2328)</f>
        <v>Zora spinimana</v>
      </c>
      <c r="Q2328" s="1" t="s">
        <v>30</v>
      </c>
      <c r="R2328" s="1" t="s">
        <v>35</v>
      </c>
      <c r="S2328" s="3" t="n">
        <v>0</v>
      </c>
      <c r="T2328" s="3" t="n">
        <v>1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f aca="false">SUM(S2328:T2328)</f>
        <v>1</v>
      </c>
      <c r="Z2328" s="3" t="n">
        <f aca="false">SUM(U2328:W2328)</f>
        <v>0</v>
      </c>
      <c r="AA2328" s="3" t="n">
        <f aca="false">SUM(S2328:X2328)</f>
        <v>1</v>
      </c>
      <c r="AB2328" s="11" t="n">
        <f aca="false">(AA2328/(K2328*L2328)*25)*4</f>
        <v>4</v>
      </c>
    </row>
    <row r="2329" customFormat="false" ht="14.25" hidden="false" customHeight="false" outlineLevel="0" collapsed="false">
      <c r="A2329" s="1" t="n">
        <v>2014</v>
      </c>
      <c r="B2329" s="7" t="s">
        <v>322</v>
      </c>
      <c r="C2329" s="7" t="n">
        <v>2</v>
      </c>
      <c r="D2329" s="7" t="s">
        <v>294</v>
      </c>
      <c r="E2329" s="7" t="s">
        <v>294</v>
      </c>
      <c r="F2329" s="3" t="s">
        <v>326</v>
      </c>
      <c r="G2329" s="3" t="n">
        <v>3</v>
      </c>
      <c r="H2329" s="3" t="n">
        <v>13</v>
      </c>
      <c r="I2329" s="22" t="n">
        <v>41793</v>
      </c>
      <c r="J2329" s="22" t="n">
        <v>41798</v>
      </c>
      <c r="K2329" s="43" t="n">
        <f aca="false">J2329-I2329</f>
        <v>5</v>
      </c>
      <c r="L2329" s="1" t="n">
        <v>5</v>
      </c>
      <c r="M2329" s="3" t="s">
        <v>27</v>
      </c>
      <c r="N2329" s="3" t="s">
        <v>46</v>
      </c>
      <c r="O2329" s="3" t="s">
        <v>47</v>
      </c>
      <c r="P2329" s="2" t="str">
        <f aca="false">CONCATENATE(N2329," ",O2329)</f>
        <v>Euryopis flavomaculata</v>
      </c>
      <c r="Q2329" s="1" t="s">
        <v>30</v>
      </c>
      <c r="R2329" s="1" t="s">
        <v>35</v>
      </c>
      <c r="S2329" s="3" t="n">
        <v>0</v>
      </c>
      <c r="T2329" s="3" t="n">
        <v>1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f aca="false">SUM(S2329:T2329)</f>
        <v>1</v>
      </c>
      <c r="Z2329" s="3" t="n">
        <f aca="false">SUM(U2329:W2329)</f>
        <v>0</v>
      </c>
      <c r="AA2329" s="3" t="n">
        <f aca="false">SUM(S2329:X2329)</f>
        <v>1</v>
      </c>
      <c r="AB2329" s="11" t="n">
        <f aca="false">(AA2329/(K2329*L2329)*25)*4</f>
        <v>4</v>
      </c>
    </row>
    <row r="2330" customFormat="false" ht="14.25" hidden="false" customHeight="false" outlineLevel="0" collapsed="false">
      <c r="A2330" s="1" t="n">
        <v>2014</v>
      </c>
      <c r="B2330" s="7" t="s">
        <v>322</v>
      </c>
      <c r="C2330" s="7" t="n">
        <v>2</v>
      </c>
      <c r="D2330" s="7" t="s">
        <v>294</v>
      </c>
      <c r="E2330" s="7" t="s">
        <v>294</v>
      </c>
      <c r="F2330" s="3" t="s">
        <v>326</v>
      </c>
      <c r="G2330" s="3" t="n">
        <v>3</v>
      </c>
      <c r="H2330" s="3" t="n">
        <v>15</v>
      </c>
      <c r="I2330" s="22" t="n">
        <v>41793</v>
      </c>
      <c r="J2330" s="22" t="n">
        <v>41798</v>
      </c>
      <c r="K2330" s="43" t="n">
        <f aca="false">J2330-I2330</f>
        <v>5</v>
      </c>
      <c r="L2330" s="1" t="n">
        <v>5</v>
      </c>
      <c r="M2330" s="3" t="s">
        <v>48</v>
      </c>
      <c r="N2330" s="3" t="s">
        <v>67</v>
      </c>
      <c r="O2330" s="3" t="s">
        <v>127</v>
      </c>
      <c r="P2330" s="2" t="str">
        <f aca="false">CONCATENATE(N2330," ",O2330)</f>
        <v>Pardosa lugubris</v>
      </c>
      <c r="Q2330" s="1" t="s">
        <v>30</v>
      </c>
      <c r="R2330" s="1" t="s">
        <v>31</v>
      </c>
      <c r="S2330" s="3" t="n">
        <v>6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f aca="false">SUM(S2330:T2330)</f>
        <v>6</v>
      </c>
      <c r="Z2330" s="3" t="n">
        <f aca="false">SUM(U2330:W2330)</f>
        <v>0</v>
      </c>
      <c r="AA2330" s="3" t="n">
        <f aca="false">SUM(S2330:X2330)</f>
        <v>6</v>
      </c>
      <c r="AB2330" s="11" t="n">
        <f aca="false">(AA2330/(K2330*L2330)*25)*4</f>
        <v>24</v>
      </c>
    </row>
    <row r="2331" customFormat="false" ht="14.25" hidden="false" customHeight="false" outlineLevel="0" collapsed="false">
      <c r="A2331" s="1" t="n">
        <v>2014</v>
      </c>
      <c r="B2331" s="7" t="s">
        <v>322</v>
      </c>
      <c r="C2331" s="7" t="n">
        <v>2</v>
      </c>
      <c r="D2331" s="7" t="s">
        <v>294</v>
      </c>
      <c r="E2331" s="7" t="s">
        <v>294</v>
      </c>
      <c r="F2331" s="3" t="s">
        <v>326</v>
      </c>
      <c r="G2331" s="3" t="n">
        <v>3</v>
      </c>
      <c r="H2331" s="3" t="n">
        <v>15</v>
      </c>
      <c r="I2331" s="22" t="n">
        <v>41793</v>
      </c>
      <c r="J2331" s="22" t="n">
        <v>41798</v>
      </c>
      <c r="K2331" s="43" t="n">
        <f aca="false">J2331-I2331</f>
        <v>5</v>
      </c>
      <c r="L2331" s="1" t="n">
        <v>5</v>
      </c>
      <c r="M2331" s="3" t="s">
        <v>48</v>
      </c>
      <c r="N2331" s="3" t="s">
        <v>49</v>
      </c>
      <c r="O2331" s="3" t="s">
        <v>104</v>
      </c>
      <c r="P2331" s="2" t="str">
        <f aca="false">CONCATENATE(N2331," ",O2331)</f>
        <v>Alopecosa taeniata</v>
      </c>
      <c r="Q2331" s="1" t="s">
        <v>30</v>
      </c>
      <c r="R2331" s="1" t="s">
        <v>31</v>
      </c>
      <c r="S2331" s="3" t="n">
        <v>1</v>
      </c>
      <c r="T2331" s="3" t="n">
        <v>0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f aca="false">SUM(S2331:T2331)</f>
        <v>1</v>
      </c>
      <c r="Z2331" s="3" t="n">
        <f aca="false">SUM(U2331:W2331)</f>
        <v>0</v>
      </c>
      <c r="AA2331" s="3" t="n">
        <f aca="false">SUM(S2331:X2331)</f>
        <v>1</v>
      </c>
      <c r="AB2331" s="11" t="n">
        <f aca="false">(AA2331/(K2331*L2331)*25)*4</f>
        <v>4</v>
      </c>
    </row>
    <row r="2332" customFormat="false" ht="14.25" hidden="false" customHeight="false" outlineLevel="0" collapsed="false">
      <c r="A2332" s="1" t="n">
        <v>2014</v>
      </c>
      <c r="B2332" s="7" t="s">
        <v>322</v>
      </c>
      <c r="C2332" s="7" t="n">
        <v>2</v>
      </c>
      <c r="D2332" s="7" t="s">
        <v>294</v>
      </c>
      <c r="E2332" s="7" t="s">
        <v>294</v>
      </c>
      <c r="F2332" s="3" t="s">
        <v>326</v>
      </c>
      <c r="G2332" s="3" t="n">
        <v>3</v>
      </c>
      <c r="H2332" s="3" t="n">
        <v>15</v>
      </c>
      <c r="I2332" s="22" t="n">
        <v>41793</v>
      </c>
      <c r="J2332" s="22" t="n">
        <v>41798</v>
      </c>
      <c r="K2332" s="43" t="n">
        <f aca="false">J2332-I2332</f>
        <v>5</v>
      </c>
      <c r="L2332" s="1" t="n">
        <v>5</v>
      </c>
      <c r="M2332" s="3" t="s">
        <v>135</v>
      </c>
      <c r="N2332" s="3" t="s">
        <v>136</v>
      </c>
      <c r="O2332" s="3" t="s">
        <v>137</v>
      </c>
      <c r="P2332" s="2" t="str">
        <f aca="false">CONCATENATE(N2332," ",O2332)</f>
        <v>Thanatus sabulosus</v>
      </c>
      <c r="Q2332" s="1" t="s">
        <v>30</v>
      </c>
      <c r="R2332" s="1" t="s">
        <v>35</v>
      </c>
      <c r="S2332" s="3" t="n">
        <v>0</v>
      </c>
      <c r="T2332" s="3" t="n">
        <v>1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f aca="false">SUM(S2332:T2332)</f>
        <v>1</v>
      </c>
      <c r="Z2332" s="3" t="n">
        <f aca="false">SUM(U2332:W2332)</f>
        <v>0</v>
      </c>
      <c r="AA2332" s="3" t="n">
        <f aca="false">SUM(S2332:X2332)</f>
        <v>1</v>
      </c>
      <c r="AB2332" s="11" t="n">
        <f aca="false">(AA2332/(K2332*L2332)*25)*4</f>
        <v>4</v>
      </c>
    </row>
    <row r="2333" customFormat="false" ht="14.25" hidden="false" customHeight="false" outlineLevel="0" collapsed="false">
      <c r="A2333" s="1" t="n">
        <v>2014</v>
      </c>
      <c r="B2333" s="7" t="s">
        <v>322</v>
      </c>
      <c r="C2333" s="7" t="n">
        <v>2</v>
      </c>
      <c r="D2333" s="7" t="s">
        <v>294</v>
      </c>
      <c r="E2333" s="7" t="s">
        <v>294</v>
      </c>
      <c r="F2333" s="3" t="s">
        <v>326</v>
      </c>
      <c r="G2333" s="3" t="n">
        <v>3</v>
      </c>
      <c r="H2333" s="3" t="n">
        <v>15</v>
      </c>
      <c r="I2333" s="22" t="n">
        <v>41793</v>
      </c>
      <c r="J2333" s="22" t="n">
        <v>41798</v>
      </c>
      <c r="K2333" s="43" t="n">
        <f aca="false">J2333-I2333</f>
        <v>5</v>
      </c>
      <c r="L2333" s="1" t="n">
        <v>5</v>
      </c>
      <c r="M2333" s="3" t="s">
        <v>226</v>
      </c>
      <c r="N2333" s="3" t="s">
        <v>65</v>
      </c>
      <c r="O2333" s="3" t="s">
        <v>123</v>
      </c>
      <c r="P2333" s="2" t="str">
        <f aca="false">CONCATENATE(N2333," ",O2333)</f>
        <v>Zora nemoralis</v>
      </c>
      <c r="Q2333" s="1" t="s">
        <v>30</v>
      </c>
      <c r="R2333" s="1" t="s">
        <v>31</v>
      </c>
      <c r="S2333" s="3" t="n">
        <v>1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f aca="false">SUM(S2333:T2333)</f>
        <v>1</v>
      </c>
      <c r="Z2333" s="3" t="n">
        <f aca="false">SUM(U2333:W2333)</f>
        <v>0</v>
      </c>
      <c r="AA2333" s="3" t="n">
        <f aca="false">SUM(S2333:X2333)</f>
        <v>1</v>
      </c>
      <c r="AB2333" s="11" t="n">
        <f aca="false">(AA2333/(K2333*L2333)*25)*4</f>
        <v>4</v>
      </c>
    </row>
    <row r="2334" customFormat="false" ht="14.25" hidden="false" customHeight="false" outlineLevel="0" collapsed="false">
      <c r="A2334" s="1" t="n">
        <v>2014</v>
      </c>
      <c r="B2334" s="7" t="s">
        <v>322</v>
      </c>
      <c r="C2334" s="7" t="n">
        <v>2</v>
      </c>
      <c r="D2334" s="7" t="s">
        <v>294</v>
      </c>
      <c r="E2334" s="7" t="s">
        <v>294</v>
      </c>
      <c r="F2334" s="3" t="s">
        <v>326</v>
      </c>
      <c r="G2334" s="3" t="n">
        <v>3</v>
      </c>
      <c r="H2334" s="3" t="n">
        <v>15</v>
      </c>
      <c r="I2334" s="22" t="n">
        <v>41793</v>
      </c>
      <c r="J2334" s="22" t="n">
        <v>41798</v>
      </c>
      <c r="K2334" s="43" t="n">
        <f aca="false">J2334-I2334</f>
        <v>5</v>
      </c>
      <c r="L2334" s="1" t="n">
        <v>5</v>
      </c>
      <c r="M2334" s="3" t="s">
        <v>36</v>
      </c>
      <c r="N2334" s="3" t="s">
        <v>131</v>
      </c>
      <c r="O2334" s="3" t="s">
        <v>133</v>
      </c>
      <c r="P2334" s="2" t="str">
        <f aca="false">CONCATENATE(N2334," ",O2334)</f>
        <v>Xysticus luctuosus</v>
      </c>
      <c r="Q2334" s="1" t="s">
        <v>30</v>
      </c>
      <c r="R2334" s="1" t="s">
        <v>31</v>
      </c>
      <c r="S2334" s="3" t="n">
        <v>1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f aca="false">SUM(S2334:T2334)</f>
        <v>1</v>
      </c>
      <c r="Z2334" s="3" t="n">
        <f aca="false">SUM(U2334:W2334)</f>
        <v>0</v>
      </c>
      <c r="AA2334" s="3" t="n">
        <f aca="false">SUM(S2334:X2334)</f>
        <v>1</v>
      </c>
      <c r="AB2334" s="11" t="n">
        <f aca="false">(AA2334/(K2334*L2334)*25)*4</f>
        <v>4</v>
      </c>
    </row>
    <row r="2335" customFormat="false" ht="14.25" hidden="false" customHeight="false" outlineLevel="0" collapsed="false">
      <c r="A2335" s="1" t="n">
        <v>2014</v>
      </c>
      <c r="B2335" s="7" t="s">
        <v>322</v>
      </c>
      <c r="C2335" s="7" t="n">
        <v>2</v>
      </c>
      <c r="D2335" s="7" t="s">
        <v>294</v>
      </c>
      <c r="E2335" s="7" t="s">
        <v>294</v>
      </c>
      <c r="F2335" s="3" t="s">
        <v>326</v>
      </c>
      <c r="G2335" s="3" t="n">
        <v>3</v>
      </c>
      <c r="H2335" s="3" t="n">
        <v>15</v>
      </c>
      <c r="I2335" s="22" t="n">
        <v>41793</v>
      </c>
      <c r="J2335" s="22" t="n">
        <v>41798</v>
      </c>
      <c r="K2335" s="43" t="n">
        <f aca="false">J2335-I2335</f>
        <v>5</v>
      </c>
      <c r="L2335" s="1" t="n">
        <v>5</v>
      </c>
      <c r="M2335" s="3" t="s">
        <v>32</v>
      </c>
      <c r="N2335" s="3" t="s">
        <v>96</v>
      </c>
      <c r="O2335" s="3" t="s">
        <v>97</v>
      </c>
      <c r="P2335" s="2" t="str">
        <f aca="false">CONCATENATE(N2335," ",O2335)</f>
        <v>Diplocephalus picinus</v>
      </c>
      <c r="Q2335" s="1" t="s">
        <v>30</v>
      </c>
      <c r="R2335" s="1" t="s">
        <v>31</v>
      </c>
      <c r="S2335" s="3" t="n">
        <v>2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f aca="false">SUM(S2335:T2335)</f>
        <v>2</v>
      </c>
      <c r="Z2335" s="3" t="n">
        <f aca="false">SUM(U2335:W2335)</f>
        <v>0</v>
      </c>
      <c r="AA2335" s="3" t="n">
        <f aca="false">SUM(S2335:X2335)</f>
        <v>2</v>
      </c>
      <c r="AB2335" s="11" t="n">
        <f aca="false">(AA2335/(K2335*L2335)*25)*4</f>
        <v>8</v>
      </c>
    </row>
    <row r="2336" customFormat="false" ht="14.25" hidden="false" customHeight="false" outlineLevel="0" collapsed="false">
      <c r="A2336" s="1" t="n">
        <v>2014</v>
      </c>
      <c r="B2336" s="7" t="s">
        <v>322</v>
      </c>
      <c r="C2336" s="7" t="n">
        <v>2</v>
      </c>
      <c r="D2336" s="7" t="s">
        <v>294</v>
      </c>
      <c r="E2336" s="7" t="s">
        <v>294</v>
      </c>
      <c r="F2336" s="3" t="s">
        <v>326</v>
      </c>
      <c r="G2336" s="3" t="n">
        <v>3</v>
      </c>
      <c r="H2336" s="3" t="n">
        <v>15</v>
      </c>
      <c r="I2336" s="22" t="n">
        <v>41793</v>
      </c>
      <c r="J2336" s="22" t="n">
        <v>41798</v>
      </c>
      <c r="K2336" s="43" t="n">
        <f aca="false">J2336-I2336</f>
        <v>5</v>
      </c>
      <c r="L2336" s="1" t="n">
        <v>5</v>
      </c>
      <c r="M2336" s="3" t="s">
        <v>32</v>
      </c>
      <c r="N2336" s="3" t="s">
        <v>169</v>
      </c>
      <c r="O2336" s="3" t="s">
        <v>170</v>
      </c>
      <c r="P2336" s="2" t="str">
        <f aca="false">CONCATENATE(N2336," ",O2336)</f>
        <v>Abacoproeces saltuum</v>
      </c>
      <c r="Q2336" s="1" t="s">
        <v>30</v>
      </c>
      <c r="R2336" s="1" t="s">
        <v>35</v>
      </c>
      <c r="S2336" s="3" t="n">
        <v>0</v>
      </c>
      <c r="T2336" s="3" t="n">
        <v>2</v>
      </c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f aca="false">SUM(S2336:T2336)</f>
        <v>2</v>
      </c>
      <c r="Z2336" s="3" t="n">
        <f aca="false">SUM(U2336:W2336)</f>
        <v>0</v>
      </c>
      <c r="AA2336" s="3" t="n">
        <f aca="false">SUM(S2336:X2336)</f>
        <v>2</v>
      </c>
      <c r="AB2336" s="11" t="n">
        <f aca="false">(AA2336/(K2336*L2336)*25)*4</f>
        <v>8</v>
      </c>
    </row>
    <row r="2337" customFormat="false" ht="14.25" hidden="false" customHeight="false" outlineLevel="0" collapsed="false">
      <c r="A2337" s="1" t="n">
        <v>2014</v>
      </c>
      <c r="B2337" s="7" t="s">
        <v>322</v>
      </c>
      <c r="C2337" s="7" t="n">
        <v>2</v>
      </c>
      <c r="D2337" s="7" t="s">
        <v>294</v>
      </c>
      <c r="E2337" s="7" t="s">
        <v>294</v>
      </c>
      <c r="F2337" s="3" t="s">
        <v>326</v>
      </c>
      <c r="G2337" s="3" t="n">
        <v>3</v>
      </c>
      <c r="H2337" s="3" t="n">
        <v>15</v>
      </c>
      <c r="I2337" s="22" t="n">
        <v>41793</v>
      </c>
      <c r="J2337" s="22" t="n">
        <v>41798</v>
      </c>
      <c r="K2337" s="43" t="n">
        <f aca="false">J2337-I2337</f>
        <v>5</v>
      </c>
      <c r="L2337" s="1" t="n">
        <v>5</v>
      </c>
      <c r="M2337" s="3" t="s">
        <v>36</v>
      </c>
      <c r="N2337" s="3" t="s">
        <v>37</v>
      </c>
      <c r="O2337" s="3" t="s">
        <v>75</v>
      </c>
      <c r="P2337" s="2" t="str">
        <f aca="false">CONCATENATE(N2337," ",O2337)</f>
        <v>Ozyptila praticola</v>
      </c>
      <c r="Q2337" s="1" t="s">
        <v>30</v>
      </c>
      <c r="R2337" s="1" t="s">
        <v>31</v>
      </c>
      <c r="S2337" s="3" t="n">
        <v>1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f aca="false">SUM(S2337:T2337)</f>
        <v>1</v>
      </c>
      <c r="Z2337" s="3" t="n">
        <f aca="false">SUM(U2337:W2337)</f>
        <v>0</v>
      </c>
      <c r="AA2337" s="3" t="n">
        <f aca="false">SUM(S2337:X2337)</f>
        <v>1</v>
      </c>
      <c r="AB2337" s="11" t="n">
        <f aca="false">(AA2337/(K2337*L2337)*25)*4</f>
        <v>4</v>
      </c>
    </row>
    <row r="2338" customFormat="false" ht="14.25" hidden="false" customHeight="false" outlineLevel="0" collapsed="false">
      <c r="A2338" s="1" t="n">
        <v>2014</v>
      </c>
      <c r="B2338" s="7" t="s">
        <v>322</v>
      </c>
      <c r="C2338" s="7" t="n">
        <v>2</v>
      </c>
      <c r="D2338" s="7" t="s">
        <v>294</v>
      </c>
      <c r="E2338" s="7" t="s">
        <v>294</v>
      </c>
      <c r="F2338" s="3" t="s">
        <v>326</v>
      </c>
      <c r="G2338" s="3" t="n">
        <v>1</v>
      </c>
      <c r="H2338" s="3" t="n">
        <v>5</v>
      </c>
      <c r="I2338" s="22" t="n">
        <v>41793</v>
      </c>
      <c r="J2338" s="22" t="n">
        <v>41798</v>
      </c>
      <c r="K2338" s="43" t="n">
        <f aca="false">J2338-I2338</f>
        <v>5</v>
      </c>
      <c r="L2338" s="1" t="n">
        <v>5</v>
      </c>
      <c r="M2338" s="3" t="s">
        <v>48</v>
      </c>
      <c r="N2338" s="3" t="s">
        <v>49</v>
      </c>
      <c r="O2338" s="3" t="s">
        <v>119</v>
      </c>
      <c r="P2338" s="2" t="str">
        <f aca="false">CONCATENATE(N2338," ",O2338)</f>
        <v>Alopecosa sulzeri</v>
      </c>
      <c r="Q2338" s="1" t="s">
        <v>30</v>
      </c>
      <c r="R2338" s="1" t="s">
        <v>31</v>
      </c>
      <c r="S2338" s="3" t="n">
        <v>1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f aca="false">SUM(S2338:T2338)</f>
        <v>1</v>
      </c>
      <c r="Z2338" s="3" t="n">
        <f aca="false">SUM(U2338:W2338)</f>
        <v>0</v>
      </c>
      <c r="AA2338" s="3" t="n">
        <f aca="false">SUM(S2338:X2338)</f>
        <v>1</v>
      </c>
      <c r="AB2338" s="11" t="n">
        <f aca="false">(AA2338/(K2338*L2338)*25)*4</f>
        <v>4</v>
      </c>
    </row>
    <row r="2339" customFormat="false" ht="14.25" hidden="false" customHeight="false" outlineLevel="0" collapsed="false">
      <c r="A2339" s="1" t="n">
        <v>2014</v>
      </c>
      <c r="B2339" s="7" t="s">
        <v>322</v>
      </c>
      <c r="C2339" s="7" t="n">
        <v>2</v>
      </c>
      <c r="D2339" s="7" t="s">
        <v>294</v>
      </c>
      <c r="E2339" s="7" t="s">
        <v>294</v>
      </c>
      <c r="F2339" s="3" t="s">
        <v>326</v>
      </c>
      <c r="G2339" s="3" t="n">
        <v>1</v>
      </c>
      <c r="H2339" s="3" t="n">
        <v>5</v>
      </c>
      <c r="I2339" s="22" t="n">
        <v>41793</v>
      </c>
      <c r="J2339" s="22" t="n">
        <v>41798</v>
      </c>
      <c r="K2339" s="43" t="n">
        <f aca="false">J2339-I2339</f>
        <v>5</v>
      </c>
      <c r="L2339" s="1" t="n">
        <v>5</v>
      </c>
      <c r="M2339" s="3" t="s">
        <v>48</v>
      </c>
      <c r="N2339" s="3" t="s">
        <v>49</v>
      </c>
      <c r="O2339" s="3" t="s">
        <v>104</v>
      </c>
      <c r="P2339" s="2" t="str">
        <f aca="false">CONCATENATE(N2339," ",O2339)</f>
        <v>Alopecosa taeniata</v>
      </c>
      <c r="Q2339" s="1" t="s">
        <v>30</v>
      </c>
      <c r="R2339" s="1" t="s">
        <v>31</v>
      </c>
      <c r="S2339" s="3" t="n">
        <v>1</v>
      </c>
      <c r="T2339" s="3" t="n">
        <v>0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f aca="false">SUM(S2339:T2339)</f>
        <v>1</v>
      </c>
      <c r="Z2339" s="3" t="n">
        <f aca="false">SUM(U2339:W2339)</f>
        <v>0</v>
      </c>
      <c r="AA2339" s="3" t="n">
        <f aca="false">SUM(S2339:X2339)</f>
        <v>1</v>
      </c>
      <c r="AB2339" s="11" t="n">
        <f aca="false">(AA2339/(K2339*L2339)*25)*4</f>
        <v>4</v>
      </c>
    </row>
    <row r="2340" customFormat="false" ht="14.25" hidden="false" customHeight="false" outlineLevel="0" collapsed="false">
      <c r="A2340" s="1" t="n">
        <v>2014</v>
      </c>
      <c r="B2340" s="7" t="s">
        <v>322</v>
      </c>
      <c r="C2340" s="7" t="n">
        <v>2</v>
      </c>
      <c r="D2340" s="7" t="s">
        <v>294</v>
      </c>
      <c r="E2340" s="7" t="s">
        <v>294</v>
      </c>
      <c r="F2340" s="3" t="s">
        <v>326</v>
      </c>
      <c r="G2340" s="3" t="n">
        <v>1</v>
      </c>
      <c r="H2340" s="3" t="n">
        <v>5</v>
      </c>
      <c r="I2340" s="22" t="n">
        <v>41793</v>
      </c>
      <c r="J2340" s="22" t="n">
        <v>41798</v>
      </c>
      <c r="K2340" s="43" t="n">
        <f aca="false">J2340-I2340</f>
        <v>5</v>
      </c>
      <c r="L2340" s="1" t="n">
        <v>5</v>
      </c>
      <c r="M2340" s="3" t="s">
        <v>48</v>
      </c>
      <c r="N2340" s="3" t="s">
        <v>67</v>
      </c>
      <c r="O2340" s="3" t="s">
        <v>127</v>
      </c>
      <c r="P2340" s="2" t="str">
        <f aca="false">CONCATENATE(N2340," ",O2340)</f>
        <v>Pardosa lugubris</v>
      </c>
      <c r="Q2340" s="1" t="s">
        <v>30</v>
      </c>
      <c r="R2340" s="1" t="s">
        <v>31</v>
      </c>
      <c r="S2340" s="3" t="n">
        <v>3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f aca="false">SUM(S2340:T2340)</f>
        <v>3</v>
      </c>
      <c r="Z2340" s="3" t="n">
        <f aca="false">SUM(U2340:W2340)</f>
        <v>0</v>
      </c>
      <c r="AA2340" s="3" t="n">
        <f aca="false">SUM(S2340:X2340)</f>
        <v>3</v>
      </c>
      <c r="AB2340" s="11" t="n">
        <f aca="false">(AA2340/(K2340*L2340)*25)*4</f>
        <v>12</v>
      </c>
    </row>
    <row r="2341" customFormat="false" ht="14.25" hidden="false" customHeight="false" outlineLevel="0" collapsed="false">
      <c r="A2341" s="1" t="n">
        <v>2014</v>
      </c>
      <c r="B2341" s="7" t="s">
        <v>322</v>
      </c>
      <c r="C2341" s="7" t="n">
        <v>2</v>
      </c>
      <c r="D2341" s="7" t="s">
        <v>294</v>
      </c>
      <c r="E2341" s="7" t="s">
        <v>294</v>
      </c>
      <c r="F2341" s="3" t="s">
        <v>326</v>
      </c>
      <c r="G2341" s="3" t="n">
        <v>1</v>
      </c>
      <c r="H2341" s="3" t="n">
        <v>5</v>
      </c>
      <c r="I2341" s="22" t="n">
        <v>41793</v>
      </c>
      <c r="J2341" s="22" t="n">
        <v>41798</v>
      </c>
      <c r="K2341" s="43" t="n">
        <f aca="false">J2341-I2341</f>
        <v>5</v>
      </c>
      <c r="L2341" s="1" t="n">
        <v>5</v>
      </c>
      <c r="M2341" s="3" t="s">
        <v>36</v>
      </c>
      <c r="N2341" s="3" t="s">
        <v>131</v>
      </c>
      <c r="O2341" s="3" t="s">
        <v>133</v>
      </c>
      <c r="P2341" s="2" t="str">
        <f aca="false">CONCATENATE(N2341," ",O2341)</f>
        <v>Xysticus luctuosus</v>
      </c>
      <c r="Q2341" s="1" t="s">
        <v>30</v>
      </c>
      <c r="R2341" s="1" t="s">
        <v>31</v>
      </c>
      <c r="S2341" s="3" t="n">
        <v>2</v>
      </c>
      <c r="T2341" s="3" t="n">
        <v>0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f aca="false">SUM(S2341:T2341)</f>
        <v>2</v>
      </c>
      <c r="Z2341" s="3" t="n">
        <f aca="false">SUM(U2341:W2341)</f>
        <v>0</v>
      </c>
      <c r="AA2341" s="3" t="n">
        <f aca="false">SUM(S2341:X2341)</f>
        <v>2</v>
      </c>
      <c r="AB2341" s="11" t="n">
        <f aca="false">(AA2341/(K2341*L2341)*25)*4</f>
        <v>8</v>
      </c>
    </row>
    <row r="2342" customFormat="false" ht="14.25" hidden="false" customHeight="false" outlineLevel="0" collapsed="false">
      <c r="A2342" s="1" t="n">
        <v>2014</v>
      </c>
      <c r="B2342" s="7" t="s">
        <v>322</v>
      </c>
      <c r="C2342" s="7" t="n">
        <v>2</v>
      </c>
      <c r="D2342" s="7" t="s">
        <v>294</v>
      </c>
      <c r="E2342" s="7" t="s">
        <v>294</v>
      </c>
      <c r="F2342" s="3" t="s">
        <v>326</v>
      </c>
      <c r="G2342" s="3" t="n">
        <v>1</v>
      </c>
      <c r="H2342" s="3" t="n">
        <v>5</v>
      </c>
      <c r="I2342" s="22" t="n">
        <v>41793</v>
      </c>
      <c r="J2342" s="22" t="n">
        <v>41798</v>
      </c>
      <c r="K2342" s="43" t="n">
        <f aca="false">J2342-I2342</f>
        <v>5</v>
      </c>
      <c r="L2342" s="1" t="n">
        <v>5</v>
      </c>
      <c r="M2342" s="3" t="s">
        <v>72</v>
      </c>
      <c r="N2342" s="3" t="s">
        <v>73</v>
      </c>
      <c r="O2342" s="3" t="s">
        <v>74</v>
      </c>
      <c r="P2342" s="2" t="str">
        <f aca="false">CONCATENATE(N2342," ",O2342)</f>
        <v>Zelotes subterraneus</v>
      </c>
      <c r="Q2342" s="1" t="s">
        <v>30</v>
      </c>
      <c r="R2342" s="1" t="s">
        <v>35</v>
      </c>
      <c r="S2342" s="3" t="n">
        <v>0</v>
      </c>
      <c r="T2342" s="3" t="n">
        <v>1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f aca="false">SUM(S2342:T2342)</f>
        <v>1</v>
      </c>
      <c r="Z2342" s="3" t="n">
        <f aca="false">SUM(U2342:W2342)</f>
        <v>0</v>
      </c>
      <c r="AA2342" s="3" t="n">
        <f aca="false">SUM(S2342:X2342)</f>
        <v>1</v>
      </c>
      <c r="AB2342" s="11" t="n">
        <f aca="false">(AA2342/(K2342*L2342)*25)*4</f>
        <v>4</v>
      </c>
    </row>
    <row r="2343" customFormat="false" ht="14.25" hidden="false" customHeight="false" outlineLevel="0" collapsed="false">
      <c r="A2343" s="1" t="n">
        <v>2014</v>
      </c>
      <c r="B2343" s="7" t="s">
        <v>322</v>
      </c>
      <c r="C2343" s="7" t="n">
        <v>2</v>
      </c>
      <c r="D2343" s="7" t="s">
        <v>294</v>
      </c>
      <c r="E2343" s="7" t="s">
        <v>294</v>
      </c>
      <c r="F2343" s="3" t="s">
        <v>326</v>
      </c>
      <c r="G2343" s="3" t="n">
        <v>1</v>
      </c>
      <c r="H2343" s="3" t="n">
        <v>5</v>
      </c>
      <c r="I2343" s="22" t="n">
        <v>41793</v>
      </c>
      <c r="J2343" s="22" t="n">
        <v>41798</v>
      </c>
      <c r="K2343" s="43" t="n">
        <f aca="false">J2343-I2343</f>
        <v>5</v>
      </c>
      <c r="L2343" s="1" t="n">
        <v>5</v>
      </c>
      <c r="M2343" s="3" t="s">
        <v>72</v>
      </c>
      <c r="N2343" s="3" t="s">
        <v>86</v>
      </c>
      <c r="O2343" s="3" t="s">
        <v>87</v>
      </c>
      <c r="P2343" s="2" t="str">
        <f aca="false">CONCATENATE(N2343," ",O2343)</f>
        <v>Haplodrassus soerenseni</v>
      </c>
      <c r="Q2343" s="1" t="s">
        <v>30</v>
      </c>
      <c r="R2343" s="1" t="s">
        <v>31</v>
      </c>
      <c r="S2343" s="3" t="n">
        <v>1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f aca="false">SUM(S2343:T2343)</f>
        <v>1</v>
      </c>
      <c r="Z2343" s="3" t="n">
        <f aca="false">SUM(U2343:W2343)</f>
        <v>0</v>
      </c>
      <c r="AA2343" s="3" t="n">
        <f aca="false">SUM(S2343:X2343)</f>
        <v>1</v>
      </c>
      <c r="AB2343" s="11" t="n">
        <f aca="false">(AA2343/(K2343*L2343)*25)*4</f>
        <v>4</v>
      </c>
    </row>
    <row r="2344" customFormat="false" ht="14.25" hidden="false" customHeight="false" outlineLevel="0" collapsed="false">
      <c r="A2344" s="1" t="n">
        <v>2014</v>
      </c>
      <c r="B2344" s="7" t="s">
        <v>322</v>
      </c>
      <c r="C2344" s="7" t="n">
        <v>2</v>
      </c>
      <c r="D2344" s="7" t="s">
        <v>294</v>
      </c>
      <c r="E2344" s="7" t="s">
        <v>294</v>
      </c>
      <c r="F2344" s="3" t="s">
        <v>326</v>
      </c>
      <c r="G2344" s="3" t="n">
        <v>1</v>
      </c>
      <c r="H2344" s="3" t="n">
        <v>5</v>
      </c>
      <c r="I2344" s="22" t="n">
        <v>41793</v>
      </c>
      <c r="J2344" s="22" t="n">
        <v>41798</v>
      </c>
      <c r="K2344" s="43" t="n">
        <f aca="false">J2344-I2344</f>
        <v>5</v>
      </c>
      <c r="L2344" s="1" t="n">
        <v>5</v>
      </c>
      <c r="M2344" s="3" t="s">
        <v>32</v>
      </c>
      <c r="N2344" s="3" t="s">
        <v>261</v>
      </c>
      <c r="O2344" s="3" t="s">
        <v>262</v>
      </c>
      <c r="P2344" s="2" t="str">
        <f aca="false">CONCATENATE(N2344," ",O2344)</f>
        <v>Maso sundevalli</v>
      </c>
      <c r="Q2344" s="1" t="s">
        <v>30</v>
      </c>
      <c r="R2344" s="1" t="s">
        <v>35</v>
      </c>
      <c r="S2344" s="3" t="n">
        <v>0</v>
      </c>
      <c r="T2344" s="3" t="n">
        <v>1</v>
      </c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f aca="false">SUM(S2344:T2344)</f>
        <v>1</v>
      </c>
      <c r="Z2344" s="3" t="n">
        <f aca="false">SUM(U2344:W2344)</f>
        <v>0</v>
      </c>
      <c r="AA2344" s="3" t="n">
        <f aca="false">SUM(S2344:X2344)</f>
        <v>1</v>
      </c>
      <c r="AB2344" s="11" t="n">
        <f aca="false">(AA2344/(K2344*L2344)*25)*4</f>
        <v>4</v>
      </c>
    </row>
    <row r="2345" customFormat="false" ht="14.25" hidden="false" customHeight="false" outlineLevel="0" collapsed="false">
      <c r="A2345" s="1" t="n">
        <v>2014</v>
      </c>
      <c r="B2345" s="7" t="s">
        <v>322</v>
      </c>
      <c r="C2345" s="7" t="n">
        <v>2</v>
      </c>
      <c r="D2345" s="7" t="s">
        <v>294</v>
      </c>
      <c r="E2345" s="7" t="s">
        <v>294</v>
      </c>
      <c r="F2345" s="3" t="s">
        <v>326</v>
      </c>
      <c r="G2345" s="3" t="n">
        <v>3</v>
      </c>
      <c r="H2345" s="3" t="n">
        <v>11</v>
      </c>
      <c r="I2345" s="22" t="n">
        <v>41793</v>
      </c>
      <c r="J2345" s="22" t="n">
        <v>41798</v>
      </c>
      <c r="K2345" s="43" t="n">
        <f aca="false">J2345-I2345</f>
        <v>5</v>
      </c>
      <c r="L2345" s="1" t="n">
        <v>5</v>
      </c>
      <c r="M2345" s="3" t="s">
        <v>48</v>
      </c>
      <c r="N2345" s="3" t="s">
        <v>49</v>
      </c>
      <c r="O2345" s="3" t="s">
        <v>130</v>
      </c>
      <c r="P2345" s="2" t="str">
        <f aca="false">CONCATENATE(N2345," ",O2345)</f>
        <v>Alopecosa aculeata</v>
      </c>
      <c r="Q2345" s="1" t="s">
        <v>30</v>
      </c>
      <c r="R2345" s="1" t="s">
        <v>31</v>
      </c>
      <c r="S2345" s="3" t="n">
        <v>1</v>
      </c>
      <c r="T2345" s="3" t="n">
        <v>0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f aca="false">SUM(S2345:T2345)</f>
        <v>1</v>
      </c>
      <c r="Z2345" s="3" t="n">
        <f aca="false">SUM(U2345:W2345)</f>
        <v>0</v>
      </c>
      <c r="AA2345" s="3" t="n">
        <f aca="false">SUM(S2345:X2345)</f>
        <v>1</v>
      </c>
      <c r="AB2345" s="11" t="n">
        <f aca="false">(AA2345/(K2345*L2345)*25)*4</f>
        <v>4</v>
      </c>
    </row>
    <row r="2346" customFormat="false" ht="14.25" hidden="false" customHeight="false" outlineLevel="0" collapsed="false">
      <c r="A2346" s="1" t="n">
        <v>2014</v>
      </c>
      <c r="B2346" s="7" t="s">
        <v>322</v>
      </c>
      <c r="C2346" s="7" t="n">
        <v>2</v>
      </c>
      <c r="D2346" s="7" t="s">
        <v>294</v>
      </c>
      <c r="E2346" s="7" t="s">
        <v>294</v>
      </c>
      <c r="F2346" s="3" t="s">
        <v>326</v>
      </c>
      <c r="G2346" s="3" t="n">
        <v>3</v>
      </c>
      <c r="H2346" s="3" t="n">
        <v>11</v>
      </c>
      <c r="I2346" s="22" t="n">
        <v>41793</v>
      </c>
      <c r="J2346" s="22" t="n">
        <v>41798</v>
      </c>
      <c r="K2346" s="43" t="n">
        <f aca="false">J2346-I2346</f>
        <v>5</v>
      </c>
      <c r="L2346" s="1" t="n">
        <v>5</v>
      </c>
      <c r="M2346" s="3" t="s">
        <v>48</v>
      </c>
      <c r="N2346" s="3" t="s">
        <v>49</v>
      </c>
      <c r="O2346" s="3" t="s">
        <v>130</v>
      </c>
      <c r="P2346" s="2" t="str">
        <f aca="false">CONCATENATE(N2346," ",O2346)</f>
        <v>Alopecosa aculeata</v>
      </c>
      <c r="Q2346" s="1" t="s">
        <v>30</v>
      </c>
      <c r="R2346" s="1" t="s">
        <v>35</v>
      </c>
      <c r="S2346" s="3" t="n">
        <v>0</v>
      </c>
      <c r="T2346" s="3" t="n">
        <v>1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f aca="false">SUM(S2346:T2346)</f>
        <v>1</v>
      </c>
      <c r="Z2346" s="3" t="n">
        <f aca="false">SUM(U2346:W2346)</f>
        <v>0</v>
      </c>
      <c r="AA2346" s="3" t="n">
        <f aca="false">SUM(S2346:X2346)</f>
        <v>1</v>
      </c>
      <c r="AB2346" s="11" t="n">
        <f aca="false">(AA2346/(K2346*L2346)*25)*4</f>
        <v>4</v>
      </c>
    </row>
    <row r="2347" customFormat="false" ht="14.25" hidden="false" customHeight="false" outlineLevel="0" collapsed="false">
      <c r="A2347" s="1" t="n">
        <v>2014</v>
      </c>
      <c r="B2347" s="7" t="s">
        <v>322</v>
      </c>
      <c r="C2347" s="7" t="n">
        <v>2</v>
      </c>
      <c r="D2347" s="7" t="s">
        <v>294</v>
      </c>
      <c r="E2347" s="7" t="s">
        <v>294</v>
      </c>
      <c r="F2347" s="3" t="s">
        <v>326</v>
      </c>
      <c r="G2347" s="3" t="n">
        <v>3</v>
      </c>
      <c r="H2347" s="3" t="n">
        <v>11</v>
      </c>
      <c r="I2347" s="22" t="n">
        <v>41793</v>
      </c>
      <c r="J2347" s="22" t="n">
        <v>41798</v>
      </c>
      <c r="K2347" s="43" t="n">
        <f aca="false">J2347-I2347</f>
        <v>5</v>
      </c>
      <c r="L2347" s="1" t="n">
        <v>5</v>
      </c>
      <c r="M2347" s="3" t="s">
        <v>48</v>
      </c>
      <c r="N2347" s="3" t="s">
        <v>67</v>
      </c>
      <c r="O2347" s="3" t="s">
        <v>127</v>
      </c>
      <c r="P2347" s="2" t="str">
        <f aca="false">CONCATENATE(N2347," ",O2347)</f>
        <v>Pardosa lugubris</v>
      </c>
      <c r="Q2347" s="1" t="s">
        <v>30</v>
      </c>
      <c r="R2347" s="1" t="s">
        <v>31</v>
      </c>
      <c r="S2347" s="3" t="n">
        <v>3</v>
      </c>
      <c r="T2347" s="3" t="n">
        <v>0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f aca="false">SUM(S2347:T2347)</f>
        <v>3</v>
      </c>
      <c r="Z2347" s="3" t="n">
        <f aca="false">SUM(U2347:W2347)</f>
        <v>0</v>
      </c>
      <c r="AA2347" s="3" t="n">
        <f aca="false">SUM(S2347:X2347)</f>
        <v>3</v>
      </c>
      <c r="AB2347" s="11" t="n">
        <f aca="false">(AA2347/(K2347*L2347)*25)*4</f>
        <v>12</v>
      </c>
    </row>
    <row r="2348" customFormat="false" ht="14.25" hidden="false" customHeight="false" outlineLevel="0" collapsed="false">
      <c r="A2348" s="1" t="n">
        <v>2014</v>
      </c>
      <c r="B2348" s="7" t="s">
        <v>322</v>
      </c>
      <c r="C2348" s="7" t="n">
        <v>2</v>
      </c>
      <c r="D2348" s="7" t="s">
        <v>294</v>
      </c>
      <c r="E2348" s="7" t="s">
        <v>294</v>
      </c>
      <c r="F2348" s="3" t="s">
        <v>326</v>
      </c>
      <c r="G2348" s="3" t="n">
        <v>3</v>
      </c>
      <c r="H2348" s="3" t="n">
        <v>11</v>
      </c>
      <c r="I2348" s="22" t="n">
        <v>41793</v>
      </c>
      <c r="J2348" s="22" t="n">
        <v>41798</v>
      </c>
      <c r="K2348" s="43" t="n">
        <f aca="false">J2348-I2348</f>
        <v>5</v>
      </c>
      <c r="L2348" s="1" t="n">
        <v>5</v>
      </c>
      <c r="M2348" s="3" t="s">
        <v>135</v>
      </c>
      <c r="N2348" s="3" t="s">
        <v>136</v>
      </c>
      <c r="O2348" s="3" t="s">
        <v>137</v>
      </c>
      <c r="P2348" s="2" t="str">
        <f aca="false">CONCATENATE(N2348," ",O2348)</f>
        <v>Thanatus sabulosus</v>
      </c>
      <c r="Q2348" s="1" t="s">
        <v>30</v>
      </c>
      <c r="R2348" s="1" t="s">
        <v>31</v>
      </c>
      <c r="S2348" s="3" t="n">
        <v>1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f aca="false">SUM(S2348:T2348)</f>
        <v>1</v>
      </c>
      <c r="Z2348" s="3" t="n">
        <f aca="false">SUM(U2348:W2348)</f>
        <v>0</v>
      </c>
      <c r="AA2348" s="3" t="n">
        <f aca="false">SUM(S2348:X2348)</f>
        <v>1</v>
      </c>
      <c r="AB2348" s="11" t="n">
        <f aca="false">(AA2348/(K2348*L2348)*25)*4</f>
        <v>4</v>
      </c>
    </row>
    <row r="2349" customFormat="false" ht="14.25" hidden="false" customHeight="false" outlineLevel="0" collapsed="false">
      <c r="A2349" s="1" t="n">
        <v>2014</v>
      </c>
      <c r="B2349" s="7" t="s">
        <v>322</v>
      </c>
      <c r="C2349" s="7" t="n">
        <v>2</v>
      </c>
      <c r="D2349" s="7" t="s">
        <v>294</v>
      </c>
      <c r="E2349" s="7" t="s">
        <v>294</v>
      </c>
      <c r="F2349" s="3" t="s">
        <v>326</v>
      </c>
      <c r="G2349" s="3" t="n">
        <v>3</v>
      </c>
      <c r="H2349" s="3" t="n">
        <v>11</v>
      </c>
      <c r="I2349" s="22" t="n">
        <v>41793</v>
      </c>
      <c r="J2349" s="22" t="n">
        <v>41798</v>
      </c>
      <c r="K2349" s="43" t="n">
        <f aca="false">J2349-I2349</f>
        <v>5</v>
      </c>
      <c r="L2349" s="1" t="n">
        <v>5</v>
      </c>
      <c r="M2349" s="3" t="s">
        <v>92</v>
      </c>
      <c r="N2349" s="3" t="s">
        <v>111</v>
      </c>
      <c r="O2349" s="3" t="s">
        <v>112</v>
      </c>
      <c r="P2349" s="2" t="str">
        <f aca="false">CONCATENATE(N2349," ",O2349)</f>
        <v>Evarcha falcata</v>
      </c>
      <c r="Q2349" s="1" t="s">
        <v>30</v>
      </c>
      <c r="R2349" s="1" t="s">
        <v>35</v>
      </c>
      <c r="S2349" s="3" t="n">
        <v>0</v>
      </c>
      <c r="T2349" s="3" t="n">
        <v>1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f aca="false">SUM(S2349:T2349)</f>
        <v>1</v>
      </c>
      <c r="Z2349" s="3" t="n">
        <f aca="false">SUM(U2349:W2349)</f>
        <v>0</v>
      </c>
      <c r="AA2349" s="3" t="n">
        <f aca="false">SUM(S2349:X2349)</f>
        <v>1</v>
      </c>
      <c r="AB2349" s="11" t="n">
        <f aca="false">(AA2349/(K2349*L2349)*25)*4</f>
        <v>4</v>
      </c>
    </row>
    <row r="2350" customFormat="false" ht="14.25" hidden="false" customHeight="false" outlineLevel="0" collapsed="false">
      <c r="A2350" s="1" t="n">
        <v>2014</v>
      </c>
      <c r="B2350" s="7" t="s">
        <v>322</v>
      </c>
      <c r="C2350" s="7" t="n">
        <v>2</v>
      </c>
      <c r="D2350" s="7" t="s">
        <v>294</v>
      </c>
      <c r="E2350" s="7" t="s">
        <v>294</v>
      </c>
      <c r="F2350" s="3" t="s">
        <v>326</v>
      </c>
      <c r="G2350" s="3" t="n">
        <v>3</v>
      </c>
      <c r="H2350" s="3" t="n">
        <v>11</v>
      </c>
      <c r="I2350" s="22" t="n">
        <v>41793</v>
      </c>
      <c r="J2350" s="22" t="n">
        <v>41798</v>
      </c>
      <c r="K2350" s="43" t="n">
        <f aca="false">J2350-I2350</f>
        <v>5</v>
      </c>
      <c r="L2350" s="1" t="n">
        <v>5</v>
      </c>
      <c r="M2350" s="3" t="s">
        <v>32</v>
      </c>
      <c r="N2350" s="3" t="s">
        <v>96</v>
      </c>
      <c r="O2350" s="3" t="s">
        <v>97</v>
      </c>
      <c r="P2350" s="2" t="str">
        <f aca="false">CONCATENATE(N2350," ",O2350)</f>
        <v>Diplocephalus picinus</v>
      </c>
      <c r="Q2350" s="1" t="s">
        <v>30</v>
      </c>
      <c r="R2350" s="1" t="s">
        <v>31</v>
      </c>
      <c r="S2350" s="3" t="n">
        <v>1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f aca="false">SUM(S2350:T2350)</f>
        <v>1</v>
      </c>
      <c r="Z2350" s="3" t="n">
        <f aca="false">SUM(U2350:W2350)</f>
        <v>0</v>
      </c>
      <c r="AA2350" s="3" t="n">
        <f aca="false">SUM(S2350:X2350)</f>
        <v>1</v>
      </c>
      <c r="AB2350" s="11" t="n">
        <f aca="false">(AA2350/(K2350*L2350)*25)*4</f>
        <v>4</v>
      </c>
    </row>
    <row r="2351" customFormat="false" ht="14.25" hidden="false" customHeight="false" outlineLevel="0" collapsed="false">
      <c r="A2351" s="1" t="n">
        <v>2014</v>
      </c>
      <c r="B2351" s="7" t="s">
        <v>322</v>
      </c>
      <c r="C2351" s="7" t="n">
        <v>2</v>
      </c>
      <c r="D2351" s="7" t="s">
        <v>294</v>
      </c>
      <c r="E2351" s="7" t="s">
        <v>294</v>
      </c>
      <c r="F2351" s="3" t="s">
        <v>326</v>
      </c>
      <c r="G2351" s="3" t="n">
        <v>3</v>
      </c>
      <c r="H2351" s="3" t="n">
        <v>11</v>
      </c>
      <c r="I2351" s="22" t="n">
        <v>41793</v>
      </c>
      <c r="J2351" s="22" t="n">
        <v>41798</v>
      </c>
      <c r="K2351" s="43" t="n">
        <f aca="false">J2351-I2351</f>
        <v>5</v>
      </c>
      <c r="L2351" s="1" t="n">
        <v>5</v>
      </c>
      <c r="M2351" s="3" t="s">
        <v>32</v>
      </c>
      <c r="N2351" s="3" t="s">
        <v>263</v>
      </c>
      <c r="O2351" s="3" t="s">
        <v>264</v>
      </c>
      <c r="P2351" s="2" t="str">
        <f aca="false">CONCATENATE(N2351," ",O2351)</f>
        <v>Incestophantes crucifer</v>
      </c>
      <c r="Q2351" s="1" t="s">
        <v>30</v>
      </c>
      <c r="R2351" s="1" t="s">
        <v>35</v>
      </c>
      <c r="S2351" s="3" t="n">
        <v>0</v>
      </c>
      <c r="T2351" s="3" t="n">
        <v>1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f aca="false">SUM(S2351:T2351)</f>
        <v>1</v>
      </c>
      <c r="Z2351" s="3" t="n">
        <f aca="false">SUM(U2351:W2351)</f>
        <v>0</v>
      </c>
      <c r="AA2351" s="3" t="n">
        <f aca="false">SUM(S2351:X2351)</f>
        <v>1</v>
      </c>
      <c r="AB2351" s="11" t="n">
        <f aca="false">(AA2351/(K2351*L2351)*25)*4</f>
        <v>4</v>
      </c>
    </row>
    <row r="2352" customFormat="false" ht="14.25" hidden="false" customHeight="false" outlineLevel="0" collapsed="false">
      <c r="A2352" s="1" t="n">
        <v>2014</v>
      </c>
      <c r="B2352" s="7" t="s">
        <v>322</v>
      </c>
      <c r="C2352" s="7" t="n">
        <v>2</v>
      </c>
      <c r="D2352" s="7" t="s">
        <v>294</v>
      </c>
      <c r="E2352" s="7" t="s">
        <v>294</v>
      </c>
      <c r="F2352" s="3" t="s">
        <v>326</v>
      </c>
      <c r="G2352" s="3" t="n">
        <v>1</v>
      </c>
      <c r="H2352" s="3" t="n">
        <v>4</v>
      </c>
      <c r="I2352" s="22" t="n">
        <v>41793</v>
      </c>
      <c r="J2352" s="22" t="n">
        <v>41798</v>
      </c>
      <c r="K2352" s="43" t="n">
        <f aca="false">J2352-I2352</f>
        <v>5</v>
      </c>
      <c r="L2352" s="1" t="n">
        <v>5</v>
      </c>
      <c r="M2352" s="3" t="s">
        <v>36</v>
      </c>
      <c r="N2352" s="3" t="s">
        <v>131</v>
      </c>
      <c r="O2352" s="3" t="s">
        <v>229</v>
      </c>
      <c r="P2352" s="2" t="str">
        <f aca="false">CONCATENATE(N2352," ",O2352)</f>
        <v>Xysticus emertoni</v>
      </c>
      <c r="Q2352" s="1" t="s">
        <v>30</v>
      </c>
      <c r="R2352" s="1" t="s">
        <v>31</v>
      </c>
      <c r="S2352" s="3" t="n">
        <v>2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f aca="false">SUM(S2352:T2352)</f>
        <v>2</v>
      </c>
      <c r="Z2352" s="3" t="n">
        <f aca="false">SUM(U2352:W2352)</f>
        <v>0</v>
      </c>
      <c r="AA2352" s="3" t="n">
        <f aca="false">SUM(S2352:X2352)</f>
        <v>2</v>
      </c>
      <c r="AB2352" s="11" t="n">
        <f aca="false">(AA2352/(K2352*L2352)*25)*4</f>
        <v>8</v>
      </c>
    </row>
    <row r="2353" customFormat="false" ht="14.25" hidden="false" customHeight="false" outlineLevel="0" collapsed="false">
      <c r="A2353" s="1" t="n">
        <v>2014</v>
      </c>
      <c r="B2353" s="7" t="s">
        <v>322</v>
      </c>
      <c r="C2353" s="7" t="n">
        <v>2</v>
      </c>
      <c r="D2353" s="7" t="s">
        <v>294</v>
      </c>
      <c r="E2353" s="7" t="s">
        <v>294</v>
      </c>
      <c r="F2353" s="3" t="s">
        <v>326</v>
      </c>
      <c r="G2353" s="3" t="n">
        <v>1</v>
      </c>
      <c r="H2353" s="3" t="n">
        <v>4</v>
      </c>
      <c r="I2353" s="22" t="n">
        <v>41793</v>
      </c>
      <c r="J2353" s="22" t="n">
        <v>41798</v>
      </c>
      <c r="K2353" s="43" t="n">
        <f aca="false">J2353-I2353</f>
        <v>5</v>
      </c>
      <c r="L2353" s="1" t="n">
        <v>5</v>
      </c>
      <c r="M2353" s="3" t="s">
        <v>36</v>
      </c>
      <c r="N2353" s="3" t="s">
        <v>131</v>
      </c>
      <c r="O2353" s="3" t="s">
        <v>133</v>
      </c>
      <c r="P2353" s="2" t="str">
        <f aca="false">CONCATENATE(N2353," ",O2353)</f>
        <v>Xysticus luctuosus</v>
      </c>
      <c r="Q2353" s="1" t="s">
        <v>30</v>
      </c>
      <c r="R2353" s="1" t="s">
        <v>31</v>
      </c>
      <c r="S2353" s="3" t="n">
        <v>1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f aca="false">SUM(S2353:T2353)</f>
        <v>1</v>
      </c>
      <c r="Z2353" s="3" t="n">
        <f aca="false">SUM(U2353:W2353)</f>
        <v>0</v>
      </c>
      <c r="AA2353" s="3" t="n">
        <f aca="false">SUM(S2353:X2353)</f>
        <v>1</v>
      </c>
      <c r="AB2353" s="11" t="n">
        <f aca="false">(AA2353/(K2353*L2353)*25)*4</f>
        <v>4</v>
      </c>
    </row>
    <row r="2354" customFormat="false" ht="14.25" hidden="false" customHeight="false" outlineLevel="0" collapsed="false">
      <c r="A2354" s="1" t="n">
        <v>2014</v>
      </c>
      <c r="B2354" s="7" t="s">
        <v>322</v>
      </c>
      <c r="C2354" s="7" t="n">
        <v>2</v>
      </c>
      <c r="D2354" s="7" t="s">
        <v>294</v>
      </c>
      <c r="E2354" s="7" t="s">
        <v>294</v>
      </c>
      <c r="F2354" s="3" t="s">
        <v>326</v>
      </c>
      <c r="G2354" s="3" t="n">
        <v>1</v>
      </c>
      <c r="H2354" s="3" t="n">
        <v>4</v>
      </c>
      <c r="I2354" s="22" t="n">
        <v>41793</v>
      </c>
      <c r="J2354" s="22" t="n">
        <v>41798</v>
      </c>
      <c r="K2354" s="43" t="n">
        <f aca="false">J2354-I2354</f>
        <v>5</v>
      </c>
      <c r="L2354" s="1" t="n">
        <v>5</v>
      </c>
      <c r="M2354" s="3" t="s">
        <v>36</v>
      </c>
      <c r="N2354" s="3" t="s">
        <v>37</v>
      </c>
      <c r="O2354" s="3" t="s">
        <v>75</v>
      </c>
      <c r="P2354" s="2" t="str">
        <f aca="false">CONCATENATE(N2354," ",O2354)</f>
        <v>Ozyptila praticola</v>
      </c>
      <c r="Q2354" s="1" t="s">
        <v>30</v>
      </c>
      <c r="R2354" s="1" t="s">
        <v>31</v>
      </c>
      <c r="S2354" s="3" t="n">
        <v>2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f aca="false">SUM(S2354:T2354)</f>
        <v>2</v>
      </c>
      <c r="Z2354" s="3" t="n">
        <f aca="false">SUM(U2354:W2354)</f>
        <v>0</v>
      </c>
      <c r="AA2354" s="3" t="n">
        <f aca="false">SUM(S2354:X2354)</f>
        <v>2</v>
      </c>
      <c r="AB2354" s="11" t="n">
        <f aca="false">(AA2354/(K2354*L2354)*25)*4</f>
        <v>8</v>
      </c>
    </row>
    <row r="2355" customFormat="false" ht="14.25" hidden="false" customHeight="false" outlineLevel="0" collapsed="false">
      <c r="A2355" s="1" t="n">
        <v>2014</v>
      </c>
      <c r="B2355" s="7" t="s">
        <v>322</v>
      </c>
      <c r="C2355" s="7" t="n">
        <v>2</v>
      </c>
      <c r="D2355" s="7" t="s">
        <v>294</v>
      </c>
      <c r="E2355" s="7" t="s">
        <v>294</v>
      </c>
      <c r="F2355" s="3" t="s">
        <v>326</v>
      </c>
      <c r="G2355" s="3" t="n">
        <v>1</v>
      </c>
      <c r="H2355" s="3" t="n">
        <v>4</v>
      </c>
      <c r="I2355" s="22" t="n">
        <v>41793</v>
      </c>
      <c r="J2355" s="22" t="n">
        <v>41798</v>
      </c>
      <c r="K2355" s="43" t="n">
        <f aca="false">J2355-I2355</f>
        <v>5</v>
      </c>
      <c r="L2355" s="1" t="n">
        <v>5</v>
      </c>
      <c r="M2355" s="3" t="s">
        <v>48</v>
      </c>
      <c r="N2355" s="3" t="s">
        <v>67</v>
      </c>
      <c r="O2355" s="3" t="s">
        <v>127</v>
      </c>
      <c r="P2355" s="2" t="str">
        <f aca="false">CONCATENATE(N2355," ",O2355)</f>
        <v>Pardosa lugubris</v>
      </c>
      <c r="Q2355" s="1" t="s">
        <v>30</v>
      </c>
      <c r="R2355" s="1" t="s">
        <v>31</v>
      </c>
      <c r="S2355" s="3" t="n">
        <v>3</v>
      </c>
      <c r="T2355" s="3" t="n">
        <v>0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f aca="false">SUM(S2355:T2355)</f>
        <v>3</v>
      </c>
      <c r="Z2355" s="3" t="n">
        <f aca="false">SUM(U2355:W2355)</f>
        <v>0</v>
      </c>
      <c r="AA2355" s="3" t="n">
        <f aca="false">SUM(S2355:X2355)</f>
        <v>3</v>
      </c>
      <c r="AB2355" s="11" t="n">
        <f aca="false">(AA2355/(K2355*L2355)*25)*4</f>
        <v>12</v>
      </c>
    </row>
    <row r="2356" customFormat="false" ht="14.25" hidden="false" customHeight="false" outlineLevel="0" collapsed="false">
      <c r="A2356" s="1" t="n">
        <v>2014</v>
      </c>
      <c r="B2356" s="7" t="s">
        <v>322</v>
      </c>
      <c r="C2356" s="7" t="n">
        <v>2</v>
      </c>
      <c r="D2356" s="7" t="s">
        <v>294</v>
      </c>
      <c r="E2356" s="7" t="s">
        <v>294</v>
      </c>
      <c r="F2356" s="3" t="s">
        <v>326</v>
      </c>
      <c r="G2356" s="3" t="n">
        <v>1</v>
      </c>
      <c r="H2356" s="3" t="n">
        <v>4</v>
      </c>
      <c r="I2356" s="22" t="n">
        <v>41793</v>
      </c>
      <c r="J2356" s="22" t="n">
        <v>41798</v>
      </c>
      <c r="K2356" s="43" t="n">
        <f aca="false">J2356-I2356</f>
        <v>5</v>
      </c>
      <c r="L2356" s="1" t="n">
        <v>5</v>
      </c>
      <c r="M2356" s="3" t="s">
        <v>48</v>
      </c>
      <c r="N2356" s="3" t="s">
        <v>49</v>
      </c>
      <c r="O2356" s="3" t="s">
        <v>104</v>
      </c>
      <c r="P2356" s="2" t="str">
        <f aca="false">CONCATENATE(N2356," ",O2356)</f>
        <v>Alopecosa taeniata</v>
      </c>
      <c r="Q2356" s="1" t="s">
        <v>30</v>
      </c>
      <c r="R2356" s="1" t="s">
        <v>31</v>
      </c>
      <c r="S2356" s="3" t="n">
        <v>2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f aca="false">SUM(S2356:T2356)</f>
        <v>2</v>
      </c>
      <c r="Z2356" s="3" t="n">
        <f aca="false">SUM(U2356:W2356)</f>
        <v>0</v>
      </c>
      <c r="AA2356" s="3" t="n">
        <f aca="false">SUM(S2356:X2356)</f>
        <v>2</v>
      </c>
      <c r="AB2356" s="11" t="n">
        <f aca="false">(AA2356/(K2356*L2356)*25)*4</f>
        <v>8</v>
      </c>
    </row>
    <row r="2357" customFormat="false" ht="14.25" hidden="false" customHeight="false" outlineLevel="0" collapsed="false">
      <c r="A2357" s="1" t="n">
        <v>2014</v>
      </c>
      <c r="B2357" s="7" t="s">
        <v>322</v>
      </c>
      <c r="C2357" s="7" t="n">
        <v>2</v>
      </c>
      <c r="D2357" s="7" t="s">
        <v>294</v>
      </c>
      <c r="E2357" s="7" t="s">
        <v>294</v>
      </c>
      <c r="F2357" s="3" t="s">
        <v>326</v>
      </c>
      <c r="G2357" s="3" t="n">
        <v>1</v>
      </c>
      <c r="H2357" s="3" t="n">
        <v>4</v>
      </c>
      <c r="I2357" s="22" t="n">
        <v>41793</v>
      </c>
      <c r="J2357" s="22" t="n">
        <v>41798</v>
      </c>
      <c r="K2357" s="43" t="n">
        <f aca="false">J2357-I2357</f>
        <v>5</v>
      </c>
      <c r="L2357" s="1" t="n">
        <v>5</v>
      </c>
      <c r="M2357" s="3" t="s">
        <v>48</v>
      </c>
      <c r="N2357" s="3" t="s">
        <v>49</v>
      </c>
      <c r="O2357" s="3" t="s">
        <v>223</v>
      </c>
      <c r="P2357" s="2" t="str">
        <f aca="false">CONCATENATE(N2357," ",O2357)</f>
        <v>Alopecosa pulverulenta</v>
      </c>
      <c r="Q2357" s="1" t="s">
        <v>30</v>
      </c>
      <c r="R2357" s="1" t="s">
        <v>31</v>
      </c>
      <c r="S2357" s="3" t="n">
        <v>1</v>
      </c>
      <c r="T2357" s="3" t="n">
        <v>0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f aca="false">SUM(S2357:T2357)</f>
        <v>1</v>
      </c>
      <c r="Z2357" s="3" t="n">
        <f aca="false">SUM(U2357:W2357)</f>
        <v>0</v>
      </c>
      <c r="AA2357" s="3" t="n">
        <f aca="false">SUM(S2357:X2357)</f>
        <v>1</v>
      </c>
      <c r="AB2357" s="11" t="n">
        <f aca="false">(AA2357/(K2357*L2357)*25)*4</f>
        <v>4</v>
      </c>
    </row>
    <row r="2358" customFormat="false" ht="14.25" hidden="false" customHeight="false" outlineLevel="0" collapsed="false">
      <c r="A2358" s="1" t="n">
        <v>2014</v>
      </c>
      <c r="B2358" s="7" t="s">
        <v>322</v>
      </c>
      <c r="C2358" s="7" t="n">
        <v>2</v>
      </c>
      <c r="D2358" s="7" t="s">
        <v>294</v>
      </c>
      <c r="E2358" s="7" t="s">
        <v>294</v>
      </c>
      <c r="F2358" s="3" t="s">
        <v>326</v>
      </c>
      <c r="G2358" s="3" t="n">
        <v>2</v>
      </c>
      <c r="H2358" s="3" t="n">
        <v>7</v>
      </c>
      <c r="I2358" s="22" t="n">
        <v>41793</v>
      </c>
      <c r="J2358" s="22" t="n">
        <v>41798</v>
      </c>
      <c r="K2358" s="43" t="n">
        <f aca="false">J2358-I2358</f>
        <v>5</v>
      </c>
      <c r="L2358" s="1" t="n">
        <v>5</v>
      </c>
      <c r="M2358" s="3" t="s">
        <v>36</v>
      </c>
      <c r="N2358" s="3" t="s">
        <v>131</v>
      </c>
      <c r="O2358" s="3" t="s">
        <v>229</v>
      </c>
      <c r="P2358" s="2" t="str">
        <f aca="false">CONCATENATE(N2358," ",O2358)</f>
        <v>Xysticus emertoni</v>
      </c>
      <c r="Q2358" s="1" t="s">
        <v>30</v>
      </c>
      <c r="R2358" s="1" t="s">
        <v>31</v>
      </c>
      <c r="S2358" s="3" t="n">
        <v>2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f aca="false">SUM(S2358:T2358)</f>
        <v>2</v>
      </c>
      <c r="Z2358" s="3" t="n">
        <f aca="false">SUM(U2358:W2358)</f>
        <v>0</v>
      </c>
      <c r="AA2358" s="3" t="n">
        <f aca="false">SUM(S2358:X2358)</f>
        <v>2</v>
      </c>
      <c r="AB2358" s="11" t="n">
        <f aca="false">(AA2358/(K2358*L2358)*25)*4</f>
        <v>8</v>
      </c>
    </row>
    <row r="2359" customFormat="false" ht="14.25" hidden="false" customHeight="false" outlineLevel="0" collapsed="false">
      <c r="A2359" s="1" t="n">
        <v>2014</v>
      </c>
      <c r="B2359" s="7" t="s">
        <v>322</v>
      </c>
      <c r="C2359" s="7" t="n">
        <v>2</v>
      </c>
      <c r="D2359" s="7" t="s">
        <v>294</v>
      </c>
      <c r="E2359" s="7" t="s">
        <v>294</v>
      </c>
      <c r="F2359" s="3" t="s">
        <v>326</v>
      </c>
      <c r="G2359" s="3" t="n">
        <v>2</v>
      </c>
      <c r="H2359" s="3" t="n">
        <v>7</v>
      </c>
      <c r="I2359" s="22" t="n">
        <v>41793</v>
      </c>
      <c r="J2359" s="22" t="n">
        <v>41798</v>
      </c>
      <c r="K2359" s="43" t="n">
        <f aca="false">J2359-I2359</f>
        <v>5</v>
      </c>
      <c r="L2359" s="1" t="n">
        <v>5</v>
      </c>
      <c r="M2359" s="3" t="s">
        <v>36</v>
      </c>
      <c r="N2359" s="3" t="s">
        <v>131</v>
      </c>
      <c r="O2359" s="3" t="s">
        <v>133</v>
      </c>
      <c r="P2359" s="2" t="str">
        <f aca="false">CONCATENATE(N2359," ",O2359)</f>
        <v>Xysticus luctuosus</v>
      </c>
      <c r="Q2359" s="1" t="s">
        <v>30</v>
      </c>
      <c r="R2359" s="1" t="s">
        <v>31</v>
      </c>
      <c r="S2359" s="3" t="n">
        <v>4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f aca="false">SUM(S2359:T2359)</f>
        <v>4</v>
      </c>
      <c r="Z2359" s="3" t="n">
        <f aca="false">SUM(U2359:W2359)</f>
        <v>0</v>
      </c>
      <c r="AA2359" s="3" t="n">
        <f aca="false">SUM(S2359:X2359)</f>
        <v>4</v>
      </c>
      <c r="AB2359" s="11" t="n">
        <f aca="false">(AA2359/(K2359*L2359)*25)*4</f>
        <v>16</v>
      </c>
    </row>
    <row r="2360" customFormat="false" ht="14.25" hidden="false" customHeight="false" outlineLevel="0" collapsed="false">
      <c r="A2360" s="1" t="n">
        <v>2014</v>
      </c>
      <c r="B2360" s="7" t="s">
        <v>322</v>
      </c>
      <c r="C2360" s="7" t="n">
        <v>2</v>
      </c>
      <c r="D2360" s="7" t="s">
        <v>294</v>
      </c>
      <c r="E2360" s="7" t="s">
        <v>294</v>
      </c>
      <c r="F2360" s="3" t="s">
        <v>326</v>
      </c>
      <c r="G2360" s="3" t="n">
        <v>2</v>
      </c>
      <c r="H2360" s="3" t="n">
        <v>7</v>
      </c>
      <c r="I2360" s="22" t="n">
        <v>41793</v>
      </c>
      <c r="J2360" s="22" t="n">
        <v>41798</v>
      </c>
      <c r="K2360" s="43" t="n">
        <f aca="false">J2360-I2360</f>
        <v>5</v>
      </c>
      <c r="L2360" s="1" t="n">
        <v>5</v>
      </c>
      <c r="M2360" s="3" t="s">
        <v>48</v>
      </c>
      <c r="N2360" s="3" t="s">
        <v>49</v>
      </c>
      <c r="O2360" s="3" t="s">
        <v>119</v>
      </c>
      <c r="P2360" s="2" t="str">
        <f aca="false">CONCATENATE(N2360," ",O2360)</f>
        <v>Alopecosa sulzeri</v>
      </c>
      <c r="Q2360" s="1" t="s">
        <v>30</v>
      </c>
      <c r="R2360" s="1" t="s">
        <v>31</v>
      </c>
      <c r="S2360" s="3" t="n">
        <v>2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f aca="false">SUM(S2360:T2360)</f>
        <v>2</v>
      </c>
      <c r="Z2360" s="3" t="n">
        <f aca="false">SUM(U2360:W2360)</f>
        <v>0</v>
      </c>
      <c r="AA2360" s="3" t="n">
        <f aca="false">SUM(S2360:X2360)</f>
        <v>2</v>
      </c>
      <c r="AB2360" s="11" t="n">
        <f aca="false">(AA2360/(K2360*L2360)*25)*4</f>
        <v>8</v>
      </c>
    </row>
    <row r="2361" customFormat="false" ht="14.25" hidden="false" customHeight="false" outlineLevel="0" collapsed="false">
      <c r="A2361" s="1" t="n">
        <v>2014</v>
      </c>
      <c r="B2361" s="7" t="s">
        <v>322</v>
      </c>
      <c r="C2361" s="7" t="n">
        <v>2</v>
      </c>
      <c r="D2361" s="7" t="s">
        <v>294</v>
      </c>
      <c r="E2361" s="7" t="s">
        <v>294</v>
      </c>
      <c r="F2361" s="3" t="s">
        <v>326</v>
      </c>
      <c r="G2361" s="3" t="n">
        <v>2</v>
      </c>
      <c r="H2361" s="3" t="n">
        <v>7</v>
      </c>
      <c r="I2361" s="22" t="n">
        <v>41793</v>
      </c>
      <c r="J2361" s="22" t="n">
        <v>41798</v>
      </c>
      <c r="K2361" s="43" t="n">
        <f aca="false">J2361-I2361</f>
        <v>5</v>
      </c>
      <c r="L2361" s="1" t="n">
        <v>5</v>
      </c>
      <c r="M2361" s="3" t="s">
        <v>48</v>
      </c>
      <c r="N2361" s="3" t="s">
        <v>67</v>
      </c>
      <c r="O2361" s="3" t="s">
        <v>127</v>
      </c>
      <c r="P2361" s="2" t="str">
        <f aca="false">CONCATENATE(N2361," ",O2361)</f>
        <v>Pardosa lugubris</v>
      </c>
      <c r="Q2361" s="1" t="s">
        <v>30</v>
      </c>
      <c r="R2361" s="1" t="s">
        <v>31</v>
      </c>
      <c r="S2361" s="3" t="n">
        <v>2</v>
      </c>
      <c r="T2361" s="3" t="n">
        <v>0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f aca="false">SUM(S2361:T2361)</f>
        <v>2</v>
      </c>
      <c r="Z2361" s="3" t="n">
        <f aca="false">SUM(U2361:W2361)</f>
        <v>0</v>
      </c>
      <c r="AA2361" s="3" t="n">
        <f aca="false">SUM(S2361:X2361)</f>
        <v>2</v>
      </c>
      <c r="AB2361" s="11" t="n">
        <f aca="false">(AA2361/(K2361*L2361)*25)*4</f>
        <v>8</v>
      </c>
    </row>
    <row r="2362" customFormat="false" ht="14.25" hidden="false" customHeight="false" outlineLevel="0" collapsed="false">
      <c r="A2362" s="1" t="n">
        <v>2014</v>
      </c>
      <c r="B2362" s="7" t="s">
        <v>322</v>
      </c>
      <c r="C2362" s="7" t="n">
        <v>2</v>
      </c>
      <c r="D2362" s="7" t="s">
        <v>294</v>
      </c>
      <c r="E2362" s="7" t="s">
        <v>294</v>
      </c>
      <c r="F2362" s="3" t="s">
        <v>326</v>
      </c>
      <c r="G2362" s="3" t="n">
        <v>2</v>
      </c>
      <c r="H2362" s="3" t="n">
        <v>7</v>
      </c>
      <c r="I2362" s="22" t="n">
        <v>41793</v>
      </c>
      <c r="J2362" s="22" t="n">
        <v>41798</v>
      </c>
      <c r="K2362" s="43" t="n">
        <f aca="false">J2362-I2362</f>
        <v>5</v>
      </c>
      <c r="L2362" s="1" t="n">
        <v>5</v>
      </c>
      <c r="M2362" s="3" t="s">
        <v>48</v>
      </c>
      <c r="N2362" s="3" t="s">
        <v>67</v>
      </c>
      <c r="O2362" s="3" t="s">
        <v>127</v>
      </c>
      <c r="P2362" s="2" t="str">
        <f aca="false">CONCATENATE(N2362," ",O2362)</f>
        <v>Pardosa lugubris</v>
      </c>
      <c r="Q2362" s="1" t="s">
        <v>30</v>
      </c>
      <c r="R2362" s="1" t="s">
        <v>35</v>
      </c>
      <c r="S2362" s="3" t="n">
        <v>0</v>
      </c>
      <c r="T2362" s="3" t="n">
        <v>1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f aca="false">SUM(S2362:T2362)</f>
        <v>1</v>
      </c>
      <c r="Z2362" s="3" t="n">
        <f aca="false">SUM(U2362:W2362)</f>
        <v>0</v>
      </c>
      <c r="AA2362" s="3" t="n">
        <f aca="false">SUM(S2362:X2362)</f>
        <v>1</v>
      </c>
      <c r="AB2362" s="11" t="n">
        <f aca="false">(AA2362/(K2362*L2362)*25)*4</f>
        <v>4</v>
      </c>
    </row>
    <row r="2363" customFormat="false" ht="14.25" hidden="false" customHeight="false" outlineLevel="0" collapsed="false">
      <c r="A2363" s="1" t="n">
        <v>2014</v>
      </c>
      <c r="B2363" s="7" t="s">
        <v>322</v>
      </c>
      <c r="C2363" s="7" t="n">
        <v>2</v>
      </c>
      <c r="D2363" s="7" t="s">
        <v>294</v>
      </c>
      <c r="E2363" s="7" t="s">
        <v>294</v>
      </c>
      <c r="F2363" s="3" t="s">
        <v>326</v>
      </c>
      <c r="G2363" s="3" t="n">
        <v>2</v>
      </c>
      <c r="H2363" s="3" t="n">
        <v>7</v>
      </c>
      <c r="I2363" s="22" t="n">
        <v>41793</v>
      </c>
      <c r="J2363" s="22" t="n">
        <v>41798</v>
      </c>
      <c r="K2363" s="43" t="n">
        <f aca="false">J2363-I2363</f>
        <v>5</v>
      </c>
      <c r="L2363" s="1" t="n">
        <v>5</v>
      </c>
      <c r="M2363" s="3" t="s">
        <v>32</v>
      </c>
      <c r="N2363" s="3" t="s">
        <v>96</v>
      </c>
      <c r="O2363" s="3" t="s">
        <v>97</v>
      </c>
      <c r="P2363" s="2" t="str">
        <f aca="false">CONCATENATE(N2363," ",O2363)</f>
        <v>Diplocephalus picinus</v>
      </c>
      <c r="Q2363" s="1" t="s">
        <v>30</v>
      </c>
      <c r="R2363" s="1" t="s">
        <v>31</v>
      </c>
      <c r="S2363" s="3" t="n">
        <v>1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f aca="false">SUM(S2363:T2363)</f>
        <v>1</v>
      </c>
      <c r="Z2363" s="3" t="n">
        <f aca="false">SUM(U2363:W2363)</f>
        <v>0</v>
      </c>
      <c r="AA2363" s="3" t="n">
        <f aca="false">SUM(S2363:X2363)</f>
        <v>1</v>
      </c>
      <c r="AB2363" s="11" t="n">
        <f aca="false">(AA2363/(K2363*L2363)*25)*4</f>
        <v>4</v>
      </c>
    </row>
    <row r="2364" customFormat="false" ht="14.25" hidden="false" customHeight="false" outlineLevel="0" collapsed="false">
      <c r="A2364" s="1" t="n">
        <v>2014</v>
      </c>
      <c r="B2364" s="7" t="s">
        <v>322</v>
      </c>
      <c r="C2364" s="7" t="n">
        <v>2</v>
      </c>
      <c r="D2364" s="7" t="s">
        <v>294</v>
      </c>
      <c r="E2364" s="7" t="s">
        <v>294</v>
      </c>
      <c r="F2364" s="3" t="s">
        <v>51</v>
      </c>
      <c r="G2364" s="3" t="n">
        <v>2</v>
      </c>
      <c r="H2364" s="3" t="n">
        <v>7</v>
      </c>
      <c r="I2364" s="22" t="n">
        <v>41794</v>
      </c>
      <c r="J2364" s="22" t="n">
        <v>41799</v>
      </c>
      <c r="K2364" s="43" t="n">
        <f aca="false">J2364-I2364</f>
        <v>5</v>
      </c>
      <c r="L2364" s="1" t="n">
        <v>5</v>
      </c>
      <c r="M2364" s="3" t="s">
        <v>48</v>
      </c>
      <c r="N2364" s="3" t="s">
        <v>67</v>
      </c>
      <c r="O2364" s="3" t="s">
        <v>127</v>
      </c>
      <c r="P2364" s="2" t="str">
        <f aca="false">CONCATENATE(N2364," ",O2364)</f>
        <v>Pardosa lugubris</v>
      </c>
      <c r="Q2364" s="1" t="s">
        <v>30</v>
      </c>
      <c r="R2364" s="1" t="s">
        <v>31</v>
      </c>
      <c r="S2364" s="3" t="n">
        <v>10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f aca="false">SUM(S2364:T2364)</f>
        <v>10</v>
      </c>
      <c r="Z2364" s="3" t="n">
        <f aca="false">SUM(U2364:W2364)</f>
        <v>0</v>
      </c>
      <c r="AA2364" s="3" t="n">
        <f aca="false">SUM(S2364:X2364)</f>
        <v>10</v>
      </c>
      <c r="AB2364" s="11" t="n">
        <f aca="false">(AA2364/(K2364*L2364)*25)*4</f>
        <v>40</v>
      </c>
    </row>
    <row r="2365" customFormat="false" ht="14.25" hidden="false" customHeight="false" outlineLevel="0" collapsed="false">
      <c r="A2365" s="1" t="n">
        <v>2014</v>
      </c>
      <c r="B2365" s="7" t="s">
        <v>322</v>
      </c>
      <c r="C2365" s="7" t="n">
        <v>2</v>
      </c>
      <c r="D2365" s="7" t="s">
        <v>294</v>
      </c>
      <c r="E2365" s="7" t="s">
        <v>294</v>
      </c>
      <c r="F2365" s="3" t="s">
        <v>51</v>
      </c>
      <c r="G2365" s="3" t="n">
        <v>2</v>
      </c>
      <c r="H2365" s="3" t="n">
        <v>7</v>
      </c>
      <c r="I2365" s="22" t="n">
        <v>41794</v>
      </c>
      <c r="J2365" s="22" t="n">
        <v>41799</v>
      </c>
      <c r="K2365" s="43" t="n">
        <f aca="false">J2365-I2365</f>
        <v>5</v>
      </c>
      <c r="L2365" s="1" t="n">
        <v>5</v>
      </c>
      <c r="M2365" s="3" t="s">
        <v>48</v>
      </c>
      <c r="N2365" s="3" t="s">
        <v>49</v>
      </c>
      <c r="O2365" s="3" t="s">
        <v>104</v>
      </c>
      <c r="P2365" s="2" t="str">
        <f aca="false">CONCATENATE(N2365," ",O2365)</f>
        <v>Alopecosa taeniata</v>
      </c>
      <c r="Q2365" s="1" t="s">
        <v>30</v>
      </c>
      <c r="R2365" s="1" t="s">
        <v>31</v>
      </c>
      <c r="S2365" s="3" t="n">
        <v>1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f aca="false">SUM(S2365:T2365)</f>
        <v>1</v>
      </c>
      <c r="Z2365" s="3" t="n">
        <f aca="false">SUM(U2365:W2365)</f>
        <v>0</v>
      </c>
      <c r="AA2365" s="3" t="n">
        <f aca="false">SUM(S2365:X2365)</f>
        <v>1</v>
      </c>
      <c r="AB2365" s="11" t="n">
        <f aca="false">(AA2365/(K2365*L2365)*25)*4</f>
        <v>4</v>
      </c>
    </row>
    <row r="2366" customFormat="false" ht="14.25" hidden="false" customHeight="false" outlineLevel="0" collapsed="false">
      <c r="A2366" s="1" t="n">
        <v>2014</v>
      </c>
      <c r="B2366" s="7" t="s">
        <v>322</v>
      </c>
      <c r="C2366" s="7" t="n">
        <v>2</v>
      </c>
      <c r="D2366" s="7" t="s">
        <v>294</v>
      </c>
      <c r="E2366" s="7" t="s">
        <v>294</v>
      </c>
      <c r="F2366" s="3" t="s">
        <v>51</v>
      </c>
      <c r="G2366" s="3" t="n">
        <v>2</v>
      </c>
      <c r="H2366" s="3" t="n">
        <v>7</v>
      </c>
      <c r="I2366" s="22" t="n">
        <v>41794</v>
      </c>
      <c r="J2366" s="22" t="n">
        <v>41799</v>
      </c>
      <c r="K2366" s="43" t="n">
        <f aca="false">J2366-I2366</f>
        <v>5</v>
      </c>
      <c r="L2366" s="1" t="n">
        <v>5</v>
      </c>
      <c r="M2366" s="3" t="s">
        <v>72</v>
      </c>
      <c r="N2366" s="3" t="s">
        <v>73</v>
      </c>
      <c r="O2366" s="3" t="s">
        <v>74</v>
      </c>
      <c r="P2366" s="2" t="str">
        <f aca="false">CONCATENATE(N2366," ",O2366)</f>
        <v>Zelotes subterraneus</v>
      </c>
      <c r="Q2366" s="1" t="s">
        <v>30</v>
      </c>
      <c r="R2366" s="1" t="s">
        <v>31</v>
      </c>
      <c r="S2366" s="3" t="n">
        <v>1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f aca="false">SUM(S2366:T2366)</f>
        <v>1</v>
      </c>
      <c r="Z2366" s="3" t="n">
        <f aca="false">SUM(U2366:W2366)</f>
        <v>0</v>
      </c>
      <c r="AA2366" s="3" t="n">
        <f aca="false">SUM(S2366:X2366)</f>
        <v>1</v>
      </c>
      <c r="AB2366" s="11" t="n">
        <f aca="false">(AA2366/(K2366*L2366)*25)*4</f>
        <v>4</v>
      </c>
    </row>
    <row r="2367" customFormat="false" ht="14.25" hidden="false" customHeight="false" outlineLevel="0" collapsed="false">
      <c r="A2367" s="1" t="n">
        <v>2014</v>
      </c>
      <c r="B2367" s="7" t="s">
        <v>322</v>
      </c>
      <c r="C2367" s="7" t="n">
        <v>2</v>
      </c>
      <c r="D2367" s="7" t="s">
        <v>294</v>
      </c>
      <c r="E2367" s="7" t="s">
        <v>294</v>
      </c>
      <c r="F2367" s="3" t="s">
        <v>51</v>
      </c>
      <c r="G2367" s="3" t="n">
        <v>2</v>
      </c>
      <c r="H2367" s="3" t="n">
        <v>7</v>
      </c>
      <c r="I2367" s="22" t="n">
        <v>41794</v>
      </c>
      <c r="J2367" s="22" t="n">
        <v>41799</v>
      </c>
      <c r="K2367" s="43" t="n">
        <f aca="false">J2367-I2367</f>
        <v>5</v>
      </c>
      <c r="L2367" s="1" t="n">
        <v>5</v>
      </c>
      <c r="M2367" s="3" t="s">
        <v>72</v>
      </c>
      <c r="N2367" s="3" t="s">
        <v>86</v>
      </c>
      <c r="O2367" s="3" t="s">
        <v>87</v>
      </c>
      <c r="P2367" s="2" t="str">
        <f aca="false">CONCATENATE(N2367," ",O2367)</f>
        <v>Haplodrassus soerenseni</v>
      </c>
      <c r="Q2367" s="1" t="s">
        <v>30</v>
      </c>
      <c r="R2367" s="1" t="s">
        <v>31</v>
      </c>
      <c r="S2367" s="3" t="n">
        <v>1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f aca="false">SUM(S2367:T2367)</f>
        <v>1</v>
      </c>
      <c r="Z2367" s="3" t="n">
        <f aca="false">SUM(U2367:W2367)</f>
        <v>0</v>
      </c>
      <c r="AA2367" s="3" t="n">
        <f aca="false">SUM(S2367:X2367)</f>
        <v>1</v>
      </c>
      <c r="AB2367" s="11" t="n">
        <f aca="false">(AA2367/(K2367*L2367)*25)*4</f>
        <v>4</v>
      </c>
    </row>
    <row r="2368" customFormat="false" ht="14.25" hidden="false" customHeight="false" outlineLevel="0" collapsed="false">
      <c r="A2368" s="1" t="n">
        <v>2014</v>
      </c>
      <c r="B2368" s="7" t="s">
        <v>322</v>
      </c>
      <c r="C2368" s="7" t="n">
        <v>2</v>
      </c>
      <c r="D2368" s="7" t="s">
        <v>294</v>
      </c>
      <c r="E2368" s="7" t="s">
        <v>294</v>
      </c>
      <c r="F2368" s="3" t="s">
        <v>51</v>
      </c>
      <c r="G2368" s="3" t="n">
        <v>2</v>
      </c>
      <c r="H2368" s="3" t="n">
        <v>7</v>
      </c>
      <c r="I2368" s="22" t="n">
        <v>41794</v>
      </c>
      <c r="J2368" s="22" t="n">
        <v>41799</v>
      </c>
      <c r="K2368" s="43" t="n">
        <f aca="false">J2368-I2368</f>
        <v>5</v>
      </c>
      <c r="L2368" s="1" t="n">
        <v>5</v>
      </c>
      <c r="M2368" s="3" t="s">
        <v>72</v>
      </c>
      <c r="N2368" s="3" t="s">
        <v>86</v>
      </c>
      <c r="O2368" s="3" t="s">
        <v>87</v>
      </c>
      <c r="P2368" s="2" t="str">
        <f aca="false">CONCATENATE(N2368," ",O2368)</f>
        <v>Haplodrassus soerenseni</v>
      </c>
      <c r="Q2368" s="1" t="s">
        <v>30</v>
      </c>
      <c r="R2368" s="1" t="s">
        <v>35</v>
      </c>
      <c r="S2368" s="3" t="n">
        <v>0</v>
      </c>
      <c r="T2368" s="3" t="n">
        <v>1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f aca="false">SUM(S2368:T2368)</f>
        <v>1</v>
      </c>
      <c r="Z2368" s="3" t="n">
        <f aca="false">SUM(U2368:W2368)</f>
        <v>0</v>
      </c>
      <c r="AA2368" s="3" t="n">
        <f aca="false">SUM(S2368:X2368)</f>
        <v>1</v>
      </c>
      <c r="AB2368" s="11" t="n">
        <f aca="false">(AA2368/(K2368*L2368)*25)*4</f>
        <v>4</v>
      </c>
    </row>
    <row r="2369" customFormat="false" ht="14.25" hidden="false" customHeight="false" outlineLevel="0" collapsed="false">
      <c r="A2369" s="1" t="n">
        <v>2014</v>
      </c>
      <c r="B2369" s="7" t="s">
        <v>322</v>
      </c>
      <c r="C2369" s="7" t="n">
        <v>2</v>
      </c>
      <c r="D2369" s="7" t="s">
        <v>294</v>
      </c>
      <c r="E2369" s="7" t="s">
        <v>294</v>
      </c>
      <c r="F2369" s="3" t="s">
        <v>51</v>
      </c>
      <c r="G2369" s="3" t="n">
        <v>2</v>
      </c>
      <c r="H2369" s="3" t="n">
        <v>7</v>
      </c>
      <c r="I2369" s="22" t="n">
        <v>41794</v>
      </c>
      <c r="J2369" s="22" t="n">
        <v>41799</v>
      </c>
      <c r="K2369" s="43" t="n">
        <f aca="false">J2369-I2369</f>
        <v>5</v>
      </c>
      <c r="L2369" s="1" t="n">
        <v>5</v>
      </c>
      <c r="M2369" s="3" t="s">
        <v>36</v>
      </c>
      <c r="N2369" s="3" t="s">
        <v>37</v>
      </c>
      <c r="O2369" s="3" t="s">
        <v>75</v>
      </c>
      <c r="P2369" s="2" t="str">
        <f aca="false">CONCATENATE(N2369," ",O2369)</f>
        <v>Ozyptila praticola</v>
      </c>
      <c r="Q2369" s="1" t="s">
        <v>30</v>
      </c>
      <c r="R2369" s="1" t="s">
        <v>31</v>
      </c>
      <c r="S2369" s="3" t="n">
        <v>1</v>
      </c>
      <c r="T2369" s="3" t="n">
        <v>0</v>
      </c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f aca="false">SUM(S2369:T2369)</f>
        <v>1</v>
      </c>
      <c r="Z2369" s="3" t="n">
        <f aca="false">SUM(U2369:W2369)</f>
        <v>0</v>
      </c>
      <c r="AA2369" s="3" t="n">
        <f aca="false">SUM(S2369:X2369)</f>
        <v>1</v>
      </c>
      <c r="AB2369" s="11" t="n">
        <f aca="false">(AA2369/(K2369*L2369)*25)*4</f>
        <v>4</v>
      </c>
    </row>
    <row r="2370" customFormat="false" ht="14.25" hidden="false" customHeight="false" outlineLevel="0" collapsed="false">
      <c r="A2370" s="1" t="n">
        <v>2014</v>
      </c>
      <c r="B2370" s="7" t="s">
        <v>322</v>
      </c>
      <c r="C2370" s="7" t="n">
        <v>2</v>
      </c>
      <c r="D2370" s="7" t="s">
        <v>294</v>
      </c>
      <c r="E2370" s="7" t="s">
        <v>294</v>
      </c>
      <c r="F2370" s="3" t="s">
        <v>51</v>
      </c>
      <c r="G2370" s="3" t="n">
        <v>2</v>
      </c>
      <c r="H2370" s="3" t="n">
        <v>7</v>
      </c>
      <c r="I2370" s="22" t="n">
        <v>41794</v>
      </c>
      <c r="J2370" s="22" t="n">
        <v>41799</v>
      </c>
      <c r="K2370" s="43" t="n">
        <f aca="false">J2370-I2370</f>
        <v>5</v>
      </c>
      <c r="L2370" s="1" t="n">
        <v>5</v>
      </c>
      <c r="M2370" s="3" t="s">
        <v>32</v>
      </c>
      <c r="N2370" s="3" t="s">
        <v>154</v>
      </c>
      <c r="O2370" s="3" t="s">
        <v>155</v>
      </c>
      <c r="P2370" s="2" t="str">
        <f aca="false">CONCATENATE(N2370," ",O2370)</f>
        <v>Pocadicnemis pumila</v>
      </c>
      <c r="Q2370" s="1" t="s">
        <v>30</v>
      </c>
      <c r="R2370" s="1" t="s">
        <v>31</v>
      </c>
      <c r="S2370" s="3" t="n">
        <v>2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f aca="false">SUM(S2370:T2370)</f>
        <v>2</v>
      </c>
      <c r="Z2370" s="3" t="n">
        <f aca="false">SUM(U2370:W2370)</f>
        <v>0</v>
      </c>
      <c r="AA2370" s="3" t="n">
        <f aca="false">SUM(S2370:X2370)</f>
        <v>2</v>
      </c>
      <c r="AB2370" s="11" t="n">
        <f aca="false">(AA2370/(K2370*L2370)*25)*4</f>
        <v>8</v>
      </c>
    </row>
    <row r="2371" customFormat="false" ht="14.25" hidden="false" customHeight="false" outlineLevel="0" collapsed="false">
      <c r="A2371" s="1" t="n">
        <v>2014</v>
      </c>
      <c r="B2371" s="7" t="s">
        <v>322</v>
      </c>
      <c r="C2371" s="7" t="n">
        <v>2</v>
      </c>
      <c r="D2371" s="7" t="s">
        <v>294</v>
      </c>
      <c r="E2371" s="7" t="s">
        <v>294</v>
      </c>
      <c r="F2371" s="3" t="s">
        <v>51</v>
      </c>
      <c r="G2371" s="3" t="n">
        <v>1</v>
      </c>
      <c r="H2371" s="3" t="n">
        <v>4</v>
      </c>
      <c r="I2371" s="22" t="n">
        <v>41794</v>
      </c>
      <c r="J2371" s="22" t="n">
        <v>41799</v>
      </c>
      <c r="K2371" s="43" t="n">
        <f aca="false">J2371-I2371</f>
        <v>5</v>
      </c>
      <c r="L2371" s="1" t="n">
        <v>5</v>
      </c>
      <c r="M2371" s="3" t="s">
        <v>48</v>
      </c>
      <c r="N2371" s="3" t="s">
        <v>67</v>
      </c>
      <c r="O2371" s="3" t="s">
        <v>127</v>
      </c>
      <c r="P2371" s="2" t="str">
        <f aca="false">CONCATENATE(N2371," ",O2371)</f>
        <v>Pardosa lugubris</v>
      </c>
      <c r="Q2371" s="1" t="s">
        <v>30</v>
      </c>
      <c r="R2371" s="1" t="s">
        <v>31</v>
      </c>
      <c r="S2371" s="3" t="n">
        <v>7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f aca="false">SUM(S2371:T2371)</f>
        <v>7</v>
      </c>
      <c r="Z2371" s="3" t="n">
        <f aca="false">SUM(U2371:W2371)</f>
        <v>0</v>
      </c>
      <c r="AA2371" s="3" t="n">
        <f aca="false">SUM(S2371:X2371)</f>
        <v>7</v>
      </c>
      <c r="AB2371" s="11" t="n">
        <f aca="false">(AA2371/(K2371*L2371)*25)*4</f>
        <v>28</v>
      </c>
    </row>
    <row r="2372" customFormat="false" ht="14.25" hidden="false" customHeight="false" outlineLevel="0" collapsed="false">
      <c r="A2372" s="1" t="n">
        <v>2014</v>
      </c>
      <c r="B2372" s="7" t="s">
        <v>322</v>
      </c>
      <c r="C2372" s="7" t="n">
        <v>2</v>
      </c>
      <c r="D2372" s="7" t="s">
        <v>294</v>
      </c>
      <c r="E2372" s="7" t="s">
        <v>294</v>
      </c>
      <c r="F2372" s="3" t="s">
        <v>51</v>
      </c>
      <c r="G2372" s="3" t="n">
        <v>1</v>
      </c>
      <c r="H2372" s="3" t="n">
        <v>4</v>
      </c>
      <c r="I2372" s="22" t="n">
        <v>41794</v>
      </c>
      <c r="J2372" s="22" t="n">
        <v>41799</v>
      </c>
      <c r="K2372" s="43" t="n">
        <f aca="false">J2372-I2372</f>
        <v>5</v>
      </c>
      <c r="L2372" s="1" t="n">
        <v>5</v>
      </c>
      <c r="M2372" s="3" t="s">
        <v>48</v>
      </c>
      <c r="N2372" s="3" t="s">
        <v>49</v>
      </c>
      <c r="O2372" s="3" t="s">
        <v>104</v>
      </c>
      <c r="P2372" s="2" t="str">
        <f aca="false">CONCATENATE(N2372," ",O2372)</f>
        <v>Alopecosa taeniata</v>
      </c>
      <c r="Q2372" s="1" t="s">
        <v>30</v>
      </c>
      <c r="R2372" s="1" t="s">
        <v>31</v>
      </c>
      <c r="S2372" s="3" t="n">
        <v>1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f aca="false">SUM(S2372:T2372)</f>
        <v>1</v>
      </c>
      <c r="Z2372" s="3" t="n">
        <f aca="false">SUM(U2372:W2372)</f>
        <v>0</v>
      </c>
      <c r="AA2372" s="3" t="n">
        <f aca="false">SUM(S2372:X2372)</f>
        <v>1</v>
      </c>
      <c r="AB2372" s="11" t="n">
        <f aca="false">(AA2372/(K2372*L2372)*25)*4</f>
        <v>4</v>
      </c>
    </row>
    <row r="2373" customFormat="false" ht="14.25" hidden="false" customHeight="false" outlineLevel="0" collapsed="false">
      <c r="A2373" s="1" t="n">
        <v>2014</v>
      </c>
      <c r="B2373" s="7" t="s">
        <v>322</v>
      </c>
      <c r="C2373" s="7" t="n">
        <v>2</v>
      </c>
      <c r="D2373" s="7" t="s">
        <v>294</v>
      </c>
      <c r="E2373" s="7" t="s">
        <v>294</v>
      </c>
      <c r="F2373" s="3" t="s">
        <v>51</v>
      </c>
      <c r="G2373" s="3" t="n">
        <v>1</v>
      </c>
      <c r="H2373" s="3" t="n">
        <v>4</v>
      </c>
      <c r="I2373" s="22" t="n">
        <v>41794</v>
      </c>
      <c r="J2373" s="22" t="n">
        <v>41799</v>
      </c>
      <c r="K2373" s="43" t="n">
        <f aca="false">J2373-I2373</f>
        <v>5</v>
      </c>
      <c r="L2373" s="1" t="n">
        <v>5</v>
      </c>
      <c r="M2373" s="3" t="s">
        <v>48</v>
      </c>
      <c r="N2373" s="3" t="s">
        <v>49</v>
      </c>
      <c r="O2373" s="3" t="s">
        <v>104</v>
      </c>
      <c r="P2373" s="2" t="str">
        <f aca="false">CONCATENATE(N2373," ",O2373)</f>
        <v>Alopecosa taeniata</v>
      </c>
      <c r="Q2373" s="1" t="s">
        <v>30</v>
      </c>
      <c r="R2373" s="1" t="s">
        <v>35</v>
      </c>
      <c r="S2373" s="3" t="n">
        <v>0</v>
      </c>
      <c r="T2373" s="3" t="n">
        <v>1</v>
      </c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f aca="false">SUM(S2373:T2373)</f>
        <v>1</v>
      </c>
      <c r="Z2373" s="3" t="n">
        <f aca="false">SUM(U2373:W2373)</f>
        <v>0</v>
      </c>
      <c r="AA2373" s="3" t="n">
        <f aca="false">SUM(S2373:X2373)</f>
        <v>1</v>
      </c>
      <c r="AB2373" s="11" t="n">
        <f aca="false">(AA2373/(K2373*L2373)*25)*4</f>
        <v>4</v>
      </c>
    </row>
    <row r="2374" customFormat="false" ht="14.25" hidden="false" customHeight="false" outlineLevel="0" collapsed="false">
      <c r="A2374" s="1" t="n">
        <v>2014</v>
      </c>
      <c r="B2374" s="7" t="s">
        <v>322</v>
      </c>
      <c r="C2374" s="7" t="n">
        <v>2</v>
      </c>
      <c r="D2374" s="7" t="s">
        <v>294</v>
      </c>
      <c r="E2374" s="7" t="s">
        <v>294</v>
      </c>
      <c r="F2374" s="3" t="s">
        <v>51</v>
      </c>
      <c r="G2374" s="3" t="n">
        <v>1</v>
      </c>
      <c r="H2374" s="3" t="n">
        <v>4</v>
      </c>
      <c r="I2374" s="22" t="n">
        <v>41794</v>
      </c>
      <c r="J2374" s="22" t="n">
        <v>41799</v>
      </c>
      <c r="K2374" s="43" t="n">
        <f aca="false">J2374-I2374</f>
        <v>5</v>
      </c>
      <c r="L2374" s="1" t="n">
        <v>5</v>
      </c>
      <c r="M2374" s="3" t="s">
        <v>226</v>
      </c>
      <c r="N2374" s="3" t="s">
        <v>65</v>
      </c>
      <c r="O2374" s="3" t="s">
        <v>123</v>
      </c>
      <c r="P2374" s="2" t="str">
        <f aca="false">CONCATENATE(N2374," ",O2374)</f>
        <v>Zora nemoralis</v>
      </c>
      <c r="Q2374" s="1" t="s">
        <v>30</v>
      </c>
      <c r="R2374" s="1" t="s">
        <v>31</v>
      </c>
      <c r="S2374" s="3" t="n">
        <v>2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f aca="false">SUM(S2374:T2374)</f>
        <v>2</v>
      </c>
      <c r="Z2374" s="3" t="n">
        <f aca="false">SUM(U2374:W2374)</f>
        <v>0</v>
      </c>
      <c r="AA2374" s="3" t="n">
        <f aca="false">SUM(S2374:X2374)</f>
        <v>2</v>
      </c>
      <c r="AB2374" s="11" t="n">
        <f aca="false">(AA2374/(K2374*L2374)*25)*4</f>
        <v>8</v>
      </c>
    </row>
    <row r="2375" customFormat="false" ht="14.25" hidden="false" customHeight="false" outlineLevel="0" collapsed="false">
      <c r="A2375" s="1" t="n">
        <v>2014</v>
      </c>
      <c r="B2375" s="7" t="s">
        <v>322</v>
      </c>
      <c r="C2375" s="7" t="n">
        <v>2</v>
      </c>
      <c r="D2375" s="7" t="s">
        <v>294</v>
      </c>
      <c r="E2375" s="7" t="s">
        <v>294</v>
      </c>
      <c r="F2375" s="3" t="s">
        <v>51</v>
      </c>
      <c r="G2375" s="3" t="n">
        <v>1</v>
      </c>
      <c r="H2375" s="3" t="n">
        <v>4</v>
      </c>
      <c r="I2375" s="22" t="n">
        <v>41794</v>
      </c>
      <c r="J2375" s="22" t="n">
        <v>41799</v>
      </c>
      <c r="K2375" s="43" t="n">
        <f aca="false">J2375-I2375</f>
        <v>5</v>
      </c>
      <c r="L2375" s="1" t="n">
        <v>5</v>
      </c>
      <c r="M2375" s="3" t="s">
        <v>27</v>
      </c>
      <c r="N2375" s="3" t="s">
        <v>46</v>
      </c>
      <c r="O2375" s="3" t="s">
        <v>47</v>
      </c>
      <c r="P2375" s="2" t="str">
        <f aca="false">CONCATENATE(N2375," ",O2375)</f>
        <v>Euryopis flavomaculata</v>
      </c>
      <c r="Q2375" s="1" t="s">
        <v>30</v>
      </c>
      <c r="R2375" s="1" t="s">
        <v>31</v>
      </c>
      <c r="S2375" s="3" t="n">
        <v>1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f aca="false">SUM(S2375:T2375)</f>
        <v>1</v>
      </c>
      <c r="Z2375" s="3" t="n">
        <f aca="false">SUM(U2375:W2375)</f>
        <v>0</v>
      </c>
      <c r="AA2375" s="3" t="n">
        <f aca="false">SUM(S2375:X2375)</f>
        <v>1</v>
      </c>
      <c r="AB2375" s="11" t="n">
        <f aca="false">(AA2375/(K2375*L2375)*25)*4</f>
        <v>4</v>
      </c>
    </row>
    <row r="2376" customFormat="false" ht="14.25" hidden="false" customHeight="false" outlineLevel="0" collapsed="false">
      <c r="A2376" s="1" t="n">
        <v>2014</v>
      </c>
      <c r="B2376" s="7" t="s">
        <v>322</v>
      </c>
      <c r="C2376" s="7" t="n">
        <v>2</v>
      </c>
      <c r="D2376" s="7" t="s">
        <v>294</v>
      </c>
      <c r="E2376" s="7" t="s">
        <v>294</v>
      </c>
      <c r="F2376" s="3" t="s">
        <v>51</v>
      </c>
      <c r="G2376" s="3" t="n">
        <v>1</v>
      </c>
      <c r="H2376" s="3" t="n">
        <v>4</v>
      </c>
      <c r="I2376" s="22" t="n">
        <v>41794</v>
      </c>
      <c r="J2376" s="22" t="n">
        <v>41799</v>
      </c>
      <c r="K2376" s="43" t="n">
        <f aca="false">J2376-I2376</f>
        <v>5</v>
      </c>
      <c r="L2376" s="1" t="n">
        <v>5</v>
      </c>
      <c r="M2376" s="3" t="s">
        <v>36</v>
      </c>
      <c r="N2376" s="3" t="s">
        <v>131</v>
      </c>
      <c r="O2376" s="3" t="s">
        <v>133</v>
      </c>
      <c r="P2376" s="2" t="str">
        <f aca="false">CONCATENATE(N2376," ",O2376)</f>
        <v>Xysticus luctuosus</v>
      </c>
      <c r="Q2376" s="1" t="s">
        <v>30</v>
      </c>
      <c r="R2376" s="1" t="s">
        <v>31</v>
      </c>
      <c r="S2376" s="3" t="n">
        <v>1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f aca="false">SUM(S2376:T2376)</f>
        <v>1</v>
      </c>
      <c r="Z2376" s="3" t="n">
        <f aca="false">SUM(U2376:W2376)</f>
        <v>0</v>
      </c>
      <c r="AA2376" s="3" t="n">
        <f aca="false">SUM(S2376:X2376)</f>
        <v>1</v>
      </c>
      <c r="AB2376" s="11" t="n">
        <f aca="false">(AA2376/(K2376*L2376)*25)*4</f>
        <v>4</v>
      </c>
    </row>
    <row r="2377" customFormat="false" ht="14.25" hidden="false" customHeight="false" outlineLevel="0" collapsed="false">
      <c r="A2377" s="1" t="n">
        <v>2014</v>
      </c>
      <c r="B2377" s="7" t="s">
        <v>322</v>
      </c>
      <c r="C2377" s="7" t="n">
        <v>2</v>
      </c>
      <c r="D2377" s="7" t="s">
        <v>294</v>
      </c>
      <c r="E2377" s="7" t="s">
        <v>294</v>
      </c>
      <c r="F2377" s="3" t="s">
        <v>51</v>
      </c>
      <c r="G2377" s="3" t="n">
        <v>1</v>
      </c>
      <c r="H2377" s="3" t="n">
        <v>4</v>
      </c>
      <c r="I2377" s="22" t="n">
        <v>41794</v>
      </c>
      <c r="J2377" s="22" t="n">
        <v>41799</v>
      </c>
      <c r="K2377" s="43" t="n">
        <f aca="false">J2377-I2377</f>
        <v>5</v>
      </c>
      <c r="L2377" s="1" t="n">
        <v>5</v>
      </c>
      <c r="M2377" s="3" t="s">
        <v>36</v>
      </c>
      <c r="N2377" s="3" t="s">
        <v>37</v>
      </c>
      <c r="O2377" s="3" t="s">
        <v>75</v>
      </c>
      <c r="P2377" s="2" t="str">
        <f aca="false">CONCATENATE(N2377," ",O2377)</f>
        <v>Ozyptila praticola</v>
      </c>
      <c r="Q2377" s="1" t="s">
        <v>30</v>
      </c>
      <c r="R2377" s="1" t="s">
        <v>31</v>
      </c>
      <c r="S2377" s="3" t="n">
        <v>2</v>
      </c>
      <c r="T2377" s="3" t="n">
        <v>0</v>
      </c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f aca="false">SUM(S2377:T2377)</f>
        <v>2</v>
      </c>
      <c r="Z2377" s="3" t="n">
        <f aca="false">SUM(U2377:W2377)</f>
        <v>0</v>
      </c>
      <c r="AA2377" s="3" t="n">
        <f aca="false">SUM(S2377:X2377)</f>
        <v>2</v>
      </c>
      <c r="AB2377" s="11" t="n">
        <f aca="false">(AA2377/(K2377*L2377)*25)*4</f>
        <v>8</v>
      </c>
    </row>
    <row r="2378" customFormat="false" ht="14.25" hidden="false" customHeight="false" outlineLevel="0" collapsed="false">
      <c r="A2378" s="1" t="n">
        <v>2014</v>
      </c>
      <c r="B2378" s="7" t="s">
        <v>322</v>
      </c>
      <c r="C2378" s="7" t="n">
        <v>2</v>
      </c>
      <c r="D2378" s="7" t="s">
        <v>294</v>
      </c>
      <c r="E2378" s="7" t="s">
        <v>294</v>
      </c>
      <c r="F2378" s="3" t="s">
        <v>51</v>
      </c>
      <c r="G2378" s="3" t="n">
        <v>1</v>
      </c>
      <c r="H2378" s="3" t="n">
        <v>4</v>
      </c>
      <c r="I2378" s="22" t="n">
        <v>41794</v>
      </c>
      <c r="J2378" s="22" t="n">
        <v>41799</v>
      </c>
      <c r="K2378" s="43" t="n">
        <f aca="false">J2378-I2378</f>
        <v>5</v>
      </c>
      <c r="L2378" s="1" t="n">
        <v>5</v>
      </c>
      <c r="M2378" s="3" t="s">
        <v>72</v>
      </c>
      <c r="N2378" s="3" t="s">
        <v>86</v>
      </c>
      <c r="O2378" s="3" t="s">
        <v>87</v>
      </c>
      <c r="P2378" s="2" t="str">
        <f aca="false">CONCATENATE(N2378," ",O2378)</f>
        <v>Haplodrassus soerenseni</v>
      </c>
      <c r="Q2378" s="1" t="s">
        <v>30</v>
      </c>
      <c r="R2378" s="1" t="s">
        <v>31</v>
      </c>
      <c r="S2378" s="3" t="n">
        <v>1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f aca="false">SUM(S2378:T2378)</f>
        <v>1</v>
      </c>
      <c r="Z2378" s="3" t="n">
        <f aca="false">SUM(U2378:W2378)</f>
        <v>0</v>
      </c>
      <c r="AA2378" s="3" t="n">
        <f aca="false">SUM(S2378:X2378)</f>
        <v>1</v>
      </c>
      <c r="AB2378" s="11" t="n">
        <f aca="false">(AA2378/(K2378*L2378)*25)*4</f>
        <v>4</v>
      </c>
    </row>
    <row r="2379" customFormat="false" ht="14.25" hidden="false" customHeight="false" outlineLevel="0" collapsed="false">
      <c r="A2379" s="1" t="n">
        <v>2014</v>
      </c>
      <c r="B2379" s="7" t="s">
        <v>322</v>
      </c>
      <c r="C2379" s="7" t="n">
        <v>2</v>
      </c>
      <c r="D2379" s="7" t="s">
        <v>294</v>
      </c>
      <c r="E2379" s="7" t="s">
        <v>294</v>
      </c>
      <c r="F2379" s="3" t="s">
        <v>51</v>
      </c>
      <c r="G2379" s="3" t="n">
        <v>1</v>
      </c>
      <c r="H2379" s="3" t="n">
        <v>4</v>
      </c>
      <c r="I2379" s="22" t="n">
        <v>41794</v>
      </c>
      <c r="J2379" s="22" t="n">
        <v>41799</v>
      </c>
      <c r="K2379" s="43" t="n">
        <f aca="false">J2379-I2379</f>
        <v>5</v>
      </c>
      <c r="L2379" s="1" t="n">
        <v>5</v>
      </c>
      <c r="M2379" s="3" t="s">
        <v>72</v>
      </c>
      <c r="N2379" s="3" t="s">
        <v>147</v>
      </c>
      <c r="O2379" s="3" t="s">
        <v>265</v>
      </c>
      <c r="P2379" s="2" t="str">
        <f aca="false">CONCATENATE(N2379," ",O2379)</f>
        <v>Micaria pulicaria</v>
      </c>
      <c r="Q2379" s="1" t="s">
        <v>30</v>
      </c>
      <c r="R2379" s="1" t="s">
        <v>31</v>
      </c>
      <c r="S2379" s="3" t="n">
        <v>1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f aca="false">SUM(S2379:T2379)</f>
        <v>1</v>
      </c>
      <c r="Z2379" s="3" t="n">
        <f aca="false">SUM(U2379:W2379)</f>
        <v>0</v>
      </c>
      <c r="AA2379" s="3" t="n">
        <f aca="false">SUM(S2379:X2379)</f>
        <v>1</v>
      </c>
      <c r="AB2379" s="11" t="n">
        <f aca="false">(AA2379/(K2379*L2379)*25)*4</f>
        <v>4</v>
      </c>
    </row>
    <row r="2380" customFormat="false" ht="14.25" hidden="false" customHeight="false" outlineLevel="0" collapsed="false">
      <c r="A2380" s="1" t="n">
        <v>2014</v>
      </c>
      <c r="B2380" s="7" t="s">
        <v>322</v>
      </c>
      <c r="C2380" s="7" t="n">
        <v>2</v>
      </c>
      <c r="D2380" s="7" t="s">
        <v>294</v>
      </c>
      <c r="E2380" s="7" t="s">
        <v>294</v>
      </c>
      <c r="F2380" s="3" t="s">
        <v>51</v>
      </c>
      <c r="G2380" s="3" t="n">
        <v>2</v>
      </c>
      <c r="H2380" s="3" t="n">
        <v>6</v>
      </c>
      <c r="I2380" s="22" t="n">
        <v>41794</v>
      </c>
      <c r="J2380" s="22" t="n">
        <v>41799</v>
      </c>
      <c r="K2380" s="43" t="n">
        <f aca="false">J2380-I2380</f>
        <v>5</v>
      </c>
      <c r="L2380" s="1" t="n">
        <v>5</v>
      </c>
      <c r="M2380" s="3" t="s">
        <v>48</v>
      </c>
      <c r="N2380" s="3" t="s">
        <v>67</v>
      </c>
      <c r="O2380" s="3" t="s">
        <v>127</v>
      </c>
      <c r="P2380" s="2" t="str">
        <f aca="false">CONCATENATE(N2380," ",O2380)</f>
        <v>Pardosa lugubris</v>
      </c>
      <c r="Q2380" s="1" t="s">
        <v>30</v>
      </c>
      <c r="R2380" s="1" t="s">
        <v>31</v>
      </c>
      <c r="S2380" s="3" t="n">
        <v>17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f aca="false">SUM(S2380:T2380)</f>
        <v>17</v>
      </c>
      <c r="Z2380" s="3" t="n">
        <f aca="false">SUM(U2380:W2380)</f>
        <v>0</v>
      </c>
      <c r="AA2380" s="3" t="n">
        <f aca="false">SUM(S2380:X2380)</f>
        <v>17</v>
      </c>
      <c r="AB2380" s="11" t="n">
        <f aca="false">(AA2380/(K2380*L2380)*25)*4</f>
        <v>68</v>
      </c>
    </row>
    <row r="2381" customFormat="false" ht="14.25" hidden="false" customHeight="false" outlineLevel="0" collapsed="false">
      <c r="A2381" s="1" t="n">
        <v>2014</v>
      </c>
      <c r="B2381" s="7" t="s">
        <v>322</v>
      </c>
      <c r="C2381" s="7" t="n">
        <v>2</v>
      </c>
      <c r="D2381" s="7" t="s">
        <v>294</v>
      </c>
      <c r="E2381" s="7" t="s">
        <v>294</v>
      </c>
      <c r="F2381" s="3" t="s">
        <v>51</v>
      </c>
      <c r="G2381" s="3" t="n">
        <v>2</v>
      </c>
      <c r="H2381" s="3" t="n">
        <v>6</v>
      </c>
      <c r="I2381" s="22" t="n">
        <v>41794</v>
      </c>
      <c r="J2381" s="22" t="n">
        <v>41799</v>
      </c>
      <c r="K2381" s="43" t="n">
        <f aca="false">J2381-I2381</f>
        <v>5</v>
      </c>
      <c r="L2381" s="1" t="n">
        <v>5</v>
      </c>
      <c r="M2381" s="3" t="s">
        <v>48</v>
      </c>
      <c r="N2381" s="3" t="s">
        <v>67</v>
      </c>
      <c r="O2381" s="3" t="s">
        <v>127</v>
      </c>
      <c r="P2381" s="2" t="str">
        <f aca="false">CONCATENATE(N2381," ",O2381)</f>
        <v>Pardosa lugubris</v>
      </c>
      <c r="Q2381" s="1" t="s">
        <v>30</v>
      </c>
      <c r="R2381" s="1" t="s">
        <v>35</v>
      </c>
      <c r="S2381" s="3" t="n">
        <v>0</v>
      </c>
      <c r="T2381" s="3" t="n">
        <v>2</v>
      </c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f aca="false">SUM(S2381:T2381)</f>
        <v>2</v>
      </c>
      <c r="Z2381" s="3" t="n">
        <f aca="false">SUM(U2381:W2381)</f>
        <v>0</v>
      </c>
      <c r="AA2381" s="3" t="n">
        <f aca="false">SUM(S2381:X2381)</f>
        <v>2</v>
      </c>
      <c r="AB2381" s="11" t="n">
        <f aca="false">(AA2381/(K2381*L2381)*25)*4</f>
        <v>8</v>
      </c>
    </row>
    <row r="2382" customFormat="false" ht="14.25" hidden="false" customHeight="false" outlineLevel="0" collapsed="false">
      <c r="A2382" s="1" t="n">
        <v>2014</v>
      </c>
      <c r="B2382" s="7" t="s">
        <v>322</v>
      </c>
      <c r="C2382" s="7" t="n">
        <v>2</v>
      </c>
      <c r="D2382" s="7" t="s">
        <v>294</v>
      </c>
      <c r="E2382" s="7" t="s">
        <v>294</v>
      </c>
      <c r="F2382" s="3" t="s">
        <v>51</v>
      </c>
      <c r="G2382" s="3" t="n">
        <v>2</v>
      </c>
      <c r="H2382" s="3" t="n">
        <v>6</v>
      </c>
      <c r="I2382" s="22" t="n">
        <v>41794</v>
      </c>
      <c r="J2382" s="22" t="n">
        <v>41799</v>
      </c>
      <c r="K2382" s="43" t="n">
        <f aca="false">J2382-I2382</f>
        <v>5</v>
      </c>
      <c r="L2382" s="1" t="n">
        <v>5</v>
      </c>
      <c r="M2382" s="3" t="s">
        <v>48</v>
      </c>
      <c r="N2382" s="3" t="s">
        <v>49</v>
      </c>
      <c r="O2382" s="3" t="s">
        <v>104</v>
      </c>
      <c r="P2382" s="2" t="str">
        <f aca="false">CONCATENATE(N2382," ",O2382)</f>
        <v>Alopecosa taeniata</v>
      </c>
      <c r="Q2382" s="1" t="s">
        <v>30</v>
      </c>
      <c r="R2382" s="1" t="s">
        <v>31</v>
      </c>
      <c r="S2382" s="3" t="n">
        <v>3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f aca="false">SUM(S2382:T2382)</f>
        <v>3</v>
      </c>
      <c r="Z2382" s="3" t="n">
        <f aca="false">SUM(U2382:W2382)</f>
        <v>0</v>
      </c>
      <c r="AA2382" s="3" t="n">
        <f aca="false">SUM(S2382:X2382)</f>
        <v>3</v>
      </c>
      <c r="AB2382" s="11" t="n">
        <f aca="false">(AA2382/(K2382*L2382)*25)*4</f>
        <v>12</v>
      </c>
    </row>
    <row r="2383" customFormat="false" ht="14.25" hidden="false" customHeight="false" outlineLevel="0" collapsed="false">
      <c r="A2383" s="1" t="n">
        <v>2014</v>
      </c>
      <c r="B2383" s="7" t="s">
        <v>322</v>
      </c>
      <c r="C2383" s="7" t="n">
        <v>2</v>
      </c>
      <c r="D2383" s="7" t="s">
        <v>294</v>
      </c>
      <c r="E2383" s="7" t="s">
        <v>294</v>
      </c>
      <c r="F2383" s="3" t="s">
        <v>51</v>
      </c>
      <c r="G2383" s="3" t="n">
        <v>2</v>
      </c>
      <c r="H2383" s="3" t="n">
        <v>6</v>
      </c>
      <c r="I2383" s="22" t="n">
        <v>41794</v>
      </c>
      <c r="J2383" s="22" t="n">
        <v>41799</v>
      </c>
      <c r="K2383" s="43" t="n">
        <f aca="false">J2383-I2383</f>
        <v>5</v>
      </c>
      <c r="L2383" s="1" t="n">
        <v>5</v>
      </c>
      <c r="M2383" s="3" t="s">
        <v>36</v>
      </c>
      <c r="N2383" s="3" t="s">
        <v>37</v>
      </c>
      <c r="O2383" s="3" t="s">
        <v>75</v>
      </c>
      <c r="P2383" s="2" t="str">
        <f aca="false">CONCATENATE(N2383," ",O2383)</f>
        <v>Ozyptila praticola</v>
      </c>
      <c r="Q2383" s="1" t="s">
        <v>30</v>
      </c>
      <c r="R2383" s="1" t="s">
        <v>31</v>
      </c>
      <c r="S2383" s="3" t="n">
        <v>1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f aca="false">SUM(S2383:T2383)</f>
        <v>1</v>
      </c>
      <c r="Z2383" s="3" t="n">
        <f aca="false">SUM(U2383:W2383)</f>
        <v>0</v>
      </c>
      <c r="AA2383" s="3" t="n">
        <f aca="false">SUM(S2383:X2383)</f>
        <v>1</v>
      </c>
      <c r="AB2383" s="11" t="n">
        <f aca="false">(AA2383/(K2383*L2383)*25)*4</f>
        <v>4</v>
      </c>
    </row>
    <row r="2384" customFormat="false" ht="14.25" hidden="false" customHeight="false" outlineLevel="0" collapsed="false">
      <c r="A2384" s="1" t="n">
        <v>2014</v>
      </c>
      <c r="B2384" s="7" t="s">
        <v>322</v>
      </c>
      <c r="C2384" s="7" t="n">
        <v>2</v>
      </c>
      <c r="D2384" s="7" t="s">
        <v>294</v>
      </c>
      <c r="E2384" s="7" t="s">
        <v>294</v>
      </c>
      <c r="F2384" s="3" t="s">
        <v>51</v>
      </c>
      <c r="G2384" s="3" t="n">
        <v>2</v>
      </c>
      <c r="H2384" s="3" t="n">
        <v>6</v>
      </c>
      <c r="I2384" s="22" t="n">
        <v>41794</v>
      </c>
      <c r="J2384" s="22" t="n">
        <v>41799</v>
      </c>
      <c r="K2384" s="43" t="n">
        <f aca="false">J2384-I2384</f>
        <v>5</v>
      </c>
      <c r="L2384" s="1" t="n">
        <v>5</v>
      </c>
      <c r="M2384" s="3" t="s">
        <v>135</v>
      </c>
      <c r="N2384" s="3" t="s">
        <v>136</v>
      </c>
      <c r="O2384" s="3" t="s">
        <v>137</v>
      </c>
      <c r="P2384" s="2" t="str">
        <f aca="false">CONCATENATE(N2384," ",O2384)</f>
        <v>Thanatus sabulosus</v>
      </c>
      <c r="Q2384" s="1" t="s">
        <v>30</v>
      </c>
      <c r="R2384" s="1" t="s">
        <v>35</v>
      </c>
      <c r="S2384" s="3" t="n">
        <v>0</v>
      </c>
      <c r="T2384" s="3" t="n">
        <v>1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f aca="false">SUM(S2384:T2384)</f>
        <v>1</v>
      </c>
      <c r="Z2384" s="3" t="n">
        <f aca="false">SUM(U2384:W2384)</f>
        <v>0</v>
      </c>
      <c r="AA2384" s="3" t="n">
        <f aca="false">SUM(S2384:X2384)</f>
        <v>1</v>
      </c>
      <c r="AB2384" s="11" t="n">
        <f aca="false">(AA2384/(K2384*L2384)*25)*4</f>
        <v>4</v>
      </c>
    </row>
    <row r="2385" customFormat="false" ht="14.25" hidden="false" customHeight="false" outlineLevel="0" collapsed="false">
      <c r="A2385" s="1" t="n">
        <v>2014</v>
      </c>
      <c r="B2385" s="7" t="s">
        <v>322</v>
      </c>
      <c r="C2385" s="7" t="n">
        <v>2</v>
      </c>
      <c r="D2385" s="7" t="s">
        <v>294</v>
      </c>
      <c r="E2385" s="7" t="s">
        <v>294</v>
      </c>
      <c r="F2385" s="3" t="s">
        <v>51</v>
      </c>
      <c r="G2385" s="3" t="n">
        <v>2</v>
      </c>
      <c r="H2385" s="3" t="n">
        <v>6</v>
      </c>
      <c r="I2385" s="22" t="n">
        <v>41794</v>
      </c>
      <c r="J2385" s="22" t="n">
        <v>41799</v>
      </c>
      <c r="K2385" s="43" t="n">
        <f aca="false">J2385-I2385</f>
        <v>5</v>
      </c>
      <c r="L2385" s="1" t="n">
        <v>5</v>
      </c>
      <c r="M2385" s="3" t="s">
        <v>72</v>
      </c>
      <c r="N2385" s="3" t="s">
        <v>86</v>
      </c>
      <c r="O2385" s="3" t="s">
        <v>87</v>
      </c>
      <c r="P2385" s="2" t="str">
        <f aca="false">CONCATENATE(N2385," ",O2385)</f>
        <v>Haplodrassus soerenseni</v>
      </c>
      <c r="Q2385" s="1" t="s">
        <v>30</v>
      </c>
      <c r="R2385" s="1" t="s">
        <v>35</v>
      </c>
      <c r="S2385" s="3" t="n">
        <v>0</v>
      </c>
      <c r="T2385" s="3" t="n">
        <v>1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f aca="false">SUM(S2385:T2385)</f>
        <v>1</v>
      </c>
      <c r="Z2385" s="3" t="n">
        <f aca="false">SUM(U2385:W2385)</f>
        <v>0</v>
      </c>
      <c r="AA2385" s="3" t="n">
        <f aca="false">SUM(S2385:X2385)</f>
        <v>1</v>
      </c>
      <c r="AB2385" s="11" t="n">
        <f aca="false">(AA2385/(K2385*L2385)*25)*4</f>
        <v>4</v>
      </c>
    </row>
    <row r="2386" customFormat="false" ht="14.25" hidden="false" customHeight="false" outlineLevel="0" collapsed="false">
      <c r="A2386" s="1" t="n">
        <v>2014</v>
      </c>
      <c r="B2386" s="7" t="s">
        <v>322</v>
      </c>
      <c r="C2386" s="7" t="n">
        <v>2</v>
      </c>
      <c r="D2386" s="7" t="s">
        <v>294</v>
      </c>
      <c r="E2386" s="7" t="s">
        <v>294</v>
      </c>
      <c r="F2386" s="3" t="s">
        <v>51</v>
      </c>
      <c r="G2386" s="3" t="n">
        <v>2</v>
      </c>
      <c r="H2386" s="3" t="n">
        <v>6</v>
      </c>
      <c r="I2386" s="22" t="n">
        <v>41794</v>
      </c>
      <c r="J2386" s="22" t="n">
        <v>41799</v>
      </c>
      <c r="K2386" s="43" t="n">
        <f aca="false">J2386-I2386</f>
        <v>5</v>
      </c>
      <c r="L2386" s="1" t="n">
        <v>5</v>
      </c>
      <c r="M2386" s="3" t="s">
        <v>32</v>
      </c>
      <c r="N2386" s="3" t="s">
        <v>62</v>
      </c>
      <c r="O2386" s="3" t="s">
        <v>63</v>
      </c>
      <c r="P2386" s="2" t="str">
        <f aca="false">CONCATENATE(N2386," ",O2386)</f>
        <v>Microneta viaria</v>
      </c>
      <c r="Q2386" s="1" t="s">
        <v>30</v>
      </c>
      <c r="R2386" s="1" t="s">
        <v>31</v>
      </c>
      <c r="S2386" s="3" t="n">
        <v>1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f aca="false">SUM(S2386:T2386)</f>
        <v>1</v>
      </c>
      <c r="Z2386" s="3" t="n">
        <f aca="false">SUM(U2386:W2386)</f>
        <v>0</v>
      </c>
      <c r="AA2386" s="3" t="n">
        <f aca="false">SUM(S2386:X2386)</f>
        <v>1</v>
      </c>
      <c r="AB2386" s="11" t="n">
        <f aca="false">(AA2386/(K2386*L2386)*25)*4</f>
        <v>4</v>
      </c>
    </row>
    <row r="2387" customFormat="false" ht="14.25" hidden="false" customHeight="false" outlineLevel="0" collapsed="false">
      <c r="A2387" s="1" t="n">
        <v>2014</v>
      </c>
      <c r="B2387" s="7" t="s">
        <v>322</v>
      </c>
      <c r="C2387" s="7" t="n">
        <v>2</v>
      </c>
      <c r="D2387" s="7" t="s">
        <v>294</v>
      </c>
      <c r="E2387" s="7" t="s">
        <v>294</v>
      </c>
      <c r="F2387" s="3" t="s">
        <v>51</v>
      </c>
      <c r="G2387" s="3" t="n">
        <v>2</v>
      </c>
      <c r="H2387" s="3" t="n">
        <v>6</v>
      </c>
      <c r="I2387" s="22" t="n">
        <v>41794</v>
      </c>
      <c r="J2387" s="22" t="n">
        <v>41799</v>
      </c>
      <c r="K2387" s="43" t="n">
        <f aca="false">J2387-I2387</f>
        <v>5</v>
      </c>
      <c r="L2387" s="1" t="n">
        <v>5</v>
      </c>
      <c r="M2387" s="3" t="s">
        <v>32</v>
      </c>
      <c r="N2387" s="3" t="s">
        <v>33</v>
      </c>
      <c r="O2387" s="3" t="s">
        <v>60</v>
      </c>
      <c r="P2387" s="2" t="str">
        <f aca="false">CONCATENATE(N2387," ",O2387)</f>
        <v>Tenuiphantes tenebricola</v>
      </c>
      <c r="Q2387" s="1" t="s">
        <v>30</v>
      </c>
      <c r="R2387" s="1" t="s">
        <v>31</v>
      </c>
      <c r="S2387" s="3" t="n">
        <v>1</v>
      </c>
      <c r="T2387" s="3" t="n">
        <v>0</v>
      </c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f aca="false">SUM(S2387:T2387)</f>
        <v>1</v>
      </c>
      <c r="Z2387" s="3" t="n">
        <f aca="false">SUM(U2387:W2387)</f>
        <v>0</v>
      </c>
      <c r="AA2387" s="3" t="n">
        <f aca="false">SUM(S2387:X2387)</f>
        <v>1</v>
      </c>
      <c r="AB2387" s="11" t="n">
        <f aca="false">(AA2387/(K2387*L2387)*25)*4</f>
        <v>4</v>
      </c>
    </row>
    <row r="2388" customFormat="false" ht="14.25" hidden="false" customHeight="false" outlineLevel="0" collapsed="false">
      <c r="A2388" s="1" t="n">
        <v>2014</v>
      </c>
      <c r="B2388" s="7" t="s">
        <v>322</v>
      </c>
      <c r="C2388" s="7" t="n">
        <v>2</v>
      </c>
      <c r="D2388" s="7" t="s">
        <v>294</v>
      </c>
      <c r="E2388" s="7" t="s">
        <v>294</v>
      </c>
      <c r="F2388" s="3" t="s">
        <v>51</v>
      </c>
      <c r="G2388" s="3" t="n">
        <v>2</v>
      </c>
      <c r="H2388" s="3" t="n">
        <v>6</v>
      </c>
      <c r="I2388" s="22" t="n">
        <v>41794</v>
      </c>
      <c r="J2388" s="22" t="n">
        <v>41799</v>
      </c>
      <c r="K2388" s="43" t="n">
        <f aca="false">J2388-I2388</f>
        <v>5</v>
      </c>
      <c r="L2388" s="1" t="n">
        <v>5</v>
      </c>
      <c r="M2388" s="3" t="s">
        <v>32</v>
      </c>
      <c r="N2388" s="3" t="s">
        <v>96</v>
      </c>
      <c r="O2388" s="3" t="s">
        <v>97</v>
      </c>
      <c r="P2388" s="2" t="str">
        <f aca="false">CONCATENATE(N2388," ",O2388)</f>
        <v>Diplocephalus picinus</v>
      </c>
      <c r="Q2388" s="1" t="s">
        <v>30</v>
      </c>
      <c r="R2388" s="1" t="s">
        <v>31</v>
      </c>
      <c r="S2388" s="3" t="n">
        <v>1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f aca="false">SUM(S2388:T2388)</f>
        <v>1</v>
      </c>
      <c r="Z2388" s="3" t="n">
        <f aca="false">SUM(U2388:W2388)</f>
        <v>0</v>
      </c>
      <c r="AA2388" s="3" t="n">
        <f aca="false">SUM(S2388:X2388)</f>
        <v>1</v>
      </c>
      <c r="AB2388" s="11" t="n">
        <f aca="false">(AA2388/(K2388*L2388)*25)*4</f>
        <v>4</v>
      </c>
    </row>
    <row r="2389" customFormat="false" ht="14.25" hidden="false" customHeight="false" outlineLevel="0" collapsed="false">
      <c r="A2389" s="1" t="n">
        <v>2014</v>
      </c>
      <c r="B2389" s="7" t="s">
        <v>322</v>
      </c>
      <c r="C2389" s="7" t="n">
        <v>2</v>
      </c>
      <c r="D2389" s="7" t="s">
        <v>294</v>
      </c>
      <c r="E2389" s="7" t="s">
        <v>294</v>
      </c>
      <c r="F2389" s="3" t="s">
        <v>51</v>
      </c>
      <c r="G2389" s="3" t="n">
        <v>2</v>
      </c>
      <c r="H2389" s="3" t="n">
        <v>8</v>
      </c>
      <c r="I2389" s="22" t="n">
        <v>41794</v>
      </c>
      <c r="J2389" s="22" t="n">
        <v>41799</v>
      </c>
      <c r="K2389" s="43" t="n">
        <f aca="false">J2389-I2389</f>
        <v>5</v>
      </c>
      <c r="L2389" s="1" t="n">
        <v>5</v>
      </c>
      <c r="M2389" s="3" t="s">
        <v>48</v>
      </c>
      <c r="N2389" s="3" t="s">
        <v>49</v>
      </c>
      <c r="O2389" s="3" t="s">
        <v>119</v>
      </c>
      <c r="P2389" s="2" t="str">
        <f aca="false">CONCATENATE(N2389," ",O2389)</f>
        <v>Alopecosa sulzeri</v>
      </c>
      <c r="Q2389" s="1" t="s">
        <v>30</v>
      </c>
      <c r="R2389" s="1" t="s">
        <v>31</v>
      </c>
      <c r="S2389" s="3" t="n">
        <v>1</v>
      </c>
      <c r="T2389" s="3" t="n">
        <v>0</v>
      </c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f aca="false">SUM(S2389:T2389)</f>
        <v>1</v>
      </c>
      <c r="Z2389" s="3" t="n">
        <f aca="false">SUM(U2389:W2389)</f>
        <v>0</v>
      </c>
      <c r="AA2389" s="3" t="n">
        <f aca="false">SUM(S2389:X2389)</f>
        <v>1</v>
      </c>
      <c r="AB2389" s="11" t="n">
        <f aca="false">(AA2389/(K2389*L2389)*25)*4</f>
        <v>4</v>
      </c>
    </row>
    <row r="2390" customFormat="false" ht="14.25" hidden="false" customHeight="false" outlineLevel="0" collapsed="false">
      <c r="A2390" s="1" t="n">
        <v>2014</v>
      </c>
      <c r="B2390" s="7" t="s">
        <v>322</v>
      </c>
      <c r="C2390" s="7" t="n">
        <v>2</v>
      </c>
      <c r="D2390" s="7" t="s">
        <v>294</v>
      </c>
      <c r="E2390" s="7" t="s">
        <v>294</v>
      </c>
      <c r="F2390" s="3" t="s">
        <v>51</v>
      </c>
      <c r="G2390" s="3" t="n">
        <v>2</v>
      </c>
      <c r="H2390" s="3" t="n">
        <v>8</v>
      </c>
      <c r="I2390" s="22" t="n">
        <v>41794</v>
      </c>
      <c r="J2390" s="22" t="n">
        <v>41799</v>
      </c>
      <c r="K2390" s="43" t="n">
        <f aca="false">J2390-I2390</f>
        <v>5</v>
      </c>
      <c r="L2390" s="1" t="n">
        <v>5</v>
      </c>
      <c r="M2390" s="3" t="s">
        <v>48</v>
      </c>
      <c r="N2390" s="3" t="s">
        <v>49</v>
      </c>
      <c r="O2390" s="3" t="s">
        <v>104</v>
      </c>
      <c r="P2390" s="2" t="str">
        <f aca="false">CONCATENATE(N2390," ",O2390)</f>
        <v>Alopecosa taeniata</v>
      </c>
      <c r="Q2390" s="1" t="s">
        <v>30</v>
      </c>
      <c r="R2390" s="1" t="s">
        <v>31</v>
      </c>
      <c r="S2390" s="3" t="n">
        <v>1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f aca="false">SUM(S2390:T2390)</f>
        <v>1</v>
      </c>
      <c r="Z2390" s="3" t="n">
        <f aca="false">SUM(U2390:W2390)</f>
        <v>0</v>
      </c>
      <c r="AA2390" s="3" t="n">
        <f aca="false">SUM(S2390:X2390)</f>
        <v>1</v>
      </c>
      <c r="AB2390" s="11" t="n">
        <f aca="false">(AA2390/(K2390*L2390)*25)*4</f>
        <v>4</v>
      </c>
    </row>
    <row r="2391" customFormat="false" ht="14.25" hidden="false" customHeight="false" outlineLevel="0" collapsed="false">
      <c r="A2391" s="1" t="n">
        <v>2014</v>
      </c>
      <c r="B2391" s="7" t="s">
        <v>322</v>
      </c>
      <c r="C2391" s="7" t="n">
        <v>2</v>
      </c>
      <c r="D2391" s="7" t="s">
        <v>294</v>
      </c>
      <c r="E2391" s="7" t="s">
        <v>294</v>
      </c>
      <c r="F2391" s="3" t="s">
        <v>51</v>
      </c>
      <c r="G2391" s="3" t="n">
        <v>2</v>
      </c>
      <c r="H2391" s="3" t="n">
        <v>8</v>
      </c>
      <c r="I2391" s="22" t="n">
        <v>41794</v>
      </c>
      <c r="J2391" s="22" t="n">
        <v>41799</v>
      </c>
      <c r="K2391" s="43" t="n">
        <f aca="false">J2391-I2391</f>
        <v>5</v>
      </c>
      <c r="L2391" s="1" t="n">
        <v>5</v>
      </c>
      <c r="M2391" s="3" t="s">
        <v>48</v>
      </c>
      <c r="N2391" s="3" t="s">
        <v>67</v>
      </c>
      <c r="O2391" s="3" t="s">
        <v>127</v>
      </c>
      <c r="P2391" s="2" t="str">
        <f aca="false">CONCATENATE(N2391," ",O2391)</f>
        <v>Pardosa lugubris</v>
      </c>
      <c r="Q2391" s="1" t="s">
        <v>30</v>
      </c>
      <c r="R2391" s="1" t="s">
        <v>31</v>
      </c>
      <c r="S2391" s="3" t="n">
        <v>16</v>
      </c>
      <c r="T2391" s="3" t="n">
        <v>0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f aca="false">SUM(S2391:T2391)</f>
        <v>16</v>
      </c>
      <c r="Z2391" s="3" t="n">
        <f aca="false">SUM(U2391:W2391)</f>
        <v>0</v>
      </c>
      <c r="AA2391" s="3" t="n">
        <f aca="false">SUM(S2391:X2391)</f>
        <v>16</v>
      </c>
      <c r="AB2391" s="11" t="n">
        <f aca="false">(AA2391/(K2391*L2391)*25)*4</f>
        <v>64</v>
      </c>
    </row>
    <row r="2392" customFormat="false" ht="14.25" hidden="false" customHeight="false" outlineLevel="0" collapsed="false">
      <c r="A2392" s="1" t="n">
        <v>2014</v>
      </c>
      <c r="B2392" s="7" t="s">
        <v>322</v>
      </c>
      <c r="C2392" s="7" t="n">
        <v>2</v>
      </c>
      <c r="D2392" s="7" t="s">
        <v>294</v>
      </c>
      <c r="E2392" s="7" t="s">
        <v>294</v>
      </c>
      <c r="F2392" s="3" t="s">
        <v>51</v>
      </c>
      <c r="G2392" s="3" t="n">
        <v>2</v>
      </c>
      <c r="H2392" s="3" t="n">
        <v>8</v>
      </c>
      <c r="I2392" s="22" t="n">
        <v>41794</v>
      </c>
      <c r="J2392" s="22" t="n">
        <v>41799</v>
      </c>
      <c r="K2392" s="43" t="n">
        <f aca="false">J2392-I2392</f>
        <v>5</v>
      </c>
      <c r="L2392" s="1" t="n">
        <v>5</v>
      </c>
      <c r="M2392" s="3" t="s">
        <v>48</v>
      </c>
      <c r="N2392" s="3" t="s">
        <v>67</v>
      </c>
      <c r="O2392" s="3" t="s">
        <v>127</v>
      </c>
      <c r="P2392" s="2" t="str">
        <f aca="false">CONCATENATE(N2392," ",O2392)</f>
        <v>Pardosa lugubris</v>
      </c>
      <c r="Q2392" s="1" t="s">
        <v>30</v>
      </c>
      <c r="R2392" s="1" t="s">
        <v>35</v>
      </c>
      <c r="S2392" s="3" t="n">
        <v>0</v>
      </c>
      <c r="T2392" s="3" t="n">
        <v>2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f aca="false">SUM(S2392:T2392)</f>
        <v>2</v>
      </c>
      <c r="Z2392" s="3" t="n">
        <f aca="false">SUM(U2392:W2392)</f>
        <v>0</v>
      </c>
      <c r="AA2392" s="3" t="n">
        <f aca="false">SUM(S2392:X2392)</f>
        <v>2</v>
      </c>
      <c r="AB2392" s="11" t="n">
        <f aca="false">(AA2392/(K2392*L2392)*25)*4</f>
        <v>8</v>
      </c>
    </row>
    <row r="2393" customFormat="false" ht="14.25" hidden="false" customHeight="false" outlineLevel="0" collapsed="false">
      <c r="A2393" s="1" t="n">
        <v>2014</v>
      </c>
      <c r="B2393" s="7" t="s">
        <v>322</v>
      </c>
      <c r="C2393" s="7" t="n">
        <v>2</v>
      </c>
      <c r="D2393" s="7" t="s">
        <v>294</v>
      </c>
      <c r="E2393" s="7" t="s">
        <v>294</v>
      </c>
      <c r="F2393" s="3" t="s">
        <v>51</v>
      </c>
      <c r="G2393" s="3" t="n">
        <v>2</v>
      </c>
      <c r="H2393" s="3" t="n">
        <v>8</v>
      </c>
      <c r="I2393" s="22" t="n">
        <v>41794</v>
      </c>
      <c r="J2393" s="22" t="n">
        <v>41799</v>
      </c>
      <c r="K2393" s="43" t="n">
        <f aca="false">J2393-I2393</f>
        <v>5</v>
      </c>
      <c r="L2393" s="1" t="n">
        <v>5</v>
      </c>
      <c r="M2393" s="3" t="s">
        <v>72</v>
      </c>
      <c r="N2393" s="3" t="s">
        <v>73</v>
      </c>
      <c r="O2393" s="3" t="s">
        <v>253</v>
      </c>
      <c r="P2393" s="2" t="str">
        <f aca="false">CONCATENATE(N2393," ",O2393)</f>
        <v>Zelotes clivicola</v>
      </c>
      <c r="Q2393" s="1" t="s">
        <v>30</v>
      </c>
      <c r="R2393" s="1" t="s">
        <v>31</v>
      </c>
      <c r="S2393" s="3" t="n">
        <v>1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f aca="false">SUM(S2393:T2393)</f>
        <v>1</v>
      </c>
      <c r="Z2393" s="3" t="n">
        <f aca="false">SUM(U2393:W2393)</f>
        <v>0</v>
      </c>
      <c r="AA2393" s="3" t="n">
        <f aca="false">SUM(S2393:X2393)</f>
        <v>1</v>
      </c>
      <c r="AB2393" s="11" t="n">
        <f aca="false">(AA2393/(K2393*L2393)*25)*4</f>
        <v>4</v>
      </c>
    </row>
    <row r="2394" customFormat="false" ht="14.25" hidden="false" customHeight="false" outlineLevel="0" collapsed="false">
      <c r="A2394" s="1" t="n">
        <v>2014</v>
      </c>
      <c r="B2394" s="7" t="s">
        <v>322</v>
      </c>
      <c r="C2394" s="7" t="n">
        <v>2</v>
      </c>
      <c r="D2394" s="7" t="s">
        <v>294</v>
      </c>
      <c r="E2394" s="7" t="s">
        <v>294</v>
      </c>
      <c r="F2394" s="3" t="s">
        <v>51</v>
      </c>
      <c r="G2394" s="3" t="n">
        <v>2</v>
      </c>
      <c r="H2394" s="3" t="n">
        <v>8</v>
      </c>
      <c r="I2394" s="22" t="n">
        <v>41794</v>
      </c>
      <c r="J2394" s="22" t="n">
        <v>41799</v>
      </c>
      <c r="K2394" s="43" t="n">
        <f aca="false">J2394-I2394</f>
        <v>5</v>
      </c>
      <c r="L2394" s="1" t="n">
        <v>5</v>
      </c>
      <c r="M2394" s="3" t="s">
        <v>72</v>
      </c>
      <c r="N2394" s="3" t="s">
        <v>73</v>
      </c>
      <c r="O2394" s="3" t="s">
        <v>74</v>
      </c>
      <c r="P2394" s="2" t="str">
        <f aca="false">CONCATENATE(N2394," ",O2394)</f>
        <v>Zelotes subterraneus</v>
      </c>
      <c r="Q2394" s="1" t="s">
        <v>30</v>
      </c>
      <c r="R2394" s="1" t="s">
        <v>31</v>
      </c>
      <c r="S2394" s="3" t="n">
        <v>1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f aca="false">SUM(S2394:T2394)</f>
        <v>1</v>
      </c>
      <c r="Z2394" s="3" t="n">
        <f aca="false">SUM(U2394:W2394)</f>
        <v>0</v>
      </c>
      <c r="AA2394" s="3" t="n">
        <f aca="false">SUM(S2394:X2394)</f>
        <v>1</v>
      </c>
      <c r="AB2394" s="11" t="n">
        <f aca="false">(AA2394/(K2394*L2394)*25)*4</f>
        <v>4</v>
      </c>
    </row>
    <row r="2395" customFormat="false" ht="14.25" hidden="false" customHeight="false" outlineLevel="0" collapsed="false">
      <c r="A2395" s="1" t="n">
        <v>2014</v>
      </c>
      <c r="B2395" s="7" t="s">
        <v>322</v>
      </c>
      <c r="C2395" s="7" t="n">
        <v>2</v>
      </c>
      <c r="D2395" s="7" t="s">
        <v>294</v>
      </c>
      <c r="E2395" s="7" t="s">
        <v>294</v>
      </c>
      <c r="F2395" s="3" t="s">
        <v>51</v>
      </c>
      <c r="G2395" s="3" t="n">
        <v>2</v>
      </c>
      <c r="H2395" s="3" t="n">
        <v>8</v>
      </c>
      <c r="I2395" s="22" t="n">
        <v>41794</v>
      </c>
      <c r="J2395" s="22" t="n">
        <v>41799</v>
      </c>
      <c r="K2395" s="43" t="n">
        <f aca="false">J2395-I2395</f>
        <v>5</v>
      </c>
      <c r="L2395" s="1" t="n">
        <v>5</v>
      </c>
      <c r="M2395" s="3" t="s">
        <v>72</v>
      </c>
      <c r="N2395" s="3" t="s">
        <v>73</v>
      </c>
      <c r="O2395" s="3" t="s">
        <v>266</v>
      </c>
      <c r="P2395" s="2" t="str">
        <f aca="false">CONCATENATE(N2395," ",O2395)</f>
        <v>Zelotes latreillei</v>
      </c>
      <c r="Q2395" s="1" t="s">
        <v>30</v>
      </c>
      <c r="R2395" s="1" t="s">
        <v>35</v>
      </c>
      <c r="S2395" s="3" t="n">
        <v>0</v>
      </c>
      <c r="T2395" s="3" t="n">
        <v>1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f aca="false">SUM(S2395:T2395)</f>
        <v>1</v>
      </c>
      <c r="Z2395" s="3" t="n">
        <f aca="false">SUM(U2395:W2395)</f>
        <v>0</v>
      </c>
      <c r="AA2395" s="3" t="n">
        <f aca="false">SUM(S2395:X2395)</f>
        <v>1</v>
      </c>
      <c r="AB2395" s="11" t="n">
        <f aca="false">(AA2395/(K2395*L2395)*25)*4</f>
        <v>4</v>
      </c>
    </row>
    <row r="2396" customFormat="false" ht="14.25" hidden="false" customHeight="false" outlineLevel="0" collapsed="false">
      <c r="A2396" s="1" t="n">
        <v>2014</v>
      </c>
      <c r="B2396" s="7" t="s">
        <v>322</v>
      </c>
      <c r="C2396" s="7" t="n">
        <v>2</v>
      </c>
      <c r="D2396" s="7" t="s">
        <v>294</v>
      </c>
      <c r="E2396" s="7" t="s">
        <v>294</v>
      </c>
      <c r="F2396" s="3" t="s">
        <v>51</v>
      </c>
      <c r="G2396" s="3" t="n">
        <v>2</v>
      </c>
      <c r="H2396" s="3" t="n">
        <v>8</v>
      </c>
      <c r="I2396" s="22" t="n">
        <v>41794</v>
      </c>
      <c r="J2396" s="22" t="n">
        <v>41799</v>
      </c>
      <c r="K2396" s="43" t="n">
        <f aca="false">J2396-I2396</f>
        <v>5</v>
      </c>
      <c r="L2396" s="1" t="n">
        <v>5</v>
      </c>
      <c r="M2396" s="3" t="s">
        <v>135</v>
      </c>
      <c r="N2396" s="3" t="s">
        <v>136</v>
      </c>
      <c r="O2396" s="3" t="s">
        <v>137</v>
      </c>
      <c r="P2396" s="2" t="str">
        <f aca="false">CONCATENATE(N2396," ",O2396)</f>
        <v>Thanatus sabulosus</v>
      </c>
      <c r="Q2396" s="1" t="s">
        <v>30</v>
      </c>
      <c r="R2396" s="1" t="s">
        <v>31</v>
      </c>
      <c r="S2396" s="3" t="n">
        <v>1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f aca="false">SUM(S2396:T2396)</f>
        <v>1</v>
      </c>
      <c r="Z2396" s="3" t="n">
        <f aca="false">SUM(U2396:W2396)</f>
        <v>0</v>
      </c>
      <c r="AA2396" s="3" t="n">
        <f aca="false">SUM(S2396:X2396)</f>
        <v>1</v>
      </c>
      <c r="AB2396" s="11" t="n">
        <f aca="false">(AA2396/(K2396*L2396)*25)*4</f>
        <v>4</v>
      </c>
    </row>
    <row r="2397" customFormat="false" ht="14.25" hidden="false" customHeight="false" outlineLevel="0" collapsed="false">
      <c r="A2397" s="1" t="n">
        <v>2014</v>
      </c>
      <c r="B2397" s="7" t="s">
        <v>322</v>
      </c>
      <c r="C2397" s="7" t="n">
        <v>2</v>
      </c>
      <c r="D2397" s="7" t="s">
        <v>294</v>
      </c>
      <c r="E2397" s="7" t="s">
        <v>294</v>
      </c>
      <c r="F2397" s="3" t="s">
        <v>51</v>
      </c>
      <c r="G2397" s="3" t="n">
        <v>2</v>
      </c>
      <c r="H2397" s="3" t="n">
        <v>8</v>
      </c>
      <c r="I2397" s="22" t="n">
        <v>41794</v>
      </c>
      <c r="J2397" s="22" t="n">
        <v>41799</v>
      </c>
      <c r="K2397" s="43" t="n">
        <f aca="false">J2397-I2397</f>
        <v>5</v>
      </c>
      <c r="L2397" s="1" t="n">
        <v>5</v>
      </c>
      <c r="M2397" s="3" t="s">
        <v>36</v>
      </c>
      <c r="N2397" s="3" t="s">
        <v>37</v>
      </c>
      <c r="O2397" s="3" t="s">
        <v>75</v>
      </c>
      <c r="P2397" s="2" t="str">
        <f aca="false">CONCATENATE(N2397," ",O2397)</f>
        <v>Ozyptila praticola</v>
      </c>
      <c r="Q2397" s="1" t="s">
        <v>30</v>
      </c>
      <c r="R2397" s="1" t="s">
        <v>31</v>
      </c>
      <c r="S2397" s="3" t="n">
        <v>1</v>
      </c>
      <c r="T2397" s="3" t="n">
        <v>0</v>
      </c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f aca="false">SUM(S2397:T2397)</f>
        <v>1</v>
      </c>
      <c r="Z2397" s="3" t="n">
        <f aca="false">SUM(U2397:W2397)</f>
        <v>0</v>
      </c>
      <c r="AA2397" s="3" t="n">
        <f aca="false">SUM(S2397:X2397)</f>
        <v>1</v>
      </c>
      <c r="AB2397" s="11" t="n">
        <f aca="false">(AA2397/(K2397*L2397)*25)*4</f>
        <v>4</v>
      </c>
    </row>
    <row r="2398" customFormat="false" ht="14.25" hidden="false" customHeight="false" outlineLevel="0" collapsed="false">
      <c r="A2398" s="1" t="n">
        <v>2014</v>
      </c>
      <c r="B2398" s="7" t="s">
        <v>322</v>
      </c>
      <c r="C2398" s="7" t="n">
        <v>2</v>
      </c>
      <c r="D2398" s="7" t="s">
        <v>294</v>
      </c>
      <c r="E2398" s="7" t="s">
        <v>294</v>
      </c>
      <c r="F2398" s="3" t="s">
        <v>51</v>
      </c>
      <c r="G2398" s="3" t="n">
        <v>2</v>
      </c>
      <c r="H2398" s="3" t="n">
        <v>8</v>
      </c>
      <c r="I2398" s="22" t="n">
        <v>41794</v>
      </c>
      <c r="J2398" s="22" t="n">
        <v>41799</v>
      </c>
      <c r="K2398" s="43" t="n">
        <f aca="false">J2398-I2398</f>
        <v>5</v>
      </c>
      <c r="L2398" s="1" t="n">
        <v>5</v>
      </c>
      <c r="M2398" s="3" t="s">
        <v>36</v>
      </c>
      <c r="N2398" s="3" t="s">
        <v>37</v>
      </c>
      <c r="O2398" s="3" t="s">
        <v>75</v>
      </c>
      <c r="P2398" s="2" t="str">
        <f aca="false">CONCATENATE(N2398," ",O2398)</f>
        <v>Ozyptila praticola</v>
      </c>
      <c r="Q2398" s="1" t="s">
        <v>30</v>
      </c>
      <c r="R2398" s="1" t="s">
        <v>35</v>
      </c>
      <c r="S2398" s="3" t="n">
        <v>0</v>
      </c>
      <c r="T2398" s="3" t="n">
        <v>1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f aca="false">SUM(S2398:T2398)</f>
        <v>1</v>
      </c>
      <c r="Z2398" s="3" t="n">
        <f aca="false">SUM(U2398:W2398)</f>
        <v>0</v>
      </c>
      <c r="AA2398" s="3" t="n">
        <f aca="false">SUM(S2398:X2398)</f>
        <v>1</v>
      </c>
      <c r="AB2398" s="11" t="n">
        <f aca="false">(AA2398/(K2398*L2398)*25)*4</f>
        <v>4</v>
      </c>
    </row>
    <row r="2399" customFormat="false" ht="14.25" hidden="false" customHeight="false" outlineLevel="0" collapsed="false">
      <c r="A2399" s="1" t="n">
        <v>2014</v>
      </c>
      <c r="B2399" s="7" t="s">
        <v>322</v>
      </c>
      <c r="C2399" s="7" t="n">
        <v>2</v>
      </c>
      <c r="D2399" s="7" t="s">
        <v>294</v>
      </c>
      <c r="E2399" s="7" t="s">
        <v>294</v>
      </c>
      <c r="F2399" s="3" t="s">
        <v>51</v>
      </c>
      <c r="G2399" s="3" t="n">
        <v>2</v>
      </c>
      <c r="H2399" s="3" t="n">
        <v>8</v>
      </c>
      <c r="I2399" s="22" t="n">
        <v>41794</v>
      </c>
      <c r="J2399" s="22" t="n">
        <v>41799</v>
      </c>
      <c r="K2399" s="43" t="n">
        <f aca="false">J2399-I2399</f>
        <v>5</v>
      </c>
      <c r="L2399" s="1" t="n">
        <v>5</v>
      </c>
      <c r="M2399" s="3" t="s">
        <v>36</v>
      </c>
      <c r="N2399" s="3" t="s">
        <v>131</v>
      </c>
      <c r="O2399" s="3" t="s">
        <v>133</v>
      </c>
      <c r="P2399" s="2" t="str">
        <f aca="false">CONCATENATE(N2399," ",O2399)</f>
        <v>Xysticus luctuosus</v>
      </c>
      <c r="Q2399" s="1" t="s">
        <v>30</v>
      </c>
      <c r="R2399" s="1" t="s">
        <v>31</v>
      </c>
      <c r="S2399" s="3" t="n">
        <v>2</v>
      </c>
      <c r="T2399" s="3" t="n">
        <v>0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f aca="false">SUM(S2399:T2399)</f>
        <v>2</v>
      </c>
      <c r="Z2399" s="3" t="n">
        <f aca="false">SUM(U2399:W2399)</f>
        <v>0</v>
      </c>
      <c r="AA2399" s="3" t="n">
        <f aca="false">SUM(S2399:X2399)</f>
        <v>2</v>
      </c>
      <c r="AB2399" s="11" t="n">
        <f aca="false">(AA2399/(K2399*L2399)*25)*4</f>
        <v>8</v>
      </c>
    </row>
    <row r="2400" customFormat="false" ht="14.25" hidden="false" customHeight="false" outlineLevel="0" collapsed="false">
      <c r="A2400" s="1" t="n">
        <v>2014</v>
      </c>
      <c r="B2400" s="7" t="s">
        <v>322</v>
      </c>
      <c r="C2400" s="7" t="n">
        <v>2</v>
      </c>
      <c r="D2400" s="7" t="s">
        <v>294</v>
      </c>
      <c r="E2400" s="7" t="s">
        <v>294</v>
      </c>
      <c r="F2400" s="3" t="s">
        <v>51</v>
      </c>
      <c r="G2400" s="3" t="n">
        <v>2</v>
      </c>
      <c r="H2400" s="3" t="n">
        <v>8</v>
      </c>
      <c r="I2400" s="22" t="n">
        <v>41794</v>
      </c>
      <c r="J2400" s="22" t="n">
        <v>41799</v>
      </c>
      <c r="K2400" s="43" t="n">
        <f aca="false">J2400-I2400</f>
        <v>5</v>
      </c>
      <c r="L2400" s="1" t="n">
        <v>5</v>
      </c>
      <c r="M2400" s="3" t="s">
        <v>32</v>
      </c>
      <c r="N2400" s="3" t="s">
        <v>163</v>
      </c>
      <c r="O2400" s="3" t="s">
        <v>164</v>
      </c>
      <c r="P2400" s="2" t="str">
        <f aca="false">CONCATENATE(N2400," ",O2400)</f>
        <v>Bathyphantes gracilis</v>
      </c>
      <c r="Q2400" s="1" t="s">
        <v>30</v>
      </c>
      <c r="R2400" s="1" t="s">
        <v>31</v>
      </c>
      <c r="S2400" s="3" t="n">
        <v>1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f aca="false">SUM(S2400:T2400)</f>
        <v>1</v>
      </c>
      <c r="Z2400" s="3" t="n">
        <f aca="false">SUM(U2400:W2400)</f>
        <v>0</v>
      </c>
      <c r="AA2400" s="3" t="n">
        <f aca="false">SUM(S2400:X2400)</f>
        <v>1</v>
      </c>
      <c r="AB2400" s="11" t="n">
        <f aca="false">(AA2400/(K2400*L2400)*25)*4</f>
        <v>4</v>
      </c>
    </row>
    <row r="2401" customFormat="false" ht="14.25" hidden="false" customHeight="false" outlineLevel="0" collapsed="false">
      <c r="A2401" s="1" t="n">
        <v>2014</v>
      </c>
      <c r="B2401" s="7" t="s">
        <v>322</v>
      </c>
      <c r="C2401" s="7" t="n">
        <v>2</v>
      </c>
      <c r="D2401" s="7" t="s">
        <v>294</v>
      </c>
      <c r="E2401" s="7" t="s">
        <v>294</v>
      </c>
      <c r="F2401" s="3" t="s">
        <v>51</v>
      </c>
      <c r="G2401" s="3" t="n">
        <v>1</v>
      </c>
      <c r="H2401" s="3" t="n">
        <v>5</v>
      </c>
      <c r="I2401" s="22" t="n">
        <v>41794</v>
      </c>
      <c r="J2401" s="22" t="n">
        <v>41799</v>
      </c>
      <c r="K2401" s="43" t="n">
        <f aca="false">J2401-I2401</f>
        <v>5</v>
      </c>
      <c r="L2401" s="1" t="n">
        <v>5</v>
      </c>
      <c r="M2401" s="3" t="s">
        <v>48</v>
      </c>
      <c r="N2401" s="3" t="s">
        <v>49</v>
      </c>
      <c r="O2401" s="3" t="s">
        <v>104</v>
      </c>
      <c r="P2401" s="2" t="str">
        <f aca="false">CONCATENATE(N2401," ",O2401)</f>
        <v>Alopecosa taeniata</v>
      </c>
      <c r="Q2401" s="1" t="s">
        <v>30</v>
      </c>
      <c r="R2401" s="1" t="s">
        <v>31</v>
      </c>
      <c r="S2401" s="3" t="n">
        <v>3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f aca="false">SUM(S2401:T2401)</f>
        <v>3</v>
      </c>
      <c r="Z2401" s="3" t="n">
        <f aca="false">SUM(U2401:W2401)</f>
        <v>0</v>
      </c>
      <c r="AA2401" s="3" t="n">
        <f aca="false">SUM(S2401:X2401)</f>
        <v>3</v>
      </c>
      <c r="AB2401" s="11" t="n">
        <f aca="false">(AA2401/(K2401*L2401)*25)*4</f>
        <v>12</v>
      </c>
    </row>
    <row r="2402" customFormat="false" ht="14.25" hidden="false" customHeight="false" outlineLevel="0" collapsed="false">
      <c r="A2402" s="1" t="n">
        <v>2014</v>
      </c>
      <c r="B2402" s="7" t="s">
        <v>322</v>
      </c>
      <c r="C2402" s="7" t="n">
        <v>2</v>
      </c>
      <c r="D2402" s="7" t="s">
        <v>294</v>
      </c>
      <c r="E2402" s="7" t="s">
        <v>294</v>
      </c>
      <c r="F2402" s="3" t="s">
        <v>51</v>
      </c>
      <c r="G2402" s="3" t="n">
        <v>1</v>
      </c>
      <c r="H2402" s="3" t="n">
        <v>5</v>
      </c>
      <c r="I2402" s="22" t="n">
        <v>41794</v>
      </c>
      <c r="J2402" s="22" t="n">
        <v>41799</v>
      </c>
      <c r="K2402" s="43" t="n">
        <f aca="false">J2402-I2402</f>
        <v>5</v>
      </c>
      <c r="L2402" s="1" t="n">
        <v>5</v>
      </c>
      <c r="M2402" s="3" t="s">
        <v>48</v>
      </c>
      <c r="N2402" s="3" t="s">
        <v>67</v>
      </c>
      <c r="O2402" s="3" t="s">
        <v>127</v>
      </c>
      <c r="P2402" s="2" t="str">
        <f aca="false">CONCATENATE(N2402," ",O2402)</f>
        <v>Pardosa lugubris</v>
      </c>
      <c r="Q2402" s="1" t="s">
        <v>30</v>
      </c>
      <c r="R2402" s="1" t="s">
        <v>31</v>
      </c>
      <c r="S2402" s="3" t="n">
        <v>8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f aca="false">SUM(S2402:T2402)</f>
        <v>8</v>
      </c>
      <c r="Z2402" s="3" t="n">
        <f aca="false">SUM(U2402:W2402)</f>
        <v>0</v>
      </c>
      <c r="AA2402" s="3" t="n">
        <f aca="false">SUM(S2402:X2402)</f>
        <v>8</v>
      </c>
      <c r="AB2402" s="11" t="n">
        <f aca="false">(AA2402/(K2402*L2402)*25)*4</f>
        <v>32</v>
      </c>
    </row>
    <row r="2403" customFormat="false" ht="14.25" hidden="false" customHeight="false" outlineLevel="0" collapsed="false">
      <c r="A2403" s="1" t="n">
        <v>2014</v>
      </c>
      <c r="B2403" s="7" t="s">
        <v>322</v>
      </c>
      <c r="C2403" s="7" t="n">
        <v>2</v>
      </c>
      <c r="D2403" s="7" t="s">
        <v>294</v>
      </c>
      <c r="E2403" s="7" t="s">
        <v>294</v>
      </c>
      <c r="F2403" s="3" t="s">
        <v>51</v>
      </c>
      <c r="G2403" s="3" t="n">
        <v>1</v>
      </c>
      <c r="H2403" s="3" t="n">
        <v>5</v>
      </c>
      <c r="I2403" s="22" t="n">
        <v>41794</v>
      </c>
      <c r="J2403" s="22" t="n">
        <v>41799</v>
      </c>
      <c r="K2403" s="43" t="n">
        <f aca="false">J2403-I2403</f>
        <v>5</v>
      </c>
      <c r="L2403" s="1" t="n">
        <v>5</v>
      </c>
      <c r="M2403" s="3" t="s">
        <v>48</v>
      </c>
      <c r="N2403" s="3" t="s">
        <v>67</v>
      </c>
      <c r="O2403" s="3" t="s">
        <v>127</v>
      </c>
      <c r="P2403" s="2" t="str">
        <f aca="false">CONCATENATE(N2403," ",O2403)</f>
        <v>Pardosa lugubris</v>
      </c>
      <c r="Q2403" s="1" t="s">
        <v>30</v>
      </c>
      <c r="R2403" s="1" t="s">
        <v>35</v>
      </c>
      <c r="S2403" s="3" t="n">
        <v>0</v>
      </c>
      <c r="T2403" s="3" t="n">
        <v>2</v>
      </c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f aca="false">SUM(S2403:T2403)</f>
        <v>2</v>
      </c>
      <c r="Z2403" s="3" t="n">
        <f aca="false">SUM(U2403:W2403)</f>
        <v>0</v>
      </c>
      <c r="AA2403" s="3" t="n">
        <f aca="false">SUM(S2403:X2403)</f>
        <v>2</v>
      </c>
      <c r="AB2403" s="11" t="n">
        <f aca="false">(AA2403/(K2403*L2403)*25)*4</f>
        <v>8</v>
      </c>
    </row>
    <row r="2404" customFormat="false" ht="14.25" hidden="false" customHeight="false" outlineLevel="0" collapsed="false">
      <c r="A2404" s="1" t="n">
        <v>2014</v>
      </c>
      <c r="B2404" s="7" t="s">
        <v>322</v>
      </c>
      <c r="C2404" s="7" t="n">
        <v>2</v>
      </c>
      <c r="D2404" s="7" t="s">
        <v>294</v>
      </c>
      <c r="E2404" s="7" t="s">
        <v>294</v>
      </c>
      <c r="F2404" s="3" t="s">
        <v>51</v>
      </c>
      <c r="G2404" s="3" t="n">
        <v>1</v>
      </c>
      <c r="H2404" s="3" t="n">
        <v>5</v>
      </c>
      <c r="I2404" s="22" t="n">
        <v>41794</v>
      </c>
      <c r="J2404" s="22" t="n">
        <v>41799</v>
      </c>
      <c r="K2404" s="43" t="n">
        <f aca="false">J2404-I2404</f>
        <v>5</v>
      </c>
      <c r="L2404" s="1" t="n">
        <v>5</v>
      </c>
      <c r="M2404" s="3" t="s">
        <v>72</v>
      </c>
      <c r="N2404" s="3" t="s">
        <v>86</v>
      </c>
      <c r="O2404" s="3" t="s">
        <v>87</v>
      </c>
      <c r="P2404" s="2" t="str">
        <f aca="false">CONCATENATE(N2404," ",O2404)</f>
        <v>Haplodrassus soerenseni</v>
      </c>
      <c r="Q2404" s="1" t="s">
        <v>30</v>
      </c>
      <c r="R2404" s="1" t="s">
        <v>31</v>
      </c>
      <c r="S2404" s="3" t="n">
        <v>1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f aca="false">SUM(S2404:T2404)</f>
        <v>1</v>
      </c>
      <c r="Z2404" s="3" t="n">
        <f aca="false">SUM(U2404:W2404)</f>
        <v>0</v>
      </c>
      <c r="AA2404" s="3" t="n">
        <f aca="false">SUM(S2404:X2404)</f>
        <v>1</v>
      </c>
      <c r="AB2404" s="11" t="n">
        <f aca="false">(AA2404/(K2404*L2404)*25)*4</f>
        <v>4</v>
      </c>
    </row>
    <row r="2405" customFormat="false" ht="14.25" hidden="false" customHeight="false" outlineLevel="0" collapsed="false">
      <c r="A2405" s="1" t="n">
        <v>2014</v>
      </c>
      <c r="B2405" s="7" t="s">
        <v>322</v>
      </c>
      <c r="C2405" s="7" t="n">
        <v>2</v>
      </c>
      <c r="D2405" s="7" t="s">
        <v>294</v>
      </c>
      <c r="E2405" s="7" t="s">
        <v>294</v>
      </c>
      <c r="F2405" s="3" t="s">
        <v>51</v>
      </c>
      <c r="G2405" s="3" t="n">
        <v>1</v>
      </c>
      <c r="H2405" s="3" t="n">
        <v>5</v>
      </c>
      <c r="I2405" s="22" t="n">
        <v>41794</v>
      </c>
      <c r="J2405" s="22" t="n">
        <v>41799</v>
      </c>
      <c r="K2405" s="43" t="n">
        <f aca="false">J2405-I2405</f>
        <v>5</v>
      </c>
      <c r="L2405" s="1" t="n">
        <v>5</v>
      </c>
      <c r="M2405" s="3" t="s">
        <v>72</v>
      </c>
      <c r="N2405" s="3" t="s">
        <v>73</v>
      </c>
      <c r="O2405" s="3" t="s">
        <v>74</v>
      </c>
      <c r="P2405" s="2" t="str">
        <f aca="false">CONCATENATE(N2405," ",O2405)</f>
        <v>Zelotes subterraneus</v>
      </c>
      <c r="Q2405" s="1" t="s">
        <v>30</v>
      </c>
      <c r="R2405" s="1" t="s">
        <v>31</v>
      </c>
      <c r="S2405" s="3" t="n">
        <v>1</v>
      </c>
      <c r="T2405" s="3" t="n">
        <v>0</v>
      </c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f aca="false">SUM(S2405:T2405)</f>
        <v>1</v>
      </c>
      <c r="Z2405" s="3" t="n">
        <f aca="false">SUM(U2405:W2405)</f>
        <v>0</v>
      </c>
      <c r="AA2405" s="3" t="n">
        <f aca="false">SUM(S2405:X2405)</f>
        <v>1</v>
      </c>
      <c r="AB2405" s="11" t="n">
        <f aca="false">(AA2405/(K2405*L2405)*25)*4</f>
        <v>4</v>
      </c>
    </row>
    <row r="2406" customFormat="false" ht="14.25" hidden="false" customHeight="false" outlineLevel="0" collapsed="false">
      <c r="A2406" s="1" t="n">
        <v>2014</v>
      </c>
      <c r="B2406" s="7" t="s">
        <v>322</v>
      </c>
      <c r="C2406" s="7" t="n">
        <v>2</v>
      </c>
      <c r="D2406" s="7" t="s">
        <v>294</v>
      </c>
      <c r="E2406" s="7" t="s">
        <v>294</v>
      </c>
      <c r="F2406" s="3" t="s">
        <v>51</v>
      </c>
      <c r="G2406" s="3" t="n">
        <v>1</v>
      </c>
      <c r="H2406" s="3" t="n">
        <v>5</v>
      </c>
      <c r="I2406" s="22" t="n">
        <v>41794</v>
      </c>
      <c r="J2406" s="22" t="n">
        <v>41799</v>
      </c>
      <c r="K2406" s="43" t="n">
        <f aca="false">J2406-I2406</f>
        <v>5</v>
      </c>
      <c r="L2406" s="1" t="n">
        <v>5</v>
      </c>
      <c r="M2406" s="3" t="s">
        <v>226</v>
      </c>
      <c r="N2406" s="3" t="s">
        <v>65</v>
      </c>
      <c r="O2406" s="3" t="s">
        <v>123</v>
      </c>
      <c r="P2406" s="2" t="str">
        <f aca="false">CONCATENATE(N2406," ",O2406)</f>
        <v>Zora nemoralis</v>
      </c>
      <c r="Q2406" s="1" t="s">
        <v>30</v>
      </c>
      <c r="R2406" s="1" t="s">
        <v>31</v>
      </c>
      <c r="S2406" s="3" t="n">
        <v>4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f aca="false">SUM(S2406:T2406)</f>
        <v>4</v>
      </c>
      <c r="Z2406" s="3" t="n">
        <f aca="false">SUM(U2406:W2406)</f>
        <v>0</v>
      </c>
      <c r="AA2406" s="3" t="n">
        <f aca="false">SUM(S2406:X2406)</f>
        <v>4</v>
      </c>
      <c r="AB2406" s="11" t="n">
        <f aca="false">(AA2406/(K2406*L2406)*25)*4</f>
        <v>16</v>
      </c>
    </row>
    <row r="2407" customFormat="false" ht="14.25" hidden="false" customHeight="false" outlineLevel="0" collapsed="false">
      <c r="A2407" s="1" t="n">
        <v>2014</v>
      </c>
      <c r="B2407" s="7" t="s">
        <v>322</v>
      </c>
      <c r="C2407" s="7" t="n">
        <v>2</v>
      </c>
      <c r="D2407" s="7" t="s">
        <v>294</v>
      </c>
      <c r="E2407" s="7" t="s">
        <v>294</v>
      </c>
      <c r="F2407" s="3" t="s">
        <v>51</v>
      </c>
      <c r="G2407" s="3" t="n">
        <v>1</v>
      </c>
      <c r="H2407" s="3" t="n">
        <v>5</v>
      </c>
      <c r="I2407" s="22" t="n">
        <v>41794</v>
      </c>
      <c r="J2407" s="22" t="n">
        <v>41799</v>
      </c>
      <c r="K2407" s="43" t="n">
        <f aca="false">J2407-I2407</f>
        <v>5</v>
      </c>
      <c r="L2407" s="1" t="n">
        <v>5</v>
      </c>
      <c r="M2407" s="3" t="s">
        <v>36</v>
      </c>
      <c r="N2407" s="3" t="s">
        <v>37</v>
      </c>
      <c r="O2407" s="3" t="s">
        <v>75</v>
      </c>
      <c r="P2407" s="2" t="str">
        <f aca="false">CONCATENATE(N2407," ",O2407)</f>
        <v>Ozyptila praticola</v>
      </c>
      <c r="Q2407" s="1" t="s">
        <v>30</v>
      </c>
      <c r="R2407" s="1" t="s">
        <v>31</v>
      </c>
      <c r="S2407" s="3" t="n">
        <v>5</v>
      </c>
      <c r="T2407" s="3" t="n">
        <v>0</v>
      </c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f aca="false">SUM(S2407:T2407)</f>
        <v>5</v>
      </c>
      <c r="Z2407" s="3" t="n">
        <f aca="false">SUM(U2407:W2407)</f>
        <v>0</v>
      </c>
      <c r="AA2407" s="3" t="n">
        <f aca="false">SUM(S2407:X2407)</f>
        <v>5</v>
      </c>
      <c r="AB2407" s="11" t="n">
        <f aca="false">(AA2407/(K2407*L2407)*25)*4</f>
        <v>20</v>
      </c>
    </row>
    <row r="2408" customFormat="false" ht="14.25" hidden="false" customHeight="false" outlineLevel="0" collapsed="false">
      <c r="A2408" s="1" t="n">
        <v>2014</v>
      </c>
      <c r="B2408" s="7" t="s">
        <v>322</v>
      </c>
      <c r="C2408" s="7" t="n">
        <v>2</v>
      </c>
      <c r="D2408" s="7" t="s">
        <v>294</v>
      </c>
      <c r="E2408" s="7" t="s">
        <v>294</v>
      </c>
      <c r="F2408" s="3" t="s">
        <v>51</v>
      </c>
      <c r="G2408" s="3" t="n">
        <v>1</v>
      </c>
      <c r="H2408" s="3" t="n">
        <v>5</v>
      </c>
      <c r="I2408" s="22" t="n">
        <v>41794</v>
      </c>
      <c r="J2408" s="22" t="n">
        <v>41799</v>
      </c>
      <c r="K2408" s="43" t="n">
        <f aca="false">J2408-I2408</f>
        <v>5</v>
      </c>
      <c r="L2408" s="1" t="n">
        <v>5</v>
      </c>
      <c r="M2408" s="3" t="s">
        <v>36</v>
      </c>
      <c r="N2408" s="3" t="s">
        <v>131</v>
      </c>
      <c r="O2408" s="3" t="s">
        <v>133</v>
      </c>
      <c r="P2408" s="2" t="str">
        <f aca="false">CONCATENATE(N2408," ",O2408)</f>
        <v>Xysticus luctuosus</v>
      </c>
      <c r="Q2408" s="1" t="s">
        <v>30</v>
      </c>
      <c r="R2408" s="1" t="s">
        <v>31</v>
      </c>
      <c r="S2408" s="3" t="n">
        <v>1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f aca="false">SUM(S2408:T2408)</f>
        <v>1</v>
      </c>
      <c r="Z2408" s="3" t="n">
        <f aca="false">SUM(U2408:W2408)</f>
        <v>0</v>
      </c>
      <c r="AA2408" s="3" t="n">
        <f aca="false">SUM(S2408:X2408)</f>
        <v>1</v>
      </c>
      <c r="AB2408" s="11" t="n">
        <f aca="false">(AA2408/(K2408*L2408)*25)*4</f>
        <v>4</v>
      </c>
    </row>
    <row r="2409" customFormat="false" ht="14.25" hidden="false" customHeight="false" outlineLevel="0" collapsed="false">
      <c r="A2409" s="1" t="n">
        <v>2014</v>
      </c>
      <c r="B2409" s="7" t="s">
        <v>322</v>
      </c>
      <c r="C2409" s="7" t="n">
        <v>2</v>
      </c>
      <c r="D2409" s="7" t="s">
        <v>294</v>
      </c>
      <c r="E2409" s="7" t="s">
        <v>294</v>
      </c>
      <c r="F2409" s="3" t="s">
        <v>51</v>
      </c>
      <c r="G2409" s="3" t="n">
        <v>1</v>
      </c>
      <c r="H2409" s="3" t="n">
        <v>5</v>
      </c>
      <c r="I2409" s="22" t="n">
        <v>41794</v>
      </c>
      <c r="J2409" s="22" t="n">
        <v>41799</v>
      </c>
      <c r="K2409" s="43" t="n">
        <f aca="false">J2409-I2409</f>
        <v>5</v>
      </c>
      <c r="L2409" s="1" t="n">
        <v>5</v>
      </c>
      <c r="M2409" s="3" t="s">
        <v>135</v>
      </c>
      <c r="N2409" s="3" t="s">
        <v>136</v>
      </c>
      <c r="O2409" s="3" t="s">
        <v>137</v>
      </c>
      <c r="P2409" s="2" t="str">
        <f aca="false">CONCATENATE(N2409," ",O2409)</f>
        <v>Thanatus sabulosus</v>
      </c>
      <c r="Q2409" s="1" t="s">
        <v>30</v>
      </c>
      <c r="R2409" s="1" t="s">
        <v>31</v>
      </c>
      <c r="S2409" s="3" t="n">
        <v>2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f aca="false">SUM(S2409:T2409)</f>
        <v>2</v>
      </c>
      <c r="Z2409" s="3" t="n">
        <f aca="false">SUM(U2409:W2409)</f>
        <v>0</v>
      </c>
      <c r="AA2409" s="3" t="n">
        <f aca="false">SUM(S2409:X2409)</f>
        <v>2</v>
      </c>
      <c r="AB2409" s="11" t="n">
        <f aca="false">(AA2409/(K2409*L2409)*25)*4</f>
        <v>8</v>
      </c>
    </row>
    <row r="2410" customFormat="false" ht="14.25" hidden="false" customHeight="false" outlineLevel="0" collapsed="false">
      <c r="A2410" s="1" t="n">
        <v>2014</v>
      </c>
      <c r="B2410" s="7" t="s">
        <v>322</v>
      </c>
      <c r="C2410" s="7" t="n">
        <v>2</v>
      </c>
      <c r="D2410" s="7" t="s">
        <v>294</v>
      </c>
      <c r="E2410" s="7" t="s">
        <v>294</v>
      </c>
      <c r="F2410" s="3" t="s">
        <v>51</v>
      </c>
      <c r="G2410" s="3" t="n">
        <v>1</v>
      </c>
      <c r="H2410" s="3" t="n">
        <v>3</v>
      </c>
      <c r="I2410" s="22" t="n">
        <v>41794</v>
      </c>
      <c r="J2410" s="22" t="n">
        <v>41799</v>
      </c>
      <c r="K2410" s="43" t="n">
        <f aca="false">J2410-I2410</f>
        <v>5</v>
      </c>
      <c r="L2410" s="1" t="n">
        <v>5</v>
      </c>
      <c r="M2410" s="3" t="s">
        <v>48</v>
      </c>
      <c r="N2410" s="3" t="s">
        <v>67</v>
      </c>
      <c r="O2410" s="3" t="s">
        <v>127</v>
      </c>
      <c r="P2410" s="2" t="str">
        <f aca="false">CONCATENATE(N2410," ",O2410)</f>
        <v>Pardosa lugubris</v>
      </c>
      <c r="Q2410" s="1" t="s">
        <v>30</v>
      </c>
      <c r="R2410" s="1" t="s">
        <v>31</v>
      </c>
      <c r="S2410" s="3" t="n">
        <v>16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f aca="false">SUM(S2410:T2410)</f>
        <v>16</v>
      </c>
      <c r="Z2410" s="3" t="n">
        <f aca="false">SUM(U2410:W2410)</f>
        <v>0</v>
      </c>
      <c r="AA2410" s="3" t="n">
        <f aca="false">SUM(S2410:X2410)</f>
        <v>16</v>
      </c>
      <c r="AB2410" s="11" t="n">
        <f aca="false">(AA2410/(K2410*L2410)*25)*4</f>
        <v>64</v>
      </c>
    </row>
    <row r="2411" customFormat="false" ht="14.25" hidden="false" customHeight="false" outlineLevel="0" collapsed="false">
      <c r="A2411" s="1" t="n">
        <v>2014</v>
      </c>
      <c r="B2411" s="7" t="s">
        <v>322</v>
      </c>
      <c r="C2411" s="7" t="n">
        <v>2</v>
      </c>
      <c r="D2411" s="7" t="s">
        <v>294</v>
      </c>
      <c r="E2411" s="7" t="s">
        <v>294</v>
      </c>
      <c r="F2411" s="3" t="s">
        <v>51</v>
      </c>
      <c r="G2411" s="3" t="n">
        <v>1</v>
      </c>
      <c r="H2411" s="3" t="n">
        <v>3</v>
      </c>
      <c r="I2411" s="22" t="n">
        <v>41794</v>
      </c>
      <c r="J2411" s="22" t="n">
        <v>41799</v>
      </c>
      <c r="K2411" s="43" t="n">
        <f aca="false">J2411-I2411</f>
        <v>5</v>
      </c>
      <c r="L2411" s="1" t="n">
        <v>5</v>
      </c>
      <c r="M2411" s="3" t="s">
        <v>48</v>
      </c>
      <c r="N2411" s="3" t="s">
        <v>67</v>
      </c>
      <c r="O2411" s="3" t="s">
        <v>127</v>
      </c>
      <c r="P2411" s="2" t="str">
        <f aca="false">CONCATENATE(N2411," ",O2411)</f>
        <v>Pardosa lugubris</v>
      </c>
      <c r="Q2411" s="1" t="s">
        <v>30</v>
      </c>
      <c r="R2411" s="1" t="s">
        <v>35</v>
      </c>
      <c r="S2411" s="3" t="n">
        <v>0</v>
      </c>
      <c r="T2411" s="3" t="n">
        <v>2</v>
      </c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f aca="false">SUM(S2411:T2411)</f>
        <v>2</v>
      </c>
      <c r="Z2411" s="3" t="n">
        <f aca="false">SUM(U2411:W2411)</f>
        <v>0</v>
      </c>
      <c r="AA2411" s="3" t="n">
        <f aca="false">SUM(S2411:X2411)</f>
        <v>2</v>
      </c>
      <c r="AB2411" s="11" t="n">
        <f aca="false">(AA2411/(K2411*L2411)*25)*4</f>
        <v>8</v>
      </c>
    </row>
    <row r="2412" customFormat="false" ht="14.25" hidden="false" customHeight="false" outlineLevel="0" collapsed="false">
      <c r="A2412" s="1" t="n">
        <v>2014</v>
      </c>
      <c r="B2412" s="7" t="s">
        <v>322</v>
      </c>
      <c r="C2412" s="7" t="n">
        <v>2</v>
      </c>
      <c r="D2412" s="7" t="s">
        <v>294</v>
      </c>
      <c r="E2412" s="7" t="s">
        <v>294</v>
      </c>
      <c r="F2412" s="3" t="s">
        <v>51</v>
      </c>
      <c r="G2412" s="3" t="n">
        <v>1</v>
      </c>
      <c r="H2412" s="3" t="n">
        <v>3</v>
      </c>
      <c r="I2412" s="22" t="n">
        <v>41794</v>
      </c>
      <c r="J2412" s="22" t="n">
        <v>41799</v>
      </c>
      <c r="K2412" s="43" t="n">
        <f aca="false">J2412-I2412</f>
        <v>5</v>
      </c>
      <c r="L2412" s="1" t="n">
        <v>5</v>
      </c>
      <c r="M2412" s="3" t="s">
        <v>36</v>
      </c>
      <c r="N2412" s="3" t="s">
        <v>37</v>
      </c>
      <c r="O2412" s="3" t="s">
        <v>75</v>
      </c>
      <c r="P2412" s="2" t="str">
        <f aca="false">CONCATENATE(N2412," ",O2412)</f>
        <v>Ozyptila praticola</v>
      </c>
      <c r="Q2412" s="1" t="s">
        <v>30</v>
      </c>
      <c r="R2412" s="1" t="s">
        <v>31</v>
      </c>
      <c r="S2412" s="3" t="n">
        <v>1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f aca="false">SUM(S2412:T2412)</f>
        <v>1</v>
      </c>
      <c r="Z2412" s="3" t="n">
        <f aca="false">SUM(U2412:W2412)</f>
        <v>0</v>
      </c>
      <c r="AA2412" s="3" t="n">
        <f aca="false">SUM(S2412:X2412)</f>
        <v>1</v>
      </c>
      <c r="AB2412" s="11" t="n">
        <f aca="false">(AA2412/(K2412*L2412)*25)*4</f>
        <v>4</v>
      </c>
    </row>
    <row r="2413" customFormat="false" ht="14.25" hidden="false" customHeight="false" outlineLevel="0" collapsed="false">
      <c r="A2413" s="1" t="n">
        <v>2014</v>
      </c>
      <c r="B2413" s="7" t="s">
        <v>322</v>
      </c>
      <c r="C2413" s="7" t="n">
        <v>2</v>
      </c>
      <c r="D2413" s="7" t="s">
        <v>294</v>
      </c>
      <c r="E2413" s="7" t="s">
        <v>294</v>
      </c>
      <c r="F2413" s="3" t="s">
        <v>51</v>
      </c>
      <c r="G2413" s="3" t="n">
        <v>1</v>
      </c>
      <c r="H2413" s="3" t="n">
        <v>3</v>
      </c>
      <c r="I2413" s="22" t="n">
        <v>41794</v>
      </c>
      <c r="J2413" s="22" t="n">
        <v>41799</v>
      </c>
      <c r="K2413" s="43" t="n">
        <f aca="false">J2413-I2413</f>
        <v>5</v>
      </c>
      <c r="L2413" s="1" t="n">
        <v>5</v>
      </c>
      <c r="M2413" s="3" t="s">
        <v>72</v>
      </c>
      <c r="N2413" s="3" t="s">
        <v>73</v>
      </c>
      <c r="O2413" s="3" t="s">
        <v>74</v>
      </c>
      <c r="P2413" s="2" t="str">
        <f aca="false">CONCATENATE(N2413," ",O2413)</f>
        <v>Zelotes subterraneus</v>
      </c>
      <c r="Q2413" s="1" t="s">
        <v>30</v>
      </c>
      <c r="R2413" s="1" t="s">
        <v>31</v>
      </c>
      <c r="S2413" s="3" t="n">
        <v>1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f aca="false">SUM(S2413:T2413)</f>
        <v>1</v>
      </c>
      <c r="Z2413" s="3" t="n">
        <f aca="false">SUM(U2413:W2413)</f>
        <v>0</v>
      </c>
      <c r="AA2413" s="3" t="n">
        <f aca="false">SUM(S2413:X2413)</f>
        <v>1</v>
      </c>
      <c r="AB2413" s="11" t="n">
        <f aca="false">(AA2413/(K2413*L2413)*25)*4</f>
        <v>4</v>
      </c>
    </row>
    <row r="2414" customFormat="false" ht="14.25" hidden="false" customHeight="false" outlineLevel="0" collapsed="false">
      <c r="A2414" s="1" t="n">
        <v>2014</v>
      </c>
      <c r="B2414" s="7" t="s">
        <v>322</v>
      </c>
      <c r="C2414" s="7" t="n">
        <v>2</v>
      </c>
      <c r="D2414" s="7" t="s">
        <v>294</v>
      </c>
      <c r="E2414" s="7" t="s">
        <v>294</v>
      </c>
      <c r="F2414" s="3" t="s">
        <v>51</v>
      </c>
      <c r="G2414" s="3" t="n">
        <v>1</v>
      </c>
      <c r="H2414" s="3" t="n">
        <v>3</v>
      </c>
      <c r="I2414" s="22" t="n">
        <v>41794</v>
      </c>
      <c r="J2414" s="22" t="n">
        <v>41799</v>
      </c>
      <c r="K2414" s="43" t="n">
        <f aca="false">J2414-I2414</f>
        <v>5</v>
      </c>
      <c r="L2414" s="1" t="n">
        <v>5</v>
      </c>
      <c r="M2414" s="3" t="s">
        <v>72</v>
      </c>
      <c r="N2414" s="3" t="s">
        <v>86</v>
      </c>
      <c r="O2414" s="3" t="s">
        <v>87</v>
      </c>
      <c r="P2414" s="2" t="str">
        <f aca="false">CONCATENATE(N2414," ",O2414)</f>
        <v>Haplodrassus soerenseni</v>
      </c>
      <c r="Q2414" s="1" t="s">
        <v>30</v>
      </c>
      <c r="R2414" s="1" t="s">
        <v>31</v>
      </c>
      <c r="S2414" s="3" t="n">
        <v>2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f aca="false">SUM(S2414:T2414)</f>
        <v>2</v>
      </c>
      <c r="Z2414" s="3" t="n">
        <f aca="false">SUM(U2414:W2414)</f>
        <v>0</v>
      </c>
      <c r="AA2414" s="3" t="n">
        <f aca="false">SUM(S2414:X2414)</f>
        <v>2</v>
      </c>
      <c r="AB2414" s="11" t="n">
        <f aca="false">(AA2414/(K2414*L2414)*25)*4</f>
        <v>8</v>
      </c>
    </row>
    <row r="2415" customFormat="false" ht="14.25" hidden="false" customHeight="false" outlineLevel="0" collapsed="false">
      <c r="A2415" s="1" t="n">
        <v>2014</v>
      </c>
      <c r="B2415" s="7" t="s">
        <v>322</v>
      </c>
      <c r="C2415" s="7" t="n">
        <v>2</v>
      </c>
      <c r="D2415" s="7" t="s">
        <v>294</v>
      </c>
      <c r="E2415" s="7" t="s">
        <v>294</v>
      </c>
      <c r="F2415" s="3" t="s">
        <v>51</v>
      </c>
      <c r="G2415" s="3" t="n">
        <v>1</v>
      </c>
      <c r="H2415" s="3" t="n">
        <v>3</v>
      </c>
      <c r="I2415" s="22" t="n">
        <v>41794</v>
      </c>
      <c r="J2415" s="22" t="n">
        <v>41799</v>
      </c>
      <c r="K2415" s="43" t="n">
        <f aca="false">J2415-I2415</f>
        <v>5</v>
      </c>
      <c r="L2415" s="1" t="n">
        <v>5</v>
      </c>
      <c r="M2415" s="3" t="s">
        <v>32</v>
      </c>
      <c r="N2415" s="3" t="s">
        <v>154</v>
      </c>
      <c r="O2415" s="3" t="s">
        <v>155</v>
      </c>
      <c r="P2415" s="2" t="str">
        <f aca="false">CONCATENATE(N2415," ",O2415)</f>
        <v>Pocadicnemis pumila</v>
      </c>
      <c r="Q2415" s="1" t="s">
        <v>30</v>
      </c>
      <c r="R2415" s="1" t="s">
        <v>35</v>
      </c>
      <c r="S2415" s="3" t="n">
        <v>0</v>
      </c>
      <c r="T2415" s="3" t="n">
        <v>1</v>
      </c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f aca="false">SUM(S2415:T2415)</f>
        <v>1</v>
      </c>
      <c r="Z2415" s="3" t="n">
        <f aca="false">SUM(U2415:W2415)</f>
        <v>0</v>
      </c>
      <c r="AA2415" s="3" t="n">
        <f aca="false">SUM(S2415:X2415)</f>
        <v>1</v>
      </c>
      <c r="AB2415" s="11" t="n">
        <f aca="false">(AA2415/(K2415*L2415)*25)*4</f>
        <v>4</v>
      </c>
    </row>
    <row r="2416" customFormat="false" ht="14.25" hidden="false" customHeight="false" outlineLevel="0" collapsed="false">
      <c r="A2416" s="1" t="n">
        <v>2014</v>
      </c>
      <c r="B2416" s="7" t="s">
        <v>322</v>
      </c>
      <c r="C2416" s="7" t="n">
        <v>2</v>
      </c>
      <c r="D2416" s="7" t="s">
        <v>294</v>
      </c>
      <c r="E2416" s="7" t="s">
        <v>294</v>
      </c>
      <c r="F2416" s="3" t="s">
        <v>51</v>
      </c>
      <c r="G2416" s="3" t="n">
        <v>3</v>
      </c>
      <c r="H2416" s="3" t="n">
        <v>13</v>
      </c>
      <c r="I2416" s="22" t="n">
        <v>41794</v>
      </c>
      <c r="J2416" s="22" t="n">
        <v>41799</v>
      </c>
      <c r="K2416" s="43" t="n">
        <f aca="false">J2416-I2416</f>
        <v>5</v>
      </c>
      <c r="L2416" s="1" t="n">
        <v>5</v>
      </c>
      <c r="M2416" s="3" t="s">
        <v>48</v>
      </c>
      <c r="N2416" s="3" t="s">
        <v>67</v>
      </c>
      <c r="O2416" s="3" t="s">
        <v>127</v>
      </c>
      <c r="P2416" s="2" t="str">
        <f aca="false">CONCATENATE(N2416," ",O2416)</f>
        <v>Pardosa lugubris</v>
      </c>
      <c r="Q2416" s="1" t="s">
        <v>30</v>
      </c>
      <c r="R2416" s="1" t="s">
        <v>31</v>
      </c>
      <c r="S2416" s="3" t="n">
        <v>8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f aca="false">SUM(S2416:T2416)</f>
        <v>8</v>
      </c>
      <c r="Z2416" s="3" t="n">
        <f aca="false">SUM(U2416:W2416)</f>
        <v>0</v>
      </c>
      <c r="AA2416" s="3" t="n">
        <f aca="false">SUM(S2416:X2416)</f>
        <v>8</v>
      </c>
      <c r="AB2416" s="11" t="n">
        <f aca="false">(AA2416/(K2416*L2416)*25)*4</f>
        <v>32</v>
      </c>
    </row>
    <row r="2417" customFormat="false" ht="14.25" hidden="false" customHeight="false" outlineLevel="0" collapsed="false">
      <c r="A2417" s="1" t="n">
        <v>2014</v>
      </c>
      <c r="B2417" s="7" t="s">
        <v>322</v>
      </c>
      <c r="C2417" s="7" t="n">
        <v>2</v>
      </c>
      <c r="D2417" s="7" t="s">
        <v>294</v>
      </c>
      <c r="E2417" s="7" t="s">
        <v>294</v>
      </c>
      <c r="F2417" s="3" t="s">
        <v>51</v>
      </c>
      <c r="G2417" s="3" t="n">
        <v>3</v>
      </c>
      <c r="H2417" s="3" t="n">
        <v>13</v>
      </c>
      <c r="I2417" s="22" t="n">
        <v>41794</v>
      </c>
      <c r="J2417" s="22" t="n">
        <v>41799</v>
      </c>
      <c r="K2417" s="43" t="n">
        <f aca="false">J2417-I2417</f>
        <v>5</v>
      </c>
      <c r="L2417" s="1" t="n">
        <v>5</v>
      </c>
      <c r="M2417" s="3" t="s">
        <v>48</v>
      </c>
      <c r="N2417" s="3" t="s">
        <v>67</v>
      </c>
      <c r="O2417" s="3" t="s">
        <v>127</v>
      </c>
      <c r="P2417" s="2" t="str">
        <f aca="false">CONCATENATE(N2417," ",O2417)</f>
        <v>Pardosa lugubris</v>
      </c>
      <c r="Q2417" s="1" t="s">
        <v>30</v>
      </c>
      <c r="R2417" s="1" t="s">
        <v>35</v>
      </c>
      <c r="S2417" s="3" t="n">
        <v>0</v>
      </c>
      <c r="T2417" s="3" t="n">
        <v>3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f aca="false">SUM(S2417:T2417)</f>
        <v>3</v>
      </c>
      <c r="Z2417" s="3" t="n">
        <f aca="false">SUM(U2417:W2417)</f>
        <v>0</v>
      </c>
      <c r="AA2417" s="3" t="n">
        <f aca="false">SUM(S2417:X2417)</f>
        <v>3</v>
      </c>
      <c r="AB2417" s="11" t="n">
        <f aca="false">(AA2417/(K2417*L2417)*25)*4</f>
        <v>12</v>
      </c>
    </row>
    <row r="2418" customFormat="false" ht="14.25" hidden="false" customHeight="false" outlineLevel="0" collapsed="false">
      <c r="A2418" s="1" t="n">
        <v>2014</v>
      </c>
      <c r="B2418" s="7" t="s">
        <v>322</v>
      </c>
      <c r="C2418" s="7" t="n">
        <v>2</v>
      </c>
      <c r="D2418" s="7" t="s">
        <v>294</v>
      </c>
      <c r="E2418" s="7" t="s">
        <v>294</v>
      </c>
      <c r="F2418" s="3" t="s">
        <v>51</v>
      </c>
      <c r="G2418" s="3" t="n">
        <v>3</v>
      </c>
      <c r="H2418" s="3" t="n">
        <v>13</v>
      </c>
      <c r="I2418" s="22" t="n">
        <v>41794</v>
      </c>
      <c r="J2418" s="22" t="n">
        <v>41799</v>
      </c>
      <c r="K2418" s="43" t="n">
        <f aca="false">J2418-I2418</f>
        <v>5</v>
      </c>
      <c r="L2418" s="1" t="n">
        <v>5</v>
      </c>
      <c r="M2418" s="3" t="s">
        <v>48</v>
      </c>
      <c r="N2418" s="3" t="s">
        <v>49</v>
      </c>
      <c r="O2418" s="3" t="s">
        <v>104</v>
      </c>
      <c r="P2418" s="2" t="str">
        <f aca="false">CONCATENATE(N2418," ",O2418)</f>
        <v>Alopecosa taeniata</v>
      </c>
      <c r="Q2418" s="1" t="s">
        <v>30</v>
      </c>
      <c r="R2418" s="1" t="s">
        <v>31</v>
      </c>
      <c r="S2418" s="3" t="n">
        <v>1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f aca="false">SUM(S2418:T2418)</f>
        <v>1</v>
      </c>
      <c r="Z2418" s="3" t="n">
        <f aca="false">SUM(U2418:W2418)</f>
        <v>0</v>
      </c>
      <c r="AA2418" s="3" t="n">
        <f aca="false">SUM(S2418:X2418)</f>
        <v>1</v>
      </c>
      <c r="AB2418" s="11" t="n">
        <f aca="false">(AA2418/(K2418*L2418)*25)*4</f>
        <v>4</v>
      </c>
    </row>
    <row r="2419" customFormat="false" ht="14.25" hidden="false" customHeight="false" outlineLevel="0" collapsed="false">
      <c r="A2419" s="1" t="n">
        <v>2014</v>
      </c>
      <c r="B2419" s="7" t="s">
        <v>322</v>
      </c>
      <c r="C2419" s="7" t="n">
        <v>2</v>
      </c>
      <c r="D2419" s="7" t="s">
        <v>294</v>
      </c>
      <c r="E2419" s="7" t="s">
        <v>294</v>
      </c>
      <c r="F2419" s="3" t="s">
        <v>51</v>
      </c>
      <c r="G2419" s="3" t="n">
        <v>3</v>
      </c>
      <c r="H2419" s="3" t="n">
        <v>13</v>
      </c>
      <c r="I2419" s="22" t="n">
        <v>41794</v>
      </c>
      <c r="J2419" s="22" t="n">
        <v>41799</v>
      </c>
      <c r="K2419" s="43" t="n">
        <f aca="false">J2419-I2419</f>
        <v>5</v>
      </c>
      <c r="L2419" s="1" t="n">
        <v>5</v>
      </c>
      <c r="M2419" s="3" t="s">
        <v>226</v>
      </c>
      <c r="N2419" s="3" t="s">
        <v>65</v>
      </c>
      <c r="O2419" s="3" t="s">
        <v>123</v>
      </c>
      <c r="P2419" s="2" t="str">
        <f aca="false">CONCATENATE(N2419," ",O2419)</f>
        <v>Zora nemoralis</v>
      </c>
      <c r="Q2419" s="1" t="s">
        <v>30</v>
      </c>
      <c r="R2419" s="1" t="s">
        <v>31</v>
      </c>
      <c r="S2419" s="3" t="n">
        <v>1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f aca="false">SUM(S2419:T2419)</f>
        <v>1</v>
      </c>
      <c r="Z2419" s="3" t="n">
        <f aca="false">SUM(U2419:W2419)</f>
        <v>0</v>
      </c>
      <c r="AA2419" s="3" t="n">
        <f aca="false">SUM(S2419:X2419)</f>
        <v>1</v>
      </c>
      <c r="AB2419" s="11" t="n">
        <f aca="false">(AA2419/(K2419*L2419)*25)*4</f>
        <v>4</v>
      </c>
    </row>
    <row r="2420" customFormat="false" ht="14.25" hidden="false" customHeight="false" outlineLevel="0" collapsed="false">
      <c r="A2420" s="1" t="n">
        <v>2014</v>
      </c>
      <c r="B2420" s="7" t="s">
        <v>322</v>
      </c>
      <c r="C2420" s="7" t="n">
        <v>2</v>
      </c>
      <c r="D2420" s="7" t="s">
        <v>294</v>
      </c>
      <c r="E2420" s="7" t="s">
        <v>294</v>
      </c>
      <c r="F2420" s="3" t="s">
        <v>51</v>
      </c>
      <c r="G2420" s="3" t="n">
        <v>3</v>
      </c>
      <c r="H2420" s="3" t="n">
        <v>13</v>
      </c>
      <c r="I2420" s="22" t="n">
        <v>41794</v>
      </c>
      <c r="J2420" s="22" t="n">
        <v>41799</v>
      </c>
      <c r="K2420" s="43" t="n">
        <f aca="false">J2420-I2420</f>
        <v>5</v>
      </c>
      <c r="L2420" s="1" t="n">
        <v>5</v>
      </c>
      <c r="M2420" s="3" t="s">
        <v>36</v>
      </c>
      <c r="N2420" s="3" t="s">
        <v>131</v>
      </c>
      <c r="O2420" s="3" t="s">
        <v>133</v>
      </c>
      <c r="P2420" s="2" t="str">
        <f aca="false">CONCATENATE(N2420," ",O2420)</f>
        <v>Xysticus luctuosus</v>
      </c>
      <c r="Q2420" s="1" t="s">
        <v>30</v>
      </c>
      <c r="R2420" s="1" t="s">
        <v>31</v>
      </c>
      <c r="S2420" s="3" t="n">
        <v>1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f aca="false">SUM(S2420:T2420)</f>
        <v>1</v>
      </c>
      <c r="Z2420" s="3" t="n">
        <f aca="false">SUM(U2420:W2420)</f>
        <v>0</v>
      </c>
      <c r="AA2420" s="3" t="n">
        <f aca="false">SUM(S2420:X2420)</f>
        <v>1</v>
      </c>
      <c r="AB2420" s="11" t="n">
        <f aca="false">(AA2420/(K2420*L2420)*25)*4</f>
        <v>4</v>
      </c>
    </row>
    <row r="2421" customFormat="false" ht="14.25" hidden="false" customHeight="false" outlineLevel="0" collapsed="false">
      <c r="A2421" s="1" t="n">
        <v>2014</v>
      </c>
      <c r="B2421" s="7" t="s">
        <v>322</v>
      </c>
      <c r="C2421" s="7" t="n">
        <v>2</v>
      </c>
      <c r="D2421" s="7" t="s">
        <v>294</v>
      </c>
      <c r="E2421" s="7" t="s">
        <v>294</v>
      </c>
      <c r="F2421" s="3" t="s">
        <v>51</v>
      </c>
      <c r="G2421" s="3" t="n">
        <v>3</v>
      </c>
      <c r="H2421" s="3" t="n">
        <v>13</v>
      </c>
      <c r="I2421" s="22" t="n">
        <v>41794</v>
      </c>
      <c r="J2421" s="22" t="n">
        <v>41799</v>
      </c>
      <c r="K2421" s="43" t="n">
        <f aca="false">J2421-I2421</f>
        <v>5</v>
      </c>
      <c r="L2421" s="1" t="n">
        <v>5</v>
      </c>
      <c r="M2421" s="3" t="s">
        <v>72</v>
      </c>
      <c r="N2421" s="3" t="s">
        <v>86</v>
      </c>
      <c r="O2421" s="3" t="s">
        <v>87</v>
      </c>
      <c r="P2421" s="2" t="str">
        <f aca="false">CONCATENATE(N2421," ",O2421)</f>
        <v>Haplodrassus soerenseni</v>
      </c>
      <c r="Q2421" s="1" t="s">
        <v>30</v>
      </c>
      <c r="R2421" s="1" t="s">
        <v>35</v>
      </c>
      <c r="S2421" s="3" t="n">
        <v>0</v>
      </c>
      <c r="T2421" s="3" t="n">
        <v>2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f aca="false">SUM(S2421:T2421)</f>
        <v>2</v>
      </c>
      <c r="Z2421" s="3" t="n">
        <f aca="false">SUM(U2421:W2421)</f>
        <v>0</v>
      </c>
      <c r="AA2421" s="3" t="n">
        <f aca="false">SUM(S2421:X2421)</f>
        <v>2</v>
      </c>
      <c r="AB2421" s="11" t="n">
        <f aca="false">(AA2421/(K2421*L2421)*25)*4</f>
        <v>8</v>
      </c>
    </row>
    <row r="2422" customFormat="false" ht="14.25" hidden="false" customHeight="false" outlineLevel="0" collapsed="false">
      <c r="A2422" s="1" t="n">
        <v>2014</v>
      </c>
      <c r="B2422" s="7" t="s">
        <v>322</v>
      </c>
      <c r="C2422" s="7" t="n">
        <v>2</v>
      </c>
      <c r="D2422" s="7" t="s">
        <v>294</v>
      </c>
      <c r="E2422" s="7" t="s">
        <v>294</v>
      </c>
      <c r="F2422" s="3" t="s">
        <v>51</v>
      </c>
      <c r="G2422" s="3" t="n">
        <v>3</v>
      </c>
      <c r="H2422" s="3" t="n">
        <v>13</v>
      </c>
      <c r="I2422" s="22" t="n">
        <v>41794</v>
      </c>
      <c r="J2422" s="22" t="n">
        <v>41799</v>
      </c>
      <c r="K2422" s="43" t="n">
        <f aca="false">J2422-I2422</f>
        <v>5</v>
      </c>
      <c r="L2422" s="1" t="n">
        <v>5</v>
      </c>
      <c r="M2422" s="3" t="s">
        <v>32</v>
      </c>
      <c r="N2422" s="3" t="s">
        <v>96</v>
      </c>
      <c r="O2422" s="3" t="s">
        <v>97</v>
      </c>
      <c r="P2422" s="2" t="str">
        <f aca="false">CONCATENATE(N2422," ",O2422)</f>
        <v>Diplocephalus picinus</v>
      </c>
      <c r="Q2422" s="1" t="s">
        <v>30</v>
      </c>
      <c r="R2422" s="1" t="s">
        <v>31</v>
      </c>
      <c r="S2422" s="3" t="n">
        <v>1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f aca="false">SUM(S2422:T2422)</f>
        <v>1</v>
      </c>
      <c r="Z2422" s="3" t="n">
        <f aca="false">SUM(U2422:W2422)</f>
        <v>0</v>
      </c>
      <c r="AA2422" s="3" t="n">
        <f aca="false">SUM(S2422:X2422)</f>
        <v>1</v>
      </c>
      <c r="AB2422" s="11" t="n">
        <f aca="false">(AA2422/(K2422*L2422)*25)*4</f>
        <v>4</v>
      </c>
    </row>
    <row r="2423" customFormat="false" ht="14.25" hidden="false" customHeight="false" outlineLevel="0" collapsed="false">
      <c r="A2423" s="1" t="n">
        <v>2014</v>
      </c>
      <c r="B2423" s="7" t="s">
        <v>322</v>
      </c>
      <c r="C2423" s="7" t="n">
        <v>2</v>
      </c>
      <c r="D2423" s="7" t="s">
        <v>294</v>
      </c>
      <c r="E2423" s="7" t="s">
        <v>294</v>
      </c>
      <c r="F2423" s="3" t="s">
        <v>51</v>
      </c>
      <c r="G2423" s="3" t="n">
        <v>1</v>
      </c>
      <c r="H2423" s="3" t="n">
        <v>2</v>
      </c>
      <c r="I2423" s="22" t="n">
        <v>41794</v>
      </c>
      <c r="J2423" s="22" t="n">
        <v>41799</v>
      </c>
      <c r="K2423" s="43" t="n">
        <f aca="false">J2423-I2423</f>
        <v>5</v>
      </c>
      <c r="L2423" s="1" t="n">
        <v>5</v>
      </c>
      <c r="M2423" s="3" t="s">
        <v>48</v>
      </c>
      <c r="N2423" s="3" t="s">
        <v>67</v>
      </c>
      <c r="O2423" s="3" t="s">
        <v>127</v>
      </c>
      <c r="P2423" s="2" t="str">
        <f aca="false">CONCATENATE(N2423," ",O2423)</f>
        <v>Pardosa lugubris</v>
      </c>
      <c r="Q2423" s="1" t="s">
        <v>30</v>
      </c>
      <c r="R2423" s="1" t="s">
        <v>31</v>
      </c>
      <c r="S2423" s="3" t="n">
        <v>5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f aca="false">SUM(S2423:T2423)</f>
        <v>5</v>
      </c>
      <c r="Z2423" s="3" t="n">
        <f aca="false">SUM(U2423:W2423)</f>
        <v>0</v>
      </c>
      <c r="AA2423" s="3" t="n">
        <f aca="false">SUM(S2423:X2423)</f>
        <v>5</v>
      </c>
      <c r="AB2423" s="11" t="n">
        <f aca="false">(AA2423/(K2423*L2423)*25)*4</f>
        <v>20</v>
      </c>
    </row>
    <row r="2424" customFormat="false" ht="14.25" hidden="false" customHeight="false" outlineLevel="0" collapsed="false">
      <c r="A2424" s="1" t="n">
        <v>2014</v>
      </c>
      <c r="B2424" s="7" t="s">
        <v>322</v>
      </c>
      <c r="C2424" s="7" t="n">
        <v>2</v>
      </c>
      <c r="D2424" s="7" t="s">
        <v>294</v>
      </c>
      <c r="E2424" s="7" t="s">
        <v>294</v>
      </c>
      <c r="F2424" s="3" t="s">
        <v>51</v>
      </c>
      <c r="G2424" s="3" t="n">
        <v>1</v>
      </c>
      <c r="H2424" s="3" t="n">
        <v>2</v>
      </c>
      <c r="I2424" s="22" t="n">
        <v>41794</v>
      </c>
      <c r="J2424" s="22" t="n">
        <v>41799</v>
      </c>
      <c r="K2424" s="43" t="n">
        <f aca="false">J2424-I2424</f>
        <v>5</v>
      </c>
      <c r="L2424" s="1" t="n">
        <v>5</v>
      </c>
      <c r="M2424" s="3" t="s">
        <v>48</v>
      </c>
      <c r="N2424" s="3" t="s">
        <v>67</v>
      </c>
      <c r="O2424" s="3" t="s">
        <v>127</v>
      </c>
      <c r="P2424" s="2" t="str">
        <f aca="false">CONCATENATE(N2424," ",O2424)</f>
        <v>Pardosa lugubris</v>
      </c>
      <c r="Q2424" s="1" t="s">
        <v>30</v>
      </c>
      <c r="R2424" s="1" t="s">
        <v>35</v>
      </c>
      <c r="S2424" s="3" t="n">
        <v>0</v>
      </c>
      <c r="T2424" s="3" t="n">
        <v>2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f aca="false">SUM(S2424:T2424)</f>
        <v>2</v>
      </c>
      <c r="Z2424" s="3" t="n">
        <f aca="false">SUM(U2424:W2424)</f>
        <v>0</v>
      </c>
      <c r="AA2424" s="3" t="n">
        <f aca="false">SUM(S2424:X2424)</f>
        <v>2</v>
      </c>
      <c r="AB2424" s="11" t="n">
        <f aca="false">(AA2424/(K2424*L2424)*25)*4</f>
        <v>8</v>
      </c>
    </row>
    <row r="2425" customFormat="false" ht="14.25" hidden="false" customHeight="false" outlineLevel="0" collapsed="false">
      <c r="A2425" s="1" t="n">
        <v>2014</v>
      </c>
      <c r="B2425" s="7" t="s">
        <v>322</v>
      </c>
      <c r="C2425" s="7" t="n">
        <v>2</v>
      </c>
      <c r="D2425" s="7" t="s">
        <v>294</v>
      </c>
      <c r="E2425" s="7" t="s">
        <v>294</v>
      </c>
      <c r="F2425" s="3" t="s">
        <v>51</v>
      </c>
      <c r="G2425" s="3" t="n">
        <v>1</v>
      </c>
      <c r="H2425" s="3" t="n">
        <v>2</v>
      </c>
      <c r="I2425" s="22" t="n">
        <v>41794</v>
      </c>
      <c r="J2425" s="22" t="n">
        <v>41799</v>
      </c>
      <c r="K2425" s="43" t="n">
        <f aca="false">J2425-I2425</f>
        <v>5</v>
      </c>
      <c r="L2425" s="1" t="n">
        <v>5</v>
      </c>
      <c r="M2425" s="3" t="s">
        <v>72</v>
      </c>
      <c r="N2425" s="3" t="s">
        <v>73</v>
      </c>
      <c r="O2425" s="3" t="s">
        <v>74</v>
      </c>
      <c r="P2425" s="2" t="str">
        <f aca="false">CONCATENATE(N2425," ",O2425)</f>
        <v>Zelotes subterraneus</v>
      </c>
      <c r="Q2425" s="1" t="s">
        <v>30</v>
      </c>
      <c r="R2425" s="1" t="s">
        <v>31</v>
      </c>
      <c r="S2425" s="3" t="n">
        <v>3</v>
      </c>
      <c r="T2425" s="3" t="n">
        <v>0</v>
      </c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f aca="false">SUM(S2425:T2425)</f>
        <v>3</v>
      </c>
      <c r="Z2425" s="3" t="n">
        <f aca="false">SUM(U2425:W2425)</f>
        <v>0</v>
      </c>
      <c r="AA2425" s="3" t="n">
        <f aca="false">SUM(S2425:X2425)</f>
        <v>3</v>
      </c>
      <c r="AB2425" s="11" t="n">
        <f aca="false">(AA2425/(K2425*L2425)*25)*4</f>
        <v>12</v>
      </c>
    </row>
    <row r="2426" customFormat="false" ht="14.25" hidden="false" customHeight="false" outlineLevel="0" collapsed="false">
      <c r="A2426" s="1" t="n">
        <v>2014</v>
      </c>
      <c r="B2426" s="7" t="s">
        <v>322</v>
      </c>
      <c r="C2426" s="7" t="n">
        <v>2</v>
      </c>
      <c r="D2426" s="7" t="s">
        <v>294</v>
      </c>
      <c r="E2426" s="7" t="s">
        <v>294</v>
      </c>
      <c r="F2426" s="3" t="s">
        <v>51</v>
      </c>
      <c r="G2426" s="3" t="n">
        <v>1</v>
      </c>
      <c r="H2426" s="3" t="n">
        <v>2</v>
      </c>
      <c r="I2426" s="22" t="n">
        <v>41794</v>
      </c>
      <c r="J2426" s="22" t="n">
        <v>41799</v>
      </c>
      <c r="K2426" s="43" t="n">
        <f aca="false">J2426-I2426</f>
        <v>5</v>
      </c>
      <c r="L2426" s="1" t="n">
        <v>5</v>
      </c>
      <c r="M2426" s="3" t="s">
        <v>72</v>
      </c>
      <c r="N2426" s="3" t="s">
        <v>86</v>
      </c>
      <c r="O2426" s="3" t="s">
        <v>87</v>
      </c>
      <c r="P2426" s="2" t="str">
        <f aca="false">CONCATENATE(N2426," ",O2426)</f>
        <v>Haplodrassus soerenseni</v>
      </c>
      <c r="Q2426" s="1" t="s">
        <v>30</v>
      </c>
      <c r="R2426" s="1" t="s">
        <v>31</v>
      </c>
      <c r="S2426" s="3" t="n">
        <v>1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f aca="false">SUM(S2426:T2426)</f>
        <v>1</v>
      </c>
      <c r="Z2426" s="3" t="n">
        <f aca="false">SUM(U2426:W2426)</f>
        <v>0</v>
      </c>
      <c r="AA2426" s="3" t="n">
        <f aca="false">SUM(S2426:X2426)</f>
        <v>1</v>
      </c>
      <c r="AB2426" s="11" t="n">
        <f aca="false">(AA2426/(K2426*L2426)*25)*4</f>
        <v>4</v>
      </c>
    </row>
    <row r="2427" customFormat="false" ht="14.25" hidden="false" customHeight="false" outlineLevel="0" collapsed="false">
      <c r="A2427" s="1" t="n">
        <v>2014</v>
      </c>
      <c r="B2427" s="7" t="s">
        <v>322</v>
      </c>
      <c r="C2427" s="7" t="n">
        <v>2</v>
      </c>
      <c r="D2427" s="7" t="s">
        <v>294</v>
      </c>
      <c r="E2427" s="7" t="s">
        <v>294</v>
      </c>
      <c r="F2427" s="3" t="s">
        <v>51</v>
      </c>
      <c r="G2427" s="3" t="n">
        <v>1</v>
      </c>
      <c r="H2427" s="3" t="n">
        <v>2</v>
      </c>
      <c r="I2427" s="22" t="n">
        <v>41794</v>
      </c>
      <c r="J2427" s="22" t="n">
        <v>41799</v>
      </c>
      <c r="K2427" s="43" t="n">
        <f aca="false">J2427-I2427</f>
        <v>5</v>
      </c>
      <c r="L2427" s="1" t="n">
        <v>5</v>
      </c>
      <c r="M2427" s="3" t="s">
        <v>135</v>
      </c>
      <c r="N2427" s="3" t="s">
        <v>136</v>
      </c>
      <c r="O2427" s="3" t="s">
        <v>137</v>
      </c>
      <c r="P2427" s="2" t="str">
        <f aca="false">CONCATENATE(N2427," ",O2427)</f>
        <v>Thanatus sabulosus</v>
      </c>
      <c r="Q2427" s="1" t="s">
        <v>30</v>
      </c>
      <c r="R2427" s="1" t="s">
        <v>35</v>
      </c>
      <c r="S2427" s="3" t="n">
        <v>0</v>
      </c>
      <c r="T2427" s="3" t="n">
        <v>1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f aca="false">SUM(S2427:T2427)</f>
        <v>1</v>
      </c>
      <c r="Z2427" s="3" t="n">
        <f aca="false">SUM(U2427:W2427)</f>
        <v>0</v>
      </c>
      <c r="AA2427" s="3" t="n">
        <f aca="false">SUM(S2427:X2427)</f>
        <v>1</v>
      </c>
      <c r="AB2427" s="11" t="n">
        <f aca="false">(AA2427/(K2427*L2427)*25)*4</f>
        <v>4</v>
      </c>
    </row>
    <row r="2428" customFormat="false" ht="14.25" hidden="false" customHeight="false" outlineLevel="0" collapsed="false">
      <c r="A2428" s="1" t="n">
        <v>2014</v>
      </c>
      <c r="B2428" s="7" t="s">
        <v>322</v>
      </c>
      <c r="C2428" s="7" t="n">
        <v>2</v>
      </c>
      <c r="D2428" s="7" t="s">
        <v>294</v>
      </c>
      <c r="E2428" s="7" t="s">
        <v>294</v>
      </c>
      <c r="F2428" s="3" t="s">
        <v>51</v>
      </c>
      <c r="G2428" s="3" t="n">
        <v>1</v>
      </c>
      <c r="H2428" s="3" t="n">
        <v>2</v>
      </c>
      <c r="I2428" s="22" t="n">
        <v>41794</v>
      </c>
      <c r="J2428" s="22" t="n">
        <v>41799</v>
      </c>
      <c r="K2428" s="43" t="n">
        <f aca="false">J2428-I2428</f>
        <v>5</v>
      </c>
      <c r="L2428" s="1" t="n">
        <v>5</v>
      </c>
      <c r="M2428" s="3" t="s">
        <v>226</v>
      </c>
      <c r="N2428" s="3" t="s">
        <v>65</v>
      </c>
      <c r="O2428" s="3" t="s">
        <v>123</v>
      </c>
      <c r="P2428" s="2" t="str">
        <f aca="false">CONCATENATE(N2428," ",O2428)</f>
        <v>Zora nemoralis</v>
      </c>
      <c r="Q2428" s="1" t="s">
        <v>30</v>
      </c>
      <c r="R2428" s="1" t="s">
        <v>31</v>
      </c>
      <c r="S2428" s="3" t="n">
        <v>1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f aca="false">SUM(S2428:T2428)</f>
        <v>1</v>
      </c>
      <c r="Z2428" s="3" t="n">
        <f aca="false">SUM(U2428:W2428)</f>
        <v>0</v>
      </c>
      <c r="AA2428" s="3" t="n">
        <f aca="false">SUM(S2428:X2428)</f>
        <v>1</v>
      </c>
      <c r="AB2428" s="11" t="n">
        <f aca="false">(AA2428/(K2428*L2428)*25)*4</f>
        <v>4</v>
      </c>
    </row>
    <row r="2429" customFormat="false" ht="14.25" hidden="false" customHeight="false" outlineLevel="0" collapsed="false">
      <c r="A2429" s="1" t="n">
        <v>2014</v>
      </c>
      <c r="B2429" s="7" t="s">
        <v>322</v>
      </c>
      <c r="C2429" s="7" t="n">
        <v>2</v>
      </c>
      <c r="D2429" s="7" t="s">
        <v>294</v>
      </c>
      <c r="E2429" s="7" t="s">
        <v>294</v>
      </c>
      <c r="F2429" s="3" t="s">
        <v>51</v>
      </c>
      <c r="G2429" s="3" t="n">
        <v>1</v>
      </c>
      <c r="H2429" s="3" t="n">
        <v>2</v>
      </c>
      <c r="I2429" s="22" t="n">
        <v>41794</v>
      </c>
      <c r="J2429" s="22" t="n">
        <v>41799</v>
      </c>
      <c r="K2429" s="43" t="n">
        <f aca="false">J2429-I2429</f>
        <v>5</v>
      </c>
      <c r="L2429" s="1" t="n">
        <v>5</v>
      </c>
      <c r="M2429" s="3" t="s">
        <v>36</v>
      </c>
      <c r="N2429" s="3" t="s">
        <v>37</v>
      </c>
      <c r="O2429" s="3" t="s">
        <v>75</v>
      </c>
      <c r="P2429" s="2" t="str">
        <f aca="false">CONCATENATE(N2429," ",O2429)</f>
        <v>Ozyptila praticola</v>
      </c>
      <c r="Q2429" s="1" t="s">
        <v>30</v>
      </c>
      <c r="R2429" s="1" t="s">
        <v>31</v>
      </c>
      <c r="S2429" s="3" t="n">
        <v>1</v>
      </c>
      <c r="T2429" s="3" t="n">
        <v>0</v>
      </c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f aca="false">SUM(S2429:T2429)</f>
        <v>1</v>
      </c>
      <c r="Z2429" s="3" t="n">
        <f aca="false">SUM(U2429:W2429)</f>
        <v>0</v>
      </c>
      <c r="AA2429" s="3" t="n">
        <f aca="false">SUM(S2429:X2429)</f>
        <v>1</v>
      </c>
      <c r="AB2429" s="11" t="n">
        <f aca="false">(AA2429/(K2429*L2429)*25)*4</f>
        <v>4</v>
      </c>
    </row>
    <row r="2430" customFormat="false" ht="14.25" hidden="false" customHeight="false" outlineLevel="0" collapsed="false">
      <c r="A2430" s="1" t="n">
        <v>2014</v>
      </c>
      <c r="B2430" s="7" t="s">
        <v>322</v>
      </c>
      <c r="C2430" s="7" t="n">
        <v>2</v>
      </c>
      <c r="D2430" s="7" t="s">
        <v>294</v>
      </c>
      <c r="E2430" s="7" t="s">
        <v>294</v>
      </c>
      <c r="F2430" s="3" t="s">
        <v>51</v>
      </c>
      <c r="G2430" s="3" t="n">
        <v>1</v>
      </c>
      <c r="H2430" s="3" t="n">
        <v>2</v>
      </c>
      <c r="I2430" s="22" t="n">
        <v>41794</v>
      </c>
      <c r="J2430" s="22" t="n">
        <v>41799</v>
      </c>
      <c r="K2430" s="43" t="n">
        <f aca="false">J2430-I2430</f>
        <v>5</v>
      </c>
      <c r="L2430" s="1" t="n">
        <v>5</v>
      </c>
      <c r="M2430" s="3" t="s">
        <v>32</v>
      </c>
      <c r="N2430" s="3" t="s">
        <v>154</v>
      </c>
      <c r="O2430" s="3" t="s">
        <v>155</v>
      </c>
      <c r="P2430" s="2" t="str">
        <f aca="false">CONCATENATE(N2430," ",O2430)</f>
        <v>Pocadicnemis pumila</v>
      </c>
      <c r="Q2430" s="1" t="s">
        <v>30</v>
      </c>
      <c r="R2430" s="1" t="s">
        <v>31</v>
      </c>
      <c r="S2430" s="3" t="n">
        <v>1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f aca="false">SUM(S2430:T2430)</f>
        <v>1</v>
      </c>
      <c r="Z2430" s="3" t="n">
        <f aca="false">SUM(U2430:W2430)</f>
        <v>0</v>
      </c>
      <c r="AA2430" s="3" t="n">
        <f aca="false">SUM(S2430:X2430)</f>
        <v>1</v>
      </c>
      <c r="AB2430" s="11" t="n">
        <f aca="false">(AA2430/(K2430*L2430)*25)*4</f>
        <v>4</v>
      </c>
    </row>
    <row r="2431" customFormat="false" ht="14.25" hidden="false" customHeight="false" outlineLevel="0" collapsed="false">
      <c r="A2431" s="1" t="n">
        <v>2014</v>
      </c>
      <c r="B2431" s="7" t="s">
        <v>322</v>
      </c>
      <c r="C2431" s="7" t="n">
        <v>2</v>
      </c>
      <c r="D2431" s="7" t="s">
        <v>294</v>
      </c>
      <c r="E2431" s="7" t="s">
        <v>294</v>
      </c>
      <c r="F2431" s="3" t="s">
        <v>51</v>
      </c>
      <c r="G2431" s="3" t="n">
        <v>3</v>
      </c>
      <c r="H2431" s="3" t="n">
        <v>14</v>
      </c>
      <c r="I2431" s="22" t="n">
        <v>41794</v>
      </c>
      <c r="J2431" s="22" t="n">
        <v>41799</v>
      </c>
      <c r="K2431" s="43" t="n">
        <f aca="false">J2431-I2431</f>
        <v>5</v>
      </c>
      <c r="L2431" s="1" t="n">
        <v>5</v>
      </c>
      <c r="M2431" s="3" t="s">
        <v>48</v>
      </c>
      <c r="N2431" s="3" t="s">
        <v>67</v>
      </c>
      <c r="O2431" s="3" t="s">
        <v>127</v>
      </c>
      <c r="P2431" s="2" t="str">
        <f aca="false">CONCATENATE(N2431," ",O2431)</f>
        <v>Pardosa lugubris</v>
      </c>
      <c r="Q2431" s="1" t="s">
        <v>30</v>
      </c>
      <c r="R2431" s="1" t="s">
        <v>31</v>
      </c>
      <c r="S2431" s="3" t="n">
        <v>15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f aca="false">SUM(S2431:T2431)</f>
        <v>15</v>
      </c>
      <c r="Z2431" s="3" t="n">
        <f aca="false">SUM(U2431:W2431)</f>
        <v>0</v>
      </c>
      <c r="AA2431" s="3" t="n">
        <f aca="false">SUM(S2431:X2431)</f>
        <v>15</v>
      </c>
      <c r="AB2431" s="11" t="n">
        <f aca="false">(AA2431/(K2431*L2431)*25)*4</f>
        <v>60</v>
      </c>
    </row>
    <row r="2432" customFormat="false" ht="14.25" hidden="false" customHeight="false" outlineLevel="0" collapsed="false">
      <c r="A2432" s="1" t="n">
        <v>2014</v>
      </c>
      <c r="B2432" s="7" t="s">
        <v>322</v>
      </c>
      <c r="C2432" s="7" t="n">
        <v>2</v>
      </c>
      <c r="D2432" s="7" t="s">
        <v>294</v>
      </c>
      <c r="E2432" s="7" t="s">
        <v>294</v>
      </c>
      <c r="F2432" s="3" t="s">
        <v>51</v>
      </c>
      <c r="G2432" s="3" t="n">
        <v>3</v>
      </c>
      <c r="H2432" s="3" t="n">
        <v>14</v>
      </c>
      <c r="I2432" s="22" t="n">
        <v>41794</v>
      </c>
      <c r="J2432" s="22" t="n">
        <v>41799</v>
      </c>
      <c r="K2432" s="43" t="n">
        <f aca="false">J2432-I2432</f>
        <v>5</v>
      </c>
      <c r="L2432" s="1" t="n">
        <v>5</v>
      </c>
      <c r="M2432" s="3" t="s">
        <v>72</v>
      </c>
      <c r="N2432" s="3" t="s">
        <v>73</v>
      </c>
      <c r="O2432" s="3" t="s">
        <v>74</v>
      </c>
      <c r="P2432" s="2" t="str">
        <f aca="false">CONCATENATE(N2432," ",O2432)</f>
        <v>Zelotes subterraneus</v>
      </c>
      <c r="Q2432" s="1" t="s">
        <v>30</v>
      </c>
      <c r="R2432" s="1" t="s">
        <v>31</v>
      </c>
      <c r="S2432" s="3" t="n">
        <v>1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f aca="false">SUM(S2432:T2432)</f>
        <v>1</v>
      </c>
      <c r="Z2432" s="3" t="n">
        <f aca="false">SUM(U2432:W2432)</f>
        <v>0</v>
      </c>
      <c r="AA2432" s="3" t="n">
        <f aca="false">SUM(S2432:X2432)</f>
        <v>1</v>
      </c>
      <c r="AB2432" s="11" t="n">
        <f aca="false">(AA2432/(K2432*L2432)*25)*4</f>
        <v>4</v>
      </c>
    </row>
    <row r="2433" customFormat="false" ht="14.25" hidden="false" customHeight="false" outlineLevel="0" collapsed="false">
      <c r="A2433" s="1" t="n">
        <v>2014</v>
      </c>
      <c r="B2433" s="7" t="s">
        <v>322</v>
      </c>
      <c r="C2433" s="7" t="n">
        <v>2</v>
      </c>
      <c r="D2433" s="7" t="s">
        <v>294</v>
      </c>
      <c r="E2433" s="7" t="s">
        <v>294</v>
      </c>
      <c r="F2433" s="3" t="s">
        <v>51</v>
      </c>
      <c r="G2433" s="3" t="n">
        <v>3</v>
      </c>
      <c r="H2433" s="3" t="n">
        <v>14</v>
      </c>
      <c r="I2433" s="22" t="n">
        <v>41794</v>
      </c>
      <c r="J2433" s="22" t="n">
        <v>41799</v>
      </c>
      <c r="K2433" s="43" t="n">
        <f aca="false">J2433-I2433</f>
        <v>5</v>
      </c>
      <c r="L2433" s="1" t="n">
        <v>5</v>
      </c>
      <c r="M2433" s="3" t="s">
        <v>72</v>
      </c>
      <c r="N2433" s="3" t="s">
        <v>86</v>
      </c>
      <c r="O2433" s="3" t="s">
        <v>87</v>
      </c>
      <c r="P2433" s="2" t="str">
        <f aca="false">CONCATENATE(N2433," ",O2433)</f>
        <v>Haplodrassus soerenseni</v>
      </c>
      <c r="Q2433" s="1" t="s">
        <v>30</v>
      </c>
      <c r="R2433" s="1" t="s">
        <v>31</v>
      </c>
      <c r="S2433" s="3" t="n">
        <v>1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f aca="false">SUM(S2433:T2433)</f>
        <v>1</v>
      </c>
      <c r="Z2433" s="3" t="n">
        <f aca="false">SUM(U2433:W2433)</f>
        <v>0</v>
      </c>
      <c r="AA2433" s="3" t="n">
        <f aca="false">SUM(S2433:X2433)</f>
        <v>1</v>
      </c>
      <c r="AB2433" s="11" t="n">
        <f aca="false">(AA2433/(K2433*L2433)*25)*4</f>
        <v>4</v>
      </c>
    </row>
    <row r="2434" customFormat="false" ht="14.25" hidden="false" customHeight="false" outlineLevel="0" collapsed="false">
      <c r="A2434" s="1" t="n">
        <v>2014</v>
      </c>
      <c r="B2434" s="7" t="s">
        <v>322</v>
      </c>
      <c r="C2434" s="7" t="n">
        <v>2</v>
      </c>
      <c r="D2434" s="7" t="s">
        <v>294</v>
      </c>
      <c r="E2434" s="7" t="s">
        <v>294</v>
      </c>
      <c r="F2434" s="3" t="s">
        <v>51</v>
      </c>
      <c r="G2434" s="3" t="n">
        <v>3</v>
      </c>
      <c r="H2434" s="3" t="n">
        <v>14</v>
      </c>
      <c r="I2434" s="22" t="n">
        <v>41794</v>
      </c>
      <c r="J2434" s="22" t="n">
        <v>41799</v>
      </c>
      <c r="K2434" s="43" t="n">
        <f aca="false">J2434-I2434</f>
        <v>5</v>
      </c>
      <c r="L2434" s="1" t="n">
        <v>5</v>
      </c>
      <c r="M2434" s="3" t="s">
        <v>32</v>
      </c>
      <c r="N2434" s="3" t="s">
        <v>96</v>
      </c>
      <c r="O2434" s="3" t="s">
        <v>97</v>
      </c>
      <c r="P2434" s="2" t="str">
        <f aca="false">CONCATENATE(N2434," ",O2434)</f>
        <v>Diplocephalus picinus</v>
      </c>
      <c r="Q2434" s="1" t="s">
        <v>30</v>
      </c>
      <c r="R2434" s="1" t="s">
        <v>31</v>
      </c>
      <c r="S2434" s="3" t="n">
        <v>1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f aca="false">SUM(S2434:T2434)</f>
        <v>1</v>
      </c>
      <c r="Z2434" s="3" t="n">
        <f aca="false">SUM(U2434:W2434)</f>
        <v>0</v>
      </c>
      <c r="AA2434" s="3" t="n">
        <f aca="false">SUM(S2434:X2434)</f>
        <v>1</v>
      </c>
      <c r="AB2434" s="11" t="n">
        <f aca="false">(AA2434/(K2434*L2434)*25)*4</f>
        <v>4</v>
      </c>
    </row>
    <row r="2435" customFormat="false" ht="14.25" hidden="false" customHeight="false" outlineLevel="0" collapsed="false">
      <c r="A2435" s="1" t="n">
        <v>2014</v>
      </c>
      <c r="B2435" s="7" t="s">
        <v>322</v>
      </c>
      <c r="C2435" s="7" t="n">
        <v>2</v>
      </c>
      <c r="D2435" s="7" t="s">
        <v>294</v>
      </c>
      <c r="E2435" s="7" t="s">
        <v>294</v>
      </c>
      <c r="F2435" s="3" t="s">
        <v>51</v>
      </c>
      <c r="G2435" s="3" t="n">
        <v>3</v>
      </c>
      <c r="H2435" s="3" t="n">
        <v>14</v>
      </c>
      <c r="I2435" s="22" t="n">
        <v>41794</v>
      </c>
      <c r="J2435" s="22" t="n">
        <v>41799</v>
      </c>
      <c r="K2435" s="43" t="n">
        <f aca="false">J2435-I2435</f>
        <v>5</v>
      </c>
      <c r="L2435" s="1" t="n">
        <v>5</v>
      </c>
      <c r="M2435" s="3" t="s">
        <v>32</v>
      </c>
      <c r="N2435" s="3" t="s">
        <v>154</v>
      </c>
      <c r="O2435" s="3" t="s">
        <v>155</v>
      </c>
      <c r="P2435" s="2" t="str">
        <f aca="false">CONCATENATE(N2435," ",O2435)</f>
        <v>Pocadicnemis pumila</v>
      </c>
      <c r="Q2435" s="1" t="s">
        <v>30</v>
      </c>
      <c r="R2435" s="1" t="s">
        <v>31</v>
      </c>
      <c r="S2435" s="3" t="n">
        <v>2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f aca="false">SUM(S2435:T2435)</f>
        <v>2</v>
      </c>
      <c r="Z2435" s="3" t="n">
        <f aca="false">SUM(U2435:W2435)</f>
        <v>0</v>
      </c>
      <c r="AA2435" s="3" t="n">
        <f aca="false">SUM(S2435:X2435)</f>
        <v>2</v>
      </c>
      <c r="AB2435" s="11" t="n">
        <f aca="false">(AA2435/(K2435*L2435)*25)*4</f>
        <v>8</v>
      </c>
    </row>
    <row r="2436" customFormat="false" ht="14.25" hidden="false" customHeight="false" outlineLevel="0" collapsed="false">
      <c r="A2436" s="1" t="n">
        <v>2014</v>
      </c>
      <c r="B2436" s="7" t="s">
        <v>322</v>
      </c>
      <c r="C2436" s="7" t="n">
        <v>2</v>
      </c>
      <c r="D2436" s="7" t="s">
        <v>294</v>
      </c>
      <c r="E2436" s="7" t="s">
        <v>294</v>
      </c>
      <c r="F2436" s="3" t="s">
        <v>51</v>
      </c>
      <c r="G2436" s="3" t="n">
        <v>3</v>
      </c>
      <c r="H2436" s="3" t="n">
        <v>14</v>
      </c>
      <c r="I2436" s="22" t="n">
        <v>41794</v>
      </c>
      <c r="J2436" s="22" t="n">
        <v>41799</v>
      </c>
      <c r="K2436" s="43" t="n">
        <f aca="false">J2436-I2436</f>
        <v>5</v>
      </c>
      <c r="L2436" s="1" t="n">
        <v>5</v>
      </c>
      <c r="M2436" s="3" t="s">
        <v>32</v>
      </c>
      <c r="N2436" s="3" t="s">
        <v>102</v>
      </c>
      <c r="O2436" s="3" t="s">
        <v>192</v>
      </c>
      <c r="P2436" s="2" t="str">
        <f aca="false">CONCATENATE(N2436," ",O2436)</f>
        <v>Agyneta allosubtilis</v>
      </c>
      <c r="Q2436" s="1" t="s">
        <v>30</v>
      </c>
      <c r="R2436" s="1" t="s">
        <v>31</v>
      </c>
      <c r="S2436" s="3" t="n">
        <v>1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f aca="false">SUM(S2436:T2436)</f>
        <v>1</v>
      </c>
      <c r="Z2436" s="3" t="n">
        <f aca="false">SUM(U2436:W2436)</f>
        <v>0</v>
      </c>
      <c r="AA2436" s="3" t="n">
        <f aca="false">SUM(S2436:X2436)</f>
        <v>1</v>
      </c>
      <c r="AB2436" s="11" t="n">
        <f aca="false">(AA2436/(K2436*L2436)*25)*4</f>
        <v>4</v>
      </c>
    </row>
    <row r="2437" customFormat="false" ht="14.25" hidden="false" customHeight="false" outlineLevel="0" collapsed="false">
      <c r="A2437" s="1" t="n">
        <v>2014</v>
      </c>
      <c r="B2437" s="7" t="s">
        <v>322</v>
      </c>
      <c r="C2437" s="7" t="n">
        <v>2</v>
      </c>
      <c r="D2437" s="7" t="s">
        <v>294</v>
      </c>
      <c r="E2437" s="7" t="s">
        <v>294</v>
      </c>
      <c r="F2437" s="3" t="s">
        <v>51</v>
      </c>
      <c r="G2437" s="3" t="n">
        <v>3</v>
      </c>
      <c r="H2437" s="3" t="n">
        <v>12</v>
      </c>
      <c r="I2437" s="22" t="n">
        <v>41794</v>
      </c>
      <c r="J2437" s="22" t="n">
        <v>41799</v>
      </c>
      <c r="K2437" s="43" t="n">
        <f aca="false">J2437-I2437</f>
        <v>5</v>
      </c>
      <c r="L2437" s="1" t="n">
        <v>5</v>
      </c>
      <c r="M2437" s="3" t="s">
        <v>32</v>
      </c>
      <c r="N2437" s="3" t="s">
        <v>96</v>
      </c>
      <c r="O2437" s="3" t="s">
        <v>97</v>
      </c>
      <c r="P2437" s="2" t="str">
        <f aca="false">CONCATENATE(N2437," ",O2437)</f>
        <v>Diplocephalus picinus</v>
      </c>
      <c r="Q2437" s="1" t="s">
        <v>30</v>
      </c>
      <c r="R2437" s="1" t="s">
        <v>31</v>
      </c>
      <c r="S2437" s="3" t="n">
        <v>1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f aca="false">SUM(S2437:T2437)</f>
        <v>1</v>
      </c>
      <c r="Z2437" s="3" t="n">
        <f aca="false">SUM(U2437:W2437)</f>
        <v>0</v>
      </c>
      <c r="AA2437" s="3" t="n">
        <f aca="false">SUM(S2437:X2437)</f>
        <v>1</v>
      </c>
      <c r="AB2437" s="11" t="n">
        <f aca="false">(AA2437/(K2437*L2437)*25)*4</f>
        <v>4</v>
      </c>
    </row>
    <row r="2438" customFormat="false" ht="14.25" hidden="false" customHeight="false" outlineLevel="0" collapsed="false">
      <c r="A2438" s="1" t="n">
        <v>2014</v>
      </c>
      <c r="B2438" s="7" t="s">
        <v>322</v>
      </c>
      <c r="C2438" s="7" t="n">
        <v>2</v>
      </c>
      <c r="D2438" s="7" t="s">
        <v>294</v>
      </c>
      <c r="E2438" s="7" t="s">
        <v>294</v>
      </c>
      <c r="F2438" s="3" t="s">
        <v>51</v>
      </c>
      <c r="G2438" s="3" t="n">
        <v>3</v>
      </c>
      <c r="H2438" s="3" t="n">
        <v>12</v>
      </c>
      <c r="I2438" s="22" t="n">
        <v>41794</v>
      </c>
      <c r="J2438" s="22" t="n">
        <v>41799</v>
      </c>
      <c r="K2438" s="43" t="n">
        <f aca="false">J2438-I2438</f>
        <v>5</v>
      </c>
      <c r="L2438" s="1" t="n">
        <v>5</v>
      </c>
      <c r="M2438" s="3" t="s">
        <v>32</v>
      </c>
      <c r="N2438" s="3" t="s">
        <v>154</v>
      </c>
      <c r="O2438" s="3" t="s">
        <v>155</v>
      </c>
      <c r="P2438" s="2" t="str">
        <f aca="false">CONCATENATE(N2438," ",O2438)</f>
        <v>Pocadicnemis pumila</v>
      </c>
      <c r="Q2438" s="1" t="s">
        <v>30</v>
      </c>
      <c r="R2438" s="1" t="s">
        <v>31</v>
      </c>
      <c r="S2438" s="3" t="n">
        <v>1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f aca="false">SUM(S2438:T2438)</f>
        <v>1</v>
      </c>
      <c r="Z2438" s="3" t="n">
        <f aca="false">SUM(U2438:W2438)</f>
        <v>0</v>
      </c>
      <c r="AA2438" s="3" t="n">
        <f aca="false">SUM(S2438:X2438)</f>
        <v>1</v>
      </c>
      <c r="AB2438" s="11" t="n">
        <f aca="false">(AA2438/(K2438*L2438)*25)*4</f>
        <v>4</v>
      </c>
    </row>
    <row r="2439" customFormat="false" ht="14.25" hidden="false" customHeight="false" outlineLevel="0" collapsed="false">
      <c r="A2439" s="1" t="n">
        <v>2014</v>
      </c>
      <c r="B2439" s="7" t="s">
        <v>322</v>
      </c>
      <c r="C2439" s="7" t="n">
        <v>2</v>
      </c>
      <c r="D2439" s="7" t="s">
        <v>294</v>
      </c>
      <c r="E2439" s="7" t="s">
        <v>294</v>
      </c>
      <c r="F2439" s="3" t="s">
        <v>51</v>
      </c>
      <c r="G2439" s="3" t="n">
        <v>3</v>
      </c>
      <c r="H2439" s="3" t="n">
        <v>12</v>
      </c>
      <c r="I2439" s="22" t="n">
        <v>41794</v>
      </c>
      <c r="J2439" s="22" t="n">
        <v>41799</v>
      </c>
      <c r="K2439" s="43" t="n">
        <f aca="false">J2439-I2439</f>
        <v>5</v>
      </c>
      <c r="L2439" s="1" t="n">
        <v>5</v>
      </c>
      <c r="M2439" s="3" t="s">
        <v>32</v>
      </c>
      <c r="N2439" s="3" t="s">
        <v>102</v>
      </c>
      <c r="O2439" s="3" t="s">
        <v>192</v>
      </c>
      <c r="P2439" s="2" t="str">
        <f aca="false">CONCATENATE(N2439," ",O2439)</f>
        <v>Agyneta allosubtilis</v>
      </c>
      <c r="Q2439" s="1" t="s">
        <v>30</v>
      </c>
      <c r="R2439" s="1" t="s">
        <v>31</v>
      </c>
      <c r="S2439" s="3" t="n">
        <v>1</v>
      </c>
      <c r="T2439" s="3" t="n">
        <v>0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f aca="false">SUM(S2439:T2439)</f>
        <v>1</v>
      </c>
      <c r="Z2439" s="3" t="n">
        <f aca="false">SUM(U2439:W2439)</f>
        <v>0</v>
      </c>
      <c r="AA2439" s="3" t="n">
        <f aca="false">SUM(S2439:X2439)</f>
        <v>1</v>
      </c>
      <c r="AB2439" s="11" t="n">
        <f aca="false">(AA2439/(K2439*L2439)*25)*4</f>
        <v>4</v>
      </c>
    </row>
    <row r="2440" customFormat="false" ht="14.25" hidden="false" customHeight="false" outlineLevel="0" collapsed="false">
      <c r="A2440" s="1" t="n">
        <v>2014</v>
      </c>
      <c r="B2440" s="7" t="s">
        <v>322</v>
      </c>
      <c r="C2440" s="7" t="n">
        <v>2</v>
      </c>
      <c r="D2440" s="7" t="s">
        <v>294</v>
      </c>
      <c r="E2440" s="7" t="s">
        <v>294</v>
      </c>
      <c r="F2440" s="3" t="s">
        <v>51</v>
      </c>
      <c r="G2440" s="3" t="n">
        <v>3</v>
      </c>
      <c r="H2440" s="3" t="n">
        <v>12</v>
      </c>
      <c r="I2440" s="22" t="n">
        <v>41794</v>
      </c>
      <c r="J2440" s="22" t="n">
        <v>41799</v>
      </c>
      <c r="K2440" s="43" t="n">
        <f aca="false">J2440-I2440</f>
        <v>5</v>
      </c>
      <c r="L2440" s="1" t="n">
        <v>5</v>
      </c>
      <c r="M2440" s="3" t="s">
        <v>32</v>
      </c>
      <c r="N2440" s="3" t="s">
        <v>55</v>
      </c>
      <c r="O2440" s="3" t="s">
        <v>194</v>
      </c>
      <c r="P2440" s="2" t="str">
        <f aca="false">CONCATENATE(N2440," ",O2440)</f>
        <v>Maro pansibiricus</v>
      </c>
      <c r="Q2440" s="1" t="s">
        <v>30</v>
      </c>
      <c r="R2440" s="1" t="s">
        <v>31</v>
      </c>
      <c r="S2440" s="3" t="n">
        <v>1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f aca="false">SUM(S2440:T2440)</f>
        <v>1</v>
      </c>
      <c r="Z2440" s="3" t="n">
        <f aca="false">SUM(U2440:W2440)</f>
        <v>0</v>
      </c>
      <c r="AA2440" s="3" t="n">
        <f aca="false">SUM(S2440:X2440)</f>
        <v>1</v>
      </c>
      <c r="AB2440" s="11" t="n">
        <f aca="false">(AA2440/(K2440*L2440)*25)*4</f>
        <v>4</v>
      </c>
    </row>
    <row r="2441" customFormat="false" ht="14.25" hidden="false" customHeight="false" outlineLevel="0" collapsed="false">
      <c r="A2441" s="1" t="n">
        <v>2014</v>
      </c>
      <c r="B2441" s="7" t="s">
        <v>322</v>
      </c>
      <c r="C2441" s="7" t="n">
        <v>2</v>
      </c>
      <c r="D2441" s="7" t="s">
        <v>294</v>
      </c>
      <c r="E2441" s="7" t="s">
        <v>294</v>
      </c>
      <c r="F2441" s="3" t="s">
        <v>51</v>
      </c>
      <c r="G2441" s="3" t="n">
        <v>3</v>
      </c>
      <c r="H2441" s="3" t="n">
        <v>12</v>
      </c>
      <c r="I2441" s="22" t="n">
        <v>41794</v>
      </c>
      <c r="J2441" s="22" t="n">
        <v>41799</v>
      </c>
      <c r="K2441" s="43" t="n">
        <f aca="false">J2441-I2441</f>
        <v>5</v>
      </c>
      <c r="L2441" s="1" t="n">
        <v>5</v>
      </c>
      <c r="M2441" s="3" t="s">
        <v>48</v>
      </c>
      <c r="N2441" s="3" t="s">
        <v>67</v>
      </c>
      <c r="O2441" s="3" t="s">
        <v>127</v>
      </c>
      <c r="P2441" s="2" t="str">
        <f aca="false">CONCATENATE(N2441," ",O2441)</f>
        <v>Pardosa lugubris</v>
      </c>
      <c r="Q2441" s="1" t="s">
        <v>30</v>
      </c>
      <c r="R2441" s="1" t="s">
        <v>31</v>
      </c>
      <c r="S2441" s="3" t="n">
        <v>9</v>
      </c>
      <c r="T2441" s="3" t="n">
        <v>0</v>
      </c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f aca="false">SUM(S2441:T2441)</f>
        <v>9</v>
      </c>
      <c r="Z2441" s="3" t="n">
        <f aca="false">SUM(U2441:W2441)</f>
        <v>0</v>
      </c>
      <c r="AA2441" s="3" t="n">
        <f aca="false">SUM(S2441:X2441)</f>
        <v>9</v>
      </c>
      <c r="AB2441" s="11" t="n">
        <f aca="false">(AA2441/(K2441*L2441)*25)*4</f>
        <v>36</v>
      </c>
    </row>
    <row r="2442" customFormat="false" ht="14.25" hidden="false" customHeight="false" outlineLevel="0" collapsed="false">
      <c r="A2442" s="1" t="n">
        <v>2014</v>
      </c>
      <c r="B2442" s="7" t="s">
        <v>322</v>
      </c>
      <c r="C2442" s="7" t="n">
        <v>2</v>
      </c>
      <c r="D2442" s="7" t="s">
        <v>294</v>
      </c>
      <c r="E2442" s="7" t="s">
        <v>294</v>
      </c>
      <c r="F2442" s="3" t="s">
        <v>51</v>
      </c>
      <c r="G2442" s="3" t="n">
        <v>3</v>
      </c>
      <c r="H2442" s="3" t="n">
        <v>12</v>
      </c>
      <c r="I2442" s="22" t="n">
        <v>41794</v>
      </c>
      <c r="J2442" s="22" t="n">
        <v>41799</v>
      </c>
      <c r="K2442" s="43" t="n">
        <f aca="false">J2442-I2442</f>
        <v>5</v>
      </c>
      <c r="L2442" s="1" t="n">
        <v>5</v>
      </c>
      <c r="M2442" s="3" t="s">
        <v>48</v>
      </c>
      <c r="N2442" s="3" t="s">
        <v>67</v>
      </c>
      <c r="O2442" s="3" t="s">
        <v>127</v>
      </c>
      <c r="P2442" s="2" t="str">
        <f aca="false">CONCATENATE(N2442," ",O2442)</f>
        <v>Pardosa lugubris</v>
      </c>
      <c r="Q2442" s="1" t="s">
        <v>30</v>
      </c>
      <c r="R2442" s="1" t="s">
        <v>35</v>
      </c>
      <c r="S2442" s="3" t="n">
        <v>0</v>
      </c>
      <c r="T2442" s="3" t="n">
        <v>4</v>
      </c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f aca="false">SUM(S2442:T2442)</f>
        <v>4</v>
      </c>
      <c r="Z2442" s="3" t="n">
        <f aca="false">SUM(U2442:W2442)</f>
        <v>0</v>
      </c>
      <c r="AA2442" s="3" t="n">
        <f aca="false">SUM(S2442:X2442)</f>
        <v>4</v>
      </c>
      <c r="AB2442" s="11" t="n">
        <f aca="false">(AA2442/(K2442*L2442)*25)*4</f>
        <v>16</v>
      </c>
    </row>
    <row r="2443" customFormat="false" ht="14.25" hidden="false" customHeight="false" outlineLevel="0" collapsed="false">
      <c r="A2443" s="1" t="n">
        <v>2014</v>
      </c>
      <c r="B2443" s="7" t="s">
        <v>322</v>
      </c>
      <c r="C2443" s="7" t="n">
        <v>2</v>
      </c>
      <c r="D2443" s="7" t="s">
        <v>294</v>
      </c>
      <c r="E2443" s="7" t="s">
        <v>294</v>
      </c>
      <c r="F2443" s="3" t="s">
        <v>51</v>
      </c>
      <c r="G2443" s="3" t="n">
        <v>3</v>
      </c>
      <c r="H2443" s="3" t="n">
        <v>12</v>
      </c>
      <c r="I2443" s="22" t="n">
        <v>41794</v>
      </c>
      <c r="J2443" s="22" t="n">
        <v>41799</v>
      </c>
      <c r="K2443" s="43" t="n">
        <f aca="false">J2443-I2443</f>
        <v>5</v>
      </c>
      <c r="L2443" s="1" t="n">
        <v>5</v>
      </c>
      <c r="M2443" s="3" t="s">
        <v>48</v>
      </c>
      <c r="N2443" s="3" t="s">
        <v>61</v>
      </c>
      <c r="O2443" s="3" t="s">
        <v>82</v>
      </c>
      <c r="P2443" s="2" t="str">
        <f aca="false">CONCATENATE(N2443," ",O2443)</f>
        <v>Trochosa terricola</v>
      </c>
      <c r="Q2443" s="1" t="s">
        <v>30</v>
      </c>
      <c r="R2443" s="1" t="s">
        <v>31</v>
      </c>
      <c r="S2443" s="3" t="n">
        <v>1</v>
      </c>
      <c r="T2443" s="3" t="n">
        <v>0</v>
      </c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f aca="false">SUM(S2443:T2443)</f>
        <v>1</v>
      </c>
      <c r="Z2443" s="3" t="n">
        <f aca="false">SUM(U2443:W2443)</f>
        <v>0</v>
      </c>
      <c r="AA2443" s="3" t="n">
        <f aca="false">SUM(S2443:X2443)</f>
        <v>1</v>
      </c>
      <c r="AB2443" s="11" t="n">
        <f aca="false">(AA2443/(K2443*L2443)*25)*4</f>
        <v>4</v>
      </c>
    </row>
    <row r="2444" customFormat="false" ht="14.25" hidden="false" customHeight="false" outlineLevel="0" collapsed="false">
      <c r="A2444" s="1" t="n">
        <v>2014</v>
      </c>
      <c r="B2444" s="7" t="s">
        <v>322</v>
      </c>
      <c r="C2444" s="7" t="n">
        <v>2</v>
      </c>
      <c r="D2444" s="7" t="s">
        <v>294</v>
      </c>
      <c r="E2444" s="7" t="s">
        <v>294</v>
      </c>
      <c r="F2444" s="3" t="s">
        <v>51</v>
      </c>
      <c r="G2444" s="3" t="n">
        <v>3</v>
      </c>
      <c r="H2444" s="3" t="n">
        <v>12</v>
      </c>
      <c r="I2444" s="22" t="n">
        <v>41794</v>
      </c>
      <c r="J2444" s="22" t="n">
        <v>41799</v>
      </c>
      <c r="K2444" s="43" t="n">
        <f aca="false">J2444-I2444</f>
        <v>5</v>
      </c>
      <c r="L2444" s="1" t="n">
        <v>5</v>
      </c>
      <c r="M2444" s="3" t="s">
        <v>72</v>
      </c>
      <c r="N2444" s="3" t="s">
        <v>73</v>
      </c>
      <c r="O2444" s="3" t="s">
        <v>74</v>
      </c>
      <c r="P2444" s="2" t="str">
        <f aca="false">CONCATENATE(N2444," ",O2444)</f>
        <v>Zelotes subterraneus</v>
      </c>
      <c r="Q2444" s="1" t="s">
        <v>30</v>
      </c>
      <c r="R2444" s="1" t="s">
        <v>35</v>
      </c>
      <c r="S2444" s="3" t="n">
        <v>0</v>
      </c>
      <c r="T2444" s="3" t="n">
        <v>1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f aca="false">SUM(S2444:T2444)</f>
        <v>1</v>
      </c>
      <c r="Z2444" s="3" t="n">
        <f aca="false">SUM(U2444:W2444)</f>
        <v>0</v>
      </c>
      <c r="AA2444" s="3" t="n">
        <f aca="false">SUM(S2444:X2444)</f>
        <v>1</v>
      </c>
      <c r="AB2444" s="11" t="n">
        <f aca="false">(AA2444/(K2444*L2444)*25)*4</f>
        <v>4</v>
      </c>
    </row>
    <row r="2445" customFormat="false" ht="14.25" hidden="false" customHeight="false" outlineLevel="0" collapsed="false">
      <c r="A2445" s="1" t="n">
        <v>2014</v>
      </c>
      <c r="B2445" s="7" t="s">
        <v>322</v>
      </c>
      <c r="C2445" s="7" t="n">
        <v>2</v>
      </c>
      <c r="D2445" s="7" t="s">
        <v>294</v>
      </c>
      <c r="E2445" s="7" t="s">
        <v>294</v>
      </c>
      <c r="F2445" s="3" t="s">
        <v>51</v>
      </c>
      <c r="G2445" s="3" t="n">
        <v>3</v>
      </c>
      <c r="H2445" s="3" t="n">
        <v>12</v>
      </c>
      <c r="I2445" s="22" t="n">
        <v>41794</v>
      </c>
      <c r="J2445" s="22" t="n">
        <v>41799</v>
      </c>
      <c r="K2445" s="43" t="n">
        <f aca="false">J2445-I2445</f>
        <v>5</v>
      </c>
      <c r="L2445" s="1" t="n">
        <v>5</v>
      </c>
      <c r="M2445" s="3" t="s">
        <v>72</v>
      </c>
      <c r="N2445" s="3" t="s">
        <v>86</v>
      </c>
      <c r="O2445" s="3" t="s">
        <v>87</v>
      </c>
      <c r="P2445" s="2" t="str">
        <f aca="false">CONCATENATE(N2445," ",O2445)</f>
        <v>Haplodrassus soerenseni</v>
      </c>
      <c r="Q2445" s="1" t="s">
        <v>30</v>
      </c>
      <c r="R2445" s="1" t="s">
        <v>31</v>
      </c>
      <c r="S2445" s="3" t="n">
        <v>1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f aca="false">SUM(S2445:T2445)</f>
        <v>1</v>
      </c>
      <c r="Z2445" s="3" t="n">
        <f aca="false">SUM(U2445:W2445)</f>
        <v>0</v>
      </c>
      <c r="AA2445" s="3" t="n">
        <f aca="false">SUM(S2445:X2445)</f>
        <v>1</v>
      </c>
      <c r="AB2445" s="11" t="n">
        <f aca="false">(AA2445/(K2445*L2445)*25)*4</f>
        <v>4</v>
      </c>
    </row>
    <row r="2446" customFormat="false" ht="14.25" hidden="false" customHeight="false" outlineLevel="0" collapsed="false">
      <c r="A2446" s="1" t="n">
        <v>2014</v>
      </c>
      <c r="B2446" s="7" t="s">
        <v>322</v>
      </c>
      <c r="C2446" s="7" t="n">
        <v>2</v>
      </c>
      <c r="D2446" s="7" t="s">
        <v>294</v>
      </c>
      <c r="E2446" s="7" t="s">
        <v>294</v>
      </c>
      <c r="F2446" s="3" t="s">
        <v>51</v>
      </c>
      <c r="G2446" s="3" t="n">
        <v>3</v>
      </c>
      <c r="H2446" s="3" t="n">
        <v>12</v>
      </c>
      <c r="I2446" s="22" t="n">
        <v>41794</v>
      </c>
      <c r="J2446" s="22" t="n">
        <v>41799</v>
      </c>
      <c r="K2446" s="43" t="n">
        <f aca="false">J2446-I2446</f>
        <v>5</v>
      </c>
      <c r="L2446" s="1" t="n">
        <v>5</v>
      </c>
      <c r="M2446" s="3" t="s">
        <v>226</v>
      </c>
      <c r="N2446" s="3" t="s">
        <v>65</v>
      </c>
      <c r="O2446" s="3" t="s">
        <v>335</v>
      </c>
      <c r="P2446" s="2" t="str">
        <f aca="false">CONCATENATE(N2446," ",O2446)</f>
        <v>Zora spinimana</v>
      </c>
      <c r="Q2446" s="1" t="s">
        <v>30</v>
      </c>
      <c r="R2446" s="1" t="s">
        <v>31</v>
      </c>
      <c r="S2446" s="3" t="n">
        <v>1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f aca="false">SUM(S2446:T2446)</f>
        <v>1</v>
      </c>
      <c r="Z2446" s="3" t="n">
        <f aca="false">SUM(U2446:W2446)</f>
        <v>0</v>
      </c>
      <c r="AA2446" s="3" t="n">
        <f aca="false">SUM(S2446:X2446)</f>
        <v>1</v>
      </c>
      <c r="AB2446" s="11" t="n">
        <f aca="false">(AA2446/(K2446*L2446)*25)*4</f>
        <v>4</v>
      </c>
    </row>
    <row r="2447" customFormat="false" ht="14.25" hidden="false" customHeight="false" outlineLevel="0" collapsed="false">
      <c r="A2447" s="1" t="n">
        <v>2014</v>
      </c>
      <c r="B2447" s="7" t="s">
        <v>322</v>
      </c>
      <c r="C2447" s="7" t="n">
        <v>2</v>
      </c>
      <c r="D2447" s="7" t="s">
        <v>294</v>
      </c>
      <c r="E2447" s="7" t="s">
        <v>294</v>
      </c>
      <c r="F2447" s="3" t="s">
        <v>51</v>
      </c>
      <c r="G2447" s="3" t="n">
        <v>3</v>
      </c>
      <c r="H2447" s="3" t="n">
        <v>12</v>
      </c>
      <c r="I2447" s="22" t="n">
        <v>41794</v>
      </c>
      <c r="J2447" s="22" t="n">
        <v>41799</v>
      </c>
      <c r="K2447" s="43" t="n">
        <f aca="false">J2447-I2447</f>
        <v>5</v>
      </c>
      <c r="L2447" s="1" t="n">
        <v>5</v>
      </c>
      <c r="M2447" s="3" t="s">
        <v>226</v>
      </c>
      <c r="N2447" s="3" t="s">
        <v>65</v>
      </c>
      <c r="O2447" s="3" t="s">
        <v>123</v>
      </c>
      <c r="P2447" s="2" t="str">
        <f aca="false">CONCATENATE(N2447," ",O2447)</f>
        <v>Zora nemoralis</v>
      </c>
      <c r="Q2447" s="1" t="s">
        <v>30</v>
      </c>
      <c r="R2447" s="1" t="s">
        <v>31</v>
      </c>
      <c r="S2447" s="3" t="n">
        <v>1</v>
      </c>
      <c r="T2447" s="3" t="n">
        <v>0</v>
      </c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f aca="false">SUM(S2447:T2447)</f>
        <v>1</v>
      </c>
      <c r="Z2447" s="3" t="n">
        <f aca="false">SUM(U2447:W2447)</f>
        <v>0</v>
      </c>
      <c r="AA2447" s="3" t="n">
        <f aca="false">SUM(S2447:X2447)</f>
        <v>1</v>
      </c>
      <c r="AB2447" s="11" t="n">
        <f aca="false">(AA2447/(K2447*L2447)*25)*4</f>
        <v>4</v>
      </c>
    </row>
    <row r="2448" customFormat="false" ht="14.25" hidden="false" customHeight="false" outlineLevel="0" collapsed="false">
      <c r="A2448" s="1" t="n">
        <v>2014</v>
      </c>
      <c r="B2448" s="7" t="s">
        <v>322</v>
      </c>
      <c r="C2448" s="7" t="n">
        <v>2</v>
      </c>
      <c r="D2448" s="7" t="s">
        <v>294</v>
      </c>
      <c r="E2448" s="7" t="s">
        <v>294</v>
      </c>
      <c r="F2448" s="3" t="s">
        <v>51</v>
      </c>
      <c r="G2448" s="3" t="n">
        <v>3</v>
      </c>
      <c r="H2448" s="3" t="n">
        <v>12</v>
      </c>
      <c r="I2448" s="22" t="n">
        <v>41794</v>
      </c>
      <c r="J2448" s="22" t="n">
        <v>41799</v>
      </c>
      <c r="K2448" s="43" t="n">
        <f aca="false">J2448-I2448</f>
        <v>5</v>
      </c>
      <c r="L2448" s="1" t="n">
        <v>5</v>
      </c>
      <c r="M2448" s="3" t="s">
        <v>36</v>
      </c>
      <c r="N2448" s="3" t="s">
        <v>37</v>
      </c>
      <c r="O2448" s="3" t="s">
        <v>75</v>
      </c>
      <c r="P2448" s="2" t="str">
        <f aca="false">CONCATENATE(N2448," ",O2448)</f>
        <v>Ozyptila praticola</v>
      </c>
      <c r="Q2448" s="1" t="s">
        <v>30</v>
      </c>
      <c r="R2448" s="1" t="s">
        <v>31</v>
      </c>
      <c r="S2448" s="3" t="n">
        <v>1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f aca="false">SUM(S2448:T2448)</f>
        <v>1</v>
      </c>
      <c r="Z2448" s="3" t="n">
        <f aca="false">SUM(U2448:W2448)</f>
        <v>0</v>
      </c>
      <c r="AA2448" s="3" t="n">
        <f aca="false">SUM(S2448:X2448)</f>
        <v>1</v>
      </c>
      <c r="AB2448" s="11" t="n">
        <f aca="false">(AA2448/(K2448*L2448)*25)*4</f>
        <v>4</v>
      </c>
    </row>
    <row r="2449" customFormat="false" ht="14.25" hidden="false" customHeight="false" outlineLevel="0" collapsed="false">
      <c r="A2449" s="1" t="n">
        <v>2014</v>
      </c>
      <c r="B2449" s="7" t="s">
        <v>322</v>
      </c>
      <c r="C2449" s="7" t="n">
        <v>2</v>
      </c>
      <c r="D2449" s="7" t="s">
        <v>294</v>
      </c>
      <c r="E2449" s="7" t="s">
        <v>294</v>
      </c>
      <c r="F2449" s="3" t="s">
        <v>51</v>
      </c>
      <c r="G2449" s="3" t="n">
        <v>3</v>
      </c>
      <c r="H2449" s="3" t="n">
        <v>15</v>
      </c>
      <c r="I2449" s="22" t="n">
        <v>41794</v>
      </c>
      <c r="J2449" s="22" t="n">
        <v>41799</v>
      </c>
      <c r="K2449" s="43" t="n">
        <f aca="false">J2449-I2449</f>
        <v>5</v>
      </c>
      <c r="L2449" s="1" t="n">
        <v>5</v>
      </c>
      <c r="M2449" s="3" t="s">
        <v>48</v>
      </c>
      <c r="N2449" s="3" t="s">
        <v>67</v>
      </c>
      <c r="O2449" s="3" t="s">
        <v>127</v>
      </c>
      <c r="P2449" s="2" t="str">
        <f aca="false">CONCATENATE(N2449," ",O2449)</f>
        <v>Pardosa lugubris</v>
      </c>
      <c r="Q2449" s="1" t="s">
        <v>30</v>
      </c>
      <c r="R2449" s="1" t="s">
        <v>31</v>
      </c>
      <c r="S2449" s="3" t="n">
        <v>9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f aca="false">SUM(S2449:T2449)</f>
        <v>9</v>
      </c>
      <c r="Z2449" s="3" t="n">
        <f aca="false">SUM(U2449:W2449)</f>
        <v>0</v>
      </c>
      <c r="AA2449" s="3" t="n">
        <f aca="false">SUM(S2449:X2449)</f>
        <v>9</v>
      </c>
      <c r="AB2449" s="11" t="n">
        <f aca="false">(AA2449/(K2449*L2449)*25)*4</f>
        <v>36</v>
      </c>
    </row>
    <row r="2450" customFormat="false" ht="14.25" hidden="false" customHeight="false" outlineLevel="0" collapsed="false">
      <c r="A2450" s="1" t="n">
        <v>2014</v>
      </c>
      <c r="B2450" s="7" t="s">
        <v>322</v>
      </c>
      <c r="C2450" s="7" t="n">
        <v>2</v>
      </c>
      <c r="D2450" s="7" t="s">
        <v>294</v>
      </c>
      <c r="E2450" s="7" t="s">
        <v>294</v>
      </c>
      <c r="F2450" s="3" t="s">
        <v>51</v>
      </c>
      <c r="G2450" s="3" t="n">
        <v>3</v>
      </c>
      <c r="H2450" s="3" t="n">
        <v>15</v>
      </c>
      <c r="I2450" s="22" t="n">
        <v>41794</v>
      </c>
      <c r="J2450" s="22" t="n">
        <v>41799</v>
      </c>
      <c r="K2450" s="43" t="n">
        <f aca="false">J2450-I2450</f>
        <v>5</v>
      </c>
      <c r="L2450" s="1" t="n">
        <v>5</v>
      </c>
      <c r="M2450" s="3" t="s">
        <v>48</v>
      </c>
      <c r="N2450" s="3" t="s">
        <v>49</v>
      </c>
      <c r="O2450" s="3" t="s">
        <v>104</v>
      </c>
      <c r="P2450" s="2" t="str">
        <f aca="false">CONCATENATE(N2450," ",O2450)</f>
        <v>Alopecosa taeniata</v>
      </c>
      <c r="Q2450" s="1" t="s">
        <v>30</v>
      </c>
      <c r="R2450" s="1" t="s">
        <v>31</v>
      </c>
      <c r="S2450" s="3" t="n">
        <v>1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f aca="false">SUM(S2450:T2450)</f>
        <v>1</v>
      </c>
      <c r="Z2450" s="3" t="n">
        <f aca="false">SUM(U2450:W2450)</f>
        <v>0</v>
      </c>
      <c r="AA2450" s="3" t="n">
        <f aca="false">SUM(S2450:X2450)</f>
        <v>1</v>
      </c>
      <c r="AB2450" s="11" t="n">
        <f aca="false">(AA2450/(K2450*L2450)*25)*4</f>
        <v>4</v>
      </c>
    </row>
    <row r="2451" customFormat="false" ht="14.25" hidden="false" customHeight="false" outlineLevel="0" collapsed="false">
      <c r="A2451" s="1" t="n">
        <v>2014</v>
      </c>
      <c r="B2451" s="7" t="s">
        <v>322</v>
      </c>
      <c r="C2451" s="7" t="n">
        <v>2</v>
      </c>
      <c r="D2451" s="7" t="s">
        <v>294</v>
      </c>
      <c r="E2451" s="7" t="s">
        <v>294</v>
      </c>
      <c r="F2451" s="3" t="s">
        <v>51</v>
      </c>
      <c r="G2451" s="3" t="n">
        <v>3</v>
      </c>
      <c r="H2451" s="3" t="n">
        <v>15</v>
      </c>
      <c r="I2451" s="22" t="n">
        <v>41794</v>
      </c>
      <c r="J2451" s="22" t="n">
        <v>41799</v>
      </c>
      <c r="K2451" s="43" t="n">
        <f aca="false">J2451-I2451</f>
        <v>5</v>
      </c>
      <c r="L2451" s="1" t="n">
        <v>5</v>
      </c>
      <c r="M2451" s="3" t="s">
        <v>72</v>
      </c>
      <c r="N2451" s="3" t="s">
        <v>73</v>
      </c>
      <c r="O2451" s="3" t="s">
        <v>74</v>
      </c>
      <c r="P2451" s="2" t="str">
        <f aca="false">CONCATENATE(N2451," ",O2451)</f>
        <v>Zelotes subterraneus</v>
      </c>
      <c r="Q2451" s="1" t="s">
        <v>30</v>
      </c>
      <c r="R2451" s="1" t="s">
        <v>31</v>
      </c>
      <c r="S2451" s="3" t="n">
        <v>1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f aca="false">SUM(S2451:T2451)</f>
        <v>1</v>
      </c>
      <c r="Z2451" s="3" t="n">
        <f aca="false">SUM(U2451:W2451)</f>
        <v>0</v>
      </c>
      <c r="AA2451" s="3" t="n">
        <f aca="false">SUM(S2451:X2451)</f>
        <v>1</v>
      </c>
      <c r="AB2451" s="11" t="n">
        <f aca="false">(AA2451/(K2451*L2451)*25)*4</f>
        <v>4</v>
      </c>
    </row>
    <row r="2452" customFormat="false" ht="14.25" hidden="false" customHeight="false" outlineLevel="0" collapsed="false">
      <c r="A2452" s="1" t="n">
        <v>2014</v>
      </c>
      <c r="B2452" s="7" t="s">
        <v>322</v>
      </c>
      <c r="C2452" s="7" t="n">
        <v>2</v>
      </c>
      <c r="D2452" s="7" t="s">
        <v>294</v>
      </c>
      <c r="E2452" s="7" t="s">
        <v>294</v>
      </c>
      <c r="F2452" s="3" t="s">
        <v>51</v>
      </c>
      <c r="G2452" s="3" t="n">
        <v>3</v>
      </c>
      <c r="H2452" s="3" t="n">
        <v>15</v>
      </c>
      <c r="I2452" s="22" t="n">
        <v>41794</v>
      </c>
      <c r="J2452" s="22" t="n">
        <v>41799</v>
      </c>
      <c r="K2452" s="43" t="n">
        <f aca="false">J2452-I2452</f>
        <v>5</v>
      </c>
      <c r="L2452" s="1" t="n">
        <v>5</v>
      </c>
      <c r="M2452" s="3" t="s">
        <v>72</v>
      </c>
      <c r="N2452" s="3" t="s">
        <v>86</v>
      </c>
      <c r="O2452" s="3" t="s">
        <v>87</v>
      </c>
      <c r="P2452" s="2" t="str">
        <f aca="false">CONCATENATE(N2452," ",O2452)</f>
        <v>Haplodrassus soerenseni</v>
      </c>
      <c r="Q2452" s="1" t="s">
        <v>30</v>
      </c>
      <c r="R2452" s="1" t="s">
        <v>31</v>
      </c>
      <c r="S2452" s="3" t="n">
        <v>2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f aca="false">SUM(S2452:T2452)</f>
        <v>2</v>
      </c>
      <c r="Z2452" s="3" t="n">
        <f aca="false">SUM(U2452:W2452)</f>
        <v>0</v>
      </c>
      <c r="AA2452" s="3" t="n">
        <f aca="false">SUM(S2452:X2452)</f>
        <v>2</v>
      </c>
      <c r="AB2452" s="11" t="n">
        <f aca="false">(AA2452/(K2452*L2452)*25)*4</f>
        <v>8</v>
      </c>
    </row>
    <row r="2453" customFormat="false" ht="14.25" hidden="false" customHeight="false" outlineLevel="0" collapsed="false">
      <c r="A2453" s="1" t="n">
        <v>2014</v>
      </c>
      <c r="B2453" s="7" t="s">
        <v>322</v>
      </c>
      <c r="C2453" s="7" t="n">
        <v>2</v>
      </c>
      <c r="D2453" s="7" t="s">
        <v>294</v>
      </c>
      <c r="E2453" s="7" t="s">
        <v>294</v>
      </c>
      <c r="F2453" s="3" t="s">
        <v>51</v>
      </c>
      <c r="G2453" s="3" t="n">
        <v>3</v>
      </c>
      <c r="H2453" s="3" t="n">
        <v>15</v>
      </c>
      <c r="I2453" s="22" t="n">
        <v>41794</v>
      </c>
      <c r="J2453" s="22" t="n">
        <v>41799</v>
      </c>
      <c r="K2453" s="43" t="n">
        <f aca="false">J2453-I2453</f>
        <v>5</v>
      </c>
      <c r="L2453" s="1" t="n">
        <v>5</v>
      </c>
      <c r="M2453" s="3" t="s">
        <v>72</v>
      </c>
      <c r="N2453" s="3" t="s">
        <v>86</v>
      </c>
      <c r="O2453" s="3" t="s">
        <v>87</v>
      </c>
      <c r="P2453" s="2" t="str">
        <f aca="false">CONCATENATE(N2453," ",O2453)</f>
        <v>Haplodrassus soerenseni</v>
      </c>
      <c r="Q2453" s="1" t="s">
        <v>30</v>
      </c>
      <c r="R2453" s="1" t="s">
        <v>35</v>
      </c>
      <c r="S2453" s="3" t="n">
        <v>0</v>
      </c>
      <c r="T2453" s="3" t="n">
        <v>1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f aca="false">SUM(S2453:T2453)</f>
        <v>1</v>
      </c>
      <c r="Z2453" s="3" t="n">
        <f aca="false">SUM(U2453:W2453)</f>
        <v>0</v>
      </c>
      <c r="AA2453" s="3" t="n">
        <f aca="false">SUM(S2453:X2453)</f>
        <v>1</v>
      </c>
      <c r="AB2453" s="11" t="n">
        <f aca="false">(AA2453/(K2453*L2453)*25)*4</f>
        <v>4</v>
      </c>
    </row>
    <row r="2454" customFormat="false" ht="14.25" hidden="false" customHeight="false" outlineLevel="0" collapsed="false">
      <c r="A2454" s="1" t="n">
        <v>2014</v>
      </c>
      <c r="B2454" s="7" t="s">
        <v>322</v>
      </c>
      <c r="C2454" s="7" t="n">
        <v>2</v>
      </c>
      <c r="D2454" s="7" t="s">
        <v>294</v>
      </c>
      <c r="E2454" s="7" t="s">
        <v>294</v>
      </c>
      <c r="F2454" s="3" t="s">
        <v>51</v>
      </c>
      <c r="G2454" s="3" t="n">
        <v>3</v>
      </c>
      <c r="H2454" s="3" t="n">
        <v>15</v>
      </c>
      <c r="I2454" s="22" t="n">
        <v>41794</v>
      </c>
      <c r="J2454" s="22" t="n">
        <v>41799</v>
      </c>
      <c r="K2454" s="43" t="n">
        <f aca="false">J2454-I2454</f>
        <v>5</v>
      </c>
      <c r="L2454" s="1" t="n">
        <v>5</v>
      </c>
      <c r="M2454" s="3" t="s">
        <v>226</v>
      </c>
      <c r="N2454" s="3" t="s">
        <v>65</v>
      </c>
      <c r="O2454" s="3" t="s">
        <v>123</v>
      </c>
      <c r="P2454" s="2" t="str">
        <f aca="false">CONCATENATE(N2454," ",O2454)</f>
        <v>Zora nemoralis</v>
      </c>
      <c r="Q2454" s="1" t="s">
        <v>30</v>
      </c>
      <c r="R2454" s="1" t="s">
        <v>31</v>
      </c>
      <c r="S2454" s="3" t="n">
        <v>1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f aca="false">SUM(S2454:T2454)</f>
        <v>1</v>
      </c>
      <c r="Z2454" s="3" t="n">
        <f aca="false">SUM(U2454:W2454)</f>
        <v>0</v>
      </c>
      <c r="AA2454" s="3" t="n">
        <f aca="false">SUM(S2454:X2454)</f>
        <v>1</v>
      </c>
      <c r="AB2454" s="11" t="n">
        <f aca="false">(AA2454/(K2454*L2454)*25)*4</f>
        <v>4</v>
      </c>
    </row>
    <row r="2455" customFormat="false" ht="14.25" hidden="false" customHeight="false" outlineLevel="0" collapsed="false">
      <c r="A2455" s="1" t="n">
        <v>2014</v>
      </c>
      <c r="B2455" s="7" t="s">
        <v>322</v>
      </c>
      <c r="C2455" s="7" t="n">
        <v>2</v>
      </c>
      <c r="D2455" s="7" t="s">
        <v>294</v>
      </c>
      <c r="E2455" s="7" t="s">
        <v>294</v>
      </c>
      <c r="F2455" s="3" t="s">
        <v>51</v>
      </c>
      <c r="G2455" s="3" t="n">
        <v>3</v>
      </c>
      <c r="H2455" s="3" t="n">
        <v>15</v>
      </c>
      <c r="I2455" s="22" t="n">
        <v>41794</v>
      </c>
      <c r="J2455" s="22" t="n">
        <v>41799</v>
      </c>
      <c r="K2455" s="43" t="n">
        <f aca="false">J2455-I2455</f>
        <v>5</v>
      </c>
      <c r="L2455" s="1" t="n">
        <v>5</v>
      </c>
      <c r="M2455" s="3" t="s">
        <v>92</v>
      </c>
      <c r="N2455" s="3" t="s">
        <v>171</v>
      </c>
      <c r="O2455" s="3" t="s">
        <v>172</v>
      </c>
      <c r="P2455" s="2" t="str">
        <f aca="false">CONCATENATE(N2455," ",O2455)</f>
        <v>Euophrys frontalis</v>
      </c>
      <c r="Q2455" s="1" t="s">
        <v>30</v>
      </c>
      <c r="R2455" s="1" t="s">
        <v>35</v>
      </c>
      <c r="S2455" s="3" t="n">
        <v>0</v>
      </c>
      <c r="T2455" s="3" t="n">
        <v>1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f aca="false">SUM(S2455:T2455)</f>
        <v>1</v>
      </c>
      <c r="Z2455" s="3" t="n">
        <f aca="false">SUM(U2455:W2455)</f>
        <v>0</v>
      </c>
      <c r="AA2455" s="3" t="n">
        <f aca="false">SUM(S2455:X2455)</f>
        <v>1</v>
      </c>
      <c r="AB2455" s="11" t="n">
        <f aca="false">(AA2455/(K2455*L2455)*25)*4</f>
        <v>4</v>
      </c>
    </row>
    <row r="2456" customFormat="false" ht="14.25" hidden="false" customHeight="false" outlineLevel="0" collapsed="false">
      <c r="A2456" s="1" t="n">
        <v>2014</v>
      </c>
      <c r="B2456" s="7" t="s">
        <v>322</v>
      </c>
      <c r="C2456" s="7" t="n">
        <v>2</v>
      </c>
      <c r="D2456" s="7" t="s">
        <v>294</v>
      </c>
      <c r="E2456" s="7" t="s">
        <v>294</v>
      </c>
      <c r="F2456" s="3" t="s">
        <v>51</v>
      </c>
      <c r="G2456" s="3" t="n">
        <v>2</v>
      </c>
      <c r="H2456" s="3" t="n">
        <v>10</v>
      </c>
      <c r="I2456" s="22" t="n">
        <v>41794</v>
      </c>
      <c r="J2456" s="22" t="n">
        <v>41799</v>
      </c>
      <c r="K2456" s="43" t="n">
        <f aca="false">J2456-I2456</f>
        <v>5</v>
      </c>
      <c r="L2456" s="1" t="n">
        <v>5</v>
      </c>
      <c r="M2456" s="3" t="s">
        <v>48</v>
      </c>
      <c r="N2456" s="3" t="s">
        <v>67</v>
      </c>
      <c r="O2456" s="3" t="s">
        <v>127</v>
      </c>
      <c r="P2456" s="2" t="str">
        <f aca="false">CONCATENATE(N2456," ",O2456)</f>
        <v>Pardosa lugubris</v>
      </c>
      <c r="Q2456" s="1" t="s">
        <v>30</v>
      </c>
      <c r="R2456" s="1" t="s">
        <v>31</v>
      </c>
      <c r="S2456" s="3" t="n">
        <v>11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f aca="false">SUM(S2456:T2456)</f>
        <v>11</v>
      </c>
      <c r="Z2456" s="3" t="n">
        <f aca="false">SUM(U2456:W2456)</f>
        <v>0</v>
      </c>
      <c r="AA2456" s="3" t="n">
        <f aca="false">SUM(S2456:X2456)</f>
        <v>11</v>
      </c>
      <c r="AB2456" s="11" t="n">
        <f aca="false">(AA2456/(K2456*L2456)*25)*4</f>
        <v>44</v>
      </c>
    </row>
    <row r="2457" customFormat="false" ht="14.25" hidden="false" customHeight="false" outlineLevel="0" collapsed="false">
      <c r="A2457" s="1" t="n">
        <v>2014</v>
      </c>
      <c r="B2457" s="7" t="s">
        <v>322</v>
      </c>
      <c r="C2457" s="7" t="n">
        <v>2</v>
      </c>
      <c r="D2457" s="7" t="s">
        <v>294</v>
      </c>
      <c r="E2457" s="7" t="s">
        <v>294</v>
      </c>
      <c r="F2457" s="3" t="s">
        <v>51</v>
      </c>
      <c r="G2457" s="3" t="n">
        <v>2</v>
      </c>
      <c r="H2457" s="3" t="n">
        <v>10</v>
      </c>
      <c r="I2457" s="22" t="n">
        <v>41794</v>
      </c>
      <c r="J2457" s="22" t="n">
        <v>41799</v>
      </c>
      <c r="K2457" s="43" t="n">
        <f aca="false">J2457-I2457</f>
        <v>5</v>
      </c>
      <c r="L2457" s="1" t="n">
        <v>5</v>
      </c>
      <c r="M2457" s="3" t="s">
        <v>48</v>
      </c>
      <c r="N2457" s="3" t="s">
        <v>67</v>
      </c>
      <c r="O2457" s="3" t="s">
        <v>127</v>
      </c>
      <c r="P2457" s="2" t="str">
        <f aca="false">CONCATENATE(N2457," ",O2457)</f>
        <v>Pardosa lugubris</v>
      </c>
      <c r="Q2457" s="1" t="s">
        <v>30</v>
      </c>
      <c r="R2457" s="1" t="s">
        <v>35</v>
      </c>
      <c r="S2457" s="3" t="n">
        <v>0</v>
      </c>
      <c r="T2457" s="3" t="n">
        <v>2</v>
      </c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f aca="false">SUM(S2457:T2457)</f>
        <v>2</v>
      </c>
      <c r="Z2457" s="3" t="n">
        <f aca="false">SUM(U2457:W2457)</f>
        <v>0</v>
      </c>
      <c r="AA2457" s="3" t="n">
        <f aca="false">SUM(S2457:X2457)</f>
        <v>2</v>
      </c>
      <c r="AB2457" s="11" t="n">
        <f aca="false">(AA2457/(K2457*L2457)*25)*4</f>
        <v>8</v>
      </c>
    </row>
    <row r="2458" customFormat="false" ht="14.25" hidden="false" customHeight="false" outlineLevel="0" collapsed="false">
      <c r="A2458" s="1" t="n">
        <v>2014</v>
      </c>
      <c r="B2458" s="7" t="s">
        <v>322</v>
      </c>
      <c r="C2458" s="7" t="n">
        <v>2</v>
      </c>
      <c r="D2458" s="7" t="s">
        <v>294</v>
      </c>
      <c r="E2458" s="7" t="s">
        <v>294</v>
      </c>
      <c r="F2458" s="3" t="s">
        <v>51</v>
      </c>
      <c r="G2458" s="3" t="n">
        <v>2</v>
      </c>
      <c r="H2458" s="3" t="n">
        <v>10</v>
      </c>
      <c r="I2458" s="22" t="n">
        <v>41794</v>
      </c>
      <c r="J2458" s="22" t="n">
        <v>41799</v>
      </c>
      <c r="K2458" s="43" t="n">
        <f aca="false">J2458-I2458</f>
        <v>5</v>
      </c>
      <c r="L2458" s="1" t="n">
        <v>5</v>
      </c>
      <c r="M2458" s="3" t="s">
        <v>48</v>
      </c>
      <c r="N2458" s="3" t="s">
        <v>49</v>
      </c>
      <c r="O2458" s="3" t="s">
        <v>104</v>
      </c>
      <c r="P2458" s="2" t="str">
        <f aca="false">CONCATENATE(N2458," ",O2458)</f>
        <v>Alopecosa taeniata</v>
      </c>
      <c r="Q2458" s="1" t="s">
        <v>30</v>
      </c>
      <c r="R2458" s="1" t="s">
        <v>31</v>
      </c>
      <c r="S2458" s="3" t="n">
        <v>3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f aca="false">SUM(S2458:T2458)</f>
        <v>3</v>
      </c>
      <c r="Z2458" s="3" t="n">
        <f aca="false">SUM(U2458:W2458)</f>
        <v>0</v>
      </c>
      <c r="AA2458" s="3" t="n">
        <f aca="false">SUM(S2458:X2458)</f>
        <v>3</v>
      </c>
      <c r="AB2458" s="11" t="n">
        <f aca="false">(AA2458/(K2458*L2458)*25)*4</f>
        <v>12</v>
      </c>
    </row>
    <row r="2459" customFormat="false" ht="14.25" hidden="false" customHeight="false" outlineLevel="0" collapsed="false">
      <c r="A2459" s="1" t="n">
        <v>2014</v>
      </c>
      <c r="B2459" s="7" t="s">
        <v>322</v>
      </c>
      <c r="C2459" s="7" t="n">
        <v>2</v>
      </c>
      <c r="D2459" s="7" t="s">
        <v>294</v>
      </c>
      <c r="E2459" s="7" t="s">
        <v>294</v>
      </c>
      <c r="F2459" s="3" t="s">
        <v>51</v>
      </c>
      <c r="G2459" s="3" t="n">
        <v>2</v>
      </c>
      <c r="H2459" s="3" t="n">
        <v>10</v>
      </c>
      <c r="I2459" s="22" t="n">
        <v>41794</v>
      </c>
      <c r="J2459" s="22" t="n">
        <v>41799</v>
      </c>
      <c r="K2459" s="43" t="n">
        <f aca="false">J2459-I2459</f>
        <v>5</v>
      </c>
      <c r="L2459" s="1" t="n">
        <v>5</v>
      </c>
      <c r="M2459" s="3" t="s">
        <v>36</v>
      </c>
      <c r="N2459" s="3" t="s">
        <v>37</v>
      </c>
      <c r="O2459" s="3" t="s">
        <v>75</v>
      </c>
      <c r="P2459" s="2" t="str">
        <f aca="false">CONCATENATE(N2459," ",O2459)</f>
        <v>Ozyptila praticola</v>
      </c>
      <c r="Q2459" s="1" t="s">
        <v>30</v>
      </c>
      <c r="R2459" s="1" t="s">
        <v>31</v>
      </c>
      <c r="S2459" s="3" t="n">
        <v>3</v>
      </c>
      <c r="T2459" s="3" t="n">
        <v>0</v>
      </c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f aca="false">SUM(S2459:T2459)</f>
        <v>3</v>
      </c>
      <c r="Z2459" s="3" t="n">
        <f aca="false">SUM(U2459:W2459)</f>
        <v>0</v>
      </c>
      <c r="AA2459" s="3" t="n">
        <f aca="false">SUM(S2459:X2459)</f>
        <v>3</v>
      </c>
      <c r="AB2459" s="11" t="n">
        <f aca="false">(AA2459/(K2459*L2459)*25)*4</f>
        <v>12</v>
      </c>
    </row>
    <row r="2460" customFormat="false" ht="14.25" hidden="false" customHeight="false" outlineLevel="0" collapsed="false">
      <c r="A2460" s="1" t="n">
        <v>2014</v>
      </c>
      <c r="B2460" s="7" t="s">
        <v>322</v>
      </c>
      <c r="C2460" s="7" t="n">
        <v>2</v>
      </c>
      <c r="D2460" s="7" t="s">
        <v>294</v>
      </c>
      <c r="E2460" s="7" t="s">
        <v>294</v>
      </c>
      <c r="F2460" s="3" t="s">
        <v>51</v>
      </c>
      <c r="G2460" s="3" t="n">
        <v>2</v>
      </c>
      <c r="H2460" s="3" t="n">
        <v>10</v>
      </c>
      <c r="I2460" s="22" t="n">
        <v>41794</v>
      </c>
      <c r="J2460" s="22" t="n">
        <v>41799</v>
      </c>
      <c r="K2460" s="43" t="n">
        <f aca="false">J2460-I2460</f>
        <v>5</v>
      </c>
      <c r="L2460" s="1" t="n">
        <v>5</v>
      </c>
      <c r="M2460" s="3" t="s">
        <v>36</v>
      </c>
      <c r="N2460" s="3" t="s">
        <v>131</v>
      </c>
      <c r="O2460" s="3" t="s">
        <v>133</v>
      </c>
      <c r="P2460" s="2" t="str">
        <f aca="false">CONCATENATE(N2460," ",O2460)</f>
        <v>Xysticus luctuosus</v>
      </c>
      <c r="Q2460" s="1" t="s">
        <v>30</v>
      </c>
      <c r="R2460" s="1" t="s">
        <v>31</v>
      </c>
      <c r="S2460" s="3" t="n">
        <v>1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f aca="false">SUM(S2460:T2460)</f>
        <v>1</v>
      </c>
      <c r="Z2460" s="3" t="n">
        <f aca="false">SUM(U2460:W2460)</f>
        <v>0</v>
      </c>
      <c r="AA2460" s="3" t="n">
        <f aca="false">SUM(S2460:X2460)</f>
        <v>1</v>
      </c>
      <c r="AB2460" s="11" t="n">
        <f aca="false">(AA2460/(K2460*L2460)*25)*4</f>
        <v>4</v>
      </c>
    </row>
    <row r="2461" customFormat="false" ht="14.25" hidden="false" customHeight="false" outlineLevel="0" collapsed="false">
      <c r="A2461" s="1" t="n">
        <v>2014</v>
      </c>
      <c r="B2461" s="7" t="s">
        <v>322</v>
      </c>
      <c r="C2461" s="7" t="n">
        <v>2</v>
      </c>
      <c r="D2461" s="7" t="s">
        <v>294</v>
      </c>
      <c r="E2461" s="7" t="s">
        <v>294</v>
      </c>
      <c r="F2461" s="3" t="s">
        <v>51</v>
      </c>
      <c r="G2461" s="3" t="n">
        <v>2</v>
      </c>
      <c r="H2461" s="3" t="n">
        <v>10</v>
      </c>
      <c r="I2461" s="22" t="n">
        <v>41794</v>
      </c>
      <c r="J2461" s="22" t="n">
        <v>41799</v>
      </c>
      <c r="K2461" s="43" t="n">
        <f aca="false">J2461-I2461</f>
        <v>5</v>
      </c>
      <c r="L2461" s="1" t="n">
        <v>5</v>
      </c>
      <c r="M2461" s="3" t="s">
        <v>135</v>
      </c>
      <c r="N2461" s="3" t="s">
        <v>136</v>
      </c>
      <c r="O2461" s="3" t="s">
        <v>137</v>
      </c>
      <c r="P2461" s="2" t="str">
        <f aca="false">CONCATENATE(N2461," ",O2461)</f>
        <v>Thanatus sabulosus</v>
      </c>
      <c r="Q2461" s="1" t="s">
        <v>30</v>
      </c>
      <c r="R2461" s="1" t="s">
        <v>31</v>
      </c>
      <c r="S2461" s="3" t="n">
        <v>1</v>
      </c>
      <c r="T2461" s="3" t="n">
        <v>0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f aca="false">SUM(S2461:T2461)</f>
        <v>1</v>
      </c>
      <c r="Z2461" s="3" t="n">
        <f aca="false">SUM(U2461:W2461)</f>
        <v>0</v>
      </c>
      <c r="AA2461" s="3" t="n">
        <f aca="false">SUM(S2461:X2461)</f>
        <v>1</v>
      </c>
      <c r="AB2461" s="11" t="n">
        <f aca="false">(AA2461/(K2461*L2461)*25)*4</f>
        <v>4</v>
      </c>
    </row>
    <row r="2462" customFormat="false" ht="14.25" hidden="false" customHeight="false" outlineLevel="0" collapsed="false">
      <c r="A2462" s="1" t="n">
        <v>2014</v>
      </c>
      <c r="B2462" s="7" t="s">
        <v>322</v>
      </c>
      <c r="C2462" s="7" t="n">
        <v>2</v>
      </c>
      <c r="D2462" s="7" t="s">
        <v>294</v>
      </c>
      <c r="E2462" s="7" t="s">
        <v>294</v>
      </c>
      <c r="F2462" s="3" t="s">
        <v>51</v>
      </c>
      <c r="G2462" s="3" t="n">
        <v>2</v>
      </c>
      <c r="H2462" s="3" t="n">
        <v>10</v>
      </c>
      <c r="I2462" s="22" t="n">
        <v>41794</v>
      </c>
      <c r="J2462" s="22" t="n">
        <v>41799</v>
      </c>
      <c r="K2462" s="43" t="n">
        <f aca="false">J2462-I2462</f>
        <v>5</v>
      </c>
      <c r="L2462" s="1" t="n">
        <v>5</v>
      </c>
      <c r="M2462" s="3" t="s">
        <v>135</v>
      </c>
      <c r="N2462" s="3" t="s">
        <v>136</v>
      </c>
      <c r="O2462" s="3" t="s">
        <v>137</v>
      </c>
      <c r="P2462" s="2" t="str">
        <f aca="false">CONCATENATE(N2462," ",O2462)</f>
        <v>Thanatus sabulosus</v>
      </c>
      <c r="Q2462" s="1" t="s">
        <v>30</v>
      </c>
      <c r="R2462" s="1" t="s">
        <v>35</v>
      </c>
      <c r="S2462" s="3" t="n">
        <v>0</v>
      </c>
      <c r="T2462" s="3" t="n">
        <v>1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f aca="false">SUM(S2462:T2462)</f>
        <v>1</v>
      </c>
      <c r="Z2462" s="3" t="n">
        <f aca="false">SUM(U2462:W2462)</f>
        <v>0</v>
      </c>
      <c r="AA2462" s="3" t="n">
        <f aca="false">SUM(S2462:X2462)</f>
        <v>1</v>
      </c>
      <c r="AB2462" s="11" t="n">
        <f aca="false">(AA2462/(K2462*L2462)*25)*4</f>
        <v>4</v>
      </c>
    </row>
    <row r="2463" customFormat="false" ht="14.25" hidden="false" customHeight="false" outlineLevel="0" collapsed="false">
      <c r="A2463" s="1" t="n">
        <v>2014</v>
      </c>
      <c r="B2463" s="7" t="s">
        <v>322</v>
      </c>
      <c r="C2463" s="7" t="n">
        <v>2</v>
      </c>
      <c r="D2463" s="7" t="s">
        <v>294</v>
      </c>
      <c r="E2463" s="7" t="s">
        <v>294</v>
      </c>
      <c r="F2463" s="3" t="s">
        <v>51</v>
      </c>
      <c r="G2463" s="3" t="n">
        <v>2</v>
      </c>
      <c r="H2463" s="3" t="n">
        <v>10</v>
      </c>
      <c r="I2463" s="22" t="n">
        <v>41794</v>
      </c>
      <c r="J2463" s="22" t="n">
        <v>41799</v>
      </c>
      <c r="K2463" s="43" t="n">
        <f aca="false">J2463-I2463</f>
        <v>5</v>
      </c>
      <c r="L2463" s="1" t="n">
        <v>5</v>
      </c>
      <c r="M2463" s="3" t="s">
        <v>32</v>
      </c>
      <c r="N2463" s="3" t="s">
        <v>154</v>
      </c>
      <c r="O2463" s="3" t="s">
        <v>155</v>
      </c>
      <c r="P2463" s="2" t="str">
        <f aca="false">CONCATENATE(N2463," ",O2463)</f>
        <v>Pocadicnemis pumila</v>
      </c>
      <c r="Q2463" s="1" t="s">
        <v>30</v>
      </c>
      <c r="R2463" s="1" t="s">
        <v>35</v>
      </c>
      <c r="S2463" s="3" t="n">
        <v>0</v>
      </c>
      <c r="T2463" s="3" t="n">
        <v>1</v>
      </c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f aca="false">SUM(S2463:T2463)</f>
        <v>1</v>
      </c>
      <c r="Z2463" s="3" t="n">
        <f aca="false">SUM(U2463:W2463)</f>
        <v>0</v>
      </c>
      <c r="AA2463" s="3" t="n">
        <f aca="false">SUM(S2463:X2463)</f>
        <v>1</v>
      </c>
      <c r="AB2463" s="11" t="n">
        <f aca="false">(AA2463/(K2463*L2463)*25)*4</f>
        <v>4</v>
      </c>
    </row>
    <row r="2464" customFormat="false" ht="14.25" hidden="false" customHeight="false" outlineLevel="0" collapsed="false">
      <c r="A2464" s="1" t="n">
        <v>2014</v>
      </c>
      <c r="B2464" s="7" t="s">
        <v>322</v>
      </c>
      <c r="C2464" s="7" t="n">
        <v>2</v>
      </c>
      <c r="D2464" s="7" t="s">
        <v>294</v>
      </c>
      <c r="E2464" s="7" t="s">
        <v>294</v>
      </c>
      <c r="F2464" s="3" t="s">
        <v>51</v>
      </c>
      <c r="G2464" s="3" t="n">
        <v>2</v>
      </c>
      <c r="H2464" s="3" t="n">
        <v>9</v>
      </c>
      <c r="I2464" s="22" t="n">
        <v>41794</v>
      </c>
      <c r="J2464" s="22" t="n">
        <v>41799</v>
      </c>
      <c r="K2464" s="43" t="n">
        <f aca="false">J2464-I2464</f>
        <v>5</v>
      </c>
      <c r="L2464" s="1" t="n">
        <v>5</v>
      </c>
      <c r="M2464" s="3" t="s">
        <v>48</v>
      </c>
      <c r="N2464" s="3" t="s">
        <v>67</v>
      </c>
      <c r="O2464" s="3" t="s">
        <v>127</v>
      </c>
      <c r="P2464" s="2" t="str">
        <f aca="false">CONCATENATE(N2464," ",O2464)</f>
        <v>Pardosa lugubris</v>
      </c>
      <c r="Q2464" s="1" t="s">
        <v>30</v>
      </c>
      <c r="R2464" s="1" t="s">
        <v>31</v>
      </c>
      <c r="S2464" s="3" t="n">
        <v>17</v>
      </c>
      <c r="T2464" s="3" t="n">
        <v>0</v>
      </c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f aca="false">SUM(S2464:T2464)</f>
        <v>17</v>
      </c>
      <c r="Z2464" s="3" t="n">
        <f aca="false">SUM(U2464:W2464)</f>
        <v>0</v>
      </c>
      <c r="AA2464" s="3" t="n">
        <f aca="false">SUM(S2464:X2464)</f>
        <v>17</v>
      </c>
      <c r="AB2464" s="11" t="n">
        <f aca="false">(AA2464/(K2464*L2464)*25)*4</f>
        <v>68</v>
      </c>
    </row>
    <row r="2465" customFormat="false" ht="14.25" hidden="false" customHeight="false" outlineLevel="0" collapsed="false">
      <c r="A2465" s="1" t="n">
        <v>2014</v>
      </c>
      <c r="B2465" s="7" t="s">
        <v>322</v>
      </c>
      <c r="C2465" s="7" t="n">
        <v>2</v>
      </c>
      <c r="D2465" s="7" t="s">
        <v>294</v>
      </c>
      <c r="E2465" s="7" t="s">
        <v>294</v>
      </c>
      <c r="F2465" s="3" t="s">
        <v>51</v>
      </c>
      <c r="G2465" s="3" t="n">
        <v>2</v>
      </c>
      <c r="H2465" s="3" t="n">
        <v>9</v>
      </c>
      <c r="I2465" s="22" t="n">
        <v>41794</v>
      </c>
      <c r="J2465" s="22" t="n">
        <v>41799</v>
      </c>
      <c r="K2465" s="43" t="n">
        <f aca="false">J2465-I2465</f>
        <v>5</v>
      </c>
      <c r="L2465" s="1" t="n">
        <v>5</v>
      </c>
      <c r="M2465" s="3" t="s">
        <v>48</v>
      </c>
      <c r="N2465" s="3" t="s">
        <v>67</v>
      </c>
      <c r="O2465" s="3" t="s">
        <v>127</v>
      </c>
      <c r="P2465" s="2" t="str">
        <f aca="false">CONCATENATE(N2465," ",O2465)</f>
        <v>Pardosa lugubris</v>
      </c>
      <c r="Q2465" s="1" t="s">
        <v>30</v>
      </c>
      <c r="R2465" s="1" t="s">
        <v>35</v>
      </c>
      <c r="S2465" s="3" t="n">
        <v>0</v>
      </c>
      <c r="T2465" s="3" t="n">
        <v>1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f aca="false">SUM(S2465:T2465)</f>
        <v>1</v>
      </c>
      <c r="Z2465" s="3" t="n">
        <f aca="false">SUM(U2465:W2465)</f>
        <v>0</v>
      </c>
      <c r="AA2465" s="3" t="n">
        <f aca="false">SUM(S2465:X2465)</f>
        <v>1</v>
      </c>
      <c r="AB2465" s="11" t="n">
        <f aca="false">(AA2465/(K2465*L2465)*25)*4</f>
        <v>4</v>
      </c>
    </row>
    <row r="2466" customFormat="false" ht="14.25" hidden="false" customHeight="false" outlineLevel="0" collapsed="false">
      <c r="A2466" s="1" t="n">
        <v>2014</v>
      </c>
      <c r="B2466" s="7" t="s">
        <v>322</v>
      </c>
      <c r="C2466" s="7" t="n">
        <v>2</v>
      </c>
      <c r="D2466" s="7" t="s">
        <v>294</v>
      </c>
      <c r="E2466" s="7" t="s">
        <v>294</v>
      </c>
      <c r="F2466" s="3" t="s">
        <v>51</v>
      </c>
      <c r="G2466" s="3" t="n">
        <v>2</v>
      </c>
      <c r="H2466" s="3" t="n">
        <v>9</v>
      </c>
      <c r="I2466" s="22" t="n">
        <v>41794</v>
      </c>
      <c r="J2466" s="22" t="n">
        <v>41799</v>
      </c>
      <c r="K2466" s="43" t="n">
        <f aca="false">J2466-I2466</f>
        <v>5</v>
      </c>
      <c r="L2466" s="1" t="n">
        <v>5</v>
      </c>
      <c r="M2466" s="3" t="s">
        <v>36</v>
      </c>
      <c r="N2466" s="3" t="s">
        <v>131</v>
      </c>
      <c r="O2466" s="3" t="s">
        <v>133</v>
      </c>
      <c r="P2466" s="2" t="str">
        <f aca="false">CONCATENATE(N2466," ",O2466)</f>
        <v>Xysticus luctuosus</v>
      </c>
      <c r="Q2466" s="1" t="s">
        <v>30</v>
      </c>
      <c r="R2466" s="1" t="s">
        <v>31</v>
      </c>
      <c r="S2466" s="3" t="n">
        <v>1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f aca="false">SUM(S2466:T2466)</f>
        <v>1</v>
      </c>
      <c r="Z2466" s="3" t="n">
        <f aca="false">SUM(U2466:W2466)</f>
        <v>0</v>
      </c>
      <c r="AA2466" s="3" t="n">
        <f aca="false">SUM(S2466:X2466)</f>
        <v>1</v>
      </c>
      <c r="AB2466" s="11" t="n">
        <f aca="false">(AA2466/(K2466*L2466)*25)*4</f>
        <v>4</v>
      </c>
    </row>
    <row r="2467" customFormat="false" ht="14.25" hidden="false" customHeight="false" outlineLevel="0" collapsed="false">
      <c r="A2467" s="1" t="n">
        <v>2014</v>
      </c>
      <c r="B2467" s="7" t="s">
        <v>322</v>
      </c>
      <c r="C2467" s="7" t="n">
        <v>2</v>
      </c>
      <c r="D2467" s="7" t="s">
        <v>294</v>
      </c>
      <c r="E2467" s="7" t="s">
        <v>294</v>
      </c>
      <c r="F2467" s="3" t="s">
        <v>51</v>
      </c>
      <c r="G2467" s="3" t="n">
        <v>2</v>
      </c>
      <c r="H2467" s="3" t="n">
        <v>9</v>
      </c>
      <c r="I2467" s="22" t="n">
        <v>41794</v>
      </c>
      <c r="J2467" s="22" t="n">
        <v>41799</v>
      </c>
      <c r="K2467" s="43" t="n">
        <f aca="false">J2467-I2467</f>
        <v>5</v>
      </c>
      <c r="L2467" s="1" t="n">
        <v>5</v>
      </c>
      <c r="M2467" s="3" t="s">
        <v>36</v>
      </c>
      <c r="N2467" s="3" t="s">
        <v>37</v>
      </c>
      <c r="O2467" s="3" t="s">
        <v>75</v>
      </c>
      <c r="P2467" s="2" t="str">
        <f aca="false">CONCATENATE(N2467," ",O2467)</f>
        <v>Ozyptila praticola</v>
      </c>
      <c r="Q2467" s="1" t="s">
        <v>30</v>
      </c>
      <c r="R2467" s="1" t="s">
        <v>31</v>
      </c>
      <c r="S2467" s="3" t="n">
        <v>1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f aca="false">SUM(S2467:T2467)</f>
        <v>1</v>
      </c>
      <c r="Z2467" s="3" t="n">
        <f aca="false">SUM(U2467:W2467)</f>
        <v>0</v>
      </c>
      <c r="AA2467" s="3" t="n">
        <f aca="false">SUM(S2467:X2467)</f>
        <v>1</v>
      </c>
      <c r="AB2467" s="11" t="n">
        <f aca="false">(AA2467/(K2467*L2467)*25)*4</f>
        <v>4</v>
      </c>
    </row>
    <row r="2468" customFormat="false" ht="14.25" hidden="false" customHeight="false" outlineLevel="0" collapsed="false">
      <c r="A2468" s="1" t="n">
        <v>2014</v>
      </c>
      <c r="B2468" s="7" t="s">
        <v>322</v>
      </c>
      <c r="C2468" s="7" t="n">
        <v>2</v>
      </c>
      <c r="D2468" s="7" t="s">
        <v>294</v>
      </c>
      <c r="E2468" s="7" t="s">
        <v>294</v>
      </c>
      <c r="F2468" s="3" t="s">
        <v>51</v>
      </c>
      <c r="G2468" s="3" t="n">
        <v>2</v>
      </c>
      <c r="H2468" s="3" t="n">
        <v>9</v>
      </c>
      <c r="I2468" s="22" t="n">
        <v>41794</v>
      </c>
      <c r="J2468" s="22" t="n">
        <v>41799</v>
      </c>
      <c r="K2468" s="43" t="n">
        <f aca="false">J2468-I2468</f>
        <v>5</v>
      </c>
      <c r="L2468" s="1" t="n">
        <v>5</v>
      </c>
      <c r="M2468" s="3" t="s">
        <v>36</v>
      </c>
      <c r="N2468" s="3" t="s">
        <v>37</v>
      </c>
      <c r="O2468" s="3" t="s">
        <v>75</v>
      </c>
      <c r="P2468" s="2" t="str">
        <f aca="false">CONCATENATE(N2468," ",O2468)</f>
        <v>Ozyptila praticola</v>
      </c>
      <c r="Q2468" s="1" t="s">
        <v>30</v>
      </c>
      <c r="R2468" s="1" t="s">
        <v>35</v>
      </c>
      <c r="S2468" s="3" t="n">
        <v>0</v>
      </c>
      <c r="T2468" s="3" t="n">
        <v>1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f aca="false">SUM(S2468:T2468)</f>
        <v>1</v>
      </c>
      <c r="Z2468" s="3" t="n">
        <f aca="false">SUM(U2468:W2468)</f>
        <v>0</v>
      </c>
      <c r="AA2468" s="3" t="n">
        <f aca="false">SUM(S2468:X2468)</f>
        <v>1</v>
      </c>
      <c r="AB2468" s="11" t="n">
        <f aca="false">(AA2468/(K2468*L2468)*25)*4</f>
        <v>4</v>
      </c>
    </row>
    <row r="2469" customFormat="false" ht="14.25" hidden="false" customHeight="false" outlineLevel="0" collapsed="false">
      <c r="A2469" s="1" t="n">
        <v>2014</v>
      </c>
      <c r="B2469" s="7" t="s">
        <v>322</v>
      </c>
      <c r="C2469" s="7" t="n">
        <v>2</v>
      </c>
      <c r="D2469" s="7" t="s">
        <v>294</v>
      </c>
      <c r="E2469" s="7" t="s">
        <v>294</v>
      </c>
      <c r="F2469" s="3" t="s">
        <v>51</v>
      </c>
      <c r="G2469" s="3" t="n">
        <v>2</v>
      </c>
      <c r="H2469" s="3" t="n">
        <v>9</v>
      </c>
      <c r="I2469" s="22" t="n">
        <v>41794</v>
      </c>
      <c r="J2469" s="22" t="n">
        <v>41799</v>
      </c>
      <c r="K2469" s="43" t="n">
        <f aca="false">J2469-I2469</f>
        <v>5</v>
      </c>
      <c r="L2469" s="1" t="n">
        <v>5</v>
      </c>
      <c r="M2469" s="3" t="s">
        <v>135</v>
      </c>
      <c r="N2469" s="3" t="s">
        <v>136</v>
      </c>
      <c r="O2469" s="3" t="s">
        <v>137</v>
      </c>
      <c r="P2469" s="2" t="str">
        <f aca="false">CONCATENATE(N2469," ",O2469)</f>
        <v>Thanatus sabulosus</v>
      </c>
      <c r="Q2469" s="1" t="s">
        <v>30</v>
      </c>
      <c r="R2469" s="1" t="s">
        <v>35</v>
      </c>
      <c r="S2469" s="3" t="n">
        <v>0</v>
      </c>
      <c r="T2469" s="3" t="n">
        <v>1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f aca="false">SUM(S2469:T2469)</f>
        <v>1</v>
      </c>
      <c r="Z2469" s="3" t="n">
        <f aca="false">SUM(U2469:W2469)</f>
        <v>0</v>
      </c>
      <c r="AA2469" s="3" t="n">
        <f aca="false">SUM(S2469:X2469)</f>
        <v>1</v>
      </c>
      <c r="AB2469" s="11" t="n">
        <f aca="false">(AA2469/(K2469*L2469)*25)*4</f>
        <v>4</v>
      </c>
    </row>
    <row r="2470" customFormat="false" ht="14.25" hidden="false" customHeight="false" outlineLevel="0" collapsed="false">
      <c r="A2470" s="1" t="n">
        <v>2014</v>
      </c>
      <c r="B2470" s="7" t="s">
        <v>322</v>
      </c>
      <c r="C2470" s="7" t="n">
        <v>2</v>
      </c>
      <c r="D2470" s="7" t="s">
        <v>294</v>
      </c>
      <c r="E2470" s="7" t="s">
        <v>294</v>
      </c>
      <c r="F2470" s="3" t="s">
        <v>51</v>
      </c>
      <c r="G2470" s="3" t="n">
        <v>2</v>
      </c>
      <c r="H2470" s="3" t="n">
        <v>9</v>
      </c>
      <c r="I2470" s="22" t="n">
        <v>41794</v>
      </c>
      <c r="J2470" s="22" t="n">
        <v>41799</v>
      </c>
      <c r="K2470" s="43" t="n">
        <f aca="false">J2470-I2470</f>
        <v>5</v>
      </c>
      <c r="L2470" s="1" t="n">
        <v>5</v>
      </c>
      <c r="M2470" s="3" t="s">
        <v>226</v>
      </c>
      <c r="N2470" s="3" t="s">
        <v>65</v>
      </c>
      <c r="O2470" s="3" t="s">
        <v>335</v>
      </c>
      <c r="P2470" s="2" t="str">
        <f aca="false">CONCATENATE(N2470," ",O2470)</f>
        <v>Zora spinimana</v>
      </c>
      <c r="Q2470" s="1" t="s">
        <v>30</v>
      </c>
      <c r="R2470" s="1" t="s">
        <v>31</v>
      </c>
      <c r="S2470" s="3" t="n">
        <v>1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f aca="false">SUM(S2470:T2470)</f>
        <v>1</v>
      </c>
      <c r="Z2470" s="3" t="n">
        <f aca="false">SUM(U2470:W2470)</f>
        <v>0</v>
      </c>
      <c r="AA2470" s="3" t="n">
        <f aca="false">SUM(S2470:X2470)</f>
        <v>1</v>
      </c>
      <c r="AB2470" s="11" t="n">
        <f aca="false">(AA2470/(K2470*L2470)*25)*4</f>
        <v>4</v>
      </c>
    </row>
    <row r="2471" customFormat="false" ht="14.25" hidden="false" customHeight="false" outlineLevel="0" collapsed="false">
      <c r="A2471" s="1" t="n">
        <v>2014</v>
      </c>
      <c r="B2471" s="7" t="s">
        <v>322</v>
      </c>
      <c r="C2471" s="7" t="n">
        <v>2</v>
      </c>
      <c r="D2471" s="7" t="s">
        <v>294</v>
      </c>
      <c r="E2471" s="7" t="s">
        <v>294</v>
      </c>
      <c r="F2471" s="3" t="s">
        <v>51</v>
      </c>
      <c r="G2471" s="3" t="n">
        <v>2</v>
      </c>
      <c r="H2471" s="3" t="n">
        <v>9</v>
      </c>
      <c r="I2471" s="22" t="n">
        <v>41794</v>
      </c>
      <c r="J2471" s="22" t="n">
        <v>41799</v>
      </c>
      <c r="K2471" s="43" t="n">
        <f aca="false">J2471-I2471</f>
        <v>5</v>
      </c>
      <c r="L2471" s="1" t="n">
        <v>5</v>
      </c>
      <c r="M2471" s="3" t="s">
        <v>226</v>
      </c>
      <c r="N2471" s="3" t="s">
        <v>65</v>
      </c>
      <c r="O2471" s="3" t="s">
        <v>123</v>
      </c>
      <c r="P2471" s="2" t="str">
        <f aca="false">CONCATENATE(N2471," ",O2471)</f>
        <v>Zora nemoralis</v>
      </c>
      <c r="Q2471" s="1" t="s">
        <v>30</v>
      </c>
      <c r="R2471" s="1" t="s">
        <v>31</v>
      </c>
      <c r="S2471" s="3" t="n">
        <v>1</v>
      </c>
      <c r="T2471" s="3" t="n">
        <v>0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f aca="false">SUM(S2471:T2471)</f>
        <v>1</v>
      </c>
      <c r="Z2471" s="3" t="n">
        <f aca="false">SUM(U2471:W2471)</f>
        <v>0</v>
      </c>
      <c r="AA2471" s="3" t="n">
        <f aca="false">SUM(S2471:X2471)</f>
        <v>1</v>
      </c>
      <c r="AB2471" s="11" t="n">
        <f aca="false">(AA2471/(K2471*L2471)*25)*4</f>
        <v>4</v>
      </c>
    </row>
    <row r="2472" customFormat="false" ht="14.25" hidden="false" customHeight="false" outlineLevel="0" collapsed="false">
      <c r="A2472" s="1" t="n">
        <v>2014</v>
      </c>
      <c r="B2472" s="7" t="s">
        <v>322</v>
      </c>
      <c r="C2472" s="7" t="n">
        <v>2</v>
      </c>
      <c r="D2472" s="7" t="s">
        <v>294</v>
      </c>
      <c r="E2472" s="7" t="s">
        <v>294</v>
      </c>
      <c r="F2472" s="3" t="s">
        <v>51</v>
      </c>
      <c r="G2472" s="3" t="n">
        <v>1</v>
      </c>
      <c r="H2472" s="3" t="n">
        <v>1</v>
      </c>
      <c r="I2472" s="22" t="n">
        <v>41794</v>
      </c>
      <c r="J2472" s="22" t="n">
        <v>41799</v>
      </c>
      <c r="K2472" s="43" t="n">
        <f aca="false">J2472-I2472</f>
        <v>5</v>
      </c>
      <c r="L2472" s="1" t="n">
        <v>5</v>
      </c>
      <c r="M2472" s="3" t="s">
        <v>48</v>
      </c>
      <c r="N2472" s="3" t="s">
        <v>67</v>
      </c>
      <c r="O2472" s="3" t="s">
        <v>127</v>
      </c>
      <c r="P2472" s="2" t="str">
        <f aca="false">CONCATENATE(N2472," ",O2472)</f>
        <v>Pardosa lugubris</v>
      </c>
      <c r="Q2472" s="1" t="s">
        <v>30</v>
      </c>
      <c r="R2472" s="1" t="s">
        <v>31</v>
      </c>
      <c r="S2472" s="3" t="n">
        <v>15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f aca="false">SUM(S2472:T2472)</f>
        <v>15</v>
      </c>
      <c r="Z2472" s="3" t="n">
        <f aca="false">SUM(U2472:W2472)</f>
        <v>0</v>
      </c>
      <c r="AA2472" s="3" t="n">
        <f aca="false">SUM(S2472:X2472)</f>
        <v>15</v>
      </c>
      <c r="AB2472" s="11" t="n">
        <f aca="false">(AA2472/(K2472*L2472)*25)*4</f>
        <v>60</v>
      </c>
    </row>
    <row r="2473" customFormat="false" ht="14.25" hidden="false" customHeight="false" outlineLevel="0" collapsed="false">
      <c r="A2473" s="1" t="n">
        <v>2014</v>
      </c>
      <c r="B2473" s="7" t="s">
        <v>322</v>
      </c>
      <c r="C2473" s="7" t="n">
        <v>2</v>
      </c>
      <c r="D2473" s="7" t="s">
        <v>294</v>
      </c>
      <c r="E2473" s="7" t="s">
        <v>294</v>
      </c>
      <c r="F2473" s="3" t="s">
        <v>51</v>
      </c>
      <c r="G2473" s="3" t="n">
        <v>1</v>
      </c>
      <c r="H2473" s="3" t="n">
        <v>1</v>
      </c>
      <c r="I2473" s="22" t="n">
        <v>41794</v>
      </c>
      <c r="J2473" s="22" t="n">
        <v>41799</v>
      </c>
      <c r="K2473" s="43" t="n">
        <f aca="false">J2473-I2473</f>
        <v>5</v>
      </c>
      <c r="L2473" s="1" t="n">
        <v>5</v>
      </c>
      <c r="M2473" s="3" t="s">
        <v>48</v>
      </c>
      <c r="N2473" s="3" t="s">
        <v>67</v>
      </c>
      <c r="O2473" s="3" t="s">
        <v>127</v>
      </c>
      <c r="P2473" s="2" t="str">
        <f aca="false">CONCATENATE(N2473," ",O2473)</f>
        <v>Pardosa lugubris</v>
      </c>
      <c r="Q2473" s="1" t="s">
        <v>30</v>
      </c>
      <c r="R2473" s="1" t="s">
        <v>35</v>
      </c>
      <c r="S2473" s="3" t="n">
        <v>0</v>
      </c>
      <c r="T2473" s="3" t="n">
        <v>1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f aca="false">SUM(S2473:T2473)</f>
        <v>1</v>
      </c>
      <c r="Z2473" s="3" t="n">
        <f aca="false">SUM(U2473:W2473)</f>
        <v>0</v>
      </c>
      <c r="AA2473" s="3" t="n">
        <f aca="false">SUM(S2473:X2473)</f>
        <v>1</v>
      </c>
      <c r="AB2473" s="11" t="n">
        <f aca="false">(AA2473/(K2473*L2473)*25)*4</f>
        <v>4</v>
      </c>
    </row>
    <row r="2474" customFormat="false" ht="14.25" hidden="false" customHeight="false" outlineLevel="0" collapsed="false">
      <c r="A2474" s="1" t="n">
        <v>2014</v>
      </c>
      <c r="B2474" s="7" t="s">
        <v>322</v>
      </c>
      <c r="C2474" s="7" t="n">
        <v>2</v>
      </c>
      <c r="D2474" s="7" t="s">
        <v>294</v>
      </c>
      <c r="E2474" s="7" t="s">
        <v>294</v>
      </c>
      <c r="F2474" s="3" t="s">
        <v>51</v>
      </c>
      <c r="G2474" s="3" t="n">
        <v>1</v>
      </c>
      <c r="H2474" s="3" t="n">
        <v>1</v>
      </c>
      <c r="I2474" s="22" t="n">
        <v>41794</v>
      </c>
      <c r="J2474" s="22" t="n">
        <v>41799</v>
      </c>
      <c r="K2474" s="43" t="n">
        <f aca="false">J2474-I2474</f>
        <v>5</v>
      </c>
      <c r="L2474" s="1" t="n">
        <v>5</v>
      </c>
      <c r="M2474" s="3" t="s">
        <v>48</v>
      </c>
      <c r="N2474" s="3" t="s">
        <v>49</v>
      </c>
      <c r="O2474" s="3" t="s">
        <v>104</v>
      </c>
      <c r="P2474" s="2" t="str">
        <f aca="false">CONCATENATE(N2474," ",O2474)</f>
        <v>Alopecosa taeniata</v>
      </c>
      <c r="Q2474" s="1" t="s">
        <v>30</v>
      </c>
      <c r="R2474" s="1" t="s">
        <v>31</v>
      </c>
      <c r="S2474" s="3" t="n">
        <v>1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f aca="false">SUM(S2474:T2474)</f>
        <v>1</v>
      </c>
      <c r="Z2474" s="3" t="n">
        <f aca="false">SUM(U2474:W2474)</f>
        <v>0</v>
      </c>
      <c r="AA2474" s="3" t="n">
        <f aca="false">SUM(S2474:X2474)</f>
        <v>1</v>
      </c>
      <c r="AB2474" s="11" t="n">
        <f aca="false">(AA2474/(K2474*L2474)*25)*4</f>
        <v>4</v>
      </c>
    </row>
    <row r="2475" customFormat="false" ht="14.25" hidden="false" customHeight="false" outlineLevel="0" collapsed="false">
      <c r="A2475" s="1" t="n">
        <v>2014</v>
      </c>
      <c r="B2475" s="7" t="s">
        <v>322</v>
      </c>
      <c r="C2475" s="7" t="n">
        <v>2</v>
      </c>
      <c r="D2475" s="7" t="s">
        <v>294</v>
      </c>
      <c r="E2475" s="7" t="s">
        <v>294</v>
      </c>
      <c r="F2475" s="3" t="s">
        <v>51</v>
      </c>
      <c r="G2475" s="3" t="n">
        <v>1</v>
      </c>
      <c r="H2475" s="3" t="n">
        <v>1</v>
      </c>
      <c r="I2475" s="22" t="n">
        <v>41794</v>
      </c>
      <c r="J2475" s="22" t="n">
        <v>41799</v>
      </c>
      <c r="K2475" s="43" t="n">
        <f aca="false">J2475-I2475</f>
        <v>5</v>
      </c>
      <c r="L2475" s="1" t="n">
        <v>5</v>
      </c>
      <c r="M2475" s="3" t="s">
        <v>72</v>
      </c>
      <c r="N2475" s="3" t="s">
        <v>86</v>
      </c>
      <c r="O2475" s="3" t="s">
        <v>87</v>
      </c>
      <c r="P2475" s="2" t="str">
        <f aca="false">CONCATENATE(N2475," ",O2475)</f>
        <v>Haplodrassus soerenseni</v>
      </c>
      <c r="Q2475" s="1" t="s">
        <v>30</v>
      </c>
      <c r="R2475" s="1" t="s">
        <v>31</v>
      </c>
      <c r="S2475" s="3" t="n">
        <v>2</v>
      </c>
      <c r="T2475" s="3" t="n">
        <v>0</v>
      </c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f aca="false">SUM(S2475:T2475)</f>
        <v>2</v>
      </c>
      <c r="Z2475" s="3" t="n">
        <f aca="false">SUM(U2475:W2475)</f>
        <v>0</v>
      </c>
      <c r="AA2475" s="3" t="n">
        <f aca="false">SUM(S2475:X2475)</f>
        <v>2</v>
      </c>
      <c r="AB2475" s="11" t="n">
        <f aca="false">(AA2475/(K2475*L2475)*25)*4</f>
        <v>8</v>
      </c>
    </row>
    <row r="2476" customFormat="false" ht="14.25" hidden="false" customHeight="false" outlineLevel="0" collapsed="false">
      <c r="A2476" s="1" t="n">
        <v>2014</v>
      </c>
      <c r="B2476" s="7" t="s">
        <v>322</v>
      </c>
      <c r="C2476" s="7" t="n">
        <v>2</v>
      </c>
      <c r="D2476" s="7" t="s">
        <v>294</v>
      </c>
      <c r="E2476" s="7" t="s">
        <v>294</v>
      </c>
      <c r="F2476" s="3" t="s">
        <v>51</v>
      </c>
      <c r="G2476" s="3" t="n">
        <v>1</v>
      </c>
      <c r="H2476" s="3" t="n">
        <v>1</v>
      </c>
      <c r="I2476" s="22" t="n">
        <v>41794</v>
      </c>
      <c r="J2476" s="22" t="n">
        <v>41799</v>
      </c>
      <c r="K2476" s="43" t="n">
        <f aca="false">J2476-I2476</f>
        <v>5</v>
      </c>
      <c r="L2476" s="1" t="n">
        <v>5</v>
      </c>
      <c r="M2476" s="3" t="s">
        <v>226</v>
      </c>
      <c r="N2476" s="3" t="s">
        <v>65</v>
      </c>
      <c r="O2476" s="3" t="s">
        <v>123</v>
      </c>
      <c r="P2476" s="2" t="str">
        <f aca="false">CONCATENATE(N2476," ",O2476)</f>
        <v>Zora nemoralis</v>
      </c>
      <c r="Q2476" s="1" t="s">
        <v>30</v>
      </c>
      <c r="R2476" s="1" t="s">
        <v>31</v>
      </c>
      <c r="S2476" s="3" t="n">
        <v>1</v>
      </c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f aca="false">SUM(S2476:T2476)</f>
        <v>1</v>
      </c>
      <c r="Z2476" s="3" t="n">
        <f aca="false">SUM(U2476:W2476)</f>
        <v>0</v>
      </c>
      <c r="AA2476" s="3" t="n">
        <f aca="false">SUM(S2476:X2476)</f>
        <v>1</v>
      </c>
      <c r="AB2476" s="11" t="n">
        <f aca="false">(AA2476/(K2476*L2476)*25)*4</f>
        <v>4</v>
      </c>
    </row>
    <row r="2477" customFormat="false" ht="14.25" hidden="false" customHeight="false" outlineLevel="0" collapsed="false">
      <c r="A2477" s="1" t="n">
        <v>2014</v>
      </c>
      <c r="B2477" s="7" t="s">
        <v>322</v>
      </c>
      <c r="C2477" s="7" t="n">
        <v>2</v>
      </c>
      <c r="D2477" s="7" t="s">
        <v>294</v>
      </c>
      <c r="E2477" s="7" t="s">
        <v>294</v>
      </c>
      <c r="F2477" s="3" t="s">
        <v>51</v>
      </c>
      <c r="G2477" s="3" t="n">
        <v>3</v>
      </c>
      <c r="H2477" s="3" t="n">
        <v>11</v>
      </c>
      <c r="I2477" s="22" t="n">
        <v>41794</v>
      </c>
      <c r="J2477" s="22" t="n">
        <v>41799</v>
      </c>
      <c r="K2477" s="43" t="n">
        <f aca="false">J2477-I2477</f>
        <v>5</v>
      </c>
      <c r="L2477" s="1" t="n">
        <v>5</v>
      </c>
      <c r="M2477" s="3" t="s">
        <v>48</v>
      </c>
      <c r="N2477" s="3" t="s">
        <v>67</v>
      </c>
      <c r="O2477" s="3" t="s">
        <v>127</v>
      </c>
      <c r="P2477" s="2" t="str">
        <f aca="false">CONCATENATE(N2477," ",O2477)</f>
        <v>Pardosa lugubris</v>
      </c>
      <c r="Q2477" s="1" t="s">
        <v>30</v>
      </c>
      <c r="R2477" s="1" t="s">
        <v>31</v>
      </c>
      <c r="S2477" s="3" t="n">
        <v>11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f aca="false">SUM(S2477:T2477)</f>
        <v>11</v>
      </c>
      <c r="Z2477" s="3" t="n">
        <f aca="false">SUM(U2477:W2477)</f>
        <v>0</v>
      </c>
      <c r="AA2477" s="3" t="n">
        <f aca="false">SUM(S2477:X2477)</f>
        <v>11</v>
      </c>
      <c r="AB2477" s="11" t="n">
        <f aca="false">(AA2477/(K2477*L2477)*25)*4</f>
        <v>44</v>
      </c>
    </row>
    <row r="2478" customFormat="false" ht="14.25" hidden="false" customHeight="false" outlineLevel="0" collapsed="false">
      <c r="A2478" s="1" t="n">
        <v>2014</v>
      </c>
      <c r="B2478" s="7" t="s">
        <v>322</v>
      </c>
      <c r="C2478" s="7" t="n">
        <v>2</v>
      </c>
      <c r="D2478" s="7" t="s">
        <v>294</v>
      </c>
      <c r="E2478" s="7" t="s">
        <v>294</v>
      </c>
      <c r="F2478" s="3" t="s">
        <v>51</v>
      </c>
      <c r="G2478" s="3" t="n">
        <v>3</v>
      </c>
      <c r="H2478" s="3" t="n">
        <v>11</v>
      </c>
      <c r="I2478" s="22" t="n">
        <v>41794</v>
      </c>
      <c r="J2478" s="22" t="n">
        <v>41799</v>
      </c>
      <c r="K2478" s="43" t="n">
        <f aca="false">J2478-I2478</f>
        <v>5</v>
      </c>
      <c r="L2478" s="1" t="n">
        <v>5</v>
      </c>
      <c r="M2478" s="3" t="s">
        <v>48</v>
      </c>
      <c r="N2478" s="3" t="s">
        <v>67</v>
      </c>
      <c r="O2478" s="3" t="s">
        <v>127</v>
      </c>
      <c r="P2478" s="2" t="str">
        <f aca="false">CONCATENATE(N2478," ",O2478)</f>
        <v>Pardosa lugubris</v>
      </c>
      <c r="Q2478" s="1" t="s">
        <v>30</v>
      </c>
      <c r="R2478" s="1" t="s">
        <v>35</v>
      </c>
      <c r="S2478" s="3" t="n">
        <v>0</v>
      </c>
      <c r="T2478" s="3" t="n">
        <v>3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f aca="false">SUM(S2478:T2478)</f>
        <v>3</v>
      </c>
      <c r="Z2478" s="3" t="n">
        <f aca="false">SUM(U2478:W2478)</f>
        <v>0</v>
      </c>
      <c r="AA2478" s="3" t="n">
        <f aca="false">SUM(S2478:X2478)</f>
        <v>3</v>
      </c>
      <c r="AB2478" s="11" t="n">
        <f aca="false">(AA2478/(K2478*L2478)*25)*4</f>
        <v>12</v>
      </c>
    </row>
    <row r="2479" customFormat="false" ht="14.25" hidden="false" customHeight="false" outlineLevel="0" collapsed="false">
      <c r="A2479" s="1" t="n">
        <v>2014</v>
      </c>
      <c r="B2479" s="7" t="s">
        <v>322</v>
      </c>
      <c r="C2479" s="7" t="n">
        <v>2</v>
      </c>
      <c r="D2479" s="7" t="s">
        <v>294</v>
      </c>
      <c r="E2479" s="7" t="s">
        <v>294</v>
      </c>
      <c r="F2479" s="3" t="s">
        <v>51</v>
      </c>
      <c r="G2479" s="3" t="n">
        <v>3</v>
      </c>
      <c r="H2479" s="3" t="n">
        <v>11</v>
      </c>
      <c r="I2479" s="22" t="n">
        <v>41794</v>
      </c>
      <c r="J2479" s="22" t="n">
        <v>41799</v>
      </c>
      <c r="K2479" s="43" t="n">
        <f aca="false">J2479-I2479</f>
        <v>5</v>
      </c>
      <c r="L2479" s="1" t="n">
        <v>5</v>
      </c>
      <c r="M2479" s="3" t="s">
        <v>48</v>
      </c>
      <c r="N2479" s="3" t="s">
        <v>49</v>
      </c>
      <c r="O2479" s="3" t="s">
        <v>104</v>
      </c>
      <c r="P2479" s="2" t="str">
        <f aca="false">CONCATENATE(N2479," ",O2479)</f>
        <v>Alopecosa taeniata</v>
      </c>
      <c r="Q2479" s="1" t="s">
        <v>30</v>
      </c>
      <c r="R2479" s="1" t="s">
        <v>31</v>
      </c>
      <c r="S2479" s="3" t="n">
        <v>2</v>
      </c>
      <c r="T2479" s="3" t="n">
        <v>0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f aca="false">SUM(S2479:T2479)</f>
        <v>2</v>
      </c>
      <c r="Z2479" s="3" t="n">
        <f aca="false">SUM(U2479:W2479)</f>
        <v>0</v>
      </c>
      <c r="AA2479" s="3" t="n">
        <f aca="false">SUM(S2479:X2479)</f>
        <v>2</v>
      </c>
      <c r="AB2479" s="11" t="n">
        <f aca="false">(AA2479/(K2479*L2479)*25)*4</f>
        <v>8</v>
      </c>
    </row>
    <row r="2480" customFormat="false" ht="14.25" hidden="false" customHeight="false" outlineLevel="0" collapsed="false">
      <c r="A2480" s="1" t="n">
        <v>2014</v>
      </c>
      <c r="B2480" s="7" t="s">
        <v>322</v>
      </c>
      <c r="C2480" s="7" t="n">
        <v>2</v>
      </c>
      <c r="D2480" s="7" t="s">
        <v>294</v>
      </c>
      <c r="E2480" s="7" t="s">
        <v>294</v>
      </c>
      <c r="F2480" s="3" t="s">
        <v>51</v>
      </c>
      <c r="G2480" s="3" t="n">
        <v>3</v>
      </c>
      <c r="H2480" s="3" t="n">
        <v>11</v>
      </c>
      <c r="I2480" s="22" t="n">
        <v>41794</v>
      </c>
      <c r="J2480" s="22" t="n">
        <v>41799</v>
      </c>
      <c r="K2480" s="43" t="n">
        <f aca="false">J2480-I2480</f>
        <v>5</v>
      </c>
      <c r="L2480" s="1" t="n">
        <v>5</v>
      </c>
      <c r="M2480" s="3" t="s">
        <v>36</v>
      </c>
      <c r="N2480" s="3" t="s">
        <v>131</v>
      </c>
      <c r="O2480" s="3" t="s">
        <v>133</v>
      </c>
      <c r="P2480" s="2" t="str">
        <f aca="false">CONCATENATE(N2480," ",O2480)</f>
        <v>Xysticus luctuosus</v>
      </c>
      <c r="Q2480" s="1" t="s">
        <v>30</v>
      </c>
      <c r="R2480" s="1" t="s">
        <v>31</v>
      </c>
      <c r="S2480" s="3" t="n">
        <v>1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f aca="false">SUM(S2480:T2480)</f>
        <v>1</v>
      </c>
      <c r="Z2480" s="3" t="n">
        <f aca="false">SUM(U2480:W2480)</f>
        <v>0</v>
      </c>
      <c r="AA2480" s="3" t="n">
        <f aca="false">SUM(S2480:X2480)</f>
        <v>1</v>
      </c>
      <c r="AB2480" s="11" t="n">
        <f aca="false">(AA2480/(K2480*L2480)*25)*4</f>
        <v>4</v>
      </c>
    </row>
    <row r="2481" customFormat="false" ht="14.25" hidden="false" customHeight="false" outlineLevel="0" collapsed="false">
      <c r="A2481" s="1" t="n">
        <v>2014</v>
      </c>
      <c r="B2481" s="7" t="s">
        <v>322</v>
      </c>
      <c r="C2481" s="7" t="n">
        <v>2</v>
      </c>
      <c r="D2481" s="7" t="s">
        <v>294</v>
      </c>
      <c r="E2481" s="7" t="s">
        <v>294</v>
      </c>
      <c r="F2481" s="3" t="s">
        <v>51</v>
      </c>
      <c r="G2481" s="3" t="n">
        <v>3</v>
      </c>
      <c r="H2481" s="3" t="n">
        <v>11</v>
      </c>
      <c r="I2481" s="22" t="n">
        <v>41794</v>
      </c>
      <c r="J2481" s="22" t="n">
        <v>41799</v>
      </c>
      <c r="K2481" s="43" t="n">
        <f aca="false">J2481-I2481</f>
        <v>5</v>
      </c>
      <c r="L2481" s="1" t="n">
        <v>5</v>
      </c>
      <c r="M2481" s="3" t="s">
        <v>36</v>
      </c>
      <c r="N2481" s="3" t="s">
        <v>131</v>
      </c>
      <c r="O2481" s="3" t="s">
        <v>133</v>
      </c>
      <c r="P2481" s="2" t="str">
        <f aca="false">CONCATENATE(N2481," ",O2481)</f>
        <v>Xysticus luctuosus</v>
      </c>
      <c r="Q2481" s="1" t="s">
        <v>30</v>
      </c>
      <c r="R2481" s="1" t="s">
        <v>35</v>
      </c>
      <c r="S2481" s="3" t="n">
        <v>0</v>
      </c>
      <c r="T2481" s="3" t="n">
        <v>1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f aca="false">SUM(S2481:T2481)</f>
        <v>1</v>
      </c>
      <c r="Z2481" s="3" t="n">
        <f aca="false">SUM(U2481:W2481)</f>
        <v>0</v>
      </c>
      <c r="AA2481" s="3" t="n">
        <f aca="false">SUM(S2481:X2481)</f>
        <v>1</v>
      </c>
      <c r="AB2481" s="11" t="n">
        <f aca="false">(AA2481/(K2481*L2481)*25)*4</f>
        <v>4</v>
      </c>
    </row>
    <row r="2482" customFormat="false" ht="14.25" hidden="false" customHeight="false" outlineLevel="0" collapsed="false">
      <c r="A2482" s="1" t="n">
        <v>2014</v>
      </c>
      <c r="B2482" s="7" t="s">
        <v>322</v>
      </c>
      <c r="C2482" s="7" t="n">
        <v>2</v>
      </c>
      <c r="D2482" s="7" t="s">
        <v>294</v>
      </c>
      <c r="E2482" s="7" t="s">
        <v>294</v>
      </c>
      <c r="F2482" s="3" t="s">
        <v>51</v>
      </c>
      <c r="G2482" s="3" t="n">
        <v>3</v>
      </c>
      <c r="H2482" s="3" t="n">
        <v>11</v>
      </c>
      <c r="I2482" s="22" t="n">
        <v>41794</v>
      </c>
      <c r="J2482" s="22" t="n">
        <v>41799</v>
      </c>
      <c r="K2482" s="43" t="n">
        <f aca="false">J2482-I2482</f>
        <v>5</v>
      </c>
      <c r="L2482" s="1" t="n">
        <v>5</v>
      </c>
      <c r="M2482" s="3" t="s">
        <v>72</v>
      </c>
      <c r="N2482" s="3" t="s">
        <v>86</v>
      </c>
      <c r="O2482" s="3" t="s">
        <v>87</v>
      </c>
      <c r="P2482" s="2" t="str">
        <f aca="false">CONCATENATE(N2482," ",O2482)</f>
        <v>Haplodrassus soerenseni</v>
      </c>
      <c r="Q2482" s="1" t="s">
        <v>30</v>
      </c>
      <c r="R2482" s="1" t="s">
        <v>31</v>
      </c>
      <c r="S2482" s="3" t="n">
        <v>3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f aca="false">SUM(S2482:T2482)</f>
        <v>3</v>
      </c>
      <c r="Z2482" s="3" t="n">
        <f aca="false">SUM(U2482:W2482)</f>
        <v>0</v>
      </c>
      <c r="AA2482" s="3" t="n">
        <f aca="false">SUM(S2482:X2482)</f>
        <v>3</v>
      </c>
      <c r="AB2482" s="11" t="n">
        <f aca="false">(AA2482/(K2482*L2482)*25)*4</f>
        <v>12</v>
      </c>
    </row>
    <row r="2483" customFormat="false" ht="14.25" hidden="false" customHeight="false" outlineLevel="0" collapsed="false">
      <c r="A2483" s="1" t="n">
        <v>2014</v>
      </c>
      <c r="B2483" s="7" t="s">
        <v>322</v>
      </c>
      <c r="C2483" s="7" t="n">
        <v>2</v>
      </c>
      <c r="D2483" s="7" t="s">
        <v>294</v>
      </c>
      <c r="E2483" s="7" t="s">
        <v>294</v>
      </c>
      <c r="F2483" s="3" t="s">
        <v>51</v>
      </c>
      <c r="G2483" s="3" t="n">
        <v>3</v>
      </c>
      <c r="H2483" s="3" t="n">
        <v>11</v>
      </c>
      <c r="I2483" s="22" t="n">
        <v>41794</v>
      </c>
      <c r="J2483" s="22" t="n">
        <v>41799</v>
      </c>
      <c r="K2483" s="43" t="n">
        <f aca="false">J2483-I2483</f>
        <v>5</v>
      </c>
      <c r="L2483" s="1" t="n">
        <v>5</v>
      </c>
      <c r="M2483" s="3" t="s">
        <v>226</v>
      </c>
      <c r="N2483" s="3" t="s">
        <v>65</v>
      </c>
      <c r="O2483" s="3" t="s">
        <v>123</v>
      </c>
      <c r="P2483" s="2" t="str">
        <f aca="false">CONCATENATE(N2483," ",O2483)</f>
        <v>Zora nemoralis</v>
      </c>
      <c r="Q2483" s="1" t="s">
        <v>30</v>
      </c>
      <c r="R2483" s="1" t="s">
        <v>31</v>
      </c>
      <c r="S2483" s="3" t="n">
        <v>1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f aca="false">SUM(S2483:T2483)</f>
        <v>1</v>
      </c>
      <c r="Z2483" s="3" t="n">
        <f aca="false">SUM(U2483:W2483)</f>
        <v>0</v>
      </c>
      <c r="AA2483" s="3" t="n">
        <f aca="false">SUM(S2483:X2483)</f>
        <v>1</v>
      </c>
      <c r="AB2483" s="11" t="n">
        <f aca="false">(AA2483/(K2483*L2483)*25)*4</f>
        <v>4</v>
      </c>
    </row>
    <row r="2484" customFormat="false" ht="14.25" hidden="false" customHeight="false" outlineLevel="0" collapsed="false">
      <c r="A2484" s="1" t="n">
        <v>2014</v>
      </c>
      <c r="B2484" s="7" t="s">
        <v>322</v>
      </c>
      <c r="C2484" s="7" t="n">
        <v>2</v>
      </c>
      <c r="D2484" s="7" t="s">
        <v>295</v>
      </c>
      <c r="E2484" s="7" t="s">
        <v>295</v>
      </c>
      <c r="F2484" s="3" t="s">
        <v>336</v>
      </c>
      <c r="G2484" s="3" t="n">
        <v>2</v>
      </c>
      <c r="H2484" s="3" t="n">
        <v>7</v>
      </c>
      <c r="I2484" s="22" t="n">
        <v>41794</v>
      </c>
      <c r="J2484" s="22" t="n">
        <v>41799</v>
      </c>
      <c r="K2484" s="43" t="n">
        <f aca="false">J2484-I2484</f>
        <v>5</v>
      </c>
      <c r="L2484" s="1" t="n">
        <v>5</v>
      </c>
      <c r="M2484" s="3" t="s">
        <v>48</v>
      </c>
      <c r="N2484" s="3" t="s">
        <v>49</v>
      </c>
      <c r="O2484" s="3" t="s">
        <v>119</v>
      </c>
      <c r="P2484" s="2" t="str">
        <f aca="false">CONCATENATE(N2484," ",O2484)</f>
        <v>Alopecosa sulzeri</v>
      </c>
      <c r="Q2484" s="1" t="s">
        <v>30</v>
      </c>
      <c r="R2484" s="1" t="s">
        <v>31</v>
      </c>
      <c r="S2484" s="3" t="n">
        <v>1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f aca="false">SUM(S2484:T2484)</f>
        <v>1</v>
      </c>
      <c r="Z2484" s="3" t="n">
        <f aca="false">SUM(U2484:W2484)</f>
        <v>0</v>
      </c>
      <c r="AA2484" s="3" t="n">
        <f aca="false">SUM(S2484:X2484)</f>
        <v>1</v>
      </c>
      <c r="AB2484" s="11" t="n">
        <f aca="false">(AA2484/(K2484*L2484)*25)*4</f>
        <v>4</v>
      </c>
    </row>
    <row r="2485" customFormat="false" ht="14.25" hidden="false" customHeight="false" outlineLevel="0" collapsed="false">
      <c r="A2485" s="1" t="n">
        <v>2014</v>
      </c>
      <c r="B2485" s="7" t="s">
        <v>322</v>
      </c>
      <c r="C2485" s="7" t="n">
        <v>2</v>
      </c>
      <c r="D2485" s="7" t="s">
        <v>295</v>
      </c>
      <c r="E2485" s="7" t="s">
        <v>295</v>
      </c>
      <c r="F2485" s="3" t="s">
        <v>336</v>
      </c>
      <c r="G2485" s="3" t="n">
        <v>2</v>
      </c>
      <c r="H2485" s="3" t="n">
        <v>7</v>
      </c>
      <c r="I2485" s="22" t="n">
        <v>41794</v>
      </c>
      <c r="J2485" s="22" t="n">
        <v>41799</v>
      </c>
      <c r="K2485" s="43" t="n">
        <f aca="false">J2485-I2485</f>
        <v>5</v>
      </c>
      <c r="L2485" s="1" t="n">
        <v>5</v>
      </c>
      <c r="M2485" s="3" t="s">
        <v>48</v>
      </c>
      <c r="N2485" s="3" t="s">
        <v>49</v>
      </c>
      <c r="O2485" s="3" t="s">
        <v>130</v>
      </c>
      <c r="P2485" s="2" t="str">
        <f aca="false">CONCATENATE(N2485," ",O2485)</f>
        <v>Alopecosa aculeata</v>
      </c>
      <c r="Q2485" s="1" t="s">
        <v>30</v>
      </c>
      <c r="R2485" s="1" t="s">
        <v>35</v>
      </c>
      <c r="S2485" s="3" t="n">
        <v>0</v>
      </c>
      <c r="T2485" s="3" t="n">
        <v>2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f aca="false">SUM(S2485:T2485)</f>
        <v>2</v>
      </c>
      <c r="Z2485" s="3" t="n">
        <f aca="false">SUM(U2485:W2485)</f>
        <v>0</v>
      </c>
      <c r="AA2485" s="3" t="n">
        <f aca="false">SUM(S2485:X2485)</f>
        <v>2</v>
      </c>
      <c r="AB2485" s="11" t="n">
        <f aca="false">(AA2485/(K2485*L2485)*25)*4</f>
        <v>8</v>
      </c>
    </row>
    <row r="2486" customFormat="false" ht="14.25" hidden="false" customHeight="false" outlineLevel="0" collapsed="false">
      <c r="A2486" s="1" t="n">
        <v>2014</v>
      </c>
      <c r="B2486" s="7" t="s">
        <v>322</v>
      </c>
      <c r="C2486" s="7" t="n">
        <v>2</v>
      </c>
      <c r="D2486" s="7" t="s">
        <v>295</v>
      </c>
      <c r="E2486" s="7" t="s">
        <v>295</v>
      </c>
      <c r="F2486" s="3" t="s">
        <v>336</v>
      </c>
      <c r="G2486" s="3" t="n">
        <v>2</v>
      </c>
      <c r="H2486" s="3" t="n">
        <v>7</v>
      </c>
      <c r="I2486" s="22" t="n">
        <v>41794</v>
      </c>
      <c r="J2486" s="22" t="n">
        <v>41799</v>
      </c>
      <c r="K2486" s="43" t="n">
        <f aca="false">J2486-I2486</f>
        <v>5</v>
      </c>
      <c r="L2486" s="1" t="n">
        <v>5</v>
      </c>
      <c r="M2486" s="3" t="s">
        <v>48</v>
      </c>
      <c r="N2486" s="3" t="s">
        <v>122</v>
      </c>
      <c r="O2486" s="3" t="s">
        <v>123</v>
      </c>
      <c r="P2486" s="2" t="str">
        <f aca="false">CONCATENATE(N2486," ",O2486)</f>
        <v>Xerolycosa nemoralis</v>
      </c>
      <c r="Q2486" s="1" t="s">
        <v>30</v>
      </c>
      <c r="R2486" s="1" t="s">
        <v>31</v>
      </c>
      <c r="S2486" s="3" t="n">
        <v>4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f aca="false">SUM(S2486:T2486)</f>
        <v>4</v>
      </c>
      <c r="Z2486" s="3" t="n">
        <f aca="false">SUM(U2486:W2486)</f>
        <v>0</v>
      </c>
      <c r="AA2486" s="3" t="n">
        <f aca="false">SUM(S2486:X2486)</f>
        <v>4</v>
      </c>
      <c r="AB2486" s="11" t="n">
        <f aca="false">(AA2486/(K2486*L2486)*25)*4</f>
        <v>16</v>
      </c>
    </row>
    <row r="2487" customFormat="false" ht="14.25" hidden="false" customHeight="false" outlineLevel="0" collapsed="false">
      <c r="A2487" s="1" t="n">
        <v>2014</v>
      </c>
      <c r="B2487" s="7" t="s">
        <v>322</v>
      </c>
      <c r="C2487" s="7" t="n">
        <v>2</v>
      </c>
      <c r="D2487" s="7" t="s">
        <v>295</v>
      </c>
      <c r="E2487" s="7" t="s">
        <v>295</v>
      </c>
      <c r="F2487" s="3" t="s">
        <v>336</v>
      </c>
      <c r="G2487" s="3" t="n">
        <v>2</v>
      </c>
      <c r="H2487" s="3" t="n">
        <v>7</v>
      </c>
      <c r="I2487" s="22" t="n">
        <v>41794</v>
      </c>
      <c r="J2487" s="22" t="n">
        <v>41799</v>
      </c>
      <c r="K2487" s="43" t="n">
        <f aca="false">J2487-I2487</f>
        <v>5</v>
      </c>
      <c r="L2487" s="1" t="n">
        <v>5</v>
      </c>
      <c r="M2487" s="3" t="s">
        <v>72</v>
      </c>
      <c r="N2487" s="3" t="s">
        <v>152</v>
      </c>
      <c r="O2487" s="3" t="s">
        <v>153</v>
      </c>
      <c r="P2487" s="2" t="str">
        <f aca="false">CONCATENATE(N2487," ",O2487)</f>
        <v>Callilepis nocturna</v>
      </c>
      <c r="Q2487" s="1" t="s">
        <v>30</v>
      </c>
      <c r="R2487" s="1" t="s">
        <v>35</v>
      </c>
      <c r="S2487" s="3" t="n">
        <v>0</v>
      </c>
      <c r="T2487" s="3" t="n">
        <v>1</v>
      </c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f aca="false">SUM(S2487:T2487)</f>
        <v>1</v>
      </c>
      <c r="Z2487" s="3" t="n">
        <f aca="false">SUM(U2487:W2487)</f>
        <v>0</v>
      </c>
      <c r="AA2487" s="3" t="n">
        <f aca="false">SUM(S2487:X2487)</f>
        <v>1</v>
      </c>
      <c r="AB2487" s="11" t="n">
        <f aca="false">(AA2487/(K2487*L2487)*25)*4</f>
        <v>4</v>
      </c>
    </row>
    <row r="2488" customFormat="false" ht="14.25" hidden="false" customHeight="false" outlineLevel="0" collapsed="false">
      <c r="A2488" s="1" t="n">
        <v>2014</v>
      </c>
      <c r="B2488" s="7" t="s">
        <v>322</v>
      </c>
      <c r="C2488" s="7" t="n">
        <v>2</v>
      </c>
      <c r="D2488" s="7" t="s">
        <v>295</v>
      </c>
      <c r="E2488" s="7" t="s">
        <v>295</v>
      </c>
      <c r="F2488" s="3" t="s">
        <v>336</v>
      </c>
      <c r="G2488" s="3" t="n">
        <v>1</v>
      </c>
      <c r="H2488" s="3" t="n">
        <v>4</v>
      </c>
      <c r="I2488" s="22" t="n">
        <v>41794</v>
      </c>
      <c r="J2488" s="22" t="n">
        <v>41799</v>
      </c>
      <c r="K2488" s="43" t="n">
        <f aca="false">J2488-I2488</f>
        <v>5</v>
      </c>
      <c r="L2488" s="1" t="n">
        <v>5</v>
      </c>
      <c r="M2488" s="3" t="s">
        <v>48</v>
      </c>
      <c r="N2488" s="3" t="s">
        <v>122</v>
      </c>
      <c r="O2488" s="3" t="s">
        <v>123</v>
      </c>
      <c r="P2488" s="2" t="str">
        <f aca="false">CONCATENATE(N2488," ",O2488)</f>
        <v>Xerolycosa nemoralis</v>
      </c>
      <c r="Q2488" s="1" t="s">
        <v>30</v>
      </c>
      <c r="R2488" s="1" t="s">
        <v>31</v>
      </c>
      <c r="S2488" s="3" t="n">
        <v>4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f aca="false">SUM(S2488:T2488)</f>
        <v>4</v>
      </c>
      <c r="Z2488" s="3" t="n">
        <f aca="false">SUM(U2488:W2488)</f>
        <v>0</v>
      </c>
      <c r="AA2488" s="3" t="n">
        <f aca="false">SUM(S2488:X2488)</f>
        <v>4</v>
      </c>
      <c r="AB2488" s="11" t="n">
        <f aca="false">(AA2488/(K2488*L2488)*25)*4</f>
        <v>16</v>
      </c>
    </row>
    <row r="2489" customFormat="false" ht="14.25" hidden="false" customHeight="false" outlineLevel="0" collapsed="false">
      <c r="A2489" s="1" t="n">
        <v>2014</v>
      </c>
      <c r="B2489" s="7" t="s">
        <v>322</v>
      </c>
      <c r="C2489" s="7" t="n">
        <v>2</v>
      </c>
      <c r="D2489" s="7" t="s">
        <v>295</v>
      </c>
      <c r="E2489" s="7" t="s">
        <v>295</v>
      </c>
      <c r="F2489" s="3" t="s">
        <v>336</v>
      </c>
      <c r="G2489" s="3" t="n">
        <v>1</v>
      </c>
      <c r="H2489" s="3" t="n">
        <v>4</v>
      </c>
      <c r="I2489" s="22" t="n">
        <v>41794</v>
      </c>
      <c r="J2489" s="22" t="n">
        <v>41799</v>
      </c>
      <c r="K2489" s="43" t="n">
        <f aca="false">J2489-I2489</f>
        <v>5</v>
      </c>
      <c r="L2489" s="1" t="n">
        <v>5</v>
      </c>
      <c r="M2489" s="3" t="s">
        <v>72</v>
      </c>
      <c r="N2489" s="3" t="s">
        <v>242</v>
      </c>
      <c r="O2489" s="3" t="s">
        <v>166</v>
      </c>
      <c r="P2489" s="2" t="str">
        <f aca="false">CONCATENATE(N2489," ",O2489)</f>
        <v>Drassyllus pusillus</v>
      </c>
      <c r="Q2489" s="1" t="s">
        <v>30</v>
      </c>
      <c r="R2489" s="1" t="s">
        <v>31</v>
      </c>
      <c r="S2489" s="3" t="n">
        <v>1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f aca="false">SUM(S2489:T2489)</f>
        <v>1</v>
      </c>
      <c r="Z2489" s="3" t="n">
        <f aca="false">SUM(U2489:W2489)</f>
        <v>0</v>
      </c>
      <c r="AA2489" s="3" t="n">
        <f aca="false">SUM(S2489:X2489)</f>
        <v>1</v>
      </c>
      <c r="AB2489" s="11" t="n">
        <f aca="false">(AA2489/(K2489*L2489)*25)*4</f>
        <v>4</v>
      </c>
    </row>
    <row r="2490" customFormat="false" ht="14.25" hidden="false" customHeight="false" outlineLevel="0" collapsed="false">
      <c r="A2490" s="1" t="n">
        <v>2014</v>
      </c>
      <c r="B2490" s="7" t="s">
        <v>322</v>
      </c>
      <c r="C2490" s="7" t="n">
        <v>2</v>
      </c>
      <c r="D2490" s="7" t="s">
        <v>295</v>
      </c>
      <c r="E2490" s="7" t="s">
        <v>295</v>
      </c>
      <c r="F2490" s="3" t="s">
        <v>336</v>
      </c>
      <c r="G2490" s="3" t="n">
        <v>3</v>
      </c>
      <c r="H2490" s="3" t="n">
        <v>13</v>
      </c>
      <c r="I2490" s="22" t="n">
        <v>41794</v>
      </c>
      <c r="J2490" s="22" t="n">
        <v>41799</v>
      </c>
      <c r="K2490" s="43" t="n">
        <f aca="false">J2490-I2490</f>
        <v>5</v>
      </c>
      <c r="L2490" s="1" t="n">
        <v>5</v>
      </c>
      <c r="M2490" s="3" t="s">
        <v>48</v>
      </c>
      <c r="N2490" s="3" t="s">
        <v>122</v>
      </c>
      <c r="O2490" s="3" t="s">
        <v>123</v>
      </c>
      <c r="P2490" s="2" t="str">
        <f aca="false">CONCATENATE(N2490," ",O2490)</f>
        <v>Xerolycosa nemoralis</v>
      </c>
      <c r="Q2490" s="1" t="s">
        <v>30</v>
      </c>
      <c r="R2490" s="1" t="s">
        <v>31</v>
      </c>
      <c r="S2490" s="3" t="n">
        <v>11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f aca="false">SUM(S2490:T2490)</f>
        <v>11</v>
      </c>
      <c r="Z2490" s="3" t="n">
        <f aca="false">SUM(U2490:W2490)</f>
        <v>0</v>
      </c>
      <c r="AA2490" s="3" t="n">
        <f aca="false">SUM(S2490:X2490)</f>
        <v>11</v>
      </c>
      <c r="AB2490" s="11" t="n">
        <f aca="false">(AA2490/(K2490*L2490)*25)*4</f>
        <v>44</v>
      </c>
    </row>
    <row r="2491" customFormat="false" ht="14.25" hidden="false" customHeight="false" outlineLevel="0" collapsed="false">
      <c r="A2491" s="1" t="n">
        <v>2014</v>
      </c>
      <c r="B2491" s="7" t="s">
        <v>322</v>
      </c>
      <c r="C2491" s="7" t="n">
        <v>2</v>
      </c>
      <c r="D2491" s="7" t="s">
        <v>295</v>
      </c>
      <c r="E2491" s="7" t="s">
        <v>295</v>
      </c>
      <c r="F2491" s="3" t="s">
        <v>336</v>
      </c>
      <c r="G2491" s="3" t="n">
        <v>3</v>
      </c>
      <c r="H2491" s="3" t="n">
        <v>13</v>
      </c>
      <c r="I2491" s="22" t="n">
        <v>41794</v>
      </c>
      <c r="J2491" s="22" t="n">
        <v>41799</v>
      </c>
      <c r="K2491" s="43" t="n">
        <f aca="false">J2491-I2491</f>
        <v>5</v>
      </c>
      <c r="L2491" s="1" t="n">
        <v>5</v>
      </c>
      <c r="M2491" s="3" t="s">
        <v>48</v>
      </c>
      <c r="N2491" s="3" t="s">
        <v>122</v>
      </c>
      <c r="O2491" s="3" t="s">
        <v>123</v>
      </c>
      <c r="P2491" s="2" t="str">
        <f aca="false">CONCATENATE(N2491," ",O2491)</f>
        <v>Xerolycosa nemoralis</v>
      </c>
      <c r="Q2491" s="1" t="s">
        <v>30</v>
      </c>
      <c r="R2491" s="1" t="s">
        <v>35</v>
      </c>
      <c r="S2491" s="3" t="n">
        <v>0</v>
      </c>
      <c r="T2491" s="3" t="n">
        <v>1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f aca="false">SUM(S2491:T2491)</f>
        <v>1</v>
      </c>
      <c r="Z2491" s="3" t="n">
        <f aca="false">SUM(U2491:W2491)</f>
        <v>0</v>
      </c>
      <c r="AA2491" s="3" t="n">
        <f aca="false">SUM(S2491:X2491)</f>
        <v>1</v>
      </c>
      <c r="AB2491" s="11" t="n">
        <f aca="false">(AA2491/(K2491*L2491)*25)*4</f>
        <v>4</v>
      </c>
    </row>
    <row r="2492" customFormat="false" ht="14.25" hidden="false" customHeight="false" outlineLevel="0" collapsed="false">
      <c r="A2492" s="1" t="n">
        <v>2014</v>
      </c>
      <c r="B2492" s="7" t="s">
        <v>322</v>
      </c>
      <c r="C2492" s="7" t="n">
        <v>2</v>
      </c>
      <c r="D2492" s="7" t="s">
        <v>295</v>
      </c>
      <c r="E2492" s="7" t="s">
        <v>295</v>
      </c>
      <c r="F2492" s="3" t="s">
        <v>336</v>
      </c>
      <c r="G2492" s="3" t="n">
        <v>3</v>
      </c>
      <c r="H2492" s="3" t="n">
        <v>13</v>
      </c>
      <c r="I2492" s="22" t="n">
        <v>41794</v>
      </c>
      <c r="J2492" s="22" t="n">
        <v>41799</v>
      </c>
      <c r="K2492" s="43" t="n">
        <f aca="false">J2492-I2492</f>
        <v>5</v>
      </c>
      <c r="L2492" s="1" t="n">
        <v>5</v>
      </c>
      <c r="M2492" s="3" t="s">
        <v>48</v>
      </c>
      <c r="N2492" s="3" t="s">
        <v>49</v>
      </c>
      <c r="O2492" s="3" t="s">
        <v>130</v>
      </c>
      <c r="P2492" s="2" t="str">
        <f aca="false">CONCATENATE(N2492," ",O2492)</f>
        <v>Alopecosa aculeata</v>
      </c>
      <c r="Q2492" s="1" t="s">
        <v>30</v>
      </c>
      <c r="R2492" s="1" t="s">
        <v>35</v>
      </c>
      <c r="S2492" s="3" t="n">
        <v>0</v>
      </c>
      <c r="T2492" s="3" t="n">
        <v>1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f aca="false">SUM(S2492:T2492)</f>
        <v>1</v>
      </c>
      <c r="Z2492" s="3" t="n">
        <f aca="false">SUM(U2492:W2492)</f>
        <v>0</v>
      </c>
      <c r="AA2492" s="3" t="n">
        <f aca="false">SUM(S2492:X2492)</f>
        <v>1</v>
      </c>
      <c r="AB2492" s="11" t="n">
        <f aca="false">(AA2492/(K2492*L2492)*25)*4</f>
        <v>4</v>
      </c>
    </row>
    <row r="2493" customFormat="false" ht="14.25" hidden="false" customHeight="false" outlineLevel="0" collapsed="false">
      <c r="A2493" s="1" t="n">
        <v>2014</v>
      </c>
      <c r="B2493" s="7" t="s">
        <v>322</v>
      </c>
      <c r="C2493" s="7" t="n">
        <v>2</v>
      </c>
      <c r="D2493" s="7" t="s">
        <v>295</v>
      </c>
      <c r="E2493" s="7" t="s">
        <v>295</v>
      </c>
      <c r="F2493" s="3" t="s">
        <v>336</v>
      </c>
      <c r="G2493" s="3" t="n">
        <v>3</v>
      </c>
      <c r="H2493" s="3" t="n">
        <v>13</v>
      </c>
      <c r="I2493" s="22" t="n">
        <v>41794</v>
      </c>
      <c r="J2493" s="22" t="n">
        <v>41799</v>
      </c>
      <c r="K2493" s="43" t="n">
        <f aca="false">J2493-I2493</f>
        <v>5</v>
      </c>
      <c r="L2493" s="1" t="n">
        <v>5</v>
      </c>
      <c r="M2493" s="3" t="s">
        <v>72</v>
      </c>
      <c r="N2493" s="3" t="s">
        <v>152</v>
      </c>
      <c r="O2493" s="3" t="s">
        <v>153</v>
      </c>
      <c r="P2493" s="2" t="str">
        <f aca="false">CONCATENATE(N2493," ",O2493)</f>
        <v>Callilepis nocturna</v>
      </c>
      <c r="Q2493" s="1" t="s">
        <v>30</v>
      </c>
      <c r="R2493" s="1" t="s">
        <v>35</v>
      </c>
      <c r="S2493" s="3" t="n">
        <v>0</v>
      </c>
      <c r="T2493" s="3" t="n">
        <v>1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f aca="false">SUM(S2493:T2493)</f>
        <v>1</v>
      </c>
      <c r="Z2493" s="3" t="n">
        <f aca="false">SUM(U2493:W2493)</f>
        <v>0</v>
      </c>
      <c r="AA2493" s="3" t="n">
        <f aca="false">SUM(S2493:X2493)</f>
        <v>1</v>
      </c>
      <c r="AB2493" s="11" t="n">
        <f aca="false">(AA2493/(K2493*L2493)*25)*4</f>
        <v>4</v>
      </c>
    </row>
    <row r="2494" customFormat="false" ht="14.25" hidden="false" customHeight="false" outlineLevel="0" collapsed="false">
      <c r="A2494" s="1" t="n">
        <v>2014</v>
      </c>
      <c r="B2494" s="7" t="s">
        <v>322</v>
      </c>
      <c r="C2494" s="7" t="n">
        <v>2</v>
      </c>
      <c r="D2494" s="7" t="s">
        <v>295</v>
      </c>
      <c r="E2494" s="7" t="s">
        <v>295</v>
      </c>
      <c r="F2494" s="3" t="s">
        <v>336</v>
      </c>
      <c r="G2494" s="3" t="n">
        <v>3</v>
      </c>
      <c r="H2494" s="3" t="n">
        <v>13</v>
      </c>
      <c r="I2494" s="22" t="n">
        <v>41794</v>
      </c>
      <c r="J2494" s="22" t="n">
        <v>41799</v>
      </c>
      <c r="K2494" s="43" t="n">
        <f aca="false">J2494-I2494</f>
        <v>5</v>
      </c>
      <c r="L2494" s="1" t="n">
        <v>5</v>
      </c>
      <c r="M2494" s="3" t="s">
        <v>72</v>
      </c>
      <c r="N2494" s="3" t="s">
        <v>73</v>
      </c>
      <c r="O2494" s="3" t="s">
        <v>74</v>
      </c>
      <c r="P2494" s="2" t="str">
        <f aca="false">CONCATENATE(N2494," ",O2494)</f>
        <v>Zelotes subterraneus</v>
      </c>
      <c r="Q2494" s="1" t="s">
        <v>30</v>
      </c>
      <c r="R2494" s="1" t="s">
        <v>35</v>
      </c>
      <c r="S2494" s="3" t="n">
        <v>0</v>
      </c>
      <c r="T2494" s="3" t="n">
        <v>1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f aca="false">SUM(S2494:T2494)</f>
        <v>1</v>
      </c>
      <c r="Z2494" s="3" t="n">
        <f aca="false">SUM(U2494:W2494)</f>
        <v>0</v>
      </c>
      <c r="AA2494" s="3" t="n">
        <f aca="false">SUM(S2494:X2494)</f>
        <v>1</v>
      </c>
      <c r="AB2494" s="11" t="n">
        <f aca="false">(AA2494/(K2494*L2494)*25)*4</f>
        <v>4</v>
      </c>
    </row>
    <row r="2495" customFormat="false" ht="14.25" hidden="false" customHeight="false" outlineLevel="0" collapsed="false">
      <c r="A2495" s="1" t="n">
        <v>2014</v>
      </c>
      <c r="B2495" s="7" t="s">
        <v>322</v>
      </c>
      <c r="C2495" s="7" t="n">
        <v>2</v>
      </c>
      <c r="D2495" s="7" t="s">
        <v>295</v>
      </c>
      <c r="E2495" s="7" t="s">
        <v>295</v>
      </c>
      <c r="F2495" s="3" t="s">
        <v>336</v>
      </c>
      <c r="G2495" s="3" t="n">
        <v>2</v>
      </c>
      <c r="H2495" s="3" t="n">
        <v>9</v>
      </c>
      <c r="I2495" s="22" t="n">
        <v>41794</v>
      </c>
      <c r="J2495" s="22" t="n">
        <v>41799</v>
      </c>
      <c r="K2495" s="43" t="n">
        <f aca="false">J2495-I2495</f>
        <v>5</v>
      </c>
      <c r="L2495" s="1" t="n">
        <v>5</v>
      </c>
      <c r="M2495" s="3" t="s">
        <v>48</v>
      </c>
      <c r="N2495" s="3" t="s">
        <v>122</v>
      </c>
      <c r="O2495" s="3" t="s">
        <v>123</v>
      </c>
      <c r="P2495" s="2" t="str">
        <f aca="false">CONCATENATE(N2495," ",O2495)</f>
        <v>Xerolycosa nemoralis</v>
      </c>
      <c r="Q2495" s="1" t="s">
        <v>30</v>
      </c>
      <c r="R2495" s="1" t="s">
        <v>31</v>
      </c>
      <c r="S2495" s="3" t="n">
        <v>4</v>
      </c>
      <c r="T2495" s="3" t="n">
        <v>0</v>
      </c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f aca="false">SUM(S2495:T2495)</f>
        <v>4</v>
      </c>
      <c r="Z2495" s="3" t="n">
        <f aca="false">SUM(U2495:W2495)</f>
        <v>0</v>
      </c>
      <c r="AA2495" s="3" t="n">
        <f aca="false">SUM(S2495:X2495)</f>
        <v>4</v>
      </c>
      <c r="AB2495" s="11" t="n">
        <f aca="false">(AA2495/(K2495*L2495)*25)*4</f>
        <v>16</v>
      </c>
    </row>
    <row r="2496" customFormat="false" ht="14.25" hidden="false" customHeight="false" outlineLevel="0" collapsed="false">
      <c r="A2496" s="1" t="n">
        <v>2014</v>
      </c>
      <c r="B2496" s="7" t="s">
        <v>322</v>
      </c>
      <c r="C2496" s="7" t="n">
        <v>2</v>
      </c>
      <c r="D2496" s="7" t="s">
        <v>295</v>
      </c>
      <c r="E2496" s="7" t="s">
        <v>295</v>
      </c>
      <c r="F2496" s="3" t="s">
        <v>336</v>
      </c>
      <c r="G2496" s="3" t="n">
        <v>2</v>
      </c>
      <c r="H2496" s="3" t="n">
        <v>9</v>
      </c>
      <c r="I2496" s="22" t="n">
        <v>41794</v>
      </c>
      <c r="J2496" s="22" t="n">
        <v>41799</v>
      </c>
      <c r="K2496" s="43" t="n">
        <f aca="false">J2496-I2496</f>
        <v>5</v>
      </c>
      <c r="L2496" s="1" t="n">
        <v>5</v>
      </c>
      <c r="M2496" s="3" t="s">
        <v>48</v>
      </c>
      <c r="N2496" s="3" t="s">
        <v>49</v>
      </c>
      <c r="O2496" s="3" t="s">
        <v>119</v>
      </c>
      <c r="P2496" s="2" t="str">
        <f aca="false">CONCATENATE(N2496," ",O2496)</f>
        <v>Alopecosa sulzeri</v>
      </c>
      <c r="Q2496" s="1" t="s">
        <v>30</v>
      </c>
      <c r="R2496" s="1" t="s">
        <v>31</v>
      </c>
      <c r="S2496" s="3" t="n">
        <v>1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f aca="false">SUM(S2496:T2496)</f>
        <v>1</v>
      </c>
      <c r="Z2496" s="3" t="n">
        <f aca="false">SUM(U2496:W2496)</f>
        <v>0</v>
      </c>
      <c r="AA2496" s="3" t="n">
        <f aca="false">SUM(S2496:X2496)</f>
        <v>1</v>
      </c>
      <c r="AB2496" s="11" t="n">
        <f aca="false">(AA2496/(K2496*L2496)*25)*4</f>
        <v>4</v>
      </c>
    </row>
    <row r="2497" customFormat="false" ht="14.25" hidden="false" customHeight="false" outlineLevel="0" collapsed="false">
      <c r="A2497" s="1" t="n">
        <v>2014</v>
      </c>
      <c r="B2497" s="7" t="s">
        <v>322</v>
      </c>
      <c r="C2497" s="7" t="n">
        <v>2</v>
      </c>
      <c r="D2497" s="7" t="s">
        <v>295</v>
      </c>
      <c r="E2497" s="7" t="s">
        <v>295</v>
      </c>
      <c r="F2497" s="3" t="s">
        <v>336</v>
      </c>
      <c r="G2497" s="3" t="n">
        <v>2</v>
      </c>
      <c r="H2497" s="3" t="n">
        <v>9</v>
      </c>
      <c r="I2497" s="22" t="n">
        <v>41794</v>
      </c>
      <c r="J2497" s="22" t="n">
        <v>41799</v>
      </c>
      <c r="K2497" s="43" t="n">
        <f aca="false">J2497-I2497</f>
        <v>5</v>
      </c>
      <c r="L2497" s="1" t="n">
        <v>5</v>
      </c>
      <c r="M2497" s="3" t="s">
        <v>27</v>
      </c>
      <c r="N2497" s="3" t="s">
        <v>46</v>
      </c>
      <c r="O2497" s="3" t="s">
        <v>47</v>
      </c>
      <c r="P2497" s="2" t="str">
        <f aca="false">CONCATENATE(N2497," ",O2497)</f>
        <v>Euryopis flavomaculata</v>
      </c>
      <c r="Q2497" s="1" t="s">
        <v>30</v>
      </c>
      <c r="R2497" s="1" t="s">
        <v>31</v>
      </c>
      <c r="S2497" s="3" t="n">
        <v>1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f aca="false">SUM(S2497:T2497)</f>
        <v>1</v>
      </c>
      <c r="Z2497" s="3" t="n">
        <f aca="false">SUM(U2497:W2497)</f>
        <v>0</v>
      </c>
      <c r="AA2497" s="3" t="n">
        <f aca="false">SUM(S2497:X2497)</f>
        <v>1</v>
      </c>
      <c r="AB2497" s="11" t="n">
        <f aca="false">(AA2497/(K2497*L2497)*25)*4</f>
        <v>4</v>
      </c>
    </row>
    <row r="2498" customFormat="false" ht="14.25" hidden="false" customHeight="false" outlineLevel="0" collapsed="false">
      <c r="A2498" s="1" t="n">
        <v>2014</v>
      </c>
      <c r="B2498" s="7" t="s">
        <v>322</v>
      </c>
      <c r="C2498" s="7" t="n">
        <v>2</v>
      </c>
      <c r="D2498" s="7" t="s">
        <v>295</v>
      </c>
      <c r="E2498" s="7" t="s">
        <v>295</v>
      </c>
      <c r="F2498" s="3" t="s">
        <v>336</v>
      </c>
      <c r="G2498" s="3" t="n">
        <v>3</v>
      </c>
      <c r="H2498" s="3" t="n">
        <v>14</v>
      </c>
      <c r="I2498" s="22" t="n">
        <v>41794</v>
      </c>
      <c r="J2498" s="22" t="n">
        <v>41799</v>
      </c>
      <c r="K2498" s="43" t="n">
        <f aca="false">J2498-I2498</f>
        <v>5</v>
      </c>
      <c r="L2498" s="1" t="n">
        <v>5</v>
      </c>
      <c r="M2498" s="3" t="s">
        <v>36</v>
      </c>
      <c r="N2498" s="3" t="s">
        <v>256</v>
      </c>
      <c r="O2498" s="3" t="s">
        <v>257</v>
      </c>
      <c r="P2498" s="2" t="str">
        <f aca="false">CONCATENATE(N2498," ",O2498)</f>
        <v>Bassaniodes robustus</v>
      </c>
      <c r="Q2498" s="1" t="s">
        <v>30</v>
      </c>
      <c r="R2498" s="1" t="s">
        <v>31</v>
      </c>
      <c r="S2498" s="3" t="n">
        <v>1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f aca="false">SUM(S2498:T2498)</f>
        <v>1</v>
      </c>
      <c r="Z2498" s="3" t="n">
        <f aca="false">SUM(U2498:W2498)</f>
        <v>0</v>
      </c>
      <c r="AA2498" s="3" t="n">
        <f aca="false">SUM(S2498:X2498)</f>
        <v>1</v>
      </c>
      <c r="AB2498" s="11" t="n">
        <f aca="false">(AA2498/(K2498*L2498)*25)*4</f>
        <v>4</v>
      </c>
    </row>
    <row r="2499" customFormat="false" ht="14.25" hidden="false" customHeight="false" outlineLevel="0" collapsed="false">
      <c r="A2499" s="1" t="n">
        <v>2014</v>
      </c>
      <c r="B2499" s="7" t="s">
        <v>322</v>
      </c>
      <c r="C2499" s="7" t="n">
        <v>2</v>
      </c>
      <c r="D2499" s="7" t="s">
        <v>295</v>
      </c>
      <c r="E2499" s="7" t="s">
        <v>295</v>
      </c>
      <c r="F2499" s="3" t="s">
        <v>336</v>
      </c>
      <c r="G2499" s="3" t="n">
        <v>3</v>
      </c>
      <c r="H2499" s="3" t="n">
        <v>14</v>
      </c>
      <c r="I2499" s="22" t="n">
        <v>41794</v>
      </c>
      <c r="J2499" s="22" t="n">
        <v>41799</v>
      </c>
      <c r="K2499" s="43" t="n">
        <f aca="false">J2499-I2499</f>
        <v>5</v>
      </c>
      <c r="L2499" s="1" t="n">
        <v>5</v>
      </c>
      <c r="M2499" s="3" t="s">
        <v>48</v>
      </c>
      <c r="N2499" s="3" t="s">
        <v>122</v>
      </c>
      <c r="O2499" s="3" t="s">
        <v>123</v>
      </c>
      <c r="P2499" s="2" t="str">
        <f aca="false">CONCATENATE(N2499," ",O2499)</f>
        <v>Xerolycosa nemoralis</v>
      </c>
      <c r="Q2499" s="1" t="s">
        <v>30</v>
      </c>
      <c r="R2499" s="1" t="s">
        <v>31</v>
      </c>
      <c r="S2499" s="3" t="n">
        <v>3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f aca="false">SUM(S2499:T2499)</f>
        <v>3</v>
      </c>
      <c r="Z2499" s="3" t="n">
        <f aca="false">SUM(U2499:W2499)</f>
        <v>0</v>
      </c>
      <c r="AA2499" s="3" t="n">
        <f aca="false">SUM(S2499:X2499)</f>
        <v>3</v>
      </c>
      <c r="AB2499" s="11" t="n">
        <f aca="false">(AA2499/(K2499*L2499)*25)*4</f>
        <v>12</v>
      </c>
    </row>
    <row r="2500" customFormat="false" ht="14.25" hidden="false" customHeight="false" outlineLevel="0" collapsed="false">
      <c r="A2500" s="1" t="n">
        <v>2014</v>
      </c>
      <c r="B2500" s="7" t="s">
        <v>322</v>
      </c>
      <c r="C2500" s="7" t="n">
        <v>2</v>
      </c>
      <c r="D2500" s="7" t="s">
        <v>295</v>
      </c>
      <c r="E2500" s="7" t="s">
        <v>295</v>
      </c>
      <c r="F2500" s="3" t="s">
        <v>336</v>
      </c>
      <c r="G2500" s="3" t="n">
        <v>2</v>
      </c>
      <c r="H2500" s="3" t="n">
        <v>8</v>
      </c>
      <c r="I2500" s="22" t="n">
        <v>41794</v>
      </c>
      <c r="J2500" s="22" t="n">
        <v>41799</v>
      </c>
      <c r="K2500" s="43" t="n">
        <f aca="false">J2500-I2500</f>
        <v>5</v>
      </c>
      <c r="L2500" s="1" t="n">
        <v>5</v>
      </c>
      <c r="M2500" s="3" t="s">
        <v>48</v>
      </c>
      <c r="N2500" s="3" t="s">
        <v>49</v>
      </c>
      <c r="O2500" s="3" t="s">
        <v>119</v>
      </c>
      <c r="P2500" s="2" t="str">
        <f aca="false">CONCATENATE(N2500," ",O2500)</f>
        <v>Alopecosa sulzeri</v>
      </c>
      <c r="Q2500" s="1" t="s">
        <v>30</v>
      </c>
      <c r="R2500" s="1" t="s">
        <v>31</v>
      </c>
      <c r="S2500" s="3" t="n">
        <v>1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f aca="false">SUM(S2500:T2500)</f>
        <v>1</v>
      </c>
      <c r="Z2500" s="3" t="n">
        <f aca="false">SUM(U2500:W2500)</f>
        <v>0</v>
      </c>
      <c r="AA2500" s="3" t="n">
        <f aca="false">SUM(S2500:X2500)</f>
        <v>1</v>
      </c>
      <c r="AB2500" s="11" t="n">
        <f aca="false">(AA2500/(K2500*L2500)*25)*4</f>
        <v>4</v>
      </c>
    </row>
    <row r="2501" customFormat="false" ht="14.25" hidden="false" customHeight="false" outlineLevel="0" collapsed="false">
      <c r="A2501" s="1" t="n">
        <v>2014</v>
      </c>
      <c r="B2501" s="7" t="s">
        <v>322</v>
      </c>
      <c r="C2501" s="7" t="n">
        <v>2</v>
      </c>
      <c r="D2501" s="7" t="s">
        <v>295</v>
      </c>
      <c r="E2501" s="7" t="s">
        <v>295</v>
      </c>
      <c r="F2501" s="3" t="s">
        <v>336</v>
      </c>
      <c r="G2501" s="3" t="n">
        <v>2</v>
      </c>
      <c r="H2501" s="3" t="n">
        <v>8</v>
      </c>
      <c r="I2501" s="22" t="n">
        <v>41794</v>
      </c>
      <c r="J2501" s="22" t="n">
        <v>41799</v>
      </c>
      <c r="K2501" s="43" t="n">
        <f aca="false">J2501-I2501</f>
        <v>5</v>
      </c>
      <c r="L2501" s="1" t="n">
        <v>5</v>
      </c>
      <c r="M2501" s="3" t="s">
        <v>48</v>
      </c>
      <c r="N2501" s="3" t="s">
        <v>122</v>
      </c>
      <c r="O2501" s="3" t="s">
        <v>123</v>
      </c>
      <c r="P2501" s="2" t="str">
        <f aca="false">CONCATENATE(N2501," ",O2501)</f>
        <v>Xerolycosa nemoralis</v>
      </c>
      <c r="Q2501" s="1" t="s">
        <v>30</v>
      </c>
      <c r="R2501" s="1" t="s">
        <v>31</v>
      </c>
      <c r="S2501" s="3" t="n">
        <v>4</v>
      </c>
      <c r="T2501" s="3" t="n">
        <v>0</v>
      </c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f aca="false">SUM(S2501:T2501)</f>
        <v>4</v>
      </c>
      <c r="Z2501" s="3" t="n">
        <f aca="false">SUM(U2501:W2501)</f>
        <v>0</v>
      </c>
      <c r="AA2501" s="3" t="n">
        <f aca="false">SUM(S2501:X2501)</f>
        <v>4</v>
      </c>
      <c r="AB2501" s="11" t="n">
        <f aca="false">(AA2501/(K2501*L2501)*25)*4</f>
        <v>16</v>
      </c>
    </row>
    <row r="2502" customFormat="false" ht="14.25" hidden="false" customHeight="false" outlineLevel="0" collapsed="false">
      <c r="A2502" s="1" t="n">
        <v>2014</v>
      </c>
      <c r="B2502" s="7" t="s">
        <v>322</v>
      </c>
      <c r="C2502" s="7" t="n">
        <v>2</v>
      </c>
      <c r="D2502" s="7" t="s">
        <v>295</v>
      </c>
      <c r="E2502" s="7" t="s">
        <v>295</v>
      </c>
      <c r="F2502" s="3" t="s">
        <v>336</v>
      </c>
      <c r="G2502" s="3" t="n">
        <v>2</v>
      </c>
      <c r="H2502" s="3" t="n">
        <v>8</v>
      </c>
      <c r="I2502" s="22" t="n">
        <v>41794</v>
      </c>
      <c r="J2502" s="22" t="n">
        <v>41799</v>
      </c>
      <c r="K2502" s="43" t="n">
        <f aca="false">J2502-I2502</f>
        <v>5</v>
      </c>
      <c r="L2502" s="1" t="n">
        <v>5</v>
      </c>
      <c r="M2502" s="3" t="s">
        <v>72</v>
      </c>
      <c r="N2502" s="3" t="s">
        <v>73</v>
      </c>
      <c r="O2502" s="3" t="s">
        <v>74</v>
      </c>
      <c r="P2502" s="2" t="str">
        <f aca="false">CONCATENATE(N2502," ",O2502)</f>
        <v>Zelotes subterraneus</v>
      </c>
      <c r="Q2502" s="1" t="s">
        <v>30</v>
      </c>
      <c r="R2502" s="1" t="s">
        <v>35</v>
      </c>
      <c r="S2502" s="3" t="n">
        <v>0</v>
      </c>
      <c r="T2502" s="3" t="n">
        <v>1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f aca="false">SUM(S2502:T2502)</f>
        <v>1</v>
      </c>
      <c r="Z2502" s="3" t="n">
        <f aca="false">SUM(U2502:W2502)</f>
        <v>0</v>
      </c>
      <c r="AA2502" s="3" t="n">
        <f aca="false">SUM(S2502:X2502)</f>
        <v>1</v>
      </c>
      <c r="AB2502" s="11" t="n">
        <f aca="false">(AA2502/(K2502*L2502)*25)*4</f>
        <v>4</v>
      </c>
    </row>
    <row r="2503" customFormat="false" ht="14.25" hidden="false" customHeight="false" outlineLevel="0" collapsed="false">
      <c r="A2503" s="1" t="n">
        <v>2014</v>
      </c>
      <c r="B2503" s="7" t="s">
        <v>322</v>
      </c>
      <c r="C2503" s="7" t="n">
        <v>2</v>
      </c>
      <c r="D2503" s="7" t="s">
        <v>295</v>
      </c>
      <c r="E2503" s="7" t="s">
        <v>295</v>
      </c>
      <c r="F2503" s="3" t="s">
        <v>336</v>
      </c>
      <c r="G2503" s="3" t="n">
        <v>3</v>
      </c>
      <c r="H2503" s="3" t="n">
        <v>11</v>
      </c>
      <c r="I2503" s="22" t="n">
        <v>41794</v>
      </c>
      <c r="J2503" s="22" t="n">
        <v>41799</v>
      </c>
      <c r="K2503" s="43" t="n">
        <f aca="false">J2503-I2503</f>
        <v>5</v>
      </c>
      <c r="L2503" s="1" t="n">
        <v>5</v>
      </c>
      <c r="M2503" s="3" t="s">
        <v>48</v>
      </c>
      <c r="N2503" s="3" t="s">
        <v>122</v>
      </c>
      <c r="O2503" s="3" t="s">
        <v>123</v>
      </c>
      <c r="P2503" s="2" t="str">
        <f aca="false">CONCATENATE(N2503," ",O2503)</f>
        <v>Xerolycosa nemoralis</v>
      </c>
      <c r="Q2503" s="1" t="s">
        <v>30</v>
      </c>
      <c r="R2503" s="1" t="s">
        <v>31</v>
      </c>
      <c r="S2503" s="3" t="n">
        <v>11</v>
      </c>
      <c r="T2503" s="3" t="n">
        <v>0</v>
      </c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f aca="false">SUM(S2503:T2503)</f>
        <v>11</v>
      </c>
      <c r="Z2503" s="3" t="n">
        <f aca="false">SUM(U2503:W2503)</f>
        <v>0</v>
      </c>
      <c r="AA2503" s="3" t="n">
        <f aca="false">SUM(S2503:X2503)</f>
        <v>11</v>
      </c>
      <c r="AB2503" s="11" t="n">
        <f aca="false">(AA2503/(K2503*L2503)*25)*4</f>
        <v>44</v>
      </c>
    </row>
    <row r="2504" customFormat="false" ht="14.25" hidden="false" customHeight="false" outlineLevel="0" collapsed="false">
      <c r="A2504" s="1" t="n">
        <v>2014</v>
      </c>
      <c r="B2504" s="7" t="s">
        <v>322</v>
      </c>
      <c r="C2504" s="7" t="n">
        <v>2</v>
      </c>
      <c r="D2504" s="7" t="s">
        <v>295</v>
      </c>
      <c r="E2504" s="7" t="s">
        <v>295</v>
      </c>
      <c r="F2504" s="3" t="s">
        <v>336</v>
      </c>
      <c r="G2504" s="3" t="n">
        <v>3</v>
      </c>
      <c r="H2504" s="3" t="n">
        <v>11</v>
      </c>
      <c r="I2504" s="22" t="n">
        <v>41794</v>
      </c>
      <c r="J2504" s="22" t="n">
        <v>41799</v>
      </c>
      <c r="K2504" s="43" t="n">
        <f aca="false">J2504-I2504</f>
        <v>5</v>
      </c>
      <c r="L2504" s="1" t="n">
        <v>5</v>
      </c>
      <c r="M2504" s="3" t="s">
        <v>48</v>
      </c>
      <c r="N2504" s="3" t="s">
        <v>122</v>
      </c>
      <c r="O2504" s="3" t="s">
        <v>123</v>
      </c>
      <c r="P2504" s="2" t="str">
        <f aca="false">CONCATENATE(N2504," ",O2504)</f>
        <v>Xerolycosa nemoralis</v>
      </c>
      <c r="Q2504" s="1" t="s">
        <v>30</v>
      </c>
      <c r="R2504" s="1" t="s">
        <v>35</v>
      </c>
      <c r="S2504" s="3" t="n">
        <v>0</v>
      </c>
      <c r="T2504" s="3" t="n">
        <v>2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f aca="false">SUM(S2504:T2504)</f>
        <v>2</v>
      </c>
      <c r="Z2504" s="3" t="n">
        <f aca="false">SUM(U2504:W2504)</f>
        <v>0</v>
      </c>
      <c r="AA2504" s="3" t="n">
        <f aca="false">SUM(S2504:X2504)</f>
        <v>2</v>
      </c>
      <c r="AB2504" s="11" t="n">
        <f aca="false">(AA2504/(K2504*L2504)*25)*4</f>
        <v>8</v>
      </c>
    </row>
    <row r="2505" customFormat="false" ht="14.25" hidden="false" customHeight="false" outlineLevel="0" collapsed="false">
      <c r="A2505" s="1" t="n">
        <v>2014</v>
      </c>
      <c r="B2505" s="7" t="s">
        <v>322</v>
      </c>
      <c r="C2505" s="7" t="n">
        <v>2</v>
      </c>
      <c r="D2505" s="7" t="s">
        <v>295</v>
      </c>
      <c r="E2505" s="7" t="s">
        <v>295</v>
      </c>
      <c r="F2505" s="3" t="s">
        <v>336</v>
      </c>
      <c r="G2505" s="3" t="n">
        <v>3</v>
      </c>
      <c r="H2505" s="3" t="n">
        <v>11</v>
      </c>
      <c r="I2505" s="22" t="n">
        <v>41794</v>
      </c>
      <c r="J2505" s="22" t="n">
        <v>41799</v>
      </c>
      <c r="K2505" s="43" t="n">
        <f aca="false">J2505-I2505</f>
        <v>5</v>
      </c>
      <c r="L2505" s="1" t="n">
        <v>5</v>
      </c>
      <c r="M2505" s="3" t="s">
        <v>48</v>
      </c>
      <c r="N2505" s="3" t="s">
        <v>49</v>
      </c>
      <c r="O2505" s="3" t="s">
        <v>119</v>
      </c>
      <c r="P2505" s="2" t="str">
        <f aca="false">CONCATENATE(N2505," ",O2505)</f>
        <v>Alopecosa sulzeri</v>
      </c>
      <c r="Q2505" s="1" t="s">
        <v>30</v>
      </c>
      <c r="R2505" s="1" t="s">
        <v>31</v>
      </c>
      <c r="S2505" s="3" t="n">
        <v>1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f aca="false">SUM(S2505:T2505)</f>
        <v>1</v>
      </c>
      <c r="Z2505" s="3" t="n">
        <f aca="false">SUM(U2505:W2505)</f>
        <v>0</v>
      </c>
      <c r="AA2505" s="3" t="n">
        <f aca="false">SUM(S2505:X2505)</f>
        <v>1</v>
      </c>
      <c r="AB2505" s="11" t="n">
        <f aca="false">(AA2505/(K2505*L2505)*25)*4</f>
        <v>4</v>
      </c>
    </row>
    <row r="2506" customFormat="false" ht="14.25" hidden="false" customHeight="false" outlineLevel="0" collapsed="false">
      <c r="A2506" s="1" t="n">
        <v>2014</v>
      </c>
      <c r="B2506" s="7" t="s">
        <v>322</v>
      </c>
      <c r="C2506" s="7" t="n">
        <v>2</v>
      </c>
      <c r="D2506" s="7" t="s">
        <v>295</v>
      </c>
      <c r="E2506" s="7" t="s">
        <v>295</v>
      </c>
      <c r="F2506" s="3" t="s">
        <v>336</v>
      </c>
      <c r="G2506" s="3" t="n">
        <v>3</v>
      </c>
      <c r="H2506" s="3" t="n">
        <v>11</v>
      </c>
      <c r="I2506" s="22" t="n">
        <v>41794</v>
      </c>
      <c r="J2506" s="22" t="n">
        <v>41799</v>
      </c>
      <c r="K2506" s="43" t="n">
        <f aca="false">J2506-I2506</f>
        <v>5</v>
      </c>
      <c r="L2506" s="1" t="n">
        <v>5</v>
      </c>
      <c r="M2506" s="3" t="s">
        <v>72</v>
      </c>
      <c r="N2506" s="3" t="s">
        <v>139</v>
      </c>
      <c r="O2506" s="3" t="s">
        <v>140</v>
      </c>
      <c r="P2506" s="2" t="str">
        <f aca="false">CONCATENATE(N2506," ",O2506)</f>
        <v>Gnaphosa muscorum</v>
      </c>
      <c r="Q2506" s="1" t="s">
        <v>30</v>
      </c>
      <c r="R2506" s="1" t="s">
        <v>31</v>
      </c>
      <c r="S2506" s="3" t="n">
        <v>1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f aca="false">SUM(S2506:T2506)</f>
        <v>1</v>
      </c>
      <c r="Z2506" s="3" t="n">
        <f aca="false">SUM(U2506:W2506)</f>
        <v>0</v>
      </c>
      <c r="AA2506" s="3" t="n">
        <f aca="false">SUM(S2506:X2506)</f>
        <v>1</v>
      </c>
      <c r="AB2506" s="11" t="n">
        <f aca="false">(AA2506/(K2506*L2506)*25)*4</f>
        <v>4</v>
      </c>
    </row>
    <row r="2507" customFormat="false" ht="14.25" hidden="false" customHeight="false" outlineLevel="0" collapsed="false">
      <c r="A2507" s="1" t="n">
        <v>2014</v>
      </c>
      <c r="B2507" s="7" t="s">
        <v>322</v>
      </c>
      <c r="C2507" s="7" t="n">
        <v>2</v>
      </c>
      <c r="D2507" s="7" t="s">
        <v>295</v>
      </c>
      <c r="E2507" s="7" t="s">
        <v>295</v>
      </c>
      <c r="F2507" s="3" t="s">
        <v>336</v>
      </c>
      <c r="G2507" s="3" t="n">
        <v>3</v>
      </c>
      <c r="H2507" s="3" t="n">
        <v>11</v>
      </c>
      <c r="I2507" s="22" t="n">
        <v>41794</v>
      </c>
      <c r="J2507" s="22" t="n">
        <v>41799</v>
      </c>
      <c r="K2507" s="43" t="n">
        <f aca="false">J2507-I2507</f>
        <v>5</v>
      </c>
      <c r="L2507" s="1" t="n">
        <v>5</v>
      </c>
      <c r="M2507" s="3" t="s">
        <v>27</v>
      </c>
      <c r="N2507" s="3" t="s">
        <v>46</v>
      </c>
      <c r="O2507" s="3" t="s">
        <v>47</v>
      </c>
      <c r="P2507" s="2" t="str">
        <f aca="false">CONCATENATE(N2507," ",O2507)</f>
        <v>Euryopis flavomaculata</v>
      </c>
      <c r="Q2507" s="1" t="s">
        <v>30</v>
      </c>
      <c r="R2507" s="1" t="s">
        <v>31</v>
      </c>
      <c r="S2507" s="3" t="n">
        <v>2</v>
      </c>
      <c r="T2507" s="3" t="n">
        <v>0</v>
      </c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f aca="false">SUM(S2507:T2507)</f>
        <v>2</v>
      </c>
      <c r="Z2507" s="3" t="n">
        <f aca="false">SUM(U2507:W2507)</f>
        <v>0</v>
      </c>
      <c r="AA2507" s="3" t="n">
        <f aca="false">SUM(S2507:X2507)</f>
        <v>2</v>
      </c>
      <c r="AB2507" s="11" t="n">
        <f aca="false">(AA2507/(K2507*L2507)*25)*4</f>
        <v>8</v>
      </c>
    </row>
    <row r="2508" customFormat="false" ht="14.25" hidden="false" customHeight="false" outlineLevel="0" collapsed="false">
      <c r="A2508" s="1" t="n">
        <v>2014</v>
      </c>
      <c r="B2508" s="7" t="s">
        <v>322</v>
      </c>
      <c r="C2508" s="7" t="n">
        <v>2</v>
      </c>
      <c r="D2508" s="7" t="s">
        <v>295</v>
      </c>
      <c r="E2508" s="7" t="s">
        <v>295</v>
      </c>
      <c r="F2508" s="3" t="s">
        <v>336</v>
      </c>
      <c r="G2508" s="3" t="n">
        <v>1</v>
      </c>
      <c r="H2508" s="3" t="n">
        <v>3</v>
      </c>
      <c r="I2508" s="22" t="n">
        <v>41794</v>
      </c>
      <c r="J2508" s="22" t="n">
        <v>41799</v>
      </c>
      <c r="K2508" s="43" t="n">
        <f aca="false">J2508-I2508</f>
        <v>5</v>
      </c>
      <c r="L2508" s="1" t="n">
        <v>5</v>
      </c>
      <c r="M2508" s="3" t="s">
        <v>48</v>
      </c>
      <c r="N2508" s="3" t="s">
        <v>49</v>
      </c>
      <c r="O2508" s="3" t="s">
        <v>119</v>
      </c>
      <c r="P2508" s="2" t="str">
        <f aca="false">CONCATENATE(N2508," ",O2508)</f>
        <v>Alopecosa sulzeri</v>
      </c>
      <c r="Q2508" s="1" t="s">
        <v>30</v>
      </c>
      <c r="R2508" s="1" t="s">
        <v>31</v>
      </c>
      <c r="S2508" s="3" t="n">
        <v>2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f aca="false">SUM(S2508:T2508)</f>
        <v>2</v>
      </c>
      <c r="Z2508" s="3" t="n">
        <f aca="false">SUM(U2508:W2508)</f>
        <v>0</v>
      </c>
      <c r="AA2508" s="3" t="n">
        <f aca="false">SUM(S2508:X2508)</f>
        <v>2</v>
      </c>
      <c r="AB2508" s="11" t="n">
        <f aca="false">(AA2508/(K2508*L2508)*25)*4</f>
        <v>8</v>
      </c>
    </row>
    <row r="2509" customFormat="false" ht="14.25" hidden="false" customHeight="false" outlineLevel="0" collapsed="false">
      <c r="A2509" s="1" t="n">
        <v>2014</v>
      </c>
      <c r="B2509" s="7" t="s">
        <v>322</v>
      </c>
      <c r="C2509" s="7" t="n">
        <v>2</v>
      </c>
      <c r="D2509" s="7" t="s">
        <v>295</v>
      </c>
      <c r="E2509" s="7" t="s">
        <v>295</v>
      </c>
      <c r="F2509" s="3" t="s">
        <v>336</v>
      </c>
      <c r="G2509" s="3" t="n">
        <v>1</v>
      </c>
      <c r="H2509" s="3" t="n">
        <v>3</v>
      </c>
      <c r="I2509" s="22" t="n">
        <v>41794</v>
      </c>
      <c r="J2509" s="22" t="n">
        <v>41799</v>
      </c>
      <c r="K2509" s="43" t="n">
        <f aca="false">J2509-I2509</f>
        <v>5</v>
      </c>
      <c r="L2509" s="1" t="n">
        <v>5</v>
      </c>
      <c r="M2509" s="3" t="s">
        <v>48</v>
      </c>
      <c r="N2509" s="3" t="s">
        <v>122</v>
      </c>
      <c r="O2509" s="3" t="s">
        <v>123</v>
      </c>
      <c r="P2509" s="2" t="str">
        <f aca="false">CONCATENATE(N2509," ",O2509)</f>
        <v>Xerolycosa nemoralis</v>
      </c>
      <c r="Q2509" s="1" t="s">
        <v>30</v>
      </c>
      <c r="R2509" s="1" t="s">
        <v>31</v>
      </c>
      <c r="S2509" s="3" t="n">
        <v>3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f aca="false">SUM(S2509:T2509)</f>
        <v>3</v>
      </c>
      <c r="Z2509" s="3" t="n">
        <f aca="false">SUM(U2509:W2509)</f>
        <v>0</v>
      </c>
      <c r="AA2509" s="3" t="n">
        <f aca="false">SUM(S2509:X2509)</f>
        <v>3</v>
      </c>
      <c r="AB2509" s="11" t="n">
        <f aca="false">(AA2509/(K2509*L2509)*25)*4</f>
        <v>12</v>
      </c>
    </row>
    <row r="2510" customFormat="false" ht="14.25" hidden="false" customHeight="false" outlineLevel="0" collapsed="false">
      <c r="A2510" s="1" t="n">
        <v>2014</v>
      </c>
      <c r="B2510" s="7" t="s">
        <v>322</v>
      </c>
      <c r="C2510" s="7" t="n">
        <v>2</v>
      </c>
      <c r="D2510" s="7" t="s">
        <v>295</v>
      </c>
      <c r="E2510" s="7" t="s">
        <v>295</v>
      </c>
      <c r="F2510" s="3" t="s">
        <v>336</v>
      </c>
      <c r="G2510" s="3" t="n">
        <v>1</v>
      </c>
      <c r="H2510" s="3" t="n">
        <v>3</v>
      </c>
      <c r="I2510" s="22" t="n">
        <v>41794</v>
      </c>
      <c r="J2510" s="22" t="n">
        <v>41799</v>
      </c>
      <c r="K2510" s="43" t="n">
        <f aca="false">J2510-I2510</f>
        <v>5</v>
      </c>
      <c r="L2510" s="1" t="n">
        <v>5</v>
      </c>
      <c r="M2510" s="3" t="s">
        <v>72</v>
      </c>
      <c r="N2510" s="3" t="s">
        <v>73</v>
      </c>
      <c r="O2510" s="3" t="s">
        <v>74</v>
      </c>
      <c r="P2510" s="2" t="str">
        <f aca="false">CONCATENATE(N2510," ",O2510)</f>
        <v>Zelotes subterraneus</v>
      </c>
      <c r="Q2510" s="1" t="s">
        <v>30</v>
      </c>
      <c r="R2510" s="1" t="s">
        <v>35</v>
      </c>
      <c r="S2510" s="3" t="n">
        <v>0</v>
      </c>
      <c r="T2510" s="3" t="n">
        <v>1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f aca="false">SUM(S2510:T2510)</f>
        <v>1</v>
      </c>
      <c r="Z2510" s="3" t="n">
        <f aca="false">SUM(U2510:W2510)</f>
        <v>0</v>
      </c>
      <c r="AA2510" s="3" t="n">
        <f aca="false">SUM(S2510:X2510)</f>
        <v>1</v>
      </c>
      <c r="AB2510" s="11" t="n">
        <f aca="false">(AA2510/(K2510*L2510)*25)*4</f>
        <v>4</v>
      </c>
    </row>
    <row r="2511" customFormat="false" ht="14.25" hidden="false" customHeight="false" outlineLevel="0" collapsed="false">
      <c r="A2511" s="1" t="n">
        <v>2014</v>
      </c>
      <c r="B2511" s="7" t="s">
        <v>322</v>
      </c>
      <c r="C2511" s="7" t="n">
        <v>2</v>
      </c>
      <c r="D2511" s="7" t="s">
        <v>295</v>
      </c>
      <c r="E2511" s="7" t="s">
        <v>295</v>
      </c>
      <c r="F2511" s="3" t="s">
        <v>336</v>
      </c>
      <c r="G2511" s="3" t="n">
        <v>1</v>
      </c>
      <c r="H2511" s="3" t="n">
        <v>3</v>
      </c>
      <c r="I2511" s="22" t="n">
        <v>41794</v>
      </c>
      <c r="J2511" s="22" t="n">
        <v>41799</v>
      </c>
      <c r="K2511" s="43" t="n">
        <f aca="false">J2511-I2511</f>
        <v>5</v>
      </c>
      <c r="L2511" s="1" t="n">
        <v>5</v>
      </c>
      <c r="M2511" s="3" t="s">
        <v>92</v>
      </c>
      <c r="N2511" s="3" t="s">
        <v>111</v>
      </c>
      <c r="O2511" s="3" t="s">
        <v>112</v>
      </c>
      <c r="P2511" s="2" t="str">
        <f aca="false">CONCATENATE(N2511," ",O2511)</f>
        <v>Evarcha falcata</v>
      </c>
      <c r="Q2511" s="1" t="s">
        <v>30</v>
      </c>
      <c r="R2511" s="1" t="s">
        <v>31</v>
      </c>
      <c r="S2511" s="3" t="n">
        <v>1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f aca="false">SUM(S2511:T2511)</f>
        <v>1</v>
      </c>
      <c r="Z2511" s="3" t="n">
        <f aca="false">SUM(U2511:W2511)</f>
        <v>0</v>
      </c>
      <c r="AA2511" s="3" t="n">
        <f aca="false">SUM(S2511:X2511)</f>
        <v>1</v>
      </c>
      <c r="AB2511" s="11" t="n">
        <f aca="false">(AA2511/(K2511*L2511)*25)*4</f>
        <v>4</v>
      </c>
    </row>
    <row r="2512" customFormat="false" ht="14.25" hidden="false" customHeight="false" outlineLevel="0" collapsed="false">
      <c r="A2512" s="1" t="n">
        <v>2014</v>
      </c>
      <c r="B2512" s="7" t="s">
        <v>322</v>
      </c>
      <c r="C2512" s="7" t="n">
        <v>2</v>
      </c>
      <c r="D2512" s="7" t="s">
        <v>295</v>
      </c>
      <c r="E2512" s="7" t="s">
        <v>295</v>
      </c>
      <c r="F2512" s="3" t="s">
        <v>336</v>
      </c>
      <c r="G2512" s="3" t="n">
        <v>1</v>
      </c>
      <c r="H2512" s="3" t="n">
        <v>3</v>
      </c>
      <c r="I2512" s="22" t="n">
        <v>41794</v>
      </c>
      <c r="J2512" s="22" t="n">
        <v>41799</v>
      </c>
      <c r="K2512" s="43" t="n">
        <f aca="false">J2512-I2512</f>
        <v>5</v>
      </c>
      <c r="L2512" s="1" t="n">
        <v>5</v>
      </c>
      <c r="M2512" s="3" t="s">
        <v>27</v>
      </c>
      <c r="N2512" s="3" t="s">
        <v>46</v>
      </c>
      <c r="O2512" s="3" t="s">
        <v>47</v>
      </c>
      <c r="P2512" s="2" t="str">
        <f aca="false">CONCATENATE(N2512," ",O2512)</f>
        <v>Euryopis flavomaculata</v>
      </c>
      <c r="Q2512" s="1" t="s">
        <v>30</v>
      </c>
      <c r="R2512" s="1" t="s">
        <v>31</v>
      </c>
      <c r="S2512" s="3" t="n">
        <v>1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f aca="false">SUM(S2512:T2512)</f>
        <v>1</v>
      </c>
      <c r="Z2512" s="3" t="n">
        <f aca="false">SUM(U2512:W2512)</f>
        <v>0</v>
      </c>
      <c r="AA2512" s="3" t="n">
        <f aca="false">SUM(S2512:X2512)</f>
        <v>1</v>
      </c>
      <c r="AB2512" s="11" t="n">
        <f aca="false">(AA2512/(K2512*L2512)*25)*4</f>
        <v>4</v>
      </c>
    </row>
    <row r="2513" customFormat="false" ht="14.25" hidden="false" customHeight="false" outlineLevel="0" collapsed="false">
      <c r="A2513" s="1" t="n">
        <v>2014</v>
      </c>
      <c r="B2513" s="7" t="s">
        <v>322</v>
      </c>
      <c r="C2513" s="7" t="n">
        <v>2</v>
      </c>
      <c r="D2513" s="7" t="s">
        <v>295</v>
      </c>
      <c r="E2513" s="7" t="s">
        <v>295</v>
      </c>
      <c r="F2513" s="3" t="s">
        <v>336</v>
      </c>
      <c r="G2513" s="3" t="n">
        <v>3</v>
      </c>
      <c r="H2513" s="3" t="n">
        <v>12</v>
      </c>
      <c r="I2513" s="22" t="n">
        <v>41794</v>
      </c>
      <c r="J2513" s="22" t="n">
        <v>41799</v>
      </c>
      <c r="K2513" s="43" t="n">
        <f aca="false">J2513-I2513</f>
        <v>5</v>
      </c>
      <c r="L2513" s="1" t="n">
        <v>5</v>
      </c>
      <c r="M2513" s="3" t="s">
        <v>36</v>
      </c>
      <c r="N2513" s="3" t="s">
        <v>256</v>
      </c>
      <c r="O2513" s="3" t="s">
        <v>257</v>
      </c>
      <c r="P2513" s="2" t="str">
        <f aca="false">CONCATENATE(N2513," ",O2513)</f>
        <v>Bassaniodes robustus</v>
      </c>
      <c r="Q2513" s="1" t="s">
        <v>30</v>
      </c>
      <c r="R2513" s="1" t="s">
        <v>31</v>
      </c>
      <c r="S2513" s="3" t="n">
        <v>1</v>
      </c>
      <c r="T2513" s="3" t="n">
        <v>0</v>
      </c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f aca="false">SUM(S2513:T2513)</f>
        <v>1</v>
      </c>
      <c r="Z2513" s="3" t="n">
        <f aca="false">SUM(U2513:W2513)</f>
        <v>0</v>
      </c>
      <c r="AA2513" s="3" t="n">
        <f aca="false">SUM(S2513:X2513)</f>
        <v>1</v>
      </c>
      <c r="AB2513" s="11" t="n">
        <f aca="false">(AA2513/(K2513*L2513)*25)*4</f>
        <v>4</v>
      </c>
    </row>
    <row r="2514" customFormat="false" ht="14.25" hidden="false" customHeight="false" outlineLevel="0" collapsed="false">
      <c r="A2514" s="1" t="n">
        <v>2014</v>
      </c>
      <c r="B2514" s="7" t="s">
        <v>322</v>
      </c>
      <c r="C2514" s="7" t="n">
        <v>2</v>
      </c>
      <c r="D2514" s="7" t="s">
        <v>295</v>
      </c>
      <c r="E2514" s="7" t="s">
        <v>295</v>
      </c>
      <c r="F2514" s="3" t="s">
        <v>336</v>
      </c>
      <c r="G2514" s="3" t="n">
        <v>3</v>
      </c>
      <c r="H2514" s="3" t="n">
        <v>12</v>
      </c>
      <c r="I2514" s="22" t="n">
        <v>41794</v>
      </c>
      <c r="J2514" s="22" t="n">
        <v>41799</v>
      </c>
      <c r="K2514" s="43" t="n">
        <f aca="false">J2514-I2514</f>
        <v>5</v>
      </c>
      <c r="L2514" s="1" t="n">
        <v>5</v>
      </c>
      <c r="M2514" s="3" t="s">
        <v>72</v>
      </c>
      <c r="N2514" s="3" t="s">
        <v>139</v>
      </c>
      <c r="O2514" s="3" t="s">
        <v>140</v>
      </c>
      <c r="P2514" s="2" t="str">
        <f aca="false">CONCATENATE(N2514," ",O2514)</f>
        <v>Gnaphosa muscorum</v>
      </c>
      <c r="Q2514" s="1" t="s">
        <v>30</v>
      </c>
      <c r="R2514" s="1" t="s">
        <v>31</v>
      </c>
      <c r="S2514" s="3" t="n">
        <v>2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f aca="false">SUM(S2514:T2514)</f>
        <v>2</v>
      </c>
      <c r="Z2514" s="3" t="n">
        <f aca="false">SUM(U2514:W2514)</f>
        <v>0</v>
      </c>
      <c r="AA2514" s="3" t="n">
        <f aca="false">SUM(S2514:X2514)</f>
        <v>2</v>
      </c>
      <c r="AB2514" s="11" t="n">
        <f aca="false">(AA2514/(K2514*L2514)*25)*4</f>
        <v>8</v>
      </c>
    </row>
    <row r="2515" customFormat="false" ht="14.25" hidden="false" customHeight="false" outlineLevel="0" collapsed="false">
      <c r="A2515" s="1" t="n">
        <v>2014</v>
      </c>
      <c r="B2515" s="7" t="s">
        <v>322</v>
      </c>
      <c r="C2515" s="7" t="n">
        <v>2</v>
      </c>
      <c r="D2515" s="7" t="s">
        <v>295</v>
      </c>
      <c r="E2515" s="7" t="s">
        <v>295</v>
      </c>
      <c r="F2515" s="3" t="s">
        <v>336</v>
      </c>
      <c r="G2515" s="3" t="n">
        <v>3</v>
      </c>
      <c r="H2515" s="3" t="n">
        <v>12</v>
      </c>
      <c r="I2515" s="22" t="n">
        <v>41794</v>
      </c>
      <c r="J2515" s="22" t="n">
        <v>41799</v>
      </c>
      <c r="K2515" s="43" t="n">
        <f aca="false">J2515-I2515</f>
        <v>5</v>
      </c>
      <c r="L2515" s="1" t="n">
        <v>5</v>
      </c>
      <c r="M2515" s="3" t="s">
        <v>72</v>
      </c>
      <c r="N2515" s="3" t="s">
        <v>139</v>
      </c>
      <c r="O2515" s="3" t="s">
        <v>140</v>
      </c>
      <c r="P2515" s="2" t="str">
        <f aca="false">CONCATENATE(N2515," ",O2515)</f>
        <v>Gnaphosa muscorum</v>
      </c>
      <c r="Q2515" s="1" t="s">
        <v>30</v>
      </c>
      <c r="R2515" s="1" t="s">
        <v>35</v>
      </c>
      <c r="S2515" s="3" t="n">
        <v>0</v>
      </c>
      <c r="T2515" s="3" t="n">
        <v>1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f aca="false">SUM(S2515:T2515)</f>
        <v>1</v>
      </c>
      <c r="Z2515" s="3" t="n">
        <f aca="false">SUM(U2515:W2515)</f>
        <v>0</v>
      </c>
      <c r="AA2515" s="3" t="n">
        <f aca="false">SUM(S2515:X2515)</f>
        <v>1</v>
      </c>
      <c r="AB2515" s="11" t="n">
        <f aca="false">(AA2515/(K2515*L2515)*25)*4</f>
        <v>4</v>
      </c>
    </row>
    <row r="2516" customFormat="false" ht="14.25" hidden="false" customHeight="false" outlineLevel="0" collapsed="false">
      <c r="A2516" s="1" t="n">
        <v>2014</v>
      </c>
      <c r="B2516" s="7" t="s">
        <v>322</v>
      </c>
      <c r="C2516" s="7" t="n">
        <v>2</v>
      </c>
      <c r="D2516" s="7" t="s">
        <v>295</v>
      </c>
      <c r="E2516" s="7" t="s">
        <v>295</v>
      </c>
      <c r="F2516" s="3" t="s">
        <v>336</v>
      </c>
      <c r="G2516" s="3" t="n">
        <v>3</v>
      </c>
      <c r="H2516" s="3" t="n">
        <v>12</v>
      </c>
      <c r="I2516" s="22" t="n">
        <v>41794</v>
      </c>
      <c r="J2516" s="22" t="n">
        <v>41799</v>
      </c>
      <c r="K2516" s="43" t="n">
        <f aca="false">J2516-I2516</f>
        <v>5</v>
      </c>
      <c r="L2516" s="1" t="n">
        <v>5</v>
      </c>
      <c r="M2516" s="3" t="s">
        <v>72</v>
      </c>
      <c r="N2516" s="3" t="s">
        <v>73</v>
      </c>
      <c r="O2516" s="3" t="s">
        <v>74</v>
      </c>
      <c r="P2516" s="2" t="str">
        <f aca="false">CONCATENATE(N2516," ",O2516)</f>
        <v>Zelotes subterraneus</v>
      </c>
      <c r="Q2516" s="1" t="s">
        <v>30</v>
      </c>
      <c r="R2516" s="1" t="s">
        <v>31</v>
      </c>
      <c r="S2516" s="3" t="n">
        <v>1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f aca="false">SUM(S2516:T2516)</f>
        <v>1</v>
      </c>
      <c r="Z2516" s="3" t="n">
        <f aca="false">SUM(U2516:W2516)</f>
        <v>0</v>
      </c>
      <c r="AA2516" s="3" t="n">
        <f aca="false">SUM(S2516:X2516)</f>
        <v>1</v>
      </c>
      <c r="AB2516" s="11" t="n">
        <f aca="false">(AA2516/(K2516*L2516)*25)*4</f>
        <v>4</v>
      </c>
    </row>
    <row r="2517" customFormat="false" ht="14.25" hidden="false" customHeight="false" outlineLevel="0" collapsed="false">
      <c r="A2517" s="1" t="n">
        <v>2014</v>
      </c>
      <c r="B2517" s="7" t="s">
        <v>322</v>
      </c>
      <c r="C2517" s="7" t="n">
        <v>2</v>
      </c>
      <c r="D2517" s="7" t="s">
        <v>295</v>
      </c>
      <c r="E2517" s="7" t="s">
        <v>295</v>
      </c>
      <c r="F2517" s="3" t="s">
        <v>336</v>
      </c>
      <c r="G2517" s="3" t="n">
        <v>3</v>
      </c>
      <c r="H2517" s="3" t="n">
        <v>12</v>
      </c>
      <c r="I2517" s="22" t="n">
        <v>41794</v>
      </c>
      <c r="J2517" s="22" t="n">
        <v>41799</v>
      </c>
      <c r="K2517" s="43" t="n">
        <f aca="false">J2517-I2517</f>
        <v>5</v>
      </c>
      <c r="L2517" s="1" t="n">
        <v>5</v>
      </c>
      <c r="M2517" s="3" t="s">
        <v>72</v>
      </c>
      <c r="N2517" s="3" t="s">
        <v>242</v>
      </c>
      <c r="O2517" s="3" t="s">
        <v>254</v>
      </c>
      <c r="P2517" s="2" t="str">
        <f aca="false">CONCATENATE(N2517," ",O2517)</f>
        <v>Drassyllus praeficus</v>
      </c>
      <c r="Q2517" s="1" t="s">
        <v>30</v>
      </c>
      <c r="R2517" s="1" t="s">
        <v>35</v>
      </c>
      <c r="S2517" s="3" t="n">
        <v>0</v>
      </c>
      <c r="T2517" s="3" t="n">
        <v>1</v>
      </c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f aca="false">SUM(S2517:T2517)</f>
        <v>1</v>
      </c>
      <c r="Z2517" s="3" t="n">
        <f aca="false">SUM(U2517:W2517)</f>
        <v>0</v>
      </c>
      <c r="AA2517" s="3" t="n">
        <f aca="false">SUM(S2517:X2517)</f>
        <v>1</v>
      </c>
      <c r="AB2517" s="11" t="n">
        <f aca="false">(AA2517/(K2517*L2517)*25)*4</f>
        <v>4</v>
      </c>
    </row>
    <row r="2518" customFormat="false" ht="14.25" hidden="false" customHeight="false" outlineLevel="0" collapsed="false">
      <c r="A2518" s="1" t="n">
        <v>2014</v>
      </c>
      <c r="B2518" s="7" t="s">
        <v>322</v>
      </c>
      <c r="C2518" s="7" t="n">
        <v>2</v>
      </c>
      <c r="D2518" s="7" t="s">
        <v>295</v>
      </c>
      <c r="E2518" s="7" t="s">
        <v>295</v>
      </c>
      <c r="F2518" s="3" t="s">
        <v>336</v>
      </c>
      <c r="G2518" s="3" t="n">
        <v>3</v>
      </c>
      <c r="H2518" s="3" t="n">
        <v>12</v>
      </c>
      <c r="I2518" s="22" t="n">
        <v>41794</v>
      </c>
      <c r="J2518" s="22" t="n">
        <v>41799</v>
      </c>
      <c r="K2518" s="43" t="n">
        <f aca="false">J2518-I2518</f>
        <v>5</v>
      </c>
      <c r="L2518" s="1" t="n">
        <v>5</v>
      </c>
      <c r="M2518" s="3" t="s">
        <v>48</v>
      </c>
      <c r="N2518" s="3" t="s">
        <v>122</v>
      </c>
      <c r="O2518" s="3" t="s">
        <v>123</v>
      </c>
      <c r="P2518" s="2" t="str">
        <f aca="false">CONCATENATE(N2518," ",O2518)</f>
        <v>Xerolycosa nemoralis</v>
      </c>
      <c r="Q2518" s="1" t="s">
        <v>30</v>
      </c>
      <c r="R2518" s="1" t="s">
        <v>31</v>
      </c>
      <c r="S2518" s="3" t="n">
        <v>3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f aca="false">SUM(S2518:T2518)</f>
        <v>3</v>
      </c>
      <c r="Z2518" s="3" t="n">
        <f aca="false">SUM(U2518:W2518)</f>
        <v>0</v>
      </c>
      <c r="AA2518" s="3" t="n">
        <f aca="false">SUM(S2518:X2518)</f>
        <v>3</v>
      </c>
      <c r="AB2518" s="11" t="n">
        <f aca="false">(AA2518/(K2518*L2518)*25)*4</f>
        <v>12</v>
      </c>
    </row>
    <row r="2519" customFormat="false" ht="14.25" hidden="false" customHeight="false" outlineLevel="0" collapsed="false">
      <c r="A2519" s="1" t="n">
        <v>2014</v>
      </c>
      <c r="B2519" s="7" t="s">
        <v>322</v>
      </c>
      <c r="C2519" s="7" t="n">
        <v>2</v>
      </c>
      <c r="D2519" s="7" t="s">
        <v>295</v>
      </c>
      <c r="E2519" s="7" t="s">
        <v>295</v>
      </c>
      <c r="F2519" s="3" t="s">
        <v>336</v>
      </c>
      <c r="G2519" s="3" t="n">
        <v>3</v>
      </c>
      <c r="H2519" s="3" t="n">
        <v>12</v>
      </c>
      <c r="I2519" s="22" t="n">
        <v>41794</v>
      </c>
      <c r="J2519" s="22" t="n">
        <v>41799</v>
      </c>
      <c r="K2519" s="43" t="n">
        <f aca="false">J2519-I2519</f>
        <v>5</v>
      </c>
      <c r="L2519" s="1" t="n">
        <v>5</v>
      </c>
      <c r="M2519" s="3" t="s">
        <v>48</v>
      </c>
      <c r="N2519" s="3" t="s">
        <v>49</v>
      </c>
      <c r="O2519" s="3" t="s">
        <v>119</v>
      </c>
      <c r="P2519" s="2" t="str">
        <f aca="false">CONCATENATE(N2519," ",O2519)</f>
        <v>Alopecosa sulzeri</v>
      </c>
      <c r="Q2519" s="1" t="s">
        <v>30</v>
      </c>
      <c r="R2519" s="1" t="s">
        <v>31</v>
      </c>
      <c r="S2519" s="3" t="n">
        <v>1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f aca="false">SUM(S2519:T2519)</f>
        <v>1</v>
      </c>
      <c r="Z2519" s="3" t="n">
        <f aca="false">SUM(U2519:W2519)</f>
        <v>0</v>
      </c>
      <c r="AA2519" s="3" t="n">
        <f aca="false">SUM(S2519:X2519)</f>
        <v>1</v>
      </c>
      <c r="AB2519" s="11" t="n">
        <f aca="false">(AA2519/(K2519*L2519)*25)*4</f>
        <v>4</v>
      </c>
    </row>
    <row r="2520" customFormat="false" ht="14.25" hidden="false" customHeight="false" outlineLevel="0" collapsed="false">
      <c r="A2520" s="1" t="n">
        <v>2014</v>
      </c>
      <c r="B2520" s="7" t="s">
        <v>322</v>
      </c>
      <c r="C2520" s="7" t="n">
        <v>2</v>
      </c>
      <c r="D2520" s="7" t="s">
        <v>295</v>
      </c>
      <c r="E2520" s="7" t="s">
        <v>295</v>
      </c>
      <c r="F2520" s="3" t="s">
        <v>336</v>
      </c>
      <c r="G2520" s="3" t="n">
        <v>3</v>
      </c>
      <c r="H2520" s="3" t="n">
        <v>12</v>
      </c>
      <c r="I2520" s="22" t="n">
        <v>41794</v>
      </c>
      <c r="J2520" s="22" t="n">
        <v>41799</v>
      </c>
      <c r="K2520" s="43" t="n">
        <f aca="false">J2520-I2520</f>
        <v>5</v>
      </c>
      <c r="L2520" s="1" t="n">
        <v>5</v>
      </c>
      <c r="M2520" s="3" t="s">
        <v>48</v>
      </c>
      <c r="N2520" s="3" t="s">
        <v>67</v>
      </c>
      <c r="O2520" s="3" t="s">
        <v>127</v>
      </c>
      <c r="P2520" s="2" t="str">
        <f aca="false">CONCATENATE(N2520," ",O2520)</f>
        <v>Pardosa lugubris</v>
      </c>
      <c r="Q2520" s="1" t="s">
        <v>30</v>
      </c>
      <c r="R2520" s="1" t="s">
        <v>35</v>
      </c>
      <c r="S2520" s="3" t="n">
        <v>0</v>
      </c>
      <c r="T2520" s="3" t="n">
        <v>1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f aca="false">SUM(S2520:T2520)</f>
        <v>1</v>
      </c>
      <c r="Z2520" s="3" t="n">
        <f aca="false">SUM(U2520:W2520)</f>
        <v>0</v>
      </c>
      <c r="AA2520" s="3" t="n">
        <f aca="false">SUM(S2520:X2520)</f>
        <v>1</v>
      </c>
      <c r="AB2520" s="11" t="n">
        <f aca="false">(AA2520/(K2520*L2520)*25)*4</f>
        <v>4</v>
      </c>
    </row>
    <row r="2521" customFormat="false" ht="14.25" hidden="false" customHeight="false" outlineLevel="0" collapsed="false">
      <c r="A2521" s="1" t="n">
        <v>2014</v>
      </c>
      <c r="B2521" s="7" t="s">
        <v>322</v>
      </c>
      <c r="C2521" s="7" t="n">
        <v>2</v>
      </c>
      <c r="D2521" s="7" t="s">
        <v>295</v>
      </c>
      <c r="E2521" s="7" t="s">
        <v>295</v>
      </c>
      <c r="F2521" s="3" t="s">
        <v>336</v>
      </c>
      <c r="G2521" s="3" t="n">
        <v>3</v>
      </c>
      <c r="H2521" s="3" t="n">
        <v>12</v>
      </c>
      <c r="I2521" s="22" t="n">
        <v>41794</v>
      </c>
      <c r="J2521" s="22" t="n">
        <v>41799</v>
      </c>
      <c r="K2521" s="43" t="n">
        <f aca="false">J2521-I2521</f>
        <v>5</v>
      </c>
      <c r="L2521" s="1" t="n">
        <v>5</v>
      </c>
      <c r="M2521" s="3" t="s">
        <v>226</v>
      </c>
      <c r="N2521" s="3" t="s">
        <v>65</v>
      </c>
      <c r="O2521" s="3" t="s">
        <v>123</v>
      </c>
      <c r="P2521" s="2" t="str">
        <f aca="false">CONCATENATE(N2521," ",O2521)</f>
        <v>Zora nemoralis</v>
      </c>
      <c r="Q2521" s="1" t="s">
        <v>30</v>
      </c>
      <c r="R2521" s="1" t="s">
        <v>31</v>
      </c>
      <c r="S2521" s="3" t="n">
        <v>1</v>
      </c>
      <c r="T2521" s="3" t="n">
        <v>0</v>
      </c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f aca="false">SUM(S2521:T2521)</f>
        <v>1</v>
      </c>
      <c r="Z2521" s="3" t="n">
        <f aca="false">SUM(U2521:W2521)</f>
        <v>0</v>
      </c>
      <c r="AA2521" s="3" t="n">
        <f aca="false">SUM(S2521:X2521)</f>
        <v>1</v>
      </c>
      <c r="AB2521" s="11" t="n">
        <f aca="false">(AA2521/(K2521*L2521)*25)*4</f>
        <v>4</v>
      </c>
    </row>
    <row r="2522" customFormat="false" ht="14.25" hidden="false" customHeight="false" outlineLevel="0" collapsed="false">
      <c r="A2522" s="1" t="n">
        <v>2014</v>
      </c>
      <c r="B2522" s="7" t="s">
        <v>322</v>
      </c>
      <c r="C2522" s="7" t="n">
        <v>2</v>
      </c>
      <c r="D2522" s="7" t="s">
        <v>295</v>
      </c>
      <c r="E2522" s="7" t="s">
        <v>295</v>
      </c>
      <c r="F2522" s="3" t="s">
        <v>336</v>
      </c>
      <c r="G2522" s="3" t="n">
        <v>3</v>
      </c>
      <c r="H2522" s="3" t="n">
        <v>12</v>
      </c>
      <c r="I2522" s="22" t="n">
        <v>41794</v>
      </c>
      <c r="J2522" s="22" t="n">
        <v>41799</v>
      </c>
      <c r="K2522" s="43" t="n">
        <f aca="false">J2522-I2522</f>
        <v>5</v>
      </c>
      <c r="L2522" s="1" t="n">
        <v>5</v>
      </c>
      <c r="M2522" s="3" t="s">
        <v>226</v>
      </c>
      <c r="N2522" s="3" t="s">
        <v>65</v>
      </c>
      <c r="O2522" s="3" t="s">
        <v>335</v>
      </c>
      <c r="P2522" s="2" t="str">
        <f aca="false">CONCATENATE(N2522," ",O2522)</f>
        <v>Zora spinimana</v>
      </c>
      <c r="Q2522" s="1" t="s">
        <v>30</v>
      </c>
      <c r="R2522" s="1" t="s">
        <v>35</v>
      </c>
      <c r="S2522" s="3" t="n">
        <v>0</v>
      </c>
      <c r="T2522" s="3" t="n">
        <v>1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f aca="false">SUM(S2522:T2522)</f>
        <v>1</v>
      </c>
      <c r="Z2522" s="3" t="n">
        <f aca="false">SUM(U2522:W2522)</f>
        <v>0</v>
      </c>
      <c r="AA2522" s="3" t="n">
        <f aca="false">SUM(S2522:X2522)</f>
        <v>1</v>
      </c>
      <c r="AB2522" s="11" t="n">
        <f aca="false">(AA2522/(K2522*L2522)*25)*4</f>
        <v>4</v>
      </c>
    </row>
    <row r="2523" customFormat="false" ht="14.25" hidden="false" customHeight="false" outlineLevel="0" collapsed="false">
      <c r="A2523" s="1" t="n">
        <v>2014</v>
      </c>
      <c r="B2523" s="7" t="s">
        <v>322</v>
      </c>
      <c r="C2523" s="7" t="n">
        <v>2</v>
      </c>
      <c r="D2523" s="7" t="s">
        <v>295</v>
      </c>
      <c r="E2523" s="7" t="s">
        <v>295</v>
      </c>
      <c r="F2523" s="3" t="s">
        <v>336</v>
      </c>
      <c r="G2523" s="3" t="n">
        <v>3</v>
      </c>
      <c r="H2523" s="3" t="n">
        <v>12</v>
      </c>
      <c r="I2523" s="22" t="n">
        <v>41794</v>
      </c>
      <c r="J2523" s="22" t="n">
        <v>41799</v>
      </c>
      <c r="K2523" s="43" t="n">
        <f aca="false">J2523-I2523</f>
        <v>5</v>
      </c>
      <c r="L2523" s="1" t="n">
        <v>5</v>
      </c>
      <c r="M2523" s="3" t="s">
        <v>27</v>
      </c>
      <c r="N2523" s="3" t="s">
        <v>46</v>
      </c>
      <c r="O2523" s="3" t="s">
        <v>47</v>
      </c>
      <c r="P2523" s="2" t="str">
        <f aca="false">CONCATENATE(N2523," ",O2523)</f>
        <v>Euryopis flavomaculata</v>
      </c>
      <c r="Q2523" s="1" t="s">
        <v>30</v>
      </c>
      <c r="R2523" s="1" t="s">
        <v>31</v>
      </c>
      <c r="S2523" s="3" t="n">
        <v>1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f aca="false">SUM(S2523:T2523)</f>
        <v>1</v>
      </c>
      <c r="Z2523" s="3" t="n">
        <f aca="false">SUM(U2523:W2523)</f>
        <v>0</v>
      </c>
      <c r="AA2523" s="3" t="n">
        <f aca="false">SUM(S2523:X2523)</f>
        <v>1</v>
      </c>
      <c r="AB2523" s="11" t="n">
        <f aca="false">(AA2523/(K2523*L2523)*25)*4</f>
        <v>4</v>
      </c>
    </row>
    <row r="2524" customFormat="false" ht="14.25" hidden="false" customHeight="false" outlineLevel="0" collapsed="false">
      <c r="A2524" s="1" t="n">
        <v>2014</v>
      </c>
      <c r="B2524" s="7" t="s">
        <v>322</v>
      </c>
      <c r="C2524" s="7" t="n">
        <v>2</v>
      </c>
      <c r="D2524" s="7" t="s">
        <v>295</v>
      </c>
      <c r="E2524" s="7" t="s">
        <v>295</v>
      </c>
      <c r="F2524" s="3" t="s">
        <v>336</v>
      </c>
      <c r="G2524" s="3" t="n">
        <v>3</v>
      </c>
      <c r="H2524" s="3" t="n">
        <v>12</v>
      </c>
      <c r="I2524" s="22" t="n">
        <v>41794</v>
      </c>
      <c r="J2524" s="22" t="n">
        <v>41799</v>
      </c>
      <c r="K2524" s="43" t="n">
        <f aca="false">J2524-I2524</f>
        <v>5</v>
      </c>
      <c r="L2524" s="1" t="n">
        <v>5</v>
      </c>
      <c r="M2524" s="3" t="s">
        <v>32</v>
      </c>
      <c r="N2524" s="3" t="s">
        <v>174</v>
      </c>
      <c r="O2524" s="3" t="s">
        <v>175</v>
      </c>
      <c r="P2524" s="2" t="str">
        <f aca="false">CONCATENATE(N2524," ",O2524)</f>
        <v>Neriene clathrata</v>
      </c>
      <c r="Q2524" s="1" t="s">
        <v>30</v>
      </c>
      <c r="R2524" s="1" t="s">
        <v>35</v>
      </c>
      <c r="S2524" s="3" t="n">
        <v>0</v>
      </c>
      <c r="T2524" s="3" t="n">
        <v>1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f aca="false">SUM(S2524:T2524)</f>
        <v>1</v>
      </c>
      <c r="Z2524" s="3" t="n">
        <f aca="false">SUM(U2524:W2524)</f>
        <v>0</v>
      </c>
      <c r="AA2524" s="3" t="n">
        <f aca="false">SUM(S2524:X2524)</f>
        <v>1</v>
      </c>
      <c r="AB2524" s="11" t="n">
        <f aca="false">(AA2524/(K2524*L2524)*25)*4</f>
        <v>4</v>
      </c>
    </row>
    <row r="2525" customFormat="false" ht="14.25" hidden="false" customHeight="false" outlineLevel="0" collapsed="false">
      <c r="A2525" s="1" t="n">
        <v>2014</v>
      </c>
      <c r="B2525" s="7" t="s">
        <v>322</v>
      </c>
      <c r="C2525" s="7" t="n">
        <v>2</v>
      </c>
      <c r="D2525" s="7" t="s">
        <v>295</v>
      </c>
      <c r="E2525" s="7" t="s">
        <v>295</v>
      </c>
      <c r="F2525" s="3" t="s">
        <v>336</v>
      </c>
      <c r="G2525" s="3" t="n">
        <v>3</v>
      </c>
      <c r="H2525" s="3" t="n">
        <v>12</v>
      </c>
      <c r="I2525" s="22" t="n">
        <v>41794</v>
      </c>
      <c r="J2525" s="22" t="n">
        <v>41799</v>
      </c>
      <c r="K2525" s="43" t="n">
        <f aca="false">J2525-I2525</f>
        <v>5</v>
      </c>
      <c r="L2525" s="1" t="n">
        <v>5</v>
      </c>
      <c r="M2525" s="3" t="s">
        <v>92</v>
      </c>
      <c r="N2525" s="3" t="s">
        <v>231</v>
      </c>
      <c r="O2525" s="3" t="s">
        <v>146</v>
      </c>
      <c r="P2525" s="2" t="str">
        <f aca="false">CONCATENATE(N2525," ",O2525)</f>
        <v>Asianellus festivus</v>
      </c>
      <c r="Q2525" s="1" t="s">
        <v>30</v>
      </c>
      <c r="R2525" s="1" t="s">
        <v>31</v>
      </c>
      <c r="S2525" s="3" t="n">
        <v>1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f aca="false">SUM(S2525:T2525)</f>
        <v>1</v>
      </c>
      <c r="Z2525" s="3" t="n">
        <f aca="false">SUM(U2525:W2525)</f>
        <v>0</v>
      </c>
      <c r="AA2525" s="3" t="n">
        <f aca="false">SUM(S2525:X2525)</f>
        <v>1</v>
      </c>
      <c r="AB2525" s="11" t="n">
        <f aca="false">(AA2525/(K2525*L2525)*25)*4</f>
        <v>4</v>
      </c>
    </row>
    <row r="2526" customFormat="false" ht="14.25" hidden="false" customHeight="false" outlineLevel="0" collapsed="false">
      <c r="A2526" s="1" t="n">
        <v>2014</v>
      </c>
      <c r="B2526" s="7" t="s">
        <v>322</v>
      </c>
      <c r="C2526" s="7" t="n">
        <v>2</v>
      </c>
      <c r="D2526" s="7" t="s">
        <v>295</v>
      </c>
      <c r="E2526" s="7" t="s">
        <v>295</v>
      </c>
      <c r="F2526" s="3" t="s">
        <v>336</v>
      </c>
      <c r="G2526" s="3" t="n">
        <v>3</v>
      </c>
      <c r="H2526" s="3" t="n">
        <v>15</v>
      </c>
      <c r="I2526" s="22" t="n">
        <v>41794</v>
      </c>
      <c r="J2526" s="22" t="n">
        <v>41799</v>
      </c>
      <c r="K2526" s="43" t="n">
        <f aca="false">J2526-I2526</f>
        <v>5</v>
      </c>
      <c r="L2526" s="1" t="n">
        <v>5</v>
      </c>
      <c r="M2526" s="3" t="s">
        <v>48</v>
      </c>
      <c r="N2526" s="3" t="s">
        <v>122</v>
      </c>
      <c r="O2526" s="3" t="s">
        <v>123</v>
      </c>
      <c r="P2526" s="2" t="str">
        <f aca="false">CONCATENATE(N2526," ",O2526)</f>
        <v>Xerolycosa nemoralis</v>
      </c>
      <c r="Q2526" s="1" t="s">
        <v>30</v>
      </c>
      <c r="R2526" s="1" t="s">
        <v>31</v>
      </c>
      <c r="S2526" s="3" t="n">
        <v>9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f aca="false">SUM(S2526:T2526)</f>
        <v>9</v>
      </c>
      <c r="Z2526" s="3" t="n">
        <f aca="false">SUM(U2526:W2526)</f>
        <v>0</v>
      </c>
      <c r="AA2526" s="3" t="n">
        <f aca="false">SUM(S2526:X2526)</f>
        <v>9</v>
      </c>
      <c r="AB2526" s="11" t="n">
        <f aca="false">(AA2526/(K2526*L2526)*25)*4</f>
        <v>36</v>
      </c>
    </row>
    <row r="2527" customFormat="false" ht="14.25" hidden="false" customHeight="false" outlineLevel="0" collapsed="false">
      <c r="A2527" s="1" t="n">
        <v>2014</v>
      </c>
      <c r="B2527" s="7" t="s">
        <v>322</v>
      </c>
      <c r="C2527" s="7" t="n">
        <v>2</v>
      </c>
      <c r="D2527" s="7" t="s">
        <v>295</v>
      </c>
      <c r="E2527" s="7" t="s">
        <v>295</v>
      </c>
      <c r="F2527" s="3" t="s">
        <v>336</v>
      </c>
      <c r="G2527" s="3" t="n">
        <v>3</v>
      </c>
      <c r="H2527" s="3" t="n">
        <v>15</v>
      </c>
      <c r="I2527" s="22" t="n">
        <v>41794</v>
      </c>
      <c r="J2527" s="22" t="n">
        <v>41799</v>
      </c>
      <c r="K2527" s="43" t="n">
        <f aca="false">J2527-I2527</f>
        <v>5</v>
      </c>
      <c r="L2527" s="1" t="n">
        <v>5</v>
      </c>
      <c r="M2527" s="3" t="s">
        <v>36</v>
      </c>
      <c r="N2527" s="3" t="s">
        <v>256</v>
      </c>
      <c r="O2527" s="3" t="s">
        <v>257</v>
      </c>
      <c r="P2527" s="2" t="str">
        <f aca="false">CONCATENATE(N2527," ",O2527)</f>
        <v>Bassaniodes robustus</v>
      </c>
      <c r="Q2527" s="1" t="s">
        <v>30</v>
      </c>
      <c r="R2527" s="1" t="s">
        <v>31</v>
      </c>
      <c r="S2527" s="3" t="n">
        <v>1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f aca="false">SUM(S2527:T2527)</f>
        <v>1</v>
      </c>
      <c r="Z2527" s="3" t="n">
        <f aca="false">SUM(U2527:W2527)</f>
        <v>0</v>
      </c>
      <c r="AA2527" s="3" t="n">
        <f aca="false">SUM(S2527:X2527)</f>
        <v>1</v>
      </c>
      <c r="AB2527" s="11" t="n">
        <f aca="false">(AA2527/(K2527*L2527)*25)*4</f>
        <v>4</v>
      </c>
    </row>
    <row r="2528" customFormat="false" ht="14.25" hidden="false" customHeight="false" outlineLevel="0" collapsed="false">
      <c r="A2528" s="1" t="n">
        <v>2014</v>
      </c>
      <c r="B2528" s="7" t="s">
        <v>322</v>
      </c>
      <c r="C2528" s="7" t="n">
        <v>2</v>
      </c>
      <c r="D2528" s="7" t="s">
        <v>295</v>
      </c>
      <c r="E2528" s="7" t="s">
        <v>295</v>
      </c>
      <c r="F2528" s="3" t="s">
        <v>336</v>
      </c>
      <c r="G2528" s="3" t="n">
        <v>3</v>
      </c>
      <c r="H2528" s="3" t="n">
        <v>15</v>
      </c>
      <c r="I2528" s="22" t="n">
        <v>41794</v>
      </c>
      <c r="J2528" s="22" t="n">
        <v>41799</v>
      </c>
      <c r="K2528" s="43" t="n">
        <f aca="false">J2528-I2528</f>
        <v>5</v>
      </c>
      <c r="L2528" s="1" t="n">
        <v>5</v>
      </c>
      <c r="M2528" s="3" t="s">
        <v>135</v>
      </c>
      <c r="N2528" s="3" t="s">
        <v>136</v>
      </c>
      <c r="O2528" s="3" t="s">
        <v>137</v>
      </c>
      <c r="P2528" s="2" t="str">
        <f aca="false">CONCATENATE(N2528," ",O2528)</f>
        <v>Thanatus sabulosus</v>
      </c>
      <c r="Q2528" s="1" t="s">
        <v>30</v>
      </c>
      <c r="R2528" s="1" t="s">
        <v>31</v>
      </c>
      <c r="S2528" s="3" t="n">
        <v>1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f aca="false">SUM(S2528:T2528)</f>
        <v>1</v>
      </c>
      <c r="Z2528" s="3" t="n">
        <f aca="false">SUM(U2528:W2528)</f>
        <v>0</v>
      </c>
      <c r="AA2528" s="3" t="n">
        <f aca="false">SUM(S2528:X2528)</f>
        <v>1</v>
      </c>
      <c r="AB2528" s="11" t="n">
        <f aca="false">(AA2528/(K2528*L2528)*25)*4</f>
        <v>4</v>
      </c>
    </row>
    <row r="2529" customFormat="false" ht="14.25" hidden="false" customHeight="false" outlineLevel="0" collapsed="false">
      <c r="A2529" s="1" t="n">
        <v>2014</v>
      </c>
      <c r="B2529" s="7" t="s">
        <v>322</v>
      </c>
      <c r="C2529" s="7" t="n">
        <v>2</v>
      </c>
      <c r="D2529" s="7" t="s">
        <v>295</v>
      </c>
      <c r="E2529" s="7" t="s">
        <v>295</v>
      </c>
      <c r="F2529" s="3" t="s">
        <v>336</v>
      </c>
      <c r="G2529" s="3" t="n">
        <v>3</v>
      </c>
      <c r="H2529" s="3" t="n">
        <v>15</v>
      </c>
      <c r="I2529" s="22" t="n">
        <v>41794</v>
      </c>
      <c r="J2529" s="22" t="n">
        <v>41799</v>
      </c>
      <c r="K2529" s="43" t="n">
        <f aca="false">J2529-I2529</f>
        <v>5</v>
      </c>
      <c r="L2529" s="1" t="n">
        <v>5</v>
      </c>
      <c r="M2529" s="3" t="s">
        <v>27</v>
      </c>
      <c r="N2529" s="3" t="s">
        <v>46</v>
      </c>
      <c r="O2529" s="3" t="s">
        <v>47</v>
      </c>
      <c r="P2529" s="2" t="str">
        <f aca="false">CONCATENATE(N2529," ",O2529)</f>
        <v>Euryopis flavomaculata</v>
      </c>
      <c r="Q2529" s="1" t="s">
        <v>30</v>
      </c>
      <c r="R2529" s="1" t="s">
        <v>31</v>
      </c>
      <c r="S2529" s="3" t="n">
        <v>1</v>
      </c>
      <c r="T2529" s="3" t="n">
        <v>0</v>
      </c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f aca="false">SUM(S2529:T2529)</f>
        <v>1</v>
      </c>
      <c r="Z2529" s="3" t="n">
        <f aca="false">SUM(U2529:W2529)</f>
        <v>0</v>
      </c>
      <c r="AA2529" s="3" t="n">
        <f aca="false">SUM(S2529:X2529)</f>
        <v>1</v>
      </c>
      <c r="AB2529" s="11" t="n">
        <f aca="false">(AA2529/(K2529*L2529)*25)*4</f>
        <v>4</v>
      </c>
    </row>
    <row r="2530" customFormat="false" ht="14.25" hidden="false" customHeight="false" outlineLevel="0" collapsed="false">
      <c r="A2530" s="1" t="n">
        <v>2014</v>
      </c>
      <c r="B2530" s="7" t="s">
        <v>322</v>
      </c>
      <c r="C2530" s="7" t="n">
        <v>2</v>
      </c>
      <c r="D2530" s="7" t="s">
        <v>295</v>
      </c>
      <c r="E2530" s="7" t="s">
        <v>295</v>
      </c>
      <c r="F2530" s="3" t="s">
        <v>336</v>
      </c>
      <c r="G2530" s="3" t="n">
        <v>3</v>
      </c>
      <c r="H2530" s="3" t="n">
        <v>15</v>
      </c>
      <c r="I2530" s="22" t="n">
        <v>41794</v>
      </c>
      <c r="J2530" s="22" t="n">
        <v>41799</v>
      </c>
      <c r="K2530" s="43" t="n">
        <f aca="false">J2530-I2530</f>
        <v>5</v>
      </c>
      <c r="L2530" s="1" t="n">
        <v>5</v>
      </c>
      <c r="M2530" s="3" t="s">
        <v>72</v>
      </c>
      <c r="N2530" s="3" t="s">
        <v>152</v>
      </c>
      <c r="O2530" s="3" t="s">
        <v>153</v>
      </c>
      <c r="P2530" s="2" t="str">
        <f aca="false">CONCATENATE(N2530," ",O2530)</f>
        <v>Callilepis nocturna</v>
      </c>
      <c r="Q2530" s="1" t="s">
        <v>30</v>
      </c>
      <c r="R2530" s="1" t="s">
        <v>31</v>
      </c>
      <c r="S2530" s="3" t="n">
        <v>1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f aca="false">SUM(S2530:T2530)</f>
        <v>1</v>
      </c>
      <c r="Z2530" s="3" t="n">
        <f aca="false">SUM(U2530:W2530)</f>
        <v>0</v>
      </c>
      <c r="AA2530" s="3" t="n">
        <f aca="false">SUM(S2530:X2530)</f>
        <v>1</v>
      </c>
      <c r="AB2530" s="11" t="n">
        <f aca="false">(AA2530/(K2530*L2530)*25)*4</f>
        <v>4</v>
      </c>
    </row>
    <row r="2531" customFormat="false" ht="14.25" hidden="false" customHeight="false" outlineLevel="0" collapsed="false">
      <c r="A2531" s="1" t="n">
        <v>2014</v>
      </c>
      <c r="B2531" s="7" t="s">
        <v>322</v>
      </c>
      <c r="C2531" s="7" t="n">
        <v>2</v>
      </c>
      <c r="D2531" s="7" t="s">
        <v>295</v>
      </c>
      <c r="E2531" s="7" t="s">
        <v>295</v>
      </c>
      <c r="F2531" s="3" t="s">
        <v>336</v>
      </c>
      <c r="G2531" s="3" t="n">
        <v>3</v>
      </c>
      <c r="H2531" s="3" t="n">
        <v>15</v>
      </c>
      <c r="I2531" s="22" t="n">
        <v>41794</v>
      </c>
      <c r="J2531" s="22" t="n">
        <v>41799</v>
      </c>
      <c r="K2531" s="43" t="n">
        <f aca="false">J2531-I2531</f>
        <v>5</v>
      </c>
      <c r="L2531" s="1" t="n">
        <v>5</v>
      </c>
      <c r="M2531" s="3" t="s">
        <v>72</v>
      </c>
      <c r="N2531" s="3" t="s">
        <v>242</v>
      </c>
      <c r="O2531" s="3" t="s">
        <v>166</v>
      </c>
      <c r="P2531" s="2" t="str">
        <f aca="false">CONCATENATE(N2531," ",O2531)</f>
        <v>Drassyllus pusillus</v>
      </c>
      <c r="Q2531" s="1" t="s">
        <v>30</v>
      </c>
      <c r="R2531" s="1" t="s">
        <v>31</v>
      </c>
      <c r="S2531" s="3" t="n">
        <v>1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f aca="false">SUM(S2531:T2531)</f>
        <v>1</v>
      </c>
      <c r="Z2531" s="3" t="n">
        <f aca="false">SUM(U2531:W2531)</f>
        <v>0</v>
      </c>
      <c r="AA2531" s="3" t="n">
        <f aca="false">SUM(S2531:X2531)</f>
        <v>1</v>
      </c>
      <c r="AB2531" s="11" t="n">
        <f aca="false">(AA2531/(K2531*L2531)*25)*4</f>
        <v>4</v>
      </c>
    </row>
    <row r="2532" customFormat="false" ht="14.25" hidden="false" customHeight="false" outlineLevel="0" collapsed="false">
      <c r="A2532" s="1" t="n">
        <v>2014</v>
      </c>
      <c r="B2532" s="7" t="s">
        <v>322</v>
      </c>
      <c r="C2532" s="7" t="n">
        <v>2</v>
      </c>
      <c r="D2532" s="7" t="s">
        <v>295</v>
      </c>
      <c r="E2532" s="7" t="s">
        <v>295</v>
      </c>
      <c r="F2532" s="3" t="s">
        <v>336</v>
      </c>
      <c r="G2532" s="3" t="n">
        <v>2</v>
      </c>
      <c r="H2532" s="3" t="n">
        <v>10</v>
      </c>
      <c r="I2532" s="22" t="n">
        <v>41794</v>
      </c>
      <c r="J2532" s="22" t="n">
        <v>41799</v>
      </c>
      <c r="K2532" s="43" t="n">
        <f aca="false">J2532-I2532</f>
        <v>5</v>
      </c>
      <c r="L2532" s="1" t="n">
        <v>5</v>
      </c>
      <c r="M2532" s="3" t="s">
        <v>48</v>
      </c>
      <c r="N2532" s="3" t="s">
        <v>49</v>
      </c>
      <c r="O2532" s="3" t="s">
        <v>130</v>
      </c>
      <c r="P2532" s="2" t="str">
        <f aca="false">CONCATENATE(N2532," ",O2532)</f>
        <v>Alopecosa aculeata</v>
      </c>
      <c r="Q2532" s="1" t="s">
        <v>30</v>
      </c>
      <c r="R2532" s="1" t="s">
        <v>35</v>
      </c>
      <c r="S2532" s="3" t="n">
        <v>0</v>
      </c>
      <c r="T2532" s="3" t="n">
        <v>2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f aca="false">SUM(S2532:T2532)</f>
        <v>2</v>
      </c>
      <c r="Z2532" s="3" t="n">
        <f aca="false">SUM(U2532:W2532)</f>
        <v>0</v>
      </c>
      <c r="AA2532" s="3" t="n">
        <f aca="false">SUM(S2532:X2532)</f>
        <v>2</v>
      </c>
      <c r="AB2532" s="11" t="n">
        <f aca="false">(AA2532/(K2532*L2532)*25)*4</f>
        <v>8</v>
      </c>
    </row>
    <row r="2533" customFormat="false" ht="14.25" hidden="false" customHeight="false" outlineLevel="0" collapsed="false">
      <c r="A2533" s="1" t="n">
        <v>2014</v>
      </c>
      <c r="B2533" s="7" t="s">
        <v>322</v>
      </c>
      <c r="C2533" s="7" t="n">
        <v>2</v>
      </c>
      <c r="D2533" s="7" t="s">
        <v>295</v>
      </c>
      <c r="E2533" s="7" t="s">
        <v>295</v>
      </c>
      <c r="F2533" s="3" t="s">
        <v>336</v>
      </c>
      <c r="G2533" s="3" t="n">
        <v>2</v>
      </c>
      <c r="H2533" s="3" t="n">
        <v>10</v>
      </c>
      <c r="I2533" s="22" t="n">
        <v>41794</v>
      </c>
      <c r="J2533" s="22" t="n">
        <v>41799</v>
      </c>
      <c r="K2533" s="43" t="n">
        <f aca="false">J2533-I2533</f>
        <v>5</v>
      </c>
      <c r="L2533" s="1" t="n">
        <v>5</v>
      </c>
      <c r="M2533" s="3" t="s">
        <v>48</v>
      </c>
      <c r="N2533" s="3" t="s">
        <v>122</v>
      </c>
      <c r="O2533" s="3" t="s">
        <v>123</v>
      </c>
      <c r="P2533" s="2" t="str">
        <f aca="false">CONCATENATE(N2533," ",O2533)</f>
        <v>Xerolycosa nemoralis</v>
      </c>
      <c r="Q2533" s="1" t="s">
        <v>30</v>
      </c>
      <c r="R2533" s="1" t="s">
        <v>31</v>
      </c>
      <c r="S2533" s="3" t="n">
        <v>2</v>
      </c>
      <c r="T2533" s="3" t="n">
        <v>0</v>
      </c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f aca="false">SUM(S2533:T2533)</f>
        <v>2</v>
      </c>
      <c r="Z2533" s="3" t="n">
        <f aca="false">SUM(U2533:W2533)</f>
        <v>0</v>
      </c>
      <c r="AA2533" s="3" t="n">
        <f aca="false">SUM(S2533:X2533)</f>
        <v>2</v>
      </c>
      <c r="AB2533" s="11" t="n">
        <f aca="false">(AA2533/(K2533*L2533)*25)*4</f>
        <v>8</v>
      </c>
    </row>
    <row r="2534" customFormat="false" ht="14.25" hidden="false" customHeight="false" outlineLevel="0" collapsed="false">
      <c r="A2534" s="1" t="n">
        <v>2014</v>
      </c>
      <c r="B2534" s="7" t="s">
        <v>322</v>
      </c>
      <c r="C2534" s="7" t="n">
        <v>2</v>
      </c>
      <c r="D2534" s="7" t="s">
        <v>295</v>
      </c>
      <c r="E2534" s="7" t="s">
        <v>295</v>
      </c>
      <c r="F2534" s="3" t="s">
        <v>336</v>
      </c>
      <c r="G2534" s="3" t="n">
        <v>2</v>
      </c>
      <c r="H2534" s="3" t="n">
        <v>10</v>
      </c>
      <c r="I2534" s="22" t="n">
        <v>41794</v>
      </c>
      <c r="J2534" s="22" t="n">
        <v>41799</v>
      </c>
      <c r="K2534" s="43" t="n">
        <f aca="false">J2534-I2534</f>
        <v>5</v>
      </c>
      <c r="L2534" s="1" t="n">
        <v>5</v>
      </c>
      <c r="M2534" s="3" t="s">
        <v>48</v>
      </c>
      <c r="N2534" s="3" t="s">
        <v>67</v>
      </c>
      <c r="O2534" s="3" t="s">
        <v>267</v>
      </c>
      <c r="P2534" s="2" t="str">
        <f aca="false">CONCATENATE(N2534," ",O2534)</f>
        <v>Pardosa femoralis</v>
      </c>
      <c r="Q2534" s="1" t="s">
        <v>30</v>
      </c>
      <c r="R2534" s="1" t="s">
        <v>31</v>
      </c>
      <c r="S2534" s="3" t="n">
        <v>1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f aca="false">SUM(S2534:T2534)</f>
        <v>1</v>
      </c>
      <c r="Z2534" s="3" t="n">
        <f aca="false">SUM(U2534:W2534)</f>
        <v>0</v>
      </c>
      <c r="AA2534" s="3" t="n">
        <f aca="false">SUM(S2534:X2534)</f>
        <v>1</v>
      </c>
      <c r="AB2534" s="11" t="n">
        <f aca="false">(AA2534/(K2534*L2534)*25)*4</f>
        <v>4</v>
      </c>
    </row>
    <row r="2535" customFormat="false" ht="14.25" hidden="false" customHeight="false" outlineLevel="0" collapsed="false">
      <c r="A2535" s="1" t="n">
        <v>2014</v>
      </c>
      <c r="B2535" s="7" t="s">
        <v>322</v>
      </c>
      <c r="C2535" s="7" t="n">
        <v>2</v>
      </c>
      <c r="D2535" s="7" t="s">
        <v>295</v>
      </c>
      <c r="E2535" s="7" t="s">
        <v>295</v>
      </c>
      <c r="F2535" s="3" t="s">
        <v>336</v>
      </c>
      <c r="G2535" s="3" t="n">
        <v>2</v>
      </c>
      <c r="H2535" s="3" t="n">
        <v>10</v>
      </c>
      <c r="I2535" s="22" t="n">
        <v>41794</v>
      </c>
      <c r="J2535" s="22" t="n">
        <v>41799</v>
      </c>
      <c r="K2535" s="43" t="n">
        <f aca="false">J2535-I2535</f>
        <v>5</v>
      </c>
      <c r="L2535" s="1" t="n">
        <v>5</v>
      </c>
      <c r="M2535" s="3" t="s">
        <v>135</v>
      </c>
      <c r="N2535" s="3" t="s">
        <v>136</v>
      </c>
      <c r="O2535" s="3" t="s">
        <v>137</v>
      </c>
      <c r="P2535" s="2" t="str">
        <f aca="false">CONCATENATE(N2535," ",O2535)</f>
        <v>Thanatus sabulosus</v>
      </c>
      <c r="Q2535" s="1" t="s">
        <v>30</v>
      </c>
      <c r="R2535" s="1" t="s">
        <v>31</v>
      </c>
      <c r="S2535" s="3" t="n">
        <v>1</v>
      </c>
      <c r="T2535" s="3" t="n">
        <v>0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f aca="false">SUM(S2535:T2535)</f>
        <v>1</v>
      </c>
      <c r="Z2535" s="3" t="n">
        <f aca="false">SUM(U2535:W2535)</f>
        <v>0</v>
      </c>
      <c r="AA2535" s="3" t="n">
        <f aca="false">SUM(S2535:X2535)</f>
        <v>1</v>
      </c>
      <c r="AB2535" s="11" t="n">
        <f aca="false">(AA2535/(K2535*L2535)*25)*4</f>
        <v>4</v>
      </c>
    </row>
    <row r="2536" customFormat="false" ht="14.25" hidden="false" customHeight="false" outlineLevel="0" collapsed="false">
      <c r="A2536" s="1" t="n">
        <v>2014</v>
      </c>
      <c r="B2536" s="7" t="s">
        <v>322</v>
      </c>
      <c r="C2536" s="7" t="n">
        <v>2</v>
      </c>
      <c r="D2536" s="7" t="s">
        <v>295</v>
      </c>
      <c r="E2536" s="7" t="s">
        <v>295</v>
      </c>
      <c r="F2536" s="3" t="s">
        <v>336</v>
      </c>
      <c r="G2536" s="3" t="n">
        <v>2</v>
      </c>
      <c r="H2536" s="3" t="n">
        <v>6</v>
      </c>
      <c r="I2536" s="22" t="n">
        <v>41794</v>
      </c>
      <c r="J2536" s="22" t="n">
        <v>41799</v>
      </c>
      <c r="K2536" s="43" t="n">
        <f aca="false">J2536-I2536</f>
        <v>5</v>
      </c>
      <c r="L2536" s="1" t="n">
        <v>5</v>
      </c>
      <c r="M2536" s="3" t="s">
        <v>48</v>
      </c>
      <c r="N2536" s="3" t="s">
        <v>49</v>
      </c>
      <c r="O2536" s="3" t="s">
        <v>130</v>
      </c>
      <c r="P2536" s="2" t="str">
        <f aca="false">CONCATENATE(N2536," ",O2536)</f>
        <v>Alopecosa aculeata</v>
      </c>
      <c r="Q2536" s="1" t="s">
        <v>30</v>
      </c>
      <c r="R2536" s="1" t="s">
        <v>31</v>
      </c>
      <c r="S2536" s="3" t="n">
        <v>1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f aca="false">SUM(S2536:T2536)</f>
        <v>1</v>
      </c>
      <c r="Z2536" s="3" t="n">
        <f aca="false">SUM(U2536:W2536)</f>
        <v>0</v>
      </c>
      <c r="AA2536" s="3" t="n">
        <f aca="false">SUM(S2536:X2536)</f>
        <v>1</v>
      </c>
      <c r="AB2536" s="11" t="n">
        <f aca="false">(AA2536/(K2536*L2536)*25)*4</f>
        <v>4</v>
      </c>
    </row>
    <row r="2537" customFormat="false" ht="14.25" hidden="false" customHeight="false" outlineLevel="0" collapsed="false">
      <c r="A2537" s="1" t="n">
        <v>2014</v>
      </c>
      <c r="B2537" s="7" t="s">
        <v>322</v>
      </c>
      <c r="C2537" s="7" t="n">
        <v>2</v>
      </c>
      <c r="D2537" s="7" t="s">
        <v>295</v>
      </c>
      <c r="E2537" s="7" t="s">
        <v>295</v>
      </c>
      <c r="F2537" s="3" t="s">
        <v>336</v>
      </c>
      <c r="G2537" s="3" t="n">
        <v>2</v>
      </c>
      <c r="H2537" s="3" t="n">
        <v>6</v>
      </c>
      <c r="I2537" s="22" t="n">
        <v>41794</v>
      </c>
      <c r="J2537" s="22" t="n">
        <v>41799</v>
      </c>
      <c r="K2537" s="43" t="n">
        <f aca="false">J2537-I2537</f>
        <v>5</v>
      </c>
      <c r="L2537" s="1" t="n">
        <v>5</v>
      </c>
      <c r="M2537" s="3" t="s">
        <v>48</v>
      </c>
      <c r="N2537" s="3" t="s">
        <v>122</v>
      </c>
      <c r="O2537" s="3" t="s">
        <v>123</v>
      </c>
      <c r="P2537" s="2" t="str">
        <f aca="false">CONCATENATE(N2537," ",O2537)</f>
        <v>Xerolycosa nemoralis</v>
      </c>
      <c r="Q2537" s="1" t="s">
        <v>30</v>
      </c>
      <c r="R2537" s="1" t="s">
        <v>31</v>
      </c>
      <c r="S2537" s="3" t="n">
        <v>3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f aca="false">SUM(S2537:T2537)</f>
        <v>3</v>
      </c>
      <c r="Z2537" s="3" t="n">
        <f aca="false">SUM(U2537:W2537)</f>
        <v>0</v>
      </c>
      <c r="AA2537" s="3" t="n">
        <f aca="false">SUM(S2537:X2537)</f>
        <v>3</v>
      </c>
      <c r="AB2537" s="11" t="n">
        <f aca="false">(AA2537/(K2537*L2537)*25)*4</f>
        <v>12</v>
      </c>
    </row>
    <row r="2538" customFormat="false" ht="14.25" hidden="false" customHeight="false" outlineLevel="0" collapsed="false">
      <c r="A2538" s="1" t="n">
        <v>2014</v>
      </c>
      <c r="B2538" s="7" t="s">
        <v>322</v>
      </c>
      <c r="C2538" s="7" t="n">
        <v>2</v>
      </c>
      <c r="D2538" s="7" t="s">
        <v>295</v>
      </c>
      <c r="E2538" s="7" t="s">
        <v>295</v>
      </c>
      <c r="F2538" s="3" t="s">
        <v>336</v>
      </c>
      <c r="G2538" s="3" t="n">
        <v>2</v>
      </c>
      <c r="H2538" s="3" t="n">
        <v>6</v>
      </c>
      <c r="I2538" s="22" t="n">
        <v>41794</v>
      </c>
      <c r="J2538" s="22" t="n">
        <v>41799</v>
      </c>
      <c r="K2538" s="43" t="n">
        <f aca="false">J2538-I2538</f>
        <v>5</v>
      </c>
      <c r="L2538" s="1" t="n">
        <v>5</v>
      </c>
      <c r="M2538" s="3" t="s">
        <v>48</v>
      </c>
      <c r="N2538" s="3" t="s">
        <v>122</v>
      </c>
      <c r="O2538" s="3" t="s">
        <v>123</v>
      </c>
      <c r="P2538" s="2" t="str">
        <f aca="false">CONCATENATE(N2538," ",O2538)</f>
        <v>Xerolycosa nemoralis</v>
      </c>
      <c r="Q2538" s="1" t="s">
        <v>30</v>
      </c>
      <c r="R2538" s="1" t="s">
        <v>35</v>
      </c>
      <c r="S2538" s="3" t="n">
        <v>0</v>
      </c>
      <c r="T2538" s="3" t="n">
        <v>1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f aca="false">SUM(S2538:T2538)</f>
        <v>1</v>
      </c>
      <c r="Z2538" s="3" t="n">
        <f aca="false">SUM(U2538:W2538)</f>
        <v>0</v>
      </c>
      <c r="AA2538" s="3" t="n">
        <f aca="false">SUM(S2538:X2538)</f>
        <v>1</v>
      </c>
      <c r="AB2538" s="11" t="n">
        <f aca="false">(AA2538/(K2538*L2538)*25)*4</f>
        <v>4</v>
      </c>
    </row>
    <row r="2539" customFormat="false" ht="14.25" hidden="false" customHeight="false" outlineLevel="0" collapsed="false">
      <c r="A2539" s="1" t="n">
        <v>2014</v>
      </c>
      <c r="B2539" s="7" t="s">
        <v>322</v>
      </c>
      <c r="C2539" s="7" t="n">
        <v>2</v>
      </c>
      <c r="D2539" s="7" t="s">
        <v>295</v>
      </c>
      <c r="E2539" s="7" t="s">
        <v>295</v>
      </c>
      <c r="F2539" s="3" t="s">
        <v>336</v>
      </c>
      <c r="G2539" s="3" t="n">
        <v>2</v>
      </c>
      <c r="H2539" s="3" t="n">
        <v>6</v>
      </c>
      <c r="I2539" s="22" t="n">
        <v>41794</v>
      </c>
      <c r="J2539" s="22" t="n">
        <v>41799</v>
      </c>
      <c r="K2539" s="43" t="n">
        <f aca="false">J2539-I2539</f>
        <v>5</v>
      </c>
      <c r="L2539" s="1" t="n">
        <v>5</v>
      </c>
      <c r="M2539" s="3" t="s">
        <v>72</v>
      </c>
      <c r="N2539" s="3" t="s">
        <v>152</v>
      </c>
      <c r="O2539" s="3" t="s">
        <v>153</v>
      </c>
      <c r="P2539" s="2" t="str">
        <f aca="false">CONCATENATE(N2539," ",O2539)</f>
        <v>Callilepis nocturna</v>
      </c>
      <c r="Q2539" s="1" t="s">
        <v>30</v>
      </c>
      <c r="R2539" s="1" t="s">
        <v>31</v>
      </c>
      <c r="S2539" s="3" t="n">
        <v>1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f aca="false">SUM(S2539:T2539)</f>
        <v>1</v>
      </c>
      <c r="Z2539" s="3" t="n">
        <f aca="false">SUM(U2539:W2539)</f>
        <v>0</v>
      </c>
      <c r="AA2539" s="3" t="n">
        <f aca="false">SUM(S2539:X2539)</f>
        <v>1</v>
      </c>
      <c r="AB2539" s="11" t="n">
        <f aca="false">(AA2539/(K2539*L2539)*25)*4</f>
        <v>4</v>
      </c>
    </row>
    <row r="2540" customFormat="false" ht="14.25" hidden="false" customHeight="false" outlineLevel="0" collapsed="false">
      <c r="A2540" s="1" t="n">
        <v>2014</v>
      </c>
      <c r="B2540" s="7" t="s">
        <v>322</v>
      </c>
      <c r="C2540" s="7" t="n">
        <v>2</v>
      </c>
      <c r="D2540" s="7" t="s">
        <v>295</v>
      </c>
      <c r="E2540" s="7" t="s">
        <v>295</v>
      </c>
      <c r="F2540" s="3" t="s">
        <v>336</v>
      </c>
      <c r="G2540" s="3" t="n">
        <v>2</v>
      </c>
      <c r="H2540" s="3" t="n">
        <v>6</v>
      </c>
      <c r="I2540" s="22" t="n">
        <v>41794</v>
      </c>
      <c r="J2540" s="22" t="n">
        <v>41799</v>
      </c>
      <c r="K2540" s="43" t="n">
        <f aca="false">J2540-I2540</f>
        <v>5</v>
      </c>
      <c r="L2540" s="1" t="n">
        <v>5</v>
      </c>
      <c r="M2540" s="3" t="s">
        <v>135</v>
      </c>
      <c r="N2540" s="3" t="s">
        <v>136</v>
      </c>
      <c r="O2540" s="3" t="s">
        <v>137</v>
      </c>
      <c r="P2540" s="2" t="str">
        <f aca="false">CONCATENATE(N2540," ",O2540)</f>
        <v>Thanatus sabulosus</v>
      </c>
      <c r="Q2540" s="1" t="s">
        <v>30</v>
      </c>
      <c r="R2540" s="1" t="s">
        <v>31</v>
      </c>
      <c r="S2540" s="3" t="n">
        <v>1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f aca="false">SUM(S2540:T2540)</f>
        <v>1</v>
      </c>
      <c r="Z2540" s="3" t="n">
        <f aca="false">SUM(U2540:W2540)</f>
        <v>0</v>
      </c>
      <c r="AA2540" s="3" t="n">
        <f aca="false">SUM(S2540:X2540)</f>
        <v>1</v>
      </c>
      <c r="AB2540" s="11" t="n">
        <f aca="false">(AA2540/(K2540*L2540)*25)*4</f>
        <v>4</v>
      </c>
    </row>
    <row r="2541" customFormat="false" ht="14.25" hidden="false" customHeight="false" outlineLevel="0" collapsed="false">
      <c r="A2541" s="1" t="n">
        <v>2014</v>
      </c>
      <c r="B2541" s="7" t="s">
        <v>322</v>
      </c>
      <c r="C2541" s="7" t="n">
        <v>2</v>
      </c>
      <c r="D2541" s="7" t="s">
        <v>295</v>
      </c>
      <c r="E2541" s="7" t="s">
        <v>295</v>
      </c>
      <c r="F2541" s="3" t="s">
        <v>336</v>
      </c>
      <c r="G2541" s="3" t="n">
        <v>2</v>
      </c>
      <c r="H2541" s="3" t="n">
        <v>10</v>
      </c>
      <c r="I2541" s="22" t="n">
        <v>41794</v>
      </c>
      <c r="J2541" s="22" t="n">
        <v>41799</v>
      </c>
      <c r="K2541" s="43" t="n">
        <f aca="false">J2541-I2541</f>
        <v>5</v>
      </c>
      <c r="L2541" s="1" t="n">
        <v>5</v>
      </c>
      <c r="M2541" s="3" t="s">
        <v>48</v>
      </c>
      <c r="N2541" s="3" t="s">
        <v>122</v>
      </c>
      <c r="O2541" s="3" t="s">
        <v>123</v>
      </c>
      <c r="P2541" s="2" t="str">
        <f aca="false">CONCATENATE(N2541," ",O2541)</f>
        <v>Xerolycosa nemoralis</v>
      </c>
      <c r="Q2541" s="1" t="s">
        <v>30</v>
      </c>
      <c r="R2541" s="1" t="s">
        <v>31</v>
      </c>
      <c r="S2541" s="3" t="n">
        <v>1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f aca="false">SUM(S2541:T2541)</f>
        <v>1</v>
      </c>
      <c r="Z2541" s="3" t="n">
        <f aca="false">SUM(U2541:W2541)</f>
        <v>0</v>
      </c>
      <c r="AA2541" s="3" t="n">
        <f aca="false">SUM(S2541:X2541)</f>
        <v>1</v>
      </c>
      <c r="AB2541" s="11" t="n">
        <f aca="false">(AA2541/(K2541*L2541)*25)*4</f>
        <v>4</v>
      </c>
    </row>
    <row r="2542" customFormat="false" ht="14.25" hidden="false" customHeight="false" outlineLevel="0" collapsed="false">
      <c r="A2542" s="1" t="n">
        <v>2014</v>
      </c>
      <c r="B2542" s="7" t="s">
        <v>322</v>
      </c>
      <c r="C2542" s="7" t="n">
        <v>2</v>
      </c>
      <c r="D2542" s="7" t="s">
        <v>295</v>
      </c>
      <c r="E2542" s="7" t="s">
        <v>295</v>
      </c>
      <c r="F2542" s="3" t="s">
        <v>336</v>
      </c>
      <c r="G2542" s="3" t="n">
        <v>2</v>
      </c>
      <c r="H2542" s="3" t="n">
        <v>10</v>
      </c>
      <c r="I2542" s="22" t="n">
        <v>41794</v>
      </c>
      <c r="J2542" s="22" t="n">
        <v>41799</v>
      </c>
      <c r="K2542" s="43" t="n">
        <f aca="false">J2542-I2542</f>
        <v>5</v>
      </c>
      <c r="L2542" s="1" t="n">
        <v>5</v>
      </c>
      <c r="M2542" s="3" t="s">
        <v>48</v>
      </c>
      <c r="N2542" s="3" t="s">
        <v>122</v>
      </c>
      <c r="O2542" s="3" t="s">
        <v>123</v>
      </c>
      <c r="P2542" s="2" t="str">
        <f aca="false">CONCATENATE(N2542," ",O2542)</f>
        <v>Xerolycosa nemoralis</v>
      </c>
      <c r="Q2542" s="1" t="s">
        <v>30</v>
      </c>
      <c r="R2542" s="1" t="s">
        <v>35</v>
      </c>
      <c r="S2542" s="3" t="n">
        <v>0</v>
      </c>
      <c r="T2542" s="3" t="n">
        <v>1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f aca="false">SUM(S2542:T2542)</f>
        <v>1</v>
      </c>
      <c r="Z2542" s="3" t="n">
        <f aca="false">SUM(U2542:W2542)</f>
        <v>0</v>
      </c>
      <c r="AA2542" s="3" t="n">
        <f aca="false">SUM(S2542:X2542)</f>
        <v>1</v>
      </c>
      <c r="AB2542" s="11" t="n">
        <f aca="false">(AA2542/(K2542*L2542)*25)*4</f>
        <v>4</v>
      </c>
    </row>
    <row r="2543" customFormat="false" ht="14.25" hidden="false" customHeight="false" outlineLevel="0" collapsed="false">
      <c r="A2543" s="1" t="n">
        <v>2014</v>
      </c>
      <c r="B2543" s="7" t="s">
        <v>322</v>
      </c>
      <c r="C2543" s="7" t="n">
        <v>2</v>
      </c>
      <c r="D2543" s="7" t="s">
        <v>295</v>
      </c>
      <c r="E2543" s="7" t="s">
        <v>295</v>
      </c>
      <c r="F2543" s="3" t="s">
        <v>336</v>
      </c>
      <c r="G2543" s="3" t="n">
        <v>2</v>
      </c>
      <c r="H2543" s="3" t="n">
        <v>10</v>
      </c>
      <c r="I2543" s="22" t="n">
        <v>41794</v>
      </c>
      <c r="J2543" s="22" t="n">
        <v>41799</v>
      </c>
      <c r="K2543" s="43" t="n">
        <f aca="false">J2543-I2543</f>
        <v>5</v>
      </c>
      <c r="L2543" s="1" t="n">
        <v>5</v>
      </c>
      <c r="M2543" s="3" t="s">
        <v>72</v>
      </c>
      <c r="N2543" s="3" t="s">
        <v>152</v>
      </c>
      <c r="O2543" s="3" t="s">
        <v>153</v>
      </c>
      <c r="P2543" s="2" t="str">
        <f aca="false">CONCATENATE(N2543," ",O2543)</f>
        <v>Callilepis nocturna</v>
      </c>
      <c r="Q2543" s="1" t="s">
        <v>30</v>
      </c>
      <c r="R2543" s="1" t="s">
        <v>35</v>
      </c>
      <c r="S2543" s="3" t="n">
        <v>0</v>
      </c>
      <c r="T2543" s="3" t="n">
        <v>1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f aca="false">SUM(S2543:T2543)</f>
        <v>1</v>
      </c>
      <c r="Z2543" s="3" t="n">
        <f aca="false">SUM(U2543:W2543)</f>
        <v>0</v>
      </c>
      <c r="AA2543" s="3" t="n">
        <f aca="false">SUM(S2543:X2543)</f>
        <v>1</v>
      </c>
      <c r="AB2543" s="11" t="n">
        <f aca="false">(AA2543/(K2543*L2543)*25)*4</f>
        <v>4</v>
      </c>
    </row>
    <row r="2544" customFormat="false" ht="14.25" hidden="false" customHeight="false" outlineLevel="0" collapsed="false">
      <c r="A2544" s="1" t="n">
        <v>2014</v>
      </c>
      <c r="B2544" s="7" t="s">
        <v>322</v>
      </c>
      <c r="C2544" s="7" t="n">
        <v>2</v>
      </c>
      <c r="D2544" s="7" t="s">
        <v>296</v>
      </c>
      <c r="E2544" s="7" t="s">
        <v>295</v>
      </c>
      <c r="F2544" s="3" t="s">
        <v>330</v>
      </c>
      <c r="G2544" s="3" t="n">
        <v>2</v>
      </c>
      <c r="H2544" s="3" t="n">
        <v>9</v>
      </c>
      <c r="I2544" s="22" t="n">
        <v>41794</v>
      </c>
      <c r="J2544" s="22" t="n">
        <v>41799</v>
      </c>
      <c r="K2544" s="43" t="n">
        <f aca="false">J2544-I2544</f>
        <v>5</v>
      </c>
      <c r="L2544" s="1" t="n">
        <v>5</v>
      </c>
      <c r="M2544" s="3" t="s">
        <v>48</v>
      </c>
      <c r="N2544" s="3" t="s">
        <v>67</v>
      </c>
      <c r="O2544" s="3" t="s">
        <v>167</v>
      </c>
      <c r="P2544" s="2" t="str">
        <f aca="false">CONCATENATE(N2544," ",O2544)</f>
        <v>Pardosa agrestis</v>
      </c>
      <c r="Q2544" s="1" t="s">
        <v>30</v>
      </c>
      <c r="R2544" s="1" t="s">
        <v>31</v>
      </c>
      <c r="S2544" s="3" t="n">
        <v>1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f aca="false">SUM(S2544:T2544)</f>
        <v>1</v>
      </c>
      <c r="Z2544" s="3" t="n">
        <f aca="false">SUM(U2544:W2544)</f>
        <v>0</v>
      </c>
      <c r="AA2544" s="3" t="n">
        <f aca="false">SUM(S2544:X2544)</f>
        <v>1</v>
      </c>
      <c r="AB2544" s="11" t="n">
        <f aca="false">(AA2544/(K2544*L2544)*25)*4</f>
        <v>4</v>
      </c>
    </row>
    <row r="2545" customFormat="false" ht="14.25" hidden="false" customHeight="false" outlineLevel="0" collapsed="false">
      <c r="A2545" s="1" t="n">
        <v>2014</v>
      </c>
      <c r="B2545" s="7" t="s">
        <v>322</v>
      </c>
      <c r="C2545" s="7" t="n">
        <v>2</v>
      </c>
      <c r="D2545" s="7" t="s">
        <v>296</v>
      </c>
      <c r="E2545" s="7" t="s">
        <v>295</v>
      </c>
      <c r="F2545" s="3" t="s">
        <v>330</v>
      </c>
      <c r="G2545" s="3" t="n">
        <v>2</v>
      </c>
      <c r="H2545" s="3" t="n">
        <v>10</v>
      </c>
      <c r="I2545" s="22" t="n">
        <v>41794</v>
      </c>
      <c r="J2545" s="22" t="n">
        <v>41799</v>
      </c>
      <c r="K2545" s="43" t="n">
        <f aca="false">J2545-I2545</f>
        <v>5</v>
      </c>
      <c r="L2545" s="1" t="n">
        <v>5</v>
      </c>
      <c r="M2545" s="3" t="s">
        <v>48</v>
      </c>
      <c r="N2545" s="3" t="s">
        <v>67</v>
      </c>
      <c r="O2545" s="3" t="s">
        <v>204</v>
      </c>
      <c r="P2545" s="2" t="str">
        <f aca="false">CONCATENATE(N2545," ",O2545)</f>
        <v>Pardosa palustris</v>
      </c>
      <c r="Q2545" s="1" t="s">
        <v>30</v>
      </c>
      <c r="R2545" s="1" t="s">
        <v>31</v>
      </c>
      <c r="S2545" s="3" t="n">
        <v>1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f aca="false">SUM(S2545:T2545)</f>
        <v>1</v>
      </c>
      <c r="Z2545" s="3" t="n">
        <f aca="false">SUM(U2545:W2545)</f>
        <v>0</v>
      </c>
      <c r="AA2545" s="3" t="n">
        <f aca="false">SUM(S2545:X2545)</f>
        <v>1</v>
      </c>
      <c r="AB2545" s="11" t="n">
        <f aca="false">(AA2545/(K2545*L2545)*25)*4</f>
        <v>4</v>
      </c>
    </row>
    <row r="2546" customFormat="false" ht="14.25" hidden="false" customHeight="false" outlineLevel="0" collapsed="false">
      <c r="A2546" s="1" t="n">
        <v>2014</v>
      </c>
      <c r="B2546" s="7" t="s">
        <v>322</v>
      </c>
      <c r="C2546" s="7" t="n">
        <v>2</v>
      </c>
      <c r="D2546" s="7" t="s">
        <v>296</v>
      </c>
      <c r="E2546" s="7" t="s">
        <v>295</v>
      </c>
      <c r="F2546" s="3" t="s">
        <v>330</v>
      </c>
      <c r="G2546" s="3" t="n">
        <v>3</v>
      </c>
      <c r="H2546" s="3" t="n">
        <v>12</v>
      </c>
      <c r="I2546" s="22" t="n">
        <v>41794</v>
      </c>
      <c r="J2546" s="22" t="n">
        <v>41799</v>
      </c>
      <c r="K2546" s="43" t="n">
        <f aca="false">J2546-I2546</f>
        <v>5</v>
      </c>
      <c r="L2546" s="1" t="n">
        <v>5</v>
      </c>
      <c r="M2546" s="3" t="s">
        <v>72</v>
      </c>
      <c r="N2546" s="3" t="s">
        <v>242</v>
      </c>
      <c r="O2546" s="3" t="s">
        <v>166</v>
      </c>
      <c r="P2546" s="2" t="str">
        <f aca="false">CONCATENATE(N2546," ",O2546)</f>
        <v>Drassyllus pusillus</v>
      </c>
      <c r="Q2546" s="1" t="s">
        <v>30</v>
      </c>
      <c r="R2546" s="1" t="s">
        <v>31</v>
      </c>
      <c r="S2546" s="3" t="n">
        <v>1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f aca="false">SUM(S2546:T2546)</f>
        <v>1</v>
      </c>
      <c r="Z2546" s="3" t="n">
        <f aca="false">SUM(U2546:W2546)</f>
        <v>0</v>
      </c>
      <c r="AA2546" s="3" t="n">
        <f aca="false">SUM(S2546:X2546)</f>
        <v>1</v>
      </c>
      <c r="AB2546" s="11" t="n">
        <f aca="false">(AA2546/(K2546*L2546)*25)*4</f>
        <v>4</v>
      </c>
    </row>
    <row r="2547" customFormat="false" ht="14.25" hidden="false" customHeight="false" outlineLevel="0" collapsed="false">
      <c r="A2547" s="1" t="n">
        <v>2014</v>
      </c>
      <c r="B2547" s="7" t="s">
        <v>322</v>
      </c>
      <c r="C2547" s="7" t="n">
        <v>2</v>
      </c>
      <c r="D2547" s="7" t="s">
        <v>296</v>
      </c>
      <c r="E2547" s="7" t="s">
        <v>295</v>
      </c>
      <c r="F2547" s="3" t="s">
        <v>330</v>
      </c>
      <c r="G2547" s="3" t="n">
        <v>3</v>
      </c>
      <c r="H2547" s="3" t="n">
        <v>15</v>
      </c>
      <c r="I2547" s="22" t="n">
        <v>41794</v>
      </c>
      <c r="J2547" s="22" t="n">
        <v>41799</v>
      </c>
      <c r="K2547" s="43" t="n">
        <f aca="false">J2547-I2547</f>
        <v>5</v>
      </c>
      <c r="L2547" s="1" t="n">
        <v>5</v>
      </c>
      <c r="M2547" s="3" t="s">
        <v>48</v>
      </c>
      <c r="N2547" s="3" t="s">
        <v>122</v>
      </c>
      <c r="O2547" s="3" t="s">
        <v>123</v>
      </c>
      <c r="P2547" s="2" t="str">
        <f aca="false">CONCATENATE(N2547," ",O2547)</f>
        <v>Xerolycosa nemoralis</v>
      </c>
      <c r="Q2547" s="1" t="s">
        <v>30</v>
      </c>
      <c r="R2547" s="1" t="s">
        <v>31</v>
      </c>
      <c r="S2547" s="3" t="n">
        <v>1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f aca="false">SUM(S2547:T2547)</f>
        <v>1</v>
      </c>
      <c r="Z2547" s="3" t="n">
        <f aca="false">SUM(U2547:W2547)</f>
        <v>0</v>
      </c>
      <c r="AA2547" s="3" t="n">
        <f aca="false">SUM(S2547:X2547)</f>
        <v>1</v>
      </c>
      <c r="AB2547" s="11" t="n">
        <f aca="false">(AA2547/(K2547*L2547)*25)*4</f>
        <v>4</v>
      </c>
    </row>
    <row r="2548" customFormat="false" ht="14.25" hidden="false" customHeight="false" outlineLevel="0" collapsed="false">
      <c r="A2548" s="1" t="n">
        <v>2014</v>
      </c>
      <c r="B2548" s="7" t="s">
        <v>322</v>
      </c>
      <c r="C2548" s="7" t="n">
        <v>2</v>
      </c>
      <c r="D2548" s="7" t="s">
        <v>296</v>
      </c>
      <c r="E2548" s="7" t="s">
        <v>295</v>
      </c>
      <c r="F2548" s="3" t="s">
        <v>330</v>
      </c>
      <c r="G2548" s="3" t="n">
        <v>2</v>
      </c>
      <c r="H2548" s="3" t="n">
        <v>6</v>
      </c>
      <c r="I2548" s="22" t="n">
        <v>41794</v>
      </c>
      <c r="J2548" s="22" t="n">
        <v>41799</v>
      </c>
      <c r="K2548" s="43" t="n">
        <f aca="false">J2548-I2548</f>
        <v>5</v>
      </c>
      <c r="L2548" s="1" t="n">
        <v>5</v>
      </c>
      <c r="M2548" s="3" t="s">
        <v>72</v>
      </c>
      <c r="N2548" s="3" t="s">
        <v>242</v>
      </c>
      <c r="O2548" s="3" t="s">
        <v>166</v>
      </c>
      <c r="P2548" s="2" t="str">
        <f aca="false">CONCATENATE(N2548," ",O2548)</f>
        <v>Drassyllus pusillus</v>
      </c>
      <c r="Q2548" s="1" t="s">
        <v>30</v>
      </c>
      <c r="R2548" s="1" t="s">
        <v>35</v>
      </c>
      <c r="S2548" s="3" t="n">
        <v>0</v>
      </c>
      <c r="T2548" s="3" t="n">
        <v>1</v>
      </c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f aca="false">SUM(S2548:T2548)</f>
        <v>1</v>
      </c>
      <c r="Z2548" s="3" t="n">
        <f aca="false">SUM(U2548:W2548)</f>
        <v>0</v>
      </c>
      <c r="AA2548" s="3" t="n">
        <f aca="false">SUM(S2548:X2548)</f>
        <v>1</v>
      </c>
      <c r="AB2548" s="11" t="n">
        <f aca="false">(AA2548/(K2548*L2548)*25)*4</f>
        <v>4</v>
      </c>
    </row>
    <row r="2549" customFormat="false" ht="14.25" hidden="false" customHeight="false" outlineLevel="0" collapsed="false">
      <c r="A2549" s="1" t="n">
        <v>2014</v>
      </c>
      <c r="B2549" s="7" t="s">
        <v>322</v>
      </c>
      <c r="C2549" s="7" t="n">
        <v>2</v>
      </c>
      <c r="D2549" s="7" t="s">
        <v>296</v>
      </c>
      <c r="E2549" s="7" t="s">
        <v>295</v>
      </c>
      <c r="F2549" s="3" t="s">
        <v>330</v>
      </c>
      <c r="G2549" s="3" t="n">
        <v>2</v>
      </c>
      <c r="H2549" s="3" t="n">
        <v>6</v>
      </c>
      <c r="I2549" s="22" t="n">
        <v>41794</v>
      </c>
      <c r="J2549" s="22" t="n">
        <v>41799</v>
      </c>
      <c r="K2549" s="43" t="n">
        <f aca="false">J2549-I2549</f>
        <v>5</v>
      </c>
      <c r="L2549" s="1" t="n">
        <v>5</v>
      </c>
      <c r="M2549" s="3" t="s">
        <v>48</v>
      </c>
      <c r="N2549" s="3" t="s">
        <v>67</v>
      </c>
      <c r="O2549" s="3" t="s">
        <v>167</v>
      </c>
      <c r="P2549" s="2" t="str">
        <f aca="false">CONCATENATE(N2549," ",O2549)</f>
        <v>Pardosa agrestis</v>
      </c>
      <c r="Q2549" s="1" t="s">
        <v>30</v>
      </c>
      <c r="R2549" s="1" t="s">
        <v>31</v>
      </c>
      <c r="S2549" s="3" t="n">
        <v>1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f aca="false">SUM(S2549:T2549)</f>
        <v>1</v>
      </c>
      <c r="Z2549" s="3" t="n">
        <f aca="false">SUM(U2549:W2549)</f>
        <v>0</v>
      </c>
      <c r="AA2549" s="3" t="n">
        <f aca="false">SUM(S2549:X2549)</f>
        <v>1</v>
      </c>
      <c r="AB2549" s="11" t="n">
        <f aca="false">(AA2549/(K2549*L2549)*25)*4</f>
        <v>4</v>
      </c>
    </row>
    <row r="2550" customFormat="false" ht="14.25" hidden="false" customHeight="false" outlineLevel="0" collapsed="false">
      <c r="A2550" s="1" t="n">
        <v>2014</v>
      </c>
      <c r="B2550" s="7" t="s">
        <v>322</v>
      </c>
      <c r="C2550" s="7" t="n">
        <v>2</v>
      </c>
      <c r="D2550" s="7" t="s">
        <v>296</v>
      </c>
      <c r="E2550" s="7" t="s">
        <v>295</v>
      </c>
      <c r="F2550" s="3" t="s">
        <v>330</v>
      </c>
      <c r="G2550" s="3" t="n">
        <v>1</v>
      </c>
      <c r="H2550" s="3" t="n">
        <v>2</v>
      </c>
      <c r="I2550" s="22" t="n">
        <v>41794</v>
      </c>
      <c r="J2550" s="22" t="n">
        <v>41799</v>
      </c>
      <c r="K2550" s="43" t="n">
        <f aca="false">J2550-I2550</f>
        <v>5</v>
      </c>
      <c r="L2550" s="1" t="n">
        <v>5</v>
      </c>
      <c r="M2550" s="3" t="s">
        <v>72</v>
      </c>
      <c r="N2550" s="3" t="s">
        <v>86</v>
      </c>
      <c r="O2550" s="3" t="s">
        <v>87</v>
      </c>
      <c r="P2550" s="2" t="str">
        <f aca="false">CONCATENATE(N2550," ",O2550)</f>
        <v>Haplodrassus soerenseni</v>
      </c>
      <c r="Q2550" s="1" t="s">
        <v>30</v>
      </c>
      <c r="R2550" s="1" t="s">
        <v>35</v>
      </c>
      <c r="S2550" s="3" t="n">
        <v>0</v>
      </c>
      <c r="T2550" s="3" t="n">
        <v>1</v>
      </c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f aca="false">SUM(S2550:T2550)</f>
        <v>1</v>
      </c>
      <c r="Z2550" s="3" t="n">
        <f aca="false">SUM(U2550:W2550)</f>
        <v>0</v>
      </c>
      <c r="AA2550" s="3" t="n">
        <f aca="false">SUM(S2550:X2550)</f>
        <v>1</v>
      </c>
      <c r="AB2550" s="11" t="n">
        <f aca="false">(AA2550/(K2550*L2550)*25)*4</f>
        <v>4</v>
      </c>
    </row>
    <row r="2551" customFormat="false" ht="14.25" hidden="false" customHeight="false" outlineLevel="0" collapsed="false">
      <c r="A2551" s="1" t="n">
        <v>2014</v>
      </c>
      <c r="B2551" s="7" t="s">
        <v>322</v>
      </c>
      <c r="C2551" s="7" t="n">
        <v>2</v>
      </c>
      <c r="D2551" s="7" t="s">
        <v>296</v>
      </c>
      <c r="E2551" s="7" t="s">
        <v>295</v>
      </c>
      <c r="F2551" s="3" t="s">
        <v>330</v>
      </c>
      <c r="G2551" s="3" t="n">
        <v>1</v>
      </c>
      <c r="H2551" s="3" t="n">
        <v>2</v>
      </c>
      <c r="I2551" s="22" t="n">
        <v>41794</v>
      </c>
      <c r="J2551" s="22" t="n">
        <v>41799</v>
      </c>
      <c r="K2551" s="43" t="n">
        <f aca="false">J2551-I2551</f>
        <v>5</v>
      </c>
      <c r="L2551" s="1" t="n">
        <v>5</v>
      </c>
      <c r="M2551" s="3" t="s">
        <v>48</v>
      </c>
      <c r="N2551" s="3" t="s">
        <v>122</v>
      </c>
      <c r="O2551" s="3" t="s">
        <v>123</v>
      </c>
      <c r="P2551" s="2" t="str">
        <f aca="false">CONCATENATE(N2551," ",O2551)</f>
        <v>Xerolycosa nemoralis</v>
      </c>
      <c r="Q2551" s="1" t="s">
        <v>30</v>
      </c>
      <c r="R2551" s="1" t="s">
        <v>31</v>
      </c>
      <c r="S2551" s="3" t="n">
        <v>1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f aca="false">SUM(S2551:T2551)</f>
        <v>1</v>
      </c>
      <c r="Z2551" s="3" t="n">
        <f aca="false">SUM(U2551:W2551)</f>
        <v>0</v>
      </c>
      <c r="AA2551" s="3" t="n">
        <f aca="false">SUM(S2551:X2551)</f>
        <v>1</v>
      </c>
      <c r="AB2551" s="11" t="n">
        <f aca="false">(AA2551/(K2551*L2551)*25)*4</f>
        <v>4</v>
      </c>
    </row>
    <row r="2552" customFormat="false" ht="14.25" hidden="false" customHeight="false" outlineLevel="0" collapsed="false">
      <c r="A2552" s="1" t="n">
        <v>2014</v>
      </c>
      <c r="B2552" s="7" t="s">
        <v>322</v>
      </c>
      <c r="C2552" s="7" t="n">
        <v>2</v>
      </c>
      <c r="D2552" s="7" t="s">
        <v>296</v>
      </c>
      <c r="E2552" s="7" t="s">
        <v>295</v>
      </c>
      <c r="F2552" s="3" t="s">
        <v>330</v>
      </c>
      <c r="G2552" s="3" t="n">
        <v>1</v>
      </c>
      <c r="H2552" s="3" t="n">
        <v>2</v>
      </c>
      <c r="I2552" s="22" t="n">
        <v>41794</v>
      </c>
      <c r="J2552" s="22" t="n">
        <v>41799</v>
      </c>
      <c r="K2552" s="43" t="n">
        <f aca="false">J2552-I2552</f>
        <v>5</v>
      </c>
      <c r="L2552" s="1" t="n">
        <v>5</v>
      </c>
      <c r="M2552" s="3" t="s">
        <v>32</v>
      </c>
      <c r="N2552" s="3" t="s">
        <v>102</v>
      </c>
      <c r="O2552" s="3" t="s">
        <v>117</v>
      </c>
      <c r="P2552" s="2" t="str">
        <f aca="false">CONCATENATE(N2552," ",O2552)</f>
        <v>Agyneta affinis</v>
      </c>
      <c r="Q2552" s="1" t="s">
        <v>30</v>
      </c>
      <c r="R2552" s="1" t="s">
        <v>35</v>
      </c>
      <c r="S2552" s="3" t="n">
        <v>0</v>
      </c>
      <c r="T2552" s="3" t="n">
        <v>1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f aca="false">SUM(S2552:T2552)</f>
        <v>1</v>
      </c>
      <c r="Z2552" s="3" t="n">
        <f aca="false">SUM(U2552:W2552)</f>
        <v>0</v>
      </c>
      <c r="AA2552" s="3" t="n">
        <f aca="false">SUM(S2552:X2552)</f>
        <v>1</v>
      </c>
      <c r="AB2552" s="11" t="n">
        <f aca="false">(AA2552/(K2552*L2552)*25)*4</f>
        <v>4</v>
      </c>
    </row>
    <row r="2553" customFormat="false" ht="14.25" hidden="false" customHeight="false" outlineLevel="0" collapsed="false">
      <c r="A2553" s="1" t="n">
        <v>2014</v>
      </c>
      <c r="B2553" s="7" t="s">
        <v>322</v>
      </c>
      <c r="C2553" s="7" t="n">
        <v>2</v>
      </c>
      <c r="D2553" s="7" t="s">
        <v>296</v>
      </c>
      <c r="E2553" s="7" t="s">
        <v>295</v>
      </c>
      <c r="F2553" s="3" t="s">
        <v>330</v>
      </c>
      <c r="G2553" s="3" t="n">
        <v>1</v>
      </c>
      <c r="H2553" s="3" t="n">
        <v>4</v>
      </c>
      <c r="I2553" s="22" t="n">
        <v>41794</v>
      </c>
      <c r="J2553" s="22" t="n">
        <v>41799</v>
      </c>
      <c r="K2553" s="43" t="n">
        <f aca="false">J2553-I2553</f>
        <v>5</v>
      </c>
      <c r="L2553" s="1" t="n">
        <v>5</v>
      </c>
      <c r="M2553" s="3" t="s">
        <v>135</v>
      </c>
      <c r="N2553" s="3" t="s">
        <v>136</v>
      </c>
      <c r="O2553" s="3" t="s">
        <v>269</v>
      </c>
      <c r="P2553" s="2" t="str">
        <f aca="false">CONCATENATE(N2553," ",O2553)</f>
        <v>Thanatus striatus</v>
      </c>
      <c r="Q2553" s="1" t="s">
        <v>30</v>
      </c>
      <c r="R2553" s="1" t="s">
        <v>31</v>
      </c>
      <c r="S2553" s="3" t="n">
        <v>1</v>
      </c>
      <c r="T2553" s="3" t="n">
        <v>0</v>
      </c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f aca="false">SUM(S2553:T2553)</f>
        <v>1</v>
      </c>
      <c r="Z2553" s="3" t="n">
        <f aca="false">SUM(U2553:W2553)</f>
        <v>0</v>
      </c>
      <c r="AA2553" s="3" t="n">
        <f aca="false">SUM(S2553:X2553)</f>
        <v>1</v>
      </c>
      <c r="AB2553" s="11" t="n">
        <f aca="false">(AA2553/(K2553*L2553)*25)*4</f>
        <v>4</v>
      </c>
    </row>
    <row r="2554" customFormat="false" ht="14.25" hidden="false" customHeight="false" outlineLevel="0" collapsed="false">
      <c r="A2554" s="1" t="n">
        <v>2014</v>
      </c>
      <c r="B2554" s="7" t="s">
        <v>322</v>
      </c>
      <c r="C2554" s="7" t="n">
        <v>2</v>
      </c>
      <c r="D2554" s="7" t="s">
        <v>296</v>
      </c>
      <c r="E2554" s="7" t="s">
        <v>295</v>
      </c>
      <c r="F2554" s="3" t="s">
        <v>330</v>
      </c>
      <c r="G2554" s="3" t="n">
        <v>2</v>
      </c>
      <c r="H2554" s="3" t="n">
        <v>8</v>
      </c>
      <c r="I2554" s="22" t="n">
        <v>41794</v>
      </c>
      <c r="J2554" s="22" t="n">
        <v>41799</v>
      </c>
      <c r="K2554" s="43" t="n">
        <f aca="false">J2554-I2554</f>
        <v>5</v>
      </c>
      <c r="L2554" s="1" t="n">
        <v>5</v>
      </c>
      <c r="M2554" s="3" t="s">
        <v>72</v>
      </c>
      <c r="N2554" s="3" t="s">
        <v>86</v>
      </c>
      <c r="O2554" s="3" t="s">
        <v>87</v>
      </c>
      <c r="P2554" s="2" t="str">
        <f aca="false">CONCATENATE(N2554," ",O2554)</f>
        <v>Haplodrassus soerenseni</v>
      </c>
      <c r="Q2554" s="1" t="s">
        <v>30</v>
      </c>
      <c r="R2554" s="1" t="s">
        <v>35</v>
      </c>
      <c r="S2554" s="3" t="n">
        <v>0</v>
      </c>
      <c r="T2554" s="3" t="n">
        <v>1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f aca="false">SUM(S2554:T2554)</f>
        <v>1</v>
      </c>
      <c r="Z2554" s="3" t="n">
        <f aca="false">SUM(U2554:W2554)</f>
        <v>0</v>
      </c>
      <c r="AA2554" s="3" t="n">
        <f aca="false">SUM(S2554:X2554)</f>
        <v>1</v>
      </c>
      <c r="AB2554" s="11" t="n">
        <f aca="false">(AA2554/(K2554*L2554)*25)*4</f>
        <v>4</v>
      </c>
    </row>
    <row r="2555" customFormat="false" ht="14.25" hidden="false" customHeight="false" outlineLevel="0" collapsed="false">
      <c r="A2555" s="1" t="n">
        <v>2014</v>
      </c>
      <c r="B2555" s="7" t="s">
        <v>322</v>
      </c>
      <c r="C2555" s="7" t="n">
        <v>2</v>
      </c>
      <c r="D2555" s="7" t="s">
        <v>296</v>
      </c>
      <c r="E2555" s="7" t="s">
        <v>295</v>
      </c>
      <c r="F2555" s="3" t="s">
        <v>330</v>
      </c>
      <c r="G2555" s="3" t="n">
        <v>2</v>
      </c>
      <c r="H2555" s="3" t="n">
        <v>8</v>
      </c>
      <c r="I2555" s="22" t="n">
        <v>41794</v>
      </c>
      <c r="J2555" s="22" t="n">
        <v>41799</v>
      </c>
      <c r="K2555" s="43" t="n">
        <f aca="false">J2555-I2555</f>
        <v>5</v>
      </c>
      <c r="L2555" s="1" t="n">
        <v>5</v>
      </c>
      <c r="M2555" s="3" t="s">
        <v>32</v>
      </c>
      <c r="N2555" s="3" t="s">
        <v>270</v>
      </c>
      <c r="O2555" s="3" t="s">
        <v>271</v>
      </c>
      <c r="P2555" s="2" t="str">
        <f aca="false">CONCATENATE(N2555," ",O2555)</f>
        <v>Porrhomma pygmaeum</v>
      </c>
      <c r="Q2555" s="1" t="s">
        <v>30</v>
      </c>
      <c r="R2555" s="1" t="s">
        <v>35</v>
      </c>
      <c r="S2555" s="3" t="n">
        <v>0</v>
      </c>
      <c r="T2555" s="3" t="n">
        <v>1</v>
      </c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f aca="false">SUM(S2555:T2555)</f>
        <v>1</v>
      </c>
      <c r="Z2555" s="3" t="n">
        <f aca="false">SUM(U2555:W2555)</f>
        <v>0</v>
      </c>
      <c r="AA2555" s="3" t="n">
        <f aca="false">SUM(S2555:X2555)</f>
        <v>1</v>
      </c>
      <c r="AB2555" s="11" t="n">
        <f aca="false">(AA2555/(K2555*L2555)*25)*4</f>
        <v>4</v>
      </c>
    </row>
    <row r="2556" customFormat="false" ht="14.25" hidden="false" customHeight="false" outlineLevel="0" collapsed="false">
      <c r="A2556" s="1" t="n">
        <v>2014</v>
      </c>
      <c r="B2556" s="7" t="s">
        <v>322</v>
      </c>
      <c r="C2556" s="7" t="n">
        <v>2</v>
      </c>
      <c r="D2556" s="7" t="s">
        <v>296</v>
      </c>
      <c r="E2556" s="7" t="s">
        <v>295</v>
      </c>
      <c r="F2556" s="3" t="s">
        <v>330</v>
      </c>
      <c r="G2556" s="3" t="n">
        <v>3</v>
      </c>
      <c r="H2556" s="3" t="n">
        <v>11</v>
      </c>
      <c r="I2556" s="22" t="n">
        <v>41794</v>
      </c>
      <c r="J2556" s="22" t="n">
        <v>41799</v>
      </c>
      <c r="K2556" s="43" t="n">
        <f aca="false">J2556-I2556</f>
        <v>5</v>
      </c>
      <c r="L2556" s="1" t="n">
        <v>5</v>
      </c>
      <c r="M2556" s="3" t="s">
        <v>226</v>
      </c>
      <c r="N2556" s="3" t="s">
        <v>65</v>
      </c>
      <c r="O2556" s="3" t="s">
        <v>335</v>
      </c>
      <c r="P2556" s="2" t="str">
        <f aca="false">CONCATENATE(N2556," ",O2556)</f>
        <v>Zora spinimana</v>
      </c>
      <c r="Q2556" s="1" t="s">
        <v>30</v>
      </c>
      <c r="R2556" s="1" t="s">
        <v>35</v>
      </c>
      <c r="S2556" s="3" t="n">
        <v>0</v>
      </c>
      <c r="T2556" s="3" t="n">
        <v>1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f aca="false">SUM(S2556:T2556)</f>
        <v>1</v>
      </c>
      <c r="Z2556" s="3" t="n">
        <f aca="false">SUM(U2556:W2556)</f>
        <v>0</v>
      </c>
      <c r="AA2556" s="3" t="n">
        <f aca="false">SUM(S2556:X2556)</f>
        <v>1</v>
      </c>
      <c r="AB2556" s="11" t="n">
        <f aca="false">(AA2556/(K2556*L2556)*25)*4</f>
        <v>4</v>
      </c>
    </row>
    <row r="2557" customFormat="false" ht="14.25" hidden="false" customHeight="false" outlineLevel="0" collapsed="false">
      <c r="A2557" s="1" t="n">
        <v>2014</v>
      </c>
      <c r="B2557" s="7" t="s">
        <v>322</v>
      </c>
      <c r="C2557" s="7" t="n">
        <v>2</v>
      </c>
      <c r="D2557" s="7" t="s">
        <v>296</v>
      </c>
      <c r="E2557" s="7" t="s">
        <v>295</v>
      </c>
      <c r="F2557" s="3" t="s">
        <v>330</v>
      </c>
      <c r="G2557" s="3" t="n">
        <v>3</v>
      </c>
      <c r="H2557" s="3" t="n">
        <v>11</v>
      </c>
      <c r="I2557" s="22" t="n">
        <v>41794</v>
      </c>
      <c r="J2557" s="22" t="n">
        <v>41799</v>
      </c>
      <c r="K2557" s="43" t="n">
        <f aca="false">J2557-I2557</f>
        <v>5</v>
      </c>
      <c r="L2557" s="1" t="n">
        <v>5</v>
      </c>
      <c r="M2557" s="3" t="s">
        <v>32</v>
      </c>
      <c r="N2557" s="3" t="s">
        <v>270</v>
      </c>
      <c r="O2557" s="3" t="s">
        <v>271</v>
      </c>
      <c r="P2557" s="2" t="str">
        <f aca="false">CONCATENATE(N2557," ",O2557)</f>
        <v>Porrhomma pygmaeum</v>
      </c>
      <c r="Q2557" s="1" t="s">
        <v>30</v>
      </c>
      <c r="R2557" s="1" t="s">
        <v>35</v>
      </c>
      <c r="S2557" s="3" t="n">
        <v>0</v>
      </c>
      <c r="T2557" s="3" t="n">
        <v>1</v>
      </c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f aca="false">SUM(S2557:T2557)</f>
        <v>1</v>
      </c>
      <c r="Z2557" s="3" t="n">
        <f aca="false">SUM(U2557:W2557)</f>
        <v>0</v>
      </c>
      <c r="AA2557" s="3" t="n">
        <f aca="false">SUM(S2557:X2557)</f>
        <v>1</v>
      </c>
      <c r="AB2557" s="11" t="n">
        <f aca="false">(AA2557/(K2557*L2557)*25)*4</f>
        <v>4</v>
      </c>
    </row>
    <row r="2558" customFormat="false" ht="14.25" hidden="false" customHeight="false" outlineLevel="0" collapsed="false">
      <c r="A2558" s="1" t="n">
        <v>2014</v>
      </c>
      <c r="B2558" s="7" t="s">
        <v>322</v>
      </c>
      <c r="C2558" s="7" t="n">
        <v>2</v>
      </c>
      <c r="D2558" s="7" t="s">
        <v>296</v>
      </c>
      <c r="E2558" s="7" t="s">
        <v>295</v>
      </c>
      <c r="F2558" s="3" t="s">
        <v>330</v>
      </c>
      <c r="G2558" s="3" t="n">
        <v>1</v>
      </c>
      <c r="H2558" s="3" t="n">
        <v>1</v>
      </c>
      <c r="I2558" s="22" t="n">
        <v>41794</v>
      </c>
      <c r="J2558" s="22" t="n">
        <v>41799</v>
      </c>
      <c r="K2558" s="43" t="n">
        <f aca="false">J2558-I2558</f>
        <v>5</v>
      </c>
      <c r="L2558" s="1" t="n">
        <v>5</v>
      </c>
      <c r="M2558" s="3" t="s">
        <v>72</v>
      </c>
      <c r="N2558" s="3" t="s">
        <v>150</v>
      </c>
      <c r="O2558" s="3" t="s">
        <v>151</v>
      </c>
      <c r="P2558" s="2" t="str">
        <f aca="false">CONCATENATE(N2558," ",O2558)</f>
        <v>Drassodes villosus</v>
      </c>
      <c r="Q2558" s="1" t="s">
        <v>30</v>
      </c>
      <c r="R2558" s="1" t="s">
        <v>31</v>
      </c>
      <c r="S2558" s="3" t="n">
        <v>1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f aca="false">SUM(S2558:T2558)</f>
        <v>1</v>
      </c>
      <c r="Z2558" s="3" t="n">
        <f aca="false">SUM(U2558:W2558)</f>
        <v>0</v>
      </c>
      <c r="AA2558" s="3" t="n">
        <f aca="false">SUM(S2558:X2558)</f>
        <v>1</v>
      </c>
      <c r="AB2558" s="11" t="n">
        <f aca="false">(AA2558/(K2558*L2558)*25)*4</f>
        <v>4</v>
      </c>
    </row>
    <row r="2559" customFormat="false" ht="14.25" hidden="false" customHeight="false" outlineLevel="0" collapsed="false">
      <c r="A2559" s="1" t="n">
        <v>2014</v>
      </c>
      <c r="B2559" s="7" t="s">
        <v>322</v>
      </c>
      <c r="C2559" s="7" t="n">
        <v>2</v>
      </c>
      <c r="D2559" s="7" t="s">
        <v>296</v>
      </c>
      <c r="E2559" s="7" t="s">
        <v>295</v>
      </c>
      <c r="F2559" s="3" t="s">
        <v>330</v>
      </c>
      <c r="G2559" s="3" t="n">
        <v>1</v>
      </c>
      <c r="H2559" s="3" t="n">
        <v>1</v>
      </c>
      <c r="I2559" s="22" t="n">
        <v>41794</v>
      </c>
      <c r="J2559" s="22" t="n">
        <v>41799</v>
      </c>
      <c r="K2559" s="43" t="n">
        <f aca="false">J2559-I2559</f>
        <v>5</v>
      </c>
      <c r="L2559" s="1" t="n">
        <v>5</v>
      </c>
      <c r="M2559" s="3" t="s">
        <v>32</v>
      </c>
      <c r="N2559" s="3" t="s">
        <v>102</v>
      </c>
      <c r="O2559" s="3" t="s">
        <v>117</v>
      </c>
      <c r="P2559" s="2" t="str">
        <f aca="false">CONCATENATE(N2559," ",O2559)</f>
        <v>Agyneta affinis</v>
      </c>
      <c r="Q2559" s="1" t="s">
        <v>30</v>
      </c>
      <c r="R2559" s="1" t="s">
        <v>31</v>
      </c>
      <c r="S2559" s="3" t="n">
        <v>1</v>
      </c>
      <c r="T2559" s="3" t="n">
        <v>0</v>
      </c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f aca="false">SUM(S2559:T2559)</f>
        <v>1</v>
      </c>
      <c r="Z2559" s="3" t="n">
        <f aca="false">SUM(U2559:W2559)</f>
        <v>0</v>
      </c>
      <c r="AA2559" s="3" t="n">
        <f aca="false">SUM(S2559:X2559)</f>
        <v>1</v>
      </c>
      <c r="AB2559" s="11" t="n">
        <f aca="false">(AA2559/(K2559*L2559)*25)*4</f>
        <v>4</v>
      </c>
    </row>
    <row r="2560" customFormat="false" ht="14.25" hidden="false" customHeight="false" outlineLevel="0" collapsed="false">
      <c r="A2560" s="1" t="n">
        <v>2014</v>
      </c>
      <c r="B2560" s="7" t="s">
        <v>322</v>
      </c>
      <c r="C2560" s="7" t="n">
        <v>2</v>
      </c>
      <c r="D2560" s="7" t="s">
        <v>296</v>
      </c>
      <c r="E2560" s="7" t="s">
        <v>295</v>
      </c>
      <c r="F2560" s="3" t="s">
        <v>330</v>
      </c>
      <c r="G2560" s="3" t="n">
        <v>1</v>
      </c>
      <c r="H2560" s="3" t="n">
        <v>3</v>
      </c>
      <c r="I2560" s="22" t="n">
        <v>41794</v>
      </c>
      <c r="J2560" s="22" t="n">
        <v>41799</v>
      </c>
      <c r="K2560" s="43" t="n">
        <f aca="false">J2560-I2560</f>
        <v>5</v>
      </c>
      <c r="L2560" s="1" t="n">
        <v>5</v>
      </c>
      <c r="M2560" s="3" t="s">
        <v>226</v>
      </c>
      <c r="N2560" s="3" t="s">
        <v>65</v>
      </c>
      <c r="O2560" s="3" t="s">
        <v>272</v>
      </c>
      <c r="P2560" s="2" t="str">
        <f aca="false">CONCATENATE(N2560," ",O2560)</f>
        <v>Zora armillata</v>
      </c>
      <c r="Q2560" s="1" t="s">
        <v>30</v>
      </c>
      <c r="R2560" s="1" t="s">
        <v>35</v>
      </c>
      <c r="S2560" s="3" t="n">
        <v>0</v>
      </c>
      <c r="T2560" s="3" t="n">
        <v>1</v>
      </c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f aca="false">SUM(S2560:T2560)</f>
        <v>1</v>
      </c>
      <c r="Z2560" s="3" t="n">
        <f aca="false">SUM(U2560:W2560)</f>
        <v>0</v>
      </c>
      <c r="AA2560" s="3" t="n">
        <f aca="false">SUM(S2560:X2560)</f>
        <v>1</v>
      </c>
      <c r="AB2560" s="11" t="n">
        <f aca="false">(AA2560/(K2560*L2560)*25)*4</f>
        <v>4</v>
      </c>
    </row>
    <row r="2561" customFormat="false" ht="14.25" hidden="false" customHeight="false" outlineLevel="0" collapsed="false">
      <c r="A2561" s="1" t="n">
        <v>2014</v>
      </c>
      <c r="B2561" s="7" t="s">
        <v>322</v>
      </c>
      <c r="C2561" s="7" t="n">
        <v>2</v>
      </c>
      <c r="D2561" s="7" t="s">
        <v>296</v>
      </c>
      <c r="E2561" s="7" t="s">
        <v>295</v>
      </c>
      <c r="F2561" s="3" t="s">
        <v>330</v>
      </c>
      <c r="G2561" s="3" t="n">
        <v>1</v>
      </c>
      <c r="H2561" s="3" t="n">
        <v>3</v>
      </c>
      <c r="I2561" s="22" t="n">
        <v>41794</v>
      </c>
      <c r="J2561" s="22" t="n">
        <v>41799</v>
      </c>
      <c r="K2561" s="43" t="n">
        <f aca="false">J2561-I2561</f>
        <v>5</v>
      </c>
      <c r="L2561" s="1" t="n">
        <v>5</v>
      </c>
      <c r="M2561" s="3" t="s">
        <v>72</v>
      </c>
      <c r="N2561" s="3" t="s">
        <v>147</v>
      </c>
      <c r="O2561" s="3" t="s">
        <v>218</v>
      </c>
      <c r="P2561" s="2" t="str">
        <f aca="false">CONCATENATE(N2561," ",O2561)</f>
        <v>Micaria silesiaca</v>
      </c>
      <c r="Q2561" s="1" t="s">
        <v>30</v>
      </c>
      <c r="R2561" s="1" t="s">
        <v>31</v>
      </c>
      <c r="S2561" s="3" t="n">
        <v>1</v>
      </c>
      <c r="T2561" s="3" t="n">
        <v>0</v>
      </c>
      <c r="U2561" s="3" t="n">
        <v>0</v>
      </c>
      <c r="V2561" s="3" t="n">
        <v>0</v>
      </c>
      <c r="W2561" s="3" t="n">
        <v>0</v>
      </c>
      <c r="X2561" s="32" t="n">
        <v>0</v>
      </c>
      <c r="Y2561" s="32" t="n">
        <f aca="false">SUM(S2561:T2561)</f>
        <v>1</v>
      </c>
      <c r="Z2561" s="32" t="n">
        <f aca="false">SUM(U2561:W2561)</f>
        <v>0</v>
      </c>
      <c r="AA2561" s="32" t="n">
        <f aca="false">SUM(S2561:X2561)</f>
        <v>1</v>
      </c>
      <c r="AB2561" s="34" t="n">
        <f aca="false">(AA2561/(K2561*L2561)*25)*4</f>
        <v>4</v>
      </c>
    </row>
    <row r="2562" customFormat="false" ht="14.25" hidden="false" customHeight="false" outlineLevel="0" collapsed="false">
      <c r="X2562" s="3" t="n">
        <f aca="false">SUM(X2:X2561)</f>
        <v>0</v>
      </c>
      <c r="Y2562" s="3" t="n">
        <f aca="false">SUM(Y2:Y2561)</f>
        <v>4511</v>
      </c>
      <c r="Z2562" s="3" t="n">
        <f aca="false">SUM(Z2:Z2561)</f>
        <v>0</v>
      </c>
      <c r="AA2562" s="3" t="n">
        <f aca="false">SUM(AA2:AA2561)</f>
        <v>4511</v>
      </c>
      <c r="AB2562" s="37" t="n">
        <f aca="false">SUM(AB2:AB2561)</f>
        <v>18274.6666666667</v>
      </c>
    </row>
    <row r="2563" customFormat="false" ht="14.25" hidden="false" customHeight="false" outlineLevel="0" collapsed="false">
      <c r="AB2563" s="48"/>
    </row>
    <row r="2564" customFormat="false" ht="14.25" hidden="false" customHeight="false" outlineLevel="0" collapsed="false">
      <c r="AB2564" s="36"/>
    </row>
    <row r="2565" customFormat="false" ht="14.25" hidden="false" customHeight="false" outlineLevel="0" collapsed="false">
      <c r="AB2565" s="37"/>
    </row>
  </sheetData>
  <autoFilter ref="A1:AD256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2025-11-01T11:31:05Z</dcterms:created>
  <dc:creator>Максим Золотарев</dc:creator>
  <dc:description/>
  <dc:language>ru-RU</dc:language>
  <cp:lastModifiedBy>Sozontov</cp:lastModifiedBy>
  <dcterms:modified xsi:type="dcterms:W3CDTF">2026-06-23T09:58:20Z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